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 CONSTRUCTION" sheetId="1" r:id="rId5"/>
    <sheet state="visible" name="Master Pattern Key" sheetId="2" r:id="rId6"/>
    <sheet state="visible" name="Master Sheet" sheetId="3" r:id="rId7"/>
    <sheet state="visible" name="Expected Auditing Outcomes" sheetId="4" r:id="rId8"/>
    <sheet state="visible" name="Removed Pattern Rationale" sheetId="5" r:id="rId9"/>
    <sheet state="visible" name="DEFAULT_Combo Index Numbers" sheetId="6" r:id="rId10"/>
    <sheet state="visible" name="STM_Combo Index Numbers" sheetId="7" r:id="rId11"/>
    <sheet state="visible" name="Sheet1" sheetId="8" r:id="rId12"/>
    <sheet state="visible" name="DEFAULT_GROUPS" sheetId="9" r:id="rId13"/>
    <sheet state="visible" name="STM_GROUPS" sheetId="10" r:id="rId14"/>
    <sheet state="visible" name="AGE_DESIGNATION" sheetId="11" r:id="rId15"/>
    <sheet state="visible" name="Pattern CROSSWALK" sheetId="12" r:id="rId16"/>
    <sheet state="visible" name="Naming Convention - Nested Cats" sheetId="13" r:id="rId17"/>
    <sheet state="visible" name="Claim Types" sheetId="14" r:id="rId18"/>
    <sheet state="hidden" name="MASTER" sheetId="15" r:id="rId19"/>
    <sheet state="hidden" name="EDIT_CLARIFICATIONS_5.17.21" sheetId="16" r:id="rId20"/>
    <sheet state="visible" name="Rules Flat Parameters" sheetId="17" r:id="rId21"/>
    <sheet state="visible" name="(STM) Effective 04.29.22" sheetId="18" r:id="rId22"/>
    <sheet state="visible" name="PROVIDER_MATCHING OPTIONS" sheetId="19" r:id="rId23"/>
  </sheets>
  <definedNames>
    <definedName hidden="1" localSheetId="0" name="_xlnm._FilterDatabase">'IN CONSTRUCTION'!$A$1:$G$1283</definedName>
    <definedName hidden="1" localSheetId="2" name="_xlnm._FilterDatabase">'Master Sheet'!$G$1375</definedName>
    <definedName hidden="1" localSheetId="10" name="_xlnm._FilterDatabase">AGE_DESIGNATION!$A$1:$F$421</definedName>
    <definedName hidden="1" localSheetId="16" name="_xlnm._FilterDatabase">'Rules Flat Parameters'!$A$4:$K$39</definedName>
    <definedName hidden="1" localSheetId="17" name="_xlnm._FilterDatabase">'(STM) Effective 04.29.22'!$E$38</definedName>
    <definedName hidden="1" localSheetId="18" name="_xlnm._FilterDatabase">'PROVIDER_MATCHING OPTIONS'!$A$2:$C$2</definedName>
  </definedNames>
  <calcPr/>
</workbook>
</file>

<file path=xl/sharedStrings.xml><?xml version="1.0" encoding="utf-8"?>
<sst xmlns="http://schemas.openxmlformats.org/spreadsheetml/2006/main" count="31622" uniqueCount="5752">
  <si>
    <t>STM PATTERN #</t>
  </si>
  <si>
    <t>DEFAULT PATTERN #</t>
  </si>
  <si>
    <t>EDIT_TYPE</t>
  </si>
  <si>
    <t>Pattern Description</t>
  </si>
  <si>
    <t>Expected Auditing Outcome</t>
  </si>
  <si>
    <t>Character Count</t>
  </si>
  <si>
    <t>Revised Date</t>
  </si>
  <si>
    <t>SINGLE_LINE</t>
  </si>
  <si>
    <t>PROC denial due to NOT PRESENT DX</t>
  </si>
  <si>
    <t>Deny PROC code if DX code is not present.</t>
  </si>
  <si>
    <t>PROC denial due to NOT PRESENT MOD</t>
  </si>
  <si>
    <t>Deny PROC code if MOD is not present.</t>
  </si>
  <si>
    <t>PROC denial due to NOT PRESENT REV (OUTPAT_FAC)</t>
  </si>
  <si>
    <t>Deny PROC code if revenue code is not present.</t>
  </si>
  <si>
    <t>PROC denial due to NOT PRESENT POS</t>
  </si>
  <si>
    <t>Deny PROC code if POS is not present.</t>
  </si>
  <si>
    <t>PROC denial due to PRESENT AGE</t>
  </si>
  <si>
    <t>Deny if patient age is met.</t>
  </si>
  <si>
    <t>PROC denial due to NOT PRESENT DX and-or NOT PRESENT MOD</t>
  </si>
  <si>
    <t>Deny if DX code is not present and MOD is not present.</t>
  </si>
  <si>
    <t>WITH_SUPPORT</t>
  </si>
  <si>
    <t>PROC denial due to PRESENT OTHER PROC (2-KEY D-S; SAME DOS; XPROV)</t>
  </si>
  <si>
    <t xml:space="preserve">Deny PROC code if present on the same DOS as the support code by any PROV. </t>
  </si>
  <si>
    <t>PROC denial due to PRESENT NON-COVERED PROC</t>
  </si>
  <si>
    <t>Deny PROC code when present.</t>
  </si>
  <si>
    <t>PROC denial due to NOT PRESENT DX and-or NOT PRESENT REV (OUTPAT_FAC)</t>
  </si>
  <si>
    <t>Deny PROC code if DX code is not present and the revenue code is not present.</t>
  </si>
  <si>
    <t>WITHOUT_SUPPORT</t>
  </si>
  <si>
    <t>PROC denial due to NOT PRESENT OTHER PROC (1-KEY D-S; SAME DOS; XPROV)</t>
  </si>
  <si>
    <t>Deny PROC code if support code is not present on the same DOS by any PROV.</t>
  </si>
  <si>
    <t>PROC denial due to PRESENT DX</t>
  </si>
  <si>
    <t>Deny PROC code if DX code is present.</t>
  </si>
  <si>
    <t>PROC denial due to PRESENT POS</t>
  </si>
  <si>
    <t>Deny PROC code if POS is present.</t>
  </si>
  <si>
    <t>FREQ</t>
  </si>
  <si>
    <t>INDIVIDUAL PROC denial due to FREQ - Line Quantity (DAYS_RANGE; INCL SAME DOS; XPROV)(QTY=1 and ADD LINE=N)</t>
  </si>
  <si>
    <t>Deny if PROC code qty exceeds the max allowed limit within the given days range (including the same DOS) by any PROV.</t>
  </si>
  <si>
    <t>PROC denial due to PRESENT MOD</t>
  </si>
  <si>
    <t>Deny PROC code if MOD is present.</t>
  </si>
  <si>
    <t>PROC denial due to PRESENT OTHER PROC (1-KEY D-S; CALENDAR_MONTH; INCL SAME DOS; XPROV)</t>
  </si>
  <si>
    <t xml:space="preserve">Deny PROC code if present within the same calendar month as the support code (including the same DOS) by any PROV. </t>
  </si>
  <si>
    <t>COMBO</t>
  </si>
  <si>
    <t xml:space="preserve">COMBINATION (Patterns 13 + 19) </t>
  </si>
  <si>
    <t>Each policy should have the expected auditing outcome connected to the indivual pattern identified for that policy.</t>
  </si>
  <si>
    <t xml:space="preserve">COMBINATION (Patterns 20 + 25) </t>
  </si>
  <si>
    <t xml:space="preserve">COMBINATION (Patterns 21  + 13) </t>
  </si>
  <si>
    <t>INDIVIDUAL PROC denial due to FREQ - Line Quantity (SAME DOS; XPROV)(QTY=1 and ADD LINE=N)</t>
  </si>
  <si>
    <t>Deny PROC code if qty exceeds the max allowed limit on the same DOS by any PROV.</t>
  </si>
  <si>
    <t>INDIVIDUAL PROC denial due to FREQ - Line Quantity (SAME DOS; SAME PROV)(QTY=1 and ADD LINE=N)</t>
  </si>
  <si>
    <t xml:space="preserve">Deny PROC code if qty exceeds the max allowed limit on the same day by the same PROV. </t>
  </si>
  <si>
    <t>PROC denial due to NOT PRESENT GENDER M</t>
  </si>
  <si>
    <t>Deny PROC code when specific gender value is not present.</t>
  </si>
  <si>
    <t>PROC denial due to NOT PRESENT MOD1, AND/OR NOT PRESENT MOD2</t>
  </si>
  <si>
    <t>Deny PROC code if two distinct MODs are not present on any of the MOD positions.</t>
  </si>
  <si>
    <t xml:space="preserve">PROC GROUP denial due to FREQ - Line Quantity (DAYS_RANGE, INCL SAME DOS; XPROV)(QTY&gt;1 and ADD LINE=N) </t>
  </si>
  <si>
    <t>Deny the PROC codes in the same subgroup, in any combination, when qty exceeds the max allowed limit within the days range (including the same DOS) by any PROV.</t>
  </si>
  <si>
    <t>PROC denial due to NOT PRESENT Claim_PrincipalDiag and-or NOT PRESENT BILL TYPE (ALL_FAC)</t>
  </si>
  <si>
    <t xml:space="preserve">Deny PROC code if Claim Principal DX is not present or if correct bill type is not present. </t>
  </si>
  <si>
    <t>INDIVIDUAL PROC denial due to FREQ - Line Quantity (DAYS_RANGE; INCL SAME DOS; SAME PROV)(QTY&gt;1 and ADD LINE=N)</t>
  </si>
  <si>
    <t xml:space="preserve">Deny PROC code if qty exceeds the max allowed limit within the given days range (including the same DOS) by the same PROV. </t>
  </si>
  <si>
    <t>PROC denial due to PRESENT AGE with DENY INCL DIAG</t>
  </si>
  <si>
    <t xml:space="preserve">Deny PROC code if age criteria is met and DX is present. </t>
  </si>
  <si>
    <t>INDIVIDUAL PROC denial due to FREQ with D-S INCL DIAG - Line Quantity (DAYS_RANGE; INCL SAME DOS; XPROV)(QTY=1 and ADD LINE=N)</t>
  </si>
  <si>
    <t>Deny PROC code if qty exceeds the max allowed limit within the given days range (including the same DOS) by any PROV and DX is present on deny line</t>
  </si>
  <si>
    <t xml:space="preserve">COMBINATION (Patterns 26 + 27) </t>
  </si>
  <si>
    <t>INDIVIDUAL PROC denial due to FREQ - Line Quantity (DAYS_RANGE; INCL SAME DOS; XPROV)(QTY&gt;1 and ADD LINE=N)</t>
  </si>
  <si>
    <t>Deny PROC code if qty exceeds the max allowed limit within the given days range (including the same DOS) by any PROV.</t>
  </si>
  <si>
    <t xml:space="preserve">COMBINATION (Patterns 5 + 29) </t>
  </si>
  <si>
    <t>PROC denial due to PRESENT AGE with INCL MOD</t>
  </si>
  <si>
    <t xml:space="preserve">Deny PROC code if age criteria is met and MOD is present. </t>
  </si>
  <si>
    <t>INDIVIDUAL PROC denial due to FREQ with D-S MOD INCL - Line Quantity (DAYS_RANGE; INCL SAME DOS; XPROV)(QTY=1 and ADD LINE=N)</t>
  </si>
  <si>
    <t xml:space="preserve">Deny PROC code if qty exceeds the max allowed limit within the given days range (including the same DOS) by any PROV and MOD is present on deny line. </t>
  </si>
  <si>
    <t xml:space="preserve">COMBINATION (Patterns 31 + 32) </t>
  </si>
  <si>
    <t>PROC denial due to PRESENT OTHER PROC with SUPPORT EXCL MOD (1-KEY D-S; SAME DOS; XPROV)</t>
  </si>
  <si>
    <t>Deny PROC code when support code is present on the same day by any PROV and MOD is NOT PRESENT on support line</t>
  </si>
  <si>
    <t>PROC denial due to PRESENT OTHER PROC with SUPPORT MOD INCL (1-KEY ; SAME DOS; XPROV)</t>
  </si>
  <si>
    <t>Deny PROC code when support code is present on the same day by any PROV and MOD is present on support line.</t>
  </si>
  <si>
    <t xml:space="preserve">COMBINATION (Patterns 35 + 29) </t>
  </si>
  <si>
    <t>PROC denial due to Line_Quantity &gt;1, AND/OR NOT PRESENT MOD</t>
  </si>
  <si>
    <t>Deny if PROC codes's single line qty is greater than 1 or correct MOD is not present.</t>
  </si>
  <si>
    <t>PROC GROUP denial due to FREQ - Line Quantity (SAME DOS; SAME PROV)(QTY=1 and ADD LINE=N)</t>
  </si>
  <si>
    <t xml:space="preserve">Deny the PROC codes in the same subgroup, in any combination, when qty exceeds the max allowed limit on the same day by the same PROV. </t>
  </si>
  <si>
    <t xml:space="preserve">COMBINATION (Patterns 14 + 38) </t>
  </si>
  <si>
    <t>PROC denial due to PRESENT DX or ALL DX NULL</t>
  </si>
  <si>
    <t>Deny PROC code if DX is present or all DX fields NULL.</t>
  </si>
  <si>
    <t xml:space="preserve">COMBINATION (Patterns 40 + 1) </t>
  </si>
  <si>
    <t>PROC denial due to PRESENT OTHER PROC (1-KEY D-S; SAME DOS; XPROV)</t>
  </si>
  <si>
    <t>Deny PROC code if present on the same DOS as the support code, by any PROV.</t>
  </si>
  <si>
    <t>PROC GROUP denial due to FREQ - Line Quantity (DAYS_RANGE, INCL SAME DOS; XPROV)(QTY=1 and ADD LINE=N)</t>
  </si>
  <si>
    <t>Deny PROC codes in the same subgroup, in any combination, when qty exceeds the max allowed limit within the given days range (including the same DOS) by any PROV.</t>
  </si>
  <si>
    <t>COMBINATION (Patterns 42 + 43)</t>
  </si>
  <si>
    <t>COMBINATION (Patterns 1 + 10 + 13)</t>
  </si>
  <si>
    <t>COMBINATION (Patterns 1 + 43)</t>
  </si>
  <si>
    <t>PROC GROUP denial due to FREQ with D-S EXCL MOD- Line Quantity (SAME DOS; SAME PROV)(QTY&gt;1 and ADD LINE=N)</t>
  </si>
  <si>
    <t xml:space="preserve">Deny PROC codes in the same subgroup, in any combination, when qty exceeds the max allowed on the same DOS by the same PROV and specified MOD is not found on deny or support . </t>
  </si>
  <si>
    <t>COMBINATION (Patterns 42 + 47)</t>
  </si>
  <si>
    <t>PROC denial due to NOT PRESENT OTHER PROC (1-KEY D-S; DAYS; INCL SAME DOS; XPROV)</t>
  </si>
  <si>
    <t xml:space="preserve">Deny PROC code if support code is NOT PRESENT within the given days BEFORE the deny line (including the same DOS) by any PROV. </t>
  </si>
  <si>
    <t>INDIVIDUAL PROC denial due to FREQ - Line Quantity (SAME DOS; SAME NPI)(QTY&gt;1 and ADD LINE=N)</t>
  </si>
  <si>
    <t xml:space="preserve">Deny PROC code if qty exceeds the max allowed limit on the same day by the same NPI. </t>
  </si>
  <si>
    <t>COMBINATION (Patterns 1 + 50)</t>
  </si>
  <si>
    <t xml:space="preserve">COMBINATION (Patterns 5 + 19) </t>
  </si>
  <si>
    <t xml:space="preserve">COMBINATION (Patterns 40 + 6) </t>
  </si>
  <si>
    <t xml:space="preserve">INDIVIDUAL PROC denial due to FREQ with D-S INCL DIAG - Line Quantity (DAYS_RANGE; INCL SAME DOS; SAME PROV)(QTY&gt;1 and ADD LINE=N) </t>
  </si>
  <si>
    <t>Deny PROC code if qty exceeds the max allowed limit within the given days range (including the same DOS) by any PROV and DX present on deny line.</t>
  </si>
  <si>
    <t>COMBINATION (Patterns 1 + 54 + 23)</t>
  </si>
  <si>
    <t>COMBINATION (Patterns 5 + 6)</t>
  </si>
  <si>
    <t>COMBINATION (Patterns 2 + 29)</t>
  </si>
  <si>
    <t>PROC denial due to PRESENT OTHER PROC (1-KEY D-S; SAME DOS; SAME PROV)</t>
  </si>
  <si>
    <t>Deny PROC code if present on the same DOS as the support code, by the same PROV.</t>
  </si>
  <si>
    <t>COMBINATION (Patterns 2 + 15 + 13)</t>
  </si>
  <si>
    <t>COMBINATION (Patterns 6 + 13)</t>
  </si>
  <si>
    <t>COMBINATION (Patterns 1 + 13)</t>
  </si>
  <si>
    <t>INDIVIDUAL PROC denial due to FREQ - Line Quantity (CALENDAR_YEAR; INCL SAME DOS; XPROV)(QTY&gt;1 and ADD LINE=N)</t>
  </si>
  <si>
    <t xml:space="preserve">Deny PROC code if qty exceeds the max allowed limit within a calendar year by any PROV. </t>
  </si>
  <si>
    <t>INDIVIDUAL PROC denial due to FREQ - Line Quantity (CALENDAR_YEAR; INCL SAME DOS; XPROV)(QTY=1 and ADD LINE=N)</t>
  </si>
  <si>
    <t>PROC GROUP denial due to FREQ - Line Quantity (DAYS_RANGE, INCL SAME DOS; SAME NPI)(QTY=1 and ADD LINE=N)</t>
  </si>
  <si>
    <t xml:space="preserve">Deny the PROC codes in the same subgroup, in any combination, when qty exceeds the max allowed limit within the given days range (including the same DOS) by the same NPI. </t>
  </si>
  <si>
    <t>COMBINATION (Patterns 22 + 15 + 29)</t>
  </si>
  <si>
    <t>COMBINATION (Patterns 22 + 29)</t>
  </si>
  <si>
    <t>PROC denial due to PRESENT OTHER PROC (1-KEY D-S; DAYS; INCL SAME DOS; XPROV)</t>
  </si>
  <si>
    <t>Deny PROC code if support code is present within given days BEFORE the deny line, including the same DOS, by any PROV.</t>
  </si>
  <si>
    <t>INDIVIDUAL PROC denial due to FREQ - Line Quantity (CALENDAR_MONTH; INCL SAME DOS; XPROV)(QTY=1 and ADD LINE=N)</t>
  </si>
  <si>
    <t xml:space="preserve">Deny if individual PROC code qty exceeds the max allowed limit within a calendar month by any PROV. </t>
  </si>
  <si>
    <t>PROC GROUP denial due to FREQ - Line Quantity (CALENDAR_MONTH; INCL SAME DOS; XPROV)(QTY=1 and ADD LINE=N)</t>
  </si>
  <si>
    <t xml:space="preserve">Deny the PROC codes in the same subgroup, in any combination, when qty exceeds the max allowed limit within the a calendar month (including the same DOS) by any PROV. </t>
  </si>
  <si>
    <t>PROC denial due to PRESENT OTHER PROC (1-KEY D-S; DAYS RANGE;INCL SAME DOS, SAME PROV)</t>
  </si>
  <si>
    <t xml:space="preserve">Deny PROC code if present within the given days range as the support code, by the same PROV. </t>
  </si>
  <si>
    <t>PROC denial due to PRESENT OTHER PROC with SUPPORT MOD EXCL (1-KEY D-S; SAME DOS; SAME NPI)</t>
  </si>
  <si>
    <t xml:space="preserve">Deny PROC code if present on the same day as the support code when MOD is present on support code, and PROC codes are billed by the same NPI. </t>
  </si>
  <si>
    <t>PROC denial due to NOT PRESENT OTHER PROC (1-KEY D-S; SAME DOS; SAME NPI)</t>
  </si>
  <si>
    <t xml:space="preserve">Deny PROC code when support code is not present on the same DOS by the same NPI. </t>
  </si>
  <si>
    <t>PROC GROUP denial due to FREQ – Line Quantity (SAME DOS, XPROV)(QTY=1 and ADD LINE=N)</t>
  </si>
  <si>
    <t xml:space="preserve">Deny PROC codes in the same subgroup, in any combination, when qty exceeds 1 per day by any PROV. </t>
  </si>
  <si>
    <t>INDIVIDUAL PROC denial due to FREQ  - Line Quantity (SAME DOS; XPROV)(QTY&gt;1 and ADD LINE=N)</t>
  </si>
  <si>
    <t>Deny if PROC code qty exceeds the max allowed limit on the same day by any PROV.</t>
  </si>
  <si>
    <t>PROC denial due to PRESENT OTHER PROC with SUPPORT DIAG INCL (1-KEY D-S; SAME DOS; XPROV) INPAT_FAC</t>
  </si>
  <si>
    <t>Deny PROC code if support code is present on the same day by any provider, when DX code is present on support line.</t>
  </si>
  <si>
    <t>PROC denial due to PRESENT OTHER PROC with POS INCL (1-KEY D-S; SAME DOS; XPROV)</t>
  </si>
  <si>
    <t>Deny PROC code if present on the same day as the support code and POS present on both deny and support line.</t>
  </si>
  <si>
    <t>INDIVIDUAL PROC denial due to FREQ  - Line Quantity with INCL AGE (SAME DOS; XPROV)(QTY=1 and ADD LINE=N)</t>
  </si>
  <si>
    <t xml:space="preserve">Deny if member age is met and individual PROC code qty exceeds 1 per day across PROVs. </t>
  </si>
  <si>
    <t>PROC denial due to NOT PRESENT MOD and-or NOT PRESENT REV CODE </t>
  </si>
  <si>
    <t xml:space="preserve">Deny PROC code if correct MOD and revenue code are not present. </t>
  </si>
  <si>
    <t>PROC denial due to PRESENT PROV SPEC</t>
  </si>
  <si>
    <t>Deny PROC code if PROV SPEC is present</t>
  </si>
  <si>
    <t xml:space="preserve">INDIVIDUAL PROC denial due to FREQ with INCL AGE - Line Quantity (CALENDAR_YEAR; INCL SAME DOS; XPROV)(QTY=1 and ADD LINE=N) </t>
  </si>
  <si>
    <t xml:space="preserve">Deny if member age is met and individual PROC code qty exceeds 1 per calendar year across PROVs. </t>
  </si>
  <si>
    <t>PROC denial due to INCL AGE with NOT PRESENT DX</t>
  </si>
  <si>
    <t xml:space="preserve">Deny PROC code if patient's age is met and DX code is not present. </t>
  </si>
  <si>
    <t>PROC denial due to NOT PRESENT Prov Spec with INCL MOD</t>
  </si>
  <si>
    <t xml:space="preserve">Deny PROC code if PROV SPEC is present and  MOD is present. </t>
  </si>
  <si>
    <t>PROC denial due to Line_Quantity that IS_NULL</t>
  </si>
  <si>
    <t>Deny PROC code if line qty is NULL</t>
  </si>
  <si>
    <t xml:space="preserve">PROC denial due to NOT PRESENT DX1 AND NOT PRESENT DX2 or Proc denial due to NOT PRESENT DX3. </t>
  </si>
  <si>
    <t xml:space="preserve">Deny PROC code if  DX is not present, or deny PROC code if DX is not present and a different distinct DX is not present on the same line. </t>
  </si>
  <si>
    <t>DX denial due to PRESENT POS</t>
  </si>
  <si>
    <t xml:space="preserve">Deny DX code if POS is present. </t>
  </si>
  <si>
    <t>PROC denial due to Prov Spec NOT PRESENT</t>
  </si>
  <si>
    <t>Deny PROC code if PROV SPEC is not present.</t>
  </si>
  <si>
    <t>PROC denial due to NOT PRESENT MOD with INCL DX</t>
  </si>
  <si>
    <t xml:space="preserve">Deny PROC code if MOD is not present and DX code is present. </t>
  </si>
  <si>
    <t>COMBINATION (Patterns 5 + 86)</t>
  </si>
  <si>
    <t>PROC denial due to PRESENT OTHER PROC with INCL AGE (1-KEY D-S; SAME DOS; SAME PROV)</t>
  </si>
  <si>
    <t xml:space="preserve">Deny PROC code when member age is met and support PROC code is present on the same day by the same PROV. </t>
  </si>
  <si>
    <t>PROC denial due to AGE (Facility)</t>
  </si>
  <si>
    <t xml:space="preserve">Deny PROC code when member age is met. </t>
  </si>
  <si>
    <t>PROC denial due to NOT PRESENT DX (Facility)</t>
  </si>
  <si>
    <t xml:space="preserve">Deny PROC code if DX code not present. </t>
  </si>
  <si>
    <t>INDIVIDUAL PROC denial due to FREQ with INCL ANY MOD - Line Quantity (SAME DOS; SAME PROV)(QTY=1 and ADD LINE=N)</t>
  </si>
  <si>
    <t xml:space="preserve">Deny if individual PROC code qty exceeds the max allowed limit on the same day and if  any MOD is present by the same PROV. </t>
  </si>
  <si>
    <t>PROC denial due to NOT PRESENT DX and-or NOT PRESENT GENDER</t>
  </si>
  <si>
    <t xml:space="preserve">Deny PROC code if DX code is not preset and/or gender is not present. </t>
  </si>
  <si>
    <t>INDIVIDUAL PROC denial due to FREQ with D-S EXCL MOD- Line Quantity (DAYS_RANGE; INCL SAME DAY; XPROV)(QTY&gt;1 and ADD LINE=N)</t>
  </si>
  <si>
    <t xml:space="preserve">Deny if individual PROC code qty exceeds the max allowed limit within the given days range and MOD is not present on either the support or current line by any PROV. </t>
  </si>
  <si>
    <t>INDIVIDUAL PROC denial due to FREQ with INCL ALL MOD LINES NULL - Line Quantity (SAME DOS; XPROV)(QTY=1 and ADD LINE=N)</t>
  </si>
  <si>
    <t xml:space="preserve">Deny if individual PROC code if qty exceeds the max allowed limit on the same day and any MODs are present by any PROV. </t>
  </si>
  <si>
    <t>INDIVIDUAL PROC denial due to FREQ with DENY LINE EXCL MOD- Line Quantity (SAME DOS; XPROV)(QTY=1 and ADD LINE=N)</t>
  </si>
  <si>
    <t xml:space="preserve">Deny if individual PROC code if qty exceeds the 1 per day limit by any PROV and the MOD is not present on the deny line. </t>
  </si>
  <si>
    <t>Deny individual PROC code if qty exceeds the max allowed limit within the given days range (including same DOS) by any PROV and MOD is present on current and support .</t>
  </si>
  <si>
    <t>INDIVIDUAL PROC denial due to FREQ with D-S INCL MOD - Line_Quantity (SAME DOS; XPROV) (QTY=1 and ADD LINE=N)</t>
  </si>
  <si>
    <t>Deny individual PROC code if qty exceeds 1 per day  limit by any PROV and  MOD is present on current and support .</t>
  </si>
  <si>
    <t>PROC denial due to NOT PRESENT POS and/or NOT PRESENT GENDER</t>
  </si>
  <si>
    <t xml:space="preserve">Deny PROC code if POS and gender are not present. </t>
  </si>
  <si>
    <t>PROC denial due to NOT PRESENT POS with INCL AGE</t>
  </si>
  <si>
    <t xml:space="preserve">Deny PROC code when member age is met and POS is not present. </t>
  </si>
  <si>
    <t>PROC denial due to NOT PRESENT POS with INCL MOD</t>
  </si>
  <si>
    <t xml:space="preserve">Deny PROC code when MOD is present and POS is not present. </t>
  </si>
  <si>
    <t>PROC denial due to PRESENT OTHER PROC (1-KEY D-S; DAYS RANGE; INCL SAME DOS, SAME PROV_FTIN)</t>
  </si>
  <si>
    <t xml:space="preserve">Deny PROC code if present within a given days range as the support code, by the same FTIN. </t>
  </si>
  <si>
    <t>PROC GROUP denial due to FREQ - Line Quantity (DAYS_RANGE, INCL SAME DOS; SAME PROV_FTIN)(QTY=1 and ADD LINE=N)</t>
  </si>
  <si>
    <t xml:space="preserve">Deny the PROC codes in the same subgroup, in any combination, when qty exceeds the max allowed limit within the days range (including the same DOS) by PROV with the same FTIN. </t>
  </si>
  <si>
    <t>PROC denial due to INCL PRESENT POS and NOT PRESENT MODIFIER</t>
  </si>
  <si>
    <t xml:space="preserve">Deny PROC code when POS is present and MOD is not present. </t>
  </si>
  <si>
    <t>PROC denial due to NOT PRESENT OTHER PROC (1-KEY D-S; SAME DOS; XPROV) with INCL AGE</t>
  </si>
  <si>
    <t>Deny PROC code when the support code is not present on the same DOS by any PROV and member age is met.</t>
  </si>
  <si>
    <t>PROC denial due to Line_Quantity Less Than 2 or NULL</t>
  </si>
  <si>
    <t xml:space="preserve">Deny PROC code when the line QTY is less than 2 or is NULL. </t>
  </si>
  <si>
    <t>PROC GROUP denial due to FREQ - Line Quantity (DAYS_RANGE INCL SAME DOS; SAME PROV)(QTY &gt; 1 and ADD LINE=N</t>
  </si>
  <si>
    <t xml:space="preserve">Deny the PROC codes in the same subgroup, in any combination, when QTY exceeds the maximum allowed within the days range (including the same DOS) by the same PROV. </t>
  </si>
  <si>
    <t>INDIVIDUAL PROC denial due to FREQ - Line Quantity (DAYS_RANGE; INCL SAME DOS; SAME PROV)(QTY of 1 and ADDLINE=N</t>
  </si>
  <si>
    <t xml:space="preserve">Deny if individual PROC code QTY exceeds the maximum allowed within the days range (including the same DOS) by the same PROV. </t>
  </si>
  <si>
    <t>PROC denial due to PRESENT MOD, OR LineQuantity&gt;1</t>
  </si>
  <si>
    <t xml:space="preserve">Deny PROC code when MOD is present or when line QTY is greater than 1. </t>
  </si>
  <si>
    <t>PROC GROUP denial with INCL AGE due to FREQ - Line Quantity (DAYS_RANGE, INCL SAME DOS; SAME PROV (QTY = 1 and ADD LINE=N)</t>
  </si>
  <si>
    <t xml:space="preserve">Deny the PROC codes in the same subgroup, in any combination, when member age is met, and the QTY exceeds the MAX allowed within the days range (including the same DOS) by the same PROV. </t>
  </si>
  <si>
    <t>PROC denial due to PRESENT OTHER PROC with INCL AGE (1-KEY D-S; DAYS_RANGE INCLUDE SAME DOS; SAME PROV)</t>
  </si>
  <si>
    <t xml:space="preserve">Deny PROC code when member age is met and the support code is present within the days range (including the same DOS) by the same PROV. </t>
  </si>
  <si>
    <t>PROC denial due to NOT PRESENT MOD and NOT PRESENT POS with INCL Modifier</t>
  </si>
  <si>
    <t xml:space="preserve">Deny PROC code when MOD is present and a different MOD is not present and the correct POS is not present. </t>
  </si>
  <si>
    <t>PROC GROUP denial due to FREQ with D-S INCL MOD1 and INCL MOD2 - Line Quantity (SAME DOS; XPROV)(QTY=1 and ADD LINE=N)</t>
  </si>
  <si>
    <t xml:space="preserve">Deny PROC codes in the same subgroup, in any combination, when QTY exceeds the MAX limit on the same day by any PROV, and MOD on both categories are present on any MOD line for current and support. </t>
  </si>
  <si>
    <t>PROC denial due to PRESENT OTHER PROC with D-S INCL MOD (1-KEY D-S; SAME DOS; XPROV)</t>
  </si>
  <si>
    <t>Deny PROC code when the support code is present on the same DOS by any PROV and the MOD is present on both the deny and support.</t>
  </si>
  <si>
    <t>PROC denial due to PRESENT OTHER PROC with (1-KEY D-S; DAYS_RANGE; INCLUDE SAME DOS; XPROV)</t>
  </si>
  <si>
    <t xml:space="preserve">Deny PROC code if submitted within the given days range as the support code, by any PROV. </t>
  </si>
  <si>
    <t>INDIVIDUAL PROC denial due to FREQ with D-S INCL MOD - Line_Quantity (SAME DOS; XPROV)(QTY &gt;1, ADD LINE=N)</t>
  </si>
  <si>
    <t>Deny PROC code if QTY exceeds the max allowed limit on the same day by any provider, when MOD is present.</t>
  </si>
  <si>
    <t>PROC denial due to PRESENT OTHER PROC with DENY LINE POS INCL and SUPPORT MOD EXCL (1-KEY D-S;SAME DOS; XPROV)</t>
  </si>
  <si>
    <t>Deny PROC code if support code is present on the same day by any prov, with POS present on deny line and MOD not present on support line.</t>
  </si>
  <si>
    <t>Proc GROUP denial due to FREQ - Line Quantity (SAME DOS; XPROV) (QTY&gt;1 and ADD LINE =N)</t>
  </si>
  <si>
    <t xml:space="preserve">Deny the PROC codes in the same subgroup, in any combination, when QTY exceeds the maximum allowed on the same day by any PROV. </t>
  </si>
  <si>
    <t>PROC GROUP denial due with INCL POS and INCL AGE to FREQ - Line Quantity (SAME DOS; XPROV) (QTY&gt;1 and ADD LINE =N)</t>
  </si>
  <si>
    <t xml:space="preserve">Deny the PROC codes in the same subgroup, in any combination, when member age is met, and the QTY exceeds the MAX allowed within the days range (including the same DOS) by any PROV. </t>
  </si>
  <si>
    <t>PROC denial due to PRESENT NON-COVERED PROC (FAC)</t>
  </si>
  <si>
    <t xml:space="preserve">Deny PROC as non-covered. </t>
  </si>
  <si>
    <t>DX denial due to PRESENT BILL TYPE</t>
  </si>
  <si>
    <t xml:space="preserve">Deny DX code due to present bill type. </t>
  </si>
  <si>
    <t xml:space="preserve">PROC denial due to PRESENT DX (FAC) </t>
  </si>
  <si>
    <t xml:space="preserve">Deny PROC code due to non-covered DX. </t>
  </si>
  <si>
    <t>PROC denial due to NOT PRESENT MOD (FAC)</t>
  </si>
  <si>
    <t xml:space="preserve">Deny PROC code due to not present MOD. </t>
  </si>
  <si>
    <t>PROC denial due to PRESENT POS with INCL MOD</t>
  </si>
  <si>
    <t xml:space="preserve">Deny PROC code due to present POS and present MOD. </t>
  </si>
  <si>
    <t>PROC denial due to PRESENT OTHER PROC with deny line INCL PROV SPEC (1-KEY D-S;XPROV; SAME DOS)</t>
  </si>
  <si>
    <t xml:space="preserve">Deny PROC when billed with support code on the same day by any PROV when PROV SPEC is present on deny line. </t>
  </si>
  <si>
    <t>PROC denial due to NOT PRESENT MOD and INCL MOD</t>
  </si>
  <si>
    <t xml:space="preserve">Deny PROC code when MOD is present due to a different MOD not being present. </t>
  </si>
  <si>
    <t>PROC GROUP denial due to FREQ - Line Quantity (DAYS_RANGE; INCL SAME DOS; XPROV)(QTY = 1 and ADDLINE=N) INCL AGE</t>
  </si>
  <si>
    <t>Deny the PROC codes in the same subgroup, in any combination, when member age is met and the QTY exceeds the MAX allowed within the days range (including the same DOS) by any PROV.</t>
  </si>
  <si>
    <t>PROC denial due to NOT PRESENT OTHER PROC with D-S INCL PROV SPEC (1-KEY D-S; SAME DOS; XPROV)</t>
  </si>
  <si>
    <t xml:space="preserve">Deny prcoedure code if support code is NOT PRESENT on the same day across any PROV when PROV SPEC is present on deny and support . </t>
  </si>
  <si>
    <t>INDIVIDUAL PROC denial due to FREQ - Line Quantity (Same DOS; SAME PROV) (QTY &gt; 1; ADDLINE = N) D-S INCL MOD</t>
  </si>
  <si>
    <t xml:space="preserve">Deny individual PROC code when the QTY exceeds the maximum allowed per day by the same PROV and the MOD is present on both deny and support . </t>
  </si>
  <si>
    <t xml:space="preserve">INDIVIDUAL PROC denial due to FREQ with D-S INCL DIAG - Line Quantity (DAYS_RANGE; INCL SAME DOS; XPROV)(QTY&gt;1 and ADD LINE=N) </t>
  </si>
  <si>
    <t xml:space="preserve">Deny individual PROC code when the QTY exceeds the MAX allowed within the days range (including the same DOS) by any PROV and the DX code is present on both deny and support . </t>
  </si>
  <si>
    <t>PROC denial due to INCL REV and PRESENT PROV SPEC</t>
  </si>
  <si>
    <t xml:space="preserve">Deny PROC code when revenue code is present and PROV SPEC is present. </t>
  </si>
  <si>
    <t>PROC GROUP denial with INCL REV due to FREQ - Line Quantity (DAYS_RANGE, INCL SAME DOS; XPROV) (QTY 1 and ADDLINE=N)</t>
  </si>
  <si>
    <t>Deny PROC codes in same subgroup, any combination, and the QTY exceeds the MAX limit within the days range (including the same DOS) by any PROV and REV code are present on both deny and support line.</t>
  </si>
  <si>
    <t>PROC denial due to PRESENT OTHER PROC (1-KEY D-S; SAME DOS; XPROV) with INCL DENY LINE REV</t>
  </si>
  <si>
    <t>Deny PROC code if support code is present on the same day across any PROV, revenue code is present on deny line.</t>
  </si>
  <si>
    <t>INDIVIDUAL PROC denial due to FREQ - Line Quantity (DAYS_RANGE; INCL SAME DOS; XPROV)) (QTY=1 and ADD LINE=N)</t>
  </si>
  <si>
    <t xml:space="preserve">Deny indivudual PROC code if QTY exceeds the allowed amount within a days range (including the same DOS) by any PROV. </t>
  </si>
  <si>
    <t>Proc GROUP denial due to FREQ Line Quantity (DAYS_RANGE, INCL SAME DOS; SAME PROV)(QTY = 1 and ADD LINE=N)</t>
  </si>
  <si>
    <t xml:space="preserve">Deny the PROC codes in the same subgroup, in any combination, when  the QTY exceeds the maximum allowed within the days range (including the same DOS) by the same PROV. </t>
  </si>
  <si>
    <t>PROC denial due to NOT PRESENT DX with INCL MOD</t>
  </si>
  <si>
    <t>Deny PROC code when MOD is present and DX is not present</t>
  </si>
  <si>
    <t>PROC GROUP denial due to FREQ - Line Quantity (INCL SAME DOS; SAME PROV)(QTY1 and ADD LINE=N) with INCL MOD</t>
  </si>
  <si>
    <t xml:space="preserve">Deny the PROC codes in the same subgroup, in any combination, when  the QTY exceeds 1 per day by the same PROV and the MOD in the category is present on the deny line. </t>
  </si>
  <si>
    <t>PROC denial due to NOT PRESENT OTHER PROC (2-KEY D-S; SAME DOS, SAME PROV)</t>
  </si>
  <si>
    <t>Deny PROC code if support code is not present on the same DOS by the same PROV.</t>
  </si>
  <si>
    <t xml:space="preserve">PROC GROUP denial due to FREQ with C- EXCL MOD- Line_Quantity (SAME DOS; SAME PROV)(QTY GT1 and ADD LINE=N) </t>
  </si>
  <si>
    <t xml:space="preserve">Deny the PROC codes in the same subgroup, in any combination, when  the QTY exceeds the MAX allowed on the same day by any PROV and the MOD in the category is NOT present on the deny line. </t>
  </si>
  <si>
    <t>PROC denial due to NOT PRESENT MOD with INCL REV</t>
  </si>
  <si>
    <t xml:space="preserve">Deny PROC code when revenue code is present and both distinct MODs are not present. </t>
  </si>
  <si>
    <t>INDIVIDUAL PROC denial due to FREQ with INCL REV - Line Quantity (SAME DOS; XPROV)(QTY &gt;1 and ADD LINE=N)</t>
  </si>
  <si>
    <t>Deny individual PROC code if QTY exceeds allowed amount on the same DOS by any PROV and the revenue code in the category is present on both deny and support .</t>
  </si>
  <si>
    <t>INDIVIDUAL PROC denial due to FREQ with INCL REV - Line Quantity (DAYS_RANGE; INCL SAME DOS; XPROV)(QTY&gt;1 and ADD LINE=N)</t>
  </si>
  <si>
    <t xml:space="preserve">Deny PROC code if QTY exceeds the max allowed limit ina given days range (including he same DOS) by any provider, when REV is present. </t>
  </si>
  <si>
    <t>INDIVIDUAL PROC denial due to FREQ with DENY EXCL DIAG (DAYS_RANGE, INCL SAME DOS; SAME PROV)(QTY=1 and ADD LINE=N)</t>
  </si>
  <si>
    <t>Deny PROC code if QTY exceeds the max allowed limit in a given days range (including the same DOS) by the same provider, and diagnosis is not present in the deny line.</t>
  </si>
  <si>
    <t>INDIVIDUAL PROC denial due to FREQ with D-S EXCL MOD - Line Quantity (DAYS_RANGE; INCL SAME DOS; SAME PROV)(QTY=1 and ADD LINE=N)</t>
  </si>
  <si>
    <t>Deny PROC code if QTY exceeds the max allowed limit in a given days range (including the same DOS) by the same provider, and MOD is not present on bith deny and support lines.</t>
  </si>
  <si>
    <t>PROC denial due to PRESENT DIAG on LINE_DIAG1 or LINE_CLAIM1 with INCL MOD</t>
  </si>
  <si>
    <t xml:space="preserve">Deny PROC code when MOD and DX is present in the first position on claim header DX or line DX. </t>
  </si>
  <si>
    <t>Proc denial due to PRESENT other PROC (1-KEY D-S;SAME DOS; XPROV) with INCL Age and INCL Deny Line Mod</t>
  </si>
  <si>
    <t>Deny PROC code if support code is present on the same DOS by any PROV when the member age is met and when the MOD in the category is present on the deny line.</t>
  </si>
  <si>
    <t>PROC denial due to PRESENT OTHER PROC (1-KEY D-S; SAME DOS; XPROV)(FAC)</t>
  </si>
  <si>
    <t>Deny PROC code if support code is present on the same DOS by any PROV.</t>
  </si>
  <si>
    <t>PROC denial due to PRESENT DIAG on LINE_DIAG1 or LINE_CLAIM1</t>
  </si>
  <si>
    <t xml:space="preserve">Deny PROC code when DX is present in first position on either the claim header or line DX. </t>
  </si>
  <si>
    <t>PROC denial due to NOT PRESENT POS with INCL PROV SPEC</t>
  </si>
  <si>
    <t xml:space="preserve">Deny PROC code when PROV SPEC is present and correct POS is not present. </t>
  </si>
  <si>
    <t>PROC denial due to NOT PRESENT MOD with INCL MOD</t>
  </si>
  <si>
    <t xml:space="preserve">Deny PROC code when MOD is present and a different MOD is not present. </t>
  </si>
  <si>
    <t>INDIVIDUAL PROC denial due to FREQ with D-S INCL PROV SPEC- Line_Quantity (SAME DOS; XPROV)(QTY=1 and ADD LINE=N)</t>
  </si>
  <si>
    <t>Deny individual PROC code  if QTY exceeds allowed amount on the same DOS by any PROV and the PROV SPEC is present on both deny and support .</t>
  </si>
  <si>
    <t>PROC denial due to PRESENT OTHER PROC with DENY MOD EXCL (1-KEY D-S; SAME DOS; SAME PROV)</t>
  </si>
  <si>
    <t>Deny PROC code if support code is present on the same DOS by the same provider and the MOD in the category is not present on the deny line.</t>
  </si>
  <si>
    <t>INDIVIDUAL PROC denial due to FREQ with D-S INCL PROV SPEC - Line_Quantity (SAME DOS, XPROV)(QTY&gt;1 and ADD LINE=N)</t>
  </si>
  <si>
    <t>Deny individual PROC code if QTY exceeds allowed amount on the same DOS by any PROV and the PROV SPEC code in the category is present on both deny and support .</t>
  </si>
  <si>
    <t>INDIVIDUAL PROC denial due to FREQ - Line Quantity (SAME DOS; XPROV)(QTY =1 and ADD LINE=N)  with INCL Rev</t>
  </si>
  <si>
    <t>PROC denial due to PRESENT OTHER PROC with D-S POS INCL and SUPPORT MOD EXCL (1-KEY D-S;SAME DOS; SAME PROV)</t>
  </si>
  <si>
    <t>Deny PROC code if support code is present on the same DOS by the same PROV with POS code on both deny and support  and with MOD  not present on support line.</t>
  </si>
  <si>
    <t>PROC GROUP denial due to FREQ with D-S INCL PROV SPEC - Line Quantity (DAYS_RANGE INCL SAME DOS; XPROV)(QTY=1 and ADD LINE=N)</t>
  </si>
  <si>
    <t>Deny proc code in the same subgroup, if qty exceeds max allowed in given days range (including same DOS) by any PROV with prov spec present on both deny and support .</t>
  </si>
  <si>
    <t>PROC GROUP denial due to FREQ - Line Quantity (DAYS_RANGE, INCL SAME DOS; XPROV)(QTY&gt;1 and ADD LINE=N) with INCL MOD</t>
  </si>
  <si>
    <t>Deny the PROC codes in the same subgroup, in anycombination, when the QTY exceeds the MAX allowed in the same DOS by any PROV and with MOD in the category present on both deny and support line.</t>
  </si>
  <si>
    <t>PROC denial due to NOT PRESENT OTHER PROC (1-KEY D-S; SAME DOS; SAME PROV) with  D-S INCL MOD</t>
  </si>
  <si>
    <t>Deny PROC code if support code is not present on the same DOS by the same PROV with MOD in the   present on both deny and support .</t>
  </si>
  <si>
    <t>PROC denial due to NOT PRESENT OTHER PROC (1-KEY D-S, SAME DOS; XPROV) with INCL D-S MOD</t>
  </si>
  <si>
    <t>Deny PROC code if support code is not present on the same DOS by any PROV with MOD in the   present on both deny and support .</t>
  </si>
  <si>
    <t>PROC GROUP denial due to FREQ with D-S INCL REV - Line Quantity (DAYS_RANGE INCL SAME DOS; XPROV)(QTY&gt;1 and ADD LINE=N)(ALL_FAC)</t>
  </si>
  <si>
    <t>Deny PROC codes in the same subgroup, any combination, when QTY exceeds MAX limit within given days range (including same DOS) by any PROV and REV code is present on both deny and support line.</t>
  </si>
  <si>
    <t>PROC denial due to NOT PRESENT OTHER PROC (1-KEY D-S; DAYS_RANGE, INCL SAME DOS; XPROV) with DENY EXCL MOD</t>
  </si>
  <si>
    <t>Deny PROC code if support code is not present with the given days range (including the same DOS) by the any PROV with MOD in the   not present on deny line.</t>
  </si>
  <si>
    <t>INDIVIDUAL PROC denial due to FREQ - Line Quantity (CALENDAR_MONTH; INCL SAME DOS; XPROV)(QTY&gt;1 and ADD LINE=N)</t>
  </si>
  <si>
    <t>Deny PROC code if QTY exceeds the max allowed limit in a CALENDAR MONTH (including the same DOS) by any provider.</t>
  </si>
  <si>
    <t>PROC denial due to PRESENT AGE and PRESENT PROV SPEC</t>
  </si>
  <si>
    <t>Deny PROC code when member age is met and PROV SPEC is present.</t>
  </si>
  <si>
    <t>PROC denial due to PRESENT OTHER PROC with SUPPORT MOD INCL (1-KEY D-S; DAYS_RANGE INCL SAME DOS; XPROV)</t>
  </si>
  <si>
    <t>Deny PROC code if support code is present with the given days range (including the same DOS) by any PROV with MOD in the category present on support line.</t>
  </si>
  <si>
    <t>INDIVIDUAL PROC denial due to FREQ - Line Quantity (CALENDAR_YEAR; INCL SAME DOS; PROV_ID)(QTY=1 and ADD LINE=N)</t>
  </si>
  <si>
    <t>Deny PROC code if QTY exceeds the max allowed limit in a CALENDAR YEAR (including the same DOS) by any provider.</t>
  </si>
  <si>
    <t>PROC denial due to NOT PRESENT MOD and-or NOT PRESENT PROV SPEC</t>
  </si>
  <si>
    <t xml:space="preserve">Deny PROC code when correct MOD and PROV SPEC are not present. </t>
  </si>
  <si>
    <t>PROC denial due to NOT PRESENT PROV SPEC and-or NOT PRESENT PROV TYPE</t>
  </si>
  <si>
    <t xml:space="preserve">Deny PROC code when PROV SPEC and PROV TYPE are not present. </t>
  </si>
  <si>
    <t>INDIVIDUAL PROC denial due to FREQ with INCL D-S POS - Line Quantity (SAME DOS; XPROV)(QTY=1 and ADD LINE=N)</t>
  </si>
  <si>
    <t>Deny individual PROC code if billed on the same DOS by any PROV with POS code in the category present on both deny and support .</t>
  </si>
  <si>
    <t>PROC denial due to NOT PRESENT DX, and-or NOT PRESENT POS, and-or NOT PRESENT PROV SPEC, and-or NOT PRESENT PROV TYPE with INCL MOD</t>
  </si>
  <si>
    <t xml:space="preserve">Deny PROC code when MOD is present and correct DX, place, PROV SPEC and PROV TYPE are not present. </t>
  </si>
  <si>
    <t>PROC denial due to NOT PRESENT BILL TYPE, and-or NOT PRESENT DX, and-or NOT PRESENT REV</t>
  </si>
  <si>
    <t xml:space="preserve">Deny PROC code when correct bill type, DX, and revenue code are not present. </t>
  </si>
  <si>
    <t>PROC GROUP denial with INCL AGE due to FREQ - Line Quantity (SAME DOS; XPROV (QTY &gt;1 and ADD LINE=N)</t>
  </si>
  <si>
    <t>Deny the PROC codes in the same subgroup, in anycombination, when the QTY exceeds the maximum allowed in the same DOS by any PROV when the member age is met.</t>
  </si>
  <si>
    <t>INDIVIDUAL PROC denial due to FREQ with D-S EXCL MOD- Line Quantity (SAME DOS; SAME FTIN)(QTY&gt;1 and ADD LINE=N)</t>
  </si>
  <si>
    <t>Deny individual PROC code if QTY exceeds allowed amount on the same DOS by the same PROV FTIN with MOD in the category not present on both deny and support .</t>
  </si>
  <si>
    <t>PROC denial due to OTHER PRESENT PROC with INCL AGE, INCL DENY POS, INCL SUPPORT PROV SPEC, EXCL SUPPORT POS (1-KEY D-S; SAME DOS, XPROV)</t>
  </si>
  <si>
    <t>Deny PROC code if support code is present on same DOS by any PROV when the member age is met, POS present on deny line, PROVSPEC present on support line, and POS code not present on support line.</t>
  </si>
  <si>
    <t>TRIM TO 200 CHARACTERS</t>
  </si>
  <si>
    <t xml:space="preserve">PROC denial due to NOT PRESENT REV with INCL BILL TYPE </t>
  </si>
  <si>
    <t>Deny PROC code when bill type is present and correct revenue code is not present.</t>
  </si>
  <si>
    <t xml:space="preserve">PROC denial due to NOT PRESENT BILL TYPE and-or NOT PRESENT REV </t>
  </si>
  <si>
    <t>Deny PROC code when correct bill type and revenue code is not present</t>
  </si>
  <si>
    <t>PROC denial due to PRESENT DX and PRESENT MOD</t>
  </si>
  <si>
    <t>Deny PROC code if DX and MOD is present.</t>
  </si>
  <si>
    <t>PROC denial due to PRESENT AGE, PRESENT MOD, and PRESENT POS</t>
  </si>
  <si>
    <t>Deny PROC when member age is met, with MOD and POS is present</t>
  </si>
  <si>
    <t>PROC denial due to PRESENT AGE with INCL POS</t>
  </si>
  <si>
    <t>Deny PROC code when POS is present and member age is met.</t>
  </si>
  <si>
    <t>PROC GROUP denial due to FREQ - Line Quantity (SAME DOS; SAME PROV) (QTY&gt;1 and ADD LINE=N)</t>
  </si>
  <si>
    <t>Deny the PROC codes in the same subgroup, in anycombination, when the QTY exceeds the maximum allowed in the same DOS by the same PROV.</t>
  </si>
  <si>
    <t>PROC denial due to NOT PRESENT OTHER PROC (2-KEY D-S; DAYS; INCL SAME DOS, XPROV)</t>
  </si>
  <si>
    <t xml:space="preserve">Deny PROC code if support PROC code is not present within the same DOS by any provider. </t>
  </si>
  <si>
    <t>Deny PROC code when MOD is present and a different MOD is not present</t>
  </si>
  <si>
    <t>PROC denial due to AGE with INCL GENDER</t>
  </si>
  <si>
    <t>Deny PROC code when member age is met and gender is present</t>
  </si>
  <si>
    <t>PROV SPEC denial due to PRESENT AGE</t>
  </si>
  <si>
    <t>Deny PROV SPEC when member age is met</t>
  </si>
  <si>
    <t>INDIVIDUAL PROC denial due to FREQ  - Line Quantity with INCL AGE and INCL GENDER (DAYS_RANGE; INCL SAME DOS; XPROV)(QTY=1 and ADD LINE=N)</t>
  </si>
  <si>
    <t xml:space="preserve">Deny PROC code if QTY exceeds the max allowed limit in a given days range (incuding the same DOS) by any provider, with patient's gender present and age is met.
</t>
  </si>
  <si>
    <t>Deny PROC code if support code is not present in the same DOS by any PROV with POS code in the   present on both deny and support .</t>
  </si>
  <si>
    <t>PROC denial due to PRESENT OTHER PROC with Support Line MOD INCL (1-KEY D-S; DAYS; INCL SAME DOS; XPROV)</t>
  </si>
  <si>
    <t>Deny PROC code if support code is present in given days (including the same DOS) by any PROV with MOD in the category present on support line.</t>
  </si>
  <si>
    <t>INDIVIDUAL PROC denial due to FREQ with INCL D-S POS - Line Quantity (SAME DOS; XPROV)(QTY&gt;1 and ADD LINE=N)</t>
  </si>
  <si>
    <t>Deny individual PROC code if QTY exceeds allowed amount on the same DOS by any PROV with POS code in the category present on both deny and support .</t>
  </si>
  <si>
    <t xml:space="preserve">PROC denial due to NOT PRESENT MOD1 AND NOT PRESENT DX2 or Proc denial due to NOT PRESENT DX3. </t>
  </si>
  <si>
    <t>Deny PROC code when correct MOD and DX is not present or deny PROC code when a correct distinct DX is not present</t>
  </si>
  <si>
    <t>PROC denial due to PRESENT OTHER PROC with D-S INCL PROV SPEC (1-KEY D-S, DAYS, INCL SAME DOS, XPROV)</t>
  </si>
  <si>
    <t>Deny PROC code if support code is present in given days (including the same DOS) by any PROV with PROV SPEC code in the category present on both deny and support .</t>
  </si>
  <si>
    <t>INDIVIDUAL PROC denial due to FREQ  - Line Quantity with INCL AGE (SAME DOS; XPROV)(QTY&gt;1 and ADD LINE=N)</t>
  </si>
  <si>
    <t>Deny individual PROC code if QTY exceeds allowed amount on the same DOS by any PROV and the member age is met.</t>
  </si>
  <si>
    <t xml:space="preserve">INDIVIDUAL PROC denial due to FREQ  - Line Quantity with D-S INCL POS, D-S INCL PROV SPEC (SAME DOS;XPROV) (QTY=1 and ADD LINE=N) </t>
  </si>
  <si>
    <t>Deny individual PROC code if QTY exceeds allowed amount on the same DOS by any PROV with POS code and PROV SPEC code in respective categories present on both deny and support .</t>
  </si>
  <si>
    <t>PROC GROUP denial due to FREQ with D-S INCL POS, D-S INCL PROV SPEC - Line Quantity (SAME DOS; XPROV)(QTY&gt;1 and ADD LINE=N)</t>
  </si>
  <si>
    <t>Deny the PROC codes in the same subgroup, in anycombination, when the QTY exceeds the maximum allowed in the same DOS by any PROV with POS code and PROV SPEC code in respective categories present on both deny and support .</t>
  </si>
  <si>
    <t>PROC GROUP denial due to FREQ with D-S INCL POS, D-S INCL PROV SPEC - Line Quantity (SAME DOS; XPROV)(QTY=1 and ADD LINE=N)</t>
  </si>
  <si>
    <t>PROC denial due to PRESENT PROV SPEC with INCL MOD or INCL POS</t>
  </si>
  <si>
    <t xml:space="preserve">Deny PROC code when MOD, POS and PROV SPEC are present </t>
  </si>
  <si>
    <t>PROC denial due to NOT PRESENT PROV SPEC with INCL AGE</t>
  </si>
  <si>
    <t>Deny PROC code when member age is present and PROV SPEC is not present</t>
  </si>
  <si>
    <t>PROC denial due to PRESENT OTHER PROC with DENY MOD EXCL (1-KEY D-S; DAYS; INCL SAME DOS; XPROV)</t>
  </si>
  <si>
    <t>Deny PROC code if support code is present in given days (including the same DOS) by any PROV with MOD in the category not present on deny line.</t>
  </si>
  <si>
    <t>PROC GROUP denial due to FREQ with D-S INCL PROV SPEC - Line Quantity (SAME DOS; XPROV)(QTY=1 and ADD LINE=N)</t>
  </si>
  <si>
    <t>Deny the PROC codes in the same subgroup, in anycombination, when the QTY exceeds the MAX allowed in the same DOS by any PROV with PROV SPEC code in the category present on both deny and support .</t>
  </si>
  <si>
    <t>PROC denial due to PRESENT PROV SPEC with INCL POS</t>
  </si>
  <si>
    <t>Deny PROC code when POS and PROV SPEC are present</t>
  </si>
  <si>
    <t>PROC denial due to PRESENT OTHER PROC (1-KEY D-S; SAME DOS; XPROV) (ALL_FAC)</t>
  </si>
  <si>
    <t>Deny PROC code if support code is present in the same DOS by any PROV.</t>
  </si>
  <si>
    <t>PROC GROUP denial due to FREQ - Line Quantity (SAME DOS; XPROV)(QTY=1 and ADD LINE=N)</t>
  </si>
  <si>
    <t>Deny the PROC codes in the same subgroup, in anycombination, when the QTY exceeds the maximum allowed in the same DOS by any PROV.</t>
  </si>
  <si>
    <t>INDIVIDUAL PROC denial due to FREQ  - Line_Quantity accumulation with D-S INCL PROV SPEC (DAYS_RANGE; INCL SAME DOS; XPROV; QTY&gt;1)</t>
  </si>
  <si>
    <t>PROC denial due to OTHER PRESENT PROC with DENY line EXCL MOD (1-KEY, SAME DAY; XPROV)</t>
  </si>
  <si>
    <t>Deny PROC code if support code is present in the same DOS by any PROV with MOD in the category not present on deny line.</t>
  </si>
  <si>
    <t>PROC GROUP denial due to FREQ with D-S EXCL POS - Line Quantity (SAME DOS;SAME PROV)(QTY=1 and ADD LINE=N)</t>
  </si>
  <si>
    <t>Deny the PROC codes in the same subgroup, in anycombination, when the QTY exceeds the MAX allowed in the same DOS by the same PROV with POS code in the category not present on both deny and support .</t>
  </si>
  <si>
    <t>PROC denial due to OTHER PRESENT PROC with INCL AGE, INCL DENY POS, EXCL SUPPORT POS (1-KEY D-S; SAME DOS, XPROV)</t>
  </si>
  <si>
    <t>Deny PROC code if support code is present in the same DOS by any PROV with POS code in the category present on deny line and not present on support line, and the member age is met.</t>
  </si>
  <si>
    <t>INDIVIDUAL PROC denial due to FREQ with INCL D-S MOD - Line Quantity (CALENDAR_YEAR; INCL SAME DOS; XPROV)(QTY&gt;1 and ADD LINE=N)</t>
  </si>
  <si>
    <t>Deny individual PROC code if QTY exceeds allowed amount on the same DOS by any PROV.</t>
  </si>
  <si>
    <t>INDIV PROC denial due to FREQ - Line_Quantity accumulation (SAME DOS; PROV_FTIN) (QTY&gt;1 ADDLINE=N) (ALL_FAC)</t>
  </si>
  <si>
    <t>Deny individual PROC code if QTY exceeds allowed amount on the same DOS by the same PROV FTIN.</t>
  </si>
  <si>
    <t>PROC GROUP  denial due to FREQ with - Line_Quantity accumulation (DAYS_RANGE; INCL SAME DOS; FTIN_ANY_SPEC)(QTY=1 and ADD LINE=N)</t>
  </si>
  <si>
    <t>Deny the PROC codes in the same subgroup when the QTY exceeds the maximum allowed in a given days range (including the same DOS) by any PROV with similar FTIN.</t>
  </si>
  <si>
    <t xml:space="preserve"> PROC GROUP denial due to FREQ with D-S INCL DIAG - Line_Quantity accumulation (DAYS_RANGE; INCL SAME DOS; XPROV)(QTY=1 and ADD LINE=N)</t>
  </si>
  <si>
    <t>Deny the PROC codes in the same subgroup, in any combination, when the QTY exceeds the MAX allowed  in a given days range (including the same DOS) by any PROV with DX code present on deny and support .</t>
  </si>
  <si>
    <t>PROC GROUP denial due to FREQ - Line Quantity (SAME DOS; XPROV)(QTY=1 and ADD LINE=N)(ALL CLAIM TYPES)</t>
  </si>
  <si>
    <t>INDIVIDUAL PROC denial due to FREQ - Line Quantity (CALENDAR_YEAR; INCL SAME DOS; XPROV)(QTY&gt;1 and ADD LINE=N)(ALL_FAC)</t>
  </si>
  <si>
    <t>PROC denial due to PRESENT BILL TYPE (ALL_FAC)</t>
  </si>
  <si>
    <t>Deny PROC code when bill type is present</t>
  </si>
  <si>
    <t>PROC denial due to NOT PRESENT DX1, and-or NOT PRESENT DX2</t>
  </si>
  <si>
    <t>Deny PROC code when a DX is not present and a different DX is not present as well.</t>
  </si>
  <si>
    <t>PROC GROUP denial due to FREQ - Line Quantity (CALENDAR_YEAR; INCL SAME DOS; XPROV)(QTY&gt;1 and ADD LINE=N)</t>
  </si>
  <si>
    <t>Deny the PROC codes in the same subgroup, in any combination, when the QTY exceeds the maximum allowed in a calendar year (including the same DOS) by any PROV.</t>
  </si>
  <si>
    <t>PROC denial due to NOT PRESENT DX with INCL AGE</t>
  </si>
  <si>
    <t>Deny procedure code when member age is met and DXnosis code is not present</t>
  </si>
  <si>
    <t>Deny PROC code when DX code is not present.</t>
  </si>
  <si>
    <t>PROC GROUP denial due to FREQ - Line Quantity (DAYS_RANGE, INCL SAME DOS, XPROV) (QTY=1 and ADD LINE=N)</t>
  </si>
  <si>
    <t>Deny the PROC codes in the same subgroup, in anycombination, when the QTY exceeds the maximum allowed in a given days range (including the same DOS) by any PROV.</t>
  </si>
  <si>
    <t>Deny PROC code if support code is present in the same DOS by the same PROV.</t>
  </si>
  <si>
    <t>PROC denial due to PRESENT MOD and INCL AGE</t>
  </si>
  <si>
    <t>Deny PROC code if member age is met and MOD in the category is present.</t>
  </si>
  <si>
    <t xml:space="preserve">PROC denial due to PRESENT DX with INCL MOD and INCL AGE </t>
  </si>
  <si>
    <t xml:space="preserve">Deny PROC code if DX code is present with modifer in the category present and member age is met. </t>
  </si>
  <si>
    <t>PROC GROUP denial due to FREQ with D-S INCL POS - Line Quantity (SAME DOS;SAME PROV)(QTY=1 and ADD LINE=N)</t>
  </si>
  <si>
    <t>Deny the PROC codes in the same subgroup, in any combination, when the QTY exceeds the MAX allowed in the same DOS by the same PROV with POS code  present on both deny and support .</t>
  </si>
  <si>
    <t>INDIVIDUAL PROC denial due to FREQ with DENY MOD EXCL - Line Quantity (SAME DOS; SAME BPROV_FTIN)(QTY=1 and ADD LINE=N)</t>
  </si>
  <si>
    <t>Deny individual PROC code if QTY exceeds allowed amount on the same DOS by PROV FTIN with MOD in the category not present on deny line.</t>
  </si>
  <si>
    <t>PROC denial due to PRESENT OTHER PROC with DENY MOD EXCL (1-KEY D-S; SAME DOS; SAME BILLING_NPI)</t>
  </si>
  <si>
    <t>Deny PROC code if support code is present in the same DOS by the same billing PROV NPI with MOD in the category not present on deny line.</t>
  </si>
  <si>
    <t>PROC denial due to PRESENT OTHER PROC (1-KEY D-S; SAME DOS; SAME BILLING_NPI)</t>
  </si>
  <si>
    <t>Deny PROC code if support code is present in the same DOS by the same billing PROV NPI.</t>
  </si>
  <si>
    <t>INDIVIDUAL PROC denial due to FREQ - Line Quantity (DAYS_RANGE; INCL SAME DOS; SAME BILLING_NPI)(QTY&gt;1 and ADD LINE=N)</t>
  </si>
  <si>
    <t>PROC GROUP denial due to FREQ - Line Quantity (DAYS_RANGE; INCL SAME DOS; XPROV)(QTY=1 and ADD LINE=N)</t>
  </si>
  <si>
    <t>Deny the PROC codes in the same subgroup, in any combination, when the QTY exceeds the maximum allowed in a given days range (including the same DOS) by any PROV.</t>
  </si>
  <si>
    <t>PROC denial due to PRESENT OTHER PROC with DENY INCL MOD1 and SUPPORT INCL MOD2 (2-KEY D-S;SAME DOS;XPROV)</t>
  </si>
  <si>
    <t>Deny PROC code if support code is present in the same DOS by any PROV with MOD in the category present on deny line and MOD in another category present on support line.</t>
  </si>
  <si>
    <t>PROC denial due to not present MOD1, and/or MOD2, and/or MOD3</t>
  </si>
  <si>
    <t>Deny PROC code if a MOD and/or a different MOD are not present.</t>
  </si>
  <si>
    <t>PROC GROUP denial with INCL AGE due to FREQ - Line Quantity (DAYS_RANGE; INCL SAME DOS; XPROV (QTY &gt;1 and ADD LINE=N)</t>
  </si>
  <si>
    <t>Deny the PROC codes in the same subgroup, in any combination, when the QTY exceeds the MAX allowed in a given days range (including the same DOS) by any PROV and the member age is met.</t>
  </si>
  <si>
    <t>INDIVIDUAL PROC denial due to FREQ - Line Quantity (SAME DOS; SAME PROV) (QTY&gt;1 and ADD LINE=N)</t>
  </si>
  <si>
    <t>Deny individual PROC code if QTY exceeds allowed amount on the same DOS by the same PROV.</t>
  </si>
  <si>
    <t>PROC GROUP denial with INCL AGE due to FREQ - Line Quantity (SAME DOS; XPROV (QTY =1 and ADD LINE=N)</t>
  </si>
  <si>
    <t>Deny the PROC codes in the same subgroup, in any combination, when the QTY exceeds the maximum allowed in the same DOS by any PROV and the member age is met.</t>
  </si>
  <si>
    <t>INDIVIDUAL PROC denial due to FREQ - Line Quantity (DAYS_RANGE; INCL SAME DOS; XPROV) (QTY&gt;1 and ADD LINE = N) with INCL AGE</t>
  </si>
  <si>
    <t>Deny if PROC code qty exceeds the max allowed limit within the given days range (including the same DOS) by any PROV and the member age is met.</t>
  </si>
  <si>
    <t>PROC denial due to PRESENT OTHER PROC with INCL AGE (1-KEY D-S; SAME DOS; XPROV)</t>
  </si>
  <si>
    <t>Deny PROC code if support code is present in the same DOS by any PROV and the member age is met.</t>
  </si>
  <si>
    <t>PROC GROUP denial due to FREQ with D-S INCL MOD - Line Quantity (CALENDAR_YEAR; INCL SAME DOS; XPROV)(QTY&gt;1 and ADD LINE=N)</t>
  </si>
  <si>
    <t>Deny the PROC codes in the same subgroup, in any combination, when the QTY exceeds the MAX allowed in a calendar year (including the same DOS) by any PROV with MOD in the category present on both deny and support .</t>
  </si>
  <si>
    <t>PROC GROUP denial due to FREQ with D-S INCL MOD - Line Quantity (SAME DOS; XPROV)(QTY=1 and ADD LINE=N)</t>
  </si>
  <si>
    <t>Deny the PROC codes in the same subgroup, in any combination, when the QTY exceeds the MAX allowed on the same DOS by any PROV with MOD in the category present on both deny and support .</t>
  </si>
  <si>
    <t>INDIVIDUAL PROC denial due to FREQ with INCL REV - Line Quantity (SAME DOS; PROV_ID)(QTY=1 and ADD LINE=N)</t>
  </si>
  <si>
    <t>Deny individual PROC code if QTY exceeds allowed amount on the same DOS by the same PROV ID with revenue code in the category present on both deny and support .</t>
  </si>
  <si>
    <t>PROC denial due to NOT PRESENT REV</t>
  </si>
  <si>
    <t>PROC denial due to PRESENT OTHER PROC with DENY LINE MOD INCL and SUPPORT MOD EXCL (1-KEY D-S;SAME DOS; XPROV)</t>
  </si>
  <si>
    <t>Deny PROC code if support code is present in the same DOS by any PROV with MOD in a category present on deny line and not present on support line.</t>
  </si>
  <si>
    <t>PROC denial due to NOT PRESENT PROV SPEC with INCL POS</t>
  </si>
  <si>
    <t>Deny PROC code with POS in the category present if PROV SPEC is not present.</t>
  </si>
  <si>
    <t>PROC denial due to NOT PRESENT Prov Spec and NOT PRESENT MOD with INCL POS</t>
  </si>
  <si>
    <t>Deny PROC code with POS in the category present if MOD and PROV SPEC is not present.</t>
  </si>
  <si>
    <t>PROC denial due to Line_Quantity &gt;1</t>
  </si>
  <si>
    <t>Deny PROC code if the line QTY is greater then 1.</t>
  </si>
  <si>
    <t>INDIVIDUAL PROC denial due to FREQ  - Line Quantity with D-S INCL POS, and D-S EXCL MOD (SAME DOS;XPROV) (QTY=1 and ADD LINE=N)</t>
  </si>
  <si>
    <t xml:space="preserve">               </t>
  </si>
  <si>
    <t>PROC denial due to NOT PRESENT OTHER PROC with SUPPORT INCL POS (1-KEY D-S; SAME DOS; XPROV)</t>
  </si>
  <si>
    <t>Deny PROC code if support code is not present in the same DOS by any PROV with POS code in a   present on support line.</t>
  </si>
  <si>
    <t>PROC denial due to NOT PRESENT OTHER PROC with SUPPORT INCL REV (1-KEY D-S, SAME DOS, XPROV)</t>
  </si>
  <si>
    <t>Deny PROC code if support code is not present in the same DOS by any PROV with revenue code in a   present on support line.</t>
  </si>
  <si>
    <t>PROC denial due to PRESENT OTHER PROC with D-S EXCL BILL TYPE (1-KEY D-S, SAME DOS, XPROV)</t>
  </si>
  <si>
    <t>Deny PROC code if support code is present in the same DOS by any PROV with bill type code in a category not present on both deny and support .</t>
  </si>
  <si>
    <t>INDIVIDUAL PROC denial due to FREQ with D-S EXCL DIAG (DAYS_RANGE, INCL SAME DOS; XPROV)(QTY&gt;1 and ADD LINE=N)</t>
  </si>
  <si>
    <t>Deny individual PROC code if QTY exceeds allowed amount in a given days range (including the same DOS) by any PROV and DX is not present on both deny and support .</t>
  </si>
  <si>
    <t>PROC denial due to PRESENT AGE (OUTPAT_FAC)</t>
  </si>
  <si>
    <t>Deny PROC code if member age is present.</t>
  </si>
  <si>
    <t>INDIVIDUAL PROC denial due to FREQ - Line_Quantity (DAYS_RANGE; INCL SAME DOS; XPROV)(QTY PER PROC, ADD LINE=N)</t>
  </si>
  <si>
    <t>Deny individual PROC code if QTY exceeds allowed amount in a given days range (including the same DOS) by any PROV.</t>
  </si>
  <si>
    <t>PROC denial due to NOT PRESENT GENDER with INCL DX</t>
  </si>
  <si>
    <t>Deny PROC code with a DX code from a category present if gender is not present.</t>
  </si>
  <si>
    <t>PROC denial due to PRESENT OTHER PROC (2-KEY D-S; SAME DOS; SAME BILLING_NPI)(ALL_FAC)</t>
  </si>
  <si>
    <t>PROC denial due to PRESENT OTHER PROC (2-KEY D-S; SAME DOS; SAME PROV_ID)</t>
  </si>
  <si>
    <t>Deny PROC code if support code is present in the same DOS by the same PROV ID.</t>
  </si>
  <si>
    <t>PROC denial due to NOT PRESENT POS and NOT PRESENT DIAG, NOT PRESENT PROV SPEC or NOT PRESENT PROV TYPE</t>
  </si>
  <si>
    <t>Deny PROC code if POS code, DX code, PROV SPEC code and PROV TYPE code from respective categories are not present.</t>
  </si>
  <si>
    <t>PROC denial due to PRESENT POS and NOT PRESENT DIAG, NOT PRESENT PROV SPEC or NOT PRESENT PROV TYPE</t>
  </si>
  <si>
    <t>Deny PROC code if POS code from a category is present and DX code, PROV SPEC code and PROV TYPE code from respective categories are not present.</t>
  </si>
  <si>
    <t>Deny the PROC codes in the same subgroup, in any combination, when the QTY exceeds the maximum allowed in the same DOS by any PROV.</t>
  </si>
  <si>
    <t>PROC GROUP denial due to FREQ with D-S INCL DIAG - Line Quantity (CALENDAR_YEAR; INCL SAME DOS; XPROV)(QTY&gt;1 and ADD LINE=N)</t>
  </si>
  <si>
    <t>Deny the PROC codes in the same subgroup, in any combination, when the QTY exceeds the MAX allowed in a calendar year (including the same DOS) by any PROV with DX code in the category present on both deny and support .</t>
  </si>
  <si>
    <t>PROC denial due to NOT PRESENT OTHER PROC w/ INCL D-S AGE (1-key D-S, SAME DOS,XPROV) (Cross Claims)</t>
  </si>
  <si>
    <t>Deny PROC code if support code is not present in the same DOS by any same PROV and the member age is met.</t>
  </si>
  <si>
    <t>INDIV PROC denial to due FREQ - Line Accumulation w/ INCL D-S AGE (DAYS_RANGE, INCL SAME DOS, XPROV) (QTY&gt;1 and ADD LINE=N) (Cross Claims)</t>
  </si>
  <si>
    <t>PROC GROUP denial due to FREQ with D-S INCL POS - Line Quantity (SAME DOS;XPROV)(QTY=1 and ADD LINE=N)</t>
  </si>
  <si>
    <t>Deny the PROC codes in the same subgroup, in any combination, when the QTY exceeds the MAX allowed in the same DOS by any PROV with POS code in the category present on both deny and support .</t>
  </si>
  <si>
    <t>PROC denial due to NOT PRESENT POS, and-or NOT PRESENT PROV SPEC, and-or NOT PRESENT PROV TYPE with INCL MOD</t>
  </si>
  <si>
    <t>Deny PROC code if POS code is not present, and or PROV SPEC code is not present, and or PROV TYPE code is not present with MOD in the category present.</t>
  </si>
  <si>
    <t>INDIVIDUAL PROC denial due to FREQ with D-S INCL MOD Line Quantity (DAYS_RANGE; INCL SAME DOS; XPROV)(QTY=1 and ADD LINE=N)</t>
  </si>
  <si>
    <t xml:space="preserve">Deny PROC code if QTY exceeds max allowed limit in a given days range (including the same DOS) by any provider and MOD is present on both deny and support line. 
</t>
  </si>
  <si>
    <t>PROC denial due to NOT PRESENT DIAGNOSIS, AND/OR NOT PRESENT MOD1, AND/OR NOT PRESENT MOD2</t>
  </si>
  <si>
    <t>Deny PROC code if a DX code is not present, and or MOD in categories are not present.</t>
  </si>
  <si>
    <t>PROC denial due to NOT PRESENT OTHER PROC (1-KEY D-S; SAME DOS; SAME PROV) with Deny INCL MOD</t>
  </si>
  <si>
    <t>Deny PROC code if support code is not present in the same DOS by the same PROV with MOD in the   present on deny line.</t>
  </si>
  <si>
    <t>INDIVIDUAL PROC denial due to FREQ - Line Quantity (Same DOS; SAME PROV) (QTY &gt; 1; ADDLINE = N) D-S INCL DIAG</t>
  </si>
  <si>
    <t>Deny individual PROC code if QTY exceeds allowed amount in the same DOS by any PROV with DX code in the category present on both deny and support .</t>
  </si>
  <si>
    <t>INDIVIDUAL PROC denial due to FREQ with D-S EXCL DIAG (DAYS_RANGE, INCL SAME DOS; SAME PROV)(QTY&gt;1 and ADD LINE=N)</t>
  </si>
  <si>
    <t>PROC denial due to NOT PRESENT Prov Spec and PRESENT MOD with INCL AGE</t>
  </si>
  <si>
    <t>Deny PROC code when member age is present and PROV SPEC and MOD are not present</t>
  </si>
  <si>
    <t>INDIVIDUAL PROC denial due to FREQ - Line_Quantity (SAME DOS; XPROV)(QTY PER PROC, ADD LINE=N)</t>
  </si>
  <si>
    <t>Deny individual PROC code if QTY exceeds allowed amount on the same DOS by any PROV</t>
  </si>
  <si>
    <t>PROC denial due to NOT PRESENT BILL TYPE</t>
  </si>
  <si>
    <t>Deny PROC code when bill type is not present.</t>
  </si>
  <si>
    <t>PROC denial due to PRESENT OTHER PROC with SUPPORT Line MOD INCL (1-KEY D-S; SAME DOS; Same Prov)</t>
  </si>
  <si>
    <t>Deny PROC code if support code is submitted on the same DOS by the same PROV and the MOD in the category is present on the deny line</t>
  </si>
  <si>
    <t>PROC denial due to NOT PRESENT PROV SPEC with INCL DIAG</t>
  </si>
  <si>
    <t>Deny PROC code when a DX is present and PROV SPEC is not present</t>
  </si>
  <si>
    <t>PROC denial due to PRESENT NON-COVERED PROC  (OUTPAT_FAC)</t>
  </si>
  <si>
    <t>Deny PROC code when non-covered PROC is present</t>
  </si>
  <si>
    <t>INDIVIDUAL PROC denial due to FREQ with D-S EXCL MOD - Line Quantity (DAYS_RANGE; INCL SAME DOS; XPROV)(QTY=1 and ADD LINE=N)</t>
  </si>
  <si>
    <t xml:space="preserve">Deny PROC code when QTY exceeds allowed within given days range (including same DOS) by any PROV and MOD is not present on deny and support line. </t>
  </si>
  <si>
    <t>INDIVIDUAL PROC denial due to FREQ  Line Quantity (DAYS_RANGE; INCL SAME DOS; XPROV)(QTY&gt;1 and ADD LINE=N), OUTPAT_FAC claim type</t>
  </si>
  <si>
    <t>Deny procedure code if billed more than the allowed quantity per year, same provider.</t>
  </si>
  <si>
    <t>PROC denial due to present MOD with POS inclusionary</t>
  </si>
  <si>
    <t>Deny PROC code when a MOD and POS are present.</t>
  </si>
  <si>
    <t>PROC denial due to PRESENT NON-COVERED PROC (OUTPAT_FAC)</t>
  </si>
  <si>
    <t>INDIVIDUAL PROC denial due to FREQ - Line_Quantity accumulation (SAME DOS; SAME PROV) (OUTPAT_FAC)</t>
  </si>
  <si>
    <t>Deny individual PROC code if QTY exceeds allowed amount in the same DOS by the same PROV.</t>
  </si>
  <si>
    <t>PROC denial due to INCL AGE and BILL TYPE with NOT PRESENT DX</t>
  </si>
  <si>
    <t xml:space="preserve">Deny PROC code when  member age and bill type are present and DX is not present </t>
  </si>
  <si>
    <t>REV denial due to NOT PRESENT OTHER REV with D-S INCL BILL TYPE (1-KEY D-S, SAME DOS, XPROV) (ALL_FAC)</t>
  </si>
  <si>
    <t>Deny revenue code if support code is not present in the same DOS by any PROV with bill type code in the   present on both deny and support .</t>
  </si>
  <si>
    <t>REV denial due to NOT PRESENT PROC with INCL BILL TYPE (ALL_FAC)</t>
  </si>
  <si>
    <t>Deny revenue code when bill type is present and PROC code is not present</t>
  </si>
  <si>
    <t>INDIVIDUAL PROC denial due to FREQ - Line_Quantity with INCL AGE and D-S EXCL MOD (DAYS_RANGE; INCL SAME DOS; XPROV)(QTY=1 and ADD LINE=N)</t>
  </si>
  <si>
    <t>INDIVIDUAL PROC denial due to FREQ - Line_Quantity with INCL AGE and D-S INCL MOD (DAYS_RANGE; INCL SAME DOS; XPROV)(QTY=1 and ADD LINE=N)</t>
  </si>
  <si>
    <t>INDIVIDUAL PROC denial due to FREQ - Line_QTY with INCL AGE and D-S INCL MOD (DAYS_RANGE; INCL SAME DOS; XPROV)(QTY=1 and ADD LINE=N)</t>
  </si>
  <si>
    <t>Denial due to NOT PRESENT BILL TYPE</t>
  </si>
  <si>
    <t>Deny PROC code when bill type is not present</t>
  </si>
  <si>
    <t>PROC denial due to ONLY PRESENT DIAG (ALL_FAC)</t>
  </si>
  <si>
    <t>Deny PROC code when only DX is present</t>
  </si>
  <si>
    <t>INDIVIDUAL REV code denial due to FREQ Line Quantity (Same DOS;XPROV) (QTY &gt;1 and ADDLINE N) INCL BILL TYPE</t>
  </si>
  <si>
    <t>PROV Spec denial due to NOT PRESENT PROC</t>
  </si>
  <si>
    <t>Deny PROV SPEC when PROC code is not present</t>
  </si>
  <si>
    <t>PROC GROUP denial due to FREQ with D-S EXCL MOD- Line Quantity (DAYS_RANGE, INCL SAME DOS; XPROV)(QTY=1 and ADD LINE=N)</t>
  </si>
  <si>
    <t>Deny PROC codes in same subgroup, in any combination, when QTY exceeds the MAX limit in given days range (including the same DOS) by any PROV with MOD not present on both deny and support lines.</t>
  </si>
  <si>
    <t>INDIVIDUAL PROC denial due to FREQ with D-S EXCL MOD- Line_Quantity (DAYS_RANGE; INCL SAME DOS; XPROV)(QTY PER PROC, ADD LINE=N)</t>
  </si>
  <si>
    <t>Deny PROC code if QTY exceeds allowed amount in a given days range (including the same DOS) by any PROV with MOD in the category not present on both deny and support lines.</t>
  </si>
  <si>
    <t>INDIVIDUAL PROC denial due to FREQ with D-S INCL MOD - Line_Quantity (DAYS_RANGE; INCL SAME DOS; XPROV)(QTY PER PROC, ADD LINE=N)</t>
  </si>
  <si>
    <t>Deny PROC code if QTY exceeds allowed amount in a given days range (including the same DOS) by any PROV with MOD present on both deny and support .</t>
  </si>
  <si>
    <t>ICD-10 PROC denial due to PRESENT AGE</t>
  </si>
  <si>
    <t>Deny PROC code when member age is met</t>
  </si>
  <si>
    <t>REV denial due to PRESENT PROV SPEC (ALL_FAC)</t>
  </si>
  <si>
    <t>Deny revenue code when PROV SPEC is present</t>
  </si>
  <si>
    <t>PROC denial due to PRESENT DX1 and NOT PRESENT DX2 with INCL AGE</t>
  </si>
  <si>
    <t>Deny PROC code when member age and DX are present and a different DX is no present.</t>
  </si>
  <si>
    <t>PROC denial due to PRESENT DX1 and PRESENT DX2 and NOT PRESENT DX3</t>
  </si>
  <si>
    <t>Deny PROC code when a DX and a different DX are present and another DX is not present</t>
  </si>
  <si>
    <t>INDIVIDUAL PROC denial due to FREQ with INCL D-S POS - Line Quantity (CALENDAR_YEAR; INCL SAME DOS; XPROV)(QTY&gt;1 and ADD LINE=N)</t>
  </si>
  <si>
    <t>INDIVIDUAL PROC denial due to FREQ with INCL D-S POS - Line Quantity (DAYS_RANGE; INCL SAME DOS; XPROV)(QTY&gt;1 and ADD LINE=N)</t>
  </si>
  <si>
    <t>INDIVIDUAL PROC denial due to FREQ - Line Quantity with INCL D-S POS (DAYS_RANGE; INCL SAME DOS; XPROV)(QTY&gt;1 and ADD LINE=N)</t>
  </si>
  <si>
    <t>INDIVIDUAL PROC denial due to FREQ - Line Quantity with INCL D-S POS (CALENDAR_MONTH; INCL SAME DOS; XPROV)(QTY&gt;1 and ADD LINE=N)</t>
  </si>
  <si>
    <t>INDIVIDUAL PROC denial due to FREQ - Line Quantity with INCL D-S MOD (CALENDAR_YEAR; INCL SAME DOS; XPROV)(QTY=1 and ADD LINE=N)</t>
  </si>
  <si>
    <t>INDIVIDUAL PROC denial due to FREQ - Line Quantity with INCL D-S MOD (CALENDAR_MONTH; INCL SAME DOS; XPROV)(QTY&gt;1 and ADD LINE=N)</t>
  </si>
  <si>
    <t>PROC denial due to NOT PRESENT MOD and INCL AGE</t>
  </si>
  <si>
    <t>Deny PROC code when member age is present and MOD is not present.</t>
  </si>
  <si>
    <t>PROC denial due to PRESENT OTHER PROC with INCL D-S POS (1-KEY D-S; DAYS BEFORE INCL SAME DOS; XPROV)</t>
  </si>
  <si>
    <t xml:space="preserve">Deny PROC code if support code is present in given days (including the same DOS) by any PROV with POS in the category present on both deny and support </t>
  </si>
  <si>
    <t>INDIVIDUAL PROC denial due to FREQ - Line Quantity with EXCL D-S MOD (CALENDAR_MONTH; INCL SAME DOS; XPROV)(QTY=1 and ADD LINE=N)</t>
  </si>
  <si>
    <t>INDIVIDUAL PROC denial due to FREQ - Line Quantity with EXCL D-S MOD (CALENDAR_MONTH; INCL SAME DOS; XPROV)(QTY&gt;1 and ADD LINE=N)</t>
  </si>
  <si>
    <t>PROC denial due to PRESENT OTHER PROC with SUPPORT MOD INCL (1-KEY D-S; SAME DOS; XProv)</t>
  </si>
  <si>
    <t>Deny PROC code if support code is submitted on the same DOS by any PROV and the MOD in the category is present on the support line</t>
  </si>
  <si>
    <t>PROC denial due to PRESENT OTHER PROC (2-KEY D-S; SAME DOS; PROV_FTIN)</t>
  </si>
  <si>
    <t>Deny PROC code if support code is submitted on the same day with PROV TIN</t>
  </si>
  <si>
    <t>INDIVIDUAL PROC denial due to FREQ with D-S INCL POS- Line_Quantity (DAYS_RANGE; INCL SAME DOS; XPROV)(QTY PER PROC, ADD LINE=N)</t>
  </si>
  <si>
    <t>Deny individual PROC code if QTY exceeds allowed amount in a given days range (including the same DOS) by any PROV with POS code in the category present on both deny and support lines.</t>
  </si>
  <si>
    <t>PROC GROUP denial due to FREQ with D-S INCL REV - Line Quantity (DAYS_RANGE INCL SAME DOS; XPROV)(QTY&gt;1 and ADD LINE=N)(OUTPAT_FAC)</t>
  </si>
  <si>
    <t>Deny the PROC codes in the same subgroup, in any combination, when the QTY exceeds the MAX allowed in a given days range (including the same DOS) by any PROV with revenue code in the category present on both deny and support lines.</t>
  </si>
  <si>
    <t>PROC GROUP denial due to FREQ with D-S INCL REV - Line Quantity (CALENDAR_YEAR; INCL SAME DOS; XPROV)(QTY&gt;1 and ADD LINE=N)(OUTPAT_FAC)</t>
  </si>
  <si>
    <t>Deny the PROC codes in the same subgroup, in any combination, when the QTY exceeds the MAX allowed in a calendar year (including the same DOS) by any PROV with revenue code in the category present on both deny and support lines.</t>
  </si>
  <si>
    <t>INDIVIDUAL PROC denial due to FREQ - Line Quantity (CALENDAR_YEAR; INCL SAME DOS; XPROV)(QTY&gt;1 and ADD LINE=N)(OUTPAT_FAC)</t>
  </si>
  <si>
    <t>PROC denial due to NOT PRESENT DX1 AND NOT PRESENT DX2 AND NOT PRESENT POS or Proc denial due to NOT PRESENT DX3 AND NOT PRESENT POS.</t>
  </si>
  <si>
    <t>Deny PROC code when a DX and a different DX and POS are not present or deny PROC code when a DX and POS are not present</t>
  </si>
  <si>
    <t>PROC denial due to NOT PRESENT DX1 AND NOT PRESENT DX2 AND NOT PRESENT Bill Type or Proc denial due to NOT PRESENT DX3 AND NOT PRESENT Bill Type.</t>
  </si>
  <si>
    <t>Deny PROC code when a DX and a different DX and bill type are not present or deny PROC code when a DX and bill type are not present</t>
  </si>
  <si>
    <t>INDIVIDUAL PROC denial due to FREQ - Line_Quantity with INCL D-S POS (CALENDAR_YEAR; INCL SAME DOS; XPROV)(QTY by PROC, ADD LINE=N)</t>
  </si>
  <si>
    <t>Deny individual PROC code if QTY exceeds allowed amount in a calendar year (including the same DOS) by any PROV with POS code in the category present on both deny and support lines.</t>
  </si>
  <si>
    <t>PROC denial due to PRESENT OTHER PROC with DENY EXCL MOD (1-KEY D-S; DAYS_RANGE; INCLUDE SAME DOS; XPROV)</t>
  </si>
  <si>
    <t>Deny PROC code if support code is present in given days (including the same DOS) by any PROV and MOD in the category is present on the deny line.</t>
  </si>
  <si>
    <t>PROC denial due NOT PRESENT PROV TYPE</t>
  </si>
  <si>
    <t>Deny PROC code if PROV TYPE is not present.</t>
  </si>
  <si>
    <t>INDIVIDUAL PROC denial due to FREQ - Line Quantity (SAME DOS; XPROV)(QTY&gt;1 and ADD LINE=N)</t>
  </si>
  <si>
    <t>Deny individual PROC code if QTY exceeds allowed amount in the same DOS by any PROV.</t>
  </si>
  <si>
    <t>PROC denial due to PRESENT OTHER PROC (1-KEY D-S; SAME DOS; XPROV) with D-S INCL REV</t>
  </si>
  <si>
    <t xml:space="preserve">Deny PROC code if support code is submitted on the same DOS by any PROV and the revenue code in the category is present on both deny and support </t>
  </si>
  <si>
    <t>PROC denial due to PRESENT MOD1 and PRESENT MOD2 or PRESENT MOD1 and PRESENT MOD3</t>
  </si>
  <si>
    <t>Deny PROC code when a MOD and a different MOD is present</t>
  </si>
  <si>
    <t>PROC denial to due PRESENT MOD1 and PRESENT MOD2 with INCL AGE</t>
  </si>
  <si>
    <t>Deny PROC code when a MOD and a different MOD and member age are present</t>
  </si>
  <si>
    <t>PROC denial due to NOT PRESENT OTHER PROC (1-KEY D-S; SAME DOS; XPROV) (SAME CLAIM)</t>
  </si>
  <si>
    <t>Deny PROC code if support code is not present in the same DOS by any PROV.</t>
  </si>
  <si>
    <t>PROC denial due to PRESENT OTHER PROC with SUPPORT MOD EXCL (1-KEY D-S; SAME DOS; SAME PROV)</t>
  </si>
  <si>
    <t>Deny PROC code if support code is present in the same DOS by the same PROV with MOD in the category not present on support line.</t>
  </si>
  <si>
    <t>REV GROUP denial due to FREQ Line Quantity (CALENDAR YEAR INCL SAME DOS; XPROV)(QTY&gt;1 and ADD LINE=N)(ALL_FAC)</t>
  </si>
  <si>
    <t>Deny the revenue codes in the same subgroup, in any combination, when the QTY exceeds the maximum allowed in a calendar year (including the same DOS) by any PROV.</t>
  </si>
  <si>
    <t>PROC denial due to NOT PRESENT DX1 and-or NOT PRESENT MOD1, OR NOT PRESENT DX2 and-or NOT PRESENT MOD2</t>
  </si>
  <si>
    <t>Deny PROC code when a DX and/or a MOD are not present  or deny PROC code when  a different DX and/or a MOD are not present</t>
  </si>
  <si>
    <t>PROC denial OR DX Denial due to PRESENT NON-COVERED PROC or DX</t>
  </si>
  <si>
    <t>Deny PROC code when present,  or deny DX Code when present.</t>
  </si>
  <si>
    <t>REV GROUP denial due to FREQ Line Quantity (SAME DOS;XPROV) (QTY =1 and ADD LINE =) INCL BILL TYPE</t>
  </si>
  <si>
    <t>Deny the revenue codes in the same subgroup, in any combination, when the QTY exceeds the maximum allowed in the same DOS by any PROV with bill type code in the category present on both deny and support .</t>
  </si>
  <si>
    <t>REV GROUP denial due to FREQ - Line_Quantity (DAYS_RANGE;INCL SAME DOS; XPROV)(QTY&gt;1 and ADD LINE=N)(ALL_FAC) INCL BILL TYPE</t>
  </si>
  <si>
    <t>Deny the revenue codes in the same subgroup, in any combination, when the QTY exceeds the MAX allowed in a given days range (including the same DOS by) any PROV with bill type code in the category present on both deny and support .</t>
  </si>
  <si>
    <t>PROC denial due to PRESENT PROV TYPE</t>
  </si>
  <si>
    <t>Deny PROC code when PROV TYPE is present.</t>
  </si>
  <si>
    <t>INDIVIDUAL PROC denial due to FREQ - Line_Quantity with INCL AGE (DAYS_RANGE; INCL SAME DOS; XPROV)(QTY=1 and ADD LINE=N)</t>
  </si>
  <si>
    <t>Deny individual PROC code if QTY exceeds allowed amount in a given days range including the same DOS by any PROV and age criteria is met.</t>
  </si>
  <si>
    <t>PROC denial due to NOT PRESENT DX (OUTPAT_FAC)</t>
  </si>
  <si>
    <t>Deny PROC code when DX is not present</t>
  </si>
  <si>
    <t>MODIFIER denial due to noncovered MOD</t>
  </si>
  <si>
    <t>Deny MOD when non-covered MOD is present</t>
  </si>
  <si>
    <t>REV code denial if PRESENT</t>
  </si>
  <si>
    <t>Deny revenue code when non-covered revenue code is present</t>
  </si>
  <si>
    <t>REV Code denial due to PRESENT Bill Type</t>
  </si>
  <si>
    <t>Deny revenue code when bill type is present</t>
  </si>
  <si>
    <t>PROC denial due to PRESENT OTHER PROC with deny Line DX Code PRESENT EXCL Deny Line MOD)(1-KEY D-S; SAME DOS; XPROV)</t>
  </si>
  <si>
    <t>Deny PROC code if support code is present in the same DOS by any PROV with DX code in the category present on deny line and MOD in the category not present on deny line.</t>
  </si>
  <si>
    <t>Proc denial due to PRESENT DX and INCL POS</t>
  </si>
  <si>
    <t>Deny PROC code when DX and POS are present.</t>
  </si>
  <si>
    <t>INDIVIDUAL PROC denial due to FREQ - Line_Quantity with INCL AGE and D-S INCL PROV SPEC (DAYS_RANGE; INCL SAME DOS; XPROV)(QTY=1 and ADD LINE=N)</t>
  </si>
  <si>
    <t>PROC GROUP denial due to FREQ - Line_Quantity accumulation (CALENDAR MONTH;SAME DOS; XPROV)(QTY GT1 ADDLINE N)</t>
  </si>
  <si>
    <t>Deny the PROC codes in the same subgroup, in any combination, when the QTY exceeds the maximum allowed in a calendar month (including the same DOS) by any PROV.</t>
  </si>
  <si>
    <t>NDIVIDUAL PROC denial due to FREQ with D-S EXCL DIAG - Line_Quantity (DAYS_RANGE; INCL SAME DOS; XPROV)(QTY=1 and ADD LINE=N))</t>
  </si>
  <si>
    <t>INDIVIDUAL PROC denial due to FREQ with D-S MOD EXCL - Line_Quantity (SAME DOS; XPROV)(QTY &gt;1 and ADD LINE=N)</t>
  </si>
  <si>
    <t>Deny individual PROC code if QTY exceeds allowed amount on the same DOS by any PROV when MOD in the category is not present on deny or support line.</t>
  </si>
  <si>
    <t>PROC denial due to PRESENT AnyLine DX</t>
  </si>
  <si>
    <t>Deny DX code when a different DX is present</t>
  </si>
  <si>
    <t>PROC denial due to PRESENT DX1 and NOT PRESENT DX2</t>
  </si>
  <si>
    <t>Deny the PROC code if there is an absence of the specified DX and if a distinct DX is present.</t>
  </si>
  <si>
    <t>PROC denial due to NOT PRESENT DX with INCL BILL TYPE (ALL_FAC)</t>
  </si>
  <si>
    <t>Deny PROC code when bill type is present and DX is not present</t>
  </si>
  <si>
    <t>PROC denial due to PRESENT BILL TYPE and DX1 with NOT PRESENT DX2</t>
  </si>
  <si>
    <t>Deny PROC code when bill type and DX is present and a different DX is not present</t>
  </si>
  <si>
    <t>REV CODE GROUP denial due to FREQ - Line_Quantity accumulation (DAYS_RANGE; INCL SAME DOS; XPROV)(QTY 1 AND ADDLINE N) INCL BILL TYPE (ALL FAC)</t>
  </si>
  <si>
    <t>MODIFIER denial due to PRESENT BILL TYPE (ALL_FAC)</t>
  </si>
  <si>
    <t>Deny MOD when bill type is present</t>
  </si>
  <si>
    <t>DIAG denial due to NOT PRESENT BILL TYPE  and NOT PRESENT ECI DIAG (INPAT_FAC)</t>
  </si>
  <si>
    <t>Deny DX code when bill type and DX are not present</t>
  </si>
  <si>
    <t>PROC denial due to PRESENT OTHER PROC (2-KEY D-S; SAME DOS; PROV_ID)(ALL_FAC)</t>
  </si>
  <si>
    <t>Deny PROC code if support code is submitted on the same day by the same PROV for all facility claims</t>
  </si>
  <si>
    <t>PROC denial due to PRESENT OTHER PROC (1-KEY D-S; SAME DOS; SAME PROV_ID)</t>
  </si>
  <si>
    <t>Deny PROC code if support code is submitted on the same day by the same PROV</t>
  </si>
  <si>
    <t>PROC denial due to PRESENT OTHER PROC with DENY MOD EXCL (1-KEY D-S; SAME DOS; SAME PROV_ID)</t>
  </si>
  <si>
    <t>Deny PROC code if support code is submitted on the same DOS by the same PROV and the MOD in the category is not present on the deny line</t>
  </si>
  <si>
    <t>INDIVIDUAL PROC denial due to FREQ with Deny Line EXCL MOD- Line Quantity (SAME DOS; SAME PROV_ID)(QTY&gt;1 and ADD LINE=N)</t>
  </si>
  <si>
    <t>Deny individual PROC code if QTY exceeds allowed amount on the same DOS by the same PROV with MOD in the category not present on the deny line</t>
  </si>
  <si>
    <t>INDIVIDUAL PROC denial due to FREQ with DENY MOD EXCL - Line Quantity (SAME DOS; SAME PROV_ID)(QTY=1 and ADD LINE=N)</t>
  </si>
  <si>
    <t>PROC denial due to PRESENT MOD1 and PRESENT MOD2 and NOT PRESENT MOD3</t>
  </si>
  <si>
    <t>Deny PROC code when a MOD and a different MOD are present and another MOD is not present.</t>
  </si>
  <si>
    <t>PROC denial due to NOT PRESENT MOD with INCL BILL TYPE and INCL DIAG (ALL_FAC)</t>
  </si>
  <si>
    <t>Deny PROC code when bill type and DX are present and MOD is not present</t>
  </si>
  <si>
    <t>PROC denial due to NOT PRESENT CONDITION CODE with INCL BILL TYPE and INCL DIAG (ALL_FAC)</t>
  </si>
  <si>
    <t>Deny PROC code when bill type and DX are present and condition code is not present</t>
  </si>
  <si>
    <t>PROC denial due to NOT PRESENT PROVIDER TYPE with INCL MOD</t>
  </si>
  <si>
    <t>Deny PROC code when MOD is present and PROV tyoe is not present</t>
  </si>
  <si>
    <t>PROV TYPE denial due to NOT PRESENT BILL TYPE (ALL_FAC)</t>
  </si>
  <si>
    <t>Deny PROV TYPE when bill type is not present</t>
  </si>
  <si>
    <t>PROC denial due to PRESENT OTHER PROC with D-S INCL MOD (1-KEY D-S; SAME DOS; Same Prov)</t>
  </si>
  <si>
    <t>Deny PROC code if support code is present in the same DOS by the same PROV with MOD in the category present on both deny and support .</t>
  </si>
  <si>
    <t>PROC denial due PRESENT PROV TYPE (Cross Claims)</t>
  </si>
  <si>
    <t>Deny PROC code when PROV TYPE is present</t>
  </si>
  <si>
    <t>PROC denial due to PRESENT PROV TYPE and NOT PRESENT POS</t>
  </si>
  <si>
    <t>Deny PROC code when PROV TYPE is present and POS is not present.</t>
  </si>
  <si>
    <t>INDIVIDUAL PROC denial due to FREQ - Line Quantity (DAYS_RANGE, INCL SAME DOS; FTIN_SPEC1)(QTY=1 and ADD LINE=N)</t>
  </si>
  <si>
    <t>INDIVIDUAL REV denial due to FREQ with D-S INCL BILL TYPE Line Quantity (SAME DOS; XPROV)(QTY=1 and ADD LINE=N)</t>
  </si>
  <si>
    <t>INDIVIDUAL REV denial due to FREQ with D-S INCL BILL TYPE Line Quantity (DAYS_RANGE;INCL SAME DOS; XPROV)(QTY&gt;1 and ADD LINE=N)</t>
  </si>
  <si>
    <t>INDIVIDUAL REV denial due to FREQ with D-S INCL BILL TYPE Line Quantity (DAYS_RANGE;INCL SAME DOS; XPROV)(QTY=1 and ADD LINE=N)</t>
  </si>
  <si>
    <t>PROC denial due to PRESENT OTHER PROC with DENY INCL DIAG (1-KEY D-S; SAME DOS; XPROV)</t>
  </si>
  <si>
    <t>Deny PROC code if support code is present in the same DOS by any PROV with DX code in the category present on deny line.</t>
  </si>
  <si>
    <t>PROC denial due to PRESENT OTHER PROC with DENY INCL MOD1 and DENY INCL MOD2 (1-KEY D-S; DAYS_RANGE INCL SAME DOS; SAME PROV_ID)</t>
  </si>
  <si>
    <t>Deny PROC code if support code is present in a given days range (including the same DOS) by the same PROV ID with MOD present on deny line and a different MOD  present on deny line.</t>
  </si>
  <si>
    <t>PROC denial due to ONLY PRESENT DIAG</t>
  </si>
  <si>
    <t>Deny PROC code when only specific DX is present.</t>
  </si>
  <si>
    <t>PROC denial due to NOT PRESENT OTHER PROC with D-S INCL PROV SPEC AND D-S INCL PROV TYPE (1-KEY D-S; SAME DOS; XPROV)</t>
  </si>
  <si>
    <t>Deny PROC code if support code is not present in the same DOS by any PROV with PROV SPEC code and PROV TYPE code in respective categories present on both deny and support .</t>
  </si>
  <si>
    <t>PROC denial due to PRESENT AGE and PRESENT PROV SPEC and PRESENT PROV TYPE</t>
  </si>
  <si>
    <t>Deny PROC code when member age, PROV SPEC and PROV TYPE is present.</t>
  </si>
  <si>
    <t>PROC denial due to PRESENT OTHER PROC with DENY INCL MOD and SUPPORT EXCL MOD (1-KEY D-S; SAME DOS; SAME PROV)</t>
  </si>
  <si>
    <t>Deny PROC code if support code is present in same DOS by the same PROV with MOD in the category present on deny line and MOD in the category not present on support line.</t>
  </si>
  <si>
    <t>PROC denial due to NOT PRESENT DIAG with INCL GENDER</t>
  </si>
  <si>
    <t>Deny PROC code when gender is present and correct DX is not present</t>
  </si>
  <si>
    <t>Deny PROC code when MOD and provider specialty is present</t>
  </si>
  <si>
    <t>PROC denial due to NOT PRESENT OTHER PROC with D-S INCL PROV SPEC AND D-S INCL POS (1-KEY D-S; SAME DOS; XPROV)</t>
  </si>
  <si>
    <t>Deny PROC code if support code is not present in same DOS by any PROV with PROV SPEC code in the   and POS code in the   present on on both deny and support .</t>
  </si>
  <si>
    <t>PROC denial due to AGE with INCL BILL TYPE (Facility)</t>
  </si>
  <si>
    <t>Deny PROC code when member age and bill type of facility is present.</t>
  </si>
  <si>
    <t>INDIVIDUAL PROC denial due to FREQ - Line Quantity (DAYS_RANGE; INCL SAME DOS; XPROV) (QTY=1 and ADD LINE = N) with INCL AGE</t>
  </si>
  <si>
    <t>PROC denial due to PRESENT OTHER PROC (1-KEY D-S; DAYS BEFORE INCL SAME DOS; SAME PROV)</t>
  </si>
  <si>
    <t>Deny PROC code if support code is present in given days before (including the same DOS) by the same PROV.</t>
  </si>
  <si>
    <t>PROC denial due to PRESENT OTHER PROC with DENY INCL DIAG (1-KEY D-S; DAYS; SAME DOS; XPROV)</t>
  </si>
  <si>
    <t>Deny PROC code if support code is present in given days (including the same DOS) by any PROV with DX code in the category present on deny line.</t>
  </si>
  <si>
    <t>PROC denial due to PRESENT OTHER PROC with D-S INCL PROV TYPE (1-KEY D-S; SAME DOS; XPROV)</t>
  </si>
  <si>
    <t>Deny PROC code if support code is present in the same DOS by any PROV with PROV TYPE code in the category present on both deny and support .</t>
  </si>
  <si>
    <t>PROC GROUP denial due to FREQ with D-S INCL PROV TYPE - Line Quantity (DAYS_RANGE INCL SAME DOS; SAME PROV)(QTY=1 and ADD LINE=N)</t>
  </si>
  <si>
    <t>Deny the PROC codes in the same subgroup, in any combination, when the QTY exceeds the maximum allowed in a given days range (including the same DOS) by the same PROV with PROV TYPE code in the category present on both deny and support .</t>
  </si>
  <si>
    <t>PROC denial due to PRESENT OTHER PROC with D-S INCL POS and D-S PROV TYPE (1-KEY D-S; SAME DOS; XPROV)</t>
  </si>
  <si>
    <t>Deny PROC code if support code is present in the same DOS by any PROV with POS code in the category and PROV TYPE code in the category present on both deny and support .</t>
  </si>
  <si>
    <t>INDIVIDUAL PROC denial due to FREQ with D-S INCL POS and D-S INCL PROV TYPE - Line Quantity (SAME DOS; SAME PROV)(QTY PER PROC, ADD LINE=N)</t>
  </si>
  <si>
    <t>Deny individual PROC code if QTY exceeds allowed amount in the same DOS by the same PROV with POS code in the category and PROV TYPE code in the category present on both deny and support .</t>
  </si>
  <si>
    <t>PROC denial due to NOT PRESENT MOD with INCL PROVIDER TYPE</t>
  </si>
  <si>
    <t>Deny PROC code when PROV TYPE is present and MOD is not present</t>
  </si>
  <si>
    <t>INDIVIDUAL PROC denial due to FREQ with D-S INCL PROV TYPE - Line_Quantity (CALENDAR_YEAR; INCL SAME DOS; XPROV)(QTY PER PROC, ADD LINE=N)</t>
  </si>
  <si>
    <t>Deny PROC code if QTY exceeds allowed amount in a calendar year (including the same DOS) by any PROV with PROV TYPE code in the category present on both deny and support .</t>
  </si>
  <si>
    <t>PROC denial due to NOT PRESENT MOD1, AND/OR NOT PRESENT MOD2 with INCL PROV TYPE</t>
  </si>
  <si>
    <t>Deny PROC code when PROV TYPE is present and correct MOD and distinct correct MOD is not present</t>
  </si>
  <si>
    <t>PROC denial due to NOT PRESENT MOD1, AND/OR NOT PRESENT MOD2 with INCL POS</t>
  </si>
  <si>
    <t xml:space="preserve">Deny PROC code when POS is present and when two disctinct MODs from the categories are not present. </t>
  </si>
  <si>
    <t xml:space="preserve">INDIVIDUAL PROC denial due to FREQ - Line Quantity with D-S INCL PROV TYPE (DAYS_RANGE; INCL SAME DOS; XPROV) (QTY PER PROC, ADD LINE=N) </t>
  </si>
  <si>
    <t>Deny PROC code if QTY exceeds allowed amount in a given days range (including the same DOS) by any PROV with PROV TYPE code in the category present on both deny and support .</t>
  </si>
  <si>
    <t>INDIVIDUAL PROC denial due to FREQ with D-S EXCL MOD - Line_Quantity (DAYS_RANGE; INCL SAME DOS; XPROV)(QTY PER PROC, ADD LINE=N)</t>
  </si>
  <si>
    <t>Deny individual PROC code if QTY exceeds allowed amount in a given days range (including the same DOS) by any PROV with MOD in the category not present on both deny and support .</t>
  </si>
  <si>
    <t>Deny individual proc code if QTY exceeds allowed amount in a given days range (including the same DOS) by any PROV with MOD in the category present on both deny and support .</t>
  </si>
  <si>
    <t>INDIVIDUAL PROC denial due to FREQ with D-S EXCL MOD - Line Quantity (DAYS_RANGE; INCL SAME DOS; SAME PROV)(QTY PER PROC, ADD LINE=N)</t>
  </si>
  <si>
    <t>Deny individual PROC code if QTY exceeds allowed amount in a given days range (including the same DOS) by the same PROV with MOD in the category not present on both deny and support .</t>
  </si>
  <si>
    <t>INDIVIDUAL PROC denial due to FREQ with D-S INCL PROV TYPE - Line Quantity (DAYS_RANGE; INCL SAME DOS; SAME PROV)(QTY PER PROC, ADD LINE=N)</t>
  </si>
  <si>
    <t>Deny individual code if QTY exceeds allowed amount in a given days range (including the same DOS) by the same PROV with PROV TYPE code is present on both deny and support .</t>
  </si>
  <si>
    <t>INDIVIDUAL PROC denial due to FREQ with D-S INCL DIAG - Line Quantity (DAYS_RANGE; INCL SAME DOS; XPROV)(QTY PER PROC, ADD LINE=N)</t>
  </si>
  <si>
    <t>Deny individual PROC code if QTY exceeds allowed amount in a given days range (including the same DOS) by any PROV with DX code in the category present on both deny and support .</t>
  </si>
  <si>
    <t>INDIVIDUAL PROC denial due to FREQ with D-S INCL DIAG - Line Quantity (DAYS_RANGE; INCL SAME DOS; SAME PROV)(QTY PER PROC, ADD LINE=N)</t>
  </si>
  <si>
    <t>Deny individual PROC code if QTY exceeds allowed amount in a given days range (including the same DOS) by the same PROV with DX code in the category present on both deny and support .</t>
  </si>
  <si>
    <t>INDIVIDUAL PROC denial due to FREQ - Line Quantity (CALENDAR_YEAR; INCL SAME DOS; XPROV)(QTY PER PROC, ADD LINE=N)</t>
  </si>
  <si>
    <t>Deny individual PROC code if QTY exceeds allowed amount in a calendar year (including the same DOS) by any PROV.</t>
  </si>
  <si>
    <t>INDIVIDUAL PROC denial due to FREQ - Line Quantity (CALENDAR_MONTH; INCL SAME DOS; XPROV)(QTY PER PROC, ADD LINE=N)</t>
  </si>
  <si>
    <t>Deny individual PROC code if QTY exceeds allowed amount in a calendar month (including the same DOS) by any PROV.</t>
  </si>
  <si>
    <t xml:space="preserve">INDIVIDUAL PROC denial due to FREQ with INCL AGE - Line Quantity (CALENDAR_YEAR; INCL SAME DOS; XPROV)(QTY PER PROC, ADD LINE=N) </t>
  </si>
  <si>
    <t>Deny individual PROC code if QTY exceeds allowed amount in a calendar year (including the same DOS) by any PROV and the member age is met.</t>
  </si>
  <si>
    <t>INDIVIDUAL PROC denial due to FREQ with D-S INCL REV - Line Quantity (DAYS_RANGE; INCL SAME DOS; XPROV)(QTY PER PROC, ADD LINE=N)</t>
  </si>
  <si>
    <t>Deny proc code if QTY exceeds allowed amount in a given days range (including the same DOS) by any PROV with revenue code in the category present on both deny and support .</t>
  </si>
  <si>
    <t>INDIVIDUAL PROC denial due to FREQ - Line Quantity (CALENDAR_YEAR; INCL SAME DOS; SAME PROV)(QTY PER PROC, ADD LINE=N)</t>
  </si>
  <si>
    <t>Deny individual PROC code if QTY exceeds allowed amount in a calendar year (including the same DOS) by the same PROV.</t>
  </si>
  <si>
    <t>INDIVIDUAL PROC denial due to FREQ with INCL AGE and D-S INCL GENDER - Line Quantity (DAYS_RANGE; INCL SAME DOS; XPROV)(QTY PER PROC, ADD LINE=N)</t>
  </si>
  <si>
    <t>Deny individual PROC code if QTY exceeds allowed amount in a given days range (including the same DOS) by any PROV when the member age is met and gender is present on both deny and support .</t>
  </si>
  <si>
    <t xml:space="preserve">INDIVIDUAL PROC denial due to FREQ with D-S INCL MOD - Line Quantity (CALENDAR_YEAR; INCL SAME DOS; XPROV)(QTY PER PROC, ADD LINE=N) </t>
  </si>
  <si>
    <t>Deny PROC code if QTY exceeds allowed amount in a calendar year (including the same DOS) by any PROV with MOD in the category present on both deny and support .</t>
  </si>
  <si>
    <t>INDIVIDUAL PROC denial due to FREQ - Line Quantity (CALENDAR_YEAR; INCL SAME DOS; XPROV)(QTY PER PROC, ADD LINE=N)(ALL_FAC)</t>
  </si>
  <si>
    <t>INDIVIDUAL PROC denial due to FREQ - Line Quantity (DAYS_RANGE; INCL SAME DOS; SAME BILLING_NPI)(QTY PER PROC, ADD LINE=N)</t>
  </si>
  <si>
    <t>Deny individual PROC code if QTY exceeds allowed amount in a given days range (including the same DOS) by the same billing PROV NPI.</t>
  </si>
  <si>
    <t>INDIVIDUAL REV denial due to FREQ with D-S INCL BILL TYPE - Line Quantity (DAYS_RANGE;INCL SAME DOS; XPROV)(QTY PER PROC, ADD LINE=N)</t>
  </si>
  <si>
    <t>INDIVIDUAL PROC denial due to FREQ with DENY EXCL DIAG (DAYS_RANGE, INCL SAME DOS; SAME PROV)(QTY PER PROC, ADD LINE=N)</t>
  </si>
  <si>
    <t>Deny individual PROC code if QTY exceeds allowed amount in a given days range (including the same DOS) by the same PROV with DX code in the category not present on deny line.</t>
  </si>
  <si>
    <t>INDIVIDUAL PROC denial due to FREQ with D-S INCL PROV SPEC - Line_Quantity (DAYS_RANGE; INCL SAME DOS; XPROV; QTY PER PROC, ADD LINE=N)</t>
  </si>
  <si>
    <t>Deny individual PROC code if QTY exceeds allowed amount in a given days range (including the same DOS) by any PROV with PROV SPEC code in the category present on both deny and support .</t>
  </si>
  <si>
    <t>INDIVIDUAL PROC denial due to FREQ - Line Quantity (DAYS_RANGE, INCL SAME DOS; FTIN_SPEC1)(QTY PER PROC, ADD LINE=N)</t>
  </si>
  <si>
    <t>Deny individual PROC code if QTY exceeds allowed amount in a given days range (including the same DOS) by the same PROV FTIN_SPEC1.</t>
  </si>
  <si>
    <t xml:space="preserve">INDIVIDUAL PROC denial due to FREQ with INCL AGE - Line Quantity (DAYS_RANGE; INCL SAME DOS; XPROV)(QTY PER PROC, ADD LINE=N) </t>
  </si>
  <si>
    <t>Deny individual PROC code if QTY exceeds allowed amount in a given days range (including the same DOS) by any PROV and the member age is met.</t>
  </si>
  <si>
    <t>INDIVIDUAL PROC denial due to FREQ - Line Quantity (DAYS_RANGE; INCL SAME DOS; SAME PROV)(QTY PER PROC, ADD LINE=N)</t>
  </si>
  <si>
    <t>Deny individual PROC code if QTY exceeds allowed amount in a given days range (including the same DOS) by the same PROV.</t>
  </si>
  <si>
    <t>INDIVIDUAL PROC denial due to FREQ with D-S EXCL DIAG - Line Quantity (DAYS_RANGE, INCL SAME DOS; XPROV)(QTY PER PROC, ADD LINE=N)</t>
  </si>
  <si>
    <t>Deny individual PROC code if QTY exceeds allowed amount in a given days range (including the same DOS) by any PROV with DX code in the category not present on both deny and support .</t>
  </si>
  <si>
    <t>INDIVIDUAL PROC denial due to FREQ with INCL AGE - Line Quantity (DAYS_RANGE, INCL SAME DOS, XPROV)(QTY PER PROC, ADD LINE=N) (Cross Claims)</t>
  </si>
  <si>
    <t>INDIVIDUAL PROC denial due to FREQ with D-S EXCL DIAG (DAYS_RANGE, INCL SAME DOS; SAME PROV)(QTY PER PROC, ADD LINE=N)</t>
  </si>
  <si>
    <t>Deny individual PROC code if QTY exceeds allowed amount in a given days range (including the same DOS) by the same PROV with DX code in the category not present on both deny and support .</t>
  </si>
  <si>
    <t>INDIVIDUAL PROC denial due to FREQ - Line Quantity (DAYS_RANGE; INCL SAME DOS; XPROV)(QTY PER PROC, ADD LINE=N)(OUTPAT_FAC)</t>
  </si>
  <si>
    <t>INDIVIDUAL PROC denial due to FREQ with INCL AGE and D-S EXCL MOD - Line_Quantity (DAYS_RANGE; INCL SAME DOS; XPROV)(QTY PER PROC, ADD LINE=N)</t>
  </si>
  <si>
    <t>Deny individual PROC code if QTY exceeds allowed amount in a given days range (including the same DOS) by any PROV and the member age is met, and with MOD in the category not present on both deny and support .</t>
  </si>
  <si>
    <t>INDIVIDUAL PROC denial due to FREQ with INCL AGE and D-S INCL MOD - Line_Quantity (DAYS_RANGE; INCL SAME DOS; XPROV)(QTY PER PROC, ADD LINE=N)</t>
  </si>
  <si>
    <t xml:space="preserve">Deny PROC code if billed more than allowed per days range, by any PROV, with age met and MOD present on deny and support . </t>
  </si>
  <si>
    <t>INDIVIDUAL PROC denial due to FREQ - Line Quantity with INCL D-S POS (CALENDAR_MONTH; INCL SAME DOS; XPROV)(QTY PER PROC, ADD LINE=N)</t>
  </si>
  <si>
    <t>Deny individual PROC code if QTY exceeds allowed amount in a given calendar month (including the same DOS) by any PROV with POS in the category present on both deny and support .</t>
  </si>
  <si>
    <t>INDIVIDUAL PROC denial due to FREQ with D-S INCL MOD - Line Quantity (CALENDAR_MONTH; INCL SAME DOS; XPROV)(QTY PER PROC, ADD LINE=N)</t>
  </si>
  <si>
    <t>Deny proc code if QTY exceeds allowed amount in a given calendar month (including the same DOS) by any PROV with modifer in the category present on both deny and support .</t>
  </si>
  <si>
    <t>INDIVIDUAL PROC denial due to FREQ with D-S EXCL MOD - Line Quantity (CALENDAR_MONTH; INCL SAME DOS; XPROV)(QTY PER PROC, ADD LINE=N)</t>
  </si>
  <si>
    <t>Deny individual PROC code if allowed amount is exceeded in a given calendar month (including the same DOS) by any PROV with modifer in the category not present on both .</t>
  </si>
  <si>
    <t>INDIVIDUAL PROC denial due to FREQ - Line Quantity (CALENDAR_YEAR; INCL SAME DOS; XPROV)(QTY PER PROC, ADD LINE=N)(OUTPAT_FAC)</t>
  </si>
  <si>
    <t>Deny individual PROC code if QTY exceeds allowed amount in a calendar year on the same DOS by any PROV</t>
  </si>
  <si>
    <t>INDIVIDUAL PROC denial due to FREQ with INCL AGE and D-S INCL PROV SPEC - Line_Quantity (DAYS_RANGE; INCL SAME DOS; XPROV)(QTY PER PROC, ADD LINE=N)</t>
  </si>
  <si>
    <t>Deny PROC if allowed amount is exceeded in a given days range (including the same DOS) by any PROV including member age with PROV SPEC present on both .</t>
  </si>
  <si>
    <t>DIAG denial due to PRESENT AnyLineDX (INPAT_FAC)</t>
  </si>
  <si>
    <t>Deny DX code as non-covered when billed in inpatient facility.</t>
  </si>
  <si>
    <t xml:space="preserve">INDIVIDUAL PROC denial due to FREQ with D-S INCL DIAG - Line Quantity (SAME DOS; XPROV)(QTY&gt;1 and ADD LINE=N) </t>
  </si>
  <si>
    <t>Deny individual PROC code if QTY exceeds allowed amount on the same DOS by any PROV when DX in the category is present on deny or support line.</t>
  </si>
  <si>
    <t>INDIVIDUAL PROC denial due to FREQ with D-S EXCL PROV TYPE with INCL AGE - Line_Quantity (CALENDAR_YEAR; INCL SAME DOS; SAME PROV)(QTY PER PROC, ADD LINE=N)</t>
  </si>
  <si>
    <t>Deny individual PROC code if QTY exceeds allowed amount in a calendar year (including the same DOS) by the same PROV and the member age is met, and with PROV TYPE code in the category not present on both deny and support .</t>
  </si>
  <si>
    <t>PROC denial due to PRESENT PROV TYPE, PRESENT MOD, and NOT PRESENT POS</t>
  </si>
  <si>
    <t>Deny PROC code when PROV TYPE and MOD are present and POS not present.</t>
  </si>
  <si>
    <t>PROC denial due to NOT PRESENT OTHER PROC with DENY INCL MOD (1-KEY D-S; SAME DOS; XPROV)</t>
  </si>
  <si>
    <t>Deny PROC code if support code is not present in the same DOS by any PROV with MOD in the   present on deny line.</t>
  </si>
  <si>
    <t>PROC denial due to PRESENT PROV TYPE and PRESENT POS</t>
  </si>
  <si>
    <t>Deny PROC code when PROV TYPE and POS are present.</t>
  </si>
  <si>
    <t>PROC denial due to NOT PRESENT PROVIDER TYPE and NOT PRESENT POS </t>
  </si>
  <si>
    <t>Deny PROC code when PROV TYPE and POS not present.</t>
  </si>
  <si>
    <t>PROC denial due to PRESENT OTHER PROC (Not in Category) with D-S INCL POS (1-KEY D-S; SAME DOS; XPROV)</t>
  </si>
  <si>
    <t>Deny PROC code if support code not in category is present in the same DOS by any PROV with POS code in the category present on on both deny and support .</t>
  </si>
  <si>
    <t>INDIVIDUAL PROC denial due to FREQ with D-S INCL SECONDARY DIAG and POS - Line Quantity (DAYS_RANGE; INCL SAME DOS; XPROV) (QTY PER PROC, ADD LINE=N)</t>
  </si>
  <si>
    <t>Deny individual PROC code if QTY exceeds allowed amount in a given days range, including same DOS, by any PROV, with secondary DX code and POS present on both deny and support lines.</t>
  </si>
  <si>
    <t>PROC GROUP denial due to FREQ with D-S INCL PROV SPEC - Line Quantity (SAME DOS; XPROV)(QTY&gt;1 and ADD LINE=N)</t>
  </si>
  <si>
    <t>Deny the PROC codes in the same subgroup, in any combination, when the QTY exceeds the MAX allowed in the same DOS by any PROV with PROV SPEC code in the category present on both deny and support .</t>
  </si>
  <si>
    <t>PROC GROUP denial due to FREQ with DENY EXCL MOD - Line Quantity (CALENDAR_YEAR;INCL SAME DOS; XPROV)(QTY&gt;1 and ADD LINE=N)</t>
  </si>
  <si>
    <t>Deny the PROC codes in the same subgroup, in any combination, when the QTY exceeds the MAX allowed in a calendar year (including the same DOS) by any PROV with MOD in the category not present on deny line.</t>
  </si>
  <si>
    <t>PROC denial due to NOT PRESENT MOD and-or NOT PRESENT POS</t>
  </si>
  <si>
    <t>Deny PROC code when MOD and POS is not present</t>
  </si>
  <si>
    <t>INDIVIDUAL PROC denial due to FREQ with D-S MOD EXCL - Line_Quantity (SAME DOS; SAME PROV_ID) (QTY 1 and ADD LINE=N)</t>
  </si>
  <si>
    <t>Deny individual PROC code if QTY exceeds allowed amount on the same DOS by the same PROV when MOD in the category is not present on deny or support line.</t>
  </si>
  <si>
    <t>PROC GROUP denial due to FREQ with D-S INCL MOD - Line Quantity (SAME DOS; XPROV)(QTY&gt;1 and ADD LINE=N)</t>
  </si>
  <si>
    <t>Deny the PROC codes in the same subgroup, in any combination, when the QTY exceeds the MAX allowed in the same DOS and when the MOD in the category is present on both deny and support .</t>
  </si>
  <si>
    <t>INDIVIDUAL PROC denial due to FREQ with D-S INCL MOD - Line Quantity (SAME DOS; SAME PROV)(QTY=1 and ADD LINE=N)</t>
  </si>
  <si>
    <t xml:space="preserve">Deny individual PROC code if QTY exceeds allowed amount on the same DOS by the same PROV when MOD in the category is present on both deny and support . </t>
  </si>
  <si>
    <t>PROC denial due to NOT PRESENT DX with INCL PROV SPEC</t>
  </si>
  <si>
    <t xml:space="preserve">Deny PROC code when submitted with this PROV SPEC and a covered DX code is not present. </t>
  </si>
  <si>
    <t>PROC denial due to NOT PRESENT Revenue Code with INCL PROV SPEC (ALL_FAC)</t>
  </si>
  <si>
    <t xml:space="preserve">Deny PROC code when submitted with this PROV SPEC and a covered revenue code is not present. </t>
  </si>
  <si>
    <t>INDIVIDUAL PROC denial due to FREQ with INCL AGE, D-S INCL DIAG1 and D-S INCL DIAG2- Line Quantity (DAYS_RANGE; INCL SAME DOS; XPROV)(QTY PER PROC, ADD LINE=N)</t>
  </si>
  <si>
    <t>Deny individual PROC code when age criteris is met if QTY exceeds allowed amount on the same DOS by the same PROV and both DX in the categories are present on deny and support line.</t>
  </si>
  <si>
    <t>INDIVIDUAL PROC denial due to FREQ with INCL AGE, D-S INCL DIAG- Line Quantity (DAYS_RANGE; INCL SAME DOS; XPROV)(QTY PER PROC, ADD LINE=N)</t>
  </si>
  <si>
    <t>Deny individual PROC code when age criteris is met if QTY exceeds allowed amount on the same DOS by the same PROV and DX in the category is present on deny and support line.</t>
  </si>
  <si>
    <t>PROC denial due to NOT PRESENT MOD with INCL Prov Spec</t>
  </si>
  <si>
    <t xml:space="preserve">Deny PROC code if PROV SPEC is present and  MOD is not present. </t>
  </si>
  <si>
    <t>INDIVIDUAL PROC denial due to FREQ with D-S INCL BILL TYPE - Line Quantity (DAYS_RANGE;INCL SAME DOS; XPROV)(QTY PER PROC, ADD LINE=N)</t>
  </si>
  <si>
    <t>Deny individual PROC code if QTY exceeds allowed amount in a given days range (including the same DOS) by any PROV with bill type in the category present on both deny and support .</t>
  </si>
  <si>
    <t xml:space="preserve">REV Code denial due to PRESENT OTHER REV Code (2-KEY D-S; SAME DOS; XPROV) (DIFF CLAIMS ONLY) </t>
  </si>
  <si>
    <t xml:space="preserve">Deny revenue code if support code is present in the same DOS by any PROV on different claims only. </t>
  </si>
  <si>
    <t xml:space="preserve">INDIVIDUAL PROC denial due to FREQ with INCL AGE and D-S INCL DIAG and D-S EXCL DIAG - Line Quantity (DAYS_RANGE; INCL SAME DOS; XPROV)(QTY PER PROC, ADD LINE=N) </t>
  </si>
  <si>
    <t>Deny individual PROC code when age criteria is met if QTY exceeds allowed amount in a given days range (including the same DOS) by any PROV and DX in the category is present on deny and support line, and DX is not present on deny and support line.</t>
  </si>
  <si>
    <t>PROC denial due to PRESENT MOD with INCL BILL TYPE (ALL_FAC)</t>
  </si>
  <si>
    <t>Deny PROC code if MOD and bill type are present for facility claims.</t>
  </si>
  <si>
    <t xml:space="preserve">PROC GROUP denial due to FREQ with D-S INCL PROV SPEC Line Quantity (CALENDAR_YEAR; INCL SAME DOS; XPROV)(QTY&gt;1 and ADD LINE=N) </t>
  </si>
  <si>
    <t>Deny the PROC codes in the same subgroup, in any combination, when the QTY exceeds the maximum allowed in a calendar year (including the same DOS) by any PROV and the PROV SPEC in the category is present on both deny and support .</t>
  </si>
  <si>
    <t xml:space="preserve">PROC GROUP denial due to FREQ with D-S INCL MOD Line Quantity (CALENDAR_YEAR; INCL SAME DOS; XPROV)(QTY&gt;1 and ADD LINE=N) (ALL_FAC) </t>
  </si>
  <si>
    <t>Deny the PROC codes in the same subgroup, in any combination, when the QTY exceeds the MAX allowed in a calendar year (including the same DOS) by any PROV and the MOD in the category is present on both deny and support .</t>
  </si>
  <si>
    <t>Denial due to PRESENT BILL TYPE and NOT PRESENT Present on Admission (POA) Indicator</t>
  </si>
  <si>
    <t xml:space="preserve">Deny claim when bill type is present and the Present on Admission indicator is not present on the Principal DX. </t>
  </si>
  <si>
    <t>Admission Type denial due to NOT PRESENT Value Code (ALL_FAC)</t>
  </si>
  <si>
    <t xml:space="preserve">Deny claim when submitted without a valid admission type and value type. </t>
  </si>
  <si>
    <t xml:space="preserve">PROC denial due to PRESENT OTHER PROC with D-S INCL POS and S-Line EXCL MOD OR PROC and MOD2 OR PROC and MOD3 (1-KEY D-S; SAME DOS; SAME PROV) </t>
  </si>
  <si>
    <t>Deny PROC code if support code is present on the same day, by the same PROV, with POS present on both lines and 3 distinct MODs and PROC present on support support line.</t>
  </si>
  <si>
    <t>INDIVIDUAL PROC denial due to FREQ with D-S INCL POS and D-S INCL PROV TYPE - Line Quantity (SAME DOS; XPROV)(QTY PER PROC, ADD LINE=N)</t>
  </si>
  <si>
    <t>Deny individual PROC code if QTY exceeds allowed amount on the same day by any PROV with PROV TYPE and POS present in both deny and support line.</t>
  </si>
  <si>
    <t>PROC denial due to NOT PRESENT PROVIDER TYPE and NOT PRESENT BILL TYPE</t>
  </si>
  <si>
    <t xml:space="preserve">Deny PROC code if PROV TYPE and bill type are not present. </t>
  </si>
  <si>
    <t>PROC denial due to NOT PRESENT DX1 and-or NOT PRESENT MOD1 or PROC denial due to NOT PRESENT DX2 and-or NOT PRESENT MOD2</t>
  </si>
  <si>
    <t>PROC denial due to NOT PRESENT OTHER PROC (1-KEY D-S, SAME DOS; XPROV) with DENY INCL MOD1 and SUPPORT INCL MOD2</t>
  </si>
  <si>
    <t>Deny PROC code if support code is not present in the same DOS by any PROV with MOD in the   present on deny line, with MOD in the   present on support line.</t>
  </si>
  <si>
    <t>PROC denial due to PRESENT OTHER PROC (1-KEY D-S; DAYS; EXCL SAME DOS, PROV_FTIN)</t>
  </si>
  <si>
    <t>Deny PROC code if support code is present in given days (excluding the same DOS) by the same Line_PROVFtin.</t>
  </si>
  <si>
    <t>PROC GROUP denial due to FREQ with D-S INCL DIAG - Line Quantity (DAYS_RANGE; INCL SAME DOS; XPROV)(QTY&gt;1 and ADD LINE=N)</t>
  </si>
  <si>
    <t>Deny the PROC codes in the same subgroup, in any combination, when the QTY exceeds the MAX allowed in a given days range (including the same DOS) by any PROV with DX code in the category present on both deny and support .</t>
  </si>
  <si>
    <t>PROC GROUP denial due to FREQ with D-S EXCL MOD- Line Quantity (SAME DOS; SAME PROV)(QTY=1 and ADD LINE=N)</t>
  </si>
  <si>
    <t>Deny the PROC codes in the same subgroup, in any combination, when QTY exceeds the maximum allowed on the same DOS by the same PROV with MOD in the category not present on both deny and support .</t>
  </si>
  <si>
    <t>REV CODE denial due to PRESENT AGE</t>
  </si>
  <si>
    <t xml:space="preserve">Deny Revenue code if age criteria is not met. </t>
  </si>
  <si>
    <t>REV denial due to PRESENT GENDER (ALL_FAC)</t>
  </si>
  <si>
    <t>Deny Revenue code when gender guide specified in the medicaid documentation are not met.</t>
  </si>
  <si>
    <t>PROC denial due to NOT PRESENT OTHER PROC (1-KEY D-S; DAYS_RANGE INCL SAME DOS; XPROV)</t>
  </si>
  <si>
    <t>Deny PROC code if submitted without a different PROC code within the specified date span.</t>
  </si>
  <si>
    <t xml:space="preserve">REV CODE GROUP denial  due to FREQ with INCL AGE - Line_Quantity accumulation (DAYS_RANGE;SAME DOS; XPROV)(QTY&gt;1 and ADD LINE=N)(ALL_FAC) </t>
  </si>
  <si>
    <t>Deny revenue codes in the same subgroup, in any combination, when the QTY exceeds the maximum allowed on the same DOS across PROVs and the age criteria is met.</t>
  </si>
  <si>
    <t>PROC denial due to PRESENT OTHER PROC with DENY INCL MOD1 and SUPPORT INCL MOD2 (1-KEY D-S; SAME DOS; XPROV)</t>
  </si>
  <si>
    <t>Deny PROC code when submitted with MOD and the support code is submitted on the same day with a different MOD</t>
  </si>
  <si>
    <t>PROC denial due to PRESENT OTHER PROC with DENY INCL MOD (1-KEY D-S; SAME DOS; XPROV)</t>
  </si>
  <si>
    <t>Deny PROC code when submitted with another MOD and the support code is submitted on the same day by any PROV.</t>
  </si>
  <si>
    <t>PROC denial due to PRESENT OTHER PROC with DENY MOD EXCL and SUPPORT MOD INCL  (1-KEY D-S; SAME DOS; XPROV)</t>
  </si>
  <si>
    <t>Deny PROC code when MOD in the category is not present on the current line, and the support PROC is submitted with a MOD from another category on the same day by any PROV.</t>
  </si>
  <si>
    <t>INDIVIDUAL PROC denial due to FREQ with D-S INCL MOD and D-S INCL PROV TYPE - Line Quantity (SAME DOS; XPROV) (QTY PER PROC, ADD LINE=N)</t>
  </si>
  <si>
    <t>Deny individual PROC code when qty exceeds the max allowed limit within the given days range (including same day) by any PROV, with MOD and PROV TYPE present on both deny and support lines.</t>
  </si>
  <si>
    <t>INDIVIDUAL PROC denial due to FREQ with INCL AGE and D-S INCL PROV SPEC - Line_Quantity (SAME DAY; XPROV)(QTY PER PROC, ADD LINE=N)</t>
  </si>
  <si>
    <t>Deny individual PROC code when patient age is met and the QTY exceeds the MAX allowed for the same day across any PROV with the PROV SPEC in the category present on both deny and support .</t>
  </si>
  <si>
    <t>INDIVIDUAL PROC denial due to FREQ with D-S INCL MOD1 and EXCL D-S MOD2 - Line_Quantity (DAYS_RANGE; INCL SAME DOS; XPROV)(QTY PER PROC, ADD LINE=N)</t>
  </si>
  <si>
    <t>Deny proc code when the qty exceeds the max allowed in the given days range (including same day) by any PROV submitted with MOD found category and a different MOD from another category.</t>
  </si>
  <si>
    <t>PROC denial due to FREQ with D-S INCL MOD - Line_Quantity (SAME DOS; XPROV)(QTY &gt;1, ADD LINE=N)</t>
  </si>
  <si>
    <t>Deny individual PROC code when the QTY exceeds the maximum allowed on the same day by any PROV submitted with a MOD found in the deny and support line from the category.</t>
  </si>
  <si>
    <t>REV code denial if NOT PRESENT</t>
  </si>
  <si>
    <t xml:space="preserve">Deny line when revenue code from category is not present. </t>
  </si>
  <si>
    <t>INDIVIDUAL PROC denial due to FREQ with D-S INCL MOD1 and MOD2 - Line_Quantity (DAYS_RANGE; INCL SAME DOS; XPROV)(QTY PER PROC, ADD LINE=N)</t>
  </si>
  <si>
    <t xml:space="preserve">Deny individual PROC code when the QTY exceeds the maximum allowed for this date range (including same DOS) by any PROV when both MODs are found on the deny and support line. </t>
  </si>
  <si>
    <t>MODIFIER denial due to PRESENT PROVIDER TYPE. (ALL_FAC)</t>
  </si>
  <si>
    <t>Deny MOD when PROV TYPE is present.</t>
  </si>
  <si>
    <t>PROC denial due to NOT PRESENT OTHER PROC with D-S INCL POS (1-KEY D-S; SAME DOS; XPROV)</t>
  </si>
  <si>
    <t>Deny PROC code if support code is not present on the same DOS by any PROV with POS code in the   present on both deny and support .</t>
  </si>
  <si>
    <t>PROC GROUP denial due to FREQ with INCL D-S BILL TYPE - Line Quantity (SAME DOS;XPROV) (QTY =1 and ADD LINE=N)</t>
  </si>
  <si>
    <t>Deny the PROC codes in the same subgroup, in any combination, when the QTY exceeds the maximum allowed in a the same DOS by any PROV with a bill type in the category present on both deny and support .</t>
  </si>
  <si>
    <t>PROC denial due to NOT PRESENT OTHER PROC with D-S INCL POS and D-S INCL PROV TYPE (1-KEY D-S, SAME DOS; XPROV)</t>
  </si>
  <si>
    <t>Deny PROC code if support code is not present on the same DOS by any PROV with POS code and PROV TYPE  in the   present on both deny and support .</t>
  </si>
  <si>
    <t>PROC denial due to NOT PRESENT Revenue Code and/or NOT PRESENT Bill Type with INCL PROV SPEC (ALL_FAC)</t>
  </si>
  <si>
    <t xml:space="preserve">Deny PROC if PROV SPEC is present and revenue code and bill type in the category are not present. </t>
  </si>
  <si>
    <t>INDIVIDUAL PROC denial due to FREQ with D-S INCL POS - Line Quantity (SAME DOS; XPROV)(QTY PER PROC, ADD LINE=N)</t>
  </si>
  <si>
    <t>Deny individual PROC code when the QTY exceeds the maximum allowed on the same day by any PROV when the POS in the category is found on both the current and support .</t>
  </si>
  <si>
    <t>INDIVIDUAL PROC denial due to FREQ with D-S INCL MOD1 and EXCL D-S MOD2 - Line_Quantity (SAME DOS; XPROV)(ADD LINE=N)</t>
  </si>
  <si>
    <t>Deny PROC code when the QTY exceeds the maximum allowed on the same day by any PROV submitted with a MOD found and a different MOD from another category is not found on both deny and support line.</t>
  </si>
  <si>
    <t>PROC denial due to NOT PRESENT OTHER PROC with D-S INCL POS and D-S INCL PROV TYPE and INCL AGE (1-KEY D-S, SAME DOS; XPROV)</t>
  </si>
  <si>
    <t>Deny PROC code when member age is met if support code is not present on the same DOS by any PROV with POS code and PROV TYPE  in the   present on both deny and support .</t>
  </si>
  <si>
    <t>INDIVIDUAL PROC denial due to FREQ - Line Quantity with D-S INCL MOD1 and D-S INCL MOD2 and D-S INCL PROV TYPE (SAME DOS; XPROV) (QTY PER PROC, ADD LINE=N)</t>
  </si>
  <si>
    <t>Deny individual PROC code when the QTY exceeds the MAX allowed on the same day by any PROV, and the two distinct MODs from category 1 and 2 are present, and the PROV TYPE is present on the deny and support .</t>
  </si>
  <si>
    <t xml:space="preserve">REV CODE GROUP denial with Code due to FREQ with INCL AGE - Line_Quantity accumulation (SAME DOS; XPROV)(QTY=1 and ADD LINE=N)(ALL_FAC) </t>
  </si>
  <si>
    <t>PROC denial due to NOT PRESENT OTHER PROC with D-S INCL PROV TYPE (1-KEY D-S, SAME DOS; XPROV)</t>
  </si>
  <si>
    <t>Deny PROC code when support code is not present on the same DOS by any PROV with PROV TYPE in the   present on both deny and support .</t>
  </si>
  <si>
    <t>PROC denial due to PRESENT OTHER PROC with EXCL DENY DIAG (1-KEY D-S; DAYS BEFORE INCL SAME DOS; XPROV)</t>
  </si>
  <si>
    <t>Deny procedure code if support code is present in given days (including the same date of service) by any provider with diagnosis code in the category present on deny line.</t>
  </si>
  <si>
    <t>PROC denial to due PRESENT MOD1 and PRESENT MOD2</t>
  </si>
  <si>
    <t>Deny PROC code when MODs in category 1 and category 2 are present.</t>
  </si>
  <si>
    <t>PROC GROUP denial due to FREQ with D-S EXCL MOD- Line Quantity (DAYS_RANGE, INCL SAME DOS; XPROV)(QTY&gt;1 and ADD LINE=N)</t>
  </si>
  <si>
    <t>Deny the PROC codes in the same subgroup, in any combination, when the QTY exceeds the MAX allowed in a given days range (including the same DOS) by any PROV with MOD in the category not present on both deny and support .</t>
  </si>
  <si>
    <t>PROC GROUP denial due to FREQ with D-S INCL MOD- Line Quantity (DAYS_RANGE, INCL SAME DOS; XPROV)(QTY&gt;1 and ADD LINE=N)</t>
  </si>
  <si>
    <t>Deny the PROC codes in the same subgroup, in any combination, when the QTY exceeds the MAX allowed in a given days range (including the same DOS) by any PROV with MOD in the category present on both deny and support .</t>
  </si>
  <si>
    <t>PROC denial due to NOT PRESENT OTHER PROC with DENY INCL MOD1 and SUPPORT INCL MOD2 (2-KEY D-S; SAME DOS; XPROV)</t>
  </si>
  <si>
    <t>Deny PROC code if support code is not present on the same DOS by any PROV with MOD in the   present on deny line, with MOD in the   present on support line.</t>
  </si>
  <si>
    <t>PROC GROUP denial due to FREQ with D-S EXCL MOD- Line Quantity (SAME DOS; XPROV)(QTY=1 and ADD LINE=N)</t>
  </si>
  <si>
    <t>Deny the PROC codes in the same subgroup, in any combination, when QTY exceeds the MAX allowed on the same DOS by any PROV with MOD in the category not present on both deny and support .</t>
  </si>
  <si>
    <t>PROC denial due to PRESENT AGE with INCL MOD (ALL_FAC)</t>
  </si>
  <si>
    <t>PROC denial due to PRESENT OTHER PROC with DENY INCL DIAG (1-KEY D-S; DAYS_RANGE; INCL SAME DOS; XPROV)</t>
  </si>
  <si>
    <t>Deny PROC code if support code is present in given days (including the same DOS) by any PROV with DX code present on deny line.</t>
  </si>
  <si>
    <t>PROC denial due to PRESENT AGE with INCL POS and INCL TOS</t>
  </si>
  <si>
    <t>Deny PROC code if age criteria is met and POS and type of service are present</t>
  </si>
  <si>
    <t>PROC denial due to PRESENT AGE with INCL TOS</t>
  </si>
  <si>
    <t xml:space="preserve">Deny PROC code if age criteria is met and type of service is present. </t>
  </si>
  <si>
    <t>PROC denial due to NOT PRESENT GENDER with INCL POS and INCL TOS</t>
  </si>
  <si>
    <t>Deny PROC code if gender is not met and POS and type of service are present.</t>
  </si>
  <si>
    <t>PROC denial due to NOT PRESENT OTHER PROC WITH INCL D-S TOS (1-KEY D-S; SAME DOS; XPROV)</t>
  </si>
  <si>
    <t>Deny PROC code when support code is not present on the same DOS by any PROV with type of service present on both deny and support .</t>
  </si>
  <si>
    <t>PROC denial due to NOT PRESENT MOD with INCL TOS and INCL POS</t>
  </si>
  <si>
    <t>Deny PROC code if MOD is not present and POS and type of service are present.</t>
  </si>
  <si>
    <t>PROC denial due to AGE with INCL TOS, INCL POS, and INCL MOD</t>
  </si>
  <si>
    <t xml:space="preserve">Deny PROC code if age criteria is met and MOD, POS and type of service are present. </t>
  </si>
  <si>
    <t>INDIVIDUAL PROC denial due to FREQ with D-S INCL TOS - Line_Quantity (SAME DOS; XPROV)(QTY=1 and ADD LINE=N)</t>
  </si>
  <si>
    <t>Deny individual PROC code if QTY exceeds allowed amount on the same DOS by any PROV and the type of service is present on both deny and support .</t>
  </si>
  <si>
    <t>PROC denial due to NOT PRESENT GENDER with INCL TOS</t>
  </si>
  <si>
    <t>Deny PROC code if gender is not met and type of service are present.</t>
  </si>
  <si>
    <t>PROC denial due to NOT PRESENT PROV SPEC with INCL TOS</t>
  </si>
  <si>
    <t>Deny PROC code if PROV SPEC is not present and type of service is present.</t>
  </si>
  <si>
    <t>PROC denial due to NOT PRESENT GENDER with INCL MOD and INCL TOS</t>
  </si>
  <si>
    <t>Deny PROC code if gender is not met and MOD and type of service are present.</t>
  </si>
  <si>
    <t>PROC denial due to PRESENT AGE with INCL MOD and INCL TOS</t>
  </si>
  <si>
    <t xml:space="preserve">Deny PROC code if age criteria is met and MOD and type of service are present. </t>
  </si>
  <si>
    <t>PROC denial due to PRESENT AGE with INCL TOS and EXCL MOD</t>
  </si>
  <si>
    <t>Deny PROC code if age criteria is met and type of service is present and MOD is not present.</t>
  </si>
  <si>
    <t>PROC DENIAL DUE TO PRESENT AGE WITH INCL TOS AND INCL BILL TYPE (ALL_FAC)</t>
  </si>
  <si>
    <t xml:space="preserve">Deny PROC code if age criteria is met and type of service and bill type are present. </t>
  </si>
  <si>
    <t>INDIVIDUAL PROC denial due to FREQ with D-S INCL TOS and D-S INCL BILL TYPE - Line_Quantity (DAYS_RANGE; INCL SAME DOS; XPROV) (QTY PER PROC, ADD LINE=N) (ALL_FAC)</t>
  </si>
  <si>
    <t>Deny individiual PROC code when the QTY exceeds the MAX allowed in the given days range (including same day) by any PROV submitted with type of service and bill type present on both deny and support.</t>
  </si>
  <si>
    <t>PROC denial due to PRESENT OTHER PROC with D-S INCL MOD (2-KEY D-S; SAME DOS; XPROV)</t>
  </si>
  <si>
    <t xml:space="preserve">Deny PROC code when the support code is present on the same DOS by any PROV and the MOD is present on both the deny and support . </t>
  </si>
  <si>
    <t>INDIVIDUAL PROC denial due to FREQ with D-S INCL TOS - Line_Quantity (DAYS_RANGE; INCL SAME DOS; XPROV) (QTY PER PROC, ADD LINE=N)</t>
  </si>
  <si>
    <t>Deny individiual PROC code when the QTY exceeds the MAX allowed in the given days range (including same day) by any PROV and the type of service is present on both deny and support line.</t>
  </si>
  <si>
    <t>PROC denial due to NOT PRESENT MOD with INCL TOS</t>
  </si>
  <si>
    <t xml:space="preserve">Deny PROC code if MOD is not present and type of service is present. </t>
  </si>
  <si>
    <t>PROC denial due to PRESENT MOD with INCL TOS</t>
  </si>
  <si>
    <t xml:space="preserve">Deny PROC code if MOD and type of service is present. </t>
  </si>
  <si>
    <t>INDIVIDUAL PROC denial due to FREQ with INCL D-S MOD and D-S INCL TOS - Line_Quantity (DAYS_RANGE; XPROV) (QTY PER PROC, ADD LINE=N)</t>
  </si>
  <si>
    <t>Deny individual PROC code when the QTY exceeds the MAX allowed in a given days range (including the same DOS) by any PROV and the type of service and MOD are present on both deny and support .</t>
  </si>
  <si>
    <t>INDIVIDUAL PROC denial due to FREQ with INCL D-S TOS and D-S EXCL MOD and-Line_Quantity (DAYS_RANGE; XPROV) (QTY PER PROC, ADD LINE=N)</t>
  </si>
  <si>
    <t>Deny individual PROC code when the QTY exceeds the allowed amount in a given days range (including the same DOS) by any PROV and the type of service is present on both deny and support  and MOD is not present on both deny and support .</t>
  </si>
  <si>
    <t>PROC denial due to PRESENT OTHER PROC with INCL D-S TOS (1-KEY D-S; CALENDAR_MONTH; INCL SAME DOS; XPROV)</t>
  </si>
  <si>
    <t>Deny PROC code when support code is present within the same calendar month including the same DOS by any PROV with type of service present on both deny and support .</t>
  </si>
  <si>
    <t>PROC denial due to PRESENT DIAG with INCL TOS</t>
  </si>
  <si>
    <t>Deny PROC code if DX and type of service is present.</t>
  </si>
  <si>
    <t>INDIVIDUAL PROC denial due to FREQ with D-S INCL DIAG and D-S INCL TOS - Line Quantity (DAYS_RANGE; INCL SAME DOS; XPROV) (QTY PER PROC, ADD LINE=N)</t>
  </si>
  <si>
    <t>Deny individiual PROC code when the QTY exceeds the MAX allowed in the given days range (including same day) by any PROV submitted with DX and type of service present on both deny and support line.</t>
  </si>
  <si>
    <t>PROC denial due to NOT PRESENT GENDER with INCL DIAG and INCL TOS.</t>
  </si>
  <si>
    <t>Deny PROC code if gender is not met and DX and type of service are present.</t>
  </si>
  <si>
    <t>PROC denial due to AGE with INCL DIAG and INCL TOS.</t>
  </si>
  <si>
    <t xml:space="preserve">Deny PROC code if age criteria is met and DX and type of service are present. </t>
  </si>
  <si>
    <t>PROC denial due to AGE with NOT PRESENT PROV TYPE and INCL MOD1, INCL MOD2</t>
  </si>
  <si>
    <t xml:space="preserve">Deny PROC code if age criteria is met and MODs are present and PROV TYPE is not present. </t>
  </si>
  <si>
    <t>PROC denial due to PRESENT OTHER PROC with DENY INCL TOS1 and SUPPORT INCL TOS2 (1-KEY D-S; SAME DOS; XPROV)</t>
  </si>
  <si>
    <t>Deny PROC code when support code is present on the same DOS by any PROV with type of service in category 1 is present on deny line and type of service in category 2 is present on support line.</t>
  </si>
  <si>
    <t>PROC denial due to PRESENT OTHER PROC with D-S INCL TOS (1-KEY D-S; SAME DOS; XPROV)</t>
  </si>
  <si>
    <t>Deny PROC code when support code is present on the same DOS by any PROV with type of service present on both deny and support .</t>
  </si>
  <si>
    <t>PROC denial due to PRESENT OTHER PROC W/ INCL AGE (1-KEY D-S; CALENDAR_YEAR; DO NOT INCLUDE SAME DOS; SAME PROV)</t>
  </si>
  <si>
    <t>Deny PROC code when support code is present within a calendar year for the same PROV and the age criteria is met.</t>
  </si>
  <si>
    <t>PROC GROUP denial due to FREQ  with INCL AGE AND EXCL D-S DIAG - Line Quantity (CALENDAR_YEAR; INCL SAME DOS; SAMEPROV)(QTY=1 and ADD LINE=N)</t>
  </si>
  <si>
    <t>Deny PROC codes in the same subgroup, in any combination, when the QTY exceeds the maximum allowed within a calendar year, including the same DOS,  for the same PROV with DX not present on both the deny and support , and the age criteria is met.</t>
  </si>
  <si>
    <t>PROC GROUP denial due to FREQ  with INCL AGE, INCL GENDER, INCL D-S DIAG AND INCL D-S PROV SPEC - Line Quantity (CALENDAR_YEAR; INCL SAME DOS; SAMEPROV)(QTY=1 and ADD LINE=N)</t>
  </si>
  <si>
    <t>Deny PROC codes in the same subgroup, in any combination, when the QTY exceeds the maximum allowed within a calendar year, including the same DOS,  for the same PROV with DX, gender, and PROV SPEC present on both the deny and support , and the age criteria is met.</t>
  </si>
  <si>
    <t>REV denial due PRESENT OTHER REV with D-S INCL BILL TYPE (1-KEY D-S, SAME DOS, XPROV) (ALL_FAC)</t>
  </si>
  <si>
    <t>Deny revenue code if support revenue code is present in the same DOS by any PROV with bill type code in the category present on both deny and support .</t>
  </si>
  <si>
    <t>PROC denial due to PRESENT POA and PRESENT DIAG1 or ICD10_1 and NOT PRESENT DIAG2 or ICD10_2 with INCL BILL TYPE</t>
  </si>
  <si>
    <t xml:space="preserve">Deny when POA indicator is N with Bill Type is present and DX code in category A or icd 10 proc code category B is present and DX codes from categories C or icd 10 proc code category D are not present. </t>
  </si>
  <si>
    <t>Denial due to PRESENT Age,  PRESENT Bill Type, PRESENT POA INDICATOR and PRESENT Claim_DIAG1-12 or ICD10 PROC and EXCL DX1 or DX2</t>
  </si>
  <si>
    <t xml:space="preserve">Deny when patient age is met and POA indicator is N with Bill Type is present and DX code in category A or icd 10 proc code category B is present and DX codes from categories C or D or icd 10 proc code category E are not present. </t>
  </si>
  <si>
    <t>PROC GROUP denial due to FREQ with D-S INCL DIAG- Line Quantity (DAYS_RANGE, INCL SAME DOS; PROV_ID;FTIN_ANY_SPEC)(QTY=1 and ADD LINE=N)</t>
  </si>
  <si>
    <t>Deny the PROC codes in the same subgroup, in any combination, when the QTY exceeds the maximum allowed in a given days range (including the same DOS) by the same PROV or same FTIN and specialty with DX code in the category present on both deny and support .</t>
  </si>
  <si>
    <t>PROC GROUP denial due to FREQ with D-S INCL MOD and D-S INCL DIAG- Line Quantity (DAYS_RANGE, INCL SAME DOS; XPROV)(QTY=1 and ADD LINE=N)</t>
  </si>
  <si>
    <t>Deny the PROC codes in the same subgroup, in any combination, when the QTY exceeds the maximum allowed in a given days range (including the same DOS) across PROVs with DX code and MOD from the categories present on both deny and support .</t>
  </si>
  <si>
    <t>PROC denial due to PRESENT OTHER PROC with INCL D-S DIAG (1-KEY D-S; CALENDAR_YEAR; INCL SAME DOS; XPROV)</t>
  </si>
  <si>
    <t>Deny PROC code if support code is present with a calendar year (including the same DOS) by any PROV with DX code present on deny and support .</t>
  </si>
  <si>
    <t xml:space="preserve">PROC denial due to NOT PRESENT OTHER PROC with Support INCL MOD (1-KEY D-S; SAME DOS; XPROV) </t>
  </si>
  <si>
    <t xml:space="preserve">Deny prcoedure code if support code is not present on the same day across any PROV and MOD from   present on the support line. </t>
  </si>
  <si>
    <t>PROC denial due to NOT PRESENT GENDER, and/or DIAG, and/or TOS with INCL AGE.</t>
  </si>
  <si>
    <t xml:space="preserve">Deny PROC code if age criteria is met and appropriate DX, type of service, and gender are not present. </t>
  </si>
  <si>
    <t>PROC denial due to NOT PRESENT MOD1 and PRESENT MOD2 or MOD 3 and INCL PROV SPEC</t>
  </si>
  <si>
    <t xml:space="preserve">Deny PROC code when PROV SPEC is present and matching MODs in categories A or B are present but MOD in category C is not present. </t>
  </si>
  <si>
    <t>PROC GROUP denial due to FREQ - Line Quantity with D-S INCL MOD and D-S INCL PROV TYPE (SAME DOS; XPROV) (QTY &gt;1, ADD LINE=N)</t>
  </si>
  <si>
    <t>Deny the PROC codes in the same subgroup, in any combination, when the QTY exceeds the MAX allowed in the same DOS by any PROV with MOD and PROV TYPE in the category present on both deny and support .</t>
  </si>
  <si>
    <t>PROC denial due to PRESENT POS and PRESENT MOD1 with EXCL MOD2 and EXCL DIAG</t>
  </si>
  <si>
    <t xml:space="preserve">Deny PROC code when POS and MOD 1 are present, and MOD 2 and DX are not present. </t>
  </si>
  <si>
    <t>PROC denial due to PRESENT POS and NOT PRESENT PROV TYPE</t>
  </si>
  <si>
    <t>Deny PROC code when POS is present and PROV TYPE is not present.</t>
  </si>
  <si>
    <t>PROC denial due to PRESENT OTHER PROC with DENY MOD INCL (1-KEY D-S; SAME DOS; SAME PROV)</t>
  </si>
  <si>
    <t>Deny PROC code if support code is present on the same DOS by the same PROV and the MOD in the category is present on the deny line.</t>
  </si>
  <si>
    <t>PROC denial due to PRESENT OTHER PROC with D-S INCL PROV SPEC (2-KEY D-S;XPROV; SAME DOS)</t>
  </si>
  <si>
    <t>Deny PROC when billed with support code on the same day by any PROV with PROV SPEC in the category present on both deny and support lines.</t>
  </si>
  <si>
    <t>PROC denial due to NOT PRESENT OTHER PROC (1-KEY D-S; DAYS BEFORE INCL SAME DOS; SAME PROV)</t>
  </si>
  <si>
    <t>Deny PROC code if support code is NOT PRESENT within the given days BEFORE the deny line (including the same DOS) by the same PROV.</t>
  </si>
  <si>
    <t>INDIVIDUAL PROC denial due to FREQ - Line_Quantity (CALENDAR_MONTH; INCL SAME DOS; XPROV)(QTY PER PROC, ADD LINE=N)</t>
  </si>
  <si>
    <t>Deny individual PROC code if QTY exceeds allowed amount in a calendar month (including the same DOS) by the same PROV.</t>
  </si>
  <si>
    <t>PROC denial due to PRESENT OTHER PROC (1-KEY D-S; CALENDAR_MONTH; INCL SAME DOS; PROV_ID)</t>
  </si>
  <si>
    <t xml:space="preserve">Deny PROC code when submitted with support PROC code on the same calendar month, including the same day, by the same PROV. </t>
  </si>
  <si>
    <t>PROC denial due to AGE with PRESENT PROV TYPE and PRESENT MOD</t>
  </si>
  <si>
    <t xml:space="preserve">Deny PROC if patient age is met and the PROV TYPE and MOD are present. </t>
  </si>
  <si>
    <t>INDIVIDUAL PROC denial due to FREQ with D-S INCL POS and D-S INCL PROV TYPE - Line Quantity (DAYS_RANGE; INCL SAME DOS; XPROV)(QTY PER PROC, ADD LINE=N)</t>
  </si>
  <si>
    <t>Deny individual PROC code if QTY exceeds allowed amount in a given days range (including same DOS) by any PROV with POS and PROV TYPE present.</t>
  </si>
  <si>
    <t>PROC GROUP denial due to FREQ with D-S INCL MOD and D-S INCL GENDER- Line Quantity (DAYS_RANGE, INCL SAME DOS; XPROV)(QTY=1 and ADD LINE=N)</t>
  </si>
  <si>
    <t xml:space="preserve">Deny proc code if QTY exceeds allowed amount in a given days range when the MOD and gender are present on deny and support  (including the same DOS) by the same or any PROV. </t>
  </si>
  <si>
    <t>PROC GROUP denial due to FREQ with D-S EXCL MOD and D-S EXCL GENDER- Line Quantity (DAYS_RANGE, INCL SAME DOS; XPROV)(QTY=1 and ADD LINE=N)</t>
  </si>
  <si>
    <t>PROC GROUP denial due to FREQ with D-S INCL DX and D-S INCL GENDER- Line Quantity (DAYS_RANGE, INCL SAME DOS; XPROV)(QTY&gt;1 and ADD LINE=N)</t>
  </si>
  <si>
    <t>PROC GROUP denial due to FREQ with D-S INCL GENDER- Line Quantity (DAYS_RANGE, INCL SAME DOS; PROV_DIFF)(QTY&gt;1 and ADD LINE=N)</t>
  </si>
  <si>
    <t>PROC denial due to NOT PRESENT MODIFIER, and-or NOT PRESENT POS with INCL PROV TYPE and INCL PROV SPEC</t>
  </si>
  <si>
    <t>PROC denial due to NOT PRESENT POS with INCL PROV TYPE and INCL PROV SPEC</t>
  </si>
  <si>
    <t>Deny PROC code with PROV TYPE and PROV SPEC present if POS is not present.</t>
  </si>
  <si>
    <t>PROC denial due to NOT PRESENT MOD with INCL PROV TYPE and INCL PROV SPEC</t>
  </si>
  <si>
    <t xml:space="preserve">Deny PROC code if MOD is not present, when PROV TYPE and PROV SPEC are present. </t>
  </si>
  <si>
    <t>PROC denial due to PRESENT PROV TYPE with INCL AGE</t>
  </si>
  <si>
    <t>Deny PROC code when member age is met and PROV TYPE is present.</t>
  </si>
  <si>
    <t>INDIVIDUAL PROC denial due to FREQ with D-S INCL PROV SPEC and D-S INCL PROV TYPE - Line Quantity (SAME DOS; XPROV)(QTY PER PROC, ADD LINE=N)</t>
  </si>
  <si>
    <t xml:space="preserve">Deny proc code if QTY exceeds allowed amount on the same DOS when the PROV SPEC and PROV TYPE are present on deny and support  by the same or any PROV. </t>
  </si>
  <si>
    <t>PROC denial due to PRESENT REV CODE and BILL TYPE</t>
  </si>
  <si>
    <t>Deny PROC code due to not covered revenue code and bill type.</t>
  </si>
  <si>
    <t>PROC denial due to PRESENT PROV TYPE and PRESENT POS with INCL AGE</t>
  </si>
  <si>
    <t xml:space="preserve">Deny PROC code when age criteria is met and not covered PROV TYPE and POS are present. </t>
  </si>
  <si>
    <t>REV GROUP denial due to FREQ - Line_Quantity (CALENDAR YEAR;INCL SAME DOS; XPROV)(QTY&gt;1 and ADD LINE=N)(ALL_FAC) INCL BILL TYPE</t>
  </si>
  <si>
    <t>Deny the revenue codes if the QTY exceeds the maximum allowed in a calendar year (including same day) by any PROV with bill type code present on deny and support line.</t>
  </si>
  <si>
    <t>PROC denial due to NOT PRESENT GENDER with INCL PROV TYPE and INCL POS.</t>
  </si>
  <si>
    <t>Deny PROC code if PROV TYPE and POS are present and specific gender is not met.</t>
  </si>
  <si>
    <t>INDIVIDUAL PROC denial due to FREQ with D-S INCL BILL TYPE - Line Quantity (SAME DOS; XPROV)(QTY PER PROC, ADD LINE=N) (ALL_FAC)</t>
  </si>
  <si>
    <t>Deny PROC code when the QTY exceeds the maximum allowed on the same day by any provder with bill type present on deny and support .</t>
  </si>
  <si>
    <t>PROC denial due to PRESENT DX with INCL PROVTYPE</t>
  </si>
  <si>
    <t>Deny PROC code when DX code is present for this PROV TYPE.</t>
  </si>
  <si>
    <t>PROC denial due to AGE and PRESENT PROV TYPE and PRESENT PROV SPEC and PRESENT DIAG</t>
  </si>
  <si>
    <t xml:space="preserve">Deny PROC code when age criteria is met and this PROV TYPE, PROV SPEC, and DX are present. </t>
  </si>
  <si>
    <t>PROC denial due to PRESENT PROV TYPE and PRESENT PROV SPEC</t>
  </si>
  <si>
    <t xml:space="preserve">Deny PROC code when this provide type and PROV SPEC is present. </t>
  </si>
  <si>
    <t>INDIVIDUAL PROC denial due to FREQ with D-S INCL POS and DIAG - Line Quantity (DAYS_RANGE; INCL SAME DOS; XPROV)(QTY PER PROC, ADD LINE=N)</t>
  </si>
  <si>
    <t>Deny individual procedure code if quantity exceeds allowed amount in a given days range, including same DOS by any provider, with place of service and diagnosis present on deny and support lines.</t>
  </si>
  <si>
    <t>INDIVIDUAL PROC denial due to FREQ with D-S INCL PROV TYPE - Line Quantity (SAME DOS; XPROV)(QTY PER PROC, ADD LINE=N)</t>
  </si>
  <si>
    <t xml:space="preserve">Deny PROC code when QTY exceeds allowed on the same DOS by any PROV and this PROV TYPE is present on deny and support line. </t>
  </si>
  <si>
    <t>INDIVIDUAL PROC denial due to FREQ - Line Quantity with INCL D-S PROV TYPE and INCL D-S POS (CALENDAR_MONTH; INCL SAME DOS; XPROV)(QTY PER PROC, ADD LINE=N)</t>
  </si>
  <si>
    <t xml:space="preserve">Deny PROC code when QTY exceeds allowed for a calendar month, including the same DOS, by any PROV and the PROV TYPE and POS are present on deny and support line. </t>
  </si>
  <si>
    <t>INDIVIDUAL PROC denial due to FREQ - Line Quantity with INCL D-S PROV TYPE, INCL D-S PROV SPEC, &amp; INCL D-S POS (CALENDAR_MONTH; INCL SAME DOS; XPROV)(QTY PER PROC, ADD LINE=N)</t>
  </si>
  <si>
    <t xml:space="preserve">Deny PROC code if QTY exceeds allowed in a calendar month, including same DOS, by any PROV, and the PROV TYPE, specialty, and POS are present on deny and support line. </t>
  </si>
  <si>
    <t>INDIVIDUAL PROC denial due to FREQ - Line Quantity with INCL D-S PROV TYPE, INCL D-S PROV SPEC, &amp; INCL D-S POS (CALENDAR_YEAR; INCL SAME DOS; XPROV)(QTY PER PROC, ADD LINE=N)</t>
  </si>
  <si>
    <t xml:space="preserve">Deny PROC code if QTY exceeds allowed in a calendar year, including the same DOS, by any PROV and the PROV TYPE, specialty and POS are present on deny and support line. </t>
  </si>
  <si>
    <t>INDIVIDUAL PROC denial due to FREQ - Line Quantity with INCL D-S PROV TYPE, INCL D-S PROV SPEC, &amp; INCL D-S POS (DAYS_RANGE; INCL SAME DOS; XPROV)(QTY PER PROC, ADD LINE=N)</t>
  </si>
  <si>
    <t>Deny PROC code if QTY exceeds allowed in a days range, including the same DOS, by any PROV and the PROV TYPE, specialty and POS are present on deny and support line.</t>
  </si>
  <si>
    <t>INDIVIDUAL PROC denial due to FREQ with D-S INCL MOD, D-S INCL POS, and D-S INCL PROV TYPE - Line Quantity (SAME DOS; XPROV)(QTY PER PROC, ADD LINE=N)</t>
  </si>
  <si>
    <t xml:space="preserve">Deny PROC code when QTY exceeds allowed on the same DOS by any PROV and the PROV TYPE, POS, and MOD is present on deny and support line. </t>
  </si>
  <si>
    <t>PROC denial due to NOT PRESENT GENDER with INCL PROV TYPE and INCL PROV SPEC</t>
  </si>
  <si>
    <t xml:space="preserve">Deny PROC code if GENDER is not present and PROV TYPE and PROV SPEC are present. </t>
  </si>
  <si>
    <t>PROC denial due to NOT PRESENT GENDER with INCL PROVTYPE</t>
  </si>
  <si>
    <t xml:space="preserve">Deny PROC code if GENDER is not present and PROV TYPE is present. </t>
  </si>
  <si>
    <t>INDIVIDUAL PROC denial due to FREQ - Line Quantity with INCL D-S DIAG (CALENDAR_MONTH; INCL SAME DOS; XPROV)(QTY PER PROC, ADD LINE=N)</t>
  </si>
  <si>
    <t>Deny individual PROC code if QTY exceeds allowed amount in a calendar month (incl same DOS) by any PROV and  Diag  is present on both deny and support .</t>
  </si>
  <si>
    <t>PROC denial due to AGE with INCL PROVTYPE, INCL PROVSPEC and INCL GENDER</t>
  </si>
  <si>
    <t xml:space="preserve">Deny PROC code if patient's age is met, when PROV TYPE, PROV SPEC and gender are present. </t>
  </si>
  <si>
    <t>PROC denial due to AGE with PRESENT PROV TYPE, PRESENT PROV SPEC, and PRESENT MOD</t>
  </si>
  <si>
    <t>Deny procedure code if age, PROV TYPE, PROV SPEC, and modifier is present.</t>
  </si>
  <si>
    <t>INDIVIDUAL PROC denial due to FREQ - Line Quantity with INCL D-S PROV TYPE, INCL D-S PROVSPEC, &amp; INCL D-S POS (SAME DOS; XPROV)(QTY PER PROC, ADD LINE=N)</t>
  </si>
  <si>
    <t>Deny PROC code if QTY exceeds allowed on the same day by any PROV and the PROV TYPE, specialty and POS are present on deny and support line.</t>
  </si>
  <si>
    <t xml:space="preserve">PROC denial due to AGE with PRESENT PROV TYPE and NOT PRESENT MOD </t>
  </si>
  <si>
    <t>Deny PROC code with PROV TYPE present and not present MOD if age criteria is met.</t>
  </si>
  <si>
    <t>PROC denial due to NOT PRESENT GENDER with INCL PROVTYPE and EXCL MOD</t>
  </si>
  <si>
    <t>Deny PROC code if PROV TYPE is present, MOD is not present, and specific gender is not met.</t>
  </si>
  <si>
    <t>PROC denial due to NOT PRESENT GENDER with INCL PROVTYPE, INCL PROVSPEC, and EXCL MOD</t>
  </si>
  <si>
    <t>Deny PROC code with PROV TYPE and PROV SPEC present, and not present MOD, if gender is not present.</t>
  </si>
  <si>
    <t>PROC denial due to NOT PRESENT GENDER with INCL AGE and INCL PROV TYPE</t>
  </si>
  <si>
    <t>Deny PROC code with PROV TYPE and age present, if gender is not present.</t>
  </si>
  <si>
    <t>PROC denial due to PRESENT OTHER PROC with EXCL POS (1-KEY D-S; SAME DOS; XPROV)</t>
  </si>
  <si>
    <t>Deny PROC code if support code is present in the same DOS by any PROV with POS in a category not present on both deny and support .</t>
  </si>
  <si>
    <t>PROC denial due to AGE with INCL PROVTYPE, INCL PROVSPEC, INCL Gender, and INCL MOD</t>
  </si>
  <si>
    <t>Deny PROC code with PROV TYPE, PROV SPEC, gender, and MOD present, if age criteria is met.</t>
  </si>
  <si>
    <t>PROC denial due to NOT PRESENT GENDER with INCL PROVTYPE, INCL PROVSPEC, INCL AGE, and INCL MOD</t>
  </si>
  <si>
    <t>Deny PROC code with PROV TYPE, PROV SPEC,  MOD and age criteria present, if gender is not present.</t>
  </si>
  <si>
    <t>PROC denial due to NOT PRESENT GENDER with INCL PROVTYPE, INCL PROVSPEC, and INCL AGE.</t>
  </si>
  <si>
    <t>Deny PROC code with PROV TYPE present, PROV SPEC present, and with age criteria present, if gender is not present.</t>
  </si>
  <si>
    <t>INDIVIDUAL PROC denial due to FREQ with D-S INCL POS,  D-S INCL PROV TYPE and D-S EXCL PROVSPEC,- Line Quantity (SAME DOS; XPROV)(QTY PER PROC, ADD LINE=N)</t>
  </si>
  <si>
    <t>Deny individual PROC code if billed more than allowed amount per day, by any PROV, with PROV TYPE and POS present, and specialty not present.</t>
  </si>
  <si>
    <t>PROC denial due to NOT PRESENT GENDER with INCL PROVTYPE, INCL PROVSPEC, INCL AGE, and EXCL MOD</t>
  </si>
  <si>
    <t>Deny PROC code with PROV TYPE, PROV SPEC, gender present, and  not present MOD, if age criteria is met.</t>
  </si>
  <si>
    <t>PROC denial due to PRESENT AGE with INCL DIAG AND INCL POS</t>
  </si>
  <si>
    <t>Deny PROC code if submitted with DX and POS, and age criteria is met.</t>
  </si>
  <si>
    <t>PROC GROUP denial due to FREQ with D-S INCL MOD, INCL AGE - Line Quantity, (DAYS_RANGE, INCL SAME DOS, XPROV)(QTY=1 and ADD LINE=N)</t>
  </si>
  <si>
    <t>Deny proc codes in the same subgroup, in any combination, when the QTY exceeds the max allowed in a given days range (including the same DOS) by any PROV submitted with mod and member age is met.</t>
  </si>
  <si>
    <t>PROC GROUP denial due to FREQ with D-S INCL MOD, INCL AGE - Line Quantity (DAYS_RANGE, INCL SAME DOS, XPROV)(QTY&gt;1 and ADD LINE=N)</t>
  </si>
  <si>
    <t>INDIVIDUAL PROC denial due to FREQ with D-S INCL MOD, D-S INCL POS, D-S INCL PROVSPEC &amp; D-S INCL PROVTYPE - Line Quantity (CALENDAR MONTH; XPROV)(QTY PER PROC, ADD LINE=N)</t>
  </si>
  <si>
    <t xml:space="preserve">Deny PROC code if billed more than allowed per calendar month, by any PROV, with PROV TYPE, POS, PROV SPEC, and MOD present on deny and support . </t>
  </si>
  <si>
    <t>INDIVIDUAL PROC denial due to FREQ with D-S INCL MOD and D-S EXCL MOD (SAME DOS; PROV_ID)(QTY=1 and ADD LINE=N)</t>
  </si>
  <si>
    <t>Deny individual procedure code when the quantity exceeds the maximum allowed per day by the same provider with inclusionary modifier and exclusionary modifier</t>
  </si>
  <si>
    <t>PROC denial due to present age with INCL PROV TYPE and PROV SPEC with EXCL POS</t>
  </si>
  <si>
    <t xml:space="preserve">Deny prcoedure code if patient age is met and POS is not present when PROV TYPE and PROV SPEC are present. </t>
  </si>
  <si>
    <t>INDIVIDUAL PROC denial due to FREQ with D-S INCL MOD, D-S INCL POS, D-S INCL PROVSPEC &amp; D-S INCL PROVTYPE - Line Quantity (CALENDAR YEAR; XPROV)(QTY PER PROC, ADD LINE=N)</t>
  </si>
  <si>
    <t xml:space="preserve">Deny PROC code if billed more than allowed per calendar year, by any PROV, with PROV TYPE, POS, PROV SPEC, and MOD present on deny and support . </t>
  </si>
  <si>
    <t>PROC denial due to PRESENT OTHER PROC with DENY INCL MOD1 and SUPPORT INCL MOD2 (1-KEY D-S;DAYS_RANGE, INCL SAME DAY; XPROV)</t>
  </si>
  <si>
    <t>Deny PROC code if submitted within the given days range as the support code, by any PROV, and specific MOD is present to deny and support codes respectively.</t>
  </si>
  <si>
    <t>INDIVIDUAL PROC denial due to FREQ with D-S INCL MOD1, D-S EXCL MOD2, D-S INCL POS, D-S INCL PROVSPEC &amp; D-S INCL PROVTYPE - Line Quantity (SAME DOS; XPROV)(QTY PER PROC, ADD LINE=N)</t>
  </si>
  <si>
    <t xml:space="preserve">Deny proc code if billed more than allowed per day, by any PROV, with prov type, specialty, and POS present, and MOD present and not present respectively on deny and support . </t>
  </si>
  <si>
    <t>MOD denial due to PRESENT NON-COVERED MOD with INCL PROV SPEC and INCL PROV TYPE</t>
  </si>
  <si>
    <t>Deny modifier when billed with provider type and provider specialty.</t>
  </si>
  <si>
    <t>PROC denial due to PRESENT OTHER PROC with S INCL REV CODE (1-KEY D-S; SAME DOS; SAME PROV)</t>
  </si>
  <si>
    <t>Deny PROC code if support code with revenue code is present in the same DOS by the same PROV.</t>
  </si>
  <si>
    <t>Principal DX Denial with INCL Bill Type</t>
  </si>
  <si>
    <t>Deny if DX is billed as prinicipal and if bill type from the category is present.</t>
  </si>
  <si>
    <t>PROC denial due to NOT PRESENT MOD with INCL PROV SPEC and INCL POS</t>
  </si>
  <si>
    <t>Deny PROC code if MOD is not present and POS and PROV SPEC are present.</t>
  </si>
  <si>
    <t>PROC denial due to NOT PRESENT GENDER and NOT PRESENT DIAG with INCL AGE </t>
  </si>
  <si>
    <t>Deny PROC code if age criteria is met and appropriate DX and gender are not present.</t>
  </si>
  <si>
    <t>PROC denial due to NOT PRESENT GENDER with INCL MOD</t>
  </si>
  <si>
    <t>Deny PROC code when gender is not met and MOD is present.</t>
  </si>
  <si>
    <t>PROC denial due to NOT PRESENT MOD with INCL DIAG and INCL AGE</t>
  </si>
  <si>
    <t>Deny PROC code when age and DX code is present and MOD is not present.</t>
  </si>
  <si>
    <t>INDIVIDUAL PROC denial due to FREQ - Line Quantity with D-S INCL PROV SPEC and D-S INCL MOD (DAYS_RANGE; XPROV) (QTY PER PROC, ADD LINE=N)</t>
  </si>
  <si>
    <t xml:space="preserve">Deny PROC code if billed more than allowed per days range, by any PROV, with PROV SPEC and MOD present on deny and support . </t>
  </si>
  <si>
    <t>INDIVIDUAL PROC denial due to FREQ with D-S INCL MOD and EXCL DIAG - Line_Quantity (DAYS_RANGE; INCL SAME DOS; XPROV)(QTY PER PROC, ADD LINE=N)</t>
  </si>
  <si>
    <t>Deny PROC code if billed more than allowed QTY per days range, by any PROV, with MODs present on deny and support  and DX code is not present.</t>
  </si>
  <si>
    <t>PROC denial due to NOT PRESENT MOD (Line_ProcMod1) with INCL MOD (ANY_SEC_PROC_MOD) and PRESENT OTHER PROC with INCL MOD (Line_ProcMod1) and (Line_ProcMod2)</t>
  </si>
  <si>
    <t>Deny bilateral proc if the TC is found on Line_ProcMod 2-4, and MOD (Line_ProcMod1) does not have TC</t>
  </si>
  <si>
    <t>Proc denial with PRESENT MOD (Line_ProcMod1) and NOT PRESENT MOD (Line_ProcMod2) and PRESENT OTHER PROC with INCL MOD (Line_ProcMod1) and (Line_ProcMod3)</t>
  </si>
  <si>
    <t>Deny bilateral proc if MOD is present in Line_ProcMod1, and a different MOD is NOT PRESENT on Line_ProcMod 2</t>
  </si>
  <si>
    <t>INDIVIDUAL PROC denial due to FREQ with INCL AGE and D-S INCL MOD1 and D-S INCL MOD2 - Line Quantity (DAYS_RANGE; INCL SAME DOS; SAME PROV_ID) (QTY PER PROC, ADD LINE=N)</t>
  </si>
  <si>
    <t xml:space="preserve">Deny PROC code if billed more than allowed per days range, by the same PROV, with age met and MODs present on deny and support . </t>
  </si>
  <si>
    <t>PROC denial due to PRESENT REVENUE CODE with BILLED AMOUNT value present.</t>
  </si>
  <si>
    <t>Deny PROC code when revenue code from list is present and inappropriate billed amount is present.</t>
  </si>
  <si>
    <t>INDIVIDUAL PROC denial with EXCL D-S MOD due to Line_Quantity accumulation (SAME DOS; XPROV)(QTY=1 and ADD LINE=N))</t>
  </si>
  <si>
    <t>Deny individual PROC code if QTY exceeds allowed amount in the same DOS by any PROV with MOD in the category not present on both deny and support .</t>
  </si>
  <si>
    <t>INDIVIDUAL PROC denial with EXCL D-S MOD due to Line_Quantity accumulation (SAME DOS; XPROV)(QTY&gt;1 and ADD LINE=N))</t>
  </si>
  <si>
    <t>PROC denial due to NOT PRESENT BILL TYPE and-or  NOT PRESENT ADMISSION TYPE</t>
  </si>
  <si>
    <t>Deny PROC code if BILL TYPE is not present and Admission Type is not present.</t>
  </si>
  <si>
    <t>PROC denial due to NOT PRESENT MOD1 (Line_ProcMod1), AND/OR NOT PRESENT MOD2 (Line_ProcMod2)</t>
  </si>
  <si>
    <t>Deny PROC code when MOD is not present in Line_ProcMod1 and a different MOD is not present on Line_ProcMod2</t>
  </si>
  <si>
    <t>PROC denial due to NOT PRESENT REV CODE with INCL MOD and INCL BILL TYPE</t>
  </si>
  <si>
    <t>Deny PROC code if REV CODE is not present and bill type and modfier is present.</t>
  </si>
  <si>
    <t>INDIVIDUAL PROC denial due to FREQ - Line Quantity (DAYS_RANGE; XPROV)(QTY=1 and ADD LINE=N) (ALL FAC)</t>
  </si>
  <si>
    <t>Deny PROC code if QTY exceeds the max allowed amount in a days range, including the same DOS, by any PROV.</t>
  </si>
  <si>
    <t>Claim Denial due to PRESENT BILL TYPE and PRESENT DIAG1 and NOT PRESENT POA with EXCL DIAG2</t>
  </si>
  <si>
    <t xml:space="preserve">Deny CLAIM if BILL type is present, when DX code is present and POA is not present and when another DX code is not present. </t>
  </si>
  <si>
    <t>PROC denial due to NOT PRESENT GENDER with PRESENT POS</t>
  </si>
  <si>
    <t>Deny PROC code if gender value is not present and POS is present.</t>
  </si>
  <si>
    <t>Claim Denial due to PRESENT BILL TYPE and PRESENT DIAG1 or ECI and NOT PRESENT POA with EXCL DIAG2</t>
  </si>
  <si>
    <t xml:space="preserve">Deny CLAIM if BILL type is present, when DX code or ECI is present and POA is not present and when another DX code is not present. </t>
  </si>
  <si>
    <t>PROC denial due to NO MOD PRESENT or MOD PRESENT</t>
  </si>
  <si>
    <t>Deny PROC code if MOD is present or no MOD is present.</t>
  </si>
  <si>
    <t>INDIVIDUAL PROC denial due to FREQ with D-S INCL MOD1 and MOD2 - Line_Quantity (CALENDAR_YEAR; INCL SAME DOS; XPROV)(QTY PER PROC, ADD LINE=N)</t>
  </si>
  <si>
    <t>Deny PROC code if QTY exceeds the max allowed limit in a calendar year, including same DOS, by the same PROV.</t>
  </si>
  <si>
    <t>PROC denial due to NOT PRESENT OTHER PROC with D-S INCL PROV SPEC (1-KEY D-S; SAME DOS; SAME PROV) </t>
  </si>
  <si>
    <t>Deny PROC code if support code is not present on the same DOS by any the same PROV and PROV SPEC is present on both deny and support .</t>
  </si>
  <si>
    <t>PROC denial due to PRESENT OTHER PROC with D-S INCL PROV SPEC (2-KEY D-S; SAME DOS; SAME PROV) </t>
  </si>
  <si>
    <t>Deny PROC code if present on the same DOS as the support code, by the same PROV and PROV SPEC is present on both deny and support .</t>
  </si>
  <si>
    <t>Deny individual procedure code when the QTY exceeds the maximum allowed in a calendar year (including same DOS) by any provider when both modifiers are found on the deny and support line.</t>
  </si>
  <si>
    <t>INDIVIDUAL PROC denial due to FREQ with D-S INCL MOD1 and MOD2 - Line_Quantity (CALENDAR_MONTH; INCL SAME DOS; XPROV)(QTY PER PROC, ADD LINE=N)</t>
  </si>
  <si>
    <t>Deny individual procedure code when the QTY exceeds the maximum allowed in a calendar month (including same DOS) by any provider when both modifiers are found on the deny and support line.</t>
  </si>
  <si>
    <t>INDIVIDUAL PROC denial due to FREQ with D-S INCL MOD1 and MOD2 - Line_Quantity (SAME DOS; XPROV)(QTY PER PROC, ADD LINE=N)</t>
  </si>
  <si>
    <t>Deny individual PROC code when the QTY exceeds the maximum allowed per day (including same DOS) by any PROV when both MODs are found on the deny and support line.</t>
  </si>
  <si>
    <t>Claim denial due to PRESENT ICD-10-Proc and PRESENT BILL TYPE</t>
  </si>
  <si>
    <t>Claim denial due to present IcdProc and present bill type</t>
  </si>
  <si>
    <t>INDIVIDUAL PROC denial due to FREQ - Line_Quantity (DAYS_RANGE; INCL SAME DOS; SPEC_1)(QTY PER PROC, ADD LINE=N) </t>
  </si>
  <si>
    <t>Deny PROC code if QTY exceeds the max allowed amount in a given days range (including the same DOS) by the same specialty.</t>
  </si>
  <si>
    <t>DIAG denial due to PRESENT AnyLineDX with INCL Bill Type</t>
  </si>
  <si>
    <t>Deny DX if BILL TYPE is present.</t>
  </si>
  <si>
    <t>Claim Denial due to PRESENT BILL TYPE, PRESENT DIAG and NOT PRESENT POA</t>
  </si>
  <si>
    <t>Deny if POA is not present when DX and bill type are present.</t>
  </si>
  <si>
    <t>INDIVIDUAL PROC denial due to FREQ with D-S INCL MOD - Line_Quantity (DAYS_RANGE; INCL SAME DOS; SAME PROVIDER)(QTY PER PROC, ADD LINE=N)  </t>
  </si>
  <si>
    <t xml:space="preserve">Deny PROC code if QTY exceeds the max allowed amount in a given days range (including the same DOS) by the same provider, when MOD is present on both deny and support line. </t>
  </si>
  <si>
    <t>PROC denial due to PRESENT OTHER PROC with D-S INCL PROV TYPE (2-KEY D-S; SAME DOS; XPROV)  </t>
  </si>
  <si>
    <t>Deny procedure code if support code is present in the same date of service by any provider with provider type code in the category present on both deny and support lines.</t>
  </si>
  <si>
    <t>PROC denial due to NOT PRESENT OTHER PROC with D-S REV CODE INCL and SUPPORT MOD INCL (1-KEY D-S; SAME DOS; XPROV) (ALL_FAC) </t>
  </si>
  <si>
    <t>Deny PROC code when support code is not present on the same DOS by any PROV and REV CODE is present on both deny and support  and MOD present on support line.</t>
  </si>
  <si>
    <t>INDIVIDUAL PROC denial due to FREQ with D-S INCL PROV TYPE - Line Quantity (CALENDAR_YEAR; INCL SAME DOS; SAME PROV) (QTY PER PROC, ADD LINE=N) </t>
  </si>
  <si>
    <t>PROC denial due to PRESENT DX and PROVIDER SPECIALTY </t>
  </si>
  <si>
    <t xml:space="preserve">Deny PROC code when PROV SPEC and DX are present. </t>
  </si>
  <si>
    <t xml:space="preserve">REV CODE GROUP denial with Code due to FREQ - Line_Quantity accumulation (DAYS_RANGE;SAME DOS; XPROV)(QTY&gt;1 and ADD LINE=N)(ALL_FAC) </t>
  </si>
  <si>
    <t>PROC denial due to PRESENT REV CODE with INCL BILL TYPE and DX (ALL FAC)</t>
  </si>
  <si>
    <t>Deny PROC code if REV CODE, BILL TYPE, and DX are present.</t>
  </si>
  <si>
    <t>INDIVIDUAL PROC denial due to FREQ - Line_Quantity (SAME DOS; PROV_ID)(QTY PER PROC, ADD LINE=N) </t>
  </si>
  <si>
    <t>Deny PROC code if QTY exceeds the max allowed amount on the same DOS by the same PROV.</t>
  </si>
  <si>
    <t>PROC denial due to NOT PRESENT DIAG with INCL AGE, PROV SPEC and PROV TYPE</t>
  </si>
  <si>
    <t>Deny procedure code if diagnosis code is not present and age, provider type, and provider specialty are present.</t>
  </si>
  <si>
    <t>PROC denial due to present age with INCL PROV TYPE, PROV SPEC, and POS</t>
  </si>
  <si>
    <t>Deny PROC code if patient age is met, and PROV TYPE, PROV SPEC, and POS is present.</t>
  </si>
  <si>
    <t xml:space="preserve">PROC denial due to PRESENT OTHER PROC with D-S INCL POS, PROV TYPE, PROV SPEC </t>
  </si>
  <si>
    <t>Deny procedure code if another procedure code is submitted in a calendar month across providers.</t>
  </si>
  <si>
    <t xml:space="preserve">PROC denial due to NOT PRESENT OTHER PROC with D-S INCL Prov Spec, Prov Type, and POS OR PROC denial due to NOT PRESENT OTHER PROC with SUPPORT INCL MOD and D-S INCL Prov Spec, Prov Type, and POS </t>
  </si>
  <si>
    <t>Deny procedure code when other procedure code is not present, or Deny procedure code when other procedure code and modifier combination is not present on the same day across any provider.</t>
  </si>
  <si>
    <t xml:space="preserve">Deny PROC code if QTY exceeds the max allowed limit on the same day by any provider, and POS and PROV TYPE are both present on deny and support line. </t>
  </si>
  <si>
    <t>PROC denial due to NOT PRESENT OTHER PROC with D-S EXCL POS, PROV TYPE, PROV SPEC(1-KEY D-S; SAME DOS; XPROV)</t>
  </si>
  <si>
    <t>Deny procedure code if submitted without base code on the same day by any provider and provider type, provider spec, and place of service are not present on either deny and support lines.</t>
  </si>
  <si>
    <t>PROC denial due to NOT PRESENT MODIFIER with INCL PROV TYPE, and POS</t>
  </si>
  <si>
    <t>Deny procedure code if not submitted with correct modifier and provider type and place of service are present.</t>
  </si>
  <si>
    <t>PROC denial due to PRESENT MODIFIER with INCL PROV TYPE, and POS</t>
  </si>
  <si>
    <t>Deny procedure code modifier is present and provider type and place of service are present.</t>
  </si>
  <si>
    <t>INDIVIDUAL PROC denial due to FREQ with D-S INCL POS, PROV TYPE, and MOD - Line Quantity (SAME DOS; XPROV)(QTY PER PROC, ADD LINE=N)</t>
  </si>
  <si>
    <t xml:space="preserve">Deny PROC code if QTY exceeds the max allowed amount on the same DOS by any provider, when POS, PROV TYPE and MOD are present on both deny and support line. </t>
  </si>
  <si>
    <t>PROC denial due to PRESENT PROV TYPE, PRESENT PROV SPEC, and PRESENT POS</t>
  </si>
  <si>
    <t xml:space="preserve">Deny PROC code if PROV TYPE, PROV SPEC and POS are present. </t>
  </si>
  <si>
    <t>PROC denial due to PRESENT MODIFIER, with INCL PROV TYPE, POS, and PROV SPEC</t>
  </si>
  <si>
    <t>INDIVIDUAL PROC denial due to FREQ with D-S INCL MOD and D-S INCL PROV TYPE - Line_Quantity (DAYS_RANGE; INCL SAME DAY; XPROV)(QTY PER PROC, ADD LINE=N)</t>
  </si>
  <si>
    <t xml:space="preserve">Deny PROC code if QTY exceeds max allowed limit in a given days range (including the same DOS) by any provider, and MOD and PROV TYPE are both present on deny and support line. </t>
  </si>
  <si>
    <t>INDIVIDUAL PROC denial due to FREQ with D-S INCL MOD and D-S INCL PROV TYPE - Line Quantity (CALENDAR_YEAR; INCL SAME DOS; XPROV)(QTY PER PROC, ADD LINE=N)</t>
  </si>
  <si>
    <t>Deny procedure code when modifier and provider types are present on current and support lines and quantity exceeds allowed amount in a calendar year (including the same DOS) by any provider.</t>
  </si>
  <si>
    <t>PROC denial due to PRESENT OTHER PROC with D-S INCL MOD (1-KEY D-S;DAYS_RANGE, INCL SAME DAY; XPROV)</t>
  </si>
  <si>
    <t>Deny procedure code if submitted within the given days range as the support code, by any provider with modifier present in both deny and support lines.</t>
  </si>
  <si>
    <t>PROC denial due to PRESENT OTHER PROC with D-S DIAG INCL and D-S MOD EXCL (1-KEY D-S; CALENDAR_YEAR; INCL SAME DOS; PROV_ID;FTIN_ANY_SPEC)</t>
  </si>
  <si>
    <t>Deny procedure if support code is present within a calendar year, including the same DOS by the same provider or same FTIN with diagnosis present and modifier not present on deny and support lines.</t>
  </si>
  <si>
    <t>PROC denial due to PRESENT PROV TYPE with INCL AGE and EXCL PROVSPEC</t>
  </si>
  <si>
    <t>Deny PROC code if PROV SPEC is not present, and patient age is met and PROV TYPE is present.</t>
  </si>
  <si>
    <t>PROC GROUP denial due to FREQ with D-S INCL MOD and D-S INCL DIAG- Line Quantity (DAYS_RANGE, INCL SAME DOS; PROV_ID;FTIN_ANY_SPEC)(QTY=1 and ADD LINE=N)</t>
  </si>
  <si>
    <t>Deny codes in the same subgroup when the quantity exceeds the max allowed in a given days range by the same provider or same FTIN and specialty with diagnosis present on both deny and support lines.</t>
  </si>
  <si>
    <t>INDIVIDUAL PROC denial due to FREQ with D-S EXCL DIAG and D-S EXCL MOD - Line Quantity (DAYS_RANGE; INCL SAME DOS; SAME PROV)(QTY PER PROC, ADD LINE=N)</t>
  </si>
  <si>
    <t>Deny procedure if quantity exceeds allowed amount in a given days range, including same DOS by the same provider with modifier and diagnosis in the category not present on both deny and support lines.</t>
  </si>
  <si>
    <t>PROC denial due to PRESENT POS and PRESENT AGE and NOT PRESENT PROV TYPE</t>
  </si>
  <si>
    <t xml:space="preserve">Deny PROC if POS is present and PROV TYPE is not present and patient's age is met. </t>
  </si>
  <si>
    <t>PROC denial due to NOT PRESENT MODIFIER with INCL POS, DIAG and PROV SPEC</t>
  </si>
  <si>
    <t>Deny PROC code if MOD is not present and DX, POS, PROV SPEC are present.</t>
  </si>
  <si>
    <t>PROC denial due to PRESENT MODIFIER with INCL POS, DIAG and PROV SPEC</t>
  </si>
  <si>
    <t>Deny PROC code if MOD, POS, DX, and PROV SPEC are present.</t>
  </si>
  <si>
    <t>PROC denial due to NOT PRESENT GENDER with INCL POS, PROV SPEC and INCL PROV TYPE</t>
  </si>
  <si>
    <t xml:space="preserve">Deny PROC code if Gender is not present, if POS, PROV SPEC and PROV TYPE are present. </t>
  </si>
  <si>
    <t>PROC denial due to present age with INCL PROV TYPE, PROV SPEC, POS, and MOD</t>
  </si>
  <si>
    <t>Deny procedure codes if patient age is met and provider specialty, provider type, and place of service are present</t>
  </si>
  <si>
    <t>PROC denial due to present age and NOT PRESENT MOD with INCL PROV TYPE, PROV SPEC, and POS</t>
  </si>
  <si>
    <t xml:space="preserve">Deny PROC if patient's age is met, when MOD is not present, and PROV TYPE , PROV SPEC and POS are present. </t>
  </si>
  <si>
    <t>PROC denial due to AGE and NOT PRESENT GENDER with INCL DIAG</t>
  </si>
  <si>
    <t>Deny procedure code when member age is met, gender is not present and diagnosis is present.</t>
  </si>
  <si>
    <t>INDIVIDUAL PROC denial due to FREQ with D-S INCL MOD1, D-S INCL POS, D-S INCL PROVSPEC &amp; D-S INCL PROVTYPE - Line Quantity (SAME DOS; XPROV)(QTY PER PROC, ADD LINE=N)</t>
  </si>
  <si>
    <t>Deny procedure code if quantity exceeds allowed in the same day, including the same DOS, by any provider and the provider type, specialty, POS, and MOD are present on deny and support line.</t>
  </si>
  <si>
    <t>PROC denial due to AGE and NOT PRESENT GENDER </t>
  </si>
  <si>
    <t xml:space="preserve">Deny PROC code if patient age is met and GENDER is not present. </t>
  </si>
  <si>
    <t>PROC denial due to NOT PRESENT MODIFIER, with INCL PROV TYPE, POS, and PROV SPEC</t>
  </si>
  <si>
    <t xml:space="preserve">Deny PROC code if MOD is not present and PROV TYPE, POS and PROV SPEC are present. </t>
  </si>
  <si>
    <t>INDIVIDUAL PROC denial due to FREQ D-S EXCL MOD, D-S INCL POS, D-S INCL PROVSPEC &amp; D-S INCL PROVTYPE - Line Quantity (SAME DOS; XPROV)(QTY PER PROC, ADD LINE=N)</t>
  </si>
  <si>
    <t>Deny procedure code if quantity exceeds allowed on the same day by any provider and prov type, spec, and POS, are present on deny and support line and MOD not present on deny or support line.</t>
  </si>
  <si>
    <t>PROC denial due to present age with INCL PROV TYPE, POS, and MOD</t>
  </si>
  <si>
    <t>Deny procedure code with provider type, place of service and modifier present, if age criteria is met.</t>
  </si>
  <si>
    <t>PROC denial due to NOT PRESENT GENDER and NOT PRESENT MOD with INCL PROV TYPE, PROV SPEC, and POS</t>
  </si>
  <si>
    <t>Deny PROC code when gender and MOD is not present, and PROV TYPE, PROV SPEC and POS are present.</t>
  </si>
  <si>
    <t>Proc denial due to AGE with INCL POS, INCL PROVTYPE and INCL MOD</t>
  </si>
  <si>
    <t>Proc denial due to AGE with INCL POS, INCL PROVTYPE and EXCL MOD</t>
  </si>
  <si>
    <t>Deny PROC code when age, POS, and PROV TYPE are present and MOD is not present.</t>
  </si>
  <si>
    <t>PROC denial due to present age with INCL PROV TYPE, PROV SPEC, POS and INCL MOD1 and MOD2</t>
  </si>
  <si>
    <t>Deny procedure code if age, provider type, provider specialty, place of service and modifiers are present.</t>
  </si>
  <si>
    <t>PROC denial due to PRESENT AGE with INCL PROV TYPE, PROV SPEC, POS and MOD1, and EXCL MOD2</t>
  </si>
  <si>
    <t>Deny procedure code if age, provider type, provider specialty, place of service and modifier 1 are present, and modifier 2 is not present.</t>
  </si>
  <si>
    <t>PROC denial due to PRESENT AGE and NOT PRESENT MOD with INCL PROV TYPE, POS, GENDER</t>
  </si>
  <si>
    <t>Deny procedure code with provider type, place of service and gender present, and not present modifier, if age criteria is met.</t>
  </si>
  <si>
    <t>PROC denial due to NOT PRESENT GENDER and PRESENT MOD with INCL PROV TYPE, PROV SPEC, and POS</t>
  </si>
  <si>
    <t xml:space="preserve">Deny PROC code if GENDER is not present, when MOD,  PROV TYPE,  PROV SPEC and POS are present. </t>
  </si>
  <si>
    <t>PROC denial due to NOT PRESENT GENDER and PRESENT MOD with INCL PROV TYPE, and POS</t>
  </si>
  <si>
    <t xml:space="preserve">Deny PROC code if GENDER is not present and MOD, PROV TYPE and POS are present. </t>
  </si>
  <si>
    <t>PROC denial due to PRESENT GENDER and MOD with INCL PROV TYPE, and POS</t>
  </si>
  <si>
    <t xml:space="preserve">Deny PROC code when GENDER,  MOD,  PROV TYPE, and POS are present. </t>
  </si>
  <si>
    <t>PROC denial due to PRESENT AGE with INCL PROVTYPE, INCL PROVSPEC, INCL POS, INCL MOD and INCL GENDER. </t>
  </si>
  <si>
    <t xml:space="preserve">Deny procedure code with provider type, provider specialty, gender, modifier and place of service present, if age criteria is met. </t>
  </si>
  <si>
    <t>PROC (NOT_NULL) denial to due PRESENT MOD1 and PRESENT MOD2</t>
  </si>
  <si>
    <t>Deny any PROC code when MOD is present and a different MOD is present on the same line in any of the MOD positions.</t>
  </si>
  <si>
    <t>PROC denial due to PRESENT PROV TYPE, NOT PRESENT MOD, and NOT PRESENT POS</t>
  </si>
  <si>
    <t>Deny procedure code when provider type is present, and place of service and modifiers are not present.</t>
  </si>
  <si>
    <t>INDIVIDUAL PROC denial due to FREQ with D-S INCL PROV TYPE and INCL AGE - Line Quantity (CALENDAR_YEAR; INCL SAME DOS; XPROV)(QTY PER PROC and ADD LINE=N)</t>
  </si>
  <si>
    <t>Deny if member age is met and individual procedure code quantity exceeds the maximum allowed within a calendar year including the same day, with provider type present.</t>
  </si>
  <si>
    <t>PROC denial due to NOT PRESENT POS and NOT PRESENT MOD with INCL Prov Type and Prov Spec</t>
  </si>
  <si>
    <t>Deny PROC code when POS and MOD are not present, and PROV TYPE and PROV SPEC are present.</t>
  </si>
  <si>
    <t>INDIVIDUAL PROC denial due to FREQ with INCL D-S PROV TYPE, INCL D-S PROV SPEC, &amp; INCL D-S POS with EXCL POS and MOD - Line Quantity (CALENDAR_MONTH; INCL SAME DOS; XPROV)(QTY PER PROC, ADD LINE=N)</t>
  </si>
  <si>
    <t>Deny proc when QTY exceeds allowed for a calendar month, including the same DOS, by any PROV and the POS, PROV TYPE and specialty are present except when POS [insert] and MOD [insert] is not present.</t>
  </si>
  <si>
    <t>INDIVIDUAL PROC denial due to FREQ with INCL D-S PROV TYPE - Line Quantity (CALENDAR_MONTH; INCL SAME DOS; XPROV)(QTY PER PROC, ADD LINE=N)</t>
  </si>
  <si>
    <t xml:space="preserve">Deny PROC code if QTY exceeds the max allowed limit in a CALENDAR MONTH (including the same DOS) by any provider, and PROV TYPE is present on both deny and support line. </t>
  </si>
  <si>
    <t xml:space="preserve">PROC denial due to PRESENT MOD with INCL PROVIDER TYPE </t>
  </si>
  <si>
    <t xml:space="preserve">Deny PROC code if MOD and PROV TYPE are present. </t>
  </si>
  <si>
    <t>PROC denial due to NOT PRESENT GENDER with INCL MOD and INCL AGE</t>
  </si>
  <si>
    <t xml:space="preserve">Deny PROC code if GENDER is not present, MOD is present and patient's age is met. </t>
  </si>
  <si>
    <t>PROC  denial due to PRESENT REV CODE with INCL PROV TYPE</t>
  </si>
  <si>
    <t>Deny claim line if procedure code is submitted with revenue code and provider type, all facility claim type.</t>
  </si>
  <si>
    <t>PROC GROUP denial due to FREQ with D-S INCL MOD1 and MOD2  (CALENDAR_YEAR; INCL SAME DOS; XPROV)(QTY&gt;1) (ALL FAC)</t>
  </si>
  <si>
    <t>PROC denial due to NOT PRESENT DIAG with INCL PROV SPEC</t>
  </si>
  <si>
    <t>Deny PROC code if DX code is not present and PROV SPEC is present</t>
  </si>
  <si>
    <t>PROC denial due to PRESENT DX1, PRESENT PROV SPEC and NOT PRESENT DX2</t>
  </si>
  <si>
    <t>Deny the PROC code if DX is not present and  a distinct DX and PROV SPEC is present.</t>
  </si>
  <si>
    <t>PROC denial due to NOT PRESENT DX with INCL BILL TYPE, INCL PROV SPEC (ALL_FAC)</t>
  </si>
  <si>
    <t>Deny PROC code if DX is not present and BILL TYPE is present.</t>
  </si>
  <si>
    <t>PROC denial due to PRESENT BILL TYPE, PRESENT PROV SPEC and DX1 with NOT PRESENT DX2</t>
  </si>
  <si>
    <t>Deny PROC code when DX is not present and  BILL TYPE, PROV SPEC, and a different DX is present.</t>
  </si>
  <si>
    <t>PROC denial due to PRESENT OTHER PROC with D-S INCL PROV TYPE (1-KEY D-S; DAYS_RANGE; XPROV)</t>
  </si>
  <si>
    <t>Deny procedure code if submitted within the given days range as the support code, by any provider and provider type is present.</t>
  </si>
  <si>
    <t>PROC denial due to NOT PRESENT OTHER PROC with D-S INCL POS (1-KEY D-S; SAME DOS; XPROV) (SAME CLAIM)</t>
  </si>
  <si>
    <t>Deny procedure code if support code is not present on the same date of service by any provider with place of service code in the category present on both deny and support lines.</t>
  </si>
  <si>
    <t>PROC denial due to NOT PRESENT PROV SPEC and-or PROV TYPE with INCL DIAG  </t>
  </si>
  <si>
    <t>Deny PROC code if PROV SPEC and/or PROV TYPE are not present, when DX code is present.</t>
  </si>
  <si>
    <t>PROC denial due to NOT PRESENT OTHER PROC with D-S INCL PROV SPEC AND DENY INCL MOD1 and MOD2 (1-KEY; SAME DOS; SAME PROV)</t>
  </si>
  <si>
    <t>Deny procedure code if support code is not present on the same date of service by the same provider with provider specialty present on the deny and support lines, mod 1 and mod 2 present on deny line</t>
  </si>
  <si>
    <t>PROC GROUP denial due to FREQ - Line Quantity (CALENDAR_YEAR; INCL SAME DOS; XPROV) (QTY=1 and ADD LINE=N)</t>
  </si>
  <si>
    <t>Deny PROC codes in the same subgroup, in any combination, when QTY exceeds max allowed limit within a calendar year (including same DOS) by any provider.</t>
  </si>
  <si>
    <t>PROC GROUP denial due to FREQ - Line Quantity ( SAME DOS;PROV_ID;FTIN_ANY_SPEC) (QTY=1 and ADD LINE=N</t>
  </si>
  <si>
    <t>Deny the procedure codes in the same subgroup when the quantity exceeds the maximum allowed on a date of service by the same provider or the same FTIN and Specialty with inclusionary age.</t>
  </si>
  <si>
    <t>INDIVIDUAL PROC denial due to FREQ with D-S INCL BILL TYPE - Line Quantity (SAME DOS; XPROV)(QTY PER PROC, ADD LINE=N)</t>
  </si>
  <si>
    <t xml:space="preserve">REV CODE GROUP denial with Code due to FREQ - Line_Quantity accumulation (SAME DOS; SAME PROV)(QTY=1 and ADD LINE=N)(ALL_FAC) </t>
  </si>
  <si>
    <t>INDIVIDUAL PROC denial due to FREQ – Line Quantity (SAME DOS; XPROV)(QTY=1 and ADD LINE=N) (OUTPAT_FAC)</t>
  </si>
  <si>
    <t>PROC denial due to NOT PRESENT OTHER PROC with D-S BILL TYPE INCL (1-KEY D-S; SAME DOS; XPROV) (ALL_FAC) </t>
  </si>
  <si>
    <t>Deny PROC code if support code is not present in the same DOS by any PROV with BILL TYPE present on deny and support lines.</t>
  </si>
  <si>
    <t>PROC GROUP denial due to FREQ with INCL AGE - Line Quantity (SAME DOS;PROV_ID;FTIN_ANY_SPEC) (QTY=1 and ADD LINE=N</t>
  </si>
  <si>
    <t>INDIVIDUAL PROC denial due to FREQ - Line Quantity with INCL AGE, D-S INCL PROV SPEC and D-S INCL MOD (SAME DOS; XPROV)(QTY PER PROC and ADD LINE=N)</t>
  </si>
  <si>
    <t>PROC denial due to PRESENT OTHER PROC with D-S INCL POS and PROV SPEC (1-KEY D-S; SAME DOS; XPROV)</t>
  </si>
  <si>
    <t>Deny PROC code if support code is present on the same DOS by any provider, with POS and PROV SPEC present on both deny and support lines.</t>
  </si>
  <si>
    <t>PROC GROUP denial due to FREQ with D-S INCL MOD- Line Quantity (DAYS_RANGE; INCL SAME DOS; XPROV)(QTY=1 and ADD LINE=N)</t>
  </si>
  <si>
    <t>PROC denial due to PRESENT MOD and NOT PRESENT DX1 and DX2</t>
  </si>
  <si>
    <t xml:space="preserve">PROC GROUP denial with INCL AGE and INCL PROV SPEC due to FREQ - Line Quantity (SAME DOS; PROV_ID;FTIN_ANY_SPEC (QTY =1 and ADD LINE=N) 
</t>
  </si>
  <si>
    <t>PROC GROUP denial due to FREQ with INCL AGE and PROV SPEC - Line Quantity (CALENDAR_YEAR; INCL SAME DOS; XPROV) (QTY&gt;1 and ADD LINE=N) </t>
  </si>
  <si>
    <t>INDIVIDUAL PROC denial due to FREQ with D-S EXCL MOD and D-S INCL PROV TYPE - Line_Quantity (DAYS_RANGE; INCL SAME DAY; XPROV)(QTY PER PROC, ADD LINE=N)</t>
  </si>
  <si>
    <t>PROC denial due to PRESENT NON-COVERED PROC with INCL BILL TYPE and INCL PROV SPEC</t>
  </si>
  <si>
    <t>INDIVIDUAL PROC denial due to FREQ with D-S INCL BILL TYPE and D-S INCL PROV SPEC - Line Quantity (SAME DOS; XPROV)(QTY PER PROC and ADD LINE=N) (ALL_FAC)</t>
  </si>
  <si>
    <t>INDIVIDUAL PROC denial due to FREQ with D-S INCL BILL TYPE and D-S INCL PROV SPEC - Line Quantity (DAYS_RANGE; INCL SAME DOS; XPROV)(QTY PER PROC and ADD LINE=N) (ALL_FAC)</t>
  </si>
  <si>
    <t>PROC denial due to PRESENT PROV SPEC1 and PROV SPEC2 is NOT PRESENT.</t>
  </si>
  <si>
    <t>PROC denial due to NOT PRESENT OTHER PROC (1-KEY D-S, SAME DOS; XPROV) with DENY EXCL MOD1 and SUPPORT EXCL MOD2.</t>
  </si>
  <si>
    <t>PROC denial due to PRESENT DX with INCL PROV SPEC</t>
  </si>
  <si>
    <t>PROC denial due to PRESENT MOD and Line_Quantity Less Than 3 or NULL</t>
  </si>
  <si>
    <t>PROC denial due to NOT PRESENT OTHER PROC (2-KEY D-S; SAME DOS, XPROV)</t>
  </si>
  <si>
    <t>Deny PROC code if support code is not present in the same DOS by any PROV .</t>
  </si>
  <si>
    <t>PROC denial due to PRESENT REV CODE</t>
  </si>
  <si>
    <t>DX denial due to PRESENT AGE</t>
  </si>
  <si>
    <t>PROC denial due to NOT PRESENT REV CODE with INCL BILL TYPE and EXCL MOD</t>
  </si>
  <si>
    <t>PROC GROUP denial due to FREQ with D-S INCL POS- Line_Quantity (CALENDAR YEAR;INCL SAME DOS; XPROV)(QTY=1 and ADD LINE=N)</t>
  </si>
  <si>
    <t>DX denial due to PRESENT PROC with INCL POS</t>
  </si>
  <si>
    <t>PROC denial due to NOT PRESENT DIAG with INCL BILL TYPE and INCL REVENUE CODE (ALL_FAC)</t>
  </si>
  <si>
    <t>PROC denial due to PRESENT OTHER PROC with D-S EXCL MOD (1-KEY D-S; SAME DOS; XPROV)</t>
  </si>
  <si>
    <t>Deny PROC code if support code is present on the same DOS by any provider, with MOD not present on both deny and support lines.</t>
  </si>
  <si>
    <t>PROC denial due to PRESENT AGE with INCL POS, INCL PROVTYPE and EXCL PROVSPEC</t>
  </si>
  <si>
    <t>INDIVIDUAL PROC denial due to FREQ with D-S INCL DIAG, REV CODE, and BILL TYPE - Line_Quantity (DAYS_RANGE; INCL SAME DOS; XPROV)(QTY PER PROC, ADD LINE=N)</t>
  </si>
  <si>
    <t>PROC denial due to PRESENT OTHER PROC with D-S INCL REV and D-S INCL Claim_PrincipalDiag (1-KEY D-S SAME DOS XPROV) (ALL_FAC)</t>
  </si>
  <si>
    <t>PROC GROUP denial due to FREQ with D-S INCL POS D-S INCL PROV SPEC - Line Quantity (SAME DOS; SAME PROV) (QTY1 and ADD LINEN)</t>
  </si>
  <si>
    <t>PROC denial due to NOT PRESENT OTHER PROC (1-KEY D-S, SAME DOS; XPROV) with DENY INCL MOD and SUPPORT EXCL MOD.</t>
  </si>
  <si>
    <t>PROC denial due to NOT PRESENT OTHER PROC with Support INCL MOD (1-KEY D-S; SAME DOS;  SAME PROV)</t>
  </si>
  <si>
    <t>Deny PROC code if support code is not present in the same DOS by any PROV with MOD present on support lines.</t>
  </si>
  <si>
    <t>PROC denial due to PRESENT OTHER PROC with D-S INCL POS and D-S INCL DIAG (1-KEY D-S; DAYS_RANGE INCL SAME DOS; XPROV)</t>
  </si>
  <si>
    <t xml:space="preserve">PROC denial due to PRESENT OTHER PROC with D-S INCL BILL TYPE and D-S INCL REV (1-KEY D-S, SAME DOS, XPROV) (ALL_FAC) </t>
  </si>
  <si>
    <t>Deny PROC code if support code is present on the same DOS by any provider, with BILL TYPE and REV CODE present on both deny and support lines.</t>
  </si>
  <si>
    <t xml:space="preserve">PROC GROUP denial due to FREQ with D-S INCL PROV SPEC- Line_Quantity accumulation (DAYS_RANGE INCL SAME DOS; XPROV)(QTY&gt;1 and ADD LINE=N) </t>
  </si>
  <si>
    <t xml:space="preserve">PROC denial due to NOT PRESENT DX on LINE_DIAG1 OR NOT PRESENT DX on LINE_DIAG2 </t>
  </si>
  <si>
    <t>REV CODE denial due to NOT PRESENT OCCURRENCE CODE</t>
  </si>
  <si>
    <t>PROC denial due to NOT PRESENT PROV TYPE and PROV SPEC. (ALL_FAC)</t>
  </si>
  <si>
    <t>PROC denial due to PRESENT PROV TYPE and PROV SPEC. (ALL_FAC)</t>
  </si>
  <si>
    <t>REV CODE denial due to PRESENT PROV TYPE. (ALL_FAC)</t>
  </si>
  <si>
    <t>DX denial due to NOT PRESENT GENDER</t>
  </si>
  <si>
    <t>PROC denial due to PRESENT OTHER PROC with INCL SUPPORT MOD1 and MOD2 (1-KEY ; SAME DOS; XPROV)</t>
  </si>
  <si>
    <t>Deny PROC code when support code is submitted on the same DOS  by any PROV and specific MOD and a different MOD are present on support line.</t>
  </si>
  <si>
    <t xml:space="preserve">PROC denial due to  Provider Specialty1 and Provider Type1 NOT PRESENT, or Provider Specialty2 and Provider Type2 NOT PRESENT, or Provider Specialty3 and Provider Type3 NOT PRESENT, or Provider Specialty4 and Provider Type4 NOT PRESENT, etc. </t>
  </si>
  <si>
    <t>PROC denial due to NOT PRESENT PROV SPEC1 and-or NOT PRESENT PROV TYPE1, or NOT PRESENT PROV SPEC2 and-or NOT PRESENT PROV TYPE2, or NOT PRESENT PROV SPEC3 and-or NOT PRESENT PROV TYPE3, or NOT PRESENT PROV SPEC4 and-or NOT PRESENT PROV TYPE4 (ALL_FAC)</t>
  </si>
  <si>
    <t>INDIVIDUAL PROC denial due to FREQ with INCL AGE - Line_Quantity (SAME DAY; XPROV)(QTY PER PROC, ADD LINE=N)</t>
  </si>
  <si>
    <t>INDIVIDUAL PROC denial due to FREQ with INCL AGE - Line_Quantity (CALENDAR_YEAR; XPROV)(QTY PER PROC, ADD LINE=N)</t>
  </si>
  <si>
    <t>INDIVIDUAL PROC denial due to FREQ  - Line_Quantity (DAYS_RANGE; XPROV)(QTY PER PROC, ADD LINE=N) (ALL_FAC)</t>
  </si>
  <si>
    <t>Deny individual PROC code if QTY exceeds allowed amount in a given days range (including the same DOS) by any PROV for facility claims.</t>
  </si>
  <si>
    <t>PROC denial due to PRESENT OTHER PROC with Deny Line INCL DIAG and D-S INCL MOD (1-KEY D-S; SAME DOS; XPROV)</t>
  </si>
  <si>
    <t>PROC denial due to PRESENT AGE with INCL MOD and INCL Prov Spec</t>
  </si>
  <si>
    <t>INDIVIDUAL PROC denial due to FREQ with D-S INCL BILL TYPE and D-S INCL DIAG - Line Quantity (CALENDAR_YEAR;INCL SAME DOS; XPROV)(QTY PER PROC, ADD LINE=N)</t>
  </si>
  <si>
    <t>INDIVIDUAL PROC denial due to FREQ with D-S INCL MOD and D-S INCL REV CODE - Line_Quantity (SAME DOS; XPROV)(QTY PER PROC, ADD LINE=N)</t>
  </si>
  <si>
    <t>INDIVIDUAL PROC denial due to FREQ with D-S INCL MOD and D-S INCL REV CODE - Line_Quantity (CALENDAR_YEAR; INCL SAME DOS; XPROV)(QTY PER PROC, ADD LINE=N)</t>
  </si>
  <si>
    <t xml:space="preserve">PROC GROUP denial due to FREQ with D-S INCL MOD and D-S INCL REV CODE - Line Quantity, (CALENDAR_YEAR; INCL SAME DOS; XPROV)(QTY =1 and ADD LINE=N) </t>
  </si>
  <si>
    <t>PROC denial due to PRESENT other PROC with D-S INCL Age and INCL Support Line MOD (1-KEY D-S;SAME DOS; XPROV)</t>
  </si>
  <si>
    <t>Deny PROC code, when age is met, if support code is present on the same DOS by any provider, with MOD  present on the support line.</t>
  </si>
  <si>
    <t>PROC denial due to NOT PRESENT AUTH NUMBER</t>
  </si>
  <si>
    <t>PROC denial due to NOT PRESENT OTHER PROC (1-KEY D-S; SAME DOS; XPROV) with INCL AGE (SAME CLAIM)</t>
  </si>
  <si>
    <t>Deny PROC code when member age is met and support code is not present on the same DOS by any PROV on the same claim.</t>
  </si>
  <si>
    <t>INDIVIDUAL PROC denial due to FREQ with INCL AGE - Line Quantity (CALENDAR_YEAR; INCL SAME DOS; XPROV)(QTY PER PROC, ADD LINE=N) </t>
  </si>
  <si>
    <t>INDIVIDUAL PROC denial due to FREQ with INCL POS and INCL AGE - Line Quantity (SAME DOS; XPROV)(QTY PER PROC, ADD LINE=N) </t>
  </si>
  <si>
    <t>PROC denial due to NOT PRESENT EPA NUMBER with INCL AGE</t>
  </si>
  <si>
    <t>INDIVIDUAL PROC denial due to FREQ with D-S INCL BILLED AMOUNT LT 1100 and D-S INCL MOD - Line_Quantity (DAYS_RANGE; INCL SAME DOS; XPROV)(QTY PER PROC, ADD LINE=N)</t>
  </si>
  <si>
    <t>INDIVIDUAL PROC denial due to FREQ with D-S INCL BILLED AMOUNT LT 1100  - Line_Quantity (DAYS_RANGE; INCL SAME DOS; XPROV)(QTY PER PROC, ADD LINE=N)</t>
  </si>
  <si>
    <t>INDIVIDUAL PROC denial due to FREQ  - Line Quantity with D-S INCL POS, and D-S INCL MOD (SAME DOS;XPROV) (QTY=1 and ADD LINE=N)</t>
  </si>
  <si>
    <t>Deny individual PROC code if QTY exceeds allowed amount on the same DOS, by any PROV, with POS and MOD present on both deny and support lines.</t>
  </si>
  <si>
    <t>INDIVIDUAL PROC denial due to FREQ with INCL POS, INCL DX and INCL AGE - Line Quantity (DAYS_RANGE; INCL SAME DOS; XPROV)(QTY PER PROC, ADD LINE=N)</t>
  </si>
  <si>
    <t>INDIVIDUAL PROC denial due to FREQ with SUPPORT LINE EXCL MOD- Line Quantity (SAME DOS; XPROV)(QTY PER PROC and ADD LINE=N)</t>
  </si>
  <si>
    <t>PROC denial due to NOT PRESENT OTHER PROC with D-S INCL MOD (1-KEY D-S; SAME DOS; XPROV) (SAME CLAIM)</t>
  </si>
  <si>
    <t>Deny PROC code if support code is not present in the same DOS by any PROV with MOD present on deny and support lines, on the same claim.</t>
  </si>
  <si>
    <t>INDIVIDUAL PROC denial due to FREQ with INCL POS, INCL DX and INCL AGE - Line Quantity (SAME DOS; XPROV)(QTY PER PROC, ADD LINE=N)</t>
  </si>
  <si>
    <t>PROC GROUP denial due to FREQ with INCL POS and INCL AGE - Line Quantity (CALENDAR_YEAR; INCL SAME DOS; XPROV)(QTY=1 and ADD LINE=N)</t>
  </si>
  <si>
    <t>PROC GROUP denial due to FREQ with INCL POS , INCL DX and INCL AGE - Line Quantity (CALENDAR_YEAR; INCL SAME DOS; XPROV)(QTY=1, ADD LINE=N) </t>
  </si>
  <si>
    <t>PROC denial due to NOT PRESENT DX with INCL EPA Number and INCL AGE</t>
  </si>
  <si>
    <t>REV denial due to NOT PRESENT PROC (ALL_FAC)</t>
  </si>
  <si>
    <t>PROC denial due to PRESENT POS and PRESENT TAXONOMY with INCL MOD</t>
  </si>
  <si>
    <t>INDIVIDUAL PROC denial due to FREQ with INCL POS and INCL AGE - Line Quantity (DAYS_RANGE; INCL SAME DOS; XPROV)(QTY PER PROC, ADD LINE=N) </t>
  </si>
  <si>
    <t>PROC GROUP denial due to FREQ with INCL POS OR INCL Bill Type - Line Quantity (CALENDAR_YEAR; INCL SAME DOS; XPROV)(QTY&gt;1 and ADD LINE=N)(ALL CLAIM TYPES)</t>
  </si>
  <si>
    <t>PROC denial due to NOT PRESENT DX and NOT PRESENT POS.</t>
  </si>
  <si>
    <t>PROC denial due to NOT PRESENT OTHER PROC with D-S INCL POS and DENY LINE INCL MOD (1-KEY D-S;SAME DOS;XPROV)</t>
  </si>
  <si>
    <t>Deny PROC code when support code is not present on the same DOS by any PROV and the MOD is present on the deny line and POS is present on deny and support line.</t>
  </si>
  <si>
    <t xml:space="preserve">INDIVIDUAL PROC denial due to FREQ with INCL AGE and D-S INCL DIAG - Line Quantity (DAYS_RANGE; INCL SAME DOS; XPROV)(QTY PER PROC, ADD LINE=N) </t>
  </si>
  <si>
    <t>GROUP PROC denial due to FREQ with D-S INCL DIAG and D-S INCL AGE- Line_Quantity accumulation (DAYS_RANGE; INCL SAME DOS; XPROV)(QTY=1 and ADD LINE=N)</t>
  </si>
  <si>
    <t>PROC denial due to PRESENT AGE, PRESENT MOD, and PRESENT POS and PRESENT TAXONOMY</t>
  </si>
  <si>
    <t>PROC denial due to PRESENT AGE with INCL PROV SPEC and INCL POS</t>
  </si>
  <si>
    <t>PROC denial due to PRESENT OTHER PROC with D-S POS INCL and DENY MOD INCL (1-KEY D-S;SAME DOS; XPROV)</t>
  </si>
  <si>
    <t>PROC denial due to NOT PRESENT DX with INCL POS</t>
  </si>
  <si>
    <t>PROC denial due to NOT PRESENT MODIFIER with INCL DIAG and PROV SPEC</t>
  </si>
  <si>
    <t>INDIVIDUAL PROC denial due to FREQ with INCL AGE and D-S EXCL DIAG - Line Quantity (DAYS_RANGE; INCL SAME DOS; XPROV)(QTY PER PROC, ADD LINE=N)</t>
  </si>
  <si>
    <t>PROC GROUP denial due to FREQ with D-S EXCL DIAG and D-S INCL AGE- Line_Quantity accumulation (DAYS_RANGE; INCL SAME DOS; XPROV)(QTY=1 and ADD LINE=N)</t>
  </si>
  <si>
    <t>INDIVIDUAL PROC denial due to FREQ with D-S INCL MOD and D-S INCL DIAG - Line_Quantity (DAYS_RANGE; INCL SAME DOS; XPROV) (QTY PER PROC, ADD LINE=N)</t>
  </si>
  <si>
    <t>PROC GROUP denial due to FREQ - Line Quantity (DAYS_RANGE, INCL SAME DOS;PROV_ID;FTIN_ANY_SPEC) (QTY=1 and ADD LINE=N)</t>
  </si>
  <si>
    <t>DX denial due to PRESENT on Line_Diag1 or Claim_Diag1</t>
  </si>
  <si>
    <t>PROC denial due to PRESENT AUTH NUMBER and NOT PRESENT DX.</t>
  </si>
  <si>
    <t>PROC denial due to PRESENT OTHER PROC with D-S INCL Age and D-S INCL BILL TYPE (1-KEY D-S, SAME DOS, XPROV) (ALL_FAC)</t>
  </si>
  <si>
    <t>Deny PROC code, when age is met, if support code is present on the same DOS by any provider, with BILL TYPE is present on deny and support line.</t>
  </si>
  <si>
    <t>PROC denial due to NOT PRESENT AUTH NUMBER with INCL DX and INCL MOD</t>
  </si>
  <si>
    <t>PROC GROUP denial due to FREQ with D-S INCL DIAG and D-S INCL AUTH NUMBER - Line_Quantity accumulation (SAME DOS; XPROV)(QTY = 1; and ADD LINE=N)</t>
  </si>
  <si>
    <t>INDIVIDUAL PROC denial due to FREQ with INCL AGE and D-S INCL MOD and D-S INCL DIAG - Line_Quantity (DAYS_RANGE; INCL SAME DOS; XPROV) (QTY PER PROC, ADD LINE=N)</t>
  </si>
  <si>
    <t>PROC denial due to PRESENT AUTH NUM and PRESENT AGE</t>
  </si>
  <si>
    <t>PROC denial due to PRESENT OTHER PROC with EXCL SUPPORT DIAG (1-KEY D-S; SAME DOS; XPROV)</t>
  </si>
  <si>
    <t>Deny PROC code if support code is present on the same DOS by any provider, with MOD not present on support lines.</t>
  </si>
  <si>
    <t>PROC denial due to PRESENT OTHER PROC with INCL DENY MOD (2-KEY D-S; SAME DOS; XPROV)</t>
  </si>
  <si>
    <t>Deny PROC code if support code is present on the same DOS by any provider, with MOD present on the deny line.</t>
  </si>
  <si>
    <t>PROC denial due to PRESENT OTHER PROC with INCL D-S POS (1-KEY D-S; SAME DOS; XPROV) (SAME CLAIM)</t>
  </si>
  <si>
    <t>Deny PROC code if support code is present on the same DOS by any provider, with POS present on the deny and support line, and on the same claim.</t>
  </si>
  <si>
    <t>PROC denial due to NOT PRESENT OTHER PROC with D-S INCL POS and D-S INCL BILLED AMOUNT GT $0.00 (1-KEY D-S; SAME DOS; XPROV) (SAME CLAIM)</t>
  </si>
  <si>
    <t>Deny PROC code when support code is not present on the same DOS by any PROV on the same claim and the POS is present on deny and support lines and the billed amount is met.</t>
  </si>
  <si>
    <t>PROC denial due to PRESENT OTHER PROC with DENY INCL MOD and DENY INCL BILLED AMOUNT LT 1100 and D-S INCL POS (1-KEY D-S; SAME DOS; XPROV)</t>
  </si>
  <si>
    <t>INDIVIDUAL PROC denial due to FREQ with D-S INCL MOD and D-S INCL POS- Line_Quantity (DAYS_RANGE; INCL SAME DOS; XPROV)(QTY PER PROC, ADD LINE=N)</t>
  </si>
  <si>
    <t xml:space="preserve">PROC denial due to NOT PRESENT DX with INCL MOD and INCL POS. </t>
  </si>
  <si>
    <t>Bill Type denial due to NOT PRESENT REV CODE (ALL_FAC)</t>
  </si>
  <si>
    <t>Deny Bill Type when REV Code is not present.</t>
  </si>
  <si>
    <t>INDIVIDUAL PROC denial due to FREQ with INCL AGE and D-S INCL MOD and D-S INCL POS - Line_Quantity (SAME DOS; XPROV)(QTY PER PROC, ADD LINE=N)</t>
  </si>
  <si>
    <t>PROC denial due to NOT PRESENT MOD with INCL TAXONOMY</t>
  </si>
  <si>
    <t>PROC denial due to NOT PRESENT AUTH NUMBER with INCL REV code and INCL MOD (ALL_FAC)</t>
  </si>
  <si>
    <t>INDIVIDUAL PROC denial due to FREQ with INCL AGE and INCL D-S MOD (CALENDAR YEAR; INCL SAME DOS; XPROV) (QTY per PROC, ADD LINE = N)</t>
  </si>
  <si>
    <t>PROC denial due to PRESENT AUTH NUMBER and NOT PRESENT BILL TYPE (ALL_FAC)</t>
  </si>
  <si>
    <t>INDIVIDUAL PROC denial due to FREQ with D-S INCL DIAG and D-S INCL AUTH NUMBER - Line_Quantity (DAYS_RANGE; INCL SAME DOS; XPROV)(QTY PER PROC; and ADD LINE=N)</t>
  </si>
  <si>
    <t>INDIVIDUAL PROC denial due to FREQ with D-S INCL DIAG and D-S INCL AUTH NUMBER - Line Quantity (SAME DOS; XPROV)(QTY PER PROC, ADD LINE=N)</t>
  </si>
  <si>
    <t>PROC denial due to PRESENT OTHER PROC with D-S INCL DIAG and  D-S INCL AUTH NUMBER (1-KEY D-S; SAME DOS; XPROV)</t>
  </si>
  <si>
    <t>INDIVIDUAL PROC denial due to FREQ with INCL AGE and D-S INCL MOD - Line_Quantity (SAME DOS; XPROV)(QTY PER PROC, ADD LINE=N)</t>
  </si>
  <si>
    <t>PROC denial due to PRESENT AUTH NUMBER and NOT PRESENT REV CODE (ALL_FAC)</t>
  </si>
  <si>
    <t>INDIVIDUAL PROC denial due to FREQ with D-S EXCL POS- Line_Quantity (DAYS_RANGE; INCL SAME DOS; XPROV)(QTY PER PROC, ADD LINE=N)</t>
  </si>
  <si>
    <t xml:space="preserve">PROC denial due to PRESENT AUTH NUM and NOT PRESENT POS. </t>
  </si>
  <si>
    <t>PROC denial due to NOT PRESENT MOD with INCL BILLED AMOUNT  LT 1100</t>
  </si>
  <si>
    <t>PROC denial due to NOT PRESENT Claim_PrincipalDiag with INCL BILL TYPE (ALL_FAC)</t>
  </si>
  <si>
    <t>PROC denial due to PRESENT OTHER PROC with DENY INCL BILLED AMOUNT LT 1100 and DENY INCL MOD (1-KEY D-S; SAME DOS; XPROV)</t>
  </si>
  <si>
    <t>PROC denial due to PRESENT OTHER PROC with D-S INCL BILLED AMOUNT LT 1100 and DENY INCL MOD (1-KEY D-S; SAME DOS; XPROV)</t>
  </si>
  <si>
    <t>PROC denial due to PRESENT MOD with INCL BILLED AMOUNT LT 1100</t>
  </si>
  <si>
    <t>REV CODE denial due to PRESENT PROV SPEC with INCL MOD (ALL_FAC)</t>
  </si>
  <si>
    <t>PROC denial due to PRESENT REV CODE with INCL PROV SPEC and INCL MOD (ALL_FAC)</t>
  </si>
  <si>
    <t>PROC denial due to PRESENT OTHER PROC with INCL AGE, D-S INCL MOD, and D-S INCL TAXONOMY (1-KEY D-S; SAME DOS; XPROV)</t>
  </si>
  <si>
    <t>PROC denial due to NOT PRESENT MOD with INCL AGE and INCL TAXONOMY</t>
  </si>
  <si>
    <t>PROC denial due to NOT PRESENT MOD1  with INCL AGE, INCL TAXONOMY, and  MOD2</t>
  </si>
  <si>
    <t>PROC denial due to PRESENT AGE with INCL TAXONOMY</t>
  </si>
  <si>
    <t>MOD1 denial due to PRESENT MOD2 (ALL_FAC)</t>
  </si>
  <si>
    <t>PROC denial due to NOT PRESENT MOD with INCL REV, INCL BILL TYPE and INCL AGE (ALL_FAC)</t>
  </si>
  <si>
    <t>PROC denial due to PRESENT AGE with INCL BILLED AMOUNT LT 1100</t>
  </si>
  <si>
    <t>PROC GROUP denial due to FREQ with D-S INCL MOD and D-S INCL DIAG - Line_Quantity (DAYS_RANGE; INCL SAME DOS; XPROV) (QTY &gt;1, ADD LINE=N)</t>
  </si>
  <si>
    <t>ICD-10 PROC denial due to PRESENT AGE (ALL_FAC)</t>
  </si>
  <si>
    <t>PROC denial due to PRESENT OTHER PROC with DENY INCL BILLED AMOUNT LT 1100 (1-KEY D-S; SAME DOS; XPROV)</t>
  </si>
  <si>
    <t>INDIVIDUAL PROC denial due to FREQ - Line_Quantity (SAME DOS; XPROV)(QTY PER PROC, ADD LINE=N)(ALL_FAC)</t>
  </si>
  <si>
    <t>PROC denial due to PRESENT OTHER PROC with SUPPORT MOD INCL and SUPPORT POS INCL (1-KEY D-S; SAME DOS; XPROV)</t>
  </si>
  <si>
    <t>INDIVIDUAL PROC denial due to FREQ with D-S INCL BILL TYPE and INCL AGE - Line Quantity (SAME DOS; XPROV)(QTY PER PROC, ADD LINE=N) (ALL_FAC)</t>
  </si>
  <si>
    <t>INDIVIDUAL PROC denial due to FREQ with D-S INCL BILL TYPE and D-S INCL DIAG - Line Quantity (SAME DOS; XPROV)(QTY PER PROC, ADD LINE=N)(ALL_FAC)</t>
  </si>
  <si>
    <t>PROC denial due to PRESENT OTHER PROC with D-S EXCL DIAG (2-KEY D-S; SAME DOS; XPROV)</t>
  </si>
  <si>
    <t>Deny PROC code if support code is present on the same DOS by any provider, with DX not present on both deny and support lines.</t>
  </si>
  <si>
    <t>PROC denial due to NOT PRESENT OTHER PROC with INCL AGE and INCL DENY MOD (1-KEY D-S; SAME DOS; XPROV)</t>
  </si>
  <si>
    <t>Deny PROC code when member age is met and support code is not present on the same DOS by any PROV and MOD is present on deny line.</t>
  </si>
  <si>
    <t>INDIVIDUAL PROC denial due to FREQ with INCL AGE and INCL D-S AUTH NUM - Line Quantity (CALENDAR YEAR; INCL SAME DOS; XPROV) (QTY PER PROC, ADD LINE=N)</t>
  </si>
  <si>
    <t>PROC denial due to NOT PRESENT Auth Number (ALL_FAC)</t>
  </si>
  <si>
    <t>REV CODE GROUP denial due to FREQ wih INCL AGE - Line Quantity accumulation (CALENDAR_MONTH; INCL SAME DOS; XPROV) (QTY &gt;1, ADD LINE=N) (ALL_FAC)</t>
  </si>
  <si>
    <t>PROC denial due to PRESENT BILL TYPE AND NOT PRESENT AUTH NUMBER (ALL_FAC)</t>
  </si>
  <si>
    <t>INDIVIDUAL PROC denial due to FREQ with D-S INCL BILL TYPE and INCL AGE - Line Quantity (DAYS_RANGE; INCL SAME DOS; XPROV)(QTY PER PROC, ADD LINE=N) (ALL_FAC)</t>
  </si>
  <si>
    <t>INDIVIDUAL PROC denial due to FREQ with D-S INCL MOD - Line_Quantity (SAME DOS; XPROV)(QTY per PROC and ADD LINE=N)</t>
  </si>
  <si>
    <t>PROC denial due to PRESENT BILL TYPE, INCL AGE AND NOT PRESENT AUTH NUMBER (ALL_FAC)</t>
  </si>
  <si>
    <t>PROC denial due to NOT PRESENT DIAG with INCL AUTH NUMBER and INCL GENDER</t>
  </si>
  <si>
    <t>PROC denial due to NOT PRESENT DX1 (Line_Diag1) AND NOT PRESENT DX2 (Line_Diag2)</t>
  </si>
  <si>
    <t>PROC denial due to NOT PRESENT MOD1 with INCL MOD2 and INCL Taxonomy</t>
  </si>
  <si>
    <t>INDIVIDUAL PROC denial due to FREQ with INCL DENY MOD - Line_Quantity (SAME DOS; XPROV)(QTY PER PROC, ADD LINE=N)</t>
  </si>
  <si>
    <t>REV CODE denial due to NOT PRESENT OCCURRENCE CODE with INCL PROV TYPE (INPAT_FAC)</t>
  </si>
  <si>
    <t>INDIVIDUAL PROC denial due to FREQ with D-S INCL MOD, D-S INCL Taxonomy - Line_Quantity (SAME DOS; XPROV)(QTY per PROC, ADD LINE=N)</t>
  </si>
  <si>
    <t>PROC denial due to NOT PRESENT DX with INCL AUTH NUMBER, INCL MODIFIER, and INCL AGE</t>
  </si>
  <si>
    <t>PROC denial due to PRESENT AUTH NUM, NOT PRESENT MOD and INCL Taxonomy</t>
  </si>
  <si>
    <t>PROC denial due to NOT PRESENT AUTH NUM,  PRESENT MOD and INCL Taxonomy</t>
  </si>
  <si>
    <t>PROC denial due to NOT PRESENT DIAG on Line_Diag1 or Claim_Diag1 with INCL MOD</t>
  </si>
  <si>
    <t>PROC denial due to PRESENT OTHER PROC with INCL D-S POS and SUPPORT INCL MOD  (1-KEY D-S;SAME DOS; XPROV)</t>
  </si>
  <si>
    <t>PROC denial due to PRESENT OTHER PROC with SUPPORT INCL MOD and SUPPORT INCL BILLED AMOUNT (S;VAL;&lt;;1100) and D-S INCL POS (1-KEY D-S; SAME DOS; XPROV)</t>
  </si>
  <si>
    <t>PROC denial due to PRESENT OTHER PROC, with D-S INCL MOD, D-S INCL POS and D-S INCL PROV SPEC (1-KEY D-S; SAME DOS; XPROV)</t>
  </si>
  <si>
    <t>PROC denial due to PRESENT OTHER PROC, with D-S INCL MOD, D-S INCL POS and D-S INCL TAXONOMY (1-KEY D-S; SAME DOS; XPROV)</t>
  </si>
  <si>
    <t>REV CODE denial due to NOT PRESENT MOD with INCL BILL TYPE</t>
  </si>
  <si>
    <t>INDIVIDUAL PROC denial due to FREQ with D-S EXCL DIAG, D-S INCL MOD, and D-S INCL TAXONOMY - Line_Quantity (DAYS_RANGE; INCL SAME DOS; XPROV) (QTY per PROC and ADD LINE=N)</t>
  </si>
  <si>
    <t>INDIVIDUAL PROC denial due to FREQ with D-S INCL DIAG, D-S INCL MOD, D-S INCL TAXONOMY - Line_Quantity (DAYS_RANGE; INCL SAME DOS; XPROV) (QTY per PROC and ADD LINE=N)</t>
  </si>
  <si>
    <t>INDIVIDUAL PROC denial due to FREQ with D-S INCL POS, D-S INCL MOD, and D-S INCL TAXONOMY - Line_Quantity (DAYS_RANGE; INCL SAME DOS; XPROV) (QTY per PROC and ADD LINE=N)</t>
  </si>
  <si>
    <t>PROC denial due to NOT PRESENT DX with INCL MOD and INCL TAXONOMY</t>
  </si>
  <si>
    <t>INDIVIDUAL PROC denial due to FREQ with INCL D-S MOD, INCL D-S REV CODE, INCL D-S BILL TYPE, INCL AGE - Line_Quantity (CALENDAR_YEAR; INCL SAME DOS; XPROV) (QTY per PROC; ADD LINE=N)</t>
  </si>
  <si>
    <t>PROC denial due to PRESENT AGE and NOT PRESENT DX, with INCL BILL TYPE, INCL REV CODE, INCL MOD, and INCL AUTH NUMBER</t>
  </si>
  <si>
    <t>PROC denial due to NOT PRESENT MOD and NOT PRESENT DX with INCL AGE, INCL AUTH NUMBER, and INCL TAXONOMY</t>
  </si>
  <si>
    <t>PROC denial due to NOT PRESENT DX, with INCL BILL TYPE, INCL REV CODE, INCL MOD, and INCL AUTH NUMBER, INCL TAXONOMY, and INCL AGE (ALL_FAC)</t>
  </si>
  <si>
    <t>INDIVIDUAL PROC denial due to FREQ with D-S INCL REV CODE, and D-S INCL BILL TYPE - Line_Quantity (DAYS_RANGE; INCL SAME DOS; XPROV)(QTY PER PROC, ADD LINE=N)</t>
  </si>
  <si>
    <t>INDIVIDUAL PROC denial due to FREQ with INCL AGE, D-S INCL MOD and D-S INCL Taxonomy - Line_Quantity (DAYS_RANGE; INCL SAME DOS; XPROV)(QTY PER PROC, ADD LINE=N)</t>
  </si>
  <si>
    <t>INDIVIDUAL PROC denial due to FREQ with D-S EXCL BILL TYPE  - Line Quantity (CALENDAR_YEAR;INCL SAME DOS; XPROV)(QTY PER PROC, ADD LINE=N)</t>
  </si>
  <si>
    <t>PROC denial due to NOT PRESENT BILL TYPE, with INCL DX, INCL AUTH NUMBER</t>
  </si>
  <si>
    <t>PROC denial due to PRESENT AGE with INCL MOD, INCL Taxonomy, and INCL AUTH NUM</t>
  </si>
  <si>
    <t>PROC denial due to NOT PRESENT AUTH NUM, with INCL AGE, INCL DIAG, INCL MOD, and INCL TAXONOMY</t>
  </si>
  <si>
    <t>PROC denial due to PRESENT OTHER PROC with INCL AGE, DENY INCL MOD, and D-S INCL TAXONOMY (1-KEY D-S; DAYS_RANGE; INCLUDE SAME DOS; XPROV)</t>
  </si>
  <si>
    <t>PROC denial due to NOT PRESENT AUTH NUM with INCL AGE AND INCL TAXONOMY</t>
  </si>
  <si>
    <t xml:space="preserve">REV Code denial due to PRESENT OTHER REV Code (1-KEY D-S; SAME DOS; XPROV)  </t>
  </si>
  <si>
    <t>REV denial due PRESENT OTHER REV with D-S INCL BILL TYPE (2-KEY D-S, SAME DOS, XPROV) (ALL_FAC) (SAME CLAIM)</t>
  </si>
  <si>
    <t>PROC denial due to PRESENT MOD, PRESENT POS and PRESENT PROV SPEC</t>
  </si>
  <si>
    <t>PROC denial due to present age with INCL PROV SPEC, POS, and MOD</t>
  </si>
  <si>
    <t>PROC denial if Taxonomy code is present</t>
  </si>
  <si>
    <t>INDIVIDUAL PROC denial due to FREQ with INC TAXONOMY - Line_Quantity (SAME DOS; XPROV)(QTY PER PROC, ADD LINE=N)</t>
  </si>
  <si>
    <t>PROC denial due to NOT PRESENT DX with INCL TAXONOMY</t>
  </si>
  <si>
    <t>INDIVIDUAL PROC denial due to FREQ with INCL AGE, D-S INCL MOD and D-S INCL Taxonomy - Line_Quantity (CALENDAR_YEAR; INCL SAME DOS; XPROV)(QTY PER PROC, ADD LINE=N)</t>
  </si>
  <si>
    <t>INDIVIDUAL PROC denial due to FREQ with INCL AGE, D-S INCL MOD, D-S INCL REV CODE, D-S INCL BILL TYPE and D-S INCL Taxonomy - Line_Quantity (CALENDAR_YEAR; INCL SAME DOS; XPROV)(QTY PER PROC, ADD LINE=N)(ALL_FAC)</t>
  </si>
  <si>
    <t>PROC denial due to NOT PRESENT OTHER PROC, with D-S INCL MOD, D-S INCL POS and D-S INCL TAXONOMY (1-KEY D-S; SAME DOS; XPROV)</t>
  </si>
  <si>
    <t>PROC denial due to NOT PRESENT AUTH NUM  with INCL AGE,  MOD1 &amp;2, TAXONOMY</t>
  </si>
  <si>
    <t>PROC denial due to PRESENT TAXONOMY</t>
  </si>
  <si>
    <t>PROC denial due to NOT PRESENT DX with INCL PROV SPEC and INCL TAXONOMY</t>
  </si>
  <si>
    <t>PROC denial due to NOT PRESENT DIAG (Line_Diag1 or Claim_Diag1) with INCL AUTH NUMBER and AGE</t>
  </si>
  <si>
    <t>PROC denial due to NOT PRESENT AUTH NUM with INCL Age, INCL MOD, and INCL DIAG</t>
  </si>
  <si>
    <t>PROC denial due to NOT PRESENT POS with INCL PROV SPEC and INCL DX</t>
  </si>
  <si>
    <t>PROC denial due to NOT PRESENT AUTH NUM with INCL Age, INCL MOD, INCL DIAG, INCL REV Code, and INCL Bill Type (ALL_FAC)</t>
  </si>
  <si>
    <t>PROC denial due to NOT PRESENT PRIMARY DX with INCL AGE</t>
  </si>
  <si>
    <t>INDIVIDUAL PROC denial due to FREQ with D-S INCL DX, D-S INCL POS, and D-S INCL PROV SPEC - Line Quantity (SAME DOS; XPROV)(QTY PER PROC, ADD LINE=N)</t>
  </si>
  <si>
    <t>PROC denial due to NOT PRESENT DIAG on LINE_DIAG1 or LINE_CLAIM1</t>
  </si>
  <si>
    <t>INDIVIDUAL PROC denial due to FREQ with INCL AGE and INCL D-S AUTH NUM - Line Quantity (DAYS_RANGE; INCL SAME DOS; XPROV) (QTY PER PROC, ADD LINE=N)</t>
  </si>
  <si>
    <t>INDIVIDUAL PROC denial due to FREQ with INCL D-S POS, INCL D-S TAXONOMY - Line Quantity (SAME DOS; XPROV)(QTY=1 and ADD LINE=N)</t>
  </si>
  <si>
    <t>PROC denial due to NOT PRESENT OTHER PROC with INCL PRIMARY DX with INCL AUTH Number and INCL AGE (1-KEY D-S; SAME DOS; XPROV)</t>
  </si>
  <si>
    <t>PROC denial due to PRESENT OTHER PROC with DENY INCL MOD1 and SUPPORT INCL MOD2, D-S INCL POS and D-S INCL TAXONOMY (1-KEY D-S, INCL SAME DAY; XPROV)</t>
  </si>
  <si>
    <t>INDIVIDUAL PROC denial due to FREQ with INCL AGE, D-S INCL MOD1 and MOD2, D-S INCL Taxonomy, and D-S INCL Auth_Num - Line Quantity (CALENDAR_YEAR; INCL SAME DOS; XPROV) (QTY PER PROC, ADD LINE=N)</t>
  </si>
  <si>
    <t xml:space="preserve">INDIVIDUAL PROC denial due to FREQ with D-S INCL MOD, D-S INCL PROV SPEC - Line_Quantity (SAME DOS; XPROV)(QTY PER PROC, ADD LINE=N) </t>
  </si>
  <si>
    <t>INDIVIDUAL PROC denial due to FREQ with INCL AGE, D-S INCL MOD1 and MOD2, and D-S INCL TAXONOMY - Line_Quantity (CALENDAR_YEAR; INCL SAME DOS; XPROV)(QTY PER PROC, ADD LINE=N)</t>
  </si>
  <si>
    <t>REV CODE denial due to PRESENT AGE, with INCL PROC, and INCL BILL TYPE</t>
  </si>
  <si>
    <t>INDIV PROC denial due to FREQ with D-S INCL AUTH and INCL AGE - Line Quantity (DAYS_RANGE; INCL SAME DOS; XPROV) (QTY per PROC; ADD LINE=N)</t>
  </si>
  <si>
    <t>INDIVIDUAL PROC denial due to FREQ with INCL POS and INCL AGE - Line Quantity (CALENDAR_YEAR; INCL SAME DOS; SAME PROV)  (QTY per PROC; ADD LINE=N)</t>
  </si>
  <si>
    <t>INDIVIDUAL PROC denial due to FREQ with INCL D-S MOD, INCL D-S REV CODE, INCL D-S BILL TYPE, Line_Quantity (DAYS_RANGE; INCL SAME DOS; XPROV) (QTY per PROC; ADD LINE=N)</t>
  </si>
  <si>
    <t>Deny individual PROC code if QTY exceeds allowed amount within days range including same DOS, by any PROV, with REV CODE, MOD, and BILL TYPE present on both deny and support lines.</t>
  </si>
  <si>
    <t xml:space="preserve">PROC denial due to NOT PRESENT DIAG with INCL PROV SPEC, INCL PRIMARY MOD </t>
  </si>
  <si>
    <t>PROC denial due to PRESENT MOD with INCL AGE and INCL AUTH NUMBER</t>
  </si>
  <si>
    <t>PROC denial due to NOT PRESENT DX with INCL TAXONOMY and INCL PRIMARY MOD</t>
  </si>
  <si>
    <t>PROC denial due to NOT PRESENT AUTH NUMBER, with INCL AGE, INCL, MOD, INCL DX, INCL REV CODE, INCL BILL TYPE, INCL TAXONOMY (ALL_FAC)</t>
  </si>
  <si>
    <t>PROC denial due to NOT PRESENT DIAG with INCL AUTH NUMBER (ALL_FAC)</t>
  </si>
  <si>
    <t>PROC denial due to PRESENT OTHER PROC with DENY INCL MOD1 and SUPPORT INCL MOD2, D-S INCL POS and D-S INCL PROV SPEC (1-KEY D-S, INCL SAME DAY; XPROV)</t>
  </si>
  <si>
    <t>PROC denial due to NOT PRESENT MOD with INCL TAXONOMY and INCL POS</t>
  </si>
  <si>
    <t>PROC denial due to PRESENT AGE with INCL MOD, and INCL TAXONOMY</t>
  </si>
  <si>
    <t>PROC denial due to PRESENT AGE with INCL TAXONOMY, and INCL POS</t>
  </si>
  <si>
    <t>REV denial due to not present Auth Number (ALL_FAC)</t>
  </si>
  <si>
    <t>INDIVIDUAL PROC denial due to FREQ with INCL POS and INCL AGE - Line Quantity (CALENDAR_YEAR; INCL SAME DOS; SAME PROV)(QTY PER PROC, ADD LINE=N) </t>
  </si>
  <si>
    <t xml:space="preserve">INDIVIDUAL PROC denial due to FREQ with INCL AGE - Line Quantity (CALENDAR_YEAR; INCL SAME DOS; SAME PROV)(QTY PER PROC, ADD LINE=N) </t>
  </si>
  <si>
    <t>INDIVIDUAL PROC denial due to FREQ with D-S INCL MOD, and D-S INCL TAXONOMY - Line_Quantity (DAYS_RANGE; INCL SAME DOS; XPROV) (QTY per PROC and ADD LINE=N)</t>
  </si>
  <si>
    <t>PROC denial due to NOT PRESENT MOD1 and NOT PRESENT MOD2 with INCL TAXONOMY and POS</t>
  </si>
  <si>
    <t>INDIVIDUAL PROC denial due to FREQ with D-S INCL POS, D-S INCL MOD, and D-S INCL TAXONOMY - Line_Quantity (SAME DOS; XPROV) (QTY per PROC and ADD LINE=N)</t>
  </si>
  <si>
    <t>INDIVIDUAL PROC denial due to FREQ with D-S INCL POS, D-S INCL MOD, D-S INCL AGE, and D-S INCL TAXONOMY - Line_Quantity (CALENDAR_YEAR; INCL SAME DOS; XPROV) (QTY per PROC and ADD LINE=N)</t>
  </si>
  <si>
    <t>INDIVIDUAL PROC denial due to FREQ with INCL AGE and D-S EXCL MOD (CALENDAR YEAR; INCL SAME DOS; XPROV) (QTY per PROC, ADD LINE = N)</t>
  </si>
  <si>
    <t>PROC denial due to PRESENT AUTH NUM and NOT PRESENT DIAG and INCL PROV SPEC</t>
  </si>
  <si>
    <t>INDIVIDUAL PROC denial due to FREQ with D-S INCL POS, D-S INCL MOD, and D-S INCL TAXONOMY - Line_Quantity (CALENDAR_MONTH; INCL SAME DOS; SAME PROV) (QTY per PROC and ADD LINE=N)</t>
  </si>
  <si>
    <t>INDIVIDUAL PROC denial due to FREQ with D-S INCL DIAG - Line Quantity (CALENDAR_YEAR;INCL SAME DOS; SAME PROV)(QTY PER PROC, ADD LINE=N)</t>
  </si>
  <si>
    <t>INDIVIDUAL PROC denial due to FREQ with D-S INCL MOD and D-S INCL Taxonomy - Line_Quantity (CALENDAR MONTH; INCL SAME DOS; XPROV)(QTY PER PROC, ADD LINE=N)</t>
  </si>
  <si>
    <t>REV denial due to PRESENT AGE with INCL AUTH NUMBER (ALL_FAC)</t>
  </si>
  <si>
    <t>REV denial due to NOT PRESENT BILL TYPE with INCL TAXONOMY (ALL_FAC)</t>
  </si>
  <si>
    <t>PROC denial due to PRESENT POS and TAXONOMY</t>
  </si>
  <si>
    <t>PROC denial due to PRESENT OTHER PROC, with D-S INCL POS and D-S INCL TAXONOMY (1-KEY D-S; SAME DOS; XPROV)</t>
  </si>
  <si>
    <t>PROC denial due to NOT PRESENT PROVSPEC with EXCL POS</t>
  </si>
  <si>
    <t>PROC denial due to NOT PRESENT DX, with INCL MOD, INCL POS and INCL TAXONOMY</t>
  </si>
  <si>
    <t>PROC denial due to NOT PRESENT POS with INCL Line_ProcMod1 and Line_ProcMod2</t>
  </si>
  <si>
    <t xml:space="preserve">INDIVIDUAL PROC denial due to FREQ with D-S INCL MOD, D-S INCL PROV SPEC - Line_Quantity (CALENDAR_MONTH; INCL SAME DOS; XPROV)(QTY PER PROC, ADD LINE=N) </t>
  </si>
  <si>
    <t>INDIVIDUAL PROC denial due to FREQ with D-S INCL POS, D-S INCL MOD, and D-S INCL PROV SPEC - Line_Quantity (SAME DOS; XPROV) (QTY per PROC and ADD LINE=N)</t>
  </si>
  <si>
    <t>INDIVIDUAL PROC denial due to FREQ with D-S INCL POS, D-S INCL MOD, D-S INCL AGE, and D-S INCL PROV SPEC - Line_Quantity (CALENDAR_YEAR; INCL SAME DOS; XPROV) (QTY per PROC and ADD LINE=N)</t>
  </si>
  <si>
    <t>INDIVIDUAL PROC denial due to FREQ with D-S INCL POS, D-S INCL MOD, and D-S INCL PROV SPEC - Line_Quantity (CALENDAR_MONTH; INCL SAME DOS; SAME PROV) (QTY per PROC and ADD LINE=N)</t>
  </si>
  <si>
    <t>REV CODE denial due to NOT PRESENT BILL TYPE with INCL PROV SPEC (ALL_FAC)</t>
  </si>
  <si>
    <t>PROC denial due to NOT PRESENT DX, with INCL MOD, INCL POS and INCL PROV SPEC</t>
  </si>
  <si>
    <t>Proc denial due to NULL Line_PriorAuthCode with INCL Age</t>
  </si>
  <si>
    <t>PROC denial due to NOT PRESENT MOD1 and NOT PRESENT MOD2 with INCL PROV SPEC and INCL POS</t>
  </si>
  <si>
    <t>PROC denial due to NOT PRESENT DX1 and PRESENT DX2 with INCL Auth Number and INCL AGE</t>
  </si>
  <si>
    <t>INDIVIDUAL PROC denial due to FREQ with INCL D-S AUTH NUMBER - Line Quantity (CALENDAR_YEAR; INCL SAME DOS; XPROV)(QTY PER PROC, ADD LINE=N)</t>
  </si>
  <si>
    <t>PROC denial due to PRESENT AGE with PRESENT DIAG1 and PRESENT DIAG2</t>
  </si>
  <si>
    <t>PROC denial due to NOT PRESENT MOD with INCL REV CODE and  BILL TYPE</t>
  </si>
  <si>
    <t>PROC denial due to PRESENT DX with INCL BILL TYPE (ALL_FAC)</t>
  </si>
  <si>
    <t>Deny PROC code if DX code is not present and bill type is present.</t>
  </si>
  <si>
    <t>PROC denial due to PRESENT AGE  and NOT PRESENT MOD with INCL Prov Spec</t>
  </si>
  <si>
    <t>PROC denial due to PRESENT AGE and NOT PRESENT DX with INCL Auth Num and INCL Bill Types (ALL_FAC)</t>
  </si>
  <si>
    <t>PROC denial due to NOT PRESENT DX with INCL Auth Num and INCL Bill Types (ALL_FAC)</t>
  </si>
  <si>
    <t>PROC denial due to NOT PRESENT DX with INCL Auth Num and INCL POS</t>
  </si>
  <si>
    <t>INDIVIDUAL PROC denial due to FREQ with D-S INCL POS, D-S INCL MOD, D-S INCL AGE, and D-S INCL TAXONOMY - Line_Quantity (CALENDAR_YEAR; INCL SAME DOS; SAME PROV) (QTY per PROC and ADD LINE=N)</t>
  </si>
  <si>
    <t>INDIVIDUAL PROC denial due to FREQ with D-S INCL POS, D-S INCL MOD, D-S INCL AGE, and D-S INCL PROV SPEC - Line_Quantity (CALENDAR_YEAR; INCL SAME DOS; SAME PROV) (QTY per PROC and ADD LINE=N)</t>
  </si>
  <si>
    <t>INDIVIDUAL PROC denial due to FREQ with EXCL D-S AUTH NUMBER - Line Quantity (CALENDAR_YEAR; INCL SAME DOS; XPROV)(QTY PER PROC, ADD LINE=N)</t>
  </si>
  <si>
    <t>PROC denial due to NOT PRESENT PRIMARY MOD (Line_ProcMod1) with INCL POS and INCL TAXONOMY</t>
  </si>
  <si>
    <t>PROC denial due to NOT PRESENT PRIMARY MOD1, and NOT PRESENT SECONDARY MOD2 with INCL POS and INCL TAXONOMY</t>
  </si>
  <si>
    <t>INDIVIDUAL PROC denial due to FREQ with D-S INCL AUTH NUMBER - Line Quantity (DAYS_RANGE; INCL SAME DOS; XPROV) (QTY PER PROC, ADD LINE=N)</t>
  </si>
  <si>
    <t>PROC denial due to NOT PRESENT Line_ProcMod1 (Primary Mod)  with INCL PROV SPEC and INCL POS</t>
  </si>
  <si>
    <t>PROC denial due to NOT PRESENT MOD1 (Line_ProcMod1), and NOT PRESENT MOD2 (Line_ProcMod2) with INCL POS and INCL PROVSPEC</t>
  </si>
  <si>
    <t>PROC denial due to PRESENT MOD and PRESENT AUTH NUMBER</t>
  </si>
  <si>
    <t>PROC denial due to NOT PRESENT AUTH NUMBER with INCL AGE, INCL DIAG, INCL  MOD, and INCL PROV SPEC</t>
  </si>
  <si>
    <t>PROC denial due to NOT PRESENT AUTH NUMBER with INCL AGE, INCL DIAG, INCL MOD, INCL REV CODE, INCL BILL TYPE, INCL PROV SPEC (ALL_FAC)</t>
  </si>
  <si>
    <t>PROC denial due to NOT PRESENT DX with INCL AUTH NUMBER, INCL GENDER, and INCL AGE</t>
  </si>
  <si>
    <t>INDIVIDUAL PROC denial due to FREQ with D-S INCL MOD and D-S INCL DIAG - Line Quantity (SAME DOS; XPROV)(QTY PER PROC and ADD LINE=N)</t>
  </si>
  <si>
    <t>PROC denial due to PRESENT DX1 (Line_Diag1) AND PRESENT DX2 (Line_Diag2) with INCL AGE</t>
  </si>
  <si>
    <t>GROUP PROC denial due to FREQ with D-S INCL DIAG - Line_Quantity accumulation (SAME DOS; XPROV)(QTY=1 and ADD LINE=N)</t>
  </si>
  <si>
    <t>PROC denial due to NOT PRESENT OTHER PROC with INCL PRIMARY DX and INCL AGE (1-KEY D-S; SAME DOS; XPROV)</t>
  </si>
  <si>
    <t>Deny PROC code when member age is met and support code is not present on the same DOS by any PROV and PRIMARY DIAG is present on deny and support line.</t>
  </si>
  <si>
    <t>INDIVIDUAL PROC denial due to FREQ with D-S INCL DX and INCL AGE - Line Quantity (CALENDAR YEAR; INCL SAME DOS; XPROV)(QTY PER PROC, ADD LINE=N)</t>
  </si>
  <si>
    <t>Deny individual PROC code if QTY exceeds allowed amount in a calendar year (incl same DOS) by any PROV and DX  is present on both deny and support and member age is met .</t>
  </si>
  <si>
    <t>PROC denial due to PRESENT OTHER PROC with D-S INCL DIAG1 and D-S INCL DIAG2 (1-KEY D-S; DAYS RANGE; INCL SAME DOS; XPROV)</t>
  </si>
  <si>
    <t xml:space="preserve">PROC denial due to PRESENT OTHER PROC with D-S INCL DX and D-S INCL PROV SPEC (1-KEY D-S; SAME DOS; SAME PROV) </t>
  </si>
  <si>
    <t>Deny PROC if support code is present on the same DOS,  by the same PROV, and DX is PRESENT, and PROV SPEC is PRESENT on Deny and support.</t>
  </si>
  <si>
    <t>PROC denial due to NOT PRESENT DX with INCL AGE and INCL GENDER</t>
  </si>
  <si>
    <t>INDIVIDUAL PROC denial due to FREQ - Line_Quantity (SAME DOS; PROV_ID)(QTY PER PROC, ADD LINE=N)</t>
  </si>
  <si>
    <t>PROC denial due to NOT PRESENT OTHER PROC with D-S INCL TAXONOMY (1-KEY D-S; SAME DOS; XPROV) (SAME CLAIM)</t>
  </si>
  <si>
    <t>Deny PROC if support code is not present on the same DOS,  by any PROV, on the same claim, and Taxonomy  is PRESENT on Deny and support.</t>
  </si>
  <si>
    <t>PROC denial due to NOT PRESENT OTHER PROC with DENY INCL MOD (1-KEY D-S; SAME DOS; XPROV) (SAME CLAIM)</t>
  </si>
  <si>
    <t>Deny PROC if support code is not present on the same DOS,  by any PROV, on the same claim, and MOD is PRESENT on Deny and support.</t>
  </si>
  <si>
    <t>INDIVIDUAL PROC denial due to FREQ with D-S INCL DX - Line Quantity (CALENDAR YEAR; INCL SAME DOS; XPROV)(QTY PER PROC, ADD LINE=N)</t>
  </si>
  <si>
    <t>Deny individual PROC code if QTY exceeds allowed amount in a calendar year (incl same DOS) by any PROV and Diag is present on both deny and support .</t>
  </si>
  <si>
    <t>INDIVIDUAL PROC denial due to FREQ with D-S INCL PROV SPEC - Line_Quantity (SAME DOS; XPROV)(QTY PER PROC and ADD LINE=N)</t>
  </si>
  <si>
    <t>Deny individual PROC code if QTY exceeds allowed amount on the same DOS by any PROV and the PROV SPEC is present on both deny and support .</t>
  </si>
  <si>
    <t>DX denial due to PRESENT on Line_Diag1 or Claim_Diag1 with INCL AGE</t>
  </si>
  <si>
    <t>INDIVIDUAL PROC denial due to FREQ with D-S INCL PRINCIPAL DIAG - Line Quantity (DAYS_RANGE; INCL SAME DOS; XPROV)(QTY PER PROC, ADD LINE=N)</t>
  </si>
  <si>
    <t>Deny individual PROC code if QTY exceeds allowed amount in a days range (incl same DOS) by any PROV and  Principal Diag  is present on both deny and support .</t>
  </si>
  <si>
    <t>INDIVIDUAL PROC denial due to FREQ with D-S EXCL DIAG - Line Quantity (CALENDAR_YEAR;INCL SAME DOS; SAME PROV)(QTY PER PROC, ADD LINE=N)</t>
  </si>
  <si>
    <t>Deny individual PROC code if QTY exceeds allowed amount on the same calendar year (incl same DOS) by the same PROV and the DX is not present on both deny and support .</t>
  </si>
  <si>
    <t>PROC denial due to NOT PRESENT OTHER PROC with D-S INCL PROV SPEC (1-KEY D-S; SAME DOS; XPROV) (SAME CLAIM)</t>
  </si>
  <si>
    <t>Deny PROC if support code is not present on the same DOS,  by any PROV, on the same claim, and PROV SPEC is PRESENT on Deny and support.</t>
  </si>
  <si>
    <t>PROC GROUP denial due to FREQ with INCL D-S DX1 and EXCL D-S DX2- Line Quantity (DAYS_RANGE; INCL SAME DOS; XPROV)(QTY&gt;1 and ADD LINE=N)</t>
  </si>
  <si>
    <t>Deny PROC codes in the same subgroup when QTY exceeds max allowed in days range (incl same DOS) by any PROV with DX present on deny and support and a different DX not present on deny and support.</t>
  </si>
  <si>
    <t>PROC denial due to NOT PRESENT GENDER with INCL POS, INCL PROV TYPE, INCL MOD1 (Line_ProcMod1), and INCL MOD2 (Line_ProcMod2)</t>
  </si>
  <si>
    <t xml:space="preserve">Deny PROC code when specific gender value is not present, POS is present, Prov Type is present, MOD is present in the first position, and a different MOD is present in the second position. </t>
  </si>
  <si>
    <t>PROC denial due to PRESENT OTHER PROC with DENY INCL MOD1 and SUPPORT INCL MOD2 (2-KEY D-S;DAYS_RANGE, INCL SAME DAY; XPROV)</t>
  </si>
  <si>
    <t xml:space="preserve">Deny PROC code when submitted within the given days range as the support code (including same DOS), by any PROV, with MOD on the deny line and a different MOD on the support line. </t>
  </si>
  <si>
    <t>PROC denial due to NOT PRESENT OTHER PROC with SUPPORT LINE EXCL DIAG with INCL AGE (1-KEY D-S; DAYS BEFORE, INCL SAME DOS; XPROV)</t>
  </si>
  <si>
    <t>Deny PROC if support code is NOT PRESENT within the given days (including the same DOS) by any PROV when patient age is met, and DX is not present on support line.</t>
  </si>
  <si>
    <t>PROC denial due to PRESENT OTHER PROC with D-S INCL POS (1-KEY D-S; SAME DOS; SAME PROV)</t>
  </si>
  <si>
    <t>Deny PROC code if support code is present on the same DOS by the same PROV and POS code is present on both deny and support .</t>
  </si>
  <si>
    <t>PROC denial due to NOT PRESENT OTHER PROC with INCL AGE (1-KEY D-S; DAYS BEFORE, INCL SAME DOS; XPROV)</t>
  </si>
  <si>
    <t>Deny PROC if support code is NOT PRESENT within the given days (including the same DOS) by any PROV when patient age is met.</t>
  </si>
  <si>
    <t>PROC GROUP denial due to FREQ with INCL D-S BILL TYPE - Line Quantity (DAYS_RANGE; INCL SAME DOS; XPROV) (QTY=1 and ADD LINE=N) (ALL_FAC)</t>
  </si>
  <si>
    <t>Deny PROC codes in the same subgroup, in any combination, when QTY exceeds the max allowed in a given days range (including same DOS) by any PROV with bill type present on deny and support .</t>
  </si>
  <si>
    <t>PROC denial due to PRESENT OTHER PROC with D-S INCL BILL TYPE (1-KEY D-S; SAME DOS, XPROV) (ALL_FAC)</t>
  </si>
  <si>
    <t>Deny PROC if support code is present in the same DOS by any PROV with bill type present on deny and support .</t>
  </si>
  <si>
    <t>PROC GROUP denial due to FREQ with D-S INCL DIAG - Line_Quantity accumulation (SAME DOS; XPROV)(QTY=1 and ADD LINE=N) (SAME CLAIM)</t>
  </si>
  <si>
    <t>INDIVIDUAL PROC denial due to FREQ with D-S INCL MOD, PROV SPEC, PROV TYPE - Line_Quantity (SAME DOS; XPROV)(QTY PER PROC, ADD LINE=N)</t>
  </si>
  <si>
    <t>Deny PROC code if QTY exceeds allowed limit on the same DOS, by any PROV,  when modifier, PROV TYPE, and PROV SPEC is present on both deny and support .</t>
  </si>
  <si>
    <t>PROC denial due to PRESENT OTHER PROC with D-S INCL DIAG (1-KEY D-S; SAME DOS; XPROV)</t>
  </si>
  <si>
    <t>Deny PROC code if support code is present on the same DOS by any PROV and DX is present on deny and support .</t>
  </si>
  <si>
    <t>INDIVIDUAL PROC denial due to FREQ with D-S INCL MOD, D-S INCL POS, D-S INCL PROVSPEC &amp; D-S INCL PROVTYPE - Line Quantity (DAYS_RANGE;INCL SAME DOS; XPROV)(QTY PER PROC, ADD LINE=N)</t>
  </si>
  <si>
    <t>Deny individual PROC code if QTY exceeds the max allowed limit within the given days range, including same DOS, by any PROV, and MOD, POS, PROVSPEC, and PROVTYPE present on deny and support .</t>
  </si>
  <si>
    <t>PROC denial to due PRESENT MOD1 and NOT PRESENT MOD2 with INCL AGE</t>
  </si>
  <si>
    <t>PROC GROUP denial due to FREQ with D-S INCL PROV SPEC and  D-S INCL DIAG - Line Quantity (DAYS_RANGE; INCL SAME DOS; XPROV) (QTY=1 and ADD LINE=N)</t>
  </si>
  <si>
    <t>Deny PROC codes in the same subgroup, when QTY exceeds the max allowed within the given days range, including same DOS, by any PROV, and prov spec and DX present on both deny and support .</t>
  </si>
  <si>
    <t>PROC denial due to NOT PRESENT PROV SPEC with INCL BILL TYPE</t>
  </si>
  <si>
    <t>Deny PROC code when BILL TYPE is present and PROV SPEC is not present.</t>
  </si>
  <si>
    <t>MOD denial due to PRESENT POS</t>
  </si>
  <si>
    <t>Deny MOD when POS is present.</t>
  </si>
  <si>
    <t>INDIVIDUAL PROC denial due to FREQ with D-S INCL DIAG, D-S INCL PROV SPEC and D-S INCL PROV TYPE - Line Quantity (SAME DOS; XPROV)(QTY PER PROC, ADD LINE=N)</t>
  </si>
  <si>
    <t>Deny individual PROC code if QTY exceeds the max allowed limit within the same DOS, by any PROV, with DX, PROVTYPE, and PROVSPEC present on both deny and support .</t>
  </si>
  <si>
    <t>INDIVIDUAL PROC denial due to FREQ with D-S INCL DIAG, D-S INCL PROV SPEC and D-S INCL PROV TYPE - Line Quantity (DAYS_RANGE; INCL SAME DOS; XPROV)(QTY PER PROC, ADD LINE=N)</t>
  </si>
  <si>
    <t>Deny individual PROC code if QTY exceeds the max allowed limit within the given days range, including same DOS, by any PROV, with DX, PROVTYPE, and PROVSPEC present on both deny and support .</t>
  </si>
  <si>
    <t xml:space="preserve">PROC denial due to PRESENT OTHER PROC with SUPPORT INCL DIAG, PROV TYPE, and PROV SPEC (1-KEY D-S; SAME DOS; XPROV) </t>
  </si>
  <si>
    <t>Deny PROC code if support code is present on the same DOS by any PROV, with DX, PROVSPEC, and PROVTYPE present on support .</t>
  </si>
  <si>
    <t>PROC denial due to NOT PRESENT GENDER F</t>
  </si>
  <si>
    <t>MODIFIER denial due to present on Line_ProcMod1</t>
  </si>
  <si>
    <t>Deny MOD when MOD is present on 1st modifier position.</t>
  </si>
  <si>
    <t>PROC denial due to NOT PRESENT CONDITION CODE with INCL BILL TYPE (ALL_FAC)</t>
  </si>
  <si>
    <t>Deny PROC code when BILL TYPE is present and CONDITION code is not present.</t>
  </si>
  <si>
    <t>PROC denial due to PRESENT MOD1 and PRESENT POS with EXCL MOD2.</t>
  </si>
  <si>
    <t>Deny PROC code when MOD and POS are present and a different MOD is not present.</t>
  </si>
  <si>
    <t>PROC denial due to NOT PRESENT DX with INCL PROV TYPE</t>
  </si>
  <si>
    <t>Deny PROC when DX is NOT PRESENT and PROV TYPE is present.</t>
  </si>
  <si>
    <t>INDIVIDUAL PROC denial due to FREQ with D-S INCL PROV TYPE and D-S INCL PROV SPEC - Line Quantity (SAME DOS; SAME PROV)(QTY PER PROC, ADD LINE=N)</t>
  </si>
  <si>
    <t>Deny individual PROC code if QTY exceeds the max allowed limit on the same day, by the same PROV, with PROVTYPE and PROVSPEC present on both deny and support .</t>
  </si>
  <si>
    <t>INDIVIDUAL PROC denial due to FREQ with D-S INCL MOD, D-S INCL PROV TYPE and D-S INCL PROV SPEC - Line Quantity (SAME DOS; SAME PROV)(QTY PER PROC, ADD LINE=N)</t>
  </si>
  <si>
    <t>Deny individual PROC code if QTY exceeds the max allowed limit on the same day, by the same PROV, with MOD, PROVTYPE, and PROVSPEC present on both deny and support .</t>
  </si>
  <si>
    <t>INDIVIDUAL PROC denial due to FREQ with D-S INCL MOD, D-S INCL PROV TYPE and D-S INCL PROV SPEC - Line Quantity (DAYS_RANGE; INCL SAME DOS; SAME PROV)(QTY PER PROC, ADD LINE=N)</t>
  </si>
  <si>
    <t>Deny individual PROC code if QTY exceeds the max allowed limit within the given days range including same day, by the same PROV, with MOD, PROVTYPE, and PROVSPEC present on deny and support .</t>
  </si>
  <si>
    <t>PROC denial due to PRESENT MOD1 and NOT PRESENT MOD2 with INCL PROV SPEC and INCL PROV TYPE.</t>
  </si>
  <si>
    <t>Deny PROC code when MOD, PROV SPEC and PROVTYPE is present and a different MOD is not present.</t>
  </si>
  <si>
    <t>INDIVIDUAL PROC denial due to FREQ with D-S INCL MOD, INCL PROV TYPE, INCL PROV SPEC – Line Quantity (CALENDAR_YEAR; INCL SAME DOS; SAME PROV) (QTY PER PROC, ADD LINE=N)</t>
  </si>
  <si>
    <t>Deny individual PROC code if QTY exceeds the max allowed limit within a calendar year including same day, by the same PROV, with MOD, PROVTYPE, and PROVSPEC present on both deny and support lines.</t>
  </si>
  <si>
    <t>PROC denial due to PRESENT OTHER PROC with DENY INCL MOD and D-S INCL PROV TYPE (1-KEY D-S; SAME DOS; XPROV)</t>
  </si>
  <si>
    <t>Deny PROC code if support code is present on the same DOS, by any PROV, when MOD is present on deny line and PROV TYPE is present on both deny and support .</t>
  </si>
  <si>
    <t>PROC denial due to NOT PRESENT GENDER with INCL MOD.</t>
  </si>
  <si>
    <t>Deny PROC code if GENDER is not present and modifier is present.</t>
  </si>
  <si>
    <t>PROC GROUP denial due to FREQ with D-S INCL PROV TYPE - Line Quantity (DAYS_RANGE; INCL SAME DOS; XPROV)(QTY=1 and ADD LINE=N)</t>
  </si>
  <si>
    <t>Deny PROC code in the same subgroup, in any combination when qty exceeds the allowed limit within days range, including same DOS, by any PROV, with PROV TYPE  present on deny and support .</t>
  </si>
  <si>
    <t>PROC denial due to PRESENT PROV TYPE and NOT PRESENT PROV SPEC</t>
  </si>
  <si>
    <t>Deny PROC code when PROV TYPE is present and PROV SPEC is not present.</t>
  </si>
  <si>
    <t>PROC denial due to PRESENT DX with INCL PROV SPEC and INCL PROV TYPE.</t>
  </si>
  <si>
    <t>Deny PROC code when DX, PROV SPEC, and PROV TYPE are present.</t>
  </si>
  <si>
    <t>INDIVIDUAL PROC denial due to FREQ with D-S INCL DIAG and D-S INCL PROV TYPE - Line Quantity (DAYS_RANGE; INCL SAME DOS; XPROV)(QTY PER PROC, ADD LINE=N)</t>
  </si>
  <si>
    <t>Deny individual PROC code if QTY exceeds the max allowed limit within the given days range, including same DOS, by any PROV, with DX and PROVTYPE present on both deny and support .</t>
  </si>
  <si>
    <t>PROC denial due to PRESENT OTHER PROC with D-S INCL DIAG and D-S INCL PROV TYPE (1-KEY D-S; SAME DOS; XPROV)</t>
  </si>
  <si>
    <t>Deny PROC code if support code is present on the same DOS by any PROV, with DX and PROV TYPE present on both deny and support .</t>
  </si>
  <si>
    <t>PROC denial due to PRESENT OTHER PROC with D-S INCL PROV TYPE (1-KEY D-S; SAME DOS; PROV_ID)</t>
  </si>
  <si>
    <t>Deny PROC code if support code is present on the same DOS by the SAME PROV, with PROV TYPE present on both deny and support .</t>
  </si>
  <si>
    <t>PROC denial due to AGE and PRESENT PROV TYPE and PRESENT DIAG</t>
  </si>
  <si>
    <t>Deny PROC code when member age is met and PROV TYPE and DX are present.</t>
  </si>
  <si>
    <t>INDIVIDUAL PROC denial due to FREQ with D-S INCL MOD &amp; D-S INCL PROVTYPE - Line Quantity (CALENDAR MONTH; INCL SAME DOS; XPROV)(QTY PER PROC, ADD LINE=N)</t>
  </si>
  <si>
    <t xml:space="preserve">Deny PROC code if QTY exceeds the allowed amount in a calendar month, including same DOS, by any PROV, with PROV TYPE and MOD present on deny and support line. </t>
  </si>
  <si>
    <t>PROC denial due to NOT PRESENT GENDER with INLC DX and INCL PROV TYPE.</t>
  </si>
  <si>
    <t>Deny PROC code when correct GENDER is not present and DX and PROV TYPE are present.</t>
  </si>
  <si>
    <t>INDIVIDUAL PROC denial due to FREQ with D-S INCL BILL TYPE and D-S INCL PROV TYPE - Line Quantity (SAME DOS; SAME BILLING_NPI)(QTY PER PROC, ADD LINE=N)</t>
  </si>
  <si>
    <t>Deny individual PROC code if QTY exceeds the max allowed limit on the same day, by the same billing PROV NPI, with PROV TYPE and BILL TYPE present on both deny and support .</t>
  </si>
  <si>
    <t>PROC denial due to NOT PRESENT DIAG with INCL PROV TYPE and INCL PROV SPEC.</t>
  </si>
  <si>
    <t>Deny PROC code due to not present DX when PROV SPEC and PROV TYPE are present.</t>
  </si>
  <si>
    <t>PROC denial due to PRESENT MOD1 and NOT PRESENT MOD2 with INCL PROV SPEC</t>
  </si>
  <si>
    <t xml:space="preserve">Deny PROC when MOD is not present and a different MOD is present and PROC SPEC is present. </t>
  </si>
  <si>
    <t>PROC denial due to NOT PRESENT DX with INCL PROV TYPE and INCL POS.</t>
  </si>
  <si>
    <t>Deny PROC code due to not present DX when POS and PROV TYPE are present.</t>
  </si>
  <si>
    <t>REV CODE GROUP denial due to FREQ with INCL PROV TYPE - Line Quantity (SAME DOS;XPROV) (QTY &gt;1 and ADD LINE=N) (ALL FAC)</t>
  </si>
  <si>
    <t>Deny revenue codes in the same subgroup, in any combination, when the QTY exceeds the maximum allowed on the same DOS across PROVs and PROV TYPE is present.</t>
  </si>
  <si>
    <t>INDIVIDUAL PROC denial due to FREQ with D-S EXCL DIAG and D-S INCL PROV TYPE - Line Quantity (DAYS_RANGE; INCL SAME DOS; XPROV)(QTY PER PROC, ADD LINE=N)</t>
  </si>
  <si>
    <t>Deny individual PROC if QTY exceeds the max allowed limit within the given days range, including same DOS, by any PROV with PROVTYPE present and DX is not present on both deny and support lines.</t>
  </si>
  <si>
    <t>PROC denial due to PRESENT OTHER PROC with DENY INCL MOD, D-S INCL PROV TYPE and PROV SPEC (1-KEY D-S; SAME DOS; SAME PROV)</t>
  </si>
  <si>
    <t>Deny PROC code if support code is present on the same DOS, by the same PROV, with PROV SPEC and PROV TYPE present on both deny and support  and MOD present on deny line.</t>
  </si>
  <si>
    <t>PROC denial due to PRESENT OTHER PROC with D-S INCL PROV TYPE and D-S INCL PROV SPEC (1-KEY D-S; SAME DOS; SAME PROV)</t>
  </si>
  <si>
    <t>Deny PROC code if support code is present on the same DOS, by the same PROV, with PROV SPEC and PROV TYPE present on both deny and support lines.</t>
  </si>
  <si>
    <t>PROC GROUP denial due to FREQ with D-S INCL PROV TYPE - Line Quantity (DAYS_RANGE; INCL SAME DOS; XPROV)(QTY&gt;1 and ADD LINE=N)</t>
  </si>
  <si>
    <t xml:space="preserve">INDIVIDUAL PROC denial due to FREQ with D-S INCL PROV SPEC and D-S INCL PROV TYPE - Line Quantity (DAYS_RANGE, INCL SAME DOS; XPROV)(QTY PER PROC, ADD LINE=N) </t>
  </si>
  <si>
    <t>Deny individual PROC code if QTY exceeds the max allowed limit within the given days range, including same DOS, by any PROV, with PROVTYPE and PROVSPEC present on both deny and support lines.</t>
  </si>
  <si>
    <t xml:space="preserve">REV CODE GROUP denial due to FREQ with INCL D-S BILL TYPE and INCL D-S PROV SPEC - Line_Quantity (CALENDAR YEAR;INCL SAME DOS; XPROV)(QTY&gt;1 and ADD LINE=N)(ALL_FAC) </t>
  </si>
  <si>
    <t>Deny REV in the same subgroup, in any combination, if QTY exceeds the max limit within calendar year, including same DOS by any PROV, with PROVSPEC and BILLTYPE present on deny and support lines.</t>
  </si>
  <si>
    <t>PROC denial due to NOT PRESENT OTHER PROC with D-S INCL BILL TYPE, D-S INCL REV CODE, D-S INCL PROV SPEC (1-KEY D-S; SAME DOS; XPROV) (ALL_FAC)</t>
  </si>
  <si>
    <t>Deny PROC code if support code is NOT PRESENT within the same DOS, by any PROV,  with BILL TYPE, REV CODE, and PROV SPEC present on both deny and support lines.</t>
  </si>
  <si>
    <t>PROC denial due to NOT PRESENT MOD with INCL PROV TYPE and INCL BILL TYPE.</t>
  </si>
  <si>
    <t>Deny PROC code when MOD is not present for this PROV TYPE and BILL TYPE.</t>
  </si>
  <si>
    <t>REV CODE denial due to DX not present and BILL TYPE present (ALL_FAC)</t>
  </si>
  <si>
    <t>Deny REV code when BILL TYPE is present, and DX is not present.</t>
  </si>
  <si>
    <t xml:space="preserve">REV CODE GROUP denial due to FREQ with INCL D-S PROV TYPE - Line Quantity (CALENDAR_YEAR; INCL SAME DOS; XPROV) (QTY &gt;1 and ADD LINE=N) </t>
  </si>
  <si>
    <t>Deny REV in the same subgroup, in any combination, if QTY exceeds the max allowed limit within calendar year, including same DOS by any PROV, with PROVTYPE present on both deny and support .</t>
  </si>
  <si>
    <t>PROC denial due to PRESENT DX1 AND NOT PRESENT DX2 with INCL POS</t>
  </si>
  <si>
    <t>Deny PROC code when DX and POS are present and another distinct DX is NOT present.</t>
  </si>
  <si>
    <t>PROC denial due to NOT PRESENT MOD1 AND NOT PRESENT MOD2 with INCL PROV TYPE</t>
  </si>
  <si>
    <t>Deny PROC code when PROV TYPE is present and two distinct MODIFIERS are NOT present.</t>
  </si>
  <si>
    <t>REV code denial due to present MOD1 and MOD2 with INCL Bill Type (ALL_FAC)</t>
  </si>
  <si>
    <t>Deny REV code when 2 distinct modifiers are present for this BILL TYPE.</t>
  </si>
  <si>
    <t>PROC denial due to PRESENT OTHER PROC with D-S INCL PROV SPEC and D-S INCL BILL TYPE (1-KEY D-S, SAME DOS, XPROV) (ALL_FAC)</t>
  </si>
  <si>
    <t>Deny PROC code if support code is present on the same DOS, by any PROV, with PROV SPEC and BILL TYPE present on both deny and support lines.</t>
  </si>
  <si>
    <t>PROC denial due to NOT PRESENT MOD and DX with INCL POS.</t>
  </si>
  <si>
    <t>Deny PROC code when MOD and DX is not present, and POS is present.</t>
  </si>
  <si>
    <t>Mod denial due to NOT PRESENT Bill Type</t>
  </si>
  <si>
    <t>Deny MOD when BILL TYPE is NOT present.</t>
  </si>
  <si>
    <t>PROC denial due to NOT PRESENT OTHER PROC with D-S INCL BILL TYPE and D-S INCL REV CODE (1-KEY D-S; SAME DOS; XPROV) (ALL_FAC)</t>
  </si>
  <si>
    <t>Deny PROC code if support code is not present within the same DOS, by any PROV,  with BILL TYPE and REV CODE present on both deny and support lines.</t>
  </si>
  <si>
    <t>Claim Denial due to PRESENT BILL TYPE and PRESENT DX (AnyClaimDx_FAC)</t>
  </si>
  <si>
    <t>Deny claim when BILL TYPE and DX is present.</t>
  </si>
  <si>
    <t>PROC denial due to NOT PRESENT OTHER PROC with D-S INCL PROV SPEC AND D-S INCL PROV TYPE (1-KEY D-S; SAME DOS; XPROV) (SAME CLAIM)</t>
  </si>
  <si>
    <t>Deny PROC code if support code is not present on the same DOS by any PROV within the same claim, with PROV SPEC and PROV TYPE code present on both deny and support lines.</t>
  </si>
  <si>
    <t>REV CODE denial due to NOT PRESENT BILL TYPE. (ALL_FAC)</t>
  </si>
  <si>
    <t>Deny REV code when BILL TYPE is not present.</t>
  </si>
  <si>
    <t>INDIVIDUAL PROC denial due to FREQ with D-S EXCL MOD, D-S INCL PROVSPEC and D-S INCL PROVTYPE - Line Quantity (SAME DOS; XPROV) (QTY PER PROC, ADD LINE=N)</t>
  </si>
  <si>
    <t>Deny individual PROC code if billed more than allowed per day, by any PROV, with PROV TYPE and PROV SPEC present on deny and support lines, and MOD not present on both deny and support lines.</t>
  </si>
  <si>
    <t>PROC denial due to NOT PRESENT DX with INCL PROV TYPE, PROV SPEC, and MOD.</t>
  </si>
  <si>
    <t>Deny PROC code when PROV TYPE, PROV SPEC, and MOD are present and DX code is not present.</t>
  </si>
  <si>
    <t>PROC denial due to NOT PRESENT OTHER PROC with INCL SUPPORT LINE DX (1-KEY D-S; SAME DOS; XPROV) (ALL_FAC)</t>
  </si>
  <si>
    <t>Deny PROC code if support code is not present within the same DOS, by any PROV,  with DX code present on support line.</t>
  </si>
  <si>
    <t>INDIVIDUAL PROC denial due to FREQ with D-S EXCL MOD, D-S INCL POS - Line Quantity (SAME DOS; XPROV)(QTY PER PROC, ADD LINE=N)</t>
  </si>
  <si>
    <t>Deny individual PROC code if billed more than allowed per day, by any PROV, with POS present on both deny and support lines, and MOD not present on both deny and support lines.</t>
  </si>
  <si>
    <t>INDIVIDUAL PROC denial due to FREQ with D-S INCL PROV TYPE and D-S INCL PROV SPEC - Line_Quantity (CALENDAR_YEAR; INCL SAME DOS; XPROV)(QTY PER PROC, ADD LINE=N)</t>
  </si>
  <si>
    <t>Deny individual PROC code if QTY exceeds the max allowed limit within a calendar year including the same day, by any PROV, with PROVTYPE, and PROVSPEC present on both deny and support lines.</t>
  </si>
  <si>
    <t xml:space="preserve">PROC denial due to NOT PRESENT DX with INCL PROV SPEC and INCL POS.	</t>
  </si>
  <si>
    <t>Deny PROC code when PROV SPEC and POS are present, and DX is not present.</t>
  </si>
  <si>
    <t>PROC denial due to NOT PRESENT MOD with INCL POS and INCL DIAG.</t>
  </si>
  <si>
    <t>Deny PROC code when POS and DX are present, and MOD is not present.</t>
  </si>
  <si>
    <t>DO NOT USE</t>
  </si>
  <si>
    <t>MOD denial due to NOT PRESENT POS</t>
  </si>
  <si>
    <t>Deny MOD if POS is not present.</t>
  </si>
  <si>
    <t>INDIVIDUAL PROC denial due to FREQ with D-S EXCL MOD, D-S INCL PROV SPEC and D-S INCL PROV TYPE - Line_Quantity (DAYS_RANGE; INCL SAME DOS; XPROV)(QTY PER PROC, ADD LINE=N)</t>
  </si>
  <si>
    <t>Deny individual PROC if billed more than allowed within days range including same DOS, by any PROV, with PROVTYPE and PROVSPEC present and MOD not present on both deny and support lines.</t>
  </si>
  <si>
    <t>INDIVIDUAL PROC denial due to FREQ with INCL D-S REV CODE, INCL D-S BILL TYPE, Line_Quantity (SAME DOS; XPROV) (QTY per PROC; ADD LINE=N)</t>
  </si>
  <si>
    <t>Deny individual PROC code if billed more than allowed per day, by any PROV, with REV CODE and BILL TYPE present on both deny and support lines.</t>
  </si>
  <si>
    <t>ICD-10 PROC denial due to PRESENT DX and PRESENT BILL TYPE</t>
  </si>
  <si>
    <t>Deny ICD-10 PROC code when DX code and BILL TYPE is present.</t>
  </si>
  <si>
    <t>INDIVIDUAL PROC denial due to FREQ with D-S INCL PROV SPEC, D-S INCL MOD and INCL AGE - Line_Quantity (DAYS_RANGE; INCL SAME DOS; XPROV)(QTY PER PROC, ADD LINE=N)</t>
  </si>
  <si>
    <t>Deny individual PROC code if QTY exceeds allowed amount within days range (incl same DOS) by any PROV with PROV SPEC and MOD present on both deny and support lines and member age is met.</t>
  </si>
  <si>
    <t>PROC denial due to NOT PRESENT DIAG on LINE_DIAG1 or LINE_CLAIM1 with INCL POS</t>
  </si>
  <si>
    <t>Deny PROC code when DX is present in first position on either the claim header or line DX and POS is present.</t>
  </si>
  <si>
    <t>INDIVIDUAL PROC denial due to FREQ with D-S INCL PROV TYPE - Line Quantity (DAYS_RANGE, XPROV)(QTY PER PROC, ADD LINE=N)</t>
  </si>
  <si>
    <t>Deny individual PROC code if billed more than allowed in a given days range, by any PROV, with PROV TYPE present on both deny and support lines.</t>
  </si>
  <si>
    <t>PROC denial due to NOT PRESENT DX1 and NOT PRESENT DX2 with INCL PROV SPEC</t>
  </si>
  <si>
    <t>Deny PROC code if two distinct DX codes are not present and PROV SPEC is present.</t>
  </si>
  <si>
    <t>REV CODE denial due to PRESENT AGE, with INCL BILL TYPE</t>
  </si>
  <si>
    <t>Deny REV code when patient AGE is met, and BILL TYPE is present.</t>
  </si>
  <si>
    <t>PROC GROUP denial due to FREQ with D-S INCL MOD and D-S INCL PROV TYPE - Line Quantity (DAYS_RANGE; INCL SAME DOS; XPROV)(QTY=1 and ADD LINE=N).</t>
  </si>
  <si>
    <t>Deny PROC code in the same subgroup, in any combination when qty exceeds the allowed limit within days range, including same DOS by any PROV, with MOD and PROV TYPE  present on deny and support lines.</t>
  </si>
  <si>
    <t>PROC denial due to PRESENT OTHER PROC with D-S INCL PROV TYPE and D-S INCL PROV SPEC (1-KEY D-S; SAME DOS; XPROV)</t>
  </si>
  <si>
    <t>Deny PROC code if support code is present on the same DOS, by any PROV when PROV SPEC and PROV TYPE are present on both deny and support lines.</t>
  </si>
  <si>
    <t>PROC GROUP denial due to FREQ with D-S INCL PROV SPEC and D-S INCL MOD - Line Quantity (DAYS_RANGE; INCL SAME DOS; XPROV) (QTY = 1, ADD LINE=N)</t>
  </si>
  <si>
    <t>Deny PROC code in the same subgroup, in any combination when qty exceeds the allowed limit within days range, including same DOS by any PROV, with MOD and PROV SPEC  present on deny and support lines.</t>
  </si>
  <si>
    <t>INDIVIDUAL PROC denial due to FREQ with D-S INCL PROV TYPE and D-S INCL DX1 and DX2 - Line Quantity (DAYS_RANGE; INCL SAME DOS; XPROV)(QTY PER PROC, ADD LINE=N)</t>
  </si>
  <si>
    <t>Deny individual PROC code if QTY exceeds allowed amount within days range, including same DOS by any PROV, with PROV TYPE and two distinct DX present on both deny and support lines.</t>
  </si>
  <si>
    <t>PROC GROUP denial due to FREQ with D-S INCL PROV SPEC with INCL AGE - Line Quantity (DAYS_RANGE INCL SAME DOS; XPROV)(QTY=1 and ADD LINE=N)</t>
  </si>
  <si>
    <t>Deny proc code in the same subgroup, if qty exceeds max allowed in given days range (including same DOS) by any PROV with PROV SPEC present on both deny and support lines and patient age is met.</t>
  </si>
  <si>
    <t>PROC GROUP denial due to FREQ with D-S INCL PROV SPEC with D-S INCL MOD with INCL AGE - Line Quantity (DAYS_RANGE INCL SAME DOS; XPROV)(QTY=1 and ADD LINE=N)</t>
  </si>
  <si>
    <t>Deny PROC code in the same subgroup if QTY exceeds max amount in given days range (include same DOS) by any provider with MOD and Prov Spec present on both deny and support and age patient age is met</t>
  </si>
  <si>
    <t xml:space="preserve">
PROC denial due to NOT PRESENT DX1 (Line_Diag1) AND NOT PRESENT DX2 (Line_Diag2) with INCL PROV SPEC</t>
  </si>
  <si>
    <t>Deny PROC code if two distinct DX codes are not present as first and second DX and PROV SPEC is present.</t>
  </si>
  <si>
    <t>INDIVIDUAL PROC denial due to FREQ with D-S INCL MOD1, D-S EXCL MOD2 &amp; D-S INCL PROVTYPE - Line Quantity (DAYS_RANGE; INCL SAME DOS; XPROV)(QTY PER PROC, ADD LINE=N)</t>
  </si>
  <si>
    <t>Deny individual PROC if QTY exceeds allowed amount within days range, including same DOS, by any PROV, with MOD and PROV TYPE present and a different MOD is not present on both deny and support lines.</t>
  </si>
  <si>
    <t>PROC denial due to NOT PRESENT MOD with INCL PROVIDER TYPE.  (ALL_FAC)</t>
  </si>
  <si>
    <t>Deny PROC code if MOD is not present and PROVTYPE is present.</t>
  </si>
  <si>
    <t>PROC GROUP denial due to FREQ with INCL D-S PROV TYPE - Line Quantity  (DAYS_RANGE, INCL SAME DOS; SAME BPROV_FTIN)(QTY=1 and ADD LINE=N)</t>
  </si>
  <si>
    <t>Deny PROC code in the same subgroup if QTY exceeds allowed amount within given days range (include same DOS) by the same billing provider FTIN with PROV TYPE present on both deny and support lines.</t>
  </si>
  <si>
    <t>PROC denial due to PRESENT MOD1 and NOT PRESENT MOD2 with INCL PROV TYPE.</t>
  </si>
  <si>
    <t>Deny PROC code when MOD and PROV TYPE are present, and a different MOD is not present.</t>
  </si>
  <si>
    <t>PROC denial due to PRESENT MOD with INCL PROV TYPE and PROV SPEC.</t>
  </si>
  <si>
    <t>Deny PROC code if submitted with this MOD, and PROV TYPE and PROV SPEC are present.</t>
  </si>
  <si>
    <t>PROC denial due to PRESENT OTHER PROC with D-S INCL POS and D-S PROV SPEC (2-KEY D-S; SAME DOS; XPROV)</t>
  </si>
  <si>
    <t>Deny PROC code if support code is present on the same date of service by any provider, with place of service, and provider specialty present on both deny and support line.</t>
  </si>
  <si>
    <t>PROC denial due to PRESENT OTHER PROC with D-S INCL POS and D-S INCL TAXONOMY (2-KEY D-S; SAME DOS; XPROV)</t>
  </si>
  <si>
    <t>Deny PROC code if support code is present on the same date of service by any provider, with place of service and taxonomy present on both deny and support line.</t>
  </si>
  <si>
    <t>PROC denial due to NOT PRESENT POS with INCL DX</t>
  </si>
  <si>
    <t>Deny PROC code due to not present POS and present DX code.</t>
  </si>
  <si>
    <t>Team Impacted</t>
  </si>
  <si>
    <t>Indications</t>
  </si>
  <si>
    <t>Status</t>
  </si>
  <si>
    <t>STM</t>
  </si>
  <si>
    <r>
      <rPr>
        <rFont val="Calibri"/>
        <color rgb="FF000000"/>
        <sz val="14.0"/>
      </rPr>
      <t xml:space="preserve">All DX Codes are built with ANYDXCODES unless </t>
    </r>
    <r>
      <rPr>
        <rFont val="Calibri"/>
        <color rgb="FFFF0000"/>
        <sz val="14.0"/>
      </rPr>
      <t>otherwise specified in the Pattern Description</t>
    </r>
  </si>
  <si>
    <t>In effect</t>
  </si>
  <si>
    <t>DEFAULT</t>
  </si>
  <si>
    <t>The 50,000+ Pattern Series is to only be used by the DEFAULT/CI Team because they contain development criteria that is unique to this team such as Data Fields (Member State), Unique Keywords, and ADDLINE=Y</t>
  </si>
  <si>
    <r>
      <rPr>
        <rFont val="Calibri"/>
        <color rgb="FF000000"/>
        <sz val="14.0"/>
      </rPr>
      <t>The 10,000+ Series is a 1:1 of a pattern (</t>
    </r>
    <r>
      <rPr>
        <rFont val="Calibri"/>
        <color rgb="FFFF0000"/>
        <sz val="14.0"/>
      </rPr>
      <t>with exception of COMMON_INCLUSION</t>
    </r>
    <r>
      <rPr>
        <rFont val="Calibri"/>
        <color rgb="FF000000"/>
        <sz val="14.0"/>
      </rPr>
      <t xml:space="preserve">) that can also be used by the STM team. </t>
    </r>
  </si>
  <si>
    <t>All DEFAULT patterns are created without COMMON_INCLUSION</t>
  </si>
  <si>
    <t>DEFAULT &amp; STM</t>
  </si>
  <si>
    <r>
      <rPr>
        <rFont val="Calibri"/>
        <color rgb="FF000000"/>
        <sz val="14.0"/>
      </rPr>
      <t xml:space="preserve">• Patterns highlighted in blue can continue to be used by the STM team. 
• Default Team </t>
    </r>
    <r>
      <rPr>
        <rFont val="Calibri"/>
        <color rgb="FFFF0000"/>
        <sz val="14.0"/>
      </rPr>
      <t>should not be using these patterns</t>
    </r>
    <r>
      <rPr>
        <rFont val="Calibri"/>
        <color rgb="FF000000"/>
        <sz val="14.0"/>
      </rPr>
      <t xml:space="preserve"> as they still contain the COMMON_CRITERIA. </t>
    </r>
  </si>
  <si>
    <t>Pattern</t>
  </si>
  <si>
    <t>Default Pattern</t>
  </si>
  <si>
    <t>Minimum PMM Version</t>
  </si>
  <si>
    <t>STATE</t>
  </si>
  <si>
    <t>Edit Type</t>
  </si>
  <si>
    <t>POLICY_NAME</t>
  </si>
  <si>
    <t>QRULES</t>
  </si>
  <si>
    <t>CLAIM_TYPE</t>
  </si>
  <si>
    <t>FREQ INDIV/GRP</t>
  </si>
  <si>
    <t>FREQ POLICY/PROC</t>
  </si>
  <si>
    <t>DATE SPAN</t>
  </si>
  <si>
    <t>SAME DAY FLAG</t>
  </si>
  <si>
    <t>QTY</t>
  </si>
  <si>
    <t>ADD LINE</t>
  </si>
  <si>
    <t>PROV MATCH</t>
  </si>
  <si>
    <t>DX</t>
  </si>
  <si>
    <t>PROV TYPE</t>
  </si>
  <si>
    <t>MOD</t>
  </si>
  <si>
    <t>POS</t>
  </si>
  <si>
    <t>REV</t>
  </si>
  <si>
    <t>BILL TYPE</t>
  </si>
  <si>
    <t>PROV SPEC</t>
  </si>
  <si>
    <t>AGE</t>
  </si>
  <si>
    <t>CONDITION CODE</t>
  </si>
  <si>
    <t>GENDER</t>
  </si>
  <si>
    <t>Admission Type</t>
  </si>
  <si>
    <t>Present On Admission Indicator</t>
  </si>
  <si>
    <t>NUBC (Value Code)</t>
  </si>
  <si>
    <t>TOS</t>
  </si>
  <si>
    <t>ECI</t>
  </si>
  <si>
    <t>Billed Amount</t>
  </si>
  <si>
    <t>ICD10 Proc</t>
  </si>
  <si>
    <t>OCCURRENCE CODE</t>
  </si>
  <si>
    <t>Taxonomy Code</t>
  </si>
  <si>
    <t>AUTH NUMBER</t>
  </si>
  <si>
    <t>DISCHARGE STATUS</t>
  </si>
  <si>
    <t>Member State</t>
  </si>
  <si>
    <t>1.00</t>
  </si>
  <si>
    <t>CA</t>
  </si>
  <si>
    <t>DEF_CA_EYE_V2599</t>
  </si>
  <si>
    <t>PROF</t>
  </si>
  <si>
    <t>N/A</t>
  </si>
  <si>
    <t>Y</t>
  </si>
  <si>
    <t>NY</t>
  </si>
  <si>
    <t>DEF_NY_DME_MOD</t>
  </si>
  <si>
    <t>QRULES-44349</t>
  </si>
  <si>
    <t>TX</t>
  </si>
  <si>
    <t>DEF_TX_FETAL_NONSTRESS</t>
  </si>
  <si>
    <t>QRULES-44350</t>
  </si>
  <si>
    <t>OUTPAT_FAC</t>
  </si>
  <si>
    <t>DEF_TX_BIRTH_CRT_POS</t>
  </si>
  <si>
    <r>
      <rPr>
        <rFont val="Calibri"/>
        <b val="0"/>
        <color rgb="FF000000"/>
        <sz val="9.0"/>
      </rPr>
      <t>PROC denial due to NOT PRESENT POS or</t>
    </r>
    <r>
      <rPr>
        <rFont val="Calibri"/>
        <b/>
        <color rgb="FF000000"/>
        <sz val="9.0"/>
      </rPr>
      <t xml:space="preserve"> </t>
    </r>
    <r>
      <rPr>
        <rFont val="Calibri"/>
        <b/>
        <color rgb="FFFF0000"/>
        <sz val="9.0"/>
      </rPr>
      <t>NULL POS</t>
    </r>
  </si>
  <si>
    <t>QRULES-44351</t>
  </si>
  <si>
    <t>DEF_NY_SURG_AGE1</t>
  </si>
  <si>
    <t>QRULES-44352</t>
  </si>
  <si>
    <t>DEF_TX_BP_DEVICE</t>
  </si>
  <si>
    <t>QRULES-44355</t>
  </si>
  <si>
    <t>DEF_NY_SURG_RAD1_ P2PX</t>
  </si>
  <si>
    <t>QRULES-44356</t>
  </si>
  <si>
    <t>Across All Prov</t>
  </si>
  <si>
    <t>DEF_TX_PET_SCAN</t>
  </si>
  <si>
    <t>QRULES-44357</t>
  </si>
  <si>
    <t>DEF_TX_CARDIAC_REHAB</t>
  </si>
  <si>
    <t>QRULES-44358</t>
  </si>
  <si>
    <t>DEF_CA_INFUSION_BACLOFEN</t>
  </si>
  <si>
    <t>QRULES-44359</t>
  </si>
  <si>
    <t>DEF_CA_FROZEN_PLASMA</t>
  </si>
  <si>
    <t>QRULES-44363</t>
  </si>
  <si>
    <t>DEF_TX_ESRD_DIALYSIS_NOT_HOME</t>
  </si>
  <si>
    <t>QRULES-44389</t>
  </si>
  <si>
    <t>2.00</t>
  </si>
  <si>
    <t>DEF_CA_DME_ONCE_IN_5YRS</t>
  </si>
  <si>
    <t>QRULES-44388</t>
  </si>
  <si>
    <t>INDIV</t>
  </si>
  <si>
    <t>POLICY</t>
  </si>
  <si>
    <t>DAYS_RANGE</t>
  </si>
  <si>
    <t>N</t>
  </si>
  <si>
    <t>DEF_CA_MED_NO_MOD_63</t>
  </si>
  <si>
    <t>QRULES-44390</t>
  </si>
  <si>
    <t>DEF_CA_DME_RENT_SAME_MONTH</t>
  </si>
  <si>
    <t>QRULES-44391</t>
  </si>
  <si>
    <t>CALENDAR_MONTH</t>
  </si>
  <si>
    <t xml:space="preserve">(Patterns 13 + 19) </t>
  </si>
  <si>
    <t>QRULES-44461</t>
  </si>
  <si>
    <t xml:space="preserve">(Patterns 20 + 25) </t>
  </si>
  <si>
    <t>QRULES-44462</t>
  </si>
  <si>
    <t xml:space="preserve">(Patterns 21  + 13) </t>
  </si>
  <si>
    <t>QRULES-45025</t>
  </si>
  <si>
    <t>DEF_NY_LAB_SVCS_1</t>
  </si>
  <si>
    <t>QRULES-44463</t>
  </si>
  <si>
    <t>DEF_CA_PDT_FREQ_1</t>
  </si>
  <si>
    <t>QRULES-44464</t>
  </si>
  <si>
    <t>PROV_ID</t>
  </si>
  <si>
    <t>DEF_TX_RAD_URICHEM_MALE_1</t>
  </si>
  <si>
    <t>QRULES-45026</t>
  </si>
  <si>
    <t>DEF_CA_DME_MODNURB</t>
  </si>
  <si>
    <t>QRULES-45032</t>
  </si>
  <si>
    <t>DEF_CA_RADSURG_FREQ</t>
  </si>
  <si>
    <t>QRULES-45033</t>
  </si>
  <si>
    <t>GRP</t>
  </si>
  <si>
    <t>&gt;1</t>
  </si>
  <si>
    <t>DEF_TX_INPT_ADMIT_DAY_SURG</t>
  </si>
  <si>
    <t>QRULES-45046</t>
  </si>
  <si>
    <t>ALL_FAC</t>
  </si>
  <si>
    <t>DEF_CA_PDT_FREQ_2</t>
  </si>
  <si>
    <t>QRULES-45067</t>
  </si>
  <si>
    <t>DEF_TX_CRANIAL_DOPPLR_AGE_1</t>
  </si>
  <si>
    <t>PROC denial due to PRESENT AGE with INCL DX</t>
  </si>
  <si>
    <t>QRULES-45077</t>
  </si>
  <si>
    <t>DEF_TX_CRANIAL_DOPPLR_AGE_2</t>
  </si>
  <si>
    <t>INDIVIDUAL PROC denial due to FREQ with D-S INCL DX - Line Quantity (DAYS_RANGE; INCL SAME DOS; XPROV)(QTY=1 and ADD LINE=N)</t>
  </si>
  <si>
    <t>QRULES-45078</t>
  </si>
  <si>
    <t xml:space="preserve">(Patterns 26 + 27) </t>
  </si>
  <si>
    <t>QRULES-45079</t>
  </si>
  <si>
    <t>DEF_CA_MRI_EWC</t>
  </si>
  <si>
    <t>QRULES-45092</t>
  </si>
  <si>
    <t xml:space="preserve">(Patterns 5 + 29) </t>
  </si>
  <si>
    <t>QRULES-45093</t>
  </si>
  <si>
    <t>DEF_TX_FOBT_FREQ_1</t>
  </si>
  <si>
    <t>QRULES-45094</t>
  </si>
  <si>
    <t>DEF_TX_FOBT_FREQ_2</t>
  </si>
  <si>
    <t>INDIVIDUAL PROC denial due to FREQ with DENY MOD INCL - Line Quantity (DAYS_RANGE; INCL SAME DOS; XPROV)(QTY=1 and ADD LINE=N)</t>
  </si>
  <si>
    <t>QRULES-45095</t>
  </si>
  <si>
    <t xml:space="preserve"> </t>
  </si>
  <si>
    <t>(Patterns 31 + 32)</t>
  </si>
  <si>
    <t>QRULES-45096</t>
  </si>
  <si>
    <t>DEF_TX_MAMMO_NO_GG</t>
  </si>
  <si>
    <t>QRULES-45104</t>
  </si>
  <si>
    <t>DEF_CA_DME_WALKER_1</t>
  </si>
  <si>
    <t>QRULES-45105</t>
  </si>
  <si>
    <t>(Patterns 35 + 29)</t>
  </si>
  <si>
    <t>QRULES-45106</t>
  </si>
  <si>
    <t>DEF_CA_LOWVISION</t>
  </si>
  <si>
    <t>QRULES-45134</t>
  </si>
  <si>
    <t>DEF_CA_MED_NVDS_2</t>
  </si>
  <si>
    <t>QRULES-45135</t>
  </si>
  <si>
    <t>(Patterns 14 + 38)</t>
  </si>
  <si>
    <t>QRULES-45136</t>
  </si>
  <si>
    <t>DEF_TX_HBOT_MEDNEC_1</t>
  </si>
  <si>
    <t>QRULES-45144</t>
  </si>
  <si>
    <t>(Patterns 40 + 1)</t>
  </si>
  <si>
    <t>QRULES-45145</t>
  </si>
  <si>
    <t>DEF_CA_MED_SPIRO_1</t>
  </si>
  <si>
    <t>QRULES-45146</t>
  </si>
  <si>
    <t>DEF_CA_MED_SPIRO_2</t>
  </si>
  <si>
    <t>QRULES-45147</t>
  </si>
  <si>
    <t>(Patterns 42 + 43)</t>
  </si>
  <si>
    <t>QRULES-45148</t>
  </si>
  <si>
    <t>(Patterns 1 + 10 + 13) (DEF_CA_SURG_INTEGRA_1,2,3)</t>
  </si>
  <si>
    <t>QRULES-45149</t>
  </si>
  <si>
    <t>(Patterns 1 + 43) (DEF_CA_DME_COMMODE_1,2)</t>
  </si>
  <si>
    <t>QRULES-45150</t>
  </si>
  <si>
    <t>DEF_CA_SURG_VERTEBROPLASTY_2</t>
  </si>
  <si>
    <t>QRULES-45151</t>
  </si>
  <si>
    <t>(Patterns 42 + 47)</t>
  </si>
  <si>
    <t>QRULES-45152</t>
  </si>
  <si>
    <t>DEF_CA_DME_POSTOP</t>
  </si>
  <si>
    <t>QRULES-45153</t>
  </si>
  <si>
    <t>DAYS</t>
  </si>
  <si>
    <t>DEF_TX_CYTOGEN_5X_2</t>
  </si>
  <si>
    <t>QRULES-45189</t>
  </si>
  <si>
    <t>BILLING_NPI</t>
  </si>
  <si>
    <t>(Patterns 1 + 50) DEF_TX_CYTOGEN_5X_1,2</t>
  </si>
  <si>
    <t>QRULES-45190</t>
  </si>
  <si>
    <t>(Patterns 5 + 19) DEF_TX_PEDS_CC_FRQ_1,2</t>
  </si>
  <si>
    <t>QRULES-45191</t>
  </si>
  <si>
    <t>(Patterns 40 + 6) DEF_CA_DME_PUMPS,1,2</t>
  </si>
  <si>
    <t>QRULES-45192</t>
  </si>
  <si>
    <t>DEF_CA_MED_NERVE_2</t>
  </si>
  <si>
    <t xml:space="preserve">INDIVIDUAL PROC denial due to FREQ with D-S INCL DX - Line Quantity (DAYS_RANGE; INCL SAME DOS; SAME PROV)(QTY&gt;1 and ADD LINE=N) </t>
  </si>
  <si>
    <t>QRULES-45193</t>
  </si>
  <si>
    <t>(Patterns 1 + 54 + 23) (DEF_CA_MED_NERVE_1,2,3)</t>
  </si>
  <si>
    <t>QRULES-45194</t>
  </si>
  <si>
    <t>(Patterns 5 + 6) DEF_CA_GLIOBLASTOMA_1,2</t>
  </si>
  <si>
    <t>QRULES-45199</t>
  </si>
  <si>
    <t>(Patterns 2 + 29) DEF_CA_DME_CPAP_1,2</t>
  </si>
  <si>
    <t>QRULES-45200</t>
  </si>
  <si>
    <t>DEF_CA_SRG_HYSTER</t>
  </si>
  <si>
    <t>QRULES-45201</t>
  </si>
  <si>
    <t>(Patterns 2 + 15 + 13) DEF_CA_DME_BREASTPUMP_1,2,3</t>
  </si>
  <si>
    <t>QRULES-45202</t>
  </si>
  <si>
    <t>(Patterns 6 + 13) (DEF_CA_DME_NEBULIZER_1,2)</t>
  </si>
  <si>
    <t>QRULES-45203</t>
  </si>
  <si>
    <t>(Patterns 1 + 13) DEF_CA_ORTHO_HEAD_1,2</t>
  </si>
  <si>
    <t>QRULES-45204</t>
  </si>
  <si>
    <t>DEF_TX_OP_MH_FREQ</t>
  </si>
  <si>
    <t>QRULES-45220</t>
  </si>
  <si>
    <t>CALENDAR_YEAR</t>
  </si>
  <si>
    <t>DEF_TX_TB_SCRN_YR</t>
  </si>
  <si>
    <t>QRULES-45221</t>
  </si>
  <si>
    <t>DEF_TX_NEW_PAT</t>
  </si>
  <si>
    <t>QRULES-45222</t>
  </si>
  <si>
    <t>(Patterns 22 + 15 + 29) DEF_CA_DME_POWER_1,2,3</t>
  </si>
  <si>
    <t>QRULES-45223</t>
  </si>
  <si>
    <t>(Patterns 22 + 29) DEF_CA_DME_2MOD_1,2</t>
  </si>
  <si>
    <t>QRULES-45224</t>
  </si>
  <si>
    <t>DEF_CA_STER_HYSTERO</t>
  </si>
  <si>
    <t>QRULES-45248</t>
  </si>
  <si>
    <t>DEF_TX_OVRSIGHT_FRQ</t>
  </si>
  <si>
    <t>QRULES-45249</t>
  </si>
  <si>
    <t>DEF_TX_ESRD_DIALYSIS_ONE_MONTH</t>
  </si>
  <si>
    <t>QRULES-45258</t>
  </si>
  <si>
    <t>DEF_CA_RAD_SPECT</t>
  </si>
  <si>
    <t>QRULES-45259</t>
  </si>
  <si>
    <t>DEF_TX_CARD_REHB_EM</t>
  </si>
  <si>
    <t>QRULES-45260</t>
  </si>
  <si>
    <t>DEF_TX_PRLNG_WO_BASE</t>
  </si>
  <si>
    <t>QRULES-45261</t>
  </si>
  <si>
    <t>DEF_TX_RABIES_POST</t>
  </si>
  <si>
    <t>https://mhsprod.jira.com/browse/QRULES-45289%20-%20Pattern%2073</t>
  </si>
  <si>
    <t>DEF_TX_HBAI_FREQ_2</t>
  </si>
  <si>
    <t>QRULES-45290</t>
  </si>
  <si>
    <t>DEF_TX_NB_SCREENING</t>
  </si>
  <si>
    <t>PROC denial due to PRESENT OTHER PROC with SUPPORT DX INCL (1-KEY D-S; SAME DOS; XPROV) INPAT_FAC</t>
  </si>
  <si>
    <t>QRULES-45291</t>
  </si>
  <si>
    <t>INPAT_FAC</t>
  </si>
  <si>
    <t>LA</t>
  </si>
  <si>
    <t>DEF_LA_BP_DEV</t>
  </si>
  <si>
    <t>QRULES-45480</t>
  </si>
  <si>
    <t>DEF_LA_HOM_HLTH</t>
  </si>
  <si>
    <t>QRULES-45503</t>
  </si>
  <si>
    <t>DEF_LA_FEE_MODREV</t>
  </si>
  <si>
    <t>QRULES-45518</t>
  </si>
  <si>
    <t>DEF_LA_SUPPLY</t>
  </si>
  <si>
    <t>QRULES-45519</t>
  </si>
  <si>
    <t>DEF_LA_EYE_EXAM</t>
  </si>
  <si>
    <t>QRULES-45520</t>
  </si>
  <si>
    <t>DEF_LA_PED_CRIT</t>
  </si>
  <si>
    <t>QRULES-45709</t>
  </si>
  <si>
    <t>DEF_LA_ANES_SRV_4</t>
  </si>
  <si>
    <t>QRULES-45708</t>
  </si>
  <si>
    <t>DEF_LA_ANES_SRV</t>
  </si>
  <si>
    <t>QRULES-45710</t>
  </si>
  <si>
    <t>NULL</t>
  </si>
  <si>
    <t>DEF_LA_BRST_RECON</t>
  </si>
  <si>
    <t>QRULES-45761</t>
  </si>
  <si>
    <t>DEF_LA_ASC_2</t>
  </si>
  <si>
    <t>QRULES-45762</t>
  </si>
  <si>
    <t>DEF_LA_CHIRO_SV_2</t>
  </si>
  <si>
    <t xml:space="preserve">PROC denial due to NOT PRESENT Prov Spec </t>
  </si>
  <si>
    <t>DEF_LA_DSMT_5</t>
  </si>
  <si>
    <t>(Patterns 5 + 86) DEF_LA_CHIRO_SV_1,2</t>
  </si>
  <si>
    <t>DEF_LA_LAB</t>
  </si>
  <si>
    <t>QRULES-45800</t>
  </si>
  <si>
    <t>DEF_LA_IBT_1</t>
  </si>
  <si>
    <t>PROC denial due to AGE (ALL_FAC)</t>
  </si>
  <si>
    <t>DEF_LA_IBT_2</t>
  </si>
  <si>
    <t>DEF_TX_RAD_URICHEM_FREQDAY_A_2</t>
  </si>
  <si>
    <t>QRULES-46147</t>
  </si>
  <si>
    <t>DEF_TX_OBGYN_NIPS_GEN_A_2</t>
  </si>
  <si>
    <t>QRULES-46148</t>
  </si>
  <si>
    <t>DEF_TX_OBGYN_ULTRSND_FREQ_A</t>
  </si>
  <si>
    <t>QRULES-46149</t>
  </si>
  <si>
    <t>DEF_TX_RAD_URICHEM_FREQDAY_A_3</t>
  </si>
  <si>
    <t>QRULES-46156</t>
  </si>
  <si>
    <t>DEF_TX_BEHAV_HLTH_MAT_SERVICES</t>
  </si>
  <si>
    <t>QRULES-46157</t>
  </si>
  <si>
    <t>INDIVIDUAL PROC denial due to FREQ with D-S INCL MOD- Line_Quantity accumulation (DAYS_RANGE; INCL SAME DAY; XPROV)(QTY&gt;1 and ADD LINE=N)</t>
  </si>
  <si>
    <t xml:space="preserve">DEF_TX_OPTHALMOSCOPY_EXT_A </t>
  </si>
  <si>
    <t>QRULES-46231</t>
  </si>
  <si>
    <t>DEF_TX_DIAG_BREAST_PROC_B_1</t>
  </si>
  <si>
    <t>QRULES-46215</t>
  </si>
  <si>
    <t>DEF_TX_HBAI_FREQ_8</t>
  </si>
  <si>
    <t>QRULES-46216</t>
  </si>
  <si>
    <t>DEF_NY_TELEHEALTH</t>
  </si>
  <si>
    <t>QRULES-46260</t>
  </si>
  <si>
    <t>NJ</t>
  </si>
  <si>
    <t>DEF_NJ_PHYS_INITIAL_1</t>
  </si>
  <si>
    <t>QRULES-46279</t>
  </si>
  <si>
    <t>PROV_FTIN</t>
  </si>
  <si>
    <t>DEF_NJ_PHYS_INITIAL_2</t>
  </si>
  <si>
    <t>QRULES-46280</t>
  </si>
  <si>
    <t>DEF_NJ_INDCLINIC_ABORT</t>
  </si>
  <si>
    <t>PROC denial due to PRESENT POS and NOT PRESENT MODIFIER</t>
  </si>
  <si>
    <t>QRULES-46523</t>
  </si>
  <si>
    <t>DEF_NJ_VAC</t>
  </si>
  <si>
    <t>QRULES-46524</t>
  </si>
  <si>
    <t>DEF_NJ_INDCLINIC_OCCUP_THER_2</t>
  </si>
  <si>
    <t>QRULES-46525</t>
  </si>
  <si>
    <t>&lt;2</t>
  </si>
  <si>
    <t>DEF_NJ_POD_ORTH4</t>
  </si>
  <si>
    <t>QRULES-46526</t>
  </si>
  <si>
    <t>DEF_NJ_PHYS_STUDY_1</t>
  </si>
  <si>
    <t>QRULES-46527</t>
  </si>
  <si>
    <t>DEF_CA_OPHTH_1XDMOD</t>
  </si>
  <si>
    <t>QRULES-46528</t>
  </si>
  <si>
    <t>DEF_NJ_ICPM_EVAL</t>
  </si>
  <si>
    <t>QRULES-46538</t>
  </si>
  <si>
    <t>DEF_NJ_INDCLINIC_99395</t>
  </si>
  <si>
    <t>QRULES-46537</t>
  </si>
  <si>
    <t>DEF_WA_MH_OPR_TLMD_ST</t>
  </si>
  <si>
    <t>QRULES-46582</t>
  </si>
  <si>
    <t>QRULES-46581</t>
  </si>
  <si>
    <t>QRULES-46614</t>
  </si>
  <si>
    <t>DEF_TX_DME_GLUCOSE_MNTR_2</t>
  </si>
  <si>
    <t>QRULES-46684</t>
  </si>
  <si>
    <t>MA</t>
  </si>
  <si>
    <t>DEF_MA_SUD_CSE_MGT_1</t>
  </si>
  <si>
    <t>QRULES-46682</t>
  </si>
  <si>
    <t>DEF_MA_CHC_ACU_EM</t>
  </si>
  <si>
    <t>QRULES-46683</t>
  </si>
  <si>
    <t>DEF_MA_THP_PT_FREQ</t>
  </si>
  <si>
    <t>QRULES-46691</t>
  </si>
  <si>
    <t>DEF_MA_VIS_COMPRE_A</t>
  </si>
  <si>
    <t>PROC GROUP denial due to FREQ with INCL POS and INCL AGE- Line Quantity (SAME DOS; XPROV) (QTY&gt;1 and ADD LINE =N)</t>
  </si>
  <si>
    <t>QRULES-46692</t>
  </si>
  <si>
    <t xml:space="preserve">DEF_MA_AIH_BLOOD </t>
  </si>
  <si>
    <t>QRULES-46723</t>
  </si>
  <si>
    <t>DEF_MA_AIH_COSMETIC_SX</t>
  </si>
  <si>
    <t>QRULES-46725</t>
  </si>
  <si>
    <t>DEF_MA_AIH_INFERTILITY</t>
  </si>
  <si>
    <t>QRULES-46698</t>
  </si>
  <si>
    <t>DEF_MA_COH_PT_OT_MOD</t>
  </si>
  <si>
    <t>QRULES-46724</t>
  </si>
  <si>
    <t>DEF_MA_CHC_CLIN_LAB</t>
  </si>
  <si>
    <t>QRULES-46840</t>
  </si>
  <si>
    <t>DEF_MA_AUD_FUNC_TST</t>
  </si>
  <si>
    <t>QRULES-47020</t>
  </si>
  <si>
    <t>DEF_MA_CHC_BH_SCN_A</t>
  </si>
  <si>
    <t>QRULES-46842</t>
  </si>
  <si>
    <t>DEF_MA_PHY_OPHTHAA</t>
  </si>
  <si>
    <t>QRULES-46895</t>
  </si>
  <si>
    <t>KS</t>
  </si>
  <si>
    <t>DEF_KS_DME_VAC_2</t>
  </si>
  <si>
    <t>QRULES-47232</t>
  </si>
  <si>
    <t>DEF_CA_PREG_USMG_C_2</t>
  </si>
  <si>
    <t>QRULES-46730</t>
  </si>
  <si>
    <t>DEF_KS_DME_HGLUC_B4</t>
  </si>
  <si>
    <t xml:space="preserve">INDIVIDUAL PROC denial due to FREQ with D-S INCL DX - Line Quantity (DAYS_RANGE; INCL SAME DOS; XPROV)(QTY&gt;1 and ADD LINE=N) </t>
  </si>
  <si>
    <t>DEF_CA_HV_POSTNAT_1</t>
  </si>
  <si>
    <t>QRULES-46685</t>
  </si>
  <si>
    <t>DEF_CA_HV_POSTNAT_2</t>
  </si>
  <si>
    <t>QRULES-46686</t>
  </si>
  <si>
    <t>DEF_CA_SERV_LPNRN</t>
  </si>
  <si>
    <t>QRULES-46687</t>
  </si>
  <si>
    <t>DEF_CA_PREG_FETMON_B_2</t>
  </si>
  <si>
    <t>QRULES-46688</t>
  </si>
  <si>
    <t>DEF_CA_PREG_USSG_3</t>
  </si>
  <si>
    <t>PROC GROUP denial due to FREQ Line Quantity (DAYS_RANGE, INCL SAME DOS; SAME PROV)(QTY = 1 and ADD LINE=N)</t>
  </si>
  <si>
    <t>QRULES-46689</t>
  </si>
  <si>
    <t>DEF_CA_PREG_USMG_A_1</t>
  </si>
  <si>
    <t>QRULES-46699</t>
  </si>
  <si>
    <t>DEF_CA_PREG_USMG_A_3</t>
  </si>
  <si>
    <t>PROC GROUP denial due to FREQ - Line Quantity (SAME DOS; SAME PROV)(QTY1 and ADD LINE=N) with INCL MOD</t>
  </si>
  <si>
    <t>QRULES-46700</t>
  </si>
  <si>
    <t>DEF_CA_PREG_USMG_A_2</t>
  </si>
  <si>
    <t>QRULES-46701</t>
  </si>
  <si>
    <t>DEF_CA_PREG_USSG_A_3</t>
  </si>
  <si>
    <t xml:space="preserve">PROC GROUP denial due to FREQ with DENY EXCL MOD- Line_Quantity (SAME DOS; SAME PROV)(QTY GT1 and ADD LINE=N) </t>
  </si>
  <si>
    <t>QRULES-46702</t>
  </si>
  <si>
    <t>DEF_NJ_NL_PC_A_1</t>
  </si>
  <si>
    <r>
      <rPr>
        <rFont val="Calibri"/>
        <color rgb="FF000000"/>
        <sz val="9.0"/>
      </rPr>
      <t>PROC denial due to NOT PRESENT MOD1 and/or NOT PRESENT MOD2 with </t>
    </r>
    <r>
      <rPr>
        <rFont val="Calibri"/>
        <color rgb="FF000000"/>
        <sz val="10.0"/>
      </rPr>
      <t>INCL REV </t>
    </r>
  </si>
  <si>
    <t>QRULES-46713</t>
  </si>
  <si>
    <t>DEF_NJ_NL_PC_A_2</t>
  </si>
  <si>
    <t>QRULES-46714</t>
  </si>
  <si>
    <t>DEF_NJ_NL_PC_A_3</t>
  </si>
  <si>
    <t>QRULES-46715</t>
  </si>
  <si>
    <t>DEF_CA_PREG_USSG_D_2</t>
  </si>
  <si>
    <t>INDIVIDUAL PROC denial due to FREQ with DENY EXCL DX (DAYS_RANGE, INCL SAME DOS; SAME PROV)(QTY=1 and ADD LINE=N)</t>
  </si>
  <si>
    <t>QRULES-46728</t>
  </si>
  <si>
    <t>DEF_CA_PREG_USSG_C_2</t>
  </si>
  <si>
    <t>QRULES-46729</t>
  </si>
  <si>
    <t xml:space="preserve">DEF_KS_THER_SRVCS_4 </t>
  </si>
  <si>
    <t>PROC denial due to PRESENT DX on LINE_DIAG1 or LINE_CLAIM1 with INCL MOD</t>
  </si>
  <si>
    <t>QRULES-46833</t>
  </si>
  <si>
    <t>DEF_MA_DH_NCSVCS_A</t>
  </si>
  <si>
    <t>PROC denial due to PRESENT other PROC (1-KEY D-S;SAME DOS; XPROV) with INCL Age and INCL Deny Line Mod</t>
  </si>
  <si>
    <t>QRULES-46872</t>
  </si>
  <si>
    <t>DEF_MA_COH_IP</t>
  </si>
  <si>
    <t>QRULES-46880</t>
  </si>
  <si>
    <t>DEF_MA_FPA_INFERT</t>
  </si>
  <si>
    <t>PROC denial due to PRESENT DX on LINE_DIAG1 or LINE_CLAIM1</t>
  </si>
  <si>
    <t>QRULES-46881</t>
  </si>
  <si>
    <t>DEF_MA_CRP_RAD_POS</t>
  </si>
  <si>
    <t>QRULES-46901</t>
  </si>
  <si>
    <t>DEF_MA_AOH_DEV_SC</t>
  </si>
  <si>
    <t>QRULES-46902</t>
  </si>
  <si>
    <t>DEF_MA_PSY_NEUROTEST_A</t>
  </si>
  <si>
    <t>QRULES-47039</t>
  </si>
  <si>
    <t>DEF_MA_PHY_VST_TRT</t>
  </si>
  <si>
    <t>QRULES-47040</t>
  </si>
  <si>
    <t>DEF_ MA_PSY_NEUROTEST_B </t>
  </si>
  <si>
    <t>QRULES-47044</t>
  </si>
  <si>
    <t>DEF_NJ_NL_PC_B_2</t>
  </si>
  <si>
    <t>QRULES-47043</t>
  </si>
  <si>
    <t xml:space="preserve">DEF_MA_PHY_OFC_VAC </t>
  </si>
  <si>
    <t>QRULES-47060</t>
  </si>
  <si>
    <t>DEF_MA_POD_PODFFUP</t>
  </si>
  <si>
    <t>QRULES-47061</t>
  </si>
  <si>
    <t>DEF_MA_ORT_DBSHOE_3</t>
  </si>
  <si>
    <t>submitted</t>
  </si>
  <si>
    <t>DEF_MA_EIP_MEETC_1</t>
  </si>
  <si>
    <t>DEF_MA_SUD_PRG_CASE_MGT</t>
  </si>
  <si>
    <t>DEF_MA_HHA_RNVST</t>
  </si>
  <si>
    <t>QRULES-47070</t>
  </si>
  <si>
    <t>DEF_CA_ORTHO_P2P_KNEE_2</t>
  </si>
  <si>
    <t>QRULES-47071</t>
  </si>
  <si>
    <t>DEF_KS_PHARM_BU</t>
  </si>
  <si>
    <t>QRULES-47176</t>
  </si>
  <si>
    <t>DEF_KS_DME_VAC_1</t>
  </si>
  <si>
    <t>QRULES-47257</t>
  </si>
  <si>
    <t>DEF_KS_DME_MSC_BT_1</t>
  </si>
  <si>
    <t>QRULES-47177</t>
  </si>
  <si>
    <t>DEF_KS_PROF_99215</t>
  </si>
  <si>
    <t>QRULES-47175</t>
  </si>
  <si>
    <t>DEF_KS_THER_SRVCS_5</t>
  </si>
  <si>
    <t>QRULES-47174</t>
  </si>
  <si>
    <t>DEF_KS_INTEN_SUPP_1</t>
  </si>
  <si>
    <t>QRULES-47178</t>
  </si>
  <si>
    <t>IL</t>
  </si>
  <si>
    <t>DEF_IL_LEA_ASSA_2</t>
  </si>
  <si>
    <t>QRULES-47258</t>
  </si>
  <si>
    <t>DEF_KS_HBFT_2</t>
  </si>
  <si>
    <t>QRULES-47378</t>
  </si>
  <si>
    <t>DEF_KS_OUTPT_EMER_DLYS</t>
  </si>
  <si>
    <t>QRULES-47213</t>
  </si>
  <si>
    <t>DEF_TX_CSH_HBAI_3</t>
  </si>
  <si>
    <t>DEF_KS_HYPER_OXY_THER_1</t>
  </si>
  <si>
    <t>QRULES-47405</t>
  </si>
  <si>
    <t>DEF_KS_GB_HSPCE_1</t>
  </si>
  <si>
    <t>QRULES-47389</t>
  </si>
  <si>
    <t>DEF_KS_SWNG_BD_1</t>
  </si>
  <si>
    <t>QRULES-47214</t>
  </si>
  <si>
    <t>DEF_KS_OBSV_STAY_2</t>
  </si>
  <si>
    <t>QRULES-47215</t>
  </si>
  <si>
    <t>DEF_KS_THER_1</t>
  </si>
  <si>
    <t>QRULES-47217</t>
  </si>
  <si>
    <t>DEF_KS_THER_2</t>
  </si>
  <si>
    <t>QRULES-47216</t>
  </si>
  <si>
    <t>DEF_IL_HS_PSYCH</t>
  </si>
  <si>
    <t>QRULES-47259</t>
  </si>
  <si>
    <t>DEF_TX_CLINDIAG_TEST_2</t>
  </si>
  <si>
    <t>DEF_TX_LVRS_A</t>
  </si>
  <si>
    <t>DEF_MA_DME_4XY_1</t>
  </si>
  <si>
    <t>PROC denial due to NOT PRESENT MOD2 with INCL MOD1</t>
  </si>
  <si>
    <t>QRULES-47103</t>
  </si>
  <si>
    <t>DEF_IL_PRC_MAMO_1</t>
  </si>
  <si>
    <t>QRULES-47287</t>
  </si>
  <si>
    <t>DEF_KS_IMD</t>
  </si>
  <si>
    <t>QRULES-47406</t>
  </si>
  <si>
    <t>DEF_IL_PRC_MAMO_2</t>
  </si>
  <si>
    <t>QRULES-47288</t>
  </si>
  <si>
    <t>DEF_TX_COCHLEAR_IMPLANTS</t>
  </si>
  <si>
    <t>QRULES-47199</t>
  </si>
  <si>
    <t>DEF_MA_DME_NM_A_2</t>
  </si>
  <si>
    <t>QRULES-47289</t>
  </si>
  <si>
    <t>DEF_IL_LEA_AUDIO_2</t>
  </si>
  <si>
    <t>QRULES-47307</t>
  </si>
  <si>
    <t>DEF_MA_DME_1Y1_C_1</t>
  </si>
  <si>
    <t xml:space="preserve">PROC denial due to NOT PRESENT MOD1 AND NOT PRESENT MOD2 or Proc denial due to NOT PRESENT MOD3. </t>
  </si>
  <si>
    <t>QRULES-47290</t>
  </si>
  <si>
    <t>DEF_IL_PRC_VENT_2</t>
  </si>
  <si>
    <t>QRULES-47308</t>
  </si>
  <si>
    <t>DEF_IL_THERA_FRQ</t>
  </si>
  <si>
    <t>QRULES-47313</t>
  </si>
  <si>
    <t>DEF_IL_PRC_PSYCRT</t>
  </si>
  <si>
    <t>QRULES-47314</t>
  </si>
  <si>
    <t>DEF_IL_PRC_PSYTHER</t>
  </si>
  <si>
    <t>QRULES-47339</t>
  </si>
  <si>
    <t>DEF_IL_PRC_PSYEVA</t>
  </si>
  <si>
    <t>QRULES-47340</t>
  </si>
  <si>
    <t>DEF_IL_CLINSERV_PSTM</t>
  </si>
  <si>
    <t>QRULES-47341</t>
  </si>
  <si>
    <t>DEF_IL_HH_INHOME</t>
  </si>
  <si>
    <t>QRULES-47342</t>
  </si>
  <si>
    <t>DEF_IL_PRC_PREOP_SRG</t>
  </si>
  <si>
    <t>QRULES-47349</t>
  </si>
  <si>
    <t>DEF_IL_POD_FREQ_SIV</t>
  </si>
  <si>
    <t>QRULES-47350</t>
  </si>
  <si>
    <t>DEF_IL_HH_CONDCOV</t>
  </si>
  <si>
    <t>QRULES-47351</t>
  </si>
  <si>
    <t>DEF_IL_PRC_GUIDPRO_1</t>
  </si>
  <si>
    <t>QRULES-47354</t>
  </si>
  <si>
    <t>DEF_IL_PRC_GUIDPRO_2</t>
  </si>
  <si>
    <t>QRULES-47355</t>
  </si>
  <si>
    <t>DEF_IL_PRC_GRPSYFR_2</t>
  </si>
  <si>
    <t>QRULES-47352</t>
  </si>
  <si>
    <t>DEF_IL_PRC_EMPULM</t>
  </si>
  <si>
    <t>QRULES-47356</t>
  </si>
  <si>
    <t>DEF_IL_PRC_PSYAP_2</t>
  </si>
  <si>
    <t>QRULES-47361</t>
  </si>
  <si>
    <t>DEF_KS_PERS_CRE_SCV_1_1</t>
  </si>
  <si>
    <t>QRULES-47397</t>
  </si>
  <si>
    <t>DEF_KS_SWNG_BD_2</t>
  </si>
  <si>
    <t>QRULES-47398</t>
  </si>
  <si>
    <t>DEF_KS_HYPER_OXY_THER_2</t>
  </si>
  <si>
    <t>DEF_KS_NW_PT_VISIT</t>
  </si>
  <si>
    <t>FTIN_ANY_SPEC</t>
  </si>
  <si>
    <t>DEF_KS_DME_HGLUC_A4</t>
  </si>
  <si>
    <t xml:space="preserve"> PROC GROUP denial due to FREQ with D-S INCL DX - Line_Quantity accumulation (DAYS_RANGE; INCL SAME DOS; XPROV)(QTY=1 and ADD LINE=N)</t>
  </si>
  <si>
    <t>DEF_KS_LAB_2</t>
  </si>
  <si>
    <t>QRULES-47443</t>
  </si>
  <si>
    <t>DEF_KS_LAB_4</t>
  </si>
  <si>
    <t>QRULES-47444</t>
  </si>
  <si>
    <t>DEF_KS_DME_PURCH_RENT</t>
  </si>
  <si>
    <t>QRULES-47488</t>
  </si>
  <si>
    <t>DEF_KS_DME_CPAP</t>
  </si>
  <si>
    <t>QRULES-47489</t>
  </si>
  <si>
    <t>DEF_KS_HHA_AHCS</t>
  </si>
  <si>
    <t>QRULES-47490</t>
  </si>
  <si>
    <t>DEF_KS_HP_VNS</t>
  </si>
  <si>
    <t>QRULES-47491</t>
  </si>
  <si>
    <t>QRULES-47492</t>
  </si>
  <si>
    <t>DEF_KS_HP_FETAL_TST_2</t>
  </si>
  <si>
    <t>QRULES-47493</t>
  </si>
  <si>
    <t>DEF_KS_HP_HYSTER</t>
  </si>
  <si>
    <t>QRULES-47494</t>
  </si>
  <si>
    <t>DEF_KS_HP_THER_A</t>
  </si>
  <si>
    <t>QRULES-47495</t>
  </si>
  <si>
    <t>DEF_KS_HP_THER_B</t>
  </si>
  <si>
    <t>QRULES-47527</t>
  </si>
  <si>
    <t>DEF_IL_PRC_PSYAP_1</t>
  </si>
  <si>
    <t>QRULES-47360</t>
  </si>
  <si>
    <t>DEF_KS_HYPER_OXY_THER_B</t>
  </si>
  <si>
    <t>QRULES-47528</t>
  </si>
  <si>
    <t>BPROV_FTIN</t>
  </si>
  <si>
    <t>DEF_KS_HOSP_OBSTY_B</t>
  </si>
  <si>
    <t>DEF_KS_HOSP_OBSTY_C_1</t>
  </si>
  <si>
    <t>DEF_KS_HOSP_OBSTY_C_2</t>
  </si>
  <si>
    <t>DEF_KS_HOSP_BAHA_A_1</t>
  </si>
  <si>
    <t>PROC denial due to PRESENT MOD (ALL_FAC)</t>
  </si>
  <si>
    <t>DEF_KS_HOSP_BAHA_A_2</t>
  </si>
  <si>
    <t>DEF_KS_HOSP_BAHA_B_2</t>
  </si>
  <si>
    <t>DEF_TX_MEDN_ANES</t>
  </si>
  <si>
    <t>DEF_TX_MEDN_ANESM_A</t>
  </si>
  <si>
    <t>DEF_TX_CSH_HBAI_5</t>
  </si>
  <si>
    <t>DEF_TX_PTOT_FREQ_C_2</t>
  </si>
  <si>
    <t>DEF_TX_CSH_HBAI_6</t>
  </si>
  <si>
    <t>DEF_TX_NUT_TRP_FRQ_2</t>
  </si>
  <si>
    <t>DEF_TX_CSH_HBAI_2</t>
  </si>
  <si>
    <t>DEF_TX_OPTHALMOSCOPY_EXT_A_3</t>
  </si>
  <si>
    <t>DEF_TX_OPTHALMOSCOPY_EXT_A_1</t>
  </si>
  <si>
    <t>DEF_TX_OBGYN_APARTUM_FAC</t>
  </si>
  <si>
    <t>DEF_TX_MEG_SVCS</t>
  </si>
  <si>
    <t>DEF_MA_APBCOVID_MODCG</t>
  </si>
  <si>
    <t>DEF_TX_VISANDHEAR_EVAL_POS_3</t>
  </si>
  <si>
    <t>DEF_TX_CTMRI_GLOBAL</t>
  </si>
  <si>
    <t>DEF_TX_HEAR_AID_A</t>
  </si>
  <si>
    <t>DEF_TX_CNO_HCSPEC_B</t>
  </si>
  <si>
    <t>DEF_TX_IOH_FENO_2</t>
  </si>
  <si>
    <t>DEF_TX_IOH_FENO_3</t>
  </si>
  <si>
    <t>DEF_NY_DME_FREQ26CVD1</t>
  </si>
  <si>
    <t>INDIVIDUAL PROC denial due to FREQ with D-S EXCL DX (DAYS_RANGE, INCL SAME DOS; XPROV)(QTY&gt;1 and ADD LINE=N)</t>
  </si>
  <si>
    <t>DEF_IL_AMB_AGE1</t>
  </si>
  <si>
    <t>DEF_MCAID_FREQ_1KEY_3LOOKUP (mock-up)</t>
  </si>
  <si>
    <t>PROC</t>
  </si>
  <si>
    <t>DEF_TX_OBGYN_NIPS_GEN_B_2</t>
  </si>
  <si>
    <t>DEF_KS_CONSULT_HOSP</t>
  </si>
  <si>
    <t>DEF_KS_PROF_CONSULT</t>
  </si>
  <si>
    <t>PROC denial due to PRESENT OTHER PROC (2-KEY D-S; SAME DOS; SAME PROV)</t>
  </si>
  <si>
    <t>DEF_CA_IP_PSYCH_A</t>
  </si>
  <si>
    <t>PROC denial due to NOT PRESENT POS and NOT PRESENT DX, NOT PRESENT PROV SPEC or NOT PRESENT PROV TYPE</t>
  </si>
  <si>
    <t>DEF_CA_IP_PSYCH_B</t>
  </si>
  <si>
    <t>PROC denial due to PRESENT POS and NOT PRESENT DX, NOT PRESENT PROV SPEC or NOT PRESENT PROV TYPE</t>
  </si>
  <si>
    <t>DEF_KS_HOSP_ER_B</t>
  </si>
  <si>
    <t>DEF_KS_HCBSTBI_BT_1</t>
  </si>
  <si>
    <t>PROC GROUP denial due to FREQ with D-S INCL DX - Line Quantity (CALENDAR_YEAR; INCL SAME DOS; XPROV)(QTY&gt;1 and ADD LINE=N)</t>
  </si>
  <si>
    <t>DEF_KS_HP_DEV_TST_1</t>
  </si>
  <si>
    <t>DEF_KS_HP_DEV_TST_2</t>
  </si>
  <si>
    <t>DEF_KS_THRPY_1</t>
  </si>
  <si>
    <t>DEF_CA_DME_P2P_PORTGAS_3</t>
  </si>
  <si>
    <t>DEF_CA_EYE_SPECATCLES_2</t>
  </si>
  <si>
    <t>PROC denial due to NOT PRESENT DXNOSIS, AND/OR NOT PRESENT MOD1, AND/OR NOT PRESENT MOD2</t>
  </si>
  <si>
    <t>DEF_CA_PREG_NUCTRANS_B_2</t>
  </si>
  <si>
    <t>DEF_CA_PREG_NUCTRANS_B_3</t>
  </si>
  <si>
    <t>INDIVIDUAL PROC denial due to FREQ - Line Quantity (Same DOS; SAME PROV) (QTY &gt; 1; ADDLINE = N) D-S INCL DX</t>
  </si>
  <si>
    <t>DEF_CA_PREG_USSG_G_2</t>
  </si>
  <si>
    <t>INDIVIDUAL PROC denial due to FREQ with D-S EXCL DX (DAYS_RANGE, INCL SAME DOS; SAME PROV)(QTY&gt;1 and ADD LINE=N)</t>
  </si>
  <si>
    <t>DEF_MA_AOH_CANS</t>
  </si>
  <si>
    <t>PROC denial due to PRESENT AGE and MOD with PROV SPEC NOT PRESENT.</t>
  </si>
  <si>
    <t>DEF_MA_DME_FREQ1B</t>
  </si>
  <si>
    <t>DEF_CA_INJ_HYDRA_FAC</t>
  </si>
  <si>
    <t>DEF_TX_WMNS_PAP_PROC</t>
  </si>
  <si>
    <t>DEF_NY_DME_IMPOT</t>
  </si>
  <si>
    <t>PROC denial due to NOT PRESENT PROV SPEC with INCL DX</t>
  </si>
  <si>
    <t>DEF_MA_COH_CATEGORY</t>
  </si>
  <si>
    <t>VA</t>
  </si>
  <si>
    <t>DEF_VA_VIS_FRAME_2</t>
  </si>
  <si>
    <t>DEF_VA_HOSP_PSYCH_INTERVIEW</t>
  </si>
  <si>
    <t>DEF_VA_HOSP_ERTEST</t>
  </si>
  <si>
    <t>DEF_VA_HOSP_NONCOVERED</t>
  </si>
  <si>
    <t>DEF_VA_HOSP_SPECIMEN</t>
  </si>
  <si>
    <t>DEF_VA_HOSP_STEM_CELL</t>
  </si>
  <si>
    <t>PROC denial due to PRESENT AGE and BILL TYPE with EXCL DX</t>
  </si>
  <si>
    <t>DEF_VA_HSP_NSF</t>
  </si>
  <si>
    <t>DEF_VA_HSP_SNV_1</t>
  </si>
  <si>
    <t>DEF_VA_IDL_SCR_MAMM_4</t>
  </si>
  <si>
    <t>DEF_VA_IDL_SCR_MAMM_5</t>
  </si>
  <si>
    <t>DEF_VA_BILL_TYPES</t>
  </si>
  <si>
    <t>DEF_VA_HOSP_FERTILITY</t>
  </si>
  <si>
    <t>PROC denial due to ONLY PRESENT DX (ALL_FAC)</t>
  </si>
  <si>
    <t>DEF_VA_HSP_IP_RSP</t>
  </si>
  <si>
    <t>DEF_VA_POD_PROC</t>
  </si>
  <si>
    <t>PROV SPEC denial due to NOT PRESENT PROC</t>
  </si>
  <si>
    <t>DEF_VA_DME_DF36MOA</t>
  </si>
  <si>
    <t>DEF_VA_DME_DF1M_A2</t>
  </si>
  <si>
    <t>DEF_VA_DME_PA24MU1_2</t>
  </si>
  <si>
    <t>DEF_VA_HOSP_STERILIZ</t>
  </si>
  <si>
    <t>y</t>
  </si>
  <si>
    <t>DEF_VA_DME_PA_CMG2</t>
  </si>
  <si>
    <t>DEF_VA_DME_PA_CMG3</t>
  </si>
  <si>
    <t>WV</t>
  </si>
  <si>
    <t>DEF_WV_SCHL_RESUSCITATE</t>
  </si>
  <si>
    <t>DEF_WV_SCHL_SPAUD2_2</t>
  </si>
  <si>
    <t>INDIVIDUAL PROC denial due to FREQ with INCL D-S POS - Line Quantity (DAYS_RANGE; INCL SAME DOS; XPROV)(QTY=1 and ADD LINE=N)</t>
  </si>
  <si>
    <t>DEF_WV_SCHL_SP2_2</t>
  </si>
  <si>
    <t>DEF_WV_HH_TCM_3</t>
  </si>
  <si>
    <t>DEV_WV_ADW_RN_SVCS_2</t>
  </si>
  <si>
    <t>DEF_WV_IMM_VFC</t>
  </si>
  <si>
    <t>DEF_WV_SCHL_PSY1_2</t>
  </si>
  <si>
    <t>DEF_WV_HH_TCM_2</t>
  </si>
  <si>
    <t>DEF_WV_ADW_NONER_TRANSPORT_2</t>
  </si>
  <si>
    <t>DEF_WV_ED_VISIT</t>
  </si>
  <si>
    <t>DEF_WV_SCHL_SPAUD1_2</t>
  </si>
  <si>
    <t>DEF_WV_PULM_REHAB_1</t>
  </si>
  <si>
    <t>DEF_WV_PULM_REHAB_2</t>
  </si>
  <si>
    <t>DEF_WV_HOS_PH_DAY_2</t>
  </si>
  <si>
    <t>DEF_WV_PRAC_HBOT_PROF</t>
  </si>
  <si>
    <t>DEF_WV_PRAC_HBOT_FAC</t>
  </si>
  <si>
    <t>DEF_WV_SCHL_PSY2_2</t>
  </si>
  <si>
    <r>
      <rPr>
        <rFont val="Calibri"/>
        <color rgb="FF000000"/>
        <sz val="9.0"/>
      </rPr>
      <t>INDIVIDUAL PROC denial due to FREQ - Line_Quantity with INCL D-S POS (CALENDAR_YEAR; INCL SAME DOS; XPROV)(</t>
    </r>
    <r>
      <rPr>
        <rFont val="Calibri"/>
        <b/>
        <color rgb="FF000000"/>
        <sz val="8.0"/>
      </rPr>
      <t>QTY by PROC</t>
    </r>
    <r>
      <rPr>
        <rFont val="Calibri"/>
        <color rgb="FF000000"/>
        <sz val="8.0"/>
      </rPr>
      <t>, ADD LINE=N)</t>
    </r>
  </si>
  <si>
    <t>DEF_WV_HOS_EM_VISIT_BAR</t>
  </si>
  <si>
    <t>DEF_WV_TCS_COUNSEL_1</t>
  </si>
  <si>
    <t>DEF_WV_HOSP_CHC_2</t>
  </si>
  <si>
    <t>DEF_CA_P2P_MEDI2_2</t>
  </si>
  <si>
    <t>DEF_CA_MENINGO_HIBMEN_1</t>
  </si>
  <si>
    <t>DEF_CA_OPHTH_INJ</t>
  </si>
  <si>
    <r>
      <rPr>
        <rFont val="Calibri"/>
        <color rgb="FF000000"/>
        <sz val="9.0"/>
      </rPr>
      <t xml:space="preserve">PROC denial due to NOT PRESENT OTHER PROC (1-KEY D-S; SAME DOS; XPROV) </t>
    </r>
    <r>
      <rPr>
        <rFont val="Calibri"/>
        <b/>
        <color rgb="FFFF0000"/>
        <sz val="9.0"/>
      </rPr>
      <t>(SAME CLAIM)</t>
    </r>
  </si>
  <si>
    <t>DEF_TX_MD_OMT_A</t>
  </si>
  <si>
    <t>DEF_WV_HH_HOMEHEALTH</t>
  </si>
  <si>
    <t>DEF_CA_ORTH_TIBFIB_1</t>
  </si>
  <si>
    <t>OH</t>
  </si>
  <si>
    <t>DEF_OH_GEN_NONCOV_CLIN_TRIAL</t>
  </si>
  <si>
    <t>DEF_OH_AHCC_CMD_1</t>
  </si>
  <si>
    <t>DEF_OH_AHCC_CMD_2</t>
  </si>
  <si>
    <t>DEF_WV_DME_HHA_SPEC</t>
  </si>
  <si>
    <t>DEF_OH_VCS_AGEFREQ1</t>
  </si>
  <si>
    <t>DEF_OH_HOSP_DELIV_OUTPT</t>
  </si>
  <si>
    <t>DEF_OH_HOSP_MODS</t>
  </si>
  <si>
    <t>DEF_OH_HOSP_REV</t>
  </si>
  <si>
    <t>DEF_OH_HOSP_REV_OP</t>
  </si>
  <si>
    <t>DEF_OH_PHYS_ESRD</t>
  </si>
  <si>
    <t>DEF_OH_FSBC_DEL</t>
  </si>
  <si>
    <t>DEF_OH_PHYS_FLUORIDE</t>
  </si>
  <si>
    <t>DEF_OH_PHYS_DIALYSIS</t>
  </si>
  <si>
    <t>DEF_OH_PHYS_MAMM</t>
  </si>
  <si>
    <t>NDIVIDUAL PROC denial due to FREQ with D-S EXCL DX - Line_Quantity (DAYS_RANGE; INCL SAME DOS; XPROV)(QTY=1 and ADD LINE=N))</t>
  </si>
  <si>
    <t>DEF_OH_DME_FTH_NR_1</t>
  </si>
  <si>
    <t>DEF_OH_GEN_NONCOV_COSMETIC</t>
  </si>
  <si>
    <t>DEF_NJ_NL_NMIEED2</t>
  </si>
  <si>
    <t>DEF_NJ_NL_NMIEED3</t>
  </si>
  <si>
    <t>DEF_NJ_NL_NMIEED4</t>
  </si>
  <si>
    <t>DEF_OH_AHCC_DSS </t>
  </si>
  <si>
    <t>DEF_KS_WRONG_SURG_MODS _B</t>
  </si>
  <si>
    <t>DEF_KS_WRONG_SURG_DX</t>
  </si>
  <si>
    <t>DX denial due to NOT PRESENT BILL TYPE  and NOT PRESENT ECI DX (INPAT_FAC)</t>
  </si>
  <si>
    <t>PROC denial due to PRESENT OTHER PROC (1-KEY D-S; SAME DOS; PROV_ID)</t>
  </si>
  <si>
    <t>PROC denial due to PRESENT OTHER PROC with DENY MOD EXCL (1-KEY D-S; SAME DOS; PROV_ID)</t>
  </si>
  <si>
    <t>DEF_MA_DME_MOD35B</t>
  </si>
  <si>
    <t>AZ</t>
  </si>
  <si>
    <t>DEF_AZ_COV_CODNG_2</t>
  </si>
  <si>
    <t>PROC denial due to NOT PRESENT MOD with INCL BILL TYPE and INCL DX (ALL_FAC)</t>
  </si>
  <si>
    <t>DEF_AZ_COV_CODNG_3</t>
  </si>
  <si>
    <t>PROC denial due to NOT PRESENT CONDITION CODE with INCL BILL TYPE and INCL DX (ALL_FAC)</t>
  </si>
  <si>
    <t>DEF_AZ_FFS_BH_MET</t>
  </si>
  <si>
    <t>DEF_AZ_FFS_HOS_PROV</t>
  </si>
  <si>
    <t>DEF_AZ_AMPM_EPSDT_SICK</t>
  </si>
  <si>
    <t>DEF_AZ_FFS_ALTCS_PT</t>
  </si>
  <si>
    <t>DEF_AZ_FFS_HH_RESPI</t>
  </si>
  <si>
    <t>DEF_KS_POD_OFFV_1</t>
  </si>
  <si>
    <t>FTIN_SPEC1</t>
  </si>
  <si>
    <t>N/A-DO NOT USE THIS PATTERN</t>
  </si>
  <si>
    <t>DEF_OH_AHCC_DSS</t>
  </si>
  <si>
    <t>PROC denial due to PRESENT OTHER PROC with DENY INCL DX (1-KEY D-S; SAME DOS; XPROV)</t>
  </si>
  <si>
    <t>DEF_KS_DME_DTHICK</t>
  </si>
  <si>
    <t>PROC denial due to ONLY PRESENT DX</t>
  </si>
  <si>
    <t>DEF_KS_DME_VAC</t>
  </si>
  <si>
    <t>DEF_KS_DME_VAC_AGE</t>
  </si>
  <si>
    <t>DEF_CA_PATH_GONAD_1</t>
  </si>
  <si>
    <t>PROC denial due to NOT PRESENT DX with INCL GENDER</t>
  </si>
  <si>
    <t>DEF_CA_HCPCS_SKINSUB</t>
  </si>
  <si>
    <t>DEF_MA_CRP_RADI_1</t>
  </si>
  <si>
    <t>PROC denial due to AGE with INCL BILL TYPE (ALL_FAC)</t>
  </si>
  <si>
    <t>DEF_VA_ILD_SCR_MAMM_6</t>
  </si>
  <si>
    <t>DEF_CA_NWBRN_HOSP_DIS_CRE_2</t>
  </si>
  <si>
    <t>DEF_CA_EXAM_A</t>
  </si>
  <si>
    <t>PROC denial due to PRESENT OTHER PROC with DENY INCL DX (1-KEY D-S; DAYS; SAME DOS; XPROV)</t>
  </si>
  <si>
    <t>KY</t>
  </si>
  <si>
    <t>DEF_KY_VIS_EM_1</t>
  </si>
  <si>
    <t>DEF_KY_VIS_NEWPT_2</t>
  </si>
  <si>
    <t>DEF_KY_VIS_VFT_1</t>
  </si>
  <si>
    <t>DEF_KY_VIS_VFT_2</t>
  </si>
  <si>
    <t>DEF_KY_CMHC_THRPY1A</t>
  </si>
  <si>
    <t>DEF_KY_NTP_ALC_DRG</t>
  </si>
  <si>
    <t>DEF_KY_CMHC_THRPY22A</t>
  </si>
  <si>
    <t>DEF_KY_CMHC_THRPY22B</t>
  </si>
  <si>
    <t>DEF_KY_CMT_FREQ</t>
  </si>
  <si>
    <t>DEF_KS_PROF_PBS_1</t>
  </si>
  <si>
    <t>DEF_KS_PROF_PBS_2</t>
  </si>
  <si>
    <t>DEF_KS_PATTERN_387</t>
  </si>
  <si>
    <t>DEF_KS_POD_OFFV_2</t>
  </si>
  <si>
    <t>INDIVIDUAL PROC denial due to FREQ with D-S INCL DX - Line Quantity (DAYS_RANGE; INCL SAME DOS; XPROV)(QTY PER PROC, ADD LINE=N)</t>
  </si>
  <si>
    <t>DEF_TX_PATTERN_390</t>
  </si>
  <si>
    <t>INDIVIDUAL PROC denial due to FREQ with D-S INCL DX - Line Quantity (DAYS_RANGE; INCL SAME DOS; SAME PROV)(QTY PER PROC, ADD LINE=N)</t>
  </si>
  <si>
    <t>DEF_TX_VISHEAR_OPSVC_A_2</t>
  </si>
  <si>
    <t>DEF_TX_PATTERN_392</t>
  </si>
  <si>
    <t>DEF_KS_PATTERN_393</t>
  </si>
  <si>
    <t>DEF_TX_PATTERN_394</t>
  </si>
  <si>
    <t>DEF_TX_PATTERN_395</t>
  </si>
  <si>
    <t>DEF_KS_PATTERN_396</t>
  </si>
  <si>
    <t>DEF_KS_PATTERN_397</t>
  </si>
  <si>
    <t>DEF_TX_PATTERN_398</t>
  </si>
  <si>
    <t>DEF_TX_PATTERN_399</t>
  </si>
  <si>
    <t>DEF_TX_PATTERN_400</t>
  </si>
  <si>
    <t>DEF_TX_PATTERN_401</t>
  </si>
  <si>
    <t>INDIVIDUAL PROC denial due to FREQ with DENY EXCL DX (DAYS_RANGE, INCL SAME DOS; SAME PROV)(QTY PER PROC, ADD LINE=N)</t>
  </si>
  <si>
    <t>DEF_KY_PATTERN_402</t>
  </si>
  <si>
    <t>DEF_KS_LDCT</t>
  </si>
  <si>
    <t>DEF_TX_PATTERN_406</t>
  </si>
  <si>
    <t>INDIVIDUAL PROC denial due to FREQ with D-S EXCL DX - Line Quantity (DAYS_RANGE, INCL SAME DOS; XPROV)(QTY PER PROC, ADD LINE=N)</t>
  </si>
  <si>
    <t>DEF_KS_PATTERN_407</t>
  </si>
  <si>
    <t>DEF_TX_PATTERN_408</t>
  </si>
  <si>
    <t>INDIVIDUAL PROC denial due to FREQ with D-S EXCL DX (DAYS_RANGE, INCL SAME DOS; SAME PROV)(QTY PER PROC, ADD LINE=N)</t>
  </si>
  <si>
    <t>DEF_TX_PATTERN_409</t>
  </si>
  <si>
    <t>DEF_KS_PATTERN_410</t>
  </si>
  <si>
    <t>DEF_KS_PATTERN_411</t>
  </si>
  <si>
    <t>DEF_KS_PATTERN_412</t>
  </si>
  <si>
    <t>DEF_KS_PATTERN_413</t>
  </si>
  <si>
    <t>DEF_KS_PATTERN_414</t>
  </si>
  <si>
    <t>DEF_TX_PATTERN_415</t>
  </si>
  <si>
    <t>DEF_KS_PATTERN_416</t>
  </si>
  <si>
    <t>DEF_KY_KAR3_005_PPC</t>
  </si>
  <si>
    <t>DX denial due to PRESENT AnyLineDX (INPAT_FAC)</t>
  </si>
  <si>
    <t>DEF_KY_RAD_EPID</t>
  </si>
  <si>
    <t xml:space="preserve">INDIVIDUAL PROC denial due to FREQ with D-S INCL DX - Line Quantity (SAME DOS; XPROV)(QTY&gt;1 and ADD LINE=N) </t>
  </si>
  <si>
    <t>DEF_KY_KAR3_010_EM</t>
  </si>
  <si>
    <t>DEF_TX_VISHEAR_OPSVC_A_3</t>
  </si>
  <si>
    <t xml:space="preserve">                                                                                                                                                                                                                                                                                              </t>
  </si>
  <si>
    <t>DEF_TX_OMNIPOD</t>
  </si>
  <si>
    <t>DEF_TX_TUNA_2</t>
  </si>
  <si>
    <t>DEF_TX_ADJUNCT_CGM_1</t>
  </si>
  <si>
    <t>DEF_TX_COVID_19_HME_ADM_3</t>
  </si>
  <si>
    <t>MD</t>
  </si>
  <si>
    <t>DEF_MD_POD_CARE</t>
  </si>
  <si>
    <t>INDIVIDUAL PROC denial due to FREQ with D-S INCL SECONDARY DX and POS - Line Quantity (DAYS_RANGE; INCL SAME DOS; XPROV) (QTY PER PROC, ADD LINE=N)</t>
  </si>
  <si>
    <t>DEF_TX_PTOT_FREQ_2</t>
  </si>
  <si>
    <t>DEF_MA_CRP_OFC_N_CHIRO_FREQ</t>
  </si>
  <si>
    <t>DEF_MD_TELE_EVISIT</t>
  </si>
  <si>
    <t>DEF_TX_CLINDIAG_TEST_2A</t>
  </si>
  <si>
    <t>MI</t>
  </si>
  <si>
    <t>DEF_MI_CHIRO_CM_1</t>
  </si>
  <si>
    <t>DEF_MI_BILL_IVINFUSE</t>
  </si>
  <si>
    <t>DEF_MI_BG_FREQ1</t>
  </si>
  <si>
    <t>INDIVIDUAL PROC denial due to FREQ with INCL AGE, D-S INCL DX1 and D-S INCL DX2- Line Quantity (DAYS_RANGE; INCL SAME DOS; XPROV)(QTY PER PROC, ADD LINE=N)</t>
  </si>
  <si>
    <t>DEF_MI_BG_FREQ5</t>
  </si>
  <si>
    <t>INDIVIDUAL PROC denial due to FREQ with INCL AGE, D-S INCL DX- Line Quantity (DAYS_RANGE; INCL SAME DOS; XPROV)(QTY PER PROC, ADD LINE=N)</t>
  </si>
  <si>
    <t>DEF_MI_FS_VIS_TELE</t>
  </si>
  <si>
    <t>DEF_MI_FS_HH_FREQMNT</t>
  </si>
  <si>
    <t xml:space="preserve">DEF_MI_BILL_RN_FAC </t>
  </si>
  <si>
    <t xml:space="preserve">DEF_MI_BG_FREQ3 </t>
  </si>
  <si>
    <t xml:space="preserve">INDIVIDUAL PROC denial due to FREQ with INCL AGE and D-S INCL DX and D-S EXCL DX - Line Quantity (DAYS_RANGE; INCL SAME DOS; XPROV)(QTY PER PROC, ADD LINE=N) </t>
  </si>
  <si>
    <t xml:space="preserve">DEF_MI_FS_SPEECHTHERAPY </t>
  </si>
  <si>
    <t>DEF_MI_CHIRO_SMFREQ</t>
  </si>
  <si>
    <t xml:space="preserve">DEF_MI_BILL_OT </t>
  </si>
  <si>
    <t>DEF_MI_BILL_POA</t>
  </si>
  <si>
    <t>DEF_MI_NB_NUBC</t>
  </si>
  <si>
    <t>DEF_MA_CHC_VISIT</t>
  </si>
  <si>
    <t>DEF_TX_TUNA_3</t>
  </si>
  <si>
    <t>DEF_TX_ANES_PT_TOB</t>
  </si>
  <si>
    <t>DEF_TX_CGM_INTEG_PMP_SYSTEM</t>
  </si>
  <si>
    <t>DEF_TX_NWPTCHKUP_NWPTACUTE</t>
  </si>
  <si>
    <t>DEF_CA_DEPRESS_SCREEN</t>
  </si>
  <si>
    <t>PROC GROUP denial due to FREQ with D-S INCL DX - Line Quantity (DAYS_RANGE; INCL SAME DOS; XPROV)(QTY&gt;1 and ADD LINE=N)</t>
  </si>
  <si>
    <t>DEF_TX_ESTAB_PAT</t>
  </si>
  <si>
    <t>DEF_IL_REV_TEMPLATE</t>
  </si>
  <si>
    <t>DEF_IL_REV_AGE_TEMPLATE</t>
  </si>
  <si>
    <t>N?A</t>
  </si>
  <si>
    <t>DEF_IL_PRC_NEOCRT_6</t>
  </si>
  <si>
    <t>FL</t>
  </si>
  <si>
    <t>DEF_FL_SMHHS_FREQ</t>
  </si>
  <si>
    <t>DEF_FL_CBHS_10HO_1</t>
  </si>
  <si>
    <t>DEF_FL_CBHS_10HQ_2</t>
  </si>
  <si>
    <t>DEF_FL_CBHS_T15</t>
  </si>
  <si>
    <t>DEF_FL_UPDATE_TELMED_EIS_FREQ</t>
  </si>
  <si>
    <t>DEF_FL_OT_TX_VISIT_1</t>
  </si>
  <si>
    <t>DEF_NY_DME_FREQT_2</t>
  </si>
  <si>
    <t>DEF_FL_MHTCM_FREQ3</t>
  </si>
  <si>
    <t>DEF_FL_MH_OP_REVCODE</t>
  </si>
  <si>
    <t>DEF_WV_LBHC_FREQ_MOD</t>
  </si>
  <si>
    <t>DEF_KS_HOSP_PROV_MOD</t>
  </si>
  <si>
    <t>DEF_KS_HHA_HME_CVID19_ADMN</t>
  </si>
  <si>
    <t>DEF_FL_HOSP_OP_ER_VISIT</t>
  </si>
  <si>
    <t>DEF_TX_COVID_19_HME_ADM_2</t>
  </si>
  <si>
    <t>DEF_KS_HOSP_MAT_CTR_SRVS</t>
  </si>
  <si>
    <t>DEF_MA_RMT_SRVCS_FREQ_1</t>
  </si>
  <si>
    <t>DEF_NY_DME_FREQ1</t>
  </si>
  <si>
    <t>DEF_TX_COVID_19_HME_ADM_2_B</t>
  </si>
  <si>
    <t>DEF_KY_VIS_AFTRHRS</t>
  </si>
  <si>
    <t>PROC denial due to PRESENT OTHER PROC with EXCL DENY DX (1-KEY D-S; DAYS BEFORE INCL SAME DOS; XPROV)</t>
  </si>
  <si>
    <t>DEF_CA_CARDIO_TEE_1</t>
  </si>
  <si>
    <t>DEF_CA_CARDIO_TEE_7</t>
  </si>
  <si>
    <t>DEF_CA_CARDIO_TEE_8</t>
  </si>
  <si>
    <t>DEF_CA_CARDIO_TEE_2</t>
  </si>
  <si>
    <t>DEF_CA_CARDIO_TEE_4</t>
  </si>
  <si>
    <t>DEF_LA_FS_HH_NRS_CARE</t>
  </si>
  <si>
    <t>DEF_LA_ESRD_HDC</t>
  </si>
  <si>
    <t>PROC denial due to PRESENT OTHER PROC with DENY INCL DX (1-KEY D-S; DAYS_RANGE; INCL SAME DOS; XPROV)</t>
  </si>
  <si>
    <t>DEF_LA_ASC_FS_TOS_AGE_A</t>
  </si>
  <si>
    <t>DEF_LA_FS_COV19_VAC_A_1</t>
  </si>
  <si>
    <t>DEF_LA_ASC_FS_TOS_GENDR_A</t>
  </si>
  <si>
    <t>DEF_LA_FS_COV19_VAC_A_4</t>
  </si>
  <si>
    <t>DEF_LA_TELE_AGEA_1</t>
  </si>
  <si>
    <t>DEF_LA_TELE_AGEA_2</t>
  </si>
  <si>
    <t xml:space="preserve">DEF_LA_TPN_FS_FREQ </t>
  </si>
  <si>
    <t>DEF_LA_IMMUN_GENDER</t>
  </si>
  <si>
    <t>2.0</t>
  </si>
  <si>
    <t>DEF_LA_PROF_FS_TOS_OPH_PSR</t>
  </si>
  <si>
    <t>DEF_LA_PROF_FS_TOSTH_ALC_1</t>
  </si>
  <si>
    <t>DEF_LA_PROF_FS_TOSTH_ALC_2</t>
  </si>
  <si>
    <t>DEF_LA_PROF_FS_TOSSE_PREN_1</t>
  </si>
  <si>
    <t>DEF_LA_REHAB_AGEA_1</t>
  </si>
  <si>
    <t>DEF_LA_REHAB_AGEA_2</t>
  </si>
  <si>
    <t>DEF_LA_PROFSRVC_ASSNT_SRGN</t>
  </si>
  <si>
    <t>DEF_LA_DME_EBPS_FREQ</t>
  </si>
  <si>
    <t>DEF_LA_DME_SLING</t>
  </si>
  <si>
    <t>DEF_LA_DME_BGSRR_A</t>
  </si>
  <si>
    <t>DEF_LA_DME_OP_2</t>
  </si>
  <si>
    <t>DEF_LA_DME_OP_3</t>
  </si>
  <si>
    <t>DEF_LA_DME_OP_1</t>
  </si>
  <si>
    <t>DEF_LA_DME_SMOP</t>
  </si>
  <si>
    <t>PROC denial due to PRESENT DX with INCL TOS</t>
  </si>
  <si>
    <t>DEF_LA_DME_HMSB_FREQ</t>
  </si>
  <si>
    <t>INDIVIDUAL PROC denial due to FREQ with D-S INCL DX and D-S INCL TOS - Line Quantity (DAYS_RANGE; INCL SAME DOS; XPROV) (QTY PER PROC, ADD LINE=N)</t>
  </si>
  <si>
    <t>DEF_LA_FPC_FPLAN_1</t>
  </si>
  <si>
    <t>PROC denial due to NOT PRESENT GENDER with INCL DX and INCL TOS.</t>
  </si>
  <si>
    <t>DEF_LA_FPC_FPLAN_2</t>
  </si>
  <si>
    <t>PROC denial due to AGE with INCL DX and INCL TOS.</t>
  </si>
  <si>
    <t>DEF_LA_FS_SBHS_OB</t>
  </si>
  <si>
    <t>DEF_LA_DME_TPNA</t>
  </si>
  <si>
    <t>DEF_LA_DME_TPNB</t>
  </si>
  <si>
    <t>DEF_LA_PROFSRVC_PREV_EM_1</t>
  </si>
  <si>
    <t>DEF_LA_PROFSRVC_PREV_EM_2</t>
  </si>
  <si>
    <t>PROC GROUP denial due to FREQ  with INCL AGE AND EXCL D-S DX - Line Quantity (CALENDAR_YEAR; INCL SAME DOS; SAMEPROV)(QTY=1 and ADD LINE=N)</t>
  </si>
  <si>
    <t>DEF_LA_PROFSRVC_PREV_EM_3</t>
  </si>
  <si>
    <t>PROC GROUP denial due to FREQ  with INCL AGE, INCL GENDER, INCL D-S DX AND INCL D-S PROV SPEC - Line Quantity (CALENDAR_YEAR; INCL SAME DOS; SAMEPROV)(QTY=1 and ADD LINE=N)</t>
  </si>
  <si>
    <t>DEF_LA_HOSPICE_ROUTINECARE</t>
  </si>
  <si>
    <t>DEF_LA_HOSP_SRVC_POA</t>
  </si>
  <si>
    <t>PROC denial due to PRESENT POA and PRESENT DX1 or ICD10_1 and NOT PRESENT DX2 or ICD10_2 with INCL BILL TYPE</t>
  </si>
  <si>
    <t>DEF_LA_HOSP_SRVC_POA_2</t>
  </si>
  <si>
    <t>DEF_TX_FAMPLAN_NEW</t>
  </si>
  <si>
    <t>PROC GROUP denial due to FREQ with D-S INCL DX- Line Quantity (DAYS_RANGE, INCL SAME DOS; PROV_ID;FTIN_ANY_SPEC)(QTY=1 and ADD LINE=N)</t>
  </si>
  <si>
    <t>PROV_ID;FTIN_ANY_SPEC</t>
  </si>
  <si>
    <t>DEF_TX_FAMPLAN_ESTAB_B</t>
  </si>
  <si>
    <t>PROC GROUP denial due to FREQ with D-S INCL MOD and D-S INCL DX- Line Quantity (DAYS_RANGE, INCL SAME DOS; XPROV)(QTY=1 and ADD LINE=N)</t>
  </si>
  <si>
    <t>DEF_TX_FAMPLAN_ESTAB_A</t>
  </si>
  <si>
    <t>PROC denial due to PRESENT OTHER PROC with INCL D-S DX (1-KEY D-S; CALENDAR_YEAR; INCL SAME DOS; XPROV)</t>
  </si>
  <si>
    <t>DEF_VA_TRANSPO_AMBULANCE</t>
  </si>
  <si>
    <t>DEF_LA_BUL_TELSERV_2</t>
  </si>
  <si>
    <t>PROC denial due to NOT PRESENT GENDER, and/or DX, and/or TOS with INCL AGE.</t>
  </si>
  <si>
    <t>DEF_KS_SUD_POS</t>
  </si>
  <si>
    <t>PROC denial due to PRESENT POS and PRESENT MOD1 with EXCL MOD2 and EXCL DX</t>
  </si>
  <si>
    <t>DEF_TX_PT_NF_A</t>
  </si>
  <si>
    <t xml:space="preserve">DEF_CA_EM_RADEXM_PC </t>
  </si>
  <si>
    <t>DEF_NJ_NL_FLUADMIN</t>
  </si>
  <si>
    <t>DEF_OH_BH_CIMHS</t>
  </si>
  <si>
    <t>DEF_TX_COCM_FREQ</t>
  </si>
  <si>
    <t>DEF_TX_COCM_VISIT</t>
  </si>
  <si>
    <t>DEF_KY_PHYSERV_PT_64_65</t>
  </si>
  <si>
    <t>DEF_KY_FS_PHY_RPTMS</t>
  </si>
  <si>
    <t>DEF_AZ_AMPM_PCARE</t>
  </si>
  <si>
    <t>DEF_IL_PRC_PREVFRQA_1A</t>
  </si>
  <si>
    <t>DEF_IL_PRC_PREVFRQA_2</t>
  </si>
  <si>
    <t>DEF_IL_PRC_PREVFRQA_2A</t>
  </si>
  <si>
    <t>PROV_DIFF</t>
  </si>
  <si>
    <t>PA</t>
  </si>
  <si>
    <t>DEF_PA_SCV2_ADMIN_A</t>
  </si>
  <si>
    <t>DEF_PA_SCV2_ADMIN_C</t>
  </si>
  <si>
    <t>DEF_PA_MFV_MOD</t>
  </si>
  <si>
    <t>DEF_PA_POD_AGEA</t>
  </si>
  <si>
    <t>DEF_PA_SCV2_ADM_FRQ</t>
  </si>
  <si>
    <t>DEF_PA_ IPSYCH _DME</t>
  </si>
  <si>
    <t>DEF_PA_CNA_A</t>
  </si>
  <si>
    <t>DEF_PA_ICFORC_LEAVEDAYS</t>
  </si>
  <si>
    <t>DEF_PA_CNA_B_1</t>
  </si>
  <si>
    <t>DEF_PA_MH_OPH_OBS_FREQ</t>
  </si>
  <si>
    <t>PA_IP_HYSTER</t>
  </si>
  <si>
    <t>DEF_PA_IP_STERIL_B</t>
  </si>
  <si>
    <t>PROC denial due to AGE and PRESENT PROV TYPE and PRESENT PROV SPEC and PRESENT DX</t>
  </si>
  <si>
    <t>DEF_PA_OPS_NCOV_B</t>
  </si>
  <si>
    <t>GA</t>
  </si>
  <si>
    <t>DEF_GA_MH_DS_HDTRAIN</t>
  </si>
  <si>
    <t>INDIVIDUAL PROC denial due to FREQ with D-S INCL POS and DX - Line Quantity (DAYS_RANGE; INCL SAME DOS; XPROV)(QTY PER PROC, ADD LINE=N)</t>
  </si>
  <si>
    <t>DEF_PA_COVID_FREQ_C</t>
  </si>
  <si>
    <t>DEF_PA_HCPCS_F_4</t>
  </si>
  <si>
    <t>DEF_PA_HCPCS_F_5</t>
  </si>
  <si>
    <t>DEF_PA_HCPCS_Z_4</t>
  </si>
  <si>
    <t>DEF_PA_HCPCS_AA_5</t>
  </si>
  <si>
    <t>DEF_PA_HCPCS_V_2</t>
  </si>
  <si>
    <t>DEF_PA_DME_FMALEPA_B</t>
  </si>
  <si>
    <t>DEF_PA_DME_FMALEPA_A</t>
  </si>
  <si>
    <t>DEF_MA_DME_X_4</t>
  </si>
  <si>
    <t>INDIVIDUAL PROC denial due to FREQ - Line Quantity with INCL D-S DX (CALENDAR_MONTH; INCL SAME DOS; XPROV)(QTY PER PROC, ADD LINE=N)</t>
  </si>
  <si>
    <t>DEF_PA_HH_C_2</t>
  </si>
  <si>
    <t>DEF_PA_BCFS_F_2</t>
  </si>
  <si>
    <t>DEF_PA_CLIA_A_2</t>
  </si>
  <si>
    <t>DEF_PA_PHYFS_AGE_AL_1</t>
  </si>
  <si>
    <t>DEF_PA_PHYFS_FMALE_J</t>
  </si>
  <si>
    <t>DEF_PA_BCFS_B</t>
  </si>
  <si>
    <t>DEF_PA_PHYFS_FMALE_K</t>
  </si>
  <si>
    <t>DEF_PA_BL_TELEMED</t>
  </si>
  <si>
    <t>DEF_PA_HH_B_2</t>
  </si>
  <si>
    <t>DEF_PA_HH_B_1</t>
  </si>
  <si>
    <t>DEF_PA_IPFS_FMALE_G</t>
  </si>
  <si>
    <t>DEF_PA_SCOV_PED_14</t>
  </si>
  <si>
    <t>DEF_PA_IPFS_V_1</t>
  </si>
  <si>
    <t>DEF_PA_MH_ASC_STERIL_AGE</t>
  </si>
  <si>
    <t>PROC denial due to PRESENT AGE with INCL DX AND INCL POS</t>
  </si>
  <si>
    <t>DEF_PA_MS_OD_OS_3</t>
  </si>
  <si>
    <t>DEF_PA_MS_OD_OS_2</t>
  </si>
  <si>
    <t>DEF_PA_MAPFS_I_1</t>
  </si>
  <si>
    <t>DEF_PA_BL_SURG_LAT_MOD_3</t>
  </si>
  <si>
    <t>DEF_PA_CNWMS_A</t>
  </si>
  <si>
    <t>DEF_PA_MAPFS_I_2</t>
  </si>
  <si>
    <t>DEF_PA_MS_OD_OS_1A</t>
  </si>
  <si>
    <t>DEF_PA_MAPFS_E_3</t>
  </si>
  <si>
    <t>DEF_PA_INST_OPPC_A</t>
  </si>
  <si>
    <t>DEF_KS_BL_DX_EXTCAUMORA</t>
  </si>
  <si>
    <t>DEF_IL_NO_PHARM_PREDMED</t>
  </si>
  <si>
    <t>PROC denial due to NOT PRESENT GENDER and NOT PRESENT DX with INCL AGE </t>
  </si>
  <si>
    <t>DEF_LA_PROF_FS_TOSSE_ASCRN_1</t>
  </si>
  <si>
    <t>1.0</t>
  </si>
  <si>
    <t>DEF_CA_MH_PALL_CRT_1</t>
  </si>
  <si>
    <t>PROC denial due to NOT PRESENT MOD with INCL DX and INCL AGE</t>
  </si>
  <si>
    <t>DEF_FL_BAFS_TELEMED</t>
  </si>
  <si>
    <t>DEF_CA_SURG_ONCE_3M</t>
  </si>
  <si>
    <t>INDIVIDUAL PROC denial due to FREQ with D-S INCL MOD and EXCL DX - Line_Quantity (DAYS_RANGE; INCL SAME DOS; XPROV)(QTY PER PROC, ADD LINE=N)</t>
  </si>
  <si>
    <t>DEF_CA_RAD_BILATBRST_SONO_1</t>
  </si>
  <si>
    <t>DEF_CA_RAD_BILATBRST_SONO_5</t>
  </si>
  <si>
    <t>DEF_NJ_OFV_TEENFP_INIT</t>
  </si>
  <si>
    <t>DEF_OH_OPHASC_VACC</t>
  </si>
  <si>
    <t>DEF_MA_SUD_FS_FREQ_C</t>
  </si>
  <si>
    <t>DEF_MA_SUD_FS_FREQ_A_3</t>
  </si>
  <si>
    <t>DEF_CA_EM_ER_DPT_1</t>
  </si>
  <si>
    <t>DEF_MA_DME_ESTIM_1</t>
  </si>
  <si>
    <t>DEV_IL_RATE_SMHRF_COURT</t>
  </si>
  <si>
    <t>DEF_AZ_BILL_POA</t>
  </si>
  <si>
    <t>Claim Denial due to PRESENT BILL TYPE and PRESENT DX1 and NOT PRESENT POA with EXCL DX2</t>
  </si>
  <si>
    <t>DEF_LA_ASC_FS_GNDR_F</t>
  </si>
  <si>
    <t>DEF_CA_BILL_POA</t>
  </si>
  <si>
    <t>Claim Denial due to PRESENT BILL TYPE and PRESENT DX1 or ECI and NOT PRESENT POA with EXCL DX2</t>
  </si>
  <si>
    <t>DEF_MA_RAD_FS_COMP</t>
  </si>
  <si>
    <t>DEF_MA_CT_DME_FREQ_Y_G</t>
  </si>
  <si>
    <t>DEF_NY_LCSW_INTCMPLX </t>
  </si>
  <si>
    <r>
      <rPr>
        <rFont val="Calibri"/>
        <color theme="1"/>
        <sz val="9.0"/>
      </rPr>
      <t>PROC denial due to NOT PRESENT OTHER PROC with D-S INCL PROV SPEC (1-KEY D-S; SAME DOS; SAME PROV)</t>
    </r>
    <r>
      <rPr>
        <rFont val="Calibri"/>
        <color rgb="FF2F5496"/>
        <sz val="11.0"/>
      </rPr>
      <t> </t>
    </r>
  </si>
  <si>
    <t>DEF_NY_LCSW_PSYCH_2 </t>
  </si>
  <si>
    <r>
      <rPr>
        <rFont val="Calibri"/>
        <color rgb="FF000000"/>
        <sz val="9.0"/>
      </rPr>
      <t>PROC denial due to PRESENT OTHER PROC with D-S INCL PROV SPEC (2-KEY D-S; SAME DOS; SAME PROV)</t>
    </r>
    <r>
      <rPr>
        <rFont val="Calibri"/>
        <color rgb="FF2F5496"/>
        <sz val="11.0"/>
      </rPr>
      <t> </t>
    </r>
  </si>
  <si>
    <t>DEF_MA_CT_DME_FREQ_S_AC_1</t>
  </si>
  <si>
    <t>DEF_MA_CT_DME_FREQ_SN_B_1</t>
  </si>
  <si>
    <t>DEF_TX_PCS_IPDRG</t>
  </si>
  <si>
    <t>DEF_MA_P2P_ECNSLT_D </t>
  </si>
  <si>
    <t>SPEC_1</t>
  </si>
  <si>
    <t>DEF_IL_BILL_POA_A</t>
  </si>
  <si>
    <t>DX denial due to PRESENT AnyLineDX with INCL Bill Type</t>
  </si>
  <si>
    <t>DEF_IL_BILL_POA_B</t>
  </si>
  <si>
    <t>Claim denial due to PRESENT BILL TYPE, PRESENT DX and NOT PRESENT POA</t>
  </si>
  <si>
    <t>DEF_CA_DOULA_VISIT_2</t>
  </si>
  <si>
    <t>DEF_KY_VIS_OPTHSPEC_A</t>
  </si>
  <si>
    <t>DEF_MA_HHA_NSGSVC_OBAS</t>
  </si>
  <si>
    <t>DEF_KY_VIS_EXPT_3</t>
  </si>
  <si>
    <t>DEF_KY_AUD_SCREEN</t>
  </si>
  <si>
    <t>DEF_TX_CLNCOP_DIA_FREQ</t>
  </si>
  <si>
    <t xml:space="preserve">REV CODE GROUP denial due to FREQ - Line_Quantity accumulation (DAYS_RANGE;SAME DOS; XPROV)(QTY&gt;1 and ADD LINE=N)(ALL_FAC) </t>
  </si>
  <si>
    <t>DEF_TX_CLNCOP_DIA_DRUGSBIO</t>
  </si>
  <si>
    <t>DEF_TX_PHY_LAB_CYTG_B </t>
  </si>
  <si>
    <t>DEF_PA_ELEAD</t>
  </si>
  <si>
    <t>PROC denial due to NOT PRESENT DX with INCL AGE, PROV SPEC and PROV TYPE</t>
  </si>
  <si>
    <t>DEF_PA_BL_NURSE_SERVICE</t>
  </si>
  <si>
    <t>DEF_PA_BL_NURSE_SERVICE_B</t>
  </si>
  <si>
    <t>PROC denial due to PRESENT OTHER PROC with D-S INCL POS, PROV TYPE, PROV SPEC  (1-KEY D-S; CALENDAR MONTH; XPROV)</t>
  </si>
  <si>
    <t>DEF_PA_BL_NLXN_PSYCHINDPTCLNC</t>
  </si>
  <si>
    <r>
      <rPr>
        <rFont val="Calibri"/>
        <color rgb="FF000000"/>
        <sz val="9.0"/>
      </rPr>
      <t xml:space="preserve">PROC denial due to NOT PRESENT OTHER PROC with D-S INCL Prov Spec, Prov Type, and POS </t>
    </r>
    <r>
      <rPr>
        <rFont val="Calibri"/>
        <color rgb="FFFF0000"/>
        <sz val="9.0"/>
        <u/>
      </rPr>
      <t xml:space="preserve">OR </t>
    </r>
    <r>
      <rPr>
        <rFont val="Calibri"/>
        <color rgb="FF000000"/>
        <sz val="9.0"/>
      </rPr>
      <t xml:space="preserve">PROC denial due to NOT PRESENT OTHER PROC with SUPPORT INCL MOD and D-S INCL Prov Spec, Prov Type, and POS </t>
    </r>
  </si>
  <si>
    <t>DEF_PA_BL_ADLT_VAC_C</t>
  </si>
  <si>
    <t>DEF_PA_BL_HCPCS_UPDATES_F</t>
  </si>
  <si>
    <t>DEF_PA_BL_HCPCS_UPDATES_I</t>
  </si>
  <si>
    <t>DEF_PA_BL_HCPCS_UPDATES_J</t>
  </si>
  <si>
    <t>DEF_PA_BL_HCPCS_UPDATES_K</t>
  </si>
  <si>
    <t>DEF_PA_BL_HCPCS_UPDATES_R</t>
  </si>
  <si>
    <t>DEF_PA_BL_HCPCS_UPDATES_V</t>
  </si>
  <si>
    <t>DEF_KY_CHW_WEEK</t>
  </si>
  <si>
    <t>DEF_KY_CHW_YEAR</t>
  </si>
  <si>
    <t>DEF_TX_ANES_OBS</t>
  </si>
  <si>
    <t>DEF_TX_FAMPLAN_ESTAB_1</t>
  </si>
  <si>
    <t>PROC denial due to PRESENT OTHER PROC with D-S DX INCL and D-S MOD EXCL (1-KEY D-S; CALENDAR_YEAR; INCL SAME DOS; PROV_ID;FTIN_ANY_SPEC)</t>
  </si>
  <si>
    <t>DEF_PA_DME_AGE_C</t>
  </si>
  <si>
    <t>PROC GROUP denial due to FREQ with D-S INCL MOD and D-S INCL DX- Line Quantity (DAYS_RANGE, INCL SAME DOS; PROV_ID;FTIN_ANY_SPEC)(QTY=1 and ADD LINE=N)</t>
  </si>
  <si>
    <t>INDIVIDUAL PROC denial due to FREQ with D-S EXCL DX and D-S EXCL MOD - Line Quantity (DAYS_RANGE; INCL SAME DOS; SAME PROV)(QTY PER PROC, ADD LINE=N)</t>
  </si>
  <si>
    <t>DEF_TX_NO_RSV_VAC_POSPROV_1 </t>
  </si>
  <si>
    <t>DEF_IL_NO_PFS_1A</t>
  </si>
  <si>
    <t>PROC denial due to NOT PRESENT MODIFIER with INCL POS, DX and PROV SPEC</t>
  </si>
  <si>
    <t>DEF_IL_NO_PFS_1B</t>
  </si>
  <si>
    <t>PROC denial due to PRESENT MODIFIER with INCL POS, DX and PROV SPEC</t>
  </si>
  <si>
    <t>DEF_PA_FS_CLNC_BCP_B</t>
  </si>
  <si>
    <t>DEF_PA_IPFS_AGE_OD_A </t>
  </si>
  <si>
    <t>DEF_OH_MH_RHS_STER_FEM</t>
  </si>
  <si>
    <t>PROC denial due to AGE and NOT PRESENT GENDER with INCL DX</t>
  </si>
  <si>
    <t>DEF_PA_MAPFS_A_7</t>
  </si>
  <si>
    <t>INDIVIDUAL PROC denial due to FREQ with D-S INCL MOD, D-S INCL POS, D-S INCL PROVSPEC &amp; D-S INCL PROVTYPE - Line Quantity (SAME DOS; XPROV)(QTY PER PROC, ADD LINE=N)</t>
  </si>
  <si>
    <t>DEF_OH_MH_RHS_STER_MALE </t>
  </si>
  <si>
    <r>
      <rPr>
        <rFont val="Calibri"/>
        <color rgb="FF000000"/>
        <sz val="9.0"/>
      </rPr>
      <t>PROC denial due to AGE and NOT PRESENT GENDER</t>
    </r>
    <r>
      <rPr>
        <rFont val="Calibri"/>
        <color rgb="FF2F5496"/>
        <sz val="11.0"/>
      </rPr>
      <t> </t>
    </r>
  </si>
  <si>
    <t>DEF_PA_BL_HCPCS_UPD_A_3</t>
  </si>
  <si>
    <t>DEF_PA_MAPFS_A_7A</t>
  </si>
  <si>
    <t>DEF_PA_PHYFS_AGE_PA</t>
  </si>
  <si>
    <t>DEF_PA_PHYFS_AGE_AAL_3</t>
  </si>
  <si>
    <t>DEF_PA_PHYFS_AGE_AAL_ 2</t>
  </si>
  <si>
    <t>DEF_PA_FS_THRPST_C</t>
  </si>
  <si>
    <t>DEF_PA_FS_THRPST_B</t>
  </si>
  <si>
    <t>DEF_PA_PHYFS_AGE_YA</t>
  </si>
  <si>
    <t>DEF_PA_CNMFS_D_4</t>
  </si>
  <si>
    <t>DEF_PA_PHYFS_AGE_AP6</t>
  </si>
  <si>
    <t>DEF_PA_PHYFS_AGE_AP2</t>
  </si>
  <si>
    <r>
      <rPr>
        <rFont val="Calibri"/>
        <color rgb="FF000000"/>
        <sz val="9.0"/>
      </rPr>
      <t>PROC denial due to PRESENT AGE with INCL PROVTYPE, INCL PROVSPEC, INCL POS, INCL MOD and INCL GENDER.</t>
    </r>
    <r>
      <rPr>
        <rFont val="Calibri"/>
        <color rgb="FF2F5496"/>
        <sz val="11.0"/>
      </rPr>
      <t> </t>
    </r>
  </si>
  <si>
    <t>DEF_MD_MMCP_BILTMOD</t>
  </si>
  <si>
    <t>DEF_TX_DBT_1</t>
  </si>
  <si>
    <t>DEF_KY_FS_AUD_TEST_AGFRQ</t>
  </si>
  <si>
    <t>DEF_PA_HCPCS_AE_5</t>
  </si>
  <si>
    <t>DEF_PA_HCPCS_AE_9</t>
  </si>
  <si>
    <t>DEF_KY_PDN_SUPP1</t>
  </si>
  <si>
    <t>DEF_LA_FS_PROFSER_SATCESS_2</t>
  </si>
  <si>
    <t>DEF_KY_MH_PTO1_REVCOD</t>
  </si>
  <si>
    <t>DEF_MI_OT_OPTHER_PT_1</t>
  </si>
  <si>
    <r>
      <rPr>
        <rFont val="Calibri"/>
        <color theme="1"/>
        <sz val="9.0"/>
      </rPr>
      <t>PROC GROUP denial due to FREQ with </t>
    </r>
    <r>
      <rPr>
        <rFont val="Calibri"/>
        <color rgb="FF242424"/>
        <sz val="9.0"/>
      </rPr>
      <t>D-S INCL MOD1 and MOD2  (CALENDAR_YEAR; INCL SAME DOS; XPROV)(QTY&gt;1) (ALL FAC)</t>
    </r>
  </si>
  <si>
    <t>DEF_NJ_NL_NMIEED1</t>
  </si>
  <si>
    <t>DEF_KY_DME_HUMID_1</t>
  </si>
  <si>
    <t>DEF_GA_FS_PADL_MONOANTI_B</t>
  </si>
  <si>
    <r>
      <rPr>
        <rFont val="Calibri"/>
        <color rgb="FF000000"/>
        <sz val="9.0"/>
      </rPr>
      <t xml:space="preserve">PROC denial due to NOT PRESENT OTHER PROC with D-S INCL POS (1-KEY D-S; SAME DOS; XPROV) </t>
    </r>
    <r>
      <rPr>
        <rFont val="Calibri"/>
        <b/>
        <color rgb="FFFF0000"/>
        <sz val="9.0"/>
      </rPr>
      <t>(SAME CLAIM)</t>
    </r>
  </si>
  <si>
    <t>DEF_KS_BL_PETSCAN </t>
  </si>
  <si>
    <t>PROC denial due to NOT PRESENT PROV SPEC and-or PROV TYPE with INCL DX  </t>
  </si>
  <si>
    <t>DEF_NY_MH_TRANS_AMB_A</t>
  </si>
  <si>
    <t>DEF_GA_MH_PROF_PREVMED_FREQ_A</t>
  </si>
  <si>
    <t>DEF_GA_MH_PROF_OFFICE_EM</t>
  </si>
  <si>
    <t>DEF_CA_INJ_PAMIDRONATE_2</t>
  </si>
  <si>
    <t>DEF_CA_MH_HOSPC_PHYSREV</t>
  </si>
  <si>
    <t>DEF_WV_HOS_PH_DAY_3</t>
  </si>
  <si>
    <t>DEF_CA_INJ_PAMIDRONATE_5</t>
  </si>
  <si>
    <t>DEF_FL_OT_TX_VISIT_DAY</t>
  </si>
  <si>
    <t>DEF_GA_MH_POD_DEBVST</t>
  </si>
  <si>
    <t>DEF_GA_MH_DME_HSPBD_RNT_BD</t>
  </si>
  <si>
    <t>DEF_GA_MH_DME_NEB_ALTR_DX</t>
  </si>
  <si>
    <t>DEF_GA_MH_POD_OFFICE_EM_1</t>
  </si>
  <si>
    <t>DEF_GA_MH_POD_OFFICE_EM_2</t>
  </si>
  <si>
    <r>
      <rPr>
        <rFont val="Calibri"/>
        <color rgb="FF000000"/>
        <sz val="9.0"/>
      </rPr>
      <t>PROC GROUP denial due to FREQ with INCL AGE and PROV SPEC - Line Quantity (CALENDAR_YEAR; INCL SAME DOS; XPROV) (QTY&gt;1 and ADD LINE=N)</t>
    </r>
    <r>
      <rPr>
        <rFont val="Aptos"/>
        <color rgb="FF0F4761"/>
        <sz val="8.0"/>
      </rPr>
      <t> </t>
    </r>
  </si>
  <si>
    <t>DEF_KY_FS_VIS_FIT</t>
  </si>
  <si>
    <t>DEF_GA_MH_NRGFAC_SETUP</t>
  </si>
  <si>
    <t>PROC denial due to PRESENT BILL TYPE and PROV SPEC.</t>
  </si>
  <si>
    <t>DEF_GA_MH_NRGFAC_SBHLTH_I</t>
  </si>
  <si>
    <t>DEF_GA_MH_NRGFAC_SBHLTH_A</t>
  </si>
  <si>
    <t>DEF_GA_MH_ANP_OPSURG</t>
  </si>
  <si>
    <t>DEF_GA_ANP_ANES_MOD_2</t>
  </si>
  <si>
    <t>DEF_GA_ANP_TOC</t>
  </si>
  <si>
    <t>DEF_CA_SPCMNTLH_DAYTRMT_DAYRHB</t>
  </si>
  <si>
    <t>&lt;3</t>
  </si>
  <si>
    <t>DEF_CA_SPCMNTLH_DEPENDENT_CD_A</t>
  </si>
  <si>
    <t>DEF_AZ_NL_OP_END_4</t>
  </si>
  <si>
    <t xml:space="preserve">DEF_AZ_NL_EK_AGE_A </t>
  </si>
  <si>
    <t>DEF_GA_MH_PRTF_BH</t>
  </si>
  <si>
    <t>DEF_GA_MH_FQRHC_PREV_ADLT_D</t>
  </si>
  <si>
    <t>DEF_GA_MH_ILS_GONOSYPH</t>
  </si>
  <si>
    <t>DEF_GA_HOSP_DIALYSIS</t>
  </si>
  <si>
    <t>PROC denial due to NOT PRESENT DX with INCL BILL TYPE and INCL REVENUE CODE (ALL_FAC)</t>
  </si>
  <si>
    <t>DEF_TX_INDV_FAM_PSYCH</t>
  </si>
  <si>
    <t>DEF_GA_HOSP_PERICOUN</t>
  </si>
  <si>
    <t>INDIVIDUAL PROC denial due to FREQ with D-S INCL DX, REV CODE, and BILL TYPE - Line_Quantity (DAYS_RANGE; INCL SAME DOS; XPROV)(QTY PER PROC, ADD LINE=N)</t>
  </si>
  <si>
    <t>DEF_GA_MH_DS_TXRATE</t>
  </si>
  <si>
    <t>DEF_GA_MH_FRQHC_VIS_EM_FRQ</t>
  </si>
  <si>
    <t>DEF_GA_FS_PADL_VACADM_A_1</t>
  </si>
  <si>
    <t>DEF_GA_FS_PADL_VACADM_A_2</t>
  </si>
  <si>
    <t>DEF_GA_MH_DS_ESRDSERV</t>
  </si>
  <si>
    <t>PROC denial due to PRESENT OTHER PROC with D-S INCL POS and D-S INCL DX (1-KEY D-S; DAYS_RANGE INCL SAME DOS; XPROV)</t>
  </si>
  <si>
    <t>DEF_GA_ASC_IOL</t>
  </si>
  <si>
    <t>DEF_FL_DME_COWC_3</t>
  </si>
  <si>
    <t>DEF_KS_MH_PROF_POLY_SS_DX</t>
  </si>
  <si>
    <r>
      <rPr>
        <rFont val="Calibri"/>
        <color rgb="FF000000"/>
        <sz val="9.0"/>
      </rPr>
      <t xml:space="preserve">PROC denial due to NOT PRESENT DX on LINE_DIAG1 </t>
    </r>
    <r>
      <rPr>
        <rFont val="Calibri"/>
        <color rgb="FFFF0000"/>
        <sz val="9.0"/>
      </rPr>
      <t>OR</t>
    </r>
    <r>
      <rPr>
        <rFont val="Calibri"/>
        <color rgb="FF000000"/>
        <sz val="9.0"/>
      </rPr>
      <t xml:space="preserve"> NOT PRESENT DX on LINE_DIAG2 </t>
    </r>
  </si>
  <si>
    <t>DEF_NJ_NL_AHCAH</t>
  </si>
  <si>
    <t>DEF_KS_HOSP_SSPSG_2</t>
  </si>
  <si>
    <t>DEF_KS_HOSP_SSPSG_3</t>
  </si>
  <si>
    <t>DEF_AZ_BHS_HOMEPASS</t>
  </si>
  <si>
    <t>DEF_AZ_NL_MTRNL_DEP_2</t>
  </si>
  <si>
    <t>DEF_WV_SUDS_SUPP2</t>
  </si>
  <si>
    <t>DEF_KS_MH_PROF_POLY_SS_PRVDR</t>
  </si>
  <si>
    <t>WA</t>
  </si>
  <si>
    <t>DEF_WA_MH_HH_HOB_FRQ</t>
  </si>
  <si>
    <t>DEF_KS_HOSP_SSPSG</t>
  </si>
  <si>
    <t>DEF_WA_MH_HH_SPCTP_1</t>
  </si>
  <si>
    <t>DEF_WA_MH_HH_SPCTP_2</t>
  </si>
  <si>
    <t>INDIVIDUAL PROC denial due to FREQ with INCL AGE - Line_Quantity (CALENDAR_YEAR; INCL SAME DOS; XPROV)(QTY PER PROC, ADD LINE=N)</t>
  </si>
  <si>
    <t>DEF_WA_MH_HH_SWS_2</t>
  </si>
  <si>
    <t>DEF_WA_EPSDT_IHE_WCC</t>
  </si>
  <si>
    <t>PROC denial due to PRESENT OTHER PROC with Deny Line INCL DX and D-S INCL MOD (1-KEY D-S; SAME DOS; XPROV)</t>
  </si>
  <si>
    <t>DEF_WA_EN_NCOV_AGE</t>
  </si>
  <si>
    <t>DEF_WA_ABA_FREQ_DX_BT</t>
  </si>
  <si>
    <t>INDIVIDUAL PROC denial due to FREQ with D-S INCL BILL TYPE and D-S INCL DX - Line Quantity (CALENDAR_YEAR;INCL SAME DOS; XPROV)(QTY PER PROC, ADD LINE=N)</t>
  </si>
  <si>
    <t>DEF_WA_FS_HH_CANALITH</t>
  </si>
  <si>
    <t>DEF_WA_FS_HH_PTREEVAL</t>
  </si>
  <si>
    <t>DEF_WA_FS_HH_PTEVAL_LC</t>
  </si>
  <si>
    <t>DEF_WA_EPSDT_VAX_NFAC</t>
  </si>
  <si>
    <t>DEF_WA_ABA_EPA</t>
  </si>
  <si>
    <t>DEF_WA_EPSDT_IMMUN_B</t>
  </si>
  <si>
    <r>
      <rPr>
        <rFont val="Calibri"/>
        <color rgb="FF000000"/>
        <sz val="9.0"/>
      </rPr>
      <t xml:space="preserve">PROC denial due to NOT PRESENT OTHER PROC (1-KEY D-S; SAME DOS; XPROV) with INCL AGE </t>
    </r>
    <r>
      <rPr>
        <rFont val="Calibri"/>
        <b/>
        <color rgb="FFFF0000"/>
        <sz val="9.0"/>
      </rPr>
      <t>(SAME CLAIM)</t>
    </r>
  </si>
  <si>
    <t>DEF_WA_MH_NUTRI_THERPY_FREQ_B3</t>
  </si>
  <si>
    <t>DEF_WA_MH_NUTRI_THRPY_FREQ_B_1</t>
  </si>
  <si>
    <t>DEF_WA_MED_NUTRI_THRPY_EPA_NUM</t>
  </si>
  <si>
    <t>DEF_WA_MH_PROS_ORTH_C_1</t>
  </si>
  <si>
    <t>DEF_WA_MH_PROS_ORTH_I</t>
  </si>
  <si>
    <t>DEF_WA_MH_SUD_ACWITH</t>
  </si>
  <si>
    <t>DEF_WA_MH_NUTRI_THRPY_FREQ_A_2</t>
  </si>
  <si>
    <t>INDIVIDUAL PROC denial due to FREQ with D-S INCL POS, INCL DX and INCL AGE - Line Quantity (DAYS_RANGE; INCL SAME DOS; XPROV)(QTY PER PROC, ADD LINE=N)</t>
  </si>
  <si>
    <t>SC</t>
  </si>
  <si>
    <t>DEF_SC_MH_PEDIA_HH_MOD</t>
  </si>
  <si>
    <t>DEF_WA_MH_SUD_GRP_ADD</t>
  </si>
  <si>
    <r>
      <rPr>
        <rFont val="Calibri"/>
        <color rgb="FF000000"/>
        <sz val="9.0"/>
      </rPr>
      <t xml:space="preserve">PROC denial due to NOT PRESENT OTHER PROC with D-S INCL MOD (1-KEY D-S; SAME DOS; XPROV) </t>
    </r>
    <r>
      <rPr>
        <rFont val="Calibri"/>
        <b/>
        <color rgb="FFFF0000"/>
        <sz val="9.0"/>
      </rPr>
      <t>(SAME CLAIM)</t>
    </r>
  </si>
  <si>
    <t>DEF_WA_MH_NUTRI_THRPY_FREQ_B_2</t>
  </si>
  <si>
    <t>INDIVIDUAL PROC denial due to FREQ with D- S INCL POS, INCL DX and INCL AGE - Line Quantity (SAME DOS; XPROV)(QTY PER PROC, ADD LINE=N)</t>
  </si>
  <si>
    <t>DEF_WA_MH_NUTRI_THRPY_FREQ_B_3</t>
  </si>
  <si>
    <t>PROC GROUP denial due to FREQ with D-S INCL POS and INCL AGE - Line Quantity (CALENDAR_YEAR; INCL SAME DOS; XPROV)(QTY=1 and ADD LINE=N)</t>
  </si>
  <si>
    <t>DEF_WA_MH_NUTRI_THRPY_FREQ_B_4</t>
  </si>
  <si>
    <t>PROC GROUP denial due to FREQ with D-S INCL POS , INCL DX and INCL AGE - Line Quantity (CALENDAR_YEAR; INCL SAME DOS; XPROV)(QTY=1, ADD LINE=N) </t>
  </si>
  <si>
    <t>DEF_WA_MED_NUTRI_THRPY_EPA_DX</t>
  </si>
  <si>
    <t>DEF_WA_MH_HH_HHACNA_REV</t>
  </si>
  <si>
    <t>DEF_WA_FS_ASC_NON_COV_A</t>
  </si>
  <si>
    <t>DEF_WA_MH_NUTRI_THRPY_FREQ_A_1 </t>
  </si>
  <si>
    <t>INDIVIDUAL PROC denial due to FREQ with D-S INCL POS and INCL AGE - Line Quantity (DAYS_RANGE; INCL SAME DOS; XPROV)(QTY PER PROC, ADD LINE=N) </t>
  </si>
  <si>
    <t>DEF_WA_MH_DEP_FREQ</t>
  </si>
  <si>
    <t>PROC GROUP denial due to FREQ with D-S INCL POS OR INCL BILL TYPE - Line Quantity (CALENDAR_YEAR; INCL SAME DOS; XPROV)(QTY&gt;1 and ADD LINE=N)(ALL CLAIM TYPES)</t>
  </si>
  <si>
    <t>DEF_SC_MH_CS_AKI_A</t>
  </si>
  <si>
    <t>DEF_SC_FQHC_BEHAV_1</t>
  </si>
  <si>
    <t>DEF_SC_MH_ELECTROCOCHLEAR</t>
  </si>
  <si>
    <t xml:space="preserve">INDIVIDUAL PROC denial due to FREQ with INCL AGE and D-S INCL DX - Line Quantity (DAYS_RANGE; INCL SAME DOS; XPROV)(QTY PER PROC, ADD LINE=N) </t>
  </si>
  <si>
    <t>DEF _SC_MH_HEMT1</t>
  </si>
  <si>
    <t>PROC GROUP denial due to FREQ with D-S INCL DX and INCL AGE- Line_Quantity accumulation (DAYS_RANGE; INCL SAME DOS; XPROV)(QTY=1 and ADD LINE=N)</t>
  </si>
  <si>
    <t>DEF_WA_FS_ASC_COCH_DEV_A</t>
  </si>
  <si>
    <t>DEF_SC_MH_PHYS_PULSEOXI_MW_1</t>
  </si>
  <si>
    <t>DEF_SC_FQHC_SUP_ANC_PC</t>
  </si>
  <si>
    <t>DEF_SC_MH_ESP_DMSELI</t>
  </si>
  <si>
    <t>DEF_SC_MH_PXFP</t>
  </si>
  <si>
    <t>PROC denial due to NOT PRESENT MODIFIER with INCL DX and PROV SPEC</t>
  </si>
  <si>
    <t xml:space="preserve">DEF_SC_MH_SIGM_1 </t>
  </si>
  <si>
    <t>INDIVIDUAL PROC denial due to FREQ with INCL AGE and D-S EXCL DX - Line Quantity (DAYS_RANGE; INCL SAME DOS; XPROV)(QTY PER PROC, ADD LINE=N)</t>
  </si>
  <si>
    <t>DEF_SC_MH_HEMT_1</t>
  </si>
  <si>
    <t>PROC GROUP denial due to FREQ with D-S EXCL DX and D-S INCL AGE- Line_Quantity accumulation (DAYS_RANGE; INCL SAME DOS; XPROV)(QTY=1 and ADD LINE=N)</t>
  </si>
  <si>
    <t>DEF_WA_MH_PHY_EM_DDA_APE</t>
  </si>
  <si>
    <t>INDIVIDUAL PROC denial due to FREQ with D-S INCL MOD and D-S INCL DX - Line_Quantity (DAYS_RANGE; INCL SAME DOS; XPROV) (QTY PER PROC, ADD LINE=N)</t>
  </si>
  <si>
    <t>DEF_WA_MH_PHY_EM_NEW</t>
  </si>
  <si>
    <t>10733</t>
  </si>
  <si>
    <t>DEF_WA_MH_PHY_PRIDIAG</t>
  </si>
  <si>
    <t>DEF_WA_MH_PROS_ORTH_AA_3</t>
  </si>
  <si>
    <t>DEF_WA_EPSDT_VAX_FAC</t>
  </si>
  <si>
    <t>DEF_WA_PP_HEMOR</t>
  </si>
  <si>
    <t>DEF_WA_FS_MOUD_B</t>
  </si>
  <si>
    <t>PROC GROUP denial due to FREQ with D-S INCL DX and D-S INCL AUTH NUMBER - Line_Quantity accumulation (SAME DOS; XPROV)(QTY = 1; and ADD LINE=N)</t>
  </si>
  <si>
    <t>DEF_WA_MH_PROS_ORTH_U_1</t>
  </si>
  <si>
    <t>INDIVIDUAL PROC denial due to FREQ with INCL AGE and D-S INCL MOD and D-S INCL DX - Line_Quantity (DAYS_RANGE; INCL SAME DOS; XPROV) (QTY PER PROC, ADD LINE=N)</t>
  </si>
  <si>
    <t>DEF_WA_MH_PROS_ORTH_U_3</t>
  </si>
  <si>
    <t>DEF_WA_MH_PHY_ BMP_A_3</t>
  </si>
  <si>
    <t>PROC denial due to PRESENT OTHER PROC with EXCL SUPPORT DX (1-KEY D-S; SAME DOS; XPROV)</t>
  </si>
  <si>
    <t>DEF_WA_MH_MES_BRPUMP_A</t>
  </si>
  <si>
    <t>DEF_WA_MH_FQHC_UNDERLY</t>
  </si>
  <si>
    <r>
      <rPr>
        <rFont val="Calibri"/>
        <color rgb="FF000000"/>
        <sz val="9.0"/>
      </rPr>
      <t>PROC denial due to PRESENT OTHER PROC with INCL D-S POS (1-KEY D-S; SAME DOS; XPROV)</t>
    </r>
    <r>
      <rPr>
        <rFont val="Calibri"/>
        <color rgb="FFFF0000"/>
        <sz val="9.0"/>
      </rPr>
      <t xml:space="preserve"> </t>
    </r>
    <r>
      <rPr>
        <rFont val="Calibri"/>
        <b/>
        <color rgb="FFFF0000"/>
        <sz val="9.0"/>
      </rPr>
      <t>(SAME CLAIM)</t>
    </r>
  </si>
  <si>
    <t>DEF_WA_MH_FQHC_UNDBILL</t>
  </si>
  <si>
    <r>
      <rPr>
        <rFont val="Calibri"/>
        <color rgb="FF000000"/>
        <sz val="9.0"/>
      </rPr>
      <t>PROC denial due to NOT PRESENT OTHER PROC with D-S INCL POS and D-S INCL BILLED AMOUNT GT $0.00 (1-KEY D-S; SAME DOS; XPROV)</t>
    </r>
    <r>
      <rPr>
        <rFont val="Calibri"/>
        <color rgb="FFFF0000"/>
        <sz val="9.0"/>
      </rPr>
      <t xml:space="preserve"> </t>
    </r>
    <r>
      <rPr>
        <rFont val="Calibri"/>
        <b/>
        <color rgb="FFFF0000"/>
        <sz val="9.0"/>
      </rPr>
      <t>(SAME CLAIM)</t>
    </r>
  </si>
  <si>
    <t>DEF_WA_MH_CRT_WCPWR_B</t>
  </si>
  <si>
    <t>DEF_WA_MH_CRT_WC_ACC_FREQ</t>
  </si>
  <si>
    <t>DEF_WA_MH_CBE_COND</t>
  </si>
  <si>
    <t>DEF_WA_MH_IP_ROOM_CHARGE</t>
  </si>
  <si>
    <t>DEF_WA_MH_PDN_DLYHRS</t>
  </si>
  <si>
    <t>DEF_WA_MH_TH_SUD</t>
  </si>
  <si>
    <t>DEF_WA_MH_HAB_FREQ_N</t>
  </si>
  <si>
    <t>DEF_WA_MH_HAB_OT</t>
  </si>
  <si>
    <t>DEF_WA_MH_ORTHOD_SURG_A_2</t>
  </si>
  <si>
    <t>DEF_WA_MH_HITP_CGM_A</t>
  </si>
  <si>
    <t>INDIVIDUAL PROC denial due to FREQ with D-S INCL DX and D-S INCL AUTH NUMBER - Line_Quantity (DAYS_RANGE; INCL SAME DOS; XPROV)(QTY PER PROC; and ADD LINE=N)</t>
  </si>
  <si>
    <t>DEF_WA_MH_HITP_CGM_B</t>
  </si>
  <si>
    <t>INDIVIDUAL PROC denial due to FREQ with D-S INCL DX and D-S INCL AUTH NUMBER - Line Quantity (SAME DOS; XPROV)(QTY PER PROC, ADD LINE=N)</t>
  </si>
  <si>
    <t>DEF_WA_MH_HITP_CGM_D</t>
  </si>
  <si>
    <t>PROC denial due to PRESENT OTHER PROC with D-S INCL DX and  D-S INCL AUTH NUMBER (1-KEY D-S; SAME DOS; XPROV)</t>
  </si>
  <si>
    <t>DEF_WA_MH_OPR_OTPT_PROF_A</t>
  </si>
  <si>
    <t>DEF_WA_MH_OPR_OT_EPAREV</t>
  </si>
  <si>
    <t>DEF_WA_MH_MES_FQ_POS_1</t>
  </si>
  <si>
    <t>DEF_WA_MH_MES_FQ_POS_2</t>
  </si>
  <si>
    <t>DEF_WA_MH_MES_BR_MODSC</t>
  </si>
  <si>
    <t>DEF_WA_MH_IP_WTDRWLMGT_SVC_PDX</t>
  </si>
  <si>
    <t>DEF_WA_MH_MES_BR_A_1</t>
  </si>
  <si>
    <t>DEF_WA_MH_MES_BR_A_2</t>
  </si>
  <si>
    <t>DEF_WA_MH_MES_BR_B_1</t>
  </si>
  <si>
    <t>DEF_WA_FS_AOBH_B</t>
  </si>
  <si>
    <t>DEF_WA_FS_AOBH_C</t>
  </si>
  <si>
    <t>DEF_WA_MH_HEAR_CHLD_A</t>
  </si>
  <si>
    <t>DEF_WA_MH_HEAR_CHLD_B</t>
  </si>
  <si>
    <t>DEF_WA_MH_HEAR_CHLD_C</t>
  </si>
  <si>
    <t>DEF_WA_MH_HEAR_CHLD_NCOV</t>
  </si>
  <si>
    <t>DEF_WA_MH_OPH_XEPSU</t>
  </si>
  <si>
    <t>DEF_WA_MH_OPR_OTPT_FAC_A</t>
  </si>
  <si>
    <t>DEF_WA_FS_PHY_BONE_CONDUCT</t>
  </si>
  <si>
    <t>DEF_WA_MH_PRS_ANTE_EM</t>
  </si>
  <si>
    <t>PROC GROUP denial due to FREQ with D-S INCL MOD and D-S INCL DX - Line_Quantity (DAYS_RANGE; INCL SAME DOS; XPROV) (QTY &gt;1, ADD LINE=N)</t>
  </si>
  <si>
    <t>DEF_WA_MH_IP_BAR_SURG_AGE_A</t>
  </si>
  <si>
    <t>DEF_WA_WA_MES_MANPUMP</t>
  </si>
  <si>
    <t>DEF_WA_MH_OPH_OBS_EM</t>
  </si>
  <si>
    <t>DEF_WA_MH_TELE_ORIGIN_5</t>
  </si>
  <si>
    <t>DEF_WA_FS_OPPS_FREQ_C</t>
  </si>
  <si>
    <t>DEF_WA_FS_OPPS_FREQ_E</t>
  </si>
  <si>
    <t>INDIVIDUAL PROC denial due to FREQ with D-S INCL BILL TYPE and D-S INCL DX - Line Quantity (SAME DOS; XPROV)(QTY PER PROC, ADD LINE=N)(ALL_FAC)</t>
  </si>
  <si>
    <t>DEF_WA_MH_PRS_VD_MB</t>
  </si>
  <si>
    <t>PROC denial due to PRESENT OTHER PROC with D-S EXCL DX (2-KEY D-S; SAME DOS; XPROV)</t>
  </si>
  <si>
    <t>DEF_WA_EPSDT_VAX_B</t>
  </si>
  <si>
    <t>DEF_WA_MH_OPR_OTA_PROF_B</t>
  </si>
  <si>
    <t>DEF_WA_FS_OPPS_EPA_A_1</t>
  </si>
  <si>
    <t>DEF_WA_MH_HSPC_PPAAGE</t>
  </si>
  <si>
    <t>DEF_WA_FS_OPPS_EPA_A</t>
  </si>
  <si>
    <t>DEF_WA_FS_OPPS_FREQ_M</t>
  </si>
  <si>
    <t>DEF_IL_FS_HFS_THRPY_F</t>
  </si>
  <si>
    <t>DEF_WA_FS_OPPS_EPA_AP_1</t>
  </si>
  <si>
    <t>DEF_WA_MH_PHY_MAS_GYNE</t>
  </si>
  <si>
    <t>PROC denial due to NOT PRESENT DX with INCL AUTH NUMBER and INCL GENDER</t>
  </si>
  <si>
    <t>DEF_WA_MH_PHY_BR_RECON</t>
  </si>
  <si>
    <r>
      <rPr>
        <rFont val="Calibri"/>
        <color rgb="FF000000"/>
        <sz val="9.0"/>
      </rPr>
      <t xml:space="preserve">PROC denial due to NOT PRESENT DX1 (Line_Diag1) </t>
    </r>
    <r>
      <rPr>
        <rFont val="Calibri"/>
        <color rgb="FFFF0000"/>
        <sz val="9.0"/>
      </rPr>
      <t>AND</t>
    </r>
    <r>
      <rPr>
        <rFont val="Calibri"/>
        <color rgb="FF000000"/>
        <sz val="9.0"/>
      </rPr>
      <t xml:space="preserve"> NOT PRESENT DX2 (Line_Diag2)</t>
    </r>
  </si>
  <si>
    <t>DEF_WA_FS_HAID_RR</t>
  </si>
  <si>
    <t>DEF_WA_FS_PHY_CAST_LT</t>
  </si>
  <si>
    <t>DEF_FL_OT_HOSPATHOME</t>
  </si>
  <si>
    <t>DEF_WA_MH_SUD_INDTX_B</t>
  </si>
  <si>
    <t>DEF_WA_MH_PHY_COCH_B</t>
  </si>
  <si>
    <t>DEF_WA_MH_HEAR_CID_EPA_1</t>
  </si>
  <si>
    <t>DEF_WA_MH_HEAR_CID_EPA_2</t>
  </si>
  <si>
    <t>DEF_MI_FS_DOULA_TELEMEDPREPOST</t>
  </si>
  <si>
    <t>PROC denial due to NOT PRESENT DX on Line_DX1 or Claim_DX1 with INCL MOD</t>
  </si>
  <si>
    <t>DEF_WA_MH_CRT_WCPWR_A</t>
  </si>
  <si>
    <t>DEF_WA_MH_TH_MEDENC</t>
  </si>
  <si>
    <t>DEF_WA_MH_TH_MEDENC_A</t>
  </si>
  <si>
    <t>DEF_WA_MH_KCS_REVLB</t>
  </si>
  <si>
    <t>DEF_WA_MH_SUD_DS_NONPREG_A</t>
  </si>
  <si>
    <t>INDIVIDUAL PROC denial due to FREQ with D-S EXCL DX, D-S INCL MOD, and D-S INCL TAXONOMY - Line_Quantity (DAYS_RANGE; INCL SAME DOS; XPROV) (QTY per PROC and ADD LINE=N)</t>
  </si>
  <si>
    <t>DEF_WA_MH_SUD_DS_PREG_A</t>
  </si>
  <si>
    <t>INDIVIDUAL PROC denial due to FREQ with D-S INCL DX, D-S INCL MOD, D-S INCL TAXONOMY - Line_Quantity (DAYS_RANGE; INCL SAME DOS; XPROV) (QTY per PROC and ADD LINE=N)</t>
  </si>
  <si>
    <t>DEF_WA_MH_SUD_DS_RESIP_A</t>
  </si>
  <si>
    <t>DEF_WA_MH_SUD_PRGAMB_B</t>
  </si>
  <si>
    <t>DEF_WA_MH_OPR_OTAF_FAC</t>
  </si>
  <si>
    <t>DEF_WA_MH_OPR_OTA_FAC</t>
  </si>
  <si>
    <t>DEF_WA_MH_OPR_OTJ_PROF_A</t>
  </si>
  <si>
    <t>DEF_WA_MH_OPR_OTJ_FAC</t>
  </si>
  <si>
    <t>DEF_WA_MH_KCS_HCD_A</t>
  </si>
  <si>
    <t>DEF_WA_MH_HEAR_CHLD_RPR_1</t>
  </si>
  <si>
    <t>DEF_WA_MH_ABA_FRQ_BT</t>
  </si>
  <si>
    <t>DEF_WA_MH_ABA_BTDXEPA</t>
  </si>
  <si>
    <t>DEF_WA_MH_HEAR_HA_RPL_2</t>
  </si>
  <si>
    <t>DEF_WA_MH_HEAR_HA_RPL_3</t>
  </si>
  <si>
    <t>PROC denial due to NOT PRESENT AUTH NUM, with INCL AGE, INCL DX, INCL MOD, and INCL TAXONOMY</t>
  </si>
  <si>
    <t> </t>
  </si>
  <si>
    <t>DEF_WA_MH_HEAR_ADLT_A</t>
  </si>
  <si>
    <t>DEF_WA_MH_HEAR_ADLT_EPA_A</t>
  </si>
  <si>
    <t>DEF_WA_MH_LTAC_REV</t>
  </si>
  <si>
    <t>DEF_WA_MH_KSC_REV_E</t>
  </si>
  <si>
    <t>DEF_WA_FS_ASC_NON_COV</t>
  </si>
  <si>
    <t>DEF_WA_FS_ASC_BAR_ENEMA</t>
  </si>
  <si>
    <t>DEF_WA_MH_SBHS_ABATX</t>
  </si>
  <si>
    <t>DEF_WA_MH_SBHS_UNTIMED</t>
  </si>
  <si>
    <t>INDIVIDUAL PROC denial due to FREQ with D-S INCL TAXONOMY - Line_Quantity (SAME DOS; XPROV)(QTY PER PROC, ADD LINE=N)</t>
  </si>
  <si>
    <t>DEF_WA_MH_SBHS_ONEDX</t>
  </si>
  <si>
    <t>DEF_WA_MH_OPR_OTBH_PROF_A</t>
  </si>
  <si>
    <t>DEF_WA_MH_OPR_OTBH_FAC</t>
  </si>
  <si>
    <t>DEF_WA_MH_SBHS_TELE_SVC</t>
  </si>
  <si>
    <t>DEF_WA_MH_HEAR_ADLT_EPA_B1</t>
  </si>
  <si>
    <t>DEF_WA_MH_HEAR_NCOV</t>
  </si>
  <si>
    <t>DEF_WA_MH_PHY_PNTL_GENE_CNSL_2</t>
  </si>
  <si>
    <t>DEF_WA_MH_TRH_SKIN_GRAFT_A</t>
  </si>
  <si>
    <t>PROC denial due to NOT PRESENT DX (Line_Diag1 or Claim_Diag1) with INCL AUTH NUMBER and AGE</t>
  </si>
  <si>
    <t>DEF_WA_MH_OPR_STA_PROF_A</t>
  </si>
  <si>
    <t>PROC denial due to NOT PRESENT AUTH NUM with INCL Age, INCL MOD, and INCL DX</t>
  </si>
  <si>
    <t>DEF_WA_MH_PHY_PNTL_GENE_CNSL_1</t>
  </si>
  <si>
    <t>DEF_WA_MH_OPR_STA_FAC</t>
  </si>
  <si>
    <t>PROC denial due to NOT PRESENT AUTH NUM with INCL Age, INCL MOD, INCL DX, INCL REV Code, and INCL Bill Type (ALL_FAC)</t>
  </si>
  <si>
    <t>DEF_WA_MH_TRH_SKIN_GRAFT_E</t>
  </si>
  <si>
    <t>DEF_WA_MH_PHY_PNTL_GENE_CNSL_3</t>
  </si>
  <si>
    <t>DEF_WA_MH_COVID_DXNEW</t>
  </si>
  <si>
    <t>DEF_WA_MH_TRH_SKIN_GRAFT_B</t>
  </si>
  <si>
    <t>DEF_WA_MH_FQHC_LIMIT_A</t>
  </si>
  <si>
    <t>DEF_WA_MH_TRH_MAST_MAMO_C</t>
  </si>
  <si>
    <t>DEF_WA_MH_TH_MC_A_2</t>
  </si>
  <si>
    <t>PROC denial due to PRESENT OTHER PROC with DENY INCL MOD1 and SUPPORT INCL MOD2, D-S INCL POS and D-S INCL TAXONOMY (1-KEY D-S; SAME DAY; XPROV)</t>
  </si>
  <si>
    <t>DEF_WA_MH_HEAR_ADLT_EPA_B2</t>
  </si>
  <si>
    <t>DEF_WA_MH_SUD_INDTX_A</t>
  </si>
  <si>
    <t>DEF_WA_MH_HEAR_ADLT_B</t>
  </si>
  <si>
    <t>DEF_WA_FS_KCS_AGEA</t>
  </si>
  <si>
    <t>DEF_WA_MH_TRH_MAST_MAMO_B</t>
  </si>
  <si>
    <t>DEF_WA_MH_MHS_PDE_HC_FREQ</t>
  </si>
  <si>
    <t>INDIVIDUAL PROC denial due to FREQ with D-S INCL POS and INCL AGE - Line Quantity (CALENDAR_YEAR; INCL SAME DOS; SAME PROV)  (QTY per PROC; ADD LINE=N)</t>
  </si>
  <si>
    <t>DEF_WA_MH_KCS_CPD_A</t>
  </si>
  <si>
    <t>DEF_WA_MH_SUD_PRGAMB_A</t>
  </si>
  <si>
    <t xml:space="preserve">PROC denial due to NOT PRESENT DX with INCL PROV SPEC, INCL PRIMARY MOD </t>
  </si>
  <si>
    <t>DEF_WA_FS_PHY_GLOBAL_EPA_F</t>
  </si>
  <si>
    <t>DEF_WA_MH_PHY_ DRG_EPA</t>
  </si>
  <si>
    <t>PROC denial due to NOT PRESENT DX with INCL AUTH NUMBER (ALL_FAC)</t>
  </si>
  <si>
    <t>DEF_WA_MH_TH_ME_A_1</t>
  </si>
  <si>
    <t>DEF_WA_MH_MHS_SMHP_TG</t>
  </si>
  <si>
    <t>DEF_WA_MH_MHS_NJ_A_1</t>
  </si>
  <si>
    <t>DEF_WA_MH_MHS_IBHTF_AGE</t>
  </si>
  <si>
    <t>DEF_WA_MH_MHS_IPC_EPA_REQ</t>
  </si>
  <si>
    <t>DEF_WA_MH_MHS_PDE_FREQ_1</t>
  </si>
  <si>
    <t>DEF_WA_MH_MHS_PDE_MGHAYC_1</t>
  </si>
  <si>
    <t>DEF_WA_MH_MHS_NJ_A_2</t>
  </si>
  <si>
    <t>DEF_WA_MH_MHS_SMHP_U8TG</t>
  </si>
  <si>
    <t>DEF_WA_MH_MHS_PEER_SER</t>
  </si>
  <si>
    <t>DEF_WA_MH_MHS_SMHP_IE_FREQ</t>
  </si>
  <si>
    <t>DEF_WA_MH_VIS_EYEGLAS_FL_FREQ</t>
  </si>
  <si>
    <t>DEF_WA_MH_PHY_GRFT_EPA_ALLO</t>
  </si>
  <si>
    <t>PROC denial due to PRESENT AUTH NUM and NOT PRESENT DX and INCL PROV SPEC</t>
  </si>
  <si>
    <t>DEF_WA_MH_PHY_LAB_EPA_IBMFS_3</t>
  </si>
  <si>
    <t>DEF_WA_MH_PHY_SBIRT_SESS</t>
  </si>
  <si>
    <t>INDIVIDUAL PROC denial due to FREQ with D-S INCL DX - Line Quantity (CALENDAR_YEAR;INCL SAME DOS; SAME PROV)(QTY PER PROC, ADD LINE=N)</t>
  </si>
  <si>
    <t>DEF_WA_MH_MHS_IRT_2</t>
  </si>
  <si>
    <t>DEF_WA_MH_MHS_IPHID_AGE</t>
  </si>
  <si>
    <t>DEF_WA_MH_MHS_HCS_BT_REQ</t>
  </si>
  <si>
    <t>DEF_WA_MH_RHC_HOSP_SRVC_A_2</t>
  </si>
  <si>
    <t>DEF_WA_MH_RHC_COC_A_2</t>
  </si>
  <si>
    <t>DEF_WA_FS_MHS_DEVSRCN_1</t>
  </si>
  <si>
    <t>DEF_WA_MH_MHS_FI_3</t>
  </si>
  <si>
    <t>DEF_NJ_NL_MAT_1</t>
  </si>
  <si>
    <t>DEF_WA_MH_MHS_IRT_PS_2</t>
  </si>
  <si>
    <t>DEF_WA_MH_MHS_PEER_SER_PS</t>
  </si>
  <si>
    <t>DEF_WA_MH_MHS_SMHP_IE_FREQ_PS</t>
  </si>
  <si>
    <t>DEF_WA_MH_MHS_FI_PS_2</t>
  </si>
  <si>
    <t>DEF_WA_MH_MHS_HCS_BT_REQ_PS</t>
  </si>
  <si>
    <t>DEF_WA_MH_MHS_FI_PS_3</t>
  </si>
  <si>
    <t>DEF_WA_MH_STRLZN_AGE</t>
  </si>
  <si>
    <t>DEF_WA_MH_MHS_SMHP_U8TG_PS</t>
  </si>
  <si>
    <t>DEF_WA_MH_PHY_STRABISMUS_SURG</t>
  </si>
  <si>
    <t>DEF_WA_MH_PHY_CORNEAL_TOPO_2</t>
  </si>
  <si>
    <t>DEF_NY_OT_G1354_1</t>
  </si>
  <si>
    <t>PROC denial due to PRESENT AGE with PRESENT DX1 and PRESENT DX2</t>
  </si>
  <si>
    <t>DEF_WA_MH_OPH_ST_RVMD_C</t>
  </si>
  <si>
    <t>DEF_WA_MH_PHY_HYPRBRIC_OXY_B_2</t>
  </si>
  <si>
    <t>DEF_WA_MH_OPR_OTPT_PROF_E</t>
  </si>
  <si>
    <t>DEF_WA_MH_PHY_VNSB_2</t>
  </si>
  <si>
    <t>DEF_WA_MH_PHY_HYPRBRIC_OXY_B_1</t>
  </si>
  <si>
    <t>DEF_WA_MH_PHY_STENT_A</t>
  </si>
  <si>
    <t>DEF_WA_MH_PHY_OPHT_IMG_RETNA_1</t>
  </si>
  <si>
    <t>DEF_WA_FS_PHY_LFTME_EPA_A</t>
  </si>
  <si>
    <t>DEF_WA_MH_MHS_SMHP_TG_PS</t>
  </si>
  <si>
    <t>DEF_WA_FS_PHY_GLOBAL_EPA_A</t>
  </si>
  <si>
    <t>DEF_WA_MH_OPR_OTJ_PROF_PS</t>
  </si>
  <si>
    <t>PROC denial due to NOT PRESENT AUTH NUMBER with INCL AGE, INCL DX, INCL  MOD, and INCL PROV SPEC</t>
  </si>
  <si>
    <t>DEF_WA_MH_OPR_OTJ_FAC_PS</t>
  </si>
  <si>
    <t>PROC denial due to NOT PRESENT AUTH NUMBER with INCL AGE, INCL DX, INCL MOD, INCL REV CODE, INCL BILL TYPE, INCL PROV SPEC (ALL_FAC)</t>
  </si>
  <si>
    <t>DEF_WA_MH_PHY_TSTSTRONE_TEST_1</t>
  </si>
  <si>
    <t xml:space="preserve">DEF_WA_FS_SUD_CASEMGT </t>
  </si>
  <si>
    <t>INDIVIDUAL PROC denial due to FREQ with D-S INCL MOD and D-S INCL DX - Line Quantity (SAME DOS; XPROV)(QTY PER PROC and ADD LINE=N)</t>
  </si>
  <si>
    <t>10951</t>
  </si>
  <si>
    <t>DEF_WA_MH_PHY_SI_FSN</t>
  </si>
  <si>
    <r>
      <rPr>
        <rFont val="Calibri"/>
        <color rgb="FF000000"/>
        <sz val="9.0"/>
      </rPr>
      <t xml:space="preserve">PROC denial due to PRESENT DX1 (Line_Diag1) </t>
    </r>
    <r>
      <rPr>
        <rFont val="Calibri"/>
        <color rgb="FFFF0000"/>
        <sz val="9.0"/>
      </rPr>
      <t>AND</t>
    </r>
    <r>
      <rPr>
        <rFont val="Calibri"/>
        <color rgb="FF000000"/>
        <sz val="9.0"/>
      </rPr>
      <t xml:space="preserve"> PRESENT DX2 (Line_Diag2) with INCL AGE</t>
    </r>
  </si>
  <si>
    <t>GROUP PROC denial due to FREQ with D-S INCL DX - Line_Quantity accumulation (SAME DOS; XPROV)(QTY=1 and ADD LINE=N)</t>
  </si>
  <si>
    <t>DEF_WA_MH_PHY_SCR_MAMMO</t>
  </si>
  <si>
    <t>DEF_WA_MH_PHY_MRI_BR</t>
  </si>
  <si>
    <t>PROC denial due to PRESENT OTHER PROC with D-S INCL DX1 and D-S INCL DX2 (1-KEY D-S; DAYS RANGE; INCL SAME DOS; XPROV)</t>
  </si>
  <si>
    <t>DEF_WA_MH_PHY_GRP_CLNCL_VSIT_2</t>
  </si>
  <si>
    <t>DEF_WA_MH_PHY_UTZ_AAA_2</t>
  </si>
  <si>
    <t>DEF_SC_MH_PHYS_CC</t>
  </si>
  <si>
    <t>DEF_WA_MH_PHY_GRP_TXY</t>
  </si>
  <si>
    <r>
      <rPr>
        <rFont val="Calibri"/>
        <color rgb="FF000000"/>
        <sz val="9.0"/>
      </rPr>
      <t xml:space="preserve">PROC denial due to NOT PRESENT OTHER PROC with D-S INCL TAXONOMY (1-KEY D-S; SAME DOS; XPROV) </t>
    </r>
    <r>
      <rPr>
        <rFont val="Calibri"/>
        <color rgb="FFFF0000"/>
        <sz val="9.0"/>
      </rPr>
      <t>(SAME CLAIM)</t>
    </r>
  </si>
  <si>
    <t>DEF_WA_MH_RESP_NEBACC</t>
  </si>
  <si>
    <r>
      <rPr>
        <rFont val="Calibri"/>
        <color rgb="FF000000"/>
        <sz val="9.0"/>
      </rPr>
      <t>PROC denial due to NOT PRESENT OTHER PROC with DENY INCL MOD (1-KEY D-S; SAME DOS; XPROV)</t>
    </r>
    <r>
      <rPr>
        <rFont val="Calibri"/>
        <color rgb="FFFF0000"/>
        <sz val="9.0"/>
      </rPr>
      <t xml:space="preserve"> (SAME CLAIM)</t>
    </r>
  </si>
  <si>
    <t>DEF_WA_MH_PHY_GRP_CLNCL_VSIT_4</t>
  </si>
  <si>
    <t>DEF_WA_MH_PHY_SUD_FRQ_PS</t>
  </si>
  <si>
    <t>10963</t>
  </si>
  <si>
    <t>DEF_SC_MH_DERMA</t>
  </si>
  <si>
    <t>DEF_WA_MH_PHY_TRANSPLANT</t>
  </si>
  <si>
    <t>INDIVIDUAL PROC denial due to FREQ with D-S EXCL DX - Line Quantity (CALENDAR_YEAR;INCL SAME DOS; SAME PROV)(QTY PER PROC, ADD LINE=N)</t>
  </si>
  <si>
    <t>DEF_WA_MH_PHY_GRP_PS</t>
  </si>
  <si>
    <r>
      <rPr>
        <rFont val="Calibri"/>
        <color rgb="FF000000"/>
        <sz val="9.0"/>
      </rPr>
      <t>PROC denial due to NOT PRESENT OTHER PROC with D-S INCL PROV SPEC (1-KEY D-S; SAME DOS; XPROV)</t>
    </r>
    <r>
      <rPr>
        <rFont val="Calibri"/>
        <color rgb="FFFF0000"/>
        <sz val="9.0"/>
      </rPr>
      <t xml:space="preserve"> (SAME CLAIM)</t>
    </r>
  </si>
  <si>
    <t>DEF_WA_MH_PHY_OB_UTZ_A</t>
  </si>
  <si>
    <t>DEF_PA_PHYFS_AGE_U_6</t>
  </si>
  <si>
    <t>DEF_CA_DME_PURCH_RENT_B</t>
  </si>
  <si>
    <t>MS</t>
  </si>
  <si>
    <t>DEF_MS_MH_PHY_CMT_3</t>
  </si>
  <si>
    <t>PROC denial due to NOT PRESENT OTHER PROC with SUPPORT LINE EXCL DX with INCL AGE (1-KEY D-S; DAYS BEFORE, INCL SAME DOS; XPROV)</t>
  </si>
  <si>
    <t>DEF_MS_MH_LS_VENI</t>
  </si>
  <si>
    <t>DEF_MS_MH_PHY_CMT_4</t>
  </si>
  <si>
    <t>DEF_MS_MH_ILTC_PWCHR</t>
  </si>
  <si>
    <t>DEF_MS_MH_ILTC_PWCHR_INC</t>
  </si>
  <si>
    <t xml:space="preserve">DEF_WA_OT_CNTCLNS
</t>
  </si>
  <si>
    <t>PROC GROUP denial due to FREQ with D-S INCL DX - Line_Quantity accumulation (SAME DOS; XPROV)(QTY=1 and ADD LINE=N) (SAME CLAIM)</t>
  </si>
  <si>
    <t>DEF_NJ_NL_MCORT_FREQ</t>
  </si>
  <si>
    <t>UT</t>
  </si>
  <si>
    <t>DEF_UT_MH_PHY_DGM_PREG</t>
  </si>
  <si>
    <t>PROC denial due to PRESENT OTHER PROC with D-S INCL DX (1-KEY D-S; SAME DOS; XPROV)</t>
  </si>
  <si>
    <t>DEF_PA_BL_FINGORTH_FA</t>
  </si>
  <si>
    <t>DEF_FL_IMM_RSV</t>
  </si>
  <si>
    <t>DEF_MS_MH_MS_SBIRPG</t>
  </si>
  <si>
    <t>PROC GROUP denial due to FREQ with D-S INCL PROV SPEC and  D-S INCL DX - Line Quantity (DAYS_RANGE; INCL SAME DOS; XPROV) (QTY=1 and ADD LINE=N)</t>
  </si>
  <si>
    <t>DEF_WA_MH_OPREHAB_TRAIN</t>
  </si>
  <si>
    <t>DEF_WA_OT_BSCTEMS</t>
  </si>
  <si>
    <t>DEF_KS_BL_EDC_A_1</t>
  </si>
  <si>
    <t>INDIVIDUAL PROC denial due to FREQ with D-S INCL DX, D-S INCL PROV SPEC and D-S INCL PROV TYPE - Line Quantity (SAME DOS; XPROV)(QTY PER PROC, ADD LINE=N)</t>
  </si>
  <si>
    <t>DEF_KS_BL_EDC_A_2</t>
  </si>
  <si>
    <t>INDIVIDUAL PROC denial due to FREQ with D-S INCL DX, D-S INCL PROV SPEC and D-S INCL PROV TYPE - Line Quantity (DAYS_RANGE; INCL SAME DOS; XPROV)(QTY PER PROC, ADD LINE=N)</t>
  </si>
  <si>
    <t>DEF_KS_BL_EDC_IOP</t>
  </si>
  <si>
    <t xml:space="preserve">PROC denial due to PRESENT OTHER PROC with SUPPORT INCL DX, PROV TYPE, and PROV SPEC (1-KEY D-S; SAME DOS; XPROV) </t>
  </si>
  <si>
    <t>DEF_SC_MH_X_INACT_FEM</t>
  </si>
  <si>
    <t>DEF_CA_MH_MODIF33</t>
  </si>
  <si>
    <t>NV</t>
  </si>
  <si>
    <t>DEF_NV_MH_STRLZN_CC_BT</t>
  </si>
  <si>
    <t>DEF_WA_FS_PHYH_MOD93_B_1</t>
  </si>
  <si>
    <t>DEF_UT_FS_PHY_ORCHIECTOMY_A</t>
  </si>
  <si>
    <t>DEF_NV_MH_RT_FREQ</t>
  </si>
  <si>
    <t>DEF_NV_MH_OTA_1</t>
  </si>
  <si>
    <t>DEF_NV_MH_OTA_3</t>
  </si>
  <si>
    <t>DEF_NV_MH_OTA_2</t>
  </si>
  <si>
    <t>DEF_NV_MH_ST_FQNPA2</t>
  </si>
  <si>
    <t>DEF_UT_FS_PHY_GUID_RAD_TX</t>
  </si>
  <si>
    <t>DEF_SC_MH_PHYS_FP_PRCS_2</t>
  </si>
  <si>
    <t>DEF_UT_FS_PHY_FREQ_D</t>
  </si>
  <si>
    <t>DEF_UT_FS_PHY_TELE_CNSLT</t>
  </si>
  <si>
    <t>DEF_NV_MH_HOS_FSBC_DX</t>
  </si>
  <si>
    <t>DEF_UT_MH_SPCHTHRY_FREQ</t>
  </si>
  <si>
    <t>INDIVIDUAL PROC denial due to FREQ with D-S INCL DX and D-S INCL PROV TYPE - Line Quantity (DAYS_RANGE; INCL SAME DOS; XPROV)(QTY PER PROC, ADD LINE=N)</t>
  </si>
  <si>
    <t>PROC denial due to PRESENT OTHER PROC with D-S INCL DX and D-S INCL PROV TYPE (1-KEY D-S; SAME DOS; XPROV)</t>
  </si>
  <si>
    <t>DEF_UT_MH_PHY_EM_NUTRI_CNSL</t>
  </si>
  <si>
    <t>DEF_UT_MH_PHY_GENDR_DYSPHRIA_2</t>
  </si>
  <si>
    <t>PROC denial due to AGE and PRESENT PROV TYPE and PRESENT DX</t>
  </si>
  <si>
    <t>DEF_NV_MH_CSM_FREQ_A</t>
  </si>
  <si>
    <t>DEF_NV_MH_IHS_FREQ</t>
  </si>
  <si>
    <t>DEF_NV_MH_DAYHAB_PXDX</t>
  </si>
  <si>
    <t>PROC denial due to NOT PRESENT DX with INCL PROV TYPE and INCL PROV SPEC.</t>
  </si>
  <si>
    <t>DEF_WA_MH_PHY_REHAB_THRP_A</t>
  </si>
  <si>
    <t>DEF_UT_MH_HOSP_TREAT_DAD</t>
  </si>
  <si>
    <t>DEF_NV_MH_ADDON_FREQ</t>
  </si>
  <si>
    <t>DEF_UT_FS_PHY_FREQ_F</t>
  </si>
  <si>
    <t>INDIVIDUAL PROC denial due to FREQ with D-S EXCL DX and D-S INCL PROV TYPE - Line Quantity (DAYS_RANGE; INCL SAME DOS; XPROV)(QTY PER PROC, ADD LINE=N)</t>
  </si>
  <si>
    <t>DEF_NV_MH_CSC_IRCSSHT_CIMHSD</t>
  </si>
  <si>
    <t>DEF_NV_MH_DMEPOS_INCON_A</t>
  </si>
  <si>
    <t xml:space="preserve">DEV_NV_MH_LARC_DRGIMPLANT </t>
  </si>
  <si>
    <t>ID</t>
  </si>
  <si>
    <t>DEF_ID_MH_NF_LOA</t>
  </si>
  <si>
    <t>DEF_ID_MH_LTCFAC_ACP</t>
  </si>
  <si>
    <t xml:space="preserve">DEF_NV_FS_PT29_HH
</t>
  </si>
  <si>
    <t>DEF_ID_MH_HOSP_CR_1</t>
  </si>
  <si>
    <t xml:space="preserve">DEF_NV_MH_PT19_NURFAC_LOA </t>
  </si>
  <si>
    <t>DEF_ID_MH_MED_ALBUMN_RPLACE_2</t>
  </si>
  <si>
    <t>DEF_NV_FS_DMEPOS_MODS</t>
  </si>
  <si>
    <t>DEF_ID_MH_HOSP_THRPY_PTA_2</t>
  </si>
  <si>
    <t>DEF_ID_MH_LTCFAC_ACPCRI</t>
  </si>
  <si>
    <t>DEF_ID_MH_MED_ALBUMN_RPLACE_3</t>
  </si>
  <si>
    <t>DEF_ID_MH_GENBILL_MOD51</t>
  </si>
  <si>
    <t>DEF_ID_MH_HOSP_HAC_3</t>
  </si>
  <si>
    <r>
      <rPr>
        <rFont val="Calibri"/>
        <color rgb="FF000000"/>
        <sz val="9.0"/>
      </rPr>
      <t>Claim Denial due to PRESENT BILL TYPE and PRESENT DX</t>
    </r>
    <r>
      <rPr>
        <rFont val="Calibri"/>
        <color rgb="FFFF0000"/>
        <sz val="9.0"/>
      </rPr>
      <t xml:space="preserve"> (AnyClaimDx_FAC)</t>
    </r>
  </si>
  <si>
    <t>DEF_NV_MH_CSC_CRISISINTER</t>
  </si>
  <si>
    <r>
      <rPr>
        <rFont val="Calibri"/>
        <color rgb="FF000000"/>
        <sz val="9.0"/>
      </rPr>
      <t xml:space="preserve">PROC denial due to NOT PRESENT OTHER PROC with D-S INCL PROV SPEC AND D-S INCL PROV TYPE (1-KEY D-S; SAME DOS; XPROV) </t>
    </r>
    <r>
      <rPr>
        <rFont val="Calibri"/>
        <color rgb="FFFF0000"/>
        <sz val="9.0"/>
      </rPr>
      <t>(SAME CLAIM)</t>
    </r>
  </si>
  <si>
    <t>DEF_ID_MH_HOSP_RC_CAH</t>
  </si>
  <si>
    <t>DEF_NV_MH_CSC_IRCSS_FRQ</t>
  </si>
  <si>
    <t>DEF_NV_MH_OUD_MAT_MOD_DX</t>
  </si>
  <si>
    <t>DEF_NV_MH_OPT_OUD_MOUD</t>
  </si>
  <si>
    <t>DEF_ID_MH_RHC_ENC_FREQ</t>
  </si>
  <si>
    <t xml:space="preserve">DEF_NV_MH_PT82_BHRT_MENASSMNT </t>
  </si>
  <si>
    <t>DEF_MA_BL_BHWE_A</t>
  </si>
  <si>
    <t>WI</t>
  </si>
  <si>
    <t>DEF_WI_MH_OSA_SATP_POS_MODA</t>
  </si>
  <si>
    <t>PROC denial due to NOT PRESENT MOD with INCL POS and INCL DX.</t>
  </si>
  <si>
    <t>DEF_WI_MH_BTBP_TH_MOD</t>
  </si>
  <si>
    <t>DEF_WI_FS_CRT_FREQ_G</t>
  </si>
  <si>
    <t>DEF_ID_MH_HOSP_HBOT_FREQ</t>
  </si>
  <si>
    <t>DEF_NY_OT_SDED_DXINP</t>
  </si>
  <si>
    <t>DEF_ID_MH_DMEPOS_QPP_1Y_B1</t>
  </si>
  <si>
    <t>DEF_ID_MH_CMT_3</t>
  </si>
  <si>
    <t>PROC denial due to NOT PRESENT DX on LINE_DIAG1 or LINE_CLAIM1 with INCL POS</t>
  </si>
  <si>
    <t>DEF_NV_MH_LARC_FREQ_OP_A</t>
  </si>
  <si>
    <t>DEF_ID_MH_DMEPOS_CPM_1</t>
  </si>
  <si>
    <t>DEF_ID_MH_HOSP_RC_MAMMO</t>
  </si>
  <si>
    <t>DEF_WI_FS_ORTHO_RYEAR_A_1</t>
  </si>
  <si>
    <t>DEF_NV_MH_MDSUP2</t>
  </si>
  <si>
    <t>DEF_ID_MH_DMEPOS_BP_2</t>
  </si>
  <si>
    <t>DEF_NV_MH_PHY_BG_FM_UTZ_B1</t>
  </si>
  <si>
    <t>DEF_ID_MH_DMEPOS_AAG_1_1Y_B</t>
  </si>
  <si>
    <t>DEF_ID_MH_DMEPOS_AAG_1_1Y_A1</t>
  </si>
  <si>
    <t>DEF_WI_FS_HHDME_FREQ_AY_1</t>
  </si>
  <si>
    <t xml:space="preserve">DEF_WI_MH_RSUD_MOD </t>
  </si>
  <si>
    <t>DEF_NV_NL_ANTEPARTUM_FREQ</t>
  </si>
  <si>
    <t>DEF_WI_MH_SBS_PT_MOD_D</t>
  </si>
  <si>
    <t>DEF_NV_NL_BHS_MOD</t>
  </si>
  <si>
    <t>PROC denial due to PRESENT MOD with INCL PROV TYPE and PROV SPEC</t>
  </si>
  <si>
    <t>DEF_WA_MH_RHC_COC_A_1</t>
  </si>
  <si>
    <t>DEF_MPOH_CARD_HEMODY_POS</t>
  </si>
  <si>
    <t>DEF_SURGERY_POS_ER_OUTPT_FAC</t>
  </si>
  <si>
    <t>PROC denial due to PRESENT OTHER PROC with D-S INCL BILL TYPE and D-S INCL REV (1-KEY D-S, SAME DOS, PROV_ID)</t>
  </si>
  <si>
    <t>DEF_DIS_STAT_MIS</t>
  </si>
  <si>
    <t>Claim denial due to PRESENT BILL TYPE and PRESENT DISCHARGE STATUS</t>
  </si>
  <si>
    <t>DEF_EM_MOD27_EM_HX</t>
  </si>
  <si>
    <t>PROC denial due to NOT PRESENT OTHER PROC with DENY INCL MOD (1-KEY D-S; SAME DOS; XPROV)(OUTPAT_FAC)</t>
  </si>
  <si>
    <t>DEF_NV_NL_OFFISVIS_ROLLMO</t>
  </si>
  <si>
    <r>
      <rPr>
        <rFont val="Calibri"/>
        <color rgb="FF000000"/>
        <sz val="9.0"/>
      </rPr>
      <t xml:space="preserve">INDIVIDUAL PROC denial due to FREQ with D-S INCL PROV TYPE and PROV SPEC and D-S EXCL MOD </t>
    </r>
    <r>
      <rPr>
        <rFont val="Calibri"/>
        <color rgb="FFFF0000"/>
        <sz val="9.0"/>
      </rPr>
      <t>OR</t>
    </r>
    <r>
      <rPr>
        <rFont val="Calibri"/>
        <color rgb="FF000000"/>
        <sz val="9.0"/>
      </rPr>
      <t xml:space="preserve"> D-S EXCL DX - Line Quantity (DAYS_RANGE; INCL SAME DOS; XPROV) (QTY PER PROC and ADD LINE=N)</t>
    </r>
  </si>
  <si>
    <t>DEF_WI_MH_RHC_CTP_PC_FAC</t>
  </si>
  <si>
    <t>PROC denial due to NOT PRESENT OTHER PROC (2-KEY D-S; SAME DOS, XPROV) (ALL_FAC)</t>
  </si>
  <si>
    <t>DEF_NV_NL_DME_MOD_RBRRMS_1</t>
  </si>
  <si>
    <t>PROC (NOT_NULL) denial due to PRESENT MOD1 and PRESENT MOD2 with INCL PROV TYPE</t>
  </si>
  <si>
    <t>NM</t>
  </si>
  <si>
    <t>DEF_NM_MH_BHS_TFC</t>
  </si>
  <si>
    <t>PROV TYPE denial due to NOT PRESENT PROC</t>
  </si>
  <si>
    <t>DEF_NV_NL_DME_MOD_RBRRMS_3</t>
  </si>
  <si>
    <r>
      <rPr>
        <rFont val="Calibri"/>
        <color theme="1"/>
        <sz val="9.0"/>
      </rPr>
      <t xml:space="preserve">PROC (NOT_NULL) denial due to PRESENT </t>
    </r>
    <r>
      <rPr>
        <rFont val="Calibri"/>
        <color rgb="FFFF0000"/>
        <sz val="9.0"/>
      </rPr>
      <t>SAME</t>
    </r>
    <r>
      <rPr>
        <rFont val="Calibri"/>
        <color theme="1"/>
        <sz val="9.0"/>
      </rPr>
      <t xml:space="preserve"> PROC with D-S INCL MOD and D-S PROV TYPE (VALUE D-S, DAYS_RANGE,INCL SAME DOS, XPROV)</t>
    </r>
  </si>
  <si>
    <t>NE</t>
  </si>
  <si>
    <t>DEF_NE_MH_HOSP_HAC_POA</t>
  </si>
  <si>
    <t>Claim denial due to PRESENT BILL TYPE, PRESENT DX, and PRESENT POA</t>
  </si>
  <si>
    <t>DEF_NV_MH_IP_PICU_AGE</t>
  </si>
  <si>
    <t>REV CODE denial due to PRESENT AGE with INCL PROV TYPE</t>
  </si>
  <si>
    <t>DEF_NE_FS_DME_CF_DX</t>
  </si>
  <si>
    <t>PROC denial due to NOT PRESENT OTHER PROC with INCL SUPPORT DX (1-KEY D-S;SAME DOS;XPROV)</t>
  </si>
  <si>
    <t>DEF_NV_MH_PT22_LIFEFREQ</t>
  </si>
  <si>
    <t>INDIVIDUAL PROC denial due to FREQ with D-S INCL MOD, PROV SPEC, and PROV TYPE- Line Quantity (DAYS_RANGE; INCL SAME DOS; XPROV)(QTY PER PROC, ADD LINE=N)</t>
  </si>
  <si>
    <t>DEF_WI_MH_NMOC_NECS_MOD</t>
  </si>
  <si>
    <t>PROC denial due to NOT PRESENT MODIFIER with INCL DX, PROV SPEC, AND GENDER</t>
  </si>
  <si>
    <t>DEF_WI_MH_NMOC_NHS_EM</t>
  </si>
  <si>
    <t>PROC denial due to PRESENT OTHER PROC with D-S INCL PROV SPEC (1-KEY D-S; SAME DOS; XPROV)</t>
  </si>
  <si>
    <t>DEF_NV_MH_SHS_VACC_AGE</t>
  </si>
  <si>
    <t>INDIVIDUAL PROC denial due to FREQ with INCL AGE and D-S INCL PROV TYPE - Line Quantity (SAME DOS; XPROV) (QTY PER PROC, ADD LINE=N)</t>
  </si>
  <si>
    <t>DEF_NV_MH_SHS_EPSDT_AGEA</t>
  </si>
  <si>
    <t>INDIVIDUAL PROC denial due to FREQ with INCL AGE, D-S INCL MOD and D-S INCL PROV TYPE - Line Quantity (SAME DOS; XPROV) (QTY PER PROC, ADD LINE=N)</t>
  </si>
  <si>
    <t>DEF_WI_MH_CI_MHPCSAI_3</t>
  </si>
  <si>
    <t xml:space="preserve">IINDIVIDUAL PROC denial due to FREQ with D-S INCL PROV TYPE, PROV SPEC, MOD and DX - Line Quantity (DAYS_RANGE; INCL SAME DOS; XPROV) (QTY PER PROC and ADD LINE=N) </t>
  </si>
  <si>
    <t>DEF_WI_MH_CI_MHSAS_1</t>
  </si>
  <si>
    <t>PROC denial due to PRESENT PROV SPEC with INCL DIAG and MOD</t>
  </si>
  <si>
    <t>DEF_WI_MH_CI_MHSAS_2</t>
  </si>
  <si>
    <t xml:space="preserve">PROC denial due to NOT PRESENT MOD, with INCL DIAG, PROV TYPE AND PROV SPEC  </t>
  </si>
  <si>
    <t>DEF_WI_MH_CI_MHPCSAI_4</t>
  </si>
  <si>
    <t xml:space="preserve">INDIVIDUAL PROC denial due to FREQ with D-S INCL PROV TYPE, PROV SPEC, MOD and DX - Line Quantity (SAME DOS; XPROV) (QTY PER PROC and ADD LINE=N) </t>
  </si>
  <si>
    <t>DEF_NV_MH_SHS_OMHS_FREQA</t>
  </si>
  <si>
    <t xml:space="preserve">INDIVIDUAL PROC denial due to FREQ with INCL AGE and D-S INCL PROV TYPE and PROV SPEC - Line Quantity (SAME DOS; XPROV) (QTY PER PROC and ADD LINE=N) </t>
  </si>
  <si>
    <t>DEF_PET_NO_TRAC</t>
  </si>
  <si>
    <r>
      <rPr>
        <rFont val="Calibri"/>
        <color rgb="FF000000"/>
        <sz val="9.0"/>
      </rPr>
      <t>PROC denial due to NOT PRESENT OTHER PROC with D-S INCL PROV SPEC (1-KEY D-S; SAME DOS; SAME PROV) (</t>
    </r>
    <r>
      <rPr>
        <rFont val="Calibri"/>
        <color rgb="FFFF0000"/>
        <sz val="9.0"/>
      </rPr>
      <t>SAME CLAIM</t>
    </r>
    <r>
      <rPr>
        <rFont val="Calibri"/>
        <color rgb="FF000000"/>
        <sz val="9.0"/>
      </rPr>
      <t>)</t>
    </r>
  </si>
  <si>
    <t>DEF_WI_MH_OSA_SATP_C</t>
  </si>
  <si>
    <t>PROC denial due to NOT PRESENT MOD with INCL PROV TYPE, PROV SPEC, POS, and DX</t>
  </si>
  <si>
    <t>DEF_WI_MH_BTBP_FABTG_PTPS</t>
  </si>
  <si>
    <t>PROC denial due to NOT PRESENT PROV SPEC with INCL PROV TYPE and MOD</t>
  </si>
  <si>
    <t>DEF_TX_OBGYN_BP_FRQACC_3</t>
  </si>
  <si>
    <t>PROC denial due to PRESENT OTHER PROC with DENY EXCL MOD1 and SUPPORT INCL MOD2(1-KEY D-S; DAYS BEFORE; INCL SAME DOS; XPROV)</t>
  </si>
  <si>
    <t>DEF_BEHAV_ASSESS_DIAG_PROF</t>
  </si>
  <si>
    <t>Proc denial due to PRESENT DX on Line_Diag1</t>
  </si>
  <si>
    <t>DEF_WI_MH_OSA_BHDT_AS</t>
  </si>
  <si>
    <t>INDIVIDUAL PROC denial due to FREQ with D-S INCL PROV TYPE, POS, MOD1 and MOD2 - Line Quantity (SAME DOS; XPROV) (QTY PER PROC and ADD LINE = N)</t>
  </si>
  <si>
    <t>DEF_RESP_VIRAL_TESTS_PROF</t>
  </si>
  <si>
    <r>
      <rPr>
        <rFont val="Calibri"/>
        <color theme="1"/>
        <sz val="9.0"/>
      </rPr>
      <t xml:space="preserve">PROC denial due to NOT PRESENT DX </t>
    </r>
    <r>
      <rPr>
        <rFont val="Calibri"/>
        <color rgb="FFFF0000"/>
        <sz val="9.0"/>
      </rPr>
      <t>(ANYDXCODES6)</t>
    </r>
  </si>
  <si>
    <t>DEF_BH_COMP_ALT_MED</t>
  </si>
  <si>
    <r>
      <rPr>
        <rFont val="Calibri"/>
        <color theme="1"/>
        <sz val="9.0"/>
      </rPr>
      <t xml:space="preserve">PROC denial due to PRESENT DX </t>
    </r>
    <r>
      <rPr>
        <rFont val="Calibri"/>
        <color rgb="FFFF0000"/>
        <sz val="9.0"/>
      </rPr>
      <t>(ANYDXCODES6)</t>
    </r>
  </si>
  <si>
    <t>DEF_BH_TMS_TREATMNT</t>
  </si>
  <si>
    <r>
      <rPr>
        <rFont val="Calibri"/>
        <color rgb="FF000000"/>
        <sz val="9.0"/>
      </rPr>
      <t xml:space="preserve">PROC denial due to INCL AGE with NOT PRESENT DX </t>
    </r>
    <r>
      <rPr>
        <rFont val="Calibri"/>
        <color rgb="FFFF0000"/>
        <sz val="9.0"/>
      </rPr>
      <t>(ANYDXCODES6)</t>
    </r>
  </si>
  <si>
    <t>DEF_SURGERY_POS_ER_PROF</t>
  </si>
  <si>
    <r>
      <rPr>
        <rFont val="Calibri"/>
        <color theme="1"/>
        <sz val="9.0"/>
      </rPr>
      <t xml:space="preserve">PROC denial due to PRESENT OTHER PROC with D-S INCL POS (1-KEY D-S; SAME DOS; SAME PROV) </t>
    </r>
    <r>
      <rPr>
        <rFont val="Calibri"/>
        <color rgb="FFFF0000"/>
        <sz val="9.0"/>
      </rPr>
      <t>(SAME CLAIM)</t>
    </r>
  </si>
  <si>
    <t>DEF_MPH_EDARAVONE_A</t>
  </si>
  <si>
    <t>PROC denial due to PRESENT AGE and EXCL Member State</t>
  </si>
  <si>
    <t>DEF_SBIRT_POS_PROF</t>
  </si>
  <si>
    <t>Proc denial due to NOT PRESENT POS</t>
  </si>
  <si>
    <t>DEF_MPH_TRAC_DEV_HOME</t>
  </si>
  <si>
    <r>
      <rPr>
        <rFont val="Calibri"/>
        <color rgb="FF000000"/>
        <sz val="9.0"/>
      </rPr>
      <t xml:space="preserve">Proc denial due to PRESENT DX </t>
    </r>
    <r>
      <rPr>
        <rFont val="Calibri"/>
        <color rgb="FFFF0000"/>
        <sz val="9.0"/>
      </rPr>
      <t>(ANYDXCODES6)</t>
    </r>
    <r>
      <rPr>
        <rFont val="Calibri"/>
        <color rgb="FF000000"/>
        <sz val="9.0"/>
      </rPr>
      <t>, PRESENT POS, and EXCL Member State</t>
    </r>
  </si>
  <si>
    <t>DEF_MPE_BRONCH_THERMO_IP</t>
  </si>
  <si>
    <r>
      <rPr>
        <rFont val="Calibri"/>
        <color rgb="FF000000"/>
        <sz val="9.0"/>
      </rPr>
      <t xml:space="preserve">ICD-10 PROC denial due to PRESENT DX </t>
    </r>
    <r>
      <rPr>
        <rFont val="Calibri"/>
        <color rgb="FFFF0000"/>
        <sz val="9.0"/>
      </rPr>
      <t>(ANYDXCODES7)</t>
    </r>
  </si>
  <si>
    <t>DEF_MPH_LITTDXPS</t>
  </si>
  <si>
    <r>
      <rPr>
        <rFont val="Calibri"/>
        <color rgb="FF000000"/>
        <sz val="9.0"/>
      </rPr>
      <t xml:space="preserve">PROC denial due to NOT PRESENT PROV SPEC and INCL DX </t>
    </r>
    <r>
      <rPr>
        <rFont val="Calibri"/>
        <color rgb="FFFF0000"/>
        <sz val="9.0"/>
      </rPr>
      <t>(ANYDXCODES6)</t>
    </r>
  </si>
  <si>
    <t>DEF_MPH_PDC</t>
  </si>
  <si>
    <r>
      <rPr>
        <rFont val="Calibri"/>
        <color rgb="FF000000"/>
        <sz val="9.0"/>
      </rPr>
      <t xml:space="preserve">Proc denial due to NOT PRESENT DX </t>
    </r>
    <r>
      <rPr>
        <rFont val="Calibri"/>
        <color rgb="FFFF0000"/>
        <sz val="9.0"/>
      </rPr>
      <t xml:space="preserve">(ANYDXCODES6) </t>
    </r>
    <r>
      <rPr>
        <rFont val="Calibri"/>
        <color rgb="FF000000"/>
        <sz val="9.0"/>
      </rPr>
      <t>and INCL POS</t>
    </r>
  </si>
  <si>
    <t>DEF_MPH_CARD_HEMODY_POS</t>
  </si>
  <si>
    <r>
      <rPr>
        <rFont val="Calibri"/>
        <color rgb="FF000000"/>
        <sz val="9.0"/>
      </rPr>
      <t xml:space="preserve">Proc denial due to NOT PRESENT POS and present DX </t>
    </r>
    <r>
      <rPr>
        <rFont val="Calibri"/>
        <color rgb="FFFF0000"/>
        <sz val="9.0"/>
      </rPr>
      <t>(ANYDXCODES6)</t>
    </r>
  </si>
  <si>
    <t>DEF_COLORECTAL_SCRN_AGE</t>
  </si>
  <si>
    <r>
      <rPr>
        <rFont val="Calibri"/>
        <color theme="1"/>
        <sz val="9.0"/>
      </rPr>
      <t xml:space="preserve">PROC denial due to NOT PRESENT MOD and/or NOT PRESENT DX </t>
    </r>
    <r>
      <rPr>
        <rFont val="Calibri"/>
        <color rgb="FFFF0000"/>
        <sz val="9.0"/>
      </rPr>
      <t xml:space="preserve">(ANYDXCODES7) </t>
    </r>
    <r>
      <rPr>
        <rFont val="Calibri"/>
        <color theme="1"/>
        <sz val="9.0"/>
      </rPr>
      <t>and INCL AGE</t>
    </r>
  </si>
  <si>
    <t>DEF_MPH_ONASEMNO_CONCUR</t>
  </si>
  <si>
    <t>PROC denial due to PRESENT OTHER PROC with EXCL D-S MEMBER STATE (2-KEY D-S, SAME DOS, XPROV)</t>
  </si>
  <si>
    <t>DEF_MPH_DMD_ASON</t>
  </si>
  <si>
    <t>PROC denial due to PRESENT NON-COVERED PROC with EXCL MEMBER STATE</t>
  </si>
  <si>
    <t>DEF_MPH_ROZANOLIXI_ADMIN</t>
  </si>
  <si>
    <t>PROC denial due to NOT PRESENT OTHER PROC (1-KEY D-S; SAME DOS; XPROV) with EXCL D-S MEMBER STATE</t>
  </si>
  <si>
    <t>INDIVIDUAL PROC denial due to FREQ - Line Quantity (SAME DOS; XPROV)(QTY=1 and ADD LINE=Y)</t>
  </si>
  <si>
    <t>INDIVIDUAL PROC denial due to FREQ - Line Quantity (SAME DOS; SAME PROV)(QTY=1 and ADD LINE=Y)</t>
  </si>
  <si>
    <t>PROC GROUP denial due to FREQ - Line Quantity (DAYS_RANGE, INCL SAME DOS; XPROV)(QTY&gt;1 and ADD LINE=Y)</t>
  </si>
  <si>
    <t>INDIVIDUAL PROC denial due to FREQ - Line Quantity (DAYS_RANGE; INCL SAME DOS; SAME PROV)(QTY&gt;1 and ADD LINE=Y)</t>
  </si>
  <si>
    <t>INDIVIDUAL PROC denial due to FREQ with INCL DX - Line_Quantity accumulation (DAYS_RANGE; INCL SAME DOS; XPROV)(QTY=1 and ADD LINE=Y)</t>
  </si>
  <si>
    <t>INDIVIDUAL PROC denial due to FREQ - Line_Quantity accumulation (DAYS_RANGE; INCL SAME DOS; XPROV)(QTY&gt;1 and ADD LINE=Y)</t>
  </si>
  <si>
    <t>DEF_MPH_PDTCNV_COMB</t>
  </si>
  <si>
    <t>PROC denial due to PRESENT OTHER PROC with D-S INCL DX and D-S EXCL MEMBER STATE (1-KEY D-S; SAME DOS; XPROV)</t>
  </si>
  <si>
    <t>DEF_MPH_EDARAVONE_B</t>
  </si>
  <si>
    <t>PROC denial due to NOT PRESENT DX with EXCL Member State</t>
  </si>
  <si>
    <t>DEF_MPH_DENOSUMAB_A</t>
  </si>
  <si>
    <t>PROC denial due to PRESENT DX with EXCL Member State</t>
  </si>
  <si>
    <t>PROC GROUP denial due to FREQ - Line Quantity (SAME DOS; SAME PROV)(QTY=1 and ADD LINE=Y)</t>
  </si>
  <si>
    <t>PROC GROUP denial due to FREQ - Line Quantity (DAYS_RANGE, INCL SAME DOS; XPROV)(QTY=1 and ADD LINE=Y)</t>
  </si>
  <si>
    <t>PROC GROUP denial due to FREQ with D-S EXCL MOD- Line Quantity (SAME DOS; SAME PROV)(QTY&gt;1 and ADD LINE=Y)</t>
  </si>
  <si>
    <t>INDIVIDUAL PROC denial due to FREQ - Line Quantity (SAME DOS; SAME NPI)(QTY&gt;1 and ADD LINE=Y)</t>
  </si>
  <si>
    <t>PROC GROUP denial due to FREQ - Line Quantity (DAYS_RANGE, INCL SAME DOS; SAME NPI)(QTY=1 and ADD LINE=Y)</t>
  </si>
  <si>
    <t>PROC GROUP denial due to FREQ - Line Quantity (CALENDAR_MONTH; INCL SAME DOS; XPROV)(QTY=1 and ADD LINE=Y)</t>
  </si>
  <si>
    <t>PROC GROUP denial due to FREQ – Line Quantity (SAME DOS, XPROV)(QTY=1 and ADD LINE=Y)</t>
  </si>
  <si>
    <t>INDIVIDUAL PROC denial due to FREQ  - Line Quantity (SAME DOS; XPROV)(QTY&gt;1 and ADD LINE=Y)</t>
  </si>
  <si>
    <t>INDIVIDUAL PROC denial due to FREQ  - Line Quantity with INCL AGE (SAME DOS; XPROV)(QTY=1 and ADD LINE=Y)</t>
  </si>
  <si>
    <t>INDIVIDUAL PROC denial due to FREQ with INCL ANY MOD - Line Quantity (SAME DOS; SAME PROV)(QTY=1 and ADD LINE=Y)</t>
  </si>
  <si>
    <t>INDIVIDUAL PROC denial due to FREQ with INCL ALL MOD LINES NULL - Line Quantity (SAME DOS; XPROV)(QTY=1 and ADD LINE=Y)</t>
  </si>
  <si>
    <t>INDIVIDUAL PROC denial due to FREQ with DENY LINE EXCL MOD- Line Quantity (SAME DOS; XPROV)(QTY=1 and ADD LINE=Y)</t>
  </si>
  <si>
    <t>INDIVIDUAL PROC denial with D-S INCL MOD - Line_Quantity (SAME DOS; XPROV)</t>
  </si>
  <si>
    <t>PROC GROUP denial due to FREQ - Line Quantity (DAYS_RANGE, INCL SAME DOS; SAME PROV_FTIN)(QTY=1 and ADD LINE=Y)</t>
  </si>
  <si>
    <t>PROC GROUP denial due to FREQ - Line Quantity (DAYS_RANGE INCL SAME DOS; SAME PROV)(QTY &gt; 1 and ADD LINE=Y</t>
  </si>
  <si>
    <t>PROC GROUP denial with INCL AGE due to FREQ - Line Quantity (DAYS_RANGE, INCL SAME DOS; SAME PROV (QTY = 1 and ADD LINE=Y)</t>
  </si>
  <si>
    <t>INDIVIDUAL PROC denial due to FREQ with D-S INCL MOD - Line_Quantity (SAME DOS; XPROV)(QTY &gt;1, ADD LINE=Y)</t>
  </si>
  <si>
    <t>Proc GROUP denial due to FREQ - Line Quantity (SAME DOS; XPROV) (QTY&gt;1 and ADD LINE=Y)</t>
  </si>
  <si>
    <t>PROC GROUP denial due to FREQ - Line Quantity (DAYS_RANGE; INCL SAME DOS; XPROV)(QTY = 1 and ADDLINE=Y) INCL AGE</t>
  </si>
  <si>
    <t>INDIVIDUAL PROC denial due to FREQ - Line Quantity (Same DOS; SAME PROV) (QTY &gt; 1; ADDLINE=Y) D-S INCL MOD</t>
  </si>
  <si>
    <t>INDIVIDUAL PROC denial due to FREQ with INCL DX - Line_Quantity accumulation (DAYS_RANGE; INCL SAME DOS; XPROV)(QTY&gt;1 and ADD LINE=Y)</t>
  </si>
  <si>
    <t>PROC GROUP denial with INCL REV due to FREQ - Line Quantity (DAYS_RANGE, INCL SAME DOS; XPROV) (QTY 1 and ADDLINE=Y)</t>
  </si>
  <si>
    <t>PROC GROUP denial due to FREQ - Line Quantity (INCL SAME DOS; SAME PROV)(QTY1 and ADD LINE=Y) with INCL MOD</t>
  </si>
  <si>
    <t>PROC GROUP denial due to FREQ with C- EXCL MOD- Line_Quantity (SAME DOS; SAME PROV)(QTY GT1 and ADD LINE=Y)</t>
  </si>
  <si>
    <t>INDIVIDUAL PROC denial due to FREQ with INCL REV - Line Quantity (SAME DOS; XPROV)(QTY &gt;1 and ADD LINE=Y)</t>
  </si>
  <si>
    <t>INDIVIDUAL PROC denial due to FREQ with D-S INCL PROV SPEC - Line_Quantity (SAME DOS, XPROV)(QTY&gt;1 and ADD LINE=Y)</t>
  </si>
  <si>
    <t>INDIVIDUAL PROC denial due to FREQ - Line Quantity (SAME DOS; XPROV)(QTY =1 and ADD LINE=Y)  with INCL Rev</t>
  </si>
  <si>
    <t>PROC GROUP denial due to FREQ with D-S INCL PROV SPEC - Line Quantity (DAYS_RANGE INCL SAME DOS; XPROV)(QTY=1 and ADD LINE=Y)</t>
  </si>
  <si>
    <t>PROC GROUP denial due to FREQ - Line_Quantity accumulation (DAYS_RANGE; INCL SAME DOS; XPROV)(QTY&gt;1 and ADD LINE=Y) with INCL MOD</t>
  </si>
  <si>
    <t>PROC GROUP denial due to FREQ with D-S INCL REV - Line Quantity (DAYS_RANGE INCL SAME DOS; XPROV)(QTY&gt;1 and ADD LINE=Y)(ALL_FAC)</t>
  </si>
  <si>
    <t>INDIVIDUAL PROC denial due to FREQ with INCL D-S POS - Line Quantity (SAME DOS; XPROV)(QTY=1 and ADD LINE=Y)</t>
  </si>
  <si>
    <t>PROC GROUP denial with INCL AGE due to FREQ - Line Quantity (SAME DOS; XPROV (QTY &gt;1 and ADD LINE=Y)</t>
  </si>
  <si>
    <t>INDIVIDUAL PROC denial due to FREQ with INCL D-S POS - Line Quantity (SAME DOS; XPROV)(QTY&gt;1 and ADD LINE=Y)</t>
  </si>
  <si>
    <t>INDIVIDUAL PROC denial due to FREQ  - Line Quantity with INCL AGE (SAME DOS; XPROV)(QTY&gt;1 and ADD LINE=Y)</t>
  </si>
  <si>
    <t>INDIVIDUAL PROC denial due to FREQ  - Line Quantity with D-S INCL POS, D-S INCL PROV SPEC (SAME DOS;XPROV) (QTY=1 and ADD LINE=Y)</t>
  </si>
  <si>
    <t>PROC GROUP denial due to FREQ with D-S INCL POS, D-S INCL PROV SPEC - Line Quantity (SAME DOS; XPROV)(QTY&gt;1 and ADD LINE=Y)</t>
  </si>
  <si>
    <t>PROC GROUP denial due to FREQ with D-S INCL POS, D-S INCL PROV SPEC - Line Quantity (SAME DOS; XPROV)(QTY=1 and ADD LINE=Y)</t>
  </si>
  <si>
    <t>PROC GROUP denial due to FREQ with D-S INCL PROV SPEC - Line Quantity (SAME DOS; XPROV)(QTY=1 and ADD LINE=Y)</t>
  </si>
  <si>
    <t>PROC GROUP denial due to FREQ - Line Quantity (SAME DOS; XPROV)(QTY=1 and ADD LINE=Y)</t>
  </si>
  <si>
    <t>PROC GROUP denial due to FREQ with D-S EXCL POS - Line Quantity (SAME DOS;SAME PROV)(QTY=1 and ADD LINE=Y)</t>
  </si>
  <si>
    <t>GROUP PROC denial due to FREQ with - Line_Quantity accumulation (DAYS_RANGE; INCL SAME DOS; FTIN_ANY_SPEC)(QTY=1 and ADD LINE=Y)</t>
  </si>
  <si>
    <t>GROUP PROC denial due to FREQ with D-S INCL DX - Line_Quantity accumulation (DAYS_RANGE; INCL SAME DOS; XPROV)(QTY=1 and ADD LINE=Y)</t>
  </si>
  <si>
    <t>PROC GROUP denial due to FREQ - Line Quantity (SAME DOS; XPROV)(QTY=1 and ADD LINE=Y)(ALL CLAIM TYPES)</t>
  </si>
  <si>
    <t>PROC GROUP denial due to FREQ - Line Quantity (CALENDAR_YEAR; INCL SAME DOS; XPROV)(QTY&gt;1 and ADD LINE=Y)</t>
  </si>
  <si>
    <t>PROC GROUP denial due to FREQ - Line Quantity (DAYS_RANGE, INCL SAME DOS, XPROV) (QTY=1 and ADD LINE=Y)</t>
  </si>
  <si>
    <t>PROC GROUP denial due to FREQ with D-S INCL POS - Line Quantity (SAME DOS;SAME PROV)(QTY=1 and ADD LINE=Y)</t>
  </si>
  <si>
    <t>INDIVIDUAL PROC denial due to FREQ with DENY MOD EXCL - Line Quantity (SAME DOS; SAME BPROV_FTIN)(QTY=1 and ADD LINE=Y)</t>
  </si>
  <si>
    <t>PROC GROUP denial with INCL AGE due to FREQ - Line Quantity (DAYS_RANGE; INCL SAME DOS; XPROV (QTY &gt;1 and ADD LINE=Y)</t>
  </si>
  <si>
    <t>INDIVIDUAL PROC denial due to FREQ - Line Quantity (SAME DOS; SAME PROV) (QTY&gt;1 and ADD LINE=Y)</t>
  </si>
  <si>
    <t>PROC GROUP denial with INCL AGE due to FREQ - Line Quantity (SAME DOS; XPROV (QTY =1 and ADD LINE=Y)</t>
  </si>
  <si>
    <t>PROC GROUP denial due to FREQ with D-S INCL MOD - Line Quantity (CALENDAR_YEAR; INCL SAME DOS; XPROV)(QTY&gt;1 and ADD LINE=Y)</t>
  </si>
  <si>
    <t>PROC GROUP denial due to FREQ with D-S INCL MOD - Line Quantity (SAME DOS; XPROV)(QTY=1 and ADD LINE=Y)</t>
  </si>
  <si>
    <t>INDIVIDUAL PROC denial due to FREQ with INCL REV - Line Quantity (SAME DOS; PROV_ID)(QTY=1 and ADD LINE=Y)</t>
  </si>
  <si>
    <t>INDIVIDUAL PROC denial due to FREQ  - Line Quantity with D-S INCL POS, and D-S EXCL MOD (SAME DOS;XPROV) (QTY=1 and ADD LINE=Y)</t>
  </si>
  <si>
    <t>INDIVIDUAL PROC denial due to FREQ with D-S EXCL DX (DAYS_RANGE, INCL SAME DOS; XPROV)(QTY&gt;1 and ADD LINE=Y)</t>
  </si>
  <si>
    <t>INDIVIDUAL PROC denial due to FREQ - Line_Quantity (DAYS_RANGE; INCL SAME DOS; XPROV)(QTY PER PROC, ADD LINE=Y)</t>
  </si>
  <si>
    <t>PROC GROUP denial due to FREQ with D-S INCL DX - Line Quantity (CALENDAR_YEAR; INCL SAME DOS; XPROV)(QTY&gt;1 and ADD LINE=Y)</t>
  </si>
  <si>
    <t>PROC GROUP denial due to FREQ with D-S INCL POS - Line Quantity (SAME DOS;XPROV)(QTY=1 and ADD LINE=Y)</t>
  </si>
  <si>
    <t>INDIVIDUAL PROC denial due to FREQ with D-S INCL MOD Line Quantity (DAYS_RANGE; INCL SAME DOS; XPROV)(QTY=1 and ADD LINE=Y)</t>
  </si>
  <si>
    <t>INDIVIDUAL PROC denial due to FREQ - Line Quantity (Same DOS; SAME PROV) (QTY &gt; 1; ADDLINE=Y) D-S INCL DX</t>
  </si>
  <si>
    <t>INDIVIDUAL PROC denial due to FREQ - Line_Quantity (SAME DOS; XPROV)(QTY PER PROC, ADD LINE=Y)</t>
  </si>
  <si>
    <t>INDIVIDUAL PROC denial due to FREQ - Line_Quantity with INCL AGE and D-S INCL MOD (DAYS_RANGE; INCL SAME DOS; XPROV)(QTY=1 and ADD LINE=Y)</t>
  </si>
  <si>
    <t>PROC GROUP denial due to FREQ with D-S EXCL MOD- Line Quantity (DAYS_RANGE, INCL SAME DOS; XPROV)(QTY=1 and ADD LINE=Y)</t>
  </si>
  <si>
    <t>INDIVIDUAL PROC denial due to FREQ with D-S EXCL MOD- Line_Quantity (DAYS_RANGE; INCL SAME DOS; XPROV)(QTY PER PROC, ADD LINE=Y)</t>
  </si>
  <si>
    <t>INDIVIDUAL PROC denial due to FREQ with D-S INCL MOD - Line_Quantity (DAYS_RANGE; INCL SAME DOS; XPROV)(QTY PER PROC, ADD LINE=Y)</t>
  </si>
  <si>
    <t>INDIVIDUAL PROC denial due to FREQ with D-S INCL POS- Line_Quantity (DAYS_RANGE; INCL SAME DOS; XPROV)(QTY PER PROC, ADD LINE=Y)</t>
  </si>
  <si>
    <t>PROC GROUP denial due to FREQ with D-S INCL REV - Line Quantity (DAYS_RANGE INCL SAME DOS; XPROV)(QTY&gt;1 and ADD LINE=Y)(OUTPAT_FAC)</t>
  </si>
  <si>
    <t>PROC GROUP denial due to FREQ with D-S INCL REV - Line Quantity (CALENDAR_YEAR; INCL SAME DOS; XPROV)(QTY&gt;1 and ADD LINE=Y)(OUTPAT_FAC)</t>
  </si>
  <si>
    <t>PATTERN DESCRIPTION INDIVIDUAL PROC denial due to FREQ - Line_Quantity with INCL D-S POS (CALENDAR_YEAR; INCL SAME DOS; XPROV)(QTY by PROC, ADD LINE=Y)</t>
  </si>
  <si>
    <t>REV GROUP denial due to FREQ Line Quantity (SAME DOS;XPROV) (QTY =1 and ADD LINE=Y) INCL  BILL TYPE</t>
  </si>
  <si>
    <t>INDIVIDUAL PROC denial due to FREQ - Line_Quantity with INCL AGE (DAYS_RANGE; INCL SAME DOS; XPROV)(QTY=1 and ADD LINE=Y)</t>
  </si>
  <si>
    <t>DEF_BONE_DEBRIDE_DIAG_OUTPAT</t>
  </si>
  <si>
    <r>
      <rPr>
        <rFont val="Calibri"/>
        <color rgb="FF000000"/>
        <sz val="9.0"/>
      </rPr>
      <t xml:space="preserve">PROC denial due to NOT PRESENT </t>
    </r>
    <r>
      <rPr>
        <rFont val="Calibri"/>
        <color rgb="FFFF0000"/>
        <sz val="9.0"/>
      </rPr>
      <t>(ANYDXCODES5)</t>
    </r>
    <r>
      <rPr>
        <rFont val="Calibri"/>
        <color rgb="FF000000"/>
        <sz val="9.0"/>
      </rPr>
      <t xml:space="preserve"> DX (OUTPAT_FAC)</t>
    </r>
  </si>
  <si>
    <t>INDIVIDUAL PROC denial due to FREQ with D-S MOD EXCL - Line_Quantity (SAME DOS; XPROV)(QTY &gt;1 and ADD LINE=Y)</t>
  </si>
  <si>
    <t>INDIVIDUAL PROC denial due to FREQ with D-S INCL PROV TYPE - Line_Quantity (DAYS_RANGE; INCL SAME DOS; XPROV)(QTY PER PROC, ADD LINE=Y)</t>
  </si>
  <si>
    <t>INDIVIDUAL PROC denial due to FREQ with D-S EXCL MOD - Line_Quantity (DAYS_RANGE; INCL SAME DOS; XPROV)(QTY PER PROC, ADD LINE=Y)</t>
  </si>
  <si>
    <t>INDIVIDUAL PROC denial due to FREQ with D-S INCL DX - Line Quantity (DAYS_RANGE; INCL SAME DOS; XPROV)(QTY PER PROC, ADD LINE=Y)</t>
  </si>
  <si>
    <t>INDIVIDUAL PROC denial due to FREQ - Line Quantity (CALENDAR_YEAR; INCL SAME DOS; XPROV)(QTY PER PROC, ADD LINE=Y)</t>
  </si>
  <si>
    <t>INDIVIDUAL PROC denial due to FREQ - Line Quantity (CALENDAR_MONTH; INCL SAME DOS; XPROV)(QTY PER PROC, ADD LINE=Y)</t>
  </si>
  <si>
    <t>INDIVIDUAL PROC denial due to FREQ - Line Quantity with D-S MOD (CALENDAR_YEAR; XPROV) (QTY PER PROC, ADD LINE=Y)</t>
  </si>
  <si>
    <t>INDIVIDUAL PROC denial due to FREQ with D-S INCL PROV SPEC - Line_Quantity (DAYS_RANGE; INCL SAME DOS; XPROV; QTY PER PROC, ADD LINE=Y)</t>
  </si>
  <si>
    <t>INDIVIDUAL PROC denial due to FREQ with INCL AGE - Line Quantity (DAYS_RANGE; INCL SAME DOS; XPROV)(QTY PER PROC, ADD LINE=Y)</t>
  </si>
  <si>
    <t>IINDIVIDUAL PROC denial due to FREQ with D-S EXCL DX (DAYS_RANGE, INCL SAME DOS; XPROV)(QTY PER PROC, ADD LINE=Y)</t>
  </si>
  <si>
    <t>INDIVIDUAL PROC denial due to FREQ with INCL AGE and D-S EXCL MOD - Line_Quantity (DAYS_RANGE; INCL SAME DOS; XPROV)(QTY PER PROC, ADD LINE=Y)</t>
  </si>
  <si>
    <t>INDIVIDUAL PROC denial due to FREQ with INCL AGE and D-S INCL MOD - Line_Quantity (DAYS_RANGE; INCL SAME DOS; XPROV)(QTY PER PROC, ADD LINE=Y)</t>
  </si>
  <si>
    <t>INDIVIDUAL PROC denial due to FREQ with D-S EXCL MOD - Line Quantity (CALENDAR_MONTH; INCL SAME DOS; XPROV)(QTY PER PROC, ADD LINE=Y)</t>
  </si>
  <si>
    <t>INDIVIDUAL PROC denial due to FREQ with INCL AGE and D-S INCL PROV SPEC - Line_Quantity (DAYS_RANGE; INCL SAME DOS; XPROV)(QTY PER PROC, ADD LINE=Y)</t>
  </si>
  <si>
    <t>PROC GROUP denial due to FREQ with D-S INCL MOD - Line Quantity (SAME DOS; XPROV)(QTY&gt;1 and ADD LINE=Y)</t>
  </si>
  <si>
    <t>IINDIVIDUAL PROC denial due to FREQ with INCL AGE and D-S INCL DX - Line Quantity (DAYS_RANGE; INCL SAME DOS; XPROV)(QTY PER PROC, ADD LINE=Y)</t>
  </si>
  <si>
    <t>INDIVIDUAL PROC denial due to FREQ with D-S INCL BILL TYPE - Line Quantity (DAYS_RANGE;INCL SAME DOS; XPROV)(QTY PER PROC, ADD LINE=Y)(ALL_FAC)</t>
  </si>
  <si>
    <t>INDIVIDUAL PROC denial due to FREQ - Line Quantity with D-S INCL POS and D-S INCL PROV TYPE (SAME DOS; XPROV) (QTY PER PROC, ADD LINE=Y)</t>
  </si>
  <si>
    <t>INDIVIDUAL PROC denial due to FREQ with INCL AGE and D-S INCL PROV SPEC - Line_Quantity (SAME DAY; XPROV)(QTY PER PROC, ADD LINE=Y)</t>
  </si>
  <si>
    <t>INDIVIDUAL PROC denial due to FREQ with D-S INCL MOD1 and EXCL D-S MOD2 - Line_Quantity (DAYS_RANGE; INCL SAME DOS; XPROV)(QTY PER PROC, ADD LINE=Y)</t>
  </si>
  <si>
    <t>PROC denial due to FREQ with D-S INCL MOD - Line_Quantity (SAME DOS; XPROV)(QTY &gt;1, ADD LINE=Y)</t>
  </si>
  <si>
    <t>INDIVIDUAL PROC denial due to FREQ with D-S INCL MOD1 and MOD2 - Line_Quantity (DAYS_RANGE; INCL SAME DOS; XPROV)(QTY PER PROC, ADD LINE=Y)</t>
  </si>
  <si>
    <t>INDIVIDUAL PROC denial due to FREQ - Line Quantity with D-S INCL POS (SAME DOS; XPROV) (QTY PER PROC, ADD LINE=Y)</t>
  </si>
  <si>
    <t>INDIVIDUAL PROC denial due to FREQ with D-S INCL MOD1 and EXCL D-S MOD2 - Line_Quantity (SAME DOS; XPROV)(ADD LINE=Y)</t>
  </si>
  <si>
    <t>INDIVIDUAL PROC denial due to FREQ - Line Quantity with D-S INCL MOD1 and D-S INCL MOD2 and D-S INCL PROV TYPE (SAME DOS; XPROV) (QTY PER PROC, ADD LINE=Y)</t>
  </si>
  <si>
    <t>REV CODE GROUP denial with Code due to FREQ with INCL AGE - Line_Quantity accumulation (SAME DOS; XPROV)(QTY=1 and ADD LINE=Y)(ALL_FAC)</t>
  </si>
  <si>
    <t>PROC GROUP denial due to FREQ with D-S INCL MOD- Line Quantity (DAYS_RANGE, INCL SAME DOS; XPROV)(QTY&gt;1 and ADD LINE=Y)</t>
  </si>
  <si>
    <t>INDIVIDUAL PROC denial due to FREQ with D-S INCL PROV SPEC and D-S INCL PROV TYPE - Line QTY (SAME DOS; XPROV)(QTY PER PROC, ADD LINE=Y)</t>
  </si>
  <si>
    <t>REV CODE GROUP denial with Code due to FREQ - Line_Quantity accumulation (CALENDAR YEAR; INCL SAME DOS; XPROV)(QTY&gt;1 and ADD LINE=Y)(ALL_FAC) INCL BILL TYPE</t>
  </si>
  <si>
    <t>INDIVIDUAL PROC denial due to FREQ with D-S INCL BILL TYPE - Line Quantity (SAME DOS; XPROV)(QTY PER PROC, ADD LINE=Y)(ALL_FAC)</t>
  </si>
  <si>
    <t>INDIVIDUAL PROC denial due to FREQ - Line Quantity with D-S INCL PROV TYPE (SAME DOS; XPROV) (QTY PER PROC, ADD LINE=Y)</t>
  </si>
  <si>
    <t>INDIVIDUAL PROC denial due to FREQ - Line Quantity with D-S INCL POS, D-S INCL PROV TYPE, and D-S INCL PROV SPEC (CALENDAR_MONTH; INCL SAME DOS; XPROV) (QTY PER PROC, ADD LINE=Y)</t>
  </si>
  <si>
    <t>INDIVIDUAL PROC denial due to FREQ - Line Quantity with D-S INCL POS, D-S INCL PROV TYPE, and D-S INCL PROV SPEC (CALENDAR_YEAR; INCL SAME DOS; XPROV) (QTY PER PROC, ADD LINE=Y)</t>
  </si>
  <si>
    <t>INDIVIDUAL PROC denial due to FREQ - Line Quantity with D-S INCL POS, D-S INCL PROV TYPE, and D-S INCL PROV SPEC (DAYS_RANGE; INCL SAME DOS; XPROV) (QTY PER PROC, ADD LINE=Y)</t>
  </si>
  <si>
    <t>INDIVIDUAL PROC denial due to FREQ - Line Quantity with D-S INCL POS, D-S INCL PROV TYPE, and D-S INCL PROV SPEC (SAME DOS; XPROV) (QTY PER PROC, ADD LINE=Y)</t>
  </si>
  <si>
    <t>INDIVIDUAL PROC denial due to FREQ - Line Quantity with D-S INCL PROV SPEC and D-S INCL MOD (DAYS_RANGE; XPROV) (QTY PER PROC, ADD LINE=Y)</t>
  </si>
  <si>
    <t>INDIVIDUAL PROC denial with EXCL D-S MOD due to Line_Quantity accumulation (SAME DOS; XPROV)(QTY=1 and ADD LINE=Y))</t>
  </si>
  <si>
    <t>INDIVIDUAL PROC denial due to FREQ - Line_Quantity accumulation (DAYS_RANGE; INCL SAME DOS; XPROV) (ALL_FAC)</t>
  </si>
  <si>
    <t>INDIVIDUAL PROC denial due to FREQ with D-S INCL MOD1 and MOD2 - Line_Quantity (SAME DOS; XPROV)(QTY PER PROC, ADD LINE=Y)</t>
  </si>
  <si>
    <t>INDIVIDUAL PROC denial due to FREQ - Line Quantity with D-S INCL POS and D-S INCL PROV TYPE (SAME DOS; XROV) (QTY PER PROC, ADD LINE=Y)</t>
  </si>
  <si>
    <t>INDIVIDUAL PROC denial due to FREQ with D-S INCL MOD and D-S INCL PROV TYPE - Line_Quantity (DAYS_RANGE; INCL SAME DAY; XPROV) (QTY PER PROC, ADD LINE=Y)</t>
  </si>
  <si>
    <t>INDIVIDUAL PROC denial due to FREQ - Line Quantity with D-S INCL POS, PROV TYPE, D-S INCL PROV SPEC, D-S INCL MOD1, (SAME DOS; XPROV) (QTY PER PROC, ADD LINE=Y)</t>
  </si>
  <si>
    <t>INDIVIDUAL PROC denial due to FREQ with INCL D-S PROV TYPE - Line Quantity (CALENDAR_MONTH; INCL SAME DOS; XPROV)(QTY PER PROC, ADD LINE=Y)</t>
  </si>
  <si>
    <t>PROC GROUP denial due to FREQ - Line Quantity (CALENDAR_YEAR; INCL SAME DOS; XPROV) (QTY=1 and ADD LINE=Y)</t>
  </si>
  <si>
    <t>INDIVIDUAL PROC denial due to FREQ with D-S EXCL MOD and D-S INCL PROV TYPE - Line_Quantity (DAYS_RANGE; INCL SAME DAY; XPROV) (QTY PER PROC, ADD LINE=Y)</t>
  </si>
  <si>
    <t>PROC GROUP denial due to FREQ with D-S INCL PROV SPEC- Line_Quantity accumulation (DAYS_RANGE INCL SAME DOS; XPROV)(QTY&gt;1 and ADD LINE=Y)</t>
  </si>
  <si>
    <t>INDIVIDUAL PROC denial due to FREQ with INCL AGE - Line_Quantity (SAME DAY; XPROV)(QTY PER PROC, ADD LINE=Y)</t>
  </si>
  <si>
    <t>INDIVIDUAL PROC denial due to FREQ with INCL AGE - Line_Quantity (CALENDAR_YEAR; XPROV)(QTY PER PROC, ADD LINE=Y)</t>
  </si>
  <si>
    <t>INDIVIDUAL PROC denial due to FREQ  - Line_Quantity (DAYS_RANGE; XPROV)(QTY PER PROC, ADD LINE=Y)</t>
  </si>
  <si>
    <t>INDIVIDUAL PROC denial due to FREQ with D-S INCL BILL TYPE and D-S INCL DX - Line Quantity (CALENDAY_YEAR;INCL SAME DOS; XPROV)(QTY PER PROC, ADD LINE=Y)</t>
  </si>
  <si>
    <t>INDIVIDUAL PROC denial due to FREQ with D-S INCL MOD and D-S INCL REV CODE - Line_Quantity (SAME DOS; XPROV)(QTY PER PROC, ADD LINE=Y)</t>
  </si>
  <si>
    <t>INDIVIDUAL PROC denial due to FREQ with D-S INCL MOD and D-S INCL REV CODE - Line_Quantity (CALENDAR_YEAR; INCL SAME DOS; XPROV)(QTY PER PROC, ADD LINE=Y)</t>
  </si>
  <si>
    <t>PROC GROUP denial due to FREQ with D-S INCL MOD and D-S INCL REV CODE - Line Quantity, (CALENDAR_YEAR; INCL SAME DOS; XPROV)(QTY =1 and ADD LINE=Y)</t>
  </si>
  <si>
    <t>INDIVIDUAL PROC denial due to FREQ with INCL POS and INCL AGE - Line Quantity (SAME DOS; XPROV)(QTY PER PROC, ADD LINE=Y)</t>
  </si>
  <si>
    <t>INDIVIDUAL PROC denial due to FREQ with D-S INCL BILLED AMOUNT LT 1100 and D-S INCL MOD - Line_Quantity (DAYS_RANGE; INCL SAME DOS; XPROV)(QTY PER PROC, ADD LINE=Y)</t>
  </si>
  <si>
    <t>INDIVIDUAL PROC denial due to FREQ with D-S INCL BILLED AMOUNT LT 1100  - Line_Quantity (DAYS_RANGE; INCL SAME DOS; XPROV)(QTY PER PROC, ADD LINE=Y)</t>
  </si>
  <si>
    <t>INDIVIDUAL PROC denial due to FREQ  - Line Quantity with D-S INCL POS, and D-S INC MOD (SAME DOS;XPROV) (QTY=1 and ADD LINE=Y)</t>
  </si>
  <si>
    <t>INDIVIDUAL PROC denial due to FREQ with INCL POS, INCL DX and INCL AGE - Line Quantity (DAYS_RANGE; INCL SAME DOS; XPROV)(QTY PER PROC, ADD LINE=Y)</t>
  </si>
  <si>
    <t>INDIVIDUAL PROC denial due to FREQ with SUPPORT LINE EXCL MOD- Line Quantity (SAME DOS; XPROV)(QTY PER PROC and ADD LINE=Y)</t>
  </si>
  <si>
    <t>INDIVIDUAL PROC denial due to FREQ with INCL POS, INCL DX and INCL AGE - Line Quantity (SAME DOS; XPROV)(QTY PER PROC, ADD LINE=Y)</t>
  </si>
  <si>
    <t>PROC GROUP denial due to FREQ with INCL POS and INCL AGE - Line Quantity (CALENDAR_YEAR; INCL SAME DOS; XPROV)(QTY=1 and ADD LINE=Y)</t>
  </si>
  <si>
    <t>PROC GROUP denial due to FREQ with INCL POS , INCL DX and INCL AGE - Line Quantity (CALENDAR_YEAR; INCL SAME DOS; XPROV)(QTY=1, ADD LINE=Y) </t>
  </si>
  <si>
    <t>INDIVIDUAL PROC denial due to FREQ with INCL POS and INCL AGE - Line Quantity (DAYS_RANGE; INCL SAME DOS; XPROV)(QTY PER PROC, ADD LINE=Y) </t>
  </si>
  <si>
    <t>PROC GROUP denial due to FREQ with INCL POS OR INCL Bill Type - Line Quantity (CALENDAR_YEAR; INCL SAME DOS; XPROV)(QTY&gt;1 and ADD LINE=Y)(ALL CLAIM TYPES)</t>
  </si>
  <si>
    <t>INDIVIDUAL PROC denial due to FREQ with INCL AGE and D-S INCL DX - Line Quantity (DAYS_RANGE; INCL SAME DOS; XPROV)(QTY PER PROC, ADD LINE=Y)</t>
  </si>
  <si>
    <t>GROUP PROC denial due to FREQ with D-S INCL DX and D-S INCL AGE- Line_Quantity accumulation (DAYS_RANGE; INCL SAME DOS; XPROV)(QTY=1 and ADD LINE=Y)</t>
  </si>
  <si>
    <t>INDIVIDUAL PROC denial due to FREQ with INCL AGE and D-S EXCL DX - Line Quantity (DAYS_RANGE; INCL SAME DOS; XPROV)(QTY PER PROC, ADD LINE=Y)</t>
  </si>
  <si>
    <t>PROC GROUP denial due to FREQ with INCL AGE and D-S EXCL DX - Line_Quantity accumulation (DAYS_RANGE; INCL SAME DOS; XPROV)(QTY=1 and ADD LINE=Y)</t>
  </si>
  <si>
    <t>INDIVIDUAL PROC denial due to FREQ with D-S INCL MOD and D-S INCL DX - Line_Quantity (DAYS_RANGE; INCL SAME DOS; XPROV) (QTY PER PROC, ADD LINE=Y)</t>
  </si>
  <si>
    <t>PROC GROUP denial due to FREQ - Line Quantity (DAYS_RANGE, INCL SAME DOS;PROV_ID;FTIN_ANY_SPEC) (QTY=1 and ADD LINE=Y)</t>
  </si>
  <si>
    <t>INDIVIDUAL PROC denial due to FREQ with INCL AGE and D-S INCL MOD and D-S INCL DX - Line_Quantity (DAYS_RANGE; INCL SAME DOS; XPROV) (QTY PER PROC, ADD LINE=Y)</t>
  </si>
  <si>
    <t>INDIVIDUAL PROC denial due to FREQ with D-S INCL MOD and D-S INCL POS- Line_Quantity (DAYS_RANGE; INCL SAME DOS; XPROV)(QTY PER PROC, ADD LINE=Y)</t>
  </si>
  <si>
    <t>INDIVIDUAL PROC denial due to FREQ with INCL AGE and D-S INCL MOD and D-S INCL POS - Line_Quantity (SAME DOS; XPROV)(QTY PER PROC, ADD LINE=Y)</t>
  </si>
  <si>
    <t>INDIVIDUAL PROC denial due to FREQ with INCL AGE and INCL D-S MOD (CALENDAR YEAR; INCL SAME DOS; XPROV) (QTY per PROC, ADD LINE=Y)</t>
  </si>
  <si>
    <t>INDIVIDUAL PROC denial due to FREQ with INCL AGE and D-S INCL MOD - Line_Quantity (SAME DOS; XPROV)(QTY PER PROC, ADD LINE=Y)</t>
  </si>
  <si>
    <t>INDIVIDUAL PROC denial due to FREQ with D-S EXCL POS- Line_Quantity (DAYS_RANGE; INCL SAME DOS; XPROV)(QTY PER PROC, ADD LINE=Y)</t>
  </si>
  <si>
    <t>PROC GROUP denial due to FREQ with D-S INCL MOD and D-S INCL DX - Line_Quantity (DAYS_RANGE; INCL SAME DOS; XPROV) (QTY &gt;1, ADD LINE=Y)</t>
  </si>
  <si>
    <t>INDIVIDUAL PROC denial due to FREQ - Line_Quantity (SAME DOS; XPROV)(QTY PER PROC, ADD LINE=Y)(ALL_FAC)</t>
  </si>
  <si>
    <t>INDIVIDUAL PROC denial due to FREQ with D-S INCL BILL TYPE and INCL AGE - Line Quantity (SAME DOS; XPROV)(QTY PER PROC, ADD LINE=Y) (ALL_FAC)</t>
  </si>
  <si>
    <t>INDIVIDUAL PROC denial due to FREQ with D-S INCL BILL TYPE and D-S INCL DX - Line Quantity (SAME DOS; XPROV)(QTY PER PROC, ADD LINE=Y)(ALL_FAC)</t>
  </si>
  <si>
    <t>REV CODE GROUP denial due to FREQ wih INCL AGE - Line Quantity accumulation (CALENDAR_MONTH; INCL SAME DOS; XPROV) (QTY &gt;1, ADD LINE=Y) (ALL_FAC)</t>
  </si>
  <si>
    <t>INDIVIDUAL PROC denial due to FREQ with D-S INCL BILL TYPE and INCL AGE - Line Quantity (DAYS_RANGE; INCL SAME DOS; XPROV)(QTY PER PROC, ADD LINE=Y) (ALL_FAC)</t>
  </si>
  <si>
    <t>INDIVIDUAL PROC denial due to FREQ with INCL DENY MOD - Line_Quantity (SAME DOS; XPROV) (QTY PER PROC, ADD LINE=Y)</t>
  </si>
  <si>
    <t>Deny individual proc code if QTY exceeds the allowed amount in a calendar year by any provider with INCL MOD, INCL REV CODE, INCL BILL TYPE and INCL AGE</t>
  </si>
  <si>
    <t>INDIVIDUAL PROC denial due to FREQ with D-S INCL REV CODE, and D-S INCL BILL TYPE - Line_Quantity (DAYS_RANGE; INCL SAME DOS; XPROV) (QTY PER PROC, ADD LINE=Y)</t>
  </si>
  <si>
    <t>INDIVIDUAL PROC denial due to FREQ with D-S EXCL BILL TYPE  - Line Quantity (CALENDAR_YEAR;INCL SAME DOS; XPROV)(QTY PER PROC, ADD LINE=Y)</t>
  </si>
  <si>
    <t>INDIVIDUAL PROC denial due to FREQ with D-S INCL DX, D-S INCL POS, and D-S INCL PROV SPEC - Line Quantity (SAME DOS; XPROV)(QTY PER PROC, ADD LINE=Y)</t>
  </si>
  <si>
    <t>INDIVIDUAL PROC denial due to FREQ with D-S INCL MOD, D-S INCL PROV SPEC - Line_Quantity (SAME DOS; XPROV) (QTY PER PROC, ADD LINE=Y)</t>
  </si>
  <si>
    <t>INDIV PROC denial due to FREQ with INCL POS and INCL AGE - Line Quantity (CALENDAR_YEAR; INCL SAME DOS; SAME PROV)  (QTY per PROC; ADD LINE=Y)</t>
  </si>
  <si>
    <t>INDIVIDUAL PROC denial due to FREQ with INCL POS and INCL AGE - Line Quantity (CALENDAR_YEAR; INCL SAME DOS; SAME PROV)(QTY PER PROC, ADD LINE=Y)</t>
  </si>
  <si>
    <t>INDIVIDUAL PROC denial due to FREQ with INCL AGE - Line Quantity (CALENDAR_YEAR; INCL SAME DOS; SAME PROV)(QTY PER PROC, ADD LINE=Y)</t>
  </si>
  <si>
    <t>INDIVIDUAL PROC denial due to FREQ with INCL AGE and  D-S EXCL MOD (CALENDAR YEAR; INCL SAME DOS; XPROV) (QTY per PROC, ADD LINE=Y)</t>
  </si>
  <si>
    <t>INDIVIDUAL PROC denial due to FREQ with D-S INCL DX - Line Quantity (CALENDAR_YEAR;INCL SAME DOS; SAME PROV) (QTY PER PROC, ADD LINE=Y)</t>
  </si>
  <si>
    <t>INDIVIDUAL PROC denial due to FREQ with D-S INCL MOD, D-S INCL PROV SPEC - Line_Quantity (CALENDAR_MONTH; INCL SAME DOS; XPROV)(QTY PER PROC, ADD LINE=Y)</t>
  </si>
  <si>
    <t>INDIVIDUAL PROC denial due to FREQ with D-S INCL POS, D-S INCL MOD, and D-S INCL PROV SPEC - Line_Quantity (SAME DOS; XPROV) (QTY per PROC and ADD LINE=Y)</t>
  </si>
  <si>
    <t>INDIVIDUAL PROC denial due to FREQ with D-S INCL POS, D-S INCL MOD, D-S INCL AGE, and D-S INCL PROV SPEC - Line_Quantity (CALENDAR_YEAR; INCL SAME DOS; XPROV) (QTY per PROC and ADD LINE=Y)</t>
  </si>
  <si>
    <t>INDIVIDUAL PROC denial due to FREQ with D-S INCL POS, D-S INCL MOD, and D-S INCL PROV SPEC - Line_Quantity (CALENDAR_MONTH; INCL SAME DOS; SAME PROV) (QTY per PROC and ADD LINE=Y)</t>
  </si>
  <si>
    <t>INDIVIDUAL PROC denial due to FREQ with D-S INCL POS, D-S INCL MOD, D-S INCL AGE, and D-S INCL PROV SPEC - Line_Quantity (CALENDAR_YEAR; INCL SAME DOS; SAME PROV) (QTY per PROC and ADD LINE=Y)</t>
  </si>
  <si>
    <t>INDIVIDUAL PROC denial due to FREQ with D-S INCL MOD and D-S INCL DX - Line Quantity (SAME DOS; XPROV) (QTY PER PROC and ADD LINE=Y)</t>
  </si>
  <si>
    <t>GROUP PROC denial due to FREQ with D-S INCL DX - Line_Quantity accumulation (SAME DOS; XPROV)(QTY=1 and ADD LINE=Y)</t>
  </si>
  <si>
    <t>INDIVIDUAL PROC denial due to FREQ with D-S INCL DX and INCL AGE - Line Quantity (CALENDAR YEAR; INCL SAME DOS; XPROV) (QTY PER PROC, ADD LINE=Y)</t>
  </si>
  <si>
    <t>INDIVIDUAL PROC denial due to FREQ - Line_Quantity (SAME DOS; PROV_ID)(QTY PER PROC, ADD LINE=Y)</t>
  </si>
  <si>
    <t>INDIVIDUAL PROC denial due to FREQ with D-S INCL DX - Line Quantity (CALENDAR YEAR; INCL SAME DOS; XPROV)(QTY PER PROC, ADD LINE=Y)</t>
  </si>
  <si>
    <t>INDIVIDUAL PROC denial due to FREQ with D-S INCL PROV SPEC - Line_Quantity (SAME DOS; XPROV)(QTY PER PROC and ADD LINE=Y)</t>
  </si>
  <si>
    <t>INDIVIDUAL PROC denial due to FREQ with D-S INCL PRINCIPAL DIAG - Line Quantity (DAYS_RANGE; INCL SAME DOS; XPROV)(QTY PER PROC, ADD LINE=Y)</t>
  </si>
  <si>
    <t>INDIVIDUAL PROC denial due to FREQ with D-S EXCL DX - Line Quantity (CALENDAR_YEAR;INCL SAME DOS; SAME PROV)(QTY PER PROC, ADD LINE=Y)</t>
  </si>
  <si>
    <t>PROC GROUP denial due to FREQ with INCL D-S DX1 and EXCL D-S DX2- Line Quantity (DAYS_RANGE; INCL SAME DOS; XPROV)(QTY&gt;1 and ADD LINE=Y)</t>
  </si>
  <si>
    <t>PROC GROUP denial due to FREQ with INCL D-S BILL TYPE - Line Quantity (DAYS_RANGE; INCL SAME DOS; XPROV) (QTY=1 and ADD LINE=Y) (ALL_FAC)</t>
  </si>
  <si>
    <t>PROC GROUP denial due to FREQ with D-S INCL DX - Line_Quantity accumulation (SAME DOS; XPROV)(QTY=1 and ADD LINE=Y) (SAME CLAIM)</t>
  </si>
  <si>
    <t>INDIVIDUAL PROC denial due to FREQ with D-S INCL MOD, PROV SPEC, PROV TYPE - Line_Quantity (SAME DOS; XPROV)(QTY PER PROC, ADD LINE=Y)</t>
  </si>
  <si>
    <t>INDIVIDUAL PROC denial due to FREQ with D-S INCL MOD, D-S INCL POS, D-S INCL PROVSPEC &amp; D-S INCL PROVTYPE - Line Quantity (DAYS_RANGE;INCL SAME DOS;XPROV) (QTY PER PROC, ADD LINE=Y)</t>
  </si>
  <si>
    <t>PROC GROUP denial due to FREQ with D-S INCL PROV SPEC and D-S INCL DX - Line Quantity (DAYS_RANGE; INCL SAME DOS; XPROV) (QTY=1 and ADD LINE=Y)</t>
  </si>
  <si>
    <t>INDIVIDUAL PROC denial due to FREQ with D-S INCL DX, D-S INCL PROV SPEC and D-S INCL PROV TYPE - Line Quantity (SAME DOS; XPROV)(QTY PER PROC, ADD LINE=Y)</t>
  </si>
  <si>
    <t>INDIVIDUAL PROC denial due to FREQ with D-S INCL DX, D-S INCL PROV SPEC and D-S INCL PROV TYPE - Line Quantity (DAYS_RANGE; INCL SAME DOS; XPROV)(QTY PER PROC, ADD LINE=Y)</t>
  </si>
  <si>
    <t>INDIVIDUAL PROC denial due to FREQ with D-S INCL PROV TYPE and D-S INCL PROV SPEC - Line Quantity (SAME DOS; SAME PROV)(QTY PER PROC, ADD LINE=Y)</t>
  </si>
  <si>
    <t>INDIVIDUAL PROC denial due to FREQ with D-S INCL MOD, D-S INCL PROV TYPE and D-S INCL PROV SPEC - Line Quantity (SAME DOS; SAME PROV)(QTY PER PROC, ADD LINE=Y)</t>
  </si>
  <si>
    <t>INDIVIDUAL PROC denial due to FREQ with D-S INCL MOD, D-S INCL PROV TYPE and D-S INCL PROV SPEC - Line Quantity (DAYS_RANGE; INCL SAME DOS; SAME PROV)(QTY PER PROC, ADD LINE=Y)</t>
  </si>
  <si>
    <t>INDIVIDUAL PROC denial due to FREQ with D-S INCL MOD, INCL PROV TYPE, INCL PROV SPEC – Line Quantity (CALENDAR_YEAR; INCL SAME DOS; SAME PROV) (QTY PER PROC, ADD LINE=Y)</t>
  </si>
  <si>
    <t>PROC GROUP denial due to FREQ with D-S INCL PROV TYPE - Line Quantity (DAYS_RANGE; INCL SAME DOS; XPROV)(QTY=1 and ADD LINE=Y)</t>
  </si>
  <si>
    <t>INDIVIDUAL PROC denial due to FREQ with D-S INCL MOD and D-S INCL PROVTYPE - Line Quantity (CALENDAR MONTH; INCL SAME DOS; XPROV)(QTY PER PROC, ADD LINE=Y)</t>
  </si>
  <si>
    <t>INDIVIDUAL PROC denial due to FREQ with D-S INCL BILL TYPE and D-S INCL PROV TYPE - Line Quantity (SAME DOS; SAME BILLING_NPI)(QTY PER PROC, ADD LINE=Y)</t>
  </si>
  <si>
    <t>REV CODE GROUP denial due to FREQ with INCL PROV TYPE - Line Quantity (SAME DOS;XPROV) (QTY &gt;1 and ADD LINE=Y) (ALL FAC)</t>
  </si>
  <si>
    <t>INDIVIDUAL PROC denial due to FREQ with D-S EXCL DX and D-S INCL PROV TYPE - Line Quantity (DAYS_RANGE; INCL SAME DOS; XPROV)(QTY PER PROC, ADD LINE=Y)</t>
  </si>
  <si>
    <t>PROC GROUP denial due to FREQ with D-S INCL PROV TYPE - Line Quantity (DAYS_RANGE; INCL SAME DOS; XPROV)(QTY&gt;1 and ADD LINE=Y)</t>
  </si>
  <si>
    <t>INDIVIDUAL PROC denial due to FREQ with D-S INCL PROV SPEC and D-S INCL PROV TYPE - Line Quantity (DAYS_RANGE, INCL SAME DOS; XPROV)(QTY PER PROC, ADD LINE=Y)</t>
  </si>
  <si>
    <t>REV CODE GROUP denial due to FREQ with INCL D-S BILL TYPE and INCL D-S PROV SPEC - Line_Quantity (CALENDAR YEAR;INCL SAME DOS; XPROV)(QTY&gt;1 and ADD LINE=Y)(ALL_FAC)</t>
  </si>
  <si>
    <t>REV CODE GROUP denial due to FREQ with INCL D-S PROV TYPE - Line Quantity (CALENDAR_YEAR; INCL SAME DOS; XPROV) (QTY &gt;1 and ADD LINE=Y)</t>
  </si>
  <si>
    <t>INDIVIDUAL PROC denial due to FREQ with D-S EXCL MOD, D-S INCL PROVSPEC and D-S INCL PROVTYPE - Line Quantity (SAME DOS; XPROV)(QTY PER PROC, ADD LINE=Y)</t>
  </si>
  <si>
    <t>INDIVIDUAL PROC denial due to FREQ with D-S EXCL MOD, D-S INCL POS - Line Quantity (SAME DOS; XPROV)(QTY PER PROC, ADD LINE=Y)</t>
  </si>
  <si>
    <t>INDIVIDUAL PROC denial due to FREQ with D-S INCL PROV TYPE and D-S INCL PROV SPEC - Line_Quantity (CALENDAR_YEAR; INCL SAME DOS; XPROV)(QTY PER PROC, ADD LINE=Y)</t>
  </si>
  <si>
    <t>DEF_KY_FS_PREV_RSV60</t>
  </si>
  <si>
    <t>PROC denial due to present age with INCL PROV TYPE and EXCL DX</t>
  </si>
  <si>
    <t>DEFAULT Pattern #</t>
  </si>
  <si>
    <t>EDIT TYPE</t>
  </si>
  <si>
    <t>PATTERN DESCRIPTION</t>
  </si>
  <si>
    <t>Characters</t>
  </si>
  <si>
    <t>Deny individual PROC code when QTY exceeds max allowed limit on the same DOS, by any PROV, with PROV TYPE and POS present on deny and support, and two distinct MODIFIERS are present on both deny and support line</t>
  </si>
  <si>
    <t>Deny PROC code if DX code is not present and MOD is not present.</t>
  </si>
  <si>
    <t>Deny PROC code if qty exceeds the max allowed limit within the given days range (including the same DOS) by any PROV and DX is present on deny and support line</t>
  </si>
  <si>
    <t>Deny if PROC code if line qty is greater than 1 or correct MOD is not present.</t>
  </si>
  <si>
    <t>Deny PROC code if qty exceeds the max allowed limit within the given days range (including the same DOS) by same PROV and DX present on deny and support line.</t>
  </si>
  <si>
    <t xml:space="preserve">Deny PROC code if present on the same day as the support code when MOD is not present on support line, and PROC codes are billed by the same NPI. </t>
  </si>
  <si>
    <t xml:space="preserve">Deny PROC code if PROV SPEC is not present and  MOD is present. </t>
  </si>
  <si>
    <t>Deny PROC code if 2 distinct DX codes are not present, or deny PROC code when a third DX code is not present on the same line.</t>
  </si>
  <si>
    <t xml:space="preserve">Deny if individual PROC code qty exceeds the max allowed limit on the same day, by the same PROV, and if  any MOD is present. </t>
  </si>
  <si>
    <t>Deny if individual PROC code qty exceeds the max allowed limit within the given days range, including same DOS, by any PROV and MOD is not present on support and current lines.</t>
  </si>
  <si>
    <t xml:space="preserve">Deny individual PROC code if qty exceeds the max allowed limit on the same day, by any PROV and any Modifier is present. 
</t>
  </si>
  <si>
    <t xml:space="preserve">Deny if individual PROC code qty exceeds the 1 per day limit by any PROV and the MOD is not present on the deny line. </t>
  </si>
  <si>
    <t>Deny individual PROC code if qty exceeds the max allowed limit within the given days range (including same DOS) by any PROV and MOD is present on current and support lines.</t>
  </si>
  <si>
    <t>Deny individual PROC code if qty exceeds 1 per day  limit by any PROV and  MOD is present on current and support lines.</t>
  </si>
  <si>
    <t xml:space="preserve">Deny PROC codes in the same subgroup, in any combination, when member age is met, and the QTY exceeds the MAX allowed within the days range (including the same DOS) by the same PROV. </t>
  </si>
  <si>
    <t>Deny PROC code when MOD and POS are not present, and a different MOD is present.</t>
  </si>
  <si>
    <t>PROC GROUP denial due to FREQ with INCL POS and INCL AGE - Line Quantity (SAME DOS; XPROV) (QTY&gt;1 and ADD LINE =N)</t>
  </si>
  <si>
    <t>Deny the PROC codes in the same subgroup, in any combination, when member age is met, and the QTY exceeds the MAX allowed on the same DOS by any PROV, with POS present.</t>
  </si>
  <si>
    <t>Deny individual PROC code when the QTY exceeds the maximum allowed per day by the same PROV and the MOD is present on both deny and support lines.</t>
  </si>
  <si>
    <t>Deny individual PROC code when the QTY exceeds the MAX allowed within the days range (including the same DOS) by any PROV and the DX code is present on both deny and support lines.</t>
  </si>
  <si>
    <t>Deny the PROC codes in the same subgroup, in any combination, when  the QTY exceeds the MAX allowed on the same day by same PROV and the MOD in the category is NOT present on the deny line.</t>
  </si>
  <si>
    <t xml:space="preserve">PROC denial due to NOT PRESENT MOD1 and/or NOT PRESENT MOD2 with INCL REV </t>
  </si>
  <si>
    <t>Deny individual PROC code if QTY exceeds allowed amount on the same DOS by any PROV and the revenue code in the category is present on both deny and support lines.</t>
  </si>
  <si>
    <t>Deny PROC code if QTY exceeds the max allowed limit in a given days range (including the same DOS) by the same provider, and MOD is not present on both deny and support lines.</t>
  </si>
  <si>
    <t xml:space="preserve">Deny PROC code when MOD is present and DX is present in the first position on claim header DX or line DX. </t>
  </si>
  <si>
    <t>Deny individual PROC code  if QTY exceeds allowed amount on the same DOS by any PROV and the PROV SPEC is present on both deny and support lines.</t>
  </si>
  <si>
    <t>Deny individual PROC code if QTY exceeds allowed amount on the same DOS by any PROV and the PROV SPEC code in the category is present on both deny and support lines.</t>
  </si>
  <si>
    <t>Deny proc code in the same subgroup, if qty exceeds max allowed in given days range (including same DOS) by any PROV with prov spec present on both deny and support lines.</t>
  </si>
  <si>
    <t>Deny PROC code if support code is not present on the same DOS by the same PROV with MOD in the present on both deny and support lines.</t>
  </si>
  <si>
    <t>Deny PROC code if support code is not present on the same DOS by any PROV with MOD present on both deny and support lines.</t>
  </si>
  <si>
    <t>Deny PROC code if support code is not present with the given days range (including the same DOS) by any PROV with MOD not present on deny line.</t>
  </si>
  <si>
    <t>Deny PROC code if QTY exceeds the max allowed limit in a CALENDAR YEAR (including the same DOS) by same provider.</t>
  </si>
  <si>
    <t>Deny individual PROC code if billed on the same DOS by any PROV with POS code in the category present on both deny and support lines.</t>
  </si>
  <si>
    <t xml:space="preserve">Deny PROC code when MOD is present and correct DX, POS, PROV SPEC and PROV TYPE are not present. </t>
  </si>
  <si>
    <t>Deny PROC code when MOD is present and a different MOD is not present.</t>
  </si>
  <si>
    <t xml:space="preserve">Deny PROC code if QTY exceeds the max allowed limit in a given days range (incuding the same DOS) by any provider, with gender present and age is met.
</t>
  </si>
  <si>
    <t>Deny individual PROC code if QTY exceeds allowed amount on the same DOS by any PROV with POS code in the category present on both deny and support lines.</t>
  </si>
  <si>
    <t>Deny PROC code when two distinct MOD are not present, or deny PROC code when a different MOD is not present.</t>
  </si>
  <si>
    <t>Deny PROC code if support code is present in given days (including the same DOS) by any PROV with PROV SPEC code in the category present on both deny and support lines.</t>
  </si>
  <si>
    <t>Deny individual PROC code if QTY exceeds allowed amount on the same DOS by any PROV with POS code and PROV SPEC code present on both deny and support lines.</t>
  </si>
  <si>
    <t>Deny PROC codes in the same subgroup, in any combination, when the QTY exceeds the maximum allowed in the same DOS by any PROV with POS and PROV SPEC present on both deny and support lines.</t>
  </si>
  <si>
    <t>Deny PROC codes in the same subgroup, in any combination, when the QTY exceeds the max allowed in the same DOS by any PROV with POS code and PROV SPEC present on both deny and support lines.</t>
  </si>
  <si>
    <t>Deny PROC code when MOD or POS is present, and PROV SPEC is present.</t>
  </si>
  <si>
    <t>Deny the PROC codes in the same subgroup, in anycombination, when the QTY exceeds the MAX allowed in the same DOS by any PROV with PROV SPEC code in the category present on both deny and support.</t>
  </si>
  <si>
    <t>Deny the PROC codes in the same subgroup, in any combination, if QTY exceeds MAX allowed limit on the same DOS by the same PROV with POS code not present on both deny and support lines.</t>
  </si>
  <si>
    <t>Deny PROC codes when two distinct DX codes are not present.</t>
  </si>
  <si>
    <t>Deny procedure code when member age is met and DX code is not present</t>
  </si>
  <si>
    <t>Deny individual PROC code if QTY exceeds allowed amount on the same DOS by the same billing provider FTIN, with MOD in the category not present on deny line.</t>
  </si>
  <si>
    <t>Deny PROC codes in the same subgroup, in any combination, when the QTY exceeds the MAX allowed in a calendar year (including the same DOS) by any PROV with MOD  present on both deny and support lines.</t>
  </si>
  <si>
    <t>Deny the PROC codes in the same subgroup, in any combination, when the QTY exceeds the MAX allowed on the same DOS by any PROV with MOD present on both deny and support lines.</t>
  </si>
  <si>
    <t>Deny PROC code with POS in the category present and PROV SPEC is not present.</t>
  </si>
  <si>
    <t>Deny PROC code if support code is not present in the same DOS by any PROV with POS code present on support line.</t>
  </si>
  <si>
    <t>Deny PROC code if support code is not present in the same DOS by any PROV with revenue code present on support line.</t>
  </si>
  <si>
    <t>Deny PROC code with a DX code from a category present and gender is not present.</t>
  </si>
  <si>
    <t>Deny PROC code if POS code, DX code, PROV SPEC code and PROV TYPE code are not present.</t>
  </si>
  <si>
    <t>Deny PROC code if POS code from a category is present and DX code, PROV SPEC code and PROV TYPE code are not present.</t>
  </si>
  <si>
    <t>Deny PROC codes in the same subgroup, in any combination, when the QTY exceeds the MAX allowed in a calendar year (including the same DOS) by any PROV with DX present on deny and support lines.</t>
  </si>
  <si>
    <t>Deny PROC code if support code is not present in the same DOS by any PROV and the member age is met.</t>
  </si>
  <si>
    <t>Deny individual PROC code if QTY exceeds allowed amount in a given days range including same DOS by any PROV and patient age is met.</t>
  </si>
  <si>
    <t>Deny the PROC codes in the same subgroup, in any combination, when the QTY exceeds the MAX allowed in the same DOS by any PROV with POS present on both deny and support lines.</t>
  </si>
  <si>
    <t>Deny PROC code if support code is submitted on the same DOS by the same PROV and the MOD in the category is present on the support line.</t>
  </si>
  <si>
    <t>Deny revenue code if support code is not present in the same DOS by any PROV with bill type present on both deny and support lines.</t>
  </si>
  <si>
    <t>Deny PROC code when two distinct DX codes are present and a different DX code is not present.</t>
  </si>
  <si>
    <t>Deny PROC code when two distinct DX codes and POS are not present, or deny PROC code when a different DX code and POS are not present.</t>
  </si>
  <si>
    <t>Deny PROC code when two distinct DX codes and BILL TYPE are not present,  OR deny PROC when a different DX code and BILL TYPE are not present.</t>
  </si>
  <si>
    <t>Deny PROC code if QTY exceeds allowed amount in a given days range including the same DOS by any PROV with PROV TYPE code in the category present on both deny and support lines.</t>
  </si>
  <si>
    <t>Deny PROC code if support code is not present in the same DOS by any PROV with MOD present on deny line.</t>
  </si>
  <si>
    <t>PROC denial due to NOT PRESENT OTHER PROC with DENY INCL MOD1 and SUPPORT INCL MOD2 (1-KEY D-S; SAME DOS; XPROV)</t>
  </si>
  <si>
    <t>PROC GROUP denial due to FREQ with D-S INCL DX - Line QTY (DAYS_RANGE; INCL SAME DOS; XPROV)(QTY&gt;1 and ADD LINE=N)</t>
  </si>
  <si>
    <t>PROC GROUP denial due to FREQ with D-S EXCL MOD- Line QTY (SAME DOS; SAME PROV)(QTY=1 and ADD LINE=N)</t>
  </si>
  <si>
    <t>REV CODE denial due to NOT PRESENT Gender</t>
  </si>
  <si>
    <t xml:space="preserve">REV CODE GROUP denial with Code due to FREQ with INCL AGE - Line_QTY accumulation (DAYS_RANGE;SAME DOS; XPROV)(QTY&gt;1 and ADD LINE=N)(ALL_FAC) </t>
  </si>
  <si>
    <t>INDIVIDUAL PROC denial due to FREQ with INCL AGE and D-S INCL PROV SPEC - Line_QTY (SAME DAY; XPROV)(QTY PER PROC, ADD LINE=N)</t>
  </si>
  <si>
    <t>INDIVIDUAL PROC denial due to FREQ with D-S INCL MOD1 and EXCL D-S MOD2 - Line_QTY (DAYS_RANGE; INCL SAME DOS; XPROV)(QTY PER PROC, ADD LINE=N)</t>
  </si>
  <si>
    <t>PROC denial due to FREQ with D-S INCL MOD - Line_QTY (SAME DOS; XPROV)(QTY &gt;1, ADD LINE=N)</t>
  </si>
  <si>
    <t>INDIVIDUAL PROC denial due to FREQ with D-S INCL MOD1 and MOD2 - Line_QTY (DAYS_RANGE; INCL SAME DOS; XPROV)(QTY PER PROC, ADD LINE=N)</t>
  </si>
  <si>
    <t xml:space="preserve">Deny individual PROC code when the QTY exceeds the maximum allowed limit within days range (including same DOS) by any PROV when both MODs are found on the deny and support line. </t>
  </si>
  <si>
    <t>MOD denial due to PRESENT PROV TYPE. (ALL_FAC)</t>
  </si>
  <si>
    <t>PROC denial due to NOT PRESENT OTHER PROC with D-S INCL POS (1-KEY D-S, SAME DOS; XPROV)</t>
  </si>
  <si>
    <t>PROC GROUP denial due to FREQ with INCL D-S BILL TYPE - Line QTY (SAME DOS;XPROV) (QTY =1 and ADD LINE=N)</t>
  </si>
  <si>
    <t>INDIVIDUAL PROC denial due to FREQ with D-S INCL POS - Line QTY (SAME DOS; XPROV)(QTY PER PROC, ADD LINE=N)</t>
  </si>
  <si>
    <t>INDIVIDUAL PROC denial due to FREQ - Line QTY with D-S INCL MOD and D-S INCL PROV TYPE (SAME DOS; XPROV) (QTY PER PROC, ADD LINE=N)</t>
  </si>
  <si>
    <t>Deny procedure code if support code is present in given days (including the same date of service) by any provider when DX is not present on the deny line.</t>
  </si>
  <si>
    <t>PROC GROUP denial due to FREQ with D-S EXCL MOD- Line QTY (DAYS_RANGE, INCL SAME DOS; XPROV)(QTY&gt;1 and ADD LINE=N)</t>
  </si>
  <si>
    <t>PROC GROUP denial due to FREQ with D-S INCL MOD- Line QTY (DAYS_RANGE, INCL SAME DOS; XPROV)(QTY&gt;1 and ADD LINE=N)</t>
  </si>
  <si>
    <t>PROC GROUP denial due to FREQ with D-S EXCL MOD- Line QTY (SAME DOS; XPROV)(QTY=1 and ADD LINE=N)</t>
  </si>
  <si>
    <t>PROC denial due to NOT PRESENT OTHER PROC WITH INCL TOS (1-KEY D-S; SAME DOS; XPROV)</t>
  </si>
  <si>
    <t>INDIVIDUAL PROC denial due to FREQ - Line_QTY (Qty=1) accumulation (SAME DOS; XPROV) INCL PROV SPEC</t>
  </si>
  <si>
    <t>INDIVIDUAL PROC denial due to FREQ with D-S INCL TOS and D-S INCL BILL TYPE - Line_QTY (DAYS_RANGE; INCL SAME DOS; XPROV) (QTY PER PROC, ADD LINE=N) (ALL_FAC)</t>
  </si>
  <si>
    <t>INDIVIDUAL PROC denial due to FREQ with INCL D-S MOD and D-S INCL TOS - Line_QTY (DAYS_RANGE; XPROV) (QTY PER PROC, ADD LINE=N)</t>
  </si>
  <si>
    <t>INDIVIDUAL PROC denial due to FREQ with INCL D-S TOS and D-S EXCL MOD and-Line_QTY (DAYS_RANGE; XPROV) (QTY PER PROC, ADD LINE=N)</t>
  </si>
  <si>
    <t>INDIVIDUAL PROC denial due to FREQ with D-S INCL DX and D-S INCL TOS - Line QTY (DAYS_RANGE; INCL SAME DOS; XPROV) (QTY PER PROC, ADD LINE=N)</t>
  </si>
  <si>
    <t>PROC denial due to NOT PRESENT GENDER with INCL DX and INCL TOS</t>
  </si>
  <si>
    <t>PROC denial due to PRESENT AGE with INCL DX and INCL TOS</t>
  </si>
  <si>
    <t>PROC GROUP denial due to FREQ  with INCL AGE AND EXCL D-S DX - Line QTY (CALENDAR_YEAR; INCL SAME DOS; SAMEPROV)(QTY=1 and ADD LINE=N)</t>
  </si>
  <si>
    <t>PROC GROUP denial due to FREQ  with INCL AGE, INCL GENDER, INCL D-S DX AND INCL D-S PROV SPEC - Line QTY (CALENDAR_YEAR; INCL SAME DOS; SAMEPROV)(QTY=1 and ADD LINE=N)</t>
  </si>
  <si>
    <t>PROC denial due to PRESENT POA and PRESENT DX1 or ICD10_1 and NOT PRESENT DX2, DX3, or ICD10_2 with INCL BILL TYPE and AGE</t>
  </si>
  <si>
    <t>PROC GROUP denial due to FREQ with D-S INCL DX- Line QTY (DAYS_RANGE, INCL SAME DOS; PROV_ID;FTIN_ANY_SPEC)(QTY=1 and ADD LINE=N)</t>
  </si>
  <si>
    <t>PROC GROUP denial due to FREQ with D-S INCL DX and D-S INCL MOD- Line QTY (DAYS_RANGE, INCL SAME DOS; XPROV)(QTY=1 and ADD LINE=N)</t>
  </si>
  <si>
    <t>PROC denial due to PRESENT OTHER PROC with D-S INCL DX (1-KEY D-S; CALENDAR_YEAR; INCL SAME DOS; XPROV)</t>
  </si>
  <si>
    <t>PROC GROUP denial due to FREQ - Line QTY with D-S INCL MOD and D-S INCL PROV TYPE (SAME DOS; XPROV) (QTY &gt;1, ADD LINE=N)</t>
  </si>
  <si>
    <t>INDIVIDUAL PROC denial due to FREQ - Line QTY (CALENDAR_MONTH; INCL SAME DOS; SAME PROV)(QTY PER PROC, ADD LINE=N)</t>
  </si>
  <si>
    <t>INDIVIDUAL PROC denial due to FREQ with D-S INCL POS and D-S INCL PROV TYPE - Line QTY (DAYS_RANGE; INCL SAME DOS; XPROV)(QTY PER PROC, ADD LINE=N)</t>
  </si>
  <si>
    <t>PROC GROUP denial due to FREQ with D-S INCL MOD and D-S INCL GENDER- Line QTY (DAYS_RANGE, INCL SAME DOS; XPROV)(QTY=1 and ADD LINE=N)</t>
  </si>
  <si>
    <t>PROC GROUP denial due to FREQ with D-S EXCL MOD and D-S EXCL GENDER- Line QTY (DAYS_RANGE, INCL SAME DOS; XPROV)(QTY=1 and ADD LINE=N)</t>
  </si>
  <si>
    <t>Deny the PROC code in the same subgroup, in any combination, when QTY exceeds allowed limit within days range, including same DOS by any PROV with MOD and GENDER not present on deny and support lines.</t>
  </si>
  <si>
    <t>PROC GROUP denial due to FREQ with D-S INCL DX and D-S INCL GENDER- Line QTY (DAYS_RANGE, INCL SAME DOS; XPROV)(QTY&gt;1 and ADD LINE=N)</t>
  </si>
  <si>
    <t>Deny the PROC code in the same subgroup, in any combination, when QTY exceeds allowed limit within days range, including same DOS by any PROV with DX and GENDER present on deny and support lines.</t>
  </si>
  <si>
    <t>PROC GROUP denial due to FREQ with D-S INCL GENDER- Line QTY (DAYS_RANGE, INCL SAME DOS; PROV_DIFF)(QTY&gt;1 and ADD LINE=N)</t>
  </si>
  <si>
    <t>Deny the PROC code in the same subgroup, in any combination, when QTY exceeds allowed limit within days range, including same DOS by a different PROV with GENDER present on deny and support lines.</t>
  </si>
  <si>
    <t>PROC denial due to NOT PRESENT MOD, and-or NOT PRESENT POS with INCL PROV TYPE and INCL PROV SPEC</t>
  </si>
  <si>
    <t>Deny PROC when MOD and POS are not present and PROV TYPE and PROV SPEC are present.</t>
  </si>
  <si>
    <t>INDIVIDUAL PROC denial due to FREQ with D-S INCL PROV SPEC and D-S INCL PROV TYPE - Line QTY (SAME DOS; XPROV)(QTY PER PROC, ADD LINE=N)</t>
  </si>
  <si>
    <t>Deny individual PROC code if QTY exceeds the max allowed limit on the same DOS, by any PROV, when PROV SPEC and PROV TYPE are present on deny and support lines.</t>
  </si>
  <si>
    <t>REV CODE GROUP denial with due to FREQ - Line_QTY accumulation with D-S INCL BILL TYPE (CALENDAR YEAR; INCL SAME DOS; XPROV)(QTY&gt;1 and ADD LINE=N)(ALL_FAC)</t>
  </si>
  <si>
    <t>INDIVIDUAL PROC denial due to FREQ with D-S INCL BILL TYPE - Line QTY (SAME DOS; XPROV)(QTY PER PROC, ADD LINE=N) (ALL_FAC)</t>
  </si>
  <si>
    <t xml:space="preserve">Deny PROC code when PROV TYPE and PROV SPEC are present. </t>
  </si>
  <si>
    <t>INDIVIDUAL PROC denial due to FREQ with D-S INCL PROV TYPE - Line QTY (SAME DOS; XPROV)(QTY PER PROC, ADD LINE=N)</t>
  </si>
  <si>
    <t>INDIVIDUAL PROC denial due to FREQ - Line QTY with INCL D-S PROVTYPE and INCL D-S POS (CALENDAR_MONTH; INCL SAME DOS; XPROV)(QTY PER PROC, ADD LINE=N)</t>
  </si>
  <si>
    <t>INDIVIDUAL PROC denial due to FREQ - Line QTY with INCL D-S PROV TYPE, INCL D-S PROVSPEC, &amp; INCL D-S POS (CALENDAR_MONTH; INCL SAME DOS; XPROV)(QTY PER PROC, ADD LINE=N)</t>
  </si>
  <si>
    <t>INDIVIDUAL PROC denial due to FREQ - Line QTY with INCL D-S PROV TYPE, INCL D-S PROVSPEC, &amp; INCL D-S POS (CALENDAR_YEAR; INCL SAME DOS; XPROV)(QTY PER PROC, ADD LINE=N)</t>
  </si>
  <si>
    <t>INDIVIDUAL PROC denial due to FREQ - Line QTY with INCL D-S PROV TYPE, INCL D-S PROVSPEC, &amp; INCL D-S POS (DAYS_RANGE; INCL SAME DOS; XPROV)(QTY PER PROC, ADD LINE=N)</t>
  </si>
  <si>
    <t>INDIVIDUAL PROC denial due to FREQ with D-S INCL MOD, D-S INCL POS, and D-S INCL PROV TYPE - Line QTY (SAME DOS; XPROV)(QTY PER PROC, ADD LINE=N)</t>
  </si>
  <si>
    <t xml:space="preserve">PROC denial due to AGE with PRESENT PROV TYPE, PRESENT PROV SPEC, and PRESENT MOD  </t>
  </si>
  <si>
    <t>INDIVIDUAL PROC denial due to FREQ - Line QTY with INCL D-S PROV TYPE, INCL D-S PROVSPEC, &amp; INCL D-S POS (SAME DOS; XPROV)(QTY PER PROC, ADD LINE=N)</t>
  </si>
  <si>
    <t>PROC denial due to AGE with PRESENT PROV TYPE and NOT PRESENT MOD</t>
  </si>
  <si>
    <t>PROC denial due to NOT PRESENT GENDER with INCL AGE and PROVTYPE</t>
  </si>
  <si>
    <t>INDIVIDUAL PROC denial due to FREQ with D-S INCL POS,  D-S INCL PROV TYPE and D-S EXCL PROVSPEC,- Line QTY (SAME DOS; XPROV)(QTY PER PROC, ADD LINE=N)</t>
  </si>
  <si>
    <t>PROC denial due to NOT PRESENT GENDER with INCL PROVTYPE, INCL PROVSPEC, INCL AGE, &amp; EXCL MOD</t>
  </si>
  <si>
    <t>PROC GROUP denial due to FREQ with D-S INCL MOD, INCL AGE - Line QTY, (DAYS_RANGE, INCL SAME DOS, XPROV)(QTY=1 and ADD LINE=N)</t>
  </si>
  <si>
    <t>PROC GROUP denial due to FREQ with D-S INCL MOD, INCL AGE - Line QTY (DAYS_RANGE, INCL SAME DOS, XPROV)(QTY&gt;1 and ADD LINE=N)</t>
  </si>
  <si>
    <t>INDIVIDUAL PROC denial due to FREQ with D-S INCL MOD, D-S INCL POS, D-S INCL PROVSPEC &amp; D-S INCL PROVTYPE - Line QTY (CALENDAR MONTH; XPROV)(QTY PER PROC, ADD LINE=N)</t>
  </si>
  <si>
    <t xml:space="preserve">PROC denial due to present age with INCL PROV TYPE and PROV SPEC with EXCL POS
</t>
  </si>
  <si>
    <t>Deny PROC code if patient age criteria is met with present provider type and present provider specialty, and place of service is not present.</t>
  </si>
  <si>
    <t>INDIVIDUAL PROC denial due to FREQ with D-S INCL MOD, D-S INCL POS, D-S INCL PROVSPEC &amp; D-S INCL PROVTYPE - Line QTY (CALENDAR YEAR; XPROV)(QTY PER PROC, ADD LINE=N)</t>
  </si>
  <si>
    <t>INDIVIDUAL PROC denial due to FREQ with D-S INCL MOD1, D-S EXCL MOD2, D-S INCL POS, D-S INCL PROVSPEC &amp; D-S INCL PROVTYPE - Line QTY (SAME DOS; XPROV)(QTY PER PROC, ADD LINE=N)</t>
  </si>
  <si>
    <t>INDIVIDUAL PROC denial due to FREQ - Line QTY with D-S INCL PROV SPEC and D-S INCL MOD (DAYS_RANGE; XPROV) (QTY PER PROC, ADD LINE=N)</t>
  </si>
  <si>
    <t>Proc denial with NOT PRESENT MOD (Line_ProcMod1) with INCL MOD (ANY_SEC_PROC_MOD) and PRESENT OTHER PROC with INCL MOD (Line_ProcMod1) and (Line_ProcMod2)</t>
  </si>
  <si>
    <t>Proc denial with PRESENT MOD (Line_ProcMod1) and NOT PRESENT MOD (Line_ProcMod2) and PRESENT OTHER PROC with INCL MOD (Line_ProcMod1) and (Line_ProcMod2)</t>
  </si>
  <si>
    <t>INDIVIDUAL PROC denial due to FREQ with INCL AGE and D-S INCL MOD1 and D-S INCL MOD2 - Line QTY (DAYS_RANGE; INCL SAME DOS; SAME PROV_ID) (QTY PER PROC, ADD LINE=N)</t>
  </si>
  <si>
    <t>INDIVIDUAL PROC denial with EXCL D-S MOD due to Line_QTY accumulation (SAME DOS; XPROV)(QTY=1 and ADD LINE=N))</t>
  </si>
  <si>
    <t>INDIVIDUAL PROC denial with EXCL D-S MOD due to Line_QTY accumulation (SAME DOS; XPROV)(QTY&gt;1 and ADD LINE=N))</t>
  </si>
  <si>
    <t>INDIVIDUAL PROC denial due to FREQ - Line QTY (DAYS_RANGE; INCL SAME DOS; XPROV)(QTY=1 and ADD LINE=N)(ALL_FAC)</t>
  </si>
  <si>
    <t>Claim denial due to PRESENT BILL TYPE and PRESENT DX1 and NOT PRESENT POA with EXCL DX2</t>
  </si>
  <si>
    <t xml:space="preserve">Deny CLAIM when BILL TYPE is present, when DX code is present and POA is not present and when another DX code is not present. </t>
  </si>
  <si>
    <t>PROC denial due to NOT PRESENT Gender and PRESENT POS</t>
  </si>
  <si>
    <t>Claim denial due to PRESENT BILL TYPE and PRESENT DX1 or ECI  and NOT PRESENT POA with EXCL DX2</t>
  </si>
  <si>
    <t>PROC denial due to NO PRESENT MOD or PRESENT MOD</t>
  </si>
  <si>
    <t>INDIVIDUAL PROC denial due to FREQ - Line_QTY (CALENDAR_YEAR; INCL SAME DOS; PROV_ID(QTY PER PROC, ADD LINE=N)</t>
  </si>
  <si>
    <t>PROC denial due to NOT PRESENT OTHER PROC with D-S INCL PROV SPEC (1-KEY D-S; SAME DOS; SAME PROV)</t>
  </si>
  <si>
    <t>PROC denial due to PRESENT OTHER PROC with D-S INCL PROV SPEC; 2-KEY D-S; SAME DOS; SAME PROV</t>
  </si>
  <si>
    <t>Deny individual PROC code when the QTY exceeds the maximum allowed per day, by any PROV, when both MODs are found on the deny and support line.</t>
  </si>
  <si>
    <t>Claim Denial due to PRESENT BILL TYPE, PRESENT DX and NOT PRESENT POA</t>
  </si>
  <si>
    <t>PROC denial due to NOT PRESENT OTHER PROC with INCL D-S REV and INCL S-MOD (1-KEY D-S, SAME DOS, XPROV)</t>
  </si>
  <si>
    <t>INDIVIDUAL PROC denial due to FREQ - Line_QTY (SAME DOS; PROV_ID)(QTY PER PROC, ADD LINE=N) </t>
  </si>
  <si>
    <t>Deny procedure code if support procedure code is submitted within a calendar month across providers, with POS, PROV TYPE, and PROV SPEC present.</t>
  </si>
  <si>
    <t>Deny procedure code if submitted without the support code on the same day by any provider and provider type, provider spec, and place of service are not present on deny and support lines.</t>
  </si>
  <si>
    <t>PROC denial due to NOT PRESENT MOD with INCL POS, DX and PROV SPEC</t>
  </si>
  <si>
    <t>PROC denial due to PRESENT MOD with INCL POS, DX and PROV SPEC</t>
  </si>
  <si>
    <r>
      <rPr>
        <rFont val="Calibri"/>
        <color rgb="FF000000"/>
        <sz val="9.0"/>
      </rPr>
      <t>PROC denial due to AGE and NOT PRESENT GENDER</t>
    </r>
    <r>
      <rPr>
        <rFont val="Calibri"/>
        <color rgb="FF2F5496"/>
        <sz val="11.0"/>
      </rPr>
      <t> </t>
    </r>
  </si>
  <si>
    <r>
      <rPr>
        <rFont val="Calibri"/>
        <color rgb="FF000000"/>
        <sz val="9.0"/>
      </rPr>
      <t>PROC denial due to PRESENT AGE with INCL PROVTYPE, INCL PROVSPEC, INCL POS, INCL MOD and INCL GENDER.</t>
    </r>
    <r>
      <rPr>
        <rFont val="Calibri"/>
        <color rgb="FF2F5496"/>
        <sz val="11.0"/>
      </rPr>
      <t> </t>
    </r>
  </si>
  <si>
    <t>PROC denial due to NOT PRESENT POS and NOT PRESENT MOD with INCL PROV TYPE and PROV SPEC</t>
  </si>
  <si>
    <t xml:space="preserve">Deny PROC code when QTY exceeds allowed for a calendar month, including the same DOS, by any PROV and the PROV TYPE and PROV SPEC are present on deny and support line except when POS [insert] and MOD [insert] is not present on deny or support .
</t>
  </si>
  <si>
    <t>Deny claim line if procedure code is submitted with revenue code and provider type for all facility claim type.</t>
  </si>
  <si>
    <t>Deny PROC codes in the same subgroup, in any combination, when QTY exceeds allowed limit within a calendar year incl same DOS by any PROV with two distinct modifiers present on both deny and support.</t>
  </si>
  <si>
    <t>Deny PROC codes in the same subgroup, in any combination, when QTY exceeds allowed limit on the same DOS by the SAME PROV or SAME PROV FTIN Specialty.</t>
  </si>
  <si>
    <r>
      <rPr>
        <rFont val="Calibri"/>
        <color rgb="FF000000"/>
        <sz val="9.0"/>
      </rPr>
      <t xml:space="preserve">PROC denial due to PRESENT OTHER PROC with </t>
    </r>
    <r>
      <rPr>
        <rFont val="Calibri"/>
        <color rgb="FFFF0000"/>
        <sz val="9.0"/>
      </rPr>
      <t>INCL SUPPORT MOD1 and MOD2</t>
    </r>
    <r>
      <rPr>
        <rFont val="Calibri"/>
        <color rgb="FF000000"/>
        <sz val="9.0"/>
      </rPr>
      <t xml:space="preserve"> (1-KEY ; SAME DOS; XPROV)</t>
    </r>
  </si>
  <si>
    <t>INDIVIDUAL PROC denial due to FREQ  - Line_Quantity (DAYS_RANGE; XPROV)(QTY PER PROC, ADD LINE=N)</t>
  </si>
  <si>
    <t>Deny PROC code if support code is present on the same DOS by any provider, with DX not present on support lines.</t>
  </si>
  <si>
    <t>INDIVIDUAL PROC denial due to FREQ with D-S INCL MOD - Line_Quantity (SAME DOS; XPROV)(QTY PER PROC and ADD LINE=N)</t>
  </si>
  <si>
    <t>Deny individual PROC code if QTY exceeds max allowed limit on the same DOS, by any PROV, with MOD present on deny and support lines.</t>
  </si>
  <si>
    <t>Deny PROC code if DX code is present and bill type is present.</t>
  </si>
  <si>
    <t>PROC GROUP denial due to FREQ with INCL D-S BILL TYPE - Line QTY (DAYS_RANGE; INCL SAME DOS; XPROV) (QTY =1 and ADD LINE=N) (ALL_FAC)</t>
  </si>
  <si>
    <t>PROC denial due to PRESENT OTHER PROC with SUPPORT INCL DX, PROV TYPE, and PROV SPEC (1-KEY D-S; SAME DOS; XPROV)</t>
  </si>
  <si>
    <t>PROC denial due to AGE and PRESENT PROV TYPE and PRESENT DX.</t>
  </si>
  <si>
    <t>INDIVIDUAL PROC denial due to FREQ with D-S INCL MOD &amp; D-S INCL PROVTYPE - Line Quantity (CALENDAR MONTH; XPROV)(QTY PER PROC, ADD LINE=N)</t>
  </si>
  <si>
    <t>PROC denial due to NOT PRESENT GENDER with INCL DX and INCL PROV TYPE.</t>
  </si>
  <si>
    <t>INDIVIDUAL PROC denial due to FREQ with D-S INCL BILL TYPE and D-S INCL PROV TYPE - Line Quantity (SAME DOS; BILLING_NPI)(QTY PER PROC, ADD LINE=N)</t>
  </si>
  <si>
    <t>REV CODE GROUP denial due to FREQ with INCL PROV TYPE - Line Quantity (SAME DOS;XPROV) (QTY &gt;1 and ADD LINE=N) ALL FAC</t>
  </si>
  <si>
    <t>PROC denial due to NOT PRESENT MOD and DX with INCL POS</t>
  </si>
  <si>
    <r>
      <rPr>
        <rFont val="Calibri"/>
        <color rgb="FF000000"/>
        <sz val="9.0"/>
      </rPr>
      <t>Claim Denial due to PRESENT BILL TYPE and PRESENT DX</t>
    </r>
    <r>
      <rPr>
        <rFont val="Calibri"/>
        <color rgb="FFFF0000"/>
        <sz val="9.0"/>
      </rPr>
      <t xml:space="preserve"> (AnyClaimDx_FAC)</t>
    </r>
  </si>
  <si>
    <r>
      <rPr>
        <rFont val="Calibri"/>
        <color rgb="FF000000"/>
        <sz val="9.0"/>
      </rPr>
      <t xml:space="preserve">PROC denial due to NOT PRESENT OTHER PROC with D-S INCL PROV SPEC AND D-S INCL PROV TYPE (1-KEY D-S; SAME DOS; XPROV) </t>
    </r>
    <r>
      <rPr>
        <rFont val="Calibri"/>
        <color rgb="FFFF0000"/>
        <sz val="9.0"/>
      </rPr>
      <t>(SAME CLAIM)</t>
    </r>
  </si>
  <si>
    <t>INDIVIDUAL PROC denial due to FREQ with D-S EXCL MOD, D-S INCL PROVSPEC and D-S INCL PROVTYPE - Line Quantity (SAME DOS; XPROV)(QTY PER PROC, ADD LINE=N)</t>
  </si>
  <si>
    <t>Deny individual PROC code if QTY exceeds allowed limit within days range (incl same DOS) by any PROV with PROV SPEC and MOD present on both deny and support lines and member age is met.</t>
  </si>
  <si>
    <t>INDIVIDUAL PROC denial due to FREQ with D-S INCL BILL TYPE - Line Quantity (DAYS_RANGE, XPROV)(QTY PER PROC, ADD LINE=N)</t>
  </si>
  <si>
    <t>Deny individual PROC code if QTY exceeds allowed limit within days range, including same DOS by any PROV, with PROV TYPE and two distinct DX present on both deny and support lines.</t>
  </si>
  <si>
    <t>Deny PROC code in the same subgroup if QTY exceeds max allowed in given days range (include same DOS) by any provider with MOD and Prov Spec present on both deny and support and age patient age is met</t>
  </si>
  <si>
    <t>PROC denial due to NOT PRESENT DX1 (Line_Diag1) AND NOT PRESENT DX2 (Line_Diag2) with INCL PROV SPEC</t>
  </si>
  <si>
    <t>Deny individual PROC if QTY exceeds allowed limit within days range, including same DOS, by any PROV, with MOD and PROV TYPE present and a different MOD is not present on both deny and support lines.</t>
  </si>
  <si>
    <t>Deny PROC code in the same subgroup if QTY exceeds allowed limit within given days range (include same DOS) by the same billing provider FTIN with PROV TYPE present on both deny and support lines.</t>
  </si>
  <si>
    <t>PROC denial due to PRESENT MOD1 and NOT PRESENT MOD2 with INCL PROV TYPE</t>
  </si>
  <si>
    <t>PROC denial due to PRESENT OTHER PROC with D-S INCL BILL TYPE and D-S INCL REV (1-KEY D-S, SAME DOS, PROV_ID) (ALL_FAC)</t>
  </si>
  <si>
    <t>Deny PROC code if support code is present on the same DOS by the same provider, with BILL TYPE and REV CODE present on both deny and support lines.</t>
  </si>
  <si>
    <t>Deny claim when BILL TYPE is present and Discharge Status Code is present.</t>
  </si>
  <si>
    <r>
      <rPr>
        <rFont val="Calibri"/>
        <color rgb="FF000000"/>
        <sz val="9.0"/>
      </rPr>
      <t xml:space="preserve">INDIVIDUAL PROC denial due to FREQ with D-S INCL PROV TYPE and PROV SPEC and D-S EXCL MOD </t>
    </r>
    <r>
      <rPr>
        <rFont val="Calibri"/>
        <color rgb="FFFF0000"/>
        <sz val="9.0"/>
      </rPr>
      <t>OR</t>
    </r>
    <r>
      <rPr>
        <rFont val="Calibri"/>
        <color rgb="FF000000"/>
        <sz val="9.0"/>
      </rPr>
      <t xml:space="preserve"> D-S EXCL DX - Line Quantity (DAYS_RANGE; INCL SAME DOS; XPROV) (QTY PER PROC and ADD LINE=N)</t>
    </r>
  </si>
  <si>
    <t>Deny individual PROC if QTY exceeds allowed limit within days range, including same DOS, by any PROV, with PROV SPEC and PROV TYPE present and MOD or DX code not present on both deny and support.</t>
  </si>
  <si>
    <t>Deny PROC code if support code is not present on the same DOS by any PROV for all facility claims.</t>
  </si>
  <si>
    <t>Deny any PROC code when MOD is present and a different MOD is present on the same line in any of the MOD positions and PROV TYPE is present.</t>
  </si>
  <si>
    <t>Deny PROV TYPE if PROC code is not present.</t>
  </si>
  <si>
    <t>PROC (NOT_NULL) denial due to PRESENT SAME PROC with D-S INCL MOD and D-S PROV TYPE (VALUE D-S, DAYS_RANGE,INCL SAME DOS, XPROV)</t>
  </si>
  <si>
    <t>Deny Proc if same PROC is present within a days range, including the same DOS, by any PROV, with PROV TYPE and MOD present on deny and support lines.</t>
  </si>
  <si>
    <t>Deny REV code when patient age is met and PROV TYPE is present.</t>
  </si>
  <si>
    <t>PROC denial due to NOT PRESENT OTHER PROC with INCL SUPPORT DX (1-KEY D-S; SAME DOS; XPROV)</t>
  </si>
  <si>
    <t>Deny PROC code when support code is not present on the same DOS, by any PROV, with DX not present on support line.</t>
  </si>
  <si>
    <t>Deny individual PROC code if QTY exceeds the max allowed limit within the given days range including same day, by any PROV, with MOD, PROV SPEC, and PROV TYPE present on deny and support lines.</t>
  </si>
  <si>
    <t>Deny PROC code when DX, PROV SPEC, and GENDER are present and MOD is not present.</t>
  </si>
  <si>
    <t>Deny PROC code if support code is present on the same DOS, by any PROV, with PROV SPEC present on both deny and support lines.</t>
  </si>
  <si>
    <t>Deny individual PROC code if QTY exceeds the max allowed limit on the same DOS, by any PROV, with PROV TYPE present on both deny and support lines and patient age is met.</t>
  </si>
  <si>
    <t>Deny individual PROC code if QTY exceeds the max allowed limit on the same DOS, by any PROV, with MOD and PROV TYPE present on both deny and support lines and patient age is met.</t>
  </si>
  <si>
    <t>Deny individual PROC code if QTY exceeds the max allowed limit within given days range, including same DOS, by any PROV, with PROV TYPE, PROV SPEC, MOD, and DX present on both deny and support lines.</t>
  </si>
  <si>
    <t>Deny PROC code if DX and MOD are present for this PROV SPEC.</t>
  </si>
  <si>
    <t>Deny PROC code when DX, PROV TYPE, and PROV SPEC are present, and MOD is not present.</t>
  </si>
  <si>
    <t>Deny individual PROC code if QTY exceeds the max allowed limit on the same DOS, by any PROV, with PROV TYPE, PROV SPEC, MOD, and DX present on both deny and support lines.</t>
  </si>
  <si>
    <t>Deny individual PROC code if QTY exceeds the max allowed limit on the same DOS, by any PROV, with PROV TYPE and PROV SPEC present on both deny and support lines and patient age is met.</t>
  </si>
  <si>
    <t>Deny PROC code when DX, POS, PROV TYPE, and PROV SPEC are present, and MOD is not present.</t>
  </si>
  <si>
    <t>Deny PROC code when both MOD and PROV TYPE are present and PROV SPEC is not present.</t>
  </si>
  <si>
    <t>Deny PROC code if support code is present within the given days before the deny line (including same DOS) by any PROV, with MOD not present on deny line and a different MOD is present on support line.</t>
  </si>
  <si>
    <t>Deny individual PROC code when QTY exceeds max allowed limit on the same DOS, by any PROV, with PROV TYPE and POS present and two distinct MODIFIERS are present on both deny and support line.</t>
  </si>
  <si>
    <t>DO NOT  USE</t>
  </si>
  <si>
    <r>
      <rPr>
        <rFont val="Calibri"/>
        <color rgb="FF000000"/>
        <sz val="9.0"/>
      </rPr>
      <t xml:space="preserve">PROC denial due to NOT PRESENT DX </t>
    </r>
    <r>
      <rPr>
        <rFont val="Calibri"/>
        <color rgb="FFFF0000"/>
        <sz val="9.0"/>
      </rPr>
      <t>(ANYDXCODES6)</t>
    </r>
  </si>
  <si>
    <r>
      <rPr>
        <rFont val="Calibri"/>
        <color rgb="FF000000"/>
        <sz val="9.0"/>
      </rPr>
      <t xml:space="preserve">Proc denial due to PRESENT DX </t>
    </r>
    <r>
      <rPr>
        <rFont val="Calibri"/>
        <color rgb="FFFF0000"/>
        <sz val="9.0"/>
      </rPr>
      <t>(ANYDXCODES6)</t>
    </r>
    <r>
      <rPr>
        <rFont val="Calibri"/>
        <color rgb="FF000000"/>
        <sz val="9.0"/>
      </rPr>
      <t>, PRESENT POS, and EXCL Member State</t>
    </r>
  </si>
  <si>
    <r>
      <rPr>
        <rFont val="Calibri"/>
        <color theme="1"/>
        <sz val="9.0"/>
      </rPr>
      <t xml:space="preserve">PROC denial due to INCL AGE with NOT PRESENT DX </t>
    </r>
    <r>
      <rPr>
        <rFont val="Calibri"/>
        <color rgb="FFFF0000"/>
        <sz val="9.0"/>
      </rPr>
      <t>(ANYDXCODES6)</t>
    </r>
  </si>
  <si>
    <t>Deny if patient age is met and member state is not present.</t>
  </si>
  <si>
    <r>
      <rPr>
        <rFont val="Calibri"/>
        <color rgb="FF000000"/>
        <sz val="9.0"/>
      </rPr>
      <t xml:space="preserve">Proc denial due to PRESENT DX </t>
    </r>
    <r>
      <rPr>
        <rFont val="Calibri"/>
        <color rgb="FFFF0000"/>
        <sz val="9.0"/>
      </rPr>
      <t>(ANYDXCODES6)</t>
    </r>
    <r>
      <rPr>
        <rFont val="Calibri"/>
        <color rgb="FF000000"/>
        <sz val="9.0"/>
      </rPr>
      <t>, PRESENT POS, and EXCL Member State</t>
    </r>
  </si>
  <si>
    <t>Deny PROC code when DX and POS are present and member state is not present.</t>
  </si>
  <si>
    <r>
      <rPr>
        <rFont val="Calibri"/>
        <color rgb="FF000000"/>
        <sz val="9.0"/>
      </rPr>
      <t xml:space="preserve">ICD-10 PROC denial due to PRESENT DX </t>
    </r>
    <r>
      <rPr>
        <rFont val="Calibri"/>
        <color rgb="FFFF0000"/>
        <sz val="9.0"/>
      </rPr>
      <t>(ANYDXCODES7)</t>
    </r>
  </si>
  <si>
    <t xml:space="preserve">Claim denial due to present ICD PROC code and present DX. </t>
  </si>
  <si>
    <r>
      <rPr>
        <rFont val="Calibri"/>
        <color rgb="FF000000"/>
        <sz val="9.0"/>
      </rPr>
      <t xml:space="preserve">PROC denial due to NOT PRESENT PROV SPEC and INCL DX </t>
    </r>
    <r>
      <rPr>
        <rFont val="Calibri"/>
        <color rgb="FFFF0000"/>
        <sz val="9.0"/>
      </rPr>
      <t>(ANYDXCODES6)</t>
    </r>
  </si>
  <si>
    <r>
      <rPr>
        <rFont val="Calibri"/>
        <color rgb="FF000000"/>
        <sz val="9.0"/>
      </rPr>
      <t xml:space="preserve">Proc denial due to NOT PRESENT DX </t>
    </r>
    <r>
      <rPr>
        <rFont val="Calibri"/>
        <color rgb="FFFF0000"/>
        <sz val="9.0"/>
      </rPr>
      <t xml:space="preserve">(ANYDXCODES6) </t>
    </r>
    <r>
      <rPr>
        <rFont val="Calibri"/>
        <color rgb="FF000000"/>
        <sz val="9.0"/>
      </rPr>
      <t>and INCL POS</t>
    </r>
  </si>
  <si>
    <t xml:space="preserve">Deny PROC code if DX code is not present and POS is present. </t>
  </si>
  <si>
    <r>
      <rPr>
        <rFont val="Calibri"/>
        <color rgb="FF000000"/>
        <sz val="9.0"/>
      </rPr>
      <t xml:space="preserve">Proc denial due to NOT PRESENT POS and present DX </t>
    </r>
    <r>
      <rPr>
        <rFont val="Calibri"/>
        <color rgb="FFFF0000"/>
        <sz val="9.0"/>
      </rPr>
      <t>(ANYDXCODES6)</t>
    </r>
  </si>
  <si>
    <t xml:space="preserve">Deny PROC code if POS is not present and DX is present. </t>
  </si>
  <si>
    <t>PROC denial due to NOT PRESENT MOD and/or NOT PRESENT DX (ANYDXCODES7) and INCL AGE</t>
  </si>
  <si>
    <t>Deny PROC code when age is met and DX code is not present or MOD is not present.</t>
  </si>
  <si>
    <t>PROC denial due to PRESENT OTHER PROC with D-S EXCL MEMBER STATE (2-KEY D-S, SAME DOS, XPROV)</t>
  </si>
  <si>
    <t>Deny PROC code if support code is present on the same DOS, by any PROV, with Member State not present on deny and support lines.</t>
  </si>
  <si>
    <t xml:space="preserve">Deny PROC code when present and state is not present. </t>
  </si>
  <si>
    <t>Deny PROC code if support code is not present on the same DOS by any PROV and Member State is not present on deny and support lines.</t>
  </si>
  <si>
    <t>PROC denial due to PRESENT OTHER PROC with D-S INCL DIAG and D-S EXCL MEMBER STATE (1-KEY D-S; SAME DOS; XPROV)</t>
  </si>
  <si>
    <t xml:space="preserve">Deny PROC code if support code is present on the same DOS, by any PROV, with DX present on deny and support lines and Member State not present on deny and support lines. </t>
  </si>
  <si>
    <t>Deny PROC code if DX code is not present and Member State is not present.</t>
  </si>
  <si>
    <t>Deny PROC code if DX code is present and Member State is not present.</t>
  </si>
  <si>
    <t>PROC denial due to NOT PRESENT (ANYDXCODES5) DX (OUTPAT_FAC)</t>
  </si>
  <si>
    <t>Rationale</t>
  </si>
  <si>
    <t>Impacted Framework</t>
  </si>
  <si>
    <t xml:space="preserve">Pattern Crosswalked due to defect with PMM including support lines prior and after proc code effective dates. </t>
  </si>
  <si>
    <t>C5</t>
  </si>
  <si>
    <t xml:space="preserve">Revenue Codes with a leading 0 should accumulate with the same revenue code without the 0. Therefore, group pattern is required for rev code policies. </t>
  </si>
  <si>
    <t>Removed TOS criteria, as of 12/27/2022, clients are not passing us TOS information</t>
  </si>
  <si>
    <t>Removed Auth Number criteria, as of 02/26/2025, clients are not passing us Auth Number information.</t>
  </si>
  <si>
    <t>This is a dupe of 289</t>
  </si>
  <si>
    <t>Combo Index Number</t>
  </si>
  <si>
    <t>Policy Name</t>
  </si>
  <si>
    <t>Client</t>
  </si>
  <si>
    <t>Index Number Status</t>
  </si>
  <si>
    <t>State</t>
  </si>
  <si>
    <t>Submitted</t>
  </si>
  <si>
    <t>DEF_MA_CT_DME_POS_S_A</t>
  </si>
  <si>
    <t>Status Defined</t>
  </si>
  <si>
    <t>DEF_CA_EYESCODI_1, DEF_CA_EYESCODI_2, DEF_CA_EYESCODI_3</t>
  </si>
  <si>
    <t>Used by Peer Reviewers to denote combo policies have been submitted for Quality Assurance (QA)</t>
  </si>
  <si>
    <t>DEF_NJ_NL_MAT_1, DEF_NJ_NL_MAT_2</t>
  </si>
  <si>
    <t>In Progress</t>
  </si>
  <si>
    <t xml:space="preserve">Used by developers to denote the Combo Index Number has been taken and should not be used by other developers. Peer Reviewers are to change the status from "In Progress" to "Submitted." </t>
  </si>
  <si>
    <t>DEF_CA_HCPCS_J1939_1, DEF_CA_HCPCS_J1939_2</t>
  </si>
  <si>
    <t>DEF_CA_CHEM_EPKINLY, DEF_CA_CHEM_EPKINLY_2</t>
  </si>
  <si>
    <t xml:space="preserve">DEF_CA_INJ_FLUPHE_1, DEF_CA_INJ_FLUPHE_2, DEF_CA_INJ_FLUPHE_3 </t>
  </si>
  <si>
    <t>DEF_CA_HCPCS_BR_IMG_1 , DEF_CA_HCPCS_BR_IMG_2</t>
  </si>
  <si>
    <t>DEF_CA_BL_Q4UPD_FLOT_1, DEF_CA_BL_Q4UPD_FLOT_2</t>
  </si>
  <si>
    <t>DEF_CA_INJ_BRIX_1, DEF_CA_INJ_BRIX_2, DEF_CA_INJ_BRIX_3</t>
  </si>
  <si>
    <t>DEF_CA_SARS_COV_1, DEF_CA_SARS_COV_2, DEF_CA_SARS_COV_3</t>
  </si>
  <si>
    <t>DEF_LA_FS_PROFSER_SATCESS_1, DEF_LA_FS_PROFSER_SATCESS_2</t>
  </si>
  <si>
    <t>DEF_CA_EYE_ULTRASOUND_1, DEF_CA_EYE_ULTRASOUND_2</t>
  </si>
  <si>
    <t>DEF_TX_MH_OPDRG_BESPO_1, DEF_TX_MH_OPDRG_BESPO_2</t>
  </si>
  <si>
    <t>DEF_CA_CARDIO_TEE_1, DEF_CA_CARDIO_TEE_4, DEF_CA_CARDIO_TEE_5, DEF_CA_CARDIO_TEE_6,DEF_CA_CARDIO_TEE_7,DEF_CA_CARDIO_TEE_8,DEF_CA_CARDIO_TEE_9</t>
  </si>
  <si>
    <t>DEF_GA_FS_ORTH_PROS_FRQ_B_1, DEF_GA_FS_ORTH_PROS_FRQ_B_2</t>
  </si>
  <si>
    <t>DEF_GA_FS_ORTH_PROS_FRQ_C_1, DEF_GA_FS_ORTH_PROS_FRQ_C_2</t>
  </si>
  <si>
    <t>DEF_GA_FS_ORTH_PROS_FRQ_D_1, DEF_GA_FS_ORTH_PROS_FRQ_D_2</t>
  </si>
  <si>
    <t>DEF_GA_FS_ORTH_PROS_FRQ_E_1, DEF_GA_FS_ORTH_PROS_FRQ_E_2</t>
  </si>
  <si>
    <t>DEF_GA_FS_ORTH_PROS_FRQ_F_1, DEF_GA_FS_ORTH_PROS_FRQ_F_2</t>
  </si>
  <si>
    <t>DEF_GA_FS_ORTH_PROS_FRQ_G_1, DEF_GA_FS_ORTH_PROS_FRQ_G_2</t>
  </si>
  <si>
    <t>DEF_GA_FS_ORTH_PROS_FRQ_H_1, DEF_GA_FS_ORTH_PROS_FRQ_H_2</t>
  </si>
  <si>
    <t>DEF_GA_FS_ORTH_PROS_FRQ_I_1, DEF_GA_FS_ORTH_PROS_FRQ_I_2</t>
  </si>
  <si>
    <t>DEF_OH_DME_LB1YR_A_1, DEF_OH_DME_LB1YR_A_2</t>
  </si>
  <si>
    <t>DEF_GA_FS_ORTH_PROS_FRQ_J_1, DEF_GA_FS_ORTH_PROS_FRQ_J_2</t>
  </si>
  <si>
    <t>DEF_GA_FS_ORTH_PROS_FRQ_K_1, DEF_GA_FS_ORTH_PROS_FRQ_K_2</t>
  </si>
  <si>
    <t>DEF_GA_FS_ORTH_PROS_FRQ_L_1, DEF_GA_FS_ORTH_PROS_FRQ_L_2</t>
  </si>
  <si>
    <t>DEF_GA_FS_ORTH_PROS_FRQ_M_1, DEF_GA_FS_ORTH_PROS_FRQ_M_2</t>
  </si>
  <si>
    <t>DEF_GA_FS_ORTH_PROS_FRQ_N_1, DEF_GA_FS_ORTH_PROS_FRQ_N_2</t>
  </si>
  <si>
    <t>DEF_GA_FS_ORTH_PROS_FRQ_O_1, DEF_GA_FS_ORTH_PROS_FRQ_O_2</t>
  </si>
  <si>
    <t>DEF_GA_FS_ORTH_PROS_FRQ_P_1, DEF_GA_FS_ORTH_PROS_FRQ_P_2</t>
  </si>
  <si>
    <t>DEF_GA_FS_ORTH_PROS_FRQ_Q_1, DEF_GA_FS_ORTH_PROS_FRQ_Q_2</t>
  </si>
  <si>
    <t>DEF_OH_DME_FSMODPA_2,EF_OH_DME_FSMODPA_3</t>
  </si>
  <si>
    <t>DEF_OH_DME_LR_NR1Y_1,EF_OH_DME_LR_NR1Y_2</t>
  </si>
  <si>
    <t>DEF_OH_DME_MISCAGE_1,DEF_OH_DME_MISCAGE_2</t>
  </si>
  <si>
    <t>DEF_GA_FS_ORTH_PROS_FRQA_F_1, DEF_GA_FS_ORTH_PROS_FRQA_F_2</t>
  </si>
  <si>
    <t>DEF_GA_MH_ER_AMB_TREAT_1, DEF_GA_MH_ER_AMB_TREAT_2</t>
  </si>
  <si>
    <t>DEF_GA_MH_ER_AMB_ALTD_1, DEF_GA_MH_ER_AMB_ALTD_2</t>
  </si>
  <si>
    <t>DEF_OH_DME_CAR_1</t>
  </si>
  <si>
    <t>DEF_FL_FS_OT_ASSIST_TECH_1, DEF_FL_FS_OT_ASSIST_TECH_2</t>
  </si>
  <si>
    <t>DEF_OH_DME_IRRLB_1</t>
  </si>
  <si>
    <t>DEF_OH_DME_OSUPLB_1, DEF_OH_DME_OSUPLB_2</t>
  </si>
  <si>
    <t>DEF_OH_DME_SBRLB_1</t>
  </si>
  <si>
    <t>DEF_OH_DME_UOSTLB_1, DEF_OH_DME_UOSTLB_2</t>
  </si>
  <si>
    <t>DEF_OH_DME_FPLB_2, DEF_OH_DME_FPLB_1</t>
  </si>
  <si>
    <t>DEF_OH_DME_INCON_1, DEF_OH_DME_INCON_2</t>
  </si>
  <si>
    <t>DEF_GA_MH_PROF_SCRN_BAREMA_1, DEF_GA_MH_PROF_SCRN_BAREMA_2</t>
  </si>
  <si>
    <t>DEF_WV_HOS_PH_DAY_1, DEF_WV_HOS_PH_DAY_2, DEF_WV_HOS_PH_DAY_3</t>
  </si>
  <si>
    <t>DEF_CA_HCPCS_BALF, DEF_CA_HCPCS_BALF_2</t>
  </si>
  <si>
    <t>DEF_AZ_FFS_DME_MOD1, DEF_AZ_FFS_DME_MOD2</t>
  </si>
  <si>
    <t>DEF_VA_IDL_SCR_MAMM_1, DEF_VA_IDL_SCR_MAMM_2, DEF_VA_IDL_SCR_MAMM_3, DEF_VA_IDL_SCR_MAMM_4, DEF_VA_IDL_SCR_MAMM_5, DEF_VA_IDL_SCR_MAMM_6</t>
  </si>
  <si>
    <t>DEF_TX_TOP_CANTHARIDIN, DEF_TX_TOP_CANTHARIDIN_2</t>
  </si>
  <si>
    <t> DEF_TX_INJ_ELEVIDYS_1,  DEF_TX_INJ_ELEVIDYS_2,  DEF_TX_INJ_ELEVIDYS_3</t>
  </si>
  <si>
    <t>DEF_TX_MH_OPDDRUG_INFL_1, DEF_TX_MH_OPDDRUG_INFL_2</t>
  </si>
  <si>
    <t>DEF_TX_INJ_CHEMO, DEF_TX_INJ_CHEMO_2</t>
  </si>
  <si>
    <t>DEF_MI_OT_OPTHER_PT_1, DEF_MI_OT_OPTHER_PT_2</t>
  </si>
  <si>
    <t>DEF_MI_OT_OPTHER_OT_1, DEF_MI_OT_OPTHER_OT_2</t>
  </si>
  <si>
    <t>DEF_MI_OT_OPTHER_ST_1, DEF_MI_OT_OPTHER_ST_2</t>
  </si>
  <si>
    <t>DEF_WV_CBMC_IS_2, DEF_WV_CBMC_IS_1</t>
  </si>
  <si>
    <t>DEF_GA_MH_PROF_ECT_1, DEF_GA_MH_PROF_ECT_2</t>
  </si>
  <si>
    <t>DEF_GA_MH_PROF_SCRNSIG_1, DEF_GA_MH_PROF_SCRNSIG_2</t>
  </si>
  <si>
    <t>DEF_GA_MH_PROF_SCRN_OCCLTBT_1, DEF_GA_MH_PROF_SCRN_OCCLTBT_2</t>
  </si>
  <si>
    <t>DEF_FL_DME_COWC_1, DEF_FL_DME_COWC_3</t>
  </si>
  <si>
    <t>DEF_NJ_NL_NMIEED1; DEF_NJ_NL_NMIEED2; DEF_NJ_NL_NMIEED3; DEF_NJ_NL_NMIEED4</t>
  </si>
  <si>
    <t>DEF_GA_FS_PADL_VACADM_A_1, DEF_GA_FS_PADL_VACADM_A_2</t>
  </si>
  <si>
    <t>DEF_PA_FS_CNM_OV_A, DEF_PA_FS_CNM_OV_D</t>
  </si>
  <si>
    <t>DEF_PA_FS_CNM_OV_B, DEF_PA_FS_CNM_OV_E</t>
  </si>
  <si>
    <t>DEF_PA_FS_CNM_OV_C, DEF_PA_FS_CNM_OV_F</t>
  </si>
  <si>
    <t>DEF_KY_DME_HUMID_1, DEF_KY_DME_HUMID_2</t>
  </si>
  <si>
    <t>DEF_PA_FS_PSYCH_AP_1, DEF_PA_FS_PSYCH_AP_2, DEF_PA_FS_PSYCH_AP_3</t>
  </si>
  <si>
    <t>DEF_TX_NO_HCPCS_CAN_1, DEF_TX_NO_HCPCS_CAN_2</t>
  </si>
  <si>
    <t>DEF_TX_NO_HCPCS_SECU_1, DEF_TX_NO_HCPCS_SECU_2</t>
  </si>
  <si>
    <t>DEF_TX_NO_HCPCS_MIRI_1, DEF_TX_NO_HCPCS_MIRI_1</t>
  </si>
  <si>
    <t>DEF_CA_SURG_ONCE_3M, DEF_CA_SURG_ONCE_3M_2</t>
  </si>
  <si>
    <t>DEF_CA_HPV_TST_1, DEF_CA_HPV_TST_2</t>
  </si>
  <si>
    <t>DEF_CA_MH_CHEM_BRVN_1, DEF_CA_MH_CHEM_BRVN_2</t>
  </si>
  <si>
    <t>DEF_GA_MH_DME_EIP_PDIC_SUP_1, DEF_GA_MH_DME_EIP_PDIC_SUP_2</t>
  </si>
  <si>
    <t>DEF_CA_MH_CHEM_BCG_1, DEF_CA_MH_CHEM_BCG_2</t>
  </si>
  <si>
    <t>DEF_CA_MH_CHEM_BEV_1, DEF_CA_MH_CHEM_BEV_2</t>
  </si>
  <si>
    <t>DEF_CA_MH_CHEM_BVZR_1, DEF_CA_MH_CHEM_BVZR_2</t>
  </si>
  <si>
    <t>DEF_CA_MH_CHEM_RWLC_1, DEF_CA_MH_CHEM_RWLC_2</t>
  </si>
  <si>
    <t>DEF_CA_MH_CHEM_DAR_1, DEF_CA_MH_CHEM_DAR_2, DEF_CA_MH_CHEM_DAR_3</t>
  </si>
  <si>
    <t>DEF_CA_INJ_PAMIDRONATE_1-5</t>
  </si>
  <si>
    <t xml:space="preserve">DEF_GA_MH_DME_NTSS_ENT_FRML_1,DEF_GA_MH_DME_NTSS_ENT_FRML_2
</t>
  </si>
  <si>
    <t>DEF_TX_SI_FUSION_1, DEF_TX_SI_FUSION_2</t>
  </si>
  <si>
    <t>DEF_KS_HHA_AID_1-3</t>
  </si>
  <si>
    <t>DEF_NY_DME_FREQ_LTRT_B_1, DEF_NY_DME_FREQ_LTRT_B_2</t>
  </si>
  <si>
    <t>DEF_NY_DME_FREQ_LTRT_C_1,  DEF_NY_DME_FREQ_LTRT_C_2</t>
  </si>
  <si>
    <t>DEF_CA_INJ_LEVOTHY_1, DEF_CA_INJ_LEVOTHY_2</t>
  </si>
  <si>
    <t>DEF_GA_MH_DME_RESP_AP_TRCN_1,DEF_GA_MH_DME_RESP_AP_TRCN_2,DEF_GA_MH_DME_RESP_AP_TRCN_3</t>
  </si>
  <si>
    <t xml:space="preserve">DEF_GA_MH_DME_IPV_BRCR_1,DEF_GA_MH_DME_IPV_BRCR_2
</t>
  </si>
  <si>
    <t>DEF_CA_INJ_DRUGJL_LANREO_1, DEF_CA_INJ_DRUGJL_LANREO_2</t>
  </si>
  <si>
    <t>DEF_CA_INJ_DRUGJL_LEU_ACE_1, DEF_CA_INJ_DRUGJL_LEU_ACE_2</t>
  </si>
  <si>
    <t>DEF_GA_MH_POD_OFFICE_EM_1, DEF_GA_MH_POD_OFFICE_EM_2</t>
  </si>
  <si>
    <t>DEF_GA_MH_DSPS_ELI_1, DEF_GA_MH_DSPS_ELI_2</t>
  </si>
  <si>
    <t>DEF_GA_MH_DSPS_SLHS_1, DEF_GA_MH_DSPS_SLHS_2</t>
  </si>
  <si>
    <t>DEF_GA_MH_NRGFAC_SBHLTH_E1, DEF_GA_MH_NRGFAC_SBHLTH_E2</t>
  </si>
  <si>
    <t>DEF_GA_MH_NRGFAC_SBHLTH_J1, DEF_GA_MH_NRGFAC_SBHLTH_J2</t>
  </si>
  <si>
    <t>DEF_GA_MH_NRGFAC_SBHLTH_L1, DEF_GA_MH_NRGFAC_SBHLTH_L2</t>
  </si>
  <si>
    <t>DEF_AZ_NL_OP_END_1, DEF_AZ_NL_OP_END_2, DEF_AZ_NL_OP_END_3, DEF_AZ_NL_OP_END_4</t>
  </si>
  <si>
    <t>DEF_CA_BL_TRABEC_1, DEF_CA_BL_TRABEC_2</t>
  </si>
  <si>
    <t>DEF_GA_ANP_ANES_MOD_1, DEF_GA_ANP_ANES_MOD_2, DEF_GA_ANP_ANES_MOD_3</t>
  </si>
  <si>
    <t>DEF_AZ_NL_EK_RETINPROS_1, DEF_AZ_NL_EK_RETINPROS_2, DEF_AZ_NL_EK_RETINPROS_3, DEF_AZ_NL_EK_RETINPROS_4</t>
  </si>
  <si>
    <t xml:space="preserve">DEF_GA_MH_DME_MD_PTLFT_1
DEF_GA_MH_DME_MD_PTLFT_2
DEF_GA_MH_DME_MD_PTLFT_3
</t>
  </si>
  <si>
    <t>DEF_GA_MH_DME_IIP_PMP_1, DEF_GA_MH_DME_IIP_PMP_2</t>
  </si>
  <si>
    <t>DEF_GA_MH_DME_CSD_FRQ_1, DEF_GA_MH_DME_CSD_FRQ_2</t>
  </si>
  <si>
    <t>DEF_GA_MH_DME_PLOX_CPO_CPRNT_1, DEF_GA_MH_DME_PLOX_CPO_CPRNT_2</t>
  </si>
  <si>
    <t xml:space="preserve">DEF_NY_DME_FREQ_LTRT_UPRES_1
DEF_NY_DME_FREQ_LTRT_UPRES_2 
</t>
  </si>
  <si>
    <t>DEF_GA_FS_ORTH_PROS_FRQY_A_1, DEF_GA_FS_ORTH_PROS_FRQY_A_2</t>
  </si>
  <si>
    <t>DEF_GA_FS_ORTH_PROS_FRQY_B_1
DEF_GA_FS_ORTH_PROS_FRQY_B_2</t>
  </si>
  <si>
    <t>DEF_GA_FS_ORTH_PROS_FRQY_C_1
DEF_GA_FS_ORTH_PROS_FRQY_C_2</t>
  </si>
  <si>
    <t>DEF_KS_BL_DM_DAAS_1, DEF_KS_BL_DM_DAAS_2</t>
  </si>
  <si>
    <t>DEF_CA_INJ_DRUGPQ_PEGASPA_1, DEF_CA_INJ_DRUGPQ_PEGASPA_2</t>
  </si>
  <si>
    <t>DEF_CA_INJ_DRUGT_TBO_FIL_1, DEF_CA_INJ_DRUGT_TBO_FIL_2</t>
  </si>
  <si>
    <t>DEF_KY_FS_AUD_HD_SP_BTR_1
DEF_KY_FS_AUD_HD_SP_BTR_2
DEF_KY_FS_AUD_HD_SP_BTR_3
DEF_KY_FS_AUD_HD_SP_BTR_4
DEF_KY_FS_AUD_HD_SP_BTR_5</t>
  </si>
  <si>
    <t>DEF_LA_IMMUN_RSV_1, DEF_LA_IMMUN_RSV_2, DEF_LA_IMMUN_RSV_3</t>
  </si>
  <si>
    <t>DEF_CA_CHEM_ARSENIC_TRI_1, DEF_CA_CHEM_ARSENIC_TRI_2</t>
  </si>
  <si>
    <t>DEF_GA_FS_LAB_CLINICPATH_1
DEF_GA_FS_LAB_CLINICPATH_2</t>
  </si>
  <si>
    <t>DEF_CA_INJ_FENSOLVI_1, DEF_CA_INJ_FENSOLVI_2</t>
  </si>
  <si>
    <t>DEF_CA_CHEM_CARFILZOMIB_1, DEF_CA_CHEM_CARFILZOMIB_2</t>
  </si>
  <si>
    <t>DEF_AZ_COV_CODNG_1
DEF_AZ_COV_CODNG_2
DEF_AZ_COV_CODNG_3</t>
  </si>
  <si>
    <t>DEF_CA_CHEM_PEPAXTO_1, DEF_CA_CHEM_PEPAXTO_2, DEF_CA_CHEM_PEPAXTO_3</t>
  </si>
  <si>
    <t>DEF_CA_SRG_FREN_1, DEF_CA_SRG_FREN_2</t>
  </si>
  <si>
    <t>DEF_CA_OPIOD_DRG_SCRN_1,DEF_CA_OPIOD_DRG_SCRN_2</t>
  </si>
  <si>
    <t>DEF_CA_PTHMLC_CCND1GH, DEF_CA_PTHMLC_CCND1GH_2</t>
  </si>
  <si>
    <t>DEF_CA_PATH_NRAS_1, DEF_CA_PATH_NRAS_2</t>
  </si>
  <si>
    <t>DEF_GA_MH_DME_SMW_FRQ_1, DEF_GA_MH_DME_SMW_FRQ_2</t>
  </si>
  <si>
    <t>DEF_CA_PROS_LTRT, DEF_CA_PROS_LTRT_2A, DEF_CA_PROS_LTRT_2B</t>
  </si>
  <si>
    <t>DEF_CA_MH_CHEM_APRE, DEF_CA_MH_CHEM_APRE_2</t>
  </si>
  <si>
    <t>DEF_CA_PROS_ENDOLR, DEF_CA_PROS_ENDOLR_2A, DEF_CA_PROS_ENDOLR_2B</t>
  </si>
  <si>
    <t>DEF_CA_PROS_THUMB, DEF_CA_PROS_THUMB_2A, DEF_CA_PROS_THUMB_2B</t>
  </si>
  <si>
    <t>DEF_PA_HCPCS_E_1, DEF_PA_HCPCS_E_4</t>
  </si>
  <si>
    <t>DEF_PA_HCPCS_E_2, DEF_PA_HCPCS_E_5</t>
  </si>
  <si>
    <t>DEF_PA_HCPCS_E_3, DEF_PA_HCPCS_E_6</t>
  </si>
  <si>
    <t>DEF_CA_PATH_PDGFRA_1
DEF_CA_PATH_PDGFRA_2</t>
  </si>
  <si>
    <t>DEF_CA_PATH_GONAD_1
DEF_CA_PATH_GONAD_2
DEF_CA_PATH_GONAD_3
DEF_CA_PATH_GONAD_4</t>
  </si>
  <si>
    <t>DEF_KS_DME_IPUMP_1, DEF_KS_DME_IPUMP_2</t>
  </si>
  <si>
    <t>DEF_KS_BL_IIPS_INSPUMP_1, DEF_KS_BL_IIPS_INSPUMP_2</t>
  </si>
  <si>
    <t>DEF_OH_DME_FPLB_1, DEF_OH_DME_FPLB_2</t>
  </si>
  <si>
    <t>DEF_OH_DME_IRRLB_1, DEF_OH_DME_IRRLB_2</t>
  </si>
  <si>
    <t>DEF_OH_DME_SBRLB_1, DEF_OH_DME_SBRLB_2</t>
  </si>
  <si>
    <t>DEF_CA_BIN_ACES, DEF_CA_BIN_ACES_2, DEF_CA_BIN_ACES_3, DEF_CA_BIN_ACES_4</t>
  </si>
  <si>
    <t>DEF_CA_DME_PURCH_RENT_B, DEF_CA_DME_PURCH_RENT_B_2,   DEF_CA_DME_PURCH_RENT_B_3</t>
  </si>
  <si>
    <t>DEF_CA_DME_PURCHASE_B_, DEF_CA_DME_PURCHASE_B_2</t>
  </si>
  <si>
    <t>DEF_CA_DME_PURCH_RENT_A, DEF_CA_DME_PURCH_RENT_A_2</t>
  </si>
  <si>
    <t>DEF_CA_DME_PURCHASE_A, DEF_CA_DME_PURCHASE_A_2</t>
  </si>
  <si>
    <t>DEF_CA_DME_RENTAL_A, DEF_CA_DME_RENTAL_A_2, DEF_CA_DME_RENTAL_A_3</t>
  </si>
  <si>
    <t>DEF_PA_PHARM_COMBI_A_1, DEF_PA_PHARM_COMBI_A_2</t>
  </si>
  <si>
    <t xml:space="preserve">DEF_KS_MH_DOULA_A_1, DEF_KS_MH_DOULA_A_2, DEF_KS_MH_DOULA_A_3,
DEF_KS_MH_DOULA_A_4
</t>
  </si>
  <si>
    <t>DEF_CA_ORTHO_LTRT, DEF_CA_ORTHO_LTRT_2A, DEF_CA_ORTHO_LTRT_2B</t>
  </si>
  <si>
    <t>DEF_CA_PMS2, DEF_CA_PMS3</t>
  </si>
  <si>
    <t>DEF_CA_MH_PHYS_HCPCS21_1,DEF_CA_MH_PHYS_HCPCS21_2A,DEF_CA_MH_PHYS_HCPCS21_2B</t>
  </si>
  <si>
    <t>DEF_CA_HCPCS_MRIGUIDE_1, DEF_CA_HCPCS_MRIGUIDE_2</t>
  </si>
  <si>
    <t>DEF_CA_HCPCS_PROSTCAMAP_1, DEF_CA_HCPCS_PROSTCAMAP_2</t>
  </si>
  <si>
    <t>DEF_CA_MH_PHYS_HCPCS21_1, DEF_CA_MH_PHYS_HCPCS21_2A, DEF_CA_MH_PHYS_HCPCS21_2B</t>
  </si>
  <si>
    <t xml:space="preserve">DEF_KS_MH_PROF_POLY_SS_PRV_1, DEF_KS_MH_PROF_POLY_SS_PRV_2, DEF_KS_MH_PROF_POLY_SS_PRV_3, DEF_KS_MH_PROF_POLY_SS_PRV_4
</t>
  </si>
  <si>
    <t>DEF_CA_BL_Q4UPD_HIST_1; DEF_CA_BL_Q4UPD_HIST_2</t>
  </si>
  <si>
    <t>DEF_MA_CT_DME_FREQ_S_R_1, DEF_MA_CT_DME_FREQ_S_R_2, DEF_MA_CT_DME_FREQ_S_R_3, DEF_MA_CT_DME_FREQ_S_R_4, DEF_MA_CT_DME_FREQ_S_R_5, DEF_MA_CT_DME_FREQ_S_R_6, DEF_MA_CT_DME_FREQ_S_R_7, DEF_MA_CT_DME_FREQ_S_R_8, DEF_MA_CT_DME_FREQ_S_R_9, DEF_MA_CT_DME_FREQ_S_R10, DEF_MA_CT_DME_FREQ_S_R11, DEF_MA_CT_DME_FREQ_S_R12, DEF_MA_CT_DME_FREQ_S_R13, DEF_MA_CT_DME_FREQ_S_R14, DEF_MA_CT_DME_FREQ_S_R15, DEF_MA_CT_DME_FREQ_S_R16, DEF_MA_CT_DME_FREQ_S_R17, DEF_MA_CT_DME_FREQ_S_R18, DEF_MA_CT_DME_MOD_S_A, DEF_MA_CT_DME_POS_S_F</t>
  </si>
  <si>
    <t>DEF_MA_CT_OXY_FREQ_S_G, DEF_MA_CT_OXY_MOD_S_D, DEF_MA_CT_OXY_FREQ_S_E, DEF_MA_CT_OXY_FREQ_S_D, DEF_MA_CT_OXY_POS_S_A, DEF_MA_CT_OXY_POS_S_C, DEF_MA_CT_OXY_FREQ_S_H, DEF_MA_CT_OXY_FREQ_S_H2, DEF_MA_CT_OXY_FREQ_S_D2</t>
  </si>
  <si>
    <t>DEF_MA_CT_OXY_FREQ_S_J, DEF_MA_CT_OXY_FREQ_S_J2, DEF_MA_CT_OXY_MOD_S_G2, DEF_MA_CT_OXY_POS_S_B</t>
  </si>
  <si>
    <t xml:space="preserve">DEF_KS_MH_PROF_POLY_SS_FRQ_1, DEF_KS_MH_PROF_POLY_SS_FRQ_2
</t>
  </si>
  <si>
    <t>DEF_AZ_NL_BYOOVIZ; DEF_AZ_NL_BYOOVIZ_2</t>
  </si>
  <si>
    <t>DEF_AZ_MH_UDS_FREQ_A1, DEF_AZ_MH_UDS_FREQ_A2</t>
  </si>
  <si>
    <t>DEF_AZ_MH_UDS_FREQ_B1,DEF_AZ_MH_UDS_FREQ_B2</t>
  </si>
  <si>
    <t>DEF_AZ_MH_UDS_FREQ_C1, DEF_AZ_MH_UDS_FREQ_C2</t>
  </si>
  <si>
    <t>DEF_AZ_BHS_COUNS_1, DEF_AZ_BHS_COUNS_2</t>
  </si>
  <si>
    <t> DEF_TX_INJ_ELEVIDYS_1A,  DEF_TX_INJ_ELEVIDYS_2,  DEF_TX_INJ_ELEVIDYS_3</t>
  </si>
  <si>
    <t xml:space="preserve">DEF_AZ_NL_MTRNL_DEP_1,DEF_AZ_NL_MTRNL_DEP_2
</t>
  </si>
  <si>
    <t>DEF_AZ_BHS_MHPS_1, DEF_AZ_BHS_MHPS_2</t>
  </si>
  <si>
    <t>DEF_AZ_BHS_RESPITE_SVC_1, DEF_AZ_BHS_RESPITE_SVC_1</t>
  </si>
  <si>
    <t>DEF_AZ_NL_EK_MEDROXY_1, DEF_AZ_NL_EK_MEDROXY_2</t>
  </si>
  <si>
    <t>DEF_KS_BL_TPCL_FLRDE_1, DEF_KS_BL_TPCL_FLRDE_2</t>
  </si>
  <si>
    <t>DEF_KS_HOSP_SSPSG_1, DEF_KS_HOSP_SSPSG_2, DEF_KS_HOSP_SSPSG_3, DEF_KS_HOSP_SSPSG_4</t>
  </si>
  <si>
    <t>DEF_KS_BL_TFLOURIDE_1, DEF_KS_BL_TFLOURIDE_2</t>
  </si>
  <si>
    <t>DEF_TX_CV_NOVACC_1, DEF_TX_CV_NOVACC_2, DEF_TX_CV_NOVACC_3, DEF_TX_CV_NOVACC_4, DEF_TX_CV_NOVACC_5, DEF_TX_CV_NOVACC_6</t>
  </si>
  <si>
    <t>DEF_TX_NO_COVID_ADMINF_1, DEF_TX_NO_COVID_ADMINF_2, DEF_TX_NO_COVID_ADMINF_3, DEF_TX_NO_COVID_ADMINF_4, DEF_TX_NO_COVID_ADMINF_5</t>
  </si>
  <si>
    <t>DEF_TX_TELE_GCM_1, DEF_TX_TELE_GCM_2</t>
  </si>
  <si>
    <t>DEF_TX_HME_TELE_MTR_2, DEF_TX_HME_TELE_MTR_1</t>
  </si>
  <si>
    <t xml:space="preserve">DEF_AZ_NL_ALC_ASSMNT_2, DEF_AZ_NL_ALC_ASSMNT_2A, DEF_AZ_NL_ALC_ASSMNT_2B
</t>
  </si>
  <si>
    <t>DEF_TX_HCPCS_ZYMFENTRA_1,
DEF_TX_HCPCS_ZYMFENTRA_2</t>
  </si>
  <si>
    <t>DEF_PA_THRPYAGE_R1_1, DEF_PA_THRPYAGE_R1_2</t>
  </si>
  <si>
    <t>DEF_PA_THRPYAGE_S1_1, DEF_PA_THRPYAGE_S1_2</t>
  </si>
  <si>
    <t>DEF_PA_THRPYAGE_T_1, DEF_PA_THRPYAGE_T_3, DEF_PA_THRPYAGE_T_4</t>
  </si>
  <si>
    <t xml:space="preserve">DEF_TX_NF_RSVVAC_1
DEF_TX_NF_RSVVAC_2
DEF_TX_NF_RSVVAC_AGE
</t>
  </si>
  <si>
    <t>DEF_TX_CV_IMMUNCOUN_4, DEF_TX_CV_IMMUNCOUN_1, DEF_TX_CV_IMMUNCOUN_2, DEF_TX_CV_IMMUNCOUN_3, DEF_TX_CV_IMMUNCOUN_5, DEF_TX_CV_IMMUNCOUN_6, DEF_TX_CV_IMMUNCOUN_7, DEF_TX_CV_IMMUNCOUN_8</t>
  </si>
  <si>
    <t>DEF_TX_BN_BSTR_MOD, DEF_TX_BN_BSTR12Y, DEF_TX_BN_BSTR18Y</t>
  </si>
  <si>
    <t>DEF_TX_COVID_BSTR_4, DEF_TX_COVID_BSTR_5, DEF_TX_COVID_BSTR_6, DEF_TX_COVID_BSTR_7, DEF_TX_COVID_BSTR_8, DEF_TX_COVID_BSTR_9</t>
  </si>
  <si>
    <t xml:space="preserve">DEF_TX_BN_NOVA, DEF_TX_BN_NOVA_NPMD, DEF_TX_BN_NOVA_FQHC, DEF_TX_BN_NOVA_PHMW, DEF_TX_BN_NOVA_NEPHRO, DEF_TX_BN_NOVA_RHCIND, DEF_TX_BN_NOVA_RHCHOS, DEF_TX_BN_NOVA_CCP, DEF_TX_BN_NOVA_HHA, DEF_TX_BN_NOVA_HOSREN, </t>
  </si>
  <si>
    <t>DEF_TX_OT_INFLUVACC_1, DEF_TX_OT_INFLUVACC_2, DEF_TX_OT_INFLUVACC_3, DEF_TX_OT_INFLUVACC_4, DEF_TX_OT_INFLUVACC_5, DEF_TX_OT_INFLUVACC_6, DEF_TX_OT_INFLUVACC_7</t>
  </si>
  <si>
    <t>DEF_FL_FA_FHHA_1, DEF_FL_FA_FHHA_2</t>
  </si>
  <si>
    <t>DEF_PA_BL_ICS_10
DEF_PA_BL_ICS_11
DEF_PA_BL_ICS_12
DEF_PA_BL_ICS_13
DEF_PA_BL_ICS_14
DEF_PA_BL_ICS_15
DEF_PA_BL_ICS_16
DEF_PA_BL_ICS_17</t>
  </si>
  <si>
    <t>DEF_PA_HCPCS_AE_6
DEF_PA_HCPCS_AE_7
DEF_PA_HCPCS_AE_8
DEF_PA_HCPCS_AE_9
DEF_PA_HCPCS_AE_10
DEF_PA_HCPCS_AE_11</t>
  </si>
  <si>
    <t>DEF_PA_BL_BRSTP_RT_1
DEF_PA_BL_BRSTP_RT_2</t>
  </si>
  <si>
    <t>DEF_PA_BL_ORTHOP_A
DEF_PA_BL_ORTHOP_B</t>
  </si>
  <si>
    <t>DEF_VA_DME_PA_A1
DEF_VA_DME_PA_A2</t>
  </si>
  <si>
    <t>DEF_VA_DME_PA1M_A1, DEF_VA_DME_PA1M_A2</t>
  </si>
  <si>
    <t>DEF_VA_DME_6MOU1_1
DEF_VA_DME_6MOU1_3</t>
  </si>
  <si>
    <t>DEF_PA_BL_DME_1
DEF_PA_BL_DME_2</t>
  </si>
  <si>
    <t>DEF_VA_DME_PA6M_MD_1, DEF_VA_DME_PA6M_MD_2</t>
  </si>
  <si>
    <t>DEF_VA_DME_24MOU1_1, DEF_VA_FS_DME_24M_PAN_EMU</t>
  </si>
  <si>
    <t>DEF_PA_BCFS_AGE_A_1
DEF_PA_BCFS_GNDR_A_1</t>
  </si>
  <si>
    <t>DEF_PA_BCFS_D
DEF_PA_BCFS_GNDR_F_1</t>
  </si>
  <si>
    <t>DEF_PA_BCFS_AGE_B_1
DEF_PA_BCFS_B
DEF_PA_BCFS_AGE_B_2
DEF_PA_BCFS_B_2</t>
  </si>
  <si>
    <t>DEF_PA_BCFS_I_1
DEF_PA_BCFS_I_2</t>
  </si>
  <si>
    <t>DEF_WA_MH_HH_SPCTP_1, DEF_WA_MH_HH_SPCTP_2</t>
  </si>
  <si>
    <t>DEF_WA_MH_HH_SWS_1, DEF_WA_MH_HH_SWS_2</t>
  </si>
  <si>
    <t>DEF_TX_SIGMOIDSCPY_2, DEF_TX_SIGMOIDSCPY_1</t>
  </si>
  <si>
    <t>DEF_WA_MH_PROS_ORTH_A_1
DEF_WA_MH_PROS_ORTH_A_2</t>
  </si>
  <si>
    <t>DEF_WA_MH_PROS_ORTH_B_1
DEF_WA_MH_PROS_ORTH_B_2</t>
  </si>
  <si>
    <t>DEF_WA_MH_PROS_ORTH_C_1
DEF_WA_MH_PROS_ORTH_C_2</t>
  </si>
  <si>
    <t>DEF_WA_MH_PROS_ORTH_D_1
DEF_WA_MH_PROS_ORTH_D_2</t>
  </si>
  <si>
    <t>DEF_WA_MH_PROS_ORTH_E_1
DEF_WA_MH_PROS_ORTH_E_2</t>
  </si>
  <si>
    <t>DEF_WA_MH_PROS_ORTH_F_1
DEF_WA_MH_PROS_ORTH_F_2</t>
  </si>
  <si>
    <t>DEF_WA_MH_PROS_ORTH_K_1
DEF_WA_MH_PROS_ORTH_K_2</t>
  </si>
  <si>
    <t>DEF_WA_MH_PROS_ORTH_N_1
DEF_WA_MH_PROS_ORTH_N_2</t>
  </si>
  <si>
    <t>DEF_WA_MH_PROS_ORTH_O_1
DEF_WA_MH_PROS_ORTH_O_2</t>
  </si>
  <si>
    <t>DEF_WA_MH_PROS_ORTH_P_1
DEF_WA_MH_PROS_ORTH_P_2</t>
  </si>
  <si>
    <t>DEF_WA_MH_PROS_ORTH_R_1
DEF_WA_MH_PROS_ORTH_R_2</t>
  </si>
  <si>
    <t>DEF_WA_MH_PROS_ORTH_S_1
DEF_WA_MH_PROS_ORTH_S_2</t>
  </si>
  <si>
    <t>DEF_TX_GRP_VISIT_1, DEF_TX_GRP_VISIT_2</t>
  </si>
  <si>
    <t>DEF_WA_MED_NUTRI_THRPY_EPA_DX
DEF_WA_MED_NUTRI_THRPY_EPA_NUM</t>
  </si>
  <si>
    <t xml:space="preserve">DEF_WA_MH_NUTRI_THRPY_FREQ_A_1 
DEF_WA_MH_NUTRI_THRPY_FREQ_A_2
</t>
  </si>
  <si>
    <t xml:space="preserve">DEF_WA_MH_NUTRI_THRPY_FREQ_B_1
DEF_WA_MH_NUTRI_THRPY_FREQ_B_2
DEF_WA_MH_NUTRI_THRPY_FREQ_B_3
DEF_WA_MH_NUTRI_THRPY_FREQ_B_4 </t>
  </si>
  <si>
    <t xml:space="preserve">DEF_SC_MH_LIP_PSY_TST_1; DEF_SC_MH_LIP_PSY_TST_2 </t>
  </si>
  <si>
    <t>DEF_SC_MH_LIP_CRISIS_MGT_1 
DEF_SC_MH_LIP_CRISIS_MGT_2 </t>
  </si>
  <si>
    <t>DEF_OH_FS_CPTHCP_SMRE_PTO_1, DEF_OH_FS_CPTHCP_SMRE_PTO_2</t>
  </si>
  <si>
    <t>DEF_SC_MH_PHYS_FP_PRCS_1
DEF_SC_MH_PHYS_FP_PRCS_2</t>
  </si>
  <si>
    <t>DEF_WA_MH_ORTHOD_SURG_A_1
DEF_WA_MH_ORTHOD_SURG_A_2</t>
  </si>
  <si>
    <t>DEF_WA_MH_ORTHOD_SURG_B_1
DEF_WA_MH_ORTHOD_SURG_B_2</t>
  </si>
  <si>
    <t>DEF_SC_MH_PHYS_FP_AAAS_1
DEF_SC_MH_PHYS_FP_AAAS_2
DEF_SC_MH_PHYS_FP_AAAS_3</t>
  </si>
  <si>
    <t>DEF_SC_MH_PHYS_PULSEOXI_MW_1
DEF_SC_MH_PHYS_PULSEOXI_MW_2</t>
  </si>
  <si>
    <t>DEF_SC_MH_RBHS_DAODAS_A_1 
DEF_SC_MH_RBHS_DAODAS_A_2</t>
  </si>
  <si>
    <t>DEF_SC_MH_PREV1 
DEF_SC_MH_PREV2</t>
  </si>
  <si>
    <t>DEF_SC_MH_EAR1 
DEF_SC_MH_EAR2</t>
  </si>
  <si>
    <t>DEF_SC_MH_RBHS_DAODAS_B_1 
DEF_SC_MH_RBHS_DAODAS_B_2</t>
  </si>
  <si>
    <t>DEF_SC_FQHC_BEHAV_1
DEF_SC_FQHC_BEHAV_2</t>
  </si>
  <si>
    <t>DEF_SC_MH_RBHS_DAODAS_E_1 
DEF_SC_MH_RBHS_DAODAS_E_2</t>
  </si>
  <si>
    <t>DEF _SC_MH_HEMT_1
DEF _SC_MH_HEMT_2</t>
  </si>
  <si>
    <t>DEF _SC_MH_SIGM_1
DEF _SC_MH_SIGM_2</t>
  </si>
  <si>
    <t>DEF_SC_MH_RBHS_DAODAS_Q_1 
DEF_SC_MH_RBHS_DAODAS_Q_2</t>
  </si>
  <si>
    <t>DEF_SC_COMPREAUDIO_SPCHRECOG_1
DEF_SC_COMPREAUDIO_SPCHRECOG_2</t>
  </si>
  <si>
    <t>DEF_SC_MH_TYMPANOMETRY_1
DEF_SC_MH_TYMPANOMETRY_2</t>
  </si>
  <si>
    <t>DEF_WA_MH_PHY_VMEM_1; DEF_WA_MH_PHY_VMEM_2</t>
  </si>
  <si>
    <t>DEF_WA_MH_PROS_ORTH_AA_1, 
DEF_WA_MH_PROS_ORTH_AA_2, 
DEF_WA_MH_PROS_ORTH_AA_3</t>
  </si>
  <si>
    <t>DEF_WA_FS_PROS_ORTH_LMYR_BR_1
DEF_WA_FS_PROS_ORTH_LMYR_BR_2</t>
  </si>
  <si>
    <t>DEF_WA_MH_PROS_ORTH_Z_1, DEF_WA_MH_PROS_ORTH_Z_2, DEF_WA_MH_PROS_ORTH_Z_3,
DEF_WA_MH_PROS_ORTH_Z_4
DEF_WA_MH_PROS_ORTH_Z_5</t>
  </si>
  <si>
    <t>DEF_WA_MH_PROS_ORTH_U_1
DEF_WA_MH_PROS_ORTH_U_2
DEF_WA_MH_PROS_ORTH_U_3
DEF_WA_MH_PROS_ORTH_U_4</t>
  </si>
  <si>
    <t>DEF_WA_MH_PHY_BMP_A_1
DEF_WA_MH_PHY_BMP_A_2</t>
  </si>
  <si>
    <t>DEF_WA_MH_PHY_COG_IM_1, DEF_WA_MH_PHY_COG_IM_2</t>
  </si>
  <si>
    <t>DEF_WA_MH_MES_POST_SEAT_1,
DEF_WA_MH_MES_POST_SEAT_2,
DEF_WA_MH_MES_POST_SEAT_3,</t>
  </si>
  <si>
    <t>DEF_WA_FS_MOUD_A, DEF_WA_FS_MOUD_B</t>
  </si>
  <si>
    <t>DEF_GA_MH_PSYCH_GRPTHRP
DEF_GA_MH_PSYCH_GPT_F1</t>
  </si>
  <si>
    <t>DEF_WA_MH_PRS_LABOR_1 
DEF_WA_MH_PRS_LABOR_2</t>
  </si>
  <si>
    <t>DEF_WA_MH_PROS_ORTH_X_1
DEF_WA_MH_PROS_ORTH_X_2
DEF_WA_MH_PROS_ORTH_X_3</t>
  </si>
  <si>
    <t>DEF_WA_MH_PROS_ORTH_Y_1
DEF_WA_MH_PROS_ORTH_Y_2
DEF_WA_MH_PROS_ORTH_Y_3</t>
  </si>
  <si>
    <t>DEF_WA_MH_PROS_ORTH_W_1
DEF_WA_MH_PROS_ORTH_W_2
DEF_WA_MH_PROS_ORTH_W_3</t>
  </si>
  <si>
    <t>DEF_WA_MH_PROS_ORTH_V_1
DEF_WA_MH_PROS_ORTH_V_2
DEF_WA_MH_PROS_ORTH_V_3</t>
  </si>
  <si>
    <t>DEF_WA_MH_MES_FQ_POS
DEF_WA_MH_MES_FQ_POS_1
DEF_WA_MH_MES_FQ_POS_2</t>
  </si>
  <si>
    <t>DEF_WA_MH_PHY_CRT_OUT_1, DEF_WA_MH_PHY_CRT_OUT_2</t>
  </si>
  <si>
    <t>DEF_OH_FS_APPDD_MP_PTC_1, DEF_OH_FS_APPDD_MP_PTC_2</t>
  </si>
  <si>
    <t>DEF_PA_BL_DOULA_A_1, DEF_PA_BL_DOULA_A_2, DEF_PA_BL_DOULA_A_3</t>
  </si>
  <si>
    <t>DEF_WA_MH_MES_BGSL_A_1
DEF_WA_MH_MES_BGSL_A_2
DEF_WA_MH_MES_BGSL_A_3</t>
  </si>
  <si>
    <t>DEF_WA_MH_MES_BGSL_B_1
DEF_WA_MH_MES_BGSL_B_2
DEF_WA_MH_MES_BGSL_B_3</t>
  </si>
  <si>
    <t>DEF_WA_MH_MES_BR_A_1
DEF_WA_MH_MES_BR_A_2</t>
  </si>
  <si>
    <t>DEF_WA_MH_MES_BR_MODLT 
DEF_WA_MH_MES_BR_MODRT</t>
  </si>
  <si>
    <t>DEF_TX_BL_RENAL_DRGS_1, DEF_TX_BL_RENAL_DRGS_2, DEF_TX_BL_RENAL_DRGS_3</t>
  </si>
  <si>
    <t>DEF_WA_MH_AMB_EXTRA_ATT_1
DEF_WA_MH_AMB_EXTRA_ATT_2</t>
  </si>
  <si>
    <t>DEF_WA_MH_TELE_ORIGIN_1
DEF_WA_MH_TELE_ORIGIN_2
DEF_WA_MH_TELE_ORIGIN_3
DEF_WA_MH_TELE_ORIGIN_4
DEF_WA_MH_TELE_ORIGIN_5
DEF_WA_MH_TELE_ORIGIN_6</t>
  </si>
  <si>
    <t>DEF_IL_FS_HFS_THRPY_B_1,DEF_IL_FS_HFS_THRPY_B_2</t>
  </si>
  <si>
    <t>DEF_CA_EVAL_ALC_SCRN, DEF_CA_EVAL_ALC_SCRN_2</t>
  </si>
  <si>
    <t>DEF_CA_MH_INJ_LEUPRLD_1, DEF_CA_MH_INJ_LEUPRLD_3</t>
  </si>
  <si>
    <t>DEF_WA_FS_MES_GRAD_1
DEF_WA_FS_MES_GRAD_2</t>
  </si>
  <si>
    <t>DEF_FL_OT_HYPR_AGE_INC_1,DEF_FL_OT_HYPR_AGE_INC_2</t>
  </si>
  <si>
    <t xml:space="preserve">DEF_FL_OT_HYPR_AGE_EVK_1,DEF_FL_OT_HYPR_AGE_EVK_2
</t>
  </si>
  <si>
    <t>DEF_GA_MH_DME_PRSTN_1,DEF_GA_MH_DME_PRSTN_2</t>
  </si>
  <si>
    <t>DEF_WA_FS_OPPS_EPA_AP_1, DEF_WA_FS_OPPS_EPA_AP_2</t>
  </si>
  <si>
    <t>DEF_WA_FS_OPPS_FREQ_J_1, DEF_WA_FS_OPPS_FREQ_J_2</t>
  </si>
  <si>
    <t>DEF_WA_FS_OPPS_FREQ_K_1, DEF_WA_FS_OPPS_FREQ_K_2</t>
  </si>
  <si>
    <t>DEF_WA_MH_VIS_SERV_CL_MNGT_1, DEF_WA_MH_VIS_SERV_CL_MNGT_2</t>
  </si>
  <si>
    <t>DEF_WA_MH_PHY_TYMP_A,DEF_WA_MH_PHY_TYMP_B</t>
  </si>
  <si>
    <t>DEF_WA_MH_PHY_COCH_A, DEF_WA_MH_PHY_COCH_B</t>
  </si>
  <si>
    <t>DEF_OH_FS_APPDD_MP_PLHL, DEF_OH_FS_APPDD_MP_PLIH</t>
  </si>
  <si>
    <t>DEF_WA_MH_HEAR_CHLD_RPR_1, DEF_WA_MH_HEAR_CHLD_RPR_2</t>
  </si>
  <si>
    <t>DEF_WA_MH_HEAR_CID_EPA_1, DEF_WA_MH_HEAR_CID_EPA_2</t>
  </si>
  <si>
    <t>DEF_WA_MH_HEAR_HA_RPL_1, DEF_WA_MH_HEAR_HA_RPL_2, DEF_WA_MH_HEAR_HA_RPL_3, DEF_WA_MH_HEAR_HA_RPL_4</t>
  </si>
  <si>
    <t>DEF_WA_MH_HEAR_ADLT_EPA_C1, DEF_WA_MH_HEAR_ADLT_EPA_C2</t>
  </si>
  <si>
    <t>DEF_WA_MH_PHY_MBSPL_A,DEF_WA_MH_PHY_MBSPL_B</t>
  </si>
  <si>
    <t>STM_WA_MH_PHY_ALLER_IMMUN_A_PROC
STM_WA_MH_PHY_ALLER_IMMUN_B_PROC</t>
  </si>
  <si>
    <t>DEF_WA_MH_PHY_AFTER_HOUR_1, DEF_WA_MH_PHY_AFTER_HOUR_2</t>
  </si>
  <si>
    <t>DEF_WA_MH_PHY_PNTL_GENE_CNSL_1, DEF_WA_MH_PHY_PNTL_GENE_CNSL_2, DEF_WA_MH_PHY_PNTL_GENE_CNSL_3</t>
  </si>
  <si>
    <t>DEF_WA_MH_PHY_NDL_EMG_NONPAR_1, DEF_WA_MH_PHY_NDL_EMG_NONPAR_2</t>
  </si>
  <si>
    <t>DEF_WA_MH_HITP_CGM_A,DEF_WA_MH_HITP_CGM_B</t>
  </si>
  <si>
    <t>DEF_WA_MH_MHS_PDE_FREQ_1, DEF_WA_MH_MHS_PDE_FREQ_2,</t>
  </si>
  <si>
    <t>DEF_WA_MH_MHS_PDE_MGHAYC_1, DEF_WA_MH_MHS_PDE_MGHAYC_2</t>
  </si>
  <si>
    <t>DEF_WA_MH_MHS_RTMS_C1, DEF_WA_MH_MHS_RTMS_C2</t>
  </si>
  <si>
    <t>DEF_WA_FS_MHS_DEVSRCN_1, DEF_WA_FS_MHS_DEVSRCN_2</t>
  </si>
  <si>
    <t>DEF_WA_MH_MHS_TMS_DX_1, DEF_WA_MH_MHS_TMS_DX_2</t>
  </si>
  <si>
    <t>DEF_WA_MH_MHS_NJ_A_1, DEF_WA_MH_MHS_NJ_A_2</t>
  </si>
  <si>
    <t>DEF_WA_MH_PHY_LAB_EPA_IBMFS_1, DEF_WA_MH_PHY_LAB_EPA_IBMFS_2, DEF_WA_MH_PHY_LAB_EPA_IBMFS_3</t>
  </si>
  <si>
    <t>DEF_WA_MH_MHS_IRT_1, DEF_WA_MH_MHS_IRT_2</t>
  </si>
  <si>
    <t>DEF_WA_MH_MHS_FI_1, DEF_WA_MH_MHS_FI_2</t>
  </si>
  <si>
    <t>DEF_WA_MH_PHY_ORTH_PLEOP_TRN_A, DEF_WA_MH_PHY_ORTH_PLEOP_TRN_B, DEF_WA_MH_PHY_ORTH_PLEOP_TRN_C, DEF_WA_MH_PHY_ORTH_PLEOP_TRN_D</t>
  </si>
  <si>
    <t>DEF_WA_MH_PHY_CORNEAL_TOPO_1, DEF_WA_MH_PHY_CORNEAL_TOPO_2</t>
  </si>
  <si>
    <t>DEF_WA_MH_MHS_IRT_PS_1, DEF_WA_MH_MHS_IRT_PS_2</t>
  </si>
  <si>
    <t>DEF_WA_MH_MHS_NJ_PS_A_1, DEF_WA_MH_MHS_NJ_PS_A_2</t>
  </si>
  <si>
    <t>DEF_WA_MH_MHS_FI_PS_1, DEF_WA_MH_MHS_FI_PS_2, DEF_WA_MH_MHS_FI_PS_3</t>
  </si>
  <si>
    <t>DEF_WA_MH_PHY_BONE_CON, DEF_WA_FS_PHY_BONE_CON</t>
  </si>
  <si>
    <t>DEF_WA_MH_SBHS_AGE_ELIG, DEF_WA_MH_SBHS_ONEDX</t>
  </si>
  <si>
    <t>DEF_WA_MH_PHY_OPHT_IMG_RETNA_1, DEF_WA_MH_PHY_OPHT_IMG_RETNA_2</t>
  </si>
  <si>
    <t>DEF_WA_MH_PHY_OMT_1, DEF_WA_MH_PHY_OMT_2, DEF_WA_MH_PHY_OMT_3</t>
  </si>
  <si>
    <t>DEF_WA_MH_PHY_VNSA_1, DEF_WA_MH_PHY_VNSA_2</t>
  </si>
  <si>
    <t>DEF_WA_MH_PHY_VNSB_1, DEF_WA_MH_PHY_VNSB_2</t>
  </si>
  <si>
    <t>DEF_NY_OT_HGNS_1, DEF_NY_OT_HGNS_2</t>
  </si>
  <si>
    <t>DEF_WA_MH_PHY_HYPRBRIC_OXY_A_1, DEF_WA_MH_PHY_HYPRBRIC_OXY_A_2</t>
  </si>
  <si>
    <t>DEF_WA_MH_PHY_HYPRBRIC_OXY_B_1, DEF_WA_MH_PHY_HYPRBRIC_OXY_B_2</t>
  </si>
  <si>
    <t>DEF_WA_MH_PHY_INDW_CATH_1, DEF_WA_MH_PHY_INDW_CATH_2</t>
  </si>
  <si>
    <t>DEF_WA_MH_OPR_PTOT_RVMD_1, DEF_WA_MH_OPR_PTOT_RVMD_2</t>
  </si>
  <si>
    <t>DEF_WA_MH_PHY_TSTSTRONE_TEST_1, DEF_WA_MH_PHY_TSTSTRONE_TEST_2</t>
  </si>
  <si>
    <t>DEF_WA_MH_PHY_DISCO_1, DEF_WA_MH_PHY_DISCO_2</t>
  </si>
  <si>
    <t>DEF_WA_MH_PHY_UTZ_AAA_1, DEF_WA_MH_PHY_UTZ_AAA_2</t>
  </si>
  <si>
    <t>DEF_WA_MH_PHY_GRP_CLNCL_VSIT_1, DEF_WA_MH_PHY_GRP_CLNCL_VSIT_2, DEF_WA_MH_PHY_GRP_CLNCL_VSIT_3, DEF_WA_MH_PHY_GRP_CLNCL_VSIT_4, DEF_WA_MH_PHY_GRP_CLNCL_VSIT_5</t>
  </si>
  <si>
    <t>DEF_PA_PHYFS_AGE_U, DEF_PA_PHYFS_AGE_U_2, DEF_PA_PHYFS_AGE_U_3, DEF_PA_PHYFS_AGE_U_4, DEF_PA_PHYFS_AGE_U_5, DEF_PA_PHYFS_AGE_U_6</t>
  </si>
  <si>
    <t>DEF_PA_PHYFS_AO_1, DEF_PA_PHYFS_AO_3, DEF_PA_PHYFS_AO_4, DEF_PA_PHYFS_AO_5, DEF_PA_PHYFS_AO_6</t>
  </si>
  <si>
    <t>DEF_PA_PHYFS_AGE_AP, DEF_PA_PHYFS_AGE_AP1, DEF_PA_PHYFS_AGE_AP2, DEF_PA_PHYFS_AGE_AP3, DEF_PA_PHYFS_AGE_AP4, DEF_PA_PHYFS_AGE_AP5, DEF_PA_PHYFS_AGE_AP6</t>
  </si>
  <si>
    <t xml:space="preserve">, </t>
  </si>
  <si>
    <t>DEF_WA_MH_PHY_CMRA_DX_1, DEF_WA_MH_PHY_CMRA_DX_2</t>
  </si>
  <si>
    <t>DEF_WA_MH_PHY_HYA_VIS_K_1, DEF_WA_MH_PHY_HYA_VIS_K_2</t>
  </si>
  <si>
    <t>DEF_WA_MH_PHY_COLO_SCRN_AGE
DEF_WA_MH_PHY_COLO_SCRN</t>
  </si>
  <si>
    <t>DEF_WA_MH_PHY_HYA_VIS_A_1, DEF_WA_MH_PHY_HYA_VIS_A_2</t>
  </si>
  <si>
    <t>DEF_WA_MH_PHY_HYA_VIS_C_1, DEF_WA_MH_PHY_HYA_VIS_C_2</t>
  </si>
  <si>
    <t>DEF_WA_MH_PHY_HYA_VIS_E_1, DEF_WA_MH_PHY_HYA_VIS_E_2</t>
  </si>
  <si>
    <t>DEF_WA_MH_PHY_HYA_VIS_G_1, DEF_WA_MH_PHY_HYA_VIS_G_2</t>
  </si>
  <si>
    <t>DEF_WA_MH_PHY_HYA_VIS_I_1, DEF_WA_MH_PHY_HYA_VIS_I_2</t>
  </si>
  <si>
    <t>DEF_WA_MH_PHY_INJ_EPA_ROMPL_1, DEF_WA_MH_PHY_INJ_EPA_ROMPL_2</t>
  </si>
  <si>
    <t>DEF_WA_MH_PHY_EPA_ALLO_1, DEF_WA_MH_PHY_EPA_ALLO_2</t>
  </si>
  <si>
    <t>DEF_WA_FS_PHY_ONCO_A, DEF_WA_FS_PHY_ONCO_B</t>
  </si>
  <si>
    <t>DEF_WA_MH_PHY_LAB_EPA_HPVGN_1, DEF_WA_MH_PHY_LAB_EPA_HPVGN_2</t>
  </si>
  <si>
    <t>DEF_MI_FS_DOULA_TELMED_1, DEF_MI_FS_DOULA_TELMED_2</t>
  </si>
  <si>
    <t>DEF_WA_MH_PHY_OSA_1, DEF_WA_MH_PHY_OSA_2</t>
  </si>
  <si>
    <t>DEF_WA_MH_PHY_LABOR_C_1
DEF_WA_MH_PHY_LABOR_C_2</t>
  </si>
  <si>
    <t>DEF_TX_XX_PPECC_FREQ_2, DEF_TX_XX_PPECC_FREQ_3</t>
  </si>
  <si>
    <t>DEF_NY_DME_FREQ_LTRT_C_1, DEF_NY_DME_FREQ_LTRT_C_2</t>
  </si>
  <si>
    <t>DEF_NY_DME_FREQ_LTRT_UPRES_1, DEF_NY_DME_FREQ_LTRT_UPRES_2</t>
  </si>
  <si>
    <t>DEF_NY_DME_FREQT_2, DEF_NY_DME_FREQT_3</t>
  </si>
  <si>
    <t>DEF_NY_DME_FREQ_LTRT_D_1, DEF_NY_DME_FREQ_LTRT_D_2</t>
  </si>
  <si>
    <t>DEF_TX_DME_RRFREQ, DEF_TX_XX_MED_NUT_PROD</t>
  </si>
  <si>
    <t>DEF_KS_BL_VISITCOMP_1, DEF_KS_BL_VISITCOMP_2</t>
  </si>
  <si>
    <t>DEF_TX_MH_DME_RRFREQB_1, DEF_TX_MH_DME_RRFREQB_2</t>
  </si>
  <si>
    <t>DEF_KS_RHCF_STERI_1, DEF_KS_RHCF_STERI_2</t>
  </si>
  <si>
    <t>DEF_GA_MH_DME_CART_1
DEF_GA_MH_DME_CART_2
DEF_GA_MH_DME_CART_3</t>
  </si>
  <si>
    <t>DEF_MS_MH_PHY_EM_HOSP_IP_SUB_1
DEF_MS_MH_PHY_EM_HOSP_IP_SUB_2
DEF_MS_MH_PHY_EM_HOSP_IP_SUB_3</t>
  </si>
  <si>
    <t>DEF_CA_INJ_PEGU_1, DEF_CA_INJ_PEGU_2.</t>
  </si>
  <si>
    <t>DEF_CA_SURGERY_PRIM_1, DEF_CA_SURGERY_PRIM_2</t>
  </si>
  <si>
    <t>DEF_MS_MH_PHY_OTOPLASTY_1, DEF_MS_MH_PHY_OTOPLASTY_2</t>
  </si>
  <si>
    <t>DEF_LA_FS_SCH_CYTO_1 &amp;2</t>
  </si>
  <si>
    <t>DEF_TX_OPD_BOTOX_1 and DEF_TX_OPD_BOTOX_2</t>
  </si>
  <si>
    <t>DEF_MS_MH_PHY_GES_1
DEF_MS_MH_PHY_GES_2
DEF_MS_MH_PHY_GES_3</t>
  </si>
  <si>
    <t>DEF_MS_MH_PHY_CMT_1
DEF_MS_MH_PHY_CMT_2
DEF_MS_MH_PHY_CMT_3
DEF_MS_MH_PHY_CMT_4
DEF_MS_MH_PHY_CMT_5</t>
  </si>
  <si>
    <t>DEF_MS_MH_PHY_POD_SVC_A_1
DEF_MS_MH_PHY_POD_SVC_A_2</t>
  </si>
  <si>
    <t>DEF_MS_MH_PHY_PSYCH_1
DEF_MS_MH_PHY_PSYCH_2</t>
  </si>
  <si>
    <t>EF_MS_MH_TELERPM_FRQ_1
EF_MS_MH_TELERPM_FRQ_2</t>
  </si>
  <si>
    <t>DEF_KS_DME_BRST_A_2, DEF_KS_DME_BRST_A_1</t>
  </si>
  <si>
    <t>DEF_CA_CHEMO_BORUZU, DEF_CA_CHEMO_BORUZU_2</t>
  </si>
  <si>
    <t>DEF_CA_DME_PENILE_DEV, DEF_CA_DME_PENILE_DEV_2, DEF_CA_DME_PENILE_DEV_3, DEF_CA_DME_PENILE_DEV_4</t>
  </si>
  <si>
    <t>DEF_CA_INJ_OCRELIZUMAB_HYALU, DEF_CA_INJ_OCRELIZUMAB_HYALU_2</t>
  </si>
  <si>
    <t>DEF_KS_BL_EATDIS_FREQA1, DEF_KS_BL_EATDIS_FREQA2</t>
  </si>
  <si>
    <t>DEF_CA_INJ_VIBRAMYCIN_AGE, DEF_CA_INJ_VIBRAMYCIN_FREQ</t>
  </si>
  <si>
    <t>DEF_MS_FS_ASC_RX_A_1, DEF_MS_FS_ASC_RX_A_2</t>
  </si>
  <si>
    <t>DEF_MS_FS_ASC_RX_B_1, DEF_MS_FS_ASC_RX_B_2</t>
  </si>
  <si>
    <t>DEF_MS_FS_ASC_RX_C_1, DEF_MS_FS_ASC_RX_C_2</t>
  </si>
  <si>
    <t>DEF_MS_FS_ASC_RX_D_1, DEF_MS_FS_ASC_RX_D_2</t>
  </si>
  <si>
    <t>DEF_CA_FESCRSE_1-4</t>
  </si>
  <si>
    <t>DEF_WA_MH_PHY_DRG_SCRN_DEF_B,DEF_WA_MH_PHY_DRG_SCRN_DEF_A</t>
  </si>
  <si>
    <t>DEF_MS_FS_MEDSURG_A_1, DEF_MS_FS_MEDSURG_A_2</t>
  </si>
  <si>
    <t xml:space="preserve">DEF_MS_FS_MEDSURG_B_1, DEF_MS_FS_MEDSURG_B_2
</t>
  </si>
  <si>
    <t>DEF_MS_FS_MEDSURG_C_1, DEF_MS_FS_MEDSURG_C_2</t>
  </si>
  <si>
    <t>DEF_WA_FS_PHY_LFTME_AGE_*</t>
  </si>
  <si>
    <t>DEF_LA_MH_HOSPICE_SIA_1, DEF_LA_MH_HOSPICE_SIA_2, DEF_LA_MH_HOSPICE_SIA_3</t>
  </si>
  <si>
    <t>DEF_TX_BN_AFAMITRESGENE_1,DEF_TX_BN_AFAMITRESGENE_2,DEF_TX_BN_AFAMITRESGENE_3</t>
  </si>
  <si>
    <t>DEF_MS_MH_VIS_EYEGLASS_1, DEF_MS_MH_VIS_EYEGLASS_2</t>
  </si>
  <si>
    <t>DEF_MS_MH_VIS_LAC_PLUG_1, DEF_MS_MH_VIS_LAC_PLUG_2, DEF_MS_MH_VIS_LAC_PLUG_3</t>
  </si>
  <si>
    <t xml:space="preserve">DEF_LA_IMMUN_RSV_2, DEF_LA_IMMUN_RSV_3
</t>
  </si>
  <si>
    <t>DEF_LA_FS_IMMUN_NFGF_1, DEF_LA_FS_IMMUN_NFGF_2</t>
  </si>
  <si>
    <t>DEF_TX_TESTO_1, DEF_TX_TESTO_2</t>
  </si>
  <si>
    <t>DEF_TX_BPROST_FREQD, DEF_TX_BPROST_MOD</t>
  </si>
  <si>
    <t>DEF_PA_CLIA_J_1, DEF_PA_CLIA_J_2, DEF_PA_CLIA_J_3, DEF_PA_CLIA_J_4</t>
  </si>
  <si>
    <t>DEF_PA_BL_HCPCS_UPD_MOD_LAT_1, DEF_PA_BL_HCPCS_UPD_MOD_LAT_2</t>
  </si>
  <si>
    <t>DEF_WA_FS_GRADI_1, DEF_WA_FS_GRADI_2</t>
  </si>
  <si>
    <t>DEF_MS_MH_VIS_CONT_LENS_1, DEF_MS_MH_VIS_CONT_LENS_2</t>
  </si>
  <si>
    <t>DEF_WA_MH_HEAR_CVT_1,DEF_WA_MH_HEAR_CVT_2</t>
  </si>
  <si>
    <t>DEF_BL_DME_FREQ_I1, DEF_BL_DME_FREQ_I2</t>
  </si>
  <si>
    <t>DEF_UT_MH_PHY_ANES_STAT_MOD_1, DEF_UT_MH_PHY_ANES_STAT_MOD_2</t>
  </si>
  <si>
    <t>DEF_UT_MH_PHY_DPP_1, DEF_UT_MH_PHY_DPP_2, DEF_UT_MH_PHY_DPP_3, DEF_UT_MH_PHY_DPP_4, DEF_UT_MH_PHY_DPP_5, DEF_UT_MH_PHY_DPP_6</t>
  </si>
  <si>
    <t>DEF_UT_MH_PHY_DPP_GROUP_1, DEF_UT_MH_PHY_DPP_GROUP_2, DEF_UT_MH_PHY_DPP_GROUP_3</t>
  </si>
  <si>
    <t>DEF_CA_MH_INJ_PEGLOTICASE,  DEF_CA_MH_INJ_PEGLOTICASE_2, DEF_CA_MH_INJ_PEGLOTICASE_3</t>
  </si>
  <si>
    <t>DEF_UT_MH_PHY_DSMT_1, DEF_UT_MH_PHY_DSMT_2</t>
  </si>
  <si>
    <t>DEF_PA_BL_INJ_VIT_2
DEF_PA_BL_INJ_VIT</t>
  </si>
  <si>
    <t>DEF_UT_MH_PHY_PNTALCARE_COOR_1, DEF_UT_MH_PHY_PNTALCARE_COOR_2</t>
  </si>
  <si>
    <t>DEF_NY_OT_FLOURIDE_1,DEF_NY_OT_FLOURIDE_2</t>
  </si>
  <si>
    <t>DEF_PA BL_MABFS_FREQC1
DEF_PA BL_MABFS_FREQC2
DEF_PA BL_MABFS_FREQC3
DEF_PA BL_MABFS_FREQC4
DEF_PA BL_MABFS_FREQC5</t>
  </si>
  <si>
    <t>DEF_PA_BL_FINGORTH_FA
DEF_PA_BL_FINGORTH_F1
DEF_PA_BL_FINGORTH_F2
DEF_PA_BL_FINGORTH_F3
DEF_PA_BL_FINGORTH_F4
DEF_PA_BL_FINGORTH_F5
DEF_PA_BL_FINGORTH_F6
DEF_PA_BL_FINGORTH_F7
DEF_PA_BL_FINGORTH_F8
DEF_PA_BL_FINGORTH_F9</t>
  </si>
  <si>
    <t>DEF_PA_BL_FINGORTH_FA_1
DEF_PA_BL_FINGORTH_F1_2
DEF_PA_BL_FINGORTH_F2_3
DEF_PA_BL_FINGORTH_F3_4
DEF_PA_BL_FINGORTH_F4_5
DEF_PA_BL_FINGORTH_F5_6
DEF_PA_BL_FINGORTH_F6_7
DEF_PA_BL_FINGORTH_F7_8
DEF_PA_BL_FINGORTH_F8_9
DEF_PA_BL_FINGORTH_F9_10</t>
  </si>
  <si>
    <t>DEF_PA_BL_VAD_FREQ1
DEF_PA_BL_VAD_FREQ2
DEF_PA_BL_VAD_FREQ3
DEF_PA_BL_VAD_FREQ4</t>
  </si>
  <si>
    <t>DEF_PA_IPFS_OB_1, DEF_PA_IPFS_OB_2</t>
  </si>
  <si>
    <t>DEF_WA_MH_PHY_BREATHA_1
DEF_WA_MH_PHY_BREATHA_2</t>
  </si>
  <si>
    <t>DEF_CA_BL_HCPCS_OPDVQVNTG_1
DEF_CA_BL_HCPCS_OPDVQVNTG_2</t>
  </si>
  <si>
    <t>DEF_CA_BL_HCPCS_METOPROLOL_1
DEF_CA_BL_HCPCS_METOPROLOL_2</t>
  </si>
  <si>
    <t>DEF_CA_BL_HCPCS_ABL_BEN_PROS_1
DEF_CA_BL_HCPCS_ABL_BEN_PROS_2</t>
  </si>
  <si>
    <t>DEF_KS_BL_EATDIS_FREQA1, 
DEF_KS_BL_EATDIS_FREQA2</t>
  </si>
  <si>
    <t>Cancelled</t>
  </si>
  <si>
    <t>DEF_KS_BL_EATDIS_FREQB
DEF_KS_BL_EATDIS_FREQB2</t>
  </si>
  <si>
    <t>DEF_PA_BL_FQHC_RHC_A, DEF_PA_BL_FQHC_RHC_B</t>
  </si>
  <si>
    <t>DEF_WV_FS_MDC_AFAMITRESGENE_1, DEF_WV_FS_MDC_AFAMITRESGENE_2</t>
  </si>
  <si>
    <t>DEF_WV_FS_MDC_ATEZOLIZUMAB_1, DEF_WV_FS_MDC_ATEZOLIZUMAB_2</t>
  </si>
  <si>
    <t>DEF_WV_FS_MDC_MELPHALAN_1, DEF_WV_FS_MDC_MELPHALAN_2</t>
  </si>
  <si>
    <t>DEF_WV_FS_MDC_OBECABTAGENE_1, DEF_WV_FS_MDC_OBECABTAGENE_2</t>
  </si>
  <si>
    <t>DEF_WV_FS_MDC_OCRELIZUMAB_1, DEF_WV_FS_MDC_OCRELIZUMAB_2</t>
  </si>
  <si>
    <t>DEF_WV_FS_MDC_ZANIDATAMAB_1, DEF_WV_FS_MDC_ZANIDATAMAB_2</t>
  </si>
  <si>
    <t>DEF_WV_FS_MDC_ZOLBETUXIMAB_1, DEF_WV_FS_MDC_ZOLBETUXIMAB_2</t>
  </si>
  <si>
    <t>DEF_WA_MH_PROS_ORTH_SS_1
DEF_WA_MH_PROS_ORTH_SS_2</t>
  </si>
  <si>
    <t>DEF_WA_MH_PROS_ORTH_RR_1
DEF_WA_MH_PROS_ORTH_RR_2</t>
  </si>
  <si>
    <t>DEF_WA_MH_PROS_ORTH_CC_1
DEF_WA_MH_PROS_ORTH_CC_2</t>
  </si>
  <si>
    <t>DEF_UT_MH_PHY_GENDR_DYSPHRIA_1, DEF_UT_MH_PHY_GENDR_DYSPHRIA_2</t>
  </si>
  <si>
    <t>DEF_WA_FS_MES_LIMB_1 
DEF_WA_FS_MES_LIMB_2</t>
  </si>
  <si>
    <t>DEF_UT_MH_PHY_GENETIC_SCRN_1, DEF_UT_MH_PHY_GENETIC_SCRN_2</t>
  </si>
  <si>
    <t xml:space="preserve">DEF_AZ_NL_EKMARAPR25_1,DEF_AZ_NL_EKMARAPR25_2,DEF_AZ_NL_EKMARAPR25_3,DEF_AZ_NL_EKMARAPR25_4
</t>
  </si>
  <si>
    <t>DEF_WA_FS_PHYH_MOD93_B_1, DEF_WA_FS_PHYH_MOD93_B_2</t>
  </si>
  <si>
    <t>DEF_FL_DME_NEB_1, DEF_FL_DME_NEB_2, DEF_FL_DME_NEB_3</t>
  </si>
  <si>
    <t>DEF_UT_FS_PHY_BEHAV_ASSESS_1, DEF_UT_FS_PHY_BEHAV_ASSESS_2</t>
  </si>
  <si>
    <t>DEF_UT_FS_MDME_HEL_C_1 
DEF_UT_FS_MDME_HEL_C_2</t>
  </si>
  <si>
    <t>DEF_UT_FS_MDME_ORTH_HTP_1
DEF_UT_FS_MDME_ORTH_HTP_2
DEF_UT_FS_MDME_ORTH_HTP_3
DEF_UT_FS_MDME_ORTH_HTP_4
DEF_UT_FS_MDME_ORTH_HTP_5</t>
  </si>
  <si>
    <t>DEF_AZ_NL_EKMA25_FREQ_G1,DEF_AZ_NL_EKMA25_FREQ_G2</t>
  </si>
  <si>
    <t>DEF_AZ_NL_EKMA25_FREQ_H1,DEF_AZ_NL_EKMA25_FREQ_H2</t>
  </si>
  <si>
    <t>DEF_AZ_NL_EKMA25_FREQ_I1,DEF_AZ_NL_EKMA25_FREQ_I2</t>
  </si>
  <si>
    <t>DEF_AZ_NL_EKMA25_FREQ_J1,DEF_AZ_NL_EKMA25_FREQ_J2</t>
  </si>
  <si>
    <t>DEF_AZ_NL_EKMA25_FREQ_K1,DEF_AZ_NL_EKMA25_FREQ_K2</t>
  </si>
  <si>
    <t>DEF_AZ_NL_EKMA25_FREQ_L1,DEF_AZ_NL_EKMA25_FREQ_L2</t>
  </si>
  <si>
    <t>DEF_NV_MH_OTA_1, DEF_NV_MH_OTA_2, DEF_NV_MH_OTA_3</t>
  </si>
  <si>
    <t>DEF_NV_MH_OTB_1, DEF_NV_MH_OTB_2, DEF_NV_MH_OTB_3</t>
  </si>
  <si>
    <t>DEF_NV_MH_OTC_1, DEF_NV_MH_OTC_2, DEF_NV_MH_OTC_3</t>
  </si>
  <si>
    <t>DEF_NV_MH_ST_FREQ_NPA_1, DEF_NV_MH_ST_FREQ_NPA_2</t>
  </si>
  <si>
    <t>DEF_NV_MH_PTA_1, DEF_NV_MH_PTA_2, DEF_NV_MH_PTA_3</t>
  </si>
  <si>
    <t>DEF_NV_MH_PTB_1, DEF_NV_MH_PTB_2</t>
  </si>
  <si>
    <t>DEF_NV_MH_PTC_1, DEF_NV_MH_PTC_2</t>
  </si>
  <si>
    <t>DEF_PA_BL_CLINIC_INJVIT, DEF_PA_BL_CLINIC_INJVIT_2</t>
  </si>
  <si>
    <t>DEF_UT_FS_PHY_ANES_1, DEF_UT_FS_PHY_ANES_2</t>
  </si>
  <si>
    <t>DEF_NV_MH_OPTIC_PCBL_1 , DEF_NV_MH_OPTIC_PCBL_2</t>
  </si>
  <si>
    <t>DEF_LA_FPC_FPLAN_1, DEF_LA_FPC_FPLAN_3</t>
  </si>
  <si>
    <t>DEF_NV_MH_OPTIC_OCPRS_RT_1_12M, DEF_NV_MH_OPTIC_OCPRS_LT_1_12M</t>
  </si>
  <si>
    <t>DEF_NV_MH_OPTIC_OCPRS_RT_1_60M, DEF_NV_MH_OPTIC_OCPRS_LT_1_60M</t>
  </si>
  <si>
    <t>DEF_NV_MH_PHY_CHW_SVC_LIMIT_1,DEF_NV_MH_PHY_CHW_SVC_LIMIT_2</t>
  </si>
  <si>
    <t>DEF_NV_MH_RESHAB_FREQ_1, DEF_NV_MH_RESHAB_FREQ_2</t>
  </si>
  <si>
    <t>DEF_NV_MH_DMEPOS_FREQ_B1, DEF_NV_MH_DMEPOS_FREQ_B2</t>
  </si>
  <si>
    <t>DEF_UT_FS_MDME_UPROS_1,DEF_UT_FS_MDME_UPROS_2,DEF_UT_FS_MDME_UPROS_3</t>
  </si>
  <si>
    <t>DEF_TX_HYDROPRJEST_1, DEF_TX_HYDROPRJEST_2, DEF_TX_HYDROPRJEST_3</t>
  </si>
  <si>
    <t>DEF_TX_MH_OPD_ABATACEPT_AD_A, DEF_TX_MH_OPD_ABATACEPT_AD_B, DEF_TX_MH_OPD_ABATACEPT_AD_C, DEF_TX_MH_OPD_ABATACEPT_AD_D</t>
  </si>
  <si>
    <t>DEF_UT_FS_MDME_COMPS_1,DEF_UT_FS_MDME_COMPS_2,DEF_UT_FS_MDME_COMPS_3</t>
  </si>
  <si>
    <t>DEF_UT_FS_MDME_SURGS_1,DEF_UT_FS_MDME_SURGS_2,DEF_UT_FS_MDME_SURGS_3</t>
  </si>
  <si>
    <t>DEF_UT_FS_PHY_FREQ_F_1, DEF_UT_FS_PHY_FREQ_F_2</t>
  </si>
  <si>
    <t>DEF_ID_MH_MED_ALBUMN_RPLACE_1, DEF_ID_MH_MED_ALBUMN_RPLACE_2, DEF_ID_MH_MED_ALBUMN_RPLACE_3</t>
  </si>
  <si>
    <t>DEF_ID_MH_MED_CR_1, DEF_ID_MH_MED_CR_2, DEF_ID_MH_MED_CR_3, DEF_ID_MH_MED_CR_4, DEF_ID_MH_MED_CR_5</t>
  </si>
  <si>
    <t>DEF_NV_MH_PHY_OCU_LENS_1,DEF_NV_MH_PHY_OCU_LENS_2</t>
  </si>
  <si>
    <t>DEF_ID_MH_MED_FLUMIST_1, DEF_ID_MH_MED_FLUMIST_2</t>
  </si>
  <si>
    <t xml:space="preserve">DEF_LA_FPC_FPLAN_1, DEF_LA_FPC_FPLAN_3
</t>
  </si>
  <si>
    <t>DEF_NY_OT_TMS_1, DEF_NY_OT_TMS_2, DEF_NY_OT_TMS_3</t>
  </si>
  <si>
    <t>DEF_ID_MH_MED_PAP_CCS_1, DEF_ID_MH_MED_PAP_CCS_2, DEF_ID_MH_MED_PAP_CCS_3</t>
  </si>
  <si>
    <t>DEF_KY_DME_FREQ_YR_LG, DEF_KY_DME_FREQ_YR_LG_2</t>
  </si>
  <si>
    <t>DEF_ID_MH_MED_IUD_INSRT_A_1, DEF_ID_MH_MED_IUD_INSRT_A_2</t>
  </si>
  <si>
    <t>DEF_NV_NL_OPTIC_ARCL_1,DEF_NV_NL_OPTIC_ARCL_2</t>
  </si>
  <si>
    <t>DEF_ID_MH_MED_DSMT_OP_1, DEF_ID_MH_MED_DSMT_OP_2</t>
  </si>
  <si>
    <t>DEF_ID_MH_HOSP_THRPY_PTA_1, DEF_ID_MH_HOSP_THRPY_PTA_2, DEF_ID_MH_HOSP_THRPY_PTA_3</t>
  </si>
  <si>
    <t>DEF_ID_MH_HOSP_THRPY_PTB_1, DEF_ID_MH_HOSP_THRPY_PTB_2, DEF_ID_MH_HOSP_THRPY_PTB_3</t>
  </si>
  <si>
    <t>DEF_ID_MH_HOSP_THRPY_OTA_1, DEF_ID_MH_HOSP_THRPY_OTA_2, DEF_ID_MH_HOSP_THRPY_OTA_3</t>
  </si>
  <si>
    <t>DEF_ID_MH_HOSP_THRPY_OTB_1, DEF_ID_MH_HOSP_THRPY_OTB_2, DEF_ID_MH_HOSP_THRPY_OTB_3</t>
  </si>
  <si>
    <t>DEF_ID_MH_HOSP_THRPY_SLPA_1, DEF_ID_MH_HOSP_THRPY_SLPA_2, DEF_ID_MH_HOSP_THRPY_SLPA_3</t>
  </si>
  <si>
    <t>DEF_ID_MH_HOSP_THRPY_SLPB_1, DEF_ID_MH_HOSP_THRPY_SLPB_2, DEF_ID_MH_HOSP_THRPY_SLPB_3</t>
  </si>
  <si>
    <t>DEF_ID_MH_HOSP_CHIRO_1, DEF_ID_MH_HOSP_CHIRO_2</t>
  </si>
  <si>
    <t>DEF_ID_MH_HOSP_CR_1, DEF_ID_MH_HOSP_CR_2</t>
  </si>
  <si>
    <t>DEF_ID_MH_MED_LDCT_LUNG_SCRN_1, DEF_ID_MH_MED_LDCT_LUNG_SCRN_2</t>
  </si>
  <si>
    <t>DEF_ID_MH_MED_HPV_CCS_1, DEF_ID_MH_MED_HPV_CCS_2, DEF_ID_MH_MED_HPV_CCS_3</t>
  </si>
  <si>
    <t>DEF_ID_MH_MED_SCRN_MAMMO_1, DEF_ID_MH_MED_SCRN_MAMMO_2</t>
  </si>
  <si>
    <t>DEF_ID_MH_MED_NDPP_1, DEF_ID_MH_MED_NDPP_2, DEF_ID_MH_MED_NDPP_3, DEF_ID_MH_MED_NDPP_4, DEF_ID_MH_MED_NDPP_5</t>
  </si>
  <si>
    <t>DEF_ID_MH_MED_ANTEPRTUM_CARE_1, DEF_ID_MH_MED_ANTEPRTUM_CARE_2</t>
  </si>
  <si>
    <t>DEF_TX_OPDRG_USTKNMAB_A, DEF_TX_OPDRG_USTEKINUMAB_PROC</t>
  </si>
  <si>
    <t>DEF_WI_OT_CCC_MODUD_1,DEF_WI_OT_CCC_CA_CPD_2,DEF_WI_OT_CCC_OCCM_3</t>
  </si>
  <si>
    <t>DEF_ID_MH_MED_ANES_PROV_1, DEF_ID_MH_MED_ANES_PROV_2</t>
  </si>
  <si>
    <t>DEF_WI_FS_DMESPEC_FREQ_I_1, DEF_WI_FS_DMESPEC_FREQ_I_2</t>
  </si>
  <si>
    <t>DEF_WI_FS_DMECHIRO_FREQ_A_1, DEF_WI_FS_DMECHIRO_FREQ_A_2</t>
  </si>
  <si>
    <t xml:space="preserve">DEF_ID_MH_HOSP_RC_SN_1, DEF_ID_MH_HOSP_RC_SN_2 </t>
  </si>
  <si>
    <t>DEF_ID_MH_DMEPOS_BP_1,DEF_ID_MH_DMEPOS_BP_2</t>
  </si>
  <si>
    <t>DEF_TX_PEGCE_1-2</t>
  </si>
  <si>
    <t xml:space="preserve">DEF_WI_FS_DMEPR_MX1YR_PA_1
DEF_WI_FS_DMEPR_MX1YR_PA_2
</t>
  </si>
  <si>
    <t xml:space="preserve">DEF_WI_FS_DMEPR_MX1YR_1
DEF_WI_FS_DMEPR_MX1YR_2
</t>
  </si>
  <si>
    <t xml:space="preserve">DEF_WI_FS_DMEPR_MX2YR_PA_1
DEF_WI_FS_DMEPR_MX2YR_PA_2
</t>
  </si>
  <si>
    <t xml:space="preserve">DEF_WI_FS_DMEPR_MX2YR_1
DEF_WI_FS_DMEPR_MX2YR_2
</t>
  </si>
  <si>
    <t xml:space="preserve">DEF_WI_FS_DMEPR_MAX3MON_1
DEF_WI_FS_DMEPR_MAX3MON_2
</t>
  </si>
  <si>
    <t xml:space="preserve">DEF_WI_FS_DMEPR_MAX6MON_1
DEF_WI_FS_DMEPR_MAX6MON_2
</t>
  </si>
  <si>
    <t xml:space="preserve">DEF_WI_FS_DMEPR_MAX3YR_PA_1
DEF_WI_FS_DMEPR_MAX3YR_PA_2
</t>
  </si>
  <si>
    <t xml:space="preserve">DEF_WI_FS_DMEPR_MAX3YR_1
DEF_WI_FS_DMEPR_MAX3YR_2
</t>
  </si>
  <si>
    <t xml:space="preserve">DEF_WI_FS_DMEPR_MAX4YR_1
DEF_WI_FS_DMEPR_MAX4YR_2
</t>
  </si>
  <si>
    <t xml:space="preserve">DEF_WI_FS_DMEPR_MAX5YR_PA_1
DEF_WI_FS_DMEPR_MAX5YR_PA_2
</t>
  </si>
  <si>
    <t xml:space="preserve">DEF_WI_FS_DMEPR_MAX5YR_1
DEF_WI_FS_DMEPR_MAX5YR_2
</t>
  </si>
  <si>
    <t>DEF_WI_FS_ORTHO_FREQ_PAN_L_1, DEF_WI_FS_ORTHO_FREQ_PAN_L_2</t>
  </si>
  <si>
    <t>DEF_WI_FS_ORTHO_FREQ_PAN_M_1, DEF_WI_FS_ORTHO_FREQ_PAN_M_2</t>
  </si>
  <si>
    <t>DEF_WI_FS_ORTHO_FREQ_PAN_N_1, DEF_WI_FS_ORTHO_FREQ_PAN_N_2</t>
  </si>
  <si>
    <t>DEF_WI_FS_ORTHO_FREQ_PAN_O_1, DEF_WI_FS_ORTHO_FREQ_PAN_O_2</t>
  </si>
  <si>
    <t>DEF_WI_FS_ORTHO_FREQ_PAN_P_1, DEF_WI_FS_ORTHO_FREQ_PAN_P_2</t>
  </si>
  <si>
    <t>DEF_WI_FS_ORTHO_FREQ_PAN_Q_1, DEF_WI_FS_ORTHO_FREQ_PAN_Q_2</t>
  </si>
  <si>
    <t>DEF_WI_FS_ORTHO_FREQ_PAN_R_1, DEF_WI_FS_ORTHO_FREQ_PAN_R_2</t>
  </si>
  <si>
    <t>DEF_WI_FS_ORTHO_FREQ_PAN_S_1, DEF_WI_FS_ORTHO_FREQ_PAN_S_2</t>
  </si>
  <si>
    <t>DEF_WI_FS_ORTHO_FREQ_PAN_T_1, DEF_WI_FS_ORTHO_FREQ_PAN_T_2</t>
  </si>
  <si>
    <t>DEF_WI_FS_DMEPR_MAX5_PT53_1
DEF_WI_FS_DMEPR_MAX5_PT53_2</t>
  </si>
  <si>
    <t>DEF_WI_FS_DMEPR_MAX3_PT53_1
DEF_WI_FS_DMEPR_MAX3_PT53_2</t>
  </si>
  <si>
    <t>DEF_WI_FS_DMEPR_MAX5YR_A_1
DEF_WI_FS_DMEPR_MAX5YR_A_2</t>
  </si>
  <si>
    <t>DEF_WI_FS_DMEPR_PERYR_1
DEF_WI_FS_DMEPR_PERYR_2</t>
  </si>
  <si>
    <t>DEF_WI_FS_WC_FREQ_PAY_D_1, DEF_WI_FS_WC_FREQ_PAY_D_2</t>
  </si>
  <si>
    <t>DEF_WI_FS_DMEPR_2YRS_1
DEF_WI_FS_DMEPR_2YRS_2</t>
  </si>
  <si>
    <t>DEF_NV_MH_PT34_ST_FREQA, DEF_NV_MH_PT34_ST_FREQB</t>
  </si>
  <si>
    <t>DEF_ID_MH_DMEPOS_CPM_1,DEF_ID_MH_DMEPOS_CPM_2</t>
  </si>
  <si>
    <t>DEF_WI_FS_ORTHO_FREQ_PAN_U_1, DEF_WI_FS_ORTHO_FREQ_PAN_U_2</t>
  </si>
  <si>
    <t>DEF_WI_FS_ORTHO_FREQ_PAN_V_1, DEF_WI_FS_ORTHO_FREQ_PAN_V_2</t>
  </si>
  <si>
    <t>DEF_WI_FS_ORTHO_FREQ_PAN_W_1, DEF_WI_FS_ORTHO_FREQ_PAN_W_2</t>
  </si>
  <si>
    <t>DEF_WI_FS_ORTHO_FREQ_PAN_X_1, DEF_WI_FS_ORTHO_FREQ_PAN_X_2</t>
  </si>
  <si>
    <t>DEF_WI_FS_ORTHO_FREQ_PAN_Y_1, DEF_WI_FS_ORTHO_FREQ_PAN_Y_2</t>
  </si>
  <si>
    <t>DEF_WI_FS_ORTHO_FREQ_PAN_Z_1, DEF_WI_FS_ORTHO_FREQ_PAN_Z_2</t>
  </si>
  <si>
    <t>DEF_WI_FS_ORTHO_FREQ_PAN_AA_1, DEF_WI_FS_ORTHO_FREQ_PAN_AA_2</t>
  </si>
  <si>
    <t>DEF_WI_FS_ORTHO_FREQ_PAN_BB_1, DEF_WI_FS_ORTHO_FREQ_PAN_BB_2</t>
  </si>
  <si>
    <t>DEF_WI_FS_DMS_FREQ_R_1,DEF_WI_FS_DMS_FREQ_R_2,DEF_WI_FS_DMS_FREQ_R_3,DEF_WI_FS_DMS_FREQ_R_4</t>
  </si>
  <si>
    <t>DEF_WI_FS_HHDME_FREQ_F_1,DEF_WI_FS_HHDME_FREQ_F_2</t>
  </si>
  <si>
    <t>DEF_WI_FS_HHDME_FREQ_W_1,DEF_WI_FS_HHDME_FREQ_W_2</t>
  </si>
  <si>
    <t>DEF_WI_FS_HHDME_FREQ_AY_1,DEF_WI_FS_HHDME_FREQ_AY_2</t>
  </si>
  <si>
    <t>DEF_WI_FS_DMEWC_MAX5YR_D_1, DEF_WI_FS_DMEWC_MAX5YR_D_2</t>
  </si>
  <si>
    <t>DEF_WI_FS_DMEWC_MAX5YR_E_1,DEF_WI_FS_DMEWC_MAX5YR_E_2</t>
  </si>
  <si>
    <t>DEF_WI_FS_DMEWC_MAX4YR_B_1,DEF_WI_FS_DMEWC_MAX4YR_B_2</t>
  </si>
  <si>
    <t>DEF_WI_FS_DMEWC_MAX3YR_F_1,DEF_WI_FS_DMEWC_MAX3YR_F_2</t>
  </si>
  <si>
    <t>DEF_WI_FS_DMEWC_MAX3YR_G_1,DEF_WI_FS_DMEWC_MAX3YR_G_2</t>
  </si>
  <si>
    <t>DEF_WI_FS_DMEWC_MAX2YR_D_1,DEF_WI_FS_DMEWC_MAX2YR_D_2</t>
  </si>
  <si>
    <t>DEF_WI_FS_DMEWC_MAX1YR_C_1,DEF_WI_FS_DMEWC_MAX1YR_C_2</t>
  </si>
  <si>
    <t>DEF_WI_FS_ORTHO_RYEAR_A_1, DEF_WI_FS_ORTHO_RYEAR_A_2</t>
  </si>
  <si>
    <t>DEF_WI_FS_ORTHO_RYEAR_B_1, DEF_WI_FS_ORTHO_RYEAR_B_2</t>
  </si>
  <si>
    <t>DEF_WI_FS_ORTHO_RYEAR_C_1, DEF_WI_FS_ORTHO_RYEAR_C_2</t>
  </si>
  <si>
    <t>DEF_ID_MH_DMEPOS_QPP_1Y_B1, DEF_ID_MH_DMEPOS_QPP_1Y_B2</t>
  </si>
  <si>
    <t>DEF_ID_MH_DMEPOS_QPP_1Y_C1, DEF_ID_MH_DMEPOS_QPP_1Y_C2</t>
  </si>
  <si>
    <t>DEF_NV_MH_PT27_RADA, DEF_NV_MH_PT27_RADB, DEF_NV_MH_PT27_RADC</t>
  </si>
  <si>
    <t>DEF_ID_MH_CMT_1, DEF_ID_MH_CMT_2, DEF_ID_MH_CMT_3, DEF_ID_MH_CMT_4, DEF_ID_MH_CMT_5, DEF_ID_MH_CMT_6</t>
  </si>
  <si>
    <t>DEF_NV_MH_MHS_MDSUP_1, DEF_NV_MH_MHS_MDSUP_2, DEF_NV_MH_MHS_MDSUP_3</t>
  </si>
  <si>
    <t>DEF_ID_MH_DMEPOS_QPP_5Y_B1, DEF_ID_MH_DMEPOS_QPP_5Y_B2</t>
  </si>
  <si>
    <t>DEF_ID_MH_DMEPOS_GT_1,DEF_ID_MH_DMEPOS_GT_2</t>
  </si>
  <si>
    <t>DEF_ID_MH_DMEPOS_AAG_1_1Y_A1,DEF_ID_MH_DMEPOS_AAG_1_1Y_A2</t>
  </si>
  <si>
    <t>DEF_ID_MH_DMEPOS_AAG_1_1Y_C1,DEF_ID_MH_DMEPOS_AAG_1_1Y_C2</t>
  </si>
  <si>
    <t>DEF_ID_MH_DMEPOS_AAG_2_1Y_B1,DEF_ID_MH_DMEPOS_AAG_2_1Y_B2</t>
  </si>
  <si>
    <t>DEF_ID_MH_DMEPOS_AAG_2_1Y_C1,DEF_ID_MH_DMEPOS_AAG_2_1Y_C2</t>
  </si>
  <si>
    <t>DEF_ID_MH_DMEPOS_AAG_A_1,DEF_ID_MH_DMEPOS_AAG_A_2</t>
  </si>
  <si>
    <t>DEF_ID_MH_DMEPOS_AAG_C_1,DEF_ID_MH_DMEPOS_AAG_C_2</t>
  </si>
  <si>
    <t>DEF_ID_MH_DMEPOS_INCSUP_1,DEF_ID_MH_DMEPOS_INCSUP_2</t>
  </si>
  <si>
    <t>DEF_ID_MH_DMEPOS_AAG_K_1,DEF_ID_MH_DMEPOS_AAG_K_2</t>
  </si>
  <si>
    <t>DEF_ID_MH_DMEPOS_AAG_L_1,DEF_ID_MH_DMEPOS_AAG_L_2</t>
  </si>
  <si>
    <t>DEF_NM_MH_BHS_ACT_1, DEF_NM_MH_BHS_ACT_2</t>
  </si>
  <si>
    <t>DEF_NM_MH_BHS_BMS_1, DEF_NM_MH_BHS_BMS_2</t>
  </si>
  <si>
    <t>DEF_WI_MH_CIC_POS_1,DEF_WI_MH_CIC_Dx_2</t>
  </si>
  <si>
    <t>DEF_WI_MH_DMSCSR_FREQ_1,DEF_WI_MH_DMSCSR_FREQ_2</t>
  </si>
  <si>
    <t>DEF_NV_NL_DME_COMP_1,DEF_NV_NL_DME_COMP_2,DEF_NV_NL_DME_COMP_3</t>
  </si>
  <si>
    <t>DEF_ID_MH_DMEPOS_AAG_T_1,DEF_ID_MH_DMEPOS_AAG_T_2</t>
  </si>
  <si>
    <t>DEF_WI_MH_RSUD_MOD, DEF_WI_MH_RSUD_REVENUE</t>
  </si>
  <si>
    <t>DEF_WI_MH_NARC_HANDL_FREQ_1, DEF_WI_MH_NARC_HANDL_FREQ_2, DEF_WI_MH_NARC_HANDL_FREQ_3</t>
  </si>
  <si>
    <t>DEF_WI_MH_NARC_METHAD_FREQ_1; DEF_WI_MH_NARC_METHAD_FREQ_2; DEF_WI_MH_NARC_METHAD_FREQ_3; DEF_WI_MH_NARC_METHAD_FREQ_4; DEF_WI_MH_NARC_METHAD_FREQ_5; DEF_WI_MH_NARC_METHAD_FREQ_6; DEF_WI_MH_NARC_METHAD_FREQ_7</t>
  </si>
  <si>
    <t>DEF_WI_MH_NARC_ALCOHOL_FREQ_1; DEF_WI_MH_NARC_ALCOHOL_FREQ_2</t>
  </si>
  <si>
    <t>DEF_NM_MH_BHS_CCSS_1, DEF_NM_MH_BHS_CCSS_2</t>
  </si>
  <si>
    <t>DEF_WI_MH_BTBP_FABTG_TM_1, DEF_WI_MH_BTBP_FABTG_TM_2</t>
  </si>
  <si>
    <t>DEF_WA_MH_RHC_COC_A_1, DEF_WA_MH_RHC_COC_A_2</t>
  </si>
  <si>
    <t>DEF_ID_MH_DMEPOS_ORAPP_1,DEF_ID_MH_DMEPOS_ORAPP_2</t>
  </si>
  <si>
    <t>DEF_TX_OBGYN_BP_FRQACC_1, DEF_TX_OBGYN_BP_FRQACC_2, DEF_TX_OBGYN_BP_FRQACC_3, DEF_TX_OBGYN_BP_FRQACC_4</t>
  </si>
  <si>
    <t>DEF_WI_MH_FP_NC_FREQ_1,DEF_WI_MH_FP_NC_FREQ_2</t>
  </si>
  <si>
    <t>DEF_WI_MH_CIC_Dx_A_1,DEF_WI_MH_CIC_Dx_A_2</t>
  </si>
  <si>
    <t>DEF_NV_NL_BHS_MOD_1, DEF_NV_NL_BHS_MOD_2, DEF_NV_NL_BHS_MOD_3</t>
  </si>
  <si>
    <t>DEF_NM_MH_BHS_ANNUAL_DEPSCRN_1, DEF_NM_MH_BHS_ANNUAL_DEPSCRN_2</t>
  </si>
  <si>
    <t>DEF_NE_MH_MHSATSCA_PT_PS_1,DEF_NE_MH_MHSATSCA_PT_POS_2</t>
  </si>
  <si>
    <t>DEF_NE_BL_ETCC_1,DEF_NE_BL_ETCC_2</t>
  </si>
  <si>
    <t>IA</t>
  </si>
  <si>
    <t>DEF_IA_LT_IL_CC_A_1,DEF_IA_LT_IL_CC_FREQ_A_2</t>
  </si>
  <si>
    <t>DEF_IA_LT_IL_CC_B_1,DEF_IA_LT_IL_CC_FREQ_B_2</t>
  </si>
  <si>
    <t>DEF_IA_LT_IL_CC_C_1,DEF_IA_LT_IL_CC_FREQ_C_2</t>
  </si>
  <si>
    <t>DEF_NV_NL_DME_MOD_RBRRMS_1,DEF_NV_NL_DME_MOD_RBRRMS_2,DEF_NV_NL_DME_MOD_RBRRMS_3</t>
  </si>
  <si>
    <t>DEF_MA_DME_WHL_1,DEF_MA_DME_WHL_2,DEF_MA_DME_WHL_3</t>
  </si>
  <si>
    <t>DEF_MA_DME_OXY_ACC_1, DEF_MA_DME_OXY_ACC_2</t>
  </si>
  <si>
    <t>DEF_NM_MH_BHS_SUD_IOP_1, DEF_NM_MH_BHS_SUD_IOP_2</t>
  </si>
  <si>
    <t>DEF_WI_MH_OSA_PDT_FREQ_1,DEF_WI_MH_OSA_PDT_FREQ_2,DEF_WI_MH_OSA_PDT_FREQ_3</t>
  </si>
  <si>
    <t>DEF_WI_FS_DMS_FREQ_T_1, DEF_WI_FS_DMS_FREQ_T_2, DEF_WI_FS_DMS_FREQ_T_3</t>
  </si>
  <si>
    <t>DEF_WI_MH_CI_MHSAS_1,DEF_WI_MH_CI_MHSAS_2</t>
  </si>
  <si>
    <t>DEF_WI_MH_CI_MHPCSAI_1,DEF_WI_MH_CI_MHPCSAI_2,DEF_WI_MH_CI_MHPCSAI_3,DEF_WI_MH_CI_MHPCSAI_4,DEF_WI_MH_CI_MHPCSAI_5,DEF_WI_MH_CI_MHPCSAI_6,DEF_WI_MH_CI_MHPCSAI_7</t>
  </si>
  <si>
    <t>DEF_NM_MH_BHS_MRSS_1, DEF_NM_MH_BHS_MRSS_2, DEF_NM_MH_BHS_MRSS_3</t>
  </si>
  <si>
    <t>DEF_ID_MH_DMEPOS_WASS_F_1,DEF_ID_MH_DMEPOS_WASS_F_2</t>
  </si>
  <si>
    <t>DEF_WI_FS_DMEINDEX_PTA_1; DEF_WI_FS_DMEINDEX_PTA_2</t>
  </si>
  <si>
    <t>DEF_WI_MH_CHIRO_SER1; DEF_WI_MH_CHIRO_SER2</t>
  </si>
  <si>
    <t>DEF_WI_FS_DMEINDEX_PT_NN_1;DEF_WI_FS_DMEINDEX_PT_NN_2</t>
  </si>
  <si>
    <t>DEF_WI_FS_DMEINDEX_PTB_1;DEF_WI_FS_DMEINDEX_PTB_2</t>
  </si>
  <si>
    <t>DEF_WI_FS_DMEINDEX_PTC_1;DEF_WI_FS_DMEINDEX_PTC_2</t>
  </si>
  <si>
    <t>DEF_WI_FS_DMEINDEX_PTD_1;DEF_WI_FS_DMEINDEX_PTD_2</t>
  </si>
  <si>
    <t>DEF_WI_FS_DMEINDEX_PTE_1;DEF_WI_FS_DMEINDEX_PTE_2</t>
  </si>
  <si>
    <t>DEF_WI_FS_DMEINDEX_PTF_1; DEF_WI_FS_DMEINDEX_PTF_2</t>
  </si>
  <si>
    <t>DEF_WI_FS_DMEINDEX_PTG_1;DEF_WI_FS_DMEINDEX_PTG_2</t>
  </si>
  <si>
    <t>DEF_TX_NO_RSV_VAC_POSPROV_1, DEF_TX_NO_RSV_VAC_POSPROV_2, DEF_TX_NO_RSV_VAC_POSPROV_3, DEF_TX_NO_RSV_VAC_POSPROV_4</t>
  </si>
  <si>
    <t>DEF_WI_FS_DMEINDEX_FREQ_PN_1,DEF_WI_FS_DMEINDEX_FREQ_PN_2</t>
  </si>
  <si>
    <t>DEF_WI_FS_DMEINDEX_FREQ_PY_1,DEF_WI_FS_DMEINDEX_FREQ_PY_2</t>
  </si>
  <si>
    <t>DEF_WI_FS_DMEINDEX_PTH_1;DEF_WI_FS_DMEINDEX_PTH_2</t>
  </si>
  <si>
    <t>DEF_WI_FS_DMEINDEX_PT_UU_1;DEF_WI_FS_DMEINDEX_PT_UU_2;DEF_WI_FS_DMEINDEX_PT_UU_3</t>
  </si>
  <si>
    <t>DEF_WI_MH_DME_CSR_ESD_1;DEF_WI_MH_DME_CSR_ESD_2</t>
  </si>
  <si>
    <t>DEF_WI_MH_DME_CSR_DSI_1,DEF_WI_MH_DME_CSR_DSI_2,DEF_WI_MH_DME_CSR_DSI_3,DEF_WI_MH_DME_CSR_DSI_4</t>
  </si>
  <si>
    <t>Aetna</t>
  </si>
  <si>
    <t>HCSC</t>
  </si>
  <si>
    <t>Elevance</t>
  </si>
  <si>
    <t>CXT_BASE_1_486</t>
  </si>
  <si>
    <t>CXT_BASE_1_491</t>
  </si>
  <si>
    <t>CXT_BASE_1_496</t>
  </si>
  <si>
    <t>CXT_BASE_1_487</t>
  </si>
  <si>
    <t>CXT_BASE_1_492</t>
  </si>
  <si>
    <t>CXT_BASE_1_497</t>
  </si>
  <si>
    <t>CXT_BASE_1_488</t>
  </si>
  <si>
    <t>CXT_BASE_1_493</t>
  </si>
  <si>
    <t>CXT_BASE_1_498</t>
  </si>
  <si>
    <t>CXT_BASE_1_489</t>
  </si>
  <si>
    <t>CXT_BASE_1_494</t>
  </si>
  <si>
    <t>CXT_BASE_1_499</t>
  </si>
  <si>
    <t>Multiple Edit Type Combination</t>
  </si>
  <si>
    <t>CXT_BASE_1_490</t>
  </si>
  <si>
    <t>CXT_BASE_1_495</t>
  </si>
  <si>
    <t>CXT_BASE_1_500</t>
  </si>
  <si>
    <t>*Edit Type by State</t>
  </si>
  <si>
    <t>AZ Groups</t>
  </si>
  <si>
    <t>CA Groups</t>
  </si>
  <si>
    <t>FL Groups</t>
  </si>
  <si>
    <t>GA Groups</t>
  </si>
  <si>
    <t>IL Groups</t>
  </si>
  <si>
    <t>KS Groups</t>
  </si>
  <si>
    <t>KY Groups</t>
  </si>
  <si>
    <t>LA Groups</t>
  </si>
  <si>
    <t>MA Groups</t>
  </si>
  <si>
    <t>MD Groups</t>
  </si>
  <si>
    <t>MI Groups</t>
  </si>
  <si>
    <t>MS Groups</t>
  </si>
  <si>
    <t>NE Groups</t>
  </si>
  <si>
    <t>NJ Groups</t>
  </si>
  <si>
    <t>NM Groups</t>
  </si>
  <si>
    <t>NV Groups</t>
  </si>
  <si>
    <t>NY Groups</t>
  </si>
  <si>
    <t xml:space="preserve">OH Groups </t>
  </si>
  <si>
    <t>PA Groups</t>
  </si>
  <si>
    <t>SC Groups</t>
  </si>
  <si>
    <t>TX Groups</t>
  </si>
  <si>
    <t>UT Groups</t>
  </si>
  <si>
    <t xml:space="preserve">VA Groups </t>
  </si>
  <si>
    <t>WA Groups</t>
  </si>
  <si>
    <t>WI Groups</t>
  </si>
  <si>
    <t xml:space="preserve">WVA Groups </t>
  </si>
  <si>
    <t>HISTORY_DEFINITION</t>
  </si>
  <si>
    <t>FIRING ORDER AMONGST OTHER STATE GROUPS</t>
  </si>
  <si>
    <t>USE_EDIT_LINE_AS_SUPPORT, USE_ADD_LINE_AS_SUPPORT</t>
  </si>
  <si>
    <t>CXT_BASE_1_255</t>
  </si>
  <si>
    <t>CXT_BASE_1_015</t>
  </si>
  <si>
    <t>CXT_BASE_1_275</t>
  </si>
  <si>
    <t>CXT_BASE_1_200</t>
  </si>
  <si>
    <t>CXT_BASE_1_471</t>
  </si>
  <si>
    <t>CXT_BASE_1_461</t>
  </si>
  <si>
    <t>CXT_BASE_1_235</t>
  </si>
  <si>
    <t>CXT_BASE_1_230</t>
  </si>
  <si>
    <t>CXT_BASE_1_260</t>
  </si>
  <si>
    <t>CXT_BASE_1_028</t>
  </si>
  <si>
    <t>CXT_BASE_1_225</t>
  </si>
  <si>
    <t>CXT_BASE_1_265</t>
  </si>
  <si>
    <t>CXT_BASE_1_270</t>
  </si>
  <si>
    <t>CXT_BASE_1_215</t>
  </si>
  <si>
    <t>CXT_BASE_1_290</t>
  </si>
  <si>
    <t>CXT_BASE_1_220</t>
  </si>
  <si>
    <t>CXT_BASE_1_476</t>
  </si>
  <si>
    <t>CXT_BASE_1_295</t>
  </si>
  <si>
    <t>CXT_BASE_1_011</t>
  </si>
  <si>
    <t>CXT_BASE_1_250</t>
  </si>
  <si>
    <t>CXT_BASE_1_280</t>
  </si>
  <si>
    <t>CXT_BASE_1_210</t>
  </si>
  <si>
    <t>CXT_BASE_1_012</t>
  </si>
  <si>
    <t>CXT_BASE_1_285</t>
  </si>
  <si>
    <t>CXT_BASE_1_240</t>
  </si>
  <si>
    <t>CXT_BASE_1_205</t>
  </si>
  <si>
    <t>CXT_BASE_1_466</t>
  </si>
  <si>
    <t>CXT_BASE_1_245</t>
  </si>
  <si>
    <t>CXT_BASE_1_256</t>
  </si>
  <si>
    <t>CXT_BASE_1_017</t>
  </si>
  <si>
    <t>CXT_BASE_1_276</t>
  </si>
  <si>
    <t>CXT_BASE_1_201</t>
  </si>
  <si>
    <t>CXT_BASE_1_472</t>
  </si>
  <si>
    <t>CXT_BASE_1_462</t>
  </si>
  <si>
    <t>CXT_BASE_1_236</t>
  </si>
  <si>
    <t>CXT_BASE_1_231</t>
  </si>
  <si>
    <t>CXT_BASE_1_261</t>
  </si>
  <si>
    <t>CXT_BASE_1_029</t>
  </si>
  <si>
    <t>CXT_BASE_1_226</t>
  </si>
  <si>
    <t>CXT_BASE_1_266</t>
  </si>
  <si>
    <t>CXT_BASE_1_271</t>
  </si>
  <si>
    <t>CXT_BASE_1_216</t>
  </si>
  <si>
    <t>CXT_BASE_1_291</t>
  </si>
  <si>
    <t>CXT_BASE_1_221</t>
  </si>
  <si>
    <t>CXT_BASE_1_477</t>
  </si>
  <si>
    <t>CXT_BASE_1_296</t>
  </si>
  <si>
    <t>CXT_BASE_1_013</t>
  </si>
  <si>
    <t>CXT_BASE_1_251</t>
  </si>
  <si>
    <t>CXT_BASE_1_281</t>
  </si>
  <si>
    <t>CXT_BASE_1_211</t>
  </si>
  <si>
    <t>CXT_BASE_1_020</t>
  </si>
  <si>
    <t>CXT_BASE_1_286</t>
  </si>
  <si>
    <t>CXT_BASE_1_241</t>
  </si>
  <si>
    <t>CXT_BASE_1_206</t>
  </si>
  <si>
    <t>CXT_BASE_1_467</t>
  </si>
  <si>
    <t>CXT_BASE_1_246</t>
  </si>
  <si>
    <t>ALL_AVAILABLE</t>
  </si>
  <si>
    <t>NULL (ON_BOTH will cause issues with cyclical denials allowing no lines to be paid when freq is exceeded)</t>
  </si>
  <si>
    <t>CXT_BASE_1_257</t>
  </si>
  <si>
    <t>CXT_BASE_1_018</t>
  </si>
  <si>
    <t>CXT_BASE_1_277</t>
  </si>
  <si>
    <t>CXT_BASE_1_202</t>
  </si>
  <si>
    <t>CXT_BASE_1_473</t>
  </si>
  <si>
    <t>CXT_BASE_1_463</t>
  </si>
  <si>
    <t>CXT_BASE_1_237</t>
  </si>
  <si>
    <t>CXT_BASE_1_232</t>
  </si>
  <si>
    <t>CXT_BASE_1_262</t>
  </si>
  <si>
    <t>CXT_BASE_1_030</t>
  </si>
  <si>
    <t>CXT_BASE_1_227</t>
  </si>
  <si>
    <t>CXT_BASE_1_267</t>
  </si>
  <si>
    <t>CXT_BASE_1_272</t>
  </si>
  <si>
    <t>CXT_BASE_1_217</t>
  </si>
  <si>
    <t>CXT_BASE_1_292</t>
  </si>
  <si>
    <t>CXT_BASE_1_222</t>
  </si>
  <si>
    <t>CXT_BASE_1_478</t>
  </si>
  <si>
    <t>CXT_BASE_1_297</t>
  </si>
  <si>
    <t>CXT_BASE_1_014</t>
  </si>
  <si>
    <t>CXT_BASE_1_252</t>
  </si>
  <si>
    <t>CXT_BASE_1_282</t>
  </si>
  <si>
    <t>CXT_BASE_1_212</t>
  </si>
  <si>
    <t>CXT_BASE_1_024</t>
  </si>
  <si>
    <t>CXT_BASE_1_287</t>
  </si>
  <si>
    <t>CXT_BASE_1_242</t>
  </si>
  <si>
    <t>CXT_BASE_1_207</t>
  </si>
  <si>
    <t>CXT_BASE_1_468</t>
  </si>
  <si>
    <t>CXT_BASE_1_247</t>
  </si>
  <si>
    <t>CXT_BASE_1_258</t>
  </si>
  <si>
    <t>CXT_BASE_1_016</t>
  </si>
  <si>
    <t>CXT_BASE_1_278</t>
  </si>
  <si>
    <t>CXT_BASE_1_203</t>
  </si>
  <si>
    <t>CXT_BASE_1_474</t>
  </si>
  <si>
    <t>CXT_BASE_1_464</t>
  </si>
  <si>
    <t>CXT_BASE_1_238</t>
  </si>
  <si>
    <t>CXT_BASE_1_233</t>
  </si>
  <si>
    <t>CXT_BASE_1_263</t>
  </si>
  <si>
    <t>CXT_BASE_1_034</t>
  </si>
  <si>
    <t>CXT_BASE_1_228</t>
  </si>
  <si>
    <t>CXT_BASE_1_268</t>
  </si>
  <si>
    <t>CXT_BASE_1_273</t>
  </si>
  <si>
    <t>CXT_BASE_1_218</t>
  </si>
  <si>
    <t>CXT_BASE_1_293</t>
  </si>
  <si>
    <t>CXT_BASE_1_223</t>
  </si>
  <si>
    <t>CXT_BASE_1_479</t>
  </si>
  <si>
    <t>CXT_BASE_1_298</t>
  </si>
  <si>
    <t>CXT_BASE_1_009</t>
  </si>
  <si>
    <t>CXT_BASE_1_253</t>
  </si>
  <si>
    <t>CXT_BASE_1_283</t>
  </si>
  <si>
    <t>CXT_BASE_1_213</t>
  </si>
  <si>
    <t>CXT_BASE_1_019</t>
  </si>
  <si>
    <t>CXT_BASE_1_288</t>
  </si>
  <si>
    <t>CXT_BASE_1_243</t>
  </si>
  <si>
    <t>CXT_BASE_1_208</t>
  </si>
  <si>
    <t>CXT_BASE_1_469</t>
  </si>
  <si>
    <t>CXT_BASE_1_248</t>
  </si>
  <si>
    <t>CXT_BASE_1_259</t>
  </si>
  <si>
    <t>CXT_BASE_1_025</t>
  </si>
  <si>
    <t>CXT_BASE_1_279</t>
  </si>
  <si>
    <t>CXT_BASE_1_204</t>
  </si>
  <si>
    <t>CXT_BASE_1_475</t>
  </si>
  <si>
    <t>CXT_BASE_1_465</t>
  </si>
  <si>
    <t>CXT_BASE_1_239</t>
  </si>
  <si>
    <t>CXT_BASE_1_234</t>
  </si>
  <si>
    <t>CXT_BASE_1_264</t>
  </si>
  <si>
    <t>CXT_BASE_1_035</t>
  </si>
  <si>
    <t>CXT_BASE_1_229</t>
  </si>
  <si>
    <t>CXT_BASE_1_269</t>
  </si>
  <si>
    <t>CXT_BASE_1_274</t>
  </si>
  <si>
    <t>CXT_BASE_1_219</t>
  </si>
  <si>
    <t>CXT_BASE_1_294</t>
  </si>
  <si>
    <t>CXT_BASE_1_224</t>
  </si>
  <si>
    <t>CXT_BASE_1_480</t>
  </si>
  <si>
    <t>CXT_BASE_1_299</t>
  </si>
  <si>
    <t>CXT_BASE_1_026</t>
  </si>
  <si>
    <t>CXT_BASE_1_254</t>
  </si>
  <si>
    <t>CXT_BASE_1_284</t>
  </si>
  <si>
    <t>CXT_BASE_1_214</t>
  </si>
  <si>
    <t>CXT_BASE_1_027</t>
  </si>
  <si>
    <t>CXT_BASE_1_289</t>
  </si>
  <si>
    <t>CXT_BASE_1_244</t>
  </si>
  <si>
    <t>CXT_BASE_1_209</t>
  </si>
  <si>
    <t>CXT_BASE_1_470</t>
  </si>
  <si>
    <t>CXT_BASE_1_249</t>
  </si>
  <si>
    <t>OFF</t>
  </si>
  <si>
    <t>*State by Edit Type</t>
  </si>
  <si>
    <t>WVA</t>
  </si>
  <si>
    <t>AGE_DESIGNATION</t>
  </si>
  <si>
    <t>DAYS_OR_YEARS</t>
  </si>
  <si>
    <t>GREATER_THAN_OR_LESS_THAN</t>
  </si>
  <si>
    <t>AGE_1</t>
  </si>
  <si>
    <t>AGE_2</t>
  </si>
  <si>
    <t>AGE_12M</t>
  </si>
  <si>
    <t>&gt;</t>
  </si>
  <si>
    <t>&lt;</t>
  </si>
  <si>
    <t>AGE_19_THRU_64</t>
  </si>
  <si>
    <t>YEARS</t>
  </si>
  <si>
    <t>AGE_BT10_18Y</t>
  </si>
  <si>
    <t>AGE_BT10_55Y</t>
  </si>
  <si>
    <t>AGE_BT10_59Y</t>
  </si>
  <si>
    <t>AGE_BT10_60Y</t>
  </si>
  <si>
    <t>AGE_BT11_20Y</t>
  </si>
  <si>
    <t>AGE_BT12_17Y</t>
  </si>
  <si>
    <t>AGE_BT16_60Y</t>
  </si>
  <si>
    <t>AGE_BT181_1459D</t>
  </si>
  <si>
    <t>AGE_BT18_20Y</t>
  </si>
  <si>
    <t>AGE_BT18_39Y</t>
  </si>
  <si>
    <t>AGE_BT18_64Y</t>
  </si>
  <si>
    <t>AGE_BT18_65Y</t>
  </si>
  <si>
    <t>AGE_BT19_20Y</t>
  </si>
  <si>
    <t>AGE_BT19_59Y</t>
  </si>
  <si>
    <t>AGE_BT1_2Y</t>
  </si>
  <si>
    <t>AGE_BT21_59Y</t>
  </si>
  <si>
    <t>AGE_BT21_64Y</t>
  </si>
  <si>
    <t>AGE_BT21_99Y</t>
  </si>
  <si>
    <t>AGE_BT22_64Y</t>
  </si>
  <si>
    <t>AGE_BT2_20Y</t>
  </si>
  <si>
    <t>AGE_BT2_21Y</t>
  </si>
  <si>
    <t>AGE_BT30_2556D</t>
  </si>
  <si>
    <t>AGE_BT30_719D</t>
  </si>
  <si>
    <t>AGE_BT35_39Y</t>
  </si>
  <si>
    <t>AGE_BT365_7300D</t>
  </si>
  <si>
    <t>AGE_BT365_7664D</t>
  </si>
  <si>
    <t>AGE_BT3_15Y</t>
  </si>
  <si>
    <t>AGE_BT3_20Y</t>
  </si>
  <si>
    <t>AGE_BT3_99Y</t>
  </si>
  <si>
    <t>AGE_BT40_49Y</t>
  </si>
  <si>
    <t>AGE_BT40_64Y</t>
  </si>
  <si>
    <t>AGE_BT40_74Y</t>
  </si>
  <si>
    <t>AGE_BT4_20Y</t>
  </si>
  <si>
    <t>AGE_BT50Y_80Y</t>
  </si>
  <si>
    <t>AGE_BT5_11Y</t>
  </si>
  <si>
    <t>AGE_BT65_75Y</t>
  </si>
  <si>
    <t>AGE_BT6_11Y</t>
  </si>
  <si>
    <t>AGE_BT6_18Y</t>
  </si>
  <si>
    <t>AGE_BT6_19Y</t>
  </si>
  <si>
    <t>AGE_BT6_20Y</t>
  </si>
  <si>
    <t>AGE_BTW6_11Y</t>
  </si>
  <si>
    <t>AGE_GT100Y</t>
  </si>
  <si>
    <t>AGE_GT1024M</t>
  </si>
  <si>
    <t>AGE_GT10Y</t>
  </si>
  <si>
    <t>AGE_GT11M</t>
  </si>
  <si>
    <t>AGE_GT11Y</t>
  </si>
  <si>
    <t>AGE_GT120Y</t>
  </si>
  <si>
    <t>AGE_GT125Y</t>
  </si>
  <si>
    <t>AGE_GT12Y</t>
  </si>
  <si>
    <t>AGE_GT130Y</t>
  </si>
  <si>
    <t>AGE_GT132M</t>
  </si>
  <si>
    <t>AGE_GT13Y</t>
  </si>
  <si>
    <t>AGE_GT143M</t>
  </si>
  <si>
    <t>AGE_GT14Y</t>
  </si>
  <si>
    <t>AGE_GT15Y</t>
  </si>
  <si>
    <t>AGE_GT16Y</t>
  </si>
  <si>
    <t>AGE_GT17M</t>
  </si>
  <si>
    <t>AGE_GT17Y</t>
  </si>
  <si>
    <t>AGE_GT1813D</t>
  </si>
  <si>
    <t>AGE_GT18M</t>
  </si>
  <si>
    <t>AGE_GT18Y</t>
  </si>
  <si>
    <t>AGE_GT19Y</t>
  </si>
  <si>
    <t>AGE_GT1M</t>
  </si>
  <si>
    <t>AGE_GT1Y</t>
  </si>
  <si>
    <t>AGE_GT1YR</t>
  </si>
  <si>
    <t>AGE_GT1_LT18</t>
  </si>
  <si>
    <t>AGE_GT20Y</t>
  </si>
  <si>
    <t>AGE_GT21Y</t>
  </si>
  <si>
    <t>AGE_GT22Y</t>
  </si>
  <si>
    <t>AGE_GT23M</t>
  </si>
  <si>
    <t>AGE_GT23Y</t>
  </si>
  <si>
    <t>AGE_GT240D</t>
  </si>
  <si>
    <t>AGE_GT24M</t>
  </si>
  <si>
    <t>AGE_GT24Y</t>
  </si>
  <si>
    <t>AGE_GT25Y</t>
  </si>
  <si>
    <t>AGE_GT26Y</t>
  </si>
  <si>
    <t>AGE_GT27D</t>
  </si>
  <si>
    <t>AGE_GT27Y</t>
  </si>
  <si>
    <t>AGE_GT28D</t>
  </si>
  <si>
    <t>AGE_GT29D</t>
  </si>
  <si>
    <t>AGE_GT29Y</t>
  </si>
  <si>
    <t>AGE_GT2D</t>
  </si>
  <si>
    <t>AGE_GT2Y</t>
  </si>
  <si>
    <t>AGE_GT2Y_LT21Y</t>
  </si>
  <si>
    <t>AGE_GT34Y</t>
  </si>
  <si>
    <t>AGE_GT35M</t>
  </si>
  <si>
    <t>AGE_GT35Y</t>
  </si>
  <si>
    <t>AGE_GT364D</t>
  </si>
  <si>
    <t>AGE_GT365D</t>
  </si>
  <si>
    <t>AGE_GT37Y</t>
  </si>
  <si>
    <t>AGE_GT39Y</t>
  </si>
  <si>
    <t>AGE_GT3D</t>
  </si>
  <si>
    <t>AGE_GT3M</t>
  </si>
  <si>
    <t>AGE_GT3Y</t>
  </si>
  <si>
    <t>AGE_GT40Y</t>
  </si>
  <si>
    <t>AGE_GT43Y</t>
  </si>
  <si>
    <t>AGE_GT44Y</t>
  </si>
  <si>
    <t>AGE_GT45Y</t>
  </si>
  <si>
    <t>AGE_GT46Y</t>
  </si>
  <si>
    <t>AGE_GT49Y</t>
  </si>
  <si>
    <t>AGE_GT4Y</t>
  </si>
  <si>
    <t>AGE_GT50Y</t>
  </si>
  <si>
    <t>AGE_GT51Y</t>
  </si>
  <si>
    <t>AGE_GT54Y</t>
  </si>
  <si>
    <t>AGE_GT55Y</t>
  </si>
  <si>
    <t>AGE_GT58Y</t>
  </si>
  <si>
    <t>AGE_GT59M</t>
  </si>
  <si>
    <t>AGE_GT59Y</t>
  </si>
  <si>
    <t>AGE_GT5M</t>
  </si>
  <si>
    <t>AGE_GT5Y</t>
  </si>
  <si>
    <t>AGE_GT60M</t>
  </si>
  <si>
    <t>AGE_GT60Y</t>
  </si>
  <si>
    <t>AGE_GT61Y</t>
  </si>
  <si>
    <t>AGE_GT63Y</t>
  </si>
  <si>
    <t>AGE_GT64Y</t>
  </si>
  <si>
    <t>AGE_GT65Y</t>
  </si>
  <si>
    <t>AGE_GT69Y</t>
  </si>
  <si>
    <t>AGE_GT6M</t>
  </si>
  <si>
    <t>AGE_GT6Y</t>
  </si>
  <si>
    <t>AGE_GT70Y</t>
  </si>
  <si>
    <t>AGE_GT71M</t>
  </si>
  <si>
    <t>AGE_GT729D</t>
  </si>
  <si>
    <t>AGE_GT74Y</t>
  </si>
  <si>
    <t>AGE_GT75Y</t>
  </si>
  <si>
    <t>AGE_GT77Y</t>
  </si>
  <si>
    <t>AGE_GT7Y</t>
  </si>
  <si>
    <t>AGE_GT80Y</t>
  </si>
  <si>
    <t>AGE_GT85Y</t>
  </si>
  <si>
    <t>AGE_GT86Y</t>
  </si>
  <si>
    <t>AGE_GT8Y</t>
  </si>
  <si>
    <t>AGE_GT999Y</t>
  </si>
  <si>
    <t>AGE_GT99Y</t>
  </si>
  <si>
    <t>AGE_GT9Y</t>
  </si>
  <si>
    <t>AGE_LT10Y</t>
  </si>
  <si>
    <t>AGE_LT11Y</t>
  </si>
  <si>
    <t>AGE_LT12M</t>
  </si>
  <si>
    <t>AGE_LT12Y</t>
  </si>
  <si>
    <t>AGE_LT13Y</t>
  </si>
  <si>
    <t>AGE_LT14Y</t>
  </si>
  <si>
    <t>AGE_LT15Y</t>
  </si>
  <si>
    <t>AGE_LT16Y</t>
  </si>
  <si>
    <t>AGE_LT17Y</t>
  </si>
  <si>
    <t>AGE_LT180D</t>
  </si>
  <si>
    <t>AGE_LT181DYS</t>
  </si>
  <si>
    <t>AGE_LT18Y</t>
  </si>
  <si>
    <t>AGE_LT19Y</t>
  </si>
  <si>
    <t>AGE_LT1Y</t>
  </si>
  <si>
    <t>AGE_LT20Y</t>
  </si>
  <si>
    <t>AGE_LT21Y</t>
  </si>
  <si>
    <t>AGE_LT21Y_GT39Y</t>
  </si>
  <si>
    <t>AGE_LT21_GT26Y</t>
  </si>
  <si>
    <t>AGE_LT21_GT45Y</t>
  </si>
  <si>
    <t>AGE_LT22Y</t>
  </si>
  <si>
    <t>AGE_LT25Y</t>
  </si>
  <si>
    <t>AGE_LT26Y</t>
  </si>
  <si>
    <t>AGE_LT28D</t>
  </si>
  <si>
    <t>AGE_LT28Y</t>
  </si>
  <si>
    <t>AGE_LT29D</t>
  </si>
  <si>
    <t>AGE_LT2D</t>
  </si>
  <si>
    <t>AGE_LT2Y</t>
  </si>
  <si>
    <t>AGE_LT30Y</t>
  </si>
  <si>
    <t>AGE_LT330D</t>
  </si>
  <si>
    <t>AGE_LT35Y</t>
  </si>
  <si>
    <t>AGE_LT36M</t>
  </si>
  <si>
    <t>AGE_LT38Y</t>
  </si>
  <si>
    <t>AGE_LT3M</t>
  </si>
  <si>
    <t>AGE_LT3Y</t>
  </si>
  <si>
    <t>AGE_LT3Y_GT5Y</t>
  </si>
  <si>
    <t>AGE_LT40Y</t>
  </si>
  <si>
    <t>AGE_LT40Y;AGE_GT74Y</t>
  </si>
  <si>
    <t>AGE_LT40Y_GT64Y</t>
  </si>
  <si>
    <t>AGE_LT42D</t>
  </si>
  <si>
    <t>AGE_LT45Y</t>
  </si>
  <si>
    <t>AGE_LT46Y</t>
  </si>
  <si>
    <t>AGE_LT4M</t>
  </si>
  <si>
    <t>AGE_LT4Y</t>
  </si>
  <si>
    <t>AGE_LT50WK</t>
  </si>
  <si>
    <t>AGE_LT50Y</t>
  </si>
  <si>
    <t>AGE_LT55Y</t>
  </si>
  <si>
    <t>AGE_LT56Y</t>
  </si>
  <si>
    <t>AGE_LT5M</t>
  </si>
  <si>
    <t>AGE_LT5Y</t>
  </si>
  <si>
    <t>AGE_LT60D</t>
  </si>
  <si>
    <t>AGE_LT60Y</t>
  </si>
  <si>
    <t>AGE_LT61Y</t>
  </si>
  <si>
    <t>AGE_LT65Y</t>
  </si>
  <si>
    <t>AGE_LT66Y</t>
  </si>
  <si>
    <t>AGE_LT6M</t>
  </si>
  <si>
    <t>AGE_LT6Y</t>
  </si>
  <si>
    <t>AGE_LT71M</t>
  </si>
  <si>
    <t>AGE_LT731D</t>
  </si>
  <si>
    <t>AGE_LT75Y</t>
  </si>
  <si>
    <t>AGE_LT76Y</t>
  </si>
  <si>
    <t>AGE_LT7Y</t>
  </si>
  <si>
    <t>AGE_LT8Y</t>
  </si>
  <si>
    <t>AGE_LT9M</t>
  </si>
  <si>
    <t>AGE_LT9Y</t>
  </si>
  <si>
    <t>AGE_LT9_GT21Y</t>
  </si>
  <si>
    <t>CH15_LT61DYS</t>
  </si>
  <si>
    <t>DEF_GT4_LT18</t>
  </si>
  <si>
    <t>DEF_J3380</t>
  </si>
  <si>
    <t>DEF_LT30DYS</t>
  </si>
  <si>
    <t>MPH_LT_13Y</t>
  </si>
  <si>
    <t>PREV_GT14_LT66</t>
  </si>
  <si>
    <t>PREV_GT29Y_LT66Y</t>
  </si>
  <si>
    <t>PREV_GT44Y</t>
  </si>
  <si>
    <t>PREV_GT44Y_LT86Y</t>
  </si>
  <si>
    <t>PREV_GT49Y</t>
  </si>
  <si>
    <t>PREV_GT49Y_LT78Y</t>
  </si>
  <si>
    <t>PREV_GT49Y_LT86Y</t>
  </si>
  <si>
    <t>PREV_GT57Y_LT79Y</t>
  </si>
  <si>
    <t>PREV_GT65Y</t>
  </si>
  <si>
    <t>PREV_GT77Y</t>
  </si>
  <si>
    <t>PREV_GT78Y</t>
  </si>
  <si>
    <t>PREV_GT85Y</t>
  </si>
  <si>
    <t>PREV_LT15Y</t>
  </si>
  <si>
    <t>PREV_LT30Y</t>
  </si>
  <si>
    <t>PREV_LT35Y</t>
  </si>
  <si>
    <t>PREV_LT45Y</t>
  </si>
  <si>
    <t>PREV_LT50Y</t>
  </si>
  <si>
    <t>PREV_LT58Y</t>
  </si>
  <si>
    <t>STM_12M</t>
  </si>
  <si>
    <t>STM_BT10_18Y</t>
  </si>
  <si>
    <t>STM_BT10_55Y</t>
  </si>
  <si>
    <t>STM_BT10_59Y</t>
  </si>
  <si>
    <t>STM_BT10_60Y</t>
  </si>
  <si>
    <t>STM_BT11_20Y</t>
  </si>
  <si>
    <t>STM_BT12_17Y</t>
  </si>
  <si>
    <t>STM_BT16_60Y</t>
  </si>
  <si>
    <t>STM_BT181_1459D</t>
  </si>
  <si>
    <t>STM_BT18_20Y</t>
  </si>
  <si>
    <t>STM_BT18_39Y</t>
  </si>
  <si>
    <t>STM_BT18_64Y</t>
  </si>
  <si>
    <t>STM_BT18_65Y</t>
  </si>
  <si>
    <t>STM_BT19_20Y</t>
  </si>
  <si>
    <t>STM_BT19_59Y</t>
  </si>
  <si>
    <t>STM_BT1_2Y</t>
  </si>
  <si>
    <t>STM_BT21_59Y</t>
  </si>
  <si>
    <t>STM_BT21_64Y</t>
  </si>
  <si>
    <t>STM_BT21_99Y</t>
  </si>
  <si>
    <t>STM_BT22_64Y</t>
  </si>
  <si>
    <t>STM_BT2_20Y</t>
  </si>
  <si>
    <t>STM_BT2_21Y</t>
  </si>
  <si>
    <t>STM_BT30_719D</t>
  </si>
  <si>
    <t>STM_BT35_39Y</t>
  </si>
  <si>
    <t>STM_BT365_7300D</t>
  </si>
  <si>
    <t>STM_BT365_7664D</t>
  </si>
  <si>
    <t>STM_BT3_15Y</t>
  </si>
  <si>
    <t>STM_BT3_20Y</t>
  </si>
  <si>
    <t>STM_BT3_99Y</t>
  </si>
  <si>
    <t>STM_BT40_49Y</t>
  </si>
  <si>
    <t>STM_BT40_64Y</t>
  </si>
  <si>
    <t>STM_BT40_74Y</t>
  </si>
  <si>
    <t>STM_BT4_20Y</t>
  </si>
  <si>
    <t>STM_BT50Y_80Y</t>
  </si>
  <si>
    <t>STM_BT5_11Y</t>
  </si>
  <si>
    <t>STM_BT65_75Y</t>
  </si>
  <si>
    <t>STM_BT6_11Y</t>
  </si>
  <si>
    <t>STM_BT6_18Y</t>
  </si>
  <si>
    <t>STM_BT6_19Y</t>
  </si>
  <si>
    <t>STM_BT6_20Y</t>
  </si>
  <si>
    <t>STM_BTW6_11Y</t>
  </si>
  <si>
    <t>STM_GT100Y</t>
  </si>
  <si>
    <t>STM_GT1024M</t>
  </si>
  <si>
    <t>STM_GT10Y</t>
  </si>
  <si>
    <t>STM_GT11M</t>
  </si>
  <si>
    <t>STM_GT11Y</t>
  </si>
  <si>
    <t>STM_GT120Y</t>
  </si>
  <si>
    <t>STM_GT125Y</t>
  </si>
  <si>
    <t>STM_GT12Y</t>
  </si>
  <si>
    <t>STM_GT130Y</t>
  </si>
  <si>
    <t>STM_GT132M</t>
  </si>
  <si>
    <t>STM_GT13Y</t>
  </si>
  <si>
    <t>STM_GT143M</t>
  </si>
  <si>
    <t>STM_GT14Y</t>
  </si>
  <si>
    <t>STM_GT15Y</t>
  </si>
  <si>
    <t>STM_GT16Y</t>
  </si>
  <si>
    <t>STM_GT17M</t>
  </si>
  <si>
    <t>STM_GT17Y</t>
  </si>
  <si>
    <t>STM_GT1813D</t>
  </si>
  <si>
    <t>STM_GT18M</t>
  </si>
  <si>
    <t>STM_GT18Y</t>
  </si>
  <si>
    <t>STM_GT19Y</t>
  </si>
  <si>
    <t>STM_GT1M</t>
  </si>
  <si>
    <t>STM_GT1Y</t>
  </si>
  <si>
    <t>STM_GT1YR</t>
  </si>
  <si>
    <t>STM_GT20Y</t>
  </si>
  <si>
    <t>STM_GT21Y</t>
  </si>
  <si>
    <t>STM_GT22Y</t>
  </si>
  <si>
    <t>STM_GT23M</t>
  </si>
  <si>
    <t>STM_GT23Y</t>
  </si>
  <si>
    <t>STM_GT240D</t>
  </si>
  <si>
    <t>STM_GT24M</t>
  </si>
  <si>
    <t>STM_GT24Y</t>
  </si>
  <si>
    <t>STM_GT25Y</t>
  </si>
  <si>
    <t>STM_GT26Y</t>
  </si>
  <si>
    <t>STM_GT27D</t>
  </si>
  <si>
    <t>STM_GT27Y</t>
  </si>
  <si>
    <t>STM_GT28D</t>
  </si>
  <si>
    <t>STM_GT29D</t>
  </si>
  <si>
    <t>STM_GT29Y</t>
  </si>
  <si>
    <t>STM_GT2D</t>
  </si>
  <si>
    <t>STM_GT2Y</t>
  </si>
  <si>
    <t>STM_GT2Y_LT21Y</t>
  </si>
  <si>
    <t>STM_GT34Y</t>
  </si>
  <si>
    <t>STM_GT35M</t>
  </si>
  <si>
    <t>STM_GT35Y</t>
  </si>
  <si>
    <t>STM_GT364D</t>
  </si>
  <si>
    <t>STM_GT365D</t>
  </si>
  <si>
    <t>STM_GT37Y</t>
  </si>
  <si>
    <t>STM_GT39Y</t>
  </si>
  <si>
    <t>STM_GT3D</t>
  </si>
  <si>
    <t>STM_GT3M</t>
  </si>
  <si>
    <t>STM_GT3Y</t>
  </si>
  <si>
    <t>STM_GT40Y</t>
  </si>
  <si>
    <t>STM_GT43Y</t>
  </si>
  <si>
    <t>STM_GT44Y</t>
  </si>
  <si>
    <t>STM_GT45Y</t>
  </si>
  <si>
    <t>STM_GT46Y</t>
  </si>
  <si>
    <t>STM_GT49Y</t>
  </si>
  <si>
    <t>STM_GT4Y</t>
  </si>
  <si>
    <t>STM_GT50Y</t>
  </si>
  <si>
    <t>STM_GT51Y</t>
  </si>
  <si>
    <t>STM_GT54Y</t>
  </si>
  <si>
    <t>STM_GT55Y</t>
  </si>
  <si>
    <t>STM_GT58Y</t>
  </si>
  <si>
    <t>STM_GT59M</t>
  </si>
  <si>
    <t>STM_GT59Y</t>
  </si>
  <si>
    <t>STM_GT5M</t>
  </si>
  <si>
    <t>STM_GT5Y</t>
  </si>
  <si>
    <t>STM_GT60M</t>
  </si>
  <si>
    <t>STM_GT60Y</t>
  </si>
  <si>
    <t>STM_GT61Y</t>
  </si>
  <si>
    <t>STM_GT63Y</t>
  </si>
  <si>
    <t>STM_GT64Y</t>
  </si>
  <si>
    <t>STM_GT65Y</t>
  </si>
  <si>
    <t>STM_GT69Y</t>
  </si>
  <si>
    <t>STM_GT6M</t>
  </si>
  <si>
    <t>STM_GT6Y</t>
  </si>
  <si>
    <t>STM_GT70Y</t>
  </si>
  <si>
    <t>STM_GT71M</t>
  </si>
  <si>
    <t>STM_GT729D</t>
  </si>
  <si>
    <t>STM_GT74Y</t>
  </si>
  <si>
    <t>STM_GT75Y</t>
  </si>
  <si>
    <t>STM_GT77Y</t>
  </si>
  <si>
    <t>STM_GT7Y</t>
  </si>
  <si>
    <t>STM_GT80Y</t>
  </si>
  <si>
    <t>STM_GT85Y</t>
  </si>
  <si>
    <t>STM_GT86Y</t>
  </si>
  <si>
    <t>STM_GT8Y</t>
  </si>
  <si>
    <t>STM_GT999Y</t>
  </si>
  <si>
    <t>STM_GT99Y</t>
  </si>
  <si>
    <t>STM_GT9Y</t>
  </si>
  <si>
    <t>STM_LT 180D</t>
  </si>
  <si>
    <t>STM_LT10Y</t>
  </si>
  <si>
    <t>STM_LT11Y</t>
  </si>
  <si>
    <t>STM_LT12M</t>
  </si>
  <si>
    <t>STM_LT12Y</t>
  </si>
  <si>
    <t>STM_LT13Y</t>
  </si>
  <si>
    <t>STM_LT14Y</t>
  </si>
  <si>
    <t>STM_LT15Y</t>
  </si>
  <si>
    <t>STM_LT16Y</t>
  </si>
  <si>
    <t>STM_LT17Y</t>
  </si>
  <si>
    <t>STM_LT180D</t>
  </si>
  <si>
    <t>STM_LT18Y</t>
  </si>
  <si>
    <t>STM_LT19Y</t>
  </si>
  <si>
    <t>STM_LT1Y</t>
  </si>
  <si>
    <t>STM_LT20Y</t>
  </si>
  <si>
    <t>STM_LT21Y</t>
  </si>
  <si>
    <t>STM_LT21Y_GT39Y</t>
  </si>
  <si>
    <t>STM_LT21_GT26Y</t>
  </si>
  <si>
    <t>STM_LT21_GT45Y</t>
  </si>
  <si>
    <t>STM_LT22Y</t>
  </si>
  <si>
    <t>STM_LT25Y</t>
  </si>
  <si>
    <t>STM_LT26Y</t>
  </si>
  <si>
    <t>STM_LT28D</t>
  </si>
  <si>
    <t>STM_LT28Y</t>
  </si>
  <si>
    <t>STM_LT29D</t>
  </si>
  <si>
    <t>STM_LT2D</t>
  </si>
  <si>
    <t>STM_LT2Y</t>
  </si>
  <si>
    <t>STM_LT30Y</t>
  </si>
  <si>
    <t>STM_LT330D</t>
  </si>
  <si>
    <t>STM_LT35Y</t>
  </si>
  <si>
    <t>STM_LT36M</t>
  </si>
  <si>
    <t>STM_LT38Y</t>
  </si>
  <si>
    <t>STM_LT3M</t>
  </si>
  <si>
    <t>STM_LT3Y</t>
  </si>
  <si>
    <t>STM_LT3Y_GT5Y</t>
  </si>
  <si>
    <t>STM_LT40Y</t>
  </si>
  <si>
    <t>STM_LT40Y;STM_GT74Y</t>
  </si>
  <si>
    <t>STM_LT40Y_GT64Y</t>
  </si>
  <si>
    <t>STM_LT42D</t>
  </si>
  <si>
    <t>STM_LT45Y</t>
  </si>
  <si>
    <t>STM_LT46Y</t>
  </si>
  <si>
    <t>STM_LT4M</t>
  </si>
  <si>
    <t>STM_LT4Y</t>
  </si>
  <si>
    <t>STM_LT50WK</t>
  </si>
  <si>
    <t>STM_LT50Y</t>
  </si>
  <si>
    <t>STM_LT55Y</t>
  </si>
  <si>
    <t>STM_LT56Y</t>
  </si>
  <si>
    <t>STM_LT5M</t>
  </si>
  <si>
    <t>STM_LT5Y</t>
  </si>
  <si>
    <t>STM_LT60D</t>
  </si>
  <si>
    <t>STM_LT60Y</t>
  </si>
  <si>
    <t>STM_LT61Y</t>
  </si>
  <si>
    <t>STM_LT65Y</t>
  </si>
  <si>
    <t>STM_LT66Y</t>
  </si>
  <si>
    <t>STM_LT6M</t>
  </si>
  <si>
    <t>STM_LT6Y</t>
  </si>
  <si>
    <t>STM_LT71M</t>
  </si>
  <si>
    <t>STM_LT731D</t>
  </si>
  <si>
    <t>STM_LT75Y</t>
  </si>
  <si>
    <t>STM_LT76Y</t>
  </si>
  <si>
    <t>STM_LT7Y</t>
  </si>
  <si>
    <t>STM_LT8Y</t>
  </si>
  <si>
    <t>STM_LT9M</t>
  </si>
  <si>
    <t>STM_LT9Y</t>
  </si>
  <si>
    <t>STM_LT9_GT21Y</t>
  </si>
  <si>
    <t>*If policy is attached to a combination pattern, please reference the individual pattern number to obtain crosswalk assignment</t>
  </si>
  <si>
    <t>Impacted Pattern</t>
  </si>
  <si>
    <t>XWALK</t>
  </si>
  <si>
    <t>*</t>
  </si>
  <si>
    <t>*If policy is attached to a combination pattern, look at individual pattern number to obtain crosswalk assignment</t>
  </si>
  <si>
    <t>Category Suffix  Suggestions</t>
  </si>
  <si>
    <t>Category Structure</t>
  </si>
  <si>
    <t>Diagnosis</t>
  </si>
  <si>
    <t>(PMM_TYPE)_&amp;CORE_DIAG</t>
  </si>
  <si>
    <t xml:space="preserve">Proc Code </t>
  </si>
  <si>
    <t>(PMM_TYPE)_&amp;CORE_PROC</t>
  </si>
  <si>
    <t>Proc Code Category (WITH/WITHOUT)</t>
  </si>
  <si>
    <t>(PMM_TYPE)_&amp;CORE_DENY_PROC</t>
  </si>
  <si>
    <t>(PMM_TYPE)_&amp;CORE_SUPPORT_PROC</t>
  </si>
  <si>
    <t>Place of Service</t>
  </si>
  <si>
    <t>(PMM_TYPE)_&amp;CORE_POS</t>
  </si>
  <si>
    <t>Provider Specialty</t>
  </si>
  <si>
    <t>(PMM_TYPE)_&amp;CORE_PROV_SPEC</t>
  </si>
  <si>
    <t>Provider Type</t>
  </si>
  <si>
    <t>(PMM_TYPE)_&amp;CORE_PROV_TYPE</t>
  </si>
  <si>
    <t>Modifier</t>
  </si>
  <si>
    <t>(PMM_TYPE)_&amp;CORE_MOD</t>
  </si>
  <si>
    <t>Revenue Code</t>
  </si>
  <si>
    <t>(PMM_TYPE)_&amp;CORE_REV</t>
  </si>
  <si>
    <t>Bill Type</t>
  </si>
  <si>
    <t>(PMM_TYPE)_&amp;CORE_BILL_TYPE</t>
  </si>
  <si>
    <t>Gender</t>
  </si>
  <si>
    <t>(PMM_TYPE)_&amp;CORE_GENDER</t>
  </si>
  <si>
    <t>Revenue Code (WITH/WITHOUT_SUPPORT)</t>
  </si>
  <si>
    <t>(PMM_TYPE)_&amp;CORE_DENY_REV</t>
  </si>
  <si>
    <t>(PMM_TYPE)_&amp;CORE_SUPPORT_REV</t>
  </si>
  <si>
    <t>Line of Business</t>
  </si>
  <si>
    <t>(PMM_TYPE)_&amp;CORE_LOB</t>
  </si>
  <si>
    <t>Discharge Status</t>
  </si>
  <si>
    <t>(PMM_TYPE)_&amp;CORE_DS</t>
  </si>
  <si>
    <t>(PMM_TYPE)_&amp;CORE_STATE</t>
  </si>
  <si>
    <t>Diagnosis ICD 10</t>
  </si>
  <si>
    <t>(PMM_TYPE)_&amp;CORE_PROC_CODE</t>
  </si>
  <si>
    <t>Number</t>
  </si>
  <si>
    <t>Client Policy Claim Type</t>
  </si>
  <si>
    <t>DataField1</t>
  </si>
  <si>
    <r>
      <rPr>
        <rFont val="Arial"/>
        <b/>
        <color theme="1"/>
        <sz val="8.0"/>
      </rPr>
      <t xml:space="preserve">Category name </t>
    </r>
    <r>
      <rPr>
        <rFont val="Arial"/>
        <b/>
        <i/>
        <color theme="1"/>
        <sz val="8.0"/>
      </rPr>
      <t>(Lookup</t>
    </r>
    <r>
      <rPr>
        <rFont val="Arial"/>
        <b/>
        <color theme="1"/>
        <sz val="8.0"/>
      </rPr>
      <t>2)</t>
    </r>
  </si>
  <si>
    <t>Datafield2</t>
  </si>
  <si>
    <t>Category2</t>
  </si>
  <si>
    <r>
      <rPr>
        <rFont val="Arial"/>
        <b/>
        <color theme="1"/>
        <sz val="8.0"/>
      </rPr>
      <t xml:space="preserve">DataField3 </t>
    </r>
    <r>
      <rPr>
        <rFont val="Arial"/>
        <b/>
        <i/>
        <color theme="1"/>
        <sz val="8.0"/>
      </rPr>
      <t>(Lookup</t>
    </r>
    <r>
      <rPr>
        <rFont val="Arial"/>
        <b/>
        <color theme="1"/>
        <sz val="8.0"/>
      </rPr>
      <t>5)</t>
    </r>
  </si>
  <si>
    <r>
      <rPr>
        <rFont val="Arial"/>
        <b/>
        <color theme="1"/>
        <sz val="8.0"/>
      </rPr>
      <t xml:space="preserve">Category3 name </t>
    </r>
    <r>
      <rPr>
        <rFont val="Arial"/>
        <b/>
        <i/>
        <color theme="1"/>
        <sz val="8.0"/>
      </rPr>
      <t>(Lookup</t>
    </r>
    <r>
      <rPr>
        <rFont val="Arial"/>
        <b/>
        <color theme="1"/>
        <sz val="8.0"/>
      </rPr>
      <t>6)</t>
    </r>
  </si>
  <si>
    <r>
      <rPr>
        <rFont val="Arial"/>
        <b/>
        <color theme="1"/>
        <sz val="8.0"/>
      </rPr>
      <t xml:space="preserve">DataField4 </t>
    </r>
    <r>
      <rPr>
        <rFont val="Arial"/>
        <b/>
        <i/>
        <color theme="1"/>
        <sz val="8.0"/>
      </rPr>
      <t>(Lookup</t>
    </r>
    <r>
      <rPr>
        <rFont val="Arial"/>
        <b/>
        <color theme="1"/>
        <sz val="8.0"/>
      </rPr>
      <t>7)</t>
    </r>
  </si>
  <si>
    <t>Category4 name</t>
  </si>
  <si>
    <r>
      <rPr>
        <rFont val="Arial"/>
        <b/>
        <i/>
        <color theme="1"/>
        <sz val="8.0"/>
      </rPr>
      <t>(Key</t>
    </r>
    <r>
      <rPr>
        <rFont val="Arial"/>
        <b/>
        <i val="0"/>
        <color theme="1"/>
        <sz val="8.0"/>
      </rPr>
      <t xml:space="preserve"> 1)</t>
    </r>
  </si>
  <si>
    <r>
      <rPr>
        <rFont val="Arial"/>
        <b/>
        <i/>
        <color theme="1"/>
        <sz val="8.0"/>
      </rPr>
      <t>(Key</t>
    </r>
    <r>
      <rPr>
        <rFont val="Arial"/>
        <b/>
        <i val="0"/>
        <color theme="1"/>
        <sz val="8.0"/>
      </rPr>
      <t>2)</t>
    </r>
  </si>
  <si>
    <r>
      <rPr>
        <rFont val="Arial"/>
        <b/>
        <i/>
        <color theme="1"/>
        <sz val="8.0"/>
      </rPr>
      <t>(Lookup</t>
    </r>
    <r>
      <rPr>
        <rFont val="Arial"/>
        <b/>
        <i val="0"/>
        <color theme="1"/>
        <sz val="8.0"/>
      </rPr>
      <t>1)</t>
    </r>
  </si>
  <si>
    <r>
      <rPr>
        <rFont val="Arial"/>
        <b/>
        <i/>
        <color theme="1"/>
        <sz val="8.0"/>
      </rPr>
      <t>(Lookup</t>
    </r>
    <r>
      <rPr>
        <rFont val="Arial"/>
        <b/>
        <i val="0"/>
        <color theme="1"/>
        <sz val="8.0"/>
      </rPr>
      <t>3</t>
    </r>
  </si>
  <si>
    <t>name</t>
  </si>
  <si>
    <r>
      <rPr>
        <rFont val="Arial"/>
        <b/>
        <i/>
        <color theme="1"/>
        <sz val="8.0"/>
      </rPr>
      <t>(Lookup</t>
    </r>
    <r>
      <rPr>
        <rFont val="Arial"/>
        <b/>
        <i val="0"/>
        <color theme="1"/>
        <sz val="8.0"/>
      </rPr>
      <t>8)</t>
    </r>
  </si>
  <si>
    <r>
      <rPr>
        <rFont val="Arial"/>
        <b/>
        <i/>
        <color theme="1"/>
        <sz val="8.0"/>
      </rPr>
      <t>(Lookup</t>
    </r>
    <r>
      <rPr>
        <rFont val="Arial"/>
        <b/>
        <i val="0"/>
        <color theme="1"/>
        <sz val="8.0"/>
      </rPr>
      <t>4)</t>
    </r>
  </si>
  <si>
    <t>Claim_FacilityFlag</t>
  </si>
  <si>
    <t>C;VAL;!=;Y</t>
  </si>
  <si>
    <t>Claim_BillType</t>
  </si>
  <si>
    <t>C;VAL;IS_NULL</t>
  </si>
  <si>
    <t>C;VAL;=;Y</t>
  </si>
  <si>
    <t>C;CAT;IN_DICT;OUTPAT_BILL_TYPE</t>
  </si>
  <si>
    <t>C;CAT;IN_DICT;INPAT_BILL_TYPE</t>
  </si>
  <si>
    <t>OP_PROF</t>
  </si>
  <si>
    <t>Line_PlaceOfService</t>
  </si>
  <si>
    <t>C;CAT;IN_DICT;OUTPAT_POS</t>
  </si>
  <si>
    <t>IP_PROF</t>
  </si>
  <si>
    <t>C;CAT;IN_DICT;INPAT_POS</t>
  </si>
  <si>
    <t>Policy Element</t>
  </si>
  <si>
    <t>Description</t>
  </si>
  <si>
    <t>Allowed Options (if applicable)</t>
  </si>
  <si>
    <r>
      <rPr>
        <rFont val="Calibri"/>
        <color theme="1"/>
        <sz val="8.0"/>
      </rPr>
      <t>AKA Policy Acronym. MUST begin with "</t>
    </r>
    <r>
      <rPr>
        <rFont val="Calibri"/>
        <b/>
        <color theme="1"/>
        <sz val="8.0"/>
      </rPr>
      <t>DEF_</t>
    </r>
    <r>
      <rPr>
        <rFont val="Calibri"/>
        <color theme="1"/>
        <sz val="8.0"/>
      </rPr>
      <t xml:space="preserve">". </t>
    </r>
    <r>
      <rPr>
        <rFont val="Calibri"/>
        <b/>
        <color theme="1"/>
        <sz val="8.0"/>
      </rPr>
      <t>30</t>
    </r>
    <r>
      <rPr>
        <rFont val="Calibri"/>
        <color theme="1"/>
        <sz val="8.0"/>
      </rPr>
      <t xml:space="preserve"> is the maximum number of characters for a policy name – including underscores.</t>
    </r>
  </si>
  <si>
    <t>Required</t>
  </si>
  <si>
    <t>Variable, must begin with "DEF_", and must not exceed 30 characters, no spaces allowed.</t>
  </si>
  <si>
    <t>POLICY_DESCRIPTION</t>
  </si>
  <si>
    <t>"Long name" of policy as opposed to policy acronym.</t>
  </si>
  <si>
    <t>Variable according to policy.</t>
  </si>
  <si>
    <t>EXPECTED_AUDITING_OUTCOME</t>
  </si>
  <si>
    <t>Describes the purpose of the policy. It is suggesed to begin with "This policy will Deny …</t>
  </si>
  <si>
    <t>EDIT_VARIATION</t>
  </si>
  <si>
    <t>1 Edit Variation is Required for each policy.</t>
  </si>
  <si>
    <t>Valid Entries:
•SINGLE_LINE
•WITH_SUPPORT
•WITHOUT_SUPPORT
•FREQ</t>
  </si>
  <si>
    <t>POLICY_EFFECTIVE_DATE</t>
  </si>
  <si>
    <t>Effective From Date of the Policy</t>
  </si>
  <si>
    <t>Must be in MM/DD/YYYY Format</t>
  </si>
  <si>
    <t>CURRENT CLAIM_TYPE</t>
  </si>
  <si>
    <t>Used to define the applicable claim types at the Policy Level for the Current (deny) Line.</t>
  </si>
  <si>
    <r>
      <rPr>
        <rFont val="Calibri"/>
        <color rgb="FFFF0000"/>
        <sz val="8.0"/>
      </rPr>
      <t>Required</t>
    </r>
    <r>
      <rPr>
        <rFont val="Calibri"/>
        <color theme="1"/>
        <sz val="8.0"/>
      </rPr>
      <t xml:space="preserve"> (if no claim type is required please indicate "NULL" in field</t>
    </r>
  </si>
  <si>
    <r>
      <rPr>
        <rFont val="Calibri"/>
        <color rgb="FFFF0000"/>
        <sz val="8.0"/>
      </rPr>
      <t>Required</t>
    </r>
    <r>
      <rPr>
        <rFont val="Calibri"/>
        <color theme="1"/>
        <sz val="8.0"/>
      </rPr>
      <t xml:space="preserve"> (if no claim type is required please indicate "N/A" in field. </t>
    </r>
  </si>
  <si>
    <r>
      <rPr>
        <rFont val="Calibri"/>
        <color rgb="FFFF0000"/>
        <sz val="8.0"/>
      </rPr>
      <t>Required</t>
    </r>
    <r>
      <rPr>
        <rFont val="Calibri"/>
        <color theme="1"/>
        <sz val="8.0"/>
      </rPr>
      <t xml:space="preserve"> (if no claim type is required please indicate "N/A" in field. </t>
    </r>
  </si>
  <si>
    <r>
      <rPr>
        <rFont val="Calibri"/>
        <color rgb="FFFF0000"/>
        <sz val="8.0"/>
      </rPr>
      <t>Required</t>
    </r>
    <r>
      <rPr>
        <rFont val="Calibri"/>
        <color theme="1"/>
        <sz val="8.0"/>
      </rPr>
      <t xml:space="preserve"> (if no claim type is required please indicate "N/A" in field. </t>
    </r>
  </si>
  <si>
    <r>
      <rPr>
        <rFont val="Calibri"/>
        <color theme="1"/>
        <sz val="8.0"/>
      </rPr>
      <t>Valid Entries (can add if needed):
•</t>
    </r>
    <r>
      <rPr>
        <rFont val="Calibri"/>
        <b/>
        <color theme="1"/>
        <sz val="8.0"/>
      </rPr>
      <t>PROF</t>
    </r>
    <r>
      <rPr>
        <rFont val="Calibri"/>
        <color theme="1"/>
        <sz val="8.0"/>
      </rPr>
      <t xml:space="preserve"> (Facility Flag not = Y and Bill Type field blank)
•</t>
    </r>
    <r>
      <rPr>
        <rFont val="Calibri"/>
        <b/>
        <color theme="1"/>
        <sz val="8.0"/>
      </rPr>
      <t>OUTPAT_FAC</t>
    </r>
    <r>
      <rPr>
        <rFont val="Calibri"/>
        <color theme="1"/>
        <sz val="8.0"/>
      </rPr>
      <t xml:space="preserve"> (Outpatient Bill Types)
•</t>
    </r>
    <r>
      <rPr>
        <rFont val="Calibri"/>
        <b/>
        <color theme="1"/>
        <sz val="8.0"/>
      </rPr>
      <t>INPAT_FAC</t>
    </r>
    <r>
      <rPr>
        <rFont val="Calibri"/>
        <color theme="1"/>
        <sz val="8.0"/>
      </rPr>
      <t xml:space="preserve">  (Inpatient Bill Types)
•</t>
    </r>
    <r>
      <rPr>
        <rFont val="Calibri"/>
        <b/>
        <color theme="1"/>
        <sz val="8.0"/>
      </rPr>
      <t>ALL_FAC</t>
    </r>
    <r>
      <rPr>
        <rFont val="Calibri"/>
        <color theme="1"/>
        <sz val="8.0"/>
      </rPr>
      <t xml:space="preserve"> (IP + OP)
</t>
    </r>
    <r>
      <rPr>
        <rFont val="Calibri"/>
        <b/>
        <color theme="1"/>
        <sz val="8.0"/>
      </rPr>
      <t xml:space="preserve">•OP _PROF
•IP _PROF
</t>
    </r>
    <r>
      <rPr>
        <rFont val="Calibri"/>
        <color theme="1"/>
        <sz val="8.0"/>
      </rPr>
      <t>•</t>
    </r>
    <r>
      <rPr>
        <rFont val="Calibri"/>
        <b/>
        <color theme="1"/>
        <sz val="8.0"/>
      </rPr>
      <t>NULL</t>
    </r>
    <r>
      <rPr>
        <rFont val="Calibri"/>
        <color theme="1"/>
        <sz val="8.0"/>
      </rPr>
      <t xml:space="preserve"> (equates to ALL Claim Types)</t>
    </r>
  </si>
  <si>
    <t>SUPPORT CLAIM_TYPE</t>
  </si>
  <si>
    <t>Used to define the applicable claim types at the Policy Level for the Support Line. Typically for multiple line edits the support claim type equals the current claim type.</t>
  </si>
  <si>
    <r>
      <rPr>
        <rFont val="Calibri"/>
        <color rgb="FFFF0000"/>
        <sz val="8.0"/>
      </rPr>
      <t>Required</t>
    </r>
    <r>
      <rPr>
        <rFont val="Calibri"/>
        <color theme="1"/>
        <sz val="8.0"/>
      </rPr>
      <t xml:space="preserve"> (if no claim type is required please indicate "N/A" in field. </t>
    </r>
  </si>
  <si>
    <r>
      <rPr>
        <rFont val="Calibri"/>
        <color rgb="FFFF0000"/>
        <sz val="8.0"/>
      </rPr>
      <t>Required</t>
    </r>
    <r>
      <rPr>
        <rFont val="Calibri"/>
        <color theme="1"/>
        <sz val="8.0"/>
      </rPr>
      <t xml:space="preserve"> (if no claim type is required please indicate "N/A" in field. </t>
    </r>
  </si>
  <si>
    <r>
      <rPr>
        <rFont val="Calibri"/>
        <color rgb="FFFF0000"/>
        <sz val="8.0"/>
      </rPr>
      <t>Required</t>
    </r>
    <r>
      <rPr>
        <rFont val="Calibri"/>
        <color theme="1"/>
        <sz val="8.0"/>
      </rPr>
      <t xml:space="preserve"> (if no claim type is required please indicate "N/A" in field. </t>
    </r>
  </si>
  <si>
    <r>
      <rPr>
        <rFont val="Calibri"/>
        <color theme="1"/>
        <sz val="8.0"/>
      </rPr>
      <t>Valid Entries (can add if needed):
•</t>
    </r>
    <r>
      <rPr>
        <rFont val="Calibri"/>
        <b/>
        <color theme="1"/>
        <sz val="8.0"/>
      </rPr>
      <t>PROF</t>
    </r>
    <r>
      <rPr>
        <rFont val="Calibri"/>
        <color theme="1"/>
        <sz val="8.0"/>
      </rPr>
      <t xml:space="preserve"> (Facility Flag not = Y and Bill Type field blank)
•</t>
    </r>
    <r>
      <rPr>
        <rFont val="Calibri"/>
        <b/>
        <color theme="1"/>
        <sz val="8.0"/>
      </rPr>
      <t>OUTPAT_FAC</t>
    </r>
    <r>
      <rPr>
        <rFont val="Calibri"/>
        <color theme="1"/>
        <sz val="8.0"/>
      </rPr>
      <t xml:space="preserve"> (Outpatient Bill Types)
•</t>
    </r>
    <r>
      <rPr>
        <rFont val="Calibri"/>
        <b/>
        <color theme="1"/>
        <sz val="8.0"/>
      </rPr>
      <t>INPAT_FAC</t>
    </r>
    <r>
      <rPr>
        <rFont val="Calibri"/>
        <color theme="1"/>
        <sz val="8.0"/>
      </rPr>
      <t xml:space="preserve">  (Inpatient Bill Types)
•</t>
    </r>
    <r>
      <rPr>
        <rFont val="Calibri"/>
        <b/>
        <color theme="1"/>
        <sz val="8.0"/>
      </rPr>
      <t>ALL_FAC</t>
    </r>
    <r>
      <rPr>
        <rFont val="Calibri"/>
        <color theme="1"/>
        <sz val="8.0"/>
      </rPr>
      <t xml:space="preserve"> (IP + OP)
</t>
    </r>
    <r>
      <rPr>
        <rFont val="Calibri"/>
        <b/>
        <color theme="1"/>
        <sz val="8.0"/>
      </rPr>
      <t xml:space="preserve">•OP _PROF
•IP _PROF
</t>
    </r>
    <r>
      <rPr>
        <rFont val="Calibri"/>
        <color theme="1"/>
        <sz val="8.0"/>
      </rPr>
      <t>•</t>
    </r>
    <r>
      <rPr>
        <rFont val="Calibri"/>
        <b/>
        <color theme="1"/>
        <sz val="8.0"/>
      </rPr>
      <t>NULL</t>
    </r>
    <r>
      <rPr>
        <rFont val="Calibri"/>
        <color theme="1"/>
        <sz val="8.0"/>
      </rPr>
      <t xml:space="preserve"> (equates to ALL Claim Types)</t>
    </r>
  </si>
  <si>
    <t>PROVIDER_MATCHING</t>
  </si>
  <si>
    <t>Optional for Multiple Line edits, Value can contain 1 or multiple Provider matching variation separated by a semicolon. NULL indicates edit goes across all providers</t>
  </si>
  <si>
    <r>
      <rPr>
        <rFont val="Calibri"/>
        <color rgb="FFFF0000"/>
        <sz val="8.0"/>
      </rPr>
      <t>Required</t>
    </r>
    <r>
      <rPr>
        <rFont val="Calibri"/>
        <color theme="1"/>
        <sz val="8.0"/>
      </rPr>
      <t xml:space="preserve"> (if no provider matching is required please indicate "N/A" in field</t>
    </r>
  </si>
  <si>
    <r>
      <rPr>
        <rFont val="Calibri"/>
        <color rgb="FFFF0000"/>
        <sz val="8.0"/>
      </rPr>
      <t>Required</t>
    </r>
    <r>
      <rPr>
        <rFont val="Calibri"/>
        <color theme="1"/>
        <sz val="8.0"/>
      </rPr>
      <t xml:space="preserve"> (if no provider matching is required please indicate "N/A" in field</t>
    </r>
  </si>
  <si>
    <r>
      <rPr>
        <rFont val="Calibri"/>
        <color rgb="FFFF0000"/>
        <sz val="8.0"/>
      </rPr>
      <t>Required</t>
    </r>
    <r>
      <rPr>
        <rFont val="Calibri"/>
        <color theme="1"/>
        <sz val="8.0"/>
      </rPr>
      <t xml:space="preserve"> (if no provider matching is required please indicate "N/A" in field</t>
    </r>
  </si>
  <si>
    <t>Valid entries: if not "NULL", valid entries are on PROVIDER MATCHING OPTIONS Tab in Column A (Keyword Variation), if applicable for edit type can be "NULL", or populated with 1 or more variations deparated by semi-colon without any spaces</t>
  </si>
  <si>
    <t>DENY_CRITERIA (applies to CURRENT Line)</t>
  </si>
  <si>
    <t>Defines Current Line Criteria that should be denied if all deny criteria are met for the line.</t>
  </si>
  <si>
    <t>SUPPORT_CRITERIA (applies to SUPPORT Line)</t>
  </si>
  <si>
    <t>Defines Support Line Criteria, and depending on the edit type if present, or not present will result in current line denial.</t>
  </si>
  <si>
    <t>Variable according to multiple line policy.</t>
  </si>
  <si>
    <t>POLICY INCLUSIONS</t>
  </si>
  <si>
    <t>Defines Additional inclusionary criteria for a policy,For multiple line edit types can specify if it is applicable for Current lines, support lines, or both. SINGLE_LINE Edits may only use Current inclusionary criteria.</t>
  </si>
  <si>
    <t>Optional</t>
  </si>
  <si>
    <t>POLICY EXCLUSIONS</t>
  </si>
  <si>
    <t>Defines Additional exclusionary criteria for a policy,For multiple line edit types can specify if it is applicable for Current lines, support lines, or both. SINGLE_LINE Edits may only use Current exclusionary criteria.</t>
  </si>
  <si>
    <t>ADD_LINE_FLAG</t>
  </si>
  <si>
    <t>Used only for freq edits, indicates whether or not line should be added with corrected quantity if applicable.</t>
  </si>
  <si>
    <r>
      <rPr>
        <rFont val="Calibri"/>
        <color rgb="FFFF0000"/>
        <sz val="8.0"/>
      </rPr>
      <t>Required</t>
    </r>
    <r>
      <rPr>
        <rFont val="Calibri"/>
        <color theme="1"/>
        <sz val="8.0"/>
      </rPr>
      <t xml:space="preserve"> (if no ADD LINE is required please indicate "NULL" in field</t>
    </r>
  </si>
  <si>
    <r>
      <rPr>
        <rFont val="Calibri"/>
        <color theme="1"/>
        <sz val="8.0"/>
      </rPr>
      <t xml:space="preserve">Valid Entries:
</t>
    </r>
    <r>
      <rPr>
        <rFont val="Calibri"/>
        <b/>
        <color theme="1"/>
        <sz val="8.0"/>
      </rPr>
      <t xml:space="preserve">•Y </t>
    </r>
    <r>
      <rPr>
        <rFont val="Calibri"/>
        <color theme="1"/>
        <sz val="8.0"/>
      </rPr>
      <t xml:space="preserve">(Policy will Add a line if eligible)
</t>
    </r>
    <r>
      <rPr>
        <rFont val="Calibri"/>
        <b/>
        <color theme="1"/>
        <sz val="8.0"/>
      </rPr>
      <t>•NULL</t>
    </r>
    <r>
      <rPr>
        <rFont val="Calibri"/>
        <color theme="1"/>
        <sz val="8.0"/>
      </rPr>
      <t xml:space="preserve"> (Policy will not Add a line)</t>
    </r>
  </si>
  <si>
    <t>DATE_SPAN</t>
  </si>
  <si>
    <t>Date span variation settings allow multiple line edits to compare current and history lines over a specified period of time. By default if a DATE_SPAN is selected for a policy, it does not include supporting lines with the same dos unless SAME_DAY_FLAG is populated with a "Y".</t>
  </si>
  <si>
    <r>
      <rPr>
        <rFont val="Calibri"/>
        <color rgb="FFFF0000"/>
        <sz val="8.0"/>
      </rPr>
      <t>Required</t>
    </r>
    <r>
      <rPr>
        <rFont val="Calibri"/>
        <color theme="1"/>
        <sz val="8.0"/>
      </rPr>
      <t xml:space="preserve"> (if no Date span is required please indicate "N/A" in field</t>
    </r>
  </si>
  <si>
    <r>
      <rPr>
        <rFont val="Calibri"/>
        <color rgb="FFFF0000"/>
        <sz val="8.0"/>
      </rPr>
      <t>Required</t>
    </r>
    <r>
      <rPr>
        <rFont val="Calibri"/>
        <color theme="1"/>
        <sz val="8.0"/>
      </rPr>
      <t xml:space="preserve"> (if no Date span is required please indicate "N/A" in field</t>
    </r>
  </si>
  <si>
    <r>
      <rPr>
        <rFont val="Calibri"/>
        <color rgb="FFFF0000"/>
        <sz val="8.0"/>
      </rPr>
      <t>Required</t>
    </r>
    <r>
      <rPr>
        <rFont val="Calibri"/>
        <color theme="1"/>
        <sz val="8.0"/>
      </rPr>
      <t xml:space="preserve"> (if no Date span is required please indicate "N/A" in field</t>
    </r>
  </si>
  <si>
    <r>
      <rPr>
        <rFont val="Calibri"/>
        <b/>
        <color theme="1"/>
        <sz val="8.0"/>
      </rPr>
      <t>CALENDAR_YEAR</t>
    </r>
    <r>
      <rPr>
        <rFont val="Calibri"/>
        <color theme="1"/>
        <sz val="8.0"/>
      </rPr>
      <t xml:space="preserve">: Evaluates only the quantity allowed within same calendar year (YYYY). Logic does not evaluate Lookup 5 or Lookup 6 values (Number of Days before and after). Logic also does NOT include same date of service
</t>
    </r>
    <r>
      <rPr>
        <rFont val="Calibri"/>
        <b/>
        <color theme="1"/>
        <sz val="8.0"/>
      </rPr>
      <t>CALENDAR_MONTH</t>
    </r>
    <r>
      <rPr>
        <rFont val="Calibri"/>
        <color theme="1"/>
        <sz val="8.0"/>
      </rPr>
      <t xml:space="preserve">: the quantity allowed within same calendar month (MM) within the same year. Logic does not evaluate Lookup 5 or Lookup 6 values (Number of Days before and after). Logic also does NOT include same date of service
</t>
    </r>
    <r>
      <rPr>
        <rFont val="Calibri"/>
        <b/>
        <color theme="1"/>
        <sz val="8.0"/>
      </rPr>
      <t>DAYS</t>
    </r>
    <r>
      <rPr>
        <rFont val="Calibri"/>
        <color theme="1"/>
        <sz val="8.0"/>
      </rPr>
      <t xml:space="preserve">:  Evaluates days before (Lookup 5) the current line procedure code date of service or days after (Lookup 6) the current line procedure code date of service. This does NOT include same date of service unless Lookup4 is populated with Y.  </t>
    </r>
    <r>
      <rPr>
        <rFont val="Calibri"/>
        <color rgb="FFFF0000"/>
        <sz val="8.0"/>
      </rPr>
      <t>(IF "DAYS" is utilized, please indicate if edit applies to days BEFORE, or days AFTER, and indicate number of days).</t>
    </r>
    <r>
      <rPr>
        <rFont val="Calibri"/>
        <color theme="1"/>
        <sz val="8.0"/>
      </rPr>
      <t xml:space="preserve">
</t>
    </r>
    <r>
      <rPr>
        <rFont val="Calibri"/>
        <b/>
        <color theme="1"/>
        <sz val="8.0"/>
      </rPr>
      <t>DAYS_RANGE</t>
    </r>
    <r>
      <rPr>
        <rFont val="Calibri"/>
        <color theme="1"/>
        <sz val="8.0"/>
      </rPr>
      <t>: allows support lines to be evaluated that fall can fall both before and after current line date of service.</t>
    </r>
    <r>
      <rPr>
        <rFont val="Calibri"/>
        <color rgb="FFFF0000"/>
        <sz val="8.0"/>
      </rPr>
      <t xml:space="preserve"> (IF "DAYS_RANGE" is utilized, please indicate number of days).</t>
    </r>
  </si>
  <si>
    <t>SAME_DAY_FLAG</t>
  </si>
  <si>
    <t xml:space="preserve">Determines if Support lines with the same date of services as the Current line are evaluated for multiple line edits. </t>
  </si>
  <si>
    <r>
      <rPr>
        <rFont val="Calibri"/>
        <color rgb="FFFF0000"/>
        <sz val="8.0"/>
      </rPr>
      <t>Required</t>
    </r>
    <r>
      <rPr>
        <rFont val="Calibri"/>
        <color theme="1"/>
        <sz val="8.0"/>
      </rPr>
      <t xml:space="preserve"> (if no SAME_DAY FLAG is required please indicate "N/A" in field. Please note this cannot be "N/A" if DATE_SPAN is "NULL"</t>
    </r>
  </si>
  <si>
    <r>
      <rPr>
        <rFont val="Calibri"/>
        <color rgb="FFFF0000"/>
        <sz val="8.0"/>
      </rPr>
      <t>Required</t>
    </r>
    <r>
      <rPr>
        <rFont val="Calibri"/>
        <color theme="1"/>
        <sz val="8.0"/>
      </rPr>
      <t xml:space="preserve"> (if no SAME_DAY FLAG is required please indicate "N/A" in field. Please note this cannot be "N/A" if DATE_SPAN is "NULL"</t>
    </r>
  </si>
  <si>
    <r>
      <rPr>
        <rFont val="Calibri"/>
        <color rgb="FFFF0000"/>
        <sz val="8.0"/>
      </rPr>
      <t>Required</t>
    </r>
    <r>
      <rPr>
        <rFont val="Calibri"/>
        <color theme="1"/>
        <sz val="8.0"/>
      </rPr>
      <t xml:space="preserve"> (if no SAME_DAY FLAG is required please indicate "N/A" in field. Please note this cannot be "N/A" if DATE_SPAN is "NULL"</t>
    </r>
  </si>
  <si>
    <r>
      <rPr>
        <rFont val="Calibri"/>
        <color theme="1"/>
        <sz val="8.0"/>
      </rPr>
      <t>Valid Entries:
•</t>
    </r>
    <r>
      <rPr>
        <rFont val="Calibri"/>
        <b/>
        <color theme="1"/>
        <sz val="8.0"/>
      </rPr>
      <t>Y</t>
    </r>
    <r>
      <rPr>
        <rFont val="Calibri"/>
        <color theme="1"/>
        <sz val="8.0"/>
      </rPr>
      <t xml:space="preserve"> (applies to Same DOS)
•</t>
    </r>
    <r>
      <rPr>
        <rFont val="Calibri"/>
        <b/>
        <color theme="1"/>
        <sz val="8.0"/>
      </rPr>
      <t>NULL</t>
    </r>
    <r>
      <rPr>
        <rFont val="Calibri"/>
        <color theme="1"/>
        <sz val="8.0"/>
      </rPr>
      <t xml:space="preserve"> (does not apply to same DOS)</t>
    </r>
  </si>
  <si>
    <t>CXT_BASE_XXX GROUP ASSIGNMENT</t>
  </si>
  <si>
    <t>Policies are grouped for purposes of inserting the Group in the Global firing order</t>
  </si>
  <si>
    <t>Default Policies will be delivered using Groups CXT_BASE_1_001 to CXT_BASE_1_060; see "GROUP_ASSIGNMENTS" tab for guidance.</t>
  </si>
  <si>
    <t>CLAIM_VARIATION</t>
  </si>
  <si>
    <t xml:space="preserve">Signifies the pool of claims that can be used as Support according to ClaimId data element. Lines with the same Claim Id are from the same claim. </t>
  </si>
  <si>
    <r>
      <rPr>
        <rFont val="Calibri"/>
        <color theme="1"/>
        <sz val="8.0"/>
      </rPr>
      <t>Valid Entries:
•</t>
    </r>
    <r>
      <rPr>
        <rFont val="Calibri"/>
        <b/>
        <color theme="1"/>
        <sz val="8.0"/>
      </rPr>
      <t>SAME</t>
    </r>
    <r>
      <rPr>
        <rFont val="Calibri"/>
        <color theme="1"/>
        <sz val="8.0"/>
      </rPr>
      <t xml:space="preserve"> (support lines are only from </t>
    </r>
    <r>
      <rPr>
        <rFont val="Calibri"/>
        <color theme="1"/>
        <sz val="8.0"/>
        <u/>
      </rPr>
      <t>same</t>
    </r>
    <r>
      <rPr>
        <rFont val="Calibri"/>
        <color theme="1"/>
        <sz val="8.0"/>
      </rPr>
      <t xml:space="preserve"> claim as the Current line)
•</t>
    </r>
    <r>
      <rPr>
        <rFont val="Calibri"/>
        <b/>
        <color theme="1"/>
        <sz val="8.0"/>
      </rPr>
      <t>DIFF</t>
    </r>
    <r>
      <rPr>
        <rFont val="Calibri"/>
        <color theme="1"/>
        <sz val="8.0"/>
      </rPr>
      <t xml:space="preserve"> (support lines are only from </t>
    </r>
    <r>
      <rPr>
        <rFont val="Calibri"/>
        <color theme="1"/>
        <sz val="8.0"/>
        <u/>
      </rPr>
      <t>different</t>
    </r>
    <r>
      <rPr>
        <rFont val="Calibri"/>
        <color theme="1"/>
        <sz val="8.0"/>
      </rPr>
      <t xml:space="preserve"> claim as the Current line)
•</t>
    </r>
    <r>
      <rPr>
        <rFont val="Calibri"/>
        <b/>
        <color theme="1"/>
        <sz val="8.0"/>
      </rPr>
      <t>NULL</t>
    </r>
    <r>
      <rPr>
        <rFont val="Calibri"/>
        <color theme="1"/>
        <sz val="8.0"/>
      </rPr>
      <t xml:space="preserve"> (support lines can be from same or different claim)</t>
    </r>
  </si>
  <si>
    <t>Optional, indicates whether or not policy has age criteria. If populated with a valid keyword (correlates to record with same keyword defined in CB1_AGE_DESIGNATION Category), when age conditions are met in addition to any additional deny criteria, the line denies. If not met, the line exits. Value can contain multiple Age Designations separated by a semicolon, if multiple designations are applicable each is treated as an "OR".</t>
  </si>
  <si>
    <t>Variable- must correspond to a record with same keyword in CB1_AGE_DESIGNATION Category.</t>
  </si>
  <si>
    <t>RULE_TYPE (DENIED_LINE)</t>
  </si>
  <si>
    <t xml:space="preserve">Rule Type will be present on DENY line- has 15 character limitation. </t>
  </si>
  <si>
    <t>Has 15 character limitation including underscores.</t>
  </si>
  <si>
    <t>RULE_TYPE (SUPPORT_LINE)</t>
  </si>
  <si>
    <t xml:space="preserve">Rule Type will be present on SUPPORT line- has 15 character limitation. </t>
  </si>
  <si>
    <t>RULE_TYPE (ADD_LINE)</t>
  </si>
  <si>
    <t xml:space="preserve">Rule Type will be present on ADD line- has 15 character limitation. </t>
  </si>
  <si>
    <t>Required If ADD_LINE is "Y" for FREQ Policy.</t>
  </si>
  <si>
    <t>EDIT_CLARIFICATION</t>
  </si>
  <si>
    <t>Contains numerical value Justification Id from EDIT_CLARIFICATION Category, can be either BRIEF or COMPREHENSIVE.</t>
  </si>
  <si>
    <t>EC_ID</t>
  </si>
  <si>
    <t>INQUIRY</t>
  </si>
  <si>
    <t>C_SOURCE</t>
  </si>
  <si>
    <t>RESPONSE</t>
  </si>
  <si>
    <t>THEREFORE</t>
  </si>
  <si>
    <t>DATE_CREATED</t>
  </si>
  <si>
    <t>C_TYPE</t>
  </si>
  <si>
    <t>STATUS</t>
  </si>
  <si>
    <t>USER MODIFIED</t>
  </si>
  <si>
    <t>DATE MODIFIED</t>
  </si>
  <si>
    <t>COMMENTS</t>
  </si>
  <si>
    <t>ERROR</t>
  </si>
  <si>
    <t>Why is this procedure denied?</t>
  </si>
  <si>
    <t>State Specific Medicaid Provider Manual</t>
  </si>
  <si>
    <t>This edit is based on procedure limitation outlined by the state Medicaid provider manual/ or bulletin. The deny apply outcome indicates the limited coverage requirement was not satisfied.</t>
  </si>
  <si>
    <t>Therefore, this procedure is not covered.</t>
  </si>
  <si>
    <t>05/24/2019</t>
  </si>
  <si>
    <t>B</t>
  </si>
  <si>
    <t>C</t>
  </si>
  <si>
    <t>Jennifer Behm</t>
  </si>
  <si>
    <t>6/30/2019 3:02:57 PM</t>
  </si>
  <si>
    <t/>
  </si>
  <si>
    <t>Why is this procedure disallowed when submitted without this diagnosis?</t>
  </si>
  <si>
    <t>This edit is based on procedure and diagnosis limitations outlined by the state Medicaid provider manual/ or bulletin. The deny apply outcome indicates the limited coverage requirement was not satisfied.</t>
  </si>
  <si>
    <t>Therefore, this procedure is not covered when submitted without this diagnosis.</t>
  </si>
  <si>
    <t>06/25/2019</t>
  </si>
  <si>
    <t>Khalilah Mays</t>
  </si>
  <si>
    <t>6/30/2019 2:59:10 PM</t>
  </si>
  <si>
    <t>Why is this procedure disallowed when submitted without this modifier?</t>
  </si>
  <si>
    <t>This edit is based on procedure and modifier limitations outlined by the state Medicaid provider manual/ or bulletin. The deny apply outcome indicates the limited coverage requirement was not satisfied.</t>
  </si>
  <si>
    <t>Therefore, this procedure is not covered when submitted without this modifier.</t>
  </si>
  <si>
    <t>6/27/2019 1:58:23 PM</t>
  </si>
  <si>
    <t>Why is this procedure disallowed when submitted with this Revenue Code?</t>
  </si>
  <si>
    <t>This edit is based on procedure and revenue code limitations outlined by the state Medicaid provider manual/ or bulletin. The deny apply outcome indicates the limited coverage requirement was not satisfied.</t>
  </si>
  <si>
    <t>Therefore, this procedure is not covered when submitted with this revenue code.</t>
  </si>
  <si>
    <t>6/25/2019 5:40:13 AM</t>
  </si>
  <si>
    <t>Why is this procedure disallowed when submitted without a Place of Service?</t>
  </si>
  <si>
    <t>This edit is based on procedure and place of service limitations outlined by the state Medicaid provider manual/ or bulletin. The deny apply outcome indicates the limited coverage requirement was not satisfied.</t>
  </si>
  <si>
    <t>Therefore, this procedure is not covered when submitted without a valid place of service.</t>
  </si>
  <si>
    <t>6/27/2019 5:42:04 PM</t>
  </si>
  <si>
    <t>Why is this procedure disallowed when submitted with this age?</t>
  </si>
  <si>
    <t>This edit is based on procedure and age limitations outlined by the state Medicaid provider manual/ or bulletin. The deny apply outcome indicates the limited coverage requirement was not satisfied.</t>
  </si>
  <si>
    <t>Therefore, this procedure is not covered when submitted with this age.</t>
  </si>
  <si>
    <t>Natasha Santiago</t>
  </si>
  <si>
    <t>11/22/2019 9:40:09 PM</t>
  </si>
  <si>
    <t>Why is this procedure disallowed when submitted with this diagnosis or this modifier?</t>
  </si>
  <si>
    <t>This edit is based on procedure, diagnosis, and or modifier limitations outlined by the state Medicaid provider manual/ or bulletin. The deny apply outcome indicates the limited coverage requirement was not satisfied.</t>
  </si>
  <si>
    <t>Therefore, this procedure is not covered when submitted without the appropriate diagnosis and modifier.</t>
  </si>
  <si>
    <t>06/28/2019</t>
  </si>
  <si>
    <t>Natasha Huver</t>
  </si>
  <si>
    <t>2/19/2021 10:26:36 AM</t>
  </si>
  <si>
    <t>Why is this procedure code disallowed when submitted with another procedure code?</t>
  </si>
  <si>
    <t>This edit is based on procedure to procedure limitations outlined by the state Medicaid provider manual/ or bulletin. The deny apply outcome indicates the limited coverage requirement was not satisfied.</t>
  </si>
  <si>
    <t>Therefore, this procedure is not covered when submitted with another procedure.</t>
  </si>
  <si>
    <t>6/30/2019 3:01:23 PM</t>
  </si>
  <si>
    <t>Why is this procedure disallowed?</t>
  </si>
  <si>
    <t>This edit is based on procedure limitations outlined by the state Medicaid provider manual/ or bulletin. The deny apply outcome indicates the limited coverage requirement was not satisfied.</t>
  </si>
  <si>
    <t>6/30/2019 3:02:38 PM</t>
  </si>
  <si>
    <t>Why is this procedure disallowed when submitted with this revenue code and or this diagnosis code?</t>
  </si>
  <si>
    <t>This edit is based on procedure, revenue code, and diagnosis code limitations outlined by the state Medicaid provider manual/ or bulletin. The deny apply outcome indicates the limited coverage requirement was not satisfied.</t>
  </si>
  <si>
    <t>Therefore, this procedure is not covered when submitted with revenue code and or diagnosis code.</t>
  </si>
  <si>
    <t>6/30/2019 3:01:04 PM</t>
  </si>
  <si>
    <t>Why is this procedure code disallowed?</t>
  </si>
  <si>
    <t>Therefore, this procedure is not covered when not submitted with another procedure.</t>
  </si>
  <si>
    <t>10/23/2020 1:21:30 PM</t>
  </si>
  <si>
    <t>Why is this procedure disallowed when submitted with this diagnosis?</t>
  </si>
  <si>
    <t>Therefore, this procedure is not covered when submitted with this diagnosis.</t>
  </si>
  <si>
    <t>07/10/2019</t>
  </si>
  <si>
    <t>9/19/2019 3:12:42 PM</t>
  </si>
  <si>
    <t>Why is this procedure disallowed when submitted with this Place of Service?</t>
  </si>
  <si>
    <t>Therefore, this procedure is not covered when submitted with this place of service.</t>
  </si>
  <si>
    <t>7/10/2019</t>
  </si>
  <si>
    <t>9/19/2019 3:12:48 PM</t>
  </si>
  <si>
    <t>Why is this procedure code disallowed when submitted for this quantity?</t>
  </si>
  <si>
    <t>This edit is based on procedure and quantity limitations outlined by the state Medicaid provider manual/or bulletin. The deny apply outcome indicates the limited coverage requirement was not satisfied.</t>
  </si>
  <si>
    <t>Therefore, this procedure is not covered when submitted at this frequency.</t>
  </si>
  <si>
    <t>11/22/2019 9:40:10 PM</t>
  </si>
  <si>
    <t>Why is this procedure disallowed when submitted with this modifier?</t>
  </si>
  <si>
    <t>Therefore, this procedure is not covered when submitted with this modifier.</t>
  </si>
  <si>
    <t>9/19/2019 3:12:47 PM</t>
  </si>
  <si>
    <t>Therefore, this procedure is not covered when submitted with another procedure within the same month.</t>
  </si>
  <si>
    <t>This edit is based on procedure quantity and gender limitations outlined by the state Medicaid provider manual/ or bulletin. The deny apply outcome indicates the limited coverage requirement was not satisfied.</t>
  </si>
  <si>
    <t>08/05/2019</t>
  </si>
  <si>
    <t>Why is this procedure disallowed when submitted with this gender?</t>
  </si>
  <si>
    <t>This edit is based on procedure and gender limitations outlined by the state Medicaid provider manual/ or bulletin. The deny apply outcome indicates the limited coverage requirement was not satisfied.</t>
  </si>
  <si>
    <t>Therefore, this procedure is not covered when submitted with this gender.</t>
  </si>
  <si>
    <t>9/19/2019 3:12:45 PM</t>
  </si>
  <si>
    <t>This edit is based on procedure, diagnosis, and bill type limitations outlined by the state Medicaid provider manual/ or bulletin. The deny apply outcome indicates the limited coverage requirement was not satisfied.</t>
  </si>
  <si>
    <t>Therefore, this procedure is not covered when submitted without appropriate diagnosis and/or bill type.</t>
  </si>
  <si>
    <t>8/16/2019</t>
  </si>
  <si>
    <t>This edit is based on procedure age and diagnosis limitations outlined by the state Medicaid provider manual/ or bulletin. The deny apply outcome indicates the limited coverage requirement was not satisfied.</t>
  </si>
  <si>
    <t>Therefore, this procedure is not covered when submitted with this diagnosis and this patient age.</t>
  </si>
  <si>
    <t>8/20/2019</t>
  </si>
  <si>
    <t>9/19/2019 3:12:44 PM</t>
  </si>
  <si>
    <t>This edit is based on procedure and quantity and modifier limitations outlined by the state Medicaid provider manual/or bulletin. The deny apply outcome indicates the limited coverage requirement was not satisfied.</t>
  </si>
  <si>
    <t>Therefore, this procedure is not covered when submitted with this quantity and/or modifier.</t>
  </si>
  <si>
    <t>09/10/2019</t>
  </si>
  <si>
    <t>11/22/2019 9:40:08 PM</t>
  </si>
  <si>
    <t>Therefore, this procedure is not covered when submitted with another procedure by any provider.</t>
  </si>
  <si>
    <t>9/19/2019 3:12:43 PM</t>
  </si>
  <si>
    <t>Therefore, this procedure is not covered when submitted at this frequency and/or with another procedure by any provider.</t>
  </si>
  <si>
    <t>This edit is based on procedure, diagnosis, and quantity limitations outlined by the state Medicaid provider manual/or bulletin. The deny apply outcome indicates the limited coverage requirement was not satisfied.</t>
  </si>
  <si>
    <t>Therefore, this procedure is not covered when submitted without a correct diagnsosis, without another procedure by any provider, and/or at this quantity.</t>
  </si>
  <si>
    <t>11/22/2019 9:40:11 PM</t>
  </si>
  <si>
    <t>Therefore, this procedure is not covered when submitted without a correct diagnsosis and/or at this quantity.</t>
  </si>
  <si>
    <t>11/22/2019 9:40:12 PM</t>
  </si>
  <si>
    <t>This edit is based on procedure age, diagnosis, and quantity limitations outlined by the state Medicaid provider manual/ or bulletin. The deny apply outcome indicates the limited coverage requirement was not satisfied.</t>
  </si>
  <si>
    <t>Therefore, this procedure is not covered when submitted with this diagnosis, patient age, and quantity.</t>
  </si>
  <si>
    <t>This edit is based on procedure quantity and/or age limitations outlined by the state Medicaid provider manual/or bulletin. The deny apply outcome indicates the limited coverage requirement was not satisfied.</t>
  </si>
  <si>
    <t>Therefore, this procedure is not covered when submitted at this age and/or this frequency.</t>
  </si>
  <si>
    <t>This edit is based on procedure, modifier, and age limitations outlined by the state Medicaid provider manual/ or bulletin. The deny apply outcome indicates the limited coverage requirement was not satisfied.</t>
  </si>
  <si>
    <t>Therefore, this procedure is not covered at this age when submitted with this modifier.</t>
  </si>
  <si>
    <t>9/19/2019 3:12:46 PM</t>
  </si>
  <si>
    <t>This edit is based on procedure, modifier, and quantity limitations outlined by the state Medicaid provider manual/ or bulletin. The deny apply outcome indicates the limited coverage requirement was not satisfied.</t>
  </si>
  <si>
    <t>Therefore, this procedure is not covered when submitted with this modifier at this frequency.</t>
  </si>
  <si>
    <t>9/10/2019</t>
  </si>
  <si>
    <t>This edit is based on procedure, age, quantity and modifier limitations outlined by the state Medicaid provider manual/or bulletin. The deny apply outcome indicates the limited coverage requirement was not satisfied.</t>
  </si>
  <si>
    <t>Therefore, this procedure is not covered at this age when submitted with this modifier and quantity.</t>
  </si>
  <si>
    <t>Therefore, this procedure is not covered when submitted with another procedure that does not contain appropriate modifiers.</t>
  </si>
  <si>
    <t>Therefore, this procedure is not covered when submitted with another procedure and this modifier.</t>
  </si>
  <si>
    <t>This edit is based on procedure, quantity, and modifier limitations outlined by the state Medicaid provider manual/ or bulletin. The deny apply outcome indicates the limited coverage requirement was not satisfied.</t>
  </si>
  <si>
    <t>Therefore, this procedure is not covered when submitted with another procedure and this modifier and/or this quantity.</t>
  </si>
  <si>
    <t>This edit is based on procedure, diagnosis, and frequency limitations outlined by the state Medicaid provider manual/ or bulletin. The deny apply outcome indicates the limited coverage requirement was not satisfied.</t>
  </si>
  <si>
    <t>Therefore, this procedure is not covered when submitted without appropriate diagnosis and/or at this frequency.</t>
  </si>
  <si>
    <t>09/23/2019</t>
  </si>
  <si>
    <t>10/1/2019 4:49:09 PM</t>
  </si>
  <si>
    <t>Therefore, this procedure is not covered with this diagnosis and/or modifier.</t>
  </si>
  <si>
    <t>10/1/2019 4:49:11 PM</t>
  </si>
  <si>
    <t>Therefore, this procedure is not covered when submitted with this diagnosis at this frequency.</t>
  </si>
  <si>
    <t>10/1/2019 4:49:10 PM</t>
  </si>
  <si>
    <t>This edit is based on procedure, age, diagnosis, and modifier limitations outlined by the state Medicaid provider manual/ or bulletin. The deny apply outcome indicates the limited coverage requirement was not satisfied.</t>
  </si>
  <si>
    <t>Therefore, this procedure is not covered when submitted with this patient age, without appropriate diagnosis and/or at this modifier.</t>
  </si>
  <si>
    <t>Therefore, this procedure is not covered when submitted with another procedure, and/or incorrect modifier, and/or exceeding quantity limitations</t>
  </si>
  <si>
    <t>This edit is based on procedure, diagnosis, modifier, and frequency limitations outlined by the state Medicaid provider manual/ or bulletin. The deny apply outcome indicates the limited coverage requirement was not satisfied.</t>
  </si>
  <si>
    <t>Therefore, this procedure is not covered when submitted without appropriate diagnosis, modifier, and/or at this frequency.</t>
  </si>
  <si>
    <t>9/23/2019</t>
  </si>
  <si>
    <t>This edit is based on procedure, diagnosis, and POS limitations outlined by the state Medicaid provider manual/ or bulletin. The deny apply outcome indicates the limited coverage requirement was not satisfied.</t>
  </si>
  <si>
    <t>Therefore, this procedure is not covered when submitted without appropriate diagnosis and/or POS.</t>
  </si>
  <si>
    <t>10/24/2019</t>
  </si>
  <si>
    <t>10/25/2019 4:28:47 PM</t>
  </si>
  <si>
    <t>This edit is based on procedure to procedure, modifier, and frequency limitations outlined by the state Medicaid provider manual/ or bulletin. The deny apply outcome indicates the limited coverage requirement was not satisfied.</t>
  </si>
  <si>
    <t>Therefore, this procedure is not covered when submitted with incorrect modifier(s), submitted with an incorrect procedure, and/or at this frequency.</t>
  </si>
  <si>
    <t>10/25/2019 4:28:48 PM</t>
  </si>
  <si>
    <t>This edit is based on modifier, and frequency limitations outlined by the state Medicaid provider manual/ or bulletin. The deny apply outcome indicates the limited coverage requirement was not satisfied.</t>
  </si>
  <si>
    <t>Therefore, this procedure is not covered when submitted with incorrect modifier(s) and/or at this frequency.</t>
  </si>
  <si>
    <t>This edit is based on procedure, age, diagnosis, and POS limitations outlined by the state Medicaid provider manual/ or bulletin. The deny apply outcome indicates the limited coverage requirement was not satisfied.</t>
  </si>
  <si>
    <t>Therefore, this procedure is not covered when submitted without appropriate diagnosis, POS, and/or age.</t>
  </si>
  <si>
    <t>10/28/2019</t>
  </si>
  <si>
    <t>11/15/2019 8:34:06 AM</t>
  </si>
  <si>
    <t>This edit is based on procedure to procedure and diagnosis limitations for facility claim types outlined by the state Medicaid provider manual/ or bulletin. The deny apply outcome indicates the limited coverage requirement was not satisfied.</t>
  </si>
  <si>
    <t>Therefore, this procedure is not covered when not submitted with another procedure that has this diagnosis on a facility claim.</t>
  </si>
  <si>
    <t>11/04/2019</t>
  </si>
  <si>
    <t>11/15/2019 8:34:12 AM</t>
  </si>
  <si>
    <t>This edit is based on procedure place of service and/or age limitations outlined by the state Medicaid provider manual/or bulletin. The deny apply outcome indicates the limited coverage requirement was not satisfied.</t>
  </si>
  <si>
    <t>Therefore, this procedure is not covered when not submitted with this place of service and/or at this age.</t>
  </si>
  <si>
    <t>11/6/2019</t>
  </si>
  <si>
    <t>This edit is based on procedure place of service and/or frequency limitations outlined by the state Medicaid provider manual/or bulletin. The deny apply outcome indicates the limited coverage requirement was not satisfied.</t>
  </si>
  <si>
    <t>Therefore, this procedure is not covered when not submitted with this place of service and/or at this frequency.</t>
  </si>
  <si>
    <t>This edit is based on procedure place of service and/or modifier limitations outlined by the state Medicaid provider manual/or bulletin. The deny apply outcome indicates the limited coverage requirement was not satisfied.</t>
  </si>
  <si>
    <t>Therefore, this procedure is not covered when not submitted with this place of service and/or with this modifier.</t>
  </si>
  <si>
    <t>11/7/2019</t>
  </si>
  <si>
    <t>This edit is based on procedure place of service, diagnosis, and/or frequency limitations outlined by the state Medicaid provider manual/or bulletin. The deny apply outcome indicates the limited coverage requirement was not satisfied.</t>
  </si>
  <si>
    <t>Therefore, this procedure is not covered when not submitted with this place of service, diagnosis, and/or at this frequency.</t>
  </si>
  <si>
    <t>11/8/2019</t>
  </si>
  <si>
    <t>This edit is based on procedure to procedure, diagnosis, age, and/or place of service limitations outlined by the state Medicaid provider manual/ or bulletin. The deny apply outcome indicates the limited coverage requirement was not satisfied.</t>
  </si>
  <si>
    <t>Therefore, this procedure is not covered when not submitted with another procedure, with this diagnosis, with this place of service, and/or at this age.</t>
  </si>
  <si>
    <t>11/15/2019 8:34:09 AM</t>
  </si>
  <si>
    <t>This edit is based on procedure to procedure and place of service limitations outlined by the state Medicaid provider manual/ or bulletin. The deny apply outcome indicates the limited coverage requirement was not satisfied.</t>
  </si>
  <si>
    <t>Therefore, this procedure is not covered when submitted with another procedure or with this place of service.</t>
  </si>
  <si>
    <t>11/11/2019</t>
  </si>
  <si>
    <t>11/15/2019 8:34:07 AM</t>
  </si>
  <si>
    <t>Therefore, this procedure is not covered when submitted without another procedure or with this place of service.</t>
  </si>
  <si>
    <t>11/15/2019 8:34:11 AM</t>
  </si>
  <si>
    <t>This edit is based on procedure to procedure, procedure to  place of service, diagnosis, and/or frequency limitations outlined by the state Medicaid provider manual/or bulletin. The deny apply outcome indicates the limited coverage requirement was not satisfied.</t>
  </si>
  <si>
    <t>Therefore, this procedure is not covered when not submitted with this procedure, place of service, diagnosis, and/or at this frequency.</t>
  </si>
  <si>
    <t>11/13/2019</t>
  </si>
  <si>
    <t>This edit is based on procedure, place of service, and age limitations outlined by the state Medicaid provider manual/ or bulletin. The deny apply outcome indicates the limited coverage requirement was not satisfied.</t>
  </si>
  <si>
    <t>Therefore, this procedure is not covered when submitted with this place of service, age, or gender.</t>
  </si>
  <si>
    <t>11/19/2019</t>
  </si>
  <si>
    <t>This edit is based on procedure age, quantity, place of service, and  gender limitations outlined by the state Medicaid provider manual/ or bulletin. The deny apply outcome indicates the limited coverage requirement was not satisfied.</t>
  </si>
  <si>
    <t>Therefore, this procedure is not covered when submitted with this age, quantity, gender, or place of service.</t>
  </si>
  <si>
    <t>11/22/2019 9:40:14 PM</t>
  </si>
  <si>
    <t>This edit is based on procedure modifier and bill type limitations for facility claim types outlined by the state Medicaid provider manual/ or bulletin. The deny apply outcome indicates the limited coverage requirement was not satisfied.</t>
  </si>
  <si>
    <t>Therefore, this procedure when submitted with this modifier is not covered when submitted with this bill type.</t>
  </si>
  <si>
    <t>11/21/2019</t>
  </si>
  <si>
    <t>11/22/2019 9:40:13 PM</t>
  </si>
  <si>
    <t>This edit is based on procedure modifier and revenue code limitations outlined by the state Medicaid provider manual/or bulletin. The deny apply outcome indicates the limited coverage requirement was not satisfied.</t>
  </si>
  <si>
    <t>Therefore, this procedure is not covered when submitted with this procedure modifier and revenue code.</t>
  </si>
  <si>
    <t>11/22/2019 9:40:18 PM</t>
  </si>
  <si>
    <t>Therefore, this procedure is not covered when submitted without another procedure and this modifier.</t>
  </si>
  <si>
    <t>11/22/2019 9:40:15 PM</t>
  </si>
  <si>
    <t>This edit is based on procedure, modifier, place of service, and quantity limitations outlined by the state Medicaid provider manual/ or bulletin. The deny apply outcome indicates the limited coverage requirement was not satisfied.</t>
  </si>
  <si>
    <t>Therefore, this procedure is not covered when submitted with this quantity, place of service, and/or modifier.</t>
  </si>
  <si>
    <t>11/22/2019 9:40:17 PM</t>
  </si>
  <si>
    <t>This edit is based on procedure, age, quantity, and modifier limitations outlined by the state Medicaid provider manual/ or bulletin. The deny apply outcome indicates the limited coverage requirement was not satisfied.</t>
  </si>
  <si>
    <t>Therefore, this procedure is not covered when submitted with this patient age, quantity, and/or modifier.</t>
  </si>
  <si>
    <t>This edit is based on procedure diagnosis, age, and gender limitations outlined by the state Medicaid provider manual/ or bulletin. The deny apply outcome indicates the limited coverage requirement was not satisfied.</t>
  </si>
  <si>
    <t>Therefore, this procedure is not covered when submitted with this patient age, diagnosis or gender.</t>
  </si>
  <si>
    <t>11/22/2019 9:40:16 PM</t>
  </si>
  <si>
    <t>This edit is based on procedure diagnosis, age, and quantity limitations outlined by the state Medicaid provider manual/ or bulletin. The deny apply outcome indicates the limited coverage requirement was not satisfied.</t>
  </si>
  <si>
    <t>Therefore, this procedure is not covered when submitted with this patient age, diagnosis or quantity.</t>
  </si>
  <si>
    <t>This edit is based on procedure diagnosis, modifier, and quantity limitations outlined by the state Medicaid provider manual/ or bulletin. The deny apply outcome indicates the limited coverage requirement was not satisfied.</t>
  </si>
  <si>
    <t>Therefore, this procedure is not covered when submitted with this modifier, diagnosis and/or quantity.</t>
  </si>
  <si>
    <t>This edit is based on procedure diagnosis, quantity, and gender limitations outlined by the state Medicaid provider manual/ or bulletin. The deny apply outcome indicates the limited coverage requirement was not satisfied.</t>
  </si>
  <si>
    <t>Therefore, this procedure is not covered when submitted with this patient quantity, diagnosis or gender.</t>
  </si>
  <si>
    <t>This edit is based on procedure to procedure, diagnosis, and place of service limitations outlined by the state Medicaid provider manual/ or bulletin. The deny apply outcome indicates the limited coverage requirement was not satisfied.</t>
  </si>
  <si>
    <t>Therefore, this procedure is not covered when submitted with another procedure, diagnosis, and/or place of service.</t>
  </si>
  <si>
    <t>Therefore, this procedure is not covered when submitted without a procedure or with this place of service.</t>
  </si>
  <si>
    <t>This edit is based on procedure to procedure, modifier, diagnosis, gender, and quantity limitations outlined by the state Medicaid provider manual/ or bulletin. The deny apply outcome indicates the limited coverage requirement was not satisfied.</t>
  </si>
  <si>
    <t>Therefore, this procedure is not covered when submitted without a procedure or with this modifier, diagnosis, gender, and/or quantity.</t>
  </si>
  <si>
    <t>This edit is based on procedure to procedure and quantity limitations outlined by the state Medicaid provider manual/ or bulletin. The deny apply outcome indicates the limited coverage requirement was not satisfied.</t>
  </si>
  <si>
    <t>Therefore, this procedure is not covered when submitted with another procedure or with quantity.</t>
  </si>
  <si>
    <t>This edit is based on procedure to procedure, quantity, gender and age limitations outlined by the state Medicaid provider manual/ or bulletin. The deny apply outcome indicates the limited coverage requirement was not satisfied.</t>
  </si>
  <si>
    <t>Therefore, this procedure is not covered when submitted with another procedure, with quantity, gender or age.</t>
  </si>
  <si>
    <t>This edit is based on procedure, modifier, and quantity limitations outlined by the state Medicaid provider manual/or bulletin. The deny apply outcome indicates the limited coverage requirement was not satisfied.</t>
  </si>
  <si>
    <t>Therefore, this procedure is not covered when submitted with this modifier, quantity, and/or another procedure code.</t>
  </si>
  <si>
    <t>This edit is based on procedure modifier limitations when billed with this revenue code for facility claim types outlined by the state Medicaid provider manual/ or bulletin. The deny apply outcome indicates the limited coverage requirement was not satisfied.</t>
  </si>
  <si>
    <t>Therefore, this procedure, when submitted with this modifier, is not covered with this revenue code.</t>
  </si>
  <si>
    <t>This edit is based on procedure, place of service, and modifier limitations outlined by the state Medicaid provider manual/ or bulletin. The deny apply outcome indicates the limited coverage requirement was not satisfied.</t>
  </si>
  <si>
    <t>Therefore, this procedure is not covered when submitted with another procedure, this modifier, and/or this place of service.</t>
  </si>
  <si>
    <t>This edit is based on procedure to procedure and diagnosis limitations outlined by the state Medicaid provider manual/ or bulletin. The deny apply outcome indicates the limited coverage requirement was not satisfied.</t>
  </si>
  <si>
    <t>Therefore, this procedure is not covered when submitted with another procedure or with this diagnosis code.</t>
  </si>
  <si>
    <t>This edit is based on procedure quantity limitations when billed with this revenue code for facility claim types outlined by the state Medicaid provider manual/ or bulletin. The deny apply outcome indicates the limited coverage requirement was not satisfied.</t>
  </si>
  <si>
    <t>Therefore, this procedure when submitted with this revenue code is not covered at this quantity.</t>
  </si>
  <si>
    <t>11/22/2019</t>
  </si>
  <si>
    <t>This edit is based on procedure bill type limitations  for facility claim types outlined by the state Medicaid provider manual/ or bulletin. The deny apply outcome indicates the limited coverage requirement was not satisfied.</t>
  </si>
  <si>
    <t>Therefore, this procedure when submitted with this bill type is not covered.</t>
  </si>
  <si>
    <t>This edit is based on procedure modifier and revenue code limitations outlined by the state Medicaid provider manual/ or bulletin. The deny apply outcome indicates the limited coverage requirement was not satisfied.</t>
  </si>
  <si>
    <t>Therefore, this procedure is not covered when submitted without appropriate modifiers or revenue code.</t>
  </si>
  <si>
    <t>12/20/2019</t>
  </si>
  <si>
    <t>12/23/2019 7:37:25 PM</t>
  </si>
  <si>
    <t>This edit is based on procedure, age, and frequency limitations outlined by the state Medicaid provider manual/ or bulletin. The deny apply outcome indicates the limited coverage requirement was not satisfied.</t>
  </si>
  <si>
    <t>Therefore, this procedure is not covered at this age with this frequency.</t>
  </si>
  <si>
    <t>12/24/2019</t>
  </si>
  <si>
    <t>12/26/2019 12:35:27 PM</t>
  </si>
  <si>
    <t>This edit is based on procedure and POS limitations outlined by the state Medicaid provider manual/ or bulletin. The deny apply outcome indicates the limited coverage requirement was not satisfied.</t>
  </si>
  <si>
    <t>Therefore, this procedure is not covered when submitted with another procedure with this place of service.</t>
  </si>
  <si>
    <t>This edit is based on provider specialty and procedure code limitations outlined by the state Medicaid provider manual/ or bulletin. The deny apply outcome indicates the limited coverage requirement was not satisfied.</t>
  </si>
  <si>
    <t>Therefore, this procedure is not covered when submitted with this provider specialty.</t>
  </si>
  <si>
    <t>Why is this procedure code disallowed when submitted for this many units?</t>
  </si>
  <si>
    <t>This edit is based on procedure and unit limitations outlined by the state Medicaid provider manual/or bulleting. The deny apply outcome indicates the limited coverage requirement was not satisfied.</t>
  </si>
  <si>
    <t>Therefore, this procedure is not covered when submitted with this many units.</t>
  </si>
  <si>
    <t>01/17/2020</t>
  </si>
  <si>
    <t>1/22/2020 9:54:01 AM</t>
  </si>
  <si>
    <t>Why is this condition disallowed?</t>
  </si>
  <si>
    <t>This edit is based on diagnosis code and place of service requirements  outlined by the state Medicaid provider manual/or bulletin. The deny apply outcome indicates the limited coverage requirement was not satisfied.</t>
  </si>
  <si>
    <t>Therefore this procedure is not covered when submitted with this diagnosis and-or place of service.</t>
  </si>
  <si>
    <t>01/30/2020</t>
  </si>
  <si>
    <t>8/13/2020 8:55:05 AM</t>
  </si>
  <si>
    <t>Therefore this claim line is denied based on bill type requirement.</t>
  </si>
  <si>
    <t>6/22/2020 3:46:49 PM</t>
  </si>
  <si>
    <t>Therefore, this procedure is not covered when  submitted with this place of service and/or with this modifier.</t>
  </si>
  <si>
    <t>06/10/2020</t>
  </si>
  <si>
    <t>6/22/2020 3:46:48 PM</t>
  </si>
  <si>
    <t>This edit is based on procedure, revenue code, bill type, and diagnosis code limitations outlined by the state Medicaid provider manual/ or bulletin. The deny apply outcome indicates the limited coverage requirement was not satisfied.</t>
  </si>
  <si>
    <t>Therefore, this procedure is not covered when submitted with this revenue code, bill type, and or diagnosis code.</t>
  </si>
  <si>
    <t>7/16/2019</t>
  </si>
  <si>
    <t>8/13/2020 8:55:19 AM</t>
  </si>
  <si>
    <t>This edit is based on procedure, revenue code, bill type, and place of service limitations outlined by the state Medicaid provider manual/ or bulletin. The deny apply outcome indicates the limited coverage requirement was not satisfied.</t>
  </si>
  <si>
    <t>Therefore, this procedure is not covered when submitted with this revenue code, bill type, and or place of service.</t>
  </si>
  <si>
    <t>07/16/2019</t>
  </si>
  <si>
    <t>This edit is based on procedure, provider type/provider spec, diagnosis and place of service guideliens outlined by the state Medicaid provider manual/ or bulletin. The deny apply outcome indicates the limited coverage requirement was not satisfied.</t>
  </si>
  <si>
    <t>Therefore, this procedure is not covered when submitted with this provider specialty/provider type, diagnosis code, and place of service</t>
  </si>
  <si>
    <t>10/06/2020</t>
  </si>
  <si>
    <t>10/14/2020 9:57:44 AM</t>
  </si>
  <si>
    <t>Therefore, this procedure is not covered when submitted without an appropriate bill type.</t>
  </si>
  <si>
    <t>10/15/2020</t>
  </si>
  <si>
    <t>Kerianne Bauman</t>
  </si>
  <si>
    <t>10/23/2020 1:21:34 PM</t>
  </si>
  <si>
    <t>This edit is based on procedure diagnosis and provider specialty guideliens outlined by the state Medicaid provider manual/ or bulletin. The deny apply outcome indicates the limited coverage requirement was not satisfied.</t>
  </si>
  <si>
    <t>Therefore, this procedure is not covered when submitted with this provider specialty and diagnosis code</t>
  </si>
  <si>
    <t>11/22/2020</t>
  </si>
  <si>
    <t>11/25/2020 10:36:38 AM</t>
  </si>
  <si>
    <t>Why is this revenue code disallowed?</t>
  </si>
  <si>
    <t>This edit is based on revenue code limitations outlined by the state Medicaid provider manual/ or bulletin. The deny apply outcome indicates the limited coverage requirement was not satisfied.</t>
  </si>
  <si>
    <t>Therefore, this revenue code is not covered when submitted without other appropriate revenue codes.</t>
  </si>
  <si>
    <t>12/27/2020 6:35:34 PM</t>
  </si>
  <si>
    <t>Therefore, this revenue code is not covered when submitted without other appropriate procedure codes.</t>
  </si>
  <si>
    <t>12/27/2020 6:35:54 PM</t>
  </si>
  <si>
    <t>Why is this procedure disallowed when submitted with this Provider Type?</t>
  </si>
  <si>
    <t>This edit is based on procedure and provider type limitations outlined by the state Medicaid provider manual/ or bulletin. The deny apply outcome indicates the limited coverage requirement was not satisfied.</t>
  </si>
  <si>
    <t>Therefore, this procedure is not covered when submitted with this provider type</t>
  </si>
  <si>
    <t>02/01/2021</t>
  </si>
  <si>
    <t>2/11/2021 4:53:19 PM</t>
  </si>
  <si>
    <t>Why is this procedure disallowed when submitted with these modifiers?</t>
  </si>
  <si>
    <t>Therefore, this procedure is not covered when submitted with these modifiers and this age.</t>
  </si>
  <si>
    <t>2/11/2021</t>
  </si>
  <si>
    <t>2/11/2021 4:53:18 PM</t>
  </si>
  <si>
    <t>Why is this procedure disallowed when submitted with this modifier and bill type?</t>
  </si>
  <si>
    <t>This edit is based on procedure and modifier and bill type limitations outlined by the state Medicaid provider manual/ or bulletin. The deny apply outcome indicates the limited coverage requirement was not satisfied.</t>
  </si>
  <si>
    <t>Therefore, this procedure is not covered when submitted with this modifier and bill type.</t>
  </si>
  <si>
    <t>4/22/2021 11:59:02 AM</t>
  </si>
  <si>
    <t>This edit is based on diagnosis and bill type limitations outlined by the state Medicaid provider manual/ or bulletin. The deny apply outcome indicates the limited coverage requirement was not satisfied.</t>
  </si>
  <si>
    <t>4/22/2021 12:00:19 PM</t>
  </si>
  <si>
    <t>This edit is based on procedure, condition code and bill type limitations outlined by the state Medicaid provider manual/ or bulletin. The deny apply outcome indicates the limited coverage requirement was not satisfied.</t>
  </si>
  <si>
    <t>Therefore, this procedure is not covered when submitted with this condition code and bill type.</t>
  </si>
  <si>
    <t>5/17/2021 12:28:16 PM</t>
  </si>
  <si>
    <t>This edit is based on provider type and bill type limitations outlined by the state Medicaid provider manual/ or bulletin. The deny apply outcome indicates the limited coverage requirement was not satisfied.</t>
  </si>
  <si>
    <t>Therefore, this procedure is not covered when submitted with this bill type and provider type.</t>
  </si>
  <si>
    <t>05/17/2021</t>
  </si>
  <si>
    <t>5/17/2021 2:06:21 PM</t>
  </si>
  <si>
    <r>
      <rPr>
        <rFont val="Arial"/>
        <b/>
        <color rgb="FF000000"/>
        <sz val="8.0"/>
      </rPr>
      <t xml:space="preserve">11/22/19 </t>
    </r>
    <r>
      <rPr>
        <rFont val="Arial"/>
        <b/>
        <color rgb="FFFF0000"/>
        <sz val="8.0"/>
      </rPr>
      <t xml:space="preserve">- </t>
    </r>
    <r>
      <rPr>
        <rFont val="Arial"/>
        <b val="0"/>
        <color rgb="FFFF0000"/>
        <sz val="8.0"/>
      </rPr>
      <t xml:space="preserve">USE_ADD_LINE_AS_SUPPORT, </t>
    </r>
    <r>
      <rPr>
        <rFont val="Arial"/>
        <b val="0"/>
        <color rgb="FF000000"/>
        <sz val="8.0"/>
      </rPr>
      <t>and</t>
    </r>
    <r>
      <rPr>
        <rFont val="Arial"/>
        <b val="0"/>
        <color rgb="FFFF0000"/>
        <sz val="8.0"/>
      </rPr>
      <t xml:space="preserve"> USE_ADD_EDIT_AS_SUPPORT </t>
    </r>
    <r>
      <rPr>
        <rFont val="Arial"/>
        <b val="0"/>
        <color rgb="FF000000"/>
        <sz val="8.0"/>
      </rPr>
      <t>set to</t>
    </r>
    <r>
      <rPr>
        <rFont val="Arial"/>
        <b val="0"/>
        <color rgb="FFFF0000"/>
        <sz val="8.0"/>
      </rPr>
      <t xml:space="preserve"> "OFF" </t>
    </r>
    <r>
      <rPr>
        <rFont val="Arial"/>
        <b val="0"/>
        <color rgb="FF000000"/>
        <sz val="8.0"/>
      </rPr>
      <t>for all groups</t>
    </r>
    <r>
      <rPr>
        <rFont val="Arial"/>
        <b val="0"/>
        <color rgb="FFFF0000"/>
        <sz val="8.0"/>
      </rPr>
      <t xml:space="preserve">. </t>
    </r>
  </si>
  <si>
    <t>*Reason - Add line is off by default for all STM policies</t>
  </si>
  <si>
    <t>Parameter</t>
  </si>
  <si>
    <t>Possible Values</t>
  </si>
  <si>
    <t>5.0 Default Value</t>
  </si>
  <si>
    <t>SINGLE_LINE Edit Parameter Setting</t>
  </si>
  <si>
    <t>WITH_SUPPORT, WITHOUT_SUPPORT Parameter Setting</t>
  </si>
  <si>
    <t>FREQ Edit Parameter Setting</t>
  </si>
  <si>
    <t>MULTIPLE_LINE Edit Type Combo group Setting</t>
  </si>
  <si>
    <t>Scope</t>
  </si>
  <si>
    <t>CXT Component</t>
  </si>
  <si>
    <t>Comments / To-do</t>
  </si>
  <si>
    <t>USE_ADD_LINE_AS_SUPPORT</t>
  </si>
  <si>
    <t>ON-SAME , ON-DIFF, ON-BOTH, OFF</t>
  </si>
  <si>
    <t>OFF at Engine Level (See Rules Table for Rule Level)</t>
  </si>
  <si>
    <t>Allows to use as a support line a line that is added by the same rule (if "ON-SAME"), by a different rule (if "ON-DIFF") or by any rule (if "ON-BOTH"). "OFF" indicates that the parameter will not allow the "subsequent" action to occur on a line used in a case.</t>
  </si>
  <si>
    <t>Engine and Rule Level</t>
  </si>
  <si>
    <t>CREngine</t>
  </si>
  <si>
    <t>Available on individual rule level and engine level. If the parameter is set on a rule, it is used. If it is not set ( is NULL in DB ) then we take the Global setting of the config parameter. Default value is OFF per Dev Review.  NOTE: This parameter governs how the lines in cases by the "current" rule will behave in subsequent processing of lines.  Example: Both Rule 1 and Rule 2 can ADD a line. If Rule 2 wants to use the ADD line as support from Rule 1, then Rule 1 parameter (or Engine level setting if Rule 1 is null) for the "USE_ADD_LINE_AS_SUPPORT"  parameter would need to be set to ON-DIFF or ON-BOTH.</t>
  </si>
  <si>
    <t>USE_EDIT_LINE_AS_SUPPORT</t>
  </si>
  <si>
    <t>Allows to use as a support line a line that is denied (deleted) by the same rule (if "ON-SAME"), by a different rule (if "ON-DIFF") or by any rule (if "ON-BOTH").  "OFF" indicates that the parameter will not allow the "subsequent" action to occur on a line used in a case.</t>
  </si>
  <si>
    <t>Available on individual rule level and engine level. If the parameter is set on a rule, it is used. If it is not set ( is NULL in DB ) then we take the Global setting of the config parameter. Default value is OFF per Dev Review. NOTE: This parameter governs how the lines in cases by the "current" rule will behave in subsequent processing of lines.  Example: Both Rule 1 and Rule 2 can DENY (EDIT) a line. If Rule 2 wants to use the DENY line as support from Rule 1, then Rule 1 parameter (or Engine level setting if Rule 1 is null) for the "USE_EDIT_LINE_AS_SUPPORT"  parameter would need to be set to ON-DIFF or ON-BOTH.</t>
  </si>
  <si>
    <t>EDIT_SUPPORT_LINE</t>
  </si>
  <si>
    <t>ON-BOTH at Engine Level</t>
  </si>
  <si>
    <t>Allows denial of the lines used as support by the same rule (if "ON-SAME"), by a different rule (if "ON-DIFF") or by any rule (if "ON-BOTH").  "OFF" indicates that the parameter will not allow the "subsequent" action to occur on a line used in a case.
NOTE: support line must come from current claim in order to be considered again for editing if history processing mode set to CURRENT_TO_HISTORY.</t>
  </si>
  <si>
    <t>ON_BOTH</t>
  </si>
  <si>
    <t>Engine Level</t>
  </si>
  <si>
    <t xml:space="preserve">This parameter only exists at the global/engine level.  It does not exist at the rule level.  
In regards to the expected behavior of the engine, and due to the nature that the rules evaluate lines, the engine cannot prevent the denial of SUPPORT lines in subsequently firing rules.  On the other hand, and by design, the engine will not deny a support line in the same rule. (This is done to prevent what is commonly called “looping”—within one rule, we would not want to DENY Line 1 and using Line 2 as SUPPORT in Case 1 and then DENY Line 2 using Line 1 as SUPPORT in Case 2).
Even though this global parameter still exists in the software , it should not be changed from the indicated DEFAULT value as, regardless of setting, our engine will respond as indicated above.
</t>
  </si>
  <si>
    <t>HISTORY_PROCESSING_MODE</t>
  </si>
  <si>
    <t>CURRENT_AND_HISTORY or CURRENT_TO_HISTORY</t>
  </si>
  <si>
    <t>CURRENT_AND_HISTORY</t>
  </si>
  <si>
    <t>Defines how the history (passed by customer or pulled from ODS) processing is handled.
CURRENT_AND_HISTORY – first, process current claim against history and then history claims against current
CURRENT_TO_HISTORY – process current claim against history, do not process history</t>
  </si>
  <si>
    <t>NOTE: Historical claims can always be used for SUPPORT regardless of configuration setting. This parameter controls whether the engine will take "active" line actions on history claims.</t>
  </si>
  <si>
    <t>HISTORY_CASE_CERTAINTY</t>
  </si>
  <si>
    <t>APPLY, REVIEW, OFF</t>
  </si>
  <si>
    <t>REVIEW</t>
  </si>
  <si>
    <t>Set case CERTAINTY property value with this parameter value if case has at least one deny line that is a history line. History line is identified if history_flag property is set to 'Y'. Value of OFF should turn off CERTAINTY property assignment.</t>
  </si>
  <si>
    <t>Setting value to OFF will not result in CERTAINTY being null, but rather the value determined in case creation will remain.</t>
  </si>
  <si>
    <t>Policy: "no history to history denials"</t>
  </si>
  <si>
    <t>Cases without current claim lines are not allowed. Current claim line is identified as the one where history_flag field value is N or null. This policy can not be disabled.</t>
  </si>
  <si>
    <t xml:space="preserve">This is a history processing requirement and is implemented inside the rule engine.
</t>
  </si>
  <si>
    <t>HISTORY_BREAK_FIELDS</t>
  </si>
  <si>
    <t>List of valid field names</t>
  </si>
  <si>
    <t>member_id provider_id</t>
  </si>
  <si>
    <t>When loading and processing TSG scenarios, the history pool needs to be reset on the change of value of this combination of fields.</t>
  </si>
  <si>
    <t>Rule Engine (Tcl) icTSGProcessor.tcl and RuleTester.tcl</t>
  </si>
  <si>
    <t xml:space="preserve"> Used only during TSG unit testing ! HISTORY_BREAK_FIELDS is a parameter only used for TSGProcessor component of Rules Generator built-in unit test harness.
They use this to separate history set of flat lines into individual claims</t>
  </si>
  <si>
    <t>EXCLUDE_ODS_REVERSED_LINES</t>
  </si>
  <si>
    <t>Y or N</t>
  </si>
  <si>
    <t>Exclude lines with reversed_flag=Y from Master ODS History pull. Effectively this flag set to Y will add a condition claim_line.reversed_flag != Y to the ODS History SQL where clause.</t>
  </si>
  <si>
    <t>Rulr Engine (Tcl)</t>
  </si>
  <si>
    <t>MAX_HISTORY_DEPTH</t>
  </si>
  <si>
    <t>Positive integer number</t>
  </si>
  <si>
    <t>5,000</t>
  </si>
  <si>
    <t>Defines maximum number of history lines allowed for processing.</t>
  </si>
  <si>
    <t>CREngine will raise an error and error handling mechanizms will be employed to handle such error.</t>
  </si>
  <si>
    <t>MAX_LINES</t>
  </si>
  <si>
    <t>5,500</t>
  </si>
  <si>
    <t>Defines maximum number of all lines (current+history) allowed to enter transaction and during rules processing.</t>
  </si>
  <si>
    <t>Initialization, All Rules Processing</t>
  </si>
  <si>
    <t>EXPAND_QUANTITY</t>
  </si>
  <si>
    <t>CURRENT_AND_ HISTORY, CURRENT_ONLY,  or OFF</t>
  </si>
  <si>
    <t>Whetherr quantity expansion logic should be invoked or not and scope of (current, history lines or both).</t>
  </si>
  <si>
    <t>Quantity Expansion</t>
  </si>
  <si>
    <t>Rule Engine (Tcl)</t>
  </si>
  <si>
    <t>default value changed per TPPCXT-4826 (Joy)</t>
  </si>
  <si>
    <t>EXPAND_DIFF_DOS</t>
  </si>
  <si>
    <t>Y/N</t>
  </si>
  <si>
    <t>Should lines with different from and through dates of service be expanded.</t>
  </si>
  <si>
    <t>EXPAND_FACILITY_SWITCH</t>
  </si>
  <si>
    <t>ALL, NONE, SOME</t>
  </si>
  <si>
    <t>SOME</t>
  </si>
  <si>
    <t>Should facility claim lines (hospital_flag=Y) be subject for expansion.</t>
  </si>
  <si>
    <t>NONE</t>
  </si>
  <si>
    <t>MAX_LINE_QTY</t>
  </si>
  <si>
    <t>50</t>
  </si>
  <si>
    <t>Lines with a quantity greater than this should not be expanded (considered a typo on the claim line).</t>
  </si>
  <si>
    <t>QUANTITY_EXPANSION_LOG</t>
  </si>
  <si>
    <t>ON, OFF</t>
  </si>
  <si>
    <t>When set to ON, logging of the "in flight" expansion will occur. Introduced to assist with QA testting. Not recommended to be turned on in a Production environment. Internal-use only suggested.</t>
  </si>
  <si>
    <t>Rule Engine</t>
  </si>
  <si>
    <t>Not recommended to be turned on in a Production environment. Internal-use only suggested.</t>
  </si>
  <si>
    <t>TIMEOUT_INTERVAL</t>
  </si>
  <si>
    <t>Positive, Floating point, number of seconds, 0 means "no timeout"</t>
  </si>
  <si>
    <t>20</t>
  </si>
  <si>
    <t>Defines the timeout value for the processing of a single transaction (claim) against all the rules.</t>
  </si>
  <si>
    <t>Default value of 20 per Development Review.</t>
  </si>
  <si>
    <t>DEBUG</t>
  </si>
  <si>
    <t>Writes debug messages into the engine log file. 
NOTE: Works only with the "debug" version of the software</t>
  </si>
  <si>
    <t>LOG_METRICS</t>
  </si>
  <si>
    <t>Writes into engine log the break-down of the overall transaction processing time and other related metrics.</t>
  </si>
  <si>
    <t>MASTER_EXCLUSION_CATEGORY</t>
  </si>
  <si>
    <t>Dictionary Category name</t>
  </si>
  <si>
    <t>ALL_EXCLUSIONS</t>
  </si>
  <si>
    <t>Name of the category to define a references to rule/field  exclusions. This two-key category must have first key as a rule acronym, second key as a field_name (as per IC Data Mapping Worksheet TCOP REG tab) and a single lookup value of a referenced category name with all exclusion values for this rule/field combination.</t>
  </si>
  <si>
    <t>Implemented in CXT 4.1a release only as of 1/31/2008</t>
  </si>
  <si>
    <t>COMPARE_EXCLUSIONS_CATEGORY</t>
  </si>
  <si>
    <t>COMPARE_EXCLUSIONS</t>
  </si>
  <si>
    <t>Implemented for 5.0</t>
  </si>
  <si>
    <t>AUDIT_GROUPS_CATEGORY</t>
  </si>
  <si>
    <t>AUDIT_GROUPS</t>
  </si>
  <si>
    <t>Name of the category to define the "Audit As  A Group" criteria. This category will have first key as a keyword of ANY_MOD,  and second key as a line procedure modifier value.  The lookup contains a number (to two decimals) to establish the grouping hierarchy.</t>
  </si>
  <si>
    <t>VALIDATE_EXCL_RULE_NAME</t>
  </si>
  <si>
    <t>If Y Rule Engine will validate correct rules acronym in key column 2 of the dictionary category referenced by MASTER_EXCLUSION_CATEGORY/COMPARE_EXCLUSIONS_CATEGORY configuration parameter. Rule name validation perfromed agains all rules names availabe in loaded rule DLL file(s).</t>
  </si>
  <si>
    <t>Default value of "N" per Development Review. Added reference to 5.0-- COMPARE_EXCLUSIONS_CATEGORY</t>
  </si>
  <si>
    <t>RULE_JUSTIFICATION_CATEGORY</t>
  </si>
  <si>
    <t>RULE_MULT_JUSTIF</t>
  </si>
  <si>
    <t>Name of the dictionary category that contains the table of brief and comprehensive edit clarifications (EC) per each rule acronym. The rule engine will set these ECs on each case (and leave them empty for the rules missing from this category).</t>
  </si>
  <si>
    <t>RULES_DLL_LIST</t>
  </si>
  <si>
    <t>Windows file full path name</t>
  </si>
  <si>
    <t>none</t>
  </si>
  <si>
    <t>Required. Defines llocation(s) of the rules DLLs .</t>
  </si>
  <si>
    <t>CLAIMS_DLL</t>
  </si>
  <si>
    <t>Required. Defines llocation of the claims DLL.</t>
  </si>
  <si>
    <t>LINE_GROUP_FIELD</t>
  </si>
  <si>
    <t>valid claim line field name</t>
  </si>
  <si>
    <t>ic_claim_version_id</t>
  </si>
  <si>
    <t>Name of the claim line field that engine uses to group together the lines that belong to the same claim version.</t>
  </si>
  <si>
    <t>mapping</t>
  </si>
  <si>
    <t>DO NOT CHANGE.</t>
  </si>
  <si>
    <t>CURRENT_LINE_SORT_ORDER</t>
  </si>
  <si>
    <t>comma separated list of fields with sorting predicates "ascending" or "descending".</t>
  </si>
  <si>
    <t>(see Sort Order worksheet)</t>
  </si>
  <si>
    <t>Order of evaluation of the lines on the current claim</t>
  </si>
  <si>
    <t>For additional information on sorting-- please see "Sort Order" tab and click on "Additional Information" link.</t>
  </si>
  <si>
    <t>HIST_LINE_SORT_ORDER</t>
  </si>
  <si>
    <t>?</t>
  </si>
  <si>
    <t>Order of evaluation of the lines on the support claim</t>
  </si>
  <si>
    <t>PROC_MOD_COUNT</t>
  </si>
  <si>
    <t>(see Comments)</t>
  </si>
  <si>
    <t>For rules that add modifers, this restricts the potential fields where the new mod can be added. See spec "add_modifier specs_v4_clients.doc"</t>
  </si>
  <si>
    <t>if value not specified then count equal to count of proc_mod_N fields, where N - integer</t>
  </si>
  <si>
    <t>editingType</t>
  </si>
  <si>
    <t>PREVIEW, FINAL_FILTER</t>
  </si>
  <si>
    <t>default behavior is FINAL_FILTER</t>
  </si>
  <si>
    <t>Used in calculating SavedAmount on CaseLine.  Assumes that when "FINAL_FILTER" that claim lines will have non-null ClaimLine.PaidAmount</t>
  </si>
  <si>
    <t>For additional information on Savings Calculations see: http://mhssp.mckesson.com/Projects/cxt50/tsteam/Developer%20Technical%20Docs/Rule%20Engine/Calculation%20of%20SavedAmount%20on%20CaseLine.docx.  If nothing is present in configuration file, then FINAL_FILTER logic is followed. ParFactor and NonParFactor (see below) ARE NOT considered in SavedAmount calculation when FINAL_FILTER logic is used.</t>
  </si>
  <si>
    <t>ParFactor</t>
  </si>
  <si>
    <t>Positive number, decimal permitted (e.g. 1.0)</t>
  </si>
  <si>
    <t>default behavior is 0</t>
  </si>
  <si>
    <t>Multiplier used in the "GetPaidAmount" logic when the editingType is "PREVIEW".  If the ClaimLine.ProviderParFlag is Y, then this value is used with the ClaimLine.BilledAmount to determine the "estimated" PaidAmount.</t>
  </si>
  <si>
    <t>See comment about 'editingType'- this is parameter is not referenced when FINAL_FILTER logic is used.  Additional detail about calculating the SavedAmount can be found at: http://mhssp.mckesson.com/Projects/cxt50/tsteam/Developer%20Technical%20Docs/Rule%20Engine/Calculation%20of%20SavedAmount%20on%20CaseLine.docx</t>
  </si>
  <si>
    <t>NonParFactor</t>
  </si>
  <si>
    <t>Multiplier used in the "GetPaidAmount" logic when the editingType is "PREVIEW".  If the ClaimLine.ProviderParFlag is N, then this value is used with the ClaimLine.BilledAmount to determine the "estimated" PaidAmount.</t>
  </si>
  <si>
    <t>keyword_definition_category</t>
  </si>
  <si>
    <t>Empty or Dictionary Category name</t>
  </si>
  <si>
    <t>default value for the key upon installation is empty but the default dictionary category name when using the functionality can be set to KEYWORD_DEFINITION</t>
  </si>
  <si>
    <t>If multiple data elements need to meet the same condition, the list of data elements will need to be added to a new category called “KEYWORD_DEFINITION”.  The keywords can be referenced from all categories that use field names in their defined structure/syntax including ALL_EXCLUSIONS and COMPARE_EXCLUSIONS.</t>
  </si>
  <si>
    <t>KEYWORD_DEFINITION</t>
  </si>
  <si>
    <t>Implemented for 5.2</t>
  </si>
  <si>
    <t>check_continue_only_category</t>
  </si>
  <si>
    <t>default value for the key upon installation is empty but the default dictionary category name when using the functionality can be set to CHECK_CONTINUE_ONLY</t>
  </si>
  <si>
    <t xml:space="preserve">Continue is a method to increase the number of fields included in evaluating a claim against the dictionary category record's entry. The categories using the CONTINUE functionality can undergo syntax checking during Rule Engine startup. To achieve this, a new dictionary category CHECK_CONTINUE_ONLY is created that will contain a list of all  categories utilizing the Continue indicator without operators. </t>
  </si>
  <si>
    <t>CHECK_CONTINUE_ONLY</t>
  </si>
  <si>
    <t>check_syntax_category</t>
  </si>
  <si>
    <t>default value for the key upon installation is empty but the default dictionary category name when using the functionality can be set to CHECK_SYNTAX</t>
  </si>
  <si>
    <t xml:space="preserve">All_Exclusions-like operator functionality will now be available to all rules.  Non-AE Categories will have to adhere to the All_Exclusions data structure , support multiple data elements, support operators, and support syntax checking.
These non-AE categories will have to undergo similar AE syntax checking during rule engine startup.  To achieve syntax checking, a new dictionary category, CHECK_SYNTAX, will be created that will contain a list of all categories that are utilizing the operator functionality.   During startup, the rule engine will validate syntax of all categories found in the CHECK_SYNTAX category.  </t>
  </si>
  <si>
    <t>CHECK_SYNTAX</t>
  </si>
  <si>
    <t>PMM Version</t>
  </si>
  <si>
    <t>Release/Upgrade Date</t>
  </si>
  <si>
    <t>April 2022 Rlease</t>
  </si>
  <si>
    <t>June 2025</t>
  </si>
  <si>
    <t>Flexible Provider Analysis Keyword Variation and Descriptions</t>
  </si>
  <si>
    <t>Keyword Variation</t>
  </si>
  <si>
    <t>Field Description</t>
  </si>
  <si>
    <t>Data Map Field Name</t>
  </si>
  <si>
    <t>ProviderId</t>
  </si>
  <si>
    <t>Line_ProviderId</t>
  </si>
  <si>
    <t>PROV_NPI</t>
  </si>
  <si>
    <t>ProviderNpi</t>
  </si>
  <si>
    <t>Line_ProviderNpi</t>
  </si>
  <si>
    <t>ProviderFtin</t>
  </si>
  <si>
    <t>Line_ ProviderFtin</t>
  </si>
  <si>
    <t>BNPI_ANY_SPEC</t>
  </si>
  <si>
    <r>
      <rPr>
        <rFont val="Century Gothic"/>
        <color theme="1"/>
        <sz val="8.0"/>
      </rPr>
      <t xml:space="preserve">BillingProviderNpi and </t>
    </r>
    <r>
      <rPr>
        <rFont val="Century Gothic"/>
        <color rgb="FFFF0000"/>
        <sz val="8.0"/>
      </rPr>
      <t>ANY</t>
    </r>
    <r>
      <rPr>
        <rFont val="Century Gothic"/>
        <color theme="1"/>
        <sz val="8.0"/>
      </rPr>
      <t xml:space="preserve"> ProviderSpecialty X*</t>
    </r>
  </si>
  <si>
    <t>Claim_BillingProviderNpi, Line_ProviderSpecialty1,2,3</t>
  </si>
  <si>
    <t>BNPI_ALL_SPEC</t>
  </si>
  <si>
    <r>
      <rPr>
        <rFont val="Century Gothic"/>
        <color theme="1"/>
        <sz val="8.0"/>
      </rPr>
      <t xml:space="preserve">BillingProviderNpi and </t>
    </r>
    <r>
      <rPr>
        <rFont val="Century Gothic"/>
        <color rgb="FFFF0000"/>
        <sz val="8.0"/>
      </rPr>
      <t>ALL</t>
    </r>
    <r>
      <rPr>
        <rFont val="Century Gothic"/>
        <color theme="1"/>
        <sz val="8.0"/>
      </rPr>
      <t xml:space="preserve"> ProviderSpecialty X*</t>
    </r>
  </si>
  <si>
    <t>BNPI_SPEC1</t>
  </si>
  <si>
    <t>BillingProviderNpi, and ProviderSpeciality1</t>
  </si>
  <si>
    <t>Claim_BillingProviderNpi, Line_ProviderSpecialty1</t>
  </si>
  <si>
    <t>BillingProviderNpi</t>
  </si>
  <si>
    <t>Claim_BillingProviderNpi</t>
  </si>
  <si>
    <t>PROV_NET</t>
  </si>
  <si>
    <t>ProviderNetworkCode</t>
  </si>
  <si>
    <t>Line_ProviderNetworkCode</t>
  </si>
  <si>
    <r>
      <rPr>
        <rFont val="Century Gothic"/>
        <color theme="1"/>
        <sz val="8.0"/>
      </rPr>
      <t>ProviderFtin and</t>
    </r>
    <r>
      <rPr>
        <rFont val="Century Gothic"/>
        <color rgb="FFFF0000"/>
        <sz val="8.0"/>
      </rPr>
      <t xml:space="preserve"> ANY</t>
    </r>
    <r>
      <rPr>
        <rFont val="Century Gothic"/>
        <color theme="1"/>
        <sz val="8.0"/>
      </rPr>
      <t xml:space="preserve"> ProviderSpecialty X*</t>
    </r>
  </si>
  <si>
    <t>Line_ ProviderFtin, Line_ProviderSpecialty1,2,3</t>
  </si>
  <si>
    <t>FTIN_ALL_SPEC</t>
  </si>
  <si>
    <r>
      <rPr>
        <rFont val="Century Gothic"/>
        <color theme="1"/>
        <sz val="8.0"/>
      </rPr>
      <t>ProviderFtin and</t>
    </r>
    <r>
      <rPr>
        <rFont val="Century Gothic"/>
        <color rgb="FFFF0000"/>
        <sz val="8.0"/>
      </rPr>
      <t xml:space="preserve"> ALL </t>
    </r>
    <r>
      <rPr>
        <rFont val="Century Gothic"/>
        <color theme="1"/>
        <sz val="8.0"/>
      </rPr>
      <t>ProviderSpecialty X*</t>
    </r>
  </si>
  <si>
    <t>ProviderFtin and ProviderSpecialty1</t>
  </si>
  <si>
    <t>Line_ ProviderFtin, Line_ProviderSpecialty1</t>
  </si>
  <si>
    <t>NET_EQ_SPEC</t>
  </si>
  <si>
    <r>
      <rPr>
        <rFont val="Century Gothic"/>
        <color theme="1"/>
        <sz val="8.0"/>
      </rPr>
      <t xml:space="preserve">ProviderNetworkCode and  </t>
    </r>
    <r>
      <rPr>
        <rFont val="Century Gothic"/>
        <color rgb="FFFF0000"/>
        <sz val="8.0"/>
      </rPr>
      <t>EQUIVALENT</t>
    </r>
    <r>
      <rPr>
        <rFont val="Century Gothic"/>
        <color theme="1"/>
        <sz val="8.0"/>
      </rPr>
      <t xml:space="preserve"> ProviderSpecialty X**</t>
    </r>
  </si>
  <si>
    <t>Line_ProviderNetworkCode, Line_ProviderSpecialty1,2,3</t>
  </si>
  <si>
    <t>CL_USER_DEF1</t>
  </si>
  <si>
    <t>Claim_UserDefinedString1</t>
  </si>
  <si>
    <t>NET_ANY_SPEC</t>
  </si>
  <si>
    <r>
      <rPr>
        <rFont val="Century Gothic"/>
        <color theme="1"/>
        <sz val="8.0"/>
      </rPr>
      <t xml:space="preserve">ProviderNetworkCode and </t>
    </r>
    <r>
      <rPr>
        <rFont val="Century Gothic"/>
        <color rgb="FFFF0000"/>
        <sz val="8.0"/>
      </rPr>
      <t xml:space="preserve"> ANY</t>
    </r>
    <r>
      <rPr>
        <rFont val="Century Gothic"/>
        <color theme="1"/>
        <sz val="8.0"/>
      </rPr>
      <t xml:space="preserve"> ProviderSpecialty X*</t>
    </r>
  </si>
  <si>
    <t>NET_ALL_SPEC</t>
  </si>
  <si>
    <r>
      <rPr>
        <rFont val="Century Gothic"/>
        <color theme="1"/>
        <sz val="8.0"/>
      </rPr>
      <t xml:space="preserve">ProviderNetworkCode and  </t>
    </r>
    <r>
      <rPr>
        <rFont val="Century Gothic"/>
        <color rgb="FFFF0000"/>
        <sz val="8.0"/>
      </rPr>
      <t>ALL</t>
    </r>
    <r>
      <rPr>
        <rFont val="Century Gothic"/>
        <color theme="1"/>
        <sz val="8.0"/>
      </rPr>
      <t xml:space="preserve"> ProviderSpecialty X*</t>
    </r>
  </si>
  <si>
    <t>ProviderId NOT same as Current line ProviderId</t>
  </si>
  <si>
    <t>ProviderSpeciality1</t>
  </si>
  <si>
    <t>Line_ProviderSpecialty1</t>
  </si>
  <si>
    <t>SPEC_ALL</t>
  </si>
  <si>
    <r>
      <rPr>
        <rFont val="Century Gothic"/>
        <color rgb="FFFF0000"/>
        <sz val="8.0"/>
      </rPr>
      <t>ALL</t>
    </r>
    <r>
      <rPr>
        <rFont val="Century Gothic"/>
        <color theme="1"/>
        <sz val="8.0"/>
      </rPr>
      <t xml:space="preserve"> Provider Specialties</t>
    </r>
  </si>
  <si>
    <t>Line_ProviderSpecialty1,2,3</t>
  </si>
  <si>
    <t>SAME_FAC</t>
  </si>
  <si>
    <t>Facility flag same as Current line Facility Flag</t>
  </si>
  <si>
    <t>BPROV_ID_ANY_SPEC</t>
  </si>
  <si>
    <t>Claim_BillingProviderId and ANY Line_ProviderSpecialty X**</t>
  </si>
  <si>
    <t>BPROV_FTIN_ANY_SPEC</t>
  </si>
  <si>
    <t>Claim_BillingProviderFtin and ANY Line_ProviderSpecialty X**</t>
  </si>
  <si>
    <t>Claim_BillingProviderFtin</t>
  </si>
  <si>
    <t>BPROV_ID</t>
  </si>
  <si>
    <t>Claim_BillingProviderId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</si>
</sst>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86">
    <font>
      <sz val="11.0"/>
      <color theme="1"/>
      <name val="Calibri"/>
      <scheme val="minor"/>
    </font>
    <font>
      <b/>
      <sz val="10.0"/>
      <color rgb="FFFFFFFF"/>
      <name val="Calibri"/>
    </font>
    <font>
      <b/>
      <sz val="10.0"/>
      <color theme="0"/>
      <name val="Calibri"/>
    </font>
    <font>
      <sz val="10.0"/>
      <color theme="1"/>
      <name val="Calibri"/>
    </font>
    <font>
      <sz val="10.0"/>
      <color rgb="FF000000"/>
      <name val="Calibri"/>
    </font>
    <font>
      <strike/>
      <sz val="10.0"/>
      <color theme="1"/>
      <name val="Calibri"/>
    </font>
    <font>
      <strike/>
      <sz val="10.0"/>
      <color rgb="FF000000"/>
      <name val="Calibri"/>
    </font>
    <font>
      <sz val="9.0"/>
      <color theme="1"/>
      <name val="Calibri"/>
    </font>
    <font>
      <sz val="14.0"/>
      <color theme="0"/>
      <name val="Calibri"/>
    </font>
    <font>
      <sz val="14.0"/>
      <color theme="1"/>
      <name val="Calibri"/>
    </font>
    <font>
      <sz val="11.0"/>
      <color theme="1"/>
      <name val="Calibri"/>
    </font>
    <font>
      <b/>
      <sz val="11.0"/>
      <color theme="0"/>
      <name val="Calibri"/>
    </font>
    <font>
      <sz val="11.0"/>
      <color theme="0"/>
      <name val="Calibri"/>
    </font>
    <font>
      <sz val="9.0"/>
      <color theme="0"/>
      <name val="Calibri"/>
    </font>
    <font>
      <sz val="9.0"/>
      <color rgb="FFC00000"/>
      <name val="Calibri"/>
    </font>
    <font>
      <sz val="9.0"/>
      <color rgb="FF000000"/>
      <name val="Calibri"/>
    </font>
    <font>
      <sz val="9.0"/>
      <color theme="10"/>
      <name val="Calibri"/>
    </font>
    <font>
      <b/>
      <sz val="9.0"/>
      <color theme="1"/>
      <name val="Calibri"/>
    </font>
    <font>
      <color theme="1"/>
      <name val="Calibri"/>
      <scheme val="minor"/>
    </font>
    <font>
      <u/>
      <sz val="9.0"/>
      <color theme="10"/>
      <name val="Calibri"/>
    </font>
    <font>
      <u/>
      <sz val="9.0"/>
      <color theme="1"/>
      <name val="Calibri"/>
    </font>
    <font>
      <strike/>
      <sz val="9.0"/>
      <color rgb="FFC00000"/>
      <name val="Calibri"/>
    </font>
    <font>
      <strike/>
      <u/>
      <sz val="9.0"/>
      <color rgb="FFC00000"/>
      <name val="Calibri"/>
    </font>
    <font>
      <sz val="11.0"/>
      <color rgb="FF000000"/>
      <name val="Calibri"/>
    </font>
    <font>
      <u/>
      <sz val="9.0"/>
      <color theme="10"/>
      <name val="Calibri"/>
    </font>
    <font>
      <strike/>
      <u/>
      <sz val="9.0"/>
      <color rgb="FFC00000"/>
      <name val="Calibri"/>
    </font>
    <font>
      <u/>
      <sz val="9.0"/>
      <color theme="1"/>
      <name val="Calibri"/>
    </font>
    <font>
      <u/>
      <sz val="9.0"/>
      <color rgb="FFFF0000"/>
      <name val="Calibri"/>
    </font>
    <font>
      <u/>
      <sz val="9.0"/>
      <color theme="10"/>
      <name val="Calibri"/>
    </font>
    <font>
      <strike/>
      <u/>
      <sz val="9.0"/>
      <color rgb="FFC00000"/>
      <name val="Calibri"/>
    </font>
    <font>
      <u/>
      <sz val="9.0"/>
      <color theme="1"/>
      <name val="Calibri"/>
    </font>
    <font>
      <strike/>
      <sz val="9.0"/>
      <color theme="1"/>
      <name val="Calibri"/>
    </font>
    <font>
      <sz val="9.0"/>
      <color rgb="FF444444"/>
      <name val="Calibri"/>
    </font>
    <font>
      <sz val="9.0"/>
      <color rgb="FFFF0000"/>
      <name val="Calibri"/>
    </font>
    <font>
      <sz val="11.0"/>
      <color rgb="FF444444"/>
      <name val="Calibri"/>
    </font>
    <font>
      <sz val="8.0"/>
      <color rgb="FF000000"/>
      <name val="Calibri"/>
    </font>
    <font>
      <sz val="8.0"/>
      <color theme="1"/>
      <name val="Calibri"/>
    </font>
    <font>
      <sz val="8.0"/>
      <color rgb="FF000000"/>
      <name val="Play"/>
    </font>
    <font>
      <strike/>
      <sz val="9.0"/>
      <color rgb="FF000000"/>
      <name val="Calibri"/>
    </font>
    <font>
      <strike/>
      <sz val="10.0"/>
      <color rgb="FF000000"/>
      <name val="Aptos"/>
    </font>
    <font>
      <sz val="10.0"/>
      <color rgb="FF242424"/>
      <name val="Aptos Narrow"/>
    </font>
    <font>
      <sz val="11.0"/>
      <color theme="0"/>
      <name val="Aptos Narrow"/>
    </font>
    <font>
      <sz val="11.0"/>
      <color rgb="FFFFFFFF"/>
      <name val="Calibri"/>
    </font>
    <font>
      <strike/>
      <sz val="9.0"/>
      <color rgb="FFFF0000"/>
      <name val="Calibri"/>
    </font>
    <font>
      <strike/>
      <sz val="11.0"/>
      <color theme="1"/>
      <name val="Calibri"/>
    </font>
    <font>
      <strike/>
      <sz val="9.0"/>
      <color theme="1"/>
      <name val="Arial"/>
    </font>
    <font>
      <sz val="9.0"/>
      <color rgb="FF000000"/>
      <name val="Aptos Narrow"/>
    </font>
    <font>
      <strike/>
      <sz val="11.0"/>
      <color rgb="FF242424"/>
      <name val="Aptos Narrow"/>
    </font>
    <font>
      <strike/>
      <sz val="9.0"/>
      <color rgb="FF000000"/>
      <name val="Arial"/>
    </font>
    <font>
      <sz val="9.0"/>
      <color rgb="FF000000"/>
      <name val="Arial"/>
    </font>
    <font>
      <sz val="11.0"/>
      <color rgb="FF000000"/>
      <name val="Aptos Narrow"/>
    </font>
    <font>
      <sz val="8.0"/>
      <color rgb="FF000000"/>
      <name val="Arial"/>
    </font>
    <font>
      <sz val="10.0"/>
      <color rgb="FF000000"/>
      <name val="Aptos Narrow"/>
    </font>
    <font>
      <sz val="8.0"/>
      <color theme="1"/>
      <name val="Arial"/>
    </font>
    <font>
      <sz val="9.0"/>
      <color theme="1"/>
      <name val="Arial"/>
    </font>
    <font>
      <sz val="11.0"/>
      <color rgb="FF242424"/>
      <name val="Aptos Narrow"/>
    </font>
    <font>
      <sz val="10.0"/>
      <color rgb="FFFFFFFF"/>
      <name val="Calibri"/>
    </font>
    <font>
      <b/>
      <sz val="9.0"/>
      <color rgb="FF000000"/>
      <name val="Calibri"/>
    </font>
    <font>
      <b/>
      <sz val="11.0"/>
      <color rgb="FF000000"/>
      <name val="Calibri"/>
    </font>
    <font>
      <sz val="11.0"/>
      <color rgb="FF444444"/>
      <name val="Aptos Narrow"/>
    </font>
    <font>
      <strike/>
      <sz val="11.0"/>
      <color rgb="FF000000"/>
      <name val="Calibri"/>
    </font>
    <font>
      <sz val="11.0"/>
      <color theme="1"/>
      <name val="Aptos"/>
    </font>
    <font>
      <sz val="11.0"/>
      <color theme="1"/>
      <name val="Aptos Narrow"/>
    </font>
    <font>
      <b/>
      <sz val="10.0"/>
      <color rgb="FF000000"/>
      <name val="Calibri"/>
    </font>
    <font>
      <b/>
      <sz val="11.0"/>
      <color theme="1"/>
      <name val="Calibri"/>
    </font>
    <font>
      <sz val="10.0"/>
      <color theme="1"/>
      <name val="Arial"/>
    </font>
    <font>
      <sz val="10.0"/>
      <color rgb="FFFF0000"/>
      <name val="Calibri"/>
    </font>
    <font>
      <b/>
      <sz val="10.0"/>
      <color theme="1"/>
      <name val="Calibri"/>
    </font>
    <font>
      <b/>
      <sz val="9.0"/>
      <color rgb="FFFF0000"/>
      <name val="Calibri"/>
    </font>
    <font>
      <b/>
      <sz val="14.0"/>
      <color rgb="FF000000"/>
      <name val="Aptos Narrow"/>
    </font>
    <font>
      <b/>
      <sz val="8.0"/>
      <color theme="1"/>
      <name val="Arial"/>
    </font>
    <font>
      <b/>
      <i/>
      <sz val="8.0"/>
      <color theme="1"/>
      <name val="Arial"/>
    </font>
    <font>
      <sz val="11.0"/>
      <color theme="1"/>
      <name val="Garamond"/>
    </font>
    <font/>
    <font>
      <b/>
      <sz val="12.0"/>
      <color rgb="FFFFFFFF"/>
      <name val="Calibri"/>
    </font>
    <font>
      <sz val="12.0"/>
      <color theme="1"/>
      <name val="Calibri"/>
    </font>
    <font>
      <b/>
      <sz val="8.0"/>
      <color theme="1"/>
      <name val="Calibri"/>
    </font>
    <font>
      <b/>
      <sz val="8.0"/>
      <color rgb="FFFF0000"/>
      <name val="Arial"/>
    </font>
    <font>
      <sz val="8.0"/>
      <color rgb="FFFF0000"/>
      <name val="Arial"/>
    </font>
    <font>
      <color rgb="FFFFFFFF"/>
      <name val="Calibri"/>
      <scheme val="minor"/>
    </font>
    <font>
      <b/>
      <i/>
      <sz val="10.0"/>
      <color rgb="FF0F0F59"/>
      <name val="Century Gothic"/>
    </font>
    <font>
      <b/>
      <sz val="8.0"/>
      <color rgb="FFFFFFFF"/>
      <name val="Century Gothic"/>
    </font>
    <font>
      <sz val="11.0"/>
      <color rgb="FFFF0000"/>
      <name val="Calibri"/>
    </font>
    <font>
      <b/>
      <sz val="8.0"/>
      <color theme="1"/>
      <name val="Century Gothic"/>
    </font>
    <font>
      <sz val="8.0"/>
      <color theme="1"/>
      <name val="Century Gothic"/>
    </font>
    <font>
      <sz val="8.0"/>
      <color rgb="FFFF0000"/>
      <name val="Century Gothic"/>
    </font>
  </fonts>
  <fills count="21">
    <fill>
      <patternFill patternType="none"/>
    </fill>
    <fill>
      <patternFill patternType="lightGray"/>
    </fill>
    <fill>
      <patternFill patternType="solid">
        <fgColor rgb="FF3F3F3F"/>
        <bgColor rgb="FF3F3F3F"/>
      </patternFill>
    </fill>
    <fill>
      <patternFill patternType="solid">
        <fgColor rgb="FFD8D8D8"/>
        <bgColor rgb="FFD8D8D8"/>
      </patternFill>
    </fill>
    <fill>
      <patternFill patternType="solid">
        <fgColor rgb="FFF9BBB9"/>
        <bgColor rgb="FFF9BBB9"/>
      </patternFill>
    </fill>
    <fill>
      <patternFill patternType="solid">
        <fgColor theme="1"/>
        <bgColor theme="1"/>
      </patternFill>
    </fill>
    <fill>
      <patternFill patternType="solid">
        <fgColor rgb="FFD3F5F7"/>
        <bgColor rgb="FFD3F5F7"/>
      </patternFill>
    </fill>
    <fill>
      <patternFill patternType="solid">
        <fgColor rgb="FF000000"/>
        <bgColor rgb="FF000000"/>
      </patternFill>
    </fill>
    <fill>
      <patternFill patternType="solid">
        <fgColor rgb="FFFFFFFF"/>
        <bgColor rgb="FFFFFFFF"/>
      </patternFill>
    </fill>
    <fill>
      <patternFill patternType="solid">
        <fgColor rgb="FFFFFF00"/>
        <bgColor rgb="FFFFFF00"/>
      </patternFill>
    </fill>
    <fill>
      <patternFill patternType="solid">
        <fgColor rgb="FFD9D9D9"/>
        <bgColor rgb="FFD9D9D9"/>
      </patternFill>
    </fill>
    <fill>
      <patternFill patternType="solid">
        <fgColor theme="0"/>
        <bgColor theme="0"/>
      </patternFill>
    </fill>
    <fill>
      <patternFill patternType="solid">
        <fgColor rgb="FFE7E6E6"/>
        <bgColor rgb="FFE7E6E6"/>
      </patternFill>
    </fill>
    <fill>
      <patternFill patternType="solid">
        <fgColor rgb="FF00B050"/>
        <bgColor rgb="FF00B050"/>
      </patternFill>
    </fill>
    <fill>
      <patternFill patternType="solid">
        <fgColor rgb="FFFFC000"/>
        <bgColor rgb="FFFFC000"/>
      </patternFill>
    </fill>
    <fill>
      <patternFill patternType="solid">
        <fgColor rgb="FFD1E6F6"/>
        <bgColor rgb="FFD1E6F6"/>
      </patternFill>
    </fill>
    <fill>
      <patternFill patternType="solid">
        <fgColor rgb="FF77CDEE"/>
        <bgColor rgb="FF77CDEE"/>
      </patternFill>
    </fill>
    <fill>
      <patternFill patternType="solid">
        <fgColor rgb="FFA4DEF4"/>
        <bgColor rgb="FFA4DEF4"/>
      </patternFill>
    </fill>
    <fill>
      <patternFill patternType="solid">
        <fgColor rgb="FFADADAD"/>
        <bgColor rgb="FFADADAD"/>
      </patternFill>
    </fill>
    <fill>
      <patternFill patternType="solid">
        <fgColor rgb="FFDEEBF5"/>
        <bgColor rgb="FFDEEBF5"/>
      </patternFill>
    </fill>
    <fill>
      <patternFill patternType="solid">
        <fgColor rgb="FF0F0F59"/>
        <bgColor rgb="FF0F0F59"/>
      </patternFill>
    </fill>
  </fills>
  <borders count="52">
    <border/>
    <border>
      <left/>
      <right/>
      <top/>
      <bottom/>
    </border>
    <border>
      <left style="thin">
        <color rgb="FF000000"/>
      </left>
      <right style="thin">
        <color rgb="FF000000"/>
      </right>
      <top style="thin">
        <color rgb="FF000000"/>
      </top>
      <bottom style="thin">
        <color rgb="FF000000"/>
      </bottom>
    </border>
    <border>
      <left style="thin">
        <color theme="1"/>
      </left>
      <right style="thin">
        <color rgb="FF000000"/>
      </right>
      <top style="thin">
        <color rgb="FF000000"/>
      </top>
      <bottom style="thin">
        <color theme="1"/>
      </bottom>
    </border>
    <border>
      <left style="thin">
        <color rgb="FF000000"/>
      </left>
      <right/>
      <top style="thin">
        <color rgb="FF000000"/>
      </top>
      <bottom style="thin">
        <color rgb="FF000000"/>
      </bottom>
    </border>
    <border>
      <left style="thin">
        <color theme="1"/>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theme="1"/>
      </left>
      <right style="thin">
        <color rgb="FF000000"/>
      </right>
      <top style="thin">
        <color theme="1"/>
      </top>
      <bottom style="thin">
        <color rgb="FF000000"/>
      </bottom>
    </border>
    <border>
      <left style="thin">
        <color theme="1"/>
      </left>
      <top style="thin">
        <color rgb="FF000000"/>
      </top>
      <bottom style="thin">
        <color rgb="FF000000"/>
      </bottom>
    </border>
    <border>
      <left style="thin">
        <color rgb="FF000000"/>
      </left>
      <right style="thin">
        <color rgb="FF000000"/>
      </right>
      <top style="thin">
        <color rgb="FF000000"/>
      </top>
      <bottom style="thin">
        <color theme="1"/>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top style="thin">
        <color rgb="FF000000"/>
      </top>
    </border>
    <border>
      <left style="thin">
        <color rgb="FF000000"/>
      </left>
      <top style="thin">
        <color rgb="FF000000"/>
      </top>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top style="thin">
        <color rgb="FF000000"/>
      </top>
      <bottom style="thin">
        <color rgb="FF000000"/>
      </bottom>
    </border>
    <border>
      <left style="thin">
        <color rgb="FF000000"/>
      </left>
      <right style="thin">
        <color rgb="FF000000"/>
      </right>
      <top/>
      <bottom style="thin">
        <color rgb="FF000000"/>
      </bottom>
    </border>
    <border>
      <top style="thin">
        <color rgb="FF000000"/>
      </top>
    </border>
    <border>
      <left/>
      <right style="thin">
        <color rgb="FF000000"/>
      </right>
      <top style="thin">
        <color rgb="FF000000"/>
      </top>
      <bottom/>
    </border>
    <border>
      <left style="thin">
        <color rgb="FF000000"/>
      </left>
      <right/>
      <top style="thin">
        <color rgb="FF000000"/>
      </top>
      <bottom/>
    </border>
    <border>
      <left style="thin">
        <color rgb="FF000000"/>
      </left>
      <bottom style="thin">
        <color rgb="FF000000"/>
      </bottom>
    </border>
    <border>
      <left/>
      <right/>
      <top style="thin">
        <color rgb="FF000000"/>
      </top>
      <bottom style="thin">
        <color rgb="FF000000"/>
      </bottom>
    </border>
    <border>
      <bottom style="thin">
        <color rgb="FF000000"/>
      </bottom>
    </border>
    <border>
      <left style="thin">
        <color rgb="FF000000"/>
      </left>
    </border>
    <border>
      <left style="thin">
        <color rgb="FF000000"/>
      </left>
      <right/>
      <top/>
      <bottom style="thin">
        <color rgb="FF000000"/>
      </bottom>
    </border>
    <border>
      <left style="medium">
        <color rgb="FF000000"/>
      </left>
      <right style="thin">
        <color rgb="FF000000"/>
      </right>
      <top style="thin">
        <color rgb="FF000000"/>
      </top>
      <bottom style="thin">
        <color rgb="FF000000"/>
      </bottom>
    </border>
    <border>
      <left/>
      <right/>
      <top style="thin">
        <color rgb="FF000000"/>
      </top>
      <bottom/>
    </border>
    <border>
      <left style="medium">
        <color rgb="FF000000"/>
      </left>
      <right style="medium">
        <color rgb="FF000000"/>
      </right>
      <bottom style="medium">
        <color rgb="FF000000"/>
      </bottom>
    </border>
    <border>
      <right style="thin">
        <color theme="1"/>
      </right>
      <top style="thin">
        <color theme="1"/>
      </top>
      <bottom style="thin">
        <color theme="1"/>
      </bottom>
    </border>
    <border>
      <right style="thin">
        <color rgb="FF000000"/>
      </right>
    </border>
    <border>
      <right style="thin">
        <color rgb="FF000000"/>
      </right>
      <bottom style="thin">
        <color rgb="FF000000"/>
      </bottom>
    </border>
    <border>
      <top style="thin">
        <color theme="1"/>
      </top>
      <bottom style="thin">
        <color theme="1"/>
      </bottom>
    </border>
    <border>
      <left style="thin">
        <color rgb="FF000000"/>
      </left>
      <right/>
      <top style="thin">
        <color rgb="FF000000"/>
      </top>
      <bottom style="thin">
        <color theme="1"/>
      </bottom>
    </border>
    <border>
      <left/>
      <right/>
      <top style="thin">
        <color theme="1"/>
      </top>
      <bottom style="thin">
        <color theme="1"/>
      </bottom>
    </border>
    <border>
      <left/>
      <right/>
      <top style="thin">
        <color theme="1"/>
      </top>
      <bottom style="thin">
        <color rgb="FF000000"/>
      </bottom>
    </border>
    <border>
      <left style="thin">
        <color rgb="FF000000"/>
      </left>
      <top style="thin">
        <color rgb="FF000000"/>
      </top>
      <bottom style="thin">
        <color theme="1"/>
      </bottom>
    </border>
    <border>
      <left/>
      <right style="thin">
        <color rgb="FF000000"/>
      </right>
      <top/>
      <bottom style="thin">
        <color rgb="FF000000"/>
      </bottom>
    </border>
    <border>
      <left style="thin">
        <color rgb="FFDFE3E5"/>
      </left>
      <right style="thin">
        <color rgb="FFDFE3E5"/>
      </right>
      <top style="thin">
        <color rgb="FFDFE3E5"/>
      </top>
      <bottom/>
    </border>
    <border>
      <left style="thin">
        <color theme="1"/>
      </left>
      <right style="thin">
        <color rgb="FF000000"/>
      </right>
      <top style="thin">
        <color rgb="FF000000"/>
      </top>
      <bottom style="medium">
        <color theme="1"/>
      </bottom>
    </border>
    <border>
      <left style="thin">
        <color rgb="FFDFE3E5"/>
      </left>
      <right style="thin">
        <color rgb="FFDFE3E5"/>
      </right>
      <top style="thin">
        <color rgb="FFDFE3E5"/>
      </top>
      <bottom style="thin">
        <color rgb="FFDFE3E5"/>
      </bottom>
    </border>
    <border>
      <top style="thick">
        <color rgb="FF005A8C"/>
      </top>
    </border>
    <border>
      <bottom style="thick">
        <color rgb="FF005A8C"/>
      </bottom>
    </border>
    <border>
      <bottom style="medium">
        <color rgb="FF005A8C"/>
      </bottom>
    </border>
    <border>
      <left style="medium">
        <color rgb="FF37474F"/>
      </left>
      <right style="medium">
        <color rgb="FF37474F"/>
      </right>
      <top style="medium">
        <color rgb="FF37474F"/>
      </top>
      <bottom style="medium">
        <color rgb="FF37474F"/>
      </bottom>
    </border>
    <border>
      <left/>
      <right style="medium">
        <color rgb="FF37474F"/>
      </right>
      <top style="medium">
        <color rgb="FF37474F"/>
      </top>
      <bottom style="medium">
        <color rgb="FF37474F"/>
      </bottom>
    </border>
    <border>
      <left style="medium">
        <color rgb="FF37474F"/>
      </left>
      <right style="medium">
        <color rgb="FF37474F"/>
      </right>
      <top/>
      <bottom style="medium">
        <color rgb="FF37474F"/>
      </bottom>
    </border>
    <border>
      <left/>
      <right style="medium">
        <color rgb="FF37474F"/>
      </right>
      <top/>
      <bottom style="medium">
        <color rgb="FF37474F"/>
      </bottom>
    </border>
    <border>
      <left style="medium">
        <color rgb="FF37474F"/>
      </left>
      <right style="medium">
        <color rgb="FF37474F"/>
      </right>
      <bottom style="medium">
        <color rgb="FF37474F"/>
      </bottom>
    </border>
    <border>
      <right style="medium">
        <color rgb="FF37474F"/>
      </right>
      <bottom style="medium">
        <color rgb="FF37474F"/>
      </bottom>
    </border>
  </borders>
  <cellStyleXfs count="1">
    <xf borderId="0" fillId="0" fontId="0" numFmtId="0" applyAlignment="1" applyFont="1"/>
  </cellStyleXfs>
  <cellXfs count="677">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2" numFmtId="0" xfId="0" applyBorder="1" applyFont="1"/>
    <xf borderId="1" fillId="2" fontId="2" numFmtId="0" xfId="0" applyAlignment="1" applyBorder="1" applyFont="1">
      <alignment horizontal="left" shrinkToFit="0" wrapText="1"/>
    </xf>
    <xf borderId="1" fillId="2" fontId="2" numFmtId="0" xfId="0" applyAlignment="1" applyBorder="1" applyFont="1">
      <alignment shrinkToFit="0" wrapText="1"/>
    </xf>
    <xf borderId="1" fillId="2" fontId="2" numFmtId="14" xfId="0" applyBorder="1" applyFont="1" applyNumberFormat="1"/>
    <xf borderId="0" fillId="0" fontId="3" numFmtId="0" xfId="0" applyFont="1"/>
    <xf borderId="2" fillId="3" fontId="3" numFmtId="0" xfId="0" applyAlignment="1" applyBorder="1" applyFill="1" applyFont="1">
      <alignment horizontal="center" vertical="center"/>
    </xf>
    <xf borderId="2" fillId="3" fontId="3" numFmtId="0" xfId="0" applyAlignment="1" applyBorder="1" applyFont="1">
      <alignment horizontal="left" shrinkToFit="0" vertical="center" wrapText="1"/>
    </xf>
    <xf borderId="2" fillId="3" fontId="3" numFmtId="14" xfId="0" applyAlignment="1" applyBorder="1" applyFont="1" applyNumberFormat="1">
      <alignment horizontal="center" vertical="center"/>
    </xf>
    <xf borderId="2" fillId="0" fontId="3" numFmtId="0" xfId="0" applyAlignment="1" applyBorder="1" applyFont="1">
      <alignment horizontal="center" vertical="center"/>
    </xf>
    <xf borderId="2" fillId="0" fontId="3" numFmtId="0" xfId="0" applyAlignment="1" applyBorder="1" applyFont="1">
      <alignment horizontal="left" shrinkToFit="0" vertical="center" wrapText="1"/>
    </xf>
    <xf borderId="2" fillId="0" fontId="3" numFmtId="14" xfId="0" applyAlignment="1" applyBorder="1" applyFont="1" applyNumberFormat="1">
      <alignment horizontal="center" vertical="center"/>
    </xf>
    <xf borderId="3" fillId="3" fontId="3" numFmtId="0" xfId="0" applyAlignment="1" applyBorder="1" applyFont="1">
      <alignment horizontal="center" vertical="center"/>
    </xf>
    <xf borderId="3" fillId="3" fontId="3" numFmtId="0" xfId="0" applyAlignment="1" applyBorder="1" applyFont="1">
      <alignment horizontal="left" shrinkToFit="0" vertical="center" wrapText="1"/>
    </xf>
    <xf borderId="3" fillId="3" fontId="3" numFmtId="14" xfId="0" applyAlignment="1" applyBorder="1" applyFont="1" applyNumberFormat="1">
      <alignment horizontal="center" vertical="center"/>
    </xf>
    <xf borderId="2" fillId="3" fontId="4" numFmtId="0" xfId="0" applyAlignment="1" applyBorder="1" applyFont="1">
      <alignment horizontal="center" vertical="center"/>
    </xf>
    <xf borderId="2" fillId="3" fontId="4" numFmtId="0" xfId="0" applyAlignment="1" applyBorder="1" applyFont="1">
      <alignment horizontal="left" shrinkToFit="0" vertical="center" wrapText="1"/>
    </xf>
    <xf borderId="2" fillId="3" fontId="4" numFmtId="14" xfId="0" applyAlignment="1" applyBorder="1" applyFont="1" applyNumberFormat="1">
      <alignment horizontal="center" vertical="center"/>
    </xf>
    <xf borderId="2" fillId="3" fontId="5" numFmtId="0" xfId="0" applyAlignment="1" applyBorder="1" applyFont="1">
      <alignment horizontal="center" vertical="center"/>
    </xf>
    <xf borderId="2" fillId="3" fontId="5" numFmtId="0" xfId="0" applyAlignment="1" applyBorder="1" applyFont="1">
      <alignment horizontal="left" shrinkToFit="0" vertical="center" wrapText="1"/>
    </xf>
    <xf borderId="2" fillId="3" fontId="5" numFmtId="14" xfId="0" applyAlignment="1" applyBorder="1" applyFont="1" applyNumberFormat="1">
      <alignment horizontal="center" vertical="center"/>
    </xf>
    <xf borderId="2" fillId="0" fontId="5" numFmtId="0" xfId="0" applyAlignment="1" applyBorder="1" applyFont="1">
      <alignment horizontal="center" vertical="center"/>
    </xf>
    <xf borderId="2" fillId="0" fontId="5" numFmtId="0" xfId="0" applyAlignment="1" applyBorder="1" applyFont="1">
      <alignment horizontal="left" shrinkToFit="0" vertical="center" wrapText="1"/>
    </xf>
    <xf borderId="2" fillId="0" fontId="5" numFmtId="14" xfId="0" applyAlignment="1" applyBorder="1" applyFont="1" applyNumberFormat="1">
      <alignment horizontal="center" vertical="center"/>
    </xf>
    <xf borderId="4" fillId="3" fontId="3" numFmtId="0" xfId="0" applyAlignment="1" applyBorder="1" applyFont="1">
      <alignment horizontal="center" vertical="center"/>
    </xf>
    <xf borderId="4" fillId="3" fontId="3" numFmtId="0" xfId="0" applyAlignment="1" applyBorder="1" applyFont="1">
      <alignment horizontal="left" shrinkToFit="0" vertical="center" wrapText="1"/>
    </xf>
    <xf borderId="4" fillId="3" fontId="3" numFmtId="14" xfId="0" applyAlignment="1" applyBorder="1" applyFont="1" applyNumberFormat="1">
      <alignment horizontal="center" vertical="center"/>
    </xf>
    <xf borderId="2" fillId="0" fontId="4" numFmtId="0" xfId="0" applyAlignment="1" applyBorder="1" applyFont="1">
      <alignment horizontal="center" vertical="center"/>
    </xf>
    <xf borderId="2" fillId="0" fontId="4" numFmtId="0" xfId="0" applyAlignment="1" applyBorder="1" applyFont="1">
      <alignment horizontal="left" shrinkToFit="0" vertical="center" wrapText="1"/>
    </xf>
    <xf borderId="2" fillId="0" fontId="4" numFmtId="14" xfId="0" applyAlignment="1" applyBorder="1" applyFont="1" applyNumberFormat="1">
      <alignment horizontal="center" vertical="center"/>
    </xf>
    <xf borderId="5" fillId="0" fontId="5" numFmtId="0" xfId="0" applyAlignment="1" applyBorder="1" applyFont="1">
      <alignment horizontal="center" vertical="center"/>
    </xf>
    <xf borderId="5" fillId="0" fontId="5" numFmtId="0" xfId="0" applyAlignment="1" applyBorder="1" applyFont="1">
      <alignment horizontal="left" shrinkToFit="0" vertical="center" wrapText="1"/>
    </xf>
    <xf borderId="5" fillId="0" fontId="5" numFmtId="14" xfId="0" applyAlignment="1" applyBorder="1" applyFont="1" applyNumberFormat="1">
      <alignment horizontal="center" vertical="center"/>
    </xf>
    <xf borderId="5" fillId="3" fontId="3" numFmtId="0" xfId="0" applyAlignment="1" applyBorder="1" applyFont="1">
      <alignment horizontal="center" vertical="center"/>
    </xf>
    <xf borderId="5" fillId="3" fontId="3" numFmtId="0" xfId="0" applyAlignment="1" applyBorder="1" applyFont="1">
      <alignment horizontal="left" shrinkToFit="0" vertical="center" wrapText="1"/>
    </xf>
    <xf borderId="5" fillId="3" fontId="3" numFmtId="14" xfId="0" applyAlignment="1" applyBorder="1" applyFont="1" applyNumberFormat="1">
      <alignment horizontal="center" vertical="center"/>
    </xf>
    <xf borderId="5" fillId="0" fontId="3" numFmtId="0" xfId="0" applyAlignment="1" applyBorder="1" applyFont="1">
      <alignment horizontal="center" vertical="center"/>
    </xf>
    <xf borderId="5" fillId="0" fontId="3" numFmtId="0" xfId="0" applyAlignment="1" applyBorder="1" applyFont="1">
      <alignment horizontal="left" shrinkToFit="0" vertical="center" wrapText="1"/>
    </xf>
    <xf borderId="5" fillId="0" fontId="3" numFmtId="14" xfId="0" applyAlignment="1" applyBorder="1" applyFont="1" applyNumberFormat="1">
      <alignment horizontal="center" vertical="center"/>
    </xf>
    <xf borderId="3" fillId="0" fontId="3" numFmtId="0" xfId="0" applyAlignment="1" applyBorder="1" applyFont="1">
      <alignment horizontal="center" vertical="center"/>
    </xf>
    <xf borderId="3" fillId="0" fontId="3" numFmtId="0" xfId="0" applyAlignment="1" applyBorder="1" applyFont="1">
      <alignment horizontal="left" shrinkToFit="0" vertical="center" wrapText="1"/>
    </xf>
    <xf borderId="3" fillId="0" fontId="3" numFmtId="14" xfId="0" applyAlignment="1" applyBorder="1" applyFont="1" applyNumberFormat="1">
      <alignment horizontal="center" vertical="center"/>
    </xf>
    <xf borderId="3" fillId="3" fontId="5" numFmtId="0" xfId="0" applyAlignment="1" applyBorder="1" applyFont="1">
      <alignment horizontal="center" vertical="center"/>
    </xf>
    <xf borderId="3" fillId="3" fontId="5" numFmtId="0" xfId="0" applyAlignment="1" applyBorder="1" applyFont="1">
      <alignment horizontal="left" shrinkToFit="0" vertical="center" wrapText="1"/>
    </xf>
    <xf borderId="3" fillId="3" fontId="5" numFmtId="14" xfId="0" applyAlignment="1" applyBorder="1" applyFont="1" applyNumberFormat="1">
      <alignment horizontal="center" vertical="center"/>
    </xf>
    <xf borderId="3" fillId="3" fontId="4" numFmtId="0" xfId="0" applyAlignment="1" applyBorder="1" applyFont="1">
      <alignment horizontal="center" vertical="center"/>
    </xf>
    <xf borderId="3" fillId="3" fontId="4" numFmtId="0" xfId="0" applyAlignment="1" applyBorder="1" applyFont="1">
      <alignment horizontal="left" shrinkToFit="0" vertical="center" wrapText="1"/>
    </xf>
    <xf borderId="3" fillId="3" fontId="4" numFmtId="14" xfId="0" applyAlignment="1" applyBorder="1" applyFont="1" applyNumberFormat="1">
      <alignment horizontal="center" vertical="center"/>
    </xf>
    <xf borderId="5" fillId="3" fontId="5" numFmtId="0" xfId="0" applyAlignment="1" applyBorder="1" applyFont="1">
      <alignment horizontal="center" vertical="center"/>
    </xf>
    <xf borderId="5" fillId="3" fontId="5" numFmtId="0" xfId="0" applyAlignment="1" applyBorder="1" applyFont="1">
      <alignment horizontal="left" shrinkToFit="0" vertical="center" wrapText="1"/>
    </xf>
    <xf borderId="5" fillId="3" fontId="5" numFmtId="14" xfId="0" applyAlignment="1" applyBorder="1" applyFont="1" applyNumberFormat="1">
      <alignment horizontal="center" vertical="center"/>
    </xf>
    <xf borderId="3" fillId="0" fontId="5" numFmtId="0" xfId="0" applyAlignment="1" applyBorder="1" applyFont="1">
      <alignment horizontal="center" vertical="center"/>
    </xf>
    <xf borderId="3" fillId="0" fontId="5" numFmtId="0" xfId="0" applyAlignment="1" applyBorder="1" applyFont="1">
      <alignment horizontal="left" shrinkToFit="0" vertical="center" wrapText="1"/>
    </xf>
    <xf borderId="3" fillId="0" fontId="5" numFmtId="14" xfId="0" applyAlignment="1" applyBorder="1" applyFont="1" applyNumberFormat="1">
      <alignment horizontal="center" vertical="center"/>
    </xf>
    <xf borderId="3" fillId="0" fontId="4" numFmtId="0" xfId="0" applyAlignment="1" applyBorder="1" applyFont="1">
      <alignment horizontal="center" vertical="center"/>
    </xf>
    <xf borderId="3" fillId="0" fontId="4" numFmtId="0" xfId="0" applyAlignment="1" applyBorder="1" applyFont="1">
      <alignment horizontal="left" shrinkToFit="0" vertical="center" wrapText="1"/>
    </xf>
    <xf borderId="3" fillId="0" fontId="4" numFmtId="14" xfId="0" applyAlignment="1" applyBorder="1" applyFont="1" applyNumberFormat="1">
      <alignment horizontal="center" vertical="center"/>
    </xf>
    <xf borderId="5" fillId="3" fontId="4" numFmtId="0" xfId="0" applyAlignment="1" applyBorder="1" applyFont="1">
      <alignment horizontal="center" vertical="center"/>
    </xf>
    <xf borderId="5" fillId="3" fontId="4" numFmtId="0" xfId="0" applyAlignment="1" applyBorder="1" applyFont="1">
      <alignment horizontal="left" shrinkToFit="0" vertical="center" wrapText="1"/>
    </xf>
    <xf borderId="5" fillId="3" fontId="4" numFmtId="14" xfId="0" applyAlignment="1" applyBorder="1" applyFont="1" applyNumberFormat="1">
      <alignment horizontal="center" vertical="center"/>
    </xf>
    <xf borderId="5" fillId="0" fontId="4" numFmtId="0" xfId="0" applyAlignment="1" applyBorder="1" applyFont="1">
      <alignment horizontal="center" vertical="center"/>
    </xf>
    <xf borderId="5" fillId="0" fontId="4" numFmtId="0" xfId="0" applyAlignment="1" applyBorder="1" applyFont="1">
      <alignment horizontal="left" shrinkToFit="0" vertical="center" wrapText="1"/>
    </xf>
    <xf borderId="5" fillId="0" fontId="4" numFmtId="14" xfId="0" applyAlignment="1" applyBorder="1" applyFont="1" applyNumberFormat="1">
      <alignment horizontal="center" vertical="center"/>
    </xf>
    <xf borderId="5" fillId="0" fontId="6" numFmtId="0" xfId="0" applyAlignment="1" applyBorder="1" applyFont="1">
      <alignment horizontal="center" vertical="center"/>
    </xf>
    <xf borderId="5" fillId="0" fontId="6" numFmtId="0" xfId="0" applyAlignment="1" applyBorder="1" applyFont="1">
      <alignment horizontal="left" shrinkToFit="0" vertical="center" wrapText="1"/>
    </xf>
    <xf borderId="5" fillId="0" fontId="6" numFmtId="14" xfId="0" applyAlignment="1" applyBorder="1" applyFont="1" applyNumberFormat="1">
      <alignment horizontal="center" vertical="center"/>
    </xf>
    <xf borderId="5" fillId="3" fontId="6" numFmtId="0" xfId="0" applyAlignment="1" applyBorder="1" applyFont="1">
      <alignment horizontal="center" vertical="center"/>
    </xf>
    <xf borderId="5" fillId="3" fontId="6" numFmtId="0" xfId="0" applyAlignment="1" applyBorder="1" applyFont="1">
      <alignment horizontal="left" shrinkToFit="0" vertical="center" wrapText="1"/>
    </xf>
    <xf borderId="5" fillId="3" fontId="6" numFmtId="14" xfId="0" applyAlignment="1" applyBorder="1" applyFont="1" applyNumberFormat="1">
      <alignment horizontal="center" vertical="center"/>
    </xf>
    <xf borderId="5" fillId="4" fontId="5" numFmtId="0" xfId="0" applyAlignment="1" applyBorder="1" applyFill="1" applyFont="1">
      <alignment horizontal="center" vertical="center"/>
    </xf>
    <xf borderId="5" fillId="4" fontId="5" numFmtId="0" xfId="0" applyAlignment="1" applyBorder="1" applyFont="1">
      <alignment horizontal="left" shrinkToFit="0" vertical="center" wrapText="1"/>
    </xf>
    <xf borderId="5" fillId="4" fontId="5" numFmtId="14" xfId="0" applyAlignment="1" applyBorder="1" applyFont="1" applyNumberFormat="1">
      <alignment horizontal="center" vertical="center"/>
    </xf>
    <xf borderId="5" fillId="4" fontId="3" numFmtId="0" xfId="0" applyAlignment="1" applyBorder="1" applyFont="1">
      <alignment horizontal="center" vertical="center"/>
    </xf>
    <xf borderId="5" fillId="4" fontId="3" numFmtId="0" xfId="0" applyAlignment="1" applyBorder="1" applyFont="1">
      <alignment horizontal="left" shrinkToFit="0" vertical="center" wrapText="1"/>
    </xf>
    <xf borderId="5" fillId="4" fontId="3" numFmtId="14" xfId="0" applyAlignment="1" applyBorder="1" applyFont="1" applyNumberFormat="1">
      <alignment horizontal="center" vertical="center"/>
    </xf>
    <xf borderId="6" fillId="0" fontId="3" numFmtId="0" xfId="0" applyAlignment="1" applyBorder="1" applyFont="1">
      <alignment horizontal="center" vertical="center"/>
    </xf>
    <xf borderId="6" fillId="0" fontId="3" numFmtId="0" xfId="0" applyAlignment="1" applyBorder="1" applyFont="1">
      <alignment horizontal="left" shrinkToFit="0" vertical="center" wrapText="1"/>
    </xf>
    <xf borderId="6" fillId="0" fontId="3" numFmtId="14" xfId="0" applyAlignment="1" applyBorder="1" applyFont="1" applyNumberFormat="1">
      <alignment horizontal="center" vertical="center"/>
    </xf>
    <xf borderId="5" fillId="4" fontId="6" numFmtId="0" xfId="0" applyAlignment="1" applyBorder="1" applyFont="1">
      <alignment horizontal="center" vertical="center"/>
    </xf>
    <xf borderId="5" fillId="4" fontId="6" numFmtId="0" xfId="0" applyAlignment="1" applyBorder="1" applyFont="1">
      <alignment horizontal="left" shrinkToFit="0" vertical="center" wrapText="1"/>
    </xf>
    <xf borderId="5" fillId="4" fontId="6" numFmtId="14" xfId="0" applyAlignment="1" applyBorder="1" applyFont="1" applyNumberFormat="1">
      <alignment horizontal="center" vertical="center"/>
    </xf>
    <xf borderId="5" fillId="0" fontId="3" numFmtId="0" xfId="0" applyAlignment="1" applyBorder="1" applyFont="1">
      <alignment horizontal="center" readingOrder="0" vertical="center"/>
    </xf>
    <xf borderId="5" fillId="0" fontId="3" numFmtId="0" xfId="0" applyAlignment="1" applyBorder="1" applyFont="1">
      <alignment horizontal="center" shrinkToFit="0" vertical="center" wrapText="1"/>
    </xf>
    <xf borderId="5" fillId="0" fontId="3" numFmtId="14" xfId="0" applyAlignment="1" applyBorder="1" applyFont="1" applyNumberFormat="1">
      <alignment horizontal="center" shrinkToFit="0" vertical="center" wrapText="1"/>
    </xf>
    <xf borderId="2" fillId="0" fontId="7" numFmtId="0" xfId="0" applyAlignment="1" applyBorder="1" applyFont="1">
      <alignment shrinkToFit="0" vertical="top" wrapText="1"/>
    </xf>
    <xf borderId="7" fillId="0" fontId="3" numFmtId="0" xfId="0" applyAlignment="1" applyBorder="1" applyFont="1">
      <alignment horizontal="center" vertical="center"/>
    </xf>
    <xf borderId="7" fillId="0" fontId="3" numFmtId="0" xfId="0" applyAlignment="1" applyBorder="1" applyFont="1">
      <alignment horizontal="left" shrinkToFit="0" vertical="center" wrapText="1"/>
    </xf>
    <xf borderId="7" fillId="0" fontId="3" numFmtId="14" xfId="0" applyAlignment="1" applyBorder="1" applyFont="1" applyNumberFormat="1">
      <alignment horizontal="center" vertical="center"/>
    </xf>
    <xf borderId="3" fillId="4" fontId="5" numFmtId="0" xfId="0" applyAlignment="1" applyBorder="1" applyFont="1">
      <alignment horizontal="center" vertical="center"/>
    </xf>
    <xf borderId="3" fillId="4" fontId="5" numFmtId="0" xfId="0" applyAlignment="1" applyBorder="1" applyFont="1">
      <alignment horizontal="left" shrinkToFit="0" vertical="center" wrapText="1"/>
    </xf>
    <xf borderId="3" fillId="4" fontId="5" numFmtId="14" xfId="0" applyAlignment="1" applyBorder="1" applyFont="1" applyNumberFormat="1">
      <alignment horizontal="center" vertical="center"/>
    </xf>
    <xf borderId="2" fillId="4" fontId="5" numFmtId="0" xfId="0" applyAlignment="1" applyBorder="1" applyFont="1">
      <alignment horizontal="center" vertical="center"/>
    </xf>
    <xf borderId="2" fillId="4" fontId="5" numFmtId="0" xfId="0" applyAlignment="1" applyBorder="1" applyFont="1">
      <alignment horizontal="left" shrinkToFit="0" vertical="center" wrapText="1"/>
    </xf>
    <xf borderId="2" fillId="4" fontId="5" numFmtId="14" xfId="0" applyAlignment="1" applyBorder="1" applyFont="1" applyNumberFormat="1">
      <alignment horizontal="center" vertical="center"/>
    </xf>
    <xf borderId="8" fillId="0" fontId="3" numFmtId="0" xfId="0" applyAlignment="1" applyBorder="1" applyFont="1">
      <alignment horizontal="center" vertical="center"/>
    </xf>
    <xf borderId="8" fillId="0" fontId="3" numFmtId="0" xfId="0" applyAlignment="1" applyBorder="1" applyFont="1">
      <alignment horizontal="left" shrinkToFit="0" vertical="center" wrapText="1"/>
    </xf>
    <xf borderId="8" fillId="0" fontId="3" numFmtId="14" xfId="0" applyAlignment="1" applyBorder="1" applyFont="1" applyNumberFormat="1">
      <alignment horizontal="center" vertical="center"/>
    </xf>
    <xf borderId="3" fillId="4" fontId="3" numFmtId="0" xfId="0" applyAlignment="1" applyBorder="1" applyFont="1">
      <alignment horizontal="center" vertical="center"/>
    </xf>
    <xf borderId="3" fillId="4" fontId="3" numFmtId="0" xfId="0" applyAlignment="1" applyBorder="1" applyFont="1">
      <alignment horizontal="left" shrinkToFit="0" vertical="center" wrapText="1"/>
    </xf>
    <xf borderId="3" fillId="4" fontId="3" numFmtId="14" xfId="0" applyAlignment="1" applyBorder="1" applyFont="1" applyNumberFormat="1">
      <alignment horizontal="center" vertical="center"/>
    </xf>
    <xf borderId="1" fillId="4" fontId="3" numFmtId="0" xfId="0" applyBorder="1" applyFont="1"/>
    <xf borderId="9" fillId="3" fontId="3" numFmtId="0" xfId="0" applyAlignment="1" applyBorder="1" applyFont="1">
      <alignment horizontal="center" vertical="center"/>
    </xf>
    <xf borderId="9" fillId="3" fontId="3" numFmtId="0" xfId="0" applyAlignment="1" applyBorder="1" applyFont="1">
      <alignment horizontal="left" shrinkToFit="0" vertical="center" wrapText="1"/>
    </xf>
    <xf borderId="9" fillId="3" fontId="3" numFmtId="14" xfId="0" applyAlignment="1" applyBorder="1" applyFont="1" applyNumberFormat="1">
      <alignment horizontal="center" vertical="center"/>
    </xf>
    <xf borderId="9" fillId="0" fontId="3" numFmtId="0" xfId="0" applyAlignment="1" applyBorder="1" applyFont="1">
      <alignment horizontal="center" vertical="center"/>
    </xf>
    <xf borderId="9" fillId="0" fontId="3" numFmtId="0" xfId="0" applyAlignment="1" applyBorder="1" applyFont="1">
      <alignment horizontal="left" shrinkToFit="0" vertical="center" wrapText="1"/>
    </xf>
    <xf borderId="9" fillId="0" fontId="3" numFmtId="14" xfId="0" applyAlignment="1" applyBorder="1" applyFont="1" applyNumberFormat="1">
      <alignment horizontal="center" vertical="center"/>
    </xf>
    <xf borderId="2" fillId="3" fontId="7" numFmtId="0" xfId="0" applyAlignment="1" applyBorder="1" applyFont="1">
      <alignment shrinkToFit="0" vertical="top" wrapText="1"/>
    </xf>
    <xf borderId="1" fillId="5" fontId="8" numFmtId="0" xfId="0" applyAlignment="1" applyBorder="1" applyFill="1" applyFont="1">
      <alignment horizontal="center"/>
    </xf>
    <xf borderId="1" fillId="5" fontId="8" numFmtId="0" xfId="0" applyAlignment="1" applyBorder="1" applyFont="1">
      <alignment horizontal="center" shrinkToFit="0" wrapText="1"/>
    </xf>
    <xf borderId="0" fillId="0" fontId="9" numFmtId="0" xfId="0" applyFont="1"/>
    <xf borderId="0" fillId="0" fontId="9" numFmtId="0" xfId="0" applyAlignment="1" applyFont="1">
      <alignment shrinkToFit="0" wrapText="1"/>
    </xf>
    <xf borderId="1" fillId="6" fontId="9" numFmtId="0" xfId="0" applyAlignment="1" applyBorder="1" applyFill="1" applyFont="1">
      <alignment shrinkToFit="0" wrapText="1"/>
    </xf>
    <xf borderId="0" fillId="0" fontId="10" numFmtId="0" xfId="0" applyAlignment="1" applyFont="1">
      <alignment shrinkToFit="0" wrapText="1"/>
    </xf>
    <xf borderId="1" fillId="7" fontId="11" numFmtId="0" xfId="0" applyAlignment="1" applyBorder="1" applyFill="1" applyFont="1">
      <alignment horizontal="center" shrinkToFit="0" vertical="center" wrapText="1"/>
    </xf>
    <xf borderId="1" fillId="7" fontId="12" numFmtId="0" xfId="0" applyAlignment="1" applyBorder="1" applyFont="1">
      <alignment horizontal="center" vertical="center"/>
    </xf>
    <xf borderId="2" fillId="7" fontId="12" numFmtId="0" xfId="0" applyAlignment="1" applyBorder="1" applyFont="1">
      <alignment horizontal="center" vertical="center"/>
    </xf>
    <xf borderId="1" fillId="7" fontId="13" numFmtId="0" xfId="0" applyAlignment="1" applyBorder="1" applyFont="1">
      <alignment horizontal="center" vertical="center"/>
    </xf>
    <xf borderId="6" fillId="0" fontId="13" numFmtId="0" xfId="0" applyAlignment="1" applyBorder="1" applyFont="1">
      <alignment horizontal="center" vertical="center"/>
    </xf>
    <xf borderId="2" fillId="7" fontId="12" numFmtId="0" xfId="0" applyAlignment="1" applyBorder="1" applyFont="1">
      <alignment horizontal="center" vertical="top"/>
    </xf>
    <xf borderId="1" fillId="7" fontId="12" numFmtId="0" xfId="0" applyAlignment="1" applyBorder="1" applyFont="1">
      <alignment horizontal="center" vertical="top"/>
    </xf>
    <xf borderId="2" fillId="0" fontId="7" numFmtId="0" xfId="0" applyAlignment="1" applyBorder="1" applyFont="1">
      <alignment horizontal="center" vertical="center"/>
    </xf>
    <xf borderId="4" fillId="4" fontId="14" numFmtId="49" xfId="0" applyAlignment="1" applyBorder="1" applyFont="1" applyNumberFormat="1">
      <alignment horizontal="center" vertical="center"/>
    </xf>
    <xf borderId="6" fillId="0" fontId="7" numFmtId="49" xfId="0" applyAlignment="1" applyBorder="1" applyFont="1" applyNumberFormat="1">
      <alignment horizontal="center" vertical="center"/>
    </xf>
    <xf borderId="10" fillId="0" fontId="7" numFmtId="0" xfId="0" applyAlignment="1" applyBorder="1" applyFont="1">
      <alignment horizontal="center" vertical="center"/>
    </xf>
    <xf borderId="2" fillId="0" fontId="7" numFmtId="0" xfId="0" applyAlignment="1" applyBorder="1" applyFont="1">
      <alignment vertical="center"/>
    </xf>
    <xf borderId="6" fillId="0" fontId="7" numFmtId="0" xfId="0" applyAlignment="1" applyBorder="1" applyFont="1">
      <alignment vertical="center"/>
    </xf>
    <xf borderId="2" fillId="0" fontId="7" numFmtId="0" xfId="0" applyBorder="1" applyFont="1"/>
    <xf borderId="2" fillId="0" fontId="15" numFmtId="0" xfId="0" applyBorder="1" applyFont="1"/>
    <xf borderId="10" fillId="0" fontId="15" numFmtId="0" xfId="0" applyBorder="1" applyFont="1"/>
    <xf borderId="11" fillId="0" fontId="15" numFmtId="0" xfId="0" applyAlignment="1" applyBorder="1" applyFont="1">
      <alignment horizontal="left"/>
    </xf>
    <xf borderId="11" fillId="0" fontId="15" numFmtId="0" xfId="0" applyBorder="1" applyFont="1"/>
    <xf borderId="12" fillId="0" fontId="15" numFmtId="0" xfId="0" applyBorder="1" applyFont="1"/>
    <xf borderId="13" fillId="0" fontId="15" numFmtId="0" xfId="0" applyBorder="1" applyFont="1"/>
    <xf borderId="12" fillId="0" fontId="7" numFmtId="0" xfId="0" applyAlignment="1" applyBorder="1" applyFont="1">
      <alignment horizontal="left"/>
    </xf>
    <xf borderId="11" fillId="0" fontId="7" numFmtId="0" xfId="0" applyBorder="1" applyFont="1"/>
    <xf borderId="6" fillId="0" fontId="7" numFmtId="0" xfId="0" applyBorder="1" applyFont="1"/>
    <xf borderId="6" fillId="0" fontId="7" numFmtId="0" xfId="0" applyAlignment="1" applyBorder="1" applyFont="1">
      <alignment horizontal="center" vertical="center"/>
    </xf>
    <xf borderId="2" fillId="0" fontId="16" numFmtId="0" xfId="0" applyBorder="1" applyFont="1"/>
    <xf borderId="2" fillId="0" fontId="7" numFmtId="0" xfId="0" applyAlignment="1" applyBorder="1" applyFont="1">
      <alignment horizontal="left"/>
    </xf>
    <xf borderId="14" fillId="0" fontId="7" numFmtId="0" xfId="0" applyAlignment="1" applyBorder="1" applyFont="1">
      <alignment horizontal="center" vertical="center"/>
    </xf>
    <xf borderId="15" fillId="0" fontId="7" numFmtId="0" xfId="0" applyAlignment="1" applyBorder="1" applyFont="1">
      <alignment vertical="center"/>
    </xf>
    <xf borderId="14" fillId="0" fontId="15" numFmtId="0" xfId="0" applyBorder="1" applyFont="1"/>
    <xf borderId="11" fillId="0" fontId="7" numFmtId="0" xfId="0" applyAlignment="1" applyBorder="1" applyFont="1">
      <alignment horizontal="left"/>
    </xf>
    <xf borderId="11" fillId="0" fontId="7" numFmtId="0" xfId="0" applyAlignment="1" applyBorder="1" applyFont="1">
      <alignment horizontal="center"/>
    </xf>
    <xf borderId="2" fillId="0" fontId="7" numFmtId="0" xfId="0" applyAlignment="1" applyBorder="1" applyFont="1">
      <alignment horizontal="center"/>
    </xf>
    <xf borderId="6" fillId="0" fontId="7" numFmtId="0" xfId="0" applyAlignment="1" applyBorder="1" applyFont="1">
      <alignment horizontal="center"/>
    </xf>
    <xf borderId="6" fillId="0" fontId="17" numFmtId="0" xfId="0" applyAlignment="1" applyBorder="1" applyFont="1">
      <alignment vertical="center"/>
    </xf>
    <xf borderId="10" fillId="0" fontId="7" numFmtId="0" xfId="0" applyBorder="1" applyFont="1"/>
    <xf borderId="2" fillId="0" fontId="15" numFmtId="0" xfId="0" applyAlignment="1" applyBorder="1" applyFont="1">
      <alignment horizontal="center" vertical="center"/>
    </xf>
    <xf borderId="10" fillId="0" fontId="15" numFmtId="0" xfId="0" applyAlignment="1" applyBorder="1" applyFont="1">
      <alignment horizontal="center" vertical="center"/>
    </xf>
    <xf borderId="2" fillId="0" fontId="15" numFmtId="0" xfId="0" applyAlignment="1" applyBorder="1" applyFont="1">
      <alignment vertical="center"/>
    </xf>
    <xf borderId="6" fillId="0" fontId="15" numFmtId="0" xfId="0" applyAlignment="1" applyBorder="1" applyFont="1">
      <alignment vertical="center"/>
    </xf>
    <xf borderId="0" fillId="0" fontId="18" numFmtId="0" xfId="0" applyFont="1"/>
    <xf borderId="2" fillId="0" fontId="19" numFmtId="0" xfId="0" applyBorder="1" applyFont="1"/>
    <xf borderId="2" fillId="0" fontId="20" numFmtId="0" xfId="0" applyBorder="1" applyFont="1"/>
    <xf borderId="2" fillId="4" fontId="21" numFmtId="0" xfId="0" applyAlignment="1" applyBorder="1" applyFont="1">
      <alignment horizontal="center" vertical="center"/>
    </xf>
    <xf borderId="4" fillId="4" fontId="21" numFmtId="0" xfId="0" applyAlignment="1" applyBorder="1" applyFont="1">
      <alignment horizontal="center" vertical="center"/>
    </xf>
    <xf borderId="4" fillId="4" fontId="21" numFmtId="49" xfId="0" applyAlignment="1" applyBorder="1" applyFont="1" applyNumberFormat="1">
      <alignment horizontal="center" vertical="center"/>
    </xf>
    <xf borderId="16" fillId="4" fontId="21" numFmtId="0" xfId="0" applyAlignment="1" applyBorder="1" applyFont="1">
      <alignment horizontal="center" vertical="center"/>
    </xf>
    <xf borderId="2" fillId="4" fontId="21" numFmtId="0" xfId="0" applyAlignment="1" applyBorder="1" applyFont="1">
      <alignment vertical="center"/>
    </xf>
    <xf borderId="4" fillId="4" fontId="21" numFmtId="0" xfId="0" applyAlignment="1" applyBorder="1" applyFont="1">
      <alignment vertical="center"/>
    </xf>
    <xf borderId="2" fillId="4" fontId="22" numFmtId="0" xfId="0" applyBorder="1" applyFont="1"/>
    <xf borderId="2" fillId="4" fontId="21" numFmtId="0" xfId="0" applyBorder="1" applyFont="1"/>
    <xf borderId="16" fillId="4" fontId="21" numFmtId="0" xfId="0" applyBorder="1" applyFont="1"/>
    <xf borderId="17" fillId="4" fontId="21" numFmtId="0" xfId="0" applyAlignment="1" applyBorder="1" applyFont="1">
      <alignment horizontal="left"/>
    </xf>
    <xf borderId="2" fillId="4" fontId="21" numFmtId="0" xfId="0" applyAlignment="1" applyBorder="1" applyFont="1">
      <alignment horizontal="left"/>
    </xf>
    <xf borderId="17" fillId="4" fontId="21" numFmtId="0" xfId="0" applyBorder="1" applyFont="1"/>
    <xf borderId="4" fillId="4" fontId="21" numFmtId="0" xfId="0" applyBorder="1" applyFont="1"/>
    <xf borderId="0" fillId="0" fontId="7" numFmtId="0" xfId="0" applyFont="1"/>
    <xf borderId="2" fillId="0" fontId="15" numFmtId="0" xfId="0" applyAlignment="1" applyBorder="1" applyFont="1">
      <alignment horizontal="left"/>
    </xf>
    <xf borderId="0" fillId="0" fontId="15" numFmtId="0" xfId="0" applyFont="1"/>
    <xf borderId="17" fillId="4" fontId="21" numFmtId="0" xfId="0" applyAlignment="1" applyBorder="1" applyFont="1">
      <alignment vertical="center"/>
    </xf>
    <xf borderId="18" fillId="0" fontId="7" numFmtId="0" xfId="0" applyAlignment="1" applyBorder="1" applyFont="1">
      <alignment horizontal="center" vertical="center"/>
    </xf>
    <xf borderId="18" fillId="0" fontId="7" numFmtId="0" xfId="0" applyAlignment="1" applyBorder="1" applyFont="1">
      <alignment vertical="center"/>
    </xf>
    <xf borderId="19" fillId="4" fontId="21" numFmtId="0" xfId="0" applyAlignment="1" applyBorder="1" applyFont="1">
      <alignment vertical="center"/>
    </xf>
    <xf borderId="1" fillId="4" fontId="21" numFmtId="0" xfId="0" applyBorder="1" applyFont="1"/>
    <xf borderId="4" fillId="4" fontId="21" numFmtId="0" xfId="0" applyAlignment="1" applyBorder="1" applyFont="1">
      <alignment shrinkToFit="0" vertical="center" wrapText="1"/>
    </xf>
    <xf borderId="6" fillId="0" fontId="15" numFmtId="49" xfId="0" applyAlignment="1" applyBorder="1" applyFont="1" applyNumberFormat="1">
      <alignment horizontal="center" vertical="center"/>
    </xf>
    <xf borderId="20" fillId="0" fontId="7" numFmtId="0" xfId="0" applyAlignment="1" applyBorder="1" applyFont="1">
      <alignment horizontal="center" vertical="center"/>
    </xf>
    <xf borderId="20" fillId="0" fontId="7" numFmtId="0" xfId="0" applyAlignment="1" applyBorder="1" applyFont="1">
      <alignment vertical="center"/>
    </xf>
    <xf borderId="2" fillId="0" fontId="23" numFmtId="0" xfId="0" applyBorder="1" applyFont="1"/>
    <xf borderId="21" fillId="4" fontId="21" numFmtId="0" xfId="0" applyAlignment="1" applyBorder="1" applyFont="1">
      <alignment horizontal="center" vertical="center"/>
    </xf>
    <xf borderId="21" fillId="4" fontId="21" numFmtId="0" xfId="0" applyBorder="1" applyFont="1"/>
    <xf borderId="11" fillId="0" fontId="7" numFmtId="0" xfId="0" applyAlignment="1" applyBorder="1" applyFont="1">
      <alignment vertical="center"/>
    </xf>
    <xf borderId="14" fillId="0" fontId="7" numFmtId="0" xfId="0" applyBorder="1" applyFont="1"/>
    <xf borderId="22" fillId="4" fontId="21" numFmtId="0" xfId="0" applyAlignment="1" applyBorder="1" applyFont="1">
      <alignment vertical="center"/>
    </xf>
    <xf borderId="22" fillId="4" fontId="21" numFmtId="0" xfId="0" applyBorder="1" applyFont="1"/>
    <xf borderId="14" fillId="0" fontId="15" numFmtId="0" xfId="0" applyAlignment="1" applyBorder="1" applyFont="1">
      <alignment horizontal="center" vertical="center"/>
    </xf>
    <xf borderId="15" fillId="0" fontId="15" numFmtId="0" xfId="0" applyAlignment="1" applyBorder="1" applyFont="1">
      <alignment vertical="center"/>
    </xf>
    <xf borderId="2" fillId="0" fontId="24" numFmtId="0" xfId="0" applyAlignment="1" applyBorder="1" applyFont="1">
      <alignment horizontal="left"/>
    </xf>
    <xf borderId="2" fillId="4" fontId="25" numFmtId="0" xfId="0" applyAlignment="1" applyBorder="1" applyFont="1">
      <alignment horizontal="left"/>
    </xf>
    <xf borderId="11" fillId="0" fontId="15" numFmtId="0" xfId="0" applyAlignment="1" applyBorder="1" applyFont="1">
      <alignment vertical="center"/>
    </xf>
    <xf borderId="2" fillId="0" fontId="26" numFmtId="0" xfId="0" applyAlignment="1" applyBorder="1" applyFont="1">
      <alignment horizontal="left"/>
    </xf>
    <xf borderId="18" fillId="0" fontId="15" numFmtId="0" xfId="0" applyAlignment="1" applyBorder="1" applyFont="1">
      <alignment horizontal="center" vertical="center"/>
    </xf>
    <xf borderId="20" fillId="0" fontId="15" numFmtId="0" xfId="0" applyAlignment="1" applyBorder="1" applyFont="1">
      <alignment vertical="center"/>
    </xf>
    <xf borderId="23" fillId="0" fontId="7" numFmtId="0" xfId="0" applyAlignment="1" applyBorder="1" applyFont="1">
      <alignment vertical="center"/>
    </xf>
    <xf borderId="0" fillId="0" fontId="7" numFmtId="0" xfId="0" applyAlignment="1" applyFont="1">
      <alignment vertical="center"/>
    </xf>
    <xf borderId="24" fillId="4" fontId="21" numFmtId="0" xfId="0" applyAlignment="1" applyBorder="1" applyFont="1">
      <alignment horizontal="center" vertical="center"/>
    </xf>
    <xf borderId="24" fillId="4" fontId="21" numFmtId="0" xfId="0" applyAlignment="1" applyBorder="1" applyFont="1">
      <alignment vertical="center"/>
    </xf>
    <xf borderId="0" fillId="0" fontId="15" numFmtId="0" xfId="0" applyAlignment="1" applyFont="1">
      <alignment vertical="center"/>
    </xf>
    <xf borderId="10" fillId="0" fontId="15" numFmtId="0" xfId="0" applyAlignment="1" applyBorder="1" applyFont="1">
      <alignment vertical="center"/>
    </xf>
    <xf borderId="10" fillId="0" fontId="27" numFmtId="0" xfId="0" applyAlignment="1" applyBorder="1" applyFont="1">
      <alignment horizontal="left"/>
    </xf>
    <xf borderId="12" fillId="0" fontId="7" numFmtId="0" xfId="0" applyAlignment="1" applyBorder="1" applyFont="1">
      <alignment vertical="center"/>
    </xf>
    <xf borderId="10" fillId="0" fontId="7" numFmtId="0" xfId="0" applyAlignment="1" applyBorder="1" applyFont="1">
      <alignment vertical="center"/>
    </xf>
    <xf borderId="10" fillId="0" fontId="28" numFmtId="0" xfId="0" applyAlignment="1" applyBorder="1" applyFont="1">
      <alignment horizontal="left"/>
    </xf>
    <xf borderId="16" fillId="4" fontId="29" numFmtId="0" xfId="0" applyAlignment="1" applyBorder="1" applyFont="1">
      <alignment horizontal="left"/>
    </xf>
    <xf borderId="10" fillId="0" fontId="30" numFmtId="0" xfId="0" applyAlignment="1" applyBorder="1" applyFont="1">
      <alignment horizontal="left"/>
    </xf>
    <xf borderId="25" fillId="0" fontId="15" numFmtId="0" xfId="0" applyAlignment="1" applyBorder="1" applyFont="1">
      <alignment vertical="center"/>
    </xf>
    <xf borderId="18" fillId="0" fontId="15" numFmtId="0" xfId="0" applyAlignment="1" applyBorder="1" applyFont="1">
      <alignment vertical="center"/>
    </xf>
    <xf borderId="23" fillId="0" fontId="15" numFmtId="0" xfId="0" applyAlignment="1" applyBorder="1" applyFont="1">
      <alignment vertical="center"/>
    </xf>
    <xf borderId="18" fillId="0" fontId="15" numFmtId="0" xfId="0" applyAlignment="1" applyBorder="1" applyFont="1">
      <alignment horizontal="left" vertical="center"/>
    </xf>
    <xf borderId="13" fillId="0" fontId="7" numFmtId="0" xfId="0" applyAlignment="1" applyBorder="1" applyFont="1">
      <alignment vertical="center"/>
    </xf>
    <xf borderId="1" fillId="4" fontId="21" numFmtId="0" xfId="0" applyAlignment="1" applyBorder="1" applyFont="1">
      <alignment vertical="center"/>
    </xf>
    <xf borderId="26" fillId="0" fontId="7" numFmtId="0" xfId="0" applyAlignment="1" applyBorder="1" applyFont="1">
      <alignment vertical="center"/>
    </xf>
    <xf borderId="25" fillId="0" fontId="7" numFmtId="0" xfId="0" applyAlignment="1" applyBorder="1" applyFont="1">
      <alignment vertical="center"/>
    </xf>
    <xf borderId="27" fillId="4" fontId="21" numFmtId="0" xfId="0" applyAlignment="1" applyBorder="1" applyFont="1">
      <alignment vertical="center"/>
    </xf>
    <xf borderId="6" fillId="0" fontId="15" numFmtId="0" xfId="0" applyAlignment="1" applyBorder="1" applyFont="1">
      <alignment horizontal="left" vertical="center"/>
    </xf>
    <xf borderId="6" fillId="0" fontId="31" numFmtId="0" xfId="0" applyAlignment="1" applyBorder="1" applyFont="1">
      <alignment vertical="center"/>
    </xf>
    <xf borderId="6" fillId="0" fontId="10" numFmtId="0" xfId="0" applyAlignment="1" applyBorder="1" applyFont="1">
      <alignment vertical="center"/>
    </xf>
    <xf borderId="6" fillId="0" fontId="7" numFmtId="0" xfId="0" applyAlignment="1" applyBorder="1" applyFont="1">
      <alignment shrinkToFit="0" vertical="center" wrapText="1"/>
    </xf>
    <xf borderId="20" fillId="0" fontId="7" numFmtId="0" xfId="0" applyAlignment="1" applyBorder="1" applyFont="1">
      <alignment horizontal="left" vertical="center"/>
    </xf>
    <xf borderId="28" fillId="0" fontId="15" numFmtId="0" xfId="0" applyAlignment="1" applyBorder="1" applyFont="1">
      <alignment vertical="center"/>
    </xf>
    <xf borderId="29" fillId="4" fontId="21" numFmtId="0" xfId="0" applyAlignment="1" applyBorder="1" applyFont="1">
      <alignment vertical="center"/>
    </xf>
    <xf borderId="6" fillId="0" fontId="32" numFmtId="0" xfId="0" applyAlignment="1" applyBorder="1" applyFont="1">
      <alignment vertical="center"/>
    </xf>
    <xf borderId="30" fillId="0" fontId="15" numFmtId="0" xfId="0" applyAlignment="1" applyBorder="1" applyFont="1">
      <alignment vertical="center"/>
    </xf>
    <xf borderId="10" fillId="0" fontId="7" numFmtId="0" xfId="0" applyAlignment="1" applyBorder="1" applyFont="1">
      <alignment horizontal="left"/>
    </xf>
    <xf borderId="23" fillId="0" fontId="15" numFmtId="0" xfId="0" applyAlignment="1" applyBorder="1" applyFont="1">
      <alignment shrinkToFit="0" vertical="center" wrapText="1"/>
    </xf>
    <xf borderId="2" fillId="0" fontId="15" numFmtId="0" xfId="0" applyAlignment="1" applyBorder="1" applyFont="1">
      <alignment shrinkToFit="0" vertical="center" wrapText="1"/>
    </xf>
    <xf borderId="2" fillId="0" fontId="15" numFmtId="0" xfId="0" applyAlignment="1" applyBorder="1" applyFont="1">
      <alignment horizontal="left" shrinkToFit="0" vertical="center" wrapText="1"/>
    </xf>
    <xf borderId="23" fillId="0" fontId="7" numFmtId="0" xfId="0" applyAlignment="1" applyBorder="1" applyFont="1">
      <alignment shrinkToFit="0" vertical="center" wrapText="1"/>
    </xf>
    <xf borderId="6" fillId="0" fontId="15" numFmtId="0" xfId="0" applyAlignment="1" applyBorder="1" applyFont="1">
      <alignment shrinkToFit="0" vertical="center" wrapText="1"/>
    </xf>
    <xf borderId="10" fillId="0" fontId="31" numFmtId="0" xfId="0" applyAlignment="1" applyBorder="1" applyFont="1">
      <alignment horizontal="center" vertical="center"/>
    </xf>
    <xf borderId="15" fillId="0" fontId="31" numFmtId="0" xfId="0" applyAlignment="1" applyBorder="1" applyFont="1">
      <alignment vertical="center"/>
    </xf>
    <xf borderId="2" fillId="0" fontId="31" numFmtId="0" xfId="0" applyBorder="1" applyFont="1"/>
    <xf borderId="14" fillId="0" fontId="31" numFmtId="0" xfId="0" applyBorder="1" applyFont="1"/>
    <xf borderId="11" fillId="0" fontId="31" numFmtId="0" xfId="0" applyBorder="1" applyFont="1"/>
    <xf borderId="11" fillId="0" fontId="31" numFmtId="0" xfId="0" applyAlignment="1" applyBorder="1" applyFont="1">
      <alignment horizontal="left"/>
    </xf>
    <xf borderId="2" fillId="0" fontId="31" numFmtId="0" xfId="0" applyAlignment="1" applyBorder="1" applyFont="1">
      <alignment horizontal="left"/>
    </xf>
    <xf borderId="6" fillId="0" fontId="31" numFmtId="49" xfId="0" applyAlignment="1" applyBorder="1" applyFont="1" applyNumberFormat="1">
      <alignment horizontal="center" vertical="center"/>
    </xf>
    <xf borderId="2" fillId="0" fontId="31" numFmtId="0" xfId="0" applyAlignment="1" applyBorder="1" applyFont="1">
      <alignment horizontal="center" vertical="center"/>
    </xf>
    <xf borderId="2" fillId="0" fontId="31" numFmtId="0" xfId="0" applyAlignment="1" applyBorder="1" applyFont="1">
      <alignment vertical="center"/>
    </xf>
    <xf borderId="6" fillId="0" fontId="31" numFmtId="0" xfId="0" applyBorder="1" applyFont="1"/>
    <xf borderId="4" fillId="8" fontId="7" numFmtId="49" xfId="0" applyAlignment="1" applyBorder="1" applyFill="1" applyFont="1" applyNumberFormat="1">
      <alignment horizontal="center" vertical="center"/>
    </xf>
    <xf borderId="31" fillId="0" fontId="7" numFmtId="0" xfId="0" applyBorder="1" applyFont="1"/>
    <xf borderId="9" fillId="0" fontId="7" numFmtId="0" xfId="0" applyBorder="1" applyFont="1"/>
    <xf borderId="9" fillId="0" fontId="7" numFmtId="0" xfId="0" applyAlignment="1" applyBorder="1" applyFont="1">
      <alignment horizontal="left"/>
    </xf>
    <xf borderId="6" fillId="0" fontId="4" numFmtId="0" xfId="0" applyAlignment="1" applyBorder="1" applyFont="1">
      <alignment vertical="center"/>
    </xf>
    <xf borderId="6" fillId="0" fontId="33" numFmtId="0" xfId="0" applyAlignment="1" applyBorder="1" applyFont="1">
      <alignment vertical="center"/>
    </xf>
    <xf borderId="18" fillId="0" fontId="7" numFmtId="49" xfId="0" applyAlignment="1" applyBorder="1" applyFont="1" applyNumberFormat="1">
      <alignment horizontal="center" vertical="center"/>
    </xf>
    <xf borderId="15" fillId="0" fontId="32" numFmtId="0" xfId="0" applyAlignment="1" applyBorder="1" applyFont="1">
      <alignment vertical="center"/>
    </xf>
    <xf borderId="15" fillId="0" fontId="15" numFmtId="0" xfId="0" applyAlignment="1" applyBorder="1" applyFont="1">
      <alignment shrinkToFit="0" vertical="center" wrapText="1"/>
    </xf>
    <xf borderId="0" fillId="0" fontId="32" numFmtId="0" xfId="0" applyAlignment="1" applyFont="1">
      <alignment vertical="center"/>
    </xf>
    <xf borderId="26" fillId="0" fontId="15" numFmtId="0" xfId="0" applyAlignment="1" applyBorder="1" applyFont="1">
      <alignment shrinkToFit="0" vertical="center" wrapText="1"/>
    </xf>
    <xf borderId="26" fillId="0" fontId="15" numFmtId="0" xfId="0" applyAlignment="1" applyBorder="1" applyFont="1">
      <alignment vertical="center"/>
    </xf>
    <xf borderId="18" fillId="0" fontId="15" numFmtId="49" xfId="0" applyAlignment="1" applyBorder="1" applyFont="1" applyNumberFormat="1">
      <alignment horizontal="center" vertical="center"/>
    </xf>
    <xf borderId="18" fillId="0" fontId="31" numFmtId="49" xfId="0" applyAlignment="1" applyBorder="1" applyFont="1" applyNumberFormat="1">
      <alignment horizontal="center" vertical="center"/>
    </xf>
    <xf borderId="6" fillId="0" fontId="31" numFmtId="0" xfId="0" applyAlignment="1" applyBorder="1" applyFont="1">
      <alignment shrinkToFit="0" vertical="center" wrapText="1"/>
    </xf>
    <xf borderId="10" fillId="0" fontId="31" numFmtId="0" xfId="0" applyBorder="1" applyFont="1"/>
    <xf borderId="0" fillId="0" fontId="31" numFmtId="0" xfId="0" applyFont="1"/>
    <xf borderId="18" fillId="0" fontId="31" numFmtId="0" xfId="0" applyAlignment="1" applyBorder="1" applyFont="1">
      <alignment vertical="center"/>
    </xf>
    <xf borderId="0" fillId="0" fontId="31" numFmtId="0" xfId="0" applyAlignment="1" applyFont="1">
      <alignment shrinkToFit="0" vertical="center" wrapText="1"/>
    </xf>
    <xf borderId="2" fillId="0" fontId="31" numFmtId="0" xfId="0" applyAlignment="1" applyBorder="1" applyFont="1">
      <alignment shrinkToFit="0" vertical="center" wrapText="1"/>
    </xf>
    <xf borderId="14" fillId="0" fontId="31" numFmtId="0" xfId="0" applyAlignment="1" applyBorder="1" applyFont="1">
      <alignment horizontal="center" vertical="center"/>
    </xf>
    <xf borderId="12" fillId="0" fontId="31" numFmtId="0" xfId="0" applyAlignment="1" applyBorder="1" applyFont="1">
      <alignment shrinkToFit="0" vertical="center" wrapText="1"/>
    </xf>
    <xf borderId="6" fillId="0" fontId="31" numFmtId="0" xfId="0" applyAlignment="1" applyBorder="1" applyFont="1">
      <alignment horizontal="left" vertical="center"/>
    </xf>
    <xf borderId="18" fillId="0" fontId="31" numFmtId="0" xfId="0" applyAlignment="1" applyBorder="1" applyFont="1">
      <alignment shrinkToFit="0" vertical="center" wrapText="1"/>
    </xf>
    <xf borderId="32" fillId="0" fontId="7" numFmtId="0" xfId="0" applyBorder="1" applyFont="1"/>
    <xf borderId="2" fillId="0" fontId="7" numFmtId="0" xfId="0" applyAlignment="1" applyBorder="1" applyFont="1">
      <alignment shrinkToFit="0" vertical="center" wrapText="1"/>
    </xf>
    <xf borderId="2" fillId="3" fontId="7" numFmtId="0" xfId="0" applyAlignment="1" applyBorder="1" applyFont="1">
      <alignment vertical="center"/>
    </xf>
    <xf borderId="2" fillId="0" fontId="7" numFmtId="0" xfId="0" applyAlignment="1" applyBorder="1" applyFont="1">
      <alignment horizontal="left" shrinkToFit="0" vertical="center" wrapText="1"/>
    </xf>
    <xf borderId="6" fillId="0" fontId="3" numFmtId="0" xfId="0" applyAlignment="1" applyBorder="1" applyFont="1">
      <alignment vertical="center"/>
    </xf>
    <xf borderId="2" fillId="0" fontId="3" numFmtId="0" xfId="0" applyAlignment="1" applyBorder="1" applyFont="1">
      <alignment vertical="center"/>
    </xf>
    <xf borderId="11" fillId="0" fontId="32" numFmtId="0" xfId="0" applyAlignment="1" applyBorder="1" applyFont="1">
      <alignment vertical="center"/>
    </xf>
    <xf borderId="2" fillId="0" fontId="32" numFmtId="0" xfId="0" applyAlignment="1" applyBorder="1" applyFont="1">
      <alignment vertical="center"/>
    </xf>
    <xf borderId="2" fillId="0" fontId="3" numFmtId="0" xfId="0" applyAlignment="1" applyBorder="1" applyFont="1">
      <alignment horizontal="center" shrinkToFit="0" vertical="center" wrapText="1"/>
    </xf>
    <xf borderId="6" fillId="0" fontId="3" numFmtId="0" xfId="0" applyAlignment="1" applyBorder="1" applyFont="1">
      <alignment shrinkToFit="0" vertical="center" wrapText="1"/>
    </xf>
    <xf borderId="10" fillId="0" fontId="7" numFmtId="49" xfId="0" applyAlignment="1" applyBorder="1" applyFont="1" applyNumberFormat="1">
      <alignment horizontal="center" vertical="center"/>
    </xf>
    <xf borderId="33" fillId="0" fontId="32" numFmtId="0" xfId="0" applyAlignment="1" applyBorder="1" applyFont="1">
      <alignment vertical="center"/>
    </xf>
    <xf borderId="6" fillId="0" fontId="34" numFmtId="0" xfId="0" applyAlignment="1" applyBorder="1" applyFont="1">
      <alignment vertical="center"/>
    </xf>
    <xf borderId="24" fillId="4" fontId="21" numFmtId="49" xfId="0" applyAlignment="1" applyBorder="1" applyFont="1" applyNumberFormat="1">
      <alignment horizontal="center" vertical="center"/>
    </xf>
    <xf borderId="6" fillId="0" fontId="35" numFmtId="0" xfId="0" applyAlignment="1" applyBorder="1" applyFont="1">
      <alignment vertical="center"/>
    </xf>
    <xf borderId="10" fillId="0" fontId="32" numFmtId="0" xfId="0" applyBorder="1" applyFont="1"/>
    <xf borderId="0" fillId="0" fontId="7" numFmtId="0" xfId="0" applyAlignment="1" applyFont="1">
      <alignment horizontal="left"/>
    </xf>
    <xf borderId="2" fillId="0" fontId="7" numFmtId="49" xfId="0" applyAlignment="1" applyBorder="1" applyFont="1" applyNumberFormat="1">
      <alignment horizontal="center" vertical="center"/>
    </xf>
    <xf borderId="12" fillId="0" fontId="7" numFmtId="0" xfId="0" applyBorder="1" applyFont="1"/>
    <xf borderId="23" fillId="0" fontId="7" numFmtId="0" xfId="0" applyBorder="1" applyFont="1"/>
    <xf borderId="33" fillId="0" fontId="7" numFmtId="0" xfId="0" applyAlignment="1" applyBorder="1" applyFont="1">
      <alignment horizontal="center" vertical="center"/>
    </xf>
    <xf borderId="6" fillId="0" fontId="36" numFmtId="0" xfId="0" applyAlignment="1" applyBorder="1" applyFont="1">
      <alignment vertical="center"/>
    </xf>
    <xf borderId="0" fillId="0" fontId="36" numFmtId="0" xfId="0" applyAlignment="1" applyFont="1">
      <alignment vertical="center"/>
    </xf>
    <xf borderId="13" fillId="0" fontId="7" numFmtId="0" xfId="0" applyBorder="1" applyFont="1"/>
    <xf borderId="12" fillId="0" fontId="3" numFmtId="0" xfId="0" applyAlignment="1" applyBorder="1" applyFont="1">
      <alignment vertical="center"/>
    </xf>
    <xf borderId="13" fillId="0" fontId="7" numFmtId="0" xfId="0" applyAlignment="1" applyBorder="1" applyFont="1">
      <alignment horizontal="left"/>
    </xf>
    <xf borderId="18" fillId="0" fontId="15" numFmtId="0" xfId="0" applyAlignment="1" applyBorder="1" applyFont="1">
      <alignment shrinkToFit="0" vertical="center" wrapText="1"/>
    </xf>
    <xf borderId="11" fillId="0" fontId="7" numFmtId="0" xfId="0" applyAlignment="1" applyBorder="1" applyFont="1">
      <alignment horizontal="center" vertical="center"/>
    </xf>
    <xf borderId="15" fillId="0" fontId="7" numFmtId="0" xfId="0" applyAlignment="1" applyBorder="1" applyFont="1">
      <alignment horizontal="left"/>
    </xf>
    <xf borderId="33" fillId="0" fontId="7" numFmtId="0" xfId="0" applyBorder="1" applyFont="1"/>
    <xf borderId="6" fillId="0" fontId="7" numFmtId="0" xfId="0" applyAlignment="1" applyBorder="1" applyFont="1">
      <alignment horizontal="left"/>
    </xf>
    <xf borderId="14" fillId="0" fontId="7" numFmtId="0" xfId="0" applyAlignment="1" applyBorder="1" applyFont="1">
      <alignment horizontal="left"/>
    </xf>
    <xf borderId="28" fillId="0" fontId="7" numFmtId="0" xfId="0" applyAlignment="1" applyBorder="1" applyFont="1">
      <alignment vertical="center"/>
    </xf>
    <xf borderId="6" fillId="0" fontId="7" numFmtId="0" xfId="0" applyAlignment="1" applyBorder="1" applyFont="1">
      <alignment horizontal="left" vertical="center"/>
    </xf>
    <xf borderId="10" fillId="0" fontId="7" numFmtId="0" xfId="0" applyAlignment="1" applyBorder="1" applyFont="1">
      <alignment horizontal="center" shrinkToFit="0" vertical="center" wrapText="1"/>
    </xf>
    <xf borderId="2" fillId="0" fontId="7" numFmtId="0" xfId="0" applyAlignment="1" applyBorder="1" applyFont="1">
      <alignment horizontal="center" shrinkToFit="0" vertical="center" wrapText="1"/>
    </xf>
    <xf borderId="2" fillId="0" fontId="7" numFmtId="0" xfId="0" applyAlignment="1" applyBorder="1" applyFont="1">
      <alignment horizontal="left" shrinkToFit="0" wrapText="1"/>
    </xf>
    <xf borderId="2" fillId="0" fontId="7" numFmtId="0" xfId="0" applyAlignment="1" applyBorder="1" applyFont="1">
      <alignment shrinkToFit="0" wrapText="1"/>
    </xf>
    <xf borderId="14" fillId="0" fontId="15" numFmtId="0" xfId="0" applyAlignment="1" applyBorder="1" applyFont="1">
      <alignment shrinkToFit="0" wrapText="1"/>
    </xf>
    <xf borderId="11" fillId="0" fontId="7" numFmtId="0" xfId="0" applyAlignment="1" applyBorder="1" applyFont="1">
      <alignment shrinkToFit="0" wrapText="1"/>
    </xf>
    <xf borderId="11" fillId="0" fontId="15" numFmtId="0" xfId="0" applyAlignment="1" applyBorder="1" applyFont="1">
      <alignment shrinkToFit="0" wrapText="1"/>
    </xf>
    <xf borderId="11" fillId="0" fontId="15" numFmtId="0" xfId="0" applyAlignment="1" applyBorder="1" applyFont="1">
      <alignment horizontal="left" shrinkToFit="0" wrapText="1"/>
    </xf>
    <xf borderId="11" fillId="0" fontId="7" numFmtId="0" xfId="0" applyAlignment="1" applyBorder="1" applyFont="1">
      <alignment horizontal="left" shrinkToFit="0" wrapText="1"/>
    </xf>
    <xf borderId="6" fillId="0" fontId="7" numFmtId="0" xfId="0" applyAlignment="1" applyBorder="1" applyFont="1">
      <alignment horizontal="left" shrinkToFit="0" wrapText="1"/>
    </xf>
    <xf borderId="33" fillId="0" fontId="7" numFmtId="0" xfId="0" applyAlignment="1" applyBorder="1" applyFont="1">
      <alignment horizontal="left"/>
    </xf>
    <xf borderId="0" fillId="0" fontId="37" numFmtId="0" xfId="0" applyAlignment="1" applyFont="1">
      <alignment vertical="center"/>
    </xf>
    <xf borderId="32" fillId="0" fontId="7" numFmtId="0" xfId="0" applyAlignment="1" applyBorder="1" applyFont="1">
      <alignment horizontal="left"/>
    </xf>
    <xf borderId="26" fillId="0" fontId="7" numFmtId="0" xfId="0" applyBorder="1" applyFont="1"/>
    <xf borderId="15" fillId="0" fontId="7" numFmtId="0" xfId="0" applyBorder="1" applyFont="1"/>
    <xf borderId="18" fillId="0" fontId="7" numFmtId="0" xfId="0" applyAlignment="1" applyBorder="1" applyFont="1">
      <alignment horizontal="left"/>
    </xf>
    <xf borderId="23" fillId="0" fontId="7" numFmtId="0" xfId="0" applyAlignment="1" applyBorder="1" applyFont="1">
      <alignment horizontal="left"/>
    </xf>
    <xf borderId="2" fillId="0" fontId="15" numFmtId="0" xfId="0" applyAlignment="1" applyBorder="1" applyFont="1">
      <alignment horizontal="left" vertical="center"/>
    </xf>
    <xf borderId="2" fillId="0" fontId="7" numFmtId="0" xfId="0" applyAlignment="1" applyBorder="1" applyFont="1">
      <alignment horizontal="left" vertical="center"/>
    </xf>
    <xf borderId="0" fillId="0" fontId="37" numFmtId="0" xfId="0" applyAlignment="1" applyFont="1">
      <alignment shrinkToFit="0" vertical="center" wrapText="1"/>
    </xf>
    <xf borderId="15" fillId="0" fontId="15" numFmtId="0" xfId="0" applyBorder="1" applyFont="1"/>
    <xf borderId="10" fillId="0" fontId="15" numFmtId="0" xfId="0" applyAlignment="1" applyBorder="1" applyFont="1">
      <alignment horizontal="left"/>
    </xf>
    <xf borderId="33" fillId="0" fontId="15" numFmtId="0" xfId="0" applyAlignment="1" applyBorder="1" applyFont="1">
      <alignment horizontal="left"/>
    </xf>
    <xf borderId="12" fillId="0" fontId="7" numFmtId="0" xfId="0" applyAlignment="1" applyBorder="1" applyFont="1">
      <alignment horizontal="center" vertical="center"/>
    </xf>
    <xf borderId="25" fillId="0" fontId="7" numFmtId="0" xfId="0" applyAlignment="1" applyBorder="1" applyFont="1">
      <alignment horizontal="left"/>
    </xf>
    <xf borderId="2" fillId="0" fontId="38" numFmtId="0" xfId="0" applyAlignment="1" applyBorder="1" applyFont="1">
      <alignment vertical="center"/>
    </xf>
    <xf borderId="2" fillId="0" fontId="38" numFmtId="0" xfId="0" applyAlignment="1" applyBorder="1" applyFont="1">
      <alignment horizontal="left" vertical="center"/>
    </xf>
    <xf borderId="13" fillId="0" fontId="31" numFmtId="0" xfId="0" applyAlignment="1" applyBorder="1" applyFont="1">
      <alignment horizontal="left"/>
    </xf>
    <xf borderId="6" fillId="0" fontId="31" numFmtId="0" xfId="0" applyAlignment="1" applyBorder="1" applyFont="1">
      <alignment horizontal="left"/>
    </xf>
    <xf borderId="10" fillId="0" fontId="31" numFmtId="0" xfId="0" applyAlignment="1" applyBorder="1" applyFont="1">
      <alignment horizontal="left"/>
    </xf>
    <xf borderId="23" fillId="0" fontId="31" numFmtId="0" xfId="0" applyBorder="1" applyFont="1"/>
    <xf borderId="14" fillId="0" fontId="7" numFmtId="0" xfId="0" applyAlignment="1" applyBorder="1" applyFont="1">
      <alignment vertical="center"/>
    </xf>
    <xf borderId="11" fillId="0" fontId="7" numFmtId="0" xfId="0" applyAlignment="1" applyBorder="1" applyFont="1">
      <alignment shrinkToFit="0" vertical="center" wrapText="1"/>
    </xf>
    <xf borderId="15" fillId="0" fontId="15" numFmtId="0" xfId="0" applyAlignment="1" applyBorder="1" applyFont="1">
      <alignment horizontal="left" vertical="center"/>
    </xf>
    <xf borderId="11" fillId="0" fontId="31" numFmtId="0" xfId="0" applyAlignment="1" applyBorder="1" applyFont="1">
      <alignment horizontal="center" vertical="center"/>
    </xf>
    <xf borderId="15" fillId="0" fontId="38" numFmtId="0" xfId="0" applyAlignment="1" applyBorder="1" applyFont="1">
      <alignment vertical="center"/>
    </xf>
    <xf borderId="15" fillId="0" fontId="31" numFmtId="0" xfId="0" applyBorder="1" applyFont="1"/>
    <xf borderId="11" fillId="0" fontId="7" numFmtId="0" xfId="0" applyAlignment="1" applyBorder="1" applyFont="1">
      <alignment horizontal="left" vertical="center"/>
    </xf>
    <xf borderId="15" fillId="0" fontId="7" numFmtId="0" xfId="0" applyAlignment="1" applyBorder="1" applyFont="1">
      <alignment shrinkToFit="0" vertical="center" wrapText="1"/>
    </xf>
    <xf borderId="6" fillId="0" fontId="7" numFmtId="0" xfId="0" applyAlignment="1" applyBorder="1" applyFont="1">
      <alignment horizontal="left" shrinkToFit="0" vertical="center" wrapText="1"/>
    </xf>
    <xf borderId="15" fillId="0" fontId="7" numFmtId="0" xfId="0" applyAlignment="1" applyBorder="1" applyFont="1">
      <alignment horizontal="center" vertical="center"/>
    </xf>
    <xf borderId="10" fillId="0" fontId="7" numFmtId="0" xfId="0" applyAlignment="1" applyBorder="1" applyFont="1">
      <alignment shrinkToFit="0" vertical="center" wrapText="1"/>
    </xf>
    <xf borderId="10" fillId="0" fontId="31" numFmtId="49" xfId="0" applyAlignment="1" applyBorder="1" applyFont="1" applyNumberFormat="1">
      <alignment horizontal="center" vertical="center"/>
    </xf>
    <xf borderId="15" fillId="0" fontId="31" numFmtId="0" xfId="0" applyAlignment="1" applyBorder="1" applyFont="1">
      <alignment horizontal="center" vertical="center"/>
    </xf>
    <xf borderId="11" fillId="0" fontId="31" numFmtId="0" xfId="0" applyAlignment="1" applyBorder="1" applyFont="1">
      <alignment vertical="center"/>
    </xf>
    <xf borderId="10" fillId="0" fontId="38" numFmtId="0" xfId="0" applyAlignment="1" applyBorder="1" applyFont="1">
      <alignment shrinkToFit="0" vertical="center" wrapText="1"/>
    </xf>
    <xf borderId="26" fillId="0" fontId="31" numFmtId="0" xfId="0" applyAlignment="1" applyBorder="1" applyFont="1">
      <alignment vertical="center"/>
    </xf>
    <xf borderId="13" fillId="0" fontId="7" numFmtId="0" xfId="0" applyAlignment="1" applyBorder="1" applyFont="1">
      <alignment shrinkToFit="0" vertical="center" wrapText="1"/>
    </xf>
    <xf borderId="12" fillId="0" fontId="38" numFmtId="0" xfId="0" applyAlignment="1" applyBorder="1" applyFont="1">
      <alignment shrinkToFit="0" vertical="center" wrapText="1"/>
    </xf>
    <xf borderId="12" fillId="0" fontId="38" numFmtId="0" xfId="0" applyAlignment="1" applyBorder="1" applyFont="1">
      <alignment vertical="center"/>
    </xf>
    <xf borderId="14" fillId="0" fontId="7" numFmtId="0" xfId="0" applyAlignment="1" applyBorder="1" applyFont="1">
      <alignment horizontal="center" shrinkToFit="0" vertical="center" wrapText="1"/>
    </xf>
    <xf borderId="2" fillId="0" fontId="4" numFmtId="0" xfId="0" applyAlignment="1" applyBorder="1" applyFont="1">
      <alignment shrinkToFit="0" vertical="center" wrapText="1"/>
    </xf>
    <xf borderId="10" fillId="0" fontId="7" numFmtId="0" xfId="0" applyAlignment="1" applyBorder="1" applyFont="1">
      <alignment shrinkToFit="0" wrapText="1"/>
    </xf>
    <xf borderId="6" fillId="0" fontId="7" numFmtId="0" xfId="0" applyAlignment="1" applyBorder="1" applyFont="1">
      <alignment shrinkToFit="0" wrapText="1"/>
    </xf>
    <xf borderId="2" fillId="0" fontId="6" numFmtId="0" xfId="0" applyAlignment="1" applyBorder="1" applyFont="1">
      <alignment vertical="center"/>
    </xf>
    <xf borderId="2" fillId="0" fontId="6" numFmtId="0" xfId="0" applyAlignment="1" applyBorder="1" applyFont="1">
      <alignment shrinkToFit="0" vertical="center" wrapText="1"/>
    </xf>
    <xf borderId="2" fillId="0" fontId="4" numFmtId="0" xfId="0" applyAlignment="1" applyBorder="1" applyFont="1">
      <alignment vertical="center"/>
    </xf>
    <xf borderId="12" fillId="0" fontId="7" numFmtId="0" xfId="0" applyAlignment="1" applyBorder="1" applyFont="1">
      <alignment shrinkToFit="0" vertical="center" wrapText="1"/>
    </xf>
    <xf borderId="2" fillId="0" fontId="3" numFmtId="0" xfId="0" applyAlignment="1" applyBorder="1" applyFont="1">
      <alignment shrinkToFit="0" vertical="center" wrapText="1"/>
    </xf>
    <xf borderId="32" fillId="0" fontId="31" numFmtId="0" xfId="0" applyAlignment="1" applyBorder="1" applyFont="1">
      <alignment horizontal="center" vertical="center"/>
    </xf>
    <xf borderId="12" fillId="0" fontId="31" numFmtId="0" xfId="0" applyAlignment="1" applyBorder="1" applyFont="1">
      <alignment horizontal="center" vertical="center"/>
    </xf>
    <xf borderId="13" fillId="0" fontId="31" numFmtId="0" xfId="0" applyAlignment="1" applyBorder="1" applyFont="1">
      <alignment horizontal="center" vertical="center"/>
    </xf>
    <xf borderId="2" fillId="0" fontId="31" numFmtId="0" xfId="0" applyAlignment="1" applyBorder="1" applyFont="1">
      <alignment horizontal="left" shrinkToFit="0" vertical="center" wrapText="1"/>
    </xf>
    <xf borderId="10" fillId="0" fontId="15" numFmtId="0" xfId="0" applyAlignment="1" applyBorder="1" applyFont="1">
      <alignment shrinkToFit="0" vertical="center" wrapText="1"/>
    </xf>
    <xf borderId="33" fillId="0" fontId="15" numFmtId="0" xfId="0" applyAlignment="1" applyBorder="1" applyFont="1">
      <alignment shrinkToFit="0" vertical="center" wrapText="1"/>
    </xf>
    <xf borderId="2" fillId="0" fontId="39" numFmtId="0" xfId="0" applyAlignment="1" applyBorder="1" applyFont="1">
      <alignment horizontal="left" shrinkToFit="0" vertical="center" wrapText="1"/>
    </xf>
    <xf borderId="10" fillId="0" fontId="38" numFmtId="0" xfId="0" applyAlignment="1" applyBorder="1" applyFont="1">
      <alignment horizontal="center" vertical="center"/>
    </xf>
    <xf borderId="2" fillId="0" fontId="38" numFmtId="0" xfId="0" applyAlignment="1" applyBorder="1" applyFont="1">
      <alignment shrinkToFit="0" vertical="center" wrapText="1"/>
    </xf>
    <xf borderId="2" fillId="0" fontId="38" numFmtId="0" xfId="0" applyAlignment="1" applyBorder="1" applyFont="1">
      <alignment horizontal="left" shrinkToFit="0" vertical="center" wrapText="1"/>
    </xf>
    <xf borderId="2" fillId="0" fontId="38" numFmtId="0" xfId="0" applyBorder="1" applyFont="1"/>
    <xf borderId="14" fillId="0" fontId="38" numFmtId="0" xfId="0" applyBorder="1" applyFont="1"/>
    <xf borderId="11" fillId="0" fontId="38" numFmtId="0" xfId="0" applyBorder="1" applyFont="1"/>
    <xf borderId="6" fillId="0" fontId="38" numFmtId="0" xfId="0" applyBorder="1" applyFont="1"/>
    <xf borderId="12" fillId="0" fontId="15" numFmtId="0" xfId="0" applyAlignment="1" applyBorder="1" applyFont="1">
      <alignment horizontal="left" shrinkToFit="0" vertical="center" wrapText="1"/>
    </xf>
    <xf borderId="32" fillId="0" fontId="15" numFmtId="0" xfId="0" applyAlignment="1" applyBorder="1" applyFont="1">
      <alignment shrinkToFit="0" vertical="center" wrapText="1"/>
    </xf>
    <xf borderId="13" fillId="0" fontId="15" numFmtId="0" xfId="0" applyAlignment="1" applyBorder="1" applyFont="1">
      <alignment horizontal="left" shrinkToFit="0" vertical="center" wrapText="1"/>
    </xf>
    <xf borderId="2" fillId="0" fontId="15" numFmtId="0" xfId="0" applyAlignment="1" applyBorder="1" applyFont="1">
      <alignment shrinkToFit="0" vertical="top" wrapText="1"/>
    </xf>
    <xf borderId="12" fillId="0" fontId="7" numFmtId="0" xfId="0" applyAlignment="1" applyBorder="1" applyFont="1">
      <alignment horizontal="left" shrinkToFit="0" vertical="center" wrapText="1"/>
    </xf>
    <xf borderId="2" fillId="0" fontId="31" numFmtId="0" xfId="0" applyAlignment="1" applyBorder="1" applyFont="1">
      <alignment horizontal="center" shrinkToFit="0" vertical="center" wrapText="1"/>
    </xf>
    <xf borderId="18" fillId="0" fontId="31" numFmtId="0" xfId="0" applyAlignment="1" applyBorder="1" applyFont="1">
      <alignment horizontal="center" vertical="center"/>
    </xf>
    <xf borderId="0" fillId="0" fontId="40" numFmtId="0" xfId="0" applyAlignment="1" applyFont="1">
      <alignment vertical="center"/>
    </xf>
    <xf borderId="2" fillId="0" fontId="7" numFmtId="0" xfId="0" applyAlignment="1" applyBorder="1" applyFont="1">
      <alignment shrinkToFit="0" vertical="top" wrapText="1"/>
    </xf>
    <xf borderId="23" fillId="0" fontId="31" numFmtId="0" xfId="0" applyAlignment="1" applyBorder="1" applyFont="1">
      <alignment vertical="center"/>
    </xf>
    <xf borderId="2" fillId="0" fontId="31" numFmtId="0" xfId="0" applyAlignment="1" applyBorder="1" applyFont="1">
      <alignment shrinkToFit="0" vertical="top" wrapText="1"/>
    </xf>
    <xf borderId="2" fillId="0" fontId="31" numFmtId="0" xfId="0" applyAlignment="1" applyBorder="1" applyFont="1">
      <alignment vertical="top"/>
    </xf>
    <xf borderId="2" fillId="0" fontId="15" numFmtId="0" xfId="0" applyAlignment="1" applyBorder="1" applyFont="1">
      <alignment shrinkToFit="0" wrapText="1"/>
    </xf>
    <xf borderId="2" fillId="0" fontId="31" numFmtId="0" xfId="0" applyAlignment="1" applyBorder="1" applyFont="1">
      <alignment shrinkToFit="0" wrapText="1"/>
    </xf>
    <xf borderId="2" fillId="0" fontId="7" numFmtId="0" xfId="0" applyAlignment="1" applyBorder="1" applyFont="1">
      <alignment vertical="top"/>
    </xf>
    <xf borderId="10" fillId="0" fontId="7" numFmtId="0" xfId="0" applyAlignment="1" applyBorder="1" applyFont="1">
      <alignment horizontal="left" vertical="center"/>
    </xf>
    <xf borderId="14" fillId="0" fontId="7" numFmtId="0" xfId="0" applyAlignment="1" applyBorder="1" applyFont="1">
      <alignment horizontal="left" vertical="center"/>
    </xf>
    <xf borderId="0" fillId="0" fontId="15" numFmtId="0" xfId="0" applyAlignment="1" applyFont="1">
      <alignment shrinkToFit="0" wrapText="1"/>
    </xf>
    <xf borderId="2" fillId="0" fontId="7" numFmtId="2" xfId="0" applyAlignment="1" applyBorder="1" applyFont="1" applyNumberFormat="1">
      <alignment horizontal="center" vertical="center"/>
    </xf>
    <xf borderId="2" fillId="0" fontId="3" numFmtId="0" xfId="0" applyAlignment="1" applyBorder="1" applyFont="1">
      <alignment shrinkToFit="0" vertical="top" wrapText="1"/>
    </xf>
    <xf borderId="0" fillId="0" fontId="10" numFmtId="0" xfId="0" applyAlignment="1" applyFont="1">
      <alignment shrinkToFit="0" wrapText="1"/>
    </xf>
    <xf borderId="6" fillId="0" fontId="7" numFmtId="2" xfId="0" applyAlignment="1" applyBorder="1" applyFont="1" applyNumberFormat="1">
      <alignment horizontal="center" vertical="center"/>
    </xf>
    <xf borderId="6" fillId="0" fontId="7" numFmtId="0" xfId="0" applyAlignment="1" applyBorder="1" applyFont="1">
      <alignment horizontal="left" shrinkToFit="0" vertical="top" wrapText="1"/>
    </xf>
    <xf borderId="6" fillId="0" fontId="10" numFmtId="0" xfId="0" applyAlignment="1" applyBorder="1" applyFont="1">
      <alignment horizontal="left" shrinkToFit="0" vertical="top" wrapText="1"/>
    </xf>
    <xf borderId="0" fillId="0" fontId="7" numFmtId="0" xfId="0" applyAlignment="1" applyFont="1">
      <alignment horizontal="left" vertical="center"/>
    </xf>
    <xf borderId="2" fillId="4" fontId="14" numFmtId="0" xfId="0" applyAlignment="1" applyBorder="1" applyFont="1">
      <alignment horizontal="center" vertical="center"/>
    </xf>
    <xf borderId="2" fillId="4" fontId="21" numFmtId="0" xfId="0" applyAlignment="1" applyBorder="1" applyFont="1">
      <alignment horizontal="center" shrinkToFit="0" vertical="center" wrapText="1"/>
    </xf>
    <xf borderId="2" fillId="4" fontId="21" numFmtId="0" xfId="0" applyAlignment="1" applyBorder="1" applyFont="1">
      <alignment shrinkToFit="0" vertical="center" wrapText="1"/>
    </xf>
    <xf borderId="2" fillId="0" fontId="15" numFmtId="0" xfId="0" applyAlignment="1" applyBorder="1" applyFont="1">
      <alignment horizontal="left" vertical="top"/>
    </xf>
    <xf borderId="12" fillId="0" fontId="31" numFmtId="0" xfId="0" applyAlignment="1" applyBorder="1" applyFont="1">
      <alignment horizontal="left"/>
    </xf>
    <xf borderId="12" fillId="0" fontId="31" numFmtId="0" xfId="0" applyBorder="1" applyFont="1"/>
    <xf borderId="25" fillId="0" fontId="7" numFmtId="0" xfId="0" applyBorder="1" applyFont="1"/>
    <xf borderId="17" fillId="4" fontId="14" numFmtId="0" xfId="0" applyAlignment="1" applyBorder="1" applyFont="1">
      <alignment horizontal="center" vertical="center"/>
    </xf>
    <xf borderId="14" fillId="0" fontId="7" numFmtId="0" xfId="0" applyAlignment="1" applyBorder="1" applyFont="1">
      <alignment shrinkToFit="0" vertical="center" wrapText="1"/>
    </xf>
    <xf borderId="0" fillId="0" fontId="7" numFmtId="0" xfId="0" applyAlignment="1" applyFont="1">
      <alignment shrinkToFit="0" vertical="center" wrapText="1"/>
    </xf>
    <xf borderId="15" fillId="0" fontId="7" numFmtId="2" xfId="0" applyAlignment="1" applyBorder="1" applyFont="1" applyNumberFormat="1">
      <alignment horizontal="center" vertical="center"/>
    </xf>
    <xf borderId="11" fillId="0" fontId="7" numFmtId="0" xfId="0" applyAlignment="1" applyBorder="1" applyFont="1">
      <alignment horizontal="center" shrinkToFit="0" vertical="center" wrapText="1"/>
    </xf>
    <xf borderId="15" fillId="0" fontId="7" numFmtId="0" xfId="0" applyAlignment="1" applyBorder="1" applyFont="1">
      <alignment horizontal="center" shrinkToFit="0" vertical="center" wrapText="1"/>
    </xf>
    <xf borderId="16" fillId="4" fontId="14" numFmtId="0" xfId="0" applyAlignment="1" applyBorder="1" applyFont="1">
      <alignment horizontal="center" vertical="center"/>
    </xf>
    <xf borderId="6" fillId="0" fontId="7" numFmtId="0" xfId="0" applyAlignment="1" applyBorder="1" applyFont="1">
      <alignment shrinkToFit="0" vertical="top" wrapText="1"/>
    </xf>
    <xf quotePrefix="1" borderId="6" fillId="0" fontId="7" numFmtId="0" xfId="0" applyAlignment="1" applyBorder="1" applyFont="1">
      <alignment horizontal="center" vertical="center"/>
    </xf>
    <xf borderId="2" fillId="0" fontId="7" numFmtId="0" xfId="0" applyAlignment="1" applyBorder="1" applyFont="1">
      <alignment horizontal="center" vertical="center"/>
    </xf>
    <xf borderId="6" fillId="0" fontId="7" numFmtId="0" xfId="0" applyAlignment="1" applyBorder="1" applyFont="1">
      <alignment horizontal="center" vertical="center"/>
    </xf>
    <xf borderId="10" fillId="0" fontId="7" numFmtId="0" xfId="0" applyAlignment="1" applyBorder="1" applyFont="1">
      <alignment horizontal="center" vertical="center"/>
    </xf>
    <xf borderId="2" fillId="0" fontId="7" numFmtId="0" xfId="0" applyAlignment="1" applyBorder="1" applyFont="1">
      <alignment vertical="center"/>
    </xf>
    <xf borderId="6" fillId="0" fontId="7" numFmtId="0" xfId="0" applyAlignment="1" applyBorder="1" applyFont="1">
      <alignment vertical="center"/>
    </xf>
    <xf borderId="2" fillId="0" fontId="7" numFmtId="0" xfId="0" applyBorder="1" applyFont="1"/>
    <xf borderId="2" fillId="0" fontId="7" numFmtId="0" xfId="0" applyAlignment="1" applyBorder="1" applyFont="1">
      <alignment horizontal="left"/>
    </xf>
    <xf borderId="10" fillId="0" fontId="7" numFmtId="0" xfId="0" applyBorder="1" applyFont="1"/>
    <xf borderId="6" fillId="0" fontId="7" numFmtId="0" xfId="0" applyBorder="1" applyFont="1"/>
    <xf borderId="2" fillId="0" fontId="12" numFmtId="0" xfId="0" applyAlignment="1" applyBorder="1" applyFont="1">
      <alignment horizontal="center"/>
    </xf>
    <xf borderId="0" fillId="0" fontId="41" numFmtId="0" xfId="0" applyFont="1"/>
    <xf borderId="2" fillId="0" fontId="42" numFmtId="0" xfId="0" applyAlignment="1" applyBorder="1" applyFont="1">
      <alignment horizontal="center"/>
    </xf>
    <xf borderId="2" fillId="0" fontId="42" numFmtId="0" xfId="0" applyAlignment="1" applyBorder="1" applyFont="1">
      <alignment horizontal="center" shrinkToFit="0" wrapText="1"/>
    </xf>
    <xf borderId="2" fillId="0" fontId="42" numFmtId="0" xfId="0" applyAlignment="1" applyBorder="1" applyFont="1">
      <alignment horizontal="center" shrinkToFit="0" vertical="top" wrapText="1"/>
    </xf>
    <xf borderId="2" fillId="0" fontId="10" numFmtId="0" xfId="0" applyBorder="1" applyFont="1"/>
    <xf borderId="2" fillId="0" fontId="10" numFmtId="14" xfId="0" applyBorder="1" applyFont="1" applyNumberFormat="1"/>
    <xf borderId="2" fillId="0" fontId="31" numFmtId="0" xfId="0" applyAlignment="1" applyBorder="1" applyFont="1">
      <alignment horizontal="center"/>
    </xf>
    <xf borderId="2" fillId="0" fontId="31" numFmtId="164" xfId="0" applyAlignment="1" applyBorder="1" applyFont="1" applyNumberFormat="1">
      <alignment horizontal="left" shrinkToFit="0" vertical="top" wrapText="1"/>
    </xf>
    <xf borderId="2" fillId="0" fontId="43" numFmtId="0" xfId="0" applyAlignment="1" applyBorder="1" applyFont="1">
      <alignment shrinkToFit="0" vertical="top" wrapText="1"/>
    </xf>
    <xf borderId="2" fillId="0" fontId="44" numFmtId="0" xfId="0" applyBorder="1" applyFont="1"/>
    <xf borderId="0" fillId="0" fontId="23" numFmtId="0" xfId="0" applyAlignment="1" applyFont="1">
      <alignment horizontal="left" vertical="top"/>
    </xf>
    <xf borderId="2" fillId="0" fontId="33" numFmtId="0" xfId="0" applyAlignment="1" applyBorder="1" applyFont="1">
      <alignment shrinkToFit="0" vertical="top" wrapText="1"/>
    </xf>
    <xf borderId="2" fillId="0" fontId="45" numFmtId="0" xfId="0" applyAlignment="1" applyBorder="1" applyFont="1">
      <alignment horizontal="left" shrinkToFit="0" wrapText="1"/>
    </xf>
    <xf borderId="2" fillId="0" fontId="7" numFmtId="0" xfId="0" applyAlignment="1" applyBorder="1" applyFont="1">
      <alignment horizontal="left" shrinkToFit="0" vertical="top" wrapText="1"/>
    </xf>
    <xf borderId="24" fillId="3" fontId="7" numFmtId="0" xfId="0" applyAlignment="1" applyBorder="1" applyFont="1">
      <alignment shrinkToFit="0" vertical="center" wrapText="1"/>
    </xf>
    <xf borderId="18" fillId="0" fontId="7" numFmtId="0" xfId="0" applyAlignment="1" applyBorder="1" applyFont="1">
      <alignment shrinkToFit="0" vertical="center" wrapText="1"/>
    </xf>
    <xf borderId="2" fillId="9" fontId="7" numFmtId="0" xfId="0" applyAlignment="1" applyBorder="1" applyFill="1" applyFont="1">
      <alignment horizontal="center"/>
    </xf>
    <xf borderId="2" fillId="9" fontId="7" numFmtId="0" xfId="0" applyAlignment="1" applyBorder="1" applyFont="1">
      <alignment shrinkToFit="0" vertical="top" wrapText="1"/>
    </xf>
    <xf borderId="24" fillId="3" fontId="15" numFmtId="0" xfId="0" applyAlignment="1" applyBorder="1" applyFont="1">
      <alignment shrinkToFit="0" vertical="center" wrapText="1"/>
    </xf>
    <xf borderId="4" fillId="3" fontId="15" numFmtId="0" xfId="0" applyAlignment="1" applyBorder="1" applyFont="1">
      <alignment shrinkToFit="0" vertical="center" wrapText="1"/>
    </xf>
    <xf borderId="34" fillId="0" fontId="15" numFmtId="0" xfId="0" applyAlignment="1" applyBorder="1" applyFont="1">
      <alignment shrinkToFit="0" vertical="center" wrapText="1"/>
    </xf>
    <xf borderId="4" fillId="3" fontId="7" numFmtId="0" xfId="0" applyAlignment="1" applyBorder="1" applyFont="1">
      <alignment shrinkToFit="0" vertical="center" wrapText="1"/>
    </xf>
    <xf borderId="35" fillId="3" fontId="15" numFmtId="0" xfId="0" applyAlignment="1" applyBorder="1" applyFont="1">
      <alignment shrinkToFit="0" vertical="center" wrapText="1"/>
    </xf>
    <xf borderId="2" fillId="0" fontId="46" numFmtId="0" xfId="0" applyAlignment="1" applyBorder="1" applyFont="1">
      <alignment shrinkToFit="0" wrapText="1"/>
    </xf>
    <xf borderId="2" fillId="0" fontId="31" numFmtId="49" xfId="0" applyAlignment="1" applyBorder="1" applyFont="1" applyNumberFormat="1">
      <alignment horizontal="center"/>
    </xf>
    <xf borderId="4" fillId="3" fontId="31" numFmtId="0" xfId="0" applyAlignment="1" applyBorder="1" applyFont="1">
      <alignment shrinkToFit="0" vertical="center" wrapText="1"/>
    </xf>
    <xf borderId="2" fillId="0" fontId="43" numFmtId="49" xfId="0" applyAlignment="1" applyBorder="1" applyFont="1" applyNumberFormat="1">
      <alignment shrinkToFit="0" vertical="top" wrapText="1"/>
    </xf>
    <xf borderId="36" fillId="3" fontId="7" numFmtId="0" xfId="0" applyAlignment="1" applyBorder="1" applyFont="1">
      <alignment shrinkToFit="0" vertical="center" wrapText="1"/>
    </xf>
    <xf borderId="24" fillId="3" fontId="15" numFmtId="0" xfId="0" applyAlignment="1" applyBorder="1" applyFont="1">
      <alignment horizontal="left" shrinkToFit="0" vertical="center" wrapText="1"/>
    </xf>
    <xf borderId="36" fillId="3" fontId="38" numFmtId="0" xfId="0" applyAlignment="1" applyBorder="1" applyFont="1">
      <alignment shrinkToFit="0" vertical="center" wrapText="1"/>
    </xf>
    <xf borderId="2" fillId="0" fontId="47" numFmtId="0" xfId="0" applyAlignment="1" applyBorder="1" applyFont="1">
      <alignment shrinkToFit="0" wrapText="1"/>
    </xf>
    <xf borderId="2" fillId="3" fontId="7" numFmtId="0" xfId="0" applyAlignment="1" applyBorder="1" applyFont="1">
      <alignment shrinkToFit="0" vertical="center" wrapText="1"/>
    </xf>
    <xf borderId="2" fillId="3" fontId="15" numFmtId="0" xfId="0" applyAlignment="1" applyBorder="1" applyFont="1">
      <alignment shrinkToFit="0" vertical="center" wrapText="1"/>
    </xf>
    <xf borderId="37" fillId="3" fontId="7" numFmtId="0" xfId="0" applyAlignment="1" applyBorder="1" applyFont="1">
      <alignment shrinkToFit="0" vertical="center" wrapText="1"/>
    </xf>
    <xf borderId="36" fillId="3" fontId="15" numFmtId="0" xfId="0" applyAlignment="1" applyBorder="1" applyFont="1">
      <alignment shrinkToFit="0" vertical="center" wrapText="1"/>
    </xf>
    <xf borderId="6" fillId="0" fontId="15" numFmtId="0" xfId="0" applyAlignment="1" applyBorder="1" applyFont="1">
      <alignment horizontal="left" shrinkToFit="0" vertical="center" wrapText="1"/>
    </xf>
    <xf borderId="38" fillId="0" fontId="15" numFmtId="0" xfId="0" applyAlignment="1" applyBorder="1" applyFont="1">
      <alignment shrinkToFit="0" vertical="center" wrapText="1"/>
    </xf>
    <xf borderId="2" fillId="0" fontId="48" numFmtId="0" xfId="0" applyAlignment="1" applyBorder="1" applyFont="1">
      <alignment horizontal="left" shrinkToFit="0" vertical="top" wrapText="1"/>
    </xf>
    <xf borderId="4" fillId="10" fontId="38" numFmtId="0" xfId="0" applyBorder="1" applyFill="1" applyFont="1"/>
    <xf borderId="2" fillId="0" fontId="49" numFmtId="0" xfId="0" applyAlignment="1" applyBorder="1" applyFont="1">
      <alignment horizontal="left" shrinkToFit="0" wrapText="1"/>
    </xf>
    <xf borderId="2" fillId="0" fontId="50" numFmtId="0" xfId="0" applyAlignment="1" applyBorder="1" applyFont="1">
      <alignment shrinkToFit="0" wrapText="1"/>
    </xf>
    <xf borderId="2" fillId="0" fontId="15" numFmtId="0" xfId="0" applyAlignment="1" applyBorder="1" applyFont="1">
      <alignment horizontal="center"/>
    </xf>
    <xf borderId="2" fillId="0" fontId="49" numFmtId="0" xfId="0" applyAlignment="1" applyBorder="1" applyFont="1">
      <alignment shrinkToFit="0" wrapText="1"/>
    </xf>
    <xf borderId="2" fillId="0" fontId="36" numFmtId="0" xfId="0" applyAlignment="1" applyBorder="1" applyFont="1">
      <alignment horizontal="center" shrinkToFit="0" wrapText="1"/>
    </xf>
    <xf borderId="2" fillId="0" fontId="33" numFmtId="0" xfId="0" applyAlignment="1" applyBorder="1" applyFont="1">
      <alignment shrinkToFit="0" wrapText="1"/>
    </xf>
    <xf borderId="2" fillId="0" fontId="35" numFmtId="0" xfId="0" applyAlignment="1" applyBorder="1" applyFont="1">
      <alignment horizontal="center" shrinkToFit="0" wrapText="1"/>
    </xf>
    <xf borderId="2" fillId="0" fontId="3" numFmtId="0" xfId="0" applyAlignment="1" applyBorder="1" applyFont="1">
      <alignment shrinkToFit="0" wrapText="1"/>
    </xf>
    <xf borderId="2" fillId="0" fontId="3" numFmtId="0" xfId="0" applyAlignment="1" applyBorder="1" applyFont="1">
      <alignment horizontal="left" shrinkToFit="0" wrapText="1"/>
    </xf>
    <xf borderId="2" fillId="0" fontId="33" numFmtId="164" xfId="0" applyAlignment="1" applyBorder="1" applyFont="1" applyNumberFormat="1">
      <alignment horizontal="left" shrinkToFit="0" vertical="top" wrapText="1"/>
    </xf>
    <xf borderId="2" fillId="0" fontId="36" numFmtId="0" xfId="0" applyAlignment="1" applyBorder="1" applyFont="1">
      <alignment shrinkToFit="0" vertical="center" wrapText="1"/>
    </xf>
    <xf borderId="2" fillId="0" fontId="7" numFmtId="164" xfId="0" applyAlignment="1" applyBorder="1" applyFont="1" applyNumberFormat="1">
      <alignment horizontal="left" shrinkToFit="0" vertical="top" wrapText="1"/>
    </xf>
    <xf borderId="2" fillId="3" fontId="7" numFmtId="0" xfId="0" applyAlignment="1" applyBorder="1" applyFont="1">
      <alignment shrinkToFit="0" vertical="top" wrapText="1"/>
    </xf>
    <xf borderId="2" fillId="0" fontId="15" numFmtId="0" xfId="0" applyAlignment="1" applyBorder="1" applyFont="1">
      <alignment horizontal="left" shrinkToFit="0" vertical="top" wrapText="1"/>
    </xf>
    <xf borderId="2" fillId="0" fontId="35" numFmtId="0" xfId="0" applyAlignment="1" applyBorder="1" applyFont="1">
      <alignment shrinkToFit="0" wrapText="1"/>
    </xf>
    <xf borderId="2" fillId="0" fontId="32" numFmtId="0" xfId="0" applyAlignment="1" applyBorder="1" applyFont="1">
      <alignment shrinkToFit="0" wrapText="1"/>
    </xf>
    <xf borderId="2" fillId="0" fontId="7" numFmtId="0" xfId="0" applyAlignment="1" applyBorder="1" applyFont="1">
      <alignment horizontal="center" shrinkToFit="0" wrapText="1"/>
    </xf>
    <xf borderId="2" fillId="0" fontId="49" numFmtId="0" xfId="0" applyAlignment="1" applyBorder="1" applyFont="1">
      <alignment horizontal="left" shrinkToFit="0" vertical="top" wrapText="1"/>
    </xf>
    <xf borderId="2" fillId="0" fontId="34" numFmtId="0" xfId="0" applyAlignment="1" applyBorder="1" applyFont="1">
      <alignment shrinkToFit="0" wrapText="1"/>
    </xf>
    <xf borderId="2" fillId="0" fontId="10" numFmtId="0" xfId="0" applyAlignment="1" applyBorder="1" applyFont="1">
      <alignment shrinkToFit="0" vertical="top" wrapText="1"/>
    </xf>
    <xf borderId="2" fillId="0" fontId="15" numFmtId="14" xfId="0" applyAlignment="1" applyBorder="1" applyFont="1" applyNumberFormat="1">
      <alignment horizontal="left" shrinkToFit="0" vertical="top" wrapText="1"/>
    </xf>
    <xf borderId="2" fillId="11" fontId="7" numFmtId="0" xfId="0" applyAlignment="1" applyBorder="1" applyFill="1" applyFont="1">
      <alignment shrinkToFit="0" vertical="center" wrapText="1"/>
    </xf>
    <xf borderId="2" fillId="3" fontId="7" numFmtId="0" xfId="0" applyAlignment="1" applyBorder="1" applyFont="1">
      <alignment horizontal="center"/>
    </xf>
    <xf borderId="2" fillId="3" fontId="7" numFmtId="0" xfId="0" applyAlignment="1" applyBorder="1" applyFont="1">
      <alignment shrinkToFit="0" wrapText="1"/>
    </xf>
    <xf borderId="2" fillId="3" fontId="10" numFmtId="0" xfId="0" applyBorder="1" applyFont="1"/>
    <xf borderId="2" fillId="3" fontId="10" numFmtId="14" xfId="0" applyBorder="1" applyFont="1" applyNumberFormat="1"/>
    <xf borderId="2" fillId="0" fontId="51" numFmtId="0" xfId="0" applyAlignment="1" applyBorder="1" applyFont="1">
      <alignment horizontal="center"/>
    </xf>
    <xf borderId="2" fillId="0" fontId="7" numFmtId="164" xfId="0" applyAlignment="1" applyBorder="1" applyFont="1" applyNumberFormat="1">
      <alignment horizontal="left" shrinkToFit="0" vertical="center" wrapText="1"/>
    </xf>
    <xf borderId="2" fillId="10" fontId="15" numFmtId="0" xfId="0" applyAlignment="1" applyBorder="1" applyFont="1">
      <alignment shrinkToFit="0" vertical="center" wrapText="1"/>
    </xf>
    <xf borderId="2" fillId="0" fontId="49" numFmtId="0" xfId="0" applyAlignment="1" applyBorder="1" applyFont="1">
      <alignment horizontal="center"/>
    </xf>
    <xf borderId="5" fillId="0" fontId="3" numFmtId="0" xfId="0" applyAlignment="1" applyBorder="1" applyFont="1">
      <alignment horizontal="center" vertical="center"/>
    </xf>
    <xf borderId="5" fillId="0" fontId="3" numFmtId="0" xfId="0" applyAlignment="1" applyBorder="1" applyFont="1">
      <alignment horizontal="left" shrinkToFit="0" vertical="center" wrapText="1"/>
    </xf>
    <xf borderId="5" fillId="0" fontId="3" numFmtId="14" xfId="0" applyAlignment="1" applyBorder="1" applyFont="1" applyNumberFormat="1">
      <alignment horizontal="center" vertical="center"/>
    </xf>
    <xf borderId="6" fillId="0" fontId="52" numFmtId="0" xfId="0" applyAlignment="1" applyBorder="1" applyFont="1">
      <alignment shrinkToFit="0" wrapText="1"/>
    </xf>
    <xf borderId="2" fillId="0" fontId="53" numFmtId="0" xfId="0" applyAlignment="1" applyBorder="1" applyFont="1">
      <alignment horizontal="left" shrinkToFit="0" wrapText="1"/>
    </xf>
    <xf borderId="2" fillId="0" fontId="54" numFmtId="0" xfId="0" applyAlignment="1" applyBorder="1" applyFont="1">
      <alignment horizontal="left" shrinkToFit="0" wrapText="1"/>
    </xf>
    <xf borderId="2" fillId="0" fontId="10" numFmtId="0" xfId="0" applyAlignment="1" applyBorder="1" applyFont="1">
      <alignment horizontal="left" shrinkToFit="0" vertical="top" wrapText="1"/>
    </xf>
    <xf borderId="2" fillId="0" fontId="23" numFmtId="0" xfId="0" applyAlignment="1" applyBorder="1" applyFont="1">
      <alignment shrinkToFit="0" wrapText="1"/>
    </xf>
    <xf borderId="10" fillId="0" fontId="46" numFmtId="0" xfId="0" applyAlignment="1" applyBorder="1" applyFont="1">
      <alignment shrinkToFit="0" wrapText="1"/>
    </xf>
    <xf borderId="2" fillId="8" fontId="15" numFmtId="0" xfId="0" applyAlignment="1" applyBorder="1" applyFont="1">
      <alignment horizontal="left" readingOrder="1" shrinkToFit="0" wrapText="1"/>
    </xf>
    <xf borderId="14" fillId="0" fontId="7" numFmtId="0" xfId="0" applyAlignment="1" applyBorder="1" applyFont="1">
      <alignment horizontal="left" shrinkToFit="0" vertical="center" wrapText="1"/>
    </xf>
    <xf borderId="15" fillId="0" fontId="7" numFmtId="0" xfId="0" applyAlignment="1" applyBorder="1" applyFont="1">
      <alignment horizontal="left" shrinkToFit="0" vertical="center" wrapText="1"/>
    </xf>
    <xf borderId="11" fillId="0" fontId="7" numFmtId="0" xfId="0" applyAlignment="1" applyBorder="1" applyFont="1">
      <alignment shrinkToFit="0" vertical="top" wrapText="1"/>
    </xf>
    <xf borderId="15" fillId="0" fontId="7" numFmtId="0" xfId="0" applyAlignment="1" applyBorder="1" applyFont="1">
      <alignment horizontal="left" vertical="center"/>
    </xf>
    <xf borderId="0" fillId="0" fontId="15" numFmtId="0" xfId="0" applyAlignment="1" applyFont="1">
      <alignment shrinkToFit="0" vertical="top" wrapText="1"/>
    </xf>
    <xf borderId="0" fillId="0" fontId="7" numFmtId="0" xfId="0" applyAlignment="1" applyFont="1">
      <alignment shrinkToFit="0" wrapText="1"/>
    </xf>
    <xf borderId="0" fillId="0" fontId="10" numFmtId="14" xfId="0" applyFont="1" applyNumberFormat="1"/>
    <xf borderId="2" fillId="10" fontId="15" numFmtId="0" xfId="0" applyBorder="1" applyFont="1"/>
    <xf borderId="2" fillId="0" fontId="15" numFmtId="0" xfId="0" applyAlignment="1" applyBorder="1" applyFont="1">
      <alignment horizontal="center" readingOrder="0"/>
    </xf>
    <xf borderId="12" fillId="0" fontId="7" numFmtId="0" xfId="0" applyAlignment="1" applyBorder="1" applyFont="1">
      <alignment horizontal="center"/>
    </xf>
    <xf borderId="0" fillId="0" fontId="15" numFmtId="0" xfId="0" applyAlignment="1" applyFont="1">
      <alignment horizontal="left" shrinkToFit="0" vertical="top" wrapText="1"/>
    </xf>
    <xf borderId="0" fillId="0" fontId="55" numFmtId="0" xfId="0" applyFont="1"/>
    <xf borderId="12" fillId="0" fontId="56" numFmtId="0" xfId="0" applyAlignment="1" applyBorder="1" applyFont="1">
      <alignment horizontal="center"/>
    </xf>
    <xf borderId="12" fillId="0" fontId="56" numFmtId="0" xfId="0" applyBorder="1" applyFont="1"/>
    <xf borderId="23" fillId="0" fontId="56" numFmtId="0" xfId="0" applyBorder="1" applyFont="1"/>
    <xf borderId="2" fillId="0" fontId="3" numFmtId="0" xfId="0" applyAlignment="1" applyBorder="1" applyFont="1">
      <alignment horizontal="center" shrinkToFit="0" wrapText="1"/>
    </xf>
    <xf borderId="6" fillId="0" fontId="3" numFmtId="2" xfId="0" applyBorder="1" applyFont="1" applyNumberFormat="1"/>
    <xf borderId="2" fillId="0" fontId="3" numFmtId="0" xfId="0" applyAlignment="1" applyBorder="1" applyFont="1">
      <alignment horizontal="center"/>
    </xf>
    <xf borderId="2" fillId="9" fontId="3" numFmtId="0" xfId="0" applyAlignment="1" applyBorder="1" applyFont="1">
      <alignment shrinkToFit="0" wrapText="1"/>
    </xf>
    <xf borderId="3" fillId="0" fontId="3" numFmtId="0" xfId="0" applyAlignment="1" applyBorder="1" applyFont="1">
      <alignment horizontal="center" vertical="center"/>
    </xf>
    <xf borderId="2" fillId="0" fontId="3" numFmtId="0" xfId="0" applyAlignment="1" applyBorder="1" applyFont="1">
      <alignment horizontal="center" vertical="center"/>
    </xf>
    <xf borderId="11" fillId="0" fontId="3" numFmtId="0" xfId="0" applyAlignment="1" applyBorder="1" applyFont="1">
      <alignment horizontal="center" vertical="center"/>
    </xf>
    <xf borderId="17" fillId="3" fontId="3" numFmtId="0" xfId="0" applyAlignment="1" applyBorder="1" applyFont="1">
      <alignment horizontal="center" vertical="center"/>
    </xf>
    <xf borderId="11" fillId="0" fontId="3" numFmtId="0" xfId="0" applyBorder="1" applyFont="1"/>
    <xf borderId="15" fillId="0" fontId="3" numFmtId="2" xfId="0" applyBorder="1" applyFont="1" applyNumberFormat="1"/>
    <xf borderId="2" fillId="0" fontId="7" numFmtId="0" xfId="0" applyAlignment="1" applyBorder="1" applyFont="1">
      <alignment horizontal="center"/>
    </xf>
    <xf borderId="2" fillId="0" fontId="10" numFmtId="0" xfId="0" applyBorder="1" applyFont="1"/>
    <xf borderId="39" fillId="12" fontId="57" numFmtId="0" xfId="0" applyAlignment="1" applyBorder="1" applyFill="1" applyFont="1">
      <alignment horizontal="center"/>
    </xf>
    <xf borderId="27" fillId="12" fontId="57" numFmtId="0" xfId="0" applyAlignment="1" applyBorder="1" applyFont="1">
      <alignment shrinkToFit="0" wrapText="1"/>
    </xf>
    <xf borderId="19" fillId="12" fontId="57" numFmtId="0" xfId="0" applyAlignment="1" applyBorder="1" applyFont="1">
      <alignment horizontal="center"/>
    </xf>
    <xf borderId="19" fillId="12" fontId="57" numFmtId="0" xfId="0" applyBorder="1" applyFont="1"/>
    <xf borderId="39" fillId="12" fontId="58" numFmtId="0" xfId="0" applyAlignment="1" applyBorder="1" applyFont="1">
      <alignment horizontal="left" vertical="top"/>
    </xf>
    <xf borderId="19" fillId="12" fontId="58" numFmtId="0" xfId="0" applyAlignment="1" applyBorder="1" applyFont="1">
      <alignment horizontal="left" vertical="top"/>
    </xf>
    <xf borderId="27" fillId="12" fontId="58" numFmtId="0" xfId="0" applyAlignment="1" applyBorder="1" applyFont="1">
      <alignment horizontal="left" vertical="top"/>
    </xf>
    <xf borderId="14" fillId="0" fontId="23" numFmtId="0" xfId="0" applyAlignment="1" applyBorder="1" applyFont="1">
      <alignment horizontal="left" vertical="top"/>
    </xf>
    <xf borderId="11" fillId="0" fontId="23" numFmtId="0" xfId="0" applyAlignment="1" applyBorder="1" applyFont="1">
      <alignment horizontal="left" vertical="top"/>
    </xf>
    <xf borderId="2" fillId="13" fontId="23" numFmtId="0" xfId="0" applyAlignment="1" applyBorder="1" applyFill="1" applyFont="1">
      <alignment horizontal="left" vertical="top"/>
    </xf>
    <xf borderId="15" fillId="0" fontId="23" numFmtId="0" xfId="0" applyAlignment="1" applyBorder="1" applyFont="1">
      <alignment horizontal="left" vertical="top"/>
    </xf>
    <xf borderId="2" fillId="12" fontId="58" numFmtId="0" xfId="0" applyAlignment="1" applyBorder="1" applyFont="1">
      <alignment horizontal="left" vertical="top"/>
    </xf>
    <xf borderId="2" fillId="0" fontId="23" numFmtId="0" xfId="0" applyAlignment="1" applyBorder="1" applyFont="1">
      <alignment horizontal="left" vertical="top"/>
    </xf>
    <xf borderId="17" fillId="13" fontId="23" numFmtId="0" xfId="0" applyAlignment="1" applyBorder="1" applyFont="1">
      <alignment horizontal="left" vertical="top"/>
    </xf>
    <xf borderId="2" fillId="14" fontId="23" numFmtId="0" xfId="0" applyAlignment="1" applyBorder="1" applyFill="1" applyFont="1">
      <alignment horizontal="left" vertical="top"/>
    </xf>
    <xf borderId="6" fillId="0" fontId="23" numFmtId="0" xfId="0" applyAlignment="1" applyBorder="1" applyFont="1">
      <alignment horizontal="left" vertical="top"/>
    </xf>
    <xf borderId="10" fillId="0" fontId="23" numFmtId="0" xfId="0" applyAlignment="1" applyBorder="1" applyFont="1">
      <alignment horizontal="left" vertical="top"/>
    </xf>
    <xf borderId="2" fillId="15" fontId="23" numFmtId="0" xfId="0" applyAlignment="1" applyBorder="1" applyFill="1" applyFont="1">
      <alignment horizontal="left" vertical="top"/>
    </xf>
    <xf borderId="11" fillId="0" fontId="50" numFmtId="0" xfId="0" applyAlignment="1" applyBorder="1" applyFont="1">
      <alignment horizontal="left" vertical="top"/>
    </xf>
    <xf borderId="17" fillId="14" fontId="23" numFmtId="0" xfId="0" applyAlignment="1" applyBorder="1" applyFont="1">
      <alignment horizontal="left" vertical="top"/>
    </xf>
    <xf borderId="24" fillId="14" fontId="23" numFmtId="0" xfId="0" applyAlignment="1" applyBorder="1" applyFont="1">
      <alignment horizontal="left" vertical="top"/>
    </xf>
    <xf borderId="12" fillId="0" fontId="23" numFmtId="0" xfId="0" applyAlignment="1" applyBorder="1" applyFont="1">
      <alignment horizontal="left" vertical="top"/>
    </xf>
    <xf borderId="0" fillId="0" fontId="59" numFmtId="0" xfId="0" applyAlignment="1" applyFont="1">
      <alignment horizontal="left" vertical="top"/>
    </xf>
    <xf borderId="0" fillId="0" fontId="60" numFmtId="0" xfId="0" applyAlignment="1" applyFont="1">
      <alignment horizontal="left" vertical="top"/>
    </xf>
    <xf borderId="0" fillId="0" fontId="23" numFmtId="0" xfId="0" applyAlignment="1" applyFont="1">
      <alignment horizontal="left" shrinkToFit="0" vertical="top" wrapText="1"/>
    </xf>
    <xf borderId="2" fillId="0" fontId="10" numFmtId="49" xfId="0" applyAlignment="1" applyBorder="1" applyFont="1" applyNumberFormat="1">
      <alignment horizontal="left" vertical="top"/>
    </xf>
    <xf borderId="12" fillId="0" fontId="10" numFmtId="49" xfId="0" applyAlignment="1" applyBorder="1" applyFont="1" applyNumberFormat="1">
      <alignment horizontal="left" vertical="top"/>
    </xf>
    <xf borderId="0" fillId="0" fontId="10" numFmtId="0" xfId="0" applyAlignment="1" applyFont="1">
      <alignment horizontal="left" shrinkToFit="0" vertical="top" wrapText="1"/>
    </xf>
    <xf borderId="0" fillId="0" fontId="61" numFmtId="0" xfId="0" applyAlignment="1" applyFont="1">
      <alignment horizontal="left" vertical="top"/>
    </xf>
    <xf borderId="0" fillId="0" fontId="50" numFmtId="0" xfId="0" applyAlignment="1" applyFont="1">
      <alignment horizontal="left" shrinkToFit="0" vertical="top" wrapText="1"/>
    </xf>
    <xf borderId="0" fillId="0" fontId="10" numFmtId="0" xfId="0" applyAlignment="1" applyFont="1">
      <alignment horizontal="left" vertical="top"/>
    </xf>
    <xf borderId="0" fillId="0" fontId="55" numFmtId="0" xfId="0" applyAlignment="1" applyFont="1">
      <alignment horizontal="left" vertical="top"/>
    </xf>
    <xf borderId="0" fillId="0" fontId="62" numFmtId="0" xfId="0" applyAlignment="1" applyFont="1">
      <alignment horizontal="left" vertical="top"/>
    </xf>
    <xf borderId="0" fillId="0" fontId="50" numFmtId="0" xfId="0" applyAlignment="1" applyFont="1">
      <alignment horizontal="left" vertical="top"/>
    </xf>
    <xf borderId="0" fillId="0" fontId="55" numFmtId="0" xfId="0" applyFont="1"/>
    <xf borderId="0" fillId="0" fontId="18" numFmtId="0" xfId="0" applyFont="1"/>
    <xf borderId="0" fillId="0" fontId="50" numFmtId="0" xfId="0" applyFont="1"/>
    <xf borderId="16" fillId="11" fontId="50" numFmtId="0" xfId="0" applyAlignment="1" applyBorder="1" applyFont="1">
      <alignment shrinkToFit="0" wrapText="1"/>
    </xf>
    <xf borderId="22" fillId="16" fontId="63" numFmtId="0" xfId="0" applyAlignment="1" applyBorder="1" applyFill="1" applyFont="1">
      <alignment shrinkToFit="0" wrapText="1"/>
    </xf>
    <xf borderId="40" fillId="9" fontId="63" numFmtId="0" xfId="0" applyBorder="1" applyFont="1"/>
    <xf borderId="40" fillId="9" fontId="64" numFmtId="0" xfId="0" applyBorder="1" applyFont="1"/>
    <xf borderId="2" fillId="0" fontId="63" numFmtId="0" xfId="0" applyAlignment="1" applyBorder="1" applyFont="1">
      <alignment shrinkToFit="0" wrapText="1"/>
    </xf>
    <xf borderId="2" fillId="0" fontId="65" numFmtId="0" xfId="0" applyAlignment="1" applyBorder="1" applyFont="1">
      <alignment horizontal="center"/>
    </xf>
    <xf borderId="0" fillId="0" fontId="66" numFmtId="0" xfId="0" applyAlignment="1" applyFont="1">
      <alignment shrinkToFit="0" wrapText="1"/>
    </xf>
    <xf borderId="0" fillId="0" fontId="66" numFmtId="0" xfId="0" applyAlignment="1" applyFont="1">
      <alignment horizontal="center" shrinkToFit="0" wrapText="1"/>
    </xf>
    <xf borderId="0" fillId="0" fontId="3" numFmtId="0" xfId="0" applyAlignment="1" applyFont="1">
      <alignment horizontal="center"/>
    </xf>
    <xf borderId="2" fillId="16" fontId="63" numFmtId="0" xfId="0" applyAlignment="1" applyBorder="1" applyFont="1">
      <alignment shrinkToFit="0" wrapText="1"/>
    </xf>
    <xf borderId="16" fillId="9" fontId="63" numFmtId="0" xfId="0" applyBorder="1" applyFont="1"/>
    <xf borderId="24" fillId="9" fontId="63" numFmtId="0" xfId="0" applyBorder="1" applyFont="1"/>
    <xf borderId="2" fillId="9" fontId="63" numFmtId="0" xfId="0" applyBorder="1" applyFont="1"/>
    <xf borderId="21" fillId="9" fontId="63" numFmtId="0" xfId="0" applyBorder="1" applyFont="1"/>
    <xf borderId="16" fillId="9" fontId="63" numFmtId="0" xfId="0" applyAlignment="1" applyBorder="1" applyFont="1">
      <alignment shrinkToFit="0" wrapText="1"/>
    </xf>
    <xf borderId="12" fillId="0" fontId="63" numFmtId="0" xfId="0" applyAlignment="1" applyBorder="1" applyFont="1">
      <alignment shrinkToFit="0" wrapText="1"/>
    </xf>
    <xf borderId="33" fillId="0" fontId="4" numFmtId="0" xfId="0" applyBorder="1" applyFont="1"/>
    <xf borderId="25" fillId="0" fontId="4" numFmtId="0" xfId="0" applyBorder="1" applyFont="1"/>
    <xf borderId="2" fillId="0" fontId="4" numFmtId="0" xfId="0" applyBorder="1" applyFont="1"/>
    <xf borderId="10" fillId="0" fontId="4" numFmtId="0" xfId="0" applyBorder="1" applyFont="1"/>
    <xf borderId="2" fillId="0" fontId="3" numFmtId="0" xfId="0" applyAlignment="1" applyBorder="1" applyFont="1">
      <alignment horizontal="center"/>
    </xf>
    <xf borderId="33" fillId="0" fontId="4" numFmtId="0" xfId="0" applyAlignment="1" applyBorder="1" applyFont="1">
      <alignment shrinkToFit="0" wrapText="1"/>
    </xf>
    <xf borderId="32" fillId="0" fontId="4" numFmtId="0" xfId="0" applyAlignment="1" applyBorder="1" applyFont="1">
      <alignment shrinkToFit="0" wrapText="1"/>
    </xf>
    <xf borderId="25" fillId="0" fontId="4" numFmtId="0" xfId="0" applyAlignment="1" applyBorder="1" applyFont="1">
      <alignment shrinkToFit="0" wrapText="1"/>
    </xf>
    <xf borderId="2" fillId="0" fontId="4" numFmtId="0" xfId="0" applyAlignment="1" applyBorder="1" applyFont="1">
      <alignment shrinkToFit="0" wrapText="1"/>
    </xf>
    <xf borderId="12" fillId="0" fontId="4" numFmtId="0" xfId="0" applyAlignment="1" applyBorder="1" applyFont="1">
      <alignment shrinkToFit="0" wrapText="1"/>
    </xf>
    <xf borderId="0" fillId="0" fontId="3" numFmtId="0" xfId="0" applyAlignment="1" applyFont="1">
      <alignment shrinkToFit="0" wrapText="1"/>
    </xf>
    <xf borderId="0" fillId="0" fontId="3" numFmtId="0" xfId="0" applyAlignment="1" applyFont="1">
      <alignment horizontal="center" shrinkToFit="0" wrapText="1"/>
    </xf>
    <xf borderId="1" fillId="17" fontId="67" numFmtId="0" xfId="0" applyAlignment="1" applyBorder="1" applyFill="1" applyFont="1">
      <alignment shrinkToFit="0" wrapText="1"/>
    </xf>
    <xf borderId="1" fillId="17" fontId="67" numFmtId="0" xfId="0" applyAlignment="1" applyBorder="1" applyFont="1">
      <alignment horizontal="center" shrinkToFit="0" wrapText="1"/>
    </xf>
    <xf borderId="1" fillId="17" fontId="67" numFmtId="0" xfId="0" applyAlignment="1" applyBorder="1" applyFont="1">
      <alignment horizontal="center"/>
    </xf>
    <xf borderId="2" fillId="0" fontId="67" numFmtId="0" xfId="0" applyAlignment="1" applyBorder="1" applyFont="1">
      <alignment shrinkToFit="0" wrapText="1"/>
    </xf>
    <xf borderId="0" fillId="0" fontId="67" numFmtId="0" xfId="0" applyAlignment="1" applyFont="1">
      <alignment horizontal="center"/>
    </xf>
    <xf borderId="2" fillId="9" fontId="67" numFmtId="0" xfId="0" applyAlignment="1" applyBorder="1" applyFont="1">
      <alignment shrinkToFit="0" wrapText="1"/>
    </xf>
    <xf borderId="2" fillId="9" fontId="3" numFmtId="0" xfId="0" applyAlignment="1" applyBorder="1" applyFont="1">
      <alignment horizontal="center"/>
    </xf>
    <xf borderId="2" fillId="0" fontId="67" numFmtId="0" xfId="0" applyAlignment="1" applyBorder="1" applyFont="1">
      <alignment horizontal="left" shrinkToFit="0" wrapText="1"/>
    </xf>
    <xf borderId="0" fillId="0" fontId="62" numFmtId="0" xfId="0" applyFont="1"/>
    <xf borderId="41" fillId="0" fontId="68" numFmtId="0" xfId="0" applyAlignment="1" applyBorder="1" applyFont="1">
      <alignment horizontal="left"/>
    </xf>
    <xf borderId="0" fillId="0" fontId="7" numFmtId="0" xfId="0" applyAlignment="1" applyFont="1">
      <alignment horizontal="center"/>
    </xf>
    <xf borderId="0" fillId="0" fontId="12" numFmtId="0" xfId="0" applyAlignment="1" applyFont="1">
      <alignment horizontal="center"/>
    </xf>
    <xf borderId="0" fillId="0" fontId="42" numFmtId="0" xfId="0" applyAlignment="1" applyFont="1">
      <alignment horizontal="center"/>
    </xf>
    <xf borderId="10" fillId="0" fontId="7" numFmtId="0" xfId="0" applyAlignment="1" applyBorder="1" applyFont="1">
      <alignment horizontal="center"/>
    </xf>
    <xf borderId="14" fillId="0" fontId="7" numFmtId="0" xfId="0" applyAlignment="1" applyBorder="1" applyFont="1">
      <alignment horizontal="center"/>
    </xf>
    <xf borderId="42" fillId="18" fontId="69" numFmtId="0" xfId="0" applyAlignment="1" applyBorder="1" applyFill="1" applyFont="1">
      <alignment shrinkToFit="0" vertical="top" wrapText="1"/>
    </xf>
    <xf borderId="42" fillId="0" fontId="10" numFmtId="0" xfId="0" applyBorder="1" applyFont="1"/>
    <xf borderId="42" fillId="0" fontId="10" numFmtId="0" xfId="0" applyAlignment="1" applyBorder="1" applyFont="1">
      <alignment shrinkToFit="0" wrapText="1"/>
    </xf>
    <xf borderId="43" fillId="0" fontId="70" numFmtId="0" xfId="0" applyAlignment="1" applyBorder="1" applyFont="1">
      <alignment shrinkToFit="0" vertical="center" wrapText="1"/>
    </xf>
    <xf borderId="0" fillId="0" fontId="71" numFmtId="0" xfId="0" applyAlignment="1" applyFont="1">
      <alignment shrinkToFit="0" vertical="center" wrapText="1"/>
    </xf>
    <xf borderId="0" fillId="0" fontId="70" numFmtId="0" xfId="0" applyAlignment="1" applyFont="1">
      <alignment shrinkToFit="0" vertical="center" wrapText="1"/>
    </xf>
    <xf borderId="44" fillId="0" fontId="72" numFmtId="0" xfId="0" applyAlignment="1" applyBorder="1" applyFont="1">
      <alignment shrinkToFit="0" vertical="center" wrapText="1"/>
    </xf>
    <xf borderId="44" fillId="0" fontId="10" numFmtId="0" xfId="0" applyAlignment="1" applyBorder="1" applyFont="1">
      <alignment shrinkToFit="0" vertical="top" wrapText="1"/>
    </xf>
    <xf borderId="44" fillId="0" fontId="73" numFmtId="0" xfId="0" applyBorder="1" applyFont="1"/>
    <xf borderId="44" fillId="0" fontId="71" numFmtId="0" xfId="0" applyAlignment="1" applyBorder="1" applyFont="1">
      <alignment shrinkToFit="0" vertical="center" wrapText="1"/>
    </xf>
    <xf borderId="1" fillId="19" fontId="51" numFmtId="0" xfId="0" applyAlignment="1" applyBorder="1" applyFill="1" applyFont="1">
      <alignment shrinkToFit="0" vertical="center" wrapText="1"/>
    </xf>
    <xf borderId="1" fillId="19" fontId="53" numFmtId="0" xfId="0" applyAlignment="1" applyBorder="1" applyFont="1">
      <alignment horizontal="left" shrinkToFit="0" vertical="center" wrapText="1"/>
    </xf>
    <xf borderId="0" fillId="0" fontId="53" numFmtId="0" xfId="0" applyAlignment="1" applyFont="1">
      <alignment shrinkToFit="0" vertical="center" wrapText="1"/>
    </xf>
    <xf borderId="0" fillId="0" fontId="53" numFmtId="0" xfId="0" applyAlignment="1" applyFont="1">
      <alignment horizontal="left" shrinkToFit="0" vertical="center" wrapText="1"/>
    </xf>
    <xf borderId="0" fillId="0" fontId="51" numFmtId="0" xfId="0" applyAlignment="1" applyFont="1">
      <alignment shrinkToFit="0" vertical="center" wrapText="1"/>
    </xf>
    <xf borderId="1" fillId="9" fontId="53" numFmtId="0" xfId="0" applyAlignment="1" applyBorder="1" applyFont="1">
      <alignment shrinkToFit="0" vertical="center" wrapText="1"/>
    </xf>
    <xf borderId="45" fillId="0" fontId="53" numFmtId="0" xfId="0" applyAlignment="1" applyBorder="1" applyFont="1">
      <alignment shrinkToFit="0" vertical="center" wrapText="1"/>
    </xf>
    <xf borderId="45" fillId="0" fontId="53" numFmtId="0" xfId="0" applyAlignment="1" applyBorder="1" applyFont="1">
      <alignment horizontal="left" shrinkToFit="0" vertical="center" wrapText="1"/>
    </xf>
    <xf borderId="39" fillId="2" fontId="74" numFmtId="0" xfId="0" applyAlignment="1" applyBorder="1" applyFont="1">
      <alignment horizontal="center" shrinkToFit="0" wrapText="1"/>
    </xf>
    <xf borderId="19" fillId="2" fontId="74" numFmtId="0" xfId="0" applyAlignment="1" applyBorder="1" applyFont="1">
      <alignment horizontal="center" shrinkToFit="0" wrapText="1"/>
    </xf>
    <xf borderId="27" fillId="2" fontId="74" numFmtId="0" xfId="0" applyAlignment="1" applyBorder="1" applyFont="1">
      <alignment horizontal="center" shrinkToFit="0" wrapText="1"/>
    </xf>
    <xf borderId="0" fillId="0" fontId="75" numFmtId="0" xfId="0" applyAlignment="1" applyFont="1">
      <alignment shrinkToFit="0" wrapText="1"/>
    </xf>
    <xf borderId="10" fillId="0" fontId="76" numFmtId="0" xfId="0" applyAlignment="1" applyBorder="1" applyFont="1">
      <alignment shrinkToFit="0" wrapText="1"/>
    </xf>
    <xf borderId="2" fillId="0" fontId="36" numFmtId="0" xfId="0" applyAlignment="1" applyBorder="1" applyFont="1">
      <alignment shrinkToFit="0" wrapText="1"/>
    </xf>
    <xf borderId="6" fillId="0" fontId="36" numFmtId="0" xfId="0" applyAlignment="1" applyBorder="1" applyFont="1">
      <alignment shrinkToFit="0" wrapText="1"/>
    </xf>
    <xf borderId="0" fillId="0" fontId="36" numFmtId="0" xfId="0" applyAlignment="1" applyFont="1">
      <alignment shrinkToFit="0" wrapText="1"/>
    </xf>
    <xf borderId="14" fillId="0" fontId="76" numFmtId="0" xfId="0" applyAlignment="1" applyBorder="1" applyFont="1">
      <alignment shrinkToFit="0" wrapText="1"/>
    </xf>
    <xf borderId="11" fillId="0" fontId="36" numFmtId="0" xfId="0" applyAlignment="1" applyBorder="1" applyFont="1">
      <alignment shrinkToFit="0" wrapText="1"/>
    </xf>
    <xf borderId="15" fillId="0" fontId="36" numFmtId="0" xfId="0" applyAlignment="1" applyBorder="1" applyFont="1">
      <alignment shrinkToFit="0" wrapText="1"/>
    </xf>
    <xf borderId="0" fillId="0" fontId="64" numFmtId="0" xfId="0" applyFont="1"/>
    <xf borderId="0" fillId="0" fontId="77" numFmtId="0" xfId="0" applyAlignment="1" applyFont="1">
      <alignment horizontal="left"/>
    </xf>
    <xf borderId="0" fillId="0" fontId="53" numFmtId="0" xfId="0" applyAlignment="1" applyFont="1">
      <alignment horizontal="left" shrinkToFit="0" wrapText="1"/>
    </xf>
    <xf borderId="0" fillId="0" fontId="53" numFmtId="49" xfId="0" applyAlignment="1" applyFont="1" applyNumberFormat="1">
      <alignment horizontal="left" shrinkToFit="0" wrapText="1"/>
    </xf>
    <xf borderId="0" fillId="0" fontId="70" numFmtId="0" xfId="0" applyAlignment="1" applyFont="1">
      <alignment horizontal="left"/>
    </xf>
    <xf borderId="0" fillId="0" fontId="70" numFmtId="0" xfId="0" applyAlignment="1" applyFont="1">
      <alignment horizontal="left" shrinkToFit="0" wrapText="1"/>
    </xf>
    <xf borderId="2" fillId="14" fontId="70" numFmtId="0" xfId="0" applyAlignment="1" applyBorder="1" applyFont="1">
      <alignment horizontal="center" shrinkToFit="0" wrapText="1"/>
    </xf>
    <xf borderId="2" fillId="14" fontId="70" numFmtId="49" xfId="0" applyAlignment="1" applyBorder="1" applyFont="1" applyNumberFormat="1">
      <alignment horizontal="center" shrinkToFit="0" wrapText="1"/>
    </xf>
    <xf borderId="2" fillId="3" fontId="70" numFmtId="0" xfId="0" applyAlignment="1" applyBorder="1" applyFont="1">
      <alignment horizontal="center" shrinkToFit="0" wrapText="1"/>
    </xf>
    <xf borderId="0" fillId="0" fontId="70" numFmtId="0" xfId="0" applyAlignment="1" applyFont="1">
      <alignment horizontal="center" shrinkToFit="0" wrapText="1"/>
    </xf>
    <xf borderId="2" fillId="9" fontId="70" numFmtId="0" xfId="0" applyAlignment="1" applyBorder="1" applyFont="1">
      <alignment horizontal="left" shrinkToFit="0" wrapText="1"/>
    </xf>
    <xf borderId="2" fillId="11" fontId="53" numFmtId="0" xfId="0" applyAlignment="1" applyBorder="1" applyFont="1">
      <alignment horizontal="left" shrinkToFit="0" wrapText="1"/>
    </xf>
    <xf borderId="2" fillId="11" fontId="53" numFmtId="49" xfId="0" applyAlignment="1" applyBorder="1" applyFont="1" applyNumberFormat="1">
      <alignment horizontal="left" shrinkToFit="0" wrapText="1"/>
    </xf>
    <xf borderId="2" fillId="11" fontId="78" numFmtId="0" xfId="0" applyAlignment="1" applyBorder="1" applyFont="1">
      <alignment horizontal="left" shrinkToFit="0" wrapText="1"/>
    </xf>
    <xf borderId="2" fillId="0" fontId="53" numFmtId="0" xfId="0" applyAlignment="1" applyBorder="1" applyFont="1">
      <alignment horizontal="left" shrinkToFit="0" wrapText="1"/>
    </xf>
    <xf borderId="1" fillId="11" fontId="53" numFmtId="0" xfId="0" applyAlignment="1" applyBorder="1" applyFont="1">
      <alignment horizontal="left" shrinkToFit="0" wrapText="1"/>
    </xf>
    <xf borderId="2" fillId="0" fontId="70" numFmtId="0" xfId="0" applyAlignment="1" applyBorder="1" applyFont="1">
      <alignment horizontal="left" shrinkToFit="0" wrapText="1"/>
    </xf>
    <xf borderId="2" fillId="0" fontId="53" numFmtId="49" xfId="0" applyAlignment="1" applyBorder="1" applyFont="1" applyNumberFormat="1">
      <alignment horizontal="left" shrinkToFit="0" wrapText="1"/>
    </xf>
    <xf borderId="2" fillId="0" fontId="32" numFmtId="0" xfId="0" applyBorder="1" applyFont="1"/>
    <xf borderId="2" fillId="11" fontId="70" numFmtId="0" xfId="0" applyAlignment="1" applyBorder="1" applyFont="1">
      <alignment horizontal="left" shrinkToFit="0" wrapText="1"/>
    </xf>
    <xf borderId="2" fillId="9" fontId="53" numFmtId="0" xfId="0" applyAlignment="1" applyBorder="1" applyFont="1">
      <alignment horizontal="left" shrinkToFit="0" wrapText="1"/>
    </xf>
    <xf borderId="2" fillId="9" fontId="53" numFmtId="49" xfId="0" applyAlignment="1" applyBorder="1" applyFont="1" applyNumberFormat="1">
      <alignment horizontal="left" shrinkToFit="0" wrapText="1"/>
    </xf>
    <xf borderId="1" fillId="9" fontId="53" numFmtId="0" xfId="0" applyAlignment="1" applyBorder="1" applyFont="1">
      <alignment horizontal="left" shrinkToFit="0" wrapText="1"/>
    </xf>
    <xf borderId="0" fillId="0" fontId="79" numFmtId="0" xfId="0" applyFont="1"/>
    <xf borderId="0" fillId="0" fontId="10" numFmtId="2" xfId="0" applyFont="1" applyNumberFormat="1"/>
    <xf borderId="0" fillId="0" fontId="10" numFmtId="49" xfId="0" applyFont="1" applyNumberFormat="1"/>
    <xf borderId="0" fillId="0" fontId="80" numFmtId="0" xfId="0" applyAlignment="1" applyFont="1">
      <alignment horizontal="left"/>
    </xf>
    <xf borderId="46" fillId="20" fontId="81" numFmtId="0" xfId="0" applyAlignment="1" applyBorder="1" applyFill="1" applyFont="1">
      <alignment horizontal="center" shrinkToFit="0" wrapText="1"/>
    </xf>
    <xf borderId="47" fillId="20" fontId="81" numFmtId="0" xfId="0" applyAlignment="1" applyBorder="1" applyFont="1">
      <alignment horizontal="center" shrinkToFit="0" wrapText="1"/>
    </xf>
    <xf borderId="0" fillId="0" fontId="82" numFmtId="0" xfId="0" applyFont="1"/>
    <xf borderId="48" fillId="12" fontId="83" numFmtId="0" xfId="0" applyAlignment="1" applyBorder="1" applyFont="1">
      <alignment shrinkToFit="0" wrapText="1"/>
    </xf>
    <xf borderId="49" fillId="12" fontId="84" numFmtId="0" xfId="0" applyAlignment="1" applyBorder="1" applyFont="1">
      <alignment shrinkToFit="0" wrapText="1"/>
    </xf>
    <xf borderId="48" fillId="9" fontId="83" numFmtId="0" xfId="0" applyAlignment="1" applyBorder="1" applyFont="1">
      <alignment shrinkToFit="0" wrapText="1"/>
    </xf>
    <xf borderId="50" fillId="0" fontId="83" numFmtId="0" xfId="0" applyAlignment="1" applyBorder="1" applyFont="1">
      <alignment shrinkToFit="0" wrapText="1"/>
    </xf>
    <xf borderId="51" fillId="0" fontId="84" numFmtId="0" xfId="0" applyAlignment="1" applyBorder="1" applyFont="1">
      <alignment shrinkToFit="0" wrapText="1"/>
    </xf>
    <xf borderId="49" fillId="12" fontId="85" numFmtId="0" xfId="0" applyAlignment="1" applyBorder="1" applyFont="1">
      <alignment shrinkToFit="0" wrapText="1"/>
    </xf>
  </cellXfs>
  <cellStyles count="1">
    <cellStyle xfId="0" name="Normal" builtinId="0"/>
  </cellStyles>
  <dxfs count="4">
    <dxf>
      <font/>
      <fill>
        <patternFill patternType="none"/>
      </fill>
      <border/>
    </dxf>
    <dxf>
      <font/>
      <fill>
        <patternFill patternType="solid">
          <fgColor theme="1"/>
          <bgColor theme="1"/>
        </patternFill>
      </fill>
      <border/>
    </dxf>
    <dxf>
      <font/>
      <fill>
        <patternFill patternType="solid">
          <fgColor rgb="FFD8D8D8"/>
          <bgColor rgb="FFD8D8D8"/>
        </patternFill>
      </fill>
      <border/>
    </dxf>
    <dxf>
      <font/>
      <fill>
        <patternFill patternType="solid">
          <fgColor theme="0"/>
          <bgColor theme="0"/>
        </patternFill>
      </fill>
      <border/>
    </dxf>
  </dxfs>
  <tableStyles count="6">
    <tableStyle count="3" pivot="0" name="Master Sheet-style">
      <tableStyleElement dxfId="1" type="headerRow"/>
      <tableStyleElement dxfId="2" type="firstRowStripe"/>
      <tableStyleElement dxfId="3" type="secondRowStripe"/>
    </tableStyle>
    <tableStyle count="3" pivot="0" name="Expected Auditing Outcomes-style">
      <tableStyleElement dxfId="1" type="headerRow"/>
      <tableStyleElement dxfId="2" type="firstRowStripe"/>
      <tableStyleElement dxfId="3" type="secondRowStripe"/>
    </tableStyle>
    <tableStyle count="3" pivot="0" name="Removed Pattern Rationale-style">
      <tableStyleElement dxfId="1" type="headerRow"/>
      <tableStyleElement dxfId="2" type="firstRowStripe"/>
      <tableStyleElement dxfId="3" type="secondRowStripe"/>
    </tableStyle>
    <tableStyle count="3" pivot="0" name="Pattern CROSSWALK-style">
      <tableStyleElement dxfId="1" type="headerRow"/>
      <tableStyleElement dxfId="2" type="firstRowStripe"/>
      <tableStyleElement dxfId="3" type="secondRowStripe"/>
    </tableStyle>
    <tableStyle count="3" pivot="0" name="MASTER-style">
      <tableStyleElement dxfId="1" type="headerRow"/>
      <tableStyleElement dxfId="2" type="firstRowStripe"/>
      <tableStyleElement dxfId="3" type="secondRowStripe"/>
    </tableStyle>
    <tableStyle count="3" pivot="0" name="(STM) Effective 04.29.2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161925</xdr:colOff>
      <xdr:row>1</xdr:row>
      <xdr:rowOff>19050</xdr:rowOff>
    </xdr:from>
    <xdr:ext cx="6429375" cy="40195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AL1371" displayName="Table_1" name="Table_1" id="1">
  <tableColumns count="38">
    <tableColumn name="Pattern" id="1"/>
    <tableColumn name="Default Pattern" id="2"/>
    <tableColumn name="Minimum PMM Version" id="3"/>
    <tableColumn name="STATE" id="4"/>
    <tableColumn name="Edit Type" id="5"/>
    <tableColumn name="POLICY_NAME" id="6"/>
    <tableColumn name="Pattern Description" id="7"/>
    <tableColumn name="QRULES" id="8"/>
    <tableColumn name="CLAIM_TYPE" id="9"/>
    <tableColumn name="FREQ INDIV/GRP" id="10"/>
    <tableColumn name="FREQ POLICY/PROC" id="11"/>
    <tableColumn name="DATE SPAN" id="12"/>
    <tableColumn name="SAME DAY FLAG" id="13"/>
    <tableColumn name="QTY" id="14"/>
    <tableColumn name="ADD LINE" id="15"/>
    <tableColumn name="PROV MATCH" id="16"/>
    <tableColumn name="DX" id="17"/>
    <tableColumn name="PROV TYPE" id="18"/>
    <tableColumn name="MOD" id="19"/>
    <tableColumn name="POS" id="20"/>
    <tableColumn name="REV" id="21"/>
    <tableColumn name="BILL TYPE" id="22"/>
    <tableColumn name="PROV SPEC" id="23"/>
    <tableColumn name="AGE" id="24"/>
    <tableColumn name="CONDITION CODE" id="25"/>
    <tableColumn name="GENDER" id="26"/>
    <tableColumn name="Admission Type" id="27"/>
    <tableColumn name="Present On Admission Indicator" id="28"/>
    <tableColumn name="NUBC (Value Code)" id="29"/>
    <tableColumn name="TOS" id="30"/>
    <tableColumn name="ECI" id="31"/>
    <tableColumn name="Billed Amount" id="32"/>
    <tableColumn name="ICD10 Proc" id="33"/>
    <tableColumn name="OCCURRENCE CODE" id="34"/>
    <tableColumn name="Taxonomy Code" id="35"/>
    <tableColumn name="AUTH NUMBER" id="36"/>
    <tableColumn name="DISCHARGE STATUS" id="37"/>
    <tableColumn name="Member State" id="38"/>
  </tableColumns>
  <tableStyleInfo name="Master Sheet-style" showColumnStripes="0" showFirstColumn="1" showLastColumn="1" showRowStripes="1"/>
</table>
</file>

<file path=xl/tables/table2.xml><?xml version="1.0" encoding="utf-8"?>
<table xmlns="http://schemas.openxmlformats.org/spreadsheetml/2006/main" ref="B1:H3017" displayName="Table_2" name="Table_2" id="2">
  <tableColumns count="7">
    <tableColumn name="STM PATTERN #" id="1"/>
    <tableColumn name="DEFAULT Pattern #" id="2"/>
    <tableColumn name="EDIT TYPE" id="3"/>
    <tableColumn name="PATTERN DESCRIPTION" id="4"/>
    <tableColumn name="Expected Auditing Outcome" id="5"/>
    <tableColumn name="Characters" id="6"/>
    <tableColumn name="Revised Date" id="7"/>
  </tableColumns>
  <tableStyleInfo name="Expected Auditing Outcomes-style" showColumnStripes="0" showFirstColumn="1" showLastColumn="1" showRowStripes="1"/>
</table>
</file>

<file path=xl/tables/table3.xml><?xml version="1.0" encoding="utf-8"?>
<table xmlns="http://schemas.openxmlformats.org/spreadsheetml/2006/main" ref="A1:C158" displayName="Table_3" name="Table_3" id="3">
  <tableColumns count="3">
    <tableColumn name="Pattern" id="1"/>
    <tableColumn name="Rationale" id="2"/>
    <tableColumn name="Impacted Framework" id="3"/>
  </tableColumns>
  <tableStyleInfo name="Removed Pattern Rationale-style" showColumnStripes="0" showFirstColumn="1" showLastColumn="1" showRowStripes="1"/>
</table>
</file>

<file path=xl/tables/table4.xml><?xml version="1.0" encoding="utf-8"?>
<table xmlns="http://schemas.openxmlformats.org/spreadsheetml/2006/main" ref="A2:C71" displayName="Table_4" name="Table_4" id="4">
  <tableColumns count="3">
    <tableColumn name="Impacted Pattern" id="1"/>
    <tableColumn name="XWALK" id="2"/>
    <tableColumn name="EDIT TYPE" id="3"/>
  </tableColumns>
  <tableStyleInfo name="Pattern CROSSWALK-style" showColumnStripes="0" showFirstColumn="1" showLastColumn="1" showRowStripes="1"/>
</table>
</file>

<file path=xl/tables/table5.xml><?xml version="1.0" encoding="utf-8"?>
<table xmlns="http://schemas.openxmlformats.org/spreadsheetml/2006/main" ref="A1:G24" displayName="Table_5" name="Table_5" id="5">
  <tableColumns count="7">
    <tableColumn name="Policy Element" id="1"/>
    <tableColumn name="Description" id="2"/>
    <tableColumn name="SINGLE_LINE" id="3"/>
    <tableColumn name="WITH_SUPPORT" id="4"/>
    <tableColumn name="WITHOUT_SUPPORT" id="5"/>
    <tableColumn name="FREQ" id="6"/>
    <tableColumn name="Allowed Options (if applicable)" id="7"/>
  </tableColumns>
  <tableStyleInfo name="MASTER-style" showColumnStripes="0" showFirstColumn="1" showLastColumn="1" showRowStripes="1"/>
</table>
</file>

<file path=xl/tables/table6.xml><?xml version="1.0" encoding="utf-8"?>
<table xmlns="http://schemas.openxmlformats.org/spreadsheetml/2006/main" ref="A1:C24" displayName="Table_6" name="Table_6" id="6">
  <tableColumns count="3">
    <tableColumn name="PMM Version" id="1"/>
    <tableColumn name="State" id="2"/>
    <tableColumn name="Release/Upgrade Date" id="3"/>
  </tableColumns>
  <tableStyleInfo name="(STM) Effective 04.29.2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6EAC1C"/>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86"/>
    <col customWidth="1" min="2" max="2" width="18.86"/>
    <col customWidth="1" min="3" max="3" width="21.0"/>
    <col customWidth="1" min="4" max="4" width="77.86"/>
    <col customWidth="1" min="5" max="5" width="65.0"/>
    <col customWidth="1" min="6" max="6" width="23.0"/>
    <col customWidth="1" min="7" max="7" width="12.57"/>
    <col customWidth="1" min="8" max="26" width="9.14"/>
  </cols>
  <sheetData>
    <row r="1" ht="12.75" customHeight="1">
      <c r="A1" s="1" t="s">
        <v>0</v>
      </c>
      <c r="B1" s="2" t="s">
        <v>1</v>
      </c>
      <c r="C1" s="2" t="s">
        <v>2</v>
      </c>
      <c r="D1" s="3" t="s">
        <v>3</v>
      </c>
      <c r="E1" s="4" t="s">
        <v>4</v>
      </c>
      <c r="F1" s="2" t="s">
        <v>5</v>
      </c>
      <c r="G1" s="5" t="s">
        <v>6</v>
      </c>
      <c r="H1" s="6"/>
      <c r="I1" s="6"/>
      <c r="J1" s="6"/>
      <c r="K1" s="6"/>
      <c r="L1" s="6"/>
      <c r="M1" s="6"/>
      <c r="N1" s="6"/>
      <c r="O1" s="6"/>
      <c r="P1" s="6"/>
      <c r="Q1" s="6"/>
      <c r="R1" s="6"/>
      <c r="S1" s="6"/>
      <c r="T1" s="6"/>
      <c r="U1" s="6"/>
      <c r="V1" s="6"/>
      <c r="W1" s="6"/>
      <c r="X1" s="6"/>
      <c r="Y1" s="6"/>
      <c r="Z1" s="6"/>
    </row>
    <row r="2" ht="12.75" hidden="1" customHeight="1">
      <c r="A2" s="7">
        <v>1.0</v>
      </c>
      <c r="B2" s="7">
        <v>10001.0</v>
      </c>
      <c r="C2" s="7" t="s">
        <v>7</v>
      </c>
      <c r="D2" s="8" t="s">
        <v>8</v>
      </c>
      <c r="E2" s="7" t="s">
        <v>9</v>
      </c>
      <c r="F2" s="7">
        <v>41.0</v>
      </c>
      <c r="G2" s="9">
        <v>45763.0</v>
      </c>
      <c r="H2" s="6"/>
      <c r="I2" s="6"/>
      <c r="J2" s="6"/>
      <c r="K2" s="6"/>
      <c r="L2" s="6"/>
      <c r="M2" s="6"/>
      <c r="N2" s="6"/>
      <c r="O2" s="6"/>
      <c r="P2" s="6"/>
      <c r="Q2" s="6"/>
      <c r="R2" s="6"/>
      <c r="S2" s="6"/>
      <c r="T2" s="6"/>
      <c r="U2" s="6"/>
      <c r="V2" s="6"/>
      <c r="W2" s="6"/>
      <c r="X2" s="6"/>
      <c r="Y2" s="6"/>
      <c r="Z2" s="6"/>
    </row>
    <row r="3" ht="12.75" hidden="1" customHeight="1">
      <c r="A3" s="10">
        <v>2.0</v>
      </c>
      <c r="B3" s="10">
        <v>10002.0</v>
      </c>
      <c r="C3" s="10" t="s">
        <v>7</v>
      </c>
      <c r="D3" s="11" t="s">
        <v>10</v>
      </c>
      <c r="E3" s="10" t="s">
        <v>11</v>
      </c>
      <c r="F3" s="10">
        <v>37.0</v>
      </c>
      <c r="G3" s="12">
        <v>45763.0</v>
      </c>
      <c r="H3" s="6"/>
      <c r="I3" s="6"/>
      <c r="J3" s="6"/>
      <c r="K3" s="6"/>
      <c r="L3" s="6"/>
      <c r="M3" s="6"/>
      <c r="N3" s="6"/>
      <c r="O3" s="6"/>
      <c r="P3" s="6"/>
      <c r="Q3" s="6"/>
      <c r="R3" s="6"/>
      <c r="S3" s="6"/>
      <c r="T3" s="6"/>
      <c r="U3" s="6"/>
      <c r="V3" s="6"/>
      <c r="W3" s="6"/>
      <c r="X3" s="6"/>
      <c r="Y3" s="6"/>
      <c r="Z3" s="6"/>
    </row>
    <row r="4" ht="12.75" hidden="1" customHeight="1">
      <c r="A4" s="13">
        <v>3.0</v>
      </c>
      <c r="B4" s="13">
        <v>10003.0</v>
      </c>
      <c r="C4" s="13" t="s">
        <v>7</v>
      </c>
      <c r="D4" s="14" t="s">
        <v>12</v>
      </c>
      <c r="E4" s="13" t="s">
        <v>13</v>
      </c>
      <c r="F4" s="13">
        <v>46.0</v>
      </c>
      <c r="G4" s="15">
        <v>45763.0</v>
      </c>
      <c r="H4" s="6"/>
      <c r="I4" s="6"/>
      <c r="J4" s="6"/>
      <c r="K4" s="6"/>
      <c r="L4" s="6"/>
      <c r="M4" s="6"/>
      <c r="N4" s="6"/>
      <c r="O4" s="6"/>
      <c r="P4" s="6"/>
      <c r="Q4" s="6"/>
      <c r="R4" s="6"/>
      <c r="S4" s="6"/>
      <c r="T4" s="6"/>
      <c r="U4" s="6"/>
      <c r="V4" s="6"/>
      <c r="W4" s="6"/>
      <c r="X4" s="6"/>
      <c r="Y4" s="6"/>
      <c r="Z4" s="6"/>
    </row>
    <row r="5" ht="12.75" hidden="1" customHeight="1">
      <c r="A5" s="10">
        <v>4.0</v>
      </c>
      <c r="B5" s="10">
        <v>10004.0</v>
      </c>
      <c r="C5" s="10" t="s">
        <v>7</v>
      </c>
      <c r="D5" s="11" t="s">
        <v>14</v>
      </c>
      <c r="E5" s="10" t="s">
        <v>15</v>
      </c>
      <c r="F5" s="10">
        <v>37.0</v>
      </c>
      <c r="G5" s="12">
        <v>45763.0</v>
      </c>
      <c r="H5" s="6"/>
      <c r="I5" s="6"/>
      <c r="J5" s="6"/>
      <c r="K5" s="6"/>
      <c r="L5" s="6"/>
      <c r="M5" s="6"/>
      <c r="N5" s="6"/>
      <c r="O5" s="6"/>
      <c r="P5" s="6"/>
      <c r="Q5" s="6"/>
      <c r="R5" s="6"/>
      <c r="S5" s="6"/>
      <c r="T5" s="6"/>
      <c r="U5" s="6"/>
      <c r="V5" s="6"/>
      <c r="W5" s="6"/>
      <c r="X5" s="6"/>
      <c r="Y5" s="6"/>
      <c r="Z5" s="6"/>
    </row>
    <row r="6" ht="12.75" hidden="1" customHeight="1">
      <c r="A6" s="7">
        <v>5.0</v>
      </c>
      <c r="B6" s="7">
        <v>10005.0</v>
      </c>
      <c r="C6" s="7" t="s">
        <v>7</v>
      </c>
      <c r="D6" s="8" t="s">
        <v>16</v>
      </c>
      <c r="E6" s="7" t="s">
        <v>17</v>
      </c>
      <c r="F6" s="7">
        <v>27.0</v>
      </c>
      <c r="G6" s="9">
        <v>45763.0</v>
      </c>
      <c r="H6" s="6"/>
      <c r="I6" s="6"/>
      <c r="J6" s="6"/>
      <c r="K6" s="6"/>
      <c r="L6" s="6"/>
      <c r="M6" s="6"/>
      <c r="N6" s="6"/>
      <c r="O6" s="6"/>
      <c r="P6" s="6"/>
      <c r="Q6" s="6"/>
      <c r="R6" s="6"/>
      <c r="S6" s="6"/>
      <c r="T6" s="6"/>
      <c r="U6" s="6"/>
      <c r="V6" s="6"/>
      <c r="W6" s="6"/>
      <c r="X6" s="6"/>
      <c r="Y6" s="6"/>
      <c r="Z6" s="6"/>
    </row>
    <row r="7" ht="12.75" hidden="1" customHeight="1">
      <c r="A7" s="10">
        <v>6.0</v>
      </c>
      <c r="B7" s="10">
        <v>10006.0</v>
      </c>
      <c r="C7" s="10" t="s">
        <v>7</v>
      </c>
      <c r="D7" s="11" t="s">
        <v>18</v>
      </c>
      <c r="E7" s="10" t="s">
        <v>19</v>
      </c>
      <c r="F7" s="10">
        <v>54.0</v>
      </c>
      <c r="G7" s="12">
        <v>45763.0</v>
      </c>
      <c r="H7" s="6"/>
      <c r="I7" s="6"/>
      <c r="J7" s="6"/>
      <c r="K7" s="6"/>
      <c r="L7" s="6"/>
      <c r="M7" s="6"/>
      <c r="N7" s="6"/>
      <c r="O7" s="6"/>
      <c r="P7" s="6"/>
      <c r="Q7" s="6"/>
      <c r="R7" s="6"/>
      <c r="S7" s="6"/>
      <c r="T7" s="6"/>
      <c r="U7" s="6"/>
      <c r="V7" s="6"/>
      <c r="W7" s="6"/>
      <c r="X7" s="6"/>
      <c r="Y7" s="6"/>
      <c r="Z7" s="6"/>
    </row>
    <row r="8" ht="12.75" hidden="1" customHeight="1">
      <c r="A8" s="16">
        <v>7.0</v>
      </c>
      <c r="B8" s="16">
        <v>10007.0</v>
      </c>
      <c r="C8" s="16" t="s">
        <v>20</v>
      </c>
      <c r="D8" s="17" t="s">
        <v>21</v>
      </c>
      <c r="E8" s="16" t="s">
        <v>22</v>
      </c>
      <c r="F8" s="16">
        <v>75.0</v>
      </c>
      <c r="G8" s="18">
        <v>45763.0</v>
      </c>
      <c r="H8" s="6"/>
      <c r="I8" s="6"/>
      <c r="J8" s="6"/>
      <c r="K8" s="6"/>
      <c r="L8" s="6"/>
      <c r="M8" s="6"/>
      <c r="N8" s="6"/>
      <c r="O8" s="6"/>
      <c r="P8" s="6"/>
      <c r="Q8" s="6"/>
      <c r="R8" s="6"/>
      <c r="S8" s="6"/>
      <c r="T8" s="6"/>
      <c r="U8" s="6"/>
      <c r="V8" s="6"/>
      <c r="W8" s="6"/>
      <c r="X8" s="6"/>
      <c r="Y8" s="6"/>
      <c r="Z8" s="6"/>
    </row>
    <row r="9" ht="12.75" hidden="1" customHeight="1">
      <c r="A9" s="10">
        <v>8.0</v>
      </c>
      <c r="B9" s="10">
        <v>10008.0</v>
      </c>
      <c r="C9" s="10" t="s">
        <v>7</v>
      </c>
      <c r="D9" s="11" t="s">
        <v>23</v>
      </c>
      <c r="E9" s="10" t="s">
        <v>24</v>
      </c>
      <c r="F9" s="10">
        <v>28.0</v>
      </c>
      <c r="G9" s="12">
        <v>45763.0</v>
      </c>
      <c r="H9" s="6"/>
      <c r="I9" s="6"/>
      <c r="J9" s="6"/>
      <c r="K9" s="6"/>
      <c r="L9" s="6"/>
      <c r="M9" s="6"/>
      <c r="N9" s="6"/>
      <c r="O9" s="6"/>
      <c r="P9" s="6"/>
      <c r="Q9" s="6"/>
      <c r="R9" s="6"/>
      <c r="S9" s="6"/>
      <c r="T9" s="6"/>
      <c r="U9" s="6"/>
      <c r="V9" s="6"/>
      <c r="W9" s="6"/>
      <c r="X9" s="6"/>
      <c r="Y9" s="6"/>
      <c r="Z9" s="6"/>
    </row>
    <row r="10" ht="12.75" hidden="1" customHeight="1">
      <c r="A10" s="7">
        <v>9.0</v>
      </c>
      <c r="B10" s="7">
        <v>10009.0</v>
      </c>
      <c r="C10" s="7" t="s">
        <v>7</v>
      </c>
      <c r="D10" s="8" t="s">
        <v>25</v>
      </c>
      <c r="E10" s="7" t="s">
        <v>26</v>
      </c>
      <c r="F10" s="7">
        <v>77.0</v>
      </c>
      <c r="G10" s="9">
        <v>45763.0</v>
      </c>
      <c r="H10" s="6"/>
      <c r="I10" s="6"/>
      <c r="J10" s="6"/>
      <c r="K10" s="6"/>
      <c r="L10" s="6"/>
      <c r="M10" s="6"/>
      <c r="N10" s="6"/>
      <c r="O10" s="6"/>
      <c r="P10" s="6"/>
      <c r="Q10" s="6"/>
      <c r="R10" s="6"/>
      <c r="S10" s="6"/>
      <c r="T10" s="6"/>
      <c r="U10" s="6"/>
      <c r="V10" s="6"/>
      <c r="W10" s="6"/>
      <c r="X10" s="6"/>
      <c r="Y10" s="6"/>
      <c r="Z10" s="6"/>
    </row>
    <row r="11" ht="12.75" hidden="1" customHeight="1">
      <c r="A11" s="10">
        <v>10.0</v>
      </c>
      <c r="B11" s="10">
        <v>10010.0</v>
      </c>
      <c r="C11" s="10" t="s">
        <v>27</v>
      </c>
      <c r="D11" s="11" t="s">
        <v>28</v>
      </c>
      <c r="E11" s="10" t="s">
        <v>29</v>
      </c>
      <c r="F11" s="10">
        <v>74.0</v>
      </c>
      <c r="G11" s="12">
        <v>45763.0</v>
      </c>
      <c r="H11" s="6"/>
      <c r="I11" s="6"/>
      <c r="J11" s="6"/>
      <c r="K11" s="6"/>
      <c r="L11" s="6"/>
      <c r="M11" s="6"/>
      <c r="N11" s="6"/>
      <c r="O11" s="6"/>
      <c r="P11" s="6"/>
      <c r="Q11" s="6"/>
      <c r="R11" s="6"/>
      <c r="S11" s="6"/>
      <c r="T11" s="6"/>
      <c r="U11" s="6"/>
      <c r="V11" s="6"/>
      <c r="W11" s="6"/>
      <c r="X11" s="6"/>
      <c r="Y11" s="6"/>
      <c r="Z11" s="6"/>
    </row>
    <row r="12" ht="12.75" hidden="1" customHeight="1">
      <c r="A12" s="7">
        <v>11.0</v>
      </c>
      <c r="B12" s="7">
        <v>10011.0</v>
      </c>
      <c r="C12" s="7" t="s">
        <v>7</v>
      </c>
      <c r="D12" s="8" t="s">
        <v>30</v>
      </c>
      <c r="E12" s="7" t="s">
        <v>31</v>
      </c>
      <c r="F12" s="7">
        <v>37.0</v>
      </c>
      <c r="G12" s="9">
        <v>0.0</v>
      </c>
      <c r="H12" s="6"/>
      <c r="I12" s="6"/>
      <c r="J12" s="6"/>
      <c r="K12" s="6"/>
      <c r="L12" s="6"/>
      <c r="M12" s="6"/>
      <c r="N12" s="6"/>
      <c r="O12" s="6"/>
      <c r="P12" s="6"/>
      <c r="Q12" s="6"/>
      <c r="R12" s="6"/>
      <c r="S12" s="6"/>
      <c r="T12" s="6"/>
      <c r="U12" s="6"/>
      <c r="V12" s="6"/>
      <c r="W12" s="6"/>
      <c r="X12" s="6"/>
      <c r="Y12" s="6"/>
      <c r="Z12" s="6"/>
    </row>
    <row r="13" ht="12.75" hidden="1" customHeight="1">
      <c r="A13" s="10">
        <v>12.0</v>
      </c>
      <c r="B13" s="10">
        <v>10012.0</v>
      </c>
      <c r="C13" s="10" t="s">
        <v>7</v>
      </c>
      <c r="D13" s="11" t="s">
        <v>32</v>
      </c>
      <c r="E13" s="10" t="s">
        <v>33</v>
      </c>
      <c r="F13" s="10">
        <v>33.0</v>
      </c>
      <c r="G13" s="12">
        <v>45763.0</v>
      </c>
      <c r="H13" s="6"/>
      <c r="I13" s="6"/>
      <c r="J13" s="6"/>
      <c r="K13" s="6"/>
      <c r="L13" s="6"/>
      <c r="M13" s="6"/>
      <c r="N13" s="6"/>
      <c r="O13" s="6"/>
      <c r="P13" s="6"/>
      <c r="Q13" s="6"/>
      <c r="R13" s="6"/>
      <c r="S13" s="6"/>
      <c r="T13" s="6"/>
      <c r="U13" s="6"/>
      <c r="V13" s="6"/>
      <c r="W13" s="6"/>
      <c r="X13" s="6"/>
      <c r="Y13" s="6"/>
      <c r="Z13" s="6"/>
    </row>
    <row r="14" ht="12.75" hidden="1" customHeight="1">
      <c r="A14" s="19">
        <v>13.0</v>
      </c>
      <c r="B14" s="19">
        <v>10013.0</v>
      </c>
      <c r="C14" s="19" t="s">
        <v>34</v>
      </c>
      <c r="D14" s="20" t="s">
        <v>35</v>
      </c>
      <c r="E14" s="19" t="s">
        <v>36</v>
      </c>
      <c r="F14" s="19">
        <v>117.0</v>
      </c>
      <c r="G14" s="21">
        <v>45763.0</v>
      </c>
      <c r="H14" s="6"/>
      <c r="I14" s="6"/>
      <c r="J14" s="6"/>
      <c r="K14" s="6"/>
      <c r="L14" s="6"/>
      <c r="M14" s="6"/>
      <c r="N14" s="6"/>
      <c r="O14" s="6"/>
      <c r="P14" s="6"/>
      <c r="Q14" s="6"/>
      <c r="R14" s="6"/>
      <c r="S14" s="6"/>
      <c r="T14" s="6"/>
      <c r="U14" s="6"/>
      <c r="V14" s="6"/>
      <c r="W14" s="6"/>
      <c r="X14" s="6"/>
      <c r="Y14" s="6"/>
      <c r="Z14" s="6"/>
    </row>
    <row r="15" ht="12.75" hidden="1" customHeight="1">
      <c r="A15" s="10">
        <v>14.0</v>
      </c>
      <c r="B15" s="10">
        <v>10014.0</v>
      </c>
      <c r="C15" s="10" t="s">
        <v>7</v>
      </c>
      <c r="D15" s="11" t="s">
        <v>37</v>
      </c>
      <c r="E15" s="10" t="s">
        <v>38</v>
      </c>
      <c r="F15" s="10">
        <v>33.0</v>
      </c>
      <c r="G15" s="12">
        <v>45763.0</v>
      </c>
      <c r="H15" s="6"/>
      <c r="I15" s="6"/>
      <c r="J15" s="6"/>
      <c r="K15" s="6"/>
      <c r="L15" s="6"/>
      <c r="M15" s="6"/>
      <c r="N15" s="6"/>
      <c r="O15" s="6"/>
      <c r="P15" s="6"/>
      <c r="Q15" s="6"/>
      <c r="R15" s="6"/>
      <c r="S15" s="6"/>
      <c r="T15" s="6"/>
      <c r="U15" s="6"/>
      <c r="V15" s="6"/>
      <c r="W15" s="6"/>
      <c r="X15" s="6"/>
      <c r="Y15" s="6"/>
      <c r="Z15" s="6"/>
    </row>
    <row r="16" ht="12.75" hidden="1" customHeight="1">
      <c r="A16" s="7">
        <v>15.0</v>
      </c>
      <c r="B16" s="7">
        <v>10015.0</v>
      </c>
      <c r="C16" s="7" t="s">
        <v>20</v>
      </c>
      <c r="D16" s="8" t="s">
        <v>39</v>
      </c>
      <c r="E16" s="7" t="s">
        <v>40</v>
      </c>
      <c r="F16" s="7">
        <v>115.0</v>
      </c>
      <c r="G16" s="9">
        <v>45763.0</v>
      </c>
      <c r="H16" s="6"/>
      <c r="I16" s="6"/>
      <c r="J16" s="6"/>
      <c r="K16" s="6"/>
      <c r="L16" s="6"/>
      <c r="M16" s="6"/>
      <c r="N16" s="6"/>
      <c r="O16" s="6"/>
      <c r="P16" s="6"/>
      <c r="Q16" s="6"/>
      <c r="R16" s="6"/>
      <c r="S16" s="6"/>
      <c r="T16" s="6"/>
      <c r="U16" s="6"/>
      <c r="V16" s="6"/>
      <c r="W16" s="6"/>
      <c r="X16" s="6"/>
      <c r="Y16" s="6"/>
      <c r="Z16" s="6"/>
    </row>
    <row r="17" ht="12.75" hidden="1" customHeight="1">
      <c r="A17" s="22">
        <v>16.0</v>
      </c>
      <c r="B17" s="22">
        <v>10016.0</v>
      </c>
      <c r="C17" s="22" t="s">
        <v>41</v>
      </c>
      <c r="D17" s="23" t="s">
        <v>42</v>
      </c>
      <c r="E17" s="22" t="s">
        <v>43</v>
      </c>
      <c r="F17" s="22">
        <v>115.0</v>
      </c>
      <c r="G17" s="24">
        <v>0.0</v>
      </c>
      <c r="H17" s="6"/>
      <c r="I17" s="6"/>
      <c r="J17" s="6"/>
      <c r="K17" s="6"/>
      <c r="L17" s="6"/>
      <c r="M17" s="6"/>
      <c r="N17" s="6"/>
      <c r="O17" s="6"/>
      <c r="P17" s="6"/>
      <c r="Q17" s="6"/>
      <c r="R17" s="6"/>
      <c r="S17" s="6"/>
      <c r="T17" s="6"/>
      <c r="U17" s="6"/>
      <c r="V17" s="6"/>
      <c r="W17" s="6"/>
      <c r="X17" s="6"/>
      <c r="Y17" s="6"/>
      <c r="Z17" s="6"/>
    </row>
    <row r="18" ht="12.75" hidden="1" customHeight="1">
      <c r="A18" s="19">
        <v>17.0</v>
      </c>
      <c r="B18" s="19">
        <v>10017.0</v>
      </c>
      <c r="C18" s="19" t="s">
        <v>41</v>
      </c>
      <c r="D18" s="20" t="s">
        <v>44</v>
      </c>
      <c r="E18" s="19" t="s">
        <v>43</v>
      </c>
      <c r="F18" s="19">
        <v>115.0</v>
      </c>
      <c r="G18" s="21">
        <v>0.0</v>
      </c>
      <c r="H18" s="6"/>
      <c r="I18" s="6"/>
      <c r="J18" s="6"/>
      <c r="K18" s="6"/>
      <c r="L18" s="6"/>
      <c r="M18" s="6"/>
      <c r="N18" s="6"/>
      <c r="O18" s="6"/>
      <c r="P18" s="6"/>
      <c r="Q18" s="6"/>
      <c r="R18" s="6"/>
      <c r="S18" s="6"/>
      <c r="T18" s="6"/>
      <c r="U18" s="6"/>
      <c r="V18" s="6"/>
      <c r="W18" s="6"/>
      <c r="X18" s="6"/>
      <c r="Y18" s="6"/>
      <c r="Z18" s="6"/>
    </row>
    <row r="19" ht="12.75" hidden="1" customHeight="1">
      <c r="A19" s="22">
        <v>18.0</v>
      </c>
      <c r="B19" s="22">
        <v>10018.0</v>
      </c>
      <c r="C19" s="22" t="s">
        <v>41</v>
      </c>
      <c r="D19" s="23" t="s">
        <v>45</v>
      </c>
      <c r="E19" s="22" t="s">
        <v>43</v>
      </c>
      <c r="F19" s="22">
        <v>115.0</v>
      </c>
      <c r="G19" s="24">
        <v>0.0</v>
      </c>
      <c r="H19" s="6"/>
      <c r="I19" s="6"/>
      <c r="J19" s="6"/>
      <c r="K19" s="6"/>
      <c r="L19" s="6"/>
      <c r="M19" s="6"/>
      <c r="N19" s="6"/>
      <c r="O19" s="6"/>
      <c r="P19" s="6"/>
      <c r="Q19" s="6"/>
      <c r="R19" s="6"/>
      <c r="S19" s="6"/>
      <c r="T19" s="6"/>
      <c r="U19" s="6"/>
      <c r="V19" s="6"/>
      <c r="W19" s="6"/>
      <c r="X19" s="6"/>
      <c r="Y19" s="6"/>
      <c r="Z19" s="6"/>
    </row>
    <row r="20" ht="12.75" hidden="1" customHeight="1">
      <c r="A20" s="7">
        <v>19.0</v>
      </c>
      <c r="B20" s="7">
        <v>10019.0</v>
      </c>
      <c r="C20" s="7" t="s">
        <v>34</v>
      </c>
      <c r="D20" s="8" t="s">
        <v>46</v>
      </c>
      <c r="E20" s="7" t="s">
        <v>47</v>
      </c>
      <c r="F20" s="7">
        <v>80.0</v>
      </c>
      <c r="G20" s="9">
        <v>45763.0</v>
      </c>
      <c r="H20" s="6"/>
      <c r="I20" s="6"/>
      <c r="J20" s="6"/>
      <c r="K20" s="6"/>
      <c r="L20" s="6"/>
      <c r="M20" s="6"/>
      <c r="N20" s="6"/>
      <c r="O20" s="6"/>
      <c r="P20" s="6"/>
      <c r="Q20" s="6"/>
      <c r="R20" s="6"/>
      <c r="S20" s="6"/>
      <c r="T20" s="6"/>
      <c r="U20" s="6"/>
      <c r="V20" s="6"/>
      <c r="W20" s="6"/>
      <c r="X20" s="6"/>
      <c r="Y20" s="6"/>
      <c r="Z20" s="6"/>
    </row>
    <row r="21" ht="12.75" hidden="1" customHeight="1">
      <c r="A21" s="10">
        <v>20.0</v>
      </c>
      <c r="B21" s="10">
        <v>10020.0</v>
      </c>
      <c r="C21" s="10" t="s">
        <v>34</v>
      </c>
      <c r="D21" s="11" t="s">
        <v>48</v>
      </c>
      <c r="E21" s="10" t="s">
        <v>49</v>
      </c>
      <c r="F21" s="10">
        <v>86.0</v>
      </c>
      <c r="G21" s="12">
        <v>45763.0</v>
      </c>
      <c r="H21" s="6"/>
      <c r="I21" s="6"/>
      <c r="J21" s="6"/>
      <c r="K21" s="6"/>
      <c r="L21" s="6"/>
      <c r="M21" s="6"/>
      <c r="N21" s="6"/>
      <c r="O21" s="6"/>
      <c r="P21" s="6"/>
      <c r="Q21" s="6"/>
      <c r="R21" s="6"/>
      <c r="S21" s="6"/>
      <c r="T21" s="6"/>
      <c r="U21" s="6"/>
      <c r="V21" s="6"/>
      <c r="W21" s="6"/>
      <c r="X21" s="6"/>
      <c r="Y21" s="6"/>
      <c r="Z21" s="6"/>
    </row>
    <row r="22" ht="12.75" hidden="1" customHeight="1">
      <c r="A22" s="7">
        <v>21.0</v>
      </c>
      <c r="B22" s="7">
        <v>10021.0</v>
      </c>
      <c r="C22" s="7" t="s">
        <v>7</v>
      </c>
      <c r="D22" s="8" t="s">
        <v>50</v>
      </c>
      <c r="E22" s="7" t="s">
        <v>51</v>
      </c>
      <c r="F22" s="7">
        <v>57.0</v>
      </c>
      <c r="G22" s="9">
        <v>45763.0</v>
      </c>
      <c r="H22" s="6"/>
      <c r="I22" s="6"/>
      <c r="J22" s="6"/>
      <c r="K22" s="6"/>
      <c r="L22" s="6"/>
      <c r="M22" s="6"/>
      <c r="N22" s="6"/>
      <c r="O22" s="6"/>
      <c r="P22" s="6"/>
      <c r="Q22" s="6"/>
      <c r="R22" s="6"/>
      <c r="S22" s="6"/>
      <c r="T22" s="6"/>
      <c r="U22" s="6"/>
      <c r="V22" s="6"/>
      <c r="W22" s="6"/>
      <c r="X22" s="6"/>
      <c r="Y22" s="6"/>
      <c r="Z22" s="6"/>
    </row>
    <row r="23" ht="12.75" hidden="1" customHeight="1">
      <c r="A23" s="10">
        <v>22.0</v>
      </c>
      <c r="B23" s="10">
        <v>10022.0</v>
      </c>
      <c r="C23" s="10" t="s">
        <v>7</v>
      </c>
      <c r="D23" s="11" t="s">
        <v>52</v>
      </c>
      <c r="E23" s="10" t="s">
        <v>53</v>
      </c>
      <c r="F23" s="10">
        <v>80.0</v>
      </c>
      <c r="G23" s="12">
        <v>45763.0</v>
      </c>
      <c r="H23" s="6"/>
      <c r="I23" s="6"/>
      <c r="J23" s="6"/>
      <c r="K23" s="6"/>
      <c r="L23" s="6"/>
      <c r="M23" s="6"/>
      <c r="N23" s="6"/>
      <c r="O23" s="6"/>
      <c r="P23" s="6"/>
      <c r="Q23" s="6"/>
      <c r="R23" s="6"/>
      <c r="S23" s="6"/>
      <c r="T23" s="6"/>
      <c r="U23" s="6"/>
      <c r="V23" s="6"/>
      <c r="W23" s="6"/>
      <c r="X23" s="6"/>
      <c r="Y23" s="6"/>
      <c r="Z23" s="6"/>
    </row>
    <row r="24" ht="12.75" hidden="1" customHeight="1">
      <c r="A24" s="25">
        <v>23.0</v>
      </c>
      <c r="B24" s="25">
        <v>10023.0</v>
      </c>
      <c r="C24" s="25" t="s">
        <v>34</v>
      </c>
      <c r="D24" s="26" t="s">
        <v>54</v>
      </c>
      <c r="E24" s="25" t="s">
        <v>55</v>
      </c>
      <c r="F24" s="25">
        <v>160.0</v>
      </c>
      <c r="G24" s="27">
        <v>45763.0</v>
      </c>
      <c r="H24" s="6"/>
      <c r="I24" s="6"/>
      <c r="J24" s="6"/>
      <c r="K24" s="6"/>
      <c r="L24" s="6"/>
      <c r="M24" s="6"/>
      <c r="N24" s="6"/>
      <c r="O24" s="6"/>
      <c r="P24" s="6"/>
      <c r="Q24" s="6"/>
      <c r="R24" s="6"/>
      <c r="S24" s="6"/>
      <c r="T24" s="6"/>
      <c r="U24" s="6"/>
      <c r="V24" s="6"/>
      <c r="W24" s="6"/>
      <c r="X24" s="6"/>
      <c r="Y24" s="6"/>
      <c r="Z24" s="6"/>
    </row>
    <row r="25" ht="12.75" hidden="1" customHeight="1">
      <c r="A25" s="10">
        <v>24.0</v>
      </c>
      <c r="B25" s="10">
        <v>10024.0</v>
      </c>
      <c r="C25" s="10" t="s">
        <v>7</v>
      </c>
      <c r="D25" s="11" t="s">
        <v>56</v>
      </c>
      <c r="E25" s="10" t="s">
        <v>57</v>
      </c>
      <c r="F25" s="10">
        <v>92.0</v>
      </c>
      <c r="G25" s="12">
        <v>45763.0</v>
      </c>
      <c r="H25" s="6"/>
      <c r="I25" s="6"/>
      <c r="J25" s="6"/>
      <c r="K25" s="6"/>
      <c r="L25" s="6"/>
      <c r="M25" s="6"/>
      <c r="N25" s="6"/>
      <c r="O25" s="6"/>
      <c r="P25" s="6"/>
      <c r="Q25" s="6"/>
      <c r="R25" s="6"/>
      <c r="S25" s="6"/>
      <c r="T25" s="6"/>
      <c r="U25" s="6"/>
      <c r="V25" s="6"/>
      <c r="W25" s="6"/>
      <c r="X25" s="6"/>
      <c r="Y25" s="6"/>
      <c r="Z25" s="6"/>
    </row>
    <row r="26" ht="12.75" hidden="1" customHeight="1">
      <c r="A26" s="19">
        <v>25.0</v>
      </c>
      <c r="B26" s="19">
        <v>10025.0</v>
      </c>
      <c r="C26" s="19" t="s">
        <v>34</v>
      </c>
      <c r="D26" s="20" t="s">
        <v>58</v>
      </c>
      <c r="E26" s="19" t="s">
        <v>59</v>
      </c>
      <c r="F26" s="19">
        <v>123.0</v>
      </c>
      <c r="G26" s="21">
        <v>45763.0</v>
      </c>
      <c r="H26" s="6"/>
      <c r="I26" s="6"/>
      <c r="J26" s="6"/>
      <c r="K26" s="6"/>
      <c r="L26" s="6"/>
      <c r="M26" s="6"/>
      <c r="N26" s="6"/>
      <c r="O26" s="6"/>
      <c r="P26" s="6"/>
      <c r="Q26" s="6"/>
      <c r="R26" s="6"/>
      <c r="S26" s="6"/>
      <c r="T26" s="6"/>
      <c r="U26" s="6"/>
      <c r="V26" s="6"/>
      <c r="W26" s="6"/>
      <c r="X26" s="6"/>
      <c r="Y26" s="6"/>
      <c r="Z26" s="6"/>
    </row>
    <row r="27" ht="12.75" hidden="1" customHeight="1">
      <c r="A27" s="10">
        <v>26.0</v>
      </c>
      <c r="B27" s="10">
        <v>10026.0</v>
      </c>
      <c r="C27" s="10" t="s">
        <v>7</v>
      </c>
      <c r="D27" s="11" t="s">
        <v>60</v>
      </c>
      <c r="E27" s="10" t="s">
        <v>61</v>
      </c>
      <c r="F27" s="10">
        <v>57.0</v>
      </c>
      <c r="G27" s="12">
        <v>45763.0</v>
      </c>
      <c r="H27" s="6"/>
      <c r="I27" s="6"/>
      <c r="J27" s="6"/>
      <c r="K27" s="6"/>
      <c r="L27" s="6"/>
      <c r="M27" s="6"/>
      <c r="N27" s="6"/>
      <c r="O27" s="6"/>
      <c r="P27" s="6"/>
      <c r="Q27" s="6"/>
      <c r="R27" s="6"/>
      <c r="S27" s="6"/>
      <c r="T27" s="6"/>
      <c r="U27" s="6"/>
      <c r="V27" s="6"/>
      <c r="W27" s="6"/>
      <c r="X27" s="6"/>
      <c r="Y27" s="6"/>
      <c r="Z27" s="6"/>
    </row>
    <row r="28" ht="12.75" hidden="1" customHeight="1">
      <c r="A28" s="19">
        <v>27.0</v>
      </c>
      <c r="B28" s="19">
        <v>10027.0</v>
      </c>
      <c r="C28" s="19" t="s">
        <v>34</v>
      </c>
      <c r="D28" s="20" t="s">
        <v>62</v>
      </c>
      <c r="E28" s="19" t="s">
        <v>63</v>
      </c>
      <c r="F28" s="19">
        <v>147.0</v>
      </c>
      <c r="G28" s="21">
        <v>45763.0</v>
      </c>
      <c r="H28" s="6"/>
      <c r="I28" s="6"/>
      <c r="J28" s="6"/>
      <c r="K28" s="6"/>
      <c r="L28" s="6"/>
      <c r="M28" s="6"/>
      <c r="N28" s="6"/>
      <c r="O28" s="6"/>
      <c r="P28" s="6"/>
      <c r="Q28" s="6"/>
      <c r="R28" s="6"/>
      <c r="S28" s="6"/>
      <c r="T28" s="6"/>
      <c r="U28" s="6"/>
      <c r="V28" s="6"/>
      <c r="W28" s="6"/>
      <c r="X28" s="6"/>
      <c r="Y28" s="6"/>
      <c r="Z28" s="6"/>
    </row>
    <row r="29" ht="12.75" hidden="1" customHeight="1">
      <c r="A29" s="22">
        <v>28.0</v>
      </c>
      <c r="B29" s="22">
        <v>10028.0</v>
      </c>
      <c r="C29" s="22" t="s">
        <v>41</v>
      </c>
      <c r="D29" s="23" t="s">
        <v>64</v>
      </c>
      <c r="E29" s="22" t="s">
        <v>43</v>
      </c>
      <c r="F29" s="22">
        <v>115.0</v>
      </c>
      <c r="G29" s="24">
        <v>0.0</v>
      </c>
      <c r="H29" s="6"/>
      <c r="I29" s="6"/>
      <c r="J29" s="6"/>
      <c r="K29" s="6"/>
      <c r="L29" s="6"/>
      <c r="M29" s="6"/>
      <c r="N29" s="6"/>
      <c r="O29" s="6"/>
      <c r="P29" s="6"/>
      <c r="Q29" s="6"/>
      <c r="R29" s="6"/>
      <c r="S29" s="6"/>
      <c r="T29" s="6"/>
      <c r="U29" s="6"/>
      <c r="V29" s="6"/>
      <c r="W29" s="6"/>
      <c r="X29" s="6"/>
      <c r="Y29" s="6"/>
      <c r="Z29" s="6"/>
    </row>
    <row r="30" ht="12.75" hidden="1" customHeight="1">
      <c r="A30" s="19">
        <v>29.0</v>
      </c>
      <c r="B30" s="19">
        <v>10029.0</v>
      </c>
      <c r="C30" s="19" t="s">
        <v>34</v>
      </c>
      <c r="D30" s="20" t="s">
        <v>65</v>
      </c>
      <c r="E30" s="19" t="s">
        <v>66</v>
      </c>
      <c r="F30" s="19">
        <v>117.0</v>
      </c>
      <c r="G30" s="21">
        <v>45763.0</v>
      </c>
      <c r="H30" s="6"/>
      <c r="I30" s="6"/>
      <c r="J30" s="6"/>
      <c r="K30" s="6"/>
      <c r="L30" s="6"/>
      <c r="M30" s="6"/>
      <c r="N30" s="6"/>
      <c r="O30" s="6"/>
      <c r="P30" s="6"/>
      <c r="Q30" s="6"/>
      <c r="R30" s="6"/>
      <c r="S30" s="6"/>
      <c r="T30" s="6"/>
      <c r="U30" s="6"/>
      <c r="V30" s="6"/>
      <c r="W30" s="6"/>
      <c r="X30" s="6"/>
      <c r="Y30" s="6"/>
      <c r="Z30" s="6"/>
    </row>
    <row r="31" ht="12.75" hidden="1" customHeight="1">
      <c r="A31" s="22">
        <v>30.0</v>
      </c>
      <c r="B31" s="22">
        <v>10030.0</v>
      </c>
      <c r="C31" s="22" t="s">
        <v>41</v>
      </c>
      <c r="D31" s="23" t="s">
        <v>67</v>
      </c>
      <c r="E31" s="22" t="s">
        <v>43</v>
      </c>
      <c r="F31" s="22">
        <v>115.0</v>
      </c>
      <c r="G31" s="24">
        <v>0.0</v>
      </c>
      <c r="H31" s="6"/>
      <c r="I31" s="6"/>
      <c r="J31" s="6"/>
      <c r="K31" s="6"/>
      <c r="L31" s="6"/>
      <c r="M31" s="6"/>
      <c r="N31" s="6"/>
      <c r="O31" s="6"/>
      <c r="P31" s="6"/>
      <c r="Q31" s="6"/>
      <c r="R31" s="6"/>
      <c r="S31" s="6"/>
      <c r="T31" s="6"/>
      <c r="U31" s="6"/>
      <c r="V31" s="6"/>
      <c r="W31" s="6"/>
      <c r="X31" s="6"/>
      <c r="Y31" s="6"/>
      <c r="Z31" s="6"/>
    </row>
    <row r="32" ht="12.75" hidden="1" customHeight="1">
      <c r="A32" s="7">
        <v>31.0</v>
      </c>
      <c r="B32" s="7">
        <v>10031.0</v>
      </c>
      <c r="C32" s="7" t="s">
        <v>7</v>
      </c>
      <c r="D32" s="8" t="s">
        <v>68</v>
      </c>
      <c r="E32" s="7" t="s">
        <v>69</v>
      </c>
      <c r="F32" s="7">
        <v>58.0</v>
      </c>
      <c r="G32" s="9">
        <v>45763.0</v>
      </c>
      <c r="H32" s="6"/>
      <c r="I32" s="6"/>
      <c r="J32" s="6"/>
      <c r="K32" s="6"/>
      <c r="L32" s="6"/>
      <c r="M32" s="6"/>
      <c r="N32" s="6"/>
      <c r="O32" s="6"/>
      <c r="P32" s="6"/>
      <c r="Q32" s="6"/>
      <c r="R32" s="6"/>
      <c r="S32" s="6"/>
      <c r="T32" s="6"/>
      <c r="U32" s="6"/>
      <c r="V32" s="6"/>
      <c r="W32" s="6"/>
      <c r="X32" s="6"/>
      <c r="Y32" s="6"/>
      <c r="Z32" s="6"/>
    </row>
    <row r="33" ht="12.75" hidden="1" customHeight="1">
      <c r="A33" s="22">
        <v>32.0</v>
      </c>
      <c r="B33" s="22">
        <v>10032.0</v>
      </c>
      <c r="C33" s="22" t="s">
        <v>34</v>
      </c>
      <c r="D33" s="23" t="s">
        <v>70</v>
      </c>
      <c r="E33" s="22" t="s">
        <v>71</v>
      </c>
      <c r="F33" s="22">
        <v>150.0</v>
      </c>
      <c r="G33" s="24">
        <v>45763.0</v>
      </c>
      <c r="H33" s="6"/>
      <c r="I33" s="6"/>
      <c r="J33" s="6"/>
      <c r="K33" s="6"/>
      <c r="L33" s="6"/>
      <c r="M33" s="6"/>
      <c r="N33" s="6"/>
      <c r="O33" s="6"/>
      <c r="P33" s="6"/>
      <c r="Q33" s="6"/>
      <c r="R33" s="6"/>
      <c r="S33" s="6"/>
      <c r="T33" s="6"/>
      <c r="U33" s="6"/>
      <c r="V33" s="6"/>
      <c r="W33" s="6"/>
      <c r="X33" s="6"/>
      <c r="Y33" s="6"/>
      <c r="Z33" s="6"/>
    </row>
    <row r="34" ht="12.75" hidden="1" customHeight="1">
      <c r="A34" s="19">
        <v>33.0</v>
      </c>
      <c r="B34" s="19">
        <v>10033.0</v>
      </c>
      <c r="C34" s="19" t="s">
        <v>41</v>
      </c>
      <c r="D34" s="20" t="s">
        <v>72</v>
      </c>
      <c r="E34" s="19" t="s">
        <v>43</v>
      </c>
      <c r="F34" s="19">
        <v>115.0</v>
      </c>
      <c r="G34" s="21">
        <v>0.0</v>
      </c>
      <c r="H34" s="6"/>
      <c r="I34" s="6"/>
      <c r="J34" s="6"/>
      <c r="K34" s="6"/>
      <c r="L34" s="6"/>
      <c r="M34" s="6"/>
      <c r="N34" s="6"/>
      <c r="O34" s="6"/>
      <c r="P34" s="6"/>
      <c r="Q34" s="6"/>
      <c r="R34" s="6"/>
      <c r="S34" s="6"/>
      <c r="T34" s="6"/>
      <c r="U34" s="6"/>
      <c r="V34" s="6"/>
      <c r="W34" s="6"/>
      <c r="X34" s="6"/>
      <c r="Y34" s="6"/>
      <c r="Z34" s="6"/>
    </row>
    <row r="35" ht="12.75" hidden="1" customHeight="1">
      <c r="A35" s="28">
        <v>34.0</v>
      </c>
      <c r="B35" s="28">
        <v>10034.0</v>
      </c>
      <c r="C35" s="28" t="s">
        <v>20</v>
      </c>
      <c r="D35" s="29" t="s">
        <v>73</v>
      </c>
      <c r="E35" s="28" t="s">
        <v>74</v>
      </c>
      <c r="F35" s="28">
        <v>110.0</v>
      </c>
      <c r="G35" s="30">
        <v>45763.0</v>
      </c>
      <c r="H35" s="6"/>
      <c r="I35" s="6"/>
      <c r="J35" s="6"/>
      <c r="K35" s="6"/>
      <c r="L35" s="6"/>
      <c r="M35" s="6"/>
      <c r="N35" s="6"/>
      <c r="O35" s="6"/>
      <c r="P35" s="6"/>
      <c r="Q35" s="6"/>
      <c r="R35" s="6"/>
      <c r="S35" s="6"/>
      <c r="T35" s="6"/>
      <c r="U35" s="6"/>
      <c r="V35" s="6"/>
      <c r="W35" s="6"/>
      <c r="X35" s="6"/>
      <c r="Y35" s="6"/>
      <c r="Z35" s="6"/>
    </row>
    <row r="36" ht="12.75" hidden="1" customHeight="1">
      <c r="A36" s="16">
        <v>35.0</v>
      </c>
      <c r="B36" s="16">
        <v>10035.0</v>
      </c>
      <c r="C36" s="16" t="s">
        <v>20</v>
      </c>
      <c r="D36" s="17" t="s">
        <v>75</v>
      </c>
      <c r="E36" s="16" t="s">
        <v>76</v>
      </c>
      <c r="F36" s="16">
        <v>107.0</v>
      </c>
      <c r="G36" s="18">
        <v>45763.0</v>
      </c>
      <c r="H36" s="6"/>
      <c r="I36" s="6"/>
      <c r="J36" s="6"/>
      <c r="K36" s="6"/>
      <c r="L36" s="6"/>
      <c r="M36" s="6"/>
      <c r="N36" s="6"/>
      <c r="O36" s="6"/>
      <c r="P36" s="6"/>
      <c r="Q36" s="6"/>
      <c r="R36" s="6"/>
      <c r="S36" s="6"/>
      <c r="T36" s="6"/>
      <c r="U36" s="6"/>
      <c r="V36" s="6"/>
      <c r="W36" s="6"/>
      <c r="X36" s="6"/>
      <c r="Y36" s="6"/>
      <c r="Z36" s="6"/>
    </row>
    <row r="37" ht="12.75" hidden="1" customHeight="1">
      <c r="A37" s="31">
        <v>36.0</v>
      </c>
      <c r="B37" s="31">
        <v>10036.0</v>
      </c>
      <c r="C37" s="31" t="s">
        <v>41</v>
      </c>
      <c r="D37" s="32" t="s">
        <v>77</v>
      </c>
      <c r="E37" s="31" t="s">
        <v>43</v>
      </c>
      <c r="F37" s="31">
        <v>115.0</v>
      </c>
      <c r="G37" s="33">
        <v>0.0</v>
      </c>
      <c r="H37" s="6"/>
      <c r="I37" s="6"/>
      <c r="J37" s="6"/>
      <c r="K37" s="6"/>
      <c r="L37" s="6"/>
      <c r="M37" s="6"/>
      <c r="N37" s="6"/>
      <c r="O37" s="6"/>
      <c r="P37" s="6"/>
      <c r="Q37" s="6"/>
      <c r="R37" s="6"/>
      <c r="S37" s="6"/>
      <c r="T37" s="6"/>
      <c r="U37" s="6"/>
      <c r="V37" s="6"/>
      <c r="W37" s="6"/>
      <c r="X37" s="6"/>
      <c r="Y37" s="6"/>
      <c r="Z37" s="6"/>
    </row>
    <row r="38" ht="12.75" hidden="1" customHeight="1">
      <c r="A38" s="34">
        <v>37.0</v>
      </c>
      <c r="B38" s="34">
        <v>10037.0</v>
      </c>
      <c r="C38" s="34" t="s">
        <v>7</v>
      </c>
      <c r="D38" s="35" t="s">
        <v>78</v>
      </c>
      <c r="E38" s="34" t="s">
        <v>79</v>
      </c>
      <c r="F38" s="34">
        <v>85.0</v>
      </c>
      <c r="G38" s="36">
        <v>45763.0</v>
      </c>
      <c r="H38" s="6"/>
      <c r="I38" s="6"/>
      <c r="J38" s="6"/>
      <c r="K38" s="6"/>
      <c r="L38" s="6"/>
      <c r="M38" s="6"/>
      <c r="N38" s="6"/>
      <c r="O38" s="6"/>
      <c r="P38" s="6"/>
      <c r="Q38" s="6"/>
      <c r="R38" s="6"/>
      <c r="S38" s="6"/>
      <c r="T38" s="6"/>
      <c r="U38" s="6"/>
      <c r="V38" s="6"/>
      <c r="W38" s="6"/>
      <c r="X38" s="6"/>
      <c r="Y38" s="6"/>
      <c r="Z38" s="6"/>
    </row>
    <row r="39" ht="12.75" hidden="1" customHeight="1">
      <c r="A39" s="37">
        <v>38.0</v>
      </c>
      <c r="B39" s="37">
        <v>10038.0</v>
      </c>
      <c r="C39" s="37" t="s">
        <v>34</v>
      </c>
      <c r="D39" s="38" t="s">
        <v>80</v>
      </c>
      <c r="E39" s="37" t="s">
        <v>81</v>
      </c>
      <c r="F39" s="37">
        <v>135.0</v>
      </c>
      <c r="G39" s="39">
        <v>45763.0</v>
      </c>
      <c r="H39" s="6"/>
      <c r="I39" s="6"/>
      <c r="J39" s="6"/>
      <c r="K39" s="6"/>
      <c r="L39" s="6"/>
      <c r="M39" s="6"/>
      <c r="N39" s="6"/>
      <c r="O39" s="6"/>
      <c r="P39" s="6"/>
      <c r="Q39" s="6"/>
      <c r="R39" s="6"/>
      <c r="S39" s="6"/>
      <c r="T39" s="6"/>
      <c r="U39" s="6"/>
      <c r="V39" s="6"/>
      <c r="W39" s="6"/>
      <c r="X39" s="6"/>
      <c r="Y39" s="6"/>
      <c r="Z39" s="6"/>
    </row>
    <row r="40" ht="12.75" hidden="1" customHeight="1">
      <c r="A40" s="34">
        <v>39.0</v>
      </c>
      <c r="B40" s="34">
        <v>10039.0</v>
      </c>
      <c r="C40" s="34" t="s">
        <v>41</v>
      </c>
      <c r="D40" s="35" t="s">
        <v>82</v>
      </c>
      <c r="E40" s="34" t="s">
        <v>43</v>
      </c>
      <c r="F40" s="34">
        <v>115.0</v>
      </c>
      <c r="G40" s="36">
        <v>0.0</v>
      </c>
      <c r="H40" s="6"/>
      <c r="I40" s="6"/>
      <c r="J40" s="6"/>
      <c r="K40" s="6"/>
      <c r="L40" s="6"/>
      <c r="M40" s="6"/>
      <c r="N40" s="6"/>
      <c r="O40" s="6"/>
      <c r="P40" s="6"/>
      <c r="Q40" s="6"/>
      <c r="R40" s="6"/>
      <c r="S40" s="6"/>
      <c r="T40" s="6"/>
      <c r="U40" s="6"/>
      <c r="V40" s="6"/>
      <c r="W40" s="6"/>
      <c r="X40" s="6"/>
      <c r="Y40" s="6"/>
      <c r="Z40" s="6"/>
    </row>
    <row r="41" ht="12.75" hidden="1" customHeight="1">
      <c r="A41" s="40">
        <v>40.0</v>
      </c>
      <c r="B41" s="40">
        <v>10040.0</v>
      </c>
      <c r="C41" s="40" t="s">
        <v>7</v>
      </c>
      <c r="D41" s="41" t="s">
        <v>83</v>
      </c>
      <c r="E41" s="40" t="s">
        <v>84</v>
      </c>
      <c r="F41" s="40">
        <v>54.0</v>
      </c>
      <c r="G41" s="42">
        <v>45763.0</v>
      </c>
      <c r="H41" s="6"/>
      <c r="I41" s="6"/>
      <c r="J41" s="6"/>
      <c r="K41" s="6"/>
      <c r="L41" s="6"/>
      <c r="M41" s="6"/>
      <c r="N41" s="6"/>
      <c r="O41" s="6"/>
      <c r="P41" s="6"/>
      <c r="Q41" s="6"/>
      <c r="R41" s="6"/>
      <c r="S41" s="6"/>
      <c r="T41" s="6"/>
      <c r="U41" s="6"/>
      <c r="V41" s="6"/>
      <c r="W41" s="6"/>
      <c r="X41" s="6"/>
      <c r="Y41" s="6"/>
      <c r="Z41" s="6"/>
    </row>
    <row r="42" ht="12.75" hidden="1" customHeight="1">
      <c r="A42" s="13">
        <v>41.0</v>
      </c>
      <c r="B42" s="13">
        <v>10041.0</v>
      </c>
      <c r="C42" s="13" t="s">
        <v>41</v>
      </c>
      <c r="D42" s="14" t="s">
        <v>85</v>
      </c>
      <c r="E42" s="13" t="s">
        <v>43</v>
      </c>
      <c r="F42" s="13">
        <v>115.0</v>
      </c>
      <c r="G42" s="15">
        <v>0.0</v>
      </c>
      <c r="H42" s="6"/>
      <c r="I42" s="6"/>
      <c r="J42" s="6"/>
      <c r="K42" s="6"/>
      <c r="L42" s="6"/>
      <c r="M42" s="6"/>
      <c r="N42" s="6"/>
      <c r="O42" s="6"/>
      <c r="P42" s="6"/>
      <c r="Q42" s="6"/>
      <c r="R42" s="6"/>
      <c r="S42" s="6"/>
      <c r="T42" s="6"/>
      <c r="U42" s="6"/>
      <c r="V42" s="6"/>
      <c r="W42" s="6"/>
      <c r="X42" s="6"/>
      <c r="Y42" s="6"/>
      <c r="Z42" s="6"/>
    </row>
    <row r="43" ht="12.75" hidden="1" customHeight="1">
      <c r="A43" s="40">
        <v>42.0</v>
      </c>
      <c r="B43" s="40">
        <v>10042.0</v>
      </c>
      <c r="C43" s="40" t="s">
        <v>20</v>
      </c>
      <c r="D43" s="41" t="s">
        <v>86</v>
      </c>
      <c r="E43" s="40" t="s">
        <v>87</v>
      </c>
      <c r="F43" s="40">
        <v>75.0</v>
      </c>
      <c r="G43" s="42">
        <v>45763.0</v>
      </c>
      <c r="H43" s="6"/>
      <c r="I43" s="6"/>
      <c r="J43" s="6"/>
      <c r="K43" s="6"/>
      <c r="L43" s="6"/>
      <c r="M43" s="6"/>
      <c r="N43" s="6"/>
      <c r="O43" s="6"/>
      <c r="P43" s="6"/>
      <c r="Q43" s="6"/>
      <c r="R43" s="6"/>
      <c r="S43" s="6"/>
      <c r="T43" s="6"/>
      <c r="U43" s="6"/>
      <c r="V43" s="6"/>
      <c r="W43" s="6"/>
      <c r="X43" s="6"/>
      <c r="Y43" s="6"/>
      <c r="Z43" s="6"/>
    </row>
    <row r="44" ht="12.75" hidden="1" customHeight="1">
      <c r="A44" s="13">
        <v>43.0</v>
      </c>
      <c r="B44" s="13">
        <v>10043.0</v>
      </c>
      <c r="C44" s="13" t="s">
        <v>34</v>
      </c>
      <c r="D44" s="14" t="s">
        <v>88</v>
      </c>
      <c r="E44" s="13" t="s">
        <v>89</v>
      </c>
      <c r="F44" s="13">
        <v>162.0</v>
      </c>
      <c r="G44" s="15">
        <v>45763.0</v>
      </c>
      <c r="H44" s="6"/>
      <c r="I44" s="6"/>
      <c r="J44" s="6"/>
      <c r="K44" s="6"/>
      <c r="L44" s="6"/>
      <c r="M44" s="6"/>
      <c r="N44" s="6"/>
      <c r="O44" s="6"/>
      <c r="P44" s="6"/>
      <c r="Q44" s="6"/>
      <c r="R44" s="6"/>
      <c r="S44" s="6"/>
      <c r="T44" s="6"/>
      <c r="U44" s="6"/>
      <c r="V44" s="6"/>
      <c r="W44" s="6"/>
      <c r="X44" s="6"/>
      <c r="Y44" s="6"/>
      <c r="Z44" s="6"/>
    </row>
    <row r="45" ht="12.75" hidden="1" customHeight="1">
      <c r="A45" s="40">
        <v>44.0</v>
      </c>
      <c r="B45" s="40">
        <v>10044.0</v>
      </c>
      <c r="C45" s="40" t="s">
        <v>41</v>
      </c>
      <c r="D45" s="41" t="s">
        <v>90</v>
      </c>
      <c r="E45" s="40" t="s">
        <v>43</v>
      </c>
      <c r="F45" s="40">
        <v>115.0</v>
      </c>
      <c r="G45" s="42">
        <v>0.0</v>
      </c>
      <c r="H45" s="6"/>
      <c r="I45" s="6"/>
      <c r="J45" s="6"/>
      <c r="K45" s="6"/>
      <c r="L45" s="6"/>
      <c r="M45" s="6"/>
      <c r="N45" s="6"/>
      <c r="O45" s="6"/>
      <c r="P45" s="6"/>
      <c r="Q45" s="6"/>
      <c r="R45" s="6"/>
      <c r="S45" s="6"/>
      <c r="T45" s="6"/>
      <c r="U45" s="6"/>
      <c r="V45" s="6"/>
      <c r="W45" s="6"/>
      <c r="X45" s="6"/>
      <c r="Y45" s="6"/>
      <c r="Z45" s="6"/>
    </row>
    <row r="46" ht="12.75" hidden="1" customHeight="1">
      <c r="A46" s="43">
        <v>45.0</v>
      </c>
      <c r="B46" s="43">
        <v>10045.0</v>
      </c>
      <c r="C46" s="43" t="s">
        <v>41</v>
      </c>
      <c r="D46" s="44" t="s">
        <v>91</v>
      </c>
      <c r="E46" s="43" t="s">
        <v>43</v>
      </c>
      <c r="F46" s="43">
        <v>115.0</v>
      </c>
      <c r="G46" s="45">
        <v>0.0</v>
      </c>
      <c r="H46" s="6"/>
      <c r="I46" s="6"/>
      <c r="J46" s="6"/>
      <c r="K46" s="6"/>
      <c r="L46" s="6"/>
      <c r="M46" s="6"/>
      <c r="N46" s="6"/>
      <c r="O46" s="6"/>
      <c r="P46" s="6"/>
      <c r="Q46" s="6"/>
      <c r="R46" s="6"/>
      <c r="S46" s="6"/>
      <c r="T46" s="6"/>
      <c r="U46" s="6"/>
      <c r="V46" s="6"/>
      <c r="W46" s="6"/>
      <c r="X46" s="6"/>
      <c r="Y46" s="6"/>
      <c r="Z46" s="6"/>
    </row>
    <row r="47" ht="12.75" hidden="1" customHeight="1">
      <c r="A47" s="40">
        <v>46.0</v>
      </c>
      <c r="B47" s="40">
        <v>10046.0</v>
      </c>
      <c r="C47" s="40" t="s">
        <v>41</v>
      </c>
      <c r="D47" s="41" t="s">
        <v>92</v>
      </c>
      <c r="E47" s="40" t="s">
        <v>43</v>
      </c>
      <c r="F47" s="40">
        <v>115.0</v>
      </c>
      <c r="G47" s="42">
        <v>0.0</v>
      </c>
      <c r="H47" s="6"/>
      <c r="I47" s="6"/>
      <c r="J47" s="6"/>
      <c r="K47" s="6"/>
      <c r="L47" s="6"/>
      <c r="M47" s="6"/>
      <c r="N47" s="6"/>
      <c r="O47" s="6"/>
      <c r="P47" s="6"/>
      <c r="Q47" s="6"/>
      <c r="R47" s="6"/>
      <c r="S47" s="6"/>
      <c r="T47" s="6"/>
      <c r="U47" s="6"/>
      <c r="V47" s="6"/>
      <c r="W47" s="6"/>
      <c r="X47" s="6"/>
      <c r="Y47" s="6"/>
      <c r="Z47" s="6"/>
    </row>
    <row r="48" ht="12.75" hidden="1" customHeight="1">
      <c r="A48" s="46">
        <v>47.0</v>
      </c>
      <c r="B48" s="46">
        <v>10047.0</v>
      </c>
      <c r="C48" s="46" t="s">
        <v>34</v>
      </c>
      <c r="D48" s="47" t="s">
        <v>93</v>
      </c>
      <c r="E48" s="46" t="s">
        <v>94</v>
      </c>
      <c r="F48" s="46">
        <v>176.0</v>
      </c>
      <c r="G48" s="48">
        <v>45763.0</v>
      </c>
      <c r="H48" s="6"/>
      <c r="I48" s="6"/>
      <c r="J48" s="6"/>
      <c r="K48" s="6"/>
      <c r="L48" s="6"/>
      <c r="M48" s="6"/>
      <c r="N48" s="6"/>
      <c r="O48" s="6"/>
      <c r="P48" s="6"/>
      <c r="Q48" s="6"/>
      <c r="R48" s="6"/>
      <c r="S48" s="6"/>
      <c r="T48" s="6"/>
      <c r="U48" s="6"/>
      <c r="V48" s="6"/>
      <c r="W48" s="6"/>
      <c r="X48" s="6"/>
      <c r="Y48" s="6"/>
      <c r="Z48" s="6"/>
    </row>
    <row r="49" ht="12.75" hidden="1" customHeight="1">
      <c r="A49" s="40">
        <v>48.0</v>
      </c>
      <c r="B49" s="40">
        <v>10048.0</v>
      </c>
      <c r="C49" s="40" t="s">
        <v>41</v>
      </c>
      <c r="D49" s="41" t="s">
        <v>95</v>
      </c>
      <c r="E49" s="40" t="s">
        <v>43</v>
      </c>
      <c r="F49" s="40">
        <v>115.0</v>
      </c>
      <c r="G49" s="42">
        <v>0.0</v>
      </c>
      <c r="H49" s="6"/>
      <c r="I49" s="6"/>
      <c r="J49" s="6"/>
      <c r="K49" s="6"/>
      <c r="L49" s="6"/>
      <c r="M49" s="6"/>
      <c r="N49" s="6"/>
      <c r="O49" s="6"/>
      <c r="P49" s="6"/>
      <c r="Q49" s="6"/>
      <c r="R49" s="6"/>
      <c r="S49" s="6"/>
      <c r="T49" s="6"/>
      <c r="U49" s="6"/>
      <c r="V49" s="6"/>
      <c r="W49" s="6"/>
      <c r="X49" s="6"/>
      <c r="Y49" s="6"/>
      <c r="Z49" s="6"/>
    </row>
    <row r="50" ht="12.75" hidden="1" customHeight="1">
      <c r="A50" s="13">
        <v>49.0</v>
      </c>
      <c r="B50" s="13">
        <v>10049.0</v>
      </c>
      <c r="C50" s="13" t="s">
        <v>27</v>
      </c>
      <c r="D50" s="14" t="s">
        <v>96</v>
      </c>
      <c r="E50" s="13" t="s">
        <v>97</v>
      </c>
      <c r="F50" s="13">
        <v>127.0</v>
      </c>
      <c r="G50" s="15">
        <v>45763.0</v>
      </c>
      <c r="H50" s="6"/>
      <c r="I50" s="6"/>
      <c r="J50" s="6"/>
      <c r="K50" s="6"/>
      <c r="L50" s="6"/>
      <c r="M50" s="6"/>
      <c r="N50" s="6"/>
      <c r="O50" s="6"/>
      <c r="P50" s="6"/>
      <c r="Q50" s="6"/>
      <c r="R50" s="6"/>
      <c r="S50" s="6"/>
      <c r="T50" s="6"/>
      <c r="U50" s="6"/>
      <c r="V50" s="6"/>
      <c r="W50" s="6"/>
      <c r="X50" s="6"/>
      <c r="Y50" s="6"/>
      <c r="Z50" s="6"/>
    </row>
    <row r="51" ht="12.75" hidden="1" customHeight="1">
      <c r="A51" s="40">
        <v>50.0</v>
      </c>
      <c r="B51" s="40">
        <v>10050.0</v>
      </c>
      <c r="C51" s="40" t="s">
        <v>34</v>
      </c>
      <c r="D51" s="41" t="s">
        <v>98</v>
      </c>
      <c r="E51" s="40" t="s">
        <v>99</v>
      </c>
      <c r="F51" s="40">
        <v>85.0</v>
      </c>
      <c r="G51" s="42">
        <v>45763.0</v>
      </c>
      <c r="H51" s="6"/>
      <c r="I51" s="6"/>
      <c r="J51" s="6"/>
      <c r="K51" s="6"/>
      <c r="L51" s="6"/>
      <c r="M51" s="6"/>
      <c r="N51" s="6"/>
      <c r="O51" s="6"/>
      <c r="P51" s="6"/>
      <c r="Q51" s="6"/>
      <c r="R51" s="6"/>
      <c r="S51" s="6"/>
      <c r="T51" s="6"/>
      <c r="U51" s="6"/>
      <c r="V51" s="6"/>
      <c r="W51" s="6"/>
      <c r="X51" s="6"/>
      <c r="Y51" s="6"/>
      <c r="Z51" s="6"/>
    </row>
    <row r="52" ht="12.75" hidden="1" customHeight="1">
      <c r="A52" s="13">
        <v>51.0</v>
      </c>
      <c r="B52" s="13">
        <v>10051.0</v>
      </c>
      <c r="C52" s="13" t="s">
        <v>41</v>
      </c>
      <c r="D52" s="14" t="s">
        <v>100</v>
      </c>
      <c r="E52" s="13" t="s">
        <v>43</v>
      </c>
      <c r="F52" s="13">
        <v>115.0</v>
      </c>
      <c r="G52" s="15">
        <v>0.0</v>
      </c>
      <c r="H52" s="6"/>
      <c r="I52" s="6"/>
      <c r="J52" s="6"/>
      <c r="K52" s="6"/>
      <c r="L52" s="6"/>
      <c r="M52" s="6"/>
      <c r="N52" s="6"/>
      <c r="O52" s="6"/>
      <c r="P52" s="6"/>
      <c r="Q52" s="6"/>
      <c r="R52" s="6"/>
      <c r="S52" s="6"/>
      <c r="T52" s="6"/>
      <c r="U52" s="6"/>
      <c r="V52" s="6"/>
      <c r="W52" s="6"/>
      <c r="X52" s="6"/>
      <c r="Y52" s="6"/>
      <c r="Z52" s="6"/>
    </row>
    <row r="53" ht="12.75" hidden="1" customHeight="1">
      <c r="A53" s="10">
        <v>52.0</v>
      </c>
      <c r="B53" s="10">
        <v>10052.0</v>
      </c>
      <c r="C53" s="10" t="s">
        <v>41</v>
      </c>
      <c r="D53" s="11" t="s">
        <v>101</v>
      </c>
      <c r="E53" s="10" t="s">
        <v>43</v>
      </c>
      <c r="F53" s="10">
        <v>115.0</v>
      </c>
      <c r="G53" s="12">
        <v>0.0</v>
      </c>
      <c r="H53" s="6"/>
      <c r="I53" s="6"/>
      <c r="J53" s="6"/>
      <c r="K53" s="6"/>
      <c r="L53" s="6"/>
      <c r="M53" s="6"/>
      <c r="N53" s="6"/>
      <c r="O53" s="6"/>
      <c r="P53" s="6"/>
      <c r="Q53" s="6"/>
      <c r="R53" s="6"/>
      <c r="S53" s="6"/>
      <c r="T53" s="6"/>
      <c r="U53" s="6"/>
      <c r="V53" s="6"/>
      <c r="W53" s="6"/>
      <c r="X53" s="6"/>
      <c r="Y53" s="6"/>
      <c r="Z53" s="6"/>
    </row>
    <row r="54" ht="12.75" hidden="1" customHeight="1">
      <c r="A54" s="7">
        <v>53.0</v>
      </c>
      <c r="B54" s="7">
        <v>10053.0</v>
      </c>
      <c r="C54" s="7" t="s">
        <v>41</v>
      </c>
      <c r="D54" s="8" t="s">
        <v>102</v>
      </c>
      <c r="E54" s="7" t="s">
        <v>43</v>
      </c>
      <c r="F54" s="7">
        <v>115.0</v>
      </c>
      <c r="G54" s="9">
        <v>0.0</v>
      </c>
      <c r="H54" s="6"/>
      <c r="I54" s="6"/>
      <c r="J54" s="6"/>
      <c r="K54" s="6"/>
      <c r="L54" s="6"/>
      <c r="M54" s="6"/>
      <c r="N54" s="6"/>
      <c r="O54" s="6"/>
      <c r="P54" s="6"/>
      <c r="Q54" s="6"/>
      <c r="R54" s="6"/>
      <c r="S54" s="6"/>
      <c r="T54" s="6"/>
      <c r="U54" s="6"/>
      <c r="V54" s="6"/>
      <c r="W54" s="6"/>
      <c r="X54" s="6"/>
      <c r="Y54" s="6"/>
      <c r="Z54" s="6"/>
    </row>
    <row r="55" ht="12.75" hidden="1" customHeight="1">
      <c r="A55" s="22">
        <v>54.0</v>
      </c>
      <c r="B55" s="22">
        <v>10054.0</v>
      </c>
      <c r="C55" s="22" t="s">
        <v>34</v>
      </c>
      <c r="D55" s="23" t="s">
        <v>103</v>
      </c>
      <c r="E55" s="22" t="s">
        <v>104</v>
      </c>
      <c r="F55" s="22">
        <v>145.0</v>
      </c>
      <c r="G55" s="24">
        <v>45763.0</v>
      </c>
      <c r="H55" s="6"/>
      <c r="I55" s="6"/>
      <c r="J55" s="6"/>
      <c r="K55" s="6"/>
      <c r="L55" s="6"/>
      <c r="M55" s="6"/>
      <c r="N55" s="6"/>
      <c r="O55" s="6"/>
      <c r="P55" s="6"/>
      <c r="Q55" s="6"/>
      <c r="R55" s="6"/>
      <c r="S55" s="6"/>
      <c r="T55" s="6"/>
      <c r="U55" s="6"/>
      <c r="V55" s="6"/>
      <c r="W55" s="6"/>
      <c r="X55" s="6"/>
      <c r="Y55" s="6"/>
      <c r="Z55" s="6"/>
    </row>
    <row r="56" ht="12.75" hidden="1" customHeight="1">
      <c r="A56" s="49">
        <v>55.0</v>
      </c>
      <c r="B56" s="49">
        <v>10055.0</v>
      </c>
      <c r="C56" s="49" t="s">
        <v>41</v>
      </c>
      <c r="D56" s="50" t="s">
        <v>105</v>
      </c>
      <c r="E56" s="49" t="s">
        <v>43</v>
      </c>
      <c r="F56" s="49">
        <v>115.0</v>
      </c>
      <c r="G56" s="51">
        <v>0.0</v>
      </c>
      <c r="H56" s="6"/>
      <c r="I56" s="6"/>
      <c r="J56" s="6"/>
      <c r="K56" s="6"/>
      <c r="L56" s="6"/>
      <c r="M56" s="6"/>
      <c r="N56" s="6"/>
      <c r="O56" s="6"/>
      <c r="P56" s="6"/>
      <c r="Q56" s="6"/>
      <c r="R56" s="6"/>
      <c r="S56" s="6"/>
      <c r="T56" s="6"/>
      <c r="U56" s="6"/>
      <c r="V56" s="6"/>
      <c r="W56" s="6"/>
      <c r="X56" s="6"/>
      <c r="Y56" s="6"/>
      <c r="Z56" s="6"/>
    </row>
    <row r="57" ht="12.75" hidden="1" customHeight="1">
      <c r="A57" s="37">
        <v>56.0</v>
      </c>
      <c r="B57" s="37">
        <v>10056.0</v>
      </c>
      <c r="C57" s="37" t="s">
        <v>41</v>
      </c>
      <c r="D57" s="38" t="s">
        <v>106</v>
      </c>
      <c r="E57" s="37" t="s">
        <v>43</v>
      </c>
      <c r="F57" s="37">
        <v>115.0</v>
      </c>
      <c r="G57" s="39">
        <v>0.0</v>
      </c>
      <c r="H57" s="6"/>
      <c r="I57" s="6"/>
      <c r="J57" s="6"/>
      <c r="K57" s="6"/>
      <c r="L57" s="6"/>
      <c r="M57" s="6"/>
      <c r="N57" s="6"/>
      <c r="O57" s="6"/>
      <c r="P57" s="6"/>
      <c r="Q57" s="6"/>
      <c r="R57" s="6"/>
      <c r="S57" s="6"/>
      <c r="T57" s="6"/>
      <c r="U57" s="6"/>
      <c r="V57" s="6"/>
      <c r="W57" s="6"/>
      <c r="X57" s="6"/>
      <c r="Y57" s="6"/>
      <c r="Z57" s="6"/>
    </row>
    <row r="58" ht="12.75" hidden="1" customHeight="1">
      <c r="A58" s="49">
        <v>57.0</v>
      </c>
      <c r="B58" s="49">
        <v>10057.0</v>
      </c>
      <c r="C58" s="49" t="s">
        <v>41</v>
      </c>
      <c r="D58" s="50" t="s">
        <v>107</v>
      </c>
      <c r="E58" s="49" t="s">
        <v>43</v>
      </c>
      <c r="F58" s="49">
        <v>115.0</v>
      </c>
      <c r="G58" s="51">
        <v>0.0</v>
      </c>
      <c r="H58" s="6"/>
      <c r="I58" s="6"/>
      <c r="J58" s="6"/>
      <c r="K58" s="6"/>
      <c r="L58" s="6"/>
      <c r="M58" s="6"/>
      <c r="N58" s="6"/>
      <c r="O58" s="6"/>
      <c r="P58" s="6"/>
      <c r="Q58" s="6"/>
      <c r="R58" s="6"/>
      <c r="S58" s="6"/>
      <c r="T58" s="6"/>
      <c r="U58" s="6"/>
      <c r="V58" s="6"/>
      <c r="W58" s="6"/>
      <c r="X58" s="6"/>
      <c r="Y58" s="6"/>
      <c r="Z58" s="6"/>
    </row>
    <row r="59" ht="12.75" hidden="1" customHeight="1">
      <c r="A59" s="37">
        <v>58.0</v>
      </c>
      <c r="B59" s="37">
        <v>10058.0</v>
      </c>
      <c r="C59" s="37" t="s">
        <v>20</v>
      </c>
      <c r="D59" s="38" t="s">
        <v>108</v>
      </c>
      <c r="E59" s="37" t="s">
        <v>109</v>
      </c>
      <c r="F59" s="37">
        <v>80.0</v>
      </c>
      <c r="G59" s="39">
        <v>45763.0</v>
      </c>
      <c r="H59" s="6"/>
      <c r="I59" s="6"/>
      <c r="J59" s="6"/>
      <c r="K59" s="6"/>
      <c r="L59" s="6"/>
      <c r="M59" s="6"/>
      <c r="N59" s="6"/>
      <c r="O59" s="6"/>
      <c r="P59" s="6"/>
      <c r="Q59" s="6"/>
      <c r="R59" s="6"/>
      <c r="S59" s="6"/>
      <c r="T59" s="6"/>
      <c r="U59" s="6"/>
      <c r="V59" s="6"/>
      <c r="W59" s="6"/>
      <c r="X59" s="6"/>
      <c r="Y59" s="6"/>
      <c r="Z59" s="6"/>
    </row>
    <row r="60" ht="12.75" hidden="1" customHeight="1">
      <c r="A60" s="49">
        <v>59.0</v>
      </c>
      <c r="B60" s="49">
        <v>10059.0</v>
      </c>
      <c r="C60" s="49" t="s">
        <v>41</v>
      </c>
      <c r="D60" s="50" t="s">
        <v>110</v>
      </c>
      <c r="E60" s="49" t="s">
        <v>43</v>
      </c>
      <c r="F60" s="49">
        <v>115.0</v>
      </c>
      <c r="G60" s="51">
        <v>0.0</v>
      </c>
      <c r="H60" s="6"/>
      <c r="I60" s="6"/>
      <c r="J60" s="6"/>
      <c r="K60" s="6"/>
      <c r="L60" s="6"/>
      <c r="M60" s="6"/>
      <c r="N60" s="6"/>
      <c r="O60" s="6"/>
      <c r="P60" s="6"/>
      <c r="Q60" s="6"/>
      <c r="R60" s="6"/>
      <c r="S60" s="6"/>
      <c r="T60" s="6"/>
      <c r="U60" s="6"/>
      <c r="V60" s="6"/>
      <c r="W60" s="6"/>
      <c r="X60" s="6"/>
      <c r="Y60" s="6"/>
      <c r="Z60" s="6"/>
    </row>
    <row r="61" ht="12.75" hidden="1" customHeight="1">
      <c r="A61" s="31">
        <v>60.0</v>
      </c>
      <c r="B61" s="31">
        <v>10060.0</v>
      </c>
      <c r="C61" s="31" t="s">
        <v>41</v>
      </c>
      <c r="D61" s="32" t="s">
        <v>111</v>
      </c>
      <c r="E61" s="31" t="s">
        <v>43</v>
      </c>
      <c r="F61" s="31">
        <v>115.0</v>
      </c>
      <c r="G61" s="33">
        <v>0.0</v>
      </c>
      <c r="H61" s="6"/>
      <c r="I61" s="6"/>
      <c r="J61" s="6"/>
      <c r="K61" s="6"/>
      <c r="L61" s="6"/>
      <c r="M61" s="6"/>
      <c r="N61" s="6"/>
      <c r="O61" s="6"/>
      <c r="P61" s="6"/>
      <c r="Q61" s="6"/>
      <c r="R61" s="6"/>
      <c r="S61" s="6"/>
      <c r="T61" s="6"/>
      <c r="U61" s="6"/>
      <c r="V61" s="6"/>
      <c r="W61" s="6"/>
      <c r="X61" s="6"/>
      <c r="Y61" s="6"/>
      <c r="Z61" s="6"/>
    </row>
    <row r="62" ht="12.75" hidden="1" customHeight="1">
      <c r="A62" s="49">
        <v>61.0</v>
      </c>
      <c r="B62" s="49">
        <v>10061.0</v>
      </c>
      <c r="C62" s="49" t="s">
        <v>41</v>
      </c>
      <c r="D62" s="50" t="s">
        <v>112</v>
      </c>
      <c r="E62" s="49" t="s">
        <v>43</v>
      </c>
      <c r="F62" s="49">
        <v>115.0</v>
      </c>
      <c r="G62" s="51">
        <v>0.0</v>
      </c>
      <c r="H62" s="6"/>
      <c r="I62" s="6"/>
      <c r="J62" s="6"/>
      <c r="K62" s="6"/>
      <c r="L62" s="6"/>
      <c r="M62" s="6"/>
      <c r="N62" s="6"/>
      <c r="O62" s="6"/>
      <c r="P62" s="6"/>
      <c r="Q62" s="6"/>
      <c r="R62" s="6"/>
      <c r="S62" s="6"/>
      <c r="T62" s="6"/>
      <c r="U62" s="6"/>
      <c r="V62" s="6"/>
      <c r="W62" s="6"/>
      <c r="X62" s="6"/>
      <c r="Y62" s="6"/>
      <c r="Z62" s="6"/>
    </row>
    <row r="63" ht="12.75" hidden="1" customHeight="1">
      <c r="A63" s="31">
        <v>62.0</v>
      </c>
      <c r="B63" s="31">
        <v>10062.0</v>
      </c>
      <c r="C63" s="31" t="s">
        <v>34</v>
      </c>
      <c r="D63" s="32" t="s">
        <v>113</v>
      </c>
      <c r="E63" s="31" t="s">
        <v>114</v>
      </c>
      <c r="F63" s="31">
        <v>88.0</v>
      </c>
      <c r="G63" s="33">
        <v>45763.0</v>
      </c>
      <c r="H63" s="6"/>
      <c r="I63" s="6"/>
      <c r="J63" s="6"/>
      <c r="K63" s="6"/>
      <c r="L63" s="6"/>
      <c r="M63" s="6"/>
      <c r="N63" s="6"/>
      <c r="O63" s="6"/>
      <c r="P63" s="6"/>
      <c r="Q63" s="6"/>
      <c r="R63" s="6"/>
      <c r="S63" s="6"/>
      <c r="T63" s="6"/>
      <c r="U63" s="6"/>
      <c r="V63" s="6"/>
      <c r="W63" s="6"/>
      <c r="X63" s="6"/>
      <c r="Y63" s="6"/>
      <c r="Z63" s="6"/>
    </row>
    <row r="64" ht="12.75" hidden="1" customHeight="1">
      <c r="A64" s="49">
        <v>63.0</v>
      </c>
      <c r="B64" s="49">
        <v>10063.0</v>
      </c>
      <c r="C64" s="49" t="s">
        <v>34</v>
      </c>
      <c r="D64" s="50" t="s">
        <v>115</v>
      </c>
      <c r="E64" s="49" t="s">
        <v>114</v>
      </c>
      <c r="F64" s="49">
        <v>88.0</v>
      </c>
      <c r="G64" s="51">
        <v>45763.0</v>
      </c>
      <c r="H64" s="6"/>
      <c r="I64" s="6"/>
      <c r="J64" s="6"/>
      <c r="K64" s="6"/>
      <c r="L64" s="6"/>
      <c r="M64" s="6"/>
      <c r="N64" s="6"/>
      <c r="O64" s="6"/>
      <c r="P64" s="6"/>
      <c r="Q64" s="6"/>
      <c r="R64" s="6"/>
      <c r="S64" s="6"/>
      <c r="T64" s="6"/>
      <c r="U64" s="6"/>
      <c r="V64" s="6"/>
      <c r="W64" s="6"/>
      <c r="X64" s="6"/>
      <c r="Y64" s="6"/>
      <c r="Z64" s="6"/>
    </row>
    <row r="65" ht="12.75" hidden="1" customHeight="1">
      <c r="A65" s="40">
        <v>64.0</v>
      </c>
      <c r="B65" s="40">
        <v>10064.0</v>
      </c>
      <c r="C65" s="40" t="s">
        <v>34</v>
      </c>
      <c r="D65" s="41" t="s">
        <v>116</v>
      </c>
      <c r="E65" s="40" t="s">
        <v>117</v>
      </c>
      <c r="F65" s="40">
        <v>171.0</v>
      </c>
      <c r="G65" s="42">
        <v>45763.0</v>
      </c>
      <c r="H65" s="6"/>
      <c r="I65" s="6"/>
      <c r="J65" s="6"/>
      <c r="K65" s="6"/>
      <c r="L65" s="6"/>
      <c r="M65" s="6"/>
      <c r="N65" s="6"/>
      <c r="O65" s="6"/>
      <c r="P65" s="6"/>
      <c r="Q65" s="6"/>
      <c r="R65" s="6"/>
      <c r="S65" s="6"/>
      <c r="T65" s="6"/>
      <c r="U65" s="6"/>
      <c r="V65" s="6"/>
      <c r="W65" s="6"/>
      <c r="X65" s="6"/>
      <c r="Y65" s="6"/>
      <c r="Z65" s="6"/>
    </row>
    <row r="66" ht="12.75" hidden="1" customHeight="1">
      <c r="A66" s="43">
        <v>65.0</v>
      </c>
      <c r="B66" s="43">
        <v>10065.0</v>
      </c>
      <c r="C66" s="43" t="s">
        <v>41</v>
      </c>
      <c r="D66" s="44" t="s">
        <v>118</v>
      </c>
      <c r="E66" s="43" t="s">
        <v>43</v>
      </c>
      <c r="F66" s="43">
        <v>115.0</v>
      </c>
      <c r="G66" s="45">
        <v>0.0</v>
      </c>
      <c r="H66" s="6"/>
      <c r="I66" s="6"/>
      <c r="J66" s="6"/>
      <c r="K66" s="6"/>
      <c r="L66" s="6"/>
      <c r="M66" s="6"/>
      <c r="N66" s="6"/>
      <c r="O66" s="6"/>
      <c r="P66" s="6"/>
      <c r="Q66" s="6"/>
      <c r="R66" s="6"/>
      <c r="S66" s="6"/>
      <c r="T66" s="6"/>
      <c r="U66" s="6"/>
      <c r="V66" s="6"/>
      <c r="W66" s="6"/>
      <c r="X66" s="6"/>
      <c r="Y66" s="6"/>
      <c r="Z66" s="6"/>
    </row>
    <row r="67" ht="12.75" hidden="1" customHeight="1">
      <c r="A67" s="52">
        <v>66.0</v>
      </c>
      <c r="B67" s="52">
        <v>10066.0</v>
      </c>
      <c r="C67" s="52" t="s">
        <v>41</v>
      </c>
      <c r="D67" s="53" t="s">
        <v>119</v>
      </c>
      <c r="E67" s="52" t="s">
        <v>43</v>
      </c>
      <c r="F67" s="52">
        <v>115.0</v>
      </c>
      <c r="G67" s="54">
        <v>0.0</v>
      </c>
      <c r="H67" s="6"/>
      <c r="I67" s="6"/>
      <c r="J67" s="6"/>
      <c r="K67" s="6"/>
      <c r="L67" s="6"/>
      <c r="M67" s="6"/>
      <c r="N67" s="6"/>
      <c r="O67" s="6"/>
      <c r="P67" s="6"/>
      <c r="Q67" s="6"/>
      <c r="R67" s="6"/>
      <c r="S67" s="6"/>
      <c r="T67" s="6"/>
      <c r="U67" s="6"/>
      <c r="V67" s="6"/>
      <c r="W67" s="6"/>
      <c r="X67" s="6"/>
      <c r="Y67" s="6"/>
      <c r="Z67" s="6"/>
    </row>
    <row r="68" ht="12.75" hidden="1" customHeight="1">
      <c r="A68" s="13">
        <v>67.0</v>
      </c>
      <c r="B68" s="13">
        <v>10067.0</v>
      </c>
      <c r="C68" s="13" t="s">
        <v>20</v>
      </c>
      <c r="D68" s="14" t="s">
        <v>120</v>
      </c>
      <c r="E68" s="13" t="s">
        <v>121</v>
      </c>
      <c r="F68" s="13">
        <v>118.0</v>
      </c>
      <c r="G68" s="15">
        <v>45763.0</v>
      </c>
      <c r="H68" s="6"/>
      <c r="I68" s="6"/>
      <c r="J68" s="6"/>
      <c r="K68" s="6"/>
      <c r="L68" s="6"/>
      <c r="M68" s="6"/>
      <c r="N68" s="6"/>
      <c r="O68" s="6"/>
      <c r="P68" s="6"/>
      <c r="Q68" s="6"/>
      <c r="R68" s="6"/>
      <c r="S68" s="6"/>
      <c r="T68" s="6"/>
      <c r="U68" s="6"/>
      <c r="V68" s="6"/>
      <c r="W68" s="6"/>
      <c r="X68" s="6"/>
      <c r="Y68" s="6"/>
      <c r="Z68" s="6"/>
    </row>
    <row r="69" ht="12.75" hidden="1" customHeight="1">
      <c r="A69" s="52">
        <v>68.0</v>
      </c>
      <c r="B69" s="52">
        <v>10068.0</v>
      </c>
      <c r="C69" s="52" t="s">
        <v>34</v>
      </c>
      <c r="D69" s="53" t="s">
        <v>122</v>
      </c>
      <c r="E69" s="52" t="s">
        <v>123</v>
      </c>
      <c r="F69" s="52">
        <v>100.0</v>
      </c>
      <c r="G69" s="54">
        <v>45763.0</v>
      </c>
      <c r="H69" s="6"/>
      <c r="I69" s="6"/>
      <c r="J69" s="6"/>
      <c r="K69" s="6"/>
      <c r="L69" s="6"/>
      <c r="M69" s="6"/>
      <c r="N69" s="6"/>
      <c r="O69" s="6"/>
      <c r="P69" s="6"/>
      <c r="Q69" s="6"/>
      <c r="R69" s="6"/>
      <c r="S69" s="6"/>
      <c r="T69" s="6"/>
      <c r="U69" s="6"/>
      <c r="V69" s="6"/>
      <c r="W69" s="6"/>
      <c r="X69" s="6"/>
      <c r="Y69" s="6"/>
      <c r="Z69" s="6"/>
    </row>
    <row r="70" ht="12.75" hidden="1" customHeight="1">
      <c r="A70" s="13">
        <v>69.0</v>
      </c>
      <c r="B70" s="13">
        <v>10069.0</v>
      </c>
      <c r="C70" s="13" t="s">
        <v>34</v>
      </c>
      <c r="D70" s="14" t="s">
        <v>124</v>
      </c>
      <c r="E70" s="13" t="s">
        <v>125</v>
      </c>
      <c r="F70" s="13">
        <v>167.0</v>
      </c>
      <c r="G70" s="15">
        <v>45763.0</v>
      </c>
      <c r="H70" s="6"/>
      <c r="I70" s="6"/>
      <c r="J70" s="6"/>
      <c r="K70" s="6"/>
      <c r="L70" s="6"/>
      <c r="M70" s="6"/>
      <c r="N70" s="6"/>
      <c r="O70" s="6"/>
      <c r="P70" s="6"/>
      <c r="Q70" s="6"/>
      <c r="R70" s="6"/>
      <c r="S70" s="6"/>
      <c r="T70" s="6"/>
      <c r="U70" s="6"/>
      <c r="V70" s="6"/>
      <c r="W70" s="6"/>
      <c r="X70" s="6"/>
      <c r="Y70" s="6"/>
      <c r="Z70" s="6"/>
    </row>
    <row r="71" ht="12.75" hidden="1" customHeight="1">
      <c r="A71" s="40">
        <v>70.0</v>
      </c>
      <c r="B71" s="40">
        <v>10070.0</v>
      </c>
      <c r="C71" s="40" t="s">
        <v>20</v>
      </c>
      <c r="D71" s="41" t="s">
        <v>126</v>
      </c>
      <c r="E71" s="40" t="s">
        <v>127</v>
      </c>
      <c r="F71" s="40">
        <v>93.0</v>
      </c>
      <c r="G71" s="42">
        <v>45763.0</v>
      </c>
      <c r="H71" s="6"/>
      <c r="I71" s="6"/>
      <c r="J71" s="6"/>
      <c r="K71" s="6"/>
      <c r="L71" s="6"/>
      <c r="M71" s="6"/>
      <c r="N71" s="6"/>
      <c r="O71" s="6"/>
      <c r="P71" s="6"/>
      <c r="Q71" s="6"/>
      <c r="R71" s="6"/>
      <c r="S71" s="6"/>
      <c r="T71" s="6"/>
      <c r="U71" s="6"/>
      <c r="V71" s="6"/>
      <c r="W71" s="6"/>
      <c r="X71" s="6"/>
      <c r="Y71" s="6"/>
      <c r="Z71" s="6"/>
    </row>
    <row r="72" ht="12.75" hidden="1" customHeight="1">
      <c r="A72" s="46">
        <v>71.0</v>
      </c>
      <c r="B72" s="46">
        <v>10071.0</v>
      </c>
      <c r="C72" s="46" t="s">
        <v>20</v>
      </c>
      <c r="D72" s="47" t="s">
        <v>128</v>
      </c>
      <c r="E72" s="46" t="s">
        <v>129</v>
      </c>
      <c r="F72" s="46">
        <v>142.0</v>
      </c>
      <c r="G72" s="48">
        <v>45763.0</v>
      </c>
      <c r="H72" s="6"/>
      <c r="I72" s="6"/>
      <c r="J72" s="6"/>
      <c r="K72" s="6"/>
      <c r="L72" s="6"/>
      <c r="M72" s="6"/>
      <c r="N72" s="6"/>
      <c r="O72" s="6"/>
      <c r="P72" s="6"/>
      <c r="Q72" s="6"/>
      <c r="R72" s="6"/>
      <c r="S72" s="6"/>
      <c r="T72" s="6"/>
      <c r="U72" s="6"/>
      <c r="V72" s="6"/>
      <c r="W72" s="6"/>
      <c r="X72" s="6"/>
      <c r="Y72" s="6"/>
      <c r="Z72" s="6"/>
    </row>
    <row r="73" ht="12.75" hidden="1" customHeight="1">
      <c r="A73" s="40">
        <v>72.0</v>
      </c>
      <c r="B73" s="40">
        <v>10072.0</v>
      </c>
      <c r="C73" s="40" t="s">
        <v>27</v>
      </c>
      <c r="D73" s="41" t="s">
        <v>130</v>
      </c>
      <c r="E73" s="40" t="s">
        <v>131</v>
      </c>
      <c r="F73" s="40">
        <v>81.0</v>
      </c>
      <c r="G73" s="42">
        <v>45763.0</v>
      </c>
      <c r="H73" s="6"/>
      <c r="I73" s="6"/>
      <c r="J73" s="6"/>
      <c r="K73" s="6"/>
      <c r="L73" s="6"/>
      <c r="M73" s="6"/>
      <c r="N73" s="6"/>
      <c r="O73" s="6"/>
      <c r="P73" s="6"/>
      <c r="Q73" s="6"/>
      <c r="R73" s="6"/>
      <c r="S73" s="6"/>
      <c r="T73" s="6"/>
      <c r="U73" s="6"/>
      <c r="V73" s="6"/>
      <c r="W73" s="6"/>
      <c r="X73" s="6"/>
      <c r="Y73" s="6"/>
      <c r="Z73" s="6"/>
    </row>
    <row r="74" ht="12.75" hidden="1" customHeight="1">
      <c r="A74" s="13">
        <v>73.0</v>
      </c>
      <c r="B74" s="13">
        <v>10073.0</v>
      </c>
      <c r="C74" s="13" t="s">
        <v>34</v>
      </c>
      <c r="D74" s="14" t="s">
        <v>132</v>
      </c>
      <c r="E74" s="13" t="s">
        <v>133</v>
      </c>
      <c r="F74" s="13">
        <v>98.0</v>
      </c>
      <c r="G74" s="15">
        <v>45763.0</v>
      </c>
      <c r="H74" s="6"/>
      <c r="I74" s="6"/>
      <c r="J74" s="6"/>
      <c r="K74" s="6"/>
      <c r="L74" s="6"/>
      <c r="M74" s="6"/>
      <c r="N74" s="6"/>
      <c r="O74" s="6"/>
      <c r="P74" s="6"/>
      <c r="Q74" s="6"/>
      <c r="R74" s="6"/>
      <c r="S74" s="6"/>
      <c r="T74" s="6"/>
      <c r="U74" s="6"/>
      <c r="V74" s="6"/>
      <c r="W74" s="6"/>
      <c r="X74" s="6"/>
      <c r="Y74" s="6"/>
      <c r="Z74" s="6"/>
    </row>
    <row r="75" ht="12.75" hidden="1" customHeight="1">
      <c r="A75" s="40">
        <v>74.0</v>
      </c>
      <c r="B75" s="40">
        <v>10074.0</v>
      </c>
      <c r="C75" s="40" t="s">
        <v>34</v>
      </c>
      <c r="D75" s="41" t="s">
        <v>134</v>
      </c>
      <c r="E75" s="40" t="s">
        <v>135</v>
      </c>
      <c r="F75" s="40">
        <v>80.0</v>
      </c>
      <c r="G75" s="42">
        <v>45763.0</v>
      </c>
      <c r="H75" s="6"/>
      <c r="I75" s="6"/>
      <c r="J75" s="6"/>
      <c r="K75" s="6"/>
      <c r="L75" s="6"/>
      <c r="M75" s="6"/>
      <c r="N75" s="6"/>
      <c r="O75" s="6"/>
      <c r="P75" s="6"/>
      <c r="Q75" s="6"/>
      <c r="R75" s="6"/>
      <c r="S75" s="6"/>
      <c r="T75" s="6"/>
      <c r="U75" s="6"/>
      <c r="V75" s="6"/>
      <c r="W75" s="6"/>
      <c r="X75" s="6"/>
      <c r="Y75" s="6"/>
      <c r="Z75" s="6"/>
    </row>
    <row r="76" ht="12.75" hidden="1" customHeight="1">
      <c r="A76" s="7">
        <v>75.0</v>
      </c>
      <c r="B76" s="7">
        <v>10075.0</v>
      </c>
      <c r="C76" s="7" t="s">
        <v>20</v>
      </c>
      <c r="D76" s="8" t="s">
        <v>136</v>
      </c>
      <c r="E76" s="7" t="s">
        <v>137</v>
      </c>
      <c r="F76" s="7">
        <v>115.0</v>
      </c>
      <c r="G76" s="9">
        <v>0.0</v>
      </c>
      <c r="H76" s="6"/>
      <c r="I76" s="6"/>
      <c r="J76" s="6"/>
      <c r="K76" s="6"/>
      <c r="L76" s="6"/>
      <c r="M76" s="6"/>
      <c r="N76" s="6"/>
      <c r="O76" s="6"/>
      <c r="P76" s="6"/>
      <c r="Q76" s="6"/>
      <c r="R76" s="6"/>
      <c r="S76" s="6"/>
      <c r="T76" s="6"/>
      <c r="U76" s="6"/>
      <c r="V76" s="6"/>
      <c r="W76" s="6"/>
      <c r="X76" s="6"/>
      <c r="Y76" s="6"/>
      <c r="Z76" s="6"/>
    </row>
    <row r="77" ht="12.75" hidden="1" customHeight="1">
      <c r="A77" s="55">
        <v>76.0</v>
      </c>
      <c r="B77" s="55">
        <v>10076.0</v>
      </c>
      <c r="C77" s="55" t="s">
        <v>20</v>
      </c>
      <c r="D77" s="56" t="s">
        <v>138</v>
      </c>
      <c r="E77" s="55" t="s">
        <v>139</v>
      </c>
      <c r="F77" s="55">
        <v>108.0</v>
      </c>
      <c r="G77" s="57">
        <v>45763.0</v>
      </c>
      <c r="H77" s="6"/>
      <c r="I77" s="6"/>
      <c r="J77" s="6"/>
      <c r="K77" s="6"/>
      <c r="L77" s="6"/>
      <c r="M77" s="6"/>
      <c r="N77" s="6"/>
      <c r="O77" s="6"/>
      <c r="P77" s="6"/>
      <c r="Q77" s="6"/>
      <c r="R77" s="6"/>
      <c r="S77" s="6"/>
      <c r="T77" s="6"/>
      <c r="U77" s="6"/>
      <c r="V77" s="6"/>
      <c r="W77" s="6"/>
      <c r="X77" s="6"/>
      <c r="Y77" s="6"/>
      <c r="Z77" s="6"/>
    </row>
    <row r="78" ht="12.75" hidden="1" customHeight="1">
      <c r="A78" s="34">
        <v>77.0</v>
      </c>
      <c r="B78" s="34">
        <v>10077.0</v>
      </c>
      <c r="C78" s="34" t="s">
        <v>34</v>
      </c>
      <c r="D78" s="35" t="s">
        <v>140</v>
      </c>
      <c r="E78" s="34" t="s">
        <v>141</v>
      </c>
      <c r="F78" s="34">
        <v>87.0</v>
      </c>
      <c r="G78" s="36">
        <v>45763.0</v>
      </c>
      <c r="H78" s="6"/>
      <c r="I78" s="6"/>
      <c r="J78" s="6"/>
      <c r="K78" s="6"/>
      <c r="L78" s="6"/>
      <c r="M78" s="6"/>
      <c r="N78" s="6"/>
      <c r="O78" s="6"/>
      <c r="P78" s="6"/>
      <c r="Q78" s="6"/>
      <c r="R78" s="6"/>
      <c r="S78" s="6"/>
      <c r="T78" s="6"/>
      <c r="U78" s="6"/>
      <c r="V78" s="6"/>
      <c r="W78" s="6"/>
      <c r="X78" s="6"/>
      <c r="Y78" s="6"/>
      <c r="Z78" s="6"/>
    </row>
    <row r="79" ht="12.75" hidden="1" customHeight="1">
      <c r="A79" s="37">
        <v>78.0</v>
      </c>
      <c r="B79" s="37">
        <v>10078.0</v>
      </c>
      <c r="C79" s="37" t="s">
        <v>7</v>
      </c>
      <c r="D79" s="38" t="s">
        <v>142</v>
      </c>
      <c r="E79" s="37" t="s">
        <v>143</v>
      </c>
      <c r="F79" s="37">
        <v>64.0</v>
      </c>
      <c r="G79" s="39">
        <v>45763.0</v>
      </c>
      <c r="H79" s="6"/>
      <c r="I79" s="6"/>
      <c r="J79" s="6"/>
      <c r="K79" s="6"/>
      <c r="L79" s="6"/>
      <c r="M79" s="6"/>
      <c r="N79" s="6"/>
      <c r="O79" s="6"/>
      <c r="P79" s="6"/>
      <c r="Q79" s="6"/>
      <c r="R79" s="6"/>
      <c r="S79" s="6"/>
      <c r="T79" s="6"/>
      <c r="U79" s="6"/>
      <c r="V79" s="6"/>
      <c r="W79" s="6"/>
      <c r="X79" s="6"/>
      <c r="Y79" s="6"/>
      <c r="Z79" s="6"/>
    </row>
    <row r="80" ht="12.75" hidden="1" customHeight="1">
      <c r="A80" s="13">
        <v>79.0</v>
      </c>
      <c r="B80" s="13">
        <v>10079.0</v>
      </c>
      <c r="C80" s="13" t="s">
        <v>7</v>
      </c>
      <c r="D80" s="14" t="s">
        <v>144</v>
      </c>
      <c r="E80" s="13" t="s">
        <v>145</v>
      </c>
      <c r="F80" s="13">
        <v>38.0</v>
      </c>
      <c r="G80" s="15">
        <v>45763.0</v>
      </c>
      <c r="H80" s="6"/>
      <c r="I80" s="6"/>
      <c r="J80" s="6"/>
      <c r="K80" s="6"/>
      <c r="L80" s="6"/>
      <c r="M80" s="6"/>
      <c r="N80" s="6"/>
      <c r="O80" s="6"/>
      <c r="P80" s="6"/>
      <c r="Q80" s="6"/>
      <c r="R80" s="6"/>
      <c r="S80" s="6"/>
      <c r="T80" s="6"/>
      <c r="U80" s="6"/>
      <c r="V80" s="6"/>
      <c r="W80" s="6"/>
      <c r="X80" s="6"/>
      <c r="Y80" s="6"/>
      <c r="Z80" s="6"/>
    </row>
    <row r="81" ht="12.75" hidden="1" customHeight="1">
      <c r="A81" s="31">
        <v>80.0</v>
      </c>
      <c r="B81" s="31">
        <v>10080.0</v>
      </c>
      <c r="C81" s="31" t="s">
        <v>34</v>
      </c>
      <c r="D81" s="32" t="s">
        <v>146</v>
      </c>
      <c r="E81" s="31" t="s">
        <v>147</v>
      </c>
      <c r="F81" s="31">
        <v>97.0</v>
      </c>
      <c r="G81" s="33">
        <v>45763.0</v>
      </c>
      <c r="H81" s="6"/>
      <c r="I81" s="6"/>
      <c r="J81" s="6"/>
      <c r="K81" s="6"/>
      <c r="L81" s="6"/>
      <c r="M81" s="6"/>
      <c r="N81" s="6"/>
      <c r="O81" s="6"/>
      <c r="P81" s="6"/>
      <c r="Q81" s="6"/>
      <c r="R81" s="6"/>
      <c r="S81" s="6"/>
      <c r="T81" s="6"/>
      <c r="U81" s="6"/>
      <c r="V81" s="6"/>
      <c r="W81" s="6"/>
      <c r="X81" s="6"/>
      <c r="Y81" s="6"/>
      <c r="Z81" s="6"/>
    </row>
    <row r="82" ht="12.75" hidden="1" customHeight="1">
      <c r="A82" s="58">
        <v>81.0</v>
      </c>
      <c r="B82" s="58">
        <v>10081.0</v>
      </c>
      <c r="C82" s="58" t="s">
        <v>7</v>
      </c>
      <c r="D82" s="59" t="s">
        <v>148</v>
      </c>
      <c r="E82" s="58" t="s">
        <v>149</v>
      </c>
      <c r="F82" s="58">
        <v>67.0</v>
      </c>
      <c r="G82" s="60">
        <v>45763.0</v>
      </c>
      <c r="H82" s="6"/>
      <c r="I82" s="6"/>
      <c r="J82" s="6"/>
      <c r="K82" s="6"/>
      <c r="L82" s="6"/>
      <c r="M82" s="6"/>
      <c r="N82" s="6"/>
      <c r="O82" s="6"/>
      <c r="P82" s="6"/>
      <c r="Q82" s="6"/>
      <c r="R82" s="6"/>
      <c r="S82" s="6"/>
      <c r="T82" s="6"/>
      <c r="U82" s="6"/>
      <c r="V82" s="6"/>
      <c r="W82" s="6"/>
      <c r="X82" s="6"/>
      <c r="Y82" s="6"/>
      <c r="Z82" s="6"/>
    </row>
    <row r="83" ht="12.75" hidden="1" customHeight="1">
      <c r="A83" s="37">
        <v>82.0</v>
      </c>
      <c r="B83" s="37">
        <v>10082.0</v>
      </c>
      <c r="C83" s="37" t="s">
        <v>7</v>
      </c>
      <c r="D83" s="38" t="s">
        <v>150</v>
      </c>
      <c r="E83" s="37" t="s">
        <v>151</v>
      </c>
      <c r="F83" s="37">
        <v>60.0</v>
      </c>
      <c r="G83" s="39">
        <v>45763.0</v>
      </c>
      <c r="H83" s="6"/>
      <c r="I83" s="6"/>
      <c r="J83" s="6"/>
      <c r="K83" s="6"/>
      <c r="L83" s="6"/>
      <c r="M83" s="6"/>
      <c r="N83" s="6"/>
      <c r="O83" s="6"/>
      <c r="P83" s="6"/>
      <c r="Q83" s="6"/>
      <c r="R83" s="6"/>
      <c r="S83" s="6"/>
      <c r="T83" s="6"/>
      <c r="U83" s="6"/>
      <c r="V83" s="6"/>
      <c r="W83" s="6"/>
      <c r="X83" s="6"/>
      <c r="Y83" s="6"/>
      <c r="Z83" s="6"/>
    </row>
    <row r="84" ht="12.75" hidden="1" customHeight="1">
      <c r="A84" s="34">
        <v>83.0</v>
      </c>
      <c r="B84" s="34">
        <v>10083.0</v>
      </c>
      <c r="C84" s="34" t="s">
        <v>7</v>
      </c>
      <c r="D84" s="35" t="s">
        <v>152</v>
      </c>
      <c r="E84" s="34" t="s">
        <v>153</v>
      </c>
      <c r="F84" s="34">
        <v>34.0</v>
      </c>
      <c r="G84" s="36">
        <v>45763.0</v>
      </c>
      <c r="H84" s="6"/>
      <c r="I84" s="6"/>
      <c r="J84" s="6"/>
      <c r="K84" s="6"/>
      <c r="L84" s="6"/>
      <c r="M84" s="6"/>
      <c r="N84" s="6"/>
      <c r="O84" s="6"/>
      <c r="P84" s="6"/>
      <c r="Q84" s="6"/>
      <c r="R84" s="6"/>
      <c r="S84" s="6"/>
      <c r="T84" s="6"/>
      <c r="U84" s="6"/>
      <c r="V84" s="6"/>
      <c r="W84" s="6"/>
      <c r="X84" s="6"/>
      <c r="Y84" s="6"/>
      <c r="Z84" s="6"/>
    </row>
    <row r="85" ht="12.75" hidden="1" customHeight="1">
      <c r="A85" s="37">
        <v>84.0</v>
      </c>
      <c r="B85" s="37">
        <v>10084.0</v>
      </c>
      <c r="C85" s="37" t="s">
        <v>7</v>
      </c>
      <c r="D85" s="38" t="s">
        <v>154</v>
      </c>
      <c r="E85" s="37" t="s">
        <v>155</v>
      </c>
      <c r="F85" s="37">
        <v>138.0</v>
      </c>
      <c r="G85" s="39">
        <v>45763.0</v>
      </c>
      <c r="H85" s="6"/>
      <c r="I85" s="6"/>
      <c r="J85" s="6"/>
      <c r="K85" s="6"/>
      <c r="L85" s="6"/>
      <c r="M85" s="6"/>
      <c r="N85" s="6"/>
      <c r="O85" s="6"/>
      <c r="P85" s="6"/>
      <c r="Q85" s="6"/>
      <c r="R85" s="6"/>
      <c r="S85" s="6"/>
      <c r="T85" s="6"/>
      <c r="U85" s="6"/>
      <c r="V85" s="6"/>
      <c r="W85" s="6"/>
      <c r="X85" s="6"/>
      <c r="Y85" s="6"/>
      <c r="Z85" s="6"/>
    </row>
    <row r="86" ht="12.75" hidden="1" customHeight="1">
      <c r="A86" s="34">
        <v>85.0</v>
      </c>
      <c r="B86" s="34">
        <v>10085.0</v>
      </c>
      <c r="C86" s="34" t="s">
        <v>7</v>
      </c>
      <c r="D86" s="35" t="s">
        <v>156</v>
      </c>
      <c r="E86" s="34" t="s">
        <v>157</v>
      </c>
      <c r="F86" s="34">
        <v>32.0</v>
      </c>
      <c r="G86" s="36">
        <v>45763.0</v>
      </c>
      <c r="H86" s="6"/>
      <c r="I86" s="6"/>
      <c r="J86" s="6"/>
      <c r="K86" s="6"/>
      <c r="L86" s="6"/>
      <c r="M86" s="6"/>
      <c r="N86" s="6"/>
      <c r="O86" s="6"/>
      <c r="P86" s="6"/>
      <c r="Q86" s="6"/>
      <c r="R86" s="6"/>
      <c r="S86" s="6"/>
      <c r="T86" s="6"/>
      <c r="U86" s="6"/>
      <c r="V86" s="6"/>
      <c r="W86" s="6"/>
      <c r="X86" s="6"/>
      <c r="Y86" s="6"/>
      <c r="Z86" s="6"/>
    </row>
    <row r="87" ht="12.75" hidden="1" customHeight="1">
      <c r="A87" s="37">
        <v>86.0</v>
      </c>
      <c r="B87" s="37">
        <v>10086.0</v>
      </c>
      <c r="C87" s="37" t="s">
        <v>7</v>
      </c>
      <c r="D87" s="38" t="s">
        <v>158</v>
      </c>
      <c r="E87" s="37" t="s">
        <v>159</v>
      </c>
      <c r="F87" s="37">
        <v>43.0</v>
      </c>
      <c r="G87" s="39">
        <v>45763.0</v>
      </c>
      <c r="H87" s="6"/>
      <c r="I87" s="6"/>
      <c r="J87" s="6"/>
      <c r="K87" s="6"/>
      <c r="L87" s="6"/>
      <c r="M87" s="6"/>
      <c r="N87" s="6"/>
      <c r="O87" s="6"/>
      <c r="P87" s="6"/>
      <c r="Q87" s="6"/>
      <c r="R87" s="6"/>
      <c r="S87" s="6"/>
      <c r="T87" s="6"/>
      <c r="U87" s="6"/>
      <c r="V87" s="6"/>
      <c r="W87" s="6"/>
      <c r="X87" s="6"/>
      <c r="Y87" s="6"/>
      <c r="Z87" s="6"/>
    </row>
    <row r="88" ht="12.75" hidden="1" customHeight="1">
      <c r="A88" s="34">
        <v>87.0</v>
      </c>
      <c r="B88" s="34">
        <v>10087.0</v>
      </c>
      <c r="C88" s="34" t="s">
        <v>7</v>
      </c>
      <c r="D88" s="35" t="s">
        <v>160</v>
      </c>
      <c r="E88" s="34" t="s">
        <v>161</v>
      </c>
      <c r="F88" s="34">
        <v>61.0</v>
      </c>
      <c r="G88" s="36">
        <v>45763.0</v>
      </c>
      <c r="H88" s="6"/>
      <c r="I88" s="6"/>
      <c r="J88" s="6"/>
      <c r="K88" s="6"/>
      <c r="L88" s="6"/>
      <c r="M88" s="6"/>
      <c r="N88" s="6"/>
      <c r="O88" s="6"/>
      <c r="P88" s="6"/>
      <c r="Q88" s="6"/>
      <c r="R88" s="6"/>
      <c r="S88" s="6"/>
      <c r="T88" s="6"/>
      <c r="U88" s="6"/>
      <c r="V88" s="6"/>
      <c r="W88" s="6"/>
      <c r="X88" s="6"/>
      <c r="Y88" s="6"/>
      <c r="Z88" s="6"/>
    </row>
    <row r="89" ht="12.75" hidden="1" customHeight="1">
      <c r="A89" s="37">
        <v>88.0</v>
      </c>
      <c r="B89" s="37">
        <v>10088.0</v>
      </c>
      <c r="C89" s="37" t="s">
        <v>41</v>
      </c>
      <c r="D89" s="38" t="s">
        <v>162</v>
      </c>
      <c r="E89" s="37" t="s">
        <v>43</v>
      </c>
      <c r="F89" s="37">
        <v>115.0</v>
      </c>
      <c r="G89" s="39">
        <v>0.0</v>
      </c>
      <c r="H89" s="6"/>
      <c r="I89" s="6"/>
      <c r="J89" s="6"/>
      <c r="K89" s="6"/>
      <c r="L89" s="6"/>
      <c r="M89" s="6"/>
      <c r="N89" s="6"/>
      <c r="O89" s="6"/>
      <c r="P89" s="6"/>
      <c r="Q89" s="6"/>
      <c r="R89" s="6"/>
      <c r="S89" s="6"/>
      <c r="T89" s="6"/>
      <c r="U89" s="6"/>
      <c r="V89" s="6"/>
      <c r="W89" s="6"/>
      <c r="X89" s="6"/>
      <c r="Y89" s="6"/>
      <c r="Z89" s="6"/>
    </row>
    <row r="90" ht="12.75" hidden="1" customHeight="1">
      <c r="A90" s="58">
        <v>89.0</v>
      </c>
      <c r="B90" s="58">
        <v>10089.0</v>
      </c>
      <c r="C90" s="58" t="s">
        <v>20</v>
      </c>
      <c r="D90" s="59" t="s">
        <v>163</v>
      </c>
      <c r="E90" s="58" t="s">
        <v>164</v>
      </c>
      <c r="F90" s="58">
        <v>105.0</v>
      </c>
      <c r="G90" s="60">
        <v>45763.0</v>
      </c>
      <c r="H90" s="6"/>
      <c r="I90" s="6"/>
      <c r="J90" s="6"/>
      <c r="K90" s="6"/>
      <c r="L90" s="6"/>
      <c r="M90" s="6"/>
      <c r="N90" s="6"/>
      <c r="O90" s="6"/>
      <c r="P90" s="6"/>
      <c r="Q90" s="6"/>
      <c r="R90" s="6"/>
      <c r="S90" s="6"/>
      <c r="T90" s="6"/>
      <c r="U90" s="6"/>
      <c r="V90" s="6"/>
      <c r="W90" s="6"/>
      <c r="X90" s="6"/>
      <c r="Y90" s="6"/>
      <c r="Z90" s="6"/>
    </row>
    <row r="91" ht="12.75" hidden="1" customHeight="1">
      <c r="A91" s="61">
        <v>90.0</v>
      </c>
      <c r="B91" s="61">
        <v>10090.0</v>
      </c>
      <c r="C91" s="61" t="s">
        <v>7</v>
      </c>
      <c r="D91" s="62" t="s">
        <v>165</v>
      </c>
      <c r="E91" s="61" t="s">
        <v>166</v>
      </c>
      <c r="F91" s="61">
        <v>39.0</v>
      </c>
      <c r="G91" s="63">
        <v>45763.0</v>
      </c>
      <c r="H91" s="6"/>
      <c r="I91" s="6"/>
      <c r="J91" s="6"/>
      <c r="K91" s="6"/>
      <c r="L91" s="6"/>
      <c r="M91" s="6"/>
      <c r="N91" s="6"/>
      <c r="O91" s="6"/>
      <c r="P91" s="6"/>
      <c r="Q91" s="6"/>
      <c r="R91" s="6"/>
      <c r="S91" s="6"/>
      <c r="T91" s="6"/>
      <c r="U91" s="6"/>
      <c r="V91" s="6"/>
      <c r="W91" s="6"/>
      <c r="X91" s="6"/>
      <c r="Y91" s="6"/>
      <c r="Z91" s="6"/>
    </row>
    <row r="92" ht="12.75" hidden="1" customHeight="1">
      <c r="A92" s="34">
        <v>91.0</v>
      </c>
      <c r="B92" s="34">
        <v>10091.0</v>
      </c>
      <c r="C92" s="34" t="s">
        <v>7</v>
      </c>
      <c r="D92" s="35" t="s">
        <v>167</v>
      </c>
      <c r="E92" s="34" t="s">
        <v>168</v>
      </c>
      <c r="F92" s="34">
        <v>39.0</v>
      </c>
      <c r="G92" s="36">
        <v>45763.0</v>
      </c>
      <c r="H92" s="6"/>
      <c r="I92" s="6"/>
      <c r="J92" s="6"/>
      <c r="K92" s="6"/>
      <c r="L92" s="6"/>
      <c r="M92" s="6"/>
      <c r="N92" s="6"/>
      <c r="O92" s="6"/>
      <c r="P92" s="6"/>
      <c r="Q92" s="6"/>
      <c r="R92" s="6"/>
      <c r="S92" s="6"/>
      <c r="T92" s="6"/>
      <c r="U92" s="6"/>
      <c r="V92" s="6"/>
      <c r="W92" s="6"/>
      <c r="X92" s="6"/>
      <c r="Y92" s="6"/>
      <c r="Z92" s="6"/>
    </row>
    <row r="93" ht="12.75" hidden="1" customHeight="1">
      <c r="A93" s="37">
        <v>92.0</v>
      </c>
      <c r="B93" s="37">
        <v>10092.0</v>
      </c>
      <c r="C93" s="37" t="s">
        <v>34</v>
      </c>
      <c r="D93" s="38" t="s">
        <v>169</v>
      </c>
      <c r="E93" s="37" t="s">
        <v>170</v>
      </c>
      <c r="F93" s="37">
        <v>124.0</v>
      </c>
      <c r="G93" s="39">
        <v>45763.0</v>
      </c>
      <c r="H93" s="6"/>
      <c r="I93" s="6"/>
      <c r="J93" s="6"/>
      <c r="K93" s="6"/>
      <c r="L93" s="6"/>
      <c r="M93" s="6"/>
      <c r="N93" s="6"/>
      <c r="O93" s="6"/>
      <c r="P93" s="6"/>
      <c r="Q93" s="6"/>
      <c r="R93" s="6"/>
      <c r="S93" s="6"/>
      <c r="T93" s="6"/>
      <c r="U93" s="6"/>
      <c r="V93" s="6"/>
      <c r="W93" s="6"/>
      <c r="X93" s="6"/>
      <c r="Y93" s="6"/>
      <c r="Z93" s="6"/>
    </row>
    <row r="94" ht="12.75" hidden="1" customHeight="1">
      <c r="A94" s="34">
        <v>93.0</v>
      </c>
      <c r="B94" s="34">
        <v>10093.0</v>
      </c>
      <c r="C94" s="34" t="s">
        <v>7</v>
      </c>
      <c r="D94" s="35" t="s">
        <v>171</v>
      </c>
      <c r="E94" s="34" t="s">
        <v>172</v>
      </c>
      <c r="F94" s="34">
        <v>70.0</v>
      </c>
      <c r="G94" s="36">
        <v>0.0</v>
      </c>
      <c r="H94" s="6"/>
      <c r="I94" s="6"/>
      <c r="J94" s="6"/>
      <c r="K94" s="6"/>
      <c r="L94" s="6"/>
      <c r="M94" s="6"/>
      <c r="N94" s="6"/>
      <c r="O94" s="6"/>
      <c r="P94" s="6"/>
      <c r="Q94" s="6"/>
      <c r="R94" s="6"/>
      <c r="S94" s="6"/>
      <c r="T94" s="6"/>
      <c r="U94" s="6"/>
      <c r="V94" s="6"/>
      <c r="W94" s="6"/>
      <c r="X94" s="6"/>
      <c r="Y94" s="6"/>
      <c r="Z94" s="6"/>
    </row>
    <row r="95" ht="12.75" hidden="1" customHeight="1">
      <c r="A95" s="64">
        <v>94.0</v>
      </c>
      <c r="B95" s="64">
        <v>10094.0</v>
      </c>
      <c r="C95" s="64" t="s">
        <v>34</v>
      </c>
      <c r="D95" s="65" t="s">
        <v>173</v>
      </c>
      <c r="E95" s="64" t="s">
        <v>174</v>
      </c>
      <c r="F95" s="64">
        <v>165.0</v>
      </c>
      <c r="G95" s="66">
        <v>45763.0</v>
      </c>
      <c r="H95" s="6"/>
      <c r="I95" s="6"/>
      <c r="J95" s="6"/>
      <c r="K95" s="6"/>
      <c r="L95" s="6"/>
      <c r="M95" s="6"/>
      <c r="N95" s="6"/>
      <c r="O95" s="6"/>
      <c r="P95" s="6"/>
      <c r="Q95" s="6"/>
      <c r="R95" s="6"/>
      <c r="S95" s="6"/>
      <c r="T95" s="6"/>
      <c r="U95" s="6"/>
      <c r="V95" s="6"/>
      <c r="W95" s="6"/>
      <c r="X95" s="6"/>
      <c r="Y95" s="6"/>
      <c r="Z95" s="6"/>
    </row>
    <row r="96" ht="12.75" hidden="1" customHeight="1">
      <c r="A96" s="34">
        <v>95.0</v>
      </c>
      <c r="B96" s="34">
        <v>10095.0</v>
      </c>
      <c r="C96" s="34" t="s">
        <v>34</v>
      </c>
      <c r="D96" s="35" t="s">
        <v>175</v>
      </c>
      <c r="E96" s="34" t="s">
        <v>176</v>
      </c>
      <c r="F96" s="34">
        <v>120.0</v>
      </c>
      <c r="G96" s="36">
        <v>45763.0</v>
      </c>
      <c r="H96" s="6"/>
      <c r="I96" s="6"/>
      <c r="J96" s="6"/>
      <c r="K96" s="6"/>
      <c r="L96" s="6"/>
      <c r="M96" s="6"/>
      <c r="N96" s="6"/>
      <c r="O96" s="6"/>
      <c r="P96" s="6"/>
      <c r="Q96" s="6"/>
      <c r="R96" s="6"/>
      <c r="S96" s="6"/>
      <c r="T96" s="6"/>
      <c r="U96" s="6"/>
      <c r="V96" s="6"/>
      <c r="W96" s="6"/>
      <c r="X96" s="6"/>
      <c r="Y96" s="6"/>
      <c r="Z96" s="6"/>
    </row>
    <row r="97" ht="12.75" hidden="1" customHeight="1">
      <c r="A97" s="37">
        <v>96.0</v>
      </c>
      <c r="B97" s="37">
        <v>10096.0</v>
      </c>
      <c r="C97" s="37" t="s">
        <v>34</v>
      </c>
      <c r="D97" s="38" t="s">
        <v>177</v>
      </c>
      <c r="E97" s="37" t="s">
        <v>178</v>
      </c>
      <c r="F97" s="37">
        <v>121.0</v>
      </c>
      <c r="G97" s="39">
        <v>45763.0</v>
      </c>
      <c r="H97" s="6"/>
      <c r="I97" s="6"/>
      <c r="J97" s="6"/>
      <c r="K97" s="6"/>
      <c r="L97" s="6"/>
      <c r="M97" s="6"/>
      <c r="N97" s="6"/>
      <c r="O97" s="6"/>
      <c r="P97" s="6"/>
      <c r="Q97" s="6"/>
      <c r="R97" s="6"/>
      <c r="S97" s="6"/>
      <c r="T97" s="6"/>
      <c r="U97" s="6"/>
      <c r="V97" s="6"/>
      <c r="W97" s="6"/>
      <c r="X97" s="6"/>
      <c r="Y97" s="6"/>
      <c r="Z97" s="6"/>
    </row>
    <row r="98" ht="12.75" hidden="1" customHeight="1">
      <c r="A98" s="7">
        <v>97.0</v>
      </c>
      <c r="B98" s="7">
        <v>10097.0</v>
      </c>
      <c r="C98" s="7" t="s">
        <v>34</v>
      </c>
      <c r="D98" s="8">
        <v>0.0</v>
      </c>
      <c r="E98" s="7" t="s">
        <v>179</v>
      </c>
      <c r="F98" s="7">
        <v>167.0</v>
      </c>
      <c r="G98" s="9">
        <v>45763.0</v>
      </c>
      <c r="H98" s="6"/>
      <c r="I98" s="6"/>
      <c r="J98" s="6"/>
      <c r="K98" s="6"/>
      <c r="L98" s="6"/>
      <c r="M98" s="6"/>
      <c r="N98" s="6"/>
      <c r="O98" s="6"/>
      <c r="P98" s="6"/>
      <c r="Q98" s="6"/>
      <c r="R98" s="6"/>
      <c r="S98" s="6"/>
      <c r="T98" s="6"/>
      <c r="U98" s="6"/>
      <c r="V98" s="6"/>
      <c r="W98" s="6"/>
      <c r="X98" s="6"/>
      <c r="Y98" s="6"/>
      <c r="Z98" s="6"/>
    </row>
    <row r="99" ht="12.75" hidden="1" customHeight="1">
      <c r="A99" s="61">
        <v>98.0</v>
      </c>
      <c r="B99" s="61">
        <v>10098.0</v>
      </c>
      <c r="C99" s="61" t="s">
        <v>34</v>
      </c>
      <c r="D99" s="62" t="s">
        <v>180</v>
      </c>
      <c r="E99" s="61" t="s">
        <v>181</v>
      </c>
      <c r="F99" s="61">
        <v>114.0</v>
      </c>
      <c r="G99" s="63">
        <v>45763.0</v>
      </c>
      <c r="H99" s="6"/>
      <c r="I99" s="6"/>
      <c r="J99" s="6"/>
      <c r="K99" s="6"/>
      <c r="L99" s="6"/>
      <c r="M99" s="6"/>
      <c r="N99" s="6"/>
      <c r="O99" s="6"/>
      <c r="P99" s="6"/>
      <c r="Q99" s="6"/>
      <c r="R99" s="6"/>
      <c r="S99" s="6"/>
      <c r="T99" s="6"/>
      <c r="U99" s="6"/>
      <c r="V99" s="6"/>
      <c r="W99" s="6"/>
      <c r="X99" s="6"/>
      <c r="Y99" s="6"/>
      <c r="Z99" s="6"/>
    </row>
    <row r="100" ht="12.75" hidden="1" customHeight="1">
      <c r="A100" s="34">
        <v>99.0</v>
      </c>
      <c r="B100" s="34">
        <v>10099.0</v>
      </c>
      <c r="C100" s="34" t="s">
        <v>7</v>
      </c>
      <c r="D100" s="35" t="s">
        <v>182</v>
      </c>
      <c r="E100" s="34" t="s">
        <v>183</v>
      </c>
      <c r="F100" s="34">
        <v>50.0</v>
      </c>
      <c r="G100" s="36">
        <v>45763.0</v>
      </c>
      <c r="H100" s="6"/>
      <c r="I100" s="6"/>
      <c r="J100" s="6"/>
      <c r="K100" s="6"/>
      <c r="L100" s="6"/>
      <c r="M100" s="6"/>
      <c r="N100" s="6"/>
      <c r="O100" s="6"/>
      <c r="P100" s="6"/>
      <c r="Q100" s="6"/>
      <c r="R100" s="6"/>
      <c r="S100" s="6"/>
      <c r="T100" s="6"/>
      <c r="U100" s="6"/>
      <c r="V100" s="6"/>
      <c r="W100" s="6"/>
      <c r="X100" s="6"/>
      <c r="Y100" s="6"/>
      <c r="Z100" s="6"/>
    </row>
    <row r="101" ht="12.75" hidden="1" customHeight="1">
      <c r="A101" s="61">
        <v>100.0</v>
      </c>
      <c r="B101" s="61">
        <v>10100.0</v>
      </c>
      <c r="C101" s="61" t="s">
        <v>7</v>
      </c>
      <c r="D101" s="62" t="s">
        <v>184</v>
      </c>
      <c r="E101" s="61" t="s">
        <v>185</v>
      </c>
      <c r="F101" s="61">
        <v>62.0</v>
      </c>
      <c r="G101" s="63">
        <v>45763.0</v>
      </c>
      <c r="H101" s="6"/>
      <c r="I101" s="6"/>
      <c r="J101" s="6"/>
      <c r="K101" s="6"/>
      <c r="L101" s="6"/>
      <c r="M101" s="6"/>
      <c r="N101" s="6"/>
      <c r="O101" s="6"/>
      <c r="P101" s="6"/>
      <c r="Q101" s="6"/>
      <c r="R101" s="6"/>
      <c r="S101" s="6"/>
      <c r="T101" s="6"/>
      <c r="U101" s="6"/>
      <c r="V101" s="6"/>
      <c r="W101" s="6"/>
      <c r="X101" s="6"/>
      <c r="Y101" s="6"/>
      <c r="Z101" s="6"/>
    </row>
    <row r="102" ht="12.75" hidden="1" customHeight="1">
      <c r="A102" s="34">
        <v>101.0</v>
      </c>
      <c r="B102" s="34">
        <v>10101.0</v>
      </c>
      <c r="C102" s="34" t="s">
        <v>7</v>
      </c>
      <c r="D102" s="35" t="s">
        <v>186</v>
      </c>
      <c r="E102" s="34" t="s">
        <v>187</v>
      </c>
      <c r="F102" s="34">
        <v>59.0</v>
      </c>
      <c r="G102" s="36">
        <v>45763.0</v>
      </c>
      <c r="H102" s="6"/>
      <c r="I102" s="6"/>
      <c r="J102" s="6"/>
      <c r="K102" s="6"/>
      <c r="L102" s="6"/>
      <c r="M102" s="6"/>
      <c r="N102" s="6"/>
      <c r="O102" s="6"/>
      <c r="P102" s="6"/>
      <c r="Q102" s="6"/>
      <c r="R102" s="6"/>
      <c r="S102" s="6"/>
      <c r="T102" s="6"/>
      <c r="U102" s="6"/>
      <c r="V102" s="6"/>
      <c r="W102" s="6"/>
      <c r="X102" s="6"/>
      <c r="Y102" s="6"/>
      <c r="Z102" s="6"/>
    </row>
    <row r="103" ht="12.75" hidden="1" customHeight="1">
      <c r="A103" s="37">
        <v>102.0</v>
      </c>
      <c r="B103" s="37">
        <v>10102.0</v>
      </c>
      <c r="C103" s="37" t="s">
        <v>20</v>
      </c>
      <c r="D103" s="38" t="s">
        <v>188</v>
      </c>
      <c r="E103" s="37" t="s">
        <v>189</v>
      </c>
      <c r="F103" s="37">
        <v>91.0</v>
      </c>
      <c r="G103" s="39">
        <v>0.0</v>
      </c>
      <c r="H103" s="6"/>
      <c r="I103" s="6"/>
      <c r="J103" s="6"/>
      <c r="K103" s="6"/>
      <c r="L103" s="6"/>
      <c r="M103" s="6"/>
      <c r="N103" s="6"/>
      <c r="O103" s="6"/>
      <c r="P103" s="6"/>
      <c r="Q103" s="6"/>
      <c r="R103" s="6"/>
      <c r="S103" s="6"/>
      <c r="T103" s="6"/>
      <c r="U103" s="6"/>
      <c r="V103" s="6"/>
      <c r="W103" s="6"/>
      <c r="X103" s="6"/>
      <c r="Y103" s="6"/>
      <c r="Z103" s="6"/>
    </row>
    <row r="104" ht="12.75" hidden="1" customHeight="1">
      <c r="A104" s="34">
        <v>103.0</v>
      </c>
      <c r="B104" s="34">
        <v>10103.0</v>
      </c>
      <c r="C104" s="34" t="s">
        <v>34</v>
      </c>
      <c r="D104" s="35" t="s">
        <v>190</v>
      </c>
      <c r="E104" s="34" t="s">
        <v>191</v>
      </c>
      <c r="F104" s="34">
        <v>176.0</v>
      </c>
      <c r="G104" s="36">
        <v>0.0</v>
      </c>
      <c r="H104" s="6"/>
      <c r="I104" s="6"/>
      <c r="J104" s="6"/>
      <c r="K104" s="6"/>
      <c r="L104" s="6"/>
      <c r="M104" s="6"/>
      <c r="N104" s="6"/>
      <c r="O104" s="6"/>
      <c r="P104" s="6"/>
      <c r="Q104" s="6"/>
      <c r="R104" s="6"/>
      <c r="S104" s="6"/>
      <c r="T104" s="6"/>
      <c r="U104" s="6"/>
      <c r="V104" s="6"/>
      <c r="W104" s="6"/>
      <c r="X104" s="6"/>
      <c r="Y104" s="6"/>
      <c r="Z104" s="6"/>
    </row>
    <row r="105" ht="12.75" hidden="1" customHeight="1">
      <c r="A105" s="37">
        <v>104.0</v>
      </c>
      <c r="B105" s="37">
        <v>10104.0</v>
      </c>
      <c r="C105" s="37" t="s">
        <v>7</v>
      </c>
      <c r="D105" s="38" t="s">
        <v>192</v>
      </c>
      <c r="E105" s="37" t="s">
        <v>193</v>
      </c>
      <c r="F105" s="37">
        <v>59.0</v>
      </c>
      <c r="G105" s="39">
        <v>45763.0</v>
      </c>
      <c r="H105" s="6"/>
      <c r="I105" s="6"/>
      <c r="J105" s="6"/>
      <c r="K105" s="6"/>
      <c r="L105" s="6"/>
      <c r="M105" s="6"/>
      <c r="N105" s="6"/>
      <c r="O105" s="6"/>
      <c r="P105" s="6"/>
      <c r="Q105" s="6"/>
      <c r="R105" s="6"/>
      <c r="S105" s="6"/>
      <c r="T105" s="6"/>
      <c r="U105" s="6"/>
      <c r="V105" s="6"/>
      <c r="W105" s="6"/>
      <c r="X105" s="6"/>
      <c r="Y105" s="6"/>
      <c r="Z105" s="6"/>
    </row>
    <row r="106" ht="12.75" hidden="1" customHeight="1">
      <c r="A106" s="58">
        <v>105.0</v>
      </c>
      <c r="B106" s="58">
        <v>10105.0</v>
      </c>
      <c r="C106" s="58" t="s">
        <v>27</v>
      </c>
      <c r="D106" s="59" t="s">
        <v>194</v>
      </c>
      <c r="E106" s="58" t="s">
        <v>195</v>
      </c>
      <c r="F106" s="58">
        <v>102.0</v>
      </c>
      <c r="G106" s="60">
        <v>45763.0</v>
      </c>
      <c r="H106" s="6"/>
      <c r="I106" s="6"/>
      <c r="J106" s="6"/>
      <c r="K106" s="6"/>
      <c r="L106" s="6"/>
      <c r="M106" s="6"/>
      <c r="N106" s="6"/>
      <c r="O106" s="6"/>
      <c r="P106" s="6"/>
      <c r="Q106" s="6"/>
      <c r="R106" s="6"/>
      <c r="S106" s="6"/>
      <c r="T106" s="6"/>
      <c r="U106" s="6"/>
      <c r="V106" s="6"/>
      <c r="W106" s="6"/>
      <c r="X106" s="6"/>
      <c r="Y106" s="6"/>
      <c r="Z106" s="6"/>
    </row>
    <row r="107" ht="12.75" hidden="1" customHeight="1">
      <c r="A107" s="37">
        <v>106.0</v>
      </c>
      <c r="B107" s="37">
        <v>10106.0</v>
      </c>
      <c r="C107" s="37" t="s">
        <v>7</v>
      </c>
      <c r="D107" s="38" t="s">
        <v>196</v>
      </c>
      <c r="E107" s="37" t="s">
        <v>197</v>
      </c>
      <c r="F107" s="37">
        <v>60.0</v>
      </c>
      <c r="G107" s="39">
        <v>0.0</v>
      </c>
      <c r="H107" s="6"/>
      <c r="I107" s="6"/>
      <c r="J107" s="6"/>
      <c r="K107" s="6"/>
      <c r="L107" s="6"/>
      <c r="M107" s="6"/>
      <c r="N107" s="6"/>
      <c r="O107" s="6"/>
      <c r="P107" s="6"/>
      <c r="Q107" s="6"/>
      <c r="R107" s="6"/>
      <c r="S107" s="6"/>
      <c r="T107" s="6"/>
      <c r="U107" s="6"/>
      <c r="V107" s="6"/>
      <c r="W107" s="6"/>
      <c r="X107" s="6"/>
      <c r="Y107" s="6"/>
      <c r="Z107" s="6"/>
    </row>
    <row r="108" ht="12.75" hidden="1" customHeight="1">
      <c r="A108" s="34">
        <v>107.0</v>
      </c>
      <c r="B108" s="34">
        <v>10107.0</v>
      </c>
      <c r="C108" s="34" t="s">
        <v>34</v>
      </c>
      <c r="D108" s="35" t="s">
        <v>198</v>
      </c>
      <c r="E108" s="34" t="s">
        <v>199</v>
      </c>
      <c r="F108" s="34">
        <v>164.0</v>
      </c>
      <c r="G108" s="36">
        <v>0.0</v>
      </c>
      <c r="H108" s="6"/>
      <c r="I108" s="6"/>
      <c r="J108" s="6"/>
      <c r="K108" s="6"/>
      <c r="L108" s="6"/>
      <c r="M108" s="6"/>
      <c r="N108" s="6"/>
      <c r="O108" s="6"/>
      <c r="P108" s="6"/>
      <c r="Q108" s="6"/>
      <c r="R108" s="6"/>
      <c r="S108" s="6"/>
      <c r="T108" s="6"/>
      <c r="U108" s="6"/>
      <c r="V108" s="6"/>
      <c r="W108" s="6"/>
      <c r="X108" s="6"/>
      <c r="Y108" s="6"/>
      <c r="Z108" s="6"/>
    </row>
    <row r="109" ht="12.75" hidden="1" customHeight="1">
      <c r="A109" s="31">
        <v>108.0</v>
      </c>
      <c r="B109" s="31">
        <v>10108.0</v>
      </c>
      <c r="C109" s="31" t="s">
        <v>34</v>
      </c>
      <c r="D109" s="32" t="s">
        <v>200</v>
      </c>
      <c r="E109" s="31" t="s">
        <v>201</v>
      </c>
      <c r="F109" s="31">
        <v>126.0</v>
      </c>
      <c r="G109" s="33">
        <v>0.0</v>
      </c>
      <c r="H109" s="6"/>
      <c r="I109" s="6"/>
      <c r="J109" s="6"/>
      <c r="K109" s="6"/>
      <c r="L109" s="6"/>
      <c r="M109" s="6"/>
      <c r="N109" s="6"/>
      <c r="O109" s="6"/>
      <c r="P109" s="6"/>
      <c r="Q109" s="6"/>
      <c r="R109" s="6"/>
      <c r="S109" s="6"/>
      <c r="T109" s="6"/>
      <c r="U109" s="6"/>
      <c r="V109" s="6"/>
      <c r="W109" s="6"/>
      <c r="X109" s="6"/>
      <c r="Y109" s="6"/>
      <c r="Z109" s="6"/>
    </row>
    <row r="110" ht="12.75" hidden="1" customHeight="1">
      <c r="A110" s="34">
        <v>109.0</v>
      </c>
      <c r="B110" s="34">
        <v>10109.0</v>
      </c>
      <c r="C110" s="34" t="s">
        <v>7</v>
      </c>
      <c r="D110" s="35" t="s">
        <v>202</v>
      </c>
      <c r="E110" s="34" t="s">
        <v>203</v>
      </c>
      <c r="F110" s="34">
        <v>71.0</v>
      </c>
      <c r="G110" s="36">
        <v>0.0</v>
      </c>
      <c r="H110" s="6"/>
      <c r="I110" s="6"/>
      <c r="J110" s="6"/>
      <c r="K110" s="6"/>
      <c r="L110" s="6"/>
      <c r="M110" s="6"/>
      <c r="N110" s="6"/>
      <c r="O110" s="6"/>
      <c r="P110" s="6"/>
      <c r="Q110" s="6"/>
      <c r="R110" s="6"/>
      <c r="S110" s="6"/>
      <c r="T110" s="6"/>
      <c r="U110" s="6"/>
      <c r="V110" s="6"/>
      <c r="W110" s="6"/>
      <c r="X110" s="6"/>
      <c r="Y110" s="6"/>
      <c r="Z110" s="6"/>
    </row>
    <row r="111" ht="12.75" hidden="1" customHeight="1">
      <c r="A111" s="37">
        <v>110.0</v>
      </c>
      <c r="B111" s="37">
        <v>10110.0</v>
      </c>
      <c r="C111" s="37" t="s">
        <v>34</v>
      </c>
      <c r="D111" s="38" t="s">
        <v>204</v>
      </c>
      <c r="E111" s="37" t="s">
        <v>205</v>
      </c>
      <c r="F111" s="37">
        <v>187.0</v>
      </c>
      <c r="G111" s="39">
        <v>45770.0</v>
      </c>
      <c r="H111" s="6"/>
      <c r="I111" s="6"/>
      <c r="J111" s="6"/>
      <c r="K111" s="6"/>
      <c r="L111" s="6"/>
      <c r="M111" s="6"/>
      <c r="N111" s="6"/>
      <c r="O111" s="6"/>
      <c r="P111" s="6"/>
      <c r="Q111" s="6"/>
      <c r="R111" s="6"/>
      <c r="S111" s="6"/>
      <c r="T111" s="6"/>
      <c r="U111" s="6"/>
      <c r="V111" s="6"/>
      <c r="W111" s="6"/>
      <c r="X111" s="6"/>
      <c r="Y111" s="6"/>
      <c r="Z111" s="6"/>
    </row>
    <row r="112" ht="12.75" hidden="1" customHeight="1">
      <c r="A112" s="58">
        <v>111.0</v>
      </c>
      <c r="B112" s="58">
        <v>10111.0</v>
      </c>
      <c r="C112" s="58" t="s">
        <v>20</v>
      </c>
      <c r="D112" s="59" t="s">
        <v>206</v>
      </c>
      <c r="E112" s="58" t="s">
        <v>207</v>
      </c>
      <c r="F112" s="58">
        <v>135.0</v>
      </c>
      <c r="G112" s="60">
        <v>0.0</v>
      </c>
      <c r="H112" s="6"/>
      <c r="I112" s="6"/>
      <c r="J112" s="6"/>
      <c r="K112" s="6"/>
      <c r="L112" s="6"/>
      <c r="M112" s="6"/>
      <c r="N112" s="6"/>
      <c r="O112" s="6"/>
      <c r="P112" s="6"/>
      <c r="Q112" s="6"/>
      <c r="R112" s="6"/>
      <c r="S112" s="6"/>
      <c r="T112" s="6"/>
      <c r="U112" s="6"/>
      <c r="V112" s="6"/>
      <c r="W112" s="6"/>
      <c r="X112" s="6"/>
      <c r="Y112" s="6"/>
      <c r="Z112" s="6"/>
    </row>
    <row r="113" ht="12.75" hidden="1" customHeight="1">
      <c r="A113" s="61">
        <v>112.0</v>
      </c>
      <c r="B113" s="61">
        <v>10112.0</v>
      </c>
      <c r="C113" s="61" t="s">
        <v>7</v>
      </c>
      <c r="D113" s="62" t="s">
        <v>208</v>
      </c>
      <c r="E113" s="61" t="s">
        <v>209</v>
      </c>
      <c r="F113" s="61">
        <v>106.0</v>
      </c>
      <c r="G113" s="63">
        <v>0.0</v>
      </c>
      <c r="H113" s="6"/>
      <c r="I113" s="6"/>
      <c r="J113" s="6"/>
      <c r="K113" s="6"/>
      <c r="L113" s="6"/>
      <c r="M113" s="6"/>
      <c r="N113" s="6"/>
      <c r="O113" s="6"/>
      <c r="P113" s="6"/>
      <c r="Q113" s="6"/>
      <c r="R113" s="6"/>
      <c r="S113" s="6"/>
      <c r="T113" s="6"/>
      <c r="U113" s="6"/>
      <c r="V113" s="6"/>
      <c r="W113" s="6"/>
      <c r="X113" s="6"/>
      <c r="Y113" s="6"/>
      <c r="Z113" s="6"/>
    </row>
    <row r="114" ht="12.75" hidden="1" customHeight="1">
      <c r="A114" s="34">
        <v>113.0</v>
      </c>
      <c r="B114" s="34">
        <v>10113.0</v>
      </c>
      <c r="C114" s="34" t="s">
        <v>34</v>
      </c>
      <c r="D114" s="35" t="s">
        <v>210</v>
      </c>
      <c r="E114" s="34" t="s">
        <v>211</v>
      </c>
      <c r="F114" s="34">
        <v>198.0</v>
      </c>
      <c r="G114" s="36">
        <v>46000.0</v>
      </c>
      <c r="H114" s="6"/>
      <c r="I114" s="6"/>
      <c r="J114" s="6"/>
      <c r="K114" s="6"/>
      <c r="L114" s="6"/>
      <c r="M114" s="6"/>
      <c r="N114" s="6"/>
      <c r="O114" s="6"/>
      <c r="P114" s="6"/>
      <c r="Q114" s="6"/>
      <c r="R114" s="6"/>
      <c r="S114" s="6"/>
      <c r="T114" s="6"/>
      <c r="U114" s="6"/>
      <c r="V114" s="6"/>
      <c r="W114" s="6"/>
      <c r="X114" s="6"/>
      <c r="Y114" s="6"/>
      <c r="Z114" s="6"/>
    </row>
    <row r="115" ht="12.75" hidden="1" customHeight="1">
      <c r="A115" s="37">
        <v>114.0</v>
      </c>
      <c r="B115" s="37">
        <v>10114.0</v>
      </c>
      <c r="C115" s="37" t="s">
        <v>20</v>
      </c>
      <c r="D115" s="38" t="s">
        <v>212</v>
      </c>
      <c r="E115" s="37" t="s">
        <v>213</v>
      </c>
      <c r="F115" s="37">
        <v>128.0</v>
      </c>
      <c r="G115" s="39">
        <v>0.0</v>
      </c>
      <c r="H115" s="6"/>
      <c r="I115" s="6"/>
      <c r="J115" s="6"/>
      <c r="K115" s="6"/>
      <c r="L115" s="6"/>
      <c r="M115" s="6"/>
      <c r="N115" s="6"/>
      <c r="O115" s="6"/>
      <c r="P115" s="6"/>
      <c r="Q115" s="6"/>
      <c r="R115" s="6"/>
      <c r="S115" s="6"/>
      <c r="T115" s="6"/>
      <c r="U115" s="6"/>
      <c r="V115" s="6"/>
      <c r="W115" s="6"/>
      <c r="X115" s="6"/>
      <c r="Y115" s="6"/>
      <c r="Z115" s="6"/>
    </row>
    <row r="116" ht="12.75" hidden="1" customHeight="1">
      <c r="A116" s="34">
        <v>115.0</v>
      </c>
      <c r="B116" s="34">
        <v>10115.0</v>
      </c>
      <c r="C116" s="34" t="s">
        <v>20</v>
      </c>
      <c r="D116" s="35" t="s">
        <v>214</v>
      </c>
      <c r="E116" s="34" t="s">
        <v>215</v>
      </c>
      <c r="F116" s="34">
        <v>90.0</v>
      </c>
      <c r="G116" s="36">
        <v>0.0</v>
      </c>
      <c r="H116" s="6"/>
      <c r="I116" s="6"/>
      <c r="J116" s="6"/>
      <c r="K116" s="6"/>
      <c r="L116" s="6"/>
      <c r="M116" s="6"/>
      <c r="N116" s="6"/>
      <c r="O116" s="6"/>
      <c r="P116" s="6"/>
      <c r="Q116" s="6"/>
      <c r="R116" s="6"/>
      <c r="S116" s="6"/>
      <c r="T116" s="6"/>
      <c r="U116" s="6"/>
      <c r="V116" s="6"/>
      <c r="W116" s="6"/>
      <c r="X116" s="6"/>
      <c r="Y116" s="6"/>
      <c r="Z116" s="6"/>
    </row>
    <row r="117" ht="12.75" hidden="1" customHeight="1">
      <c r="A117" s="37">
        <v>116.0</v>
      </c>
      <c r="B117" s="37">
        <v>10116.0</v>
      </c>
      <c r="C117" s="37" t="s">
        <v>34</v>
      </c>
      <c r="D117" s="38" t="s">
        <v>216</v>
      </c>
      <c r="E117" s="37" t="s">
        <v>217</v>
      </c>
      <c r="F117" s="37">
        <v>105.0</v>
      </c>
      <c r="G117" s="39">
        <v>0.0</v>
      </c>
      <c r="H117" s="6"/>
      <c r="I117" s="6"/>
      <c r="J117" s="6"/>
      <c r="K117" s="6"/>
      <c r="L117" s="6"/>
      <c r="M117" s="6"/>
      <c r="N117" s="6"/>
      <c r="O117" s="6"/>
      <c r="P117" s="6"/>
      <c r="Q117" s="6"/>
      <c r="R117" s="6"/>
      <c r="S117" s="6"/>
      <c r="T117" s="6"/>
      <c r="U117" s="6"/>
      <c r="V117" s="6"/>
      <c r="W117" s="6"/>
      <c r="X117" s="6"/>
      <c r="Y117" s="6"/>
      <c r="Z117" s="6"/>
    </row>
    <row r="118" ht="12.75" hidden="1" customHeight="1">
      <c r="A118" s="46">
        <v>117.0</v>
      </c>
      <c r="B118" s="46">
        <v>10117.0</v>
      </c>
      <c r="C118" s="46" t="s">
        <v>20</v>
      </c>
      <c r="D118" s="47" t="s">
        <v>218</v>
      </c>
      <c r="E118" s="46" t="s">
        <v>219</v>
      </c>
      <c r="F118" s="46">
        <v>137.0</v>
      </c>
      <c r="G118" s="48">
        <v>45770.0</v>
      </c>
      <c r="H118" s="6"/>
      <c r="I118" s="6"/>
      <c r="J118" s="6"/>
      <c r="K118" s="6"/>
      <c r="L118" s="6"/>
      <c r="M118" s="6"/>
      <c r="N118" s="6"/>
      <c r="O118" s="6"/>
      <c r="P118" s="6"/>
      <c r="Q118" s="6"/>
      <c r="R118" s="6"/>
      <c r="S118" s="6"/>
      <c r="T118" s="6"/>
      <c r="U118" s="6"/>
      <c r="V118" s="6"/>
      <c r="W118" s="6"/>
      <c r="X118" s="6"/>
      <c r="Y118" s="6"/>
      <c r="Z118" s="6"/>
    </row>
    <row r="119" ht="12.75" hidden="1" customHeight="1">
      <c r="A119" s="40">
        <v>118.0</v>
      </c>
      <c r="B119" s="40">
        <v>10118.0</v>
      </c>
      <c r="C119" s="40" t="s">
        <v>34</v>
      </c>
      <c r="D119" s="41" t="s">
        <v>220</v>
      </c>
      <c r="E119" s="40" t="s">
        <v>221</v>
      </c>
      <c r="F119" s="40">
        <v>128.0</v>
      </c>
      <c r="G119" s="42">
        <v>0.0</v>
      </c>
      <c r="H119" s="6"/>
      <c r="I119" s="6"/>
      <c r="J119" s="6"/>
      <c r="K119" s="6"/>
      <c r="L119" s="6"/>
      <c r="M119" s="6"/>
      <c r="N119" s="6"/>
      <c r="O119" s="6"/>
      <c r="P119" s="6"/>
      <c r="Q119" s="6"/>
      <c r="R119" s="6"/>
      <c r="S119" s="6"/>
      <c r="T119" s="6"/>
      <c r="U119" s="6"/>
      <c r="V119" s="6"/>
      <c r="W119" s="6"/>
      <c r="X119" s="6"/>
      <c r="Y119" s="6"/>
      <c r="Z119" s="6"/>
    </row>
    <row r="120" ht="12.75" hidden="1" customHeight="1">
      <c r="A120" s="34">
        <v>119.0</v>
      </c>
      <c r="B120" s="34">
        <v>10119.0</v>
      </c>
      <c r="C120" s="34" t="s">
        <v>34</v>
      </c>
      <c r="D120" s="35" t="s">
        <v>222</v>
      </c>
      <c r="E120" s="34" t="s">
        <v>223</v>
      </c>
      <c r="F120" s="34">
        <v>182.0</v>
      </c>
      <c r="G120" s="36">
        <v>45770.0</v>
      </c>
      <c r="H120" s="6"/>
      <c r="I120" s="6"/>
      <c r="J120" s="6"/>
      <c r="K120" s="6"/>
      <c r="L120" s="6"/>
      <c r="M120" s="6"/>
      <c r="N120" s="6"/>
      <c r="O120" s="6"/>
      <c r="P120" s="6"/>
      <c r="Q120" s="6"/>
      <c r="R120" s="6"/>
      <c r="S120" s="6"/>
      <c r="T120" s="6"/>
      <c r="U120" s="6"/>
      <c r="V120" s="6"/>
      <c r="W120" s="6"/>
      <c r="X120" s="6"/>
      <c r="Y120" s="6"/>
      <c r="Z120" s="6"/>
    </row>
    <row r="121" ht="12.75" hidden="1" customHeight="1">
      <c r="A121" s="61">
        <v>120.0</v>
      </c>
      <c r="B121" s="61">
        <v>10120.0</v>
      </c>
      <c r="C121" s="61" t="s">
        <v>7</v>
      </c>
      <c r="D121" s="62" t="s">
        <v>224</v>
      </c>
      <c r="E121" s="61" t="s">
        <v>225</v>
      </c>
      <c r="F121" s="61">
        <v>26.0</v>
      </c>
      <c r="G121" s="63">
        <v>0.0</v>
      </c>
      <c r="H121" s="6"/>
      <c r="I121" s="6"/>
      <c r="J121" s="6"/>
      <c r="K121" s="6"/>
      <c r="L121" s="6"/>
      <c r="M121" s="6"/>
      <c r="N121" s="6"/>
      <c r="O121" s="6"/>
      <c r="P121" s="6"/>
      <c r="Q121" s="6"/>
      <c r="R121" s="6"/>
      <c r="S121" s="6"/>
      <c r="T121" s="6"/>
      <c r="U121" s="6"/>
      <c r="V121" s="6"/>
      <c r="W121" s="6"/>
      <c r="X121" s="6"/>
      <c r="Y121" s="6"/>
      <c r="Z121" s="6"/>
    </row>
    <row r="122" ht="12.75" hidden="1" customHeight="1">
      <c r="A122" s="58">
        <v>121.0</v>
      </c>
      <c r="B122" s="58">
        <v>10121.0</v>
      </c>
      <c r="C122" s="58" t="s">
        <v>7</v>
      </c>
      <c r="D122" s="59" t="s">
        <v>226</v>
      </c>
      <c r="E122" s="58" t="s">
        <v>227</v>
      </c>
      <c r="F122" s="58">
        <v>39.0</v>
      </c>
      <c r="G122" s="60">
        <v>0.0</v>
      </c>
      <c r="H122" s="6"/>
      <c r="I122" s="6"/>
      <c r="J122" s="6"/>
      <c r="K122" s="6"/>
      <c r="L122" s="6"/>
      <c r="M122" s="6"/>
      <c r="N122" s="6"/>
      <c r="O122" s="6"/>
      <c r="P122" s="6"/>
      <c r="Q122" s="6"/>
      <c r="R122" s="6"/>
      <c r="S122" s="6"/>
      <c r="T122" s="6"/>
      <c r="U122" s="6"/>
      <c r="V122" s="6"/>
      <c r="W122" s="6"/>
      <c r="X122" s="6"/>
      <c r="Y122" s="6"/>
      <c r="Z122" s="6"/>
    </row>
    <row r="123" ht="12.75" hidden="1" customHeight="1">
      <c r="A123" s="37">
        <v>122.0</v>
      </c>
      <c r="B123" s="37">
        <v>10122.0</v>
      </c>
      <c r="C123" s="37" t="s">
        <v>7</v>
      </c>
      <c r="D123" s="38" t="s">
        <v>228</v>
      </c>
      <c r="E123" s="37" t="s">
        <v>229</v>
      </c>
      <c r="F123" s="37">
        <v>38.0</v>
      </c>
      <c r="G123" s="39">
        <v>0.0</v>
      </c>
      <c r="H123" s="6"/>
      <c r="I123" s="6"/>
      <c r="J123" s="6"/>
      <c r="K123" s="6"/>
      <c r="L123" s="6"/>
      <c r="M123" s="6"/>
      <c r="N123" s="6"/>
      <c r="O123" s="6"/>
      <c r="P123" s="6"/>
      <c r="Q123" s="6"/>
      <c r="R123" s="6"/>
      <c r="S123" s="6"/>
      <c r="T123" s="6"/>
      <c r="U123" s="6"/>
      <c r="V123" s="6"/>
      <c r="W123" s="6"/>
      <c r="X123" s="6"/>
      <c r="Y123" s="6"/>
      <c r="Z123" s="6"/>
    </row>
    <row r="124" ht="12.75" hidden="1" customHeight="1">
      <c r="A124" s="58">
        <v>123.0</v>
      </c>
      <c r="B124" s="58">
        <v>10123.0</v>
      </c>
      <c r="C124" s="58" t="s">
        <v>7</v>
      </c>
      <c r="D124" s="59" t="s">
        <v>230</v>
      </c>
      <c r="E124" s="58" t="s">
        <v>231</v>
      </c>
      <c r="F124" s="58">
        <v>39.0</v>
      </c>
      <c r="G124" s="60">
        <v>0.0</v>
      </c>
      <c r="H124" s="6"/>
      <c r="I124" s="6"/>
      <c r="J124" s="6"/>
      <c r="K124" s="6"/>
      <c r="L124" s="6"/>
      <c r="M124" s="6"/>
      <c r="N124" s="6"/>
      <c r="O124" s="6"/>
      <c r="P124" s="6"/>
      <c r="Q124" s="6"/>
      <c r="R124" s="6"/>
      <c r="S124" s="6"/>
      <c r="T124" s="6"/>
      <c r="U124" s="6"/>
      <c r="V124" s="6"/>
      <c r="W124" s="6"/>
      <c r="X124" s="6"/>
      <c r="Y124" s="6"/>
      <c r="Z124" s="6"/>
    </row>
    <row r="125" ht="12.75" hidden="1" customHeight="1">
      <c r="A125" s="37">
        <v>124.0</v>
      </c>
      <c r="B125" s="37">
        <v>10124.0</v>
      </c>
      <c r="C125" s="37" t="s">
        <v>7</v>
      </c>
      <c r="D125" s="38" t="s">
        <v>232</v>
      </c>
      <c r="E125" s="37" t="s">
        <v>233</v>
      </c>
      <c r="F125" s="37">
        <v>51.0</v>
      </c>
      <c r="G125" s="39">
        <v>0.0</v>
      </c>
      <c r="H125" s="6"/>
      <c r="I125" s="6"/>
      <c r="J125" s="6"/>
      <c r="K125" s="6"/>
      <c r="L125" s="6"/>
      <c r="M125" s="6"/>
      <c r="N125" s="6"/>
      <c r="O125" s="6"/>
      <c r="P125" s="6"/>
      <c r="Q125" s="6"/>
      <c r="R125" s="6"/>
      <c r="S125" s="6"/>
      <c r="T125" s="6"/>
      <c r="U125" s="6"/>
      <c r="V125" s="6"/>
      <c r="W125" s="6"/>
      <c r="X125" s="6"/>
      <c r="Y125" s="6"/>
      <c r="Z125" s="6"/>
    </row>
    <row r="126" ht="12.75" hidden="1" customHeight="1">
      <c r="A126" s="58">
        <v>125.0</v>
      </c>
      <c r="B126" s="58">
        <v>10125.0</v>
      </c>
      <c r="C126" s="58" t="s">
        <v>20</v>
      </c>
      <c r="D126" s="59" t="s">
        <v>234</v>
      </c>
      <c r="E126" s="58" t="s">
        <v>235</v>
      </c>
      <c r="F126" s="58">
        <v>108.0</v>
      </c>
      <c r="G126" s="60">
        <v>0.0</v>
      </c>
      <c r="H126" s="6"/>
      <c r="I126" s="6"/>
      <c r="J126" s="6"/>
      <c r="K126" s="6"/>
      <c r="L126" s="6"/>
      <c r="M126" s="6"/>
      <c r="N126" s="6"/>
      <c r="O126" s="6"/>
      <c r="P126" s="6"/>
      <c r="Q126" s="6"/>
      <c r="R126" s="6"/>
      <c r="S126" s="6"/>
      <c r="T126" s="6"/>
      <c r="U126" s="6"/>
      <c r="V126" s="6"/>
      <c r="W126" s="6"/>
      <c r="X126" s="6"/>
      <c r="Y126" s="6"/>
      <c r="Z126" s="6"/>
    </row>
    <row r="127" ht="12.75" hidden="1" customHeight="1">
      <c r="A127" s="61">
        <v>126.0</v>
      </c>
      <c r="B127" s="61">
        <v>10126.0</v>
      </c>
      <c r="C127" s="61" t="s">
        <v>7</v>
      </c>
      <c r="D127" s="62" t="s">
        <v>236</v>
      </c>
      <c r="E127" s="61" t="s">
        <v>237</v>
      </c>
      <c r="F127" s="61">
        <v>77.0</v>
      </c>
      <c r="G127" s="63">
        <v>0.0</v>
      </c>
      <c r="H127" s="6"/>
      <c r="I127" s="6"/>
      <c r="J127" s="6"/>
      <c r="K127" s="6"/>
      <c r="L127" s="6"/>
      <c r="M127" s="6"/>
      <c r="N127" s="6"/>
      <c r="O127" s="6"/>
      <c r="P127" s="6"/>
      <c r="Q127" s="6"/>
      <c r="R127" s="6"/>
      <c r="S127" s="6"/>
      <c r="T127" s="6"/>
      <c r="U127" s="6"/>
      <c r="V127" s="6"/>
      <c r="W127" s="6"/>
      <c r="X127" s="6"/>
      <c r="Y127" s="6"/>
      <c r="Z127" s="6"/>
    </row>
    <row r="128" ht="12.75" hidden="1" customHeight="1">
      <c r="A128" s="34">
        <v>127.0</v>
      </c>
      <c r="B128" s="34">
        <v>10127.0</v>
      </c>
      <c r="C128" s="34" t="s">
        <v>34</v>
      </c>
      <c r="D128" s="35" t="s">
        <v>238</v>
      </c>
      <c r="E128" s="34" t="s">
        <v>239</v>
      </c>
      <c r="F128" s="34">
        <v>180.0</v>
      </c>
      <c r="G128" s="36">
        <v>0.0</v>
      </c>
      <c r="H128" s="6"/>
      <c r="I128" s="6"/>
      <c r="J128" s="6"/>
      <c r="K128" s="6"/>
      <c r="L128" s="6"/>
      <c r="M128" s="6"/>
      <c r="N128" s="6"/>
      <c r="O128" s="6"/>
      <c r="P128" s="6"/>
      <c r="Q128" s="6"/>
      <c r="R128" s="6"/>
      <c r="S128" s="6"/>
      <c r="T128" s="6"/>
      <c r="U128" s="6"/>
      <c r="V128" s="6"/>
      <c r="W128" s="6"/>
      <c r="X128" s="6"/>
      <c r="Y128" s="6"/>
      <c r="Z128" s="6"/>
    </row>
    <row r="129" ht="12.75" hidden="1" customHeight="1">
      <c r="A129" s="61">
        <v>128.0</v>
      </c>
      <c r="B129" s="61">
        <v>10128.0</v>
      </c>
      <c r="C129" s="61" t="s">
        <v>27</v>
      </c>
      <c r="D129" s="62" t="s">
        <v>240</v>
      </c>
      <c r="E129" s="61" t="s">
        <v>241</v>
      </c>
      <c r="F129" s="61">
        <v>131.0</v>
      </c>
      <c r="G129" s="63">
        <v>0.0</v>
      </c>
      <c r="H129" s="6"/>
      <c r="I129" s="6"/>
      <c r="J129" s="6"/>
      <c r="K129" s="6"/>
      <c r="L129" s="6"/>
      <c r="M129" s="6"/>
      <c r="N129" s="6"/>
      <c r="O129" s="6"/>
      <c r="P129" s="6"/>
      <c r="Q129" s="6"/>
      <c r="R129" s="6"/>
      <c r="S129" s="6"/>
      <c r="T129" s="6"/>
      <c r="U129" s="6"/>
      <c r="V129" s="6"/>
      <c r="W129" s="6"/>
      <c r="X129" s="6"/>
      <c r="Y129" s="6"/>
      <c r="Z129" s="6"/>
    </row>
    <row r="130" ht="12.75" hidden="1" customHeight="1">
      <c r="A130" s="34">
        <v>129.0</v>
      </c>
      <c r="B130" s="34">
        <v>10129.0</v>
      </c>
      <c r="C130" s="34" t="s">
        <v>34</v>
      </c>
      <c r="D130" s="35" t="s">
        <v>242</v>
      </c>
      <c r="E130" s="34" t="s">
        <v>243</v>
      </c>
      <c r="F130" s="34">
        <v>142.0</v>
      </c>
      <c r="G130" s="36">
        <v>0.0</v>
      </c>
      <c r="H130" s="6"/>
      <c r="I130" s="6"/>
      <c r="J130" s="6"/>
      <c r="K130" s="6"/>
      <c r="L130" s="6"/>
      <c r="M130" s="6"/>
      <c r="N130" s="6"/>
      <c r="O130" s="6"/>
      <c r="P130" s="6"/>
      <c r="Q130" s="6"/>
      <c r="R130" s="6"/>
      <c r="S130" s="6"/>
      <c r="T130" s="6"/>
      <c r="U130" s="6"/>
      <c r="V130" s="6"/>
      <c r="W130" s="6"/>
      <c r="X130" s="6"/>
      <c r="Y130" s="6"/>
      <c r="Z130" s="6"/>
    </row>
    <row r="131" ht="12.75" hidden="1" customHeight="1">
      <c r="A131" s="31">
        <v>130.0</v>
      </c>
      <c r="B131" s="31">
        <v>10130.0</v>
      </c>
      <c r="C131" s="31" t="s">
        <v>34</v>
      </c>
      <c r="D131" s="32" t="s">
        <v>244</v>
      </c>
      <c r="E131" s="31" t="s">
        <v>245</v>
      </c>
      <c r="F131" s="31">
        <v>176.0</v>
      </c>
      <c r="G131" s="33">
        <v>45770.0</v>
      </c>
      <c r="H131" s="6"/>
      <c r="I131" s="6"/>
      <c r="J131" s="6"/>
      <c r="K131" s="6"/>
      <c r="L131" s="6"/>
      <c r="M131" s="6"/>
      <c r="N131" s="6"/>
      <c r="O131" s="6"/>
      <c r="P131" s="6"/>
      <c r="Q131" s="6"/>
      <c r="R131" s="6"/>
      <c r="S131" s="6"/>
      <c r="T131" s="6"/>
      <c r="U131" s="6"/>
      <c r="V131" s="6"/>
      <c r="W131" s="6"/>
      <c r="X131" s="6"/>
      <c r="Y131" s="6"/>
      <c r="Z131" s="6"/>
    </row>
    <row r="132" ht="12.75" hidden="1" customHeight="1">
      <c r="A132" s="34">
        <v>131.0</v>
      </c>
      <c r="B132" s="34">
        <v>10131.0</v>
      </c>
      <c r="C132" s="34" t="s">
        <v>7</v>
      </c>
      <c r="D132" s="35" t="s">
        <v>246</v>
      </c>
      <c r="E132" s="34" t="s">
        <v>247</v>
      </c>
      <c r="F132" s="34">
        <v>70.0</v>
      </c>
      <c r="G132" s="36">
        <v>0.0</v>
      </c>
      <c r="H132" s="6"/>
      <c r="I132" s="6"/>
      <c r="J132" s="6"/>
      <c r="K132" s="6"/>
      <c r="L132" s="6"/>
      <c r="M132" s="6"/>
      <c r="N132" s="6"/>
      <c r="O132" s="6"/>
      <c r="P132" s="6"/>
      <c r="Q132" s="6"/>
      <c r="R132" s="6"/>
      <c r="S132" s="6"/>
      <c r="T132" s="6"/>
      <c r="U132" s="6"/>
      <c r="V132" s="6"/>
      <c r="W132" s="6"/>
      <c r="X132" s="6"/>
      <c r="Y132" s="6"/>
      <c r="Z132" s="6"/>
    </row>
    <row r="133" ht="12.75" hidden="1" customHeight="1">
      <c r="A133" s="37">
        <v>132.0</v>
      </c>
      <c r="B133" s="37">
        <v>10132.0</v>
      </c>
      <c r="C133" s="37" t="s">
        <v>34</v>
      </c>
      <c r="D133" s="38" t="s">
        <v>248</v>
      </c>
      <c r="E133" s="37" t="s">
        <v>249</v>
      </c>
      <c r="F133" s="37">
        <v>199.0</v>
      </c>
      <c r="G133" s="39">
        <v>46000.0</v>
      </c>
      <c r="H133" s="6"/>
      <c r="I133" s="6"/>
      <c r="J133" s="6"/>
      <c r="K133" s="6"/>
      <c r="L133" s="6"/>
      <c r="M133" s="6"/>
      <c r="N133" s="6"/>
      <c r="O133" s="6"/>
      <c r="P133" s="6"/>
      <c r="Q133" s="6"/>
      <c r="R133" s="6"/>
      <c r="S133" s="6"/>
      <c r="T133" s="6"/>
      <c r="U133" s="6"/>
      <c r="V133" s="6"/>
      <c r="W133" s="6"/>
      <c r="X133" s="6"/>
      <c r="Y133" s="6"/>
      <c r="Z133" s="6"/>
    </row>
    <row r="134" ht="12.75" hidden="1" customHeight="1">
      <c r="A134" s="58">
        <v>133.0</v>
      </c>
      <c r="B134" s="58">
        <v>10133.0</v>
      </c>
      <c r="C134" s="58" t="s">
        <v>20</v>
      </c>
      <c r="D134" s="59" t="s">
        <v>250</v>
      </c>
      <c r="E134" s="58" t="s">
        <v>251</v>
      </c>
      <c r="F134" s="58">
        <v>112.0</v>
      </c>
      <c r="G134" s="60">
        <v>0.0</v>
      </c>
      <c r="H134" s="6"/>
      <c r="I134" s="6"/>
      <c r="J134" s="6"/>
      <c r="K134" s="6"/>
      <c r="L134" s="6"/>
      <c r="M134" s="6"/>
      <c r="N134" s="6"/>
      <c r="O134" s="6"/>
      <c r="P134" s="6"/>
      <c r="Q134" s="6"/>
      <c r="R134" s="6"/>
      <c r="S134" s="6"/>
      <c r="T134" s="6"/>
      <c r="U134" s="6"/>
      <c r="V134" s="6"/>
      <c r="W134" s="6"/>
      <c r="X134" s="6"/>
      <c r="Y134" s="6"/>
      <c r="Z134" s="6"/>
    </row>
    <row r="135" ht="12.75" hidden="1" customHeight="1">
      <c r="A135" s="31">
        <v>134.0</v>
      </c>
      <c r="B135" s="31">
        <v>10134.0</v>
      </c>
      <c r="C135" s="31" t="s">
        <v>34</v>
      </c>
      <c r="D135" s="32" t="s">
        <v>252</v>
      </c>
      <c r="E135" s="31" t="s">
        <v>253</v>
      </c>
      <c r="F135" s="31">
        <v>118.0</v>
      </c>
      <c r="G135" s="33">
        <v>0.0</v>
      </c>
      <c r="H135" s="6"/>
      <c r="I135" s="6"/>
      <c r="J135" s="6"/>
      <c r="K135" s="6"/>
      <c r="L135" s="6"/>
      <c r="M135" s="6"/>
      <c r="N135" s="6"/>
      <c r="O135" s="6"/>
      <c r="P135" s="6"/>
      <c r="Q135" s="6"/>
      <c r="R135" s="6"/>
      <c r="S135" s="6"/>
      <c r="T135" s="6"/>
      <c r="U135" s="6"/>
      <c r="V135" s="6"/>
      <c r="W135" s="6"/>
      <c r="X135" s="6"/>
      <c r="Y135" s="6"/>
      <c r="Z135" s="6"/>
    </row>
    <row r="136" ht="12.75" hidden="1" customHeight="1">
      <c r="A136" s="34">
        <v>135.0</v>
      </c>
      <c r="B136" s="34">
        <v>10135.0</v>
      </c>
      <c r="C136" s="34" t="s">
        <v>34</v>
      </c>
      <c r="D136" s="35" t="s">
        <v>254</v>
      </c>
      <c r="E136" s="34" t="s">
        <v>255</v>
      </c>
      <c r="F136" s="34">
        <v>169.0</v>
      </c>
      <c r="G136" s="36">
        <v>0.0</v>
      </c>
      <c r="H136" s="6"/>
      <c r="I136" s="6"/>
      <c r="J136" s="6"/>
      <c r="K136" s="6"/>
      <c r="L136" s="6"/>
      <c r="M136" s="6"/>
      <c r="N136" s="6"/>
      <c r="O136" s="6"/>
      <c r="P136" s="6"/>
      <c r="Q136" s="6"/>
      <c r="R136" s="6"/>
      <c r="S136" s="6"/>
      <c r="T136" s="6"/>
      <c r="U136" s="6"/>
      <c r="V136" s="6"/>
      <c r="W136" s="6"/>
      <c r="X136" s="6"/>
      <c r="Y136" s="6"/>
      <c r="Z136" s="6"/>
    </row>
    <row r="137" ht="12.75" hidden="1" customHeight="1">
      <c r="A137" s="37">
        <v>136.0</v>
      </c>
      <c r="B137" s="37">
        <v>10136.0</v>
      </c>
      <c r="C137" s="37" t="s">
        <v>7</v>
      </c>
      <c r="D137" s="38" t="s">
        <v>256</v>
      </c>
      <c r="E137" s="37" t="s">
        <v>257</v>
      </c>
      <c r="F137" s="37">
        <v>56.0</v>
      </c>
      <c r="G137" s="39">
        <v>0.0</v>
      </c>
      <c r="H137" s="6"/>
      <c r="I137" s="6"/>
      <c r="J137" s="6"/>
      <c r="K137" s="6"/>
      <c r="L137" s="6"/>
      <c r="M137" s="6"/>
      <c r="N137" s="6"/>
      <c r="O137" s="6"/>
      <c r="P137" s="6"/>
      <c r="Q137" s="6"/>
      <c r="R137" s="6"/>
      <c r="S137" s="6"/>
      <c r="T137" s="6"/>
      <c r="U137" s="6"/>
      <c r="V137" s="6"/>
      <c r="W137" s="6"/>
      <c r="X137" s="6"/>
      <c r="Y137" s="6"/>
      <c r="Z137" s="6"/>
    </row>
    <row r="138" ht="12.75" hidden="1" customHeight="1">
      <c r="A138" s="34">
        <v>137.0</v>
      </c>
      <c r="B138" s="34">
        <v>10137.0</v>
      </c>
      <c r="C138" s="34" t="s">
        <v>34</v>
      </c>
      <c r="D138" s="35" t="s">
        <v>258</v>
      </c>
      <c r="E138" s="34" t="s">
        <v>259</v>
      </c>
      <c r="F138" s="34">
        <v>168.0</v>
      </c>
      <c r="G138" s="36">
        <v>0.0</v>
      </c>
      <c r="H138" s="6"/>
      <c r="I138" s="6"/>
      <c r="J138" s="6"/>
      <c r="K138" s="6"/>
      <c r="L138" s="6"/>
      <c r="M138" s="6"/>
      <c r="N138" s="6"/>
      <c r="O138" s="6"/>
      <c r="P138" s="6"/>
      <c r="Q138" s="6"/>
      <c r="R138" s="6"/>
      <c r="S138" s="6"/>
      <c r="T138" s="6"/>
      <c r="U138" s="6"/>
      <c r="V138" s="6"/>
      <c r="W138" s="6"/>
      <c r="X138" s="6"/>
      <c r="Y138" s="6"/>
      <c r="Z138" s="6"/>
    </row>
    <row r="139" ht="12.75" hidden="1" customHeight="1">
      <c r="A139" s="37">
        <v>138.0</v>
      </c>
      <c r="B139" s="37">
        <v>10138.0</v>
      </c>
      <c r="C139" s="37" t="s">
        <v>27</v>
      </c>
      <c r="D139" s="38" t="s">
        <v>260</v>
      </c>
      <c r="E139" s="37" t="s">
        <v>261</v>
      </c>
      <c r="F139" s="37">
        <v>79.0</v>
      </c>
      <c r="G139" s="39">
        <v>0.0</v>
      </c>
      <c r="H139" s="6"/>
      <c r="I139" s="6"/>
      <c r="J139" s="6"/>
      <c r="K139" s="6"/>
      <c r="L139" s="6"/>
      <c r="M139" s="6"/>
      <c r="N139" s="6"/>
      <c r="O139" s="6"/>
      <c r="P139" s="6"/>
      <c r="Q139" s="6"/>
      <c r="R139" s="6"/>
      <c r="S139" s="6"/>
      <c r="T139" s="6"/>
      <c r="U139" s="6"/>
      <c r="V139" s="6"/>
      <c r="W139" s="6"/>
      <c r="X139" s="6"/>
      <c r="Y139" s="6"/>
      <c r="Z139" s="6"/>
    </row>
    <row r="140" ht="12.75" hidden="1" customHeight="1">
      <c r="A140" s="58">
        <v>139.0</v>
      </c>
      <c r="B140" s="58">
        <v>10139.0</v>
      </c>
      <c r="C140" s="58" t="s">
        <v>34</v>
      </c>
      <c r="D140" s="59" t="s">
        <v>262</v>
      </c>
      <c r="E140" s="58" t="s">
        <v>263</v>
      </c>
      <c r="F140" s="58">
        <v>189.0</v>
      </c>
      <c r="G140" s="60">
        <v>45770.0</v>
      </c>
      <c r="H140" s="6"/>
      <c r="I140" s="6"/>
      <c r="J140" s="6"/>
      <c r="K140" s="6"/>
      <c r="L140" s="6"/>
      <c r="M140" s="6"/>
      <c r="N140" s="6"/>
      <c r="O140" s="6"/>
      <c r="P140" s="6"/>
      <c r="Q140" s="6"/>
      <c r="R140" s="6"/>
      <c r="S140" s="6"/>
      <c r="T140" s="6"/>
      <c r="U140" s="6"/>
      <c r="V140" s="6"/>
      <c r="W140" s="6"/>
      <c r="X140" s="6"/>
      <c r="Y140" s="6"/>
      <c r="Z140" s="6"/>
    </row>
    <row r="141" ht="12.75" hidden="1" customHeight="1">
      <c r="A141" s="37">
        <v>140.0</v>
      </c>
      <c r="B141" s="37">
        <v>10140.0</v>
      </c>
      <c r="C141" s="37" t="s">
        <v>7</v>
      </c>
      <c r="D141" s="38" t="s">
        <v>264</v>
      </c>
      <c r="E141" s="37" t="s">
        <v>265</v>
      </c>
      <c r="F141" s="37">
        <v>84.0</v>
      </c>
      <c r="G141" s="39">
        <v>0.0</v>
      </c>
      <c r="H141" s="6"/>
      <c r="I141" s="6"/>
      <c r="J141" s="6"/>
      <c r="K141" s="6"/>
      <c r="L141" s="6"/>
      <c r="M141" s="6"/>
      <c r="N141" s="6"/>
      <c r="O141" s="6"/>
      <c r="P141" s="6"/>
      <c r="Q141" s="6"/>
      <c r="R141" s="6"/>
      <c r="S141" s="6"/>
      <c r="T141" s="6"/>
      <c r="U141" s="6"/>
      <c r="V141" s="6"/>
      <c r="W141" s="6"/>
      <c r="X141" s="6"/>
      <c r="Y141" s="6"/>
      <c r="Z141" s="6"/>
    </row>
    <row r="142" ht="12.75" hidden="1" customHeight="1">
      <c r="A142" s="34">
        <v>141.0</v>
      </c>
      <c r="B142" s="34">
        <v>10141.0</v>
      </c>
      <c r="C142" s="34" t="s">
        <v>34</v>
      </c>
      <c r="D142" s="35" t="s">
        <v>266</v>
      </c>
      <c r="E142" s="34" t="s">
        <v>267</v>
      </c>
      <c r="F142" s="34">
        <v>158.0</v>
      </c>
      <c r="G142" s="36">
        <v>0.0</v>
      </c>
      <c r="H142" s="6"/>
      <c r="I142" s="6"/>
      <c r="J142" s="6"/>
      <c r="K142" s="6"/>
      <c r="L142" s="6"/>
      <c r="M142" s="6"/>
      <c r="N142" s="6"/>
      <c r="O142" s="6"/>
      <c r="P142" s="6"/>
      <c r="Q142" s="6"/>
      <c r="R142" s="6"/>
      <c r="S142" s="6"/>
      <c r="T142" s="6"/>
      <c r="U142" s="6"/>
      <c r="V142" s="6"/>
      <c r="W142" s="6"/>
      <c r="X142" s="6"/>
      <c r="Y142" s="6"/>
      <c r="Z142" s="6"/>
    </row>
    <row r="143" ht="12.75" hidden="1" customHeight="1">
      <c r="A143" s="31">
        <v>142.0</v>
      </c>
      <c r="B143" s="31">
        <v>10142.0</v>
      </c>
      <c r="C143" s="31" t="s">
        <v>34</v>
      </c>
      <c r="D143" s="32" t="s">
        <v>268</v>
      </c>
      <c r="E143" s="31" t="s">
        <v>269</v>
      </c>
      <c r="F143" s="31">
        <v>135.0</v>
      </c>
      <c r="G143" s="33">
        <v>0.0</v>
      </c>
      <c r="H143" s="6"/>
      <c r="I143" s="6"/>
      <c r="J143" s="6"/>
      <c r="K143" s="6"/>
      <c r="L143" s="6"/>
      <c r="M143" s="6"/>
      <c r="N143" s="6"/>
      <c r="O143" s="6"/>
      <c r="P143" s="6"/>
      <c r="Q143" s="6"/>
      <c r="R143" s="6"/>
      <c r="S143" s="6"/>
      <c r="T143" s="6"/>
      <c r="U143" s="6"/>
      <c r="V143" s="6"/>
      <c r="W143" s="6"/>
      <c r="X143" s="6"/>
      <c r="Y143" s="6"/>
      <c r="Z143" s="6"/>
    </row>
    <row r="144" ht="12.75" hidden="1" customHeight="1">
      <c r="A144" s="67">
        <v>143.0</v>
      </c>
      <c r="B144" s="67">
        <v>10143.0</v>
      </c>
      <c r="C144" s="67" t="s">
        <v>34</v>
      </c>
      <c r="D144" s="68" t="s">
        <v>270</v>
      </c>
      <c r="E144" s="67" t="s">
        <v>271</v>
      </c>
      <c r="F144" s="67">
        <v>167.0</v>
      </c>
      <c r="G144" s="69">
        <v>0.0</v>
      </c>
      <c r="H144" s="6"/>
      <c r="I144" s="6"/>
      <c r="J144" s="6"/>
      <c r="K144" s="6"/>
      <c r="L144" s="6"/>
      <c r="M144" s="6"/>
      <c r="N144" s="6"/>
      <c r="O144" s="6"/>
      <c r="P144" s="6"/>
      <c r="Q144" s="6"/>
      <c r="R144" s="6"/>
      <c r="S144" s="6"/>
      <c r="T144" s="6"/>
      <c r="U144" s="6"/>
      <c r="V144" s="6"/>
      <c r="W144" s="6"/>
      <c r="X144" s="6"/>
      <c r="Y144" s="6"/>
      <c r="Z144" s="6"/>
    </row>
    <row r="145" ht="12.75" hidden="1" customHeight="1">
      <c r="A145" s="31">
        <v>144.0</v>
      </c>
      <c r="B145" s="31">
        <v>10144.0</v>
      </c>
      <c r="C145" s="31" t="s">
        <v>34</v>
      </c>
      <c r="D145" s="32" t="s">
        <v>272</v>
      </c>
      <c r="E145" s="31" t="s">
        <v>273</v>
      </c>
      <c r="F145" s="31">
        <v>175.0</v>
      </c>
      <c r="G145" s="33">
        <v>0.0</v>
      </c>
      <c r="H145" s="6"/>
      <c r="I145" s="6"/>
      <c r="J145" s="6"/>
      <c r="K145" s="6"/>
      <c r="L145" s="6"/>
      <c r="M145" s="6"/>
      <c r="N145" s="6"/>
      <c r="O145" s="6"/>
      <c r="P145" s="6"/>
      <c r="Q145" s="6"/>
      <c r="R145" s="6"/>
      <c r="S145" s="6"/>
      <c r="T145" s="6"/>
      <c r="U145" s="6"/>
      <c r="V145" s="6"/>
      <c r="W145" s="6"/>
      <c r="X145" s="6"/>
      <c r="Y145" s="6"/>
      <c r="Z145" s="6"/>
    </row>
    <row r="146" ht="12.75" hidden="1" customHeight="1">
      <c r="A146" s="34">
        <v>145.0</v>
      </c>
      <c r="B146" s="34">
        <v>10145.0</v>
      </c>
      <c r="C146" s="34" t="s">
        <v>7</v>
      </c>
      <c r="D146" s="35" t="s">
        <v>274</v>
      </c>
      <c r="E146" s="34" t="s">
        <v>275</v>
      </c>
      <c r="F146" s="34">
        <v>95.0</v>
      </c>
      <c r="G146" s="36">
        <v>0.0</v>
      </c>
      <c r="H146" s="6"/>
      <c r="I146" s="6"/>
      <c r="J146" s="6"/>
      <c r="K146" s="6"/>
      <c r="L146" s="6"/>
      <c r="M146" s="6"/>
      <c r="N146" s="6"/>
      <c r="O146" s="6"/>
      <c r="P146" s="6"/>
      <c r="Q146" s="6"/>
      <c r="R146" s="6"/>
      <c r="S146" s="6"/>
      <c r="T146" s="6"/>
      <c r="U146" s="6"/>
      <c r="V146" s="6"/>
      <c r="W146" s="6"/>
      <c r="X146" s="6"/>
      <c r="Y146" s="6"/>
      <c r="Z146" s="6"/>
    </row>
    <row r="147" ht="12.75" hidden="1" customHeight="1">
      <c r="A147" s="61">
        <v>146.0</v>
      </c>
      <c r="B147" s="61">
        <v>10146.0</v>
      </c>
      <c r="C147" s="61" t="s">
        <v>20</v>
      </c>
      <c r="D147" s="62" t="s">
        <v>276</v>
      </c>
      <c r="E147" s="61" t="s">
        <v>277</v>
      </c>
      <c r="F147" s="61">
        <v>158.0</v>
      </c>
      <c r="G147" s="63">
        <v>0.0</v>
      </c>
      <c r="H147" s="6"/>
      <c r="I147" s="6"/>
      <c r="J147" s="6"/>
      <c r="K147" s="6"/>
      <c r="L147" s="6"/>
      <c r="M147" s="6"/>
      <c r="N147" s="6"/>
      <c r="O147" s="6"/>
      <c r="P147" s="6"/>
      <c r="Q147" s="6"/>
      <c r="R147" s="6"/>
      <c r="S147" s="6"/>
      <c r="T147" s="6"/>
      <c r="U147" s="6"/>
      <c r="V147" s="6"/>
      <c r="W147" s="6"/>
      <c r="X147" s="6"/>
      <c r="Y147" s="6"/>
      <c r="Z147" s="6"/>
    </row>
    <row r="148" ht="12.75" hidden="1" customHeight="1">
      <c r="A148" s="34">
        <v>147.0</v>
      </c>
      <c r="B148" s="34">
        <v>10147.0</v>
      </c>
      <c r="C148" s="34" t="s">
        <v>20</v>
      </c>
      <c r="D148" s="35" t="s">
        <v>278</v>
      </c>
      <c r="E148" s="34" t="s">
        <v>279</v>
      </c>
      <c r="F148" s="34">
        <v>70.0</v>
      </c>
      <c r="G148" s="36">
        <v>0.0</v>
      </c>
      <c r="H148" s="6"/>
      <c r="I148" s="6"/>
      <c r="J148" s="6"/>
      <c r="K148" s="6"/>
      <c r="L148" s="6"/>
      <c r="M148" s="6"/>
      <c r="N148" s="6"/>
      <c r="O148" s="6"/>
      <c r="P148" s="6"/>
      <c r="Q148" s="6"/>
      <c r="R148" s="6"/>
      <c r="S148" s="6"/>
      <c r="T148" s="6"/>
      <c r="U148" s="6"/>
      <c r="V148" s="6"/>
      <c r="W148" s="6"/>
      <c r="X148" s="6"/>
      <c r="Y148" s="6"/>
      <c r="Z148" s="6"/>
    </row>
    <row r="149" ht="12.75" hidden="1" customHeight="1">
      <c r="A149" s="37">
        <v>148.0</v>
      </c>
      <c r="B149" s="37">
        <v>10148.0</v>
      </c>
      <c r="C149" s="37" t="s">
        <v>7</v>
      </c>
      <c r="D149" s="38" t="s">
        <v>280</v>
      </c>
      <c r="E149" s="37" t="s">
        <v>281</v>
      </c>
      <c r="F149" s="37">
        <v>91.0</v>
      </c>
      <c r="G149" s="39">
        <v>0.0</v>
      </c>
      <c r="H149" s="6"/>
      <c r="I149" s="6"/>
      <c r="J149" s="6"/>
      <c r="K149" s="6"/>
      <c r="L149" s="6"/>
      <c r="M149" s="6"/>
      <c r="N149" s="6"/>
      <c r="O149" s="6"/>
      <c r="P149" s="6"/>
      <c r="Q149" s="6"/>
      <c r="R149" s="6"/>
      <c r="S149" s="6"/>
      <c r="T149" s="6"/>
      <c r="U149" s="6"/>
      <c r="V149" s="6"/>
      <c r="W149" s="6"/>
      <c r="X149" s="6"/>
      <c r="Y149" s="6"/>
      <c r="Z149" s="6"/>
    </row>
    <row r="150" ht="12.75" hidden="1" customHeight="1">
      <c r="A150" s="34">
        <v>149.0</v>
      </c>
      <c r="B150" s="34">
        <v>10149.0</v>
      </c>
      <c r="C150" s="34" t="s">
        <v>7</v>
      </c>
      <c r="D150" s="35" t="s">
        <v>282</v>
      </c>
      <c r="E150" s="34" t="s">
        <v>283</v>
      </c>
      <c r="F150" s="34">
        <v>73.0</v>
      </c>
      <c r="G150" s="36">
        <v>0.0</v>
      </c>
      <c r="H150" s="6"/>
      <c r="I150" s="6"/>
      <c r="J150" s="6"/>
      <c r="K150" s="6"/>
      <c r="L150" s="6"/>
      <c r="M150" s="6"/>
      <c r="N150" s="6"/>
      <c r="O150" s="6"/>
      <c r="P150" s="6"/>
      <c r="Q150" s="6"/>
      <c r="R150" s="6"/>
      <c r="S150" s="6"/>
      <c r="T150" s="6"/>
      <c r="U150" s="6"/>
      <c r="V150" s="6"/>
      <c r="W150" s="6"/>
      <c r="X150" s="6"/>
      <c r="Y150" s="6"/>
      <c r="Z150" s="6"/>
    </row>
    <row r="151" ht="12.75" hidden="1" customHeight="1">
      <c r="A151" s="61">
        <v>150.0</v>
      </c>
      <c r="B151" s="61">
        <v>10150.0</v>
      </c>
      <c r="C151" s="61" t="s">
        <v>7</v>
      </c>
      <c r="D151" s="62" t="s">
        <v>284</v>
      </c>
      <c r="E151" s="61" t="s">
        <v>285</v>
      </c>
      <c r="F151" s="61">
        <v>71.0</v>
      </c>
      <c r="G151" s="63">
        <v>0.0</v>
      </c>
      <c r="H151" s="6"/>
      <c r="I151" s="6"/>
      <c r="J151" s="6"/>
      <c r="K151" s="6"/>
      <c r="L151" s="6"/>
      <c r="M151" s="6"/>
      <c r="N151" s="6"/>
      <c r="O151" s="6"/>
      <c r="P151" s="6"/>
      <c r="Q151" s="6"/>
      <c r="R151" s="6"/>
      <c r="S151" s="6"/>
      <c r="T151" s="6"/>
      <c r="U151" s="6"/>
      <c r="V151" s="6"/>
      <c r="W151" s="6"/>
      <c r="X151" s="6"/>
      <c r="Y151" s="6"/>
      <c r="Z151" s="6"/>
    </row>
    <row r="152" ht="12.75" hidden="1" customHeight="1">
      <c r="A152" s="34">
        <v>151.0</v>
      </c>
      <c r="B152" s="34">
        <v>10151.0</v>
      </c>
      <c r="C152" s="34" t="s">
        <v>34</v>
      </c>
      <c r="D152" s="35" t="s">
        <v>286</v>
      </c>
      <c r="E152" s="34" t="s">
        <v>287</v>
      </c>
      <c r="F152" s="34">
        <v>140.0</v>
      </c>
      <c r="G152" s="36">
        <v>0.0</v>
      </c>
      <c r="H152" s="6"/>
      <c r="I152" s="6"/>
      <c r="J152" s="6"/>
      <c r="K152" s="6"/>
      <c r="L152" s="6"/>
      <c r="M152" s="6"/>
      <c r="N152" s="6"/>
      <c r="O152" s="6"/>
      <c r="P152" s="6"/>
      <c r="Q152" s="6"/>
      <c r="R152" s="6"/>
      <c r="S152" s="6"/>
      <c r="T152" s="6"/>
      <c r="U152" s="6"/>
      <c r="V152" s="6"/>
      <c r="W152" s="6"/>
      <c r="X152" s="6"/>
      <c r="Y152" s="6"/>
      <c r="Z152" s="6"/>
    </row>
    <row r="153" ht="12.75" hidden="1" customHeight="1">
      <c r="A153" s="61">
        <v>152.0</v>
      </c>
      <c r="B153" s="61">
        <v>10152.0</v>
      </c>
      <c r="C153" s="61" t="s">
        <v>20</v>
      </c>
      <c r="D153" s="62" t="s">
        <v>288</v>
      </c>
      <c r="E153" s="61" t="s">
        <v>289</v>
      </c>
      <c r="F153" s="61">
        <v>139.0</v>
      </c>
      <c r="G153" s="63">
        <v>0.0</v>
      </c>
      <c r="H153" s="6"/>
      <c r="I153" s="6"/>
      <c r="J153" s="6"/>
      <c r="K153" s="6"/>
      <c r="L153" s="6"/>
      <c r="M153" s="6"/>
      <c r="N153" s="6"/>
      <c r="O153" s="6"/>
      <c r="P153" s="6"/>
      <c r="Q153" s="6"/>
      <c r="R153" s="6"/>
      <c r="S153" s="6"/>
      <c r="T153" s="6"/>
      <c r="U153" s="6"/>
      <c r="V153" s="6"/>
      <c r="W153" s="6"/>
      <c r="X153" s="6"/>
      <c r="Y153" s="6"/>
      <c r="Z153" s="6"/>
    </row>
    <row r="154" ht="12.75" hidden="1" customHeight="1">
      <c r="A154" s="13">
        <v>153.0</v>
      </c>
      <c r="B154" s="13">
        <v>10153.0</v>
      </c>
      <c r="C154" s="13" t="s">
        <v>34</v>
      </c>
      <c r="D154" s="14" t="s">
        <v>290</v>
      </c>
      <c r="E154" s="13" t="s">
        <v>291</v>
      </c>
      <c r="F154" s="13">
        <v>160.0</v>
      </c>
      <c r="G154" s="15">
        <v>0.0</v>
      </c>
      <c r="H154" s="6"/>
      <c r="I154" s="6"/>
      <c r="J154" s="6"/>
      <c r="K154" s="6"/>
      <c r="L154" s="6"/>
      <c r="M154" s="6"/>
      <c r="N154" s="6"/>
      <c r="O154" s="6"/>
      <c r="P154" s="6"/>
      <c r="Q154" s="6"/>
      <c r="R154" s="6"/>
      <c r="S154" s="6"/>
      <c r="T154" s="6"/>
      <c r="U154" s="6"/>
      <c r="V154" s="6"/>
      <c r="W154" s="6"/>
      <c r="X154" s="6"/>
      <c r="Y154" s="6"/>
      <c r="Z154" s="6"/>
    </row>
    <row r="155" ht="12.75" hidden="1" customHeight="1">
      <c r="A155" s="37">
        <v>154.0</v>
      </c>
      <c r="B155" s="37">
        <v>10154.0</v>
      </c>
      <c r="C155" s="37" t="s">
        <v>34</v>
      </c>
      <c r="D155" s="38" t="s">
        <v>292</v>
      </c>
      <c r="E155" s="37" t="s">
        <v>267</v>
      </c>
      <c r="F155" s="37">
        <v>158.0</v>
      </c>
      <c r="G155" s="39">
        <v>0.0</v>
      </c>
      <c r="H155" s="6"/>
      <c r="I155" s="6"/>
      <c r="J155" s="6"/>
      <c r="K155" s="6"/>
      <c r="L155" s="6"/>
      <c r="M155" s="6"/>
      <c r="N155" s="6"/>
      <c r="O155" s="6"/>
      <c r="P155" s="6"/>
      <c r="Q155" s="6"/>
      <c r="R155" s="6"/>
      <c r="S155" s="6"/>
      <c r="T155" s="6"/>
      <c r="U155" s="6"/>
      <c r="V155" s="6"/>
      <c r="W155" s="6"/>
      <c r="X155" s="6"/>
      <c r="Y155" s="6"/>
      <c r="Z155" s="6"/>
    </row>
    <row r="156" ht="12.75" hidden="1" customHeight="1">
      <c r="A156" s="58">
        <v>155.0</v>
      </c>
      <c r="B156" s="58">
        <v>10155.0</v>
      </c>
      <c r="C156" s="58" t="s">
        <v>20</v>
      </c>
      <c r="D156" s="59" t="s">
        <v>293</v>
      </c>
      <c r="E156" s="58" t="s">
        <v>294</v>
      </c>
      <c r="F156" s="58">
        <v>157.0</v>
      </c>
      <c r="G156" s="60">
        <v>45770.0</v>
      </c>
      <c r="H156" s="6"/>
      <c r="I156" s="6"/>
      <c r="J156" s="6"/>
      <c r="K156" s="6"/>
      <c r="L156" s="6"/>
      <c r="M156" s="6"/>
      <c r="N156" s="6"/>
      <c r="O156" s="6"/>
      <c r="P156" s="6"/>
      <c r="Q156" s="6"/>
      <c r="R156" s="6"/>
      <c r="S156" s="6"/>
      <c r="T156" s="6"/>
      <c r="U156" s="6"/>
      <c r="V156" s="6"/>
      <c r="W156" s="6"/>
      <c r="X156" s="6"/>
      <c r="Y156" s="6"/>
      <c r="Z156" s="6"/>
    </row>
    <row r="157" ht="12.75" hidden="1" customHeight="1">
      <c r="A157" s="37">
        <v>156.0</v>
      </c>
      <c r="B157" s="37">
        <v>10156.0</v>
      </c>
      <c r="C157" s="37" t="s">
        <v>34</v>
      </c>
      <c r="D157" s="38" t="s">
        <v>295</v>
      </c>
      <c r="E157" s="37" t="s">
        <v>296</v>
      </c>
      <c r="F157" s="37">
        <v>166.0</v>
      </c>
      <c r="G157" s="39">
        <v>45770.0</v>
      </c>
      <c r="H157" s="6"/>
      <c r="I157" s="6"/>
      <c r="J157" s="6"/>
      <c r="K157" s="6"/>
      <c r="L157" s="6"/>
      <c r="M157" s="6"/>
      <c r="N157" s="6"/>
      <c r="O157" s="6"/>
      <c r="P157" s="6"/>
      <c r="Q157" s="6"/>
      <c r="R157" s="6"/>
      <c r="S157" s="6"/>
      <c r="T157" s="6"/>
      <c r="U157" s="6"/>
      <c r="V157" s="6"/>
      <c r="W157" s="6"/>
      <c r="X157" s="6"/>
      <c r="Y157" s="6"/>
      <c r="Z157" s="6"/>
    </row>
    <row r="158" ht="12.75" hidden="1" customHeight="1">
      <c r="A158" s="34">
        <v>157.0</v>
      </c>
      <c r="B158" s="34">
        <v>10157.0</v>
      </c>
      <c r="C158" s="34" t="s">
        <v>34</v>
      </c>
      <c r="D158" s="35" t="s">
        <v>297</v>
      </c>
      <c r="E158" s="34" t="s">
        <v>298</v>
      </c>
      <c r="F158" s="34">
        <v>193.0</v>
      </c>
      <c r="G158" s="36">
        <v>45770.0</v>
      </c>
      <c r="H158" s="6"/>
      <c r="I158" s="6"/>
      <c r="J158" s="6"/>
      <c r="K158" s="6"/>
      <c r="L158" s="6"/>
      <c r="M158" s="6"/>
      <c r="N158" s="6"/>
      <c r="O158" s="6"/>
      <c r="P158" s="6"/>
      <c r="Q158" s="6"/>
      <c r="R158" s="6"/>
      <c r="S158" s="6"/>
      <c r="T158" s="6"/>
      <c r="U158" s="6"/>
      <c r="V158" s="6"/>
      <c r="W158" s="6"/>
      <c r="X158" s="6"/>
      <c r="Y158" s="6"/>
      <c r="Z158" s="6"/>
    </row>
    <row r="159" ht="12.75" hidden="1" customHeight="1">
      <c r="A159" s="61">
        <v>158.0</v>
      </c>
      <c r="B159" s="61">
        <v>10158.0</v>
      </c>
      <c r="C159" s="61" t="s">
        <v>27</v>
      </c>
      <c r="D159" s="62" t="s">
        <v>299</v>
      </c>
      <c r="E159" s="61" t="s">
        <v>300</v>
      </c>
      <c r="F159" s="61">
        <v>131.0</v>
      </c>
      <c r="G159" s="63">
        <v>0.0</v>
      </c>
      <c r="H159" s="6"/>
      <c r="I159" s="6"/>
      <c r="J159" s="6"/>
      <c r="K159" s="6"/>
      <c r="L159" s="6"/>
      <c r="M159" s="6"/>
      <c r="N159" s="6"/>
      <c r="O159" s="6"/>
      <c r="P159" s="6"/>
      <c r="Q159" s="6"/>
      <c r="R159" s="6"/>
      <c r="S159" s="6"/>
      <c r="T159" s="6"/>
      <c r="U159" s="6"/>
      <c r="V159" s="6"/>
      <c r="W159" s="6"/>
      <c r="X159" s="6"/>
      <c r="Y159" s="6"/>
      <c r="Z159" s="6"/>
    </row>
    <row r="160" ht="12.75" hidden="1" customHeight="1">
      <c r="A160" s="34">
        <v>159.0</v>
      </c>
      <c r="B160" s="34">
        <v>10159.0</v>
      </c>
      <c r="C160" s="34" t="s">
        <v>27</v>
      </c>
      <c r="D160" s="35" t="s">
        <v>301</v>
      </c>
      <c r="E160" s="34" t="s">
        <v>302</v>
      </c>
      <c r="F160" s="34">
        <v>126.0</v>
      </c>
      <c r="G160" s="36">
        <v>0.0</v>
      </c>
      <c r="H160" s="6"/>
      <c r="I160" s="6"/>
      <c r="J160" s="6"/>
      <c r="K160" s="6"/>
      <c r="L160" s="6"/>
      <c r="M160" s="6"/>
      <c r="N160" s="6"/>
      <c r="O160" s="6"/>
      <c r="P160" s="6"/>
      <c r="Q160" s="6"/>
      <c r="R160" s="6"/>
      <c r="S160" s="6"/>
      <c r="T160" s="6"/>
      <c r="U160" s="6"/>
      <c r="V160" s="6"/>
      <c r="W160" s="6"/>
      <c r="X160" s="6"/>
      <c r="Y160" s="6"/>
      <c r="Z160" s="6"/>
    </row>
    <row r="161" ht="12.75" hidden="1" customHeight="1">
      <c r="A161" s="37">
        <v>160.0</v>
      </c>
      <c r="B161" s="37">
        <v>10160.0</v>
      </c>
      <c r="C161" s="37" t="s">
        <v>34</v>
      </c>
      <c r="D161" s="38" t="s">
        <v>303</v>
      </c>
      <c r="E161" s="37" t="s">
        <v>304</v>
      </c>
      <c r="F161" s="37">
        <v>193.0</v>
      </c>
      <c r="G161" s="39">
        <v>46000.0</v>
      </c>
      <c r="H161" s="6"/>
      <c r="I161" s="6"/>
      <c r="J161" s="6"/>
      <c r="K161" s="6"/>
      <c r="L161" s="6"/>
      <c r="M161" s="6"/>
      <c r="N161" s="6"/>
      <c r="O161" s="6"/>
      <c r="P161" s="6"/>
      <c r="Q161" s="6"/>
      <c r="R161" s="6"/>
      <c r="S161" s="6"/>
      <c r="T161" s="6"/>
      <c r="U161" s="6"/>
      <c r="V161" s="6"/>
      <c r="W161" s="6"/>
      <c r="X161" s="6"/>
      <c r="Y161" s="6"/>
      <c r="Z161" s="6"/>
    </row>
    <row r="162" ht="12.75" hidden="1" customHeight="1">
      <c r="A162" s="58">
        <v>161.0</v>
      </c>
      <c r="B162" s="58">
        <v>10161.0</v>
      </c>
      <c r="C162" s="58" t="s">
        <v>27</v>
      </c>
      <c r="D162" s="59" t="s">
        <v>305</v>
      </c>
      <c r="E162" s="58" t="s">
        <v>306</v>
      </c>
      <c r="F162" s="58">
        <v>156.0</v>
      </c>
      <c r="G162" s="60">
        <v>0.0</v>
      </c>
      <c r="H162" s="6"/>
      <c r="I162" s="6"/>
      <c r="J162" s="6"/>
      <c r="K162" s="6"/>
      <c r="L162" s="6"/>
      <c r="M162" s="6"/>
      <c r="N162" s="6"/>
      <c r="O162" s="6"/>
      <c r="P162" s="6"/>
      <c r="Q162" s="6"/>
      <c r="R162" s="6"/>
      <c r="S162" s="6"/>
      <c r="T162" s="6"/>
      <c r="U162" s="6"/>
      <c r="V162" s="6"/>
      <c r="W162" s="6"/>
      <c r="X162" s="6"/>
      <c r="Y162" s="6"/>
      <c r="Z162" s="6"/>
    </row>
    <row r="163" ht="12.75" hidden="1" customHeight="1">
      <c r="A163" s="31">
        <v>162.0</v>
      </c>
      <c r="B163" s="31">
        <v>10162.0</v>
      </c>
      <c r="C163" s="31" t="s">
        <v>34</v>
      </c>
      <c r="D163" s="32" t="s">
        <v>307</v>
      </c>
      <c r="E163" s="31" t="s">
        <v>308</v>
      </c>
      <c r="F163" s="31">
        <v>113.0</v>
      </c>
      <c r="G163" s="33">
        <v>0.0</v>
      </c>
      <c r="H163" s="6"/>
      <c r="I163" s="6"/>
      <c r="J163" s="6"/>
      <c r="K163" s="6"/>
      <c r="L163" s="6"/>
      <c r="M163" s="6"/>
      <c r="N163" s="6"/>
      <c r="O163" s="6"/>
      <c r="P163" s="6"/>
      <c r="Q163" s="6"/>
      <c r="R163" s="6"/>
      <c r="S163" s="6"/>
      <c r="T163" s="6"/>
      <c r="U163" s="6"/>
      <c r="V163" s="6"/>
      <c r="W163" s="6"/>
      <c r="X163" s="6"/>
      <c r="Y163" s="6"/>
      <c r="Z163" s="6"/>
    </row>
    <row r="164" ht="12.75" hidden="1" customHeight="1">
      <c r="A164" s="34">
        <v>163.0</v>
      </c>
      <c r="B164" s="34">
        <v>10163.0</v>
      </c>
      <c r="C164" s="34" t="s">
        <v>7</v>
      </c>
      <c r="D164" s="35" t="s">
        <v>309</v>
      </c>
      <c r="E164" s="34" t="s">
        <v>310</v>
      </c>
      <c r="F164" s="34">
        <v>63.0</v>
      </c>
      <c r="G164" s="36">
        <v>0.0</v>
      </c>
      <c r="H164" s="6"/>
      <c r="I164" s="6"/>
      <c r="J164" s="6"/>
      <c r="K164" s="6"/>
      <c r="L164" s="6"/>
      <c r="M164" s="6"/>
      <c r="N164" s="6"/>
      <c r="O164" s="6"/>
      <c r="P164" s="6"/>
      <c r="Q164" s="6"/>
      <c r="R164" s="6"/>
      <c r="S164" s="6"/>
      <c r="T164" s="6"/>
      <c r="U164" s="6"/>
      <c r="V164" s="6"/>
      <c r="W164" s="6"/>
      <c r="X164" s="6"/>
      <c r="Y164" s="6"/>
      <c r="Z164" s="6"/>
    </row>
    <row r="165" ht="12.75" hidden="1" customHeight="1">
      <c r="A165" s="61">
        <v>164.0</v>
      </c>
      <c r="B165" s="61">
        <v>10164.0</v>
      </c>
      <c r="C165" s="61" t="s">
        <v>20</v>
      </c>
      <c r="D165" s="62" t="s">
        <v>311</v>
      </c>
      <c r="E165" s="61" t="s">
        <v>312</v>
      </c>
      <c r="F165" s="61">
        <v>154.0</v>
      </c>
      <c r="G165" s="63">
        <v>0.0</v>
      </c>
      <c r="H165" s="6"/>
      <c r="I165" s="6"/>
      <c r="J165" s="6"/>
      <c r="K165" s="6"/>
      <c r="L165" s="6"/>
      <c r="M165" s="6"/>
      <c r="N165" s="6"/>
      <c r="O165" s="6"/>
      <c r="P165" s="6"/>
      <c r="Q165" s="6"/>
      <c r="R165" s="6"/>
      <c r="S165" s="6"/>
      <c r="T165" s="6"/>
      <c r="U165" s="6"/>
      <c r="V165" s="6"/>
      <c r="W165" s="6"/>
      <c r="X165" s="6"/>
      <c r="Y165" s="6"/>
      <c r="Z165" s="6"/>
    </row>
    <row r="166" ht="12.75" hidden="1" customHeight="1">
      <c r="A166" s="49">
        <v>165.0</v>
      </c>
      <c r="B166" s="49">
        <v>10165.0</v>
      </c>
      <c r="C166" s="49" t="s">
        <v>34</v>
      </c>
      <c r="D166" s="50" t="s">
        <v>313</v>
      </c>
      <c r="E166" s="49" t="s">
        <v>314</v>
      </c>
      <c r="F166" s="49">
        <v>112.0</v>
      </c>
      <c r="G166" s="51">
        <v>0.0</v>
      </c>
      <c r="H166" s="6"/>
      <c r="I166" s="6"/>
      <c r="J166" s="6"/>
      <c r="K166" s="6"/>
      <c r="L166" s="6"/>
      <c r="M166" s="6"/>
      <c r="N166" s="6"/>
      <c r="O166" s="6"/>
      <c r="P166" s="6"/>
      <c r="Q166" s="6"/>
      <c r="R166" s="6"/>
      <c r="S166" s="6"/>
      <c r="T166" s="6"/>
      <c r="U166" s="6"/>
      <c r="V166" s="6"/>
      <c r="W166" s="6"/>
      <c r="X166" s="6"/>
      <c r="Y166" s="6"/>
      <c r="Z166" s="6"/>
    </row>
    <row r="167" ht="12.75" hidden="1" customHeight="1">
      <c r="A167" s="37">
        <v>166.0</v>
      </c>
      <c r="B167" s="37">
        <v>10166.0</v>
      </c>
      <c r="C167" s="37" t="s">
        <v>7</v>
      </c>
      <c r="D167" s="38" t="s">
        <v>315</v>
      </c>
      <c r="E167" s="37" t="s">
        <v>316</v>
      </c>
      <c r="F167" s="37">
        <v>63.0</v>
      </c>
      <c r="G167" s="39">
        <v>0.0</v>
      </c>
      <c r="H167" s="6"/>
      <c r="I167" s="6"/>
      <c r="J167" s="6"/>
      <c r="K167" s="6"/>
      <c r="L167" s="6"/>
      <c r="M167" s="6"/>
      <c r="N167" s="6"/>
      <c r="O167" s="6"/>
      <c r="P167" s="6"/>
      <c r="Q167" s="6"/>
      <c r="R167" s="6"/>
      <c r="S167" s="6"/>
      <c r="T167" s="6"/>
      <c r="U167" s="6"/>
      <c r="V167" s="6"/>
      <c r="W167" s="6"/>
      <c r="X167" s="6"/>
      <c r="Y167" s="6"/>
      <c r="Z167" s="6"/>
    </row>
    <row r="168" ht="12.75" hidden="1" customHeight="1">
      <c r="A168" s="34">
        <v>167.0</v>
      </c>
      <c r="B168" s="34">
        <v>10167.0</v>
      </c>
      <c r="C168" s="34" t="s">
        <v>7</v>
      </c>
      <c r="D168" s="35" t="s">
        <v>317</v>
      </c>
      <c r="E168" s="34" t="s">
        <v>318</v>
      </c>
      <c r="F168" s="34">
        <v>61.0</v>
      </c>
      <c r="G168" s="36">
        <v>0.0</v>
      </c>
      <c r="H168" s="6"/>
      <c r="I168" s="6"/>
      <c r="J168" s="6"/>
      <c r="K168" s="6"/>
      <c r="L168" s="6"/>
      <c r="M168" s="6"/>
      <c r="N168" s="6"/>
      <c r="O168" s="6"/>
      <c r="P168" s="6"/>
      <c r="Q168" s="6"/>
      <c r="R168" s="6"/>
      <c r="S168" s="6"/>
      <c r="T168" s="6"/>
      <c r="U168" s="6"/>
      <c r="V168" s="6"/>
      <c r="W168" s="6"/>
      <c r="X168" s="6"/>
      <c r="Y168" s="6"/>
      <c r="Z168" s="6"/>
    </row>
    <row r="169" ht="12.75" hidden="1" customHeight="1">
      <c r="A169" s="61">
        <v>168.0</v>
      </c>
      <c r="B169" s="61">
        <v>10168.0</v>
      </c>
      <c r="C169" s="61" t="s">
        <v>34</v>
      </c>
      <c r="D169" s="62" t="s">
        <v>319</v>
      </c>
      <c r="E169" s="61" t="s">
        <v>320</v>
      </c>
      <c r="F169" s="61">
        <v>128.0</v>
      </c>
      <c r="G169" s="63">
        <v>0.0</v>
      </c>
      <c r="H169" s="6"/>
      <c r="I169" s="6"/>
      <c r="J169" s="6"/>
      <c r="K169" s="6"/>
      <c r="L169" s="6"/>
      <c r="M169" s="6"/>
      <c r="N169" s="6"/>
      <c r="O169" s="6"/>
      <c r="P169" s="6"/>
      <c r="Q169" s="6"/>
      <c r="R169" s="6"/>
      <c r="S169" s="6"/>
      <c r="T169" s="6"/>
      <c r="U169" s="6"/>
      <c r="V169" s="6"/>
      <c r="W169" s="6"/>
      <c r="X169" s="6"/>
      <c r="Y169" s="6"/>
      <c r="Z169" s="6"/>
    </row>
    <row r="170" ht="12.75" hidden="1" customHeight="1">
      <c r="A170" s="34">
        <v>169.0</v>
      </c>
      <c r="B170" s="34">
        <v>10169.0</v>
      </c>
      <c r="C170" s="34" t="s">
        <v>7</v>
      </c>
      <c r="D170" s="35" t="s">
        <v>321</v>
      </c>
      <c r="E170" s="34" t="s">
        <v>322</v>
      </c>
      <c r="F170" s="34">
        <v>99.0</v>
      </c>
      <c r="G170" s="36">
        <v>0.0</v>
      </c>
      <c r="H170" s="6"/>
      <c r="I170" s="6"/>
      <c r="J170" s="6"/>
      <c r="K170" s="6"/>
      <c r="L170" s="6"/>
      <c r="M170" s="6"/>
      <c r="N170" s="6"/>
      <c r="O170" s="6"/>
      <c r="P170" s="6"/>
      <c r="Q170" s="6"/>
      <c r="R170" s="6"/>
      <c r="S170" s="6"/>
      <c r="T170" s="6"/>
      <c r="U170" s="6"/>
      <c r="V170" s="6"/>
      <c r="W170" s="6"/>
      <c r="X170" s="6"/>
      <c r="Y170" s="6"/>
      <c r="Z170" s="6"/>
    </row>
    <row r="171" ht="12.75" hidden="1" customHeight="1">
      <c r="A171" s="37">
        <v>170.0</v>
      </c>
      <c r="B171" s="37">
        <v>10170.0</v>
      </c>
      <c r="C171" s="37" t="s">
        <v>7</v>
      </c>
      <c r="D171" s="38" t="s">
        <v>323</v>
      </c>
      <c r="E171" s="37" t="s">
        <v>324</v>
      </c>
      <c r="F171" s="37">
        <v>77.0</v>
      </c>
      <c r="G171" s="39">
        <v>0.0</v>
      </c>
      <c r="H171" s="6"/>
      <c r="I171" s="6"/>
      <c r="J171" s="6"/>
      <c r="K171" s="6"/>
      <c r="L171" s="6"/>
      <c r="M171" s="6"/>
      <c r="N171" s="6"/>
      <c r="O171" s="6"/>
      <c r="P171" s="6"/>
      <c r="Q171" s="6"/>
      <c r="R171" s="6"/>
      <c r="S171" s="6"/>
      <c r="T171" s="6"/>
      <c r="U171" s="6"/>
      <c r="V171" s="6"/>
      <c r="W171" s="6"/>
      <c r="X171" s="6"/>
      <c r="Y171" s="6"/>
      <c r="Z171" s="6"/>
    </row>
    <row r="172" ht="12.75" hidden="1" customHeight="1">
      <c r="A172" s="34">
        <v>171.0</v>
      </c>
      <c r="B172" s="34">
        <v>10171.0</v>
      </c>
      <c r="C172" s="34" t="s">
        <v>34</v>
      </c>
      <c r="D172" s="35" t="s">
        <v>325</v>
      </c>
      <c r="E172" s="34" t="s">
        <v>326</v>
      </c>
      <c r="F172" s="34">
        <v>157.0</v>
      </c>
      <c r="G172" s="36">
        <v>0.0</v>
      </c>
      <c r="H172" s="6"/>
      <c r="I172" s="6"/>
      <c r="J172" s="6"/>
      <c r="K172" s="6"/>
      <c r="L172" s="6"/>
      <c r="M172" s="6"/>
      <c r="N172" s="6"/>
      <c r="O172" s="6"/>
      <c r="P172" s="6"/>
      <c r="Q172" s="6"/>
      <c r="R172" s="6"/>
      <c r="S172" s="6"/>
      <c r="T172" s="6"/>
      <c r="U172" s="6"/>
      <c r="V172" s="6"/>
      <c r="W172" s="6"/>
      <c r="X172" s="6"/>
      <c r="Y172" s="6"/>
      <c r="Z172" s="6"/>
    </row>
    <row r="173" ht="12.75" hidden="1" customHeight="1">
      <c r="A173" s="37">
        <v>172.0</v>
      </c>
      <c r="B173" s="37">
        <v>10172.0</v>
      </c>
      <c r="C173" s="37" t="s">
        <v>34</v>
      </c>
      <c r="D173" s="38" t="s">
        <v>327</v>
      </c>
      <c r="E173" s="37" t="s">
        <v>328</v>
      </c>
      <c r="F173" s="37">
        <v>157.0</v>
      </c>
      <c r="G173" s="39">
        <v>0.0</v>
      </c>
      <c r="H173" s="6"/>
      <c r="I173" s="6"/>
      <c r="J173" s="6"/>
      <c r="K173" s="6"/>
      <c r="L173" s="6"/>
      <c r="M173" s="6"/>
      <c r="N173" s="6"/>
      <c r="O173" s="6"/>
      <c r="P173" s="6"/>
      <c r="Q173" s="6"/>
      <c r="R173" s="6"/>
      <c r="S173" s="6"/>
      <c r="T173" s="6"/>
      <c r="U173" s="6"/>
      <c r="V173" s="6"/>
      <c r="W173" s="6"/>
      <c r="X173" s="6"/>
      <c r="Y173" s="6"/>
      <c r="Z173" s="6"/>
    </row>
    <row r="174" ht="12.75" hidden="1" customHeight="1">
      <c r="A174" s="34">
        <v>173.0</v>
      </c>
      <c r="B174" s="34">
        <v>10173.0</v>
      </c>
      <c r="C174" s="34" t="s">
        <v>20</v>
      </c>
      <c r="D174" s="35" t="s">
        <v>329</v>
      </c>
      <c r="E174" s="34" t="s">
        <v>330</v>
      </c>
      <c r="F174" s="34">
        <v>195.0</v>
      </c>
      <c r="G174" s="36" t="s">
        <v>331</v>
      </c>
      <c r="H174" s="6"/>
      <c r="I174" s="6"/>
      <c r="J174" s="6"/>
      <c r="K174" s="6"/>
      <c r="L174" s="6"/>
      <c r="M174" s="6"/>
      <c r="N174" s="6"/>
      <c r="O174" s="6"/>
      <c r="P174" s="6"/>
      <c r="Q174" s="6"/>
      <c r="R174" s="6"/>
      <c r="S174" s="6"/>
      <c r="T174" s="6"/>
      <c r="U174" s="6"/>
      <c r="V174" s="6"/>
      <c r="W174" s="6"/>
      <c r="X174" s="6"/>
      <c r="Y174" s="6"/>
      <c r="Z174" s="6"/>
    </row>
    <row r="175" ht="12.75" hidden="1" customHeight="1">
      <c r="A175" s="61">
        <v>174.0</v>
      </c>
      <c r="B175" s="61">
        <v>10174.0</v>
      </c>
      <c r="C175" s="61" t="s">
        <v>7</v>
      </c>
      <c r="D175" s="62" t="s">
        <v>332</v>
      </c>
      <c r="E175" s="61" t="s">
        <v>333</v>
      </c>
      <c r="F175" s="61">
        <v>81.0</v>
      </c>
      <c r="G175" s="63">
        <v>0.0</v>
      </c>
      <c r="H175" s="6"/>
      <c r="I175" s="6"/>
      <c r="J175" s="6"/>
      <c r="K175" s="6"/>
      <c r="L175" s="6"/>
      <c r="M175" s="6"/>
      <c r="N175" s="6"/>
      <c r="O175" s="6"/>
      <c r="P175" s="6"/>
      <c r="Q175" s="6"/>
      <c r="R175" s="6"/>
      <c r="S175" s="6"/>
      <c r="T175" s="6"/>
      <c r="U175" s="6"/>
      <c r="V175" s="6"/>
      <c r="W175" s="6"/>
      <c r="X175" s="6"/>
      <c r="Y175" s="6"/>
      <c r="Z175" s="6"/>
    </row>
    <row r="176" ht="12.75" hidden="1" customHeight="1">
      <c r="A176" s="34">
        <v>175.0</v>
      </c>
      <c r="B176" s="34">
        <v>10175.0</v>
      </c>
      <c r="C176" s="34" t="s">
        <v>7</v>
      </c>
      <c r="D176" s="35" t="s">
        <v>334</v>
      </c>
      <c r="E176" s="34" t="s">
        <v>335</v>
      </c>
      <c r="F176" s="34">
        <v>69.0</v>
      </c>
      <c r="G176" s="36">
        <v>0.0</v>
      </c>
      <c r="H176" s="6"/>
      <c r="I176" s="6"/>
      <c r="J176" s="6"/>
      <c r="K176" s="6"/>
      <c r="L176" s="6"/>
      <c r="M176" s="6"/>
      <c r="N176" s="6"/>
      <c r="O176" s="6"/>
      <c r="P176" s="6"/>
      <c r="Q176" s="6"/>
      <c r="R176" s="6"/>
      <c r="S176" s="6"/>
      <c r="T176" s="6"/>
      <c r="U176" s="6"/>
      <c r="V176" s="6"/>
      <c r="W176" s="6"/>
      <c r="X176" s="6"/>
      <c r="Y176" s="6"/>
      <c r="Z176" s="6"/>
    </row>
    <row r="177" ht="12.75" hidden="1" customHeight="1">
      <c r="A177" s="37">
        <v>176.0</v>
      </c>
      <c r="B177" s="37">
        <v>10176.0</v>
      </c>
      <c r="C177" s="37" t="s">
        <v>7</v>
      </c>
      <c r="D177" s="38" t="s">
        <v>336</v>
      </c>
      <c r="E177" s="37" t="s">
        <v>337</v>
      </c>
      <c r="F177" s="37">
        <v>40.0</v>
      </c>
      <c r="G177" s="39">
        <v>0.0</v>
      </c>
      <c r="H177" s="6"/>
      <c r="I177" s="6"/>
      <c r="J177" s="6"/>
      <c r="K177" s="6"/>
      <c r="L177" s="6"/>
      <c r="M177" s="6"/>
      <c r="N177" s="6"/>
      <c r="O177" s="6"/>
      <c r="P177" s="6"/>
      <c r="Q177" s="6"/>
      <c r="R177" s="6"/>
      <c r="S177" s="6"/>
      <c r="T177" s="6"/>
      <c r="U177" s="6"/>
      <c r="V177" s="6"/>
      <c r="W177" s="6"/>
      <c r="X177" s="6"/>
      <c r="Y177" s="6"/>
      <c r="Z177" s="6"/>
    </row>
    <row r="178" ht="12.75" hidden="1" customHeight="1">
      <c r="A178" s="34">
        <v>177.0</v>
      </c>
      <c r="B178" s="34">
        <v>10177.0</v>
      </c>
      <c r="C178" s="34" t="s">
        <v>7</v>
      </c>
      <c r="D178" s="35" t="s">
        <v>338</v>
      </c>
      <c r="E178" s="34" t="s">
        <v>339</v>
      </c>
      <c r="F178" s="34">
        <v>61.0</v>
      </c>
      <c r="G178" s="36">
        <v>0.0</v>
      </c>
      <c r="H178" s="6"/>
      <c r="I178" s="6"/>
      <c r="J178" s="6"/>
      <c r="K178" s="6"/>
      <c r="L178" s="6"/>
      <c r="M178" s="6"/>
      <c r="N178" s="6"/>
      <c r="O178" s="6"/>
      <c r="P178" s="6"/>
      <c r="Q178" s="6"/>
      <c r="R178" s="6"/>
      <c r="S178" s="6"/>
      <c r="T178" s="6"/>
      <c r="U178" s="6"/>
      <c r="V178" s="6"/>
      <c r="W178" s="6"/>
      <c r="X178" s="6"/>
      <c r="Y178" s="6"/>
      <c r="Z178" s="6"/>
    </row>
    <row r="179" ht="12.75" hidden="1" customHeight="1">
      <c r="A179" s="37">
        <v>178.0</v>
      </c>
      <c r="B179" s="37">
        <v>10178.0</v>
      </c>
      <c r="C179" s="37" t="s">
        <v>7</v>
      </c>
      <c r="D179" s="38" t="s">
        <v>340</v>
      </c>
      <c r="E179" s="37" t="s">
        <v>341</v>
      </c>
      <c r="F179" s="37">
        <v>57.0</v>
      </c>
      <c r="G179" s="39">
        <v>0.0</v>
      </c>
      <c r="H179" s="6"/>
      <c r="I179" s="6"/>
      <c r="J179" s="6"/>
      <c r="K179" s="6"/>
      <c r="L179" s="6"/>
      <c r="M179" s="6"/>
      <c r="N179" s="6"/>
      <c r="O179" s="6"/>
      <c r="P179" s="6"/>
      <c r="Q179" s="6"/>
      <c r="R179" s="6"/>
      <c r="S179" s="6"/>
      <c r="T179" s="6"/>
      <c r="U179" s="6"/>
      <c r="V179" s="6"/>
      <c r="W179" s="6"/>
      <c r="X179" s="6"/>
      <c r="Y179" s="6"/>
      <c r="Z179" s="6"/>
    </row>
    <row r="180" ht="12.75" hidden="1" customHeight="1">
      <c r="A180" s="34">
        <v>179.0</v>
      </c>
      <c r="B180" s="34">
        <v>10179.0</v>
      </c>
      <c r="C180" s="34" t="s">
        <v>34</v>
      </c>
      <c r="D180" s="35" t="s">
        <v>342</v>
      </c>
      <c r="E180" s="34" t="s">
        <v>343</v>
      </c>
      <c r="F180" s="34">
        <v>135.0</v>
      </c>
      <c r="G180" s="36">
        <v>0.0</v>
      </c>
      <c r="H180" s="6"/>
      <c r="I180" s="6"/>
      <c r="J180" s="6"/>
      <c r="K180" s="6"/>
      <c r="L180" s="6"/>
      <c r="M180" s="6"/>
      <c r="N180" s="6"/>
      <c r="O180" s="6"/>
      <c r="P180" s="6"/>
      <c r="Q180" s="6"/>
      <c r="R180" s="6"/>
      <c r="S180" s="6"/>
      <c r="T180" s="6"/>
      <c r="U180" s="6"/>
      <c r="V180" s="6"/>
      <c r="W180" s="6"/>
      <c r="X180" s="6"/>
      <c r="Y180" s="6"/>
      <c r="Z180" s="6"/>
    </row>
    <row r="181" ht="12.75" hidden="1" customHeight="1">
      <c r="A181" s="31">
        <v>180.0</v>
      </c>
      <c r="B181" s="31">
        <v>10180.0</v>
      </c>
      <c r="C181" s="31" t="s">
        <v>27</v>
      </c>
      <c r="D181" s="32" t="s">
        <v>344</v>
      </c>
      <c r="E181" s="31" t="s">
        <v>345</v>
      </c>
      <c r="F181" s="31">
        <v>88.0</v>
      </c>
      <c r="G181" s="33">
        <v>46000.0</v>
      </c>
      <c r="H181" s="6"/>
      <c r="I181" s="6"/>
      <c r="J181" s="6"/>
      <c r="K181" s="6"/>
      <c r="L181" s="6"/>
      <c r="M181" s="6"/>
      <c r="N181" s="6"/>
      <c r="O181" s="6"/>
      <c r="P181" s="6"/>
      <c r="Q181" s="6"/>
      <c r="R181" s="6"/>
      <c r="S181" s="6"/>
      <c r="T181" s="6"/>
      <c r="U181" s="6"/>
      <c r="V181" s="6"/>
      <c r="W181" s="6"/>
      <c r="X181" s="6"/>
      <c r="Y181" s="6"/>
      <c r="Z181" s="6"/>
    </row>
    <row r="182" ht="12.75" hidden="1" customHeight="1">
      <c r="A182" s="58">
        <v>181.0</v>
      </c>
      <c r="B182" s="58">
        <v>10181.0</v>
      </c>
      <c r="C182" s="58" t="s">
        <v>7</v>
      </c>
      <c r="D182" s="59" t="s">
        <v>284</v>
      </c>
      <c r="E182" s="58" t="s">
        <v>346</v>
      </c>
      <c r="F182" s="58">
        <v>69.0</v>
      </c>
      <c r="G182" s="60">
        <v>0.0</v>
      </c>
      <c r="H182" s="6"/>
      <c r="I182" s="6"/>
      <c r="J182" s="6"/>
      <c r="K182" s="6"/>
      <c r="L182" s="6"/>
      <c r="M182" s="6"/>
      <c r="N182" s="6"/>
      <c r="O182" s="6"/>
      <c r="P182" s="6"/>
      <c r="Q182" s="6"/>
      <c r="R182" s="6"/>
      <c r="S182" s="6"/>
      <c r="T182" s="6"/>
      <c r="U182" s="6"/>
      <c r="V182" s="6"/>
      <c r="W182" s="6"/>
      <c r="X182" s="6"/>
      <c r="Y182" s="6"/>
      <c r="Z182" s="6"/>
    </row>
    <row r="183" ht="12.75" hidden="1" customHeight="1">
      <c r="A183" s="37">
        <v>182.0</v>
      </c>
      <c r="B183" s="37">
        <v>10182.0</v>
      </c>
      <c r="C183" s="37" t="s">
        <v>7</v>
      </c>
      <c r="D183" s="38" t="s">
        <v>347</v>
      </c>
      <c r="E183" s="37" t="s">
        <v>348</v>
      </c>
      <c r="F183" s="37">
        <v>59.0</v>
      </c>
      <c r="G183" s="39">
        <v>0.0</v>
      </c>
      <c r="H183" s="6"/>
      <c r="I183" s="6"/>
      <c r="J183" s="6"/>
      <c r="K183" s="6"/>
      <c r="L183" s="6"/>
      <c r="M183" s="6"/>
      <c r="N183" s="6"/>
      <c r="O183" s="6"/>
      <c r="P183" s="6"/>
      <c r="Q183" s="6"/>
      <c r="R183" s="6"/>
      <c r="S183" s="6"/>
      <c r="T183" s="6"/>
      <c r="U183" s="6"/>
      <c r="V183" s="6"/>
      <c r="W183" s="6"/>
      <c r="X183" s="6"/>
      <c r="Y183" s="6"/>
      <c r="Z183" s="6"/>
    </row>
    <row r="184" ht="12.75" hidden="1" customHeight="1">
      <c r="A184" s="34">
        <v>183.0</v>
      </c>
      <c r="B184" s="34">
        <v>10183.0</v>
      </c>
      <c r="C184" s="34" t="s">
        <v>7</v>
      </c>
      <c r="D184" s="35" t="s">
        <v>349</v>
      </c>
      <c r="E184" s="34" t="s">
        <v>350</v>
      </c>
      <c r="F184" s="34">
        <v>37.0</v>
      </c>
      <c r="G184" s="36">
        <v>0.0</v>
      </c>
      <c r="H184" s="6"/>
      <c r="I184" s="6"/>
      <c r="J184" s="6"/>
      <c r="K184" s="6"/>
      <c r="L184" s="6"/>
      <c r="M184" s="6"/>
      <c r="N184" s="6"/>
      <c r="O184" s="6"/>
      <c r="P184" s="6"/>
      <c r="Q184" s="6"/>
      <c r="R184" s="6"/>
      <c r="S184" s="6"/>
      <c r="T184" s="6"/>
      <c r="U184" s="6"/>
      <c r="V184" s="6"/>
      <c r="W184" s="6"/>
      <c r="X184" s="6"/>
      <c r="Y184" s="6"/>
      <c r="Z184" s="6"/>
    </row>
    <row r="185" ht="12.75" hidden="1" customHeight="1">
      <c r="A185" s="31">
        <v>184.0</v>
      </c>
      <c r="B185" s="31">
        <v>10184.0</v>
      </c>
      <c r="C185" s="31" t="s">
        <v>34</v>
      </c>
      <c r="D185" s="32" t="s">
        <v>351</v>
      </c>
      <c r="E185" s="31" t="s">
        <v>352</v>
      </c>
      <c r="F185" s="31">
        <v>161.0</v>
      </c>
      <c r="G185" s="33">
        <v>0.0</v>
      </c>
      <c r="H185" s="6"/>
      <c r="I185" s="6"/>
      <c r="J185" s="6"/>
      <c r="K185" s="6"/>
      <c r="L185" s="6"/>
      <c r="M185" s="6"/>
      <c r="N185" s="6"/>
      <c r="O185" s="6"/>
      <c r="P185" s="6"/>
      <c r="Q185" s="6"/>
      <c r="R185" s="6"/>
      <c r="S185" s="6"/>
      <c r="T185" s="6"/>
      <c r="U185" s="6"/>
      <c r="V185" s="6"/>
      <c r="W185" s="6"/>
      <c r="X185" s="6"/>
      <c r="Y185" s="6"/>
      <c r="Z185" s="6"/>
    </row>
    <row r="186" ht="12.75" hidden="1" customHeight="1">
      <c r="A186" s="34">
        <v>185.0</v>
      </c>
      <c r="B186" s="34">
        <v>10185.0</v>
      </c>
      <c r="C186" s="34" t="s">
        <v>27</v>
      </c>
      <c r="D186" s="35" t="s">
        <v>351</v>
      </c>
      <c r="E186" s="34" t="s">
        <v>353</v>
      </c>
      <c r="F186" s="34">
        <v>131.0</v>
      </c>
      <c r="G186" s="36">
        <v>0.0</v>
      </c>
      <c r="H186" s="6"/>
      <c r="I186" s="6"/>
      <c r="J186" s="6"/>
      <c r="K186" s="6"/>
      <c r="L186" s="6"/>
      <c r="M186" s="6"/>
      <c r="N186" s="6"/>
      <c r="O186" s="6"/>
      <c r="P186" s="6"/>
      <c r="Q186" s="6"/>
      <c r="R186" s="6"/>
      <c r="S186" s="6"/>
      <c r="T186" s="6"/>
      <c r="U186" s="6"/>
      <c r="V186" s="6"/>
      <c r="W186" s="6"/>
      <c r="X186" s="6"/>
      <c r="Y186" s="6"/>
      <c r="Z186" s="6"/>
    </row>
    <row r="187" ht="12.75" hidden="1" customHeight="1">
      <c r="A187" s="37">
        <v>186.0</v>
      </c>
      <c r="B187" s="37">
        <v>10186.0</v>
      </c>
      <c r="C187" s="37" t="s">
        <v>20</v>
      </c>
      <c r="D187" s="38" t="s">
        <v>354</v>
      </c>
      <c r="E187" s="37" t="s">
        <v>355</v>
      </c>
      <c r="F187" s="37">
        <v>142.0</v>
      </c>
      <c r="G187" s="39">
        <v>0.0</v>
      </c>
      <c r="H187" s="6"/>
      <c r="I187" s="6"/>
      <c r="J187" s="6"/>
      <c r="K187" s="6"/>
      <c r="L187" s="6"/>
      <c r="M187" s="6"/>
      <c r="N187" s="6"/>
      <c r="O187" s="6"/>
      <c r="P187" s="6"/>
      <c r="Q187" s="6"/>
      <c r="R187" s="6"/>
      <c r="S187" s="6"/>
      <c r="T187" s="6"/>
      <c r="U187" s="6"/>
      <c r="V187" s="6"/>
      <c r="W187" s="6"/>
      <c r="X187" s="6"/>
      <c r="Y187" s="6"/>
      <c r="Z187" s="6"/>
    </row>
    <row r="188" ht="12.75" hidden="1" customHeight="1">
      <c r="A188" s="34">
        <v>187.0</v>
      </c>
      <c r="B188" s="34">
        <v>10187.0</v>
      </c>
      <c r="C188" s="34" t="s">
        <v>34</v>
      </c>
      <c r="D188" s="35" t="s">
        <v>356</v>
      </c>
      <c r="E188" s="34" t="s">
        <v>357</v>
      </c>
      <c r="F188" s="34">
        <v>148.0</v>
      </c>
      <c r="G188" s="36">
        <v>0.0</v>
      </c>
      <c r="H188" s="6"/>
      <c r="I188" s="6"/>
      <c r="J188" s="6"/>
      <c r="K188" s="6"/>
      <c r="L188" s="6"/>
      <c r="M188" s="6"/>
      <c r="N188" s="6"/>
      <c r="O188" s="6"/>
      <c r="P188" s="6"/>
      <c r="Q188" s="6"/>
      <c r="R188" s="6"/>
      <c r="S188" s="6"/>
      <c r="T188" s="6"/>
      <c r="U188" s="6"/>
      <c r="V188" s="6"/>
      <c r="W188" s="6"/>
      <c r="X188" s="6"/>
      <c r="Y188" s="6"/>
      <c r="Z188" s="6"/>
    </row>
    <row r="189" ht="12.75" hidden="1" customHeight="1">
      <c r="A189" s="37">
        <v>188.0</v>
      </c>
      <c r="B189" s="37">
        <v>10188.0</v>
      </c>
      <c r="C189" s="37" t="s">
        <v>7</v>
      </c>
      <c r="D189" s="38" t="s">
        <v>358</v>
      </c>
      <c r="E189" s="37" t="s">
        <v>359</v>
      </c>
      <c r="F189" s="37">
        <v>113.0</v>
      </c>
      <c r="G189" s="39">
        <v>0.0</v>
      </c>
      <c r="H189" s="6"/>
      <c r="I189" s="6"/>
      <c r="J189" s="6"/>
      <c r="K189" s="6"/>
      <c r="L189" s="6"/>
      <c r="M189" s="6"/>
      <c r="N189" s="6"/>
      <c r="O189" s="6"/>
      <c r="P189" s="6"/>
      <c r="Q189" s="6"/>
      <c r="R189" s="6"/>
      <c r="S189" s="6"/>
      <c r="T189" s="6"/>
      <c r="U189" s="6"/>
      <c r="V189" s="6"/>
      <c r="W189" s="6"/>
      <c r="X189" s="6"/>
      <c r="Y189" s="6"/>
      <c r="Z189" s="6"/>
    </row>
    <row r="190" ht="12.75" hidden="1" customHeight="1">
      <c r="A190" s="34">
        <v>189.0</v>
      </c>
      <c r="B190" s="34">
        <v>10189.0</v>
      </c>
      <c r="C190" s="34" t="s">
        <v>20</v>
      </c>
      <c r="D190" s="35" t="s">
        <v>360</v>
      </c>
      <c r="E190" s="34" t="s">
        <v>361</v>
      </c>
      <c r="F190" s="34">
        <v>163.0</v>
      </c>
      <c r="G190" s="36">
        <v>0.0</v>
      </c>
      <c r="H190" s="6"/>
      <c r="I190" s="6"/>
      <c r="J190" s="6"/>
      <c r="K190" s="6"/>
      <c r="L190" s="6"/>
      <c r="M190" s="6"/>
      <c r="N190" s="6"/>
      <c r="O190" s="6"/>
      <c r="P190" s="6"/>
      <c r="Q190" s="6"/>
      <c r="R190" s="6"/>
      <c r="S190" s="6"/>
      <c r="T190" s="6"/>
      <c r="U190" s="6"/>
      <c r="V190" s="6"/>
      <c r="W190" s="6"/>
      <c r="X190" s="6"/>
      <c r="Y190" s="6"/>
      <c r="Z190" s="6"/>
    </row>
    <row r="191" ht="12.75" hidden="1" customHeight="1">
      <c r="A191" s="37">
        <v>190.0</v>
      </c>
      <c r="B191" s="37">
        <v>10190.0</v>
      </c>
      <c r="C191" s="37" t="s">
        <v>34</v>
      </c>
      <c r="D191" s="38" t="s">
        <v>362</v>
      </c>
      <c r="E191" s="37" t="s">
        <v>363</v>
      </c>
      <c r="F191" s="37">
        <v>110.0</v>
      </c>
      <c r="G191" s="39">
        <v>0.0</v>
      </c>
      <c r="H191" s="6"/>
      <c r="I191" s="6"/>
      <c r="J191" s="6"/>
      <c r="K191" s="6"/>
      <c r="L191" s="6"/>
      <c r="M191" s="6"/>
      <c r="N191" s="6"/>
      <c r="O191" s="6"/>
      <c r="P191" s="6"/>
      <c r="Q191" s="6"/>
      <c r="R191" s="6"/>
      <c r="S191" s="6"/>
      <c r="T191" s="6"/>
      <c r="U191" s="6"/>
      <c r="V191" s="6"/>
      <c r="W191" s="6"/>
      <c r="X191" s="6"/>
      <c r="Y191" s="6"/>
      <c r="Z191" s="6"/>
    </row>
    <row r="192" ht="12.75" hidden="1" customHeight="1">
      <c r="A192" s="34">
        <v>191.0</v>
      </c>
      <c r="B192" s="34">
        <v>10191.0</v>
      </c>
      <c r="C192" s="34" t="s">
        <v>34</v>
      </c>
      <c r="D192" s="35" t="s">
        <v>364</v>
      </c>
      <c r="E192" s="34" t="s">
        <v>365</v>
      </c>
      <c r="F192" s="34">
        <v>176.0</v>
      </c>
      <c r="G192" s="36">
        <v>45770.0</v>
      </c>
      <c r="H192" s="6"/>
      <c r="I192" s="6"/>
      <c r="J192" s="6"/>
      <c r="K192" s="6"/>
      <c r="L192" s="6"/>
      <c r="M192" s="6"/>
      <c r="N192" s="6"/>
      <c r="O192" s="6"/>
      <c r="P192" s="6"/>
      <c r="Q192" s="6"/>
      <c r="R192" s="6"/>
      <c r="S192" s="6"/>
      <c r="T192" s="6"/>
      <c r="U192" s="6"/>
      <c r="V192" s="6"/>
      <c r="W192" s="6"/>
      <c r="X192" s="6"/>
      <c r="Y192" s="6"/>
      <c r="Z192" s="6"/>
    </row>
    <row r="193" ht="12.75" hidden="1" customHeight="1">
      <c r="A193" s="37">
        <v>192.0</v>
      </c>
      <c r="B193" s="37">
        <v>10192.0</v>
      </c>
      <c r="C193" s="37" t="s">
        <v>34</v>
      </c>
      <c r="D193" s="38" t="s">
        <v>366</v>
      </c>
      <c r="E193" s="37" t="s">
        <v>367</v>
      </c>
      <c r="F193" s="37">
        <v>222.0</v>
      </c>
      <c r="G193" s="39" t="s">
        <v>331</v>
      </c>
      <c r="H193" s="6"/>
      <c r="I193" s="6"/>
      <c r="J193" s="6"/>
      <c r="K193" s="6"/>
      <c r="L193" s="6"/>
      <c r="M193" s="6"/>
      <c r="N193" s="6"/>
      <c r="O193" s="6"/>
      <c r="P193" s="6"/>
      <c r="Q193" s="6"/>
      <c r="R193" s="6"/>
      <c r="S193" s="6"/>
      <c r="T193" s="6"/>
      <c r="U193" s="6"/>
      <c r="V193" s="6"/>
      <c r="W193" s="6"/>
      <c r="X193" s="6"/>
      <c r="Y193" s="6"/>
      <c r="Z193" s="6"/>
    </row>
    <row r="194" ht="12.75" hidden="1" customHeight="1">
      <c r="A194" s="34">
        <v>193.0</v>
      </c>
      <c r="B194" s="34">
        <v>10193.0</v>
      </c>
      <c r="C194" s="34" t="s">
        <v>34</v>
      </c>
      <c r="D194" s="35" t="s">
        <v>368</v>
      </c>
      <c r="E194" s="34" t="s">
        <v>367</v>
      </c>
      <c r="F194" s="34">
        <v>222.0</v>
      </c>
      <c r="G194" s="36" t="s">
        <v>331</v>
      </c>
      <c r="H194" s="6"/>
      <c r="I194" s="6"/>
      <c r="J194" s="6"/>
      <c r="K194" s="6"/>
      <c r="L194" s="6"/>
      <c r="M194" s="6"/>
      <c r="N194" s="6"/>
      <c r="O194" s="6"/>
      <c r="P194" s="6"/>
      <c r="Q194" s="6"/>
      <c r="R194" s="6"/>
      <c r="S194" s="6"/>
      <c r="T194" s="6"/>
      <c r="U194" s="6"/>
      <c r="V194" s="6"/>
      <c r="W194" s="6"/>
      <c r="X194" s="6"/>
      <c r="Y194" s="6"/>
      <c r="Z194" s="6"/>
    </row>
    <row r="195" ht="12.75" hidden="1" customHeight="1">
      <c r="A195" s="37">
        <v>194.0</v>
      </c>
      <c r="B195" s="37">
        <v>10194.0</v>
      </c>
      <c r="C195" s="37" t="s">
        <v>7</v>
      </c>
      <c r="D195" s="38" t="s">
        <v>369</v>
      </c>
      <c r="E195" s="37" t="s">
        <v>370</v>
      </c>
      <c r="F195" s="37">
        <v>55.0</v>
      </c>
      <c r="G195" s="39">
        <v>0.0</v>
      </c>
      <c r="H195" s="6"/>
      <c r="I195" s="6"/>
      <c r="J195" s="6"/>
      <c r="K195" s="6"/>
      <c r="L195" s="6"/>
      <c r="M195" s="6"/>
      <c r="N195" s="6"/>
      <c r="O195" s="6"/>
      <c r="P195" s="6"/>
      <c r="Q195" s="6"/>
      <c r="R195" s="6"/>
      <c r="S195" s="6"/>
      <c r="T195" s="6"/>
      <c r="U195" s="6"/>
      <c r="V195" s="6"/>
      <c r="W195" s="6"/>
      <c r="X195" s="6"/>
      <c r="Y195" s="6"/>
      <c r="Z195" s="6"/>
    </row>
    <row r="196" ht="12.75" hidden="1" customHeight="1">
      <c r="A196" s="34">
        <v>195.0</v>
      </c>
      <c r="B196" s="34">
        <v>10195.0</v>
      </c>
      <c r="C196" s="34" t="s">
        <v>7</v>
      </c>
      <c r="D196" s="35" t="s">
        <v>371</v>
      </c>
      <c r="E196" s="34" t="s">
        <v>372</v>
      </c>
      <c r="F196" s="34">
        <v>70.0</v>
      </c>
      <c r="G196" s="36">
        <v>0.0</v>
      </c>
      <c r="H196" s="6"/>
      <c r="I196" s="6"/>
      <c r="J196" s="6"/>
      <c r="K196" s="6"/>
      <c r="L196" s="6"/>
      <c r="M196" s="6"/>
      <c r="N196" s="6"/>
      <c r="O196" s="6"/>
      <c r="P196" s="6"/>
      <c r="Q196" s="6"/>
      <c r="R196" s="6"/>
      <c r="S196" s="6"/>
      <c r="T196" s="6"/>
      <c r="U196" s="6"/>
      <c r="V196" s="6"/>
      <c r="W196" s="6"/>
      <c r="X196" s="6"/>
      <c r="Y196" s="6"/>
      <c r="Z196" s="6"/>
    </row>
    <row r="197" ht="12.75" hidden="1" customHeight="1">
      <c r="A197" s="37">
        <v>196.0</v>
      </c>
      <c r="B197" s="37">
        <v>10196.0</v>
      </c>
      <c r="C197" s="37" t="s">
        <v>20</v>
      </c>
      <c r="D197" s="38" t="s">
        <v>373</v>
      </c>
      <c r="E197" s="37" t="s">
        <v>374</v>
      </c>
      <c r="F197" s="37">
        <v>143.0</v>
      </c>
      <c r="G197" s="39">
        <v>0.0</v>
      </c>
      <c r="H197" s="6"/>
      <c r="I197" s="6"/>
      <c r="J197" s="6"/>
      <c r="K197" s="6"/>
      <c r="L197" s="6"/>
      <c r="M197" s="6"/>
      <c r="N197" s="6"/>
      <c r="O197" s="6"/>
      <c r="P197" s="6"/>
      <c r="Q197" s="6"/>
      <c r="R197" s="6"/>
      <c r="S197" s="6"/>
      <c r="T197" s="6"/>
      <c r="U197" s="6"/>
      <c r="V197" s="6"/>
      <c r="W197" s="6"/>
      <c r="X197" s="6"/>
      <c r="Y197" s="6"/>
      <c r="Z197" s="6"/>
    </row>
    <row r="198" ht="12.75" hidden="1" customHeight="1">
      <c r="A198" s="34">
        <v>197.0</v>
      </c>
      <c r="B198" s="34">
        <v>10197.0</v>
      </c>
      <c r="C198" s="34" t="s">
        <v>34</v>
      </c>
      <c r="D198" s="35" t="s">
        <v>375</v>
      </c>
      <c r="E198" s="34" t="s">
        <v>376</v>
      </c>
      <c r="F198" s="34">
        <v>196.0</v>
      </c>
      <c r="G198" s="36" t="s">
        <v>331</v>
      </c>
      <c r="H198" s="6"/>
      <c r="I198" s="6"/>
      <c r="J198" s="6"/>
      <c r="K198" s="6"/>
      <c r="L198" s="6"/>
      <c r="M198" s="6"/>
      <c r="N198" s="6"/>
      <c r="O198" s="6"/>
      <c r="P198" s="6"/>
      <c r="Q198" s="6"/>
      <c r="R198" s="6"/>
      <c r="S198" s="6"/>
      <c r="T198" s="6"/>
      <c r="U198" s="6"/>
      <c r="V198" s="6"/>
      <c r="W198" s="6"/>
      <c r="X198" s="6"/>
      <c r="Y198" s="6"/>
      <c r="Z198" s="6"/>
    </row>
    <row r="199" ht="12.75" hidden="1" customHeight="1">
      <c r="A199" s="37">
        <v>198.0</v>
      </c>
      <c r="B199" s="37">
        <v>10198.0</v>
      </c>
      <c r="C199" s="37" t="s">
        <v>7</v>
      </c>
      <c r="D199" s="38" t="s">
        <v>377</v>
      </c>
      <c r="E199" s="37" t="s">
        <v>378</v>
      </c>
      <c r="F199" s="37">
        <v>49.0</v>
      </c>
      <c r="G199" s="39">
        <v>0.0</v>
      </c>
      <c r="H199" s="6"/>
      <c r="I199" s="6"/>
      <c r="J199" s="6"/>
      <c r="K199" s="6"/>
      <c r="L199" s="6"/>
      <c r="M199" s="6"/>
      <c r="N199" s="6"/>
      <c r="O199" s="6"/>
      <c r="P199" s="6"/>
      <c r="Q199" s="6"/>
      <c r="R199" s="6"/>
      <c r="S199" s="6"/>
      <c r="T199" s="6"/>
      <c r="U199" s="6"/>
      <c r="V199" s="6"/>
      <c r="W199" s="6"/>
      <c r="X199" s="6"/>
      <c r="Y199" s="6"/>
      <c r="Z199" s="6"/>
    </row>
    <row r="200" ht="12.75" hidden="1" customHeight="1">
      <c r="A200" s="34">
        <v>199.0</v>
      </c>
      <c r="B200" s="34">
        <v>10199.0</v>
      </c>
      <c r="C200" s="34" t="s">
        <v>20</v>
      </c>
      <c r="D200" s="35" t="s">
        <v>379</v>
      </c>
      <c r="E200" s="34" t="s">
        <v>380</v>
      </c>
      <c r="F200" s="34">
        <v>70.0</v>
      </c>
      <c r="G200" s="36">
        <v>0.0</v>
      </c>
      <c r="H200" s="6"/>
      <c r="I200" s="6"/>
      <c r="J200" s="6"/>
      <c r="K200" s="6"/>
      <c r="L200" s="6"/>
      <c r="M200" s="6"/>
      <c r="N200" s="6"/>
      <c r="O200" s="6"/>
      <c r="P200" s="6"/>
      <c r="Q200" s="6"/>
      <c r="R200" s="6"/>
      <c r="S200" s="6"/>
      <c r="T200" s="6"/>
      <c r="U200" s="6"/>
      <c r="V200" s="6"/>
      <c r="W200" s="6"/>
      <c r="X200" s="6"/>
      <c r="Y200" s="6"/>
      <c r="Z200" s="6"/>
    </row>
    <row r="201" ht="12.75" hidden="1" customHeight="1">
      <c r="A201" s="37">
        <v>200.0</v>
      </c>
      <c r="B201" s="37">
        <v>10200.0</v>
      </c>
      <c r="C201" s="37" t="s">
        <v>34</v>
      </c>
      <c r="D201" s="38" t="s">
        <v>381</v>
      </c>
      <c r="E201" s="37" t="s">
        <v>382</v>
      </c>
      <c r="F201" s="37">
        <v>130.0</v>
      </c>
      <c r="G201" s="39">
        <v>0.0</v>
      </c>
      <c r="H201" s="6"/>
      <c r="I201" s="6"/>
      <c r="J201" s="6"/>
      <c r="K201" s="6"/>
      <c r="L201" s="6"/>
      <c r="M201" s="6"/>
      <c r="N201" s="6"/>
      <c r="O201" s="6"/>
      <c r="P201" s="6"/>
      <c r="Q201" s="6"/>
      <c r="R201" s="6"/>
      <c r="S201" s="6"/>
      <c r="T201" s="6"/>
      <c r="U201" s="6"/>
      <c r="V201" s="6"/>
      <c r="W201" s="6"/>
      <c r="X201" s="6"/>
      <c r="Y201" s="6"/>
      <c r="Z201" s="6"/>
    </row>
    <row r="202" ht="12.75" customHeight="1">
      <c r="A202" s="70">
        <v>201.0</v>
      </c>
      <c r="B202" s="70">
        <v>10201.0</v>
      </c>
      <c r="C202" s="70" t="s">
        <v>34</v>
      </c>
      <c r="D202" s="71" t="s">
        <v>383</v>
      </c>
      <c r="E202" s="70">
        <v>0.0</v>
      </c>
      <c r="F202" s="70">
        <v>1.0</v>
      </c>
      <c r="G202" s="72">
        <v>0.0</v>
      </c>
      <c r="H202" s="6"/>
      <c r="I202" s="6"/>
      <c r="J202" s="6"/>
      <c r="K202" s="6"/>
      <c r="L202" s="6"/>
      <c r="M202" s="6"/>
      <c r="N202" s="6"/>
      <c r="O202" s="6"/>
      <c r="P202" s="6"/>
      <c r="Q202" s="6"/>
      <c r="R202" s="6"/>
      <c r="S202" s="6"/>
      <c r="T202" s="6"/>
      <c r="U202" s="6"/>
      <c r="V202" s="6"/>
      <c r="W202" s="6"/>
      <c r="X202" s="6"/>
      <c r="Y202" s="6"/>
      <c r="Z202" s="6"/>
    </row>
    <row r="203" ht="12.75" hidden="1" customHeight="1">
      <c r="A203" s="37">
        <v>202.0</v>
      </c>
      <c r="B203" s="37">
        <v>10202.0</v>
      </c>
      <c r="C203" s="37" t="s">
        <v>20</v>
      </c>
      <c r="D203" s="38" t="s">
        <v>384</v>
      </c>
      <c r="E203" s="37" t="s">
        <v>385</v>
      </c>
      <c r="F203" s="37">
        <v>120.0</v>
      </c>
      <c r="G203" s="39">
        <v>0.0</v>
      </c>
      <c r="H203" s="6"/>
      <c r="I203" s="6"/>
      <c r="J203" s="6"/>
      <c r="K203" s="6"/>
      <c r="L203" s="6"/>
      <c r="M203" s="6"/>
      <c r="N203" s="6"/>
      <c r="O203" s="6"/>
      <c r="P203" s="6"/>
      <c r="Q203" s="6"/>
      <c r="R203" s="6"/>
      <c r="S203" s="6"/>
      <c r="T203" s="6"/>
      <c r="U203" s="6"/>
      <c r="V203" s="6"/>
      <c r="W203" s="6"/>
      <c r="X203" s="6"/>
      <c r="Y203" s="6"/>
      <c r="Z203" s="6"/>
    </row>
    <row r="204" ht="12.75" hidden="1" customHeight="1">
      <c r="A204" s="58">
        <v>203.0</v>
      </c>
      <c r="B204" s="58">
        <v>10203.0</v>
      </c>
      <c r="C204" s="58" t="s">
        <v>34</v>
      </c>
      <c r="D204" s="59" t="s">
        <v>386</v>
      </c>
      <c r="E204" s="58" t="s">
        <v>387</v>
      </c>
      <c r="F204" s="58">
        <v>199.0</v>
      </c>
      <c r="G204" s="60" t="s">
        <v>331</v>
      </c>
      <c r="H204" s="6"/>
      <c r="I204" s="6"/>
      <c r="J204" s="6"/>
      <c r="K204" s="6"/>
      <c r="L204" s="6"/>
      <c r="M204" s="6"/>
      <c r="N204" s="6"/>
      <c r="O204" s="6"/>
      <c r="P204" s="6"/>
      <c r="Q204" s="6"/>
      <c r="R204" s="6"/>
      <c r="S204" s="6"/>
      <c r="T204" s="6"/>
      <c r="U204" s="6"/>
      <c r="V204" s="6"/>
      <c r="W204" s="6"/>
      <c r="X204" s="6"/>
      <c r="Y204" s="6"/>
      <c r="Z204" s="6"/>
    </row>
    <row r="205" ht="12.75" hidden="1" customHeight="1">
      <c r="A205" s="37">
        <v>204.0</v>
      </c>
      <c r="B205" s="37">
        <v>10204.0</v>
      </c>
      <c r="C205" s="37" t="s">
        <v>20</v>
      </c>
      <c r="D205" s="38" t="s">
        <v>388</v>
      </c>
      <c r="E205" s="37" t="s">
        <v>389</v>
      </c>
      <c r="F205" s="37">
        <v>180.0</v>
      </c>
      <c r="G205" s="39">
        <v>45772.0</v>
      </c>
      <c r="H205" s="6"/>
      <c r="I205" s="6"/>
      <c r="J205" s="6"/>
      <c r="K205" s="6"/>
      <c r="L205" s="6"/>
      <c r="M205" s="6"/>
      <c r="N205" s="6"/>
      <c r="O205" s="6"/>
      <c r="P205" s="6"/>
      <c r="Q205" s="6"/>
      <c r="R205" s="6"/>
      <c r="S205" s="6"/>
      <c r="T205" s="6"/>
      <c r="U205" s="6"/>
      <c r="V205" s="6"/>
      <c r="W205" s="6"/>
      <c r="X205" s="6"/>
      <c r="Y205" s="6"/>
      <c r="Z205" s="6"/>
    </row>
    <row r="206" ht="12.75" customHeight="1">
      <c r="A206" s="70">
        <v>205.0</v>
      </c>
      <c r="B206" s="70">
        <v>10205.0</v>
      </c>
      <c r="C206" s="70" t="s">
        <v>34</v>
      </c>
      <c r="D206" s="71" t="s">
        <v>390</v>
      </c>
      <c r="E206" s="70">
        <v>0.0</v>
      </c>
      <c r="F206" s="70">
        <v>1.0</v>
      </c>
      <c r="G206" s="72">
        <v>0.0</v>
      </c>
      <c r="H206" s="6"/>
      <c r="I206" s="6"/>
      <c r="J206" s="6"/>
      <c r="K206" s="6"/>
      <c r="L206" s="6"/>
      <c r="M206" s="6"/>
      <c r="N206" s="6"/>
      <c r="O206" s="6"/>
      <c r="P206" s="6"/>
      <c r="Q206" s="6"/>
      <c r="R206" s="6"/>
      <c r="S206" s="6"/>
      <c r="T206" s="6"/>
      <c r="U206" s="6"/>
      <c r="V206" s="6"/>
      <c r="W206" s="6"/>
      <c r="X206" s="6"/>
      <c r="Y206" s="6"/>
      <c r="Z206" s="6"/>
    </row>
    <row r="207" ht="12.75" hidden="1" customHeight="1">
      <c r="A207" s="37">
        <v>206.0</v>
      </c>
      <c r="B207" s="37">
        <v>10206.0</v>
      </c>
      <c r="C207" s="37" t="s">
        <v>34</v>
      </c>
      <c r="D207" s="38" t="s">
        <v>46</v>
      </c>
      <c r="E207" s="37" t="s">
        <v>391</v>
      </c>
      <c r="F207" s="37">
        <v>84.0</v>
      </c>
      <c r="G207" s="39">
        <v>0.0</v>
      </c>
      <c r="H207" s="6"/>
      <c r="I207" s="6"/>
      <c r="J207" s="6"/>
      <c r="K207" s="6"/>
      <c r="L207" s="6"/>
      <c r="M207" s="6"/>
      <c r="N207" s="6"/>
      <c r="O207" s="6"/>
      <c r="P207" s="6"/>
      <c r="Q207" s="6"/>
      <c r="R207" s="6"/>
      <c r="S207" s="6"/>
      <c r="T207" s="6"/>
      <c r="U207" s="6"/>
      <c r="V207" s="6"/>
      <c r="W207" s="6"/>
      <c r="X207" s="6"/>
      <c r="Y207" s="6"/>
      <c r="Z207" s="6"/>
    </row>
    <row r="208" ht="12.75" hidden="1" customHeight="1">
      <c r="A208" s="34">
        <v>207.0</v>
      </c>
      <c r="B208" s="34">
        <v>10207.0</v>
      </c>
      <c r="C208" s="34" t="s">
        <v>34</v>
      </c>
      <c r="D208" s="35" t="s">
        <v>392</v>
      </c>
      <c r="E208" s="34" t="s">
        <v>393</v>
      </c>
      <c r="F208" s="34">
        <v>94.0</v>
      </c>
      <c r="G208" s="36">
        <v>0.0</v>
      </c>
      <c r="H208" s="6"/>
      <c r="I208" s="6"/>
      <c r="J208" s="6"/>
      <c r="K208" s="6"/>
      <c r="L208" s="6"/>
      <c r="M208" s="6"/>
      <c r="N208" s="6"/>
      <c r="O208" s="6"/>
      <c r="P208" s="6"/>
      <c r="Q208" s="6"/>
      <c r="R208" s="6"/>
      <c r="S208" s="6"/>
      <c r="T208" s="6"/>
      <c r="U208" s="6"/>
      <c r="V208" s="6"/>
      <c r="W208" s="6"/>
      <c r="X208" s="6"/>
      <c r="Y208" s="6"/>
      <c r="Z208" s="6"/>
    </row>
    <row r="209" ht="12.75" hidden="1" customHeight="1">
      <c r="A209" s="37">
        <v>208.0</v>
      </c>
      <c r="B209" s="37">
        <v>10208.0</v>
      </c>
      <c r="C209" s="37" t="s">
        <v>34</v>
      </c>
      <c r="D209" s="38" t="s">
        <v>394</v>
      </c>
      <c r="E209" s="37" t="s">
        <v>395</v>
      </c>
      <c r="F209" s="37">
        <v>159.0</v>
      </c>
      <c r="G209" s="39">
        <v>45770.0</v>
      </c>
      <c r="H209" s="6"/>
      <c r="I209" s="6"/>
      <c r="J209" s="6"/>
      <c r="K209" s="6"/>
      <c r="L209" s="6"/>
      <c r="M209" s="6"/>
      <c r="N209" s="6"/>
      <c r="O209" s="6"/>
      <c r="P209" s="6"/>
      <c r="Q209" s="6"/>
      <c r="R209" s="6"/>
      <c r="S209" s="6"/>
      <c r="T209" s="6"/>
      <c r="U209" s="6"/>
      <c r="V209" s="6"/>
      <c r="W209" s="6"/>
      <c r="X209" s="6"/>
      <c r="Y209" s="6"/>
      <c r="Z209" s="6"/>
    </row>
    <row r="210" ht="12.75" hidden="1" customHeight="1">
      <c r="A210" s="34">
        <v>209.0</v>
      </c>
      <c r="B210" s="34">
        <v>10209.0</v>
      </c>
      <c r="C210" s="34" t="s">
        <v>34</v>
      </c>
      <c r="D210" s="35" t="s">
        <v>396</v>
      </c>
      <c r="E210" s="34" t="s">
        <v>397</v>
      </c>
      <c r="F210" s="34">
        <v>201.0</v>
      </c>
      <c r="G210" s="36" t="s">
        <v>331</v>
      </c>
      <c r="H210" s="6"/>
      <c r="I210" s="6"/>
      <c r="J210" s="6"/>
      <c r="K210" s="6"/>
      <c r="L210" s="6"/>
      <c r="M210" s="6"/>
      <c r="N210" s="6"/>
      <c r="O210" s="6"/>
      <c r="P210" s="6"/>
      <c r="Q210" s="6"/>
      <c r="R210" s="6"/>
      <c r="S210" s="6"/>
      <c r="T210" s="6"/>
      <c r="U210" s="6"/>
      <c r="V210" s="6"/>
      <c r="W210" s="6"/>
      <c r="X210" s="6"/>
      <c r="Y210" s="6"/>
      <c r="Z210" s="6"/>
    </row>
    <row r="211" ht="12.75" hidden="1" customHeight="1">
      <c r="A211" s="37">
        <v>210.0</v>
      </c>
      <c r="B211" s="37">
        <v>10210.0</v>
      </c>
      <c r="C211" s="37" t="s">
        <v>34</v>
      </c>
      <c r="D211" s="38" t="s">
        <v>398</v>
      </c>
      <c r="E211" s="37" t="s">
        <v>382</v>
      </c>
      <c r="F211" s="37">
        <v>130.0</v>
      </c>
      <c r="G211" s="39">
        <v>0.0</v>
      </c>
      <c r="H211" s="6"/>
      <c r="I211" s="6"/>
      <c r="J211" s="6"/>
      <c r="K211" s="6"/>
      <c r="L211" s="6"/>
      <c r="M211" s="6"/>
      <c r="N211" s="6"/>
      <c r="O211" s="6"/>
      <c r="P211" s="6"/>
      <c r="Q211" s="6"/>
      <c r="R211" s="6"/>
      <c r="S211" s="6"/>
      <c r="T211" s="6"/>
      <c r="U211" s="6"/>
      <c r="V211" s="6"/>
      <c r="W211" s="6"/>
      <c r="X211" s="6"/>
      <c r="Y211" s="6"/>
      <c r="Z211" s="6"/>
    </row>
    <row r="212" ht="12.75" customHeight="1">
      <c r="A212" s="70">
        <v>211.0</v>
      </c>
      <c r="B212" s="70">
        <v>10211.0</v>
      </c>
      <c r="C212" s="70" t="s">
        <v>34</v>
      </c>
      <c r="D212" s="71" t="s">
        <v>399</v>
      </c>
      <c r="E212" s="70">
        <v>0.0</v>
      </c>
      <c r="F212" s="70">
        <v>1.0</v>
      </c>
      <c r="G212" s="72">
        <v>0.0</v>
      </c>
      <c r="H212" s="6"/>
      <c r="I212" s="6"/>
      <c r="J212" s="6"/>
      <c r="K212" s="6"/>
      <c r="L212" s="6"/>
      <c r="M212" s="6"/>
      <c r="N212" s="6"/>
      <c r="O212" s="6"/>
      <c r="P212" s="6"/>
      <c r="Q212" s="6"/>
      <c r="R212" s="6"/>
      <c r="S212" s="6"/>
      <c r="T212" s="6"/>
      <c r="U212" s="6"/>
      <c r="V212" s="6"/>
      <c r="W212" s="6"/>
      <c r="X212" s="6"/>
      <c r="Y212" s="6"/>
      <c r="Z212" s="6"/>
    </row>
    <row r="213" ht="12.75" hidden="1" customHeight="1">
      <c r="A213" s="37">
        <v>212.0</v>
      </c>
      <c r="B213" s="37">
        <v>10212.0</v>
      </c>
      <c r="C213" s="37" t="s">
        <v>7</v>
      </c>
      <c r="D213" s="38" t="s">
        <v>400</v>
      </c>
      <c r="E213" s="37" t="s">
        <v>401</v>
      </c>
      <c r="F213" s="37">
        <v>40.0</v>
      </c>
      <c r="G213" s="39">
        <v>0.0</v>
      </c>
      <c r="H213" s="6"/>
      <c r="I213" s="6"/>
      <c r="J213" s="6"/>
      <c r="K213" s="6"/>
      <c r="L213" s="6"/>
      <c r="M213" s="6"/>
      <c r="N213" s="6"/>
      <c r="O213" s="6"/>
      <c r="P213" s="6"/>
      <c r="Q213" s="6"/>
      <c r="R213" s="6"/>
      <c r="S213" s="6"/>
      <c r="T213" s="6"/>
      <c r="U213" s="6"/>
      <c r="V213" s="6"/>
      <c r="W213" s="6"/>
      <c r="X213" s="6"/>
      <c r="Y213" s="6"/>
      <c r="Z213" s="6"/>
    </row>
    <row r="214" ht="12.75" hidden="1" customHeight="1">
      <c r="A214" s="34">
        <v>213.0</v>
      </c>
      <c r="B214" s="34">
        <v>10213.0</v>
      </c>
      <c r="C214" s="34" t="s">
        <v>7</v>
      </c>
      <c r="D214" s="35" t="s">
        <v>402</v>
      </c>
      <c r="E214" s="34" t="s">
        <v>403</v>
      </c>
      <c r="F214" s="34">
        <v>82.0</v>
      </c>
      <c r="G214" s="36">
        <v>0.0</v>
      </c>
      <c r="H214" s="6"/>
      <c r="I214" s="6"/>
      <c r="J214" s="6"/>
      <c r="K214" s="6"/>
      <c r="L214" s="6"/>
      <c r="M214" s="6"/>
      <c r="N214" s="6"/>
      <c r="O214" s="6"/>
      <c r="P214" s="6"/>
      <c r="Q214" s="6"/>
      <c r="R214" s="6"/>
      <c r="S214" s="6"/>
      <c r="T214" s="6"/>
      <c r="U214" s="6"/>
      <c r="V214" s="6"/>
      <c r="W214" s="6"/>
      <c r="X214" s="6"/>
      <c r="Y214" s="6"/>
      <c r="Z214" s="6"/>
    </row>
    <row r="215" ht="12.75" hidden="1" customHeight="1">
      <c r="A215" s="37">
        <v>214.0</v>
      </c>
      <c r="B215" s="37">
        <v>10214.0</v>
      </c>
      <c r="C215" s="37" t="s">
        <v>34</v>
      </c>
      <c r="D215" s="38" t="s">
        <v>404</v>
      </c>
      <c r="E215" s="37" t="s">
        <v>405</v>
      </c>
      <c r="F215" s="37">
        <v>159.0</v>
      </c>
      <c r="G215" s="39">
        <v>0.0</v>
      </c>
      <c r="H215" s="6"/>
      <c r="I215" s="6"/>
      <c r="J215" s="6"/>
      <c r="K215" s="6"/>
      <c r="L215" s="6"/>
      <c r="M215" s="6"/>
      <c r="N215" s="6"/>
      <c r="O215" s="6"/>
      <c r="P215" s="6"/>
      <c r="Q215" s="6"/>
      <c r="R215" s="6"/>
      <c r="S215" s="6"/>
      <c r="T215" s="6"/>
      <c r="U215" s="6"/>
      <c r="V215" s="6"/>
      <c r="W215" s="6"/>
      <c r="X215" s="6"/>
      <c r="Y215" s="6"/>
      <c r="Z215" s="6"/>
    </row>
    <row r="216" ht="12.75" hidden="1" customHeight="1">
      <c r="A216" s="34">
        <v>215.0</v>
      </c>
      <c r="B216" s="34">
        <v>10215.0</v>
      </c>
      <c r="C216" s="34" t="s">
        <v>7</v>
      </c>
      <c r="D216" s="35" t="s">
        <v>406</v>
      </c>
      <c r="E216" s="34" t="s">
        <v>407</v>
      </c>
      <c r="F216" s="34">
        <v>74.0</v>
      </c>
      <c r="G216" s="36">
        <v>0.0</v>
      </c>
      <c r="H216" s="6"/>
      <c r="I216" s="6"/>
      <c r="J216" s="6"/>
      <c r="K216" s="6"/>
      <c r="L216" s="6"/>
      <c r="M216" s="6"/>
      <c r="N216" s="6"/>
      <c r="O216" s="6"/>
      <c r="P216" s="6"/>
      <c r="Q216" s="6"/>
      <c r="R216" s="6"/>
      <c r="S216" s="6"/>
      <c r="T216" s="6"/>
      <c r="U216" s="6"/>
      <c r="V216" s="6"/>
      <c r="W216" s="6"/>
      <c r="X216" s="6"/>
      <c r="Y216" s="6"/>
      <c r="Z216" s="6"/>
    </row>
    <row r="217" ht="12.75" hidden="1" customHeight="1">
      <c r="A217" s="37">
        <v>216.0</v>
      </c>
      <c r="B217" s="37">
        <v>10216.0</v>
      </c>
      <c r="C217" s="37" t="s">
        <v>7</v>
      </c>
      <c r="D217" s="38" t="s">
        <v>8</v>
      </c>
      <c r="E217" s="37" t="s">
        <v>408</v>
      </c>
      <c r="F217" s="37">
        <v>43.0</v>
      </c>
      <c r="G217" s="39">
        <v>0.0</v>
      </c>
      <c r="H217" s="6"/>
      <c r="I217" s="6"/>
      <c r="J217" s="6"/>
      <c r="K217" s="6"/>
      <c r="L217" s="6"/>
      <c r="M217" s="6"/>
      <c r="N217" s="6"/>
      <c r="O217" s="6"/>
      <c r="P217" s="6"/>
      <c r="Q217" s="6"/>
      <c r="R217" s="6"/>
      <c r="S217" s="6"/>
      <c r="T217" s="6"/>
      <c r="U217" s="6"/>
      <c r="V217" s="6"/>
      <c r="W217" s="6"/>
      <c r="X217" s="6"/>
      <c r="Y217" s="6"/>
      <c r="Z217" s="6"/>
    </row>
    <row r="218" ht="12.75" hidden="1" customHeight="1">
      <c r="A218" s="34">
        <v>217.0</v>
      </c>
      <c r="B218" s="34">
        <v>10217.0</v>
      </c>
      <c r="C218" s="34" t="s">
        <v>34</v>
      </c>
      <c r="D218" s="35" t="s">
        <v>409</v>
      </c>
      <c r="E218" s="34" t="s">
        <v>410</v>
      </c>
      <c r="F218" s="34">
        <v>161.0</v>
      </c>
      <c r="G218" s="36">
        <v>0.0</v>
      </c>
      <c r="H218" s="6"/>
      <c r="I218" s="6"/>
      <c r="J218" s="6"/>
      <c r="K218" s="6"/>
      <c r="L218" s="6"/>
      <c r="M218" s="6"/>
      <c r="N218" s="6"/>
      <c r="O218" s="6"/>
      <c r="P218" s="6"/>
      <c r="Q218" s="6"/>
      <c r="R218" s="6"/>
      <c r="S218" s="6"/>
      <c r="T218" s="6"/>
      <c r="U218" s="6"/>
      <c r="V218" s="6"/>
      <c r="W218" s="6"/>
      <c r="X218" s="6"/>
      <c r="Y218" s="6"/>
      <c r="Z218" s="6"/>
    </row>
    <row r="219" ht="12.75" hidden="1" customHeight="1">
      <c r="A219" s="37">
        <v>218.0</v>
      </c>
      <c r="B219" s="37">
        <v>10218.0</v>
      </c>
      <c r="C219" s="37" t="s">
        <v>20</v>
      </c>
      <c r="D219" s="38" t="s">
        <v>108</v>
      </c>
      <c r="E219" s="37" t="s">
        <v>411</v>
      </c>
      <c r="F219" s="37">
        <v>75.0</v>
      </c>
      <c r="G219" s="39">
        <v>0.0</v>
      </c>
      <c r="H219" s="6"/>
      <c r="I219" s="6"/>
      <c r="J219" s="6"/>
      <c r="K219" s="6"/>
      <c r="L219" s="6"/>
      <c r="M219" s="6"/>
      <c r="N219" s="6"/>
      <c r="O219" s="6"/>
      <c r="P219" s="6"/>
      <c r="Q219" s="6"/>
      <c r="R219" s="6"/>
      <c r="S219" s="6"/>
      <c r="T219" s="6"/>
      <c r="U219" s="6"/>
      <c r="V219" s="6"/>
      <c r="W219" s="6"/>
      <c r="X219" s="6"/>
      <c r="Y219" s="6"/>
      <c r="Z219" s="6"/>
    </row>
    <row r="220" ht="12.75" hidden="1" customHeight="1">
      <c r="A220" s="58">
        <v>219.0</v>
      </c>
      <c r="B220" s="58">
        <v>10219.0</v>
      </c>
      <c r="C220" s="58" t="s">
        <v>7</v>
      </c>
      <c r="D220" s="59" t="s">
        <v>412</v>
      </c>
      <c r="E220" s="58" t="s">
        <v>413</v>
      </c>
      <c r="F220" s="58">
        <v>71.0</v>
      </c>
      <c r="G220" s="60">
        <v>0.0</v>
      </c>
      <c r="H220" s="6"/>
      <c r="I220" s="6"/>
      <c r="J220" s="6"/>
      <c r="K220" s="6"/>
      <c r="L220" s="6"/>
      <c r="M220" s="6"/>
      <c r="N220" s="6"/>
      <c r="O220" s="6"/>
      <c r="P220" s="6"/>
      <c r="Q220" s="6"/>
      <c r="R220" s="6"/>
      <c r="S220" s="6"/>
      <c r="T220" s="6"/>
      <c r="U220" s="6"/>
      <c r="V220" s="6"/>
      <c r="W220" s="6"/>
      <c r="X220" s="6"/>
      <c r="Y220" s="6"/>
      <c r="Z220" s="6"/>
    </row>
    <row r="221" ht="12.75" hidden="1" customHeight="1">
      <c r="A221" s="37">
        <v>220.0</v>
      </c>
      <c r="B221" s="37">
        <v>10220.0</v>
      </c>
      <c r="C221" s="37" t="s">
        <v>7</v>
      </c>
      <c r="D221" s="38" t="s">
        <v>414</v>
      </c>
      <c r="E221" s="37" t="s">
        <v>415</v>
      </c>
      <c r="F221" s="37">
        <v>97.0</v>
      </c>
      <c r="G221" s="39">
        <v>0.0</v>
      </c>
      <c r="H221" s="6"/>
      <c r="I221" s="6"/>
      <c r="J221" s="6"/>
      <c r="K221" s="6"/>
      <c r="L221" s="6"/>
      <c r="M221" s="6"/>
      <c r="N221" s="6"/>
      <c r="O221" s="6"/>
      <c r="P221" s="6"/>
      <c r="Q221" s="6"/>
      <c r="R221" s="6"/>
      <c r="S221" s="6"/>
      <c r="T221" s="6"/>
      <c r="U221" s="6"/>
      <c r="V221" s="6"/>
      <c r="W221" s="6"/>
      <c r="X221" s="6"/>
      <c r="Y221" s="6"/>
      <c r="Z221" s="6"/>
    </row>
    <row r="222" ht="12.75" hidden="1" customHeight="1">
      <c r="A222" s="34">
        <v>221.0</v>
      </c>
      <c r="B222" s="34">
        <v>10221.0</v>
      </c>
      <c r="C222" s="34" t="s">
        <v>34</v>
      </c>
      <c r="D222" s="35" t="s">
        <v>416</v>
      </c>
      <c r="E222" s="34" t="s">
        <v>417</v>
      </c>
      <c r="F222" s="34">
        <v>181.0</v>
      </c>
      <c r="G222" s="36">
        <v>45770.0</v>
      </c>
      <c r="H222" s="6"/>
      <c r="I222" s="6"/>
      <c r="J222" s="6"/>
      <c r="K222" s="6"/>
      <c r="L222" s="6"/>
      <c r="M222" s="6"/>
      <c r="N222" s="6"/>
      <c r="O222" s="6"/>
      <c r="P222" s="6"/>
      <c r="Q222" s="6"/>
      <c r="R222" s="6"/>
      <c r="S222" s="6"/>
      <c r="T222" s="6"/>
      <c r="U222" s="6"/>
      <c r="V222" s="6"/>
      <c r="W222" s="6"/>
      <c r="X222" s="6"/>
      <c r="Y222" s="6"/>
      <c r="Z222" s="6"/>
    </row>
    <row r="223" ht="12.75" hidden="1" customHeight="1">
      <c r="A223" s="61">
        <v>222.0</v>
      </c>
      <c r="B223" s="61">
        <v>10222.0</v>
      </c>
      <c r="C223" s="61" t="s">
        <v>34</v>
      </c>
      <c r="D223" s="62" t="s">
        <v>418</v>
      </c>
      <c r="E223" s="61" t="s">
        <v>419</v>
      </c>
      <c r="F223" s="61">
        <v>135.0</v>
      </c>
      <c r="G223" s="63">
        <v>0.0</v>
      </c>
      <c r="H223" s="6"/>
      <c r="I223" s="6"/>
      <c r="J223" s="6"/>
      <c r="K223" s="6"/>
      <c r="L223" s="6"/>
      <c r="M223" s="6"/>
      <c r="N223" s="6"/>
      <c r="O223" s="6"/>
      <c r="P223" s="6"/>
      <c r="Q223" s="6"/>
      <c r="R223" s="6"/>
      <c r="S223" s="6"/>
      <c r="T223" s="6"/>
      <c r="U223" s="6"/>
      <c r="V223" s="6"/>
      <c r="W223" s="6"/>
      <c r="X223" s="6"/>
      <c r="Y223" s="6"/>
      <c r="Z223" s="6"/>
    </row>
    <row r="224" ht="12.75" hidden="1" customHeight="1">
      <c r="A224" s="58">
        <v>223.0</v>
      </c>
      <c r="B224" s="58">
        <v>10223.0</v>
      </c>
      <c r="C224" s="58" t="s">
        <v>20</v>
      </c>
      <c r="D224" s="59" t="s">
        <v>420</v>
      </c>
      <c r="E224" s="58" t="s">
        <v>421</v>
      </c>
      <c r="F224" s="58">
        <v>137.0</v>
      </c>
      <c r="G224" s="60">
        <v>0.0</v>
      </c>
      <c r="H224" s="6"/>
      <c r="I224" s="6"/>
      <c r="J224" s="6"/>
      <c r="K224" s="6"/>
      <c r="L224" s="6"/>
      <c r="M224" s="6"/>
      <c r="N224" s="6"/>
      <c r="O224" s="6"/>
      <c r="P224" s="6"/>
      <c r="Q224" s="6"/>
      <c r="R224" s="6"/>
      <c r="S224" s="6"/>
      <c r="T224" s="6"/>
      <c r="U224" s="6"/>
      <c r="V224" s="6"/>
      <c r="W224" s="6"/>
      <c r="X224" s="6"/>
      <c r="Y224" s="6"/>
      <c r="Z224" s="6"/>
    </row>
    <row r="225" ht="12.75" hidden="1" customHeight="1">
      <c r="A225" s="37">
        <v>224.0</v>
      </c>
      <c r="B225" s="37">
        <v>10224.0</v>
      </c>
      <c r="C225" s="37" t="s">
        <v>20</v>
      </c>
      <c r="D225" s="38" t="s">
        <v>422</v>
      </c>
      <c r="E225" s="37" t="s">
        <v>423</v>
      </c>
      <c r="F225" s="37">
        <v>87.0</v>
      </c>
      <c r="G225" s="39">
        <v>0.0</v>
      </c>
      <c r="H225" s="6"/>
      <c r="I225" s="6"/>
      <c r="J225" s="6"/>
      <c r="K225" s="6"/>
      <c r="L225" s="6"/>
      <c r="M225" s="6"/>
      <c r="N225" s="6"/>
      <c r="O225" s="6"/>
      <c r="P225" s="6"/>
      <c r="Q225" s="6"/>
      <c r="R225" s="6"/>
      <c r="S225" s="6"/>
      <c r="T225" s="6"/>
      <c r="U225" s="6"/>
      <c r="V225" s="6"/>
      <c r="W225" s="6"/>
      <c r="X225" s="6"/>
      <c r="Y225" s="6"/>
      <c r="Z225" s="6"/>
    </row>
    <row r="226" ht="12.75" customHeight="1">
      <c r="A226" s="70">
        <v>225.0</v>
      </c>
      <c r="B226" s="70">
        <v>10225.0</v>
      </c>
      <c r="C226" s="70" t="s">
        <v>34</v>
      </c>
      <c r="D226" s="71" t="s">
        <v>424</v>
      </c>
      <c r="E226" s="70">
        <v>0.0</v>
      </c>
      <c r="F226" s="70">
        <v>1.0</v>
      </c>
      <c r="G226" s="72">
        <v>0.0</v>
      </c>
      <c r="H226" s="6"/>
      <c r="I226" s="6"/>
      <c r="J226" s="6"/>
      <c r="K226" s="6"/>
      <c r="L226" s="6"/>
      <c r="M226" s="6"/>
      <c r="N226" s="6"/>
      <c r="O226" s="6"/>
      <c r="P226" s="6"/>
      <c r="Q226" s="6"/>
      <c r="R226" s="6"/>
      <c r="S226" s="6"/>
      <c r="T226" s="6"/>
      <c r="U226" s="6"/>
      <c r="V226" s="6"/>
      <c r="W226" s="6"/>
      <c r="X226" s="6"/>
      <c r="Y226" s="6"/>
      <c r="Z226" s="6"/>
    </row>
    <row r="227" ht="12.75" hidden="1" customHeight="1">
      <c r="A227" s="37">
        <v>226.0</v>
      </c>
      <c r="B227" s="37">
        <v>10226.0</v>
      </c>
      <c r="C227" s="37" t="s">
        <v>7</v>
      </c>
      <c r="D227" s="38" t="s">
        <v>37</v>
      </c>
      <c r="E227" s="37" t="s">
        <v>38</v>
      </c>
      <c r="F227" s="37">
        <v>33.0</v>
      </c>
      <c r="G227" s="39">
        <v>0.0</v>
      </c>
      <c r="H227" s="6"/>
      <c r="I227" s="6"/>
      <c r="J227" s="6"/>
      <c r="K227" s="6"/>
      <c r="L227" s="6"/>
      <c r="M227" s="6"/>
      <c r="N227" s="6"/>
      <c r="O227" s="6"/>
      <c r="P227" s="6"/>
      <c r="Q227" s="6"/>
      <c r="R227" s="6"/>
      <c r="S227" s="6"/>
      <c r="T227" s="6"/>
      <c r="U227" s="6"/>
      <c r="V227" s="6"/>
      <c r="W227" s="6"/>
      <c r="X227" s="6"/>
      <c r="Y227" s="6"/>
      <c r="Z227" s="6"/>
    </row>
    <row r="228" ht="12.75" hidden="1" customHeight="1">
      <c r="A228" s="34">
        <v>227.0</v>
      </c>
      <c r="B228" s="34">
        <v>10227.0</v>
      </c>
      <c r="C228" s="34" t="s">
        <v>34</v>
      </c>
      <c r="D228" s="35" t="s">
        <v>425</v>
      </c>
      <c r="E228" s="34" t="s">
        <v>426</v>
      </c>
      <c r="F228" s="34">
        <v>162.0</v>
      </c>
      <c r="G228" s="36">
        <v>0.0</v>
      </c>
      <c r="H228" s="6"/>
      <c r="I228" s="6"/>
      <c r="J228" s="6"/>
      <c r="K228" s="6"/>
      <c r="L228" s="6"/>
      <c r="M228" s="6"/>
      <c r="N228" s="6"/>
      <c r="O228" s="6"/>
      <c r="P228" s="6"/>
      <c r="Q228" s="6"/>
      <c r="R228" s="6"/>
      <c r="S228" s="6"/>
      <c r="T228" s="6"/>
      <c r="U228" s="6"/>
      <c r="V228" s="6"/>
      <c r="W228" s="6"/>
      <c r="X228" s="6"/>
      <c r="Y228" s="6"/>
      <c r="Z228" s="6"/>
    </row>
    <row r="229" ht="12.75" customHeight="1">
      <c r="A229" s="70">
        <v>228.0</v>
      </c>
      <c r="B229" s="70">
        <v>10228.0</v>
      </c>
      <c r="C229" s="70" t="s">
        <v>34</v>
      </c>
      <c r="D229" s="71" t="s">
        <v>65</v>
      </c>
      <c r="E229" s="70">
        <v>0.0</v>
      </c>
      <c r="F229" s="70">
        <v>1.0</v>
      </c>
      <c r="G229" s="72">
        <v>0.0</v>
      </c>
      <c r="H229" s="6"/>
      <c r="I229" s="6"/>
      <c r="J229" s="6"/>
      <c r="K229" s="6"/>
      <c r="L229" s="6"/>
      <c r="M229" s="6"/>
      <c r="N229" s="6"/>
      <c r="O229" s="6"/>
      <c r="P229" s="6"/>
      <c r="Q229" s="6"/>
      <c r="R229" s="6"/>
      <c r="S229" s="6"/>
      <c r="T229" s="6"/>
      <c r="U229" s="6"/>
      <c r="V229" s="6"/>
      <c r="W229" s="6"/>
      <c r="X229" s="6"/>
      <c r="Y229" s="6"/>
      <c r="Z229" s="6"/>
    </row>
    <row r="230" ht="12.75" hidden="1" customHeight="1">
      <c r="A230" s="34">
        <v>229.0</v>
      </c>
      <c r="B230" s="34">
        <v>10229.0</v>
      </c>
      <c r="C230" s="34" t="s">
        <v>20</v>
      </c>
      <c r="D230" s="35" t="s">
        <v>427</v>
      </c>
      <c r="E230" s="34" t="s">
        <v>428</v>
      </c>
      <c r="F230" s="34">
        <v>168.0</v>
      </c>
      <c r="G230" s="36">
        <v>0.0</v>
      </c>
      <c r="H230" s="6"/>
      <c r="I230" s="6"/>
      <c r="J230" s="6"/>
      <c r="K230" s="6"/>
      <c r="L230" s="6"/>
      <c r="M230" s="6"/>
      <c r="N230" s="6"/>
      <c r="O230" s="6"/>
      <c r="P230" s="6"/>
      <c r="Q230" s="6"/>
      <c r="R230" s="6"/>
      <c r="S230" s="6"/>
      <c r="T230" s="6"/>
      <c r="U230" s="6"/>
      <c r="V230" s="6"/>
      <c r="W230" s="6"/>
      <c r="X230" s="6"/>
      <c r="Y230" s="6"/>
      <c r="Z230" s="6"/>
    </row>
    <row r="231" ht="12.75" hidden="1" customHeight="1">
      <c r="A231" s="37">
        <v>230.0</v>
      </c>
      <c r="B231" s="37">
        <v>10230.0</v>
      </c>
      <c r="C231" s="37" t="s">
        <v>7</v>
      </c>
      <c r="D231" s="38" t="s">
        <v>429</v>
      </c>
      <c r="E231" s="37" t="s">
        <v>430</v>
      </c>
      <c r="F231" s="37">
        <v>63.0</v>
      </c>
      <c r="G231" s="39">
        <v>0.0</v>
      </c>
      <c r="H231" s="6"/>
      <c r="I231" s="6"/>
      <c r="J231" s="6"/>
      <c r="K231" s="6"/>
      <c r="L231" s="6"/>
      <c r="M231" s="6"/>
      <c r="N231" s="6"/>
      <c r="O231" s="6"/>
      <c r="P231" s="6"/>
      <c r="Q231" s="6"/>
      <c r="R231" s="6"/>
      <c r="S231" s="6"/>
      <c r="T231" s="6"/>
      <c r="U231" s="6"/>
      <c r="V231" s="6"/>
      <c r="W231" s="6"/>
      <c r="X231" s="6"/>
      <c r="Y231" s="6"/>
      <c r="Z231" s="6"/>
    </row>
    <row r="232" ht="12.75" hidden="1" customHeight="1">
      <c r="A232" s="34">
        <v>231.0</v>
      </c>
      <c r="B232" s="34">
        <v>10231.0</v>
      </c>
      <c r="C232" s="34" t="s">
        <v>34</v>
      </c>
      <c r="D232" s="35" t="s">
        <v>431</v>
      </c>
      <c r="E232" s="34" t="s">
        <v>432</v>
      </c>
      <c r="F232" s="34">
        <v>184.0</v>
      </c>
      <c r="G232" s="36">
        <v>45770.0</v>
      </c>
      <c r="H232" s="6"/>
      <c r="I232" s="6"/>
      <c r="J232" s="6"/>
      <c r="K232" s="6"/>
      <c r="L232" s="6"/>
      <c r="M232" s="6"/>
      <c r="N232" s="6"/>
      <c r="O232" s="6"/>
      <c r="P232" s="6"/>
      <c r="Q232" s="6"/>
      <c r="R232" s="6"/>
      <c r="S232" s="6"/>
      <c r="T232" s="6"/>
      <c r="U232" s="6"/>
      <c r="V232" s="6"/>
      <c r="W232" s="6"/>
      <c r="X232" s="6"/>
      <c r="Y232" s="6"/>
      <c r="Z232" s="6"/>
    </row>
    <row r="233" ht="12.75" hidden="1" customHeight="1">
      <c r="A233" s="37">
        <v>232.0</v>
      </c>
      <c r="B233" s="37">
        <v>10232.0</v>
      </c>
      <c r="C233" s="37" t="s">
        <v>34</v>
      </c>
      <c r="D233" s="38" t="s">
        <v>433</v>
      </c>
      <c r="E233" s="37" t="s">
        <v>434</v>
      </c>
      <c r="F233" s="37">
        <v>89.0</v>
      </c>
      <c r="G233" s="39">
        <v>0.0</v>
      </c>
      <c r="H233" s="6"/>
      <c r="I233" s="6"/>
      <c r="J233" s="6"/>
      <c r="K233" s="6"/>
      <c r="L233" s="6"/>
      <c r="M233" s="6"/>
      <c r="N233" s="6"/>
      <c r="O233" s="6"/>
      <c r="P233" s="6"/>
      <c r="Q233" s="6"/>
      <c r="R233" s="6"/>
      <c r="S233" s="6"/>
      <c r="T233" s="6"/>
      <c r="U233" s="6"/>
      <c r="V233" s="6"/>
      <c r="W233" s="6"/>
      <c r="X233" s="6"/>
      <c r="Y233" s="6"/>
      <c r="Z233" s="6"/>
    </row>
    <row r="234" ht="12.75" hidden="1" customHeight="1">
      <c r="A234" s="34">
        <v>233.0</v>
      </c>
      <c r="B234" s="34">
        <v>10233.0</v>
      </c>
      <c r="C234" s="34" t="s">
        <v>34</v>
      </c>
      <c r="D234" s="35" t="s">
        <v>435</v>
      </c>
      <c r="E234" s="34" t="s">
        <v>436</v>
      </c>
      <c r="F234" s="34">
        <v>157.0</v>
      </c>
      <c r="G234" s="36">
        <v>0.0</v>
      </c>
      <c r="H234" s="6"/>
      <c r="I234" s="6"/>
      <c r="J234" s="6"/>
      <c r="K234" s="6"/>
      <c r="L234" s="6"/>
      <c r="M234" s="6"/>
      <c r="N234" s="6"/>
      <c r="O234" s="6"/>
      <c r="P234" s="6"/>
      <c r="Q234" s="6"/>
      <c r="R234" s="6"/>
      <c r="S234" s="6"/>
      <c r="T234" s="6"/>
      <c r="U234" s="6"/>
      <c r="V234" s="6"/>
      <c r="W234" s="6"/>
      <c r="X234" s="6"/>
      <c r="Y234" s="6"/>
      <c r="Z234" s="6"/>
    </row>
    <row r="235" ht="12.75" hidden="1" customHeight="1">
      <c r="A235" s="31">
        <v>234.0</v>
      </c>
      <c r="B235" s="31">
        <v>10234.0</v>
      </c>
      <c r="C235" s="31" t="s">
        <v>34</v>
      </c>
      <c r="D235" s="32" t="s">
        <v>437</v>
      </c>
      <c r="E235" s="31" t="s">
        <v>438</v>
      </c>
      <c r="F235" s="31">
        <v>143.0</v>
      </c>
      <c r="G235" s="33">
        <v>0.0</v>
      </c>
      <c r="H235" s="6"/>
      <c r="I235" s="6"/>
      <c r="J235" s="6"/>
      <c r="K235" s="6"/>
      <c r="L235" s="6"/>
      <c r="M235" s="6"/>
      <c r="N235" s="6"/>
      <c r="O235" s="6"/>
      <c r="P235" s="6"/>
      <c r="Q235" s="6"/>
      <c r="R235" s="6"/>
      <c r="S235" s="6"/>
      <c r="T235" s="6"/>
      <c r="U235" s="6"/>
      <c r="V235" s="6"/>
      <c r="W235" s="6"/>
      <c r="X235" s="6"/>
      <c r="Y235" s="6"/>
      <c r="Z235" s="6"/>
    </row>
    <row r="236" ht="12.75" hidden="1" customHeight="1">
      <c r="A236" s="34">
        <v>235.0</v>
      </c>
      <c r="B236" s="34">
        <v>10235.0</v>
      </c>
      <c r="C236" s="34" t="s">
        <v>20</v>
      </c>
      <c r="D236" s="35" t="s">
        <v>439</v>
      </c>
      <c r="E236" s="34" t="s">
        <v>440</v>
      </c>
      <c r="F236" s="34">
        <v>96.0</v>
      </c>
      <c r="G236" s="36">
        <v>0.0</v>
      </c>
      <c r="H236" s="6"/>
      <c r="I236" s="6"/>
      <c r="J236" s="6"/>
      <c r="K236" s="6"/>
      <c r="L236" s="6"/>
      <c r="M236" s="6"/>
      <c r="N236" s="6"/>
      <c r="O236" s="6"/>
      <c r="P236" s="6"/>
      <c r="Q236" s="6"/>
      <c r="R236" s="6"/>
      <c r="S236" s="6"/>
      <c r="T236" s="6"/>
      <c r="U236" s="6"/>
      <c r="V236" s="6"/>
      <c r="W236" s="6"/>
      <c r="X236" s="6"/>
      <c r="Y236" s="6"/>
      <c r="Z236" s="6"/>
    </row>
    <row r="237" ht="12.75" hidden="1" customHeight="1">
      <c r="A237" s="37">
        <v>236.0</v>
      </c>
      <c r="B237" s="37">
        <v>10236.0</v>
      </c>
      <c r="C237" s="37" t="s">
        <v>34</v>
      </c>
      <c r="D237" s="38" t="s">
        <v>441</v>
      </c>
      <c r="E237" s="37" t="s">
        <v>442</v>
      </c>
      <c r="F237" s="37">
        <v>214.0</v>
      </c>
      <c r="G237" s="39" t="s">
        <v>331</v>
      </c>
      <c r="H237" s="6"/>
      <c r="I237" s="6"/>
      <c r="J237" s="6"/>
      <c r="K237" s="6"/>
      <c r="L237" s="6"/>
      <c r="M237" s="6"/>
      <c r="N237" s="6"/>
      <c r="O237" s="6"/>
      <c r="P237" s="6"/>
      <c r="Q237" s="6"/>
      <c r="R237" s="6"/>
      <c r="S237" s="6"/>
      <c r="T237" s="6"/>
      <c r="U237" s="6"/>
      <c r="V237" s="6"/>
      <c r="W237" s="6"/>
      <c r="X237" s="6"/>
      <c r="Y237" s="6"/>
      <c r="Z237" s="6"/>
    </row>
    <row r="238" ht="12.75" hidden="1" customHeight="1">
      <c r="A238" s="34">
        <v>237.0</v>
      </c>
      <c r="B238" s="34">
        <v>10237.0</v>
      </c>
      <c r="C238" s="34" t="s">
        <v>34</v>
      </c>
      <c r="D238" s="35" t="s">
        <v>443</v>
      </c>
      <c r="E238" s="34" t="s">
        <v>444</v>
      </c>
      <c r="F238" s="34">
        <v>186.0</v>
      </c>
      <c r="G238" s="36">
        <v>45770.0</v>
      </c>
      <c r="H238" s="6"/>
      <c r="I238" s="6"/>
      <c r="J238" s="6"/>
      <c r="K238" s="6"/>
      <c r="L238" s="6"/>
      <c r="M238" s="6"/>
      <c r="N238" s="6"/>
      <c r="O238" s="6"/>
      <c r="P238" s="6"/>
      <c r="Q238" s="6"/>
      <c r="R238" s="6"/>
      <c r="S238" s="6"/>
      <c r="T238" s="6"/>
      <c r="U238" s="6"/>
      <c r="V238" s="6"/>
      <c r="W238" s="6"/>
      <c r="X238" s="6"/>
      <c r="Y238" s="6"/>
      <c r="Z238" s="6"/>
    </row>
    <row r="239" ht="12.75" hidden="1" customHeight="1">
      <c r="A239" s="37">
        <v>238.0</v>
      </c>
      <c r="B239" s="37">
        <v>10238.0</v>
      </c>
      <c r="C239" s="37" t="s">
        <v>34</v>
      </c>
      <c r="D239" s="38" t="s">
        <v>445</v>
      </c>
      <c r="E239" s="37" t="s">
        <v>446</v>
      </c>
      <c r="F239" s="37">
        <v>160.0</v>
      </c>
      <c r="G239" s="39">
        <v>0.0</v>
      </c>
      <c r="H239" s="6"/>
      <c r="I239" s="6"/>
      <c r="J239" s="6"/>
      <c r="K239" s="6"/>
      <c r="L239" s="6"/>
      <c r="M239" s="6"/>
      <c r="N239" s="6"/>
      <c r="O239" s="6"/>
      <c r="P239" s="6"/>
      <c r="Q239" s="6"/>
      <c r="R239" s="6"/>
      <c r="S239" s="6"/>
      <c r="T239" s="6"/>
      <c r="U239" s="6"/>
      <c r="V239" s="6"/>
      <c r="W239" s="6"/>
      <c r="X239" s="6"/>
      <c r="Y239" s="6"/>
      <c r="Z239" s="6"/>
    </row>
    <row r="240" ht="12.75" hidden="1" customHeight="1">
      <c r="A240" s="58">
        <v>239.0</v>
      </c>
      <c r="B240" s="58">
        <v>10239.0</v>
      </c>
      <c r="C240" s="58" t="s">
        <v>7</v>
      </c>
      <c r="D240" s="59" t="s">
        <v>447</v>
      </c>
      <c r="E240" s="58" t="s">
        <v>13</v>
      </c>
      <c r="F240" s="58">
        <v>46.0</v>
      </c>
      <c r="G240" s="60">
        <v>0.0</v>
      </c>
      <c r="H240" s="6"/>
      <c r="I240" s="6"/>
      <c r="J240" s="6"/>
      <c r="K240" s="6"/>
      <c r="L240" s="6"/>
      <c r="M240" s="6"/>
      <c r="N240" s="6"/>
      <c r="O240" s="6"/>
      <c r="P240" s="6"/>
      <c r="Q240" s="6"/>
      <c r="R240" s="6"/>
      <c r="S240" s="6"/>
      <c r="T240" s="6"/>
      <c r="U240" s="6"/>
      <c r="V240" s="6"/>
      <c r="W240" s="6"/>
      <c r="X240" s="6"/>
      <c r="Y240" s="6"/>
      <c r="Z240" s="6"/>
    </row>
    <row r="241" ht="12.75" hidden="1" customHeight="1">
      <c r="A241" s="37">
        <v>240.0</v>
      </c>
      <c r="B241" s="37">
        <v>10240.0</v>
      </c>
      <c r="C241" s="37" t="s">
        <v>20</v>
      </c>
      <c r="D241" s="38" t="s">
        <v>448</v>
      </c>
      <c r="E241" s="37" t="s">
        <v>449</v>
      </c>
      <c r="F241" s="37">
        <v>146.0</v>
      </c>
      <c r="G241" s="39">
        <v>0.0</v>
      </c>
      <c r="H241" s="6"/>
      <c r="I241" s="6"/>
      <c r="J241" s="6"/>
      <c r="K241" s="6"/>
      <c r="L241" s="6"/>
      <c r="M241" s="6"/>
      <c r="N241" s="6"/>
      <c r="O241" s="6"/>
      <c r="P241" s="6"/>
      <c r="Q241" s="6"/>
      <c r="R241" s="6"/>
      <c r="S241" s="6"/>
      <c r="T241" s="6"/>
      <c r="U241" s="6"/>
      <c r="V241" s="6"/>
      <c r="W241" s="6"/>
      <c r="X241" s="6"/>
      <c r="Y241" s="6"/>
      <c r="Z241" s="6"/>
    </row>
    <row r="242" ht="12.75" hidden="1" customHeight="1">
      <c r="A242" s="34">
        <v>241.0</v>
      </c>
      <c r="B242" s="34">
        <v>10241.0</v>
      </c>
      <c r="C242" s="34" t="s">
        <v>7</v>
      </c>
      <c r="D242" s="35" t="s">
        <v>450</v>
      </c>
      <c r="E242" s="34" t="s">
        <v>451</v>
      </c>
      <c r="F242" s="34">
        <v>76.0</v>
      </c>
      <c r="G242" s="36">
        <v>0.0</v>
      </c>
      <c r="H242" s="6"/>
      <c r="I242" s="6"/>
      <c r="J242" s="6"/>
      <c r="K242" s="6"/>
      <c r="L242" s="6"/>
      <c r="M242" s="6"/>
      <c r="N242" s="6"/>
      <c r="O242" s="6"/>
      <c r="P242" s="6"/>
      <c r="Q242" s="6"/>
      <c r="R242" s="6"/>
      <c r="S242" s="6"/>
      <c r="T242" s="6"/>
      <c r="U242" s="6"/>
      <c r="V242" s="6"/>
      <c r="W242" s="6"/>
      <c r="X242" s="6"/>
      <c r="Y242" s="6"/>
      <c r="Z242" s="6"/>
    </row>
    <row r="243" ht="12.75" hidden="1" customHeight="1">
      <c r="A243" s="37">
        <v>242.0</v>
      </c>
      <c r="B243" s="37">
        <v>10242.0</v>
      </c>
      <c r="C243" s="37" t="s">
        <v>7</v>
      </c>
      <c r="D243" s="38" t="s">
        <v>452</v>
      </c>
      <c r="E243" s="37" t="s">
        <v>453</v>
      </c>
      <c r="F243" s="37">
        <v>84.0</v>
      </c>
      <c r="G243" s="39">
        <v>0.0</v>
      </c>
      <c r="H243" s="6"/>
      <c r="I243" s="6"/>
      <c r="J243" s="6"/>
      <c r="K243" s="6"/>
      <c r="L243" s="6"/>
      <c r="M243" s="6"/>
      <c r="N243" s="6"/>
      <c r="O243" s="6"/>
      <c r="P243" s="6"/>
      <c r="Q243" s="6"/>
      <c r="R243" s="6"/>
      <c r="S243" s="6"/>
      <c r="T243" s="6"/>
      <c r="U243" s="6"/>
      <c r="V243" s="6"/>
      <c r="W243" s="6"/>
      <c r="X243" s="6"/>
      <c r="Y243" s="6"/>
      <c r="Z243" s="6"/>
    </row>
    <row r="244" ht="12.75" hidden="1" customHeight="1">
      <c r="A244" s="34">
        <v>243.0</v>
      </c>
      <c r="B244" s="34">
        <v>10243.0</v>
      </c>
      <c r="C244" s="34" t="s">
        <v>7</v>
      </c>
      <c r="D244" s="35" t="s">
        <v>454</v>
      </c>
      <c r="E244" s="34" t="s">
        <v>455</v>
      </c>
      <c r="F244" s="34">
        <v>49.0</v>
      </c>
      <c r="G244" s="36">
        <v>0.0</v>
      </c>
      <c r="H244" s="6"/>
      <c r="I244" s="6"/>
      <c r="J244" s="6"/>
      <c r="K244" s="6"/>
      <c r="L244" s="6"/>
      <c r="M244" s="6"/>
      <c r="N244" s="6"/>
      <c r="O244" s="6"/>
      <c r="P244" s="6"/>
      <c r="Q244" s="6"/>
      <c r="R244" s="6"/>
      <c r="S244" s="6"/>
      <c r="T244" s="6"/>
      <c r="U244" s="6"/>
      <c r="V244" s="6"/>
      <c r="W244" s="6"/>
      <c r="X244" s="6"/>
      <c r="Y244" s="6"/>
      <c r="Z244" s="6"/>
    </row>
    <row r="245" ht="12.75" customHeight="1">
      <c r="A245" s="73">
        <v>244.0</v>
      </c>
      <c r="B245" s="73">
        <v>10244.0</v>
      </c>
      <c r="C245" s="73" t="s">
        <v>34</v>
      </c>
      <c r="D245" s="74" t="s">
        <v>456</v>
      </c>
      <c r="E245" s="73" t="s">
        <v>457</v>
      </c>
      <c r="F245" s="73">
        <v>15.0</v>
      </c>
      <c r="G245" s="75" t="s">
        <v>331</v>
      </c>
      <c r="H245" s="6"/>
      <c r="I245" s="6"/>
      <c r="J245" s="6"/>
      <c r="K245" s="6"/>
      <c r="L245" s="6"/>
      <c r="M245" s="6"/>
      <c r="N245" s="6"/>
      <c r="O245" s="6"/>
      <c r="P245" s="6"/>
      <c r="Q245" s="6"/>
      <c r="R245" s="6"/>
      <c r="S245" s="6"/>
      <c r="T245" s="6"/>
      <c r="U245" s="6"/>
      <c r="V245" s="6"/>
      <c r="W245" s="6"/>
      <c r="X245" s="6"/>
      <c r="Y245" s="6"/>
      <c r="Z245" s="6"/>
    </row>
    <row r="246" ht="12.75" hidden="1" customHeight="1">
      <c r="A246" s="34">
        <v>245.0</v>
      </c>
      <c r="B246" s="34">
        <v>10245.0</v>
      </c>
      <c r="C246" s="34" t="s">
        <v>27</v>
      </c>
      <c r="D246" s="35" t="s">
        <v>458</v>
      </c>
      <c r="E246" s="34" t="s">
        <v>459</v>
      </c>
      <c r="F246" s="34">
        <v>119.0</v>
      </c>
      <c r="G246" s="36">
        <v>0.0</v>
      </c>
      <c r="H246" s="6"/>
      <c r="I246" s="6"/>
      <c r="J246" s="6"/>
      <c r="K246" s="6"/>
      <c r="L246" s="6"/>
      <c r="M246" s="6"/>
      <c r="N246" s="6"/>
      <c r="O246" s="6"/>
      <c r="P246" s="6"/>
      <c r="Q246" s="6"/>
      <c r="R246" s="6"/>
      <c r="S246" s="6"/>
      <c r="T246" s="6"/>
      <c r="U246" s="6"/>
      <c r="V246" s="6"/>
      <c r="W246" s="6"/>
      <c r="X246" s="6"/>
      <c r="Y246" s="6"/>
      <c r="Z246" s="6"/>
    </row>
    <row r="247" ht="12.75" hidden="1" customHeight="1">
      <c r="A247" s="37">
        <v>246.0</v>
      </c>
      <c r="B247" s="37">
        <v>10246.0</v>
      </c>
      <c r="C247" s="37" t="s">
        <v>27</v>
      </c>
      <c r="D247" s="38" t="s">
        <v>460</v>
      </c>
      <c r="E247" s="37" t="s">
        <v>461</v>
      </c>
      <c r="F247" s="37">
        <v>123.0</v>
      </c>
      <c r="G247" s="39">
        <v>0.0</v>
      </c>
      <c r="H247" s="6"/>
      <c r="I247" s="6"/>
      <c r="J247" s="6"/>
      <c r="K247" s="6"/>
      <c r="L247" s="6"/>
      <c r="M247" s="6"/>
      <c r="N247" s="6"/>
      <c r="O247" s="6"/>
      <c r="P247" s="6"/>
      <c r="Q247" s="6"/>
      <c r="R247" s="6"/>
      <c r="S247" s="6"/>
      <c r="T247" s="6"/>
      <c r="U247" s="6"/>
      <c r="V247" s="6"/>
      <c r="W247" s="6"/>
      <c r="X247" s="6"/>
      <c r="Y247" s="6"/>
      <c r="Z247" s="6"/>
    </row>
    <row r="248" ht="12.75" hidden="1" customHeight="1">
      <c r="A248" s="34">
        <v>247.0</v>
      </c>
      <c r="B248" s="34">
        <v>10247.0</v>
      </c>
      <c r="C248" s="34" t="s">
        <v>20</v>
      </c>
      <c r="D248" s="35" t="s">
        <v>462</v>
      </c>
      <c r="E248" s="34" t="s">
        <v>463</v>
      </c>
      <c r="F248" s="34">
        <v>142.0</v>
      </c>
      <c r="G248" s="36">
        <v>0.0</v>
      </c>
      <c r="H248" s="6"/>
      <c r="I248" s="6"/>
      <c r="J248" s="6"/>
      <c r="K248" s="6"/>
      <c r="L248" s="6"/>
      <c r="M248" s="6"/>
      <c r="N248" s="6"/>
      <c r="O248" s="6"/>
      <c r="P248" s="6"/>
      <c r="Q248" s="6"/>
      <c r="R248" s="6"/>
      <c r="S248" s="6"/>
      <c r="T248" s="6"/>
      <c r="U248" s="6"/>
      <c r="V248" s="6"/>
      <c r="W248" s="6"/>
      <c r="X248" s="6"/>
      <c r="Y248" s="6"/>
      <c r="Z248" s="6"/>
    </row>
    <row r="249" ht="12.75" hidden="1" customHeight="1">
      <c r="A249" s="31">
        <v>248.0</v>
      </c>
      <c r="B249" s="31">
        <v>10248.0</v>
      </c>
      <c r="C249" s="31" t="s">
        <v>34</v>
      </c>
      <c r="D249" s="32" t="s">
        <v>464</v>
      </c>
      <c r="E249" s="31" t="s">
        <v>465</v>
      </c>
      <c r="F249" s="31">
        <v>163.0</v>
      </c>
      <c r="G249" s="33">
        <v>0.0</v>
      </c>
      <c r="H249" s="6"/>
      <c r="I249" s="6"/>
      <c r="J249" s="6"/>
      <c r="K249" s="6"/>
      <c r="L249" s="6"/>
      <c r="M249" s="6"/>
      <c r="N249" s="6"/>
      <c r="O249" s="6"/>
      <c r="P249" s="6"/>
      <c r="Q249" s="6"/>
      <c r="R249" s="6"/>
      <c r="S249" s="6"/>
      <c r="T249" s="6"/>
      <c r="U249" s="6"/>
      <c r="V249" s="6"/>
      <c r="W249" s="6"/>
      <c r="X249" s="6"/>
      <c r="Y249" s="6"/>
      <c r="Z249" s="6"/>
    </row>
    <row r="250" ht="12.75" hidden="1" customHeight="1">
      <c r="A250" s="34">
        <v>249.0</v>
      </c>
      <c r="B250" s="34">
        <v>10249.0</v>
      </c>
      <c r="C250" s="34" t="s">
        <v>7</v>
      </c>
      <c r="D250" s="35" t="s">
        <v>466</v>
      </c>
      <c r="E250" s="34" t="s">
        <v>467</v>
      </c>
      <c r="F250" s="34">
        <v>40.0</v>
      </c>
      <c r="G250" s="36">
        <v>0.0</v>
      </c>
      <c r="H250" s="6"/>
      <c r="I250" s="6"/>
      <c r="J250" s="6"/>
      <c r="K250" s="6"/>
      <c r="L250" s="6"/>
      <c r="M250" s="6"/>
      <c r="N250" s="6"/>
      <c r="O250" s="6"/>
      <c r="P250" s="6"/>
      <c r="Q250" s="6"/>
      <c r="R250" s="6"/>
      <c r="S250" s="6"/>
      <c r="T250" s="6"/>
      <c r="U250" s="6"/>
      <c r="V250" s="6"/>
      <c r="W250" s="6"/>
      <c r="X250" s="6"/>
      <c r="Y250" s="6"/>
      <c r="Z250" s="6"/>
    </row>
    <row r="251" ht="12.75" hidden="1" customHeight="1">
      <c r="A251" s="76">
        <v>250.0</v>
      </c>
      <c r="B251" s="76">
        <v>10250.0</v>
      </c>
      <c r="C251" s="76" t="s">
        <v>34</v>
      </c>
      <c r="D251" s="77" t="s">
        <v>468</v>
      </c>
      <c r="E251" s="76" t="s">
        <v>469</v>
      </c>
      <c r="F251" s="76">
        <v>115.0</v>
      </c>
      <c r="G251" s="78">
        <v>0.0</v>
      </c>
      <c r="H251" s="6"/>
      <c r="I251" s="6"/>
      <c r="J251" s="6"/>
      <c r="K251" s="6"/>
      <c r="L251" s="6"/>
      <c r="M251" s="6"/>
      <c r="N251" s="6"/>
      <c r="O251" s="6"/>
      <c r="P251" s="6"/>
      <c r="Q251" s="6"/>
      <c r="R251" s="6"/>
      <c r="S251" s="6"/>
      <c r="T251" s="6"/>
      <c r="U251" s="6"/>
      <c r="V251" s="6"/>
      <c r="W251" s="6"/>
      <c r="X251" s="6"/>
      <c r="Y251" s="6"/>
      <c r="Z251" s="6"/>
    </row>
    <row r="252" ht="12.75" hidden="1" customHeight="1">
      <c r="A252" s="34">
        <v>251.0</v>
      </c>
      <c r="B252" s="34">
        <v>10251.0</v>
      </c>
      <c r="C252" s="34" t="s">
        <v>7</v>
      </c>
      <c r="D252" s="35" t="s">
        <v>470</v>
      </c>
      <c r="E252" s="34" t="s">
        <v>471</v>
      </c>
      <c r="F252" s="34">
        <v>79.0</v>
      </c>
      <c r="G252" s="36">
        <v>0.0</v>
      </c>
      <c r="H252" s="6"/>
      <c r="I252" s="6"/>
      <c r="J252" s="6"/>
      <c r="K252" s="6"/>
      <c r="L252" s="6"/>
      <c r="M252" s="6"/>
      <c r="N252" s="6"/>
      <c r="O252" s="6"/>
      <c r="P252" s="6"/>
      <c r="Q252" s="6"/>
      <c r="R252" s="6"/>
      <c r="S252" s="6"/>
      <c r="T252" s="6"/>
      <c r="U252" s="6"/>
      <c r="V252" s="6"/>
      <c r="W252" s="6"/>
      <c r="X252" s="6"/>
      <c r="Y252" s="6"/>
      <c r="Z252" s="6"/>
    </row>
    <row r="253" ht="12.75" hidden="1" customHeight="1">
      <c r="A253" s="37">
        <v>252.0</v>
      </c>
      <c r="B253" s="37">
        <v>10252.0</v>
      </c>
      <c r="C253" s="37" t="s">
        <v>20</v>
      </c>
      <c r="D253" s="38" t="s">
        <v>472</v>
      </c>
      <c r="E253" s="37" t="s">
        <v>423</v>
      </c>
      <c r="F253" s="37">
        <v>87.0</v>
      </c>
      <c r="G253" s="39">
        <v>0.0</v>
      </c>
      <c r="H253" s="6"/>
      <c r="I253" s="6"/>
      <c r="J253" s="6"/>
      <c r="K253" s="6"/>
      <c r="L253" s="6"/>
      <c r="M253" s="6"/>
      <c r="N253" s="6"/>
      <c r="O253" s="6"/>
      <c r="P253" s="6"/>
      <c r="Q253" s="6"/>
      <c r="R253" s="6"/>
      <c r="S253" s="6"/>
      <c r="T253" s="6"/>
      <c r="U253" s="6"/>
      <c r="V253" s="6"/>
      <c r="W253" s="6"/>
      <c r="X253" s="6"/>
      <c r="Y253" s="6"/>
      <c r="Z253" s="6"/>
    </row>
    <row r="254" ht="12.75" hidden="1" customHeight="1">
      <c r="A254" s="34">
        <v>253.0</v>
      </c>
      <c r="B254" s="34">
        <v>10253.0</v>
      </c>
      <c r="C254" s="34" t="s">
        <v>20</v>
      </c>
      <c r="D254" s="35" t="s">
        <v>473</v>
      </c>
      <c r="E254" s="34" t="s">
        <v>474</v>
      </c>
      <c r="F254" s="34">
        <v>78.0</v>
      </c>
      <c r="G254" s="36">
        <v>0.0</v>
      </c>
      <c r="H254" s="6"/>
      <c r="I254" s="6"/>
      <c r="J254" s="6"/>
      <c r="K254" s="6"/>
      <c r="L254" s="6"/>
      <c r="M254" s="6"/>
      <c r="N254" s="6"/>
      <c r="O254" s="6"/>
      <c r="P254" s="6"/>
      <c r="Q254" s="6"/>
      <c r="R254" s="6"/>
      <c r="S254" s="6"/>
      <c r="T254" s="6"/>
      <c r="U254" s="6"/>
      <c r="V254" s="6"/>
      <c r="W254" s="6"/>
      <c r="X254" s="6"/>
      <c r="Y254" s="6"/>
      <c r="Z254" s="6"/>
    </row>
    <row r="255" ht="12.75" hidden="1" customHeight="1">
      <c r="A255" s="37">
        <v>254.0</v>
      </c>
      <c r="B255" s="37">
        <v>10254.0</v>
      </c>
      <c r="C255" s="37" t="s">
        <v>7</v>
      </c>
      <c r="D255" s="38" t="s">
        <v>475</v>
      </c>
      <c r="E255" s="37" t="s">
        <v>476</v>
      </c>
      <c r="F255" s="37">
        <v>114.0</v>
      </c>
      <c r="G255" s="39">
        <v>0.0</v>
      </c>
      <c r="H255" s="6"/>
      <c r="I255" s="6"/>
      <c r="J255" s="6"/>
      <c r="K255" s="6"/>
      <c r="L255" s="6"/>
      <c r="M255" s="6"/>
      <c r="N255" s="6"/>
      <c r="O255" s="6"/>
      <c r="P255" s="6"/>
      <c r="Q255" s="6"/>
      <c r="R255" s="6"/>
      <c r="S255" s="6"/>
      <c r="T255" s="6"/>
      <c r="U255" s="6"/>
      <c r="V255" s="6"/>
      <c r="W255" s="6"/>
      <c r="X255" s="6"/>
      <c r="Y255" s="6"/>
      <c r="Z255" s="6"/>
    </row>
    <row r="256" ht="12.75" hidden="1" customHeight="1">
      <c r="A256" s="34">
        <v>255.0</v>
      </c>
      <c r="B256" s="34">
        <v>10255.0</v>
      </c>
      <c r="C256" s="34" t="s">
        <v>7</v>
      </c>
      <c r="D256" s="35" t="s">
        <v>477</v>
      </c>
      <c r="E256" s="34" t="s">
        <v>478</v>
      </c>
      <c r="F256" s="34">
        <v>144.0</v>
      </c>
      <c r="G256" s="36">
        <v>0.0</v>
      </c>
      <c r="H256" s="6"/>
      <c r="I256" s="6"/>
      <c r="J256" s="6"/>
      <c r="K256" s="6"/>
      <c r="L256" s="6"/>
      <c r="M256" s="6"/>
      <c r="N256" s="6"/>
      <c r="O256" s="6"/>
      <c r="P256" s="6"/>
      <c r="Q256" s="6"/>
      <c r="R256" s="6"/>
      <c r="S256" s="6"/>
      <c r="T256" s="6"/>
      <c r="U256" s="6"/>
      <c r="V256" s="6"/>
      <c r="W256" s="6"/>
      <c r="X256" s="6"/>
      <c r="Y256" s="6"/>
      <c r="Z256" s="6"/>
    </row>
    <row r="257" ht="12.75" hidden="1" customHeight="1">
      <c r="A257" s="37">
        <v>256.0</v>
      </c>
      <c r="B257" s="37">
        <v>10256.0</v>
      </c>
      <c r="C257" s="37" t="s">
        <v>34</v>
      </c>
      <c r="D257" s="38" t="s">
        <v>132</v>
      </c>
      <c r="E257" s="37" t="s">
        <v>479</v>
      </c>
      <c r="F257" s="37">
        <v>131.0</v>
      </c>
      <c r="G257" s="39">
        <v>0.0</v>
      </c>
      <c r="H257" s="6"/>
      <c r="I257" s="6"/>
      <c r="J257" s="6"/>
      <c r="K257" s="6"/>
      <c r="L257" s="6"/>
      <c r="M257" s="6"/>
      <c r="N257" s="6"/>
      <c r="O257" s="6"/>
      <c r="P257" s="6"/>
      <c r="Q257" s="6"/>
      <c r="R257" s="6"/>
      <c r="S257" s="6"/>
      <c r="T257" s="6"/>
      <c r="U257" s="6"/>
      <c r="V257" s="6"/>
      <c r="W257" s="6"/>
      <c r="X257" s="6"/>
      <c r="Y257" s="6"/>
      <c r="Z257" s="6"/>
    </row>
    <row r="258" ht="12.75" hidden="1" customHeight="1">
      <c r="A258" s="34">
        <v>257.0</v>
      </c>
      <c r="B258" s="34">
        <v>10257.0</v>
      </c>
      <c r="C258" s="34" t="s">
        <v>34</v>
      </c>
      <c r="D258" s="35" t="s">
        <v>480</v>
      </c>
      <c r="E258" s="34" t="s">
        <v>481</v>
      </c>
      <c r="F258" s="34">
        <v>218.0</v>
      </c>
      <c r="G258" s="36" t="s">
        <v>331</v>
      </c>
      <c r="H258" s="6"/>
      <c r="I258" s="6"/>
      <c r="J258" s="6"/>
      <c r="K258" s="6"/>
      <c r="L258" s="6"/>
      <c r="M258" s="6"/>
      <c r="N258" s="6"/>
      <c r="O258" s="6"/>
      <c r="P258" s="6"/>
      <c r="Q258" s="6"/>
      <c r="R258" s="6"/>
      <c r="S258" s="6"/>
      <c r="T258" s="6"/>
      <c r="U258" s="6"/>
      <c r="V258" s="6"/>
      <c r="W258" s="6"/>
      <c r="X258" s="6"/>
      <c r="Y258" s="6"/>
      <c r="Z258" s="6"/>
    </row>
    <row r="259" ht="12.75" hidden="1" customHeight="1">
      <c r="A259" s="37">
        <v>258.0</v>
      </c>
      <c r="B259" s="37">
        <v>10258.0</v>
      </c>
      <c r="C259" s="37" t="s">
        <v>27</v>
      </c>
      <c r="D259" s="38" t="s">
        <v>482</v>
      </c>
      <c r="E259" s="37" t="s">
        <v>483</v>
      </c>
      <c r="F259" s="37">
        <v>105.0</v>
      </c>
      <c r="G259" s="39">
        <v>0.0</v>
      </c>
      <c r="H259" s="6"/>
      <c r="I259" s="6"/>
      <c r="J259" s="6"/>
      <c r="K259" s="6"/>
      <c r="L259" s="6"/>
      <c r="M259" s="6"/>
      <c r="N259" s="6"/>
      <c r="O259" s="6"/>
      <c r="P259" s="6"/>
      <c r="Q259" s="6"/>
      <c r="R259" s="6"/>
      <c r="S259" s="6"/>
      <c r="T259" s="6"/>
      <c r="U259" s="6"/>
      <c r="V259" s="6"/>
      <c r="W259" s="6"/>
      <c r="X259" s="6"/>
      <c r="Y259" s="6"/>
      <c r="Z259" s="6"/>
    </row>
    <row r="260" ht="12.75" customHeight="1">
      <c r="A260" s="70">
        <v>259.0</v>
      </c>
      <c r="B260" s="70">
        <v>10259.0</v>
      </c>
      <c r="C260" s="70" t="s">
        <v>34</v>
      </c>
      <c r="D260" s="71" t="s">
        <v>484</v>
      </c>
      <c r="E260" s="70">
        <v>0.0</v>
      </c>
      <c r="F260" s="70">
        <v>1.0</v>
      </c>
      <c r="G260" s="72">
        <v>0.0</v>
      </c>
      <c r="H260" s="6"/>
      <c r="I260" s="6"/>
      <c r="J260" s="6"/>
      <c r="K260" s="6"/>
      <c r="L260" s="6"/>
      <c r="M260" s="6"/>
      <c r="N260" s="6"/>
      <c r="O260" s="6"/>
      <c r="P260" s="6"/>
      <c r="Q260" s="6"/>
      <c r="R260" s="6"/>
      <c r="S260" s="6"/>
      <c r="T260" s="6"/>
      <c r="U260" s="6"/>
      <c r="V260" s="6"/>
      <c r="W260" s="6"/>
      <c r="X260" s="6"/>
      <c r="Y260" s="6"/>
      <c r="Z260" s="6"/>
    </row>
    <row r="261" ht="12.75" hidden="1" customHeight="1">
      <c r="A261" s="37">
        <v>260.0</v>
      </c>
      <c r="B261" s="37">
        <v>10260.0</v>
      </c>
      <c r="C261" s="37" t="s">
        <v>34</v>
      </c>
      <c r="D261" s="38" t="s">
        <v>485</v>
      </c>
      <c r="E261" s="37" t="s">
        <v>486</v>
      </c>
      <c r="F261" s="37">
        <v>191.0</v>
      </c>
      <c r="G261" s="39">
        <v>45770.0</v>
      </c>
      <c r="H261" s="6"/>
      <c r="I261" s="6"/>
      <c r="J261" s="6"/>
      <c r="K261" s="6"/>
      <c r="L261" s="6"/>
      <c r="M261" s="6"/>
      <c r="N261" s="6"/>
      <c r="O261" s="6"/>
      <c r="P261" s="6"/>
      <c r="Q261" s="6"/>
      <c r="R261" s="6"/>
      <c r="S261" s="6"/>
      <c r="T261" s="6"/>
      <c r="U261" s="6"/>
      <c r="V261" s="6"/>
      <c r="W261" s="6"/>
      <c r="X261" s="6"/>
      <c r="Y261" s="6"/>
      <c r="Z261" s="6"/>
    </row>
    <row r="262" ht="12.75" hidden="1" customHeight="1">
      <c r="A262" s="34">
        <v>261.0</v>
      </c>
      <c r="B262" s="34">
        <v>10261.0</v>
      </c>
      <c r="C262" s="34" t="s">
        <v>7</v>
      </c>
      <c r="D262" s="35" t="s">
        <v>487</v>
      </c>
      <c r="E262" s="34" t="s">
        <v>488</v>
      </c>
      <c r="F262" s="34">
        <v>151.0</v>
      </c>
      <c r="G262" s="36">
        <v>0.0</v>
      </c>
      <c r="H262" s="6"/>
      <c r="I262" s="6"/>
      <c r="J262" s="6"/>
      <c r="K262" s="6"/>
      <c r="L262" s="6"/>
      <c r="M262" s="6"/>
      <c r="N262" s="6"/>
      <c r="O262" s="6"/>
      <c r="P262" s="6"/>
      <c r="Q262" s="6"/>
      <c r="R262" s="6"/>
      <c r="S262" s="6"/>
      <c r="T262" s="6"/>
      <c r="U262" s="6"/>
      <c r="V262" s="6"/>
      <c r="W262" s="6"/>
      <c r="X262" s="6"/>
      <c r="Y262" s="6"/>
      <c r="Z262" s="6"/>
    </row>
    <row r="263" ht="12.75" hidden="1" customHeight="1">
      <c r="A263" s="31">
        <v>262.0</v>
      </c>
      <c r="B263" s="31">
        <v>10262.0</v>
      </c>
      <c r="C263" s="31" t="s">
        <v>34</v>
      </c>
      <c r="D263" s="32" t="s">
        <v>489</v>
      </c>
      <c r="E263" s="31" t="s">
        <v>490</v>
      </c>
      <c r="F263" s="31">
        <v>162.0</v>
      </c>
      <c r="G263" s="33">
        <v>0.0</v>
      </c>
      <c r="H263" s="6"/>
      <c r="I263" s="6"/>
      <c r="J263" s="6"/>
      <c r="K263" s="6"/>
      <c r="L263" s="6"/>
      <c r="M263" s="6"/>
      <c r="N263" s="6"/>
      <c r="O263" s="6"/>
      <c r="P263" s="6"/>
      <c r="Q263" s="6"/>
      <c r="R263" s="6"/>
      <c r="S263" s="6"/>
      <c r="T263" s="6"/>
      <c r="U263" s="6"/>
      <c r="V263" s="6"/>
      <c r="W263" s="6"/>
      <c r="X263" s="6"/>
      <c r="Y263" s="6"/>
      <c r="Z263" s="6"/>
    </row>
    <row r="264" ht="12.75" hidden="1" customHeight="1">
      <c r="A264" s="34">
        <v>263.0</v>
      </c>
      <c r="B264" s="34">
        <v>10263.0</v>
      </c>
      <c r="C264" s="34" t="s">
        <v>7</v>
      </c>
      <c r="D264" s="35" t="s">
        <v>491</v>
      </c>
      <c r="E264" s="34" t="s">
        <v>492</v>
      </c>
      <c r="F264" s="34">
        <v>85.0</v>
      </c>
      <c r="G264" s="36">
        <v>0.0</v>
      </c>
      <c r="H264" s="6"/>
      <c r="I264" s="6"/>
      <c r="J264" s="6"/>
      <c r="K264" s="6"/>
      <c r="L264" s="6"/>
      <c r="M264" s="6"/>
      <c r="N264" s="6"/>
      <c r="O264" s="6"/>
      <c r="P264" s="6"/>
      <c r="Q264" s="6"/>
      <c r="R264" s="6"/>
      <c r="S264" s="6"/>
      <c r="T264" s="6"/>
      <c r="U264" s="6"/>
      <c r="V264" s="6"/>
      <c r="W264" s="6"/>
      <c r="X264" s="6"/>
      <c r="Y264" s="6"/>
      <c r="Z264" s="6"/>
    </row>
    <row r="265" ht="12.75" hidden="1" customHeight="1">
      <c r="A265" s="37">
        <v>264.0</v>
      </c>
      <c r="B265" s="37">
        <v>10264.0</v>
      </c>
      <c r="C265" s="37" t="s">
        <v>27</v>
      </c>
      <c r="D265" s="38" t="s">
        <v>493</v>
      </c>
      <c r="E265" s="37" t="s">
        <v>494</v>
      </c>
      <c r="F265" s="37">
        <v>118.0</v>
      </c>
      <c r="G265" s="39">
        <v>0.0</v>
      </c>
      <c r="H265" s="6"/>
      <c r="I265" s="6"/>
      <c r="J265" s="6"/>
      <c r="K265" s="6"/>
      <c r="L265" s="6"/>
      <c r="M265" s="6"/>
      <c r="N265" s="6"/>
      <c r="O265" s="6"/>
      <c r="P265" s="6"/>
      <c r="Q265" s="6"/>
      <c r="R265" s="6"/>
      <c r="S265" s="6"/>
      <c r="T265" s="6"/>
      <c r="U265" s="6"/>
      <c r="V265" s="6"/>
      <c r="W265" s="6"/>
      <c r="X265" s="6"/>
      <c r="Y265" s="6"/>
      <c r="Z265" s="6"/>
    </row>
    <row r="266" ht="12.75" hidden="1" customHeight="1">
      <c r="A266" s="34">
        <v>265.0</v>
      </c>
      <c r="B266" s="34">
        <v>10265.0</v>
      </c>
      <c r="C266" s="34" t="s">
        <v>34</v>
      </c>
      <c r="D266" s="35" t="s">
        <v>495</v>
      </c>
      <c r="E266" s="34" t="s">
        <v>496</v>
      </c>
      <c r="F266" s="34">
        <v>147.0</v>
      </c>
      <c r="G266" s="36">
        <v>0.0</v>
      </c>
      <c r="H266" s="6"/>
      <c r="I266" s="6"/>
      <c r="J266" s="6"/>
      <c r="K266" s="6"/>
      <c r="L266" s="6"/>
      <c r="M266" s="6"/>
      <c r="N266" s="6"/>
      <c r="O266" s="6"/>
      <c r="P266" s="6"/>
      <c r="Q266" s="6"/>
      <c r="R266" s="6"/>
      <c r="S266" s="6"/>
      <c r="T266" s="6"/>
      <c r="U266" s="6"/>
      <c r="V266" s="6"/>
      <c r="W266" s="6"/>
      <c r="X266" s="6"/>
      <c r="Y266" s="6"/>
      <c r="Z266" s="6"/>
    </row>
    <row r="267" ht="12.75" customHeight="1">
      <c r="A267" s="79">
        <v>266.0</v>
      </c>
      <c r="B267" s="79">
        <v>10266.0</v>
      </c>
      <c r="C267" s="79" t="s">
        <v>34</v>
      </c>
      <c r="D267" s="80" t="s">
        <v>497</v>
      </c>
      <c r="E267" s="79">
        <v>0.0</v>
      </c>
      <c r="F267" s="79">
        <v>1.0</v>
      </c>
      <c r="G267" s="81">
        <v>0.0</v>
      </c>
      <c r="H267" s="6"/>
      <c r="I267" s="6"/>
      <c r="J267" s="6"/>
      <c r="K267" s="6"/>
      <c r="L267" s="6"/>
      <c r="M267" s="6"/>
      <c r="N267" s="6"/>
      <c r="O267" s="6"/>
      <c r="P267" s="6"/>
      <c r="Q267" s="6"/>
      <c r="R267" s="6"/>
      <c r="S267" s="6"/>
      <c r="T267" s="6"/>
      <c r="U267" s="6"/>
      <c r="V267" s="6"/>
      <c r="W267" s="6"/>
      <c r="X267" s="6"/>
      <c r="Y267" s="6"/>
      <c r="Z267" s="6"/>
    </row>
    <row r="268" ht="12.75" hidden="1" customHeight="1">
      <c r="A268" s="34">
        <v>267.0</v>
      </c>
      <c r="B268" s="34">
        <v>10267.0</v>
      </c>
      <c r="C268" s="34" t="s">
        <v>7</v>
      </c>
      <c r="D268" s="35" t="s">
        <v>498</v>
      </c>
      <c r="E268" s="34" t="s">
        <v>499</v>
      </c>
      <c r="F268" s="34">
        <v>79.0</v>
      </c>
      <c r="G268" s="36">
        <v>0.0</v>
      </c>
      <c r="H268" s="6"/>
      <c r="I268" s="6"/>
      <c r="J268" s="6"/>
      <c r="K268" s="6"/>
      <c r="L268" s="6"/>
      <c r="M268" s="6"/>
      <c r="N268" s="6"/>
      <c r="O268" s="6"/>
      <c r="P268" s="6"/>
      <c r="Q268" s="6"/>
      <c r="R268" s="6"/>
      <c r="S268" s="6"/>
      <c r="T268" s="6"/>
      <c r="U268" s="6"/>
      <c r="V268" s="6"/>
      <c r="W268" s="6"/>
      <c r="X268" s="6"/>
      <c r="Y268" s="6"/>
      <c r="Z268" s="6"/>
    </row>
    <row r="269" ht="12.75" hidden="1" customHeight="1">
      <c r="A269" s="37">
        <v>268.0</v>
      </c>
      <c r="B269" s="37">
        <v>10268.0</v>
      </c>
      <c r="C269" s="37" t="s">
        <v>34</v>
      </c>
      <c r="D269" s="38" t="s">
        <v>500</v>
      </c>
      <c r="E269" s="37" t="s">
        <v>501</v>
      </c>
      <c r="F269" s="37">
        <v>83.0</v>
      </c>
      <c r="G269" s="39">
        <v>0.0</v>
      </c>
      <c r="H269" s="6"/>
      <c r="I269" s="6"/>
      <c r="J269" s="6"/>
      <c r="K269" s="6"/>
      <c r="L269" s="6"/>
      <c r="M269" s="6"/>
      <c r="N269" s="6"/>
      <c r="O269" s="6"/>
      <c r="P269" s="6"/>
      <c r="Q269" s="6"/>
      <c r="R269" s="6"/>
      <c r="S269" s="6"/>
      <c r="T269" s="6"/>
      <c r="U269" s="6"/>
      <c r="V269" s="6"/>
      <c r="W269" s="6"/>
      <c r="X269" s="6"/>
      <c r="Y269" s="6"/>
      <c r="Z269" s="6"/>
    </row>
    <row r="270" ht="12.75" hidden="1" customHeight="1">
      <c r="A270" s="34">
        <v>269.0</v>
      </c>
      <c r="B270" s="34">
        <v>10269.0</v>
      </c>
      <c r="C270" s="34" t="s">
        <v>7</v>
      </c>
      <c r="D270" s="35" t="s">
        <v>502</v>
      </c>
      <c r="E270" s="34" t="s">
        <v>503</v>
      </c>
      <c r="F270" s="34">
        <v>45.0</v>
      </c>
      <c r="G270" s="36">
        <v>0.0</v>
      </c>
      <c r="H270" s="6"/>
      <c r="I270" s="6"/>
      <c r="J270" s="6"/>
      <c r="K270" s="6"/>
      <c r="L270" s="6"/>
      <c r="M270" s="6"/>
      <c r="N270" s="6"/>
      <c r="O270" s="6"/>
      <c r="P270" s="6"/>
      <c r="Q270" s="6"/>
      <c r="R270" s="6"/>
      <c r="S270" s="6"/>
      <c r="T270" s="6"/>
      <c r="U270" s="6"/>
      <c r="V270" s="6"/>
      <c r="W270" s="6"/>
      <c r="X270" s="6"/>
      <c r="Y270" s="6"/>
      <c r="Z270" s="6"/>
    </row>
    <row r="271" ht="12.75" hidden="1" customHeight="1">
      <c r="A271" s="37">
        <v>270.0</v>
      </c>
      <c r="B271" s="37">
        <v>10270.0</v>
      </c>
      <c r="C271" s="37" t="s">
        <v>20</v>
      </c>
      <c r="D271" s="38" t="s">
        <v>504</v>
      </c>
      <c r="E271" s="37" t="s">
        <v>505</v>
      </c>
      <c r="F271" s="37">
        <v>132.0</v>
      </c>
      <c r="G271" s="39">
        <v>0.0</v>
      </c>
      <c r="H271" s="6"/>
      <c r="I271" s="6"/>
      <c r="J271" s="6"/>
      <c r="K271" s="6"/>
      <c r="L271" s="6"/>
      <c r="M271" s="6"/>
      <c r="N271" s="6"/>
      <c r="O271" s="6"/>
      <c r="P271" s="6"/>
      <c r="Q271" s="6"/>
      <c r="R271" s="6"/>
      <c r="S271" s="6"/>
      <c r="T271" s="6"/>
      <c r="U271" s="6"/>
      <c r="V271" s="6"/>
      <c r="W271" s="6"/>
      <c r="X271" s="6"/>
      <c r="Y271" s="6"/>
      <c r="Z271" s="6"/>
    </row>
    <row r="272" ht="12.75" hidden="1" customHeight="1">
      <c r="A272" s="34">
        <v>271.0</v>
      </c>
      <c r="B272" s="34">
        <v>10271.0</v>
      </c>
      <c r="C272" s="34" t="s">
        <v>7</v>
      </c>
      <c r="D272" s="35" t="s">
        <v>506</v>
      </c>
      <c r="E272" s="34" t="s">
        <v>507</v>
      </c>
      <c r="F272" s="34">
        <v>64.0</v>
      </c>
      <c r="G272" s="36">
        <v>0.0</v>
      </c>
      <c r="H272" s="6"/>
      <c r="I272" s="6"/>
      <c r="J272" s="6"/>
      <c r="K272" s="6"/>
      <c r="L272" s="6"/>
      <c r="M272" s="6"/>
      <c r="N272" s="6"/>
      <c r="O272" s="6"/>
      <c r="P272" s="6"/>
      <c r="Q272" s="6"/>
      <c r="R272" s="6"/>
      <c r="S272" s="6"/>
      <c r="T272" s="6"/>
      <c r="U272" s="6"/>
      <c r="V272" s="6"/>
      <c r="W272" s="6"/>
      <c r="X272" s="6"/>
      <c r="Y272" s="6"/>
      <c r="Z272" s="6"/>
    </row>
    <row r="273" ht="12.75" hidden="1" customHeight="1">
      <c r="A273" s="37">
        <v>272.0</v>
      </c>
      <c r="B273" s="37">
        <v>10272.0</v>
      </c>
      <c r="C273" s="37" t="s">
        <v>7</v>
      </c>
      <c r="D273" s="38" t="s">
        <v>508</v>
      </c>
      <c r="E273" s="37" t="s">
        <v>509</v>
      </c>
      <c r="F273" s="37">
        <v>47.0</v>
      </c>
      <c r="G273" s="39">
        <v>0.0</v>
      </c>
      <c r="H273" s="6"/>
      <c r="I273" s="6"/>
      <c r="J273" s="6"/>
      <c r="K273" s="6"/>
      <c r="L273" s="6"/>
      <c r="M273" s="6"/>
      <c r="N273" s="6"/>
      <c r="O273" s="6"/>
      <c r="P273" s="6"/>
      <c r="Q273" s="6"/>
      <c r="R273" s="6"/>
      <c r="S273" s="6"/>
      <c r="T273" s="6"/>
      <c r="U273" s="6"/>
      <c r="V273" s="6"/>
      <c r="W273" s="6"/>
      <c r="X273" s="6"/>
      <c r="Y273" s="6"/>
      <c r="Z273" s="6"/>
    </row>
    <row r="274" ht="12.75" hidden="1" customHeight="1">
      <c r="A274" s="49">
        <v>273.0</v>
      </c>
      <c r="B274" s="49">
        <v>10273.0</v>
      </c>
      <c r="C274" s="49" t="s">
        <v>34</v>
      </c>
      <c r="D274" s="50" t="s">
        <v>510</v>
      </c>
      <c r="E274" s="49" t="s">
        <v>511</v>
      </c>
      <c r="F274" s="49">
        <v>146.0</v>
      </c>
      <c r="G274" s="51">
        <v>0.0</v>
      </c>
      <c r="H274" s="6"/>
      <c r="I274" s="6"/>
      <c r="J274" s="6"/>
      <c r="K274" s="6"/>
      <c r="L274" s="6"/>
      <c r="M274" s="6"/>
      <c r="N274" s="6"/>
      <c r="O274" s="6"/>
      <c r="P274" s="6"/>
      <c r="Q274" s="6"/>
      <c r="R274" s="6"/>
      <c r="S274" s="6"/>
      <c r="T274" s="6"/>
      <c r="U274" s="6"/>
      <c r="V274" s="6"/>
      <c r="W274" s="6"/>
      <c r="X274" s="6"/>
      <c r="Y274" s="6"/>
      <c r="Z274" s="6"/>
    </row>
    <row r="275" ht="12.75" hidden="1" customHeight="1">
      <c r="A275" s="31">
        <v>274.0</v>
      </c>
      <c r="B275" s="31">
        <v>10274.0</v>
      </c>
      <c r="C275" s="31" t="s">
        <v>34</v>
      </c>
      <c r="D275" s="32" t="s">
        <v>512</v>
      </c>
      <c r="E275" s="31" t="s">
        <v>513</v>
      </c>
      <c r="F275" s="31">
        <v>85.0</v>
      </c>
      <c r="G275" s="33">
        <v>0.0</v>
      </c>
      <c r="H275" s="6"/>
      <c r="I275" s="6"/>
      <c r="J275" s="6"/>
      <c r="K275" s="6"/>
      <c r="L275" s="6"/>
      <c r="M275" s="6"/>
      <c r="N275" s="6"/>
      <c r="O275" s="6"/>
      <c r="P275" s="6"/>
      <c r="Q275" s="6"/>
      <c r="R275" s="6"/>
      <c r="S275" s="6"/>
      <c r="T275" s="6"/>
      <c r="U275" s="6"/>
      <c r="V275" s="6"/>
      <c r="W275" s="6"/>
      <c r="X275" s="6"/>
      <c r="Y275" s="6"/>
      <c r="Z275" s="6"/>
    </row>
    <row r="276" ht="12.75" hidden="1" customHeight="1">
      <c r="A276" s="34">
        <v>275.0</v>
      </c>
      <c r="B276" s="34">
        <v>10275.0</v>
      </c>
      <c r="C276" s="34" t="s">
        <v>7</v>
      </c>
      <c r="D276" s="35" t="s">
        <v>514</v>
      </c>
      <c r="E276" s="34" t="s">
        <v>515</v>
      </c>
      <c r="F276" s="34">
        <v>46.0</v>
      </c>
      <c r="G276" s="36">
        <v>0.0</v>
      </c>
      <c r="H276" s="6"/>
      <c r="I276" s="6"/>
      <c r="J276" s="6"/>
      <c r="K276" s="6"/>
      <c r="L276" s="6"/>
      <c r="M276" s="6"/>
      <c r="N276" s="6"/>
      <c r="O276" s="6"/>
      <c r="P276" s="6"/>
      <c r="Q276" s="6"/>
      <c r="R276" s="6"/>
      <c r="S276" s="6"/>
      <c r="T276" s="6"/>
      <c r="U276" s="6"/>
      <c r="V276" s="6"/>
      <c r="W276" s="6"/>
      <c r="X276" s="6"/>
      <c r="Y276" s="6"/>
      <c r="Z276" s="6"/>
    </row>
    <row r="277" ht="12.75" hidden="1" customHeight="1">
      <c r="A277" s="37">
        <v>276.0</v>
      </c>
      <c r="B277" s="37">
        <v>10276.0</v>
      </c>
      <c r="C277" s="37" t="s">
        <v>7</v>
      </c>
      <c r="D277" s="38" t="s">
        <v>516</v>
      </c>
      <c r="E277" s="37" t="s">
        <v>509</v>
      </c>
      <c r="F277" s="37">
        <v>47.0</v>
      </c>
      <c r="G277" s="39">
        <v>0.0</v>
      </c>
      <c r="H277" s="6"/>
      <c r="I277" s="6"/>
      <c r="J277" s="6"/>
      <c r="K277" s="6"/>
      <c r="L277" s="6"/>
      <c r="M277" s="6"/>
      <c r="N277" s="6"/>
      <c r="O277" s="6"/>
      <c r="P277" s="6"/>
      <c r="Q277" s="6"/>
      <c r="R277" s="6"/>
      <c r="S277" s="6"/>
      <c r="T277" s="6"/>
      <c r="U277" s="6"/>
      <c r="V277" s="6"/>
      <c r="W277" s="6"/>
      <c r="X277" s="6"/>
      <c r="Y277" s="6"/>
      <c r="Z277" s="6"/>
    </row>
    <row r="278" ht="12.75" hidden="1" customHeight="1">
      <c r="A278" s="34">
        <v>277.0</v>
      </c>
      <c r="B278" s="34">
        <v>10277.0</v>
      </c>
      <c r="C278" s="34" t="s">
        <v>34</v>
      </c>
      <c r="D278" s="35" t="s">
        <v>517</v>
      </c>
      <c r="E278" s="34" t="s">
        <v>518</v>
      </c>
      <c r="F278" s="34">
        <v>89.0</v>
      </c>
      <c r="G278" s="36">
        <v>0.0</v>
      </c>
      <c r="H278" s="6"/>
      <c r="I278" s="6"/>
      <c r="J278" s="6"/>
      <c r="K278" s="6"/>
      <c r="L278" s="6"/>
      <c r="M278" s="6"/>
      <c r="N278" s="6"/>
      <c r="O278" s="6"/>
      <c r="P278" s="6"/>
      <c r="Q278" s="6"/>
      <c r="R278" s="6"/>
      <c r="S278" s="6"/>
      <c r="T278" s="6"/>
      <c r="U278" s="6"/>
      <c r="V278" s="6"/>
      <c r="W278" s="6"/>
      <c r="X278" s="6"/>
      <c r="Y278" s="6"/>
      <c r="Z278" s="6"/>
    </row>
    <row r="279" ht="12.75" hidden="1" customHeight="1">
      <c r="A279" s="37">
        <v>278.0</v>
      </c>
      <c r="B279" s="37">
        <v>10278.0</v>
      </c>
      <c r="C279" s="37" t="s">
        <v>7</v>
      </c>
      <c r="D279" s="38" t="s">
        <v>519</v>
      </c>
      <c r="E279" s="37" t="s">
        <v>520</v>
      </c>
      <c r="F279" s="37">
        <v>80.0</v>
      </c>
      <c r="G279" s="39">
        <v>0.0</v>
      </c>
      <c r="H279" s="6"/>
      <c r="I279" s="6"/>
      <c r="J279" s="6"/>
      <c r="K279" s="6"/>
      <c r="L279" s="6"/>
      <c r="M279" s="6"/>
      <c r="N279" s="6"/>
      <c r="O279" s="6"/>
      <c r="P279" s="6"/>
      <c r="Q279" s="6"/>
      <c r="R279" s="6"/>
      <c r="S279" s="6"/>
      <c r="T279" s="6"/>
      <c r="U279" s="6"/>
      <c r="V279" s="6"/>
      <c r="W279" s="6"/>
      <c r="X279" s="6"/>
      <c r="Y279" s="6"/>
      <c r="Z279" s="6"/>
    </row>
    <row r="280" ht="12.75" hidden="1" customHeight="1">
      <c r="A280" s="34">
        <v>279.0</v>
      </c>
      <c r="B280" s="34">
        <v>10279.0</v>
      </c>
      <c r="C280" s="34" t="s">
        <v>27</v>
      </c>
      <c r="D280" s="35" t="s">
        <v>521</v>
      </c>
      <c r="E280" s="34" t="s">
        <v>522</v>
      </c>
      <c r="F280" s="34">
        <v>140.0</v>
      </c>
      <c r="G280" s="36">
        <v>0.0</v>
      </c>
      <c r="H280" s="6"/>
      <c r="I280" s="6"/>
      <c r="J280" s="6"/>
      <c r="K280" s="6"/>
      <c r="L280" s="6"/>
      <c r="M280" s="6"/>
      <c r="N280" s="6"/>
      <c r="O280" s="6"/>
      <c r="P280" s="6"/>
      <c r="Q280" s="6"/>
      <c r="R280" s="6"/>
      <c r="S280" s="6"/>
      <c r="T280" s="6"/>
      <c r="U280" s="6"/>
      <c r="V280" s="6"/>
      <c r="W280" s="6"/>
      <c r="X280" s="6"/>
      <c r="Y280" s="6"/>
      <c r="Z280" s="6"/>
    </row>
    <row r="281" ht="12.75" hidden="1" customHeight="1">
      <c r="A281" s="61">
        <v>280.0</v>
      </c>
      <c r="B281" s="61">
        <v>10280.0</v>
      </c>
      <c r="C281" s="61" t="s">
        <v>7</v>
      </c>
      <c r="D281" s="62" t="s">
        <v>523</v>
      </c>
      <c r="E281" s="61" t="s">
        <v>524</v>
      </c>
      <c r="F281" s="61">
        <v>72.0</v>
      </c>
      <c r="G281" s="63">
        <v>0.0</v>
      </c>
      <c r="H281" s="6"/>
      <c r="I281" s="6"/>
      <c r="J281" s="6"/>
      <c r="K281" s="6"/>
      <c r="L281" s="6"/>
      <c r="M281" s="6"/>
      <c r="N281" s="6"/>
      <c r="O281" s="6"/>
      <c r="P281" s="6"/>
      <c r="Q281" s="6"/>
      <c r="R281" s="6"/>
      <c r="S281" s="6"/>
      <c r="T281" s="6"/>
      <c r="U281" s="6"/>
      <c r="V281" s="6"/>
      <c r="W281" s="6"/>
      <c r="X281" s="6"/>
      <c r="Y281" s="6"/>
      <c r="Z281" s="6"/>
    </row>
    <row r="282" ht="12.75" customHeight="1">
      <c r="A282" s="70">
        <v>281.0</v>
      </c>
      <c r="B282" s="70">
        <v>10281.0</v>
      </c>
      <c r="C282" s="70" t="s">
        <v>34</v>
      </c>
      <c r="D282" s="71" t="s">
        <v>525</v>
      </c>
      <c r="E282" s="70">
        <v>0.0</v>
      </c>
      <c r="F282" s="70">
        <v>1.0</v>
      </c>
      <c r="G282" s="72">
        <v>0.0</v>
      </c>
      <c r="H282" s="6"/>
      <c r="I282" s="6"/>
      <c r="J282" s="6"/>
      <c r="K282" s="6"/>
      <c r="L282" s="6"/>
      <c r="M282" s="6"/>
      <c r="N282" s="6"/>
      <c r="O282" s="6"/>
      <c r="P282" s="6"/>
      <c r="Q282" s="6"/>
      <c r="R282" s="6"/>
      <c r="S282" s="6"/>
      <c r="T282" s="6"/>
      <c r="U282" s="6"/>
      <c r="V282" s="6"/>
      <c r="W282" s="6"/>
      <c r="X282" s="6"/>
      <c r="Y282" s="6"/>
      <c r="Z282" s="6"/>
    </row>
    <row r="283" ht="12.75" hidden="1" customHeight="1">
      <c r="A283" s="31">
        <v>282.0</v>
      </c>
      <c r="B283" s="31">
        <v>10282.0</v>
      </c>
      <c r="C283" s="31" t="s">
        <v>34</v>
      </c>
      <c r="D283" s="32" t="s">
        <v>526</v>
      </c>
      <c r="E283" s="31" t="s">
        <v>527</v>
      </c>
      <c r="F283" s="31">
        <v>133.0</v>
      </c>
      <c r="G283" s="33">
        <v>0.0</v>
      </c>
      <c r="H283" s="6"/>
      <c r="I283" s="6"/>
      <c r="J283" s="6"/>
      <c r="K283" s="6"/>
      <c r="L283" s="6"/>
      <c r="M283" s="6"/>
      <c r="N283" s="6"/>
      <c r="O283" s="6"/>
      <c r="P283" s="6"/>
      <c r="Q283" s="6"/>
      <c r="R283" s="6"/>
      <c r="S283" s="6"/>
      <c r="T283" s="6"/>
      <c r="U283" s="6"/>
      <c r="V283" s="6"/>
      <c r="W283" s="6"/>
      <c r="X283" s="6"/>
      <c r="Y283" s="6"/>
      <c r="Z283" s="6"/>
    </row>
    <row r="284" ht="12.75" hidden="1" customHeight="1">
      <c r="A284" s="34">
        <v>283.0</v>
      </c>
      <c r="B284" s="34">
        <v>10283.0</v>
      </c>
      <c r="C284" s="34" t="s">
        <v>7</v>
      </c>
      <c r="D284" s="35" t="s">
        <v>528</v>
      </c>
      <c r="E284" s="34" t="s">
        <v>529</v>
      </c>
      <c r="F284" s="34">
        <v>44.0</v>
      </c>
      <c r="G284" s="36">
        <v>0.0</v>
      </c>
      <c r="H284" s="6"/>
      <c r="I284" s="6"/>
      <c r="J284" s="6"/>
      <c r="K284" s="6"/>
      <c r="L284" s="6"/>
      <c r="M284" s="6"/>
      <c r="N284" s="6"/>
      <c r="O284" s="6"/>
      <c r="P284" s="6"/>
      <c r="Q284" s="6"/>
      <c r="R284" s="6"/>
      <c r="S284" s="6"/>
      <c r="T284" s="6"/>
      <c r="U284" s="6"/>
      <c r="V284" s="6"/>
      <c r="W284" s="6"/>
      <c r="X284" s="6"/>
      <c r="Y284" s="6"/>
      <c r="Z284" s="6"/>
    </row>
    <row r="285" ht="12.75" hidden="1" customHeight="1">
      <c r="A285" s="37">
        <v>284.0</v>
      </c>
      <c r="B285" s="37">
        <v>10284.0</v>
      </c>
      <c r="C285" s="37" t="s">
        <v>7</v>
      </c>
      <c r="D285" s="38" t="s">
        <v>530</v>
      </c>
      <c r="E285" s="37" t="s">
        <v>531</v>
      </c>
      <c r="F285" s="37">
        <v>38.0</v>
      </c>
      <c r="G285" s="39">
        <v>0.0</v>
      </c>
      <c r="H285" s="6"/>
      <c r="I285" s="6"/>
      <c r="J285" s="6"/>
      <c r="K285" s="6"/>
      <c r="L285" s="6"/>
      <c r="M285" s="6"/>
      <c r="N285" s="6"/>
      <c r="O285" s="6"/>
      <c r="P285" s="6"/>
      <c r="Q285" s="6"/>
      <c r="R285" s="6"/>
      <c r="S285" s="6"/>
      <c r="T285" s="6"/>
      <c r="U285" s="6"/>
      <c r="V285" s="6"/>
      <c r="W285" s="6"/>
      <c r="X285" s="6"/>
      <c r="Y285" s="6"/>
      <c r="Z285" s="6"/>
    </row>
    <row r="286" ht="12.75" customHeight="1">
      <c r="A286" s="79">
        <v>285.0</v>
      </c>
      <c r="B286" s="79">
        <v>10285.0</v>
      </c>
      <c r="C286" s="79" t="s">
        <v>34</v>
      </c>
      <c r="D286" s="80" t="s">
        <v>532</v>
      </c>
      <c r="E286" s="79">
        <v>0.0</v>
      </c>
      <c r="F286" s="79">
        <v>1.0</v>
      </c>
      <c r="G286" s="81">
        <v>0.0</v>
      </c>
      <c r="H286" s="6"/>
      <c r="I286" s="6"/>
      <c r="J286" s="6"/>
      <c r="K286" s="6"/>
      <c r="L286" s="6"/>
      <c r="M286" s="6"/>
      <c r="N286" s="6"/>
      <c r="O286" s="6"/>
      <c r="P286" s="6"/>
      <c r="Q286" s="6"/>
      <c r="R286" s="6"/>
      <c r="S286" s="6"/>
      <c r="T286" s="6"/>
      <c r="U286" s="6"/>
      <c r="V286" s="6"/>
      <c r="W286" s="6"/>
      <c r="X286" s="6"/>
      <c r="Y286" s="6"/>
      <c r="Z286" s="6"/>
    </row>
    <row r="287" ht="12.75" hidden="1" customHeight="1">
      <c r="A287" s="37">
        <v>286.0</v>
      </c>
      <c r="B287" s="37">
        <v>10286.0</v>
      </c>
      <c r="C287" s="37" t="s">
        <v>7</v>
      </c>
      <c r="D287" s="38" t="s">
        <v>533</v>
      </c>
      <c r="E287" s="37" t="s">
        <v>534</v>
      </c>
      <c r="F287" s="37">
        <v>44.0</v>
      </c>
      <c r="G287" s="39">
        <v>0.0</v>
      </c>
      <c r="H287" s="6"/>
      <c r="I287" s="6"/>
      <c r="J287" s="6"/>
      <c r="K287" s="6"/>
      <c r="L287" s="6"/>
      <c r="M287" s="6"/>
      <c r="N287" s="6"/>
      <c r="O287" s="6"/>
      <c r="P287" s="6"/>
      <c r="Q287" s="6"/>
      <c r="R287" s="6"/>
      <c r="S287" s="6"/>
      <c r="T287" s="6"/>
      <c r="U287" s="6"/>
      <c r="V287" s="6"/>
      <c r="W287" s="6"/>
      <c r="X287" s="6"/>
      <c r="Y287" s="6"/>
      <c r="Z287" s="6"/>
    </row>
    <row r="288" ht="12.75" hidden="1" customHeight="1">
      <c r="A288" s="34">
        <v>287.0</v>
      </c>
      <c r="B288" s="34">
        <v>10287.0</v>
      </c>
      <c r="C288" s="34" t="s">
        <v>34</v>
      </c>
      <c r="D288" s="35" t="s">
        <v>535</v>
      </c>
      <c r="E288" s="34" t="s">
        <v>536</v>
      </c>
      <c r="F288" s="34">
        <v>194.0</v>
      </c>
      <c r="G288" s="36" t="s">
        <v>331</v>
      </c>
      <c r="H288" s="6"/>
      <c r="I288" s="6"/>
      <c r="J288" s="6"/>
      <c r="K288" s="6"/>
      <c r="L288" s="6"/>
      <c r="M288" s="6"/>
      <c r="N288" s="6"/>
      <c r="O288" s="6"/>
      <c r="P288" s="6"/>
      <c r="Q288" s="6"/>
      <c r="R288" s="6"/>
      <c r="S288" s="6"/>
      <c r="T288" s="6"/>
      <c r="U288" s="6"/>
      <c r="V288" s="6"/>
      <c r="W288" s="6"/>
      <c r="X288" s="6"/>
      <c r="Y288" s="6"/>
      <c r="Z288" s="6"/>
    </row>
    <row r="289" ht="12.75" hidden="1" customHeight="1">
      <c r="A289" s="37">
        <v>288.0</v>
      </c>
      <c r="B289" s="37">
        <v>10288.0</v>
      </c>
      <c r="C289" s="37" t="s">
        <v>34</v>
      </c>
      <c r="D289" s="38" t="s">
        <v>537</v>
      </c>
      <c r="E289" s="37" t="s">
        <v>538</v>
      </c>
      <c r="F289" s="37">
        <v>172.0</v>
      </c>
      <c r="G289" s="39">
        <v>45770.0</v>
      </c>
      <c r="H289" s="6"/>
      <c r="I289" s="6"/>
      <c r="J289" s="6"/>
      <c r="K289" s="6"/>
      <c r="L289" s="6"/>
      <c r="M289" s="6"/>
      <c r="N289" s="6"/>
      <c r="O289" s="6"/>
      <c r="P289" s="6"/>
      <c r="Q289" s="6"/>
      <c r="R289" s="6"/>
      <c r="S289" s="6"/>
      <c r="T289" s="6"/>
      <c r="U289" s="6"/>
      <c r="V289" s="6"/>
      <c r="W289" s="6"/>
      <c r="X289" s="6"/>
      <c r="Y289" s="6"/>
      <c r="Z289" s="6"/>
    </row>
    <row r="290" ht="12.75" hidden="1" customHeight="1">
      <c r="A290" s="58">
        <v>289.0</v>
      </c>
      <c r="B290" s="58">
        <v>10289.0</v>
      </c>
      <c r="C290" s="58" t="s">
        <v>34</v>
      </c>
      <c r="D290" s="59" t="s">
        <v>539</v>
      </c>
      <c r="E290" s="58" t="s">
        <v>540</v>
      </c>
      <c r="F290" s="58">
        <v>147.0</v>
      </c>
      <c r="G290" s="60">
        <v>0.0</v>
      </c>
      <c r="H290" s="6"/>
      <c r="I290" s="6"/>
      <c r="J290" s="6"/>
      <c r="K290" s="6"/>
      <c r="L290" s="6"/>
      <c r="M290" s="6"/>
      <c r="N290" s="6"/>
      <c r="O290" s="6"/>
      <c r="P290" s="6"/>
      <c r="Q290" s="6"/>
      <c r="R290" s="6"/>
      <c r="S290" s="6"/>
      <c r="T290" s="6"/>
      <c r="U290" s="6"/>
      <c r="V290" s="6"/>
      <c r="W290" s="6"/>
      <c r="X290" s="6"/>
      <c r="Y290" s="6"/>
      <c r="Z290" s="6"/>
    </row>
    <row r="291" ht="12.75" hidden="1" customHeight="1">
      <c r="A291" s="61">
        <v>290.0</v>
      </c>
      <c r="B291" s="61">
        <v>10290.0</v>
      </c>
      <c r="C291" s="61" t="s">
        <v>7</v>
      </c>
      <c r="D291" s="62" t="s">
        <v>541</v>
      </c>
      <c r="E291" s="61" t="s">
        <v>542</v>
      </c>
      <c r="F291" s="61">
        <v>37.0</v>
      </c>
      <c r="G291" s="63">
        <v>0.0</v>
      </c>
      <c r="H291" s="6"/>
      <c r="I291" s="6"/>
      <c r="J291" s="6"/>
      <c r="K291" s="6"/>
      <c r="L291" s="6"/>
      <c r="M291" s="6"/>
      <c r="N291" s="6"/>
      <c r="O291" s="6"/>
      <c r="P291" s="6"/>
      <c r="Q291" s="6"/>
      <c r="R291" s="6"/>
      <c r="S291" s="6"/>
      <c r="T291" s="6"/>
      <c r="U291" s="6"/>
      <c r="V291" s="6"/>
      <c r="W291" s="6"/>
      <c r="X291" s="6"/>
      <c r="Y291" s="6"/>
      <c r="Z291" s="6"/>
    </row>
    <row r="292" ht="12.75" hidden="1" customHeight="1">
      <c r="A292" s="58">
        <v>291.0</v>
      </c>
      <c r="B292" s="58">
        <v>10291.0</v>
      </c>
      <c r="C292" s="58" t="s">
        <v>7</v>
      </c>
      <c r="D292" s="59" t="s">
        <v>543</v>
      </c>
      <c r="E292" s="58" t="s">
        <v>544</v>
      </c>
      <c r="F292" s="58">
        <v>43.0</v>
      </c>
      <c r="G292" s="60">
        <v>0.0</v>
      </c>
      <c r="H292" s="6"/>
      <c r="I292" s="6"/>
      <c r="J292" s="6"/>
      <c r="K292" s="6"/>
      <c r="L292" s="6"/>
      <c r="M292" s="6"/>
      <c r="N292" s="6"/>
      <c r="O292" s="6"/>
      <c r="P292" s="6"/>
      <c r="Q292" s="6"/>
      <c r="R292" s="6"/>
      <c r="S292" s="6"/>
      <c r="T292" s="6"/>
      <c r="U292" s="6"/>
      <c r="V292" s="6"/>
      <c r="W292" s="6"/>
      <c r="X292" s="6"/>
      <c r="Y292" s="6"/>
      <c r="Z292" s="6"/>
    </row>
    <row r="293" ht="12.75" hidden="1" customHeight="1">
      <c r="A293" s="37">
        <v>292.0</v>
      </c>
      <c r="B293" s="37">
        <v>10292.0</v>
      </c>
      <c r="C293" s="37" t="s">
        <v>7</v>
      </c>
      <c r="D293" s="38" t="s">
        <v>545</v>
      </c>
      <c r="E293" s="37" t="s">
        <v>546</v>
      </c>
      <c r="F293" s="37">
        <v>83.0</v>
      </c>
      <c r="G293" s="39">
        <v>0.0</v>
      </c>
      <c r="H293" s="6"/>
      <c r="I293" s="6"/>
      <c r="J293" s="6"/>
      <c r="K293" s="6"/>
      <c r="L293" s="6"/>
      <c r="M293" s="6"/>
      <c r="N293" s="6"/>
      <c r="O293" s="6"/>
      <c r="P293" s="6"/>
      <c r="Q293" s="6"/>
      <c r="R293" s="6"/>
      <c r="S293" s="6"/>
      <c r="T293" s="6"/>
      <c r="U293" s="6"/>
      <c r="V293" s="6"/>
      <c r="W293" s="6"/>
      <c r="X293" s="6"/>
      <c r="Y293" s="6"/>
      <c r="Z293" s="6"/>
    </row>
    <row r="294" ht="12.75" hidden="1" customHeight="1">
      <c r="A294" s="34">
        <v>293.0</v>
      </c>
      <c r="B294" s="34">
        <v>10293.0</v>
      </c>
      <c r="C294" s="34" t="s">
        <v>7</v>
      </c>
      <c r="D294" s="35" t="s">
        <v>547</v>
      </c>
      <c r="E294" s="34" t="s">
        <v>548</v>
      </c>
      <c r="F294" s="34">
        <v>85.0</v>
      </c>
      <c r="G294" s="36">
        <v>0.0</v>
      </c>
      <c r="H294" s="6"/>
      <c r="I294" s="6"/>
      <c r="J294" s="6"/>
      <c r="K294" s="6"/>
      <c r="L294" s="6"/>
      <c r="M294" s="6"/>
      <c r="N294" s="6"/>
      <c r="O294" s="6"/>
      <c r="P294" s="6"/>
      <c r="Q294" s="6"/>
      <c r="R294" s="6"/>
      <c r="S294" s="6"/>
      <c r="T294" s="6"/>
      <c r="U294" s="6"/>
      <c r="V294" s="6"/>
      <c r="W294" s="6"/>
      <c r="X294" s="6"/>
      <c r="Y294" s="6"/>
      <c r="Z294" s="6"/>
    </row>
    <row r="295" ht="12.75" customHeight="1">
      <c r="A295" s="70">
        <v>294.0</v>
      </c>
      <c r="B295" s="70">
        <v>10294.0</v>
      </c>
      <c r="C295" s="70" t="s">
        <v>34</v>
      </c>
      <c r="D295" s="71" t="s">
        <v>549</v>
      </c>
      <c r="E295" s="70">
        <v>0.0</v>
      </c>
      <c r="F295" s="70">
        <v>1.0</v>
      </c>
      <c r="G295" s="72">
        <v>0.0</v>
      </c>
      <c r="H295" s="6"/>
      <c r="I295" s="6"/>
      <c r="J295" s="6"/>
      <c r="K295" s="6"/>
      <c r="L295" s="6"/>
      <c r="M295" s="6"/>
      <c r="N295" s="6"/>
      <c r="O295" s="6"/>
      <c r="P295" s="6"/>
      <c r="Q295" s="6"/>
      <c r="R295" s="6"/>
      <c r="S295" s="6"/>
      <c r="T295" s="6"/>
      <c r="U295" s="6"/>
      <c r="V295" s="6"/>
      <c r="W295" s="6"/>
      <c r="X295" s="6"/>
      <c r="Y295" s="6"/>
      <c r="Z295" s="6"/>
    </row>
    <row r="296" ht="12.75" customHeight="1">
      <c r="A296" s="70">
        <v>295.0</v>
      </c>
      <c r="B296" s="70">
        <v>10295.0</v>
      </c>
      <c r="C296" s="70" t="s">
        <v>34</v>
      </c>
      <c r="D296" s="71" t="s">
        <v>550</v>
      </c>
      <c r="E296" s="70">
        <v>0.0</v>
      </c>
      <c r="F296" s="70">
        <v>1.0</v>
      </c>
      <c r="G296" s="72">
        <v>0.0</v>
      </c>
      <c r="H296" s="6"/>
      <c r="I296" s="6"/>
      <c r="J296" s="6"/>
      <c r="K296" s="6"/>
      <c r="L296" s="6"/>
      <c r="M296" s="6"/>
      <c r="N296" s="6"/>
      <c r="O296" s="6"/>
      <c r="P296" s="6"/>
      <c r="Q296" s="6"/>
      <c r="R296" s="6"/>
      <c r="S296" s="6"/>
      <c r="T296" s="6"/>
      <c r="U296" s="6"/>
      <c r="V296" s="6"/>
      <c r="W296" s="6"/>
      <c r="X296" s="6"/>
      <c r="Y296" s="6"/>
      <c r="Z296" s="6"/>
    </row>
    <row r="297" ht="12.75" customHeight="1">
      <c r="A297" s="70">
        <v>296.0</v>
      </c>
      <c r="B297" s="70">
        <v>10296.0</v>
      </c>
      <c r="C297" s="70" t="s">
        <v>34</v>
      </c>
      <c r="D297" s="71" t="s">
        <v>551</v>
      </c>
      <c r="E297" s="70">
        <v>0.0</v>
      </c>
      <c r="F297" s="70">
        <v>1.0</v>
      </c>
      <c r="G297" s="72">
        <v>0.0</v>
      </c>
      <c r="H297" s="6"/>
      <c r="I297" s="6"/>
      <c r="J297" s="6"/>
      <c r="K297" s="6"/>
      <c r="L297" s="6"/>
      <c r="M297" s="6"/>
      <c r="N297" s="6"/>
      <c r="O297" s="6"/>
      <c r="P297" s="6"/>
      <c r="Q297" s="6"/>
      <c r="R297" s="6"/>
      <c r="S297" s="6"/>
      <c r="T297" s="6"/>
      <c r="U297" s="6"/>
      <c r="V297" s="6"/>
      <c r="W297" s="6"/>
      <c r="X297" s="6"/>
      <c r="Y297" s="6"/>
      <c r="Z297" s="6"/>
    </row>
    <row r="298" ht="12.75" customHeight="1">
      <c r="A298" s="70">
        <v>297.0</v>
      </c>
      <c r="B298" s="70">
        <v>10297.0</v>
      </c>
      <c r="C298" s="70" t="s">
        <v>34</v>
      </c>
      <c r="D298" s="71" t="s">
        <v>552</v>
      </c>
      <c r="E298" s="70">
        <v>0.0</v>
      </c>
      <c r="F298" s="70">
        <v>1.0</v>
      </c>
      <c r="G298" s="72">
        <v>0.0</v>
      </c>
      <c r="H298" s="6"/>
      <c r="I298" s="6"/>
      <c r="J298" s="6"/>
      <c r="K298" s="6"/>
      <c r="L298" s="6"/>
      <c r="M298" s="6"/>
      <c r="N298" s="6"/>
      <c r="O298" s="6"/>
      <c r="P298" s="6"/>
      <c r="Q298" s="6"/>
      <c r="R298" s="6"/>
      <c r="S298" s="6"/>
      <c r="T298" s="6"/>
      <c r="U298" s="6"/>
      <c r="V298" s="6"/>
      <c r="W298" s="6"/>
      <c r="X298" s="6"/>
      <c r="Y298" s="6"/>
      <c r="Z298" s="6"/>
    </row>
    <row r="299" ht="12.75" customHeight="1">
      <c r="A299" s="79">
        <v>298.0</v>
      </c>
      <c r="B299" s="79">
        <v>10298.0</v>
      </c>
      <c r="C299" s="79" t="s">
        <v>34</v>
      </c>
      <c r="D299" s="80" t="s">
        <v>553</v>
      </c>
      <c r="E299" s="79">
        <v>0.0</v>
      </c>
      <c r="F299" s="79">
        <v>1.0</v>
      </c>
      <c r="G299" s="81">
        <v>0.0</v>
      </c>
      <c r="H299" s="6"/>
      <c r="I299" s="6"/>
      <c r="J299" s="6"/>
      <c r="K299" s="6"/>
      <c r="L299" s="6"/>
      <c r="M299" s="6"/>
      <c r="N299" s="6"/>
      <c r="O299" s="6"/>
      <c r="P299" s="6"/>
      <c r="Q299" s="6"/>
      <c r="R299" s="6"/>
      <c r="S299" s="6"/>
      <c r="T299" s="6"/>
      <c r="U299" s="6"/>
      <c r="V299" s="6"/>
      <c r="W299" s="6"/>
      <c r="X299" s="6"/>
      <c r="Y299" s="6"/>
      <c r="Z299" s="6"/>
    </row>
    <row r="300" ht="12.75" customHeight="1">
      <c r="A300" s="70">
        <v>299.0</v>
      </c>
      <c r="B300" s="70">
        <v>10299.0</v>
      </c>
      <c r="C300" s="70" t="s">
        <v>34</v>
      </c>
      <c r="D300" s="71" t="s">
        <v>554</v>
      </c>
      <c r="E300" s="70">
        <v>0.0</v>
      </c>
      <c r="F300" s="70">
        <v>1.0</v>
      </c>
      <c r="G300" s="72">
        <v>0.0</v>
      </c>
      <c r="H300" s="6"/>
      <c r="I300" s="6"/>
      <c r="J300" s="6"/>
      <c r="K300" s="6"/>
      <c r="L300" s="6"/>
      <c r="M300" s="6"/>
      <c r="N300" s="6"/>
      <c r="O300" s="6"/>
      <c r="P300" s="6"/>
      <c r="Q300" s="6"/>
      <c r="R300" s="6"/>
      <c r="S300" s="6"/>
      <c r="T300" s="6"/>
      <c r="U300" s="6"/>
      <c r="V300" s="6"/>
      <c r="W300" s="6"/>
      <c r="X300" s="6"/>
      <c r="Y300" s="6"/>
      <c r="Z300" s="6"/>
    </row>
    <row r="301" ht="12.75" hidden="1" customHeight="1">
      <c r="A301" s="37">
        <v>300.0</v>
      </c>
      <c r="B301" s="37">
        <v>10300.0</v>
      </c>
      <c r="C301" s="37" t="s">
        <v>7</v>
      </c>
      <c r="D301" s="38" t="s">
        <v>555</v>
      </c>
      <c r="E301" s="37" t="s">
        <v>556</v>
      </c>
      <c r="F301" s="37">
        <v>65.0</v>
      </c>
      <c r="G301" s="39">
        <v>0.0</v>
      </c>
      <c r="H301" s="6"/>
      <c r="I301" s="6"/>
      <c r="J301" s="6"/>
      <c r="K301" s="6"/>
      <c r="L301" s="6"/>
      <c r="M301" s="6"/>
      <c r="N301" s="6"/>
      <c r="O301" s="6"/>
      <c r="P301" s="6"/>
      <c r="Q301" s="6"/>
      <c r="R301" s="6"/>
      <c r="S301" s="6"/>
      <c r="T301" s="6"/>
      <c r="U301" s="6"/>
      <c r="V301" s="6"/>
      <c r="W301" s="6"/>
      <c r="X301" s="6"/>
      <c r="Y301" s="6"/>
      <c r="Z301" s="6"/>
    </row>
    <row r="302" ht="12.75" hidden="1" customHeight="1">
      <c r="A302" s="34">
        <v>301.0</v>
      </c>
      <c r="B302" s="34">
        <v>10301.0</v>
      </c>
      <c r="C302" s="34" t="s">
        <v>20</v>
      </c>
      <c r="D302" s="35" t="s">
        <v>557</v>
      </c>
      <c r="E302" s="34" t="s">
        <v>558</v>
      </c>
      <c r="F302" s="34">
        <v>151.0</v>
      </c>
      <c r="G302" s="36">
        <v>0.0</v>
      </c>
      <c r="H302" s="6"/>
      <c r="I302" s="6"/>
      <c r="J302" s="6"/>
      <c r="K302" s="6"/>
      <c r="L302" s="6"/>
      <c r="M302" s="6"/>
      <c r="N302" s="6"/>
      <c r="O302" s="6"/>
      <c r="P302" s="6"/>
      <c r="Q302" s="6"/>
      <c r="R302" s="6"/>
      <c r="S302" s="6"/>
      <c r="T302" s="6"/>
      <c r="U302" s="6"/>
      <c r="V302" s="6"/>
      <c r="W302" s="6"/>
      <c r="X302" s="6"/>
      <c r="Y302" s="6"/>
      <c r="Z302" s="6"/>
    </row>
    <row r="303" ht="12.75" customHeight="1">
      <c r="A303" s="70">
        <v>302.0</v>
      </c>
      <c r="B303" s="70">
        <v>10302.0</v>
      </c>
      <c r="C303" s="70" t="s">
        <v>34</v>
      </c>
      <c r="D303" s="71" t="s">
        <v>559</v>
      </c>
      <c r="E303" s="70">
        <v>0.0</v>
      </c>
      <c r="F303" s="70">
        <v>1.0</v>
      </c>
      <c r="G303" s="72">
        <v>0.0</v>
      </c>
      <c r="H303" s="6"/>
      <c r="I303" s="6"/>
      <c r="J303" s="6"/>
      <c r="K303" s="6"/>
      <c r="L303" s="6"/>
      <c r="M303" s="6"/>
      <c r="N303" s="6"/>
      <c r="O303" s="6"/>
      <c r="P303" s="6"/>
      <c r="Q303" s="6"/>
      <c r="R303" s="6"/>
      <c r="S303" s="6"/>
      <c r="T303" s="6"/>
      <c r="U303" s="6"/>
      <c r="V303" s="6"/>
      <c r="W303" s="6"/>
      <c r="X303" s="6"/>
      <c r="Y303" s="6"/>
      <c r="Z303" s="6"/>
    </row>
    <row r="304" ht="12.75" customHeight="1">
      <c r="A304" s="70">
        <v>303.0</v>
      </c>
      <c r="B304" s="70">
        <v>10303.0</v>
      </c>
      <c r="C304" s="70" t="s">
        <v>34</v>
      </c>
      <c r="D304" s="71" t="s">
        <v>560</v>
      </c>
      <c r="E304" s="70">
        <v>0.0</v>
      </c>
      <c r="F304" s="70">
        <v>1.0</v>
      </c>
      <c r="G304" s="72">
        <v>0.0</v>
      </c>
      <c r="H304" s="6"/>
      <c r="I304" s="6"/>
      <c r="J304" s="6"/>
      <c r="K304" s="6"/>
      <c r="L304" s="6"/>
      <c r="M304" s="6"/>
      <c r="N304" s="6"/>
      <c r="O304" s="6"/>
      <c r="P304" s="6"/>
      <c r="Q304" s="6"/>
      <c r="R304" s="6"/>
      <c r="S304" s="6"/>
      <c r="T304" s="6"/>
      <c r="U304" s="6"/>
      <c r="V304" s="6"/>
      <c r="W304" s="6"/>
      <c r="X304" s="6"/>
      <c r="Y304" s="6"/>
      <c r="Z304" s="6"/>
    </row>
    <row r="305" ht="12.75" hidden="1" customHeight="1">
      <c r="A305" s="61">
        <v>304.0</v>
      </c>
      <c r="B305" s="61">
        <v>10304.0</v>
      </c>
      <c r="C305" s="61" t="s">
        <v>20</v>
      </c>
      <c r="D305" s="62" t="s">
        <v>561</v>
      </c>
      <c r="E305" s="61" t="s">
        <v>562</v>
      </c>
      <c r="F305" s="61">
        <v>130.0</v>
      </c>
      <c r="G305" s="63">
        <v>0.0</v>
      </c>
      <c r="H305" s="6"/>
      <c r="I305" s="6"/>
      <c r="J305" s="6"/>
      <c r="K305" s="6"/>
      <c r="L305" s="6"/>
      <c r="M305" s="6"/>
      <c r="N305" s="6"/>
      <c r="O305" s="6"/>
      <c r="P305" s="6"/>
      <c r="Q305" s="6"/>
      <c r="R305" s="6"/>
      <c r="S305" s="6"/>
      <c r="T305" s="6"/>
      <c r="U305" s="6"/>
      <c r="V305" s="6"/>
      <c r="W305" s="6"/>
      <c r="X305" s="6"/>
      <c r="Y305" s="6"/>
      <c r="Z305" s="6"/>
    </row>
    <row r="306" ht="12.75" hidden="1" customHeight="1">
      <c r="A306" s="34">
        <v>305.0</v>
      </c>
      <c r="B306" s="34">
        <v>10305.0</v>
      </c>
      <c r="C306" s="34" t="s">
        <v>20</v>
      </c>
      <c r="D306" s="35" t="s">
        <v>563</v>
      </c>
      <c r="E306" s="34" t="s">
        <v>564</v>
      </c>
      <c r="F306" s="34">
        <v>73.0</v>
      </c>
      <c r="G306" s="36">
        <v>0.0</v>
      </c>
      <c r="H306" s="6"/>
      <c r="I306" s="6"/>
      <c r="J306" s="6"/>
      <c r="K306" s="6"/>
      <c r="L306" s="6"/>
      <c r="M306" s="6"/>
      <c r="N306" s="6"/>
      <c r="O306" s="6"/>
      <c r="P306" s="6"/>
      <c r="Q306" s="6"/>
      <c r="R306" s="6"/>
      <c r="S306" s="6"/>
      <c r="T306" s="6"/>
      <c r="U306" s="6"/>
      <c r="V306" s="6"/>
      <c r="W306" s="6"/>
      <c r="X306" s="6"/>
      <c r="Y306" s="6"/>
      <c r="Z306" s="6"/>
    </row>
    <row r="307" ht="12.75" hidden="1" customHeight="1">
      <c r="A307" s="61">
        <v>306.0</v>
      </c>
      <c r="B307" s="61">
        <v>10306.0</v>
      </c>
      <c r="C307" s="61" t="s">
        <v>34</v>
      </c>
      <c r="D307" s="62" t="s">
        <v>565</v>
      </c>
      <c r="E307" s="61" t="s">
        <v>566</v>
      </c>
      <c r="F307" s="61">
        <v>184.0</v>
      </c>
      <c r="G307" s="63">
        <v>45770.0</v>
      </c>
      <c r="H307" s="6"/>
      <c r="I307" s="6"/>
      <c r="J307" s="6"/>
      <c r="K307" s="6"/>
      <c r="L307" s="6"/>
      <c r="M307" s="6"/>
      <c r="N307" s="6"/>
      <c r="O307" s="6"/>
      <c r="P307" s="6"/>
      <c r="Q307" s="6"/>
      <c r="R307" s="6"/>
      <c r="S307" s="6"/>
      <c r="T307" s="6"/>
      <c r="U307" s="6"/>
      <c r="V307" s="6"/>
      <c r="W307" s="6"/>
      <c r="X307" s="6"/>
      <c r="Y307" s="6"/>
      <c r="Z307" s="6"/>
    </row>
    <row r="308" ht="12.75" hidden="1" customHeight="1">
      <c r="A308" s="34">
        <v>307.0</v>
      </c>
      <c r="B308" s="34">
        <v>10307.0</v>
      </c>
      <c r="C308" s="34" t="s">
        <v>34</v>
      </c>
      <c r="D308" s="35" t="s">
        <v>567</v>
      </c>
      <c r="E308" s="34" t="s">
        <v>568</v>
      </c>
      <c r="F308" s="34">
        <v>231.0</v>
      </c>
      <c r="G308" s="36" t="s">
        <v>331</v>
      </c>
      <c r="H308" s="6"/>
      <c r="I308" s="6"/>
      <c r="J308" s="6"/>
      <c r="K308" s="6"/>
      <c r="L308" s="6"/>
      <c r="M308" s="6"/>
      <c r="N308" s="6"/>
      <c r="O308" s="6"/>
      <c r="P308" s="6"/>
      <c r="Q308" s="6"/>
      <c r="R308" s="6"/>
      <c r="S308" s="6"/>
      <c r="T308" s="6"/>
      <c r="U308" s="6"/>
      <c r="V308" s="6"/>
      <c r="W308" s="6"/>
      <c r="X308" s="6"/>
      <c r="Y308" s="6"/>
      <c r="Z308" s="6"/>
    </row>
    <row r="309" ht="12.75" hidden="1" customHeight="1">
      <c r="A309" s="10">
        <v>308.0</v>
      </c>
      <c r="B309" s="10">
        <v>10308.0</v>
      </c>
      <c r="C309" s="10" t="s">
        <v>34</v>
      </c>
      <c r="D309" s="11" t="s">
        <v>569</v>
      </c>
      <c r="E309" s="10" t="s">
        <v>570</v>
      </c>
      <c r="F309" s="10">
        <v>228.0</v>
      </c>
      <c r="G309" s="12" t="s">
        <v>331</v>
      </c>
      <c r="H309" s="6"/>
      <c r="I309" s="6"/>
      <c r="J309" s="6"/>
      <c r="K309" s="6"/>
      <c r="L309" s="6"/>
      <c r="M309" s="6"/>
      <c r="N309" s="6"/>
      <c r="O309" s="6"/>
      <c r="P309" s="6"/>
      <c r="Q309" s="6"/>
      <c r="R309" s="6"/>
      <c r="S309" s="6"/>
      <c r="T309" s="6"/>
      <c r="U309" s="6"/>
      <c r="V309" s="6"/>
      <c r="W309" s="6"/>
      <c r="X309" s="6"/>
      <c r="Y309" s="6"/>
      <c r="Z309" s="6"/>
    </row>
    <row r="310" ht="12.75" customHeight="1">
      <c r="A310" s="70">
        <v>309.0</v>
      </c>
      <c r="B310" s="70">
        <v>10309.0</v>
      </c>
      <c r="C310" s="70" t="s">
        <v>34</v>
      </c>
      <c r="D310" s="71" t="s">
        <v>571</v>
      </c>
      <c r="E310" s="70">
        <v>0.0</v>
      </c>
      <c r="F310" s="70">
        <v>1.0</v>
      </c>
      <c r="G310" s="72">
        <v>0.0</v>
      </c>
      <c r="H310" s="6"/>
      <c r="I310" s="6"/>
      <c r="J310" s="6"/>
      <c r="K310" s="6"/>
      <c r="L310" s="6"/>
      <c r="M310" s="6"/>
      <c r="N310" s="6"/>
      <c r="O310" s="6"/>
      <c r="P310" s="6"/>
      <c r="Q310" s="6"/>
      <c r="R310" s="6"/>
      <c r="S310" s="6"/>
      <c r="T310" s="6"/>
      <c r="U310" s="6"/>
      <c r="V310" s="6"/>
      <c r="W310" s="6"/>
      <c r="X310" s="6"/>
      <c r="Y310" s="6"/>
      <c r="Z310" s="6"/>
    </row>
    <row r="311" ht="12.75" hidden="1" customHeight="1">
      <c r="A311" s="37">
        <v>310.0</v>
      </c>
      <c r="B311" s="37">
        <v>10310.0</v>
      </c>
      <c r="C311" s="37" t="s">
        <v>7</v>
      </c>
      <c r="D311" s="38" t="s">
        <v>572</v>
      </c>
      <c r="E311" s="37" t="s">
        <v>573</v>
      </c>
      <c r="F311" s="37">
        <v>119.0</v>
      </c>
      <c r="G311" s="39">
        <v>0.0</v>
      </c>
      <c r="H311" s="6"/>
      <c r="I311" s="6"/>
      <c r="J311" s="6"/>
      <c r="K311" s="6"/>
      <c r="L311" s="6"/>
      <c r="M311" s="6"/>
      <c r="N311" s="6"/>
      <c r="O311" s="6"/>
      <c r="P311" s="6"/>
      <c r="Q311" s="6"/>
      <c r="R311" s="6"/>
      <c r="S311" s="6"/>
      <c r="T311" s="6"/>
      <c r="U311" s="6"/>
      <c r="V311" s="6"/>
      <c r="W311" s="6"/>
      <c r="X311" s="6"/>
      <c r="Y311" s="6"/>
      <c r="Z311" s="6"/>
    </row>
    <row r="312" ht="12.75" hidden="1" customHeight="1">
      <c r="A312" s="34">
        <v>311.0</v>
      </c>
      <c r="B312" s="34">
        <v>10311.0</v>
      </c>
      <c r="C312" s="34" t="s">
        <v>7</v>
      </c>
      <c r="D312" s="35" t="s">
        <v>574</v>
      </c>
      <c r="E312" s="34" t="s">
        <v>575</v>
      </c>
      <c r="F312" s="34">
        <v>131.0</v>
      </c>
      <c r="G312" s="36">
        <v>0.0</v>
      </c>
      <c r="H312" s="6"/>
      <c r="I312" s="6"/>
      <c r="J312" s="6"/>
      <c r="K312" s="6"/>
      <c r="L312" s="6"/>
      <c r="M312" s="6"/>
      <c r="N312" s="6"/>
      <c r="O312" s="6"/>
      <c r="P312" s="6"/>
      <c r="Q312" s="6"/>
      <c r="R312" s="6"/>
      <c r="S312" s="6"/>
      <c r="T312" s="6"/>
      <c r="U312" s="6"/>
      <c r="V312" s="6"/>
      <c r="W312" s="6"/>
      <c r="X312" s="6"/>
      <c r="Y312" s="6"/>
      <c r="Z312" s="6"/>
    </row>
    <row r="313" ht="12.75" hidden="1" customHeight="1">
      <c r="A313" s="61">
        <v>312.0</v>
      </c>
      <c r="B313" s="61">
        <v>10312.0</v>
      </c>
      <c r="C313" s="61" t="s">
        <v>34</v>
      </c>
      <c r="D313" s="62" t="s">
        <v>576</v>
      </c>
      <c r="E313" s="61" t="s">
        <v>577</v>
      </c>
      <c r="F313" s="61">
        <v>181.0</v>
      </c>
      <c r="G313" s="63">
        <v>45770.0</v>
      </c>
      <c r="H313" s="6"/>
      <c r="I313" s="6"/>
      <c r="J313" s="6"/>
      <c r="K313" s="6"/>
      <c r="L313" s="6"/>
      <c r="M313" s="6"/>
      <c r="N313" s="6"/>
      <c r="O313" s="6"/>
      <c r="P313" s="6"/>
      <c r="Q313" s="6"/>
      <c r="R313" s="6"/>
      <c r="S313" s="6"/>
      <c r="T313" s="6"/>
      <c r="U313" s="6"/>
      <c r="V313" s="6"/>
      <c r="W313" s="6"/>
      <c r="X313" s="6"/>
      <c r="Y313" s="6"/>
      <c r="Z313" s="6"/>
    </row>
    <row r="314" ht="12.75" hidden="1" customHeight="1">
      <c r="A314" s="34">
        <v>313.0</v>
      </c>
      <c r="B314" s="34">
        <v>10313.0</v>
      </c>
      <c r="C314" s="34" t="s">
        <v>20</v>
      </c>
      <c r="D314" s="35" t="s">
        <v>578</v>
      </c>
      <c r="E314" s="34" t="s">
        <v>579</v>
      </c>
      <c r="F314" s="34">
        <v>145.0</v>
      </c>
      <c r="G314" s="36">
        <v>0.0</v>
      </c>
      <c r="H314" s="6"/>
      <c r="I314" s="6"/>
      <c r="J314" s="6"/>
      <c r="K314" s="6"/>
      <c r="L314" s="6"/>
      <c r="M314" s="6"/>
      <c r="N314" s="6"/>
      <c r="O314" s="6"/>
      <c r="P314" s="6"/>
      <c r="Q314" s="6"/>
      <c r="R314" s="6"/>
      <c r="S314" s="6"/>
      <c r="T314" s="6"/>
      <c r="U314" s="6"/>
      <c r="V314" s="6"/>
      <c r="W314" s="6"/>
      <c r="X314" s="6"/>
      <c r="Y314" s="6"/>
      <c r="Z314" s="6"/>
    </row>
    <row r="315" ht="12.75" hidden="1" customHeight="1">
      <c r="A315" s="37">
        <v>314.0</v>
      </c>
      <c r="B315" s="37">
        <v>10314.0</v>
      </c>
      <c r="C315" s="37" t="s">
        <v>7</v>
      </c>
      <c r="D315" s="38" t="s">
        <v>580</v>
      </c>
      <c r="E315" s="37" t="s">
        <v>581</v>
      </c>
      <c r="F315" s="37">
        <v>43.0</v>
      </c>
      <c r="G315" s="39">
        <v>0.0</v>
      </c>
      <c r="H315" s="6"/>
      <c r="I315" s="6"/>
      <c r="J315" s="6"/>
      <c r="K315" s="6"/>
      <c r="L315" s="6"/>
      <c r="M315" s="6"/>
      <c r="N315" s="6"/>
      <c r="O315" s="6"/>
      <c r="P315" s="6"/>
      <c r="Q315" s="6"/>
      <c r="R315" s="6"/>
      <c r="S315" s="6"/>
      <c r="T315" s="6"/>
      <c r="U315" s="6"/>
      <c r="V315" s="6"/>
      <c r="W315" s="6"/>
      <c r="X315" s="6"/>
      <c r="Y315" s="6"/>
      <c r="Z315" s="6"/>
    </row>
    <row r="316" ht="12.75" hidden="1" customHeight="1">
      <c r="A316" s="34">
        <v>315.0</v>
      </c>
      <c r="B316" s="34">
        <v>10315.0</v>
      </c>
      <c r="C316" s="34" t="s">
        <v>34</v>
      </c>
      <c r="D316" s="35" t="s">
        <v>582</v>
      </c>
      <c r="E316" s="34" t="s">
        <v>583</v>
      </c>
      <c r="F316" s="34">
        <v>84.0</v>
      </c>
      <c r="G316" s="36">
        <v>0.0</v>
      </c>
      <c r="H316" s="6"/>
      <c r="I316" s="6"/>
      <c r="J316" s="6"/>
      <c r="K316" s="6"/>
      <c r="L316" s="6"/>
      <c r="M316" s="6"/>
      <c r="N316" s="6"/>
      <c r="O316" s="6"/>
      <c r="P316" s="6"/>
      <c r="Q316" s="6"/>
      <c r="R316" s="6"/>
      <c r="S316" s="6"/>
      <c r="T316" s="6"/>
      <c r="U316" s="6"/>
      <c r="V316" s="6"/>
      <c r="W316" s="6"/>
      <c r="X316" s="6"/>
      <c r="Y316" s="6"/>
      <c r="Z316" s="6"/>
    </row>
    <row r="317" ht="12.75" hidden="1" customHeight="1">
      <c r="A317" s="37">
        <v>316.0</v>
      </c>
      <c r="B317" s="37">
        <v>10316.0</v>
      </c>
      <c r="C317" s="37" t="s">
        <v>20</v>
      </c>
      <c r="D317" s="38" t="s">
        <v>584</v>
      </c>
      <c r="E317" s="37" t="s">
        <v>585</v>
      </c>
      <c r="F317" s="37">
        <v>145.0</v>
      </c>
      <c r="G317" s="39">
        <v>0.0</v>
      </c>
      <c r="H317" s="6"/>
      <c r="I317" s="6"/>
      <c r="J317" s="6"/>
      <c r="K317" s="6"/>
      <c r="L317" s="6"/>
      <c r="M317" s="6"/>
      <c r="N317" s="6"/>
      <c r="O317" s="6"/>
      <c r="P317" s="6"/>
      <c r="Q317" s="6"/>
      <c r="R317" s="6"/>
      <c r="S317" s="6"/>
      <c r="T317" s="6"/>
      <c r="U317" s="6"/>
      <c r="V317" s="6"/>
      <c r="W317" s="6"/>
      <c r="X317" s="6"/>
      <c r="Y317" s="6"/>
      <c r="Z317" s="6"/>
    </row>
    <row r="318" ht="12.75" hidden="1" customHeight="1">
      <c r="A318" s="34">
        <v>317.0</v>
      </c>
      <c r="B318" s="34">
        <v>10317.0</v>
      </c>
      <c r="C318" s="34" t="s">
        <v>7</v>
      </c>
      <c r="D318" s="35" t="s">
        <v>586</v>
      </c>
      <c r="E318" s="34" t="s">
        <v>587</v>
      </c>
      <c r="F318" s="34">
        <v>56.0</v>
      </c>
      <c r="G318" s="36">
        <v>0.0</v>
      </c>
      <c r="H318" s="6"/>
      <c r="I318" s="6"/>
      <c r="J318" s="6"/>
      <c r="K318" s="6"/>
      <c r="L318" s="6"/>
      <c r="M318" s="6"/>
      <c r="N318" s="6"/>
      <c r="O318" s="6"/>
      <c r="P318" s="6"/>
      <c r="Q318" s="6"/>
      <c r="R318" s="6"/>
      <c r="S318" s="6"/>
      <c r="T318" s="6"/>
      <c r="U318" s="6"/>
      <c r="V318" s="6"/>
      <c r="W318" s="6"/>
      <c r="X318" s="6"/>
      <c r="Y318" s="6"/>
      <c r="Z318" s="6"/>
    </row>
    <row r="319" ht="12.75" hidden="1" customHeight="1">
      <c r="A319" s="37">
        <v>318.0</v>
      </c>
      <c r="B319" s="37">
        <v>10318.0</v>
      </c>
      <c r="C319" s="37" t="s">
        <v>7</v>
      </c>
      <c r="D319" s="38" t="s">
        <v>588</v>
      </c>
      <c r="E319" s="37" t="s">
        <v>589</v>
      </c>
      <c r="F319" s="37">
        <v>72.0</v>
      </c>
      <c r="G319" s="39">
        <v>0.0</v>
      </c>
      <c r="H319" s="6"/>
      <c r="I319" s="6"/>
      <c r="J319" s="6"/>
      <c r="K319" s="6"/>
      <c r="L319" s="6"/>
      <c r="M319" s="6"/>
      <c r="N319" s="6"/>
      <c r="O319" s="6"/>
      <c r="P319" s="6"/>
      <c r="Q319" s="6"/>
      <c r="R319" s="6"/>
      <c r="S319" s="6"/>
      <c r="T319" s="6"/>
      <c r="U319" s="6"/>
      <c r="V319" s="6"/>
      <c r="W319" s="6"/>
      <c r="X319" s="6"/>
      <c r="Y319" s="6"/>
      <c r="Z319" s="6"/>
    </row>
    <row r="320" ht="12.75" hidden="1" customHeight="1">
      <c r="A320" s="58">
        <v>319.0</v>
      </c>
      <c r="B320" s="58">
        <v>10319.0</v>
      </c>
      <c r="C320" s="58" t="s">
        <v>27</v>
      </c>
      <c r="D320" s="59" t="s">
        <v>590</v>
      </c>
      <c r="E320" s="58" t="s">
        <v>591</v>
      </c>
      <c r="F320" s="58">
        <v>74.0</v>
      </c>
      <c r="G320" s="60">
        <v>0.0</v>
      </c>
      <c r="H320" s="6"/>
      <c r="I320" s="6"/>
      <c r="J320" s="6"/>
      <c r="K320" s="6"/>
      <c r="L320" s="6"/>
      <c r="M320" s="6"/>
      <c r="N320" s="6"/>
      <c r="O320" s="6"/>
      <c r="P320" s="6"/>
      <c r="Q320" s="6"/>
      <c r="R320" s="6"/>
      <c r="S320" s="6"/>
      <c r="T320" s="6"/>
      <c r="U320" s="6"/>
      <c r="V320" s="6"/>
      <c r="W320" s="6"/>
      <c r="X320" s="6"/>
      <c r="Y320" s="6"/>
      <c r="Z320" s="6"/>
    </row>
    <row r="321" ht="12.75" hidden="1" customHeight="1">
      <c r="A321" s="37">
        <v>320.0</v>
      </c>
      <c r="B321" s="37">
        <v>10320.0</v>
      </c>
      <c r="C321" s="37" t="s">
        <v>20</v>
      </c>
      <c r="D321" s="38" t="s">
        <v>592</v>
      </c>
      <c r="E321" s="37" t="s">
        <v>593</v>
      </c>
      <c r="F321" s="37">
        <v>128.0</v>
      </c>
      <c r="G321" s="39">
        <v>0.0</v>
      </c>
      <c r="H321" s="6"/>
      <c r="I321" s="6"/>
      <c r="J321" s="6"/>
      <c r="K321" s="6"/>
      <c r="L321" s="6"/>
      <c r="M321" s="6"/>
      <c r="N321" s="6"/>
      <c r="O321" s="6"/>
      <c r="P321" s="6"/>
      <c r="Q321" s="6"/>
      <c r="R321" s="6"/>
      <c r="S321" s="6"/>
      <c r="T321" s="6"/>
      <c r="U321" s="6"/>
      <c r="V321" s="6"/>
      <c r="W321" s="6"/>
      <c r="X321" s="6"/>
      <c r="Y321" s="6"/>
      <c r="Z321" s="6"/>
    </row>
    <row r="322" ht="12.75" hidden="1" customHeight="1">
      <c r="A322" s="58">
        <v>321.0</v>
      </c>
      <c r="B322" s="58">
        <v>10321.0</v>
      </c>
      <c r="C322" s="58" t="s">
        <v>34</v>
      </c>
      <c r="D322" s="59" t="s">
        <v>594</v>
      </c>
      <c r="E322" s="58" t="s">
        <v>595</v>
      </c>
      <c r="F322" s="58">
        <v>162.0</v>
      </c>
      <c r="G322" s="60">
        <v>0.0</v>
      </c>
      <c r="H322" s="6"/>
      <c r="I322" s="6"/>
      <c r="J322" s="6"/>
      <c r="K322" s="6"/>
      <c r="L322" s="6"/>
      <c r="M322" s="6"/>
      <c r="N322" s="6"/>
      <c r="O322" s="6"/>
      <c r="P322" s="6"/>
      <c r="Q322" s="6"/>
      <c r="R322" s="6"/>
      <c r="S322" s="6"/>
      <c r="T322" s="6"/>
      <c r="U322" s="6"/>
      <c r="V322" s="6"/>
      <c r="W322" s="6"/>
      <c r="X322" s="6"/>
      <c r="Y322" s="6"/>
      <c r="Z322" s="6"/>
    </row>
    <row r="323" ht="12.75" hidden="1" customHeight="1">
      <c r="A323" s="37">
        <v>322.0</v>
      </c>
      <c r="B323" s="37">
        <v>10322.0</v>
      </c>
      <c r="C323" s="37" t="s">
        <v>7</v>
      </c>
      <c r="D323" s="38" t="s">
        <v>596</v>
      </c>
      <c r="E323" s="37" t="s">
        <v>597</v>
      </c>
      <c r="F323" s="37">
        <v>122.0</v>
      </c>
      <c r="G323" s="39">
        <v>0.0</v>
      </c>
      <c r="H323" s="6"/>
      <c r="I323" s="6"/>
      <c r="J323" s="6"/>
      <c r="K323" s="6"/>
      <c r="L323" s="6"/>
      <c r="M323" s="6"/>
      <c r="N323" s="6"/>
      <c r="O323" s="6"/>
      <c r="P323" s="6"/>
      <c r="Q323" s="6"/>
      <c r="R323" s="6"/>
      <c r="S323" s="6"/>
      <c r="T323" s="6"/>
      <c r="U323" s="6"/>
      <c r="V323" s="6"/>
      <c r="W323" s="6"/>
      <c r="X323" s="6"/>
      <c r="Y323" s="6"/>
      <c r="Z323" s="6"/>
    </row>
    <row r="324" ht="12.75" hidden="1" customHeight="1">
      <c r="A324" s="34">
        <v>323.0</v>
      </c>
      <c r="B324" s="34">
        <v>10323.0</v>
      </c>
      <c r="C324" s="34" t="s">
        <v>7</v>
      </c>
      <c r="D324" s="35" t="s">
        <v>598</v>
      </c>
      <c r="E324" s="34" t="s">
        <v>599</v>
      </c>
      <c r="F324" s="34">
        <v>59.0</v>
      </c>
      <c r="G324" s="36">
        <v>0.0</v>
      </c>
      <c r="H324" s="6"/>
      <c r="I324" s="6"/>
      <c r="J324" s="6"/>
      <c r="K324" s="6"/>
      <c r="L324" s="6"/>
      <c r="M324" s="6"/>
      <c r="N324" s="6"/>
      <c r="O324" s="6"/>
      <c r="P324" s="6"/>
      <c r="Q324" s="6"/>
      <c r="R324" s="6"/>
      <c r="S324" s="6"/>
      <c r="T324" s="6"/>
      <c r="U324" s="6"/>
      <c r="V324" s="6"/>
      <c r="W324" s="6"/>
      <c r="X324" s="6"/>
      <c r="Y324" s="6"/>
      <c r="Z324" s="6"/>
    </row>
    <row r="325" ht="12.75" hidden="1" customHeight="1">
      <c r="A325" s="37">
        <v>324.0</v>
      </c>
      <c r="B325" s="37">
        <v>10324.0</v>
      </c>
      <c r="C325" s="37" t="s">
        <v>34</v>
      </c>
      <c r="D325" s="38" t="s">
        <v>600</v>
      </c>
      <c r="E325" s="37" t="s">
        <v>601</v>
      </c>
      <c r="F325" s="37">
        <v>204.0</v>
      </c>
      <c r="G325" s="39" t="s">
        <v>331</v>
      </c>
      <c r="H325" s="6"/>
      <c r="I325" s="6"/>
      <c r="J325" s="6"/>
      <c r="K325" s="6"/>
      <c r="L325" s="6"/>
      <c r="M325" s="6"/>
      <c r="N325" s="6"/>
      <c r="O325" s="6"/>
      <c r="P325" s="6"/>
      <c r="Q325" s="6"/>
      <c r="R325" s="6"/>
      <c r="S325" s="6"/>
      <c r="T325" s="6"/>
      <c r="U325" s="6"/>
      <c r="V325" s="6"/>
      <c r="W325" s="6"/>
      <c r="X325" s="6"/>
      <c r="Y325" s="6"/>
      <c r="Z325" s="6"/>
    </row>
    <row r="326" ht="12.75" hidden="1" customHeight="1">
      <c r="A326" s="34">
        <v>325.0</v>
      </c>
      <c r="B326" s="34">
        <v>10325.0</v>
      </c>
      <c r="C326" s="34" t="s">
        <v>34</v>
      </c>
      <c r="D326" s="35" t="s">
        <v>602</v>
      </c>
      <c r="E326" s="34" t="s">
        <v>603</v>
      </c>
      <c r="F326" s="34">
        <v>231.0</v>
      </c>
      <c r="G326" s="36" t="s">
        <v>331</v>
      </c>
      <c r="H326" s="6"/>
      <c r="I326" s="6"/>
      <c r="J326" s="6"/>
      <c r="K326" s="6"/>
      <c r="L326" s="6"/>
      <c r="M326" s="6"/>
      <c r="N326" s="6"/>
      <c r="O326" s="6"/>
      <c r="P326" s="6"/>
      <c r="Q326" s="6"/>
      <c r="R326" s="6"/>
      <c r="S326" s="6"/>
      <c r="T326" s="6"/>
      <c r="U326" s="6"/>
      <c r="V326" s="6"/>
      <c r="W326" s="6"/>
      <c r="X326" s="6"/>
      <c r="Y326" s="6"/>
      <c r="Z326" s="6"/>
    </row>
    <row r="327" ht="12.75" hidden="1" customHeight="1">
      <c r="A327" s="37">
        <v>326.0</v>
      </c>
      <c r="B327" s="37">
        <v>10326.0</v>
      </c>
      <c r="C327" s="37" t="s">
        <v>7</v>
      </c>
      <c r="D327" s="38" t="s">
        <v>604</v>
      </c>
      <c r="E327" s="37" t="s">
        <v>605</v>
      </c>
      <c r="F327" s="37">
        <v>41.0</v>
      </c>
      <c r="G327" s="39">
        <v>0.0</v>
      </c>
      <c r="H327" s="6"/>
      <c r="I327" s="6"/>
      <c r="J327" s="6"/>
      <c r="K327" s="6"/>
      <c r="L327" s="6"/>
      <c r="M327" s="6"/>
      <c r="N327" s="6"/>
      <c r="O327" s="6"/>
      <c r="P327" s="6"/>
      <c r="Q327" s="6"/>
      <c r="R327" s="6"/>
      <c r="S327" s="6"/>
      <c r="T327" s="6"/>
      <c r="U327" s="6"/>
      <c r="V327" s="6"/>
      <c r="W327" s="6"/>
      <c r="X327" s="6"/>
      <c r="Y327" s="6"/>
      <c r="Z327" s="6"/>
    </row>
    <row r="328" ht="12.75" hidden="1" customHeight="1">
      <c r="A328" s="34">
        <v>327.0</v>
      </c>
      <c r="B328" s="34">
        <v>10327.0</v>
      </c>
      <c r="C328" s="34" t="s">
        <v>34</v>
      </c>
      <c r="D328" s="35" t="s">
        <v>606</v>
      </c>
      <c r="E328" s="34" t="s">
        <v>607</v>
      </c>
      <c r="F328" s="34">
        <v>137.0</v>
      </c>
      <c r="G328" s="36">
        <v>0.0</v>
      </c>
      <c r="H328" s="6"/>
      <c r="I328" s="6"/>
      <c r="J328" s="6"/>
      <c r="K328" s="6"/>
      <c r="L328" s="6"/>
      <c r="M328" s="6"/>
      <c r="N328" s="6"/>
      <c r="O328" s="6"/>
      <c r="P328" s="6"/>
      <c r="Q328" s="6"/>
      <c r="R328" s="6"/>
      <c r="S328" s="6"/>
      <c r="T328" s="6"/>
      <c r="U328" s="6"/>
      <c r="V328" s="6"/>
      <c r="W328" s="6"/>
      <c r="X328" s="6"/>
      <c r="Y328" s="6"/>
      <c r="Z328" s="6"/>
    </row>
    <row r="329" ht="12.75" hidden="1" customHeight="1">
      <c r="A329" s="37">
        <v>328.0</v>
      </c>
      <c r="B329" s="37">
        <v>10328.0</v>
      </c>
      <c r="C329" s="37" t="s">
        <v>7</v>
      </c>
      <c r="D329" s="38" t="s">
        <v>608</v>
      </c>
      <c r="E329" s="37" t="s">
        <v>609</v>
      </c>
      <c r="F329" s="37">
        <v>37.0</v>
      </c>
      <c r="G329" s="39">
        <v>0.0</v>
      </c>
      <c r="H329" s="6"/>
      <c r="I329" s="6"/>
      <c r="J329" s="6"/>
      <c r="K329" s="6"/>
      <c r="L329" s="6"/>
      <c r="M329" s="6"/>
      <c r="N329" s="6"/>
      <c r="O329" s="6"/>
      <c r="P329" s="6"/>
      <c r="Q329" s="6"/>
      <c r="R329" s="6"/>
      <c r="S329" s="6"/>
      <c r="T329" s="6"/>
      <c r="U329" s="6"/>
      <c r="V329" s="6"/>
      <c r="W329" s="6"/>
      <c r="X329" s="6"/>
      <c r="Y329" s="6"/>
      <c r="Z329" s="6"/>
    </row>
    <row r="330" ht="12.75" hidden="1" customHeight="1">
      <c r="A330" s="58">
        <v>329.0</v>
      </c>
      <c r="B330" s="58">
        <v>10329.0</v>
      </c>
      <c r="C330" s="58" t="s">
        <v>7</v>
      </c>
      <c r="D330" s="59" t="s">
        <v>610</v>
      </c>
      <c r="E330" s="58" t="s">
        <v>611</v>
      </c>
      <c r="F330" s="58">
        <v>40.0</v>
      </c>
      <c r="G330" s="60">
        <v>0.0</v>
      </c>
      <c r="H330" s="6"/>
      <c r="I330" s="6"/>
      <c r="J330" s="6"/>
      <c r="K330" s="6"/>
      <c r="L330" s="6"/>
      <c r="M330" s="6"/>
      <c r="N330" s="6"/>
      <c r="O330" s="6"/>
      <c r="P330" s="6"/>
      <c r="Q330" s="6"/>
      <c r="R330" s="6"/>
      <c r="S330" s="6"/>
      <c r="T330" s="6"/>
      <c r="U330" s="6"/>
      <c r="V330" s="6"/>
      <c r="W330" s="6"/>
      <c r="X330" s="6"/>
      <c r="Y330" s="6"/>
      <c r="Z330" s="6"/>
    </row>
    <row r="331" ht="12.75" hidden="1" customHeight="1">
      <c r="A331" s="61">
        <v>330.0</v>
      </c>
      <c r="B331" s="61">
        <v>10330.0</v>
      </c>
      <c r="C331" s="61" t="s">
        <v>7</v>
      </c>
      <c r="D331" s="62" t="s">
        <v>612</v>
      </c>
      <c r="E331" s="61" t="s">
        <v>613</v>
      </c>
      <c r="F331" s="61">
        <v>58.0</v>
      </c>
      <c r="G331" s="63">
        <v>0.0</v>
      </c>
      <c r="H331" s="6"/>
      <c r="I331" s="6"/>
      <c r="J331" s="6"/>
      <c r="K331" s="6"/>
      <c r="L331" s="6"/>
      <c r="M331" s="6"/>
      <c r="N331" s="6"/>
      <c r="O331" s="6"/>
      <c r="P331" s="6"/>
      <c r="Q331" s="6"/>
      <c r="R331" s="6"/>
      <c r="S331" s="6"/>
      <c r="T331" s="6"/>
      <c r="U331" s="6"/>
      <c r="V331" s="6"/>
      <c r="W331" s="6"/>
      <c r="X331" s="6"/>
      <c r="Y331" s="6"/>
      <c r="Z331" s="6"/>
    </row>
    <row r="332" ht="12.75" hidden="1" customHeight="1">
      <c r="A332" s="58">
        <v>331.0</v>
      </c>
      <c r="B332" s="58">
        <v>10331.0</v>
      </c>
      <c r="C332" s="58" t="s">
        <v>7</v>
      </c>
      <c r="D332" s="59" t="s">
        <v>614</v>
      </c>
      <c r="E332" s="58" t="s">
        <v>615</v>
      </c>
      <c r="F332" s="58">
        <v>43.0</v>
      </c>
      <c r="G332" s="60">
        <v>0.0</v>
      </c>
      <c r="H332" s="6"/>
      <c r="I332" s="6"/>
      <c r="J332" s="6"/>
      <c r="K332" s="6"/>
      <c r="L332" s="6"/>
      <c r="M332" s="6"/>
      <c r="N332" s="6"/>
      <c r="O332" s="6"/>
      <c r="P332" s="6"/>
      <c r="Q332" s="6"/>
      <c r="R332" s="6"/>
      <c r="S332" s="6"/>
      <c r="T332" s="6"/>
      <c r="U332" s="6"/>
      <c r="V332" s="6"/>
      <c r="W332" s="6"/>
      <c r="X332" s="6"/>
      <c r="Y332" s="6"/>
      <c r="Z332" s="6"/>
    </row>
    <row r="333" ht="12.75" hidden="1" customHeight="1">
      <c r="A333" s="37">
        <v>332.0</v>
      </c>
      <c r="B333" s="37">
        <v>10332.0</v>
      </c>
      <c r="C333" s="37" t="s">
        <v>20</v>
      </c>
      <c r="D333" s="38" t="s">
        <v>616</v>
      </c>
      <c r="E333" s="37" t="s">
        <v>617</v>
      </c>
      <c r="F333" s="37">
        <v>169.0</v>
      </c>
      <c r="G333" s="39">
        <v>45772.0</v>
      </c>
      <c r="H333" s="6"/>
      <c r="I333" s="6"/>
      <c r="J333" s="6"/>
      <c r="K333" s="6"/>
      <c r="L333" s="6"/>
      <c r="M333" s="6"/>
      <c r="N333" s="6"/>
      <c r="O333" s="6"/>
      <c r="P333" s="6"/>
      <c r="Q333" s="6"/>
      <c r="R333" s="6"/>
      <c r="S333" s="6"/>
      <c r="T333" s="6"/>
      <c r="U333" s="6"/>
      <c r="V333" s="6"/>
      <c r="W333" s="6"/>
      <c r="X333" s="6"/>
      <c r="Y333" s="6"/>
      <c r="Z333" s="6"/>
    </row>
    <row r="334" ht="12.75" hidden="1" customHeight="1">
      <c r="A334" s="34">
        <v>333.0</v>
      </c>
      <c r="B334" s="34">
        <v>10333.0</v>
      </c>
      <c r="C334" s="34" t="s">
        <v>7</v>
      </c>
      <c r="D334" s="35" t="s">
        <v>618</v>
      </c>
      <c r="E334" s="34" t="s">
        <v>619</v>
      </c>
      <c r="F334" s="34">
        <v>43.0</v>
      </c>
      <c r="G334" s="36">
        <v>0.0</v>
      </c>
      <c r="H334" s="6"/>
      <c r="I334" s="6"/>
      <c r="J334" s="6"/>
      <c r="K334" s="6"/>
      <c r="L334" s="6"/>
      <c r="M334" s="6"/>
      <c r="N334" s="6"/>
      <c r="O334" s="6"/>
      <c r="P334" s="6"/>
      <c r="Q334" s="6"/>
      <c r="R334" s="6"/>
      <c r="S334" s="6"/>
      <c r="T334" s="6"/>
      <c r="U334" s="6"/>
      <c r="V334" s="6"/>
      <c r="W334" s="6"/>
      <c r="X334" s="6"/>
      <c r="Y334" s="6"/>
      <c r="Z334" s="6"/>
    </row>
    <row r="335" ht="12.75" customHeight="1">
      <c r="A335" s="70">
        <v>334.0</v>
      </c>
      <c r="B335" s="70">
        <v>10334.0</v>
      </c>
      <c r="C335" s="70" t="s">
        <v>34</v>
      </c>
      <c r="D335" s="71" t="s">
        <v>620</v>
      </c>
      <c r="E335" s="70">
        <v>0.0</v>
      </c>
      <c r="F335" s="70">
        <v>1.0</v>
      </c>
      <c r="G335" s="72">
        <v>0.0</v>
      </c>
      <c r="H335" s="6"/>
      <c r="I335" s="6"/>
      <c r="J335" s="6"/>
      <c r="K335" s="6"/>
      <c r="L335" s="6"/>
      <c r="M335" s="6"/>
      <c r="N335" s="6"/>
      <c r="O335" s="6"/>
      <c r="P335" s="6"/>
      <c r="Q335" s="6"/>
      <c r="R335" s="6"/>
      <c r="S335" s="6"/>
      <c r="T335" s="6"/>
      <c r="U335" s="6"/>
      <c r="V335" s="6"/>
      <c r="W335" s="6"/>
      <c r="X335" s="6"/>
      <c r="Y335" s="6"/>
      <c r="Z335" s="6"/>
    </row>
    <row r="336" ht="12.75" hidden="1" customHeight="1">
      <c r="A336" s="34">
        <v>335.0</v>
      </c>
      <c r="B336" s="34">
        <v>10335.0</v>
      </c>
      <c r="C336" s="34" t="s">
        <v>34</v>
      </c>
      <c r="D336" s="35" t="s">
        <v>621</v>
      </c>
      <c r="E336" s="34" t="s">
        <v>622</v>
      </c>
      <c r="F336" s="34">
        <v>160.0</v>
      </c>
      <c r="G336" s="36">
        <v>0.0</v>
      </c>
      <c r="H336" s="6"/>
      <c r="I336" s="6"/>
      <c r="J336" s="6"/>
      <c r="K336" s="6"/>
      <c r="L336" s="6"/>
      <c r="M336" s="6"/>
      <c r="N336" s="6"/>
      <c r="O336" s="6"/>
      <c r="P336" s="6"/>
      <c r="Q336" s="6"/>
      <c r="R336" s="6"/>
      <c r="S336" s="6"/>
      <c r="T336" s="6"/>
      <c r="U336" s="6"/>
      <c r="V336" s="6"/>
      <c r="W336" s="6"/>
      <c r="X336" s="6"/>
      <c r="Y336" s="6"/>
      <c r="Z336" s="6"/>
    </row>
    <row r="337" ht="12.75" customHeight="1">
      <c r="A337" s="70">
        <v>336.0</v>
      </c>
      <c r="B337" s="70">
        <v>10336.0</v>
      </c>
      <c r="C337" s="70" t="s">
        <v>34</v>
      </c>
      <c r="D337" s="71" t="s">
        <v>623</v>
      </c>
      <c r="E337" s="70">
        <v>0.0</v>
      </c>
      <c r="F337" s="70">
        <v>1.0</v>
      </c>
      <c r="G337" s="72">
        <v>0.0</v>
      </c>
      <c r="H337" s="6"/>
      <c r="I337" s="6"/>
      <c r="J337" s="6"/>
      <c r="K337" s="6"/>
      <c r="L337" s="6"/>
      <c r="M337" s="6"/>
      <c r="N337" s="6"/>
      <c r="O337" s="6"/>
      <c r="P337" s="6"/>
      <c r="Q337" s="6"/>
      <c r="R337" s="6"/>
      <c r="S337" s="6"/>
      <c r="T337" s="6"/>
      <c r="U337" s="6"/>
      <c r="V337" s="6"/>
      <c r="W337" s="6"/>
      <c r="X337" s="6"/>
      <c r="Y337" s="6"/>
      <c r="Z337" s="6"/>
    </row>
    <row r="338" ht="12.75" hidden="1" customHeight="1">
      <c r="A338" s="34">
        <v>337.0</v>
      </c>
      <c r="B338" s="34">
        <v>10337.0</v>
      </c>
      <c r="C338" s="34" t="s">
        <v>34</v>
      </c>
      <c r="D338" s="35" t="s">
        <v>624</v>
      </c>
      <c r="E338" s="34" t="s">
        <v>625</v>
      </c>
      <c r="F338" s="34">
        <v>148.0</v>
      </c>
      <c r="G338" s="36">
        <v>0.0</v>
      </c>
      <c r="H338" s="6"/>
      <c r="I338" s="6"/>
      <c r="J338" s="6"/>
      <c r="K338" s="6"/>
      <c r="L338" s="6"/>
      <c r="M338" s="6"/>
      <c r="N338" s="6"/>
      <c r="O338" s="6"/>
      <c r="P338" s="6"/>
      <c r="Q338" s="6"/>
      <c r="R338" s="6"/>
      <c r="S338" s="6"/>
      <c r="T338" s="6"/>
      <c r="U338" s="6"/>
      <c r="V338" s="6"/>
      <c r="W338" s="6"/>
      <c r="X338" s="6"/>
      <c r="Y338" s="6"/>
      <c r="Z338" s="6"/>
    </row>
    <row r="339" ht="12.75" hidden="1" customHeight="1">
      <c r="A339" s="61">
        <v>338.0</v>
      </c>
      <c r="B339" s="61">
        <v>10338.0</v>
      </c>
      <c r="C339" s="61" t="s">
        <v>7</v>
      </c>
      <c r="D339" s="62" t="s">
        <v>626</v>
      </c>
      <c r="E339" s="61" t="s">
        <v>627</v>
      </c>
      <c r="F339" s="61">
        <v>43.0</v>
      </c>
      <c r="G339" s="63">
        <v>0.0</v>
      </c>
      <c r="H339" s="6"/>
      <c r="I339" s="6"/>
      <c r="J339" s="6"/>
      <c r="K339" s="6"/>
      <c r="L339" s="6"/>
      <c r="M339" s="6"/>
      <c r="N339" s="6"/>
      <c r="O339" s="6"/>
      <c r="P339" s="6"/>
      <c r="Q339" s="6"/>
      <c r="R339" s="6"/>
      <c r="S339" s="6"/>
      <c r="T339" s="6"/>
      <c r="U339" s="6"/>
      <c r="V339" s="6"/>
      <c r="W339" s="6"/>
      <c r="X339" s="6"/>
      <c r="Y339" s="6"/>
      <c r="Z339" s="6"/>
    </row>
    <row r="340" ht="12.75" hidden="1" customHeight="1">
      <c r="A340" s="34">
        <v>339.0</v>
      </c>
      <c r="B340" s="34">
        <v>10339.0</v>
      </c>
      <c r="C340" s="34" t="s">
        <v>7</v>
      </c>
      <c r="D340" s="35" t="s">
        <v>628</v>
      </c>
      <c r="E340" s="34" t="s">
        <v>629</v>
      </c>
      <c r="F340" s="34">
        <v>94.0</v>
      </c>
      <c r="G340" s="36">
        <v>0.0</v>
      </c>
      <c r="H340" s="6"/>
      <c r="I340" s="6"/>
      <c r="J340" s="6"/>
      <c r="K340" s="6"/>
      <c r="L340" s="6"/>
      <c r="M340" s="6"/>
      <c r="N340" s="6"/>
      <c r="O340" s="6"/>
      <c r="P340" s="6"/>
      <c r="Q340" s="6"/>
      <c r="R340" s="6"/>
      <c r="S340" s="6"/>
      <c r="T340" s="6"/>
      <c r="U340" s="6"/>
      <c r="V340" s="6"/>
      <c r="W340" s="6"/>
      <c r="X340" s="6"/>
      <c r="Y340" s="6"/>
      <c r="Z340" s="6"/>
    </row>
    <row r="341" ht="12.75" hidden="1" customHeight="1">
      <c r="A341" s="37">
        <v>340.0</v>
      </c>
      <c r="B341" s="37">
        <v>10340.0</v>
      </c>
      <c r="C341" s="37" t="s">
        <v>7</v>
      </c>
      <c r="D341" s="38" t="s">
        <v>630</v>
      </c>
      <c r="E341" s="37" t="s">
        <v>631</v>
      </c>
      <c r="F341" s="37">
        <v>62.0</v>
      </c>
      <c r="G341" s="39">
        <v>0.0</v>
      </c>
      <c r="H341" s="6"/>
      <c r="I341" s="6"/>
      <c r="J341" s="6"/>
      <c r="K341" s="6"/>
      <c r="L341" s="6"/>
      <c r="M341" s="6"/>
      <c r="N341" s="6"/>
      <c r="O341" s="6"/>
      <c r="P341" s="6"/>
      <c r="Q341" s="6"/>
      <c r="R341" s="6"/>
      <c r="S341" s="6"/>
      <c r="T341" s="6"/>
      <c r="U341" s="6"/>
      <c r="V341" s="6"/>
      <c r="W341" s="6"/>
      <c r="X341" s="6"/>
      <c r="Y341" s="6"/>
      <c r="Z341" s="6"/>
    </row>
    <row r="342" ht="12.75" hidden="1" customHeight="1">
      <c r="A342" s="34">
        <v>341.0</v>
      </c>
      <c r="B342" s="34">
        <v>10341.0</v>
      </c>
      <c r="C342" s="34" t="s">
        <v>7</v>
      </c>
      <c r="D342" s="35" t="s">
        <v>632</v>
      </c>
      <c r="E342" s="34" t="s">
        <v>633</v>
      </c>
      <c r="F342" s="34">
        <v>81.0</v>
      </c>
      <c r="G342" s="36">
        <v>0.0</v>
      </c>
      <c r="H342" s="6"/>
      <c r="I342" s="6"/>
      <c r="J342" s="6"/>
      <c r="K342" s="6"/>
      <c r="L342" s="6"/>
      <c r="M342" s="6"/>
      <c r="N342" s="6"/>
      <c r="O342" s="6"/>
      <c r="P342" s="6"/>
      <c r="Q342" s="6"/>
      <c r="R342" s="6"/>
      <c r="S342" s="6"/>
      <c r="T342" s="6"/>
      <c r="U342" s="6"/>
      <c r="V342" s="6"/>
      <c r="W342" s="6"/>
      <c r="X342" s="6"/>
      <c r="Y342" s="6"/>
      <c r="Z342" s="6"/>
    </row>
    <row r="343" ht="12.75" hidden="1" customHeight="1">
      <c r="A343" s="61">
        <v>342.0</v>
      </c>
      <c r="B343" s="61">
        <v>10342.0</v>
      </c>
      <c r="C343" s="61" t="s">
        <v>34</v>
      </c>
      <c r="D343" s="62" t="s">
        <v>634</v>
      </c>
      <c r="E343" s="61" t="s">
        <v>603</v>
      </c>
      <c r="F343" s="61">
        <v>231.0</v>
      </c>
      <c r="G343" s="63" t="s">
        <v>331</v>
      </c>
      <c r="H343" s="6"/>
      <c r="I343" s="6"/>
      <c r="J343" s="6"/>
      <c r="K343" s="6"/>
      <c r="L343" s="6"/>
      <c r="M343" s="6"/>
      <c r="N343" s="6"/>
      <c r="O343" s="6"/>
      <c r="P343" s="6"/>
      <c r="Q343" s="6"/>
      <c r="R343" s="6"/>
      <c r="S343" s="6"/>
      <c r="T343" s="6"/>
      <c r="U343" s="6"/>
      <c r="V343" s="6"/>
      <c r="W343" s="6"/>
      <c r="X343" s="6"/>
      <c r="Y343" s="6"/>
      <c r="Z343" s="6"/>
    </row>
    <row r="344" ht="12.75" hidden="1" customHeight="1">
      <c r="A344" s="58">
        <v>343.0</v>
      </c>
      <c r="B344" s="58">
        <v>10343.0</v>
      </c>
      <c r="C344" s="58" t="s">
        <v>7</v>
      </c>
      <c r="D344" s="59" t="s">
        <v>635</v>
      </c>
      <c r="E344" s="58" t="s">
        <v>636</v>
      </c>
      <c r="F344" s="58">
        <v>34.0</v>
      </c>
      <c r="G344" s="60">
        <v>0.0</v>
      </c>
      <c r="H344" s="6"/>
      <c r="I344" s="6"/>
      <c r="J344" s="6"/>
      <c r="K344" s="6"/>
      <c r="L344" s="6"/>
      <c r="M344" s="6"/>
      <c r="N344" s="6"/>
      <c r="O344" s="6"/>
      <c r="P344" s="6"/>
      <c r="Q344" s="6"/>
      <c r="R344" s="6"/>
      <c r="S344" s="6"/>
      <c r="T344" s="6"/>
      <c r="U344" s="6"/>
      <c r="V344" s="6"/>
      <c r="W344" s="6"/>
      <c r="X344" s="6"/>
      <c r="Y344" s="6"/>
      <c r="Z344" s="6"/>
    </row>
    <row r="345" ht="12.75" hidden="1" customHeight="1">
      <c r="A345" s="61">
        <v>344.0</v>
      </c>
      <c r="B345" s="61">
        <v>10344.0</v>
      </c>
      <c r="C345" s="61" t="s">
        <v>7</v>
      </c>
      <c r="D345" s="62" t="s">
        <v>637</v>
      </c>
      <c r="E345" s="61" t="s">
        <v>638</v>
      </c>
      <c r="F345" s="61">
        <v>50.0</v>
      </c>
      <c r="G345" s="63">
        <v>0.0</v>
      </c>
      <c r="H345" s="6"/>
      <c r="I345" s="6"/>
      <c r="J345" s="6"/>
      <c r="K345" s="6"/>
      <c r="L345" s="6"/>
      <c r="M345" s="6"/>
      <c r="N345" s="6"/>
      <c r="O345" s="6"/>
      <c r="P345" s="6"/>
      <c r="Q345" s="6"/>
      <c r="R345" s="6"/>
      <c r="S345" s="6"/>
      <c r="T345" s="6"/>
      <c r="U345" s="6"/>
      <c r="V345" s="6"/>
      <c r="W345" s="6"/>
      <c r="X345" s="6"/>
      <c r="Y345" s="6"/>
      <c r="Z345" s="6"/>
    </row>
    <row r="346" ht="12.75" hidden="1" customHeight="1">
      <c r="A346" s="34">
        <v>345.0</v>
      </c>
      <c r="B346" s="34">
        <v>10345.0</v>
      </c>
      <c r="C346" s="34" t="s">
        <v>20</v>
      </c>
      <c r="D346" s="35" t="s">
        <v>639</v>
      </c>
      <c r="E346" s="34" t="s">
        <v>640</v>
      </c>
      <c r="F346" s="34">
        <v>100.0</v>
      </c>
      <c r="G346" s="36">
        <v>0.0</v>
      </c>
      <c r="H346" s="6"/>
      <c r="I346" s="6"/>
      <c r="J346" s="6"/>
      <c r="K346" s="6"/>
      <c r="L346" s="6"/>
      <c r="M346" s="6"/>
      <c r="N346" s="6"/>
      <c r="O346" s="6"/>
      <c r="P346" s="6"/>
      <c r="Q346" s="6"/>
      <c r="R346" s="6"/>
      <c r="S346" s="6"/>
      <c r="T346" s="6"/>
      <c r="U346" s="6"/>
      <c r="V346" s="6"/>
      <c r="W346" s="6"/>
      <c r="X346" s="6"/>
      <c r="Y346" s="6"/>
      <c r="Z346" s="6"/>
    </row>
    <row r="347" ht="12.75" hidden="1" customHeight="1">
      <c r="A347" s="37">
        <v>346.0</v>
      </c>
      <c r="B347" s="37">
        <v>10346.0</v>
      </c>
      <c r="C347" s="37" t="s">
        <v>20</v>
      </c>
      <c r="D347" s="38" t="s">
        <v>641</v>
      </c>
      <c r="E347" s="37" t="s">
        <v>642</v>
      </c>
      <c r="F347" s="37">
        <v>76.0</v>
      </c>
      <c r="G347" s="39">
        <v>0.0</v>
      </c>
      <c r="H347" s="6"/>
      <c r="I347" s="6"/>
      <c r="J347" s="6"/>
      <c r="K347" s="6"/>
      <c r="L347" s="6"/>
      <c r="M347" s="6"/>
      <c r="N347" s="6"/>
      <c r="O347" s="6"/>
      <c r="P347" s="6"/>
      <c r="Q347" s="6"/>
      <c r="R347" s="6"/>
      <c r="S347" s="6"/>
      <c r="T347" s="6"/>
      <c r="U347" s="6"/>
      <c r="V347" s="6"/>
      <c r="W347" s="6"/>
      <c r="X347" s="6"/>
      <c r="Y347" s="6"/>
      <c r="Z347" s="6"/>
    </row>
    <row r="348" ht="12.75" hidden="1" customHeight="1">
      <c r="A348" s="34">
        <v>347.0</v>
      </c>
      <c r="B348" s="34">
        <v>10347.0</v>
      </c>
      <c r="C348" s="34" t="s">
        <v>20</v>
      </c>
      <c r="D348" s="35" t="s">
        <v>643</v>
      </c>
      <c r="E348" s="34" t="s">
        <v>644</v>
      </c>
      <c r="F348" s="34">
        <v>136.0</v>
      </c>
      <c r="G348" s="36">
        <v>0.0</v>
      </c>
      <c r="H348" s="6"/>
      <c r="I348" s="6"/>
      <c r="J348" s="6"/>
      <c r="K348" s="6"/>
      <c r="L348" s="6"/>
      <c r="M348" s="6"/>
      <c r="N348" s="6"/>
      <c r="O348" s="6"/>
      <c r="P348" s="6"/>
      <c r="Q348" s="6"/>
      <c r="R348" s="6"/>
      <c r="S348" s="6"/>
      <c r="T348" s="6"/>
      <c r="U348" s="6"/>
      <c r="V348" s="6"/>
      <c r="W348" s="6"/>
      <c r="X348" s="6"/>
      <c r="Y348" s="6"/>
      <c r="Z348" s="6"/>
    </row>
    <row r="349" ht="12.75" hidden="1" customHeight="1">
      <c r="A349" s="37">
        <v>348.0</v>
      </c>
      <c r="B349" s="37">
        <v>10348.0</v>
      </c>
      <c r="C349" s="37" t="s">
        <v>34</v>
      </c>
      <c r="D349" s="38" t="s">
        <v>645</v>
      </c>
      <c r="E349" s="37" t="s">
        <v>646</v>
      </c>
      <c r="F349" s="37">
        <v>142.0</v>
      </c>
      <c r="G349" s="39">
        <v>0.0</v>
      </c>
      <c r="H349" s="6"/>
      <c r="I349" s="6"/>
      <c r="J349" s="6"/>
      <c r="K349" s="6"/>
      <c r="L349" s="6"/>
      <c r="M349" s="6"/>
      <c r="N349" s="6"/>
      <c r="O349" s="6"/>
      <c r="P349" s="6"/>
      <c r="Q349" s="6"/>
      <c r="R349" s="6"/>
      <c r="S349" s="6"/>
      <c r="T349" s="6"/>
      <c r="U349" s="6"/>
      <c r="V349" s="6"/>
      <c r="W349" s="6"/>
      <c r="X349" s="6"/>
      <c r="Y349" s="6"/>
      <c r="Z349" s="6"/>
    </row>
    <row r="350" ht="12.75" hidden="1" customHeight="1">
      <c r="A350" s="34">
        <v>349.0</v>
      </c>
      <c r="B350" s="34">
        <v>10349.0</v>
      </c>
      <c r="C350" s="34" t="s">
        <v>34</v>
      </c>
      <c r="D350" s="35" t="s">
        <v>647</v>
      </c>
      <c r="E350" s="34" t="s">
        <v>646</v>
      </c>
      <c r="F350" s="34">
        <v>142.0</v>
      </c>
      <c r="G350" s="36">
        <v>0.0</v>
      </c>
      <c r="H350" s="6"/>
      <c r="I350" s="6"/>
      <c r="J350" s="6"/>
      <c r="K350" s="6"/>
      <c r="L350" s="6"/>
      <c r="M350" s="6"/>
      <c r="N350" s="6"/>
      <c r="O350" s="6"/>
      <c r="P350" s="6"/>
      <c r="Q350" s="6"/>
      <c r="R350" s="6"/>
      <c r="S350" s="6"/>
      <c r="T350" s="6"/>
      <c r="U350" s="6"/>
      <c r="V350" s="6"/>
      <c r="W350" s="6"/>
      <c r="X350" s="6"/>
      <c r="Y350" s="6"/>
      <c r="Z350" s="6"/>
    </row>
    <row r="351" ht="12.75" hidden="1" customHeight="1">
      <c r="A351" s="37">
        <v>350.0</v>
      </c>
      <c r="B351" s="37">
        <v>10350.0</v>
      </c>
      <c r="C351" s="37" t="s">
        <v>7</v>
      </c>
      <c r="D351" s="38" t="s">
        <v>648</v>
      </c>
      <c r="E351" s="37" t="s">
        <v>649</v>
      </c>
      <c r="F351" s="37">
        <v>89.0</v>
      </c>
      <c r="G351" s="39">
        <v>0.0</v>
      </c>
      <c r="H351" s="6"/>
      <c r="I351" s="6"/>
      <c r="J351" s="6"/>
      <c r="K351" s="6"/>
      <c r="L351" s="6"/>
      <c r="M351" s="6"/>
      <c r="N351" s="6"/>
      <c r="O351" s="6"/>
      <c r="P351" s="6"/>
      <c r="Q351" s="6"/>
      <c r="R351" s="6"/>
      <c r="S351" s="6"/>
      <c r="T351" s="6"/>
      <c r="U351" s="6"/>
      <c r="V351" s="6"/>
      <c r="W351" s="6"/>
      <c r="X351" s="6"/>
      <c r="Y351" s="6"/>
      <c r="Z351" s="6"/>
    </row>
    <row r="352" ht="12.75" hidden="1" customHeight="1">
      <c r="A352" s="34">
        <v>351.0</v>
      </c>
      <c r="B352" s="34">
        <v>10351.0</v>
      </c>
      <c r="C352" s="34" t="s">
        <v>7</v>
      </c>
      <c r="D352" s="35" t="s">
        <v>650</v>
      </c>
      <c r="E352" s="34" t="s">
        <v>651</v>
      </c>
      <c r="F352" s="34">
        <v>71.0</v>
      </c>
      <c r="G352" s="36">
        <v>0.0</v>
      </c>
      <c r="H352" s="6"/>
      <c r="I352" s="6"/>
      <c r="J352" s="6"/>
      <c r="K352" s="6"/>
      <c r="L352" s="6"/>
      <c r="M352" s="6"/>
      <c r="N352" s="6"/>
      <c r="O352" s="6"/>
      <c r="P352" s="6"/>
      <c r="Q352" s="6"/>
      <c r="R352" s="6"/>
      <c r="S352" s="6"/>
      <c r="T352" s="6"/>
      <c r="U352" s="6"/>
      <c r="V352" s="6"/>
      <c r="W352" s="6"/>
      <c r="X352" s="6"/>
      <c r="Y352" s="6"/>
      <c r="Z352" s="6"/>
    </row>
    <row r="353" ht="12.75" hidden="1" customHeight="1">
      <c r="A353" s="37">
        <v>352.0</v>
      </c>
      <c r="B353" s="37">
        <v>10352.0</v>
      </c>
      <c r="C353" s="37" t="s">
        <v>7</v>
      </c>
      <c r="D353" s="38" t="s">
        <v>652</v>
      </c>
      <c r="E353" s="37" t="s">
        <v>653</v>
      </c>
      <c r="F353" s="37">
        <v>82.0</v>
      </c>
      <c r="G353" s="39">
        <v>0.0</v>
      </c>
      <c r="H353" s="6"/>
      <c r="I353" s="6"/>
      <c r="J353" s="6"/>
      <c r="K353" s="6"/>
      <c r="L353" s="6"/>
      <c r="M353" s="6"/>
      <c r="N353" s="6"/>
      <c r="O353" s="6"/>
      <c r="P353" s="6"/>
      <c r="Q353" s="6"/>
      <c r="R353" s="6"/>
      <c r="S353" s="6"/>
      <c r="T353" s="6"/>
      <c r="U353" s="6"/>
      <c r="V353" s="6"/>
      <c r="W353" s="6"/>
      <c r="X353" s="6"/>
      <c r="Y353" s="6"/>
      <c r="Z353" s="6"/>
    </row>
    <row r="354" ht="12.75" hidden="1" customHeight="1">
      <c r="A354" s="34">
        <v>353.0</v>
      </c>
      <c r="B354" s="34">
        <v>10353.0</v>
      </c>
      <c r="C354" s="34" t="s">
        <v>7</v>
      </c>
      <c r="D354" s="35" t="s">
        <v>654</v>
      </c>
      <c r="E354" s="34" t="s">
        <v>655</v>
      </c>
      <c r="F354" s="34">
        <v>63.0</v>
      </c>
      <c r="G354" s="36">
        <v>0.0</v>
      </c>
      <c r="H354" s="6"/>
      <c r="I354" s="6"/>
      <c r="J354" s="6"/>
      <c r="K354" s="6"/>
      <c r="L354" s="6"/>
      <c r="M354" s="6"/>
      <c r="N354" s="6"/>
      <c r="O354" s="6"/>
      <c r="P354" s="6"/>
      <c r="Q354" s="6"/>
      <c r="R354" s="6"/>
      <c r="S354" s="6"/>
      <c r="T354" s="6"/>
      <c r="U354" s="6"/>
      <c r="V354" s="6"/>
      <c r="W354" s="6"/>
      <c r="X354" s="6"/>
      <c r="Y354" s="6"/>
      <c r="Z354" s="6"/>
    </row>
    <row r="355" ht="12.75" hidden="1" customHeight="1">
      <c r="A355" s="61">
        <v>354.0</v>
      </c>
      <c r="B355" s="61">
        <v>10354.0</v>
      </c>
      <c r="C355" s="61" t="s">
        <v>7</v>
      </c>
      <c r="D355" s="62" t="s">
        <v>656</v>
      </c>
      <c r="E355" s="61" t="s">
        <v>657</v>
      </c>
      <c r="F355" s="61">
        <v>44.0</v>
      </c>
      <c r="G355" s="63">
        <v>0.0</v>
      </c>
      <c r="H355" s="6"/>
      <c r="I355" s="6"/>
      <c r="J355" s="6"/>
      <c r="K355" s="6"/>
      <c r="L355" s="6"/>
      <c r="M355" s="6"/>
      <c r="N355" s="6"/>
      <c r="O355" s="6"/>
      <c r="P355" s="6"/>
      <c r="Q355" s="6"/>
      <c r="R355" s="6"/>
      <c r="S355" s="6"/>
      <c r="T355" s="6"/>
      <c r="U355" s="6"/>
      <c r="V355" s="6"/>
      <c r="W355" s="6"/>
      <c r="X355" s="6"/>
      <c r="Y355" s="6"/>
      <c r="Z355" s="6"/>
    </row>
    <row r="356" ht="12.75" hidden="1" customHeight="1">
      <c r="A356" s="34">
        <v>355.0</v>
      </c>
      <c r="B356" s="34">
        <v>10355.0</v>
      </c>
      <c r="C356" s="34" t="s">
        <v>20</v>
      </c>
      <c r="D356" s="35" t="s">
        <v>658</v>
      </c>
      <c r="E356" s="34" t="s">
        <v>659</v>
      </c>
      <c r="F356" s="34">
        <v>134.0</v>
      </c>
      <c r="G356" s="36">
        <v>0.0</v>
      </c>
      <c r="H356" s="6"/>
      <c r="I356" s="6"/>
      <c r="J356" s="6"/>
      <c r="K356" s="6"/>
      <c r="L356" s="6"/>
      <c r="M356" s="6"/>
      <c r="N356" s="6"/>
      <c r="O356" s="6"/>
      <c r="P356" s="6"/>
      <c r="Q356" s="6"/>
      <c r="R356" s="6"/>
      <c r="S356" s="6"/>
      <c r="T356" s="6"/>
      <c r="U356" s="6"/>
      <c r="V356" s="6"/>
      <c r="W356" s="6"/>
      <c r="X356" s="6"/>
      <c r="Y356" s="6"/>
      <c r="Z356" s="6"/>
    </row>
    <row r="357" ht="12.75" hidden="1" customHeight="1">
      <c r="A357" s="37">
        <v>356.0</v>
      </c>
      <c r="B357" s="37">
        <v>10356.0</v>
      </c>
      <c r="C357" s="37" t="s">
        <v>7</v>
      </c>
      <c r="D357" s="38" t="s">
        <v>660</v>
      </c>
      <c r="E357" s="37" t="s">
        <v>661</v>
      </c>
      <c r="F357" s="37">
        <v>40.0</v>
      </c>
      <c r="G357" s="39">
        <v>0.0</v>
      </c>
      <c r="H357" s="6"/>
      <c r="I357" s="6"/>
      <c r="J357" s="6"/>
      <c r="K357" s="6"/>
      <c r="L357" s="6"/>
      <c r="M357" s="6"/>
      <c r="N357" s="6"/>
      <c r="O357" s="6"/>
      <c r="P357" s="6"/>
      <c r="Q357" s="6"/>
      <c r="R357" s="6"/>
      <c r="S357" s="6"/>
      <c r="T357" s="6"/>
      <c r="U357" s="6"/>
      <c r="V357" s="6"/>
      <c r="W357" s="6"/>
      <c r="X357" s="6"/>
      <c r="Y357" s="6"/>
      <c r="Z357" s="6"/>
    </row>
    <row r="358" ht="12.75" hidden="1" customHeight="1">
      <c r="A358" s="58">
        <v>357.0</v>
      </c>
      <c r="B358" s="58">
        <v>10357.0</v>
      </c>
      <c r="C358" s="58" t="s">
        <v>7</v>
      </c>
      <c r="D358" s="59" t="s">
        <v>662</v>
      </c>
      <c r="E358" s="58" t="s">
        <v>663</v>
      </c>
      <c r="F358" s="58">
        <v>64.0</v>
      </c>
      <c r="G358" s="60">
        <v>0.0</v>
      </c>
      <c r="H358" s="6"/>
      <c r="I358" s="6"/>
      <c r="J358" s="6"/>
      <c r="K358" s="6"/>
      <c r="L358" s="6"/>
      <c r="M358" s="6"/>
      <c r="N358" s="6"/>
      <c r="O358" s="6"/>
      <c r="P358" s="6"/>
      <c r="Q358" s="6"/>
      <c r="R358" s="6"/>
      <c r="S358" s="6"/>
      <c r="T358" s="6"/>
      <c r="U358" s="6"/>
      <c r="V358" s="6"/>
      <c r="W358" s="6"/>
      <c r="X358" s="6"/>
      <c r="Y358" s="6"/>
      <c r="Z358" s="6"/>
    </row>
    <row r="359" ht="12.75" customHeight="1">
      <c r="A359" s="70">
        <v>358.0</v>
      </c>
      <c r="B359" s="70">
        <v>10358.0</v>
      </c>
      <c r="C359" s="70" t="s">
        <v>34</v>
      </c>
      <c r="D359" s="71" t="s">
        <v>664</v>
      </c>
      <c r="E359" s="70">
        <v>0.0</v>
      </c>
      <c r="F359" s="70">
        <v>1.0</v>
      </c>
      <c r="G359" s="72">
        <v>0.0</v>
      </c>
      <c r="H359" s="6"/>
      <c r="I359" s="6"/>
      <c r="J359" s="6"/>
      <c r="K359" s="6"/>
      <c r="L359" s="6"/>
      <c r="M359" s="6"/>
      <c r="N359" s="6"/>
      <c r="O359" s="6"/>
      <c r="P359" s="6"/>
      <c r="Q359" s="6"/>
      <c r="R359" s="6"/>
      <c r="S359" s="6"/>
      <c r="T359" s="6"/>
      <c r="U359" s="6"/>
      <c r="V359" s="6"/>
      <c r="W359" s="6"/>
      <c r="X359" s="6"/>
      <c r="Y359" s="6"/>
      <c r="Z359" s="6"/>
    </row>
    <row r="360" ht="12.75" customHeight="1">
      <c r="A360" s="70">
        <v>359.0</v>
      </c>
      <c r="B360" s="70">
        <v>10359.0</v>
      </c>
      <c r="C360" s="70" t="s">
        <v>34</v>
      </c>
      <c r="D360" s="71" t="s">
        <v>115</v>
      </c>
      <c r="E360" s="70">
        <v>0.0</v>
      </c>
      <c r="F360" s="70">
        <v>1.0</v>
      </c>
      <c r="G360" s="72">
        <v>0.0</v>
      </c>
      <c r="H360" s="6"/>
      <c r="I360" s="6"/>
      <c r="J360" s="6"/>
      <c r="K360" s="6"/>
      <c r="L360" s="6"/>
      <c r="M360" s="6"/>
      <c r="N360" s="6"/>
      <c r="O360" s="6"/>
      <c r="P360" s="6"/>
      <c r="Q360" s="6"/>
      <c r="R360" s="6"/>
      <c r="S360" s="6"/>
      <c r="T360" s="6"/>
      <c r="U360" s="6"/>
      <c r="V360" s="6"/>
      <c r="W360" s="6"/>
      <c r="X360" s="6"/>
      <c r="Y360" s="6"/>
      <c r="Z360" s="6"/>
    </row>
    <row r="361" ht="12.75" customHeight="1">
      <c r="A361" s="70">
        <v>360.0</v>
      </c>
      <c r="B361" s="70">
        <v>10360.0</v>
      </c>
      <c r="C361" s="70" t="s">
        <v>34</v>
      </c>
      <c r="D361" s="71" t="s">
        <v>665</v>
      </c>
      <c r="E361" s="70">
        <v>0.0</v>
      </c>
      <c r="F361" s="70">
        <v>1.0</v>
      </c>
      <c r="G361" s="72">
        <v>0.0</v>
      </c>
      <c r="H361" s="6"/>
      <c r="I361" s="6"/>
      <c r="J361" s="6"/>
      <c r="K361" s="6"/>
      <c r="L361" s="6"/>
      <c r="M361" s="6"/>
      <c r="N361" s="6"/>
      <c r="O361" s="6"/>
      <c r="P361" s="6"/>
      <c r="Q361" s="6"/>
      <c r="R361" s="6"/>
      <c r="S361" s="6"/>
      <c r="T361" s="6"/>
      <c r="U361" s="6"/>
      <c r="V361" s="6"/>
      <c r="W361" s="6"/>
      <c r="X361" s="6"/>
      <c r="Y361" s="6"/>
      <c r="Z361" s="6"/>
    </row>
    <row r="362" ht="12.75" customHeight="1">
      <c r="A362" s="70">
        <v>361.0</v>
      </c>
      <c r="B362" s="70">
        <v>10361.0</v>
      </c>
      <c r="C362" s="70" t="s">
        <v>34</v>
      </c>
      <c r="D362" s="71" t="s">
        <v>666</v>
      </c>
      <c r="E362" s="70">
        <v>0.0</v>
      </c>
      <c r="F362" s="70">
        <v>1.0</v>
      </c>
      <c r="G362" s="72">
        <v>0.0</v>
      </c>
      <c r="H362" s="6"/>
      <c r="I362" s="6"/>
      <c r="J362" s="6"/>
      <c r="K362" s="6"/>
      <c r="L362" s="6"/>
      <c r="M362" s="6"/>
      <c r="N362" s="6"/>
      <c r="O362" s="6"/>
      <c r="P362" s="6"/>
      <c r="Q362" s="6"/>
      <c r="R362" s="6"/>
      <c r="S362" s="6"/>
      <c r="T362" s="6"/>
      <c r="U362" s="6"/>
      <c r="V362" s="6"/>
      <c r="W362" s="6"/>
      <c r="X362" s="6"/>
      <c r="Y362" s="6"/>
      <c r="Z362" s="6"/>
    </row>
    <row r="363" ht="12.75" customHeight="1">
      <c r="A363" s="70">
        <v>362.0</v>
      </c>
      <c r="B363" s="70">
        <v>10362.0</v>
      </c>
      <c r="C363" s="70" t="s">
        <v>34</v>
      </c>
      <c r="D363" s="71" t="s">
        <v>667</v>
      </c>
      <c r="E363" s="70">
        <v>0.0</v>
      </c>
      <c r="F363" s="70">
        <v>1.0</v>
      </c>
      <c r="G363" s="72">
        <v>0.0</v>
      </c>
      <c r="H363" s="6"/>
      <c r="I363" s="6"/>
      <c r="J363" s="6"/>
      <c r="K363" s="6"/>
      <c r="L363" s="6"/>
      <c r="M363" s="6"/>
      <c r="N363" s="6"/>
      <c r="O363" s="6"/>
      <c r="P363" s="6"/>
      <c r="Q363" s="6"/>
      <c r="R363" s="6"/>
      <c r="S363" s="6"/>
      <c r="T363" s="6"/>
      <c r="U363" s="6"/>
      <c r="V363" s="6"/>
      <c r="W363" s="6"/>
      <c r="X363" s="6"/>
      <c r="Y363" s="6"/>
      <c r="Z363" s="6"/>
    </row>
    <row r="364" ht="12.75" hidden="1" customHeight="1">
      <c r="A364" s="34">
        <v>363.0</v>
      </c>
      <c r="B364" s="34">
        <v>10363.0</v>
      </c>
      <c r="C364" s="34" t="s">
        <v>20</v>
      </c>
      <c r="D364" s="35" t="s">
        <v>668</v>
      </c>
      <c r="E364" s="34" t="s">
        <v>669</v>
      </c>
      <c r="F364" s="34">
        <v>120.0</v>
      </c>
      <c r="G364" s="36">
        <v>0.0</v>
      </c>
      <c r="H364" s="6"/>
      <c r="I364" s="6"/>
      <c r="J364" s="6"/>
      <c r="K364" s="6"/>
      <c r="L364" s="6"/>
      <c r="M364" s="6"/>
      <c r="N364" s="6"/>
      <c r="O364" s="6"/>
      <c r="P364" s="6"/>
      <c r="Q364" s="6"/>
      <c r="R364" s="6"/>
      <c r="S364" s="6"/>
      <c r="T364" s="6"/>
      <c r="U364" s="6"/>
      <c r="V364" s="6"/>
      <c r="W364" s="6"/>
      <c r="X364" s="6"/>
      <c r="Y364" s="6"/>
      <c r="Z364" s="6"/>
    </row>
    <row r="365" ht="12.75" hidden="1" customHeight="1">
      <c r="A365" s="37">
        <v>364.0</v>
      </c>
      <c r="B365" s="37">
        <v>10364.0</v>
      </c>
      <c r="C365" s="37" t="s">
        <v>20</v>
      </c>
      <c r="D365" s="38" t="s">
        <v>670</v>
      </c>
      <c r="E365" s="37" t="s">
        <v>671</v>
      </c>
      <c r="F365" s="37">
        <v>181.0</v>
      </c>
      <c r="G365" s="39">
        <v>45770.0</v>
      </c>
      <c r="H365" s="6"/>
      <c r="I365" s="6"/>
      <c r="J365" s="6"/>
      <c r="K365" s="6"/>
      <c r="L365" s="6"/>
      <c r="M365" s="6"/>
      <c r="N365" s="6"/>
      <c r="O365" s="6"/>
      <c r="P365" s="6"/>
      <c r="Q365" s="6"/>
      <c r="R365" s="6"/>
      <c r="S365" s="6"/>
      <c r="T365" s="6"/>
      <c r="U365" s="6"/>
      <c r="V365" s="6"/>
      <c r="W365" s="6"/>
      <c r="X365" s="6"/>
      <c r="Y365" s="6"/>
      <c r="Z365" s="6"/>
    </row>
    <row r="366" ht="12.75" hidden="1" customHeight="1">
      <c r="A366" s="34">
        <v>365.0</v>
      </c>
      <c r="B366" s="34">
        <v>10365.0</v>
      </c>
      <c r="C366" s="34" t="s">
        <v>7</v>
      </c>
      <c r="D366" s="35" t="s">
        <v>672</v>
      </c>
      <c r="E366" s="34" t="s">
        <v>673</v>
      </c>
      <c r="F366" s="34">
        <v>48.0</v>
      </c>
      <c r="G366" s="36">
        <v>0.0</v>
      </c>
      <c r="H366" s="6"/>
      <c r="I366" s="6"/>
      <c r="J366" s="6"/>
      <c r="K366" s="6"/>
      <c r="L366" s="6"/>
      <c r="M366" s="6"/>
      <c r="N366" s="6"/>
      <c r="O366" s="6"/>
      <c r="P366" s="6"/>
      <c r="Q366" s="6"/>
      <c r="R366" s="6"/>
      <c r="S366" s="6"/>
      <c r="T366" s="6"/>
      <c r="U366" s="6"/>
      <c r="V366" s="6"/>
      <c r="W366" s="6"/>
      <c r="X366" s="6"/>
      <c r="Y366" s="6"/>
      <c r="Z366" s="6"/>
    </row>
    <row r="367" ht="12.75" hidden="1" customHeight="1">
      <c r="A367" s="61">
        <v>366.0</v>
      </c>
      <c r="B367" s="61">
        <v>10366.0</v>
      </c>
      <c r="C367" s="61" t="s">
        <v>27</v>
      </c>
      <c r="D367" s="62" t="s">
        <v>674</v>
      </c>
      <c r="E367" s="61" t="s">
        <v>675</v>
      </c>
      <c r="F367" s="61">
        <v>172.0</v>
      </c>
      <c r="G367" s="63">
        <v>45770.0</v>
      </c>
      <c r="H367" s="6"/>
      <c r="I367" s="6"/>
      <c r="J367" s="6"/>
      <c r="K367" s="6"/>
      <c r="L367" s="6"/>
      <c r="M367" s="6"/>
      <c r="N367" s="6"/>
      <c r="O367" s="6"/>
      <c r="P367" s="6"/>
      <c r="Q367" s="6"/>
      <c r="R367" s="6"/>
      <c r="S367" s="6"/>
      <c r="T367" s="6"/>
      <c r="U367" s="6"/>
      <c r="V367" s="6"/>
      <c r="W367" s="6"/>
      <c r="X367" s="6"/>
      <c r="Y367" s="6"/>
      <c r="Z367" s="6"/>
    </row>
    <row r="368" ht="12.75" hidden="1" customHeight="1">
      <c r="A368" s="34">
        <v>367.0</v>
      </c>
      <c r="B368" s="34">
        <v>10367.0</v>
      </c>
      <c r="C368" s="34" t="s">
        <v>7</v>
      </c>
      <c r="D368" s="35" t="s">
        <v>676</v>
      </c>
      <c r="E368" s="34" t="s">
        <v>677</v>
      </c>
      <c r="F368" s="34">
        <v>67.0</v>
      </c>
      <c r="G368" s="36">
        <v>0.0</v>
      </c>
      <c r="H368" s="6"/>
      <c r="I368" s="6"/>
      <c r="J368" s="6"/>
      <c r="K368" s="6"/>
      <c r="L368" s="6"/>
      <c r="M368" s="6"/>
      <c r="N368" s="6"/>
      <c r="O368" s="6"/>
      <c r="P368" s="6"/>
      <c r="Q368" s="6"/>
      <c r="R368" s="6"/>
      <c r="S368" s="6"/>
      <c r="T368" s="6"/>
      <c r="U368" s="6"/>
      <c r="V368" s="6"/>
      <c r="W368" s="6"/>
      <c r="X368" s="6"/>
      <c r="Y368" s="6"/>
      <c r="Z368" s="6"/>
    </row>
    <row r="369" ht="12.75" hidden="1" customHeight="1">
      <c r="A369" s="37">
        <v>368.0</v>
      </c>
      <c r="B369" s="37">
        <v>10368.0</v>
      </c>
      <c r="C369" s="37" t="s">
        <v>20</v>
      </c>
      <c r="D369" s="38" t="s">
        <v>678</v>
      </c>
      <c r="E369" s="37" t="s">
        <v>679</v>
      </c>
      <c r="F369" s="37">
        <v>169.0</v>
      </c>
      <c r="G369" s="39">
        <v>0.0</v>
      </c>
      <c r="H369" s="6"/>
      <c r="I369" s="6"/>
      <c r="J369" s="6"/>
      <c r="K369" s="6"/>
      <c r="L369" s="6"/>
      <c r="M369" s="6"/>
      <c r="N369" s="6"/>
      <c r="O369" s="6"/>
      <c r="P369" s="6"/>
      <c r="Q369" s="6"/>
      <c r="R369" s="6"/>
      <c r="S369" s="6"/>
      <c r="T369" s="6"/>
      <c r="U369" s="6"/>
      <c r="V369" s="6"/>
      <c r="W369" s="6"/>
      <c r="X369" s="6"/>
      <c r="Y369" s="6"/>
      <c r="Z369" s="6"/>
    </row>
    <row r="370" ht="12.75" hidden="1" customHeight="1">
      <c r="A370" s="34">
        <v>369.0</v>
      </c>
      <c r="B370" s="34">
        <v>10369.0</v>
      </c>
      <c r="C370" s="34" t="s">
        <v>7</v>
      </c>
      <c r="D370" s="35" t="s">
        <v>680</v>
      </c>
      <c r="E370" s="34" t="s">
        <v>681</v>
      </c>
      <c r="F370" s="34">
        <v>67.0</v>
      </c>
      <c r="G370" s="36">
        <v>0.0</v>
      </c>
      <c r="H370" s="6"/>
      <c r="I370" s="6"/>
      <c r="J370" s="6"/>
      <c r="K370" s="6"/>
      <c r="L370" s="6"/>
      <c r="M370" s="6"/>
      <c r="N370" s="6"/>
      <c r="O370" s="6"/>
      <c r="P370" s="6"/>
      <c r="Q370" s="6"/>
      <c r="R370" s="6"/>
      <c r="S370" s="6"/>
      <c r="T370" s="6"/>
      <c r="U370" s="6"/>
      <c r="V370" s="6"/>
      <c r="W370" s="6"/>
      <c r="X370" s="6"/>
      <c r="Y370" s="6"/>
      <c r="Z370" s="6"/>
    </row>
    <row r="371" ht="12.75" hidden="1" customHeight="1">
      <c r="A371" s="37">
        <v>370.0</v>
      </c>
      <c r="B371" s="37">
        <v>10370.0</v>
      </c>
      <c r="C371" s="37" t="s">
        <v>7</v>
      </c>
      <c r="D371" s="38" t="s">
        <v>369</v>
      </c>
      <c r="E371" s="37" t="s">
        <v>682</v>
      </c>
      <c r="F371" s="37">
        <v>57.0</v>
      </c>
      <c r="G371" s="39">
        <v>0.0</v>
      </c>
      <c r="H371" s="6"/>
      <c r="I371" s="6"/>
      <c r="J371" s="6"/>
      <c r="K371" s="6"/>
      <c r="L371" s="6"/>
      <c r="M371" s="6"/>
      <c r="N371" s="6"/>
      <c r="O371" s="6"/>
      <c r="P371" s="6"/>
      <c r="Q371" s="6"/>
      <c r="R371" s="6"/>
      <c r="S371" s="6"/>
      <c r="T371" s="6"/>
      <c r="U371" s="6"/>
      <c r="V371" s="6"/>
      <c r="W371" s="6"/>
      <c r="X371" s="6"/>
      <c r="Y371" s="6"/>
      <c r="Z371" s="6"/>
    </row>
    <row r="372" ht="12.75" hidden="1" customHeight="1">
      <c r="A372" s="34">
        <v>371.0</v>
      </c>
      <c r="B372" s="34">
        <v>10371.0</v>
      </c>
      <c r="C372" s="34" t="s">
        <v>27</v>
      </c>
      <c r="D372" s="35" t="s">
        <v>683</v>
      </c>
      <c r="E372" s="34" t="s">
        <v>684</v>
      </c>
      <c r="F372" s="34">
        <v>158.0</v>
      </c>
      <c r="G372" s="36">
        <v>45770.0</v>
      </c>
      <c r="H372" s="6"/>
      <c r="I372" s="6"/>
      <c r="J372" s="6"/>
      <c r="K372" s="6"/>
      <c r="L372" s="6"/>
      <c r="M372" s="6"/>
      <c r="N372" s="6"/>
      <c r="O372" s="6"/>
      <c r="P372" s="6"/>
      <c r="Q372" s="6"/>
      <c r="R372" s="6"/>
      <c r="S372" s="6"/>
      <c r="T372" s="6"/>
      <c r="U372" s="6"/>
      <c r="V372" s="6"/>
      <c r="W372" s="6"/>
      <c r="X372" s="6"/>
      <c r="Y372" s="6"/>
      <c r="Z372" s="6"/>
    </row>
    <row r="373" ht="12.75" hidden="1" customHeight="1">
      <c r="A373" s="37">
        <v>372.0</v>
      </c>
      <c r="B373" s="37">
        <v>10372.0</v>
      </c>
      <c r="C373" s="37" t="s">
        <v>7</v>
      </c>
      <c r="D373" s="38" t="s">
        <v>685</v>
      </c>
      <c r="E373" s="37" t="s">
        <v>686</v>
      </c>
      <c r="F373" s="37">
        <v>68.0</v>
      </c>
      <c r="G373" s="39">
        <v>0.0</v>
      </c>
      <c r="H373" s="6"/>
      <c r="I373" s="6"/>
      <c r="J373" s="6"/>
      <c r="K373" s="6"/>
      <c r="L373" s="6"/>
      <c r="M373" s="6"/>
      <c r="N373" s="6"/>
      <c r="O373" s="6"/>
      <c r="P373" s="6"/>
      <c r="Q373" s="6"/>
      <c r="R373" s="6"/>
      <c r="S373" s="6"/>
      <c r="T373" s="6"/>
      <c r="U373" s="6"/>
      <c r="V373" s="6"/>
      <c r="W373" s="6"/>
      <c r="X373" s="6"/>
      <c r="Y373" s="6"/>
      <c r="Z373" s="6"/>
    </row>
    <row r="374" ht="12.75" customHeight="1">
      <c r="A374" s="70">
        <v>373.0</v>
      </c>
      <c r="B374" s="70">
        <v>10373.0</v>
      </c>
      <c r="C374" s="70" t="s">
        <v>34</v>
      </c>
      <c r="D374" s="71" t="s">
        <v>687</v>
      </c>
      <c r="E374" s="70">
        <v>0.0</v>
      </c>
      <c r="F374" s="70">
        <v>1.0</v>
      </c>
      <c r="G374" s="72">
        <v>0.0</v>
      </c>
      <c r="H374" s="6"/>
      <c r="I374" s="6"/>
      <c r="J374" s="6"/>
      <c r="K374" s="6"/>
      <c r="L374" s="6"/>
      <c r="M374" s="6"/>
      <c r="N374" s="6"/>
      <c r="O374" s="6"/>
      <c r="P374" s="6"/>
      <c r="Q374" s="6"/>
      <c r="R374" s="6"/>
      <c r="S374" s="6"/>
      <c r="T374" s="6"/>
      <c r="U374" s="6"/>
      <c r="V374" s="6"/>
      <c r="W374" s="6"/>
      <c r="X374" s="6"/>
      <c r="Y374" s="6"/>
      <c r="Z374" s="6"/>
    </row>
    <row r="375" ht="12.75" hidden="1" customHeight="1">
      <c r="A375" s="37">
        <v>374.0</v>
      </c>
      <c r="B375" s="37">
        <v>10374.0</v>
      </c>
      <c r="C375" s="37" t="s">
        <v>20</v>
      </c>
      <c r="D375" s="38" t="s">
        <v>688</v>
      </c>
      <c r="E375" s="37" t="s">
        <v>689</v>
      </c>
      <c r="F375" s="37">
        <v>105.0</v>
      </c>
      <c r="G375" s="39">
        <v>0.0</v>
      </c>
      <c r="H375" s="6"/>
      <c r="I375" s="6"/>
      <c r="J375" s="6"/>
      <c r="K375" s="6"/>
      <c r="L375" s="6"/>
      <c r="M375" s="6"/>
      <c r="N375" s="6"/>
      <c r="O375" s="6"/>
      <c r="P375" s="6"/>
      <c r="Q375" s="6"/>
      <c r="R375" s="6"/>
      <c r="S375" s="6"/>
      <c r="T375" s="6"/>
      <c r="U375" s="6"/>
      <c r="V375" s="6"/>
      <c r="W375" s="6"/>
      <c r="X375" s="6"/>
      <c r="Y375" s="6"/>
      <c r="Z375" s="6"/>
    </row>
    <row r="376" ht="12.75" hidden="1" customHeight="1">
      <c r="A376" s="34">
        <v>375.0</v>
      </c>
      <c r="B376" s="34">
        <v>10375.0</v>
      </c>
      <c r="C376" s="34" t="s">
        <v>20</v>
      </c>
      <c r="D376" s="35" t="s">
        <v>690</v>
      </c>
      <c r="E376" s="34" t="s">
        <v>691</v>
      </c>
      <c r="F376" s="34">
        <v>143.0</v>
      </c>
      <c r="G376" s="36">
        <v>0.0</v>
      </c>
      <c r="H376" s="6"/>
      <c r="I376" s="6"/>
      <c r="J376" s="6"/>
      <c r="K376" s="6"/>
      <c r="L376" s="6"/>
      <c r="M376" s="6"/>
      <c r="N376" s="6"/>
      <c r="O376" s="6"/>
      <c r="P376" s="6"/>
      <c r="Q376" s="6"/>
      <c r="R376" s="6"/>
      <c r="S376" s="6"/>
      <c r="T376" s="6"/>
      <c r="U376" s="6"/>
      <c r="V376" s="6"/>
      <c r="W376" s="6"/>
      <c r="X376" s="6"/>
      <c r="Y376" s="6"/>
      <c r="Z376" s="6"/>
    </row>
    <row r="377" ht="12.75" hidden="1" customHeight="1">
      <c r="A377" s="37">
        <v>376.0</v>
      </c>
      <c r="B377" s="37">
        <v>10376.0</v>
      </c>
      <c r="C377" s="37" t="s">
        <v>20</v>
      </c>
      <c r="D377" s="38" t="s">
        <v>692</v>
      </c>
      <c r="E377" s="37" t="s">
        <v>693</v>
      </c>
      <c r="F377" s="37">
        <v>140.0</v>
      </c>
      <c r="G377" s="39">
        <v>0.0</v>
      </c>
      <c r="H377" s="6"/>
      <c r="I377" s="6"/>
      <c r="J377" s="6"/>
      <c r="K377" s="6"/>
      <c r="L377" s="6"/>
      <c r="M377" s="6"/>
      <c r="N377" s="6"/>
      <c r="O377" s="6"/>
      <c r="P377" s="6"/>
      <c r="Q377" s="6"/>
      <c r="R377" s="6"/>
      <c r="S377" s="6"/>
      <c r="T377" s="6"/>
      <c r="U377" s="6"/>
      <c r="V377" s="6"/>
      <c r="W377" s="6"/>
      <c r="X377" s="6"/>
      <c r="Y377" s="6"/>
      <c r="Z377" s="6"/>
    </row>
    <row r="378" ht="12.75" hidden="1" customHeight="1">
      <c r="A378" s="34">
        <v>377.0</v>
      </c>
      <c r="B378" s="34">
        <v>10377.0</v>
      </c>
      <c r="C378" s="34" t="s">
        <v>34</v>
      </c>
      <c r="D378" s="35" t="s">
        <v>694</v>
      </c>
      <c r="E378" s="34" t="s">
        <v>695</v>
      </c>
      <c r="F378" s="34">
        <v>237.0</v>
      </c>
      <c r="G378" s="36" t="s">
        <v>331</v>
      </c>
      <c r="H378" s="6"/>
      <c r="I378" s="6"/>
      <c r="J378" s="6"/>
      <c r="K378" s="6"/>
      <c r="L378" s="6"/>
      <c r="M378" s="6"/>
      <c r="N378" s="6"/>
      <c r="O378" s="6"/>
      <c r="P378" s="6"/>
      <c r="Q378" s="6"/>
      <c r="R378" s="6"/>
      <c r="S378" s="6"/>
      <c r="T378" s="6"/>
      <c r="U378" s="6"/>
      <c r="V378" s="6"/>
      <c r="W378" s="6"/>
      <c r="X378" s="6"/>
      <c r="Y378" s="6"/>
      <c r="Z378" s="6"/>
    </row>
    <row r="379" ht="12.75" hidden="1" customHeight="1">
      <c r="A379" s="37">
        <v>378.0</v>
      </c>
      <c r="B379" s="37">
        <v>10378.0</v>
      </c>
      <c r="C379" s="37" t="s">
        <v>20</v>
      </c>
      <c r="D379" s="38" t="s">
        <v>696</v>
      </c>
      <c r="E379" s="37" t="s">
        <v>697</v>
      </c>
      <c r="F379" s="37">
        <v>169.0</v>
      </c>
      <c r="G379" s="39">
        <v>0.0</v>
      </c>
      <c r="H379" s="6"/>
      <c r="I379" s="6"/>
      <c r="J379" s="6"/>
      <c r="K379" s="6"/>
      <c r="L379" s="6"/>
      <c r="M379" s="6"/>
      <c r="N379" s="6"/>
      <c r="O379" s="6"/>
      <c r="P379" s="6"/>
      <c r="Q379" s="6"/>
      <c r="R379" s="6"/>
      <c r="S379" s="6"/>
      <c r="T379" s="6"/>
      <c r="U379" s="6"/>
      <c r="V379" s="6"/>
      <c r="W379" s="6"/>
      <c r="X379" s="6"/>
      <c r="Y379" s="6"/>
      <c r="Z379" s="6"/>
    </row>
    <row r="380" ht="12.75" hidden="1" customHeight="1">
      <c r="A380" s="58">
        <v>379.0</v>
      </c>
      <c r="B380" s="58">
        <v>10379.0</v>
      </c>
      <c r="C380" s="58" t="s">
        <v>34</v>
      </c>
      <c r="D380" s="59" t="s">
        <v>698</v>
      </c>
      <c r="E380" s="58" t="s">
        <v>699</v>
      </c>
      <c r="F380" s="58">
        <v>188.0</v>
      </c>
      <c r="G380" s="60">
        <v>0.0</v>
      </c>
      <c r="H380" s="6"/>
      <c r="I380" s="6"/>
      <c r="J380" s="6"/>
      <c r="K380" s="6"/>
      <c r="L380" s="6"/>
      <c r="M380" s="6"/>
      <c r="N380" s="6"/>
      <c r="O380" s="6"/>
      <c r="P380" s="6"/>
      <c r="Q380" s="6"/>
      <c r="R380" s="6"/>
      <c r="S380" s="6"/>
      <c r="T380" s="6"/>
      <c r="U380" s="6"/>
      <c r="V380" s="6"/>
      <c r="W380" s="6"/>
      <c r="X380" s="6"/>
      <c r="Y380" s="6"/>
      <c r="Z380" s="6"/>
    </row>
    <row r="381" ht="12.75" hidden="1" customHeight="1">
      <c r="A381" s="37">
        <v>380.0</v>
      </c>
      <c r="B381" s="37">
        <v>10380.0</v>
      </c>
      <c r="C381" s="37" t="s">
        <v>7</v>
      </c>
      <c r="D381" s="38" t="s">
        <v>700</v>
      </c>
      <c r="E381" s="37" t="s">
        <v>701</v>
      </c>
      <c r="F381" s="37">
        <v>63.0</v>
      </c>
      <c r="G381" s="39">
        <v>0.0</v>
      </c>
      <c r="H381" s="6"/>
      <c r="I381" s="6"/>
      <c r="J381" s="6"/>
      <c r="K381" s="6"/>
      <c r="L381" s="6"/>
      <c r="M381" s="6"/>
      <c r="N381" s="6"/>
      <c r="O381" s="6"/>
      <c r="P381" s="6"/>
      <c r="Q381" s="6"/>
      <c r="R381" s="6"/>
      <c r="S381" s="6"/>
      <c r="T381" s="6"/>
      <c r="U381" s="6"/>
      <c r="V381" s="6"/>
      <c r="W381" s="6"/>
      <c r="X381" s="6"/>
      <c r="Y381" s="6"/>
      <c r="Z381" s="6"/>
    </row>
    <row r="382" ht="12.75" hidden="1" customHeight="1">
      <c r="A382" s="34">
        <v>381.0</v>
      </c>
      <c r="B382" s="34">
        <v>10381.0</v>
      </c>
      <c r="C382" s="34" t="s">
        <v>34</v>
      </c>
      <c r="D382" s="35" t="s">
        <v>702</v>
      </c>
      <c r="E382" s="34" t="s">
        <v>703</v>
      </c>
      <c r="F382" s="34">
        <v>171.0</v>
      </c>
      <c r="G382" s="36">
        <v>45770.0</v>
      </c>
      <c r="H382" s="6"/>
      <c r="I382" s="6"/>
      <c r="J382" s="6"/>
      <c r="K382" s="6"/>
      <c r="L382" s="6"/>
      <c r="M382" s="6"/>
      <c r="N382" s="6"/>
      <c r="O382" s="6"/>
      <c r="P382" s="6"/>
      <c r="Q382" s="6"/>
      <c r="R382" s="6"/>
      <c r="S382" s="6"/>
      <c r="T382" s="6"/>
      <c r="U382" s="6"/>
      <c r="V382" s="6"/>
      <c r="W382" s="6"/>
      <c r="X382" s="6"/>
      <c r="Y382" s="6"/>
      <c r="Z382" s="6"/>
    </row>
    <row r="383" ht="12.75" hidden="1" customHeight="1">
      <c r="A383" s="37">
        <v>382.0</v>
      </c>
      <c r="B383" s="37">
        <v>10382.0</v>
      </c>
      <c r="C383" s="37" t="s">
        <v>7</v>
      </c>
      <c r="D383" s="38" t="s">
        <v>704</v>
      </c>
      <c r="E383" s="37" t="s">
        <v>705</v>
      </c>
      <c r="F383" s="37">
        <v>96.0</v>
      </c>
      <c r="G383" s="39">
        <v>0.0</v>
      </c>
      <c r="H383" s="6"/>
      <c r="I383" s="6"/>
      <c r="J383" s="6"/>
      <c r="K383" s="6"/>
      <c r="L383" s="6"/>
      <c r="M383" s="6"/>
      <c r="N383" s="6"/>
      <c r="O383" s="6"/>
      <c r="P383" s="6"/>
      <c r="Q383" s="6"/>
      <c r="R383" s="6"/>
      <c r="S383" s="6"/>
      <c r="T383" s="6"/>
      <c r="U383" s="6"/>
      <c r="V383" s="6"/>
      <c r="W383" s="6"/>
      <c r="X383" s="6"/>
      <c r="Y383" s="6"/>
      <c r="Z383" s="6"/>
    </row>
    <row r="384" ht="12.75" hidden="1" customHeight="1">
      <c r="A384" s="34">
        <v>383.0</v>
      </c>
      <c r="B384" s="34">
        <v>10383.0</v>
      </c>
      <c r="C384" s="34" t="s">
        <v>7</v>
      </c>
      <c r="D384" s="35" t="s">
        <v>706</v>
      </c>
      <c r="E384" s="34" t="s">
        <v>707</v>
      </c>
      <c r="F384" s="34">
        <v>100.0</v>
      </c>
      <c r="G384" s="36">
        <v>0.0</v>
      </c>
      <c r="H384" s="6"/>
      <c r="I384" s="6"/>
      <c r="J384" s="6"/>
      <c r="K384" s="6"/>
      <c r="L384" s="6"/>
      <c r="M384" s="6"/>
      <c r="N384" s="6"/>
      <c r="O384" s="6"/>
      <c r="P384" s="6"/>
      <c r="Q384" s="6"/>
      <c r="R384" s="6"/>
      <c r="S384" s="6"/>
      <c r="T384" s="6"/>
      <c r="U384" s="6"/>
      <c r="V384" s="6"/>
      <c r="W384" s="6"/>
      <c r="X384" s="6"/>
      <c r="Y384" s="6"/>
      <c r="Z384" s="6"/>
    </row>
    <row r="385" ht="12.75" hidden="1" customHeight="1">
      <c r="A385" s="37">
        <v>384.0</v>
      </c>
      <c r="B385" s="37">
        <v>10384.0</v>
      </c>
      <c r="C385" s="37" t="s">
        <v>34</v>
      </c>
      <c r="D385" s="38" t="s">
        <v>708</v>
      </c>
      <c r="E385" s="37" t="s">
        <v>709</v>
      </c>
      <c r="F385" s="37">
        <v>174.0</v>
      </c>
      <c r="G385" s="39">
        <v>45770.0</v>
      </c>
      <c r="H385" s="6"/>
      <c r="I385" s="6"/>
      <c r="J385" s="6"/>
      <c r="K385" s="6"/>
      <c r="L385" s="6"/>
      <c r="M385" s="6"/>
      <c r="N385" s="6"/>
      <c r="O385" s="6"/>
      <c r="P385" s="6"/>
      <c r="Q385" s="6"/>
      <c r="R385" s="6"/>
      <c r="S385" s="6"/>
      <c r="T385" s="6"/>
      <c r="U385" s="6"/>
      <c r="V385" s="6"/>
      <c r="W385" s="6"/>
      <c r="X385" s="6"/>
      <c r="Y385" s="6"/>
      <c r="Z385" s="6"/>
    </row>
    <row r="386" ht="12.75" hidden="1" customHeight="1">
      <c r="A386" s="58">
        <v>385.0</v>
      </c>
      <c r="B386" s="58">
        <v>10385.0</v>
      </c>
      <c r="C386" s="58" t="s">
        <v>34</v>
      </c>
      <c r="D386" s="59" t="s">
        <v>710</v>
      </c>
      <c r="E386" s="58" t="s">
        <v>711</v>
      </c>
      <c r="F386" s="58">
        <v>178.0</v>
      </c>
      <c r="G386" s="60">
        <v>45770.0</v>
      </c>
      <c r="H386" s="6"/>
      <c r="I386" s="6"/>
      <c r="J386" s="6"/>
      <c r="K386" s="6"/>
      <c r="L386" s="6"/>
      <c r="M386" s="6"/>
      <c r="N386" s="6"/>
      <c r="O386" s="6"/>
      <c r="P386" s="6"/>
      <c r="Q386" s="6"/>
      <c r="R386" s="6"/>
      <c r="S386" s="6"/>
      <c r="T386" s="6"/>
      <c r="U386" s="6"/>
      <c r="V386" s="6"/>
      <c r="W386" s="6"/>
      <c r="X386" s="6"/>
      <c r="Y386" s="6"/>
      <c r="Z386" s="6"/>
    </row>
    <row r="387" ht="12.75" hidden="1" customHeight="1">
      <c r="A387" s="31">
        <v>386.0</v>
      </c>
      <c r="B387" s="31">
        <v>10386.0</v>
      </c>
      <c r="C387" s="31" t="s">
        <v>34</v>
      </c>
      <c r="D387" s="32" t="s">
        <v>539</v>
      </c>
      <c r="E387" s="31" t="s">
        <v>712</v>
      </c>
      <c r="F387" s="31">
        <v>174.0</v>
      </c>
      <c r="G387" s="33">
        <v>45770.0</v>
      </c>
      <c r="H387" s="6"/>
      <c r="I387" s="6"/>
      <c r="J387" s="6"/>
      <c r="K387" s="6"/>
      <c r="L387" s="6"/>
      <c r="M387" s="6"/>
      <c r="N387" s="6"/>
      <c r="O387" s="6"/>
      <c r="P387" s="6"/>
      <c r="Q387" s="6"/>
      <c r="R387" s="6"/>
      <c r="S387" s="6"/>
      <c r="T387" s="6"/>
      <c r="U387" s="6"/>
      <c r="V387" s="6"/>
      <c r="W387" s="6"/>
      <c r="X387" s="6"/>
      <c r="Y387" s="6"/>
      <c r="Z387" s="6"/>
    </row>
    <row r="388" ht="12.75" hidden="1" customHeight="1">
      <c r="A388" s="34">
        <v>387.0</v>
      </c>
      <c r="B388" s="34">
        <v>10387.0</v>
      </c>
      <c r="C388" s="34" t="s">
        <v>34</v>
      </c>
      <c r="D388" s="35" t="s">
        <v>713</v>
      </c>
      <c r="E388" s="34" t="s">
        <v>714</v>
      </c>
      <c r="F388" s="34">
        <v>183.0</v>
      </c>
      <c r="G388" s="36">
        <v>45770.0</v>
      </c>
      <c r="H388" s="6"/>
      <c r="I388" s="6"/>
      <c r="J388" s="6"/>
      <c r="K388" s="6"/>
      <c r="L388" s="6"/>
      <c r="M388" s="6"/>
      <c r="N388" s="6"/>
      <c r="O388" s="6"/>
      <c r="P388" s="6"/>
      <c r="Q388" s="6"/>
      <c r="R388" s="6"/>
      <c r="S388" s="6"/>
      <c r="T388" s="6"/>
      <c r="U388" s="6"/>
      <c r="V388" s="6"/>
      <c r="W388" s="6"/>
      <c r="X388" s="6"/>
      <c r="Y388" s="6"/>
      <c r="Z388" s="6"/>
    </row>
    <row r="389" ht="12.75" hidden="1" customHeight="1">
      <c r="A389" s="37">
        <v>388.0</v>
      </c>
      <c r="B389" s="37">
        <v>10388.0</v>
      </c>
      <c r="C389" s="37" t="s">
        <v>34</v>
      </c>
      <c r="D389" s="38" t="s">
        <v>715</v>
      </c>
      <c r="E389" s="37" t="s">
        <v>716</v>
      </c>
      <c r="F389" s="37">
        <v>172.0</v>
      </c>
      <c r="G389" s="39">
        <v>45770.0</v>
      </c>
      <c r="H389" s="6"/>
      <c r="I389" s="6"/>
      <c r="J389" s="6"/>
      <c r="K389" s="6"/>
      <c r="L389" s="6"/>
      <c r="M389" s="6"/>
      <c r="N389" s="6"/>
      <c r="O389" s="6"/>
      <c r="P389" s="6"/>
      <c r="Q389" s="6"/>
      <c r="R389" s="6"/>
      <c r="S389" s="6"/>
      <c r="T389" s="6"/>
      <c r="U389" s="6"/>
      <c r="V389" s="6"/>
      <c r="W389" s="6"/>
      <c r="X389" s="6"/>
      <c r="Y389" s="6"/>
      <c r="Z389" s="6"/>
    </row>
    <row r="390" ht="12.75" hidden="1" customHeight="1">
      <c r="A390" s="34">
        <v>389.0</v>
      </c>
      <c r="B390" s="34">
        <v>10389.0</v>
      </c>
      <c r="C390" s="34" t="s">
        <v>34</v>
      </c>
      <c r="D390" s="35" t="s">
        <v>717</v>
      </c>
      <c r="E390" s="34" t="s">
        <v>718</v>
      </c>
      <c r="F390" s="34">
        <v>178.0</v>
      </c>
      <c r="G390" s="36">
        <v>45770.0</v>
      </c>
      <c r="H390" s="6"/>
      <c r="I390" s="6"/>
      <c r="J390" s="6"/>
      <c r="K390" s="6"/>
      <c r="L390" s="6"/>
      <c r="M390" s="6"/>
      <c r="N390" s="6"/>
      <c r="O390" s="6"/>
      <c r="P390" s="6"/>
      <c r="Q390" s="6"/>
      <c r="R390" s="6"/>
      <c r="S390" s="6"/>
      <c r="T390" s="6"/>
      <c r="U390" s="6"/>
      <c r="V390" s="6"/>
      <c r="W390" s="6"/>
      <c r="X390" s="6"/>
      <c r="Y390" s="6"/>
      <c r="Z390" s="6"/>
    </row>
    <row r="391" ht="12.75" hidden="1" customHeight="1">
      <c r="A391" s="37">
        <v>390.0</v>
      </c>
      <c r="B391" s="37">
        <v>10390.0</v>
      </c>
      <c r="C391" s="37" t="s">
        <v>34</v>
      </c>
      <c r="D391" s="38" t="s">
        <v>719</v>
      </c>
      <c r="E391" s="37" t="s">
        <v>720</v>
      </c>
      <c r="F391" s="37">
        <v>183.0</v>
      </c>
      <c r="G391" s="39">
        <v>45770.0</v>
      </c>
      <c r="H391" s="6"/>
      <c r="I391" s="6"/>
      <c r="J391" s="6"/>
      <c r="K391" s="6"/>
      <c r="L391" s="6"/>
      <c r="M391" s="6"/>
      <c r="N391" s="6"/>
      <c r="O391" s="6"/>
      <c r="P391" s="6"/>
      <c r="Q391" s="6"/>
      <c r="R391" s="6"/>
      <c r="S391" s="6"/>
      <c r="T391" s="6"/>
      <c r="U391" s="6"/>
      <c r="V391" s="6"/>
      <c r="W391" s="6"/>
      <c r="X391" s="6"/>
      <c r="Y391" s="6"/>
      <c r="Z391" s="6"/>
    </row>
    <row r="392" ht="12.75" hidden="1" customHeight="1">
      <c r="A392" s="34">
        <v>391.0</v>
      </c>
      <c r="B392" s="34">
        <v>10391.0</v>
      </c>
      <c r="C392" s="34" t="s">
        <v>34</v>
      </c>
      <c r="D392" s="35" t="s">
        <v>721</v>
      </c>
      <c r="E392" s="34" t="s">
        <v>722</v>
      </c>
      <c r="F392" s="34">
        <v>112.0</v>
      </c>
      <c r="G392" s="36">
        <v>0.0</v>
      </c>
      <c r="H392" s="6"/>
      <c r="I392" s="6"/>
      <c r="J392" s="6"/>
      <c r="K392" s="6"/>
      <c r="L392" s="6"/>
      <c r="M392" s="6"/>
      <c r="N392" s="6"/>
      <c r="O392" s="6"/>
      <c r="P392" s="6"/>
      <c r="Q392" s="6"/>
      <c r="R392" s="6"/>
      <c r="S392" s="6"/>
      <c r="T392" s="6"/>
      <c r="U392" s="6"/>
      <c r="V392" s="6"/>
      <c r="W392" s="6"/>
      <c r="X392" s="6"/>
      <c r="Y392" s="6"/>
      <c r="Z392" s="6"/>
    </row>
    <row r="393" ht="12.75" hidden="1" customHeight="1">
      <c r="A393" s="37">
        <v>392.0</v>
      </c>
      <c r="B393" s="37">
        <v>10392.0</v>
      </c>
      <c r="C393" s="37" t="s">
        <v>34</v>
      </c>
      <c r="D393" s="38" t="s">
        <v>723</v>
      </c>
      <c r="E393" s="37" t="s">
        <v>724</v>
      </c>
      <c r="F393" s="37">
        <v>113.0</v>
      </c>
      <c r="G393" s="39">
        <v>0.0</v>
      </c>
      <c r="H393" s="6"/>
      <c r="I393" s="6"/>
      <c r="J393" s="6"/>
      <c r="K393" s="6"/>
      <c r="L393" s="6"/>
      <c r="M393" s="6"/>
      <c r="N393" s="6"/>
      <c r="O393" s="6"/>
      <c r="P393" s="6"/>
      <c r="Q393" s="6"/>
      <c r="R393" s="6"/>
      <c r="S393" s="6"/>
      <c r="T393" s="6"/>
      <c r="U393" s="6"/>
      <c r="V393" s="6"/>
      <c r="W393" s="6"/>
      <c r="X393" s="6"/>
      <c r="Y393" s="6"/>
      <c r="Z393" s="6"/>
    </row>
    <row r="394" ht="12.75" hidden="1" customHeight="1">
      <c r="A394" s="34">
        <v>393.0</v>
      </c>
      <c r="B394" s="34">
        <v>10393.0</v>
      </c>
      <c r="C394" s="34" t="s">
        <v>34</v>
      </c>
      <c r="D394" s="35" t="s">
        <v>725</v>
      </c>
      <c r="E394" s="34" t="s">
        <v>726</v>
      </c>
      <c r="F394" s="34">
        <v>138.0</v>
      </c>
      <c r="G394" s="36">
        <v>0.0</v>
      </c>
      <c r="H394" s="6"/>
      <c r="I394" s="6"/>
      <c r="J394" s="6"/>
      <c r="K394" s="6"/>
      <c r="L394" s="6"/>
      <c r="M394" s="6"/>
      <c r="N394" s="6"/>
      <c r="O394" s="6"/>
      <c r="P394" s="6"/>
      <c r="Q394" s="6"/>
      <c r="R394" s="6"/>
      <c r="S394" s="6"/>
      <c r="T394" s="6"/>
      <c r="U394" s="6"/>
      <c r="V394" s="6"/>
      <c r="W394" s="6"/>
      <c r="X394" s="6"/>
      <c r="Y394" s="6"/>
      <c r="Z394" s="6"/>
    </row>
    <row r="395" ht="12.75" hidden="1" customHeight="1">
      <c r="A395" s="37">
        <v>394.0</v>
      </c>
      <c r="B395" s="37">
        <v>10394.0</v>
      </c>
      <c r="C395" s="37" t="s">
        <v>34</v>
      </c>
      <c r="D395" s="38" t="s">
        <v>727</v>
      </c>
      <c r="E395" s="37" t="s">
        <v>728</v>
      </c>
      <c r="F395" s="37">
        <v>172.0</v>
      </c>
      <c r="G395" s="39">
        <v>0.0</v>
      </c>
      <c r="H395" s="6"/>
      <c r="I395" s="6"/>
      <c r="J395" s="6"/>
      <c r="K395" s="6"/>
      <c r="L395" s="6"/>
      <c r="M395" s="6"/>
      <c r="N395" s="6"/>
      <c r="O395" s="6"/>
      <c r="P395" s="6"/>
      <c r="Q395" s="6"/>
      <c r="R395" s="6"/>
      <c r="S395" s="6"/>
      <c r="T395" s="6"/>
      <c r="U395" s="6"/>
      <c r="V395" s="6"/>
      <c r="W395" s="6"/>
      <c r="X395" s="6"/>
      <c r="Y395" s="6"/>
      <c r="Z395" s="6"/>
    </row>
    <row r="396" ht="12.75" hidden="1" customHeight="1">
      <c r="A396" s="34">
        <v>395.0</v>
      </c>
      <c r="B396" s="34">
        <v>10395.0</v>
      </c>
      <c r="C396" s="34" t="s">
        <v>34</v>
      </c>
      <c r="D396" s="35" t="s">
        <v>729</v>
      </c>
      <c r="E396" s="34" t="s">
        <v>730</v>
      </c>
      <c r="F396" s="34">
        <v>117.0</v>
      </c>
      <c r="G396" s="36">
        <v>0.0</v>
      </c>
      <c r="H396" s="6"/>
      <c r="I396" s="6"/>
      <c r="J396" s="6"/>
      <c r="K396" s="6"/>
      <c r="L396" s="6"/>
      <c r="M396" s="6"/>
      <c r="N396" s="6"/>
      <c r="O396" s="6"/>
      <c r="P396" s="6"/>
      <c r="Q396" s="6"/>
      <c r="R396" s="6"/>
      <c r="S396" s="6"/>
      <c r="T396" s="6"/>
      <c r="U396" s="6"/>
      <c r="V396" s="6"/>
      <c r="W396" s="6"/>
      <c r="X396" s="6"/>
      <c r="Y396" s="6"/>
      <c r="Z396" s="6"/>
    </row>
    <row r="397" ht="12.75" hidden="1" customHeight="1">
      <c r="A397" s="37">
        <v>396.0</v>
      </c>
      <c r="B397" s="37">
        <v>10396.0</v>
      </c>
      <c r="C397" s="37" t="s">
        <v>34</v>
      </c>
      <c r="D397" s="38" t="s">
        <v>731</v>
      </c>
      <c r="E397" s="37" t="s">
        <v>732</v>
      </c>
      <c r="F397" s="37">
        <v>190.0</v>
      </c>
      <c r="G397" s="39">
        <v>45770.0</v>
      </c>
      <c r="H397" s="6"/>
      <c r="I397" s="6"/>
      <c r="J397" s="6"/>
      <c r="K397" s="6"/>
      <c r="L397" s="6"/>
      <c r="M397" s="6"/>
      <c r="N397" s="6"/>
      <c r="O397" s="6"/>
      <c r="P397" s="6"/>
      <c r="Q397" s="6"/>
      <c r="R397" s="6"/>
      <c r="S397" s="6"/>
      <c r="T397" s="6"/>
      <c r="U397" s="6"/>
      <c r="V397" s="6"/>
      <c r="W397" s="6"/>
      <c r="X397" s="6"/>
      <c r="Y397" s="6"/>
      <c r="Z397" s="6"/>
    </row>
    <row r="398" ht="12.75" hidden="1" customHeight="1">
      <c r="A398" s="34">
        <v>397.0</v>
      </c>
      <c r="B398" s="34">
        <v>10397.0</v>
      </c>
      <c r="C398" s="34" t="s">
        <v>34</v>
      </c>
      <c r="D398" s="35" t="s">
        <v>733</v>
      </c>
      <c r="E398" s="34" t="s">
        <v>734</v>
      </c>
      <c r="F398" s="34">
        <v>160.0</v>
      </c>
      <c r="G398" s="36">
        <v>0.0</v>
      </c>
      <c r="H398" s="6"/>
      <c r="I398" s="6"/>
      <c r="J398" s="6"/>
      <c r="K398" s="6"/>
      <c r="L398" s="6"/>
      <c r="M398" s="6"/>
      <c r="N398" s="6"/>
      <c r="O398" s="6"/>
      <c r="P398" s="6"/>
      <c r="Q398" s="6"/>
      <c r="R398" s="6"/>
      <c r="S398" s="6"/>
      <c r="T398" s="6"/>
      <c r="U398" s="6"/>
      <c r="V398" s="6"/>
      <c r="W398" s="6"/>
      <c r="X398" s="6"/>
      <c r="Y398" s="6"/>
      <c r="Z398" s="6"/>
    </row>
    <row r="399" ht="12.75" hidden="1" customHeight="1">
      <c r="A399" s="37">
        <v>398.0</v>
      </c>
      <c r="B399" s="37">
        <v>10398.0</v>
      </c>
      <c r="C399" s="37" t="s">
        <v>34</v>
      </c>
      <c r="D399" s="38" t="s">
        <v>735</v>
      </c>
      <c r="E399" s="37" t="s">
        <v>722</v>
      </c>
      <c r="F399" s="37">
        <v>112.0</v>
      </c>
      <c r="G399" s="39">
        <v>0.0</v>
      </c>
      <c r="H399" s="6"/>
      <c r="I399" s="6"/>
      <c r="J399" s="6"/>
      <c r="K399" s="6"/>
      <c r="L399" s="6"/>
      <c r="M399" s="6"/>
      <c r="N399" s="6"/>
      <c r="O399" s="6"/>
      <c r="P399" s="6"/>
      <c r="Q399" s="6"/>
      <c r="R399" s="6"/>
      <c r="S399" s="6"/>
      <c r="T399" s="6"/>
      <c r="U399" s="6"/>
      <c r="V399" s="6"/>
      <c r="W399" s="6"/>
      <c r="X399" s="6"/>
      <c r="Y399" s="6"/>
      <c r="Z399" s="6"/>
    </row>
    <row r="400" ht="12.75" hidden="1" customHeight="1">
      <c r="A400" s="34">
        <v>399.0</v>
      </c>
      <c r="B400" s="34">
        <v>10399.0</v>
      </c>
      <c r="C400" s="34" t="s">
        <v>34</v>
      </c>
      <c r="D400" s="35" t="s">
        <v>736</v>
      </c>
      <c r="E400" s="34" t="s">
        <v>737</v>
      </c>
      <c r="F400" s="34">
        <v>132.0</v>
      </c>
      <c r="G400" s="36">
        <v>0.0</v>
      </c>
      <c r="H400" s="6"/>
      <c r="I400" s="6"/>
      <c r="J400" s="6"/>
      <c r="K400" s="6"/>
      <c r="L400" s="6"/>
      <c r="M400" s="6"/>
      <c r="N400" s="6"/>
      <c r="O400" s="6"/>
      <c r="P400" s="6"/>
      <c r="Q400" s="6"/>
      <c r="R400" s="6"/>
      <c r="S400" s="6"/>
      <c r="T400" s="6"/>
      <c r="U400" s="6"/>
      <c r="V400" s="6"/>
      <c r="W400" s="6"/>
      <c r="X400" s="6"/>
      <c r="Y400" s="6"/>
      <c r="Z400" s="6"/>
    </row>
    <row r="401" ht="12.75" customHeight="1">
      <c r="A401" s="70">
        <v>400.0</v>
      </c>
      <c r="B401" s="70">
        <v>10400.0</v>
      </c>
      <c r="C401" s="70" t="s">
        <v>34</v>
      </c>
      <c r="D401" s="71" t="s">
        <v>738</v>
      </c>
      <c r="E401" s="70">
        <v>0.0</v>
      </c>
      <c r="F401" s="70">
        <v>1.0</v>
      </c>
      <c r="G401" s="72">
        <v>0.0</v>
      </c>
      <c r="H401" s="6"/>
      <c r="I401" s="6"/>
      <c r="J401" s="6"/>
      <c r="K401" s="6"/>
      <c r="L401" s="6"/>
      <c r="M401" s="6"/>
      <c r="N401" s="6"/>
      <c r="O401" s="6"/>
      <c r="P401" s="6"/>
      <c r="Q401" s="6"/>
      <c r="R401" s="6"/>
      <c r="S401" s="6"/>
      <c r="T401" s="6"/>
      <c r="U401" s="6"/>
      <c r="V401" s="6"/>
      <c r="W401" s="6"/>
      <c r="X401" s="6"/>
      <c r="Y401" s="6"/>
      <c r="Z401" s="6"/>
    </row>
    <row r="402" ht="12.75" hidden="1" customHeight="1">
      <c r="A402" s="34">
        <v>401.0</v>
      </c>
      <c r="B402" s="34">
        <v>10401.0</v>
      </c>
      <c r="C402" s="34" t="s">
        <v>34</v>
      </c>
      <c r="D402" s="35" t="s">
        <v>739</v>
      </c>
      <c r="E402" s="34" t="s">
        <v>740</v>
      </c>
      <c r="F402" s="34">
        <v>174.0</v>
      </c>
      <c r="G402" s="36">
        <v>45770.0</v>
      </c>
      <c r="H402" s="6"/>
      <c r="I402" s="6"/>
      <c r="J402" s="6"/>
      <c r="K402" s="6"/>
      <c r="L402" s="6"/>
      <c r="M402" s="6"/>
      <c r="N402" s="6"/>
      <c r="O402" s="6"/>
      <c r="P402" s="6"/>
      <c r="Q402" s="6"/>
      <c r="R402" s="6"/>
      <c r="S402" s="6"/>
      <c r="T402" s="6"/>
      <c r="U402" s="6"/>
      <c r="V402" s="6"/>
      <c r="W402" s="6"/>
      <c r="X402" s="6"/>
      <c r="Y402" s="6"/>
      <c r="Z402" s="6"/>
    </row>
    <row r="403" ht="12.75" hidden="1" customHeight="1">
      <c r="A403" s="37">
        <v>402.0</v>
      </c>
      <c r="B403" s="37">
        <v>10402.0</v>
      </c>
      <c r="C403" s="37" t="s">
        <v>34</v>
      </c>
      <c r="D403" s="38" t="s">
        <v>741</v>
      </c>
      <c r="E403" s="37" t="s">
        <v>742</v>
      </c>
      <c r="F403" s="37">
        <v>185.0</v>
      </c>
      <c r="G403" s="39">
        <v>0.0</v>
      </c>
      <c r="H403" s="6"/>
      <c r="I403" s="6"/>
      <c r="J403" s="6"/>
      <c r="K403" s="6"/>
      <c r="L403" s="6"/>
      <c r="M403" s="6"/>
      <c r="N403" s="6"/>
      <c r="O403" s="6"/>
      <c r="P403" s="6"/>
      <c r="Q403" s="6"/>
      <c r="R403" s="6"/>
      <c r="S403" s="6"/>
      <c r="T403" s="6"/>
      <c r="U403" s="6"/>
      <c r="V403" s="6"/>
      <c r="W403" s="6"/>
      <c r="X403" s="6"/>
      <c r="Y403" s="6"/>
      <c r="Z403" s="6"/>
    </row>
    <row r="404" ht="12.75" hidden="1" customHeight="1">
      <c r="A404" s="34">
        <v>403.0</v>
      </c>
      <c r="B404" s="34">
        <v>10403.0</v>
      </c>
      <c r="C404" s="34" t="s">
        <v>34</v>
      </c>
      <c r="D404" s="35" t="s">
        <v>743</v>
      </c>
      <c r="E404" s="34" t="s">
        <v>744</v>
      </c>
      <c r="F404" s="34">
        <v>131.0</v>
      </c>
      <c r="G404" s="36">
        <v>0.0</v>
      </c>
      <c r="H404" s="6"/>
      <c r="I404" s="6"/>
      <c r="J404" s="6"/>
      <c r="K404" s="6"/>
      <c r="L404" s="6"/>
      <c r="M404" s="6"/>
      <c r="N404" s="6"/>
      <c r="O404" s="6"/>
      <c r="P404" s="6"/>
      <c r="Q404" s="6"/>
      <c r="R404" s="6"/>
      <c r="S404" s="6"/>
      <c r="T404" s="6"/>
      <c r="U404" s="6"/>
      <c r="V404" s="6"/>
      <c r="W404" s="6"/>
      <c r="X404" s="6"/>
      <c r="Y404" s="6"/>
      <c r="Z404" s="6"/>
    </row>
    <row r="405" ht="12.75" hidden="1" customHeight="1">
      <c r="A405" s="37">
        <v>404.0</v>
      </c>
      <c r="B405" s="37">
        <v>10404.0</v>
      </c>
      <c r="C405" s="37" t="s">
        <v>34</v>
      </c>
      <c r="D405" s="38" t="s">
        <v>745</v>
      </c>
      <c r="E405" s="37" t="s">
        <v>746</v>
      </c>
      <c r="F405" s="37">
        <v>141.0</v>
      </c>
      <c r="G405" s="39">
        <v>0.0</v>
      </c>
      <c r="H405" s="6"/>
      <c r="I405" s="6"/>
      <c r="J405" s="6"/>
      <c r="K405" s="6"/>
      <c r="L405" s="6"/>
      <c r="M405" s="6"/>
      <c r="N405" s="6"/>
      <c r="O405" s="6"/>
      <c r="P405" s="6"/>
      <c r="Q405" s="6"/>
      <c r="R405" s="6"/>
      <c r="S405" s="6"/>
      <c r="T405" s="6"/>
      <c r="U405" s="6"/>
      <c r="V405" s="6"/>
      <c r="W405" s="6"/>
      <c r="X405" s="6"/>
      <c r="Y405" s="6"/>
      <c r="Z405" s="6"/>
    </row>
    <row r="406" ht="12.75" hidden="1" customHeight="1">
      <c r="A406" s="34">
        <v>405.0</v>
      </c>
      <c r="B406" s="34">
        <v>10405.0</v>
      </c>
      <c r="C406" s="34" t="s">
        <v>34</v>
      </c>
      <c r="D406" s="35" t="s">
        <v>747</v>
      </c>
      <c r="E406" s="34" t="s">
        <v>748</v>
      </c>
      <c r="F406" s="34">
        <v>120.0</v>
      </c>
      <c r="G406" s="36">
        <v>0.0</v>
      </c>
      <c r="H406" s="6"/>
      <c r="I406" s="6"/>
      <c r="J406" s="6"/>
      <c r="K406" s="6"/>
      <c r="L406" s="6"/>
      <c r="M406" s="6"/>
      <c r="N406" s="6"/>
      <c r="O406" s="6"/>
      <c r="P406" s="6"/>
      <c r="Q406" s="6"/>
      <c r="R406" s="6"/>
      <c r="S406" s="6"/>
      <c r="T406" s="6"/>
      <c r="U406" s="6"/>
      <c r="V406" s="6"/>
      <c r="W406" s="6"/>
      <c r="X406" s="6"/>
      <c r="Y406" s="6"/>
      <c r="Z406" s="6"/>
    </row>
    <row r="407" ht="12.75" hidden="1" customHeight="1">
      <c r="A407" s="37">
        <v>406.0</v>
      </c>
      <c r="B407" s="37">
        <v>10406.0</v>
      </c>
      <c r="C407" s="37" t="s">
        <v>34</v>
      </c>
      <c r="D407" s="38" t="s">
        <v>749</v>
      </c>
      <c r="E407" s="37" t="s">
        <v>750</v>
      </c>
      <c r="F407" s="37">
        <v>182.0</v>
      </c>
      <c r="G407" s="39">
        <v>45770.0</v>
      </c>
      <c r="H407" s="6"/>
      <c r="I407" s="6"/>
      <c r="J407" s="6"/>
      <c r="K407" s="6"/>
      <c r="L407" s="6"/>
      <c r="M407" s="6"/>
      <c r="N407" s="6"/>
      <c r="O407" s="6"/>
      <c r="P407" s="6"/>
      <c r="Q407" s="6"/>
      <c r="R407" s="6"/>
      <c r="S407" s="6"/>
      <c r="T407" s="6"/>
      <c r="U407" s="6"/>
      <c r="V407" s="6"/>
      <c r="W407" s="6"/>
      <c r="X407" s="6"/>
      <c r="Y407" s="6"/>
      <c r="Z407" s="6"/>
    </row>
    <row r="408" ht="12.75" hidden="1" customHeight="1">
      <c r="A408" s="34">
        <v>407.0</v>
      </c>
      <c r="B408" s="34">
        <v>10407.0</v>
      </c>
      <c r="C408" s="34" t="s">
        <v>34</v>
      </c>
      <c r="D408" s="35" t="s">
        <v>751</v>
      </c>
      <c r="E408" s="34" t="s">
        <v>746</v>
      </c>
      <c r="F408" s="34">
        <v>141.0</v>
      </c>
      <c r="G408" s="36">
        <v>0.0</v>
      </c>
      <c r="H408" s="6"/>
      <c r="I408" s="6"/>
      <c r="J408" s="6"/>
      <c r="K408" s="6"/>
      <c r="L408" s="6"/>
      <c r="M408" s="6"/>
      <c r="N408" s="6"/>
      <c r="O408" s="6"/>
      <c r="P408" s="6"/>
      <c r="Q408" s="6"/>
      <c r="R408" s="6"/>
      <c r="S408" s="6"/>
      <c r="T408" s="6"/>
      <c r="U408" s="6"/>
      <c r="V408" s="6"/>
      <c r="W408" s="6"/>
      <c r="X408" s="6"/>
      <c r="Y408" s="6"/>
      <c r="Z408" s="6"/>
    </row>
    <row r="409" ht="12.75" hidden="1" customHeight="1">
      <c r="A409" s="37">
        <v>408.0</v>
      </c>
      <c r="B409" s="37">
        <v>10408.0</v>
      </c>
      <c r="C409" s="37" t="s">
        <v>34</v>
      </c>
      <c r="D409" s="38" t="s">
        <v>752</v>
      </c>
      <c r="E409" s="37" t="s">
        <v>753</v>
      </c>
      <c r="F409" s="37">
        <v>187.0</v>
      </c>
      <c r="G409" s="39">
        <v>45770.0</v>
      </c>
      <c r="H409" s="6"/>
      <c r="I409" s="6"/>
      <c r="J409" s="6"/>
      <c r="K409" s="6"/>
      <c r="L409" s="6"/>
      <c r="M409" s="6"/>
      <c r="N409" s="6"/>
      <c r="O409" s="6"/>
      <c r="P409" s="6"/>
      <c r="Q409" s="6"/>
      <c r="R409" s="6"/>
      <c r="S409" s="6"/>
      <c r="T409" s="6"/>
      <c r="U409" s="6"/>
      <c r="V409" s="6"/>
      <c r="W409" s="6"/>
      <c r="X409" s="6"/>
      <c r="Y409" s="6"/>
      <c r="Z409" s="6"/>
    </row>
    <row r="410" ht="12.75" hidden="1" customHeight="1">
      <c r="A410" s="34">
        <v>409.0</v>
      </c>
      <c r="B410" s="34">
        <v>10409.0</v>
      </c>
      <c r="C410" s="34" t="s">
        <v>34</v>
      </c>
      <c r="D410" s="35" t="s">
        <v>754</v>
      </c>
      <c r="E410" s="34" t="s">
        <v>469</v>
      </c>
      <c r="F410" s="34">
        <v>115.0</v>
      </c>
      <c r="G410" s="36">
        <v>0.0</v>
      </c>
      <c r="H410" s="6"/>
      <c r="I410" s="6"/>
      <c r="J410" s="6"/>
      <c r="K410" s="6"/>
      <c r="L410" s="6"/>
      <c r="M410" s="6"/>
      <c r="N410" s="6"/>
      <c r="O410" s="6"/>
      <c r="P410" s="6"/>
      <c r="Q410" s="6"/>
      <c r="R410" s="6"/>
      <c r="S410" s="6"/>
      <c r="T410" s="6"/>
      <c r="U410" s="6"/>
      <c r="V410" s="6"/>
      <c r="W410" s="6"/>
      <c r="X410" s="6"/>
      <c r="Y410" s="6"/>
      <c r="Z410" s="6"/>
    </row>
    <row r="411" ht="12.75" hidden="1" customHeight="1">
      <c r="A411" s="37">
        <v>410.0</v>
      </c>
      <c r="B411" s="37">
        <v>10410.0</v>
      </c>
      <c r="C411" s="37" t="s">
        <v>34</v>
      </c>
      <c r="D411" s="38" t="s">
        <v>755</v>
      </c>
      <c r="E411" s="37" t="s">
        <v>756</v>
      </c>
      <c r="F411" s="37">
        <v>209.0</v>
      </c>
      <c r="G411" s="39" t="s">
        <v>331</v>
      </c>
      <c r="H411" s="6"/>
      <c r="I411" s="6"/>
      <c r="J411" s="6"/>
      <c r="K411" s="6"/>
      <c r="L411" s="6"/>
      <c r="M411" s="6"/>
      <c r="N411" s="6"/>
      <c r="O411" s="6"/>
      <c r="P411" s="6"/>
      <c r="Q411" s="6"/>
      <c r="R411" s="6"/>
      <c r="S411" s="6"/>
      <c r="T411" s="6"/>
      <c r="U411" s="6"/>
      <c r="V411" s="6"/>
      <c r="W411" s="6"/>
      <c r="X411" s="6"/>
      <c r="Y411" s="6"/>
      <c r="Z411" s="6"/>
    </row>
    <row r="412" ht="12.75" hidden="1" customHeight="1">
      <c r="A412" s="34">
        <v>411.0</v>
      </c>
      <c r="B412" s="34">
        <v>10411.0</v>
      </c>
      <c r="C412" s="34" t="s">
        <v>34</v>
      </c>
      <c r="D412" s="35" t="s">
        <v>757</v>
      </c>
      <c r="E412" s="34" t="s">
        <v>758</v>
      </c>
      <c r="F412" s="34">
        <v>123.0</v>
      </c>
      <c r="G412" s="36">
        <v>45770.0</v>
      </c>
      <c r="H412" s="6"/>
      <c r="I412" s="6"/>
      <c r="J412" s="6"/>
      <c r="K412" s="6"/>
      <c r="L412" s="6"/>
      <c r="M412" s="6"/>
      <c r="N412" s="6"/>
      <c r="O412" s="6"/>
      <c r="P412" s="6"/>
      <c r="Q412" s="6"/>
      <c r="R412" s="6"/>
      <c r="S412" s="6"/>
      <c r="T412" s="6"/>
      <c r="U412" s="6"/>
      <c r="V412" s="6"/>
      <c r="W412" s="6"/>
      <c r="X412" s="6"/>
      <c r="Y412" s="6"/>
      <c r="Z412" s="6"/>
    </row>
    <row r="413" ht="12.75" hidden="1" customHeight="1">
      <c r="A413" s="37">
        <v>412.0</v>
      </c>
      <c r="B413" s="37">
        <v>10412.0</v>
      </c>
      <c r="C413" s="37" t="s">
        <v>34</v>
      </c>
      <c r="D413" s="38" t="s">
        <v>759</v>
      </c>
      <c r="E413" s="37" t="s">
        <v>760</v>
      </c>
      <c r="F413" s="37">
        <v>178.0</v>
      </c>
      <c r="G413" s="39">
        <v>45770.0</v>
      </c>
      <c r="H413" s="6"/>
      <c r="I413" s="6"/>
      <c r="J413" s="6"/>
      <c r="K413" s="6"/>
      <c r="L413" s="6"/>
      <c r="M413" s="6"/>
      <c r="N413" s="6"/>
      <c r="O413" s="6"/>
      <c r="P413" s="6"/>
      <c r="Q413" s="6"/>
      <c r="R413" s="6"/>
      <c r="S413" s="6"/>
      <c r="T413" s="6"/>
      <c r="U413" s="6"/>
      <c r="V413" s="6"/>
      <c r="W413" s="6"/>
      <c r="X413" s="6"/>
      <c r="Y413" s="6"/>
      <c r="Z413" s="6"/>
    </row>
    <row r="414" ht="12.75" hidden="1" customHeight="1">
      <c r="A414" s="34">
        <v>413.0</v>
      </c>
      <c r="B414" s="34">
        <v>10413.0</v>
      </c>
      <c r="C414" s="34" t="s">
        <v>34</v>
      </c>
      <c r="D414" s="35" t="s">
        <v>761</v>
      </c>
      <c r="E414" s="34" t="s">
        <v>762</v>
      </c>
      <c r="F414" s="34">
        <v>171.0</v>
      </c>
      <c r="G414" s="36">
        <v>0.0</v>
      </c>
      <c r="H414" s="6"/>
      <c r="I414" s="6"/>
      <c r="J414" s="6"/>
      <c r="K414" s="6"/>
      <c r="L414" s="6"/>
      <c r="M414" s="6"/>
      <c r="N414" s="6"/>
      <c r="O414" s="6"/>
      <c r="P414" s="6"/>
      <c r="Q414" s="6"/>
      <c r="R414" s="6"/>
      <c r="S414" s="6"/>
      <c r="T414" s="6"/>
      <c r="U414" s="6"/>
      <c r="V414" s="6"/>
      <c r="W414" s="6"/>
      <c r="X414" s="6"/>
      <c r="Y414" s="6"/>
      <c r="Z414" s="6"/>
    </row>
    <row r="415" ht="12.75" hidden="1" customHeight="1">
      <c r="A415" s="37">
        <v>414.0</v>
      </c>
      <c r="B415" s="37">
        <v>10414.0</v>
      </c>
      <c r="C415" s="37" t="s">
        <v>34</v>
      </c>
      <c r="D415" s="38" t="s">
        <v>763</v>
      </c>
      <c r="E415" s="37" t="s">
        <v>764</v>
      </c>
      <c r="F415" s="37">
        <v>169.0</v>
      </c>
      <c r="G415" s="39">
        <v>45770.0</v>
      </c>
      <c r="H415" s="6"/>
      <c r="I415" s="6"/>
      <c r="J415" s="6"/>
      <c r="K415" s="6"/>
      <c r="L415" s="6"/>
      <c r="M415" s="6"/>
      <c r="N415" s="6"/>
      <c r="O415" s="6"/>
      <c r="P415" s="6"/>
      <c r="Q415" s="6"/>
      <c r="R415" s="6"/>
      <c r="S415" s="6"/>
      <c r="T415" s="6"/>
      <c r="U415" s="6"/>
      <c r="V415" s="6"/>
      <c r="W415" s="6"/>
      <c r="X415" s="6"/>
      <c r="Y415" s="6"/>
      <c r="Z415" s="6"/>
    </row>
    <row r="416" ht="12.75" hidden="1" customHeight="1">
      <c r="A416" s="34">
        <v>415.0</v>
      </c>
      <c r="B416" s="34">
        <v>10415.0</v>
      </c>
      <c r="C416" s="34" t="s">
        <v>34</v>
      </c>
      <c r="D416" s="35" t="s">
        <v>765</v>
      </c>
      <c r="E416" s="34" t="s">
        <v>766</v>
      </c>
      <c r="F416" s="34">
        <v>102.0</v>
      </c>
      <c r="G416" s="36">
        <v>0.0</v>
      </c>
      <c r="H416" s="6"/>
      <c r="I416" s="6"/>
      <c r="J416" s="6"/>
      <c r="K416" s="6"/>
      <c r="L416" s="6"/>
      <c r="M416" s="6"/>
      <c r="N416" s="6"/>
      <c r="O416" s="6"/>
      <c r="P416" s="6"/>
      <c r="Q416" s="6"/>
      <c r="R416" s="6"/>
      <c r="S416" s="6"/>
      <c r="T416" s="6"/>
      <c r="U416" s="6"/>
      <c r="V416" s="6"/>
      <c r="W416" s="6"/>
      <c r="X416" s="6"/>
      <c r="Y416" s="6"/>
      <c r="Z416" s="6"/>
    </row>
    <row r="417" ht="12.75" hidden="1" customHeight="1">
      <c r="A417" s="37">
        <v>416.0</v>
      </c>
      <c r="B417" s="37">
        <v>10416.0</v>
      </c>
      <c r="C417" s="37" t="s">
        <v>34</v>
      </c>
      <c r="D417" s="38" t="s">
        <v>767</v>
      </c>
      <c r="E417" s="37" t="s">
        <v>768</v>
      </c>
      <c r="F417" s="37">
        <v>152.0</v>
      </c>
      <c r="G417" s="39">
        <v>45770.0</v>
      </c>
      <c r="H417" s="6"/>
      <c r="I417" s="6"/>
      <c r="J417" s="6"/>
      <c r="K417" s="6"/>
      <c r="L417" s="6"/>
      <c r="M417" s="6"/>
      <c r="N417" s="6"/>
      <c r="O417" s="6"/>
      <c r="P417" s="6"/>
      <c r="Q417" s="6"/>
      <c r="R417" s="6"/>
      <c r="S417" s="6"/>
      <c r="T417" s="6"/>
      <c r="U417" s="6"/>
      <c r="V417" s="6"/>
      <c r="W417" s="6"/>
      <c r="X417" s="6"/>
      <c r="Y417" s="6"/>
      <c r="Z417" s="6"/>
    </row>
    <row r="418" ht="12.75" hidden="1" customHeight="1">
      <c r="A418" s="58">
        <v>417.0</v>
      </c>
      <c r="B418" s="58">
        <v>10417.0</v>
      </c>
      <c r="C418" s="58" t="s">
        <v>7</v>
      </c>
      <c r="D418" s="59" t="s">
        <v>769</v>
      </c>
      <c r="E418" s="58" t="s">
        <v>770</v>
      </c>
      <c r="F418" s="58">
        <v>62.0</v>
      </c>
      <c r="G418" s="60">
        <v>0.0</v>
      </c>
      <c r="H418" s="6"/>
      <c r="I418" s="6"/>
      <c r="J418" s="6"/>
      <c r="K418" s="6"/>
      <c r="L418" s="6"/>
      <c r="M418" s="6"/>
      <c r="N418" s="6"/>
      <c r="O418" s="6"/>
      <c r="P418" s="6"/>
      <c r="Q418" s="6"/>
      <c r="R418" s="6"/>
      <c r="S418" s="6"/>
      <c r="T418" s="6"/>
      <c r="U418" s="6"/>
      <c r="V418" s="6"/>
      <c r="W418" s="6"/>
      <c r="X418" s="6"/>
      <c r="Y418" s="6"/>
      <c r="Z418" s="6"/>
    </row>
    <row r="419" ht="12.75" hidden="1" customHeight="1">
      <c r="A419" s="37">
        <v>418.0</v>
      </c>
      <c r="B419" s="37">
        <v>10418.0</v>
      </c>
      <c r="C419" s="37" t="s">
        <v>34</v>
      </c>
      <c r="D419" s="38" t="s">
        <v>771</v>
      </c>
      <c r="E419" s="37" t="s">
        <v>772</v>
      </c>
      <c r="F419" s="37">
        <v>143.0</v>
      </c>
      <c r="G419" s="39">
        <v>0.0</v>
      </c>
      <c r="H419" s="6"/>
      <c r="I419" s="6"/>
      <c r="J419" s="6"/>
      <c r="K419" s="6"/>
      <c r="L419" s="6"/>
      <c r="M419" s="6"/>
      <c r="N419" s="6"/>
      <c r="O419" s="6"/>
      <c r="P419" s="6"/>
      <c r="Q419" s="6"/>
      <c r="R419" s="6"/>
      <c r="S419" s="6"/>
      <c r="T419" s="6"/>
      <c r="U419" s="6"/>
      <c r="V419" s="6"/>
      <c r="W419" s="6"/>
      <c r="X419" s="6"/>
      <c r="Y419" s="6"/>
      <c r="Z419" s="6"/>
    </row>
    <row r="420" ht="12.75" hidden="1" customHeight="1">
      <c r="A420" s="34">
        <v>419.0</v>
      </c>
      <c r="B420" s="34">
        <v>10419.0</v>
      </c>
      <c r="C420" s="34" t="s">
        <v>34</v>
      </c>
      <c r="D420" s="35" t="s">
        <v>773</v>
      </c>
      <c r="E420" s="34" t="s">
        <v>774</v>
      </c>
      <c r="F420" s="34">
        <v>222.0</v>
      </c>
      <c r="G420" s="36" t="s">
        <v>331</v>
      </c>
      <c r="H420" s="6"/>
      <c r="I420" s="6"/>
      <c r="J420" s="6"/>
      <c r="K420" s="6"/>
      <c r="L420" s="6"/>
      <c r="M420" s="6"/>
      <c r="N420" s="6"/>
      <c r="O420" s="6"/>
      <c r="P420" s="6"/>
      <c r="Q420" s="6"/>
      <c r="R420" s="6"/>
      <c r="S420" s="6"/>
      <c r="T420" s="6"/>
      <c r="U420" s="6"/>
      <c r="V420" s="6"/>
      <c r="W420" s="6"/>
      <c r="X420" s="6"/>
      <c r="Y420" s="6"/>
      <c r="Z420" s="6"/>
    </row>
    <row r="421" ht="12.75" hidden="1" customHeight="1">
      <c r="A421" s="37">
        <v>420.0</v>
      </c>
      <c r="B421" s="37">
        <v>10420.0</v>
      </c>
      <c r="C421" s="37" t="s">
        <v>7</v>
      </c>
      <c r="D421" s="38" t="s">
        <v>775</v>
      </c>
      <c r="E421" s="37" t="s">
        <v>776</v>
      </c>
      <c r="F421" s="37">
        <v>70.0</v>
      </c>
      <c r="G421" s="39">
        <v>0.0</v>
      </c>
      <c r="H421" s="6"/>
      <c r="I421" s="6"/>
      <c r="J421" s="6"/>
      <c r="K421" s="6"/>
      <c r="L421" s="6"/>
      <c r="M421" s="6"/>
      <c r="N421" s="6"/>
      <c r="O421" s="6"/>
      <c r="P421" s="6"/>
      <c r="Q421" s="6"/>
      <c r="R421" s="6"/>
      <c r="S421" s="6"/>
      <c r="T421" s="6"/>
      <c r="U421" s="6"/>
      <c r="V421" s="6"/>
      <c r="W421" s="6"/>
      <c r="X421" s="6"/>
      <c r="Y421" s="6"/>
      <c r="Z421" s="6"/>
    </row>
    <row r="422" ht="12.75" hidden="1" customHeight="1">
      <c r="A422" s="34">
        <v>421.0</v>
      </c>
      <c r="B422" s="34">
        <v>10421.0</v>
      </c>
      <c r="C422" s="34" t="s">
        <v>27</v>
      </c>
      <c r="D422" s="35" t="s">
        <v>777</v>
      </c>
      <c r="E422" s="34" t="s">
        <v>778</v>
      </c>
      <c r="F422" s="34">
        <v>113.0</v>
      </c>
      <c r="G422" s="36">
        <v>0.0</v>
      </c>
      <c r="H422" s="6"/>
      <c r="I422" s="6"/>
      <c r="J422" s="6"/>
      <c r="K422" s="6"/>
      <c r="L422" s="6"/>
      <c r="M422" s="6"/>
      <c r="N422" s="6"/>
      <c r="O422" s="6"/>
      <c r="P422" s="6"/>
      <c r="Q422" s="6"/>
      <c r="R422" s="6"/>
      <c r="S422" s="6"/>
      <c r="T422" s="6"/>
      <c r="U422" s="6"/>
      <c r="V422" s="6"/>
      <c r="W422" s="6"/>
      <c r="X422" s="6"/>
      <c r="Y422" s="6"/>
      <c r="Z422" s="6"/>
    </row>
    <row r="423" ht="12.75" hidden="1" customHeight="1">
      <c r="A423" s="37">
        <v>422.0</v>
      </c>
      <c r="B423" s="37">
        <v>10422.0</v>
      </c>
      <c r="C423" s="37" t="s">
        <v>7</v>
      </c>
      <c r="D423" s="38" t="s">
        <v>779</v>
      </c>
      <c r="E423" s="37" t="s">
        <v>780</v>
      </c>
      <c r="F423" s="37">
        <v>50.0</v>
      </c>
      <c r="G423" s="39">
        <v>0.0</v>
      </c>
      <c r="H423" s="6"/>
      <c r="I423" s="6"/>
      <c r="J423" s="6"/>
      <c r="K423" s="6"/>
      <c r="L423" s="6"/>
      <c r="M423" s="6"/>
      <c r="N423" s="6"/>
      <c r="O423" s="6"/>
      <c r="P423" s="6"/>
      <c r="Q423" s="6"/>
      <c r="R423" s="6"/>
      <c r="S423" s="6"/>
      <c r="T423" s="6"/>
      <c r="U423" s="6"/>
      <c r="V423" s="6"/>
      <c r="W423" s="6"/>
      <c r="X423" s="6"/>
      <c r="Y423" s="6"/>
      <c r="Z423" s="6"/>
    </row>
    <row r="424" ht="12.75" hidden="1" customHeight="1">
      <c r="A424" s="58">
        <v>423.0</v>
      </c>
      <c r="B424" s="58">
        <v>10423.0</v>
      </c>
      <c r="C424" s="58" t="s">
        <v>7</v>
      </c>
      <c r="D424" s="59" t="s">
        <v>781</v>
      </c>
      <c r="E424" s="58" t="s">
        <v>782</v>
      </c>
      <c r="F424" s="58">
        <v>50.0</v>
      </c>
      <c r="G424" s="60">
        <v>0.0</v>
      </c>
      <c r="H424" s="6"/>
      <c r="I424" s="6"/>
      <c r="J424" s="6"/>
      <c r="K424" s="6"/>
      <c r="L424" s="6"/>
      <c r="M424" s="6"/>
      <c r="N424" s="6"/>
      <c r="O424" s="6"/>
      <c r="P424" s="6"/>
      <c r="Q424" s="6"/>
      <c r="R424" s="6"/>
      <c r="S424" s="6"/>
      <c r="T424" s="6"/>
      <c r="U424" s="6"/>
      <c r="V424" s="6"/>
      <c r="W424" s="6"/>
      <c r="X424" s="6"/>
      <c r="Y424" s="6"/>
      <c r="Z424" s="6"/>
    </row>
    <row r="425" ht="12.75" hidden="1" customHeight="1">
      <c r="A425" s="37">
        <v>424.0</v>
      </c>
      <c r="B425" s="37">
        <v>10424.0</v>
      </c>
      <c r="C425" s="37" t="s">
        <v>20</v>
      </c>
      <c r="D425" s="38" t="s">
        <v>783</v>
      </c>
      <c r="E425" s="37" t="s">
        <v>784</v>
      </c>
      <c r="F425" s="37">
        <v>153.0</v>
      </c>
      <c r="G425" s="39">
        <v>0.0</v>
      </c>
      <c r="H425" s="6"/>
      <c r="I425" s="6"/>
      <c r="J425" s="6"/>
      <c r="K425" s="6"/>
      <c r="L425" s="6"/>
      <c r="M425" s="6"/>
      <c r="N425" s="6"/>
      <c r="O425" s="6"/>
      <c r="P425" s="6"/>
      <c r="Q425" s="6"/>
      <c r="R425" s="6"/>
      <c r="S425" s="6"/>
      <c r="T425" s="6"/>
      <c r="U425" s="6"/>
      <c r="V425" s="6"/>
      <c r="W425" s="6"/>
      <c r="X425" s="6"/>
      <c r="Y425" s="6"/>
      <c r="Z425" s="6"/>
    </row>
    <row r="426" ht="12.75" hidden="1" customHeight="1">
      <c r="A426" s="34">
        <v>425.0</v>
      </c>
      <c r="B426" s="34">
        <v>10425.0</v>
      </c>
      <c r="C426" s="34" t="s">
        <v>34</v>
      </c>
      <c r="D426" s="35" t="s">
        <v>785</v>
      </c>
      <c r="E426" s="34" t="s">
        <v>786</v>
      </c>
      <c r="F426" s="34">
        <v>182.0</v>
      </c>
      <c r="G426" s="36" t="s">
        <v>331</v>
      </c>
      <c r="H426" s="6"/>
      <c r="I426" s="6"/>
      <c r="J426" s="6"/>
      <c r="K426" s="6"/>
      <c r="L426" s="6"/>
      <c r="M426" s="6"/>
      <c r="N426" s="6"/>
      <c r="O426" s="6"/>
      <c r="P426" s="6"/>
      <c r="Q426" s="6"/>
      <c r="R426" s="6"/>
      <c r="S426" s="6"/>
      <c r="T426" s="6"/>
      <c r="U426" s="6"/>
      <c r="V426" s="6"/>
      <c r="W426" s="6"/>
      <c r="X426" s="6"/>
      <c r="Y426" s="6"/>
      <c r="Z426" s="6"/>
    </row>
    <row r="427" ht="12.75" hidden="1" customHeight="1">
      <c r="A427" s="37">
        <v>426.0</v>
      </c>
      <c r="B427" s="37">
        <v>10426.0</v>
      </c>
      <c r="C427" s="37" t="s">
        <v>34</v>
      </c>
      <c r="D427" s="38" t="s">
        <v>787</v>
      </c>
      <c r="E427" s="37" t="s">
        <v>788</v>
      </c>
      <c r="F427" s="37">
        <v>197.0</v>
      </c>
      <c r="G427" s="39" t="s">
        <v>331</v>
      </c>
      <c r="H427" s="6"/>
      <c r="I427" s="6"/>
      <c r="J427" s="6"/>
      <c r="K427" s="6"/>
      <c r="L427" s="6"/>
      <c r="M427" s="6"/>
      <c r="N427" s="6"/>
      <c r="O427" s="6"/>
      <c r="P427" s="6"/>
      <c r="Q427" s="6"/>
      <c r="R427" s="6"/>
      <c r="S427" s="6"/>
      <c r="T427" s="6"/>
      <c r="U427" s="6"/>
      <c r="V427" s="6"/>
      <c r="W427" s="6"/>
      <c r="X427" s="6"/>
      <c r="Y427" s="6"/>
      <c r="Z427" s="6"/>
    </row>
    <row r="428" ht="12.75" hidden="1" customHeight="1">
      <c r="A428" s="34">
        <v>427.0</v>
      </c>
      <c r="B428" s="34">
        <v>10427.0</v>
      </c>
      <c r="C428" s="34" t="s">
        <v>34</v>
      </c>
      <c r="D428" s="35" t="s">
        <v>789</v>
      </c>
      <c r="E428" s="34" t="s">
        <v>790</v>
      </c>
      <c r="F428" s="34">
        <v>205.0</v>
      </c>
      <c r="G428" s="36" t="s">
        <v>331</v>
      </c>
      <c r="H428" s="6"/>
      <c r="I428" s="6"/>
      <c r="J428" s="6"/>
      <c r="K428" s="6"/>
      <c r="L428" s="6"/>
      <c r="M428" s="6"/>
      <c r="N428" s="6"/>
      <c r="O428" s="6"/>
      <c r="P428" s="6"/>
      <c r="Q428" s="6"/>
      <c r="R428" s="6"/>
      <c r="S428" s="6"/>
      <c r="T428" s="6"/>
      <c r="U428" s="6"/>
      <c r="V428" s="6"/>
      <c r="W428" s="6"/>
      <c r="X428" s="6"/>
      <c r="Y428" s="6"/>
      <c r="Z428" s="6"/>
    </row>
    <row r="429" ht="12.75" hidden="1" customHeight="1">
      <c r="A429" s="37">
        <v>428.0</v>
      </c>
      <c r="B429" s="37">
        <v>10428.0</v>
      </c>
      <c r="C429" s="37" t="s">
        <v>7</v>
      </c>
      <c r="D429" s="38" t="s">
        <v>791</v>
      </c>
      <c r="E429" s="37" t="s">
        <v>792</v>
      </c>
      <c r="F429" s="37">
        <v>46.0</v>
      </c>
      <c r="G429" s="39">
        <v>0.0</v>
      </c>
      <c r="H429" s="6"/>
      <c r="I429" s="6"/>
      <c r="J429" s="6"/>
      <c r="K429" s="6"/>
      <c r="L429" s="6"/>
      <c r="M429" s="6"/>
      <c r="N429" s="6"/>
      <c r="O429" s="6"/>
      <c r="P429" s="6"/>
      <c r="Q429" s="6"/>
      <c r="R429" s="6"/>
      <c r="S429" s="6"/>
      <c r="T429" s="6"/>
      <c r="U429" s="6"/>
      <c r="V429" s="6"/>
      <c r="W429" s="6"/>
      <c r="X429" s="6"/>
      <c r="Y429" s="6"/>
      <c r="Z429" s="6"/>
    </row>
    <row r="430" ht="12.75" hidden="1" customHeight="1">
      <c r="A430" s="34">
        <v>429.0</v>
      </c>
      <c r="B430" s="34">
        <v>10429.0</v>
      </c>
      <c r="C430" s="34" t="s">
        <v>34</v>
      </c>
      <c r="D430" s="35" t="s">
        <v>793</v>
      </c>
      <c r="E430" s="34" t="s">
        <v>794</v>
      </c>
      <c r="F430" s="34">
        <v>153.0</v>
      </c>
      <c r="G430" s="36">
        <v>0.0</v>
      </c>
      <c r="H430" s="6"/>
      <c r="I430" s="6"/>
      <c r="J430" s="6"/>
      <c r="K430" s="6"/>
      <c r="L430" s="6"/>
      <c r="M430" s="6"/>
      <c r="N430" s="6"/>
      <c r="O430" s="6"/>
      <c r="P430" s="6"/>
      <c r="Q430" s="6"/>
      <c r="R430" s="6"/>
      <c r="S430" s="6"/>
      <c r="T430" s="6"/>
      <c r="U430" s="6"/>
      <c r="V430" s="6"/>
      <c r="W430" s="6"/>
      <c r="X430" s="6"/>
      <c r="Y430" s="6"/>
      <c r="Z430" s="6"/>
    </row>
    <row r="431" ht="12.75" hidden="1" customHeight="1">
      <c r="A431" s="37">
        <v>430.0</v>
      </c>
      <c r="B431" s="37">
        <v>10430.0</v>
      </c>
      <c r="C431" s="37" t="s">
        <v>34</v>
      </c>
      <c r="D431" s="38" t="s">
        <v>795</v>
      </c>
      <c r="E431" s="37" t="s">
        <v>796</v>
      </c>
      <c r="F431" s="37">
        <v>185.0</v>
      </c>
      <c r="G431" s="39">
        <v>45770.0</v>
      </c>
      <c r="H431" s="6"/>
      <c r="I431" s="6"/>
      <c r="J431" s="6"/>
      <c r="K431" s="6"/>
      <c r="L431" s="6"/>
      <c r="M431" s="6"/>
      <c r="N431" s="6"/>
      <c r="O431" s="6"/>
      <c r="P431" s="6"/>
      <c r="Q431" s="6"/>
      <c r="R431" s="6"/>
      <c r="S431" s="6"/>
      <c r="T431" s="6"/>
      <c r="U431" s="6"/>
      <c r="V431" s="6"/>
      <c r="W431" s="6"/>
      <c r="X431" s="6"/>
      <c r="Y431" s="6"/>
      <c r="Z431" s="6"/>
    </row>
    <row r="432" ht="12.75" hidden="1" customHeight="1">
      <c r="A432" s="34">
        <v>431.0</v>
      </c>
      <c r="B432" s="34">
        <v>10431.0</v>
      </c>
      <c r="C432" s="34" t="s">
        <v>34</v>
      </c>
      <c r="D432" s="35" t="s">
        <v>797</v>
      </c>
      <c r="E432" s="34" t="s">
        <v>798</v>
      </c>
      <c r="F432" s="34">
        <v>152.0</v>
      </c>
      <c r="G432" s="36">
        <v>0.0</v>
      </c>
      <c r="H432" s="6"/>
      <c r="I432" s="6"/>
      <c r="J432" s="6"/>
      <c r="K432" s="6"/>
      <c r="L432" s="6"/>
      <c r="M432" s="6"/>
      <c r="N432" s="6"/>
      <c r="O432" s="6"/>
      <c r="P432" s="6"/>
      <c r="Q432" s="6"/>
      <c r="R432" s="6"/>
      <c r="S432" s="6"/>
      <c r="T432" s="6"/>
      <c r="U432" s="6"/>
      <c r="V432" s="6"/>
      <c r="W432" s="6"/>
      <c r="X432" s="6"/>
      <c r="Y432" s="6"/>
      <c r="Z432" s="6"/>
    </row>
    <row r="433" ht="12.75" hidden="1" customHeight="1">
      <c r="A433" s="37">
        <v>432.0</v>
      </c>
      <c r="B433" s="37">
        <v>10432.0</v>
      </c>
      <c r="C433" s="37" t="s">
        <v>7</v>
      </c>
      <c r="D433" s="38" t="s">
        <v>799</v>
      </c>
      <c r="E433" s="37" t="s">
        <v>800</v>
      </c>
      <c r="F433" s="37">
        <v>88.0</v>
      </c>
      <c r="G433" s="39">
        <v>0.0</v>
      </c>
      <c r="H433" s="6"/>
      <c r="I433" s="6"/>
      <c r="J433" s="6"/>
      <c r="K433" s="6"/>
      <c r="L433" s="6"/>
      <c r="M433" s="6"/>
      <c r="N433" s="6"/>
      <c r="O433" s="6"/>
      <c r="P433" s="6"/>
      <c r="Q433" s="6"/>
      <c r="R433" s="6"/>
      <c r="S433" s="6"/>
      <c r="T433" s="6"/>
      <c r="U433" s="6"/>
      <c r="V433" s="6"/>
      <c r="W433" s="6"/>
      <c r="X433" s="6"/>
      <c r="Y433" s="6"/>
      <c r="Z433" s="6"/>
    </row>
    <row r="434" ht="12.75" hidden="1" customHeight="1">
      <c r="A434" s="34">
        <v>433.0</v>
      </c>
      <c r="B434" s="34">
        <v>10433.0</v>
      </c>
      <c r="C434" s="34" t="s">
        <v>7</v>
      </c>
      <c r="D434" s="35" t="s">
        <v>801</v>
      </c>
      <c r="E434" s="34" t="s">
        <v>802</v>
      </c>
      <c r="F434" s="34">
        <v>93.0</v>
      </c>
      <c r="G434" s="36">
        <v>0.0</v>
      </c>
      <c r="H434" s="6"/>
      <c r="I434" s="6"/>
      <c r="J434" s="6"/>
      <c r="K434" s="6"/>
      <c r="L434" s="6"/>
      <c r="M434" s="6"/>
      <c r="N434" s="6"/>
      <c r="O434" s="6"/>
      <c r="P434" s="6"/>
      <c r="Q434" s="6"/>
      <c r="R434" s="6"/>
      <c r="S434" s="6"/>
      <c r="T434" s="6"/>
      <c r="U434" s="6"/>
      <c r="V434" s="6"/>
      <c r="W434" s="6"/>
      <c r="X434" s="6"/>
      <c r="Y434" s="6"/>
      <c r="Z434" s="6"/>
    </row>
    <row r="435" ht="12.75" hidden="1" customHeight="1">
      <c r="A435" s="37">
        <v>434.0</v>
      </c>
      <c r="B435" s="37">
        <v>10434.0</v>
      </c>
      <c r="C435" s="37" t="s">
        <v>34</v>
      </c>
      <c r="D435" s="38" t="s">
        <v>803</v>
      </c>
      <c r="E435" s="37" t="s">
        <v>804</v>
      </c>
      <c r="F435" s="37">
        <v>181.0</v>
      </c>
      <c r="G435" s="39">
        <v>45770.0</v>
      </c>
      <c r="H435" s="6"/>
      <c r="I435" s="6"/>
      <c r="J435" s="6"/>
      <c r="K435" s="6"/>
      <c r="L435" s="6"/>
      <c r="M435" s="6"/>
      <c r="N435" s="6"/>
      <c r="O435" s="6"/>
      <c r="P435" s="6"/>
      <c r="Q435" s="6"/>
      <c r="R435" s="6"/>
      <c r="S435" s="6"/>
      <c r="T435" s="6"/>
      <c r="U435" s="6"/>
      <c r="V435" s="6"/>
      <c r="W435" s="6"/>
      <c r="X435" s="6"/>
      <c r="Y435" s="6"/>
      <c r="Z435" s="6"/>
    </row>
    <row r="436" ht="12.75" hidden="1" customHeight="1">
      <c r="A436" s="34">
        <v>435.0</v>
      </c>
      <c r="B436" s="34">
        <v>10435.0</v>
      </c>
      <c r="C436" s="34" t="s">
        <v>34</v>
      </c>
      <c r="D436" s="35" t="s">
        <v>805</v>
      </c>
      <c r="E436" s="34" t="s">
        <v>806</v>
      </c>
      <c r="F436" s="34">
        <v>173.0</v>
      </c>
      <c r="G436" s="36">
        <v>45770.0</v>
      </c>
      <c r="H436" s="6"/>
      <c r="I436" s="6"/>
      <c r="J436" s="6"/>
      <c r="K436" s="6"/>
      <c r="L436" s="6"/>
      <c r="M436" s="6"/>
      <c r="N436" s="6"/>
      <c r="O436" s="6"/>
      <c r="P436" s="6"/>
      <c r="Q436" s="6"/>
      <c r="R436" s="6"/>
      <c r="S436" s="6"/>
      <c r="T436" s="6"/>
      <c r="U436" s="6"/>
      <c r="V436" s="6"/>
      <c r="W436" s="6"/>
      <c r="X436" s="6"/>
      <c r="Y436" s="6"/>
      <c r="Z436" s="6"/>
    </row>
    <row r="437" ht="12.75" hidden="1" customHeight="1">
      <c r="A437" s="37">
        <v>436.0</v>
      </c>
      <c r="B437" s="37">
        <v>10436.0</v>
      </c>
      <c r="C437" s="37" t="s">
        <v>7</v>
      </c>
      <c r="D437" s="38" t="s">
        <v>807</v>
      </c>
      <c r="E437" s="37" t="s">
        <v>808</v>
      </c>
      <c r="F437" s="37">
        <v>64.0</v>
      </c>
      <c r="G437" s="39">
        <v>0.0</v>
      </c>
      <c r="H437" s="6"/>
      <c r="I437" s="6"/>
      <c r="J437" s="6"/>
      <c r="K437" s="6"/>
      <c r="L437" s="6"/>
      <c r="M437" s="6"/>
      <c r="N437" s="6"/>
      <c r="O437" s="6"/>
      <c r="P437" s="6"/>
      <c r="Q437" s="6"/>
      <c r="R437" s="6"/>
      <c r="S437" s="6"/>
      <c r="T437" s="6"/>
      <c r="U437" s="6"/>
      <c r="V437" s="6"/>
      <c r="W437" s="6"/>
      <c r="X437" s="6"/>
      <c r="Y437" s="6"/>
      <c r="Z437" s="6"/>
    </row>
    <row r="438" ht="12.75" hidden="1" customHeight="1">
      <c r="A438" s="34">
        <v>437.0</v>
      </c>
      <c r="B438" s="34">
        <v>10437.0</v>
      </c>
      <c r="C438" s="34" t="s">
        <v>34</v>
      </c>
      <c r="D438" s="35" t="s">
        <v>809</v>
      </c>
      <c r="E438" s="34" t="s">
        <v>810</v>
      </c>
      <c r="F438" s="34">
        <v>180.0</v>
      </c>
      <c r="G438" s="36">
        <v>45770.0</v>
      </c>
      <c r="H438" s="6"/>
      <c r="I438" s="6"/>
      <c r="J438" s="6"/>
      <c r="K438" s="6"/>
      <c r="L438" s="6"/>
      <c r="M438" s="6"/>
      <c r="N438" s="6"/>
      <c r="O438" s="6"/>
      <c r="P438" s="6"/>
      <c r="Q438" s="6"/>
      <c r="R438" s="6"/>
      <c r="S438" s="6"/>
      <c r="T438" s="6"/>
      <c r="U438" s="6"/>
      <c r="V438" s="6"/>
      <c r="W438" s="6"/>
      <c r="X438" s="6"/>
      <c r="Y438" s="6"/>
      <c r="Z438" s="6"/>
    </row>
    <row r="439" ht="12.75" hidden="1" customHeight="1">
      <c r="A439" s="37">
        <v>438.0</v>
      </c>
      <c r="B439" s="37">
        <v>10438.0</v>
      </c>
      <c r="C439" s="37" t="s">
        <v>20</v>
      </c>
      <c r="D439" s="38" t="s">
        <v>811</v>
      </c>
      <c r="E439" s="37" t="s">
        <v>812</v>
      </c>
      <c r="F439" s="37">
        <v>99.0</v>
      </c>
      <c r="G439" s="39">
        <v>0.0</v>
      </c>
      <c r="H439" s="6"/>
      <c r="I439" s="6"/>
      <c r="J439" s="6"/>
      <c r="K439" s="6"/>
      <c r="L439" s="6"/>
      <c r="M439" s="6"/>
      <c r="N439" s="6"/>
      <c r="O439" s="6"/>
      <c r="P439" s="6"/>
      <c r="Q439" s="6"/>
      <c r="R439" s="6"/>
      <c r="S439" s="6"/>
      <c r="T439" s="6"/>
      <c r="U439" s="6"/>
      <c r="V439" s="6"/>
      <c r="W439" s="6"/>
      <c r="X439" s="6"/>
      <c r="Y439" s="6"/>
      <c r="Z439" s="6"/>
    </row>
    <row r="440" ht="12.75" hidden="1" customHeight="1">
      <c r="A440" s="34">
        <v>439.0</v>
      </c>
      <c r="B440" s="34">
        <v>10439.0</v>
      </c>
      <c r="C440" s="34" t="s">
        <v>34</v>
      </c>
      <c r="D440" s="35" t="s">
        <v>813</v>
      </c>
      <c r="E440" s="34" t="s">
        <v>814</v>
      </c>
      <c r="F440" s="34">
        <v>247.0</v>
      </c>
      <c r="G440" s="36" t="s">
        <v>331</v>
      </c>
      <c r="H440" s="6"/>
      <c r="I440" s="6"/>
      <c r="J440" s="6"/>
      <c r="K440" s="6"/>
      <c r="L440" s="6"/>
      <c r="M440" s="6"/>
      <c r="N440" s="6"/>
      <c r="O440" s="6"/>
      <c r="P440" s="6"/>
      <c r="Q440" s="6"/>
      <c r="R440" s="6"/>
      <c r="S440" s="6"/>
      <c r="T440" s="6"/>
      <c r="U440" s="6"/>
      <c r="V440" s="6"/>
      <c r="W440" s="6"/>
      <c r="X440" s="6"/>
      <c r="Y440" s="6"/>
      <c r="Z440" s="6"/>
    </row>
    <row r="441" ht="12.75" hidden="1" customHeight="1">
      <c r="A441" s="37">
        <v>440.0</v>
      </c>
      <c r="B441" s="37">
        <v>10440.0</v>
      </c>
      <c r="C441" s="37" t="s">
        <v>7</v>
      </c>
      <c r="D441" s="38" t="s">
        <v>815</v>
      </c>
      <c r="E441" s="37" t="s">
        <v>816</v>
      </c>
      <c r="F441" s="37">
        <v>68.0</v>
      </c>
      <c r="G441" s="39">
        <v>0.0</v>
      </c>
      <c r="H441" s="6"/>
      <c r="I441" s="6"/>
      <c r="J441" s="6"/>
      <c r="K441" s="6"/>
      <c r="L441" s="6"/>
      <c r="M441" s="6"/>
      <c r="N441" s="6"/>
      <c r="O441" s="6"/>
      <c r="P441" s="6"/>
      <c r="Q441" s="6"/>
      <c r="R441" s="6"/>
      <c r="S441" s="6"/>
      <c r="T441" s="6"/>
      <c r="U441" s="6"/>
      <c r="V441" s="6"/>
      <c r="W441" s="6"/>
      <c r="X441" s="6"/>
      <c r="Y441" s="6"/>
      <c r="Z441" s="6"/>
    </row>
    <row r="442" ht="12.75" hidden="1" customHeight="1">
      <c r="A442" s="34">
        <v>441.0</v>
      </c>
      <c r="B442" s="34">
        <v>10441.0</v>
      </c>
      <c r="C442" s="34" t="s">
        <v>34</v>
      </c>
      <c r="D442" s="35" t="s">
        <v>817</v>
      </c>
      <c r="E442" s="34" t="s">
        <v>818</v>
      </c>
      <c r="F442" s="34">
        <v>230.0</v>
      </c>
      <c r="G442" s="36" t="s">
        <v>331</v>
      </c>
      <c r="H442" s="6"/>
      <c r="I442" s="6"/>
      <c r="J442" s="6"/>
      <c r="K442" s="6"/>
      <c r="L442" s="6"/>
      <c r="M442" s="6"/>
      <c r="N442" s="6"/>
      <c r="O442" s="6"/>
      <c r="P442" s="6"/>
      <c r="Q442" s="6"/>
      <c r="R442" s="6"/>
      <c r="S442" s="6"/>
      <c r="T442" s="6"/>
      <c r="U442" s="6"/>
      <c r="V442" s="6"/>
      <c r="W442" s="6"/>
      <c r="X442" s="6"/>
      <c r="Y442" s="6"/>
      <c r="Z442" s="6"/>
    </row>
    <row r="443" ht="12.75" hidden="1" customHeight="1">
      <c r="A443" s="37">
        <v>442.0</v>
      </c>
      <c r="B443" s="37">
        <v>10442.0</v>
      </c>
      <c r="C443" s="37" t="s">
        <v>34</v>
      </c>
      <c r="D443" s="38" t="s">
        <v>819</v>
      </c>
      <c r="E443" s="37" t="s">
        <v>820</v>
      </c>
      <c r="F443" s="37">
        <v>220.0</v>
      </c>
      <c r="G443" s="39" t="s">
        <v>331</v>
      </c>
      <c r="H443" s="6"/>
      <c r="I443" s="6"/>
      <c r="J443" s="6"/>
      <c r="K443" s="6"/>
      <c r="L443" s="6"/>
      <c r="M443" s="6"/>
      <c r="N443" s="6"/>
      <c r="O443" s="6"/>
      <c r="P443" s="6"/>
      <c r="Q443" s="6"/>
      <c r="R443" s="6"/>
      <c r="S443" s="6"/>
      <c r="T443" s="6"/>
      <c r="U443" s="6"/>
      <c r="V443" s="6"/>
      <c r="W443" s="6"/>
      <c r="X443" s="6"/>
      <c r="Y443" s="6"/>
      <c r="Z443" s="6"/>
    </row>
    <row r="444" ht="12.75" hidden="1" customHeight="1">
      <c r="A444" s="34">
        <v>443.0</v>
      </c>
      <c r="B444" s="34">
        <v>10443.0</v>
      </c>
      <c r="C444" s="34" t="s">
        <v>7</v>
      </c>
      <c r="D444" s="35" t="s">
        <v>821</v>
      </c>
      <c r="E444" s="34" t="s">
        <v>822</v>
      </c>
      <c r="F444" s="34">
        <v>112.0</v>
      </c>
      <c r="G444" s="36">
        <v>0.0</v>
      </c>
      <c r="H444" s="6"/>
      <c r="I444" s="6"/>
      <c r="J444" s="6"/>
      <c r="K444" s="6"/>
      <c r="L444" s="6"/>
      <c r="M444" s="6"/>
      <c r="N444" s="6"/>
      <c r="O444" s="6"/>
      <c r="P444" s="6"/>
      <c r="Q444" s="6"/>
      <c r="R444" s="6"/>
      <c r="S444" s="6"/>
      <c r="T444" s="6"/>
      <c r="U444" s="6"/>
      <c r="V444" s="6"/>
      <c r="W444" s="6"/>
      <c r="X444" s="6"/>
      <c r="Y444" s="6"/>
      <c r="Z444" s="6"/>
    </row>
    <row r="445" ht="12.75" hidden="1" customHeight="1">
      <c r="A445" s="37">
        <v>444.0</v>
      </c>
      <c r="B445" s="37">
        <v>10444.0</v>
      </c>
      <c r="C445" s="37" t="s">
        <v>7</v>
      </c>
      <c r="D445" s="38" t="s">
        <v>823</v>
      </c>
      <c r="E445" s="37" t="s">
        <v>824</v>
      </c>
      <c r="F445" s="37">
        <v>73.0</v>
      </c>
      <c r="G445" s="39">
        <v>0.0</v>
      </c>
      <c r="H445" s="6"/>
      <c r="I445" s="6"/>
      <c r="J445" s="6"/>
      <c r="K445" s="6"/>
      <c r="L445" s="6"/>
      <c r="M445" s="6"/>
      <c r="N445" s="6"/>
      <c r="O445" s="6"/>
      <c r="P445" s="6"/>
      <c r="Q445" s="6"/>
      <c r="R445" s="6"/>
      <c r="S445" s="6"/>
      <c r="T445" s="6"/>
      <c r="U445" s="6"/>
      <c r="V445" s="6"/>
      <c r="W445" s="6"/>
      <c r="X445" s="6"/>
      <c r="Y445" s="6"/>
      <c r="Z445" s="6"/>
    </row>
    <row r="446" ht="12.75" hidden="1" customHeight="1">
      <c r="A446" s="34">
        <v>445.0</v>
      </c>
      <c r="B446" s="34">
        <v>10445.0</v>
      </c>
      <c r="C446" s="34" t="s">
        <v>20</v>
      </c>
      <c r="D446" s="35" t="s">
        <v>825</v>
      </c>
      <c r="E446" s="34" t="s">
        <v>826</v>
      </c>
      <c r="F446" s="34">
        <v>169.0</v>
      </c>
      <c r="G446" s="36">
        <v>0.0</v>
      </c>
      <c r="H446" s="6"/>
      <c r="I446" s="6"/>
      <c r="J446" s="6"/>
      <c r="K446" s="6"/>
      <c r="L446" s="6"/>
      <c r="M446" s="6"/>
      <c r="N446" s="6"/>
      <c r="O446" s="6"/>
      <c r="P446" s="6"/>
      <c r="Q446" s="6"/>
      <c r="R446" s="6"/>
      <c r="S446" s="6"/>
      <c r="T446" s="6"/>
      <c r="U446" s="6"/>
      <c r="V446" s="6"/>
      <c r="W446" s="6"/>
      <c r="X446" s="6"/>
      <c r="Y446" s="6"/>
      <c r="Z446" s="6"/>
    </row>
    <row r="447" ht="12.75" hidden="1" customHeight="1">
      <c r="A447" s="37">
        <v>446.0</v>
      </c>
      <c r="B447" s="37">
        <v>10446.0</v>
      </c>
      <c r="C447" s="37" t="s">
        <v>34</v>
      </c>
      <c r="D447" s="38" t="s">
        <v>827</v>
      </c>
      <c r="E447" s="37" t="s">
        <v>828</v>
      </c>
      <c r="F447" s="37">
        <v>145.0</v>
      </c>
      <c r="G447" s="39">
        <v>0.0</v>
      </c>
      <c r="H447" s="6"/>
      <c r="I447" s="6"/>
      <c r="J447" s="6"/>
      <c r="K447" s="6"/>
      <c r="L447" s="6"/>
      <c r="M447" s="6"/>
      <c r="N447" s="6"/>
      <c r="O447" s="6"/>
      <c r="P447" s="6"/>
      <c r="Q447" s="6"/>
      <c r="R447" s="6"/>
      <c r="S447" s="6"/>
      <c r="T447" s="6"/>
      <c r="U447" s="6"/>
      <c r="V447" s="6"/>
      <c r="W447" s="6"/>
      <c r="X447" s="6"/>
      <c r="Y447" s="6"/>
      <c r="Z447" s="6"/>
    </row>
    <row r="448" ht="12.75" hidden="1" customHeight="1">
      <c r="A448" s="34">
        <v>447.0</v>
      </c>
      <c r="B448" s="34">
        <v>10447.0</v>
      </c>
      <c r="C448" s="34" t="s">
        <v>7</v>
      </c>
      <c r="D448" s="35" t="s">
        <v>829</v>
      </c>
      <c r="E448" s="34" t="s">
        <v>830</v>
      </c>
      <c r="F448" s="34">
        <v>59.0</v>
      </c>
      <c r="G448" s="36">
        <v>0.0</v>
      </c>
      <c r="H448" s="6"/>
      <c r="I448" s="6"/>
      <c r="J448" s="6"/>
      <c r="K448" s="6"/>
      <c r="L448" s="6"/>
      <c r="M448" s="6"/>
      <c r="N448" s="6"/>
      <c r="O448" s="6"/>
      <c r="P448" s="6"/>
      <c r="Q448" s="6"/>
      <c r="R448" s="6"/>
      <c r="S448" s="6"/>
      <c r="T448" s="6"/>
      <c r="U448" s="6"/>
      <c r="V448" s="6"/>
      <c r="W448" s="6"/>
      <c r="X448" s="6"/>
      <c r="Y448" s="6"/>
      <c r="Z448" s="6"/>
    </row>
    <row r="449" ht="12.75" customHeight="1">
      <c r="A449" s="37">
        <v>448.0</v>
      </c>
      <c r="B449" s="82">
        <v>22222.0</v>
      </c>
      <c r="C449" s="37" t="s">
        <v>7</v>
      </c>
      <c r="D449" s="38" t="s">
        <v>831</v>
      </c>
      <c r="E449" s="37">
        <v>0.0</v>
      </c>
      <c r="F449" s="37">
        <v>1.0</v>
      </c>
      <c r="G449" s="39">
        <v>0.0</v>
      </c>
      <c r="H449" s="6"/>
      <c r="I449" s="6"/>
      <c r="J449" s="6"/>
      <c r="K449" s="6"/>
      <c r="L449" s="6"/>
      <c r="M449" s="6"/>
      <c r="N449" s="6"/>
      <c r="O449" s="6"/>
      <c r="P449" s="6"/>
      <c r="Q449" s="6"/>
      <c r="R449" s="6"/>
      <c r="S449" s="6"/>
      <c r="T449" s="6"/>
      <c r="U449" s="6"/>
      <c r="V449" s="6"/>
      <c r="W449" s="6"/>
      <c r="X449" s="6"/>
      <c r="Y449" s="6"/>
      <c r="Z449" s="6"/>
    </row>
    <row r="450" ht="12.75" hidden="1" customHeight="1">
      <c r="A450" s="34">
        <v>449.0</v>
      </c>
      <c r="B450" s="34">
        <v>10449.0</v>
      </c>
      <c r="C450" s="34" t="s">
        <v>27</v>
      </c>
      <c r="D450" s="35" t="s">
        <v>832</v>
      </c>
      <c r="E450" s="34" t="s">
        <v>833</v>
      </c>
      <c r="F450" s="34">
        <v>156.0</v>
      </c>
      <c r="G450" s="36">
        <v>45770.0</v>
      </c>
      <c r="H450" s="6"/>
      <c r="I450" s="6"/>
      <c r="J450" s="6"/>
      <c r="K450" s="6"/>
      <c r="L450" s="6"/>
      <c r="M450" s="6"/>
      <c r="N450" s="6"/>
      <c r="O450" s="6"/>
      <c r="P450" s="6"/>
      <c r="Q450" s="6"/>
      <c r="R450" s="6"/>
      <c r="S450" s="6"/>
      <c r="T450" s="6"/>
      <c r="U450" s="6"/>
      <c r="V450" s="6"/>
      <c r="W450" s="6"/>
      <c r="X450" s="6"/>
      <c r="Y450" s="6"/>
      <c r="Z450" s="6"/>
    </row>
    <row r="451" ht="12.75" hidden="1" customHeight="1">
      <c r="A451" s="37">
        <v>450.0</v>
      </c>
      <c r="B451" s="37">
        <v>10450.0</v>
      </c>
      <c r="C451" s="37" t="s">
        <v>20</v>
      </c>
      <c r="D451" s="38" t="s">
        <v>834</v>
      </c>
      <c r="E451" s="37" t="s">
        <v>835</v>
      </c>
      <c r="F451" s="37">
        <v>107.0</v>
      </c>
      <c r="G451" s="39">
        <v>0.0</v>
      </c>
      <c r="H451" s="6"/>
      <c r="I451" s="6"/>
      <c r="J451" s="6"/>
      <c r="K451" s="6"/>
      <c r="L451" s="6"/>
      <c r="M451" s="6"/>
      <c r="N451" s="6"/>
      <c r="O451" s="6"/>
      <c r="P451" s="6"/>
      <c r="Q451" s="6"/>
      <c r="R451" s="6"/>
      <c r="S451" s="6"/>
      <c r="T451" s="6"/>
      <c r="U451" s="6"/>
      <c r="V451" s="6"/>
      <c r="W451" s="6"/>
      <c r="X451" s="6"/>
      <c r="Y451" s="6"/>
      <c r="Z451" s="6"/>
    </row>
    <row r="452" ht="12.75" hidden="1" customHeight="1">
      <c r="A452" s="34">
        <v>451.0</v>
      </c>
      <c r="B452" s="34">
        <v>10451.0</v>
      </c>
      <c r="C452" s="34" t="s">
        <v>34</v>
      </c>
      <c r="D452" s="35" t="s">
        <v>836</v>
      </c>
      <c r="E452" s="34" t="s">
        <v>837</v>
      </c>
      <c r="F452" s="34">
        <v>221.0</v>
      </c>
      <c r="G452" s="36" t="s">
        <v>331</v>
      </c>
      <c r="H452" s="6"/>
      <c r="I452" s="6"/>
      <c r="J452" s="6"/>
      <c r="K452" s="6"/>
      <c r="L452" s="6"/>
      <c r="M452" s="6"/>
      <c r="N452" s="6"/>
      <c r="O452" s="6"/>
      <c r="P452" s="6"/>
      <c r="Q452" s="6"/>
      <c r="R452" s="6"/>
      <c r="S452" s="6"/>
      <c r="T452" s="6"/>
      <c r="U452" s="6"/>
      <c r="V452" s="6"/>
      <c r="W452" s="6"/>
      <c r="X452" s="6"/>
      <c r="Y452" s="6"/>
      <c r="Z452" s="6"/>
    </row>
    <row r="453" ht="12.75" hidden="1" customHeight="1">
      <c r="A453" s="37">
        <v>452.0</v>
      </c>
      <c r="B453" s="37">
        <v>10452.0</v>
      </c>
      <c r="C453" s="37" t="s">
        <v>34</v>
      </c>
      <c r="D453" s="38" t="s">
        <v>838</v>
      </c>
      <c r="E453" s="37" t="s">
        <v>839</v>
      </c>
      <c r="F453" s="37">
        <v>195.0</v>
      </c>
      <c r="G453" s="39" t="s">
        <v>331</v>
      </c>
      <c r="H453" s="6"/>
      <c r="I453" s="6"/>
      <c r="J453" s="6"/>
      <c r="K453" s="6"/>
      <c r="L453" s="6"/>
      <c r="M453" s="6"/>
      <c r="N453" s="6"/>
      <c r="O453" s="6"/>
      <c r="P453" s="6"/>
      <c r="Q453" s="6"/>
      <c r="R453" s="6"/>
      <c r="S453" s="6"/>
      <c r="T453" s="6"/>
      <c r="U453" s="6"/>
      <c r="V453" s="6"/>
      <c r="W453" s="6"/>
      <c r="X453" s="6"/>
      <c r="Y453" s="6"/>
      <c r="Z453" s="6"/>
    </row>
    <row r="454" ht="12.75" hidden="1" customHeight="1">
      <c r="A454" s="34">
        <v>453.0</v>
      </c>
      <c r="B454" s="34">
        <v>10453.0</v>
      </c>
      <c r="C454" s="34" t="s">
        <v>7</v>
      </c>
      <c r="D454" s="35" t="s">
        <v>840</v>
      </c>
      <c r="E454" s="34" t="s">
        <v>841</v>
      </c>
      <c r="F454" s="34">
        <v>46.0</v>
      </c>
      <c r="G454" s="36">
        <v>0.0</v>
      </c>
      <c r="H454" s="6"/>
      <c r="I454" s="6"/>
      <c r="J454" s="6"/>
      <c r="K454" s="6"/>
      <c r="L454" s="6"/>
      <c r="M454" s="6"/>
      <c r="N454" s="6"/>
      <c r="O454" s="6"/>
      <c r="P454" s="6"/>
      <c r="Q454" s="6"/>
      <c r="R454" s="6"/>
      <c r="S454" s="6"/>
      <c r="T454" s="6"/>
      <c r="U454" s="6"/>
      <c r="V454" s="6"/>
      <c r="W454" s="6"/>
      <c r="X454" s="6"/>
      <c r="Y454" s="6"/>
      <c r="Z454" s="6"/>
    </row>
    <row r="455" ht="12.75" hidden="1" customHeight="1">
      <c r="A455" s="40">
        <v>454.0</v>
      </c>
      <c r="B455" s="40">
        <v>10454.0</v>
      </c>
      <c r="C455" s="40" t="s">
        <v>7</v>
      </c>
      <c r="D455" s="41" t="s">
        <v>842</v>
      </c>
      <c r="E455" s="40" t="s">
        <v>843</v>
      </c>
      <c r="F455" s="40">
        <v>88.0</v>
      </c>
      <c r="G455" s="42">
        <v>0.0</v>
      </c>
      <c r="H455" s="6"/>
      <c r="I455" s="6"/>
      <c r="J455" s="6"/>
      <c r="K455" s="6"/>
      <c r="L455" s="6"/>
      <c r="M455" s="6"/>
      <c r="N455" s="6"/>
      <c r="O455" s="6"/>
      <c r="P455" s="6"/>
      <c r="Q455" s="6"/>
      <c r="R455" s="6"/>
      <c r="S455" s="6"/>
      <c r="T455" s="6"/>
      <c r="U455" s="6"/>
      <c r="V455" s="6"/>
      <c r="W455" s="6"/>
      <c r="X455" s="6"/>
      <c r="Y455" s="6"/>
      <c r="Z455" s="6"/>
    </row>
    <row r="456" ht="12.75" hidden="1" customHeight="1">
      <c r="A456" s="34">
        <v>455.0</v>
      </c>
      <c r="B456" s="34">
        <v>10455.0</v>
      </c>
      <c r="C456" s="34" t="s">
        <v>27</v>
      </c>
      <c r="D456" s="35" t="s">
        <v>844</v>
      </c>
      <c r="E456" s="34" t="s">
        <v>845</v>
      </c>
      <c r="F456" s="34">
        <v>89.0</v>
      </c>
      <c r="G456" s="36">
        <v>0.0</v>
      </c>
      <c r="H456" s="6"/>
      <c r="I456" s="6"/>
      <c r="J456" s="6"/>
      <c r="K456" s="6"/>
      <c r="L456" s="6"/>
      <c r="M456" s="6"/>
      <c r="N456" s="6"/>
      <c r="O456" s="6"/>
      <c r="P456" s="6"/>
      <c r="Q456" s="6"/>
      <c r="R456" s="6"/>
      <c r="S456" s="6"/>
      <c r="T456" s="6"/>
      <c r="U456" s="6"/>
      <c r="V456" s="6"/>
      <c r="W456" s="6"/>
      <c r="X456" s="6"/>
      <c r="Y456" s="6"/>
      <c r="Z456" s="6"/>
    </row>
    <row r="457" ht="12.75" hidden="1" customHeight="1">
      <c r="A457" s="37">
        <v>456.0</v>
      </c>
      <c r="B457" s="37">
        <v>10456.0</v>
      </c>
      <c r="C457" s="37" t="s">
        <v>34</v>
      </c>
      <c r="D457" s="38" t="s">
        <v>846</v>
      </c>
      <c r="E457" s="37" t="s">
        <v>847</v>
      </c>
      <c r="F457" s="37">
        <v>159.0</v>
      </c>
      <c r="G457" s="39">
        <v>0.0</v>
      </c>
      <c r="H457" s="6"/>
      <c r="I457" s="6"/>
      <c r="J457" s="6"/>
      <c r="K457" s="6"/>
      <c r="L457" s="6"/>
      <c r="M457" s="6"/>
      <c r="N457" s="6"/>
      <c r="O457" s="6"/>
      <c r="P457" s="6"/>
      <c r="Q457" s="6"/>
      <c r="R457" s="6"/>
      <c r="S457" s="6"/>
      <c r="T457" s="6"/>
      <c r="U457" s="6"/>
      <c r="V457" s="6"/>
      <c r="W457" s="6"/>
      <c r="X457" s="6"/>
      <c r="Y457" s="6"/>
      <c r="Z457" s="6"/>
    </row>
    <row r="458" ht="12.75" hidden="1" customHeight="1">
      <c r="A458" s="34">
        <v>457.0</v>
      </c>
      <c r="B458" s="34">
        <v>10457.0</v>
      </c>
      <c r="C458" s="34" t="s">
        <v>20</v>
      </c>
      <c r="D458" s="35" t="s">
        <v>848</v>
      </c>
      <c r="E458" s="34" t="s">
        <v>849</v>
      </c>
      <c r="F458" s="34">
        <v>109.0</v>
      </c>
      <c r="G458" s="36">
        <v>0.0</v>
      </c>
      <c r="H458" s="6"/>
      <c r="I458" s="6"/>
      <c r="J458" s="6"/>
      <c r="K458" s="6"/>
      <c r="L458" s="6"/>
      <c r="M458" s="6"/>
      <c r="N458" s="6"/>
      <c r="O458" s="6"/>
      <c r="P458" s="6"/>
      <c r="Q458" s="6"/>
      <c r="R458" s="6"/>
      <c r="S458" s="6"/>
      <c r="T458" s="6"/>
      <c r="U458" s="6"/>
      <c r="V458" s="6"/>
      <c r="W458" s="6"/>
      <c r="X458" s="6"/>
      <c r="Y458" s="6"/>
      <c r="Z458" s="6"/>
    </row>
    <row r="459" ht="12.75" hidden="1" customHeight="1">
      <c r="A459" s="37">
        <v>458.0</v>
      </c>
      <c r="B459" s="37">
        <v>10458.0</v>
      </c>
      <c r="C459" s="37" t="s">
        <v>20</v>
      </c>
      <c r="D459" s="38" t="s">
        <v>850</v>
      </c>
      <c r="E459" s="37" t="s">
        <v>851</v>
      </c>
      <c r="F459" s="37">
        <v>109.0</v>
      </c>
      <c r="G459" s="39">
        <v>0.0</v>
      </c>
      <c r="H459" s="6"/>
      <c r="I459" s="6"/>
      <c r="J459" s="6"/>
      <c r="K459" s="6"/>
      <c r="L459" s="6"/>
      <c r="M459" s="6"/>
      <c r="N459" s="6"/>
      <c r="O459" s="6"/>
      <c r="P459" s="6"/>
      <c r="Q459" s="6"/>
      <c r="R459" s="6"/>
      <c r="S459" s="6"/>
      <c r="T459" s="6"/>
      <c r="U459" s="6"/>
      <c r="V459" s="6"/>
      <c r="W459" s="6"/>
      <c r="X459" s="6"/>
      <c r="Y459" s="6"/>
      <c r="Z459" s="6"/>
    </row>
    <row r="460" ht="12.75" hidden="1" customHeight="1">
      <c r="A460" s="34">
        <v>459.0</v>
      </c>
      <c r="B460" s="34">
        <v>10459.0</v>
      </c>
      <c r="C460" s="34" t="s">
        <v>20</v>
      </c>
      <c r="D460" s="35" t="s">
        <v>852</v>
      </c>
      <c r="E460" s="34" t="s">
        <v>853</v>
      </c>
      <c r="F460" s="34">
        <v>171.0</v>
      </c>
      <c r="G460" s="36">
        <v>0.0</v>
      </c>
      <c r="H460" s="6"/>
      <c r="I460" s="6"/>
      <c r="J460" s="6"/>
      <c r="K460" s="6"/>
      <c r="L460" s="6"/>
      <c r="M460" s="6"/>
      <c r="N460" s="6"/>
      <c r="O460" s="6"/>
      <c r="P460" s="6"/>
      <c r="Q460" s="6"/>
      <c r="R460" s="6"/>
      <c r="S460" s="6"/>
      <c r="T460" s="6"/>
      <c r="U460" s="6"/>
      <c r="V460" s="6"/>
      <c r="W460" s="6"/>
      <c r="X460" s="6"/>
      <c r="Y460" s="6"/>
      <c r="Z460" s="6"/>
    </row>
    <row r="461" ht="12.75" hidden="1" customHeight="1">
      <c r="A461" s="37">
        <v>460.0</v>
      </c>
      <c r="B461" s="37">
        <v>10460.0</v>
      </c>
      <c r="C461" s="37" t="s">
        <v>34</v>
      </c>
      <c r="D461" s="38" t="s">
        <v>854</v>
      </c>
      <c r="E461" s="37" t="s">
        <v>855</v>
      </c>
      <c r="F461" s="37">
        <v>189.0</v>
      </c>
      <c r="G461" s="39">
        <v>0.0</v>
      </c>
      <c r="H461" s="6"/>
      <c r="I461" s="6"/>
      <c r="J461" s="6"/>
      <c r="K461" s="6"/>
      <c r="L461" s="6"/>
      <c r="M461" s="6"/>
      <c r="N461" s="6"/>
      <c r="O461" s="6"/>
      <c r="P461" s="6"/>
      <c r="Q461" s="6"/>
      <c r="R461" s="6"/>
      <c r="S461" s="6"/>
      <c r="T461" s="6"/>
      <c r="U461" s="6"/>
      <c r="V461" s="6"/>
      <c r="W461" s="6"/>
      <c r="X461" s="6"/>
      <c r="Y461" s="6"/>
      <c r="Z461" s="6"/>
    </row>
    <row r="462" ht="12.75" hidden="1" customHeight="1">
      <c r="A462" s="34">
        <v>461.0</v>
      </c>
      <c r="B462" s="34">
        <v>10461.0</v>
      </c>
      <c r="C462" s="34" t="s">
        <v>34</v>
      </c>
      <c r="D462" s="35" t="s">
        <v>856</v>
      </c>
      <c r="E462" s="34" t="s">
        <v>857</v>
      </c>
      <c r="F462" s="34">
        <v>188.0</v>
      </c>
      <c r="G462" s="36" t="s">
        <v>331</v>
      </c>
      <c r="H462" s="6"/>
      <c r="I462" s="6"/>
      <c r="J462" s="6"/>
      <c r="K462" s="6"/>
      <c r="L462" s="6"/>
      <c r="M462" s="6"/>
      <c r="N462" s="6"/>
      <c r="O462" s="6"/>
      <c r="P462" s="6"/>
      <c r="Q462" s="6"/>
      <c r="R462" s="6"/>
      <c r="S462" s="6"/>
      <c r="T462" s="6"/>
      <c r="U462" s="6"/>
      <c r="V462" s="6"/>
      <c r="W462" s="6"/>
      <c r="X462" s="6"/>
      <c r="Y462" s="6"/>
      <c r="Z462" s="6"/>
    </row>
    <row r="463" ht="12.75" hidden="1" customHeight="1">
      <c r="A463" s="37">
        <v>462.0</v>
      </c>
      <c r="B463" s="37">
        <v>10462.0</v>
      </c>
      <c r="C463" s="37" t="s">
        <v>34</v>
      </c>
      <c r="D463" s="38" t="s">
        <v>858</v>
      </c>
      <c r="E463" s="37" t="s">
        <v>859</v>
      </c>
      <c r="F463" s="37">
        <v>185.0</v>
      </c>
      <c r="G463" s="39">
        <v>45770.0</v>
      </c>
      <c r="H463" s="6"/>
      <c r="I463" s="6"/>
      <c r="J463" s="6"/>
      <c r="K463" s="6"/>
      <c r="L463" s="6"/>
      <c r="M463" s="6"/>
      <c r="N463" s="6"/>
      <c r="O463" s="6"/>
      <c r="P463" s="6"/>
      <c r="Q463" s="6"/>
      <c r="R463" s="6"/>
      <c r="S463" s="6"/>
      <c r="T463" s="6"/>
      <c r="U463" s="6"/>
      <c r="V463" s="6"/>
      <c r="W463" s="6"/>
      <c r="X463" s="6"/>
      <c r="Y463" s="6"/>
      <c r="Z463" s="6"/>
    </row>
    <row r="464" ht="12.75" hidden="1" customHeight="1">
      <c r="A464" s="34">
        <v>463.0</v>
      </c>
      <c r="B464" s="34">
        <v>10463.0</v>
      </c>
      <c r="C464" s="34" t="s">
        <v>34</v>
      </c>
      <c r="D464" s="35" t="s">
        <v>860</v>
      </c>
      <c r="E464" s="34" t="s">
        <v>861</v>
      </c>
      <c r="F464" s="34">
        <v>169.0</v>
      </c>
      <c r="G464" s="36">
        <v>0.0</v>
      </c>
      <c r="H464" s="6"/>
      <c r="I464" s="6"/>
      <c r="J464" s="6"/>
      <c r="K464" s="6"/>
      <c r="L464" s="6"/>
      <c r="M464" s="6"/>
      <c r="N464" s="6"/>
      <c r="O464" s="6"/>
      <c r="P464" s="6"/>
      <c r="Q464" s="6"/>
      <c r="R464" s="6"/>
      <c r="S464" s="6"/>
      <c r="T464" s="6"/>
      <c r="U464" s="6"/>
      <c r="V464" s="6"/>
      <c r="W464" s="6"/>
      <c r="X464" s="6"/>
      <c r="Y464" s="6"/>
      <c r="Z464" s="6"/>
    </row>
    <row r="465" ht="12.75" hidden="1" customHeight="1">
      <c r="A465" s="61">
        <v>464.0</v>
      </c>
      <c r="B465" s="61">
        <v>10464.0</v>
      </c>
      <c r="C465" s="61" t="s">
        <v>7</v>
      </c>
      <c r="D465" s="62" t="s">
        <v>862</v>
      </c>
      <c r="E465" s="61" t="s">
        <v>863</v>
      </c>
      <c r="F465" s="61">
        <v>58.0</v>
      </c>
      <c r="G465" s="63">
        <v>0.0</v>
      </c>
      <c r="H465" s="6"/>
      <c r="I465" s="6"/>
      <c r="J465" s="6"/>
      <c r="K465" s="6"/>
      <c r="L465" s="6"/>
      <c r="M465" s="6"/>
      <c r="N465" s="6"/>
      <c r="O465" s="6"/>
      <c r="P465" s="6"/>
      <c r="Q465" s="6"/>
      <c r="R465" s="6"/>
      <c r="S465" s="6"/>
      <c r="T465" s="6"/>
      <c r="U465" s="6"/>
      <c r="V465" s="6"/>
      <c r="W465" s="6"/>
      <c r="X465" s="6"/>
      <c r="Y465" s="6"/>
      <c r="Z465" s="6"/>
    </row>
    <row r="466" ht="12.75" hidden="1" customHeight="1">
      <c r="A466" s="34">
        <v>465.0</v>
      </c>
      <c r="B466" s="34">
        <v>10465.0</v>
      </c>
      <c r="C466" s="34" t="s">
        <v>34</v>
      </c>
      <c r="D466" s="35" t="s">
        <v>864</v>
      </c>
      <c r="E466" s="34" t="s">
        <v>865</v>
      </c>
      <c r="F466" s="34">
        <v>175.0</v>
      </c>
      <c r="G466" s="36">
        <v>45770.0</v>
      </c>
      <c r="H466" s="6"/>
      <c r="I466" s="6"/>
      <c r="J466" s="6"/>
      <c r="K466" s="6"/>
      <c r="L466" s="6"/>
      <c r="M466" s="6"/>
      <c r="N466" s="6"/>
      <c r="O466" s="6"/>
      <c r="P466" s="6"/>
      <c r="Q466" s="6"/>
      <c r="R466" s="6"/>
      <c r="S466" s="6"/>
      <c r="T466" s="6"/>
      <c r="U466" s="6"/>
      <c r="V466" s="6"/>
      <c r="W466" s="6"/>
      <c r="X466" s="6"/>
      <c r="Y466" s="6"/>
      <c r="Z466" s="6"/>
    </row>
    <row r="467" ht="12.75" hidden="1" customHeight="1">
      <c r="A467" s="37">
        <v>466.0</v>
      </c>
      <c r="B467" s="37">
        <v>10466.0</v>
      </c>
      <c r="C467" s="37" t="s">
        <v>7</v>
      </c>
      <c r="D467" s="38" t="s">
        <v>866</v>
      </c>
      <c r="E467" s="37" t="s">
        <v>867</v>
      </c>
      <c r="F467" s="37">
        <v>35.0</v>
      </c>
      <c r="G467" s="39">
        <v>0.0</v>
      </c>
      <c r="H467" s="6"/>
      <c r="I467" s="6"/>
      <c r="J467" s="6"/>
      <c r="K467" s="6"/>
      <c r="L467" s="6"/>
      <c r="M467" s="6"/>
      <c r="N467" s="6"/>
      <c r="O467" s="6"/>
      <c r="P467" s="6"/>
      <c r="Q467" s="6"/>
      <c r="R467" s="6"/>
      <c r="S467" s="6"/>
      <c r="T467" s="6"/>
      <c r="U467" s="6"/>
      <c r="V467" s="6"/>
      <c r="W467" s="6"/>
      <c r="X467" s="6"/>
      <c r="Y467" s="6"/>
      <c r="Z467" s="6"/>
    </row>
    <row r="468" ht="12.75" hidden="1" customHeight="1">
      <c r="A468" s="34">
        <v>467.0</v>
      </c>
      <c r="B468" s="34">
        <v>10467.0</v>
      </c>
      <c r="C468" s="34" t="s">
        <v>27</v>
      </c>
      <c r="D468" s="35" t="s">
        <v>868</v>
      </c>
      <c r="E468" s="34" t="s">
        <v>869</v>
      </c>
      <c r="F468" s="34">
        <v>131.0</v>
      </c>
      <c r="G468" s="36">
        <v>0.0</v>
      </c>
      <c r="H468" s="6"/>
      <c r="I468" s="6"/>
      <c r="J468" s="6"/>
      <c r="K468" s="6"/>
      <c r="L468" s="6"/>
      <c r="M468" s="6"/>
      <c r="N468" s="6"/>
      <c r="O468" s="6"/>
      <c r="P468" s="6"/>
      <c r="Q468" s="6"/>
      <c r="R468" s="6"/>
      <c r="S468" s="6"/>
      <c r="T468" s="6"/>
      <c r="U468" s="6"/>
      <c r="V468" s="6"/>
      <c r="W468" s="6"/>
      <c r="X468" s="6"/>
      <c r="Y468" s="6"/>
      <c r="Z468" s="6"/>
    </row>
    <row r="469" ht="12.75" hidden="1" customHeight="1">
      <c r="A469" s="37">
        <v>468.0</v>
      </c>
      <c r="B469" s="37">
        <v>10468.0</v>
      </c>
      <c r="C469" s="37" t="s">
        <v>34</v>
      </c>
      <c r="D469" s="38" t="s">
        <v>870</v>
      </c>
      <c r="E469" s="37" t="s">
        <v>871</v>
      </c>
      <c r="F469" s="37">
        <v>200.0</v>
      </c>
      <c r="G469" s="39" t="s">
        <v>331</v>
      </c>
      <c r="H469" s="6"/>
      <c r="I469" s="6"/>
      <c r="J469" s="6"/>
      <c r="K469" s="6"/>
      <c r="L469" s="6"/>
      <c r="M469" s="6"/>
      <c r="N469" s="6"/>
      <c r="O469" s="6"/>
      <c r="P469" s="6"/>
      <c r="Q469" s="6"/>
      <c r="R469" s="6"/>
      <c r="S469" s="6"/>
      <c r="T469" s="6"/>
      <c r="U469" s="6"/>
      <c r="V469" s="6"/>
      <c r="W469" s="6"/>
      <c r="X469" s="6"/>
      <c r="Y469" s="6"/>
      <c r="Z469" s="6"/>
    </row>
    <row r="470" ht="12.75" hidden="1" customHeight="1">
      <c r="A470" s="34">
        <v>469.0</v>
      </c>
      <c r="B470" s="34">
        <v>10469.0</v>
      </c>
      <c r="C470" s="34" t="s">
        <v>27</v>
      </c>
      <c r="D470" s="35" t="s">
        <v>872</v>
      </c>
      <c r="E470" s="34" t="s">
        <v>873</v>
      </c>
      <c r="F470" s="34">
        <v>146.0</v>
      </c>
      <c r="G470" s="36">
        <v>0.0</v>
      </c>
      <c r="H470" s="6"/>
      <c r="I470" s="6"/>
      <c r="J470" s="6"/>
      <c r="K470" s="6"/>
      <c r="L470" s="6"/>
      <c r="M470" s="6"/>
      <c r="N470" s="6"/>
      <c r="O470" s="6"/>
      <c r="P470" s="6"/>
      <c r="Q470" s="6"/>
      <c r="R470" s="6"/>
      <c r="S470" s="6"/>
      <c r="T470" s="6"/>
      <c r="U470" s="6"/>
      <c r="V470" s="6"/>
      <c r="W470" s="6"/>
      <c r="X470" s="6"/>
      <c r="Y470" s="6"/>
      <c r="Z470" s="6"/>
    </row>
    <row r="471" ht="12.75" hidden="1" customHeight="1">
      <c r="A471" s="37">
        <v>470.0</v>
      </c>
      <c r="B471" s="37">
        <v>10470.0</v>
      </c>
      <c r="C471" s="37" t="s">
        <v>7</v>
      </c>
      <c r="D471" s="38" t="s">
        <v>874</v>
      </c>
      <c r="E471" s="37" t="s">
        <v>875</v>
      </c>
      <c r="F471" s="37">
        <v>98.0</v>
      </c>
      <c r="G471" s="39">
        <v>0.0</v>
      </c>
      <c r="H471" s="6"/>
      <c r="I471" s="6"/>
      <c r="J471" s="6"/>
      <c r="K471" s="6"/>
      <c r="L471" s="6"/>
      <c r="M471" s="6"/>
      <c r="N471" s="6"/>
      <c r="O471" s="6"/>
      <c r="P471" s="6"/>
      <c r="Q471" s="6"/>
      <c r="R471" s="6"/>
      <c r="S471" s="6"/>
      <c r="T471" s="6"/>
      <c r="U471" s="6"/>
      <c r="V471" s="6"/>
      <c r="W471" s="6"/>
      <c r="X471" s="6"/>
      <c r="Y471" s="6"/>
      <c r="Z471" s="6"/>
    </row>
    <row r="472" ht="12.75" hidden="1" customHeight="1">
      <c r="A472" s="34">
        <v>471.0</v>
      </c>
      <c r="B472" s="34">
        <v>10471.0</v>
      </c>
      <c r="C472" s="34" t="s">
        <v>34</v>
      </c>
      <c r="D472" s="35" t="s">
        <v>876</v>
      </c>
      <c r="E472" s="34" t="s">
        <v>877</v>
      </c>
      <c r="F472" s="34">
        <v>166.0</v>
      </c>
      <c r="G472" s="36">
        <v>0.0</v>
      </c>
      <c r="H472" s="6"/>
      <c r="I472" s="6"/>
      <c r="J472" s="6"/>
      <c r="K472" s="6"/>
      <c r="L472" s="6"/>
      <c r="M472" s="6"/>
      <c r="N472" s="6"/>
      <c r="O472" s="6"/>
      <c r="P472" s="6"/>
      <c r="Q472" s="6"/>
      <c r="R472" s="6"/>
      <c r="S472" s="6"/>
      <c r="T472" s="6"/>
      <c r="U472" s="6"/>
      <c r="V472" s="6"/>
      <c r="W472" s="6"/>
      <c r="X472" s="6"/>
      <c r="Y472" s="6"/>
      <c r="Z472" s="6"/>
    </row>
    <row r="473" ht="12.75" hidden="1" customHeight="1">
      <c r="A473" s="37">
        <v>472.0</v>
      </c>
      <c r="B473" s="37">
        <v>10472.0</v>
      </c>
      <c r="C473" s="37" t="s">
        <v>34</v>
      </c>
      <c r="D473" s="38" t="s">
        <v>878</v>
      </c>
      <c r="E473" s="37" t="s">
        <v>879</v>
      </c>
      <c r="F473" s="37">
        <v>196.0</v>
      </c>
      <c r="G473" s="39">
        <v>45770.0</v>
      </c>
      <c r="H473" s="6"/>
      <c r="I473" s="6"/>
      <c r="J473" s="6"/>
      <c r="K473" s="6"/>
      <c r="L473" s="6"/>
      <c r="M473" s="6"/>
      <c r="N473" s="6"/>
      <c r="O473" s="6"/>
      <c r="P473" s="6"/>
      <c r="Q473" s="6"/>
      <c r="R473" s="6"/>
      <c r="S473" s="6"/>
      <c r="T473" s="6"/>
      <c r="U473" s="6"/>
      <c r="V473" s="6"/>
      <c r="W473" s="6"/>
      <c r="X473" s="6"/>
      <c r="Y473" s="6"/>
      <c r="Z473" s="6"/>
    </row>
    <row r="474" ht="12.75" hidden="1" customHeight="1">
      <c r="A474" s="34">
        <v>473.0</v>
      </c>
      <c r="B474" s="34">
        <v>10473.0</v>
      </c>
      <c r="C474" s="34" t="s">
        <v>27</v>
      </c>
      <c r="D474" s="35" t="s">
        <v>880</v>
      </c>
      <c r="E474" s="34" t="s">
        <v>881</v>
      </c>
      <c r="F474" s="34">
        <v>169.0</v>
      </c>
      <c r="G474" s="36">
        <v>45770.0</v>
      </c>
      <c r="H474" s="6"/>
      <c r="I474" s="6"/>
      <c r="J474" s="6"/>
      <c r="K474" s="6"/>
      <c r="L474" s="6"/>
      <c r="M474" s="6"/>
      <c r="N474" s="6"/>
      <c r="O474" s="6"/>
      <c r="P474" s="6"/>
      <c r="Q474" s="6"/>
      <c r="R474" s="6"/>
      <c r="S474" s="6"/>
      <c r="T474" s="6"/>
      <c r="U474" s="6"/>
      <c r="V474" s="6"/>
      <c r="W474" s="6"/>
      <c r="X474" s="6"/>
      <c r="Y474" s="6"/>
      <c r="Z474" s="6"/>
    </row>
    <row r="475" ht="12.75" hidden="1" customHeight="1">
      <c r="A475" s="37">
        <v>474.0</v>
      </c>
      <c r="B475" s="37">
        <v>10474.0</v>
      </c>
      <c r="C475" s="37" t="s">
        <v>34</v>
      </c>
      <c r="D475" s="38" t="s">
        <v>882</v>
      </c>
      <c r="E475" s="37" t="s">
        <v>883</v>
      </c>
      <c r="F475" s="37">
        <v>207.0</v>
      </c>
      <c r="G475" s="39" t="s">
        <v>331</v>
      </c>
      <c r="H475" s="6"/>
      <c r="I475" s="6"/>
      <c r="J475" s="6"/>
      <c r="K475" s="6"/>
      <c r="L475" s="6"/>
      <c r="M475" s="6"/>
      <c r="N475" s="6"/>
      <c r="O475" s="6"/>
      <c r="P475" s="6"/>
      <c r="Q475" s="6"/>
      <c r="R475" s="6"/>
      <c r="S475" s="6"/>
      <c r="T475" s="6"/>
      <c r="U475" s="6"/>
      <c r="V475" s="6"/>
      <c r="W475" s="6"/>
      <c r="X475" s="6"/>
      <c r="Y475" s="6"/>
      <c r="Z475" s="6"/>
    </row>
    <row r="476" ht="12.75" hidden="1" customHeight="1">
      <c r="A476" s="34">
        <v>475.0</v>
      </c>
      <c r="B476" s="34">
        <v>10475.0</v>
      </c>
      <c r="C476" s="34" t="s">
        <v>34</v>
      </c>
      <c r="D476" s="35" t="s">
        <v>884</v>
      </c>
      <c r="E476" s="34" t="s">
        <v>847</v>
      </c>
      <c r="F476" s="34">
        <v>159.0</v>
      </c>
      <c r="G476" s="36">
        <v>0.0</v>
      </c>
      <c r="H476" s="6"/>
      <c r="I476" s="6"/>
      <c r="J476" s="6"/>
      <c r="K476" s="6"/>
      <c r="L476" s="6"/>
      <c r="M476" s="6"/>
      <c r="N476" s="6"/>
      <c r="O476" s="6"/>
      <c r="P476" s="6"/>
      <c r="Q476" s="6"/>
      <c r="R476" s="6"/>
      <c r="S476" s="6"/>
      <c r="T476" s="6"/>
      <c r="U476" s="6"/>
      <c r="V476" s="6"/>
      <c r="W476" s="6"/>
      <c r="X476" s="6"/>
      <c r="Y476" s="6"/>
      <c r="Z476" s="6"/>
    </row>
    <row r="477" ht="12.75" hidden="1" customHeight="1">
      <c r="A477" s="37">
        <v>476.0</v>
      </c>
      <c r="B477" s="37">
        <v>10476.0</v>
      </c>
      <c r="C477" s="37" t="s">
        <v>27</v>
      </c>
      <c r="D477" s="38" t="s">
        <v>885</v>
      </c>
      <c r="E477" s="37" t="s">
        <v>886</v>
      </c>
      <c r="F477" s="37">
        <v>134.0</v>
      </c>
      <c r="G477" s="39">
        <v>0.0</v>
      </c>
      <c r="H477" s="6"/>
      <c r="I477" s="6"/>
      <c r="J477" s="6"/>
      <c r="K477" s="6"/>
      <c r="L477" s="6"/>
      <c r="M477" s="6"/>
      <c r="N477" s="6"/>
      <c r="O477" s="6"/>
      <c r="P477" s="6"/>
      <c r="Q477" s="6"/>
      <c r="R477" s="6"/>
      <c r="S477" s="6"/>
      <c r="T477" s="6"/>
      <c r="U477" s="6"/>
      <c r="V477" s="6"/>
      <c r="W477" s="6"/>
      <c r="X477" s="6"/>
      <c r="Y477" s="6"/>
      <c r="Z477" s="6"/>
    </row>
    <row r="478" ht="12.75" hidden="1" customHeight="1">
      <c r="A478" s="58">
        <v>477.0</v>
      </c>
      <c r="B478" s="58">
        <v>10477.0</v>
      </c>
      <c r="C478" s="58" t="s">
        <v>20</v>
      </c>
      <c r="D478" s="59" t="s">
        <v>887</v>
      </c>
      <c r="E478" s="58" t="s">
        <v>888</v>
      </c>
      <c r="F478" s="58">
        <v>171.0</v>
      </c>
      <c r="G478" s="60">
        <v>0.0</v>
      </c>
      <c r="H478" s="6"/>
      <c r="I478" s="6"/>
      <c r="J478" s="6"/>
      <c r="K478" s="6"/>
      <c r="L478" s="6"/>
      <c r="M478" s="6"/>
      <c r="N478" s="6"/>
      <c r="O478" s="6"/>
      <c r="P478" s="6"/>
      <c r="Q478" s="6"/>
      <c r="R478" s="6"/>
      <c r="S478" s="6"/>
      <c r="T478" s="6"/>
      <c r="U478" s="6"/>
      <c r="V478" s="6"/>
      <c r="W478" s="6"/>
      <c r="X478" s="6"/>
      <c r="Y478" s="6"/>
      <c r="Z478" s="6"/>
    </row>
    <row r="479" ht="12.75" hidden="1" customHeight="1">
      <c r="A479" s="37">
        <v>478.0</v>
      </c>
      <c r="B479" s="37">
        <v>10478.0</v>
      </c>
      <c r="C479" s="37" t="s">
        <v>7</v>
      </c>
      <c r="D479" s="38" t="s">
        <v>889</v>
      </c>
      <c r="E479" s="37" t="s">
        <v>890</v>
      </c>
      <c r="F479" s="37">
        <v>66.0</v>
      </c>
      <c r="G479" s="39">
        <v>0.0</v>
      </c>
      <c r="H479" s="6"/>
      <c r="I479" s="6"/>
      <c r="J479" s="6"/>
      <c r="K479" s="6"/>
      <c r="L479" s="6"/>
      <c r="M479" s="6"/>
      <c r="N479" s="6"/>
      <c r="O479" s="6"/>
      <c r="P479" s="6"/>
      <c r="Q479" s="6"/>
      <c r="R479" s="6"/>
      <c r="S479" s="6"/>
      <c r="T479" s="6"/>
      <c r="U479" s="6"/>
      <c r="V479" s="6"/>
      <c r="W479" s="6"/>
      <c r="X479" s="6"/>
      <c r="Y479" s="6"/>
      <c r="Z479" s="6"/>
    </row>
    <row r="480" ht="12.75" hidden="1" customHeight="1">
      <c r="A480" s="34">
        <v>479.0</v>
      </c>
      <c r="B480" s="34">
        <v>10479.0</v>
      </c>
      <c r="C480" s="34" t="s">
        <v>34</v>
      </c>
      <c r="D480" s="35" t="s">
        <v>891</v>
      </c>
      <c r="E480" s="34" t="s">
        <v>892</v>
      </c>
      <c r="F480" s="34">
        <v>221.0</v>
      </c>
      <c r="G480" s="36" t="s">
        <v>331</v>
      </c>
      <c r="H480" s="6"/>
      <c r="I480" s="6"/>
      <c r="J480" s="6"/>
      <c r="K480" s="6"/>
      <c r="L480" s="6"/>
      <c r="M480" s="6"/>
      <c r="N480" s="6"/>
      <c r="O480" s="6"/>
      <c r="P480" s="6"/>
      <c r="Q480" s="6"/>
      <c r="R480" s="6"/>
      <c r="S480" s="6"/>
      <c r="T480" s="6"/>
      <c r="U480" s="6"/>
      <c r="V480" s="6"/>
      <c r="W480" s="6"/>
      <c r="X480" s="6"/>
      <c r="Y480" s="6"/>
      <c r="Z480" s="6"/>
    </row>
    <row r="481" ht="12.75" hidden="1" customHeight="1">
      <c r="A481" s="37">
        <v>480.0</v>
      </c>
      <c r="B481" s="37">
        <v>10480.0</v>
      </c>
      <c r="C481" s="37" t="s">
        <v>34</v>
      </c>
      <c r="D481" s="38" t="s">
        <v>893</v>
      </c>
      <c r="E481" s="37" t="s">
        <v>894</v>
      </c>
      <c r="F481" s="37">
        <v>217.0</v>
      </c>
      <c r="G481" s="39" t="s">
        <v>331</v>
      </c>
      <c r="H481" s="6"/>
      <c r="I481" s="6"/>
      <c r="J481" s="6"/>
      <c r="K481" s="6"/>
      <c r="L481" s="6"/>
      <c r="M481" s="6"/>
      <c r="N481" s="6"/>
      <c r="O481" s="6"/>
      <c r="P481" s="6"/>
      <c r="Q481" s="6"/>
      <c r="R481" s="6"/>
      <c r="S481" s="6"/>
      <c r="T481" s="6"/>
      <c r="U481" s="6"/>
      <c r="V481" s="6"/>
      <c r="W481" s="6"/>
      <c r="X481" s="6"/>
      <c r="Y481" s="6"/>
      <c r="Z481" s="6"/>
    </row>
    <row r="482" ht="12.75" hidden="1" customHeight="1">
      <c r="A482" s="34">
        <v>481.0</v>
      </c>
      <c r="B482" s="34">
        <v>10481.0</v>
      </c>
      <c r="C482" s="34" t="s">
        <v>27</v>
      </c>
      <c r="D482" s="35" t="s">
        <v>895</v>
      </c>
      <c r="E482" s="34" t="s">
        <v>896</v>
      </c>
      <c r="F482" s="34">
        <v>156.0</v>
      </c>
      <c r="G482" s="36">
        <v>45770.0</v>
      </c>
      <c r="H482" s="6"/>
      <c r="I482" s="6"/>
      <c r="J482" s="6"/>
      <c r="K482" s="6"/>
      <c r="L482" s="6"/>
      <c r="M482" s="6"/>
      <c r="N482" s="6"/>
      <c r="O482" s="6"/>
      <c r="P482" s="6"/>
      <c r="Q482" s="6"/>
      <c r="R482" s="6"/>
      <c r="S482" s="6"/>
      <c r="T482" s="6"/>
      <c r="U482" s="6"/>
      <c r="V482" s="6"/>
      <c r="W482" s="6"/>
      <c r="X482" s="6"/>
      <c r="Y482" s="6"/>
      <c r="Z482" s="6"/>
    </row>
    <row r="483" ht="12.75" hidden="1" customHeight="1">
      <c r="A483" s="37">
        <v>482.0</v>
      </c>
      <c r="B483" s="37">
        <v>10482.0</v>
      </c>
      <c r="C483" s="37" t="s">
        <v>34</v>
      </c>
      <c r="D483" s="38" t="s">
        <v>897</v>
      </c>
      <c r="E483" s="37" t="s">
        <v>898</v>
      </c>
      <c r="F483" s="37">
        <v>186.0</v>
      </c>
      <c r="G483" s="39">
        <v>45770.0</v>
      </c>
      <c r="H483" s="6"/>
      <c r="I483" s="6"/>
      <c r="J483" s="6"/>
      <c r="K483" s="6"/>
      <c r="L483" s="6"/>
      <c r="M483" s="6"/>
      <c r="N483" s="6"/>
      <c r="O483" s="6"/>
      <c r="P483" s="6"/>
      <c r="Q483" s="6"/>
      <c r="R483" s="6"/>
      <c r="S483" s="6"/>
      <c r="T483" s="6"/>
      <c r="U483" s="6"/>
      <c r="V483" s="6"/>
      <c r="W483" s="6"/>
      <c r="X483" s="6"/>
      <c r="Y483" s="6"/>
      <c r="Z483" s="6"/>
    </row>
    <row r="484" ht="12.75" hidden="1" customHeight="1">
      <c r="A484" s="34">
        <v>483.0</v>
      </c>
      <c r="B484" s="34">
        <v>10483.0</v>
      </c>
      <c r="C484" s="34" t="s">
        <v>7</v>
      </c>
      <c r="D484" s="35" t="s">
        <v>899</v>
      </c>
      <c r="E484" s="34" t="s">
        <v>69</v>
      </c>
      <c r="F484" s="34">
        <v>58.0</v>
      </c>
      <c r="G484" s="36">
        <v>0.0</v>
      </c>
      <c r="H484" s="6"/>
      <c r="I484" s="6"/>
      <c r="J484" s="6"/>
      <c r="K484" s="6"/>
      <c r="L484" s="6"/>
      <c r="M484" s="6"/>
      <c r="N484" s="6"/>
      <c r="O484" s="6"/>
      <c r="P484" s="6"/>
      <c r="Q484" s="6"/>
      <c r="R484" s="6"/>
      <c r="S484" s="6"/>
      <c r="T484" s="6"/>
      <c r="U484" s="6"/>
      <c r="V484" s="6"/>
      <c r="W484" s="6"/>
      <c r="X484" s="6"/>
      <c r="Y484" s="6"/>
      <c r="Z484" s="6"/>
    </row>
    <row r="485" ht="12.75" hidden="1" customHeight="1">
      <c r="A485" s="37">
        <v>484.0</v>
      </c>
      <c r="B485" s="37">
        <v>10484.0</v>
      </c>
      <c r="C485" s="37" t="s">
        <v>20</v>
      </c>
      <c r="D485" s="38" t="s">
        <v>900</v>
      </c>
      <c r="E485" s="37" t="s">
        <v>901</v>
      </c>
      <c r="F485" s="37">
        <v>127.0</v>
      </c>
      <c r="G485" s="39">
        <v>0.0</v>
      </c>
      <c r="H485" s="6"/>
      <c r="I485" s="6"/>
      <c r="J485" s="6"/>
      <c r="K485" s="6"/>
      <c r="L485" s="6"/>
      <c r="M485" s="6"/>
      <c r="N485" s="6"/>
      <c r="O485" s="6"/>
      <c r="P485" s="6"/>
      <c r="Q485" s="6"/>
      <c r="R485" s="6"/>
      <c r="S485" s="6"/>
      <c r="T485" s="6"/>
      <c r="U485" s="6"/>
      <c r="V485" s="6"/>
      <c r="W485" s="6"/>
      <c r="X485" s="6"/>
      <c r="Y485" s="6"/>
      <c r="Z485" s="6"/>
    </row>
    <row r="486" ht="12.75" hidden="1" customHeight="1">
      <c r="A486" s="49">
        <v>485.0</v>
      </c>
      <c r="B486" s="49">
        <v>10485.0</v>
      </c>
      <c r="C486" s="49" t="s">
        <v>7</v>
      </c>
      <c r="D486" s="50" t="s">
        <v>902</v>
      </c>
      <c r="E486" s="49" t="s">
        <v>903</v>
      </c>
      <c r="F486" s="49">
        <v>77.0</v>
      </c>
      <c r="G486" s="51">
        <v>0.0</v>
      </c>
      <c r="H486" s="6"/>
      <c r="I486" s="6"/>
      <c r="J486" s="6"/>
      <c r="K486" s="6"/>
      <c r="L486" s="6"/>
      <c r="M486" s="6"/>
      <c r="N486" s="6"/>
      <c r="O486" s="6"/>
      <c r="P486" s="6"/>
      <c r="Q486" s="6"/>
      <c r="R486" s="6"/>
      <c r="S486" s="6"/>
      <c r="T486" s="6"/>
      <c r="U486" s="6"/>
      <c r="V486" s="6"/>
      <c r="W486" s="6"/>
      <c r="X486" s="6"/>
      <c r="Y486" s="6"/>
      <c r="Z486" s="6"/>
    </row>
    <row r="487" ht="12.75" hidden="1" customHeight="1">
      <c r="A487" s="31">
        <v>486.0</v>
      </c>
      <c r="B487" s="31">
        <v>10486.0</v>
      </c>
      <c r="C487" s="31" t="s">
        <v>7</v>
      </c>
      <c r="D487" s="32" t="s">
        <v>904</v>
      </c>
      <c r="E487" s="31" t="s">
        <v>905</v>
      </c>
      <c r="F487" s="31">
        <v>70.0</v>
      </c>
      <c r="G487" s="33">
        <v>0.0</v>
      </c>
      <c r="H487" s="6"/>
      <c r="I487" s="6"/>
      <c r="J487" s="6"/>
      <c r="K487" s="6"/>
      <c r="L487" s="6"/>
      <c r="M487" s="6"/>
      <c r="N487" s="6"/>
      <c r="O487" s="6"/>
      <c r="P487" s="6"/>
      <c r="Q487" s="6"/>
      <c r="R487" s="6"/>
      <c r="S487" s="6"/>
      <c r="T487" s="6"/>
      <c r="U487" s="6"/>
      <c r="V487" s="6"/>
      <c r="W487" s="6"/>
      <c r="X487" s="6"/>
      <c r="Y487" s="6"/>
      <c r="Z487" s="6"/>
    </row>
    <row r="488" ht="12.75" hidden="1" customHeight="1">
      <c r="A488" s="49">
        <v>487.0</v>
      </c>
      <c r="B488" s="49">
        <v>10487.0</v>
      </c>
      <c r="C488" s="49" t="s">
        <v>7</v>
      </c>
      <c r="D488" s="50" t="s">
        <v>906</v>
      </c>
      <c r="E488" s="49" t="s">
        <v>907</v>
      </c>
      <c r="F488" s="49">
        <v>76.0</v>
      </c>
      <c r="G488" s="51">
        <v>0.0</v>
      </c>
      <c r="H488" s="6"/>
      <c r="I488" s="6"/>
      <c r="J488" s="6"/>
      <c r="K488" s="6"/>
      <c r="L488" s="6"/>
      <c r="M488" s="6"/>
      <c r="N488" s="6"/>
      <c r="O488" s="6"/>
      <c r="P488" s="6"/>
      <c r="Q488" s="6"/>
      <c r="R488" s="6"/>
      <c r="S488" s="6"/>
      <c r="T488" s="6"/>
      <c r="U488" s="6"/>
      <c r="V488" s="6"/>
      <c r="W488" s="6"/>
      <c r="X488" s="6"/>
      <c r="Y488" s="6"/>
      <c r="Z488" s="6"/>
    </row>
    <row r="489" ht="12.75" hidden="1" customHeight="1">
      <c r="A489" s="31">
        <v>488.0</v>
      </c>
      <c r="B489" s="31">
        <v>10488.0</v>
      </c>
      <c r="C489" s="31" t="s">
        <v>27</v>
      </c>
      <c r="D489" s="32" t="s">
        <v>908</v>
      </c>
      <c r="E489" s="31" t="s">
        <v>909</v>
      </c>
      <c r="F489" s="31">
        <v>131.0</v>
      </c>
      <c r="G489" s="33">
        <v>0.0</v>
      </c>
      <c r="H489" s="6"/>
      <c r="I489" s="6"/>
      <c r="J489" s="6"/>
      <c r="K489" s="6"/>
      <c r="L489" s="6"/>
      <c r="M489" s="6"/>
      <c r="N489" s="6"/>
      <c r="O489" s="6"/>
      <c r="P489" s="6"/>
      <c r="Q489" s="6"/>
      <c r="R489" s="6"/>
      <c r="S489" s="6"/>
      <c r="T489" s="6"/>
      <c r="U489" s="6"/>
      <c r="V489" s="6"/>
      <c r="W489" s="6"/>
      <c r="X489" s="6"/>
      <c r="Y489" s="6"/>
      <c r="Z489" s="6"/>
    </row>
    <row r="490" ht="12.75" hidden="1" customHeight="1">
      <c r="A490" s="49">
        <v>489.0</v>
      </c>
      <c r="B490" s="49">
        <v>10489.0</v>
      </c>
      <c r="C490" s="49" t="s">
        <v>7</v>
      </c>
      <c r="D490" s="50" t="s">
        <v>910</v>
      </c>
      <c r="E490" s="49" t="s">
        <v>911</v>
      </c>
      <c r="F490" s="49">
        <v>77.0</v>
      </c>
      <c r="G490" s="51">
        <v>0.0</v>
      </c>
      <c r="H490" s="6"/>
      <c r="I490" s="6"/>
      <c r="J490" s="6"/>
      <c r="K490" s="6"/>
      <c r="L490" s="6"/>
      <c r="M490" s="6"/>
      <c r="N490" s="6"/>
      <c r="O490" s="6"/>
      <c r="P490" s="6"/>
      <c r="Q490" s="6"/>
      <c r="R490" s="6"/>
      <c r="S490" s="6"/>
      <c r="T490" s="6"/>
      <c r="U490" s="6"/>
      <c r="V490" s="6"/>
      <c r="W490" s="6"/>
      <c r="X490" s="6"/>
      <c r="Y490" s="6"/>
      <c r="Z490" s="6"/>
    </row>
    <row r="491" ht="12.75" hidden="1" customHeight="1">
      <c r="A491" s="31">
        <v>490.0</v>
      </c>
      <c r="B491" s="31">
        <v>10490.0</v>
      </c>
      <c r="C491" s="31" t="s">
        <v>7</v>
      </c>
      <c r="D491" s="32" t="s">
        <v>912</v>
      </c>
      <c r="E491" s="31" t="s">
        <v>913</v>
      </c>
      <c r="F491" s="31">
        <v>84.0</v>
      </c>
      <c r="G491" s="33">
        <v>0.0</v>
      </c>
      <c r="H491" s="6"/>
      <c r="I491" s="6"/>
      <c r="J491" s="6"/>
      <c r="K491" s="6"/>
      <c r="L491" s="6"/>
      <c r="M491" s="6"/>
      <c r="N491" s="6"/>
      <c r="O491" s="6"/>
      <c r="P491" s="6"/>
      <c r="Q491" s="6"/>
      <c r="R491" s="6"/>
      <c r="S491" s="6"/>
      <c r="T491" s="6"/>
      <c r="U491" s="6"/>
      <c r="V491" s="6"/>
      <c r="W491" s="6"/>
      <c r="X491" s="6"/>
      <c r="Y491" s="6"/>
      <c r="Z491" s="6"/>
    </row>
    <row r="492" ht="12.75" hidden="1" customHeight="1">
      <c r="A492" s="49">
        <v>491.0</v>
      </c>
      <c r="B492" s="49">
        <v>10491.0</v>
      </c>
      <c r="C492" s="49" t="s">
        <v>34</v>
      </c>
      <c r="D492" s="50" t="s">
        <v>914</v>
      </c>
      <c r="E492" s="49" t="s">
        <v>915</v>
      </c>
      <c r="F492" s="49">
        <v>145.0</v>
      </c>
      <c r="G492" s="51">
        <v>0.0</v>
      </c>
      <c r="H492" s="6"/>
      <c r="I492" s="6"/>
      <c r="J492" s="6"/>
      <c r="K492" s="6"/>
      <c r="L492" s="6"/>
      <c r="M492" s="6"/>
      <c r="N492" s="6"/>
      <c r="O492" s="6"/>
      <c r="P492" s="6"/>
      <c r="Q492" s="6"/>
      <c r="R492" s="6"/>
      <c r="S492" s="6"/>
      <c r="T492" s="6"/>
      <c r="U492" s="6"/>
      <c r="V492" s="6"/>
      <c r="W492" s="6"/>
      <c r="X492" s="6"/>
      <c r="Y492" s="6"/>
      <c r="Z492" s="6"/>
    </row>
    <row r="493" ht="12.75" hidden="1" customHeight="1">
      <c r="A493" s="31">
        <v>492.0</v>
      </c>
      <c r="B493" s="31">
        <v>10492.0</v>
      </c>
      <c r="C493" s="31" t="s">
        <v>7</v>
      </c>
      <c r="D493" s="32" t="s">
        <v>916</v>
      </c>
      <c r="E493" s="31" t="s">
        <v>917</v>
      </c>
      <c r="F493" s="31">
        <v>68.0</v>
      </c>
      <c r="G493" s="33">
        <v>0.0</v>
      </c>
      <c r="H493" s="6"/>
      <c r="I493" s="6"/>
      <c r="J493" s="6"/>
      <c r="K493" s="6"/>
      <c r="L493" s="6"/>
      <c r="M493" s="6"/>
      <c r="N493" s="6"/>
      <c r="O493" s="6"/>
      <c r="P493" s="6"/>
      <c r="Q493" s="6"/>
      <c r="R493" s="6"/>
      <c r="S493" s="6"/>
      <c r="T493" s="6"/>
      <c r="U493" s="6"/>
      <c r="V493" s="6"/>
      <c r="W493" s="6"/>
      <c r="X493" s="6"/>
      <c r="Y493" s="6"/>
      <c r="Z493" s="6"/>
    </row>
    <row r="494" ht="12.75" hidden="1" customHeight="1">
      <c r="A494" s="43">
        <v>493.0</v>
      </c>
      <c r="B494" s="43">
        <v>10493.0</v>
      </c>
      <c r="C494" s="43" t="s">
        <v>7</v>
      </c>
      <c r="D494" s="44" t="s">
        <v>918</v>
      </c>
      <c r="E494" s="43" t="s">
        <v>919</v>
      </c>
      <c r="F494" s="43">
        <v>74.0</v>
      </c>
      <c r="G494" s="45">
        <v>0.0</v>
      </c>
      <c r="H494" s="6"/>
      <c r="I494" s="6"/>
      <c r="J494" s="6"/>
      <c r="K494" s="6"/>
      <c r="L494" s="6"/>
      <c r="M494" s="6"/>
      <c r="N494" s="6"/>
      <c r="O494" s="6"/>
      <c r="P494" s="6"/>
      <c r="Q494" s="6"/>
      <c r="R494" s="6"/>
      <c r="S494" s="6"/>
      <c r="T494" s="6"/>
      <c r="U494" s="6"/>
      <c r="V494" s="6"/>
      <c r="W494" s="6"/>
      <c r="X494" s="6"/>
      <c r="Y494" s="6"/>
      <c r="Z494" s="6"/>
    </row>
    <row r="495" ht="12.75" hidden="1" customHeight="1">
      <c r="A495" s="31">
        <v>494.0</v>
      </c>
      <c r="B495" s="31">
        <v>10494.0</v>
      </c>
      <c r="C495" s="31" t="s">
        <v>7</v>
      </c>
      <c r="D495" s="32" t="s">
        <v>920</v>
      </c>
      <c r="E495" s="31" t="s">
        <v>921</v>
      </c>
      <c r="F495" s="31">
        <v>76.0</v>
      </c>
      <c r="G495" s="33">
        <v>0.0</v>
      </c>
      <c r="H495" s="6"/>
      <c r="I495" s="6"/>
      <c r="J495" s="6"/>
      <c r="K495" s="6"/>
      <c r="L495" s="6"/>
      <c r="M495" s="6"/>
      <c r="N495" s="6"/>
      <c r="O495" s="6"/>
      <c r="P495" s="6"/>
      <c r="Q495" s="6"/>
      <c r="R495" s="6"/>
      <c r="S495" s="6"/>
      <c r="T495" s="6"/>
      <c r="U495" s="6"/>
      <c r="V495" s="6"/>
      <c r="W495" s="6"/>
      <c r="X495" s="6"/>
      <c r="Y495" s="6"/>
      <c r="Z495" s="6"/>
    </row>
    <row r="496" ht="12.75" hidden="1" customHeight="1">
      <c r="A496" s="49">
        <v>495.0</v>
      </c>
      <c r="B496" s="49">
        <v>10495.0</v>
      </c>
      <c r="C496" s="49" t="s">
        <v>7</v>
      </c>
      <c r="D496" s="50" t="s">
        <v>922</v>
      </c>
      <c r="E496" s="49" t="s">
        <v>923</v>
      </c>
      <c r="F496" s="49">
        <v>79.0</v>
      </c>
      <c r="G496" s="51">
        <v>0.0</v>
      </c>
      <c r="H496" s="6"/>
      <c r="I496" s="6"/>
      <c r="J496" s="6"/>
      <c r="K496" s="6"/>
      <c r="L496" s="6"/>
      <c r="M496" s="6"/>
      <c r="N496" s="6"/>
      <c r="O496" s="6"/>
      <c r="P496" s="6"/>
      <c r="Q496" s="6"/>
      <c r="R496" s="6"/>
      <c r="S496" s="6"/>
      <c r="T496" s="6"/>
      <c r="U496" s="6"/>
      <c r="V496" s="6"/>
      <c r="W496" s="6"/>
      <c r="X496" s="6"/>
      <c r="Y496" s="6"/>
      <c r="Z496" s="6"/>
    </row>
    <row r="497" ht="12.75" hidden="1" customHeight="1">
      <c r="A497" s="31">
        <v>496.0</v>
      </c>
      <c r="B497" s="31">
        <v>10496.0</v>
      </c>
      <c r="C497" s="31" t="s">
        <v>7</v>
      </c>
      <c r="D497" s="32" t="s">
        <v>924</v>
      </c>
      <c r="E497" s="31" t="s">
        <v>925</v>
      </c>
      <c r="F497" s="31">
        <v>92.0</v>
      </c>
      <c r="G497" s="33">
        <v>0.0</v>
      </c>
      <c r="H497" s="6"/>
      <c r="I497" s="6"/>
      <c r="J497" s="6"/>
      <c r="K497" s="6"/>
      <c r="L497" s="6"/>
      <c r="M497" s="6"/>
      <c r="N497" s="6"/>
      <c r="O497" s="6"/>
      <c r="P497" s="6"/>
      <c r="Q497" s="6"/>
      <c r="R497" s="6"/>
      <c r="S497" s="6"/>
      <c r="T497" s="6"/>
      <c r="U497" s="6"/>
      <c r="V497" s="6"/>
      <c r="W497" s="6"/>
      <c r="X497" s="6"/>
      <c r="Y497" s="6"/>
      <c r="Z497" s="6"/>
    </row>
    <row r="498" ht="12.75" hidden="1" customHeight="1">
      <c r="A498" s="49">
        <v>497.0</v>
      </c>
      <c r="B498" s="49">
        <v>10497.0</v>
      </c>
      <c r="C498" s="49" t="s">
        <v>7</v>
      </c>
      <c r="D498" s="50" t="s">
        <v>926</v>
      </c>
      <c r="E498" s="49" t="s">
        <v>927</v>
      </c>
      <c r="F498" s="49">
        <v>85.0</v>
      </c>
      <c r="G498" s="51">
        <v>0.0</v>
      </c>
      <c r="H498" s="6"/>
      <c r="I498" s="6"/>
      <c r="J498" s="6"/>
      <c r="K498" s="6"/>
      <c r="L498" s="6"/>
      <c r="M498" s="6"/>
      <c r="N498" s="6"/>
      <c r="O498" s="6"/>
      <c r="P498" s="6"/>
      <c r="Q498" s="6"/>
      <c r="R498" s="6"/>
      <c r="S498" s="6"/>
      <c r="T498" s="6"/>
      <c r="U498" s="6"/>
      <c r="V498" s="6"/>
      <c r="W498" s="6"/>
      <c r="X498" s="6"/>
      <c r="Y498" s="6"/>
      <c r="Z498" s="6"/>
    </row>
    <row r="499" ht="12.75" hidden="1" customHeight="1">
      <c r="A499" s="31">
        <v>498.0</v>
      </c>
      <c r="B499" s="31">
        <v>10498.0</v>
      </c>
      <c r="C499" s="31" t="s">
        <v>34</v>
      </c>
      <c r="D499" s="32" t="s">
        <v>928</v>
      </c>
      <c r="E499" s="31" t="s">
        <v>929</v>
      </c>
      <c r="F499" s="31">
        <v>199.0</v>
      </c>
      <c r="G499" s="33" t="s">
        <v>331</v>
      </c>
      <c r="H499" s="6"/>
      <c r="I499" s="6"/>
      <c r="J499" s="6"/>
      <c r="K499" s="6"/>
      <c r="L499" s="6"/>
      <c r="M499" s="6"/>
      <c r="N499" s="6"/>
      <c r="O499" s="6"/>
      <c r="P499" s="6"/>
      <c r="Q499" s="6"/>
      <c r="R499" s="6"/>
      <c r="S499" s="6"/>
      <c r="T499" s="6"/>
      <c r="U499" s="6"/>
      <c r="V499" s="6"/>
      <c r="W499" s="6"/>
      <c r="X499" s="6"/>
      <c r="Y499" s="6"/>
      <c r="Z499" s="6"/>
    </row>
    <row r="500" ht="12.75" hidden="1" customHeight="1">
      <c r="A500" s="34">
        <v>499.0</v>
      </c>
      <c r="B500" s="34">
        <v>10499.0</v>
      </c>
      <c r="C500" s="34" t="s">
        <v>20</v>
      </c>
      <c r="D500" s="35" t="s">
        <v>930</v>
      </c>
      <c r="E500" s="34" t="s">
        <v>931</v>
      </c>
      <c r="F500" s="34">
        <v>130.0</v>
      </c>
      <c r="G500" s="36">
        <v>0.0</v>
      </c>
      <c r="H500" s="6"/>
      <c r="I500" s="6"/>
      <c r="J500" s="6"/>
      <c r="K500" s="6"/>
      <c r="L500" s="6"/>
      <c r="M500" s="6"/>
      <c r="N500" s="6"/>
      <c r="O500" s="6"/>
      <c r="P500" s="6"/>
      <c r="Q500" s="6"/>
      <c r="R500" s="6"/>
      <c r="S500" s="6"/>
      <c r="T500" s="6"/>
      <c r="U500" s="6"/>
      <c r="V500" s="6"/>
      <c r="W500" s="6"/>
      <c r="X500" s="6"/>
      <c r="Y500" s="6"/>
      <c r="Z500" s="6"/>
    </row>
    <row r="501" ht="12.75" hidden="1" customHeight="1">
      <c r="A501" s="31">
        <v>500.0</v>
      </c>
      <c r="B501" s="31">
        <v>10500.0</v>
      </c>
      <c r="C501" s="31" t="s">
        <v>34</v>
      </c>
      <c r="D501" s="32" t="s">
        <v>932</v>
      </c>
      <c r="E501" s="31" t="s">
        <v>933</v>
      </c>
      <c r="F501" s="31">
        <v>186.0</v>
      </c>
      <c r="G501" s="33">
        <v>45770.0</v>
      </c>
      <c r="H501" s="6"/>
      <c r="I501" s="6"/>
      <c r="J501" s="6"/>
      <c r="K501" s="6"/>
      <c r="L501" s="6"/>
      <c r="M501" s="6"/>
      <c r="N501" s="6"/>
      <c r="O501" s="6"/>
      <c r="P501" s="6"/>
      <c r="Q501" s="6"/>
      <c r="R501" s="6"/>
      <c r="S501" s="6"/>
      <c r="T501" s="6"/>
      <c r="U501" s="6"/>
      <c r="V501" s="6"/>
      <c r="W501" s="6"/>
      <c r="X501" s="6"/>
      <c r="Y501" s="6"/>
      <c r="Z501" s="6"/>
    </row>
    <row r="502" ht="12.75" hidden="1" customHeight="1">
      <c r="A502" s="49">
        <v>501.0</v>
      </c>
      <c r="B502" s="49">
        <v>10501.0</v>
      </c>
      <c r="C502" s="49" t="s">
        <v>7</v>
      </c>
      <c r="D502" s="50" t="s">
        <v>934</v>
      </c>
      <c r="E502" s="49" t="s">
        <v>935</v>
      </c>
      <c r="F502" s="49">
        <v>69.0</v>
      </c>
      <c r="G502" s="51">
        <v>0.0</v>
      </c>
      <c r="H502" s="6"/>
      <c r="I502" s="6"/>
      <c r="J502" s="6"/>
      <c r="K502" s="6"/>
      <c r="L502" s="6"/>
      <c r="M502" s="6"/>
      <c r="N502" s="6"/>
      <c r="O502" s="6"/>
      <c r="P502" s="6"/>
      <c r="Q502" s="6"/>
      <c r="R502" s="6"/>
      <c r="S502" s="6"/>
      <c r="T502" s="6"/>
      <c r="U502" s="6"/>
      <c r="V502" s="6"/>
      <c r="W502" s="6"/>
      <c r="X502" s="6"/>
      <c r="Y502" s="6"/>
      <c r="Z502" s="6"/>
    </row>
    <row r="503" ht="12.75" hidden="1" customHeight="1">
      <c r="A503" s="31">
        <v>502.0</v>
      </c>
      <c r="B503" s="31">
        <v>10502.0</v>
      </c>
      <c r="C503" s="31" t="s">
        <v>7</v>
      </c>
      <c r="D503" s="32" t="s">
        <v>936</v>
      </c>
      <c r="E503" s="31" t="s">
        <v>937</v>
      </c>
      <c r="F503" s="31">
        <v>54.0</v>
      </c>
      <c r="G503" s="33">
        <v>0.0</v>
      </c>
      <c r="H503" s="6"/>
      <c r="I503" s="6"/>
      <c r="J503" s="6"/>
      <c r="K503" s="6"/>
      <c r="L503" s="6"/>
      <c r="M503" s="6"/>
      <c r="N503" s="6"/>
      <c r="O503" s="6"/>
      <c r="P503" s="6"/>
      <c r="Q503" s="6"/>
      <c r="R503" s="6"/>
      <c r="S503" s="6"/>
      <c r="T503" s="6"/>
      <c r="U503" s="6"/>
      <c r="V503" s="6"/>
      <c r="W503" s="6"/>
      <c r="X503" s="6"/>
      <c r="Y503" s="6"/>
      <c r="Z503" s="6"/>
    </row>
    <row r="504" ht="12.75" hidden="1" customHeight="1">
      <c r="A504" s="49">
        <v>503.0</v>
      </c>
      <c r="B504" s="49">
        <v>10503.0</v>
      </c>
      <c r="C504" s="49" t="s">
        <v>34</v>
      </c>
      <c r="D504" s="50" t="s">
        <v>938</v>
      </c>
      <c r="E504" s="49" t="s">
        <v>939</v>
      </c>
      <c r="F504" s="49">
        <v>192.0</v>
      </c>
      <c r="G504" s="51">
        <v>45770.0</v>
      </c>
      <c r="H504" s="6"/>
      <c r="I504" s="6"/>
      <c r="J504" s="6"/>
      <c r="K504" s="6"/>
      <c r="L504" s="6"/>
      <c r="M504" s="6"/>
      <c r="N504" s="6"/>
      <c r="O504" s="6"/>
      <c r="P504" s="6"/>
      <c r="Q504" s="6"/>
      <c r="R504" s="6"/>
      <c r="S504" s="6"/>
      <c r="T504" s="6"/>
      <c r="U504" s="6"/>
      <c r="V504" s="6"/>
      <c r="W504" s="6"/>
      <c r="X504" s="6"/>
      <c r="Y504" s="6"/>
      <c r="Z504" s="6"/>
    </row>
    <row r="505" ht="12.75" hidden="1" customHeight="1">
      <c r="A505" s="31">
        <v>504.0</v>
      </c>
      <c r="B505" s="31">
        <v>10504.0</v>
      </c>
      <c r="C505" s="31" t="s">
        <v>34</v>
      </c>
      <c r="D505" s="32" t="s">
        <v>940</v>
      </c>
      <c r="E505" s="31" t="s">
        <v>941</v>
      </c>
      <c r="F505" s="31">
        <v>235.0</v>
      </c>
      <c r="G505" s="33" t="s">
        <v>331</v>
      </c>
      <c r="H505" s="6"/>
      <c r="I505" s="6"/>
      <c r="J505" s="6"/>
      <c r="K505" s="6"/>
      <c r="L505" s="6"/>
      <c r="M505" s="6"/>
      <c r="N505" s="6"/>
      <c r="O505" s="6"/>
      <c r="P505" s="6"/>
      <c r="Q505" s="6"/>
      <c r="R505" s="6"/>
      <c r="S505" s="6"/>
      <c r="T505" s="6"/>
      <c r="U505" s="6"/>
      <c r="V505" s="6"/>
      <c r="W505" s="6"/>
      <c r="X505" s="6"/>
      <c r="Y505" s="6"/>
      <c r="Z505" s="6"/>
    </row>
    <row r="506" ht="12.75" hidden="1" customHeight="1">
      <c r="A506" s="49">
        <v>505.0</v>
      </c>
      <c r="B506" s="49">
        <v>10505.0</v>
      </c>
      <c r="C506" s="49" t="s">
        <v>20</v>
      </c>
      <c r="D506" s="50" t="s">
        <v>942</v>
      </c>
      <c r="E506" s="49" t="s">
        <v>943</v>
      </c>
      <c r="F506" s="49">
        <v>165.0</v>
      </c>
      <c r="G506" s="51">
        <v>0.0</v>
      </c>
      <c r="H506" s="6"/>
      <c r="I506" s="6"/>
      <c r="J506" s="6"/>
      <c r="K506" s="6"/>
      <c r="L506" s="6"/>
      <c r="M506" s="6"/>
      <c r="N506" s="6"/>
      <c r="O506" s="6"/>
      <c r="P506" s="6"/>
      <c r="Q506" s="6"/>
      <c r="R506" s="6"/>
      <c r="S506" s="6"/>
      <c r="T506" s="6"/>
      <c r="U506" s="6"/>
      <c r="V506" s="6"/>
      <c r="W506" s="6"/>
      <c r="X506" s="6"/>
      <c r="Y506" s="6"/>
      <c r="Z506" s="6"/>
    </row>
    <row r="507" ht="12.75" hidden="1" customHeight="1">
      <c r="A507" s="31">
        <v>506.0</v>
      </c>
      <c r="B507" s="31">
        <v>10506.0</v>
      </c>
      <c r="C507" s="31" t="s">
        <v>7</v>
      </c>
      <c r="D507" s="32" t="s">
        <v>944</v>
      </c>
      <c r="E507" s="31" t="s">
        <v>945</v>
      </c>
      <c r="F507" s="31">
        <v>52.0</v>
      </c>
      <c r="G507" s="33">
        <v>0.0</v>
      </c>
      <c r="H507" s="6"/>
      <c r="I507" s="6"/>
      <c r="J507" s="6"/>
      <c r="K507" s="6"/>
      <c r="L507" s="6"/>
      <c r="M507" s="6"/>
      <c r="N507" s="6"/>
      <c r="O507" s="6"/>
      <c r="P507" s="6"/>
      <c r="Q507" s="6"/>
      <c r="R507" s="6"/>
      <c r="S507" s="6"/>
      <c r="T507" s="6"/>
      <c r="U507" s="6"/>
      <c r="V507" s="6"/>
      <c r="W507" s="6"/>
      <c r="X507" s="6"/>
      <c r="Y507" s="6"/>
      <c r="Z507" s="6"/>
    </row>
    <row r="508" ht="12.75" hidden="1" customHeight="1">
      <c r="A508" s="49">
        <v>507.0</v>
      </c>
      <c r="B508" s="49">
        <v>10507.0</v>
      </c>
      <c r="C508" s="49" t="s">
        <v>34</v>
      </c>
      <c r="D508" s="50" t="s">
        <v>946</v>
      </c>
      <c r="E508" s="49" t="s">
        <v>947</v>
      </c>
      <c r="F508" s="49">
        <v>197.0</v>
      </c>
      <c r="G508" s="51" t="s">
        <v>331</v>
      </c>
      <c r="H508" s="6"/>
      <c r="I508" s="6"/>
      <c r="J508" s="6"/>
      <c r="K508" s="6"/>
      <c r="L508" s="6"/>
      <c r="M508" s="6"/>
      <c r="N508" s="6"/>
      <c r="O508" s="6"/>
      <c r="P508" s="6"/>
      <c r="Q508" s="6"/>
      <c r="R508" s="6"/>
      <c r="S508" s="6"/>
      <c r="T508" s="6"/>
      <c r="U508" s="6"/>
      <c r="V508" s="6"/>
      <c r="W508" s="6"/>
      <c r="X508" s="6"/>
      <c r="Y508" s="6"/>
      <c r="Z508" s="6"/>
    </row>
    <row r="509" ht="12.75" hidden="1" customHeight="1">
      <c r="A509" s="31">
        <v>508.0</v>
      </c>
      <c r="B509" s="31">
        <v>10508.0</v>
      </c>
      <c r="C509" s="31" t="s">
        <v>7</v>
      </c>
      <c r="D509" s="32" t="s">
        <v>948</v>
      </c>
      <c r="E509" s="31" t="s">
        <v>949</v>
      </c>
      <c r="F509" s="31">
        <v>75.0</v>
      </c>
      <c r="G509" s="33">
        <v>0.0</v>
      </c>
      <c r="H509" s="6"/>
      <c r="I509" s="6"/>
      <c r="J509" s="6"/>
      <c r="K509" s="6"/>
      <c r="L509" s="6"/>
      <c r="M509" s="6"/>
      <c r="N509" s="6"/>
      <c r="O509" s="6"/>
      <c r="P509" s="6"/>
      <c r="Q509" s="6"/>
      <c r="R509" s="6"/>
      <c r="S509" s="6"/>
      <c r="T509" s="6"/>
      <c r="U509" s="6"/>
      <c r="V509" s="6"/>
      <c r="W509" s="6"/>
      <c r="X509" s="6"/>
      <c r="Y509" s="6"/>
      <c r="Z509" s="6"/>
    </row>
    <row r="510" ht="12.75" hidden="1" customHeight="1">
      <c r="A510" s="49">
        <v>509.0</v>
      </c>
      <c r="B510" s="49">
        <v>10509.0</v>
      </c>
      <c r="C510" s="49" t="s">
        <v>7</v>
      </c>
      <c r="D510" s="50" t="s">
        <v>950</v>
      </c>
      <c r="E510" s="49" t="s">
        <v>951</v>
      </c>
      <c r="F510" s="49">
        <v>78.0</v>
      </c>
      <c r="G510" s="51">
        <v>0.0</v>
      </c>
      <c r="H510" s="6"/>
      <c r="I510" s="6"/>
      <c r="J510" s="6"/>
      <c r="K510" s="6"/>
      <c r="L510" s="6"/>
      <c r="M510" s="6"/>
      <c r="N510" s="6"/>
      <c r="O510" s="6"/>
      <c r="P510" s="6"/>
      <c r="Q510" s="6"/>
      <c r="R510" s="6"/>
      <c r="S510" s="6"/>
      <c r="T510" s="6"/>
      <c r="U510" s="6"/>
      <c r="V510" s="6"/>
      <c r="W510" s="6"/>
      <c r="X510" s="6"/>
      <c r="Y510" s="6"/>
      <c r="Z510" s="6"/>
    </row>
    <row r="511" ht="12.75" hidden="1" customHeight="1">
      <c r="A511" s="37">
        <v>510.0</v>
      </c>
      <c r="B511" s="37">
        <v>10510.0</v>
      </c>
      <c r="C511" s="37" t="s">
        <v>7</v>
      </c>
      <c r="D511" s="38" t="s">
        <v>952</v>
      </c>
      <c r="E511" s="37" t="s">
        <v>953</v>
      </c>
      <c r="F511" s="37">
        <v>89.0</v>
      </c>
      <c r="G511" s="39">
        <v>0.0</v>
      </c>
      <c r="H511" s="6"/>
      <c r="I511" s="6"/>
      <c r="J511" s="6"/>
      <c r="K511" s="6"/>
      <c r="L511" s="6"/>
      <c r="M511" s="6"/>
      <c r="N511" s="6"/>
      <c r="O511" s="6"/>
      <c r="P511" s="6"/>
      <c r="Q511" s="6"/>
      <c r="R511" s="6"/>
      <c r="S511" s="6"/>
      <c r="T511" s="6"/>
      <c r="U511" s="6"/>
      <c r="V511" s="6"/>
      <c r="W511" s="6"/>
      <c r="X511" s="6"/>
      <c r="Y511" s="6"/>
      <c r="Z511" s="6"/>
    </row>
    <row r="512" ht="12.75" hidden="1" customHeight="1">
      <c r="A512" s="49">
        <v>511.0</v>
      </c>
      <c r="B512" s="49">
        <v>10511.0</v>
      </c>
      <c r="C512" s="49" t="s">
        <v>20</v>
      </c>
      <c r="D512" s="50" t="s">
        <v>954</v>
      </c>
      <c r="E512" s="49" t="s">
        <v>955</v>
      </c>
      <c r="F512" s="49">
        <v>192.0</v>
      </c>
      <c r="G512" s="51">
        <v>45770.0</v>
      </c>
      <c r="H512" s="6"/>
      <c r="I512" s="6"/>
      <c r="J512" s="6"/>
      <c r="K512" s="6"/>
      <c r="L512" s="6"/>
      <c r="M512" s="6"/>
      <c r="N512" s="6"/>
      <c r="O512" s="6"/>
      <c r="P512" s="6"/>
      <c r="Q512" s="6"/>
      <c r="R512" s="6"/>
      <c r="S512" s="6"/>
      <c r="T512" s="6"/>
      <c r="U512" s="6"/>
      <c r="V512" s="6"/>
      <c r="W512" s="6"/>
      <c r="X512" s="6"/>
      <c r="Y512" s="6"/>
      <c r="Z512" s="6"/>
    </row>
    <row r="513" ht="12.75" hidden="1" customHeight="1">
      <c r="A513" s="31">
        <v>512.0</v>
      </c>
      <c r="B513" s="31">
        <v>10512.0</v>
      </c>
      <c r="C513" s="31" t="s">
        <v>20</v>
      </c>
      <c r="D513" s="32" t="s">
        <v>956</v>
      </c>
      <c r="E513" s="31" t="s">
        <v>957</v>
      </c>
      <c r="F513" s="31">
        <v>127.0</v>
      </c>
      <c r="G513" s="33">
        <v>0.0</v>
      </c>
      <c r="H513" s="6"/>
      <c r="I513" s="6"/>
      <c r="J513" s="6"/>
      <c r="K513" s="6"/>
      <c r="L513" s="6"/>
      <c r="M513" s="6"/>
      <c r="N513" s="6"/>
      <c r="O513" s="6"/>
      <c r="P513" s="6"/>
      <c r="Q513" s="6"/>
      <c r="R513" s="6"/>
      <c r="S513" s="6"/>
      <c r="T513" s="6"/>
      <c r="U513" s="6"/>
      <c r="V513" s="6"/>
      <c r="W513" s="6"/>
      <c r="X513" s="6"/>
      <c r="Y513" s="6"/>
      <c r="Z513" s="6"/>
    </row>
    <row r="514" ht="12.75" hidden="1" customHeight="1">
      <c r="A514" s="34">
        <v>513.0</v>
      </c>
      <c r="B514" s="34">
        <v>10513.0</v>
      </c>
      <c r="C514" s="34" t="s">
        <v>20</v>
      </c>
      <c r="D514" s="35" t="s">
        <v>958</v>
      </c>
      <c r="E514" s="34" t="s">
        <v>959</v>
      </c>
      <c r="F514" s="34">
        <v>113.0</v>
      </c>
      <c r="G514" s="36">
        <v>0.0</v>
      </c>
      <c r="H514" s="6"/>
      <c r="I514" s="6"/>
      <c r="J514" s="6"/>
      <c r="K514" s="6"/>
      <c r="L514" s="6"/>
      <c r="M514" s="6"/>
      <c r="N514" s="6"/>
      <c r="O514" s="6"/>
      <c r="P514" s="6"/>
      <c r="Q514" s="6"/>
      <c r="R514" s="6"/>
      <c r="S514" s="6"/>
      <c r="T514" s="6"/>
      <c r="U514" s="6"/>
      <c r="V514" s="6"/>
      <c r="W514" s="6"/>
      <c r="X514" s="6"/>
      <c r="Y514" s="6"/>
      <c r="Z514" s="6"/>
    </row>
    <row r="515" ht="12.75" hidden="1" customHeight="1">
      <c r="A515" s="37">
        <v>514.0</v>
      </c>
      <c r="B515" s="37">
        <v>10514.0</v>
      </c>
      <c r="C515" s="37" t="s">
        <v>34</v>
      </c>
      <c r="D515" s="38" t="s">
        <v>960</v>
      </c>
      <c r="E515" s="37" t="s">
        <v>961</v>
      </c>
      <c r="F515" s="37">
        <v>245.0</v>
      </c>
      <c r="G515" s="39" t="s">
        <v>331</v>
      </c>
      <c r="H515" s="6"/>
      <c r="I515" s="6"/>
      <c r="J515" s="6"/>
      <c r="K515" s="6"/>
      <c r="L515" s="6"/>
      <c r="M515" s="6"/>
      <c r="N515" s="6"/>
      <c r="O515" s="6"/>
      <c r="P515" s="6"/>
      <c r="Q515" s="6"/>
      <c r="R515" s="6"/>
      <c r="S515" s="6"/>
      <c r="T515" s="6"/>
      <c r="U515" s="6"/>
      <c r="V515" s="6"/>
      <c r="W515" s="6"/>
      <c r="X515" s="6"/>
      <c r="Y515" s="6"/>
      <c r="Z515" s="6"/>
    </row>
    <row r="516" ht="12.75" hidden="1" customHeight="1">
      <c r="A516" s="34">
        <v>515.0</v>
      </c>
      <c r="B516" s="34">
        <v>10515.0</v>
      </c>
      <c r="C516" s="34" t="s">
        <v>34</v>
      </c>
      <c r="D516" s="35" t="s">
        <v>962</v>
      </c>
      <c r="E516" s="34" t="s">
        <v>963</v>
      </c>
      <c r="F516" s="34">
        <v>264.0</v>
      </c>
      <c r="G516" s="36" t="s">
        <v>331</v>
      </c>
      <c r="H516" s="6"/>
      <c r="I516" s="6"/>
      <c r="J516" s="6"/>
      <c r="K516" s="6"/>
      <c r="L516" s="6"/>
      <c r="M516" s="6"/>
      <c r="N516" s="6"/>
      <c r="O516" s="6"/>
      <c r="P516" s="6"/>
      <c r="Q516" s="6"/>
      <c r="R516" s="6"/>
      <c r="S516" s="6"/>
      <c r="T516" s="6"/>
      <c r="U516" s="6"/>
      <c r="V516" s="6"/>
      <c r="W516" s="6"/>
      <c r="X516" s="6"/>
      <c r="Y516" s="6"/>
      <c r="Z516" s="6"/>
    </row>
    <row r="517" ht="12.75" hidden="1" customHeight="1">
      <c r="A517" s="37">
        <v>516.0</v>
      </c>
      <c r="B517" s="37">
        <v>10516.0</v>
      </c>
      <c r="C517" s="37" t="s">
        <v>20</v>
      </c>
      <c r="D517" s="38" t="s">
        <v>964</v>
      </c>
      <c r="E517" s="37" t="s">
        <v>965</v>
      </c>
      <c r="F517" s="37">
        <v>151.0</v>
      </c>
      <c r="G517" s="39">
        <v>0.0</v>
      </c>
      <c r="H517" s="6"/>
      <c r="I517" s="6"/>
      <c r="J517" s="6"/>
      <c r="K517" s="6"/>
      <c r="L517" s="6"/>
      <c r="M517" s="6"/>
      <c r="N517" s="6"/>
      <c r="O517" s="6"/>
      <c r="P517" s="6"/>
      <c r="Q517" s="6"/>
      <c r="R517" s="6"/>
      <c r="S517" s="6"/>
      <c r="T517" s="6"/>
      <c r="U517" s="6"/>
      <c r="V517" s="6"/>
      <c r="W517" s="6"/>
      <c r="X517" s="6"/>
      <c r="Y517" s="6"/>
      <c r="Z517" s="6"/>
    </row>
    <row r="518" ht="12.75" hidden="1" customHeight="1">
      <c r="A518" s="34">
        <v>517.0</v>
      </c>
      <c r="B518" s="34">
        <v>10517.0</v>
      </c>
      <c r="C518" s="34" t="s">
        <v>7</v>
      </c>
      <c r="D518" s="35" t="s">
        <v>966</v>
      </c>
      <c r="E518" s="34" t="s">
        <v>967</v>
      </c>
      <c r="F518" s="34">
        <v>202.0</v>
      </c>
      <c r="G518" s="36" t="s">
        <v>331</v>
      </c>
      <c r="H518" s="6"/>
      <c r="I518" s="6"/>
      <c r="J518" s="6"/>
      <c r="K518" s="6"/>
      <c r="L518" s="6"/>
      <c r="M518" s="6"/>
      <c r="N518" s="6"/>
      <c r="O518" s="6"/>
      <c r="P518" s="6"/>
      <c r="Q518" s="6"/>
      <c r="R518" s="6"/>
      <c r="S518" s="6"/>
      <c r="T518" s="6"/>
      <c r="U518" s="6"/>
      <c r="V518" s="6"/>
      <c r="W518" s="6"/>
      <c r="X518" s="6"/>
      <c r="Y518" s="6"/>
      <c r="Z518" s="6"/>
    </row>
    <row r="519" ht="12.75" hidden="1" customHeight="1">
      <c r="A519" s="37">
        <v>518.0</v>
      </c>
      <c r="B519" s="37">
        <v>10518.0</v>
      </c>
      <c r="C519" s="37" t="s">
        <v>7</v>
      </c>
      <c r="D519" s="38" t="s">
        <v>968</v>
      </c>
      <c r="E519" s="37" t="s">
        <v>969</v>
      </c>
      <c r="F519" s="37">
        <v>230.0</v>
      </c>
      <c r="G519" s="39" t="s">
        <v>331</v>
      </c>
      <c r="H519" s="6"/>
      <c r="I519" s="6"/>
      <c r="J519" s="6"/>
      <c r="K519" s="6"/>
      <c r="L519" s="6"/>
      <c r="M519" s="6"/>
      <c r="N519" s="6"/>
      <c r="O519" s="6"/>
      <c r="P519" s="6"/>
      <c r="Q519" s="6"/>
      <c r="R519" s="6"/>
      <c r="S519" s="6"/>
      <c r="T519" s="6"/>
      <c r="U519" s="6"/>
      <c r="V519" s="6"/>
      <c r="W519" s="6"/>
      <c r="X519" s="6"/>
      <c r="Y519" s="6"/>
      <c r="Z519" s="6"/>
    </row>
    <row r="520" ht="12.75" hidden="1" customHeight="1">
      <c r="A520" s="34">
        <v>519.0</v>
      </c>
      <c r="B520" s="34">
        <v>10519.0</v>
      </c>
      <c r="C520" s="34" t="s">
        <v>34</v>
      </c>
      <c r="D520" s="35" t="s">
        <v>970</v>
      </c>
      <c r="E520" s="34" t="s">
        <v>971</v>
      </c>
      <c r="F520" s="34">
        <v>257.0</v>
      </c>
      <c r="G520" s="36" t="s">
        <v>331</v>
      </c>
      <c r="H520" s="6"/>
      <c r="I520" s="6"/>
      <c r="J520" s="6"/>
      <c r="K520" s="6"/>
      <c r="L520" s="6"/>
      <c r="M520" s="6"/>
      <c r="N520" s="6"/>
      <c r="O520" s="6"/>
      <c r="P520" s="6"/>
      <c r="Q520" s="6"/>
      <c r="R520" s="6"/>
      <c r="S520" s="6"/>
      <c r="T520" s="6"/>
      <c r="U520" s="6"/>
      <c r="V520" s="6"/>
      <c r="W520" s="6"/>
      <c r="X520" s="6"/>
      <c r="Y520" s="6"/>
      <c r="Z520" s="6"/>
    </row>
    <row r="521" ht="12.75" hidden="1" customHeight="1">
      <c r="A521" s="37">
        <v>520.0</v>
      </c>
      <c r="B521" s="37">
        <v>10520.0</v>
      </c>
      <c r="C521" s="37" t="s">
        <v>34</v>
      </c>
      <c r="D521" s="38" t="s">
        <v>972</v>
      </c>
      <c r="E521" s="37" t="s">
        <v>973</v>
      </c>
      <c r="F521" s="37">
        <v>238.0</v>
      </c>
      <c r="G521" s="39" t="s">
        <v>331</v>
      </c>
      <c r="H521" s="6"/>
      <c r="I521" s="6"/>
      <c r="J521" s="6"/>
      <c r="K521" s="6"/>
      <c r="L521" s="6"/>
      <c r="M521" s="6"/>
      <c r="N521" s="6"/>
      <c r="O521" s="6"/>
      <c r="P521" s="6"/>
      <c r="Q521" s="6"/>
      <c r="R521" s="6"/>
      <c r="S521" s="6"/>
      <c r="T521" s="6"/>
      <c r="U521" s="6"/>
      <c r="V521" s="6"/>
      <c r="W521" s="6"/>
      <c r="X521" s="6"/>
      <c r="Y521" s="6"/>
      <c r="Z521" s="6"/>
    </row>
    <row r="522" ht="12.75" hidden="1" customHeight="1">
      <c r="A522" s="34">
        <v>521.0</v>
      </c>
      <c r="B522" s="34">
        <v>10521.0</v>
      </c>
      <c r="C522" s="34" t="s">
        <v>20</v>
      </c>
      <c r="D522" s="35" t="s">
        <v>974</v>
      </c>
      <c r="E522" s="34" t="s">
        <v>975</v>
      </c>
      <c r="F522" s="34">
        <v>142.0</v>
      </c>
      <c r="G522" s="36">
        <v>0.0</v>
      </c>
      <c r="H522" s="6"/>
      <c r="I522" s="6"/>
      <c r="J522" s="6"/>
      <c r="K522" s="6"/>
      <c r="L522" s="6"/>
      <c r="M522" s="6"/>
      <c r="N522" s="6"/>
      <c r="O522" s="6"/>
      <c r="P522" s="6"/>
      <c r="Q522" s="6"/>
      <c r="R522" s="6"/>
      <c r="S522" s="6"/>
      <c r="T522" s="6"/>
      <c r="U522" s="6"/>
      <c r="V522" s="6"/>
      <c r="W522" s="6"/>
      <c r="X522" s="6"/>
      <c r="Y522" s="6"/>
      <c r="Z522" s="6"/>
    </row>
    <row r="523" ht="12.75" hidden="1" customHeight="1">
      <c r="A523" s="31">
        <v>521.0</v>
      </c>
      <c r="B523" s="31">
        <v>10521.0</v>
      </c>
      <c r="C523" s="31" t="s">
        <v>20</v>
      </c>
      <c r="D523" s="32" t="s">
        <v>974</v>
      </c>
      <c r="E523" s="31" t="s">
        <v>975</v>
      </c>
      <c r="F523" s="31">
        <v>142.0</v>
      </c>
      <c r="G523" s="33">
        <v>0.0</v>
      </c>
      <c r="H523" s="6"/>
      <c r="I523" s="6"/>
      <c r="J523" s="6"/>
      <c r="K523" s="6"/>
      <c r="L523" s="6"/>
      <c r="M523" s="6"/>
      <c r="N523" s="6"/>
      <c r="O523" s="6"/>
      <c r="P523" s="6"/>
      <c r="Q523" s="6"/>
      <c r="R523" s="6"/>
      <c r="S523" s="6"/>
      <c r="T523" s="6"/>
      <c r="U523" s="6"/>
      <c r="V523" s="6"/>
      <c r="W523" s="6"/>
      <c r="X523" s="6"/>
      <c r="Y523" s="6"/>
      <c r="Z523" s="6"/>
    </row>
    <row r="524" ht="12.75" hidden="1" customHeight="1">
      <c r="A524" s="34">
        <v>522.0</v>
      </c>
      <c r="B524" s="34">
        <v>10522.0</v>
      </c>
      <c r="C524" s="34" t="s">
        <v>27</v>
      </c>
      <c r="D524" s="35" t="s">
        <v>976</v>
      </c>
      <c r="E524" s="34" t="s">
        <v>977</v>
      </c>
      <c r="F524" s="34">
        <v>127.0</v>
      </c>
      <c r="G524" s="36">
        <v>0.0</v>
      </c>
      <c r="H524" s="6"/>
      <c r="I524" s="6"/>
      <c r="J524" s="6"/>
      <c r="K524" s="6"/>
      <c r="L524" s="6"/>
      <c r="M524" s="6"/>
      <c r="N524" s="6"/>
      <c r="O524" s="6"/>
      <c r="P524" s="6"/>
      <c r="Q524" s="6"/>
      <c r="R524" s="6"/>
      <c r="S524" s="6"/>
      <c r="T524" s="6"/>
      <c r="U524" s="6"/>
      <c r="V524" s="6"/>
      <c r="W524" s="6"/>
      <c r="X524" s="6"/>
      <c r="Y524" s="6"/>
      <c r="Z524" s="6"/>
    </row>
    <row r="525" ht="12.75" hidden="1" customHeight="1">
      <c r="A525" s="31">
        <v>523.0</v>
      </c>
      <c r="B525" s="31">
        <v>10523.0</v>
      </c>
      <c r="C525" s="31" t="s">
        <v>7</v>
      </c>
      <c r="D525" s="32" t="s">
        <v>978</v>
      </c>
      <c r="E525" s="31" t="s">
        <v>979</v>
      </c>
      <c r="F525" s="31">
        <v>103.0</v>
      </c>
      <c r="G525" s="33">
        <v>0.0</v>
      </c>
      <c r="H525" s="6"/>
      <c r="I525" s="6"/>
      <c r="J525" s="6"/>
      <c r="K525" s="6"/>
      <c r="L525" s="6"/>
      <c r="M525" s="6"/>
      <c r="N525" s="6"/>
      <c r="O525" s="6"/>
      <c r="P525" s="6"/>
      <c r="Q525" s="6"/>
      <c r="R525" s="6"/>
      <c r="S525" s="6"/>
      <c r="T525" s="6"/>
      <c r="U525" s="6"/>
      <c r="V525" s="6"/>
      <c r="W525" s="6"/>
      <c r="X525" s="6"/>
      <c r="Y525" s="6"/>
      <c r="Z525" s="6"/>
    </row>
    <row r="526" ht="12.75" hidden="1" customHeight="1">
      <c r="A526" s="34">
        <v>524.0</v>
      </c>
      <c r="B526" s="34">
        <v>10524.0</v>
      </c>
      <c r="C526" s="34" t="s">
        <v>7</v>
      </c>
      <c r="D526" s="35" t="s">
        <v>980</v>
      </c>
      <c r="E526" s="34" t="s">
        <v>981</v>
      </c>
      <c r="F526" s="34">
        <v>130.0</v>
      </c>
      <c r="G526" s="36">
        <v>0.0</v>
      </c>
      <c r="H526" s="6"/>
      <c r="I526" s="6"/>
      <c r="J526" s="6"/>
      <c r="K526" s="6"/>
      <c r="L526" s="6"/>
      <c r="M526" s="6"/>
      <c r="N526" s="6"/>
      <c r="O526" s="6"/>
      <c r="P526" s="6"/>
      <c r="Q526" s="6"/>
      <c r="R526" s="6"/>
      <c r="S526" s="6"/>
      <c r="T526" s="6"/>
      <c r="U526" s="6"/>
      <c r="V526" s="6"/>
      <c r="W526" s="6"/>
      <c r="X526" s="6"/>
      <c r="Y526" s="6"/>
      <c r="Z526" s="6"/>
    </row>
    <row r="527" ht="12.75" hidden="1" customHeight="1">
      <c r="A527" s="37">
        <v>525.0</v>
      </c>
      <c r="B527" s="37">
        <v>10525.0</v>
      </c>
      <c r="C527" s="37" t="s">
        <v>34</v>
      </c>
      <c r="D527" s="38" t="s">
        <v>982</v>
      </c>
      <c r="E527" s="37" t="s">
        <v>983</v>
      </c>
      <c r="F527" s="37">
        <v>200.0</v>
      </c>
      <c r="G527" s="39" t="s">
        <v>331</v>
      </c>
      <c r="H527" s="6"/>
      <c r="I527" s="6"/>
      <c r="J527" s="6"/>
      <c r="K527" s="6"/>
      <c r="L527" s="6"/>
      <c r="M527" s="6"/>
      <c r="N527" s="6"/>
      <c r="O527" s="6"/>
      <c r="P527" s="6"/>
      <c r="Q527" s="6"/>
      <c r="R527" s="6"/>
      <c r="S527" s="6"/>
      <c r="T527" s="6"/>
      <c r="U527" s="6"/>
      <c r="V527" s="6"/>
      <c r="W527" s="6"/>
      <c r="X527" s="6"/>
      <c r="Y527" s="6"/>
      <c r="Z527" s="6"/>
    </row>
    <row r="528" ht="12.75" hidden="1" customHeight="1">
      <c r="A528" s="34">
        <v>526.0</v>
      </c>
      <c r="B528" s="34">
        <v>10526.0</v>
      </c>
      <c r="C528" s="34" t="s">
        <v>7</v>
      </c>
      <c r="D528" s="35" t="s">
        <v>984</v>
      </c>
      <c r="E528" s="34" t="s">
        <v>985</v>
      </c>
      <c r="F528" s="34">
        <v>81.0</v>
      </c>
      <c r="G528" s="36">
        <v>0.0</v>
      </c>
      <c r="H528" s="6"/>
      <c r="I528" s="6"/>
      <c r="J528" s="6"/>
      <c r="K528" s="6"/>
      <c r="L528" s="6"/>
      <c r="M528" s="6"/>
      <c r="N528" s="6"/>
      <c r="O528" s="6"/>
      <c r="P528" s="6"/>
      <c r="Q528" s="6"/>
      <c r="R528" s="6"/>
      <c r="S528" s="6"/>
      <c r="T528" s="6"/>
      <c r="U528" s="6"/>
      <c r="V528" s="6"/>
      <c r="W528" s="6"/>
      <c r="X528" s="6"/>
      <c r="Y528" s="6"/>
      <c r="Z528" s="6"/>
    </row>
    <row r="529" ht="12.75" hidden="1" customHeight="1">
      <c r="A529" s="61">
        <v>527.0</v>
      </c>
      <c r="B529" s="61">
        <v>10527.0</v>
      </c>
      <c r="C529" s="61" t="s">
        <v>7</v>
      </c>
      <c r="D529" s="62" t="s">
        <v>986</v>
      </c>
      <c r="E529" s="61" t="s">
        <v>987</v>
      </c>
      <c r="F529" s="61">
        <v>64.0</v>
      </c>
      <c r="G529" s="63">
        <v>0.0</v>
      </c>
      <c r="H529" s="6"/>
      <c r="I529" s="6"/>
      <c r="J529" s="6"/>
      <c r="K529" s="6"/>
      <c r="L529" s="6"/>
      <c r="M529" s="6"/>
      <c r="N529" s="6"/>
      <c r="O529" s="6"/>
      <c r="P529" s="6"/>
      <c r="Q529" s="6"/>
      <c r="R529" s="6"/>
      <c r="S529" s="6"/>
      <c r="T529" s="6"/>
      <c r="U529" s="6"/>
      <c r="V529" s="6"/>
      <c r="W529" s="6"/>
      <c r="X529" s="6"/>
      <c r="Y529" s="6"/>
      <c r="Z529" s="6"/>
    </row>
    <row r="530" ht="12.75" hidden="1" customHeight="1">
      <c r="A530" s="34">
        <v>528.0</v>
      </c>
      <c r="B530" s="34">
        <v>10528.0</v>
      </c>
      <c r="C530" s="34" t="s">
        <v>20</v>
      </c>
      <c r="D530" s="35" t="s">
        <v>988</v>
      </c>
      <c r="E530" s="34" t="s">
        <v>989</v>
      </c>
      <c r="F530" s="34">
        <v>131.0</v>
      </c>
      <c r="G530" s="36">
        <v>0.0</v>
      </c>
      <c r="H530" s="6"/>
      <c r="I530" s="6"/>
      <c r="J530" s="6"/>
      <c r="K530" s="6"/>
      <c r="L530" s="6"/>
      <c r="M530" s="6"/>
      <c r="N530" s="6"/>
      <c r="O530" s="6"/>
      <c r="P530" s="6"/>
      <c r="Q530" s="6"/>
      <c r="R530" s="6"/>
      <c r="S530" s="6"/>
      <c r="T530" s="6"/>
      <c r="U530" s="6"/>
      <c r="V530" s="6"/>
      <c r="W530" s="6"/>
      <c r="X530" s="6"/>
      <c r="Y530" s="6"/>
      <c r="Z530" s="6"/>
    </row>
    <row r="531" ht="12.75" hidden="1" customHeight="1">
      <c r="A531" s="37">
        <v>529.0</v>
      </c>
      <c r="B531" s="37">
        <v>10529.0</v>
      </c>
      <c r="C531" s="37" t="s">
        <v>20</v>
      </c>
      <c r="D531" s="38" t="s">
        <v>990</v>
      </c>
      <c r="E531" s="37" t="s">
        <v>991</v>
      </c>
      <c r="F531" s="37">
        <v>138.0</v>
      </c>
      <c r="G531" s="39">
        <v>0.0</v>
      </c>
      <c r="H531" s="6"/>
      <c r="I531" s="6"/>
      <c r="J531" s="6"/>
      <c r="K531" s="6"/>
      <c r="L531" s="6"/>
      <c r="M531" s="6"/>
      <c r="N531" s="6"/>
      <c r="O531" s="6"/>
      <c r="P531" s="6"/>
      <c r="Q531" s="6"/>
      <c r="R531" s="6"/>
      <c r="S531" s="6"/>
      <c r="T531" s="6"/>
      <c r="U531" s="6"/>
      <c r="V531" s="6"/>
      <c r="W531" s="6"/>
      <c r="X531" s="6"/>
      <c r="Y531" s="6"/>
      <c r="Z531" s="6"/>
    </row>
    <row r="532" ht="12.75" hidden="1" customHeight="1">
      <c r="A532" s="34">
        <v>530.0</v>
      </c>
      <c r="B532" s="34">
        <v>10530.0</v>
      </c>
      <c r="C532" s="34" t="s">
        <v>27</v>
      </c>
      <c r="D532" s="35" t="s">
        <v>992</v>
      </c>
      <c r="E532" s="34" t="s">
        <v>993</v>
      </c>
      <c r="F532" s="34">
        <v>131.0</v>
      </c>
      <c r="G532" s="36">
        <v>0.0</v>
      </c>
      <c r="H532" s="6"/>
      <c r="I532" s="6"/>
      <c r="J532" s="6"/>
      <c r="K532" s="6"/>
      <c r="L532" s="6"/>
      <c r="M532" s="6"/>
      <c r="N532" s="6"/>
      <c r="O532" s="6"/>
      <c r="P532" s="6"/>
      <c r="Q532" s="6"/>
      <c r="R532" s="6"/>
      <c r="S532" s="6"/>
      <c r="T532" s="6"/>
      <c r="U532" s="6"/>
      <c r="V532" s="6"/>
      <c r="W532" s="6"/>
      <c r="X532" s="6"/>
      <c r="Y532" s="6"/>
      <c r="Z532" s="6"/>
    </row>
    <row r="533" ht="12.75" hidden="1" customHeight="1">
      <c r="A533" s="37">
        <v>531.0</v>
      </c>
      <c r="B533" s="37">
        <v>10531.0</v>
      </c>
      <c r="C533" s="37" t="s">
        <v>34</v>
      </c>
      <c r="D533" s="38" t="s">
        <v>994</v>
      </c>
      <c r="E533" s="37" t="s">
        <v>995</v>
      </c>
      <c r="F533" s="37">
        <v>118.0</v>
      </c>
      <c r="G533" s="39">
        <v>0.0</v>
      </c>
      <c r="H533" s="6"/>
      <c r="I533" s="6"/>
      <c r="J533" s="6"/>
      <c r="K533" s="6"/>
      <c r="L533" s="6"/>
      <c r="M533" s="6"/>
      <c r="N533" s="6"/>
      <c r="O533" s="6"/>
      <c r="P533" s="6"/>
      <c r="Q533" s="6"/>
      <c r="R533" s="6"/>
      <c r="S533" s="6"/>
      <c r="T533" s="6"/>
      <c r="U533" s="6"/>
      <c r="V533" s="6"/>
      <c r="W533" s="6"/>
      <c r="X533" s="6"/>
      <c r="Y533" s="6"/>
      <c r="Z533" s="6"/>
    </row>
    <row r="534" ht="12.75" hidden="1" customHeight="1">
      <c r="A534" s="34">
        <v>532.0</v>
      </c>
      <c r="B534" s="34">
        <v>10532.0</v>
      </c>
      <c r="C534" s="34" t="s">
        <v>20</v>
      </c>
      <c r="D534" s="35" t="s">
        <v>996</v>
      </c>
      <c r="E534" s="34" t="s">
        <v>997</v>
      </c>
      <c r="F534" s="34">
        <v>123.0</v>
      </c>
      <c r="G534" s="36">
        <v>0.0</v>
      </c>
      <c r="H534" s="6"/>
      <c r="I534" s="6"/>
      <c r="J534" s="6"/>
      <c r="K534" s="6"/>
      <c r="L534" s="6"/>
      <c r="M534" s="6"/>
      <c r="N534" s="6"/>
      <c r="O534" s="6"/>
      <c r="P534" s="6"/>
      <c r="Q534" s="6"/>
      <c r="R534" s="6"/>
      <c r="S534" s="6"/>
      <c r="T534" s="6"/>
      <c r="U534" s="6"/>
      <c r="V534" s="6"/>
      <c r="W534" s="6"/>
      <c r="X534" s="6"/>
      <c r="Y534" s="6"/>
      <c r="Z534" s="6"/>
    </row>
    <row r="535" ht="12.75" hidden="1" customHeight="1">
      <c r="A535" s="37">
        <v>533.0</v>
      </c>
      <c r="B535" s="37">
        <v>10533.0</v>
      </c>
      <c r="C535" s="37" t="s">
        <v>7</v>
      </c>
      <c r="D535" s="38" t="s">
        <v>998</v>
      </c>
      <c r="E535" s="37" t="s">
        <v>999</v>
      </c>
      <c r="F535" s="37">
        <v>71.0</v>
      </c>
      <c r="G535" s="39">
        <v>0.0</v>
      </c>
      <c r="H535" s="6"/>
      <c r="I535" s="6"/>
      <c r="J535" s="6"/>
      <c r="K535" s="6"/>
      <c r="L535" s="6"/>
      <c r="M535" s="6"/>
      <c r="N535" s="6"/>
      <c r="O535" s="6"/>
      <c r="P535" s="6"/>
      <c r="Q535" s="6"/>
      <c r="R535" s="6"/>
      <c r="S535" s="6"/>
      <c r="T535" s="6"/>
      <c r="U535" s="6"/>
      <c r="V535" s="6"/>
      <c r="W535" s="6"/>
      <c r="X535" s="6"/>
      <c r="Y535" s="6"/>
      <c r="Z535" s="6"/>
    </row>
    <row r="536" ht="12.75" hidden="1" customHeight="1">
      <c r="A536" s="34">
        <v>534.0</v>
      </c>
      <c r="B536" s="34">
        <v>10534.0</v>
      </c>
      <c r="C536" s="34" t="s">
        <v>34</v>
      </c>
      <c r="D536" s="35" t="s">
        <v>1000</v>
      </c>
      <c r="E536" s="34" t="s">
        <v>1001</v>
      </c>
      <c r="F536" s="34">
        <v>142.0</v>
      </c>
      <c r="G536" s="36">
        <v>0.0</v>
      </c>
      <c r="H536" s="6"/>
      <c r="I536" s="6"/>
      <c r="J536" s="6"/>
      <c r="K536" s="6"/>
      <c r="L536" s="6"/>
      <c r="M536" s="6"/>
      <c r="N536" s="6"/>
      <c r="O536" s="6"/>
      <c r="P536" s="6"/>
      <c r="Q536" s="6"/>
      <c r="R536" s="6"/>
      <c r="S536" s="6"/>
      <c r="T536" s="6"/>
      <c r="U536" s="6"/>
      <c r="V536" s="6"/>
      <c r="W536" s="6"/>
      <c r="X536" s="6"/>
      <c r="Y536" s="6"/>
      <c r="Z536" s="6"/>
    </row>
    <row r="537" ht="12.75" hidden="1" customHeight="1">
      <c r="A537" s="37">
        <v>535.0</v>
      </c>
      <c r="B537" s="37">
        <v>10535.0</v>
      </c>
      <c r="C537" s="37" t="s">
        <v>34</v>
      </c>
      <c r="D537" s="38" t="s">
        <v>1002</v>
      </c>
      <c r="E537" s="37" t="s">
        <v>1003</v>
      </c>
      <c r="F537" s="37">
        <v>174.0</v>
      </c>
      <c r="G537" s="39">
        <v>0.0</v>
      </c>
      <c r="H537" s="6"/>
      <c r="I537" s="6"/>
      <c r="J537" s="6"/>
      <c r="K537" s="6"/>
      <c r="L537" s="6"/>
      <c r="M537" s="6"/>
      <c r="N537" s="6"/>
      <c r="O537" s="6"/>
      <c r="P537" s="6"/>
      <c r="Q537" s="6"/>
      <c r="R537" s="6"/>
      <c r="S537" s="6"/>
      <c r="T537" s="6"/>
      <c r="U537" s="6"/>
      <c r="V537" s="6"/>
      <c r="W537" s="6"/>
      <c r="X537" s="6"/>
      <c r="Y537" s="6"/>
      <c r="Z537" s="6"/>
    </row>
    <row r="538" ht="12.75" customHeight="1">
      <c r="A538" s="37">
        <v>536.0</v>
      </c>
      <c r="B538" s="37">
        <v>10536.0</v>
      </c>
      <c r="C538" s="37" t="s">
        <v>34</v>
      </c>
      <c r="D538" s="38" t="s">
        <v>1004</v>
      </c>
      <c r="E538" s="37">
        <v>0.0</v>
      </c>
      <c r="F538" s="37">
        <v>1.0</v>
      </c>
      <c r="G538" s="39">
        <v>0.0</v>
      </c>
      <c r="H538" s="6"/>
      <c r="I538" s="6"/>
      <c r="J538" s="6"/>
      <c r="K538" s="6"/>
      <c r="L538" s="6"/>
      <c r="M538" s="6"/>
      <c r="N538" s="6"/>
      <c r="O538" s="6"/>
      <c r="P538" s="6"/>
      <c r="Q538" s="6"/>
      <c r="R538" s="6"/>
      <c r="S538" s="6"/>
      <c r="T538" s="6"/>
      <c r="U538" s="6"/>
      <c r="V538" s="6"/>
      <c r="W538" s="6"/>
      <c r="X538" s="6"/>
      <c r="Y538" s="6"/>
      <c r="Z538" s="6"/>
    </row>
    <row r="539" ht="12.75" customHeight="1">
      <c r="A539" s="37">
        <v>537.0</v>
      </c>
      <c r="B539" s="82">
        <v>99999.0</v>
      </c>
      <c r="C539" s="37" t="s">
        <v>34</v>
      </c>
      <c r="D539" s="38" t="s">
        <v>1005</v>
      </c>
      <c r="E539" s="37">
        <v>0.0</v>
      </c>
      <c r="F539" s="37">
        <v>1.0</v>
      </c>
      <c r="G539" s="39">
        <v>0.0</v>
      </c>
      <c r="H539" s="6"/>
      <c r="I539" s="6"/>
      <c r="J539" s="6"/>
      <c r="K539" s="6"/>
      <c r="L539" s="6"/>
      <c r="M539" s="6"/>
      <c r="N539" s="6"/>
      <c r="O539" s="6"/>
      <c r="P539" s="6"/>
      <c r="Q539" s="6"/>
      <c r="R539" s="6"/>
      <c r="S539" s="6"/>
      <c r="T539" s="6"/>
      <c r="U539" s="6"/>
      <c r="V539" s="6"/>
      <c r="W539" s="6"/>
      <c r="X539" s="6"/>
      <c r="Y539" s="6"/>
      <c r="Z539" s="6"/>
    </row>
    <row r="540" ht="12.75" customHeight="1">
      <c r="A540" s="37">
        <v>538.0</v>
      </c>
      <c r="B540" s="37">
        <v>10538.0</v>
      </c>
      <c r="C540" s="37" t="s">
        <v>34</v>
      </c>
      <c r="D540" s="38" t="s">
        <v>1006</v>
      </c>
      <c r="E540" s="37">
        <v>0.0</v>
      </c>
      <c r="F540" s="37">
        <v>1.0</v>
      </c>
      <c r="G540" s="39">
        <v>0.0</v>
      </c>
      <c r="H540" s="6"/>
      <c r="I540" s="6"/>
      <c r="J540" s="6"/>
      <c r="K540" s="6"/>
      <c r="L540" s="6"/>
      <c r="M540" s="6"/>
      <c r="N540" s="6"/>
      <c r="O540" s="6"/>
      <c r="P540" s="6"/>
      <c r="Q540" s="6"/>
      <c r="R540" s="6"/>
      <c r="S540" s="6"/>
      <c r="T540" s="6"/>
      <c r="U540" s="6"/>
      <c r="V540" s="6"/>
      <c r="W540" s="6"/>
      <c r="X540" s="6"/>
      <c r="Y540" s="6"/>
      <c r="Z540" s="6"/>
    </row>
    <row r="541" ht="12.75" customHeight="1">
      <c r="A541" s="37">
        <v>539.0</v>
      </c>
      <c r="B541" s="37">
        <v>10539.0</v>
      </c>
      <c r="C541" s="37" t="s">
        <v>7</v>
      </c>
      <c r="D541" s="38" t="s">
        <v>1007</v>
      </c>
      <c r="E541" s="37">
        <v>0.0</v>
      </c>
      <c r="F541" s="37">
        <v>1.0</v>
      </c>
      <c r="G541" s="39">
        <v>0.0</v>
      </c>
      <c r="H541" s="6"/>
      <c r="I541" s="6"/>
      <c r="J541" s="6"/>
      <c r="K541" s="6"/>
      <c r="L541" s="6"/>
      <c r="M541" s="6"/>
      <c r="N541" s="6"/>
      <c r="O541" s="6"/>
      <c r="P541" s="6"/>
      <c r="Q541" s="6"/>
      <c r="R541" s="6"/>
      <c r="S541" s="6"/>
      <c r="T541" s="6"/>
      <c r="U541" s="6"/>
      <c r="V541" s="6"/>
      <c r="W541" s="6"/>
      <c r="X541" s="6"/>
      <c r="Y541" s="6"/>
      <c r="Z541" s="6"/>
    </row>
    <row r="542" ht="12.75" hidden="1" customHeight="1">
      <c r="A542" s="34">
        <v>540.0</v>
      </c>
      <c r="B542" s="34">
        <v>10540.0</v>
      </c>
      <c r="C542" s="34" t="s">
        <v>7</v>
      </c>
      <c r="D542" s="35" t="s">
        <v>1008</v>
      </c>
      <c r="E542" s="34" t="s">
        <v>1009</v>
      </c>
      <c r="F542" s="34">
        <v>74.0</v>
      </c>
      <c r="G542" s="36">
        <v>0.0</v>
      </c>
      <c r="H542" s="6"/>
      <c r="I542" s="6"/>
      <c r="J542" s="6"/>
      <c r="K542" s="6"/>
      <c r="L542" s="6"/>
      <c r="M542" s="6"/>
      <c r="N542" s="6"/>
      <c r="O542" s="6"/>
      <c r="P542" s="6"/>
      <c r="Q542" s="6"/>
      <c r="R542" s="6"/>
      <c r="S542" s="6"/>
      <c r="T542" s="6"/>
      <c r="U542" s="6"/>
      <c r="V542" s="6"/>
      <c r="W542" s="6"/>
      <c r="X542" s="6"/>
      <c r="Y542" s="6"/>
      <c r="Z542" s="6"/>
    </row>
    <row r="543" ht="12.75" hidden="1" customHeight="1">
      <c r="A543" s="37">
        <v>541.0</v>
      </c>
      <c r="B543" s="37">
        <v>10541.0</v>
      </c>
      <c r="C543" s="37" t="s">
        <v>7</v>
      </c>
      <c r="D543" s="38" t="s">
        <v>1010</v>
      </c>
      <c r="E543" s="37" t="s">
        <v>1011</v>
      </c>
      <c r="F543" s="37">
        <v>80.0</v>
      </c>
      <c r="G543" s="39">
        <v>0.0</v>
      </c>
      <c r="H543" s="6"/>
      <c r="I543" s="6"/>
      <c r="J543" s="6"/>
      <c r="K543" s="6"/>
      <c r="L543" s="6"/>
      <c r="M543" s="6"/>
      <c r="N543" s="6"/>
      <c r="O543" s="6"/>
      <c r="P543" s="6"/>
      <c r="Q543" s="6"/>
      <c r="R543" s="6"/>
      <c r="S543" s="6"/>
      <c r="T543" s="6"/>
      <c r="U543" s="6"/>
      <c r="V543" s="6"/>
      <c r="W543" s="6"/>
      <c r="X543" s="6"/>
      <c r="Y543" s="6"/>
      <c r="Z543" s="6"/>
    </row>
    <row r="544" ht="12.75" hidden="1" customHeight="1">
      <c r="A544" s="34">
        <v>542.0</v>
      </c>
      <c r="B544" s="34">
        <v>10542.0</v>
      </c>
      <c r="C544" s="34" t="s">
        <v>7</v>
      </c>
      <c r="D544" s="35" t="s">
        <v>1012</v>
      </c>
      <c r="E544" s="34" t="s">
        <v>1013</v>
      </c>
      <c r="F544" s="34">
        <v>63.0</v>
      </c>
      <c r="G544" s="36">
        <v>0.0</v>
      </c>
      <c r="H544" s="6"/>
      <c r="I544" s="6"/>
      <c r="J544" s="6"/>
      <c r="K544" s="6"/>
      <c r="L544" s="6"/>
      <c r="M544" s="6"/>
      <c r="N544" s="6"/>
      <c r="O544" s="6"/>
      <c r="P544" s="6"/>
      <c r="Q544" s="6"/>
      <c r="R544" s="6"/>
      <c r="S544" s="6"/>
      <c r="T544" s="6"/>
      <c r="U544" s="6"/>
      <c r="V544" s="6"/>
      <c r="W544" s="6"/>
      <c r="X544" s="6"/>
      <c r="Y544" s="6"/>
      <c r="Z544" s="6"/>
    </row>
    <row r="545" ht="12.75" hidden="1" customHeight="1">
      <c r="A545" s="37">
        <v>543.0</v>
      </c>
      <c r="B545" s="37">
        <v>10543.0</v>
      </c>
      <c r="C545" s="37" t="s">
        <v>34</v>
      </c>
      <c r="D545" s="38" t="s">
        <v>1014</v>
      </c>
      <c r="E545" s="37" t="s">
        <v>1015</v>
      </c>
      <c r="F545" s="37">
        <v>152.0</v>
      </c>
      <c r="G545" s="39">
        <v>0.0</v>
      </c>
      <c r="H545" s="6"/>
      <c r="I545" s="6"/>
      <c r="J545" s="6"/>
      <c r="K545" s="6"/>
      <c r="L545" s="6"/>
      <c r="M545" s="6"/>
      <c r="N545" s="6"/>
      <c r="O545" s="6"/>
      <c r="P545" s="6"/>
      <c r="Q545" s="6"/>
      <c r="R545" s="6"/>
      <c r="S545" s="6"/>
      <c r="T545" s="6"/>
      <c r="U545" s="6"/>
      <c r="V545" s="6"/>
      <c r="W545" s="6"/>
      <c r="X545" s="6"/>
      <c r="Y545" s="6"/>
      <c r="Z545" s="6"/>
    </row>
    <row r="546" ht="12.75" hidden="1" customHeight="1">
      <c r="A546" s="34">
        <v>544.0</v>
      </c>
      <c r="B546" s="34">
        <v>10544.0</v>
      </c>
      <c r="C546" s="34" t="s">
        <v>7</v>
      </c>
      <c r="D546" s="35" t="s">
        <v>1016</v>
      </c>
      <c r="E546" s="34" t="s">
        <v>1017</v>
      </c>
      <c r="F546" s="34">
        <v>61.0</v>
      </c>
      <c r="G546" s="36">
        <v>0.0</v>
      </c>
      <c r="H546" s="6"/>
      <c r="I546" s="6"/>
      <c r="J546" s="6"/>
      <c r="K546" s="6"/>
      <c r="L546" s="6"/>
      <c r="M546" s="6"/>
      <c r="N546" s="6"/>
      <c r="O546" s="6"/>
      <c r="P546" s="6"/>
      <c r="Q546" s="6"/>
      <c r="R546" s="6"/>
      <c r="S546" s="6"/>
      <c r="T546" s="6"/>
      <c r="U546" s="6"/>
      <c r="V546" s="6"/>
      <c r="W546" s="6"/>
      <c r="X546" s="6"/>
      <c r="Y546" s="6"/>
      <c r="Z546" s="6"/>
    </row>
    <row r="547" ht="12.75" hidden="1" customHeight="1">
      <c r="A547" s="37">
        <v>545.0</v>
      </c>
      <c r="B547" s="37">
        <v>10545.0</v>
      </c>
      <c r="C547" s="37" t="s">
        <v>7</v>
      </c>
      <c r="D547" s="38" t="s">
        <v>1018</v>
      </c>
      <c r="E547" s="37" t="s">
        <v>1019</v>
      </c>
      <c r="F547" s="37">
        <v>87.0</v>
      </c>
      <c r="G547" s="39">
        <v>0.0</v>
      </c>
      <c r="H547" s="6"/>
      <c r="I547" s="6"/>
      <c r="J547" s="6"/>
      <c r="K547" s="6"/>
      <c r="L547" s="6"/>
      <c r="M547" s="6"/>
      <c r="N547" s="6"/>
      <c r="O547" s="6"/>
      <c r="P547" s="6"/>
      <c r="Q547" s="6"/>
      <c r="R547" s="6"/>
      <c r="S547" s="6"/>
      <c r="T547" s="6"/>
      <c r="U547" s="6"/>
      <c r="V547" s="6"/>
      <c r="W547" s="6"/>
      <c r="X547" s="6"/>
      <c r="Y547" s="6"/>
      <c r="Z547" s="6"/>
    </row>
    <row r="548" ht="12.75" hidden="1" customHeight="1">
      <c r="A548" s="34">
        <v>546.0</v>
      </c>
      <c r="B548" s="34">
        <v>10546.0</v>
      </c>
      <c r="C548" s="34" t="s">
        <v>34</v>
      </c>
      <c r="D548" s="35" t="s">
        <v>1020</v>
      </c>
      <c r="E548" s="34" t="s">
        <v>1021</v>
      </c>
      <c r="F548" s="34">
        <v>167.0</v>
      </c>
      <c r="G548" s="36">
        <v>0.0</v>
      </c>
      <c r="H548" s="6"/>
      <c r="I548" s="6"/>
      <c r="J548" s="6"/>
      <c r="K548" s="6"/>
      <c r="L548" s="6"/>
      <c r="M548" s="6"/>
      <c r="N548" s="6"/>
      <c r="O548" s="6"/>
      <c r="P548" s="6"/>
      <c r="Q548" s="6"/>
      <c r="R548" s="6"/>
      <c r="S548" s="6"/>
      <c r="T548" s="6"/>
      <c r="U548" s="6"/>
      <c r="V548" s="6"/>
      <c r="W548" s="6"/>
      <c r="X548" s="6"/>
      <c r="Y548" s="6"/>
      <c r="Z548" s="6"/>
    </row>
    <row r="549" ht="12.75" hidden="1" customHeight="1">
      <c r="A549" s="37">
        <v>547.0</v>
      </c>
      <c r="B549" s="37">
        <v>10547.0</v>
      </c>
      <c r="C549" s="37" t="s">
        <v>7</v>
      </c>
      <c r="D549" s="38" t="s">
        <v>1022</v>
      </c>
      <c r="E549" s="37" t="s">
        <v>1023</v>
      </c>
      <c r="F549" s="37">
        <v>79.0</v>
      </c>
      <c r="G549" s="39">
        <v>0.0</v>
      </c>
      <c r="H549" s="6"/>
      <c r="I549" s="6"/>
      <c r="J549" s="6"/>
      <c r="K549" s="6"/>
      <c r="L549" s="6"/>
      <c r="M549" s="6"/>
      <c r="N549" s="6"/>
      <c r="O549" s="6"/>
      <c r="P549" s="6"/>
      <c r="Q549" s="6"/>
      <c r="R549" s="6"/>
      <c r="S549" s="6"/>
      <c r="T549" s="6"/>
      <c r="U549" s="6"/>
      <c r="V549" s="6"/>
      <c r="W549" s="6"/>
      <c r="X549" s="6"/>
      <c r="Y549" s="6"/>
      <c r="Z549" s="6"/>
    </row>
    <row r="550" ht="12.75" hidden="1" customHeight="1">
      <c r="A550" s="34">
        <v>548.0</v>
      </c>
      <c r="B550" s="34">
        <v>10548.0</v>
      </c>
      <c r="C550" s="34" t="s">
        <v>34</v>
      </c>
      <c r="D550" s="35" t="s">
        <v>1024</v>
      </c>
      <c r="E550" s="34" t="s">
        <v>1025</v>
      </c>
      <c r="F550" s="34">
        <v>131.0</v>
      </c>
      <c r="G550" s="36">
        <v>0.0</v>
      </c>
      <c r="H550" s="6"/>
      <c r="I550" s="6"/>
      <c r="J550" s="6"/>
      <c r="K550" s="6"/>
      <c r="L550" s="6"/>
      <c r="M550" s="6"/>
      <c r="N550" s="6"/>
      <c r="O550" s="6"/>
      <c r="P550" s="6"/>
      <c r="Q550" s="6"/>
      <c r="R550" s="6"/>
      <c r="S550" s="6"/>
      <c r="T550" s="6"/>
      <c r="U550" s="6"/>
      <c r="V550" s="6"/>
      <c r="W550" s="6"/>
      <c r="X550" s="6"/>
      <c r="Y550" s="6"/>
      <c r="Z550" s="6"/>
    </row>
    <row r="551" ht="12.75" hidden="1" customHeight="1">
      <c r="A551" s="37">
        <v>549.0</v>
      </c>
      <c r="B551" s="37">
        <v>10549.0</v>
      </c>
      <c r="C551" s="37" t="s">
        <v>7</v>
      </c>
      <c r="D551" s="38" t="s">
        <v>1026</v>
      </c>
      <c r="E551" s="37" t="s">
        <v>1027</v>
      </c>
      <c r="F551" s="37">
        <v>58.0</v>
      </c>
      <c r="G551" s="39">
        <v>0.0</v>
      </c>
      <c r="H551" s="6"/>
      <c r="I551" s="6"/>
      <c r="J551" s="6"/>
      <c r="K551" s="6"/>
      <c r="L551" s="6"/>
      <c r="M551" s="6"/>
      <c r="N551" s="6"/>
      <c r="O551" s="6"/>
      <c r="P551" s="6"/>
      <c r="Q551" s="6"/>
      <c r="R551" s="6"/>
      <c r="S551" s="6"/>
      <c r="T551" s="6"/>
      <c r="U551" s="6"/>
      <c r="V551" s="6"/>
      <c r="W551" s="6"/>
      <c r="X551" s="6"/>
      <c r="Y551" s="6"/>
      <c r="Z551" s="6"/>
    </row>
    <row r="552" ht="12.75" hidden="1" customHeight="1">
      <c r="A552" s="34">
        <v>550.0</v>
      </c>
      <c r="B552" s="34">
        <v>10550.0</v>
      </c>
      <c r="C552" s="34" t="s">
        <v>7</v>
      </c>
      <c r="D552" s="35" t="s">
        <v>1028</v>
      </c>
      <c r="E552" s="34" t="s">
        <v>1029</v>
      </c>
      <c r="F552" s="34">
        <v>91.0</v>
      </c>
      <c r="G552" s="36">
        <v>0.0</v>
      </c>
      <c r="H552" s="6"/>
      <c r="I552" s="6"/>
      <c r="J552" s="6"/>
      <c r="K552" s="6"/>
      <c r="L552" s="6"/>
      <c r="M552" s="6"/>
      <c r="N552" s="6"/>
      <c r="O552" s="6"/>
      <c r="P552" s="6"/>
      <c r="Q552" s="6"/>
      <c r="R552" s="6"/>
      <c r="S552" s="6"/>
      <c r="T552" s="6"/>
      <c r="U552" s="6"/>
      <c r="V552" s="6"/>
      <c r="W552" s="6"/>
      <c r="X552" s="6"/>
      <c r="Y552" s="6"/>
      <c r="Z552" s="6"/>
    </row>
    <row r="553" ht="12.75" hidden="1" customHeight="1">
      <c r="A553" s="37">
        <v>551.0</v>
      </c>
      <c r="B553" s="37">
        <v>10551.0</v>
      </c>
      <c r="C553" s="37" t="s">
        <v>7</v>
      </c>
      <c r="D553" s="38" t="s">
        <v>1030</v>
      </c>
      <c r="E553" s="37" t="s">
        <v>1031</v>
      </c>
      <c r="F553" s="37">
        <v>64.0</v>
      </c>
      <c r="G553" s="39">
        <v>0.0</v>
      </c>
      <c r="H553" s="6"/>
      <c r="I553" s="6"/>
      <c r="J553" s="6"/>
      <c r="K553" s="6"/>
      <c r="L553" s="6"/>
      <c r="M553" s="6"/>
      <c r="N553" s="6"/>
      <c r="O553" s="6"/>
      <c r="P553" s="6"/>
      <c r="Q553" s="6"/>
      <c r="R553" s="6"/>
      <c r="S553" s="6"/>
      <c r="T553" s="6"/>
      <c r="U553" s="6"/>
      <c r="V553" s="6"/>
      <c r="W553" s="6"/>
      <c r="X553" s="6"/>
      <c r="Y553" s="6"/>
      <c r="Z553" s="6"/>
    </row>
    <row r="554" ht="12.75" hidden="1" customHeight="1">
      <c r="A554" s="34">
        <v>552.0</v>
      </c>
      <c r="B554" s="34">
        <v>10552.0</v>
      </c>
      <c r="C554" s="34" t="s">
        <v>34</v>
      </c>
      <c r="D554" s="35" t="s">
        <v>1032</v>
      </c>
      <c r="E554" s="34" t="s">
        <v>1033</v>
      </c>
      <c r="F554" s="34">
        <v>195.0</v>
      </c>
      <c r="G554" s="36">
        <v>0.0</v>
      </c>
      <c r="H554" s="6"/>
      <c r="I554" s="6"/>
      <c r="J554" s="6"/>
      <c r="K554" s="6"/>
      <c r="L554" s="6"/>
      <c r="M554" s="6"/>
      <c r="N554" s="6"/>
      <c r="O554" s="6"/>
      <c r="P554" s="6"/>
      <c r="Q554" s="6"/>
      <c r="R554" s="6"/>
      <c r="S554" s="6"/>
      <c r="T554" s="6"/>
      <c r="U554" s="6"/>
      <c r="V554" s="6"/>
      <c r="W554" s="6"/>
      <c r="X554" s="6"/>
      <c r="Y554" s="6"/>
      <c r="Z554" s="6"/>
    </row>
    <row r="555" ht="12.75" hidden="1" customHeight="1">
      <c r="A555" s="37">
        <v>553.0</v>
      </c>
      <c r="B555" s="37">
        <v>10553.0</v>
      </c>
      <c r="C555" s="37" t="s">
        <v>34</v>
      </c>
      <c r="D555" s="38" t="s">
        <v>1034</v>
      </c>
      <c r="E555" s="37" t="s">
        <v>1035</v>
      </c>
      <c r="F555" s="37">
        <v>124.0</v>
      </c>
      <c r="G555" s="39">
        <v>0.0</v>
      </c>
      <c r="H555" s="6"/>
      <c r="I555" s="6"/>
      <c r="J555" s="6"/>
      <c r="K555" s="6"/>
      <c r="L555" s="6"/>
      <c r="M555" s="6"/>
      <c r="N555" s="6"/>
      <c r="O555" s="6"/>
      <c r="P555" s="6"/>
      <c r="Q555" s="6"/>
      <c r="R555" s="6"/>
      <c r="S555" s="6"/>
      <c r="T555" s="6"/>
      <c r="U555" s="6"/>
      <c r="V555" s="6"/>
      <c r="W555" s="6"/>
      <c r="X555" s="6"/>
      <c r="Y555" s="6"/>
      <c r="Z555" s="6"/>
    </row>
    <row r="556" ht="12.75" hidden="1" customHeight="1">
      <c r="A556" s="34">
        <v>554.0</v>
      </c>
      <c r="B556" s="34">
        <v>10554.0</v>
      </c>
      <c r="C556" s="34" t="s">
        <v>34</v>
      </c>
      <c r="D556" s="35" t="s">
        <v>1036</v>
      </c>
      <c r="E556" s="34" t="s">
        <v>1037</v>
      </c>
      <c r="F556" s="34">
        <v>162.0</v>
      </c>
      <c r="G556" s="36">
        <v>0.0</v>
      </c>
      <c r="H556" s="6"/>
      <c r="I556" s="6"/>
      <c r="J556" s="6"/>
      <c r="K556" s="6"/>
      <c r="L556" s="6"/>
      <c r="M556" s="6"/>
      <c r="N556" s="6"/>
      <c r="O556" s="6"/>
      <c r="P556" s="6"/>
      <c r="Q556" s="6"/>
      <c r="R556" s="6"/>
      <c r="S556" s="6"/>
      <c r="T556" s="6"/>
      <c r="U556" s="6"/>
      <c r="V556" s="6"/>
      <c r="W556" s="6"/>
      <c r="X556" s="6"/>
      <c r="Y556" s="6"/>
      <c r="Z556" s="6"/>
    </row>
    <row r="557" ht="12.75" hidden="1" customHeight="1">
      <c r="A557" s="37">
        <v>555.0</v>
      </c>
      <c r="B557" s="37">
        <v>10555.0</v>
      </c>
      <c r="C557" s="37" t="s">
        <v>34</v>
      </c>
      <c r="D557" s="38" t="s">
        <v>1038</v>
      </c>
      <c r="E557" s="37" t="s">
        <v>1039</v>
      </c>
      <c r="F557" s="37">
        <v>168.0</v>
      </c>
      <c r="G557" s="39">
        <v>0.0</v>
      </c>
      <c r="H557" s="6"/>
      <c r="I557" s="6"/>
      <c r="J557" s="6"/>
      <c r="K557" s="6"/>
      <c r="L557" s="6"/>
      <c r="M557" s="6"/>
      <c r="N557" s="6"/>
      <c r="O557" s="6"/>
      <c r="P557" s="6"/>
      <c r="Q557" s="6"/>
      <c r="R557" s="6"/>
      <c r="S557" s="6"/>
      <c r="T557" s="6"/>
      <c r="U557" s="6"/>
      <c r="V557" s="6"/>
      <c r="W557" s="6"/>
      <c r="X557" s="6"/>
      <c r="Y557" s="6"/>
      <c r="Z557" s="6"/>
    </row>
    <row r="558" ht="12.75" hidden="1" customHeight="1">
      <c r="A558" s="34">
        <v>556.0</v>
      </c>
      <c r="B558" s="34">
        <v>10556.0</v>
      </c>
      <c r="C558" s="34" t="s">
        <v>34</v>
      </c>
      <c r="D558" s="35" t="s">
        <v>1040</v>
      </c>
      <c r="E558" s="34" t="s">
        <v>1041</v>
      </c>
      <c r="F558" s="34">
        <v>169.0</v>
      </c>
      <c r="G558" s="36">
        <v>0.0</v>
      </c>
      <c r="H558" s="6"/>
      <c r="I558" s="6"/>
      <c r="J558" s="6"/>
      <c r="K558" s="6"/>
      <c r="L558" s="6"/>
      <c r="M558" s="6"/>
      <c r="N558" s="6"/>
      <c r="O558" s="6"/>
      <c r="P558" s="6"/>
      <c r="Q558" s="6"/>
      <c r="R558" s="6"/>
      <c r="S558" s="6"/>
      <c r="T558" s="6"/>
      <c r="U558" s="6"/>
      <c r="V558" s="6"/>
      <c r="W558" s="6"/>
      <c r="X558" s="6"/>
      <c r="Y558" s="6"/>
      <c r="Z558" s="6"/>
    </row>
    <row r="559" ht="12.75" hidden="1" customHeight="1">
      <c r="A559" s="37">
        <v>557.0</v>
      </c>
      <c r="B559" s="37">
        <v>10557.0</v>
      </c>
      <c r="C559" s="37" t="s">
        <v>34</v>
      </c>
      <c r="D559" s="38" t="s">
        <v>1042</v>
      </c>
      <c r="E559" s="37" t="s">
        <v>1043</v>
      </c>
      <c r="F559" s="37">
        <v>165.0</v>
      </c>
      <c r="G559" s="39">
        <v>0.0</v>
      </c>
      <c r="H559" s="6"/>
      <c r="I559" s="6"/>
      <c r="J559" s="6"/>
      <c r="K559" s="6"/>
      <c r="L559" s="6"/>
      <c r="M559" s="6"/>
      <c r="N559" s="6"/>
      <c r="O559" s="6"/>
      <c r="P559" s="6"/>
      <c r="Q559" s="6"/>
      <c r="R559" s="6"/>
      <c r="S559" s="6"/>
      <c r="T559" s="6"/>
      <c r="U559" s="6"/>
      <c r="V559" s="6"/>
      <c r="W559" s="6"/>
      <c r="X559" s="6"/>
      <c r="Y559" s="6"/>
      <c r="Z559" s="6"/>
    </row>
    <row r="560" ht="12.75" hidden="1" customHeight="1">
      <c r="A560" s="34">
        <v>558.0</v>
      </c>
      <c r="B560" s="34">
        <v>10558.0</v>
      </c>
      <c r="C560" s="34" t="s">
        <v>34</v>
      </c>
      <c r="D560" s="35" t="s">
        <v>1044</v>
      </c>
      <c r="E560" s="34" t="s">
        <v>1045</v>
      </c>
      <c r="F560" s="34">
        <v>137.0</v>
      </c>
      <c r="G560" s="36">
        <v>0.0</v>
      </c>
      <c r="H560" s="6"/>
      <c r="I560" s="6"/>
      <c r="J560" s="6"/>
      <c r="K560" s="6"/>
      <c r="L560" s="6"/>
      <c r="M560" s="6"/>
      <c r="N560" s="6"/>
      <c r="O560" s="6"/>
      <c r="P560" s="6"/>
      <c r="Q560" s="6"/>
      <c r="R560" s="6"/>
      <c r="S560" s="6"/>
      <c r="T560" s="6"/>
      <c r="U560" s="6"/>
      <c r="V560" s="6"/>
      <c r="W560" s="6"/>
      <c r="X560" s="6"/>
      <c r="Y560" s="6"/>
      <c r="Z560" s="6"/>
    </row>
    <row r="561" ht="12.75" hidden="1" customHeight="1">
      <c r="A561" s="37">
        <v>559.0</v>
      </c>
      <c r="B561" s="37">
        <v>10559.0</v>
      </c>
      <c r="C561" s="37" t="s">
        <v>7</v>
      </c>
      <c r="D561" s="38" t="s">
        <v>1046</v>
      </c>
      <c r="E561" s="37" t="s">
        <v>1047</v>
      </c>
      <c r="F561" s="37">
        <v>81.0</v>
      </c>
      <c r="G561" s="39">
        <v>0.0</v>
      </c>
      <c r="H561" s="6"/>
      <c r="I561" s="6"/>
      <c r="J561" s="6"/>
      <c r="K561" s="6"/>
      <c r="L561" s="6"/>
      <c r="M561" s="6"/>
      <c r="N561" s="6"/>
      <c r="O561" s="6"/>
      <c r="P561" s="6"/>
      <c r="Q561" s="6"/>
      <c r="R561" s="6"/>
      <c r="S561" s="6"/>
      <c r="T561" s="6"/>
      <c r="U561" s="6"/>
      <c r="V561" s="6"/>
      <c r="W561" s="6"/>
      <c r="X561" s="6"/>
      <c r="Y561" s="6"/>
      <c r="Z561" s="6"/>
    </row>
    <row r="562" ht="12.75" hidden="1" customHeight="1">
      <c r="A562" s="34">
        <v>560.0</v>
      </c>
      <c r="B562" s="34">
        <v>10560.0</v>
      </c>
      <c r="C562" s="34" t="s">
        <v>7</v>
      </c>
      <c r="D562" s="35" t="s">
        <v>1048</v>
      </c>
      <c r="E562" s="34" t="s">
        <v>1049</v>
      </c>
      <c r="F562" s="34">
        <v>66.0</v>
      </c>
      <c r="G562" s="36">
        <v>0.0</v>
      </c>
      <c r="H562" s="6"/>
      <c r="I562" s="6"/>
      <c r="J562" s="6"/>
      <c r="K562" s="6"/>
      <c r="L562" s="6"/>
      <c r="M562" s="6"/>
      <c r="N562" s="6"/>
      <c r="O562" s="6"/>
      <c r="P562" s="6"/>
      <c r="Q562" s="6"/>
      <c r="R562" s="6"/>
      <c r="S562" s="6"/>
      <c r="T562" s="6"/>
      <c r="U562" s="6"/>
      <c r="V562" s="6"/>
      <c r="W562" s="6"/>
      <c r="X562" s="6"/>
      <c r="Y562" s="6"/>
      <c r="Z562" s="6"/>
    </row>
    <row r="563" ht="12.75" hidden="1" customHeight="1">
      <c r="A563" s="37">
        <v>561.0</v>
      </c>
      <c r="B563" s="37">
        <v>10561.0</v>
      </c>
      <c r="C563" s="37" t="s">
        <v>34</v>
      </c>
      <c r="D563" s="38" t="s">
        <v>1050</v>
      </c>
      <c r="E563" s="37" t="s">
        <v>1051</v>
      </c>
      <c r="F563" s="37">
        <v>152.0</v>
      </c>
      <c r="G563" s="39">
        <v>0.0</v>
      </c>
      <c r="H563" s="6"/>
      <c r="I563" s="6"/>
      <c r="J563" s="6"/>
      <c r="K563" s="6"/>
      <c r="L563" s="6"/>
      <c r="M563" s="6"/>
      <c r="N563" s="6"/>
      <c r="O563" s="6"/>
      <c r="P563" s="6"/>
      <c r="Q563" s="6"/>
      <c r="R563" s="6"/>
      <c r="S563" s="6"/>
      <c r="T563" s="6"/>
      <c r="U563" s="6"/>
      <c r="V563" s="6"/>
      <c r="W563" s="6"/>
      <c r="X563" s="6"/>
      <c r="Y563" s="6"/>
      <c r="Z563" s="6"/>
    </row>
    <row r="564" ht="12.75" hidden="1" customHeight="1">
      <c r="A564" s="34">
        <v>562.0</v>
      </c>
      <c r="B564" s="34">
        <v>10562.0</v>
      </c>
      <c r="C564" s="34" t="s">
        <v>7</v>
      </c>
      <c r="D564" s="35" t="s">
        <v>1052</v>
      </c>
      <c r="E564" s="34" t="s">
        <v>1053</v>
      </c>
      <c r="F564" s="34">
        <v>90.0</v>
      </c>
      <c r="G564" s="36">
        <v>0.0</v>
      </c>
      <c r="H564" s="6"/>
      <c r="I564" s="6"/>
      <c r="J564" s="6"/>
      <c r="K564" s="6"/>
      <c r="L564" s="6"/>
      <c r="M564" s="6"/>
      <c r="N564" s="6"/>
      <c r="O564" s="6"/>
      <c r="P564" s="6"/>
      <c r="Q564" s="6"/>
      <c r="R564" s="6"/>
      <c r="S564" s="6"/>
      <c r="T564" s="6"/>
      <c r="U564" s="6"/>
      <c r="V564" s="6"/>
      <c r="W564" s="6"/>
      <c r="X564" s="6"/>
      <c r="Y564" s="6"/>
      <c r="Z564" s="6"/>
    </row>
    <row r="565" ht="12.75" hidden="1" customHeight="1">
      <c r="A565" s="37">
        <v>563.0</v>
      </c>
      <c r="B565" s="37">
        <v>10563.0</v>
      </c>
      <c r="C565" s="37" t="s">
        <v>7</v>
      </c>
      <c r="D565" s="38" t="s">
        <v>1054</v>
      </c>
      <c r="E565" s="37" t="s">
        <v>1055</v>
      </c>
      <c r="F565" s="37">
        <v>74.0</v>
      </c>
      <c r="G565" s="39">
        <v>0.0</v>
      </c>
      <c r="H565" s="6"/>
      <c r="I565" s="6"/>
      <c r="J565" s="6"/>
      <c r="K565" s="6"/>
      <c r="L565" s="6"/>
      <c r="M565" s="6"/>
      <c r="N565" s="6"/>
      <c r="O565" s="6"/>
      <c r="P565" s="6"/>
      <c r="Q565" s="6"/>
      <c r="R565" s="6"/>
      <c r="S565" s="6"/>
      <c r="T565" s="6"/>
      <c r="U565" s="6"/>
      <c r="V565" s="6"/>
      <c r="W565" s="6"/>
      <c r="X565" s="6"/>
      <c r="Y565" s="6"/>
      <c r="Z565" s="6"/>
    </row>
    <row r="566" ht="12.75" hidden="1" customHeight="1">
      <c r="A566" s="34">
        <v>564.0</v>
      </c>
      <c r="B566" s="34">
        <v>10564.0</v>
      </c>
      <c r="C566" s="34" t="s">
        <v>34</v>
      </c>
      <c r="D566" s="35" t="s">
        <v>1056</v>
      </c>
      <c r="E566" s="34" t="s">
        <v>1057</v>
      </c>
      <c r="F566" s="34">
        <v>140.0</v>
      </c>
      <c r="G566" s="36">
        <v>0.0</v>
      </c>
      <c r="H566" s="6"/>
      <c r="I566" s="6"/>
      <c r="J566" s="6"/>
      <c r="K566" s="6"/>
      <c r="L566" s="6"/>
      <c r="M566" s="6"/>
      <c r="N566" s="6"/>
      <c r="O566" s="6"/>
      <c r="P566" s="6"/>
      <c r="Q566" s="6"/>
      <c r="R566" s="6"/>
      <c r="S566" s="6"/>
      <c r="T566" s="6"/>
      <c r="U566" s="6"/>
      <c r="V566" s="6"/>
      <c r="W566" s="6"/>
      <c r="X566" s="6"/>
      <c r="Y566" s="6"/>
      <c r="Z566" s="6"/>
    </row>
    <row r="567" ht="12.75" hidden="1" customHeight="1">
      <c r="A567" s="37">
        <v>565.0</v>
      </c>
      <c r="B567" s="37">
        <v>10565.0</v>
      </c>
      <c r="C567" s="37" t="s">
        <v>7</v>
      </c>
      <c r="D567" s="38" t="s">
        <v>1058</v>
      </c>
      <c r="E567" s="37" t="s">
        <v>1059</v>
      </c>
      <c r="F567" s="37">
        <v>81.0</v>
      </c>
      <c r="G567" s="39">
        <v>0.0</v>
      </c>
      <c r="H567" s="6"/>
      <c r="I567" s="6"/>
      <c r="J567" s="6"/>
      <c r="K567" s="6"/>
      <c r="L567" s="6"/>
      <c r="M567" s="6"/>
      <c r="N567" s="6"/>
      <c r="O567" s="6"/>
      <c r="P567" s="6"/>
      <c r="Q567" s="6"/>
      <c r="R567" s="6"/>
      <c r="S567" s="6"/>
      <c r="T567" s="6"/>
      <c r="U567" s="6"/>
      <c r="V567" s="6"/>
      <c r="W567" s="6"/>
      <c r="X567" s="6"/>
      <c r="Y567" s="6"/>
      <c r="Z567" s="6"/>
    </row>
    <row r="568" ht="12.75" hidden="1" customHeight="1">
      <c r="A568" s="34">
        <v>566.0</v>
      </c>
      <c r="B568" s="34">
        <v>10566.0</v>
      </c>
      <c r="C568" s="34" t="s">
        <v>7</v>
      </c>
      <c r="D568" s="35" t="s">
        <v>1060</v>
      </c>
      <c r="E568" s="34" t="s">
        <v>1061</v>
      </c>
      <c r="F568" s="34">
        <v>91.0</v>
      </c>
      <c r="G568" s="36">
        <v>0.0</v>
      </c>
      <c r="H568" s="6"/>
      <c r="I568" s="6"/>
      <c r="J568" s="6"/>
      <c r="K568" s="6"/>
      <c r="L568" s="6"/>
      <c r="M568" s="6"/>
      <c r="N568" s="6"/>
      <c r="O568" s="6"/>
      <c r="P568" s="6"/>
      <c r="Q568" s="6"/>
      <c r="R568" s="6"/>
      <c r="S568" s="6"/>
      <c r="T568" s="6"/>
      <c r="U568" s="6"/>
      <c r="V568" s="6"/>
      <c r="W568" s="6"/>
      <c r="X568" s="6"/>
      <c r="Y568" s="6"/>
      <c r="Z568" s="6"/>
    </row>
    <row r="569" ht="12.75" hidden="1" customHeight="1">
      <c r="A569" s="37">
        <v>567.0</v>
      </c>
      <c r="B569" s="37">
        <v>10567.0</v>
      </c>
      <c r="C569" s="37" t="s">
        <v>7</v>
      </c>
      <c r="D569" s="38" t="s">
        <v>1062</v>
      </c>
      <c r="E569" s="37" t="s">
        <v>1063</v>
      </c>
      <c r="F569" s="37">
        <v>99.0</v>
      </c>
      <c r="G569" s="39">
        <v>0.0</v>
      </c>
      <c r="H569" s="6"/>
      <c r="I569" s="6"/>
      <c r="J569" s="6"/>
      <c r="K569" s="6"/>
      <c r="L569" s="6"/>
      <c r="M569" s="6"/>
      <c r="N569" s="6"/>
      <c r="O569" s="6"/>
      <c r="P569" s="6"/>
      <c r="Q569" s="6"/>
      <c r="R569" s="6"/>
      <c r="S569" s="6"/>
      <c r="T569" s="6"/>
      <c r="U569" s="6"/>
      <c r="V569" s="6"/>
      <c r="W569" s="6"/>
      <c r="X569" s="6"/>
      <c r="Y569" s="6"/>
      <c r="Z569" s="6"/>
    </row>
    <row r="570" ht="12.75" hidden="1" customHeight="1">
      <c r="A570" s="34">
        <v>568.0</v>
      </c>
      <c r="B570" s="34">
        <v>10568.0</v>
      </c>
      <c r="C570" s="34" t="s">
        <v>7</v>
      </c>
      <c r="D570" s="35" t="s">
        <v>1064</v>
      </c>
      <c r="E570" s="34" t="s">
        <v>1065</v>
      </c>
      <c r="F570" s="34">
        <v>72.0</v>
      </c>
      <c r="G570" s="36">
        <v>0.0</v>
      </c>
      <c r="H570" s="6"/>
      <c r="I570" s="6"/>
      <c r="J570" s="6"/>
      <c r="K570" s="6"/>
      <c r="L570" s="6"/>
      <c r="M570" s="6"/>
      <c r="N570" s="6"/>
      <c r="O570" s="6"/>
      <c r="P570" s="6"/>
      <c r="Q570" s="6"/>
      <c r="R570" s="6"/>
      <c r="S570" s="6"/>
      <c r="T570" s="6"/>
      <c r="U570" s="6"/>
      <c r="V570" s="6"/>
      <c r="W570" s="6"/>
      <c r="X570" s="6"/>
      <c r="Y570" s="6"/>
      <c r="Z570" s="6"/>
    </row>
    <row r="571" ht="12.75" hidden="1" customHeight="1">
      <c r="A571" s="37">
        <v>569.0</v>
      </c>
      <c r="B571" s="37">
        <v>10569.0</v>
      </c>
      <c r="C571" s="37" t="s">
        <v>20</v>
      </c>
      <c r="D571" s="38" t="s">
        <v>1066</v>
      </c>
      <c r="E571" s="37" t="s">
        <v>1067</v>
      </c>
      <c r="F571" s="37">
        <v>131.0</v>
      </c>
      <c r="G571" s="39">
        <v>0.0</v>
      </c>
      <c r="H571" s="6"/>
      <c r="I571" s="6"/>
      <c r="J571" s="6"/>
      <c r="K571" s="6"/>
      <c r="L571" s="6"/>
      <c r="M571" s="6"/>
      <c r="N571" s="6"/>
      <c r="O571" s="6"/>
      <c r="P571" s="6"/>
      <c r="Q571" s="6"/>
      <c r="R571" s="6"/>
      <c r="S571" s="6"/>
      <c r="T571" s="6"/>
      <c r="U571" s="6"/>
      <c r="V571" s="6"/>
      <c r="W571" s="6"/>
      <c r="X571" s="6"/>
      <c r="Y571" s="6"/>
      <c r="Z571" s="6"/>
    </row>
    <row r="572" ht="12.75" hidden="1" customHeight="1">
      <c r="A572" s="34">
        <v>570.0</v>
      </c>
      <c r="B572" s="34">
        <v>10570.0</v>
      </c>
      <c r="C572" s="34" t="s">
        <v>7</v>
      </c>
      <c r="D572" s="35" t="s">
        <v>1068</v>
      </c>
      <c r="E572" s="34" t="s">
        <v>1069</v>
      </c>
      <c r="F572" s="34">
        <v>90.0</v>
      </c>
      <c r="G572" s="36">
        <v>0.0</v>
      </c>
      <c r="H572" s="6"/>
      <c r="I572" s="6"/>
      <c r="J572" s="6"/>
      <c r="K572" s="6"/>
      <c r="L572" s="6"/>
      <c r="M572" s="6"/>
      <c r="N572" s="6"/>
      <c r="O572" s="6"/>
      <c r="P572" s="6"/>
      <c r="Q572" s="6"/>
      <c r="R572" s="6"/>
      <c r="S572" s="6"/>
      <c r="T572" s="6"/>
      <c r="U572" s="6"/>
      <c r="V572" s="6"/>
      <c r="W572" s="6"/>
      <c r="X572" s="6"/>
      <c r="Y572" s="6"/>
      <c r="Z572" s="6"/>
    </row>
    <row r="573" ht="12.75" hidden="1" customHeight="1">
      <c r="A573" s="37">
        <v>571.0</v>
      </c>
      <c r="B573" s="37">
        <v>10571.0</v>
      </c>
      <c r="C573" s="37" t="s">
        <v>7</v>
      </c>
      <c r="D573" s="38" t="s">
        <v>1070</v>
      </c>
      <c r="E573" s="37" t="s">
        <v>1071</v>
      </c>
      <c r="F573" s="37">
        <v>98.0</v>
      </c>
      <c r="G573" s="39">
        <v>0.0</v>
      </c>
      <c r="H573" s="6"/>
      <c r="I573" s="6"/>
      <c r="J573" s="6"/>
      <c r="K573" s="6"/>
      <c r="L573" s="6"/>
      <c r="M573" s="6"/>
      <c r="N573" s="6"/>
      <c r="O573" s="6"/>
      <c r="P573" s="6"/>
      <c r="Q573" s="6"/>
      <c r="R573" s="6"/>
      <c r="S573" s="6"/>
      <c r="T573" s="6"/>
      <c r="U573" s="6"/>
      <c r="V573" s="6"/>
      <c r="W573" s="6"/>
      <c r="X573" s="6"/>
      <c r="Y573" s="6"/>
      <c r="Z573" s="6"/>
    </row>
    <row r="574" ht="12.75" hidden="1" customHeight="1">
      <c r="A574" s="34">
        <v>572.0</v>
      </c>
      <c r="B574" s="34">
        <v>10572.0</v>
      </c>
      <c r="C574" s="34" t="s">
        <v>7</v>
      </c>
      <c r="D574" s="35" t="s">
        <v>1072</v>
      </c>
      <c r="E574" s="34" t="s">
        <v>1073</v>
      </c>
      <c r="F574" s="34">
        <v>114.0</v>
      </c>
      <c r="G574" s="36">
        <v>0.0</v>
      </c>
      <c r="H574" s="6"/>
      <c r="I574" s="6"/>
      <c r="J574" s="6"/>
      <c r="K574" s="6"/>
      <c r="L574" s="6"/>
      <c r="M574" s="6"/>
      <c r="N574" s="6"/>
      <c r="O574" s="6"/>
      <c r="P574" s="6"/>
      <c r="Q574" s="6"/>
      <c r="R574" s="6"/>
      <c r="S574" s="6"/>
      <c r="T574" s="6"/>
      <c r="U574" s="6"/>
      <c r="V574" s="6"/>
      <c r="W574" s="6"/>
      <c r="X574" s="6"/>
      <c r="Y574" s="6"/>
      <c r="Z574" s="6"/>
    </row>
    <row r="575" ht="12.75" hidden="1" customHeight="1">
      <c r="A575" s="37">
        <v>573.0</v>
      </c>
      <c r="B575" s="37">
        <v>10573.0</v>
      </c>
      <c r="C575" s="37" t="s">
        <v>34</v>
      </c>
      <c r="D575" s="38" t="s">
        <v>1074</v>
      </c>
      <c r="E575" s="37" t="s">
        <v>1075</v>
      </c>
      <c r="F575" s="37">
        <v>141.0</v>
      </c>
      <c r="G575" s="39">
        <v>0.0</v>
      </c>
      <c r="H575" s="6"/>
      <c r="I575" s="6"/>
      <c r="J575" s="6"/>
      <c r="K575" s="6"/>
      <c r="L575" s="6"/>
      <c r="M575" s="6"/>
      <c r="N575" s="6"/>
      <c r="O575" s="6"/>
      <c r="P575" s="6"/>
      <c r="Q575" s="6"/>
      <c r="R575" s="6"/>
      <c r="S575" s="6"/>
      <c r="T575" s="6"/>
      <c r="U575" s="6"/>
      <c r="V575" s="6"/>
      <c r="W575" s="6"/>
      <c r="X575" s="6"/>
      <c r="Y575" s="6"/>
      <c r="Z575" s="6"/>
    </row>
    <row r="576" ht="12.75" hidden="1" customHeight="1">
      <c r="A576" s="34">
        <v>574.0</v>
      </c>
      <c r="B576" s="34">
        <v>10574.0</v>
      </c>
      <c r="C576" s="34" t="s">
        <v>7</v>
      </c>
      <c r="D576" s="35" t="s">
        <v>1076</v>
      </c>
      <c r="E576" s="34" t="s">
        <v>1077</v>
      </c>
      <c r="F576" s="34">
        <v>103.0</v>
      </c>
      <c r="G576" s="36">
        <v>0.0</v>
      </c>
      <c r="H576" s="6"/>
      <c r="I576" s="6"/>
      <c r="J576" s="6"/>
      <c r="K576" s="6"/>
      <c r="L576" s="6"/>
      <c r="M576" s="6"/>
      <c r="N576" s="6"/>
      <c r="O576" s="6"/>
      <c r="P576" s="6"/>
      <c r="Q576" s="6"/>
      <c r="R576" s="6"/>
      <c r="S576" s="6"/>
      <c r="T576" s="6"/>
      <c r="U576" s="6"/>
      <c r="V576" s="6"/>
      <c r="W576" s="6"/>
      <c r="X576" s="6"/>
      <c r="Y576" s="6"/>
      <c r="Z576" s="6"/>
    </row>
    <row r="577" ht="12.75" hidden="1" customHeight="1">
      <c r="A577" s="37">
        <v>575.0</v>
      </c>
      <c r="B577" s="37">
        <v>10575.0</v>
      </c>
      <c r="C577" s="37" t="s">
        <v>7</v>
      </c>
      <c r="D577" s="38" t="s">
        <v>1078</v>
      </c>
      <c r="E577" s="37" t="s">
        <v>1079</v>
      </c>
      <c r="F577" s="37">
        <v>69.0</v>
      </c>
      <c r="G577" s="39">
        <v>0.0</v>
      </c>
      <c r="H577" s="6"/>
      <c r="I577" s="6"/>
      <c r="J577" s="6"/>
      <c r="K577" s="6"/>
      <c r="L577" s="6"/>
      <c r="M577" s="6"/>
      <c r="N577" s="6"/>
      <c r="O577" s="6"/>
      <c r="P577" s="6"/>
      <c r="Q577" s="6"/>
      <c r="R577" s="6"/>
      <c r="S577" s="6"/>
      <c r="T577" s="6"/>
      <c r="U577" s="6"/>
      <c r="V577" s="6"/>
      <c r="W577" s="6"/>
      <c r="X577" s="6"/>
      <c r="Y577" s="6"/>
      <c r="Z577" s="6"/>
    </row>
    <row r="578" ht="12.75" hidden="1" customHeight="1">
      <c r="A578" s="34">
        <v>576.0</v>
      </c>
      <c r="B578" s="34">
        <v>10576.0</v>
      </c>
      <c r="C578" s="34" t="s">
        <v>34</v>
      </c>
      <c r="D578" s="35" t="s">
        <v>1080</v>
      </c>
      <c r="E578" s="34" t="s">
        <v>1081</v>
      </c>
      <c r="F578" s="34">
        <v>195.0</v>
      </c>
      <c r="G578" s="36">
        <v>0.0</v>
      </c>
      <c r="H578" s="6"/>
      <c r="I578" s="6"/>
      <c r="J578" s="6"/>
      <c r="K578" s="6"/>
      <c r="L578" s="6"/>
      <c r="M578" s="6"/>
      <c r="N578" s="6"/>
      <c r="O578" s="6"/>
      <c r="P578" s="6"/>
      <c r="Q578" s="6"/>
      <c r="R578" s="6"/>
      <c r="S578" s="6"/>
      <c r="T578" s="6"/>
      <c r="U578" s="6"/>
      <c r="V578" s="6"/>
      <c r="W578" s="6"/>
      <c r="X578" s="6"/>
      <c r="Y578" s="6"/>
      <c r="Z578" s="6"/>
    </row>
    <row r="579" ht="12.75" hidden="1" customHeight="1">
      <c r="A579" s="37">
        <v>577.0</v>
      </c>
      <c r="B579" s="37">
        <v>10577.0</v>
      </c>
      <c r="C579" s="37" t="s">
        <v>34</v>
      </c>
      <c r="D579" s="38" t="s">
        <v>1082</v>
      </c>
      <c r="E579" s="37" t="s">
        <v>1081</v>
      </c>
      <c r="F579" s="37">
        <v>195.0</v>
      </c>
      <c r="G579" s="39">
        <v>0.0</v>
      </c>
      <c r="H579" s="6"/>
      <c r="I579" s="6"/>
      <c r="J579" s="6"/>
      <c r="K579" s="6"/>
      <c r="L579" s="6"/>
      <c r="M579" s="6"/>
      <c r="N579" s="6"/>
      <c r="O579" s="6"/>
      <c r="P579" s="6"/>
      <c r="Q579" s="6"/>
      <c r="R579" s="6"/>
      <c r="S579" s="6"/>
      <c r="T579" s="6"/>
      <c r="U579" s="6"/>
      <c r="V579" s="6"/>
      <c r="W579" s="6"/>
      <c r="X579" s="6"/>
      <c r="Y579" s="6"/>
      <c r="Z579" s="6"/>
    </row>
    <row r="580" ht="12.75" hidden="1" customHeight="1">
      <c r="A580" s="34">
        <v>578.0</v>
      </c>
      <c r="B580" s="34">
        <v>10578.0</v>
      </c>
      <c r="C580" s="34" t="s">
        <v>34</v>
      </c>
      <c r="D580" s="35" t="s">
        <v>1083</v>
      </c>
      <c r="E580" s="34" t="s">
        <v>1084</v>
      </c>
      <c r="F580" s="34">
        <v>146.0</v>
      </c>
      <c r="G580" s="36">
        <v>0.0</v>
      </c>
      <c r="H580" s="6"/>
      <c r="I580" s="6"/>
      <c r="J580" s="6"/>
      <c r="K580" s="6"/>
      <c r="L580" s="6"/>
      <c r="M580" s="6"/>
      <c r="N580" s="6"/>
      <c r="O580" s="6"/>
      <c r="P580" s="6"/>
      <c r="Q580" s="6"/>
      <c r="R580" s="6"/>
      <c r="S580" s="6"/>
      <c r="T580" s="6"/>
      <c r="U580" s="6"/>
      <c r="V580" s="6"/>
      <c r="W580" s="6"/>
      <c r="X580" s="6"/>
      <c r="Y580" s="6"/>
      <c r="Z580" s="6"/>
    </row>
    <row r="581" ht="12.75" hidden="1" customHeight="1">
      <c r="A581" s="37">
        <v>579.0</v>
      </c>
      <c r="B581" s="37">
        <v>10579.0</v>
      </c>
      <c r="C581" s="37" t="s">
        <v>34</v>
      </c>
      <c r="D581" s="38" t="s">
        <v>1085</v>
      </c>
      <c r="E581" s="37" t="s">
        <v>1086</v>
      </c>
      <c r="F581" s="37">
        <v>158.0</v>
      </c>
      <c r="G581" s="39">
        <v>0.0</v>
      </c>
      <c r="H581" s="6"/>
      <c r="I581" s="6"/>
      <c r="J581" s="6"/>
      <c r="K581" s="6"/>
      <c r="L581" s="6"/>
      <c r="M581" s="6"/>
      <c r="N581" s="6"/>
      <c r="O581" s="6"/>
      <c r="P581" s="6"/>
      <c r="Q581" s="6"/>
      <c r="R581" s="6"/>
      <c r="S581" s="6"/>
      <c r="T581" s="6"/>
      <c r="U581" s="6"/>
      <c r="V581" s="6"/>
      <c r="W581" s="6"/>
      <c r="X581" s="6"/>
      <c r="Y581" s="6"/>
      <c r="Z581" s="6"/>
    </row>
    <row r="582" ht="12.75" hidden="1" customHeight="1">
      <c r="A582" s="34">
        <v>580.0</v>
      </c>
      <c r="B582" s="34">
        <v>10580.0</v>
      </c>
      <c r="C582" s="34" t="s">
        <v>7</v>
      </c>
      <c r="D582" s="35" t="s">
        <v>1087</v>
      </c>
      <c r="E582" s="34" t="s">
        <v>1088</v>
      </c>
      <c r="F582" s="34">
        <v>107.0</v>
      </c>
      <c r="G582" s="36">
        <v>0.0</v>
      </c>
      <c r="H582" s="6"/>
      <c r="I582" s="6"/>
      <c r="J582" s="6"/>
      <c r="K582" s="6"/>
      <c r="L582" s="6"/>
      <c r="M582" s="6"/>
      <c r="N582" s="6"/>
      <c r="O582" s="6"/>
      <c r="P582" s="6"/>
      <c r="Q582" s="6"/>
      <c r="R582" s="6"/>
      <c r="S582" s="6"/>
      <c r="T582" s="6"/>
      <c r="U582" s="6"/>
      <c r="V582" s="6"/>
      <c r="W582" s="6"/>
      <c r="X582" s="6"/>
      <c r="Y582" s="6"/>
      <c r="Z582" s="6"/>
    </row>
    <row r="583" ht="12.75" hidden="1" customHeight="1">
      <c r="A583" s="37">
        <v>581.0</v>
      </c>
      <c r="B583" s="37">
        <v>10581.0</v>
      </c>
      <c r="C583" s="37" t="s">
        <v>34</v>
      </c>
      <c r="D583" s="38" t="s">
        <v>1089</v>
      </c>
      <c r="E583" s="37" t="s">
        <v>1090</v>
      </c>
      <c r="F583" s="37">
        <v>145.0</v>
      </c>
      <c r="G583" s="39">
        <v>0.0</v>
      </c>
      <c r="H583" s="6"/>
      <c r="I583" s="6"/>
      <c r="J583" s="6"/>
      <c r="K583" s="6"/>
      <c r="L583" s="6"/>
      <c r="M583" s="6"/>
      <c r="N583" s="6"/>
      <c r="O583" s="6"/>
      <c r="P583" s="6"/>
      <c r="Q583" s="6"/>
      <c r="R583" s="6"/>
      <c r="S583" s="6"/>
      <c r="T583" s="6"/>
      <c r="U583" s="6"/>
      <c r="V583" s="6"/>
      <c r="W583" s="6"/>
      <c r="X583" s="6"/>
      <c r="Y583" s="6"/>
      <c r="Z583" s="6"/>
    </row>
    <row r="584" ht="12.75" hidden="1" customHeight="1">
      <c r="A584" s="34">
        <v>582.0</v>
      </c>
      <c r="B584" s="34">
        <v>10582.0</v>
      </c>
      <c r="C584" s="34" t="s">
        <v>20</v>
      </c>
      <c r="D584" s="35" t="s">
        <v>1091</v>
      </c>
      <c r="E584" s="34" t="s">
        <v>1092</v>
      </c>
      <c r="F584" s="34">
        <v>157.0</v>
      </c>
      <c r="G584" s="36">
        <v>0.0</v>
      </c>
      <c r="H584" s="6"/>
      <c r="I584" s="6"/>
      <c r="J584" s="6"/>
      <c r="K584" s="6"/>
      <c r="L584" s="6"/>
      <c r="M584" s="6"/>
      <c r="N584" s="6"/>
      <c r="O584" s="6"/>
      <c r="P584" s="6"/>
      <c r="Q584" s="6"/>
      <c r="R584" s="6"/>
      <c r="S584" s="6"/>
      <c r="T584" s="6"/>
      <c r="U584" s="6"/>
      <c r="V584" s="6"/>
      <c r="W584" s="6"/>
      <c r="X584" s="6"/>
      <c r="Y584" s="6"/>
      <c r="Z584" s="6"/>
    </row>
    <row r="585" ht="12.75" hidden="1" customHeight="1">
      <c r="A585" s="37">
        <v>583.0</v>
      </c>
      <c r="B585" s="37">
        <v>10583.0</v>
      </c>
      <c r="C585" s="37" t="s">
        <v>34</v>
      </c>
      <c r="D585" s="38" t="s">
        <v>1093</v>
      </c>
      <c r="E585" s="37" t="s">
        <v>1094</v>
      </c>
      <c r="F585" s="37">
        <v>176.0</v>
      </c>
      <c r="G585" s="39">
        <v>0.0</v>
      </c>
      <c r="H585" s="6"/>
      <c r="I585" s="6"/>
      <c r="J585" s="6"/>
      <c r="K585" s="6"/>
      <c r="L585" s="6"/>
      <c r="M585" s="6"/>
      <c r="N585" s="6"/>
      <c r="O585" s="6"/>
      <c r="P585" s="6"/>
      <c r="Q585" s="6"/>
      <c r="R585" s="6"/>
      <c r="S585" s="6"/>
      <c r="T585" s="6"/>
      <c r="U585" s="6"/>
      <c r="V585" s="6"/>
      <c r="W585" s="6"/>
      <c r="X585" s="6"/>
      <c r="Y585" s="6"/>
      <c r="Z585" s="6"/>
    </row>
    <row r="586" ht="12.75" hidden="1" customHeight="1">
      <c r="A586" s="34">
        <v>584.0</v>
      </c>
      <c r="B586" s="34">
        <v>10584.0</v>
      </c>
      <c r="C586" s="34" t="s">
        <v>7</v>
      </c>
      <c r="D586" s="35" t="s">
        <v>1095</v>
      </c>
      <c r="E586" s="34" t="s">
        <v>1096</v>
      </c>
      <c r="F586" s="34">
        <v>68.0</v>
      </c>
      <c r="G586" s="36">
        <v>0.0</v>
      </c>
      <c r="H586" s="6"/>
      <c r="I586" s="6"/>
      <c r="J586" s="6"/>
      <c r="K586" s="6"/>
      <c r="L586" s="6"/>
      <c r="M586" s="6"/>
      <c r="N586" s="6"/>
      <c r="O586" s="6"/>
      <c r="P586" s="6"/>
      <c r="Q586" s="6"/>
      <c r="R586" s="6"/>
      <c r="S586" s="6"/>
      <c r="T586" s="6"/>
      <c r="U586" s="6"/>
      <c r="V586" s="6"/>
      <c r="W586" s="6"/>
      <c r="X586" s="6"/>
      <c r="Y586" s="6"/>
      <c r="Z586" s="6"/>
    </row>
    <row r="587" ht="12.75" hidden="1" customHeight="1">
      <c r="A587" s="37">
        <v>585.0</v>
      </c>
      <c r="B587" s="37">
        <v>10585.0</v>
      </c>
      <c r="C587" s="37" t="s">
        <v>20</v>
      </c>
      <c r="D587" s="38" t="s">
        <v>1097</v>
      </c>
      <c r="E587" s="37" t="s">
        <v>1098</v>
      </c>
      <c r="F587" s="37">
        <v>93.0</v>
      </c>
      <c r="G587" s="39">
        <v>0.0</v>
      </c>
      <c r="H587" s="6"/>
      <c r="I587" s="6"/>
      <c r="J587" s="6"/>
      <c r="K587" s="6"/>
      <c r="L587" s="6"/>
      <c r="M587" s="6"/>
      <c r="N587" s="6"/>
      <c r="O587" s="6"/>
      <c r="P587" s="6"/>
      <c r="Q587" s="6"/>
      <c r="R587" s="6"/>
      <c r="S587" s="6"/>
      <c r="T587" s="6"/>
      <c r="U587" s="6"/>
      <c r="V587" s="6"/>
      <c r="W587" s="6"/>
      <c r="X587" s="6"/>
      <c r="Y587" s="6"/>
      <c r="Z587" s="6"/>
    </row>
    <row r="588" ht="12.75" hidden="1" customHeight="1">
      <c r="A588" s="34">
        <v>586.0</v>
      </c>
      <c r="B588" s="34">
        <v>10586.0</v>
      </c>
      <c r="C588" s="34" t="s">
        <v>7</v>
      </c>
      <c r="D588" s="35" t="s">
        <v>1099</v>
      </c>
      <c r="E588" s="34" t="s">
        <v>1100</v>
      </c>
      <c r="F588" s="34">
        <v>81.0</v>
      </c>
      <c r="G588" s="36">
        <v>0.0</v>
      </c>
      <c r="H588" s="6"/>
      <c r="I588" s="6"/>
      <c r="J588" s="6"/>
      <c r="K588" s="6"/>
      <c r="L588" s="6"/>
      <c r="M588" s="6"/>
      <c r="N588" s="6"/>
      <c r="O588" s="6"/>
      <c r="P588" s="6"/>
      <c r="Q588" s="6"/>
      <c r="R588" s="6"/>
      <c r="S588" s="6"/>
      <c r="T588" s="6"/>
      <c r="U588" s="6"/>
      <c r="V588" s="6"/>
      <c r="W588" s="6"/>
      <c r="X588" s="6"/>
      <c r="Y588" s="6"/>
      <c r="Z588" s="6"/>
    </row>
    <row r="589" ht="12.75" hidden="1" customHeight="1">
      <c r="A589" s="37">
        <v>587.0</v>
      </c>
      <c r="B589" s="37">
        <v>10587.0</v>
      </c>
      <c r="C589" s="37" t="s">
        <v>7</v>
      </c>
      <c r="D589" s="38" t="s">
        <v>1101</v>
      </c>
      <c r="E589" s="37" t="s">
        <v>1102</v>
      </c>
      <c r="F589" s="37">
        <v>71.0</v>
      </c>
      <c r="G589" s="39">
        <v>0.0</v>
      </c>
      <c r="H589" s="6"/>
      <c r="I589" s="6"/>
      <c r="J589" s="6"/>
      <c r="K589" s="6"/>
      <c r="L589" s="6"/>
      <c r="M589" s="6"/>
      <c r="N589" s="6"/>
      <c r="O589" s="6"/>
      <c r="P589" s="6"/>
      <c r="Q589" s="6"/>
      <c r="R589" s="6"/>
      <c r="S589" s="6"/>
      <c r="T589" s="6"/>
      <c r="U589" s="6"/>
      <c r="V589" s="6"/>
      <c r="W589" s="6"/>
      <c r="X589" s="6"/>
      <c r="Y589" s="6"/>
      <c r="Z589" s="6"/>
    </row>
    <row r="590" ht="12.75" hidden="1" customHeight="1">
      <c r="A590" s="34">
        <v>588.0</v>
      </c>
      <c r="B590" s="34">
        <v>10588.0</v>
      </c>
      <c r="C590" s="34" t="s">
        <v>7</v>
      </c>
      <c r="D590" s="35" t="s">
        <v>1103</v>
      </c>
      <c r="E590" s="34" t="s">
        <v>1104</v>
      </c>
      <c r="F590" s="34">
        <v>84.0</v>
      </c>
      <c r="G590" s="36">
        <v>0.0</v>
      </c>
      <c r="H590" s="6"/>
      <c r="I590" s="6"/>
      <c r="J590" s="6"/>
      <c r="K590" s="6"/>
      <c r="L590" s="6"/>
      <c r="M590" s="6"/>
      <c r="N590" s="6"/>
      <c r="O590" s="6"/>
      <c r="P590" s="6"/>
      <c r="Q590" s="6"/>
      <c r="R590" s="6"/>
      <c r="S590" s="6"/>
      <c r="T590" s="6"/>
      <c r="U590" s="6"/>
      <c r="V590" s="6"/>
      <c r="W590" s="6"/>
      <c r="X590" s="6"/>
      <c r="Y590" s="6"/>
      <c r="Z590" s="6"/>
    </row>
    <row r="591" ht="12.75" hidden="1" customHeight="1">
      <c r="A591" s="10">
        <v>589.0</v>
      </c>
      <c r="B591" s="10">
        <v>10589.0</v>
      </c>
      <c r="C591" s="10" t="s">
        <v>7</v>
      </c>
      <c r="D591" s="11" t="s">
        <v>1105</v>
      </c>
      <c r="E591" s="10" t="s">
        <v>1106</v>
      </c>
      <c r="F591" s="10">
        <v>57.0</v>
      </c>
      <c r="G591" s="12">
        <v>0.0</v>
      </c>
      <c r="H591" s="6"/>
      <c r="I591" s="6"/>
      <c r="J591" s="6"/>
      <c r="K591" s="6"/>
      <c r="L591" s="6"/>
      <c r="M591" s="6"/>
      <c r="N591" s="6"/>
      <c r="O591" s="6"/>
      <c r="P591" s="6"/>
      <c r="Q591" s="6"/>
      <c r="R591" s="6"/>
      <c r="S591" s="6"/>
      <c r="T591" s="6"/>
      <c r="U591" s="6"/>
      <c r="V591" s="6"/>
      <c r="W591" s="6"/>
      <c r="X591" s="6"/>
      <c r="Y591" s="6"/>
      <c r="Z591" s="6"/>
    </row>
    <row r="592" ht="12.75" hidden="1" customHeight="1">
      <c r="A592" s="7">
        <v>590.0</v>
      </c>
      <c r="B592" s="7">
        <v>10590.0</v>
      </c>
      <c r="C592" s="7" t="s">
        <v>7</v>
      </c>
      <c r="D592" s="8" t="s">
        <v>1107</v>
      </c>
      <c r="E592" s="7" t="s">
        <v>1108</v>
      </c>
      <c r="F592" s="7">
        <v>70.0</v>
      </c>
      <c r="G592" s="9">
        <v>0.0</v>
      </c>
      <c r="H592" s="6"/>
      <c r="I592" s="6"/>
      <c r="J592" s="6"/>
      <c r="K592" s="6"/>
      <c r="L592" s="6"/>
      <c r="M592" s="6"/>
      <c r="N592" s="6"/>
      <c r="O592" s="6"/>
      <c r="P592" s="6"/>
      <c r="Q592" s="6"/>
      <c r="R592" s="6"/>
      <c r="S592" s="6"/>
      <c r="T592" s="6"/>
      <c r="U592" s="6"/>
      <c r="V592" s="6"/>
      <c r="W592" s="6"/>
      <c r="X592" s="6"/>
      <c r="Y592" s="6"/>
      <c r="Z592" s="6"/>
    </row>
    <row r="593" ht="12.75" hidden="1" customHeight="1">
      <c r="A593" s="37">
        <v>591.0</v>
      </c>
      <c r="B593" s="37">
        <v>10591.0</v>
      </c>
      <c r="C593" s="37" t="s">
        <v>34</v>
      </c>
      <c r="D593" s="38" t="s">
        <v>1109</v>
      </c>
      <c r="E593" s="37" t="s">
        <v>1110</v>
      </c>
      <c r="F593" s="37">
        <v>125.0</v>
      </c>
      <c r="G593" s="39">
        <v>0.0</v>
      </c>
      <c r="H593" s="6"/>
      <c r="I593" s="6"/>
      <c r="J593" s="6"/>
      <c r="K593" s="6"/>
      <c r="L593" s="6"/>
      <c r="M593" s="6"/>
      <c r="N593" s="6"/>
      <c r="O593" s="6"/>
      <c r="P593" s="6"/>
      <c r="Q593" s="6"/>
      <c r="R593" s="6"/>
      <c r="S593" s="6"/>
      <c r="T593" s="6"/>
      <c r="U593" s="6"/>
      <c r="V593" s="6"/>
      <c r="W593" s="6"/>
      <c r="X593" s="6"/>
      <c r="Y593" s="6"/>
      <c r="Z593" s="6"/>
    </row>
    <row r="594" ht="12.75" hidden="1" customHeight="1">
      <c r="A594" s="34">
        <v>592.0</v>
      </c>
      <c r="B594" s="34">
        <v>10592.0</v>
      </c>
      <c r="C594" s="34" t="s">
        <v>34</v>
      </c>
      <c r="D594" s="35" t="s">
        <v>1111</v>
      </c>
      <c r="E594" s="34" t="s">
        <v>1112</v>
      </c>
      <c r="F594" s="34">
        <v>142.0</v>
      </c>
      <c r="G594" s="36">
        <v>0.0</v>
      </c>
      <c r="H594" s="6"/>
      <c r="I594" s="6"/>
      <c r="J594" s="6"/>
      <c r="K594" s="6"/>
      <c r="L594" s="6"/>
      <c r="M594" s="6"/>
      <c r="N594" s="6"/>
      <c r="O594" s="6"/>
      <c r="P594" s="6"/>
      <c r="Q594" s="6"/>
      <c r="R594" s="6"/>
      <c r="S594" s="6"/>
      <c r="T594" s="6"/>
      <c r="U594" s="6"/>
      <c r="V594" s="6"/>
      <c r="W594" s="6"/>
      <c r="X594" s="6"/>
      <c r="Y594" s="6"/>
      <c r="Z594" s="6"/>
    </row>
    <row r="595" ht="12.75" hidden="1" customHeight="1">
      <c r="A595" s="37">
        <v>593.0</v>
      </c>
      <c r="B595" s="37">
        <v>10593.0</v>
      </c>
      <c r="C595" s="37" t="s">
        <v>20</v>
      </c>
      <c r="D595" s="38" t="s">
        <v>1113</v>
      </c>
      <c r="E595" s="37" t="s">
        <v>1114</v>
      </c>
      <c r="F595" s="37">
        <v>100.0</v>
      </c>
      <c r="G595" s="39">
        <v>0.0</v>
      </c>
      <c r="H595" s="6"/>
      <c r="I595" s="6"/>
      <c r="J595" s="6"/>
      <c r="K595" s="6"/>
      <c r="L595" s="6"/>
      <c r="M595" s="6"/>
      <c r="N595" s="6"/>
      <c r="O595" s="6"/>
      <c r="P595" s="6"/>
      <c r="Q595" s="6"/>
      <c r="R595" s="6"/>
      <c r="S595" s="6"/>
      <c r="T595" s="6"/>
      <c r="U595" s="6"/>
      <c r="V595" s="6"/>
      <c r="W595" s="6"/>
      <c r="X595" s="6"/>
      <c r="Y595" s="6"/>
      <c r="Z595" s="6"/>
    </row>
    <row r="596" ht="12.75" hidden="1" customHeight="1">
      <c r="A596" s="34">
        <v>594.0</v>
      </c>
      <c r="B596" s="34">
        <v>10594.0</v>
      </c>
      <c r="C596" s="34" t="s">
        <v>20</v>
      </c>
      <c r="D596" s="35" t="s">
        <v>1115</v>
      </c>
      <c r="E596" s="34" t="s">
        <v>1116</v>
      </c>
      <c r="F596" s="34">
        <v>108.0</v>
      </c>
      <c r="G596" s="36">
        <v>0.0</v>
      </c>
      <c r="H596" s="6"/>
      <c r="I596" s="6"/>
      <c r="J596" s="6"/>
      <c r="K596" s="6"/>
      <c r="L596" s="6"/>
      <c r="M596" s="6"/>
      <c r="N596" s="6"/>
      <c r="O596" s="6"/>
      <c r="P596" s="6"/>
      <c r="Q596" s="6"/>
      <c r="R596" s="6"/>
      <c r="S596" s="6"/>
      <c r="T596" s="6"/>
      <c r="U596" s="6"/>
      <c r="V596" s="6"/>
      <c r="W596" s="6"/>
      <c r="X596" s="6"/>
      <c r="Y596" s="6"/>
      <c r="Z596" s="6"/>
    </row>
    <row r="597" ht="12.75" hidden="1" customHeight="1">
      <c r="A597" s="37">
        <v>595.0</v>
      </c>
      <c r="B597" s="37">
        <v>10595.0</v>
      </c>
      <c r="C597" s="37" t="s">
        <v>34</v>
      </c>
      <c r="D597" s="38" t="s">
        <v>1117</v>
      </c>
      <c r="E597" s="37" t="s">
        <v>1118</v>
      </c>
      <c r="F597" s="37">
        <v>129.0</v>
      </c>
      <c r="G597" s="39">
        <v>0.0</v>
      </c>
      <c r="H597" s="6"/>
      <c r="I597" s="6"/>
      <c r="J597" s="6"/>
      <c r="K597" s="6"/>
      <c r="L597" s="6"/>
      <c r="M597" s="6"/>
      <c r="N597" s="6"/>
      <c r="O597" s="6"/>
      <c r="P597" s="6"/>
      <c r="Q597" s="6"/>
      <c r="R597" s="6"/>
      <c r="S597" s="6"/>
      <c r="T597" s="6"/>
      <c r="U597" s="6"/>
      <c r="V597" s="6"/>
      <c r="W597" s="6"/>
      <c r="X597" s="6"/>
      <c r="Y597" s="6"/>
      <c r="Z597" s="6"/>
    </row>
    <row r="598" ht="12.75" hidden="1" customHeight="1">
      <c r="A598" s="34">
        <v>596.0</v>
      </c>
      <c r="B598" s="34">
        <v>10596.0</v>
      </c>
      <c r="C598" s="34" t="s">
        <v>7</v>
      </c>
      <c r="D598" s="35" t="s">
        <v>1119</v>
      </c>
      <c r="E598" s="34" t="s">
        <v>1120</v>
      </c>
      <c r="F598" s="34">
        <v>97.0</v>
      </c>
      <c r="G598" s="36">
        <v>0.0</v>
      </c>
      <c r="H598" s="6"/>
      <c r="I598" s="6"/>
      <c r="J598" s="6"/>
      <c r="K598" s="6"/>
      <c r="L598" s="6"/>
      <c r="M598" s="6"/>
      <c r="N598" s="6"/>
      <c r="O598" s="6"/>
      <c r="P598" s="6"/>
      <c r="Q598" s="6"/>
      <c r="R598" s="6"/>
      <c r="S598" s="6"/>
      <c r="T598" s="6"/>
      <c r="U598" s="6"/>
      <c r="V598" s="6"/>
      <c r="W598" s="6"/>
      <c r="X598" s="6"/>
      <c r="Y598" s="6"/>
      <c r="Z598" s="6"/>
    </row>
    <row r="599" ht="12.75" hidden="1" customHeight="1">
      <c r="A599" s="37">
        <v>597.0</v>
      </c>
      <c r="B599" s="37">
        <v>10597.0</v>
      </c>
      <c r="C599" s="37" t="s">
        <v>34</v>
      </c>
      <c r="D599" s="38" t="s">
        <v>1121</v>
      </c>
      <c r="E599" s="37" t="s">
        <v>1122</v>
      </c>
      <c r="F599" s="37">
        <v>147.0</v>
      </c>
      <c r="G599" s="39">
        <v>0.0</v>
      </c>
      <c r="H599" s="6"/>
      <c r="I599" s="6"/>
      <c r="J599" s="6"/>
      <c r="K599" s="6"/>
      <c r="L599" s="6"/>
      <c r="M599" s="6"/>
      <c r="N599" s="6"/>
      <c r="O599" s="6"/>
      <c r="P599" s="6"/>
      <c r="Q599" s="6"/>
      <c r="R599" s="6"/>
      <c r="S599" s="6"/>
      <c r="T599" s="6"/>
      <c r="U599" s="6"/>
      <c r="V599" s="6"/>
      <c r="W599" s="6"/>
      <c r="X599" s="6"/>
      <c r="Y599" s="6"/>
      <c r="Z599" s="6"/>
    </row>
    <row r="600" ht="12.75" hidden="1" customHeight="1">
      <c r="A600" s="34">
        <v>598.0</v>
      </c>
      <c r="B600" s="34">
        <v>10598.0</v>
      </c>
      <c r="C600" s="34" t="s">
        <v>34</v>
      </c>
      <c r="D600" s="35" t="s">
        <v>1123</v>
      </c>
      <c r="E600" s="34" t="s">
        <v>1122</v>
      </c>
      <c r="F600" s="34">
        <v>147.0</v>
      </c>
      <c r="G600" s="36">
        <v>0.0</v>
      </c>
      <c r="H600" s="6"/>
      <c r="I600" s="6"/>
      <c r="J600" s="6"/>
      <c r="K600" s="6"/>
      <c r="L600" s="6"/>
      <c r="M600" s="6"/>
      <c r="N600" s="6"/>
      <c r="O600" s="6"/>
      <c r="P600" s="6"/>
      <c r="Q600" s="6"/>
      <c r="R600" s="6"/>
      <c r="S600" s="6"/>
      <c r="T600" s="6"/>
      <c r="U600" s="6"/>
      <c r="V600" s="6"/>
      <c r="W600" s="6"/>
      <c r="X600" s="6"/>
      <c r="Y600" s="6"/>
      <c r="Z600" s="6"/>
    </row>
    <row r="601" ht="12.75" hidden="1" customHeight="1">
      <c r="A601" s="37">
        <v>599.0</v>
      </c>
      <c r="B601" s="37">
        <v>10599.0</v>
      </c>
      <c r="C601" s="37" t="s">
        <v>7</v>
      </c>
      <c r="D601" s="38" t="s">
        <v>1124</v>
      </c>
      <c r="E601" s="37" t="s">
        <v>1125</v>
      </c>
      <c r="F601" s="37">
        <v>77.0</v>
      </c>
      <c r="G601" s="39">
        <v>45763.0</v>
      </c>
      <c r="H601" s="6"/>
      <c r="I601" s="6"/>
      <c r="J601" s="6"/>
      <c r="K601" s="6"/>
      <c r="L601" s="6"/>
      <c r="M601" s="6"/>
      <c r="N601" s="6"/>
      <c r="O601" s="6"/>
      <c r="P601" s="6"/>
      <c r="Q601" s="6"/>
      <c r="R601" s="6"/>
      <c r="S601" s="6"/>
      <c r="T601" s="6"/>
      <c r="U601" s="6"/>
      <c r="V601" s="6"/>
      <c r="W601" s="6"/>
      <c r="X601" s="6"/>
      <c r="Y601" s="6"/>
      <c r="Z601" s="6"/>
    </row>
    <row r="602" ht="12.75" hidden="1" customHeight="1">
      <c r="A602" s="34">
        <v>600.0</v>
      </c>
      <c r="B602" s="34">
        <v>10600.0</v>
      </c>
      <c r="C602" s="34" t="s">
        <v>7</v>
      </c>
      <c r="D602" s="35" t="s">
        <v>1126</v>
      </c>
      <c r="E602" s="34" t="s">
        <v>1127</v>
      </c>
      <c r="F602" s="34">
        <v>107.0</v>
      </c>
      <c r="G602" s="36">
        <v>45763.0</v>
      </c>
      <c r="H602" s="6"/>
      <c r="I602" s="6"/>
      <c r="J602" s="6"/>
      <c r="K602" s="6"/>
      <c r="L602" s="6"/>
      <c r="M602" s="6"/>
      <c r="N602" s="6"/>
      <c r="O602" s="6"/>
      <c r="P602" s="6"/>
      <c r="Q602" s="6"/>
      <c r="R602" s="6"/>
      <c r="S602" s="6"/>
      <c r="T602" s="6"/>
      <c r="U602" s="6"/>
      <c r="V602" s="6"/>
      <c r="W602" s="6"/>
      <c r="X602" s="6"/>
      <c r="Y602" s="6"/>
      <c r="Z602" s="6"/>
    </row>
    <row r="603" ht="12.75" hidden="1" customHeight="1">
      <c r="A603" s="10">
        <v>601.0</v>
      </c>
      <c r="B603" s="10">
        <v>10601.0</v>
      </c>
      <c r="C603" s="10" t="s">
        <v>7</v>
      </c>
      <c r="D603" s="11" t="s">
        <v>1128</v>
      </c>
      <c r="E603" s="10" t="s">
        <v>1129</v>
      </c>
      <c r="F603" s="10">
        <v>79.0</v>
      </c>
      <c r="G603" s="12">
        <v>45763.0</v>
      </c>
      <c r="H603" s="6"/>
      <c r="I603" s="6"/>
      <c r="J603" s="6"/>
      <c r="K603" s="6"/>
      <c r="L603" s="6"/>
      <c r="M603" s="6"/>
      <c r="N603" s="6"/>
      <c r="O603" s="6"/>
      <c r="P603" s="6"/>
      <c r="Q603" s="6"/>
      <c r="R603" s="6"/>
      <c r="S603" s="6"/>
      <c r="T603" s="6"/>
      <c r="U603" s="6"/>
      <c r="V603" s="6"/>
      <c r="W603" s="6"/>
      <c r="X603" s="6"/>
      <c r="Y603" s="6"/>
      <c r="Z603" s="6"/>
    </row>
    <row r="604" ht="12.75" hidden="1" customHeight="1">
      <c r="A604" s="34">
        <v>602.0</v>
      </c>
      <c r="B604" s="34">
        <v>10602.0</v>
      </c>
      <c r="C604" s="34" t="s">
        <v>34</v>
      </c>
      <c r="D604" s="35" t="s">
        <v>1130</v>
      </c>
      <c r="E604" s="34" t="s">
        <v>1131</v>
      </c>
      <c r="F604" s="34">
        <v>106.0</v>
      </c>
      <c r="G604" s="36">
        <v>45763.0</v>
      </c>
      <c r="H604" s="6"/>
      <c r="I604" s="6"/>
      <c r="J604" s="6"/>
      <c r="K604" s="6"/>
      <c r="L604" s="6"/>
      <c r="M604" s="6"/>
      <c r="N604" s="6"/>
      <c r="O604" s="6"/>
      <c r="P604" s="6"/>
      <c r="Q604" s="6"/>
      <c r="R604" s="6"/>
      <c r="S604" s="6"/>
      <c r="T604" s="6"/>
      <c r="U604" s="6"/>
      <c r="V604" s="6"/>
      <c r="W604" s="6"/>
      <c r="X604" s="6"/>
      <c r="Y604" s="6"/>
      <c r="Z604" s="6"/>
    </row>
    <row r="605" ht="12.75" hidden="1" customHeight="1">
      <c r="A605" s="37">
        <v>603.0</v>
      </c>
      <c r="B605" s="37">
        <v>10603.0</v>
      </c>
      <c r="C605" s="37" t="s">
        <v>7</v>
      </c>
      <c r="D605" s="38" t="s">
        <v>1132</v>
      </c>
      <c r="E605" s="37" t="s">
        <v>1133</v>
      </c>
      <c r="F605" s="37">
        <v>124.0</v>
      </c>
      <c r="G605" s="39">
        <v>0.0</v>
      </c>
      <c r="H605" s="6"/>
      <c r="I605" s="6"/>
      <c r="J605" s="6"/>
      <c r="K605" s="6"/>
      <c r="L605" s="6"/>
      <c r="M605" s="6"/>
      <c r="N605" s="6"/>
      <c r="O605" s="6"/>
      <c r="P605" s="6"/>
      <c r="Q605" s="6"/>
      <c r="R605" s="6"/>
      <c r="S605" s="6"/>
      <c r="T605" s="6"/>
      <c r="U605" s="6"/>
      <c r="V605" s="6"/>
      <c r="W605" s="6"/>
      <c r="X605" s="6"/>
      <c r="Y605" s="6"/>
      <c r="Z605" s="6"/>
    </row>
    <row r="606" ht="12.75" hidden="1" customHeight="1">
      <c r="A606" s="34">
        <v>604.0</v>
      </c>
      <c r="B606" s="34">
        <v>10604.0</v>
      </c>
      <c r="C606" s="34" t="s">
        <v>7</v>
      </c>
      <c r="D606" s="35" t="s">
        <v>1134</v>
      </c>
      <c r="E606" s="34" t="s">
        <v>1135</v>
      </c>
      <c r="F606" s="34">
        <v>65.0</v>
      </c>
      <c r="G606" s="36">
        <v>45763.0</v>
      </c>
      <c r="H606" s="6"/>
      <c r="I606" s="6"/>
      <c r="J606" s="6"/>
      <c r="K606" s="6"/>
      <c r="L606" s="6"/>
      <c r="M606" s="6"/>
      <c r="N606" s="6"/>
      <c r="O606" s="6"/>
      <c r="P606" s="6"/>
      <c r="Q606" s="6"/>
      <c r="R606" s="6"/>
      <c r="S606" s="6"/>
      <c r="T606" s="6"/>
      <c r="U606" s="6"/>
      <c r="V606" s="6"/>
      <c r="W606" s="6"/>
      <c r="X606" s="6"/>
      <c r="Y606" s="6"/>
      <c r="Z606" s="6"/>
    </row>
    <row r="607" ht="12.75" hidden="1" customHeight="1">
      <c r="A607" s="37">
        <v>605.0</v>
      </c>
      <c r="B607" s="37">
        <v>10605.0</v>
      </c>
      <c r="C607" s="37" t="s">
        <v>7</v>
      </c>
      <c r="D607" s="38" t="s">
        <v>1136</v>
      </c>
      <c r="E607" s="37" t="s">
        <v>1137</v>
      </c>
      <c r="F607" s="37">
        <v>131.0</v>
      </c>
      <c r="G607" s="39">
        <v>0.0</v>
      </c>
      <c r="H607" s="6"/>
      <c r="I607" s="6"/>
      <c r="J607" s="6"/>
      <c r="K607" s="6"/>
      <c r="L607" s="6"/>
      <c r="M607" s="6"/>
      <c r="N607" s="6"/>
      <c r="O607" s="6"/>
      <c r="P607" s="6"/>
      <c r="Q607" s="6"/>
      <c r="R607" s="6"/>
      <c r="S607" s="6"/>
      <c r="T607" s="6"/>
      <c r="U607" s="6"/>
      <c r="V607" s="6"/>
      <c r="W607" s="6"/>
      <c r="X607" s="6"/>
      <c r="Y607" s="6"/>
      <c r="Z607" s="6"/>
    </row>
    <row r="608" ht="12.75" hidden="1" customHeight="1">
      <c r="A608" s="34">
        <v>606.0</v>
      </c>
      <c r="B608" s="34">
        <v>10606.0</v>
      </c>
      <c r="C608" s="34" t="s">
        <v>7</v>
      </c>
      <c r="D608" s="35" t="s">
        <v>1138</v>
      </c>
      <c r="E608" s="34" t="s">
        <v>1139</v>
      </c>
      <c r="F608" s="34">
        <v>54.0</v>
      </c>
      <c r="G608" s="36">
        <v>45763.0</v>
      </c>
      <c r="H608" s="6"/>
      <c r="I608" s="6"/>
      <c r="J608" s="6"/>
      <c r="K608" s="6"/>
      <c r="L608" s="6"/>
      <c r="M608" s="6"/>
      <c r="N608" s="6"/>
      <c r="O608" s="6"/>
      <c r="P608" s="6"/>
      <c r="Q608" s="6"/>
      <c r="R608" s="6"/>
      <c r="S608" s="6"/>
      <c r="T608" s="6"/>
      <c r="U608" s="6"/>
      <c r="V608" s="6"/>
      <c r="W608" s="6"/>
      <c r="X608" s="6"/>
      <c r="Y608" s="6"/>
      <c r="Z608" s="6"/>
    </row>
    <row r="609" ht="12.75" hidden="1" customHeight="1">
      <c r="A609" s="37">
        <v>607.0</v>
      </c>
      <c r="B609" s="37">
        <v>10607.0</v>
      </c>
      <c r="C609" s="37" t="s">
        <v>34</v>
      </c>
      <c r="D609" s="38" t="s">
        <v>1140</v>
      </c>
      <c r="E609" s="37" t="s">
        <v>1141</v>
      </c>
      <c r="F609" s="37">
        <v>109.0</v>
      </c>
      <c r="G609" s="39">
        <v>45763.0</v>
      </c>
      <c r="H609" s="6"/>
      <c r="I609" s="6"/>
      <c r="J609" s="6"/>
      <c r="K609" s="6"/>
      <c r="L609" s="6"/>
      <c r="M609" s="6"/>
      <c r="N609" s="6"/>
      <c r="O609" s="6"/>
      <c r="P609" s="6"/>
      <c r="Q609" s="6"/>
      <c r="R609" s="6"/>
      <c r="S609" s="6"/>
      <c r="T609" s="6"/>
      <c r="U609" s="6"/>
      <c r="V609" s="6"/>
      <c r="W609" s="6"/>
      <c r="X609" s="6"/>
      <c r="Y609" s="6"/>
      <c r="Z609" s="6"/>
    </row>
    <row r="610" ht="12.75" hidden="1" customHeight="1">
      <c r="A610" s="34">
        <v>608.0</v>
      </c>
      <c r="B610" s="34">
        <v>10608.0</v>
      </c>
      <c r="C610" s="34" t="s">
        <v>27</v>
      </c>
      <c r="D610" s="35" t="s">
        <v>1142</v>
      </c>
      <c r="E610" s="34" t="s">
        <v>1143</v>
      </c>
      <c r="F610" s="34">
        <v>134.0</v>
      </c>
      <c r="G610" s="36">
        <v>45763.0</v>
      </c>
      <c r="H610" s="6"/>
      <c r="I610" s="6"/>
      <c r="J610" s="6"/>
      <c r="K610" s="6"/>
      <c r="L610" s="6"/>
      <c r="M610" s="6"/>
      <c r="N610" s="6"/>
      <c r="O610" s="6"/>
      <c r="P610" s="6"/>
      <c r="Q610" s="6"/>
      <c r="R610" s="6"/>
      <c r="S610" s="6"/>
      <c r="T610" s="6"/>
      <c r="U610" s="6"/>
      <c r="V610" s="6"/>
      <c r="W610" s="6"/>
      <c r="X610" s="6"/>
      <c r="Y610" s="6"/>
      <c r="Z610" s="6"/>
    </row>
    <row r="611" ht="12.75" hidden="1" customHeight="1">
      <c r="A611" s="37">
        <v>609.0</v>
      </c>
      <c r="B611" s="37">
        <v>10609.0</v>
      </c>
      <c r="C611" s="37" t="s">
        <v>20</v>
      </c>
      <c r="D611" s="38" t="s">
        <v>1144</v>
      </c>
      <c r="E611" s="37" t="s">
        <v>1145</v>
      </c>
      <c r="F611" s="37">
        <v>131.0</v>
      </c>
      <c r="G611" s="39">
        <v>45763.0</v>
      </c>
      <c r="H611" s="6"/>
      <c r="I611" s="6"/>
      <c r="J611" s="6"/>
      <c r="K611" s="6"/>
      <c r="L611" s="6"/>
      <c r="M611" s="6"/>
      <c r="N611" s="6"/>
      <c r="O611" s="6"/>
      <c r="P611" s="6"/>
      <c r="Q611" s="6"/>
      <c r="R611" s="6"/>
      <c r="S611" s="6"/>
      <c r="T611" s="6"/>
      <c r="U611" s="6"/>
      <c r="V611" s="6"/>
      <c r="W611" s="6"/>
      <c r="X611" s="6"/>
      <c r="Y611" s="6"/>
      <c r="Z611" s="6"/>
    </row>
    <row r="612" ht="12.75" hidden="1" customHeight="1">
      <c r="A612" s="34">
        <v>610.0</v>
      </c>
      <c r="B612" s="34">
        <v>10610.0</v>
      </c>
      <c r="C612" s="34" t="s">
        <v>34</v>
      </c>
      <c r="D612" s="35" t="s">
        <v>1140</v>
      </c>
      <c r="E612" s="34" t="s">
        <v>1146</v>
      </c>
      <c r="F612" s="34">
        <v>187.0</v>
      </c>
      <c r="G612" s="36">
        <v>0.0</v>
      </c>
      <c r="H612" s="6"/>
      <c r="I612" s="6"/>
      <c r="J612" s="6"/>
      <c r="K612" s="6"/>
      <c r="L612" s="6"/>
      <c r="M612" s="6"/>
      <c r="N612" s="6"/>
      <c r="O612" s="6"/>
      <c r="P612" s="6"/>
      <c r="Q612" s="6"/>
      <c r="R612" s="6"/>
      <c r="S612" s="6"/>
      <c r="T612" s="6"/>
      <c r="U612" s="6"/>
      <c r="V612" s="6"/>
      <c r="W612" s="6"/>
      <c r="X612" s="6"/>
      <c r="Y612" s="6"/>
      <c r="Z612" s="6"/>
    </row>
    <row r="613" ht="12.75" hidden="1" customHeight="1">
      <c r="A613" s="10">
        <v>611.0</v>
      </c>
      <c r="B613" s="10">
        <v>10611.0</v>
      </c>
      <c r="C613" s="10" t="s">
        <v>34</v>
      </c>
      <c r="D613" s="11" t="s">
        <v>1147</v>
      </c>
      <c r="E613" s="10" t="s">
        <v>1148</v>
      </c>
      <c r="F613" s="10">
        <v>188.0</v>
      </c>
      <c r="G613" s="12">
        <v>0.0</v>
      </c>
      <c r="H613" s="6"/>
      <c r="I613" s="6"/>
      <c r="J613" s="6"/>
      <c r="K613" s="6"/>
      <c r="L613" s="6"/>
      <c r="M613" s="6"/>
      <c r="N613" s="6"/>
      <c r="O613" s="6"/>
      <c r="P613" s="6"/>
      <c r="Q613" s="6"/>
      <c r="R613" s="6"/>
      <c r="S613" s="6"/>
      <c r="T613" s="6"/>
      <c r="U613" s="6"/>
      <c r="V613" s="6"/>
      <c r="W613" s="6"/>
      <c r="X613" s="6"/>
      <c r="Y613" s="6"/>
      <c r="Z613" s="6"/>
    </row>
    <row r="614" ht="12.75" hidden="1" customHeight="1">
      <c r="A614" s="34">
        <v>612.0</v>
      </c>
      <c r="B614" s="34">
        <v>10612.0</v>
      </c>
      <c r="C614" s="34" t="s">
        <v>34</v>
      </c>
      <c r="D614" s="35" t="s">
        <v>1149</v>
      </c>
      <c r="E614" s="34" t="s">
        <v>1150</v>
      </c>
      <c r="F614" s="34">
        <v>162.0</v>
      </c>
      <c r="G614" s="36">
        <v>0.0</v>
      </c>
      <c r="H614" s="6"/>
      <c r="I614" s="6"/>
      <c r="J614" s="6"/>
      <c r="K614" s="6"/>
      <c r="L614" s="6"/>
      <c r="M614" s="6"/>
      <c r="N614" s="6"/>
      <c r="O614" s="6"/>
      <c r="P614" s="6"/>
      <c r="Q614" s="6"/>
      <c r="R614" s="6"/>
      <c r="S614" s="6"/>
      <c r="T614" s="6"/>
      <c r="U614" s="6"/>
      <c r="V614" s="6"/>
      <c r="W614" s="6"/>
      <c r="X614" s="6"/>
      <c r="Y614" s="6"/>
      <c r="Z614" s="6"/>
    </row>
    <row r="615" ht="12.75" hidden="1" customHeight="1">
      <c r="A615" s="37">
        <v>613.0</v>
      </c>
      <c r="B615" s="37">
        <v>10613.0</v>
      </c>
      <c r="C615" s="37" t="s">
        <v>7</v>
      </c>
      <c r="D615" s="38" t="s">
        <v>1151</v>
      </c>
      <c r="E615" s="37" t="s">
        <v>1152</v>
      </c>
      <c r="F615" s="37">
        <v>57.0</v>
      </c>
      <c r="G615" s="39">
        <v>0.0</v>
      </c>
      <c r="H615" s="6"/>
      <c r="I615" s="6"/>
      <c r="J615" s="6"/>
      <c r="K615" s="6"/>
      <c r="L615" s="6"/>
      <c r="M615" s="6"/>
      <c r="N615" s="6"/>
      <c r="O615" s="6"/>
      <c r="P615" s="6"/>
      <c r="Q615" s="6"/>
      <c r="R615" s="6"/>
      <c r="S615" s="6"/>
      <c r="T615" s="6"/>
      <c r="U615" s="6"/>
      <c r="V615" s="6"/>
      <c r="W615" s="6"/>
      <c r="X615" s="6"/>
      <c r="Y615" s="6"/>
      <c r="Z615" s="6"/>
    </row>
    <row r="616" ht="12.75" hidden="1" customHeight="1">
      <c r="A616" s="34">
        <v>614.0</v>
      </c>
      <c r="B616" s="34">
        <v>10614.0</v>
      </c>
      <c r="C616" s="34" t="s">
        <v>34</v>
      </c>
      <c r="D616" s="35" t="s">
        <v>1153</v>
      </c>
      <c r="E616" s="34" t="s">
        <v>1154</v>
      </c>
      <c r="F616" s="34">
        <v>122.0</v>
      </c>
      <c r="G616" s="36">
        <v>0.0</v>
      </c>
      <c r="H616" s="6"/>
      <c r="I616" s="6"/>
      <c r="J616" s="6"/>
      <c r="K616" s="6"/>
      <c r="L616" s="6"/>
      <c r="M616" s="6"/>
      <c r="N616" s="6"/>
      <c r="O616" s="6"/>
      <c r="P616" s="6"/>
      <c r="Q616" s="6"/>
      <c r="R616" s="6"/>
      <c r="S616" s="6"/>
      <c r="T616" s="6"/>
      <c r="U616" s="6"/>
      <c r="V616" s="6"/>
      <c r="W616" s="6"/>
      <c r="X616" s="6"/>
      <c r="Y616" s="6"/>
      <c r="Z616" s="6"/>
    </row>
    <row r="617" ht="12.75" hidden="1" customHeight="1">
      <c r="A617" s="37">
        <v>615.0</v>
      </c>
      <c r="B617" s="37">
        <v>10615.0</v>
      </c>
      <c r="C617" s="37" t="s">
        <v>7</v>
      </c>
      <c r="D617" s="38" t="s">
        <v>1155</v>
      </c>
      <c r="E617" s="37" t="s">
        <v>1156</v>
      </c>
      <c r="F617" s="37">
        <v>32.0</v>
      </c>
      <c r="G617" s="39">
        <v>45763.0</v>
      </c>
      <c r="H617" s="6"/>
      <c r="I617" s="6"/>
      <c r="J617" s="6"/>
      <c r="K617" s="6"/>
      <c r="L617" s="6"/>
      <c r="M617" s="6"/>
      <c r="N617" s="6"/>
      <c r="O617" s="6"/>
      <c r="P617" s="6"/>
      <c r="Q617" s="6"/>
      <c r="R617" s="6"/>
      <c r="S617" s="6"/>
      <c r="T617" s="6"/>
      <c r="U617" s="6"/>
      <c r="V617" s="6"/>
      <c r="W617" s="6"/>
      <c r="X617" s="6"/>
      <c r="Y617" s="6"/>
      <c r="Z617" s="6"/>
    </row>
    <row r="618" ht="12.75" hidden="1" customHeight="1">
      <c r="A618" s="34">
        <v>616.0</v>
      </c>
      <c r="B618" s="34">
        <v>10616.0</v>
      </c>
      <c r="C618" s="34" t="s">
        <v>7</v>
      </c>
      <c r="D618" s="35" t="s">
        <v>1157</v>
      </c>
      <c r="E618" s="34" t="s">
        <v>1158</v>
      </c>
      <c r="F618" s="34">
        <v>61.0</v>
      </c>
      <c r="G618" s="36">
        <v>0.0</v>
      </c>
      <c r="H618" s="6"/>
      <c r="I618" s="6"/>
      <c r="J618" s="6"/>
      <c r="K618" s="6"/>
      <c r="L618" s="6"/>
      <c r="M618" s="6"/>
      <c r="N618" s="6"/>
      <c r="O618" s="6"/>
      <c r="P618" s="6"/>
      <c r="Q618" s="6"/>
      <c r="R618" s="6"/>
      <c r="S618" s="6"/>
      <c r="T618" s="6"/>
      <c r="U618" s="6"/>
      <c r="V618" s="6"/>
      <c r="W618" s="6"/>
      <c r="X618" s="6"/>
      <c r="Y618" s="6"/>
      <c r="Z618" s="6"/>
    </row>
    <row r="619" ht="12.75" hidden="1" customHeight="1">
      <c r="A619" s="10">
        <v>617.0</v>
      </c>
      <c r="B619" s="10">
        <v>10617.0</v>
      </c>
      <c r="C619" s="10" t="s">
        <v>34</v>
      </c>
      <c r="D619" s="11" t="s">
        <v>1159</v>
      </c>
      <c r="E619" s="10" t="s">
        <v>1160</v>
      </c>
      <c r="F619" s="10">
        <v>173.0</v>
      </c>
      <c r="G619" s="12">
        <v>0.0</v>
      </c>
      <c r="H619" s="6"/>
      <c r="I619" s="6"/>
      <c r="J619" s="6"/>
      <c r="K619" s="6"/>
      <c r="L619" s="6"/>
      <c r="M619" s="6"/>
      <c r="N619" s="6"/>
      <c r="O619" s="6"/>
      <c r="P619" s="6"/>
      <c r="Q619" s="6"/>
      <c r="R619" s="6"/>
      <c r="S619" s="6"/>
      <c r="T619" s="6"/>
      <c r="U619" s="6"/>
      <c r="V619" s="6"/>
      <c r="W619" s="6"/>
      <c r="X619" s="6"/>
      <c r="Y619" s="6"/>
      <c r="Z619" s="6"/>
    </row>
    <row r="620" ht="12.75" hidden="1" customHeight="1">
      <c r="A620" s="7">
        <v>618.0</v>
      </c>
      <c r="B620" s="7">
        <v>10618.0</v>
      </c>
      <c r="C620" s="7" t="s">
        <v>20</v>
      </c>
      <c r="D620" s="8" t="s">
        <v>1161</v>
      </c>
      <c r="E620" s="7" t="s">
        <v>1162</v>
      </c>
      <c r="F620" s="7">
        <v>170.0</v>
      </c>
      <c r="G620" s="9">
        <v>0.0</v>
      </c>
      <c r="H620" s="6"/>
      <c r="I620" s="6"/>
      <c r="J620" s="6"/>
      <c r="K620" s="6"/>
      <c r="L620" s="6"/>
      <c r="M620" s="6"/>
      <c r="N620" s="6"/>
      <c r="O620" s="6"/>
      <c r="P620" s="6"/>
      <c r="Q620" s="6"/>
      <c r="R620" s="6"/>
      <c r="S620" s="6"/>
      <c r="T620" s="6"/>
      <c r="U620" s="6"/>
      <c r="V620" s="6"/>
      <c r="W620" s="6"/>
      <c r="X620" s="6"/>
      <c r="Y620" s="6"/>
      <c r="Z620" s="6"/>
    </row>
    <row r="621" ht="12.75" hidden="1" customHeight="1">
      <c r="A621" s="10">
        <v>619.0</v>
      </c>
      <c r="B621" s="10">
        <v>10619.0</v>
      </c>
      <c r="C621" s="10" t="s">
        <v>27</v>
      </c>
      <c r="D621" s="11" t="s">
        <v>1163</v>
      </c>
      <c r="E621" s="10" t="s">
        <v>1164</v>
      </c>
      <c r="F621" s="10">
        <v>158.0</v>
      </c>
      <c r="G621" s="12">
        <v>45763.0</v>
      </c>
      <c r="H621" s="6"/>
      <c r="I621" s="6"/>
      <c r="J621" s="6"/>
      <c r="K621" s="6"/>
      <c r="L621" s="6"/>
      <c r="M621" s="6"/>
      <c r="N621" s="6"/>
      <c r="O621" s="6"/>
      <c r="P621" s="6"/>
      <c r="Q621" s="6"/>
      <c r="R621" s="6"/>
      <c r="S621" s="6"/>
      <c r="T621" s="6"/>
      <c r="U621" s="6"/>
      <c r="V621" s="6"/>
      <c r="W621" s="6"/>
      <c r="X621" s="6"/>
      <c r="Y621" s="6"/>
      <c r="Z621" s="6"/>
    </row>
    <row r="622" ht="12.75" customHeight="1">
      <c r="A622" s="37">
        <v>620.0</v>
      </c>
      <c r="B622" s="37">
        <v>10620.0</v>
      </c>
      <c r="C622" s="37" t="s">
        <v>34</v>
      </c>
      <c r="D622" s="38" t="s">
        <v>1165</v>
      </c>
      <c r="E622" s="37" t="e">
        <v>#N/A</v>
      </c>
      <c r="F622" s="37" t="e">
        <v>#N/A</v>
      </c>
      <c r="G622" s="39" t="e">
        <v>#N/A</v>
      </c>
      <c r="H622" s="6"/>
      <c r="I622" s="6"/>
      <c r="J622" s="6"/>
      <c r="K622" s="6"/>
      <c r="L622" s="6"/>
      <c r="M622" s="6"/>
      <c r="N622" s="6"/>
      <c r="O622" s="6"/>
      <c r="P622" s="6"/>
      <c r="Q622" s="6"/>
      <c r="R622" s="6"/>
      <c r="S622" s="6"/>
      <c r="T622" s="6"/>
      <c r="U622" s="6"/>
      <c r="V622" s="6"/>
      <c r="W622" s="6"/>
      <c r="X622" s="6"/>
      <c r="Y622" s="6"/>
      <c r="Z622" s="6"/>
    </row>
    <row r="623" ht="12.75" hidden="1" customHeight="1">
      <c r="A623" s="37">
        <v>621.0</v>
      </c>
      <c r="B623" s="37">
        <v>10621.0</v>
      </c>
      <c r="C623" s="37" t="s">
        <v>7</v>
      </c>
      <c r="D623" s="38" t="s">
        <v>1166</v>
      </c>
      <c r="E623" s="38" t="s">
        <v>1167</v>
      </c>
      <c r="F623" s="34">
        <f>LEN(E623)</f>
        <v>50</v>
      </c>
      <c r="G623" s="39">
        <v>46014.0</v>
      </c>
      <c r="H623" s="6"/>
      <c r="I623" s="6"/>
      <c r="J623" s="6"/>
      <c r="K623" s="6"/>
      <c r="L623" s="6"/>
      <c r="M623" s="6"/>
      <c r="N623" s="6"/>
      <c r="O623" s="6"/>
      <c r="P623" s="6"/>
      <c r="Q623" s="6"/>
      <c r="R623" s="6"/>
      <c r="S623" s="6"/>
      <c r="T623" s="6"/>
      <c r="U623" s="6"/>
      <c r="V623" s="6"/>
      <c r="W623" s="6"/>
      <c r="X623" s="6"/>
      <c r="Y623" s="6"/>
      <c r="Z623" s="6"/>
    </row>
    <row r="624" ht="12.75" customHeight="1">
      <c r="A624" s="37">
        <v>622.0</v>
      </c>
      <c r="B624" s="37">
        <v>10622.0</v>
      </c>
      <c r="C624" s="37" t="s">
        <v>34</v>
      </c>
      <c r="D624" s="38" t="s">
        <v>1168</v>
      </c>
      <c r="E624" s="37" t="e">
        <v>#N/A</v>
      </c>
      <c r="F624" s="37" t="e">
        <v>#N/A</v>
      </c>
      <c r="G624" s="39" t="e">
        <v>#N/A</v>
      </c>
      <c r="H624" s="6"/>
      <c r="I624" s="6"/>
      <c r="J624" s="6"/>
      <c r="K624" s="6"/>
      <c r="L624" s="6"/>
      <c r="M624" s="6"/>
      <c r="N624" s="6"/>
      <c r="O624" s="6"/>
      <c r="P624" s="6"/>
      <c r="Q624" s="6"/>
      <c r="R624" s="6"/>
      <c r="S624" s="6"/>
      <c r="T624" s="6"/>
      <c r="U624" s="6"/>
      <c r="V624" s="6"/>
      <c r="W624" s="6"/>
      <c r="X624" s="6"/>
      <c r="Y624" s="6"/>
      <c r="Z624" s="6"/>
    </row>
    <row r="625" ht="12.75" hidden="1" customHeight="1">
      <c r="A625" s="37">
        <v>623.0</v>
      </c>
      <c r="B625" s="37">
        <v>10623.0</v>
      </c>
      <c r="C625" s="37" t="s">
        <v>7</v>
      </c>
      <c r="D625" s="38" t="s">
        <v>1169</v>
      </c>
      <c r="E625" s="37" t="s">
        <v>1170</v>
      </c>
      <c r="F625" s="37">
        <v>58.0</v>
      </c>
      <c r="G625" s="39">
        <v>45763.0</v>
      </c>
      <c r="H625" s="6"/>
      <c r="I625" s="6"/>
      <c r="J625" s="6"/>
      <c r="K625" s="6"/>
      <c r="L625" s="6"/>
      <c r="M625" s="6"/>
      <c r="N625" s="6"/>
      <c r="O625" s="6"/>
      <c r="P625" s="6"/>
      <c r="Q625" s="6"/>
      <c r="R625" s="6"/>
      <c r="S625" s="6"/>
      <c r="T625" s="6"/>
      <c r="U625" s="6"/>
      <c r="V625" s="6"/>
      <c r="W625" s="6"/>
      <c r="X625" s="6"/>
      <c r="Y625" s="6"/>
      <c r="Z625" s="6"/>
    </row>
    <row r="626" ht="12.75" hidden="1" customHeight="1">
      <c r="A626" s="34">
        <v>624.0</v>
      </c>
      <c r="B626" s="34">
        <v>10624.0</v>
      </c>
      <c r="C626" s="34" t="s">
        <v>34</v>
      </c>
      <c r="D626" s="35" t="s">
        <v>1171</v>
      </c>
      <c r="E626" s="34" t="s">
        <v>1172</v>
      </c>
      <c r="F626" s="34">
        <v>86.0</v>
      </c>
      <c r="G626" s="36">
        <v>45763.0</v>
      </c>
      <c r="H626" s="6"/>
      <c r="I626" s="6"/>
      <c r="J626" s="6"/>
      <c r="K626" s="6"/>
      <c r="L626" s="6"/>
      <c r="M626" s="6"/>
      <c r="N626" s="6"/>
      <c r="O626" s="6"/>
      <c r="P626" s="6"/>
      <c r="Q626" s="6"/>
      <c r="R626" s="6"/>
      <c r="S626" s="6"/>
      <c r="T626" s="6"/>
      <c r="U626" s="6"/>
      <c r="V626" s="6"/>
      <c r="W626" s="6"/>
      <c r="X626" s="6"/>
      <c r="Y626" s="6"/>
      <c r="Z626" s="6"/>
    </row>
    <row r="627" ht="12.75" hidden="1" customHeight="1">
      <c r="A627" s="37">
        <v>625.0</v>
      </c>
      <c r="B627" s="37">
        <v>10625.0</v>
      </c>
      <c r="C627" s="37" t="s">
        <v>7</v>
      </c>
      <c r="D627" s="38" t="s">
        <v>1173</v>
      </c>
      <c r="E627" s="37" t="s">
        <v>1174</v>
      </c>
      <c r="F627" s="37">
        <v>112.0</v>
      </c>
      <c r="G627" s="39">
        <v>0.0</v>
      </c>
      <c r="H627" s="6"/>
      <c r="I627" s="6"/>
      <c r="J627" s="6"/>
      <c r="K627" s="6"/>
      <c r="L627" s="6"/>
      <c r="M627" s="6"/>
      <c r="N627" s="6"/>
      <c r="O627" s="6"/>
      <c r="P627" s="6"/>
      <c r="Q627" s="6"/>
      <c r="R627" s="6"/>
      <c r="S627" s="6"/>
      <c r="T627" s="6"/>
      <c r="U627" s="6"/>
      <c r="V627" s="6"/>
      <c r="W627" s="6"/>
      <c r="X627" s="6"/>
      <c r="Y627" s="6"/>
      <c r="Z627" s="6"/>
    </row>
    <row r="628" ht="12.75" hidden="1" customHeight="1">
      <c r="A628" s="34">
        <v>626.0</v>
      </c>
      <c r="B628" s="34">
        <v>10626.0</v>
      </c>
      <c r="C628" s="34" t="s">
        <v>7</v>
      </c>
      <c r="D628" s="35" t="s">
        <v>1175</v>
      </c>
      <c r="E628" s="34" t="s">
        <v>1176</v>
      </c>
      <c r="F628" s="34">
        <v>83.0</v>
      </c>
      <c r="G628" s="36">
        <v>45763.0</v>
      </c>
      <c r="H628" s="6"/>
      <c r="I628" s="6"/>
      <c r="J628" s="6"/>
      <c r="K628" s="6"/>
      <c r="L628" s="6"/>
      <c r="M628" s="6"/>
      <c r="N628" s="6"/>
      <c r="O628" s="6"/>
      <c r="P628" s="6"/>
      <c r="Q628" s="6"/>
      <c r="R628" s="6"/>
      <c r="S628" s="6"/>
      <c r="T628" s="6"/>
      <c r="U628" s="6"/>
      <c r="V628" s="6"/>
      <c r="W628" s="6"/>
      <c r="X628" s="6"/>
      <c r="Y628" s="6"/>
      <c r="Z628" s="6"/>
    </row>
    <row r="629" ht="12.75" hidden="1" customHeight="1">
      <c r="A629" s="37">
        <v>627.0</v>
      </c>
      <c r="B629" s="37">
        <v>10627.0</v>
      </c>
      <c r="C629" s="37" t="s">
        <v>20</v>
      </c>
      <c r="D629" s="38" t="s">
        <v>1177</v>
      </c>
      <c r="E629" s="37" t="s">
        <v>1178</v>
      </c>
      <c r="F629" s="37">
        <v>96.0</v>
      </c>
      <c r="G629" s="39">
        <v>0.0</v>
      </c>
      <c r="H629" s="6"/>
      <c r="I629" s="6"/>
      <c r="J629" s="6"/>
      <c r="K629" s="6"/>
      <c r="L629" s="6"/>
      <c r="M629" s="6"/>
      <c r="N629" s="6"/>
      <c r="O629" s="6"/>
      <c r="P629" s="6"/>
      <c r="Q629" s="6"/>
      <c r="R629" s="6"/>
      <c r="S629" s="6"/>
      <c r="T629" s="6"/>
      <c r="U629" s="6"/>
      <c r="V629" s="6"/>
      <c r="W629" s="6"/>
      <c r="X629" s="6"/>
      <c r="Y629" s="6"/>
      <c r="Z629" s="6"/>
    </row>
    <row r="630" ht="12.75" hidden="1" customHeight="1">
      <c r="A630" s="34">
        <v>628.0</v>
      </c>
      <c r="B630" s="34">
        <v>10628.0</v>
      </c>
      <c r="C630" s="34" t="s">
        <v>27</v>
      </c>
      <c r="D630" s="35" t="s">
        <v>1179</v>
      </c>
      <c r="E630" s="34" t="s">
        <v>1180</v>
      </c>
      <c r="F630" s="34">
        <v>187.0</v>
      </c>
      <c r="G630" s="36">
        <v>0.0</v>
      </c>
      <c r="H630" s="6"/>
      <c r="I630" s="6"/>
      <c r="J630" s="6"/>
      <c r="K630" s="6"/>
      <c r="L630" s="6"/>
      <c r="M630" s="6"/>
      <c r="N630" s="6"/>
      <c r="O630" s="6"/>
      <c r="P630" s="6"/>
      <c r="Q630" s="6"/>
      <c r="R630" s="6"/>
      <c r="S630" s="6"/>
      <c r="T630" s="6"/>
      <c r="U630" s="6"/>
      <c r="V630" s="6"/>
      <c r="W630" s="6"/>
      <c r="X630" s="6"/>
      <c r="Y630" s="6"/>
      <c r="Z630" s="6"/>
    </row>
    <row r="631" ht="12.75" hidden="1" customHeight="1">
      <c r="A631" s="37">
        <v>629.0</v>
      </c>
      <c r="B631" s="37">
        <v>10629.0</v>
      </c>
      <c r="C631" s="37" t="s">
        <v>34</v>
      </c>
      <c r="D631" s="38" t="s">
        <v>827</v>
      </c>
      <c r="E631" s="37" t="s">
        <v>1181</v>
      </c>
      <c r="F631" s="37">
        <v>150.0</v>
      </c>
      <c r="G631" s="39">
        <v>0.0</v>
      </c>
      <c r="H631" s="6"/>
      <c r="I631" s="6"/>
      <c r="J631" s="6"/>
      <c r="K631" s="6"/>
      <c r="L631" s="6"/>
      <c r="M631" s="6"/>
      <c r="N631" s="6"/>
      <c r="O631" s="6"/>
      <c r="P631" s="6"/>
      <c r="Q631" s="6"/>
      <c r="R631" s="6"/>
      <c r="S631" s="6"/>
      <c r="T631" s="6"/>
      <c r="U631" s="6"/>
      <c r="V631" s="6"/>
      <c r="W631" s="6"/>
      <c r="X631" s="6"/>
      <c r="Y631" s="6"/>
      <c r="Z631" s="6"/>
    </row>
    <row r="632" ht="12.75" hidden="1" customHeight="1">
      <c r="A632" s="34">
        <v>630.0</v>
      </c>
      <c r="B632" s="34">
        <v>10630.0</v>
      </c>
      <c r="C632" s="34" t="s">
        <v>27</v>
      </c>
      <c r="D632" s="35" t="s">
        <v>1182</v>
      </c>
      <c r="E632" s="34" t="s">
        <v>1183</v>
      </c>
      <c r="F632" s="34">
        <v>187.0</v>
      </c>
      <c r="G632" s="36">
        <v>0.0</v>
      </c>
      <c r="H632" s="6"/>
      <c r="I632" s="6"/>
      <c r="J632" s="6"/>
      <c r="K632" s="6"/>
      <c r="L632" s="6"/>
      <c r="M632" s="6"/>
      <c r="N632" s="6"/>
      <c r="O632" s="6"/>
      <c r="P632" s="6"/>
      <c r="Q632" s="6"/>
      <c r="R632" s="6"/>
      <c r="S632" s="6"/>
      <c r="T632" s="6"/>
      <c r="U632" s="6"/>
      <c r="V632" s="6"/>
      <c r="W632" s="6"/>
      <c r="X632" s="6"/>
      <c r="Y632" s="6"/>
      <c r="Z632" s="6"/>
    </row>
    <row r="633" ht="12.75" hidden="1" customHeight="1">
      <c r="A633" s="37">
        <v>631.0</v>
      </c>
      <c r="B633" s="37">
        <v>10631.0</v>
      </c>
      <c r="C633" s="37" t="s">
        <v>7</v>
      </c>
      <c r="D633" s="38" t="s">
        <v>1184</v>
      </c>
      <c r="E633" s="37" t="s">
        <v>1185</v>
      </c>
      <c r="F633" s="37">
        <v>110.0</v>
      </c>
      <c r="G633" s="39">
        <v>0.0</v>
      </c>
      <c r="H633" s="6"/>
      <c r="I633" s="6"/>
      <c r="J633" s="6"/>
      <c r="K633" s="6"/>
      <c r="L633" s="6"/>
      <c r="M633" s="6"/>
      <c r="N633" s="6"/>
      <c r="O633" s="6"/>
      <c r="P633" s="6"/>
      <c r="Q633" s="6"/>
      <c r="R633" s="6"/>
      <c r="S633" s="6"/>
      <c r="T633" s="6"/>
      <c r="U633" s="6"/>
      <c r="V633" s="6"/>
      <c r="W633" s="6"/>
      <c r="X633" s="6"/>
      <c r="Y633" s="6"/>
      <c r="Z633" s="6"/>
    </row>
    <row r="634" ht="12.75" hidden="1" customHeight="1">
      <c r="A634" s="34">
        <v>632.0</v>
      </c>
      <c r="B634" s="34">
        <v>10632.0</v>
      </c>
      <c r="C634" s="34" t="s">
        <v>7</v>
      </c>
      <c r="D634" s="35" t="s">
        <v>1186</v>
      </c>
      <c r="E634" s="34" t="s">
        <v>1187</v>
      </c>
      <c r="F634" s="34">
        <v>91.0</v>
      </c>
      <c r="G634" s="36">
        <v>0.0</v>
      </c>
      <c r="H634" s="6"/>
      <c r="I634" s="6"/>
      <c r="J634" s="6"/>
      <c r="K634" s="6"/>
      <c r="L634" s="6"/>
      <c r="M634" s="6"/>
      <c r="N634" s="6"/>
      <c r="O634" s="6"/>
      <c r="P634" s="6"/>
      <c r="Q634" s="6"/>
      <c r="R634" s="6"/>
      <c r="S634" s="6"/>
      <c r="T634" s="6"/>
      <c r="U634" s="6"/>
      <c r="V634" s="6"/>
      <c r="W634" s="6"/>
      <c r="X634" s="6"/>
      <c r="Y634" s="6"/>
      <c r="Z634" s="6"/>
    </row>
    <row r="635" ht="12.75" hidden="1" customHeight="1">
      <c r="A635" s="37">
        <v>633.0</v>
      </c>
      <c r="B635" s="37">
        <v>10633.0</v>
      </c>
      <c r="C635" s="37" t="s">
        <v>34</v>
      </c>
      <c r="D635" s="38" t="s">
        <v>1188</v>
      </c>
      <c r="E635" s="37" t="s">
        <v>1189</v>
      </c>
      <c r="F635" s="37">
        <v>157.0</v>
      </c>
      <c r="G635" s="39">
        <v>0.0</v>
      </c>
      <c r="H635" s="6"/>
      <c r="I635" s="6"/>
      <c r="J635" s="6"/>
      <c r="K635" s="6"/>
      <c r="L635" s="6"/>
      <c r="M635" s="6"/>
      <c r="N635" s="6"/>
      <c r="O635" s="6"/>
      <c r="P635" s="6"/>
      <c r="Q635" s="6"/>
      <c r="R635" s="6"/>
      <c r="S635" s="6"/>
      <c r="T635" s="6"/>
      <c r="U635" s="6"/>
      <c r="V635" s="6"/>
      <c r="W635" s="6"/>
      <c r="X635" s="6"/>
      <c r="Y635" s="6"/>
      <c r="Z635" s="6"/>
    </row>
    <row r="636" ht="12.75" hidden="1" customHeight="1">
      <c r="A636" s="34">
        <v>634.0</v>
      </c>
      <c r="B636" s="34">
        <v>10634.0</v>
      </c>
      <c r="C636" s="34" t="s">
        <v>7</v>
      </c>
      <c r="D636" s="35" t="s">
        <v>1190</v>
      </c>
      <c r="E636" s="34" t="s">
        <v>1191</v>
      </c>
      <c r="F636" s="34">
        <v>60.0</v>
      </c>
      <c r="G636" s="36">
        <v>0.0</v>
      </c>
      <c r="H636" s="6"/>
      <c r="I636" s="6"/>
      <c r="J636" s="6"/>
      <c r="K636" s="6"/>
      <c r="L636" s="6"/>
      <c r="M636" s="6"/>
      <c r="N636" s="6"/>
      <c r="O636" s="6"/>
      <c r="P636" s="6"/>
      <c r="Q636" s="6"/>
      <c r="R636" s="6"/>
      <c r="S636" s="6"/>
      <c r="T636" s="6"/>
      <c r="U636" s="6"/>
      <c r="V636" s="6"/>
      <c r="W636" s="6"/>
      <c r="X636" s="6"/>
      <c r="Y636" s="6"/>
      <c r="Z636" s="6"/>
    </row>
    <row r="637" ht="12.75" hidden="1" customHeight="1">
      <c r="A637" s="37">
        <v>635.0</v>
      </c>
      <c r="B637" s="37">
        <v>10635.0</v>
      </c>
      <c r="C637" s="37" t="s">
        <v>7</v>
      </c>
      <c r="D637" s="38" t="s">
        <v>1192</v>
      </c>
      <c r="E637" s="37" t="s">
        <v>1185</v>
      </c>
      <c r="F637" s="37">
        <v>110.0</v>
      </c>
      <c r="G637" s="39">
        <v>0.0</v>
      </c>
      <c r="H637" s="6"/>
      <c r="I637" s="6"/>
      <c r="J637" s="6"/>
      <c r="K637" s="6"/>
      <c r="L637" s="6"/>
      <c r="M637" s="6"/>
      <c r="N637" s="6"/>
      <c r="O637" s="6"/>
      <c r="P637" s="6"/>
      <c r="Q637" s="6"/>
      <c r="R637" s="6"/>
      <c r="S637" s="6"/>
      <c r="T637" s="6"/>
      <c r="U637" s="6"/>
      <c r="V637" s="6"/>
      <c r="W637" s="6"/>
      <c r="X637" s="6"/>
      <c r="Y637" s="6"/>
      <c r="Z637" s="6"/>
    </row>
    <row r="638" ht="12.75" hidden="1" customHeight="1">
      <c r="A638" s="58">
        <v>636.0</v>
      </c>
      <c r="B638" s="58">
        <v>10636.0</v>
      </c>
      <c r="C638" s="58" t="s">
        <v>34</v>
      </c>
      <c r="D638" s="59" t="s">
        <v>1193</v>
      </c>
      <c r="E638" s="58" t="s">
        <v>1194</v>
      </c>
      <c r="F638" s="58">
        <v>177.0</v>
      </c>
      <c r="G638" s="60">
        <v>0.0</v>
      </c>
      <c r="H638" s="6"/>
      <c r="I638" s="6"/>
      <c r="J638" s="6"/>
      <c r="K638" s="6"/>
      <c r="L638" s="6"/>
      <c r="M638" s="6"/>
      <c r="N638" s="6"/>
      <c r="O638" s="6"/>
      <c r="P638" s="6"/>
      <c r="Q638" s="6"/>
      <c r="R638" s="6"/>
      <c r="S638" s="6"/>
      <c r="T638" s="6"/>
      <c r="U638" s="6"/>
      <c r="V638" s="6"/>
      <c r="W638" s="6"/>
      <c r="X638" s="6"/>
      <c r="Y638" s="6"/>
      <c r="Z638" s="6"/>
    </row>
    <row r="639" ht="12.75" hidden="1" customHeight="1">
      <c r="A639" s="37">
        <v>637.0</v>
      </c>
      <c r="B639" s="37">
        <v>10637.0</v>
      </c>
      <c r="C639" s="37" t="s">
        <v>34</v>
      </c>
      <c r="D639" s="38" t="s">
        <v>1195</v>
      </c>
      <c r="E639" s="37" t="s">
        <v>1196</v>
      </c>
      <c r="F639" s="37">
        <v>190.0</v>
      </c>
      <c r="G639" s="39">
        <v>0.0</v>
      </c>
      <c r="H639" s="6"/>
      <c r="I639" s="6"/>
      <c r="J639" s="6"/>
      <c r="K639" s="6"/>
      <c r="L639" s="6"/>
      <c r="M639" s="6"/>
      <c r="N639" s="6"/>
      <c r="O639" s="6"/>
      <c r="P639" s="6"/>
      <c r="Q639" s="6"/>
      <c r="R639" s="6"/>
      <c r="S639" s="6"/>
      <c r="T639" s="6"/>
      <c r="U639" s="6"/>
      <c r="V639" s="6"/>
      <c r="W639" s="6"/>
      <c r="X639" s="6"/>
      <c r="Y639" s="6"/>
      <c r="Z639" s="6"/>
    </row>
    <row r="640" ht="12.75" hidden="1" customHeight="1">
      <c r="A640" s="34">
        <v>638.0</v>
      </c>
      <c r="B640" s="34">
        <v>10638.0</v>
      </c>
      <c r="C640" s="34" t="s">
        <v>20</v>
      </c>
      <c r="D640" s="35" t="s">
        <v>1197</v>
      </c>
      <c r="E640" s="34" t="s">
        <v>1198</v>
      </c>
      <c r="F640" s="34">
        <v>151.0</v>
      </c>
      <c r="G640" s="36">
        <v>0.0</v>
      </c>
      <c r="H640" s="6"/>
      <c r="I640" s="6"/>
      <c r="J640" s="6"/>
      <c r="K640" s="6"/>
      <c r="L640" s="6"/>
      <c r="M640" s="6"/>
      <c r="N640" s="6"/>
      <c r="O640" s="6"/>
      <c r="P640" s="6"/>
      <c r="Q640" s="6"/>
      <c r="R640" s="6"/>
      <c r="S640" s="6"/>
      <c r="T640" s="6"/>
      <c r="U640" s="6"/>
      <c r="V640" s="6"/>
      <c r="W640" s="6"/>
      <c r="X640" s="6"/>
      <c r="Y640" s="6"/>
      <c r="Z640" s="6"/>
    </row>
    <row r="641" ht="12.75" hidden="1" customHeight="1">
      <c r="A641" s="37">
        <v>639.0</v>
      </c>
      <c r="B641" s="37">
        <v>10639.0</v>
      </c>
      <c r="C641" s="37" t="s">
        <v>20</v>
      </c>
      <c r="D641" s="38" t="s">
        <v>1199</v>
      </c>
      <c r="E641" s="37" t="s">
        <v>1200</v>
      </c>
      <c r="F641" s="37">
        <v>197.0</v>
      </c>
      <c r="G641" s="39">
        <v>0.0</v>
      </c>
      <c r="H641" s="6"/>
      <c r="I641" s="6"/>
      <c r="J641" s="6"/>
      <c r="K641" s="6"/>
      <c r="L641" s="6"/>
      <c r="M641" s="6"/>
      <c r="N641" s="6"/>
      <c r="O641" s="6"/>
      <c r="P641" s="6"/>
      <c r="Q641" s="6"/>
      <c r="R641" s="6"/>
      <c r="S641" s="6"/>
      <c r="T641" s="6"/>
      <c r="U641" s="6"/>
      <c r="V641" s="6"/>
      <c r="W641" s="6"/>
      <c r="X641" s="6"/>
      <c r="Y641" s="6"/>
      <c r="Z641" s="6"/>
    </row>
    <row r="642" ht="12.75" hidden="1" customHeight="1">
      <c r="A642" s="34">
        <v>640.0</v>
      </c>
      <c r="B642" s="34">
        <v>10640.0</v>
      </c>
      <c r="C642" s="34" t="s">
        <v>7</v>
      </c>
      <c r="D642" s="35" t="s">
        <v>1201</v>
      </c>
      <c r="E642" s="34" t="s">
        <v>1202</v>
      </c>
      <c r="F642" s="34">
        <v>92.0</v>
      </c>
      <c r="G642" s="36">
        <v>45763.0</v>
      </c>
      <c r="H642" s="6"/>
      <c r="I642" s="6"/>
      <c r="J642" s="6"/>
      <c r="K642" s="6"/>
      <c r="L642" s="6"/>
      <c r="M642" s="6"/>
      <c r="N642" s="6"/>
      <c r="O642" s="6"/>
      <c r="P642" s="6"/>
      <c r="Q642" s="6"/>
      <c r="R642" s="6"/>
      <c r="S642" s="6"/>
      <c r="T642" s="6"/>
      <c r="U642" s="6"/>
      <c r="V642" s="6"/>
      <c r="W642" s="6"/>
      <c r="X642" s="6"/>
      <c r="Y642" s="6"/>
      <c r="Z642" s="6"/>
    </row>
    <row r="643" ht="12.75" hidden="1" customHeight="1">
      <c r="A643" s="37">
        <v>641.0</v>
      </c>
      <c r="B643" s="37">
        <v>10641.0</v>
      </c>
      <c r="C643" s="37" t="s">
        <v>34</v>
      </c>
      <c r="D643" s="38" t="s">
        <v>1203</v>
      </c>
      <c r="E643" s="37" t="s">
        <v>1204</v>
      </c>
      <c r="F643" s="37">
        <v>198.0</v>
      </c>
      <c r="G643" s="39">
        <v>0.0</v>
      </c>
      <c r="H643" s="6"/>
      <c r="I643" s="6"/>
      <c r="J643" s="6"/>
      <c r="K643" s="6"/>
      <c r="L643" s="6"/>
      <c r="M643" s="6"/>
      <c r="N643" s="6"/>
      <c r="O643" s="6"/>
      <c r="P643" s="6"/>
      <c r="Q643" s="6"/>
      <c r="R643" s="6"/>
      <c r="S643" s="6"/>
      <c r="T643" s="6"/>
      <c r="U643" s="6"/>
      <c r="V643" s="6"/>
      <c r="W643" s="6"/>
      <c r="X643" s="6"/>
      <c r="Y643" s="6"/>
      <c r="Z643" s="6"/>
    </row>
    <row r="644" ht="12.75" hidden="1" customHeight="1">
      <c r="A644" s="34">
        <v>642.0</v>
      </c>
      <c r="B644" s="34">
        <v>10642.0</v>
      </c>
      <c r="C644" s="34" t="s">
        <v>34</v>
      </c>
      <c r="D644" s="35" t="s">
        <v>1205</v>
      </c>
      <c r="E644" s="34" t="s">
        <v>1206</v>
      </c>
      <c r="F644" s="34">
        <v>200.0</v>
      </c>
      <c r="G644" s="36">
        <v>0.0</v>
      </c>
      <c r="H644" s="6"/>
      <c r="I644" s="6"/>
      <c r="J644" s="6"/>
      <c r="K644" s="6"/>
      <c r="L644" s="6"/>
      <c r="M644" s="6"/>
      <c r="N644" s="6"/>
      <c r="O644" s="6"/>
      <c r="P644" s="6"/>
      <c r="Q644" s="6"/>
      <c r="R644" s="6"/>
      <c r="S644" s="6"/>
      <c r="T644" s="6"/>
      <c r="U644" s="6"/>
      <c r="V644" s="6"/>
      <c r="W644" s="6"/>
      <c r="X644" s="6"/>
      <c r="Y644" s="6"/>
      <c r="Z644" s="6"/>
    </row>
    <row r="645" ht="12.75" hidden="1" customHeight="1">
      <c r="A645" s="37">
        <v>643.0</v>
      </c>
      <c r="B645" s="37">
        <v>10643.0</v>
      </c>
      <c r="C645" s="37" t="s">
        <v>7</v>
      </c>
      <c r="D645" s="38" t="s">
        <v>1207</v>
      </c>
      <c r="E645" s="37" t="s">
        <v>1208</v>
      </c>
      <c r="F645" s="37">
        <v>83.0</v>
      </c>
      <c r="G645" s="39">
        <v>0.0</v>
      </c>
      <c r="H645" s="6"/>
      <c r="I645" s="6"/>
      <c r="J645" s="6"/>
      <c r="K645" s="6"/>
      <c r="L645" s="6"/>
      <c r="M645" s="6"/>
      <c r="N645" s="6"/>
      <c r="O645" s="6"/>
      <c r="P645" s="6"/>
      <c r="Q645" s="6"/>
      <c r="R645" s="6"/>
      <c r="S645" s="6"/>
      <c r="T645" s="6"/>
      <c r="U645" s="6"/>
      <c r="V645" s="6"/>
      <c r="W645" s="6"/>
      <c r="X645" s="6"/>
      <c r="Y645" s="6"/>
      <c r="Z645" s="6"/>
    </row>
    <row r="646" ht="12.75" hidden="1" customHeight="1">
      <c r="A646" s="34">
        <v>644.0</v>
      </c>
      <c r="B646" s="34">
        <v>10644.0</v>
      </c>
      <c r="C646" s="34" t="s">
        <v>7</v>
      </c>
      <c r="D646" s="35" t="s">
        <v>1209</v>
      </c>
      <c r="E646" s="34" t="s">
        <v>1210</v>
      </c>
      <c r="F646" s="34">
        <v>72.0</v>
      </c>
      <c r="G646" s="36">
        <v>45763.0</v>
      </c>
      <c r="H646" s="6"/>
      <c r="I646" s="6"/>
      <c r="J646" s="6"/>
      <c r="K646" s="6"/>
      <c r="L646" s="6"/>
      <c r="M646" s="6"/>
      <c r="N646" s="6"/>
      <c r="O646" s="6"/>
      <c r="P646" s="6"/>
      <c r="Q646" s="6"/>
      <c r="R646" s="6"/>
      <c r="S646" s="6"/>
      <c r="T646" s="6"/>
      <c r="U646" s="6"/>
      <c r="V646" s="6"/>
      <c r="W646" s="6"/>
      <c r="X646" s="6"/>
      <c r="Y646" s="6"/>
      <c r="Z646" s="6"/>
    </row>
    <row r="647" ht="12.75" hidden="1" customHeight="1">
      <c r="A647" s="37">
        <v>645.0</v>
      </c>
      <c r="B647" s="37">
        <v>10645.0</v>
      </c>
      <c r="C647" s="37" t="s">
        <v>7</v>
      </c>
      <c r="D647" s="38" t="s">
        <v>1211</v>
      </c>
      <c r="E647" s="37" t="s">
        <v>1212</v>
      </c>
      <c r="F647" s="37">
        <v>58.0</v>
      </c>
      <c r="G647" s="39">
        <v>45763.0</v>
      </c>
      <c r="H647" s="6"/>
      <c r="I647" s="6"/>
      <c r="J647" s="6"/>
      <c r="K647" s="6"/>
      <c r="L647" s="6"/>
      <c r="M647" s="6"/>
      <c r="N647" s="6"/>
      <c r="O647" s="6"/>
      <c r="P647" s="6"/>
      <c r="Q647" s="6"/>
      <c r="R647" s="6"/>
      <c r="S647" s="6"/>
      <c r="T647" s="6"/>
      <c r="U647" s="6"/>
      <c r="V647" s="6"/>
      <c r="W647" s="6"/>
      <c r="X647" s="6"/>
      <c r="Y647" s="6"/>
      <c r="Z647" s="6"/>
    </row>
    <row r="648" ht="12.75" hidden="1" customHeight="1">
      <c r="A648" s="34">
        <v>646.0</v>
      </c>
      <c r="B648" s="34">
        <v>10646.0</v>
      </c>
      <c r="C648" s="34" t="s">
        <v>7</v>
      </c>
      <c r="D648" s="35" t="s">
        <v>1213</v>
      </c>
      <c r="E648" s="34" t="s">
        <v>1214</v>
      </c>
      <c r="F648" s="34">
        <v>86.0</v>
      </c>
      <c r="G648" s="36">
        <v>0.0</v>
      </c>
      <c r="H648" s="6"/>
      <c r="I648" s="6"/>
      <c r="J648" s="6"/>
      <c r="K648" s="6"/>
      <c r="L648" s="6"/>
      <c r="M648" s="6"/>
      <c r="N648" s="6"/>
      <c r="O648" s="6"/>
      <c r="P648" s="6"/>
      <c r="Q648" s="6"/>
      <c r="R648" s="6"/>
      <c r="S648" s="6"/>
      <c r="T648" s="6"/>
      <c r="U648" s="6"/>
      <c r="V648" s="6"/>
      <c r="W648" s="6"/>
      <c r="X648" s="6"/>
      <c r="Y648" s="6"/>
      <c r="Z648" s="6"/>
    </row>
    <row r="649" ht="12.75" hidden="1" customHeight="1">
      <c r="A649" s="37">
        <v>647.0</v>
      </c>
      <c r="B649" s="37">
        <v>10647.0</v>
      </c>
      <c r="C649" s="37" t="s">
        <v>7</v>
      </c>
      <c r="D649" s="38" t="s">
        <v>1215</v>
      </c>
      <c r="E649" s="37" t="s">
        <v>1216</v>
      </c>
      <c r="F649" s="37">
        <v>114.0</v>
      </c>
      <c r="G649" s="39">
        <v>0.0</v>
      </c>
      <c r="H649" s="6"/>
      <c r="I649" s="6"/>
      <c r="J649" s="6"/>
      <c r="K649" s="6"/>
      <c r="L649" s="6"/>
      <c r="M649" s="6"/>
      <c r="N649" s="6"/>
      <c r="O649" s="6"/>
      <c r="P649" s="6"/>
      <c r="Q649" s="6"/>
      <c r="R649" s="6"/>
      <c r="S649" s="6"/>
      <c r="T649" s="6"/>
      <c r="U649" s="6"/>
      <c r="V649" s="6"/>
      <c r="W649" s="6"/>
      <c r="X649" s="6"/>
      <c r="Y649" s="6"/>
      <c r="Z649" s="6"/>
    </row>
    <row r="650" ht="12.75" hidden="1" customHeight="1">
      <c r="A650" s="34">
        <v>648.0</v>
      </c>
      <c r="B650" s="34">
        <v>10648.0</v>
      </c>
      <c r="C650" s="34" t="s">
        <v>7</v>
      </c>
      <c r="D650" s="35" t="s">
        <v>1217</v>
      </c>
      <c r="E650" s="34" t="s">
        <v>1218</v>
      </c>
      <c r="F650" s="34">
        <v>107.0</v>
      </c>
      <c r="G650" s="36">
        <v>0.0</v>
      </c>
      <c r="H650" s="6"/>
      <c r="I650" s="6"/>
      <c r="J650" s="6"/>
      <c r="K650" s="6"/>
      <c r="L650" s="6"/>
      <c r="M650" s="6"/>
      <c r="N650" s="6"/>
      <c r="O650" s="6"/>
      <c r="P650" s="6"/>
      <c r="Q650" s="6"/>
      <c r="R650" s="6"/>
      <c r="S650" s="6"/>
      <c r="T650" s="6"/>
      <c r="U650" s="6"/>
      <c r="V650" s="6"/>
      <c r="W650" s="6"/>
      <c r="X650" s="6"/>
      <c r="Y650" s="6"/>
      <c r="Z650" s="6"/>
    </row>
    <row r="651" ht="12.75" hidden="1" customHeight="1">
      <c r="A651" s="37">
        <v>649.0</v>
      </c>
      <c r="B651" s="37">
        <v>10649.0</v>
      </c>
      <c r="C651" s="37" t="s">
        <v>7</v>
      </c>
      <c r="D651" s="38" t="s">
        <v>1219</v>
      </c>
      <c r="E651" s="37" t="s">
        <v>1220</v>
      </c>
      <c r="F651" s="37">
        <v>91.0</v>
      </c>
      <c r="G651" s="39">
        <v>0.0</v>
      </c>
      <c r="H651" s="6"/>
      <c r="I651" s="6"/>
      <c r="J651" s="6"/>
      <c r="K651" s="6"/>
      <c r="L651" s="6"/>
      <c r="M651" s="6"/>
      <c r="N651" s="6"/>
      <c r="O651" s="6"/>
      <c r="P651" s="6"/>
      <c r="Q651" s="6"/>
      <c r="R651" s="6"/>
      <c r="S651" s="6"/>
      <c r="T651" s="6"/>
      <c r="U651" s="6"/>
      <c r="V651" s="6"/>
      <c r="W651" s="6"/>
      <c r="X651" s="6"/>
      <c r="Y651" s="6"/>
      <c r="Z651" s="6"/>
    </row>
    <row r="652" ht="12.75" hidden="1" customHeight="1">
      <c r="A652" s="34">
        <v>650.0</v>
      </c>
      <c r="B652" s="34">
        <v>10650.0</v>
      </c>
      <c r="C652" s="34" t="s">
        <v>34</v>
      </c>
      <c r="D652" s="35" t="s">
        <v>1221</v>
      </c>
      <c r="E652" s="34" t="s">
        <v>1222</v>
      </c>
      <c r="F652" s="34">
        <v>189.0</v>
      </c>
      <c r="G652" s="36">
        <v>0.0</v>
      </c>
      <c r="H652" s="6"/>
      <c r="I652" s="6"/>
      <c r="J652" s="6"/>
      <c r="K652" s="6"/>
      <c r="L652" s="6"/>
      <c r="M652" s="6"/>
      <c r="N652" s="6"/>
      <c r="O652" s="6"/>
      <c r="P652" s="6"/>
      <c r="Q652" s="6"/>
      <c r="R652" s="6"/>
      <c r="S652" s="6"/>
      <c r="T652" s="6"/>
      <c r="U652" s="6"/>
      <c r="V652" s="6"/>
      <c r="W652" s="6"/>
      <c r="X652" s="6"/>
      <c r="Y652" s="6"/>
      <c r="Z652" s="6"/>
    </row>
    <row r="653" ht="12.75" hidden="1" customHeight="1">
      <c r="A653" s="37">
        <v>651.0</v>
      </c>
      <c r="B653" s="37">
        <v>10651.0</v>
      </c>
      <c r="C653" s="37" t="s">
        <v>7</v>
      </c>
      <c r="D653" s="38" t="s">
        <v>1223</v>
      </c>
      <c r="E653" s="37" t="s">
        <v>1224</v>
      </c>
      <c r="F653" s="37">
        <v>64.0</v>
      </c>
      <c r="G653" s="39">
        <v>0.0</v>
      </c>
      <c r="H653" s="6"/>
      <c r="I653" s="6"/>
      <c r="J653" s="6"/>
      <c r="K653" s="6"/>
      <c r="L653" s="6"/>
      <c r="M653" s="6"/>
      <c r="N653" s="6"/>
      <c r="O653" s="6"/>
      <c r="P653" s="6"/>
      <c r="Q653" s="6"/>
      <c r="R653" s="6"/>
      <c r="S653" s="6"/>
      <c r="T653" s="6"/>
      <c r="U653" s="6"/>
      <c r="V653" s="6"/>
      <c r="W653" s="6"/>
      <c r="X653" s="6"/>
      <c r="Y653" s="6"/>
      <c r="Z653" s="6"/>
    </row>
    <row r="654" ht="12.75" hidden="1" customHeight="1">
      <c r="A654" s="34">
        <v>652.0</v>
      </c>
      <c r="B654" s="34">
        <v>10652.0</v>
      </c>
      <c r="C654" s="34" t="s">
        <v>7</v>
      </c>
      <c r="D654" s="35" t="s">
        <v>1225</v>
      </c>
      <c r="E654" s="34" t="s">
        <v>1226</v>
      </c>
      <c r="F654" s="34">
        <v>83.0</v>
      </c>
      <c r="G654" s="36">
        <v>0.0</v>
      </c>
      <c r="H654" s="6"/>
      <c r="I654" s="6"/>
      <c r="J654" s="6"/>
      <c r="K654" s="6"/>
      <c r="L654" s="6"/>
      <c r="M654" s="6"/>
      <c r="N654" s="6"/>
      <c r="O654" s="6"/>
      <c r="P654" s="6"/>
      <c r="Q654" s="6"/>
      <c r="R654" s="6"/>
      <c r="S654" s="6"/>
      <c r="T654" s="6"/>
      <c r="U654" s="6"/>
      <c r="V654" s="6"/>
      <c r="W654" s="6"/>
      <c r="X654" s="6"/>
      <c r="Y654" s="6"/>
      <c r="Z654" s="6"/>
    </row>
    <row r="655" ht="12.75" hidden="1" customHeight="1">
      <c r="A655" s="37">
        <v>653.0</v>
      </c>
      <c r="B655" s="37">
        <v>10653.0</v>
      </c>
      <c r="C655" s="37" t="s">
        <v>34</v>
      </c>
      <c r="D655" s="38" t="s">
        <v>1227</v>
      </c>
      <c r="E655" s="37" t="s">
        <v>1228</v>
      </c>
      <c r="F655" s="37">
        <v>191.0</v>
      </c>
      <c r="G655" s="39">
        <v>0.0</v>
      </c>
      <c r="H655" s="6"/>
      <c r="I655" s="6"/>
      <c r="J655" s="6"/>
      <c r="K655" s="6"/>
      <c r="L655" s="6"/>
      <c r="M655" s="6"/>
      <c r="N655" s="6"/>
      <c r="O655" s="6"/>
      <c r="P655" s="6"/>
      <c r="Q655" s="6"/>
      <c r="R655" s="6"/>
      <c r="S655" s="6"/>
      <c r="T655" s="6"/>
      <c r="U655" s="6"/>
      <c r="V655" s="6"/>
      <c r="W655" s="6"/>
      <c r="X655" s="6"/>
      <c r="Y655" s="6"/>
      <c r="Z655" s="6"/>
    </row>
    <row r="656" ht="12.75" hidden="1" customHeight="1">
      <c r="A656" s="13">
        <v>654.0</v>
      </c>
      <c r="B656" s="13">
        <v>10654.0</v>
      </c>
      <c r="C656" s="13" t="s">
        <v>7</v>
      </c>
      <c r="D656" s="14" t="s">
        <v>1229</v>
      </c>
      <c r="E656" s="13" t="s">
        <v>1230</v>
      </c>
      <c r="F656" s="13">
        <v>102.0</v>
      </c>
      <c r="G656" s="15">
        <v>0.0</v>
      </c>
      <c r="H656" s="6"/>
      <c r="I656" s="6"/>
      <c r="J656" s="6"/>
      <c r="K656" s="6"/>
      <c r="L656" s="6"/>
      <c r="M656" s="6"/>
      <c r="N656" s="6"/>
      <c r="O656" s="6"/>
      <c r="P656" s="6"/>
      <c r="Q656" s="6"/>
      <c r="R656" s="6"/>
      <c r="S656" s="6"/>
      <c r="T656" s="6"/>
      <c r="U656" s="6"/>
      <c r="V656" s="6"/>
      <c r="W656" s="6"/>
      <c r="X656" s="6"/>
      <c r="Y656" s="6"/>
      <c r="Z656" s="6"/>
    </row>
    <row r="657" ht="12.75" hidden="1" customHeight="1">
      <c r="A657" s="37">
        <v>655.0</v>
      </c>
      <c r="B657" s="37">
        <v>10655.0</v>
      </c>
      <c r="C657" s="37" t="s">
        <v>7</v>
      </c>
      <c r="D657" s="38" t="s">
        <v>1231</v>
      </c>
      <c r="E657" s="37" t="s">
        <v>1232</v>
      </c>
      <c r="F657" s="37">
        <v>96.0</v>
      </c>
      <c r="G657" s="39">
        <v>0.0</v>
      </c>
      <c r="H657" s="6"/>
      <c r="I657" s="6"/>
      <c r="J657" s="6"/>
      <c r="K657" s="6"/>
      <c r="L657" s="6"/>
      <c r="M657" s="6"/>
      <c r="N657" s="6"/>
      <c r="O657" s="6"/>
      <c r="P657" s="6"/>
      <c r="Q657" s="6"/>
      <c r="R657" s="6"/>
      <c r="S657" s="6"/>
      <c r="T657" s="6"/>
      <c r="U657" s="6"/>
      <c r="V657" s="6"/>
      <c r="W657" s="6"/>
      <c r="X657" s="6"/>
      <c r="Y657" s="6"/>
      <c r="Z657" s="6"/>
    </row>
    <row r="658" ht="12.75" hidden="1" customHeight="1">
      <c r="A658" s="34">
        <v>656.0</v>
      </c>
      <c r="B658" s="34">
        <v>10656.0</v>
      </c>
      <c r="C658" s="34" t="s">
        <v>7</v>
      </c>
      <c r="D658" s="35" t="s">
        <v>1233</v>
      </c>
      <c r="E658" s="34" t="s">
        <v>1230</v>
      </c>
      <c r="F658" s="34">
        <v>102.0</v>
      </c>
      <c r="G658" s="36">
        <v>0.0</v>
      </c>
      <c r="H658" s="6"/>
      <c r="I658" s="6"/>
      <c r="J658" s="6"/>
      <c r="K658" s="6"/>
      <c r="L658" s="6"/>
      <c r="M658" s="6"/>
      <c r="N658" s="6"/>
      <c r="O658" s="6"/>
      <c r="P658" s="6"/>
      <c r="Q658" s="6"/>
      <c r="R658" s="6"/>
      <c r="S658" s="6"/>
      <c r="T658" s="6"/>
      <c r="U658" s="6"/>
      <c r="V658" s="6"/>
      <c r="W658" s="6"/>
      <c r="X658" s="6"/>
      <c r="Y658" s="6"/>
      <c r="Z658" s="6"/>
    </row>
    <row r="659" ht="12.75" hidden="1" customHeight="1">
      <c r="A659" s="37">
        <v>657.0</v>
      </c>
      <c r="B659" s="37">
        <v>10657.0</v>
      </c>
      <c r="C659" s="37" t="s">
        <v>7</v>
      </c>
      <c r="D659" s="38" t="s">
        <v>1234</v>
      </c>
      <c r="E659" s="37" t="s">
        <v>1235</v>
      </c>
      <c r="F659" s="37">
        <v>79.0</v>
      </c>
      <c r="G659" s="39">
        <v>0.0</v>
      </c>
      <c r="H659" s="6"/>
      <c r="I659" s="6"/>
      <c r="J659" s="6"/>
      <c r="K659" s="6"/>
      <c r="L659" s="6"/>
      <c r="M659" s="6"/>
      <c r="N659" s="6"/>
      <c r="O659" s="6"/>
      <c r="P659" s="6"/>
      <c r="Q659" s="6"/>
      <c r="R659" s="6"/>
      <c r="S659" s="6"/>
      <c r="T659" s="6"/>
      <c r="U659" s="6"/>
      <c r="V659" s="6"/>
      <c r="W659" s="6"/>
      <c r="X659" s="6"/>
      <c r="Y659" s="6"/>
      <c r="Z659" s="6"/>
    </row>
    <row r="660" ht="12.75" hidden="1" customHeight="1">
      <c r="A660" s="34">
        <v>658.0</v>
      </c>
      <c r="B660" s="34">
        <v>10658.0</v>
      </c>
      <c r="C660" s="34" t="s">
        <v>7</v>
      </c>
      <c r="D660" s="35" t="s">
        <v>1236</v>
      </c>
      <c r="E660" s="34" t="s">
        <v>1237</v>
      </c>
      <c r="F660" s="34">
        <v>106.0</v>
      </c>
      <c r="G660" s="36">
        <v>0.0</v>
      </c>
      <c r="H660" s="6"/>
      <c r="I660" s="6"/>
      <c r="J660" s="6"/>
      <c r="K660" s="6"/>
      <c r="L660" s="6"/>
      <c r="M660" s="6"/>
      <c r="N660" s="6"/>
      <c r="O660" s="6"/>
      <c r="P660" s="6"/>
      <c r="Q660" s="6"/>
      <c r="R660" s="6"/>
      <c r="S660" s="6"/>
      <c r="T660" s="6"/>
      <c r="U660" s="6"/>
      <c r="V660" s="6"/>
      <c r="W660" s="6"/>
      <c r="X660" s="6"/>
      <c r="Y660" s="6"/>
      <c r="Z660" s="6"/>
    </row>
    <row r="661" ht="12.75" hidden="1" customHeight="1">
      <c r="A661" s="37">
        <v>659.0</v>
      </c>
      <c r="B661" s="37">
        <v>10659.0</v>
      </c>
      <c r="C661" s="37" t="s">
        <v>7</v>
      </c>
      <c r="D661" s="38" t="s">
        <v>1238</v>
      </c>
      <c r="E661" s="37" t="s">
        <v>1239</v>
      </c>
      <c r="F661" s="37">
        <v>138.0</v>
      </c>
      <c r="G661" s="39">
        <v>0.0</v>
      </c>
      <c r="H661" s="6"/>
      <c r="I661" s="6"/>
      <c r="J661" s="6"/>
      <c r="K661" s="6"/>
      <c r="L661" s="6"/>
      <c r="M661" s="6"/>
      <c r="N661" s="6"/>
      <c r="O661" s="6"/>
      <c r="P661" s="6"/>
      <c r="Q661" s="6"/>
      <c r="R661" s="6"/>
      <c r="S661" s="6"/>
      <c r="T661" s="6"/>
      <c r="U661" s="6"/>
      <c r="V661" s="6"/>
      <c r="W661" s="6"/>
      <c r="X661" s="6"/>
      <c r="Y661" s="6"/>
      <c r="Z661" s="6"/>
    </row>
    <row r="662" ht="12.75" hidden="1" customHeight="1">
      <c r="A662" s="34">
        <v>660.0</v>
      </c>
      <c r="B662" s="34">
        <v>10660.0</v>
      </c>
      <c r="C662" s="34" t="s">
        <v>7</v>
      </c>
      <c r="D662" s="35" t="s">
        <v>1240</v>
      </c>
      <c r="E662" s="34" t="s">
        <v>1241</v>
      </c>
      <c r="F662" s="34">
        <v>126.0</v>
      </c>
      <c r="G662" s="36">
        <v>0.0</v>
      </c>
      <c r="H662" s="6"/>
      <c r="I662" s="6"/>
      <c r="J662" s="6"/>
      <c r="K662" s="6"/>
      <c r="L662" s="6"/>
      <c r="M662" s="6"/>
      <c r="N662" s="6"/>
      <c r="O662" s="6"/>
      <c r="P662" s="6"/>
      <c r="Q662" s="6"/>
      <c r="R662" s="6"/>
      <c r="S662" s="6"/>
      <c r="T662" s="6"/>
      <c r="U662" s="6"/>
      <c r="V662" s="6"/>
      <c r="W662" s="6"/>
      <c r="X662" s="6"/>
      <c r="Y662" s="6"/>
      <c r="Z662" s="6"/>
    </row>
    <row r="663" ht="12.75" hidden="1" customHeight="1">
      <c r="A663" s="37">
        <v>661.0</v>
      </c>
      <c r="B663" s="37">
        <v>10661.0</v>
      </c>
      <c r="C663" s="37" t="s">
        <v>7</v>
      </c>
      <c r="D663" s="38" t="s">
        <v>1242</v>
      </c>
      <c r="E663" s="37" t="s">
        <v>1243</v>
      </c>
      <c r="F663" s="37">
        <v>95.0</v>
      </c>
      <c r="G663" s="39">
        <v>0.0</v>
      </c>
      <c r="H663" s="6"/>
      <c r="I663" s="6"/>
      <c r="J663" s="6"/>
      <c r="K663" s="6"/>
      <c r="L663" s="6"/>
      <c r="M663" s="6"/>
      <c r="N663" s="6"/>
      <c r="O663" s="6"/>
      <c r="P663" s="6"/>
      <c r="Q663" s="6"/>
      <c r="R663" s="6"/>
      <c r="S663" s="6"/>
      <c r="T663" s="6"/>
      <c r="U663" s="6"/>
      <c r="V663" s="6"/>
      <c r="W663" s="6"/>
      <c r="X663" s="6"/>
      <c r="Y663" s="6"/>
      <c r="Z663" s="6"/>
    </row>
    <row r="664" ht="12.75" hidden="1" customHeight="1">
      <c r="A664" s="34">
        <v>662.0</v>
      </c>
      <c r="B664" s="34">
        <v>10662.0</v>
      </c>
      <c r="C664" s="34" t="s">
        <v>7</v>
      </c>
      <c r="D664" s="35" t="s">
        <v>1244</v>
      </c>
      <c r="E664" s="34" t="s">
        <v>1245</v>
      </c>
      <c r="F664" s="34">
        <v>80.0</v>
      </c>
      <c r="G664" s="36">
        <v>0.0</v>
      </c>
      <c r="H664" s="6"/>
      <c r="I664" s="6"/>
      <c r="J664" s="6"/>
      <c r="K664" s="6"/>
      <c r="L664" s="6"/>
      <c r="M664" s="6"/>
      <c r="N664" s="6"/>
      <c r="O664" s="6"/>
      <c r="P664" s="6"/>
      <c r="Q664" s="6"/>
      <c r="R664" s="6"/>
      <c r="S664" s="6"/>
      <c r="T664" s="6"/>
      <c r="U664" s="6"/>
      <c r="V664" s="6"/>
      <c r="W664" s="6"/>
      <c r="X664" s="6"/>
      <c r="Y664" s="6"/>
      <c r="Z664" s="6"/>
    </row>
    <row r="665" ht="12.75" hidden="1" customHeight="1">
      <c r="A665" s="10">
        <v>663.0</v>
      </c>
      <c r="B665" s="10">
        <v>10663.0</v>
      </c>
      <c r="C665" s="10" t="s">
        <v>7</v>
      </c>
      <c r="D665" s="11" t="s">
        <v>1246</v>
      </c>
      <c r="E665" s="10" t="s">
        <v>1247</v>
      </c>
      <c r="F665" s="10">
        <v>67.0</v>
      </c>
      <c r="G665" s="12">
        <v>0.0</v>
      </c>
      <c r="H665" s="6"/>
      <c r="I665" s="6"/>
      <c r="J665" s="6"/>
      <c r="K665" s="6"/>
      <c r="L665" s="6"/>
      <c r="M665" s="6"/>
      <c r="N665" s="6"/>
      <c r="O665" s="6"/>
      <c r="P665" s="6"/>
      <c r="Q665" s="6"/>
      <c r="R665" s="6"/>
      <c r="S665" s="6"/>
      <c r="T665" s="6"/>
      <c r="U665" s="6"/>
      <c r="V665" s="6"/>
      <c r="W665" s="6"/>
      <c r="X665" s="6"/>
      <c r="Y665" s="6"/>
      <c r="Z665" s="6"/>
    </row>
    <row r="666" ht="12.75" hidden="1" customHeight="1">
      <c r="A666" s="7">
        <v>664.0</v>
      </c>
      <c r="B666" s="7">
        <v>10664.0</v>
      </c>
      <c r="C666" s="7" t="s">
        <v>7</v>
      </c>
      <c r="D666" s="8" t="s">
        <v>1248</v>
      </c>
      <c r="E666" s="7" t="s">
        <v>1249</v>
      </c>
      <c r="F666" s="7">
        <v>131.0</v>
      </c>
      <c r="G666" s="9">
        <v>0.0</v>
      </c>
      <c r="H666" s="6"/>
      <c r="I666" s="6"/>
      <c r="J666" s="6"/>
      <c r="K666" s="6"/>
      <c r="L666" s="6"/>
      <c r="M666" s="6"/>
      <c r="N666" s="6"/>
      <c r="O666" s="6"/>
      <c r="P666" s="6"/>
      <c r="Q666" s="6"/>
      <c r="R666" s="6"/>
      <c r="S666" s="6"/>
      <c r="T666" s="6"/>
      <c r="U666" s="6"/>
      <c r="V666" s="6"/>
      <c r="W666" s="6"/>
      <c r="X666" s="6"/>
      <c r="Y666" s="6"/>
      <c r="Z666" s="6"/>
    </row>
    <row r="667" ht="12.75" hidden="1" customHeight="1">
      <c r="A667" s="37">
        <v>665.0</v>
      </c>
      <c r="B667" s="37">
        <v>10665.0</v>
      </c>
      <c r="C667" s="37" t="s">
        <v>7</v>
      </c>
      <c r="D667" s="38" t="s">
        <v>1250</v>
      </c>
      <c r="E667" s="37" t="s">
        <v>1251</v>
      </c>
      <c r="F667" s="37">
        <v>115.0</v>
      </c>
      <c r="G667" s="39">
        <v>45763.0</v>
      </c>
      <c r="H667" s="6"/>
      <c r="I667" s="6"/>
      <c r="J667" s="6"/>
      <c r="K667" s="6"/>
      <c r="L667" s="6"/>
      <c r="M667" s="6"/>
      <c r="N667" s="6"/>
      <c r="O667" s="6"/>
      <c r="P667" s="6"/>
      <c r="Q667" s="6"/>
      <c r="R667" s="6"/>
      <c r="S667" s="6"/>
      <c r="T667" s="6"/>
      <c r="U667" s="6"/>
      <c r="V667" s="6"/>
      <c r="W667" s="6"/>
      <c r="X667" s="6"/>
      <c r="Y667" s="6"/>
      <c r="Z667" s="6"/>
    </row>
    <row r="668" ht="12.75" hidden="1" customHeight="1">
      <c r="A668" s="34">
        <v>666.0</v>
      </c>
      <c r="B668" s="34">
        <v>10666.0</v>
      </c>
      <c r="C668" s="34" t="s">
        <v>7</v>
      </c>
      <c r="D668" s="35" t="s">
        <v>1252</v>
      </c>
      <c r="E668" s="34" t="s">
        <v>1253</v>
      </c>
      <c r="F668" s="34">
        <v>102.0</v>
      </c>
      <c r="G668" s="36">
        <v>0.0</v>
      </c>
      <c r="H668" s="6"/>
      <c r="I668" s="6"/>
      <c r="J668" s="6"/>
      <c r="K668" s="6"/>
      <c r="L668" s="6"/>
      <c r="M668" s="6"/>
      <c r="N668" s="6"/>
      <c r="O668" s="6"/>
      <c r="P668" s="6"/>
      <c r="Q668" s="6"/>
      <c r="R668" s="6"/>
      <c r="S668" s="6"/>
      <c r="T668" s="6"/>
      <c r="U668" s="6"/>
      <c r="V668" s="6"/>
      <c r="W668" s="6"/>
      <c r="X668" s="6"/>
      <c r="Y668" s="6"/>
      <c r="Z668" s="6"/>
    </row>
    <row r="669" ht="12.75" hidden="1" customHeight="1">
      <c r="A669" s="37">
        <v>667.0</v>
      </c>
      <c r="B669" s="37">
        <v>10667.0</v>
      </c>
      <c r="C669" s="37" t="s">
        <v>34</v>
      </c>
      <c r="D669" s="38" t="s">
        <v>1254</v>
      </c>
      <c r="E669" s="37" t="s">
        <v>1255</v>
      </c>
      <c r="F669" s="37">
        <v>167.0</v>
      </c>
      <c r="G669" s="39">
        <v>0.0</v>
      </c>
      <c r="H669" s="6"/>
      <c r="I669" s="6"/>
      <c r="J669" s="6"/>
      <c r="K669" s="6"/>
      <c r="L669" s="6"/>
      <c r="M669" s="6"/>
      <c r="N669" s="6"/>
      <c r="O669" s="6"/>
      <c r="P669" s="6"/>
      <c r="Q669" s="6"/>
      <c r="R669" s="6"/>
      <c r="S669" s="6"/>
      <c r="T669" s="6"/>
      <c r="U669" s="6"/>
      <c r="V669" s="6"/>
      <c r="W669" s="6"/>
      <c r="X669" s="6"/>
      <c r="Y669" s="6"/>
      <c r="Z669" s="6"/>
    </row>
    <row r="670" ht="12.75" hidden="1" customHeight="1">
      <c r="A670" s="34">
        <v>668.0</v>
      </c>
      <c r="B670" s="34">
        <v>10668.0</v>
      </c>
      <c r="C670" s="34" t="s">
        <v>7</v>
      </c>
      <c r="D670" s="35" t="s">
        <v>1256</v>
      </c>
      <c r="E670" s="34" t="s">
        <v>1257</v>
      </c>
      <c r="F670" s="34">
        <v>89.0</v>
      </c>
      <c r="G670" s="36">
        <v>0.0</v>
      </c>
      <c r="H670" s="6"/>
      <c r="I670" s="6"/>
      <c r="J670" s="6"/>
      <c r="K670" s="6"/>
      <c r="L670" s="6"/>
      <c r="M670" s="6"/>
      <c r="N670" s="6"/>
      <c r="O670" s="6"/>
      <c r="P670" s="6"/>
      <c r="Q670" s="6"/>
      <c r="R670" s="6"/>
      <c r="S670" s="6"/>
      <c r="T670" s="6"/>
      <c r="U670" s="6"/>
      <c r="V670" s="6"/>
      <c r="W670" s="6"/>
      <c r="X670" s="6"/>
      <c r="Y670" s="6"/>
      <c r="Z670" s="6"/>
    </row>
    <row r="671" ht="12.75" hidden="1" customHeight="1">
      <c r="A671" s="37">
        <v>669.0</v>
      </c>
      <c r="B671" s="37">
        <v>10669.0</v>
      </c>
      <c r="C671" s="37" t="s">
        <v>34</v>
      </c>
      <c r="D671" s="38" t="s">
        <v>1258</v>
      </c>
      <c r="E671" s="37" t="s">
        <v>1259</v>
      </c>
      <c r="F671" s="37">
        <v>199.0</v>
      </c>
      <c r="G671" s="39">
        <v>0.0</v>
      </c>
      <c r="H671" s="6"/>
      <c r="I671" s="6"/>
      <c r="J671" s="6"/>
      <c r="K671" s="6"/>
      <c r="L671" s="6"/>
      <c r="M671" s="6"/>
      <c r="N671" s="6"/>
      <c r="O671" s="6"/>
      <c r="P671" s="6"/>
      <c r="Q671" s="6"/>
      <c r="R671" s="6"/>
      <c r="S671" s="6"/>
      <c r="T671" s="6"/>
      <c r="U671" s="6"/>
      <c r="V671" s="6"/>
      <c r="W671" s="6"/>
      <c r="X671" s="6"/>
      <c r="Y671" s="6"/>
      <c r="Z671" s="6"/>
    </row>
    <row r="672" ht="12.75" hidden="1" customHeight="1">
      <c r="A672" s="34">
        <v>670.0</v>
      </c>
      <c r="B672" s="34">
        <v>10670.0</v>
      </c>
      <c r="C672" s="34" t="s">
        <v>34</v>
      </c>
      <c r="D672" s="35" t="s">
        <v>1260</v>
      </c>
      <c r="E672" s="34" t="s">
        <v>1261</v>
      </c>
      <c r="F672" s="34">
        <v>170.0</v>
      </c>
      <c r="G672" s="36">
        <v>0.0</v>
      </c>
      <c r="H672" s="6"/>
      <c r="I672" s="6"/>
      <c r="J672" s="6"/>
      <c r="K672" s="6"/>
      <c r="L672" s="6"/>
      <c r="M672" s="6"/>
      <c r="N672" s="6"/>
      <c r="O672" s="6"/>
      <c r="P672" s="6"/>
      <c r="Q672" s="6"/>
      <c r="R672" s="6"/>
      <c r="S672" s="6"/>
      <c r="T672" s="6"/>
      <c r="U672" s="6"/>
      <c r="V672" s="6"/>
      <c r="W672" s="6"/>
      <c r="X672" s="6"/>
      <c r="Y672" s="6"/>
      <c r="Z672" s="6"/>
    </row>
    <row r="673" ht="12.75" hidden="1" customHeight="1">
      <c r="A673" s="37">
        <v>671.0</v>
      </c>
      <c r="B673" s="37">
        <v>10671.0</v>
      </c>
      <c r="C673" s="37" t="s">
        <v>7</v>
      </c>
      <c r="D673" s="38" t="s">
        <v>1262</v>
      </c>
      <c r="E673" s="37" t="s">
        <v>1263</v>
      </c>
      <c r="F673" s="37">
        <v>49.0</v>
      </c>
      <c r="G673" s="39">
        <v>0.0</v>
      </c>
      <c r="H673" s="6"/>
      <c r="I673" s="6"/>
      <c r="J673" s="6"/>
      <c r="K673" s="6"/>
      <c r="L673" s="6"/>
      <c r="M673" s="6"/>
      <c r="N673" s="6"/>
      <c r="O673" s="6"/>
      <c r="P673" s="6"/>
      <c r="Q673" s="6"/>
      <c r="R673" s="6"/>
      <c r="S673" s="6"/>
      <c r="T673" s="6"/>
      <c r="U673" s="6"/>
      <c r="V673" s="6"/>
      <c r="W673" s="6"/>
      <c r="X673" s="6"/>
      <c r="Y673" s="6"/>
      <c r="Z673" s="6"/>
    </row>
    <row r="674" ht="12.75" hidden="1" customHeight="1">
      <c r="A674" s="34">
        <v>672.0</v>
      </c>
      <c r="B674" s="34">
        <v>10672.0</v>
      </c>
      <c r="C674" s="34" t="s">
        <v>7</v>
      </c>
      <c r="D674" s="35" t="s">
        <v>1264</v>
      </c>
      <c r="E674" s="34" t="s">
        <v>1265</v>
      </c>
      <c r="F674" s="34">
        <v>82.0</v>
      </c>
      <c r="G674" s="36">
        <v>0.0</v>
      </c>
      <c r="H674" s="6"/>
      <c r="I674" s="6"/>
      <c r="J674" s="6"/>
      <c r="K674" s="6"/>
      <c r="L674" s="6"/>
      <c r="M674" s="6"/>
      <c r="N674" s="6"/>
      <c r="O674" s="6"/>
      <c r="P674" s="6"/>
      <c r="Q674" s="6"/>
      <c r="R674" s="6"/>
      <c r="S674" s="6"/>
      <c r="T674" s="6"/>
      <c r="U674" s="6"/>
      <c r="V674" s="6"/>
      <c r="W674" s="6"/>
      <c r="X674" s="6"/>
      <c r="Y674" s="6"/>
      <c r="Z674" s="6"/>
    </row>
    <row r="675" ht="12.75" hidden="1" customHeight="1">
      <c r="A675" s="37">
        <v>673.0</v>
      </c>
      <c r="B675" s="37">
        <v>10673.0</v>
      </c>
      <c r="C675" s="37" t="s">
        <v>7</v>
      </c>
      <c r="D675" s="38" t="s">
        <v>1266</v>
      </c>
      <c r="E675" s="37" t="s">
        <v>1267</v>
      </c>
      <c r="F675" s="37">
        <v>108.0</v>
      </c>
      <c r="G675" s="39">
        <v>0.0</v>
      </c>
      <c r="H675" s="6"/>
      <c r="I675" s="6"/>
      <c r="J675" s="6"/>
      <c r="K675" s="6"/>
      <c r="L675" s="6"/>
      <c r="M675" s="6"/>
      <c r="N675" s="6"/>
      <c r="O675" s="6"/>
      <c r="P675" s="6"/>
      <c r="Q675" s="6"/>
      <c r="R675" s="6"/>
      <c r="S675" s="6"/>
      <c r="T675" s="6"/>
      <c r="U675" s="6"/>
      <c r="V675" s="6"/>
      <c r="W675" s="6"/>
      <c r="X675" s="6"/>
      <c r="Y675" s="6"/>
      <c r="Z675" s="6"/>
    </row>
    <row r="676" ht="12.75" customHeight="1">
      <c r="A676" s="37">
        <v>674.0</v>
      </c>
      <c r="B676" s="82">
        <v>1435535.0</v>
      </c>
      <c r="C676" s="37" t="s">
        <v>34</v>
      </c>
      <c r="D676" s="38" t="s">
        <v>1268</v>
      </c>
      <c r="E676" s="37">
        <v>0.0</v>
      </c>
      <c r="F676" s="37">
        <v>1.0</v>
      </c>
      <c r="G676" s="39">
        <v>0.0</v>
      </c>
      <c r="H676" s="6"/>
      <c r="I676" s="6"/>
      <c r="J676" s="6"/>
      <c r="K676" s="6"/>
      <c r="L676" s="6"/>
      <c r="M676" s="6"/>
      <c r="N676" s="6"/>
      <c r="O676" s="6"/>
      <c r="P676" s="6"/>
      <c r="Q676" s="6"/>
      <c r="R676" s="6"/>
      <c r="S676" s="6"/>
      <c r="T676" s="6"/>
      <c r="U676" s="6"/>
      <c r="V676" s="6"/>
      <c r="W676" s="6"/>
      <c r="X676" s="6"/>
      <c r="Y676" s="6"/>
      <c r="Z676" s="6"/>
    </row>
    <row r="677" ht="12.75" hidden="1" customHeight="1">
      <c r="A677" s="37">
        <v>675.0</v>
      </c>
      <c r="B677" s="37">
        <v>10675.0</v>
      </c>
      <c r="C677" s="37" t="s">
        <v>7</v>
      </c>
      <c r="D677" s="38" t="s">
        <v>1269</v>
      </c>
      <c r="E677" s="37" t="s">
        <v>1270</v>
      </c>
      <c r="F677" s="37">
        <v>65.0</v>
      </c>
      <c r="G677" s="39">
        <v>45763.0</v>
      </c>
      <c r="H677" s="6"/>
      <c r="I677" s="6"/>
      <c r="J677" s="6"/>
      <c r="K677" s="6"/>
      <c r="L677" s="6"/>
      <c r="M677" s="6"/>
      <c r="N677" s="6"/>
      <c r="O677" s="6"/>
      <c r="P677" s="6"/>
      <c r="Q677" s="6"/>
      <c r="R677" s="6"/>
      <c r="S677" s="6"/>
      <c r="T677" s="6"/>
      <c r="U677" s="6"/>
      <c r="V677" s="6"/>
      <c r="W677" s="6"/>
      <c r="X677" s="6"/>
      <c r="Y677" s="6"/>
      <c r="Z677" s="6"/>
    </row>
    <row r="678" ht="12.75" hidden="1" customHeight="1">
      <c r="A678" s="34">
        <v>676.0</v>
      </c>
      <c r="B678" s="34">
        <v>10676.0</v>
      </c>
      <c r="C678" s="34" t="s">
        <v>7</v>
      </c>
      <c r="D678" s="35" t="s">
        <v>1271</v>
      </c>
      <c r="E678" s="34" t="s">
        <v>1272</v>
      </c>
      <c r="F678" s="34">
        <v>84.0</v>
      </c>
      <c r="G678" s="36">
        <v>45763.0</v>
      </c>
      <c r="H678" s="6"/>
      <c r="I678" s="6"/>
      <c r="J678" s="6"/>
      <c r="K678" s="6"/>
      <c r="L678" s="6"/>
      <c r="M678" s="6"/>
      <c r="N678" s="6"/>
      <c r="O678" s="6"/>
      <c r="P678" s="6"/>
      <c r="Q678" s="6"/>
      <c r="R678" s="6"/>
      <c r="S678" s="6"/>
      <c r="T678" s="6"/>
      <c r="U678" s="6"/>
      <c r="V678" s="6"/>
      <c r="W678" s="6"/>
      <c r="X678" s="6"/>
      <c r="Y678" s="6"/>
      <c r="Z678" s="6"/>
    </row>
    <row r="679" ht="12.75" hidden="1" customHeight="1">
      <c r="A679" s="37">
        <v>677.0</v>
      </c>
      <c r="B679" s="37">
        <v>10677.0</v>
      </c>
      <c r="C679" s="37" t="s">
        <v>7</v>
      </c>
      <c r="D679" s="38" t="s">
        <v>1273</v>
      </c>
      <c r="E679" s="37" t="s">
        <v>1274</v>
      </c>
      <c r="F679" s="37">
        <v>61.0</v>
      </c>
      <c r="G679" s="39">
        <v>45763.0</v>
      </c>
      <c r="H679" s="6"/>
      <c r="I679" s="6"/>
      <c r="J679" s="6"/>
      <c r="K679" s="6"/>
      <c r="L679" s="6"/>
      <c r="M679" s="6"/>
      <c r="N679" s="6"/>
      <c r="O679" s="6"/>
      <c r="P679" s="6"/>
      <c r="Q679" s="6"/>
      <c r="R679" s="6"/>
      <c r="S679" s="6"/>
      <c r="T679" s="6"/>
      <c r="U679" s="6"/>
      <c r="V679" s="6"/>
      <c r="W679" s="6"/>
      <c r="X679" s="6"/>
      <c r="Y679" s="6"/>
      <c r="Z679" s="6"/>
    </row>
    <row r="680" ht="12.75" hidden="1" customHeight="1">
      <c r="A680" s="34">
        <v>678.0</v>
      </c>
      <c r="B680" s="34">
        <v>10678.0</v>
      </c>
      <c r="C680" s="34" t="s">
        <v>7</v>
      </c>
      <c r="D680" s="35" t="s">
        <v>1275</v>
      </c>
      <c r="E680" s="34" t="s">
        <v>1276</v>
      </c>
      <c r="F680" s="34">
        <v>95.0</v>
      </c>
      <c r="G680" s="36">
        <v>45763.0</v>
      </c>
      <c r="H680" s="6"/>
      <c r="I680" s="6"/>
      <c r="J680" s="6"/>
      <c r="K680" s="6"/>
      <c r="L680" s="6"/>
      <c r="M680" s="6"/>
      <c r="N680" s="6"/>
      <c r="O680" s="6"/>
      <c r="P680" s="6"/>
      <c r="Q680" s="6"/>
      <c r="R680" s="6"/>
      <c r="S680" s="6"/>
      <c r="T680" s="6"/>
      <c r="U680" s="6"/>
      <c r="V680" s="6"/>
      <c r="W680" s="6"/>
      <c r="X680" s="6"/>
      <c r="Y680" s="6"/>
      <c r="Z680" s="6"/>
    </row>
    <row r="681" ht="12.75" hidden="1" customHeight="1">
      <c r="A681" s="37">
        <v>679.0</v>
      </c>
      <c r="B681" s="37">
        <v>10679.0</v>
      </c>
      <c r="C681" s="37" t="s">
        <v>20</v>
      </c>
      <c r="D681" s="38" t="s">
        <v>1277</v>
      </c>
      <c r="E681" s="37" t="s">
        <v>1278</v>
      </c>
      <c r="F681" s="37">
        <v>127.0</v>
      </c>
      <c r="G681" s="39">
        <v>0.0</v>
      </c>
      <c r="H681" s="6"/>
      <c r="I681" s="6"/>
      <c r="J681" s="6"/>
      <c r="K681" s="6"/>
      <c r="L681" s="6"/>
      <c r="M681" s="6"/>
      <c r="N681" s="6"/>
      <c r="O681" s="6"/>
      <c r="P681" s="6"/>
      <c r="Q681" s="6"/>
      <c r="R681" s="6"/>
      <c r="S681" s="6"/>
      <c r="T681" s="6"/>
      <c r="U681" s="6"/>
      <c r="V681" s="6"/>
      <c r="W681" s="6"/>
      <c r="X681" s="6"/>
      <c r="Y681" s="6"/>
      <c r="Z681" s="6"/>
    </row>
    <row r="682" ht="12.75" hidden="1" customHeight="1">
      <c r="A682" s="34">
        <v>680.0</v>
      </c>
      <c r="B682" s="34">
        <v>10680.0</v>
      </c>
      <c r="C682" s="34" t="s">
        <v>27</v>
      </c>
      <c r="D682" s="35" t="s">
        <v>1279</v>
      </c>
      <c r="E682" s="34" t="s">
        <v>1280</v>
      </c>
      <c r="F682" s="34">
        <v>177.0</v>
      </c>
      <c r="G682" s="36">
        <v>0.0</v>
      </c>
      <c r="H682" s="6"/>
      <c r="I682" s="6"/>
      <c r="J682" s="6"/>
      <c r="K682" s="6"/>
      <c r="L682" s="6"/>
      <c r="M682" s="6"/>
      <c r="N682" s="6"/>
      <c r="O682" s="6"/>
      <c r="P682" s="6"/>
      <c r="Q682" s="6"/>
      <c r="R682" s="6"/>
      <c r="S682" s="6"/>
      <c r="T682" s="6"/>
      <c r="U682" s="6"/>
      <c r="V682" s="6"/>
      <c r="W682" s="6"/>
      <c r="X682" s="6"/>
      <c r="Y682" s="6"/>
      <c r="Z682" s="6"/>
    </row>
    <row r="683" ht="12.75" hidden="1" customHeight="1">
      <c r="A683" s="37">
        <v>681.0</v>
      </c>
      <c r="B683" s="37">
        <v>10681.0</v>
      </c>
      <c r="C683" s="37" t="s">
        <v>7</v>
      </c>
      <c r="D683" s="38" t="s">
        <v>1281</v>
      </c>
      <c r="E683" s="37" t="s">
        <v>1282</v>
      </c>
      <c r="F683" s="37">
        <v>86.0</v>
      </c>
      <c r="G683" s="39">
        <v>0.0</v>
      </c>
      <c r="H683" s="6"/>
      <c r="I683" s="6"/>
      <c r="J683" s="6"/>
      <c r="K683" s="6"/>
      <c r="L683" s="6"/>
      <c r="M683" s="6"/>
      <c r="N683" s="6"/>
      <c r="O683" s="6"/>
      <c r="P683" s="6"/>
      <c r="Q683" s="6"/>
      <c r="R683" s="6"/>
      <c r="S683" s="6"/>
      <c r="T683" s="6"/>
      <c r="U683" s="6"/>
      <c r="V683" s="6"/>
      <c r="W683" s="6"/>
      <c r="X683" s="6"/>
      <c r="Y683" s="6"/>
      <c r="Z683" s="6"/>
    </row>
    <row r="684" ht="12.75" hidden="1" customHeight="1">
      <c r="A684" s="34">
        <v>682.0</v>
      </c>
      <c r="B684" s="34">
        <v>10682.0</v>
      </c>
      <c r="C684" s="34" t="s">
        <v>27</v>
      </c>
      <c r="D684" s="35" t="s">
        <v>1283</v>
      </c>
      <c r="E684" s="34" t="s">
        <v>1284</v>
      </c>
      <c r="F684" s="34">
        <v>199.0</v>
      </c>
      <c r="G684" s="36">
        <v>0.0</v>
      </c>
      <c r="H684" s="6"/>
      <c r="I684" s="6"/>
      <c r="J684" s="6"/>
      <c r="K684" s="6"/>
      <c r="L684" s="6"/>
      <c r="M684" s="6"/>
      <c r="N684" s="6"/>
      <c r="O684" s="6"/>
      <c r="P684" s="6"/>
      <c r="Q684" s="6"/>
      <c r="R684" s="6"/>
      <c r="S684" s="6"/>
      <c r="T684" s="6"/>
      <c r="U684" s="6"/>
      <c r="V684" s="6"/>
      <c r="W684" s="6"/>
      <c r="X684" s="6"/>
      <c r="Y684" s="6"/>
      <c r="Z684" s="6"/>
    </row>
    <row r="685" ht="12.75" hidden="1" customHeight="1">
      <c r="A685" s="37">
        <v>683.0</v>
      </c>
      <c r="B685" s="37">
        <v>10683.0</v>
      </c>
      <c r="C685" s="37" t="s">
        <v>34</v>
      </c>
      <c r="D685" s="38" t="s">
        <v>1285</v>
      </c>
      <c r="E685" s="37" t="s">
        <v>1286</v>
      </c>
      <c r="F685" s="37">
        <v>153.0</v>
      </c>
      <c r="G685" s="39">
        <v>0.0</v>
      </c>
      <c r="H685" s="6"/>
      <c r="I685" s="6"/>
      <c r="J685" s="6"/>
      <c r="K685" s="6"/>
      <c r="L685" s="6"/>
      <c r="M685" s="6"/>
      <c r="N685" s="6"/>
      <c r="O685" s="6"/>
      <c r="P685" s="6"/>
      <c r="Q685" s="6"/>
      <c r="R685" s="6"/>
      <c r="S685" s="6"/>
      <c r="T685" s="6"/>
      <c r="U685" s="6"/>
      <c r="V685" s="6"/>
      <c r="W685" s="6"/>
      <c r="X685" s="6"/>
      <c r="Y685" s="6"/>
      <c r="Z685" s="6"/>
    </row>
    <row r="686" ht="12.75" hidden="1" customHeight="1">
      <c r="A686" s="34">
        <v>684.0</v>
      </c>
      <c r="B686" s="34">
        <v>10684.0</v>
      </c>
      <c r="C686" s="34" t="s">
        <v>34</v>
      </c>
      <c r="D686" s="35" t="s">
        <v>1287</v>
      </c>
      <c r="E686" s="34" t="s">
        <v>1288</v>
      </c>
      <c r="F686" s="34">
        <v>187.0</v>
      </c>
      <c r="G686" s="36">
        <v>0.0</v>
      </c>
      <c r="H686" s="6"/>
      <c r="I686" s="6"/>
      <c r="J686" s="6"/>
      <c r="K686" s="6"/>
      <c r="L686" s="6"/>
      <c r="M686" s="6"/>
      <c r="N686" s="6"/>
      <c r="O686" s="6"/>
      <c r="P686" s="6"/>
      <c r="Q686" s="6"/>
      <c r="R686" s="6"/>
      <c r="S686" s="6"/>
      <c r="T686" s="6"/>
      <c r="U686" s="6"/>
      <c r="V686" s="6"/>
      <c r="W686" s="6"/>
      <c r="X686" s="6"/>
      <c r="Y686" s="6"/>
      <c r="Z686" s="6"/>
    </row>
    <row r="687" ht="12.75" customHeight="1">
      <c r="A687" s="37">
        <v>685.0</v>
      </c>
      <c r="B687" s="37">
        <v>10685.0</v>
      </c>
      <c r="C687" s="37" t="s">
        <v>34</v>
      </c>
      <c r="D687" s="38" t="s">
        <v>1289</v>
      </c>
      <c r="E687" s="37" t="e">
        <v>#N/A</v>
      </c>
      <c r="F687" s="37" t="e">
        <v>#N/A</v>
      </c>
      <c r="G687" s="39" t="e">
        <v>#N/A</v>
      </c>
      <c r="H687" s="6"/>
      <c r="I687" s="6"/>
      <c r="J687" s="6"/>
      <c r="K687" s="6"/>
      <c r="L687" s="6"/>
      <c r="M687" s="6"/>
      <c r="N687" s="6"/>
      <c r="O687" s="6"/>
      <c r="P687" s="6"/>
      <c r="Q687" s="6"/>
      <c r="R687" s="6"/>
      <c r="S687" s="6"/>
      <c r="T687" s="6"/>
      <c r="U687" s="6"/>
      <c r="V687" s="6"/>
      <c r="W687" s="6"/>
      <c r="X687" s="6"/>
      <c r="Y687" s="6"/>
      <c r="Z687" s="6"/>
    </row>
    <row r="688" ht="12.75" customHeight="1">
      <c r="A688" s="37">
        <v>686.0</v>
      </c>
      <c r="B688" s="37">
        <v>10686.0</v>
      </c>
      <c r="C688" s="37" t="s">
        <v>34</v>
      </c>
      <c r="D688" s="38" t="s">
        <v>1290</v>
      </c>
      <c r="E688" s="37" t="e">
        <v>#N/A</v>
      </c>
      <c r="F688" s="37" t="e">
        <v>#N/A</v>
      </c>
      <c r="G688" s="39" t="e">
        <v>#N/A</v>
      </c>
      <c r="H688" s="6"/>
      <c r="I688" s="6"/>
      <c r="J688" s="6"/>
      <c r="K688" s="6"/>
      <c r="L688" s="6"/>
      <c r="M688" s="6"/>
      <c r="N688" s="6"/>
      <c r="O688" s="6"/>
      <c r="P688" s="6"/>
      <c r="Q688" s="6"/>
      <c r="R688" s="6"/>
      <c r="S688" s="6"/>
      <c r="T688" s="6"/>
      <c r="U688" s="6"/>
      <c r="V688" s="6"/>
      <c r="W688" s="6"/>
      <c r="X688" s="6"/>
      <c r="Y688" s="6"/>
      <c r="Z688" s="6"/>
    </row>
    <row r="689" ht="12.75" customHeight="1">
      <c r="A689" s="37">
        <v>687.0</v>
      </c>
      <c r="B689" s="37">
        <v>10687.0</v>
      </c>
      <c r="C689" s="37" t="s">
        <v>34</v>
      </c>
      <c r="D689" s="38" t="s">
        <v>1291</v>
      </c>
      <c r="E689" s="37" t="e">
        <v>#N/A</v>
      </c>
      <c r="F689" s="37" t="e">
        <v>#N/A</v>
      </c>
      <c r="G689" s="39" t="e">
        <v>#N/A</v>
      </c>
      <c r="H689" s="6"/>
      <c r="I689" s="6"/>
      <c r="J689" s="6"/>
      <c r="K689" s="6"/>
      <c r="L689" s="6"/>
      <c r="M689" s="6"/>
      <c r="N689" s="6"/>
      <c r="O689" s="6"/>
      <c r="P689" s="6"/>
      <c r="Q689" s="6"/>
      <c r="R689" s="6"/>
      <c r="S689" s="6"/>
      <c r="T689" s="6"/>
      <c r="U689" s="6"/>
      <c r="V689" s="6"/>
      <c r="W689" s="6"/>
      <c r="X689" s="6"/>
      <c r="Y689" s="6"/>
      <c r="Z689" s="6"/>
    </row>
    <row r="690" ht="12.75" hidden="1" customHeight="1">
      <c r="A690" s="37">
        <v>688.0</v>
      </c>
      <c r="B690" s="37">
        <v>10688.0</v>
      </c>
      <c r="C690" s="37" t="s">
        <v>27</v>
      </c>
      <c r="D690" s="38" t="s">
        <v>1292</v>
      </c>
      <c r="E690" s="38" t="s">
        <v>1293</v>
      </c>
      <c r="F690" s="37">
        <f>LEN(E690)</f>
        <v>123</v>
      </c>
      <c r="G690" s="39">
        <v>46013.0</v>
      </c>
      <c r="H690" s="6"/>
      <c r="I690" s="6"/>
      <c r="J690" s="6"/>
      <c r="K690" s="6"/>
      <c r="L690" s="6"/>
      <c r="M690" s="6"/>
      <c r="N690" s="6"/>
      <c r="O690" s="6"/>
      <c r="P690" s="6"/>
      <c r="Q690" s="6"/>
      <c r="R690" s="6"/>
      <c r="S690" s="6"/>
      <c r="T690" s="6"/>
      <c r="U690" s="6"/>
      <c r="V690" s="6"/>
      <c r="W690" s="6"/>
      <c r="X690" s="6"/>
      <c r="Y690" s="6"/>
      <c r="Z690" s="6"/>
    </row>
    <row r="691" ht="12.75" customHeight="1">
      <c r="A691" s="37">
        <v>689.0</v>
      </c>
      <c r="B691" s="37">
        <v>10689.0</v>
      </c>
      <c r="C691" s="37" t="s">
        <v>34</v>
      </c>
      <c r="D691" s="38" t="s">
        <v>1294</v>
      </c>
      <c r="E691" s="37" t="e">
        <v>#N/A</v>
      </c>
      <c r="F691" s="37" t="e">
        <v>#N/A</v>
      </c>
      <c r="G691" s="39" t="e">
        <v>#N/A</v>
      </c>
      <c r="H691" s="6"/>
      <c r="I691" s="6"/>
      <c r="J691" s="6"/>
      <c r="K691" s="6"/>
      <c r="L691" s="6"/>
      <c r="M691" s="6"/>
      <c r="N691" s="6"/>
      <c r="O691" s="6"/>
      <c r="P691" s="6"/>
      <c r="Q691" s="6"/>
      <c r="R691" s="6"/>
      <c r="S691" s="6"/>
      <c r="T691" s="6"/>
      <c r="U691" s="6"/>
      <c r="V691" s="6"/>
      <c r="W691" s="6"/>
      <c r="X691" s="6"/>
      <c r="Y691" s="6"/>
      <c r="Z691" s="6"/>
    </row>
    <row r="692" ht="12.75" customHeight="1">
      <c r="A692" s="37">
        <v>690.0</v>
      </c>
      <c r="B692" s="37">
        <v>10690.0</v>
      </c>
      <c r="C692" s="37" t="s">
        <v>34</v>
      </c>
      <c r="D692" s="38" t="s">
        <v>1295</v>
      </c>
      <c r="E692" s="37" t="e">
        <v>#N/A</v>
      </c>
      <c r="F692" s="37" t="e">
        <v>#N/A</v>
      </c>
      <c r="G692" s="39" t="e">
        <v>#N/A</v>
      </c>
      <c r="H692" s="6"/>
      <c r="I692" s="6"/>
      <c r="J692" s="6"/>
      <c r="K692" s="6"/>
      <c r="L692" s="6"/>
      <c r="M692" s="6"/>
      <c r="N692" s="6"/>
      <c r="O692" s="6"/>
      <c r="P692" s="6"/>
      <c r="Q692" s="6"/>
      <c r="R692" s="6"/>
      <c r="S692" s="6"/>
      <c r="T692" s="6"/>
      <c r="U692" s="6"/>
      <c r="V692" s="6"/>
      <c r="W692" s="6"/>
      <c r="X692" s="6"/>
      <c r="Y692" s="6"/>
      <c r="Z692" s="6"/>
    </row>
    <row r="693" ht="12.75" hidden="1" customHeight="1">
      <c r="A693" s="83">
        <v>691.0</v>
      </c>
      <c r="B693" s="83">
        <v>10691.0</v>
      </c>
      <c r="C693" s="83" t="s">
        <v>20</v>
      </c>
      <c r="D693" s="38" t="s">
        <v>1296</v>
      </c>
      <c r="E693" s="83" t="s">
        <v>1297</v>
      </c>
      <c r="F693" s="83">
        <v>137.0</v>
      </c>
      <c r="G693" s="84">
        <v>0.0</v>
      </c>
      <c r="H693" s="6"/>
      <c r="I693" s="6"/>
      <c r="J693" s="6"/>
      <c r="K693" s="6"/>
      <c r="L693" s="6"/>
      <c r="M693" s="6"/>
      <c r="N693" s="6"/>
      <c r="O693" s="6"/>
      <c r="P693" s="6"/>
      <c r="Q693" s="6"/>
      <c r="R693" s="6"/>
      <c r="S693" s="6"/>
      <c r="T693" s="6"/>
      <c r="U693" s="6"/>
      <c r="V693" s="6"/>
      <c r="W693" s="6"/>
      <c r="X693" s="6"/>
      <c r="Y693" s="6"/>
      <c r="Z693" s="6"/>
    </row>
    <row r="694" ht="12.75" customHeight="1">
      <c r="A694" s="37">
        <v>692.0</v>
      </c>
      <c r="B694" s="37">
        <v>10692.0</v>
      </c>
      <c r="C694" s="37" t="s">
        <v>34</v>
      </c>
      <c r="D694" s="38" t="s">
        <v>1298</v>
      </c>
      <c r="E694" s="37" t="e">
        <v>#N/A</v>
      </c>
      <c r="F694" s="37" t="e">
        <v>#N/A</v>
      </c>
      <c r="G694" s="39" t="e">
        <v>#N/A</v>
      </c>
      <c r="H694" s="6"/>
      <c r="I694" s="6"/>
      <c r="J694" s="6"/>
      <c r="K694" s="6"/>
      <c r="L694" s="6"/>
      <c r="M694" s="6"/>
      <c r="N694" s="6"/>
      <c r="O694" s="6"/>
      <c r="P694" s="6"/>
      <c r="Q694" s="6"/>
      <c r="R694" s="6"/>
      <c r="S694" s="6"/>
      <c r="T694" s="6"/>
      <c r="U694" s="6"/>
      <c r="V694" s="6"/>
      <c r="W694" s="6"/>
      <c r="X694" s="6"/>
      <c r="Y694" s="6"/>
      <c r="Z694" s="6"/>
    </row>
    <row r="695" ht="12.75" customHeight="1">
      <c r="A695" s="37">
        <v>693.0</v>
      </c>
      <c r="B695" s="37">
        <v>10693.0</v>
      </c>
      <c r="C695" s="37" t="s">
        <v>7</v>
      </c>
      <c r="D695" s="38" t="s">
        <v>1299</v>
      </c>
      <c r="E695" s="37" t="e">
        <v>#N/A</v>
      </c>
      <c r="F695" s="37" t="e">
        <v>#N/A</v>
      </c>
      <c r="G695" s="39" t="e">
        <v>#N/A</v>
      </c>
      <c r="H695" s="6"/>
      <c r="I695" s="6"/>
      <c r="J695" s="6"/>
      <c r="K695" s="6"/>
      <c r="L695" s="6"/>
      <c r="M695" s="6"/>
      <c r="N695" s="6"/>
      <c r="O695" s="6"/>
      <c r="P695" s="6"/>
      <c r="Q695" s="6"/>
      <c r="R695" s="6"/>
      <c r="S695" s="6"/>
      <c r="T695" s="6"/>
      <c r="U695" s="6"/>
      <c r="V695" s="6"/>
      <c r="W695" s="6"/>
      <c r="X695" s="6"/>
      <c r="Y695" s="6"/>
      <c r="Z695" s="6"/>
    </row>
    <row r="696" ht="12.75" customHeight="1">
      <c r="A696" s="37">
        <v>694.0</v>
      </c>
      <c r="B696" s="37">
        <v>10694.0</v>
      </c>
      <c r="C696" s="37" t="s">
        <v>34</v>
      </c>
      <c r="D696" s="38" t="s">
        <v>1300</v>
      </c>
      <c r="E696" s="37" t="e">
        <v>#N/A</v>
      </c>
      <c r="F696" s="37" t="e">
        <v>#N/A</v>
      </c>
      <c r="G696" s="39" t="e">
        <v>#N/A</v>
      </c>
      <c r="H696" s="6"/>
      <c r="I696" s="6"/>
      <c r="J696" s="6"/>
      <c r="K696" s="6"/>
      <c r="L696" s="6"/>
      <c r="M696" s="6"/>
      <c r="N696" s="6"/>
      <c r="O696" s="6"/>
      <c r="P696" s="6"/>
      <c r="Q696" s="6"/>
      <c r="R696" s="6"/>
      <c r="S696" s="6"/>
      <c r="T696" s="6"/>
      <c r="U696" s="6"/>
      <c r="V696" s="6"/>
      <c r="W696" s="6"/>
      <c r="X696" s="6"/>
      <c r="Y696" s="6"/>
      <c r="Z696" s="6"/>
    </row>
    <row r="697" ht="12.75" customHeight="1">
      <c r="A697" s="40">
        <v>695.0</v>
      </c>
      <c r="B697" s="40">
        <v>10695.0</v>
      </c>
      <c r="C697" s="40" t="s">
        <v>34</v>
      </c>
      <c r="D697" s="41" t="s">
        <v>1301</v>
      </c>
      <c r="E697" s="40" t="e">
        <v>#N/A</v>
      </c>
      <c r="F697" s="40" t="e">
        <v>#N/A</v>
      </c>
      <c r="G697" s="42" t="e">
        <v>#N/A</v>
      </c>
      <c r="H697" s="6"/>
      <c r="I697" s="6"/>
      <c r="J697" s="6"/>
      <c r="K697" s="6"/>
      <c r="L697" s="6"/>
      <c r="M697" s="6"/>
      <c r="N697" s="6"/>
      <c r="O697" s="6"/>
      <c r="P697" s="6"/>
      <c r="Q697" s="6"/>
      <c r="R697" s="6"/>
      <c r="S697" s="6"/>
      <c r="T697" s="6"/>
      <c r="U697" s="6"/>
      <c r="V697" s="6"/>
      <c r="W697" s="6"/>
      <c r="X697" s="6"/>
      <c r="Y697" s="6"/>
      <c r="Z697" s="6"/>
    </row>
    <row r="698" ht="12.75" customHeight="1">
      <c r="A698" s="40">
        <v>696.0</v>
      </c>
      <c r="B698" s="40">
        <v>10696.0</v>
      </c>
      <c r="C698" s="40" t="s">
        <v>34</v>
      </c>
      <c r="D698" s="41" t="s">
        <v>1302</v>
      </c>
      <c r="E698" s="40" t="e">
        <v>#N/A</v>
      </c>
      <c r="F698" s="40" t="e">
        <v>#N/A</v>
      </c>
      <c r="G698" s="42" t="e">
        <v>#N/A</v>
      </c>
      <c r="H698" s="6"/>
      <c r="I698" s="6"/>
      <c r="J698" s="6"/>
      <c r="K698" s="6"/>
      <c r="L698" s="6"/>
      <c r="M698" s="6"/>
      <c r="N698" s="6"/>
      <c r="O698" s="6"/>
      <c r="P698" s="6"/>
      <c r="Q698" s="6"/>
      <c r="R698" s="6"/>
      <c r="S698" s="6"/>
      <c r="T698" s="6"/>
      <c r="U698" s="6"/>
      <c r="V698" s="6"/>
      <c r="W698" s="6"/>
      <c r="X698" s="6"/>
      <c r="Y698" s="6"/>
      <c r="Z698" s="6"/>
    </row>
    <row r="699" ht="12.75" customHeight="1">
      <c r="A699" s="37">
        <v>697.0</v>
      </c>
      <c r="B699" s="37">
        <v>10697.0</v>
      </c>
      <c r="C699" s="37" t="s">
        <v>7</v>
      </c>
      <c r="D699" s="38" t="s">
        <v>1303</v>
      </c>
      <c r="E699" s="37" t="e">
        <v>#N/A</v>
      </c>
      <c r="F699" s="37" t="e">
        <v>#N/A</v>
      </c>
      <c r="G699" s="39" t="e">
        <v>#N/A</v>
      </c>
      <c r="H699" s="6"/>
      <c r="I699" s="6"/>
      <c r="J699" s="6"/>
      <c r="K699" s="6"/>
      <c r="L699" s="6"/>
      <c r="M699" s="6"/>
      <c r="N699" s="6"/>
      <c r="O699" s="6"/>
      <c r="P699" s="6"/>
      <c r="Q699" s="6"/>
      <c r="R699" s="6"/>
      <c r="S699" s="6"/>
      <c r="T699" s="6"/>
      <c r="U699" s="6"/>
      <c r="V699" s="6"/>
      <c r="W699" s="6"/>
      <c r="X699" s="6"/>
      <c r="Y699" s="6"/>
      <c r="Z699" s="6"/>
    </row>
    <row r="700" ht="12.75" customHeight="1">
      <c r="A700" s="37">
        <v>698.0</v>
      </c>
      <c r="B700" s="37">
        <v>10698.0</v>
      </c>
      <c r="C700" s="37" t="s">
        <v>34</v>
      </c>
      <c r="D700" s="38" t="s">
        <v>1304</v>
      </c>
      <c r="E700" s="37" t="e">
        <v>#N/A</v>
      </c>
      <c r="F700" s="37" t="e">
        <v>#N/A</v>
      </c>
      <c r="G700" s="39" t="e">
        <v>#N/A</v>
      </c>
      <c r="H700" s="6"/>
      <c r="I700" s="6"/>
      <c r="J700" s="6"/>
      <c r="K700" s="6"/>
      <c r="L700" s="6"/>
      <c r="M700" s="6"/>
      <c r="N700" s="6"/>
      <c r="O700" s="6"/>
      <c r="P700" s="6"/>
      <c r="Q700" s="6"/>
      <c r="R700" s="6"/>
      <c r="S700" s="6"/>
      <c r="T700" s="6"/>
      <c r="U700" s="6"/>
      <c r="V700" s="6"/>
      <c r="W700" s="6"/>
      <c r="X700" s="6"/>
      <c r="Y700" s="6"/>
      <c r="Z700" s="6"/>
    </row>
    <row r="701" ht="12.75" customHeight="1">
      <c r="A701" s="40">
        <v>699.0</v>
      </c>
      <c r="B701" s="40">
        <v>10699.0</v>
      </c>
      <c r="C701" s="40" t="s">
        <v>34</v>
      </c>
      <c r="D701" s="41" t="s">
        <v>1305</v>
      </c>
      <c r="E701" s="40" t="e">
        <v>#N/A</v>
      </c>
      <c r="F701" s="40" t="e">
        <v>#N/A</v>
      </c>
      <c r="G701" s="42" t="e">
        <v>#N/A</v>
      </c>
      <c r="H701" s="6"/>
      <c r="I701" s="6"/>
      <c r="J701" s="6"/>
      <c r="K701" s="6"/>
      <c r="L701" s="6"/>
      <c r="M701" s="6"/>
      <c r="N701" s="6"/>
      <c r="O701" s="6"/>
      <c r="P701" s="6"/>
      <c r="Q701" s="6"/>
      <c r="R701" s="6"/>
      <c r="S701" s="6"/>
      <c r="T701" s="6"/>
      <c r="U701" s="6"/>
      <c r="V701" s="6"/>
      <c r="W701" s="6"/>
      <c r="X701" s="6"/>
      <c r="Y701" s="6"/>
      <c r="Z701" s="6"/>
    </row>
    <row r="702" ht="12.75" customHeight="1">
      <c r="A702" s="10">
        <v>700.0</v>
      </c>
      <c r="B702" s="10">
        <v>10700.0</v>
      </c>
      <c r="C702" s="10" t="s">
        <v>7</v>
      </c>
      <c r="D702" s="11" t="s">
        <v>1306</v>
      </c>
      <c r="E702" s="10" t="e">
        <v>#N/A</v>
      </c>
      <c r="F702" s="10" t="e">
        <v>#N/A</v>
      </c>
      <c r="G702" s="12" t="e">
        <v>#N/A</v>
      </c>
      <c r="H702" s="6"/>
      <c r="I702" s="6"/>
      <c r="J702" s="6"/>
      <c r="K702" s="6"/>
      <c r="L702" s="6"/>
      <c r="M702" s="6"/>
      <c r="N702" s="6"/>
      <c r="O702" s="6"/>
      <c r="P702" s="6"/>
      <c r="Q702" s="6"/>
      <c r="R702" s="6"/>
      <c r="S702" s="6"/>
      <c r="T702" s="6"/>
      <c r="U702" s="6"/>
      <c r="V702" s="6"/>
      <c r="W702" s="6"/>
      <c r="X702" s="6"/>
      <c r="Y702" s="6"/>
      <c r="Z702" s="6"/>
    </row>
    <row r="703" ht="12.75" customHeight="1">
      <c r="A703" s="10">
        <v>701.0</v>
      </c>
      <c r="B703" s="10">
        <v>10701.0</v>
      </c>
      <c r="C703" s="10" t="s">
        <v>27</v>
      </c>
      <c r="D703" s="11" t="s">
        <v>1307</v>
      </c>
      <c r="E703" s="10" t="e">
        <v>#N/A</v>
      </c>
      <c r="F703" s="10" t="e">
        <v>#N/A</v>
      </c>
      <c r="G703" s="12" t="e">
        <v>#N/A</v>
      </c>
      <c r="H703" s="6"/>
      <c r="I703" s="6"/>
      <c r="J703" s="6"/>
      <c r="K703" s="6"/>
      <c r="L703" s="6"/>
      <c r="M703" s="6"/>
      <c r="N703" s="6"/>
      <c r="O703" s="6"/>
      <c r="P703" s="6"/>
      <c r="Q703" s="6"/>
      <c r="R703" s="6"/>
      <c r="S703" s="6"/>
      <c r="T703" s="6"/>
      <c r="U703" s="6"/>
      <c r="V703" s="6"/>
      <c r="W703" s="6"/>
      <c r="X703" s="6"/>
      <c r="Y703" s="6"/>
      <c r="Z703" s="6"/>
    </row>
    <row r="704" ht="12.75" customHeight="1">
      <c r="A704" s="10">
        <v>702.0</v>
      </c>
      <c r="B704" s="10">
        <v>10702.0</v>
      </c>
      <c r="C704" s="10" t="s">
        <v>7</v>
      </c>
      <c r="D704" s="11" t="s">
        <v>1308</v>
      </c>
      <c r="E704" s="10" t="e">
        <v>#N/A</v>
      </c>
      <c r="F704" s="10" t="e">
        <v>#N/A</v>
      </c>
      <c r="G704" s="12" t="e">
        <v>#N/A</v>
      </c>
      <c r="H704" s="6"/>
      <c r="I704" s="6"/>
      <c r="J704" s="6"/>
      <c r="K704" s="6"/>
      <c r="L704" s="6"/>
      <c r="M704" s="6"/>
      <c r="N704" s="6"/>
      <c r="O704" s="6"/>
      <c r="P704" s="6"/>
      <c r="Q704" s="6"/>
      <c r="R704" s="6"/>
      <c r="S704" s="6"/>
      <c r="T704" s="6"/>
      <c r="U704" s="6"/>
      <c r="V704" s="6"/>
      <c r="W704" s="6"/>
      <c r="X704" s="6"/>
      <c r="Y704" s="6"/>
      <c r="Z704" s="6"/>
    </row>
    <row r="705" ht="12.75" customHeight="1">
      <c r="A705" s="37">
        <v>703.0</v>
      </c>
      <c r="B705" s="37">
        <v>10703.0</v>
      </c>
      <c r="C705" s="37" t="s">
        <v>7</v>
      </c>
      <c r="D705" s="38" t="s">
        <v>1309</v>
      </c>
      <c r="E705" s="37" t="e">
        <v>#N/A</v>
      </c>
      <c r="F705" s="37" t="e">
        <v>#N/A</v>
      </c>
      <c r="G705" s="39" t="e">
        <v>#N/A</v>
      </c>
      <c r="H705" s="6"/>
      <c r="I705" s="6"/>
      <c r="J705" s="6"/>
      <c r="K705" s="6"/>
      <c r="L705" s="6"/>
      <c r="M705" s="6"/>
      <c r="N705" s="6"/>
      <c r="O705" s="6"/>
      <c r="P705" s="6"/>
      <c r="Q705" s="6"/>
      <c r="R705" s="6"/>
      <c r="S705" s="6"/>
      <c r="T705" s="6"/>
      <c r="U705" s="6"/>
      <c r="V705" s="6"/>
      <c r="W705" s="6"/>
      <c r="X705" s="6"/>
      <c r="Y705" s="6"/>
      <c r="Z705" s="6"/>
    </row>
    <row r="706" ht="12.75" hidden="1" customHeight="1">
      <c r="A706" s="37">
        <v>704.0</v>
      </c>
      <c r="B706" s="37">
        <v>10704.0</v>
      </c>
      <c r="C706" s="37" t="s">
        <v>27</v>
      </c>
      <c r="D706" s="38" t="s">
        <v>1310</v>
      </c>
      <c r="E706" s="38" t="s">
        <v>1311</v>
      </c>
      <c r="F706" s="37">
        <f>LEN(E706)</f>
        <v>75</v>
      </c>
      <c r="G706" s="39">
        <v>46013.0</v>
      </c>
      <c r="H706" s="6"/>
      <c r="I706" s="6"/>
      <c r="J706" s="6"/>
      <c r="K706" s="6"/>
      <c r="L706" s="6"/>
      <c r="M706" s="6"/>
      <c r="N706" s="6"/>
      <c r="O706" s="6"/>
      <c r="P706" s="6"/>
      <c r="Q706" s="6"/>
      <c r="R706" s="6"/>
      <c r="S706" s="6"/>
      <c r="T706" s="6"/>
      <c r="U706" s="6"/>
      <c r="V706" s="6"/>
      <c r="W706" s="6"/>
      <c r="X706" s="6"/>
      <c r="Y706" s="6"/>
      <c r="Z706" s="6"/>
    </row>
    <row r="707" ht="12.75" customHeight="1">
      <c r="A707" s="37">
        <v>705.0</v>
      </c>
      <c r="B707" s="37">
        <v>10705.0</v>
      </c>
      <c r="C707" s="37" t="s">
        <v>7</v>
      </c>
      <c r="D707" s="38" t="s">
        <v>1312</v>
      </c>
      <c r="E707" s="37" t="e">
        <v>#N/A</v>
      </c>
      <c r="F707" s="37" t="e">
        <v>#N/A</v>
      </c>
      <c r="G707" s="39" t="e">
        <v>#N/A</v>
      </c>
      <c r="H707" s="6"/>
      <c r="I707" s="6"/>
      <c r="J707" s="6"/>
      <c r="K707" s="6"/>
      <c r="L707" s="6"/>
      <c r="M707" s="6"/>
      <c r="N707" s="6"/>
      <c r="O707" s="6"/>
      <c r="P707" s="6"/>
      <c r="Q707" s="6"/>
      <c r="R707" s="6"/>
      <c r="S707" s="6"/>
      <c r="T707" s="6"/>
      <c r="U707" s="6"/>
      <c r="V707" s="6"/>
      <c r="W707" s="6"/>
      <c r="X707" s="6"/>
      <c r="Y707" s="6"/>
      <c r="Z707" s="6"/>
    </row>
    <row r="708" ht="12.75" customHeight="1">
      <c r="A708" s="37">
        <v>706.0</v>
      </c>
      <c r="B708" s="37">
        <v>10706.0</v>
      </c>
      <c r="C708" s="37" t="s">
        <v>7</v>
      </c>
      <c r="D708" s="38" t="s">
        <v>1313</v>
      </c>
      <c r="E708" s="37" t="e">
        <v>#N/A</v>
      </c>
      <c r="F708" s="37" t="e">
        <v>#N/A</v>
      </c>
      <c r="G708" s="39" t="e">
        <v>#N/A</v>
      </c>
      <c r="H708" s="6"/>
      <c r="I708" s="6"/>
      <c r="J708" s="6"/>
      <c r="K708" s="6"/>
      <c r="L708" s="6"/>
      <c r="M708" s="6"/>
      <c r="N708" s="6"/>
      <c r="O708" s="6"/>
      <c r="P708" s="6"/>
      <c r="Q708" s="6"/>
      <c r="R708" s="6"/>
      <c r="S708" s="6"/>
      <c r="T708" s="6"/>
      <c r="U708" s="6"/>
      <c r="V708" s="6"/>
      <c r="W708" s="6"/>
      <c r="X708" s="6"/>
      <c r="Y708" s="6"/>
      <c r="Z708" s="6"/>
    </row>
    <row r="709" ht="12.75" customHeight="1">
      <c r="A709" s="37">
        <v>707.0</v>
      </c>
      <c r="B709" s="37">
        <v>10707.0</v>
      </c>
      <c r="C709" s="37" t="s">
        <v>7</v>
      </c>
      <c r="D709" s="38" t="s">
        <v>1314</v>
      </c>
      <c r="E709" s="37" t="e">
        <v>#N/A</v>
      </c>
      <c r="F709" s="37" t="e">
        <v>#N/A</v>
      </c>
      <c r="G709" s="39" t="e">
        <v>#N/A</v>
      </c>
      <c r="H709" s="6"/>
      <c r="I709" s="6"/>
      <c r="J709" s="6"/>
      <c r="K709" s="6"/>
      <c r="L709" s="6"/>
      <c r="M709" s="6"/>
      <c r="N709" s="6"/>
      <c r="O709" s="6"/>
      <c r="P709" s="6"/>
      <c r="Q709" s="6"/>
      <c r="R709" s="6"/>
      <c r="S709" s="6"/>
      <c r="T709" s="6"/>
      <c r="U709" s="6"/>
      <c r="V709" s="6"/>
      <c r="W709" s="6"/>
      <c r="X709" s="6"/>
      <c r="Y709" s="6"/>
      <c r="Z709" s="6"/>
    </row>
    <row r="710" ht="12.75" customHeight="1">
      <c r="A710" s="37">
        <v>708.0</v>
      </c>
      <c r="B710" s="37">
        <v>10708.0</v>
      </c>
      <c r="C710" s="37" t="s">
        <v>34</v>
      </c>
      <c r="D710" s="38" t="s">
        <v>1315</v>
      </c>
      <c r="E710" s="37" t="e">
        <v>#N/A</v>
      </c>
      <c r="F710" s="37" t="e">
        <v>#N/A</v>
      </c>
      <c r="G710" s="39" t="e">
        <v>#N/A</v>
      </c>
      <c r="H710" s="6"/>
      <c r="I710" s="6"/>
      <c r="J710" s="6"/>
      <c r="K710" s="6"/>
      <c r="L710" s="6"/>
      <c r="M710" s="6"/>
      <c r="N710" s="6"/>
      <c r="O710" s="6"/>
      <c r="P710" s="6"/>
      <c r="Q710" s="6"/>
      <c r="R710" s="6"/>
      <c r="S710" s="6"/>
      <c r="T710" s="6"/>
      <c r="U710" s="6"/>
      <c r="V710" s="6"/>
      <c r="W710" s="6"/>
      <c r="X710" s="6"/>
      <c r="Y710" s="6"/>
      <c r="Z710" s="6"/>
    </row>
    <row r="711" ht="12.75" customHeight="1">
      <c r="A711" s="37">
        <v>709.0</v>
      </c>
      <c r="B711" s="37">
        <v>10709.0</v>
      </c>
      <c r="C711" s="37" t="s">
        <v>7</v>
      </c>
      <c r="D711" s="38" t="s">
        <v>1316</v>
      </c>
      <c r="E711" s="37" t="e">
        <v>#N/A</v>
      </c>
      <c r="F711" s="37" t="e">
        <v>#N/A</v>
      </c>
      <c r="G711" s="39" t="e">
        <v>#N/A</v>
      </c>
      <c r="H711" s="6"/>
      <c r="I711" s="6"/>
      <c r="J711" s="6"/>
      <c r="K711" s="6"/>
      <c r="L711" s="6"/>
      <c r="M711" s="6"/>
      <c r="N711" s="6"/>
      <c r="O711" s="6"/>
      <c r="P711" s="6"/>
      <c r="Q711" s="6"/>
      <c r="R711" s="6"/>
      <c r="S711" s="6"/>
      <c r="T711" s="6"/>
      <c r="U711" s="6"/>
      <c r="V711" s="6"/>
      <c r="W711" s="6"/>
      <c r="X711" s="6"/>
      <c r="Y711" s="6"/>
      <c r="Z711" s="6"/>
    </row>
    <row r="712" ht="12.75" customHeight="1">
      <c r="A712" s="37">
        <v>710.0</v>
      </c>
      <c r="B712" s="37">
        <v>10710.0</v>
      </c>
      <c r="C712" s="37" t="s">
        <v>7</v>
      </c>
      <c r="D712" s="38" t="s">
        <v>1317</v>
      </c>
      <c r="E712" s="37" t="e">
        <v>#N/A</v>
      </c>
      <c r="F712" s="37" t="e">
        <v>#N/A</v>
      </c>
      <c r="G712" s="39" t="e">
        <v>#N/A</v>
      </c>
      <c r="H712" s="6"/>
      <c r="I712" s="6"/>
      <c r="J712" s="6"/>
      <c r="K712" s="6"/>
      <c r="L712" s="6"/>
      <c r="M712" s="6"/>
      <c r="N712" s="6"/>
      <c r="O712" s="6"/>
      <c r="P712" s="6"/>
      <c r="Q712" s="6"/>
      <c r="R712" s="6"/>
      <c r="S712" s="6"/>
      <c r="T712" s="6"/>
      <c r="U712" s="6"/>
      <c r="V712" s="6"/>
      <c r="W712" s="6"/>
      <c r="X712" s="6"/>
      <c r="Y712" s="6"/>
      <c r="Z712" s="6"/>
    </row>
    <row r="713" ht="12.75" hidden="1" customHeight="1">
      <c r="A713" s="37">
        <v>711.0</v>
      </c>
      <c r="B713" s="37">
        <v>10711.0</v>
      </c>
      <c r="C713" s="37" t="s">
        <v>20</v>
      </c>
      <c r="D713" s="38" t="s">
        <v>1318</v>
      </c>
      <c r="E713" s="85" t="s">
        <v>1319</v>
      </c>
      <c r="F713" s="37">
        <f>LEN(E713)</f>
        <v>127</v>
      </c>
      <c r="G713" s="39" t="e">
        <v>#N/A</v>
      </c>
      <c r="H713" s="6"/>
      <c r="I713" s="6"/>
      <c r="J713" s="6"/>
      <c r="K713" s="6"/>
      <c r="L713" s="6"/>
      <c r="M713" s="6"/>
      <c r="N713" s="6"/>
      <c r="O713" s="6"/>
      <c r="P713" s="6"/>
      <c r="Q713" s="6"/>
      <c r="R713" s="6"/>
      <c r="S713" s="6"/>
      <c r="T713" s="6"/>
      <c r="U713" s="6"/>
      <c r="V713" s="6"/>
      <c r="W713" s="6"/>
      <c r="X713" s="6"/>
      <c r="Y713" s="6"/>
      <c r="Z713" s="6"/>
    </row>
    <row r="714" ht="12.75" customHeight="1">
      <c r="A714" s="37">
        <v>712.0</v>
      </c>
      <c r="B714" s="37">
        <v>10712.0</v>
      </c>
      <c r="C714" s="37" t="s">
        <v>7</v>
      </c>
      <c r="D714" s="38" t="s">
        <v>1320</v>
      </c>
      <c r="E714" s="37" t="e">
        <v>#N/A</v>
      </c>
      <c r="F714" s="37" t="e">
        <v>#N/A</v>
      </c>
      <c r="G714" s="39" t="e">
        <v>#N/A</v>
      </c>
      <c r="H714" s="6"/>
      <c r="I714" s="6"/>
      <c r="J714" s="6"/>
      <c r="K714" s="6"/>
      <c r="L714" s="6"/>
      <c r="M714" s="6"/>
      <c r="N714" s="6"/>
      <c r="O714" s="6"/>
      <c r="P714" s="6"/>
      <c r="Q714" s="6"/>
      <c r="R714" s="6"/>
      <c r="S714" s="6"/>
      <c r="T714" s="6"/>
      <c r="U714" s="6"/>
      <c r="V714" s="6"/>
      <c r="W714" s="6"/>
      <c r="X714" s="6"/>
      <c r="Y714" s="6"/>
      <c r="Z714" s="6"/>
    </row>
    <row r="715" ht="12.75" customHeight="1">
      <c r="A715" s="37">
        <v>713.0</v>
      </c>
      <c r="B715" s="37">
        <v>10713.0</v>
      </c>
      <c r="C715" s="37" t="s">
        <v>34</v>
      </c>
      <c r="D715" s="38" t="s">
        <v>1321</v>
      </c>
      <c r="E715" s="37" t="e">
        <v>#N/A</v>
      </c>
      <c r="F715" s="37" t="e">
        <v>#N/A</v>
      </c>
      <c r="G715" s="39" t="e">
        <v>#N/A</v>
      </c>
      <c r="H715" s="6"/>
      <c r="I715" s="6"/>
      <c r="J715" s="6"/>
      <c r="K715" s="6"/>
      <c r="L715" s="6"/>
      <c r="M715" s="6"/>
      <c r="N715" s="6"/>
      <c r="O715" s="6"/>
      <c r="P715" s="6"/>
      <c r="Q715" s="6"/>
      <c r="R715" s="6"/>
      <c r="S715" s="6"/>
      <c r="T715" s="6"/>
      <c r="U715" s="6"/>
      <c r="V715" s="6"/>
      <c r="W715" s="6"/>
      <c r="X715" s="6"/>
      <c r="Y715" s="6"/>
      <c r="Z715" s="6"/>
    </row>
    <row r="716" ht="12.75" customHeight="1">
      <c r="A716" s="37">
        <v>714.0</v>
      </c>
      <c r="B716" s="37">
        <v>10714.0</v>
      </c>
      <c r="C716" s="37" t="s">
        <v>20</v>
      </c>
      <c r="D716" s="38" t="s">
        <v>1322</v>
      </c>
      <c r="E716" s="37" t="e">
        <v>#N/A</v>
      </c>
      <c r="F716" s="37" t="e">
        <v>#N/A</v>
      </c>
      <c r="G716" s="39" t="e">
        <v>#N/A</v>
      </c>
      <c r="H716" s="6"/>
      <c r="I716" s="6"/>
      <c r="J716" s="6"/>
      <c r="K716" s="6"/>
      <c r="L716" s="6"/>
      <c r="M716" s="6"/>
      <c r="N716" s="6"/>
      <c r="O716" s="6"/>
      <c r="P716" s="6"/>
      <c r="Q716" s="6"/>
      <c r="R716" s="6"/>
      <c r="S716" s="6"/>
      <c r="T716" s="6"/>
      <c r="U716" s="6"/>
      <c r="V716" s="6"/>
      <c r="W716" s="6"/>
      <c r="X716" s="6"/>
      <c r="Y716" s="6"/>
      <c r="Z716" s="6"/>
    </row>
    <row r="717" ht="12.75" customHeight="1">
      <c r="A717" s="37">
        <v>715.0</v>
      </c>
      <c r="B717" s="37">
        <v>10715.0</v>
      </c>
      <c r="C717" s="37" t="s">
        <v>34</v>
      </c>
      <c r="D717" s="38" t="s">
        <v>1323</v>
      </c>
      <c r="E717" s="37" t="e">
        <v>#N/A</v>
      </c>
      <c r="F717" s="37" t="e">
        <v>#N/A</v>
      </c>
      <c r="G717" s="39" t="e">
        <v>#N/A</v>
      </c>
      <c r="H717" s="6"/>
      <c r="I717" s="6"/>
      <c r="J717" s="6"/>
      <c r="K717" s="6"/>
      <c r="L717" s="6"/>
      <c r="M717" s="6"/>
      <c r="N717" s="6"/>
      <c r="O717" s="6"/>
      <c r="P717" s="6"/>
      <c r="Q717" s="6"/>
      <c r="R717" s="6"/>
      <c r="S717" s="6"/>
      <c r="T717" s="6"/>
      <c r="U717" s="6"/>
      <c r="V717" s="6"/>
      <c r="W717" s="6"/>
      <c r="X717" s="6"/>
      <c r="Y717" s="6"/>
      <c r="Z717" s="6"/>
    </row>
    <row r="718" ht="12.75" customHeight="1">
      <c r="A718" s="10">
        <v>716.0</v>
      </c>
      <c r="B718" s="10">
        <v>10716.0</v>
      </c>
      <c r="C718" s="10" t="s">
        <v>27</v>
      </c>
      <c r="D718" s="11" t="s">
        <v>1324</v>
      </c>
      <c r="E718" s="10" t="e">
        <v>#N/A</v>
      </c>
      <c r="F718" s="10" t="e">
        <v>#N/A</v>
      </c>
      <c r="G718" s="12" t="e">
        <v>#N/A</v>
      </c>
      <c r="H718" s="6"/>
      <c r="I718" s="6"/>
      <c r="J718" s="6"/>
      <c r="K718" s="6"/>
      <c r="L718" s="6"/>
      <c r="M718" s="6"/>
      <c r="N718" s="6"/>
      <c r="O718" s="6"/>
      <c r="P718" s="6"/>
      <c r="Q718" s="6"/>
      <c r="R718" s="6"/>
      <c r="S718" s="6"/>
      <c r="T718" s="6"/>
      <c r="U718" s="6"/>
      <c r="V718" s="6"/>
      <c r="W718" s="6"/>
      <c r="X718" s="6"/>
      <c r="Y718" s="6"/>
      <c r="Z718" s="6"/>
    </row>
    <row r="719" ht="12.75" hidden="1" customHeight="1">
      <c r="A719" s="37">
        <v>717.0</v>
      </c>
      <c r="B719" s="37">
        <v>10717.0</v>
      </c>
      <c r="C719" s="37" t="s">
        <v>27</v>
      </c>
      <c r="D719" s="38" t="s">
        <v>1325</v>
      </c>
      <c r="E719" s="38" t="s">
        <v>1326</v>
      </c>
      <c r="F719" s="37">
        <f>LEN(E719)</f>
        <v>108</v>
      </c>
      <c r="G719" s="39">
        <v>46013.0</v>
      </c>
      <c r="H719" s="6"/>
      <c r="I719" s="6"/>
      <c r="J719" s="6"/>
      <c r="K719" s="6"/>
      <c r="L719" s="6"/>
      <c r="M719" s="6"/>
      <c r="N719" s="6"/>
      <c r="O719" s="6"/>
      <c r="P719" s="6"/>
      <c r="Q719" s="6"/>
      <c r="R719" s="6"/>
      <c r="S719" s="6"/>
      <c r="T719" s="6"/>
      <c r="U719" s="6"/>
      <c r="V719" s="6"/>
      <c r="W719" s="6"/>
      <c r="X719" s="6"/>
      <c r="Y719" s="6"/>
      <c r="Z719" s="6"/>
    </row>
    <row r="720" ht="12.75" customHeight="1">
      <c r="A720" s="37">
        <v>718.0</v>
      </c>
      <c r="B720" s="37">
        <v>10718.0</v>
      </c>
      <c r="C720" s="37" t="s">
        <v>20</v>
      </c>
      <c r="D720" s="38" t="s">
        <v>1327</v>
      </c>
      <c r="E720" s="37" t="e">
        <v>#N/A</v>
      </c>
      <c r="F720" s="37" t="e">
        <v>#N/A</v>
      </c>
      <c r="G720" s="39" t="e">
        <v>#N/A</v>
      </c>
      <c r="H720" s="6"/>
      <c r="I720" s="6"/>
      <c r="J720" s="6"/>
      <c r="K720" s="6"/>
      <c r="L720" s="6"/>
      <c r="M720" s="6"/>
      <c r="N720" s="6"/>
      <c r="O720" s="6"/>
      <c r="P720" s="6"/>
      <c r="Q720" s="6"/>
      <c r="R720" s="6"/>
      <c r="S720" s="6"/>
      <c r="T720" s="6"/>
      <c r="U720" s="6"/>
      <c r="V720" s="6"/>
      <c r="W720" s="6"/>
      <c r="X720" s="6"/>
      <c r="Y720" s="6"/>
      <c r="Z720" s="6"/>
    </row>
    <row r="721" ht="12.75" hidden="1" customHeight="1">
      <c r="A721" s="37">
        <v>719.0</v>
      </c>
      <c r="B721" s="37">
        <v>10719.0</v>
      </c>
      <c r="C721" s="37" t="s">
        <v>20</v>
      </c>
      <c r="D721" s="38" t="s">
        <v>1328</v>
      </c>
      <c r="E721" s="37" t="s">
        <v>1329</v>
      </c>
      <c r="F721" s="37">
        <v>142.0</v>
      </c>
      <c r="G721" s="39">
        <v>0.0</v>
      </c>
      <c r="H721" s="6"/>
      <c r="I721" s="6"/>
      <c r="J721" s="6"/>
      <c r="K721" s="6"/>
      <c r="L721" s="6"/>
      <c r="M721" s="6"/>
      <c r="N721" s="6"/>
      <c r="O721" s="6"/>
      <c r="P721" s="6"/>
      <c r="Q721" s="6"/>
      <c r="R721" s="6"/>
      <c r="S721" s="6"/>
      <c r="T721" s="6"/>
      <c r="U721" s="6"/>
      <c r="V721" s="6"/>
      <c r="W721" s="6"/>
      <c r="X721" s="6"/>
      <c r="Y721" s="6"/>
      <c r="Z721" s="6"/>
    </row>
    <row r="722" ht="12.75" customHeight="1">
      <c r="A722" s="37">
        <v>720.0</v>
      </c>
      <c r="B722" s="37">
        <v>10720.0</v>
      </c>
      <c r="C722" s="37" t="s">
        <v>34</v>
      </c>
      <c r="D722" s="38" t="s">
        <v>1330</v>
      </c>
      <c r="E722" s="37" t="e">
        <v>#N/A</v>
      </c>
      <c r="F722" s="37" t="e">
        <v>#N/A</v>
      </c>
      <c r="G722" s="39" t="e">
        <v>#N/A</v>
      </c>
      <c r="H722" s="6"/>
      <c r="I722" s="6"/>
      <c r="J722" s="6"/>
      <c r="K722" s="6"/>
      <c r="L722" s="6"/>
      <c r="M722" s="6"/>
      <c r="N722" s="6"/>
      <c r="O722" s="6"/>
      <c r="P722" s="6"/>
      <c r="Q722" s="6"/>
      <c r="R722" s="6"/>
      <c r="S722" s="6"/>
      <c r="T722" s="6"/>
      <c r="U722" s="6"/>
      <c r="V722" s="6"/>
      <c r="W722" s="6"/>
      <c r="X722" s="6"/>
      <c r="Y722" s="6"/>
      <c r="Z722" s="6"/>
    </row>
    <row r="723" ht="12.75" customHeight="1">
      <c r="A723" s="37">
        <v>721.0</v>
      </c>
      <c r="B723" s="37">
        <v>10721.0</v>
      </c>
      <c r="C723" s="37" t="s">
        <v>7</v>
      </c>
      <c r="D723" s="38" t="s">
        <v>1331</v>
      </c>
      <c r="E723" s="37" t="e">
        <v>#N/A</v>
      </c>
      <c r="F723" s="37" t="e">
        <v>#N/A</v>
      </c>
      <c r="G723" s="39" t="e">
        <v>#N/A</v>
      </c>
      <c r="H723" s="6"/>
      <c r="I723" s="6"/>
      <c r="J723" s="6"/>
      <c r="K723" s="6"/>
      <c r="L723" s="6"/>
      <c r="M723" s="6"/>
      <c r="N723" s="6"/>
      <c r="O723" s="6"/>
      <c r="P723" s="6"/>
      <c r="Q723" s="6"/>
      <c r="R723" s="6"/>
      <c r="S723" s="6"/>
      <c r="T723" s="6"/>
      <c r="U723" s="6"/>
      <c r="V723" s="6"/>
      <c r="W723" s="6"/>
      <c r="X723" s="6"/>
      <c r="Y723" s="6"/>
      <c r="Z723" s="6"/>
    </row>
    <row r="724" ht="12.75" customHeight="1">
      <c r="A724" s="37">
        <v>722.0</v>
      </c>
      <c r="B724" s="37">
        <v>10722.0</v>
      </c>
      <c r="C724" s="37" t="s">
        <v>7</v>
      </c>
      <c r="D724" s="38" t="s">
        <v>1332</v>
      </c>
      <c r="E724" s="37" t="e">
        <v>#N/A</v>
      </c>
      <c r="F724" s="37" t="e">
        <v>#N/A</v>
      </c>
      <c r="G724" s="39" t="e">
        <v>#N/A</v>
      </c>
      <c r="H724" s="6"/>
      <c r="I724" s="6"/>
      <c r="J724" s="6"/>
      <c r="K724" s="6"/>
      <c r="L724" s="6"/>
      <c r="M724" s="6"/>
      <c r="N724" s="6"/>
      <c r="O724" s="6"/>
      <c r="P724" s="6"/>
      <c r="Q724" s="6"/>
      <c r="R724" s="6"/>
      <c r="S724" s="6"/>
      <c r="T724" s="6"/>
      <c r="U724" s="6"/>
      <c r="V724" s="6"/>
      <c r="W724" s="6"/>
      <c r="X724" s="6"/>
      <c r="Y724" s="6"/>
      <c r="Z724" s="6"/>
    </row>
    <row r="725" ht="12.75" customHeight="1">
      <c r="A725" s="37">
        <v>723.0</v>
      </c>
      <c r="B725" s="37">
        <v>10723.0</v>
      </c>
      <c r="C725" s="37" t="s">
        <v>7</v>
      </c>
      <c r="D725" s="38" t="s">
        <v>1333</v>
      </c>
      <c r="E725" s="37" t="e">
        <v>#N/A</v>
      </c>
      <c r="F725" s="37" t="e">
        <v>#N/A</v>
      </c>
      <c r="G725" s="39" t="e">
        <v>#N/A</v>
      </c>
      <c r="H725" s="6"/>
      <c r="I725" s="6"/>
      <c r="J725" s="6"/>
      <c r="K725" s="6"/>
      <c r="L725" s="6"/>
      <c r="M725" s="6"/>
      <c r="N725" s="6"/>
      <c r="O725" s="6"/>
      <c r="P725" s="6"/>
      <c r="Q725" s="6"/>
      <c r="R725" s="6"/>
      <c r="S725" s="6"/>
      <c r="T725" s="6"/>
      <c r="U725" s="6"/>
      <c r="V725" s="6"/>
      <c r="W725" s="6"/>
      <c r="X725" s="6"/>
      <c r="Y725" s="6"/>
      <c r="Z725" s="6"/>
    </row>
    <row r="726" ht="12.75" customHeight="1">
      <c r="A726" s="37">
        <v>724.0</v>
      </c>
      <c r="B726" s="37">
        <v>10724.0</v>
      </c>
      <c r="C726" s="37" t="s">
        <v>7</v>
      </c>
      <c r="D726" s="38" t="s">
        <v>1334</v>
      </c>
      <c r="E726" s="37" t="e">
        <v>#N/A</v>
      </c>
      <c r="F726" s="37" t="e">
        <v>#N/A</v>
      </c>
      <c r="G726" s="39" t="e">
        <v>#N/A</v>
      </c>
      <c r="H726" s="6"/>
      <c r="I726" s="6"/>
      <c r="J726" s="6"/>
      <c r="K726" s="6"/>
      <c r="L726" s="6"/>
      <c r="M726" s="6"/>
      <c r="N726" s="6"/>
      <c r="O726" s="6"/>
      <c r="P726" s="6"/>
      <c r="Q726" s="6"/>
      <c r="R726" s="6"/>
      <c r="S726" s="6"/>
      <c r="T726" s="6"/>
      <c r="U726" s="6"/>
      <c r="V726" s="6"/>
      <c r="W726" s="6"/>
      <c r="X726" s="6"/>
      <c r="Y726" s="6"/>
      <c r="Z726" s="6"/>
    </row>
    <row r="727" ht="12.75" customHeight="1">
      <c r="A727" s="37">
        <v>725.0</v>
      </c>
      <c r="B727" s="37">
        <v>10725.0</v>
      </c>
      <c r="C727" s="37" t="s">
        <v>7</v>
      </c>
      <c r="D727" s="38" t="s">
        <v>1335</v>
      </c>
      <c r="E727" s="37" t="e">
        <v>#N/A</v>
      </c>
      <c r="F727" s="37" t="e">
        <v>#N/A</v>
      </c>
      <c r="G727" s="39" t="e">
        <v>#N/A</v>
      </c>
      <c r="H727" s="6"/>
      <c r="I727" s="6"/>
      <c r="J727" s="6"/>
      <c r="K727" s="6"/>
      <c r="L727" s="6"/>
      <c r="M727" s="6"/>
      <c r="N727" s="6"/>
      <c r="O727" s="6"/>
      <c r="P727" s="6"/>
      <c r="Q727" s="6"/>
      <c r="R727" s="6"/>
      <c r="S727" s="6"/>
      <c r="T727" s="6"/>
      <c r="U727" s="6"/>
      <c r="V727" s="6"/>
      <c r="W727" s="6"/>
      <c r="X727" s="6"/>
      <c r="Y727" s="6"/>
      <c r="Z727" s="6"/>
    </row>
    <row r="728" ht="12.75" customHeight="1">
      <c r="A728" s="37">
        <v>726.0</v>
      </c>
      <c r="B728" s="37">
        <v>10726.0</v>
      </c>
      <c r="C728" s="37" t="s">
        <v>7</v>
      </c>
      <c r="D728" s="38" t="s">
        <v>1336</v>
      </c>
      <c r="E728" s="37" t="e">
        <v>#N/A</v>
      </c>
      <c r="F728" s="37" t="e">
        <v>#N/A</v>
      </c>
      <c r="G728" s="39" t="e">
        <v>#N/A</v>
      </c>
      <c r="H728" s="6"/>
      <c r="I728" s="6"/>
      <c r="J728" s="6"/>
      <c r="K728" s="6"/>
      <c r="L728" s="6"/>
      <c r="M728" s="6"/>
      <c r="N728" s="6"/>
      <c r="O728" s="6"/>
      <c r="P728" s="6"/>
      <c r="Q728" s="6"/>
      <c r="R728" s="6"/>
      <c r="S728" s="6"/>
      <c r="T728" s="6"/>
      <c r="U728" s="6"/>
      <c r="V728" s="6"/>
      <c r="W728" s="6"/>
      <c r="X728" s="6"/>
      <c r="Y728" s="6"/>
      <c r="Z728" s="6"/>
    </row>
    <row r="729" ht="12.75" hidden="1" customHeight="1">
      <c r="A729" s="37">
        <v>727.0</v>
      </c>
      <c r="B729" s="37">
        <v>10727.0</v>
      </c>
      <c r="C729" s="37" t="s">
        <v>20</v>
      </c>
      <c r="D729" s="38" t="s">
        <v>1337</v>
      </c>
      <c r="E729" s="37" t="s">
        <v>1338</v>
      </c>
      <c r="F729" s="37">
        <v>140.0</v>
      </c>
      <c r="G729" s="39">
        <v>45763.0</v>
      </c>
      <c r="H729" s="6"/>
      <c r="I729" s="6"/>
      <c r="J729" s="6"/>
      <c r="K729" s="6"/>
      <c r="L729" s="6"/>
      <c r="M729" s="6"/>
      <c r="N729" s="6"/>
      <c r="O729" s="6"/>
      <c r="P729" s="6"/>
      <c r="Q729" s="6"/>
      <c r="R729" s="6"/>
      <c r="S729" s="6"/>
      <c r="T729" s="6"/>
      <c r="U729" s="6"/>
      <c r="V729" s="6"/>
      <c r="W729" s="6"/>
      <c r="X729" s="6"/>
      <c r="Y729" s="6"/>
      <c r="Z729" s="6"/>
    </row>
    <row r="730" ht="12.75" customHeight="1">
      <c r="A730" s="37">
        <v>728.0</v>
      </c>
      <c r="B730" s="37">
        <v>10728.0</v>
      </c>
      <c r="C730" s="37" t="s">
        <v>7</v>
      </c>
      <c r="D730" s="38" t="s">
        <v>1339</v>
      </c>
      <c r="E730" s="37" t="e">
        <v>#N/A</v>
      </c>
      <c r="F730" s="37" t="e">
        <v>#N/A</v>
      </c>
      <c r="G730" s="39" t="e">
        <v>#N/A</v>
      </c>
      <c r="H730" s="6"/>
      <c r="I730" s="6"/>
      <c r="J730" s="6"/>
      <c r="K730" s="6"/>
      <c r="L730" s="6"/>
      <c r="M730" s="6"/>
      <c r="N730" s="6"/>
      <c r="O730" s="6"/>
      <c r="P730" s="6"/>
      <c r="Q730" s="6"/>
      <c r="R730" s="6"/>
      <c r="S730" s="6"/>
      <c r="T730" s="6"/>
      <c r="U730" s="6"/>
      <c r="V730" s="6"/>
      <c r="W730" s="6"/>
      <c r="X730" s="6"/>
      <c r="Y730" s="6"/>
      <c r="Z730" s="6"/>
    </row>
    <row r="731" ht="12.75" customHeight="1">
      <c r="A731" s="37">
        <v>729.0</v>
      </c>
      <c r="B731" s="37">
        <v>10729.0</v>
      </c>
      <c r="C731" s="37" t="s">
        <v>34</v>
      </c>
      <c r="D731" s="38" t="s">
        <v>717</v>
      </c>
      <c r="E731" s="37" t="e">
        <v>#N/A</v>
      </c>
      <c r="F731" s="37" t="e">
        <v>#N/A</v>
      </c>
      <c r="G731" s="39" t="e">
        <v>#N/A</v>
      </c>
      <c r="H731" s="6"/>
      <c r="I731" s="6"/>
      <c r="J731" s="6"/>
      <c r="K731" s="6"/>
      <c r="L731" s="6"/>
      <c r="M731" s="6"/>
      <c r="N731" s="6"/>
      <c r="O731" s="6"/>
      <c r="P731" s="6"/>
      <c r="Q731" s="6"/>
      <c r="R731" s="6"/>
      <c r="S731" s="6"/>
      <c r="T731" s="6"/>
      <c r="U731" s="6"/>
      <c r="V731" s="6"/>
      <c r="W731" s="6"/>
      <c r="X731" s="6"/>
      <c r="Y731" s="6"/>
      <c r="Z731" s="6"/>
    </row>
    <row r="732" ht="12.75" customHeight="1">
      <c r="A732" s="37">
        <v>730.0</v>
      </c>
      <c r="B732" s="37">
        <v>10730.0</v>
      </c>
      <c r="C732" s="37" t="s">
        <v>7</v>
      </c>
      <c r="D732" s="38" t="s">
        <v>1340</v>
      </c>
      <c r="E732" s="37" t="e">
        <v>#N/A</v>
      </c>
      <c r="F732" s="37" t="e">
        <v>#N/A</v>
      </c>
      <c r="G732" s="39" t="e">
        <v>#N/A</v>
      </c>
      <c r="H732" s="6"/>
      <c r="I732" s="6"/>
      <c r="J732" s="6"/>
      <c r="K732" s="6"/>
      <c r="L732" s="6"/>
      <c r="M732" s="6"/>
      <c r="N732" s="6"/>
      <c r="O732" s="6"/>
      <c r="P732" s="6"/>
      <c r="Q732" s="6"/>
      <c r="R732" s="6"/>
      <c r="S732" s="6"/>
      <c r="T732" s="6"/>
      <c r="U732" s="6"/>
      <c r="V732" s="6"/>
      <c r="W732" s="6"/>
      <c r="X732" s="6"/>
      <c r="Y732" s="6"/>
      <c r="Z732" s="6"/>
    </row>
    <row r="733" ht="12.75" customHeight="1">
      <c r="A733" s="37">
        <v>731.0</v>
      </c>
      <c r="B733" s="37">
        <v>10731.0</v>
      </c>
      <c r="C733" s="37" t="s">
        <v>34</v>
      </c>
      <c r="D733" s="38" t="s">
        <v>1341</v>
      </c>
      <c r="E733" s="37" t="e">
        <v>#N/A</v>
      </c>
      <c r="F733" s="37" t="e">
        <v>#N/A</v>
      </c>
      <c r="G733" s="39" t="e">
        <v>#N/A</v>
      </c>
      <c r="H733" s="6"/>
      <c r="I733" s="6"/>
      <c r="J733" s="6"/>
      <c r="K733" s="6"/>
      <c r="L733" s="6"/>
      <c r="M733" s="6"/>
      <c r="N733" s="6"/>
      <c r="O733" s="6"/>
      <c r="P733" s="6"/>
      <c r="Q733" s="6"/>
      <c r="R733" s="6"/>
      <c r="S733" s="6"/>
      <c r="T733" s="6"/>
      <c r="U733" s="6"/>
      <c r="V733" s="6"/>
      <c r="W733" s="6"/>
      <c r="X733" s="6"/>
      <c r="Y733" s="6"/>
      <c r="Z733" s="6"/>
    </row>
    <row r="734" ht="12.75" customHeight="1">
      <c r="A734" s="37">
        <v>732.0</v>
      </c>
      <c r="B734" s="37">
        <v>10732.0</v>
      </c>
      <c r="C734" s="37" t="s">
        <v>34</v>
      </c>
      <c r="D734" s="38" t="s">
        <v>1342</v>
      </c>
      <c r="E734" s="37" t="e">
        <v>#N/A</v>
      </c>
      <c r="F734" s="37" t="e">
        <v>#N/A</v>
      </c>
      <c r="G734" s="39" t="e">
        <v>#N/A</v>
      </c>
      <c r="H734" s="6"/>
      <c r="I734" s="6"/>
      <c r="J734" s="6"/>
      <c r="K734" s="6"/>
      <c r="L734" s="6"/>
      <c r="M734" s="6"/>
      <c r="N734" s="6"/>
      <c r="O734" s="6"/>
      <c r="P734" s="6"/>
      <c r="Q734" s="6"/>
      <c r="R734" s="6"/>
      <c r="S734" s="6"/>
      <c r="T734" s="6"/>
      <c r="U734" s="6"/>
      <c r="V734" s="6"/>
      <c r="W734" s="6"/>
      <c r="X734" s="6"/>
      <c r="Y734" s="6"/>
      <c r="Z734" s="6"/>
    </row>
    <row r="735" ht="12.75" hidden="1" customHeight="1">
      <c r="A735" s="37">
        <v>733.0</v>
      </c>
      <c r="B735" s="37">
        <v>10733.0</v>
      </c>
      <c r="C735" s="37" t="s">
        <v>34</v>
      </c>
      <c r="D735" s="38" t="s">
        <v>1343</v>
      </c>
      <c r="E735" s="37" t="s">
        <v>1344</v>
      </c>
      <c r="F735" s="37">
        <v>135.0</v>
      </c>
      <c r="G735" s="39">
        <v>0.0</v>
      </c>
      <c r="H735" s="6"/>
      <c r="I735" s="6"/>
      <c r="J735" s="6"/>
      <c r="K735" s="6"/>
      <c r="L735" s="6"/>
      <c r="M735" s="6"/>
      <c r="N735" s="6"/>
      <c r="O735" s="6"/>
      <c r="P735" s="6"/>
      <c r="Q735" s="6"/>
      <c r="R735" s="6"/>
      <c r="S735" s="6"/>
      <c r="T735" s="6"/>
      <c r="U735" s="6"/>
      <c r="V735" s="6"/>
      <c r="W735" s="6"/>
      <c r="X735" s="6"/>
      <c r="Y735" s="6"/>
      <c r="Z735" s="6"/>
    </row>
    <row r="736" ht="12.75" customHeight="1">
      <c r="A736" s="37">
        <v>734.0</v>
      </c>
      <c r="B736" s="37">
        <v>10734.0</v>
      </c>
      <c r="C736" s="37" t="s">
        <v>20</v>
      </c>
      <c r="D736" s="38" t="s">
        <v>1345</v>
      </c>
      <c r="E736" s="37" t="e">
        <v>#N/A</v>
      </c>
      <c r="F736" s="37" t="e">
        <v>#N/A</v>
      </c>
      <c r="G736" s="39" t="e">
        <v>#N/A</v>
      </c>
      <c r="H736" s="6"/>
      <c r="I736" s="6"/>
      <c r="J736" s="6"/>
      <c r="K736" s="6"/>
      <c r="L736" s="6"/>
      <c r="M736" s="6"/>
      <c r="N736" s="6"/>
      <c r="O736" s="6"/>
      <c r="P736" s="6"/>
      <c r="Q736" s="6"/>
      <c r="R736" s="6"/>
      <c r="S736" s="6"/>
      <c r="T736" s="6"/>
      <c r="U736" s="6"/>
      <c r="V736" s="6"/>
      <c r="W736" s="6"/>
      <c r="X736" s="6"/>
      <c r="Y736" s="6"/>
      <c r="Z736" s="6"/>
    </row>
    <row r="737" ht="12.75" customHeight="1">
      <c r="A737" s="37">
        <v>735.0</v>
      </c>
      <c r="B737" s="37">
        <v>10735.0</v>
      </c>
      <c r="C737" s="37" t="s">
        <v>7</v>
      </c>
      <c r="D737" s="38" t="s">
        <v>1346</v>
      </c>
      <c r="E737" s="37" t="e">
        <v>#N/A</v>
      </c>
      <c r="F737" s="37" t="e">
        <v>#N/A</v>
      </c>
      <c r="G737" s="39" t="e">
        <v>#N/A</v>
      </c>
      <c r="H737" s="6"/>
      <c r="I737" s="6"/>
      <c r="J737" s="6"/>
      <c r="K737" s="6"/>
      <c r="L737" s="6"/>
      <c r="M737" s="6"/>
      <c r="N737" s="6"/>
      <c r="O737" s="6"/>
      <c r="P737" s="6"/>
      <c r="Q737" s="6"/>
      <c r="R737" s="6"/>
      <c r="S737" s="6"/>
      <c r="T737" s="6"/>
      <c r="U737" s="6"/>
      <c r="V737" s="6"/>
      <c r="W737" s="6"/>
      <c r="X737" s="6"/>
      <c r="Y737" s="6"/>
      <c r="Z737" s="6"/>
    </row>
    <row r="738" ht="12.75" customHeight="1">
      <c r="A738" s="37">
        <v>736.0</v>
      </c>
      <c r="B738" s="37">
        <v>10736.0</v>
      </c>
      <c r="C738" s="37" t="s">
        <v>34</v>
      </c>
      <c r="D738" s="38" t="s">
        <v>1347</v>
      </c>
      <c r="E738" s="37" t="e">
        <v>#N/A</v>
      </c>
      <c r="F738" s="37" t="e">
        <v>#N/A</v>
      </c>
      <c r="G738" s="39" t="e">
        <v>#N/A</v>
      </c>
      <c r="H738" s="6"/>
      <c r="I738" s="6"/>
      <c r="J738" s="6"/>
      <c r="K738" s="6"/>
      <c r="L738" s="6"/>
      <c r="M738" s="6"/>
      <c r="N738" s="6"/>
      <c r="O738" s="6"/>
      <c r="P738" s="6"/>
      <c r="Q738" s="6"/>
      <c r="R738" s="6"/>
      <c r="S738" s="6"/>
      <c r="T738" s="6"/>
      <c r="U738" s="6"/>
      <c r="V738" s="6"/>
      <c r="W738" s="6"/>
      <c r="X738" s="6"/>
      <c r="Y738" s="6"/>
      <c r="Z738" s="6"/>
    </row>
    <row r="739" ht="12.75" customHeight="1">
      <c r="A739" s="37">
        <v>737.0</v>
      </c>
      <c r="B739" s="37">
        <v>10737.0</v>
      </c>
      <c r="C739" s="37" t="s">
        <v>34</v>
      </c>
      <c r="D739" s="38" t="s">
        <v>1348</v>
      </c>
      <c r="E739" s="37" t="e">
        <v>#N/A</v>
      </c>
      <c r="F739" s="37" t="e">
        <v>#N/A</v>
      </c>
      <c r="G739" s="39" t="e">
        <v>#N/A</v>
      </c>
      <c r="H739" s="6"/>
      <c r="I739" s="6"/>
      <c r="J739" s="6"/>
      <c r="K739" s="6"/>
      <c r="L739" s="6"/>
      <c r="M739" s="6"/>
      <c r="N739" s="6"/>
      <c r="O739" s="6"/>
      <c r="P739" s="6"/>
      <c r="Q739" s="6"/>
      <c r="R739" s="6"/>
      <c r="S739" s="6"/>
      <c r="T739" s="6"/>
      <c r="U739" s="6"/>
      <c r="V739" s="6"/>
      <c r="W739" s="6"/>
      <c r="X739" s="6"/>
      <c r="Y739" s="6"/>
      <c r="Z739" s="6"/>
    </row>
    <row r="740" ht="12.75" customHeight="1">
      <c r="A740" s="37">
        <v>738.0</v>
      </c>
      <c r="B740" s="37">
        <v>10738.0</v>
      </c>
      <c r="C740" s="37" t="s">
        <v>34</v>
      </c>
      <c r="D740" s="38" t="s">
        <v>1349</v>
      </c>
      <c r="E740" s="37" t="e">
        <v>#N/A</v>
      </c>
      <c r="F740" s="37" t="e">
        <v>#N/A</v>
      </c>
      <c r="G740" s="39" t="e">
        <v>#N/A</v>
      </c>
      <c r="H740" s="6"/>
      <c r="I740" s="6"/>
      <c r="J740" s="6"/>
      <c r="K740" s="6"/>
      <c r="L740" s="6"/>
      <c r="M740" s="6"/>
      <c r="N740" s="6"/>
      <c r="O740" s="6"/>
      <c r="P740" s="6"/>
      <c r="Q740" s="6"/>
      <c r="R740" s="6"/>
      <c r="S740" s="6"/>
      <c r="T740" s="6"/>
      <c r="U740" s="6"/>
      <c r="V740" s="6"/>
      <c r="W740" s="6"/>
      <c r="X740" s="6"/>
      <c r="Y740" s="6"/>
      <c r="Z740" s="6"/>
    </row>
    <row r="741" ht="12.75" customHeight="1">
      <c r="A741" s="86">
        <v>739.0</v>
      </c>
      <c r="B741" s="86">
        <v>10739.0</v>
      </c>
      <c r="C741" s="86" t="s">
        <v>34</v>
      </c>
      <c r="D741" s="87" t="s">
        <v>1350</v>
      </c>
      <c r="E741" s="86" t="e">
        <v>#N/A</v>
      </c>
      <c r="F741" s="86" t="e">
        <v>#N/A</v>
      </c>
      <c r="G741" s="88" t="e">
        <v>#N/A</v>
      </c>
      <c r="H741" s="6"/>
      <c r="I741" s="6"/>
      <c r="J741" s="6"/>
      <c r="K741" s="6"/>
      <c r="L741" s="6"/>
      <c r="M741" s="6"/>
      <c r="N741" s="6"/>
      <c r="O741" s="6"/>
      <c r="P741" s="6"/>
      <c r="Q741" s="6"/>
      <c r="R741" s="6"/>
      <c r="S741" s="6"/>
      <c r="T741" s="6"/>
      <c r="U741" s="6"/>
      <c r="V741" s="6"/>
      <c r="W741" s="6"/>
      <c r="X741" s="6"/>
      <c r="Y741" s="6"/>
      <c r="Z741" s="6"/>
    </row>
    <row r="742" ht="12.75" hidden="1" customHeight="1">
      <c r="A742" s="40">
        <v>740.0</v>
      </c>
      <c r="B742" s="40">
        <v>10740.0</v>
      </c>
      <c r="C742" s="40" t="s">
        <v>20</v>
      </c>
      <c r="D742" s="41" t="s">
        <v>1351</v>
      </c>
      <c r="E742" s="85" t="s">
        <v>1352</v>
      </c>
      <c r="F742" s="40" t="e">
        <v>#N/A</v>
      </c>
      <c r="G742" s="42" t="e">
        <v>#N/A</v>
      </c>
      <c r="H742" s="6"/>
      <c r="I742" s="6"/>
      <c r="J742" s="6"/>
      <c r="K742" s="6"/>
      <c r="L742" s="6"/>
      <c r="M742" s="6"/>
      <c r="N742" s="6"/>
      <c r="O742" s="6"/>
      <c r="P742" s="6"/>
      <c r="Q742" s="6"/>
      <c r="R742" s="6"/>
      <c r="S742" s="6"/>
      <c r="T742" s="6"/>
      <c r="U742" s="6"/>
      <c r="V742" s="6"/>
      <c r="W742" s="6"/>
      <c r="X742" s="6"/>
      <c r="Y742" s="6"/>
      <c r="Z742" s="6"/>
    </row>
    <row r="743" ht="12.75" customHeight="1">
      <c r="A743" s="89">
        <v>741.0</v>
      </c>
      <c r="B743" s="89">
        <v>10741.0</v>
      </c>
      <c r="C743" s="89" t="s">
        <v>7</v>
      </c>
      <c r="D743" s="90" t="s">
        <v>1353</v>
      </c>
      <c r="E743" s="89" t="e">
        <v>#N/A</v>
      </c>
      <c r="F743" s="89" t="e">
        <v>#N/A</v>
      </c>
      <c r="G743" s="91" t="e">
        <v>#N/A</v>
      </c>
      <c r="H743" s="6"/>
      <c r="I743" s="6"/>
      <c r="J743" s="6"/>
      <c r="K743" s="6"/>
      <c r="L743" s="6"/>
      <c r="M743" s="6"/>
      <c r="N743" s="6"/>
      <c r="O743" s="6"/>
      <c r="P743" s="6"/>
      <c r="Q743" s="6"/>
      <c r="R743" s="6"/>
      <c r="S743" s="6"/>
      <c r="T743" s="6"/>
      <c r="U743" s="6"/>
      <c r="V743" s="6"/>
      <c r="W743" s="6"/>
      <c r="X743" s="6"/>
      <c r="Y743" s="6"/>
      <c r="Z743" s="6"/>
    </row>
    <row r="744" ht="12.75" hidden="1" customHeight="1">
      <c r="A744" s="40">
        <v>742.0</v>
      </c>
      <c r="B744" s="40">
        <v>10742.0</v>
      </c>
      <c r="C744" s="40" t="s">
        <v>27</v>
      </c>
      <c r="D744" s="41" t="s">
        <v>1354</v>
      </c>
      <c r="E744" s="85" t="s">
        <v>1355</v>
      </c>
      <c r="F744" s="40">
        <f>LEN(E744)</f>
        <v>116</v>
      </c>
      <c r="G744" s="42" t="e">
        <v>#N/A</v>
      </c>
      <c r="H744" s="6"/>
      <c r="I744" s="6"/>
      <c r="J744" s="6"/>
      <c r="K744" s="6"/>
      <c r="L744" s="6"/>
      <c r="M744" s="6"/>
      <c r="N744" s="6"/>
      <c r="O744" s="6"/>
      <c r="P744" s="6"/>
      <c r="Q744" s="6"/>
      <c r="R744" s="6"/>
      <c r="S744" s="6"/>
      <c r="T744" s="6"/>
      <c r="U744" s="6"/>
      <c r="V744" s="6"/>
      <c r="W744" s="6"/>
      <c r="X744" s="6"/>
      <c r="Y744" s="6"/>
      <c r="Z744" s="6"/>
    </row>
    <row r="745" ht="12.75" customHeight="1">
      <c r="A745" s="40">
        <v>743.0</v>
      </c>
      <c r="B745" s="40">
        <v>10743.0</v>
      </c>
      <c r="C745" s="40" t="s">
        <v>34</v>
      </c>
      <c r="D745" s="41" t="s">
        <v>1356</v>
      </c>
      <c r="E745" s="40" t="e">
        <v>#N/A</v>
      </c>
      <c r="F745" s="40" t="e">
        <v>#N/A</v>
      </c>
      <c r="G745" s="42" t="e">
        <v>#N/A</v>
      </c>
      <c r="H745" s="6"/>
      <c r="I745" s="6"/>
      <c r="J745" s="6"/>
      <c r="K745" s="6"/>
      <c r="L745" s="6"/>
      <c r="M745" s="6"/>
      <c r="N745" s="6"/>
      <c r="O745" s="6"/>
      <c r="P745" s="6"/>
      <c r="Q745" s="6"/>
      <c r="R745" s="6"/>
      <c r="S745" s="6"/>
      <c r="T745" s="6"/>
      <c r="U745" s="6"/>
      <c r="V745" s="6"/>
      <c r="W745" s="6"/>
      <c r="X745" s="6"/>
      <c r="Y745" s="6"/>
      <c r="Z745" s="6"/>
    </row>
    <row r="746" ht="12.75" customHeight="1">
      <c r="A746" s="37">
        <v>744.0</v>
      </c>
      <c r="B746" s="37">
        <v>10744.0</v>
      </c>
      <c r="C746" s="37" t="s">
        <v>34</v>
      </c>
      <c r="D746" s="38" t="s">
        <v>1357</v>
      </c>
      <c r="E746" s="37" t="e">
        <v>#N/A</v>
      </c>
      <c r="F746" s="37" t="e">
        <v>#N/A</v>
      </c>
      <c r="G746" s="39" t="e">
        <v>#N/A</v>
      </c>
      <c r="H746" s="6"/>
      <c r="I746" s="6"/>
      <c r="J746" s="6"/>
      <c r="K746" s="6"/>
      <c r="L746" s="6"/>
      <c r="M746" s="6"/>
      <c r="N746" s="6"/>
      <c r="O746" s="6"/>
      <c r="P746" s="6"/>
      <c r="Q746" s="6"/>
      <c r="R746" s="6"/>
      <c r="S746" s="6"/>
      <c r="T746" s="6"/>
      <c r="U746" s="6"/>
      <c r="V746" s="6"/>
      <c r="W746" s="6"/>
      <c r="X746" s="6"/>
      <c r="Y746" s="6"/>
      <c r="Z746" s="6"/>
    </row>
    <row r="747" ht="12.75" customHeight="1">
      <c r="A747" s="70">
        <v>745.0</v>
      </c>
      <c r="B747" s="70">
        <v>10745.0</v>
      </c>
      <c r="C747" s="70" t="s">
        <v>7</v>
      </c>
      <c r="D747" s="71" t="s">
        <v>1358</v>
      </c>
      <c r="E747" s="70" t="e">
        <v>#N/A</v>
      </c>
      <c r="F747" s="70" t="e">
        <v>#N/A</v>
      </c>
      <c r="G747" s="72" t="e">
        <v>#N/A</v>
      </c>
      <c r="H747" s="6"/>
      <c r="I747" s="6"/>
      <c r="J747" s="6"/>
      <c r="K747" s="6"/>
      <c r="L747" s="6"/>
      <c r="M747" s="6"/>
      <c r="N747" s="6"/>
      <c r="O747" s="6"/>
      <c r="P747" s="6"/>
      <c r="Q747" s="6"/>
      <c r="R747" s="6"/>
      <c r="S747" s="6"/>
      <c r="T747" s="6"/>
      <c r="U747" s="6"/>
      <c r="V747" s="6"/>
      <c r="W747" s="6"/>
      <c r="X747" s="6"/>
      <c r="Y747" s="6"/>
      <c r="Z747" s="6"/>
    </row>
    <row r="748" ht="12.75" customHeight="1">
      <c r="A748" s="40">
        <v>746.0</v>
      </c>
      <c r="B748" s="40">
        <v>10746.0</v>
      </c>
      <c r="C748" s="40" t="s">
        <v>34</v>
      </c>
      <c r="D748" s="41" t="s">
        <v>1359</v>
      </c>
      <c r="E748" s="40" t="e">
        <v>#N/A</v>
      </c>
      <c r="F748" s="40" t="e">
        <v>#N/A</v>
      </c>
      <c r="G748" s="42" t="e">
        <v>#N/A</v>
      </c>
      <c r="H748" s="6"/>
      <c r="I748" s="6"/>
      <c r="J748" s="6"/>
      <c r="K748" s="6"/>
      <c r="L748" s="6"/>
      <c r="M748" s="6"/>
      <c r="N748" s="6"/>
      <c r="O748" s="6"/>
      <c r="P748" s="6"/>
      <c r="Q748" s="6"/>
      <c r="R748" s="6"/>
      <c r="S748" s="6"/>
      <c r="T748" s="6"/>
      <c r="U748" s="6"/>
      <c r="V748" s="6"/>
      <c r="W748" s="6"/>
      <c r="X748" s="6"/>
      <c r="Y748" s="6"/>
      <c r="Z748" s="6"/>
    </row>
    <row r="749" ht="12.75" customHeight="1">
      <c r="A749" s="40">
        <v>747.0</v>
      </c>
      <c r="B749" s="40">
        <v>10747.0</v>
      </c>
      <c r="C749" s="40" t="s">
        <v>34</v>
      </c>
      <c r="D749" s="41" t="s">
        <v>1360</v>
      </c>
      <c r="E749" s="40" t="e">
        <v>#N/A</v>
      </c>
      <c r="F749" s="40" t="e">
        <v>#N/A</v>
      </c>
      <c r="G749" s="42" t="e">
        <v>#N/A</v>
      </c>
      <c r="H749" s="6"/>
      <c r="I749" s="6"/>
      <c r="J749" s="6"/>
      <c r="K749" s="6"/>
      <c r="L749" s="6"/>
      <c r="M749" s="6"/>
      <c r="N749" s="6"/>
      <c r="O749" s="6"/>
      <c r="P749" s="6"/>
      <c r="Q749" s="6"/>
      <c r="R749" s="6"/>
      <c r="S749" s="6"/>
      <c r="T749" s="6"/>
      <c r="U749" s="6"/>
      <c r="V749" s="6"/>
      <c r="W749" s="6"/>
      <c r="X749" s="6"/>
      <c r="Y749" s="6"/>
      <c r="Z749" s="6"/>
    </row>
    <row r="750" ht="12.75" hidden="1" customHeight="1">
      <c r="A750" s="43">
        <v>748.0</v>
      </c>
      <c r="B750" s="43">
        <v>10748.0</v>
      </c>
      <c r="C750" s="43" t="s">
        <v>34</v>
      </c>
      <c r="D750" s="44" t="s">
        <v>1361</v>
      </c>
      <c r="E750" s="43" t="s">
        <v>1362</v>
      </c>
      <c r="F750" s="43">
        <v>142.0</v>
      </c>
      <c r="G750" s="45">
        <v>0.0</v>
      </c>
      <c r="H750" s="6"/>
      <c r="I750" s="6"/>
      <c r="J750" s="6"/>
      <c r="K750" s="6"/>
      <c r="L750" s="6"/>
      <c r="M750" s="6"/>
      <c r="N750" s="6"/>
      <c r="O750" s="6"/>
      <c r="P750" s="6"/>
      <c r="Q750" s="6"/>
      <c r="R750" s="6"/>
      <c r="S750" s="6"/>
      <c r="T750" s="6"/>
      <c r="U750" s="6"/>
      <c r="V750" s="6"/>
      <c r="W750" s="6"/>
      <c r="X750" s="6"/>
      <c r="Y750" s="6"/>
      <c r="Z750" s="6"/>
    </row>
    <row r="751" ht="12.75" customHeight="1">
      <c r="A751" s="40">
        <v>749.0</v>
      </c>
      <c r="B751" s="40">
        <v>10749.0</v>
      </c>
      <c r="C751" s="40" t="s">
        <v>34</v>
      </c>
      <c r="D751" s="41" t="s">
        <v>1363</v>
      </c>
      <c r="E751" s="40" t="e">
        <v>#N/A</v>
      </c>
      <c r="F751" s="40" t="e">
        <v>#N/A</v>
      </c>
      <c r="G751" s="42" t="e">
        <v>#N/A</v>
      </c>
      <c r="H751" s="6"/>
      <c r="I751" s="6"/>
      <c r="J751" s="6"/>
      <c r="K751" s="6"/>
      <c r="L751" s="6"/>
      <c r="M751" s="6"/>
      <c r="N751" s="6"/>
      <c r="O751" s="6"/>
      <c r="P751" s="6"/>
      <c r="Q751" s="6"/>
      <c r="R751" s="6"/>
      <c r="S751" s="6"/>
      <c r="T751" s="6"/>
      <c r="U751" s="6"/>
      <c r="V751" s="6"/>
      <c r="W751" s="6"/>
      <c r="X751" s="6"/>
      <c r="Y751" s="6"/>
      <c r="Z751" s="6"/>
    </row>
    <row r="752" ht="12.75" customHeight="1">
      <c r="A752" s="40">
        <v>750.0</v>
      </c>
      <c r="B752" s="40">
        <v>10750.0</v>
      </c>
      <c r="C752" s="40" t="s">
        <v>34</v>
      </c>
      <c r="D752" s="41" t="s">
        <v>1364</v>
      </c>
      <c r="E752" s="40" t="e">
        <v>#N/A</v>
      </c>
      <c r="F752" s="40" t="e">
        <v>#N/A</v>
      </c>
      <c r="G752" s="42" t="e">
        <v>#N/A</v>
      </c>
      <c r="H752" s="6"/>
      <c r="I752" s="6"/>
      <c r="J752" s="6"/>
      <c r="K752" s="6"/>
      <c r="L752" s="6"/>
      <c r="M752" s="6"/>
      <c r="N752" s="6"/>
      <c r="O752" s="6"/>
      <c r="P752" s="6"/>
      <c r="Q752" s="6"/>
      <c r="R752" s="6"/>
      <c r="S752" s="6"/>
      <c r="T752" s="6"/>
      <c r="U752" s="6"/>
      <c r="V752" s="6"/>
      <c r="W752" s="6"/>
      <c r="X752" s="6"/>
      <c r="Y752" s="6"/>
      <c r="Z752" s="6"/>
    </row>
    <row r="753" ht="12.75" hidden="1" customHeight="1">
      <c r="A753" s="40">
        <v>751.0</v>
      </c>
      <c r="B753" s="40">
        <v>10751.0</v>
      </c>
      <c r="C753" s="40" t="s">
        <v>27</v>
      </c>
      <c r="D753" s="41" t="s">
        <v>1365</v>
      </c>
      <c r="E753" s="38" t="s">
        <v>1366</v>
      </c>
      <c r="F753" s="37">
        <f>LEN(E753)</f>
        <v>136</v>
      </c>
      <c r="G753" s="42">
        <v>46013.0</v>
      </c>
      <c r="H753" s="6"/>
      <c r="I753" s="6"/>
      <c r="J753" s="6"/>
      <c r="K753" s="6"/>
      <c r="L753" s="6"/>
      <c r="M753" s="6"/>
      <c r="N753" s="6"/>
      <c r="O753" s="6"/>
      <c r="P753" s="6"/>
      <c r="Q753" s="6"/>
      <c r="R753" s="6"/>
      <c r="S753" s="6"/>
      <c r="T753" s="6"/>
      <c r="U753" s="6"/>
      <c r="V753" s="6"/>
      <c r="W753" s="6"/>
      <c r="X753" s="6"/>
      <c r="Y753" s="6"/>
      <c r="Z753" s="6"/>
    </row>
    <row r="754" ht="12.75" customHeight="1">
      <c r="A754" s="55">
        <v>752.0</v>
      </c>
      <c r="B754" s="55">
        <v>10752.0</v>
      </c>
      <c r="C754" s="55" t="s">
        <v>34</v>
      </c>
      <c r="D754" s="56" t="s">
        <v>1367</v>
      </c>
      <c r="E754" s="55" t="e">
        <v>#N/A</v>
      </c>
      <c r="F754" s="55" t="e">
        <v>#N/A</v>
      </c>
      <c r="G754" s="57" t="e">
        <v>#N/A</v>
      </c>
      <c r="H754" s="6"/>
      <c r="I754" s="6"/>
      <c r="J754" s="6"/>
      <c r="K754" s="6"/>
      <c r="L754" s="6"/>
      <c r="M754" s="6"/>
      <c r="N754" s="6"/>
      <c r="O754" s="6"/>
      <c r="P754" s="6"/>
      <c r="Q754" s="6"/>
      <c r="R754" s="6"/>
      <c r="S754" s="6"/>
      <c r="T754" s="6"/>
      <c r="U754" s="6"/>
      <c r="V754" s="6"/>
      <c r="W754" s="6"/>
      <c r="X754" s="6"/>
      <c r="Y754" s="6"/>
      <c r="Z754" s="6"/>
    </row>
    <row r="755" ht="12.75" customHeight="1">
      <c r="A755" s="55">
        <v>753.0</v>
      </c>
      <c r="B755" s="55">
        <v>10753.0</v>
      </c>
      <c r="C755" s="55" t="s">
        <v>34</v>
      </c>
      <c r="D755" s="56" t="s">
        <v>1368</v>
      </c>
      <c r="E755" s="55" t="e">
        <v>#N/A</v>
      </c>
      <c r="F755" s="55" t="e">
        <v>#N/A</v>
      </c>
      <c r="G755" s="57" t="e">
        <v>#N/A</v>
      </c>
      <c r="H755" s="6"/>
      <c r="I755" s="6"/>
      <c r="J755" s="6"/>
      <c r="K755" s="6"/>
      <c r="L755" s="6"/>
      <c r="M755" s="6"/>
      <c r="N755" s="6"/>
      <c r="O755" s="6"/>
      <c r="P755" s="6"/>
      <c r="Q755" s="6"/>
      <c r="R755" s="6"/>
      <c r="S755" s="6"/>
      <c r="T755" s="6"/>
      <c r="U755" s="6"/>
      <c r="V755" s="6"/>
      <c r="W755" s="6"/>
      <c r="X755" s="6"/>
      <c r="Y755" s="6"/>
      <c r="Z755" s="6"/>
    </row>
    <row r="756" ht="12.75" customHeight="1">
      <c r="A756" s="55">
        <v>754.0</v>
      </c>
      <c r="B756" s="55">
        <v>10754.0</v>
      </c>
      <c r="C756" s="55" t="s">
        <v>34</v>
      </c>
      <c r="D756" s="56" t="s">
        <v>1369</v>
      </c>
      <c r="E756" s="55" t="e">
        <v>#N/A</v>
      </c>
      <c r="F756" s="55" t="e">
        <v>#N/A</v>
      </c>
      <c r="G756" s="57" t="e">
        <v>#N/A</v>
      </c>
      <c r="H756" s="6"/>
      <c r="I756" s="6"/>
      <c r="J756" s="6"/>
      <c r="K756" s="6"/>
      <c r="L756" s="6"/>
      <c r="M756" s="6"/>
      <c r="N756" s="6"/>
      <c r="O756" s="6"/>
      <c r="P756" s="6"/>
      <c r="Q756" s="6"/>
      <c r="R756" s="6"/>
      <c r="S756" s="6"/>
      <c r="T756" s="6"/>
      <c r="U756" s="6"/>
      <c r="V756" s="6"/>
      <c r="W756" s="6"/>
      <c r="X756" s="6"/>
      <c r="Y756" s="6"/>
      <c r="Z756" s="6"/>
    </row>
    <row r="757" ht="12.75" customHeight="1">
      <c r="A757" s="89">
        <v>755.0</v>
      </c>
      <c r="B757" s="89">
        <v>10755.0</v>
      </c>
      <c r="C757" s="89" t="s">
        <v>7</v>
      </c>
      <c r="D757" s="90" t="s">
        <v>1370</v>
      </c>
      <c r="E757" s="89" t="e">
        <v>#N/A</v>
      </c>
      <c r="F757" s="89" t="e">
        <v>#N/A</v>
      </c>
      <c r="G757" s="91" t="e">
        <v>#N/A</v>
      </c>
      <c r="H757" s="6"/>
      <c r="I757" s="6"/>
      <c r="J757" s="6"/>
      <c r="K757" s="6"/>
      <c r="L757" s="6"/>
      <c r="M757" s="6"/>
      <c r="N757" s="6"/>
      <c r="O757" s="6"/>
      <c r="P757" s="6"/>
      <c r="Q757" s="6"/>
      <c r="R757" s="6"/>
      <c r="S757" s="6"/>
      <c r="T757" s="6"/>
      <c r="U757" s="6"/>
      <c r="V757" s="6"/>
      <c r="W757" s="6"/>
      <c r="X757" s="6"/>
      <c r="Y757" s="6"/>
      <c r="Z757" s="6"/>
    </row>
    <row r="758" ht="12.75" customHeight="1">
      <c r="A758" s="37">
        <v>756.0</v>
      </c>
      <c r="B758" s="37">
        <v>10756.0</v>
      </c>
      <c r="C758" s="37" t="s">
        <v>7</v>
      </c>
      <c r="D758" s="38" t="s">
        <v>1371</v>
      </c>
      <c r="E758" s="37" t="e">
        <v>#N/A</v>
      </c>
      <c r="F758" s="37" t="e">
        <v>#N/A</v>
      </c>
      <c r="G758" s="39" t="e">
        <v>#N/A</v>
      </c>
      <c r="H758" s="6"/>
      <c r="I758" s="6"/>
      <c r="J758" s="6"/>
      <c r="K758" s="6"/>
      <c r="L758" s="6"/>
      <c r="M758" s="6"/>
      <c r="N758" s="6"/>
      <c r="O758" s="6"/>
      <c r="P758" s="6"/>
      <c r="Q758" s="6"/>
      <c r="R758" s="6"/>
      <c r="S758" s="6"/>
      <c r="T758" s="6"/>
      <c r="U758" s="6"/>
      <c r="V758" s="6"/>
      <c r="W758" s="6"/>
      <c r="X758" s="6"/>
      <c r="Y758" s="6"/>
      <c r="Z758" s="6"/>
    </row>
    <row r="759" ht="12.75" customHeight="1">
      <c r="A759" s="40">
        <v>757.0</v>
      </c>
      <c r="B759" s="40">
        <v>10757.0</v>
      </c>
      <c r="C759" s="40" t="s">
        <v>7</v>
      </c>
      <c r="D759" s="41" t="s">
        <v>1372</v>
      </c>
      <c r="E759" s="40" t="e">
        <v>#N/A</v>
      </c>
      <c r="F759" s="40" t="e">
        <v>#N/A</v>
      </c>
      <c r="G759" s="42" t="e">
        <v>#N/A</v>
      </c>
      <c r="H759" s="6"/>
      <c r="I759" s="6"/>
      <c r="J759" s="6"/>
      <c r="K759" s="6"/>
      <c r="L759" s="6"/>
      <c r="M759" s="6"/>
      <c r="N759" s="6"/>
      <c r="O759" s="6"/>
      <c r="P759" s="6"/>
      <c r="Q759" s="6"/>
      <c r="R759" s="6"/>
      <c r="S759" s="6"/>
      <c r="T759" s="6"/>
      <c r="U759" s="6"/>
      <c r="V759" s="6"/>
      <c r="W759" s="6"/>
      <c r="X759" s="6"/>
      <c r="Y759" s="6"/>
      <c r="Z759" s="6"/>
    </row>
    <row r="760" ht="12.75" customHeight="1">
      <c r="A760" s="37">
        <v>758.0</v>
      </c>
      <c r="B760" s="37">
        <v>10758.0</v>
      </c>
      <c r="C760" s="37" t="s">
        <v>34</v>
      </c>
      <c r="D760" s="38" t="s">
        <v>1373</v>
      </c>
      <c r="E760" s="37" t="e">
        <v>#N/A</v>
      </c>
      <c r="F760" s="37" t="e">
        <v>#N/A</v>
      </c>
      <c r="G760" s="39" t="e">
        <v>#N/A</v>
      </c>
      <c r="H760" s="6"/>
      <c r="I760" s="6"/>
      <c r="J760" s="6"/>
      <c r="K760" s="6"/>
      <c r="L760" s="6"/>
      <c r="M760" s="6"/>
      <c r="N760" s="6"/>
      <c r="O760" s="6"/>
      <c r="P760" s="6"/>
      <c r="Q760" s="6"/>
      <c r="R760" s="6"/>
      <c r="S760" s="6"/>
      <c r="T760" s="6"/>
      <c r="U760" s="6"/>
      <c r="V760" s="6"/>
      <c r="W760" s="6"/>
      <c r="X760" s="6"/>
      <c r="Y760" s="6"/>
      <c r="Z760" s="6"/>
    </row>
    <row r="761" ht="12.75" customHeight="1">
      <c r="A761" s="40">
        <v>759.0</v>
      </c>
      <c r="B761" s="40">
        <v>10759.0</v>
      </c>
      <c r="C761" s="40" t="s">
        <v>34</v>
      </c>
      <c r="D761" s="41" t="s">
        <v>1374</v>
      </c>
      <c r="E761" s="40" t="e">
        <v>#N/A</v>
      </c>
      <c r="F761" s="40" t="e">
        <v>#N/A</v>
      </c>
      <c r="G761" s="42" t="e">
        <v>#N/A</v>
      </c>
      <c r="H761" s="6"/>
      <c r="I761" s="6"/>
      <c r="J761" s="6"/>
      <c r="K761" s="6"/>
      <c r="L761" s="6"/>
      <c r="M761" s="6"/>
      <c r="N761" s="6"/>
      <c r="O761" s="6"/>
      <c r="P761" s="6"/>
      <c r="Q761" s="6"/>
      <c r="R761" s="6"/>
      <c r="S761" s="6"/>
      <c r="T761" s="6"/>
      <c r="U761" s="6"/>
      <c r="V761" s="6"/>
      <c r="W761" s="6"/>
      <c r="X761" s="6"/>
      <c r="Y761" s="6"/>
      <c r="Z761" s="6"/>
    </row>
    <row r="762" ht="12.75" customHeight="1">
      <c r="A762" s="40">
        <v>760.0</v>
      </c>
      <c r="B762" s="40">
        <v>10760.0</v>
      </c>
      <c r="C762" s="40" t="s">
        <v>7</v>
      </c>
      <c r="D762" s="41" t="s">
        <v>1375</v>
      </c>
      <c r="E762" s="40" t="e">
        <v>#N/A</v>
      </c>
      <c r="F762" s="40" t="e">
        <v>#N/A</v>
      </c>
      <c r="G762" s="42" t="e">
        <v>#N/A</v>
      </c>
      <c r="H762" s="6"/>
      <c r="I762" s="6"/>
      <c r="J762" s="6"/>
      <c r="K762" s="6"/>
      <c r="L762" s="6"/>
      <c r="M762" s="6"/>
      <c r="N762" s="6"/>
      <c r="O762" s="6"/>
      <c r="P762" s="6"/>
      <c r="Q762" s="6"/>
      <c r="R762" s="6"/>
      <c r="S762" s="6"/>
      <c r="T762" s="6"/>
      <c r="U762" s="6"/>
      <c r="V762" s="6"/>
      <c r="W762" s="6"/>
      <c r="X762" s="6"/>
      <c r="Y762" s="6"/>
      <c r="Z762" s="6"/>
    </row>
    <row r="763" ht="12.75" hidden="1" customHeight="1">
      <c r="A763" s="40">
        <v>761.0</v>
      </c>
      <c r="B763" s="40">
        <v>10761.0</v>
      </c>
      <c r="C763" s="40" t="s">
        <v>27</v>
      </c>
      <c r="D763" s="41" t="s">
        <v>1376</v>
      </c>
      <c r="E763" s="85" t="s">
        <v>1377</v>
      </c>
      <c r="F763" s="40">
        <f>LEN(E763)</f>
        <v>160</v>
      </c>
      <c r="G763" s="42" t="e">
        <v>#N/A</v>
      </c>
      <c r="H763" s="6"/>
      <c r="I763" s="6"/>
      <c r="J763" s="6"/>
      <c r="K763" s="6"/>
      <c r="L763" s="6"/>
      <c r="M763" s="6"/>
      <c r="N763" s="6"/>
      <c r="O763" s="6"/>
      <c r="P763" s="6"/>
      <c r="Q763" s="6"/>
      <c r="R763" s="6"/>
      <c r="S763" s="6"/>
      <c r="T763" s="6"/>
      <c r="U763" s="6"/>
      <c r="V763" s="6"/>
      <c r="W763" s="6"/>
      <c r="X763" s="6"/>
      <c r="Y763" s="6"/>
      <c r="Z763" s="6"/>
    </row>
    <row r="764" ht="12.75" customHeight="1">
      <c r="A764" s="40">
        <v>762.0</v>
      </c>
      <c r="B764" s="40">
        <v>10762.0</v>
      </c>
      <c r="C764" s="40" t="s">
        <v>34</v>
      </c>
      <c r="D764" s="41" t="s">
        <v>1378</v>
      </c>
      <c r="E764" s="40" t="e">
        <v>#N/A</v>
      </c>
      <c r="F764" s="40" t="e">
        <v>#N/A</v>
      </c>
      <c r="G764" s="42" t="e">
        <v>#N/A</v>
      </c>
      <c r="H764" s="6"/>
      <c r="I764" s="6"/>
      <c r="J764" s="6"/>
      <c r="K764" s="6"/>
      <c r="L764" s="6"/>
      <c r="M764" s="6"/>
      <c r="N764" s="6"/>
      <c r="O764" s="6"/>
      <c r="P764" s="6"/>
      <c r="Q764" s="6"/>
      <c r="R764" s="6"/>
      <c r="S764" s="6"/>
      <c r="T764" s="6"/>
      <c r="U764" s="6"/>
      <c r="V764" s="6"/>
      <c r="W764" s="6"/>
      <c r="X764" s="6"/>
      <c r="Y764" s="6"/>
      <c r="Z764" s="6"/>
    </row>
    <row r="765" ht="12.75" customHeight="1">
      <c r="A765" s="40">
        <v>763.0</v>
      </c>
      <c r="B765" s="40">
        <v>10763.0</v>
      </c>
      <c r="C765" s="40" t="s">
        <v>34</v>
      </c>
      <c r="D765" s="41" t="s">
        <v>1379</v>
      </c>
      <c r="E765" s="40" t="e">
        <v>#N/A</v>
      </c>
      <c r="F765" s="40" t="e">
        <v>#N/A</v>
      </c>
      <c r="G765" s="42" t="e">
        <v>#N/A</v>
      </c>
      <c r="H765" s="6"/>
      <c r="I765" s="6"/>
      <c r="J765" s="6"/>
      <c r="K765" s="6"/>
      <c r="L765" s="6"/>
      <c r="M765" s="6"/>
      <c r="N765" s="6"/>
      <c r="O765" s="6"/>
      <c r="P765" s="6"/>
      <c r="Q765" s="6"/>
      <c r="R765" s="6"/>
      <c r="S765" s="6"/>
      <c r="T765" s="6"/>
      <c r="U765" s="6"/>
      <c r="V765" s="6"/>
      <c r="W765" s="6"/>
      <c r="X765" s="6"/>
      <c r="Y765" s="6"/>
      <c r="Z765" s="6"/>
    </row>
    <row r="766" ht="12.75" customHeight="1">
      <c r="A766" s="40">
        <v>764.0</v>
      </c>
      <c r="B766" s="40">
        <v>10764.0</v>
      </c>
      <c r="C766" s="40" t="s">
        <v>7</v>
      </c>
      <c r="D766" s="41" t="s">
        <v>1380</v>
      </c>
      <c r="E766" s="40" t="e">
        <v>#N/A</v>
      </c>
      <c r="F766" s="40" t="e">
        <v>#N/A</v>
      </c>
      <c r="G766" s="42" t="e">
        <v>#N/A</v>
      </c>
      <c r="H766" s="6"/>
      <c r="I766" s="6"/>
      <c r="J766" s="6"/>
      <c r="K766" s="6"/>
      <c r="L766" s="6"/>
      <c r="M766" s="6"/>
      <c r="N766" s="6"/>
      <c r="O766" s="6"/>
      <c r="P766" s="6"/>
      <c r="Q766" s="6"/>
      <c r="R766" s="6"/>
      <c r="S766" s="6"/>
      <c r="T766" s="6"/>
      <c r="U766" s="6"/>
      <c r="V766" s="6"/>
      <c r="W766" s="6"/>
      <c r="X766" s="6"/>
      <c r="Y766" s="6"/>
      <c r="Z766" s="6"/>
    </row>
    <row r="767" ht="12.75" customHeight="1">
      <c r="A767" s="40">
        <v>765.0</v>
      </c>
      <c r="B767" s="40">
        <v>10765.0</v>
      </c>
      <c r="C767" s="40" t="s">
        <v>7</v>
      </c>
      <c r="D767" s="41" t="s">
        <v>1381</v>
      </c>
      <c r="E767" s="40" t="e">
        <v>#N/A</v>
      </c>
      <c r="F767" s="40" t="e">
        <v>#N/A</v>
      </c>
      <c r="G767" s="42" t="e">
        <v>#N/A</v>
      </c>
      <c r="H767" s="6"/>
      <c r="I767" s="6"/>
      <c r="J767" s="6"/>
      <c r="K767" s="6"/>
      <c r="L767" s="6"/>
      <c r="M767" s="6"/>
      <c r="N767" s="6"/>
      <c r="O767" s="6"/>
      <c r="P767" s="6"/>
      <c r="Q767" s="6"/>
      <c r="R767" s="6"/>
      <c r="S767" s="6"/>
      <c r="T767" s="6"/>
      <c r="U767" s="6"/>
      <c r="V767" s="6"/>
      <c r="W767" s="6"/>
      <c r="X767" s="6"/>
      <c r="Y767" s="6"/>
      <c r="Z767" s="6"/>
    </row>
    <row r="768" ht="12.75" customHeight="1">
      <c r="A768" s="40">
        <v>766.0</v>
      </c>
      <c r="B768" s="40">
        <v>10766.0</v>
      </c>
      <c r="C768" s="40" t="s">
        <v>20</v>
      </c>
      <c r="D768" s="41" t="s">
        <v>1382</v>
      </c>
      <c r="E768" s="40" t="e">
        <v>#N/A</v>
      </c>
      <c r="F768" s="40" t="e">
        <v>#N/A</v>
      </c>
      <c r="G768" s="42" t="e">
        <v>#N/A</v>
      </c>
      <c r="H768" s="6"/>
      <c r="I768" s="6"/>
      <c r="J768" s="6"/>
      <c r="K768" s="6"/>
      <c r="L768" s="6"/>
      <c r="M768" s="6"/>
      <c r="N768" s="6"/>
      <c r="O768" s="6"/>
      <c r="P768" s="6"/>
      <c r="Q768" s="6"/>
      <c r="R768" s="6"/>
      <c r="S768" s="6"/>
      <c r="T768" s="6"/>
      <c r="U768" s="6"/>
      <c r="V768" s="6"/>
      <c r="W768" s="6"/>
      <c r="X768" s="6"/>
      <c r="Y768" s="6"/>
      <c r="Z768" s="6"/>
    </row>
    <row r="769" ht="12.75" customHeight="1">
      <c r="A769" s="40">
        <v>767.0</v>
      </c>
      <c r="B769" s="40">
        <v>10767.0</v>
      </c>
      <c r="C769" s="40" t="s">
        <v>7</v>
      </c>
      <c r="D769" s="41" t="s">
        <v>1383</v>
      </c>
      <c r="E769" s="40" t="e">
        <v>#N/A</v>
      </c>
      <c r="F769" s="40" t="e">
        <v>#N/A</v>
      </c>
      <c r="G769" s="42" t="e">
        <v>#N/A</v>
      </c>
      <c r="H769" s="6"/>
      <c r="I769" s="6"/>
      <c r="J769" s="6"/>
      <c r="K769" s="6"/>
      <c r="L769" s="6"/>
      <c r="M769" s="6"/>
      <c r="N769" s="6"/>
      <c r="O769" s="6"/>
      <c r="P769" s="6"/>
      <c r="Q769" s="6"/>
      <c r="R769" s="6"/>
      <c r="S769" s="6"/>
      <c r="T769" s="6"/>
      <c r="U769" s="6"/>
      <c r="V769" s="6"/>
      <c r="W769" s="6"/>
      <c r="X769" s="6"/>
      <c r="Y769" s="6"/>
      <c r="Z769" s="6"/>
    </row>
    <row r="770" ht="12.75" customHeight="1">
      <c r="A770" s="40">
        <v>768.0</v>
      </c>
      <c r="B770" s="40">
        <v>10768.0</v>
      </c>
      <c r="C770" s="40" t="s">
        <v>7</v>
      </c>
      <c r="D770" s="41" t="s">
        <v>1384</v>
      </c>
      <c r="E770" s="40" t="e">
        <v>#N/A</v>
      </c>
      <c r="F770" s="40" t="e">
        <v>#N/A</v>
      </c>
      <c r="G770" s="42" t="e">
        <v>#N/A</v>
      </c>
      <c r="H770" s="6"/>
      <c r="I770" s="6"/>
      <c r="J770" s="6"/>
      <c r="K770" s="6"/>
      <c r="L770" s="6"/>
      <c r="M770" s="6"/>
      <c r="N770" s="6"/>
      <c r="O770" s="6"/>
      <c r="P770" s="6"/>
      <c r="Q770" s="6"/>
      <c r="R770" s="6"/>
      <c r="S770" s="6"/>
      <c r="T770" s="6"/>
      <c r="U770" s="6"/>
      <c r="V770" s="6"/>
      <c r="W770" s="6"/>
      <c r="X770" s="6"/>
      <c r="Y770" s="6"/>
      <c r="Z770" s="6"/>
    </row>
    <row r="771" ht="12.75" customHeight="1">
      <c r="A771" s="40">
        <v>769.0</v>
      </c>
      <c r="B771" s="40">
        <v>10769.0</v>
      </c>
      <c r="C771" s="40" t="s">
        <v>34</v>
      </c>
      <c r="D771" s="41" t="s">
        <v>1385</v>
      </c>
      <c r="E771" s="40" t="e">
        <v>#N/A</v>
      </c>
      <c r="F771" s="40" t="e">
        <v>#N/A</v>
      </c>
      <c r="G771" s="42" t="e">
        <v>#N/A</v>
      </c>
      <c r="H771" s="6"/>
      <c r="I771" s="6"/>
      <c r="J771" s="6"/>
      <c r="K771" s="6"/>
      <c r="L771" s="6"/>
      <c r="M771" s="6"/>
      <c r="N771" s="6"/>
      <c r="O771" s="6"/>
      <c r="P771" s="6"/>
      <c r="Q771" s="6"/>
      <c r="R771" s="6"/>
      <c r="S771" s="6"/>
      <c r="T771" s="6"/>
      <c r="U771" s="6"/>
      <c r="V771" s="6"/>
      <c r="W771" s="6"/>
      <c r="X771" s="6"/>
      <c r="Y771" s="6"/>
      <c r="Z771" s="6"/>
    </row>
    <row r="772" ht="12.75" customHeight="1">
      <c r="A772" s="40">
        <v>770.0</v>
      </c>
      <c r="B772" s="40">
        <v>10770.0</v>
      </c>
      <c r="C772" s="40" t="s">
        <v>34</v>
      </c>
      <c r="D772" s="41" t="s">
        <v>1386</v>
      </c>
      <c r="E772" s="40" t="e">
        <v>#N/A</v>
      </c>
      <c r="F772" s="40" t="e">
        <v>#N/A</v>
      </c>
      <c r="G772" s="42" t="e">
        <v>#N/A</v>
      </c>
      <c r="H772" s="6"/>
      <c r="I772" s="6"/>
      <c r="J772" s="6"/>
      <c r="K772" s="6"/>
      <c r="L772" s="6"/>
      <c r="M772" s="6"/>
      <c r="N772" s="6"/>
      <c r="O772" s="6"/>
      <c r="P772" s="6"/>
      <c r="Q772" s="6"/>
      <c r="R772" s="6"/>
      <c r="S772" s="6"/>
      <c r="T772" s="6"/>
      <c r="U772" s="6"/>
      <c r="V772" s="6"/>
      <c r="W772" s="6"/>
      <c r="X772" s="6"/>
      <c r="Y772" s="6"/>
      <c r="Z772" s="6"/>
    </row>
    <row r="773" ht="12.75" customHeight="1">
      <c r="A773" s="40">
        <v>771.0</v>
      </c>
      <c r="B773" s="40">
        <v>10771.0</v>
      </c>
      <c r="C773" s="40" t="s">
        <v>34</v>
      </c>
      <c r="D773" s="41" t="s">
        <v>1387</v>
      </c>
      <c r="E773" s="40" t="e">
        <v>#N/A</v>
      </c>
      <c r="F773" s="40" t="e">
        <v>#N/A</v>
      </c>
      <c r="G773" s="42" t="e">
        <v>#N/A</v>
      </c>
      <c r="H773" s="6"/>
      <c r="I773" s="6"/>
      <c r="J773" s="6"/>
      <c r="K773" s="6"/>
      <c r="L773" s="6"/>
      <c r="M773" s="6"/>
      <c r="N773" s="6"/>
      <c r="O773" s="6"/>
      <c r="P773" s="6"/>
      <c r="Q773" s="6"/>
      <c r="R773" s="6"/>
      <c r="S773" s="6"/>
      <c r="T773" s="6"/>
      <c r="U773" s="6"/>
      <c r="V773" s="6"/>
      <c r="W773" s="6"/>
      <c r="X773" s="6"/>
      <c r="Y773" s="6"/>
      <c r="Z773" s="6"/>
    </row>
    <row r="774" ht="12.75" customHeight="1">
      <c r="A774" s="40">
        <v>772.0</v>
      </c>
      <c r="B774" s="40">
        <v>10772.0</v>
      </c>
      <c r="C774" s="40" t="s">
        <v>34</v>
      </c>
      <c r="D774" s="41" t="s">
        <v>1388</v>
      </c>
      <c r="E774" s="40" t="e">
        <v>#N/A</v>
      </c>
      <c r="F774" s="40" t="e">
        <v>#N/A</v>
      </c>
      <c r="G774" s="42" t="e">
        <v>#N/A</v>
      </c>
      <c r="H774" s="6"/>
      <c r="I774" s="6"/>
      <c r="J774" s="6"/>
      <c r="K774" s="6"/>
      <c r="L774" s="6"/>
      <c r="M774" s="6"/>
      <c r="N774" s="6"/>
      <c r="O774" s="6"/>
      <c r="P774" s="6"/>
      <c r="Q774" s="6"/>
      <c r="R774" s="6"/>
      <c r="S774" s="6"/>
      <c r="T774" s="6"/>
      <c r="U774" s="6"/>
      <c r="V774" s="6"/>
      <c r="W774" s="6"/>
      <c r="X774" s="6"/>
      <c r="Y774" s="6"/>
      <c r="Z774" s="6"/>
    </row>
    <row r="775" ht="12.75" customHeight="1">
      <c r="A775" s="40">
        <v>773.0</v>
      </c>
      <c r="B775" s="40">
        <v>10773.0</v>
      </c>
      <c r="C775" s="40" t="s">
        <v>7</v>
      </c>
      <c r="D775" s="41" t="s">
        <v>1389</v>
      </c>
      <c r="E775" s="40" t="e">
        <v>#N/A</v>
      </c>
      <c r="F775" s="40" t="e">
        <v>#N/A</v>
      </c>
      <c r="G775" s="42" t="e">
        <v>#N/A</v>
      </c>
      <c r="H775" s="6"/>
      <c r="I775" s="6"/>
      <c r="J775" s="6"/>
      <c r="K775" s="6"/>
      <c r="L775" s="6"/>
      <c r="M775" s="6"/>
      <c r="N775" s="6"/>
      <c r="O775" s="6"/>
      <c r="P775" s="6"/>
      <c r="Q775" s="6"/>
      <c r="R775" s="6"/>
      <c r="S775" s="6"/>
      <c r="T775" s="6"/>
      <c r="U775" s="6"/>
      <c r="V775" s="6"/>
      <c r="W775" s="6"/>
      <c r="X775" s="6"/>
      <c r="Y775" s="6"/>
      <c r="Z775" s="6"/>
    </row>
    <row r="776" ht="12.75" customHeight="1">
      <c r="A776" s="89">
        <v>774.0</v>
      </c>
      <c r="B776" s="89">
        <v>10774.0</v>
      </c>
      <c r="C776" s="89" t="s">
        <v>7</v>
      </c>
      <c r="D776" s="90" t="s">
        <v>1390</v>
      </c>
      <c r="E776" s="89" t="e">
        <v>#N/A</v>
      </c>
      <c r="F776" s="89" t="e">
        <v>#N/A</v>
      </c>
      <c r="G776" s="91" t="e">
        <v>#N/A</v>
      </c>
      <c r="H776" s="6"/>
      <c r="I776" s="6"/>
      <c r="J776" s="6"/>
      <c r="K776" s="6"/>
      <c r="L776" s="6"/>
      <c r="M776" s="6"/>
      <c r="N776" s="6"/>
      <c r="O776" s="6"/>
      <c r="P776" s="6"/>
      <c r="Q776" s="6"/>
      <c r="R776" s="6"/>
      <c r="S776" s="6"/>
      <c r="T776" s="6"/>
      <c r="U776" s="6"/>
      <c r="V776" s="6"/>
      <c r="W776" s="6"/>
      <c r="X776" s="6"/>
      <c r="Y776" s="6"/>
      <c r="Z776" s="6"/>
    </row>
    <row r="777" ht="12.75" hidden="1" customHeight="1">
      <c r="A777" s="40">
        <v>775.0</v>
      </c>
      <c r="B777" s="40">
        <v>10775.0</v>
      </c>
      <c r="C777" s="40" t="s">
        <v>20</v>
      </c>
      <c r="D777" s="41" t="s">
        <v>1391</v>
      </c>
      <c r="E777" s="85" t="s">
        <v>1392</v>
      </c>
      <c r="F777" s="40" t="e">
        <v>#N/A</v>
      </c>
      <c r="G777" s="42" t="e">
        <v>#N/A</v>
      </c>
      <c r="H777" s="6"/>
      <c r="I777" s="6"/>
      <c r="J777" s="6"/>
      <c r="K777" s="6"/>
      <c r="L777" s="6"/>
      <c r="M777" s="6"/>
      <c r="N777" s="6"/>
      <c r="O777" s="6"/>
      <c r="P777" s="6"/>
      <c r="Q777" s="6"/>
      <c r="R777" s="6"/>
      <c r="S777" s="6"/>
      <c r="T777" s="6"/>
      <c r="U777" s="6"/>
      <c r="V777" s="6"/>
      <c r="W777" s="6"/>
      <c r="X777" s="6"/>
      <c r="Y777" s="6"/>
      <c r="Z777" s="6"/>
    </row>
    <row r="778" ht="12.75" customHeight="1">
      <c r="A778" s="70">
        <v>776.0</v>
      </c>
      <c r="B778" s="70">
        <v>10776.0</v>
      </c>
      <c r="C778" s="70" t="s">
        <v>7</v>
      </c>
      <c r="D778" s="71" t="s">
        <v>1393</v>
      </c>
      <c r="E778" s="70" t="e">
        <v>#N/A</v>
      </c>
      <c r="F778" s="70" t="e">
        <v>#N/A</v>
      </c>
      <c r="G778" s="72" t="e">
        <v>#N/A</v>
      </c>
      <c r="H778" s="6"/>
      <c r="I778" s="6"/>
      <c r="J778" s="6"/>
      <c r="K778" s="6"/>
      <c r="L778" s="6"/>
      <c r="M778" s="6"/>
      <c r="N778" s="6"/>
      <c r="O778" s="6"/>
      <c r="P778" s="6"/>
      <c r="Q778" s="6"/>
      <c r="R778" s="6"/>
      <c r="S778" s="6"/>
      <c r="T778" s="6"/>
      <c r="U778" s="6"/>
      <c r="V778" s="6"/>
      <c r="W778" s="6"/>
      <c r="X778" s="6"/>
      <c r="Y778" s="6"/>
      <c r="Z778" s="6"/>
    </row>
    <row r="779" ht="12.75" customHeight="1">
      <c r="A779" s="89">
        <v>777.0</v>
      </c>
      <c r="B779" s="89">
        <v>10777.0</v>
      </c>
      <c r="C779" s="89" t="s">
        <v>34</v>
      </c>
      <c r="D779" s="90" t="s">
        <v>1394</v>
      </c>
      <c r="E779" s="89" t="e">
        <v>#N/A</v>
      </c>
      <c r="F779" s="89" t="e">
        <v>#N/A</v>
      </c>
      <c r="G779" s="91" t="e">
        <v>#N/A</v>
      </c>
      <c r="H779" s="6"/>
      <c r="I779" s="6"/>
      <c r="J779" s="6"/>
      <c r="K779" s="6"/>
      <c r="L779" s="6"/>
      <c r="M779" s="6"/>
      <c r="N779" s="6"/>
      <c r="O779" s="6"/>
      <c r="P779" s="6"/>
      <c r="Q779" s="6"/>
      <c r="R779" s="6"/>
      <c r="S779" s="6"/>
      <c r="T779" s="6"/>
      <c r="U779" s="6"/>
      <c r="V779" s="6"/>
      <c r="W779" s="6"/>
      <c r="X779" s="6"/>
      <c r="Y779" s="6"/>
      <c r="Z779" s="6"/>
    </row>
    <row r="780" ht="12.75" customHeight="1">
      <c r="A780" s="40">
        <v>778.0</v>
      </c>
      <c r="B780" s="40">
        <v>10778.0</v>
      </c>
      <c r="C780" s="40" t="s">
        <v>34</v>
      </c>
      <c r="D780" s="41" t="s">
        <v>1395</v>
      </c>
      <c r="E780" s="40" t="e">
        <v>#N/A</v>
      </c>
      <c r="F780" s="40" t="e">
        <v>#N/A</v>
      </c>
      <c r="G780" s="42" t="e">
        <v>#N/A</v>
      </c>
      <c r="H780" s="6"/>
      <c r="I780" s="6"/>
      <c r="J780" s="6"/>
      <c r="K780" s="6"/>
      <c r="L780" s="6"/>
      <c r="M780" s="6"/>
      <c r="N780" s="6"/>
      <c r="O780" s="6"/>
      <c r="P780" s="6"/>
      <c r="Q780" s="6"/>
      <c r="R780" s="6"/>
      <c r="S780" s="6"/>
      <c r="T780" s="6"/>
      <c r="U780" s="6"/>
      <c r="V780" s="6"/>
      <c r="W780" s="6"/>
      <c r="X780" s="6"/>
      <c r="Y780" s="6"/>
      <c r="Z780" s="6"/>
    </row>
    <row r="781" ht="12.75" customHeight="1">
      <c r="A781" s="89">
        <v>779.0</v>
      </c>
      <c r="B781" s="89">
        <v>10779.0</v>
      </c>
      <c r="C781" s="89" t="s">
        <v>7</v>
      </c>
      <c r="D781" s="90" t="s">
        <v>1396</v>
      </c>
      <c r="E781" s="89" t="e">
        <v>#N/A</v>
      </c>
      <c r="F781" s="89" t="e">
        <v>#N/A</v>
      </c>
      <c r="G781" s="91" t="e">
        <v>#N/A</v>
      </c>
      <c r="H781" s="6"/>
      <c r="I781" s="6"/>
      <c r="J781" s="6"/>
      <c r="K781" s="6"/>
      <c r="L781" s="6"/>
      <c r="M781" s="6"/>
      <c r="N781" s="6"/>
      <c r="O781" s="6"/>
      <c r="P781" s="6"/>
      <c r="Q781" s="6"/>
      <c r="R781" s="6"/>
      <c r="S781" s="6"/>
      <c r="T781" s="6"/>
      <c r="U781" s="6"/>
      <c r="V781" s="6"/>
      <c r="W781" s="6"/>
      <c r="X781" s="6"/>
      <c r="Y781" s="6"/>
      <c r="Z781" s="6"/>
    </row>
    <row r="782" ht="12.75" hidden="1" customHeight="1">
      <c r="A782" s="37">
        <v>780.0</v>
      </c>
      <c r="B782" s="37">
        <v>10780.0</v>
      </c>
      <c r="C782" s="37" t="s">
        <v>20</v>
      </c>
      <c r="D782" s="38" t="s">
        <v>1397</v>
      </c>
      <c r="E782" s="85" t="s">
        <v>1398</v>
      </c>
      <c r="F782" s="37" t="e">
        <v>#N/A</v>
      </c>
      <c r="G782" s="39" t="e">
        <v>#N/A</v>
      </c>
      <c r="H782" s="6"/>
      <c r="I782" s="6"/>
      <c r="J782" s="6"/>
      <c r="K782" s="6"/>
      <c r="L782" s="6"/>
      <c r="M782" s="6"/>
      <c r="N782" s="6"/>
      <c r="O782" s="6"/>
      <c r="P782" s="6"/>
      <c r="Q782" s="6"/>
      <c r="R782" s="6"/>
      <c r="S782" s="6"/>
      <c r="T782" s="6"/>
      <c r="U782" s="6"/>
      <c r="V782" s="6"/>
      <c r="W782" s="6"/>
      <c r="X782" s="6"/>
      <c r="Y782" s="6"/>
      <c r="Z782" s="6"/>
    </row>
    <row r="783" ht="12.75" hidden="1" customHeight="1">
      <c r="A783" s="40">
        <v>781.0</v>
      </c>
      <c r="B783" s="40">
        <v>10781.0</v>
      </c>
      <c r="C783" s="40" t="s">
        <v>20</v>
      </c>
      <c r="D783" s="41" t="s">
        <v>1399</v>
      </c>
      <c r="E783" s="85" t="s">
        <v>1400</v>
      </c>
      <c r="F783" s="40" t="e">
        <v>#N/A</v>
      </c>
      <c r="G783" s="42" t="e">
        <v>#N/A</v>
      </c>
      <c r="H783" s="6"/>
      <c r="I783" s="6"/>
      <c r="J783" s="6"/>
      <c r="K783" s="6"/>
      <c r="L783" s="6"/>
      <c r="M783" s="6"/>
      <c r="N783" s="6"/>
      <c r="O783" s="6"/>
      <c r="P783" s="6"/>
      <c r="Q783" s="6"/>
      <c r="R783" s="6"/>
      <c r="S783" s="6"/>
      <c r="T783" s="6"/>
      <c r="U783" s="6"/>
      <c r="V783" s="6"/>
      <c r="W783" s="6"/>
      <c r="X783" s="6"/>
      <c r="Y783" s="6"/>
      <c r="Z783" s="6"/>
    </row>
    <row r="784" ht="12.75" hidden="1" customHeight="1">
      <c r="A784" s="40">
        <v>782.0</v>
      </c>
      <c r="B784" s="40">
        <v>10782.0</v>
      </c>
      <c r="C784" s="40" t="s">
        <v>20</v>
      </c>
      <c r="D784" s="41" t="s">
        <v>1401</v>
      </c>
      <c r="E784" s="85" t="s">
        <v>1402</v>
      </c>
      <c r="F784" s="40" t="e">
        <v>#N/A</v>
      </c>
      <c r="G784" s="42" t="e">
        <v>#N/A</v>
      </c>
      <c r="H784" s="6"/>
      <c r="I784" s="6"/>
      <c r="J784" s="6"/>
      <c r="K784" s="6"/>
      <c r="L784" s="6"/>
      <c r="M784" s="6"/>
      <c r="N784" s="6"/>
      <c r="O784" s="6"/>
      <c r="P784" s="6"/>
      <c r="Q784" s="6"/>
      <c r="R784" s="6"/>
      <c r="S784" s="6"/>
      <c r="T784" s="6"/>
      <c r="U784" s="6"/>
      <c r="V784" s="6"/>
      <c r="W784" s="6"/>
      <c r="X784" s="6"/>
      <c r="Y784" s="6"/>
      <c r="Z784" s="6"/>
    </row>
    <row r="785" ht="12.75" hidden="1" customHeight="1">
      <c r="A785" s="40">
        <v>783.0</v>
      </c>
      <c r="B785" s="40">
        <v>10783.0</v>
      </c>
      <c r="C785" s="40" t="s">
        <v>27</v>
      </c>
      <c r="D785" s="41" t="s">
        <v>1403</v>
      </c>
      <c r="E785" s="85" t="s">
        <v>1404</v>
      </c>
      <c r="F785" s="40">
        <f>LEN(E785)</f>
        <v>172</v>
      </c>
      <c r="G785" s="42" t="e">
        <v>#N/A</v>
      </c>
      <c r="H785" s="6"/>
      <c r="I785" s="6"/>
      <c r="J785" s="6"/>
      <c r="K785" s="6"/>
      <c r="L785" s="6"/>
      <c r="M785" s="6"/>
      <c r="N785" s="6"/>
      <c r="O785" s="6"/>
      <c r="P785" s="6"/>
      <c r="Q785" s="6"/>
      <c r="R785" s="6"/>
      <c r="S785" s="6"/>
      <c r="T785" s="6"/>
      <c r="U785" s="6"/>
      <c r="V785" s="6"/>
      <c r="W785" s="6"/>
      <c r="X785" s="6"/>
      <c r="Y785" s="6"/>
      <c r="Z785" s="6"/>
    </row>
    <row r="786" ht="12.75" customHeight="1">
      <c r="A786" s="40">
        <v>784.0</v>
      </c>
      <c r="B786" s="40">
        <v>10784.0</v>
      </c>
      <c r="C786" s="40" t="s">
        <v>20</v>
      </c>
      <c r="D786" s="41" t="s">
        <v>1405</v>
      </c>
      <c r="E786" s="40" t="e">
        <v>#N/A</v>
      </c>
      <c r="F786" s="40" t="e">
        <v>#N/A</v>
      </c>
      <c r="G786" s="42" t="e">
        <v>#N/A</v>
      </c>
      <c r="H786" s="6"/>
      <c r="I786" s="6"/>
      <c r="J786" s="6"/>
      <c r="K786" s="6"/>
      <c r="L786" s="6"/>
      <c r="M786" s="6"/>
      <c r="N786" s="6"/>
      <c r="O786" s="6"/>
      <c r="P786" s="6"/>
      <c r="Q786" s="6"/>
      <c r="R786" s="6"/>
      <c r="S786" s="6"/>
      <c r="T786" s="6"/>
      <c r="U786" s="6"/>
      <c r="V786" s="6"/>
      <c r="W786" s="6"/>
      <c r="X786" s="6"/>
      <c r="Y786" s="6"/>
      <c r="Z786" s="6"/>
    </row>
    <row r="787" ht="12.75" customHeight="1">
      <c r="A787" s="40">
        <v>785.0</v>
      </c>
      <c r="B787" s="40">
        <v>10785.0</v>
      </c>
      <c r="C787" s="40" t="s">
        <v>34</v>
      </c>
      <c r="D787" s="41" t="s">
        <v>1406</v>
      </c>
      <c r="E787" s="40" t="e">
        <v>#N/A</v>
      </c>
      <c r="F787" s="40" t="e">
        <v>#N/A</v>
      </c>
      <c r="G787" s="42" t="e">
        <v>#N/A</v>
      </c>
      <c r="H787" s="6"/>
      <c r="I787" s="6"/>
      <c r="J787" s="6"/>
      <c r="K787" s="6"/>
      <c r="L787" s="6"/>
      <c r="M787" s="6"/>
      <c r="N787" s="6"/>
      <c r="O787" s="6"/>
      <c r="P787" s="6"/>
      <c r="Q787" s="6"/>
      <c r="R787" s="6"/>
      <c r="S787" s="6"/>
      <c r="T787" s="6"/>
      <c r="U787" s="6"/>
      <c r="V787" s="6"/>
      <c r="W787" s="6"/>
      <c r="X787" s="6"/>
      <c r="Y787" s="6"/>
      <c r="Z787" s="6"/>
    </row>
    <row r="788" ht="12.75" customHeight="1">
      <c r="A788" s="40">
        <v>786.0</v>
      </c>
      <c r="B788" s="40">
        <v>10786.0</v>
      </c>
      <c r="C788" s="40" t="s">
        <v>7</v>
      </c>
      <c r="D788" s="41" t="s">
        <v>1407</v>
      </c>
      <c r="E788" s="40" t="e">
        <v>#N/A</v>
      </c>
      <c r="F788" s="40" t="e">
        <v>#N/A</v>
      </c>
      <c r="G788" s="42" t="e">
        <v>#N/A</v>
      </c>
      <c r="H788" s="6"/>
      <c r="I788" s="6"/>
      <c r="J788" s="6"/>
      <c r="K788" s="6"/>
      <c r="L788" s="6"/>
      <c r="M788" s="6"/>
      <c r="N788" s="6"/>
      <c r="O788" s="6"/>
      <c r="P788" s="6"/>
      <c r="Q788" s="6"/>
      <c r="R788" s="6"/>
      <c r="S788" s="6"/>
      <c r="T788" s="6"/>
      <c r="U788" s="6"/>
      <c r="V788" s="6"/>
      <c r="W788" s="6"/>
      <c r="X788" s="6"/>
      <c r="Y788" s="6"/>
      <c r="Z788" s="6"/>
    </row>
    <row r="789" ht="12.75" hidden="1" customHeight="1">
      <c r="A789" s="40">
        <v>787.0</v>
      </c>
      <c r="B789" s="40">
        <v>10787.0</v>
      </c>
      <c r="C789" s="40" t="s">
        <v>7</v>
      </c>
      <c r="D789" s="41" t="s">
        <v>1408</v>
      </c>
      <c r="E789" s="40" t="s">
        <v>1409</v>
      </c>
      <c r="F789" s="40">
        <v>44.0</v>
      </c>
      <c r="G789" s="42">
        <v>45875.0</v>
      </c>
      <c r="H789" s="6"/>
      <c r="I789" s="6"/>
      <c r="J789" s="6"/>
      <c r="K789" s="6"/>
      <c r="L789" s="6"/>
      <c r="M789" s="6"/>
      <c r="N789" s="6"/>
      <c r="O789" s="6"/>
      <c r="P789" s="6"/>
      <c r="Q789" s="6"/>
      <c r="R789" s="6"/>
      <c r="S789" s="6"/>
      <c r="T789" s="6"/>
      <c r="U789" s="6"/>
      <c r="V789" s="6"/>
      <c r="W789" s="6"/>
      <c r="X789" s="6"/>
      <c r="Y789" s="6"/>
      <c r="Z789" s="6"/>
    </row>
    <row r="790" ht="12.75" customHeight="1">
      <c r="A790" s="40">
        <v>788.0</v>
      </c>
      <c r="B790" s="40">
        <v>10788.0</v>
      </c>
      <c r="C790" s="40" t="s">
        <v>34</v>
      </c>
      <c r="D790" s="41" t="s">
        <v>1410</v>
      </c>
      <c r="E790" s="40" t="e">
        <v>#N/A</v>
      </c>
      <c r="F790" s="40" t="e">
        <v>#N/A</v>
      </c>
      <c r="G790" s="42" t="e">
        <v>#N/A</v>
      </c>
      <c r="H790" s="6"/>
      <c r="I790" s="6"/>
      <c r="J790" s="6"/>
      <c r="K790" s="6"/>
      <c r="L790" s="6"/>
      <c r="M790" s="6"/>
      <c r="N790" s="6"/>
      <c r="O790" s="6"/>
      <c r="P790" s="6"/>
      <c r="Q790" s="6"/>
      <c r="R790" s="6"/>
      <c r="S790" s="6"/>
      <c r="T790" s="6"/>
      <c r="U790" s="6"/>
      <c r="V790" s="6"/>
      <c r="W790" s="6"/>
      <c r="X790" s="6"/>
      <c r="Y790" s="6"/>
      <c r="Z790" s="6"/>
    </row>
    <row r="791" ht="12.75" customHeight="1">
      <c r="A791" s="40">
        <v>789.0</v>
      </c>
      <c r="B791" s="40">
        <v>10789.0</v>
      </c>
      <c r="C791" s="40" t="s">
        <v>7</v>
      </c>
      <c r="D791" s="41" t="s">
        <v>1411</v>
      </c>
      <c r="E791" s="40" t="e">
        <v>#N/A</v>
      </c>
      <c r="F791" s="40" t="e">
        <v>#N/A</v>
      </c>
      <c r="G791" s="42" t="e">
        <v>#N/A</v>
      </c>
      <c r="H791" s="6"/>
      <c r="I791" s="6"/>
      <c r="J791" s="6"/>
      <c r="K791" s="6"/>
      <c r="L791" s="6"/>
      <c r="M791" s="6"/>
      <c r="N791" s="6"/>
      <c r="O791" s="6"/>
      <c r="P791" s="6"/>
      <c r="Q791" s="6"/>
      <c r="R791" s="6"/>
      <c r="S791" s="6"/>
      <c r="T791" s="6"/>
      <c r="U791" s="6"/>
      <c r="V791" s="6"/>
      <c r="W791" s="6"/>
      <c r="X791" s="6"/>
      <c r="Y791" s="6"/>
      <c r="Z791" s="6"/>
    </row>
    <row r="792" ht="12.75" customHeight="1">
      <c r="A792" s="70">
        <v>790.0</v>
      </c>
      <c r="B792" s="70">
        <v>10790.0</v>
      </c>
      <c r="C792" s="70" t="s">
        <v>7</v>
      </c>
      <c r="D792" s="71" t="s">
        <v>1412</v>
      </c>
      <c r="E792" s="70" t="e">
        <v>#N/A</v>
      </c>
      <c r="F792" s="70" t="e">
        <v>#N/A</v>
      </c>
      <c r="G792" s="72" t="e">
        <v>#N/A</v>
      </c>
      <c r="H792" s="6"/>
      <c r="I792" s="6"/>
      <c r="J792" s="6"/>
      <c r="K792" s="6"/>
      <c r="L792" s="6"/>
      <c r="M792" s="6"/>
      <c r="N792" s="6"/>
      <c r="O792" s="6"/>
      <c r="P792" s="6"/>
      <c r="Q792" s="6"/>
      <c r="R792" s="6"/>
      <c r="S792" s="6"/>
      <c r="T792" s="6"/>
      <c r="U792" s="6"/>
      <c r="V792" s="6"/>
      <c r="W792" s="6"/>
      <c r="X792" s="6"/>
      <c r="Y792" s="6"/>
      <c r="Z792" s="6"/>
    </row>
    <row r="793" ht="12.75" customHeight="1">
      <c r="A793" s="40">
        <v>791.0</v>
      </c>
      <c r="B793" s="40">
        <v>10791.0</v>
      </c>
      <c r="C793" s="40" t="s">
        <v>34</v>
      </c>
      <c r="D793" s="41" t="s">
        <v>1413</v>
      </c>
      <c r="E793" s="40" t="e">
        <v>#N/A</v>
      </c>
      <c r="F793" s="40" t="e">
        <v>#N/A</v>
      </c>
      <c r="G793" s="42" t="e">
        <v>#N/A</v>
      </c>
      <c r="H793" s="6"/>
      <c r="I793" s="6"/>
      <c r="J793" s="6"/>
      <c r="K793" s="6"/>
      <c r="L793" s="6"/>
      <c r="M793" s="6"/>
      <c r="N793" s="6"/>
      <c r="O793" s="6"/>
      <c r="P793" s="6"/>
      <c r="Q793" s="6"/>
      <c r="R793" s="6"/>
      <c r="S793" s="6"/>
      <c r="T793" s="6"/>
      <c r="U793" s="6"/>
      <c r="V793" s="6"/>
      <c r="W793" s="6"/>
      <c r="X793" s="6"/>
      <c r="Y793" s="6"/>
      <c r="Z793" s="6"/>
    </row>
    <row r="794" ht="12.75" customHeight="1">
      <c r="A794" s="70">
        <v>792.0</v>
      </c>
      <c r="B794" s="70">
        <v>10792.0</v>
      </c>
      <c r="C794" s="70" t="s">
        <v>7</v>
      </c>
      <c r="D794" s="71" t="s">
        <v>1414</v>
      </c>
      <c r="E794" s="70" t="e">
        <v>#N/A</v>
      </c>
      <c r="F794" s="70" t="e">
        <v>#N/A</v>
      </c>
      <c r="G794" s="72" t="e">
        <v>#N/A</v>
      </c>
      <c r="H794" s="6"/>
      <c r="I794" s="6"/>
      <c r="J794" s="6"/>
      <c r="K794" s="6"/>
      <c r="L794" s="6"/>
      <c r="M794" s="6"/>
      <c r="N794" s="6"/>
      <c r="O794" s="6"/>
      <c r="P794" s="6"/>
      <c r="Q794" s="6"/>
      <c r="R794" s="6"/>
      <c r="S794" s="6"/>
      <c r="T794" s="6"/>
      <c r="U794" s="6"/>
      <c r="V794" s="6"/>
      <c r="W794" s="6"/>
      <c r="X794" s="6"/>
      <c r="Y794" s="6"/>
      <c r="Z794" s="6"/>
    </row>
    <row r="795" ht="12.75" customHeight="1">
      <c r="A795" s="70">
        <v>793.0</v>
      </c>
      <c r="B795" s="70">
        <v>10793.0</v>
      </c>
      <c r="C795" s="70" t="s">
        <v>34</v>
      </c>
      <c r="D795" s="71" t="s">
        <v>1415</v>
      </c>
      <c r="E795" s="70" t="e">
        <v>#N/A</v>
      </c>
      <c r="F795" s="70" t="e">
        <v>#N/A</v>
      </c>
      <c r="G795" s="72" t="e">
        <v>#N/A</v>
      </c>
      <c r="H795" s="6"/>
      <c r="I795" s="6"/>
      <c r="J795" s="6"/>
      <c r="K795" s="6"/>
      <c r="L795" s="6"/>
      <c r="M795" s="6"/>
      <c r="N795" s="6"/>
      <c r="O795" s="6"/>
      <c r="P795" s="6"/>
      <c r="Q795" s="6"/>
      <c r="R795" s="6"/>
      <c r="S795" s="6"/>
      <c r="T795" s="6"/>
      <c r="U795" s="6"/>
      <c r="V795" s="6"/>
      <c r="W795" s="6"/>
      <c r="X795" s="6"/>
      <c r="Y795" s="6"/>
      <c r="Z795" s="6"/>
    </row>
    <row r="796" ht="12.75" customHeight="1">
      <c r="A796" s="70">
        <v>794.0</v>
      </c>
      <c r="B796" s="70">
        <v>10794.0</v>
      </c>
      <c r="C796" s="70" t="s">
        <v>34</v>
      </c>
      <c r="D796" s="71" t="s">
        <v>1416</v>
      </c>
      <c r="E796" s="70" t="e">
        <v>#N/A</v>
      </c>
      <c r="F796" s="70" t="e">
        <v>#N/A</v>
      </c>
      <c r="G796" s="72" t="e">
        <v>#N/A</v>
      </c>
      <c r="H796" s="6"/>
      <c r="I796" s="6"/>
      <c r="J796" s="6"/>
      <c r="K796" s="6"/>
      <c r="L796" s="6"/>
      <c r="M796" s="6"/>
      <c r="N796" s="6"/>
      <c r="O796" s="6"/>
      <c r="P796" s="6"/>
      <c r="Q796" s="6"/>
      <c r="R796" s="6"/>
      <c r="S796" s="6"/>
      <c r="T796" s="6"/>
      <c r="U796" s="6"/>
      <c r="V796" s="6"/>
      <c r="W796" s="6"/>
      <c r="X796" s="6"/>
      <c r="Y796" s="6"/>
      <c r="Z796" s="6"/>
    </row>
    <row r="797" ht="12.75" customHeight="1">
      <c r="A797" s="70">
        <v>795.0</v>
      </c>
      <c r="B797" s="70">
        <v>10795.0</v>
      </c>
      <c r="C797" s="70" t="s">
        <v>20</v>
      </c>
      <c r="D797" s="71" t="s">
        <v>1417</v>
      </c>
      <c r="E797" s="70" t="e">
        <v>#N/A</v>
      </c>
      <c r="F797" s="70" t="e">
        <v>#N/A</v>
      </c>
      <c r="G797" s="72" t="e">
        <v>#N/A</v>
      </c>
      <c r="H797" s="6"/>
      <c r="I797" s="6"/>
      <c r="J797" s="6"/>
      <c r="K797" s="6"/>
      <c r="L797" s="6"/>
      <c r="M797" s="6"/>
      <c r="N797" s="6"/>
      <c r="O797" s="6"/>
      <c r="P797" s="6"/>
      <c r="Q797" s="6"/>
      <c r="R797" s="6"/>
      <c r="S797" s="6"/>
      <c r="T797" s="6"/>
      <c r="U797" s="6"/>
      <c r="V797" s="6"/>
      <c r="W797" s="6"/>
      <c r="X797" s="6"/>
      <c r="Y797" s="6"/>
      <c r="Z797" s="6"/>
    </row>
    <row r="798" ht="12.75" customHeight="1">
      <c r="A798" s="83">
        <v>796.0</v>
      </c>
      <c r="B798" s="83">
        <v>10796.0</v>
      </c>
      <c r="C798" s="83" t="s">
        <v>34</v>
      </c>
      <c r="D798" s="38" t="s">
        <v>1418</v>
      </c>
      <c r="E798" s="83" t="e">
        <v>#N/A</v>
      </c>
      <c r="F798" s="83" t="e">
        <v>#N/A</v>
      </c>
      <c r="G798" s="84" t="e">
        <v>#N/A</v>
      </c>
      <c r="H798" s="6"/>
      <c r="I798" s="6"/>
      <c r="J798" s="6"/>
      <c r="K798" s="6"/>
      <c r="L798" s="6"/>
      <c r="M798" s="6"/>
      <c r="N798" s="6"/>
      <c r="O798" s="6"/>
      <c r="P798" s="6"/>
      <c r="Q798" s="6"/>
      <c r="R798" s="6"/>
      <c r="S798" s="6"/>
      <c r="T798" s="6"/>
      <c r="U798" s="6"/>
      <c r="V798" s="6"/>
      <c r="W798" s="6"/>
      <c r="X798" s="6"/>
      <c r="Y798" s="6"/>
      <c r="Z798" s="6"/>
    </row>
    <row r="799" ht="12.75" customHeight="1">
      <c r="A799" s="70">
        <v>797.0</v>
      </c>
      <c r="B799" s="70">
        <v>10797.0</v>
      </c>
      <c r="C799" s="70" t="s">
        <v>7</v>
      </c>
      <c r="D799" s="71" t="s">
        <v>1419</v>
      </c>
      <c r="E799" s="70" t="e">
        <v>#N/A</v>
      </c>
      <c r="F799" s="70" t="e">
        <v>#N/A</v>
      </c>
      <c r="G799" s="72" t="e">
        <v>#N/A</v>
      </c>
      <c r="H799" s="6"/>
      <c r="I799" s="6"/>
      <c r="J799" s="6"/>
      <c r="K799" s="6"/>
      <c r="L799" s="6"/>
      <c r="M799" s="6"/>
      <c r="N799" s="6"/>
      <c r="O799" s="6"/>
      <c r="P799" s="6"/>
      <c r="Q799" s="6"/>
      <c r="R799" s="6"/>
      <c r="S799" s="6"/>
      <c r="T799" s="6"/>
      <c r="U799" s="6"/>
      <c r="V799" s="6"/>
      <c r="W799" s="6"/>
      <c r="X799" s="6"/>
      <c r="Y799" s="6"/>
      <c r="Z799" s="6"/>
    </row>
    <row r="800" ht="12.75" customHeight="1">
      <c r="A800" s="37">
        <v>798.0</v>
      </c>
      <c r="B800" s="37">
        <v>10798.0</v>
      </c>
      <c r="C800" s="37" t="s">
        <v>34</v>
      </c>
      <c r="D800" s="38" t="s">
        <v>1420</v>
      </c>
      <c r="E800" s="37" t="e">
        <v>#N/A</v>
      </c>
      <c r="F800" s="37" t="e">
        <v>#N/A</v>
      </c>
      <c r="G800" s="39" t="e">
        <v>#N/A</v>
      </c>
      <c r="H800" s="6"/>
      <c r="I800" s="6"/>
      <c r="J800" s="6"/>
      <c r="K800" s="6"/>
      <c r="L800" s="6"/>
      <c r="M800" s="6"/>
      <c r="N800" s="6"/>
      <c r="O800" s="6"/>
      <c r="P800" s="6"/>
      <c r="Q800" s="6"/>
      <c r="R800" s="6"/>
      <c r="S800" s="6"/>
      <c r="T800" s="6"/>
      <c r="U800" s="6"/>
      <c r="V800" s="6"/>
      <c r="W800" s="6"/>
      <c r="X800" s="6"/>
      <c r="Y800" s="6"/>
      <c r="Z800" s="6"/>
    </row>
    <row r="801" ht="12.75" customHeight="1">
      <c r="A801" s="70">
        <v>799.0</v>
      </c>
      <c r="B801" s="70">
        <v>10799.0</v>
      </c>
      <c r="C801" s="70" t="s">
        <v>7</v>
      </c>
      <c r="D801" s="71" t="s">
        <v>1421</v>
      </c>
      <c r="E801" s="70" t="e">
        <v>#N/A</v>
      </c>
      <c r="F801" s="70" t="e">
        <v>#N/A</v>
      </c>
      <c r="G801" s="72" t="e">
        <v>#N/A</v>
      </c>
      <c r="H801" s="6"/>
      <c r="I801" s="6"/>
      <c r="J801" s="6"/>
      <c r="K801" s="6"/>
      <c r="L801" s="6"/>
      <c r="M801" s="6"/>
      <c r="N801" s="6"/>
      <c r="O801" s="6"/>
      <c r="P801" s="6"/>
      <c r="Q801" s="6"/>
      <c r="R801" s="6"/>
      <c r="S801" s="6"/>
      <c r="T801" s="6"/>
      <c r="U801" s="6"/>
      <c r="V801" s="6"/>
      <c r="W801" s="6"/>
      <c r="X801" s="6"/>
      <c r="Y801" s="6"/>
      <c r="Z801" s="6"/>
    </row>
    <row r="802" ht="12.75" customHeight="1">
      <c r="A802" s="37">
        <v>800.0</v>
      </c>
      <c r="B802" s="37">
        <v>10800.0</v>
      </c>
      <c r="C802" s="37" t="s">
        <v>7</v>
      </c>
      <c r="D802" s="38" t="s">
        <v>1422</v>
      </c>
      <c r="E802" s="37" t="e">
        <v>#N/A</v>
      </c>
      <c r="F802" s="37" t="e">
        <v>#N/A</v>
      </c>
      <c r="G802" s="39" t="e">
        <v>#N/A</v>
      </c>
      <c r="H802" s="6"/>
      <c r="I802" s="6"/>
      <c r="J802" s="6"/>
      <c r="K802" s="6"/>
      <c r="L802" s="6"/>
      <c r="M802" s="6"/>
      <c r="N802" s="6"/>
      <c r="O802" s="6"/>
      <c r="P802" s="6"/>
      <c r="Q802" s="6"/>
      <c r="R802" s="6"/>
      <c r="S802" s="6"/>
      <c r="T802" s="6"/>
      <c r="U802" s="6"/>
      <c r="V802" s="6"/>
      <c r="W802" s="6"/>
      <c r="X802" s="6"/>
      <c r="Y802" s="6"/>
      <c r="Z802" s="6"/>
    </row>
    <row r="803" ht="12.75" customHeight="1">
      <c r="A803" s="37">
        <v>801.0</v>
      </c>
      <c r="B803" s="37">
        <v>10801.0</v>
      </c>
      <c r="C803" s="37" t="s">
        <v>7</v>
      </c>
      <c r="D803" s="38" t="s">
        <v>1423</v>
      </c>
      <c r="E803" s="37" t="e">
        <v>#N/A</v>
      </c>
      <c r="F803" s="37" t="e">
        <v>#N/A</v>
      </c>
      <c r="G803" s="39" t="e">
        <v>#N/A</v>
      </c>
      <c r="H803" s="6"/>
      <c r="I803" s="6"/>
      <c r="J803" s="6"/>
      <c r="K803" s="6"/>
      <c r="L803" s="6"/>
      <c r="M803" s="6"/>
      <c r="N803" s="6"/>
      <c r="O803" s="6"/>
      <c r="P803" s="6"/>
      <c r="Q803" s="6"/>
      <c r="R803" s="6"/>
      <c r="S803" s="6"/>
      <c r="T803" s="6"/>
      <c r="U803" s="6"/>
      <c r="V803" s="6"/>
      <c r="W803" s="6"/>
      <c r="X803" s="6"/>
      <c r="Y803" s="6"/>
      <c r="Z803" s="6"/>
    </row>
    <row r="804" ht="12.75" customHeight="1">
      <c r="A804" s="37">
        <v>802.0</v>
      </c>
      <c r="B804" s="37">
        <v>10802.0</v>
      </c>
      <c r="C804" s="37" t="s">
        <v>20</v>
      </c>
      <c r="D804" s="38" t="s">
        <v>1424</v>
      </c>
      <c r="E804" s="37" t="e">
        <v>#N/A</v>
      </c>
      <c r="F804" s="37" t="e">
        <v>#N/A</v>
      </c>
      <c r="G804" s="39" t="e">
        <v>#N/A</v>
      </c>
      <c r="H804" s="6"/>
      <c r="I804" s="6"/>
      <c r="J804" s="6"/>
      <c r="K804" s="6"/>
      <c r="L804" s="6"/>
      <c r="M804" s="6"/>
      <c r="N804" s="6"/>
      <c r="O804" s="6"/>
      <c r="P804" s="6"/>
      <c r="Q804" s="6"/>
      <c r="R804" s="6"/>
      <c r="S804" s="6"/>
      <c r="T804" s="6"/>
      <c r="U804" s="6"/>
      <c r="V804" s="6"/>
      <c r="W804" s="6"/>
      <c r="X804" s="6"/>
      <c r="Y804" s="6"/>
      <c r="Z804" s="6"/>
    </row>
    <row r="805" ht="12.75" customHeight="1">
      <c r="A805" s="37">
        <v>803.0</v>
      </c>
      <c r="B805" s="37">
        <v>10803.0</v>
      </c>
      <c r="C805" s="37" t="s">
        <v>20</v>
      </c>
      <c r="D805" s="38" t="s">
        <v>1425</v>
      </c>
      <c r="E805" s="37" t="e">
        <v>#N/A</v>
      </c>
      <c r="F805" s="37" t="e">
        <v>#N/A</v>
      </c>
      <c r="G805" s="39" t="e">
        <v>#N/A</v>
      </c>
      <c r="H805" s="6"/>
      <c r="I805" s="6"/>
      <c r="J805" s="6"/>
      <c r="K805" s="6"/>
      <c r="L805" s="6"/>
      <c r="M805" s="6"/>
      <c r="N805" s="6"/>
      <c r="O805" s="6"/>
      <c r="P805" s="6"/>
      <c r="Q805" s="6"/>
      <c r="R805" s="6"/>
      <c r="S805" s="6"/>
      <c r="T805" s="6"/>
      <c r="U805" s="6"/>
      <c r="V805" s="6"/>
      <c r="W805" s="6"/>
      <c r="X805" s="6"/>
      <c r="Y805" s="6"/>
      <c r="Z805" s="6"/>
    </row>
    <row r="806" ht="12.75" customHeight="1">
      <c r="A806" s="37">
        <v>804.0</v>
      </c>
      <c r="B806" s="37">
        <v>10804.0</v>
      </c>
      <c r="C806" s="37" t="s">
        <v>7</v>
      </c>
      <c r="D806" s="38" t="s">
        <v>1426</v>
      </c>
      <c r="E806" s="37" t="e">
        <v>#N/A</v>
      </c>
      <c r="F806" s="37" t="e">
        <v>#N/A</v>
      </c>
      <c r="G806" s="39" t="e">
        <v>#N/A</v>
      </c>
      <c r="H806" s="6"/>
      <c r="I806" s="6"/>
      <c r="J806" s="6"/>
      <c r="K806" s="6"/>
      <c r="L806" s="6"/>
      <c r="M806" s="6"/>
      <c r="N806" s="6"/>
      <c r="O806" s="6"/>
      <c r="P806" s="6"/>
      <c r="Q806" s="6"/>
      <c r="R806" s="6"/>
      <c r="S806" s="6"/>
      <c r="T806" s="6"/>
      <c r="U806" s="6"/>
      <c r="V806" s="6"/>
      <c r="W806" s="6"/>
      <c r="X806" s="6"/>
      <c r="Y806" s="6"/>
      <c r="Z806" s="6"/>
    </row>
    <row r="807" ht="12.75" customHeight="1">
      <c r="A807" s="37">
        <v>805.0</v>
      </c>
      <c r="B807" s="37">
        <v>10805.0</v>
      </c>
      <c r="C807" s="37" t="s">
        <v>7</v>
      </c>
      <c r="D807" s="38" t="s">
        <v>1427</v>
      </c>
      <c r="E807" s="37" t="e">
        <v>#N/A</v>
      </c>
      <c r="F807" s="37" t="e">
        <v>#N/A</v>
      </c>
      <c r="G807" s="39" t="e">
        <v>#N/A</v>
      </c>
      <c r="H807" s="6"/>
      <c r="I807" s="6"/>
      <c r="J807" s="6"/>
      <c r="K807" s="6"/>
      <c r="L807" s="6"/>
      <c r="M807" s="6"/>
      <c r="N807" s="6"/>
      <c r="O807" s="6"/>
      <c r="P807" s="6"/>
      <c r="Q807" s="6"/>
      <c r="R807" s="6"/>
      <c r="S807" s="6"/>
      <c r="T807" s="6"/>
      <c r="U807" s="6"/>
      <c r="V807" s="6"/>
      <c r="W807" s="6"/>
      <c r="X807" s="6"/>
      <c r="Y807" s="6"/>
      <c r="Z807" s="6"/>
    </row>
    <row r="808" ht="12.75" customHeight="1">
      <c r="A808" s="37">
        <v>806.0</v>
      </c>
      <c r="B808" s="37">
        <v>10806.0</v>
      </c>
      <c r="C808" s="37" t="s">
        <v>7</v>
      </c>
      <c r="D808" s="38" t="s">
        <v>1428</v>
      </c>
      <c r="E808" s="37" t="e">
        <v>#N/A</v>
      </c>
      <c r="F808" s="37" t="e">
        <v>#N/A</v>
      </c>
      <c r="G808" s="39" t="e">
        <v>#N/A</v>
      </c>
      <c r="H808" s="6"/>
      <c r="I808" s="6"/>
      <c r="J808" s="6"/>
      <c r="K808" s="6"/>
      <c r="L808" s="6"/>
      <c r="M808" s="6"/>
      <c r="N808" s="6"/>
      <c r="O808" s="6"/>
      <c r="P808" s="6"/>
      <c r="Q808" s="6"/>
      <c r="R808" s="6"/>
      <c r="S808" s="6"/>
      <c r="T808" s="6"/>
      <c r="U808" s="6"/>
      <c r="V808" s="6"/>
      <c r="W808" s="6"/>
      <c r="X808" s="6"/>
      <c r="Y808" s="6"/>
      <c r="Z808" s="6"/>
    </row>
    <row r="809" ht="12.75" customHeight="1">
      <c r="A809" s="40">
        <v>807.0</v>
      </c>
      <c r="B809" s="40">
        <v>10807.0</v>
      </c>
      <c r="C809" s="40" t="s">
        <v>20</v>
      </c>
      <c r="D809" s="41" t="s">
        <v>1429</v>
      </c>
      <c r="E809" s="40" t="e">
        <v>#N/A</v>
      </c>
      <c r="F809" s="40" t="e">
        <v>#N/A</v>
      </c>
      <c r="G809" s="42" t="e">
        <v>#N/A</v>
      </c>
      <c r="H809" s="6"/>
      <c r="I809" s="6"/>
      <c r="J809" s="6"/>
      <c r="K809" s="6"/>
      <c r="L809" s="6"/>
      <c r="M809" s="6"/>
      <c r="N809" s="6"/>
      <c r="O809" s="6"/>
      <c r="P809" s="6"/>
      <c r="Q809" s="6"/>
      <c r="R809" s="6"/>
      <c r="S809" s="6"/>
      <c r="T809" s="6"/>
      <c r="U809" s="6"/>
      <c r="V809" s="6"/>
      <c r="W809" s="6"/>
      <c r="X809" s="6"/>
      <c r="Y809" s="6"/>
      <c r="Z809" s="6"/>
    </row>
    <row r="810" ht="12.75" customHeight="1">
      <c r="A810" s="37">
        <v>808.0</v>
      </c>
      <c r="B810" s="37">
        <v>10808.0</v>
      </c>
      <c r="C810" s="37" t="s">
        <v>7</v>
      </c>
      <c r="D810" s="38" t="s">
        <v>1430</v>
      </c>
      <c r="E810" s="37" t="e">
        <v>#N/A</v>
      </c>
      <c r="F810" s="37" t="e">
        <v>#N/A</v>
      </c>
      <c r="G810" s="39" t="e">
        <v>#N/A</v>
      </c>
      <c r="H810" s="6"/>
      <c r="I810" s="6"/>
      <c r="J810" s="6"/>
      <c r="K810" s="6"/>
      <c r="L810" s="6"/>
      <c r="M810" s="6"/>
      <c r="N810" s="6"/>
      <c r="O810" s="6"/>
      <c r="P810" s="6"/>
      <c r="Q810" s="6"/>
      <c r="R810" s="6"/>
      <c r="S810" s="6"/>
      <c r="T810" s="6"/>
      <c r="U810" s="6"/>
      <c r="V810" s="6"/>
      <c r="W810" s="6"/>
      <c r="X810" s="6"/>
      <c r="Y810" s="6"/>
      <c r="Z810" s="6"/>
    </row>
    <row r="811" ht="12.75" customHeight="1">
      <c r="A811" s="37">
        <v>809.0</v>
      </c>
      <c r="B811" s="37">
        <v>10809.0</v>
      </c>
      <c r="C811" s="37" t="s">
        <v>7</v>
      </c>
      <c r="D811" s="38" t="s">
        <v>1431</v>
      </c>
      <c r="E811" s="37" t="e">
        <v>#N/A</v>
      </c>
      <c r="F811" s="37" t="e">
        <v>#N/A</v>
      </c>
      <c r="G811" s="39" t="e">
        <v>#N/A</v>
      </c>
      <c r="H811" s="6"/>
      <c r="I811" s="6"/>
      <c r="J811" s="6"/>
      <c r="K811" s="6"/>
      <c r="L811" s="6"/>
      <c r="M811" s="6"/>
      <c r="N811" s="6"/>
      <c r="O811" s="6"/>
      <c r="P811" s="6"/>
      <c r="Q811" s="6"/>
      <c r="R811" s="6"/>
      <c r="S811" s="6"/>
      <c r="T811" s="6"/>
      <c r="U811" s="6"/>
      <c r="V811" s="6"/>
      <c r="W811" s="6"/>
      <c r="X811" s="6"/>
      <c r="Y811" s="6"/>
      <c r="Z811" s="6"/>
    </row>
    <row r="812" ht="12.75" customHeight="1">
      <c r="A812" s="37">
        <v>810.0</v>
      </c>
      <c r="B812" s="37">
        <v>10810.0</v>
      </c>
      <c r="C812" s="37" t="s">
        <v>7</v>
      </c>
      <c r="D812" s="38" t="s">
        <v>1432</v>
      </c>
      <c r="E812" s="37" t="e">
        <v>#N/A</v>
      </c>
      <c r="F812" s="37" t="e">
        <v>#N/A</v>
      </c>
      <c r="G812" s="39" t="e">
        <v>#N/A</v>
      </c>
      <c r="H812" s="6"/>
      <c r="I812" s="6"/>
      <c r="J812" s="6"/>
      <c r="K812" s="6"/>
      <c r="L812" s="6"/>
      <c r="M812" s="6"/>
      <c r="N812" s="6"/>
      <c r="O812" s="6"/>
      <c r="P812" s="6"/>
      <c r="Q812" s="6"/>
      <c r="R812" s="6"/>
      <c r="S812" s="6"/>
      <c r="T812" s="6"/>
      <c r="U812" s="6"/>
      <c r="V812" s="6"/>
      <c r="W812" s="6"/>
      <c r="X812" s="6"/>
      <c r="Y812" s="6"/>
      <c r="Z812" s="6"/>
    </row>
    <row r="813" ht="12.75" customHeight="1">
      <c r="A813" s="37">
        <v>811.0</v>
      </c>
      <c r="B813" s="37">
        <v>10811.0</v>
      </c>
      <c r="C813" s="37" t="s">
        <v>7</v>
      </c>
      <c r="D813" s="38" t="s">
        <v>1433</v>
      </c>
      <c r="E813" s="37" t="e">
        <v>#N/A</v>
      </c>
      <c r="F813" s="37" t="e">
        <v>#N/A</v>
      </c>
      <c r="G813" s="39" t="e">
        <v>#N/A</v>
      </c>
      <c r="H813" s="6"/>
      <c r="I813" s="6"/>
      <c r="J813" s="6"/>
      <c r="K813" s="6"/>
      <c r="L813" s="6"/>
      <c r="M813" s="6"/>
      <c r="N813" s="6"/>
      <c r="O813" s="6"/>
      <c r="P813" s="6"/>
      <c r="Q813" s="6"/>
      <c r="R813" s="6"/>
      <c r="S813" s="6"/>
      <c r="T813" s="6"/>
      <c r="U813" s="6"/>
      <c r="V813" s="6"/>
      <c r="W813" s="6"/>
      <c r="X813" s="6"/>
      <c r="Y813" s="6"/>
      <c r="Z813" s="6"/>
    </row>
    <row r="814" ht="12.75" customHeight="1">
      <c r="A814" s="37">
        <v>812.0</v>
      </c>
      <c r="B814" s="37">
        <v>10812.0</v>
      </c>
      <c r="C814" s="37" t="s">
        <v>7</v>
      </c>
      <c r="D814" s="38" t="s">
        <v>1434</v>
      </c>
      <c r="E814" s="37" t="e">
        <v>#N/A</v>
      </c>
      <c r="F814" s="37" t="e">
        <v>#N/A</v>
      </c>
      <c r="G814" s="39" t="e">
        <v>#N/A</v>
      </c>
      <c r="H814" s="6"/>
      <c r="I814" s="6"/>
      <c r="J814" s="6"/>
      <c r="K814" s="6"/>
      <c r="L814" s="6"/>
      <c r="M814" s="6"/>
      <c r="N814" s="6"/>
      <c r="O814" s="6"/>
      <c r="P814" s="6"/>
      <c r="Q814" s="6"/>
      <c r="R814" s="6"/>
      <c r="S814" s="6"/>
      <c r="T814" s="6"/>
      <c r="U814" s="6"/>
      <c r="V814" s="6"/>
      <c r="W814" s="6"/>
      <c r="X814" s="6"/>
      <c r="Y814" s="6"/>
      <c r="Z814" s="6"/>
    </row>
    <row r="815" ht="12.75" customHeight="1">
      <c r="A815" s="37">
        <v>813.0</v>
      </c>
      <c r="B815" s="37">
        <v>10813.0</v>
      </c>
      <c r="C815" s="37" t="s">
        <v>7</v>
      </c>
      <c r="D815" s="38" t="s">
        <v>1435</v>
      </c>
      <c r="E815" s="37" t="e">
        <v>#N/A</v>
      </c>
      <c r="F815" s="37" t="e">
        <v>#N/A</v>
      </c>
      <c r="G815" s="39" t="e">
        <v>#N/A</v>
      </c>
      <c r="H815" s="6"/>
      <c r="I815" s="6"/>
      <c r="J815" s="6"/>
      <c r="K815" s="6"/>
      <c r="L815" s="6"/>
      <c r="M815" s="6"/>
      <c r="N815" s="6"/>
      <c r="O815" s="6"/>
      <c r="P815" s="6"/>
      <c r="Q815" s="6"/>
      <c r="R815" s="6"/>
      <c r="S815" s="6"/>
      <c r="T815" s="6"/>
      <c r="U815" s="6"/>
      <c r="V815" s="6"/>
      <c r="W815" s="6"/>
      <c r="X815" s="6"/>
      <c r="Y815" s="6"/>
      <c r="Z815" s="6"/>
    </row>
    <row r="816" ht="12.75" customHeight="1">
      <c r="A816" s="37">
        <v>814.0</v>
      </c>
      <c r="B816" s="37">
        <v>10814.0</v>
      </c>
      <c r="C816" s="37" t="s">
        <v>34</v>
      </c>
      <c r="D816" s="38" t="s">
        <v>1436</v>
      </c>
      <c r="E816" s="37" t="e">
        <v>#N/A</v>
      </c>
      <c r="F816" s="37" t="e">
        <v>#N/A</v>
      </c>
      <c r="G816" s="39" t="e">
        <v>#N/A</v>
      </c>
      <c r="H816" s="6"/>
      <c r="I816" s="6"/>
      <c r="J816" s="6"/>
      <c r="K816" s="6"/>
      <c r="L816" s="6"/>
      <c r="M816" s="6"/>
      <c r="N816" s="6"/>
      <c r="O816" s="6"/>
      <c r="P816" s="6"/>
      <c r="Q816" s="6"/>
      <c r="R816" s="6"/>
      <c r="S816" s="6"/>
      <c r="T816" s="6"/>
      <c r="U816" s="6"/>
      <c r="V816" s="6"/>
      <c r="W816" s="6"/>
      <c r="X816" s="6"/>
      <c r="Y816" s="6"/>
      <c r="Z816" s="6"/>
    </row>
    <row r="817" ht="12.75" customHeight="1">
      <c r="A817" s="37">
        <v>815.0</v>
      </c>
      <c r="B817" s="37">
        <v>10815.0</v>
      </c>
      <c r="C817" s="37" t="s">
        <v>7</v>
      </c>
      <c r="D817" s="38" t="s">
        <v>1437</v>
      </c>
      <c r="E817" s="37" t="e">
        <v>#N/A</v>
      </c>
      <c r="F817" s="37" t="e">
        <v>#N/A</v>
      </c>
      <c r="G817" s="39" t="e">
        <v>#N/A</v>
      </c>
      <c r="H817" s="6"/>
      <c r="I817" s="6"/>
      <c r="J817" s="6"/>
      <c r="K817" s="6"/>
      <c r="L817" s="6"/>
      <c r="M817" s="6"/>
      <c r="N817" s="6"/>
      <c r="O817" s="6"/>
      <c r="P817" s="6"/>
      <c r="Q817" s="6"/>
      <c r="R817" s="6"/>
      <c r="S817" s="6"/>
      <c r="T817" s="6"/>
      <c r="U817" s="6"/>
      <c r="V817" s="6"/>
      <c r="W817" s="6"/>
      <c r="X817" s="6"/>
      <c r="Y817" s="6"/>
      <c r="Z817" s="6"/>
    </row>
    <row r="818" ht="12.75" customHeight="1">
      <c r="A818" s="37">
        <v>816.0</v>
      </c>
      <c r="B818" s="37">
        <v>10816.0</v>
      </c>
      <c r="C818" s="37" t="s">
        <v>20</v>
      </c>
      <c r="D818" s="38" t="s">
        <v>1438</v>
      </c>
      <c r="E818" s="37" t="e">
        <v>#N/A</v>
      </c>
      <c r="F818" s="37" t="e">
        <v>#N/A</v>
      </c>
      <c r="G818" s="39" t="e">
        <v>#N/A</v>
      </c>
      <c r="H818" s="6"/>
      <c r="I818" s="6"/>
      <c r="J818" s="6"/>
      <c r="K818" s="6"/>
      <c r="L818" s="6"/>
      <c r="M818" s="6"/>
      <c r="N818" s="6"/>
      <c r="O818" s="6"/>
      <c r="P818" s="6"/>
      <c r="Q818" s="6"/>
      <c r="R818" s="6"/>
      <c r="S818" s="6"/>
      <c r="T818" s="6"/>
      <c r="U818" s="6"/>
      <c r="V818" s="6"/>
      <c r="W818" s="6"/>
      <c r="X818" s="6"/>
      <c r="Y818" s="6"/>
      <c r="Z818" s="6"/>
    </row>
    <row r="819" ht="12.75" customHeight="1">
      <c r="A819" s="37">
        <v>817.0</v>
      </c>
      <c r="B819" s="37">
        <v>10817.0</v>
      </c>
      <c r="C819" s="37" t="s">
        <v>34</v>
      </c>
      <c r="D819" s="38" t="s">
        <v>1439</v>
      </c>
      <c r="E819" s="37" t="e">
        <v>#N/A</v>
      </c>
      <c r="F819" s="37" t="e">
        <v>#N/A</v>
      </c>
      <c r="G819" s="39" t="e">
        <v>#N/A</v>
      </c>
      <c r="H819" s="6"/>
      <c r="I819" s="6"/>
      <c r="J819" s="6"/>
      <c r="K819" s="6"/>
      <c r="L819" s="6"/>
      <c r="M819" s="6"/>
      <c r="N819" s="6"/>
      <c r="O819" s="6"/>
      <c r="P819" s="6"/>
      <c r="Q819" s="6"/>
      <c r="R819" s="6"/>
      <c r="S819" s="6"/>
      <c r="T819" s="6"/>
      <c r="U819" s="6"/>
      <c r="V819" s="6"/>
      <c r="W819" s="6"/>
      <c r="X819" s="6"/>
      <c r="Y819" s="6"/>
      <c r="Z819" s="6"/>
    </row>
    <row r="820" ht="12.75" customHeight="1">
      <c r="A820" s="37">
        <v>818.0</v>
      </c>
      <c r="B820" s="37">
        <v>10818.0</v>
      </c>
      <c r="C820" s="37" t="s">
        <v>20</v>
      </c>
      <c r="D820" s="38" t="s">
        <v>1440</v>
      </c>
      <c r="E820" s="37" t="e">
        <v>#N/A</v>
      </c>
      <c r="F820" s="37" t="e">
        <v>#N/A</v>
      </c>
      <c r="G820" s="39" t="e">
        <v>#N/A</v>
      </c>
      <c r="H820" s="6"/>
      <c r="I820" s="6"/>
      <c r="J820" s="6"/>
      <c r="K820" s="6"/>
      <c r="L820" s="6"/>
      <c r="M820" s="6"/>
      <c r="N820" s="6"/>
      <c r="O820" s="6"/>
      <c r="P820" s="6"/>
      <c r="Q820" s="6"/>
      <c r="R820" s="6"/>
      <c r="S820" s="6"/>
      <c r="T820" s="6"/>
      <c r="U820" s="6"/>
      <c r="V820" s="6"/>
      <c r="W820" s="6"/>
      <c r="X820" s="6"/>
      <c r="Y820" s="6"/>
      <c r="Z820" s="6"/>
    </row>
    <row r="821" ht="12.75" customHeight="1">
      <c r="A821" s="37">
        <v>819.0</v>
      </c>
      <c r="B821" s="37">
        <v>10819.0</v>
      </c>
      <c r="C821" s="37" t="s">
        <v>34</v>
      </c>
      <c r="D821" s="38" t="s">
        <v>1441</v>
      </c>
      <c r="E821" s="37" t="e">
        <v>#N/A</v>
      </c>
      <c r="F821" s="37" t="e">
        <v>#N/A</v>
      </c>
      <c r="G821" s="39" t="e">
        <v>#N/A</v>
      </c>
      <c r="H821" s="6"/>
      <c r="I821" s="6"/>
      <c r="J821" s="6"/>
      <c r="K821" s="6"/>
      <c r="L821" s="6"/>
      <c r="M821" s="6"/>
      <c r="N821" s="6"/>
      <c r="O821" s="6"/>
      <c r="P821" s="6"/>
      <c r="Q821" s="6"/>
      <c r="R821" s="6"/>
      <c r="S821" s="6"/>
      <c r="T821" s="6"/>
      <c r="U821" s="6"/>
      <c r="V821" s="6"/>
      <c r="W821" s="6"/>
      <c r="X821" s="6"/>
      <c r="Y821" s="6"/>
      <c r="Z821" s="6"/>
    </row>
    <row r="822" ht="12.75" customHeight="1">
      <c r="A822" s="37">
        <v>820.0</v>
      </c>
      <c r="B822" s="37">
        <v>10820.0</v>
      </c>
      <c r="C822" s="37" t="s">
        <v>34</v>
      </c>
      <c r="D822" s="38" t="s">
        <v>1442</v>
      </c>
      <c r="E822" s="37" t="e">
        <v>#N/A</v>
      </c>
      <c r="F822" s="37" t="e">
        <v>#N/A</v>
      </c>
      <c r="G822" s="39" t="e">
        <v>#N/A</v>
      </c>
      <c r="H822" s="6"/>
      <c r="I822" s="6"/>
      <c r="J822" s="6"/>
      <c r="K822" s="6"/>
      <c r="L822" s="6"/>
      <c r="M822" s="6"/>
      <c r="N822" s="6"/>
      <c r="O822" s="6"/>
      <c r="P822" s="6"/>
      <c r="Q822" s="6"/>
      <c r="R822" s="6"/>
      <c r="S822" s="6"/>
      <c r="T822" s="6"/>
      <c r="U822" s="6"/>
      <c r="V822" s="6"/>
      <c r="W822" s="6"/>
      <c r="X822" s="6"/>
      <c r="Y822" s="6"/>
      <c r="Z822" s="6"/>
    </row>
    <row r="823" ht="12.75" hidden="1" customHeight="1">
      <c r="A823" s="37">
        <v>821.0</v>
      </c>
      <c r="B823" s="37">
        <v>10821.0</v>
      </c>
      <c r="C823" s="37" t="s">
        <v>20</v>
      </c>
      <c r="D823" s="38" t="s">
        <v>1443</v>
      </c>
      <c r="E823" s="85" t="s">
        <v>1444</v>
      </c>
      <c r="F823" s="37" t="e">
        <v>#N/A</v>
      </c>
      <c r="G823" s="39" t="e">
        <v>#N/A</v>
      </c>
      <c r="H823" s="6"/>
      <c r="I823" s="6"/>
      <c r="J823" s="6"/>
      <c r="K823" s="6"/>
      <c r="L823" s="6"/>
      <c r="M823" s="6"/>
      <c r="N823" s="6"/>
      <c r="O823" s="6"/>
      <c r="P823" s="6"/>
      <c r="Q823" s="6"/>
      <c r="R823" s="6"/>
      <c r="S823" s="6"/>
      <c r="T823" s="6"/>
      <c r="U823" s="6"/>
      <c r="V823" s="6"/>
      <c r="W823" s="6"/>
      <c r="X823" s="6"/>
      <c r="Y823" s="6"/>
      <c r="Z823" s="6"/>
    </row>
    <row r="824" ht="12.75" hidden="1" customHeight="1">
      <c r="A824" s="40">
        <v>822.0</v>
      </c>
      <c r="B824" s="40">
        <v>10822.0</v>
      </c>
      <c r="C824" s="40" t="s">
        <v>27</v>
      </c>
      <c r="D824" s="41" t="s">
        <v>1445</v>
      </c>
      <c r="E824" s="85" t="s">
        <v>1446</v>
      </c>
      <c r="F824" s="40">
        <f>LEN(E824)</f>
        <v>130</v>
      </c>
      <c r="G824" s="42" t="e">
        <v>#N/A</v>
      </c>
      <c r="H824" s="6"/>
      <c r="I824" s="6"/>
      <c r="J824" s="6"/>
      <c r="K824" s="6"/>
      <c r="L824" s="6"/>
      <c r="M824" s="6"/>
      <c r="N824" s="6"/>
      <c r="O824" s="6"/>
      <c r="P824" s="6"/>
      <c r="Q824" s="6"/>
      <c r="R824" s="6"/>
      <c r="S824" s="6"/>
      <c r="T824" s="6"/>
      <c r="U824" s="6"/>
      <c r="V824" s="6"/>
      <c r="W824" s="6"/>
      <c r="X824" s="6"/>
      <c r="Y824" s="6"/>
      <c r="Z824" s="6"/>
    </row>
    <row r="825" ht="12.75" customHeight="1">
      <c r="A825" s="92">
        <v>823.0</v>
      </c>
      <c r="B825" s="92">
        <v>10823.0</v>
      </c>
      <c r="C825" s="92" t="s">
        <v>34</v>
      </c>
      <c r="D825" s="93" t="s">
        <v>1447</v>
      </c>
      <c r="E825" s="92" t="e">
        <v>#N/A</v>
      </c>
      <c r="F825" s="92" t="e">
        <v>#N/A</v>
      </c>
      <c r="G825" s="94" t="e">
        <v>#N/A</v>
      </c>
      <c r="H825" s="6"/>
      <c r="I825" s="6"/>
      <c r="J825" s="6"/>
      <c r="K825" s="6"/>
      <c r="L825" s="6"/>
      <c r="M825" s="6"/>
      <c r="N825" s="6"/>
      <c r="O825" s="6"/>
      <c r="P825" s="6"/>
      <c r="Q825" s="6"/>
      <c r="R825" s="6"/>
      <c r="S825" s="6"/>
      <c r="T825" s="6"/>
      <c r="U825" s="6"/>
      <c r="V825" s="6"/>
      <c r="W825" s="6"/>
      <c r="X825" s="6"/>
      <c r="Y825" s="6"/>
      <c r="Z825" s="6"/>
    </row>
    <row r="826" ht="12.75" customHeight="1">
      <c r="A826" s="92">
        <v>824.0</v>
      </c>
      <c r="B826" s="92">
        <v>10824.0</v>
      </c>
      <c r="C826" s="92" t="s">
        <v>7</v>
      </c>
      <c r="D826" s="93" t="s">
        <v>1448</v>
      </c>
      <c r="E826" s="92" t="e">
        <v>#N/A</v>
      </c>
      <c r="F826" s="92" t="e">
        <v>#N/A</v>
      </c>
      <c r="G826" s="94" t="e">
        <v>#N/A</v>
      </c>
      <c r="H826" s="6"/>
      <c r="I826" s="6"/>
      <c r="J826" s="6"/>
      <c r="K826" s="6"/>
      <c r="L826" s="6"/>
      <c r="M826" s="6"/>
      <c r="N826" s="6"/>
      <c r="O826" s="6"/>
      <c r="P826" s="6"/>
      <c r="Q826" s="6"/>
      <c r="R826" s="6"/>
      <c r="S826" s="6"/>
      <c r="T826" s="6"/>
      <c r="U826" s="6"/>
      <c r="V826" s="6"/>
      <c r="W826" s="6"/>
      <c r="X826" s="6"/>
      <c r="Y826" s="6"/>
      <c r="Z826" s="6"/>
    </row>
    <row r="827" ht="12.75" customHeight="1">
      <c r="A827" s="10">
        <v>825.0</v>
      </c>
      <c r="B827" s="10">
        <v>10825.0</v>
      </c>
      <c r="C827" s="10" t="s">
        <v>34</v>
      </c>
      <c r="D827" s="11" t="s">
        <v>1449</v>
      </c>
      <c r="E827" s="10" t="e">
        <v>#N/A</v>
      </c>
      <c r="F827" s="10" t="e">
        <v>#N/A</v>
      </c>
      <c r="G827" s="12" t="e">
        <v>#N/A</v>
      </c>
      <c r="H827" s="6"/>
      <c r="I827" s="6"/>
      <c r="J827" s="6"/>
      <c r="K827" s="6"/>
      <c r="L827" s="6"/>
      <c r="M827" s="6"/>
      <c r="N827" s="6"/>
      <c r="O827" s="6"/>
      <c r="P827" s="6"/>
      <c r="Q827" s="6"/>
      <c r="R827" s="6"/>
      <c r="S827" s="6"/>
      <c r="T827" s="6"/>
      <c r="U827" s="6"/>
      <c r="V827" s="6"/>
      <c r="W827" s="6"/>
      <c r="X827" s="6"/>
      <c r="Y827" s="6"/>
      <c r="Z827" s="6"/>
    </row>
    <row r="828" ht="12.75" customHeight="1">
      <c r="A828" s="70">
        <v>826.0</v>
      </c>
      <c r="B828" s="70">
        <v>10826.0</v>
      </c>
      <c r="C828" s="70" t="s">
        <v>7</v>
      </c>
      <c r="D828" s="71" t="s">
        <v>1450</v>
      </c>
      <c r="E828" s="70" t="e">
        <v>#N/A</v>
      </c>
      <c r="F828" s="70" t="e">
        <v>#N/A</v>
      </c>
      <c r="G828" s="72" t="e">
        <v>#N/A</v>
      </c>
      <c r="H828" s="6"/>
      <c r="I828" s="6"/>
      <c r="J828" s="6"/>
      <c r="K828" s="6"/>
      <c r="L828" s="6"/>
      <c r="M828" s="6"/>
      <c r="N828" s="6"/>
      <c r="O828" s="6"/>
      <c r="P828" s="6"/>
      <c r="Q828" s="6"/>
      <c r="R828" s="6"/>
      <c r="S828" s="6"/>
      <c r="T828" s="6"/>
      <c r="U828" s="6"/>
      <c r="V828" s="6"/>
      <c r="W828" s="6"/>
      <c r="X828" s="6"/>
      <c r="Y828" s="6"/>
      <c r="Z828" s="6"/>
    </row>
    <row r="829" ht="12.75" customHeight="1">
      <c r="A829" s="40">
        <v>827.0</v>
      </c>
      <c r="B829" s="40">
        <v>10827.0</v>
      </c>
      <c r="C829" s="40" t="s">
        <v>34</v>
      </c>
      <c r="D829" s="41" t="s">
        <v>1451</v>
      </c>
      <c r="E829" s="40" t="e">
        <v>#N/A</v>
      </c>
      <c r="F829" s="40" t="e">
        <v>#N/A</v>
      </c>
      <c r="G829" s="42" t="e">
        <v>#N/A</v>
      </c>
      <c r="H829" s="6"/>
      <c r="I829" s="6"/>
      <c r="J829" s="6"/>
      <c r="K829" s="6"/>
      <c r="L829" s="6"/>
      <c r="M829" s="6"/>
      <c r="N829" s="6"/>
      <c r="O829" s="6"/>
      <c r="P829" s="6"/>
      <c r="Q829" s="6"/>
      <c r="R829" s="6"/>
      <c r="S829" s="6"/>
      <c r="T829" s="6"/>
      <c r="U829" s="6"/>
      <c r="V829" s="6"/>
      <c r="W829" s="6"/>
      <c r="X829" s="6"/>
      <c r="Y829" s="6"/>
      <c r="Z829" s="6"/>
    </row>
    <row r="830" ht="12.75" customHeight="1">
      <c r="A830" s="37">
        <v>828.0</v>
      </c>
      <c r="B830" s="37">
        <v>10828.0</v>
      </c>
      <c r="C830" s="37" t="s">
        <v>34</v>
      </c>
      <c r="D830" s="38" t="s">
        <v>1452</v>
      </c>
      <c r="E830" s="37" t="e">
        <v>#N/A</v>
      </c>
      <c r="F830" s="37" t="e">
        <v>#N/A</v>
      </c>
      <c r="G830" s="39" t="e">
        <v>#N/A</v>
      </c>
      <c r="H830" s="6"/>
      <c r="I830" s="6"/>
      <c r="J830" s="6"/>
      <c r="K830" s="6"/>
      <c r="L830" s="6"/>
      <c r="M830" s="6"/>
      <c r="N830" s="6"/>
      <c r="O830" s="6"/>
      <c r="P830" s="6"/>
      <c r="Q830" s="6"/>
      <c r="R830" s="6"/>
      <c r="S830" s="6"/>
      <c r="T830" s="6"/>
      <c r="U830" s="6"/>
      <c r="V830" s="6"/>
      <c r="W830" s="6"/>
      <c r="X830" s="6"/>
      <c r="Y830" s="6"/>
      <c r="Z830" s="6"/>
    </row>
    <row r="831" ht="12.75" customHeight="1">
      <c r="A831" s="89">
        <v>829.0</v>
      </c>
      <c r="B831" s="89">
        <v>10829.0</v>
      </c>
      <c r="C831" s="89" t="s">
        <v>7</v>
      </c>
      <c r="D831" s="90" t="s">
        <v>1453</v>
      </c>
      <c r="E831" s="89" t="e">
        <v>#N/A</v>
      </c>
      <c r="F831" s="89" t="e">
        <v>#N/A</v>
      </c>
      <c r="G831" s="91" t="e">
        <v>#N/A</v>
      </c>
      <c r="H831" s="6"/>
      <c r="I831" s="6"/>
      <c r="J831" s="6"/>
      <c r="K831" s="6"/>
      <c r="L831" s="6"/>
      <c r="M831" s="6"/>
      <c r="N831" s="6"/>
      <c r="O831" s="6"/>
      <c r="P831" s="6"/>
      <c r="Q831" s="6"/>
      <c r="R831" s="6"/>
      <c r="S831" s="6"/>
      <c r="T831" s="6"/>
      <c r="U831" s="6"/>
      <c r="V831" s="6"/>
      <c r="W831" s="6"/>
      <c r="X831" s="6"/>
      <c r="Y831" s="6"/>
      <c r="Z831" s="6"/>
    </row>
    <row r="832" ht="12.75" customHeight="1">
      <c r="A832" s="89">
        <v>830.0</v>
      </c>
      <c r="B832" s="89">
        <v>10830.0</v>
      </c>
      <c r="C832" s="89" t="s">
        <v>7</v>
      </c>
      <c r="D832" s="90" t="s">
        <v>1454</v>
      </c>
      <c r="E832" s="89" t="e">
        <v>#N/A</v>
      </c>
      <c r="F832" s="89" t="e">
        <v>#N/A</v>
      </c>
      <c r="G832" s="91" t="e">
        <v>#N/A</v>
      </c>
      <c r="H832" s="6"/>
      <c r="I832" s="6"/>
      <c r="J832" s="6"/>
      <c r="K832" s="6"/>
      <c r="L832" s="6"/>
      <c r="M832" s="6"/>
      <c r="N832" s="6"/>
      <c r="O832" s="6"/>
      <c r="P832" s="6"/>
      <c r="Q832" s="6"/>
      <c r="R832" s="6"/>
      <c r="S832" s="6"/>
      <c r="T832" s="6"/>
      <c r="U832" s="6"/>
      <c r="V832" s="6"/>
      <c r="W832" s="6"/>
      <c r="X832" s="6"/>
      <c r="Y832" s="6"/>
      <c r="Z832" s="6"/>
    </row>
    <row r="833" ht="12.75" customHeight="1">
      <c r="A833" s="37">
        <v>831.0</v>
      </c>
      <c r="B833" s="37">
        <v>10831.0</v>
      </c>
      <c r="C833" s="37" t="s">
        <v>7</v>
      </c>
      <c r="D833" s="38" t="s">
        <v>1455</v>
      </c>
      <c r="E833" s="37" t="e">
        <v>#N/A</v>
      </c>
      <c r="F833" s="37" t="e">
        <v>#N/A</v>
      </c>
      <c r="G833" s="39" t="e">
        <v>#N/A</v>
      </c>
      <c r="H833" s="6"/>
      <c r="I833" s="6"/>
      <c r="J833" s="6"/>
      <c r="K833" s="6"/>
      <c r="L833" s="6"/>
      <c r="M833" s="6"/>
      <c r="N833" s="6"/>
      <c r="O833" s="6"/>
      <c r="P833" s="6"/>
      <c r="Q833" s="6"/>
      <c r="R833" s="6"/>
      <c r="S833" s="6"/>
      <c r="T833" s="6"/>
      <c r="U833" s="6"/>
      <c r="V833" s="6"/>
      <c r="W833" s="6"/>
      <c r="X833" s="6"/>
      <c r="Y833" s="6"/>
      <c r="Z833" s="6"/>
    </row>
    <row r="834" ht="12.75" customHeight="1">
      <c r="A834" s="40">
        <v>832.0</v>
      </c>
      <c r="B834" s="40">
        <v>10832.0</v>
      </c>
      <c r="C834" s="40" t="s">
        <v>7</v>
      </c>
      <c r="D834" s="41" t="s">
        <v>1456</v>
      </c>
      <c r="E834" s="40" t="e">
        <v>#N/A</v>
      </c>
      <c r="F834" s="40" t="e">
        <v>#N/A</v>
      </c>
      <c r="G834" s="42" t="e">
        <v>#N/A</v>
      </c>
      <c r="H834" s="6"/>
      <c r="I834" s="6"/>
      <c r="J834" s="6"/>
      <c r="K834" s="6"/>
      <c r="L834" s="6"/>
      <c r="M834" s="6"/>
      <c r="N834" s="6"/>
      <c r="O834" s="6"/>
      <c r="P834" s="6"/>
      <c r="Q834" s="6"/>
      <c r="R834" s="6"/>
      <c r="S834" s="6"/>
      <c r="T834" s="6"/>
      <c r="U834" s="6"/>
      <c r="V834" s="6"/>
      <c r="W834" s="6"/>
      <c r="X834" s="6"/>
      <c r="Y834" s="6"/>
      <c r="Z834" s="6"/>
    </row>
    <row r="835" ht="12.75" customHeight="1">
      <c r="A835" s="40">
        <v>833.0</v>
      </c>
      <c r="B835" s="40">
        <v>10833.0</v>
      </c>
      <c r="C835" s="40" t="s">
        <v>34</v>
      </c>
      <c r="D835" s="41" t="s">
        <v>1457</v>
      </c>
      <c r="E835" s="40" t="e">
        <v>#N/A</v>
      </c>
      <c r="F835" s="40" t="e">
        <v>#N/A</v>
      </c>
      <c r="G835" s="42" t="e">
        <v>#N/A</v>
      </c>
      <c r="H835" s="6"/>
      <c r="I835" s="6"/>
      <c r="J835" s="6"/>
      <c r="K835" s="6"/>
      <c r="L835" s="6"/>
      <c r="M835" s="6"/>
      <c r="N835" s="6"/>
      <c r="O835" s="6"/>
      <c r="P835" s="6"/>
      <c r="Q835" s="6"/>
      <c r="R835" s="6"/>
      <c r="S835" s="6"/>
      <c r="T835" s="6"/>
      <c r="U835" s="6"/>
      <c r="V835" s="6"/>
      <c r="W835" s="6"/>
      <c r="X835" s="6"/>
      <c r="Y835" s="6"/>
      <c r="Z835" s="6"/>
    </row>
    <row r="836" ht="12.75" customHeight="1">
      <c r="A836" s="37">
        <v>834.0</v>
      </c>
      <c r="B836" s="37">
        <v>10834.0</v>
      </c>
      <c r="C836" s="37" t="s">
        <v>7</v>
      </c>
      <c r="D836" s="38" t="s">
        <v>1458</v>
      </c>
      <c r="E836" s="37" t="e">
        <v>#N/A</v>
      </c>
      <c r="F836" s="37" t="e">
        <v>#N/A</v>
      </c>
      <c r="G836" s="39" t="e">
        <v>#N/A</v>
      </c>
      <c r="H836" s="6"/>
      <c r="I836" s="6"/>
      <c r="J836" s="6"/>
      <c r="K836" s="6"/>
      <c r="L836" s="6"/>
      <c r="M836" s="6"/>
      <c r="N836" s="6"/>
      <c r="O836" s="6"/>
      <c r="P836" s="6"/>
      <c r="Q836" s="6"/>
      <c r="R836" s="6"/>
      <c r="S836" s="6"/>
      <c r="T836" s="6"/>
      <c r="U836" s="6"/>
      <c r="V836" s="6"/>
      <c r="W836" s="6"/>
      <c r="X836" s="6"/>
      <c r="Y836" s="6"/>
      <c r="Z836" s="6"/>
    </row>
    <row r="837" ht="12.75" customHeight="1">
      <c r="A837" s="95">
        <v>835.0</v>
      </c>
      <c r="B837" s="95">
        <v>10835.0</v>
      </c>
      <c r="C837" s="95" t="s">
        <v>34</v>
      </c>
      <c r="D837" s="96" t="s">
        <v>1459</v>
      </c>
      <c r="E837" s="95" t="e">
        <v>#N/A</v>
      </c>
      <c r="F837" s="95" t="e">
        <v>#N/A</v>
      </c>
      <c r="G837" s="97" t="e">
        <v>#N/A</v>
      </c>
      <c r="H837" s="6"/>
      <c r="I837" s="6"/>
      <c r="J837" s="6"/>
      <c r="K837" s="6"/>
      <c r="L837" s="6"/>
      <c r="M837" s="6"/>
      <c r="N837" s="6"/>
      <c r="O837" s="6"/>
      <c r="P837" s="6"/>
      <c r="Q837" s="6"/>
      <c r="R837" s="6"/>
      <c r="S837" s="6"/>
      <c r="T837" s="6"/>
      <c r="U837" s="6"/>
      <c r="V837" s="6"/>
      <c r="W837" s="6"/>
      <c r="X837" s="6"/>
      <c r="Y837" s="6"/>
      <c r="Z837" s="6"/>
    </row>
    <row r="838" ht="12.75" customHeight="1">
      <c r="A838" s="70">
        <v>836.0</v>
      </c>
      <c r="B838" s="70">
        <v>10836.0</v>
      </c>
      <c r="C838" s="70" t="s">
        <v>7</v>
      </c>
      <c r="D838" s="71" t="s">
        <v>1460</v>
      </c>
      <c r="E838" s="70" t="e">
        <v>#N/A</v>
      </c>
      <c r="F838" s="70" t="e">
        <v>#N/A</v>
      </c>
      <c r="G838" s="72" t="e">
        <v>#N/A</v>
      </c>
      <c r="H838" s="6"/>
      <c r="I838" s="6"/>
      <c r="J838" s="6"/>
      <c r="K838" s="6"/>
      <c r="L838" s="6"/>
      <c r="M838" s="6"/>
      <c r="N838" s="6"/>
      <c r="O838" s="6"/>
      <c r="P838" s="6"/>
      <c r="Q838" s="6"/>
      <c r="R838" s="6"/>
      <c r="S838" s="6"/>
      <c r="T838" s="6"/>
      <c r="U838" s="6"/>
      <c r="V838" s="6"/>
      <c r="W838" s="6"/>
      <c r="X838" s="6"/>
      <c r="Y838" s="6"/>
      <c r="Z838" s="6"/>
    </row>
    <row r="839" ht="12.75" customHeight="1">
      <c r="A839" s="70">
        <v>837.0</v>
      </c>
      <c r="B839" s="70">
        <v>10837.0</v>
      </c>
      <c r="C839" s="70" t="s">
        <v>7</v>
      </c>
      <c r="D839" s="71" t="s">
        <v>1461</v>
      </c>
      <c r="E839" s="70" t="e">
        <v>#N/A</v>
      </c>
      <c r="F839" s="70" t="e">
        <v>#N/A</v>
      </c>
      <c r="G839" s="72" t="e">
        <v>#N/A</v>
      </c>
      <c r="H839" s="6"/>
      <c r="I839" s="6"/>
      <c r="J839" s="6"/>
      <c r="K839" s="6"/>
      <c r="L839" s="6"/>
      <c r="M839" s="6"/>
      <c r="N839" s="6"/>
      <c r="O839" s="6"/>
      <c r="P839" s="6"/>
      <c r="Q839" s="6"/>
      <c r="R839" s="6"/>
      <c r="S839" s="6"/>
      <c r="T839" s="6"/>
      <c r="U839" s="6"/>
      <c r="V839" s="6"/>
      <c r="W839" s="6"/>
      <c r="X839" s="6"/>
      <c r="Y839" s="6"/>
      <c r="Z839" s="6"/>
    </row>
    <row r="840" ht="12.75" customHeight="1">
      <c r="A840" s="70">
        <v>838.0</v>
      </c>
      <c r="B840" s="70">
        <v>10838.0</v>
      </c>
      <c r="C840" s="70" t="s">
        <v>7</v>
      </c>
      <c r="D840" s="71" t="s">
        <v>1462</v>
      </c>
      <c r="E840" s="70" t="e">
        <v>#N/A</v>
      </c>
      <c r="F840" s="70" t="e">
        <v>#N/A</v>
      </c>
      <c r="G840" s="72" t="e">
        <v>#N/A</v>
      </c>
      <c r="H840" s="6"/>
      <c r="I840" s="6"/>
      <c r="J840" s="6"/>
      <c r="K840" s="6"/>
      <c r="L840" s="6"/>
      <c r="M840" s="6"/>
      <c r="N840" s="6"/>
      <c r="O840" s="6"/>
      <c r="P840" s="6"/>
      <c r="Q840" s="6"/>
      <c r="R840" s="6"/>
      <c r="S840" s="6"/>
      <c r="T840" s="6"/>
      <c r="U840" s="6"/>
      <c r="V840" s="6"/>
      <c r="W840" s="6"/>
      <c r="X840" s="6"/>
      <c r="Y840" s="6"/>
      <c r="Z840" s="6"/>
    </row>
    <row r="841" ht="12.75" customHeight="1">
      <c r="A841" s="98">
        <v>839.0</v>
      </c>
      <c r="B841" s="98">
        <v>10839.0</v>
      </c>
      <c r="C841" s="98" t="s">
        <v>7</v>
      </c>
      <c r="D841" s="99" t="s">
        <v>1463</v>
      </c>
      <c r="E841" s="98" t="e">
        <v>#N/A</v>
      </c>
      <c r="F841" s="98" t="e">
        <v>#N/A</v>
      </c>
      <c r="G841" s="100" t="e">
        <v>#N/A</v>
      </c>
      <c r="H841" s="6"/>
      <c r="I841" s="6"/>
      <c r="J841" s="6"/>
      <c r="K841" s="6"/>
      <c r="L841" s="6"/>
      <c r="M841" s="6"/>
      <c r="N841" s="6"/>
      <c r="O841" s="6"/>
      <c r="P841" s="6"/>
      <c r="Q841" s="6"/>
      <c r="R841" s="6"/>
      <c r="S841" s="6"/>
      <c r="T841" s="6"/>
      <c r="U841" s="6"/>
      <c r="V841" s="6"/>
      <c r="W841" s="6"/>
      <c r="X841" s="6"/>
      <c r="Y841" s="6"/>
      <c r="Z841" s="6"/>
    </row>
    <row r="842" ht="12.75" customHeight="1">
      <c r="A842" s="40">
        <v>840.0</v>
      </c>
      <c r="B842" s="40">
        <v>10840.0</v>
      </c>
      <c r="C842" s="40" t="s">
        <v>20</v>
      </c>
      <c r="D842" s="41" t="s">
        <v>1464</v>
      </c>
      <c r="E842" s="40" t="e">
        <v>#N/A</v>
      </c>
      <c r="F842" s="40" t="e">
        <v>#N/A</v>
      </c>
      <c r="G842" s="42" t="e">
        <v>#N/A</v>
      </c>
      <c r="H842" s="6"/>
      <c r="I842" s="6"/>
      <c r="J842" s="6"/>
      <c r="K842" s="6"/>
      <c r="L842" s="6"/>
      <c r="M842" s="6"/>
      <c r="N842" s="6"/>
      <c r="O842" s="6"/>
      <c r="P842" s="6"/>
      <c r="Q842" s="6"/>
      <c r="R842" s="6"/>
      <c r="S842" s="6"/>
      <c r="T842" s="6"/>
      <c r="U842" s="6"/>
      <c r="V842" s="6"/>
      <c r="W842" s="6"/>
      <c r="X842" s="6"/>
      <c r="Y842" s="6"/>
      <c r="Z842" s="6"/>
    </row>
    <row r="843" ht="12.75" customHeight="1">
      <c r="A843" s="40">
        <v>841.0</v>
      </c>
      <c r="B843" s="40">
        <v>10841.0</v>
      </c>
      <c r="C843" s="40" t="s">
        <v>20</v>
      </c>
      <c r="D843" s="41" t="s">
        <v>1465</v>
      </c>
      <c r="E843" s="40" t="e">
        <v>#N/A</v>
      </c>
      <c r="F843" s="40" t="e">
        <v>#N/A</v>
      </c>
      <c r="G843" s="42" t="e">
        <v>#N/A</v>
      </c>
      <c r="H843" s="6"/>
      <c r="I843" s="6"/>
      <c r="J843" s="6"/>
      <c r="K843" s="6"/>
      <c r="L843" s="6"/>
      <c r="M843" s="6"/>
      <c r="N843" s="6"/>
      <c r="O843" s="6"/>
      <c r="P843" s="6"/>
      <c r="Q843" s="6"/>
      <c r="R843" s="6"/>
      <c r="S843" s="6"/>
      <c r="T843" s="6"/>
      <c r="U843" s="6"/>
      <c r="V843" s="6"/>
      <c r="W843" s="6"/>
      <c r="X843" s="6"/>
      <c r="Y843" s="6"/>
      <c r="Z843" s="6"/>
    </row>
    <row r="844" ht="12.75" customHeight="1">
      <c r="A844" s="37">
        <v>842.0</v>
      </c>
      <c r="B844" s="37">
        <v>10842.0</v>
      </c>
      <c r="C844" s="37" t="s">
        <v>20</v>
      </c>
      <c r="D844" s="38" t="s">
        <v>1466</v>
      </c>
      <c r="E844" s="37" t="e">
        <v>#N/A</v>
      </c>
      <c r="F844" s="37" t="e">
        <v>#N/A</v>
      </c>
      <c r="G844" s="39" t="e">
        <v>#N/A</v>
      </c>
      <c r="H844" s="6"/>
      <c r="I844" s="6"/>
      <c r="J844" s="6"/>
      <c r="K844" s="6"/>
      <c r="L844" s="6"/>
      <c r="M844" s="6"/>
      <c r="N844" s="6"/>
      <c r="O844" s="6"/>
      <c r="P844" s="6"/>
      <c r="Q844" s="6"/>
      <c r="R844" s="6"/>
      <c r="S844" s="6"/>
      <c r="T844" s="6"/>
      <c r="U844" s="6"/>
      <c r="V844" s="6"/>
      <c r="W844" s="6"/>
      <c r="X844" s="6"/>
      <c r="Y844" s="6"/>
      <c r="Z844" s="6"/>
    </row>
    <row r="845" ht="12.75" customHeight="1">
      <c r="A845" s="40">
        <v>843.0</v>
      </c>
      <c r="B845" s="40">
        <v>10843.0</v>
      </c>
      <c r="C845" s="40" t="s">
        <v>20</v>
      </c>
      <c r="D845" s="41" t="s">
        <v>1467</v>
      </c>
      <c r="E845" s="40" t="e">
        <v>#N/A</v>
      </c>
      <c r="F845" s="40" t="e">
        <v>#N/A</v>
      </c>
      <c r="G845" s="42" t="e">
        <v>#N/A</v>
      </c>
      <c r="H845" s="6"/>
      <c r="I845" s="6"/>
      <c r="J845" s="6"/>
      <c r="K845" s="6"/>
      <c r="L845" s="6"/>
      <c r="M845" s="6"/>
      <c r="N845" s="6"/>
      <c r="O845" s="6"/>
      <c r="P845" s="6"/>
      <c r="Q845" s="6"/>
      <c r="R845" s="6"/>
      <c r="S845" s="6"/>
      <c r="T845" s="6"/>
      <c r="U845" s="6"/>
      <c r="V845" s="6"/>
      <c r="W845" s="6"/>
      <c r="X845" s="6"/>
      <c r="Y845" s="6"/>
      <c r="Z845" s="6"/>
    </row>
    <row r="846" ht="12.75" customHeight="1">
      <c r="A846" s="37">
        <v>844.0</v>
      </c>
      <c r="B846" s="37">
        <v>10844.0</v>
      </c>
      <c r="C846" s="37" t="s">
        <v>7</v>
      </c>
      <c r="D846" s="38" t="s">
        <v>1468</v>
      </c>
      <c r="E846" s="37" t="e">
        <v>#N/A</v>
      </c>
      <c r="F846" s="37" t="e">
        <v>#N/A</v>
      </c>
      <c r="G846" s="39" t="e">
        <v>#N/A</v>
      </c>
      <c r="H846" s="6"/>
      <c r="I846" s="6"/>
      <c r="J846" s="6"/>
      <c r="K846" s="6"/>
      <c r="L846" s="6"/>
      <c r="M846" s="6"/>
      <c r="N846" s="6"/>
      <c r="O846" s="6"/>
      <c r="P846" s="6"/>
      <c r="Q846" s="6"/>
      <c r="R846" s="6"/>
      <c r="S846" s="6"/>
      <c r="T846" s="6"/>
      <c r="U846" s="6"/>
      <c r="V846" s="6"/>
      <c r="W846" s="6"/>
      <c r="X846" s="6"/>
      <c r="Y846" s="6"/>
      <c r="Z846" s="6"/>
    </row>
    <row r="847" ht="12.75" customHeight="1">
      <c r="A847" s="95">
        <v>845.0</v>
      </c>
      <c r="B847" s="95">
        <v>10845.0</v>
      </c>
      <c r="C847" s="95" t="s">
        <v>34</v>
      </c>
      <c r="D847" s="96" t="s">
        <v>1469</v>
      </c>
      <c r="E847" s="95" t="e">
        <v>#N/A</v>
      </c>
      <c r="F847" s="95" t="e">
        <v>#N/A</v>
      </c>
      <c r="G847" s="97" t="e">
        <v>#N/A</v>
      </c>
      <c r="H847" s="6"/>
      <c r="I847" s="6"/>
      <c r="J847" s="6"/>
      <c r="K847" s="6"/>
      <c r="L847" s="6"/>
      <c r="M847" s="6"/>
      <c r="N847" s="6"/>
      <c r="O847" s="6"/>
      <c r="P847" s="6"/>
      <c r="Q847" s="6"/>
      <c r="R847" s="6"/>
      <c r="S847" s="6"/>
      <c r="T847" s="6"/>
      <c r="U847" s="6"/>
      <c r="V847" s="6"/>
      <c r="W847" s="6"/>
      <c r="X847" s="6"/>
      <c r="Y847" s="6"/>
      <c r="Z847" s="6"/>
    </row>
    <row r="848" ht="12.75" customHeight="1">
      <c r="A848" s="37">
        <v>846.0</v>
      </c>
      <c r="B848" s="37">
        <v>10846.0</v>
      </c>
      <c r="C848" s="37" t="s">
        <v>34</v>
      </c>
      <c r="D848" s="38" t="s">
        <v>1470</v>
      </c>
      <c r="E848" s="37" t="e">
        <v>#N/A</v>
      </c>
      <c r="F848" s="37" t="e">
        <v>#N/A</v>
      </c>
      <c r="G848" s="39" t="e">
        <v>#N/A</v>
      </c>
      <c r="H848" s="6"/>
      <c r="I848" s="6"/>
      <c r="J848" s="6"/>
      <c r="K848" s="6"/>
      <c r="L848" s="6"/>
      <c r="M848" s="6"/>
      <c r="N848" s="6"/>
      <c r="O848" s="6"/>
      <c r="P848" s="6"/>
      <c r="Q848" s="6"/>
      <c r="R848" s="6"/>
      <c r="S848" s="6"/>
      <c r="T848" s="6"/>
      <c r="U848" s="6"/>
      <c r="V848" s="6"/>
      <c r="W848" s="6"/>
      <c r="X848" s="6"/>
      <c r="Y848" s="6"/>
      <c r="Z848" s="6"/>
    </row>
    <row r="849" ht="12.75" customHeight="1">
      <c r="A849" s="37">
        <v>847.0</v>
      </c>
      <c r="B849" s="37">
        <v>10847.0</v>
      </c>
      <c r="C849" s="37" t="s">
        <v>34</v>
      </c>
      <c r="D849" s="38" t="s">
        <v>1471</v>
      </c>
      <c r="E849" s="37" t="e">
        <v>#N/A</v>
      </c>
      <c r="F849" s="37" t="e">
        <v>#N/A</v>
      </c>
      <c r="G849" s="39" t="e">
        <v>#N/A</v>
      </c>
      <c r="H849" s="6"/>
      <c r="I849" s="6"/>
      <c r="J849" s="6"/>
      <c r="K849" s="6"/>
      <c r="L849" s="6"/>
      <c r="M849" s="6"/>
      <c r="N849" s="6"/>
      <c r="O849" s="6"/>
      <c r="P849" s="6"/>
      <c r="Q849" s="6"/>
      <c r="R849" s="6"/>
      <c r="S849" s="6"/>
      <c r="T849" s="6"/>
      <c r="U849" s="6"/>
      <c r="V849" s="6"/>
      <c r="W849" s="6"/>
      <c r="X849" s="6"/>
      <c r="Y849" s="6"/>
      <c r="Z849" s="6"/>
    </row>
    <row r="850" ht="12.75" customHeight="1">
      <c r="A850" s="37">
        <v>848.0</v>
      </c>
      <c r="B850" s="37">
        <v>10848.0</v>
      </c>
      <c r="C850" s="37" t="s">
        <v>7</v>
      </c>
      <c r="D850" s="38" t="s">
        <v>1472</v>
      </c>
      <c r="E850" s="37" t="e">
        <v>#N/A</v>
      </c>
      <c r="F850" s="37" t="e">
        <v>#N/A</v>
      </c>
      <c r="G850" s="39" t="e">
        <v>#N/A</v>
      </c>
      <c r="H850" s="6"/>
      <c r="I850" s="6"/>
      <c r="J850" s="6"/>
      <c r="K850" s="6"/>
      <c r="L850" s="6"/>
      <c r="M850" s="6"/>
      <c r="N850" s="6"/>
      <c r="O850" s="6"/>
      <c r="P850" s="6"/>
      <c r="Q850" s="6"/>
      <c r="R850" s="6"/>
      <c r="S850" s="6"/>
      <c r="T850" s="6"/>
      <c r="U850" s="6"/>
      <c r="V850" s="6"/>
      <c r="W850" s="6"/>
      <c r="X850" s="6"/>
      <c r="Y850" s="6"/>
      <c r="Z850" s="6"/>
    </row>
    <row r="851" ht="12.75" customHeight="1">
      <c r="A851" s="37">
        <v>849.0</v>
      </c>
      <c r="B851" s="37">
        <v>10849.0</v>
      </c>
      <c r="C851" s="37" t="s">
        <v>34</v>
      </c>
      <c r="D851" s="38" t="s">
        <v>1473</v>
      </c>
      <c r="E851" s="37" t="e">
        <v>#N/A</v>
      </c>
      <c r="F851" s="37" t="e">
        <v>#N/A</v>
      </c>
      <c r="G851" s="39" t="e">
        <v>#N/A</v>
      </c>
      <c r="H851" s="6"/>
      <c r="I851" s="6"/>
      <c r="J851" s="6"/>
      <c r="K851" s="6"/>
      <c r="L851" s="6"/>
      <c r="M851" s="6"/>
      <c r="N851" s="6"/>
      <c r="O851" s="6"/>
      <c r="P851" s="6"/>
      <c r="Q851" s="6"/>
      <c r="R851" s="6"/>
      <c r="S851" s="6"/>
      <c r="T851" s="6"/>
      <c r="U851" s="6"/>
      <c r="V851" s="6"/>
      <c r="W851" s="6"/>
      <c r="X851" s="6"/>
      <c r="Y851" s="6"/>
      <c r="Z851" s="6"/>
    </row>
    <row r="852" ht="12.75" customHeight="1">
      <c r="A852" s="70">
        <v>850.0</v>
      </c>
      <c r="B852" s="70">
        <v>10850.0</v>
      </c>
      <c r="C852" s="70" t="s">
        <v>7</v>
      </c>
      <c r="D852" s="71" t="s">
        <v>1474</v>
      </c>
      <c r="E852" s="70" t="e">
        <v>#N/A</v>
      </c>
      <c r="F852" s="70" t="e">
        <v>#N/A</v>
      </c>
      <c r="G852" s="72" t="e">
        <v>#N/A</v>
      </c>
      <c r="H852" s="6"/>
      <c r="I852" s="6"/>
      <c r="J852" s="6"/>
      <c r="K852" s="6"/>
      <c r="L852" s="6"/>
      <c r="M852" s="6"/>
      <c r="N852" s="6"/>
      <c r="O852" s="6"/>
      <c r="P852" s="6"/>
      <c r="Q852" s="6"/>
      <c r="R852" s="6"/>
      <c r="S852" s="6"/>
      <c r="T852" s="6"/>
      <c r="U852" s="6"/>
      <c r="V852" s="6"/>
      <c r="W852" s="6"/>
      <c r="X852" s="6"/>
      <c r="Y852" s="6"/>
      <c r="Z852" s="6"/>
    </row>
    <row r="853" ht="12.75" customHeight="1">
      <c r="A853" s="70">
        <v>851.0</v>
      </c>
      <c r="B853" s="70">
        <v>10851.0</v>
      </c>
      <c r="C853" s="70" t="s">
        <v>7</v>
      </c>
      <c r="D853" s="71" t="s">
        <v>1475</v>
      </c>
      <c r="E853" s="70" t="e">
        <v>#N/A</v>
      </c>
      <c r="F853" s="70" t="e">
        <v>#N/A</v>
      </c>
      <c r="G853" s="72" t="e">
        <v>#N/A</v>
      </c>
      <c r="H853" s="6"/>
      <c r="I853" s="6"/>
      <c r="J853" s="6"/>
      <c r="K853" s="6"/>
      <c r="L853" s="6"/>
      <c r="M853" s="6"/>
      <c r="N853" s="6"/>
      <c r="O853" s="6"/>
      <c r="P853" s="6"/>
      <c r="Q853" s="6"/>
      <c r="R853" s="6"/>
      <c r="S853" s="6"/>
      <c r="T853" s="6"/>
      <c r="U853" s="6"/>
      <c r="V853" s="6"/>
      <c r="W853" s="6"/>
      <c r="X853" s="6"/>
      <c r="Y853" s="6"/>
      <c r="Z853" s="6"/>
    </row>
    <row r="854" ht="12.75" customHeight="1">
      <c r="A854" s="70">
        <v>852.0</v>
      </c>
      <c r="B854" s="70">
        <v>10852.0</v>
      </c>
      <c r="C854" s="70" t="s">
        <v>7</v>
      </c>
      <c r="D854" s="71" t="s">
        <v>1476</v>
      </c>
      <c r="E854" s="70" t="e">
        <v>#N/A</v>
      </c>
      <c r="F854" s="70" t="e">
        <v>#N/A</v>
      </c>
      <c r="G854" s="72" t="e">
        <v>#N/A</v>
      </c>
      <c r="H854" s="6"/>
      <c r="I854" s="6"/>
      <c r="J854" s="6"/>
      <c r="K854" s="6"/>
      <c r="L854" s="6"/>
      <c r="M854" s="6"/>
      <c r="N854" s="6"/>
      <c r="O854" s="6"/>
      <c r="P854" s="6"/>
      <c r="Q854" s="6"/>
      <c r="R854" s="6"/>
      <c r="S854" s="6"/>
      <c r="T854" s="6"/>
      <c r="U854" s="6"/>
      <c r="V854" s="6"/>
      <c r="W854" s="6"/>
      <c r="X854" s="6"/>
      <c r="Y854" s="6"/>
      <c r="Z854" s="6"/>
    </row>
    <row r="855" ht="12.75" customHeight="1">
      <c r="A855" s="37">
        <v>853.0</v>
      </c>
      <c r="B855" s="37">
        <v>10853.0</v>
      </c>
      <c r="C855" s="37" t="s">
        <v>34</v>
      </c>
      <c r="D855" s="38" t="s">
        <v>1477</v>
      </c>
      <c r="E855" s="37" t="e">
        <v>#N/A</v>
      </c>
      <c r="F855" s="37" t="e">
        <v>#N/A</v>
      </c>
      <c r="G855" s="39" t="e">
        <v>#N/A</v>
      </c>
      <c r="H855" s="6"/>
      <c r="I855" s="6"/>
      <c r="J855" s="6"/>
      <c r="K855" s="6"/>
      <c r="L855" s="6"/>
      <c r="M855" s="6"/>
      <c r="N855" s="6"/>
      <c r="O855" s="6"/>
      <c r="P855" s="6"/>
      <c r="Q855" s="6"/>
      <c r="R855" s="6"/>
      <c r="S855" s="6"/>
      <c r="T855" s="6"/>
      <c r="U855" s="6"/>
      <c r="V855" s="6"/>
      <c r="W855" s="6"/>
      <c r="X855" s="6"/>
      <c r="Y855" s="6"/>
      <c r="Z855" s="6"/>
    </row>
    <row r="856" ht="12.75" customHeight="1">
      <c r="A856" s="40">
        <v>854.0</v>
      </c>
      <c r="B856" s="40">
        <v>10854.0</v>
      </c>
      <c r="C856" s="40" t="s">
        <v>34</v>
      </c>
      <c r="D856" s="41" t="s">
        <v>1478</v>
      </c>
      <c r="E856" s="40" t="e">
        <v>#N/A</v>
      </c>
      <c r="F856" s="40" t="e">
        <v>#N/A</v>
      </c>
      <c r="G856" s="42" t="e">
        <v>#N/A</v>
      </c>
      <c r="H856" s="6"/>
      <c r="I856" s="6"/>
      <c r="J856" s="6"/>
      <c r="K856" s="6"/>
      <c r="L856" s="6"/>
      <c r="M856" s="6"/>
      <c r="N856" s="6"/>
      <c r="O856" s="6"/>
      <c r="P856" s="6"/>
      <c r="Q856" s="6"/>
      <c r="R856" s="6"/>
      <c r="S856" s="6"/>
      <c r="T856" s="6"/>
      <c r="U856" s="6"/>
      <c r="V856" s="6"/>
      <c r="W856" s="6"/>
      <c r="X856" s="6"/>
      <c r="Y856" s="6"/>
      <c r="Z856" s="6"/>
    </row>
    <row r="857" ht="12.75" customHeight="1">
      <c r="A857" s="37">
        <v>855.0</v>
      </c>
      <c r="B857" s="37">
        <v>10855.0</v>
      </c>
      <c r="C857" s="37" t="s">
        <v>34</v>
      </c>
      <c r="D857" s="38" t="s">
        <v>1479</v>
      </c>
      <c r="E857" s="37" t="e">
        <v>#N/A</v>
      </c>
      <c r="F857" s="37" t="e">
        <v>#N/A</v>
      </c>
      <c r="G857" s="39" t="e">
        <v>#N/A</v>
      </c>
      <c r="H857" s="6"/>
      <c r="I857" s="6"/>
      <c r="J857" s="6"/>
      <c r="K857" s="6"/>
      <c r="L857" s="6"/>
      <c r="M857" s="6"/>
      <c r="N857" s="6"/>
      <c r="O857" s="6"/>
      <c r="P857" s="6"/>
      <c r="Q857" s="6"/>
      <c r="R857" s="6"/>
      <c r="S857" s="6"/>
      <c r="T857" s="6"/>
      <c r="U857" s="6"/>
      <c r="V857" s="6"/>
      <c r="W857" s="6"/>
      <c r="X857" s="6"/>
      <c r="Y857" s="6"/>
      <c r="Z857" s="6"/>
    </row>
    <row r="858" ht="12.75" customHeight="1">
      <c r="A858" s="89">
        <v>856.0</v>
      </c>
      <c r="B858" s="89">
        <v>10856.0</v>
      </c>
      <c r="C858" s="89" t="s">
        <v>7</v>
      </c>
      <c r="D858" s="90" t="s">
        <v>1480</v>
      </c>
      <c r="E858" s="89" t="e">
        <v>#N/A</v>
      </c>
      <c r="F858" s="89" t="e">
        <v>#N/A</v>
      </c>
      <c r="G858" s="91" t="e">
        <v>#N/A</v>
      </c>
      <c r="H858" s="6"/>
      <c r="I858" s="6"/>
      <c r="J858" s="6"/>
      <c r="K858" s="6"/>
      <c r="L858" s="6"/>
      <c r="M858" s="6"/>
      <c r="N858" s="6"/>
      <c r="O858" s="6"/>
      <c r="P858" s="6"/>
      <c r="Q858" s="6"/>
      <c r="R858" s="6"/>
      <c r="S858" s="6"/>
      <c r="T858" s="6"/>
      <c r="U858" s="6"/>
      <c r="V858" s="6"/>
      <c r="W858" s="6"/>
      <c r="X858" s="6"/>
      <c r="Y858" s="6"/>
      <c r="Z858" s="6"/>
    </row>
    <row r="859" ht="12.75" customHeight="1">
      <c r="A859" s="89">
        <v>857.0</v>
      </c>
      <c r="B859" s="89">
        <v>10857.0</v>
      </c>
      <c r="C859" s="89" t="s">
        <v>7</v>
      </c>
      <c r="D859" s="90" t="s">
        <v>1481</v>
      </c>
      <c r="E859" s="89" t="e">
        <v>#N/A</v>
      </c>
      <c r="F859" s="89" t="e">
        <v>#N/A</v>
      </c>
      <c r="G859" s="91" t="e">
        <v>#N/A</v>
      </c>
      <c r="H859" s="6"/>
      <c r="I859" s="6"/>
      <c r="J859" s="6"/>
      <c r="K859" s="6"/>
      <c r="L859" s="6"/>
      <c r="M859" s="6"/>
      <c r="N859" s="6"/>
      <c r="O859" s="6"/>
      <c r="P859" s="6"/>
      <c r="Q859" s="6"/>
      <c r="R859" s="6"/>
      <c r="S859" s="6"/>
      <c r="T859" s="6"/>
      <c r="U859" s="6"/>
      <c r="V859" s="6"/>
      <c r="W859" s="6"/>
      <c r="X859" s="6"/>
      <c r="Y859" s="6"/>
      <c r="Z859" s="6"/>
    </row>
    <row r="860" ht="12.75" customHeight="1">
      <c r="A860" s="92">
        <v>858.0</v>
      </c>
      <c r="B860" s="92">
        <v>10858.0</v>
      </c>
      <c r="C860" s="92" t="s">
        <v>7</v>
      </c>
      <c r="D860" s="93" t="s">
        <v>1482</v>
      </c>
      <c r="E860" s="92" t="e">
        <v>#N/A</v>
      </c>
      <c r="F860" s="92" t="e">
        <v>#N/A</v>
      </c>
      <c r="G860" s="94" t="e">
        <v>#N/A</v>
      </c>
      <c r="H860" s="6"/>
      <c r="I860" s="6"/>
      <c r="J860" s="6"/>
      <c r="K860" s="6"/>
      <c r="L860" s="6"/>
      <c r="M860" s="6"/>
      <c r="N860" s="6"/>
      <c r="O860" s="6"/>
      <c r="P860" s="6"/>
      <c r="Q860" s="6"/>
      <c r="R860" s="6"/>
      <c r="S860" s="6"/>
      <c r="T860" s="6"/>
      <c r="U860" s="6"/>
      <c r="V860" s="6"/>
      <c r="W860" s="6"/>
      <c r="X860" s="6"/>
      <c r="Y860" s="6"/>
      <c r="Z860" s="6"/>
    </row>
    <row r="861" ht="12.75" customHeight="1">
      <c r="A861" s="40">
        <v>859.0</v>
      </c>
      <c r="B861" s="40">
        <v>10859.0</v>
      </c>
      <c r="C861" s="40" t="s">
        <v>20</v>
      </c>
      <c r="D861" s="41" t="s">
        <v>1483</v>
      </c>
      <c r="E861" s="40" t="e">
        <v>#N/A</v>
      </c>
      <c r="F861" s="40" t="e">
        <v>#N/A</v>
      </c>
      <c r="G861" s="42" t="e">
        <v>#N/A</v>
      </c>
      <c r="H861" s="6"/>
      <c r="I861" s="6"/>
      <c r="J861" s="6"/>
      <c r="K861" s="6"/>
      <c r="L861" s="6"/>
      <c r="M861" s="6"/>
      <c r="N861" s="6"/>
      <c r="O861" s="6"/>
      <c r="P861" s="6"/>
      <c r="Q861" s="6"/>
      <c r="R861" s="6"/>
      <c r="S861" s="6"/>
      <c r="T861" s="6"/>
      <c r="U861" s="6"/>
      <c r="V861" s="6"/>
      <c r="W861" s="6"/>
      <c r="X861" s="6"/>
      <c r="Y861" s="6"/>
      <c r="Z861" s="6"/>
    </row>
    <row r="862" ht="12.75" customHeight="1">
      <c r="A862" s="92">
        <v>860.0</v>
      </c>
      <c r="B862" s="92">
        <v>10860.0</v>
      </c>
      <c r="C862" s="92" t="s">
        <v>7</v>
      </c>
      <c r="D862" s="93" t="s">
        <v>1484</v>
      </c>
      <c r="E862" s="92" t="e">
        <v>#N/A</v>
      </c>
      <c r="F862" s="92" t="e">
        <v>#N/A</v>
      </c>
      <c r="G862" s="94" t="e">
        <v>#N/A</v>
      </c>
      <c r="H862" s="6"/>
      <c r="I862" s="6"/>
      <c r="J862" s="6"/>
      <c r="K862" s="6"/>
      <c r="L862" s="6"/>
      <c r="M862" s="6"/>
      <c r="N862" s="6"/>
      <c r="O862" s="6"/>
      <c r="P862" s="6"/>
      <c r="Q862" s="6"/>
      <c r="R862" s="6"/>
      <c r="S862" s="6"/>
      <c r="T862" s="6"/>
      <c r="U862" s="6"/>
      <c r="V862" s="6"/>
      <c r="W862" s="6"/>
      <c r="X862" s="6"/>
      <c r="Y862" s="6"/>
      <c r="Z862" s="6"/>
    </row>
    <row r="863" ht="12.75" customHeight="1">
      <c r="A863" s="40">
        <v>861.0</v>
      </c>
      <c r="B863" s="40">
        <v>10861.0</v>
      </c>
      <c r="C863" s="40" t="s">
        <v>20</v>
      </c>
      <c r="D863" s="41" t="s">
        <v>1485</v>
      </c>
      <c r="E863" s="40" t="e">
        <v>#N/A</v>
      </c>
      <c r="F863" s="40" t="e">
        <v>#N/A</v>
      </c>
      <c r="G863" s="42" t="e">
        <v>#N/A</v>
      </c>
      <c r="H863" s="6"/>
      <c r="I863" s="6"/>
      <c r="J863" s="6"/>
      <c r="K863" s="6"/>
      <c r="L863" s="6"/>
      <c r="M863" s="6"/>
      <c r="N863" s="6"/>
      <c r="O863" s="6"/>
      <c r="P863" s="6"/>
      <c r="Q863" s="6"/>
      <c r="R863" s="6"/>
      <c r="S863" s="6"/>
      <c r="T863" s="6"/>
      <c r="U863" s="6"/>
      <c r="V863" s="6"/>
      <c r="W863" s="6"/>
      <c r="X863" s="6"/>
      <c r="Y863" s="6"/>
      <c r="Z863" s="6"/>
    </row>
    <row r="864" ht="12.75" customHeight="1">
      <c r="A864" s="10">
        <v>862.0</v>
      </c>
      <c r="B864" s="10">
        <v>10862.0</v>
      </c>
      <c r="C864" s="10" t="s">
        <v>20</v>
      </c>
      <c r="D864" s="11" t="s">
        <v>1486</v>
      </c>
      <c r="E864" s="10" t="e">
        <v>#N/A</v>
      </c>
      <c r="F864" s="10" t="e">
        <v>#N/A</v>
      </c>
      <c r="G864" s="12" t="e">
        <v>#N/A</v>
      </c>
      <c r="H864" s="6"/>
      <c r="I864" s="6"/>
      <c r="J864" s="6"/>
      <c r="K864" s="6"/>
      <c r="L864" s="6"/>
      <c r="M864" s="6"/>
      <c r="N864" s="6"/>
      <c r="O864" s="6"/>
      <c r="P864" s="6"/>
      <c r="Q864" s="6"/>
      <c r="R864" s="6"/>
      <c r="S864" s="6"/>
      <c r="T864" s="6"/>
      <c r="U864" s="6"/>
      <c r="V864" s="6"/>
      <c r="W864" s="6"/>
      <c r="X864" s="6"/>
      <c r="Y864" s="6"/>
      <c r="Z864" s="6"/>
    </row>
    <row r="865" ht="12.75" customHeight="1">
      <c r="A865" s="40">
        <v>863.0</v>
      </c>
      <c r="B865" s="40">
        <v>10863.0</v>
      </c>
      <c r="C865" s="40" t="s">
        <v>7</v>
      </c>
      <c r="D865" s="41" t="s">
        <v>1487</v>
      </c>
      <c r="E865" s="40" t="e">
        <v>#N/A</v>
      </c>
      <c r="F865" s="40" t="e">
        <v>#N/A</v>
      </c>
      <c r="G865" s="42" t="e">
        <v>#N/A</v>
      </c>
      <c r="H865" s="6"/>
      <c r="I865" s="6"/>
      <c r="J865" s="6"/>
      <c r="K865" s="6"/>
      <c r="L865" s="6"/>
      <c r="M865" s="6"/>
      <c r="N865" s="6"/>
      <c r="O865" s="6"/>
      <c r="P865" s="6"/>
      <c r="Q865" s="6"/>
      <c r="R865" s="6"/>
      <c r="S865" s="6"/>
      <c r="T865" s="6"/>
      <c r="U865" s="6"/>
      <c r="V865" s="6"/>
      <c r="W865" s="6"/>
      <c r="X865" s="6"/>
      <c r="Y865" s="6"/>
      <c r="Z865" s="6"/>
    </row>
    <row r="866" ht="12.75" customHeight="1">
      <c r="A866" s="10">
        <v>864.0</v>
      </c>
      <c r="B866" s="10">
        <v>10864.0</v>
      </c>
      <c r="C866" s="10" t="s">
        <v>7</v>
      </c>
      <c r="D866" s="11" t="s">
        <v>1488</v>
      </c>
      <c r="E866" s="10" t="e">
        <v>#N/A</v>
      </c>
      <c r="F866" s="10" t="e">
        <v>#N/A</v>
      </c>
      <c r="G866" s="12" t="e">
        <v>#N/A</v>
      </c>
      <c r="H866" s="6"/>
      <c r="I866" s="6"/>
      <c r="J866" s="6"/>
      <c r="K866" s="6"/>
      <c r="L866" s="6"/>
      <c r="M866" s="6"/>
      <c r="N866" s="6"/>
      <c r="O866" s="6"/>
      <c r="P866" s="6"/>
      <c r="Q866" s="6"/>
      <c r="R866" s="6"/>
      <c r="S866" s="6"/>
      <c r="T866" s="6"/>
      <c r="U866" s="6"/>
      <c r="V866" s="6"/>
      <c r="W866" s="6"/>
      <c r="X866" s="6"/>
      <c r="Y866" s="6"/>
      <c r="Z866" s="6"/>
    </row>
    <row r="867" ht="12.75" customHeight="1">
      <c r="A867" s="40">
        <v>865.0</v>
      </c>
      <c r="B867" s="40">
        <v>10865.0</v>
      </c>
      <c r="C867" s="40" t="s">
        <v>7</v>
      </c>
      <c r="D867" s="41" t="s">
        <v>1489</v>
      </c>
      <c r="E867" s="40" t="e">
        <v>#N/A</v>
      </c>
      <c r="F867" s="40" t="e">
        <v>#N/A</v>
      </c>
      <c r="G867" s="42" t="e">
        <v>#N/A</v>
      </c>
      <c r="H867" s="6"/>
      <c r="I867" s="6"/>
      <c r="J867" s="6"/>
      <c r="K867" s="6"/>
      <c r="L867" s="6"/>
      <c r="M867" s="6"/>
      <c r="N867" s="6"/>
      <c r="O867" s="6"/>
      <c r="P867" s="6"/>
      <c r="Q867" s="6"/>
      <c r="R867" s="6"/>
      <c r="S867" s="6"/>
      <c r="T867" s="6"/>
      <c r="U867" s="6"/>
      <c r="V867" s="6"/>
      <c r="W867" s="6"/>
      <c r="X867" s="6"/>
      <c r="Y867" s="6"/>
      <c r="Z867" s="6"/>
    </row>
    <row r="868" ht="12.75" customHeight="1">
      <c r="A868" s="10">
        <v>866.0</v>
      </c>
      <c r="B868" s="10">
        <v>10866.0</v>
      </c>
      <c r="C868" s="10" t="s">
        <v>34</v>
      </c>
      <c r="D868" s="11" t="s">
        <v>1490</v>
      </c>
      <c r="E868" s="10" t="e">
        <v>#N/A</v>
      </c>
      <c r="F868" s="10" t="e">
        <v>#N/A</v>
      </c>
      <c r="G868" s="12" t="e">
        <v>#N/A</v>
      </c>
      <c r="H868" s="6"/>
      <c r="I868" s="6"/>
      <c r="J868" s="6"/>
      <c r="K868" s="6"/>
      <c r="L868" s="6"/>
      <c r="M868" s="6"/>
      <c r="N868" s="6"/>
      <c r="O868" s="6"/>
      <c r="P868" s="6"/>
      <c r="Q868" s="6"/>
      <c r="R868" s="6"/>
      <c r="S868" s="6"/>
      <c r="T868" s="6"/>
      <c r="U868" s="6"/>
      <c r="V868" s="6"/>
      <c r="W868" s="6"/>
      <c r="X868" s="6"/>
      <c r="Y868" s="6"/>
      <c r="Z868" s="6"/>
    </row>
    <row r="869" ht="12.75" customHeight="1">
      <c r="A869" s="40">
        <v>867.0</v>
      </c>
      <c r="B869" s="40">
        <v>10867.0</v>
      </c>
      <c r="C869" s="40" t="s">
        <v>7</v>
      </c>
      <c r="D869" s="41" t="s">
        <v>1491</v>
      </c>
      <c r="E869" s="40" t="e">
        <v>#N/A</v>
      </c>
      <c r="F869" s="40" t="e">
        <v>#N/A</v>
      </c>
      <c r="G869" s="42" t="e">
        <v>#N/A</v>
      </c>
      <c r="H869" s="6"/>
      <c r="I869" s="6"/>
      <c r="J869" s="6"/>
      <c r="K869" s="6"/>
      <c r="L869" s="6"/>
      <c r="M869" s="6"/>
      <c r="N869" s="6"/>
      <c r="O869" s="6"/>
      <c r="P869" s="6"/>
      <c r="Q869" s="6"/>
      <c r="R869" s="6"/>
      <c r="S869" s="6"/>
      <c r="T869" s="6"/>
      <c r="U869" s="6"/>
      <c r="V869" s="6"/>
      <c r="W869" s="6"/>
      <c r="X869" s="6"/>
      <c r="Y869" s="6"/>
      <c r="Z869" s="6"/>
    </row>
    <row r="870" ht="12.75" customHeight="1">
      <c r="A870" s="40">
        <v>868.0</v>
      </c>
      <c r="B870" s="40">
        <v>10868.0</v>
      </c>
      <c r="C870" s="40" t="s">
        <v>34</v>
      </c>
      <c r="D870" s="41" t="s">
        <v>1492</v>
      </c>
      <c r="E870" s="40" t="e">
        <v>#N/A</v>
      </c>
      <c r="F870" s="40" t="e">
        <v>#N/A</v>
      </c>
      <c r="G870" s="42" t="e">
        <v>#N/A</v>
      </c>
      <c r="H870" s="6"/>
      <c r="I870" s="6"/>
      <c r="J870" s="6"/>
      <c r="K870" s="6"/>
      <c r="L870" s="6"/>
      <c r="M870" s="6"/>
      <c r="N870" s="6"/>
      <c r="O870" s="6"/>
      <c r="P870" s="6"/>
      <c r="Q870" s="6"/>
      <c r="R870" s="6"/>
      <c r="S870" s="6"/>
      <c r="T870" s="6"/>
      <c r="U870" s="6"/>
      <c r="V870" s="6"/>
      <c r="W870" s="6"/>
      <c r="X870" s="6"/>
      <c r="Y870" s="6"/>
      <c r="Z870" s="6"/>
    </row>
    <row r="871" ht="12.75" customHeight="1">
      <c r="A871" s="10">
        <v>869.0</v>
      </c>
      <c r="B871" s="10">
        <v>10869.0</v>
      </c>
      <c r="C871" s="10" t="s">
        <v>34</v>
      </c>
      <c r="D871" s="11" t="s">
        <v>1493</v>
      </c>
      <c r="E871" s="10" t="e">
        <v>#N/A</v>
      </c>
      <c r="F871" s="10" t="e">
        <v>#N/A</v>
      </c>
      <c r="G871" s="12" t="e">
        <v>#N/A</v>
      </c>
      <c r="H871" s="6"/>
      <c r="I871" s="6"/>
      <c r="J871" s="6"/>
      <c r="K871" s="6"/>
      <c r="L871" s="6"/>
      <c r="M871" s="6"/>
      <c r="N871" s="6"/>
      <c r="O871" s="6"/>
      <c r="P871" s="6"/>
      <c r="Q871" s="6"/>
      <c r="R871" s="6"/>
      <c r="S871" s="6"/>
      <c r="T871" s="6"/>
      <c r="U871" s="6"/>
      <c r="V871" s="6"/>
      <c r="W871" s="6"/>
      <c r="X871" s="6"/>
      <c r="Y871" s="6"/>
      <c r="Z871" s="6"/>
    </row>
    <row r="872" ht="12.75" customHeight="1">
      <c r="A872" s="40">
        <v>870.0</v>
      </c>
      <c r="B872" s="40">
        <v>10870.0</v>
      </c>
      <c r="C872" s="40" t="s">
        <v>27</v>
      </c>
      <c r="D872" s="41" t="s">
        <v>1494</v>
      </c>
      <c r="E872" s="40" t="e">
        <v>#N/A</v>
      </c>
      <c r="F872" s="40" t="e">
        <v>#N/A</v>
      </c>
      <c r="G872" s="42" t="e">
        <v>#N/A</v>
      </c>
      <c r="H872" s="6"/>
      <c r="I872" s="6"/>
      <c r="J872" s="6"/>
      <c r="K872" s="6"/>
      <c r="L872" s="6"/>
      <c r="M872" s="6"/>
      <c r="N872" s="6"/>
      <c r="O872" s="6"/>
      <c r="P872" s="6"/>
      <c r="Q872" s="6"/>
      <c r="R872" s="6"/>
      <c r="S872" s="6"/>
      <c r="T872" s="6"/>
      <c r="U872" s="6"/>
      <c r="V872" s="6"/>
      <c r="W872" s="6"/>
      <c r="X872" s="6"/>
      <c r="Y872" s="6"/>
      <c r="Z872" s="6"/>
    </row>
    <row r="873" ht="12.75" customHeight="1">
      <c r="A873" s="89">
        <v>871.0</v>
      </c>
      <c r="B873" s="89">
        <v>10871.0</v>
      </c>
      <c r="C873" s="89" t="s">
        <v>7</v>
      </c>
      <c r="D873" s="90" t="s">
        <v>1495</v>
      </c>
      <c r="E873" s="89" t="e">
        <v>#N/A</v>
      </c>
      <c r="F873" s="89" t="e">
        <v>#N/A</v>
      </c>
      <c r="G873" s="91" t="e">
        <v>#N/A</v>
      </c>
      <c r="H873" s="6"/>
      <c r="I873" s="6"/>
      <c r="J873" s="6"/>
      <c r="K873" s="6"/>
      <c r="L873" s="6"/>
      <c r="M873" s="6"/>
      <c r="N873" s="6"/>
      <c r="O873" s="6"/>
      <c r="P873" s="6"/>
      <c r="Q873" s="6"/>
      <c r="R873" s="6"/>
      <c r="S873" s="6"/>
      <c r="T873" s="6"/>
      <c r="U873" s="6"/>
      <c r="V873" s="6"/>
      <c r="W873" s="6"/>
      <c r="X873" s="6"/>
      <c r="Y873" s="6"/>
      <c r="Z873" s="6"/>
    </row>
    <row r="874" ht="12.75" customHeight="1">
      <c r="A874" s="10">
        <v>872.0</v>
      </c>
      <c r="B874" s="10">
        <v>10872.0</v>
      </c>
      <c r="C874" s="10" t="s">
        <v>7</v>
      </c>
      <c r="D874" s="11" t="s">
        <v>1496</v>
      </c>
      <c r="E874" s="10" t="e">
        <v>#N/A</v>
      </c>
      <c r="F874" s="10" t="e">
        <v>#N/A</v>
      </c>
      <c r="G874" s="12" t="e">
        <v>#N/A</v>
      </c>
      <c r="H874" s="6"/>
      <c r="I874" s="6"/>
      <c r="J874" s="6"/>
      <c r="K874" s="6"/>
      <c r="L874" s="6"/>
      <c r="M874" s="6"/>
      <c r="N874" s="6"/>
      <c r="O874" s="6"/>
      <c r="P874" s="6"/>
      <c r="Q874" s="6"/>
      <c r="R874" s="6"/>
      <c r="S874" s="6"/>
      <c r="T874" s="6"/>
      <c r="U874" s="6"/>
      <c r="V874" s="6"/>
      <c r="W874" s="6"/>
      <c r="X874" s="6"/>
      <c r="Y874" s="6"/>
      <c r="Z874" s="6"/>
    </row>
    <row r="875" ht="12.75" customHeight="1">
      <c r="A875" s="40">
        <v>873.0</v>
      </c>
      <c r="B875" s="40">
        <v>10873.0</v>
      </c>
      <c r="C875" s="40" t="s">
        <v>7</v>
      </c>
      <c r="D875" s="41" t="s">
        <v>1497</v>
      </c>
      <c r="E875" s="40" t="e">
        <v>#N/A</v>
      </c>
      <c r="F875" s="40" t="e">
        <v>#N/A</v>
      </c>
      <c r="G875" s="42" t="e">
        <v>#N/A</v>
      </c>
      <c r="H875" s="6"/>
      <c r="I875" s="6"/>
      <c r="J875" s="6"/>
      <c r="K875" s="6"/>
      <c r="L875" s="6"/>
      <c r="M875" s="6"/>
      <c r="N875" s="6"/>
      <c r="O875" s="6"/>
      <c r="P875" s="6"/>
      <c r="Q875" s="6"/>
      <c r="R875" s="6"/>
      <c r="S875" s="6"/>
      <c r="T875" s="6"/>
      <c r="U875" s="6"/>
      <c r="V875" s="6"/>
      <c r="W875" s="6"/>
      <c r="X875" s="6"/>
      <c r="Y875" s="6"/>
      <c r="Z875" s="6"/>
    </row>
    <row r="876" ht="12.75" customHeight="1">
      <c r="A876" s="89">
        <v>874.0</v>
      </c>
      <c r="B876" s="89">
        <v>10874.0</v>
      </c>
      <c r="C876" s="89" t="s">
        <v>7</v>
      </c>
      <c r="D876" s="90" t="s">
        <v>1498</v>
      </c>
      <c r="E876" s="89" t="e">
        <v>#N/A</v>
      </c>
      <c r="F876" s="89" t="e">
        <v>#N/A</v>
      </c>
      <c r="G876" s="91" t="e">
        <v>#N/A</v>
      </c>
      <c r="H876" s="6"/>
      <c r="I876" s="6"/>
      <c r="J876" s="6"/>
      <c r="K876" s="6"/>
      <c r="L876" s="6"/>
      <c r="M876" s="6"/>
      <c r="N876" s="6"/>
      <c r="O876" s="6"/>
      <c r="P876" s="6"/>
      <c r="Q876" s="6"/>
      <c r="R876" s="6"/>
      <c r="S876" s="6"/>
      <c r="T876" s="6"/>
      <c r="U876" s="6"/>
      <c r="V876" s="6"/>
      <c r="W876" s="6"/>
      <c r="X876" s="6"/>
      <c r="Y876" s="6"/>
      <c r="Z876" s="6"/>
    </row>
    <row r="877" ht="12.75" customHeight="1">
      <c r="A877" s="92">
        <v>875.0</v>
      </c>
      <c r="B877" s="92">
        <v>10875.0</v>
      </c>
      <c r="C877" s="92" t="s">
        <v>7</v>
      </c>
      <c r="D877" s="93" t="s">
        <v>1499</v>
      </c>
      <c r="E877" s="92" t="e">
        <v>#N/A</v>
      </c>
      <c r="F877" s="92" t="e">
        <v>#N/A</v>
      </c>
      <c r="G877" s="94" t="e">
        <v>#N/A</v>
      </c>
      <c r="H877" s="6"/>
      <c r="I877" s="6"/>
      <c r="J877" s="6"/>
      <c r="K877" s="6"/>
      <c r="L877" s="6"/>
      <c r="M877" s="6"/>
      <c r="N877" s="6"/>
      <c r="O877" s="6"/>
      <c r="P877" s="6"/>
      <c r="Q877" s="6"/>
      <c r="R877" s="6"/>
      <c r="S877" s="6"/>
      <c r="T877" s="6"/>
      <c r="U877" s="6"/>
      <c r="V877" s="6"/>
      <c r="W877" s="6"/>
      <c r="X877" s="6"/>
      <c r="Y877" s="6"/>
      <c r="Z877" s="6"/>
    </row>
    <row r="878" ht="12.75" customHeight="1">
      <c r="A878" s="40">
        <v>876.0</v>
      </c>
      <c r="B878" s="40">
        <v>10876.0</v>
      </c>
      <c r="C878" s="40" t="s">
        <v>7</v>
      </c>
      <c r="D878" s="41" t="s">
        <v>1500</v>
      </c>
      <c r="E878" s="40" t="e">
        <v>#N/A</v>
      </c>
      <c r="F878" s="40" t="e">
        <v>#N/A</v>
      </c>
      <c r="G878" s="42" t="e">
        <v>#N/A</v>
      </c>
      <c r="H878" s="6"/>
      <c r="I878" s="6"/>
      <c r="J878" s="6"/>
      <c r="K878" s="6"/>
      <c r="L878" s="6"/>
      <c r="M878" s="6"/>
      <c r="N878" s="6"/>
      <c r="O878" s="6"/>
      <c r="P878" s="6"/>
      <c r="Q878" s="6"/>
      <c r="R878" s="6"/>
      <c r="S878" s="6"/>
      <c r="T878" s="6"/>
      <c r="U878" s="6"/>
      <c r="V878" s="6"/>
      <c r="W878" s="6"/>
      <c r="X878" s="6"/>
      <c r="Y878" s="6"/>
      <c r="Z878" s="6"/>
    </row>
    <row r="879" ht="12.75" customHeight="1">
      <c r="A879" s="89">
        <v>877.0</v>
      </c>
      <c r="B879" s="89">
        <v>10877.0</v>
      </c>
      <c r="C879" s="89" t="s">
        <v>7</v>
      </c>
      <c r="D879" s="90" t="s">
        <v>1501</v>
      </c>
      <c r="E879" s="89" t="e">
        <v>#N/A</v>
      </c>
      <c r="F879" s="89" t="e">
        <v>#N/A</v>
      </c>
      <c r="G879" s="91" t="e">
        <v>#N/A</v>
      </c>
      <c r="H879" s="6"/>
      <c r="I879" s="6"/>
      <c r="J879" s="6"/>
      <c r="K879" s="6"/>
      <c r="L879" s="6"/>
      <c r="M879" s="6"/>
      <c r="N879" s="6"/>
      <c r="O879" s="6"/>
      <c r="P879" s="6"/>
      <c r="Q879" s="6"/>
      <c r="R879" s="6"/>
      <c r="S879" s="6"/>
      <c r="T879" s="6"/>
      <c r="U879" s="6"/>
      <c r="V879" s="6"/>
      <c r="W879" s="6"/>
      <c r="X879" s="6"/>
      <c r="Y879" s="6"/>
      <c r="Z879" s="6"/>
    </row>
    <row r="880" ht="12.75" customHeight="1">
      <c r="A880" s="10">
        <v>878.0</v>
      </c>
      <c r="B880" s="10">
        <v>10878.0</v>
      </c>
      <c r="C880" s="10" t="s">
        <v>7</v>
      </c>
      <c r="D880" s="11" t="s">
        <v>1502</v>
      </c>
      <c r="E880" s="10" t="e">
        <v>#N/A</v>
      </c>
      <c r="F880" s="10" t="e">
        <v>#N/A</v>
      </c>
      <c r="G880" s="12" t="e">
        <v>#N/A</v>
      </c>
      <c r="H880" s="6"/>
      <c r="I880" s="6"/>
      <c r="J880" s="6"/>
      <c r="K880" s="6"/>
      <c r="L880" s="6"/>
      <c r="M880" s="6"/>
      <c r="N880" s="6"/>
      <c r="O880" s="6"/>
      <c r="P880" s="6"/>
      <c r="Q880" s="6"/>
      <c r="R880" s="6"/>
      <c r="S880" s="6"/>
      <c r="T880" s="6"/>
      <c r="U880" s="6"/>
      <c r="V880" s="6"/>
      <c r="W880" s="6"/>
      <c r="X880" s="6"/>
      <c r="Y880" s="6"/>
      <c r="Z880" s="6"/>
    </row>
    <row r="881" ht="12.75" customHeight="1">
      <c r="A881" s="37">
        <v>879.0</v>
      </c>
      <c r="B881" s="37">
        <v>10879.0</v>
      </c>
      <c r="C881" s="37" t="s">
        <v>34</v>
      </c>
      <c r="D881" s="38" t="s">
        <v>1503</v>
      </c>
      <c r="E881" s="37" t="e">
        <v>#N/A</v>
      </c>
      <c r="F881" s="37" t="e">
        <v>#N/A</v>
      </c>
      <c r="G881" s="39" t="e">
        <v>#N/A</v>
      </c>
      <c r="H881" s="6"/>
      <c r="I881" s="6"/>
      <c r="J881" s="6"/>
      <c r="K881" s="6"/>
      <c r="L881" s="6"/>
      <c r="M881" s="6"/>
      <c r="N881" s="6"/>
      <c r="O881" s="6"/>
      <c r="P881" s="6"/>
      <c r="Q881" s="6"/>
      <c r="R881" s="6"/>
      <c r="S881" s="6"/>
      <c r="T881" s="6"/>
      <c r="U881" s="6"/>
      <c r="V881" s="6"/>
      <c r="W881" s="6"/>
      <c r="X881" s="6"/>
      <c r="Y881" s="6"/>
      <c r="Z881" s="6"/>
    </row>
    <row r="882" ht="12.75" customHeight="1">
      <c r="A882" s="37">
        <v>880.0</v>
      </c>
      <c r="B882" s="37">
        <v>10880.0</v>
      </c>
      <c r="C882" s="37" t="s">
        <v>7</v>
      </c>
      <c r="D882" s="38" t="s">
        <v>1504</v>
      </c>
      <c r="E882" s="37" t="e">
        <v>#N/A</v>
      </c>
      <c r="F882" s="37" t="e">
        <v>#N/A</v>
      </c>
      <c r="G882" s="39" t="e">
        <v>#N/A</v>
      </c>
      <c r="H882" s="6"/>
      <c r="I882" s="6"/>
      <c r="J882" s="6"/>
      <c r="K882" s="6"/>
      <c r="L882" s="6"/>
      <c r="M882" s="6"/>
      <c r="N882" s="6"/>
      <c r="O882" s="6"/>
      <c r="P882" s="6"/>
      <c r="Q882" s="6"/>
      <c r="R882" s="6"/>
      <c r="S882" s="6"/>
      <c r="T882" s="6"/>
      <c r="U882" s="6"/>
      <c r="V882" s="6"/>
      <c r="W882" s="6"/>
      <c r="X882" s="6"/>
      <c r="Y882" s="6"/>
      <c r="Z882" s="6"/>
    </row>
    <row r="883" ht="12.75" customHeight="1">
      <c r="A883" s="70">
        <v>881.0</v>
      </c>
      <c r="B883" s="70">
        <v>10881.0</v>
      </c>
      <c r="C883" s="70" t="s">
        <v>34</v>
      </c>
      <c r="D883" s="71" t="s">
        <v>1505</v>
      </c>
      <c r="E883" s="70" t="e">
        <v>#N/A</v>
      </c>
      <c r="F883" s="70" t="e">
        <v>#N/A</v>
      </c>
      <c r="G883" s="72" t="e">
        <v>#N/A</v>
      </c>
      <c r="H883" s="6"/>
      <c r="I883" s="6"/>
      <c r="J883" s="6"/>
      <c r="K883" s="6"/>
      <c r="L883" s="6"/>
      <c r="M883" s="6"/>
      <c r="N883" s="6"/>
      <c r="O883" s="6"/>
      <c r="P883" s="6"/>
      <c r="Q883" s="6"/>
      <c r="R883" s="6"/>
      <c r="S883" s="6"/>
      <c r="T883" s="6"/>
      <c r="U883" s="6"/>
      <c r="V883" s="6"/>
      <c r="W883" s="6"/>
      <c r="X883" s="6"/>
      <c r="Y883" s="6"/>
      <c r="Z883" s="6"/>
    </row>
    <row r="884" ht="12.75" customHeight="1">
      <c r="A884" s="37">
        <v>882.0</v>
      </c>
      <c r="B884" s="37">
        <v>10882.0</v>
      </c>
      <c r="C884" s="37" t="s">
        <v>34</v>
      </c>
      <c r="D884" s="38" t="s">
        <v>1506</v>
      </c>
      <c r="E884" s="37" t="e">
        <v>#N/A</v>
      </c>
      <c r="F884" s="37" t="e">
        <v>#N/A</v>
      </c>
      <c r="G884" s="39" t="e">
        <v>#N/A</v>
      </c>
      <c r="H884" s="6"/>
      <c r="I884" s="6"/>
      <c r="J884" s="6"/>
      <c r="K884" s="6"/>
      <c r="L884" s="6"/>
      <c r="M884" s="6"/>
      <c r="N884" s="6"/>
      <c r="O884" s="6"/>
      <c r="P884" s="6"/>
      <c r="Q884" s="6"/>
      <c r="R884" s="6"/>
      <c r="S884" s="6"/>
      <c r="T884" s="6"/>
      <c r="U884" s="6"/>
      <c r="V884" s="6"/>
      <c r="W884" s="6"/>
      <c r="X884" s="6"/>
      <c r="Y884" s="6"/>
      <c r="Z884" s="6"/>
    </row>
    <row r="885" ht="12.75" customHeight="1">
      <c r="A885" s="70">
        <v>883.0</v>
      </c>
      <c r="B885" s="70">
        <v>10883.0</v>
      </c>
      <c r="C885" s="70" t="s">
        <v>27</v>
      </c>
      <c r="D885" s="71" t="s">
        <v>1507</v>
      </c>
      <c r="E885" s="70" t="e">
        <v>#N/A</v>
      </c>
      <c r="F885" s="70" t="e">
        <v>#N/A</v>
      </c>
      <c r="G885" s="72" t="e">
        <v>#N/A</v>
      </c>
      <c r="H885" s="6"/>
      <c r="I885" s="6"/>
      <c r="J885" s="6"/>
      <c r="K885" s="6"/>
      <c r="L885" s="6"/>
      <c r="M885" s="6"/>
      <c r="N885" s="6"/>
      <c r="O885" s="6"/>
      <c r="P885" s="6"/>
      <c r="Q885" s="6"/>
      <c r="R885" s="6"/>
      <c r="S885" s="6"/>
      <c r="T885" s="6"/>
      <c r="U885" s="6"/>
      <c r="V885" s="6"/>
      <c r="W885" s="6"/>
      <c r="X885" s="6"/>
      <c r="Y885" s="6"/>
      <c r="Z885" s="6"/>
    </row>
    <row r="886" ht="12.75" customHeight="1">
      <c r="A886" s="37">
        <v>884.0</v>
      </c>
      <c r="B886" s="37">
        <v>10884.0</v>
      </c>
      <c r="C886" s="37" t="s">
        <v>20</v>
      </c>
      <c r="D886" s="38" t="s">
        <v>1508</v>
      </c>
      <c r="E886" s="37" t="e">
        <v>#N/A</v>
      </c>
      <c r="F886" s="37" t="e">
        <v>#N/A</v>
      </c>
      <c r="G886" s="39" t="e">
        <v>#N/A</v>
      </c>
      <c r="H886" s="6"/>
      <c r="I886" s="6"/>
      <c r="J886" s="6"/>
      <c r="K886" s="6"/>
      <c r="L886" s="6"/>
      <c r="M886" s="6"/>
      <c r="N886" s="6"/>
      <c r="O886" s="6"/>
      <c r="P886" s="6"/>
      <c r="Q886" s="6"/>
      <c r="R886" s="6"/>
      <c r="S886" s="6"/>
      <c r="T886" s="6"/>
      <c r="U886" s="6"/>
      <c r="V886" s="6"/>
      <c r="W886" s="6"/>
      <c r="X886" s="6"/>
      <c r="Y886" s="6"/>
      <c r="Z886" s="6"/>
    </row>
    <row r="887" ht="12.75" customHeight="1">
      <c r="A887" s="37">
        <v>885.0</v>
      </c>
      <c r="B887" s="37">
        <v>10885.0</v>
      </c>
      <c r="C887" s="37" t="s">
        <v>34</v>
      </c>
      <c r="D887" s="38" t="s">
        <v>1509</v>
      </c>
      <c r="E887" s="37" t="e">
        <v>#N/A</v>
      </c>
      <c r="F887" s="37" t="e">
        <v>#N/A</v>
      </c>
      <c r="G887" s="39" t="e">
        <v>#N/A</v>
      </c>
      <c r="H887" s="6"/>
      <c r="I887" s="6"/>
      <c r="J887" s="6"/>
      <c r="K887" s="6"/>
      <c r="L887" s="6"/>
      <c r="M887" s="6"/>
      <c r="N887" s="6"/>
      <c r="O887" s="6"/>
      <c r="P887" s="6"/>
      <c r="Q887" s="6"/>
      <c r="R887" s="6"/>
      <c r="S887" s="6"/>
      <c r="T887" s="6"/>
      <c r="U887" s="6"/>
      <c r="V887" s="6"/>
      <c r="W887" s="6"/>
      <c r="X887" s="6"/>
      <c r="Y887" s="6"/>
      <c r="Z887" s="6"/>
    </row>
    <row r="888" ht="12.75" customHeight="1">
      <c r="A888" s="37">
        <v>886.0</v>
      </c>
      <c r="B888" s="37">
        <v>10886.0</v>
      </c>
      <c r="C888" s="37" t="s">
        <v>34</v>
      </c>
      <c r="D888" s="38" t="s">
        <v>1510</v>
      </c>
      <c r="E888" s="37" t="e">
        <v>#N/A</v>
      </c>
      <c r="F888" s="37" t="e">
        <v>#N/A</v>
      </c>
      <c r="G888" s="39" t="e">
        <v>#N/A</v>
      </c>
      <c r="H888" s="6"/>
      <c r="I888" s="6"/>
      <c r="J888" s="6"/>
      <c r="K888" s="6"/>
      <c r="L888" s="6"/>
      <c r="M888" s="6"/>
      <c r="N888" s="6"/>
      <c r="O888" s="6"/>
      <c r="P888" s="6"/>
      <c r="Q888" s="6"/>
      <c r="R888" s="6"/>
      <c r="S888" s="6"/>
      <c r="T888" s="6"/>
      <c r="U888" s="6"/>
      <c r="V888" s="6"/>
      <c r="W888" s="6"/>
      <c r="X888" s="6"/>
      <c r="Y888" s="6"/>
      <c r="Z888" s="6"/>
    </row>
    <row r="889" ht="12.75" customHeight="1">
      <c r="A889" s="40">
        <v>887.0</v>
      </c>
      <c r="B889" s="40">
        <v>10887.0</v>
      </c>
      <c r="C889" s="40" t="s">
        <v>34</v>
      </c>
      <c r="D889" s="41" t="s">
        <v>1511</v>
      </c>
      <c r="E889" s="40" t="e">
        <v>#N/A</v>
      </c>
      <c r="F889" s="40" t="e">
        <v>#N/A</v>
      </c>
      <c r="G889" s="42" t="e">
        <v>#N/A</v>
      </c>
      <c r="H889" s="6"/>
      <c r="I889" s="6"/>
      <c r="J889" s="6"/>
      <c r="K889" s="6"/>
      <c r="L889" s="6"/>
      <c r="M889" s="6"/>
      <c r="N889" s="6"/>
      <c r="O889" s="6"/>
      <c r="P889" s="6"/>
      <c r="Q889" s="6"/>
      <c r="R889" s="6"/>
      <c r="S889" s="6"/>
      <c r="T889" s="6"/>
      <c r="U889" s="6"/>
      <c r="V889" s="6"/>
      <c r="W889" s="6"/>
      <c r="X889" s="6"/>
      <c r="Y889" s="6"/>
      <c r="Z889" s="6"/>
    </row>
    <row r="890" ht="12.75" customHeight="1">
      <c r="A890" s="40">
        <v>888.0</v>
      </c>
      <c r="B890" s="40">
        <v>10888.0</v>
      </c>
      <c r="C890" s="40" t="s">
        <v>7</v>
      </c>
      <c r="D890" s="41" t="s">
        <v>1512</v>
      </c>
      <c r="E890" s="40" t="e">
        <v>#N/A</v>
      </c>
      <c r="F890" s="40" t="e">
        <v>#N/A</v>
      </c>
      <c r="G890" s="42" t="e">
        <v>#N/A</v>
      </c>
      <c r="H890" s="6"/>
      <c r="I890" s="6"/>
      <c r="J890" s="6"/>
      <c r="K890" s="6"/>
      <c r="L890" s="6"/>
      <c r="M890" s="6"/>
      <c r="N890" s="6"/>
      <c r="O890" s="6"/>
      <c r="P890" s="6"/>
      <c r="Q890" s="6"/>
      <c r="R890" s="6"/>
      <c r="S890" s="6"/>
      <c r="T890" s="6"/>
      <c r="U890" s="6"/>
      <c r="V890" s="6"/>
      <c r="W890" s="6"/>
      <c r="X890" s="6"/>
      <c r="Y890" s="6"/>
      <c r="Z890" s="6"/>
    </row>
    <row r="891" ht="12.75" customHeight="1">
      <c r="A891" s="92">
        <v>889.0</v>
      </c>
      <c r="B891" s="92">
        <v>10889.0</v>
      </c>
      <c r="C891" s="92" t="s">
        <v>34</v>
      </c>
      <c r="D891" s="93" t="s">
        <v>1513</v>
      </c>
      <c r="E891" s="92" t="e">
        <v>#N/A</v>
      </c>
      <c r="F891" s="92" t="e">
        <v>#N/A</v>
      </c>
      <c r="G891" s="94" t="e">
        <v>#N/A</v>
      </c>
      <c r="H891" s="6"/>
      <c r="I891" s="6"/>
      <c r="J891" s="6"/>
      <c r="K891" s="6"/>
      <c r="L891" s="6"/>
      <c r="M891" s="6"/>
      <c r="N891" s="6"/>
      <c r="O891" s="6"/>
      <c r="P891" s="6"/>
      <c r="Q891" s="6"/>
      <c r="R891" s="6"/>
      <c r="S891" s="6"/>
      <c r="T891" s="6"/>
      <c r="U891" s="6"/>
      <c r="V891" s="6"/>
      <c r="W891" s="6"/>
      <c r="X891" s="6"/>
      <c r="Y891" s="6"/>
      <c r="Z891" s="6"/>
    </row>
    <row r="892" ht="12.75" customHeight="1">
      <c r="A892" s="10">
        <v>890.0</v>
      </c>
      <c r="B892" s="10">
        <v>10890.0</v>
      </c>
      <c r="C892" s="10" t="s">
        <v>34</v>
      </c>
      <c r="D892" s="11" t="s">
        <v>1514</v>
      </c>
      <c r="E892" s="10" t="e">
        <v>#N/A</v>
      </c>
      <c r="F892" s="10" t="e">
        <v>#N/A</v>
      </c>
      <c r="G892" s="12" t="e">
        <v>#N/A</v>
      </c>
      <c r="H892" s="6"/>
      <c r="I892" s="6"/>
      <c r="J892" s="6"/>
      <c r="K892" s="6"/>
      <c r="L892" s="6"/>
      <c r="M892" s="6"/>
      <c r="N892" s="6"/>
      <c r="O892" s="6"/>
      <c r="P892" s="6"/>
      <c r="Q892" s="6"/>
      <c r="R892" s="6"/>
      <c r="S892" s="6"/>
      <c r="T892" s="6"/>
      <c r="U892" s="6"/>
      <c r="V892" s="6"/>
      <c r="W892" s="6"/>
      <c r="X892" s="6"/>
      <c r="Y892" s="6"/>
      <c r="Z892" s="6"/>
    </row>
    <row r="893" ht="12.75" hidden="1" customHeight="1">
      <c r="A893" s="10">
        <v>891.0</v>
      </c>
      <c r="B893" s="10">
        <v>10891.0</v>
      </c>
      <c r="C893" s="10" t="s">
        <v>34</v>
      </c>
      <c r="D893" s="11" t="s">
        <v>1515</v>
      </c>
      <c r="E893" s="10" t="s">
        <v>1516</v>
      </c>
      <c r="F893" s="10">
        <v>180.0</v>
      </c>
      <c r="G893" s="12">
        <v>0.0</v>
      </c>
      <c r="H893" s="6"/>
      <c r="I893" s="6"/>
      <c r="J893" s="6"/>
      <c r="K893" s="6"/>
      <c r="L893" s="6"/>
      <c r="M893" s="6"/>
      <c r="N893" s="6"/>
      <c r="O893" s="6"/>
      <c r="P893" s="6"/>
      <c r="Q893" s="6"/>
      <c r="R893" s="6"/>
      <c r="S893" s="6"/>
      <c r="T893" s="6"/>
      <c r="U893" s="6"/>
      <c r="V893" s="6"/>
      <c r="W893" s="6"/>
      <c r="X893" s="6"/>
      <c r="Y893" s="6"/>
      <c r="Z893" s="6"/>
    </row>
    <row r="894" ht="12.75" customHeight="1">
      <c r="A894" s="10">
        <v>892.0</v>
      </c>
      <c r="B894" s="10">
        <v>10892.0</v>
      </c>
      <c r="C894" s="10" t="s">
        <v>7</v>
      </c>
      <c r="D894" s="11" t="s">
        <v>1517</v>
      </c>
      <c r="E894" s="10" t="e">
        <v>#N/A</v>
      </c>
      <c r="F894" s="10" t="e">
        <v>#N/A</v>
      </c>
      <c r="G894" s="12" t="e">
        <v>#N/A</v>
      </c>
      <c r="H894" s="6"/>
      <c r="I894" s="6"/>
      <c r="J894" s="6"/>
      <c r="K894" s="6"/>
      <c r="L894" s="6"/>
      <c r="M894" s="6"/>
      <c r="N894" s="6"/>
      <c r="O894" s="6"/>
      <c r="P894" s="6"/>
      <c r="Q894" s="6"/>
      <c r="R894" s="6"/>
      <c r="S894" s="6"/>
      <c r="T894" s="6"/>
      <c r="U894" s="6"/>
      <c r="V894" s="6"/>
      <c r="W894" s="6"/>
      <c r="X894" s="6"/>
      <c r="Y894" s="6"/>
      <c r="Z894" s="6"/>
    </row>
    <row r="895" ht="12.75" customHeight="1">
      <c r="A895" s="92">
        <v>893.0</v>
      </c>
      <c r="B895" s="92">
        <v>10893.0</v>
      </c>
      <c r="C895" s="92" t="s">
        <v>7</v>
      </c>
      <c r="D895" s="93" t="s">
        <v>1518</v>
      </c>
      <c r="E895" s="92" t="e">
        <v>#N/A</v>
      </c>
      <c r="F895" s="92" t="e">
        <v>#N/A</v>
      </c>
      <c r="G895" s="94" t="e">
        <v>#N/A</v>
      </c>
      <c r="H895" s="6"/>
      <c r="I895" s="6"/>
      <c r="J895" s="6"/>
      <c r="K895" s="6"/>
      <c r="L895" s="6"/>
      <c r="M895" s="6"/>
      <c r="N895" s="6"/>
      <c r="O895" s="6"/>
      <c r="P895" s="6"/>
      <c r="Q895" s="6"/>
      <c r="R895" s="6"/>
      <c r="S895" s="6"/>
      <c r="T895" s="6"/>
      <c r="U895" s="6"/>
      <c r="V895" s="6"/>
      <c r="W895" s="6"/>
      <c r="X895" s="6"/>
      <c r="Y895" s="6"/>
      <c r="Z895" s="6"/>
    </row>
    <row r="896" ht="12.75" customHeight="1">
      <c r="A896" s="10">
        <v>894.0</v>
      </c>
      <c r="B896" s="10">
        <v>10894.0</v>
      </c>
      <c r="C896" s="10" t="s">
        <v>7</v>
      </c>
      <c r="D896" s="11" t="s">
        <v>1519</v>
      </c>
      <c r="E896" s="10" t="e">
        <v>#N/A</v>
      </c>
      <c r="F896" s="10" t="e">
        <v>#N/A</v>
      </c>
      <c r="G896" s="12" t="e">
        <v>#N/A</v>
      </c>
      <c r="H896" s="6"/>
      <c r="I896" s="6"/>
      <c r="J896" s="6"/>
      <c r="K896" s="6"/>
      <c r="L896" s="6"/>
      <c r="M896" s="6"/>
      <c r="N896" s="6"/>
      <c r="O896" s="6"/>
      <c r="P896" s="6"/>
      <c r="Q896" s="6"/>
      <c r="R896" s="6"/>
      <c r="S896" s="6"/>
      <c r="T896" s="6"/>
      <c r="U896" s="6"/>
      <c r="V896" s="6"/>
      <c r="W896" s="6"/>
      <c r="X896" s="6"/>
      <c r="Y896" s="6"/>
      <c r="Z896" s="6"/>
    </row>
    <row r="897" ht="12.75" customHeight="1">
      <c r="A897" s="92">
        <v>895.0</v>
      </c>
      <c r="B897" s="92">
        <v>10895.0</v>
      </c>
      <c r="C897" s="92" t="s">
        <v>7</v>
      </c>
      <c r="D897" s="93" t="s">
        <v>1520</v>
      </c>
      <c r="E897" s="92" t="e">
        <v>#N/A</v>
      </c>
      <c r="F897" s="92" t="e">
        <v>#N/A</v>
      </c>
      <c r="G897" s="94" t="e">
        <v>#N/A</v>
      </c>
      <c r="H897" s="6"/>
      <c r="I897" s="6"/>
      <c r="J897" s="6"/>
      <c r="K897" s="6"/>
      <c r="L897" s="6"/>
      <c r="M897" s="6"/>
      <c r="N897" s="6"/>
      <c r="O897" s="6"/>
      <c r="P897" s="6"/>
      <c r="Q897" s="6"/>
      <c r="R897" s="6"/>
      <c r="S897" s="6"/>
      <c r="T897" s="6"/>
      <c r="U897" s="6"/>
      <c r="V897" s="6"/>
      <c r="W897" s="6"/>
      <c r="X897" s="6"/>
      <c r="Y897" s="6"/>
      <c r="Z897" s="6"/>
    </row>
    <row r="898" ht="12.75" customHeight="1">
      <c r="A898" s="92">
        <v>896.0</v>
      </c>
      <c r="B898" s="92">
        <v>10896.0</v>
      </c>
      <c r="C898" s="92" t="s">
        <v>7</v>
      </c>
      <c r="D898" s="93" t="s">
        <v>1521</v>
      </c>
      <c r="E898" s="92" t="e">
        <v>#N/A</v>
      </c>
      <c r="F898" s="92" t="e">
        <v>#N/A</v>
      </c>
      <c r="G898" s="94" t="e">
        <v>#N/A</v>
      </c>
      <c r="H898" s="6"/>
      <c r="I898" s="6"/>
      <c r="J898" s="6"/>
      <c r="K898" s="6"/>
      <c r="L898" s="6"/>
      <c r="M898" s="6"/>
      <c r="N898" s="6"/>
      <c r="O898" s="6"/>
      <c r="P898" s="6"/>
      <c r="Q898" s="6"/>
      <c r="R898" s="6"/>
      <c r="S898" s="6"/>
      <c r="T898" s="6"/>
      <c r="U898" s="6"/>
      <c r="V898" s="6"/>
      <c r="W898" s="6"/>
      <c r="X898" s="6"/>
      <c r="Y898" s="6"/>
      <c r="Z898" s="6"/>
    </row>
    <row r="899" ht="12.75" customHeight="1">
      <c r="A899" s="10">
        <v>897.0</v>
      </c>
      <c r="B899" s="10">
        <v>10897.0</v>
      </c>
      <c r="C899" s="10" t="s">
        <v>20</v>
      </c>
      <c r="D899" s="11" t="s">
        <v>1522</v>
      </c>
      <c r="E899" s="10" t="e">
        <v>#N/A</v>
      </c>
      <c r="F899" s="10" t="e">
        <v>#N/A</v>
      </c>
      <c r="G899" s="12" t="e">
        <v>#N/A</v>
      </c>
      <c r="H899" s="6"/>
      <c r="I899" s="6"/>
      <c r="J899" s="6"/>
      <c r="K899" s="6"/>
      <c r="L899" s="6"/>
      <c r="M899" s="6"/>
      <c r="N899" s="6"/>
      <c r="O899" s="6"/>
      <c r="P899" s="6"/>
      <c r="Q899" s="6"/>
      <c r="R899" s="6"/>
      <c r="S899" s="6"/>
      <c r="T899" s="6"/>
      <c r="U899" s="6"/>
      <c r="V899" s="6"/>
      <c r="W899" s="6"/>
      <c r="X899" s="6"/>
      <c r="Y899" s="6"/>
      <c r="Z899" s="6"/>
    </row>
    <row r="900" ht="12.75" customHeight="1">
      <c r="A900" s="10">
        <v>898.0</v>
      </c>
      <c r="B900" s="10">
        <v>10898.0</v>
      </c>
      <c r="C900" s="10" t="s">
        <v>7</v>
      </c>
      <c r="D900" s="11" t="s">
        <v>1523</v>
      </c>
      <c r="E900" s="10" t="e">
        <v>#N/A</v>
      </c>
      <c r="F900" s="10" t="e">
        <v>#N/A</v>
      </c>
      <c r="G900" s="12" t="e">
        <v>#N/A</v>
      </c>
      <c r="H900" s="6"/>
      <c r="I900" s="6"/>
      <c r="J900" s="6"/>
      <c r="K900" s="6"/>
      <c r="L900" s="6"/>
      <c r="M900" s="6"/>
      <c r="N900" s="6"/>
      <c r="O900" s="6"/>
      <c r="P900" s="6"/>
      <c r="Q900" s="6"/>
      <c r="R900" s="6"/>
      <c r="S900" s="6"/>
      <c r="T900" s="6"/>
      <c r="U900" s="6"/>
      <c r="V900" s="6"/>
      <c r="W900" s="6"/>
      <c r="X900" s="6"/>
      <c r="Y900" s="6"/>
      <c r="Z900" s="6"/>
    </row>
    <row r="901" ht="12.75" customHeight="1">
      <c r="A901" s="10">
        <v>899.0</v>
      </c>
      <c r="B901" s="10">
        <v>10899.0</v>
      </c>
      <c r="C901" s="10" t="s">
        <v>7</v>
      </c>
      <c r="D901" s="11" t="s">
        <v>1524</v>
      </c>
      <c r="E901" s="10" t="e">
        <v>#N/A</v>
      </c>
      <c r="F901" s="10" t="e">
        <v>#N/A</v>
      </c>
      <c r="G901" s="12" t="e">
        <v>#N/A</v>
      </c>
      <c r="H901" s="6"/>
      <c r="I901" s="6"/>
      <c r="J901" s="6"/>
      <c r="K901" s="6"/>
      <c r="L901" s="6"/>
      <c r="M901" s="6"/>
      <c r="N901" s="6"/>
      <c r="O901" s="6"/>
      <c r="P901" s="6"/>
      <c r="Q901" s="6"/>
      <c r="R901" s="6"/>
      <c r="S901" s="6"/>
      <c r="T901" s="6"/>
      <c r="U901" s="6"/>
      <c r="V901" s="6"/>
      <c r="W901" s="6"/>
      <c r="X901" s="6"/>
      <c r="Y901" s="6"/>
      <c r="Z901" s="6"/>
    </row>
    <row r="902" ht="12.75" customHeight="1">
      <c r="A902" s="10">
        <v>900.0</v>
      </c>
      <c r="B902" s="10">
        <v>10900.0</v>
      </c>
      <c r="C902" s="10" t="s">
        <v>7</v>
      </c>
      <c r="D902" s="11" t="s">
        <v>1525</v>
      </c>
      <c r="E902" s="10" t="e">
        <v>#N/A</v>
      </c>
      <c r="F902" s="10" t="e">
        <v>#N/A</v>
      </c>
      <c r="G902" s="12" t="e">
        <v>#N/A</v>
      </c>
      <c r="H902" s="6"/>
      <c r="I902" s="6"/>
      <c r="J902" s="6"/>
      <c r="K902" s="6"/>
      <c r="L902" s="6"/>
      <c r="M902" s="6"/>
      <c r="N902" s="6"/>
      <c r="O902" s="6"/>
      <c r="P902" s="6"/>
      <c r="Q902" s="6"/>
      <c r="R902" s="6"/>
      <c r="S902" s="6"/>
      <c r="T902" s="6"/>
      <c r="U902" s="6"/>
      <c r="V902" s="6"/>
      <c r="W902" s="6"/>
      <c r="X902" s="6"/>
      <c r="Y902" s="6"/>
      <c r="Z902" s="6"/>
    </row>
    <row r="903" ht="12.75" customHeight="1">
      <c r="A903" s="92">
        <v>901.0</v>
      </c>
      <c r="B903" s="92">
        <v>10901.0</v>
      </c>
      <c r="C903" s="92" t="s">
        <v>7</v>
      </c>
      <c r="D903" s="93" t="s">
        <v>1526</v>
      </c>
      <c r="E903" s="92" t="e">
        <v>#N/A</v>
      </c>
      <c r="F903" s="92" t="e">
        <v>#N/A</v>
      </c>
      <c r="G903" s="94" t="e">
        <v>#N/A</v>
      </c>
      <c r="H903" s="6"/>
      <c r="I903" s="6"/>
      <c r="J903" s="6"/>
      <c r="K903" s="6"/>
      <c r="L903" s="6"/>
      <c r="M903" s="6"/>
      <c r="N903" s="6"/>
      <c r="O903" s="6"/>
      <c r="P903" s="6"/>
      <c r="Q903" s="6"/>
      <c r="R903" s="6"/>
      <c r="S903" s="6"/>
      <c r="T903" s="6"/>
      <c r="U903" s="6"/>
      <c r="V903" s="6"/>
      <c r="W903" s="6"/>
      <c r="X903" s="6"/>
      <c r="Y903" s="6"/>
      <c r="Z903" s="6"/>
    </row>
    <row r="904" ht="12.75" customHeight="1">
      <c r="A904" s="10">
        <v>902.0</v>
      </c>
      <c r="B904" s="10">
        <v>10902.0</v>
      </c>
      <c r="C904" s="10" t="s">
        <v>34</v>
      </c>
      <c r="D904" s="11" t="s">
        <v>1527</v>
      </c>
      <c r="E904" s="10" t="e">
        <v>#N/A</v>
      </c>
      <c r="F904" s="10" t="e">
        <v>#N/A</v>
      </c>
      <c r="G904" s="12" t="e">
        <v>#N/A</v>
      </c>
      <c r="H904" s="6"/>
      <c r="I904" s="6"/>
      <c r="J904" s="6"/>
      <c r="K904" s="6"/>
      <c r="L904" s="6"/>
      <c r="M904" s="6"/>
      <c r="N904" s="6"/>
      <c r="O904" s="6"/>
      <c r="P904" s="6"/>
      <c r="Q904" s="6"/>
      <c r="R904" s="6"/>
      <c r="S904" s="6"/>
      <c r="T904" s="6"/>
      <c r="U904" s="6"/>
      <c r="V904" s="6"/>
      <c r="W904" s="6"/>
      <c r="X904" s="6"/>
      <c r="Y904" s="6"/>
      <c r="Z904" s="6"/>
    </row>
    <row r="905" ht="12.75" customHeight="1">
      <c r="A905" s="10">
        <v>903.0</v>
      </c>
      <c r="B905" s="10">
        <v>10903.0</v>
      </c>
      <c r="C905" s="10" t="s">
        <v>34</v>
      </c>
      <c r="D905" s="11" t="s">
        <v>1528</v>
      </c>
      <c r="E905" s="10" t="e">
        <v>#N/A</v>
      </c>
      <c r="F905" s="10" t="e">
        <v>#N/A</v>
      </c>
      <c r="G905" s="12" t="e">
        <v>#N/A</v>
      </c>
      <c r="H905" s="6"/>
      <c r="I905" s="6"/>
      <c r="J905" s="6"/>
      <c r="K905" s="6"/>
      <c r="L905" s="6"/>
      <c r="M905" s="6"/>
      <c r="N905" s="6"/>
      <c r="O905" s="6"/>
      <c r="P905" s="6"/>
      <c r="Q905" s="6"/>
      <c r="R905" s="6"/>
      <c r="S905" s="6"/>
      <c r="T905" s="6"/>
      <c r="U905" s="6"/>
      <c r="V905" s="6"/>
      <c r="W905" s="6"/>
      <c r="X905" s="6"/>
      <c r="Y905" s="6"/>
      <c r="Z905" s="6"/>
    </row>
    <row r="906" ht="12.75" customHeight="1">
      <c r="A906" s="10">
        <v>904.0</v>
      </c>
      <c r="B906" s="10">
        <v>10904.0</v>
      </c>
      <c r="C906" s="10" t="s">
        <v>34</v>
      </c>
      <c r="D906" s="11" t="s">
        <v>1529</v>
      </c>
      <c r="E906" s="10" t="e">
        <v>#N/A</v>
      </c>
      <c r="F906" s="10" t="e">
        <v>#N/A</v>
      </c>
      <c r="G906" s="12" t="e">
        <v>#N/A</v>
      </c>
      <c r="H906" s="6"/>
      <c r="I906" s="6"/>
      <c r="J906" s="6"/>
      <c r="K906" s="6"/>
      <c r="L906" s="6"/>
      <c r="M906" s="6"/>
      <c r="N906" s="6"/>
      <c r="O906" s="6"/>
      <c r="P906" s="6"/>
      <c r="Q906" s="6"/>
      <c r="R906" s="6"/>
      <c r="S906" s="6"/>
      <c r="T906" s="6"/>
      <c r="U906" s="6"/>
      <c r="V906" s="6"/>
      <c r="W906" s="6"/>
      <c r="X906" s="6"/>
      <c r="Y906" s="6"/>
      <c r="Z906" s="6"/>
    </row>
    <row r="907" ht="12.75" customHeight="1">
      <c r="A907" s="10">
        <v>905.0</v>
      </c>
      <c r="B907" s="10">
        <v>10905.0</v>
      </c>
      <c r="C907" s="10" t="s">
        <v>7</v>
      </c>
      <c r="D907" s="11" t="s">
        <v>1530</v>
      </c>
      <c r="E907" s="10" t="e">
        <v>#N/A</v>
      </c>
      <c r="F907" s="10" t="e">
        <v>#N/A</v>
      </c>
      <c r="G907" s="12" t="e">
        <v>#N/A</v>
      </c>
      <c r="H907" s="6"/>
      <c r="I907" s="6"/>
      <c r="J907" s="6"/>
      <c r="K907" s="6"/>
      <c r="L907" s="6"/>
      <c r="M907" s="6"/>
      <c r="N907" s="6"/>
      <c r="O907" s="6"/>
      <c r="P907" s="6"/>
      <c r="Q907" s="6"/>
      <c r="R907" s="6"/>
      <c r="S907" s="6"/>
      <c r="T907" s="6"/>
      <c r="U907" s="6"/>
      <c r="V907" s="6"/>
      <c r="W907" s="6"/>
      <c r="X907" s="6"/>
      <c r="Y907" s="6"/>
      <c r="Z907" s="6"/>
    </row>
    <row r="908" ht="12.75" customHeight="1">
      <c r="A908" s="10">
        <v>906.0</v>
      </c>
      <c r="B908" s="10">
        <v>10906.0</v>
      </c>
      <c r="C908" s="10" t="s">
        <v>34</v>
      </c>
      <c r="D908" s="11" t="s">
        <v>1531</v>
      </c>
      <c r="E908" s="10" t="e">
        <v>#N/A</v>
      </c>
      <c r="F908" s="10" t="e">
        <v>#N/A</v>
      </c>
      <c r="G908" s="12" t="e">
        <v>#N/A</v>
      </c>
      <c r="H908" s="6"/>
      <c r="I908" s="6"/>
      <c r="J908" s="6"/>
      <c r="K908" s="6"/>
      <c r="L908" s="6"/>
      <c r="M908" s="6"/>
      <c r="N908" s="6"/>
      <c r="O908" s="6"/>
      <c r="P908" s="6"/>
      <c r="Q908" s="6"/>
      <c r="R908" s="6"/>
      <c r="S908" s="6"/>
      <c r="T908" s="6"/>
      <c r="U908" s="6"/>
      <c r="V908" s="6"/>
      <c r="W908" s="6"/>
      <c r="X908" s="6"/>
      <c r="Y908" s="6"/>
      <c r="Z908" s="6"/>
    </row>
    <row r="909" ht="12.75" customHeight="1">
      <c r="A909" s="10">
        <v>907.0</v>
      </c>
      <c r="B909" s="10">
        <v>10907.0</v>
      </c>
      <c r="C909" s="10" t="s">
        <v>34</v>
      </c>
      <c r="D909" s="11" t="s">
        <v>1532</v>
      </c>
      <c r="E909" s="10" t="e">
        <v>#N/A</v>
      </c>
      <c r="F909" s="10" t="e">
        <v>#N/A</v>
      </c>
      <c r="G909" s="12" t="e">
        <v>#N/A</v>
      </c>
      <c r="H909" s="6"/>
      <c r="I909" s="6"/>
      <c r="J909" s="6"/>
      <c r="K909" s="6"/>
      <c r="L909" s="6"/>
      <c r="M909" s="6"/>
      <c r="N909" s="6"/>
      <c r="O909" s="6"/>
      <c r="P909" s="6"/>
      <c r="Q909" s="6"/>
      <c r="R909" s="6"/>
      <c r="S909" s="6"/>
      <c r="T909" s="6"/>
      <c r="U909" s="6"/>
      <c r="V909" s="6"/>
      <c r="W909" s="6"/>
      <c r="X909" s="6"/>
      <c r="Y909" s="6"/>
      <c r="Z909" s="6"/>
    </row>
    <row r="910" ht="12.75" customHeight="1">
      <c r="A910" s="10">
        <v>908.0</v>
      </c>
      <c r="B910" s="10">
        <v>10908.0</v>
      </c>
      <c r="C910" s="10" t="s">
        <v>34</v>
      </c>
      <c r="D910" s="11" t="s">
        <v>1533</v>
      </c>
      <c r="E910" s="10" t="e">
        <v>#N/A</v>
      </c>
      <c r="F910" s="10" t="e">
        <v>#N/A</v>
      </c>
      <c r="G910" s="12" t="e">
        <v>#N/A</v>
      </c>
      <c r="H910" s="6"/>
      <c r="I910" s="6"/>
      <c r="J910" s="6"/>
      <c r="K910" s="6"/>
      <c r="L910" s="6"/>
      <c r="M910" s="6"/>
      <c r="N910" s="6"/>
      <c r="O910" s="6"/>
      <c r="P910" s="6"/>
      <c r="Q910" s="6"/>
      <c r="R910" s="6"/>
      <c r="S910" s="6"/>
      <c r="T910" s="6"/>
      <c r="U910" s="6"/>
      <c r="V910" s="6"/>
      <c r="W910" s="6"/>
      <c r="X910" s="6"/>
      <c r="Y910" s="6"/>
      <c r="Z910" s="6"/>
    </row>
    <row r="911" ht="12.75" customHeight="1">
      <c r="A911" s="92">
        <v>909.0</v>
      </c>
      <c r="B911" s="92">
        <v>10909.0</v>
      </c>
      <c r="C911" s="92" t="s">
        <v>7</v>
      </c>
      <c r="D911" s="93" t="s">
        <v>1534</v>
      </c>
      <c r="E911" s="92" t="e">
        <v>#N/A</v>
      </c>
      <c r="F911" s="92" t="e">
        <v>#N/A</v>
      </c>
      <c r="G911" s="94" t="e">
        <v>#N/A</v>
      </c>
      <c r="H911" s="6"/>
      <c r="I911" s="6"/>
      <c r="J911" s="6"/>
      <c r="K911" s="6"/>
      <c r="L911" s="6"/>
      <c r="M911" s="6"/>
      <c r="N911" s="6"/>
      <c r="O911" s="6"/>
      <c r="P911" s="6"/>
      <c r="Q911" s="6"/>
      <c r="R911" s="6"/>
      <c r="S911" s="6"/>
      <c r="T911" s="6"/>
      <c r="U911" s="6"/>
      <c r="V911" s="6"/>
      <c r="W911" s="6"/>
      <c r="X911" s="6"/>
      <c r="Y911" s="6"/>
      <c r="Z911" s="6"/>
    </row>
    <row r="912" ht="12.75" customHeight="1">
      <c r="A912" s="92">
        <v>910.0</v>
      </c>
      <c r="B912" s="92">
        <v>10910.0</v>
      </c>
      <c r="C912" s="92" t="s">
        <v>7</v>
      </c>
      <c r="D912" s="93" t="s">
        <v>1534</v>
      </c>
      <c r="E912" s="92" t="e">
        <v>#N/A</v>
      </c>
      <c r="F912" s="92" t="e">
        <v>#N/A</v>
      </c>
      <c r="G912" s="94" t="e">
        <v>#N/A</v>
      </c>
      <c r="H912" s="6"/>
      <c r="I912" s="6"/>
      <c r="J912" s="6"/>
      <c r="K912" s="6"/>
      <c r="L912" s="6"/>
      <c r="M912" s="6"/>
      <c r="N912" s="6"/>
      <c r="O912" s="6"/>
      <c r="P912" s="6"/>
      <c r="Q912" s="6"/>
      <c r="R912" s="6"/>
      <c r="S912" s="6"/>
      <c r="T912" s="6"/>
      <c r="U912" s="6"/>
      <c r="V912" s="6"/>
      <c r="W912" s="6"/>
      <c r="X912" s="6"/>
      <c r="Y912" s="6"/>
      <c r="Z912" s="6"/>
    </row>
    <row r="913" ht="12.75" customHeight="1">
      <c r="A913" s="10">
        <v>911.0</v>
      </c>
      <c r="B913" s="10">
        <v>10911.0</v>
      </c>
      <c r="C913" s="10" t="s">
        <v>34</v>
      </c>
      <c r="D913" s="11" t="s">
        <v>1535</v>
      </c>
      <c r="E913" s="10" t="e">
        <v>#N/A</v>
      </c>
      <c r="F913" s="10" t="e">
        <v>#N/A</v>
      </c>
      <c r="G913" s="12" t="e">
        <v>#N/A</v>
      </c>
      <c r="H913" s="6"/>
      <c r="I913" s="6"/>
      <c r="J913" s="6"/>
      <c r="K913" s="6"/>
      <c r="L913" s="6"/>
      <c r="M913" s="6"/>
      <c r="N913" s="6"/>
      <c r="O913" s="6"/>
      <c r="P913" s="6"/>
      <c r="Q913" s="6"/>
      <c r="R913" s="6"/>
      <c r="S913" s="6"/>
      <c r="T913" s="6"/>
      <c r="U913" s="6"/>
      <c r="V913" s="6"/>
      <c r="W913" s="6"/>
      <c r="X913" s="6"/>
      <c r="Y913" s="6"/>
      <c r="Z913" s="6"/>
    </row>
    <row r="914" ht="12.75" customHeight="1">
      <c r="A914" s="10">
        <v>912.0</v>
      </c>
      <c r="B914" s="10">
        <v>10912.0</v>
      </c>
      <c r="C914" s="10" t="s">
        <v>34</v>
      </c>
      <c r="D914" s="11" t="s">
        <v>1536</v>
      </c>
      <c r="E914" s="10" t="e">
        <v>#N/A</v>
      </c>
      <c r="F914" s="10" t="e">
        <v>#N/A</v>
      </c>
      <c r="G914" s="12" t="e">
        <v>#N/A</v>
      </c>
      <c r="H914" s="6"/>
      <c r="I914" s="6"/>
      <c r="J914" s="6"/>
      <c r="K914" s="6"/>
      <c r="L914" s="6"/>
      <c r="M914" s="6"/>
      <c r="N914" s="6"/>
      <c r="O914" s="6"/>
      <c r="P914" s="6"/>
      <c r="Q914" s="6"/>
      <c r="R914" s="6"/>
      <c r="S914" s="6"/>
      <c r="T914" s="6"/>
      <c r="U914" s="6"/>
      <c r="V914" s="6"/>
      <c r="W914" s="6"/>
      <c r="X914" s="6"/>
      <c r="Y914" s="6"/>
      <c r="Z914" s="6"/>
    </row>
    <row r="915" ht="12.75" customHeight="1">
      <c r="A915" s="10">
        <v>913.0</v>
      </c>
      <c r="B915" s="10">
        <v>10913.0</v>
      </c>
      <c r="C915" s="10" t="s">
        <v>34</v>
      </c>
      <c r="D915" s="11" t="s">
        <v>1537</v>
      </c>
      <c r="E915" s="10" t="e">
        <v>#N/A</v>
      </c>
      <c r="F915" s="10" t="e">
        <v>#N/A</v>
      </c>
      <c r="G915" s="12" t="e">
        <v>#N/A</v>
      </c>
      <c r="H915" s="6"/>
      <c r="I915" s="6"/>
      <c r="J915" s="6"/>
      <c r="K915" s="6"/>
      <c r="L915" s="6"/>
      <c r="M915" s="6"/>
      <c r="N915" s="6"/>
      <c r="O915" s="6"/>
      <c r="P915" s="6"/>
      <c r="Q915" s="6"/>
      <c r="R915" s="6"/>
      <c r="S915" s="6"/>
      <c r="T915" s="6"/>
      <c r="U915" s="6"/>
      <c r="V915" s="6"/>
      <c r="W915" s="6"/>
      <c r="X915" s="6"/>
      <c r="Y915" s="6"/>
      <c r="Z915" s="6"/>
    </row>
    <row r="916" ht="12.75" customHeight="1">
      <c r="A916" s="92">
        <v>914.0</v>
      </c>
      <c r="B916" s="92">
        <v>10914.0</v>
      </c>
      <c r="C916" s="92" t="s">
        <v>7</v>
      </c>
      <c r="D916" s="93" t="s">
        <v>1538</v>
      </c>
      <c r="E916" s="92" t="e">
        <v>#N/A</v>
      </c>
      <c r="F916" s="92" t="e">
        <v>#N/A</v>
      </c>
      <c r="G916" s="94" t="e">
        <v>#N/A</v>
      </c>
      <c r="H916" s="6"/>
      <c r="I916" s="6"/>
      <c r="J916" s="6"/>
      <c r="K916" s="6"/>
      <c r="L916" s="6"/>
      <c r="M916" s="6"/>
      <c r="N916" s="6"/>
      <c r="O916" s="6"/>
      <c r="P916" s="6"/>
      <c r="Q916" s="6"/>
      <c r="R916" s="6"/>
      <c r="S916" s="6"/>
      <c r="T916" s="6"/>
      <c r="U916" s="6"/>
      <c r="V916" s="6"/>
      <c r="W916" s="6"/>
      <c r="X916" s="6"/>
      <c r="Y916" s="6"/>
      <c r="Z916" s="6"/>
    </row>
    <row r="917" ht="12.75" customHeight="1">
      <c r="A917" s="10">
        <v>915.0</v>
      </c>
      <c r="B917" s="10">
        <v>10915.0</v>
      </c>
      <c r="C917" s="10" t="s">
        <v>7</v>
      </c>
      <c r="D917" s="11" t="s">
        <v>1539</v>
      </c>
      <c r="E917" s="10" t="e">
        <v>#N/A</v>
      </c>
      <c r="F917" s="10" t="e">
        <v>#N/A</v>
      </c>
      <c r="G917" s="12" t="e">
        <v>#N/A</v>
      </c>
      <c r="H917" s="6"/>
      <c r="I917" s="6"/>
      <c r="J917" s="6"/>
      <c r="K917" s="6"/>
      <c r="L917" s="6"/>
      <c r="M917" s="6"/>
      <c r="N917" s="6"/>
      <c r="O917" s="6"/>
      <c r="P917" s="6"/>
      <c r="Q917" s="6"/>
      <c r="R917" s="6"/>
      <c r="S917" s="6"/>
      <c r="T917" s="6"/>
      <c r="U917" s="6"/>
      <c r="V917" s="6"/>
      <c r="W917" s="6"/>
      <c r="X917" s="6"/>
      <c r="Y917" s="6"/>
      <c r="Z917" s="6"/>
    </row>
    <row r="918" ht="12.75" customHeight="1">
      <c r="A918" s="10">
        <v>916.0</v>
      </c>
      <c r="B918" s="10">
        <v>10916.0</v>
      </c>
      <c r="C918" s="10" t="s">
        <v>7</v>
      </c>
      <c r="D918" s="11" t="s">
        <v>1540</v>
      </c>
      <c r="E918" s="10" t="e">
        <v>#N/A</v>
      </c>
      <c r="F918" s="10" t="e">
        <v>#N/A</v>
      </c>
      <c r="G918" s="12" t="e">
        <v>#N/A</v>
      </c>
      <c r="H918" s="6"/>
      <c r="I918" s="6"/>
      <c r="J918" s="6"/>
      <c r="K918" s="6"/>
      <c r="L918" s="6"/>
      <c r="M918" s="6"/>
      <c r="N918" s="6"/>
      <c r="O918" s="6"/>
      <c r="P918" s="6"/>
      <c r="Q918" s="6"/>
      <c r="R918" s="6"/>
      <c r="S918" s="6"/>
      <c r="T918" s="6"/>
      <c r="U918" s="6"/>
      <c r="V918" s="6"/>
      <c r="W918" s="6"/>
      <c r="X918" s="6"/>
      <c r="Y918" s="6"/>
      <c r="Z918" s="6"/>
    </row>
    <row r="919" ht="12.75" customHeight="1">
      <c r="A919" s="10">
        <v>917.0</v>
      </c>
      <c r="B919" s="10">
        <v>10917.0</v>
      </c>
      <c r="C919" s="10" t="s">
        <v>20</v>
      </c>
      <c r="D919" s="11" t="s">
        <v>1541</v>
      </c>
      <c r="E919" s="10" t="e">
        <v>#N/A</v>
      </c>
      <c r="F919" s="10" t="e">
        <v>#N/A</v>
      </c>
      <c r="G919" s="12" t="e">
        <v>#N/A</v>
      </c>
      <c r="H919" s="6"/>
      <c r="I919" s="6"/>
      <c r="J919" s="6"/>
      <c r="K919" s="6"/>
      <c r="L919" s="6"/>
      <c r="M919" s="6"/>
      <c r="N919" s="6"/>
      <c r="O919" s="6"/>
      <c r="P919" s="6"/>
      <c r="Q919" s="6"/>
      <c r="R919" s="6"/>
      <c r="S919" s="6"/>
      <c r="T919" s="6"/>
      <c r="U919" s="6"/>
      <c r="V919" s="6"/>
      <c r="W919" s="6"/>
      <c r="X919" s="6"/>
      <c r="Y919" s="6"/>
      <c r="Z919" s="6"/>
    </row>
    <row r="920" ht="12.75" customHeight="1">
      <c r="A920" s="10">
        <v>918.0</v>
      </c>
      <c r="B920" s="10">
        <v>10918.0</v>
      </c>
      <c r="C920" s="10" t="s">
        <v>7</v>
      </c>
      <c r="D920" s="11" t="s">
        <v>1542</v>
      </c>
      <c r="E920" s="10" t="e">
        <v>#N/A</v>
      </c>
      <c r="F920" s="10" t="e">
        <v>#N/A</v>
      </c>
      <c r="G920" s="12" t="e">
        <v>#N/A</v>
      </c>
      <c r="H920" s="6"/>
      <c r="I920" s="6"/>
      <c r="J920" s="6"/>
      <c r="K920" s="6"/>
      <c r="L920" s="6"/>
      <c r="M920" s="6"/>
      <c r="N920" s="6"/>
      <c r="O920" s="6"/>
      <c r="P920" s="6"/>
      <c r="Q920" s="6"/>
      <c r="R920" s="6"/>
      <c r="S920" s="6"/>
      <c r="T920" s="6"/>
      <c r="U920" s="6"/>
      <c r="V920" s="6"/>
      <c r="W920" s="6"/>
      <c r="X920" s="6"/>
      <c r="Y920" s="6"/>
      <c r="Z920" s="6"/>
    </row>
    <row r="921" ht="12.75" customHeight="1">
      <c r="A921" s="10">
        <v>919.0</v>
      </c>
      <c r="B921" s="10">
        <v>10919.0</v>
      </c>
      <c r="C921" s="10" t="s">
        <v>7</v>
      </c>
      <c r="D921" s="11" t="s">
        <v>1543</v>
      </c>
      <c r="E921" s="10" t="e">
        <v>#N/A</v>
      </c>
      <c r="F921" s="10" t="e">
        <v>#N/A</v>
      </c>
      <c r="G921" s="12" t="e">
        <v>#N/A</v>
      </c>
      <c r="H921" s="6"/>
      <c r="I921" s="6"/>
      <c r="J921" s="6"/>
      <c r="K921" s="6"/>
      <c r="L921" s="6"/>
      <c r="M921" s="6"/>
      <c r="N921" s="6"/>
      <c r="O921" s="6"/>
      <c r="P921" s="6"/>
      <c r="Q921" s="6"/>
      <c r="R921" s="6"/>
      <c r="S921" s="6"/>
      <c r="T921" s="6"/>
      <c r="U921" s="6"/>
      <c r="V921" s="6"/>
      <c r="W921" s="6"/>
      <c r="X921" s="6"/>
      <c r="Y921" s="6"/>
      <c r="Z921" s="6"/>
    </row>
    <row r="922" ht="12.75" customHeight="1">
      <c r="A922" s="10">
        <v>920.0</v>
      </c>
      <c r="B922" s="10">
        <v>10920.0</v>
      </c>
      <c r="C922" s="10" t="s">
        <v>7</v>
      </c>
      <c r="D922" s="11" t="s">
        <v>1544</v>
      </c>
      <c r="E922" s="10" t="e">
        <v>#N/A</v>
      </c>
      <c r="F922" s="10" t="e">
        <v>#N/A</v>
      </c>
      <c r="G922" s="12" t="e">
        <v>#N/A</v>
      </c>
      <c r="H922" s="6"/>
      <c r="I922" s="6"/>
      <c r="J922" s="6"/>
      <c r="K922" s="6"/>
      <c r="L922" s="6"/>
      <c r="M922" s="6"/>
      <c r="N922" s="6"/>
      <c r="O922" s="6"/>
      <c r="P922" s="6"/>
      <c r="Q922" s="6"/>
      <c r="R922" s="6"/>
      <c r="S922" s="6"/>
      <c r="T922" s="6"/>
      <c r="U922" s="6"/>
      <c r="V922" s="6"/>
      <c r="W922" s="6"/>
      <c r="X922" s="6"/>
      <c r="Y922" s="6"/>
      <c r="Z922" s="6"/>
    </row>
    <row r="923" ht="12.75" customHeight="1">
      <c r="A923" s="10">
        <v>921.0</v>
      </c>
      <c r="B923" s="10">
        <v>10921.0</v>
      </c>
      <c r="C923" s="10" t="s">
        <v>34</v>
      </c>
      <c r="D923" s="11" t="s">
        <v>1545</v>
      </c>
      <c r="E923" s="10" t="e">
        <v>#N/A</v>
      </c>
      <c r="F923" s="10" t="e">
        <v>#N/A</v>
      </c>
      <c r="G923" s="12" t="e">
        <v>#N/A</v>
      </c>
      <c r="H923" s="6"/>
      <c r="I923" s="6"/>
      <c r="J923" s="6"/>
      <c r="K923" s="6"/>
      <c r="L923" s="6"/>
      <c r="M923" s="6"/>
      <c r="N923" s="6"/>
      <c r="O923" s="6"/>
      <c r="P923" s="6"/>
      <c r="Q923" s="6"/>
      <c r="R923" s="6"/>
      <c r="S923" s="6"/>
      <c r="T923" s="6"/>
      <c r="U923" s="6"/>
      <c r="V923" s="6"/>
      <c r="W923" s="6"/>
      <c r="X923" s="6"/>
      <c r="Y923" s="6"/>
      <c r="Z923" s="6"/>
    </row>
    <row r="924" ht="12.75" customHeight="1">
      <c r="A924" s="10">
        <v>922.0</v>
      </c>
      <c r="B924" s="10">
        <v>10922.0</v>
      </c>
      <c r="C924" s="10" t="s">
        <v>34</v>
      </c>
      <c r="D924" s="11" t="s">
        <v>1546</v>
      </c>
      <c r="E924" s="10" t="e">
        <v>#N/A</v>
      </c>
      <c r="F924" s="10" t="e">
        <v>#N/A</v>
      </c>
      <c r="G924" s="12" t="e">
        <v>#N/A</v>
      </c>
      <c r="H924" s="6"/>
      <c r="I924" s="6"/>
      <c r="J924" s="6"/>
      <c r="K924" s="6"/>
      <c r="L924" s="6"/>
      <c r="M924" s="6"/>
      <c r="N924" s="6"/>
      <c r="O924" s="6"/>
      <c r="P924" s="6"/>
      <c r="Q924" s="6"/>
      <c r="R924" s="6"/>
      <c r="S924" s="6"/>
      <c r="T924" s="6"/>
      <c r="U924" s="6"/>
      <c r="V924" s="6"/>
      <c r="W924" s="6"/>
      <c r="X924" s="6"/>
      <c r="Y924" s="6"/>
      <c r="Z924" s="6"/>
    </row>
    <row r="925" ht="12.75" customHeight="1">
      <c r="A925" s="10">
        <v>923.0</v>
      </c>
      <c r="B925" s="10">
        <v>10923.0</v>
      </c>
      <c r="C925" s="10" t="s">
        <v>34</v>
      </c>
      <c r="D925" s="11" t="s">
        <v>1547</v>
      </c>
      <c r="E925" s="10" t="e">
        <v>#N/A</v>
      </c>
      <c r="F925" s="10" t="e">
        <v>#N/A</v>
      </c>
      <c r="G925" s="12" t="e">
        <v>#N/A</v>
      </c>
      <c r="H925" s="6"/>
      <c r="I925" s="6"/>
      <c r="J925" s="6"/>
      <c r="K925" s="6"/>
      <c r="L925" s="6"/>
      <c r="M925" s="6"/>
      <c r="N925" s="6"/>
      <c r="O925" s="6"/>
      <c r="P925" s="6"/>
      <c r="Q925" s="6"/>
      <c r="R925" s="6"/>
      <c r="S925" s="6"/>
      <c r="T925" s="6"/>
      <c r="U925" s="6"/>
      <c r="V925" s="6"/>
      <c r="W925" s="6"/>
      <c r="X925" s="6"/>
      <c r="Y925" s="6"/>
      <c r="Z925" s="6"/>
    </row>
    <row r="926" ht="12.75" customHeight="1">
      <c r="A926" s="10">
        <v>924.0</v>
      </c>
      <c r="B926" s="10">
        <v>10924.0</v>
      </c>
      <c r="C926" s="10" t="s">
        <v>34</v>
      </c>
      <c r="D926" s="11" t="s">
        <v>1548</v>
      </c>
      <c r="E926" s="10" t="e">
        <v>#N/A</v>
      </c>
      <c r="F926" s="10" t="e">
        <v>#N/A</v>
      </c>
      <c r="G926" s="12" t="e">
        <v>#N/A</v>
      </c>
      <c r="H926" s="6"/>
      <c r="I926" s="6"/>
      <c r="J926" s="6"/>
      <c r="K926" s="6"/>
      <c r="L926" s="6"/>
      <c r="M926" s="6"/>
      <c r="N926" s="6"/>
      <c r="O926" s="6"/>
      <c r="P926" s="6"/>
      <c r="Q926" s="6"/>
      <c r="R926" s="6"/>
      <c r="S926" s="6"/>
      <c r="T926" s="6"/>
      <c r="U926" s="6"/>
      <c r="V926" s="6"/>
      <c r="W926" s="6"/>
      <c r="X926" s="6"/>
      <c r="Y926" s="6"/>
      <c r="Z926" s="6"/>
    </row>
    <row r="927" ht="12.75" customHeight="1">
      <c r="A927" s="10">
        <v>925.0</v>
      </c>
      <c r="B927" s="10">
        <v>10925.0</v>
      </c>
      <c r="C927" s="10" t="s">
        <v>7</v>
      </c>
      <c r="D927" s="11" t="s">
        <v>1549</v>
      </c>
      <c r="E927" s="10" t="e">
        <v>#N/A</v>
      </c>
      <c r="F927" s="10" t="e">
        <v>#N/A</v>
      </c>
      <c r="G927" s="12" t="e">
        <v>#N/A</v>
      </c>
      <c r="H927" s="6"/>
      <c r="I927" s="6"/>
      <c r="J927" s="6"/>
      <c r="K927" s="6"/>
      <c r="L927" s="6"/>
      <c r="M927" s="6"/>
      <c r="N927" s="6"/>
      <c r="O927" s="6"/>
      <c r="P927" s="6"/>
      <c r="Q927" s="6"/>
      <c r="R927" s="6"/>
      <c r="S927" s="6"/>
      <c r="T927" s="6"/>
      <c r="U927" s="6"/>
      <c r="V927" s="6"/>
      <c r="W927" s="6"/>
      <c r="X927" s="6"/>
      <c r="Y927" s="6"/>
      <c r="Z927" s="6"/>
    </row>
    <row r="928" ht="12.75" customHeight="1">
      <c r="A928" s="10">
        <v>926.0</v>
      </c>
      <c r="B928" s="10">
        <v>10926.0</v>
      </c>
      <c r="C928" s="10" t="s">
        <v>7</v>
      </c>
      <c r="D928" s="11" t="s">
        <v>1550</v>
      </c>
      <c r="E928" s="10" t="e">
        <v>#N/A</v>
      </c>
      <c r="F928" s="10" t="e">
        <v>#N/A</v>
      </c>
      <c r="G928" s="12" t="e">
        <v>#N/A</v>
      </c>
      <c r="H928" s="6"/>
      <c r="I928" s="6"/>
      <c r="J928" s="6"/>
      <c r="K928" s="6"/>
      <c r="L928" s="6"/>
      <c r="M928" s="6"/>
      <c r="N928" s="6"/>
      <c r="O928" s="6"/>
      <c r="P928" s="6"/>
      <c r="Q928" s="6"/>
      <c r="R928" s="6"/>
      <c r="S928" s="6"/>
      <c r="T928" s="6"/>
      <c r="U928" s="6"/>
      <c r="V928" s="6"/>
      <c r="W928" s="6"/>
      <c r="X928" s="6"/>
      <c r="Y928" s="6"/>
      <c r="Z928" s="6"/>
    </row>
    <row r="929" ht="12.75" customHeight="1">
      <c r="A929" s="22">
        <v>927.0</v>
      </c>
      <c r="B929" s="22">
        <v>10927.0</v>
      </c>
      <c r="C929" s="22" t="s">
        <v>7</v>
      </c>
      <c r="D929" s="23" t="s">
        <v>1551</v>
      </c>
      <c r="E929" s="22" t="e">
        <v>#N/A</v>
      </c>
      <c r="F929" s="22" t="e">
        <v>#N/A</v>
      </c>
      <c r="G929" s="24" t="e">
        <v>#N/A</v>
      </c>
      <c r="H929" s="6"/>
      <c r="I929" s="6"/>
      <c r="J929" s="6"/>
      <c r="K929" s="6"/>
      <c r="L929" s="6"/>
      <c r="M929" s="6"/>
      <c r="N929" s="6"/>
      <c r="O929" s="6"/>
      <c r="P929" s="6"/>
      <c r="Q929" s="6"/>
      <c r="R929" s="6"/>
      <c r="S929" s="6"/>
      <c r="T929" s="6"/>
      <c r="U929" s="6"/>
      <c r="V929" s="6"/>
      <c r="W929" s="6"/>
      <c r="X929" s="6"/>
      <c r="Y929" s="6"/>
      <c r="Z929" s="6"/>
    </row>
    <row r="930" ht="12.75" customHeight="1">
      <c r="A930" s="10">
        <v>928.0</v>
      </c>
      <c r="B930" s="10">
        <v>10928.0</v>
      </c>
      <c r="C930" s="10" t="s">
        <v>7</v>
      </c>
      <c r="D930" s="11" t="s">
        <v>1552</v>
      </c>
      <c r="E930" s="10" t="e">
        <v>#N/A</v>
      </c>
      <c r="F930" s="10" t="e">
        <v>#N/A</v>
      </c>
      <c r="G930" s="12" t="e">
        <v>#N/A</v>
      </c>
      <c r="H930" s="6"/>
      <c r="I930" s="6"/>
      <c r="J930" s="6"/>
      <c r="K930" s="6"/>
      <c r="L930" s="6"/>
      <c r="M930" s="6"/>
      <c r="N930" s="6"/>
      <c r="O930" s="6"/>
      <c r="P930" s="6"/>
      <c r="Q930" s="6"/>
      <c r="R930" s="6"/>
      <c r="S930" s="6"/>
      <c r="T930" s="6"/>
      <c r="U930" s="6"/>
      <c r="V930" s="6"/>
      <c r="W930" s="6"/>
      <c r="X930" s="6"/>
      <c r="Y930" s="6"/>
      <c r="Z930" s="6"/>
    </row>
    <row r="931" ht="12.75" customHeight="1">
      <c r="A931" s="92">
        <v>929.0</v>
      </c>
      <c r="B931" s="92">
        <v>10929.0</v>
      </c>
      <c r="C931" s="92" t="s">
        <v>7</v>
      </c>
      <c r="D931" s="93" t="s">
        <v>1553</v>
      </c>
      <c r="E931" s="92" t="e">
        <v>#N/A</v>
      </c>
      <c r="F931" s="92" t="e">
        <v>#N/A</v>
      </c>
      <c r="G931" s="94" t="e">
        <v>#N/A</v>
      </c>
      <c r="H931" s="6"/>
      <c r="I931" s="6"/>
      <c r="J931" s="6"/>
      <c r="K931" s="6"/>
      <c r="L931" s="6"/>
      <c r="M931" s="6"/>
      <c r="N931" s="6"/>
      <c r="O931" s="6"/>
      <c r="P931" s="6"/>
      <c r="Q931" s="6"/>
      <c r="R931" s="6"/>
      <c r="S931" s="6"/>
      <c r="T931" s="6"/>
      <c r="U931" s="6"/>
      <c r="V931" s="6"/>
      <c r="W931" s="6"/>
      <c r="X931" s="6"/>
      <c r="Y931" s="6"/>
      <c r="Z931" s="6"/>
    </row>
    <row r="932" ht="12.75" customHeight="1">
      <c r="A932" s="92">
        <v>930.0</v>
      </c>
      <c r="B932" s="92">
        <v>10930.0</v>
      </c>
      <c r="C932" s="92" t="s">
        <v>34</v>
      </c>
      <c r="D932" s="93" t="s">
        <v>1554</v>
      </c>
      <c r="E932" s="92" t="e">
        <v>#N/A</v>
      </c>
      <c r="F932" s="92" t="e">
        <v>#N/A</v>
      </c>
      <c r="G932" s="94" t="e">
        <v>#N/A</v>
      </c>
      <c r="H932" s="6"/>
      <c r="I932" s="6"/>
      <c r="J932" s="6"/>
      <c r="K932" s="6"/>
      <c r="L932" s="6"/>
      <c r="M932" s="6"/>
      <c r="N932" s="6"/>
      <c r="O932" s="6"/>
      <c r="P932" s="6"/>
      <c r="Q932" s="6"/>
      <c r="R932" s="6"/>
      <c r="S932" s="6"/>
      <c r="T932" s="6"/>
      <c r="U932" s="6"/>
      <c r="V932" s="6"/>
      <c r="W932" s="6"/>
      <c r="X932" s="6"/>
      <c r="Y932" s="6"/>
      <c r="Z932" s="6"/>
    </row>
    <row r="933" ht="12.75" customHeight="1">
      <c r="A933" s="10">
        <v>931.0</v>
      </c>
      <c r="B933" s="10">
        <v>10931.0</v>
      </c>
      <c r="C933" s="10" t="s">
        <v>7</v>
      </c>
      <c r="D933" s="11" t="s">
        <v>1555</v>
      </c>
      <c r="E933" s="10" t="e">
        <v>#N/A</v>
      </c>
      <c r="F933" s="10" t="e">
        <v>#N/A</v>
      </c>
      <c r="G933" s="12" t="e">
        <v>#N/A</v>
      </c>
      <c r="H933" s="6"/>
      <c r="I933" s="6"/>
      <c r="J933" s="6"/>
      <c r="K933" s="6"/>
      <c r="L933" s="6"/>
      <c r="M933" s="6"/>
      <c r="N933" s="6"/>
      <c r="O933" s="6"/>
      <c r="P933" s="6"/>
      <c r="Q933" s="6"/>
      <c r="R933" s="6"/>
      <c r="S933" s="6"/>
      <c r="T933" s="6"/>
      <c r="U933" s="6"/>
      <c r="V933" s="6"/>
      <c r="W933" s="6"/>
      <c r="X933" s="6"/>
      <c r="Y933" s="6"/>
      <c r="Z933" s="6"/>
    </row>
    <row r="934" ht="12.75" customHeight="1">
      <c r="A934" s="10">
        <v>932.0</v>
      </c>
      <c r="B934" s="10">
        <v>10932.0</v>
      </c>
      <c r="C934" s="10" t="s">
        <v>7</v>
      </c>
      <c r="D934" s="11" t="s">
        <v>1556</v>
      </c>
      <c r="E934" s="10" t="e">
        <v>#N/A</v>
      </c>
      <c r="F934" s="10" t="e">
        <v>#N/A</v>
      </c>
      <c r="G934" s="12" t="e">
        <v>#N/A</v>
      </c>
      <c r="H934" s="6"/>
      <c r="I934" s="6"/>
      <c r="J934" s="6"/>
      <c r="K934" s="6"/>
      <c r="L934" s="6"/>
      <c r="M934" s="6"/>
      <c r="N934" s="6"/>
      <c r="O934" s="6"/>
      <c r="P934" s="6"/>
      <c r="Q934" s="6"/>
      <c r="R934" s="6"/>
      <c r="S934" s="6"/>
      <c r="T934" s="6"/>
      <c r="U934" s="6"/>
      <c r="V934" s="6"/>
      <c r="W934" s="6"/>
      <c r="X934" s="6"/>
      <c r="Y934" s="6"/>
      <c r="Z934" s="6"/>
    </row>
    <row r="935" ht="12.75" hidden="1" customHeight="1">
      <c r="A935" s="10">
        <v>933.0</v>
      </c>
      <c r="B935" s="10">
        <v>10933.0</v>
      </c>
      <c r="C935" s="10" t="s">
        <v>7</v>
      </c>
      <c r="D935" s="11" t="s">
        <v>1557</v>
      </c>
      <c r="E935" s="7" t="s">
        <v>1558</v>
      </c>
      <c r="F935" s="10">
        <f>LEN(E935)</f>
        <v>66</v>
      </c>
      <c r="G935" s="12">
        <v>46010.0</v>
      </c>
      <c r="H935" s="6"/>
      <c r="I935" s="6"/>
      <c r="J935" s="6"/>
      <c r="K935" s="6"/>
      <c r="L935" s="6"/>
      <c r="M935" s="6"/>
      <c r="N935" s="6"/>
      <c r="O935" s="6"/>
      <c r="P935" s="6"/>
      <c r="Q935" s="6"/>
      <c r="R935" s="6"/>
      <c r="S935" s="6"/>
      <c r="T935" s="6"/>
      <c r="U935" s="6"/>
      <c r="V935" s="6"/>
      <c r="W935" s="6"/>
      <c r="X935" s="6"/>
      <c r="Y935" s="6"/>
      <c r="Z935" s="6"/>
    </row>
    <row r="936" ht="12.75" customHeight="1">
      <c r="A936" s="10">
        <v>934.0</v>
      </c>
      <c r="B936" s="10">
        <v>10934.0</v>
      </c>
      <c r="C936" s="10" t="s">
        <v>7</v>
      </c>
      <c r="D936" s="11" t="s">
        <v>1559</v>
      </c>
      <c r="E936" s="10" t="e">
        <v>#N/A</v>
      </c>
      <c r="F936" s="10" t="e">
        <v>#N/A</v>
      </c>
      <c r="G936" s="12" t="e">
        <v>#N/A</v>
      </c>
      <c r="H936" s="6"/>
      <c r="I936" s="6"/>
      <c r="J936" s="6"/>
      <c r="K936" s="6"/>
      <c r="L936" s="6"/>
      <c r="M936" s="6"/>
      <c r="N936" s="6"/>
      <c r="O936" s="6"/>
      <c r="P936" s="6"/>
      <c r="Q936" s="6"/>
      <c r="R936" s="6"/>
      <c r="S936" s="6"/>
      <c r="T936" s="6"/>
      <c r="U936" s="6"/>
      <c r="V936" s="6"/>
      <c r="W936" s="6"/>
      <c r="X936" s="6"/>
      <c r="Y936" s="6"/>
      <c r="Z936" s="6"/>
    </row>
    <row r="937" ht="12.75" customHeight="1">
      <c r="A937" s="92">
        <v>935.0</v>
      </c>
      <c r="B937" s="92">
        <v>10935.0</v>
      </c>
      <c r="C937" s="92" t="s">
        <v>7</v>
      </c>
      <c r="D937" s="93" t="s">
        <v>1560</v>
      </c>
      <c r="E937" s="92" t="e">
        <v>#N/A</v>
      </c>
      <c r="F937" s="92" t="e">
        <v>#N/A</v>
      </c>
      <c r="G937" s="94" t="e">
        <v>#N/A</v>
      </c>
      <c r="H937" s="6"/>
      <c r="I937" s="6"/>
      <c r="J937" s="6"/>
      <c r="K937" s="6"/>
      <c r="L937" s="6"/>
      <c r="M937" s="6"/>
      <c r="N937" s="6"/>
      <c r="O937" s="6"/>
      <c r="P937" s="6"/>
      <c r="Q937" s="6"/>
      <c r="R937" s="6"/>
      <c r="S937" s="6"/>
      <c r="T937" s="6"/>
      <c r="U937" s="6"/>
      <c r="V937" s="6"/>
      <c r="W937" s="6"/>
      <c r="X937" s="6"/>
      <c r="Y937" s="6"/>
      <c r="Z937" s="6"/>
    </row>
    <row r="938" ht="12.75" customHeight="1">
      <c r="A938" s="92">
        <v>936.0</v>
      </c>
      <c r="B938" s="92">
        <v>10936.0</v>
      </c>
      <c r="C938" s="92" t="s">
        <v>7</v>
      </c>
      <c r="D938" s="93" t="s">
        <v>1561</v>
      </c>
      <c r="E938" s="92" t="e">
        <v>#N/A</v>
      </c>
      <c r="F938" s="92" t="e">
        <v>#N/A</v>
      </c>
      <c r="G938" s="94" t="e">
        <v>#N/A</v>
      </c>
      <c r="H938" s="6"/>
      <c r="I938" s="6"/>
      <c r="J938" s="6"/>
      <c r="K938" s="6"/>
      <c r="L938" s="6"/>
      <c r="M938" s="6"/>
      <c r="N938" s="6"/>
      <c r="O938" s="6"/>
      <c r="P938" s="6"/>
      <c r="Q938" s="6"/>
      <c r="R938" s="6"/>
      <c r="S938" s="6"/>
      <c r="T938" s="6"/>
      <c r="U938" s="6"/>
      <c r="V938" s="6"/>
      <c r="W938" s="6"/>
      <c r="X938" s="6"/>
      <c r="Y938" s="6"/>
      <c r="Z938" s="6"/>
    </row>
    <row r="939" ht="12.75" customHeight="1">
      <c r="A939" s="92">
        <v>937.0</v>
      </c>
      <c r="B939" s="92">
        <v>10937.0</v>
      </c>
      <c r="C939" s="92" t="s">
        <v>7</v>
      </c>
      <c r="D939" s="93" t="s">
        <v>1562</v>
      </c>
      <c r="E939" s="92" t="e">
        <v>#N/A</v>
      </c>
      <c r="F939" s="92" t="e">
        <v>#N/A</v>
      </c>
      <c r="G939" s="94" t="e">
        <v>#N/A</v>
      </c>
      <c r="H939" s="6"/>
      <c r="I939" s="6"/>
      <c r="J939" s="6"/>
      <c r="K939" s="6"/>
      <c r="L939" s="6"/>
      <c r="M939" s="6"/>
      <c r="N939" s="6"/>
      <c r="O939" s="6"/>
      <c r="P939" s="6"/>
      <c r="Q939" s="6"/>
      <c r="R939" s="6"/>
      <c r="S939" s="6"/>
      <c r="T939" s="6"/>
      <c r="U939" s="6"/>
      <c r="V939" s="6"/>
      <c r="W939" s="6"/>
      <c r="X939" s="6"/>
      <c r="Y939" s="6"/>
      <c r="Z939" s="6"/>
    </row>
    <row r="940" ht="12.75" customHeight="1">
      <c r="A940" s="10">
        <v>938.0</v>
      </c>
      <c r="B940" s="10">
        <v>10938.0</v>
      </c>
      <c r="C940" s="10" t="s">
        <v>34</v>
      </c>
      <c r="D940" s="11" t="s">
        <v>1563</v>
      </c>
      <c r="E940" s="10" t="e">
        <v>#N/A</v>
      </c>
      <c r="F940" s="10" t="e">
        <v>#N/A</v>
      </c>
      <c r="G940" s="12" t="e">
        <v>#N/A</v>
      </c>
      <c r="H940" s="6"/>
      <c r="I940" s="6"/>
      <c r="J940" s="6"/>
      <c r="K940" s="6"/>
      <c r="L940" s="6"/>
      <c r="M940" s="6"/>
      <c r="N940" s="6"/>
      <c r="O940" s="6"/>
      <c r="P940" s="6"/>
      <c r="Q940" s="6"/>
      <c r="R940" s="6"/>
      <c r="S940" s="6"/>
      <c r="T940" s="6"/>
      <c r="U940" s="6"/>
      <c r="V940" s="6"/>
      <c r="W940" s="6"/>
      <c r="X940" s="6"/>
      <c r="Y940" s="6"/>
      <c r="Z940" s="6"/>
    </row>
    <row r="941" ht="12.75" customHeight="1">
      <c r="A941" s="10">
        <v>939.0</v>
      </c>
      <c r="B941" s="10">
        <v>10939.0</v>
      </c>
      <c r="C941" s="10" t="s">
        <v>34</v>
      </c>
      <c r="D941" s="11" t="s">
        <v>1564</v>
      </c>
      <c r="E941" s="10" t="e">
        <v>#N/A</v>
      </c>
      <c r="F941" s="10" t="e">
        <v>#N/A</v>
      </c>
      <c r="G941" s="12" t="e">
        <v>#N/A</v>
      </c>
      <c r="H941" s="6"/>
      <c r="I941" s="6"/>
      <c r="J941" s="6"/>
      <c r="K941" s="6"/>
      <c r="L941" s="6"/>
      <c r="M941" s="6"/>
      <c r="N941" s="6"/>
      <c r="O941" s="6"/>
      <c r="P941" s="6"/>
      <c r="Q941" s="6"/>
      <c r="R941" s="6"/>
      <c r="S941" s="6"/>
      <c r="T941" s="6"/>
      <c r="U941" s="6"/>
      <c r="V941" s="6"/>
      <c r="W941" s="6"/>
      <c r="X941" s="6"/>
      <c r="Y941" s="6"/>
      <c r="Z941" s="6"/>
    </row>
    <row r="942" ht="12.75" customHeight="1">
      <c r="A942" s="92">
        <v>940.0</v>
      </c>
      <c r="B942" s="92">
        <v>10940.0</v>
      </c>
      <c r="C942" s="92" t="s">
        <v>34</v>
      </c>
      <c r="D942" s="93" t="s">
        <v>1565</v>
      </c>
      <c r="E942" s="92" t="e">
        <v>#N/A</v>
      </c>
      <c r="F942" s="92" t="e">
        <v>#N/A</v>
      </c>
      <c r="G942" s="94" t="e">
        <v>#N/A</v>
      </c>
      <c r="H942" s="101"/>
      <c r="I942" s="6"/>
      <c r="J942" s="6"/>
      <c r="K942" s="6"/>
      <c r="L942" s="6"/>
      <c r="M942" s="6"/>
      <c r="N942" s="6"/>
      <c r="O942" s="6"/>
      <c r="P942" s="6"/>
      <c r="Q942" s="6"/>
      <c r="R942" s="6"/>
      <c r="S942" s="6"/>
      <c r="T942" s="6"/>
      <c r="U942" s="6"/>
      <c r="V942" s="6"/>
      <c r="W942" s="6"/>
      <c r="X942" s="6"/>
      <c r="Y942" s="6"/>
      <c r="Z942" s="6"/>
    </row>
    <row r="943" ht="12.75" customHeight="1">
      <c r="A943" s="10">
        <v>941.0</v>
      </c>
      <c r="B943" s="10">
        <v>10941.0</v>
      </c>
      <c r="C943" s="10" t="s">
        <v>7</v>
      </c>
      <c r="D943" s="11" t="s">
        <v>1566</v>
      </c>
      <c r="E943" s="10" t="e">
        <v>#N/A</v>
      </c>
      <c r="F943" s="10" t="e">
        <v>#N/A</v>
      </c>
      <c r="G943" s="12" t="e">
        <v>#N/A</v>
      </c>
      <c r="H943" s="6"/>
      <c r="I943" s="6"/>
      <c r="J943" s="6"/>
      <c r="K943" s="6"/>
      <c r="L943" s="6"/>
      <c r="M943" s="6"/>
      <c r="N943" s="6"/>
      <c r="O943" s="6"/>
      <c r="P943" s="6"/>
      <c r="Q943" s="6"/>
      <c r="R943" s="6"/>
      <c r="S943" s="6"/>
      <c r="T943" s="6"/>
      <c r="U943" s="6"/>
      <c r="V943" s="6"/>
      <c r="W943" s="6"/>
      <c r="X943" s="6"/>
      <c r="Y943" s="6"/>
      <c r="Z943" s="6"/>
    </row>
    <row r="944" ht="12.75" customHeight="1">
      <c r="A944" s="10">
        <v>942.0</v>
      </c>
      <c r="B944" s="10">
        <v>10942.0</v>
      </c>
      <c r="C944" s="10" t="s">
        <v>7</v>
      </c>
      <c r="D944" s="11" t="s">
        <v>1567</v>
      </c>
      <c r="E944" s="10" t="e">
        <v>#N/A</v>
      </c>
      <c r="F944" s="10" t="e">
        <v>#N/A</v>
      </c>
      <c r="G944" s="12" t="e">
        <v>#N/A</v>
      </c>
      <c r="H944" s="6"/>
      <c r="I944" s="6"/>
      <c r="J944" s="6"/>
      <c r="K944" s="6"/>
      <c r="L944" s="6"/>
      <c r="M944" s="6"/>
      <c r="N944" s="6"/>
      <c r="O944" s="6"/>
      <c r="P944" s="6"/>
      <c r="Q944" s="6"/>
      <c r="R944" s="6"/>
      <c r="S944" s="6"/>
      <c r="T944" s="6"/>
      <c r="U944" s="6"/>
      <c r="V944" s="6"/>
      <c r="W944" s="6"/>
      <c r="X944" s="6"/>
      <c r="Y944" s="6"/>
      <c r="Z944" s="6"/>
    </row>
    <row r="945" ht="12.75" customHeight="1">
      <c r="A945" s="92">
        <v>943.0</v>
      </c>
      <c r="B945" s="92">
        <v>10943.0</v>
      </c>
      <c r="C945" s="92" t="s">
        <v>34</v>
      </c>
      <c r="D945" s="93" t="s">
        <v>1568</v>
      </c>
      <c r="E945" s="92" t="e">
        <v>#N/A</v>
      </c>
      <c r="F945" s="92" t="e">
        <v>#N/A</v>
      </c>
      <c r="G945" s="94" t="e">
        <v>#N/A</v>
      </c>
      <c r="H945" s="6"/>
      <c r="I945" s="6"/>
      <c r="J945" s="6"/>
      <c r="K945" s="6"/>
      <c r="L945" s="6"/>
      <c r="M945" s="6"/>
      <c r="N945" s="6"/>
      <c r="O945" s="6"/>
      <c r="P945" s="6"/>
      <c r="Q945" s="6"/>
      <c r="R945" s="6"/>
      <c r="S945" s="6"/>
      <c r="T945" s="6"/>
      <c r="U945" s="6"/>
      <c r="V945" s="6"/>
      <c r="W945" s="6"/>
      <c r="X945" s="6"/>
      <c r="Y945" s="6"/>
      <c r="Z945" s="6"/>
    </row>
    <row r="946" ht="12.75" customHeight="1">
      <c r="A946" s="10">
        <v>944.0</v>
      </c>
      <c r="B946" s="10">
        <v>10944.0</v>
      </c>
      <c r="C946" s="10" t="s">
        <v>7</v>
      </c>
      <c r="D946" s="11" t="s">
        <v>1569</v>
      </c>
      <c r="E946" s="10" t="e">
        <v>#N/A</v>
      </c>
      <c r="F946" s="10" t="e">
        <v>#N/A</v>
      </c>
      <c r="G946" s="12" t="e">
        <v>#N/A</v>
      </c>
      <c r="H946" s="6"/>
      <c r="I946" s="6"/>
      <c r="J946" s="6"/>
      <c r="K946" s="6"/>
      <c r="L946" s="6"/>
      <c r="M946" s="6"/>
      <c r="N946" s="6"/>
      <c r="O946" s="6"/>
      <c r="P946" s="6"/>
      <c r="Q946" s="6"/>
      <c r="R946" s="6"/>
      <c r="S946" s="6"/>
      <c r="T946" s="6"/>
      <c r="U946" s="6"/>
      <c r="V946" s="6"/>
      <c r="W946" s="6"/>
      <c r="X946" s="6"/>
      <c r="Y946" s="6"/>
      <c r="Z946" s="6"/>
    </row>
    <row r="947" ht="12.75" customHeight="1">
      <c r="A947" s="10">
        <v>945.0</v>
      </c>
      <c r="B947" s="10">
        <v>10945.0</v>
      </c>
      <c r="C947" s="10" t="s">
        <v>7</v>
      </c>
      <c r="D947" s="11" t="s">
        <v>1570</v>
      </c>
      <c r="E947" s="10" t="e">
        <v>#N/A</v>
      </c>
      <c r="F947" s="10" t="e">
        <v>#N/A</v>
      </c>
      <c r="G947" s="12" t="e">
        <v>#N/A</v>
      </c>
      <c r="H947" s="6"/>
      <c r="I947" s="6"/>
      <c r="J947" s="6"/>
      <c r="K947" s="6"/>
      <c r="L947" s="6"/>
      <c r="M947" s="6"/>
      <c r="N947" s="6"/>
      <c r="O947" s="6"/>
      <c r="P947" s="6"/>
      <c r="Q947" s="6"/>
      <c r="R947" s="6"/>
      <c r="S947" s="6"/>
      <c r="T947" s="6"/>
      <c r="U947" s="6"/>
      <c r="V947" s="6"/>
      <c r="W947" s="6"/>
      <c r="X947" s="6"/>
      <c r="Y947" s="6"/>
      <c r="Z947" s="6"/>
    </row>
    <row r="948" ht="12.75" customHeight="1">
      <c r="A948" s="92">
        <v>946.0</v>
      </c>
      <c r="B948" s="92">
        <v>10946.0</v>
      </c>
      <c r="C948" s="92" t="s">
        <v>7</v>
      </c>
      <c r="D948" s="93" t="s">
        <v>1571</v>
      </c>
      <c r="E948" s="92" t="e">
        <v>#N/A</v>
      </c>
      <c r="F948" s="92" t="e">
        <v>#N/A</v>
      </c>
      <c r="G948" s="94" t="e">
        <v>#N/A</v>
      </c>
      <c r="H948" s="6"/>
      <c r="I948" s="6"/>
      <c r="J948" s="6"/>
      <c r="K948" s="6"/>
      <c r="L948" s="6"/>
      <c r="M948" s="6"/>
      <c r="N948" s="6"/>
      <c r="O948" s="6"/>
      <c r="P948" s="6"/>
      <c r="Q948" s="6"/>
      <c r="R948" s="6"/>
      <c r="S948" s="6"/>
      <c r="T948" s="6"/>
      <c r="U948" s="6"/>
      <c r="V948" s="6"/>
      <c r="W948" s="6"/>
      <c r="X948" s="6"/>
      <c r="Y948" s="6"/>
      <c r="Z948" s="6"/>
    </row>
    <row r="949" ht="12.75" customHeight="1">
      <c r="A949" s="92">
        <v>947.0</v>
      </c>
      <c r="B949" s="92">
        <v>10947.0</v>
      </c>
      <c r="C949" s="92" t="s">
        <v>7</v>
      </c>
      <c r="D949" s="93" t="s">
        <v>1572</v>
      </c>
      <c r="E949" s="92" t="e">
        <v>#N/A</v>
      </c>
      <c r="F949" s="92" t="e">
        <v>#N/A</v>
      </c>
      <c r="G949" s="94" t="e">
        <v>#N/A</v>
      </c>
      <c r="H949" s="6"/>
      <c r="I949" s="6"/>
      <c r="J949" s="6"/>
      <c r="K949" s="6"/>
      <c r="L949" s="6"/>
      <c r="M949" s="6"/>
      <c r="N949" s="6"/>
      <c r="O949" s="6"/>
      <c r="P949" s="6"/>
      <c r="Q949" s="6"/>
      <c r="R949" s="6"/>
      <c r="S949" s="6"/>
      <c r="T949" s="6"/>
      <c r="U949" s="6"/>
      <c r="V949" s="6"/>
      <c r="W949" s="6"/>
      <c r="X949" s="6"/>
      <c r="Y949" s="6"/>
      <c r="Z949" s="6"/>
    </row>
    <row r="950" ht="12.75" customHeight="1">
      <c r="A950" s="92">
        <v>948.0</v>
      </c>
      <c r="B950" s="92">
        <v>10948.0</v>
      </c>
      <c r="C950" s="92" t="s">
        <v>7</v>
      </c>
      <c r="D950" s="93" t="s">
        <v>1573</v>
      </c>
      <c r="E950" s="92" t="e">
        <v>#N/A</v>
      </c>
      <c r="F950" s="92" t="e">
        <v>#N/A</v>
      </c>
      <c r="G950" s="94" t="e">
        <v>#N/A</v>
      </c>
      <c r="H950" s="6"/>
      <c r="I950" s="6"/>
      <c r="J950" s="6"/>
      <c r="K950" s="6"/>
      <c r="L950" s="6"/>
      <c r="M950" s="6"/>
      <c r="N950" s="6"/>
      <c r="O950" s="6"/>
      <c r="P950" s="6"/>
      <c r="Q950" s="6"/>
      <c r="R950" s="6"/>
      <c r="S950" s="6"/>
      <c r="T950" s="6"/>
      <c r="U950" s="6"/>
      <c r="V950" s="6"/>
      <c r="W950" s="6"/>
      <c r="X950" s="6"/>
      <c r="Y950" s="6"/>
      <c r="Z950" s="6"/>
    </row>
    <row r="951" ht="12.75" customHeight="1">
      <c r="A951" s="92">
        <v>949.0</v>
      </c>
      <c r="B951" s="92">
        <v>10949.0</v>
      </c>
      <c r="C951" s="92" t="s">
        <v>7</v>
      </c>
      <c r="D951" s="93" t="s">
        <v>1574</v>
      </c>
      <c r="E951" s="92" t="e">
        <v>#N/A</v>
      </c>
      <c r="F951" s="92" t="e">
        <v>#N/A</v>
      </c>
      <c r="G951" s="94" t="e">
        <v>#N/A</v>
      </c>
      <c r="H951" s="6"/>
      <c r="I951" s="6"/>
      <c r="J951" s="6"/>
      <c r="K951" s="6"/>
      <c r="L951" s="6"/>
      <c r="M951" s="6"/>
      <c r="N951" s="6"/>
      <c r="O951" s="6"/>
      <c r="P951" s="6"/>
      <c r="Q951" s="6"/>
      <c r="R951" s="6"/>
      <c r="S951" s="6"/>
      <c r="T951" s="6"/>
      <c r="U951" s="6"/>
      <c r="V951" s="6"/>
      <c r="W951" s="6"/>
      <c r="X951" s="6"/>
      <c r="Y951" s="6"/>
      <c r="Z951" s="6"/>
    </row>
    <row r="952" ht="12.75" customHeight="1">
      <c r="A952" s="10">
        <v>950.0</v>
      </c>
      <c r="B952" s="10">
        <v>10950.0</v>
      </c>
      <c r="C952" s="10" t="s">
        <v>34</v>
      </c>
      <c r="D952" s="11" t="s">
        <v>1575</v>
      </c>
      <c r="E952" s="10" t="e">
        <v>#N/A</v>
      </c>
      <c r="F952" s="10" t="e">
        <v>#N/A</v>
      </c>
      <c r="G952" s="12" t="e">
        <v>#N/A</v>
      </c>
      <c r="H952" s="6"/>
      <c r="I952" s="6"/>
      <c r="J952" s="6"/>
      <c r="K952" s="6"/>
      <c r="L952" s="6"/>
      <c r="M952" s="6"/>
      <c r="N952" s="6"/>
      <c r="O952" s="6"/>
      <c r="P952" s="6"/>
      <c r="Q952" s="6"/>
      <c r="R952" s="6"/>
      <c r="S952" s="6"/>
      <c r="T952" s="6"/>
      <c r="U952" s="6"/>
      <c r="V952" s="6"/>
      <c r="W952" s="6"/>
      <c r="X952" s="6"/>
      <c r="Y952" s="6"/>
      <c r="Z952" s="6"/>
    </row>
    <row r="953" ht="12.75" customHeight="1">
      <c r="A953" s="10">
        <v>951.0</v>
      </c>
      <c r="B953" s="10">
        <v>10951.0</v>
      </c>
      <c r="C953" s="10" t="s">
        <v>7</v>
      </c>
      <c r="D953" s="11" t="s">
        <v>1576</v>
      </c>
      <c r="E953" s="10" t="e">
        <v>#N/A</v>
      </c>
      <c r="F953" s="10" t="e">
        <v>#N/A</v>
      </c>
      <c r="G953" s="12" t="e">
        <v>#N/A</v>
      </c>
      <c r="H953" s="6"/>
      <c r="I953" s="6"/>
      <c r="J953" s="6"/>
      <c r="K953" s="6"/>
      <c r="L953" s="6"/>
      <c r="M953" s="6"/>
      <c r="N953" s="6"/>
      <c r="O953" s="6"/>
      <c r="P953" s="6"/>
      <c r="Q953" s="6"/>
      <c r="R953" s="6"/>
      <c r="S953" s="6"/>
      <c r="T953" s="6"/>
      <c r="U953" s="6"/>
      <c r="V953" s="6"/>
      <c r="W953" s="6"/>
      <c r="X953" s="6"/>
      <c r="Y953" s="6"/>
      <c r="Z953" s="6"/>
    </row>
    <row r="954" ht="12.75" customHeight="1">
      <c r="A954" s="10">
        <v>952.0</v>
      </c>
      <c r="B954" s="10">
        <v>10952.0</v>
      </c>
      <c r="C954" s="10" t="s">
        <v>34</v>
      </c>
      <c r="D954" s="11" t="s">
        <v>1577</v>
      </c>
      <c r="E954" s="10" t="e">
        <v>#N/A</v>
      </c>
      <c r="F954" s="10" t="e">
        <v>#N/A</v>
      </c>
      <c r="G954" s="12" t="e">
        <v>#N/A</v>
      </c>
      <c r="H954" s="6"/>
      <c r="I954" s="6"/>
      <c r="J954" s="6"/>
      <c r="K954" s="6"/>
      <c r="L954" s="6"/>
      <c r="M954" s="6"/>
      <c r="N954" s="6"/>
      <c r="O954" s="6"/>
      <c r="P954" s="6"/>
      <c r="Q954" s="6"/>
      <c r="R954" s="6"/>
      <c r="S954" s="6"/>
      <c r="T954" s="6"/>
      <c r="U954" s="6"/>
      <c r="V954" s="6"/>
      <c r="W954" s="6"/>
      <c r="X954" s="6"/>
      <c r="Y954" s="6"/>
      <c r="Z954" s="6"/>
    </row>
    <row r="955" ht="12.75" hidden="1" customHeight="1">
      <c r="A955" s="10">
        <v>953.0</v>
      </c>
      <c r="B955" s="10">
        <v>10953.0</v>
      </c>
      <c r="C955" s="10" t="s">
        <v>27</v>
      </c>
      <c r="D955" s="11" t="s">
        <v>1578</v>
      </c>
      <c r="E955" s="85" t="s">
        <v>1579</v>
      </c>
      <c r="F955" s="10">
        <f>LEN(E955)</f>
        <v>151</v>
      </c>
      <c r="G955" s="12" t="e">
        <v>#N/A</v>
      </c>
      <c r="H955" s="6"/>
      <c r="I955" s="6"/>
      <c r="J955" s="6"/>
      <c r="K955" s="6"/>
      <c r="L955" s="6"/>
      <c r="M955" s="6"/>
      <c r="N955" s="6"/>
      <c r="O955" s="6"/>
      <c r="P955" s="6"/>
      <c r="Q955" s="6"/>
      <c r="R955" s="6"/>
      <c r="S955" s="6"/>
      <c r="T955" s="6"/>
      <c r="U955" s="6"/>
      <c r="V955" s="6"/>
      <c r="W955" s="6"/>
      <c r="X955" s="6"/>
      <c r="Y955" s="6"/>
      <c r="Z955" s="6"/>
    </row>
    <row r="956" ht="12.75" hidden="1" customHeight="1">
      <c r="A956" s="7">
        <v>954.0</v>
      </c>
      <c r="B956" s="7">
        <v>10954.0</v>
      </c>
      <c r="C956" s="7" t="s">
        <v>34</v>
      </c>
      <c r="D956" s="8" t="s">
        <v>1580</v>
      </c>
      <c r="E956" s="7" t="s">
        <v>1581</v>
      </c>
      <c r="F956" s="7">
        <v>170.0</v>
      </c>
      <c r="G956" s="9">
        <v>0.0</v>
      </c>
      <c r="H956" s="6"/>
      <c r="I956" s="6"/>
      <c r="J956" s="6"/>
      <c r="K956" s="6"/>
      <c r="L956" s="6"/>
      <c r="M956" s="6"/>
      <c r="N956" s="6"/>
      <c r="O956" s="6"/>
      <c r="P956" s="6"/>
      <c r="Q956" s="6"/>
      <c r="R956" s="6"/>
      <c r="S956" s="6"/>
      <c r="T956" s="6"/>
      <c r="U956" s="6"/>
      <c r="V956" s="6"/>
      <c r="W956" s="6"/>
      <c r="X956" s="6"/>
      <c r="Y956" s="6"/>
      <c r="Z956" s="6"/>
    </row>
    <row r="957" ht="12.75" customHeight="1">
      <c r="A957" s="10">
        <v>955.0</v>
      </c>
      <c r="B957" s="10">
        <v>10955.0</v>
      </c>
      <c r="C957" s="10" t="s">
        <v>20</v>
      </c>
      <c r="D957" s="11" t="s">
        <v>1582</v>
      </c>
      <c r="E957" s="10">
        <v>0.0</v>
      </c>
      <c r="F957" s="10">
        <v>1.0</v>
      </c>
      <c r="G957" s="12">
        <v>0.0</v>
      </c>
      <c r="H957" s="6"/>
      <c r="I957" s="6"/>
      <c r="J957" s="6"/>
      <c r="K957" s="6"/>
      <c r="L957" s="6"/>
      <c r="M957" s="6"/>
      <c r="N957" s="6"/>
      <c r="O957" s="6"/>
      <c r="P957" s="6"/>
      <c r="Q957" s="6"/>
      <c r="R957" s="6"/>
      <c r="S957" s="6"/>
      <c r="T957" s="6"/>
      <c r="U957" s="6"/>
      <c r="V957" s="6"/>
      <c r="W957" s="6"/>
      <c r="X957" s="6"/>
      <c r="Y957" s="6"/>
      <c r="Z957" s="6"/>
    </row>
    <row r="958" ht="12.75" hidden="1" customHeight="1">
      <c r="A958" s="7">
        <v>956.0</v>
      </c>
      <c r="B958" s="7">
        <v>10956.0</v>
      </c>
      <c r="C958" s="7" t="s">
        <v>20</v>
      </c>
      <c r="D958" s="8" t="s">
        <v>1583</v>
      </c>
      <c r="E958" s="7" t="s">
        <v>1584</v>
      </c>
      <c r="F958" s="7">
        <v>137.0</v>
      </c>
      <c r="G958" s="9">
        <v>0.0</v>
      </c>
      <c r="H958" s="6"/>
      <c r="I958" s="6"/>
      <c r="J958" s="6"/>
      <c r="K958" s="6"/>
      <c r="L958" s="6"/>
      <c r="M958" s="6"/>
      <c r="N958" s="6"/>
      <c r="O958" s="6"/>
      <c r="P958" s="6"/>
      <c r="Q958" s="6"/>
      <c r="R958" s="6"/>
      <c r="S958" s="6"/>
      <c r="T958" s="6"/>
      <c r="U958" s="6"/>
      <c r="V958" s="6"/>
      <c r="W958" s="6"/>
      <c r="X958" s="6"/>
      <c r="Y958" s="6"/>
      <c r="Z958" s="6"/>
    </row>
    <row r="959" ht="12.75" customHeight="1">
      <c r="A959" s="10">
        <v>957.0</v>
      </c>
      <c r="B959" s="10">
        <v>10957.0</v>
      </c>
      <c r="C959" s="10" t="s">
        <v>7</v>
      </c>
      <c r="D959" s="11" t="s">
        <v>1585</v>
      </c>
      <c r="E959" s="10">
        <v>0.0</v>
      </c>
      <c r="F959" s="10">
        <v>1.0</v>
      </c>
      <c r="G959" s="12">
        <v>0.0</v>
      </c>
      <c r="H959" s="6"/>
      <c r="I959" s="6"/>
      <c r="J959" s="6"/>
      <c r="K959" s="6"/>
      <c r="L959" s="6"/>
      <c r="M959" s="6"/>
      <c r="N959" s="6"/>
      <c r="O959" s="6"/>
      <c r="P959" s="6"/>
      <c r="Q959" s="6"/>
      <c r="R959" s="6"/>
      <c r="S959" s="6"/>
      <c r="T959" s="6"/>
      <c r="U959" s="6"/>
      <c r="V959" s="6"/>
      <c r="W959" s="6"/>
      <c r="X959" s="6"/>
      <c r="Y959" s="6"/>
      <c r="Z959" s="6"/>
    </row>
    <row r="960" ht="12.75" customHeight="1">
      <c r="A960" s="10">
        <v>958.0</v>
      </c>
      <c r="B960" s="10">
        <v>10958.0</v>
      </c>
      <c r="C960" s="10" t="s">
        <v>34</v>
      </c>
      <c r="D960" s="11" t="s">
        <v>1586</v>
      </c>
      <c r="E960" s="10">
        <v>0.0</v>
      </c>
      <c r="F960" s="10">
        <v>1.0</v>
      </c>
      <c r="G960" s="12">
        <v>0.0</v>
      </c>
      <c r="H960" s="6"/>
      <c r="I960" s="6"/>
      <c r="J960" s="6"/>
      <c r="K960" s="6"/>
      <c r="L960" s="6"/>
      <c r="M960" s="6"/>
      <c r="N960" s="6"/>
      <c r="O960" s="6"/>
      <c r="P960" s="6"/>
      <c r="Q960" s="6"/>
      <c r="R960" s="6"/>
      <c r="S960" s="6"/>
      <c r="T960" s="6"/>
      <c r="U960" s="6"/>
      <c r="V960" s="6"/>
      <c r="W960" s="6"/>
      <c r="X960" s="6"/>
      <c r="Y960" s="6"/>
      <c r="Z960" s="6"/>
    </row>
    <row r="961" ht="12.75" hidden="1" customHeight="1">
      <c r="A961" s="10">
        <v>959.0</v>
      </c>
      <c r="B961" s="10">
        <v>10959.0</v>
      </c>
      <c r="C961" s="10" t="s">
        <v>27</v>
      </c>
      <c r="D961" s="11" t="s">
        <v>1587</v>
      </c>
      <c r="E961" s="10" t="s">
        <v>1588</v>
      </c>
      <c r="F961" s="10">
        <v>136.0</v>
      </c>
      <c r="G961" s="12">
        <v>0.0</v>
      </c>
      <c r="H961" s="6"/>
      <c r="I961" s="6"/>
      <c r="J961" s="6"/>
      <c r="K961" s="6"/>
      <c r="L961" s="6"/>
      <c r="M961" s="6"/>
      <c r="N961" s="6"/>
      <c r="O961" s="6"/>
      <c r="P961" s="6"/>
      <c r="Q961" s="6"/>
      <c r="R961" s="6"/>
      <c r="S961" s="6"/>
      <c r="T961" s="6"/>
      <c r="U961" s="6"/>
      <c r="V961" s="6"/>
      <c r="W961" s="6"/>
      <c r="X961" s="6"/>
      <c r="Y961" s="6"/>
      <c r="Z961" s="6"/>
    </row>
    <row r="962" ht="12.75" hidden="1" customHeight="1">
      <c r="A962" s="7">
        <v>960.0</v>
      </c>
      <c r="B962" s="7">
        <v>10960.0</v>
      </c>
      <c r="C962" s="7" t="s">
        <v>27</v>
      </c>
      <c r="D962" s="8" t="s">
        <v>1589</v>
      </c>
      <c r="E962" s="7" t="s">
        <v>1590</v>
      </c>
      <c r="F962" s="7">
        <v>130.0</v>
      </c>
      <c r="G962" s="9">
        <v>45943.0</v>
      </c>
      <c r="H962" s="6"/>
      <c r="I962" s="6"/>
      <c r="J962" s="6"/>
      <c r="K962" s="6"/>
      <c r="L962" s="6"/>
      <c r="M962" s="6"/>
      <c r="N962" s="6"/>
      <c r="O962" s="6"/>
      <c r="P962" s="6"/>
      <c r="Q962" s="6"/>
      <c r="R962" s="6"/>
      <c r="S962" s="6"/>
      <c r="T962" s="6"/>
      <c r="U962" s="6"/>
      <c r="V962" s="6"/>
      <c r="W962" s="6"/>
      <c r="X962" s="6"/>
      <c r="Y962" s="6"/>
      <c r="Z962" s="6"/>
    </row>
    <row r="963" ht="12.75" hidden="1" customHeight="1">
      <c r="A963" s="10">
        <v>961.0</v>
      </c>
      <c r="B963" s="10">
        <v>10961.0</v>
      </c>
      <c r="C963" s="10" t="s">
        <v>34</v>
      </c>
      <c r="D963" s="11" t="s">
        <v>1591</v>
      </c>
      <c r="E963" s="10" t="s">
        <v>1592</v>
      </c>
      <c r="F963" s="10">
        <v>149.0</v>
      </c>
      <c r="G963" s="12">
        <v>45943.0</v>
      </c>
      <c r="H963" s="6"/>
      <c r="I963" s="6"/>
      <c r="J963" s="6"/>
      <c r="K963" s="6"/>
      <c r="L963" s="6"/>
      <c r="M963" s="6"/>
      <c r="N963" s="6"/>
      <c r="O963" s="6"/>
      <c r="P963" s="6"/>
      <c r="Q963" s="6"/>
      <c r="R963" s="6"/>
      <c r="S963" s="6"/>
      <c r="T963" s="6"/>
      <c r="U963" s="6"/>
      <c r="V963" s="6"/>
      <c r="W963" s="6"/>
      <c r="X963" s="6"/>
      <c r="Y963" s="6"/>
      <c r="Z963" s="6"/>
    </row>
    <row r="964" ht="12.75" hidden="1" customHeight="1">
      <c r="A964" s="7">
        <v>962.0</v>
      </c>
      <c r="B964" s="7">
        <v>10962.0</v>
      </c>
      <c r="C964" s="7" t="s">
        <v>34</v>
      </c>
      <c r="D964" s="8" t="s">
        <v>1593</v>
      </c>
      <c r="E964" s="7" t="s">
        <v>1594</v>
      </c>
      <c r="F964" s="7">
        <v>139.0</v>
      </c>
      <c r="G964" s="9">
        <v>45943.0</v>
      </c>
      <c r="H964" s="6"/>
      <c r="I964" s="6"/>
      <c r="J964" s="6"/>
      <c r="K964" s="6"/>
      <c r="L964" s="6"/>
      <c r="M964" s="6"/>
      <c r="N964" s="6"/>
      <c r="O964" s="6"/>
      <c r="P964" s="6"/>
      <c r="Q964" s="6"/>
      <c r="R964" s="6"/>
      <c r="S964" s="6"/>
      <c r="T964" s="6"/>
      <c r="U964" s="6"/>
      <c r="V964" s="6"/>
      <c r="W964" s="6"/>
      <c r="X964" s="6"/>
      <c r="Y964" s="6"/>
      <c r="Z964" s="6"/>
    </row>
    <row r="965" ht="12.75" customHeight="1">
      <c r="A965" s="10">
        <v>963.0</v>
      </c>
      <c r="B965" s="10">
        <v>10963.0</v>
      </c>
      <c r="C965" s="10" t="s">
        <v>7</v>
      </c>
      <c r="D965" s="11" t="s">
        <v>1595</v>
      </c>
      <c r="E965" s="10" t="e">
        <v>#N/A</v>
      </c>
      <c r="F965" s="10" t="e">
        <v>#N/A</v>
      </c>
      <c r="G965" s="12" t="e">
        <v>#N/A</v>
      </c>
      <c r="H965" s="6"/>
      <c r="I965" s="6"/>
      <c r="J965" s="6"/>
      <c r="K965" s="6"/>
      <c r="L965" s="6"/>
      <c r="M965" s="6"/>
      <c r="N965" s="6"/>
      <c r="O965" s="6"/>
      <c r="P965" s="6"/>
      <c r="Q965" s="6"/>
      <c r="R965" s="6"/>
      <c r="S965" s="6"/>
      <c r="T965" s="6"/>
      <c r="U965" s="6"/>
      <c r="V965" s="6"/>
      <c r="W965" s="6"/>
      <c r="X965" s="6"/>
      <c r="Y965" s="6"/>
      <c r="Z965" s="6"/>
    </row>
    <row r="966" ht="12.75" hidden="1" customHeight="1">
      <c r="A966" s="7">
        <v>964.0</v>
      </c>
      <c r="B966" s="7">
        <v>10964.0</v>
      </c>
      <c r="C966" s="7" t="s">
        <v>34</v>
      </c>
      <c r="D966" s="8" t="s">
        <v>1596</v>
      </c>
      <c r="E966" s="7" t="s">
        <v>1597</v>
      </c>
      <c r="F966" s="7">
        <v>158.0</v>
      </c>
      <c r="G966" s="9">
        <v>45943.0</v>
      </c>
      <c r="H966" s="6"/>
      <c r="I966" s="6"/>
      <c r="J966" s="6"/>
      <c r="K966" s="6"/>
      <c r="L966" s="6"/>
      <c r="M966" s="6"/>
      <c r="N966" s="6"/>
      <c r="O966" s="6"/>
      <c r="P966" s="6"/>
      <c r="Q966" s="6"/>
      <c r="R966" s="6"/>
      <c r="S966" s="6"/>
      <c r="T966" s="6"/>
      <c r="U966" s="6"/>
      <c r="V966" s="6"/>
      <c r="W966" s="6"/>
      <c r="X966" s="6"/>
      <c r="Y966" s="6"/>
      <c r="Z966" s="6"/>
    </row>
    <row r="967" ht="12.75" hidden="1" customHeight="1">
      <c r="A967" s="10">
        <v>965.0</v>
      </c>
      <c r="B967" s="10">
        <v>10965.0</v>
      </c>
      <c r="C967" s="10" t="s">
        <v>34</v>
      </c>
      <c r="D967" s="11" t="s">
        <v>1598</v>
      </c>
      <c r="E967" s="10" t="s">
        <v>1599</v>
      </c>
      <c r="F967" s="10">
        <v>167.0</v>
      </c>
      <c r="G967" s="12">
        <v>45943.0</v>
      </c>
      <c r="H967" s="6"/>
      <c r="I967" s="6"/>
      <c r="J967" s="6"/>
      <c r="K967" s="6"/>
      <c r="L967" s="6"/>
      <c r="M967" s="6"/>
      <c r="N967" s="6"/>
      <c r="O967" s="6"/>
      <c r="P967" s="6"/>
      <c r="Q967" s="6"/>
      <c r="R967" s="6"/>
      <c r="S967" s="6"/>
      <c r="T967" s="6"/>
      <c r="U967" s="6"/>
      <c r="V967" s="6"/>
      <c r="W967" s="6"/>
      <c r="X967" s="6"/>
      <c r="Y967" s="6"/>
      <c r="Z967" s="6"/>
    </row>
    <row r="968" ht="12.75" hidden="1" customHeight="1">
      <c r="A968" s="7">
        <v>966.0</v>
      </c>
      <c r="B968" s="7">
        <v>10966.0</v>
      </c>
      <c r="C968" s="7" t="s">
        <v>27</v>
      </c>
      <c r="D968" s="8" t="s">
        <v>1600</v>
      </c>
      <c r="E968" s="7" t="s">
        <v>1601</v>
      </c>
      <c r="F968" s="7">
        <v>136.0</v>
      </c>
      <c r="G968" s="9">
        <v>0.0</v>
      </c>
      <c r="H968" s="6"/>
      <c r="I968" s="6"/>
      <c r="J968" s="6"/>
      <c r="K968" s="6"/>
      <c r="L968" s="6"/>
      <c r="M968" s="6"/>
      <c r="N968" s="6"/>
      <c r="O968" s="6"/>
      <c r="P968" s="6"/>
      <c r="Q968" s="6"/>
      <c r="R968" s="6"/>
      <c r="S968" s="6"/>
      <c r="T968" s="6"/>
      <c r="U968" s="6"/>
      <c r="V968" s="6"/>
      <c r="W968" s="6"/>
      <c r="X968" s="6"/>
      <c r="Y968" s="6"/>
      <c r="Z968" s="6"/>
    </row>
    <row r="969" ht="12.75" hidden="1" customHeight="1">
      <c r="A969" s="10">
        <v>967.0</v>
      </c>
      <c r="B969" s="10">
        <v>10967.0</v>
      </c>
      <c r="C969" s="10" t="s">
        <v>34</v>
      </c>
      <c r="D969" s="11" t="s">
        <v>1602</v>
      </c>
      <c r="E969" s="10" t="s">
        <v>1603</v>
      </c>
      <c r="F969" s="10">
        <v>195.0</v>
      </c>
      <c r="G969" s="12">
        <v>45943.0</v>
      </c>
      <c r="H969" s="6"/>
      <c r="I969" s="6"/>
      <c r="J969" s="6"/>
      <c r="K969" s="6"/>
      <c r="L969" s="6"/>
      <c r="M969" s="6"/>
      <c r="N969" s="6"/>
      <c r="O969" s="6"/>
      <c r="P969" s="6"/>
      <c r="Q969" s="6"/>
      <c r="R969" s="6"/>
      <c r="S969" s="6"/>
      <c r="T969" s="6"/>
      <c r="U969" s="6"/>
      <c r="V969" s="6"/>
      <c r="W969" s="6"/>
      <c r="X969" s="6"/>
      <c r="Y969" s="6"/>
      <c r="Z969" s="6"/>
    </row>
    <row r="970" ht="12.75" hidden="1" customHeight="1">
      <c r="A970" s="7">
        <v>968.0</v>
      </c>
      <c r="B970" s="7">
        <v>10968.0</v>
      </c>
      <c r="C970" s="7" t="s">
        <v>7</v>
      </c>
      <c r="D970" s="8" t="s">
        <v>1604</v>
      </c>
      <c r="E970" s="7" t="s">
        <v>1605</v>
      </c>
      <c r="F970" s="7">
        <v>189.0</v>
      </c>
      <c r="G970" s="9">
        <v>45943.0</v>
      </c>
      <c r="H970" s="6"/>
      <c r="I970" s="6"/>
      <c r="J970" s="6"/>
      <c r="K970" s="6"/>
      <c r="L970" s="6"/>
      <c r="M970" s="6"/>
      <c r="N970" s="6"/>
      <c r="O970" s="6"/>
      <c r="P970" s="6"/>
      <c r="Q970" s="6"/>
      <c r="R970" s="6"/>
      <c r="S970" s="6"/>
      <c r="T970" s="6"/>
      <c r="U970" s="6"/>
      <c r="V970" s="6"/>
      <c r="W970" s="6"/>
      <c r="X970" s="6"/>
      <c r="Y970" s="6"/>
      <c r="Z970" s="6"/>
    </row>
    <row r="971" ht="12.75" hidden="1" customHeight="1">
      <c r="A971" s="10">
        <v>969.0</v>
      </c>
      <c r="B971" s="10">
        <v>10969.0</v>
      </c>
      <c r="C971" s="10" t="s">
        <v>20</v>
      </c>
      <c r="D971" s="11" t="s">
        <v>1606</v>
      </c>
      <c r="E971" s="10" t="s">
        <v>1607</v>
      </c>
      <c r="F971" s="10">
        <v>180.0</v>
      </c>
      <c r="G971" s="12">
        <v>45770.0</v>
      </c>
      <c r="H971" s="6"/>
      <c r="I971" s="6"/>
      <c r="J971" s="6"/>
      <c r="K971" s="6"/>
      <c r="L971" s="6"/>
      <c r="M971" s="6"/>
      <c r="N971" s="6"/>
      <c r="O971" s="6"/>
      <c r="P971" s="6"/>
      <c r="Q971" s="6"/>
      <c r="R971" s="6"/>
      <c r="S971" s="6"/>
      <c r="T971" s="6"/>
      <c r="U971" s="6"/>
      <c r="V971" s="6"/>
      <c r="W971" s="6"/>
      <c r="X971" s="6"/>
      <c r="Y971" s="6"/>
      <c r="Z971" s="6"/>
    </row>
    <row r="972" ht="12.75" hidden="1" customHeight="1">
      <c r="A972" s="7">
        <v>970.0</v>
      </c>
      <c r="B972" s="7">
        <v>10970.0</v>
      </c>
      <c r="C972" s="7" t="s">
        <v>27</v>
      </c>
      <c r="D972" s="8" t="s">
        <v>1608</v>
      </c>
      <c r="E972" s="7" t="s">
        <v>1609</v>
      </c>
      <c r="F972" s="7">
        <v>163.0</v>
      </c>
      <c r="G972" s="9">
        <v>45799.0</v>
      </c>
      <c r="H972" s="6"/>
      <c r="I972" s="6"/>
      <c r="J972" s="6"/>
      <c r="K972" s="6"/>
      <c r="L972" s="6"/>
      <c r="M972" s="6"/>
      <c r="N972" s="6"/>
      <c r="O972" s="6"/>
      <c r="P972" s="6"/>
      <c r="Q972" s="6"/>
      <c r="R972" s="6"/>
      <c r="S972" s="6"/>
      <c r="T972" s="6"/>
      <c r="U972" s="6"/>
      <c r="V972" s="6"/>
      <c r="W972" s="6"/>
      <c r="X972" s="6"/>
      <c r="Y972" s="6"/>
      <c r="Z972" s="6"/>
    </row>
    <row r="973" ht="12.75" hidden="1" customHeight="1">
      <c r="A973" s="10">
        <v>971.0</v>
      </c>
      <c r="B973" s="10">
        <v>10971.0</v>
      </c>
      <c r="C973" s="10" t="s">
        <v>20</v>
      </c>
      <c r="D973" s="11" t="s">
        <v>1610</v>
      </c>
      <c r="E973" s="10" t="s">
        <v>1611</v>
      </c>
      <c r="F973" s="10">
        <v>125.0</v>
      </c>
      <c r="G973" s="12">
        <v>45794.0</v>
      </c>
      <c r="H973" s="6"/>
      <c r="I973" s="6"/>
      <c r="J973" s="6"/>
      <c r="K973" s="6"/>
      <c r="L973" s="6"/>
      <c r="M973" s="6"/>
      <c r="N973" s="6"/>
      <c r="O973" s="6"/>
      <c r="P973" s="6"/>
      <c r="Q973" s="6"/>
      <c r="R973" s="6"/>
      <c r="S973" s="6"/>
      <c r="T973" s="6"/>
      <c r="U973" s="6"/>
      <c r="V973" s="6"/>
      <c r="W973" s="6"/>
      <c r="X973" s="6"/>
      <c r="Y973" s="6"/>
      <c r="Z973" s="6"/>
    </row>
    <row r="974" ht="12.75" hidden="1" customHeight="1">
      <c r="A974" s="7">
        <v>972.0</v>
      </c>
      <c r="B974" s="7">
        <v>10972.0</v>
      </c>
      <c r="C974" s="7" t="s">
        <v>27</v>
      </c>
      <c r="D974" s="8" t="s">
        <v>1612</v>
      </c>
      <c r="E974" s="7" t="s">
        <v>1613</v>
      </c>
      <c r="F974" s="7">
        <v>124.0</v>
      </c>
      <c r="G974" s="9">
        <v>45799.0</v>
      </c>
      <c r="H974" s="6"/>
      <c r="I974" s="6"/>
      <c r="J974" s="6"/>
      <c r="K974" s="6"/>
      <c r="L974" s="6"/>
      <c r="M974" s="6"/>
      <c r="N974" s="6"/>
      <c r="O974" s="6"/>
      <c r="P974" s="6"/>
      <c r="Q974" s="6"/>
      <c r="R974" s="6"/>
      <c r="S974" s="6"/>
      <c r="T974" s="6"/>
      <c r="U974" s="6"/>
      <c r="V974" s="6"/>
      <c r="W974" s="6"/>
      <c r="X974" s="6"/>
      <c r="Y974" s="6"/>
      <c r="Z974" s="6"/>
    </row>
    <row r="975" ht="12.75" hidden="1" customHeight="1">
      <c r="A975" s="10">
        <v>973.0</v>
      </c>
      <c r="B975" s="10">
        <v>10973.0</v>
      </c>
      <c r="C975" s="10" t="s">
        <v>34</v>
      </c>
      <c r="D975" s="11" t="s">
        <v>1614</v>
      </c>
      <c r="E975" s="10" t="s">
        <v>1615</v>
      </c>
      <c r="F975" s="10">
        <v>190.0</v>
      </c>
      <c r="G975" s="12">
        <v>45810.0</v>
      </c>
      <c r="H975" s="6"/>
      <c r="I975" s="6"/>
      <c r="J975" s="6"/>
      <c r="K975" s="6"/>
      <c r="L975" s="6"/>
      <c r="M975" s="6"/>
      <c r="N975" s="6"/>
      <c r="O975" s="6"/>
      <c r="P975" s="6"/>
      <c r="Q975" s="6"/>
      <c r="R975" s="6"/>
      <c r="S975" s="6"/>
      <c r="T975" s="6"/>
      <c r="U975" s="6"/>
      <c r="V975" s="6"/>
      <c r="W975" s="6"/>
      <c r="X975" s="6"/>
      <c r="Y975" s="6"/>
      <c r="Z975" s="6"/>
    </row>
    <row r="976" ht="12.75" hidden="1" customHeight="1">
      <c r="A976" s="7">
        <v>974.0</v>
      </c>
      <c r="B976" s="7">
        <v>10974.0</v>
      </c>
      <c r="C976" s="7" t="s">
        <v>20</v>
      </c>
      <c r="D976" s="8" t="s">
        <v>1616</v>
      </c>
      <c r="E976" s="7" t="s">
        <v>1617</v>
      </c>
      <c r="F976" s="7">
        <v>109.0</v>
      </c>
      <c r="G976" s="9">
        <v>45810.0</v>
      </c>
      <c r="H976" s="6"/>
      <c r="I976" s="6"/>
      <c r="J976" s="6"/>
      <c r="K976" s="6"/>
      <c r="L976" s="6"/>
      <c r="M976" s="6"/>
      <c r="N976" s="6"/>
      <c r="O976" s="6"/>
      <c r="P976" s="6"/>
      <c r="Q976" s="6"/>
      <c r="R976" s="6"/>
      <c r="S976" s="6"/>
      <c r="T976" s="6"/>
      <c r="U976" s="6"/>
      <c r="V976" s="6"/>
      <c r="W976" s="6"/>
      <c r="X976" s="6"/>
      <c r="Y976" s="6"/>
      <c r="Z976" s="6"/>
    </row>
    <row r="977" ht="12.75" customHeight="1">
      <c r="A977" s="10">
        <v>975.0</v>
      </c>
      <c r="B977" s="10">
        <v>10975.0</v>
      </c>
      <c r="C977" s="10" t="s">
        <v>34</v>
      </c>
      <c r="D977" s="11" t="s">
        <v>1618</v>
      </c>
      <c r="E977" s="10">
        <v>0.0</v>
      </c>
      <c r="F977" s="10">
        <v>1.0</v>
      </c>
      <c r="G977" s="12">
        <v>0.0</v>
      </c>
      <c r="H977" s="6"/>
      <c r="I977" s="6"/>
      <c r="J977" s="6"/>
      <c r="K977" s="6"/>
      <c r="L977" s="6"/>
      <c r="M977" s="6"/>
      <c r="N977" s="6"/>
      <c r="O977" s="6"/>
      <c r="P977" s="6"/>
      <c r="Q977" s="6"/>
      <c r="R977" s="6"/>
      <c r="S977" s="6"/>
      <c r="T977" s="6"/>
      <c r="U977" s="6"/>
      <c r="V977" s="6"/>
      <c r="W977" s="6"/>
      <c r="X977" s="6"/>
      <c r="Y977" s="6"/>
      <c r="Z977" s="6"/>
    </row>
    <row r="978" ht="12.75" hidden="1" customHeight="1">
      <c r="A978" s="7">
        <v>976.0</v>
      </c>
      <c r="B978" s="7">
        <v>10976.0</v>
      </c>
      <c r="C978" s="7" t="s">
        <v>34</v>
      </c>
      <c r="D978" s="8" t="s">
        <v>1619</v>
      </c>
      <c r="E978" s="7" t="s">
        <v>1620</v>
      </c>
      <c r="F978" s="7">
        <v>152.0</v>
      </c>
      <c r="G978" s="9">
        <v>45834.0</v>
      </c>
      <c r="H978" s="6"/>
      <c r="I978" s="6"/>
      <c r="J978" s="6"/>
      <c r="K978" s="6"/>
      <c r="L978" s="6"/>
      <c r="M978" s="6"/>
      <c r="N978" s="6"/>
      <c r="O978" s="6"/>
      <c r="P978" s="6"/>
      <c r="Q978" s="6"/>
      <c r="R978" s="6"/>
      <c r="S978" s="6"/>
      <c r="T978" s="6"/>
      <c r="U978" s="6"/>
      <c r="V978" s="6"/>
      <c r="W978" s="6"/>
      <c r="X978" s="6"/>
      <c r="Y978" s="6"/>
      <c r="Z978" s="6"/>
    </row>
    <row r="979" ht="12.75" hidden="1" customHeight="1">
      <c r="A979" s="10">
        <v>977.0</v>
      </c>
      <c r="B979" s="10">
        <v>10977.0</v>
      </c>
      <c r="C979" s="10" t="s">
        <v>20</v>
      </c>
      <c r="D979" s="11" t="s">
        <v>1621</v>
      </c>
      <c r="E979" s="10" t="s">
        <v>1622</v>
      </c>
      <c r="F979" s="10">
        <v>109.0</v>
      </c>
      <c r="G979" s="12">
        <v>0.0</v>
      </c>
      <c r="H979" s="6"/>
      <c r="I979" s="6"/>
      <c r="J979" s="6"/>
      <c r="K979" s="6"/>
      <c r="L979" s="6"/>
      <c r="M979" s="6"/>
      <c r="N979" s="6"/>
      <c r="O979" s="6"/>
      <c r="P979" s="6"/>
      <c r="Q979" s="6"/>
      <c r="R979" s="6"/>
      <c r="S979" s="6"/>
      <c r="T979" s="6"/>
      <c r="U979" s="6"/>
      <c r="V979" s="6"/>
      <c r="W979" s="6"/>
      <c r="X979" s="6"/>
      <c r="Y979" s="6"/>
      <c r="Z979" s="6"/>
    </row>
    <row r="980" ht="12.75" hidden="1" customHeight="1">
      <c r="A980" s="7">
        <v>978.0</v>
      </c>
      <c r="B980" s="7">
        <v>10978.0</v>
      </c>
      <c r="C980" s="7" t="s">
        <v>34</v>
      </c>
      <c r="D980" s="8" t="s">
        <v>1623</v>
      </c>
      <c r="E980" s="7" t="s">
        <v>1624</v>
      </c>
      <c r="F980" s="7">
        <v>191.0</v>
      </c>
      <c r="G980" s="9">
        <v>0.0</v>
      </c>
      <c r="H980" s="6"/>
      <c r="I980" s="6"/>
      <c r="J980" s="6"/>
      <c r="K980" s="6"/>
      <c r="L980" s="6"/>
      <c r="M980" s="6"/>
      <c r="N980" s="6"/>
      <c r="O980" s="6"/>
      <c r="P980" s="6"/>
      <c r="Q980" s="6"/>
      <c r="R980" s="6"/>
      <c r="S980" s="6"/>
      <c r="T980" s="6"/>
      <c r="U980" s="6"/>
      <c r="V980" s="6"/>
      <c r="W980" s="6"/>
      <c r="X980" s="6"/>
      <c r="Y980" s="6"/>
      <c r="Z980" s="6"/>
    </row>
    <row r="981" ht="12.75" customHeight="1">
      <c r="A981" s="10">
        <v>979.0</v>
      </c>
      <c r="B981" s="10">
        <v>10979.0</v>
      </c>
      <c r="C981" s="10" t="s">
        <v>7</v>
      </c>
      <c r="D981" s="11" t="s">
        <v>1625</v>
      </c>
      <c r="E981" s="10">
        <v>0.0</v>
      </c>
      <c r="F981" s="10">
        <v>1.0</v>
      </c>
      <c r="G981" s="12">
        <v>0.0</v>
      </c>
      <c r="H981" s="6"/>
      <c r="I981" s="6"/>
      <c r="J981" s="6"/>
      <c r="K981" s="6"/>
      <c r="L981" s="6"/>
      <c r="M981" s="6"/>
      <c r="N981" s="6"/>
      <c r="O981" s="6"/>
      <c r="P981" s="6"/>
      <c r="Q981" s="6"/>
      <c r="R981" s="6"/>
      <c r="S981" s="6"/>
      <c r="T981" s="6"/>
      <c r="U981" s="6"/>
      <c r="V981" s="6"/>
      <c r="W981" s="6"/>
      <c r="X981" s="6"/>
      <c r="Y981" s="6"/>
      <c r="Z981" s="6"/>
    </row>
    <row r="982" ht="12.75" hidden="1" customHeight="1">
      <c r="A982" s="7">
        <v>980.0</v>
      </c>
      <c r="B982" s="7">
        <v>10980.0</v>
      </c>
      <c r="C982" s="7" t="s">
        <v>34</v>
      </c>
      <c r="D982" s="8" t="s">
        <v>1626</v>
      </c>
      <c r="E982" s="7" t="s">
        <v>1627</v>
      </c>
      <c r="F982" s="7">
        <v>188.0</v>
      </c>
      <c r="G982" s="9">
        <v>0.0</v>
      </c>
      <c r="H982" s="6"/>
      <c r="I982" s="6"/>
      <c r="J982" s="6"/>
      <c r="K982" s="6"/>
      <c r="L982" s="6"/>
      <c r="M982" s="6"/>
      <c r="N982" s="6"/>
      <c r="O982" s="6"/>
      <c r="P982" s="6"/>
      <c r="Q982" s="6"/>
      <c r="R982" s="6"/>
      <c r="S982" s="6"/>
      <c r="T982" s="6"/>
      <c r="U982" s="6"/>
      <c r="V982" s="6"/>
      <c r="W982" s="6"/>
      <c r="X982" s="6"/>
      <c r="Y982" s="6"/>
      <c r="Z982" s="6"/>
    </row>
    <row r="983" ht="12.75" hidden="1" customHeight="1">
      <c r="A983" s="10">
        <v>981.0</v>
      </c>
      <c r="B983" s="10">
        <v>10981.0</v>
      </c>
      <c r="C983" s="10" t="s">
        <v>7</v>
      </c>
      <c r="D983" s="11" t="s">
        <v>1628</v>
      </c>
      <c r="E983" s="10" t="s">
        <v>1629</v>
      </c>
      <c r="F983" s="10">
        <v>70.0</v>
      </c>
      <c r="G983" s="12">
        <v>0.0</v>
      </c>
      <c r="H983" s="6"/>
      <c r="I983" s="6"/>
      <c r="J983" s="6"/>
      <c r="K983" s="6"/>
      <c r="L983" s="6"/>
      <c r="M983" s="6"/>
      <c r="N983" s="6"/>
      <c r="O983" s="6"/>
      <c r="P983" s="6"/>
      <c r="Q983" s="6"/>
      <c r="R983" s="6"/>
      <c r="S983" s="6"/>
      <c r="T983" s="6"/>
      <c r="U983" s="6"/>
      <c r="V983" s="6"/>
      <c r="W983" s="6"/>
      <c r="X983" s="6"/>
      <c r="Y983" s="6"/>
      <c r="Z983" s="6"/>
    </row>
    <row r="984" ht="12.75" hidden="1" customHeight="1">
      <c r="A984" s="7">
        <v>982.0</v>
      </c>
      <c r="B984" s="7">
        <v>10982.0</v>
      </c>
      <c r="C984" s="7" t="s">
        <v>7</v>
      </c>
      <c r="D984" s="8" t="s">
        <v>1630</v>
      </c>
      <c r="E984" s="7" t="s">
        <v>1631</v>
      </c>
      <c r="F984" s="7">
        <v>29.0</v>
      </c>
      <c r="G984" s="9">
        <v>0.0</v>
      </c>
      <c r="H984" s="6"/>
      <c r="I984" s="6"/>
      <c r="J984" s="6"/>
      <c r="K984" s="6"/>
      <c r="L984" s="6"/>
      <c r="M984" s="6"/>
      <c r="N984" s="6"/>
      <c r="O984" s="6"/>
      <c r="P984" s="6"/>
      <c r="Q984" s="6"/>
      <c r="R984" s="6"/>
      <c r="S984" s="6"/>
      <c r="T984" s="6"/>
      <c r="U984" s="6"/>
      <c r="V984" s="6"/>
      <c r="W984" s="6"/>
      <c r="X984" s="6"/>
      <c r="Y984" s="6"/>
      <c r="Z984" s="6"/>
    </row>
    <row r="985" ht="12.75" hidden="1" customHeight="1">
      <c r="A985" s="10">
        <v>983.0</v>
      </c>
      <c r="B985" s="10">
        <v>10983.0</v>
      </c>
      <c r="C985" s="10" t="s">
        <v>34</v>
      </c>
      <c r="D985" s="11" t="s">
        <v>1632</v>
      </c>
      <c r="E985" s="10" t="s">
        <v>1633</v>
      </c>
      <c r="F985" s="10">
        <v>163.0</v>
      </c>
      <c r="G985" s="12">
        <v>0.0</v>
      </c>
      <c r="H985" s="6"/>
      <c r="I985" s="6"/>
      <c r="J985" s="6"/>
      <c r="K985" s="6"/>
      <c r="L985" s="6"/>
      <c r="M985" s="6"/>
      <c r="N985" s="6"/>
      <c r="O985" s="6"/>
      <c r="P985" s="6"/>
      <c r="Q985" s="6"/>
      <c r="R985" s="6"/>
      <c r="S985" s="6"/>
      <c r="T985" s="6"/>
      <c r="U985" s="6"/>
      <c r="V985" s="6"/>
      <c r="W985" s="6"/>
      <c r="X985" s="6"/>
      <c r="Y985" s="6"/>
      <c r="Z985" s="6"/>
    </row>
    <row r="986" ht="12.75" hidden="1" customHeight="1">
      <c r="A986" s="7">
        <v>984.0</v>
      </c>
      <c r="B986" s="7">
        <v>10984.0</v>
      </c>
      <c r="C986" s="7" t="s">
        <v>34</v>
      </c>
      <c r="D986" s="8" t="s">
        <v>1634</v>
      </c>
      <c r="E986" s="7" t="s">
        <v>1635</v>
      </c>
      <c r="F986" s="7">
        <v>191.0</v>
      </c>
      <c r="G986" s="9">
        <v>0.0</v>
      </c>
      <c r="H986" s="6"/>
      <c r="I986" s="6"/>
      <c r="J986" s="6"/>
      <c r="K986" s="6"/>
      <c r="L986" s="6"/>
      <c r="M986" s="6"/>
      <c r="N986" s="6"/>
      <c r="O986" s="6"/>
      <c r="P986" s="6"/>
      <c r="Q986" s="6"/>
      <c r="R986" s="6"/>
      <c r="S986" s="6"/>
      <c r="T986" s="6"/>
      <c r="U986" s="6"/>
      <c r="V986" s="6"/>
      <c r="W986" s="6"/>
      <c r="X986" s="6"/>
      <c r="Y986" s="6"/>
      <c r="Z986" s="6"/>
    </row>
    <row r="987" ht="12.75" hidden="1" customHeight="1">
      <c r="A987" s="10">
        <v>985.0</v>
      </c>
      <c r="B987" s="10">
        <v>10985.0</v>
      </c>
      <c r="C987" s="10" t="s">
        <v>20</v>
      </c>
      <c r="D987" s="11" t="s">
        <v>1636</v>
      </c>
      <c r="E987" s="10" t="s">
        <v>1637</v>
      </c>
      <c r="F987" s="10">
        <v>123.0</v>
      </c>
      <c r="G987" s="12">
        <v>0.0</v>
      </c>
      <c r="H987" s="6"/>
      <c r="I987" s="6"/>
      <c r="J987" s="6"/>
      <c r="K987" s="6"/>
      <c r="L987" s="6"/>
      <c r="M987" s="6"/>
      <c r="N987" s="6"/>
      <c r="O987" s="6"/>
      <c r="P987" s="6"/>
      <c r="Q987" s="6"/>
      <c r="R987" s="6"/>
      <c r="S987" s="6"/>
      <c r="T987" s="6"/>
      <c r="U987" s="6"/>
      <c r="V987" s="6"/>
      <c r="W987" s="6"/>
      <c r="X987" s="6"/>
      <c r="Y987" s="6"/>
      <c r="Z987" s="6"/>
    </row>
    <row r="988" ht="12.75" hidden="1" customHeight="1">
      <c r="A988" s="7">
        <v>986.0</v>
      </c>
      <c r="B988" s="7">
        <v>10986.0</v>
      </c>
      <c r="C988" s="7" t="s">
        <v>7</v>
      </c>
      <c r="D988" s="8" t="s">
        <v>1638</v>
      </c>
      <c r="E988" s="7" t="s">
        <v>51</v>
      </c>
      <c r="F988" s="7">
        <v>57.0</v>
      </c>
      <c r="G988" s="9">
        <v>0.0</v>
      </c>
      <c r="H988" s="6"/>
      <c r="I988" s="6"/>
      <c r="J988" s="6"/>
      <c r="K988" s="6"/>
      <c r="L988" s="6"/>
      <c r="M988" s="6"/>
      <c r="N988" s="6"/>
      <c r="O988" s="6"/>
      <c r="P988" s="6"/>
      <c r="Q988" s="6"/>
      <c r="R988" s="6"/>
      <c r="S988" s="6"/>
      <c r="T988" s="6"/>
      <c r="U988" s="6"/>
      <c r="V988" s="6"/>
      <c r="W988" s="6"/>
      <c r="X988" s="6"/>
      <c r="Y988" s="6"/>
      <c r="Z988" s="6"/>
    </row>
    <row r="989" ht="12.75" hidden="1" customHeight="1">
      <c r="A989" s="10">
        <v>987.0</v>
      </c>
      <c r="B989" s="10">
        <v>10987.0</v>
      </c>
      <c r="C989" s="10" t="s">
        <v>7</v>
      </c>
      <c r="D989" s="11" t="s">
        <v>1639</v>
      </c>
      <c r="E989" s="10" t="s">
        <v>1640</v>
      </c>
      <c r="F989" s="10">
        <v>54.0</v>
      </c>
      <c r="G989" s="12">
        <v>0.0</v>
      </c>
      <c r="H989" s="6"/>
      <c r="I989" s="6"/>
      <c r="J989" s="6"/>
      <c r="K989" s="6"/>
      <c r="L989" s="6"/>
      <c r="M989" s="6"/>
      <c r="N989" s="6"/>
      <c r="O989" s="6"/>
      <c r="P989" s="6"/>
      <c r="Q989" s="6"/>
      <c r="R989" s="6"/>
      <c r="S989" s="6"/>
      <c r="T989" s="6"/>
      <c r="U989" s="6"/>
      <c r="V989" s="6"/>
      <c r="W989" s="6"/>
      <c r="X989" s="6"/>
      <c r="Y989" s="6"/>
      <c r="Z989" s="6"/>
    </row>
    <row r="990" ht="12.75" hidden="1" customHeight="1">
      <c r="A990" s="7">
        <v>988.0</v>
      </c>
      <c r="B990" s="7">
        <v>10988.0</v>
      </c>
      <c r="C990" s="7" t="s">
        <v>7</v>
      </c>
      <c r="D990" s="8" t="s">
        <v>1641</v>
      </c>
      <c r="E990" s="7" t="s">
        <v>1642</v>
      </c>
      <c r="F990" s="7">
        <v>75.0</v>
      </c>
      <c r="G990" s="9">
        <v>0.0</v>
      </c>
      <c r="H990" s="6"/>
      <c r="I990" s="6"/>
      <c r="J990" s="6"/>
      <c r="K990" s="6"/>
      <c r="L990" s="6"/>
      <c r="M990" s="6"/>
      <c r="N990" s="6"/>
      <c r="O990" s="6"/>
      <c r="P990" s="6"/>
      <c r="Q990" s="6"/>
      <c r="R990" s="6"/>
      <c r="S990" s="6"/>
      <c r="T990" s="6"/>
      <c r="U990" s="6"/>
      <c r="V990" s="6"/>
      <c r="W990" s="6"/>
      <c r="X990" s="6"/>
      <c r="Y990" s="6"/>
      <c r="Z990" s="6"/>
    </row>
    <row r="991" ht="12.75" hidden="1" customHeight="1">
      <c r="A991" s="10">
        <v>989.0</v>
      </c>
      <c r="B991" s="10">
        <v>10989.0</v>
      </c>
      <c r="C991" s="10" t="s">
        <v>7</v>
      </c>
      <c r="D991" s="11" t="s">
        <v>1643</v>
      </c>
      <c r="E991" s="10" t="s">
        <v>1644</v>
      </c>
      <c r="F991" s="10">
        <v>79.0</v>
      </c>
      <c r="G991" s="12">
        <v>0.0</v>
      </c>
      <c r="H991" s="6"/>
      <c r="I991" s="6"/>
      <c r="J991" s="6"/>
      <c r="K991" s="6"/>
      <c r="L991" s="6"/>
      <c r="M991" s="6"/>
      <c r="N991" s="6"/>
      <c r="O991" s="6"/>
      <c r="P991" s="6"/>
      <c r="Q991" s="6"/>
      <c r="R991" s="6"/>
      <c r="S991" s="6"/>
      <c r="T991" s="6"/>
      <c r="U991" s="6"/>
      <c r="V991" s="6"/>
      <c r="W991" s="6"/>
      <c r="X991" s="6"/>
      <c r="Y991" s="6"/>
      <c r="Z991" s="6"/>
    </row>
    <row r="992" ht="12.75" hidden="1" customHeight="1">
      <c r="A992" s="7">
        <v>990.0</v>
      </c>
      <c r="B992" s="7">
        <v>10990.0</v>
      </c>
      <c r="C992" s="7" t="s">
        <v>7</v>
      </c>
      <c r="D992" s="8" t="s">
        <v>1645</v>
      </c>
      <c r="E992" s="7" t="s">
        <v>1646</v>
      </c>
      <c r="F992" s="7">
        <v>58.0</v>
      </c>
      <c r="G992" s="9">
        <v>0.0</v>
      </c>
      <c r="H992" s="6"/>
      <c r="I992" s="6"/>
      <c r="J992" s="6"/>
      <c r="K992" s="6"/>
      <c r="L992" s="6"/>
      <c r="M992" s="6"/>
      <c r="N992" s="6"/>
      <c r="O992" s="6"/>
      <c r="P992" s="6"/>
      <c r="Q992" s="6"/>
      <c r="R992" s="6"/>
      <c r="S992" s="6"/>
      <c r="T992" s="6"/>
      <c r="U992" s="6"/>
      <c r="V992" s="6"/>
      <c r="W992" s="6"/>
      <c r="X992" s="6"/>
      <c r="Y992" s="6"/>
      <c r="Z992" s="6"/>
    </row>
    <row r="993" ht="12.75" hidden="1" customHeight="1">
      <c r="A993" s="10">
        <v>991.0</v>
      </c>
      <c r="B993" s="10">
        <v>10991.0</v>
      </c>
      <c r="C993" s="10" t="s">
        <v>34</v>
      </c>
      <c r="D993" s="11" t="s">
        <v>1647</v>
      </c>
      <c r="E993" s="10" t="s">
        <v>1648</v>
      </c>
      <c r="F993" s="10">
        <v>159.0</v>
      </c>
      <c r="G993" s="12">
        <v>0.0</v>
      </c>
      <c r="H993" s="6"/>
      <c r="I993" s="6"/>
      <c r="J993" s="6"/>
      <c r="K993" s="6"/>
      <c r="L993" s="6"/>
      <c r="M993" s="6"/>
      <c r="N993" s="6"/>
      <c r="O993" s="6"/>
      <c r="P993" s="6"/>
      <c r="Q993" s="6"/>
      <c r="R993" s="6"/>
      <c r="S993" s="6"/>
      <c r="T993" s="6"/>
      <c r="U993" s="6"/>
      <c r="V993" s="6"/>
      <c r="W993" s="6"/>
      <c r="X993" s="6"/>
      <c r="Y993" s="6"/>
      <c r="Z993" s="6"/>
    </row>
    <row r="994" ht="12.75" hidden="1" customHeight="1">
      <c r="A994" s="7">
        <v>992.0</v>
      </c>
      <c r="B994" s="7">
        <v>10992.0</v>
      </c>
      <c r="C994" s="7" t="s">
        <v>34</v>
      </c>
      <c r="D994" s="8" t="s">
        <v>1649</v>
      </c>
      <c r="E994" s="7" t="s">
        <v>1650</v>
      </c>
      <c r="F994" s="7">
        <v>165.0</v>
      </c>
      <c r="G994" s="9">
        <v>0.0</v>
      </c>
      <c r="H994" s="6"/>
      <c r="I994" s="6"/>
      <c r="J994" s="6"/>
      <c r="K994" s="6"/>
      <c r="L994" s="6"/>
      <c r="M994" s="6"/>
      <c r="N994" s="6"/>
      <c r="O994" s="6"/>
      <c r="P994" s="6"/>
      <c r="Q994" s="6"/>
      <c r="R994" s="6"/>
      <c r="S994" s="6"/>
      <c r="T994" s="6"/>
      <c r="U994" s="6"/>
      <c r="V994" s="6"/>
      <c r="W994" s="6"/>
      <c r="X994" s="6"/>
      <c r="Y994" s="6"/>
      <c r="Z994" s="6"/>
    </row>
    <row r="995" ht="12.75" hidden="1" customHeight="1">
      <c r="A995" s="10">
        <v>993.0</v>
      </c>
      <c r="B995" s="10">
        <v>10993.0</v>
      </c>
      <c r="C995" s="10" t="s">
        <v>34</v>
      </c>
      <c r="D995" s="11" t="s">
        <v>1651</v>
      </c>
      <c r="E995" s="10" t="s">
        <v>1652</v>
      </c>
      <c r="F995" s="10">
        <v>191.0</v>
      </c>
      <c r="G995" s="12">
        <v>0.0</v>
      </c>
      <c r="H995" s="6"/>
      <c r="I995" s="6"/>
      <c r="J995" s="6"/>
      <c r="K995" s="6"/>
      <c r="L995" s="6"/>
      <c r="M995" s="6"/>
      <c r="N995" s="6"/>
      <c r="O995" s="6"/>
      <c r="P995" s="6"/>
      <c r="Q995" s="6"/>
      <c r="R995" s="6"/>
      <c r="S995" s="6"/>
      <c r="T995" s="6"/>
      <c r="U995" s="6"/>
      <c r="V995" s="6"/>
      <c r="W995" s="6"/>
      <c r="X995" s="6"/>
      <c r="Y995" s="6"/>
      <c r="Z995" s="6"/>
    </row>
    <row r="996" ht="12.75" hidden="1" customHeight="1">
      <c r="A996" s="7">
        <v>994.0</v>
      </c>
      <c r="B996" s="7">
        <v>10994.0</v>
      </c>
      <c r="C996" s="7" t="s">
        <v>7</v>
      </c>
      <c r="D996" s="8" t="s">
        <v>1653</v>
      </c>
      <c r="E996" s="7" t="s">
        <v>1654</v>
      </c>
      <c r="F996" s="7">
        <v>94.0</v>
      </c>
      <c r="G996" s="9">
        <v>0.0</v>
      </c>
      <c r="H996" s="6"/>
      <c r="I996" s="6"/>
      <c r="J996" s="6"/>
      <c r="K996" s="6"/>
      <c r="L996" s="6"/>
      <c r="M996" s="6"/>
      <c r="N996" s="6"/>
      <c r="O996" s="6"/>
      <c r="P996" s="6"/>
      <c r="Q996" s="6"/>
      <c r="R996" s="6"/>
      <c r="S996" s="6"/>
      <c r="T996" s="6"/>
      <c r="U996" s="6"/>
      <c r="V996" s="6"/>
      <c r="W996" s="6"/>
      <c r="X996" s="6"/>
      <c r="Y996" s="6"/>
      <c r="Z996" s="6"/>
    </row>
    <row r="997" ht="12.75" hidden="1" customHeight="1">
      <c r="A997" s="10">
        <v>995.0</v>
      </c>
      <c r="B997" s="10">
        <v>10995.0</v>
      </c>
      <c r="C997" s="10" t="s">
        <v>34</v>
      </c>
      <c r="D997" s="11" t="s">
        <v>1655</v>
      </c>
      <c r="E997" s="10" t="s">
        <v>1656</v>
      </c>
      <c r="F997" s="10">
        <v>196.0</v>
      </c>
      <c r="G997" s="12">
        <v>0.0</v>
      </c>
      <c r="H997" s="6"/>
      <c r="I997" s="6"/>
      <c r="J997" s="6"/>
      <c r="K997" s="6"/>
      <c r="L997" s="6"/>
      <c r="M997" s="6"/>
      <c r="N997" s="6"/>
      <c r="O997" s="6"/>
      <c r="P997" s="6"/>
      <c r="Q997" s="6"/>
      <c r="R997" s="6"/>
      <c r="S997" s="6"/>
      <c r="T997" s="6"/>
      <c r="U997" s="6"/>
      <c r="V997" s="6"/>
      <c r="W997" s="6"/>
      <c r="X997" s="6"/>
      <c r="Y997" s="6"/>
      <c r="Z997" s="6"/>
    </row>
    <row r="998" ht="12.75" hidden="1" customHeight="1">
      <c r="A998" s="7">
        <v>996.0</v>
      </c>
      <c r="B998" s="7">
        <v>10996.0</v>
      </c>
      <c r="C998" s="7" t="s">
        <v>20</v>
      </c>
      <c r="D998" s="8" t="s">
        <v>1657</v>
      </c>
      <c r="E998" s="7" t="s">
        <v>1658</v>
      </c>
      <c r="F998" s="7">
        <v>156.0</v>
      </c>
      <c r="G998" s="9">
        <v>0.0</v>
      </c>
      <c r="H998" s="6"/>
      <c r="I998" s="6"/>
      <c r="J998" s="6"/>
      <c r="K998" s="6"/>
      <c r="L998" s="6"/>
      <c r="M998" s="6"/>
      <c r="N998" s="6"/>
      <c r="O998" s="6"/>
      <c r="P998" s="6"/>
      <c r="Q998" s="6"/>
      <c r="R998" s="6"/>
      <c r="S998" s="6"/>
      <c r="T998" s="6"/>
      <c r="U998" s="6"/>
      <c r="V998" s="6"/>
      <c r="W998" s="6"/>
      <c r="X998" s="6"/>
      <c r="Y998" s="6"/>
      <c r="Z998" s="6"/>
    </row>
    <row r="999" ht="12.75" hidden="1" customHeight="1">
      <c r="A999" s="10">
        <v>997.0</v>
      </c>
      <c r="B999" s="10">
        <v>10997.0</v>
      </c>
      <c r="C999" s="10" t="s">
        <v>7</v>
      </c>
      <c r="D999" s="11" t="s">
        <v>1659</v>
      </c>
      <c r="E999" s="10" t="s">
        <v>1660</v>
      </c>
      <c r="F999" s="10">
        <v>64.0</v>
      </c>
      <c r="G999" s="12">
        <v>0.0</v>
      </c>
      <c r="H999" s="6"/>
      <c r="I999" s="6"/>
      <c r="J999" s="6"/>
      <c r="K999" s="6"/>
      <c r="L999" s="6"/>
      <c r="M999" s="6"/>
      <c r="N999" s="6"/>
      <c r="O999" s="6"/>
      <c r="P999" s="6"/>
      <c r="Q999" s="6"/>
      <c r="R999" s="6"/>
      <c r="S999" s="6"/>
      <c r="T999" s="6"/>
      <c r="U999" s="6"/>
      <c r="V999" s="6"/>
      <c r="W999" s="6"/>
      <c r="X999" s="6"/>
      <c r="Y999" s="6"/>
      <c r="Z999" s="6"/>
    </row>
    <row r="1000" ht="12.75" hidden="1" customHeight="1">
      <c r="A1000" s="7">
        <v>998.0</v>
      </c>
      <c r="B1000" s="7">
        <v>10998.0</v>
      </c>
      <c r="C1000" s="7" t="s">
        <v>34</v>
      </c>
      <c r="D1000" s="8" t="s">
        <v>1661</v>
      </c>
      <c r="E1000" s="7" t="s">
        <v>1662</v>
      </c>
      <c r="F1000" s="7">
        <v>188.0</v>
      </c>
      <c r="G1000" s="9">
        <v>0.0</v>
      </c>
      <c r="H1000" s="6"/>
      <c r="I1000" s="6"/>
      <c r="J1000" s="6"/>
      <c r="K1000" s="6"/>
      <c r="L1000" s="6"/>
      <c r="M1000" s="6"/>
      <c r="N1000" s="6"/>
      <c r="O1000" s="6"/>
      <c r="P1000" s="6"/>
      <c r="Q1000" s="6"/>
      <c r="R1000" s="6"/>
      <c r="S1000" s="6"/>
      <c r="T1000" s="6"/>
      <c r="U1000" s="6"/>
      <c r="V1000" s="6"/>
      <c r="W1000" s="6"/>
      <c r="X1000" s="6"/>
      <c r="Y1000" s="6"/>
      <c r="Z1000" s="6"/>
    </row>
    <row r="1001" ht="12.75" hidden="1" customHeight="1">
      <c r="A1001" s="10">
        <v>999.0</v>
      </c>
      <c r="B1001" s="10">
        <v>10999.0</v>
      </c>
      <c r="C1001" s="10" t="s">
        <v>7</v>
      </c>
      <c r="D1001" s="11" t="s">
        <v>1663</v>
      </c>
      <c r="E1001" s="10" t="s">
        <v>1664</v>
      </c>
      <c r="F1001" s="10">
        <v>70.0</v>
      </c>
      <c r="G1001" s="12">
        <v>0.0</v>
      </c>
      <c r="H1001" s="6"/>
      <c r="I1001" s="6"/>
      <c r="J1001" s="6"/>
      <c r="K1001" s="6"/>
      <c r="L1001" s="6"/>
      <c r="M1001" s="6"/>
      <c r="N1001" s="6"/>
      <c r="O1001" s="6"/>
      <c r="P1001" s="6"/>
      <c r="Q1001" s="6"/>
      <c r="R1001" s="6"/>
      <c r="S1001" s="6"/>
      <c r="T1001" s="6"/>
      <c r="U1001" s="6"/>
      <c r="V1001" s="6"/>
      <c r="W1001" s="6"/>
      <c r="X1001" s="6"/>
      <c r="Y1001" s="6"/>
      <c r="Z1001" s="6"/>
    </row>
    <row r="1002" ht="12.75" hidden="1" customHeight="1">
      <c r="A1002" s="7">
        <v>1000.0</v>
      </c>
      <c r="B1002" s="7">
        <v>11000.0</v>
      </c>
      <c r="C1002" s="7" t="s">
        <v>7</v>
      </c>
      <c r="D1002" s="8" t="s">
        <v>1665</v>
      </c>
      <c r="E1002" s="7" t="s">
        <v>1666</v>
      </c>
      <c r="F1002" s="7">
        <v>61.0</v>
      </c>
      <c r="G1002" s="9">
        <v>0.0</v>
      </c>
      <c r="H1002" s="6"/>
      <c r="I1002" s="6"/>
      <c r="J1002" s="6"/>
      <c r="K1002" s="6"/>
      <c r="L1002" s="6"/>
      <c r="M1002" s="6"/>
      <c r="N1002" s="6"/>
      <c r="O1002" s="6"/>
      <c r="P1002" s="6"/>
      <c r="Q1002" s="6"/>
      <c r="R1002" s="6"/>
      <c r="S1002" s="6"/>
      <c r="T1002" s="6"/>
      <c r="U1002" s="6"/>
      <c r="V1002" s="6"/>
      <c r="W1002" s="6"/>
      <c r="X1002" s="6"/>
      <c r="Y1002" s="6"/>
      <c r="Z1002" s="6"/>
    </row>
    <row r="1003" ht="12.75" hidden="1" customHeight="1">
      <c r="A1003" s="10">
        <v>1001.0</v>
      </c>
      <c r="B1003" s="10">
        <v>11001.0</v>
      </c>
      <c r="C1003" s="10" t="s">
        <v>34</v>
      </c>
      <c r="D1003" s="11" t="s">
        <v>1667</v>
      </c>
      <c r="E1003" s="10" t="s">
        <v>1668</v>
      </c>
      <c r="F1003" s="10">
        <v>180.0</v>
      </c>
      <c r="G1003" s="12">
        <v>0.0</v>
      </c>
      <c r="H1003" s="6"/>
      <c r="I1003" s="6"/>
      <c r="J1003" s="6"/>
      <c r="K1003" s="6"/>
      <c r="L1003" s="6"/>
      <c r="M1003" s="6"/>
      <c r="N1003" s="6"/>
      <c r="O1003" s="6"/>
      <c r="P1003" s="6"/>
      <c r="Q1003" s="6"/>
      <c r="R1003" s="6"/>
      <c r="S1003" s="6"/>
      <c r="T1003" s="6"/>
      <c r="U1003" s="6"/>
      <c r="V1003" s="6"/>
      <c r="W1003" s="6"/>
      <c r="X1003" s="6"/>
      <c r="Y1003" s="6"/>
      <c r="Z1003" s="6"/>
    </row>
    <row r="1004" ht="12.75" hidden="1" customHeight="1">
      <c r="A1004" s="7">
        <v>1002.0</v>
      </c>
      <c r="B1004" s="7">
        <v>11002.0</v>
      </c>
      <c r="C1004" s="7" t="s">
        <v>20</v>
      </c>
      <c r="D1004" s="8" t="s">
        <v>1669</v>
      </c>
      <c r="E1004" s="7" t="s">
        <v>1670</v>
      </c>
      <c r="F1004" s="7">
        <v>127.0</v>
      </c>
      <c r="G1004" s="9">
        <v>0.0</v>
      </c>
      <c r="H1004" s="6"/>
      <c r="I1004" s="6"/>
      <c r="J1004" s="6"/>
      <c r="K1004" s="6"/>
      <c r="L1004" s="6"/>
      <c r="M1004" s="6"/>
      <c r="N1004" s="6"/>
      <c r="O1004" s="6"/>
      <c r="P1004" s="6"/>
      <c r="Q1004" s="6"/>
      <c r="R1004" s="6"/>
      <c r="S1004" s="6"/>
      <c r="T1004" s="6"/>
      <c r="U1004" s="6"/>
      <c r="V1004" s="6"/>
      <c r="W1004" s="6"/>
      <c r="X1004" s="6"/>
      <c r="Y1004" s="6"/>
      <c r="Z1004" s="6"/>
    </row>
    <row r="1005" ht="12.75" hidden="1" customHeight="1">
      <c r="A1005" s="10">
        <v>1003.0</v>
      </c>
      <c r="B1005" s="10">
        <v>11003.0</v>
      </c>
      <c r="C1005" s="10" t="s">
        <v>20</v>
      </c>
      <c r="D1005" s="11" t="s">
        <v>1671</v>
      </c>
      <c r="E1005" s="10" t="s">
        <v>1672</v>
      </c>
      <c r="F1005" s="10">
        <v>125.0</v>
      </c>
      <c r="G1005" s="12">
        <v>0.0</v>
      </c>
      <c r="H1005" s="6"/>
      <c r="I1005" s="6"/>
      <c r="J1005" s="6"/>
      <c r="K1005" s="6"/>
      <c r="L1005" s="6"/>
      <c r="M1005" s="6"/>
      <c r="N1005" s="6"/>
      <c r="O1005" s="6"/>
      <c r="P1005" s="6"/>
      <c r="Q1005" s="6"/>
      <c r="R1005" s="6"/>
      <c r="S1005" s="6"/>
      <c r="T1005" s="6"/>
      <c r="U1005" s="6"/>
      <c r="V1005" s="6"/>
      <c r="W1005" s="6"/>
      <c r="X1005" s="6"/>
      <c r="Y1005" s="6"/>
      <c r="Z1005" s="6"/>
    </row>
    <row r="1006" ht="12.75" hidden="1" customHeight="1">
      <c r="A1006" s="7">
        <v>1004.0</v>
      </c>
      <c r="B1006" s="7">
        <v>11004.0</v>
      </c>
      <c r="C1006" s="7" t="s">
        <v>7</v>
      </c>
      <c r="D1006" s="8" t="s">
        <v>1673</v>
      </c>
      <c r="E1006" s="7" t="s">
        <v>1674</v>
      </c>
      <c r="F1006" s="7">
        <v>71.0</v>
      </c>
      <c r="G1006" s="9">
        <v>0.0</v>
      </c>
      <c r="H1006" s="6"/>
      <c r="I1006" s="6"/>
      <c r="J1006" s="6"/>
      <c r="K1006" s="6"/>
      <c r="L1006" s="6"/>
      <c r="M1006" s="6"/>
      <c r="N1006" s="6"/>
      <c r="O1006" s="6"/>
      <c r="P1006" s="6"/>
      <c r="Q1006" s="6"/>
      <c r="R1006" s="6"/>
      <c r="S1006" s="6"/>
      <c r="T1006" s="6"/>
      <c r="U1006" s="6"/>
      <c r="V1006" s="6"/>
      <c r="W1006" s="6"/>
      <c r="X1006" s="6"/>
      <c r="Y1006" s="6"/>
      <c r="Z1006" s="6"/>
    </row>
    <row r="1007" ht="12.75" hidden="1" customHeight="1">
      <c r="A1007" s="10">
        <v>1005.0</v>
      </c>
      <c r="B1007" s="10">
        <v>11005.0</v>
      </c>
      <c r="C1007" s="10" t="s">
        <v>34</v>
      </c>
      <c r="D1007" s="11" t="s">
        <v>1675</v>
      </c>
      <c r="E1007" s="10" t="s">
        <v>1676</v>
      </c>
      <c r="F1007" s="10">
        <v>160.0</v>
      </c>
      <c r="G1007" s="12">
        <v>0.0</v>
      </c>
      <c r="H1007" s="6"/>
      <c r="I1007" s="6"/>
      <c r="J1007" s="6"/>
      <c r="K1007" s="6"/>
      <c r="L1007" s="6"/>
      <c r="M1007" s="6"/>
      <c r="N1007" s="6"/>
      <c r="O1007" s="6"/>
      <c r="P1007" s="6"/>
      <c r="Q1007" s="6"/>
      <c r="R1007" s="6"/>
      <c r="S1007" s="6"/>
      <c r="T1007" s="6"/>
      <c r="U1007" s="6"/>
      <c r="V1007" s="6"/>
      <c r="W1007" s="6"/>
      <c r="X1007" s="6"/>
      <c r="Y1007" s="6"/>
      <c r="Z1007" s="6"/>
    </row>
    <row r="1008" ht="12.75" hidden="1" customHeight="1">
      <c r="A1008" s="7">
        <v>1006.0</v>
      </c>
      <c r="B1008" s="7">
        <v>11006.0</v>
      </c>
      <c r="C1008" s="7" t="s">
        <v>7</v>
      </c>
      <c r="D1008" s="8" t="s">
        <v>1677</v>
      </c>
      <c r="E1008" s="7" t="s">
        <v>1678</v>
      </c>
      <c r="F1008" s="7">
        <v>83.0</v>
      </c>
      <c r="G1008" s="9">
        <v>0.0</v>
      </c>
      <c r="H1008" s="6"/>
      <c r="I1008" s="6"/>
      <c r="J1008" s="6"/>
      <c r="K1008" s="6"/>
      <c r="L1008" s="6"/>
      <c r="M1008" s="6"/>
      <c r="N1008" s="6"/>
      <c r="O1008" s="6"/>
      <c r="P1008" s="6"/>
      <c r="Q1008" s="6"/>
      <c r="R1008" s="6"/>
      <c r="S1008" s="6"/>
      <c r="T1008" s="6"/>
      <c r="U1008" s="6"/>
      <c r="V1008" s="6"/>
      <c r="W1008" s="6"/>
      <c r="X1008" s="6"/>
      <c r="Y1008" s="6"/>
      <c r="Z1008" s="6"/>
    </row>
    <row r="1009" ht="12.75" hidden="1" customHeight="1">
      <c r="A1009" s="10">
        <v>1007.0</v>
      </c>
      <c r="B1009" s="10">
        <v>11007.0</v>
      </c>
      <c r="C1009" s="10" t="s">
        <v>34</v>
      </c>
      <c r="D1009" s="11" t="s">
        <v>1679</v>
      </c>
      <c r="E1009" s="10" t="s">
        <v>1680</v>
      </c>
      <c r="F1009" s="10">
        <v>173.0</v>
      </c>
      <c r="G1009" s="12">
        <v>0.0</v>
      </c>
      <c r="H1009" s="6"/>
      <c r="I1009" s="6"/>
      <c r="J1009" s="6"/>
      <c r="K1009" s="6"/>
      <c r="L1009" s="6"/>
      <c r="M1009" s="6"/>
      <c r="N1009" s="6"/>
      <c r="O1009" s="6"/>
      <c r="P1009" s="6"/>
      <c r="Q1009" s="6"/>
      <c r="R1009" s="6"/>
      <c r="S1009" s="6"/>
      <c r="T1009" s="6"/>
      <c r="U1009" s="6"/>
      <c r="V1009" s="6"/>
      <c r="W1009" s="6"/>
      <c r="X1009" s="6"/>
      <c r="Y1009" s="6"/>
      <c r="Z1009" s="6"/>
    </row>
    <row r="1010" ht="12.75" hidden="1" customHeight="1">
      <c r="A1010" s="7">
        <v>1008.0</v>
      </c>
      <c r="B1010" s="7">
        <v>11008.0</v>
      </c>
      <c r="C1010" s="7" t="s">
        <v>7</v>
      </c>
      <c r="D1010" s="8" t="s">
        <v>1681</v>
      </c>
      <c r="E1010" s="7" t="s">
        <v>1682</v>
      </c>
      <c r="F1010" s="7">
        <v>78.0</v>
      </c>
      <c r="G1010" s="9">
        <v>0.0</v>
      </c>
      <c r="H1010" s="6"/>
      <c r="I1010" s="6"/>
      <c r="J1010" s="6"/>
      <c r="K1010" s="6"/>
      <c r="L1010" s="6"/>
      <c r="M1010" s="6"/>
      <c r="N1010" s="6"/>
      <c r="O1010" s="6"/>
      <c r="P1010" s="6"/>
      <c r="Q1010" s="6"/>
      <c r="R1010" s="6"/>
      <c r="S1010" s="6"/>
      <c r="T1010" s="6"/>
      <c r="U1010" s="6"/>
      <c r="V1010" s="6"/>
      <c r="W1010" s="6"/>
      <c r="X1010" s="6"/>
      <c r="Y1010" s="6"/>
      <c r="Z1010" s="6"/>
    </row>
    <row r="1011" ht="12.75" hidden="1" customHeight="1">
      <c r="A1011" s="10">
        <v>1009.0</v>
      </c>
      <c r="B1011" s="10">
        <v>11009.0</v>
      </c>
      <c r="C1011" s="10" t="s">
        <v>7</v>
      </c>
      <c r="D1011" s="11" t="s">
        <v>1683</v>
      </c>
      <c r="E1011" s="10" t="s">
        <v>1684</v>
      </c>
      <c r="F1011" s="10">
        <v>91.0</v>
      </c>
      <c r="G1011" s="12">
        <v>45943.0</v>
      </c>
      <c r="H1011" s="6"/>
      <c r="I1011" s="6"/>
      <c r="J1011" s="6"/>
      <c r="K1011" s="6"/>
      <c r="L1011" s="6"/>
      <c r="M1011" s="6"/>
      <c r="N1011" s="6"/>
      <c r="O1011" s="6"/>
      <c r="P1011" s="6"/>
      <c r="Q1011" s="6"/>
      <c r="R1011" s="6"/>
      <c r="S1011" s="6"/>
      <c r="T1011" s="6"/>
      <c r="U1011" s="6"/>
      <c r="V1011" s="6"/>
      <c r="W1011" s="6"/>
      <c r="X1011" s="6"/>
      <c r="Y1011" s="6"/>
      <c r="Z1011" s="6"/>
    </row>
    <row r="1012" ht="12.75" hidden="1" customHeight="1">
      <c r="A1012" s="7">
        <v>1010.0</v>
      </c>
      <c r="B1012" s="7">
        <v>11010.0</v>
      </c>
      <c r="C1012" s="7" t="s">
        <v>7</v>
      </c>
      <c r="D1012" s="8" t="s">
        <v>1685</v>
      </c>
      <c r="E1012" s="7" t="s">
        <v>1686</v>
      </c>
      <c r="F1012" s="7">
        <v>72.0</v>
      </c>
      <c r="G1012" s="9">
        <v>0.0</v>
      </c>
      <c r="H1012" s="6"/>
      <c r="I1012" s="6"/>
      <c r="J1012" s="6"/>
      <c r="K1012" s="6"/>
      <c r="L1012" s="6"/>
      <c r="M1012" s="6"/>
      <c r="N1012" s="6"/>
      <c r="O1012" s="6"/>
      <c r="P1012" s="6"/>
      <c r="Q1012" s="6"/>
      <c r="R1012" s="6"/>
      <c r="S1012" s="6"/>
      <c r="T1012" s="6"/>
      <c r="U1012" s="6"/>
      <c r="V1012" s="6"/>
      <c r="W1012" s="6"/>
      <c r="X1012" s="6"/>
      <c r="Y1012" s="6"/>
      <c r="Z1012" s="6"/>
    </row>
    <row r="1013" ht="12.75" hidden="1" customHeight="1">
      <c r="A1013" s="10">
        <v>1011.0</v>
      </c>
      <c r="B1013" s="10">
        <v>11011.0</v>
      </c>
      <c r="C1013" s="10" t="s">
        <v>34</v>
      </c>
      <c r="D1013" s="11" t="s">
        <v>1687</v>
      </c>
      <c r="E1013" s="10" t="s">
        <v>1688</v>
      </c>
      <c r="F1013" s="10">
        <v>156.0</v>
      </c>
      <c r="G1013" s="12">
        <v>0.0</v>
      </c>
      <c r="H1013" s="6"/>
      <c r="I1013" s="6"/>
      <c r="J1013" s="6"/>
      <c r="K1013" s="6"/>
      <c r="L1013" s="6"/>
      <c r="M1013" s="6"/>
      <c r="N1013" s="6"/>
      <c r="O1013" s="6"/>
      <c r="P1013" s="6"/>
      <c r="Q1013" s="6"/>
      <c r="R1013" s="6"/>
      <c r="S1013" s="6"/>
      <c r="T1013" s="6"/>
      <c r="U1013" s="6"/>
      <c r="V1013" s="6"/>
      <c r="W1013" s="6"/>
      <c r="X1013" s="6"/>
      <c r="Y1013" s="6"/>
      <c r="Z1013" s="6"/>
    </row>
    <row r="1014" ht="12.75" hidden="1" customHeight="1">
      <c r="A1014" s="7">
        <v>1012.0</v>
      </c>
      <c r="B1014" s="7">
        <v>11012.0</v>
      </c>
      <c r="C1014" s="7" t="s">
        <v>34</v>
      </c>
      <c r="D1014" s="8" t="s">
        <v>1689</v>
      </c>
      <c r="E1014" s="7" t="s">
        <v>1690</v>
      </c>
      <c r="F1014" s="7">
        <v>194.0</v>
      </c>
      <c r="G1014" s="9">
        <v>0.0</v>
      </c>
      <c r="H1014" s="6"/>
      <c r="I1014" s="6"/>
      <c r="J1014" s="6"/>
      <c r="K1014" s="6"/>
      <c r="L1014" s="6"/>
      <c r="M1014" s="6"/>
      <c r="N1014" s="6"/>
      <c r="O1014" s="6"/>
      <c r="P1014" s="6"/>
      <c r="Q1014" s="6"/>
      <c r="R1014" s="6"/>
      <c r="S1014" s="6"/>
      <c r="T1014" s="6"/>
      <c r="U1014" s="6"/>
      <c r="V1014" s="6"/>
      <c r="W1014" s="6"/>
      <c r="X1014" s="6"/>
      <c r="Y1014" s="6"/>
      <c r="Z1014" s="6"/>
    </row>
    <row r="1015" ht="12.75" hidden="1" customHeight="1">
      <c r="A1015" s="10">
        <v>1013.0</v>
      </c>
      <c r="B1015" s="10">
        <v>11013.0</v>
      </c>
      <c r="C1015" s="10" t="s">
        <v>20</v>
      </c>
      <c r="D1015" s="11" t="s">
        <v>1691</v>
      </c>
      <c r="E1015" s="10" t="s">
        <v>1692</v>
      </c>
      <c r="F1015" s="10">
        <v>169.0</v>
      </c>
      <c r="G1015" s="12">
        <v>0.0</v>
      </c>
      <c r="H1015" s="6"/>
      <c r="I1015" s="6"/>
      <c r="J1015" s="6"/>
      <c r="K1015" s="6"/>
      <c r="L1015" s="6"/>
      <c r="M1015" s="6"/>
      <c r="N1015" s="6"/>
      <c r="O1015" s="6"/>
      <c r="P1015" s="6"/>
      <c r="Q1015" s="6"/>
      <c r="R1015" s="6"/>
      <c r="S1015" s="6"/>
      <c r="T1015" s="6"/>
      <c r="U1015" s="6"/>
      <c r="V1015" s="6"/>
      <c r="W1015" s="6"/>
      <c r="X1015" s="6"/>
      <c r="Y1015" s="6"/>
      <c r="Z1015" s="6"/>
    </row>
    <row r="1016" ht="12.75" hidden="1" customHeight="1">
      <c r="A1016" s="7">
        <v>1014.0</v>
      </c>
      <c r="B1016" s="7">
        <v>11014.0</v>
      </c>
      <c r="C1016" s="7" t="s">
        <v>20</v>
      </c>
      <c r="D1016" s="8" t="s">
        <v>1693</v>
      </c>
      <c r="E1016" s="7" t="s">
        <v>1694</v>
      </c>
      <c r="F1016" s="7">
        <v>145.0</v>
      </c>
      <c r="G1016" s="9">
        <v>0.0</v>
      </c>
      <c r="H1016" s="6"/>
      <c r="I1016" s="6"/>
      <c r="J1016" s="6"/>
      <c r="K1016" s="6"/>
      <c r="L1016" s="6"/>
      <c r="M1016" s="6"/>
      <c r="N1016" s="6"/>
      <c r="O1016" s="6"/>
      <c r="P1016" s="6"/>
      <c r="Q1016" s="6"/>
      <c r="R1016" s="6"/>
      <c r="S1016" s="6"/>
      <c r="T1016" s="6"/>
      <c r="U1016" s="6"/>
      <c r="V1016" s="6"/>
      <c r="W1016" s="6"/>
      <c r="X1016" s="6"/>
      <c r="Y1016" s="6"/>
      <c r="Z1016" s="6"/>
    </row>
    <row r="1017" ht="12.75" hidden="1" customHeight="1">
      <c r="A1017" s="10">
        <v>1015.0</v>
      </c>
      <c r="B1017" s="10">
        <v>11015.0</v>
      </c>
      <c r="C1017" s="10" t="s">
        <v>34</v>
      </c>
      <c r="D1017" s="11" t="s">
        <v>1695</v>
      </c>
      <c r="E1017" s="10" t="s">
        <v>1662</v>
      </c>
      <c r="F1017" s="10">
        <v>188.0</v>
      </c>
      <c r="G1017" s="12">
        <v>0.0</v>
      </c>
      <c r="H1017" s="6"/>
      <c r="I1017" s="6"/>
      <c r="J1017" s="6"/>
      <c r="K1017" s="6"/>
      <c r="L1017" s="6"/>
      <c r="M1017" s="6"/>
      <c r="N1017" s="6"/>
      <c r="O1017" s="6"/>
      <c r="P1017" s="6"/>
      <c r="Q1017" s="6"/>
      <c r="R1017" s="6"/>
      <c r="S1017" s="6"/>
      <c r="T1017" s="6"/>
      <c r="U1017" s="6"/>
      <c r="V1017" s="6"/>
      <c r="W1017" s="6"/>
      <c r="X1017" s="6"/>
      <c r="Y1017" s="6"/>
      <c r="Z1017" s="6"/>
    </row>
    <row r="1018" ht="12.75" hidden="1" customHeight="1">
      <c r="A1018" s="7">
        <v>1016.0</v>
      </c>
      <c r="B1018" s="7">
        <v>11016.0</v>
      </c>
      <c r="C1018" s="7" t="s">
        <v>34</v>
      </c>
      <c r="D1018" s="8" t="s">
        <v>1696</v>
      </c>
      <c r="E1018" s="7" t="s">
        <v>1697</v>
      </c>
      <c r="F1018" s="7">
        <v>191.0</v>
      </c>
      <c r="G1018" s="9">
        <v>0.0</v>
      </c>
      <c r="H1018" s="6"/>
      <c r="I1018" s="6"/>
      <c r="J1018" s="6"/>
      <c r="K1018" s="6"/>
      <c r="L1018" s="6"/>
      <c r="M1018" s="6"/>
      <c r="N1018" s="6"/>
      <c r="O1018" s="6"/>
      <c r="P1018" s="6"/>
      <c r="Q1018" s="6"/>
      <c r="R1018" s="6"/>
      <c r="S1018" s="6"/>
      <c r="T1018" s="6"/>
      <c r="U1018" s="6"/>
      <c r="V1018" s="6"/>
      <c r="W1018" s="6"/>
      <c r="X1018" s="6"/>
      <c r="Y1018" s="6"/>
      <c r="Z1018" s="6"/>
    </row>
    <row r="1019" ht="12.75" hidden="1" customHeight="1">
      <c r="A1019" s="10">
        <v>1017.0</v>
      </c>
      <c r="B1019" s="10">
        <v>11017.0</v>
      </c>
      <c r="C1019" s="10" t="s">
        <v>34</v>
      </c>
      <c r="D1019" s="11" t="s">
        <v>1698</v>
      </c>
      <c r="E1019" s="10" t="s">
        <v>1699</v>
      </c>
      <c r="F1019" s="10">
        <v>195.0</v>
      </c>
      <c r="G1019" s="12">
        <v>0.0</v>
      </c>
      <c r="H1019" s="6"/>
      <c r="I1019" s="6"/>
      <c r="J1019" s="6"/>
      <c r="K1019" s="6"/>
      <c r="L1019" s="6"/>
      <c r="M1019" s="6"/>
      <c r="N1019" s="6"/>
      <c r="O1019" s="6"/>
      <c r="P1019" s="6"/>
      <c r="Q1019" s="6"/>
      <c r="R1019" s="6"/>
      <c r="S1019" s="6"/>
      <c r="T1019" s="6"/>
      <c r="U1019" s="6"/>
      <c r="V1019" s="6"/>
      <c r="W1019" s="6"/>
      <c r="X1019" s="6"/>
      <c r="Y1019" s="6"/>
      <c r="Z1019" s="6"/>
    </row>
    <row r="1020" ht="12.75" hidden="1" customHeight="1">
      <c r="A1020" s="7">
        <v>1018.0</v>
      </c>
      <c r="B1020" s="7">
        <v>11018.0</v>
      </c>
      <c r="C1020" s="7" t="s">
        <v>27</v>
      </c>
      <c r="D1020" s="8" t="s">
        <v>1700</v>
      </c>
      <c r="E1020" s="7" t="s">
        <v>1701</v>
      </c>
      <c r="F1020" s="7">
        <v>160.0</v>
      </c>
      <c r="G1020" s="9">
        <v>0.0</v>
      </c>
      <c r="H1020" s="6"/>
      <c r="I1020" s="6"/>
      <c r="J1020" s="6"/>
      <c r="K1020" s="6"/>
      <c r="L1020" s="6"/>
      <c r="M1020" s="6"/>
      <c r="N1020" s="6"/>
      <c r="O1020" s="6"/>
      <c r="P1020" s="6"/>
      <c r="Q1020" s="6"/>
      <c r="R1020" s="6"/>
      <c r="S1020" s="6"/>
      <c r="T1020" s="6"/>
      <c r="U1020" s="6"/>
      <c r="V1020" s="6"/>
      <c r="W1020" s="6"/>
      <c r="X1020" s="6"/>
      <c r="Y1020" s="6"/>
      <c r="Z1020" s="6"/>
    </row>
    <row r="1021" ht="12.75" hidden="1" customHeight="1">
      <c r="A1021" s="10">
        <v>1019.0</v>
      </c>
      <c r="B1021" s="10">
        <v>11019.0</v>
      </c>
      <c r="C1021" s="10" t="s">
        <v>7</v>
      </c>
      <c r="D1021" s="11" t="s">
        <v>1702</v>
      </c>
      <c r="E1021" s="10" t="s">
        <v>1703</v>
      </c>
      <c r="F1021" s="10">
        <v>72.0</v>
      </c>
      <c r="G1021" s="12">
        <v>0.0</v>
      </c>
      <c r="H1021" s="6"/>
      <c r="I1021" s="6"/>
      <c r="J1021" s="6"/>
      <c r="K1021" s="6"/>
      <c r="L1021" s="6"/>
      <c r="M1021" s="6"/>
      <c r="N1021" s="6"/>
      <c r="O1021" s="6"/>
      <c r="P1021" s="6"/>
      <c r="Q1021" s="6"/>
      <c r="R1021" s="6"/>
      <c r="S1021" s="6"/>
      <c r="T1021" s="6"/>
      <c r="U1021" s="6"/>
      <c r="V1021" s="6"/>
      <c r="W1021" s="6"/>
      <c r="X1021" s="6"/>
      <c r="Y1021" s="6"/>
      <c r="Z1021" s="6"/>
    </row>
    <row r="1022" ht="12.75" hidden="1" customHeight="1">
      <c r="A1022" s="7">
        <v>1020.0</v>
      </c>
      <c r="B1022" s="7">
        <v>11020.0</v>
      </c>
      <c r="C1022" s="7" t="s">
        <v>7</v>
      </c>
      <c r="D1022" s="8" t="s">
        <v>1704</v>
      </c>
      <c r="E1022" s="7" t="s">
        <v>1705</v>
      </c>
      <c r="F1022" s="7">
        <v>63.0</v>
      </c>
      <c r="G1022" s="9">
        <v>0.0</v>
      </c>
      <c r="H1022" s="6"/>
      <c r="I1022" s="6"/>
      <c r="J1022" s="6"/>
      <c r="K1022" s="6"/>
      <c r="L1022" s="6"/>
      <c r="M1022" s="6"/>
      <c r="N1022" s="6"/>
      <c r="O1022" s="6"/>
      <c r="P1022" s="6"/>
      <c r="Q1022" s="6"/>
      <c r="R1022" s="6"/>
      <c r="S1022" s="6"/>
      <c r="T1022" s="6"/>
      <c r="U1022" s="6"/>
      <c r="V1022" s="6"/>
      <c r="W1022" s="6"/>
      <c r="X1022" s="6"/>
      <c r="Y1022" s="6"/>
      <c r="Z1022" s="6"/>
    </row>
    <row r="1023" ht="12.75" hidden="1" customHeight="1">
      <c r="A1023" s="10">
        <v>1021.0</v>
      </c>
      <c r="B1023" s="10">
        <v>11021.0</v>
      </c>
      <c r="C1023" s="10" t="s">
        <v>34</v>
      </c>
      <c r="D1023" s="11" t="s">
        <v>1706</v>
      </c>
      <c r="E1023" s="10" t="s">
        <v>1707</v>
      </c>
      <c r="F1023" s="10">
        <v>190.0</v>
      </c>
      <c r="G1023" s="12">
        <v>0.0</v>
      </c>
      <c r="H1023" s="6"/>
      <c r="I1023" s="6"/>
      <c r="J1023" s="6"/>
      <c r="K1023" s="6"/>
      <c r="L1023" s="6"/>
      <c r="M1023" s="6"/>
      <c r="N1023" s="6"/>
      <c r="O1023" s="6"/>
      <c r="P1023" s="6"/>
      <c r="Q1023" s="6"/>
      <c r="R1023" s="6"/>
      <c r="S1023" s="6"/>
      <c r="T1023" s="6"/>
      <c r="U1023" s="6"/>
      <c r="V1023" s="6"/>
      <c r="W1023" s="6"/>
      <c r="X1023" s="6"/>
      <c r="Y1023" s="6"/>
      <c r="Z1023" s="6"/>
    </row>
    <row r="1024" ht="12.75" hidden="1" customHeight="1">
      <c r="A1024" s="7">
        <v>1022.0</v>
      </c>
      <c r="B1024" s="7">
        <v>11022.0</v>
      </c>
      <c r="C1024" s="7" t="s">
        <v>7</v>
      </c>
      <c r="D1024" s="8" t="s">
        <v>1708</v>
      </c>
      <c r="E1024" s="7" t="s">
        <v>1709</v>
      </c>
      <c r="F1024" s="7">
        <v>82.0</v>
      </c>
      <c r="G1024" s="9">
        <v>0.0</v>
      </c>
      <c r="H1024" s="6"/>
      <c r="I1024" s="6"/>
      <c r="J1024" s="6"/>
      <c r="K1024" s="6"/>
      <c r="L1024" s="6"/>
      <c r="M1024" s="6"/>
      <c r="N1024" s="6"/>
      <c r="O1024" s="6"/>
      <c r="P1024" s="6"/>
      <c r="Q1024" s="6"/>
      <c r="R1024" s="6"/>
      <c r="S1024" s="6"/>
      <c r="T1024" s="6"/>
      <c r="U1024" s="6"/>
      <c r="V1024" s="6"/>
      <c r="W1024" s="6"/>
      <c r="X1024" s="6"/>
      <c r="Y1024" s="6"/>
      <c r="Z1024" s="6"/>
    </row>
    <row r="1025" ht="12.75" hidden="1" customHeight="1">
      <c r="A1025" s="10">
        <v>1023.0</v>
      </c>
      <c r="B1025" s="10">
        <v>11023.0</v>
      </c>
      <c r="C1025" s="10" t="s">
        <v>7</v>
      </c>
      <c r="D1025" s="11" t="s">
        <v>1710</v>
      </c>
      <c r="E1025" s="10" t="s">
        <v>1711</v>
      </c>
      <c r="F1025" s="10">
        <v>84.0</v>
      </c>
      <c r="G1025" s="12">
        <v>0.0</v>
      </c>
      <c r="H1025" s="6"/>
      <c r="I1025" s="6"/>
      <c r="J1025" s="6"/>
      <c r="K1025" s="6"/>
      <c r="L1025" s="6"/>
      <c r="M1025" s="6"/>
      <c r="N1025" s="6"/>
      <c r="O1025" s="6"/>
      <c r="P1025" s="6"/>
      <c r="Q1025" s="6"/>
      <c r="R1025" s="6"/>
      <c r="S1025" s="6"/>
      <c r="T1025" s="6"/>
      <c r="U1025" s="6"/>
      <c r="V1025" s="6"/>
      <c r="W1025" s="6"/>
      <c r="X1025" s="6"/>
      <c r="Y1025" s="6"/>
      <c r="Z1025" s="6"/>
    </row>
    <row r="1026" ht="12.75" hidden="1" customHeight="1">
      <c r="A1026" s="7">
        <v>1024.0</v>
      </c>
      <c r="B1026" s="7">
        <v>11024.0</v>
      </c>
      <c r="C1026" s="7" t="s">
        <v>7</v>
      </c>
      <c r="D1026" s="8" t="s">
        <v>1712</v>
      </c>
      <c r="E1026" s="7" t="s">
        <v>1713</v>
      </c>
      <c r="F1026" s="7">
        <v>71.0</v>
      </c>
      <c r="G1026" s="9">
        <v>0.0</v>
      </c>
      <c r="H1026" s="6"/>
      <c r="I1026" s="6"/>
      <c r="J1026" s="6"/>
      <c r="K1026" s="6"/>
      <c r="L1026" s="6"/>
      <c r="M1026" s="6"/>
      <c r="N1026" s="6"/>
      <c r="O1026" s="6"/>
      <c r="P1026" s="6"/>
      <c r="Q1026" s="6"/>
      <c r="R1026" s="6"/>
      <c r="S1026" s="6"/>
      <c r="T1026" s="6"/>
      <c r="U1026" s="6"/>
      <c r="V1026" s="6"/>
      <c r="W1026" s="6"/>
      <c r="X1026" s="6"/>
      <c r="Y1026" s="6"/>
      <c r="Z1026" s="6"/>
    </row>
    <row r="1027" ht="12.75" hidden="1" customHeight="1">
      <c r="A1027" s="10">
        <v>1025.0</v>
      </c>
      <c r="B1027" s="10">
        <v>11025.0</v>
      </c>
      <c r="C1027" s="10" t="s">
        <v>20</v>
      </c>
      <c r="D1027" s="11" t="s">
        <v>1714</v>
      </c>
      <c r="E1027" s="10" t="s">
        <v>1715</v>
      </c>
      <c r="F1027" s="10">
        <v>140.0</v>
      </c>
      <c r="G1027" s="12">
        <v>0.0</v>
      </c>
      <c r="H1027" s="6"/>
      <c r="I1027" s="6"/>
      <c r="J1027" s="6"/>
      <c r="K1027" s="6"/>
      <c r="L1027" s="6"/>
      <c r="M1027" s="6"/>
      <c r="N1027" s="6"/>
      <c r="O1027" s="6"/>
      <c r="P1027" s="6"/>
      <c r="Q1027" s="6"/>
      <c r="R1027" s="6"/>
      <c r="S1027" s="6"/>
      <c r="T1027" s="6"/>
      <c r="U1027" s="6"/>
      <c r="V1027" s="6"/>
      <c r="W1027" s="6"/>
      <c r="X1027" s="6"/>
      <c r="Y1027" s="6"/>
      <c r="Z1027" s="6"/>
    </row>
    <row r="1028" ht="12.75" hidden="1" customHeight="1">
      <c r="A1028" s="7">
        <v>1026.0</v>
      </c>
      <c r="B1028" s="7">
        <v>11026.0</v>
      </c>
      <c r="C1028" s="7" t="s">
        <v>7</v>
      </c>
      <c r="D1028" s="8" t="s">
        <v>1716</v>
      </c>
      <c r="E1028" s="7" t="s">
        <v>1717</v>
      </c>
      <c r="F1028" s="7">
        <v>66.0</v>
      </c>
      <c r="G1028" s="9">
        <v>0.0</v>
      </c>
      <c r="H1028" s="6"/>
      <c r="I1028" s="6"/>
      <c r="J1028" s="6"/>
      <c r="K1028" s="6"/>
      <c r="L1028" s="6"/>
      <c r="M1028" s="6"/>
      <c r="N1028" s="6"/>
      <c r="O1028" s="6"/>
      <c r="P1028" s="6"/>
      <c r="Q1028" s="6"/>
      <c r="R1028" s="6"/>
      <c r="S1028" s="6"/>
      <c r="T1028" s="6"/>
      <c r="U1028" s="6"/>
      <c r="V1028" s="6"/>
      <c r="W1028" s="6"/>
      <c r="X1028" s="6"/>
      <c r="Y1028" s="6"/>
      <c r="Z1028" s="6"/>
    </row>
    <row r="1029" ht="12.75" hidden="1" customHeight="1">
      <c r="A1029" s="10">
        <v>1027.0</v>
      </c>
      <c r="B1029" s="10">
        <v>11027.0</v>
      </c>
      <c r="C1029" s="10" t="s">
        <v>7</v>
      </c>
      <c r="D1029" s="11" t="s">
        <v>1718</v>
      </c>
      <c r="E1029" s="10" t="s">
        <v>1719</v>
      </c>
      <c r="F1029" s="10">
        <v>39.0</v>
      </c>
      <c r="G1029" s="12">
        <v>0.0</v>
      </c>
      <c r="H1029" s="6"/>
      <c r="I1029" s="6"/>
      <c r="J1029" s="6"/>
      <c r="K1029" s="6"/>
      <c r="L1029" s="6"/>
      <c r="M1029" s="6"/>
      <c r="N1029" s="6"/>
      <c r="O1029" s="6"/>
      <c r="P1029" s="6"/>
      <c r="Q1029" s="6"/>
      <c r="R1029" s="6"/>
      <c r="S1029" s="6"/>
      <c r="T1029" s="6"/>
      <c r="U1029" s="6"/>
      <c r="V1029" s="6"/>
      <c r="W1029" s="6"/>
      <c r="X1029" s="6"/>
      <c r="Y1029" s="6"/>
      <c r="Z1029" s="6"/>
    </row>
    <row r="1030" ht="12.75" hidden="1" customHeight="1">
      <c r="A1030" s="7">
        <v>1028.0</v>
      </c>
      <c r="B1030" s="7">
        <v>11028.0</v>
      </c>
      <c r="C1030" s="7" t="s">
        <v>27</v>
      </c>
      <c r="D1030" s="8" t="s">
        <v>1720</v>
      </c>
      <c r="E1030" s="7" t="s">
        <v>1721</v>
      </c>
      <c r="F1030" s="7">
        <v>148.0</v>
      </c>
      <c r="G1030" s="9">
        <v>0.0</v>
      </c>
      <c r="H1030" s="6"/>
      <c r="I1030" s="6"/>
      <c r="J1030" s="6"/>
      <c r="K1030" s="6"/>
      <c r="L1030" s="6"/>
      <c r="M1030" s="6"/>
      <c r="N1030" s="6"/>
      <c r="O1030" s="6"/>
      <c r="P1030" s="6"/>
      <c r="Q1030" s="6"/>
      <c r="R1030" s="6"/>
      <c r="S1030" s="6"/>
      <c r="T1030" s="6"/>
      <c r="U1030" s="6"/>
      <c r="V1030" s="6"/>
      <c r="W1030" s="6"/>
      <c r="X1030" s="6"/>
      <c r="Y1030" s="6"/>
      <c r="Z1030" s="6"/>
    </row>
    <row r="1031" ht="12.75" hidden="1" customHeight="1">
      <c r="A1031" s="10">
        <v>1029.0</v>
      </c>
      <c r="B1031" s="10">
        <v>11029.0</v>
      </c>
      <c r="C1031" s="10" t="s">
        <v>7</v>
      </c>
      <c r="D1031" s="11" t="s">
        <v>1722</v>
      </c>
      <c r="E1031" s="10" t="s">
        <v>1723</v>
      </c>
      <c r="F1031" s="10">
        <v>44.0</v>
      </c>
      <c r="G1031" s="12">
        <v>0.0</v>
      </c>
      <c r="H1031" s="6"/>
      <c r="I1031" s="6"/>
      <c r="J1031" s="6"/>
      <c r="K1031" s="6"/>
      <c r="L1031" s="6"/>
      <c r="M1031" s="6"/>
      <c r="N1031" s="6"/>
      <c r="O1031" s="6"/>
      <c r="P1031" s="6"/>
      <c r="Q1031" s="6"/>
      <c r="R1031" s="6"/>
      <c r="S1031" s="6"/>
      <c r="T1031" s="6"/>
      <c r="U1031" s="6"/>
      <c r="V1031" s="6"/>
      <c r="W1031" s="6"/>
      <c r="X1031" s="6"/>
      <c r="Y1031" s="6"/>
      <c r="Z1031" s="6"/>
    </row>
    <row r="1032" ht="12.75" hidden="1" customHeight="1">
      <c r="A1032" s="7">
        <v>1030.0</v>
      </c>
      <c r="B1032" s="7">
        <v>11030.0</v>
      </c>
      <c r="C1032" s="7" t="s">
        <v>27</v>
      </c>
      <c r="D1032" s="8" t="s">
        <v>1724</v>
      </c>
      <c r="E1032" s="7" t="s">
        <v>1725</v>
      </c>
      <c r="F1032" s="7">
        <v>170.0</v>
      </c>
      <c r="G1032" s="9">
        <v>0.0</v>
      </c>
      <c r="H1032" s="6"/>
      <c r="I1032" s="6"/>
      <c r="J1032" s="6"/>
      <c r="K1032" s="6"/>
      <c r="L1032" s="6"/>
      <c r="M1032" s="6"/>
      <c r="N1032" s="6"/>
      <c r="O1032" s="6"/>
      <c r="P1032" s="6"/>
      <c r="Q1032" s="6"/>
      <c r="R1032" s="6"/>
      <c r="S1032" s="6"/>
      <c r="T1032" s="6"/>
      <c r="U1032" s="6"/>
      <c r="V1032" s="6"/>
      <c r="W1032" s="6"/>
      <c r="X1032" s="6"/>
      <c r="Y1032" s="6"/>
      <c r="Z1032" s="6"/>
    </row>
    <row r="1033" ht="12.75" hidden="1" customHeight="1">
      <c r="A1033" s="10">
        <v>1031.0</v>
      </c>
      <c r="B1033" s="10">
        <v>11031.0</v>
      </c>
      <c r="C1033" s="10" t="s">
        <v>7</v>
      </c>
      <c r="D1033" s="11" t="s">
        <v>1726</v>
      </c>
      <c r="E1033" s="10" t="s">
        <v>1727</v>
      </c>
      <c r="F1033" s="10">
        <v>44.0</v>
      </c>
      <c r="G1033" s="12">
        <v>0.0</v>
      </c>
      <c r="H1033" s="6"/>
      <c r="I1033" s="6"/>
      <c r="J1033" s="6"/>
      <c r="K1033" s="6"/>
      <c r="L1033" s="6"/>
      <c r="M1033" s="6"/>
      <c r="N1033" s="6"/>
      <c r="O1033" s="6"/>
      <c r="P1033" s="6"/>
      <c r="Q1033" s="6"/>
      <c r="R1033" s="6"/>
      <c r="S1033" s="6"/>
      <c r="T1033" s="6"/>
      <c r="U1033" s="6"/>
      <c r="V1033" s="6"/>
      <c r="W1033" s="6"/>
      <c r="X1033" s="6"/>
      <c r="Y1033" s="6"/>
      <c r="Z1033" s="6"/>
    </row>
    <row r="1034" ht="12.75" hidden="1" customHeight="1">
      <c r="A1034" s="7">
        <v>1032.0</v>
      </c>
      <c r="B1034" s="7">
        <v>11032.0</v>
      </c>
      <c r="C1034" s="7" t="s">
        <v>34</v>
      </c>
      <c r="D1034" s="8" t="s">
        <v>1728</v>
      </c>
      <c r="E1034" s="7" t="s">
        <v>1729</v>
      </c>
      <c r="F1034" s="7">
        <v>191.0</v>
      </c>
      <c r="G1034" s="9">
        <v>0.0</v>
      </c>
      <c r="H1034" s="6"/>
      <c r="I1034" s="6"/>
      <c r="J1034" s="6"/>
      <c r="K1034" s="6"/>
      <c r="L1034" s="6"/>
      <c r="M1034" s="6"/>
      <c r="N1034" s="6"/>
      <c r="O1034" s="6"/>
      <c r="P1034" s="6"/>
      <c r="Q1034" s="6"/>
      <c r="R1034" s="6"/>
      <c r="S1034" s="6"/>
      <c r="T1034" s="6"/>
      <c r="U1034" s="6"/>
      <c r="V1034" s="6"/>
      <c r="W1034" s="6"/>
      <c r="X1034" s="6"/>
      <c r="Y1034" s="6"/>
      <c r="Z1034" s="6"/>
    </row>
    <row r="1035" ht="12.75" hidden="1" customHeight="1">
      <c r="A1035" s="10">
        <v>1033.0</v>
      </c>
      <c r="B1035" s="10">
        <v>11033.0</v>
      </c>
      <c r="C1035" s="10" t="s">
        <v>7</v>
      </c>
      <c r="D1035" s="11" t="s">
        <v>1730</v>
      </c>
      <c r="E1035" s="10" t="s">
        <v>1731</v>
      </c>
      <c r="F1035" s="10">
        <v>89.0</v>
      </c>
      <c r="G1035" s="12">
        <v>0.0</v>
      </c>
      <c r="H1035" s="6"/>
      <c r="I1035" s="6"/>
      <c r="J1035" s="6"/>
      <c r="K1035" s="6"/>
      <c r="L1035" s="6"/>
      <c r="M1035" s="6"/>
      <c r="N1035" s="6"/>
      <c r="O1035" s="6"/>
      <c r="P1035" s="6"/>
      <c r="Q1035" s="6"/>
      <c r="R1035" s="6"/>
      <c r="S1035" s="6"/>
      <c r="T1035" s="6"/>
      <c r="U1035" s="6"/>
      <c r="V1035" s="6"/>
      <c r="W1035" s="6"/>
      <c r="X1035" s="6"/>
      <c r="Y1035" s="6"/>
      <c r="Z1035" s="6"/>
    </row>
    <row r="1036" ht="12.75" hidden="1" customHeight="1">
      <c r="A1036" s="7">
        <v>1034.0</v>
      </c>
      <c r="B1036" s="7">
        <v>11034.0</v>
      </c>
      <c r="C1036" s="7" t="s">
        <v>27</v>
      </c>
      <c r="D1036" s="8" t="s">
        <v>1732</v>
      </c>
      <c r="E1036" s="7" t="s">
        <v>1733</v>
      </c>
      <c r="F1036" s="7">
        <v>118.0</v>
      </c>
      <c r="G1036" s="9">
        <v>0.0</v>
      </c>
      <c r="H1036" s="6"/>
      <c r="I1036" s="6"/>
      <c r="J1036" s="6"/>
      <c r="K1036" s="6"/>
      <c r="L1036" s="6"/>
      <c r="M1036" s="6"/>
      <c r="N1036" s="6"/>
      <c r="O1036" s="6"/>
      <c r="P1036" s="6"/>
      <c r="Q1036" s="6"/>
      <c r="R1036" s="6"/>
      <c r="S1036" s="6"/>
      <c r="T1036" s="6"/>
      <c r="U1036" s="6"/>
      <c r="V1036" s="6"/>
      <c r="W1036" s="6"/>
      <c r="X1036" s="6"/>
      <c r="Y1036" s="6"/>
      <c r="Z1036" s="6"/>
    </row>
    <row r="1037" ht="12.75" hidden="1" customHeight="1">
      <c r="A1037" s="10">
        <v>1035.0</v>
      </c>
      <c r="B1037" s="10">
        <v>11035.0</v>
      </c>
      <c r="C1037" s="10" t="s">
        <v>34</v>
      </c>
      <c r="D1037" s="11" t="s">
        <v>1734</v>
      </c>
      <c r="E1037" s="10" t="s">
        <v>1735</v>
      </c>
      <c r="F1037" s="10">
        <v>176.0</v>
      </c>
      <c r="G1037" s="12">
        <v>0.0</v>
      </c>
      <c r="H1037" s="6"/>
      <c r="I1037" s="6"/>
      <c r="J1037" s="6"/>
      <c r="K1037" s="6"/>
      <c r="L1037" s="6"/>
      <c r="M1037" s="6"/>
      <c r="N1037" s="6"/>
      <c r="O1037" s="6"/>
      <c r="P1037" s="6"/>
      <c r="Q1037" s="6"/>
      <c r="R1037" s="6"/>
      <c r="S1037" s="6"/>
      <c r="T1037" s="6"/>
      <c r="U1037" s="6"/>
      <c r="V1037" s="6"/>
      <c r="W1037" s="6"/>
      <c r="X1037" s="6"/>
      <c r="Y1037" s="6"/>
      <c r="Z1037" s="6"/>
    </row>
    <row r="1038" ht="12.75" hidden="1" customHeight="1">
      <c r="A1038" s="7">
        <v>1036.0</v>
      </c>
      <c r="B1038" s="7">
        <v>11036.0</v>
      </c>
      <c r="C1038" s="7" t="s">
        <v>34</v>
      </c>
      <c r="D1038" s="8" t="s">
        <v>1736</v>
      </c>
      <c r="E1038" s="7" t="s">
        <v>1737</v>
      </c>
      <c r="F1038" s="7">
        <v>190.0</v>
      </c>
      <c r="G1038" s="9">
        <v>0.0</v>
      </c>
      <c r="H1038" s="6"/>
      <c r="I1038" s="6"/>
      <c r="J1038" s="6"/>
      <c r="K1038" s="6"/>
      <c r="L1038" s="6"/>
      <c r="M1038" s="6"/>
      <c r="N1038" s="6"/>
      <c r="O1038" s="6"/>
      <c r="P1038" s="6"/>
      <c r="Q1038" s="6"/>
      <c r="R1038" s="6"/>
      <c r="S1038" s="6"/>
      <c r="T1038" s="6"/>
      <c r="U1038" s="6"/>
      <c r="V1038" s="6"/>
      <c r="W1038" s="6"/>
      <c r="X1038" s="6"/>
      <c r="Y1038" s="6"/>
      <c r="Z1038" s="6"/>
    </row>
    <row r="1039" ht="12.75" hidden="1" customHeight="1">
      <c r="A1039" s="10">
        <v>1037.0</v>
      </c>
      <c r="B1039" s="10">
        <v>11037.0</v>
      </c>
      <c r="C1039" s="10" t="s">
        <v>7</v>
      </c>
      <c r="D1039" s="11" t="s">
        <v>1738</v>
      </c>
      <c r="E1039" s="10" t="s">
        <v>1739</v>
      </c>
      <c r="F1039" s="10">
        <v>73.0</v>
      </c>
      <c r="G1039" s="12">
        <v>0.0</v>
      </c>
      <c r="H1039" s="6"/>
      <c r="I1039" s="6"/>
      <c r="J1039" s="6"/>
      <c r="K1039" s="6"/>
      <c r="L1039" s="6"/>
      <c r="M1039" s="6"/>
      <c r="N1039" s="6"/>
      <c r="O1039" s="6"/>
      <c r="P1039" s="6"/>
      <c r="Q1039" s="6"/>
      <c r="R1039" s="6"/>
      <c r="S1039" s="6"/>
      <c r="T1039" s="6"/>
      <c r="U1039" s="6"/>
      <c r="V1039" s="6"/>
      <c r="W1039" s="6"/>
      <c r="X1039" s="6"/>
      <c r="Y1039" s="6"/>
      <c r="Z1039" s="6"/>
    </row>
    <row r="1040" ht="12.75" hidden="1" customHeight="1">
      <c r="A1040" s="7">
        <v>1038.0</v>
      </c>
      <c r="B1040" s="7">
        <v>11038.0</v>
      </c>
      <c r="C1040" s="7" t="s">
        <v>7</v>
      </c>
      <c r="D1040" s="8" t="s">
        <v>1740</v>
      </c>
      <c r="E1040" s="7" t="s">
        <v>1741</v>
      </c>
      <c r="F1040" s="7">
        <v>67.0</v>
      </c>
      <c r="G1040" s="9">
        <v>0.0</v>
      </c>
      <c r="H1040" s="6"/>
      <c r="I1040" s="6"/>
      <c r="J1040" s="6"/>
      <c r="K1040" s="6"/>
      <c r="L1040" s="6"/>
      <c r="M1040" s="6"/>
      <c r="N1040" s="6"/>
      <c r="O1040" s="6"/>
      <c r="P1040" s="6"/>
      <c r="Q1040" s="6"/>
      <c r="R1040" s="6"/>
      <c r="S1040" s="6"/>
      <c r="T1040" s="6"/>
      <c r="U1040" s="6"/>
      <c r="V1040" s="6"/>
      <c r="W1040" s="6"/>
      <c r="X1040" s="6"/>
      <c r="Y1040" s="6"/>
      <c r="Z1040" s="6"/>
    </row>
    <row r="1041" ht="12.75" customHeight="1">
      <c r="A1041" s="10" t="s">
        <v>1742</v>
      </c>
      <c r="B1041" s="10"/>
      <c r="C1041" s="10"/>
      <c r="D1041" s="11"/>
      <c r="E1041" s="10"/>
      <c r="F1041" s="10"/>
      <c r="G1041" s="12"/>
      <c r="H1041" s="6"/>
      <c r="I1041" s="6"/>
      <c r="J1041" s="6"/>
      <c r="K1041" s="6"/>
      <c r="L1041" s="6"/>
      <c r="M1041" s="6"/>
      <c r="N1041" s="6"/>
      <c r="O1041" s="6"/>
      <c r="P1041" s="6"/>
      <c r="Q1041" s="6"/>
      <c r="R1041" s="6"/>
      <c r="S1041" s="6"/>
      <c r="T1041" s="6"/>
      <c r="U1041" s="6"/>
      <c r="V1041" s="6"/>
      <c r="W1041" s="6"/>
      <c r="X1041" s="6"/>
      <c r="Y1041" s="6"/>
      <c r="Z1041" s="6"/>
    </row>
    <row r="1042" ht="12.75" customHeight="1">
      <c r="A1042" s="10" t="s">
        <v>1742</v>
      </c>
      <c r="B1042" s="10"/>
      <c r="C1042" s="10"/>
      <c r="D1042" s="11"/>
      <c r="E1042" s="10"/>
      <c r="F1042" s="10"/>
      <c r="G1042" s="12"/>
      <c r="H1042" s="6"/>
      <c r="I1042" s="6"/>
      <c r="J1042" s="6"/>
      <c r="K1042" s="6"/>
      <c r="L1042" s="6"/>
      <c r="M1042" s="6"/>
      <c r="N1042" s="6"/>
      <c r="O1042" s="6"/>
      <c r="P1042" s="6"/>
      <c r="Q1042" s="6"/>
      <c r="R1042" s="6"/>
      <c r="S1042" s="6"/>
      <c r="T1042" s="6"/>
      <c r="U1042" s="6"/>
      <c r="V1042" s="6"/>
      <c r="W1042" s="6"/>
      <c r="X1042" s="6"/>
      <c r="Y1042" s="6"/>
      <c r="Z1042" s="6"/>
    </row>
    <row r="1043" ht="12.75" customHeight="1">
      <c r="A1043" s="10" t="s">
        <v>1742</v>
      </c>
      <c r="B1043" s="10"/>
      <c r="C1043" s="10"/>
      <c r="D1043" s="11"/>
      <c r="E1043" s="10"/>
      <c r="F1043" s="10"/>
      <c r="G1043" s="12"/>
      <c r="H1043" s="6"/>
      <c r="I1043" s="6"/>
      <c r="J1043" s="6"/>
      <c r="K1043" s="6"/>
      <c r="L1043" s="6"/>
      <c r="M1043" s="6"/>
      <c r="N1043" s="6"/>
      <c r="O1043" s="6"/>
      <c r="P1043" s="6"/>
      <c r="Q1043" s="6"/>
      <c r="R1043" s="6"/>
      <c r="S1043" s="6"/>
      <c r="T1043" s="6"/>
      <c r="U1043" s="6"/>
      <c r="V1043" s="6"/>
      <c r="W1043" s="6"/>
      <c r="X1043" s="6"/>
      <c r="Y1043" s="6"/>
      <c r="Z1043" s="6"/>
    </row>
    <row r="1044" ht="12.75" customHeight="1">
      <c r="A1044" s="10" t="s">
        <v>1742</v>
      </c>
      <c r="B1044" s="10"/>
      <c r="C1044" s="10"/>
      <c r="D1044" s="11"/>
      <c r="E1044" s="10"/>
      <c r="F1044" s="10"/>
      <c r="G1044" s="12"/>
      <c r="H1044" s="6"/>
      <c r="I1044" s="6"/>
      <c r="J1044" s="6"/>
      <c r="K1044" s="6"/>
      <c r="L1044" s="6"/>
      <c r="M1044" s="6"/>
      <c r="N1044" s="6"/>
      <c r="O1044" s="6"/>
      <c r="P1044" s="6"/>
      <c r="Q1044" s="6"/>
      <c r="R1044" s="6"/>
      <c r="S1044" s="6"/>
      <c r="T1044" s="6"/>
      <c r="U1044" s="6"/>
      <c r="V1044" s="6"/>
      <c r="W1044" s="6"/>
      <c r="X1044" s="6"/>
      <c r="Y1044" s="6"/>
      <c r="Z1044" s="6"/>
    </row>
    <row r="1045" ht="12.75" customHeight="1">
      <c r="A1045" s="10" t="s">
        <v>1742</v>
      </c>
      <c r="B1045" s="10"/>
      <c r="C1045" s="10"/>
      <c r="D1045" s="11"/>
      <c r="E1045" s="10"/>
      <c r="F1045" s="10"/>
      <c r="G1045" s="12"/>
      <c r="H1045" s="6"/>
      <c r="I1045" s="6"/>
      <c r="J1045" s="6"/>
      <c r="K1045" s="6"/>
      <c r="L1045" s="6"/>
      <c r="M1045" s="6"/>
      <c r="N1045" s="6"/>
      <c r="O1045" s="6"/>
      <c r="P1045" s="6"/>
      <c r="Q1045" s="6"/>
      <c r="R1045" s="6"/>
      <c r="S1045" s="6"/>
      <c r="T1045" s="6"/>
      <c r="U1045" s="6"/>
      <c r="V1045" s="6"/>
      <c r="W1045" s="6"/>
      <c r="X1045" s="6"/>
      <c r="Y1045" s="6"/>
      <c r="Z1045" s="6"/>
    </row>
    <row r="1046" ht="12.75" customHeight="1">
      <c r="A1046" s="10" t="s">
        <v>1742</v>
      </c>
      <c r="B1046" s="10"/>
      <c r="C1046" s="10"/>
      <c r="D1046" s="11"/>
      <c r="E1046" s="10"/>
      <c r="F1046" s="10"/>
      <c r="G1046" s="12"/>
      <c r="H1046" s="6"/>
      <c r="I1046" s="6"/>
      <c r="J1046" s="6"/>
      <c r="K1046" s="6"/>
      <c r="L1046" s="6"/>
      <c r="M1046" s="6"/>
      <c r="N1046" s="6"/>
      <c r="O1046" s="6"/>
      <c r="P1046" s="6"/>
      <c r="Q1046" s="6"/>
      <c r="R1046" s="6"/>
      <c r="S1046" s="6"/>
      <c r="T1046" s="6"/>
      <c r="U1046" s="6"/>
      <c r="V1046" s="6"/>
      <c r="W1046" s="6"/>
      <c r="X1046" s="6"/>
      <c r="Y1046" s="6"/>
      <c r="Z1046" s="6"/>
    </row>
    <row r="1047" ht="12.75" customHeight="1">
      <c r="A1047" s="10" t="s">
        <v>1742</v>
      </c>
      <c r="B1047" s="10"/>
      <c r="C1047" s="10"/>
      <c r="D1047" s="11"/>
      <c r="E1047" s="10"/>
      <c r="F1047" s="10"/>
      <c r="G1047" s="12"/>
      <c r="H1047" s="6"/>
      <c r="I1047" s="6"/>
      <c r="J1047" s="6"/>
      <c r="K1047" s="6"/>
      <c r="L1047" s="6"/>
      <c r="M1047" s="6"/>
      <c r="N1047" s="6"/>
      <c r="O1047" s="6"/>
      <c r="P1047" s="6"/>
      <c r="Q1047" s="6"/>
      <c r="R1047" s="6"/>
      <c r="S1047" s="6"/>
      <c r="T1047" s="6"/>
      <c r="U1047" s="6"/>
      <c r="V1047" s="6"/>
      <c r="W1047" s="6"/>
      <c r="X1047" s="6"/>
      <c r="Y1047" s="6"/>
      <c r="Z1047" s="6"/>
    </row>
    <row r="1048" ht="12.75" customHeight="1">
      <c r="A1048" s="10" t="s">
        <v>1742</v>
      </c>
      <c r="B1048" s="10"/>
      <c r="C1048" s="10"/>
      <c r="D1048" s="11"/>
      <c r="E1048" s="10"/>
      <c r="F1048" s="10"/>
      <c r="G1048" s="12"/>
      <c r="H1048" s="6"/>
      <c r="I1048" s="6"/>
      <c r="J1048" s="6"/>
      <c r="K1048" s="6"/>
      <c r="L1048" s="6"/>
      <c r="M1048" s="6"/>
      <c r="N1048" s="6"/>
      <c r="O1048" s="6"/>
      <c r="P1048" s="6"/>
      <c r="Q1048" s="6"/>
      <c r="R1048" s="6"/>
      <c r="S1048" s="6"/>
      <c r="T1048" s="6"/>
      <c r="U1048" s="6"/>
      <c r="V1048" s="6"/>
      <c r="W1048" s="6"/>
      <c r="X1048" s="6"/>
      <c r="Y1048" s="6"/>
      <c r="Z1048" s="6"/>
    </row>
    <row r="1049" ht="12.75" customHeight="1">
      <c r="A1049" s="10" t="s">
        <v>1742</v>
      </c>
      <c r="B1049" s="10"/>
      <c r="C1049" s="10"/>
      <c r="D1049" s="11"/>
      <c r="E1049" s="10"/>
      <c r="F1049" s="10"/>
      <c r="G1049" s="12"/>
      <c r="H1049" s="6"/>
      <c r="I1049" s="6"/>
      <c r="J1049" s="6"/>
      <c r="K1049" s="6"/>
      <c r="L1049" s="6"/>
      <c r="M1049" s="6"/>
      <c r="N1049" s="6"/>
      <c r="O1049" s="6"/>
      <c r="P1049" s="6"/>
      <c r="Q1049" s="6"/>
      <c r="R1049" s="6"/>
      <c r="S1049" s="6"/>
      <c r="T1049" s="6"/>
      <c r="U1049" s="6"/>
      <c r="V1049" s="6"/>
      <c r="W1049" s="6"/>
      <c r="X1049" s="6"/>
      <c r="Y1049" s="6"/>
      <c r="Z1049" s="6"/>
    </row>
    <row r="1050" ht="12.75" customHeight="1">
      <c r="A1050" s="10" t="s">
        <v>1742</v>
      </c>
      <c r="B1050" s="10"/>
      <c r="C1050" s="10"/>
      <c r="D1050" s="11"/>
      <c r="E1050" s="10"/>
      <c r="F1050" s="10"/>
      <c r="G1050" s="12"/>
      <c r="H1050" s="6"/>
      <c r="I1050" s="6"/>
      <c r="J1050" s="6"/>
      <c r="K1050" s="6"/>
      <c r="L1050" s="6"/>
      <c r="M1050" s="6"/>
      <c r="N1050" s="6"/>
      <c r="O1050" s="6"/>
      <c r="P1050" s="6"/>
      <c r="Q1050" s="6"/>
      <c r="R1050" s="6"/>
      <c r="S1050" s="6"/>
      <c r="T1050" s="6"/>
      <c r="U1050" s="6"/>
      <c r="V1050" s="6"/>
      <c r="W1050" s="6"/>
      <c r="X1050" s="6"/>
      <c r="Y1050" s="6"/>
      <c r="Z1050" s="6"/>
    </row>
    <row r="1051" ht="12.75" customHeight="1">
      <c r="A1051" s="10" t="s">
        <v>1742</v>
      </c>
      <c r="B1051" s="10"/>
      <c r="C1051" s="10"/>
      <c r="D1051" s="11"/>
      <c r="E1051" s="10"/>
      <c r="F1051" s="10"/>
      <c r="G1051" s="12"/>
      <c r="H1051" s="6"/>
      <c r="I1051" s="6"/>
      <c r="J1051" s="6"/>
      <c r="K1051" s="6"/>
      <c r="L1051" s="6"/>
      <c r="M1051" s="6"/>
      <c r="N1051" s="6"/>
      <c r="O1051" s="6"/>
      <c r="P1051" s="6"/>
      <c r="Q1051" s="6"/>
      <c r="R1051" s="6"/>
      <c r="S1051" s="6"/>
      <c r="T1051" s="6"/>
      <c r="U1051" s="6"/>
      <c r="V1051" s="6"/>
      <c r="W1051" s="6"/>
      <c r="X1051" s="6"/>
      <c r="Y1051" s="6"/>
      <c r="Z1051" s="6"/>
    </row>
    <row r="1052" ht="12.75" customHeight="1">
      <c r="A1052" s="10" t="s">
        <v>1742</v>
      </c>
      <c r="B1052" s="10"/>
      <c r="C1052" s="10"/>
      <c r="D1052" s="11"/>
      <c r="E1052" s="10"/>
      <c r="F1052" s="10"/>
      <c r="G1052" s="12"/>
      <c r="H1052" s="6"/>
      <c r="I1052" s="6"/>
      <c r="J1052" s="6"/>
      <c r="K1052" s="6"/>
      <c r="L1052" s="6"/>
      <c r="M1052" s="6"/>
      <c r="N1052" s="6"/>
      <c r="O1052" s="6"/>
      <c r="P1052" s="6"/>
      <c r="Q1052" s="6"/>
      <c r="R1052" s="6"/>
      <c r="S1052" s="6"/>
      <c r="T1052" s="6"/>
      <c r="U1052" s="6"/>
      <c r="V1052" s="6"/>
      <c r="W1052" s="6"/>
      <c r="X1052" s="6"/>
      <c r="Y1052" s="6"/>
      <c r="Z1052" s="6"/>
    </row>
    <row r="1053" ht="12.75" customHeight="1">
      <c r="A1053" s="10" t="s">
        <v>1742</v>
      </c>
      <c r="B1053" s="10"/>
      <c r="C1053" s="10"/>
      <c r="D1053" s="11"/>
      <c r="E1053" s="10"/>
      <c r="F1053" s="10"/>
      <c r="G1053" s="12"/>
      <c r="H1053" s="6"/>
      <c r="I1053" s="6"/>
      <c r="J1053" s="6"/>
      <c r="K1053" s="6"/>
      <c r="L1053" s="6"/>
      <c r="M1053" s="6"/>
      <c r="N1053" s="6"/>
      <c r="O1053" s="6"/>
      <c r="P1053" s="6"/>
      <c r="Q1053" s="6"/>
      <c r="R1053" s="6"/>
      <c r="S1053" s="6"/>
      <c r="T1053" s="6"/>
      <c r="U1053" s="6"/>
      <c r="V1053" s="6"/>
      <c r="W1053" s="6"/>
      <c r="X1053" s="6"/>
      <c r="Y1053" s="6"/>
      <c r="Z1053" s="6"/>
    </row>
    <row r="1054" ht="12.75" customHeight="1">
      <c r="A1054" s="10" t="s">
        <v>1742</v>
      </c>
      <c r="B1054" s="10"/>
      <c r="C1054" s="10"/>
      <c r="D1054" s="11"/>
      <c r="E1054" s="10"/>
      <c r="F1054" s="10"/>
      <c r="G1054" s="12"/>
      <c r="H1054" s="6"/>
      <c r="I1054" s="6"/>
      <c r="J1054" s="6"/>
      <c r="K1054" s="6"/>
      <c r="L1054" s="6"/>
      <c r="M1054" s="6"/>
      <c r="N1054" s="6"/>
      <c r="O1054" s="6"/>
      <c r="P1054" s="6"/>
      <c r="Q1054" s="6"/>
      <c r="R1054" s="6"/>
      <c r="S1054" s="6"/>
      <c r="T1054" s="6"/>
      <c r="U1054" s="6"/>
      <c r="V1054" s="6"/>
      <c r="W1054" s="6"/>
      <c r="X1054" s="6"/>
      <c r="Y1054" s="6"/>
      <c r="Z1054" s="6"/>
    </row>
    <row r="1055" ht="12.75" customHeight="1">
      <c r="A1055" s="10" t="s">
        <v>1742</v>
      </c>
      <c r="B1055" s="10"/>
      <c r="C1055" s="10"/>
      <c r="D1055" s="11"/>
      <c r="E1055" s="10"/>
      <c r="F1055" s="10"/>
      <c r="G1055" s="12"/>
      <c r="H1055" s="6"/>
      <c r="I1055" s="6"/>
      <c r="J1055" s="6"/>
      <c r="K1055" s="6"/>
      <c r="L1055" s="6"/>
      <c r="M1055" s="6"/>
      <c r="N1055" s="6"/>
      <c r="O1055" s="6"/>
      <c r="P1055" s="6"/>
      <c r="Q1055" s="6"/>
      <c r="R1055" s="6"/>
      <c r="S1055" s="6"/>
      <c r="T1055" s="6"/>
      <c r="U1055" s="6"/>
      <c r="V1055" s="6"/>
      <c r="W1055" s="6"/>
      <c r="X1055" s="6"/>
      <c r="Y1055" s="6"/>
      <c r="Z1055" s="6"/>
    </row>
    <row r="1056" ht="12.75" customHeight="1">
      <c r="A1056" s="10" t="s">
        <v>1742</v>
      </c>
      <c r="B1056" s="10"/>
      <c r="C1056" s="10"/>
      <c r="D1056" s="11"/>
      <c r="E1056" s="10"/>
      <c r="F1056" s="10"/>
      <c r="G1056" s="12"/>
      <c r="H1056" s="6"/>
      <c r="I1056" s="6"/>
      <c r="J1056" s="6"/>
      <c r="K1056" s="6"/>
      <c r="L1056" s="6"/>
      <c r="M1056" s="6"/>
      <c r="N1056" s="6"/>
      <c r="O1056" s="6"/>
      <c r="P1056" s="6"/>
      <c r="Q1056" s="6"/>
      <c r="R1056" s="6"/>
      <c r="S1056" s="6"/>
      <c r="T1056" s="6"/>
      <c r="U1056" s="6"/>
      <c r="V1056" s="6"/>
      <c r="W1056" s="6"/>
      <c r="X1056" s="6"/>
      <c r="Y1056" s="6"/>
      <c r="Z1056" s="6"/>
    </row>
    <row r="1057" ht="12.75" customHeight="1">
      <c r="A1057" s="10" t="s">
        <v>1742</v>
      </c>
      <c r="B1057" s="10"/>
      <c r="C1057" s="10"/>
      <c r="D1057" s="11"/>
      <c r="E1057" s="10"/>
      <c r="F1057" s="10"/>
      <c r="G1057" s="12"/>
      <c r="H1057" s="6"/>
      <c r="I1057" s="6"/>
      <c r="J1057" s="6"/>
      <c r="K1057" s="6"/>
      <c r="L1057" s="6"/>
      <c r="M1057" s="6"/>
      <c r="N1057" s="6"/>
      <c r="O1057" s="6"/>
      <c r="P1057" s="6"/>
      <c r="Q1057" s="6"/>
      <c r="R1057" s="6"/>
      <c r="S1057" s="6"/>
      <c r="T1057" s="6"/>
      <c r="U1057" s="6"/>
      <c r="V1057" s="6"/>
      <c r="W1057" s="6"/>
      <c r="X1057" s="6"/>
      <c r="Y1057" s="6"/>
      <c r="Z1057" s="6"/>
    </row>
    <row r="1058" ht="12.75" customHeight="1">
      <c r="A1058" s="10" t="s">
        <v>1742</v>
      </c>
      <c r="B1058" s="10"/>
      <c r="C1058" s="10"/>
      <c r="D1058" s="11"/>
      <c r="E1058" s="10"/>
      <c r="F1058" s="10"/>
      <c r="G1058" s="12"/>
      <c r="H1058" s="6"/>
      <c r="I1058" s="6"/>
      <c r="J1058" s="6"/>
      <c r="K1058" s="6"/>
      <c r="L1058" s="6"/>
      <c r="M1058" s="6"/>
      <c r="N1058" s="6"/>
      <c r="O1058" s="6"/>
      <c r="P1058" s="6"/>
      <c r="Q1058" s="6"/>
      <c r="R1058" s="6"/>
      <c r="S1058" s="6"/>
      <c r="T1058" s="6"/>
      <c r="U1058" s="6"/>
      <c r="V1058" s="6"/>
      <c r="W1058" s="6"/>
      <c r="X1058" s="6"/>
      <c r="Y1058" s="6"/>
      <c r="Z1058" s="6"/>
    </row>
    <row r="1059" ht="12.75" customHeight="1">
      <c r="A1059" s="10" t="s">
        <v>1742</v>
      </c>
      <c r="B1059" s="10"/>
      <c r="C1059" s="10"/>
      <c r="D1059" s="11"/>
      <c r="E1059" s="10"/>
      <c r="F1059" s="10"/>
      <c r="G1059" s="12"/>
      <c r="H1059" s="6"/>
      <c r="I1059" s="6"/>
      <c r="J1059" s="6"/>
      <c r="K1059" s="6"/>
      <c r="L1059" s="6"/>
      <c r="M1059" s="6"/>
      <c r="N1059" s="6"/>
      <c r="O1059" s="6"/>
      <c r="P1059" s="6"/>
      <c r="Q1059" s="6"/>
      <c r="R1059" s="6"/>
      <c r="S1059" s="6"/>
      <c r="T1059" s="6"/>
      <c r="U1059" s="6"/>
      <c r="V1059" s="6"/>
      <c r="W1059" s="6"/>
      <c r="X1059" s="6"/>
      <c r="Y1059" s="6"/>
      <c r="Z1059" s="6"/>
    </row>
    <row r="1060" ht="12.75" customHeight="1">
      <c r="A1060" s="10" t="s">
        <v>1742</v>
      </c>
      <c r="B1060" s="10"/>
      <c r="C1060" s="10"/>
      <c r="D1060" s="11"/>
      <c r="E1060" s="10"/>
      <c r="F1060" s="10"/>
      <c r="G1060" s="12"/>
      <c r="H1060" s="6"/>
      <c r="I1060" s="6"/>
      <c r="J1060" s="6"/>
      <c r="K1060" s="6"/>
      <c r="L1060" s="6"/>
      <c r="M1060" s="6"/>
      <c r="N1060" s="6"/>
      <c r="O1060" s="6"/>
      <c r="P1060" s="6"/>
      <c r="Q1060" s="6"/>
      <c r="R1060" s="6"/>
      <c r="S1060" s="6"/>
      <c r="T1060" s="6"/>
      <c r="U1060" s="6"/>
      <c r="V1060" s="6"/>
      <c r="W1060" s="6"/>
      <c r="X1060" s="6"/>
      <c r="Y1060" s="6"/>
      <c r="Z1060" s="6"/>
    </row>
    <row r="1061" ht="12.75" customHeight="1">
      <c r="A1061" s="10" t="s">
        <v>1742</v>
      </c>
      <c r="B1061" s="10"/>
      <c r="C1061" s="10"/>
      <c r="D1061" s="11"/>
      <c r="E1061" s="10"/>
      <c r="F1061" s="10"/>
      <c r="G1061" s="12"/>
      <c r="H1061" s="6"/>
      <c r="I1061" s="6"/>
      <c r="J1061" s="6"/>
      <c r="K1061" s="6"/>
      <c r="L1061" s="6"/>
      <c r="M1061" s="6"/>
      <c r="N1061" s="6"/>
      <c r="O1061" s="6"/>
      <c r="P1061" s="6"/>
      <c r="Q1061" s="6"/>
      <c r="R1061" s="6"/>
      <c r="S1061" s="6"/>
      <c r="T1061" s="6"/>
      <c r="U1061" s="6"/>
      <c r="V1061" s="6"/>
      <c r="W1061" s="6"/>
      <c r="X1061" s="6"/>
      <c r="Y1061" s="6"/>
      <c r="Z1061" s="6"/>
    </row>
    <row r="1062" ht="12.75" customHeight="1">
      <c r="A1062" s="10" t="s">
        <v>1742</v>
      </c>
      <c r="B1062" s="10"/>
      <c r="C1062" s="10"/>
      <c r="D1062" s="11"/>
      <c r="E1062" s="10"/>
      <c r="F1062" s="10"/>
      <c r="G1062" s="12"/>
      <c r="H1062" s="6"/>
      <c r="I1062" s="6"/>
      <c r="J1062" s="6"/>
      <c r="K1062" s="6"/>
      <c r="L1062" s="6"/>
      <c r="M1062" s="6"/>
      <c r="N1062" s="6"/>
      <c r="O1062" s="6"/>
      <c r="P1062" s="6"/>
      <c r="Q1062" s="6"/>
      <c r="R1062" s="6"/>
      <c r="S1062" s="6"/>
      <c r="T1062" s="6"/>
      <c r="U1062" s="6"/>
      <c r="V1062" s="6"/>
      <c r="W1062" s="6"/>
      <c r="X1062" s="6"/>
      <c r="Y1062" s="6"/>
      <c r="Z1062" s="6"/>
    </row>
    <row r="1063" ht="12.75" customHeight="1">
      <c r="A1063" s="10" t="s">
        <v>1742</v>
      </c>
      <c r="B1063" s="10"/>
      <c r="C1063" s="10"/>
      <c r="D1063" s="11"/>
      <c r="E1063" s="10"/>
      <c r="F1063" s="10"/>
      <c r="G1063" s="12"/>
      <c r="H1063" s="6"/>
      <c r="I1063" s="6"/>
      <c r="J1063" s="6"/>
      <c r="K1063" s="6"/>
      <c r="L1063" s="6"/>
      <c r="M1063" s="6"/>
      <c r="N1063" s="6"/>
      <c r="O1063" s="6"/>
      <c r="P1063" s="6"/>
      <c r="Q1063" s="6"/>
      <c r="R1063" s="6"/>
      <c r="S1063" s="6"/>
      <c r="T1063" s="6"/>
      <c r="U1063" s="6"/>
      <c r="V1063" s="6"/>
      <c r="W1063" s="6"/>
      <c r="X1063" s="6"/>
      <c r="Y1063" s="6"/>
      <c r="Z1063" s="6"/>
    </row>
    <row r="1064" ht="12.75" customHeight="1">
      <c r="A1064" s="10" t="s">
        <v>1742</v>
      </c>
      <c r="B1064" s="10"/>
      <c r="C1064" s="10"/>
      <c r="D1064" s="11"/>
      <c r="E1064" s="10"/>
      <c r="F1064" s="10"/>
      <c r="G1064" s="12"/>
      <c r="H1064" s="6"/>
      <c r="I1064" s="6"/>
      <c r="J1064" s="6"/>
      <c r="K1064" s="6"/>
      <c r="L1064" s="6"/>
      <c r="M1064" s="6"/>
      <c r="N1064" s="6"/>
      <c r="O1064" s="6"/>
      <c r="P1064" s="6"/>
      <c r="Q1064" s="6"/>
      <c r="R1064" s="6"/>
      <c r="S1064" s="6"/>
      <c r="T1064" s="6"/>
      <c r="U1064" s="6"/>
      <c r="V1064" s="6"/>
      <c r="W1064" s="6"/>
      <c r="X1064" s="6"/>
      <c r="Y1064" s="6"/>
      <c r="Z1064" s="6"/>
    </row>
    <row r="1065" ht="12.75" customHeight="1">
      <c r="A1065" s="10" t="s">
        <v>1742</v>
      </c>
      <c r="B1065" s="10"/>
      <c r="C1065" s="10"/>
      <c r="D1065" s="11"/>
      <c r="E1065" s="10"/>
      <c r="F1065" s="10"/>
      <c r="G1065" s="12"/>
      <c r="H1065" s="6"/>
      <c r="I1065" s="6"/>
      <c r="J1065" s="6"/>
      <c r="K1065" s="6"/>
      <c r="L1065" s="6"/>
      <c r="M1065" s="6"/>
      <c r="N1065" s="6"/>
      <c r="O1065" s="6"/>
      <c r="P1065" s="6"/>
      <c r="Q1065" s="6"/>
      <c r="R1065" s="6"/>
      <c r="S1065" s="6"/>
      <c r="T1065" s="6"/>
      <c r="U1065" s="6"/>
      <c r="V1065" s="6"/>
      <c r="W1065" s="6"/>
      <c r="X1065" s="6"/>
      <c r="Y1065" s="6"/>
      <c r="Z1065" s="6"/>
    </row>
    <row r="1066" ht="12.75" customHeight="1">
      <c r="A1066" s="10" t="s">
        <v>1742</v>
      </c>
      <c r="B1066" s="10"/>
      <c r="C1066" s="10"/>
      <c r="D1066" s="11"/>
      <c r="E1066" s="10"/>
      <c r="F1066" s="10"/>
      <c r="G1066" s="12"/>
      <c r="H1066" s="6"/>
      <c r="I1066" s="6"/>
      <c r="J1066" s="6"/>
      <c r="K1066" s="6"/>
      <c r="L1066" s="6"/>
      <c r="M1066" s="6"/>
      <c r="N1066" s="6"/>
      <c r="O1066" s="6"/>
      <c r="P1066" s="6"/>
      <c r="Q1066" s="6"/>
      <c r="R1066" s="6"/>
      <c r="S1066" s="6"/>
      <c r="T1066" s="6"/>
      <c r="U1066" s="6"/>
      <c r="V1066" s="6"/>
      <c r="W1066" s="6"/>
      <c r="X1066" s="6"/>
      <c r="Y1066" s="6"/>
      <c r="Z1066" s="6"/>
    </row>
    <row r="1067" ht="12.75" customHeight="1">
      <c r="A1067" s="10" t="s">
        <v>1742</v>
      </c>
      <c r="B1067" s="10"/>
      <c r="C1067" s="10"/>
      <c r="D1067" s="11"/>
      <c r="E1067" s="10"/>
      <c r="F1067" s="10"/>
      <c r="G1067" s="12"/>
      <c r="H1067" s="6"/>
      <c r="I1067" s="6"/>
      <c r="J1067" s="6"/>
      <c r="K1067" s="6"/>
      <c r="L1067" s="6"/>
      <c r="M1067" s="6"/>
      <c r="N1067" s="6"/>
      <c r="O1067" s="6"/>
      <c r="P1067" s="6"/>
      <c r="Q1067" s="6"/>
      <c r="R1067" s="6"/>
      <c r="S1067" s="6"/>
      <c r="T1067" s="6"/>
      <c r="U1067" s="6"/>
      <c r="V1067" s="6"/>
      <c r="W1067" s="6"/>
      <c r="X1067" s="6"/>
      <c r="Y1067" s="6"/>
      <c r="Z1067" s="6"/>
    </row>
    <row r="1068" ht="12.75" customHeight="1">
      <c r="A1068" s="10" t="s">
        <v>1742</v>
      </c>
      <c r="B1068" s="10"/>
      <c r="C1068" s="10"/>
      <c r="D1068" s="11"/>
      <c r="E1068" s="10"/>
      <c r="F1068" s="10"/>
      <c r="G1068" s="12"/>
      <c r="H1068" s="6"/>
      <c r="I1068" s="6"/>
      <c r="J1068" s="6"/>
      <c r="K1068" s="6"/>
      <c r="L1068" s="6"/>
      <c r="M1068" s="6"/>
      <c r="N1068" s="6"/>
      <c r="O1068" s="6"/>
      <c r="P1068" s="6"/>
      <c r="Q1068" s="6"/>
      <c r="R1068" s="6"/>
      <c r="S1068" s="6"/>
      <c r="T1068" s="6"/>
      <c r="U1068" s="6"/>
      <c r="V1068" s="6"/>
      <c r="W1068" s="6"/>
      <c r="X1068" s="6"/>
      <c r="Y1068" s="6"/>
      <c r="Z1068" s="6"/>
    </row>
    <row r="1069" ht="12.75" customHeight="1">
      <c r="A1069" s="10" t="s">
        <v>1742</v>
      </c>
      <c r="B1069" s="10"/>
      <c r="C1069" s="10"/>
      <c r="D1069" s="11"/>
      <c r="E1069" s="10"/>
      <c r="F1069" s="10"/>
      <c r="G1069" s="12"/>
      <c r="H1069" s="6"/>
      <c r="I1069" s="6"/>
      <c r="J1069" s="6"/>
      <c r="K1069" s="6"/>
      <c r="L1069" s="6"/>
      <c r="M1069" s="6"/>
      <c r="N1069" s="6"/>
      <c r="O1069" s="6"/>
      <c r="P1069" s="6"/>
      <c r="Q1069" s="6"/>
      <c r="R1069" s="6"/>
      <c r="S1069" s="6"/>
      <c r="T1069" s="6"/>
      <c r="U1069" s="6"/>
      <c r="V1069" s="6"/>
      <c r="W1069" s="6"/>
      <c r="X1069" s="6"/>
      <c r="Y1069" s="6"/>
      <c r="Z1069" s="6"/>
    </row>
    <row r="1070" ht="12.75" customHeight="1">
      <c r="A1070" s="10" t="s">
        <v>1742</v>
      </c>
      <c r="B1070" s="10"/>
      <c r="C1070" s="10"/>
      <c r="D1070" s="11"/>
      <c r="E1070" s="10"/>
      <c r="F1070" s="10"/>
      <c r="G1070" s="12"/>
      <c r="H1070" s="6"/>
      <c r="I1070" s="6"/>
      <c r="J1070" s="6"/>
      <c r="K1070" s="6"/>
      <c r="L1070" s="6"/>
      <c r="M1070" s="6"/>
      <c r="N1070" s="6"/>
      <c r="O1070" s="6"/>
      <c r="P1070" s="6"/>
      <c r="Q1070" s="6"/>
      <c r="R1070" s="6"/>
      <c r="S1070" s="6"/>
      <c r="T1070" s="6"/>
      <c r="U1070" s="6"/>
      <c r="V1070" s="6"/>
      <c r="W1070" s="6"/>
      <c r="X1070" s="6"/>
      <c r="Y1070" s="6"/>
      <c r="Z1070" s="6"/>
    </row>
    <row r="1071" ht="12.75" customHeight="1">
      <c r="A1071" s="10" t="s">
        <v>1742</v>
      </c>
      <c r="B1071" s="10"/>
      <c r="C1071" s="10"/>
      <c r="D1071" s="11"/>
      <c r="E1071" s="10"/>
      <c r="F1071" s="10"/>
      <c r="G1071" s="12"/>
      <c r="H1071" s="6"/>
      <c r="I1071" s="6"/>
      <c r="J1071" s="6"/>
      <c r="K1071" s="6"/>
      <c r="L1071" s="6"/>
      <c r="M1071" s="6"/>
      <c r="N1071" s="6"/>
      <c r="O1071" s="6"/>
      <c r="P1071" s="6"/>
      <c r="Q1071" s="6"/>
      <c r="R1071" s="6"/>
      <c r="S1071" s="6"/>
      <c r="T1071" s="6"/>
      <c r="U1071" s="6"/>
      <c r="V1071" s="6"/>
      <c r="W1071" s="6"/>
      <c r="X1071" s="6"/>
      <c r="Y1071" s="6"/>
      <c r="Z1071" s="6"/>
    </row>
    <row r="1072" ht="12.75" customHeight="1">
      <c r="A1072" s="10" t="s">
        <v>1742</v>
      </c>
      <c r="B1072" s="10"/>
      <c r="C1072" s="10"/>
      <c r="D1072" s="11"/>
      <c r="E1072" s="10"/>
      <c r="F1072" s="10"/>
      <c r="G1072" s="12"/>
      <c r="H1072" s="6"/>
      <c r="I1072" s="6"/>
      <c r="J1072" s="6"/>
      <c r="K1072" s="6"/>
      <c r="L1072" s="6"/>
      <c r="M1072" s="6"/>
      <c r="N1072" s="6"/>
      <c r="O1072" s="6"/>
      <c r="P1072" s="6"/>
      <c r="Q1072" s="6"/>
      <c r="R1072" s="6"/>
      <c r="S1072" s="6"/>
      <c r="T1072" s="6"/>
      <c r="U1072" s="6"/>
      <c r="V1072" s="6"/>
      <c r="W1072" s="6"/>
      <c r="X1072" s="6"/>
      <c r="Y1072" s="6"/>
      <c r="Z1072" s="6"/>
    </row>
    <row r="1073" ht="12.75" customHeight="1">
      <c r="A1073" s="10" t="s">
        <v>1742</v>
      </c>
      <c r="B1073" s="10"/>
      <c r="C1073" s="10"/>
      <c r="D1073" s="11"/>
      <c r="E1073" s="10"/>
      <c r="F1073" s="10"/>
      <c r="G1073" s="12"/>
      <c r="H1073" s="6"/>
      <c r="I1073" s="6"/>
      <c r="J1073" s="6"/>
      <c r="K1073" s="6"/>
      <c r="L1073" s="6"/>
      <c r="M1073" s="6"/>
      <c r="N1073" s="6"/>
      <c r="O1073" s="6"/>
      <c r="P1073" s="6"/>
      <c r="Q1073" s="6"/>
      <c r="R1073" s="6"/>
      <c r="S1073" s="6"/>
      <c r="T1073" s="6"/>
      <c r="U1073" s="6"/>
      <c r="V1073" s="6"/>
      <c r="W1073" s="6"/>
      <c r="X1073" s="6"/>
      <c r="Y1073" s="6"/>
      <c r="Z1073" s="6"/>
    </row>
    <row r="1074" ht="12.75" customHeight="1">
      <c r="A1074" s="10" t="s">
        <v>1742</v>
      </c>
      <c r="B1074" s="10"/>
      <c r="C1074" s="10"/>
      <c r="D1074" s="11"/>
      <c r="E1074" s="10"/>
      <c r="F1074" s="10"/>
      <c r="G1074" s="12"/>
      <c r="H1074" s="6"/>
      <c r="I1074" s="6"/>
      <c r="J1074" s="6"/>
      <c r="K1074" s="6"/>
      <c r="L1074" s="6"/>
      <c r="M1074" s="6"/>
      <c r="N1074" s="6"/>
      <c r="O1074" s="6"/>
      <c r="P1074" s="6"/>
      <c r="Q1074" s="6"/>
      <c r="R1074" s="6"/>
      <c r="S1074" s="6"/>
      <c r="T1074" s="6"/>
      <c r="U1074" s="6"/>
      <c r="V1074" s="6"/>
      <c r="W1074" s="6"/>
      <c r="X1074" s="6"/>
      <c r="Y1074" s="6"/>
      <c r="Z1074" s="6"/>
    </row>
    <row r="1075" ht="12.75" customHeight="1">
      <c r="A1075" s="10" t="s">
        <v>1742</v>
      </c>
      <c r="B1075" s="10"/>
      <c r="C1075" s="10"/>
      <c r="D1075" s="11"/>
      <c r="E1075" s="10"/>
      <c r="F1075" s="10"/>
      <c r="G1075" s="12"/>
      <c r="H1075" s="6"/>
      <c r="I1075" s="6"/>
      <c r="J1075" s="6"/>
      <c r="K1075" s="6"/>
      <c r="L1075" s="6"/>
      <c r="M1075" s="6"/>
      <c r="N1075" s="6"/>
      <c r="O1075" s="6"/>
      <c r="P1075" s="6"/>
      <c r="Q1075" s="6"/>
      <c r="R1075" s="6"/>
      <c r="S1075" s="6"/>
      <c r="T1075" s="6"/>
      <c r="U1075" s="6"/>
      <c r="V1075" s="6"/>
      <c r="W1075" s="6"/>
      <c r="X1075" s="6"/>
      <c r="Y1075" s="6"/>
      <c r="Z1075" s="6"/>
    </row>
    <row r="1076" ht="12.75" customHeight="1">
      <c r="A1076" s="10" t="s">
        <v>1742</v>
      </c>
      <c r="B1076" s="10"/>
      <c r="C1076" s="10"/>
      <c r="D1076" s="11"/>
      <c r="E1076" s="10"/>
      <c r="F1076" s="10"/>
      <c r="G1076" s="12"/>
      <c r="H1076" s="6"/>
      <c r="I1076" s="6"/>
      <c r="J1076" s="6"/>
      <c r="K1076" s="6"/>
      <c r="L1076" s="6"/>
      <c r="M1076" s="6"/>
      <c r="N1076" s="6"/>
      <c r="O1076" s="6"/>
      <c r="P1076" s="6"/>
      <c r="Q1076" s="6"/>
      <c r="R1076" s="6"/>
      <c r="S1076" s="6"/>
      <c r="T1076" s="6"/>
      <c r="U1076" s="6"/>
      <c r="V1076" s="6"/>
      <c r="W1076" s="6"/>
      <c r="X1076" s="6"/>
      <c r="Y1076" s="6"/>
      <c r="Z1076" s="6"/>
    </row>
    <row r="1077" ht="12.75" customHeight="1">
      <c r="A1077" s="10" t="s">
        <v>1742</v>
      </c>
      <c r="B1077" s="10"/>
      <c r="C1077" s="10"/>
      <c r="D1077" s="11"/>
      <c r="E1077" s="10"/>
      <c r="F1077" s="10"/>
      <c r="G1077" s="12"/>
      <c r="H1077" s="6"/>
      <c r="I1077" s="6"/>
      <c r="J1077" s="6"/>
      <c r="K1077" s="6"/>
      <c r="L1077" s="6"/>
      <c r="M1077" s="6"/>
      <c r="N1077" s="6"/>
      <c r="O1077" s="6"/>
      <c r="P1077" s="6"/>
      <c r="Q1077" s="6"/>
      <c r="R1077" s="6"/>
      <c r="S1077" s="6"/>
      <c r="T1077" s="6"/>
      <c r="U1077" s="6"/>
      <c r="V1077" s="6"/>
      <c r="W1077" s="6"/>
      <c r="X1077" s="6"/>
      <c r="Y1077" s="6"/>
      <c r="Z1077" s="6"/>
    </row>
    <row r="1078" ht="12.75" customHeight="1">
      <c r="A1078" s="10" t="s">
        <v>1742</v>
      </c>
      <c r="B1078" s="10"/>
      <c r="C1078" s="10"/>
      <c r="D1078" s="11"/>
      <c r="E1078" s="10"/>
      <c r="F1078" s="10"/>
      <c r="G1078" s="12"/>
      <c r="H1078" s="6"/>
      <c r="I1078" s="6"/>
      <c r="J1078" s="6"/>
      <c r="K1078" s="6"/>
      <c r="L1078" s="6"/>
      <c r="M1078" s="6"/>
      <c r="N1078" s="6"/>
      <c r="O1078" s="6"/>
      <c r="P1078" s="6"/>
      <c r="Q1078" s="6"/>
      <c r="R1078" s="6"/>
      <c r="S1078" s="6"/>
      <c r="T1078" s="6"/>
      <c r="U1078" s="6"/>
      <c r="V1078" s="6"/>
      <c r="W1078" s="6"/>
      <c r="X1078" s="6"/>
      <c r="Y1078" s="6"/>
      <c r="Z1078" s="6"/>
    </row>
    <row r="1079" ht="12.75" customHeight="1">
      <c r="A1079" s="10" t="s">
        <v>1742</v>
      </c>
      <c r="B1079" s="10"/>
      <c r="C1079" s="10"/>
      <c r="D1079" s="11"/>
      <c r="E1079" s="10"/>
      <c r="F1079" s="10"/>
      <c r="G1079" s="12"/>
      <c r="H1079" s="6"/>
      <c r="I1079" s="6"/>
      <c r="J1079" s="6"/>
      <c r="K1079" s="6"/>
      <c r="L1079" s="6"/>
      <c r="M1079" s="6"/>
      <c r="N1079" s="6"/>
      <c r="O1079" s="6"/>
      <c r="P1079" s="6"/>
      <c r="Q1079" s="6"/>
      <c r="R1079" s="6"/>
      <c r="S1079" s="6"/>
      <c r="T1079" s="6"/>
      <c r="U1079" s="6"/>
      <c r="V1079" s="6"/>
      <c r="W1079" s="6"/>
      <c r="X1079" s="6"/>
      <c r="Y1079" s="6"/>
      <c r="Z1079" s="6"/>
    </row>
    <row r="1080" ht="12.75" customHeight="1">
      <c r="A1080" s="10" t="s">
        <v>1742</v>
      </c>
      <c r="B1080" s="10"/>
      <c r="C1080" s="10"/>
      <c r="D1080" s="11"/>
      <c r="E1080" s="10"/>
      <c r="F1080" s="10"/>
      <c r="G1080" s="12"/>
      <c r="H1080" s="6"/>
      <c r="I1080" s="6"/>
      <c r="J1080" s="6"/>
      <c r="K1080" s="6"/>
      <c r="L1080" s="6"/>
      <c r="M1080" s="6"/>
      <c r="N1080" s="6"/>
      <c r="O1080" s="6"/>
      <c r="P1080" s="6"/>
      <c r="Q1080" s="6"/>
      <c r="R1080" s="6"/>
      <c r="S1080" s="6"/>
      <c r="T1080" s="6"/>
      <c r="U1080" s="6"/>
      <c r="V1080" s="6"/>
      <c r="W1080" s="6"/>
      <c r="X1080" s="6"/>
      <c r="Y1080" s="6"/>
      <c r="Z1080" s="6"/>
    </row>
    <row r="1081" ht="12.75" customHeight="1">
      <c r="A1081" s="10" t="s">
        <v>1742</v>
      </c>
      <c r="B1081" s="10"/>
      <c r="C1081" s="10"/>
      <c r="D1081" s="11"/>
      <c r="E1081" s="10"/>
      <c r="F1081" s="10"/>
      <c r="G1081" s="12"/>
      <c r="H1081" s="6"/>
      <c r="I1081" s="6"/>
      <c r="J1081" s="6"/>
      <c r="K1081" s="6"/>
      <c r="L1081" s="6"/>
      <c r="M1081" s="6"/>
      <c r="N1081" s="6"/>
      <c r="O1081" s="6"/>
      <c r="P1081" s="6"/>
      <c r="Q1081" s="6"/>
      <c r="R1081" s="6"/>
      <c r="S1081" s="6"/>
      <c r="T1081" s="6"/>
      <c r="U1081" s="6"/>
      <c r="V1081" s="6"/>
      <c r="W1081" s="6"/>
      <c r="X1081" s="6"/>
      <c r="Y1081" s="6"/>
      <c r="Z1081" s="6"/>
    </row>
    <row r="1082" ht="12.75" customHeight="1">
      <c r="A1082" s="10" t="s">
        <v>1742</v>
      </c>
      <c r="B1082" s="10"/>
      <c r="C1082" s="10"/>
      <c r="D1082" s="11"/>
      <c r="E1082" s="10"/>
      <c r="F1082" s="10"/>
      <c r="G1082" s="12"/>
      <c r="H1082" s="6"/>
      <c r="I1082" s="6"/>
      <c r="J1082" s="6"/>
      <c r="K1082" s="6"/>
      <c r="L1082" s="6"/>
      <c r="M1082" s="6"/>
      <c r="N1082" s="6"/>
      <c r="O1082" s="6"/>
      <c r="P1082" s="6"/>
      <c r="Q1082" s="6"/>
      <c r="R1082" s="6"/>
      <c r="S1082" s="6"/>
      <c r="T1082" s="6"/>
      <c r="U1082" s="6"/>
      <c r="V1082" s="6"/>
      <c r="W1082" s="6"/>
      <c r="X1082" s="6"/>
      <c r="Y1082" s="6"/>
      <c r="Z1082" s="6"/>
    </row>
    <row r="1083" ht="12.75" customHeight="1">
      <c r="A1083" s="10" t="s">
        <v>1742</v>
      </c>
      <c r="B1083" s="10"/>
      <c r="C1083" s="10"/>
      <c r="D1083" s="11"/>
      <c r="E1083" s="10"/>
      <c r="F1083" s="10"/>
      <c r="G1083" s="12"/>
      <c r="H1083" s="6"/>
      <c r="I1083" s="6"/>
      <c r="J1083" s="6"/>
      <c r="K1083" s="6"/>
      <c r="L1083" s="6"/>
      <c r="M1083" s="6"/>
      <c r="N1083" s="6"/>
      <c r="O1083" s="6"/>
      <c r="P1083" s="6"/>
      <c r="Q1083" s="6"/>
      <c r="R1083" s="6"/>
      <c r="S1083" s="6"/>
      <c r="T1083" s="6"/>
      <c r="U1083" s="6"/>
      <c r="V1083" s="6"/>
      <c r="W1083" s="6"/>
      <c r="X1083" s="6"/>
      <c r="Y1083" s="6"/>
      <c r="Z1083" s="6"/>
    </row>
    <row r="1084" ht="12.75" customHeight="1">
      <c r="A1084" s="10" t="s">
        <v>1742</v>
      </c>
      <c r="B1084" s="10"/>
      <c r="C1084" s="10"/>
      <c r="D1084" s="11"/>
      <c r="E1084" s="10"/>
      <c r="F1084" s="10"/>
      <c r="G1084" s="12"/>
      <c r="H1084" s="6"/>
      <c r="I1084" s="6"/>
      <c r="J1084" s="6"/>
      <c r="K1084" s="6"/>
      <c r="L1084" s="6"/>
      <c r="M1084" s="6"/>
      <c r="N1084" s="6"/>
      <c r="O1084" s="6"/>
      <c r="P1084" s="6"/>
      <c r="Q1084" s="6"/>
      <c r="R1084" s="6"/>
      <c r="S1084" s="6"/>
      <c r="T1084" s="6"/>
      <c r="U1084" s="6"/>
      <c r="V1084" s="6"/>
      <c r="W1084" s="6"/>
      <c r="X1084" s="6"/>
      <c r="Y1084" s="6"/>
      <c r="Z1084" s="6"/>
    </row>
    <row r="1085" ht="12.75" customHeight="1">
      <c r="A1085" s="10" t="s">
        <v>1742</v>
      </c>
      <c r="B1085" s="10"/>
      <c r="C1085" s="10"/>
      <c r="D1085" s="11"/>
      <c r="E1085" s="10"/>
      <c r="F1085" s="10"/>
      <c r="G1085" s="12"/>
      <c r="H1085" s="6"/>
      <c r="I1085" s="6"/>
      <c r="J1085" s="6"/>
      <c r="K1085" s="6"/>
      <c r="L1085" s="6"/>
      <c r="M1085" s="6"/>
      <c r="N1085" s="6"/>
      <c r="O1085" s="6"/>
      <c r="P1085" s="6"/>
      <c r="Q1085" s="6"/>
      <c r="R1085" s="6"/>
      <c r="S1085" s="6"/>
      <c r="T1085" s="6"/>
      <c r="U1085" s="6"/>
      <c r="V1085" s="6"/>
      <c r="W1085" s="6"/>
      <c r="X1085" s="6"/>
      <c r="Y1085" s="6"/>
      <c r="Z1085" s="6"/>
    </row>
    <row r="1086" ht="12.75" customHeight="1">
      <c r="A1086" s="10" t="s">
        <v>1742</v>
      </c>
      <c r="B1086" s="10"/>
      <c r="C1086" s="10"/>
      <c r="D1086" s="11"/>
      <c r="E1086" s="10"/>
      <c r="F1086" s="10"/>
      <c r="G1086" s="12"/>
      <c r="H1086" s="6"/>
      <c r="I1086" s="6"/>
      <c r="J1086" s="6"/>
      <c r="K1086" s="6"/>
      <c r="L1086" s="6"/>
      <c r="M1086" s="6"/>
      <c r="N1086" s="6"/>
      <c r="O1086" s="6"/>
      <c r="P1086" s="6"/>
      <c r="Q1086" s="6"/>
      <c r="R1086" s="6"/>
      <c r="S1086" s="6"/>
      <c r="T1086" s="6"/>
      <c r="U1086" s="6"/>
      <c r="V1086" s="6"/>
      <c r="W1086" s="6"/>
      <c r="X1086" s="6"/>
      <c r="Y1086" s="6"/>
      <c r="Z1086" s="6"/>
    </row>
    <row r="1087" ht="12.75" customHeight="1">
      <c r="A1087" s="10" t="s">
        <v>1742</v>
      </c>
      <c r="B1087" s="10"/>
      <c r="C1087" s="10"/>
      <c r="D1087" s="11"/>
      <c r="E1087" s="10"/>
      <c r="F1087" s="10"/>
      <c r="G1087" s="12"/>
      <c r="H1087" s="6"/>
      <c r="I1087" s="6"/>
      <c r="J1087" s="6"/>
      <c r="K1087" s="6"/>
      <c r="L1087" s="6"/>
      <c r="M1087" s="6"/>
      <c r="N1087" s="6"/>
      <c r="O1087" s="6"/>
      <c r="P1087" s="6"/>
      <c r="Q1087" s="6"/>
      <c r="R1087" s="6"/>
      <c r="S1087" s="6"/>
      <c r="T1087" s="6"/>
      <c r="U1087" s="6"/>
      <c r="V1087" s="6"/>
      <c r="W1087" s="6"/>
      <c r="X1087" s="6"/>
      <c r="Y1087" s="6"/>
      <c r="Z1087" s="6"/>
    </row>
    <row r="1088" ht="12.75" customHeight="1">
      <c r="A1088" s="10" t="s">
        <v>1742</v>
      </c>
      <c r="B1088" s="10"/>
      <c r="C1088" s="10"/>
      <c r="D1088" s="11"/>
      <c r="E1088" s="10"/>
      <c r="F1088" s="10"/>
      <c r="G1088" s="12"/>
      <c r="H1088" s="6"/>
      <c r="I1088" s="6"/>
      <c r="J1088" s="6"/>
      <c r="K1088" s="6"/>
      <c r="L1088" s="6"/>
      <c r="M1088" s="6"/>
      <c r="N1088" s="6"/>
      <c r="O1088" s="6"/>
      <c r="P1088" s="6"/>
      <c r="Q1088" s="6"/>
      <c r="R1088" s="6"/>
      <c r="S1088" s="6"/>
      <c r="T1088" s="6"/>
      <c r="U1088" s="6"/>
      <c r="V1088" s="6"/>
      <c r="W1088" s="6"/>
      <c r="X1088" s="6"/>
      <c r="Y1088" s="6"/>
      <c r="Z1088" s="6"/>
    </row>
    <row r="1089" ht="12.75" customHeight="1">
      <c r="A1089" s="10" t="s">
        <v>1742</v>
      </c>
      <c r="B1089" s="10"/>
      <c r="C1089" s="10"/>
      <c r="D1089" s="11"/>
      <c r="E1089" s="10"/>
      <c r="F1089" s="10"/>
      <c r="G1089" s="12"/>
      <c r="H1089" s="6"/>
      <c r="I1089" s="6"/>
      <c r="J1089" s="6"/>
      <c r="K1089" s="6"/>
      <c r="L1089" s="6"/>
      <c r="M1089" s="6"/>
      <c r="N1089" s="6"/>
      <c r="O1089" s="6"/>
      <c r="P1089" s="6"/>
      <c r="Q1089" s="6"/>
      <c r="R1089" s="6"/>
      <c r="S1089" s="6"/>
      <c r="T1089" s="6"/>
      <c r="U1089" s="6"/>
      <c r="V1089" s="6"/>
      <c r="W1089" s="6"/>
      <c r="X1089" s="6"/>
      <c r="Y1089" s="6"/>
      <c r="Z1089" s="6"/>
    </row>
    <row r="1090" ht="12.75" customHeight="1">
      <c r="A1090" s="10" t="s">
        <v>1742</v>
      </c>
      <c r="B1090" s="10"/>
      <c r="C1090" s="10"/>
      <c r="D1090" s="11"/>
      <c r="E1090" s="10"/>
      <c r="F1090" s="10"/>
      <c r="G1090" s="12"/>
      <c r="H1090" s="6"/>
      <c r="I1090" s="6"/>
      <c r="J1090" s="6"/>
      <c r="K1090" s="6"/>
      <c r="L1090" s="6"/>
      <c r="M1090" s="6"/>
      <c r="N1090" s="6"/>
      <c r="O1090" s="6"/>
      <c r="P1090" s="6"/>
      <c r="Q1090" s="6"/>
      <c r="R1090" s="6"/>
      <c r="S1090" s="6"/>
      <c r="T1090" s="6"/>
      <c r="U1090" s="6"/>
      <c r="V1090" s="6"/>
      <c r="W1090" s="6"/>
      <c r="X1090" s="6"/>
      <c r="Y1090" s="6"/>
      <c r="Z1090" s="6"/>
    </row>
    <row r="1091" ht="12.75" customHeight="1">
      <c r="A1091" s="10" t="s">
        <v>1742</v>
      </c>
      <c r="B1091" s="10"/>
      <c r="C1091" s="10"/>
      <c r="D1091" s="11"/>
      <c r="E1091" s="10"/>
      <c r="F1091" s="10"/>
      <c r="G1091" s="12"/>
      <c r="H1091" s="6"/>
      <c r="I1091" s="6"/>
      <c r="J1091" s="6"/>
      <c r="K1091" s="6"/>
      <c r="L1091" s="6"/>
      <c r="M1091" s="6"/>
      <c r="N1091" s="6"/>
      <c r="O1091" s="6"/>
      <c r="P1091" s="6"/>
      <c r="Q1091" s="6"/>
      <c r="R1091" s="6"/>
      <c r="S1091" s="6"/>
      <c r="T1091" s="6"/>
      <c r="U1091" s="6"/>
      <c r="V1091" s="6"/>
      <c r="W1091" s="6"/>
      <c r="X1091" s="6"/>
      <c r="Y1091" s="6"/>
      <c r="Z1091" s="6"/>
    </row>
    <row r="1092" ht="12.75" customHeight="1">
      <c r="A1092" s="10" t="s">
        <v>1742</v>
      </c>
      <c r="B1092" s="10"/>
      <c r="C1092" s="10"/>
      <c r="D1092" s="11"/>
      <c r="E1092" s="10"/>
      <c r="F1092" s="10"/>
      <c r="G1092" s="12"/>
      <c r="H1092" s="6"/>
      <c r="I1092" s="6"/>
      <c r="J1092" s="6"/>
      <c r="K1092" s="6"/>
      <c r="L1092" s="6"/>
      <c r="M1092" s="6"/>
      <c r="N1092" s="6"/>
      <c r="O1092" s="6"/>
      <c r="P1092" s="6"/>
      <c r="Q1092" s="6"/>
      <c r="R1092" s="6"/>
      <c r="S1092" s="6"/>
      <c r="T1092" s="6"/>
      <c r="U1092" s="6"/>
      <c r="V1092" s="6"/>
      <c r="W1092" s="6"/>
      <c r="X1092" s="6"/>
      <c r="Y1092" s="6"/>
      <c r="Z1092" s="6"/>
    </row>
    <row r="1093" ht="12.75" customHeight="1">
      <c r="A1093" s="10" t="s">
        <v>1742</v>
      </c>
      <c r="B1093" s="10"/>
      <c r="C1093" s="10"/>
      <c r="D1093" s="11"/>
      <c r="E1093" s="10"/>
      <c r="F1093" s="10"/>
      <c r="G1093" s="12"/>
      <c r="H1093" s="6"/>
      <c r="I1093" s="6"/>
      <c r="J1093" s="6"/>
      <c r="K1093" s="6"/>
      <c r="L1093" s="6"/>
      <c r="M1093" s="6"/>
      <c r="N1093" s="6"/>
      <c r="O1093" s="6"/>
      <c r="P1093" s="6"/>
      <c r="Q1093" s="6"/>
      <c r="R1093" s="6"/>
      <c r="S1093" s="6"/>
      <c r="T1093" s="6"/>
      <c r="U1093" s="6"/>
      <c r="V1093" s="6"/>
      <c r="W1093" s="6"/>
      <c r="X1093" s="6"/>
      <c r="Y1093" s="6"/>
      <c r="Z1093" s="6"/>
    </row>
    <row r="1094" ht="12.75" customHeight="1">
      <c r="A1094" s="10" t="s">
        <v>1742</v>
      </c>
      <c r="B1094" s="10"/>
      <c r="C1094" s="10"/>
      <c r="D1094" s="11"/>
      <c r="E1094" s="10"/>
      <c r="F1094" s="10"/>
      <c r="G1094" s="12"/>
      <c r="H1094" s="6"/>
      <c r="I1094" s="6"/>
      <c r="J1094" s="6"/>
      <c r="K1094" s="6"/>
      <c r="L1094" s="6"/>
      <c r="M1094" s="6"/>
      <c r="N1094" s="6"/>
      <c r="O1094" s="6"/>
      <c r="P1094" s="6"/>
      <c r="Q1094" s="6"/>
      <c r="R1094" s="6"/>
      <c r="S1094" s="6"/>
      <c r="T1094" s="6"/>
      <c r="U1094" s="6"/>
      <c r="V1094" s="6"/>
      <c r="W1094" s="6"/>
      <c r="X1094" s="6"/>
      <c r="Y1094" s="6"/>
      <c r="Z1094" s="6"/>
    </row>
    <row r="1095" ht="12.75" customHeight="1">
      <c r="A1095" s="10" t="s">
        <v>1742</v>
      </c>
      <c r="B1095" s="10"/>
      <c r="C1095" s="10"/>
      <c r="D1095" s="11"/>
      <c r="E1095" s="10"/>
      <c r="F1095" s="10"/>
      <c r="G1095" s="12"/>
      <c r="H1095" s="6"/>
      <c r="I1095" s="6"/>
      <c r="J1095" s="6"/>
      <c r="K1095" s="6"/>
      <c r="L1095" s="6"/>
      <c r="M1095" s="6"/>
      <c r="N1095" s="6"/>
      <c r="O1095" s="6"/>
      <c r="P1095" s="6"/>
      <c r="Q1095" s="6"/>
      <c r="R1095" s="6"/>
      <c r="S1095" s="6"/>
      <c r="T1095" s="6"/>
      <c r="U1095" s="6"/>
      <c r="V1095" s="6"/>
      <c r="W1095" s="6"/>
      <c r="X1095" s="6"/>
      <c r="Y1095" s="6"/>
      <c r="Z1095" s="6"/>
    </row>
    <row r="1096" ht="12.75" customHeight="1">
      <c r="A1096" s="10" t="s">
        <v>1742</v>
      </c>
      <c r="B1096" s="10"/>
      <c r="C1096" s="10"/>
      <c r="D1096" s="11"/>
      <c r="E1096" s="10"/>
      <c r="F1096" s="10"/>
      <c r="G1096" s="12"/>
      <c r="H1096" s="6"/>
      <c r="I1096" s="6"/>
      <c r="J1096" s="6"/>
      <c r="K1096" s="6"/>
      <c r="L1096" s="6"/>
      <c r="M1096" s="6"/>
      <c r="N1096" s="6"/>
      <c r="O1096" s="6"/>
      <c r="P1096" s="6"/>
      <c r="Q1096" s="6"/>
      <c r="R1096" s="6"/>
      <c r="S1096" s="6"/>
      <c r="T1096" s="6"/>
      <c r="U1096" s="6"/>
      <c r="V1096" s="6"/>
      <c r="W1096" s="6"/>
      <c r="X1096" s="6"/>
      <c r="Y1096" s="6"/>
      <c r="Z1096" s="6"/>
    </row>
    <row r="1097" ht="12.75" customHeight="1">
      <c r="A1097" s="10" t="s">
        <v>1742</v>
      </c>
      <c r="B1097" s="10"/>
      <c r="C1097" s="10"/>
      <c r="D1097" s="11"/>
      <c r="E1097" s="10"/>
      <c r="F1097" s="10"/>
      <c r="G1097" s="12"/>
      <c r="H1097" s="6"/>
      <c r="I1097" s="6"/>
      <c r="J1097" s="6"/>
      <c r="K1097" s="6"/>
      <c r="L1097" s="6"/>
      <c r="M1097" s="6"/>
      <c r="N1097" s="6"/>
      <c r="O1097" s="6"/>
      <c r="P1097" s="6"/>
      <c r="Q1097" s="6"/>
      <c r="R1097" s="6"/>
      <c r="S1097" s="6"/>
      <c r="T1097" s="6"/>
      <c r="U1097" s="6"/>
      <c r="V1097" s="6"/>
      <c r="W1097" s="6"/>
      <c r="X1097" s="6"/>
      <c r="Y1097" s="6"/>
      <c r="Z1097" s="6"/>
    </row>
    <row r="1098" ht="12.75" customHeight="1">
      <c r="A1098" s="10" t="s">
        <v>1742</v>
      </c>
      <c r="B1098" s="10"/>
      <c r="C1098" s="10"/>
      <c r="D1098" s="11"/>
      <c r="E1098" s="10"/>
      <c r="F1098" s="10"/>
      <c r="G1098" s="12"/>
      <c r="H1098" s="6"/>
      <c r="I1098" s="6"/>
      <c r="J1098" s="6"/>
      <c r="K1098" s="6"/>
      <c r="L1098" s="6"/>
      <c r="M1098" s="6"/>
      <c r="N1098" s="6"/>
      <c r="O1098" s="6"/>
      <c r="P1098" s="6"/>
      <c r="Q1098" s="6"/>
      <c r="R1098" s="6"/>
      <c r="S1098" s="6"/>
      <c r="T1098" s="6"/>
      <c r="U1098" s="6"/>
      <c r="V1098" s="6"/>
      <c r="W1098" s="6"/>
      <c r="X1098" s="6"/>
      <c r="Y1098" s="6"/>
      <c r="Z1098" s="6"/>
    </row>
    <row r="1099" ht="12.75" customHeight="1">
      <c r="A1099" s="10" t="s">
        <v>1742</v>
      </c>
      <c r="B1099" s="10"/>
      <c r="C1099" s="10"/>
      <c r="D1099" s="11"/>
      <c r="E1099" s="10"/>
      <c r="F1099" s="10"/>
      <c r="G1099" s="12"/>
      <c r="H1099" s="6"/>
      <c r="I1099" s="6"/>
      <c r="J1099" s="6"/>
      <c r="K1099" s="6"/>
      <c r="L1099" s="6"/>
      <c r="M1099" s="6"/>
      <c r="N1099" s="6"/>
      <c r="O1099" s="6"/>
      <c r="P1099" s="6"/>
      <c r="Q1099" s="6"/>
      <c r="R1099" s="6"/>
      <c r="S1099" s="6"/>
      <c r="T1099" s="6"/>
      <c r="U1099" s="6"/>
      <c r="V1099" s="6"/>
      <c r="W1099" s="6"/>
      <c r="X1099" s="6"/>
      <c r="Y1099" s="6"/>
      <c r="Z1099" s="6"/>
    </row>
    <row r="1100" ht="12.75" customHeight="1">
      <c r="A1100" s="10" t="s">
        <v>1742</v>
      </c>
      <c r="B1100" s="10"/>
      <c r="C1100" s="10"/>
      <c r="D1100" s="11"/>
      <c r="E1100" s="10"/>
      <c r="F1100" s="10"/>
      <c r="G1100" s="12"/>
      <c r="H1100" s="6"/>
      <c r="I1100" s="6"/>
      <c r="J1100" s="6"/>
      <c r="K1100" s="6"/>
      <c r="L1100" s="6"/>
      <c r="M1100" s="6"/>
      <c r="N1100" s="6"/>
      <c r="O1100" s="6"/>
      <c r="P1100" s="6"/>
      <c r="Q1100" s="6"/>
      <c r="R1100" s="6"/>
      <c r="S1100" s="6"/>
      <c r="T1100" s="6"/>
      <c r="U1100" s="6"/>
      <c r="V1100" s="6"/>
      <c r="W1100" s="6"/>
      <c r="X1100" s="6"/>
      <c r="Y1100" s="6"/>
      <c r="Z1100" s="6"/>
    </row>
    <row r="1101" ht="12.75" customHeight="1">
      <c r="A1101" s="10" t="s">
        <v>1742</v>
      </c>
      <c r="B1101" s="10"/>
      <c r="C1101" s="10"/>
      <c r="D1101" s="11"/>
      <c r="E1101" s="10"/>
      <c r="F1101" s="10"/>
      <c r="G1101" s="12"/>
      <c r="H1101" s="6"/>
      <c r="I1101" s="6"/>
      <c r="J1101" s="6"/>
      <c r="K1101" s="6"/>
      <c r="L1101" s="6"/>
      <c r="M1101" s="6"/>
      <c r="N1101" s="6"/>
      <c r="O1101" s="6"/>
      <c r="P1101" s="6"/>
      <c r="Q1101" s="6"/>
      <c r="R1101" s="6"/>
      <c r="S1101" s="6"/>
      <c r="T1101" s="6"/>
      <c r="U1101" s="6"/>
      <c r="V1101" s="6"/>
      <c r="W1101" s="6"/>
      <c r="X1101" s="6"/>
      <c r="Y1101" s="6"/>
      <c r="Z1101" s="6"/>
    </row>
    <row r="1102" ht="12.75" customHeight="1">
      <c r="A1102" s="10" t="s">
        <v>1742</v>
      </c>
      <c r="B1102" s="10"/>
      <c r="C1102" s="10"/>
      <c r="D1102" s="11"/>
      <c r="E1102" s="10"/>
      <c r="F1102" s="10"/>
      <c r="G1102" s="12"/>
      <c r="H1102" s="6"/>
      <c r="I1102" s="6"/>
      <c r="J1102" s="6"/>
      <c r="K1102" s="6"/>
      <c r="L1102" s="6"/>
      <c r="M1102" s="6"/>
      <c r="N1102" s="6"/>
      <c r="O1102" s="6"/>
      <c r="P1102" s="6"/>
      <c r="Q1102" s="6"/>
      <c r="R1102" s="6"/>
      <c r="S1102" s="6"/>
      <c r="T1102" s="6"/>
      <c r="U1102" s="6"/>
      <c r="V1102" s="6"/>
      <c r="W1102" s="6"/>
      <c r="X1102" s="6"/>
      <c r="Y1102" s="6"/>
      <c r="Z1102" s="6"/>
    </row>
    <row r="1103" ht="12.75" customHeight="1">
      <c r="A1103" s="10" t="s">
        <v>1742</v>
      </c>
      <c r="B1103" s="10"/>
      <c r="C1103" s="10"/>
      <c r="D1103" s="11"/>
      <c r="E1103" s="10"/>
      <c r="F1103" s="10"/>
      <c r="G1103" s="12"/>
      <c r="H1103" s="6"/>
      <c r="I1103" s="6"/>
      <c r="J1103" s="6"/>
      <c r="K1103" s="6"/>
      <c r="L1103" s="6"/>
      <c r="M1103" s="6"/>
      <c r="N1103" s="6"/>
      <c r="O1103" s="6"/>
      <c r="P1103" s="6"/>
      <c r="Q1103" s="6"/>
      <c r="R1103" s="6"/>
      <c r="S1103" s="6"/>
      <c r="T1103" s="6"/>
      <c r="U1103" s="6"/>
      <c r="V1103" s="6"/>
      <c r="W1103" s="6"/>
      <c r="X1103" s="6"/>
      <c r="Y1103" s="6"/>
      <c r="Z1103" s="6"/>
    </row>
    <row r="1104" ht="12.75" customHeight="1">
      <c r="A1104" s="10" t="s">
        <v>1742</v>
      </c>
      <c r="B1104" s="10"/>
      <c r="C1104" s="10"/>
      <c r="D1104" s="11"/>
      <c r="E1104" s="10"/>
      <c r="F1104" s="10"/>
      <c r="G1104" s="12"/>
      <c r="H1104" s="6"/>
      <c r="I1104" s="6"/>
      <c r="J1104" s="6"/>
      <c r="K1104" s="6"/>
      <c r="L1104" s="6"/>
      <c r="M1104" s="6"/>
      <c r="N1104" s="6"/>
      <c r="O1104" s="6"/>
      <c r="P1104" s="6"/>
      <c r="Q1104" s="6"/>
      <c r="R1104" s="6"/>
      <c r="S1104" s="6"/>
      <c r="T1104" s="6"/>
      <c r="U1104" s="6"/>
      <c r="V1104" s="6"/>
      <c r="W1104" s="6"/>
      <c r="X1104" s="6"/>
      <c r="Y1104" s="6"/>
      <c r="Z1104" s="6"/>
    </row>
    <row r="1105" ht="12.75" customHeight="1">
      <c r="A1105" s="10" t="s">
        <v>1742</v>
      </c>
      <c r="B1105" s="10"/>
      <c r="C1105" s="10"/>
      <c r="D1105" s="11"/>
      <c r="E1105" s="10"/>
      <c r="F1105" s="10"/>
      <c r="G1105" s="12"/>
      <c r="H1105" s="6"/>
      <c r="I1105" s="6"/>
      <c r="J1105" s="6"/>
      <c r="K1105" s="6"/>
      <c r="L1105" s="6"/>
      <c r="M1105" s="6"/>
      <c r="N1105" s="6"/>
      <c r="O1105" s="6"/>
      <c r="P1105" s="6"/>
      <c r="Q1105" s="6"/>
      <c r="R1105" s="6"/>
      <c r="S1105" s="6"/>
      <c r="T1105" s="6"/>
      <c r="U1105" s="6"/>
      <c r="V1105" s="6"/>
      <c r="W1105" s="6"/>
      <c r="X1105" s="6"/>
      <c r="Y1105" s="6"/>
      <c r="Z1105" s="6"/>
    </row>
    <row r="1106" ht="12.75" customHeight="1">
      <c r="A1106" s="10" t="s">
        <v>1742</v>
      </c>
      <c r="B1106" s="10"/>
      <c r="C1106" s="10"/>
      <c r="D1106" s="11"/>
      <c r="E1106" s="10"/>
      <c r="F1106" s="10"/>
      <c r="G1106" s="12"/>
      <c r="H1106" s="6"/>
      <c r="I1106" s="6"/>
      <c r="J1106" s="6"/>
      <c r="K1106" s="6"/>
      <c r="L1106" s="6"/>
      <c r="M1106" s="6"/>
      <c r="N1106" s="6"/>
      <c r="O1106" s="6"/>
      <c r="P1106" s="6"/>
      <c r="Q1106" s="6"/>
      <c r="R1106" s="6"/>
      <c r="S1106" s="6"/>
      <c r="T1106" s="6"/>
      <c r="U1106" s="6"/>
      <c r="V1106" s="6"/>
      <c r="W1106" s="6"/>
      <c r="X1106" s="6"/>
      <c r="Y1106" s="6"/>
      <c r="Z1106" s="6"/>
    </row>
    <row r="1107" ht="12.75" customHeight="1">
      <c r="A1107" s="10" t="s">
        <v>1742</v>
      </c>
      <c r="B1107" s="10"/>
      <c r="C1107" s="10"/>
      <c r="D1107" s="11"/>
      <c r="E1107" s="10"/>
      <c r="F1107" s="10"/>
      <c r="G1107" s="12"/>
      <c r="H1107" s="6"/>
      <c r="I1107" s="6"/>
      <c r="J1107" s="6"/>
      <c r="K1107" s="6"/>
      <c r="L1107" s="6"/>
      <c r="M1107" s="6"/>
      <c r="N1107" s="6"/>
      <c r="O1107" s="6"/>
      <c r="P1107" s="6"/>
      <c r="Q1107" s="6"/>
      <c r="R1107" s="6"/>
      <c r="S1107" s="6"/>
      <c r="T1107" s="6"/>
      <c r="U1107" s="6"/>
      <c r="V1107" s="6"/>
      <c r="W1107" s="6"/>
      <c r="X1107" s="6"/>
      <c r="Y1107" s="6"/>
      <c r="Z1107" s="6"/>
    </row>
    <row r="1108" ht="12.75" customHeight="1">
      <c r="A1108" s="10" t="s">
        <v>1742</v>
      </c>
      <c r="B1108" s="10"/>
      <c r="C1108" s="10"/>
      <c r="D1108" s="11"/>
      <c r="E1108" s="10"/>
      <c r="F1108" s="10"/>
      <c r="G1108" s="12"/>
      <c r="H1108" s="6"/>
      <c r="I1108" s="6"/>
      <c r="J1108" s="6"/>
      <c r="K1108" s="6"/>
      <c r="L1108" s="6"/>
      <c r="M1108" s="6"/>
      <c r="N1108" s="6"/>
      <c r="O1108" s="6"/>
      <c r="P1108" s="6"/>
      <c r="Q1108" s="6"/>
      <c r="R1108" s="6"/>
      <c r="S1108" s="6"/>
      <c r="T1108" s="6"/>
      <c r="U1108" s="6"/>
      <c r="V1108" s="6"/>
      <c r="W1108" s="6"/>
      <c r="X1108" s="6"/>
      <c r="Y1108" s="6"/>
      <c r="Z1108" s="6"/>
    </row>
    <row r="1109" ht="12.75" customHeight="1">
      <c r="A1109" s="10" t="s">
        <v>1742</v>
      </c>
      <c r="B1109" s="10"/>
      <c r="C1109" s="10"/>
      <c r="D1109" s="11"/>
      <c r="E1109" s="10"/>
      <c r="F1109" s="10"/>
      <c r="G1109" s="12"/>
      <c r="H1109" s="6"/>
      <c r="I1109" s="6"/>
      <c r="J1109" s="6"/>
      <c r="K1109" s="6"/>
      <c r="L1109" s="6"/>
      <c r="M1109" s="6"/>
      <c r="N1109" s="6"/>
      <c r="O1109" s="6"/>
      <c r="P1109" s="6"/>
      <c r="Q1109" s="6"/>
      <c r="R1109" s="6"/>
      <c r="S1109" s="6"/>
      <c r="T1109" s="6"/>
      <c r="U1109" s="6"/>
      <c r="V1109" s="6"/>
      <c r="W1109" s="6"/>
      <c r="X1109" s="6"/>
      <c r="Y1109" s="6"/>
      <c r="Z1109" s="6"/>
    </row>
    <row r="1110" ht="12.75" customHeight="1">
      <c r="A1110" s="10" t="s">
        <v>1742</v>
      </c>
      <c r="B1110" s="10"/>
      <c r="C1110" s="10"/>
      <c r="D1110" s="11"/>
      <c r="E1110" s="10"/>
      <c r="F1110" s="10"/>
      <c r="G1110" s="12"/>
      <c r="H1110" s="6"/>
      <c r="I1110" s="6"/>
      <c r="J1110" s="6"/>
      <c r="K1110" s="6"/>
      <c r="L1110" s="6"/>
      <c r="M1110" s="6"/>
      <c r="N1110" s="6"/>
      <c r="O1110" s="6"/>
      <c r="P1110" s="6"/>
      <c r="Q1110" s="6"/>
      <c r="R1110" s="6"/>
      <c r="S1110" s="6"/>
      <c r="T1110" s="6"/>
      <c r="U1110" s="6"/>
      <c r="V1110" s="6"/>
      <c r="W1110" s="6"/>
      <c r="X1110" s="6"/>
      <c r="Y1110" s="6"/>
      <c r="Z1110" s="6"/>
    </row>
    <row r="1111" ht="12.75" customHeight="1">
      <c r="A1111" s="10" t="s">
        <v>1742</v>
      </c>
      <c r="B1111" s="10"/>
      <c r="C1111" s="10"/>
      <c r="D1111" s="11"/>
      <c r="E1111" s="10"/>
      <c r="F1111" s="10"/>
      <c r="G1111" s="12"/>
      <c r="H1111" s="6"/>
      <c r="I1111" s="6"/>
      <c r="J1111" s="6"/>
      <c r="K1111" s="6"/>
      <c r="L1111" s="6"/>
      <c r="M1111" s="6"/>
      <c r="N1111" s="6"/>
      <c r="O1111" s="6"/>
      <c r="P1111" s="6"/>
      <c r="Q1111" s="6"/>
      <c r="R1111" s="6"/>
      <c r="S1111" s="6"/>
      <c r="T1111" s="6"/>
      <c r="U1111" s="6"/>
      <c r="V1111" s="6"/>
      <c r="W1111" s="6"/>
      <c r="X1111" s="6"/>
      <c r="Y1111" s="6"/>
      <c r="Z1111" s="6"/>
    </row>
    <row r="1112" ht="12.75" customHeight="1">
      <c r="A1112" s="10" t="s">
        <v>1742</v>
      </c>
      <c r="B1112" s="10"/>
      <c r="C1112" s="10"/>
      <c r="D1112" s="11"/>
      <c r="E1112" s="10"/>
      <c r="F1112" s="10"/>
      <c r="G1112" s="12"/>
      <c r="H1112" s="6"/>
      <c r="I1112" s="6"/>
      <c r="J1112" s="6"/>
      <c r="K1112" s="6"/>
      <c r="L1112" s="6"/>
      <c r="M1112" s="6"/>
      <c r="N1112" s="6"/>
      <c r="O1112" s="6"/>
      <c r="P1112" s="6"/>
      <c r="Q1112" s="6"/>
      <c r="R1112" s="6"/>
      <c r="S1112" s="6"/>
      <c r="T1112" s="6"/>
      <c r="U1112" s="6"/>
      <c r="V1112" s="6"/>
      <c r="W1112" s="6"/>
      <c r="X1112" s="6"/>
      <c r="Y1112" s="6"/>
      <c r="Z1112" s="6"/>
    </row>
    <row r="1113" ht="12.75" customHeight="1">
      <c r="A1113" s="10" t="s">
        <v>1742</v>
      </c>
      <c r="B1113" s="10"/>
      <c r="C1113" s="10"/>
      <c r="D1113" s="11"/>
      <c r="E1113" s="10"/>
      <c r="F1113" s="10"/>
      <c r="G1113" s="12"/>
      <c r="H1113" s="6"/>
      <c r="I1113" s="6"/>
      <c r="J1113" s="6"/>
      <c r="K1113" s="6"/>
      <c r="L1113" s="6"/>
      <c r="M1113" s="6"/>
      <c r="N1113" s="6"/>
      <c r="O1113" s="6"/>
      <c r="P1113" s="6"/>
      <c r="Q1113" s="6"/>
      <c r="R1113" s="6"/>
      <c r="S1113" s="6"/>
      <c r="T1113" s="6"/>
      <c r="U1113" s="6"/>
      <c r="V1113" s="6"/>
      <c r="W1113" s="6"/>
      <c r="X1113" s="6"/>
      <c r="Y1113" s="6"/>
      <c r="Z1113" s="6"/>
    </row>
    <row r="1114" ht="12.75" customHeight="1">
      <c r="A1114" s="10" t="s">
        <v>1742</v>
      </c>
      <c r="B1114" s="10"/>
      <c r="C1114" s="10"/>
      <c r="D1114" s="11"/>
      <c r="E1114" s="10"/>
      <c r="F1114" s="10"/>
      <c r="G1114" s="12"/>
      <c r="H1114" s="6"/>
      <c r="I1114" s="6"/>
      <c r="J1114" s="6"/>
      <c r="K1114" s="6"/>
      <c r="L1114" s="6"/>
      <c r="M1114" s="6"/>
      <c r="N1114" s="6"/>
      <c r="O1114" s="6"/>
      <c r="P1114" s="6"/>
      <c r="Q1114" s="6"/>
      <c r="R1114" s="6"/>
      <c r="S1114" s="6"/>
      <c r="T1114" s="6"/>
      <c r="U1114" s="6"/>
      <c r="V1114" s="6"/>
      <c r="W1114" s="6"/>
      <c r="X1114" s="6"/>
      <c r="Y1114" s="6"/>
      <c r="Z1114" s="6"/>
    </row>
    <row r="1115" ht="12.75" customHeight="1">
      <c r="A1115" s="10" t="s">
        <v>1742</v>
      </c>
      <c r="B1115" s="10"/>
      <c r="C1115" s="10"/>
      <c r="D1115" s="11"/>
      <c r="E1115" s="10"/>
      <c r="F1115" s="10"/>
      <c r="G1115" s="12"/>
      <c r="H1115" s="6"/>
      <c r="I1115" s="6"/>
      <c r="J1115" s="6"/>
      <c r="K1115" s="6"/>
      <c r="L1115" s="6"/>
      <c r="M1115" s="6"/>
      <c r="N1115" s="6"/>
      <c r="O1115" s="6"/>
      <c r="P1115" s="6"/>
      <c r="Q1115" s="6"/>
      <c r="R1115" s="6"/>
      <c r="S1115" s="6"/>
      <c r="T1115" s="6"/>
      <c r="U1115" s="6"/>
      <c r="V1115" s="6"/>
      <c r="W1115" s="6"/>
      <c r="X1115" s="6"/>
      <c r="Y1115" s="6"/>
      <c r="Z1115" s="6"/>
    </row>
    <row r="1116" ht="12.75" customHeight="1">
      <c r="A1116" s="10" t="s">
        <v>1742</v>
      </c>
      <c r="B1116" s="10"/>
      <c r="C1116" s="10"/>
      <c r="D1116" s="11"/>
      <c r="E1116" s="10"/>
      <c r="F1116" s="10"/>
      <c r="G1116" s="12"/>
      <c r="H1116" s="6"/>
      <c r="I1116" s="6"/>
      <c r="J1116" s="6"/>
      <c r="K1116" s="6"/>
      <c r="L1116" s="6"/>
      <c r="M1116" s="6"/>
      <c r="N1116" s="6"/>
      <c r="O1116" s="6"/>
      <c r="P1116" s="6"/>
      <c r="Q1116" s="6"/>
      <c r="R1116" s="6"/>
      <c r="S1116" s="6"/>
      <c r="T1116" s="6"/>
      <c r="U1116" s="6"/>
      <c r="V1116" s="6"/>
      <c r="W1116" s="6"/>
      <c r="X1116" s="6"/>
      <c r="Y1116" s="6"/>
      <c r="Z1116" s="6"/>
    </row>
    <row r="1117" ht="12.75" customHeight="1">
      <c r="A1117" s="10" t="s">
        <v>1742</v>
      </c>
      <c r="B1117" s="10"/>
      <c r="C1117" s="10"/>
      <c r="D1117" s="11"/>
      <c r="E1117" s="10"/>
      <c r="F1117" s="10"/>
      <c r="G1117" s="12"/>
      <c r="H1117" s="6"/>
      <c r="I1117" s="6"/>
      <c r="J1117" s="6"/>
      <c r="K1117" s="6"/>
      <c r="L1117" s="6"/>
      <c r="M1117" s="6"/>
      <c r="N1117" s="6"/>
      <c r="O1117" s="6"/>
      <c r="P1117" s="6"/>
      <c r="Q1117" s="6"/>
      <c r="R1117" s="6"/>
      <c r="S1117" s="6"/>
      <c r="T1117" s="6"/>
      <c r="U1117" s="6"/>
      <c r="V1117" s="6"/>
      <c r="W1117" s="6"/>
      <c r="X1117" s="6"/>
      <c r="Y1117" s="6"/>
      <c r="Z1117" s="6"/>
    </row>
    <row r="1118" ht="12.75" customHeight="1">
      <c r="A1118" s="10" t="s">
        <v>1742</v>
      </c>
      <c r="B1118" s="10"/>
      <c r="C1118" s="10"/>
      <c r="D1118" s="11"/>
      <c r="E1118" s="10"/>
      <c r="F1118" s="10"/>
      <c r="G1118" s="12"/>
      <c r="H1118" s="6"/>
      <c r="I1118" s="6"/>
      <c r="J1118" s="6"/>
      <c r="K1118" s="6"/>
      <c r="L1118" s="6"/>
      <c r="M1118" s="6"/>
      <c r="N1118" s="6"/>
      <c r="O1118" s="6"/>
      <c r="P1118" s="6"/>
      <c r="Q1118" s="6"/>
      <c r="R1118" s="6"/>
      <c r="S1118" s="6"/>
      <c r="T1118" s="6"/>
      <c r="U1118" s="6"/>
      <c r="V1118" s="6"/>
      <c r="W1118" s="6"/>
      <c r="X1118" s="6"/>
      <c r="Y1118" s="6"/>
      <c r="Z1118" s="6"/>
    </row>
    <row r="1119" ht="12.75" customHeight="1">
      <c r="A1119" s="10" t="s">
        <v>1742</v>
      </c>
      <c r="B1119" s="10"/>
      <c r="C1119" s="10"/>
      <c r="D1119" s="11"/>
      <c r="E1119" s="10"/>
      <c r="F1119" s="10"/>
      <c r="G1119" s="12"/>
      <c r="H1119" s="6"/>
      <c r="I1119" s="6"/>
      <c r="J1119" s="6"/>
      <c r="K1119" s="6"/>
      <c r="L1119" s="6"/>
      <c r="M1119" s="6"/>
      <c r="N1119" s="6"/>
      <c r="O1119" s="6"/>
      <c r="P1119" s="6"/>
      <c r="Q1119" s="6"/>
      <c r="R1119" s="6"/>
      <c r="S1119" s="6"/>
      <c r="T1119" s="6"/>
      <c r="U1119" s="6"/>
      <c r="V1119" s="6"/>
      <c r="W1119" s="6"/>
      <c r="X1119" s="6"/>
      <c r="Y1119" s="6"/>
      <c r="Z1119" s="6"/>
    </row>
    <row r="1120" ht="12.75" customHeight="1">
      <c r="A1120" s="10" t="s">
        <v>1742</v>
      </c>
      <c r="B1120" s="10"/>
      <c r="C1120" s="10"/>
      <c r="D1120" s="11"/>
      <c r="E1120" s="10"/>
      <c r="F1120" s="10"/>
      <c r="G1120" s="12"/>
      <c r="H1120" s="6"/>
      <c r="I1120" s="6"/>
      <c r="J1120" s="6"/>
      <c r="K1120" s="6"/>
      <c r="L1120" s="6"/>
      <c r="M1120" s="6"/>
      <c r="N1120" s="6"/>
      <c r="O1120" s="6"/>
      <c r="P1120" s="6"/>
      <c r="Q1120" s="6"/>
      <c r="R1120" s="6"/>
      <c r="S1120" s="6"/>
      <c r="T1120" s="6"/>
      <c r="U1120" s="6"/>
      <c r="V1120" s="6"/>
      <c r="W1120" s="6"/>
      <c r="X1120" s="6"/>
      <c r="Y1120" s="6"/>
      <c r="Z1120" s="6"/>
    </row>
    <row r="1121" ht="12.75" customHeight="1">
      <c r="A1121" s="10" t="s">
        <v>1742</v>
      </c>
      <c r="B1121" s="10"/>
      <c r="C1121" s="10"/>
      <c r="D1121" s="11"/>
      <c r="E1121" s="10"/>
      <c r="F1121" s="10"/>
      <c r="G1121" s="12"/>
      <c r="H1121" s="6"/>
      <c r="I1121" s="6"/>
      <c r="J1121" s="6"/>
      <c r="K1121" s="6"/>
      <c r="L1121" s="6"/>
      <c r="M1121" s="6"/>
      <c r="N1121" s="6"/>
      <c r="O1121" s="6"/>
      <c r="P1121" s="6"/>
      <c r="Q1121" s="6"/>
      <c r="R1121" s="6"/>
      <c r="S1121" s="6"/>
      <c r="T1121" s="6"/>
      <c r="U1121" s="6"/>
      <c r="V1121" s="6"/>
      <c r="W1121" s="6"/>
      <c r="X1121" s="6"/>
      <c r="Y1121" s="6"/>
      <c r="Z1121" s="6"/>
    </row>
    <row r="1122" ht="12.75" customHeight="1">
      <c r="A1122" s="10" t="s">
        <v>1742</v>
      </c>
      <c r="B1122" s="10"/>
      <c r="C1122" s="10"/>
      <c r="D1122" s="11"/>
      <c r="E1122" s="10"/>
      <c r="F1122" s="10"/>
      <c r="G1122" s="12"/>
      <c r="H1122" s="6"/>
      <c r="I1122" s="6"/>
      <c r="J1122" s="6"/>
      <c r="K1122" s="6"/>
      <c r="L1122" s="6"/>
      <c r="M1122" s="6"/>
      <c r="N1122" s="6"/>
      <c r="O1122" s="6"/>
      <c r="P1122" s="6"/>
      <c r="Q1122" s="6"/>
      <c r="R1122" s="6"/>
      <c r="S1122" s="6"/>
      <c r="T1122" s="6"/>
      <c r="U1122" s="6"/>
      <c r="V1122" s="6"/>
      <c r="W1122" s="6"/>
      <c r="X1122" s="6"/>
      <c r="Y1122" s="6"/>
      <c r="Z1122" s="6"/>
    </row>
    <row r="1123" ht="12.75" customHeight="1">
      <c r="A1123" s="10" t="s">
        <v>1742</v>
      </c>
      <c r="B1123" s="10"/>
      <c r="C1123" s="10"/>
      <c r="D1123" s="11"/>
      <c r="E1123" s="10"/>
      <c r="F1123" s="10"/>
      <c r="G1123" s="12"/>
      <c r="H1123" s="6"/>
      <c r="I1123" s="6"/>
      <c r="J1123" s="6"/>
      <c r="K1123" s="6"/>
      <c r="L1123" s="6"/>
      <c r="M1123" s="6"/>
      <c r="N1123" s="6"/>
      <c r="O1123" s="6"/>
      <c r="P1123" s="6"/>
      <c r="Q1123" s="6"/>
      <c r="R1123" s="6"/>
      <c r="S1123" s="6"/>
      <c r="T1123" s="6"/>
      <c r="U1123" s="6"/>
      <c r="V1123" s="6"/>
      <c r="W1123" s="6"/>
      <c r="X1123" s="6"/>
      <c r="Y1123" s="6"/>
      <c r="Z1123" s="6"/>
    </row>
    <row r="1124" ht="12.75" customHeight="1">
      <c r="A1124" s="10" t="s">
        <v>1742</v>
      </c>
      <c r="B1124" s="10"/>
      <c r="C1124" s="10"/>
      <c r="D1124" s="11"/>
      <c r="E1124" s="10"/>
      <c r="F1124" s="10"/>
      <c r="G1124" s="12"/>
      <c r="H1124" s="6"/>
      <c r="I1124" s="6"/>
      <c r="J1124" s="6"/>
      <c r="K1124" s="6"/>
      <c r="L1124" s="6"/>
      <c r="M1124" s="6"/>
      <c r="N1124" s="6"/>
      <c r="O1124" s="6"/>
      <c r="P1124" s="6"/>
      <c r="Q1124" s="6"/>
      <c r="R1124" s="6"/>
      <c r="S1124" s="6"/>
      <c r="T1124" s="6"/>
      <c r="U1124" s="6"/>
      <c r="V1124" s="6"/>
      <c r="W1124" s="6"/>
      <c r="X1124" s="6"/>
      <c r="Y1124" s="6"/>
      <c r="Z1124" s="6"/>
    </row>
    <row r="1125" ht="12.75" customHeight="1">
      <c r="A1125" s="10" t="s">
        <v>1742</v>
      </c>
      <c r="B1125" s="10"/>
      <c r="C1125" s="10"/>
      <c r="D1125" s="11"/>
      <c r="E1125" s="10"/>
      <c r="F1125" s="10"/>
      <c r="G1125" s="12"/>
      <c r="H1125" s="6"/>
      <c r="I1125" s="6"/>
      <c r="J1125" s="6"/>
      <c r="K1125" s="6"/>
      <c r="L1125" s="6"/>
      <c r="M1125" s="6"/>
      <c r="N1125" s="6"/>
      <c r="O1125" s="6"/>
      <c r="P1125" s="6"/>
      <c r="Q1125" s="6"/>
      <c r="R1125" s="6"/>
      <c r="S1125" s="6"/>
      <c r="T1125" s="6"/>
      <c r="U1125" s="6"/>
      <c r="V1125" s="6"/>
      <c r="W1125" s="6"/>
      <c r="X1125" s="6"/>
      <c r="Y1125" s="6"/>
      <c r="Z1125" s="6"/>
    </row>
    <row r="1126" ht="12.75" customHeight="1">
      <c r="A1126" s="10" t="s">
        <v>1742</v>
      </c>
      <c r="B1126" s="10"/>
      <c r="C1126" s="10"/>
      <c r="D1126" s="11"/>
      <c r="E1126" s="10"/>
      <c r="F1126" s="10"/>
      <c r="G1126" s="12"/>
      <c r="H1126" s="6"/>
      <c r="I1126" s="6"/>
      <c r="J1126" s="6"/>
      <c r="K1126" s="6"/>
      <c r="L1126" s="6"/>
      <c r="M1126" s="6"/>
      <c r="N1126" s="6"/>
      <c r="O1126" s="6"/>
      <c r="P1126" s="6"/>
      <c r="Q1126" s="6"/>
      <c r="R1126" s="6"/>
      <c r="S1126" s="6"/>
      <c r="T1126" s="6"/>
      <c r="U1126" s="6"/>
      <c r="V1126" s="6"/>
      <c r="W1126" s="6"/>
      <c r="X1126" s="6"/>
      <c r="Y1126" s="6"/>
      <c r="Z1126" s="6"/>
    </row>
    <row r="1127" ht="12.75" customHeight="1">
      <c r="A1127" s="10" t="s">
        <v>1742</v>
      </c>
      <c r="B1127" s="10"/>
      <c r="C1127" s="10"/>
      <c r="D1127" s="11"/>
      <c r="E1127" s="10"/>
      <c r="F1127" s="10"/>
      <c r="G1127" s="12"/>
      <c r="H1127" s="6"/>
      <c r="I1127" s="6"/>
      <c r="J1127" s="6"/>
      <c r="K1127" s="6"/>
      <c r="L1127" s="6"/>
      <c r="M1127" s="6"/>
      <c r="N1127" s="6"/>
      <c r="O1127" s="6"/>
      <c r="P1127" s="6"/>
      <c r="Q1127" s="6"/>
      <c r="R1127" s="6"/>
      <c r="S1127" s="6"/>
      <c r="T1127" s="6"/>
      <c r="U1127" s="6"/>
      <c r="V1127" s="6"/>
      <c r="W1127" s="6"/>
      <c r="X1127" s="6"/>
      <c r="Y1127" s="6"/>
      <c r="Z1127" s="6"/>
    </row>
    <row r="1128" ht="12.75" customHeight="1">
      <c r="A1128" s="10" t="s">
        <v>1742</v>
      </c>
      <c r="B1128" s="10"/>
      <c r="C1128" s="10"/>
      <c r="D1128" s="11"/>
      <c r="E1128" s="10"/>
      <c r="F1128" s="10"/>
      <c r="G1128" s="12"/>
      <c r="H1128" s="6"/>
      <c r="I1128" s="6"/>
      <c r="J1128" s="6"/>
      <c r="K1128" s="6"/>
      <c r="L1128" s="6"/>
      <c r="M1128" s="6"/>
      <c r="N1128" s="6"/>
      <c r="O1128" s="6"/>
      <c r="P1128" s="6"/>
      <c r="Q1128" s="6"/>
      <c r="R1128" s="6"/>
      <c r="S1128" s="6"/>
      <c r="T1128" s="6"/>
      <c r="U1128" s="6"/>
      <c r="V1128" s="6"/>
      <c r="W1128" s="6"/>
      <c r="X1128" s="6"/>
      <c r="Y1128" s="6"/>
      <c r="Z1128" s="6"/>
    </row>
    <row r="1129" ht="12.75" customHeight="1">
      <c r="A1129" s="10" t="s">
        <v>1742</v>
      </c>
      <c r="B1129" s="10"/>
      <c r="C1129" s="10"/>
      <c r="D1129" s="11"/>
      <c r="E1129" s="10"/>
      <c r="F1129" s="10"/>
      <c r="G1129" s="12"/>
      <c r="H1129" s="6"/>
      <c r="I1129" s="6"/>
      <c r="J1129" s="6"/>
      <c r="K1129" s="6"/>
      <c r="L1129" s="6"/>
      <c r="M1129" s="6"/>
      <c r="N1129" s="6"/>
      <c r="O1129" s="6"/>
      <c r="P1129" s="6"/>
      <c r="Q1129" s="6"/>
      <c r="R1129" s="6"/>
      <c r="S1129" s="6"/>
      <c r="T1129" s="6"/>
      <c r="U1129" s="6"/>
      <c r="V1129" s="6"/>
      <c r="W1129" s="6"/>
      <c r="X1129" s="6"/>
      <c r="Y1129" s="6"/>
      <c r="Z1129" s="6"/>
    </row>
    <row r="1130" ht="12.75" customHeight="1">
      <c r="A1130" s="10" t="s">
        <v>1742</v>
      </c>
      <c r="B1130" s="10"/>
      <c r="C1130" s="10"/>
      <c r="D1130" s="11"/>
      <c r="E1130" s="10"/>
      <c r="F1130" s="10"/>
      <c r="G1130" s="12"/>
      <c r="H1130" s="6"/>
      <c r="I1130" s="6"/>
      <c r="J1130" s="6"/>
      <c r="K1130" s="6"/>
      <c r="L1130" s="6"/>
      <c r="M1130" s="6"/>
      <c r="N1130" s="6"/>
      <c r="O1130" s="6"/>
      <c r="P1130" s="6"/>
      <c r="Q1130" s="6"/>
      <c r="R1130" s="6"/>
      <c r="S1130" s="6"/>
      <c r="T1130" s="6"/>
      <c r="U1130" s="6"/>
      <c r="V1130" s="6"/>
      <c r="W1130" s="6"/>
      <c r="X1130" s="6"/>
      <c r="Y1130" s="6"/>
      <c r="Z1130" s="6"/>
    </row>
    <row r="1131" ht="12.75" customHeight="1">
      <c r="A1131" s="10" t="s">
        <v>1742</v>
      </c>
      <c r="B1131" s="10"/>
      <c r="C1131" s="10"/>
      <c r="D1131" s="11"/>
      <c r="E1131" s="10"/>
      <c r="F1131" s="10"/>
      <c r="G1131" s="12"/>
      <c r="H1131" s="6"/>
      <c r="I1131" s="6"/>
      <c r="J1131" s="6"/>
      <c r="K1131" s="6"/>
      <c r="L1131" s="6"/>
      <c r="M1131" s="6"/>
      <c r="N1131" s="6"/>
      <c r="O1131" s="6"/>
      <c r="P1131" s="6"/>
      <c r="Q1131" s="6"/>
      <c r="R1131" s="6"/>
      <c r="S1131" s="6"/>
      <c r="T1131" s="6"/>
      <c r="U1131" s="6"/>
      <c r="V1131" s="6"/>
      <c r="W1131" s="6"/>
      <c r="X1131" s="6"/>
      <c r="Y1131" s="6"/>
      <c r="Z1131" s="6"/>
    </row>
    <row r="1132" ht="12.75" customHeight="1">
      <c r="A1132" s="10" t="s">
        <v>1742</v>
      </c>
      <c r="B1132" s="10"/>
      <c r="C1132" s="10"/>
      <c r="D1132" s="11"/>
      <c r="E1132" s="10"/>
      <c r="F1132" s="10"/>
      <c r="G1132" s="12"/>
      <c r="H1132" s="6"/>
      <c r="I1132" s="6"/>
      <c r="J1132" s="6"/>
      <c r="K1132" s="6"/>
      <c r="L1132" s="6"/>
      <c r="M1132" s="6"/>
      <c r="N1132" s="6"/>
      <c r="O1132" s="6"/>
      <c r="P1132" s="6"/>
      <c r="Q1132" s="6"/>
      <c r="R1132" s="6"/>
      <c r="S1132" s="6"/>
      <c r="T1132" s="6"/>
      <c r="U1132" s="6"/>
      <c r="V1132" s="6"/>
      <c r="W1132" s="6"/>
      <c r="X1132" s="6"/>
      <c r="Y1132" s="6"/>
      <c r="Z1132" s="6"/>
    </row>
    <row r="1133" ht="12.75" customHeight="1">
      <c r="A1133" s="10" t="s">
        <v>1742</v>
      </c>
      <c r="B1133" s="10"/>
      <c r="C1133" s="10"/>
      <c r="D1133" s="11"/>
      <c r="E1133" s="10"/>
      <c r="F1133" s="10"/>
      <c r="G1133" s="12"/>
      <c r="H1133" s="6"/>
      <c r="I1133" s="6"/>
      <c r="J1133" s="6"/>
      <c r="K1133" s="6"/>
      <c r="L1133" s="6"/>
      <c r="M1133" s="6"/>
      <c r="N1133" s="6"/>
      <c r="O1133" s="6"/>
      <c r="P1133" s="6"/>
      <c r="Q1133" s="6"/>
      <c r="R1133" s="6"/>
      <c r="S1133" s="6"/>
      <c r="T1133" s="6"/>
      <c r="U1133" s="6"/>
      <c r="V1133" s="6"/>
      <c r="W1133" s="6"/>
      <c r="X1133" s="6"/>
      <c r="Y1133" s="6"/>
      <c r="Z1133" s="6"/>
    </row>
    <row r="1134" ht="12.75" customHeight="1">
      <c r="A1134" s="10" t="s">
        <v>1742</v>
      </c>
      <c r="B1134" s="10"/>
      <c r="C1134" s="10"/>
      <c r="D1134" s="11"/>
      <c r="E1134" s="10"/>
      <c r="F1134" s="10"/>
      <c r="G1134" s="12"/>
      <c r="H1134" s="6"/>
      <c r="I1134" s="6"/>
      <c r="J1134" s="6"/>
      <c r="K1134" s="6"/>
      <c r="L1134" s="6"/>
      <c r="M1134" s="6"/>
      <c r="N1134" s="6"/>
      <c r="O1134" s="6"/>
      <c r="P1134" s="6"/>
      <c r="Q1134" s="6"/>
      <c r="R1134" s="6"/>
      <c r="S1134" s="6"/>
      <c r="T1134" s="6"/>
      <c r="U1134" s="6"/>
      <c r="V1134" s="6"/>
      <c r="W1134" s="6"/>
      <c r="X1134" s="6"/>
      <c r="Y1134" s="6"/>
      <c r="Z1134" s="6"/>
    </row>
    <row r="1135" ht="12.75" customHeight="1">
      <c r="A1135" s="10" t="s">
        <v>1742</v>
      </c>
      <c r="B1135" s="10"/>
      <c r="C1135" s="10"/>
      <c r="D1135" s="11"/>
      <c r="E1135" s="10"/>
      <c r="F1135" s="10"/>
      <c r="G1135" s="12"/>
      <c r="H1135" s="6"/>
      <c r="I1135" s="6"/>
      <c r="J1135" s="6"/>
      <c r="K1135" s="6"/>
      <c r="L1135" s="6"/>
      <c r="M1135" s="6"/>
      <c r="N1135" s="6"/>
      <c r="O1135" s="6"/>
      <c r="P1135" s="6"/>
      <c r="Q1135" s="6"/>
      <c r="R1135" s="6"/>
      <c r="S1135" s="6"/>
      <c r="T1135" s="6"/>
      <c r="U1135" s="6"/>
      <c r="V1135" s="6"/>
      <c r="W1135" s="6"/>
      <c r="X1135" s="6"/>
      <c r="Y1135" s="6"/>
      <c r="Z1135" s="6"/>
    </row>
    <row r="1136" ht="12.75" customHeight="1">
      <c r="A1136" s="10" t="s">
        <v>1742</v>
      </c>
      <c r="B1136" s="10"/>
      <c r="C1136" s="10"/>
      <c r="D1136" s="11"/>
      <c r="E1136" s="10"/>
      <c r="F1136" s="10"/>
      <c r="G1136" s="12"/>
      <c r="H1136" s="6"/>
      <c r="I1136" s="6"/>
      <c r="J1136" s="6"/>
      <c r="K1136" s="6"/>
      <c r="L1136" s="6"/>
      <c r="M1136" s="6"/>
      <c r="N1136" s="6"/>
      <c r="O1136" s="6"/>
      <c r="P1136" s="6"/>
      <c r="Q1136" s="6"/>
      <c r="R1136" s="6"/>
      <c r="S1136" s="6"/>
      <c r="T1136" s="6"/>
      <c r="U1136" s="6"/>
      <c r="V1136" s="6"/>
      <c r="W1136" s="6"/>
      <c r="X1136" s="6"/>
      <c r="Y1136" s="6"/>
      <c r="Z1136" s="6"/>
    </row>
    <row r="1137" ht="12.75" customHeight="1">
      <c r="A1137" s="10" t="s">
        <v>1742</v>
      </c>
      <c r="B1137" s="10"/>
      <c r="C1137" s="10"/>
      <c r="D1137" s="11"/>
      <c r="E1137" s="10"/>
      <c r="F1137" s="10"/>
      <c r="G1137" s="12"/>
      <c r="H1137" s="6"/>
      <c r="I1137" s="6"/>
      <c r="J1137" s="6"/>
      <c r="K1137" s="6"/>
      <c r="L1137" s="6"/>
      <c r="M1137" s="6"/>
      <c r="N1137" s="6"/>
      <c r="O1137" s="6"/>
      <c r="P1137" s="6"/>
      <c r="Q1137" s="6"/>
      <c r="R1137" s="6"/>
      <c r="S1137" s="6"/>
      <c r="T1137" s="6"/>
      <c r="U1137" s="6"/>
      <c r="V1137" s="6"/>
      <c r="W1137" s="6"/>
      <c r="X1137" s="6"/>
      <c r="Y1137" s="6"/>
      <c r="Z1137" s="6"/>
    </row>
    <row r="1138" ht="12.75" customHeight="1">
      <c r="A1138" s="10" t="s">
        <v>1742</v>
      </c>
      <c r="B1138" s="10"/>
      <c r="C1138" s="10"/>
      <c r="D1138" s="11"/>
      <c r="E1138" s="10"/>
      <c r="F1138" s="10"/>
      <c r="G1138" s="12"/>
      <c r="H1138" s="6"/>
      <c r="I1138" s="6"/>
      <c r="J1138" s="6"/>
      <c r="K1138" s="6"/>
      <c r="L1138" s="6"/>
      <c r="M1138" s="6"/>
      <c r="N1138" s="6"/>
      <c r="O1138" s="6"/>
      <c r="P1138" s="6"/>
      <c r="Q1138" s="6"/>
      <c r="R1138" s="6"/>
      <c r="S1138" s="6"/>
      <c r="T1138" s="6"/>
      <c r="U1138" s="6"/>
      <c r="V1138" s="6"/>
      <c r="W1138" s="6"/>
      <c r="X1138" s="6"/>
      <c r="Y1138" s="6"/>
      <c r="Z1138" s="6"/>
    </row>
    <row r="1139" ht="12.75" customHeight="1">
      <c r="A1139" s="10" t="s">
        <v>1742</v>
      </c>
      <c r="B1139" s="10"/>
      <c r="C1139" s="10"/>
      <c r="D1139" s="11"/>
      <c r="E1139" s="10"/>
      <c r="F1139" s="10"/>
      <c r="G1139" s="12"/>
      <c r="H1139" s="6"/>
      <c r="I1139" s="6"/>
      <c r="J1139" s="6"/>
      <c r="K1139" s="6"/>
      <c r="L1139" s="6"/>
      <c r="M1139" s="6"/>
      <c r="N1139" s="6"/>
      <c r="O1139" s="6"/>
      <c r="P1139" s="6"/>
      <c r="Q1139" s="6"/>
      <c r="R1139" s="6"/>
      <c r="S1139" s="6"/>
      <c r="T1139" s="6"/>
      <c r="U1139" s="6"/>
      <c r="V1139" s="6"/>
      <c r="W1139" s="6"/>
      <c r="X1139" s="6"/>
      <c r="Y1139" s="6"/>
      <c r="Z1139" s="6"/>
    </row>
    <row r="1140" ht="12.75" customHeight="1">
      <c r="A1140" s="10" t="s">
        <v>1742</v>
      </c>
      <c r="B1140" s="10"/>
      <c r="C1140" s="10"/>
      <c r="D1140" s="11"/>
      <c r="E1140" s="10"/>
      <c r="F1140" s="10"/>
      <c r="G1140" s="12"/>
      <c r="H1140" s="6"/>
      <c r="I1140" s="6"/>
      <c r="J1140" s="6"/>
      <c r="K1140" s="6"/>
      <c r="L1140" s="6"/>
      <c r="M1140" s="6"/>
      <c r="N1140" s="6"/>
      <c r="O1140" s="6"/>
      <c r="P1140" s="6"/>
      <c r="Q1140" s="6"/>
      <c r="R1140" s="6"/>
      <c r="S1140" s="6"/>
      <c r="T1140" s="6"/>
      <c r="U1140" s="6"/>
      <c r="V1140" s="6"/>
      <c r="W1140" s="6"/>
      <c r="X1140" s="6"/>
      <c r="Y1140" s="6"/>
      <c r="Z1140" s="6"/>
    </row>
    <row r="1141" ht="12.75" customHeight="1">
      <c r="A1141" s="10" t="s">
        <v>1742</v>
      </c>
      <c r="B1141" s="10"/>
      <c r="C1141" s="10"/>
      <c r="D1141" s="11"/>
      <c r="E1141" s="10"/>
      <c r="F1141" s="10"/>
      <c r="G1141" s="12"/>
      <c r="H1141" s="6"/>
      <c r="I1141" s="6"/>
      <c r="J1141" s="6"/>
      <c r="K1141" s="6"/>
      <c r="L1141" s="6"/>
      <c r="M1141" s="6"/>
      <c r="N1141" s="6"/>
      <c r="O1141" s="6"/>
      <c r="P1141" s="6"/>
      <c r="Q1141" s="6"/>
      <c r="R1141" s="6"/>
      <c r="S1141" s="6"/>
      <c r="T1141" s="6"/>
      <c r="U1141" s="6"/>
      <c r="V1141" s="6"/>
      <c r="W1141" s="6"/>
      <c r="X1141" s="6"/>
      <c r="Y1141" s="6"/>
      <c r="Z1141" s="6"/>
    </row>
    <row r="1142" ht="12.75" customHeight="1">
      <c r="A1142" s="10" t="s">
        <v>1742</v>
      </c>
      <c r="B1142" s="10"/>
      <c r="C1142" s="10"/>
      <c r="D1142" s="11"/>
      <c r="E1142" s="10"/>
      <c r="F1142" s="10"/>
      <c r="G1142" s="12"/>
      <c r="H1142" s="6"/>
      <c r="I1142" s="6"/>
      <c r="J1142" s="6"/>
      <c r="K1142" s="6"/>
      <c r="L1142" s="6"/>
      <c r="M1142" s="6"/>
      <c r="N1142" s="6"/>
      <c r="O1142" s="6"/>
      <c r="P1142" s="6"/>
      <c r="Q1142" s="6"/>
      <c r="R1142" s="6"/>
      <c r="S1142" s="6"/>
      <c r="T1142" s="6"/>
      <c r="U1142" s="6"/>
      <c r="V1142" s="6"/>
      <c r="W1142" s="6"/>
      <c r="X1142" s="6"/>
      <c r="Y1142" s="6"/>
      <c r="Z1142" s="6"/>
    </row>
    <row r="1143" ht="12.75" customHeight="1">
      <c r="A1143" s="10" t="s">
        <v>1742</v>
      </c>
      <c r="B1143" s="10"/>
      <c r="C1143" s="10"/>
      <c r="D1143" s="11"/>
      <c r="E1143" s="10"/>
      <c r="F1143" s="10"/>
      <c r="G1143" s="12"/>
      <c r="H1143" s="6"/>
      <c r="I1143" s="6"/>
      <c r="J1143" s="6"/>
      <c r="K1143" s="6"/>
      <c r="L1143" s="6"/>
      <c r="M1143" s="6"/>
      <c r="N1143" s="6"/>
      <c r="O1143" s="6"/>
      <c r="P1143" s="6"/>
      <c r="Q1143" s="6"/>
      <c r="R1143" s="6"/>
      <c r="S1143" s="6"/>
      <c r="T1143" s="6"/>
      <c r="U1143" s="6"/>
      <c r="V1143" s="6"/>
      <c r="W1143" s="6"/>
      <c r="X1143" s="6"/>
      <c r="Y1143" s="6"/>
      <c r="Z1143" s="6"/>
    </row>
    <row r="1144" ht="12.75" customHeight="1">
      <c r="A1144" s="10" t="s">
        <v>1742</v>
      </c>
      <c r="B1144" s="10"/>
      <c r="C1144" s="10"/>
      <c r="D1144" s="11"/>
      <c r="E1144" s="10"/>
      <c r="F1144" s="10"/>
      <c r="G1144" s="12"/>
      <c r="H1144" s="6"/>
      <c r="I1144" s="6"/>
      <c r="J1144" s="6"/>
      <c r="K1144" s="6"/>
      <c r="L1144" s="6"/>
      <c r="M1144" s="6"/>
      <c r="N1144" s="6"/>
      <c r="O1144" s="6"/>
      <c r="P1144" s="6"/>
      <c r="Q1144" s="6"/>
      <c r="R1144" s="6"/>
      <c r="S1144" s="6"/>
      <c r="T1144" s="6"/>
      <c r="U1144" s="6"/>
      <c r="V1144" s="6"/>
      <c r="W1144" s="6"/>
      <c r="X1144" s="6"/>
      <c r="Y1144" s="6"/>
      <c r="Z1144" s="6"/>
    </row>
    <row r="1145" ht="12.75" customHeight="1">
      <c r="A1145" s="10" t="s">
        <v>1742</v>
      </c>
      <c r="B1145" s="10"/>
      <c r="C1145" s="10"/>
      <c r="D1145" s="11"/>
      <c r="E1145" s="10"/>
      <c r="F1145" s="10"/>
      <c r="G1145" s="12"/>
      <c r="H1145" s="6"/>
      <c r="I1145" s="6"/>
      <c r="J1145" s="6"/>
      <c r="K1145" s="6"/>
      <c r="L1145" s="6"/>
      <c r="M1145" s="6"/>
      <c r="N1145" s="6"/>
      <c r="O1145" s="6"/>
      <c r="P1145" s="6"/>
      <c r="Q1145" s="6"/>
      <c r="R1145" s="6"/>
      <c r="S1145" s="6"/>
      <c r="T1145" s="6"/>
      <c r="U1145" s="6"/>
      <c r="V1145" s="6"/>
      <c r="W1145" s="6"/>
      <c r="X1145" s="6"/>
      <c r="Y1145" s="6"/>
      <c r="Z1145" s="6"/>
    </row>
    <row r="1146" ht="12.75" customHeight="1">
      <c r="A1146" s="10" t="s">
        <v>1742</v>
      </c>
      <c r="B1146" s="10"/>
      <c r="C1146" s="10"/>
      <c r="D1146" s="11"/>
      <c r="E1146" s="10"/>
      <c r="F1146" s="10"/>
      <c r="G1146" s="12"/>
      <c r="H1146" s="6"/>
      <c r="I1146" s="6"/>
      <c r="J1146" s="6"/>
      <c r="K1146" s="6"/>
      <c r="L1146" s="6"/>
      <c r="M1146" s="6"/>
      <c r="N1146" s="6"/>
      <c r="O1146" s="6"/>
      <c r="P1146" s="6"/>
      <c r="Q1146" s="6"/>
      <c r="R1146" s="6"/>
      <c r="S1146" s="6"/>
      <c r="T1146" s="6"/>
      <c r="U1146" s="6"/>
      <c r="V1146" s="6"/>
      <c r="W1146" s="6"/>
      <c r="X1146" s="6"/>
      <c r="Y1146" s="6"/>
      <c r="Z1146" s="6"/>
    </row>
    <row r="1147" ht="12.75" customHeight="1">
      <c r="A1147" s="10" t="s">
        <v>1742</v>
      </c>
      <c r="B1147" s="10"/>
      <c r="C1147" s="10"/>
      <c r="D1147" s="11"/>
      <c r="E1147" s="10"/>
      <c r="F1147" s="10"/>
      <c r="G1147" s="12"/>
      <c r="H1147" s="6"/>
      <c r="I1147" s="6"/>
      <c r="J1147" s="6"/>
      <c r="K1147" s="6"/>
      <c r="L1147" s="6"/>
      <c r="M1147" s="6"/>
      <c r="N1147" s="6"/>
      <c r="O1147" s="6"/>
      <c r="P1147" s="6"/>
      <c r="Q1147" s="6"/>
      <c r="R1147" s="6"/>
      <c r="S1147" s="6"/>
      <c r="T1147" s="6"/>
      <c r="U1147" s="6"/>
      <c r="V1147" s="6"/>
      <c r="W1147" s="6"/>
      <c r="X1147" s="6"/>
      <c r="Y1147" s="6"/>
      <c r="Z1147" s="6"/>
    </row>
    <row r="1148" ht="12.75" customHeight="1">
      <c r="A1148" s="10" t="s">
        <v>1742</v>
      </c>
      <c r="B1148" s="10"/>
      <c r="C1148" s="10"/>
      <c r="D1148" s="11"/>
      <c r="E1148" s="10"/>
      <c r="F1148" s="10"/>
      <c r="G1148" s="12"/>
      <c r="H1148" s="6"/>
      <c r="I1148" s="6"/>
      <c r="J1148" s="6"/>
      <c r="K1148" s="6"/>
      <c r="L1148" s="6"/>
      <c r="M1148" s="6"/>
      <c r="N1148" s="6"/>
      <c r="O1148" s="6"/>
      <c r="P1148" s="6"/>
      <c r="Q1148" s="6"/>
      <c r="R1148" s="6"/>
      <c r="S1148" s="6"/>
      <c r="T1148" s="6"/>
      <c r="U1148" s="6"/>
      <c r="V1148" s="6"/>
      <c r="W1148" s="6"/>
      <c r="X1148" s="6"/>
      <c r="Y1148" s="6"/>
      <c r="Z1148" s="6"/>
    </row>
    <row r="1149" ht="12.75" customHeight="1">
      <c r="A1149" s="10" t="s">
        <v>1742</v>
      </c>
      <c r="B1149" s="10"/>
      <c r="C1149" s="10"/>
      <c r="D1149" s="11"/>
      <c r="E1149" s="10"/>
      <c r="F1149" s="10"/>
      <c r="G1149" s="12"/>
      <c r="H1149" s="6"/>
      <c r="I1149" s="6"/>
      <c r="J1149" s="6"/>
      <c r="K1149" s="6"/>
      <c r="L1149" s="6"/>
      <c r="M1149" s="6"/>
      <c r="N1149" s="6"/>
      <c r="O1149" s="6"/>
      <c r="P1149" s="6"/>
      <c r="Q1149" s="6"/>
      <c r="R1149" s="6"/>
      <c r="S1149" s="6"/>
      <c r="T1149" s="6"/>
      <c r="U1149" s="6"/>
      <c r="V1149" s="6"/>
      <c r="W1149" s="6"/>
      <c r="X1149" s="6"/>
      <c r="Y1149" s="6"/>
      <c r="Z1149" s="6"/>
    </row>
    <row r="1150" ht="12.75" customHeight="1">
      <c r="A1150" s="10" t="s">
        <v>1742</v>
      </c>
      <c r="B1150" s="10"/>
      <c r="C1150" s="10"/>
      <c r="D1150" s="11"/>
      <c r="E1150" s="10"/>
      <c r="F1150" s="10"/>
      <c r="G1150" s="12"/>
      <c r="H1150" s="6"/>
      <c r="I1150" s="6"/>
      <c r="J1150" s="6"/>
      <c r="K1150" s="6"/>
      <c r="L1150" s="6"/>
      <c r="M1150" s="6"/>
      <c r="N1150" s="6"/>
      <c r="O1150" s="6"/>
      <c r="P1150" s="6"/>
      <c r="Q1150" s="6"/>
      <c r="R1150" s="6"/>
      <c r="S1150" s="6"/>
      <c r="T1150" s="6"/>
      <c r="U1150" s="6"/>
      <c r="V1150" s="6"/>
      <c r="W1150" s="6"/>
      <c r="X1150" s="6"/>
      <c r="Y1150" s="6"/>
      <c r="Z1150" s="6"/>
    </row>
    <row r="1151" ht="12.75" customHeight="1">
      <c r="A1151" s="10" t="s">
        <v>1742</v>
      </c>
      <c r="B1151" s="10"/>
      <c r="C1151" s="10"/>
      <c r="D1151" s="11"/>
      <c r="E1151" s="10"/>
      <c r="F1151" s="10"/>
      <c r="G1151" s="12"/>
      <c r="H1151" s="6"/>
      <c r="I1151" s="6"/>
      <c r="J1151" s="6"/>
      <c r="K1151" s="6"/>
      <c r="L1151" s="6"/>
      <c r="M1151" s="6"/>
      <c r="N1151" s="6"/>
      <c r="O1151" s="6"/>
      <c r="P1151" s="6"/>
      <c r="Q1151" s="6"/>
      <c r="R1151" s="6"/>
      <c r="S1151" s="6"/>
      <c r="T1151" s="6"/>
      <c r="U1151" s="6"/>
      <c r="V1151" s="6"/>
      <c r="W1151" s="6"/>
      <c r="X1151" s="6"/>
      <c r="Y1151" s="6"/>
      <c r="Z1151" s="6"/>
    </row>
    <row r="1152" ht="12.75" customHeight="1">
      <c r="A1152" s="10" t="s">
        <v>1742</v>
      </c>
      <c r="B1152" s="10"/>
      <c r="C1152" s="10"/>
      <c r="D1152" s="11"/>
      <c r="E1152" s="10"/>
      <c r="F1152" s="10"/>
      <c r="G1152" s="12"/>
      <c r="H1152" s="6"/>
      <c r="I1152" s="6"/>
      <c r="J1152" s="6"/>
      <c r="K1152" s="6"/>
      <c r="L1152" s="6"/>
      <c r="M1152" s="6"/>
      <c r="N1152" s="6"/>
      <c r="O1152" s="6"/>
      <c r="P1152" s="6"/>
      <c r="Q1152" s="6"/>
      <c r="R1152" s="6"/>
      <c r="S1152" s="6"/>
      <c r="T1152" s="6"/>
      <c r="U1152" s="6"/>
      <c r="V1152" s="6"/>
      <c r="W1152" s="6"/>
      <c r="X1152" s="6"/>
      <c r="Y1152" s="6"/>
      <c r="Z1152" s="6"/>
    </row>
    <row r="1153" ht="12.75" customHeight="1">
      <c r="A1153" s="10" t="s">
        <v>1742</v>
      </c>
      <c r="B1153" s="10"/>
      <c r="C1153" s="10"/>
      <c r="D1153" s="11"/>
      <c r="E1153" s="10"/>
      <c r="F1153" s="10"/>
      <c r="G1153" s="12"/>
      <c r="H1153" s="6"/>
      <c r="I1153" s="6"/>
      <c r="J1153" s="6"/>
      <c r="K1153" s="6"/>
      <c r="L1153" s="6"/>
      <c r="M1153" s="6"/>
      <c r="N1153" s="6"/>
      <c r="O1153" s="6"/>
      <c r="P1153" s="6"/>
      <c r="Q1153" s="6"/>
      <c r="R1153" s="6"/>
      <c r="S1153" s="6"/>
      <c r="T1153" s="6"/>
      <c r="U1153" s="6"/>
      <c r="V1153" s="6"/>
      <c r="W1153" s="6"/>
      <c r="X1153" s="6"/>
      <c r="Y1153" s="6"/>
      <c r="Z1153" s="6"/>
    </row>
    <row r="1154" ht="12.75" customHeight="1">
      <c r="A1154" s="10" t="s">
        <v>1742</v>
      </c>
      <c r="B1154" s="10"/>
      <c r="C1154" s="10"/>
      <c r="D1154" s="11"/>
      <c r="E1154" s="10"/>
      <c r="F1154" s="10"/>
      <c r="G1154" s="12"/>
      <c r="H1154" s="6"/>
      <c r="I1154" s="6"/>
      <c r="J1154" s="6"/>
      <c r="K1154" s="6"/>
      <c r="L1154" s="6"/>
      <c r="M1154" s="6"/>
      <c r="N1154" s="6"/>
      <c r="O1154" s="6"/>
      <c r="P1154" s="6"/>
      <c r="Q1154" s="6"/>
      <c r="R1154" s="6"/>
      <c r="S1154" s="6"/>
      <c r="T1154" s="6"/>
      <c r="U1154" s="6"/>
      <c r="V1154" s="6"/>
      <c r="W1154" s="6"/>
      <c r="X1154" s="6"/>
      <c r="Y1154" s="6"/>
      <c r="Z1154" s="6"/>
    </row>
    <row r="1155" ht="12.75" customHeight="1">
      <c r="A1155" s="10" t="s">
        <v>1742</v>
      </c>
      <c r="B1155" s="10"/>
      <c r="C1155" s="10"/>
      <c r="D1155" s="11"/>
      <c r="E1155" s="10"/>
      <c r="F1155" s="10"/>
      <c r="G1155" s="12"/>
      <c r="H1155" s="6"/>
      <c r="I1155" s="6"/>
      <c r="J1155" s="6"/>
      <c r="K1155" s="6"/>
      <c r="L1155" s="6"/>
      <c r="M1155" s="6"/>
      <c r="N1155" s="6"/>
      <c r="O1155" s="6"/>
      <c r="P1155" s="6"/>
      <c r="Q1155" s="6"/>
      <c r="R1155" s="6"/>
      <c r="S1155" s="6"/>
      <c r="T1155" s="6"/>
      <c r="U1155" s="6"/>
      <c r="V1155" s="6"/>
      <c r="W1155" s="6"/>
      <c r="X1155" s="6"/>
      <c r="Y1155" s="6"/>
      <c r="Z1155" s="6"/>
    </row>
    <row r="1156" ht="12.75" customHeight="1">
      <c r="A1156" s="10" t="s">
        <v>1742</v>
      </c>
      <c r="B1156" s="10"/>
      <c r="C1156" s="10"/>
      <c r="D1156" s="11"/>
      <c r="E1156" s="10"/>
      <c r="F1156" s="10"/>
      <c r="G1156" s="12"/>
      <c r="H1156" s="6"/>
      <c r="I1156" s="6"/>
      <c r="J1156" s="6"/>
      <c r="K1156" s="6"/>
      <c r="L1156" s="6"/>
      <c r="M1156" s="6"/>
      <c r="N1156" s="6"/>
      <c r="O1156" s="6"/>
      <c r="P1156" s="6"/>
      <c r="Q1156" s="6"/>
      <c r="R1156" s="6"/>
      <c r="S1156" s="6"/>
      <c r="T1156" s="6"/>
      <c r="U1156" s="6"/>
      <c r="V1156" s="6"/>
      <c r="W1156" s="6"/>
      <c r="X1156" s="6"/>
      <c r="Y1156" s="6"/>
      <c r="Z1156" s="6"/>
    </row>
    <row r="1157" ht="12.75" customHeight="1">
      <c r="A1157" s="10" t="s">
        <v>1742</v>
      </c>
      <c r="B1157" s="10"/>
      <c r="C1157" s="10"/>
      <c r="D1157" s="11"/>
      <c r="E1157" s="10"/>
      <c r="F1157" s="10"/>
      <c r="G1157" s="12"/>
      <c r="H1157" s="6"/>
      <c r="I1157" s="6"/>
      <c r="J1157" s="6"/>
      <c r="K1157" s="6"/>
      <c r="L1157" s="6"/>
      <c r="M1157" s="6"/>
      <c r="N1157" s="6"/>
      <c r="O1157" s="6"/>
      <c r="P1157" s="6"/>
      <c r="Q1157" s="6"/>
      <c r="R1157" s="6"/>
      <c r="S1157" s="6"/>
      <c r="T1157" s="6"/>
      <c r="U1157" s="6"/>
      <c r="V1157" s="6"/>
      <c r="W1157" s="6"/>
      <c r="X1157" s="6"/>
      <c r="Y1157" s="6"/>
      <c r="Z1157" s="6"/>
    </row>
    <row r="1158" ht="12.75" customHeight="1">
      <c r="A1158" s="10" t="s">
        <v>1742</v>
      </c>
      <c r="B1158" s="10"/>
      <c r="C1158" s="10"/>
      <c r="D1158" s="11"/>
      <c r="E1158" s="10"/>
      <c r="F1158" s="10"/>
      <c r="G1158" s="12"/>
      <c r="H1158" s="6"/>
      <c r="I1158" s="6"/>
      <c r="J1158" s="6"/>
      <c r="K1158" s="6"/>
      <c r="L1158" s="6"/>
      <c r="M1158" s="6"/>
      <c r="N1158" s="6"/>
      <c r="O1158" s="6"/>
      <c r="P1158" s="6"/>
      <c r="Q1158" s="6"/>
      <c r="R1158" s="6"/>
      <c r="S1158" s="6"/>
      <c r="T1158" s="6"/>
      <c r="U1158" s="6"/>
      <c r="V1158" s="6"/>
      <c r="W1158" s="6"/>
      <c r="X1158" s="6"/>
      <c r="Y1158" s="6"/>
      <c r="Z1158" s="6"/>
    </row>
    <row r="1159" ht="12.75" customHeight="1">
      <c r="A1159" s="10" t="s">
        <v>1742</v>
      </c>
      <c r="B1159" s="10"/>
      <c r="C1159" s="10"/>
      <c r="D1159" s="11"/>
      <c r="E1159" s="10"/>
      <c r="F1159" s="10"/>
      <c r="G1159" s="12"/>
      <c r="H1159" s="6"/>
      <c r="I1159" s="6"/>
      <c r="J1159" s="6"/>
      <c r="K1159" s="6"/>
      <c r="L1159" s="6"/>
      <c r="M1159" s="6"/>
      <c r="N1159" s="6"/>
      <c r="O1159" s="6"/>
      <c r="P1159" s="6"/>
      <c r="Q1159" s="6"/>
      <c r="R1159" s="6"/>
      <c r="S1159" s="6"/>
      <c r="T1159" s="6"/>
      <c r="U1159" s="6"/>
      <c r="V1159" s="6"/>
      <c r="W1159" s="6"/>
      <c r="X1159" s="6"/>
      <c r="Y1159" s="6"/>
      <c r="Z1159" s="6"/>
    </row>
    <row r="1160" ht="12.75" customHeight="1">
      <c r="A1160" s="10" t="s">
        <v>1742</v>
      </c>
      <c r="B1160" s="10"/>
      <c r="C1160" s="10"/>
      <c r="D1160" s="11"/>
      <c r="E1160" s="10"/>
      <c r="F1160" s="10"/>
      <c r="G1160" s="12"/>
      <c r="H1160" s="6"/>
      <c r="I1160" s="6"/>
      <c r="J1160" s="6"/>
      <c r="K1160" s="6"/>
      <c r="L1160" s="6"/>
      <c r="M1160" s="6"/>
      <c r="N1160" s="6"/>
      <c r="O1160" s="6"/>
      <c r="P1160" s="6"/>
      <c r="Q1160" s="6"/>
      <c r="R1160" s="6"/>
      <c r="S1160" s="6"/>
      <c r="T1160" s="6"/>
      <c r="U1160" s="6"/>
      <c r="V1160" s="6"/>
      <c r="W1160" s="6"/>
      <c r="X1160" s="6"/>
      <c r="Y1160" s="6"/>
      <c r="Z1160" s="6"/>
    </row>
    <row r="1161" ht="12.75" customHeight="1">
      <c r="A1161" s="10" t="s">
        <v>1742</v>
      </c>
      <c r="B1161" s="10"/>
      <c r="C1161" s="10"/>
      <c r="D1161" s="11"/>
      <c r="E1161" s="10"/>
      <c r="F1161" s="10"/>
      <c r="G1161" s="12"/>
      <c r="H1161" s="6"/>
      <c r="I1161" s="6"/>
      <c r="J1161" s="6"/>
      <c r="K1161" s="6"/>
      <c r="L1161" s="6"/>
      <c r="M1161" s="6"/>
      <c r="N1161" s="6"/>
      <c r="O1161" s="6"/>
      <c r="P1161" s="6"/>
      <c r="Q1161" s="6"/>
      <c r="R1161" s="6"/>
      <c r="S1161" s="6"/>
      <c r="T1161" s="6"/>
      <c r="U1161" s="6"/>
      <c r="V1161" s="6"/>
      <c r="W1161" s="6"/>
      <c r="X1161" s="6"/>
      <c r="Y1161" s="6"/>
      <c r="Z1161" s="6"/>
    </row>
    <row r="1162" ht="12.75" customHeight="1">
      <c r="A1162" s="10" t="s">
        <v>1742</v>
      </c>
      <c r="B1162" s="10"/>
      <c r="C1162" s="10"/>
      <c r="D1162" s="11"/>
      <c r="E1162" s="10"/>
      <c r="F1162" s="10"/>
      <c r="G1162" s="12"/>
      <c r="H1162" s="6"/>
      <c r="I1162" s="6"/>
      <c r="J1162" s="6"/>
      <c r="K1162" s="6"/>
      <c r="L1162" s="6"/>
      <c r="M1162" s="6"/>
      <c r="N1162" s="6"/>
      <c r="O1162" s="6"/>
      <c r="P1162" s="6"/>
      <c r="Q1162" s="6"/>
      <c r="R1162" s="6"/>
      <c r="S1162" s="6"/>
      <c r="T1162" s="6"/>
      <c r="U1162" s="6"/>
      <c r="V1162" s="6"/>
      <c r="W1162" s="6"/>
      <c r="X1162" s="6"/>
      <c r="Y1162" s="6"/>
      <c r="Z1162" s="6"/>
    </row>
    <row r="1163" ht="12.75" customHeight="1">
      <c r="A1163" s="10" t="s">
        <v>1742</v>
      </c>
      <c r="B1163" s="10"/>
      <c r="C1163" s="10"/>
      <c r="D1163" s="11"/>
      <c r="E1163" s="10"/>
      <c r="F1163" s="10"/>
      <c r="G1163" s="12"/>
      <c r="H1163" s="6"/>
      <c r="I1163" s="6"/>
      <c r="J1163" s="6"/>
      <c r="K1163" s="6"/>
      <c r="L1163" s="6"/>
      <c r="M1163" s="6"/>
      <c r="N1163" s="6"/>
      <c r="O1163" s="6"/>
      <c r="P1163" s="6"/>
      <c r="Q1163" s="6"/>
      <c r="R1163" s="6"/>
      <c r="S1163" s="6"/>
      <c r="T1163" s="6"/>
      <c r="U1163" s="6"/>
      <c r="V1163" s="6"/>
      <c r="W1163" s="6"/>
      <c r="X1163" s="6"/>
      <c r="Y1163" s="6"/>
      <c r="Z1163" s="6"/>
    </row>
    <row r="1164" ht="12.75" customHeight="1">
      <c r="A1164" s="10" t="s">
        <v>1742</v>
      </c>
      <c r="B1164" s="10"/>
      <c r="C1164" s="10"/>
      <c r="D1164" s="11"/>
      <c r="E1164" s="10"/>
      <c r="F1164" s="10"/>
      <c r="G1164" s="12"/>
      <c r="H1164" s="6"/>
      <c r="I1164" s="6"/>
      <c r="J1164" s="6"/>
      <c r="K1164" s="6"/>
      <c r="L1164" s="6"/>
      <c r="M1164" s="6"/>
      <c r="N1164" s="6"/>
      <c r="O1164" s="6"/>
      <c r="P1164" s="6"/>
      <c r="Q1164" s="6"/>
      <c r="R1164" s="6"/>
      <c r="S1164" s="6"/>
      <c r="T1164" s="6"/>
      <c r="U1164" s="6"/>
      <c r="V1164" s="6"/>
      <c r="W1164" s="6"/>
      <c r="X1164" s="6"/>
      <c r="Y1164" s="6"/>
      <c r="Z1164" s="6"/>
    </row>
    <row r="1165" ht="12.75" customHeight="1">
      <c r="A1165" s="10" t="s">
        <v>1742</v>
      </c>
      <c r="B1165" s="10"/>
      <c r="C1165" s="10"/>
      <c r="D1165" s="11"/>
      <c r="E1165" s="10"/>
      <c r="F1165" s="10"/>
      <c r="G1165" s="12"/>
      <c r="H1165" s="6"/>
      <c r="I1165" s="6"/>
      <c r="J1165" s="6"/>
      <c r="K1165" s="6"/>
      <c r="L1165" s="6"/>
      <c r="M1165" s="6"/>
      <c r="N1165" s="6"/>
      <c r="O1165" s="6"/>
      <c r="P1165" s="6"/>
      <c r="Q1165" s="6"/>
      <c r="R1165" s="6"/>
      <c r="S1165" s="6"/>
      <c r="T1165" s="6"/>
      <c r="U1165" s="6"/>
      <c r="V1165" s="6"/>
      <c r="W1165" s="6"/>
      <c r="X1165" s="6"/>
      <c r="Y1165" s="6"/>
      <c r="Z1165" s="6"/>
    </row>
    <row r="1166" ht="12.75" customHeight="1">
      <c r="A1166" s="10" t="s">
        <v>1742</v>
      </c>
      <c r="B1166" s="10"/>
      <c r="C1166" s="10"/>
      <c r="D1166" s="11"/>
      <c r="E1166" s="10"/>
      <c r="F1166" s="10"/>
      <c r="G1166" s="12"/>
      <c r="H1166" s="6"/>
      <c r="I1166" s="6"/>
      <c r="J1166" s="6"/>
      <c r="K1166" s="6"/>
      <c r="L1166" s="6"/>
      <c r="M1166" s="6"/>
      <c r="N1166" s="6"/>
      <c r="O1166" s="6"/>
      <c r="P1166" s="6"/>
      <c r="Q1166" s="6"/>
      <c r="R1166" s="6"/>
      <c r="S1166" s="6"/>
      <c r="T1166" s="6"/>
      <c r="U1166" s="6"/>
      <c r="V1166" s="6"/>
      <c r="W1166" s="6"/>
      <c r="X1166" s="6"/>
      <c r="Y1166" s="6"/>
      <c r="Z1166" s="6"/>
    </row>
    <row r="1167" ht="12.75" customHeight="1">
      <c r="A1167" s="10" t="s">
        <v>1742</v>
      </c>
      <c r="B1167" s="10"/>
      <c r="C1167" s="10"/>
      <c r="D1167" s="11"/>
      <c r="E1167" s="10"/>
      <c r="F1167" s="10"/>
      <c r="G1167" s="12"/>
      <c r="H1167" s="6"/>
      <c r="I1167" s="6"/>
      <c r="J1167" s="6"/>
      <c r="K1167" s="6"/>
      <c r="L1167" s="6"/>
      <c r="M1167" s="6"/>
      <c r="N1167" s="6"/>
      <c r="O1167" s="6"/>
      <c r="P1167" s="6"/>
      <c r="Q1167" s="6"/>
      <c r="R1167" s="6"/>
      <c r="S1167" s="6"/>
      <c r="T1167" s="6"/>
      <c r="U1167" s="6"/>
      <c r="V1167" s="6"/>
      <c r="W1167" s="6"/>
      <c r="X1167" s="6"/>
      <c r="Y1167" s="6"/>
      <c r="Z1167" s="6"/>
    </row>
    <row r="1168" ht="12.75" customHeight="1">
      <c r="A1168" s="10" t="s">
        <v>1742</v>
      </c>
      <c r="B1168" s="10"/>
      <c r="C1168" s="10"/>
      <c r="D1168" s="11"/>
      <c r="E1168" s="10"/>
      <c r="F1168" s="10"/>
      <c r="G1168" s="12"/>
      <c r="H1168" s="6"/>
      <c r="I1168" s="6"/>
      <c r="J1168" s="6"/>
      <c r="K1168" s="6"/>
      <c r="L1168" s="6"/>
      <c r="M1168" s="6"/>
      <c r="N1168" s="6"/>
      <c r="O1168" s="6"/>
      <c r="P1168" s="6"/>
      <c r="Q1168" s="6"/>
      <c r="R1168" s="6"/>
      <c r="S1168" s="6"/>
      <c r="T1168" s="6"/>
      <c r="U1168" s="6"/>
      <c r="V1168" s="6"/>
      <c r="W1168" s="6"/>
      <c r="X1168" s="6"/>
      <c r="Y1168" s="6"/>
      <c r="Z1168" s="6"/>
    </row>
    <row r="1169" ht="12.75" customHeight="1">
      <c r="A1169" s="10" t="s">
        <v>1742</v>
      </c>
      <c r="B1169" s="10"/>
      <c r="C1169" s="10"/>
      <c r="D1169" s="11"/>
      <c r="E1169" s="10"/>
      <c r="F1169" s="10"/>
      <c r="G1169" s="12"/>
      <c r="H1169" s="6"/>
      <c r="I1169" s="6"/>
      <c r="J1169" s="6"/>
      <c r="K1169" s="6"/>
      <c r="L1169" s="6"/>
      <c r="M1169" s="6"/>
      <c r="N1169" s="6"/>
      <c r="O1169" s="6"/>
      <c r="P1169" s="6"/>
      <c r="Q1169" s="6"/>
      <c r="R1169" s="6"/>
      <c r="S1169" s="6"/>
      <c r="T1169" s="6"/>
      <c r="U1169" s="6"/>
      <c r="V1169" s="6"/>
      <c r="W1169" s="6"/>
      <c r="X1169" s="6"/>
      <c r="Y1169" s="6"/>
      <c r="Z1169" s="6"/>
    </row>
    <row r="1170" ht="12.75" customHeight="1">
      <c r="A1170" s="10" t="s">
        <v>1742</v>
      </c>
      <c r="B1170" s="10"/>
      <c r="C1170" s="10"/>
      <c r="D1170" s="11"/>
      <c r="E1170" s="10"/>
      <c r="F1170" s="10"/>
      <c r="G1170" s="12"/>
      <c r="H1170" s="6"/>
      <c r="I1170" s="6"/>
      <c r="J1170" s="6"/>
      <c r="K1170" s="6"/>
      <c r="L1170" s="6"/>
      <c r="M1170" s="6"/>
      <c r="N1170" s="6"/>
      <c r="O1170" s="6"/>
      <c r="P1170" s="6"/>
      <c r="Q1170" s="6"/>
      <c r="R1170" s="6"/>
      <c r="S1170" s="6"/>
      <c r="T1170" s="6"/>
      <c r="U1170" s="6"/>
      <c r="V1170" s="6"/>
      <c r="W1170" s="6"/>
      <c r="X1170" s="6"/>
      <c r="Y1170" s="6"/>
      <c r="Z1170" s="6"/>
    </row>
    <row r="1171" ht="12.75" customHeight="1">
      <c r="A1171" s="10" t="s">
        <v>1742</v>
      </c>
      <c r="B1171" s="10"/>
      <c r="C1171" s="10"/>
      <c r="D1171" s="11"/>
      <c r="E1171" s="10"/>
      <c r="F1171" s="10"/>
      <c r="G1171" s="12"/>
      <c r="H1171" s="6"/>
      <c r="I1171" s="6"/>
      <c r="J1171" s="6"/>
      <c r="K1171" s="6"/>
      <c r="L1171" s="6"/>
      <c r="M1171" s="6"/>
      <c r="N1171" s="6"/>
      <c r="O1171" s="6"/>
      <c r="P1171" s="6"/>
      <c r="Q1171" s="6"/>
      <c r="R1171" s="6"/>
      <c r="S1171" s="6"/>
      <c r="T1171" s="6"/>
      <c r="U1171" s="6"/>
      <c r="V1171" s="6"/>
      <c r="W1171" s="6"/>
      <c r="X1171" s="6"/>
      <c r="Y1171" s="6"/>
      <c r="Z1171" s="6"/>
    </row>
    <row r="1172" ht="12.75" customHeight="1">
      <c r="A1172" s="10" t="s">
        <v>1742</v>
      </c>
      <c r="B1172" s="10"/>
      <c r="C1172" s="10"/>
      <c r="D1172" s="11"/>
      <c r="E1172" s="10"/>
      <c r="F1172" s="10"/>
      <c r="G1172" s="12"/>
      <c r="H1172" s="6"/>
      <c r="I1172" s="6"/>
      <c r="J1172" s="6"/>
      <c r="K1172" s="6"/>
      <c r="L1172" s="6"/>
      <c r="M1172" s="6"/>
      <c r="N1172" s="6"/>
      <c r="O1172" s="6"/>
      <c r="P1172" s="6"/>
      <c r="Q1172" s="6"/>
      <c r="R1172" s="6"/>
      <c r="S1172" s="6"/>
      <c r="T1172" s="6"/>
      <c r="U1172" s="6"/>
      <c r="V1172" s="6"/>
      <c r="W1172" s="6"/>
      <c r="X1172" s="6"/>
      <c r="Y1172" s="6"/>
      <c r="Z1172" s="6"/>
    </row>
    <row r="1173" ht="12.75" customHeight="1">
      <c r="A1173" s="10" t="s">
        <v>1742</v>
      </c>
      <c r="B1173" s="10"/>
      <c r="C1173" s="10"/>
      <c r="D1173" s="11"/>
      <c r="E1173" s="10"/>
      <c r="F1173" s="10"/>
      <c r="G1173" s="12"/>
      <c r="H1173" s="6"/>
      <c r="I1173" s="6"/>
      <c r="J1173" s="6"/>
      <c r="K1173" s="6"/>
      <c r="L1173" s="6"/>
      <c r="M1173" s="6"/>
      <c r="N1173" s="6"/>
      <c r="O1173" s="6"/>
      <c r="P1173" s="6"/>
      <c r="Q1173" s="6"/>
      <c r="R1173" s="6"/>
      <c r="S1173" s="6"/>
      <c r="T1173" s="6"/>
      <c r="U1173" s="6"/>
      <c r="V1173" s="6"/>
      <c r="W1173" s="6"/>
      <c r="X1173" s="6"/>
      <c r="Y1173" s="6"/>
      <c r="Z1173" s="6"/>
    </row>
    <row r="1174" ht="12.75" customHeight="1">
      <c r="A1174" s="10" t="s">
        <v>1742</v>
      </c>
      <c r="B1174" s="10"/>
      <c r="C1174" s="10"/>
      <c r="D1174" s="11"/>
      <c r="E1174" s="10"/>
      <c r="F1174" s="10"/>
      <c r="G1174" s="12"/>
      <c r="H1174" s="6"/>
      <c r="I1174" s="6"/>
      <c r="J1174" s="6"/>
      <c r="K1174" s="6"/>
      <c r="L1174" s="6"/>
      <c r="M1174" s="6"/>
      <c r="N1174" s="6"/>
      <c r="O1174" s="6"/>
      <c r="P1174" s="6"/>
      <c r="Q1174" s="6"/>
      <c r="R1174" s="6"/>
      <c r="S1174" s="6"/>
      <c r="T1174" s="6"/>
      <c r="U1174" s="6"/>
      <c r="V1174" s="6"/>
      <c r="W1174" s="6"/>
      <c r="X1174" s="6"/>
      <c r="Y1174" s="6"/>
      <c r="Z1174" s="6"/>
    </row>
    <row r="1175" ht="12.75" customHeight="1">
      <c r="A1175" s="10" t="s">
        <v>1742</v>
      </c>
      <c r="B1175" s="10"/>
      <c r="C1175" s="10"/>
      <c r="D1175" s="11"/>
      <c r="E1175" s="10"/>
      <c r="F1175" s="10"/>
      <c r="G1175" s="12"/>
      <c r="H1175" s="6"/>
      <c r="I1175" s="6"/>
      <c r="J1175" s="6"/>
      <c r="K1175" s="6"/>
      <c r="L1175" s="6"/>
      <c r="M1175" s="6"/>
      <c r="N1175" s="6"/>
      <c r="O1175" s="6"/>
      <c r="P1175" s="6"/>
      <c r="Q1175" s="6"/>
      <c r="R1175" s="6"/>
      <c r="S1175" s="6"/>
      <c r="T1175" s="6"/>
      <c r="U1175" s="6"/>
      <c r="V1175" s="6"/>
      <c r="W1175" s="6"/>
      <c r="X1175" s="6"/>
      <c r="Y1175" s="6"/>
      <c r="Z1175" s="6"/>
    </row>
    <row r="1176" ht="12.75" customHeight="1">
      <c r="A1176" s="10" t="s">
        <v>1742</v>
      </c>
      <c r="B1176" s="10"/>
      <c r="C1176" s="10"/>
      <c r="D1176" s="11"/>
      <c r="E1176" s="10"/>
      <c r="F1176" s="10"/>
      <c r="G1176" s="12"/>
      <c r="H1176" s="6"/>
      <c r="I1176" s="6"/>
      <c r="J1176" s="6"/>
      <c r="K1176" s="6"/>
      <c r="L1176" s="6"/>
      <c r="M1176" s="6"/>
      <c r="N1176" s="6"/>
      <c r="O1176" s="6"/>
      <c r="P1176" s="6"/>
      <c r="Q1176" s="6"/>
      <c r="R1176" s="6"/>
      <c r="S1176" s="6"/>
      <c r="T1176" s="6"/>
      <c r="U1176" s="6"/>
      <c r="V1176" s="6"/>
      <c r="W1176" s="6"/>
      <c r="X1176" s="6"/>
      <c r="Y1176" s="6"/>
      <c r="Z1176" s="6"/>
    </row>
    <row r="1177" ht="12.75" customHeight="1">
      <c r="A1177" s="10" t="s">
        <v>1742</v>
      </c>
      <c r="B1177" s="10"/>
      <c r="C1177" s="10"/>
      <c r="D1177" s="11"/>
      <c r="E1177" s="10"/>
      <c r="F1177" s="10"/>
      <c r="G1177" s="12"/>
      <c r="H1177" s="6"/>
      <c r="I1177" s="6"/>
      <c r="J1177" s="6"/>
      <c r="K1177" s="6"/>
      <c r="L1177" s="6"/>
      <c r="M1177" s="6"/>
      <c r="N1177" s="6"/>
      <c r="O1177" s="6"/>
      <c r="P1177" s="6"/>
      <c r="Q1177" s="6"/>
      <c r="R1177" s="6"/>
      <c r="S1177" s="6"/>
      <c r="T1177" s="6"/>
      <c r="U1177" s="6"/>
      <c r="V1177" s="6"/>
      <c r="W1177" s="6"/>
      <c r="X1177" s="6"/>
      <c r="Y1177" s="6"/>
      <c r="Z1177" s="6"/>
    </row>
    <row r="1178" ht="12.75" customHeight="1">
      <c r="A1178" s="10" t="s">
        <v>1742</v>
      </c>
      <c r="B1178" s="10"/>
      <c r="C1178" s="10"/>
      <c r="D1178" s="11"/>
      <c r="E1178" s="10"/>
      <c r="F1178" s="10"/>
      <c r="G1178" s="12"/>
      <c r="H1178" s="6"/>
      <c r="I1178" s="6"/>
      <c r="J1178" s="6"/>
      <c r="K1178" s="6"/>
      <c r="L1178" s="6"/>
      <c r="M1178" s="6"/>
      <c r="N1178" s="6"/>
      <c r="O1178" s="6"/>
      <c r="P1178" s="6"/>
      <c r="Q1178" s="6"/>
      <c r="R1178" s="6"/>
      <c r="S1178" s="6"/>
      <c r="T1178" s="6"/>
      <c r="U1178" s="6"/>
      <c r="V1178" s="6"/>
      <c r="W1178" s="6"/>
      <c r="X1178" s="6"/>
      <c r="Y1178" s="6"/>
      <c r="Z1178" s="6"/>
    </row>
    <row r="1179" ht="12.75" customHeight="1">
      <c r="A1179" s="10" t="s">
        <v>1742</v>
      </c>
      <c r="B1179" s="10"/>
      <c r="C1179" s="10"/>
      <c r="D1179" s="11"/>
      <c r="E1179" s="10"/>
      <c r="F1179" s="10"/>
      <c r="G1179" s="12"/>
      <c r="H1179" s="6"/>
      <c r="I1179" s="6"/>
      <c r="J1179" s="6"/>
      <c r="K1179" s="6"/>
      <c r="L1179" s="6"/>
      <c r="M1179" s="6"/>
      <c r="N1179" s="6"/>
      <c r="O1179" s="6"/>
      <c r="P1179" s="6"/>
      <c r="Q1179" s="6"/>
      <c r="R1179" s="6"/>
      <c r="S1179" s="6"/>
      <c r="T1179" s="6"/>
      <c r="U1179" s="6"/>
      <c r="V1179" s="6"/>
      <c r="W1179" s="6"/>
      <c r="X1179" s="6"/>
      <c r="Y1179" s="6"/>
      <c r="Z1179" s="6"/>
    </row>
    <row r="1180" ht="12.75" customHeight="1">
      <c r="A1180" s="10" t="s">
        <v>1742</v>
      </c>
      <c r="B1180" s="10"/>
      <c r="C1180" s="10"/>
      <c r="D1180" s="11"/>
      <c r="E1180" s="10"/>
      <c r="F1180" s="10"/>
      <c r="G1180" s="12"/>
      <c r="H1180" s="6"/>
      <c r="I1180" s="6"/>
      <c r="J1180" s="6"/>
      <c r="K1180" s="6"/>
      <c r="L1180" s="6"/>
      <c r="M1180" s="6"/>
      <c r="N1180" s="6"/>
      <c r="O1180" s="6"/>
      <c r="P1180" s="6"/>
      <c r="Q1180" s="6"/>
      <c r="R1180" s="6"/>
      <c r="S1180" s="6"/>
      <c r="T1180" s="6"/>
      <c r="U1180" s="6"/>
      <c r="V1180" s="6"/>
      <c r="W1180" s="6"/>
      <c r="X1180" s="6"/>
      <c r="Y1180" s="6"/>
      <c r="Z1180" s="6"/>
    </row>
    <row r="1181" ht="12.75" customHeight="1">
      <c r="A1181" s="10" t="s">
        <v>1742</v>
      </c>
      <c r="B1181" s="10"/>
      <c r="C1181" s="10"/>
      <c r="D1181" s="11"/>
      <c r="E1181" s="10"/>
      <c r="F1181" s="10"/>
      <c r="G1181" s="12"/>
      <c r="H1181" s="6"/>
      <c r="I1181" s="6"/>
      <c r="J1181" s="6"/>
      <c r="K1181" s="6"/>
      <c r="L1181" s="6"/>
      <c r="M1181" s="6"/>
      <c r="N1181" s="6"/>
      <c r="O1181" s="6"/>
      <c r="P1181" s="6"/>
      <c r="Q1181" s="6"/>
      <c r="R1181" s="6"/>
      <c r="S1181" s="6"/>
      <c r="T1181" s="6"/>
      <c r="U1181" s="6"/>
      <c r="V1181" s="6"/>
      <c r="W1181" s="6"/>
      <c r="X1181" s="6"/>
      <c r="Y1181" s="6"/>
      <c r="Z1181" s="6"/>
    </row>
    <row r="1182" ht="12.75" customHeight="1">
      <c r="A1182" s="10" t="s">
        <v>1742</v>
      </c>
      <c r="B1182" s="10"/>
      <c r="C1182" s="10"/>
      <c r="D1182" s="11"/>
      <c r="E1182" s="10"/>
      <c r="F1182" s="10"/>
      <c r="G1182" s="12"/>
      <c r="H1182" s="6"/>
      <c r="I1182" s="6"/>
      <c r="J1182" s="6"/>
      <c r="K1182" s="6"/>
      <c r="L1182" s="6"/>
      <c r="M1182" s="6"/>
      <c r="N1182" s="6"/>
      <c r="O1182" s="6"/>
      <c r="P1182" s="6"/>
      <c r="Q1182" s="6"/>
      <c r="R1182" s="6"/>
      <c r="S1182" s="6"/>
      <c r="T1182" s="6"/>
      <c r="U1182" s="6"/>
      <c r="V1182" s="6"/>
      <c r="W1182" s="6"/>
      <c r="X1182" s="6"/>
      <c r="Y1182" s="6"/>
      <c r="Z1182" s="6"/>
    </row>
    <row r="1183" ht="12.75" customHeight="1">
      <c r="A1183" s="10" t="s">
        <v>1742</v>
      </c>
      <c r="B1183" s="10"/>
      <c r="C1183" s="10"/>
      <c r="D1183" s="11"/>
      <c r="E1183" s="10"/>
      <c r="F1183" s="10"/>
      <c r="G1183" s="12"/>
      <c r="H1183" s="6"/>
      <c r="I1183" s="6"/>
      <c r="J1183" s="6"/>
      <c r="K1183" s="6"/>
      <c r="L1183" s="6"/>
      <c r="M1183" s="6"/>
      <c r="N1183" s="6"/>
      <c r="O1183" s="6"/>
      <c r="P1183" s="6"/>
      <c r="Q1183" s="6"/>
      <c r="R1183" s="6"/>
      <c r="S1183" s="6"/>
      <c r="T1183" s="6"/>
      <c r="U1183" s="6"/>
      <c r="V1183" s="6"/>
      <c r="W1183" s="6"/>
      <c r="X1183" s="6"/>
      <c r="Y1183" s="6"/>
      <c r="Z1183" s="6"/>
    </row>
    <row r="1184" ht="12.75" customHeight="1">
      <c r="A1184" s="10" t="s">
        <v>1742</v>
      </c>
      <c r="B1184" s="10"/>
      <c r="C1184" s="10"/>
      <c r="D1184" s="11"/>
      <c r="E1184" s="10"/>
      <c r="F1184" s="10"/>
      <c r="G1184" s="12"/>
      <c r="H1184" s="6"/>
      <c r="I1184" s="6"/>
      <c r="J1184" s="6"/>
      <c r="K1184" s="6"/>
      <c r="L1184" s="6"/>
      <c r="M1184" s="6"/>
      <c r="N1184" s="6"/>
      <c r="O1184" s="6"/>
      <c r="P1184" s="6"/>
      <c r="Q1184" s="6"/>
      <c r="R1184" s="6"/>
      <c r="S1184" s="6"/>
      <c r="T1184" s="6"/>
      <c r="U1184" s="6"/>
      <c r="V1184" s="6"/>
      <c r="W1184" s="6"/>
      <c r="X1184" s="6"/>
      <c r="Y1184" s="6"/>
      <c r="Z1184" s="6"/>
    </row>
    <row r="1185" ht="12.75" customHeight="1">
      <c r="A1185" s="10" t="s">
        <v>1742</v>
      </c>
      <c r="B1185" s="10"/>
      <c r="C1185" s="10"/>
      <c r="D1185" s="11"/>
      <c r="E1185" s="10"/>
      <c r="F1185" s="10"/>
      <c r="G1185" s="12"/>
      <c r="H1185" s="6"/>
      <c r="I1185" s="6"/>
      <c r="J1185" s="6"/>
      <c r="K1185" s="6"/>
      <c r="L1185" s="6"/>
      <c r="M1185" s="6"/>
      <c r="N1185" s="6"/>
      <c r="O1185" s="6"/>
      <c r="P1185" s="6"/>
      <c r="Q1185" s="6"/>
      <c r="R1185" s="6"/>
      <c r="S1185" s="6"/>
      <c r="T1185" s="6"/>
      <c r="U1185" s="6"/>
      <c r="V1185" s="6"/>
      <c r="W1185" s="6"/>
      <c r="X1185" s="6"/>
      <c r="Y1185" s="6"/>
      <c r="Z1185" s="6"/>
    </row>
    <row r="1186" ht="12.75" customHeight="1">
      <c r="A1186" s="10" t="s">
        <v>1742</v>
      </c>
      <c r="B1186" s="10"/>
      <c r="C1186" s="10"/>
      <c r="D1186" s="11"/>
      <c r="E1186" s="10"/>
      <c r="F1186" s="10"/>
      <c r="G1186" s="12"/>
      <c r="H1186" s="6"/>
      <c r="I1186" s="6"/>
      <c r="J1186" s="6"/>
      <c r="K1186" s="6"/>
      <c r="L1186" s="6"/>
      <c r="M1186" s="6"/>
      <c r="N1186" s="6"/>
      <c r="O1186" s="6"/>
      <c r="P1186" s="6"/>
      <c r="Q1186" s="6"/>
      <c r="R1186" s="6"/>
      <c r="S1186" s="6"/>
      <c r="T1186" s="6"/>
      <c r="U1186" s="6"/>
      <c r="V1186" s="6"/>
      <c r="W1186" s="6"/>
      <c r="X1186" s="6"/>
      <c r="Y1186" s="6"/>
      <c r="Z1186" s="6"/>
    </row>
    <row r="1187" ht="12.75" customHeight="1">
      <c r="A1187" s="10" t="s">
        <v>1742</v>
      </c>
      <c r="B1187" s="10"/>
      <c r="C1187" s="10"/>
      <c r="D1187" s="11"/>
      <c r="E1187" s="10"/>
      <c r="F1187" s="10"/>
      <c r="G1187" s="12"/>
      <c r="H1187" s="6"/>
      <c r="I1187" s="6"/>
      <c r="J1187" s="6"/>
      <c r="K1187" s="6"/>
      <c r="L1187" s="6"/>
      <c r="M1187" s="6"/>
      <c r="N1187" s="6"/>
      <c r="O1187" s="6"/>
      <c r="P1187" s="6"/>
      <c r="Q1187" s="6"/>
      <c r="R1187" s="6"/>
      <c r="S1187" s="6"/>
      <c r="T1187" s="6"/>
      <c r="U1187" s="6"/>
      <c r="V1187" s="6"/>
      <c r="W1187" s="6"/>
      <c r="X1187" s="6"/>
      <c r="Y1187" s="6"/>
      <c r="Z1187" s="6"/>
    </row>
    <row r="1188" ht="12.75" customHeight="1">
      <c r="A1188" s="10" t="s">
        <v>1742</v>
      </c>
      <c r="B1188" s="10"/>
      <c r="C1188" s="10"/>
      <c r="D1188" s="11"/>
      <c r="E1188" s="10"/>
      <c r="F1188" s="10"/>
      <c r="G1188" s="12"/>
      <c r="H1188" s="6"/>
      <c r="I1188" s="6"/>
      <c r="J1188" s="6"/>
      <c r="K1188" s="6"/>
      <c r="L1188" s="6"/>
      <c r="M1188" s="6"/>
      <c r="N1188" s="6"/>
      <c r="O1188" s="6"/>
      <c r="P1188" s="6"/>
      <c r="Q1188" s="6"/>
      <c r="R1188" s="6"/>
      <c r="S1188" s="6"/>
      <c r="T1188" s="6"/>
      <c r="U1188" s="6"/>
      <c r="V1188" s="6"/>
      <c r="W1188" s="6"/>
      <c r="X1188" s="6"/>
      <c r="Y1188" s="6"/>
      <c r="Z1188" s="6"/>
    </row>
    <row r="1189" ht="12.75" customHeight="1">
      <c r="A1189" s="10" t="s">
        <v>1742</v>
      </c>
      <c r="B1189" s="10"/>
      <c r="C1189" s="10"/>
      <c r="D1189" s="11"/>
      <c r="E1189" s="10"/>
      <c r="F1189" s="10"/>
      <c r="G1189" s="12"/>
      <c r="H1189" s="6"/>
      <c r="I1189" s="6"/>
      <c r="J1189" s="6"/>
      <c r="K1189" s="6"/>
      <c r="L1189" s="6"/>
      <c r="M1189" s="6"/>
      <c r="N1189" s="6"/>
      <c r="O1189" s="6"/>
      <c r="P1189" s="6"/>
      <c r="Q1189" s="6"/>
      <c r="R1189" s="6"/>
      <c r="S1189" s="6"/>
      <c r="T1189" s="6"/>
      <c r="U1189" s="6"/>
      <c r="V1189" s="6"/>
      <c r="W1189" s="6"/>
      <c r="X1189" s="6"/>
      <c r="Y1189" s="6"/>
      <c r="Z1189" s="6"/>
    </row>
    <row r="1190" ht="12.75" customHeight="1">
      <c r="A1190" s="10" t="s">
        <v>1742</v>
      </c>
      <c r="B1190" s="10"/>
      <c r="C1190" s="10"/>
      <c r="D1190" s="11"/>
      <c r="E1190" s="10"/>
      <c r="F1190" s="10"/>
      <c r="G1190" s="12"/>
      <c r="H1190" s="6"/>
      <c r="I1190" s="6"/>
      <c r="J1190" s="6"/>
      <c r="K1190" s="6"/>
      <c r="L1190" s="6"/>
      <c r="M1190" s="6"/>
      <c r="N1190" s="6"/>
      <c r="O1190" s="6"/>
      <c r="P1190" s="6"/>
      <c r="Q1190" s="6"/>
      <c r="R1190" s="6"/>
      <c r="S1190" s="6"/>
      <c r="T1190" s="6"/>
      <c r="U1190" s="6"/>
      <c r="V1190" s="6"/>
      <c r="W1190" s="6"/>
      <c r="X1190" s="6"/>
      <c r="Y1190" s="6"/>
      <c r="Z1190" s="6"/>
    </row>
    <row r="1191" ht="12.75" customHeight="1">
      <c r="A1191" s="10" t="s">
        <v>1742</v>
      </c>
      <c r="B1191" s="10"/>
      <c r="C1191" s="10"/>
      <c r="D1191" s="11"/>
      <c r="E1191" s="10"/>
      <c r="F1191" s="10"/>
      <c r="G1191" s="12"/>
      <c r="H1191" s="6"/>
      <c r="I1191" s="6"/>
      <c r="J1191" s="6"/>
      <c r="K1191" s="6"/>
      <c r="L1191" s="6"/>
      <c r="M1191" s="6"/>
      <c r="N1191" s="6"/>
      <c r="O1191" s="6"/>
      <c r="P1191" s="6"/>
      <c r="Q1191" s="6"/>
      <c r="R1191" s="6"/>
      <c r="S1191" s="6"/>
      <c r="T1191" s="6"/>
      <c r="U1191" s="6"/>
      <c r="V1191" s="6"/>
      <c r="W1191" s="6"/>
      <c r="X1191" s="6"/>
      <c r="Y1191" s="6"/>
      <c r="Z1191" s="6"/>
    </row>
    <row r="1192" ht="12.75" customHeight="1">
      <c r="A1192" s="10" t="s">
        <v>1742</v>
      </c>
      <c r="B1192" s="10"/>
      <c r="C1192" s="10"/>
      <c r="D1192" s="11"/>
      <c r="E1192" s="10"/>
      <c r="F1192" s="10"/>
      <c r="G1192" s="12"/>
      <c r="H1192" s="6"/>
      <c r="I1192" s="6"/>
      <c r="J1192" s="6"/>
      <c r="K1192" s="6"/>
      <c r="L1192" s="6"/>
      <c r="M1192" s="6"/>
      <c r="N1192" s="6"/>
      <c r="O1192" s="6"/>
      <c r="P1192" s="6"/>
      <c r="Q1192" s="6"/>
      <c r="R1192" s="6"/>
      <c r="S1192" s="6"/>
      <c r="T1192" s="6"/>
      <c r="U1192" s="6"/>
      <c r="V1192" s="6"/>
      <c r="W1192" s="6"/>
      <c r="X1192" s="6"/>
      <c r="Y1192" s="6"/>
      <c r="Z1192" s="6"/>
    </row>
    <row r="1193" ht="12.75" customHeight="1">
      <c r="A1193" s="10" t="s">
        <v>1742</v>
      </c>
      <c r="B1193" s="10"/>
      <c r="C1193" s="10"/>
      <c r="D1193" s="11"/>
      <c r="E1193" s="10"/>
      <c r="F1193" s="10"/>
      <c r="G1193" s="12"/>
      <c r="H1193" s="6"/>
      <c r="I1193" s="6"/>
      <c r="J1193" s="6"/>
      <c r="K1193" s="6"/>
      <c r="L1193" s="6"/>
      <c r="M1193" s="6"/>
      <c r="N1193" s="6"/>
      <c r="O1193" s="6"/>
      <c r="P1193" s="6"/>
      <c r="Q1193" s="6"/>
      <c r="R1193" s="6"/>
      <c r="S1193" s="6"/>
      <c r="T1193" s="6"/>
      <c r="U1193" s="6"/>
      <c r="V1193" s="6"/>
      <c r="W1193" s="6"/>
      <c r="X1193" s="6"/>
      <c r="Y1193" s="6"/>
      <c r="Z1193" s="6"/>
    </row>
    <row r="1194" ht="12.75" customHeight="1">
      <c r="A1194" s="10" t="s">
        <v>1742</v>
      </c>
      <c r="B1194" s="10"/>
      <c r="C1194" s="10"/>
      <c r="D1194" s="11"/>
      <c r="E1194" s="10"/>
      <c r="F1194" s="10"/>
      <c r="G1194" s="12"/>
      <c r="H1194" s="6"/>
      <c r="I1194" s="6"/>
      <c r="J1194" s="6"/>
      <c r="K1194" s="6"/>
      <c r="L1194" s="6"/>
      <c r="M1194" s="6"/>
      <c r="N1194" s="6"/>
      <c r="O1194" s="6"/>
      <c r="P1194" s="6"/>
      <c r="Q1194" s="6"/>
      <c r="R1194" s="6"/>
      <c r="S1194" s="6"/>
      <c r="T1194" s="6"/>
      <c r="U1194" s="6"/>
      <c r="V1194" s="6"/>
      <c r="W1194" s="6"/>
      <c r="X1194" s="6"/>
      <c r="Y1194" s="6"/>
      <c r="Z1194" s="6"/>
    </row>
    <row r="1195" ht="12.75" customHeight="1">
      <c r="A1195" s="10" t="s">
        <v>1742</v>
      </c>
      <c r="B1195" s="10"/>
      <c r="C1195" s="10"/>
      <c r="D1195" s="11"/>
      <c r="E1195" s="10"/>
      <c r="F1195" s="10"/>
      <c r="G1195" s="12"/>
      <c r="H1195" s="6"/>
      <c r="I1195" s="6"/>
      <c r="J1195" s="6"/>
      <c r="K1195" s="6"/>
      <c r="L1195" s="6"/>
      <c r="M1195" s="6"/>
      <c r="N1195" s="6"/>
      <c r="O1195" s="6"/>
      <c r="P1195" s="6"/>
      <c r="Q1195" s="6"/>
      <c r="R1195" s="6"/>
      <c r="S1195" s="6"/>
      <c r="T1195" s="6"/>
      <c r="U1195" s="6"/>
      <c r="V1195" s="6"/>
      <c r="W1195" s="6"/>
      <c r="X1195" s="6"/>
      <c r="Y1195" s="6"/>
      <c r="Z1195" s="6"/>
    </row>
    <row r="1196" ht="12.75" customHeight="1">
      <c r="A1196" s="10" t="s">
        <v>1742</v>
      </c>
      <c r="B1196" s="10"/>
      <c r="C1196" s="10"/>
      <c r="D1196" s="11"/>
      <c r="E1196" s="10"/>
      <c r="F1196" s="10"/>
      <c r="G1196" s="12"/>
      <c r="H1196" s="6"/>
      <c r="I1196" s="6"/>
      <c r="J1196" s="6"/>
      <c r="K1196" s="6"/>
      <c r="L1196" s="6"/>
      <c r="M1196" s="6"/>
      <c r="N1196" s="6"/>
      <c r="O1196" s="6"/>
      <c r="P1196" s="6"/>
      <c r="Q1196" s="6"/>
      <c r="R1196" s="6"/>
      <c r="S1196" s="6"/>
      <c r="T1196" s="6"/>
      <c r="U1196" s="6"/>
      <c r="V1196" s="6"/>
      <c r="W1196" s="6"/>
      <c r="X1196" s="6"/>
      <c r="Y1196" s="6"/>
      <c r="Z1196" s="6"/>
    </row>
    <row r="1197" ht="12.75" customHeight="1">
      <c r="A1197" s="10" t="s">
        <v>1742</v>
      </c>
      <c r="B1197" s="10"/>
      <c r="C1197" s="10"/>
      <c r="D1197" s="11"/>
      <c r="E1197" s="10"/>
      <c r="F1197" s="10"/>
      <c r="G1197" s="12"/>
      <c r="H1197" s="6"/>
      <c r="I1197" s="6"/>
      <c r="J1197" s="6"/>
      <c r="K1197" s="6"/>
      <c r="L1197" s="6"/>
      <c r="M1197" s="6"/>
      <c r="N1197" s="6"/>
      <c r="O1197" s="6"/>
      <c r="P1197" s="6"/>
      <c r="Q1197" s="6"/>
      <c r="R1197" s="6"/>
      <c r="S1197" s="6"/>
      <c r="T1197" s="6"/>
      <c r="U1197" s="6"/>
      <c r="V1197" s="6"/>
      <c r="W1197" s="6"/>
      <c r="X1197" s="6"/>
      <c r="Y1197" s="6"/>
      <c r="Z1197" s="6"/>
    </row>
    <row r="1198" ht="12.75" customHeight="1">
      <c r="A1198" s="10" t="s">
        <v>1742</v>
      </c>
      <c r="B1198" s="10"/>
      <c r="C1198" s="10"/>
      <c r="D1198" s="11"/>
      <c r="E1198" s="10"/>
      <c r="F1198" s="10"/>
      <c r="G1198" s="12"/>
      <c r="H1198" s="6"/>
      <c r="I1198" s="6"/>
      <c r="J1198" s="6"/>
      <c r="K1198" s="6"/>
      <c r="L1198" s="6"/>
      <c r="M1198" s="6"/>
      <c r="N1198" s="6"/>
      <c r="O1198" s="6"/>
      <c r="P1198" s="6"/>
      <c r="Q1198" s="6"/>
      <c r="R1198" s="6"/>
      <c r="S1198" s="6"/>
      <c r="T1198" s="6"/>
      <c r="U1198" s="6"/>
      <c r="V1198" s="6"/>
      <c r="W1198" s="6"/>
      <c r="X1198" s="6"/>
      <c r="Y1198" s="6"/>
      <c r="Z1198" s="6"/>
    </row>
    <row r="1199" ht="12.75" customHeight="1">
      <c r="A1199" s="10" t="s">
        <v>1742</v>
      </c>
      <c r="B1199" s="10"/>
      <c r="C1199" s="10"/>
      <c r="D1199" s="11"/>
      <c r="E1199" s="10"/>
      <c r="F1199" s="10"/>
      <c r="G1199" s="12"/>
      <c r="H1199" s="6"/>
      <c r="I1199" s="6"/>
      <c r="J1199" s="6"/>
      <c r="K1199" s="6"/>
      <c r="L1199" s="6"/>
      <c r="M1199" s="6"/>
      <c r="N1199" s="6"/>
      <c r="O1199" s="6"/>
      <c r="P1199" s="6"/>
      <c r="Q1199" s="6"/>
      <c r="R1199" s="6"/>
      <c r="S1199" s="6"/>
      <c r="T1199" s="6"/>
      <c r="U1199" s="6"/>
      <c r="V1199" s="6"/>
      <c r="W1199" s="6"/>
      <c r="X1199" s="6"/>
      <c r="Y1199" s="6"/>
      <c r="Z1199" s="6"/>
    </row>
    <row r="1200" ht="12.75" customHeight="1">
      <c r="A1200" s="10" t="s">
        <v>1742</v>
      </c>
      <c r="B1200" s="10"/>
      <c r="C1200" s="10"/>
      <c r="D1200" s="11"/>
      <c r="E1200" s="10"/>
      <c r="F1200" s="10"/>
      <c r="G1200" s="12"/>
      <c r="H1200" s="6"/>
      <c r="I1200" s="6"/>
      <c r="J1200" s="6"/>
      <c r="K1200" s="6"/>
      <c r="L1200" s="6"/>
      <c r="M1200" s="6"/>
      <c r="N1200" s="6"/>
      <c r="O1200" s="6"/>
      <c r="P1200" s="6"/>
      <c r="Q1200" s="6"/>
      <c r="R1200" s="6"/>
      <c r="S1200" s="6"/>
      <c r="T1200" s="6"/>
      <c r="U1200" s="6"/>
      <c r="V1200" s="6"/>
      <c r="W1200" s="6"/>
      <c r="X1200" s="6"/>
      <c r="Y1200" s="6"/>
      <c r="Z1200" s="6"/>
    </row>
    <row r="1201" ht="12.75" customHeight="1">
      <c r="A1201" s="10" t="s">
        <v>1742</v>
      </c>
      <c r="B1201" s="10"/>
      <c r="C1201" s="10"/>
      <c r="D1201" s="11"/>
      <c r="E1201" s="10"/>
      <c r="F1201" s="10"/>
      <c r="G1201" s="12"/>
      <c r="H1201" s="6"/>
      <c r="I1201" s="6"/>
      <c r="J1201" s="6"/>
      <c r="K1201" s="6"/>
      <c r="L1201" s="6"/>
      <c r="M1201" s="6"/>
      <c r="N1201" s="6"/>
      <c r="O1201" s="6"/>
      <c r="P1201" s="6"/>
      <c r="Q1201" s="6"/>
      <c r="R1201" s="6"/>
      <c r="S1201" s="6"/>
      <c r="T1201" s="6"/>
      <c r="U1201" s="6"/>
      <c r="V1201" s="6"/>
      <c r="W1201" s="6"/>
      <c r="X1201" s="6"/>
      <c r="Y1201" s="6"/>
      <c r="Z1201" s="6"/>
    </row>
    <row r="1202" ht="12.75" customHeight="1">
      <c r="A1202" s="10" t="s">
        <v>1742</v>
      </c>
      <c r="B1202" s="10"/>
      <c r="C1202" s="10"/>
      <c r="D1202" s="11"/>
      <c r="E1202" s="10"/>
      <c r="F1202" s="10"/>
      <c r="G1202" s="12"/>
      <c r="H1202" s="6"/>
      <c r="I1202" s="6"/>
      <c r="J1202" s="6"/>
      <c r="K1202" s="6"/>
      <c r="L1202" s="6"/>
      <c r="M1202" s="6"/>
      <c r="N1202" s="6"/>
      <c r="O1202" s="6"/>
      <c r="P1202" s="6"/>
      <c r="Q1202" s="6"/>
      <c r="R1202" s="6"/>
      <c r="S1202" s="6"/>
      <c r="T1202" s="6"/>
      <c r="U1202" s="6"/>
      <c r="V1202" s="6"/>
      <c r="W1202" s="6"/>
      <c r="X1202" s="6"/>
      <c r="Y1202" s="6"/>
      <c r="Z1202" s="6"/>
    </row>
    <row r="1203" ht="12.75" customHeight="1">
      <c r="A1203" s="10" t="s">
        <v>1742</v>
      </c>
      <c r="B1203" s="10"/>
      <c r="C1203" s="10"/>
      <c r="D1203" s="11"/>
      <c r="E1203" s="10"/>
      <c r="F1203" s="10"/>
      <c r="G1203" s="12"/>
      <c r="H1203" s="6"/>
      <c r="I1203" s="6"/>
      <c r="J1203" s="6"/>
      <c r="K1203" s="6"/>
      <c r="L1203" s="6"/>
      <c r="M1203" s="6"/>
      <c r="N1203" s="6"/>
      <c r="O1203" s="6"/>
      <c r="P1203" s="6"/>
      <c r="Q1203" s="6"/>
      <c r="R1203" s="6"/>
      <c r="S1203" s="6"/>
      <c r="T1203" s="6"/>
      <c r="U1203" s="6"/>
      <c r="V1203" s="6"/>
      <c r="W1203" s="6"/>
      <c r="X1203" s="6"/>
      <c r="Y1203" s="6"/>
      <c r="Z1203" s="6"/>
    </row>
    <row r="1204" ht="12.75" customHeight="1">
      <c r="A1204" s="10" t="s">
        <v>1742</v>
      </c>
      <c r="B1204" s="10"/>
      <c r="C1204" s="10"/>
      <c r="D1204" s="11"/>
      <c r="E1204" s="10"/>
      <c r="F1204" s="10"/>
      <c r="G1204" s="12"/>
      <c r="H1204" s="6"/>
      <c r="I1204" s="6"/>
      <c r="J1204" s="6"/>
      <c r="K1204" s="6"/>
      <c r="L1204" s="6"/>
      <c r="M1204" s="6"/>
      <c r="N1204" s="6"/>
      <c r="O1204" s="6"/>
      <c r="P1204" s="6"/>
      <c r="Q1204" s="6"/>
      <c r="R1204" s="6"/>
      <c r="S1204" s="6"/>
      <c r="T1204" s="6"/>
      <c r="U1204" s="6"/>
      <c r="V1204" s="6"/>
      <c r="W1204" s="6"/>
      <c r="X1204" s="6"/>
      <c r="Y1204" s="6"/>
      <c r="Z1204" s="6"/>
    </row>
    <row r="1205" ht="12.75" customHeight="1">
      <c r="A1205" s="10" t="s">
        <v>1742</v>
      </c>
      <c r="B1205" s="10"/>
      <c r="C1205" s="10"/>
      <c r="D1205" s="11"/>
      <c r="E1205" s="10"/>
      <c r="F1205" s="10"/>
      <c r="G1205" s="12"/>
      <c r="H1205" s="6"/>
      <c r="I1205" s="6"/>
      <c r="J1205" s="6"/>
      <c r="K1205" s="6"/>
      <c r="L1205" s="6"/>
      <c r="M1205" s="6"/>
      <c r="N1205" s="6"/>
      <c r="O1205" s="6"/>
      <c r="P1205" s="6"/>
      <c r="Q1205" s="6"/>
      <c r="R1205" s="6"/>
      <c r="S1205" s="6"/>
      <c r="T1205" s="6"/>
      <c r="U1205" s="6"/>
      <c r="V1205" s="6"/>
      <c r="W1205" s="6"/>
      <c r="X1205" s="6"/>
      <c r="Y1205" s="6"/>
      <c r="Z1205" s="6"/>
    </row>
    <row r="1206" ht="12.75" customHeight="1">
      <c r="A1206" s="10" t="s">
        <v>1742</v>
      </c>
      <c r="B1206" s="10"/>
      <c r="C1206" s="10"/>
      <c r="D1206" s="11"/>
      <c r="E1206" s="10"/>
      <c r="F1206" s="10"/>
      <c r="G1206" s="12"/>
      <c r="H1206" s="6"/>
      <c r="I1206" s="6"/>
      <c r="J1206" s="6"/>
      <c r="K1206" s="6"/>
      <c r="L1206" s="6"/>
      <c r="M1206" s="6"/>
      <c r="N1206" s="6"/>
      <c r="O1206" s="6"/>
      <c r="P1206" s="6"/>
      <c r="Q1206" s="6"/>
      <c r="R1206" s="6"/>
      <c r="S1206" s="6"/>
      <c r="T1206" s="6"/>
      <c r="U1206" s="6"/>
      <c r="V1206" s="6"/>
      <c r="W1206" s="6"/>
      <c r="X1206" s="6"/>
      <c r="Y1206" s="6"/>
      <c r="Z1206" s="6"/>
    </row>
    <row r="1207" ht="12.75" customHeight="1">
      <c r="A1207" s="10" t="s">
        <v>1742</v>
      </c>
      <c r="B1207" s="10"/>
      <c r="C1207" s="10"/>
      <c r="D1207" s="11"/>
      <c r="E1207" s="10"/>
      <c r="F1207" s="10"/>
      <c r="G1207" s="12"/>
      <c r="H1207" s="6"/>
      <c r="I1207" s="6"/>
      <c r="J1207" s="6"/>
      <c r="K1207" s="6"/>
      <c r="L1207" s="6"/>
      <c r="M1207" s="6"/>
      <c r="N1207" s="6"/>
      <c r="O1207" s="6"/>
      <c r="P1207" s="6"/>
      <c r="Q1207" s="6"/>
      <c r="R1207" s="6"/>
      <c r="S1207" s="6"/>
      <c r="T1207" s="6"/>
      <c r="U1207" s="6"/>
      <c r="V1207" s="6"/>
      <c r="W1207" s="6"/>
      <c r="X1207" s="6"/>
      <c r="Y1207" s="6"/>
      <c r="Z1207" s="6"/>
    </row>
    <row r="1208" ht="12.75" customHeight="1">
      <c r="A1208" s="10" t="s">
        <v>1742</v>
      </c>
      <c r="B1208" s="10"/>
      <c r="C1208" s="10"/>
      <c r="D1208" s="11"/>
      <c r="E1208" s="10"/>
      <c r="F1208" s="10"/>
      <c r="G1208" s="12"/>
      <c r="H1208" s="6"/>
      <c r="I1208" s="6"/>
      <c r="J1208" s="6"/>
      <c r="K1208" s="6"/>
      <c r="L1208" s="6"/>
      <c r="M1208" s="6"/>
      <c r="N1208" s="6"/>
      <c r="O1208" s="6"/>
      <c r="P1208" s="6"/>
      <c r="Q1208" s="6"/>
      <c r="R1208" s="6"/>
      <c r="S1208" s="6"/>
      <c r="T1208" s="6"/>
      <c r="U1208" s="6"/>
      <c r="V1208" s="6"/>
      <c r="W1208" s="6"/>
      <c r="X1208" s="6"/>
      <c r="Y1208" s="6"/>
      <c r="Z1208" s="6"/>
    </row>
    <row r="1209" ht="12.75" customHeight="1">
      <c r="A1209" s="10" t="s">
        <v>1742</v>
      </c>
      <c r="B1209" s="10"/>
      <c r="C1209" s="10"/>
      <c r="D1209" s="11"/>
      <c r="E1209" s="10"/>
      <c r="F1209" s="10"/>
      <c r="G1209" s="12"/>
      <c r="H1209" s="6"/>
      <c r="I1209" s="6"/>
      <c r="J1209" s="6"/>
      <c r="K1209" s="6"/>
      <c r="L1209" s="6"/>
      <c r="M1209" s="6"/>
      <c r="N1209" s="6"/>
      <c r="O1209" s="6"/>
      <c r="P1209" s="6"/>
      <c r="Q1209" s="6"/>
      <c r="R1209" s="6"/>
      <c r="S1209" s="6"/>
      <c r="T1209" s="6"/>
      <c r="U1209" s="6"/>
      <c r="V1209" s="6"/>
      <c r="W1209" s="6"/>
      <c r="X1209" s="6"/>
      <c r="Y1209" s="6"/>
      <c r="Z1209" s="6"/>
    </row>
    <row r="1210" ht="12.75" customHeight="1">
      <c r="A1210" s="10" t="s">
        <v>1742</v>
      </c>
      <c r="B1210" s="10"/>
      <c r="C1210" s="10"/>
      <c r="D1210" s="11"/>
      <c r="E1210" s="10"/>
      <c r="F1210" s="10"/>
      <c r="G1210" s="12"/>
      <c r="H1210" s="6"/>
      <c r="I1210" s="6"/>
      <c r="J1210" s="6"/>
      <c r="K1210" s="6"/>
      <c r="L1210" s="6"/>
      <c r="M1210" s="6"/>
      <c r="N1210" s="6"/>
      <c r="O1210" s="6"/>
      <c r="P1210" s="6"/>
      <c r="Q1210" s="6"/>
      <c r="R1210" s="6"/>
      <c r="S1210" s="6"/>
      <c r="T1210" s="6"/>
      <c r="U1210" s="6"/>
      <c r="V1210" s="6"/>
      <c r="W1210" s="6"/>
      <c r="X1210" s="6"/>
      <c r="Y1210" s="6"/>
      <c r="Z1210" s="6"/>
    </row>
    <row r="1211" ht="12.75" customHeight="1">
      <c r="A1211" s="10" t="s">
        <v>1742</v>
      </c>
      <c r="B1211" s="10"/>
      <c r="C1211" s="10"/>
      <c r="D1211" s="11"/>
      <c r="E1211" s="10"/>
      <c r="F1211" s="10"/>
      <c r="G1211" s="12"/>
      <c r="H1211" s="6"/>
      <c r="I1211" s="6"/>
      <c r="J1211" s="6"/>
      <c r="K1211" s="6"/>
      <c r="L1211" s="6"/>
      <c r="M1211" s="6"/>
      <c r="N1211" s="6"/>
      <c r="O1211" s="6"/>
      <c r="P1211" s="6"/>
      <c r="Q1211" s="6"/>
      <c r="R1211" s="6"/>
      <c r="S1211" s="6"/>
      <c r="T1211" s="6"/>
      <c r="U1211" s="6"/>
      <c r="V1211" s="6"/>
      <c r="W1211" s="6"/>
      <c r="X1211" s="6"/>
      <c r="Y1211" s="6"/>
      <c r="Z1211" s="6"/>
    </row>
    <row r="1212" ht="12.75" customHeight="1">
      <c r="A1212" s="10" t="s">
        <v>1742</v>
      </c>
      <c r="B1212" s="10"/>
      <c r="C1212" s="10"/>
      <c r="D1212" s="11"/>
      <c r="E1212" s="10"/>
      <c r="F1212" s="10"/>
      <c r="G1212" s="12"/>
      <c r="H1212" s="6"/>
      <c r="I1212" s="6"/>
      <c r="J1212" s="6"/>
      <c r="K1212" s="6"/>
      <c r="L1212" s="6"/>
      <c r="M1212" s="6"/>
      <c r="N1212" s="6"/>
      <c r="O1212" s="6"/>
      <c r="P1212" s="6"/>
      <c r="Q1212" s="6"/>
      <c r="R1212" s="6"/>
      <c r="S1212" s="6"/>
      <c r="T1212" s="6"/>
      <c r="U1212" s="6"/>
      <c r="V1212" s="6"/>
      <c r="W1212" s="6"/>
      <c r="X1212" s="6"/>
      <c r="Y1212" s="6"/>
      <c r="Z1212" s="6"/>
    </row>
    <row r="1213" ht="12.75" customHeight="1">
      <c r="A1213" s="10" t="s">
        <v>1742</v>
      </c>
      <c r="B1213" s="10"/>
      <c r="C1213" s="10"/>
      <c r="D1213" s="11"/>
      <c r="E1213" s="10"/>
      <c r="F1213" s="10"/>
      <c r="G1213" s="12"/>
      <c r="H1213" s="6"/>
      <c r="I1213" s="6"/>
      <c r="J1213" s="6"/>
      <c r="K1213" s="6"/>
      <c r="L1213" s="6"/>
      <c r="M1213" s="6"/>
      <c r="N1213" s="6"/>
      <c r="O1213" s="6"/>
      <c r="P1213" s="6"/>
      <c r="Q1213" s="6"/>
      <c r="R1213" s="6"/>
      <c r="S1213" s="6"/>
      <c r="T1213" s="6"/>
      <c r="U1213" s="6"/>
      <c r="V1213" s="6"/>
      <c r="W1213" s="6"/>
      <c r="X1213" s="6"/>
      <c r="Y1213" s="6"/>
      <c r="Z1213" s="6"/>
    </row>
    <row r="1214" ht="12.75" customHeight="1">
      <c r="A1214" s="10" t="s">
        <v>1742</v>
      </c>
      <c r="B1214" s="10"/>
      <c r="C1214" s="10"/>
      <c r="D1214" s="11"/>
      <c r="E1214" s="10"/>
      <c r="F1214" s="10"/>
      <c r="G1214" s="12"/>
      <c r="H1214" s="6"/>
      <c r="I1214" s="6"/>
      <c r="J1214" s="6"/>
      <c r="K1214" s="6"/>
      <c r="L1214" s="6"/>
      <c r="M1214" s="6"/>
      <c r="N1214" s="6"/>
      <c r="O1214" s="6"/>
      <c r="P1214" s="6"/>
      <c r="Q1214" s="6"/>
      <c r="R1214" s="6"/>
      <c r="S1214" s="6"/>
      <c r="T1214" s="6"/>
      <c r="U1214" s="6"/>
      <c r="V1214" s="6"/>
      <c r="W1214" s="6"/>
      <c r="X1214" s="6"/>
      <c r="Y1214" s="6"/>
      <c r="Z1214" s="6"/>
    </row>
    <row r="1215" ht="12.75" customHeight="1">
      <c r="A1215" s="10" t="s">
        <v>1742</v>
      </c>
      <c r="B1215" s="10"/>
      <c r="C1215" s="10"/>
      <c r="D1215" s="11"/>
      <c r="E1215" s="10"/>
      <c r="F1215" s="10"/>
      <c r="G1215" s="12"/>
      <c r="H1215" s="6"/>
      <c r="I1215" s="6"/>
      <c r="J1215" s="6"/>
      <c r="K1215" s="6"/>
      <c r="L1215" s="6"/>
      <c r="M1215" s="6"/>
      <c r="N1215" s="6"/>
      <c r="O1215" s="6"/>
      <c r="P1215" s="6"/>
      <c r="Q1215" s="6"/>
      <c r="R1215" s="6"/>
      <c r="S1215" s="6"/>
      <c r="T1215" s="6"/>
      <c r="U1215" s="6"/>
      <c r="V1215" s="6"/>
      <c r="W1215" s="6"/>
      <c r="X1215" s="6"/>
      <c r="Y1215" s="6"/>
      <c r="Z1215" s="6"/>
    </row>
    <row r="1216" ht="12.75" customHeight="1">
      <c r="A1216" s="10" t="s">
        <v>1742</v>
      </c>
      <c r="B1216" s="10"/>
      <c r="C1216" s="10"/>
      <c r="D1216" s="11"/>
      <c r="E1216" s="10"/>
      <c r="F1216" s="10"/>
      <c r="G1216" s="12"/>
      <c r="H1216" s="6"/>
      <c r="I1216" s="6"/>
      <c r="J1216" s="6"/>
      <c r="K1216" s="6"/>
      <c r="L1216" s="6"/>
      <c r="M1216" s="6"/>
      <c r="N1216" s="6"/>
      <c r="O1216" s="6"/>
      <c r="P1216" s="6"/>
      <c r="Q1216" s="6"/>
      <c r="R1216" s="6"/>
      <c r="S1216" s="6"/>
      <c r="T1216" s="6"/>
      <c r="U1216" s="6"/>
      <c r="V1216" s="6"/>
      <c r="W1216" s="6"/>
      <c r="X1216" s="6"/>
      <c r="Y1216" s="6"/>
      <c r="Z1216" s="6"/>
    </row>
    <row r="1217" ht="12.75" customHeight="1">
      <c r="A1217" s="10" t="s">
        <v>1742</v>
      </c>
      <c r="B1217" s="10"/>
      <c r="C1217" s="10"/>
      <c r="D1217" s="11"/>
      <c r="E1217" s="10"/>
      <c r="F1217" s="10"/>
      <c r="G1217" s="12"/>
      <c r="H1217" s="6"/>
      <c r="I1217" s="6"/>
      <c r="J1217" s="6"/>
      <c r="K1217" s="6"/>
      <c r="L1217" s="6"/>
      <c r="M1217" s="6"/>
      <c r="N1217" s="6"/>
      <c r="O1217" s="6"/>
      <c r="P1217" s="6"/>
      <c r="Q1217" s="6"/>
      <c r="R1217" s="6"/>
      <c r="S1217" s="6"/>
      <c r="T1217" s="6"/>
      <c r="U1217" s="6"/>
      <c r="V1217" s="6"/>
      <c r="W1217" s="6"/>
      <c r="X1217" s="6"/>
      <c r="Y1217" s="6"/>
      <c r="Z1217" s="6"/>
    </row>
    <row r="1218" ht="12.75" customHeight="1">
      <c r="A1218" s="10" t="s">
        <v>1742</v>
      </c>
      <c r="B1218" s="10"/>
      <c r="C1218" s="10"/>
      <c r="D1218" s="11"/>
      <c r="E1218" s="10"/>
      <c r="F1218" s="10"/>
      <c r="G1218" s="12"/>
      <c r="H1218" s="6"/>
      <c r="I1218" s="6"/>
      <c r="J1218" s="6"/>
      <c r="K1218" s="6"/>
      <c r="L1218" s="6"/>
      <c r="M1218" s="6"/>
      <c r="N1218" s="6"/>
      <c r="O1218" s="6"/>
      <c r="P1218" s="6"/>
      <c r="Q1218" s="6"/>
      <c r="R1218" s="6"/>
      <c r="S1218" s="6"/>
      <c r="T1218" s="6"/>
      <c r="U1218" s="6"/>
      <c r="V1218" s="6"/>
      <c r="W1218" s="6"/>
      <c r="X1218" s="6"/>
      <c r="Y1218" s="6"/>
      <c r="Z1218" s="6"/>
    </row>
    <row r="1219" ht="12.75" customHeight="1">
      <c r="A1219" s="10" t="s">
        <v>1742</v>
      </c>
      <c r="B1219" s="10"/>
      <c r="C1219" s="10"/>
      <c r="D1219" s="11"/>
      <c r="E1219" s="10"/>
      <c r="F1219" s="10"/>
      <c r="G1219" s="12"/>
      <c r="H1219" s="6"/>
      <c r="I1219" s="6"/>
      <c r="J1219" s="6"/>
      <c r="K1219" s="6"/>
      <c r="L1219" s="6"/>
      <c r="M1219" s="6"/>
      <c r="N1219" s="6"/>
      <c r="O1219" s="6"/>
      <c r="P1219" s="6"/>
      <c r="Q1219" s="6"/>
      <c r="R1219" s="6"/>
      <c r="S1219" s="6"/>
      <c r="T1219" s="6"/>
      <c r="U1219" s="6"/>
      <c r="V1219" s="6"/>
      <c r="W1219" s="6"/>
      <c r="X1219" s="6"/>
      <c r="Y1219" s="6"/>
      <c r="Z1219" s="6"/>
    </row>
    <row r="1220" ht="12.75" customHeight="1">
      <c r="A1220" s="10" t="s">
        <v>1742</v>
      </c>
      <c r="B1220" s="10"/>
      <c r="C1220" s="10"/>
      <c r="D1220" s="11"/>
      <c r="E1220" s="10"/>
      <c r="F1220" s="10"/>
      <c r="G1220" s="12"/>
      <c r="H1220" s="6"/>
      <c r="I1220" s="6"/>
      <c r="J1220" s="6"/>
      <c r="K1220" s="6"/>
      <c r="L1220" s="6"/>
      <c r="M1220" s="6"/>
      <c r="N1220" s="6"/>
      <c r="O1220" s="6"/>
      <c r="P1220" s="6"/>
      <c r="Q1220" s="6"/>
      <c r="R1220" s="6"/>
      <c r="S1220" s="6"/>
      <c r="T1220" s="6"/>
      <c r="U1220" s="6"/>
      <c r="V1220" s="6"/>
      <c r="W1220" s="6"/>
      <c r="X1220" s="6"/>
      <c r="Y1220" s="6"/>
      <c r="Z1220" s="6"/>
    </row>
    <row r="1221" ht="12.75" customHeight="1">
      <c r="A1221" s="10" t="s">
        <v>1742</v>
      </c>
      <c r="B1221" s="10"/>
      <c r="C1221" s="10"/>
      <c r="D1221" s="11"/>
      <c r="E1221" s="10"/>
      <c r="F1221" s="10"/>
      <c r="G1221" s="12"/>
      <c r="H1221" s="6"/>
      <c r="I1221" s="6"/>
      <c r="J1221" s="6"/>
      <c r="K1221" s="6"/>
      <c r="L1221" s="6"/>
      <c r="M1221" s="6"/>
      <c r="N1221" s="6"/>
      <c r="O1221" s="6"/>
      <c r="P1221" s="6"/>
      <c r="Q1221" s="6"/>
      <c r="R1221" s="6"/>
      <c r="S1221" s="6"/>
      <c r="T1221" s="6"/>
      <c r="U1221" s="6"/>
      <c r="V1221" s="6"/>
      <c r="W1221" s="6"/>
      <c r="X1221" s="6"/>
      <c r="Y1221" s="6"/>
      <c r="Z1221" s="6"/>
    </row>
    <row r="1222" ht="12.75" customHeight="1">
      <c r="A1222" s="10" t="s">
        <v>1742</v>
      </c>
      <c r="B1222" s="10"/>
      <c r="C1222" s="10"/>
      <c r="D1222" s="11"/>
      <c r="E1222" s="10"/>
      <c r="F1222" s="10"/>
      <c r="G1222" s="12"/>
      <c r="H1222" s="6"/>
      <c r="I1222" s="6"/>
      <c r="J1222" s="6"/>
      <c r="K1222" s="6"/>
      <c r="L1222" s="6"/>
      <c r="M1222" s="6"/>
      <c r="N1222" s="6"/>
      <c r="O1222" s="6"/>
      <c r="P1222" s="6"/>
      <c r="Q1222" s="6"/>
      <c r="R1222" s="6"/>
      <c r="S1222" s="6"/>
      <c r="T1222" s="6"/>
      <c r="U1222" s="6"/>
      <c r="V1222" s="6"/>
      <c r="W1222" s="6"/>
      <c r="X1222" s="6"/>
      <c r="Y1222" s="6"/>
      <c r="Z1222" s="6"/>
    </row>
    <row r="1223" ht="12.75" customHeight="1">
      <c r="A1223" s="10" t="s">
        <v>1742</v>
      </c>
      <c r="B1223" s="10"/>
      <c r="C1223" s="10"/>
      <c r="D1223" s="11"/>
      <c r="E1223" s="10"/>
      <c r="F1223" s="10"/>
      <c r="G1223" s="12"/>
      <c r="H1223" s="6"/>
      <c r="I1223" s="6"/>
      <c r="J1223" s="6"/>
      <c r="K1223" s="6"/>
      <c r="L1223" s="6"/>
      <c r="M1223" s="6"/>
      <c r="N1223" s="6"/>
      <c r="O1223" s="6"/>
      <c r="P1223" s="6"/>
      <c r="Q1223" s="6"/>
      <c r="R1223" s="6"/>
      <c r="S1223" s="6"/>
      <c r="T1223" s="6"/>
      <c r="U1223" s="6"/>
      <c r="V1223" s="6"/>
      <c r="W1223" s="6"/>
      <c r="X1223" s="6"/>
      <c r="Y1223" s="6"/>
      <c r="Z1223" s="6"/>
    </row>
    <row r="1224" ht="12.75" customHeight="1">
      <c r="A1224" s="10" t="s">
        <v>1742</v>
      </c>
      <c r="B1224" s="10"/>
      <c r="C1224" s="10"/>
      <c r="D1224" s="11"/>
      <c r="E1224" s="10"/>
      <c r="F1224" s="10"/>
      <c r="G1224" s="12"/>
      <c r="H1224" s="6"/>
      <c r="I1224" s="6"/>
      <c r="J1224" s="6"/>
      <c r="K1224" s="6"/>
      <c r="L1224" s="6"/>
      <c r="M1224" s="6"/>
      <c r="N1224" s="6"/>
      <c r="O1224" s="6"/>
      <c r="P1224" s="6"/>
      <c r="Q1224" s="6"/>
      <c r="R1224" s="6"/>
      <c r="S1224" s="6"/>
      <c r="T1224" s="6"/>
      <c r="U1224" s="6"/>
      <c r="V1224" s="6"/>
      <c r="W1224" s="6"/>
      <c r="X1224" s="6"/>
      <c r="Y1224" s="6"/>
      <c r="Z1224" s="6"/>
    </row>
    <row r="1225" ht="12.75" customHeight="1">
      <c r="A1225" s="10" t="s">
        <v>1742</v>
      </c>
      <c r="B1225" s="10"/>
      <c r="C1225" s="10"/>
      <c r="D1225" s="11"/>
      <c r="E1225" s="10"/>
      <c r="F1225" s="10"/>
      <c r="G1225" s="12"/>
      <c r="H1225" s="6"/>
      <c r="I1225" s="6"/>
      <c r="J1225" s="6"/>
      <c r="K1225" s="6"/>
      <c r="L1225" s="6"/>
      <c r="M1225" s="6"/>
      <c r="N1225" s="6"/>
      <c r="O1225" s="6"/>
      <c r="P1225" s="6"/>
      <c r="Q1225" s="6"/>
      <c r="R1225" s="6"/>
      <c r="S1225" s="6"/>
      <c r="T1225" s="6"/>
      <c r="U1225" s="6"/>
      <c r="V1225" s="6"/>
      <c r="W1225" s="6"/>
      <c r="X1225" s="6"/>
      <c r="Y1225" s="6"/>
      <c r="Z1225" s="6"/>
    </row>
    <row r="1226" ht="12.75" customHeight="1">
      <c r="A1226" s="10" t="s">
        <v>1742</v>
      </c>
      <c r="B1226" s="10"/>
      <c r="C1226" s="10"/>
      <c r="D1226" s="11"/>
      <c r="E1226" s="10"/>
      <c r="F1226" s="10"/>
      <c r="G1226" s="12"/>
      <c r="H1226" s="6"/>
      <c r="I1226" s="6"/>
      <c r="J1226" s="6"/>
      <c r="K1226" s="6"/>
      <c r="L1226" s="6"/>
      <c r="M1226" s="6"/>
      <c r="N1226" s="6"/>
      <c r="O1226" s="6"/>
      <c r="P1226" s="6"/>
      <c r="Q1226" s="6"/>
      <c r="R1226" s="6"/>
      <c r="S1226" s="6"/>
      <c r="T1226" s="6"/>
      <c r="U1226" s="6"/>
      <c r="V1226" s="6"/>
      <c r="W1226" s="6"/>
      <c r="X1226" s="6"/>
      <c r="Y1226" s="6"/>
      <c r="Z1226" s="6"/>
    </row>
    <row r="1227" ht="12.75" customHeight="1">
      <c r="A1227" s="10" t="s">
        <v>1742</v>
      </c>
      <c r="B1227" s="10"/>
      <c r="C1227" s="10"/>
      <c r="D1227" s="11"/>
      <c r="E1227" s="10"/>
      <c r="F1227" s="10"/>
      <c r="G1227" s="12"/>
      <c r="H1227" s="6"/>
      <c r="I1227" s="6"/>
      <c r="J1227" s="6"/>
      <c r="K1227" s="6"/>
      <c r="L1227" s="6"/>
      <c r="M1227" s="6"/>
      <c r="N1227" s="6"/>
      <c r="O1227" s="6"/>
      <c r="P1227" s="6"/>
      <c r="Q1227" s="6"/>
      <c r="R1227" s="6"/>
      <c r="S1227" s="6"/>
      <c r="T1227" s="6"/>
      <c r="U1227" s="6"/>
      <c r="V1227" s="6"/>
      <c r="W1227" s="6"/>
      <c r="X1227" s="6"/>
      <c r="Y1227" s="6"/>
      <c r="Z1227" s="6"/>
    </row>
    <row r="1228" ht="12.75" customHeight="1">
      <c r="A1228" s="10" t="s">
        <v>1742</v>
      </c>
      <c r="B1228" s="10"/>
      <c r="C1228" s="10"/>
      <c r="D1228" s="11"/>
      <c r="E1228" s="10"/>
      <c r="F1228" s="10"/>
      <c r="G1228" s="12"/>
      <c r="H1228" s="6"/>
      <c r="I1228" s="6"/>
      <c r="J1228" s="6"/>
      <c r="K1228" s="6"/>
      <c r="L1228" s="6"/>
      <c r="M1228" s="6"/>
      <c r="N1228" s="6"/>
      <c r="O1228" s="6"/>
      <c r="P1228" s="6"/>
      <c r="Q1228" s="6"/>
      <c r="R1228" s="6"/>
      <c r="S1228" s="6"/>
      <c r="T1228" s="6"/>
      <c r="U1228" s="6"/>
      <c r="V1228" s="6"/>
      <c r="W1228" s="6"/>
      <c r="X1228" s="6"/>
      <c r="Y1228" s="6"/>
      <c r="Z1228" s="6"/>
    </row>
    <row r="1229" ht="12.75" customHeight="1">
      <c r="A1229" s="10" t="s">
        <v>1742</v>
      </c>
      <c r="B1229" s="10"/>
      <c r="C1229" s="10"/>
      <c r="D1229" s="11"/>
      <c r="E1229" s="10"/>
      <c r="F1229" s="10"/>
      <c r="G1229" s="12"/>
      <c r="H1229" s="6"/>
      <c r="I1229" s="6"/>
      <c r="J1229" s="6"/>
      <c r="K1229" s="6"/>
      <c r="L1229" s="6"/>
      <c r="M1229" s="6"/>
      <c r="N1229" s="6"/>
      <c r="O1229" s="6"/>
      <c r="P1229" s="6"/>
      <c r="Q1229" s="6"/>
      <c r="R1229" s="6"/>
      <c r="S1229" s="6"/>
      <c r="T1229" s="6"/>
      <c r="U1229" s="6"/>
      <c r="V1229" s="6"/>
      <c r="W1229" s="6"/>
      <c r="X1229" s="6"/>
      <c r="Y1229" s="6"/>
      <c r="Z1229" s="6"/>
    </row>
    <row r="1230" ht="12.75" customHeight="1">
      <c r="A1230" s="10" t="s">
        <v>1742</v>
      </c>
      <c r="B1230" s="10"/>
      <c r="C1230" s="10"/>
      <c r="D1230" s="11"/>
      <c r="E1230" s="10"/>
      <c r="F1230" s="10"/>
      <c r="G1230" s="12"/>
      <c r="H1230" s="6"/>
      <c r="I1230" s="6"/>
      <c r="J1230" s="6"/>
      <c r="K1230" s="6"/>
      <c r="L1230" s="6"/>
      <c r="M1230" s="6"/>
      <c r="N1230" s="6"/>
      <c r="O1230" s="6"/>
      <c r="P1230" s="6"/>
      <c r="Q1230" s="6"/>
      <c r="R1230" s="6"/>
      <c r="S1230" s="6"/>
      <c r="T1230" s="6"/>
      <c r="U1230" s="6"/>
      <c r="V1230" s="6"/>
      <c r="W1230" s="6"/>
      <c r="X1230" s="6"/>
      <c r="Y1230" s="6"/>
      <c r="Z1230" s="6"/>
    </row>
    <row r="1231" ht="12.75" customHeight="1">
      <c r="A1231" s="10" t="s">
        <v>1742</v>
      </c>
      <c r="B1231" s="10"/>
      <c r="C1231" s="10"/>
      <c r="D1231" s="11"/>
      <c r="E1231" s="10"/>
      <c r="F1231" s="10"/>
      <c r="G1231" s="12"/>
      <c r="H1231" s="6"/>
      <c r="I1231" s="6"/>
      <c r="J1231" s="6"/>
      <c r="K1231" s="6"/>
      <c r="L1231" s="6"/>
      <c r="M1231" s="6"/>
      <c r="N1231" s="6"/>
      <c r="O1231" s="6"/>
      <c r="P1231" s="6"/>
      <c r="Q1231" s="6"/>
      <c r="R1231" s="6"/>
      <c r="S1231" s="6"/>
      <c r="T1231" s="6"/>
      <c r="U1231" s="6"/>
      <c r="V1231" s="6"/>
      <c r="W1231" s="6"/>
      <c r="X1231" s="6"/>
      <c r="Y1231" s="6"/>
      <c r="Z1231" s="6"/>
    </row>
    <row r="1232" ht="12.75" customHeight="1">
      <c r="A1232" s="10" t="s">
        <v>1742</v>
      </c>
      <c r="B1232" s="10"/>
      <c r="C1232" s="10"/>
      <c r="D1232" s="11"/>
      <c r="E1232" s="10"/>
      <c r="F1232" s="10"/>
      <c r="G1232" s="12"/>
      <c r="H1232" s="6"/>
      <c r="I1232" s="6"/>
      <c r="J1232" s="6"/>
      <c r="K1232" s="6"/>
      <c r="L1232" s="6"/>
      <c r="M1232" s="6"/>
      <c r="N1232" s="6"/>
      <c r="O1232" s="6"/>
      <c r="P1232" s="6"/>
      <c r="Q1232" s="6"/>
      <c r="R1232" s="6"/>
      <c r="S1232" s="6"/>
      <c r="T1232" s="6"/>
      <c r="U1232" s="6"/>
      <c r="V1232" s="6"/>
      <c r="W1232" s="6"/>
      <c r="X1232" s="6"/>
      <c r="Y1232" s="6"/>
      <c r="Z1232" s="6"/>
    </row>
    <row r="1233" ht="12.75" customHeight="1">
      <c r="A1233" s="10" t="s">
        <v>1742</v>
      </c>
      <c r="B1233" s="10"/>
      <c r="C1233" s="10"/>
      <c r="D1233" s="11"/>
      <c r="E1233" s="10"/>
      <c r="F1233" s="10"/>
      <c r="G1233" s="12"/>
      <c r="H1233" s="6"/>
      <c r="I1233" s="6"/>
      <c r="J1233" s="6"/>
      <c r="K1233" s="6"/>
      <c r="L1233" s="6"/>
      <c r="M1233" s="6"/>
      <c r="N1233" s="6"/>
      <c r="O1233" s="6"/>
      <c r="P1233" s="6"/>
      <c r="Q1233" s="6"/>
      <c r="R1233" s="6"/>
      <c r="S1233" s="6"/>
      <c r="T1233" s="6"/>
      <c r="U1233" s="6"/>
      <c r="V1233" s="6"/>
      <c r="W1233" s="6"/>
      <c r="X1233" s="6"/>
      <c r="Y1233" s="6"/>
      <c r="Z1233" s="6"/>
    </row>
    <row r="1234" ht="12.75" customHeight="1">
      <c r="A1234" s="10" t="s">
        <v>1742</v>
      </c>
      <c r="B1234" s="10"/>
      <c r="C1234" s="10"/>
      <c r="D1234" s="11"/>
      <c r="E1234" s="10"/>
      <c r="F1234" s="10"/>
      <c r="G1234" s="12"/>
      <c r="H1234" s="6"/>
      <c r="I1234" s="6"/>
      <c r="J1234" s="6"/>
      <c r="K1234" s="6"/>
      <c r="L1234" s="6"/>
      <c r="M1234" s="6"/>
      <c r="N1234" s="6"/>
      <c r="O1234" s="6"/>
      <c r="P1234" s="6"/>
      <c r="Q1234" s="6"/>
      <c r="R1234" s="6"/>
      <c r="S1234" s="6"/>
      <c r="T1234" s="6"/>
      <c r="U1234" s="6"/>
      <c r="V1234" s="6"/>
      <c r="W1234" s="6"/>
      <c r="X1234" s="6"/>
      <c r="Y1234" s="6"/>
      <c r="Z1234" s="6"/>
    </row>
    <row r="1235" ht="12.75" customHeight="1">
      <c r="A1235" s="10" t="s">
        <v>1742</v>
      </c>
      <c r="B1235" s="10"/>
      <c r="C1235" s="10"/>
      <c r="D1235" s="11"/>
      <c r="E1235" s="10"/>
      <c r="F1235" s="10"/>
      <c r="G1235" s="12"/>
      <c r="H1235" s="6"/>
      <c r="I1235" s="6"/>
      <c r="J1235" s="6"/>
      <c r="K1235" s="6"/>
      <c r="L1235" s="6"/>
      <c r="M1235" s="6"/>
      <c r="N1235" s="6"/>
      <c r="O1235" s="6"/>
      <c r="P1235" s="6"/>
      <c r="Q1235" s="6"/>
      <c r="R1235" s="6"/>
      <c r="S1235" s="6"/>
      <c r="T1235" s="6"/>
      <c r="U1235" s="6"/>
      <c r="V1235" s="6"/>
      <c r="W1235" s="6"/>
      <c r="X1235" s="6"/>
      <c r="Y1235" s="6"/>
      <c r="Z1235" s="6"/>
    </row>
    <row r="1236" ht="12.75" customHeight="1">
      <c r="A1236" s="10" t="s">
        <v>1742</v>
      </c>
      <c r="B1236" s="10"/>
      <c r="C1236" s="10"/>
      <c r="D1236" s="11"/>
      <c r="E1236" s="10"/>
      <c r="F1236" s="10"/>
      <c r="G1236" s="12"/>
      <c r="H1236" s="6"/>
      <c r="I1236" s="6"/>
      <c r="J1236" s="6"/>
      <c r="K1236" s="6"/>
      <c r="L1236" s="6"/>
      <c r="M1236" s="6"/>
      <c r="N1236" s="6"/>
      <c r="O1236" s="6"/>
      <c r="P1236" s="6"/>
      <c r="Q1236" s="6"/>
      <c r="R1236" s="6"/>
      <c r="S1236" s="6"/>
      <c r="T1236" s="6"/>
      <c r="U1236" s="6"/>
      <c r="V1236" s="6"/>
      <c r="W1236" s="6"/>
      <c r="X1236" s="6"/>
      <c r="Y1236" s="6"/>
      <c r="Z1236" s="6"/>
    </row>
    <row r="1237" ht="12.75" customHeight="1">
      <c r="A1237" s="10" t="s">
        <v>1742</v>
      </c>
      <c r="B1237" s="10"/>
      <c r="C1237" s="10"/>
      <c r="D1237" s="11"/>
      <c r="E1237" s="10"/>
      <c r="F1237" s="10"/>
      <c r="G1237" s="12"/>
      <c r="H1237" s="6"/>
      <c r="I1237" s="6"/>
      <c r="J1237" s="6"/>
      <c r="K1237" s="6"/>
      <c r="L1237" s="6"/>
      <c r="M1237" s="6"/>
      <c r="N1237" s="6"/>
      <c r="O1237" s="6"/>
      <c r="P1237" s="6"/>
      <c r="Q1237" s="6"/>
      <c r="R1237" s="6"/>
      <c r="S1237" s="6"/>
      <c r="T1237" s="6"/>
      <c r="U1237" s="6"/>
      <c r="V1237" s="6"/>
      <c r="W1237" s="6"/>
      <c r="X1237" s="6"/>
      <c r="Y1237" s="6"/>
      <c r="Z1237" s="6"/>
    </row>
    <row r="1238" ht="12.75" customHeight="1">
      <c r="A1238" s="10" t="s">
        <v>1742</v>
      </c>
      <c r="B1238" s="10"/>
      <c r="C1238" s="10"/>
      <c r="D1238" s="11"/>
      <c r="E1238" s="10"/>
      <c r="F1238" s="10"/>
      <c r="G1238" s="12"/>
      <c r="H1238" s="6"/>
      <c r="I1238" s="6"/>
      <c r="J1238" s="6"/>
      <c r="K1238" s="6"/>
      <c r="L1238" s="6"/>
      <c r="M1238" s="6"/>
      <c r="N1238" s="6"/>
      <c r="O1238" s="6"/>
      <c r="P1238" s="6"/>
      <c r="Q1238" s="6"/>
      <c r="R1238" s="6"/>
      <c r="S1238" s="6"/>
      <c r="T1238" s="6"/>
      <c r="U1238" s="6"/>
      <c r="V1238" s="6"/>
      <c r="W1238" s="6"/>
      <c r="X1238" s="6"/>
      <c r="Y1238" s="6"/>
      <c r="Z1238" s="6"/>
    </row>
    <row r="1239" ht="12.75" customHeight="1">
      <c r="A1239" s="10" t="s">
        <v>1742</v>
      </c>
      <c r="B1239" s="10"/>
      <c r="C1239" s="10"/>
      <c r="D1239" s="11"/>
      <c r="E1239" s="10"/>
      <c r="F1239" s="10"/>
      <c r="G1239" s="12"/>
      <c r="H1239" s="6"/>
      <c r="I1239" s="6"/>
      <c r="J1239" s="6"/>
      <c r="K1239" s="6"/>
      <c r="L1239" s="6"/>
      <c r="M1239" s="6"/>
      <c r="N1239" s="6"/>
      <c r="O1239" s="6"/>
      <c r="P1239" s="6"/>
      <c r="Q1239" s="6"/>
      <c r="R1239" s="6"/>
      <c r="S1239" s="6"/>
      <c r="T1239" s="6"/>
      <c r="U1239" s="6"/>
      <c r="V1239" s="6"/>
      <c r="W1239" s="6"/>
      <c r="X1239" s="6"/>
      <c r="Y1239" s="6"/>
      <c r="Z1239" s="6"/>
    </row>
    <row r="1240" ht="12.75" customHeight="1">
      <c r="A1240" s="10" t="s">
        <v>1742</v>
      </c>
      <c r="B1240" s="10"/>
      <c r="C1240" s="10"/>
      <c r="D1240" s="11"/>
      <c r="E1240" s="10"/>
      <c r="F1240" s="10"/>
      <c r="G1240" s="12"/>
      <c r="H1240" s="6"/>
      <c r="I1240" s="6"/>
      <c r="J1240" s="6"/>
      <c r="K1240" s="6"/>
      <c r="L1240" s="6"/>
      <c r="M1240" s="6"/>
      <c r="N1240" s="6"/>
      <c r="O1240" s="6"/>
      <c r="P1240" s="6"/>
      <c r="Q1240" s="6"/>
      <c r="R1240" s="6"/>
      <c r="S1240" s="6"/>
      <c r="T1240" s="6"/>
      <c r="U1240" s="6"/>
      <c r="V1240" s="6"/>
      <c r="W1240" s="6"/>
      <c r="X1240" s="6"/>
      <c r="Y1240" s="6"/>
      <c r="Z1240" s="6"/>
    </row>
    <row r="1241" ht="12.75" customHeight="1">
      <c r="A1241" s="10" t="s">
        <v>1742</v>
      </c>
      <c r="B1241" s="10"/>
      <c r="C1241" s="10"/>
      <c r="D1241" s="11"/>
      <c r="E1241" s="10"/>
      <c r="F1241" s="10"/>
      <c r="G1241" s="12"/>
      <c r="H1241" s="6"/>
      <c r="I1241" s="6"/>
      <c r="J1241" s="6"/>
      <c r="K1241" s="6"/>
      <c r="L1241" s="6"/>
      <c r="M1241" s="6"/>
      <c r="N1241" s="6"/>
      <c r="O1241" s="6"/>
      <c r="P1241" s="6"/>
      <c r="Q1241" s="6"/>
      <c r="R1241" s="6"/>
      <c r="S1241" s="6"/>
      <c r="T1241" s="6"/>
      <c r="U1241" s="6"/>
      <c r="V1241" s="6"/>
      <c r="W1241" s="6"/>
      <c r="X1241" s="6"/>
      <c r="Y1241" s="6"/>
      <c r="Z1241" s="6"/>
    </row>
    <row r="1242" ht="12.75" customHeight="1">
      <c r="A1242" s="10" t="s">
        <v>1742</v>
      </c>
      <c r="B1242" s="10"/>
      <c r="C1242" s="10"/>
      <c r="D1242" s="11"/>
      <c r="E1242" s="10"/>
      <c r="F1242" s="10"/>
      <c r="G1242" s="12"/>
      <c r="H1242" s="6"/>
      <c r="I1242" s="6"/>
      <c r="J1242" s="6"/>
      <c r="K1242" s="6"/>
      <c r="L1242" s="6"/>
      <c r="M1242" s="6"/>
      <c r="N1242" s="6"/>
      <c r="O1242" s="6"/>
      <c r="P1242" s="6"/>
      <c r="Q1242" s="6"/>
      <c r="R1242" s="6"/>
      <c r="S1242" s="6"/>
      <c r="T1242" s="6"/>
      <c r="U1242" s="6"/>
      <c r="V1242" s="6"/>
      <c r="W1242" s="6"/>
      <c r="X1242" s="6"/>
      <c r="Y1242" s="6"/>
      <c r="Z1242" s="6"/>
    </row>
    <row r="1243" ht="12.75" customHeight="1">
      <c r="A1243" s="10" t="s">
        <v>1742</v>
      </c>
      <c r="B1243" s="10"/>
      <c r="C1243" s="10"/>
      <c r="D1243" s="11"/>
      <c r="E1243" s="10"/>
      <c r="F1243" s="10"/>
      <c r="G1243" s="12"/>
      <c r="H1243" s="6"/>
      <c r="I1243" s="6"/>
      <c r="J1243" s="6"/>
      <c r="K1243" s="6"/>
      <c r="L1243" s="6"/>
      <c r="M1243" s="6"/>
      <c r="N1243" s="6"/>
      <c r="O1243" s="6"/>
      <c r="P1243" s="6"/>
      <c r="Q1243" s="6"/>
      <c r="R1243" s="6"/>
      <c r="S1243" s="6"/>
      <c r="T1243" s="6"/>
      <c r="U1243" s="6"/>
      <c r="V1243" s="6"/>
      <c r="W1243" s="6"/>
      <c r="X1243" s="6"/>
      <c r="Y1243" s="6"/>
      <c r="Z1243" s="6"/>
    </row>
    <row r="1244" ht="12.75" customHeight="1">
      <c r="A1244" s="10" t="s">
        <v>1742</v>
      </c>
      <c r="B1244" s="10"/>
      <c r="C1244" s="10"/>
      <c r="D1244" s="11"/>
      <c r="E1244" s="10"/>
      <c r="F1244" s="10"/>
      <c r="G1244" s="12"/>
      <c r="H1244" s="6"/>
      <c r="I1244" s="6"/>
      <c r="J1244" s="6"/>
      <c r="K1244" s="6"/>
      <c r="L1244" s="6"/>
      <c r="M1244" s="6"/>
      <c r="N1244" s="6"/>
      <c r="O1244" s="6"/>
      <c r="P1244" s="6"/>
      <c r="Q1244" s="6"/>
      <c r="R1244" s="6"/>
      <c r="S1244" s="6"/>
      <c r="T1244" s="6"/>
      <c r="U1244" s="6"/>
      <c r="V1244" s="6"/>
      <c r="W1244" s="6"/>
      <c r="X1244" s="6"/>
      <c r="Y1244" s="6"/>
      <c r="Z1244" s="6"/>
    </row>
    <row r="1245" ht="12.75" customHeight="1">
      <c r="A1245" s="10" t="s">
        <v>1742</v>
      </c>
      <c r="B1245" s="10"/>
      <c r="C1245" s="10"/>
      <c r="D1245" s="11"/>
      <c r="E1245" s="10"/>
      <c r="F1245" s="10"/>
      <c r="G1245" s="12"/>
      <c r="H1245" s="6"/>
      <c r="I1245" s="6"/>
      <c r="J1245" s="6"/>
      <c r="K1245" s="6"/>
      <c r="L1245" s="6"/>
      <c r="M1245" s="6"/>
      <c r="N1245" s="6"/>
      <c r="O1245" s="6"/>
      <c r="P1245" s="6"/>
      <c r="Q1245" s="6"/>
      <c r="R1245" s="6"/>
      <c r="S1245" s="6"/>
      <c r="T1245" s="6"/>
      <c r="U1245" s="6"/>
      <c r="V1245" s="6"/>
      <c r="W1245" s="6"/>
      <c r="X1245" s="6"/>
      <c r="Y1245" s="6"/>
      <c r="Z1245" s="6"/>
    </row>
    <row r="1246" ht="12.75" customHeight="1">
      <c r="A1246" s="10" t="s">
        <v>1742</v>
      </c>
      <c r="B1246" s="10"/>
      <c r="C1246" s="10"/>
      <c r="D1246" s="11"/>
      <c r="E1246" s="10"/>
      <c r="F1246" s="10"/>
      <c r="G1246" s="12"/>
      <c r="H1246" s="6"/>
      <c r="I1246" s="6"/>
      <c r="J1246" s="6"/>
      <c r="K1246" s="6"/>
      <c r="L1246" s="6"/>
      <c r="M1246" s="6"/>
      <c r="N1246" s="6"/>
      <c r="O1246" s="6"/>
      <c r="P1246" s="6"/>
      <c r="Q1246" s="6"/>
      <c r="R1246" s="6"/>
      <c r="S1246" s="6"/>
      <c r="T1246" s="6"/>
      <c r="U1246" s="6"/>
      <c r="V1246" s="6"/>
      <c r="W1246" s="6"/>
      <c r="X1246" s="6"/>
      <c r="Y1246" s="6"/>
      <c r="Z1246" s="6"/>
    </row>
    <row r="1247" ht="12.75" customHeight="1">
      <c r="A1247" s="10" t="s">
        <v>1742</v>
      </c>
      <c r="B1247" s="10"/>
      <c r="C1247" s="10"/>
      <c r="D1247" s="11"/>
      <c r="E1247" s="10"/>
      <c r="F1247" s="10"/>
      <c r="G1247" s="12"/>
      <c r="H1247" s="6"/>
      <c r="I1247" s="6"/>
      <c r="J1247" s="6"/>
      <c r="K1247" s="6"/>
      <c r="L1247" s="6"/>
      <c r="M1247" s="6"/>
      <c r="N1247" s="6"/>
      <c r="O1247" s="6"/>
      <c r="P1247" s="6"/>
      <c r="Q1247" s="6"/>
      <c r="R1247" s="6"/>
      <c r="S1247" s="6"/>
      <c r="T1247" s="6"/>
      <c r="U1247" s="6"/>
      <c r="V1247" s="6"/>
      <c r="W1247" s="6"/>
      <c r="X1247" s="6"/>
      <c r="Y1247" s="6"/>
      <c r="Z1247" s="6"/>
    </row>
    <row r="1248" ht="12.75" customHeight="1">
      <c r="A1248" s="10" t="s">
        <v>1742</v>
      </c>
      <c r="B1248" s="10"/>
      <c r="C1248" s="10"/>
      <c r="D1248" s="11"/>
      <c r="E1248" s="10"/>
      <c r="F1248" s="10"/>
      <c r="G1248" s="12"/>
      <c r="H1248" s="6"/>
      <c r="I1248" s="6"/>
      <c r="J1248" s="6"/>
      <c r="K1248" s="6"/>
      <c r="L1248" s="6"/>
      <c r="M1248" s="6"/>
      <c r="N1248" s="6"/>
      <c r="O1248" s="6"/>
      <c r="P1248" s="6"/>
      <c r="Q1248" s="6"/>
      <c r="R1248" s="6"/>
      <c r="S1248" s="6"/>
      <c r="T1248" s="6"/>
      <c r="U1248" s="6"/>
      <c r="V1248" s="6"/>
      <c r="W1248" s="6"/>
      <c r="X1248" s="6"/>
      <c r="Y1248" s="6"/>
      <c r="Z1248" s="6"/>
    </row>
    <row r="1249" ht="12.75" customHeight="1">
      <c r="A1249" s="10" t="s">
        <v>1742</v>
      </c>
      <c r="B1249" s="10"/>
      <c r="C1249" s="10"/>
      <c r="D1249" s="11"/>
      <c r="E1249" s="10"/>
      <c r="F1249" s="10"/>
      <c r="G1249" s="12"/>
      <c r="H1249" s="6"/>
      <c r="I1249" s="6"/>
      <c r="J1249" s="6"/>
      <c r="K1249" s="6"/>
      <c r="L1249" s="6"/>
      <c r="M1249" s="6"/>
      <c r="N1249" s="6"/>
      <c r="O1249" s="6"/>
      <c r="P1249" s="6"/>
      <c r="Q1249" s="6"/>
      <c r="R1249" s="6"/>
      <c r="S1249" s="6"/>
      <c r="T1249" s="6"/>
      <c r="U1249" s="6"/>
      <c r="V1249" s="6"/>
      <c r="W1249" s="6"/>
      <c r="X1249" s="6"/>
      <c r="Y1249" s="6"/>
      <c r="Z1249" s="6"/>
    </row>
    <row r="1250" ht="12.75" customHeight="1">
      <c r="A1250" s="10" t="s">
        <v>1742</v>
      </c>
      <c r="B1250" s="10"/>
      <c r="C1250" s="10"/>
      <c r="D1250" s="11"/>
      <c r="E1250" s="10"/>
      <c r="F1250" s="10"/>
      <c r="G1250" s="12"/>
      <c r="H1250" s="6"/>
      <c r="I1250" s="6"/>
      <c r="J1250" s="6"/>
      <c r="K1250" s="6"/>
      <c r="L1250" s="6"/>
      <c r="M1250" s="6"/>
      <c r="N1250" s="6"/>
      <c r="O1250" s="6"/>
      <c r="P1250" s="6"/>
      <c r="Q1250" s="6"/>
      <c r="R1250" s="6"/>
      <c r="S1250" s="6"/>
      <c r="T1250" s="6"/>
      <c r="U1250" s="6"/>
      <c r="V1250" s="6"/>
      <c r="W1250" s="6"/>
      <c r="X1250" s="6"/>
      <c r="Y1250" s="6"/>
      <c r="Z1250" s="6"/>
    </row>
    <row r="1251" ht="12.75" customHeight="1">
      <c r="A1251" s="10" t="s">
        <v>1742</v>
      </c>
      <c r="B1251" s="10"/>
      <c r="C1251" s="10"/>
      <c r="D1251" s="11"/>
      <c r="E1251" s="10"/>
      <c r="F1251" s="10"/>
      <c r="G1251" s="12"/>
      <c r="H1251" s="6"/>
      <c r="I1251" s="6"/>
      <c r="J1251" s="6"/>
      <c r="K1251" s="6"/>
      <c r="L1251" s="6"/>
      <c r="M1251" s="6"/>
      <c r="N1251" s="6"/>
      <c r="O1251" s="6"/>
      <c r="P1251" s="6"/>
      <c r="Q1251" s="6"/>
      <c r="R1251" s="6"/>
      <c r="S1251" s="6"/>
      <c r="T1251" s="6"/>
      <c r="U1251" s="6"/>
      <c r="V1251" s="6"/>
      <c r="W1251" s="6"/>
      <c r="X1251" s="6"/>
      <c r="Y1251" s="6"/>
      <c r="Z1251" s="6"/>
    </row>
    <row r="1252" ht="12.75" customHeight="1">
      <c r="A1252" s="10" t="s">
        <v>1742</v>
      </c>
      <c r="B1252" s="10"/>
      <c r="C1252" s="10"/>
      <c r="D1252" s="11"/>
      <c r="E1252" s="10"/>
      <c r="F1252" s="10"/>
      <c r="G1252" s="12"/>
      <c r="H1252" s="6"/>
      <c r="I1252" s="6"/>
      <c r="J1252" s="6"/>
      <c r="K1252" s="6"/>
      <c r="L1252" s="6"/>
      <c r="M1252" s="6"/>
      <c r="N1252" s="6"/>
      <c r="O1252" s="6"/>
      <c r="P1252" s="6"/>
      <c r="Q1252" s="6"/>
      <c r="R1252" s="6"/>
      <c r="S1252" s="6"/>
      <c r="T1252" s="6"/>
      <c r="U1252" s="6"/>
      <c r="V1252" s="6"/>
      <c r="W1252" s="6"/>
      <c r="X1252" s="6"/>
      <c r="Y1252" s="6"/>
      <c r="Z1252" s="6"/>
    </row>
    <row r="1253" ht="12.75" customHeight="1">
      <c r="A1253" s="10" t="s">
        <v>1742</v>
      </c>
      <c r="B1253" s="10"/>
      <c r="C1253" s="10"/>
      <c r="D1253" s="11"/>
      <c r="E1253" s="10"/>
      <c r="F1253" s="10"/>
      <c r="G1253" s="12"/>
      <c r="H1253" s="6"/>
      <c r="I1253" s="6"/>
      <c r="J1253" s="6"/>
      <c r="K1253" s="6"/>
      <c r="L1253" s="6"/>
      <c r="M1253" s="6"/>
      <c r="N1253" s="6"/>
      <c r="O1253" s="6"/>
      <c r="P1253" s="6"/>
      <c r="Q1253" s="6"/>
      <c r="R1253" s="6"/>
      <c r="S1253" s="6"/>
      <c r="T1253" s="6"/>
      <c r="U1253" s="6"/>
      <c r="V1253" s="6"/>
      <c r="W1253" s="6"/>
      <c r="X1253" s="6"/>
      <c r="Y1253" s="6"/>
      <c r="Z1253" s="6"/>
    </row>
    <row r="1254" ht="12.75" customHeight="1">
      <c r="A1254" s="10" t="s">
        <v>1742</v>
      </c>
      <c r="B1254" s="10"/>
      <c r="C1254" s="10"/>
      <c r="D1254" s="11"/>
      <c r="E1254" s="10"/>
      <c r="F1254" s="10"/>
      <c r="G1254" s="12"/>
      <c r="H1254" s="6"/>
      <c r="I1254" s="6"/>
      <c r="J1254" s="6"/>
      <c r="K1254" s="6"/>
      <c r="L1254" s="6"/>
      <c r="M1254" s="6"/>
      <c r="N1254" s="6"/>
      <c r="O1254" s="6"/>
      <c r="P1254" s="6"/>
      <c r="Q1254" s="6"/>
      <c r="R1254" s="6"/>
      <c r="S1254" s="6"/>
      <c r="T1254" s="6"/>
      <c r="U1254" s="6"/>
      <c r="V1254" s="6"/>
      <c r="W1254" s="6"/>
      <c r="X1254" s="6"/>
      <c r="Y1254" s="6"/>
      <c r="Z1254" s="6"/>
    </row>
    <row r="1255" ht="12.75" customHeight="1">
      <c r="A1255" s="10" t="s">
        <v>1742</v>
      </c>
      <c r="B1255" s="10"/>
      <c r="C1255" s="10"/>
      <c r="D1255" s="11"/>
      <c r="E1255" s="10"/>
      <c r="F1255" s="10"/>
      <c r="G1255" s="12"/>
      <c r="H1255" s="6"/>
      <c r="I1255" s="6"/>
      <c r="J1255" s="6"/>
      <c r="K1255" s="6"/>
      <c r="L1255" s="6"/>
      <c r="M1255" s="6"/>
      <c r="N1255" s="6"/>
      <c r="O1255" s="6"/>
      <c r="P1255" s="6"/>
      <c r="Q1255" s="6"/>
      <c r="R1255" s="6"/>
      <c r="S1255" s="6"/>
      <c r="T1255" s="6"/>
      <c r="U1255" s="6"/>
      <c r="V1255" s="6"/>
      <c r="W1255" s="6"/>
      <c r="X1255" s="6"/>
      <c r="Y1255" s="6"/>
      <c r="Z1255" s="6"/>
    </row>
    <row r="1256" ht="12.75" customHeight="1">
      <c r="A1256" s="10" t="s">
        <v>1742</v>
      </c>
      <c r="B1256" s="10"/>
      <c r="C1256" s="10"/>
      <c r="D1256" s="11"/>
      <c r="E1256" s="10"/>
      <c r="F1256" s="10"/>
      <c r="G1256" s="12"/>
      <c r="H1256" s="6"/>
      <c r="I1256" s="6"/>
      <c r="J1256" s="6"/>
      <c r="K1256" s="6"/>
      <c r="L1256" s="6"/>
      <c r="M1256" s="6"/>
      <c r="N1256" s="6"/>
      <c r="O1256" s="6"/>
      <c r="P1256" s="6"/>
      <c r="Q1256" s="6"/>
      <c r="R1256" s="6"/>
      <c r="S1256" s="6"/>
      <c r="T1256" s="6"/>
      <c r="U1256" s="6"/>
      <c r="V1256" s="6"/>
      <c r="W1256" s="6"/>
      <c r="X1256" s="6"/>
      <c r="Y1256" s="6"/>
      <c r="Z1256" s="6"/>
    </row>
    <row r="1257" ht="12.75" customHeight="1">
      <c r="A1257" s="10" t="s">
        <v>1742</v>
      </c>
      <c r="B1257" s="10"/>
      <c r="C1257" s="10"/>
      <c r="D1257" s="11"/>
      <c r="E1257" s="10"/>
      <c r="F1257" s="10"/>
      <c r="G1257" s="12"/>
      <c r="H1257" s="6"/>
      <c r="I1257" s="6"/>
      <c r="J1257" s="6"/>
      <c r="K1257" s="6"/>
      <c r="L1257" s="6"/>
      <c r="M1257" s="6"/>
      <c r="N1257" s="6"/>
      <c r="O1257" s="6"/>
      <c r="P1257" s="6"/>
      <c r="Q1257" s="6"/>
      <c r="R1257" s="6"/>
      <c r="S1257" s="6"/>
      <c r="T1257" s="6"/>
      <c r="U1257" s="6"/>
      <c r="V1257" s="6"/>
      <c r="W1257" s="6"/>
      <c r="X1257" s="6"/>
      <c r="Y1257" s="6"/>
      <c r="Z1257" s="6"/>
    </row>
    <row r="1258" ht="12.75" customHeight="1">
      <c r="A1258" s="10" t="s">
        <v>1742</v>
      </c>
      <c r="B1258" s="10"/>
      <c r="C1258" s="10"/>
      <c r="D1258" s="11"/>
      <c r="E1258" s="10"/>
      <c r="F1258" s="10"/>
      <c r="G1258" s="12"/>
      <c r="H1258" s="6"/>
      <c r="I1258" s="6"/>
      <c r="J1258" s="6"/>
      <c r="K1258" s="6"/>
      <c r="L1258" s="6"/>
      <c r="M1258" s="6"/>
      <c r="N1258" s="6"/>
      <c r="O1258" s="6"/>
      <c r="P1258" s="6"/>
      <c r="Q1258" s="6"/>
      <c r="R1258" s="6"/>
      <c r="S1258" s="6"/>
      <c r="T1258" s="6"/>
      <c r="U1258" s="6"/>
      <c r="V1258" s="6"/>
      <c r="W1258" s="6"/>
      <c r="X1258" s="6"/>
      <c r="Y1258" s="6"/>
      <c r="Z1258" s="6"/>
    </row>
    <row r="1259" ht="12.75" customHeight="1">
      <c r="A1259" s="10" t="s">
        <v>1742</v>
      </c>
      <c r="B1259" s="10"/>
      <c r="C1259" s="10"/>
      <c r="D1259" s="11"/>
      <c r="E1259" s="10"/>
      <c r="F1259" s="10"/>
      <c r="G1259" s="12"/>
      <c r="H1259" s="6"/>
      <c r="I1259" s="6"/>
      <c r="J1259" s="6"/>
      <c r="K1259" s="6"/>
      <c r="L1259" s="6"/>
      <c r="M1259" s="6"/>
      <c r="N1259" s="6"/>
      <c r="O1259" s="6"/>
      <c r="P1259" s="6"/>
      <c r="Q1259" s="6"/>
      <c r="R1259" s="6"/>
      <c r="S1259" s="6"/>
      <c r="T1259" s="6"/>
      <c r="U1259" s="6"/>
      <c r="V1259" s="6"/>
      <c r="W1259" s="6"/>
      <c r="X1259" s="6"/>
      <c r="Y1259" s="6"/>
      <c r="Z1259" s="6"/>
    </row>
    <row r="1260" ht="12.75" hidden="1" customHeight="1">
      <c r="A1260" s="102">
        <v>1039.0</v>
      </c>
      <c r="B1260" s="102">
        <v>11039.0</v>
      </c>
      <c r="C1260" s="102" t="s">
        <v>7</v>
      </c>
      <c r="D1260" s="103" t="s">
        <v>1743</v>
      </c>
      <c r="E1260" s="102" t="s">
        <v>1744</v>
      </c>
      <c r="F1260" s="102">
        <v>31.0</v>
      </c>
      <c r="G1260" s="104">
        <v>0.0</v>
      </c>
      <c r="H1260" s="6"/>
      <c r="I1260" s="6"/>
      <c r="J1260" s="6"/>
      <c r="K1260" s="6"/>
      <c r="L1260" s="6"/>
      <c r="M1260" s="6"/>
      <c r="N1260" s="6"/>
      <c r="O1260" s="6"/>
      <c r="P1260" s="6"/>
      <c r="Q1260" s="6"/>
      <c r="R1260" s="6"/>
      <c r="S1260" s="6"/>
      <c r="T1260" s="6"/>
      <c r="U1260" s="6"/>
      <c r="V1260" s="6"/>
      <c r="W1260" s="6"/>
      <c r="X1260" s="6"/>
      <c r="Y1260" s="6"/>
      <c r="Z1260" s="6"/>
    </row>
    <row r="1261" ht="12.75" hidden="1" customHeight="1">
      <c r="A1261" s="105">
        <v>1040.0</v>
      </c>
      <c r="B1261" s="105">
        <v>11040.0</v>
      </c>
      <c r="C1261" s="105" t="s">
        <v>34</v>
      </c>
      <c r="D1261" s="106" t="s">
        <v>1745</v>
      </c>
      <c r="E1261" s="105" t="s">
        <v>1746</v>
      </c>
      <c r="F1261" s="105">
        <v>186.0</v>
      </c>
      <c r="G1261" s="107">
        <v>0.0</v>
      </c>
      <c r="H1261" s="6"/>
      <c r="I1261" s="6"/>
      <c r="J1261" s="6"/>
      <c r="K1261" s="6"/>
      <c r="L1261" s="6"/>
      <c r="M1261" s="6"/>
      <c r="N1261" s="6"/>
      <c r="O1261" s="6"/>
      <c r="P1261" s="6"/>
      <c r="Q1261" s="6"/>
      <c r="R1261" s="6"/>
      <c r="S1261" s="6"/>
      <c r="T1261" s="6"/>
      <c r="U1261" s="6"/>
      <c r="V1261" s="6"/>
      <c r="W1261" s="6"/>
      <c r="X1261" s="6"/>
      <c r="Y1261" s="6"/>
      <c r="Z1261" s="6"/>
    </row>
    <row r="1262" ht="12.75" hidden="1" customHeight="1">
      <c r="A1262" s="102">
        <v>1041.0</v>
      </c>
      <c r="B1262" s="102">
        <v>11041.0</v>
      </c>
      <c r="C1262" s="102" t="s">
        <v>34</v>
      </c>
      <c r="D1262" s="103" t="s">
        <v>1747</v>
      </c>
      <c r="E1262" s="102" t="s">
        <v>1748</v>
      </c>
      <c r="F1262" s="102">
        <v>143.0</v>
      </c>
      <c r="G1262" s="104">
        <v>0.0</v>
      </c>
      <c r="H1262" s="6"/>
      <c r="I1262" s="6"/>
      <c r="J1262" s="6"/>
      <c r="K1262" s="6"/>
      <c r="L1262" s="6"/>
      <c r="M1262" s="6"/>
      <c r="N1262" s="6"/>
      <c r="O1262" s="6"/>
      <c r="P1262" s="6"/>
      <c r="Q1262" s="6"/>
      <c r="R1262" s="6"/>
      <c r="S1262" s="6"/>
      <c r="T1262" s="6"/>
      <c r="U1262" s="6"/>
      <c r="V1262" s="6"/>
      <c r="W1262" s="6"/>
      <c r="X1262" s="6"/>
      <c r="Y1262" s="6"/>
      <c r="Z1262" s="6"/>
    </row>
    <row r="1263" ht="12.75" hidden="1" customHeight="1">
      <c r="A1263" s="105">
        <v>1042.0</v>
      </c>
      <c r="B1263" s="105">
        <v>11042.0</v>
      </c>
      <c r="C1263" s="105" t="s">
        <v>7</v>
      </c>
      <c r="D1263" s="106" t="s">
        <v>1749</v>
      </c>
      <c r="E1263" s="105" t="s">
        <v>1750</v>
      </c>
      <c r="F1263" s="105">
        <v>60.0</v>
      </c>
      <c r="G1263" s="107">
        <v>0.0</v>
      </c>
      <c r="H1263" s="6"/>
      <c r="I1263" s="6"/>
      <c r="J1263" s="6"/>
      <c r="K1263" s="6"/>
      <c r="L1263" s="6"/>
      <c r="M1263" s="6"/>
      <c r="N1263" s="6"/>
      <c r="O1263" s="6"/>
      <c r="P1263" s="6"/>
      <c r="Q1263" s="6"/>
      <c r="R1263" s="6"/>
      <c r="S1263" s="6"/>
      <c r="T1263" s="6"/>
      <c r="U1263" s="6"/>
      <c r="V1263" s="6"/>
      <c r="W1263" s="6"/>
      <c r="X1263" s="6"/>
      <c r="Y1263" s="6"/>
      <c r="Z1263" s="6"/>
    </row>
    <row r="1264" ht="12.75" hidden="1" customHeight="1">
      <c r="A1264" s="102">
        <v>1043.0</v>
      </c>
      <c r="B1264" s="102">
        <v>11043.0</v>
      </c>
      <c r="C1264" s="102" t="s">
        <v>34</v>
      </c>
      <c r="D1264" s="103" t="s">
        <v>1751</v>
      </c>
      <c r="E1264" s="102" t="s">
        <v>1752</v>
      </c>
      <c r="F1264" s="102">
        <v>186.0</v>
      </c>
      <c r="G1264" s="104">
        <v>0.0</v>
      </c>
      <c r="H1264" s="6"/>
      <c r="I1264" s="6"/>
      <c r="J1264" s="6"/>
      <c r="K1264" s="6"/>
      <c r="L1264" s="6"/>
      <c r="M1264" s="6"/>
      <c r="N1264" s="6"/>
      <c r="O1264" s="6"/>
      <c r="P1264" s="6"/>
      <c r="Q1264" s="6"/>
      <c r="R1264" s="6"/>
      <c r="S1264" s="6"/>
      <c r="T1264" s="6"/>
      <c r="U1264" s="6"/>
      <c r="V1264" s="6"/>
      <c r="W1264" s="6"/>
      <c r="X1264" s="6"/>
      <c r="Y1264" s="6"/>
      <c r="Z1264" s="6"/>
    </row>
    <row r="1265" ht="12.75" hidden="1" customHeight="1">
      <c r="A1265" s="10">
        <v>1044.0</v>
      </c>
      <c r="B1265" s="10">
        <v>11044.0</v>
      </c>
      <c r="C1265" s="10" t="s">
        <v>7</v>
      </c>
      <c r="D1265" s="11" t="s">
        <v>1753</v>
      </c>
      <c r="E1265" s="10" t="s">
        <v>1754</v>
      </c>
      <c r="F1265" s="10">
        <v>109.0</v>
      </c>
      <c r="G1265" s="12">
        <v>0.0</v>
      </c>
      <c r="H1265" s="6"/>
      <c r="I1265" s="6"/>
      <c r="J1265" s="6"/>
      <c r="K1265" s="6"/>
      <c r="L1265" s="6"/>
      <c r="M1265" s="6"/>
      <c r="N1265" s="6"/>
      <c r="O1265" s="6"/>
      <c r="P1265" s="6"/>
      <c r="Q1265" s="6"/>
      <c r="R1265" s="6"/>
      <c r="S1265" s="6"/>
      <c r="T1265" s="6"/>
      <c r="U1265" s="6"/>
      <c r="V1265" s="6"/>
      <c r="W1265" s="6"/>
      <c r="X1265" s="6"/>
      <c r="Y1265" s="6"/>
      <c r="Z1265" s="6"/>
    </row>
    <row r="1266" ht="12.75" hidden="1" customHeight="1">
      <c r="A1266" s="102">
        <v>1045.0</v>
      </c>
      <c r="B1266" s="102">
        <v>11045.0</v>
      </c>
      <c r="C1266" s="102" t="s">
        <v>34</v>
      </c>
      <c r="D1266" s="103" t="s">
        <v>1755</v>
      </c>
      <c r="E1266" s="102" t="s">
        <v>1756</v>
      </c>
      <c r="F1266" s="102">
        <v>144.0</v>
      </c>
      <c r="G1266" s="104">
        <v>0.0</v>
      </c>
      <c r="H1266" s="6"/>
      <c r="I1266" s="6"/>
      <c r="J1266" s="6"/>
      <c r="K1266" s="6"/>
      <c r="L1266" s="6"/>
      <c r="M1266" s="6"/>
      <c r="N1266" s="6"/>
      <c r="O1266" s="6"/>
      <c r="P1266" s="6"/>
      <c r="Q1266" s="6"/>
      <c r="R1266" s="6"/>
      <c r="S1266" s="6"/>
      <c r="T1266" s="6"/>
      <c r="U1266" s="6"/>
      <c r="V1266" s="6"/>
      <c r="W1266" s="6"/>
      <c r="X1266" s="6"/>
      <c r="Y1266" s="6"/>
      <c r="Z1266" s="6"/>
    </row>
    <row r="1267" ht="12.75" hidden="1" customHeight="1">
      <c r="A1267" s="105">
        <v>1046.0</v>
      </c>
      <c r="B1267" s="105">
        <v>11046.0</v>
      </c>
      <c r="C1267" s="105" t="s">
        <v>7</v>
      </c>
      <c r="D1267" s="106" t="s">
        <v>1757</v>
      </c>
      <c r="E1267" s="105" t="s">
        <v>1758</v>
      </c>
      <c r="F1267" s="105">
        <v>81.0</v>
      </c>
      <c r="G1267" s="107">
        <v>0.0</v>
      </c>
      <c r="H1267" s="6"/>
      <c r="I1267" s="6"/>
      <c r="J1267" s="6"/>
      <c r="K1267" s="6"/>
      <c r="L1267" s="6"/>
      <c r="M1267" s="6"/>
      <c r="N1267" s="6"/>
      <c r="O1267" s="6"/>
      <c r="P1267" s="6"/>
      <c r="Q1267" s="6"/>
      <c r="R1267" s="6"/>
      <c r="S1267" s="6"/>
      <c r="T1267" s="6"/>
      <c r="U1267" s="6"/>
      <c r="V1267" s="6"/>
      <c r="W1267" s="6"/>
      <c r="X1267" s="6"/>
      <c r="Y1267" s="6"/>
      <c r="Z1267" s="6"/>
    </row>
    <row r="1268" ht="12.75" hidden="1" customHeight="1">
      <c r="A1268" s="7">
        <v>1047.0</v>
      </c>
      <c r="B1268" s="7">
        <v>11047.0</v>
      </c>
      <c r="C1268" s="7" t="s">
        <v>7</v>
      </c>
      <c r="D1268" s="8" t="s">
        <v>1759</v>
      </c>
      <c r="E1268" s="7" t="s">
        <v>1760</v>
      </c>
      <c r="F1268" s="7">
        <v>64.0</v>
      </c>
      <c r="G1268" s="9">
        <v>0.0</v>
      </c>
      <c r="H1268" s="6"/>
      <c r="I1268" s="6"/>
      <c r="J1268" s="6"/>
      <c r="K1268" s="6"/>
      <c r="L1268" s="6"/>
      <c r="M1268" s="6"/>
      <c r="N1268" s="6"/>
      <c r="O1268" s="6"/>
      <c r="P1268" s="6"/>
      <c r="Q1268" s="6"/>
      <c r="R1268" s="6"/>
      <c r="S1268" s="6"/>
      <c r="T1268" s="6"/>
      <c r="U1268" s="6"/>
      <c r="V1268" s="6"/>
      <c r="W1268" s="6"/>
      <c r="X1268" s="6"/>
      <c r="Y1268" s="6"/>
      <c r="Z1268" s="6"/>
    </row>
    <row r="1269" ht="12.75" hidden="1" customHeight="1">
      <c r="A1269" s="105">
        <v>1048.0</v>
      </c>
      <c r="B1269" s="105">
        <v>11048.0</v>
      </c>
      <c r="C1269" s="105" t="s">
        <v>34</v>
      </c>
      <c r="D1269" s="106" t="s">
        <v>1761</v>
      </c>
      <c r="E1269" s="105" t="s">
        <v>1762</v>
      </c>
      <c r="F1269" s="105">
        <v>200.0</v>
      </c>
      <c r="G1269" s="107">
        <v>0.0</v>
      </c>
      <c r="H1269" s="6"/>
      <c r="I1269" s="6"/>
      <c r="J1269" s="6"/>
      <c r="K1269" s="6"/>
      <c r="L1269" s="6"/>
      <c r="M1269" s="6"/>
      <c r="N1269" s="6"/>
      <c r="O1269" s="6"/>
      <c r="P1269" s="6"/>
      <c r="Q1269" s="6"/>
      <c r="R1269" s="6"/>
      <c r="S1269" s="6"/>
      <c r="T1269" s="6"/>
      <c r="U1269" s="6"/>
      <c r="V1269" s="6"/>
      <c r="W1269" s="6"/>
      <c r="X1269" s="6"/>
      <c r="Y1269" s="6"/>
      <c r="Z1269" s="6"/>
    </row>
    <row r="1270" ht="12.75" hidden="1" customHeight="1">
      <c r="A1270" s="102">
        <v>1049.0</v>
      </c>
      <c r="B1270" s="102">
        <v>11049.0</v>
      </c>
      <c r="C1270" s="102" t="s">
        <v>20</v>
      </c>
      <c r="D1270" s="103" t="s">
        <v>1763</v>
      </c>
      <c r="E1270" s="102" t="s">
        <v>1764</v>
      </c>
      <c r="F1270" s="102">
        <v>143.0</v>
      </c>
      <c r="G1270" s="104">
        <v>0.0</v>
      </c>
      <c r="H1270" s="6"/>
      <c r="I1270" s="6"/>
      <c r="J1270" s="6"/>
      <c r="K1270" s="6"/>
      <c r="L1270" s="6"/>
      <c r="M1270" s="6"/>
      <c r="N1270" s="6"/>
      <c r="O1270" s="6"/>
      <c r="P1270" s="6"/>
      <c r="Q1270" s="6"/>
      <c r="R1270" s="6"/>
      <c r="S1270" s="6"/>
      <c r="T1270" s="6"/>
      <c r="U1270" s="6"/>
      <c r="V1270" s="6"/>
      <c r="W1270" s="6"/>
      <c r="X1270" s="6"/>
      <c r="Y1270" s="6"/>
      <c r="Z1270" s="6"/>
    </row>
    <row r="1271" ht="12.75" hidden="1" customHeight="1">
      <c r="A1271" s="10">
        <v>1050.0</v>
      </c>
      <c r="B1271" s="10">
        <v>11050.0</v>
      </c>
      <c r="C1271" s="10" t="s">
        <v>34</v>
      </c>
      <c r="D1271" s="11" t="s">
        <v>1765</v>
      </c>
      <c r="E1271" s="10" t="s">
        <v>1766</v>
      </c>
      <c r="F1271" s="10">
        <v>200.0</v>
      </c>
      <c r="G1271" s="12">
        <v>0.0</v>
      </c>
      <c r="H1271" s="6"/>
      <c r="I1271" s="6"/>
      <c r="J1271" s="6"/>
      <c r="K1271" s="6"/>
      <c r="L1271" s="6"/>
      <c r="M1271" s="6"/>
      <c r="N1271" s="6"/>
      <c r="O1271" s="6"/>
      <c r="P1271" s="6"/>
      <c r="Q1271" s="6"/>
      <c r="R1271" s="6"/>
      <c r="S1271" s="6"/>
      <c r="T1271" s="6"/>
      <c r="U1271" s="6"/>
      <c r="V1271" s="6"/>
      <c r="W1271" s="6"/>
      <c r="X1271" s="6"/>
      <c r="Y1271" s="6"/>
      <c r="Z1271" s="6"/>
    </row>
    <row r="1272" ht="12.75" hidden="1" customHeight="1">
      <c r="A1272" s="7">
        <v>1051.0</v>
      </c>
      <c r="B1272" s="7">
        <v>11051.0</v>
      </c>
      <c r="C1272" s="7" t="s">
        <v>34</v>
      </c>
      <c r="D1272" s="8" t="s">
        <v>1767</v>
      </c>
      <c r="E1272" s="7" t="s">
        <v>1768</v>
      </c>
      <c r="F1272" s="7">
        <v>181.0</v>
      </c>
      <c r="G1272" s="9">
        <v>0.0</v>
      </c>
      <c r="H1272" s="6"/>
      <c r="I1272" s="6"/>
      <c r="J1272" s="6"/>
      <c r="K1272" s="6"/>
      <c r="L1272" s="6"/>
      <c r="M1272" s="6"/>
      <c r="N1272" s="6"/>
      <c r="O1272" s="6"/>
      <c r="P1272" s="6"/>
      <c r="Q1272" s="6"/>
      <c r="R1272" s="6"/>
      <c r="S1272" s="6"/>
      <c r="T1272" s="6"/>
      <c r="U1272" s="6"/>
      <c r="V1272" s="6"/>
      <c r="W1272" s="6"/>
      <c r="X1272" s="6"/>
      <c r="Y1272" s="6"/>
      <c r="Z1272" s="6"/>
    </row>
    <row r="1273" ht="12.75" hidden="1" customHeight="1">
      <c r="A1273" s="10">
        <v>1052.0</v>
      </c>
      <c r="B1273" s="10">
        <v>11052.0</v>
      </c>
      <c r="C1273" s="10" t="s">
        <v>34</v>
      </c>
      <c r="D1273" s="11" t="s">
        <v>1769</v>
      </c>
      <c r="E1273" s="10" t="s">
        <v>1770</v>
      </c>
      <c r="F1273" s="10">
        <v>194.0</v>
      </c>
      <c r="G1273" s="12">
        <v>0.0</v>
      </c>
      <c r="H1273" s="6"/>
      <c r="I1273" s="6"/>
      <c r="J1273" s="6"/>
      <c r="K1273" s="6"/>
      <c r="L1273" s="6"/>
      <c r="M1273" s="6"/>
      <c r="N1273" s="6"/>
      <c r="O1273" s="6"/>
      <c r="P1273" s="6"/>
      <c r="Q1273" s="6"/>
      <c r="R1273" s="6"/>
      <c r="S1273" s="6"/>
      <c r="T1273" s="6"/>
      <c r="U1273" s="6"/>
      <c r="V1273" s="6"/>
      <c r="W1273" s="6"/>
      <c r="X1273" s="6"/>
      <c r="Y1273" s="6"/>
      <c r="Z1273" s="6"/>
    </row>
    <row r="1274" ht="12.75" hidden="1" customHeight="1">
      <c r="A1274" s="7">
        <v>1053.0</v>
      </c>
      <c r="B1274" s="7">
        <v>11053.0</v>
      </c>
      <c r="C1274" s="7" t="s">
        <v>34</v>
      </c>
      <c r="D1274" s="8" t="s">
        <v>1771</v>
      </c>
      <c r="E1274" s="7" t="s">
        <v>1772</v>
      </c>
      <c r="F1274" s="7">
        <v>199.0</v>
      </c>
      <c r="G1274" s="9">
        <v>0.0</v>
      </c>
      <c r="H1274" s="6"/>
      <c r="I1274" s="6"/>
      <c r="J1274" s="6"/>
      <c r="K1274" s="6"/>
      <c r="L1274" s="6"/>
      <c r="M1274" s="6"/>
      <c r="N1274" s="6"/>
      <c r="O1274" s="6"/>
      <c r="P1274" s="6"/>
      <c r="Q1274" s="6"/>
      <c r="R1274" s="6"/>
      <c r="S1274" s="6"/>
      <c r="T1274" s="6"/>
      <c r="U1274" s="6"/>
      <c r="V1274" s="6"/>
      <c r="W1274" s="6"/>
      <c r="X1274" s="6"/>
      <c r="Y1274" s="6"/>
      <c r="Z1274" s="6"/>
    </row>
    <row r="1275" ht="12.75" hidden="1" customHeight="1">
      <c r="A1275" s="10">
        <v>1054.0</v>
      </c>
      <c r="B1275" s="10">
        <v>11054.0</v>
      </c>
      <c r="C1275" s="10" t="s">
        <v>7</v>
      </c>
      <c r="D1275" s="11" t="s">
        <v>1773</v>
      </c>
      <c r="E1275" s="10" t="s">
        <v>1774</v>
      </c>
      <c r="F1275" s="10">
        <v>104.0</v>
      </c>
      <c r="G1275" s="12">
        <v>0.0</v>
      </c>
      <c r="H1275" s="6"/>
      <c r="I1275" s="6"/>
      <c r="J1275" s="6"/>
      <c r="K1275" s="6"/>
      <c r="L1275" s="6"/>
      <c r="M1275" s="6"/>
      <c r="N1275" s="6"/>
      <c r="O1275" s="6"/>
      <c r="P1275" s="6"/>
      <c r="Q1275" s="6"/>
      <c r="R1275" s="6"/>
      <c r="S1275" s="6"/>
      <c r="T1275" s="6"/>
      <c r="U1275" s="6"/>
      <c r="V1275" s="6"/>
      <c r="W1275" s="6"/>
      <c r="X1275" s="6"/>
      <c r="Y1275" s="6"/>
      <c r="Z1275" s="6"/>
    </row>
    <row r="1276" ht="12.75" hidden="1" customHeight="1">
      <c r="A1276" s="7">
        <v>1055.0</v>
      </c>
      <c r="B1276" s="7">
        <v>11055.0</v>
      </c>
      <c r="C1276" s="7" t="s">
        <v>34</v>
      </c>
      <c r="D1276" s="8" t="s">
        <v>1775</v>
      </c>
      <c r="E1276" s="7" t="s">
        <v>1776</v>
      </c>
      <c r="F1276" s="7">
        <v>200.0</v>
      </c>
      <c r="G1276" s="9">
        <v>0.0</v>
      </c>
      <c r="H1276" s="6"/>
      <c r="I1276" s="6"/>
      <c r="J1276" s="6"/>
      <c r="K1276" s="6"/>
      <c r="L1276" s="6"/>
      <c r="M1276" s="6"/>
      <c r="N1276" s="6"/>
      <c r="O1276" s="6"/>
      <c r="P1276" s="6"/>
      <c r="Q1276" s="6"/>
      <c r="R1276" s="6"/>
      <c r="S1276" s="6"/>
      <c r="T1276" s="6"/>
      <c r="U1276" s="6"/>
      <c r="V1276" s="6"/>
      <c r="W1276" s="6"/>
      <c r="X1276" s="6"/>
      <c r="Y1276" s="6"/>
      <c r="Z1276" s="6"/>
    </row>
    <row r="1277" ht="12.75" hidden="1" customHeight="1">
      <c r="A1277" s="10">
        <v>1056.0</v>
      </c>
      <c r="B1277" s="10">
        <v>11056.0</v>
      </c>
      <c r="C1277" s="10" t="s">
        <v>7</v>
      </c>
      <c r="D1277" s="11" t="s">
        <v>1777</v>
      </c>
      <c r="E1277" s="10" t="s">
        <v>1778</v>
      </c>
      <c r="F1277" s="10">
        <v>61.0</v>
      </c>
      <c r="G1277" s="12">
        <v>0.0</v>
      </c>
      <c r="H1277" s="6"/>
      <c r="I1277" s="6"/>
      <c r="J1277" s="6"/>
      <c r="K1277" s="6"/>
      <c r="L1277" s="6"/>
      <c r="M1277" s="6"/>
      <c r="N1277" s="6"/>
      <c r="O1277" s="6"/>
      <c r="P1277" s="6"/>
      <c r="Q1277" s="6"/>
      <c r="R1277" s="6"/>
      <c r="S1277" s="6"/>
      <c r="T1277" s="6"/>
      <c r="U1277" s="6"/>
      <c r="V1277" s="6"/>
      <c r="W1277" s="6"/>
      <c r="X1277" s="6"/>
      <c r="Y1277" s="6"/>
      <c r="Z1277" s="6"/>
    </row>
    <row r="1278" ht="12.75" hidden="1" customHeight="1">
      <c r="A1278" s="7">
        <v>1057.0</v>
      </c>
      <c r="B1278" s="7">
        <v>11057.0</v>
      </c>
      <c r="C1278" s="7" t="s">
        <v>34</v>
      </c>
      <c r="D1278" s="8" t="s">
        <v>1779</v>
      </c>
      <c r="E1278" s="7" t="s">
        <v>1780</v>
      </c>
      <c r="F1278" s="7">
        <v>197.0</v>
      </c>
      <c r="G1278" s="9">
        <v>0.0</v>
      </c>
      <c r="H1278" s="6"/>
      <c r="I1278" s="6"/>
      <c r="J1278" s="6"/>
      <c r="K1278" s="6"/>
      <c r="L1278" s="6"/>
      <c r="M1278" s="6"/>
      <c r="N1278" s="6"/>
      <c r="O1278" s="6"/>
      <c r="P1278" s="6"/>
      <c r="Q1278" s="6"/>
      <c r="R1278" s="6"/>
      <c r="S1278" s="6"/>
      <c r="T1278" s="6"/>
      <c r="U1278" s="6"/>
      <c r="V1278" s="6"/>
      <c r="W1278" s="6"/>
      <c r="X1278" s="6"/>
      <c r="Y1278" s="6"/>
      <c r="Z1278" s="6"/>
    </row>
    <row r="1279" ht="12.75" hidden="1" customHeight="1">
      <c r="A1279" s="10">
        <v>1058.0</v>
      </c>
      <c r="B1279" s="10">
        <v>11058.0</v>
      </c>
      <c r="C1279" s="10" t="s">
        <v>7</v>
      </c>
      <c r="D1279" s="11" t="s">
        <v>1781</v>
      </c>
      <c r="E1279" s="10" t="s">
        <v>1782</v>
      </c>
      <c r="F1279" s="10">
        <v>86.0</v>
      </c>
      <c r="G1279" s="12">
        <v>0.0</v>
      </c>
      <c r="H1279" s="6"/>
      <c r="I1279" s="6"/>
      <c r="J1279" s="6"/>
      <c r="K1279" s="6"/>
      <c r="L1279" s="6"/>
      <c r="M1279" s="6"/>
      <c r="N1279" s="6"/>
      <c r="O1279" s="6"/>
      <c r="P1279" s="6"/>
      <c r="Q1279" s="6"/>
      <c r="R1279" s="6"/>
      <c r="S1279" s="6"/>
      <c r="T1279" s="6"/>
      <c r="U1279" s="6"/>
      <c r="V1279" s="6"/>
      <c r="W1279" s="6"/>
      <c r="X1279" s="6"/>
      <c r="Y1279" s="6"/>
      <c r="Z1279" s="6"/>
    </row>
    <row r="1280" ht="12.75" hidden="1" customHeight="1">
      <c r="A1280" s="7">
        <v>1059.0</v>
      </c>
      <c r="B1280" s="7">
        <v>11059.0</v>
      </c>
      <c r="C1280" s="7" t="s">
        <v>7</v>
      </c>
      <c r="D1280" s="8" t="s">
        <v>1783</v>
      </c>
      <c r="E1280" s="7" t="s">
        <v>1784</v>
      </c>
      <c r="F1280" s="7">
        <v>83.0</v>
      </c>
      <c r="G1280" s="9">
        <v>0.0</v>
      </c>
      <c r="H1280" s="6"/>
      <c r="I1280" s="6"/>
      <c r="J1280" s="6"/>
      <c r="K1280" s="6"/>
      <c r="L1280" s="6"/>
      <c r="M1280" s="6"/>
      <c r="N1280" s="6"/>
      <c r="O1280" s="6"/>
      <c r="P1280" s="6"/>
      <c r="Q1280" s="6"/>
      <c r="R1280" s="6"/>
      <c r="S1280" s="6"/>
      <c r="T1280" s="6"/>
      <c r="U1280" s="6"/>
      <c r="V1280" s="6"/>
      <c r="W1280" s="6"/>
      <c r="X1280" s="6"/>
      <c r="Y1280" s="6"/>
      <c r="Z1280" s="6"/>
    </row>
    <row r="1281" ht="12.75" hidden="1" customHeight="1">
      <c r="A1281" s="10">
        <v>1060.0</v>
      </c>
      <c r="B1281" s="10">
        <v>11060.0</v>
      </c>
      <c r="C1281" s="10" t="s">
        <v>20</v>
      </c>
      <c r="D1281" s="11" t="s">
        <v>1785</v>
      </c>
      <c r="E1281" s="10" t="s">
        <v>1786</v>
      </c>
      <c r="F1281" s="10">
        <v>171.0</v>
      </c>
      <c r="G1281" s="12">
        <v>0.0</v>
      </c>
      <c r="H1281" s="6"/>
      <c r="I1281" s="6"/>
      <c r="J1281" s="6"/>
      <c r="K1281" s="6"/>
      <c r="L1281" s="6"/>
      <c r="M1281" s="6"/>
      <c r="N1281" s="6"/>
      <c r="O1281" s="6"/>
      <c r="P1281" s="6"/>
      <c r="Q1281" s="6"/>
      <c r="R1281" s="6"/>
      <c r="S1281" s="6"/>
      <c r="T1281" s="6"/>
      <c r="U1281" s="6"/>
      <c r="V1281" s="6"/>
      <c r="W1281" s="6"/>
      <c r="X1281" s="6"/>
      <c r="Y1281" s="6"/>
      <c r="Z1281" s="6"/>
    </row>
    <row r="1282" ht="12.75" hidden="1" customHeight="1">
      <c r="A1282" s="7">
        <v>1061.0</v>
      </c>
      <c r="B1282" s="7">
        <v>11061.0</v>
      </c>
      <c r="C1282" s="7" t="s">
        <v>20</v>
      </c>
      <c r="D1282" s="8" t="s">
        <v>1787</v>
      </c>
      <c r="E1282" s="7" t="s">
        <v>1788</v>
      </c>
      <c r="F1282" s="7">
        <v>160.0</v>
      </c>
      <c r="G1282" s="9">
        <v>0.0</v>
      </c>
      <c r="H1282" s="6"/>
      <c r="I1282" s="6"/>
      <c r="J1282" s="6"/>
      <c r="K1282" s="6"/>
      <c r="L1282" s="6"/>
      <c r="M1282" s="6"/>
      <c r="N1282" s="6"/>
      <c r="O1282" s="6"/>
      <c r="P1282" s="6"/>
      <c r="Q1282" s="6"/>
      <c r="R1282" s="6"/>
      <c r="S1282" s="6"/>
      <c r="T1282" s="6"/>
      <c r="U1282" s="6"/>
      <c r="V1282" s="6"/>
      <c r="W1282" s="6"/>
      <c r="X1282" s="6"/>
      <c r="Y1282" s="6"/>
      <c r="Z1282" s="6"/>
    </row>
    <row r="1283" ht="12.75" hidden="1" customHeight="1">
      <c r="A1283" s="10">
        <v>1062.0</v>
      </c>
      <c r="B1283" s="10">
        <v>11062.0</v>
      </c>
      <c r="C1283" s="10" t="s">
        <v>7</v>
      </c>
      <c r="D1283" s="11" t="s">
        <v>1789</v>
      </c>
      <c r="E1283" s="108" t="s">
        <v>1790</v>
      </c>
      <c r="F1283" s="10">
        <v>15.0</v>
      </c>
      <c r="G1283" s="12">
        <v>0.0</v>
      </c>
      <c r="H1283" s="6"/>
      <c r="I1283" s="6"/>
      <c r="J1283" s="6"/>
      <c r="K1283" s="6"/>
      <c r="L1283" s="6"/>
      <c r="M1283" s="6"/>
      <c r="N1283" s="6"/>
      <c r="O1283" s="6"/>
      <c r="P1283" s="6"/>
      <c r="Q1283" s="6"/>
      <c r="R1283" s="6"/>
      <c r="S1283" s="6"/>
      <c r="T1283" s="6"/>
      <c r="U1283" s="6"/>
      <c r="V1283" s="6"/>
      <c r="W1283" s="6"/>
      <c r="X1283" s="6"/>
      <c r="Y1283" s="6"/>
      <c r="Z1283" s="6"/>
    </row>
  </sheetData>
  <autoFilter ref="$A$1:$G$1283">
    <filterColumn colId="4">
      <filters blank="1">
        <filter val="0"/>
        <filter val="#N/A"/>
      </filters>
    </filterColumn>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C99"/>
    <pageSetUpPr/>
  </sheetPr>
  <sheetViews>
    <sheetView workbookViewId="0"/>
  </sheetViews>
  <sheetFormatPr customHeight="1" defaultColWidth="14.43" defaultRowHeight="15.0"/>
  <cols>
    <col customWidth="1" min="1" max="1" width="19.43"/>
    <col customWidth="1" min="2" max="2" width="86.14"/>
    <col customWidth="1" min="3" max="3" width="10.43"/>
    <col customWidth="1" min="4" max="26" width="8.71"/>
  </cols>
  <sheetData>
    <row r="1">
      <c r="A1" s="109" t="s">
        <v>1791</v>
      </c>
      <c r="B1" s="110" t="s">
        <v>1792</v>
      </c>
      <c r="C1" s="109" t="s">
        <v>1793</v>
      </c>
    </row>
    <row r="2">
      <c r="A2" s="111" t="s">
        <v>1794</v>
      </c>
      <c r="B2" s="112" t="s">
        <v>1795</v>
      </c>
      <c r="C2" s="111" t="s">
        <v>1796</v>
      </c>
    </row>
    <row r="3">
      <c r="A3" s="111" t="s">
        <v>1797</v>
      </c>
      <c r="B3" s="112" t="s">
        <v>1798</v>
      </c>
      <c r="C3" s="111" t="s">
        <v>1796</v>
      </c>
    </row>
    <row r="4">
      <c r="A4" s="111" t="s">
        <v>1797</v>
      </c>
      <c r="B4" s="112" t="s">
        <v>1799</v>
      </c>
      <c r="C4" s="111" t="s">
        <v>1796</v>
      </c>
    </row>
    <row r="5">
      <c r="A5" s="111" t="s">
        <v>1797</v>
      </c>
      <c r="B5" s="112" t="s">
        <v>1800</v>
      </c>
      <c r="C5" s="111" t="s">
        <v>1796</v>
      </c>
    </row>
    <row r="6">
      <c r="A6" s="111" t="s">
        <v>1801</v>
      </c>
      <c r="B6" s="113" t="s">
        <v>1802</v>
      </c>
      <c r="C6" s="111" t="s">
        <v>1796</v>
      </c>
    </row>
    <row r="7">
      <c r="B7" s="114"/>
    </row>
    <row r="8">
      <c r="B8" s="114"/>
    </row>
    <row r="9">
      <c r="B9" s="114"/>
    </row>
    <row r="10">
      <c r="B10" s="114"/>
    </row>
    <row r="11">
      <c r="B11" s="114"/>
    </row>
    <row r="12">
      <c r="B12" s="114"/>
    </row>
    <row r="13">
      <c r="B13" s="114"/>
    </row>
    <row r="14">
      <c r="B14" s="114"/>
    </row>
    <row r="15">
      <c r="B15" s="114"/>
    </row>
    <row r="16">
      <c r="B16" s="114"/>
    </row>
    <row r="17">
      <c r="B17" s="114"/>
    </row>
    <row r="18">
      <c r="B18" s="114"/>
    </row>
    <row r="19">
      <c r="B19" s="114"/>
    </row>
    <row r="20">
      <c r="B20" s="114"/>
    </row>
    <row r="21" ht="15.75" customHeight="1">
      <c r="B21" s="114"/>
    </row>
    <row r="22" ht="15.75" customHeight="1">
      <c r="B22" s="114"/>
    </row>
    <row r="23" ht="15.75" customHeight="1">
      <c r="B23" s="114"/>
    </row>
    <row r="24" ht="15.75" customHeight="1">
      <c r="B24" s="114"/>
    </row>
    <row r="25" ht="15.75" customHeight="1">
      <c r="B25" s="114"/>
    </row>
    <row r="26" ht="15.75" customHeight="1">
      <c r="B26" s="114"/>
    </row>
    <row r="27" ht="15.75" customHeight="1">
      <c r="B27" s="114"/>
    </row>
    <row r="28" ht="15.75" customHeight="1">
      <c r="B28" s="114"/>
    </row>
    <row r="29" ht="15.75" customHeight="1">
      <c r="B29" s="114"/>
    </row>
    <row r="30" ht="15.75" customHeight="1">
      <c r="B30" s="114"/>
    </row>
    <row r="31" ht="15.75" customHeight="1">
      <c r="B31" s="114"/>
    </row>
    <row r="32" ht="15.75" customHeight="1">
      <c r="B32" s="114"/>
    </row>
    <row r="33" ht="15.75" customHeight="1">
      <c r="B33" s="114"/>
    </row>
    <row r="34" ht="15.75" customHeight="1">
      <c r="B34" s="114"/>
    </row>
    <row r="35" ht="15.75" customHeight="1">
      <c r="B35" s="114"/>
    </row>
    <row r="36" ht="15.75" customHeight="1">
      <c r="B36" s="114"/>
    </row>
    <row r="37" ht="15.75" customHeight="1">
      <c r="B37" s="114"/>
    </row>
    <row r="38" ht="15.75" customHeight="1">
      <c r="B38" s="114"/>
    </row>
    <row r="39" ht="15.75" customHeight="1">
      <c r="B39" s="114"/>
    </row>
    <row r="40" ht="15.75" customHeight="1">
      <c r="B40" s="114"/>
    </row>
    <row r="41" ht="15.75" customHeight="1">
      <c r="B41" s="114"/>
    </row>
    <row r="42" ht="15.75" customHeight="1">
      <c r="B42" s="114"/>
    </row>
    <row r="43" ht="15.75" customHeight="1">
      <c r="B43" s="114"/>
    </row>
    <row r="44" ht="15.75" customHeight="1">
      <c r="B44" s="114"/>
    </row>
    <row r="45" ht="15.75" customHeight="1">
      <c r="B45" s="114"/>
    </row>
    <row r="46" ht="15.75" customHeight="1">
      <c r="B46" s="114"/>
    </row>
    <row r="47" ht="15.75" customHeight="1">
      <c r="B47" s="114"/>
    </row>
    <row r="48" ht="15.75" customHeight="1">
      <c r="B48" s="114"/>
    </row>
    <row r="49" ht="15.75" customHeight="1">
      <c r="B49" s="114"/>
    </row>
    <row r="50" ht="15.75" customHeight="1">
      <c r="B50" s="114"/>
    </row>
    <row r="51" ht="15.75" customHeight="1">
      <c r="B51" s="114"/>
    </row>
    <row r="52" ht="15.75" customHeight="1">
      <c r="B52" s="114"/>
    </row>
    <row r="53" ht="15.75" customHeight="1">
      <c r="B53" s="114"/>
    </row>
    <row r="54" ht="15.75" customHeight="1">
      <c r="B54" s="114"/>
    </row>
    <row r="55" ht="15.75" customHeight="1">
      <c r="B55" s="114"/>
    </row>
    <row r="56" ht="15.75" customHeight="1">
      <c r="B56" s="114"/>
    </row>
    <row r="57" ht="15.75" customHeight="1">
      <c r="B57" s="114"/>
    </row>
    <row r="58" ht="15.75" customHeight="1">
      <c r="B58" s="114"/>
    </row>
    <row r="59" ht="15.75" customHeight="1">
      <c r="B59" s="114"/>
    </row>
    <row r="60" ht="15.75" customHeight="1">
      <c r="B60" s="114"/>
    </row>
    <row r="61" ht="15.75" customHeight="1">
      <c r="B61" s="114"/>
    </row>
    <row r="62" ht="15.75" customHeight="1">
      <c r="B62" s="114"/>
    </row>
    <row r="63" ht="15.75" customHeight="1">
      <c r="B63" s="114"/>
    </row>
    <row r="64" ht="15.75" customHeight="1">
      <c r="B64" s="114"/>
    </row>
    <row r="65" ht="15.75" customHeight="1">
      <c r="B65" s="114"/>
    </row>
    <row r="66" ht="15.75" customHeight="1">
      <c r="B66" s="114"/>
    </row>
    <row r="67" ht="15.75" customHeight="1">
      <c r="B67" s="114"/>
    </row>
    <row r="68" ht="15.75" customHeight="1">
      <c r="B68" s="114"/>
    </row>
    <row r="69" ht="15.75" customHeight="1">
      <c r="B69" s="114"/>
    </row>
    <row r="70" ht="15.75" customHeight="1">
      <c r="B70" s="114"/>
    </row>
    <row r="71" ht="15.75" customHeight="1">
      <c r="B71" s="114"/>
    </row>
    <row r="72" ht="15.75" customHeight="1">
      <c r="B72" s="114"/>
    </row>
    <row r="73" ht="15.75" customHeight="1">
      <c r="B73" s="114"/>
    </row>
    <row r="74" ht="15.75" customHeight="1">
      <c r="B74" s="114"/>
    </row>
    <row r="75" ht="15.75" customHeight="1">
      <c r="B75" s="114"/>
    </row>
    <row r="76" ht="15.75" customHeight="1">
      <c r="B76" s="114"/>
    </row>
    <row r="77" ht="15.75" customHeight="1">
      <c r="B77" s="114"/>
    </row>
    <row r="78" ht="15.75" customHeight="1">
      <c r="B78" s="114"/>
    </row>
    <row r="79" ht="15.75" customHeight="1">
      <c r="B79" s="114"/>
    </row>
    <row r="80" ht="15.75" customHeight="1">
      <c r="B80" s="114"/>
    </row>
    <row r="81" ht="15.75" customHeight="1">
      <c r="B81" s="114"/>
    </row>
    <row r="82" ht="15.75" customHeight="1">
      <c r="B82" s="114"/>
    </row>
    <row r="83" ht="15.75" customHeight="1">
      <c r="B83" s="114"/>
    </row>
    <row r="84" ht="15.75" customHeight="1">
      <c r="B84" s="114"/>
    </row>
    <row r="85" ht="15.75" customHeight="1">
      <c r="B85" s="114"/>
    </row>
    <row r="86" ht="15.75" customHeight="1">
      <c r="B86" s="114"/>
    </row>
    <row r="87" ht="15.75" customHeight="1">
      <c r="B87" s="114"/>
    </row>
    <row r="88" ht="15.75" customHeight="1">
      <c r="B88" s="114"/>
    </row>
    <row r="89" ht="15.75" customHeight="1">
      <c r="B89" s="114"/>
    </row>
    <row r="90" ht="15.75" customHeight="1">
      <c r="B90" s="114"/>
    </row>
    <row r="91" ht="15.75" customHeight="1">
      <c r="B91" s="114"/>
    </row>
    <row r="92" ht="15.75" customHeight="1">
      <c r="B92" s="114"/>
    </row>
    <row r="93" ht="15.75" customHeight="1">
      <c r="B93" s="114"/>
    </row>
    <row r="94" ht="15.75" customHeight="1">
      <c r="B94" s="114"/>
    </row>
    <row r="95" ht="15.75" customHeight="1">
      <c r="B95" s="114"/>
    </row>
    <row r="96" ht="15.75" customHeight="1">
      <c r="B96" s="114"/>
    </row>
    <row r="97" ht="15.75" customHeight="1">
      <c r="B97" s="114"/>
    </row>
    <row r="98" ht="15.75" customHeight="1">
      <c r="B98" s="114"/>
    </row>
    <row r="99" ht="15.75" customHeight="1">
      <c r="B99" s="114"/>
    </row>
    <row r="100" ht="15.75" customHeight="1">
      <c r="B100" s="114"/>
    </row>
    <row r="101" ht="15.75" customHeight="1">
      <c r="B101" s="114"/>
    </row>
    <row r="102" ht="15.75" customHeight="1">
      <c r="B102" s="114"/>
    </row>
    <row r="103" ht="15.75" customHeight="1">
      <c r="B103" s="114"/>
    </row>
    <row r="104" ht="15.75" customHeight="1">
      <c r="B104" s="114"/>
    </row>
    <row r="105" ht="15.75" customHeight="1">
      <c r="B105" s="114"/>
    </row>
    <row r="106" ht="15.75" customHeight="1">
      <c r="B106" s="114"/>
    </row>
    <row r="107" ht="15.75" customHeight="1">
      <c r="B107" s="114"/>
    </row>
    <row r="108" ht="15.75" customHeight="1">
      <c r="B108" s="114"/>
    </row>
    <row r="109" ht="15.75" customHeight="1">
      <c r="B109" s="114"/>
    </row>
    <row r="110" ht="15.75" customHeight="1">
      <c r="B110" s="114"/>
    </row>
    <row r="111" ht="15.75" customHeight="1">
      <c r="B111" s="114"/>
    </row>
    <row r="112" ht="15.75" customHeight="1">
      <c r="B112" s="114"/>
    </row>
    <row r="113" ht="15.75" customHeight="1">
      <c r="B113" s="114"/>
    </row>
    <row r="114" ht="15.75" customHeight="1">
      <c r="B114" s="114"/>
    </row>
    <row r="115" ht="15.75" customHeight="1">
      <c r="B115" s="114"/>
    </row>
    <row r="116" ht="15.75" customHeight="1">
      <c r="B116" s="114"/>
    </row>
    <row r="117" ht="15.75" customHeight="1">
      <c r="B117" s="114"/>
    </row>
    <row r="118" ht="15.75" customHeight="1">
      <c r="B118" s="114"/>
    </row>
    <row r="119" ht="15.75" customHeight="1">
      <c r="B119" s="114"/>
    </row>
    <row r="120" ht="15.75" customHeight="1">
      <c r="B120" s="114"/>
    </row>
    <row r="121" ht="15.75" customHeight="1">
      <c r="B121" s="114"/>
    </row>
    <row r="122" ht="15.75" customHeight="1">
      <c r="B122" s="114"/>
    </row>
    <row r="123" ht="15.75" customHeight="1">
      <c r="B123" s="114"/>
    </row>
    <row r="124" ht="15.75" customHeight="1">
      <c r="B124" s="114"/>
    </row>
    <row r="125" ht="15.75" customHeight="1">
      <c r="B125" s="114"/>
    </row>
    <row r="126" ht="15.75" customHeight="1">
      <c r="B126" s="114"/>
    </row>
    <row r="127" ht="15.75" customHeight="1">
      <c r="B127" s="114"/>
    </row>
    <row r="128" ht="15.75" customHeight="1">
      <c r="B128" s="114"/>
    </row>
    <row r="129" ht="15.75" customHeight="1">
      <c r="B129" s="114"/>
    </row>
    <row r="130" ht="15.75" customHeight="1">
      <c r="B130" s="114"/>
    </row>
    <row r="131" ht="15.75" customHeight="1">
      <c r="B131" s="114"/>
    </row>
    <row r="132" ht="15.75" customHeight="1">
      <c r="B132" s="114"/>
    </row>
    <row r="133" ht="15.75" customHeight="1">
      <c r="B133" s="114"/>
    </row>
    <row r="134" ht="15.75" customHeight="1">
      <c r="B134" s="114"/>
    </row>
    <row r="135" ht="15.75" customHeight="1">
      <c r="B135" s="114"/>
    </row>
    <row r="136" ht="15.75" customHeight="1">
      <c r="B136" s="114"/>
    </row>
    <row r="137" ht="15.75" customHeight="1">
      <c r="B137" s="114"/>
    </row>
    <row r="138" ht="15.75" customHeight="1">
      <c r="B138" s="114"/>
    </row>
    <row r="139" ht="15.75" customHeight="1">
      <c r="B139" s="114"/>
    </row>
    <row r="140" ht="15.75" customHeight="1">
      <c r="B140" s="114"/>
    </row>
    <row r="141" ht="15.75" customHeight="1">
      <c r="B141" s="114"/>
    </row>
    <row r="142" ht="15.75" customHeight="1">
      <c r="B142" s="114"/>
    </row>
    <row r="143" ht="15.75" customHeight="1">
      <c r="B143" s="114"/>
    </row>
    <row r="144" ht="15.75" customHeight="1">
      <c r="B144" s="114"/>
    </row>
    <row r="145" ht="15.75" customHeight="1">
      <c r="B145" s="114"/>
    </row>
    <row r="146" ht="15.75" customHeight="1">
      <c r="B146" s="114"/>
    </row>
    <row r="147" ht="15.75" customHeight="1">
      <c r="B147" s="114"/>
    </row>
    <row r="148" ht="15.75" customHeight="1">
      <c r="B148" s="114"/>
    </row>
    <row r="149" ht="15.75" customHeight="1">
      <c r="B149" s="114"/>
    </row>
    <row r="150" ht="15.75" customHeight="1">
      <c r="B150" s="114"/>
    </row>
    <row r="151" ht="15.75" customHeight="1">
      <c r="B151" s="114"/>
    </row>
    <row r="152" ht="15.75" customHeight="1">
      <c r="B152" s="114"/>
    </row>
    <row r="153" ht="15.75" customHeight="1">
      <c r="B153" s="114"/>
    </row>
    <row r="154" ht="15.75" customHeight="1">
      <c r="B154" s="114"/>
    </row>
    <row r="155" ht="15.75" customHeight="1">
      <c r="B155" s="114"/>
    </row>
    <row r="156" ht="15.75" customHeight="1">
      <c r="B156" s="114"/>
    </row>
    <row r="157" ht="15.75" customHeight="1">
      <c r="B157" s="114"/>
    </row>
    <row r="158" ht="15.75" customHeight="1">
      <c r="B158" s="114"/>
    </row>
    <row r="159" ht="15.75" customHeight="1">
      <c r="B159" s="114"/>
    </row>
    <row r="160" ht="15.75" customHeight="1">
      <c r="B160" s="114"/>
    </row>
    <row r="161" ht="15.75" customHeight="1">
      <c r="B161" s="114"/>
    </row>
    <row r="162" ht="15.75" customHeight="1">
      <c r="B162" s="114"/>
    </row>
    <row r="163" ht="15.75" customHeight="1">
      <c r="B163" s="114"/>
    </row>
    <row r="164" ht="15.75" customHeight="1">
      <c r="B164" s="114"/>
    </row>
    <row r="165" ht="15.75" customHeight="1">
      <c r="B165" s="114"/>
    </row>
    <row r="166" ht="15.75" customHeight="1">
      <c r="B166" s="114"/>
    </row>
    <row r="167" ht="15.75" customHeight="1">
      <c r="B167" s="114"/>
    </row>
    <row r="168" ht="15.75" customHeight="1">
      <c r="B168" s="114"/>
    </row>
    <row r="169" ht="15.75" customHeight="1">
      <c r="B169" s="114"/>
    </row>
    <row r="170" ht="15.75" customHeight="1">
      <c r="B170" s="114"/>
    </row>
    <row r="171" ht="15.75" customHeight="1">
      <c r="B171" s="114"/>
    </row>
    <row r="172" ht="15.75" customHeight="1">
      <c r="B172" s="114"/>
    </row>
    <row r="173" ht="15.75" customHeight="1">
      <c r="B173" s="114"/>
    </row>
    <row r="174" ht="15.75" customHeight="1">
      <c r="B174" s="114"/>
    </row>
    <row r="175" ht="15.75" customHeight="1">
      <c r="B175" s="114"/>
    </row>
    <row r="176" ht="15.75" customHeight="1">
      <c r="B176" s="114"/>
    </row>
    <row r="177" ht="15.75" customHeight="1">
      <c r="B177" s="114"/>
    </row>
    <row r="178" ht="15.75" customHeight="1">
      <c r="B178" s="114"/>
    </row>
    <row r="179" ht="15.75" customHeight="1">
      <c r="B179" s="114"/>
    </row>
    <row r="180" ht="15.75" customHeight="1">
      <c r="B180" s="114"/>
    </row>
    <row r="181" ht="15.75" customHeight="1">
      <c r="B181" s="114"/>
    </row>
    <row r="182" ht="15.75" customHeight="1">
      <c r="B182" s="114"/>
    </row>
    <row r="183" ht="15.75" customHeight="1">
      <c r="B183" s="114"/>
    </row>
    <row r="184" ht="15.75" customHeight="1">
      <c r="B184" s="114"/>
    </row>
    <row r="185" ht="15.75" customHeight="1">
      <c r="B185" s="114"/>
    </row>
    <row r="186" ht="15.75" customHeight="1">
      <c r="B186" s="114"/>
    </row>
    <row r="187" ht="15.75" customHeight="1">
      <c r="B187" s="114"/>
    </row>
    <row r="188" ht="15.75" customHeight="1">
      <c r="B188" s="114"/>
    </row>
    <row r="189" ht="15.75" customHeight="1">
      <c r="B189" s="114"/>
    </row>
    <row r="190" ht="15.75" customHeight="1">
      <c r="B190" s="114"/>
    </row>
    <row r="191" ht="15.75" customHeight="1">
      <c r="B191" s="114"/>
    </row>
    <row r="192" ht="15.75" customHeight="1">
      <c r="B192" s="114"/>
    </row>
    <row r="193" ht="15.75" customHeight="1">
      <c r="B193" s="114"/>
    </row>
    <row r="194" ht="15.75" customHeight="1">
      <c r="B194" s="114"/>
    </row>
    <row r="195" ht="15.75" customHeight="1">
      <c r="B195" s="114"/>
    </row>
    <row r="196" ht="15.75" customHeight="1">
      <c r="B196" s="114"/>
    </row>
    <row r="197" ht="15.75" customHeight="1">
      <c r="B197" s="114"/>
    </row>
    <row r="198" ht="15.75" customHeight="1">
      <c r="B198" s="114"/>
    </row>
    <row r="199" ht="15.75" customHeight="1">
      <c r="B199" s="114"/>
    </row>
    <row r="200" ht="15.75" customHeight="1">
      <c r="B200" s="114"/>
    </row>
    <row r="201" ht="15.75" customHeight="1">
      <c r="B201" s="114"/>
    </row>
    <row r="202" ht="15.75" customHeight="1">
      <c r="B202" s="114"/>
    </row>
    <row r="203" ht="15.75" customHeight="1">
      <c r="B203" s="114"/>
    </row>
    <row r="204" ht="15.75" customHeight="1">
      <c r="B204" s="114"/>
    </row>
    <row r="205" ht="15.75" customHeight="1">
      <c r="B205" s="114"/>
    </row>
    <row r="206" ht="15.75" customHeight="1">
      <c r="B206" s="114"/>
    </row>
    <row r="207" ht="15.75" customHeight="1">
      <c r="B207" s="114"/>
    </row>
    <row r="208" ht="15.75" customHeight="1">
      <c r="B208" s="114"/>
    </row>
    <row r="209" ht="15.75" customHeight="1">
      <c r="B209" s="114"/>
    </row>
    <row r="210" ht="15.75" customHeight="1">
      <c r="B210" s="114"/>
    </row>
    <row r="211" ht="15.75" customHeight="1">
      <c r="B211" s="114"/>
    </row>
    <row r="212" ht="15.75" customHeight="1">
      <c r="B212" s="114"/>
    </row>
    <row r="213" ht="15.75" customHeight="1">
      <c r="B213" s="114"/>
    </row>
    <row r="214" ht="15.75" customHeight="1">
      <c r="B214" s="114"/>
    </row>
    <row r="215" ht="15.75" customHeight="1">
      <c r="B215" s="114"/>
    </row>
    <row r="216" ht="15.75" customHeight="1">
      <c r="B216" s="114"/>
    </row>
    <row r="217" ht="15.75" customHeight="1">
      <c r="B217" s="114"/>
    </row>
    <row r="218" ht="15.75" customHeight="1">
      <c r="B218" s="114"/>
    </row>
    <row r="219" ht="15.75" customHeight="1">
      <c r="B219" s="114"/>
    </row>
    <row r="220" ht="15.75" customHeight="1">
      <c r="B220" s="114"/>
    </row>
    <row r="221" ht="15.75" customHeight="1">
      <c r="B221" s="114"/>
    </row>
    <row r="222" ht="15.75" customHeight="1">
      <c r="B222" s="114"/>
    </row>
    <row r="223" ht="15.75" customHeight="1">
      <c r="B223" s="114"/>
    </row>
    <row r="224" ht="15.75" customHeight="1">
      <c r="B224" s="114"/>
    </row>
    <row r="225" ht="15.75" customHeight="1">
      <c r="B225" s="114"/>
    </row>
    <row r="226" ht="15.75" customHeight="1">
      <c r="B226" s="114"/>
    </row>
    <row r="227" ht="15.75" customHeight="1">
      <c r="B227" s="114"/>
    </row>
    <row r="228" ht="15.75" customHeight="1">
      <c r="B228" s="114"/>
    </row>
    <row r="229" ht="15.75" customHeight="1">
      <c r="B229" s="114"/>
    </row>
    <row r="230" ht="15.75" customHeight="1">
      <c r="B230" s="114"/>
    </row>
    <row r="231" ht="15.75" customHeight="1">
      <c r="B231" s="114"/>
    </row>
    <row r="232" ht="15.75" customHeight="1">
      <c r="B232" s="114"/>
    </row>
    <row r="233" ht="15.75" customHeight="1">
      <c r="B233" s="114"/>
    </row>
    <row r="234" ht="15.75" customHeight="1">
      <c r="B234" s="114"/>
    </row>
    <row r="235" ht="15.75" customHeight="1">
      <c r="B235" s="114"/>
    </row>
    <row r="236" ht="15.75" customHeight="1">
      <c r="B236" s="114"/>
    </row>
    <row r="237" ht="15.75" customHeight="1">
      <c r="B237" s="114"/>
    </row>
    <row r="238" ht="15.75" customHeight="1">
      <c r="B238" s="114"/>
    </row>
    <row r="239" ht="15.75" customHeight="1">
      <c r="B239" s="114"/>
    </row>
    <row r="240" ht="15.75" customHeight="1">
      <c r="B240" s="114"/>
    </row>
    <row r="241" ht="15.75" customHeight="1">
      <c r="B241" s="114"/>
    </row>
    <row r="242" ht="15.75" customHeight="1">
      <c r="B242" s="114"/>
    </row>
    <row r="243" ht="15.75" customHeight="1">
      <c r="B243" s="114"/>
    </row>
    <row r="244" ht="15.75" customHeight="1">
      <c r="B244" s="114"/>
    </row>
    <row r="245" ht="15.75" customHeight="1">
      <c r="B245" s="114"/>
    </row>
    <row r="246" ht="15.75" customHeight="1">
      <c r="B246" s="114"/>
    </row>
    <row r="247" ht="15.75" customHeight="1">
      <c r="B247" s="114"/>
    </row>
    <row r="248" ht="15.75" customHeight="1">
      <c r="B248" s="114"/>
    </row>
    <row r="249" ht="15.75" customHeight="1">
      <c r="B249" s="114"/>
    </row>
    <row r="250" ht="15.75" customHeight="1">
      <c r="B250" s="114"/>
    </row>
    <row r="251" ht="15.75" customHeight="1">
      <c r="B251" s="114"/>
    </row>
    <row r="252" ht="15.75" customHeight="1">
      <c r="B252" s="114"/>
    </row>
    <row r="253" ht="15.75" customHeight="1">
      <c r="B253" s="114"/>
    </row>
    <row r="254" ht="15.75" customHeight="1">
      <c r="B254" s="114"/>
    </row>
    <row r="255" ht="15.75" customHeight="1">
      <c r="B255" s="114"/>
    </row>
    <row r="256" ht="15.75" customHeight="1">
      <c r="B256" s="114"/>
    </row>
    <row r="257" ht="15.75" customHeight="1">
      <c r="B257" s="114"/>
    </row>
    <row r="258" ht="15.75" customHeight="1">
      <c r="B258" s="114"/>
    </row>
    <row r="259" ht="15.75" customHeight="1">
      <c r="B259" s="114"/>
    </row>
    <row r="260" ht="15.75" customHeight="1">
      <c r="B260" s="114"/>
    </row>
    <row r="261" ht="15.75" customHeight="1">
      <c r="B261" s="114"/>
    </row>
    <row r="262" ht="15.75" customHeight="1">
      <c r="B262" s="114"/>
    </row>
    <row r="263" ht="15.75" customHeight="1">
      <c r="B263" s="114"/>
    </row>
    <row r="264" ht="15.75" customHeight="1">
      <c r="B264" s="114"/>
    </row>
    <row r="265" ht="15.75" customHeight="1">
      <c r="B265" s="114"/>
    </row>
    <row r="266" ht="15.75" customHeight="1">
      <c r="B266" s="114"/>
    </row>
    <row r="267" ht="15.75" customHeight="1">
      <c r="B267" s="114"/>
    </row>
    <row r="268" ht="15.75" customHeight="1">
      <c r="B268" s="114"/>
    </row>
    <row r="269" ht="15.75" customHeight="1">
      <c r="B269" s="114"/>
    </row>
    <row r="270" ht="15.75" customHeight="1">
      <c r="B270" s="114"/>
    </row>
    <row r="271" ht="15.75" customHeight="1">
      <c r="B271" s="114"/>
    </row>
    <row r="272" ht="15.75" customHeight="1">
      <c r="B272" s="114"/>
    </row>
    <row r="273" ht="15.75" customHeight="1">
      <c r="B273" s="114"/>
    </row>
    <row r="274" ht="15.75" customHeight="1">
      <c r="B274" s="114"/>
    </row>
    <row r="275" ht="15.75" customHeight="1">
      <c r="B275" s="114"/>
    </row>
    <row r="276" ht="15.75" customHeight="1">
      <c r="B276" s="114"/>
    </row>
    <row r="277" ht="15.75" customHeight="1">
      <c r="B277" s="114"/>
    </row>
    <row r="278" ht="15.75" customHeight="1">
      <c r="B278" s="114"/>
    </row>
    <row r="279" ht="15.75" customHeight="1">
      <c r="B279" s="114"/>
    </row>
    <row r="280" ht="15.75" customHeight="1">
      <c r="B280" s="114"/>
    </row>
    <row r="281" ht="15.75" customHeight="1">
      <c r="B281" s="114"/>
    </row>
    <row r="282" ht="15.75" customHeight="1">
      <c r="B282" s="114"/>
    </row>
    <row r="283" ht="15.75" customHeight="1">
      <c r="B283" s="114"/>
    </row>
    <row r="284" ht="15.75" customHeight="1">
      <c r="B284" s="114"/>
    </row>
    <row r="285" ht="15.75" customHeight="1">
      <c r="B285" s="114"/>
    </row>
    <row r="286" ht="15.75" customHeight="1">
      <c r="B286" s="114"/>
    </row>
    <row r="287" ht="15.75" customHeight="1">
      <c r="B287" s="114"/>
    </row>
    <row r="288" ht="15.75" customHeight="1">
      <c r="B288" s="114"/>
    </row>
    <row r="289" ht="15.75" customHeight="1">
      <c r="B289" s="114"/>
    </row>
    <row r="290" ht="15.75" customHeight="1">
      <c r="B290" s="114"/>
    </row>
    <row r="291" ht="15.75" customHeight="1">
      <c r="B291" s="114"/>
    </row>
    <row r="292" ht="15.75" customHeight="1">
      <c r="B292" s="114"/>
    </row>
    <row r="293" ht="15.75" customHeight="1">
      <c r="B293" s="114"/>
    </row>
    <row r="294" ht="15.75" customHeight="1">
      <c r="B294" s="114"/>
    </row>
    <row r="295" ht="15.75" customHeight="1">
      <c r="B295" s="114"/>
    </row>
    <row r="296" ht="15.75" customHeight="1">
      <c r="B296" s="114"/>
    </row>
    <row r="297" ht="15.75" customHeight="1">
      <c r="B297" s="114"/>
    </row>
    <row r="298" ht="15.75" customHeight="1">
      <c r="B298" s="114"/>
    </row>
    <row r="299" ht="15.75" customHeight="1">
      <c r="B299" s="114"/>
    </row>
    <row r="300" ht="15.75" customHeight="1">
      <c r="B300" s="114"/>
    </row>
    <row r="301" ht="15.75" customHeight="1">
      <c r="B301" s="114"/>
    </row>
    <row r="302" ht="15.75" customHeight="1">
      <c r="B302" s="114"/>
    </row>
    <row r="303" ht="15.75" customHeight="1">
      <c r="B303" s="114"/>
    </row>
    <row r="304" ht="15.75" customHeight="1">
      <c r="B304" s="114"/>
    </row>
    <row r="305" ht="15.75" customHeight="1">
      <c r="B305" s="114"/>
    </row>
    <row r="306" ht="15.75" customHeight="1">
      <c r="B306" s="114"/>
    </row>
    <row r="307" ht="15.75" customHeight="1">
      <c r="B307" s="114"/>
    </row>
    <row r="308" ht="15.75" customHeight="1">
      <c r="B308" s="114"/>
    </row>
    <row r="309" ht="15.75" customHeight="1">
      <c r="B309" s="114"/>
    </row>
    <row r="310" ht="15.75" customHeight="1">
      <c r="B310" s="114"/>
    </row>
    <row r="311" ht="15.75" customHeight="1">
      <c r="B311" s="114"/>
    </row>
    <row r="312" ht="15.75" customHeight="1">
      <c r="B312" s="114"/>
    </row>
    <row r="313" ht="15.75" customHeight="1">
      <c r="B313" s="114"/>
    </row>
    <row r="314" ht="15.75" customHeight="1">
      <c r="B314" s="114"/>
    </row>
    <row r="315" ht="15.75" customHeight="1">
      <c r="B315" s="114"/>
    </row>
    <row r="316" ht="15.75" customHeight="1">
      <c r="B316" s="114"/>
    </row>
    <row r="317" ht="15.75" customHeight="1">
      <c r="B317" s="114"/>
    </row>
    <row r="318" ht="15.75" customHeight="1">
      <c r="B318" s="114"/>
    </row>
    <row r="319" ht="15.75" customHeight="1">
      <c r="B319" s="114"/>
    </row>
    <row r="320" ht="15.75" customHeight="1">
      <c r="B320" s="114"/>
    </row>
    <row r="321" ht="15.75" customHeight="1">
      <c r="B321" s="114"/>
    </row>
    <row r="322" ht="15.75" customHeight="1">
      <c r="B322" s="114"/>
    </row>
    <row r="323" ht="15.75" customHeight="1">
      <c r="B323" s="114"/>
    </row>
    <row r="324" ht="15.75" customHeight="1">
      <c r="B324" s="114"/>
    </row>
    <row r="325" ht="15.75" customHeight="1">
      <c r="B325" s="114"/>
    </row>
    <row r="326" ht="15.75" customHeight="1">
      <c r="B326" s="114"/>
    </row>
    <row r="327" ht="15.75" customHeight="1">
      <c r="B327" s="114"/>
    </row>
    <row r="328" ht="15.75" customHeight="1">
      <c r="B328" s="114"/>
    </row>
    <row r="329" ht="15.75" customHeight="1">
      <c r="B329" s="114"/>
    </row>
    <row r="330" ht="15.75" customHeight="1">
      <c r="B330" s="114"/>
    </row>
    <row r="331" ht="15.75" customHeight="1">
      <c r="B331" s="114"/>
    </row>
    <row r="332" ht="15.75" customHeight="1">
      <c r="B332" s="114"/>
    </row>
    <row r="333" ht="15.75" customHeight="1">
      <c r="B333" s="114"/>
    </row>
    <row r="334" ht="15.75" customHeight="1">
      <c r="B334" s="114"/>
    </row>
    <row r="335" ht="15.75" customHeight="1">
      <c r="B335" s="114"/>
    </row>
    <row r="336" ht="15.75" customHeight="1">
      <c r="B336" s="114"/>
    </row>
    <row r="337" ht="15.75" customHeight="1">
      <c r="B337" s="114"/>
    </row>
    <row r="338" ht="15.75" customHeight="1">
      <c r="B338" s="114"/>
    </row>
    <row r="339" ht="15.75" customHeight="1">
      <c r="B339" s="114"/>
    </row>
    <row r="340" ht="15.75" customHeight="1">
      <c r="B340" s="114"/>
    </row>
    <row r="341" ht="15.75" customHeight="1">
      <c r="B341" s="114"/>
    </row>
    <row r="342" ht="15.75" customHeight="1">
      <c r="B342" s="114"/>
    </row>
    <row r="343" ht="15.75" customHeight="1">
      <c r="B343" s="114"/>
    </row>
    <row r="344" ht="15.75" customHeight="1">
      <c r="B344" s="114"/>
    </row>
    <row r="345" ht="15.75" customHeight="1">
      <c r="B345" s="114"/>
    </row>
    <row r="346" ht="15.75" customHeight="1">
      <c r="B346" s="114"/>
    </row>
    <row r="347" ht="15.75" customHeight="1">
      <c r="B347" s="114"/>
    </row>
    <row r="348" ht="15.75" customHeight="1">
      <c r="B348" s="114"/>
    </row>
    <row r="349" ht="15.75" customHeight="1">
      <c r="B349" s="114"/>
    </row>
    <row r="350" ht="15.75" customHeight="1">
      <c r="B350" s="114"/>
    </row>
    <row r="351" ht="15.75" customHeight="1">
      <c r="B351" s="114"/>
    </row>
    <row r="352" ht="15.75" customHeight="1">
      <c r="B352" s="114"/>
    </row>
    <row r="353" ht="15.75" customHeight="1">
      <c r="B353" s="114"/>
    </row>
    <row r="354" ht="15.75" customHeight="1">
      <c r="B354" s="114"/>
    </row>
    <row r="355" ht="15.75" customHeight="1">
      <c r="B355" s="114"/>
    </row>
    <row r="356" ht="15.75" customHeight="1">
      <c r="B356" s="114"/>
    </row>
    <row r="357" ht="15.75" customHeight="1">
      <c r="B357" s="114"/>
    </row>
    <row r="358" ht="15.75" customHeight="1">
      <c r="B358" s="114"/>
    </row>
    <row r="359" ht="15.75" customHeight="1">
      <c r="B359" s="114"/>
    </row>
    <row r="360" ht="15.75" customHeight="1">
      <c r="B360" s="114"/>
    </row>
    <row r="361" ht="15.75" customHeight="1">
      <c r="B361" s="114"/>
    </row>
    <row r="362" ht="15.75" customHeight="1">
      <c r="B362" s="114"/>
    </row>
    <row r="363" ht="15.75" customHeight="1">
      <c r="B363" s="114"/>
    </row>
    <row r="364" ht="15.75" customHeight="1">
      <c r="B364" s="114"/>
    </row>
    <row r="365" ht="15.75" customHeight="1">
      <c r="B365" s="114"/>
    </row>
    <row r="366" ht="15.75" customHeight="1">
      <c r="B366" s="114"/>
    </row>
    <row r="367" ht="15.75" customHeight="1">
      <c r="B367" s="114"/>
    </row>
    <row r="368" ht="15.75" customHeight="1">
      <c r="B368" s="114"/>
    </row>
    <row r="369" ht="15.75" customHeight="1">
      <c r="B369" s="114"/>
    </row>
    <row r="370" ht="15.75" customHeight="1">
      <c r="B370" s="114"/>
    </row>
    <row r="371" ht="15.75" customHeight="1">
      <c r="B371" s="114"/>
    </row>
    <row r="372" ht="15.75" customHeight="1">
      <c r="B372" s="114"/>
    </row>
    <row r="373" ht="15.75" customHeight="1">
      <c r="B373" s="114"/>
    </row>
    <row r="374" ht="15.75" customHeight="1">
      <c r="B374" s="114"/>
    </row>
    <row r="375" ht="15.75" customHeight="1">
      <c r="B375" s="114"/>
    </row>
    <row r="376" ht="15.75" customHeight="1">
      <c r="B376" s="114"/>
    </row>
    <row r="377" ht="15.75" customHeight="1">
      <c r="B377" s="114"/>
    </row>
    <row r="378" ht="15.75" customHeight="1">
      <c r="B378" s="114"/>
    </row>
    <row r="379" ht="15.75" customHeight="1">
      <c r="B379" s="114"/>
    </row>
    <row r="380" ht="15.75" customHeight="1">
      <c r="B380" s="114"/>
    </row>
    <row r="381" ht="15.75" customHeight="1">
      <c r="B381" s="114"/>
    </row>
    <row r="382" ht="15.75" customHeight="1">
      <c r="B382" s="114"/>
    </row>
    <row r="383" ht="15.75" customHeight="1">
      <c r="B383" s="114"/>
    </row>
    <row r="384" ht="15.75" customHeight="1">
      <c r="B384" s="114"/>
    </row>
    <row r="385" ht="15.75" customHeight="1">
      <c r="B385" s="114"/>
    </row>
    <row r="386" ht="15.75" customHeight="1">
      <c r="B386" s="114"/>
    </row>
    <row r="387" ht="15.75" customHeight="1">
      <c r="B387" s="114"/>
    </row>
    <row r="388" ht="15.75" customHeight="1">
      <c r="B388" s="114"/>
    </row>
    <row r="389" ht="15.75" customHeight="1">
      <c r="B389" s="114"/>
    </row>
    <row r="390" ht="15.75" customHeight="1">
      <c r="B390" s="114"/>
    </row>
    <row r="391" ht="15.75" customHeight="1">
      <c r="B391" s="114"/>
    </row>
    <row r="392" ht="15.75" customHeight="1">
      <c r="B392" s="114"/>
    </row>
    <row r="393" ht="15.75" customHeight="1">
      <c r="B393" s="114"/>
    </row>
    <row r="394" ht="15.75" customHeight="1">
      <c r="B394" s="114"/>
    </row>
    <row r="395" ht="15.75" customHeight="1">
      <c r="B395" s="114"/>
    </row>
    <row r="396" ht="15.75" customHeight="1">
      <c r="B396" s="114"/>
    </row>
    <row r="397" ht="15.75" customHeight="1">
      <c r="B397" s="114"/>
    </row>
    <row r="398" ht="15.75" customHeight="1">
      <c r="B398" s="114"/>
    </row>
    <row r="399" ht="15.75" customHeight="1">
      <c r="B399" s="114"/>
    </row>
    <row r="400" ht="15.75" customHeight="1">
      <c r="B400" s="114"/>
    </row>
    <row r="401" ht="15.75" customHeight="1">
      <c r="B401" s="114"/>
    </row>
    <row r="402" ht="15.75" customHeight="1">
      <c r="B402" s="114"/>
    </row>
    <row r="403" ht="15.75" customHeight="1">
      <c r="B403" s="114"/>
    </row>
    <row r="404" ht="15.75" customHeight="1">
      <c r="B404" s="114"/>
    </row>
    <row r="405" ht="15.75" customHeight="1">
      <c r="B405" s="114"/>
    </row>
    <row r="406" ht="15.75" customHeight="1">
      <c r="B406" s="114"/>
    </row>
    <row r="407" ht="15.75" customHeight="1">
      <c r="B407" s="114"/>
    </row>
    <row r="408" ht="15.75" customHeight="1">
      <c r="B408" s="114"/>
    </row>
    <row r="409" ht="15.75" customHeight="1">
      <c r="B409" s="114"/>
    </row>
    <row r="410" ht="15.75" customHeight="1">
      <c r="B410" s="114"/>
    </row>
    <row r="411" ht="15.75" customHeight="1">
      <c r="B411" s="114"/>
    </row>
    <row r="412" ht="15.75" customHeight="1">
      <c r="B412" s="114"/>
    </row>
    <row r="413" ht="15.75" customHeight="1">
      <c r="B413" s="114"/>
    </row>
    <row r="414" ht="15.75" customHeight="1">
      <c r="B414" s="114"/>
    </row>
    <row r="415" ht="15.75" customHeight="1">
      <c r="B415" s="114"/>
    </row>
    <row r="416" ht="15.75" customHeight="1">
      <c r="B416" s="114"/>
    </row>
    <row r="417" ht="15.75" customHeight="1">
      <c r="B417" s="114"/>
    </row>
    <row r="418" ht="15.75" customHeight="1">
      <c r="B418" s="114"/>
    </row>
    <row r="419" ht="15.75" customHeight="1">
      <c r="B419" s="114"/>
    </row>
    <row r="420" ht="15.75" customHeight="1">
      <c r="B420" s="114"/>
    </row>
    <row r="421" ht="15.75" customHeight="1">
      <c r="B421" s="114"/>
    </row>
    <row r="422" ht="15.75" customHeight="1">
      <c r="B422" s="114"/>
    </row>
    <row r="423" ht="15.75" customHeight="1">
      <c r="B423" s="114"/>
    </row>
    <row r="424" ht="15.75" customHeight="1">
      <c r="B424" s="114"/>
    </row>
    <row r="425" ht="15.75" customHeight="1">
      <c r="B425" s="114"/>
    </row>
    <row r="426" ht="15.75" customHeight="1">
      <c r="B426" s="114"/>
    </row>
    <row r="427" ht="15.75" customHeight="1">
      <c r="B427" s="114"/>
    </row>
    <row r="428" ht="15.75" customHeight="1">
      <c r="B428" s="114"/>
    </row>
    <row r="429" ht="15.75" customHeight="1">
      <c r="B429" s="114"/>
    </row>
    <row r="430" ht="15.75" customHeight="1">
      <c r="B430" s="114"/>
    </row>
    <row r="431" ht="15.75" customHeight="1">
      <c r="B431" s="114"/>
    </row>
    <row r="432" ht="15.75" customHeight="1">
      <c r="B432" s="114"/>
    </row>
    <row r="433" ht="15.75" customHeight="1">
      <c r="B433" s="114"/>
    </row>
    <row r="434" ht="15.75" customHeight="1">
      <c r="B434" s="114"/>
    </row>
    <row r="435" ht="15.75" customHeight="1">
      <c r="B435" s="114"/>
    </row>
    <row r="436" ht="15.75" customHeight="1">
      <c r="B436" s="114"/>
    </row>
    <row r="437" ht="15.75" customHeight="1">
      <c r="B437" s="114"/>
    </row>
    <row r="438" ht="15.75" customHeight="1">
      <c r="B438" s="114"/>
    </row>
    <row r="439" ht="15.75" customHeight="1">
      <c r="B439" s="114"/>
    </row>
    <row r="440" ht="15.75" customHeight="1">
      <c r="B440" s="114"/>
    </row>
    <row r="441" ht="15.75" customHeight="1">
      <c r="B441" s="114"/>
    </row>
    <row r="442" ht="15.75" customHeight="1">
      <c r="B442" s="114"/>
    </row>
    <row r="443" ht="15.75" customHeight="1">
      <c r="B443" s="114"/>
    </row>
    <row r="444" ht="15.75" customHeight="1">
      <c r="B444" s="114"/>
    </row>
    <row r="445" ht="15.75" customHeight="1">
      <c r="B445" s="114"/>
    </row>
    <row r="446" ht="15.75" customHeight="1">
      <c r="B446" s="114"/>
    </row>
    <row r="447" ht="15.75" customHeight="1">
      <c r="B447" s="114"/>
    </row>
    <row r="448" ht="15.75" customHeight="1">
      <c r="B448" s="114"/>
    </row>
    <row r="449" ht="15.75" customHeight="1">
      <c r="B449" s="114"/>
    </row>
    <row r="450" ht="15.75" customHeight="1">
      <c r="B450" s="114"/>
    </row>
    <row r="451" ht="15.75" customHeight="1">
      <c r="B451" s="114"/>
    </row>
    <row r="452" ht="15.75" customHeight="1">
      <c r="B452" s="114"/>
    </row>
    <row r="453" ht="15.75" customHeight="1">
      <c r="B453" s="114"/>
    </row>
    <row r="454" ht="15.75" customHeight="1">
      <c r="B454" s="114"/>
    </row>
    <row r="455" ht="15.75" customHeight="1">
      <c r="B455" s="114"/>
    </row>
    <row r="456" ht="15.75" customHeight="1">
      <c r="B456" s="114"/>
    </row>
    <row r="457" ht="15.75" customHeight="1">
      <c r="B457" s="114"/>
    </row>
    <row r="458" ht="15.75" customHeight="1">
      <c r="B458" s="114"/>
    </row>
    <row r="459" ht="15.75" customHeight="1">
      <c r="B459" s="114"/>
    </row>
    <row r="460" ht="15.75" customHeight="1">
      <c r="B460" s="114"/>
    </row>
    <row r="461" ht="15.75" customHeight="1">
      <c r="B461" s="114"/>
    </row>
    <row r="462" ht="15.75" customHeight="1">
      <c r="B462" s="114"/>
    </row>
    <row r="463" ht="15.75" customHeight="1">
      <c r="B463" s="114"/>
    </row>
    <row r="464" ht="15.75" customHeight="1">
      <c r="B464" s="114"/>
    </row>
    <row r="465" ht="15.75" customHeight="1">
      <c r="B465" s="114"/>
    </row>
    <row r="466" ht="15.75" customHeight="1">
      <c r="B466" s="114"/>
    </row>
    <row r="467" ht="15.75" customHeight="1">
      <c r="B467" s="114"/>
    </row>
    <row r="468" ht="15.75" customHeight="1">
      <c r="B468" s="114"/>
    </row>
    <row r="469" ht="15.75" customHeight="1">
      <c r="B469" s="114"/>
    </row>
    <row r="470" ht="15.75" customHeight="1">
      <c r="B470" s="114"/>
    </row>
    <row r="471" ht="15.75" customHeight="1">
      <c r="B471" s="114"/>
    </row>
    <row r="472" ht="15.75" customHeight="1">
      <c r="B472" s="114"/>
    </row>
    <row r="473" ht="15.75" customHeight="1">
      <c r="B473" s="114"/>
    </row>
    <row r="474" ht="15.75" customHeight="1">
      <c r="B474" s="114"/>
    </row>
    <row r="475" ht="15.75" customHeight="1">
      <c r="B475" s="114"/>
    </row>
    <row r="476" ht="15.75" customHeight="1">
      <c r="B476" s="114"/>
    </row>
    <row r="477" ht="15.75" customHeight="1">
      <c r="B477" s="114"/>
    </row>
    <row r="478" ht="15.75" customHeight="1">
      <c r="B478" s="114"/>
    </row>
    <row r="479" ht="15.75" customHeight="1">
      <c r="B479" s="114"/>
    </row>
    <row r="480" ht="15.75" customHeight="1">
      <c r="B480" s="114"/>
    </row>
    <row r="481" ht="15.75" customHeight="1">
      <c r="B481" s="114"/>
    </row>
    <row r="482" ht="15.75" customHeight="1">
      <c r="B482" s="114"/>
    </row>
    <row r="483" ht="15.75" customHeight="1">
      <c r="B483" s="114"/>
    </row>
    <row r="484" ht="15.75" customHeight="1">
      <c r="B484" s="114"/>
    </row>
    <row r="485" ht="15.75" customHeight="1">
      <c r="B485" s="114"/>
    </row>
    <row r="486" ht="15.75" customHeight="1">
      <c r="B486" s="114"/>
    </row>
    <row r="487" ht="15.75" customHeight="1">
      <c r="B487" s="114"/>
    </row>
    <row r="488" ht="15.75" customHeight="1">
      <c r="B488" s="114"/>
    </row>
    <row r="489" ht="15.75" customHeight="1">
      <c r="B489" s="114"/>
    </row>
    <row r="490" ht="15.75" customHeight="1">
      <c r="B490" s="114"/>
    </row>
    <row r="491" ht="15.75" customHeight="1">
      <c r="B491" s="114"/>
    </row>
    <row r="492" ht="15.75" customHeight="1">
      <c r="B492" s="114"/>
    </row>
    <row r="493" ht="15.75" customHeight="1">
      <c r="B493" s="114"/>
    </row>
    <row r="494" ht="15.75" customHeight="1">
      <c r="B494" s="114"/>
    </row>
    <row r="495" ht="15.75" customHeight="1">
      <c r="B495" s="114"/>
    </row>
    <row r="496" ht="15.75" customHeight="1">
      <c r="B496" s="114"/>
    </row>
    <row r="497" ht="15.75" customHeight="1">
      <c r="B497" s="114"/>
    </row>
    <row r="498" ht="15.75" customHeight="1">
      <c r="B498" s="114"/>
    </row>
    <row r="499" ht="15.75" customHeight="1">
      <c r="B499" s="114"/>
    </row>
    <row r="500" ht="15.75" customHeight="1">
      <c r="B500" s="114"/>
    </row>
    <row r="501" ht="15.75" customHeight="1">
      <c r="B501" s="114"/>
    </row>
    <row r="502" ht="15.75" customHeight="1">
      <c r="B502" s="114"/>
    </row>
    <row r="503" ht="15.75" customHeight="1">
      <c r="B503" s="114"/>
    </row>
    <row r="504" ht="15.75" customHeight="1">
      <c r="B504" s="114"/>
    </row>
    <row r="505" ht="15.75" customHeight="1">
      <c r="B505" s="114"/>
    </row>
    <row r="506" ht="15.75" customHeight="1">
      <c r="B506" s="114"/>
    </row>
    <row r="507" ht="15.75" customHeight="1">
      <c r="B507" s="114"/>
    </row>
    <row r="508" ht="15.75" customHeight="1">
      <c r="B508" s="114"/>
    </row>
    <row r="509" ht="15.75" customHeight="1">
      <c r="B509" s="114"/>
    </row>
    <row r="510" ht="15.75" customHeight="1">
      <c r="B510" s="114"/>
    </row>
    <row r="511" ht="15.75" customHeight="1">
      <c r="B511" s="114"/>
    </row>
    <row r="512" ht="15.75" customHeight="1">
      <c r="B512" s="114"/>
    </row>
    <row r="513" ht="15.75" customHeight="1">
      <c r="B513" s="114"/>
    </row>
    <row r="514" ht="15.75" customHeight="1">
      <c r="B514" s="114"/>
    </row>
    <row r="515" ht="15.75" customHeight="1">
      <c r="B515" s="114"/>
    </row>
    <row r="516" ht="15.75" customHeight="1">
      <c r="B516" s="114"/>
    </row>
    <row r="517" ht="15.75" customHeight="1">
      <c r="B517" s="114"/>
    </row>
    <row r="518" ht="15.75" customHeight="1">
      <c r="B518" s="114"/>
    </row>
    <row r="519" ht="15.75" customHeight="1">
      <c r="B519" s="114"/>
    </row>
    <row r="520" ht="15.75" customHeight="1">
      <c r="B520" s="114"/>
    </row>
    <row r="521" ht="15.75" customHeight="1">
      <c r="B521" s="114"/>
    </row>
    <row r="522" ht="15.75" customHeight="1">
      <c r="B522" s="114"/>
    </row>
    <row r="523" ht="15.75" customHeight="1">
      <c r="B523" s="114"/>
    </row>
    <row r="524" ht="15.75" customHeight="1">
      <c r="B524" s="114"/>
    </row>
    <row r="525" ht="15.75" customHeight="1">
      <c r="B525" s="114"/>
    </row>
    <row r="526" ht="15.75" customHeight="1">
      <c r="B526" s="114"/>
    </row>
    <row r="527" ht="15.75" customHeight="1">
      <c r="B527" s="114"/>
    </row>
    <row r="528" ht="15.75" customHeight="1">
      <c r="B528" s="114"/>
    </row>
    <row r="529" ht="15.75" customHeight="1">
      <c r="B529" s="114"/>
    </row>
    <row r="530" ht="15.75" customHeight="1">
      <c r="B530" s="114"/>
    </row>
    <row r="531" ht="15.75" customHeight="1">
      <c r="B531" s="114"/>
    </row>
    <row r="532" ht="15.75" customHeight="1">
      <c r="B532" s="114"/>
    </row>
    <row r="533" ht="15.75" customHeight="1">
      <c r="B533" s="114"/>
    </row>
    <row r="534" ht="15.75" customHeight="1">
      <c r="B534" s="114"/>
    </row>
    <row r="535" ht="15.75" customHeight="1">
      <c r="B535" s="114"/>
    </row>
    <row r="536" ht="15.75" customHeight="1">
      <c r="B536" s="114"/>
    </row>
    <row r="537" ht="15.75" customHeight="1">
      <c r="B537" s="114"/>
    </row>
    <row r="538" ht="15.75" customHeight="1">
      <c r="B538" s="114"/>
    </row>
    <row r="539" ht="15.75" customHeight="1">
      <c r="B539" s="114"/>
    </row>
    <row r="540" ht="15.75" customHeight="1">
      <c r="B540" s="114"/>
    </row>
    <row r="541" ht="15.75" customHeight="1">
      <c r="B541" s="114"/>
    </row>
    <row r="542" ht="15.75" customHeight="1">
      <c r="B542" s="114"/>
    </row>
    <row r="543" ht="15.75" customHeight="1">
      <c r="B543" s="114"/>
    </row>
    <row r="544" ht="15.75" customHeight="1">
      <c r="B544" s="114"/>
    </row>
    <row r="545" ht="15.75" customHeight="1">
      <c r="B545" s="114"/>
    </row>
    <row r="546" ht="15.75" customHeight="1">
      <c r="B546" s="114"/>
    </row>
    <row r="547" ht="15.75" customHeight="1">
      <c r="B547" s="114"/>
    </row>
    <row r="548" ht="15.75" customHeight="1">
      <c r="B548" s="114"/>
    </row>
    <row r="549" ht="15.75" customHeight="1">
      <c r="B549" s="114"/>
    </row>
    <row r="550" ht="15.75" customHeight="1">
      <c r="B550" s="114"/>
    </row>
    <row r="551" ht="15.75" customHeight="1">
      <c r="B551" s="114"/>
    </row>
    <row r="552" ht="15.75" customHeight="1">
      <c r="B552" s="114"/>
    </row>
    <row r="553" ht="15.75" customHeight="1">
      <c r="B553" s="114"/>
    </row>
    <row r="554" ht="15.75" customHeight="1">
      <c r="B554" s="114"/>
    </row>
    <row r="555" ht="15.75" customHeight="1">
      <c r="B555" s="114"/>
    </row>
    <row r="556" ht="15.75" customHeight="1">
      <c r="B556" s="114"/>
    </row>
    <row r="557" ht="15.75" customHeight="1">
      <c r="B557" s="114"/>
    </row>
    <row r="558" ht="15.75" customHeight="1">
      <c r="B558" s="114"/>
    </row>
    <row r="559" ht="15.75" customHeight="1">
      <c r="B559" s="114"/>
    </row>
    <row r="560" ht="15.75" customHeight="1">
      <c r="B560" s="114"/>
    </row>
    <row r="561" ht="15.75" customHeight="1">
      <c r="B561" s="114"/>
    </row>
    <row r="562" ht="15.75" customHeight="1">
      <c r="B562" s="114"/>
    </row>
    <row r="563" ht="15.75" customHeight="1">
      <c r="B563" s="114"/>
    </row>
    <row r="564" ht="15.75" customHeight="1">
      <c r="B564" s="114"/>
    </row>
    <row r="565" ht="15.75" customHeight="1">
      <c r="B565" s="114"/>
    </row>
    <row r="566" ht="15.75" customHeight="1">
      <c r="B566" s="114"/>
    </row>
    <row r="567" ht="15.75" customHeight="1">
      <c r="B567" s="114"/>
    </row>
    <row r="568" ht="15.75" customHeight="1">
      <c r="B568" s="114"/>
    </row>
    <row r="569" ht="15.75" customHeight="1">
      <c r="B569" s="114"/>
    </row>
    <row r="570" ht="15.75" customHeight="1">
      <c r="B570" s="114"/>
    </row>
    <row r="571" ht="15.75" customHeight="1">
      <c r="B571" s="114"/>
    </row>
    <row r="572" ht="15.75" customHeight="1">
      <c r="B572" s="114"/>
    </row>
    <row r="573" ht="15.75" customHeight="1">
      <c r="B573" s="114"/>
    </row>
    <row r="574" ht="15.75" customHeight="1">
      <c r="B574" s="114"/>
    </row>
    <row r="575" ht="15.75" customHeight="1">
      <c r="B575" s="114"/>
    </row>
    <row r="576" ht="15.75" customHeight="1">
      <c r="B576" s="114"/>
    </row>
    <row r="577" ht="15.75" customHeight="1">
      <c r="B577" s="114"/>
    </row>
    <row r="578" ht="15.75" customHeight="1">
      <c r="B578" s="114"/>
    </row>
    <row r="579" ht="15.75" customHeight="1">
      <c r="B579" s="114"/>
    </row>
    <row r="580" ht="15.75" customHeight="1">
      <c r="B580" s="114"/>
    </row>
    <row r="581" ht="15.75" customHeight="1">
      <c r="B581" s="114"/>
    </row>
    <row r="582" ht="15.75" customHeight="1">
      <c r="B582" s="114"/>
    </row>
    <row r="583" ht="15.75" customHeight="1">
      <c r="B583" s="114"/>
    </row>
    <row r="584" ht="15.75" customHeight="1">
      <c r="B584" s="114"/>
    </row>
    <row r="585" ht="15.75" customHeight="1">
      <c r="B585" s="114"/>
    </row>
    <row r="586" ht="15.75" customHeight="1">
      <c r="B586" s="114"/>
    </row>
    <row r="587" ht="15.75" customHeight="1">
      <c r="B587" s="114"/>
    </row>
    <row r="588" ht="15.75" customHeight="1">
      <c r="B588" s="114"/>
    </row>
    <row r="589" ht="15.75" customHeight="1">
      <c r="B589" s="114"/>
    </row>
    <row r="590" ht="15.75" customHeight="1">
      <c r="B590" s="114"/>
    </row>
    <row r="591" ht="15.75" customHeight="1">
      <c r="B591" s="114"/>
    </row>
    <row r="592" ht="15.75" customHeight="1">
      <c r="B592" s="114"/>
    </row>
    <row r="593" ht="15.75" customHeight="1">
      <c r="B593" s="114"/>
    </row>
    <row r="594" ht="15.75" customHeight="1">
      <c r="B594" s="114"/>
    </row>
    <row r="595" ht="15.75" customHeight="1">
      <c r="B595" s="114"/>
    </row>
    <row r="596" ht="15.75" customHeight="1">
      <c r="B596" s="114"/>
    </row>
    <row r="597" ht="15.75" customHeight="1">
      <c r="B597" s="114"/>
    </row>
    <row r="598" ht="15.75" customHeight="1">
      <c r="B598" s="114"/>
    </row>
    <row r="599" ht="15.75" customHeight="1">
      <c r="B599" s="114"/>
    </row>
    <row r="600" ht="15.75" customHeight="1">
      <c r="B600" s="114"/>
    </row>
    <row r="601" ht="15.75" customHeight="1">
      <c r="B601" s="114"/>
    </row>
    <row r="602" ht="15.75" customHeight="1">
      <c r="B602" s="114"/>
    </row>
    <row r="603" ht="15.75" customHeight="1">
      <c r="B603" s="114"/>
    </row>
    <row r="604" ht="15.75" customHeight="1">
      <c r="B604" s="114"/>
    </row>
    <row r="605" ht="15.75" customHeight="1">
      <c r="B605" s="114"/>
    </row>
    <row r="606" ht="15.75" customHeight="1">
      <c r="B606" s="114"/>
    </row>
    <row r="607" ht="15.75" customHeight="1">
      <c r="B607" s="114"/>
    </row>
    <row r="608" ht="15.75" customHeight="1">
      <c r="B608" s="114"/>
    </row>
    <row r="609" ht="15.75" customHeight="1">
      <c r="B609" s="114"/>
    </row>
    <row r="610" ht="15.75" customHeight="1">
      <c r="B610" s="114"/>
    </row>
    <row r="611" ht="15.75" customHeight="1">
      <c r="B611" s="114"/>
    </row>
    <row r="612" ht="15.75" customHeight="1">
      <c r="B612" s="114"/>
    </row>
    <row r="613" ht="15.75" customHeight="1">
      <c r="B613" s="114"/>
    </row>
    <row r="614" ht="15.75" customHeight="1">
      <c r="B614" s="114"/>
    </row>
    <row r="615" ht="15.75" customHeight="1">
      <c r="B615" s="114"/>
    </row>
    <row r="616" ht="15.75" customHeight="1">
      <c r="B616" s="114"/>
    </row>
    <row r="617" ht="15.75" customHeight="1">
      <c r="B617" s="114"/>
    </row>
    <row r="618" ht="15.75" customHeight="1">
      <c r="B618" s="114"/>
    </row>
    <row r="619" ht="15.75" customHeight="1">
      <c r="B619" s="114"/>
    </row>
    <row r="620" ht="15.75" customHeight="1">
      <c r="B620" s="114"/>
    </row>
    <row r="621" ht="15.75" customHeight="1">
      <c r="B621" s="114"/>
    </row>
    <row r="622" ht="15.75" customHeight="1">
      <c r="B622" s="114"/>
    </row>
    <row r="623" ht="15.75" customHeight="1">
      <c r="B623" s="114"/>
    </row>
    <row r="624" ht="15.75" customHeight="1">
      <c r="B624" s="114"/>
    </row>
    <row r="625" ht="15.75" customHeight="1">
      <c r="B625" s="114"/>
    </row>
    <row r="626" ht="15.75" customHeight="1">
      <c r="B626" s="114"/>
    </row>
    <row r="627" ht="15.75" customHeight="1">
      <c r="B627" s="114"/>
    </row>
    <row r="628" ht="15.75" customHeight="1">
      <c r="B628" s="114"/>
    </row>
    <row r="629" ht="15.75" customHeight="1">
      <c r="B629" s="114"/>
    </row>
    <row r="630" ht="15.75" customHeight="1">
      <c r="B630" s="114"/>
    </row>
    <row r="631" ht="15.75" customHeight="1">
      <c r="B631" s="114"/>
    </row>
    <row r="632" ht="15.75" customHeight="1">
      <c r="B632" s="114"/>
    </row>
    <row r="633" ht="15.75" customHeight="1">
      <c r="B633" s="114"/>
    </row>
    <row r="634" ht="15.75" customHeight="1">
      <c r="B634" s="114"/>
    </row>
    <row r="635" ht="15.75" customHeight="1">
      <c r="B635" s="114"/>
    </row>
    <row r="636" ht="15.75" customHeight="1">
      <c r="B636" s="114"/>
    </row>
    <row r="637" ht="15.75" customHeight="1">
      <c r="B637" s="114"/>
    </row>
    <row r="638" ht="15.75" customHeight="1">
      <c r="B638" s="114"/>
    </row>
    <row r="639" ht="15.75" customHeight="1">
      <c r="B639" s="114"/>
    </row>
    <row r="640" ht="15.75" customHeight="1">
      <c r="B640" s="114"/>
    </row>
    <row r="641" ht="15.75" customHeight="1">
      <c r="B641" s="114"/>
    </row>
    <row r="642" ht="15.75" customHeight="1">
      <c r="B642" s="114"/>
    </row>
    <row r="643" ht="15.75" customHeight="1">
      <c r="B643" s="114"/>
    </row>
    <row r="644" ht="15.75" customHeight="1">
      <c r="B644" s="114"/>
    </row>
    <row r="645" ht="15.75" customHeight="1">
      <c r="B645" s="114"/>
    </row>
    <row r="646" ht="15.75" customHeight="1">
      <c r="B646" s="114"/>
    </row>
    <row r="647" ht="15.75" customHeight="1">
      <c r="B647" s="114"/>
    </row>
    <row r="648" ht="15.75" customHeight="1">
      <c r="B648" s="114"/>
    </row>
    <row r="649" ht="15.75" customHeight="1">
      <c r="B649" s="114"/>
    </row>
    <row r="650" ht="15.75" customHeight="1">
      <c r="B650" s="114"/>
    </row>
    <row r="651" ht="15.75" customHeight="1">
      <c r="B651" s="114"/>
    </row>
    <row r="652" ht="15.75" customHeight="1">
      <c r="B652" s="114"/>
    </row>
    <row r="653" ht="15.75" customHeight="1">
      <c r="B653" s="114"/>
    </row>
    <row r="654" ht="15.75" customHeight="1">
      <c r="B654" s="114"/>
    </row>
    <row r="655" ht="15.75" customHeight="1">
      <c r="B655" s="114"/>
    </row>
    <row r="656" ht="15.75" customHeight="1">
      <c r="B656" s="114"/>
    </row>
    <row r="657" ht="15.75" customHeight="1">
      <c r="B657" s="114"/>
    </row>
    <row r="658" ht="15.75" customHeight="1">
      <c r="B658" s="114"/>
    </row>
    <row r="659" ht="15.75" customHeight="1">
      <c r="B659" s="114"/>
    </row>
    <row r="660" ht="15.75" customHeight="1">
      <c r="B660" s="114"/>
    </row>
    <row r="661" ht="15.75" customHeight="1">
      <c r="B661" s="114"/>
    </row>
    <row r="662" ht="15.75" customHeight="1">
      <c r="B662" s="114"/>
    </row>
    <row r="663" ht="15.75" customHeight="1">
      <c r="B663" s="114"/>
    </row>
    <row r="664" ht="15.75" customHeight="1">
      <c r="B664" s="114"/>
    </row>
    <row r="665" ht="15.75" customHeight="1">
      <c r="B665" s="114"/>
    </row>
    <row r="666" ht="15.75" customHeight="1">
      <c r="B666" s="114"/>
    </row>
    <row r="667" ht="15.75" customHeight="1">
      <c r="B667" s="114"/>
    </row>
    <row r="668" ht="15.75" customHeight="1">
      <c r="B668" s="114"/>
    </row>
    <row r="669" ht="15.75" customHeight="1">
      <c r="B669" s="114"/>
    </row>
    <row r="670" ht="15.75" customHeight="1">
      <c r="B670" s="114"/>
    </row>
    <row r="671" ht="15.75" customHeight="1">
      <c r="B671" s="114"/>
    </row>
    <row r="672" ht="15.75" customHeight="1">
      <c r="B672" s="114"/>
    </row>
    <row r="673" ht="15.75" customHeight="1">
      <c r="B673" s="114"/>
    </row>
    <row r="674" ht="15.75" customHeight="1">
      <c r="B674" s="114"/>
    </row>
    <row r="675" ht="15.75" customHeight="1">
      <c r="B675" s="114"/>
    </row>
    <row r="676" ht="15.75" customHeight="1">
      <c r="B676" s="114"/>
    </row>
    <row r="677" ht="15.75" customHeight="1">
      <c r="B677" s="114"/>
    </row>
    <row r="678" ht="15.75" customHeight="1">
      <c r="B678" s="114"/>
    </row>
    <row r="679" ht="15.75" customHeight="1">
      <c r="B679" s="114"/>
    </row>
    <row r="680" ht="15.75" customHeight="1">
      <c r="B680" s="114"/>
    </row>
    <row r="681" ht="15.75" customHeight="1">
      <c r="B681" s="114"/>
    </row>
    <row r="682" ht="15.75" customHeight="1">
      <c r="B682" s="114"/>
    </row>
    <row r="683" ht="15.75" customHeight="1">
      <c r="B683" s="114"/>
    </row>
    <row r="684" ht="15.75" customHeight="1">
      <c r="B684" s="114"/>
    </row>
    <row r="685" ht="15.75" customHeight="1">
      <c r="B685" s="114"/>
    </row>
    <row r="686" ht="15.75" customHeight="1">
      <c r="B686" s="114"/>
    </row>
    <row r="687" ht="15.75" customHeight="1">
      <c r="B687" s="114"/>
    </row>
    <row r="688" ht="15.75" customHeight="1">
      <c r="B688" s="114"/>
    </row>
    <row r="689" ht="15.75" customHeight="1">
      <c r="B689" s="114"/>
    </row>
    <row r="690" ht="15.75" customHeight="1">
      <c r="B690" s="114"/>
    </row>
    <row r="691" ht="15.75" customHeight="1">
      <c r="B691" s="114"/>
    </row>
    <row r="692" ht="15.75" customHeight="1">
      <c r="B692" s="114"/>
    </row>
    <row r="693" ht="15.75" customHeight="1">
      <c r="B693" s="114"/>
    </row>
    <row r="694" ht="15.75" customHeight="1">
      <c r="B694" s="114"/>
    </row>
    <row r="695" ht="15.75" customHeight="1">
      <c r="B695" s="114"/>
    </row>
    <row r="696" ht="15.75" customHeight="1">
      <c r="B696" s="114"/>
    </row>
    <row r="697" ht="15.75" customHeight="1">
      <c r="B697" s="114"/>
    </row>
    <row r="698" ht="15.75" customHeight="1">
      <c r="B698" s="114"/>
    </row>
    <row r="699" ht="15.75" customHeight="1">
      <c r="B699" s="114"/>
    </row>
    <row r="700" ht="15.75" customHeight="1">
      <c r="B700" s="114"/>
    </row>
    <row r="701" ht="15.75" customHeight="1">
      <c r="B701" s="114"/>
    </row>
    <row r="702" ht="15.75" customHeight="1">
      <c r="B702" s="114"/>
    </row>
    <row r="703" ht="15.75" customHeight="1">
      <c r="B703" s="114"/>
    </row>
    <row r="704" ht="15.75" customHeight="1">
      <c r="B704" s="114"/>
    </row>
    <row r="705" ht="15.75" customHeight="1">
      <c r="B705" s="114"/>
    </row>
    <row r="706" ht="15.75" customHeight="1">
      <c r="B706" s="114"/>
    </row>
    <row r="707" ht="15.75" customHeight="1">
      <c r="B707" s="114"/>
    </row>
    <row r="708" ht="15.75" customHeight="1">
      <c r="B708" s="114"/>
    </row>
    <row r="709" ht="15.75" customHeight="1">
      <c r="B709" s="114"/>
    </row>
    <row r="710" ht="15.75" customHeight="1">
      <c r="B710" s="114"/>
    </row>
    <row r="711" ht="15.75" customHeight="1">
      <c r="B711" s="114"/>
    </row>
    <row r="712" ht="15.75" customHeight="1">
      <c r="B712" s="114"/>
    </row>
    <row r="713" ht="15.75" customHeight="1">
      <c r="B713" s="114"/>
    </row>
    <row r="714" ht="15.75" customHeight="1">
      <c r="B714" s="114"/>
    </row>
    <row r="715" ht="15.75" customHeight="1">
      <c r="B715" s="114"/>
    </row>
    <row r="716" ht="15.75" customHeight="1">
      <c r="B716" s="114"/>
    </row>
    <row r="717" ht="15.75" customHeight="1">
      <c r="B717" s="114"/>
    </row>
    <row r="718" ht="15.75" customHeight="1">
      <c r="B718" s="114"/>
    </row>
    <row r="719" ht="15.75" customHeight="1">
      <c r="B719" s="114"/>
    </row>
    <row r="720" ht="15.75" customHeight="1">
      <c r="B720" s="114"/>
    </row>
    <row r="721" ht="15.75" customHeight="1">
      <c r="B721" s="114"/>
    </row>
    <row r="722" ht="15.75" customHeight="1">
      <c r="B722" s="114"/>
    </row>
    <row r="723" ht="15.75" customHeight="1">
      <c r="B723" s="114"/>
    </row>
    <row r="724" ht="15.75" customHeight="1">
      <c r="B724" s="114"/>
    </row>
    <row r="725" ht="15.75" customHeight="1">
      <c r="B725" s="114"/>
    </row>
    <row r="726" ht="15.75" customHeight="1">
      <c r="B726" s="114"/>
    </row>
    <row r="727" ht="15.75" customHeight="1">
      <c r="B727" s="114"/>
    </row>
    <row r="728" ht="15.75" customHeight="1">
      <c r="B728" s="114"/>
    </row>
    <row r="729" ht="15.75" customHeight="1">
      <c r="B729" s="114"/>
    </row>
    <row r="730" ht="15.75" customHeight="1">
      <c r="B730" s="114"/>
    </row>
    <row r="731" ht="15.75" customHeight="1">
      <c r="B731" s="114"/>
    </row>
    <row r="732" ht="15.75" customHeight="1">
      <c r="B732" s="114"/>
    </row>
    <row r="733" ht="15.75" customHeight="1">
      <c r="B733" s="114"/>
    </row>
    <row r="734" ht="15.75" customHeight="1">
      <c r="B734" s="114"/>
    </row>
    <row r="735" ht="15.75" customHeight="1">
      <c r="B735" s="114"/>
    </row>
    <row r="736" ht="15.75" customHeight="1">
      <c r="B736" s="114"/>
    </row>
    <row r="737" ht="15.75" customHeight="1">
      <c r="B737" s="114"/>
    </row>
    <row r="738" ht="15.75" customHeight="1">
      <c r="B738" s="114"/>
    </row>
    <row r="739" ht="15.75" customHeight="1">
      <c r="B739" s="114"/>
    </row>
    <row r="740" ht="15.75" customHeight="1">
      <c r="B740" s="114"/>
    </row>
    <row r="741" ht="15.75" customHeight="1">
      <c r="B741" s="114"/>
    </row>
    <row r="742" ht="15.75" customHeight="1">
      <c r="B742" s="114"/>
    </row>
    <row r="743" ht="15.75" customHeight="1">
      <c r="B743" s="114"/>
    </row>
    <row r="744" ht="15.75" customHeight="1">
      <c r="B744" s="114"/>
    </row>
    <row r="745" ht="15.75" customHeight="1">
      <c r="B745" s="114"/>
    </row>
    <row r="746" ht="15.75" customHeight="1">
      <c r="B746" s="114"/>
    </row>
    <row r="747" ht="15.75" customHeight="1">
      <c r="B747" s="114"/>
    </row>
    <row r="748" ht="15.75" customHeight="1">
      <c r="B748" s="114"/>
    </row>
    <row r="749" ht="15.75" customHeight="1">
      <c r="B749" s="114"/>
    </row>
    <row r="750" ht="15.75" customHeight="1">
      <c r="B750" s="114"/>
    </row>
    <row r="751" ht="15.75" customHeight="1">
      <c r="B751" s="114"/>
    </row>
    <row r="752" ht="15.75" customHeight="1">
      <c r="B752" s="114"/>
    </row>
    <row r="753" ht="15.75" customHeight="1">
      <c r="B753" s="114"/>
    </row>
    <row r="754" ht="15.75" customHeight="1">
      <c r="B754" s="114"/>
    </row>
    <row r="755" ht="15.75" customHeight="1">
      <c r="B755" s="114"/>
    </row>
    <row r="756" ht="15.75" customHeight="1">
      <c r="B756" s="114"/>
    </row>
    <row r="757" ht="15.75" customHeight="1">
      <c r="B757" s="114"/>
    </row>
    <row r="758" ht="15.75" customHeight="1">
      <c r="B758" s="114"/>
    </row>
    <row r="759" ht="15.75" customHeight="1">
      <c r="B759" s="114"/>
    </row>
    <row r="760" ht="15.75" customHeight="1">
      <c r="B760" s="114"/>
    </row>
    <row r="761" ht="15.75" customHeight="1">
      <c r="B761" s="114"/>
    </row>
    <row r="762" ht="15.75" customHeight="1">
      <c r="B762" s="114"/>
    </row>
    <row r="763" ht="15.75" customHeight="1">
      <c r="B763" s="114"/>
    </row>
    <row r="764" ht="15.75" customHeight="1">
      <c r="B764" s="114"/>
    </row>
    <row r="765" ht="15.75" customHeight="1">
      <c r="B765" s="114"/>
    </row>
    <row r="766" ht="15.75" customHeight="1">
      <c r="B766" s="114"/>
    </row>
    <row r="767" ht="15.75" customHeight="1">
      <c r="B767" s="114"/>
    </row>
    <row r="768" ht="15.75" customHeight="1">
      <c r="B768" s="114"/>
    </row>
    <row r="769" ht="15.75" customHeight="1">
      <c r="B769" s="114"/>
    </row>
    <row r="770" ht="15.75" customHeight="1">
      <c r="B770" s="114"/>
    </row>
    <row r="771" ht="15.75" customHeight="1">
      <c r="B771" s="114"/>
    </row>
    <row r="772" ht="15.75" customHeight="1">
      <c r="B772" s="114"/>
    </row>
    <row r="773" ht="15.75" customHeight="1">
      <c r="B773" s="114"/>
    </row>
    <row r="774" ht="15.75" customHeight="1">
      <c r="B774" s="114"/>
    </row>
    <row r="775" ht="15.75" customHeight="1">
      <c r="B775" s="114"/>
    </row>
    <row r="776" ht="15.75" customHeight="1">
      <c r="B776" s="114"/>
    </row>
    <row r="777" ht="15.75" customHeight="1">
      <c r="B777" s="114"/>
    </row>
    <row r="778" ht="15.75" customHeight="1">
      <c r="B778" s="114"/>
    </row>
    <row r="779" ht="15.75" customHeight="1">
      <c r="B779" s="114"/>
    </row>
    <row r="780" ht="15.75" customHeight="1">
      <c r="B780" s="114"/>
    </row>
    <row r="781" ht="15.75" customHeight="1">
      <c r="B781" s="114"/>
    </row>
    <row r="782" ht="15.75" customHeight="1">
      <c r="B782" s="114"/>
    </row>
    <row r="783" ht="15.75" customHeight="1">
      <c r="B783" s="114"/>
    </row>
    <row r="784" ht="15.75" customHeight="1">
      <c r="B784" s="114"/>
    </row>
    <row r="785" ht="15.75" customHeight="1">
      <c r="B785" s="114"/>
    </row>
    <row r="786" ht="15.75" customHeight="1">
      <c r="B786" s="114"/>
    </row>
    <row r="787" ht="15.75" customHeight="1">
      <c r="B787" s="114"/>
    </row>
    <row r="788" ht="15.75" customHeight="1">
      <c r="B788" s="114"/>
    </row>
    <row r="789" ht="15.75" customHeight="1">
      <c r="B789" s="114"/>
    </row>
    <row r="790" ht="15.75" customHeight="1">
      <c r="B790" s="114"/>
    </row>
    <row r="791" ht="15.75" customHeight="1">
      <c r="B791" s="114"/>
    </row>
    <row r="792" ht="15.75" customHeight="1">
      <c r="B792" s="114"/>
    </row>
    <row r="793" ht="15.75" customHeight="1">
      <c r="B793" s="114"/>
    </row>
    <row r="794" ht="15.75" customHeight="1">
      <c r="B794" s="114"/>
    </row>
    <row r="795" ht="15.75" customHeight="1">
      <c r="B795" s="114"/>
    </row>
    <row r="796" ht="15.75" customHeight="1">
      <c r="B796" s="114"/>
    </row>
    <row r="797" ht="15.75" customHeight="1">
      <c r="B797" s="114"/>
    </row>
    <row r="798" ht="15.75" customHeight="1">
      <c r="B798" s="114"/>
    </row>
    <row r="799" ht="15.75" customHeight="1">
      <c r="B799" s="114"/>
    </row>
    <row r="800" ht="15.75" customHeight="1">
      <c r="B800" s="114"/>
    </row>
    <row r="801" ht="15.75" customHeight="1">
      <c r="B801" s="114"/>
    </row>
    <row r="802" ht="15.75" customHeight="1">
      <c r="B802" s="114"/>
    </row>
    <row r="803" ht="15.75" customHeight="1">
      <c r="B803" s="114"/>
    </row>
    <row r="804" ht="15.75" customHeight="1">
      <c r="B804" s="114"/>
    </row>
    <row r="805" ht="15.75" customHeight="1">
      <c r="B805" s="114"/>
    </row>
    <row r="806" ht="15.75" customHeight="1">
      <c r="B806" s="114"/>
    </row>
    <row r="807" ht="15.75" customHeight="1">
      <c r="B807" s="114"/>
    </row>
    <row r="808" ht="15.75" customHeight="1">
      <c r="B808" s="114"/>
    </row>
    <row r="809" ht="15.75" customHeight="1">
      <c r="B809" s="114"/>
    </row>
    <row r="810" ht="15.75" customHeight="1">
      <c r="B810" s="114"/>
    </row>
    <row r="811" ht="15.75" customHeight="1">
      <c r="B811" s="114"/>
    </row>
    <row r="812" ht="15.75" customHeight="1">
      <c r="B812" s="114"/>
    </row>
    <row r="813" ht="15.75" customHeight="1">
      <c r="B813" s="114"/>
    </row>
    <row r="814" ht="15.75" customHeight="1">
      <c r="B814" s="114"/>
    </row>
    <row r="815" ht="15.75" customHeight="1">
      <c r="B815" s="114"/>
    </row>
    <row r="816" ht="15.75" customHeight="1">
      <c r="B816" s="114"/>
    </row>
    <row r="817" ht="15.75" customHeight="1">
      <c r="B817" s="114"/>
    </row>
    <row r="818" ht="15.75" customHeight="1">
      <c r="B818" s="114"/>
    </row>
    <row r="819" ht="15.75" customHeight="1">
      <c r="B819" s="114"/>
    </row>
    <row r="820" ht="15.75" customHeight="1">
      <c r="B820" s="114"/>
    </row>
    <row r="821" ht="15.75" customHeight="1">
      <c r="B821" s="114"/>
    </row>
    <row r="822" ht="15.75" customHeight="1">
      <c r="B822" s="114"/>
    </row>
    <row r="823" ht="15.75" customHeight="1">
      <c r="B823" s="114"/>
    </row>
    <row r="824" ht="15.75" customHeight="1">
      <c r="B824" s="114"/>
    </row>
    <row r="825" ht="15.75" customHeight="1">
      <c r="B825" s="114"/>
    </row>
    <row r="826" ht="15.75" customHeight="1">
      <c r="B826" s="114"/>
    </row>
    <row r="827" ht="15.75" customHeight="1">
      <c r="B827" s="114"/>
    </row>
    <row r="828" ht="15.75" customHeight="1">
      <c r="B828" s="114"/>
    </row>
    <row r="829" ht="15.75" customHeight="1">
      <c r="B829" s="114"/>
    </row>
    <row r="830" ht="15.75" customHeight="1">
      <c r="B830" s="114"/>
    </row>
    <row r="831" ht="15.75" customHeight="1">
      <c r="B831" s="114"/>
    </row>
    <row r="832" ht="15.75" customHeight="1">
      <c r="B832" s="114"/>
    </row>
    <row r="833" ht="15.75" customHeight="1">
      <c r="B833" s="114"/>
    </row>
    <row r="834" ht="15.75" customHeight="1">
      <c r="B834" s="114"/>
    </row>
    <row r="835" ht="15.75" customHeight="1">
      <c r="B835" s="114"/>
    </row>
    <row r="836" ht="15.75" customHeight="1">
      <c r="B836" s="114"/>
    </row>
    <row r="837" ht="15.75" customHeight="1">
      <c r="B837" s="114"/>
    </row>
    <row r="838" ht="15.75" customHeight="1">
      <c r="B838" s="114"/>
    </row>
    <row r="839" ht="15.75" customHeight="1">
      <c r="B839" s="114"/>
    </row>
    <row r="840" ht="15.75" customHeight="1">
      <c r="B840" s="114"/>
    </row>
    <row r="841" ht="15.75" customHeight="1">
      <c r="B841" s="114"/>
    </row>
    <row r="842" ht="15.75" customHeight="1">
      <c r="B842" s="114"/>
    </row>
    <row r="843" ht="15.75" customHeight="1">
      <c r="B843" s="114"/>
    </row>
    <row r="844" ht="15.75" customHeight="1">
      <c r="B844" s="114"/>
    </row>
    <row r="845" ht="15.75" customHeight="1">
      <c r="B845" s="114"/>
    </row>
    <row r="846" ht="15.75" customHeight="1">
      <c r="B846" s="114"/>
    </row>
    <row r="847" ht="15.75" customHeight="1">
      <c r="B847" s="114"/>
    </row>
    <row r="848" ht="15.75" customHeight="1">
      <c r="B848" s="114"/>
    </row>
    <row r="849" ht="15.75" customHeight="1">
      <c r="B849" s="114"/>
    </row>
    <row r="850" ht="15.75" customHeight="1">
      <c r="B850" s="114"/>
    </row>
    <row r="851" ht="15.75" customHeight="1">
      <c r="B851" s="114"/>
    </row>
    <row r="852" ht="15.75" customHeight="1">
      <c r="B852" s="114"/>
    </row>
    <row r="853" ht="15.75" customHeight="1">
      <c r="B853" s="114"/>
    </row>
    <row r="854" ht="15.75" customHeight="1">
      <c r="B854" s="114"/>
    </row>
    <row r="855" ht="15.75" customHeight="1">
      <c r="B855" s="114"/>
    </row>
    <row r="856" ht="15.75" customHeight="1">
      <c r="B856" s="114"/>
    </row>
    <row r="857" ht="15.75" customHeight="1">
      <c r="B857" s="114"/>
    </row>
    <row r="858" ht="15.75" customHeight="1">
      <c r="B858" s="114"/>
    </row>
    <row r="859" ht="15.75" customHeight="1">
      <c r="B859" s="114"/>
    </row>
    <row r="860" ht="15.75" customHeight="1">
      <c r="B860" s="114"/>
    </row>
    <row r="861" ht="15.75" customHeight="1">
      <c r="B861" s="114"/>
    </row>
    <row r="862" ht="15.75" customHeight="1">
      <c r="B862" s="114"/>
    </row>
    <row r="863" ht="15.75" customHeight="1">
      <c r="B863" s="114"/>
    </row>
    <row r="864" ht="15.75" customHeight="1">
      <c r="B864" s="114"/>
    </row>
    <row r="865" ht="15.75" customHeight="1">
      <c r="B865" s="114"/>
    </row>
    <row r="866" ht="15.75" customHeight="1">
      <c r="B866" s="114"/>
    </row>
    <row r="867" ht="15.75" customHeight="1">
      <c r="B867" s="114"/>
    </row>
    <row r="868" ht="15.75" customHeight="1">
      <c r="B868" s="114"/>
    </row>
    <row r="869" ht="15.75" customHeight="1">
      <c r="B869" s="114"/>
    </row>
    <row r="870" ht="15.75" customHeight="1">
      <c r="B870" s="114"/>
    </row>
    <row r="871" ht="15.75" customHeight="1">
      <c r="B871" s="114"/>
    </row>
    <row r="872" ht="15.75" customHeight="1">
      <c r="B872" s="114"/>
    </row>
    <row r="873" ht="15.75" customHeight="1">
      <c r="B873" s="114"/>
    </row>
    <row r="874" ht="15.75" customHeight="1">
      <c r="B874" s="114"/>
    </row>
    <row r="875" ht="15.75" customHeight="1">
      <c r="B875" s="114"/>
    </row>
    <row r="876" ht="15.75" customHeight="1">
      <c r="B876" s="114"/>
    </row>
    <row r="877" ht="15.75" customHeight="1">
      <c r="B877" s="114"/>
    </row>
    <row r="878" ht="15.75" customHeight="1">
      <c r="B878" s="114"/>
    </row>
    <row r="879" ht="15.75" customHeight="1">
      <c r="B879" s="114"/>
    </row>
    <row r="880" ht="15.75" customHeight="1">
      <c r="B880" s="114"/>
    </row>
    <row r="881" ht="15.75" customHeight="1">
      <c r="B881" s="114"/>
    </row>
    <row r="882" ht="15.75" customHeight="1">
      <c r="B882" s="114"/>
    </row>
    <row r="883" ht="15.75" customHeight="1">
      <c r="B883" s="114"/>
    </row>
    <row r="884" ht="15.75" customHeight="1">
      <c r="B884" s="114"/>
    </row>
    <row r="885" ht="15.75" customHeight="1">
      <c r="B885" s="114"/>
    </row>
    <row r="886" ht="15.75" customHeight="1">
      <c r="B886" s="114"/>
    </row>
    <row r="887" ht="15.75" customHeight="1">
      <c r="B887" s="114"/>
    </row>
    <row r="888" ht="15.75" customHeight="1">
      <c r="B888" s="114"/>
    </row>
    <row r="889" ht="15.75" customHeight="1">
      <c r="B889" s="114"/>
    </row>
    <row r="890" ht="15.75" customHeight="1">
      <c r="B890" s="114"/>
    </row>
    <row r="891" ht="15.75" customHeight="1">
      <c r="B891" s="114"/>
    </row>
    <row r="892" ht="15.75" customHeight="1">
      <c r="B892" s="114"/>
    </row>
    <row r="893" ht="15.75" customHeight="1">
      <c r="B893" s="114"/>
    </row>
    <row r="894" ht="15.75" customHeight="1">
      <c r="B894" s="114"/>
    </row>
    <row r="895" ht="15.75" customHeight="1">
      <c r="B895" s="114"/>
    </row>
    <row r="896" ht="15.75" customHeight="1">
      <c r="B896" s="114"/>
    </row>
    <row r="897" ht="15.75" customHeight="1">
      <c r="B897" s="114"/>
    </row>
    <row r="898" ht="15.75" customHeight="1">
      <c r="B898" s="114"/>
    </row>
    <row r="899" ht="15.75" customHeight="1">
      <c r="B899" s="114"/>
    </row>
    <row r="900" ht="15.75" customHeight="1">
      <c r="B900" s="114"/>
    </row>
    <row r="901" ht="15.75" customHeight="1">
      <c r="B901" s="114"/>
    </row>
    <row r="902" ht="15.75" customHeight="1">
      <c r="B902" s="114"/>
    </row>
    <row r="903" ht="15.75" customHeight="1">
      <c r="B903" s="114"/>
    </row>
    <row r="904" ht="15.75" customHeight="1">
      <c r="B904" s="114"/>
    </row>
    <row r="905" ht="15.75" customHeight="1">
      <c r="B905" s="114"/>
    </row>
    <row r="906" ht="15.75" customHeight="1">
      <c r="B906" s="114"/>
    </row>
    <row r="907" ht="15.75" customHeight="1">
      <c r="B907" s="114"/>
    </row>
    <row r="908" ht="15.75" customHeight="1">
      <c r="B908" s="114"/>
    </row>
    <row r="909" ht="15.75" customHeight="1">
      <c r="B909" s="114"/>
    </row>
    <row r="910" ht="15.75" customHeight="1">
      <c r="B910" s="114"/>
    </row>
    <row r="911" ht="15.75" customHeight="1">
      <c r="B911" s="114"/>
    </row>
    <row r="912" ht="15.75" customHeight="1">
      <c r="B912" s="114"/>
    </row>
    <row r="913" ht="15.75" customHeight="1">
      <c r="B913" s="114"/>
    </row>
    <row r="914" ht="15.75" customHeight="1">
      <c r="B914" s="114"/>
    </row>
    <row r="915" ht="15.75" customHeight="1">
      <c r="B915" s="114"/>
    </row>
    <row r="916" ht="15.75" customHeight="1">
      <c r="B916" s="114"/>
    </row>
    <row r="917" ht="15.75" customHeight="1">
      <c r="B917" s="114"/>
    </row>
    <row r="918" ht="15.75" customHeight="1">
      <c r="B918" s="114"/>
    </row>
    <row r="919" ht="15.75" customHeight="1">
      <c r="B919" s="114"/>
    </row>
    <row r="920" ht="15.75" customHeight="1">
      <c r="B920" s="114"/>
    </row>
    <row r="921" ht="15.75" customHeight="1">
      <c r="B921" s="114"/>
    </row>
    <row r="922" ht="15.75" customHeight="1">
      <c r="B922" s="114"/>
    </row>
    <row r="923" ht="15.75" customHeight="1">
      <c r="B923" s="114"/>
    </row>
    <row r="924" ht="15.75" customHeight="1">
      <c r="B924" s="114"/>
    </row>
    <row r="925" ht="15.75" customHeight="1">
      <c r="B925" s="114"/>
    </row>
    <row r="926" ht="15.75" customHeight="1">
      <c r="B926" s="114"/>
    </row>
    <row r="927" ht="15.75" customHeight="1">
      <c r="B927" s="114"/>
    </row>
    <row r="928" ht="15.75" customHeight="1">
      <c r="B928" s="114"/>
    </row>
    <row r="929" ht="15.75" customHeight="1">
      <c r="B929" s="114"/>
    </row>
    <row r="930" ht="15.75" customHeight="1">
      <c r="B930" s="114"/>
    </row>
    <row r="931" ht="15.75" customHeight="1">
      <c r="B931" s="114"/>
    </row>
    <row r="932" ht="15.75" customHeight="1">
      <c r="B932" s="114"/>
    </row>
    <row r="933" ht="15.75" customHeight="1">
      <c r="B933" s="114"/>
    </row>
    <row r="934" ht="15.75" customHeight="1">
      <c r="B934" s="114"/>
    </row>
    <row r="935" ht="15.75" customHeight="1">
      <c r="B935" s="114"/>
    </row>
    <row r="936" ht="15.75" customHeight="1">
      <c r="B936" s="114"/>
    </row>
    <row r="937" ht="15.75" customHeight="1">
      <c r="B937" s="114"/>
    </row>
    <row r="938" ht="15.75" customHeight="1">
      <c r="B938" s="114"/>
    </row>
    <row r="939" ht="15.75" customHeight="1">
      <c r="B939" s="114"/>
    </row>
    <row r="940" ht="15.75" customHeight="1">
      <c r="B940" s="114"/>
    </row>
    <row r="941" ht="15.75" customHeight="1">
      <c r="B941" s="114"/>
    </row>
    <row r="942" ht="15.75" customHeight="1">
      <c r="B942" s="114"/>
    </row>
    <row r="943" ht="15.75" customHeight="1">
      <c r="B943" s="114"/>
    </row>
    <row r="944" ht="15.75" customHeight="1">
      <c r="B944" s="114"/>
    </row>
    <row r="945" ht="15.75" customHeight="1">
      <c r="B945" s="114"/>
    </row>
    <row r="946" ht="15.75" customHeight="1">
      <c r="B946" s="114"/>
    </row>
    <row r="947" ht="15.75" customHeight="1">
      <c r="B947" s="114"/>
    </row>
    <row r="948" ht="15.75" customHeight="1">
      <c r="B948" s="114"/>
    </row>
    <row r="949" ht="15.75" customHeight="1">
      <c r="B949" s="114"/>
    </row>
    <row r="950" ht="15.75" customHeight="1">
      <c r="B950" s="114"/>
    </row>
    <row r="951" ht="15.75" customHeight="1">
      <c r="B951" s="114"/>
    </row>
    <row r="952" ht="15.75" customHeight="1">
      <c r="B952" s="114"/>
    </row>
    <row r="953" ht="15.75" customHeight="1">
      <c r="B953" s="114"/>
    </row>
    <row r="954" ht="15.75" customHeight="1">
      <c r="B954" s="114"/>
    </row>
    <row r="955" ht="15.75" customHeight="1">
      <c r="B955" s="114"/>
    </row>
    <row r="956" ht="15.75" customHeight="1">
      <c r="B956" s="114"/>
    </row>
    <row r="957" ht="15.75" customHeight="1">
      <c r="B957" s="114"/>
    </row>
    <row r="958" ht="15.75" customHeight="1">
      <c r="B958" s="114"/>
    </row>
    <row r="959" ht="15.75" customHeight="1">
      <c r="B959" s="114"/>
    </row>
    <row r="960" ht="15.75" customHeight="1">
      <c r="B960" s="114"/>
    </row>
    <row r="961" ht="15.75" customHeight="1">
      <c r="B961" s="114"/>
    </row>
    <row r="962" ht="15.75" customHeight="1">
      <c r="B962" s="114"/>
    </row>
    <row r="963" ht="15.75" customHeight="1">
      <c r="B963" s="114"/>
    </row>
    <row r="964" ht="15.75" customHeight="1">
      <c r="B964" s="114"/>
    </row>
    <row r="965" ht="15.75" customHeight="1">
      <c r="B965" s="114"/>
    </row>
    <row r="966" ht="15.75" customHeight="1">
      <c r="B966" s="114"/>
    </row>
    <row r="967" ht="15.75" customHeight="1">
      <c r="B967" s="114"/>
    </row>
    <row r="968" ht="15.75" customHeight="1">
      <c r="B968" s="114"/>
    </row>
    <row r="969" ht="15.75" customHeight="1">
      <c r="B969" s="114"/>
    </row>
    <row r="970" ht="15.75" customHeight="1">
      <c r="B970" s="114"/>
    </row>
    <row r="971" ht="15.75" customHeight="1">
      <c r="B971" s="114"/>
    </row>
    <row r="972" ht="15.75" customHeight="1">
      <c r="B972" s="114"/>
    </row>
    <row r="973" ht="15.75" customHeight="1">
      <c r="B973" s="114"/>
    </row>
    <row r="974" ht="15.75" customHeight="1">
      <c r="B974" s="114"/>
    </row>
    <row r="975" ht="15.75" customHeight="1">
      <c r="B975" s="114"/>
    </row>
    <row r="976" ht="15.75" customHeight="1">
      <c r="B976" s="114"/>
    </row>
    <row r="977" ht="15.75" customHeight="1">
      <c r="B977" s="114"/>
    </row>
    <row r="978" ht="15.75" customHeight="1">
      <c r="B978" s="114"/>
    </row>
    <row r="979" ht="15.75" customHeight="1">
      <c r="B979" s="114"/>
    </row>
    <row r="980" ht="15.75" customHeight="1">
      <c r="B980" s="114"/>
    </row>
    <row r="981" ht="15.75" customHeight="1">
      <c r="B981" s="114"/>
    </row>
    <row r="982" ht="15.75" customHeight="1">
      <c r="B982" s="114"/>
    </row>
    <row r="983" ht="15.75" customHeight="1">
      <c r="B983" s="114"/>
    </row>
    <row r="984" ht="15.75" customHeight="1">
      <c r="B984" s="114"/>
    </row>
    <row r="985" ht="15.75" customHeight="1">
      <c r="B985" s="114"/>
    </row>
    <row r="986" ht="15.75" customHeight="1">
      <c r="B986" s="114"/>
    </row>
    <row r="987" ht="15.75" customHeight="1">
      <c r="B987" s="114"/>
    </row>
    <row r="988" ht="15.75" customHeight="1">
      <c r="B988" s="114"/>
    </row>
    <row r="989" ht="15.75" customHeight="1">
      <c r="B989" s="114"/>
    </row>
    <row r="990" ht="15.75" customHeight="1">
      <c r="B990" s="114"/>
    </row>
    <row r="991" ht="15.75" customHeight="1">
      <c r="B991" s="114"/>
    </row>
    <row r="992" ht="15.75" customHeight="1">
      <c r="B992" s="114"/>
    </row>
    <row r="993" ht="15.75" customHeight="1">
      <c r="B993" s="114"/>
    </row>
    <row r="994" ht="15.75" customHeight="1">
      <c r="B994" s="114"/>
    </row>
    <row r="995" ht="15.75" customHeight="1">
      <c r="B995" s="114"/>
    </row>
    <row r="996" ht="15.75" customHeight="1">
      <c r="B996" s="114"/>
    </row>
    <row r="997" ht="15.75" customHeight="1">
      <c r="B997" s="114"/>
    </row>
    <row r="998" ht="15.75" customHeight="1">
      <c r="B998" s="114"/>
    </row>
    <row r="999" ht="15.75" customHeight="1">
      <c r="B999" s="114"/>
    </row>
    <row r="1000" ht="15.75" customHeight="1">
      <c r="B1000" s="114"/>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C99"/>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7.0"/>
    <col customWidth="1" min="3" max="3" width="19.0"/>
    <col customWidth="1" min="4" max="4" width="8.71"/>
    <col customWidth="1" min="5" max="5" width="15.71"/>
    <col customWidth="1" min="6" max="6" width="29.57"/>
    <col customWidth="1" min="7" max="7" width="102.0"/>
    <col customWidth="1" min="8" max="8" width="12.43"/>
    <col customWidth="1" min="9" max="9" width="13.29"/>
    <col customWidth="1" min="10" max="10" width="18.71"/>
    <col customWidth="1" min="11" max="11" width="12.0"/>
    <col customWidth="1" min="12" max="12" width="18.43"/>
    <col customWidth="1" min="13" max="13" width="6.57"/>
    <col customWidth="1" min="14" max="14" width="8.71"/>
    <col customWidth="1" min="15" max="15" width="10.57"/>
    <col customWidth="1" min="16" max="16" width="14.29"/>
    <col customWidth="1" min="17" max="17" width="8.71"/>
    <col customWidth="1" min="18" max="18" width="12.14"/>
    <col customWidth="1" min="19" max="21" width="8.71"/>
    <col customWidth="1" min="22" max="22" width="10.57"/>
    <col customWidth="1" min="23" max="23" width="12.14"/>
    <col customWidth="1" min="24" max="24" width="8.71"/>
    <col customWidth="1" min="25" max="25" width="17.71"/>
    <col customWidth="1" min="26" max="26" width="9.71"/>
    <col customWidth="1" min="27" max="27" width="15.86"/>
    <col customWidth="1" min="28" max="28" width="29.29"/>
    <col customWidth="1" min="29" max="29" width="18.71"/>
    <col customWidth="1" min="30" max="31" width="8.71"/>
    <col customWidth="1" min="32" max="32" width="14.57"/>
    <col customWidth="1" min="33" max="33" width="11.86"/>
    <col customWidth="1" min="34" max="34" width="19.43"/>
    <col customWidth="1" min="35" max="35" width="16.29"/>
    <col customWidth="1" min="36" max="36" width="15.43"/>
    <col customWidth="1" min="37" max="37" width="23.14"/>
    <col customWidth="1" min="38" max="38" width="21.43"/>
  </cols>
  <sheetData>
    <row r="1" ht="18.0" customHeight="1">
      <c r="A1" s="115" t="s">
        <v>1803</v>
      </c>
      <c r="B1" s="115" t="s">
        <v>1804</v>
      </c>
      <c r="C1" s="116" t="s">
        <v>1805</v>
      </c>
      <c r="D1" s="117" t="s">
        <v>1806</v>
      </c>
      <c r="E1" s="116" t="s">
        <v>1807</v>
      </c>
      <c r="F1" s="118" t="s">
        <v>1808</v>
      </c>
      <c r="G1" s="119" t="s">
        <v>3</v>
      </c>
      <c r="H1" s="120" t="s">
        <v>1809</v>
      </c>
      <c r="I1" s="120" t="s">
        <v>1810</v>
      </c>
      <c r="J1" s="121" t="s">
        <v>1811</v>
      </c>
      <c r="K1" s="121" t="s">
        <v>1812</v>
      </c>
      <c r="L1" s="121" t="s">
        <v>1813</v>
      </c>
      <c r="M1" s="121" t="s">
        <v>1814</v>
      </c>
      <c r="N1" s="121" t="s">
        <v>1815</v>
      </c>
      <c r="O1" s="121" t="s">
        <v>1816</v>
      </c>
      <c r="P1" s="121" t="s">
        <v>1817</v>
      </c>
      <c r="Q1" s="121" t="s">
        <v>1818</v>
      </c>
      <c r="R1" s="121" t="s">
        <v>1819</v>
      </c>
      <c r="S1" s="121" t="s">
        <v>1820</v>
      </c>
      <c r="T1" s="121" t="s">
        <v>1821</v>
      </c>
      <c r="U1" s="121" t="s">
        <v>1822</v>
      </c>
      <c r="V1" s="121" t="s">
        <v>1823</v>
      </c>
      <c r="W1" s="121" t="s">
        <v>1824</v>
      </c>
      <c r="X1" s="121" t="s">
        <v>1825</v>
      </c>
      <c r="Y1" s="121" t="s">
        <v>1826</v>
      </c>
      <c r="Z1" s="121" t="s">
        <v>1827</v>
      </c>
      <c r="AA1" s="121" t="s">
        <v>1828</v>
      </c>
      <c r="AB1" s="121" t="s">
        <v>1829</v>
      </c>
      <c r="AC1" s="121" t="s">
        <v>1830</v>
      </c>
      <c r="AD1" s="121" t="s">
        <v>1831</v>
      </c>
      <c r="AE1" s="121" t="s">
        <v>1832</v>
      </c>
      <c r="AF1" s="121" t="s">
        <v>1833</v>
      </c>
      <c r="AG1" s="121" t="s">
        <v>1834</v>
      </c>
      <c r="AH1" s="121" t="s">
        <v>1835</v>
      </c>
      <c r="AI1" s="121" t="s">
        <v>1836</v>
      </c>
      <c r="AJ1" s="121" t="s">
        <v>1837</v>
      </c>
      <c r="AK1" s="121" t="s">
        <v>1838</v>
      </c>
      <c r="AL1" s="121" t="s">
        <v>1839</v>
      </c>
    </row>
    <row r="2">
      <c r="A2" s="122">
        <v>1.0</v>
      </c>
      <c r="B2" s="123" t="s">
        <v>1742</v>
      </c>
      <c r="C2" s="124" t="s">
        <v>1840</v>
      </c>
      <c r="D2" s="122" t="s">
        <v>1841</v>
      </c>
      <c r="E2" s="125" t="s">
        <v>7</v>
      </c>
      <c r="F2" s="126" t="s">
        <v>1842</v>
      </c>
      <c r="G2" s="127" t="s">
        <v>8</v>
      </c>
      <c r="H2" s="128"/>
      <c r="I2" s="129" t="s">
        <v>1843</v>
      </c>
      <c r="J2" s="130" t="s">
        <v>1844</v>
      </c>
      <c r="K2" s="129" t="s">
        <v>1844</v>
      </c>
      <c r="L2" s="129" t="s">
        <v>1844</v>
      </c>
      <c r="M2" s="129" t="s">
        <v>1844</v>
      </c>
      <c r="N2" s="131" t="s">
        <v>1844</v>
      </c>
      <c r="O2" s="132" t="s">
        <v>1844</v>
      </c>
      <c r="P2" s="132" t="s">
        <v>1844</v>
      </c>
      <c r="Q2" s="132" t="s">
        <v>1845</v>
      </c>
      <c r="R2" s="132"/>
      <c r="S2" s="132"/>
      <c r="T2" s="132"/>
      <c r="U2" s="132"/>
      <c r="V2" s="132"/>
      <c r="W2" s="132"/>
      <c r="X2" s="129"/>
      <c r="Y2" s="133"/>
      <c r="Z2" s="133"/>
      <c r="AA2" s="134"/>
      <c r="AB2" s="132"/>
      <c r="AC2" s="135"/>
      <c r="AD2" s="132"/>
      <c r="AE2" s="132"/>
      <c r="AF2" s="136"/>
      <c r="AG2" s="128"/>
      <c r="AH2" s="136"/>
      <c r="AI2" s="128"/>
      <c r="AJ2" s="137"/>
      <c r="AK2" s="135"/>
      <c r="AL2" s="135"/>
    </row>
    <row r="3">
      <c r="A3" s="122">
        <v>2.0</v>
      </c>
      <c r="B3" s="138">
        <f t="shared" ref="B3:B5" si="1">SUM(A3+10000)</f>
        <v>10002</v>
      </c>
      <c r="C3" s="124" t="s">
        <v>1840</v>
      </c>
      <c r="D3" s="122" t="s">
        <v>1846</v>
      </c>
      <c r="E3" s="125" t="s">
        <v>7</v>
      </c>
      <c r="F3" s="126" t="s">
        <v>1847</v>
      </c>
      <c r="G3" s="127" t="s">
        <v>10</v>
      </c>
      <c r="H3" s="139" t="s">
        <v>1848</v>
      </c>
      <c r="I3" s="129" t="s">
        <v>1843</v>
      </c>
      <c r="J3" s="130" t="s">
        <v>1844</v>
      </c>
      <c r="K3" s="129" t="s">
        <v>1844</v>
      </c>
      <c r="L3" s="129" t="s">
        <v>1844</v>
      </c>
      <c r="M3" s="129" t="s">
        <v>1844</v>
      </c>
      <c r="N3" s="131" t="s">
        <v>1844</v>
      </c>
      <c r="O3" s="132" t="s">
        <v>1844</v>
      </c>
      <c r="P3" s="132" t="s">
        <v>1844</v>
      </c>
      <c r="Q3" s="132"/>
      <c r="R3" s="132"/>
      <c r="S3" s="132" t="s">
        <v>1845</v>
      </c>
      <c r="T3" s="132"/>
      <c r="U3" s="132"/>
      <c r="V3" s="132"/>
      <c r="W3" s="132"/>
      <c r="X3" s="129"/>
      <c r="Y3" s="129"/>
      <c r="Z3" s="129"/>
      <c r="AA3" s="132"/>
      <c r="AB3" s="132"/>
      <c r="AC3" s="132"/>
      <c r="AD3" s="132"/>
      <c r="AE3" s="132"/>
      <c r="AF3" s="136"/>
      <c r="AG3" s="128"/>
      <c r="AH3" s="136"/>
      <c r="AI3" s="128"/>
      <c r="AJ3" s="137"/>
      <c r="AK3" s="140"/>
      <c r="AL3" s="140"/>
    </row>
    <row r="4">
      <c r="A4" s="141">
        <v>3.0</v>
      </c>
      <c r="B4" s="138">
        <f t="shared" si="1"/>
        <v>10003</v>
      </c>
      <c r="C4" s="124" t="s">
        <v>1840</v>
      </c>
      <c r="D4" s="122" t="s">
        <v>1849</v>
      </c>
      <c r="E4" s="141" t="s">
        <v>7</v>
      </c>
      <c r="F4" s="142" t="s">
        <v>1850</v>
      </c>
      <c r="G4" s="142" t="s">
        <v>12</v>
      </c>
      <c r="H4" s="128" t="s">
        <v>1851</v>
      </c>
      <c r="I4" s="129" t="s">
        <v>1852</v>
      </c>
      <c r="J4" s="143" t="s">
        <v>1844</v>
      </c>
      <c r="K4" s="129" t="s">
        <v>1844</v>
      </c>
      <c r="L4" s="132" t="s">
        <v>1844</v>
      </c>
      <c r="M4" s="132" t="s">
        <v>1844</v>
      </c>
      <c r="N4" s="131" t="s">
        <v>1844</v>
      </c>
      <c r="O4" s="132" t="s">
        <v>1844</v>
      </c>
      <c r="P4" s="132"/>
      <c r="Q4" s="132"/>
      <c r="R4" s="132"/>
      <c r="S4" s="132"/>
      <c r="T4" s="132"/>
      <c r="U4" s="132" t="s">
        <v>1845</v>
      </c>
      <c r="V4" s="132"/>
      <c r="W4" s="132"/>
      <c r="X4" s="132"/>
      <c r="Y4" s="132"/>
      <c r="Z4" s="129"/>
      <c r="AA4" s="132"/>
      <c r="AB4" s="132"/>
      <c r="AC4" s="132"/>
      <c r="AD4" s="132"/>
      <c r="AE4" s="132"/>
      <c r="AF4" s="136"/>
      <c r="AG4" s="144"/>
      <c r="AH4" s="145"/>
      <c r="AI4" s="146"/>
      <c r="AJ4" s="147"/>
      <c r="AK4" s="140"/>
      <c r="AL4" s="140"/>
    </row>
    <row r="5">
      <c r="A5" s="122">
        <v>4.0</v>
      </c>
      <c r="B5" s="138">
        <f t="shared" si="1"/>
        <v>10004</v>
      </c>
      <c r="C5" s="124" t="s">
        <v>1840</v>
      </c>
      <c r="D5" s="122" t="s">
        <v>1849</v>
      </c>
      <c r="E5" s="125" t="s">
        <v>7</v>
      </c>
      <c r="F5" s="126" t="s">
        <v>1853</v>
      </c>
      <c r="G5" s="148" t="s">
        <v>1854</v>
      </c>
      <c r="H5" s="128" t="s">
        <v>1855</v>
      </c>
      <c r="I5" s="128" t="s">
        <v>1843</v>
      </c>
      <c r="J5" s="149" t="s">
        <v>1844</v>
      </c>
      <c r="K5" s="128" t="s">
        <v>1844</v>
      </c>
      <c r="L5" s="128" t="s">
        <v>1844</v>
      </c>
      <c r="M5" s="128" t="s">
        <v>1844</v>
      </c>
      <c r="N5" s="144" t="s">
        <v>1844</v>
      </c>
      <c r="O5" s="136" t="s">
        <v>1844</v>
      </c>
      <c r="P5" s="136"/>
      <c r="Q5" s="136"/>
      <c r="R5" s="136"/>
      <c r="S5" s="136"/>
      <c r="T5" s="136" t="s">
        <v>1845</v>
      </c>
      <c r="U5" s="136"/>
      <c r="V5" s="136"/>
      <c r="W5" s="136"/>
      <c r="X5" s="128"/>
      <c r="Y5" s="128"/>
      <c r="Z5" s="128"/>
      <c r="AA5" s="136"/>
      <c r="AB5" s="136"/>
      <c r="AC5" s="136"/>
      <c r="AD5" s="136"/>
      <c r="AE5" s="136"/>
      <c r="AF5" s="136"/>
      <c r="AG5" s="128"/>
      <c r="AH5" s="136"/>
      <c r="AI5" s="128"/>
      <c r="AJ5" s="137"/>
      <c r="AK5" s="140"/>
      <c r="AL5" s="140"/>
    </row>
    <row r="6">
      <c r="A6" s="122">
        <v>5.0</v>
      </c>
      <c r="B6" s="138">
        <v>10005.0</v>
      </c>
      <c r="C6" s="124" t="s">
        <v>1840</v>
      </c>
      <c r="D6" s="122" t="s">
        <v>1846</v>
      </c>
      <c r="E6" s="125" t="s">
        <v>7</v>
      </c>
      <c r="F6" s="126" t="s">
        <v>1856</v>
      </c>
      <c r="G6" s="127" t="s">
        <v>16</v>
      </c>
      <c r="H6" s="139" t="s">
        <v>1857</v>
      </c>
      <c r="I6" s="129" t="s">
        <v>1843</v>
      </c>
      <c r="J6" s="130" t="s">
        <v>1844</v>
      </c>
      <c r="K6" s="129" t="s">
        <v>1844</v>
      </c>
      <c r="L6" s="129" t="s">
        <v>1844</v>
      </c>
      <c r="M6" s="129" t="s">
        <v>1844</v>
      </c>
      <c r="N6" s="131" t="s">
        <v>1844</v>
      </c>
      <c r="O6" s="132" t="s">
        <v>1844</v>
      </c>
      <c r="P6" s="132"/>
      <c r="Q6" s="132"/>
      <c r="R6" s="132"/>
      <c r="S6" s="132"/>
      <c r="T6" s="132"/>
      <c r="U6" s="132"/>
      <c r="V6" s="132"/>
      <c r="W6" s="132"/>
      <c r="X6" s="129" t="s">
        <v>1845</v>
      </c>
      <c r="Y6" s="129"/>
      <c r="Z6" s="129"/>
      <c r="AA6" s="132"/>
      <c r="AB6" s="132"/>
      <c r="AC6" s="132"/>
      <c r="AD6" s="132"/>
      <c r="AE6" s="132"/>
      <c r="AF6" s="136"/>
      <c r="AG6" s="140"/>
      <c r="AH6" s="136"/>
      <c r="AI6" s="128"/>
      <c r="AJ6" s="137"/>
      <c r="AK6" s="140"/>
      <c r="AL6" s="140"/>
    </row>
    <row r="7">
      <c r="A7" s="122">
        <v>6.0</v>
      </c>
      <c r="B7" s="123" t="s">
        <v>1742</v>
      </c>
      <c r="C7" s="124" t="s">
        <v>1840</v>
      </c>
      <c r="D7" s="122" t="s">
        <v>1849</v>
      </c>
      <c r="E7" s="125" t="s">
        <v>7</v>
      </c>
      <c r="F7" s="126" t="s">
        <v>1858</v>
      </c>
      <c r="G7" s="127" t="s">
        <v>18</v>
      </c>
      <c r="H7" s="139" t="s">
        <v>1859</v>
      </c>
      <c r="I7" s="129" t="s">
        <v>1843</v>
      </c>
      <c r="J7" s="130" t="s">
        <v>1844</v>
      </c>
      <c r="K7" s="129" t="s">
        <v>1844</v>
      </c>
      <c r="L7" s="129" t="s">
        <v>1844</v>
      </c>
      <c r="M7" s="129" t="s">
        <v>1844</v>
      </c>
      <c r="N7" s="131" t="s">
        <v>1844</v>
      </c>
      <c r="O7" s="132" t="s">
        <v>1844</v>
      </c>
      <c r="P7" s="132" t="s">
        <v>1844</v>
      </c>
      <c r="Q7" s="132" t="s">
        <v>1845</v>
      </c>
      <c r="R7" s="132"/>
      <c r="S7" s="132" t="s">
        <v>1845</v>
      </c>
      <c r="T7" s="132"/>
      <c r="U7" s="132"/>
      <c r="V7" s="132"/>
      <c r="W7" s="132"/>
      <c r="X7" s="129"/>
      <c r="Y7" s="129"/>
      <c r="Z7" s="129"/>
      <c r="AA7" s="132"/>
      <c r="AB7" s="132"/>
      <c r="AC7" s="132"/>
      <c r="AD7" s="132"/>
      <c r="AE7" s="132"/>
      <c r="AF7" s="136"/>
      <c r="AG7" s="140"/>
      <c r="AH7" s="136"/>
      <c r="AI7" s="128"/>
      <c r="AJ7" s="137"/>
      <c r="AK7" s="140"/>
      <c r="AL7" s="140"/>
    </row>
    <row r="8">
      <c r="A8" s="150">
        <v>7.0</v>
      </c>
      <c r="B8" s="138">
        <f t="shared" ref="B8:B9" si="2">SUM(A8+10000)</f>
        <v>10007</v>
      </c>
      <c r="C8" s="124" t="s">
        <v>1840</v>
      </c>
      <c r="D8" s="122" t="s">
        <v>1846</v>
      </c>
      <c r="E8" s="151" t="s">
        <v>20</v>
      </c>
      <c r="F8" s="152" t="s">
        <v>1860</v>
      </c>
      <c r="G8" s="153" t="s">
        <v>21</v>
      </c>
      <c r="H8" s="129" t="s">
        <v>1861</v>
      </c>
      <c r="I8" s="129" t="s">
        <v>1843</v>
      </c>
      <c r="J8" s="130" t="s">
        <v>1844</v>
      </c>
      <c r="K8" s="129" t="s">
        <v>1844</v>
      </c>
      <c r="L8" s="129" t="s">
        <v>1844</v>
      </c>
      <c r="M8" s="129" t="s">
        <v>1845</v>
      </c>
      <c r="N8" s="131" t="s">
        <v>1844</v>
      </c>
      <c r="O8" s="132" t="s">
        <v>1844</v>
      </c>
      <c r="P8" s="132" t="s">
        <v>1862</v>
      </c>
      <c r="Q8" s="132"/>
      <c r="R8" s="132"/>
      <c r="S8" s="132"/>
      <c r="T8" s="132"/>
      <c r="U8" s="132"/>
      <c r="V8" s="132"/>
      <c r="W8" s="132"/>
      <c r="X8" s="129"/>
      <c r="Y8" s="129"/>
      <c r="Z8" s="129"/>
      <c r="AA8" s="132"/>
      <c r="AB8" s="132"/>
      <c r="AC8" s="132"/>
      <c r="AD8" s="132"/>
      <c r="AE8" s="132"/>
      <c r="AF8" s="136"/>
      <c r="AG8" s="128"/>
      <c r="AH8" s="136"/>
      <c r="AI8" s="128"/>
      <c r="AJ8" s="137"/>
      <c r="AK8" s="140"/>
      <c r="AL8" s="140"/>
    </row>
    <row r="9">
      <c r="A9" s="122">
        <v>8.0</v>
      </c>
      <c r="B9" s="138">
        <f t="shared" si="2"/>
        <v>10008</v>
      </c>
      <c r="C9" s="124" t="s">
        <v>1840</v>
      </c>
      <c r="D9" s="122" t="s">
        <v>1849</v>
      </c>
      <c r="E9" s="125" t="s">
        <v>7</v>
      </c>
      <c r="F9" s="154" t="s">
        <v>1863</v>
      </c>
      <c r="G9" s="127" t="s">
        <v>23</v>
      </c>
      <c r="H9" s="128" t="s">
        <v>1864</v>
      </c>
      <c r="I9" s="129" t="s">
        <v>1843</v>
      </c>
      <c r="J9" s="130" t="s">
        <v>1844</v>
      </c>
      <c r="K9" s="129" t="s">
        <v>1844</v>
      </c>
      <c r="L9" s="129" t="s">
        <v>1844</v>
      </c>
      <c r="M9" s="129" t="s">
        <v>1844</v>
      </c>
      <c r="N9" s="131" t="s">
        <v>1844</v>
      </c>
      <c r="O9" s="132" t="s">
        <v>1844</v>
      </c>
      <c r="P9" s="129"/>
      <c r="Q9" s="132"/>
      <c r="R9" s="132"/>
      <c r="S9" s="132"/>
      <c r="T9" s="132"/>
      <c r="U9" s="132"/>
      <c r="V9" s="132"/>
      <c r="W9" s="132"/>
      <c r="X9" s="129"/>
      <c r="Y9" s="129"/>
      <c r="Z9" s="129"/>
      <c r="AA9" s="132"/>
      <c r="AB9" s="132"/>
      <c r="AC9" s="132"/>
      <c r="AD9" s="132"/>
      <c r="AE9" s="132"/>
      <c r="AF9" s="136"/>
      <c r="AG9" s="128"/>
      <c r="AH9" s="136"/>
      <c r="AI9" s="128"/>
      <c r="AJ9" s="137"/>
      <c r="AK9" s="140"/>
      <c r="AL9" s="140"/>
    </row>
    <row r="10">
      <c r="A10" s="122">
        <v>9.0</v>
      </c>
      <c r="B10" s="123" t="s">
        <v>1742</v>
      </c>
      <c r="C10" s="124" t="s">
        <v>1840</v>
      </c>
      <c r="D10" s="122" t="s">
        <v>1849</v>
      </c>
      <c r="E10" s="125" t="s">
        <v>7</v>
      </c>
      <c r="F10" s="126" t="s">
        <v>1865</v>
      </c>
      <c r="G10" s="127" t="s">
        <v>25</v>
      </c>
      <c r="H10" s="155" t="s">
        <v>1866</v>
      </c>
      <c r="I10" s="129" t="s">
        <v>1852</v>
      </c>
      <c r="J10" s="130" t="s">
        <v>1844</v>
      </c>
      <c r="K10" s="129" t="s">
        <v>1844</v>
      </c>
      <c r="L10" s="129" t="s">
        <v>1844</v>
      </c>
      <c r="M10" s="129" t="s">
        <v>1844</v>
      </c>
      <c r="N10" s="131" t="s">
        <v>1844</v>
      </c>
      <c r="O10" s="132" t="s">
        <v>1844</v>
      </c>
      <c r="P10" s="129" t="s">
        <v>1844</v>
      </c>
      <c r="Q10" s="132" t="s">
        <v>1845</v>
      </c>
      <c r="R10" s="132"/>
      <c r="S10" s="132"/>
      <c r="T10" s="132"/>
      <c r="U10" s="132" t="s">
        <v>1845</v>
      </c>
      <c r="V10" s="132"/>
      <c r="W10" s="132"/>
      <c r="X10" s="129"/>
      <c r="Y10" s="129"/>
      <c r="Z10" s="129"/>
      <c r="AA10" s="132"/>
      <c r="AB10" s="132"/>
      <c r="AC10" s="132"/>
      <c r="AD10" s="132"/>
      <c r="AE10" s="132"/>
      <c r="AF10" s="136"/>
      <c r="AG10" s="140"/>
      <c r="AH10" s="136"/>
      <c r="AI10" s="128"/>
      <c r="AJ10" s="137"/>
      <c r="AK10" s="140"/>
      <c r="AL10" s="140"/>
    </row>
    <row r="11">
      <c r="A11" s="122">
        <v>10.0</v>
      </c>
      <c r="B11" s="138">
        <f>SUM(A11+10000)</f>
        <v>10010</v>
      </c>
      <c r="C11" s="124" t="s">
        <v>1840</v>
      </c>
      <c r="D11" s="122" t="s">
        <v>1841</v>
      </c>
      <c r="E11" s="125" t="s">
        <v>27</v>
      </c>
      <c r="F11" s="126" t="s">
        <v>1867</v>
      </c>
      <c r="G11" s="127" t="s">
        <v>28</v>
      </c>
      <c r="H11" s="156" t="s">
        <v>1868</v>
      </c>
      <c r="I11" s="129" t="s">
        <v>1843</v>
      </c>
      <c r="J11" s="130" t="s">
        <v>1844</v>
      </c>
      <c r="K11" s="129" t="s">
        <v>1844</v>
      </c>
      <c r="L11" s="129" t="s">
        <v>1844</v>
      </c>
      <c r="M11" s="129" t="s">
        <v>1845</v>
      </c>
      <c r="N11" s="131" t="s">
        <v>1844</v>
      </c>
      <c r="O11" s="132" t="s">
        <v>1844</v>
      </c>
      <c r="P11" s="132" t="s">
        <v>1862</v>
      </c>
      <c r="Q11" s="132"/>
      <c r="R11" s="132"/>
      <c r="S11" s="132"/>
      <c r="T11" s="132"/>
      <c r="U11" s="132"/>
      <c r="V11" s="132"/>
      <c r="W11" s="132"/>
      <c r="X11" s="129"/>
      <c r="Y11" s="129"/>
      <c r="Z11" s="129"/>
      <c r="AA11" s="132"/>
      <c r="AB11" s="132"/>
      <c r="AC11" s="132"/>
      <c r="AD11" s="132"/>
      <c r="AE11" s="132"/>
      <c r="AF11" s="136"/>
      <c r="AG11" s="128"/>
      <c r="AH11" s="136"/>
      <c r="AI11" s="128"/>
      <c r="AJ11" s="137"/>
      <c r="AK11" s="140"/>
      <c r="AL11" s="140"/>
    </row>
    <row r="12">
      <c r="A12" s="122">
        <v>11.0</v>
      </c>
      <c r="B12" s="123" t="s">
        <v>1742</v>
      </c>
      <c r="C12" s="124" t="s">
        <v>1840</v>
      </c>
      <c r="D12" s="122" t="s">
        <v>1841</v>
      </c>
      <c r="E12" s="125" t="s">
        <v>7</v>
      </c>
      <c r="F12" s="126" t="s">
        <v>1869</v>
      </c>
      <c r="G12" s="127" t="s">
        <v>30</v>
      </c>
      <c r="H12" s="155" t="s">
        <v>1870</v>
      </c>
      <c r="I12" s="129" t="s">
        <v>1843</v>
      </c>
      <c r="J12" s="130" t="s">
        <v>1844</v>
      </c>
      <c r="K12" s="129" t="s">
        <v>1844</v>
      </c>
      <c r="L12" s="129" t="s">
        <v>1844</v>
      </c>
      <c r="M12" s="129" t="s">
        <v>1844</v>
      </c>
      <c r="N12" s="131" t="s">
        <v>1844</v>
      </c>
      <c r="O12" s="132" t="s">
        <v>1844</v>
      </c>
      <c r="P12" s="129" t="s">
        <v>1844</v>
      </c>
      <c r="Q12" s="132" t="s">
        <v>1845</v>
      </c>
      <c r="R12" s="132"/>
      <c r="S12" s="132"/>
      <c r="T12" s="132"/>
      <c r="U12" s="132"/>
      <c r="V12" s="132"/>
      <c r="W12" s="132"/>
      <c r="X12" s="129"/>
      <c r="Y12" s="129"/>
      <c r="Z12" s="129"/>
      <c r="AA12" s="132"/>
      <c r="AB12" s="132"/>
      <c r="AC12" s="132"/>
      <c r="AD12" s="132"/>
      <c r="AE12" s="132"/>
      <c r="AF12" s="136"/>
      <c r="AG12" s="140"/>
      <c r="AH12" s="136"/>
      <c r="AI12" s="128"/>
      <c r="AJ12" s="137"/>
      <c r="AK12" s="140"/>
      <c r="AL12" s="140"/>
    </row>
    <row r="13">
      <c r="A13" s="122">
        <v>12.0</v>
      </c>
      <c r="B13" s="138">
        <f t="shared" ref="B13:B26" si="3">SUM(A13+10000)</f>
        <v>10012</v>
      </c>
      <c r="C13" s="124" t="s">
        <v>1840</v>
      </c>
      <c r="D13" s="122" t="s">
        <v>1849</v>
      </c>
      <c r="E13" s="125" t="s">
        <v>7</v>
      </c>
      <c r="F13" s="126" t="s">
        <v>1871</v>
      </c>
      <c r="G13" s="127" t="s">
        <v>32</v>
      </c>
      <c r="H13" s="156" t="s">
        <v>1872</v>
      </c>
      <c r="I13" s="128" t="s">
        <v>1843</v>
      </c>
      <c r="J13" s="149" t="s">
        <v>1844</v>
      </c>
      <c r="K13" s="128" t="s">
        <v>1844</v>
      </c>
      <c r="L13" s="128" t="s">
        <v>1844</v>
      </c>
      <c r="M13" s="128" t="s">
        <v>1844</v>
      </c>
      <c r="N13" s="144" t="s">
        <v>1844</v>
      </c>
      <c r="O13" s="136" t="s">
        <v>1844</v>
      </c>
      <c r="P13" s="136"/>
      <c r="Q13" s="136"/>
      <c r="R13" s="136"/>
      <c r="S13" s="136"/>
      <c r="T13" s="136" t="s">
        <v>1845</v>
      </c>
      <c r="U13" s="136"/>
      <c r="V13" s="136"/>
      <c r="W13" s="136"/>
      <c r="X13" s="128"/>
      <c r="Y13" s="128"/>
      <c r="Z13" s="128"/>
      <c r="AA13" s="136"/>
      <c r="AB13" s="136"/>
      <c r="AC13" s="136"/>
      <c r="AD13" s="136"/>
      <c r="AE13" s="136"/>
      <c r="AF13" s="136"/>
      <c r="AG13" s="128"/>
      <c r="AH13" s="136"/>
      <c r="AI13" s="128"/>
      <c r="AJ13" s="137"/>
      <c r="AK13" s="140"/>
      <c r="AL13" s="140"/>
    </row>
    <row r="14">
      <c r="A14" s="157">
        <v>13.0</v>
      </c>
      <c r="B14" s="158">
        <f t="shared" si="3"/>
        <v>10013</v>
      </c>
      <c r="C14" s="159" t="s">
        <v>1873</v>
      </c>
      <c r="D14" s="157" t="s">
        <v>1841</v>
      </c>
      <c r="E14" s="160" t="s">
        <v>34</v>
      </c>
      <c r="F14" s="161" t="s">
        <v>1874</v>
      </c>
      <c r="G14" s="162" t="s">
        <v>35</v>
      </c>
      <c r="H14" s="163" t="s">
        <v>1875</v>
      </c>
      <c r="I14" s="164" t="s">
        <v>1843</v>
      </c>
      <c r="J14" s="165" t="s">
        <v>1876</v>
      </c>
      <c r="K14" s="164" t="s">
        <v>1877</v>
      </c>
      <c r="L14" s="164" t="s">
        <v>1878</v>
      </c>
      <c r="M14" s="164" t="s">
        <v>1845</v>
      </c>
      <c r="N14" s="166">
        <f>1</f>
        <v>1</v>
      </c>
      <c r="O14" s="166" t="s">
        <v>1879</v>
      </c>
      <c r="P14" s="164" t="s">
        <v>1862</v>
      </c>
      <c r="Q14" s="166"/>
      <c r="R14" s="166"/>
      <c r="S14" s="166"/>
      <c r="T14" s="166"/>
      <c r="U14" s="166"/>
      <c r="V14" s="166"/>
      <c r="W14" s="166"/>
      <c r="X14" s="164"/>
      <c r="Y14" s="164"/>
      <c r="Z14" s="167"/>
      <c r="AA14" s="166"/>
      <c r="AB14" s="166"/>
      <c r="AC14" s="166"/>
      <c r="AD14" s="166"/>
      <c r="AE14" s="166"/>
      <c r="AF14" s="166"/>
      <c r="AG14" s="164"/>
      <c r="AH14" s="168"/>
      <c r="AI14" s="164"/>
      <c r="AJ14" s="169"/>
      <c r="AK14" s="167"/>
      <c r="AL14" s="167"/>
    </row>
    <row r="15">
      <c r="A15" s="122">
        <v>14.0</v>
      </c>
      <c r="B15" s="138">
        <f t="shared" si="3"/>
        <v>10014</v>
      </c>
      <c r="C15" s="124" t="s">
        <v>1840</v>
      </c>
      <c r="D15" s="122" t="s">
        <v>1841</v>
      </c>
      <c r="E15" s="125" t="s">
        <v>7</v>
      </c>
      <c r="F15" s="126" t="s">
        <v>1880</v>
      </c>
      <c r="G15" s="127" t="s">
        <v>37</v>
      </c>
      <c r="H15" s="156" t="s">
        <v>1881</v>
      </c>
      <c r="I15" s="128" t="s">
        <v>1843</v>
      </c>
      <c r="J15" s="170" t="s">
        <v>1844</v>
      </c>
      <c r="K15" s="170" t="s">
        <v>1844</v>
      </c>
      <c r="L15" s="128" t="s">
        <v>1844</v>
      </c>
      <c r="M15" s="128" t="s">
        <v>1844</v>
      </c>
      <c r="N15" s="140" t="s">
        <v>1844</v>
      </c>
      <c r="O15" s="128" t="s">
        <v>1844</v>
      </c>
      <c r="P15" s="128" t="s">
        <v>1844</v>
      </c>
      <c r="Q15" s="128"/>
      <c r="R15" s="128"/>
      <c r="S15" s="128" t="s">
        <v>1845</v>
      </c>
      <c r="T15" s="128"/>
      <c r="U15" s="128"/>
      <c r="V15" s="128"/>
      <c r="W15" s="128"/>
      <c r="X15" s="128"/>
      <c r="Y15" s="128"/>
      <c r="Z15" s="128"/>
      <c r="AA15" s="128"/>
      <c r="AB15" s="128"/>
      <c r="AC15" s="128"/>
      <c r="AD15" s="128"/>
      <c r="AE15" s="128"/>
      <c r="AF15" s="128"/>
      <c r="AG15" s="128"/>
      <c r="AH15" s="140"/>
      <c r="AI15" s="128"/>
      <c r="AJ15" s="137"/>
      <c r="AK15" s="140"/>
      <c r="AL15" s="140"/>
    </row>
    <row r="16">
      <c r="A16" s="122">
        <v>15.0</v>
      </c>
      <c r="B16" s="138">
        <f t="shared" si="3"/>
        <v>10015</v>
      </c>
      <c r="C16" s="124" t="s">
        <v>1840</v>
      </c>
      <c r="D16" s="122" t="s">
        <v>1841</v>
      </c>
      <c r="E16" s="125" t="s">
        <v>20</v>
      </c>
      <c r="F16" s="126" t="s">
        <v>1882</v>
      </c>
      <c r="G16" s="127" t="s">
        <v>39</v>
      </c>
      <c r="H16" s="155" t="s">
        <v>1883</v>
      </c>
      <c r="I16" s="129" t="s">
        <v>1843</v>
      </c>
      <c r="J16" s="130" t="s">
        <v>1844</v>
      </c>
      <c r="K16" s="129" t="s">
        <v>1844</v>
      </c>
      <c r="L16" s="129" t="s">
        <v>1884</v>
      </c>
      <c r="M16" s="129" t="s">
        <v>1845</v>
      </c>
      <c r="N16" s="131" t="s">
        <v>1844</v>
      </c>
      <c r="O16" s="132" t="s">
        <v>1844</v>
      </c>
      <c r="P16" s="132" t="s">
        <v>1862</v>
      </c>
      <c r="Q16" s="132"/>
      <c r="R16" s="132"/>
      <c r="S16" s="132"/>
      <c r="T16" s="132"/>
      <c r="U16" s="132"/>
      <c r="V16" s="132"/>
      <c r="W16" s="132"/>
      <c r="X16" s="129"/>
      <c r="Y16" s="129"/>
      <c r="Z16" s="129"/>
      <c r="AA16" s="132"/>
      <c r="AB16" s="132"/>
      <c r="AC16" s="132"/>
      <c r="AD16" s="132"/>
      <c r="AE16" s="132"/>
      <c r="AF16" s="136"/>
      <c r="AG16" s="140"/>
      <c r="AH16" s="136"/>
      <c r="AI16" s="128"/>
      <c r="AJ16" s="137"/>
      <c r="AK16" s="140"/>
      <c r="AL16" s="140"/>
    </row>
    <row r="17">
      <c r="A17" s="157">
        <v>16.0</v>
      </c>
      <c r="B17" s="158">
        <f t="shared" si="3"/>
        <v>10016</v>
      </c>
      <c r="C17" s="159" t="s">
        <v>1873</v>
      </c>
      <c r="D17" s="157" t="s">
        <v>1844</v>
      </c>
      <c r="E17" s="160" t="s">
        <v>41</v>
      </c>
      <c r="F17" s="161" t="s">
        <v>1885</v>
      </c>
      <c r="G17" s="162" t="s">
        <v>42</v>
      </c>
      <c r="H17" s="163" t="s">
        <v>1886</v>
      </c>
      <c r="I17" s="164" t="s">
        <v>1843</v>
      </c>
      <c r="J17" s="165" t="s">
        <v>1844</v>
      </c>
      <c r="K17" s="164" t="s">
        <v>1844</v>
      </c>
      <c r="L17" s="164" t="s">
        <v>1844</v>
      </c>
      <c r="M17" s="164" t="s">
        <v>1844</v>
      </c>
      <c r="N17" s="166" t="s">
        <v>1844</v>
      </c>
      <c r="O17" s="168" t="s">
        <v>1844</v>
      </c>
      <c r="P17" s="164" t="s">
        <v>1844</v>
      </c>
      <c r="Q17" s="168"/>
      <c r="R17" s="168"/>
      <c r="S17" s="168"/>
      <c r="T17" s="168"/>
      <c r="U17" s="168"/>
      <c r="V17" s="168"/>
      <c r="W17" s="168"/>
      <c r="X17" s="164"/>
      <c r="Y17" s="164"/>
      <c r="Z17" s="164"/>
      <c r="AA17" s="168"/>
      <c r="AB17" s="168"/>
      <c r="AC17" s="168"/>
      <c r="AD17" s="168"/>
      <c r="AE17" s="168"/>
      <c r="AF17" s="168"/>
      <c r="AG17" s="164"/>
      <c r="AH17" s="168"/>
      <c r="AI17" s="164"/>
      <c r="AJ17" s="169"/>
      <c r="AK17" s="167"/>
      <c r="AL17" s="167"/>
    </row>
    <row r="18">
      <c r="A18" s="157">
        <v>17.0</v>
      </c>
      <c r="B18" s="158">
        <f t="shared" si="3"/>
        <v>10017</v>
      </c>
      <c r="C18" s="159" t="s">
        <v>1873</v>
      </c>
      <c r="D18" s="157" t="s">
        <v>1844</v>
      </c>
      <c r="E18" s="160" t="s">
        <v>41</v>
      </c>
      <c r="F18" s="161" t="s">
        <v>1887</v>
      </c>
      <c r="G18" s="162" t="s">
        <v>44</v>
      </c>
      <c r="H18" s="163" t="s">
        <v>1888</v>
      </c>
      <c r="I18" s="164" t="s">
        <v>1843</v>
      </c>
      <c r="J18" s="165" t="s">
        <v>1844</v>
      </c>
      <c r="K18" s="164" t="s">
        <v>1844</v>
      </c>
      <c r="L18" s="168" t="s">
        <v>1844</v>
      </c>
      <c r="M18" s="168" t="s">
        <v>1844</v>
      </c>
      <c r="N18" s="166" t="s">
        <v>1844</v>
      </c>
      <c r="O18" s="168" t="s">
        <v>1844</v>
      </c>
      <c r="P18" s="168" t="s">
        <v>1844</v>
      </c>
      <c r="Q18" s="168"/>
      <c r="R18" s="168"/>
      <c r="S18" s="168"/>
      <c r="T18" s="168"/>
      <c r="U18" s="168"/>
      <c r="V18" s="168"/>
      <c r="W18" s="168"/>
      <c r="X18" s="168"/>
      <c r="Y18" s="168"/>
      <c r="Z18" s="164"/>
      <c r="AA18" s="168"/>
      <c r="AB18" s="168"/>
      <c r="AC18" s="168"/>
      <c r="AD18" s="168"/>
      <c r="AE18" s="168"/>
      <c r="AF18" s="168"/>
      <c r="AG18" s="164"/>
      <c r="AH18" s="168"/>
      <c r="AI18" s="164"/>
      <c r="AJ18" s="169"/>
      <c r="AK18" s="167"/>
      <c r="AL18" s="167"/>
    </row>
    <row r="19">
      <c r="A19" s="157">
        <v>18.0</v>
      </c>
      <c r="B19" s="158">
        <f t="shared" si="3"/>
        <v>10018</v>
      </c>
      <c r="C19" s="159" t="s">
        <v>1873</v>
      </c>
      <c r="D19" s="157" t="s">
        <v>1844</v>
      </c>
      <c r="E19" s="160" t="s">
        <v>41</v>
      </c>
      <c r="F19" s="161" t="s">
        <v>1889</v>
      </c>
      <c r="G19" s="162" t="s">
        <v>45</v>
      </c>
      <c r="H19" s="164" t="s">
        <v>1890</v>
      </c>
      <c r="I19" s="164" t="s">
        <v>1843</v>
      </c>
      <c r="J19" s="165" t="s">
        <v>1844</v>
      </c>
      <c r="K19" s="164" t="s">
        <v>1844</v>
      </c>
      <c r="L19" s="168" t="s">
        <v>1844</v>
      </c>
      <c r="M19" s="168" t="s">
        <v>1844</v>
      </c>
      <c r="N19" s="166" t="s">
        <v>1844</v>
      </c>
      <c r="O19" s="168" t="s">
        <v>1844</v>
      </c>
      <c r="P19" s="168" t="s">
        <v>1844</v>
      </c>
      <c r="Q19" s="168"/>
      <c r="R19" s="168"/>
      <c r="S19" s="168"/>
      <c r="T19" s="168"/>
      <c r="U19" s="168"/>
      <c r="V19" s="168"/>
      <c r="W19" s="168"/>
      <c r="X19" s="168"/>
      <c r="Y19" s="168"/>
      <c r="Z19" s="164"/>
      <c r="AA19" s="168"/>
      <c r="AB19" s="168"/>
      <c r="AC19" s="168"/>
      <c r="AD19" s="168"/>
      <c r="AE19" s="168"/>
      <c r="AF19" s="168"/>
      <c r="AG19" s="164"/>
      <c r="AH19" s="168"/>
      <c r="AI19" s="164"/>
      <c r="AJ19" s="169"/>
      <c r="AK19" s="167"/>
      <c r="AL19" s="167"/>
    </row>
    <row r="20">
      <c r="A20" s="122">
        <v>19.0</v>
      </c>
      <c r="B20" s="138">
        <f t="shared" si="3"/>
        <v>10019</v>
      </c>
      <c r="C20" s="124" t="s">
        <v>1840</v>
      </c>
      <c r="D20" s="122" t="s">
        <v>1846</v>
      </c>
      <c r="E20" s="125" t="s">
        <v>34</v>
      </c>
      <c r="F20" s="126" t="s">
        <v>1891</v>
      </c>
      <c r="G20" s="127" t="s">
        <v>46</v>
      </c>
      <c r="H20" s="155" t="s">
        <v>1892</v>
      </c>
      <c r="I20" s="129" t="s">
        <v>1843</v>
      </c>
      <c r="J20" s="130" t="s">
        <v>1876</v>
      </c>
      <c r="K20" s="129" t="s">
        <v>1877</v>
      </c>
      <c r="L20" s="132" t="s">
        <v>1844</v>
      </c>
      <c r="M20" s="132" t="s">
        <v>1845</v>
      </c>
      <c r="N20" s="131">
        <f t="shared" ref="N20:N21" si="4">1</f>
        <v>1</v>
      </c>
      <c r="O20" s="131" t="s">
        <v>1879</v>
      </c>
      <c r="P20" s="132" t="s">
        <v>1862</v>
      </c>
      <c r="Q20" s="131"/>
      <c r="R20" s="131"/>
      <c r="S20" s="131"/>
      <c r="T20" s="131"/>
      <c r="U20" s="131"/>
      <c r="V20" s="131"/>
      <c r="W20" s="131"/>
      <c r="X20" s="132"/>
      <c r="Y20" s="132"/>
      <c r="Z20" s="171"/>
      <c r="AA20" s="131"/>
      <c r="AB20" s="131"/>
      <c r="AC20" s="131"/>
      <c r="AD20" s="131"/>
      <c r="AE20" s="131"/>
      <c r="AF20" s="144"/>
      <c r="AG20" s="140"/>
      <c r="AH20" s="136"/>
      <c r="AI20" s="128"/>
      <c r="AJ20" s="137"/>
      <c r="AK20" s="140"/>
      <c r="AL20" s="140"/>
    </row>
    <row r="21" ht="15.75" customHeight="1">
      <c r="A21" s="122">
        <v>20.0</v>
      </c>
      <c r="B21" s="138">
        <f t="shared" si="3"/>
        <v>10020</v>
      </c>
      <c r="C21" s="124" t="s">
        <v>1840</v>
      </c>
      <c r="D21" s="122" t="s">
        <v>1841</v>
      </c>
      <c r="E21" s="125" t="s">
        <v>34</v>
      </c>
      <c r="F21" s="126" t="s">
        <v>1893</v>
      </c>
      <c r="G21" s="127" t="s">
        <v>48</v>
      </c>
      <c r="H21" s="156" t="s">
        <v>1894</v>
      </c>
      <c r="I21" s="129" t="s">
        <v>1843</v>
      </c>
      <c r="J21" s="130" t="s">
        <v>1876</v>
      </c>
      <c r="K21" s="172" t="s">
        <v>1877</v>
      </c>
      <c r="L21" s="129" t="s">
        <v>1844</v>
      </c>
      <c r="M21" s="129" t="s">
        <v>1845</v>
      </c>
      <c r="N21" s="171">
        <f t="shared" si="4"/>
        <v>1</v>
      </c>
      <c r="O21" s="171" t="s">
        <v>1879</v>
      </c>
      <c r="P21" s="129" t="s">
        <v>1895</v>
      </c>
      <c r="Q21" s="171"/>
      <c r="R21" s="171"/>
      <c r="S21" s="171"/>
      <c r="T21" s="171"/>
      <c r="U21" s="171"/>
      <c r="V21" s="171"/>
      <c r="W21" s="171"/>
      <c r="X21" s="129"/>
      <c r="Y21" s="129"/>
      <c r="Z21" s="171"/>
      <c r="AA21" s="171"/>
      <c r="AB21" s="171"/>
      <c r="AC21" s="171"/>
      <c r="AD21" s="171"/>
      <c r="AE21" s="171"/>
      <c r="AF21" s="140"/>
      <c r="AG21" s="140"/>
      <c r="AH21" s="140"/>
      <c r="AI21" s="128"/>
      <c r="AJ21" s="137"/>
      <c r="AK21" s="140"/>
      <c r="AL21" s="140"/>
    </row>
    <row r="22" ht="15.75" customHeight="1">
      <c r="A22" s="122">
        <v>21.0</v>
      </c>
      <c r="B22" s="138">
        <f t="shared" si="3"/>
        <v>10021</v>
      </c>
      <c r="C22" s="124" t="s">
        <v>1840</v>
      </c>
      <c r="D22" s="122" t="s">
        <v>1849</v>
      </c>
      <c r="E22" s="125" t="s">
        <v>7</v>
      </c>
      <c r="F22" s="126" t="s">
        <v>1896</v>
      </c>
      <c r="G22" s="127" t="s">
        <v>50</v>
      </c>
      <c r="H22" s="156" t="s">
        <v>1897</v>
      </c>
      <c r="I22" s="129" t="s">
        <v>1843</v>
      </c>
      <c r="J22" s="130" t="s">
        <v>1844</v>
      </c>
      <c r="K22" s="172" t="s">
        <v>1844</v>
      </c>
      <c r="L22" s="129" t="s">
        <v>1844</v>
      </c>
      <c r="M22" s="129" t="s">
        <v>1844</v>
      </c>
      <c r="N22" s="171" t="s">
        <v>1844</v>
      </c>
      <c r="O22" s="129" t="s">
        <v>1844</v>
      </c>
      <c r="P22" s="129"/>
      <c r="Q22" s="129"/>
      <c r="R22" s="129"/>
      <c r="S22" s="129"/>
      <c r="T22" s="129"/>
      <c r="U22" s="129"/>
      <c r="V22" s="129"/>
      <c r="W22" s="129"/>
      <c r="X22" s="129"/>
      <c r="Y22" s="129"/>
      <c r="Z22" s="129" t="s">
        <v>1845</v>
      </c>
      <c r="AA22" s="129"/>
      <c r="AB22" s="129"/>
      <c r="AC22" s="129"/>
      <c r="AD22" s="129"/>
      <c r="AE22" s="129"/>
      <c r="AF22" s="128"/>
      <c r="AG22" s="128"/>
      <c r="AH22" s="140"/>
      <c r="AI22" s="128"/>
      <c r="AJ22" s="137"/>
      <c r="AK22" s="140"/>
      <c r="AL22" s="140"/>
    </row>
    <row r="23" ht="15.75" customHeight="1">
      <c r="A23" s="122">
        <v>22.0</v>
      </c>
      <c r="B23" s="138">
        <f t="shared" si="3"/>
        <v>10022</v>
      </c>
      <c r="C23" s="124" t="s">
        <v>1840</v>
      </c>
      <c r="D23" s="122" t="s">
        <v>1841</v>
      </c>
      <c r="E23" s="125" t="s">
        <v>7</v>
      </c>
      <c r="F23" s="126" t="s">
        <v>1898</v>
      </c>
      <c r="G23" s="127" t="s">
        <v>52</v>
      </c>
      <c r="H23" s="155" t="s">
        <v>1899</v>
      </c>
      <c r="I23" s="129" t="s">
        <v>1843</v>
      </c>
      <c r="J23" s="130" t="s">
        <v>1844</v>
      </c>
      <c r="K23" s="129" t="s">
        <v>1844</v>
      </c>
      <c r="L23" s="129" t="s">
        <v>1844</v>
      </c>
      <c r="M23" s="129" t="s">
        <v>1844</v>
      </c>
      <c r="N23" s="131" t="s">
        <v>1844</v>
      </c>
      <c r="O23" s="132" t="s">
        <v>1844</v>
      </c>
      <c r="P23" s="129" t="s">
        <v>1844</v>
      </c>
      <c r="Q23" s="132"/>
      <c r="R23" s="132"/>
      <c r="S23" s="132" t="s">
        <v>1845</v>
      </c>
      <c r="T23" s="132"/>
      <c r="U23" s="132"/>
      <c r="V23" s="132"/>
      <c r="W23" s="132"/>
      <c r="X23" s="129"/>
      <c r="Y23" s="129"/>
      <c r="Z23" s="129"/>
      <c r="AA23" s="132"/>
      <c r="AB23" s="132"/>
      <c r="AC23" s="132"/>
      <c r="AD23" s="132"/>
      <c r="AE23" s="132"/>
      <c r="AF23" s="136"/>
      <c r="AG23" s="140"/>
      <c r="AH23" s="136"/>
      <c r="AI23" s="128"/>
      <c r="AJ23" s="137"/>
      <c r="AK23" s="140"/>
      <c r="AL23" s="140"/>
    </row>
    <row r="24" ht="15.75" customHeight="1">
      <c r="A24" s="138">
        <v>23.0</v>
      </c>
      <c r="B24" s="138">
        <f t="shared" si="3"/>
        <v>10023</v>
      </c>
      <c r="C24" s="124" t="s">
        <v>1840</v>
      </c>
      <c r="D24" s="122" t="s">
        <v>1841</v>
      </c>
      <c r="E24" s="125" t="s">
        <v>34</v>
      </c>
      <c r="F24" s="126" t="s">
        <v>1900</v>
      </c>
      <c r="G24" s="127" t="s">
        <v>54</v>
      </c>
      <c r="H24" s="155" t="s">
        <v>1901</v>
      </c>
      <c r="I24" s="129" t="s">
        <v>1843</v>
      </c>
      <c r="J24" s="130" t="s">
        <v>1902</v>
      </c>
      <c r="K24" s="129" t="s">
        <v>1877</v>
      </c>
      <c r="L24" s="129" t="s">
        <v>1878</v>
      </c>
      <c r="M24" s="129" t="s">
        <v>1845</v>
      </c>
      <c r="N24" s="131" t="s">
        <v>1903</v>
      </c>
      <c r="O24" s="131" t="s">
        <v>1879</v>
      </c>
      <c r="P24" s="132" t="s">
        <v>1862</v>
      </c>
      <c r="Q24" s="131"/>
      <c r="R24" s="131"/>
      <c r="S24" s="131"/>
      <c r="T24" s="131"/>
      <c r="U24" s="131"/>
      <c r="V24" s="131"/>
      <c r="W24" s="131"/>
      <c r="X24" s="129"/>
      <c r="Y24" s="129"/>
      <c r="Z24" s="171"/>
      <c r="AA24" s="131"/>
      <c r="AB24" s="131"/>
      <c r="AC24" s="131"/>
      <c r="AD24" s="131"/>
      <c r="AE24" s="131"/>
      <c r="AF24" s="144"/>
      <c r="AG24" s="140"/>
      <c r="AH24" s="136"/>
      <c r="AI24" s="128"/>
      <c r="AJ24" s="137"/>
      <c r="AK24" s="140"/>
      <c r="AL24" s="140"/>
    </row>
    <row r="25" ht="15.75" customHeight="1">
      <c r="A25" s="122">
        <v>24.0</v>
      </c>
      <c r="B25" s="138">
        <f t="shared" si="3"/>
        <v>10024</v>
      </c>
      <c r="C25" s="124" t="s">
        <v>1840</v>
      </c>
      <c r="D25" s="122" t="s">
        <v>1849</v>
      </c>
      <c r="E25" s="125" t="s">
        <v>7</v>
      </c>
      <c r="F25" s="126" t="s">
        <v>1904</v>
      </c>
      <c r="G25" s="127" t="s">
        <v>56</v>
      </c>
      <c r="H25" s="155" t="s">
        <v>1905</v>
      </c>
      <c r="I25" s="129" t="s">
        <v>1906</v>
      </c>
      <c r="J25" s="130" t="s">
        <v>1844</v>
      </c>
      <c r="K25" s="172" t="s">
        <v>1844</v>
      </c>
      <c r="L25" s="129" t="s">
        <v>1844</v>
      </c>
      <c r="M25" s="129" t="s">
        <v>1844</v>
      </c>
      <c r="N25" s="171" t="s">
        <v>1844</v>
      </c>
      <c r="O25" s="129" t="s">
        <v>1844</v>
      </c>
      <c r="P25" s="129" t="s">
        <v>1844</v>
      </c>
      <c r="Q25" s="129" t="s">
        <v>1845</v>
      </c>
      <c r="R25" s="129"/>
      <c r="S25" s="129"/>
      <c r="T25" s="129"/>
      <c r="U25" s="129"/>
      <c r="V25" s="129" t="s">
        <v>1845</v>
      </c>
      <c r="W25" s="129"/>
      <c r="X25" s="129"/>
      <c r="Y25" s="129"/>
      <c r="Z25" s="129"/>
      <c r="AA25" s="129"/>
      <c r="AB25" s="129"/>
      <c r="AC25" s="129"/>
      <c r="AD25" s="129"/>
      <c r="AE25" s="129"/>
      <c r="AF25" s="128"/>
      <c r="AG25" s="140"/>
      <c r="AH25" s="140"/>
      <c r="AI25" s="128"/>
      <c r="AJ25" s="137"/>
      <c r="AK25" s="140"/>
      <c r="AL25" s="140"/>
    </row>
    <row r="26" ht="15.75" customHeight="1">
      <c r="A26" s="157">
        <v>25.0</v>
      </c>
      <c r="B26" s="158">
        <f t="shared" si="3"/>
        <v>10025</v>
      </c>
      <c r="C26" s="159" t="s">
        <v>1873</v>
      </c>
      <c r="D26" s="157" t="s">
        <v>1841</v>
      </c>
      <c r="E26" s="160" t="s">
        <v>34</v>
      </c>
      <c r="F26" s="173" t="s">
        <v>1907</v>
      </c>
      <c r="G26" s="162" t="s">
        <v>58</v>
      </c>
      <c r="H26" s="163" t="s">
        <v>1908</v>
      </c>
      <c r="I26" s="164" t="s">
        <v>1843</v>
      </c>
      <c r="J26" s="165" t="s">
        <v>1876</v>
      </c>
      <c r="K26" s="164" t="s">
        <v>1877</v>
      </c>
      <c r="L26" s="164" t="s">
        <v>1878</v>
      </c>
      <c r="M26" s="164" t="s">
        <v>1845</v>
      </c>
      <c r="N26" s="166" t="s">
        <v>1903</v>
      </c>
      <c r="O26" s="166" t="s">
        <v>1879</v>
      </c>
      <c r="P26" s="164" t="s">
        <v>1895</v>
      </c>
      <c r="Q26" s="166"/>
      <c r="R26" s="166"/>
      <c r="S26" s="166"/>
      <c r="T26" s="166"/>
      <c r="U26" s="166"/>
      <c r="V26" s="166"/>
      <c r="W26" s="166"/>
      <c r="X26" s="164"/>
      <c r="Y26" s="164"/>
      <c r="Z26" s="167"/>
      <c r="AA26" s="166"/>
      <c r="AB26" s="166"/>
      <c r="AC26" s="166"/>
      <c r="AD26" s="166"/>
      <c r="AE26" s="166"/>
      <c r="AF26" s="166"/>
      <c r="AG26" s="164"/>
      <c r="AH26" s="168"/>
      <c r="AI26" s="164"/>
      <c r="AJ26" s="169"/>
      <c r="AK26" s="167"/>
      <c r="AL26" s="167"/>
    </row>
    <row r="27" ht="15.75" customHeight="1">
      <c r="A27" s="122">
        <v>26.0</v>
      </c>
      <c r="B27" s="123" t="s">
        <v>1742</v>
      </c>
      <c r="C27" s="124" t="s">
        <v>1840</v>
      </c>
      <c r="D27" s="122" t="s">
        <v>1849</v>
      </c>
      <c r="E27" s="174" t="s">
        <v>7</v>
      </c>
      <c r="F27" s="126" t="s">
        <v>1909</v>
      </c>
      <c r="G27" s="175" t="s">
        <v>1910</v>
      </c>
      <c r="H27" s="155" t="s">
        <v>1911</v>
      </c>
      <c r="I27" s="129" t="s">
        <v>1843</v>
      </c>
      <c r="J27" s="130" t="s">
        <v>1844</v>
      </c>
      <c r="K27" s="172" t="s">
        <v>1844</v>
      </c>
      <c r="L27" s="129" t="s">
        <v>1844</v>
      </c>
      <c r="M27" s="129" t="s">
        <v>1844</v>
      </c>
      <c r="N27" s="171" t="s">
        <v>1844</v>
      </c>
      <c r="O27" s="129" t="s">
        <v>1844</v>
      </c>
      <c r="P27" s="129" t="s">
        <v>1844</v>
      </c>
      <c r="Q27" s="129" t="s">
        <v>1845</v>
      </c>
      <c r="R27" s="129"/>
      <c r="S27" s="129"/>
      <c r="T27" s="129"/>
      <c r="U27" s="129"/>
      <c r="V27" s="129"/>
      <c r="W27" s="129"/>
      <c r="X27" s="129" t="s">
        <v>1845</v>
      </c>
      <c r="Y27" s="129"/>
      <c r="Z27" s="129"/>
      <c r="AA27" s="129"/>
      <c r="AB27" s="129"/>
      <c r="AC27" s="129"/>
      <c r="AD27" s="129"/>
      <c r="AE27" s="129"/>
      <c r="AF27" s="128"/>
      <c r="AG27" s="140"/>
      <c r="AH27" s="140"/>
      <c r="AI27" s="128"/>
      <c r="AJ27" s="137"/>
      <c r="AK27" s="140"/>
      <c r="AL27" s="140"/>
    </row>
    <row r="28" ht="15.75" customHeight="1">
      <c r="A28" s="157">
        <v>27.0</v>
      </c>
      <c r="B28" s="157" t="s">
        <v>1742</v>
      </c>
      <c r="C28" s="159" t="s">
        <v>1873</v>
      </c>
      <c r="D28" s="157" t="s">
        <v>1849</v>
      </c>
      <c r="E28" s="160" t="s">
        <v>34</v>
      </c>
      <c r="F28" s="176" t="s">
        <v>1912</v>
      </c>
      <c r="G28" s="162" t="s">
        <v>1913</v>
      </c>
      <c r="H28" s="163" t="s">
        <v>1914</v>
      </c>
      <c r="I28" s="164" t="s">
        <v>1843</v>
      </c>
      <c r="J28" s="165" t="s">
        <v>1876</v>
      </c>
      <c r="K28" s="164" t="s">
        <v>1877</v>
      </c>
      <c r="L28" s="164" t="s">
        <v>1878</v>
      </c>
      <c r="M28" s="164" t="s">
        <v>1845</v>
      </c>
      <c r="N28" s="166">
        <v>1.0</v>
      </c>
      <c r="O28" s="166" t="s">
        <v>1879</v>
      </c>
      <c r="P28" s="164" t="s">
        <v>1862</v>
      </c>
      <c r="Q28" s="166" t="s">
        <v>1845</v>
      </c>
      <c r="R28" s="166"/>
      <c r="S28" s="166"/>
      <c r="T28" s="166"/>
      <c r="U28" s="166"/>
      <c r="V28" s="166"/>
      <c r="W28" s="166"/>
      <c r="X28" s="164"/>
      <c r="Y28" s="164"/>
      <c r="Z28" s="167"/>
      <c r="AA28" s="166"/>
      <c r="AB28" s="166"/>
      <c r="AC28" s="166"/>
      <c r="AD28" s="166"/>
      <c r="AE28" s="166"/>
      <c r="AF28" s="166"/>
      <c r="AG28" s="164"/>
      <c r="AH28" s="168"/>
      <c r="AI28" s="164"/>
      <c r="AJ28" s="169"/>
      <c r="AK28" s="167"/>
      <c r="AL28" s="167"/>
    </row>
    <row r="29" ht="15.75" customHeight="1">
      <c r="A29" s="157">
        <v>28.0</v>
      </c>
      <c r="B29" s="158">
        <f t="shared" ref="B29:B40" si="5">SUM(A29+10000)</f>
        <v>10028</v>
      </c>
      <c r="C29" s="159" t="s">
        <v>1873</v>
      </c>
      <c r="D29" s="157" t="s">
        <v>1844</v>
      </c>
      <c r="E29" s="160" t="s">
        <v>41</v>
      </c>
      <c r="F29" s="161" t="s">
        <v>1915</v>
      </c>
      <c r="G29" s="162" t="s">
        <v>64</v>
      </c>
      <c r="H29" s="163" t="s">
        <v>1916</v>
      </c>
      <c r="I29" s="164" t="s">
        <v>1843</v>
      </c>
      <c r="J29" s="165" t="s">
        <v>1844</v>
      </c>
      <c r="K29" s="177" t="s">
        <v>1844</v>
      </c>
      <c r="L29" s="164" t="s">
        <v>1878</v>
      </c>
      <c r="M29" s="164" t="s">
        <v>1845</v>
      </c>
      <c r="N29" s="167" t="s">
        <v>1844</v>
      </c>
      <c r="O29" s="164" t="s">
        <v>1844</v>
      </c>
      <c r="P29" s="164" t="s">
        <v>1844</v>
      </c>
      <c r="Q29" s="164"/>
      <c r="R29" s="164"/>
      <c r="S29" s="164"/>
      <c r="T29" s="164"/>
      <c r="U29" s="164"/>
      <c r="V29" s="164"/>
      <c r="W29" s="164"/>
      <c r="X29" s="164"/>
      <c r="Y29" s="164"/>
      <c r="Z29" s="164"/>
      <c r="AA29" s="164"/>
      <c r="AB29" s="167"/>
      <c r="AC29" s="167"/>
      <c r="AD29" s="167"/>
      <c r="AE29" s="167"/>
      <c r="AF29" s="167"/>
      <c r="AG29" s="164"/>
      <c r="AH29" s="167"/>
      <c r="AI29" s="164"/>
      <c r="AJ29" s="169"/>
      <c r="AK29" s="167"/>
      <c r="AL29" s="167"/>
    </row>
    <row r="30" ht="15.75" customHeight="1">
      <c r="A30" s="157">
        <v>29.0</v>
      </c>
      <c r="B30" s="158">
        <f t="shared" si="5"/>
        <v>10029</v>
      </c>
      <c r="C30" s="159" t="s">
        <v>1873</v>
      </c>
      <c r="D30" s="157" t="s">
        <v>1849</v>
      </c>
      <c r="E30" s="160" t="s">
        <v>34</v>
      </c>
      <c r="F30" s="161" t="s">
        <v>1917</v>
      </c>
      <c r="G30" s="162" t="s">
        <v>65</v>
      </c>
      <c r="H30" s="163" t="s">
        <v>1918</v>
      </c>
      <c r="I30" s="164" t="s">
        <v>1843</v>
      </c>
      <c r="J30" s="165" t="s">
        <v>1876</v>
      </c>
      <c r="K30" s="177" t="s">
        <v>1877</v>
      </c>
      <c r="L30" s="164" t="s">
        <v>1878</v>
      </c>
      <c r="M30" s="164" t="s">
        <v>1845</v>
      </c>
      <c r="N30" s="167" t="s">
        <v>1903</v>
      </c>
      <c r="O30" s="167" t="s">
        <v>1879</v>
      </c>
      <c r="P30" s="164" t="s">
        <v>1862</v>
      </c>
      <c r="Q30" s="167"/>
      <c r="R30" s="167"/>
      <c r="S30" s="167"/>
      <c r="T30" s="167"/>
      <c r="U30" s="167"/>
      <c r="V30" s="167"/>
      <c r="W30" s="167"/>
      <c r="X30" s="164"/>
      <c r="Y30" s="164"/>
      <c r="Z30" s="167"/>
      <c r="AA30" s="167"/>
      <c r="AB30" s="164"/>
      <c r="AC30" s="164"/>
      <c r="AD30" s="164"/>
      <c r="AE30" s="164"/>
      <c r="AF30" s="164"/>
      <c r="AG30" s="164"/>
      <c r="AH30" s="167"/>
      <c r="AI30" s="164"/>
      <c r="AJ30" s="169"/>
      <c r="AK30" s="167"/>
      <c r="AL30" s="167"/>
    </row>
    <row r="31" ht="15.75" customHeight="1">
      <c r="A31" s="157">
        <v>30.0</v>
      </c>
      <c r="B31" s="158">
        <f t="shared" si="5"/>
        <v>10030</v>
      </c>
      <c r="C31" s="159" t="s">
        <v>1873</v>
      </c>
      <c r="D31" s="157" t="s">
        <v>1844</v>
      </c>
      <c r="E31" s="160" t="s">
        <v>41</v>
      </c>
      <c r="F31" s="161" t="s">
        <v>1919</v>
      </c>
      <c r="G31" s="162" t="s">
        <v>67</v>
      </c>
      <c r="H31" s="163" t="s">
        <v>1920</v>
      </c>
      <c r="I31" s="164" t="s">
        <v>1843</v>
      </c>
      <c r="J31" s="165" t="s">
        <v>1844</v>
      </c>
      <c r="K31" s="164" t="s">
        <v>1844</v>
      </c>
      <c r="L31" s="164" t="s">
        <v>1878</v>
      </c>
      <c r="M31" s="164" t="s">
        <v>1845</v>
      </c>
      <c r="N31" s="166" t="s">
        <v>1844</v>
      </c>
      <c r="O31" s="168" t="s">
        <v>1844</v>
      </c>
      <c r="P31" s="168" t="s">
        <v>1844</v>
      </c>
      <c r="Q31" s="168"/>
      <c r="R31" s="168"/>
      <c r="S31" s="168"/>
      <c r="T31" s="168"/>
      <c r="U31" s="168"/>
      <c r="V31" s="168"/>
      <c r="W31" s="168"/>
      <c r="X31" s="168"/>
      <c r="Y31" s="168"/>
      <c r="Z31" s="164"/>
      <c r="AA31" s="168"/>
      <c r="AB31" s="166"/>
      <c r="AC31" s="166"/>
      <c r="AD31" s="166"/>
      <c r="AE31" s="166"/>
      <c r="AF31" s="166"/>
      <c r="AG31" s="164"/>
      <c r="AH31" s="168"/>
      <c r="AI31" s="164"/>
      <c r="AJ31" s="169"/>
      <c r="AK31" s="167"/>
      <c r="AL31" s="167"/>
    </row>
    <row r="32" ht="15.75" customHeight="1">
      <c r="A32" s="122">
        <v>31.0</v>
      </c>
      <c r="B32" s="138">
        <f t="shared" si="5"/>
        <v>10031</v>
      </c>
      <c r="C32" s="124" t="s">
        <v>1840</v>
      </c>
      <c r="D32" s="122" t="s">
        <v>1849</v>
      </c>
      <c r="E32" s="125" t="s">
        <v>7</v>
      </c>
      <c r="F32" s="126" t="s">
        <v>1921</v>
      </c>
      <c r="G32" s="127" t="s">
        <v>68</v>
      </c>
      <c r="H32" s="155" t="s">
        <v>1922</v>
      </c>
      <c r="I32" s="129" t="s">
        <v>1843</v>
      </c>
      <c r="J32" s="130" t="s">
        <v>1844</v>
      </c>
      <c r="K32" s="172" t="s">
        <v>1844</v>
      </c>
      <c r="L32" s="129" t="s">
        <v>1844</v>
      </c>
      <c r="M32" s="129" t="s">
        <v>1844</v>
      </c>
      <c r="N32" s="171" t="s">
        <v>1844</v>
      </c>
      <c r="O32" s="129" t="s">
        <v>1844</v>
      </c>
      <c r="P32" s="129" t="s">
        <v>1844</v>
      </c>
      <c r="Q32" s="129"/>
      <c r="R32" s="129"/>
      <c r="S32" s="129" t="s">
        <v>1845</v>
      </c>
      <c r="T32" s="129"/>
      <c r="U32" s="129"/>
      <c r="V32" s="129"/>
      <c r="W32" s="129"/>
      <c r="X32" s="129" t="s">
        <v>1845</v>
      </c>
      <c r="Y32" s="129"/>
      <c r="Z32" s="129"/>
      <c r="AA32" s="129"/>
      <c r="AB32" s="129"/>
      <c r="AC32" s="129"/>
      <c r="AD32" s="129"/>
      <c r="AE32" s="129"/>
      <c r="AF32" s="128"/>
      <c r="AG32" s="140"/>
      <c r="AH32" s="140"/>
      <c r="AI32" s="128"/>
      <c r="AJ32" s="137"/>
      <c r="AK32" s="140"/>
      <c r="AL32" s="140"/>
    </row>
    <row r="33" ht="24.0" customHeight="1">
      <c r="A33" s="157">
        <v>32.0</v>
      </c>
      <c r="B33" s="158">
        <f t="shared" si="5"/>
        <v>10032</v>
      </c>
      <c r="C33" s="159" t="s">
        <v>1873</v>
      </c>
      <c r="D33" s="157" t="s">
        <v>1849</v>
      </c>
      <c r="E33" s="160" t="s">
        <v>34</v>
      </c>
      <c r="F33" s="161" t="s">
        <v>1923</v>
      </c>
      <c r="G33" s="178" t="s">
        <v>1924</v>
      </c>
      <c r="H33" s="163" t="s">
        <v>1925</v>
      </c>
      <c r="I33" s="164" t="s">
        <v>1843</v>
      </c>
      <c r="J33" s="177" t="s">
        <v>1876</v>
      </c>
      <c r="K33" s="164" t="s">
        <v>1877</v>
      </c>
      <c r="L33" s="164" t="s">
        <v>1878</v>
      </c>
      <c r="M33" s="164" t="s">
        <v>1845</v>
      </c>
      <c r="N33" s="166">
        <v>1.0</v>
      </c>
      <c r="O33" s="166" t="s">
        <v>1879</v>
      </c>
      <c r="P33" s="168" t="s">
        <v>1862</v>
      </c>
      <c r="Q33" s="166"/>
      <c r="R33" s="166"/>
      <c r="S33" s="168" t="s">
        <v>1845</v>
      </c>
      <c r="T33" s="166"/>
      <c r="U33" s="166"/>
      <c r="V33" s="166"/>
      <c r="W33" s="166"/>
      <c r="X33" s="168"/>
      <c r="Y33" s="168"/>
      <c r="Z33" s="167"/>
      <c r="AA33" s="166"/>
      <c r="AB33" s="168"/>
      <c r="AC33" s="168"/>
      <c r="AD33" s="168"/>
      <c r="AE33" s="168"/>
      <c r="AF33" s="168"/>
      <c r="AG33" s="164" t="s">
        <v>1926</v>
      </c>
      <c r="AH33" s="168"/>
      <c r="AI33" s="164"/>
      <c r="AJ33" s="169"/>
      <c r="AK33" s="167"/>
      <c r="AL33" s="167"/>
    </row>
    <row r="34" ht="15.75" customHeight="1">
      <c r="A34" s="157">
        <v>33.0</v>
      </c>
      <c r="B34" s="158">
        <f t="shared" si="5"/>
        <v>10033</v>
      </c>
      <c r="C34" s="159" t="s">
        <v>1873</v>
      </c>
      <c r="D34" s="157" t="s">
        <v>1844</v>
      </c>
      <c r="E34" s="160" t="s">
        <v>41</v>
      </c>
      <c r="F34" s="161" t="s">
        <v>1927</v>
      </c>
      <c r="G34" s="162" t="s">
        <v>72</v>
      </c>
      <c r="H34" s="163" t="s">
        <v>1928</v>
      </c>
      <c r="I34" s="164" t="s">
        <v>1843</v>
      </c>
      <c r="J34" s="177" t="s">
        <v>1844</v>
      </c>
      <c r="K34" s="164" t="s">
        <v>1844</v>
      </c>
      <c r="L34" s="164" t="s">
        <v>1878</v>
      </c>
      <c r="M34" s="164" t="s">
        <v>1844</v>
      </c>
      <c r="N34" s="166" t="s">
        <v>1844</v>
      </c>
      <c r="O34" s="168" t="s">
        <v>1844</v>
      </c>
      <c r="P34" s="168" t="s">
        <v>1844</v>
      </c>
      <c r="Q34" s="168"/>
      <c r="R34" s="168"/>
      <c r="S34" s="168"/>
      <c r="T34" s="168"/>
      <c r="U34" s="168"/>
      <c r="V34" s="168"/>
      <c r="W34" s="168"/>
      <c r="X34" s="164"/>
      <c r="Y34" s="164"/>
      <c r="Z34" s="164"/>
      <c r="AA34" s="168"/>
      <c r="AB34" s="166"/>
      <c r="AC34" s="166"/>
      <c r="AD34" s="166"/>
      <c r="AE34" s="166"/>
      <c r="AF34" s="166"/>
      <c r="AG34" s="164"/>
      <c r="AH34" s="168"/>
      <c r="AI34" s="164"/>
      <c r="AJ34" s="169"/>
      <c r="AK34" s="167"/>
      <c r="AL34" s="167"/>
    </row>
    <row r="35" ht="15.75" customHeight="1">
      <c r="A35" s="150">
        <v>34.0</v>
      </c>
      <c r="B35" s="138">
        <f t="shared" si="5"/>
        <v>10034</v>
      </c>
      <c r="C35" s="179" t="s">
        <v>1840</v>
      </c>
      <c r="D35" s="150" t="s">
        <v>1849</v>
      </c>
      <c r="E35" s="151" t="s">
        <v>20</v>
      </c>
      <c r="F35" s="152" t="s">
        <v>1929</v>
      </c>
      <c r="G35" s="153" t="s">
        <v>73</v>
      </c>
      <c r="H35" s="155" t="s">
        <v>1930</v>
      </c>
      <c r="I35" s="129" t="s">
        <v>1843</v>
      </c>
      <c r="J35" s="130" t="s">
        <v>1844</v>
      </c>
      <c r="K35" s="172" t="s">
        <v>1844</v>
      </c>
      <c r="L35" s="129" t="s">
        <v>1844</v>
      </c>
      <c r="M35" s="129" t="s">
        <v>1845</v>
      </c>
      <c r="N35" s="171" t="s">
        <v>1844</v>
      </c>
      <c r="O35" s="129" t="s">
        <v>1844</v>
      </c>
      <c r="P35" s="129" t="s">
        <v>1862</v>
      </c>
      <c r="Q35" s="129"/>
      <c r="R35" s="132"/>
      <c r="S35" s="132" t="s">
        <v>1845</v>
      </c>
      <c r="T35" s="129"/>
      <c r="U35" s="129"/>
      <c r="V35" s="129"/>
      <c r="W35" s="129"/>
      <c r="X35" s="129"/>
      <c r="Y35" s="129"/>
      <c r="Z35" s="129"/>
      <c r="AA35" s="129"/>
      <c r="AB35" s="129"/>
      <c r="AC35" s="129"/>
      <c r="AD35" s="129"/>
      <c r="AE35" s="129"/>
      <c r="AF35" s="128"/>
      <c r="AG35" s="140"/>
      <c r="AH35" s="140"/>
      <c r="AI35" s="128"/>
      <c r="AJ35" s="137"/>
      <c r="AK35" s="140"/>
      <c r="AL35" s="140"/>
    </row>
    <row r="36" ht="15.75" customHeight="1">
      <c r="A36" s="150">
        <v>35.0</v>
      </c>
      <c r="B36" s="138">
        <f t="shared" si="5"/>
        <v>10035</v>
      </c>
      <c r="C36" s="179" t="s">
        <v>1840</v>
      </c>
      <c r="D36" s="150" t="s">
        <v>1841</v>
      </c>
      <c r="E36" s="151" t="s">
        <v>20</v>
      </c>
      <c r="F36" s="152" t="s">
        <v>1931</v>
      </c>
      <c r="G36" s="153" t="s">
        <v>75</v>
      </c>
      <c r="H36" s="155" t="s">
        <v>1932</v>
      </c>
      <c r="I36" s="129" t="s">
        <v>1843</v>
      </c>
      <c r="J36" s="172" t="s">
        <v>1844</v>
      </c>
      <c r="K36" s="129" t="s">
        <v>1844</v>
      </c>
      <c r="L36" s="129" t="s">
        <v>1844</v>
      </c>
      <c r="M36" s="129" t="s">
        <v>1845</v>
      </c>
      <c r="N36" s="131" t="s">
        <v>1844</v>
      </c>
      <c r="O36" s="132" t="s">
        <v>1844</v>
      </c>
      <c r="P36" s="132" t="s">
        <v>1862</v>
      </c>
      <c r="Q36" s="132"/>
      <c r="R36" s="132"/>
      <c r="S36" s="132" t="s">
        <v>1845</v>
      </c>
      <c r="T36" s="132"/>
      <c r="U36" s="132"/>
      <c r="V36" s="132"/>
      <c r="W36" s="132"/>
      <c r="X36" s="132"/>
      <c r="Y36" s="132"/>
      <c r="Z36" s="129"/>
      <c r="AA36" s="132"/>
      <c r="AB36" s="132"/>
      <c r="AC36" s="132"/>
      <c r="AD36" s="132"/>
      <c r="AE36" s="132"/>
      <c r="AF36" s="136"/>
      <c r="AG36" s="140"/>
      <c r="AH36" s="136"/>
      <c r="AI36" s="128"/>
      <c r="AJ36" s="137"/>
      <c r="AK36" s="140"/>
      <c r="AL36" s="140"/>
    </row>
    <row r="37" ht="15.75" customHeight="1">
      <c r="A37" s="160">
        <v>36.0</v>
      </c>
      <c r="B37" s="158">
        <f t="shared" si="5"/>
        <v>10036</v>
      </c>
      <c r="C37" s="159" t="s">
        <v>1873</v>
      </c>
      <c r="D37" s="157" t="s">
        <v>1844</v>
      </c>
      <c r="E37" s="160" t="s">
        <v>41</v>
      </c>
      <c r="F37" s="161" t="s">
        <v>1933</v>
      </c>
      <c r="G37" s="162" t="s">
        <v>77</v>
      </c>
      <c r="H37" s="163" t="s">
        <v>1934</v>
      </c>
      <c r="I37" s="164" t="s">
        <v>1843</v>
      </c>
      <c r="J37" s="165" t="s">
        <v>1844</v>
      </c>
      <c r="K37" s="164" t="s">
        <v>1844</v>
      </c>
      <c r="L37" s="164" t="s">
        <v>1844</v>
      </c>
      <c r="M37" s="164" t="s">
        <v>1844</v>
      </c>
      <c r="N37" s="166" t="s">
        <v>1844</v>
      </c>
      <c r="O37" s="168" t="s">
        <v>1844</v>
      </c>
      <c r="P37" s="164" t="s">
        <v>1844</v>
      </c>
      <c r="Q37" s="168"/>
      <c r="R37" s="168"/>
      <c r="S37" s="168"/>
      <c r="T37" s="168"/>
      <c r="U37" s="168"/>
      <c r="V37" s="168"/>
      <c r="W37" s="168"/>
      <c r="X37" s="164"/>
      <c r="Y37" s="164"/>
      <c r="Z37" s="164"/>
      <c r="AA37" s="168"/>
      <c r="AB37" s="168"/>
      <c r="AC37" s="168"/>
      <c r="AD37" s="168"/>
      <c r="AE37" s="168"/>
      <c r="AF37" s="168"/>
      <c r="AG37" s="164"/>
      <c r="AH37" s="168"/>
      <c r="AI37" s="164"/>
      <c r="AJ37" s="169"/>
      <c r="AK37" s="167"/>
      <c r="AL37" s="167"/>
    </row>
    <row r="38" ht="15.75" customHeight="1">
      <c r="A38" s="125">
        <v>37.0</v>
      </c>
      <c r="B38" s="138">
        <f t="shared" si="5"/>
        <v>10037</v>
      </c>
      <c r="C38" s="124" t="s">
        <v>1840</v>
      </c>
      <c r="D38" s="122" t="s">
        <v>1841</v>
      </c>
      <c r="E38" s="125" t="s">
        <v>7</v>
      </c>
      <c r="F38" s="126" t="s">
        <v>1935</v>
      </c>
      <c r="G38" s="127" t="s">
        <v>78</v>
      </c>
      <c r="H38" s="155" t="s">
        <v>1936</v>
      </c>
      <c r="I38" s="129" t="s">
        <v>1843</v>
      </c>
      <c r="J38" s="130" t="s">
        <v>1844</v>
      </c>
      <c r="K38" s="129" t="s">
        <v>1844</v>
      </c>
      <c r="L38" s="129" t="s">
        <v>1844</v>
      </c>
      <c r="M38" s="129" t="s">
        <v>1844</v>
      </c>
      <c r="N38" s="131" t="s">
        <v>1844</v>
      </c>
      <c r="O38" s="132" t="s">
        <v>1844</v>
      </c>
      <c r="P38" s="129" t="s">
        <v>1844</v>
      </c>
      <c r="Q38" s="132"/>
      <c r="R38" s="132"/>
      <c r="S38" s="132" t="s">
        <v>1845</v>
      </c>
      <c r="T38" s="132"/>
      <c r="U38" s="132"/>
      <c r="V38" s="132"/>
      <c r="W38" s="132"/>
      <c r="X38" s="129"/>
      <c r="Y38" s="129"/>
      <c r="Z38" s="129"/>
      <c r="AA38" s="132"/>
      <c r="AB38" s="132"/>
      <c r="AC38" s="132"/>
      <c r="AD38" s="132"/>
      <c r="AE38" s="132"/>
      <c r="AF38" s="136"/>
      <c r="AG38" s="140"/>
      <c r="AH38" s="136"/>
      <c r="AI38" s="128"/>
      <c r="AJ38" s="137"/>
      <c r="AK38" s="140"/>
      <c r="AL38" s="140"/>
    </row>
    <row r="39" ht="15.75" customHeight="1">
      <c r="A39" s="125">
        <v>38.0</v>
      </c>
      <c r="B39" s="138">
        <f t="shared" si="5"/>
        <v>10038</v>
      </c>
      <c r="C39" s="124" t="s">
        <v>1840</v>
      </c>
      <c r="D39" s="122" t="s">
        <v>1841</v>
      </c>
      <c r="E39" s="125" t="s">
        <v>34</v>
      </c>
      <c r="F39" s="126" t="s">
        <v>1937</v>
      </c>
      <c r="G39" s="127" t="s">
        <v>80</v>
      </c>
      <c r="H39" s="155" t="s">
        <v>1938</v>
      </c>
      <c r="I39" s="129" t="s">
        <v>1843</v>
      </c>
      <c r="J39" s="143" t="s">
        <v>1902</v>
      </c>
      <c r="K39" s="129" t="s">
        <v>1877</v>
      </c>
      <c r="L39" s="132" t="s">
        <v>1844</v>
      </c>
      <c r="M39" s="132" t="s">
        <v>1845</v>
      </c>
      <c r="N39" s="131">
        <v>1.0</v>
      </c>
      <c r="O39" s="132" t="s">
        <v>1879</v>
      </c>
      <c r="P39" s="132" t="s">
        <v>1895</v>
      </c>
      <c r="Q39" s="132"/>
      <c r="R39" s="132"/>
      <c r="S39" s="132"/>
      <c r="T39" s="132"/>
      <c r="U39" s="132"/>
      <c r="V39" s="132"/>
      <c r="W39" s="132"/>
      <c r="X39" s="132"/>
      <c r="Y39" s="132"/>
      <c r="Z39" s="129"/>
      <c r="AA39" s="132"/>
      <c r="AB39" s="132"/>
      <c r="AC39" s="132"/>
      <c r="AD39" s="132"/>
      <c r="AE39" s="132"/>
      <c r="AF39" s="136"/>
      <c r="AG39" s="140"/>
      <c r="AH39" s="136"/>
      <c r="AI39" s="128"/>
      <c r="AJ39" s="137"/>
      <c r="AK39" s="140"/>
      <c r="AL39" s="140"/>
    </row>
    <row r="40" ht="15.75" customHeight="1">
      <c r="A40" s="160">
        <v>39.0</v>
      </c>
      <c r="B40" s="158">
        <f t="shared" si="5"/>
        <v>10039</v>
      </c>
      <c r="C40" s="159" t="s">
        <v>1840</v>
      </c>
      <c r="D40" s="157" t="s">
        <v>1844</v>
      </c>
      <c r="E40" s="160" t="s">
        <v>41</v>
      </c>
      <c r="F40" s="173" t="s">
        <v>1939</v>
      </c>
      <c r="G40" s="162" t="s">
        <v>82</v>
      </c>
      <c r="H40" s="163" t="s">
        <v>1940</v>
      </c>
      <c r="I40" s="164" t="s">
        <v>1843</v>
      </c>
      <c r="J40" s="165" t="s">
        <v>1844</v>
      </c>
      <c r="K40" s="164" t="s">
        <v>1844</v>
      </c>
      <c r="L40" s="168" t="s">
        <v>1844</v>
      </c>
      <c r="M40" s="168" t="s">
        <v>1844</v>
      </c>
      <c r="N40" s="166" t="s">
        <v>1844</v>
      </c>
      <c r="O40" s="168" t="s">
        <v>1844</v>
      </c>
      <c r="P40" s="168" t="s">
        <v>1844</v>
      </c>
      <c r="Q40" s="168"/>
      <c r="R40" s="168"/>
      <c r="S40" s="168"/>
      <c r="T40" s="168"/>
      <c r="U40" s="168"/>
      <c r="V40" s="168"/>
      <c r="W40" s="168"/>
      <c r="X40" s="164"/>
      <c r="Y40" s="164"/>
      <c r="Z40" s="164"/>
      <c r="AA40" s="168"/>
      <c r="AB40" s="168"/>
      <c r="AC40" s="168"/>
      <c r="AD40" s="168"/>
      <c r="AE40" s="168"/>
      <c r="AF40" s="168"/>
      <c r="AG40" s="167"/>
      <c r="AH40" s="168"/>
      <c r="AI40" s="164"/>
      <c r="AJ40" s="169"/>
      <c r="AK40" s="167"/>
      <c r="AL40" s="167"/>
    </row>
    <row r="41" ht="15.75" customHeight="1">
      <c r="A41" s="141">
        <v>40.0</v>
      </c>
      <c r="B41" s="123" t="s">
        <v>1742</v>
      </c>
      <c r="C41" s="124" t="s">
        <v>1840</v>
      </c>
      <c r="D41" s="122" t="s">
        <v>1849</v>
      </c>
      <c r="E41" s="180" t="s">
        <v>7</v>
      </c>
      <c r="F41" s="126" t="s">
        <v>1941</v>
      </c>
      <c r="G41" s="181" t="s">
        <v>83</v>
      </c>
      <c r="H41" s="155" t="s">
        <v>1942</v>
      </c>
      <c r="I41" s="129" t="s">
        <v>1843</v>
      </c>
      <c r="J41" s="130" t="s">
        <v>1844</v>
      </c>
      <c r="K41" s="172" t="s">
        <v>1844</v>
      </c>
      <c r="L41" s="129" t="s">
        <v>1844</v>
      </c>
      <c r="M41" s="182"/>
      <c r="N41" s="171" t="s">
        <v>1844</v>
      </c>
      <c r="O41" s="129" t="s">
        <v>1844</v>
      </c>
      <c r="P41" s="129" t="s">
        <v>1844</v>
      </c>
      <c r="Q41" s="129" t="s">
        <v>1845</v>
      </c>
      <c r="R41" s="129"/>
      <c r="S41" s="129"/>
      <c r="T41" s="129"/>
      <c r="U41" s="129"/>
      <c r="V41" s="129"/>
      <c r="W41" s="129"/>
      <c r="X41" s="129"/>
      <c r="Y41" s="129"/>
      <c r="Z41" s="129"/>
      <c r="AA41" s="129"/>
      <c r="AB41" s="129"/>
      <c r="AC41" s="129"/>
      <c r="AD41" s="129"/>
      <c r="AE41" s="129"/>
      <c r="AF41" s="128"/>
      <c r="AG41" s="140"/>
      <c r="AH41" s="128"/>
      <c r="AI41" s="128"/>
      <c r="AJ41" s="137"/>
      <c r="AK41" s="140"/>
      <c r="AL41" s="140"/>
    </row>
    <row r="42" ht="15.75" customHeight="1">
      <c r="A42" s="183">
        <v>41.0</v>
      </c>
      <c r="B42" s="158">
        <f t="shared" ref="B42:B54" si="6">SUM(A42+10000)</f>
        <v>10041</v>
      </c>
      <c r="C42" s="159" t="s">
        <v>1840</v>
      </c>
      <c r="D42" s="157" t="s">
        <v>1844</v>
      </c>
      <c r="E42" s="160" t="s">
        <v>41</v>
      </c>
      <c r="F42" s="176" t="s">
        <v>1943</v>
      </c>
      <c r="G42" s="162" t="s">
        <v>85</v>
      </c>
      <c r="H42" s="163" t="s">
        <v>1944</v>
      </c>
      <c r="I42" s="164" t="s">
        <v>1843</v>
      </c>
      <c r="J42" s="184" t="s">
        <v>1844</v>
      </c>
      <c r="K42" s="164" t="s">
        <v>1844</v>
      </c>
      <c r="L42" s="168" t="s">
        <v>1844</v>
      </c>
      <c r="M42" s="168" t="s">
        <v>1844</v>
      </c>
      <c r="N42" s="166" t="s">
        <v>1844</v>
      </c>
      <c r="O42" s="168" t="s">
        <v>1844</v>
      </c>
      <c r="P42" s="168" t="s">
        <v>1844</v>
      </c>
      <c r="Q42" s="168"/>
      <c r="R42" s="168"/>
      <c r="S42" s="168"/>
      <c r="T42" s="168"/>
      <c r="U42" s="168"/>
      <c r="V42" s="168"/>
      <c r="W42" s="168"/>
      <c r="X42" s="168"/>
      <c r="Y42" s="168"/>
      <c r="Z42" s="164"/>
      <c r="AA42" s="168"/>
      <c r="AB42" s="168"/>
      <c r="AC42" s="168"/>
      <c r="AD42" s="168"/>
      <c r="AE42" s="168"/>
      <c r="AF42" s="168"/>
      <c r="AG42" s="167"/>
      <c r="AH42" s="168"/>
      <c r="AI42" s="164"/>
      <c r="AJ42" s="169"/>
      <c r="AK42" s="167"/>
      <c r="AL42" s="167"/>
    </row>
    <row r="43" ht="15.75" customHeight="1">
      <c r="A43" s="141">
        <v>42.0</v>
      </c>
      <c r="B43" s="138">
        <f t="shared" si="6"/>
        <v>10042</v>
      </c>
      <c r="C43" s="124" t="s">
        <v>1840</v>
      </c>
      <c r="D43" s="122" t="s">
        <v>1841</v>
      </c>
      <c r="E43" s="125" t="s">
        <v>20</v>
      </c>
      <c r="F43" s="126" t="s">
        <v>1945</v>
      </c>
      <c r="G43" s="142" t="s">
        <v>86</v>
      </c>
      <c r="H43" s="155" t="s">
        <v>1946</v>
      </c>
      <c r="I43" s="129" t="s">
        <v>1843</v>
      </c>
      <c r="J43" s="143" t="s">
        <v>1844</v>
      </c>
      <c r="K43" s="129" t="s">
        <v>1844</v>
      </c>
      <c r="L43" s="132" t="s">
        <v>1844</v>
      </c>
      <c r="M43" s="172" t="s">
        <v>1845</v>
      </c>
      <c r="N43" s="131" t="s">
        <v>1844</v>
      </c>
      <c r="O43" s="132" t="s">
        <v>1844</v>
      </c>
      <c r="P43" s="132" t="s">
        <v>1862</v>
      </c>
      <c r="Q43" s="132"/>
      <c r="R43" s="132"/>
      <c r="S43" s="132"/>
      <c r="T43" s="132"/>
      <c r="U43" s="132"/>
      <c r="V43" s="132"/>
      <c r="W43" s="132"/>
      <c r="X43" s="132"/>
      <c r="Y43" s="132"/>
      <c r="Z43" s="129"/>
      <c r="AA43" s="132"/>
      <c r="AB43" s="132"/>
      <c r="AC43" s="132"/>
      <c r="AD43" s="132"/>
      <c r="AE43" s="132"/>
      <c r="AF43" s="136"/>
      <c r="AG43" s="140"/>
      <c r="AH43" s="136"/>
      <c r="AI43" s="128"/>
      <c r="AJ43" s="137"/>
      <c r="AK43" s="140"/>
      <c r="AL43" s="140"/>
    </row>
    <row r="44" ht="15.75" customHeight="1">
      <c r="A44" s="141">
        <v>43.0</v>
      </c>
      <c r="B44" s="138">
        <f t="shared" si="6"/>
        <v>10043</v>
      </c>
      <c r="C44" s="124" t="s">
        <v>1840</v>
      </c>
      <c r="D44" s="122" t="s">
        <v>1841</v>
      </c>
      <c r="E44" s="141" t="s">
        <v>34</v>
      </c>
      <c r="F44" s="185" t="s">
        <v>1947</v>
      </c>
      <c r="G44" s="142" t="s">
        <v>88</v>
      </c>
      <c r="H44" s="156" t="s">
        <v>1948</v>
      </c>
      <c r="I44" s="128" t="s">
        <v>1843</v>
      </c>
      <c r="J44" s="186" t="s">
        <v>1902</v>
      </c>
      <c r="K44" s="128" t="s">
        <v>1877</v>
      </c>
      <c r="L44" s="136" t="s">
        <v>1878</v>
      </c>
      <c r="M44" s="136" t="s">
        <v>1845</v>
      </c>
      <c r="N44" s="144">
        <v>1.0</v>
      </c>
      <c r="O44" s="144" t="s">
        <v>1879</v>
      </c>
      <c r="P44" s="136" t="s">
        <v>1862</v>
      </c>
      <c r="Q44" s="144"/>
      <c r="R44" s="144"/>
      <c r="S44" s="144"/>
      <c r="T44" s="144"/>
      <c r="U44" s="144"/>
      <c r="V44" s="144"/>
      <c r="W44" s="144"/>
      <c r="X44" s="136"/>
      <c r="Y44" s="136"/>
      <c r="Z44" s="140"/>
      <c r="AA44" s="144"/>
      <c r="AB44" s="136"/>
      <c r="AC44" s="136"/>
      <c r="AD44" s="136"/>
      <c r="AE44" s="136"/>
      <c r="AF44" s="136"/>
      <c r="AG44" s="128"/>
      <c r="AH44" s="136"/>
      <c r="AI44" s="128"/>
      <c r="AJ44" s="137"/>
      <c r="AK44" s="140"/>
      <c r="AL44" s="140"/>
    </row>
    <row r="45" ht="15.75" customHeight="1">
      <c r="A45" s="183">
        <v>44.0</v>
      </c>
      <c r="B45" s="158">
        <f t="shared" si="6"/>
        <v>10044</v>
      </c>
      <c r="C45" s="159" t="s">
        <v>1840</v>
      </c>
      <c r="D45" s="157" t="s">
        <v>1844</v>
      </c>
      <c r="E45" s="183" t="s">
        <v>41</v>
      </c>
      <c r="F45" s="173" t="s">
        <v>1949</v>
      </c>
      <c r="G45" s="187" t="s">
        <v>90</v>
      </c>
      <c r="H45" s="163" t="s">
        <v>1950</v>
      </c>
      <c r="I45" s="164" t="s">
        <v>1843</v>
      </c>
      <c r="J45" s="165" t="s">
        <v>1844</v>
      </c>
      <c r="K45" s="164" t="s">
        <v>1844</v>
      </c>
      <c r="L45" s="168" t="s">
        <v>1844</v>
      </c>
      <c r="M45" s="168" t="s">
        <v>1844</v>
      </c>
      <c r="N45" s="166" t="s">
        <v>1844</v>
      </c>
      <c r="O45" s="168" t="s">
        <v>1844</v>
      </c>
      <c r="P45" s="168" t="s">
        <v>1844</v>
      </c>
      <c r="Q45" s="168"/>
      <c r="R45" s="168"/>
      <c r="S45" s="168"/>
      <c r="T45" s="168"/>
      <c r="U45" s="168"/>
      <c r="V45" s="168"/>
      <c r="W45" s="168"/>
      <c r="X45" s="168"/>
      <c r="Y45" s="168"/>
      <c r="Z45" s="164"/>
      <c r="AA45" s="168"/>
      <c r="AB45" s="166"/>
      <c r="AC45" s="166"/>
      <c r="AD45" s="166"/>
      <c r="AE45" s="166"/>
      <c r="AF45" s="166"/>
      <c r="AG45" s="166"/>
      <c r="AH45" s="168"/>
      <c r="AI45" s="168"/>
      <c r="AJ45" s="188"/>
      <c r="AK45" s="167"/>
      <c r="AL45" s="167"/>
    </row>
    <row r="46" ht="15.75" customHeight="1">
      <c r="A46" s="183">
        <v>45.0</v>
      </c>
      <c r="B46" s="158">
        <f t="shared" si="6"/>
        <v>10045</v>
      </c>
      <c r="C46" s="159" t="s">
        <v>1873</v>
      </c>
      <c r="D46" s="157" t="s">
        <v>1841</v>
      </c>
      <c r="E46" s="183" t="s">
        <v>41</v>
      </c>
      <c r="F46" s="173" t="s">
        <v>1951</v>
      </c>
      <c r="G46" s="187" t="s">
        <v>91</v>
      </c>
      <c r="H46" s="163" t="s">
        <v>1952</v>
      </c>
      <c r="I46" s="164" t="s">
        <v>1843</v>
      </c>
      <c r="J46" s="165" t="s">
        <v>1844</v>
      </c>
      <c r="K46" s="177" t="s">
        <v>1844</v>
      </c>
      <c r="L46" s="168" t="s">
        <v>1844</v>
      </c>
      <c r="M46" s="168" t="s">
        <v>1844</v>
      </c>
      <c r="N46" s="166" t="s">
        <v>1844</v>
      </c>
      <c r="O46" s="168" t="s">
        <v>1844</v>
      </c>
      <c r="P46" s="168" t="s">
        <v>1844</v>
      </c>
      <c r="Q46" s="168"/>
      <c r="R46" s="168"/>
      <c r="S46" s="168"/>
      <c r="T46" s="168"/>
      <c r="U46" s="168"/>
      <c r="V46" s="168"/>
      <c r="W46" s="168"/>
      <c r="X46" s="168"/>
      <c r="Y46" s="168"/>
      <c r="Z46" s="164"/>
      <c r="AA46" s="168"/>
      <c r="AB46" s="168"/>
      <c r="AC46" s="168"/>
      <c r="AD46" s="168"/>
      <c r="AE46" s="168"/>
      <c r="AF46" s="168"/>
      <c r="AG46" s="164"/>
      <c r="AH46" s="166"/>
      <c r="AI46" s="164"/>
      <c r="AJ46" s="169"/>
      <c r="AK46" s="167"/>
      <c r="AL46" s="167"/>
    </row>
    <row r="47" ht="15.75" customHeight="1">
      <c r="A47" s="183">
        <v>46.0</v>
      </c>
      <c r="B47" s="158">
        <f t="shared" si="6"/>
        <v>10046</v>
      </c>
      <c r="C47" s="159" t="s">
        <v>1840</v>
      </c>
      <c r="D47" s="157" t="s">
        <v>1844</v>
      </c>
      <c r="E47" s="183" t="s">
        <v>41</v>
      </c>
      <c r="F47" s="173" t="s">
        <v>1953</v>
      </c>
      <c r="G47" s="187" t="s">
        <v>92</v>
      </c>
      <c r="H47" s="163" t="s">
        <v>1954</v>
      </c>
      <c r="I47" s="164" t="s">
        <v>1843</v>
      </c>
      <c r="J47" s="184" t="s">
        <v>1844</v>
      </c>
      <c r="K47" s="164" t="s">
        <v>1844</v>
      </c>
      <c r="L47" s="168" t="s">
        <v>1844</v>
      </c>
      <c r="M47" s="168" t="s">
        <v>1844</v>
      </c>
      <c r="N47" s="166" t="s">
        <v>1844</v>
      </c>
      <c r="O47" s="168" t="s">
        <v>1844</v>
      </c>
      <c r="P47" s="168" t="s">
        <v>1844</v>
      </c>
      <c r="Q47" s="168"/>
      <c r="R47" s="168"/>
      <c r="S47" s="168"/>
      <c r="T47" s="168"/>
      <c r="U47" s="168"/>
      <c r="V47" s="168"/>
      <c r="W47" s="168"/>
      <c r="X47" s="168"/>
      <c r="Y47" s="168"/>
      <c r="Z47" s="164"/>
      <c r="AA47" s="168"/>
      <c r="AB47" s="168"/>
      <c r="AC47" s="168"/>
      <c r="AD47" s="168"/>
      <c r="AE47" s="168"/>
      <c r="AF47" s="168"/>
      <c r="AG47" s="167"/>
      <c r="AH47" s="168"/>
      <c r="AI47" s="164"/>
      <c r="AJ47" s="169"/>
      <c r="AK47" s="167"/>
      <c r="AL47" s="167"/>
    </row>
    <row r="48" ht="15.75" customHeight="1">
      <c r="A48" s="189">
        <v>47.0</v>
      </c>
      <c r="B48" s="138">
        <f t="shared" si="6"/>
        <v>10047</v>
      </c>
      <c r="C48" s="179" t="s">
        <v>1840</v>
      </c>
      <c r="D48" s="150" t="s">
        <v>1841</v>
      </c>
      <c r="E48" s="189" t="s">
        <v>34</v>
      </c>
      <c r="F48" s="152" t="s">
        <v>1955</v>
      </c>
      <c r="G48" s="190" t="s">
        <v>93</v>
      </c>
      <c r="H48" s="191" t="s">
        <v>1956</v>
      </c>
      <c r="I48" s="129" t="s">
        <v>1843</v>
      </c>
      <c r="J48" s="130" t="s">
        <v>1902</v>
      </c>
      <c r="K48" s="129" t="s">
        <v>1877</v>
      </c>
      <c r="L48" s="132" t="s">
        <v>1844</v>
      </c>
      <c r="M48" s="132" t="s">
        <v>1845</v>
      </c>
      <c r="N48" s="131" t="s">
        <v>1903</v>
      </c>
      <c r="O48" s="131" t="s">
        <v>1879</v>
      </c>
      <c r="P48" s="132" t="s">
        <v>1895</v>
      </c>
      <c r="Q48" s="131"/>
      <c r="R48" s="131"/>
      <c r="S48" s="132" t="s">
        <v>1845</v>
      </c>
      <c r="T48" s="131"/>
      <c r="U48" s="131"/>
      <c r="V48" s="131"/>
      <c r="W48" s="131"/>
      <c r="X48" s="132"/>
      <c r="Y48" s="132"/>
      <c r="Z48" s="171"/>
      <c r="AA48" s="131"/>
      <c r="AB48" s="132"/>
      <c r="AC48" s="132"/>
      <c r="AD48" s="132"/>
      <c r="AE48" s="132"/>
      <c r="AF48" s="136"/>
      <c r="AG48" s="140"/>
      <c r="AH48" s="136"/>
      <c r="AI48" s="128"/>
      <c r="AJ48" s="137"/>
      <c r="AK48" s="140"/>
      <c r="AL48" s="140"/>
    </row>
    <row r="49" ht="15.75" customHeight="1">
      <c r="A49" s="183">
        <v>48.0</v>
      </c>
      <c r="B49" s="158">
        <f t="shared" si="6"/>
        <v>10048</v>
      </c>
      <c r="C49" s="159" t="s">
        <v>1840</v>
      </c>
      <c r="D49" s="157" t="s">
        <v>1844</v>
      </c>
      <c r="E49" s="183" t="s">
        <v>41</v>
      </c>
      <c r="F49" s="161" t="s">
        <v>1957</v>
      </c>
      <c r="G49" s="187" t="s">
        <v>95</v>
      </c>
      <c r="H49" s="192" t="s">
        <v>1958</v>
      </c>
      <c r="I49" s="164" t="s">
        <v>1843</v>
      </c>
      <c r="J49" s="184" t="s">
        <v>1844</v>
      </c>
      <c r="K49" s="164" t="s">
        <v>1844</v>
      </c>
      <c r="L49" s="168" t="s">
        <v>1844</v>
      </c>
      <c r="M49" s="168" t="s">
        <v>1844</v>
      </c>
      <c r="N49" s="166" t="s">
        <v>1844</v>
      </c>
      <c r="O49" s="168" t="s">
        <v>1844</v>
      </c>
      <c r="P49" s="168" t="s">
        <v>1844</v>
      </c>
      <c r="Q49" s="168"/>
      <c r="R49" s="168"/>
      <c r="S49" s="168"/>
      <c r="T49" s="168"/>
      <c r="U49" s="168"/>
      <c r="V49" s="168"/>
      <c r="W49" s="168"/>
      <c r="X49" s="168"/>
      <c r="Y49" s="168"/>
      <c r="Z49" s="164"/>
      <c r="AA49" s="168"/>
      <c r="AB49" s="166"/>
      <c r="AC49" s="166"/>
      <c r="AD49" s="166"/>
      <c r="AE49" s="166"/>
      <c r="AF49" s="166"/>
      <c r="AG49" s="167"/>
      <c r="AH49" s="168"/>
      <c r="AI49" s="164"/>
      <c r="AJ49" s="169"/>
      <c r="AK49" s="167"/>
      <c r="AL49" s="167"/>
    </row>
    <row r="50" ht="15.75" customHeight="1">
      <c r="A50" s="141">
        <v>49.0</v>
      </c>
      <c r="B50" s="138">
        <f t="shared" si="6"/>
        <v>10049</v>
      </c>
      <c r="C50" s="124" t="s">
        <v>1840</v>
      </c>
      <c r="D50" s="122" t="s">
        <v>1841</v>
      </c>
      <c r="E50" s="141" t="s">
        <v>27</v>
      </c>
      <c r="F50" s="185" t="s">
        <v>1959</v>
      </c>
      <c r="G50" s="142" t="s">
        <v>96</v>
      </c>
      <c r="H50" s="191" t="s">
        <v>1960</v>
      </c>
      <c r="I50" s="129" t="s">
        <v>1843</v>
      </c>
      <c r="J50" s="143" t="s">
        <v>1844</v>
      </c>
      <c r="K50" s="172" t="s">
        <v>1844</v>
      </c>
      <c r="L50" s="132" t="s">
        <v>1961</v>
      </c>
      <c r="M50" s="132" t="s">
        <v>1845</v>
      </c>
      <c r="N50" s="131" t="s">
        <v>1844</v>
      </c>
      <c r="O50" s="132" t="s">
        <v>1844</v>
      </c>
      <c r="P50" s="129" t="s">
        <v>1862</v>
      </c>
      <c r="Q50" s="132"/>
      <c r="R50" s="132"/>
      <c r="S50" s="132"/>
      <c r="T50" s="132"/>
      <c r="U50" s="132"/>
      <c r="V50" s="132"/>
      <c r="W50" s="132"/>
      <c r="X50" s="129"/>
      <c r="Y50" s="129"/>
      <c r="Z50" s="129"/>
      <c r="AA50" s="132"/>
      <c r="AB50" s="132"/>
      <c r="AC50" s="132"/>
      <c r="AD50" s="132"/>
      <c r="AE50" s="132"/>
      <c r="AF50" s="136"/>
      <c r="AG50" s="140"/>
      <c r="AH50" s="144"/>
      <c r="AI50" s="128"/>
      <c r="AJ50" s="137"/>
      <c r="AK50" s="140"/>
      <c r="AL50" s="140"/>
    </row>
    <row r="51" ht="15.75" customHeight="1">
      <c r="A51" s="141">
        <v>50.0</v>
      </c>
      <c r="B51" s="138">
        <f t="shared" si="6"/>
        <v>10050</v>
      </c>
      <c r="C51" s="124" t="s">
        <v>1840</v>
      </c>
      <c r="D51" s="122" t="s">
        <v>1849</v>
      </c>
      <c r="E51" s="141" t="s">
        <v>34</v>
      </c>
      <c r="F51" s="185" t="s">
        <v>1962</v>
      </c>
      <c r="G51" s="142" t="s">
        <v>98</v>
      </c>
      <c r="H51" s="191" t="s">
        <v>1963</v>
      </c>
      <c r="I51" s="129" t="s">
        <v>1843</v>
      </c>
      <c r="J51" s="143" t="s">
        <v>1876</v>
      </c>
      <c r="K51" s="129" t="s">
        <v>1877</v>
      </c>
      <c r="L51" s="132" t="s">
        <v>1844</v>
      </c>
      <c r="M51" s="132" t="s">
        <v>1845</v>
      </c>
      <c r="N51" s="131" t="s">
        <v>1903</v>
      </c>
      <c r="O51" s="132" t="s">
        <v>1879</v>
      </c>
      <c r="P51" s="132" t="s">
        <v>1964</v>
      </c>
      <c r="Q51" s="132"/>
      <c r="R51" s="132"/>
      <c r="S51" s="132"/>
      <c r="T51" s="132"/>
      <c r="U51" s="132"/>
      <c r="V51" s="132"/>
      <c r="W51" s="132"/>
      <c r="X51" s="132"/>
      <c r="Y51" s="132"/>
      <c r="Z51" s="129"/>
      <c r="AA51" s="132"/>
      <c r="AB51" s="132"/>
      <c r="AC51" s="132"/>
      <c r="AD51" s="132"/>
      <c r="AE51" s="132"/>
      <c r="AF51" s="136"/>
      <c r="AG51" s="128"/>
      <c r="AH51" s="136"/>
      <c r="AI51" s="128"/>
      <c r="AJ51" s="137"/>
      <c r="AK51" s="140"/>
      <c r="AL51" s="140"/>
    </row>
    <row r="52" ht="15.75" customHeight="1">
      <c r="A52" s="183">
        <v>51.0</v>
      </c>
      <c r="B52" s="158">
        <f t="shared" si="6"/>
        <v>10051</v>
      </c>
      <c r="C52" s="159" t="s">
        <v>1840</v>
      </c>
      <c r="D52" s="157" t="s">
        <v>1844</v>
      </c>
      <c r="E52" s="183" t="s">
        <v>41</v>
      </c>
      <c r="F52" s="173" t="s">
        <v>1965</v>
      </c>
      <c r="G52" s="187" t="s">
        <v>100</v>
      </c>
      <c r="H52" s="192" t="s">
        <v>1966</v>
      </c>
      <c r="I52" s="164" t="s">
        <v>1843</v>
      </c>
      <c r="J52" s="184" t="s">
        <v>1844</v>
      </c>
      <c r="K52" s="164" t="s">
        <v>1844</v>
      </c>
      <c r="L52" s="168" t="s">
        <v>1844</v>
      </c>
      <c r="M52" s="168" t="s">
        <v>1844</v>
      </c>
      <c r="N52" s="166" t="s">
        <v>1844</v>
      </c>
      <c r="O52" s="168" t="s">
        <v>1844</v>
      </c>
      <c r="P52" s="168" t="s">
        <v>1844</v>
      </c>
      <c r="Q52" s="168"/>
      <c r="R52" s="168"/>
      <c r="S52" s="168"/>
      <c r="T52" s="168"/>
      <c r="U52" s="168"/>
      <c r="V52" s="168"/>
      <c r="W52" s="168"/>
      <c r="X52" s="168"/>
      <c r="Y52" s="168"/>
      <c r="Z52" s="164"/>
      <c r="AA52" s="168"/>
      <c r="AB52" s="168"/>
      <c r="AC52" s="168"/>
      <c r="AD52" s="168"/>
      <c r="AE52" s="168"/>
      <c r="AF52" s="168"/>
      <c r="AG52" s="166"/>
      <c r="AH52" s="168"/>
      <c r="AI52" s="168"/>
      <c r="AJ52" s="188"/>
      <c r="AK52" s="167"/>
      <c r="AL52" s="167"/>
    </row>
    <row r="53" ht="15.75" customHeight="1">
      <c r="A53" s="157">
        <v>52.0</v>
      </c>
      <c r="B53" s="158">
        <f t="shared" si="6"/>
        <v>10052</v>
      </c>
      <c r="C53" s="159" t="s">
        <v>1840</v>
      </c>
      <c r="D53" s="157" t="s">
        <v>1844</v>
      </c>
      <c r="E53" s="160" t="s">
        <v>41</v>
      </c>
      <c r="F53" s="161" t="s">
        <v>1967</v>
      </c>
      <c r="G53" s="162" t="s">
        <v>101</v>
      </c>
      <c r="H53" s="192" t="s">
        <v>1968</v>
      </c>
      <c r="I53" s="164" t="s">
        <v>1843</v>
      </c>
      <c r="J53" s="165" t="s">
        <v>1844</v>
      </c>
      <c r="K53" s="177" t="s">
        <v>1844</v>
      </c>
      <c r="L53" s="164" t="s">
        <v>1844</v>
      </c>
      <c r="M53" s="164" t="s">
        <v>1844</v>
      </c>
      <c r="N53" s="167" t="s">
        <v>1844</v>
      </c>
      <c r="O53" s="164" t="s">
        <v>1844</v>
      </c>
      <c r="P53" s="164" t="s">
        <v>1844</v>
      </c>
      <c r="Q53" s="164"/>
      <c r="R53" s="164"/>
      <c r="S53" s="164"/>
      <c r="T53" s="164"/>
      <c r="U53" s="164"/>
      <c r="V53" s="164"/>
      <c r="W53" s="164"/>
      <c r="X53" s="164"/>
      <c r="Y53" s="164"/>
      <c r="Z53" s="164"/>
      <c r="AA53" s="164"/>
      <c r="AB53" s="164"/>
      <c r="AC53" s="164"/>
      <c r="AD53" s="164"/>
      <c r="AE53" s="164"/>
      <c r="AF53" s="164"/>
      <c r="AG53" s="167"/>
      <c r="AH53" s="164"/>
      <c r="AI53" s="164"/>
      <c r="AJ53" s="169"/>
      <c r="AK53" s="167"/>
      <c r="AL53" s="167"/>
    </row>
    <row r="54" ht="15.75" customHeight="1">
      <c r="A54" s="157">
        <v>53.0</v>
      </c>
      <c r="B54" s="158">
        <f t="shared" si="6"/>
        <v>10053</v>
      </c>
      <c r="C54" s="159" t="s">
        <v>1840</v>
      </c>
      <c r="D54" s="157" t="s">
        <v>1844</v>
      </c>
      <c r="E54" s="160" t="s">
        <v>41</v>
      </c>
      <c r="F54" s="161" t="s">
        <v>1969</v>
      </c>
      <c r="G54" s="162" t="s">
        <v>102</v>
      </c>
      <c r="H54" s="192" t="s">
        <v>1970</v>
      </c>
      <c r="I54" s="164" t="s">
        <v>1843</v>
      </c>
      <c r="J54" s="184" t="s">
        <v>1844</v>
      </c>
      <c r="K54" s="164" t="s">
        <v>1844</v>
      </c>
      <c r="L54" s="168" t="s">
        <v>1844</v>
      </c>
      <c r="M54" s="168" t="s">
        <v>1844</v>
      </c>
      <c r="N54" s="166" t="s">
        <v>1844</v>
      </c>
      <c r="O54" s="168" t="s">
        <v>1844</v>
      </c>
      <c r="P54" s="168" t="s">
        <v>1844</v>
      </c>
      <c r="Q54" s="168"/>
      <c r="R54" s="168"/>
      <c r="S54" s="168"/>
      <c r="T54" s="168"/>
      <c r="U54" s="168"/>
      <c r="V54" s="168"/>
      <c r="W54" s="168"/>
      <c r="X54" s="168"/>
      <c r="Y54" s="168"/>
      <c r="Z54" s="164"/>
      <c r="AA54" s="168"/>
      <c r="AB54" s="168"/>
      <c r="AC54" s="168"/>
      <c r="AD54" s="168"/>
      <c r="AE54" s="168"/>
      <c r="AF54" s="168"/>
      <c r="AG54" s="167"/>
      <c r="AH54" s="168"/>
      <c r="AI54" s="164"/>
      <c r="AJ54" s="169"/>
      <c r="AK54" s="167"/>
      <c r="AL54" s="167"/>
    </row>
    <row r="55" ht="15.75" customHeight="1">
      <c r="A55" s="157">
        <v>54.0</v>
      </c>
      <c r="B55" s="157" t="s">
        <v>1742</v>
      </c>
      <c r="C55" s="159" t="s">
        <v>1873</v>
      </c>
      <c r="D55" s="157" t="s">
        <v>1841</v>
      </c>
      <c r="E55" s="160" t="s">
        <v>34</v>
      </c>
      <c r="F55" s="161" t="s">
        <v>1971</v>
      </c>
      <c r="G55" s="162" t="s">
        <v>1972</v>
      </c>
      <c r="H55" s="192" t="s">
        <v>1973</v>
      </c>
      <c r="I55" s="164" t="s">
        <v>1843</v>
      </c>
      <c r="J55" s="184" t="s">
        <v>1876</v>
      </c>
      <c r="K55" s="164" t="s">
        <v>1877</v>
      </c>
      <c r="L55" s="168" t="s">
        <v>1878</v>
      </c>
      <c r="M55" s="168" t="s">
        <v>1845</v>
      </c>
      <c r="N55" s="166" t="s">
        <v>1903</v>
      </c>
      <c r="O55" s="168" t="s">
        <v>1879</v>
      </c>
      <c r="P55" s="168" t="s">
        <v>1895</v>
      </c>
      <c r="Q55" s="168" t="s">
        <v>1845</v>
      </c>
      <c r="R55" s="168"/>
      <c r="S55" s="168"/>
      <c r="T55" s="168"/>
      <c r="U55" s="168"/>
      <c r="V55" s="168"/>
      <c r="W55" s="168"/>
      <c r="X55" s="168"/>
      <c r="Y55" s="168"/>
      <c r="Z55" s="164"/>
      <c r="AA55" s="168"/>
      <c r="AB55" s="168"/>
      <c r="AC55" s="168"/>
      <c r="AD55" s="168"/>
      <c r="AE55" s="168"/>
      <c r="AF55" s="168"/>
      <c r="AG55" s="164"/>
      <c r="AH55" s="168"/>
      <c r="AI55" s="164"/>
      <c r="AJ55" s="169"/>
      <c r="AK55" s="167"/>
      <c r="AL55" s="167"/>
    </row>
    <row r="56" ht="15.75" customHeight="1">
      <c r="A56" s="160">
        <v>55.0</v>
      </c>
      <c r="B56" s="158">
        <f t="shared" ref="B56:B75" si="7">SUM(A56+10000)</f>
        <v>10055</v>
      </c>
      <c r="C56" s="159" t="s">
        <v>1873</v>
      </c>
      <c r="D56" s="157" t="s">
        <v>1841</v>
      </c>
      <c r="E56" s="160" t="s">
        <v>41</v>
      </c>
      <c r="F56" s="161" t="s">
        <v>1974</v>
      </c>
      <c r="G56" s="162" t="s">
        <v>105</v>
      </c>
      <c r="H56" s="192" t="s">
        <v>1975</v>
      </c>
      <c r="I56" s="164" t="s">
        <v>1843</v>
      </c>
      <c r="J56" s="184" t="s">
        <v>1844</v>
      </c>
      <c r="K56" s="164" t="s">
        <v>1844</v>
      </c>
      <c r="L56" s="168" t="s">
        <v>1844</v>
      </c>
      <c r="M56" s="168" t="s">
        <v>1844</v>
      </c>
      <c r="N56" s="166" t="s">
        <v>1844</v>
      </c>
      <c r="O56" s="168" t="s">
        <v>1844</v>
      </c>
      <c r="P56" s="168" t="s">
        <v>1844</v>
      </c>
      <c r="Q56" s="168"/>
      <c r="R56" s="168"/>
      <c r="S56" s="168"/>
      <c r="T56" s="168"/>
      <c r="U56" s="168"/>
      <c r="V56" s="168"/>
      <c r="W56" s="168"/>
      <c r="X56" s="168"/>
      <c r="Y56" s="168"/>
      <c r="Z56" s="164"/>
      <c r="AA56" s="168"/>
      <c r="AB56" s="168"/>
      <c r="AC56" s="168"/>
      <c r="AD56" s="168"/>
      <c r="AE56" s="168"/>
      <c r="AF56" s="168"/>
      <c r="AG56" s="164"/>
      <c r="AH56" s="168"/>
      <c r="AI56" s="164"/>
      <c r="AJ56" s="169"/>
      <c r="AK56" s="167"/>
      <c r="AL56" s="167"/>
    </row>
    <row r="57" ht="15.75" customHeight="1">
      <c r="A57" s="160">
        <v>56.0</v>
      </c>
      <c r="B57" s="158">
        <f t="shared" si="7"/>
        <v>10056</v>
      </c>
      <c r="C57" s="159" t="s">
        <v>1840</v>
      </c>
      <c r="D57" s="157" t="s">
        <v>1844</v>
      </c>
      <c r="E57" s="160" t="s">
        <v>41</v>
      </c>
      <c r="F57" s="161" t="s">
        <v>1976</v>
      </c>
      <c r="G57" s="162" t="s">
        <v>106</v>
      </c>
      <c r="H57" s="163" t="s">
        <v>1977</v>
      </c>
      <c r="I57" s="164" t="s">
        <v>1843</v>
      </c>
      <c r="J57" s="165" t="s">
        <v>1844</v>
      </c>
      <c r="K57" s="177" t="s">
        <v>1844</v>
      </c>
      <c r="L57" s="164" t="s">
        <v>1844</v>
      </c>
      <c r="M57" s="164" t="s">
        <v>1844</v>
      </c>
      <c r="N57" s="167" t="s">
        <v>1844</v>
      </c>
      <c r="O57" s="164" t="s">
        <v>1844</v>
      </c>
      <c r="P57" s="164" t="s">
        <v>1844</v>
      </c>
      <c r="Q57" s="164"/>
      <c r="R57" s="164"/>
      <c r="S57" s="164"/>
      <c r="T57" s="164"/>
      <c r="U57" s="164"/>
      <c r="V57" s="164"/>
      <c r="W57" s="164"/>
      <c r="X57" s="164"/>
      <c r="Y57" s="164"/>
      <c r="Z57" s="164"/>
      <c r="AA57" s="164"/>
      <c r="AB57" s="164"/>
      <c r="AC57" s="164"/>
      <c r="AD57" s="164"/>
      <c r="AE57" s="164"/>
      <c r="AF57" s="164"/>
      <c r="AG57" s="167"/>
      <c r="AH57" s="164"/>
      <c r="AI57" s="164"/>
      <c r="AJ57" s="169"/>
      <c r="AK57" s="167"/>
      <c r="AL57" s="167"/>
    </row>
    <row r="58" ht="15.75" customHeight="1">
      <c r="A58" s="160">
        <v>57.0</v>
      </c>
      <c r="B58" s="158">
        <f t="shared" si="7"/>
        <v>10057</v>
      </c>
      <c r="C58" s="159" t="s">
        <v>1873</v>
      </c>
      <c r="D58" s="157" t="s">
        <v>1844</v>
      </c>
      <c r="E58" s="160" t="s">
        <v>41</v>
      </c>
      <c r="F58" s="161" t="s">
        <v>1978</v>
      </c>
      <c r="G58" s="162" t="s">
        <v>107</v>
      </c>
      <c r="H58" s="163" t="s">
        <v>1979</v>
      </c>
      <c r="I58" s="164" t="s">
        <v>1843</v>
      </c>
      <c r="J58" s="184" t="s">
        <v>1844</v>
      </c>
      <c r="K58" s="164" t="s">
        <v>1844</v>
      </c>
      <c r="L58" s="168" t="s">
        <v>1844</v>
      </c>
      <c r="M58" s="168" t="s">
        <v>1844</v>
      </c>
      <c r="N58" s="166" t="s">
        <v>1844</v>
      </c>
      <c r="O58" s="168" t="s">
        <v>1844</v>
      </c>
      <c r="P58" s="168" t="s">
        <v>1844</v>
      </c>
      <c r="Q58" s="168"/>
      <c r="R58" s="168"/>
      <c r="S58" s="168"/>
      <c r="T58" s="168"/>
      <c r="U58" s="168"/>
      <c r="V58" s="168"/>
      <c r="W58" s="168"/>
      <c r="X58" s="168"/>
      <c r="Y58" s="168"/>
      <c r="Z58" s="164"/>
      <c r="AA58" s="168"/>
      <c r="AB58" s="168"/>
      <c r="AC58" s="168"/>
      <c r="AD58" s="168"/>
      <c r="AE58" s="168"/>
      <c r="AF58" s="168"/>
      <c r="AG58" s="164"/>
      <c r="AH58" s="168"/>
      <c r="AI58" s="164"/>
      <c r="AJ58" s="169"/>
      <c r="AK58" s="167"/>
      <c r="AL58" s="167"/>
    </row>
    <row r="59" ht="15.75" customHeight="1">
      <c r="A59" s="125">
        <v>58.0</v>
      </c>
      <c r="B59" s="138">
        <f t="shared" si="7"/>
        <v>10058</v>
      </c>
      <c r="C59" s="124" t="s">
        <v>1840</v>
      </c>
      <c r="D59" s="122" t="s">
        <v>1841</v>
      </c>
      <c r="E59" s="125" t="s">
        <v>20</v>
      </c>
      <c r="F59" s="126" t="s">
        <v>1980</v>
      </c>
      <c r="G59" s="127" t="s">
        <v>108</v>
      </c>
      <c r="H59" s="155" t="s">
        <v>1981</v>
      </c>
      <c r="I59" s="129" t="s">
        <v>1843</v>
      </c>
      <c r="J59" s="143" t="s">
        <v>1844</v>
      </c>
      <c r="K59" s="129" t="s">
        <v>1844</v>
      </c>
      <c r="L59" s="132" t="s">
        <v>1844</v>
      </c>
      <c r="M59" s="132" t="s">
        <v>1845</v>
      </c>
      <c r="N59" s="131" t="s">
        <v>1844</v>
      </c>
      <c r="O59" s="132" t="s">
        <v>1844</v>
      </c>
      <c r="P59" s="132" t="s">
        <v>1895</v>
      </c>
      <c r="Q59" s="132"/>
      <c r="R59" s="132"/>
      <c r="S59" s="132"/>
      <c r="T59" s="132"/>
      <c r="U59" s="132"/>
      <c r="V59" s="132"/>
      <c r="W59" s="132"/>
      <c r="X59" s="132"/>
      <c r="Y59" s="132"/>
      <c r="Z59" s="129"/>
      <c r="AA59" s="132"/>
      <c r="AB59" s="132"/>
      <c r="AC59" s="132"/>
      <c r="AD59" s="132"/>
      <c r="AE59" s="132"/>
      <c r="AF59" s="136"/>
      <c r="AG59" s="140"/>
      <c r="AH59" s="136"/>
      <c r="AI59" s="128"/>
      <c r="AJ59" s="137"/>
      <c r="AK59" s="140"/>
      <c r="AL59" s="140"/>
    </row>
    <row r="60" ht="15.75" customHeight="1">
      <c r="A60" s="160">
        <v>59.0</v>
      </c>
      <c r="B60" s="158">
        <f t="shared" si="7"/>
        <v>10059</v>
      </c>
      <c r="C60" s="159" t="s">
        <v>1873</v>
      </c>
      <c r="D60" s="157" t="s">
        <v>1841</v>
      </c>
      <c r="E60" s="160" t="s">
        <v>41</v>
      </c>
      <c r="F60" s="161" t="s">
        <v>1982</v>
      </c>
      <c r="G60" s="162" t="s">
        <v>110</v>
      </c>
      <c r="H60" s="163" t="s">
        <v>1983</v>
      </c>
      <c r="I60" s="164" t="s">
        <v>1843</v>
      </c>
      <c r="J60" s="184" t="s">
        <v>1844</v>
      </c>
      <c r="K60" s="164" t="s">
        <v>1844</v>
      </c>
      <c r="L60" s="168" t="s">
        <v>1844</v>
      </c>
      <c r="M60" s="168" t="s">
        <v>1844</v>
      </c>
      <c r="N60" s="166" t="s">
        <v>1844</v>
      </c>
      <c r="O60" s="168" t="s">
        <v>1844</v>
      </c>
      <c r="P60" s="168" t="s">
        <v>1844</v>
      </c>
      <c r="Q60" s="168"/>
      <c r="R60" s="168"/>
      <c r="S60" s="168"/>
      <c r="T60" s="168"/>
      <c r="U60" s="168"/>
      <c r="V60" s="168"/>
      <c r="W60" s="168"/>
      <c r="X60" s="168"/>
      <c r="Y60" s="168"/>
      <c r="Z60" s="164"/>
      <c r="AA60" s="168"/>
      <c r="AB60" s="168"/>
      <c r="AC60" s="168"/>
      <c r="AD60" s="168"/>
      <c r="AE60" s="168"/>
      <c r="AF60" s="168"/>
      <c r="AG60" s="164"/>
      <c r="AH60" s="168"/>
      <c r="AI60" s="164"/>
      <c r="AJ60" s="169"/>
      <c r="AK60" s="167"/>
      <c r="AL60" s="167"/>
    </row>
    <row r="61" ht="15.75" customHeight="1">
      <c r="A61" s="160">
        <v>60.0</v>
      </c>
      <c r="B61" s="158">
        <f t="shared" si="7"/>
        <v>10060</v>
      </c>
      <c r="C61" s="159" t="s">
        <v>1873</v>
      </c>
      <c r="D61" s="157" t="s">
        <v>1844</v>
      </c>
      <c r="E61" s="160" t="s">
        <v>41</v>
      </c>
      <c r="F61" s="161" t="s">
        <v>1984</v>
      </c>
      <c r="G61" s="162" t="s">
        <v>111</v>
      </c>
      <c r="H61" s="163" t="s">
        <v>1985</v>
      </c>
      <c r="I61" s="164" t="s">
        <v>1843</v>
      </c>
      <c r="J61" s="165" t="s">
        <v>1844</v>
      </c>
      <c r="K61" s="164" t="s">
        <v>1844</v>
      </c>
      <c r="L61" s="164" t="s">
        <v>1844</v>
      </c>
      <c r="M61" s="164" t="s">
        <v>1844</v>
      </c>
      <c r="N61" s="166" t="s">
        <v>1844</v>
      </c>
      <c r="O61" s="168" t="s">
        <v>1844</v>
      </c>
      <c r="P61" s="164" t="s">
        <v>1844</v>
      </c>
      <c r="Q61" s="168"/>
      <c r="R61" s="168"/>
      <c r="S61" s="168"/>
      <c r="T61" s="168"/>
      <c r="U61" s="168"/>
      <c r="V61" s="168"/>
      <c r="W61" s="168"/>
      <c r="X61" s="164"/>
      <c r="Y61" s="164"/>
      <c r="Z61" s="164"/>
      <c r="AA61" s="168"/>
      <c r="AB61" s="168"/>
      <c r="AC61" s="168"/>
      <c r="AD61" s="168"/>
      <c r="AE61" s="168"/>
      <c r="AF61" s="168"/>
      <c r="AG61" s="164"/>
      <c r="AH61" s="168"/>
      <c r="AI61" s="164"/>
      <c r="AJ61" s="169"/>
      <c r="AK61" s="167"/>
      <c r="AL61" s="167"/>
    </row>
    <row r="62" ht="15.75" customHeight="1">
      <c r="A62" s="160">
        <v>61.0</v>
      </c>
      <c r="B62" s="158">
        <f t="shared" si="7"/>
        <v>10061</v>
      </c>
      <c r="C62" s="159" t="s">
        <v>1873</v>
      </c>
      <c r="D62" s="157" t="s">
        <v>1844</v>
      </c>
      <c r="E62" s="160" t="s">
        <v>41</v>
      </c>
      <c r="F62" s="161" t="s">
        <v>1986</v>
      </c>
      <c r="G62" s="162" t="s">
        <v>112</v>
      </c>
      <c r="H62" s="163" t="s">
        <v>1987</v>
      </c>
      <c r="I62" s="164" t="s">
        <v>1843</v>
      </c>
      <c r="J62" s="165" t="s">
        <v>1844</v>
      </c>
      <c r="K62" s="164" t="s">
        <v>1844</v>
      </c>
      <c r="L62" s="164" t="s">
        <v>1844</v>
      </c>
      <c r="M62" s="164" t="s">
        <v>1844</v>
      </c>
      <c r="N62" s="167" t="s">
        <v>1844</v>
      </c>
      <c r="O62" s="164" t="s">
        <v>1844</v>
      </c>
      <c r="P62" s="164" t="s">
        <v>1844</v>
      </c>
      <c r="Q62" s="167"/>
      <c r="R62" s="167"/>
      <c r="S62" s="167"/>
      <c r="T62" s="167"/>
      <c r="U62" s="167"/>
      <c r="V62" s="167"/>
      <c r="W62" s="167"/>
      <c r="X62" s="164"/>
      <c r="Y62" s="164"/>
      <c r="Z62" s="167"/>
      <c r="AA62" s="167"/>
      <c r="AB62" s="164"/>
      <c r="AC62" s="164"/>
      <c r="AD62" s="164"/>
      <c r="AE62" s="164"/>
      <c r="AF62" s="164"/>
      <c r="AG62" s="164"/>
      <c r="AH62" s="164"/>
      <c r="AI62" s="164"/>
      <c r="AJ62" s="169"/>
      <c r="AK62" s="167"/>
      <c r="AL62" s="167"/>
    </row>
    <row r="63" ht="15.75" customHeight="1">
      <c r="A63" s="160">
        <v>62.0</v>
      </c>
      <c r="B63" s="158">
        <f t="shared" si="7"/>
        <v>10062</v>
      </c>
      <c r="C63" s="159" t="s">
        <v>1873</v>
      </c>
      <c r="D63" s="157" t="s">
        <v>1849</v>
      </c>
      <c r="E63" s="160" t="s">
        <v>34</v>
      </c>
      <c r="F63" s="161" t="s">
        <v>1988</v>
      </c>
      <c r="G63" s="187" t="s">
        <v>113</v>
      </c>
      <c r="H63" s="163" t="s">
        <v>1989</v>
      </c>
      <c r="I63" s="164" t="s">
        <v>1843</v>
      </c>
      <c r="J63" s="165" t="s">
        <v>1876</v>
      </c>
      <c r="K63" s="164" t="s">
        <v>1877</v>
      </c>
      <c r="L63" s="164" t="s">
        <v>1990</v>
      </c>
      <c r="M63" s="164" t="s">
        <v>1845</v>
      </c>
      <c r="N63" s="167" t="s">
        <v>1903</v>
      </c>
      <c r="O63" s="167" t="s">
        <v>1879</v>
      </c>
      <c r="P63" s="167" t="s">
        <v>1862</v>
      </c>
      <c r="Q63" s="167"/>
      <c r="R63" s="167"/>
      <c r="S63" s="167"/>
      <c r="T63" s="167"/>
      <c r="U63" s="167"/>
      <c r="V63" s="167"/>
      <c r="W63" s="167"/>
      <c r="X63" s="164"/>
      <c r="Y63" s="164"/>
      <c r="Z63" s="167"/>
      <c r="AA63" s="167"/>
      <c r="AB63" s="167"/>
      <c r="AC63" s="167"/>
      <c r="AD63" s="167"/>
      <c r="AE63" s="167"/>
      <c r="AF63" s="167"/>
      <c r="AG63" s="164"/>
      <c r="AH63" s="164"/>
      <c r="AI63" s="164"/>
      <c r="AJ63" s="169"/>
      <c r="AK63" s="167"/>
      <c r="AL63" s="167"/>
    </row>
    <row r="64" ht="15.75" customHeight="1">
      <c r="A64" s="160">
        <v>63.0</v>
      </c>
      <c r="B64" s="158">
        <f t="shared" si="7"/>
        <v>10063</v>
      </c>
      <c r="C64" s="159" t="s">
        <v>1873</v>
      </c>
      <c r="D64" s="157" t="s">
        <v>1849</v>
      </c>
      <c r="E64" s="183" t="s">
        <v>34</v>
      </c>
      <c r="F64" s="173" t="s">
        <v>1991</v>
      </c>
      <c r="G64" s="187" t="s">
        <v>115</v>
      </c>
      <c r="H64" s="163" t="s">
        <v>1992</v>
      </c>
      <c r="I64" s="164" t="s">
        <v>1843</v>
      </c>
      <c r="J64" s="165" t="s">
        <v>1876</v>
      </c>
      <c r="K64" s="164" t="s">
        <v>1877</v>
      </c>
      <c r="L64" s="164" t="s">
        <v>1990</v>
      </c>
      <c r="M64" s="164" t="s">
        <v>1845</v>
      </c>
      <c r="N64" s="167">
        <v>1.0</v>
      </c>
      <c r="O64" s="167" t="s">
        <v>1879</v>
      </c>
      <c r="P64" s="167" t="s">
        <v>1862</v>
      </c>
      <c r="Q64" s="166"/>
      <c r="R64" s="166"/>
      <c r="S64" s="166"/>
      <c r="T64" s="166"/>
      <c r="U64" s="166"/>
      <c r="V64" s="166"/>
      <c r="W64" s="166"/>
      <c r="X64" s="168"/>
      <c r="Y64" s="168"/>
      <c r="Z64" s="167"/>
      <c r="AA64" s="167"/>
      <c r="AB64" s="167"/>
      <c r="AC64" s="167"/>
      <c r="AD64" s="167"/>
      <c r="AE64" s="167"/>
      <c r="AF64" s="167"/>
      <c r="AG64" s="164"/>
      <c r="AH64" s="167"/>
      <c r="AI64" s="164"/>
      <c r="AJ64" s="169"/>
      <c r="AK64" s="167"/>
      <c r="AL64" s="167"/>
    </row>
    <row r="65" ht="15.75" customHeight="1">
      <c r="A65" s="141">
        <v>64.0</v>
      </c>
      <c r="B65" s="138">
        <f t="shared" si="7"/>
        <v>10064</v>
      </c>
      <c r="C65" s="124" t="s">
        <v>1840</v>
      </c>
      <c r="D65" s="122" t="s">
        <v>1849</v>
      </c>
      <c r="E65" s="141" t="s">
        <v>34</v>
      </c>
      <c r="F65" s="185" t="s">
        <v>1993</v>
      </c>
      <c r="G65" s="142" t="s">
        <v>116</v>
      </c>
      <c r="H65" s="155" t="s">
        <v>1994</v>
      </c>
      <c r="I65" s="129" t="s">
        <v>1843</v>
      </c>
      <c r="J65" s="143" t="s">
        <v>1902</v>
      </c>
      <c r="K65" s="172" t="s">
        <v>1877</v>
      </c>
      <c r="L65" s="132" t="s">
        <v>1878</v>
      </c>
      <c r="M65" s="132" t="s">
        <v>1845</v>
      </c>
      <c r="N65" s="131">
        <v>1.0</v>
      </c>
      <c r="O65" s="131" t="s">
        <v>1879</v>
      </c>
      <c r="P65" s="131" t="s">
        <v>1964</v>
      </c>
      <c r="Q65" s="131"/>
      <c r="R65" s="131"/>
      <c r="S65" s="131"/>
      <c r="T65" s="131"/>
      <c r="U65" s="131"/>
      <c r="V65" s="131"/>
      <c r="W65" s="131"/>
      <c r="X65" s="132"/>
      <c r="Y65" s="132"/>
      <c r="Z65" s="171"/>
      <c r="AA65" s="171"/>
      <c r="AB65" s="171"/>
      <c r="AC65" s="171"/>
      <c r="AD65" s="171"/>
      <c r="AE65" s="171"/>
      <c r="AF65" s="140"/>
      <c r="AG65" s="128"/>
      <c r="AH65" s="140"/>
      <c r="AI65" s="128"/>
      <c r="AJ65" s="137"/>
      <c r="AK65" s="140"/>
      <c r="AL65" s="140"/>
    </row>
    <row r="66" ht="15.75" customHeight="1">
      <c r="A66" s="183">
        <v>65.0</v>
      </c>
      <c r="B66" s="158">
        <f t="shared" si="7"/>
        <v>10065</v>
      </c>
      <c r="C66" s="159" t="s">
        <v>1873</v>
      </c>
      <c r="D66" s="157" t="s">
        <v>1841</v>
      </c>
      <c r="E66" s="183" t="s">
        <v>41</v>
      </c>
      <c r="F66" s="173" t="s">
        <v>1995</v>
      </c>
      <c r="G66" s="187" t="s">
        <v>118</v>
      </c>
      <c r="H66" s="163" t="s">
        <v>1996</v>
      </c>
      <c r="I66" s="164" t="s">
        <v>1843</v>
      </c>
      <c r="J66" s="184" t="s">
        <v>1844</v>
      </c>
      <c r="K66" s="177" t="s">
        <v>1844</v>
      </c>
      <c r="L66" s="168" t="s">
        <v>1844</v>
      </c>
      <c r="M66" s="168" t="s">
        <v>1844</v>
      </c>
      <c r="N66" s="166" t="s">
        <v>1844</v>
      </c>
      <c r="O66" s="168" t="s">
        <v>1844</v>
      </c>
      <c r="P66" s="168" t="s">
        <v>1844</v>
      </c>
      <c r="Q66" s="168"/>
      <c r="R66" s="168"/>
      <c r="S66" s="166"/>
      <c r="T66" s="166"/>
      <c r="U66" s="166"/>
      <c r="V66" s="166"/>
      <c r="W66" s="166"/>
      <c r="X66" s="168"/>
      <c r="Y66" s="168"/>
      <c r="Z66" s="167"/>
      <c r="AA66" s="167"/>
      <c r="AB66" s="167"/>
      <c r="AC66" s="167"/>
      <c r="AD66" s="167"/>
      <c r="AE66" s="167"/>
      <c r="AF66" s="167"/>
      <c r="AG66" s="164"/>
      <c r="AH66" s="167"/>
      <c r="AI66" s="164"/>
      <c r="AJ66" s="169"/>
      <c r="AK66" s="167"/>
      <c r="AL66" s="167"/>
    </row>
    <row r="67" ht="15.75" customHeight="1">
      <c r="A67" s="183">
        <v>66.0</v>
      </c>
      <c r="B67" s="158">
        <f t="shared" si="7"/>
        <v>10066</v>
      </c>
      <c r="C67" s="159" t="s">
        <v>1873</v>
      </c>
      <c r="D67" s="157" t="s">
        <v>1844</v>
      </c>
      <c r="E67" s="183" t="s">
        <v>41</v>
      </c>
      <c r="F67" s="173" t="s">
        <v>1997</v>
      </c>
      <c r="G67" s="187" t="s">
        <v>119</v>
      </c>
      <c r="H67" s="163" t="s">
        <v>1998</v>
      </c>
      <c r="I67" s="164" t="s">
        <v>1843</v>
      </c>
      <c r="J67" s="184" t="s">
        <v>1844</v>
      </c>
      <c r="K67" s="177" t="s">
        <v>1844</v>
      </c>
      <c r="L67" s="168" t="s">
        <v>1844</v>
      </c>
      <c r="M67" s="168" t="s">
        <v>1844</v>
      </c>
      <c r="N67" s="166" t="s">
        <v>1844</v>
      </c>
      <c r="O67" s="168" t="s">
        <v>1844</v>
      </c>
      <c r="P67" s="168" t="s">
        <v>1844</v>
      </c>
      <c r="Q67" s="168"/>
      <c r="R67" s="168"/>
      <c r="S67" s="166"/>
      <c r="T67" s="166"/>
      <c r="U67" s="166"/>
      <c r="V67" s="166"/>
      <c r="W67" s="166"/>
      <c r="X67" s="168"/>
      <c r="Y67" s="168"/>
      <c r="Z67" s="167"/>
      <c r="AA67" s="167"/>
      <c r="AB67" s="167"/>
      <c r="AC67" s="167"/>
      <c r="AD67" s="167"/>
      <c r="AE67" s="167"/>
      <c r="AF67" s="167"/>
      <c r="AG67" s="164"/>
      <c r="AH67" s="167"/>
      <c r="AI67" s="164"/>
      <c r="AJ67" s="169"/>
      <c r="AK67" s="167"/>
      <c r="AL67" s="167"/>
    </row>
    <row r="68" ht="15.75" customHeight="1">
      <c r="A68" s="141">
        <v>67.0</v>
      </c>
      <c r="B68" s="138">
        <f t="shared" si="7"/>
        <v>10067</v>
      </c>
      <c r="C68" s="124" t="s">
        <v>1840</v>
      </c>
      <c r="D68" s="122" t="s">
        <v>1841</v>
      </c>
      <c r="E68" s="141" t="s">
        <v>20</v>
      </c>
      <c r="F68" s="185" t="s">
        <v>1999</v>
      </c>
      <c r="G68" s="142" t="s">
        <v>120</v>
      </c>
      <c r="H68" s="155" t="s">
        <v>2000</v>
      </c>
      <c r="I68" s="129" t="s">
        <v>1843</v>
      </c>
      <c r="J68" s="143" t="s">
        <v>1844</v>
      </c>
      <c r="K68" s="129" t="s">
        <v>1844</v>
      </c>
      <c r="L68" s="132" t="s">
        <v>1961</v>
      </c>
      <c r="M68" s="132" t="s">
        <v>1845</v>
      </c>
      <c r="N68" s="131" t="s">
        <v>1844</v>
      </c>
      <c r="O68" s="131" t="s">
        <v>1844</v>
      </c>
      <c r="P68" s="131" t="s">
        <v>1862</v>
      </c>
      <c r="Q68" s="131"/>
      <c r="R68" s="131"/>
      <c r="S68" s="131"/>
      <c r="T68" s="131"/>
      <c r="U68" s="131"/>
      <c r="V68" s="131"/>
      <c r="W68" s="131"/>
      <c r="X68" s="132"/>
      <c r="Y68" s="132"/>
      <c r="Z68" s="171"/>
      <c r="AA68" s="171"/>
      <c r="AB68" s="171"/>
      <c r="AC68" s="171"/>
      <c r="AD68" s="171"/>
      <c r="AE68" s="171"/>
      <c r="AF68" s="140"/>
      <c r="AG68" s="140"/>
      <c r="AH68" s="140"/>
      <c r="AI68" s="128"/>
      <c r="AJ68" s="137"/>
      <c r="AK68" s="140"/>
      <c r="AL68" s="140"/>
    </row>
    <row r="69" ht="15.75" customHeight="1">
      <c r="A69" s="183">
        <v>68.0</v>
      </c>
      <c r="B69" s="158">
        <f t="shared" si="7"/>
        <v>10068</v>
      </c>
      <c r="C69" s="159" t="s">
        <v>1873</v>
      </c>
      <c r="D69" s="157" t="s">
        <v>1849</v>
      </c>
      <c r="E69" s="183" t="s">
        <v>34</v>
      </c>
      <c r="F69" s="173" t="s">
        <v>2001</v>
      </c>
      <c r="G69" s="187" t="s">
        <v>122</v>
      </c>
      <c r="H69" s="192" t="s">
        <v>2002</v>
      </c>
      <c r="I69" s="164" t="s">
        <v>1843</v>
      </c>
      <c r="J69" s="184" t="s">
        <v>1876</v>
      </c>
      <c r="K69" s="164" t="s">
        <v>1877</v>
      </c>
      <c r="L69" s="168" t="s">
        <v>1884</v>
      </c>
      <c r="M69" s="168" t="s">
        <v>1845</v>
      </c>
      <c r="N69" s="166">
        <v>1.0</v>
      </c>
      <c r="O69" s="166" t="s">
        <v>1879</v>
      </c>
      <c r="P69" s="166" t="s">
        <v>1862</v>
      </c>
      <c r="Q69" s="166"/>
      <c r="R69" s="166"/>
      <c r="S69" s="166"/>
      <c r="T69" s="166"/>
      <c r="U69" s="166"/>
      <c r="V69" s="166"/>
      <c r="W69" s="166"/>
      <c r="X69" s="168"/>
      <c r="Y69" s="168"/>
      <c r="Z69" s="167"/>
      <c r="AA69" s="167"/>
      <c r="AB69" s="167"/>
      <c r="AC69" s="167"/>
      <c r="AD69" s="167"/>
      <c r="AE69" s="167"/>
      <c r="AF69" s="167"/>
      <c r="AG69" s="164"/>
      <c r="AH69" s="167"/>
      <c r="AI69" s="164"/>
      <c r="AJ69" s="169"/>
      <c r="AK69" s="167"/>
      <c r="AL69" s="167"/>
    </row>
    <row r="70" ht="15.75" customHeight="1">
      <c r="A70" s="141">
        <v>69.0</v>
      </c>
      <c r="B70" s="138">
        <f t="shared" si="7"/>
        <v>10069</v>
      </c>
      <c r="C70" s="124" t="s">
        <v>1840</v>
      </c>
      <c r="D70" s="122" t="s">
        <v>1849</v>
      </c>
      <c r="E70" s="141" t="s">
        <v>34</v>
      </c>
      <c r="F70" s="185" t="s">
        <v>2003</v>
      </c>
      <c r="G70" s="142" t="s">
        <v>124</v>
      </c>
      <c r="H70" s="155" t="s">
        <v>2004</v>
      </c>
      <c r="I70" s="129" t="s">
        <v>1843</v>
      </c>
      <c r="J70" s="143" t="s">
        <v>1902</v>
      </c>
      <c r="K70" s="129" t="s">
        <v>1877</v>
      </c>
      <c r="L70" s="132" t="s">
        <v>1884</v>
      </c>
      <c r="M70" s="132" t="s">
        <v>1845</v>
      </c>
      <c r="N70" s="131">
        <v>1.0</v>
      </c>
      <c r="O70" s="131" t="s">
        <v>1879</v>
      </c>
      <c r="P70" s="131" t="s">
        <v>1862</v>
      </c>
      <c r="Q70" s="131"/>
      <c r="R70" s="131"/>
      <c r="S70" s="131"/>
      <c r="T70" s="131"/>
      <c r="U70" s="131"/>
      <c r="V70" s="131"/>
      <c r="W70" s="131"/>
      <c r="X70" s="132"/>
      <c r="Y70" s="132"/>
      <c r="Z70" s="171"/>
      <c r="AA70" s="171"/>
      <c r="AB70" s="171"/>
      <c r="AC70" s="171"/>
      <c r="AD70" s="171"/>
      <c r="AE70" s="171"/>
      <c r="AF70" s="140"/>
      <c r="AG70" s="140"/>
      <c r="AH70" s="140"/>
      <c r="AI70" s="128"/>
      <c r="AJ70" s="137"/>
      <c r="AK70" s="140"/>
      <c r="AL70" s="140"/>
    </row>
    <row r="71" ht="15.75" customHeight="1">
      <c r="A71" s="141">
        <v>70.0</v>
      </c>
      <c r="B71" s="138">
        <f t="shared" si="7"/>
        <v>10070</v>
      </c>
      <c r="C71" s="124" t="s">
        <v>1840</v>
      </c>
      <c r="D71" s="122" t="s">
        <v>1841</v>
      </c>
      <c r="E71" s="141" t="s">
        <v>20</v>
      </c>
      <c r="F71" s="185" t="s">
        <v>2005</v>
      </c>
      <c r="G71" s="142" t="s">
        <v>126</v>
      </c>
      <c r="H71" s="155" t="s">
        <v>2006</v>
      </c>
      <c r="I71" s="129" t="s">
        <v>1843</v>
      </c>
      <c r="J71" s="143" t="s">
        <v>1844</v>
      </c>
      <c r="K71" s="172" t="s">
        <v>1844</v>
      </c>
      <c r="L71" s="132" t="s">
        <v>1878</v>
      </c>
      <c r="M71" s="132" t="s">
        <v>1845</v>
      </c>
      <c r="N71" s="131" t="s">
        <v>1844</v>
      </c>
      <c r="O71" s="131" t="s">
        <v>1844</v>
      </c>
      <c r="P71" s="131" t="s">
        <v>1895</v>
      </c>
      <c r="Q71" s="131"/>
      <c r="R71" s="131"/>
      <c r="S71" s="131"/>
      <c r="T71" s="131"/>
      <c r="U71" s="131"/>
      <c r="V71" s="131"/>
      <c r="W71" s="131"/>
      <c r="X71" s="132"/>
      <c r="Y71" s="132"/>
      <c r="Z71" s="171"/>
      <c r="AA71" s="171"/>
      <c r="AB71" s="171"/>
      <c r="AC71" s="171"/>
      <c r="AD71" s="171"/>
      <c r="AE71" s="171"/>
      <c r="AF71" s="140"/>
      <c r="AG71" s="140"/>
      <c r="AH71" s="140"/>
      <c r="AI71" s="128"/>
      <c r="AJ71" s="137"/>
      <c r="AK71" s="140"/>
      <c r="AL71" s="140"/>
    </row>
    <row r="72" ht="15.75" customHeight="1">
      <c r="A72" s="189">
        <v>71.0</v>
      </c>
      <c r="B72" s="138">
        <f t="shared" si="7"/>
        <v>10071</v>
      </c>
      <c r="C72" s="179" t="s">
        <v>1840</v>
      </c>
      <c r="D72" s="150" t="s">
        <v>1849</v>
      </c>
      <c r="E72" s="189" t="s">
        <v>20</v>
      </c>
      <c r="F72" s="193" t="s">
        <v>2007</v>
      </c>
      <c r="G72" s="190" t="s">
        <v>128</v>
      </c>
      <c r="H72" s="155" t="s">
        <v>2008</v>
      </c>
      <c r="I72" s="129" t="s">
        <v>1843</v>
      </c>
      <c r="J72" s="143" t="s">
        <v>1844</v>
      </c>
      <c r="K72" s="172" t="s">
        <v>1844</v>
      </c>
      <c r="L72" s="132" t="s">
        <v>1844</v>
      </c>
      <c r="M72" s="132" t="s">
        <v>1845</v>
      </c>
      <c r="N72" s="131" t="s">
        <v>1844</v>
      </c>
      <c r="O72" s="131" t="s">
        <v>1844</v>
      </c>
      <c r="P72" s="131" t="s">
        <v>1964</v>
      </c>
      <c r="Q72" s="131"/>
      <c r="R72" s="131"/>
      <c r="S72" s="131" t="s">
        <v>1845</v>
      </c>
      <c r="T72" s="131"/>
      <c r="U72" s="131"/>
      <c r="V72" s="131"/>
      <c r="W72" s="131"/>
      <c r="X72" s="132"/>
      <c r="Y72" s="132"/>
      <c r="Z72" s="171"/>
      <c r="AA72" s="171"/>
      <c r="AB72" s="171"/>
      <c r="AC72" s="171"/>
      <c r="AD72" s="171"/>
      <c r="AE72" s="171"/>
      <c r="AF72" s="140"/>
      <c r="AG72" s="140"/>
      <c r="AH72" s="140"/>
      <c r="AI72" s="128"/>
      <c r="AJ72" s="137"/>
      <c r="AK72" s="140"/>
      <c r="AL72" s="140"/>
    </row>
    <row r="73" ht="15.75" customHeight="1">
      <c r="A73" s="141">
        <v>72.0</v>
      </c>
      <c r="B73" s="138">
        <f t="shared" si="7"/>
        <v>10072</v>
      </c>
      <c r="C73" s="124" t="s">
        <v>1840</v>
      </c>
      <c r="D73" s="122" t="s">
        <v>1849</v>
      </c>
      <c r="E73" s="141" t="s">
        <v>27</v>
      </c>
      <c r="F73" s="185" t="s">
        <v>2009</v>
      </c>
      <c r="G73" s="142" t="s">
        <v>130</v>
      </c>
      <c r="H73" s="155" t="s">
        <v>2010</v>
      </c>
      <c r="I73" s="129" t="s">
        <v>1843</v>
      </c>
      <c r="J73" s="143" t="s">
        <v>1844</v>
      </c>
      <c r="K73" s="129" t="s">
        <v>1844</v>
      </c>
      <c r="L73" s="132" t="s">
        <v>1844</v>
      </c>
      <c r="M73" s="132" t="s">
        <v>1845</v>
      </c>
      <c r="N73" s="131" t="s">
        <v>1844</v>
      </c>
      <c r="O73" s="131" t="s">
        <v>1844</v>
      </c>
      <c r="P73" s="131" t="s">
        <v>1964</v>
      </c>
      <c r="Q73" s="131"/>
      <c r="R73" s="131"/>
      <c r="S73" s="131"/>
      <c r="T73" s="131"/>
      <c r="U73" s="131"/>
      <c r="V73" s="131"/>
      <c r="W73" s="131"/>
      <c r="X73" s="132"/>
      <c r="Y73" s="132"/>
      <c r="Z73" s="171"/>
      <c r="AA73" s="171"/>
      <c r="AB73" s="171"/>
      <c r="AC73" s="171"/>
      <c r="AD73" s="171"/>
      <c r="AE73" s="171"/>
      <c r="AF73" s="140"/>
      <c r="AG73" s="140"/>
      <c r="AH73" s="140"/>
      <c r="AI73" s="128"/>
      <c r="AJ73" s="137"/>
      <c r="AK73" s="140"/>
      <c r="AL73" s="140"/>
    </row>
    <row r="74" ht="15.75" customHeight="1">
      <c r="A74" s="141">
        <v>73.0</v>
      </c>
      <c r="B74" s="138">
        <f t="shared" si="7"/>
        <v>10073</v>
      </c>
      <c r="C74" s="124" t="s">
        <v>1840</v>
      </c>
      <c r="D74" s="122" t="s">
        <v>1849</v>
      </c>
      <c r="E74" s="141" t="s">
        <v>34</v>
      </c>
      <c r="F74" s="185" t="s">
        <v>2011</v>
      </c>
      <c r="G74" s="142" t="s">
        <v>132</v>
      </c>
      <c r="H74" s="128" t="s">
        <v>2012</v>
      </c>
      <c r="I74" s="129" t="s">
        <v>1843</v>
      </c>
      <c r="J74" s="143" t="s">
        <v>1902</v>
      </c>
      <c r="K74" s="129" t="s">
        <v>1877</v>
      </c>
      <c r="L74" s="132" t="s">
        <v>1844</v>
      </c>
      <c r="M74" s="132" t="s">
        <v>1845</v>
      </c>
      <c r="N74" s="131">
        <v>1.0</v>
      </c>
      <c r="O74" s="131" t="s">
        <v>1879</v>
      </c>
      <c r="P74" s="131" t="s">
        <v>1862</v>
      </c>
      <c r="Q74" s="131"/>
      <c r="R74" s="131"/>
      <c r="S74" s="131"/>
      <c r="T74" s="131"/>
      <c r="U74" s="131"/>
      <c r="V74" s="131"/>
      <c r="W74" s="131"/>
      <c r="X74" s="132"/>
      <c r="Y74" s="132"/>
      <c r="Z74" s="171"/>
      <c r="AA74" s="171"/>
      <c r="AB74" s="171"/>
      <c r="AC74" s="171"/>
      <c r="AD74" s="171"/>
      <c r="AE74" s="171"/>
      <c r="AF74" s="140"/>
      <c r="AG74" s="140"/>
      <c r="AH74" s="140"/>
      <c r="AI74" s="128"/>
      <c r="AJ74" s="137"/>
      <c r="AK74" s="140"/>
      <c r="AL74" s="140"/>
    </row>
    <row r="75" ht="15.75" customHeight="1">
      <c r="A75" s="141">
        <v>74.0</v>
      </c>
      <c r="B75" s="138">
        <f t="shared" si="7"/>
        <v>10074</v>
      </c>
      <c r="C75" s="124" t="s">
        <v>1840</v>
      </c>
      <c r="D75" s="122" t="s">
        <v>1849</v>
      </c>
      <c r="E75" s="141" t="s">
        <v>34</v>
      </c>
      <c r="F75" s="185" t="s">
        <v>2013</v>
      </c>
      <c r="G75" s="142" t="s">
        <v>134</v>
      </c>
      <c r="H75" s="194" t="s">
        <v>2014</v>
      </c>
      <c r="I75" s="128" t="s">
        <v>1843</v>
      </c>
      <c r="J75" s="186" t="s">
        <v>1876</v>
      </c>
      <c r="K75" s="128" t="s">
        <v>1877</v>
      </c>
      <c r="L75" s="136" t="s">
        <v>1844</v>
      </c>
      <c r="M75" s="136" t="s">
        <v>1845</v>
      </c>
      <c r="N75" s="144" t="s">
        <v>1903</v>
      </c>
      <c r="O75" s="144" t="s">
        <v>1879</v>
      </c>
      <c r="P75" s="144" t="s">
        <v>1862</v>
      </c>
      <c r="Q75" s="144"/>
      <c r="R75" s="144"/>
      <c r="S75" s="144"/>
      <c r="T75" s="144"/>
      <c r="U75" s="144"/>
      <c r="V75" s="144"/>
      <c r="W75" s="144"/>
      <c r="X75" s="136"/>
      <c r="Y75" s="136"/>
      <c r="Z75" s="140"/>
      <c r="AA75" s="140"/>
      <c r="AB75" s="140"/>
      <c r="AC75" s="140"/>
      <c r="AD75" s="140"/>
      <c r="AE75" s="140"/>
      <c r="AF75" s="140"/>
      <c r="AG75" s="140"/>
      <c r="AH75" s="140"/>
      <c r="AI75" s="128"/>
      <c r="AJ75" s="137"/>
      <c r="AK75" s="140"/>
      <c r="AL75" s="140"/>
    </row>
    <row r="76" ht="15.75" customHeight="1">
      <c r="A76" s="122">
        <v>75.0</v>
      </c>
      <c r="B76" s="123" t="s">
        <v>1742</v>
      </c>
      <c r="C76" s="124" t="s">
        <v>1840</v>
      </c>
      <c r="D76" s="122" t="s">
        <v>1849</v>
      </c>
      <c r="E76" s="125" t="s">
        <v>20</v>
      </c>
      <c r="F76" s="126" t="s">
        <v>2015</v>
      </c>
      <c r="G76" s="127" t="s">
        <v>2016</v>
      </c>
      <c r="H76" s="191" t="s">
        <v>2017</v>
      </c>
      <c r="I76" s="129" t="s">
        <v>2018</v>
      </c>
      <c r="J76" s="130" t="s">
        <v>1844</v>
      </c>
      <c r="K76" s="172" t="s">
        <v>1844</v>
      </c>
      <c r="L76" s="129" t="s">
        <v>1844</v>
      </c>
      <c r="M76" s="129" t="s">
        <v>1845</v>
      </c>
      <c r="N76" s="171" t="s">
        <v>1844</v>
      </c>
      <c r="O76" s="171" t="s">
        <v>1844</v>
      </c>
      <c r="P76" s="171" t="s">
        <v>1862</v>
      </c>
      <c r="Q76" s="171" t="s">
        <v>1845</v>
      </c>
      <c r="R76" s="171"/>
      <c r="S76" s="171"/>
      <c r="T76" s="171"/>
      <c r="U76" s="171"/>
      <c r="V76" s="171"/>
      <c r="W76" s="171"/>
      <c r="X76" s="129"/>
      <c r="Y76" s="129"/>
      <c r="Z76" s="171"/>
      <c r="AA76" s="171"/>
      <c r="AB76" s="171"/>
      <c r="AC76" s="171"/>
      <c r="AD76" s="171"/>
      <c r="AE76" s="171"/>
      <c r="AF76" s="140"/>
      <c r="AG76" s="140"/>
      <c r="AH76" s="140"/>
      <c r="AI76" s="128"/>
      <c r="AJ76" s="137"/>
      <c r="AK76" s="140"/>
      <c r="AL76" s="140"/>
    </row>
    <row r="77" ht="15.75" customHeight="1">
      <c r="A77" s="189">
        <v>76.0</v>
      </c>
      <c r="B77" s="138">
        <f t="shared" ref="B77:B81" si="8">SUM(A77+10000)</f>
        <v>10076</v>
      </c>
      <c r="C77" s="179" t="s">
        <v>1840</v>
      </c>
      <c r="D77" s="150" t="s">
        <v>2019</v>
      </c>
      <c r="E77" s="189" t="s">
        <v>20</v>
      </c>
      <c r="F77" s="193" t="s">
        <v>2020</v>
      </c>
      <c r="G77" s="190" t="s">
        <v>138</v>
      </c>
      <c r="H77" s="191" t="s">
        <v>2021</v>
      </c>
      <c r="I77" s="129" t="s">
        <v>1843</v>
      </c>
      <c r="J77" s="143" t="s">
        <v>1844</v>
      </c>
      <c r="K77" s="172" t="s">
        <v>1844</v>
      </c>
      <c r="L77" s="132" t="s">
        <v>1844</v>
      </c>
      <c r="M77" s="132" t="s">
        <v>1845</v>
      </c>
      <c r="N77" s="131" t="s">
        <v>1844</v>
      </c>
      <c r="O77" s="131" t="s">
        <v>1844</v>
      </c>
      <c r="P77" s="131" t="s">
        <v>1862</v>
      </c>
      <c r="Q77" s="131"/>
      <c r="R77" s="131"/>
      <c r="S77" s="131"/>
      <c r="T77" s="131" t="s">
        <v>1845</v>
      </c>
      <c r="U77" s="131"/>
      <c r="V77" s="131"/>
      <c r="W77" s="131"/>
      <c r="X77" s="132"/>
      <c r="Y77" s="132"/>
      <c r="Z77" s="171"/>
      <c r="AA77" s="171"/>
      <c r="AB77" s="171"/>
      <c r="AC77" s="171"/>
      <c r="AD77" s="171"/>
      <c r="AE77" s="171"/>
      <c r="AF77" s="140"/>
      <c r="AG77" s="128"/>
      <c r="AH77" s="140"/>
      <c r="AI77" s="128"/>
      <c r="AJ77" s="137"/>
      <c r="AK77" s="140"/>
      <c r="AL77" s="140"/>
    </row>
    <row r="78" ht="15.75" customHeight="1">
      <c r="A78" s="125">
        <v>77.0</v>
      </c>
      <c r="B78" s="138">
        <f t="shared" si="8"/>
        <v>10077</v>
      </c>
      <c r="C78" s="124" t="s">
        <v>1840</v>
      </c>
      <c r="D78" s="122" t="s">
        <v>2019</v>
      </c>
      <c r="E78" s="125" t="s">
        <v>34</v>
      </c>
      <c r="F78" s="126" t="s">
        <v>2022</v>
      </c>
      <c r="G78" s="127" t="s">
        <v>140</v>
      </c>
      <c r="H78" s="191" t="s">
        <v>2023</v>
      </c>
      <c r="I78" s="129" t="s">
        <v>1843</v>
      </c>
      <c r="J78" s="130" t="s">
        <v>1876</v>
      </c>
      <c r="K78" s="129" t="s">
        <v>1877</v>
      </c>
      <c r="L78" s="129" t="s">
        <v>1844</v>
      </c>
      <c r="M78" s="129" t="s">
        <v>1845</v>
      </c>
      <c r="N78" s="171">
        <v>1.0</v>
      </c>
      <c r="O78" s="171" t="s">
        <v>1879</v>
      </c>
      <c r="P78" s="171" t="s">
        <v>1862</v>
      </c>
      <c r="Q78" s="171"/>
      <c r="R78" s="171"/>
      <c r="S78" s="171"/>
      <c r="T78" s="171"/>
      <c r="U78" s="171"/>
      <c r="V78" s="171"/>
      <c r="W78" s="171"/>
      <c r="X78" s="129" t="s">
        <v>1845</v>
      </c>
      <c r="Y78" s="129"/>
      <c r="Z78" s="171"/>
      <c r="AA78" s="171"/>
      <c r="AB78" s="171"/>
      <c r="AC78" s="171"/>
      <c r="AD78" s="171"/>
      <c r="AE78" s="171"/>
      <c r="AF78" s="140"/>
      <c r="AG78" s="140"/>
      <c r="AH78" s="140"/>
      <c r="AI78" s="128"/>
      <c r="AJ78" s="137"/>
      <c r="AK78" s="140"/>
      <c r="AL78" s="140"/>
    </row>
    <row r="79" ht="15.75" customHeight="1">
      <c r="A79" s="125">
        <v>78.0</v>
      </c>
      <c r="B79" s="138">
        <f t="shared" si="8"/>
        <v>10078</v>
      </c>
      <c r="C79" s="124" t="s">
        <v>1840</v>
      </c>
      <c r="D79" s="122" t="s">
        <v>2019</v>
      </c>
      <c r="E79" s="125" t="s">
        <v>7</v>
      </c>
      <c r="F79" s="127" t="s">
        <v>2024</v>
      </c>
      <c r="G79" s="127" t="s">
        <v>142</v>
      </c>
      <c r="H79" s="191" t="s">
        <v>2025</v>
      </c>
      <c r="I79" s="129" t="s">
        <v>1906</v>
      </c>
      <c r="J79" s="143" t="s">
        <v>1844</v>
      </c>
      <c r="K79" s="129" t="s">
        <v>1844</v>
      </c>
      <c r="L79" s="132" t="s">
        <v>1844</v>
      </c>
      <c r="M79" s="132" t="s">
        <v>1844</v>
      </c>
      <c r="N79" s="131" t="s">
        <v>1844</v>
      </c>
      <c r="O79" s="171" t="s">
        <v>1844</v>
      </c>
      <c r="P79" s="171" t="s">
        <v>1844</v>
      </c>
      <c r="Q79" s="171"/>
      <c r="R79" s="171"/>
      <c r="S79" s="171" t="s">
        <v>1845</v>
      </c>
      <c r="T79" s="171"/>
      <c r="U79" s="171" t="s">
        <v>1845</v>
      </c>
      <c r="V79" s="171"/>
      <c r="W79" s="131"/>
      <c r="X79" s="132"/>
      <c r="Y79" s="132"/>
      <c r="Z79" s="171"/>
      <c r="AA79" s="171"/>
      <c r="AB79" s="171"/>
      <c r="AC79" s="171"/>
      <c r="AD79" s="171"/>
      <c r="AE79" s="171"/>
      <c r="AF79" s="140"/>
      <c r="AG79" s="140"/>
      <c r="AH79" s="140"/>
      <c r="AI79" s="128"/>
      <c r="AJ79" s="137"/>
      <c r="AK79" s="140"/>
      <c r="AL79" s="140"/>
    </row>
    <row r="80" ht="15.75" customHeight="1">
      <c r="A80" s="141">
        <v>79.0</v>
      </c>
      <c r="B80" s="138">
        <f t="shared" si="8"/>
        <v>10079</v>
      </c>
      <c r="C80" s="124" t="s">
        <v>1840</v>
      </c>
      <c r="D80" s="122" t="s">
        <v>2019</v>
      </c>
      <c r="E80" s="141" t="s">
        <v>7</v>
      </c>
      <c r="F80" s="185" t="s">
        <v>2026</v>
      </c>
      <c r="G80" s="142" t="s">
        <v>144</v>
      </c>
      <c r="H80" s="191" t="s">
        <v>2027</v>
      </c>
      <c r="I80" s="129" t="s">
        <v>1843</v>
      </c>
      <c r="J80" s="143" t="s">
        <v>1844</v>
      </c>
      <c r="K80" s="172" t="s">
        <v>1844</v>
      </c>
      <c r="L80" s="132" t="s">
        <v>1844</v>
      </c>
      <c r="M80" s="132" t="s">
        <v>1844</v>
      </c>
      <c r="N80" s="131" t="s">
        <v>1844</v>
      </c>
      <c r="O80" s="131" t="s">
        <v>1844</v>
      </c>
      <c r="P80" s="131" t="s">
        <v>1844</v>
      </c>
      <c r="Q80" s="131"/>
      <c r="R80" s="131"/>
      <c r="S80" s="131"/>
      <c r="T80" s="131"/>
      <c r="U80" s="131"/>
      <c r="V80" s="131"/>
      <c r="W80" s="131" t="s">
        <v>1845</v>
      </c>
      <c r="X80" s="132"/>
      <c r="Y80" s="132"/>
      <c r="Z80" s="171"/>
      <c r="AA80" s="171"/>
      <c r="AB80" s="171"/>
      <c r="AC80" s="171"/>
      <c r="AD80" s="171"/>
      <c r="AE80" s="171"/>
      <c r="AF80" s="140"/>
      <c r="AG80" s="140"/>
      <c r="AH80" s="140"/>
      <c r="AI80" s="128"/>
      <c r="AJ80" s="137"/>
      <c r="AK80" s="140"/>
      <c r="AL80" s="140"/>
    </row>
    <row r="81" ht="15.75" customHeight="1">
      <c r="A81" s="160">
        <v>80.0</v>
      </c>
      <c r="B81" s="158">
        <f t="shared" si="8"/>
        <v>10080</v>
      </c>
      <c r="C81" s="159" t="s">
        <v>1873</v>
      </c>
      <c r="D81" s="157" t="s">
        <v>2019</v>
      </c>
      <c r="E81" s="160" t="s">
        <v>34</v>
      </c>
      <c r="F81" s="187" t="s">
        <v>2028</v>
      </c>
      <c r="G81" s="187" t="s">
        <v>146</v>
      </c>
      <c r="H81" s="192" t="s">
        <v>2029</v>
      </c>
      <c r="I81" s="164" t="s">
        <v>1843</v>
      </c>
      <c r="J81" s="184" t="s">
        <v>1876</v>
      </c>
      <c r="K81" s="164" t="s">
        <v>1877</v>
      </c>
      <c r="L81" s="168" t="s">
        <v>1990</v>
      </c>
      <c r="M81" s="168" t="s">
        <v>1845</v>
      </c>
      <c r="N81" s="166">
        <v>1.0</v>
      </c>
      <c r="O81" s="167" t="s">
        <v>1879</v>
      </c>
      <c r="P81" s="167" t="s">
        <v>1862</v>
      </c>
      <c r="Q81" s="167"/>
      <c r="R81" s="167"/>
      <c r="S81" s="167"/>
      <c r="T81" s="167"/>
      <c r="U81" s="167"/>
      <c r="V81" s="167"/>
      <c r="W81" s="166"/>
      <c r="X81" s="168" t="s">
        <v>1845</v>
      </c>
      <c r="Y81" s="168"/>
      <c r="Z81" s="167"/>
      <c r="AA81" s="167"/>
      <c r="AB81" s="167"/>
      <c r="AC81" s="167"/>
      <c r="AD81" s="167"/>
      <c r="AE81" s="167"/>
      <c r="AF81" s="167"/>
      <c r="AG81" s="164"/>
      <c r="AH81" s="167"/>
      <c r="AI81" s="164"/>
      <c r="AJ81" s="169"/>
      <c r="AK81" s="167"/>
      <c r="AL81" s="167"/>
    </row>
    <row r="82" ht="15.75" customHeight="1">
      <c r="A82" s="151">
        <v>81.0</v>
      </c>
      <c r="B82" s="123" t="s">
        <v>1742</v>
      </c>
      <c r="C82" s="179" t="s">
        <v>1840</v>
      </c>
      <c r="D82" s="150" t="s">
        <v>2019</v>
      </c>
      <c r="E82" s="195" t="s">
        <v>7</v>
      </c>
      <c r="F82" s="152" t="s">
        <v>2030</v>
      </c>
      <c r="G82" s="196" t="s">
        <v>148</v>
      </c>
      <c r="H82" s="191" t="s">
        <v>2031</v>
      </c>
      <c r="I82" s="129" t="s">
        <v>1843</v>
      </c>
      <c r="J82" s="143" t="s">
        <v>1844</v>
      </c>
      <c r="K82" s="129" t="s">
        <v>1844</v>
      </c>
      <c r="L82" s="132" t="s">
        <v>1844</v>
      </c>
      <c r="M82" s="132" t="s">
        <v>1844</v>
      </c>
      <c r="N82" s="131" t="s">
        <v>1844</v>
      </c>
      <c r="O82" s="171" t="s">
        <v>1844</v>
      </c>
      <c r="P82" s="171" t="s">
        <v>1844</v>
      </c>
      <c r="Q82" s="171" t="s">
        <v>1845</v>
      </c>
      <c r="R82" s="171"/>
      <c r="S82" s="171"/>
      <c r="T82" s="171"/>
      <c r="U82" s="171"/>
      <c r="V82" s="171"/>
      <c r="W82" s="131"/>
      <c r="X82" s="132" t="s">
        <v>1845</v>
      </c>
      <c r="Y82" s="132"/>
      <c r="Z82" s="171"/>
      <c r="AA82" s="171"/>
      <c r="AB82" s="171"/>
      <c r="AC82" s="171"/>
      <c r="AD82" s="171"/>
      <c r="AE82" s="171"/>
      <c r="AF82" s="140"/>
      <c r="AG82" s="128"/>
      <c r="AH82" s="140"/>
      <c r="AI82" s="128"/>
      <c r="AJ82" s="137"/>
      <c r="AK82" s="140"/>
      <c r="AL82" s="140"/>
    </row>
    <row r="83" ht="15.75" customHeight="1">
      <c r="A83" s="125">
        <v>82.0</v>
      </c>
      <c r="B83" s="138">
        <f t="shared" ref="B83:B84" si="9">SUM(A83+10000)</f>
        <v>10082</v>
      </c>
      <c r="C83" s="124" t="s">
        <v>1840</v>
      </c>
      <c r="D83" s="122" t="s">
        <v>2019</v>
      </c>
      <c r="E83" s="125" t="s">
        <v>7</v>
      </c>
      <c r="F83" s="197" t="s">
        <v>2032</v>
      </c>
      <c r="G83" s="127" t="s">
        <v>150</v>
      </c>
      <c r="H83" s="191" t="s">
        <v>2033</v>
      </c>
      <c r="I83" s="129" t="s">
        <v>1843</v>
      </c>
      <c r="J83" s="143" t="s">
        <v>1844</v>
      </c>
      <c r="K83" s="172" t="s">
        <v>1844</v>
      </c>
      <c r="L83" s="132" t="s">
        <v>1844</v>
      </c>
      <c r="M83" s="132" t="s">
        <v>1844</v>
      </c>
      <c r="N83" s="131" t="s">
        <v>1844</v>
      </c>
      <c r="O83" s="171" t="s">
        <v>1844</v>
      </c>
      <c r="P83" s="171" t="s">
        <v>1844</v>
      </c>
      <c r="Q83" s="171"/>
      <c r="R83" s="171"/>
      <c r="S83" s="171" t="s">
        <v>1845</v>
      </c>
      <c r="T83" s="171"/>
      <c r="U83" s="171"/>
      <c r="V83" s="171"/>
      <c r="W83" s="131" t="s">
        <v>1845</v>
      </c>
      <c r="X83" s="132"/>
      <c r="Y83" s="132"/>
      <c r="Z83" s="171"/>
      <c r="AA83" s="171"/>
      <c r="AB83" s="171"/>
      <c r="AC83" s="171"/>
      <c r="AD83" s="171"/>
      <c r="AE83" s="171"/>
      <c r="AF83" s="140"/>
      <c r="AG83" s="140"/>
      <c r="AH83" s="140"/>
      <c r="AI83" s="128"/>
      <c r="AJ83" s="137"/>
      <c r="AK83" s="140"/>
      <c r="AL83" s="140"/>
    </row>
    <row r="84" ht="15.75" customHeight="1">
      <c r="A84" s="125">
        <v>83.0</v>
      </c>
      <c r="B84" s="138">
        <f t="shared" si="9"/>
        <v>10083</v>
      </c>
      <c r="C84" s="124" t="s">
        <v>1840</v>
      </c>
      <c r="D84" s="122" t="s">
        <v>2019</v>
      </c>
      <c r="E84" s="125" t="s">
        <v>7</v>
      </c>
      <c r="F84" s="198" t="s">
        <v>2034</v>
      </c>
      <c r="G84" s="127" t="s">
        <v>152</v>
      </c>
      <c r="H84" s="191" t="s">
        <v>2035</v>
      </c>
      <c r="I84" s="129" t="s">
        <v>1843</v>
      </c>
      <c r="J84" s="143" t="s">
        <v>1844</v>
      </c>
      <c r="K84" s="129" t="s">
        <v>1844</v>
      </c>
      <c r="L84" s="132" t="s">
        <v>1844</v>
      </c>
      <c r="M84" s="132" t="s">
        <v>1844</v>
      </c>
      <c r="N84" s="131" t="s">
        <v>2036</v>
      </c>
      <c r="O84" s="171" t="s">
        <v>1844</v>
      </c>
      <c r="P84" s="171" t="s">
        <v>1844</v>
      </c>
      <c r="Q84" s="171"/>
      <c r="R84" s="171"/>
      <c r="S84" s="171"/>
      <c r="T84" s="171"/>
      <c r="U84" s="171"/>
      <c r="V84" s="171"/>
      <c r="W84" s="131"/>
      <c r="X84" s="132"/>
      <c r="Y84" s="132"/>
      <c r="Z84" s="171"/>
      <c r="AA84" s="171"/>
      <c r="AB84" s="171"/>
      <c r="AC84" s="171"/>
      <c r="AD84" s="171"/>
      <c r="AE84" s="171"/>
      <c r="AF84" s="140"/>
      <c r="AG84" s="140"/>
      <c r="AH84" s="140"/>
      <c r="AI84" s="128"/>
      <c r="AJ84" s="137"/>
      <c r="AK84" s="140"/>
      <c r="AL84" s="140"/>
    </row>
    <row r="85" ht="15.75" customHeight="1">
      <c r="A85" s="125">
        <v>84.0</v>
      </c>
      <c r="B85" s="123" t="s">
        <v>1742</v>
      </c>
      <c r="C85" s="124" t="s">
        <v>1840</v>
      </c>
      <c r="D85" s="122" t="s">
        <v>2019</v>
      </c>
      <c r="E85" s="174" t="s">
        <v>7</v>
      </c>
      <c r="F85" s="126" t="s">
        <v>2037</v>
      </c>
      <c r="G85" s="175" t="s">
        <v>154</v>
      </c>
      <c r="H85" s="191" t="s">
        <v>2038</v>
      </c>
      <c r="I85" s="129" t="s">
        <v>1843</v>
      </c>
      <c r="J85" s="143" t="s">
        <v>1844</v>
      </c>
      <c r="K85" s="129" t="s">
        <v>1844</v>
      </c>
      <c r="L85" s="132" t="s">
        <v>1844</v>
      </c>
      <c r="M85" s="132" t="s">
        <v>1844</v>
      </c>
      <c r="N85" s="131" t="s">
        <v>1844</v>
      </c>
      <c r="O85" s="171" t="s">
        <v>1844</v>
      </c>
      <c r="P85" s="171" t="s">
        <v>1844</v>
      </c>
      <c r="Q85" s="171" t="s">
        <v>1845</v>
      </c>
      <c r="R85" s="171"/>
      <c r="S85" s="171"/>
      <c r="T85" s="171"/>
      <c r="U85" s="171"/>
      <c r="V85" s="171"/>
      <c r="W85" s="131"/>
      <c r="X85" s="129"/>
      <c r="Y85" s="129"/>
      <c r="Z85" s="171"/>
      <c r="AA85" s="171"/>
      <c r="AB85" s="171"/>
      <c r="AC85" s="171"/>
      <c r="AD85" s="171"/>
      <c r="AE85" s="171"/>
      <c r="AF85" s="140"/>
      <c r="AG85" s="140"/>
      <c r="AH85" s="140"/>
      <c r="AI85" s="128"/>
      <c r="AJ85" s="137"/>
      <c r="AK85" s="140"/>
      <c r="AL85" s="140"/>
    </row>
    <row r="86" ht="15.75" customHeight="1">
      <c r="A86" s="125">
        <v>85.0</v>
      </c>
      <c r="B86" s="123" t="s">
        <v>1742</v>
      </c>
      <c r="C86" s="124" t="s">
        <v>1840</v>
      </c>
      <c r="D86" s="122" t="s">
        <v>2019</v>
      </c>
      <c r="E86" s="174" t="s">
        <v>7</v>
      </c>
      <c r="F86" s="126" t="s">
        <v>2039</v>
      </c>
      <c r="G86" s="175" t="s">
        <v>156</v>
      </c>
      <c r="H86" s="191" t="s">
        <v>2040</v>
      </c>
      <c r="I86" s="129" t="s">
        <v>1843</v>
      </c>
      <c r="J86" s="130" t="s">
        <v>1844</v>
      </c>
      <c r="K86" s="129" t="s">
        <v>1844</v>
      </c>
      <c r="L86" s="129" t="s">
        <v>1844</v>
      </c>
      <c r="M86" s="129" t="s">
        <v>1844</v>
      </c>
      <c r="N86" s="171" t="s">
        <v>1844</v>
      </c>
      <c r="O86" s="171" t="s">
        <v>1844</v>
      </c>
      <c r="P86" s="171" t="s">
        <v>1844</v>
      </c>
      <c r="Q86" s="171" t="s">
        <v>1845</v>
      </c>
      <c r="R86" s="171"/>
      <c r="S86" s="171"/>
      <c r="T86" s="171" t="s">
        <v>1845</v>
      </c>
      <c r="U86" s="171"/>
      <c r="V86" s="171"/>
      <c r="W86" s="131"/>
      <c r="X86" s="132"/>
      <c r="Y86" s="132"/>
      <c r="Z86" s="171"/>
      <c r="AA86" s="171"/>
      <c r="AB86" s="171"/>
      <c r="AC86" s="171"/>
      <c r="AD86" s="171"/>
      <c r="AE86" s="171"/>
      <c r="AF86" s="140"/>
      <c r="AG86" s="140"/>
      <c r="AH86" s="140"/>
      <c r="AI86" s="128"/>
      <c r="AJ86" s="137"/>
      <c r="AK86" s="140"/>
      <c r="AL86" s="140"/>
    </row>
    <row r="87" ht="15.75" customHeight="1">
      <c r="A87" s="125">
        <v>86.0</v>
      </c>
      <c r="B87" s="138">
        <f>SUM(A87+10000)</f>
        <v>10086</v>
      </c>
      <c r="C87" s="124" t="s">
        <v>1840</v>
      </c>
      <c r="D87" s="122" t="s">
        <v>2019</v>
      </c>
      <c r="E87" s="174" t="s">
        <v>7</v>
      </c>
      <c r="F87" s="126" t="s">
        <v>2041</v>
      </c>
      <c r="G87" s="175" t="s">
        <v>2042</v>
      </c>
      <c r="H87" s="140"/>
      <c r="I87" s="129" t="s">
        <v>1843</v>
      </c>
      <c r="J87" s="143" t="s">
        <v>1844</v>
      </c>
      <c r="K87" s="129" t="s">
        <v>1844</v>
      </c>
      <c r="L87" s="132" t="s">
        <v>1844</v>
      </c>
      <c r="M87" s="132" t="s">
        <v>1844</v>
      </c>
      <c r="N87" s="131" t="s">
        <v>1844</v>
      </c>
      <c r="O87" s="171" t="s">
        <v>1844</v>
      </c>
      <c r="P87" s="171" t="s">
        <v>1844</v>
      </c>
      <c r="Q87" s="171"/>
      <c r="R87" s="171"/>
      <c r="S87" s="171"/>
      <c r="T87" s="171"/>
      <c r="U87" s="171"/>
      <c r="V87" s="171"/>
      <c r="W87" s="131" t="s">
        <v>1845</v>
      </c>
      <c r="X87" s="132"/>
      <c r="Y87" s="132"/>
      <c r="Z87" s="171"/>
      <c r="AA87" s="171"/>
      <c r="AB87" s="171"/>
      <c r="AC87" s="171"/>
      <c r="AD87" s="171"/>
      <c r="AE87" s="171"/>
      <c r="AF87" s="140"/>
      <c r="AG87" s="140"/>
      <c r="AH87" s="140"/>
      <c r="AI87" s="128"/>
      <c r="AJ87" s="137"/>
      <c r="AK87" s="140"/>
      <c r="AL87" s="140"/>
    </row>
    <row r="88" ht="15.75" customHeight="1">
      <c r="A88" s="125">
        <v>87.0</v>
      </c>
      <c r="B88" s="123" t="s">
        <v>1742</v>
      </c>
      <c r="C88" s="124" t="s">
        <v>1840</v>
      </c>
      <c r="D88" s="122" t="s">
        <v>2019</v>
      </c>
      <c r="E88" s="174" t="s">
        <v>7</v>
      </c>
      <c r="F88" s="126" t="s">
        <v>2043</v>
      </c>
      <c r="G88" s="198" t="s">
        <v>160</v>
      </c>
      <c r="H88" s="140"/>
      <c r="I88" s="129" t="s">
        <v>1843</v>
      </c>
      <c r="J88" s="143" t="s">
        <v>1844</v>
      </c>
      <c r="K88" s="129" t="s">
        <v>1844</v>
      </c>
      <c r="L88" s="132" t="s">
        <v>1844</v>
      </c>
      <c r="M88" s="132" t="s">
        <v>1844</v>
      </c>
      <c r="N88" s="131" t="s">
        <v>1844</v>
      </c>
      <c r="O88" s="171" t="s">
        <v>1844</v>
      </c>
      <c r="P88" s="171" t="s">
        <v>1844</v>
      </c>
      <c r="Q88" s="171" t="s">
        <v>1845</v>
      </c>
      <c r="R88" s="171"/>
      <c r="S88" s="171" t="s">
        <v>1845</v>
      </c>
      <c r="T88" s="171"/>
      <c r="U88" s="171"/>
      <c r="V88" s="171"/>
      <c r="W88" s="131"/>
      <c r="X88" s="132"/>
      <c r="Y88" s="132"/>
      <c r="Z88" s="171"/>
      <c r="AA88" s="171"/>
      <c r="AB88" s="171"/>
      <c r="AC88" s="171"/>
      <c r="AD88" s="171"/>
      <c r="AE88" s="171"/>
      <c r="AF88" s="140"/>
      <c r="AG88" s="140"/>
      <c r="AH88" s="140"/>
      <c r="AI88" s="128"/>
      <c r="AJ88" s="137"/>
      <c r="AK88" s="140"/>
      <c r="AL88" s="140"/>
    </row>
    <row r="89" ht="15.75" customHeight="1">
      <c r="A89" s="160">
        <v>88.0</v>
      </c>
      <c r="B89" s="158">
        <f t="shared" ref="B89:B91" si="10">SUM(A89+10000)</f>
        <v>10088</v>
      </c>
      <c r="C89" s="159" t="s">
        <v>1840</v>
      </c>
      <c r="D89" s="157" t="s">
        <v>1844</v>
      </c>
      <c r="E89" s="199" t="s">
        <v>41</v>
      </c>
      <c r="F89" s="161" t="s">
        <v>2044</v>
      </c>
      <c r="G89" s="200" t="s">
        <v>162</v>
      </c>
      <c r="H89" s="167"/>
      <c r="I89" s="164" t="s">
        <v>1843</v>
      </c>
      <c r="J89" s="184" t="s">
        <v>1844</v>
      </c>
      <c r="K89" s="164" t="s">
        <v>1844</v>
      </c>
      <c r="L89" s="168" t="s">
        <v>1844</v>
      </c>
      <c r="M89" s="168" t="s">
        <v>1844</v>
      </c>
      <c r="N89" s="166" t="s">
        <v>1844</v>
      </c>
      <c r="O89" s="167" t="s">
        <v>1844</v>
      </c>
      <c r="P89" s="167" t="s">
        <v>1844</v>
      </c>
      <c r="Q89" s="167"/>
      <c r="R89" s="167"/>
      <c r="S89" s="167"/>
      <c r="T89" s="167"/>
      <c r="U89" s="167"/>
      <c r="V89" s="167"/>
      <c r="W89" s="166" t="s">
        <v>1845</v>
      </c>
      <c r="X89" s="168" t="s">
        <v>1845</v>
      </c>
      <c r="Y89" s="168"/>
      <c r="Z89" s="167"/>
      <c r="AA89" s="167"/>
      <c r="AB89" s="167"/>
      <c r="AC89" s="167"/>
      <c r="AD89" s="167"/>
      <c r="AE89" s="167"/>
      <c r="AF89" s="167"/>
      <c r="AG89" s="167"/>
      <c r="AH89" s="167"/>
      <c r="AI89" s="164"/>
      <c r="AJ89" s="169"/>
      <c r="AK89" s="167"/>
      <c r="AL89" s="167"/>
    </row>
    <row r="90" ht="15.75" customHeight="1">
      <c r="A90" s="151">
        <v>89.0</v>
      </c>
      <c r="B90" s="138">
        <f t="shared" si="10"/>
        <v>10089</v>
      </c>
      <c r="C90" s="179" t="s">
        <v>1840</v>
      </c>
      <c r="D90" s="150" t="s">
        <v>2019</v>
      </c>
      <c r="E90" s="195" t="s">
        <v>20</v>
      </c>
      <c r="F90" s="152" t="s">
        <v>2045</v>
      </c>
      <c r="G90" s="201" t="s">
        <v>163</v>
      </c>
      <c r="H90" s="191" t="s">
        <v>2046</v>
      </c>
      <c r="I90" s="129" t="s">
        <v>1843</v>
      </c>
      <c r="J90" s="143" t="s">
        <v>1844</v>
      </c>
      <c r="K90" s="129" t="s">
        <v>1844</v>
      </c>
      <c r="L90" s="132" t="s">
        <v>1844</v>
      </c>
      <c r="M90" s="132" t="s">
        <v>1845</v>
      </c>
      <c r="N90" s="131" t="s">
        <v>1844</v>
      </c>
      <c r="O90" s="129" t="s">
        <v>1844</v>
      </c>
      <c r="P90" s="171" t="s">
        <v>1895</v>
      </c>
      <c r="Q90" s="171"/>
      <c r="R90" s="171"/>
      <c r="S90" s="171"/>
      <c r="T90" s="171"/>
      <c r="U90" s="171"/>
      <c r="V90" s="171"/>
      <c r="W90" s="131"/>
      <c r="X90" s="132" t="s">
        <v>1845</v>
      </c>
      <c r="Y90" s="132"/>
      <c r="Z90" s="171"/>
      <c r="AA90" s="171"/>
      <c r="AB90" s="171"/>
      <c r="AC90" s="171"/>
      <c r="AD90" s="171"/>
      <c r="AE90" s="171"/>
      <c r="AF90" s="140"/>
      <c r="AG90" s="140"/>
      <c r="AH90" s="140"/>
      <c r="AI90" s="128"/>
      <c r="AJ90" s="137"/>
      <c r="AK90" s="140"/>
      <c r="AL90" s="140"/>
    </row>
    <row r="91" ht="15.75" customHeight="1">
      <c r="A91" s="151">
        <v>90.0</v>
      </c>
      <c r="B91" s="138">
        <f t="shared" si="10"/>
        <v>10090</v>
      </c>
      <c r="C91" s="179" t="s">
        <v>1840</v>
      </c>
      <c r="D91" s="150" t="s">
        <v>2019</v>
      </c>
      <c r="E91" s="195" t="s">
        <v>7</v>
      </c>
      <c r="F91" s="152" t="s">
        <v>2047</v>
      </c>
      <c r="G91" s="202" t="s">
        <v>2048</v>
      </c>
      <c r="H91" s="203"/>
      <c r="I91" s="129" t="s">
        <v>1906</v>
      </c>
      <c r="J91" s="143" t="s">
        <v>1844</v>
      </c>
      <c r="K91" s="129" t="s">
        <v>1844</v>
      </c>
      <c r="L91" s="132" t="s">
        <v>1844</v>
      </c>
      <c r="M91" s="132" t="s">
        <v>1844</v>
      </c>
      <c r="N91" s="131" t="s">
        <v>1844</v>
      </c>
      <c r="O91" s="129" t="s">
        <v>1844</v>
      </c>
      <c r="P91" s="171" t="s">
        <v>1844</v>
      </c>
      <c r="Q91" s="171"/>
      <c r="R91" s="171"/>
      <c r="S91" s="171"/>
      <c r="T91" s="171"/>
      <c r="U91" s="171"/>
      <c r="V91" s="171"/>
      <c r="W91" s="131"/>
      <c r="X91" s="132" t="s">
        <v>1845</v>
      </c>
      <c r="Y91" s="132"/>
      <c r="Z91" s="171"/>
      <c r="AA91" s="171"/>
      <c r="AB91" s="171"/>
      <c r="AC91" s="171"/>
      <c r="AD91" s="171"/>
      <c r="AE91" s="171"/>
      <c r="AF91" s="140"/>
      <c r="AG91" s="128"/>
      <c r="AH91" s="140"/>
      <c r="AI91" s="128"/>
      <c r="AJ91" s="137"/>
      <c r="AK91" s="140"/>
      <c r="AL91" s="140"/>
    </row>
    <row r="92" ht="15.75" customHeight="1">
      <c r="A92" s="125">
        <v>91.0</v>
      </c>
      <c r="B92" s="123" t="s">
        <v>1742</v>
      </c>
      <c r="C92" s="124" t="s">
        <v>1840</v>
      </c>
      <c r="D92" s="122" t="s">
        <v>2019</v>
      </c>
      <c r="E92" s="174" t="s">
        <v>7</v>
      </c>
      <c r="F92" s="204" t="s">
        <v>2049</v>
      </c>
      <c r="G92" s="205" t="s">
        <v>167</v>
      </c>
      <c r="H92" s="206"/>
      <c r="I92" s="129" t="s">
        <v>1906</v>
      </c>
      <c r="J92" s="143" t="s">
        <v>1844</v>
      </c>
      <c r="K92" s="129" t="s">
        <v>1844</v>
      </c>
      <c r="L92" s="132" t="s">
        <v>1844</v>
      </c>
      <c r="M92" s="132" t="s">
        <v>1844</v>
      </c>
      <c r="N92" s="131" t="s">
        <v>1844</v>
      </c>
      <c r="O92" s="132" t="s">
        <v>1844</v>
      </c>
      <c r="P92" s="171" t="s">
        <v>1844</v>
      </c>
      <c r="Q92" s="171" t="s">
        <v>1845</v>
      </c>
      <c r="R92" s="171"/>
      <c r="S92" s="171"/>
      <c r="T92" s="171"/>
      <c r="U92" s="171"/>
      <c r="V92" s="171"/>
      <c r="W92" s="131"/>
      <c r="X92" s="132"/>
      <c r="Y92" s="132"/>
      <c r="Z92" s="171"/>
      <c r="AA92" s="171"/>
      <c r="AB92" s="171"/>
      <c r="AC92" s="171"/>
      <c r="AD92" s="171"/>
      <c r="AE92" s="171"/>
      <c r="AF92" s="140"/>
      <c r="AG92" s="140"/>
      <c r="AH92" s="140"/>
      <c r="AI92" s="128"/>
      <c r="AJ92" s="137"/>
      <c r="AK92" s="140"/>
      <c r="AL92" s="140"/>
    </row>
    <row r="93" ht="15.75" customHeight="1">
      <c r="A93" s="125">
        <v>92.0</v>
      </c>
      <c r="B93" s="138">
        <f t="shared" ref="B93:B97" si="11">SUM(A93+10000)</f>
        <v>10092</v>
      </c>
      <c r="C93" s="124" t="s">
        <v>1840</v>
      </c>
      <c r="D93" s="122" t="s">
        <v>1849</v>
      </c>
      <c r="E93" s="174" t="s">
        <v>34</v>
      </c>
      <c r="F93" s="197" t="s">
        <v>2050</v>
      </c>
      <c r="G93" s="126" t="s">
        <v>169</v>
      </c>
      <c r="H93" s="206" t="s">
        <v>2051</v>
      </c>
      <c r="I93" s="129" t="s">
        <v>1843</v>
      </c>
      <c r="J93" s="143" t="s">
        <v>1876</v>
      </c>
      <c r="K93" s="129" t="s">
        <v>1877</v>
      </c>
      <c r="L93" s="132" t="s">
        <v>1844</v>
      </c>
      <c r="M93" s="132" t="s">
        <v>1845</v>
      </c>
      <c r="N93" s="131">
        <v>1.0</v>
      </c>
      <c r="O93" s="131" t="s">
        <v>1879</v>
      </c>
      <c r="P93" s="171" t="s">
        <v>1895</v>
      </c>
      <c r="Q93" s="171"/>
      <c r="R93" s="171"/>
      <c r="S93" s="171" t="s">
        <v>1845</v>
      </c>
      <c r="T93" s="171"/>
      <c r="U93" s="171"/>
      <c r="V93" s="171"/>
      <c r="W93" s="131"/>
      <c r="X93" s="132"/>
      <c r="Y93" s="132"/>
      <c r="Z93" s="171"/>
      <c r="AA93" s="171"/>
      <c r="AB93" s="171"/>
      <c r="AC93" s="171"/>
      <c r="AD93" s="171"/>
      <c r="AE93" s="171"/>
      <c r="AF93" s="140"/>
      <c r="AG93" s="140"/>
      <c r="AH93" s="140"/>
      <c r="AI93" s="128"/>
      <c r="AJ93" s="137"/>
      <c r="AK93" s="140"/>
      <c r="AL93" s="140"/>
    </row>
    <row r="94" ht="15.75" customHeight="1">
      <c r="A94" s="125">
        <v>93.0</v>
      </c>
      <c r="B94" s="138">
        <f t="shared" si="11"/>
        <v>10093</v>
      </c>
      <c r="C94" s="124" t="s">
        <v>1840</v>
      </c>
      <c r="D94" s="122" t="s">
        <v>1849</v>
      </c>
      <c r="E94" s="174" t="s">
        <v>7</v>
      </c>
      <c r="F94" s="127" t="s">
        <v>2052</v>
      </c>
      <c r="G94" s="126" t="s">
        <v>171</v>
      </c>
      <c r="H94" s="206" t="s">
        <v>2053</v>
      </c>
      <c r="I94" s="129" t="s">
        <v>1843</v>
      </c>
      <c r="J94" s="143" t="s">
        <v>1844</v>
      </c>
      <c r="K94" s="129" t="s">
        <v>1844</v>
      </c>
      <c r="L94" s="132"/>
      <c r="M94" s="132"/>
      <c r="N94" s="131"/>
      <c r="O94" s="131"/>
      <c r="P94" s="171"/>
      <c r="Q94" s="171"/>
      <c r="R94" s="171"/>
      <c r="S94" s="171"/>
      <c r="T94" s="171"/>
      <c r="U94" s="171"/>
      <c r="V94" s="171"/>
      <c r="W94" s="131"/>
      <c r="X94" s="132"/>
      <c r="Y94" s="132"/>
      <c r="Z94" s="171"/>
      <c r="AA94" s="171"/>
      <c r="AB94" s="171"/>
      <c r="AC94" s="171"/>
      <c r="AD94" s="171"/>
      <c r="AE94" s="171"/>
      <c r="AF94" s="140"/>
      <c r="AG94" s="140"/>
      <c r="AH94" s="140"/>
      <c r="AI94" s="128"/>
      <c r="AJ94" s="137"/>
      <c r="AK94" s="140"/>
      <c r="AL94" s="140"/>
    </row>
    <row r="95" ht="15.75" customHeight="1">
      <c r="A95" s="160">
        <v>94.0</v>
      </c>
      <c r="B95" s="158">
        <f t="shared" si="11"/>
        <v>10094</v>
      </c>
      <c r="C95" s="159" t="s">
        <v>1873</v>
      </c>
      <c r="D95" s="157" t="s">
        <v>1849</v>
      </c>
      <c r="E95" s="199" t="s">
        <v>34</v>
      </c>
      <c r="F95" s="162" t="s">
        <v>2054</v>
      </c>
      <c r="G95" s="161" t="s">
        <v>173</v>
      </c>
      <c r="H95" s="207" t="s">
        <v>2055</v>
      </c>
      <c r="I95" s="164" t="s">
        <v>1843</v>
      </c>
      <c r="J95" s="184" t="s">
        <v>1876</v>
      </c>
      <c r="K95" s="177" t="s">
        <v>1877</v>
      </c>
      <c r="L95" s="168" t="s">
        <v>1878</v>
      </c>
      <c r="M95" s="168" t="s">
        <v>1845</v>
      </c>
      <c r="N95" s="166" t="s">
        <v>1903</v>
      </c>
      <c r="O95" s="167" t="s">
        <v>1879</v>
      </c>
      <c r="P95" s="167" t="s">
        <v>1862</v>
      </c>
      <c r="Q95" s="167"/>
      <c r="R95" s="167"/>
      <c r="S95" s="167" t="s">
        <v>1845</v>
      </c>
      <c r="T95" s="167"/>
      <c r="U95" s="167"/>
      <c r="V95" s="167"/>
      <c r="W95" s="166"/>
      <c r="X95" s="168"/>
      <c r="Y95" s="168"/>
      <c r="Z95" s="167"/>
      <c r="AA95" s="167"/>
      <c r="AB95" s="167"/>
      <c r="AC95" s="167"/>
      <c r="AD95" s="167"/>
      <c r="AE95" s="167"/>
      <c r="AF95" s="167"/>
      <c r="AG95" s="164"/>
      <c r="AH95" s="167"/>
      <c r="AI95" s="164"/>
      <c r="AJ95" s="169"/>
      <c r="AK95" s="167"/>
      <c r="AL95" s="167"/>
    </row>
    <row r="96" ht="15.75" customHeight="1">
      <c r="A96" s="125">
        <v>95.0</v>
      </c>
      <c r="B96" s="138">
        <f t="shared" si="11"/>
        <v>10095</v>
      </c>
      <c r="C96" s="124" t="s">
        <v>1840</v>
      </c>
      <c r="D96" s="122" t="s">
        <v>1849</v>
      </c>
      <c r="E96" s="174" t="s">
        <v>34</v>
      </c>
      <c r="F96" s="127" t="s">
        <v>2056</v>
      </c>
      <c r="G96" s="126" t="s">
        <v>175</v>
      </c>
      <c r="H96" s="208" t="s">
        <v>2057</v>
      </c>
      <c r="I96" s="129" t="s">
        <v>1843</v>
      </c>
      <c r="J96" s="143" t="s">
        <v>1876</v>
      </c>
      <c r="K96" s="129" t="s">
        <v>1877</v>
      </c>
      <c r="L96" s="132" t="s">
        <v>1844</v>
      </c>
      <c r="M96" s="132" t="s">
        <v>1845</v>
      </c>
      <c r="N96" s="131">
        <v>1.0</v>
      </c>
      <c r="O96" s="171" t="s">
        <v>1879</v>
      </c>
      <c r="P96" s="171" t="s">
        <v>1862</v>
      </c>
      <c r="Q96" s="171"/>
      <c r="R96" s="171"/>
      <c r="S96" s="171" t="s">
        <v>1845</v>
      </c>
      <c r="T96" s="171"/>
      <c r="U96" s="171"/>
      <c r="V96" s="171"/>
      <c r="W96" s="131"/>
      <c r="X96" s="132"/>
      <c r="Y96" s="132"/>
      <c r="Z96" s="171"/>
      <c r="AA96" s="171"/>
      <c r="AB96" s="171"/>
      <c r="AC96" s="171"/>
      <c r="AD96" s="171"/>
      <c r="AE96" s="171"/>
      <c r="AF96" s="140"/>
      <c r="AG96" s="128"/>
      <c r="AH96" s="140"/>
      <c r="AI96" s="128"/>
      <c r="AJ96" s="137"/>
      <c r="AK96" s="140"/>
      <c r="AL96" s="140"/>
    </row>
    <row r="97" ht="15.75" customHeight="1">
      <c r="A97" s="125">
        <v>96.0</v>
      </c>
      <c r="B97" s="138">
        <f t="shared" si="11"/>
        <v>10096</v>
      </c>
      <c r="C97" s="124" t="s">
        <v>1840</v>
      </c>
      <c r="D97" s="122" t="s">
        <v>1849</v>
      </c>
      <c r="E97" s="174" t="s">
        <v>34</v>
      </c>
      <c r="F97" s="127" t="s">
        <v>2058</v>
      </c>
      <c r="G97" s="126" t="s">
        <v>177</v>
      </c>
      <c r="H97" s="208" t="s">
        <v>2059</v>
      </c>
      <c r="I97" s="128" t="s">
        <v>1843</v>
      </c>
      <c r="J97" s="186" t="s">
        <v>1876</v>
      </c>
      <c r="K97" s="170" t="s">
        <v>1877</v>
      </c>
      <c r="L97" s="136" t="s">
        <v>1844</v>
      </c>
      <c r="M97" s="136" t="s">
        <v>1845</v>
      </c>
      <c r="N97" s="144">
        <v>1.0</v>
      </c>
      <c r="O97" s="140" t="s">
        <v>1879</v>
      </c>
      <c r="P97" s="140" t="s">
        <v>1862</v>
      </c>
      <c r="Q97" s="140"/>
      <c r="R97" s="140"/>
      <c r="S97" s="140" t="s">
        <v>1845</v>
      </c>
      <c r="T97" s="140"/>
      <c r="U97" s="140"/>
      <c r="V97" s="140"/>
      <c r="W97" s="144"/>
      <c r="X97" s="136"/>
      <c r="Y97" s="136"/>
      <c r="Z97" s="140"/>
      <c r="AA97" s="140"/>
      <c r="AB97" s="140"/>
      <c r="AC97" s="140"/>
      <c r="AD97" s="140"/>
      <c r="AE97" s="140"/>
      <c r="AF97" s="140"/>
      <c r="AG97" s="128"/>
      <c r="AH97" s="140"/>
      <c r="AI97" s="128"/>
      <c r="AJ97" s="137"/>
      <c r="AK97" s="140"/>
      <c r="AL97" s="140"/>
    </row>
    <row r="98" ht="15.75" customHeight="1">
      <c r="A98" s="157">
        <v>97.0</v>
      </c>
      <c r="B98" s="158">
        <v>10097.0</v>
      </c>
      <c r="C98" s="159" t="s">
        <v>1840</v>
      </c>
      <c r="D98" s="157"/>
      <c r="E98" s="199" t="s">
        <v>34</v>
      </c>
      <c r="F98" s="161"/>
      <c r="G98" s="161" t="s">
        <v>2060</v>
      </c>
      <c r="H98" s="167"/>
      <c r="I98" s="167" t="s">
        <v>1843</v>
      </c>
      <c r="J98" s="165" t="s">
        <v>1876</v>
      </c>
      <c r="K98" s="164" t="s">
        <v>1877</v>
      </c>
      <c r="L98" s="164" t="s">
        <v>1878</v>
      </c>
      <c r="M98" s="164" t="s">
        <v>1845</v>
      </c>
      <c r="N98" s="167" t="s">
        <v>1903</v>
      </c>
      <c r="O98" s="167" t="s">
        <v>1844</v>
      </c>
      <c r="P98" s="167" t="s">
        <v>1862</v>
      </c>
      <c r="Q98" s="167"/>
      <c r="R98" s="167"/>
      <c r="S98" s="167" t="s">
        <v>1845</v>
      </c>
      <c r="T98" s="167"/>
      <c r="U98" s="167"/>
      <c r="V98" s="167"/>
      <c r="W98" s="167"/>
      <c r="X98" s="164"/>
      <c r="Y98" s="164"/>
      <c r="Z98" s="167"/>
      <c r="AA98" s="167"/>
      <c r="AB98" s="167"/>
      <c r="AC98" s="167"/>
      <c r="AD98" s="167"/>
      <c r="AE98" s="167"/>
      <c r="AF98" s="167"/>
      <c r="AG98" s="167"/>
      <c r="AH98" s="167"/>
      <c r="AI98" s="164"/>
      <c r="AJ98" s="164"/>
      <c r="AK98" s="167"/>
      <c r="AL98" s="167"/>
    </row>
    <row r="99" ht="15.75" customHeight="1">
      <c r="A99" s="151">
        <v>98.0</v>
      </c>
      <c r="B99" s="138">
        <f t="shared" ref="B99:B121" si="12">SUM(A99+10000)</f>
        <v>10098</v>
      </c>
      <c r="C99" s="179" t="s">
        <v>1840</v>
      </c>
      <c r="D99" s="150" t="s">
        <v>1849</v>
      </c>
      <c r="E99" s="195" t="s">
        <v>34</v>
      </c>
      <c r="F99" s="152" t="s">
        <v>2061</v>
      </c>
      <c r="G99" s="209" t="s">
        <v>180</v>
      </c>
      <c r="H99" s="191" t="s">
        <v>2062</v>
      </c>
      <c r="I99" s="129" t="s">
        <v>1843</v>
      </c>
      <c r="J99" s="143" t="s">
        <v>1876</v>
      </c>
      <c r="K99" s="172" t="s">
        <v>1877</v>
      </c>
      <c r="L99" s="132" t="s">
        <v>1844</v>
      </c>
      <c r="M99" s="132" t="s">
        <v>1845</v>
      </c>
      <c r="N99" s="131">
        <v>1.0</v>
      </c>
      <c r="O99" s="171" t="s">
        <v>1879</v>
      </c>
      <c r="P99" s="171" t="s">
        <v>1862</v>
      </c>
      <c r="Q99" s="171"/>
      <c r="R99" s="171"/>
      <c r="S99" s="171" t="s">
        <v>1845</v>
      </c>
      <c r="T99" s="171"/>
      <c r="U99" s="171"/>
      <c r="V99" s="171"/>
      <c r="W99" s="131"/>
      <c r="X99" s="132"/>
      <c r="Y99" s="132"/>
      <c r="Z99" s="171"/>
      <c r="AA99" s="171"/>
      <c r="AB99" s="171"/>
      <c r="AC99" s="171"/>
      <c r="AD99" s="171"/>
      <c r="AE99" s="171"/>
      <c r="AF99" s="140"/>
      <c r="AG99" s="128"/>
      <c r="AH99" s="140"/>
      <c r="AI99" s="128"/>
      <c r="AJ99" s="137"/>
      <c r="AK99" s="140"/>
      <c r="AL99" s="140"/>
    </row>
    <row r="100" ht="15.75" customHeight="1">
      <c r="A100" s="125">
        <v>99.0</v>
      </c>
      <c r="B100" s="138">
        <f t="shared" si="12"/>
        <v>10099</v>
      </c>
      <c r="C100" s="124" t="s">
        <v>1840</v>
      </c>
      <c r="D100" s="122" t="s">
        <v>1849</v>
      </c>
      <c r="E100" s="174" t="s">
        <v>7</v>
      </c>
      <c r="F100" s="126" t="s">
        <v>2063</v>
      </c>
      <c r="G100" s="175" t="s">
        <v>182</v>
      </c>
      <c r="H100" s="191" t="s">
        <v>2064</v>
      </c>
      <c r="I100" s="129" t="s">
        <v>1843</v>
      </c>
      <c r="J100" s="143" t="s">
        <v>1844</v>
      </c>
      <c r="K100" s="172" t="s">
        <v>1844</v>
      </c>
      <c r="L100" s="132" t="s">
        <v>1844</v>
      </c>
      <c r="M100" s="132" t="s">
        <v>1844</v>
      </c>
      <c r="N100" s="131" t="s">
        <v>1844</v>
      </c>
      <c r="O100" s="171" t="s">
        <v>1844</v>
      </c>
      <c r="P100" s="171" t="s">
        <v>1844</v>
      </c>
      <c r="Q100" s="171"/>
      <c r="R100" s="171"/>
      <c r="S100" s="171"/>
      <c r="T100" s="171" t="s">
        <v>1845</v>
      </c>
      <c r="U100" s="171"/>
      <c r="V100" s="171"/>
      <c r="W100" s="131"/>
      <c r="X100" s="132"/>
      <c r="Y100" s="132"/>
      <c r="Z100" s="171" t="s">
        <v>1845</v>
      </c>
      <c r="AA100" s="171"/>
      <c r="AB100" s="171"/>
      <c r="AC100" s="171"/>
      <c r="AD100" s="171"/>
      <c r="AE100" s="171"/>
      <c r="AF100" s="140"/>
      <c r="AG100" s="140"/>
      <c r="AH100" s="140"/>
      <c r="AI100" s="128"/>
      <c r="AJ100" s="137"/>
      <c r="AK100" s="140"/>
      <c r="AL100" s="140"/>
    </row>
    <row r="101" ht="15.75" customHeight="1">
      <c r="A101" s="151">
        <v>100.0</v>
      </c>
      <c r="B101" s="138">
        <f t="shared" si="12"/>
        <v>10100</v>
      </c>
      <c r="C101" s="179" t="s">
        <v>1840</v>
      </c>
      <c r="D101" s="150" t="s">
        <v>1849</v>
      </c>
      <c r="E101" s="195" t="s">
        <v>7</v>
      </c>
      <c r="F101" s="152" t="s">
        <v>2065</v>
      </c>
      <c r="G101" s="210" t="s">
        <v>184</v>
      </c>
      <c r="H101" s="191" t="s">
        <v>2066</v>
      </c>
      <c r="I101" s="129" t="s">
        <v>1843</v>
      </c>
      <c r="J101" s="143" t="s">
        <v>1844</v>
      </c>
      <c r="K101" s="172" t="s">
        <v>1844</v>
      </c>
      <c r="L101" s="132" t="s">
        <v>1844</v>
      </c>
      <c r="M101" s="132" t="s">
        <v>1844</v>
      </c>
      <c r="N101" s="131" t="s">
        <v>1844</v>
      </c>
      <c r="O101" s="171" t="s">
        <v>1844</v>
      </c>
      <c r="P101" s="171" t="s">
        <v>1844</v>
      </c>
      <c r="Q101" s="171"/>
      <c r="R101" s="171"/>
      <c r="S101" s="171"/>
      <c r="T101" s="171" t="s">
        <v>1845</v>
      </c>
      <c r="U101" s="171"/>
      <c r="V101" s="171"/>
      <c r="W101" s="131"/>
      <c r="X101" s="132" t="s">
        <v>1845</v>
      </c>
      <c r="Y101" s="132"/>
      <c r="Z101" s="171"/>
      <c r="AA101" s="171"/>
      <c r="AB101" s="171"/>
      <c r="AC101" s="171"/>
      <c r="AD101" s="171"/>
      <c r="AE101" s="171"/>
      <c r="AF101" s="140"/>
      <c r="AG101" s="140"/>
      <c r="AH101" s="140"/>
      <c r="AI101" s="128"/>
      <c r="AJ101" s="137"/>
      <c r="AK101" s="140"/>
      <c r="AL101" s="140"/>
    </row>
    <row r="102" ht="15.75" customHeight="1">
      <c r="A102" s="125">
        <v>101.0</v>
      </c>
      <c r="B102" s="138">
        <f t="shared" si="12"/>
        <v>10101</v>
      </c>
      <c r="C102" s="124" t="s">
        <v>1840</v>
      </c>
      <c r="D102" s="122" t="s">
        <v>1846</v>
      </c>
      <c r="E102" s="174" t="s">
        <v>7</v>
      </c>
      <c r="F102" s="126" t="s">
        <v>2067</v>
      </c>
      <c r="G102" s="175" t="s">
        <v>186</v>
      </c>
      <c r="H102" s="191" t="s">
        <v>2068</v>
      </c>
      <c r="I102" s="129" t="s">
        <v>1843</v>
      </c>
      <c r="J102" s="143" t="s">
        <v>1844</v>
      </c>
      <c r="K102" s="172" t="s">
        <v>1844</v>
      </c>
      <c r="L102" s="132" t="s">
        <v>1844</v>
      </c>
      <c r="M102" s="132" t="s">
        <v>1844</v>
      </c>
      <c r="N102" s="131" t="s">
        <v>1844</v>
      </c>
      <c r="O102" s="171" t="s">
        <v>1844</v>
      </c>
      <c r="P102" s="171" t="s">
        <v>1844</v>
      </c>
      <c r="Q102" s="171"/>
      <c r="R102" s="171"/>
      <c r="S102" s="171" t="s">
        <v>1845</v>
      </c>
      <c r="T102" s="171" t="s">
        <v>1845</v>
      </c>
      <c r="U102" s="171"/>
      <c r="V102" s="171"/>
      <c r="W102" s="131"/>
      <c r="X102" s="132"/>
      <c r="Y102" s="132"/>
      <c r="Z102" s="171"/>
      <c r="AA102" s="171"/>
      <c r="AB102" s="171"/>
      <c r="AC102" s="171"/>
      <c r="AD102" s="171"/>
      <c r="AE102" s="171"/>
      <c r="AF102" s="140"/>
      <c r="AG102" s="140"/>
      <c r="AH102" s="140"/>
      <c r="AI102" s="128"/>
      <c r="AJ102" s="137"/>
      <c r="AK102" s="140"/>
      <c r="AL102" s="140"/>
    </row>
    <row r="103" ht="15.75" customHeight="1">
      <c r="A103" s="125">
        <v>102.0</v>
      </c>
      <c r="B103" s="138">
        <f t="shared" si="12"/>
        <v>10102</v>
      </c>
      <c r="C103" s="124" t="s">
        <v>1840</v>
      </c>
      <c r="D103" s="122" t="s">
        <v>2069</v>
      </c>
      <c r="E103" s="174" t="s">
        <v>20</v>
      </c>
      <c r="F103" s="126" t="s">
        <v>2070</v>
      </c>
      <c r="G103" s="175" t="s">
        <v>188</v>
      </c>
      <c r="H103" s="191" t="s">
        <v>2071</v>
      </c>
      <c r="I103" s="129" t="s">
        <v>1843</v>
      </c>
      <c r="J103" s="143" t="s">
        <v>1844</v>
      </c>
      <c r="K103" s="129" t="s">
        <v>1877</v>
      </c>
      <c r="L103" s="132" t="s">
        <v>1878</v>
      </c>
      <c r="M103" s="132" t="s">
        <v>1845</v>
      </c>
      <c r="N103" s="131" t="s">
        <v>1844</v>
      </c>
      <c r="O103" s="171" t="s">
        <v>1844</v>
      </c>
      <c r="P103" s="171" t="s">
        <v>2072</v>
      </c>
      <c r="Q103" s="171"/>
      <c r="R103" s="171"/>
      <c r="S103" s="171"/>
      <c r="T103" s="171"/>
      <c r="U103" s="171"/>
      <c r="V103" s="171"/>
      <c r="W103" s="131"/>
      <c r="X103" s="132"/>
      <c r="Y103" s="132"/>
      <c r="Z103" s="171"/>
      <c r="AA103" s="171"/>
      <c r="AB103" s="171"/>
      <c r="AC103" s="171"/>
      <c r="AD103" s="171"/>
      <c r="AE103" s="171"/>
      <c r="AF103" s="140"/>
      <c r="AG103" s="140"/>
      <c r="AH103" s="140"/>
      <c r="AI103" s="128"/>
      <c r="AJ103" s="137"/>
      <c r="AK103" s="140"/>
      <c r="AL103" s="140"/>
    </row>
    <row r="104" ht="15.75" customHeight="1">
      <c r="A104" s="125">
        <v>103.0</v>
      </c>
      <c r="B104" s="138">
        <f t="shared" si="12"/>
        <v>10103</v>
      </c>
      <c r="C104" s="124" t="s">
        <v>1840</v>
      </c>
      <c r="D104" s="122" t="s">
        <v>2069</v>
      </c>
      <c r="E104" s="174" t="s">
        <v>34</v>
      </c>
      <c r="F104" s="126" t="s">
        <v>2073</v>
      </c>
      <c r="G104" s="175" t="s">
        <v>190</v>
      </c>
      <c r="H104" s="191" t="s">
        <v>2074</v>
      </c>
      <c r="I104" s="129" t="s">
        <v>1843</v>
      </c>
      <c r="J104" s="143" t="s">
        <v>1902</v>
      </c>
      <c r="K104" s="129" t="s">
        <v>1877</v>
      </c>
      <c r="L104" s="132" t="s">
        <v>1878</v>
      </c>
      <c r="M104" s="132" t="s">
        <v>1845</v>
      </c>
      <c r="N104" s="131">
        <v>1.0</v>
      </c>
      <c r="O104" s="171" t="s">
        <v>1879</v>
      </c>
      <c r="P104" s="171" t="s">
        <v>2072</v>
      </c>
      <c r="Q104" s="171"/>
      <c r="R104" s="171"/>
      <c r="S104" s="171"/>
      <c r="T104" s="171"/>
      <c r="U104" s="171"/>
      <c r="V104" s="171"/>
      <c r="W104" s="131"/>
      <c r="X104" s="132"/>
      <c r="Y104" s="132"/>
      <c r="Z104" s="171"/>
      <c r="AA104" s="171"/>
      <c r="AB104" s="171"/>
      <c r="AC104" s="171"/>
      <c r="AD104" s="171"/>
      <c r="AE104" s="171"/>
      <c r="AF104" s="140"/>
      <c r="AG104" s="140"/>
      <c r="AH104" s="140"/>
      <c r="AI104" s="128"/>
      <c r="AJ104" s="137"/>
      <c r="AK104" s="140"/>
      <c r="AL104" s="140"/>
    </row>
    <row r="105" ht="15.75" customHeight="1">
      <c r="A105" s="125">
        <v>104.0</v>
      </c>
      <c r="B105" s="138">
        <f t="shared" si="12"/>
        <v>10104</v>
      </c>
      <c r="C105" s="124" t="s">
        <v>1840</v>
      </c>
      <c r="D105" s="122" t="s">
        <v>2069</v>
      </c>
      <c r="E105" s="174" t="s">
        <v>7</v>
      </c>
      <c r="F105" s="126" t="s">
        <v>2075</v>
      </c>
      <c r="G105" s="175" t="s">
        <v>2076</v>
      </c>
      <c r="H105" s="191" t="s">
        <v>2077</v>
      </c>
      <c r="I105" s="129" t="s">
        <v>1843</v>
      </c>
      <c r="J105" s="143" t="s">
        <v>1844</v>
      </c>
      <c r="K105" s="129" t="s">
        <v>1844</v>
      </c>
      <c r="L105" s="132" t="s">
        <v>1844</v>
      </c>
      <c r="M105" s="132" t="s">
        <v>1844</v>
      </c>
      <c r="N105" s="131" t="s">
        <v>1844</v>
      </c>
      <c r="O105" s="171" t="s">
        <v>1844</v>
      </c>
      <c r="P105" s="171" t="s">
        <v>1844</v>
      </c>
      <c r="Q105" s="171"/>
      <c r="R105" s="171"/>
      <c r="S105" s="171" t="s">
        <v>1845</v>
      </c>
      <c r="T105" s="171" t="s">
        <v>1845</v>
      </c>
      <c r="U105" s="171"/>
      <c r="V105" s="171"/>
      <c r="W105" s="131"/>
      <c r="X105" s="132"/>
      <c r="Y105" s="132"/>
      <c r="Z105" s="171"/>
      <c r="AA105" s="171"/>
      <c r="AB105" s="171"/>
      <c r="AC105" s="171"/>
      <c r="AD105" s="171"/>
      <c r="AE105" s="171"/>
      <c r="AF105" s="140"/>
      <c r="AG105" s="140"/>
      <c r="AH105" s="140"/>
      <c r="AI105" s="128"/>
      <c r="AJ105" s="137"/>
      <c r="AK105" s="140"/>
      <c r="AL105" s="140"/>
    </row>
    <row r="106" ht="15.75" customHeight="1">
      <c r="A106" s="151">
        <v>105.0</v>
      </c>
      <c r="B106" s="138">
        <f t="shared" si="12"/>
        <v>10105</v>
      </c>
      <c r="C106" s="179" t="s">
        <v>1840</v>
      </c>
      <c r="D106" s="150" t="s">
        <v>2069</v>
      </c>
      <c r="E106" s="195" t="s">
        <v>27</v>
      </c>
      <c r="F106" s="152" t="s">
        <v>2078</v>
      </c>
      <c r="G106" s="210" t="s">
        <v>194</v>
      </c>
      <c r="H106" s="191" t="s">
        <v>2079</v>
      </c>
      <c r="I106" s="129" t="s">
        <v>1843</v>
      </c>
      <c r="J106" s="143" t="s">
        <v>1844</v>
      </c>
      <c r="K106" s="172" t="s">
        <v>1844</v>
      </c>
      <c r="L106" s="132" t="s">
        <v>1844</v>
      </c>
      <c r="M106" s="132" t="s">
        <v>1845</v>
      </c>
      <c r="N106" s="131" t="s">
        <v>1844</v>
      </c>
      <c r="O106" s="171" t="s">
        <v>1844</v>
      </c>
      <c r="P106" s="171" t="s">
        <v>1862</v>
      </c>
      <c r="Q106" s="171"/>
      <c r="R106" s="171"/>
      <c r="S106" s="171"/>
      <c r="T106" s="171"/>
      <c r="U106" s="171"/>
      <c r="V106" s="171"/>
      <c r="W106" s="131"/>
      <c r="X106" s="132" t="s">
        <v>1845</v>
      </c>
      <c r="Y106" s="132"/>
      <c r="Z106" s="171"/>
      <c r="AA106" s="171"/>
      <c r="AB106" s="171"/>
      <c r="AC106" s="171"/>
      <c r="AD106" s="171"/>
      <c r="AE106" s="171"/>
      <c r="AF106" s="140"/>
      <c r="AG106" s="140"/>
      <c r="AH106" s="140"/>
      <c r="AI106" s="128"/>
      <c r="AJ106" s="137"/>
      <c r="AK106" s="140"/>
      <c r="AL106" s="140"/>
    </row>
    <row r="107" ht="15.75" customHeight="1">
      <c r="A107" s="125">
        <v>106.0</v>
      </c>
      <c r="B107" s="138">
        <f t="shared" si="12"/>
        <v>10106</v>
      </c>
      <c r="C107" s="124" t="s">
        <v>1840</v>
      </c>
      <c r="D107" s="122" t="s">
        <v>2069</v>
      </c>
      <c r="E107" s="174" t="s">
        <v>7</v>
      </c>
      <c r="F107" s="126" t="s">
        <v>2080</v>
      </c>
      <c r="G107" s="175" t="s">
        <v>196</v>
      </c>
      <c r="H107" s="191" t="s">
        <v>2081</v>
      </c>
      <c r="I107" s="129" t="s">
        <v>1843</v>
      </c>
      <c r="J107" s="143" t="s">
        <v>1844</v>
      </c>
      <c r="K107" s="172" t="s">
        <v>1844</v>
      </c>
      <c r="L107" s="132" t="s">
        <v>1844</v>
      </c>
      <c r="M107" s="132" t="s">
        <v>1844</v>
      </c>
      <c r="N107" s="131" t="s">
        <v>2082</v>
      </c>
      <c r="O107" s="171" t="s">
        <v>1844</v>
      </c>
      <c r="P107" s="171" t="s">
        <v>1844</v>
      </c>
      <c r="Q107" s="171"/>
      <c r="R107" s="171"/>
      <c r="S107" s="171"/>
      <c r="T107" s="171"/>
      <c r="U107" s="171"/>
      <c r="V107" s="171"/>
      <c r="W107" s="131"/>
      <c r="X107" s="132"/>
      <c r="Y107" s="132"/>
      <c r="Z107" s="171"/>
      <c r="AA107" s="171"/>
      <c r="AB107" s="171"/>
      <c r="AC107" s="171"/>
      <c r="AD107" s="171"/>
      <c r="AE107" s="171"/>
      <c r="AF107" s="140"/>
      <c r="AG107" s="140"/>
      <c r="AH107" s="140"/>
      <c r="AI107" s="128"/>
      <c r="AJ107" s="137"/>
      <c r="AK107" s="140"/>
      <c r="AL107" s="140"/>
    </row>
    <row r="108" ht="15.75" customHeight="1">
      <c r="A108" s="125">
        <v>107.0</v>
      </c>
      <c r="B108" s="138">
        <f t="shared" si="12"/>
        <v>10107</v>
      </c>
      <c r="C108" s="124" t="s">
        <v>1840</v>
      </c>
      <c r="D108" s="122" t="s">
        <v>2069</v>
      </c>
      <c r="E108" s="174" t="s">
        <v>34</v>
      </c>
      <c r="F108" s="126" t="s">
        <v>2083</v>
      </c>
      <c r="G108" s="175" t="s">
        <v>198</v>
      </c>
      <c r="H108" s="191" t="s">
        <v>2084</v>
      </c>
      <c r="I108" s="129" t="s">
        <v>1843</v>
      </c>
      <c r="J108" s="143" t="s">
        <v>1902</v>
      </c>
      <c r="K108" s="129" t="s">
        <v>1877</v>
      </c>
      <c r="L108" s="132" t="s">
        <v>1878</v>
      </c>
      <c r="M108" s="132" t="s">
        <v>1845</v>
      </c>
      <c r="N108" s="131" t="s">
        <v>1903</v>
      </c>
      <c r="O108" s="171" t="s">
        <v>1879</v>
      </c>
      <c r="P108" s="171" t="s">
        <v>1895</v>
      </c>
      <c r="Q108" s="171"/>
      <c r="R108" s="171"/>
      <c r="S108" s="171"/>
      <c r="T108" s="171"/>
      <c r="U108" s="171"/>
      <c r="V108" s="171"/>
      <c r="W108" s="131"/>
      <c r="X108" s="132"/>
      <c r="Y108" s="132"/>
      <c r="Z108" s="171"/>
      <c r="AA108" s="171"/>
      <c r="AB108" s="171"/>
      <c r="AC108" s="171"/>
      <c r="AD108" s="171"/>
      <c r="AE108" s="171"/>
      <c r="AF108" s="140"/>
      <c r="AG108" s="140"/>
      <c r="AH108" s="140"/>
      <c r="AI108" s="128"/>
      <c r="AJ108" s="137"/>
      <c r="AK108" s="140"/>
      <c r="AL108" s="140"/>
    </row>
    <row r="109" ht="15.75" customHeight="1">
      <c r="A109" s="160">
        <v>108.0</v>
      </c>
      <c r="B109" s="158">
        <f t="shared" si="12"/>
        <v>10108</v>
      </c>
      <c r="C109" s="159" t="s">
        <v>1873</v>
      </c>
      <c r="D109" s="157" t="s">
        <v>2069</v>
      </c>
      <c r="E109" s="199" t="s">
        <v>34</v>
      </c>
      <c r="F109" s="161" t="s">
        <v>2085</v>
      </c>
      <c r="G109" s="200" t="s">
        <v>200</v>
      </c>
      <c r="H109" s="192" t="s">
        <v>2086</v>
      </c>
      <c r="I109" s="164" t="s">
        <v>1843</v>
      </c>
      <c r="J109" s="184" t="s">
        <v>1876</v>
      </c>
      <c r="K109" s="164" t="s">
        <v>1877</v>
      </c>
      <c r="L109" s="168" t="s">
        <v>1878</v>
      </c>
      <c r="M109" s="168" t="s">
        <v>1845</v>
      </c>
      <c r="N109" s="166">
        <v>1.0</v>
      </c>
      <c r="O109" s="167" t="s">
        <v>1879</v>
      </c>
      <c r="P109" s="167" t="s">
        <v>1895</v>
      </c>
      <c r="Q109" s="167"/>
      <c r="R109" s="167"/>
      <c r="S109" s="167"/>
      <c r="T109" s="167"/>
      <c r="U109" s="167"/>
      <c r="V109" s="167"/>
      <c r="W109" s="166"/>
      <c r="X109" s="168"/>
      <c r="Y109" s="168"/>
      <c r="Z109" s="167"/>
      <c r="AA109" s="167"/>
      <c r="AB109" s="167"/>
      <c r="AC109" s="167"/>
      <c r="AD109" s="167"/>
      <c r="AE109" s="167"/>
      <c r="AF109" s="167"/>
      <c r="AG109" s="164"/>
      <c r="AH109" s="167"/>
      <c r="AI109" s="164"/>
      <c r="AJ109" s="169"/>
      <c r="AK109" s="167"/>
      <c r="AL109" s="167"/>
    </row>
    <row r="110" ht="15.75" customHeight="1">
      <c r="A110" s="125">
        <v>109.0</v>
      </c>
      <c r="B110" s="138">
        <f t="shared" si="12"/>
        <v>10109</v>
      </c>
      <c r="C110" s="124" t="s">
        <v>1840</v>
      </c>
      <c r="D110" s="122" t="s">
        <v>1841</v>
      </c>
      <c r="E110" s="174" t="s">
        <v>7</v>
      </c>
      <c r="F110" s="126" t="s">
        <v>2087</v>
      </c>
      <c r="G110" s="175" t="s">
        <v>202</v>
      </c>
      <c r="H110" s="191" t="s">
        <v>2088</v>
      </c>
      <c r="I110" s="129" t="s">
        <v>1843</v>
      </c>
      <c r="J110" s="143" t="s">
        <v>1844</v>
      </c>
      <c r="K110" s="129" t="s">
        <v>1844</v>
      </c>
      <c r="L110" s="132" t="s">
        <v>1844</v>
      </c>
      <c r="M110" s="132" t="s">
        <v>1844</v>
      </c>
      <c r="N110" s="131" t="s">
        <v>1903</v>
      </c>
      <c r="O110" s="171" t="s">
        <v>1844</v>
      </c>
      <c r="P110" s="171" t="s">
        <v>1844</v>
      </c>
      <c r="Q110" s="171"/>
      <c r="R110" s="171"/>
      <c r="S110" s="171" t="s">
        <v>1845</v>
      </c>
      <c r="T110" s="171"/>
      <c r="U110" s="171"/>
      <c r="V110" s="171"/>
      <c r="W110" s="131"/>
      <c r="X110" s="132"/>
      <c r="Y110" s="132"/>
      <c r="Z110" s="171"/>
      <c r="AA110" s="171"/>
      <c r="AB110" s="171"/>
      <c r="AC110" s="171"/>
      <c r="AD110" s="171"/>
      <c r="AE110" s="171"/>
      <c r="AF110" s="140"/>
      <c r="AG110" s="140"/>
      <c r="AH110" s="140"/>
      <c r="AI110" s="128"/>
      <c r="AJ110" s="137"/>
      <c r="AK110" s="140"/>
      <c r="AL110" s="140"/>
    </row>
    <row r="111" ht="15.75" customHeight="1">
      <c r="A111" s="125">
        <v>110.0</v>
      </c>
      <c r="B111" s="138">
        <f t="shared" si="12"/>
        <v>10110</v>
      </c>
      <c r="C111" s="124" t="s">
        <v>1840</v>
      </c>
      <c r="D111" s="122" t="s">
        <v>2069</v>
      </c>
      <c r="E111" s="174" t="s">
        <v>34</v>
      </c>
      <c r="F111" s="126" t="s">
        <v>2089</v>
      </c>
      <c r="G111" s="175" t="s">
        <v>204</v>
      </c>
      <c r="H111" s="191" t="s">
        <v>2090</v>
      </c>
      <c r="I111" s="129" t="s">
        <v>1843</v>
      </c>
      <c r="J111" s="143" t="s">
        <v>1902</v>
      </c>
      <c r="K111" s="172" t="s">
        <v>1877</v>
      </c>
      <c r="L111" s="132" t="s">
        <v>1878</v>
      </c>
      <c r="M111" s="132" t="s">
        <v>1845</v>
      </c>
      <c r="N111" s="131">
        <v>1.0</v>
      </c>
      <c r="O111" s="171" t="s">
        <v>1879</v>
      </c>
      <c r="P111" s="171" t="s">
        <v>1895</v>
      </c>
      <c r="Q111" s="171"/>
      <c r="R111" s="171"/>
      <c r="S111" s="171"/>
      <c r="T111" s="171"/>
      <c r="U111" s="171"/>
      <c r="V111" s="171"/>
      <c r="W111" s="131"/>
      <c r="X111" s="132" t="s">
        <v>1845</v>
      </c>
      <c r="Y111" s="132"/>
      <c r="Z111" s="171"/>
      <c r="AA111" s="171"/>
      <c r="AB111" s="171"/>
      <c r="AC111" s="171"/>
      <c r="AD111" s="171"/>
      <c r="AE111" s="171"/>
      <c r="AF111" s="140"/>
      <c r="AG111" s="140"/>
      <c r="AH111" s="140"/>
      <c r="AI111" s="128"/>
      <c r="AJ111" s="137"/>
      <c r="AK111" s="140"/>
      <c r="AL111" s="140"/>
    </row>
    <row r="112" ht="15.75" customHeight="1">
      <c r="A112" s="151">
        <v>111.0</v>
      </c>
      <c r="B112" s="138">
        <f t="shared" si="12"/>
        <v>10111</v>
      </c>
      <c r="C112" s="179" t="s">
        <v>1840</v>
      </c>
      <c r="D112" s="150" t="s">
        <v>2069</v>
      </c>
      <c r="E112" s="151" t="s">
        <v>20</v>
      </c>
      <c r="F112" s="211" t="s">
        <v>2091</v>
      </c>
      <c r="G112" s="153" t="s">
        <v>206</v>
      </c>
      <c r="H112" s="191" t="s">
        <v>2092</v>
      </c>
      <c r="I112" s="129" t="s">
        <v>1843</v>
      </c>
      <c r="J112" s="143" t="s">
        <v>1844</v>
      </c>
      <c r="K112" s="172" t="s">
        <v>1844</v>
      </c>
      <c r="L112" s="132" t="s">
        <v>1878</v>
      </c>
      <c r="M112" s="132" t="s">
        <v>1845</v>
      </c>
      <c r="N112" s="131" t="s">
        <v>1844</v>
      </c>
      <c r="O112" s="171" t="s">
        <v>1844</v>
      </c>
      <c r="P112" s="171" t="s">
        <v>1895</v>
      </c>
      <c r="Q112" s="171"/>
      <c r="R112" s="171"/>
      <c r="S112" s="171"/>
      <c r="T112" s="171"/>
      <c r="U112" s="171"/>
      <c r="V112" s="171"/>
      <c r="W112" s="131"/>
      <c r="X112" s="132" t="s">
        <v>1845</v>
      </c>
      <c r="Y112" s="132"/>
      <c r="Z112" s="171"/>
      <c r="AA112" s="171"/>
      <c r="AB112" s="171"/>
      <c r="AC112" s="171"/>
      <c r="AD112" s="171"/>
      <c r="AE112" s="171"/>
      <c r="AF112" s="140"/>
      <c r="AG112" s="140"/>
      <c r="AH112" s="140"/>
      <c r="AI112" s="128"/>
      <c r="AJ112" s="137"/>
      <c r="AK112" s="140"/>
      <c r="AL112" s="140"/>
    </row>
    <row r="113" ht="15.75" customHeight="1">
      <c r="A113" s="151">
        <v>112.0</v>
      </c>
      <c r="B113" s="138">
        <f t="shared" si="12"/>
        <v>10112</v>
      </c>
      <c r="C113" s="179" t="s">
        <v>1840</v>
      </c>
      <c r="D113" s="150" t="s">
        <v>2069</v>
      </c>
      <c r="E113" s="151" t="s">
        <v>7</v>
      </c>
      <c r="F113" s="211" t="s">
        <v>2093</v>
      </c>
      <c r="G113" s="201" t="s">
        <v>208</v>
      </c>
      <c r="H113" s="191" t="s">
        <v>2094</v>
      </c>
      <c r="I113" s="129" t="s">
        <v>1843</v>
      </c>
      <c r="J113" s="143" t="s">
        <v>1844</v>
      </c>
      <c r="K113" s="129" t="s">
        <v>1844</v>
      </c>
      <c r="L113" s="132" t="s">
        <v>1844</v>
      </c>
      <c r="M113" s="132" t="s">
        <v>1844</v>
      </c>
      <c r="N113" s="131" t="s">
        <v>1844</v>
      </c>
      <c r="O113" s="171" t="s">
        <v>1844</v>
      </c>
      <c r="P113" s="171" t="s">
        <v>1844</v>
      </c>
      <c r="Q113" s="171"/>
      <c r="R113" s="171"/>
      <c r="S113" s="171" t="s">
        <v>1845</v>
      </c>
      <c r="T113" s="171" t="s">
        <v>1845</v>
      </c>
      <c r="U113" s="171"/>
      <c r="V113" s="171"/>
      <c r="W113" s="131"/>
      <c r="X113" s="132"/>
      <c r="Y113" s="132"/>
      <c r="Z113" s="171"/>
      <c r="AA113" s="171"/>
      <c r="AB113" s="171"/>
      <c r="AC113" s="171"/>
      <c r="AD113" s="171"/>
      <c r="AE113" s="171"/>
      <c r="AF113" s="140"/>
      <c r="AG113" s="140"/>
      <c r="AH113" s="140"/>
      <c r="AI113" s="128"/>
      <c r="AJ113" s="137"/>
      <c r="AK113" s="140"/>
      <c r="AL113" s="140"/>
    </row>
    <row r="114" ht="15.75" customHeight="1">
      <c r="A114" s="125">
        <v>113.0</v>
      </c>
      <c r="B114" s="138">
        <f t="shared" si="12"/>
        <v>10113</v>
      </c>
      <c r="C114" s="124" t="s">
        <v>1840</v>
      </c>
      <c r="D114" s="122" t="s">
        <v>2069</v>
      </c>
      <c r="E114" s="125" t="s">
        <v>34</v>
      </c>
      <c r="F114" s="211"/>
      <c r="G114" s="127" t="s">
        <v>210</v>
      </c>
      <c r="H114" s="194" t="s">
        <v>2095</v>
      </c>
      <c r="I114" s="129" t="s">
        <v>1843</v>
      </c>
      <c r="J114" s="143" t="s">
        <v>1902</v>
      </c>
      <c r="K114" s="172" t="s">
        <v>1877</v>
      </c>
      <c r="L114" s="132" t="s">
        <v>1844</v>
      </c>
      <c r="M114" s="132" t="s">
        <v>1845</v>
      </c>
      <c r="N114" s="131">
        <v>1.0</v>
      </c>
      <c r="O114" s="171" t="s">
        <v>1879</v>
      </c>
      <c r="P114" s="171" t="s">
        <v>1862</v>
      </c>
      <c r="Q114" s="171"/>
      <c r="R114" s="171"/>
      <c r="S114" s="171" t="s">
        <v>1845</v>
      </c>
      <c r="T114" s="171"/>
      <c r="U114" s="171"/>
      <c r="V114" s="171"/>
      <c r="W114" s="131"/>
      <c r="X114" s="132"/>
      <c r="Y114" s="132"/>
      <c r="Z114" s="171"/>
      <c r="AA114" s="171"/>
      <c r="AB114" s="171"/>
      <c r="AC114" s="171"/>
      <c r="AD114" s="171"/>
      <c r="AE114" s="171"/>
      <c r="AF114" s="140"/>
      <c r="AG114" s="128"/>
      <c r="AH114" s="140"/>
      <c r="AI114" s="128"/>
      <c r="AJ114" s="137"/>
      <c r="AK114" s="140"/>
      <c r="AL114" s="140"/>
    </row>
    <row r="115" ht="15.75" customHeight="1">
      <c r="A115" s="125">
        <v>114.0</v>
      </c>
      <c r="B115" s="138">
        <f t="shared" si="12"/>
        <v>10114</v>
      </c>
      <c r="C115" s="124" t="s">
        <v>1840</v>
      </c>
      <c r="D115" s="122" t="s">
        <v>1846</v>
      </c>
      <c r="E115" s="125" t="s">
        <v>20</v>
      </c>
      <c r="F115" s="211"/>
      <c r="G115" s="127" t="s">
        <v>212</v>
      </c>
      <c r="H115" s="191" t="s">
        <v>2096</v>
      </c>
      <c r="I115" s="129" t="s">
        <v>1843</v>
      </c>
      <c r="J115" s="143" t="s">
        <v>1844</v>
      </c>
      <c r="K115" s="129" t="s">
        <v>1844</v>
      </c>
      <c r="L115" s="132" t="s">
        <v>1844</v>
      </c>
      <c r="M115" s="132" t="s">
        <v>1845</v>
      </c>
      <c r="N115" s="131" t="s">
        <v>1844</v>
      </c>
      <c r="O115" s="171" t="s">
        <v>1844</v>
      </c>
      <c r="P115" s="171" t="s">
        <v>1862</v>
      </c>
      <c r="Q115" s="171"/>
      <c r="R115" s="171"/>
      <c r="S115" s="171" t="s">
        <v>1845</v>
      </c>
      <c r="T115" s="171"/>
      <c r="U115" s="171"/>
      <c r="V115" s="171"/>
      <c r="W115" s="131"/>
      <c r="X115" s="132"/>
      <c r="Y115" s="132"/>
      <c r="Z115" s="171"/>
      <c r="AA115" s="171"/>
      <c r="AB115" s="171"/>
      <c r="AC115" s="171"/>
      <c r="AD115" s="171"/>
      <c r="AE115" s="171"/>
      <c r="AF115" s="140"/>
      <c r="AG115" s="140"/>
      <c r="AH115" s="140"/>
      <c r="AI115" s="128"/>
      <c r="AJ115" s="137"/>
      <c r="AK115" s="140"/>
      <c r="AL115" s="140"/>
    </row>
    <row r="116" ht="15.75" customHeight="1">
      <c r="A116" s="125">
        <v>115.0</v>
      </c>
      <c r="B116" s="138">
        <f t="shared" si="12"/>
        <v>10115</v>
      </c>
      <c r="C116" s="124" t="s">
        <v>1840</v>
      </c>
      <c r="D116" s="122" t="s">
        <v>1849</v>
      </c>
      <c r="E116" s="125" t="s">
        <v>20</v>
      </c>
      <c r="F116" s="211" t="s">
        <v>2097</v>
      </c>
      <c r="G116" s="127" t="s">
        <v>214</v>
      </c>
      <c r="H116" s="191" t="s">
        <v>2098</v>
      </c>
      <c r="I116" s="129" t="s">
        <v>1843</v>
      </c>
      <c r="J116" s="143" t="s">
        <v>1844</v>
      </c>
      <c r="K116" s="129" t="s">
        <v>1844</v>
      </c>
      <c r="L116" s="132" t="s">
        <v>1878</v>
      </c>
      <c r="M116" s="132" t="s">
        <v>1845</v>
      </c>
      <c r="N116" s="131" t="s">
        <v>1844</v>
      </c>
      <c r="O116" s="171" t="s">
        <v>1844</v>
      </c>
      <c r="P116" s="171" t="s">
        <v>1862</v>
      </c>
      <c r="Q116" s="171"/>
      <c r="R116" s="171"/>
      <c r="S116" s="171"/>
      <c r="T116" s="171"/>
      <c r="U116" s="171"/>
      <c r="V116" s="171"/>
      <c r="W116" s="131"/>
      <c r="X116" s="132"/>
      <c r="Y116" s="132"/>
      <c r="Z116" s="171"/>
      <c r="AA116" s="171"/>
      <c r="AB116" s="171"/>
      <c r="AC116" s="171"/>
      <c r="AD116" s="171"/>
      <c r="AE116" s="171"/>
      <c r="AF116" s="140"/>
      <c r="AG116" s="140"/>
      <c r="AH116" s="140"/>
      <c r="AI116" s="128"/>
      <c r="AJ116" s="137"/>
      <c r="AK116" s="140"/>
      <c r="AL116" s="140"/>
    </row>
    <row r="117" ht="15.75" customHeight="1">
      <c r="A117" s="125">
        <v>116.0</v>
      </c>
      <c r="B117" s="138">
        <f t="shared" si="12"/>
        <v>10116</v>
      </c>
      <c r="C117" s="124" t="s">
        <v>1840</v>
      </c>
      <c r="D117" s="122" t="s">
        <v>2099</v>
      </c>
      <c r="E117" s="125" t="s">
        <v>34</v>
      </c>
      <c r="F117" s="127" t="s">
        <v>2100</v>
      </c>
      <c r="G117" s="127" t="s">
        <v>216</v>
      </c>
      <c r="H117" s="194" t="s">
        <v>2101</v>
      </c>
      <c r="I117" s="129" t="s">
        <v>1843</v>
      </c>
      <c r="J117" s="143" t="s">
        <v>1876</v>
      </c>
      <c r="K117" s="172" t="s">
        <v>1877</v>
      </c>
      <c r="L117" s="132" t="s">
        <v>1844</v>
      </c>
      <c r="M117" s="132" t="s">
        <v>1845</v>
      </c>
      <c r="N117" s="131" t="s">
        <v>1903</v>
      </c>
      <c r="O117" s="171" t="s">
        <v>1879</v>
      </c>
      <c r="P117" s="171" t="s">
        <v>1862</v>
      </c>
      <c r="Q117" s="171"/>
      <c r="R117" s="171"/>
      <c r="S117" s="171" t="s">
        <v>1845</v>
      </c>
      <c r="T117" s="171"/>
      <c r="U117" s="171"/>
      <c r="V117" s="171"/>
      <c r="W117" s="131"/>
      <c r="X117" s="132"/>
      <c r="Y117" s="132"/>
      <c r="Z117" s="171"/>
      <c r="AA117" s="171"/>
      <c r="AB117" s="171"/>
      <c r="AC117" s="171"/>
      <c r="AD117" s="171"/>
      <c r="AE117" s="171"/>
      <c r="AF117" s="140"/>
      <c r="AG117" s="128"/>
      <c r="AH117" s="140"/>
      <c r="AI117" s="128"/>
      <c r="AJ117" s="137"/>
      <c r="AK117" s="140"/>
      <c r="AL117" s="140"/>
    </row>
    <row r="118" ht="15.75" customHeight="1">
      <c r="A118" s="189">
        <v>117.0</v>
      </c>
      <c r="B118" s="138">
        <f t="shared" si="12"/>
        <v>10117</v>
      </c>
      <c r="C118" s="179" t="s">
        <v>1840</v>
      </c>
      <c r="D118" s="150" t="s">
        <v>2099</v>
      </c>
      <c r="E118" s="189" t="s">
        <v>20</v>
      </c>
      <c r="F118" s="190" t="s">
        <v>2102</v>
      </c>
      <c r="G118" s="190" t="s">
        <v>218</v>
      </c>
      <c r="H118" s="191" t="s">
        <v>2103</v>
      </c>
      <c r="I118" s="129" t="s">
        <v>1843</v>
      </c>
      <c r="J118" s="143" t="s">
        <v>1844</v>
      </c>
      <c r="K118" s="129" t="s">
        <v>1844</v>
      </c>
      <c r="L118" s="132" t="s">
        <v>1844</v>
      </c>
      <c r="M118" s="132" t="s">
        <v>1845</v>
      </c>
      <c r="N118" s="131" t="s">
        <v>1844</v>
      </c>
      <c r="O118" s="131" t="s">
        <v>1844</v>
      </c>
      <c r="P118" s="131" t="s">
        <v>1862</v>
      </c>
      <c r="Q118" s="131"/>
      <c r="R118" s="131"/>
      <c r="S118" s="131" t="s">
        <v>1845</v>
      </c>
      <c r="T118" s="131" t="s">
        <v>1845</v>
      </c>
      <c r="U118" s="131"/>
      <c r="V118" s="131"/>
      <c r="W118" s="131"/>
      <c r="X118" s="132"/>
      <c r="Y118" s="132"/>
      <c r="Z118" s="131"/>
      <c r="AA118" s="131"/>
      <c r="AB118" s="171"/>
      <c r="AC118" s="171"/>
      <c r="AD118" s="171"/>
      <c r="AE118" s="171"/>
      <c r="AF118" s="140"/>
      <c r="AG118" s="140"/>
      <c r="AH118" s="140"/>
      <c r="AI118" s="128"/>
      <c r="AJ118" s="137"/>
      <c r="AK118" s="140"/>
      <c r="AL118" s="140"/>
    </row>
    <row r="119" ht="15.75" customHeight="1">
      <c r="A119" s="141">
        <v>118.0</v>
      </c>
      <c r="B119" s="138">
        <f t="shared" si="12"/>
        <v>10118</v>
      </c>
      <c r="C119" s="124" t="s">
        <v>1840</v>
      </c>
      <c r="D119" s="122" t="s">
        <v>2099</v>
      </c>
      <c r="E119" s="141" t="s">
        <v>34</v>
      </c>
      <c r="F119" s="153" t="s">
        <v>2104</v>
      </c>
      <c r="G119" s="127" t="s">
        <v>220</v>
      </c>
      <c r="H119" s="191" t="s">
        <v>2105</v>
      </c>
      <c r="I119" s="129" t="s">
        <v>1843</v>
      </c>
      <c r="J119" s="143" t="s">
        <v>1902</v>
      </c>
      <c r="K119" s="129" t="s">
        <v>1877</v>
      </c>
      <c r="L119" s="132" t="s">
        <v>1844</v>
      </c>
      <c r="M119" s="132" t="s">
        <v>1845</v>
      </c>
      <c r="N119" s="131" t="s">
        <v>1903</v>
      </c>
      <c r="O119" s="131" t="s">
        <v>1879</v>
      </c>
      <c r="P119" s="131" t="s">
        <v>1862</v>
      </c>
      <c r="Q119" s="131"/>
      <c r="R119" s="131"/>
      <c r="S119" s="131"/>
      <c r="T119" s="131"/>
      <c r="U119" s="131"/>
      <c r="V119" s="131"/>
      <c r="W119" s="131"/>
      <c r="X119" s="132"/>
      <c r="Y119" s="132"/>
      <c r="Z119" s="131"/>
      <c r="AA119" s="131"/>
      <c r="AB119" s="171"/>
      <c r="AC119" s="171"/>
      <c r="AD119" s="171"/>
      <c r="AE119" s="171"/>
      <c r="AF119" s="140"/>
      <c r="AG119" s="140"/>
      <c r="AH119" s="140"/>
      <c r="AI119" s="128"/>
      <c r="AJ119" s="137"/>
      <c r="AK119" s="140"/>
      <c r="AL119" s="140"/>
    </row>
    <row r="120" ht="15.75" customHeight="1">
      <c r="A120" s="125">
        <v>119.0</v>
      </c>
      <c r="B120" s="138">
        <f t="shared" si="12"/>
        <v>10119</v>
      </c>
      <c r="C120" s="124" t="s">
        <v>1840</v>
      </c>
      <c r="D120" s="122" t="s">
        <v>2099</v>
      </c>
      <c r="E120" s="125" t="s">
        <v>34</v>
      </c>
      <c r="F120" s="127" t="s">
        <v>2106</v>
      </c>
      <c r="G120" s="127" t="s">
        <v>2107</v>
      </c>
      <c r="H120" s="191" t="s">
        <v>2108</v>
      </c>
      <c r="I120" s="171" t="s">
        <v>1843</v>
      </c>
      <c r="J120" s="143" t="s">
        <v>1902</v>
      </c>
      <c r="K120" s="172" t="s">
        <v>1877</v>
      </c>
      <c r="L120" s="132" t="s">
        <v>1844</v>
      </c>
      <c r="M120" s="132" t="s">
        <v>1845</v>
      </c>
      <c r="N120" s="131" t="s">
        <v>1903</v>
      </c>
      <c r="O120" s="171" t="s">
        <v>1879</v>
      </c>
      <c r="P120" s="171" t="s">
        <v>1862</v>
      </c>
      <c r="Q120" s="171"/>
      <c r="R120" s="171"/>
      <c r="S120" s="171"/>
      <c r="T120" s="171" t="s">
        <v>1845</v>
      </c>
      <c r="U120" s="171"/>
      <c r="V120" s="171"/>
      <c r="W120" s="131"/>
      <c r="X120" s="132" t="s">
        <v>1845</v>
      </c>
      <c r="Y120" s="132"/>
      <c r="Z120" s="171"/>
      <c r="AA120" s="171"/>
      <c r="AB120" s="171"/>
      <c r="AC120" s="171"/>
      <c r="AD120" s="171"/>
      <c r="AE120" s="171"/>
      <c r="AF120" s="140"/>
      <c r="AG120" s="128"/>
      <c r="AH120" s="140"/>
      <c r="AI120" s="128"/>
      <c r="AJ120" s="137"/>
      <c r="AK120" s="140"/>
      <c r="AL120" s="140"/>
    </row>
    <row r="121" ht="15.75" customHeight="1">
      <c r="A121" s="151">
        <v>120.0</v>
      </c>
      <c r="B121" s="138">
        <f t="shared" si="12"/>
        <v>10120</v>
      </c>
      <c r="C121" s="179" t="s">
        <v>1840</v>
      </c>
      <c r="D121" s="150" t="s">
        <v>2099</v>
      </c>
      <c r="E121" s="189" t="s">
        <v>7</v>
      </c>
      <c r="F121" s="153" t="s">
        <v>2109</v>
      </c>
      <c r="G121" s="153" t="s">
        <v>224</v>
      </c>
      <c r="H121" s="191" t="s">
        <v>2110</v>
      </c>
      <c r="I121" s="129" t="s">
        <v>1906</v>
      </c>
      <c r="J121" s="143" t="s">
        <v>1844</v>
      </c>
      <c r="K121" s="129" t="s">
        <v>1844</v>
      </c>
      <c r="L121" s="132" t="s">
        <v>1844</v>
      </c>
      <c r="M121" s="132" t="s">
        <v>1844</v>
      </c>
      <c r="N121" s="131" t="s">
        <v>1844</v>
      </c>
      <c r="O121" s="171" t="s">
        <v>1844</v>
      </c>
      <c r="P121" s="171" t="s">
        <v>1844</v>
      </c>
      <c r="Q121" s="171"/>
      <c r="R121" s="171"/>
      <c r="S121" s="171"/>
      <c r="T121" s="171"/>
      <c r="U121" s="171"/>
      <c r="V121" s="171"/>
      <c r="W121" s="131"/>
      <c r="X121" s="132"/>
      <c r="Y121" s="132"/>
      <c r="Z121" s="171"/>
      <c r="AA121" s="171"/>
      <c r="AB121" s="171"/>
      <c r="AC121" s="171"/>
      <c r="AD121" s="171"/>
      <c r="AE121" s="171"/>
      <c r="AF121" s="140"/>
      <c r="AG121" s="128"/>
      <c r="AH121" s="140"/>
      <c r="AI121" s="128"/>
      <c r="AJ121" s="137"/>
      <c r="AK121" s="140"/>
      <c r="AL121" s="140"/>
    </row>
    <row r="122" ht="15.75" customHeight="1">
      <c r="A122" s="151">
        <v>121.0</v>
      </c>
      <c r="B122" s="123" t="s">
        <v>1742</v>
      </c>
      <c r="C122" s="179" t="s">
        <v>1840</v>
      </c>
      <c r="D122" s="150" t="s">
        <v>2099</v>
      </c>
      <c r="E122" s="151" t="s">
        <v>7</v>
      </c>
      <c r="F122" s="201" t="s">
        <v>2111</v>
      </c>
      <c r="G122" s="153" t="s">
        <v>226</v>
      </c>
      <c r="H122" s="191" t="s">
        <v>2112</v>
      </c>
      <c r="I122" s="129" t="s">
        <v>1906</v>
      </c>
      <c r="J122" s="143" t="s">
        <v>1844</v>
      </c>
      <c r="K122" s="172" t="s">
        <v>1844</v>
      </c>
      <c r="L122" s="132" t="s">
        <v>1844</v>
      </c>
      <c r="M122" s="132" t="s">
        <v>1844</v>
      </c>
      <c r="N122" s="131" t="s">
        <v>1844</v>
      </c>
      <c r="O122" s="171" t="s">
        <v>1844</v>
      </c>
      <c r="P122" s="171" t="s">
        <v>1844</v>
      </c>
      <c r="Q122" s="171" t="s">
        <v>1845</v>
      </c>
      <c r="R122" s="171"/>
      <c r="S122" s="171"/>
      <c r="T122" s="171"/>
      <c r="U122" s="171"/>
      <c r="V122" s="171" t="s">
        <v>1845</v>
      </c>
      <c r="W122" s="131"/>
      <c r="X122" s="132"/>
      <c r="Y122" s="132"/>
      <c r="Z122" s="171"/>
      <c r="AA122" s="171"/>
      <c r="AB122" s="171"/>
      <c r="AC122" s="171"/>
      <c r="AD122" s="171"/>
      <c r="AE122" s="171"/>
      <c r="AF122" s="140"/>
      <c r="AG122" s="140"/>
      <c r="AH122" s="140"/>
      <c r="AI122" s="128"/>
      <c r="AJ122" s="137"/>
      <c r="AK122" s="140"/>
      <c r="AL122" s="140"/>
    </row>
    <row r="123" ht="15.75" customHeight="1">
      <c r="A123" s="125">
        <v>122.0</v>
      </c>
      <c r="B123" s="123" t="s">
        <v>1742</v>
      </c>
      <c r="C123" s="124" t="s">
        <v>1840</v>
      </c>
      <c r="D123" s="122" t="s">
        <v>2099</v>
      </c>
      <c r="E123" s="174" t="s">
        <v>7</v>
      </c>
      <c r="F123" s="126" t="s">
        <v>2113</v>
      </c>
      <c r="G123" s="175" t="s">
        <v>228</v>
      </c>
      <c r="H123" s="191" t="s">
        <v>2114</v>
      </c>
      <c r="I123" s="129" t="s">
        <v>1906</v>
      </c>
      <c r="J123" s="143" t="s">
        <v>1844</v>
      </c>
      <c r="K123" s="172" t="s">
        <v>1844</v>
      </c>
      <c r="L123" s="132" t="s">
        <v>1844</v>
      </c>
      <c r="M123" s="132" t="s">
        <v>1844</v>
      </c>
      <c r="N123" s="131" t="s">
        <v>1844</v>
      </c>
      <c r="O123" s="129" t="s">
        <v>1844</v>
      </c>
      <c r="P123" s="129" t="s">
        <v>1844</v>
      </c>
      <c r="Q123" s="129" t="s">
        <v>1845</v>
      </c>
      <c r="R123" s="129"/>
      <c r="S123" s="171"/>
      <c r="T123" s="171"/>
      <c r="U123" s="171"/>
      <c r="V123" s="171"/>
      <c r="W123" s="131"/>
      <c r="X123" s="132"/>
      <c r="Y123" s="132"/>
      <c r="Z123" s="171"/>
      <c r="AA123" s="171"/>
      <c r="AB123" s="171"/>
      <c r="AC123" s="171"/>
      <c r="AD123" s="171"/>
      <c r="AE123" s="171"/>
      <c r="AF123" s="140"/>
      <c r="AG123" s="140"/>
      <c r="AH123" s="140"/>
      <c r="AI123" s="128"/>
      <c r="AJ123" s="137"/>
      <c r="AK123" s="140"/>
      <c r="AL123" s="140"/>
    </row>
    <row r="124" ht="15.75" customHeight="1">
      <c r="A124" s="151">
        <v>123.0</v>
      </c>
      <c r="B124" s="138">
        <f t="shared" ref="B124:B130" si="13">SUM(A124+10000)</f>
        <v>10123</v>
      </c>
      <c r="C124" s="179" t="s">
        <v>1840</v>
      </c>
      <c r="D124" s="150" t="s">
        <v>2099</v>
      </c>
      <c r="E124" s="151" t="s">
        <v>7</v>
      </c>
      <c r="F124" s="201" t="s">
        <v>2115</v>
      </c>
      <c r="G124" s="153" t="s">
        <v>230</v>
      </c>
      <c r="H124" s="191" t="s">
        <v>2116</v>
      </c>
      <c r="I124" s="129" t="s">
        <v>1906</v>
      </c>
      <c r="J124" s="143" t="s">
        <v>1844</v>
      </c>
      <c r="K124" s="129" t="s">
        <v>1844</v>
      </c>
      <c r="L124" s="132" t="s">
        <v>1844</v>
      </c>
      <c r="M124" s="132" t="s">
        <v>1844</v>
      </c>
      <c r="N124" s="131" t="s">
        <v>1844</v>
      </c>
      <c r="O124" s="129" t="s">
        <v>1844</v>
      </c>
      <c r="P124" s="129" t="s">
        <v>1844</v>
      </c>
      <c r="Q124" s="129"/>
      <c r="R124" s="129"/>
      <c r="S124" s="129" t="s">
        <v>1845</v>
      </c>
      <c r="T124" s="171"/>
      <c r="U124" s="171"/>
      <c r="V124" s="171"/>
      <c r="W124" s="131"/>
      <c r="X124" s="132"/>
      <c r="Y124" s="132"/>
      <c r="Z124" s="171"/>
      <c r="AA124" s="171"/>
      <c r="AB124" s="171"/>
      <c r="AC124" s="171"/>
      <c r="AD124" s="171"/>
      <c r="AE124" s="171"/>
      <c r="AF124" s="140"/>
      <c r="AG124" s="140"/>
      <c r="AH124" s="140"/>
      <c r="AI124" s="128"/>
      <c r="AJ124" s="137"/>
      <c r="AK124" s="140"/>
      <c r="AL124" s="140"/>
    </row>
    <row r="125" ht="15.75" customHeight="1">
      <c r="A125" s="125">
        <v>124.0</v>
      </c>
      <c r="B125" s="138">
        <f t="shared" si="13"/>
        <v>10124</v>
      </c>
      <c r="C125" s="124" t="s">
        <v>1840</v>
      </c>
      <c r="D125" s="122" t="s">
        <v>2099</v>
      </c>
      <c r="E125" s="174" t="s">
        <v>7</v>
      </c>
      <c r="F125" s="126" t="s">
        <v>2117</v>
      </c>
      <c r="G125" s="175" t="s">
        <v>232</v>
      </c>
      <c r="H125" s="191" t="s">
        <v>2118</v>
      </c>
      <c r="I125" s="129" t="s">
        <v>1843</v>
      </c>
      <c r="J125" s="143" t="s">
        <v>1844</v>
      </c>
      <c r="K125" s="129" t="s">
        <v>1844</v>
      </c>
      <c r="L125" s="132" t="s">
        <v>1844</v>
      </c>
      <c r="M125" s="132" t="s">
        <v>1844</v>
      </c>
      <c r="N125" s="131" t="s">
        <v>1844</v>
      </c>
      <c r="O125" s="171" t="s">
        <v>1844</v>
      </c>
      <c r="P125" s="171" t="s">
        <v>1844</v>
      </c>
      <c r="Q125" s="171"/>
      <c r="R125" s="171"/>
      <c r="S125" s="171" t="s">
        <v>1845</v>
      </c>
      <c r="T125" s="171" t="s">
        <v>1845</v>
      </c>
      <c r="U125" s="171"/>
      <c r="V125" s="171"/>
      <c r="W125" s="131"/>
      <c r="X125" s="132"/>
      <c r="Y125" s="132"/>
      <c r="Z125" s="171"/>
      <c r="AA125" s="171"/>
      <c r="AB125" s="171"/>
      <c r="AC125" s="171"/>
      <c r="AD125" s="171"/>
      <c r="AE125" s="171"/>
      <c r="AF125" s="140"/>
      <c r="AG125" s="140"/>
      <c r="AH125" s="140"/>
      <c r="AI125" s="128"/>
      <c r="AJ125" s="137"/>
      <c r="AK125" s="140"/>
      <c r="AL125" s="140"/>
    </row>
    <row r="126" ht="15.75" customHeight="1">
      <c r="A126" s="151">
        <v>125.0</v>
      </c>
      <c r="B126" s="138">
        <f t="shared" si="13"/>
        <v>10125</v>
      </c>
      <c r="C126" s="179" t="s">
        <v>1840</v>
      </c>
      <c r="D126" s="150" t="s">
        <v>2099</v>
      </c>
      <c r="E126" s="195" t="s">
        <v>20</v>
      </c>
      <c r="F126" s="152" t="s">
        <v>2119</v>
      </c>
      <c r="G126" s="210" t="s">
        <v>234</v>
      </c>
      <c r="H126" s="191" t="s">
        <v>2120</v>
      </c>
      <c r="I126" s="129" t="s">
        <v>1843</v>
      </c>
      <c r="J126" s="130" t="s">
        <v>1844</v>
      </c>
      <c r="K126" s="129" t="s">
        <v>1844</v>
      </c>
      <c r="L126" s="129" t="s">
        <v>1844</v>
      </c>
      <c r="M126" s="129" t="s">
        <v>1845</v>
      </c>
      <c r="N126" s="131" t="s">
        <v>1844</v>
      </c>
      <c r="O126" s="131" t="s">
        <v>1844</v>
      </c>
      <c r="P126" s="131" t="s">
        <v>1862</v>
      </c>
      <c r="Q126" s="131"/>
      <c r="R126" s="131"/>
      <c r="S126" s="171"/>
      <c r="T126" s="171"/>
      <c r="U126" s="171"/>
      <c r="V126" s="171"/>
      <c r="W126" s="131" t="s">
        <v>1845</v>
      </c>
      <c r="X126" s="132"/>
      <c r="Y126" s="132"/>
      <c r="Z126" s="171"/>
      <c r="AA126" s="171"/>
      <c r="AB126" s="171"/>
      <c r="AC126" s="171"/>
      <c r="AD126" s="171"/>
      <c r="AE126" s="171"/>
      <c r="AF126" s="140"/>
      <c r="AG126" s="140"/>
      <c r="AH126" s="140"/>
      <c r="AI126" s="128"/>
      <c r="AJ126" s="137"/>
      <c r="AK126" s="140"/>
      <c r="AL126" s="140"/>
    </row>
    <row r="127" ht="15.75" customHeight="1">
      <c r="A127" s="151">
        <v>126.0</v>
      </c>
      <c r="B127" s="138">
        <f t="shared" si="13"/>
        <v>10126</v>
      </c>
      <c r="C127" s="179" t="s">
        <v>1840</v>
      </c>
      <c r="D127" s="150" t="s">
        <v>2099</v>
      </c>
      <c r="E127" s="195" t="s">
        <v>7</v>
      </c>
      <c r="F127" s="152" t="s">
        <v>2121</v>
      </c>
      <c r="G127" s="210" t="s">
        <v>236</v>
      </c>
      <c r="H127" s="191" t="s">
        <v>2122</v>
      </c>
      <c r="I127" s="129" t="s">
        <v>1843</v>
      </c>
      <c r="J127" s="130" t="s">
        <v>1844</v>
      </c>
      <c r="K127" s="129" t="s">
        <v>1844</v>
      </c>
      <c r="L127" s="129" t="s">
        <v>1844</v>
      </c>
      <c r="M127" s="129" t="s">
        <v>1844</v>
      </c>
      <c r="N127" s="131" t="s">
        <v>1844</v>
      </c>
      <c r="O127" s="131" t="s">
        <v>1844</v>
      </c>
      <c r="P127" s="131" t="s">
        <v>1844</v>
      </c>
      <c r="Q127" s="131"/>
      <c r="R127" s="131"/>
      <c r="S127" s="131" t="s">
        <v>1845</v>
      </c>
      <c r="T127" s="171"/>
      <c r="U127" s="171"/>
      <c r="V127" s="171"/>
      <c r="W127" s="131"/>
      <c r="X127" s="132"/>
      <c r="Y127" s="132"/>
      <c r="Z127" s="171"/>
      <c r="AA127" s="171"/>
      <c r="AB127" s="171"/>
      <c r="AC127" s="171"/>
      <c r="AD127" s="171"/>
      <c r="AE127" s="171"/>
      <c r="AF127" s="140"/>
      <c r="AG127" s="140"/>
      <c r="AH127" s="140"/>
      <c r="AI127" s="128"/>
      <c r="AJ127" s="137"/>
      <c r="AK127" s="140"/>
      <c r="AL127" s="140"/>
    </row>
    <row r="128" ht="15.75" customHeight="1">
      <c r="A128" s="125">
        <v>127.0</v>
      </c>
      <c r="B128" s="138">
        <f t="shared" si="13"/>
        <v>10127</v>
      </c>
      <c r="C128" s="124" t="s">
        <v>1840</v>
      </c>
      <c r="D128" s="122" t="s">
        <v>2099</v>
      </c>
      <c r="E128" s="174" t="s">
        <v>34</v>
      </c>
      <c r="F128" s="126" t="s">
        <v>2123</v>
      </c>
      <c r="G128" s="175" t="s">
        <v>238</v>
      </c>
      <c r="H128" s="191" t="s">
        <v>2124</v>
      </c>
      <c r="I128" s="129" t="s">
        <v>1843</v>
      </c>
      <c r="J128" s="143" t="s">
        <v>1902</v>
      </c>
      <c r="K128" s="129" t="s">
        <v>1877</v>
      </c>
      <c r="L128" s="132" t="s">
        <v>1878</v>
      </c>
      <c r="M128" s="132" t="s">
        <v>1845</v>
      </c>
      <c r="N128" s="131">
        <v>1.0</v>
      </c>
      <c r="O128" s="171" t="s">
        <v>1879</v>
      </c>
      <c r="P128" s="171" t="s">
        <v>1862</v>
      </c>
      <c r="Q128" s="171"/>
      <c r="R128" s="171"/>
      <c r="S128" s="171"/>
      <c r="T128" s="171"/>
      <c r="U128" s="171"/>
      <c r="V128" s="171"/>
      <c r="W128" s="131"/>
      <c r="X128" s="132" t="s">
        <v>1845</v>
      </c>
      <c r="Y128" s="132"/>
      <c r="Z128" s="171"/>
      <c r="AA128" s="171"/>
      <c r="AB128" s="171"/>
      <c r="AC128" s="171"/>
      <c r="AD128" s="171"/>
      <c r="AE128" s="171"/>
      <c r="AF128" s="140"/>
      <c r="AG128" s="140"/>
      <c r="AH128" s="140"/>
      <c r="AI128" s="128"/>
      <c r="AJ128" s="137"/>
      <c r="AK128" s="140"/>
      <c r="AL128" s="140"/>
    </row>
    <row r="129" ht="15.75" customHeight="1">
      <c r="A129" s="151">
        <v>128.0</v>
      </c>
      <c r="B129" s="138">
        <f t="shared" si="13"/>
        <v>10128</v>
      </c>
      <c r="C129" s="179" t="s">
        <v>1840</v>
      </c>
      <c r="D129" s="150" t="s">
        <v>2125</v>
      </c>
      <c r="E129" s="195" t="s">
        <v>27</v>
      </c>
      <c r="F129" s="152" t="s">
        <v>2126</v>
      </c>
      <c r="G129" s="210" t="s">
        <v>240</v>
      </c>
      <c r="H129" s="191" t="s">
        <v>2127</v>
      </c>
      <c r="I129" s="129" t="s">
        <v>1843</v>
      </c>
      <c r="J129" s="143" t="s">
        <v>1844</v>
      </c>
      <c r="K129" s="129" t="s">
        <v>1844</v>
      </c>
      <c r="L129" s="132" t="s">
        <v>1844</v>
      </c>
      <c r="M129" s="132" t="s">
        <v>1845</v>
      </c>
      <c r="N129" s="131" t="s">
        <v>1844</v>
      </c>
      <c r="O129" s="171" t="s">
        <v>1844</v>
      </c>
      <c r="P129" s="171" t="s">
        <v>1862</v>
      </c>
      <c r="Q129" s="171"/>
      <c r="R129" s="171"/>
      <c r="S129" s="171"/>
      <c r="T129" s="171"/>
      <c r="U129" s="171"/>
      <c r="V129" s="171"/>
      <c r="W129" s="131" t="s">
        <v>1845</v>
      </c>
      <c r="X129" s="132"/>
      <c r="Y129" s="132"/>
      <c r="Z129" s="171"/>
      <c r="AA129" s="171"/>
      <c r="AB129" s="171"/>
      <c r="AC129" s="171"/>
      <c r="AD129" s="171"/>
      <c r="AE129" s="171"/>
      <c r="AF129" s="140"/>
      <c r="AG129" s="140"/>
      <c r="AH129" s="140"/>
      <c r="AI129" s="128"/>
      <c r="AJ129" s="137"/>
      <c r="AK129" s="140"/>
      <c r="AL129" s="140"/>
    </row>
    <row r="130" ht="15.75" customHeight="1">
      <c r="A130" s="125">
        <v>129.0</v>
      </c>
      <c r="B130" s="138">
        <f t="shared" si="13"/>
        <v>10129</v>
      </c>
      <c r="C130" s="124" t="s">
        <v>1840</v>
      </c>
      <c r="D130" s="122" t="s">
        <v>1841</v>
      </c>
      <c r="E130" s="174" t="s">
        <v>34</v>
      </c>
      <c r="F130" s="126" t="s">
        <v>2128</v>
      </c>
      <c r="G130" s="175" t="s">
        <v>242</v>
      </c>
      <c r="H130" s="194" t="s">
        <v>2129</v>
      </c>
      <c r="I130" s="129" t="s">
        <v>1843</v>
      </c>
      <c r="J130" s="143" t="s">
        <v>1876</v>
      </c>
      <c r="K130" s="129" t="s">
        <v>1877</v>
      </c>
      <c r="L130" s="132" t="s">
        <v>1844</v>
      </c>
      <c r="M130" s="132" t="s">
        <v>1845</v>
      </c>
      <c r="N130" s="131" t="s">
        <v>1903</v>
      </c>
      <c r="O130" s="171" t="s">
        <v>1879</v>
      </c>
      <c r="P130" s="171" t="s">
        <v>1895</v>
      </c>
      <c r="Q130" s="171"/>
      <c r="R130" s="171"/>
      <c r="S130" s="171" t="s">
        <v>1845</v>
      </c>
      <c r="T130" s="171"/>
      <c r="U130" s="171"/>
      <c r="V130" s="171"/>
      <c r="W130" s="131"/>
      <c r="X130" s="132"/>
      <c r="Y130" s="132"/>
      <c r="Z130" s="171"/>
      <c r="AA130" s="171"/>
      <c r="AB130" s="171"/>
      <c r="AC130" s="171"/>
      <c r="AD130" s="171"/>
      <c r="AE130" s="171"/>
      <c r="AF130" s="140"/>
      <c r="AG130" s="128"/>
      <c r="AH130" s="140"/>
      <c r="AI130" s="128"/>
      <c r="AJ130" s="137"/>
      <c r="AK130" s="140"/>
      <c r="AL130" s="140"/>
    </row>
    <row r="131" ht="15.75" customHeight="1">
      <c r="A131" s="160">
        <v>130.0</v>
      </c>
      <c r="B131" s="157" t="s">
        <v>1742</v>
      </c>
      <c r="C131" s="159" t="s">
        <v>1873</v>
      </c>
      <c r="D131" s="157" t="s">
        <v>2125</v>
      </c>
      <c r="E131" s="199" t="s">
        <v>34</v>
      </c>
      <c r="F131" s="161" t="s">
        <v>2130</v>
      </c>
      <c r="G131" s="200" t="s">
        <v>2131</v>
      </c>
      <c r="H131" s="192" t="s">
        <v>1973</v>
      </c>
      <c r="I131" s="164" t="s">
        <v>1843</v>
      </c>
      <c r="J131" s="184" t="s">
        <v>1876</v>
      </c>
      <c r="K131" s="177" t="s">
        <v>1877</v>
      </c>
      <c r="L131" s="168" t="s">
        <v>1878</v>
      </c>
      <c r="M131" s="168" t="s">
        <v>1845</v>
      </c>
      <c r="N131" s="166" t="s">
        <v>1903</v>
      </c>
      <c r="O131" s="164" t="s">
        <v>1879</v>
      </c>
      <c r="P131" s="167" t="s">
        <v>1862</v>
      </c>
      <c r="Q131" s="164" t="s">
        <v>1845</v>
      </c>
      <c r="R131" s="164"/>
      <c r="S131" s="164"/>
      <c r="T131" s="164"/>
      <c r="U131" s="164"/>
      <c r="V131" s="164"/>
      <c r="W131" s="168"/>
      <c r="X131" s="168"/>
      <c r="Y131" s="168"/>
      <c r="Z131" s="164"/>
      <c r="AA131" s="164"/>
      <c r="AB131" s="167"/>
      <c r="AC131" s="167"/>
      <c r="AD131" s="167"/>
      <c r="AE131" s="167"/>
      <c r="AF131" s="167"/>
      <c r="AG131" s="164"/>
      <c r="AH131" s="167"/>
      <c r="AI131" s="164"/>
      <c r="AJ131" s="169"/>
      <c r="AK131" s="167"/>
      <c r="AL131" s="167"/>
    </row>
    <row r="132" ht="15.75" customHeight="1">
      <c r="A132" s="125">
        <v>131.0</v>
      </c>
      <c r="B132" s="138">
        <f t="shared" ref="B132:B136" si="14">SUM(A132+10000)</f>
        <v>10131</v>
      </c>
      <c r="C132" s="124" t="s">
        <v>1840</v>
      </c>
      <c r="D132" s="122" t="s">
        <v>1841</v>
      </c>
      <c r="E132" s="174" t="s">
        <v>7</v>
      </c>
      <c r="F132" s="126" t="s">
        <v>2132</v>
      </c>
      <c r="G132" s="175" t="s">
        <v>246</v>
      </c>
      <c r="H132" s="191" t="s">
        <v>2133</v>
      </c>
      <c r="I132" s="129" t="s">
        <v>1906</v>
      </c>
      <c r="J132" s="143" t="s">
        <v>1844</v>
      </c>
      <c r="K132" s="129" t="s">
        <v>1844</v>
      </c>
      <c r="L132" s="132" t="s">
        <v>1844</v>
      </c>
      <c r="M132" s="132" t="s">
        <v>1844</v>
      </c>
      <c r="N132" s="131" t="s">
        <v>1844</v>
      </c>
      <c r="O132" s="171" t="s">
        <v>1844</v>
      </c>
      <c r="P132" s="171" t="s">
        <v>1844</v>
      </c>
      <c r="Q132" s="171"/>
      <c r="R132" s="171"/>
      <c r="S132" s="171"/>
      <c r="T132" s="171"/>
      <c r="U132" s="171" t="s">
        <v>1845</v>
      </c>
      <c r="V132" s="171"/>
      <c r="W132" s="131" t="s">
        <v>1845</v>
      </c>
      <c r="X132" s="132"/>
      <c r="Y132" s="132"/>
      <c r="Z132" s="171"/>
      <c r="AA132" s="171"/>
      <c r="AB132" s="129"/>
      <c r="AC132" s="129"/>
      <c r="AD132" s="129"/>
      <c r="AE132" s="129"/>
      <c r="AF132" s="128"/>
      <c r="AG132" s="140"/>
      <c r="AH132" s="140"/>
      <c r="AI132" s="128"/>
      <c r="AJ132" s="137"/>
      <c r="AK132" s="140"/>
      <c r="AL132" s="140"/>
    </row>
    <row r="133" ht="15.75" customHeight="1">
      <c r="A133" s="125">
        <v>132.0</v>
      </c>
      <c r="B133" s="138">
        <f t="shared" si="14"/>
        <v>10132</v>
      </c>
      <c r="C133" s="124" t="s">
        <v>1840</v>
      </c>
      <c r="D133" s="122" t="s">
        <v>1841</v>
      </c>
      <c r="E133" s="174" t="s">
        <v>34</v>
      </c>
      <c r="F133" s="126" t="s">
        <v>2134</v>
      </c>
      <c r="G133" s="175" t="s">
        <v>248</v>
      </c>
      <c r="H133" s="191" t="s">
        <v>2135</v>
      </c>
      <c r="I133" s="129" t="s">
        <v>1906</v>
      </c>
      <c r="J133" s="143" t="s">
        <v>1902</v>
      </c>
      <c r="K133" s="172" t="s">
        <v>1877</v>
      </c>
      <c r="L133" s="132" t="s">
        <v>1878</v>
      </c>
      <c r="M133" s="132" t="s">
        <v>1845</v>
      </c>
      <c r="N133" s="131">
        <v>1.0</v>
      </c>
      <c r="O133" s="171" t="s">
        <v>1879</v>
      </c>
      <c r="P133" s="171" t="s">
        <v>1862</v>
      </c>
      <c r="Q133" s="171"/>
      <c r="R133" s="171"/>
      <c r="S133" s="171"/>
      <c r="T133" s="171"/>
      <c r="U133" s="171" t="s">
        <v>1845</v>
      </c>
      <c r="V133" s="171"/>
      <c r="W133" s="131"/>
      <c r="X133" s="132"/>
      <c r="Y133" s="132"/>
      <c r="Z133" s="171"/>
      <c r="AA133" s="171"/>
      <c r="AB133" s="171"/>
      <c r="AC133" s="171"/>
      <c r="AD133" s="171"/>
      <c r="AE133" s="171"/>
      <c r="AF133" s="140"/>
      <c r="AG133" s="140"/>
      <c r="AH133" s="140"/>
      <c r="AI133" s="128"/>
      <c r="AJ133" s="137"/>
      <c r="AK133" s="140"/>
      <c r="AL133" s="140"/>
    </row>
    <row r="134" ht="15.75" customHeight="1">
      <c r="A134" s="151">
        <v>133.0</v>
      </c>
      <c r="B134" s="138">
        <f t="shared" si="14"/>
        <v>10133</v>
      </c>
      <c r="C134" s="179" t="s">
        <v>1840</v>
      </c>
      <c r="D134" s="150" t="s">
        <v>1841</v>
      </c>
      <c r="E134" s="195" t="s">
        <v>20</v>
      </c>
      <c r="F134" s="152" t="s">
        <v>2136</v>
      </c>
      <c r="G134" s="210" t="s">
        <v>250</v>
      </c>
      <c r="H134" s="191" t="s">
        <v>2137</v>
      </c>
      <c r="I134" s="129" t="s">
        <v>1906</v>
      </c>
      <c r="J134" s="130" t="s">
        <v>1844</v>
      </c>
      <c r="K134" s="172" t="s">
        <v>1844</v>
      </c>
      <c r="L134" s="129" t="s">
        <v>1844</v>
      </c>
      <c r="M134" s="129" t="s">
        <v>1845</v>
      </c>
      <c r="N134" s="171" t="s">
        <v>1844</v>
      </c>
      <c r="O134" s="171" t="s">
        <v>1844</v>
      </c>
      <c r="P134" s="171" t="s">
        <v>1862</v>
      </c>
      <c r="Q134" s="171"/>
      <c r="R134" s="171"/>
      <c r="S134" s="171"/>
      <c r="T134" s="171"/>
      <c r="U134" s="171" t="s">
        <v>1845</v>
      </c>
      <c r="V134" s="171"/>
      <c r="W134" s="171"/>
      <c r="X134" s="129"/>
      <c r="Y134" s="129"/>
      <c r="Z134" s="171"/>
      <c r="AA134" s="171"/>
      <c r="AB134" s="171"/>
      <c r="AC134" s="171"/>
      <c r="AD134" s="171"/>
      <c r="AE134" s="171"/>
      <c r="AF134" s="140"/>
      <c r="AG134" s="140"/>
      <c r="AH134" s="128"/>
      <c r="AI134" s="128"/>
      <c r="AJ134" s="137"/>
      <c r="AK134" s="140"/>
      <c r="AL134" s="140"/>
    </row>
    <row r="135" ht="15.75" customHeight="1">
      <c r="A135" s="160">
        <v>134.0</v>
      </c>
      <c r="B135" s="158">
        <f t="shared" si="14"/>
        <v>10134</v>
      </c>
      <c r="C135" s="159" t="s">
        <v>1873</v>
      </c>
      <c r="D135" s="157" t="s">
        <v>1841</v>
      </c>
      <c r="E135" s="199" t="s">
        <v>34</v>
      </c>
      <c r="F135" s="161" t="s">
        <v>2138</v>
      </c>
      <c r="G135" s="200" t="s">
        <v>252</v>
      </c>
      <c r="H135" s="192" t="s">
        <v>2139</v>
      </c>
      <c r="I135" s="164" t="s">
        <v>1843</v>
      </c>
      <c r="J135" s="184" t="s">
        <v>1876</v>
      </c>
      <c r="K135" s="164" t="s">
        <v>1877</v>
      </c>
      <c r="L135" s="168" t="s">
        <v>1878</v>
      </c>
      <c r="M135" s="168" t="s">
        <v>1845</v>
      </c>
      <c r="N135" s="166">
        <v>1.0</v>
      </c>
      <c r="O135" s="167" t="s">
        <v>1879</v>
      </c>
      <c r="P135" s="167" t="s">
        <v>1862</v>
      </c>
      <c r="Q135" s="167"/>
      <c r="R135" s="167"/>
      <c r="S135" s="167"/>
      <c r="T135" s="167"/>
      <c r="U135" s="167"/>
      <c r="V135" s="167"/>
      <c r="W135" s="166"/>
      <c r="X135" s="168"/>
      <c r="Y135" s="168"/>
      <c r="Z135" s="167"/>
      <c r="AA135" s="167"/>
      <c r="AB135" s="167"/>
      <c r="AC135" s="167"/>
      <c r="AD135" s="167"/>
      <c r="AE135" s="167"/>
      <c r="AF135" s="167"/>
      <c r="AG135" s="164"/>
      <c r="AH135" s="167"/>
      <c r="AI135" s="164"/>
      <c r="AJ135" s="169"/>
      <c r="AK135" s="167"/>
      <c r="AL135" s="167"/>
    </row>
    <row r="136" ht="15.75" customHeight="1">
      <c r="A136" s="125">
        <v>135.0</v>
      </c>
      <c r="B136" s="138">
        <f t="shared" si="14"/>
        <v>10135</v>
      </c>
      <c r="C136" s="124" t="s">
        <v>1840</v>
      </c>
      <c r="D136" s="122" t="s">
        <v>1841</v>
      </c>
      <c r="E136" s="174" t="s">
        <v>34</v>
      </c>
      <c r="F136" s="126" t="s">
        <v>2140</v>
      </c>
      <c r="G136" s="198" t="s">
        <v>2141</v>
      </c>
      <c r="H136" s="191" t="s">
        <v>2142</v>
      </c>
      <c r="I136" s="129" t="s">
        <v>1843</v>
      </c>
      <c r="J136" s="143" t="s">
        <v>1902</v>
      </c>
      <c r="K136" s="172" t="s">
        <v>1877</v>
      </c>
      <c r="L136" s="132" t="s">
        <v>1878</v>
      </c>
      <c r="M136" s="132" t="s">
        <v>1845</v>
      </c>
      <c r="N136" s="131">
        <v>1.0</v>
      </c>
      <c r="O136" s="171" t="s">
        <v>1879</v>
      </c>
      <c r="P136" s="171" t="s">
        <v>1895</v>
      </c>
      <c r="Q136" s="171"/>
      <c r="R136" s="171"/>
      <c r="S136" s="171"/>
      <c r="T136" s="171"/>
      <c r="U136" s="171"/>
      <c r="V136" s="171"/>
      <c r="W136" s="131"/>
      <c r="X136" s="132"/>
      <c r="Y136" s="132"/>
      <c r="Z136" s="171"/>
      <c r="AA136" s="171"/>
      <c r="AB136" s="171"/>
      <c r="AC136" s="171"/>
      <c r="AD136" s="171"/>
      <c r="AE136" s="171"/>
      <c r="AF136" s="140"/>
      <c r="AG136" s="140"/>
      <c r="AH136" s="140"/>
      <c r="AI136" s="128"/>
      <c r="AJ136" s="137"/>
      <c r="AK136" s="140"/>
      <c r="AL136" s="140"/>
    </row>
    <row r="137" ht="15.75" customHeight="1">
      <c r="A137" s="125">
        <v>136.0</v>
      </c>
      <c r="B137" s="123" t="s">
        <v>1742</v>
      </c>
      <c r="C137" s="124" t="s">
        <v>1840</v>
      </c>
      <c r="D137" s="122" t="s">
        <v>1841</v>
      </c>
      <c r="E137" s="174" t="s">
        <v>7</v>
      </c>
      <c r="F137" s="126" t="s">
        <v>2143</v>
      </c>
      <c r="G137" s="175" t="s">
        <v>256</v>
      </c>
      <c r="H137" s="191" t="s">
        <v>2144</v>
      </c>
      <c r="I137" s="129" t="s">
        <v>1843</v>
      </c>
      <c r="J137" s="143" t="s">
        <v>1844</v>
      </c>
      <c r="K137" s="129" t="s">
        <v>1844</v>
      </c>
      <c r="L137" s="132" t="s">
        <v>1844</v>
      </c>
      <c r="M137" s="132" t="s">
        <v>1844</v>
      </c>
      <c r="N137" s="131" t="s">
        <v>1844</v>
      </c>
      <c r="O137" s="171" t="s">
        <v>1844</v>
      </c>
      <c r="P137" s="171" t="s">
        <v>1844</v>
      </c>
      <c r="Q137" s="171" t="s">
        <v>1845</v>
      </c>
      <c r="R137" s="171"/>
      <c r="S137" s="171" t="s">
        <v>1845</v>
      </c>
      <c r="T137" s="171"/>
      <c r="U137" s="171"/>
      <c r="V137" s="171"/>
      <c r="W137" s="131"/>
      <c r="X137" s="132"/>
      <c r="Y137" s="132"/>
      <c r="Z137" s="171"/>
      <c r="AA137" s="171"/>
      <c r="AB137" s="171"/>
      <c r="AC137" s="171"/>
      <c r="AD137" s="171"/>
      <c r="AE137" s="171"/>
      <c r="AF137" s="140"/>
      <c r="AG137" s="140"/>
      <c r="AH137" s="140"/>
      <c r="AI137" s="128"/>
      <c r="AJ137" s="137"/>
      <c r="AK137" s="140"/>
      <c r="AL137" s="140"/>
    </row>
    <row r="138" ht="15.75" customHeight="1">
      <c r="A138" s="125">
        <v>137.0</v>
      </c>
      <c r="B138" s="138">
        <f t="shared" ref="B138:B143" si="15">SUM(A138+10000)</f>
        <v>10137</v>
      </c>
      <c r="C138" s="124" t="s">
        <v>1840</v>
      </c>
      <c r="D138" s="122" t="s">
        <v>1841</v>
      </c>
      <c r="E138" s="174" t="s">
        <v>34</v>
      </c>
      <c r="F138" s="126" t="s">
        <v>2145</v>
      </c>
      <c r="G138" s="175" t="s">
        <v>2146</v>
      </c>
      <c r="H138" s="194" t="s">
        <v>2147</v>
      </c>
      <c r="I138" s="129" t="s">
        <v>1843</v>
      </c>
      <c r="J138" s="143" t="s">
        <v>1902</v>
      </c>
      <c r="K138" s="172" t="s">
        <v>1877</v>
      </c>
      <c r="L138" s="132" t="s">
        <v>1844</v>
      </c>
      <c r="M138" s="132" t="s">
        <v>1845</v>
      </c>
      <c r="N138" s="131">
        <v>1.0</v>
      </c>
      <c r="O138" s="171" t="s">
        <v>1879</v>
      </c>
      <c r="P138" s="171" t="s">
        <v>1895</v>
      </c>
      <c r="Q138" s="171"/>
      <c r="R138" s="171"/>
      <c r="S138" s="171" t="s">
        <v>1845</v>
      </c>
      <c r="T138" s="171"/>
      <c r="U138" s="171"/>
      <c r="V138" s="171"/>
      <c r="W138" s="131"/>
      <c r="X138" s="132"/>
      <c r="Y138" s="132"/>
      <c r="Z138" s="171"/>
      <c r="AA138" s="171"/>
      <c r="AB138" s="171"/>
      <c r="AC138" s="171"/>
      <c r="AD138" s="171"/>
      <c r="AE138" s="171"/>
      <c r="AF138" s="140"/>
      <c r="AG138" s="128"/>
      <c r="AH138" s="140"/>
      <c r="AI138" s="128"/>
      <c r="AJ138" s="137"/>
      <c r="AK138" s="140"/>
      <c r="AL138" s="140"/>
    </row>
    <row r="139" ht="15.75" customHeight="1">
      <c r="A139" s="125">
        <v>138.0</v>
      </c>
      <c r="B139" s="138">
        <f t="shared" si="15"/>
        <v>10138</v>
      </c>
      <c r="C139" s="124" t="s">
        <v>1840</v>
      </c>
      <c r="D139" s="122" t="s">
        <v>1841</v>
      </c>
      <c r="E139" s="174" t="s">
        <v>27</v>
      </c>
      <c r="F139" s="126" t="s">
        <v>2148</v>
      </c>
      <c r="G139" s="175" t="s">
        <v>260</v>
      </c>
      <c r="H139" s="191" t="s">
        <v>2149</v>
      </c>
      <c r="I139" s="129" t="s">
        <v>1843</v>
      </c>
      <c r="J139" s="143" t="s">
        <v>1844</v>
      </c>
      <c r="K139" s="172" t="s">
        <v>1844</v>
      </c>
      <c r="L139" s="132" t="s">
        <v>1844</v>
      </c>
      <c r="M139" s="132" t="s">
        <v>1845</v>
      </c>
      <c r="N139" s="131" t="s">
        <v>1844</v>
      </c>
      <c r="O139" s="171" t="s">
        <v>1844</v>
      </c>
      <c r="P139" s="171" t="s">
        <v>1895</v>
      </c>
      <c r="Q139" s="171"/>
      <c r="R139" s="171"/>
      <c r="S139" s="171"/>
      <c r="T139" s="171"/>
      <c r="U139" s="171"/>
      <c r="V139" s="171"/>
      <c r="W139" s="131"/>
      <c r="X139" s="132"/>
      <c r="Y139" s="132"/>
      <c r="Z139" s="171"/>
      <c r="AA139" s="171"/>
      <c r="AB139" s="171"/>
      <c r="AC139" s="171"/>
      <c r="AD139" s="171"/>
      <c r="AE139" s="171"/>
      <c r="AF139" s="140"/>
      <c r="AG139" s="140"/>
      <c r="AH139" s="140"/>
      <c r="AI139" s="128"/>
      <c r="AJ139" s="137"/>
      <c r="AK139" s="140"/>
      <c r="AL139" s="140"/>
    </row>
    <row r="140" ht="15.75" customHeight="1">
      <c r="A140" s="151">
        <v>139.0</v>
      </c>
      <c r="B140" s="138">
        <f t="shared" si="15"/>
        <v>10139</v>
      </c>
      <c r="C140" s="179" t="s">
        <v>1840</v>
      </c>
      <c r="D140" s="150" t="s">
        <v>1841</v>
      </c>
      <c r="E140" s="195" t="s">
        <v>34</v>
      </c>
      <c r="F140" s="152" t="s">
        <v>2150</v>
      </c>
      <c r="G140" s="212" t="s">
        <v>2151</v>
      </c>
      <c r="H140" s="191" t="s">
        <v>2152</v>
      </c>
      <c r="I140" s="129" t="s">
        <v>1843</v>
      </c>
      <c r="J140" s="143" t="s">
        <v>1902</v>
      </c>
      <c r="K140" s="129" t="s">
        <v>1877</v>
      </c>
      <c r="L140" s="132" t="s">
        <v>1844</v>
      </c>
      <c r="M140" s="132" t="s">
        <v>1845</v>
      </c>
      <c r="N140" s="131" t="s">
        <v>1903</v>
      </c>
      <c r="O140" s="171" t="s">
        <v>1879</v>
      </c>
      <c r="P140" s="171" t="s">
        <v>1895</v>
      </c>
      <c r="Q140" s="171"/>
      <c r="R140" s="171"/>
      <c r="S140" s="171" t="s">
        <v>1845</v>
      </c>
      <c r="T140" s="171"/>
      <c r="U140" s="171"/>
      <c r="V140" s="171"/>
      <c r="W140" s="131"/>
      <c r="X140" s="132"/>
      <c r="Y140" s="132"/>
      <c r="Z140" s="171"/>
      <c r="AA140" s="171"/>
      <c r="AB140" s="171"/>
      <c r="AC140" s="171"/>
      <c r="AD140" s="171"/>
      <c r="AE140" s="171"/>
      <c r="AF140" s="140"/>
      <c r="AG140" s="140"/>
      <c r="AH140" s="140"/>
      <c r="AI140" s="128"/>
      <c r="AJ140" s="137"/>
      <c r="AK140" s="140"/>
      <c r="AL140" s="140"/>
    </row>
    <row r="141" ht="15.75" customHeight="1">
      <c r="A141" s="125">
        <v>140.0</v>
      </c>
      <c r="B141" s="138">
        <f t="shared" si="15"/>
        <v>10140</v>
      </c>
      <c r="C141" s="124" t="s">
        <v>1840</v>
      </c>
      <c r="D141" s="122" t="s">
        <v>2069</v>
      </c>
      <c r="E141" s="174" t="s">
        <v>7</v>
      </c>
      <c r="F141" s="213" t="s">
        <v>2153</v>
      </c>
      <c r="G141" s="212" t="s">
        <v>2154</v>
      </c>
      <c r="H141" s="191" t="s">
        <v>2155</v>
      </c>
      <c r="I141" s="129" t="s">
        <v>1906</v>
      </c>
      <c r="J141" s="143" t="s">
        <v>1844</v>
      </c>
      <c r="K141" s="172" t="s">
        <v>1844</v>
      </c>
      <c r="L141" s="132" t="s">
        <v>1844</v>
      </c>
      <c r="M141" s="132" t="s">
        <v>1844</v>
      </c>
      <c r="N141" s="131" t="s">
        <v>1844</v>
      </c>
      <c r="O141" s="171" t="s">
        <v>1844</v>
      </c>
      <c r="P141" s="171" t="s">
        <v>1844</v>
      </c>
      <c r="Q141" s="171"/>
      <c r="R141" s="171"/>
      <c r="S141" s="171" t="s">
        <v>1845</v>
      </c>
      <c r="T141" s="171"/>
      <c r="U141" s="171" t="s">
        <v>1845</v>
      </c>
      <c r="V141" s="171"/>
      <c r="W141" s="131"/>
      <c r="X141" s="132"/>
      <c r="Y141" s="132"/>
      <c r="Z141" s="171"/>
      <c r="AA141" s="171"/>
      <c r="AB141" s="171"/>
      <c r="AC141" s="171"/>
      <c r="AD141" s="171"/>
      <c r="AE141" s="171"/>
      <c r="AF141" s="140"/>
      <c r="AG141" s="140"/>
      <c r="AH141" s="140"/>
      <c r="AI141" s="128"/>
      <c r="AJ141" s="137"/>
      <c r="AK141" s="140"/>
      <c r="AL141" s="140"/>
    </row>
    <row r="142" ht="15.75" customHeight="1">
      <c r="A142" s="125">
        <v>141.0</v>
      </c>
      <c r="B142" s="138">
        <f t="shared" si="15"/>
        <v>10141</v>
      </c>
      <c r="C142" s="124" t="s">
        <v>1840</v>
      </c>
      <c r="D142" s="122" t="s">
        <v>2069</v>
      </c>
      <c r="E142" s="174" t="s">
        <v>34</v>
      </c>
      <c r="F142" s="126" t="s">
        <v>2156</v>
      </c>
      <c r="G142" s="175" t="s">
        <v>266</v>
      </c>
      <c r="H142" s="191" t="s">
        <v>2157</v>
      </c>
      <c r="I142" s="129" t="s">
        <v>1906</v>
      </c>
      <c r="J142" s="143" t="s">
        <v>1876</v>
      </c>
      <c r="K142" s="129" t="s">
        <v>1877</v>
      </c>
      <c r="L142" s="132" t="s">
        <v>1844</v>
      </c>
      <c r="M142" s="132" t="s">
        <v>1845</v>
      </c>
      <c r="N142" s="131" t="s">
        <v>1903</v>
      </c>
      <c r="O142" s="171" t="s">
        <v>1879</v>
      </c>
      <c r="P142" s="171" t="s">
        <v>1862</v>
      </c>
      <c r="Q142" s="171"/>
      <c r="R142" s="171"/>
      <c r="S142" s="171"/>
      <c r="T142" s="171"/>
      <c r="U142" s="171" t="s">
        <v>1845</v>
      </c>
      <c r="V142" s="171"/>
      <c r="W142" s="131"/>
      <c r="X142" s="132"/>
      <c r="Y142" s="132"/>
      <c r="Z142" s="171"/>
      <c r="AA142" s="171"/>
      <c r="AB142" s="171"/>
      <c r="AC142" s="171"/>
      <c r="AD142" s="171"/>
      <c r="AE142" s="171"/>
      <c r="AF142" s="140"/>
      <c r="AG142" s="140"/>
      <c r="AH142" s="140"/>
      <c r="AI142" s="128"/>
      <c r="AJ142" s="137"/>
      <c r="AK142" s="140"/>
      <c r="AL142" s="140"/>
    </row>
    <row r="143" ht="15.75" customHeight="1">
      <c r="A143" s="160">
        <v>142.0</v>
      </c>
      <c r="B143" s="158">
        <f t="shared" si="15"/>
        <v>10142</v>
      </c>
      <c r="C143" s="159" t="s">
        <v>1873</v>
      </c>
      <c r="D143" s="157" t="s">
        <v>2069</v>
      </c>
      <c r="E143" s="199" t="s">
        <v>34</v>
      </c>
      <c r="F143" s="161" t="s">
        <v>2158</v>
      </c>
      <c r="G143" s="200" t="s">
        <v>268</v>
      </c>
      <c r="H143" s="192" t="s">
        <v>2159</v>
      </c>
      <c r="I143" s="164" t="s">
        <v>1906</v>
      </c>
      <c r="J143" s="184" t="s">
        <v>1876</v>
      </c>
      <c r="K143" s="177" t="s">
        <v>1877</v>
      </c>
      <c r="L143" s="168" t="s">
        <v>1878</v>
      </c>
      <c r="M143" s="168" t="s">
        <v>1845</v>
      </c>
      <c r="N143" s="166" t="s">
        <v>1903</v>
      </c>
      <c r="O143" s="167" t="s">
        <v>1879</v>
      </c>
      <c r="P143" s="167" t="s">
        <v>1862</v>
      </c>
      <c r="Q143" s="167"/>
      <c r="R143" s="167"/>
      <c r="S143" s="167"/>
      <c r="T143" s="167"/>
      <c r="U143" s="167" t="s">
        <v>1845</v>
      </c>
      <c r="V143" s="167"/>
      <c r="W143" s="166"/>
      <c r="X143" s="168"/>
      <c r="Y143" s="168"/>
      <c r="Z143" s="167"/>
      <c r="AA143" s="167"/>
      <c r="AB143" s="167"/>
      <c r="AC143" s="167"/>
      <c r="AD143" s="167"/>
      <c r="AE143" s="167"/>
      <c r="AF143" s="167"/>
      <c r="AG143" s="164"/>
      <c r="AH143" s="167"/>
      <c r="AI143" s="164"/>
      <c r="AJ143" s="169"/>
      <c r="AK143" s="167"/>
      <c r="AL143" s="167"/>
    </row>
    <row r="144" ht="15.75" customHeight="1">
      <c r="A144" s="160">
        <v>143.0</v>
      </c>
      <c r="B144" s="157" t="s">
        <v>1742</v>
      </c>
      <c r="C144" s="159" t="s">
        <v>1873</v>
      </c>
      <c r="D144" s="157" t="s">
        <v>1841</v>
      </c>
      <c r="E144" s="199" t="s">
        <v>34</v>
      </c>
      <c r="F144" s="161" t="s">
        <v>2160</v>
      </c>
      <c r="G144" s="214" t="s">
        <v>2161</v>
      </c>
      <c r="H144" s="192" t="s">
        <v>2162</v>
      </c>
      <c r="I144" s="164" t="s">
        <v>1843</v>
      </c>
      <c r="J144" s="184" t="s">
        <v>1876</v>
      </c>
      <c r="K144" s="164" t="s">
        <v>1877</v>
      </c>
      <c r="L144" s="168" t="s">
        <v>1878</v>
      </c>
      <c r="M144" s="168" t="s">
        <v>1845</v>
      </c>
      <c r="N144" s="166">
        <v>1.0</v>
      </c>
      <c r="O144" s="167" t="s">
        <v>1879</v>
      </c>
      <c r="P144" s="167" t="s">
        <v>1895</v>
      </c>
      <c r="Q144" s="167" t="s">
        <v>1845</v>
      </c>
      <c r="R144" s="167"/>
      <c r="S144" s="167"/>
      <c r="T144" s="167"/>
      <c r="U144" s="167"/>
      <c r="V144" s="167"/>
      <c r="W144" s="166"/>
      <c r="X144" s="168"/>
      <c r="Y144" s="168"/>
      <c r="Z144" s="167"/>
      <c r="AA144" s="167"/>
      <c r="AB144" s="167"/>
      <c r="AC144" s="167"/>
      <c r="AD144" s="167"/>
      <c r="AE144" s="167"/>
      <c r="AF144" s="167"/>
      <c r="AG144" s="164"/>
      <c r="AH144" s="167"/>
      <c r="AI144" s="164"/>
      <c r="AJ144" s="169"/>
      <c r="AK144" s="167"/>
      <c r="AL144" s="167"/>
    </row>
    <row r="145" ht="15.75" customHeight="1">
      <c r="A145" s="160">
        <v>144.0</v>
      </c>
      <c r="B145" s="158">
        <f>SUM(A145+10000)</f>
        <v>10144</v>
      </c>
      <c r="C145" s="159" t="s">
        <v>1873</v>
      </c>
      <c r="D145" s="157" t="s">
        <v>1841</v>
      </c>
      <c r="E145" s="199" t="s">
        <v>34</v>
      </c>
      <c r="F145" s="161" t="s">
        <v>2163</v>
      </c>
      <c r="G145" s="200" t="s">
        <v>272</v>
      </c>
      <c r="H145" s="192" t="s">
        <v>2164</v>
      </c>
      <c r="I145" s="164" t="s">
        <v>1843</v>
      </c>
      <c r="J145" s="184" t="s">
        <v>1876</v>
      </c>
      <c r="K145" s="177" t="s">
        <v>1877</v>
      </c>
      <c r="L145" s="168" t="s">
        <v>1878</v>
      </c>
      <c r="M145" s="168" t="s">
        <v>1845</v>
      </c>
      <c r="N145" s="166">
        <v>1.0</v>
      </c>
      <c r="O145" s="167" t="s">
        <v>1879</v>
      </c>
      <c r="P145" s="167" t="s">
        <v>1895</v>
      </c>
      <c r="Q145" s="167"/>
      <c r="R145" s="167"/>
      <c r="S145" s="167" t="s">
        <v>1845</v>
      </c>
      <c r="T145" s="167"/>
      <c r="U145" s="167"/>
      <c r="V145" s="167"/>
      <c r="W145" s="166"/>
      <c r="X145" s="168"/>
      <c r="Y145" s="168"/>
      <c r="Z145" s="167"/>
      <c r="AA145" s="167"/>
      <c r="AB145" s="167"/>
      <c r="AC145" s="167"/>
      <c r="AD145" s="167"/>
      <c r="AE145" s="167"/>
      <c r="AF145" s="167"/>
      <c r="AG145" s="164"/>
      <c r="AH145" s="167"/>
      <c r="AI145" s="164"/>
      <c r="AJ145" s="169"/>
      <c r="AK145" s="167"/>
      <c r="AL145" s="167"/>
    </row>
    <row r="146" ht="15.75" customHeight="1">
      <c r="A146" s="125">
        <v>145.0</v>
      </c>
      <c r="B146" s="123" t="s">
        <v>1742</v>
      </c>
      <c r="C146" s="124" t="s">
        <v>1840</v>
      </c>
      <c r="D146" s="122" t="s">
        <v>2125</v>
      </c>
      <c r="E146" s="174" t="s">
        <v>7</v>
      </c>
      <c r="F146" s="126" t="s">
        <v>2165</v>
      </c>
      <c r="G146" s="175" t="s">
        <v>2166</v>
      </c>
      <c r="H146" s="191" t="s">
        <v>2167</v>
      </c>
      <c r="I146" s="129" t="s">
        <v>1843</v>
      </c>
      <c r="J146" s="143" t="s">
        <v>1844</v>
      </c>
      <c r="K146" s="172" t="s">
        <v>1844</v>
      </c>
      <c r="L146" s="132" t="s">
        <v>1844</v>
      </c>
      <c r="M146" s="132" t="s">
        <v>1844</v>
      </c>
      <c r="N146" s="131" t="s">
        <v>1844</v>
      </c>
      <c r="O146" s="171" t="s">
        <v>1844</v>
      </c>
      <c r="P146" s="171" t="s">
        <v>1844</v>
      </c>
      <c r="Q146" s="171" t="s">
        <v>1845</v>
      </c>
      <c r="R146" s="171"/>
      <c r="S146" s="171" t="s">
        <v>1845</v>
      </c>
      <c r="T146" s="171"/>
      <c r="U146" s="171"/>
      <c r="V146" s="171"/>
      <c r="W146" s="131"/>
      <c r="X146" s="132"/>
      <c r="Y146" s="132"/>
      <c r="Z146" s="171"/>
      <c r="AA146" s="171"/>
      <c r="AB146" s="171"/>
      <c r="AC146" s="171"/>
      <c r="AD146" s="171"/>
      <c r="AE146" s="171"/>
      <c r="AF146" s="140"/>
      <c r="AG146" s="140"/>
      <c r="AH146" s="140"/>
      <c r="AI146" s="128"/>
      <c r="AJ146" s="137"/>
      <c r="AK146" s="140"/>
      <c r="AL146" s="140"/>
    </row>
    <row r="147" ht="15.75" customHeight="1">
      <c r="A147" s="151">
        <v>146.0</v>
      </c>
      <c r="B147" s="138">
        <f t="shared" ref="B147:B148" si="16">SUM(A147+10000)</f>
        <v>10146</v>
      </c>
      <c r="C147" s="179" t="s">
        <v>1840</v>
      </c>
      <c r="D147" s="150" t="s">
        <v>2099</v>
      </c>
      <c r="E147" s="195" t="s">
        <v>20</v>
      </c>
      <c r="F147" s="152" t="s">
        <v>2168</v>
      </c>
      <c r="G147" s="201" t="s">
        <v>2169</v>
      </c>
      <c r="H147" s="191" t="s">
        <v>2170</v>
      </c>
      <c r="I147" s="129" t="s">
        <v>1843</v>
      </c>
      <c r="J147" s="143" t="s">
        <v>1844</v>
      </c>
      <c r="K147" s="172" t="s">
        <v>1844</v>
      </c>
      <c r="L147" s="132" t="s">
        <v>1844</v>
      </c>
      <c r="M147" s="132" t="s">
        <v>1845</v>
      </c>
      <c r="N147" s="131" t="s">
        <v>1844</v>
      </c>
      <c r="O147" s="171" t="s">
        <v>1844</v>
      </c>
      <c r="P147" s="171" t="s">
        <v>1862</v>
      </c>
      <c r="Q147" s="171"/>
      <c r="R147" s="171"/>
      <c r="S147" s="171" t="s">
        <v>1845</v>
      </c>
      <c r="T147" s="171"/>
      <c r="U147" s="171"/>
      <c r="V147" s="171"/>
      <c r="W147" s="131"/>
      <c r="X147" s="132" t="s">
        <v>1845</v>
      </c>
      <c r="Y147" s="132"/>
      <c r="Z147" s="171"/>
      <c r="AA147" s="171"/>
      <c r="AB147" s="171"/>
      <c r="AC147" s="171"/>
      <c r="AD147" s="171"/>
      <c r="AE147" s="171"/>
      <c r="AF147" s="140"/>
      <c r="AG147" s="140"/>
      <c r="AH147" s="140"/>
      <c r="AI147" s="128"/>
      <c r="AJ147" s="137"/>
      <c r="AK147" s="140"/>
      <c r="AL147" s="140"/>
    </row>
    <row r="148" ht="15.75" customHeight="1">
      <c r="A148" s="125">
        <v>147.0</v>
      </c>
      <c r="B148" s="138">
        <f t="shared" si="16"/>
        <v>10147</v>
      </c>
      <c r="C148" s="124" t="s">
        <v>1840</v>
      </c>
      <c r="D148" s="122" t="s">
        <v>2099</v>
      </c>
      <c r="E148" s="174" t="s">
        <v>20</v>
      </c>
      <c r="F148" s="127" t="s">
        <v>2171</v>
      </c>
      <c r="G148" s="126" t="s">
        <v>278</v>
      </c>
      <c r="H148" s="206" t="s">
        <v>2172</v>
      </c>
      <c r="I148" s="129" t="s">
        <v>2018</v>
      </c>
      <c r="J148" s="143" t="s">
        <v>1844</v>
      </c>
      <c r="K148" s="172" t="s">
        <v>1844</v>
      </c>
      <c r="L148" s="132" t="s">
        <v>1844</v>
      </c>
      <c r="M148" s="132" t="s">
        <v>1845</v>
      </c>
      <c r="N148" s="131" t="s">
        <v>1844</v>
      </c>
      <c r="O148" s="171" t="s">
        <v>1844</v>
      </c>
      <c r="P148" s="171" t="s">
        <v>1862</v>
      </c>
      <c r="Q148" s="171"/>
      <c r="R148" s="171"/>
      <c r="S148" s="171"/>
      <c r="T148" s="171"/>
      <c r="U148" s="171"/>
      <c r="V148" s="171"/>
      <c r="W148" s="131"/>
      <c r="X148" s="132"/>
      <c r="Y148" s="132"/>
      <c r="Z148" s="171"/>
      <c r="AA148" s="171"/>
      <c r="AB148" s="171"/>
      <c r="AC148" s="171"/>
      <c r="AD148" s="171"/>
      <c r="AE148" s="171"/>
      <c r="AF148" s="140"/>
      <c r="AG148" s="140"/>
      <c r="AH148" s="140"/>
      <c r="AI148" s="128"/>
      <c r="AJ148" s="137"/>
      <c r="AK148" s="140"/>
      <c r="AL148" s="140"/>
    </row>
    <row r="149" ht="15.75" customHeight="1">
      <c r="A149" s="125">
        <v>148.0</v>
      </c>
      <c r="B149" s="123" t="s">
        <v>1742</v>
      </c>
      <c r="C149" s="124" t="s">
        <v>1840</v>
      </c>
      <c r="D149" s="122" t="s">
        <v>2099</v>
      </c>
      <c r="E149" s="174" t="s">
        <v>7</v>
      </c>
      <c r="F149" s="127" t="s">
        <v>2173</v>
      </c>
      <c r="G149" s="126" t="s">
        <v>2174</v>
      </c>
      <c r="H149" s="206" t="s">
        <v>2175</v>
      </c>
      <c r="I149" s="129" t="s">
        <v>1843</v>
      </c>
      <c r="J149" s="143" t="s">
        <v>1844</v>
      </c>
      <c r="K149" s="129" t="s">
        <v>1844</v>
      </c>
      <c r="L149" s="132" t="s">
        <v>1844</v>
      </c>
      <c r="M149" s="132" t="s">
        <v>1844</v>
      </c>
      <c r="N149" s="131" t="s">
        <v>1844</v>
      </c>
      <c r="O149" s="171" t="s">
        <v>1844</v>
      </c>
      <c r="P149" s="171" t="s">
        <v>1844</v>
      </c>
      <c r="Q149" s="171" t="s">
        <v>1845</v>
      </c>
      <c r="R149" s="171"/>
      <c r="S149" s="171"/>
      <c r="T149" s="171"/>
      <c r="U149" s="171"/>
      <c r="V149" s="171"/>
      <c r="W149" s="131"/>
      <c r="X149" s="132"/>
      <c r="Y149" s="132"/>
      <c r="Z149" s="171"/>
      <c r="AA149" s="171"/>
      <c r="AB149" s="171"/>
      <c r="AC149" s="171"/>
      <c r="AD149" s="171"/>
      <c r="AE149" s="171"/>
      <c r="AF149" s="140"/>
      <c r="AG149" s="128"/>
      <c r="AH149" s="140"/>
      <c r="AI149" s="128"/>
      <c r="AJ149" s="137"/>
      <c r="AK149" s="140"/>
      <c r="AL149" s="140"/>
    </row>
    <row r="150" ht="15.75" customHeight="1">
      <c r="A150" s="125">
        <v>149.0</v>
      </c>
      <c r="B150" s="138">
        <f t="shared" ref="B150:B169" si="17">SUM(A150+10000)</f>
        <v>10149</v>
      </c>
      <c r="C150" s="124" t="s">
        <v>1840</v>
      </c>
      <c r="D150" s="122" t="s">
        <v>2099</v>
      </c>
      <c r="E150" s="174" t="s">
        <v>7</v>
      </c>
      <c r="F150" s="127" t="s">
        <v>2176</v>
      </c>
      <c r="G150" s="126" t="s">
        <v>282</v>
      </c>
      <c r="H150" s="208" t="s">
        <v>2177</v>
      </c>
      <c r="I150" s="129" t="s">
        <v>1843</v>
      </c>
      <c r="J150" s="143" t="s">
        <v>1844</v>
      </c>
      <c r="K150" s="129" t="s">
        <v>1844</v>
      </c>
      <c r="L150" s="132" t="s">
        <v>1844</v>
      </c>
      <c r="M150" s="132" t="s">
        <v>1844</v>
      </c>
      <c r="N150" s="131" t="s">
        <v>1844</v>
      </c>
      <c r="O150" s="171" t="s">
        <v>1844</v>
      </c>
      <c r="P150" s="171" t="s">
        <v>1844</v>
      </c>
      <c r="Q150" s="171"/>
      <c r="R150" s="171"/>
      <c r="S150" s="171"/>
      <c r="T150" s="171" t="s">
        <v>1845</v>
      </c>
      <c r="U150" s="171"/>
      <c r="V150" s="171"/>
      <c r="W150" s="131" t="s">
        <v>1845</v>
      </c>
      <c r="X150" s="132"/>
      <c r="Y150" s="132"/>
      <c r="Z150" s="171"/>
      <c r="AA150" s="171"/>
      <c r="AB150" s="171"/>
      <c r="AC150" s="171"/>
      <c r="AD150" s="171"/>
      <c r="AE150" s="171"/>
      <c r="AF150" s="140"/>
      <c r="AG150" s="128"/>
      <c r="AH150" s="140"/>
      <c r="AI150" s="128"/>
      <c r="AJ150" s="137"/>
      <c r="AK150" s="140"/>
      <c r="AL150" s="140"/>
    </row>
    <row r="151" ht="15.75" customHeight="1">
      <c r="A151" s="151">
        <v>150.0</v>
      </c>
      <c r="B151" s="138">
        <f t="shared" si="17"/>
        <v>10150</v>
      </c>
      <c r="C151" s="179" t="s">
        <v>1840</v>
      </c>
      <c r="D151" s="150" t="s">
        <v>2099</v>
      </c>
      <c r="E151" s="195" t="s">
        <v>7</v>
      </c>
      <c r="F151" s="153" t="s">
        <v>2178</v>
      </c>
      <c r="G151" s="152" t="s">
        <v>284</v>
      </c>
      <c r="H151" s="206" t="s">
        <v>2179</v>
      </c>
      <c r="I151" s="129" t="s">
        <v>1906</v>
      </c>
      <c r="J151" s="143" t="s">
        <v>1844</v>
      </c>
      <c r="K151" s="129" t="s">
        <v>1844</v>
      </c>
      <c r="L151" s="132" t="s">
        <v>1844</v>
      </c>
      <c r="M151" s="132" t="s">
        <v>1844</v>
      </c>
      <c r="N151" s="131" t="s">
        <v>1844</v>
      </c>
      <c r="O151" s="171" t="s">
        <v>1844</v>
      </c>
      <c r="P151" s="171" t="s">
        <v>1844</v>
      </c>
      <c r="Q151" s="171"/>
      <c r="R151" s="171"/>
      <c r="S151" s="171" t="s">
        <v>1845</v>
      </c>
      <c r="T151" s="171"/>
      <c r="U151" s="171"/>
      <c r="V151" s="171"/>
      <c r="W151" s="131"/>
      <c r="X151" s="132"/>
      <c r="Y151" s="132"/>
      <c r="Z151" s="171"/>
      <c r="AA151" s="171"/>
      <c r="AB151" s="171"/>
      <c r="AC151" s="171"/>
      <c r="AD151" s="171"/>
      <c r="AE151" s="171"/>
      <c r="AF151" s="140"/>
      <c r="AG151" s="140"/>
      <c r="AH151" s="140"/>
      <c r="AI151" s="128"/>
      <c r="AJ151" s="137"/>
      <c r="AK151" s="140"/>
      <c r="AL151" s="140"/>
    </row>
    <row r="152" ht="15.75" customHeight="1">
      <c r="A152" s="125">
        <v>151.0</v>
      </c>
      <c r="B152" s="138">
        <f t="shared" si="17"/>
        <v>10151</v>
      </c>
      <c r="C152" s="124" t="s">
        <v>1840</v>
      </c>
      <c r="D152" s="122" t="s">
        <v>2099</v>
      </c>
      <c r="E152" s="174" t="s">
        <v>34</v>
      </c>
      <c r="F152" s="127" t="s">
        <v>2180</v>
      </c>
      <c r="G152" s="126" t="s">
        <v>286</v>
      </c>
      <c r="H152" s="206" t="s">
        <v>2181</v>
      </c>
      <c r="I152" s="129" t="s">
        <v>1843</v>
      </c>
      <c r="J152" s="143" t="s">
        <v>1876</v>
      </c>
      <c r="K152" s="129" t="s">
        <v>1877</v>
      </c>
      <c r="L152" s="132" t="s">
        <v>1844</v>
      </c>
      <c r="M152" s="132" t="s">
        <v>1845</v>
      </c>
      <c r="N152" s="131">
        <v>1.0</v>
      </c>
      <c r="O152" s="171" t="s">
        <v>1879</v>
      </c>
      <c r="P152" s="171" t="s">
        <v>1862</v>
      </c>
      <c r="Q152" s="171"/>
      <c r="R152" s="171"/>
      <c r="S152" s="171"/>
      <c r="T152" s="171"/>
      <c r="U152" s="171"/>
      <c r="V152" s="171"/>
      <c r="W152" s="131" t="s">
        <v>1845</v>
      </c>
      <c r="X152" s="132"/>
      <c r="Y152" s="132"/>
      <c r="Z152" s="171"/>
      <c r="AA152" s="171"/>
      <c r="AB152" s="171"/>
      <c r="AC152" s="171"/>
      <c r="AD152" s="171"/>
      <c r="AE152" s="171"/>
      <c r="AF152" s="140"/>
      <c r="AG152" s="140"/>
      <c r="AH152" s="140"/>
      <c r="AI152" s="128"/>
      <c r="AJ152" s="137"/>
      <c r="AK152" s="140"/>
      <c r="AL152" s="140"/>
    </row>
    <row r="153" ht="15.75" customHeight="1">
      <c r="A153" s="151">
        <v>152.0</v>
      </c>
      <c r="B153" s="138">
        <f t="shared" si="17"/>
        <v>10152</v>
      </c>
      <c r="C153" s="179" t="s">
        <v>1840</v>
      </c>
      <c r="D153" s="150" t="s">
        <v>2099</v>
      </c>
      <c r="E153" s="195" t="s">
        <v>20</v>
      </c>
      <c r="F153" s="153" t="s">
        <v>2182</v>
      </c>
      <c r="G153" s="152" t="s">
        <v>288</v>
      </c>
      <c r="H153" s="206" t="s">
        <v>2183</v>
      </c>
      <c r="I153" s="129" t="s">
        <v>1843</v>
      </c>
      <c r="J153" s="143" t="s">
        <v>1844</v>
      </c>
      <c r="K153" s="129" t="s">
        <v>1844</v>
      </c>
      <c r="L153" s="132" t="s">
        <v>1844</v>
      </c>
      <c r="M153" s="132" t="s">
        <v>1845</v>
      </c>
      <c r="N153" s="131" t="s">
        <v>1844</v>
      </c>
      <c r="O153" s="171" t="s">
        <v>1844</v>
      </c>
      <c r="P153" s="171" t="s">
        <v>1895</v>
      </c>
      <c r="Q153" s="171"/>
      <c r="R153" s="171"/>
      <c r="S153" s="171" t="s">
        <v>1845</v>
      </c>
      <c r="T153" s="171"/>
      <c r="U153" s="171"/>
      <c r="V153" s="171"/>
      <c r="W153" s="131"/>
      <c r="X153" s="132"/>
      <c r="Y153" s="132"/>
      <c r="Z153" s="171"/>
      <c r="AA153" s="171"/>
      <c r="AB153" s="171"/>
      <c r="AC153" s="171"/>
      <c r="AD153" s="171"/>
      <c r="AE153" s="171"/>
      <c r="AF153" s="140"/>
      <c r="AG153" s="140"/>
      <c r="AH153" s="140"/>
      <c r="AI153" s="128"/>
      <c r="AJ153" s="137"/>
      <c r="AK153" s="140"/>
      <c r="AL153" s="140"/>
    </row>
    <row r="154" ht="15.75" customHeight="1">
      <c r="A154" s="141">
        <v>153.0</v>
      </c>
      <c r="B154" s="138">
        <f t="shared" si="17"/>
        <v>10153</v>
      </c>
      <c r="C154" s="124" t="s">
        <v>1840</v>
      </c>
      <c r="D154" s="122" t="s">
        <v>2099</v>
      </c>
      <c r="E154" s="180" t="s">
        <v>34</v>
      </c>
      <c r="F154" s="153" t="s">
        <v>2184</v>
      </c>
      <c r="G154" s="126" t="s">
        <v>290</v>
      </c>
      <c r="H154" s="206" t="s">
        <v>2185</v>
      </c>
      <c r="I154" s="129" t="s">
        <v>1843</v>
      </c>
      <c r="J154" s="143" t="s">
        <v>1876</v>
      </c>
      <c r="K154" s="129" t="s">
        <v>1877</v>
      </c>
      <c r="L154" s="132" t="s">
        <v>1844</v>
      </c>
      <c r="M154" s="132" t="s">
        <v>1845</v>
      </c>
      <c r="N154" s="131" t="s">
        <v>1903</v>
      </c>
      <c r="O154" s="131" t="s">
        <v>1879</v>
      </c>
      <c r="P154" s="131" t="s">
        <v>1862</v>
      </c>
      <c r="Q154" s="131"/>
      <c r="R154" s="131"/>
      <c r="S154" s="131"/>
      <c r="T154" s="131"/>
      <c r="U154" s="131"/>
      <c r="V154" s="131"/>
      <c r="W154" s="131" t="s">
        <v>1845</v>
      </c>
      <c r="X154" s="132"/>
      <c r="Y154" s="132"/>
      <c r="Z154" s="131"/>
      <c r="AA154" s="131"/>
      <c r="AB154" s="171"/>
      <c r="AC154" s="171"/>
      <c r="AD154" s="171"/>
      <c r="AE154" s="171"/>
      <c r="AF154" s="140"/>
      <c r="AG154" s="140"/>
      <c r="AH154" s="140"/>
      <c r="AI154" s="128"/>
      <c r="AJ154" s="137"/>
      <c r="AK154" s="140"/>
      <c r="AL154" s="140"/>
    </row>
    <row r="155" ht="15.75" customHeight="1">
      <c r="A155" s="125">
        <v>154.0</v>
      </c>
      <c r="B155" s="138">
        <f t="shared" si="17"/>
        <v>10154</v>
      </c>
      <c r="C155" s="124" t="s">
        <v>1840</v>
      </c>
      <c r="D155" s="122" t="s">
        <v>2069</v>
      </c>
      <c r="E155" s="174" t="s">
        <v>34</v>
      </c>
      <c r="F155" s="127" t="s">
        <v>2186</v>
      </c>
      <c r="G155" s="126" t="s">
        <v>292</v>
      </c>
      <c r="H155" s="206" t="s">
        <v>2187</v>
      </c>
      <c r="I155" s="129" t="s">
        <v>1906</v>
      </c>
      <c r="J155" s="143" t="s">
        <v>1876</v>
      </c>
      <c r="K155" s="172" t="s">
        <v>1877</v>
      </c>
      <c r="L155" s="132" t="s">
        <v>1844</v>
      </c>
      <c r="M155" s="132" t="s">
        <v>1845</v>
      </c>
      <c r="N155" s="131">
        <v>1.0</v>
      </c>
      <c r="O155" s="171" t="s">
        <v>1879</v>
      </c>
      <c r="P155" s="171" t="s">
        <v>1862</v>
      </c>
      <c r="Q155" s="171"/>
      <c r="R155" s="171"/>
      <c r="S155" s="171"/>
      <c r="T155" s="171"/>
      <c r="U155" s="171" t="s">
        <v>1845</v>
      </c>
      <c r="V155" s="171"/>
      <c r="W155" s="131"/>
      <c r="X155" s="132"/>
      <c r="Y155" s="132"/>
      <c r="Z155" s="171"/>
      <c r="AA155" s="171"/>
      <c r="AB155" s="171"/>
      <c r="AC155" s="171"/>
      <c r="AD155" s="171"/>
      <c r="AE155" s="171"/>
      <c r="AF155" s="140"/>
      <c r="AG155" s="140"/>
      <c r="AH155" s="140"/>
      <c r="AI155" s="128"/>
      <c r="AJ155" s="137"/>
      <c r="AK155" s="140"/>
      <c r="AL155" s="140"/>
    </row>
    <row r="156" ht="15.75" customHeight="1">
      <c r="A156" s="151">
        <v>155.0</v>
      </c>
      <c r="B156" s="138">
        <f t="shared" si="17"/>
        <v>10155</v>
      </c>
      <c r="C156" s="179" t="s">
        <v>1840</v>
      </c>
      <c r="D156" s="150" t="s">
        <v>2099</v>
      </c>
      <c r="E156" s="195" t="s">
        <v>20</v>
      </c>
      <c r="F156" s="153" t="s">
        <v>2188</v>
      </c>
      <c r="G156" s="152" t="s">
        <v>293</v>
      </c>
      <c r="H156" s="206" t="s">
        <v>2189</v>
      </c>
      <c r="I156" s="129" t="s">
        <v>1843</v>
      </c>
      <c r="J156" s="143" t="s">
        <v>1844</v>
      </c>
      <c r="K156" s="129" t="s">
        <v>1844</v>
      </c>
      <c r="L156" s="132" t="s">
        <v>1844</v>
      </c>
      <c r="M156" s="132" t="s">
        <v>1845</v>
      </c>
      <c r="N156" s="131" t="s">
        <v>1844</v>
      </c>
      <c r="O156" s="171" t="s">
        <v>1844</v>
      </c>
      <c r="P156" s="171" t="s">
        <v>1895</v>
      </c>
      <c r="Q156" s="171"/>
      <c r="R156" s="171"/>
      <c r="S156" s="171" t="s">
        <v>1845</v>
      </c>
      <c r="T156" s="171" t="s">
        <v>1845</v>
      </c>
      <c r="U156" s="171"/>
      <c r="V156" s="171"/>
      <c r="W156" s="131"/>
      <c r="X156" s="132"/>
      <c r="Y156" s="132"/>
      <c r="Z156" s="171"/>
      <c r="AA156" s="171"/>
      <c r="AB156" s="171"/>
      <c r="AC156" s="171"/>
      <c r="AD156" s="171"/>
      <c r="AE156" s="171"/>
      <c r="AF156" s="140"/>
      <c r="AG156" s="140"/>
      <c r="AH156" s="140"/>
      <c r="AI156" s="128"/>
      <c r="AJ156" s="137"/>
      <c r="AK156" s="140"/>
      <c r="AL156" s="140"/>
    </row>
    <row r="157" ht="15.75" customHeight="1">
      <c r="A157" s="125">
        <v>156.0</v>
      </c>
      <c r="B157" s="138">
        <f t="shared" si="17"/>
        <v>10156</v>
      </c>
      <c r="C157" s="124" t="s">
        <v>1840</v>
      </c>
      <c r="D157" s="122" t="s">
        <v>2099</v>
      </c>
      <c r="E157" s="174" t="s">
        <v>34</v>
      </c>
      <c r="F157" s="215" t="s">
        <v>2190</v>
      </c>
      <c r="G157" s="126" t="s">
        <v>295</v>
      </c>
      <c r="H157" s="206" t="s">
        <v>2191</v>
      </c>
      <c r="I157" s="129" t="s">
        <v>1843</v>
      </c>
      <c r="J157" s="143" t="s">
        <v>1902</v>
      </c>
      <c r="K157" s="172" t="s">
        <v>1877</v>
      </c>
      <c r="L157" s="132" t="s">
        <v>1878</v>
      </c>
      <c r="M157" s="132" t="s">
        <v>1845</v>
      </c>
      <c r="N157" s="131">
        <v>1.0</v>
      </c>
      <c r="O157" s="171" t="s">
        <v>1879</v>
      </c>
      <c r="P157" s="171" t="s">
        <v>1862</v>
      </c>
      <c r="Q157" s="171"/>
      <c r="R157" s="171"/>
      <c r="S157" s="171"/>
      <c r="T157" s="171"/>
      <c r="U157" s="171"/>
      <c r="V157" s="171"/>
      <c r="W157" s="131" t="s">
        <v>1845</v>
      </c>
      <c r="X157" s="132"/>
      <c r="Y157" s="132"/>
      <c r="Z157" s="171"/>
      <c r="AA157" s="171"/>
      <c r="AB157" s="171"/>
      <c r="AC157" s="171"/>
      <c r="AD157" s="171"/>
      <c r="AE157" s="171"/>
      <c r="AF157" s="140"/>
      <c r="AG157" s="140"/>
      <c r="AH157" s="140"/>
      <c r="AI157" s="128"/>
      <c r="AJ157" s="137"/>
      <c r="AK157" s="140"/>
      <c r="AL157" s="140"/>
    </row>
    <row r="158" ht="15.75" customHeight="1">
      <c r="A158" s="125">
        <v>157.0</v>
      </c>
      <c r="B158" s="138">
        <f t="shared" si="17"/>
        <v>10157</v>
      </c>
      <c r="C158" s="124" t="s">
        <v>1840</v>
      </c>
      <c r="D158" s="122" t="s">
        <v>2099</v>
      </c>
      <c r="E158" s="174" t="s">
        <v>34</v>
      </c>
      <c r="F158" s="126" t="s">
        <v>2192</v>
      </c>
      <c r="G158" s="216" t="s">
        <v>297</v>
      </c>
      <c r="H158" s="140" t="s">
        <v>2193</v>
      </c>
      <c r="I158" s="129" t="s">
        <v>1843</v>
      </c>
      <c r="J158" s="143" t="s">
        <v>1902</v>
      </c>
      <c r="K158" s="172" t="s">
        <v>1877</v>
      </c>
      <c r="L158" s="132" t="s">
        <v>1878</v>
      </c>
      <c r="M158" s="132" t="s">
        <v>1845</v>
      </c>
      <c r="N158" s="131" t="s">
        <v>1903</v>
      </c>
      <c r="O158" s="171" t="s">
        <v>1879</v>
      </c>
      <c r="P158" s="171" t="s">
        <v>1862</v>
      </c>
      <c r="Q158" s="171"/>
      <c r="R158" s="171"/>
      <c r="S158" s="171" t="s">
        <v>1845</v>
      </c>
      <c r="T158" s="171"/>
      <c r="U158" s="171"/>
      <c r="V158" s="171"/>
      <c r="W158" s="131"/>
      <c r="X158" s="132"/>
      <c r="Y158" s="132"/>
      <c r="Z158" s="171"/>
      <c r="AA158" s="171"/>
      <c r="AB158" s="171"/>
      <c r="AC158" s="171"/>
      <c r="AD158" s="171"/>
      <c r="AE158" s="171"/>
      <c r="AF158" s="140"/>
      <c r="AG158" s="128"/>
      <c r="AH158" s="140"/>
      <c r="AI158" s="128"/>
      <c r="AJ158" s="137"/>
      <c r="AK158" s="140"/>
      <c r="AL158" s="140"/>
    </row>
    <row r="159" ht="15.75" customHeight="1">
      <c r="A159" s="151">
        <v>158.0</v>
      </c>
      <c r="B159" s="138">
        <f t="shared" si="17"/>
        <v>10158</v>
      </c>
      <c r="C159" s="179" t="s">
        <v>1840</v>
      </c>
      <c r="D159" s="150" t="s">
        <v>2099</v>
      </c>
      <c r="E159" s="151" t="s">
        <v>27</v>
      </c>
      <c r="F159" s="211" t="s">
        <v>2194</v>
      </c>
      <c r="G159" s="153" t="s">
        <v>299</v>
      </c>
      <c r="H159" s="140" t="s">
        <v>2193</v>
      </c>
      <c r="I159" s="129" t="s">
        <v>1843</v>
      </c>
      <c r="J159" s="143" t="s">
        <v>1844</v>
      </c>
      <c r="K159" s="129" t="s">
        <v>1844</v>
      </c>
      <c r="L159" s="132" t="s">
        <v>1844</v>
      </c>
      <c r="M159" s="132" t="s">
        <v>1845</v>
      </c>
      <c r="N159" s="131" t="s">
        <v>1844</v>
      </c>
      <c r="O159" s="171" t="s">
        <v>1844</v>
      </c>
      <c r="P159" s="171" t="s">
        <v>1895</v>
      </c>
      <c r="Q159" s="171"/>
      <c r="R159" s="171"/>
      <c r="S159" s="171" t="s">
        <v>1845</v>
      </c>
      <c r="T159" s="171"/>
      <c r="U159" s="171"/>
      <c r="V159" s="171"/>
      <c r="W159" s="131"/>
      <c r="X159" s="132"/>
      <c r="Y159" s="132"/>
      <c r="Z159" s="171"/>
      <c r="AA159" s="171"/>
      <c r="AB159" s="171"/>
      <c r="AC159" s="171"/>
      <c r="AD159" s="171"/>
      <c r="AE159" s="171"/>
      <c r="AF159" s="140"/>
      <c r="AG159" s="140"/>
      <c r="AH159" s="140"/>
      <c r="AI159" s="128"/>
      <c r="AJ159" s="137"/>
      <c r="AK159" s="140"/>
      <c r="AL159" s="140"/>
    </row>
    <row r="160" ht="15.75" customHeight="1">
      <c r="A160" s="125">
        <v>159.0</v>
      </c>
      <c r="B160" s="138">
        <f t="shared" si="17"/>
        <v>10159</v>
      </c>
      <c r="C160" s="124" t="s">
        <v>1840</v>
      </c>
      <c r="D160" s="122" t="s">
        <v>2099</v>
      </c>
      <c r="E160" s="125" t="s">
        <v>27</v>
      </c>
      <c r="F160" s="211" t="s">
        <v>2195</v>
      </c>
      <c r="G160" s="127" t="s">
        <v>301</v>
      </c>
      <c r="H160" s="140" t="s">
        <v>2193</v>
      </c>
      <c r="I160" s="129" t="s">
        <v>1843</v>
      </c>
      <c r="J160" s="143" t="s">
        <v>1844</v>
      </c>
      <c r="K160" s="172" t="s">
        <v>1844</v>
      </c>
      <c r="L160" s="132" t="s">
        <v>1844</v>
      </c>
      <c r="M160" s="132" t="s">
        <v>1845</v>
      </c>
      <c r="N160" s="131" t="s">
        <v>1844</v>
      </c>
      <c r="O160" s="171" t="s">
        <v>1844</v>
      </c>
      <c r="P160" s="171" t="s">
        <v>1862</v>
      </c>
      <c r="Q160" s="171"/>
      <c r="R160" s="171"/>
      <c r="S160" s="171" t="s">
        <v>1845</v>
      </c>
      <c r="T160" s="171"/>
      <c r="U160" s="171"/>
      <c r="V160" s="171"/>
      <c r="W160" s="131"/>
      <c r="X160" s="132"/>
      <c r="Y160" s="132"/>
      <c r="Z160" s="171"/>
      <c r="AA160" s="171"/>
      <c r="AB160" s="171"/>
      <c r="AC160" s="171"/>
      <c r="AD160" s="171"/>
      <c r="AE160" s="171"/>
      <c r="AF160" s="140"/>
      <c r="AG160" s="140"/>
      <c r="AH160" s="140"/>
      <c r="AI160" s="128"/>
      <c r="AJ160" s="137"/>
      <c r="AK160" s="140"/>
      <c r="AL160" s="140"/>
    </row>
    <row r="161" ht="15.75" customHeight="1">
      <c r="A161" s="125">
        <v>160.0</v>
      </c>
      <c r="B161" s="138">
        <f t="shared" si="17"/>
        <v>10160</v>
      </c>
      <c r="C161" s="124" t="s">
        <v>1840</v>
      </c>
      <c r="D161" s="122" t="s">
        <v>2099</v>
      </c>
      <c r="E161" s="125" t="s">
        <v>34</v>
      </c>
      <c r="F161" s="211" t="s">
        <v>2196</v>
      </c>
      <c r="G161" s="127" t="s">
        <v>303</v>
      </c>
      <c r="H161" s="191" t="s">
        <v>2197</v>
      </c>
      <c r="I161" s="129" t="s">
        <v>1906</v>
      </c>
      <c r="J161" s="143" t="s">
        <v>1902</v>
      </c>
      <c r="K161" s="172" t="s">
        <v>1877</v>
      </c>
      <c r="L161" s="132" t="s">
        <v>1878</v>
      </c>
      <c r="M161" s="132" t="s">
        <v>1845</v>
      </c>
      <c r="N161" s="131" t="s">
        <v>1903</v>
      </c>
      <c r="O161" s="171" t="s">
        <v>1879</v>
      </c>
      <c r="P161" s="171" t="s">
        <v>1862</v>
      </c>
      <c r="Q161" s="171"/>
      <c r="R161" s="171"/>
      <c r="S161" s="171"/>
      <c r="T161" s="171"/>
      <c r="U161" s="171" t="s">
        <v>1845</v>
      </c>
      <c r="V161" s="171"/>
      <c r="W161" s="131"/>
      <c r="X161" s="132"/>
      <c r="Y161" s="132"/>
      <c r="Z161" s="171"/>
      <c r="AA161" s="171"/>
      <c r="AB161" s="171"/>
      <c r="AC161" s="171"/>
      <c r="AD161" s="171"/>
      <c r="AE161" s="171"/>
      <c r="AF161" s="140"/>
      <c r="AG161" s="140"/>
      <c r="AH161" s="140"/>
      <c r="AI161" s="128"/>
      <c r="AJ161" s="137"/>
      <c r="AK161" s="140"/>
      <c r="AL161" s="140"/>
    </row>
    <row r="162" ht="15.75" customHeight="1">
      <c r="A162" s="151">
        <v>161.0</v>
      </c>
      <c r="B162" s="138">
        <f t="shared" si="17"/>
        <v>10161</v>
      </c>
      <c r="C162" s="179" t="s">
        <v>1840</v>
      </c>
      <c r="D162" s="150" t="s">
        <v>1841</v>
      </c>
      <c r="E162" s="151" t="s">
        <v>27</v>
      </c>
      <c r="F162" s="211" t="s">
        <v>2198</v>
      </c>
      <c r="G162" s="201" t="s">
        <v>305</v>
      </c>
      <c r="H162" s="191" t="s">
        <v>2199</v>
      </c>
      <c r="I162" s="129" t="s">
        <v>1843</v>
      </c>
      <c r="J162" s="143" t="s">
        <v>1844</v>
      </c>
      <c r="K162" s="129" t="s">
        <v>1844</v>
      </c>
      <c r="L162" s="132" t="s">
        <v>1878</v>
      </c>
      <c r="M162" s="132" t="s">
        <v>1845</v>
      </c>
      <c r="N162" s="131" t="s">
        <v>1844</v>
      </c>
      <c r="O162" s="171" t="s">
        <v>1844</v>
      </c>
      <c r="P162" s="171" t="s">
        <v>1862</v>
      </c>
      <c r="Q162" s="171"/>
      <c r="R162" s="171"/>
      <c r="S162" s="171" t="s">
        <v>1845</v>
      </c>
      <c r="T162" s="171"/>
      <c r="U162" s="171"/>
      <c r="V162" s="171"/>
      <c r="W162" s="131"/>
      <c r="X162" s="132"/>
      <c r="Y162" s="132"/>
      <c r="Z162" s="171"/>
      <c r="AA162" s="171"/>
      <c r="AB162" s="171"/>
      <c r="AC162" s="171"/>
      <c r="AD162" s="171"/>
      <c r="AE162" s="171"/>
      <c r="AF162" s="140"/>
      <c r="AG162" s="140"/>
      <c r="AH162" s="140"/>
      <c r="AI162" s="128"/>
      <c r="AJ162" s="137"/>
      <c r="AK162" s="140"/>
      <c r="AL162" s="140"/>
    </row>
    <row r="163" ht="15.75" customHeight="1">
      <c r="A163" s="160">
        <v>162.0</v>
      </c>
      <c r="B163" s="158">
        <f t="shared" si="17"/>
        <v>10162</v>
      </c>
      <c r="C163" s="159" t="s">
        <v>1873</v>
      </c>
      <c r="D163" s="157" t="s">
        <v>2125</v>
      </c>
      <c r="E163" s="160" t="s">
        <v>34</v>
      </c>
      <c r="F163" s="217" t="s">
        <v>2200</v>
      </c>
      <c r="G163" s="162" t="s">
        <v>307</v>
      </c>
      <c r="H163" s="192" t="s">
        <v>2201</v>
      </c>
      <c r="I163" s="164" t="s">
        <v>1843</v>
      </c>
      <c r="J163" s="184" t="s">
        <v>1876</v>
      </c>
      <c r="K163" s="164" t="s">
        <v>1877</v>
      </c>
      <c r="L163" s="168" t="s">
        <v>1884</v>
      </c>
      <c r="M163" s="168" t="s">
        <v>1845</v>
      </c>
      <c r="N163" s="166" t="s">
        <v>1903</v>
      </c>
      <c r="O163" s="167" t="s">
        <v>1879</v>
      </c>
      <c r="P163" s="167" t="s">
        <v>1862</v>
      </c>
      <c r="Q163" s="167"/>
      <c r="R163" s="166"/>
      <c r="S163" s="167"/>
      <c r="T163" s="167"/>
      <c r="U163" s="167"/>
      <c r="V163" s="167"/>
      <c r="W163" s="166"/>
      <c r="X163" s="168"/>
      <c r="Y163" s="168"/>
      <c r="Z163" s="167"/>
      <c r="AA163" s="167"/>
      <c r="AB163" s="167"/>
      <c r="AC163" s="167"/>
      <c r="AD163" s="167"/>
      <c r="AE163" s="167"/>
      <c r="AF163" s="167"/>
      <c r="AG163" s="164"/>
      <c r="AH163" s="167"/>
      <c r="AI163" s="164"/>
      <c r="AJ163" s="169"/>
      <c r="AK163" s="167"/>
      <c r="AL163" s="167"/>
    </row>
    <row r="164" ht="15.75" customHeight="1">
      <c r="A164" s="125">
        <v>163.0</v>
      </c>
      <c r="B164" s="138">
        <f t="shared" si="17"/>
        <v>10163</v>
      </c>
      <c r="C164" s="124" t="s">
        <v>1840</v>
      </c>
      <c r="D164" s="122" t="s">
        <v>2125</v>
      </c>
      <c r="E164" s="125" t="s">
        <v>7</v>
      </c>
      <c r="F164" s="211" t="s">
        <v>2202</v>
      </c>
      <c r="G164" s="127" t="s">
        <v>309</v>
      </c>
      <c r="H164" s="191" t="s">
        <v>2203</v>
      </c>
      <c r="I164" s="129" t="s">
        <v>1843</v>
      </c>
      <c r="J164" s="143" t="s">
        <v>1844</v>
      </c>
      <c r="K164" s="172" t="s">
        <v>1844</v>
      </c>
      <c r="L164" s="132" t="s">
        <v>1844</v>
      </c>
      <c r="M164" s="132" t="s">
        <v>1844</v>
      </c>
      <c r="N164" s="131" t="s">
        <v>1844</v>
      </c>
      <c r="O164" s="171" t="s">
        <v>1844</v>
      </c>
      <c r="P164" s="171" t="s">
        <v>1844</v>
      </c>
      <c r="Q164" s="171"/>
      <c r="R164" s="171"/>
      <c r="S164" s="171"/>
      <c r="T164" s="171"/>
      <c r="U164" s="171"/>
      <c r="V164" s="171"/>
      <c r="W164" s="131" t="s">
        <v>1845</v>
      </c>
      <c r="X164" s="132" t="s">
        <v>1845</v>
      </c>
      <c r="Y164" s="132"/>
      <c r="Z164" s="171"/>
      <c r="AA164" s="171"/>
      <c r="AB164" s="171"/>
      <c r="AC164" s="171"/>
      <c r="AD164" s="171"/>
      <c r="AE164" s="171"/>
      <c r="AF164" s="140"/>
      <c r="AG164" s="140"/>
      <c r="AH164" s="140"/>
      <c r="AI164" s="128"/>
      <c r="AJ164" s="137"/>
      <c r="AK164" s="140"/>
      <c r="AL164" s="140"/>
    </row>
    <row r="165" ht="15.75" customHeight="1">
      <c r="A165" s="151">
        <v>164.0</v>
      </c>
      <c r="B165" s="138">
        <f t="shared" si="17"/>
        <v>10164</v>
      </c>
      <c r="C165" s="179" t="s">
        <v>1840</v>
      </c>
      <c r="D165" s="150" t="s">
        <v>2125</v>
      </c>
      <c r="E165" s="151" t="s">
        <v>20</v>
      </c>
      <c r="F165" s="211" t="s">
        <v>2204</v>
      </c>
      <c r="G165" s="218" t="s">
        <v>311</v>
      </c>
      <c r="H165" s="191" t="s">
        <v>2205</v>
      </c>
      <c r="I165" s="129" t="s">
        <v>1843</v>
      </c>
      <c r="J165" s="143" t="s">
        <v>1844</v>
      </c>
      <c r="K165" s="129" t="s">
        <v>1844</v>
      </c>
      <c r="L165" s="132" t="s">
        <v>1878</v>
      </c>
      <c r="M165" s="132" t="s">
        <v>1845</v>
      </c>
      <c r="N165" s="131" t="s">
        <v>1844</v>
      </c>
      <c r="O165" s="171" t="s">
        <v>1844</v>
      </c>
      <c r="P165" s="171" t="s">
        <v>1862</v>
      </c>
      <c r="Q165" s="171"/>
      <c r="R165" s="171"/>
      <c r="S165" s="171" t="s">
        <v>1845</v>
      </c>
      <c r="T165" s="171"/>
      <c r="U165" s="171"/>
      <c r="V165" s="171"/>
      <c r="W165" s="131"/>
      <c r="X165" s="132"/>
      <c r="Y165" s="132"/>
      <c r="Z165" s="171"/>
      <c r="AA165" s="171"/>
      <c r="AB165" s="171"/>
      <c r="AC165" s="171"/>
      <c r="AD165" s="171"/>
      <c r="AE165" s="171"/>
      <c r="AF165" s="140"/>
      <c r="AG165" s="140"/>
      <c r="AH165" s="140"/>
      <c r="AI165" s="128"/>
      <c r="AJ165" s="137"/>
      <c r="AK165" s="140"/>
      <c r="AL165" s="140"/>
    </row>
    <row r="166" ht="15.75" customHeight="1">
      <c r="A166" s="160">
        <v>165.0</v>
      </c>
      <c r="B166" s="158">
        <f t="shared" si="17"/>
        <v>10165</v>
      </c>
      <c r="C166" s="159" t="s">
        <v>1873</v>
      </c>
      <c r="D166" s="157" t="s">
        <v>2125</v>
      </c>
      <c r="E166" s="160" t="s">
        <v>34</v>
      </c>
      <c r="F166" s="162" t="s">
        <v>2206</v>
      </c>
      <c r="G166" s="162" t="s">
        <v>313</v>
      </c>
      <c r="H166" s="192" t="s">
        <v>2207</v>
      </c>
      <c r="I166" s="164" t="s">
        <v>1843</v>
      </c>
      <c r="J166" s="184" t="s">
        <v>1876</v>
      </c>
      <c r="K166" s="177" t="s">
        <v>1877</v>
      </c>
      <c r="L166" s="168" t="s">
        <v>1990</v>
      </c>
      <c r="M166" s="168" t="s">
        <v>1845</v>
      </c>
      <c r="N166" s="166">
        <v>1.0</v>
      </c>
      <c r="O166" s="167" t="s">
        <v>1879</v>
      </c>
      <c r="P166" s="167" t="s">
        <v>1895</v>
      </c>
      <c r="Q166" s="167"/>
      <c r="R166" s="167"/>
      <c r="S166" s="167"/>
      <c r="T166" s="167"/>
      <c r="U166" s="167"/>
      <c r="V166" s="167"/>
      <c r="W166" s="166"/>
      <c r="X166" s="168"/>
      <c r="Y166" s="168"/>
      <c r="Z166" s="167"/>
      <c r="AA166" s="167"/>
      <c r="AB166" s="167"/>
      <c r="AC166" s="167"/>
      <c r="AD166" s="167"/>
      <c r="AE166" s="167"/>
      <c r="AF166" s="167"/>
      <c r="AG166" s="164"/>
      <c r="AH166" s="167"/>
      <c r="AI166" s="164"/>
      <c r="AJ166" s="169"/>
      <c r="AK166" s="167"/>
      <c r="AL166" s="167"/>
    </row>
    <row r="167" ht="15.75" customHeight="1">
      <c r="A167" s="125">
        <v>166.0</v>
      </c>
      <c r="B167" s="138">
        <f t="shared" si="17"/>
        <v>10166</v>
      </c>
      <c r="C167" s="124" t="s">
        <v>1840</v>
      </c>
      <c r="D167" s="122" t="s">
        <v>2125</v>
      </c>
      <c r="E167" s="125" t="s">
        <v>7</v>
      </c>
      <c r="F167" s="127" t="s">
        <v>2208</v>
      </c>
      <c r="G167" s="127" t="s">
        <v>315</v>
      </c>
      <c r="H167" s="191" t="s">
        <v>2209</v>
      </c>
      <c r="I167" s="129" t="s">
        <v>1843</v>
      </c>
      <c r="J167" s="143" t="s">
        <v>1844</v>
      </c>
      <c r="K167" s="129" t="s">
        <v>1844</v>
      </c>
      <c r="L167" s="132" t="s">
        <v>1844</v>
      </c>
      <c r="M167" s="132" t="s">
        <v>1844</v>
      </c>
      <c r="N167" s="131" t="s">
        <v>1844</v>
      </c>
      <c r="O167" s="171" t="s">
        <v>1844</v>
      </c>
      <c r="P167" s="171" t="s">
        <v>1844</v>
      </c>
      <c r="Q167" s="171"/>
      <c r="R167" s="171"/>
      <c r="S167" s="171" t="s">
        <v>1845</v>
      </c>
      <c r="T167" s="171"/>
      <c r="U167" s="171"/>
      <c r="V167" s="171"/>
      <c r="W167" s="131" t="s">
        <v>1845</v>
      </c>
      <c r="X167" s="132"/>
      <c r="Y167" s="132"/>
      <c r="Z167" s="171"/>
      <c r="AA167" s="171"/>
      <c r="AB167" s="171"/>
      <c r="AC167" s="171"/>
      <c r="AD167" s="171"/>
      <c r="AE167" s="171"/>
      <c r="AF167" s="140"/>
      <c r="AG167" s="140"/>
      <c r="AH167" s="140"/>
      <c r="AI167" s="128"/>
      <c r="AJ167" s="137"/>
      <c r="AK167" s="140"/>
      <c r="AL167" s="140"/>
    </row>
    <row r="168" ht="15.75" customHeight="1">
      <c r="A168" s="125">
        <v>167.0</v>
      </c>
      <c r="B168" s="138">
        <f t="shared" si="17"/>
        <v>10167</v>
      </c>
      <c r="C168" s="124" t="s">
        <v>1840</v>
      </c>
      <c r="D168" s="122" t="s">
        <v>2125</v>
      </c>
      <c r="E168" s="125" t="s">
        <v>7</v>
      </c>
      <c r="F168" s="127" t="s">
        <v>2210</v>
      </c>
      <c r="G168" s="127" t="s">
        <v>317</v>
      </c>
      <c r="H168" s="191" t="s">
        <v>2211</v>
      </c>
      <c r="I168" s="129" t="s">
        <v>1843</v>
      </c>
      <c r="J168" s="143" t="s">
        <v>1844</v>
      </c>
      <c r="K168" s="129" t="s">
        <v>1844</v>
      </c>
      <c r="L168" s="132" t="s">
        <v>1844</v>
      </c>
      <c r="M168" s="132" t="s">
        <v>1844</v>
      </c>
      <c r="N168" s="131" t="s">
        <v>1844</v>
      </c>
      <c r="O168" s="171" t="s">
        <v>1844</v>
      </c>
      <c r="P168" s="171" t="s">
        <v>1844</v>
      </c>
      <c r="Q168" s="171"/>
      <c r="R168" s="171" t="s">
        <v>1845</v>
      </c>
      <c r="S168" s="171"/>
      <c r="T168" s="171"/>
      <c r="U168" s="171"/>
      <c r="V168" s="171"/>
      <c r="W168" s="131" t="s">
        <v>1845</v>
      </c>
      <c r="X168" s="132"/>
      <c r="Y168" s="132"/>
      <c r="Z168" s="171"/>
      <c r="AA168" s="171"/>
      <c r="AB168" s="171"/>
      <c r="AC168" s="171"/>
      <c r="AD168" s="171"/>
      <c r="AE168" s="171"/>
      <c r="AF168" s="140"/>
      <c r="AG168" s="140"/>
      <c r="AH168" s="140"/>
      <c r="AI168" s="128"/>
      <c r="AJ168" s="137"/>
      <c r="AK168" s="140"/>
      <c r="AL168" s="140"/>
    </row>
    <row r="169" ht="15.75" customHeight="1">
      <c r="A169" s="151">
        <v>168.0</v>
      </c>
      <c r="B169" s="138">
        <f t="shared" si="17"/>
        <v>10168</v>
      </c>
      <c r="C169" s="179" t="s">
        <v>1840</v>
      </c>
      <c r="D169" s="150" t="s">
        <v>2212</v>
      </c>
      <c r="E169" s="151" t="s">
        <v>34</v>
      </c>
      <c r="F169" s="153" t="s">
        <v>2213</v>
      </c>
      <c r="G169" s="190" t="s">
        <v>319</v>
      </c>
      <c r="H169" s="191" t="s">
        <v>2214</v>
      </c>
      <c r="I169" s="171" t="s">
        <v>1843</v>
      </c>
      <c r="J169" s="143" t="s">
        <v>1876</v>
      </c>
      <c r="K169" s="172" t="s">
        <v>1877</v>
      </c>
      <c r="L169" s="132" t="s">
        <v>1844</v>
      </c>
      <c r="M169" s="132" t="s">
        <v>1845</v>
      </c>
      <c r="N169" s="131">
        <v>1.0</v>
      </c>
      <c r="O169" s="131" t="s">
        <v>1879</v>
      </c>
      <c r="P169" s="131" t="s">
        <v>1844</v>
      </c>
      <c r="Q169" s="131"/>
      <c r="R169" s="131"/>
      <c r="S169" s="131"/>
      <c r="T169" s="131" t="s">
        <v>1845</v>
      </c>
      <c r="U169" s="131"/>
      <c r="V169" s="131"/>
      <c r="W169" s="131"/>
      <c r="X169" s="132"/>
      <c r="Y169" s="132"/>
      <c r="Z169" s="171"/>
      <c r="AA169" s="171"/>
      <c r="AB169" s="171"/>
      <c r="AC169" s="171"/>
      <c r="AD169" s="171"/>
      <c r="AE169" s="171"/>
      <c r="AF169" s="140"/>
      <c r="AG169" s="128"/>
      <c r="AH169" s="140"/>
      <c r="AI169" s="128"/>
      <c r="AJ169" s="137"/>
      <c r="AK169" s="140"/>
      <c r="AL169" s="140"/>
    </row>
    <row r="170" ht="15.75" customHeight="1">
      <c r="A170" s="125">
        <v>169.0</v>
      </c>
      <c r="B170" s="123" t="s">
        <v>1742</v>
      </c>
      <c r="C170" s="124" t="s">
        <v>1840</v>
      </c>
      <c r="D170" s="122" t="s">
        <v>2125</v>
      </c>
      <c r="E170" s="125" t="s">
        <v>7</v>
      </c>
      <c r="F170" s="127" t="s">
        <v>2215</v>
      </c>
      <c r="G170" s="153" t="s">
        <v>321</v>
      </c>
      <c r="H170" s="191" t="s">
        <v>2216</v>
      </c>
      <c r="I170" s="129" t="s">
        <v>1843</v>
      </c>
      <c r="J170" s="143" t="s">
        <v>1844</v>
      </c>
      <c r="K170" s="129" t="s">
        <v>1844</v>
      </c>
      <c r="L170" s="132" t="s">
        <v>1844</v>
      </c>
      <c r="M170" s="132" t="s">
        <v>1844</v>
      </c>
      <c r="N170" s="131" t="s">
        <v>1844</v>
      </c>
      <c r="O170" s="171" t="s">
        <v>1844</v>
      </c>
      <c r="P170" s="171" t="s">
        <v>1844</v>
      </c>
      <c r="Q170" s="171" t="s">
        <v>1845</v>
      </c>
      <c r="R170" s="171" t="s">
        <v>1845</v>
      </c>
      <c r="S170" s="171" t="s">
        <v>1845</v>
      </c>
      <c r="T170" s="171" t="s">
        <v>1845</v>
      </c>
      <c r="U170" s="171"/>
      <c r="V170" s="171"/>
      <c r="W170" s="131" t="s">
        <v>1845</v>
      </c>
      <c r="X170" s="132"/>
      <c r="Y170" s="132"/>
      <c r="Z170" s="171"/>
      <c r="AA170" s="171"/>
      <c r="AB170" s="171"/>
      <c r="AC170" s="171"/>
      <c r="AD170" s="171"/>
      <c r="AE170" s="171"/>
      <c r="AF170" s="140"/>
      <c r="AG170" s="140"/>
      <c r="AH170" s="140"/>
      <c r="AI170" s="128"/>
      <c r="AJ170" s="137"/>
      <c r="AK170" s="140"/>
      <c r="AL170" s="140"/>
    </row>
    <row r="171" ht="15.75" customHeight="1">
      <c r="A171" s="125">
        <v>170.0</v>
      </c>
      <c r="B171" s="123" t="s">
        <v>1742</v>
      </c>
      <c r="C171" s="124" t="s">
        <v>1840</v>
      </c>
      <c r="D171" s="122" t="s">
        <v>2125</v>
      </c>
      <c r="E171" s="125" t="s">
        <v>7</v>
      </c>
      <c r="F171" s="127" t="s">
        <v>2217</v>
      </c>
      <c r="G171" s="127" t="s">
        <v>323</v>
      </c>
      <c r="H171" s="191" t="s">
        <v>2218</v>
      </c>
      <c r="I171" s="129" t="s">
        <v>1906</v>
      </c>
      <c r="J171" s="143" t="s">
        <v>1844</v>
      </c>
      <c r="K171" s="129" t="s">
        <v>1844</v>
      </c>
      <c r="L171" s="132" t="s">
        <v>1844</v>
      </c>
      <c r="M171" s="132" t="s">
        <v>1844</v>
      </c>
      <c r="N171" s="131" t="s">
        <v>1844</v>
      </c>
      <c r="O171" s="171" t="s">
        <v>1844</v>
      </c>
      <c r="P171" s="171" t="s">
        <v>1844</v>
      </c>
      <c r="Q171" s="171" t="s">
        <v>1845</v>
      </c>
      <c r="R171" s="171"/>
      <c r="S171" s="171"/>
      <c r="T171" s="171"/>
      <c r="U171" s="171" t="s">
        <v>1845</v>
      </c>
      <c r="V171" s="171" t="s">
        <v>1845</v>
      </c>
      <c r="W171" s="131"/>
      <c r="X171" s="132"/>
      <c r="Y171" s="132"/>
      <c r="Z171" s="171"/>
      <c r="AA171" s="171"/>
      <c r="AB171" s="171"/>
      <c r="AC171" s="171"/>
      <c r="AD171" s="171"/>
      <c r="AE171" s="171"/>
      <c r="AF171" s="140"/>
      <c r="AG171" s="140"/>
      <c r="AH171" s="140"/>
      <c r="AI171" s="128"/>
      <c r="AJ171" s="137"/>
      <c r="AK171" s="140"/>
      <c r="AL171" s="140"/>
    </row>
    <row r="172" ht="15.75" customHeight="1">
      <c r="A172" s="125">
        <v>171.0</v>
      </c>
      <c r="B172" s="138">
        <f t="shared" ref="B172:B176" si="18">SUM(A172+10000)</f>
        <v>10171</v>
      </c>
      <c r="C172" s="124" t="s">
        <v>1840</v>
      </c>
      <c r="D172" s="122" t="s">
        <v>1849</v>
      </c>
      <c r="E172" s="125" t="s">
        <v>34</v>
      </c>
      <c r="F172" s="127" t="s">
        <v>2219</v>
      </c>
      <c r="G172" s="127" t="s">
        <v>325</v>
      </c>
      <c r="H172" s="191"/>
      <c r="I172" s="129" t="s">
        <v>1843</v>
      </c>
      <c r="J172" s="143" t="s">
        <v>1902</v>
      </c>
      <c r="K172" s="172" t="s">
        <v>1877</v>
      </c>
      <c r="L172" s="132" t="s">
        <v>1844</v>
      </c>
      <c r="M172" s="132" t="s">
        <v>1845</v>
      </c>
      <c r="N172" s="131" t="s">
        <v>1903</v>
      </c>
      <c r="O172" s="171" t="s">
        <v>1879</v>
      </c>
      <c r="P172" s="171" t="s">
        <v>1862</v>
      </c>
      <c r="Q172" s="171"/>
      <c r="R172" s="171"/>
      <c r="S172" s="171"/>
      <c r="T172" s="171"/>
      <c r="U172" s="171"/>
      <c r="V172" s="171"/>
      <c r="W172" s="131"/>
      <c r="X172" s="132" t="s">
        <v>1845</v>
      </c>
      <c r="Y172" s="132"/>
      <c r="Z172" s="171"/>
      <c r="AA172" s="171"/>
      <c r="AB172" s="171"/>
      <c r="AC172" s="171"/>
      <c r="AD172" s="171"/>
      <c r="AE172" s="171"/>
      <c r="AF172" s="140"/>
      <c r="AG172" s="140"/>
      <c r="AH172" s="140"/>
      <c r="AI172" s="128"/>
      <c r="AJ172" s="137"/>
      <c r="AK172" s="140"/>
      <c r="AL172" s="140"/>
    </row>
    <row r="173" ht="15.75" customHeight="1">
      <c r="A173" s="125">
        <v>172.0</v>
      </c>
      <c r="B173" s="138">
        <f t="shared" si="18"/>
        <v>10172</v>
      </c>
      <c r="C173" s="124" t="s">
        <v>1840</v>
      </c>
      <c r="D173" s="122" t="s">
        <v>2125</v>
      </c>
      <c r="E173" s="125" t="s">
        <v>34</v>
      </c>
      <c r="F173" s="127" t="s">
        <v>2220</v>
      </c>
      <c r="G173" s="127" t="s">
        <v>327</v>
      </c>
      <c r="H173" s="191" t="s">
        <v>2221</v>
      </c>
      <c r="I173" s="129" t="s">
        <v>1906</v>
      </c>
      <c r="J173" s="143" t="s">
        <v>1876</v>
      </c>
      <c r="K173" s="129" t="s">
        <v>1877</v>
      </c>
      <c r="L173" s="132" t="s">
        <v>1844</v>
      </c>
      <c r="M173" s="132" t="s">
        <v>1845</v>
      </c>
      <c r="N173" s="131" t="s">
        <v>1903</v>
      </c>
      <c r="O173" s="171" t="s">
        <v>1879</v>
      </c>
      <c r="P173" s="171" t="s">
        <v>2072</v>
      </c>
      <c r="Q173" s="171"/>
      <c r="R173" s="171"/>
      <c r="S173" s="171" t="s">
        <v>1845</v>
      </c>
      <c r="T173" s="171"/>
      <c r="U173" s="171"/>
      <c r="V173" s="171"/>
      <c r="W173" s="131"/>
      <c r="X173" s="132"/>
      <c r="Y173" s="132"/>
      <c r="Z173" s="171"/>
      <c r="AA173" s="171"/>
      <c r="AB173" s="171"/>
      <c r="AC173" s="171"/>
      <c r="AD173" s="171"/>
      <c r="AE173" s="171"/>
      <c r="AF173" s="140"/>
      <c r="AG173" s="140"/>
      <c r="AH173" s="140"/>
      <c r="AI173" s="128"/>
      <c r="AJ173" s="137"/>
      <c r="AK173" s="140"/>
      <c r="AL173" s="140"/>
    </row>
    <row r="174" ht="15.75" customHeight="1">
      <c r="A174" s="125">
        <v>173.0</v>
      </c>
      <c r="B174" s="138">
        <f t="shared" si="18"/>
        <v>10173</v>
      </c>
      <c r="C174" s="124" t="s">
        <v>1840</v>
      </c>
      <c r="D174" s="122" t="s">
        <v>2125</v>
      </c>
      <c r="E174" s="125" t="s">
        <v>20</v>
      </c>
      <c r="F174" s="127" t="s">
        <v>2222</v>
      </c>
      <c r="G174" s="127" t="s">
        <v>329</v>
      </c>
      <c r="H174" s="191" t="s">
        <v>2223</v>
      </c>
      <c r="I174" s="129" t="s">
        <v>1843</v>
      </c>
      <c r="J174" s="143" t="s">
        <v>1844</v>
      </c>
      <c r="K174" s="129" t="s">
        <v>1844</v>
      </c>
      <c r="L174" s="132" t="s">
        <v>1844</v>
      </c>
      <c r="M174" s="132" t="s">
        <v>1845</v>
      </c>
      <c r="N174" s="131" t="s">
        <v>1844</v>
      </c>
      <c r="O174" s="171" t="s">
        <v>1844</v>
      </c>
      <c r="P174" s="171" t="s">
        <v>1862</v>
      </c>
      <c r="Q174" s="171"/>
      <c r="R174" s="171"/>
      <c r="S174" s="171"/>
      <c r="T174" s="171" t="s">
        <v>1845</v>
      </c>
      <c r="U174" s="171"/>
      <c r="V174" s="171"/>
      <c r="W174" s="131" t="s">
        <v>1845</v>
      </c>
      <c r="X174" s="132" t="s">
        <v>1845</v>
      </c>
      <c r="Y174" s="132"/>
      <c r="Z174" s="171"/>
      <c r="AA174" s="171"/>
      <c r="AB174" s="171"/>
      <c r="AC174" s="171"/>
      <c r="AD174" s="171"/>
      <c r="AE174" s="171"/>
      <c r="AF174" s="140"/>
      <c r="AG174" s="140"/>
      <c r="AH174" s="140"/>
      <c r="AI174" s="128"/>
      <c r="AJ174" s="137"/>
      <c r="AK174" s="140"/>
      <c r="AL174" s="140"/>
    </row>
    <row r="175" ht="15.75" customHeight="1">
      <c r="A175" s="151">
        <v>174.0</v>
      </c>
      <c r="B175" s="138">
        <f t="shared" si="18"/>
        <v>10174</v>
      </c>
      <c r="C175" s="179" t="s">
        <v>1840</v>
      </c>
      <c r="D175" s="150" t="s">
        <v>2125</v>
      </c>
      <c r="E175" s="151" t="s">
        <v>7</v>
      </c>
      <c r="F175" s="153" t="s">
        <v>2224</v>
      </c>
      <c r="G175" s="153" t="s">
        <v>332</v>
      </c>
      <c r="H175" s="191" t="s">
        <v>2225</v>
      </c>
      <c r="I175" s="129" t="s">
        <v>1906</v>
      </c>
      <c r="J175" s="143" t="s">
        <v>1844</v>
      </c>
      <c r="K175" s="172" t="s">
        <v>1844</v>
      </c>
      <c r="L175" s="132" t="s">
        <v>1844</v>
      </c>
      <c r="M175" s="132" t="s">
        <v>1844</v>
      </c>
      <c r="N175" s="131" t="s">
        <v>1844</v>
      </c>
      <c r="O175" s="171" t="s">
        <v>1844</v>
      </c>
      <c r="P175" s="171" t="s">
        <v>1844</v>
      </c>
      <c r="Q175" s="171"/>
      <c r="R175" s="171"/>
      <c r="S175" s="171"/>
      <c r="T175" s="171"/>
      <c r="U175" s="171" t="s">
        <v>1845</v>
      </c>
      <c r="V175" s="171" t="s">
        <v>1845</v>
      </c>
      <c r="W175" s="131"/>
      <c r="X175" s="132"/>
      <c r="Y175" s="132"/>
      <c r="Z175" s="171"/>
      <c r="AA175" s="171"/>
      <c r="AB175" s="171"/>
      <c r="AC175" s="171"/>
      <c r="AD175" s="171"/>
      <c r="AE175" s="171"/>
      <c r="AF175" s="140"/>
      <c r="AG175" s="128"/>
      <c r="AH175" s="140"/>
      <c r="AI175" s="128"/>
      <c r="AJ175" s="137"/>
      <c r="AK175" s="140"/>
      <c r="AL175" s="140"/>
    </row>
    <row r="176" ht="15.75" customHeight="1">
      <c r="A176" s="125">
        <v>175.0</v>
      </c>
      <c r="B176" s="138">
        <f t="shared" si="18"/>
        <v>10175</v>
      </c>
      <c r="C176" s="124" t="s">
        <v>1840</v>
      </c>
      <c r="D176" s="122" t="s">
        <v>2125</v>
      </c>
      <c r="E176" s="125" t="s">
        <v>7</v>
      </c>
      <c r="F176" s="127" t="s">
        <v>2226</v>
      </c>
      <c r="G176" s="127" t="s">
        <v>334</v>
      </c>
      <c r="H176" s="191" t="s">
        <v>2227</v>
      </c>
      <c r="I176" s="129" t="s">
        <v>1906</v>
      </c>
      <c r="J176" s="143" t="s">
        <v>1844</v>
      </c>
      <c r="K176" s="172" t="s">
        <v>1844</v>
      </c>
      <c r="L176" s="132" t="s">
        <v>1844</v>
      </c>
      <c r="M176" s="132" t="s">
        <v>1844</v>
      </c>
      <c r="N176" s="131" t="s">
        <v>1844</v>
      </c>
      <c r="O176" s="171" t="s">
        <v>1844</v>
      </c>
      <c r="P176" s="171" t="s">
        <v>1844</v>
      </c>
      <c r="Q176" s="171"/>
      <c r="R176" s="171"/>
      <c r="S176" s="171"/>
      <c r="T176" s="171"/>
      <c r="U176" s="171" t="s">
        <v>1845</v>
      </c>
      <c r="V176" s="171" t="s">
        <v>1845</v>
      </c>
      <c r="W176" s="131"/>
      <c r="X176" s="132"/>
      <c r="Y176" s="132"/>
      <c r="Z176" s="171"/>
      <c r="AA176" s="171"/>
      <c r="AB176" s="171"/>
      <c r="AC176" s="171"/>
      <c r="AD176" s="171"/>
      <c r="AE176" s="171"/>
      <c r="AF176" s="140"/>
      <c r="AG176" s="140"/>
      <c r="AH176" s="140"/>
      <c r="AI176" s="128"/>
      <c r="AJ176" s="137"/>
      <c r="AK176" s="140"/>
      <c r="AL176" s="140"/>
    </row>
    <row r="177" ht="15.75" customHeight="1">
      <c r="A177" s="125">
        <v>176.0</v>
      </c>
      <c r="B177" s="123" t="s">
        <v>1742</v>
      </c>
      <c r="C177" s="124" t="s">
        <v>1840</v>
      </c>
      <c r="D177" s="122" t="s">
        <v>2125</v>
      </c>
      <c r="E177" s="125" t="s">
        <v>7</v>
      </c>
      <c r="F177" s="127" t="s">
        <v>2228</v>
      </c>
      <c r="G177" s="127" t="s">
        <v>336</v>
      </c>
      <c r="H177" s="191" t="s">
        <v>2229</v>
      </c>
      <c r="I177" s="129" t="s">
        <v>1843</v>
      </c>
      <c r="J177" s="143" t="s">
        <v>1844</v>
      </c>
      <c r="K177" s="129" t="s">
        <v>1844</v>
      </c>
      <c r="L177" s="132" t="s">
        <v>1844</v>
      </c>
      <c r="M177" s="132" t="s">
        <v>1844</v>
      </c>
      <c r="N177" s="131" t="s">
        <v>1844</v>
      </c>
      <c r="O177" s="171" t="s">
        <v>1844</v>
      </c>
      <c r="P177" s="171" t="s">
        <v>1844</v>
      </c>
      <c r="Q177" s="171" t="s">
        <v>1845</v>
      </c>
      <c r="R177" s="171"/>
      <c r="S177" s="171" t="s">
        <v>1845</v>
      </c>
      <c r="T177" s="171"/>
      <c r="U177" s="171"/>
      <c r="V177" s="171"/>
      <c r="W177" s="131"/>
      <c r="X177" s="132"/>
      <c r="Y177" s="132"/>
      <c r="Z177" s="171"/>
      <c r="AA177" s="171"/>
      <c r="AB177" s="171"/>
      <c r="AC177" s="171"/>
      <c r="AD177" s="171"/>
      <c r="AE177" s="171"/>
      <c r="AF177" s="140"/>
      <c r="AG177" s="140"/>
      <c r="AH177" s="140"/>
      <c r="AI177" s="128"/>
      <c r="AJ177" s="137"/>
      <c r="AK177" s="140"/>
      <c r="AL177" s="140"/>
    </row>
    <row r="178" ht="15.75" customHeight="1">
      <c r="A178" s="125">
        <v>177.0</v>
      </c>
      <c r="B178" s="138">
        <f t="shared" ref="B178:B209" si="19">SUM(A178+10000)</f>
        <v>10177</v>
      </c>
      <c r="C178" s="124" t="s">
        <v>1840</v>
      </c>
      <c r="D178" s="122" t="s">
        <v>2125</v>
      </c>
      <c r="E178" s="125" t="s">
        <v>7</v>
      </c>
      <c r="F178" s="127" t="s">
        <v>2230</v>
      </c>
      <c r="G178" s="127" t="s">
        <v>338</v>
      </c>
      <c r="H178" s="191" t="s">
        <v>2231</v>
      </c>
      <c r="I178" s="129" t="s">
        <v>1843</v>
      </c>
      <c r="J178" s="143" t="s">
        <v>1844</v>
      </c>
      <c r="K178" s="129" t="s">
        <v>1844</v>
      </c>
      <c r="L178" s="132" t="s">
        <v>1844</v>
      </c>
      <c r="M178" s="132" t="s">
        <v>1844</v>
      </c>
      <c r="N178" s="131" t="s">
        <v>1844</v>
      </c>
      <c r="O178" s="171" t="s">
        <v>1844</v>
      </c>
      <c r="P178" s="171" t="s">
        <v>1844</v>
      </c>
      <c r="Q178" s="171"/>
      <c r="R178" s="171"/>
      <c r="S178" s="171" t="s">
        <v>1845</v>
      </c>
      <c r="T178" s="171" t="s">
        <v>1845</v>
      </c>
      <c r="U178" s="171"/>
      <c r="V178" s="171"/>
      <c r="W178" s="131"/>
      <c r="X178" s="132" t="s">
        <v>1845</v>
      </c>
      <c r="Y178" s="132"/>
      <c r="Z178" s="171"/>
      <c r="AA178" s="171"/>
      <c r="AB178" s="171"/>
      <c r="AC178" s="171"/>
      <c r="AD178" s="171"/>
      <c r="AE178" s="171"/>
      <c r="AF178" s="140"/>
      <c r="AG178" s="140"/>
      <c r="AH178" s="140"/>
      <c r="AI178" s="128"/>
      <c r="AJ178" s="137"/>
      <c r="AK178" s="140"/>
      <c r="AL178" s="140"/>
    </row>
    <row r="179" ht="15.75" customHeight="1">
      <c r="A179" s="125">
        <v>178.0</v>
      </c>
      <c r="B179" s="138">
        <f t="shared" si="19"/>
        <v>10178</v>
      </c>
      <c r="C179" s="124" t="s">
        <v>1840</v>
      </c>
      <c r="D179" s="122" t="s">
        <v>2212</v>
      </c>
      <c r="E179" s="125" t="s">
        <v>7</v>
      </c>
      <c r="F179" s="127" t="s">
        <v>2232</v>
      </c>
      <c r="G179" s="127" t="s">
        <v>340</v>
      </c>
      <c r="H179" s="191" t="s">
        <v>2233</v>
      </c>
      <c r="I179" s="129" t="s">
        <v>1843</v>
      </c>
      <c r="J179" s="143" t="s">
        <v>1844</v>
      </c>
      <c r="K179" s="129" t="s">
        <v>1844</v>
      </c>
      <c r="L179" s="132" t="s">
        <v>1844</v>
      </c>
      <c r="M179" s="132" t="s">
        <v>1844</v>
      </c>
      <c r="N179" s="131" t="s">
        <v>1844</v>
      </c>
      <c r="O179" s="171" t="s">
        <v>1844</v>
      </c>
      <c r="P179" s="171" t="s">
        <v>1844</v>
      </c>
      <c r="Q179" s="171"/>
      <c r="R179" s="171"/>
      <c r="S179" s="171"/>
      <c r="T179" s="171" t="s">
        <v>1845</v>
      </c>
      <c r="U179" s="171"/>
      <c r="V179" s="171"/>
      <c r="W179" s="131"/>
      <c r="X179" s="132" t="s">
        <v>1845</v>
      </c>
      <c r="Y179" s="132"/>
      <c r="Z179" s="171"/>
      <c r="AA179" s="171"/>
      <c r="AB179" s="171"/>
      <c r="AC179" s="171"/>
      <c r="AD179" s="171"/>
      <c r="AE179" s="171"/>
      <c r="AF179" s="140"/>
      <c r="AG179" s="140"/>
      <c r="AH179" s="140"/>
      <c r="AI179" s="128"/>
      <c r="AJ179" s="137"/>
      <c r="AK179" s="140"/>
      <c r="AL179" s="140"/>
    </row>
    <row r="180" ht="15.75" customHeight="1">
      <c r="A180" s="125">
        <v>179.0</v>
      </c>
      <c r="B180" s="138">
        <f t="shared" si="19"/>
        <v>10179</v>
      </c>
      <c r="C180" s="124" t="s">
        <v>1840</v>
      </c>
      <c r="D180" s="122" t="s">
        <v>1849</v>
      </c>
      <c r="E180" s="125" t="s">
        <v>34</v>
      </c>
      <c r="F180" s="127" t="s">
        <v>2234</v>
      </c>
      <c r="G180" s="127" t="s">
        <v>342</v>
      </c>
      <c r="H180" s="191" t="s">
        <v>1844</v>
      </c>
      <c r="I180" s="129" t="s">
        <v>1843</v>
      </c>
      <c r="J180" s="143" t="s">
        <v>1902</v>
      </c>
      <c r="K180" s="129" t="s">
        <v>1877</v>
      </c>
      <c r="L180" s="132" t="s">
        <v>1844</v>
      </c>
      <c r="M180" s="132" t="s">
        <v>1845</v>
      </c>
      <c r="N180" s="131" t="s">
        <v>1903</v>
      </c>
      <c r="O180" s="171" t="s">
        <v>1879</v>
      </c>
      <c r="P180" s="171" t="s">
        <v>1895</v>
      </c>
      <c r="Q180" s="171"/>
      <c r="R180" s="171"/>
      <c r="S180" s="171"/>
      <c r="T180" s="171"/>
      <c r="U180" s="171"/>
      <c r="V180" s="171"/>
      <c r="W180" s="131"/>
      <c r="X180" s="132"/>
      <c r="Y180" s="132"/>
      <c r="Z180" s="171"/>
      <c r="AA180" s="171"/>
      <c r="AB180" s="171"/>
      <c r="AC180" s="171"/>
      <c r="AD180" s="171"/>
      <c r="AE180" s="171"/>
      <c r="AF180" s="140"/>
      <c r="AG180" s="140"/>
      <c r="AH180" s="140"/>
      <c r="AI180" s="128"/>
      <c r="AJ180" s="137"/>
      <c r="AK180" s="140"/>
      <c r="AL180" s="140"/>
    </row>
    <row r="181" ht="15.75" customHeight="1">
      <c r="A181" s="160">
        <v>180.0</v>
      </c>
      <c r="B181" s="158">
        <f t="shared" si="19"/>
        <v>10180</v>
      </c>
      <c r="C181" s="159" t="s">
        <v>1873</v>
      </c>
      <c r="D181" s="157" t="s">
        <v>1849</v>
      </c>
      <c r="E181" s="160" t="s">
        <v>27</v>
      </c>
      <c r="F181" s="162" t="s">
        <v>2235</v>
      </c>
      <c r="G181" s="162" t="s">
        <v>344</v>
      </c>
      <c r="H181" s="192"/>
      <c r="I181" s="164" t="s">
        <v>1843</v>
      </c>
      <c r="J181" s="184" t="s">
        <v>1844</v>
      </c>
      <c r="K181" s="164" t="s">
        <v>1844</v>
      </c>
      <c r="L181" s="168" t="s">
        <v>1961</v>
      </c>
      <c r="M181" s="168" t="s">
        <v>1845</v>
      </c>
      <c r="N181" s="166" t="s">
        <v>1844</v>
      </c>
      <c r="O181" s="167" t="s">
        <v>1844</v>
      </c>
      <c r="P181" s="167" t="s">
        <v>1862</v>
      </c>
      <c r="Q181" s="167"/>
      <c r="R181" s="167"/>
      <c r="S181" s="167"/>
      <c r="T181" s="167"/>
      <c r="U181" s="167"/>
      <c r="V181" s="167"/>
      <c r="W181" s="166"/>
      <c r="X181" s="168"/>
      <c r="Y181" s="168"/>
      <c r="Z181" s="167"/>
      <c r="AA181" s="167"/>
      <c r="AB181" s="167"/>
      <c r="AC181" s="167"/>
      <c r="AD181" s="167"/>
      <c r="AE181" s="167"/>
      <c r="AF181" s="167"/>
      <c r="AG181" s="164"/>
      <c r="AH181" s="167"/>
      <c r="AI181" s="164"/>
      <c r="AJ181" s="169"/>
      <c r="AK181" s="167"/>
      <c r="AL181" s="167"/>
    </row>
    <row r="182" ht="15.75" customHeight="1">
      <c r="A182" s="151">
        <v>181.0</v>
      </c>
      <c r="B182" s="138">
        <f t="shared" si="19"/>
        <v>10181</v>
      </c>
      <c r="C182" s="179" t="s">
        <v>1840</v>
      </c>
      <c r="D182" s="150" t="s">
        <v>2099</v>
      </c>
      <c r="E182" s="151" t="s">
        <v>7</v>
      </c>
      <c r="F182" s="153" t="s">
        <v>2236</v>
      </c>
      <c r="G182" s="153" t="s">
        <v>2237</v>
      </c>
      <c r="H182" s="191" t="s">
        <v>2238</v>
      </c>
      <c r="I182" s="129" t="s">
        <v>1843</v>
      </c>
      <c r="J182" s="143" t="s">
        <v>1844</v>
      </c>
      <c r="K182" s="129" t="s">
        <v>1844</v>
      </c>
      <c r="L182" s="132" t="s">
        <v>1844</v>
      </c>
      <c r="M182" s="132" t="s">
        <v>1844</v>
      </c>
      <c r="N182" s="131" t="s">
        <v>1844</v>
      </c>
      <c r="O182" s="171" t="s">
        <v>1844</v>
      </c>
      <c r="P182" s="171" t="s">
        <v>1844</v>
      </c>
      <c r="Q182" s="171"/>
      <c r="R182" s="171"/>
      <c r="S182" s="171" t="s">
        <v>1845</v>
      </c>
      <c r="T182" s="171"/>
      <c r="U182" s="171"/>
      <c r="V182" s="171"/>
      <c r="W182" s="131"/>
      <c r="X182" s="132"/>
      <c r="Y182" s="132"/>
      <c r="Z182" s="171"/>
      <c r="AA182" s="171"/>
      <c r="AB182" s="171"/>
      <c r="AC182" s="171"/>
      <c r="AD182" s="171"/>
      <c r="AE182" s="171"/>
      <c r="AF182" s="140"/>
      <c r="AG182" s="140"/>
      <c r="AH182" s="140"/>
      <c r="AI182" s="128"/>
      <c r="AJ182" s="137"/>
      <c r="AK182" s="140"/>
      <c r="AL182" s="140"/>
    </row>
    <row r="183" ht="15.75" customHeight="1">
      <c r="A183" s="125">
        <v>182.0</v>
      </c>
      <c r="B183" s="138">
        <f t="shared" si="19"/>
        <v>10182</v>
      </c>
      <c r="C183" s="124" t="s">
        <v>1840</v>
      </c>
      <c r="D183" s="122" t="s">
        <v>2212</v>
      </c>
      <c r="E183" s="125" t="s">
        <v>7</v>
      </c>
      <c r="F183" s="127" t="s">
        <v>2239</v>
      </c>
      <c r="G183" s="127" t="s">
        <v>347</v>
      </c>
      <c r="H183" s="191" t="s">
        <v>2240</v>
      </c>
      <c r="I183" s="128" t="s">
        <v>1843</v>
      </c>
      <c r="J183" s="186" t="s">
        <v>1844</v>
      </c>
      <c r="K183" s="170" t="s">
        <v>1844</v>
      </c>
      <c r="L183" s="136" t="s">
        <v>1844</v>
      </c>
      <c r="M183" s="136" t="s">
        <v>1844</v>
      </c>
      <c r="N183" s="144" t="s">
        <v>1844</v>
      </c>
      <c r="O183" s="140" t="s">
        <v>1844</v>
      </c>
      <c r="P183" s="140" t="s">
        <v>1844</v>
      </c>
      <c r="Q183" s="140"/>
      <c r="R183" s="140"/>
      <c r="S183" s="140"/>
      <c r="T183" s="140"/>
      <c r="U183" s="140"/>
      <c r="V183" s="140"/>
      <c r="W183" s="144"/>
      <c r="X183" s="136" t="s">
        <v>1845</v>
      </c>
      <c r="Y183" s="136"/>
      <c r="Z183" s="140" t="s">
        <v>1845</v>
      </c>
      <c r="AA183" s="140"/>
      <c r="AB183" s="140"/>
      <c r="AC183" s="140"/>
      <c r="AD183" s="140"/>
      <c r="AE183" s="140"/>
      <c r="AF183" s="140"/>
      <c r="AG183" s="140"/>
      <c r="AH183" s="140"/>
      <c r="AI183" s="128"/>
      <c r="AJ183" s="137"/>
      <c r="AK183" s="140"/>
      <c r="AL183" s="140"/>
    </row>
    <row r="184" ht="15.75" customHeight="1">
      <c r="A184" s="125">
        <v>183.0</v>
      </c>
      <c r="B184" s="138">
        <f t="shared" si="19"/>
        <v>10183</v>
      </c>
      <c r="C184" s="124" t="s">
        <v>1840</v>
      </c>
      <c r="D184" s="122" t="s">
        <v>2125</v>
      </c>
      <c r="E184" s="125" t="s">
        <v>7</v>
      </c>
      <c r="F184" s="127" t="s">
        <v>2241</v>
      </c>
      <c r="G184" s="127" t="s">
        <v>349</v>
      </c>
      <c r="H184" s="191" t="s">
        <v>2242</v>
      </c>
      <c r="I184" s="128" t="s">
        <v>1843</v>
      </c>
      <c r="J184" s="186" t="s">
        <v>1844</v>
      </c>
      <c r="K184" s="128" t="s">
        <v>1844</v>
      </c>
      <c r="L184" s="136" t="s">
        <v>1844</v>
      </c>
      <c r="M184" s="136" t="s">
        <v>1844</v>
      </c>
      <c r="N184" s="144" t="s">
        <v>1844</v>
      </c>
      <c r="O184" s="140" t="s">
        <v>1844</v>
      </c>
      <c r="P184" s="140" t="s">
        <v>1844</v>
      </c>
      <c r="Q184" s="140"/>
      <c r="R184" s="140"/>
      <c r="S184" s="140"/>
      <c r="T184" s="140"/>
      <c r="U184" s="140"/>
      <c r="V184" s="140"/>
      <c r="W184" s="144" t="s">
        <v>1845</v>
      </c>
      <c r="X184" s="136" t="s">
        <v>1845</v>
      </c>
      <c r="Y184" s="136"/>
      <c r="Z184" s="140"/>
      <c r="AA184" s="140"/>
      <c r="AB184" s="140"/>
      <c r="AC184" s="140"/>
      <c r="AD184" s="140"/>
      <c r="AE184" s="140"/>
      <c r="AF184" s="140"/>
      <c r="AG184" s="140"/>
      <c r="AH184" s="140"/>
      <c r="AI184" s="128"/>
      <c r="AJ184" s="137"/>
      <c r="AK184" s="140"/>
      <c r="AL184" s="140"/>
    </row>
    <row r="185" ht="15.75" customHeight="1">
      <c r="A185" s="160">
        <v>184.0</v>
      </c>
      <c r="B185" s="158">
        <f t="shared" si="19"/>
        <v>10184</v>
      </c>
      <c r="C185" s="159" t="s">
        <v>1873</v>
      </c>
      <c r="D185" s="157" t="s">
        <v>2212</v>
      </c>
      <c r="E185" s="160" t="s">
        <v>34</v>
      </c>
      <c r="F185" s="162" t="s">
        <v>2243</v>
      </c>
      <c r="G185" s="162" t="s">
        <v>351</v>
      </c>
      <c r="H185" s="192" t="s">
        <v>2244</v>
      </c>
      <c r="I185" s="164" t="s">
        <v>1843</v>
      </c>
      <c r="J185" s="184" t="s">
        <v>1876</v>
      </c>
      <c r="K185" s="164" t="s">
        <v>1877</v>
      </c>
      <c r="L185" s="168" t="s">
        <v>1878</v>
      </c>
      <c r="M185" s="168" t="s">
        <v>1845</v>
      </c>
      <c r="N185" s="166">
        <v>1.0</v>
      </c>
      <c r="O185" s="167" t="s">
        <v>1879</v>
      </c>
      <c r="P185" s="167" t="s">
        <v>1862</v>
      </c>
      <c r="Q185" s="167"/>
      <c r="R185" s="167"/>
      <c r="S185" s="167"/>
      <c r="T185" s="167"/>
      <c r="U185" s="167"/>
      <c r="V185" s="167"/>
      <c r="W185" s="166"/>
      <c r="X185" s="168" t="s">
        <v>1845</v>
      </c>
      <c r="Y185" s="168"/>
      <c r="Z185" s="167" t="s">
        <v>1845</v>
      </c>
      <c r="AA185" s="167"/>
      <c r="AB185" s="167"/>
      <c r="AC185" s="167"/>
      <c r="AD185" s="167"/>
      <c r="AE185" s="167"/>
      <c r="AF185" s="167"/>
      <c r="AG185" s="164"/>
      <c r="AH185" s="167"/>
      <c r="AI185" s="164"/>
      <c r="AJ185" s="169"/>
      <c r="AK185" s="167"/>
      <c r="AL185" s="167"/>
    </row>
    <row r="186" ht="15.75" customHeight="1">
      <c r="A186" s="125">
        <v>185.0</v>
      </c>
      <c r="B186" s="138">
        <f t="shared" si="19"/>
        <v>10185</v>
      </c>
      <c r="C186" s="124" t="s">
        <v>1840</v>
      </c>
      <c r="D186" s="122" t="s">
        <v>1849</v>
      </c>
      <c r="E186" s="125" t="s">
        <v>27</v>
      </c>
      <c r="F186" s="127" t="s">
        <v>2245</v>
      </c>
      <c r="G186" s="219" t="s">
        <v>351</v>
      </c>
      <c r="H186" s="191" t="s">
        <v>2246</v>
      </c>
      <c r="I186" s="128" t="s">
        <v>1843</v>
      </c>
      <c r="J186" s="186" t="s">
        <v>1844</v>
      </c>
      <c r="K186" s="128" t="s">
        <v>1844</v>
      </c>
      <c r="L186" s="136" t="s">
        <v>1844</v>
      </c>
      <c r="M186" s="136" t="s">
        <v>1845</v>
      </c>
      <c r="N186" s="144" t="s">
        <v>1844</v>
      </c>
      <c r="O186" s="140" t="s">
        <v>1844</v>
      </c>
      <c r="P186" s="140" t="s">
        <v>1862</v>
      </c>
      <c r="Q186" s="140"/>
      <c r="R186" s="140"/>
      <c r="S186" s="140"/>
      <c r="T186" s="140" t="s">
        <v>1845</v>
      </c>
      <c r="U186" s="140"/>
      <c r="V186" s="140"/>
      <c r="W186" s="144"/>
      <c r="X186" s="136"/>
      <c r="Y186" s="136"/>
      <c r="Z186" s="140"/>
      <c r="AA186" s="140"/>
      <c r="AB186" s="140"/>
      <c r="AC186" s="140"/>
      <c r="AD186" s="140"/>
      <c r="AE186" s="140"/>
      <c r="AF186" s="140"/>
      <c r="AG186" s="140"/>
      <c r="AH186" s="140"/>
      <c r="AI186" s="128"/>
      <c r="AJ186" s="137"/>
      <c r="AK186" s="140"/>
      <c r="AL186" s="140"/>
    </row>
    <row r="187" ht="15.75" customHeight="1">
      <c r="A187" s="125">
        <v>186.0</v>
      </c>
      <c r="B187" s="138">
        <f t="shared" si="19"/>
        <v>10186</v>
      </c>
      <c r="C187" s="124" t="s">
        <v>1840</v>
      </c>
      <c r="D187" s="122" t="s">
        <v>2099</v>
      </c>
      <c r="E187" s="125" t="s">
        <v>20</v>
      </c>
      <c r="F187" s="127" t="s">
        <v>2247</v>
      </c>
      <c r="G187" s="127" t="s">
        <v>354</v>
      </c>
      <c r="H187" s="191" t="s">
        <v>2248</v>
      </c>
      <c r="I187" s="128" t="s">
        <v>1843</v>
      </c>
      <c r="J187" s="186" t="s">
        <v>1844</v>
      </c>
      <c r="K187" s="128" t="s">
        <v>1844</v>
      </c>
      <c r="L187" s="136" t="s">
        <v>1961</v>
      </c>
      <c r="M187" s="136" t="s">
        <v>1845</v>
      </c>
      <c r="N187" s="144" t="s">
        <v>1844</v>
      </c>
      <c r="O187" s="140" t="s">
        <v>1844</v>
      </c>
      <c r="P187" s="140" t="s">
        <v>1862</v>
      </c>
      <c r="Q187" s="140"/>
      <c r="R187" s="140"/>
      <c r="S187" s="140" t="s">
        <v>1845</v>
      </c>
      <c r="T187" s="140"/>
      <c r="U187" s="140"/>
      <c r="V187" s="140"/>
      <c r="W187" s="144"/>
      <c r="X187" s="136"/>
      <c r="Y187" s="136"/>
      <c r="Z187" s="140"/>
      <c r="AA187" s="140"/>
      <c r="AB187" s="140"/>
      <c r="AC187" s="140"/>
      <c r="AD187" s="140"/>
      <c r="AE187" s="140"/>
      <c r="AF187" s="140"/>
      <c r="AG187" s="140"/>
      <c r="AH187" s="140"/>
      <c r="AI187" s="128"/>
      <c r="AJ187" s="137"/>
      <c r="AK187" s="140"/>
      <c r="AL187" s="140"/>
    </row>
    <row r="188" ht="15.75" customHeight="1">
      <c r="A188" s="125">
        <v>187.0</v>
      </c>
      <c r="B188" s="138">
        <f t="shared" si="19"/>
        <v>10187</v>
      </c>
      <c r="C188" s="124" t="s">
        <v>1840</v>
      </c>
      <c r="D188" s="122" t="s">
        <v>2212</v>
      </c>
      <c r="E188" s="125" t="s">
        <v>34</v>
      </c>
      <c r="F188" s="127" t="s">
        <v>2249</v>
      </c>
      <c r="G188" s="127" t="s">
        <v>356</v>
      </c>
      <c r="H188" s="191" t="s">
        <v>2250</v>
      </c>
      <c r="I188" s="140" t="s">
        <v>1843</v>
      </c>
      <c r="J188" s="186" t="s">
        <v>1876</v>
      </c>
      <c r="K188" s="170" t="s">
        <v>1877</v>
      </c>
      <c r="L188" s="136" t="s">
        <v>1844</v>
      </c>
      <c r="M188" s="136" t="s">
        <v>1845</v>
      </c>
      <c r="N188" s="144" t="s">
        <v>1903</v>
      </c>
      <c r="O188" s="140" t="s">
        <v>1879</v>
      </c>
      <c r="P188" s="140" t="s">
        <v>1862</v>
      </c>
      <c r="Q188" s="140"/>
      <c r="R188" s="140"/>
      <c r="S188" s="140"/>
      <c r="T188" s="140" t="s">
        <v>1845</v>
      </c>
      <c r="U188" s="140"/>
      <c r="V188" s="140"/>
      <c r="W188" s="144"/>
      <c r="X188" s="136"/>
      <c r="Y188" s="136"/>
      <c r="Z188" s="140"/>
      <c r="AA188" s="140"/>
      <c r="AB188" s="140"/>
      <c r="AC188" s="140"/>
      <c r="AD188" s="140"/>
      <c r="AE188" s="140"/>
      <c r="AF188" s="140"/>
      <c r="AG188" s="140"/>
      <c r="AH188" s="140"/>
      <c r="AI188" s="128"/>
      <c r="AJ188" s="137"/>
      <c r="AK188" s="140"/>
      <c r="AL188" s="140"/>
    </row>
    <row r="189" ht="15.75" customHeight="1">
      <c r="A189" s="125">
        <v>188.0</v>
      </c>
      <c r="B189" s="138">
        <f t="shared" si="19"/>
        <v>10188</v>
      </c>
      <c r="C189" s="124" t="s">
        <v>1840</v>
      </c>
      <c r="D189" s="122" t="s">
        <v>2099</v>
      </c>
      <c r="E189" s="125" t="s">
        <v>7</v>
      </c>
      <c r="F189" s="127" t="s">
        <v>2251</v>
      </c>
      <c r="G189" s="127" t="s">
        <v>2252</v>
      </c>
      <c r="H189" s="191" t="s">
        <v>2253</v>
      </c>
      <c r="I189" s="128" t="s">
        <v>1843</v>
      </c>
      <c r="J189" s="186" t="s">
        <v>1844</v>
      </c>
      <c r="K189" s="128" t="s">
        <v>1844</v>
      </c>
      <c r="L189" s="136" t="s">
        <v>1844</v>
      </c>
      <c r="M189" s="136" t="s">
        <v>1844</v>
      </c>
      <c r="N189" s="144" t="s">
        <v>1844</v>
      </c>
      <c r="O189" s="140" t="s">
        <v>1844</v>
      </c>
      <c r="P189" s="140" t="s">
        <v>1844</v>
      </c>
      <c r="Q189" s="140"/>
      <c r="R189" s="140"/>
      <c r="S189" s="140" t="s">
        <v>1845</v>
      </c>
      <c r="T189" s="140"/>
      <c r="U189" s="140"/>
      <c r="V189" s="140"/>
      <c r="W189" s="144"/>
      <c r="X189" s="136"/>
      <c r="Y189" s="136"/>
      <c r="Z189" s="140"/>
      <c r="AA189" s="140"/>
      <c r="AB189" s="140"/>
      <c r="AC189" s="140"/>
      <c r="AD189" s="140"/>
      <c r="AE189" s="140"/>
      <c r="AF189" s="140"/>
      <c r="AG189" s="140"/>
      <c r="AH189" s="140"/>
      <c r="AI189" s="128"/>
      <c r="AJ189" s="137"/>
      <c r="AK189" s="140"/>
      <c r="AL189" s="140"/>
    </row>
    <row r="190" ht="15.75" customHeight="1">
      <c r="A190" s="125">
        <v>189.0</v>
      </c>
      <c r="B190" s="138">
        <f t="shared" si="19"/>
        <v>10189</v>
      </c>
      <c r="C190" s="124" t="s">
        <v>1840</v>
      </c>
      <c r="D190" s="122" t="s">
        <v>2212</v>
      </c>
      <c r="E190" s="125" t="s">
        <v>20</v>
      </c>
      <c r="F190" s="127" t="s">
        <v>2254</v>
      </c>
      <c r="G190" s="127" t="s">
        <v>360</v>
      </c>
      <c r="H190" s="191" t="s">
        <v>2255</v>
      </c>
      <c r="I190" s="128" t="s">
        <v>1843</v>
      </c>
      <c r="J190" s="186" t="s">
        <v>1844</v>
      </c>
      <c r="K190" s="128" t="s">
        <v>1844</v>
      </c>
      <c r="L190" s="136" t="s">
        <v>1961</v>
      </c>
      <c r="M190" s="136" t="s">
        <v>1845</v>
      </c>
      <c r="N190" s="144" t="s">
        <v>1844</v>
      </c>
      <c r="O190" s="140" t="s">
        <v>1844</v>
      </c>
      <c r="P190" s="140" t="s">
        <v>1862</v>
      </c>
      <c r="Q190" s="140"/>
      <c r="R190" s="140"/>
      <c r="S190" s="140"/>
      <c r="T190" s="140"/>
      <c r="U190" s="140"/>
      <c r="V190" s="140"/>
      <c r="W190" s="144" t="s">
        <v>1845</v>
      </c>
      <c r="X190" s="136"/>
      <c r="Y190" s="136"/>
      <c r="Z190" s="140"/>
      <c r="AA190" s="140"/>
      <c r="AB190" s="140"/>
      <c r="AC190" s="140"/>
      <c r="AD190" s="140"/>
      <c r="AE190" s="140"/>
      <c r="AF190" s="140"/>
      <c r="AG190" s="140"/>
      <c r="AH190" s="140"/>
      <c r="AI190" s="128"/>
      <c r="AJ190" s="137"/>
      <c r="AK190" s="140"/>
      <c r="AL190" s="140"/>
    </row>
    <row r="191" ht="15.75" customHeight="1">
      <c r="A191" s="125">
        <v>190.0</v>
      </c>
      <c r="B191" s="138">
        <f t="shared" si="19"/>
        <v>10190</v>
      </c>
      <c r="C191" s="124" t="s">
        <v>1840</v>
      </c>
      <c r="D191" s="122" t="s">
        <v>2212</v>
      </c>
      <c r="E191" s="125" t="s">
        <v>34</v>
      </c>
      <c r="F191" s="127" t="s">
        <v>2256</v>
      </c>
      <c r="G191" s="127" t="s">
        <v>362</v>
      </c>
      <c r="H191" s="191" t="s">
        <v>2257</v>
      </c>
      <c r="I191" s="128" t="s">
        <v>1843</v>
      </c>
      <c r="J191" s="186" t="s">
        <v>1876</v>
      </c>
      <c r="K191" s="170" t="s">
        <v>1877</v>
      </c>
      <c r="L191" s="136" t="s">
        <v>1844</v>
      </c>
      <c r="M191" s="136" t="s">
        <v>1845</v>
      </c>
      <c r="N191" s="144" t="s">
        <v>1903</v>
      </c>
      <c r="O191" s="140" t="s">
        <v>1879</v>
      </c>
      <c r="P191" s="140" t="s">
        <v>1862</v>
      </c>
      <c r="Q191" s="140"/>
      <c r="R191" s="140"/>
      <c r="S191" s="140"/>
      <c r="T191" s="140"/>
      <c r="U191" s="140"/>
      <c r="V191" s="140"/>
      <c r="W191" s="144"/>
      <c r="X191" s="136" t="s">
        <v>1845</v>
      </c>
      <c r="Y191" s="136"/>
      <c r="Z191" s="140"/>
      <c r="AA191" s="140"/>
      <c r="AB191" s="140"/>
      <c r="AC191" s="140"/>
      <c r="AD191" s="140"/>
      <c r="AE191" s="140"/>
      <c r="AF191" s="140"/>
      <c r="AG191" s="140"/>
      <c r="AH191" s="140"/>
      <c r="AI191" s="128"/>
      <c r="AJ191" s="137"/>
      <c r="AK191" s="140"/>
      <c r="AL191" s="140"/>
    </row>
    <row r="192" ht="15.75" customHeight="1">
      <c r="A192" s="125">
        <v>191.0</v>
      </c>
      <c r="B192" s="138">
        <f t="shared" si="19"/>
        <v>10191</v>
      </c>
      <c r="C192" s="124" t="s">
        <v>1840</v>
      </c>
      <c r="D192" s="122" t="s">
        <v>2212</v>
      </c>
      <c r="E192" s="125" t="s">
        <v>34</v>
      </c>
      <c r="F192" s="127" t="s">
        <v>2258</v>
      </c>
      <c r="G192" s="127" t="s">
        <v>364</v>
      </c>
      <c r="H192" s="191" t="s">
        <v>2259</v>
      </c>
      <c r="I192" s="140" t="s">
        <v>1843</v>
      </c>
      <c r="J192" s="186" t="s">
        <v>1876</v>
      </c>
      <c r="K192" s="128" t="s">
        <v>1877</v>
      </c>
      <c r="L192" s="136" t="s">
        <v>1844</v>
      </c>
      <c r="M192" s="136" t="s">
        <v>1845</v>
      </c>
      <c r="N192" s="144">
        <v>1.0</v>
      </c>
      <c r="O192" s="140" t="s">
        <v>1879</v>
      </c>
      <c r="P192" s="140" t="s">
        <v>1862</v>
      </c>
      <c r="Q192" s="140"/>
      <c r="R192" s="140"/>
      <c r="S192" s="140"/>
      <c r="T192" s="140" t="s">
        <v>1845</v>
      </c>
      <c r="U192" s="140"/>
      <c r="V192" s="140"/>
      <c r="W192" s="144" t="s">
        <v>1845</v>
      </c>
      <c r="X192" s="136"/>
      <c r="Y192" s="136"/>
      <c r="Z192" s="140"/>
      <c r="AA192" s="140"/>
      <c r="AB192" s="140"/>
      <c r="AC192" s="140"/>
      <c r="AD192" s="140"/>
      <c r="AE192" s="140"/>
      <c r="AF192" s="140"/>
      <c r="AG192" s="140"/>
      <c r="AH192" s="140"/>
      <c r="AI192" s="128"/>
      <c r="AJ192" s="137"/>
      <c r="AK192" s="140"/>
      <c r="AL192" s="140"/>
    </row>
    <row r="193" ht="15.75" customHeight="1">
      <c r="A193" s="125">
        <v>192.0</v>
      </c>
      <c r="B193" s="138">
        <f t="shared" si="19"/>
        <v>10192</v>
      </c>
      <c r="C193" s="124" t="s">
        <v>1840</v>
      </c>
      <c r="D193" s="122" t="s">
        <v>2212</v>
      </c>
      <c r="E193" s="125" t="s">
        <v>34</v>
      </c>
      <c r="F193" s="127" t="s">
        <v>2260</v>
      </c>
      <c r="G193" s="127" t="s">
        <v>366</v>
      </c>
      <c r="H193" s="191" t="s">
        <v>2261</v>
      </c>
      <c r="I193" s="140" t="s">
        <v>1843</v>
      </c>
      <c r="J193" s="186" t="s">
        <v>1902</v>
      </c>
      <c r="K193" s="128" t="s">
        <v>1877</v>
      </c>
      <c r="L193" s="136" t="s">
        <v>1844</v>
      </c>
      <c r="M193" s="136" t="s">
        <v>1845</v>
      </c>
      <c r="N193" s="144" t="s">
        <v>1903</v>
      </c>
      <c r="O193" s="140" t="s">
        <v>1879</v>
      </c>
      <c r="P193" s="140" t="s">
        <v>1862</v>
      </c>
      <c r="Q193" s="140"/>
      <c r="R193" s="140"/>
      <c r="S193" s="140"/>
      <c r="T193" s="140" t="s">
        <v>1845</v>
      </c>
      <c r="U193" s="140"/>
      <c r="V193" s="140"/>
      <c r="W193" s="144" t="s">
        <v>1845</v>
      </c>
      <c r="X193" s="136"/>
      <c r="Y193" s="136"/>
      <c r="Z193" s="140"/>
      <c r="AA193" s="140"/>
      <c r="AB193" s="140"/>
      <c r="AC193" s="140"/>
      <c r="AD193" s="140"/>
      <c r="AE193" s="140"/>
      <c r="AF193" s="140"/>
      <c r="AG193" s="140"/>
      <c r="AH193" s="140"/>
      <c r="AI193" s="128"/>
      <c r="AJ193" s="137"/>
      <c r="AK193" s="140"/>
      <c r="AL193" s="140"/>
    </row>
    <row r="194" ht="15.75" customHeight="1">
      <c r="A194" s="125">
        <v>193.0</v>
      </c>
      <c r="B194" s="138">
        <f t="shared" si="19"/>
        <v>10193</v>
      </c>
      <c r="C194" s="124" t="s">
        <v>1840</v>
      </c>
      <c r="D194" s="122" t="s">
        <v>2212</v>
      </c>
      <c r="E194" s="125" t="s">
        <v>34</v>
      </c>
      <c r="F194" s="127" t="s">
        <v>2262</v>
      </c>
      <c r="G194" s="127" t="s">
        <v>368</v>
      </c>
      <c r="H194" s="191" t="s">
        <v>2263</v>
      </c>
      <c r="I194" s="140" t="s">
        <v>1843</v>
      </c>
      <c r="J194" s="186" t="s">
        <v>1902</v>
      </c>
      <c r="K194" s="170" t="s">
        <v>1877</v>
      </c>
      <c r="L194" s="136" t="s">
        <v>1844</v>
      </c>
      <c r="M194" s="136" t="s">
        <v>1845</v>
      </c>
      <c r="N194" s="144">
        <v>1.0</v>
      </c>
      <c r="O194" s="140" t="s">
        <v>1879</v>
      </c>
      <c r="P194" s="140" t="s">
        <v>1862</v>
      </c>
      <c r="Q194" s="140"/>
      <c r="R194" s="140"/>
      <c r="S194" s="140"/>
      <c r="T194" s="140" t="s">
        <v>1845</v>
      </c>
      <c r="U194" s="140"/>
      <c r="V194" s="140"/>
      <c r="W194" s="144" t="s">
        <v>1845</v>
      </c>
      <c r="X194" s="136"/>
      <c r="Y194" s="136"/>
      <c r="Z194" s="140"/>
      <c r="AA194" s="140"/>
      <c r="AB194" s="140"/>
      <c r="AC194" s="140"/>
      <c r="AD194" s="140"/>
      <c r="AE194" s="140"/>
      <c r="AF194" s="140"/>
      <c r="AG194" s="140"/>
      <c r="AH194" s="140"/>
      <c r="AI194" s="128"/>
      <c r="AJ194" s="137"/>
      <c r="AK194" s="140"/>
      <c r="AL194" s="140"/>
    </row>
    <row r="195" ht="15.75" customHeight="1">
      <c r="A195" s="125">
        <v>194.0</v>
      </c>
      <c r="B195" s="138">
        <f t="shared" si="19"/>
        <v>10194</v>
      </c>
      <c r="C195" s="124" t="s">
        <v>1840</v>
      </c>
      <c r="D195" s="122" t="s">
        <v>2212</v>
      </c>
      <c r="E195" s="125" t="s">
        <v>7</v>
      </c>
      <c r="F195" s="127" t="s">
        <v>2264</v>
      </c>
      <c r="G195" s="127" t="s">
        <v>369</v>
      </c>
      <c r="H195" s="191" t="s">
        <v>2265</v>
      </c>
      <c r="I195" s="128" t="s">
        <v>1843</v>
      </c>
      <c r="J195" s="186" t="s">
        <v>1844</v>
      </c>
      <c r="K195" s="170" t="s">
        <v>1844</v>
      </c>
      <c r="L195" s="136" t="s">
        <v>1844</v>
      </c>
      <c r="M195" s="136" t="s">
        <v>1844</v>
      </c>
      <c r="N195" s="144" t="s">
        <v>1844</v>
      </c>
      <c r="O195" s="140" t="s">
        <v>1844</v>
      </c>
      <c r="P195" s="140" t="s">
        <v>1844</v>
      </c>
      <c r="Q195" s="140"/>
      <c r="R195" s="140"/>
      <c r="S195" s="140" t="s">
        <v>1845</v>
      </c>
      <c r="T195" s="140" t="s">
        <v>1845</v>
      </c>
      <c r="U195" s="140"/>
      <c r="V195" s="140"/>
      <c r="W195" s="144" t="s">
        <v>1845</v>
      </c>
      <c r="X195" s="136"/>
      <c r="Y195" s="136"/>
      <c r="Z195" s="140"/>
      <c r="AA195" s="140"/>
      <c r="AB195" s="140"/>
      <c r="AC195" s="140"/>
      <c r="AD195" s="140"/>
      <c r="AE195" s="140"/>
      <c r="AF195" s="140"/>
      <c r="AG195" s="140"/>
      <c r="AH195" s="140"/>
      <c r="AI195" s="128"/>
      <c r="AJ195" s="137"/>
      <c r="AK195" s="140"/>
      <c r="AL195" s="140"/>
    </row>
    <row r="196" ht="15.75" customHeight="1">
      <c r="A196" s="125">
        <v>195.0</v>
      </c>
      <c r="B196" s="138">
        <f t="shared" si="19"/>
        <v>10195</v>
      </c>
      <c r="C196" s="124" t="s">
        <v>1840</v>
      </c>
      <c r="D196" s="122" t="s">
        <v>2212</v>
      </c>
      <c r="E196" s="125" t="s">
        <v>7</v>
      </c>
      <c r="F196" s="127" t="s">
        <v>2266</v>
      </c>
      <c r="G196" s="127" t="s">
        <v>371</v>
      </c>
      <c r="H196" s="191" t="s">
        <v>2267</v>
      </c>
      <c r="I196" s="128" t="s">
        <v>1843</v>
      </c>
      <c r="J196" s="186" t="s">
        <v>1844</v>
      </c>
      <c r="K196" s="170" t="s">
        <v>1844</v>
      </c>
      <c r="L196" s="136" t="s">
        <v>1844</v>
      </c>
      <c r="M196" s="136" t="s">
        <v>1844</v>
      </c>
      <c r="N196" s="144" t="s">
        <v>1844</v>
      </c>
      <c r="O196" s="140" t="s">
        <v>1844</v>
      </c>
      <c r="P196" s="140" t="s">
        <v>1844</v>
      </c>
      <c r="Q196" s="140"/>
      <c r="R196" s="140"/>
      <c r="S196" s="140"/>
      <c r="T196" s="140"/>
      <c r="U196" s="140"/>
      <c r="V196" s="140"/>
      <c r="W196" s="144" t="s">
        <v>1845</v>
      </c>
      <c r="X196" s="136" t="s">
        <v>1845</v>
      </c>
      <c r="Y196" s="136"/>
      <c r="Z196" s="140"/>
      <c r="AA196" s="140"/>
      <c r="AB196" s="140"/>
      <c r="AC196" s="140"/>
      <c r="AD196" s="140"/>
      <c r="AE196" s="140"/>
      <c r="AF196" s="140"/>
      <c r="AG196" s="140"/>
      <c r="AH196" s="140"/>
      <c r="AI196" s="128"/>
      <c r="AJ196" s="137"/>
      <c r="AK196" s="140"/>
      <c r="AL196" s="140"/>
    </row>
    <row r="197" ht="15.75" customHeight="1">
      <c r="A197" s="125">
        <v>196.0</v>
      </c>
      <c r="B197" s="138">
        <f t="shared" si="19"/>
        <v>10196</v>
      </c>
      <c r="C197" s="124" t="s">
        <v>1840</v>
      </c>
      <c r="D197" s="122" t="s">
        <v>2212</v>
      </c>
      <c r="E197" s="125" t="s">
        <v>20</v>
      </c>
      <c r="F197" s="127" t="s">
        <v>2268</v>
      </c>
      <c r="G197" s="127" t="s">
        <v>373</v>
      </c>
      <c r="H197" s="191" t="s">
        <v>2269</v>
      </c>
      <c r="I197" s="128" t="s">
        <v>1843</v>
      </c>
      <c r="J197" s="186" t="s">
        <v>1844</v>
      </c>
      <c r="K197" s="170" t="s">
        <v>1844</v>
      </c>
      <c r="L197" s="136" t="s">
        <v>1961</v>
      </c>
      <c r="M197" s="136" t="s">
        <v>1845</v>
      </c>
      <c r="N197" s="144" t="s">
        <v>1844</v>
      </c>
      <c r="O197" s="140" t="s">
        <v>1844</v>
      </c>
      <c r="P197" s="140" t="s">
        <v>1862</v>
      </c>
      <c r="Q197" s="140"/>
      <c r="R197" s="140"/>
      <c r="S197" s="140" t="s">
        <v>1845</v>
      </c>
      <c r="T197" s="140"/>
      <c r="U197" s="140"/>
      <c r="V197" s="140"/>
      <c r="W197" s="144"/>
      <c r="X197" s="136"/>
      <c r="Y197" s="136"/>
      <c r="Z197" s="140"/>
      <c r="AA197" s="140"/>
      <c r="AB197" s="140"/>
      <c r="AC197" s="140"/>
      <c r="AD197" s="140"/>
      <c r="AE197" s="140"/>
      <c r="AF197" s="140"/>
      <c r="AG197" s="140"/>
      <c r="AH197" s="140"/>
      <c r="AI197" s="128"/>
      <c r="AJ197" s="137"/>
      <c r="AK197" s="140"/>
      <c r="AL197" s="140"/>
    </row>
    <row r="198" ht="15.75" customHeight="1">
      <c r="A198" s="125">
        <v>197.0</v>
      </c>
      <c r="B198" s="138">
        <f t="shared" si="19"/>
        <v>10197</v>
      </c>
      <c r="C198" s="124" t="s">
        <v>1840</v>
      </c>
      <c r="D198" s="122" t="s">
        <v>2212</v>
      </c>
      <c r="E198" s="125" t="s">
        <v>34</v>
      </c>
      <c r="F198" s="127" t="s">
        <v>2270</v>
      </c>
      <c r="G198" s="127" t="s">
        <v>375</v>
      </c>
      <c r="H198" s="191" t="s">
        <v>2271</v>
      </c>
      <c r="I198" s="128" t="s">
        <v>1843</v>
      </c>
      <c r="J198" s="186" t="s">
        <v>1902</v>
      </c>
      <c r="K198" s="128" t="s">
        <v>1877</v>
      </c>
      <c r="L198" s="136" t="s">
        <v>1844</v>
      </c>
      <c r="M198" s="136" t="s">
        <v>1845</v>
      </c>
      <c r="N198" s="144">
        <v>1.0</v>
      </c>
      <c r="O198" s="140" t="s">
        <v>1879</v>
      </c>
      <c r="P198" s="140" t="s">
        <v>1862</v>
      </c>
      <c r="Q198" s="140"/>
      <c r="R198" s="140"/>
      <c r="S198" s="140"/>
      <c r="T198" s="140"/>
      <c r="U198" s="140"/>
      <c r="V198" s="140"/>
      <c r="W198" s="144" t="s">
        <v>1845</v>
      </c>
      <c r="X198" s="136"/>
      <c r="Y198" s="136"/>
      <c r="Z198" s="140"/>
      <c r="AA198" s="140"/>
      <c r="AB198" s="140"/>
      <c r="AC198" s="140"/>
      <c r="AD198" s="140"/>
      <c r="AE198" s="140"/>
      <c r="AF198" s="140"/>
      <c r="AG198" s="140"/>
      <c r="AH198" s="140"/>
      <c r="AI198" s="128"/>
      <c r="AJ198" s="137"/>
      <c r="AK198" s="140"/>
      <c r="AL198" s="140"/>
    </row>
    <row r="199" ht="15.75" customHeight="1">
      <c r="A199" s="125">
        <v>198.0</v>
      </c>
      <c r="B199" s="138">
        <f t="shared" si="19"/>
        <v>10198</v>
      </c>
      <c r="C199" s="124" t="s">
        <v>1840</v>
      </c>
      <c r="D199" s="122" t="s">
        <v>2212</v>
      </c>
      <c r="E199" s="125" t="s">
        <v>7</v>
      </c>
      <c r="F199" s="127" t="s">
        <v>2272</v>
      </c>
      <c r="G199" s="127" t="s">
        <v>377</v>
      </c>
      <c r="H199" s="191" t="s">
        <v>2273</v>
      </c>
      <c r="I199" s="128" t="s">
        <v>1843</v>
      </c>
      <c r="J199" s="186" t="s">
        <v>1844</v>
      </c>
      <c r="K199" s="128" t="s">
        <v>1844</v>
      </c>
      <c r="L199" s="136" t="s">
        <v>1844</v>
      </c>
      <c r="M199" s="136" t="s">
        <v>1844</v>
      </c>
      <c r="N199" s="144" t="s">
        <v>1844</v>
      </c>
      <c r="O199" s="140" t="s">
        <v>1844</v>
      </c>
      <c r="P199" s="140" t="s">
        <v>1844</v>
      </c>
      <c r="Q199" s="140"/>
      <c r="R199" s="140"/>
      <c r="S199" s="140"/>
      <c r="T199" s="140" t="s">
        <v>1845</v>
      </c>
      <c r="U199" s="140"/>
      <c r="V199" s="140"/>
      <c r="W199" s="144" t="s">
        <v>1845</v>
      </c>
      <c r="X199" s="136"/>
      <c r="Y199" s="136"/>
      <c r="Z199" s="140"/>
      <c r="AA199" s="140"/>
      <c r="AB199" s="140"/>
      <c r="AC199" s="140"/>
      <c r="AD199" s="140"/>
      <c r="AE199" s="140"/>
      <c r="AF199" s="140"/>
      <c r="AG199" s="140"/>
      <c r="AH199" s="140"/>
      <c r="AI199" s="128"/>
      <c r="AJ199" s="137"/>
      <c r="AK199" s="140"/>
      <c r="AL199" s="140"/>
    </row>
    <row r="200" ht="15.75" customHeight="1">
      <c r="A200" s="125">
        <v>199.0</v>
      </c>
      <c r="B200" s="138">
        <f t="shared" si="19"/>
        <v>10199</v>
      </c>
      <c r="C200" s="124" t="s">
        <v>1840</v>
      </c>
      <c r="D200" s="122" t="s">
        <v>2212</v>
      </c>
      <c r="E200" s="125" t="s">
        <v>20</v>
      </c>
      <c r="F200" s="127" t="s">
        <v>2274</v>
      </c>
      <c r="G200" s="127" t="s">
        <v>379</v>
      </c>
      <c r="H200" s="191" t="s">
        <v>2275</v>
      </c>
      <c r="I200" s="128" t="s">
        <v>1906</v>
      </c>
      <c r="J200" s="186" t="s">
        <v>1844</v>
      </c>
      <c r="K200" s="128" t="s">
        <v>1844</v>
      </c>
      <c r="L200" s="136" t="s">
        <v>1844</v>
      </c>
      <c r="M200" s="136" t="s">
        <v>1845</v>
      </c>
      <c r="N200" s="144" t="s">
        <v>1844</v>
      </c>
      <c r="O200" s="140" t="s">
        <v>1844</v>
      </c>
      <c r="P200" s="140" t="s">
        <v>1862</v>
      </c>
      <c r="Q200" s="140"/>
      <c r="R200" s="140"/>
      <c r="S200" s="140"/>
      <c r="T200" s="140"/>
      <c r="U200" s="140"/>
      <c r="V200" s="140"/>
      <c r="W200" s="144"/>
      <c r="X200" s="136"/>
      <c r="Y200" s="136"/>
      <c r="Z200" s="140"/>
      <c r="AA200" s="140"/>
      <c r="AB200" s="140"/>
      <c r="AC200" s="140"/>
      <c r="AD200" s="140"/>
      <c r="AE200" s="140"/>
      <c r="AF200" s="140"/>
      <c r="AG200" s="140"/>
      <c r="AH200" s="140"/>
      <c r="AI200" s="128"/>
      <c r="AJ200" s="137"/>
      <c r="AK200" s="140"/>
      <c r="AL200" s="140"/>
    </row>
    <row r="201" ht="15.75" customHeight="1">
      <c r="A201" s="125">
        <v>200.0</v>
      </c>
      <c r="B201" s="138">
        <f t="shared" si="19"/>
        <v>10200</v>
      </c>
      <c r="C201" s="124" t="s">
        <v>1840</v>
      </c>
      <c r="D201" s="122" t="s">
        <v>2212</v>
      </c>
      <c r="E201" s="125" t="s">
        <v>34</v>
      </c>
      <c r="F201" s="127" t="s">
        <v>2276</v>
      </c>
      <c r="G201" s="127" t="s">
        <v>381</v>
      </c>
      <c r="H201" s="191" t="s">
        <v>2277</v>
      </c>
      <c r="I201" s="128" t="s">
        <v>1906</v>
      </c>
      <c r="J201" s="186" t="s">
        <v>1902</v>
      </c>
      <c r="K201" s="170" t="s">
        <v>1877</v>
      </c>
      <c r="L201" s="136" t="s">
        <v>1844</v>
      </c>
      <c r="M201" s="136" t="s">
        <v>1845</v>
      </c>
      <c r="N201" s="144">
        <v>1.0</v>
      </c>
      <c r="O201" s="140" t="s">
        <v>1879</v>
      </c>
      <c r="P201" s="140" t="s">
        <v>1862</v>
      </c>
      <c r="Q201" s="140"/>
      <c r="R201" s="140"/>
      <c r="S201" s="140"/>
      <c r="T201" s="140"/>
      <c r="U201" s="140"/>
      <c r="V201" s="140"/>
      <c r="W201" s="144"/>
      <c r="X201" s="136"/>
      <c r="Y201" s="136"/>
      <c r="Z201" s="140"/>
      <c r="AA201" s="140"/>
      <c r="AB201" s="140"/>
      <c r="AC201" s="140"/>
      <c r="AD201" s="140"/>
      <c r="AE201" s="140"/>
      <c r="AF201" s="140"/>
      <c r="AG201" s="140"/>
      <c r="AH201" s="140"/>
      <c r="AI201" s="128"/>
      <c r="AJ201" s="137"/>
      <c r="AK201" s="140"/>
      <c r="AL201" s="140"/>
    </row>
    <row r="202" ht="15.75" customHeight="1">
      <c r="A202" s="160">
        <v>201.0</v>
      </c>
      <c r="B202" s="158">
        <f t="shared" si="19"/>
        <v>10201</v>
      </c>
      <c r="C202" s="159" t="s">
        <v>1873</v>
      </c>
      <c r="D202" s="157" t="s">
        <v>2212</v>
      </c>
      <c r="E202" s="160" t="s">
        <v>34</v>
      </c>
      <c r="F202" s="162" t="s">
        <v>2278</v>
      </c>
      <c r="G202" s="162" t="s">
        <v>383</v>
      </c>
      <c r="H202" s="192" t="s">
        <v>2279</v>
      </c>
      <c r="I202" s="164" t="s">
        <v>1843</v>
      </c>
      <c r="J202" s="184" t="s">
        <v>1876</v>
      </c>
      <c r="K202" s="164" t="s">
        <v>1877</v>
      </c>
      <c r="L202" s="168" t="s">
        <v>1878</v>
      </c>
      <c r="M202" s="168" t="s">
        <v>1845</v>
      </c>
      <c r="N202" s="166" t="s">
        <v>1903</v>
      </c>
      <c r="O202" s="167" t="s">
        <v>1879</v>
      </c>
      <c r="P202" s="167" t="s">
        <v>1862</v>
      </c>
      <c r="Q202" s="167"/>
      <c r="R202" s="167"/>
      <c r="S202" s="167"/>
      <c r="T202" s="167"/>
      <c r="U202" s="167"/>
      <c r="V202" s="167"/>
      <c r="W202" s="166" t="s">
        <v>1845</v>
      </c>
      <c r="X202" s="168"/>
      <c r="Y202" s="168"/>
      <c r="Z202" s="167"/>
      <c r="AA202" s="167"/>
      <c r="AB202" s="167"/>
      <c r="AC202" s="167"/>
      <c r="AD202" s="167"/>
      <c r="AE202" s="167"/>
      <c r="AF202" s="167"/>
      <c r="AG202" s="164"/>
      <c r="AH202" s="167"/>
      <c r="AI202" s="164"/>
      <c r="AJ202" s="169"/>
      <c r="AK202" s="167"/>
      <c r="AL202" s="167"/>
    </row>
    <row r="203" ht="15.75" customHeight="1">
      <c r="A203" s="125">
        <v>202.0</v>
      </c>
      <c r="B203" s="138">
        <f t="shared" si="19"/>
        <v>10202</v>
      </c>
      <c r="C203" s="124" t="s">
        <v>1840</v>
      </c>
      <c r="D203" s="122" t="s">
        <v>2212</v>
      </c>
      <c r="E203" s="125" t="s">
        <v>20</v>
      </c>
      <c r="F203" s="127" t="s">
        <v>2280</v>
      </c>
      <c r="G203" s="127" t="s">
        <v>384</v>
      </c>
      <c r="H203" s="191" t="s">
        <v>2281</v>
      </c>
      <c r="I203" s="128" t="s">
        <v>1843</v>
      </c>
      <c r="J203" s="186" t="s">
        <v>1844</v>
      </c>
      <c r="K203" s="128" t="s">
        <v>1844</v>
      </c>
      <c r="L203" s="136" t="s">
        <v>1844</v>
      </c>
      <c r="M203" s="136" t="s">
        <v>1845</v>
      </c>
      <c r="N203" s="144" t="s">
        <v>1844</v>
      </c>
      <c r="O203" s="140" t="s">
        <v>1844</v>
      </c>
      <c r="P203" s="140" t="s">
        <v>1862</v>
      </c>
      <c r="Q203" s="140"/>
      <c r="R203" s="140"/>
      <c r="S203" s="140" t="s">
        <v>1845</v>
      </c>
      <c r="T203" s="140"/>
      <c r="U203" s="140"/>
      <c r="V203" s="140"/>
      <c r="W203" s="144"/>
      <c r="X203" s="136"/>
      <c r="Y203" s="136"/>
      <c r="Z203" s="140"/>
      <c r="AA203" s="140"/>
      <c r="AB203" s="140"/>
      <c r="AC203" s="140"/>
      <c r="AD203" s="140"/>
      <c r="AE203" s="140"/>
      <c r="AF203" s="140"/>
      <c r="AG203" s="140"/>
      <c r="AH203" s="140"/>
      <c r="AI203" s="128"/>
      <c r="AJ203" s="137"/>
      <c r="AK203" s="140"/>
      <c r="AL203" s="140"/>
    </row>
    <row r="204" ht="15.75" customHeight="1">
      <c r="A204" s="151">
        <v>203.0</v>
      </c>
      <c r="B204" s="138">
        <f t="shared" si="19"/>
        <v>10203</v>
      </c>
      <c r="C204" s="179" t="s">
        <v>1840</v>
      </c>
      <c r="D204" s="150" t="s">
        <v>2212</v>
      </c>
      <c r="E204" s="151" t="s">
        <v>34</v>
      </c>
      <c r="F204" s="153" t="s">
        <v>2282</v>
      </c>
      <c r="G204" s="153" t="s">
        <v>386</v>
      </c>
      <c r="H204" s="191" t="s">
        <v>2283</v>
      </c>
      <c r="I204" s="171" t="s">
        <v>1843</v>
      </c>
      <c r="J204" s="143" t="s">
        <v>1902</v>
      </c>
      <c r="K204" s="172" t="s">
        <v>1877</v>
      </c>
      <c r="L204" s="132" t="s">
        <v>1844</v>
      </c>
      <c r="M204" s="132" t="s">
        <v>1845</v>
      </c>
      <c r="N204" s="131">
        <v>1.0</v>
      </c>
      <c r="O204" s="171" t="s">
        <v>1879</v>
      </c>
      <c r="P204" s="171" t="s">
        <v>1895</v>
      </c>
      <c r="Q204" s="171"/>
      <c r="R204" s="171"/>
      <c r="S204" s="171"/>
      <c r="T204" s="171" t="s">
        <v>1845</v>
      </c>
      <c r="U204" s="171"/>
      <c r="V204" s="171"/>
      <c r="W204" s="131"/>
      <c r="X204" s="132"/>
      <c r="Y204" s="132"/>
      <c r="Z204" s="171"/>
      <c r="AA204" s="171"/>
      <c r="AB204" s="171"/>
      <c r="AC204" s="171"/>
      <c r="AD204" s="171"/>
      <c r="AE204" s="171"/>
      <c r="AF204" s="140"/>
      <c r="AG204" s="140"/>
      <c r="AH204" s="140"/>
      <c r="AI204" s="128"/>
      <c r="AJ204" s="137"/>
      <c r="AK204" s="140"/>
      <c r="AL204" s="140"/>
    </row>
    <row r="205" ht="15.75" customHeight="1">
      <c r="A205" s="125">
        <v>204.0</v>
      </c>
      <c r="B205" s="138">
        <f t="shared" si="19"/>
        <v>10204</v>
      </c>
      <c r="C205" s="124" t="s">
        <v>1840</v>
      </c>
      <c r="D205" s="122" t="s">
        <v>2125</v>
      </c>
      <c r="E205" s="125" t="s">
        <v>20</v>
      </c>
      <c r="F205" s="127" t="s">
        <v>2222</v>
      </c>
      <c r="G205" s="127" t="s">
        <v>388</v>
      </c>
      <c r="H205" s="191" t="s">
        <v>2223</v>
      </c>
      <c r="I205" s="128" t="s">
        <v>1843</v>
      </c>
      <c r="J205" s="186" t="s">
        <v>1844</v>
      </c>
      <c r="K205" s="170" t="s">
        <v>1844</v>
      </c>
      <c r="L205" s="136" t="s">
        <v>1844</v>
      </c>
      <c r="M205" s="136" t="s">
        <v>1845</v>
      </c>
      <c r="N205" s="144" t="s">
        <v>1844</v>
      </c>
      <c r="O205" s="140" t="s">
        <v>1844</v>
      </c>
      <c r="P205" s="140" t="s">
        <v>1862</v>
      </c>
      <c r="Q205" s="140"/>
      <c r="R205" s="140"/>
      <c r="S205" s="140"/>
      <c r="T205" s="140" t="s">
        <v>1845</v>
      </c>
      <c r="U205" s="140"/>
      <c r="V205" s="140"/>
      <c r="W205" s="144"/>
      <c r="X205" s="136" t="s">
        <v>1845</v>
      </c>
      <c r="Y205" s="136"/>
      <c r="Z205" s="140"/>
      <c r="AA205" s="140"/>
      <c r="AB205" s="140"/>
      <c r="AC205" s="140"/>
      <c r="AD205" s="140"/>
      <c r="AE205" s="140"/>
      <c r="AF205" s="140"/>
      <c r="AG205" s="140"/>
      <c r="AH205" s="140"/>
      <c r="AI205" s="128"/>
      <c r="AJ205" s="137"/>
      <c r="AK205" s="140"/>
      <c r="AL205" s="140"/>
    </row>
    <row r="206" ht="15.75" customHeight="1">
      <c r="A206" s="160">
        <v>205.0</v>
      </c>
      <c r="B206" s="158">
        <f t="shared" si="19"/>
        <v>10205</v>
      </c>
      <c r="C206" s="159" t="s">
        <v>1873</v>
      </c>
      <c r="D206" s="157" t="s">
        <v>2125</v>
      </c>
      <c r="E206" s="160" t="s">
        <v>34</v>
      </c>
      <c r="F206" s="162" t="s">
        <v>2284</v>
      </c>
      <c r="G206" s="162" t="s">
        <v>390</v>
      </c>
      <c r="H206" s="192" t="s">
        <v>2285</v>
      </c>
      <c r="I206" s="164" t="s">
        <v>1843</v>
      </c>
      <c r="J206" s="184" t="s">
        <v>1876</v>
      </c>
      <c r="K206" s="164" t="s">
        <v>1877</v>
      </c>
      <c r="L206" s="168" t="s">
        <v>1990</v>
      </c>
      <c r="M206" s="168" t="s">
        <v>1845</v>
      </c>
      <c r="N206" s="166" t="s">
        <v>1903</v>
      </c>
      <c r="O206" s="167" t="s">
        <v>1879</v>
      </c>
      <c r="P206" s="167" t="s">
        <v>1862</v>
      </c>
      <c r="Q206" s="167"/>
      <c r="R206" s="167"/>
      <c r="S206" s="167" t="s">
        <v>1845</v>
      </c>
      <c r="T206" s="167"/>
      <c r="U206" s="167"/>
      <c r="V206" s="167"/>
      <c r="W206" s="166"/>
      <c r="X206" s="168"/>
      <c r="Y206" s="168"/>
      <c r="Z206" s="167"/>
      <c r="AA206" s="167"/>
      <c r="AB206" s="167"/>
      <c r="AC206" s="167"/>
      <c r="AD206" s="167"/>
      <c r="AE206" s="167"/>
      <c r="AF206" s="167"/>
      <c r="AG206" s="164"/>
      <c r="AH206" s="167"/>
      <c r="AI206" s="164"/>
      <c r="AJ206" s="169"/>
      <c r="AK206" s="167"/>
      <c r="AL206" s="167"/>
    </row>
    <row r="207" ht="15.75" customHeight="1">
      <c r="A207" s="125">
        <v>206.0</v>
      </c>
      <c r="B207" s="138">
        <f t="shared" si="19"/>
        <v>10206</v>
      </c>
      <c r="C207" s="124" t="s">
        <v>1840</v>
      </c>
      <c r="D207" s="122" t="s">
        <v>2125</v>
      </c>
      <c r="E207" s="125" t="s">
        <v>34</v>
      </c>
      <c r="F207" s="127" t="s">
        <v>2286</v>
      </c>
      <c r="G207" s="127" t="s">
        <v>46</v>
      </c>
      <c r="H207" s="191" t="s">
        <v>2287</v>
      </c>
      <c r="I207" s="128" t="s">
        <v>1906</v>
      </c>
      <c r="J207" s="186" t="s">
        <v>1876</v>
      </c>
      <c r="K207" s="170" t="s">
        <v>1877</v>
      </c>
      <c r="L207" s="136" t="s">
        <v>1844</v>
      </c>
      <c r="M207" s="136" t="s">
        <v>1845</v>
      </c>
      <c r="N207" s="144">
        <v>1.0</v>
      </c>
      <c r="O207" s="140" t="s">
        <v>1879</v>
      </c>
      <c r="P207" s="140" t="s">
        <v>1862</v>
      </c>
      <c r="Q207" s="140"/>
      <c r="R207" s="140"/>
      <c r="S207" s="140"/>
      <c r="T207" s="140"/>
      <c r="U207" s="140"/>
      <c r="V207" s="140"/>
      <c r="W207" s="144"/>
      <c r="X207" s="136"/>
      <c r="Y207" s="136"/>
      <c r="Z207" s="140"/>
      <c r="AA207" s="140"/>
      <c r="AB207" s="140"/>
      <c r="AC207" s="140"/>
      <c r="AD207" s="140"/>
      <c r="AE207" s="140"/>
      <c r="AF207" s="140"/>
      <c r="AG207" s="140"/>
      <c r="AH207" s="140"/>
      <c r="AI207" s="128"/>
      <c r="AJ207" s="137"/>
      <c r="AK207" s="140"/>
      <c r="AL207" s="140"/>
    </row>
    <row r="208" ht="15.75" customHeight="1">
      <c r="A208" s="125">
        <v>207.0</v>
      </c>
      <c r="B208" s="138">
        <f t="shared" si="19"/>
        <v>10207</v>
      </c>
      <c r="C208" s="124" t="s">
        <v>1840</v>
      </c>
      <c r="D208" s="122" t="s">
        <v>2125</v>
      </c>
      <c r="E208" s="125" t="s">
        <v>34</v>
      </c>
      <c r="F208" s="127" t="s">
        <v>2288</v>
      </c>
      <c r="G208" s="127" t="s">
        <v>392</v>
      </c>
      <c r="H208" s="191"/>
      <c r="I208" s="128" t="s">
        <v>1906</v>
      </c>
      <c r="J208" s="186" t="s">
        <v>1876</v>
      </c>
      <c r="K208" s="128" t="s">
        <v>1877</v>
      </c>
      <c r="L208" s="136" t="s">
        <v>1844</v>
      </c>
      <c r="M208" s="136" t="s">
        <v>1845</v>
      </c>
      <c r="N208" s="144" t="s">
        <v>1903</v>
      </c>
      <c r="O208" s="140" t="s">
        <v>1879</v>
      </c>
      <c r="P208" s="140" t="s">
        <v>2072</v>
      </c>
      <c r="Q208" s="140"/>
      <c r="R208" s="140"/>
      <c r="S208" s="140"/>
      <c r="T208" s="140"/>
      <c r="U208" s="140"/>
      <c r="V208" s="140"/>
      <c r="W208" s="144"/>
      <c r="X208" s="136"/>
      <c r="Y208" s="136"/>
      <c r="Z208" s="140"/>
      <c r="AA208" s="140"/>
      <c r="AB208" s="140"/>
      <c r="AC208" s="140"/>
      <c r="AD208" s="140"/>
      <c r="AE208" s="140"/>
      <c r="AF208" s="140"/>
      <c r="AG208" s="140"/>
      <c r="AH208" s="140"/>
      <c r="AI208" s="128"/>
      <c r="AJ208" s="137"/>
      <c r="AK208" s="140"/>
      <c r="AL208" s="140"/>
    </row>
    <row r="209" ht="15.75" customHeight="1">
      <c r="A209" s="125">
        <v>208.0</v>
      </c>
      <c r="B209" s="138">
        <f t="shared" si="19"/>
        <v>10208</v>
      </c>
      <c r="C209" s="124" t="s">
        <v>1840</v>
      </c>
      <c r="D209" s="122" t="s">
        <v>2125</v>
      </c>
      <c r="E209" s="125" t="s">
        <v>34</v>
      </c>
      <c r="F209" s="127" t="s">
        <v>2289</v>
      </c>
      <c r="G209" s="127" t="s">
        <v>394</v>
      </c>
      <c r="H209" s="191"/>
      <c r="I209" s="128" t="s">
        <v>1843</v>
      </c>
      <c r="J209" s="186" t="s">
        <v>1902</v>
      </c>
      <c r="K209" s="170" t="s">
        <v>1877</v>
      </c>
      <c r="L209" s="136" t="s">
        <v>1878</v>
      </c>
      <c r="M209" s="136" t="s">
        <v>1845</v>
      </c>
      <c r="N209" s="144">
        <v>1.0</v>
      </c>
      <c r="O209" s="140" t="s">
        <v>1879</v>
      </c>
      <c r="P209" s="140" t="s">
        <v>2290</v>
      </c>
      <c r="Q209" s="140"/>
      <c r="R209" s="140"/>
      <c r="S209" s="140"/>
      <c r="T209" s="140"/>
      <c r="U209" s="140"/>
      <c r="V209" s="140"/>
      <c r="W209" s="144"/>
      <c r="X209" s="136"/>
      <c r="Y209" s="136"/>
      <c r="Z209" s="140"/>
      <c r="AA209" s="140"/>
      <c r="AB209" s="140"/>
      <c r="AC209" s="140"/>
      <c r="AD209" s="140"/>
      <c r="AE209" s="140"/>
      <c r="AF209" s="140"/>
      <c r="AG209" s="140"/>
      <c r="AH209" s="140"/>
      <c r="AI209" s="128"/>
      <c r="AJ209" s="137"/>
      <c r="AK209" s="140"/>
      <c r="AL209" s="140"/>
    </row>
    <row r="210" ht="15.75" customHeight="1">
      <c r="A210" s="125">
        <v>209.0</v>
      </c>
      <c r="B210" s="123" t="s">
        <v>1742</v>
      </c>
      <c r="C210" s="124" t="s">
        <v>1840</v>
      </c>
      <c r="D210" s="122" t="s">
        <v>2125</v>
      </c>
      <c r="E210" s="125" t="s">
        <v>34</v>
      </c>
      <c r="F210" s="127" t="s">
        <v>2291</v>
      </c>
      <c r="G210" s="127" t="s">
        <v>2292</v>
      </c>
      <c r="H210" s="191"/>
      <c r="I210" s="128" t="s">
        <v>1843</v>
      </c>
      <c r="J210" s="186" t="s">
        <v>1902</v>
      </c>
      <c r="K210" s="170" t="s">
        <v>1877</v>
      </c>
      <c r="L210" s="136" t="s">
        <v>1878</v>
      </c>
      <c r="M210" s="136" t="s">
        <v>1845</v>
      </c>
      <c r="N210" s="144">
        <v>1.0</v>
      </c>
      <c r="O210" s="140" t="s">
        <v>1879</v>
      </c>
      <c r="P210" s="140" t="s">
        <v>1862</v>
      </c>
      <c r="Q210" s="140" t="s">
        <v>1845</v>
      </c>
      <c r="R210" s="140"/>
      <c r="S210" s="140"/>
      <c r="T210" s="140"/>
      <c r="U210" s="140"/>
      <c r="V210" s="140"/>
      <c r="W210" s="144"/>
      <c r="X210" s="136"/>
      <c r="Y210" s="136"/>
      <c r="Z210" s="140"/>
      <c r="AA210" s="140"/>
      <c r="AB210" s="140"/>
      <c r="AC210" s="140"/>
      <c r="AD210" s="140"/>
      <c r="AE210" s="140"/>
      <c r="AF210" s="140"/>
      <c r="AG210" s="140"/>
      <c r="AH210" s="140"/>
      <c r="AI210" s="128"/>
      <c r="AJ210" s="137"/>
      <c r="AK210" s="140"/>
      <c r="AL210" s="140"/>
    </row>
    <row r="211" ht="15.75" customHeight="1">
      <c r="A211" s="125">
        <v>210.0</v>
      </c>
      <c r="B211" s="138">
        <f t="shared" ref="B211:B213" si="20">SUM(A211+10000)</f>
        <v>10210</v>
      </c>
      <c r="C211" s="124" t="s">
        <v>1840</v>
      </c>
      <c r="D211" s="122" t="s">
        <v>2125</v>
      </c>
      <c r="E211" s="125" t="s">
        <v>34</v>
      </c>
      <c r="F211" s="127" t="s">
        <v>2293</v>
      </c>
      <c r="G211" s="127" t="s">
        <v>398</v>
      </c>
      <c r="H211" s="191" t="s">
        <v>2294</v>
      </c>
      <c r="I211" s="128" t="s">
        <v>2036</v>
      </c>
      <c r="J211" s="186" t="s">
        <v>1902</v>
      </c>
      <c r="K211" s="170" t="s">
        <v>1877</v>
      </c>
      <c r="L211" s="136" t="s">
        <v>1844</v>
      </c>
      <c r="M211" s="136" t="s">
        <v>1845</v>
      </c>
      <c r="N211" s="144">
        <v>1.0</v>
      </c>
      <c r="O211" s="140" t="s">
        <v>1879</v>
      </c>
      <c r="P211" s="140" t="s">
        <v>1862</v>
      </c>
      <c r="Q211" s="140"/>
      <c r="R211" s="140"/>
      <c r="S211" s="140"/>
      <c r="T211" s="140"/>
      <c r="U211" s="140"/>
      <c r="V211" s="140"/>
      <c r="W211" s="144"/>
      <c r="X211" s="136"/>
      <c r="Y211" s="136"/>
      <c r="Z211" s="140"/>
      <c r="AA211" s="140"/>
      <c r="AB211" s="140"/>
      <c r="AC211" s="140"/>
      <c r="AD211" s="140"/>
      <c r="AE211" s="140"/>
      <c r="AF211" s="140"/>
      <c r="AG211" s="140"/>
      <c r="AH211" s="140"/>
      <c r="AI211" s="128"/>
      <c r="AJ211" s="137"/>
      <c r="AK211" s="140"/>
      <c r="AL211" s="140"/>
    </row>
    <row r="212" ht="15.75" customHeight="1">
      <c r="A212" s="160">
        <v>211.0</v>
      </c>
      <c r="B212" s="158">
        <f t="shared" si="20"/>
        <v>10211</v>
      </c>
      <c r="C212" s="159" t="s">
        <v>1873</v>
      </c>
      <c r="D212" s="157" t="s">
        <v>2125</v>
      </c>
      <c r="E212" s="160" t="s">
        <v>34</v>
      </c>
      <c r="F212" s="162" t="s">
        <v>2295</v>
      </c>
      <c r="G212" s="162" t="s">
        <v>399</v>
      </c>
      <c r="H212" s="192" t="s">
        <v>2296</v>
      </c>
      <c r="I212" s="164" t="s">
        <v>1906</v>
      </c>
      <c r="J212" s="184" t="s">
        <v>1876</v>
      </c>
      <c r="K212" s="177" t="s">
        <v>1877</v>
      </c>
      <c r="L212" s="168" t="s">
        <v>1990</v>
      </c>
      <c r="M212" s="168" t="s">
        <v>1845</v>
      </c>
      <c r="N212" s="166" t="s">
        <v>1903</v>
      </c>
      <c r="O212" s="167" t="s">
        <v>1879</v>
      </c>
      <c r="P212" s="167" t="s">
        <v>1862</v>
      </c>
      <c r="Q212" s="167"/>
      <c r="R212" s="167"/>
      <c r="S212" s="167"/>
      <c r="T212" s="167"/>
      <c r="U212" s="167"/>
      <c r="V212" s="167"/>
      <c r="W212" s="166"/>
      <c r="X212" s="168"/>
      <c r="Y212" s="168"/>
      <c r="Z212" s="167"/>
      <c r="AA212" s="167"/>
      <c r="AB212" s="167"/>
      <c r="AC212" s="167"/>
      <c r="AD212" s="167"/>
      <c r="AE212" s="167"/>
      <c r="AF212" s="167"/>
      <c r="AG212" s="164"/>
      <c r="AH212" s="167"/>
      <c r="AI212" s="164"/>
      <c r="AJ212" s="169"/>
      <c r="AK212" s="167"/>
      <c r="AL212" s="167"/>
    </row>
    <row r="213" ht="15.75" customHeight="1">
      <c r="A213" s="125">
        <v>212.0</v>
      </c>
      <c r="B213" s="138">
        <f t="shared" si="20"/>
        <v>10212</v>
      </c>
      <c r="C213" s="124" t="s">
        <v>1840</v>
      </c>
      <c r="D213" s="122" t="s">
        <v>2125</v>
      </c>
      <c r="E213" s="125" t="s">
        <v>7</v>
      </c>
      <c r="F213" s="127" t="s">
        <v>2297</v>
      </c>
      <c r="G213" s="127" t="s">
        <v>400</v>
      </c>
      <c r="H213" s="194" t="s">
        <v>2298</v>
      </c>
      <c r="I213" s="128" t="s">
        <v>1906</v>
      </c>
      <c r="J213" s="186" t="s">
        <v>1844</v>
      </c>
      <c r="K213" s="170" t="s">
        <v>1844</v>
      </c>
      <c r="L213" s="136" t="s">
        <v>1844</v>
      </c>
      <c r="M213" s="136" t="s">
        <v>1844</v>
      </c>
      <c r="N213" s="144" t="s">
        <v>1844</v>
      </c>
      <c r="O213" s="140" t="s">
        <v>1844</v>
      </c>
      <c r="P213" s="140" t="s">
        <v>1844</v>
      </c>
      <c r="Q213" s="140"/>
      <c r="R213" s="140"/>
      <c r="S213" s="140"/>
      <c r="T213" s="140"/>
      <c r="U213" s="140"/>
      <c r="V213" s="140" t="s">
        <v>1845</v>
      </c>
      <c r="W213" s="144"/>
      <c r="X213" s="136"/>
      <c r="Y213" s="136"/>
      <c r="Z213" s="140"/>
      <c r="AA213" s="140"/>
      <c r="AB213" s="140"/>
      <c r="AC213" s="140"/>
      <c r="AD213" s="140"/>
      <c r="AE213" s="140"/>
      <c r="AF213" s="140"/>
      <c r="AG213" s="128"/>
      <c r="AH213" s="140"/>
      <c r="AI213" s="128"/>
      <c r="AJ213" s="137"/>
      <c r="AK213" s="140"/>
      <c r="AL213" s="140"/>
    </row>
    <row r="214" ht="15.75" customHeight="1">
      <c r="A214" s="125">
        <v>213.0</v>
      </c>
      <c r="B214" s="123" t="s">
        <v>1742</v>
      </c>
      <c r="C214" s="124" t="s">
        <v>1840</v>
      </c>
      <c r="D214" s="122" t="s">
        <v>2125</v>
      </c>
      <c r="E214" s="125" t="s">
        <v>7</v>
      </c>
      <c r="F214" s="127" t="s">
        <v>2299</v>
      </c>
      <c r="G214" s="127" t="s">
        <v>402</v>
      </c>
      <c r="H214" s="191" t="s">
        <v>2300</v>
      </c>
      <c r="I214" s="128" t="s">
        <v>1843</v>
      </c>
      <c r="J214" s="186" t="s">
        <v>1844</v>
      </c>
      <c r="K214" s="170" t="s">
        <v>1844</v>
      </c>
      <c r="L214" s="136" t="s">
        <v>1844</v>
      </c>
      <c r="M214" s="136" t="s">
        <v>1844</v>
      </c>
      <c r="N214" s="144" t="s">
        <v>1844</v>
      </c>
      <c r="O214" s="140" t="s">
        <v>1844</v>
      </c>
      <c r="P214" s="140" t="s">
        <v>1844</v>
      </c>
      <c r="Q214" s="140" t="s">
        <v>1845</v>
      </c>
      <c r="R214" s="140"/>
      <c r="S214" s="140"/>
      <c r="T214" s="140"/>
      <c r="U214" s="140"/>
      <c r="V214" s="140"/>
      <c r="W214" s="144"/>
      <c r="X214" s="136"/>
      <c r="Y214" s="136"/>
      <c r="Z214" s="140"/>
      <c r="AA214" s="140"/>
      <c r="AB214" s="140"/>
      <c r="AC214" s="140"/>
      <c r="AD214" s="140"/>
      <c r="AE214" s="140"/>
      <c r="AF214" s="140"/>
      <c r="AG214" s="140"/>
      <c r="AH214" s="140"/>
      <c r="AI214" s="128"/>
      <c r="AJ214" s="137"/>
      <c r="AK214" s="140"/>
      <c r="AL214" s="140"/>
    </row>
    <row r="215" ht="15.75" customHeight="1">
      <c r="A215" s="125">
        <v>214.0</v>
      </c>
      <c r="B215" s="138">
        <f>SUM(A215+10000)</f>
        <v>10214</v>
      </c>
      <c r="C215" s="124" t="s">
        <v>1840</v>
      </c>
      <c r="D215" s="122" t="s">
        <v>2125</v>
      </c>
      <c r="E215" s="125" t="s">
        <v>34</v>
      </c>
      <c r="F215" s="127" t="s">
        <v>2301</v>
      </c>
      <c r="G215" s="127" t="s">
        <v>404</v>
      </c>
      <c r="H215" s="191" t="s">
        <v>2302</v>
      </c>
      <c r="I215" s="128" t="s">
        <v>1843</v>
      </c>
      <c r="J215" s="186" t="s">
        <v>1902</v>
      </c>
      <c r="K215" s="170" t="s">
        <v>1877</v>
      </c>
      <c r="L215" s="136" t="s">
        <v>1990</v>
      </c>
      <c r="M215" s="136" t="s">
        <v>1845</v>
      </c>
      <c r="N215" s="144" t="s">
        <v>1903</v>
      </c>
      <c r="O215" s="140" t="s">
        <v>1879</v>
      </c>
      <c r="P215" s="140" t="s">
        <v>1862</v>
      </c>
      <c r="Q215" s="140"/>
      <c r="R215" s="140"/>
      <c r="S215" s="140"/>
      <c r="T215" s="140"/>
      <c r="U215" s="140"/>
      <c r="V215" s="140"/>
      <c r="W215" s="144"/>
      <c r="X215" s="136"/>
      <c r="Y215" s="136"/>
      <c r="Z215" s="140"/>
      <c r="AA215" s="140"/>
      <c r="AB215" s="140"/>
      <c r="AC215" s="140"/>
      <c r="AD215" s="140"/>
      <c r="AE215" s="140"/>
      <c r="AF215" s="140"/>
      <c r="AG215" s="140"/>
      <c r="AH215" s="140"/>
      <c r="AI215" s="128"/>
      <c r="AJ215" s="137"/>
      <c r="AK215" s="140"/>
      <c r="AL215" s="140"/>
    </row>
    <row r="216" ht="15.75" customHeight="1">
      <c r="A216" s="125">
        <v>215.0</v>
      </c>
      <c r="B216" s="123" t="s">
        <v>1742</v>
      </c>
      <c r="C216" s="124" t="s">
        <v>1840</v>
      </c>
      <c r="D216" s="122" t="s">
        <v>2125</v>
      </c>
      <c r="E216" s="125" t="s">
        <v>7</v>
      </c>
      <c r="F216" s="127" t="s">
        <v>2303</v>
      </c>
      <c r="G216" s="127" t="s">
        <v>406</v>
      </c>
      <c r="H216" s="191" t="s">
        <v>2304</v>
      </c>
      <c r="I216" s="128" t="s">
        <v>2036</v>
      </c>
      <c r="J216" s="186" t="s">
        <v>1844</v>
      </c>
      <c r="K216" s="128" t="s">
        <v>1844</v>
      </c>
      <c r="L216" s="136" t="s">
        <v>1844</v>
      </c>
      <c r="M216" s="136" t="s">
        <v>1844</v>
      </c>
      <c r="N216" s="144" t="s">
        <v>1844</v>
      </c>
      <c r="O216" s="140" t="s">
        <v>1844</v>
      </c>
      <c r="P216" s="140" t="s">
        <v>1844</v>
      </c>
      <c r="Q216" s="140" t="s">
        <v>1845</v>
      </c>
      <c r="R216" s="140"/>
      <c r="S216" s="140"/>
      <c r="T216" s="140"/>
      <c r="U216" s="140"/>
      <c r="V216" s="140"/>
      <c r="W216" s="144"/>
      <c r="X216" s="136" t="s">
        <v>1845</v>
      </c>
      <c r="Y216" s="136"/>
      <c r="Z216" s="140"/>
      <c r="AA216" s="140"/>
      <c r="AB216" s="140"/>
      <c r="AC216" s="140"/>
      <c r="AD216" s="140"/>
      <c r="AE216" s="140"/>
      <c r="AF216" s="140"/>
      <c r="AG216" s="140"/>
      <c r="AH216" s="140"/>
      <c r="AI216" s="128"/>
      <c r="AJ216" s="137"/>
      <c r="AK216" s="140"/>
      <c r="AL216" s="140"/>
    </row>
    <row r="217" ht="15.75" customHeight="1">
      <c r="A217" s="125">
        <v>216.0</v>
      </c>
      <c r="B217" s="123" t="s">
        <v>1742</v>
      </c>
      <c r="C217" s="124" t="s">
        <v>1840</v>
      </c>
      <c r="D217" s="122" t="s">
        <v>2125</v>
      </c>
      <c r="E217" s="125" t="s">
        <v>7</v>
      </c>
      <c r="F217" s="220"/>
      <c r="G217" s="127" t="s">
        <v>8</v>
      </c>
      <c r="H217" s="191" t="s">
        <v>2305</v>
      </c>
      <c r="I217" s="128" t="s">
        <v>2036</v>
      </c>
      <c r="J217" s="186" t="s">
        <v>1844</v>
      </c>
      <c r="K217" s="128" t="s">
        <v>1844</v>
      </c>
      <c r="L217" s="136" t="s">
        <v>1844</v>
      </c>
      <c r="M217" s="136" t="s">
        <v>1844</v>
      </c>
      <c r="N217" s="144" t="s">
        <v>1844</v>
      </c>
      <c r="O217" s="140" t="s">
        <v>1844</v>
      </c>
      <c r="P217" s="140" t="s">
        <v>1844</v>
      </c>
      <c r="Q217" s="140" t="s">
        <v>1845</v>
      </c>
      <c r="R217" s="140"/>
      <c r="S217" s="140"/>
      <c r="T217" s="140"/>
      <c r="U217" s="140"/>
      <c r="V217" s="140"/>
      <c r="W217" s="144"/>
      <c r="X217" s="136"/>
      <c r="Y217" s="136"/>
      <c r="Z217" s="140"/>
      <c r="AA217" s="140"/>
      <c r="AB217" s="140"/>
      <c r="AC217" s="140"/>
      <c r="AD217" s="140"/>
      <c r="AE217" s="140"/>
      <c r="AF217" s="140"/>
      <c r="AG217" s="140"/>
      <c r="AH217" s="140"/>
      <c r="AI217" s="128"/>
      <c r="AJ217" s="137"/>
      <c r="AK217" s="140"/>
      <c r="AL217" s="140"/>
    </row>
    <row r="218" ht="15.75" customHeight="1">
      <c r="A218" s="125">
        <v>217.0</v>
      </c>
      <c r="B218" s="138">
        <f t="shared" ref="B218:B220" si="21">SUM(A218+10000)</f>
        <v>10217</v>
      </c>
      <c r="C218" s="124" t="s">
        <v>1840</v>
      </c>
      <c r="D218" s="122" t="s">
        <v>2125</v>
      </c>
      <c r="E218" s="125" t="s">
        <v>34</v>
      </c>
      <c r="F218" s="127" t="s">
        <v>2306</v>
      </c>
      <c r="G218" s="127" t="s">
        <v>409</v>
      </c>
      <c r="H218" s="191" t="s">
        <v>2307</v>
      </c>
      <c r="I218" s="128" t="s">
        <v>2036</v>
      </c>
      <c r="J218" s="186" t="s">
        <v>1902</v>
      </c>
      <c r="K218" s="170" t="s">
        <v>1877</v>
      </c>
      <c r="L218" s="136" t="s">
        <v>1878</v>
      </c>
      <c r="M218" s="136" t="s">
        <v>1845</v>
      </c>
      <c r="N218" s="144">
        <v>1.0</v>
      </c>
      <c r="O218" s="140" t="s">
        <v>1879</v>
      </c>
      <c r="P218" s="140" t="s">
        <v>1862</v>
      </c>
      <c r="Q218" s="140"/>
      <c r="R218" s="140"/>
      <c r="S218" s="140"/>
      <c r="T218" s="140"/>
      <c r="U218" s="140"/>
      <c r="V218" s="140"/>
      <c r="W218" s="144"/>
      <c r="X218" s="136"/>
      <c r="Y218" s="136"/>
      <c r="Z218" s="140"/>
      <c r="AA218" s="140"/>
      <c r="AB218" s="140"/>
      <c r="AC218" s="140"/>
      <c r="AD218" s="140"/>
      <c r="AE218" s="140"/>
      <c r="AF218" s="140"/>
      <c r="AG218" s="140"/>
      <c r="AH218" s="140"/>
      <c r="AI218" s="128"/>
      <c r="AJ218" s="137"/>
      <c r="AK218" s="140"/>
      <c r="AL218" s="140"/>
    </row>
    <row r="219" ht="15.75" customHeight="1">
      <c r="A219" s="125">
        <v>218.0</v>
      </c>
      <c r="B219" s="138">
        <f t="shared" si="21"/>
        <v>10218</v>
      </c>
      <c r="C219" s="124" t="s">
        <v>1840</v>
      </c>
      <c r="D219" s="122" t="s">
        <v>2125</v>
      </c>
      <c r="E219" s="125" t="s">
        <v>20</v>
      </c>
      <c r="F219" s="198" t="s">
        <v>2308</v>
      </c>
      <c r="G219" s="127" t="s">
        <v>108</v>
      </c>
      <c r="H219" s="191" t="s">
        <v>2309</v>
      </c>
      <c r="I219" s="128" t="s">
        <v>2036</v>
      </c>
      <c r="J219" s="186" t="s">
        <v>1844</v>
      </c>
      <c r="K219" s="128" t="s">
        <v>1844</v>
      </c>
      <c r="L219" s="136" t="s">
        <v>1844</v>
      </c>
      <c r="M219" s="136" t="s">
        <v>1845</v>
      </c>
      <c r="N219" s="144" t="s">
        <v>1844</v>
      </c>
      <c r="O219" s="140" t="s">
        <v>1844</v>
      </c>
      <c r="P219" s="140" t="s">
        <v>1895</v>
      </c>
      <c r="Q219" s="140"/>
      <c r="R219" s="140"/>
      <c r="S219" s="140"/>
      <c r="T219" s="140"/>
      <c r="U219" s="140"/>
      <c r="V219" s="140"/>
      <c r="W219" s="144"/>
      <c r="X219" s="136"/>
      <c r="Y219" s="136"/>
      <c r="Z219" s="140"/>
      <c r="AA219" s="140"/>
      <c r="AB219" s="140"/>
      <c r="AC219" s="140"/>
      <c r="AD219" s="140"/>
      <c r="AE219" s="140"/>
      <c r="AF219" s="140"/>
      <c r="AG219" s="140"/>
      <c r="AH219" s="140"/>
      <c r="AI219" s="128"/>
      <c r="AJ219" s="137"/>
      <c r="AK219" s="140"/>
      <c r="AL219" s="140"/>
    </row>
    <row r="220" ht="15.75" customHeight="1">
      <c r="A220" s="151">
        <v>219.0</v>
      </c>
      <c r="B220" s="138">
        <f t="shared" si="21"/>
        <v>10219</v>
      </c>
      <c r="C220" s="179" t="s">
        <v>1840</v>
      </c>
      <c r="D220" s="150" t="s">
        <v>2125</v>
      </c>
      <c r="E220" s="151" t="s">
        <v>7</v>
      </c>
      <c r="F220" s="153" t="s">
        <v>2310</v>
      </c>
      <c r="G220" s="127" t="s">
        <v>412</v>
      </c>
      <c r="H220" s="191" t="s">
        <v>2311</v>
      </c>
      <c r="I220" s="129" t="s">
        <v>2036</v>
      </c>
      <c r="J220" s="143" t="s">
        <v>1844</v>
      </c>
      <c r="K220" s="129" t="s">
        <v>1844</v>
      </c>
      <c r="L220" s="132" t="s">
        <v>1844</v>
      </c>
      <c r="M220" s="132" t="s">
        <v>1844</v>
      </c>
      <c r="N220" s="131" t="s">
        <v>1844</v>
      </c>
      <c r="O220" s="171" t="s">
        <v>1844</v>
      </c>
      <c r="P220" s="171" t="s">
        <v>1844</v>
      </c>
      <c r="Q220" s="171"/>
      <c r="R220" s="171"/>
      <c r="S220" s="171" t="s">
        <v>1845</v>
      </c>
      <c r="T220" s="171"/>
      <c r="U220" s="171"/>
      <c r="V220" s="171"/>
      <c r="W220" s="131"/>
      <c r="X220" s="132" t="s">
        <v>1845</v>
      </c>
      <c r="Y220" s="132"/>
      <c r="Z220" s="171"/>
      <c r="AA220" s="171"/>
      <c r="AB220" s="171"/>
      <c r="AC220" s="171"/>
      <c r="AD220" s="171"/>
      <c r="AE220" s="171"/>
      <c r="AF220" s="140"/>
      <c r="AG220" s="128"/>
      <c r="AH220" s="140"/>
      <c r="AI220" s="128"/>
      <c r="AJ220" s="137"/>
      <c r="AK220" s="140"/>
      <c r="AL220" s="140"/>
    </row>
    <row r="221" ht="15.75" customHeight="1">
      <c r="A221" s="125">
        <v>220.0</v>
      </c>
      <c r="B221" s="123" t="s">
        <v>1742</v>
      </c>
      <c r="C221" s="124" t="s">
        <v>1840</v>
      </c>
      <c r="D221" s="122" t="s">
        <v>2125</v>
      </c>
      <c r="E221" s="125" t="s">
        <v>7</v>
      </c>
      <c r="F221" s="127" t="s">
        <v>2312</v>
      </c>
      <c r="G221" s="127" t="s">
        <v>414</v>
      </c>
      <c r="H221" s="191" t="s">
        <v>2313</v>
      </c>
      <c r="I221" s="128" t="s">
        <v>2036</v>
      </c>
      <c r="J221" s="186" t="s">
        <v>1844</v>
      </c>
      <c r="K221" s="170" t="s">
        <v>1844</v>
      </c>
      <c r="L221" s="136" t="s">
        <v>1844</v>
      </c>
      <c r="M221" s="136" t="s">
        <v>1844</v>
      </c>
      <c r="N221" s="144" t="s">
        <v>1844</v>
      </c>
      <c r="O221" s="140" t="s">
        <v>1844</v>
      </c>
      <c r="P221" s="140" t="s">
        <v>1844</v>
      </c>
      <c r="Q221" s="140" t="s">
        <v>1845</v>
      </c>
      <c r="R221" s="140"/>
      <c r="S221" s="140" t="s">
        <v>1845</v>
      </c>
      <c r="T221" s="140"/>
      <c r="U221" s="140"/>
      <c r="V221" s="140"/>
      <c r="W221" s="144"/>
      <c r="X221" s="136" t="s">
        <v>1845</v>
      </c>
      <c r="Y221" s="136"/>
      <c r="Z221" s="140"/>
      <c r="AA221" s="140"/>
      <c r="AB221" s="140"/>
      <c r="AC221" s="140"/>
      <c r="AD221" s="140"/>
      <c r="AE221" s="140"/>
      <c r="AF221" s="140"/>
      <c r="AG221" s="140"/>
      <c r="AH221" s="140"/>
      <c r="AI221" s="128"/>
      <c r="AJ221" s="137"/>
      <c r="AK221" s="140"/>
      <c r="AL221" s="140"/>
    </row>
    <row r="222" ht="15.75" customHeight="1">
      <c r="A222" s="125">
        <v>221.0</v>
      </c>
      <c r="B222" s="138">
        <f t="shared" ref="B222:B248" si="22">SUM(A222+10000)</f>
        <v>10221</v>
      </c>
      <c r="C222" s="124" t="s">
        <v>1840</v>
      </c>
      <c r="D222" s="122" t="s">
        <v>2212</v>
      </c>
      <c r="E222" s="125" t="s">
        <v>34</v>
      </c>
      <c r="F222" s="127" t="s">
        <v>2314</v>
      </c>
      <c r="G222" s="127" t="s">
        <v>416</v>
      </c>
      <c r="H222" s="191" t="s">
        <v>2315</v>
      </c>
      <c r="I222" s="140" t="s">
        <v>1843</v>
      </c>
      <c r="J222" s="186" t="s">
        <v>1902</v>
      </c>
      <c r="K222" s="128" t="s">
        <v>1877</v>
      </c>
      <c r="L222" s="136" t="s">
        <v>1844</v>
      </c>
      <c r="M222" s="136" t="s">
        <v>1845</v>
      </c>
      <c r="N222" s="144">
        <v>1.0</v>
      </c>
      <c r="O222" s="140" t="s">
        <v>1879</v>
      </c>
      <c r="P222" s="140" t="s">
        <v>1895</v>
      </c>
      <c r="Q222" s="140"/>
      <c r="R222" s="140"/>
      <c r="S222" s="140"/>
      <c r="T222" s="140" t="s">
        <v>1845</v>
      </c>
      <c r="U222" s="140"/>
      <c r="V222" s="140"/>
      <c r="W222" s="144"/>
      <c r="X222" s="136"/>
      <c r="Y222" s="136"/>
      <c r="Z222" s="140"/>
      <c r="AA222" s="140"/>
      <c r="AB222" s="140"/>
      <c r="AC222" s="140"/>
      <c r="AD222" s="140"/>
      <c r="AE222" s="140"/>
      <c r="AF222" s="140"/>
      <c r="AG222" s="140"/>
      <c r="AH222" s="140"/>
      <c r="AI222" s="128"/>
      <c r="AJ222" s="137"/>
      <c r="AK222" s="140"/>
      <c r="AL222" s="140"/>
    </row>
    <row r="223" ht="15.75" customHeight="1">
      <c r="A223" s="151">
        <v>222.0</v>
      </c>
      <c r="B223" s="138">
        <f t="shared" si="22"/>
        <v>10222</v>
      </c>
      <c r="C223" s="179" t="s">
        <v>1840</v>
      </c>
      <c r="D223" s="150" t="s">
        <v>2125</v>
      </c>
      <c r="E223" s="151" t="s">
        <v>34</v>
      </c>
      <c r="F223" s="153" t="s">
        <v>2316</v>
      </c>
      <c r="G223" s="153" t="s">
        <v>418</v>
      </c>
      <c r="H223" s="191" t="s">
        <v>2317</v>
      </c>
      <c r="I223" s="129" t="s">
        <v>2036</v>
      </c>
      <c r="J223" s="143" t="s">
        <v>1876</v>
      </c>
      <c r="K223" s="129" t="s">
        <v>1877</v>
      </c>
      <c r="L223" s="132" t="s">
        <v>1844</v>
      </c>
      <c r="M223" s="132" t="s">
        <v>1845</v>
      </c>
      <c r="N223" s="131">
        <v>1.0</v>
      </c>
      <c r="O223" s="171" t="s">
        <v>1879</v>
      </c>
      <c r="P223" s="171" t="s">
        <v>2318</v>
      </c>
      <c r="Q223" s="171"/>
      <c r="R223" s="171"/>
      <c r="S223" s="171" t="s">
        <v>1845</v>
      </c>
      <c r="T223" s="171"/>
      <c r="U223" s="171"/>
      <c r="V223" s="171"/>
      <c r="W223" s="131"/>
      <c r="X223" s="132"/>
      <c r="Y223" s="132"/>
      <c r="Z223" s="171"/>
      <c r="AA223" s="171"/>
      <c r="AB223" s="171"/>
      <c r="AC223" s="171"/>
      <c r="AD223" s="171"/>
      <c r="AE223" s="171"/>
      <c r="AF223" s="140"/>
      <c r="AG223" s="140"/>
      <c r="AH223" s="140"/>
      <c r="AI223" s="128"/>
      <c r="AJ223" s="137"/>
      <c r="AK223" s="140"/>
      <c r="AL223" s="140"/>
    </row>
    <row r="224" ht="15.75" customHeight="1">
      <c r="A224" s="151">
        <v>223.0</v>
      </c>
      <c r="B224" s="138">
        <f t="shared" si="22"/>
        <v>10223</v>
      </c>
      <c r="C224" s="179" t="s">
        <v>1840</v>
      </c>
      <c r="D224" s="150" t="s">
        <v>2125</v>
      </c>
      <c r="E224" s="151" t="s">
        <v>20</v>
      </c>
      <c r="F224" s="153" t="s">
        <v>2319</v>
      </c>
      <c r="G224" s="153" t="s">
        <v>420</v>
      </c>
      <c r="H224" s="140" t="s">
        <v>1844</v>
      </c>
      <c r="I224" s="129" t="s">
        <v>1906</v>
      </c>
      <c r="J224" s="143" t="s">
        <v>1844</v>
      </c>
      <c r="K224" s="129" t="s">
        <v>1844</v>
      </c>
      <c r="L224" s="132" t="s">
        <v>1844</v>
      </c>
      <c r="M224" s="132" t="s">
        <v>1845</v>
      </c>
      <c r="N224" s="131" t="s">
        <v>1844</v>
      </c>
      <c r="O224" s="171" t="s">
        <v>1844</v>
      </c>
      <c r="P224" s="171" t="s">
        <v>1964</v>
      </c>
      <c r="Q224" s="171"/>
      <c r="R224" s="171"/>
      <c r="S224" s="171" t="s">
        <v>1845</v>
      </c>
      <c r="T224" s="171"/>
      <c r="U224" s="171"/>
      <c r="V224" s="171"/>
      <c r="W224" s="131"/>
      <c r="X224" s="132"/>
      <c r="Y224" s="132"/>
      <c r="Z224" s="171"/>
      <c r="AA224" s="171"/>
      <c r="AB224" s="171"/>
      <c r="AC224" s="171"/>
      <c r="AD224" s="171"/>
      <c r="AE224" s="171"/>
      <c r="AF224" s="140"/>
      <c r="AG224" s="140"/>
      <c r="AH224" s="140"/>
      <c r="AI224" s="128"/>
      <c r="AJ224" s="137"/>
      <c r="AK224" s="140"/>
      <c r="AL224" s="140"/>
    </row>
    <row r="225" ht="15.75" customHeight="1">
      <c r="A225" s="125">
        <v>224.0</v>
      </c>
      <c r="B225" s="138">
        <f t="shared" si="22"/>
        <v>10224</v>
      </c>
      <c r="C225" s="124" t="s">
        <v>1840</v>
      </c>
      <c r="D225" s="122" t="s">
        <v>2125</v>
      </c>
      <c r="E225" s="125" t="s">
        <v>20</v>
      </c>
      <c r="F225" s="127" t="s">
        <v>2320</v>
      </c>
      <c r="G225" s="127" t="s">
        <v>422</v>
      </c>
      <c r="H225" s="140" t="s">
        <v>1844</v>
      </c>
      <c r="I225" s="128" t="s">
        <v>1906</v>
      </c>
      <c r="J225" s="186" t="s">
        <v>1844</v>
      </c>
      <c r="K225" s="170" t="s">
        <v>1844</v>
      </c>
      <c r="L225" s="136" t="s">
        <v>1844</v>
      </c>
      <c r="M225" s="136" t="s">
        <v>1845</v>
      </c>
      <c r="N225" s="144" t="s">
        <v>1844</v>
      </c>
      <c r="O225" s="140" t="s">
        <v>1844</v>
      </c>
      <c r="P225" s="140" t="s">
        <v>1964</v>
      </c>
      <c r="Q225" s="140"/>
      <c r="R225" s="140"/>
      <c r="S225" s="140"/>
      <c r="T225" s="140"/>
      <c r="U225" s="140"/>
      <c r="V225" s="140"/>
      <c r="W225" s="144"/>
      <c r="X225" s="136"/>
      <c r="Y225" s="136"/>
      <c r="Z225" s="140"/>
      <c r="AA225" s="140"/>
      <c r="AB225" s="140"/>
      <c r="AC225" s="140"/>
      <c r="AD225" s="140"/>
      <c r="AE225" s="140"/>
      <c r="AF225" s="140"/>
      <c r="AG225" s="140"/>
      <c r="AH225" s="140"/>
      <c r="AI225" s="128"/>
      <c r="AJ225" s="137"/>
      <c r="AK225" s="140"/>
      <c r="AL225" s="140"/>
    </row>
    <row r="226" ht="15.75" customHeight="1">
      <c r="A226" s="160">
        <v>225.0</v>
      </c>
      <c r="B226" s="158">
        <f t="shared" si="22"/>
        <v>10225</v>
      </c>
      <c r="C226" s="159" t="s">
        <v>1873</v>
      </c>
      <c r="D226" s="157" t="s">
        <v>2125</v>
      </c>
      <c r="E226" s="160" t="s">
        <v>34</v>
      </c>
      <c r="F226" s="162" t="s">
        <v>2321</v>
      </c>
      <c r="G226" s="162" t="s">
        <v>424</v>
      </c>
      <c r="H226" s="167" t="s">
        <v>1844</v>
      </c>
      <c r="I226" s="164" t="s">
        <v>1906</v>
      </c>
      <c r="J226" s="184" t="s">
        <v>1876</v>
      </c>
      <c r="K226" s="177" t="s">
        <v>1877</v>
      </c>
      <c r="L226" s="168" t="s">
        <v>1878</v>
      </c>
      <c r="M226" s="168" t="s">
        <v>1845</v>
      </c>
      <c r="N226" s="166" t="s">
        <v>1903</v>
      </c>
      <c r="O226" s="167" t="s">
        <v>1879</v>
      </c>
      <c r="P226" s="167" t="s">
        <v>1964</v>
      </c>
      <c r="Q226" s="167"/>
      <c r="R226" s="167"/>
      <c r="S226" s="167"/>
      <c r="T226" s="167"/>
      <c r="U226" s="167"/>
      <c r="V226" s="167"/>
      <c r="W226" s="166"/>
      <c r="X226" s="168"/>
      <c r="Y226" s="168"/>
      <c r="Z226" s="167"/>
      <c r="AA226" s="167"/>
      <c r="AB226" s="167"/>
      <c r="AC226" s="167"/>
      <c r="AD226" s="167"/>
      <c r="AE226" s="167"/>
      <c r="AF226" s="167"/>
      <c r="AG226" s="164"/>
      <c r="AH226" s="167"/>
      <c r="AI226" s="164"/>
      <c r="AJ226" s="169"/>
      <c r="AK226" s="167"/>
      <c r="AL226" s="167"/>
    </row>
    <row r="227" ht="15.75" customHeight="1">
      <c r="A227" s="125">
        <v>226.0</v>
      </c>
      <c r="B227" s="138">
        <f t="shared" si="22"/>
        <v>10226</v>
      </c>
      <c r="C227" s="124" t="s">
        <v>1840</v>
      </c>
      <c r="D227" s="122" t="s">
        <v>2125</v>
      </c>
      <c r="E227" s="125" t="s">
        <v>7</v>
      </c>
      <c r="F227" s="127" t="s">
        <v>2322</v>
      </c>
      <c r="G227" s="127" t="s">
        <v>2323</v>
      </c>
      <c r="H227" s="140" t="s">
        <v>1844</v>
      </c>
      <c r="I227" s="128" t="s">
        <v>1906</v>
      </c>
      <c r="J227" s="186" t="s">
        <v>1844</v>
      </c>
      <c r="K227" s="128" t="s">
        <v>1844</v>
      </c>
      <c r="L227" s="136" t="s">
        <v>1844</v>
      </c>
      <c r="M227" s="136" t="s">
        <v>1844</v>
      </c>
      <c r="N227" s="144" t="s">
        <v>1844</v>
      </c>
      <c r="O227" s="140" t="s">
        <v>1844</v>
      </c>
      <c r="P227" s="140" t="s">
        <v>1844</v>
      </c>
      <c r="Q227" s="140"/>
      <c r="R227" s="140"/>
      <c r="S227" s="140" t="s">
        <v>1845</v>
      </c>
      <c r="T227" s="140"/>
      <c r="U227" s="140"/>
      <c r="V227" s="140"/>
      <c r="W227" s="144"/>
      <c r="X227" s="136"/>
      <c r="Y227" s="136"/>
      <c r="Z227" s="140"/>
      <c r="AA227" s="140"/>
      <c r="AB227" s="140"/>
      <c r="AC227" s="140"/>
      <c r="AD227" s="140"/>
      <c r="AE227" s="140"/>
      <c r="AF227" s="140"/>
      <c r="AG227" s="140"/>
      <c r="AH227" s="140"/>
      <c r="AI227" s="128"/>
      <c r="AJ227" s="137"/>
      <c r="AK227" s="140"/>
      <c r="AL227" s="140"/>
    </row>
    <row r="228" ht="15.75" customHeight="1">
      <c r="A228" s="125">
        <v>227.0</v>
      </c>
      <c r="B228" s="138">
        <f t="shared" si="22"/>
        <v>10227</v>
      </c>
      <c r="C228" s="124" t="s">
        <v>1840</v>
      </c>
      <c r="D228" s="122" t="s">
        <v>2125</v>
      </c>
      <c r="E228" s="125" t="s">
        <v>34</v>
      </c>
      <c r="F228" s="127" t="s">
        <v>2324</v>
      </c>
      <c r="G228" s="127" t="s">
        <v>425</v>
      </c>
      <c r="H228" s="140" t="s">
        <v>1844</v>
      </c>
      <c r="I228" s="128" t="s">
        <v>1906</v>
      </c>
      <c r="J228" s="186" t="s">
        <v>1902</v>
      </c>
      <c r="K228" s="128" t="s">
        <v>1877</v>
      </c>
      <c r="L228" s="136" t="s">
        <v>1878</v>
      </c>
      <c r="M228" s="136" t="s">
        <v>1845</v>
      </c>
      <c r="N228" s="144">
        <v>1.0</v>
      </c>
      <c r="O228" s="140" t="s">
        <v>1879</v>
      </c>
      <c r="P228" s="140" t="s">
        <v>1862</v>
      </c>
      <c r="Q228" s="140"/>
      <c r="R228" s="140"/>
      <c r="S228" s="140"/>
      <c r="T228" s="140"/>
      <c r="U228" s="140"/>
      <c r="V228" s="140"/>
      <c r="W228" s="144"/>
      <c r="X228" s="136"/>
      <c r="Y228" s="136"/>
      <c r="Z228" s="140"/>
      <c r="AA228" s="140"/>
      <c r="AB228" s="140"/>
      <c r="AC228" s="140"/>
      <c r="AD228" s="140"/>
      <c r="AE228" s="140"/>
      <c r="AF228" s="140"/>
      <c r="AG228" s="140"/>
      <c r="AH228" s="140"/>
      <c r="AI228" s="128"/>
      <c r="AJ228" s="137"/>
      <c r="AK228" s="140"/>
      <c r="AL228" s="140"/>
    </row>
    <row r="229" ht="15.75" customHeight="1">
      <c r="A229" s="160">
        <v>228.0</v>
      </c>
      <c r="B229" s="158">
        <f t="shared" si="22"/>
        <v>10228</v>
      </c>
      <c r="C229" s="159" t="s">
        <v>1873</v>
      </c>
      <c r="D229" s="157" t="s">
        <v>2125</v>
      </c>
      <c r="E229" s="160" t="s">
        <v>34</v>
      </c>
      <c r="F229" s="162" t="s">
        <v>2325</v>
      </c>
      <c r="G229" s="162" t="s">
        <v>65</v>
      </c>
      <c r="H229" s="167" t="s">
        <v>1844</v>
      </c>
      <c r="I229" s="164" t="s">
        <v>1906</v>
      </c>
      <c r="J229" s="184" t="s">
        <v>1876</v>
      </c>
      <c r="K229" s="177" t="s">
        <v>1877</v>
      </c>
      <c r="L229" s="168" t="s">
        <v>1878</v>
      </c>
      <c r="M229" s="168" t="s">
        <v>1845</v>
      </c>
      <c r="N229" s="166" t="s">
        <v>1903</v>
      </c>
      <c r="O229" s="167" t="s">
        <v>1879</v>
      </c>
      <c r="P229" s="167" t="s">
        <v>1862</v>
      </c>
      <c r="Q229" s="167"/>
      <c r="R229" s="167"/>
      <c r="S229" s="167"/>
      <c r="T229" s="167"/>
      <c r="U229" s="167"/>
      <c r="V229" s="167"/>
      <c r="W229" s="166"/>
      <c r="X229" s="168"/>
      <c r="Y229" s="168"/>
      <c r="Z229" s="167"/>
      <c r="AA229" s="167"/>
      <c r="AB229" s="167"/>
      <c r="AC229" s="167"/>
      <c r="AD229" s="167"/>
      <c r="AE229" s="167"/>
      <c r="AF229" s="167"/>
      <c r="AG229" s="164"/>
      <c r="AH229" s="167"/>
      <c r="AI229" s="164"/>
      <c r="AJ229" s="169"/>
      <c r="AK229" s="167"/>
      <c r="AL229" s="167"/>
    </row>
    <row r="230" ht="15.75" customHeight="1">
      <c r="A230" s="125">
        <v>229.0</v>
      </c>
      <c r="B230" s="138">
        <f t="shared" si="22"/>
        <v>10229</v>
      </c>
      <c r="C230" s="124" t="s">
        <v>1840</v>
      </c>
      <c r="D230" s="122" t="s">
        <v>1849</v>
      </c>
      <c r="E230" s="125" t="s">
        <v>20</v>
      </c>
      <c r="F230" s="127" t="s">
        <v>2326</v>
      </c>
      <c r="G230" s="127" t="s">
        <v>427</v>
      </c>
      <c r="H230" s="140" t="s">
        <v>1844</v>
      </c>
      <c r="I230" s="128" t="s">
        <v>1843</v>
      </c>
      <c r="J230" s="186" t="s">
        <v>1844</v>
      </c>
      <c r="K230" s="128" t="s">
        <v>1844</v>
      </c>
      <c r="L230" s="136" t="s">
        <v>1844</v>
      </c>
      <c r="M230" s="136" t="s">
        <v>1845</v>
      </c>
      <c r="N230" s="144" t="s">
        <v>1844</v>
      </c>
      <c r="O230" s="140" t="s">
        <v>1844</v>
      </c>
      <c r="P230" s="140" t="s">
        <v>1862</v>
      </c>
      <c r="Q230" s="140"/>
      <c r="R230" s="140"/>
      <c r="S230" s="140" t="s">
        <v>1845</v>
      </c>
      <c r="T230" s="140"/>
      <c r="U230" s="140"/>
      <c r="V230" s="140"/>
      <c r="W230" s="144"/>
      <c r="X230" s="136"/>
      <c r="Y230" s="136"/>
      <c r="Z230" s="140"/>
      <c r="AA230" s="140"/>
      <c r="AB230" s="140"/>
      <c r="AC230" s="140"/>
      <c r="AD230" s="140"/>
      <c r="AE230" s="140"/>
      <c r="AF230" s="140"/>
      <c r="AG230" s="140"/>
      <c r="AH230" s="140"/>
      <c r="AI230" s="128"/>
      <c r="AJ230" s="137"/>
      <c r="AK230" s="140"/>
      <c r="AL230" s="140"/>
    </row>
    <row r="231" ht="15.75" customHeight="1">
      <c r="A231" s="125">
        <v>230.0</v>
      </c>
      <c r="B231" s="138">
        <f t="shared" si="22"/>
        <v>10230</v>
      </c>
      <c r="C231" s="124" t="s">
        <v>1840</v>
      </c>
      <c r="D231" s="122" t="s">
        <v>1849</v>
      </c>
      <c r="E231" s="125" t="s">
        <v>7</v>
      </c>
      <c r="F231" s="127" t="s">
        <v>2327</v>
      </c>
      <c r="G231" s="127" t="s">
        <v>429</v>
      </c>
      <c r="H231" s="140" t="s">
        <v>1844</v>
      </c>
      <c r="I231" s="128" t="s">
        <v>1843</v>
      </c>
      <c r="J231" s="186" t="s">
        <v>1844</v>
      </c>
      <c r="K231" s="170" t="s">
        <v>1844</v>
      </c>
      <c r="L231" s="136" t="s">
        <v>1844</v>
      </c>
      <c r="M231" s="136" t="s">
        <v>1845</v>
      </c>
      <c r="N231" s="144" t="s">
        <v>1844</v>
      </c>
      <c r="O231" s="140" t="s">
        <v>1844</v>
      </c>
      <c r="P231" s="140" t="s">
        <v>1844</v>
      </c>
      <c r="Q231" s="140"/>
      <c r="R231" s="140"/>
      <c r="S231" s="140" t="s">
        <v>1845</v>
      </c>
      <c r="T231" s="140"/>
      <c r="U231" s="140"/>
      <c r="V231" s="140"/>
      <c r="W231" s="144"/>
      <c r="X231" s="136"/>
      <c r="Y231" s="136"/>
      <c r="Z231" s="140"/>
      <c r="AA231" s="140"/>
      <c r="AB231" s="140"/>
      <c r="AC231" s="140"/>
      <c r="AD231" s="140"/>
      <c r="AE231" s="140"/>
      <c r="AF231" s="140"/>
      <c r="AG231" s="140"/>
      <c r="AH231" s="140"/>
      <c r="AI231" s="128"/>
      <c r="AJ231" s="137"/>
      <c r="AK231" s="140"/>
      <c r="AL231" s="140"/>
    </row>
    <row r="232" ht="15.75" customHeight="1">
      <c r="A232" s="125">
        <v>231.0</v>
      </c>
      <c r="B232" s="138">
        <f t="shared" si="22"/>
        <v>10231</v>
      </c>
      <c r="C232" s="124" t="s">
        <v>1840</v>
      </c>
      <c r="D232" s="122" t="s">
        <v>1849</v>
      </c>
      <c r="E232" s="125" t="s">
        <v>34</v>
      </c>
      <c r="F232" s="127" t="s">
        <v>2328</v>
      </c>
      <c r="G232" s="127" t="s">
        <v>431</v>
      </c>
      <c r="H232" s="140" t="s">
        <v>1844</v>
      </c>
      <c r="I232" s="128" t="s">
        <v>1843</v>
      </c>
      <c r="J232" s="186" t="s">
        <v>1902</v>
      </c>
      <c r="K232" s="170" t="s">
        <v>1877</v>
      </c>
      <c r="L232" s="136" t="s">
        <v>1878</v>
      </c>
      <c r="M232" s="136" t="s">
        <v>1845</v>
      </c>
      <c r="N232" s="144" t="s">
        <v>1903</v>
      </c>
      <c r="O232" s="140" t="s">
        <v>1879</v>
      </c>
      <c r="P232" s="140" t="s">
        <v>1862</v>
      </c>
      <c r="Q232" s="140"/>
      <c r="R232" s="140"/>
      <c r="S232" s="140"/>
      <c r="T232" s="140"/>
      <c r="U232" s="140"/>
      <c r="V232" s="140"/>
      <c r="W232" s="144"/>
      <c r="X232" s="136" t="s">
        <v>1845</v>
      </c>
      <c r="Y232" s="136"/>
      <c r="Z232" s="140"/>
      <c r="AA232" s="140"/>
      <c r="AB232" s="140"/>
      <c r="AC232" s="140"/>
      <c r="AD232" s="140"/>
      <c r="AE232" s="140"/>
      <c r="AF232" s="140"/>
      <c r="AG232" s="140"/>
      <c r="AH232" s="140"/>
      <c r="AI232" s="128"/>
      <c r="AJ232" s="137"/>
      <c r="AK232" s="140"/>
      <c r="AL232" s="140"/>
    </row>
    <row r="233" ht="15.75" customHeight="1">
      <c r="A233" s="125">
        <v>232.0</v>
      </c>
      <c r="B233" s="138">
        <f t="shared" si="22"/>
        <v>10232</v>
      </c>
      <c r="C233" s="124" t="s">
        <v>1840</v>
      </c>
      <c r="D233" s="122" t="s">
        <v>1849</v>
      </c>
      <c r="E233" s="125" t="s">
        <v>34</v>
      </c>
      <c r="F233" s="127" t="s">
        <v>2329</v>
      </c>
      <c r="G233" s="127" t="s">
        <v>433</v>
      </c>
      <c r="H233" s="140" t="s">
        <v>1844</v>
      </c>
      <c r="I233" s="128" t="s">
        <v>1843</v>
      </c>
      <c r="J233" s="186" t="s">
        <v>1876</v>
      </c>
      <c r="K233" s="128" t="s">
        <v>1877</v>
      </c>
      <c r="L233" s="136" t="s">
        <v>1844</v>
      </c>
      <c r="M233" s="136" t="s">
        <v>1845</v>
      </c>
      <c r="N233" s="144" t="s">
        <v>1903</v>
      </c>
      <c r="O233" s="140" t="s">
        <v>1879</v>
      </c>
      <c r="P233" s="140" t="s">
        <v>1895</v>
      </c>
      <c r="Q233" s="140"/>
      <c r="R233" s="140"/>
      <c r="S233" s="140"/>
      <c r="T233" s="140"/>
      <c r="U233" s="140"/>
      <c r="V233" s="140"/>
      <c r="W233" s="144"/>
      <c r="X233" s="136"/>
      <c r="Y233" s="136"/>
      <c r="Z233" s="140"/>
      <c r="AA233" s="140"/>
      <c r="AB233" s="140"/>
      <c r="AC233" s="140"/>
      <c r="AD233" s="140"/>
      <c r="AE233" s="140"/>
      <c r="AF233" s="140"/>
      <c r="AG233" s="140"/>
      <c r="AH233" s="140"/>
      <c r="AI233" s="128"/>
      <c r="AJ233" s="137"/>
      <c r="AK233" s="140"/>
      <c r="AL233" s="140"/>
    </row>
    <row r="234" ht="15.75" customHeight="1">
      <c r="A234" s="125">
        <v>233.0</v>
      </c>
      <c r="B234" s="138">
        <f t="shared" si="22"/>
        <v>10233</v>
      </c>
      <c r="C234" s="124" t="s">
        <v>1840</v>
      </c>
      <c r="D234" s="122" t="s">
        <v>1849</v>
      </c>
      <c r="E234" s="125" t="s">
        <v>34</v>
      </c>
      <c r="F234" s="127" t="s">
        <v>2330</v>
      </c>
      <c r="G234" s="127" t="s">
        <v>435</v>
      </c>
      <c r="H234" s="140" t="s">
        <v>1844</v>
      </c>
      <c r="I234" s="128" t="s">
        <v>1843</v>
      </c>
      <c r="J234" s="186" t="s">
        <v>1902</v>
      </c>
      <c r="K234" s="128" t="s">
        <v>1877</v>
      </c>
      <c r="L234" s="136" t="s">
        <v>1844</v>
      </c>
      <c r="M234" s="136" t="s">
        <v>1845</v>
      </c>
      <c r="N234" s="144">
        <v>1.0</v>
      </c>
      <c r="O234" s="140" t="s">
        <v>1879</v>
      </c>
      <c r="P234" s="140" t="s">
        <v>1862</v>
      </c>
      <c r="Q234" s="140"/>
      <c r="R234" s="140"/>
      <c r="S234" s="140"/>
      <c r="T234" s="140"/>
      <c r="U234" s="140"/>
      <c r="V234" s="140"/>
      <c r="W234" s="144"/>
      <c r="X234" s="136" t="s">
        <v>1845</v>
      </c>
      <c r="Y234" s="136"/>
      <c r="Z234" s="140"/>
      <c r="AA234" s="140"/>
      <c r="AB234" s="140"/>
      <c r="AC234" s="140"/>
      <c r="AD234" s="140"/>
      <c r="AE234" s="140"/>
      <c r="AF234" s="140"/>
      <c r="AG234" s="140"/>
      <c r="AH234" s="140"/>
      <c r="AI234" s="128"/>
      <c r="AJ234" s="137"/>
      <c r="AK234" s="140"/>
      <c r="AL234" s="140"/>
    </row>
    <row r="235" ht="15.75" customHeight="1">
      <c r="A235" s="160">
        <v>234.0</v>
      </c>
      <c r="B235" s="158">
        <f t="shared" si="22"/>
        <v>10234</v>
      </c>
      <c r="C235" s="159" t="s">
        <v>1873</v>
      </c>
      <c r="D235" s="157" t="s">
        <v>1849</v>
      </c>
      <c r="E235" s="160" t="s">
        <v>34</v>
      </c>
      <c r="F235" s="162" t="s">
        <v>2331</v>
      </c>
      <c r="G235" s="162" t="s">
        <v>437</v>
      </c>
      <c r="H235" s="167" t="s">
        <v>1844</v>
      </c>
      <c r="I235" s="164" t="s">
        <v>1843</v>
      </c>
      <c r="J235" s="184" t="s">
        <v>1876</v>
      </c>
      <c r="K235" s="177" t="s">
        <v>1877</v>
      </c>
      <c r="L235" s="168" t="s">
        <v>1878</v>
      </c>
      <c r="M235" s="168" t="s">
        <v>1845</v>
      </c>
      <c r="N235" s="166" t="s">
        <v>1903</v>
      </c>
      <c r="O235" s="167" t="s">
        <v>1879</v>
      </c>
      <c r="P235" s="167" t="s">
        <v>1862</v>
      </c>
      <c r="Q235" s="167"/>
      <c r="R235" s="167"/>
      <c r="S235" s="167"/>
      <c r="T235" s="167"/>
      <c r="U235" s="167"/>
      <c r="V235" s="167"/>
      <c r="W235" s="166"/>
      <c r="X235" s="168" t="s">
        <v>1845</v>
      </c>
      <c r="Y235" s="168"/>
      <c r="Z235" s="167"/>
      <c r="AA235" s="167"/>
      <c r="AB235" s="167"/>
      <c r="AC235" s="167"/>
      <c r="AD235" s="167"/>
      <c r="AE235" s="167"/>
      <c r="AF235" s="167"/>
      <c r="AG235" s="164"/>
      <c r="AH235" s="167"/>
      <c r="AI235" s="164"/>
      <c r="AJ235" s="169"/>
      <c r="AK235" s="167"/>
      <c r="AL235" s="167"/>
    </row>
    <row r="236" ht="15.75" customHeight="1">
      <c r="A236" s="125">
        <v>235.0</v>
      </c>
      <c r="B236" s="138">
        <f t="shared" si="22"/>
        <v>10235</v>
      </c>
      <c r="C236" s="124" t="s">
        <v>1840</v>
      </c>
      <c r="D236" s="122" t="s">
        <v>1849</v>
      </c>
      <c r="E236" s="125" t="s">
        <v>20</v>
      </c>
      <c r="F236" s="127" t="s">
        <v>2332</v>
      </c>
      <c r="G236" s="127" t="s">
        <v>439</v>
      </c>
      <c r="H236" s="140" t="s">
        <v>1844</v>
      </c>
      <c r="I236" s="128" t="s">
        <v>1843</v>
      </c>
      <c r="J236" s="186" t="s">
        <v>1844</v>
      </c>
      <c r="K236" s="170" t="s">
        <v>1844</v>
      </c>
      <c r="L236" s="136" t="s">
        <v>1844</v>
      </c>
      <c r="M236" s="136" t="s">
        <v>1845</v>
      </c>
      <c r="N236" s="144" t="s">
        <v>1844</v>
      </c>
      <c r="O236" s="140" t="s">
        <v>1844</v>
      </c>
      <c r="P236" s="140" t="s">
        <v>1862</v>
      </c>
      <c r="Q236" s="140"/>
      <c r="R236" s="140"/>
      <c r="S236" s="140"/>
      <c r="T236" s="140"/>
      <c r="U236" s="140"/>
      <c r="V236" s="140"/>
      <c r="W236" s="144"/>
      <c r="X236" s="136" t="s">
        <v>1845</v>
      </c>
      <c r="Y236" s="136"/>
      <c r="Z236" s="140"/>
      <c r="AA236" s="140"/>
      <c r="AB236" s="140"/>
      <c r="AC236" s="140"/>
      <c r="AD236" s="140"/>
      <c r="AE236" s="140"/>
      <c r="AF236" s="140"/>
      <c r="AG236" s="140"/>
      <c r="AH236" s="140"/>
      <c r="AI236" s="128"/>
      <c r="AJ236" s="137"/>
      <c r="AK236" s="140"/>
      <c r="AL236" s="140"/>
    </row>
    <row r="237" ht="15.75" customHeight="1">
      <c r="A237" s="125">
        <v>236.0</v>
      </c>
      <c r="B237" s="138">
        <f t="shared" si="22"/>
        <v>10236</v>
      </c>
      <c r="C237" s="124" t="s">
        <v>1840</v>
      </c>
      <c r="D237" s="122" t="s">
        <v>1849</v>
      </c>
      <c r="E237" s="125" t="s">
        <v>34</v>
      </c>
      <c r="F237" s="127" t="s">
        <v>2333</v>
      </c>
      <c r="G237" s="127" t="s">
        <v>441</v>
      </c>
      <c r="H237" s="140" t="s">
        <v>1844</v>
      </c>
      <c r="I237" s="128" t="s">
        <v>1843</v>
      </c>
      <c r="J237" s="186" t="s">
        <v>1902</v>
      </c>
      <c r="K237" s="170" t="s">
        <v>1877</v>
      </c>
      <c r="L237" s="136" t="s">
        <v>1990</v>
      </c>
      <c r="M237" s="136" t="s">
        <v>1845</v>
      </c>
      <c r="N237" s="144" t="s">
        <v>1903</v>
      </c>
      <c r="O237" s="140" t="s">
        <v>1879</v>
      </c>
      <c r="P237" s="140" t="s">
        <v>1862</v>
      </c>
      <c r="Q237" s="140"/>
      <c r="R237" s="140"/>
      <c r="S237" s="140" t="s">
        <v>1845</v>
      </c>
      <c r="T237" s="140"/>
      <c r="U237" s="140"/>
      <c r="V237" s="140"/>
      <c r="W237" s="144"/>
      <c r="X237" s="136"/>
      <c r="Y237" s="136"/>
      <c r="Z237" s="140"/>
      <c r="AA237" s="140"/>
      <c r="AB237" s="140"/>
      <c r="AC237" s="140"/>
      <c r="AD237" s="140"/>
      <c r="AE237" s="140"/>
      <c r="AF237" s="140"/>
      <c r="AG237" s="128"/>
      <c r="AH237" s="140"/>
      <c r="AI237" s="128"/>
      <c r="AJ237" s="137"/>
      <c r="AK237" s="140"/>
      <c r="AL237" s="140"/>
    </row>
    <row r="238" ht="15.75" customHeight="1">
      <c r="A238" s="125">
        <v>237.0</v>
      </c>
      <c r="B238" s="138">
        <f t="shared" si="22"/>
        <v>10237</v>
      </c>
      <c r="C238" s="124" t="s">
        <v>1840</v>
      </c>
      <c r="D238" s="122" t="s">
        <v>1849</v>
      </c>
      <c r="E238" s="125" t="s">
        <v>34</v>
      </c>
      <c r="F238" s="127" t="s">
        <v>2334</v>
      </c>
      <c r="G238" s="127" t="s">
        <v>443</v>
      </c>
      <c r="H238" s="140" t="s">
        <v>1844</v>
      </c>
      <c r="I238" s="128" t="s">
        <v>1843</v>
      </c>
      <c r="J238" s="186" t="s">
        <v>1902</v>
      </c>
      <c r="K238" s="170" t="s">
        <v>1877</v>
      </c>
      <c r="L238" s="136" t="s">
        <v>1844</v>
      </c>
      <c r="M238" s="136" t="s">
        <v>1845</v>
      </c>
      <c r="N238" s="144">
        <v>1.0</v>
      </c>
      <c r="O238" s="140" t="s">
        <v>1879</v>
      </c>
      <c r="P238" s="140" t="s">
        <v>1862</v>
      </c>
      <c r="Q238" s="140"/>
      <c r="R238" s="140"/>
      <c r="S238" s="140" t="s">
        <v>1845</v>
      </c>
      <c r="T238" s="140"/>
      <c r="U238" s="140"/>
      <c r="V238" s="140"/>
      <c r="W238" s="144"/>
      <c r="X238" s="136"/>
      <c r="Y238" s="136"/>
      <c r="Z238" s="140"/>
      <c r="AA238" s="140"/>
      <c r="AB238" s="140"/>
      <c r="AC238" s="140"/>
      <c r="AD238" s="140"/>
      <c r="AE238" s="140"/>
      <c r="AF238" s="140"/>
      <c r="AG238" s="128"/>
      <c r="AH238" s="140"/>
      <c r="AI238" s="128"/>
      <c r="AJ238" s="137"/>
      <c r="AK238" s="140"/>
      <c r="AL238" s="140"/>
    </row>
    <row r="239" ht="15.75" customHeight="1">
      <c r="A239" s="125">
        <v>238.0</v>
      </c>
      <c r="B239" s="138">
        <f t="shared" si="22"/>
        <v>10238</v>
      </c>
      <c r="C239" s="124" t="s">
        <v>1840</v>
      </c>
      <c r="D239" s="122" t="s">
        <v>1849</v>
      </c>
      <c r="E239" s="125" t="s">
        <v>34</v>
      </c>
      <c r="F239" s="127" t="s">
        <v>2335</v>
      </c>
      <c r="G239" s="126" t="s">
        <v>445</v>
      </c>
      <c r="H239" s="140" t="s">
        <v>1844</v>
      </c>
      <c r="I239" s="128" t="s">
        <v>1852</v>
      </c>
      <c r="J239" s="186" t="s">
        <v>1876</v>
      </c>
      <c r="K239" s="128" t="s">
        <v>1877</v>
      </c>
      <c r="L239" s="136" t="s">
        <v>1844</v>
      </c>
      <c r="M239" s="136" t="s">
        <v>1845</v>
      </c>
      <c r="N239" s="144">
        <v>1.0</v>
      </c>
      <c r="O239" s="140" t="s">
        <v>1879</v>
      </c>
      <c r="P239" s="140" t="s">
        <v>1895</v>
      </c>
      <c r="Q239" s="140"/>
      <c r="R239" s="140"/>
      <c r="S239" s="140"/>
      <c r="T239" s="140"/>
      <c r="U239" s="140" t="s">
        <v>1845</v>
      </c>
      <c r="V239" s="140"/>
      <c r="W239" s="144"/>
      <c r="X239" s="136"/>
      <c r="Y239" s="136"/>
      <c r="Z239" s="140"/>
      <c r="AA239" s="140"/>
      <c r="AB239" s="140"/>
      <c r="AC239" s="140"/>
      <c r="AD239" s="140"/>
      <c r="AE239" s="140"/>
      <c r="AF239" s="140"/>
      <c r="AG239" s="128"/>
      <c r="AH239" s="140"/>
      <c r="AI239" s="128"/>
      <c r="AJ239" s="137"/>
      <c r="AK239" s="140"/>
      <c r="AL239" s="140"/>
    </row>
    <row r="240" ht="15.75" customHeight="1">
      <c r="A240" s="151">
        <v>239.0</v>
      </c>
      <c r="B240" s="138">
        <f t="shared" si="22"/>
        <v>10239</v>
      </c>
      <c r="C240" s="179" t="s">
        <v>1840</v>
      </c>
      <c r="D240" s="150" t="s">
        <v>1849</v>
      </c>
      <c r="E240" s="151" t="s">
        <v>7</v>
      </c>
      <c r="F240" s="153" t="s">
        <v>2336</v>
      </c>
      <c r="G240" s="153" t="s">
        <v>447</v>
      </c>
      <c r="H240" s="140" t="s">
        <v>1844</v>
      </c>
      <c r="I240" s="129" t="s">
        <v>1906</v>
      </c>
      <c r="J240" s="143" t="s">
        <v>1844</v>
      </c>
      <c r="K240" s="172" t="s">
        <v>1844</v>
      </c>
      <c r="L240" s="132" t="s">
        <v>1844</v>
      </c>
      <c r="M240" s="132" t="s">
        <v>1844</v>
      </c>
      <c r="N240" s="131" t="s">
        <v>1844</v>
      </c>
      <c r="O240" s="171" t="s">
        <v>1844</v>
      </c>
      <c r="P240" s="171" t="s">
        <v>1844</v>
      </c>
      <c r="Q240" s="171"/>
      <c r="R240" s="171"/>
      <c r="S240" s="171"/>
      <c r="T240" s="171"/>
      <c r="U240" s="171" t="s">
        <v>1845</v>
      </c>
      <c r="V240" s="171"/>
      <c r="W240" s="131"/>
      <c r="X240" s="132"/>
      <c r="Y240" s="132"/>
      <c r="Z240" s="171"/>
      <c r="AA240" s="171"/>
      <c r="AB240" s="171"/>
      <c r="AC240" s="171"/>
      <c r="AD240" s="171"/>
      <c r="AE240" s="171"/>
      <c r="AF240" s="140"/>
      <c r="AG240" s="128"/>
      <c r="AH240" s="140"/>
      <c r="AI240" s="128"/>
      <c r="AJ240" s="137"/>
      <c r="AK240" s="140"/>
      <c r="AL240" s="140"/>
    </row>
    <row r="241" ht="15.75" customHeight="1">
      <c r="A241" s="125">
        <v>240.0</v>
      </c>
      <c r="B241" s="138">
        <f t="shared" si="22"/>
        <v>10240</v>
      </c>
      <c r="C241" s="124" t="s">
        <v>1840</v>
      </c>
      <c r="D241" s="122" t="s">
        <v>2099</v>
      </c>
      <c r="E241" s="125" t="s">
        <v>20</v>
      </c>
      <c r="F241" s="153" t="s">
        <v>2337</v>
      </c>
      <c r="G241" s="153" t="s">
        <v>448</v>
      </c>
      <c r="H241" s="140" t="s">
        <v>1844</v>
      </c>
      <c r="I241" s="128" t="s">
        <v>1843</v>
      </c>
      <c r="J241" s="186" t="s">
        <v>1844</v>
      </c>
      <c r="K241" s="170" t="s">
        <v>1844</v>
      </c>
      <c r="L241" s="136" t="s">
        <v>1844</v>
      </c>
      <c r="M241" s="136" t="s">
        <v>1845</v>
      </c>
      <c r="N241" s="144" t="s">
        <v>1844</v>
      </c>
      <c r="O241" s="140" t="s">
        <v>1844</v>
      </c>
      <c r="P241" s="140" t="s">
        <v>1862</v>
      </c>
      <c r="Q241" s="140"/>
      <c r="R241" s="140"/>
      <c r="S241" s="140" t="s">
        <v>1845</v>
      </c>
      <c r="T241" s="140"/>
      <c r="U241" s="140"/>
      <c r="V241" s="140"/>
      <c r="W241" s="144"/>
      <c r="X241" s="136"/>
      <c r="Y241" s="136"/>
      <c r="Z241" s="140"/>
      <c r="AA241" s="140"/>
      <c r="AB241" s="140"/>
      <c r="AC241" s="140"/>
      <c r="AD241" s="140"/>
      <c r="AE241" s="140"/>
      <c r="AF241" s="140"/>
      <c r="AG241" s="140"/>
      <c r="AH241" s="140"/>
      <c r="AI241" s="128"/>
      <c r="AJ241" s="137"/>
      <c r="AK241" s="140"/>
      <c r="AL241" s="140"/>
    </row>
    <row r="242" ht="15.75" customHeight="1">
      <c r="A242" s="125">
        <v>241.0</v>
      </c>
      <c r="B242" s="138">
        <f t="shared" si="22"/>
        <v>10241</v>
      </c>
      <c r="C242" s="124" t="s">
        <v>1840</v>
      </c>
      <c r="D242" s="122" t="s">
        <v>1849</v>
      </c>
      <c r="E242" s="125" t="s">
        <v>7</v>
      </c>
      <c r="F242" s="127" t="s">
        <v>2338</v>
      </c>
      <c r="G242" s="127" t="s">
        <v>450</v>
      </c>
      <c r="H242" s="140" t="s">
        <v>1844</v>
      </c>
      <c r="I242" s="128" t="s">
        <v>1843</v>
      </c>
      <c r="J242" s="186" t="s">
        <v>1844</v>
      </c>
      <c r="K242" s="170" t="s">
        <v>1844</v>
      </c>
      <c r="L242" s="136" t="s">
        <v>1844</v>
      </c>
      <c r="M242" s="136" t="s">
        <v>1844</v>
      </c>
      <c r="N242" s="144" t="s">
        <v>1844</v>
      </c>
      <c r="O242" s="140" t="s">
        <v>1844</v>
      </c>
      <c r="P242" s="140" t="s">
        <v>1844</v>
      </c>
      <c r="Q242" s="140"/>
      <c r="R242" s="140"/>
      <c r="S242" s="140"/>
      <c r="T242" s="140" t="s">
        <v>1845</v>
      </c>
      <c r="U242" s="140"/>
      <c r="V242" s="140"/>
      <c r="W242" s="144" t="s">
        <v>1845</v>
      </c>
      <c r="X242" s="136"/>
      <c r="Y242" s="136"/>
      <c r="Z242" s="140"/>
      <c r="AA242" s="140"/>
      <c r="AB242" s="140"/>
      <c r="AC242" s="140"/>
      <c r="AD242" s="140"/>
      <c r="AE242" s="140"/>
      <c r="AF242" s="140"/>
      <c r="AG242" s="140"/>
      <c r="AH242" s="140"/>
      <c r="AI242" s="128"/>
      <c r="AJ242" s="137"/>
      <c r="AK242" s="140"/>
      <c r="AL242" s="140"/>
    </row>
    <row r="243" ht="15.75" customHeight="1">
      <c r="A243" s="125">
        <v>242.0</v>
      </c>
      <c r="B243" s="138">
        <f t="shared" si="22"/>
        <v>10242</v>
      </c>
      <c r="C243" s="124" t="s">
        <v>1840</v>
      </c>
      <c r="D243" s="122" t="s">
        <v>1849</v>
      </c>
      <c r="E243" s="125" t="s">
        <v>7</v>
      </c>
      <c r="F243" s="127" t="s">
        <v>2339</v>
      </c>
      <c r="G243" s="127" t="s">
        <v>452</v>
      </c>
      <c r="H243" s="140" t="s">
        <v>1844</v>
      </c>
      <c r="I243" s="128" t="s">
        <v>1843</v>
      </c>
      <c r="J243" s="186" t="s">
        <v>1844</v>
      </c>
      <c r="K243" s="128" t="s">
        <v>1844</v>
      </c>
      <c r="L243" s="136" t="s">
        <v>1844</v>
      </c>
      <c r="M243" s="136" t="s">
        <v>1844</v>
      </c>
      <c r="N243" s="144" t="s">
        <v>1844</v>
      </c>
      <c r="O243" s="140" t="s">
        <v>1844</v>
      </c>
      <c r="P243" s="140" t="s">
        <v>1844</v>
      </c>
      <c r="Q243" s="140"/>
      <c r="R243" s="140"/>
      <c r="S243" s="140" t="s">
        <v>1845</v>
      </c>
      <c r="T243" s="140" t="s">
        <v>1845</v>
      </c>
      <c r="U243" s="140"/>
      <c r="V243" s="140"/>
      <c r="W243" s="144" t="s">
        <v>1845</v>
      </c>
      <c r="X243" s="136"/>
      <c r="Y243" s="136"/>
      <c r="Z243" s="140"/>
      <c r="AA243" s="140"/>
      <c r="AB243" s="140"/>
      <c r="AC243" s="140"/>
      <c r="AD243" s="140"/>
      <c r="AE243" s="140"/>
      <c r="AF243" s="140"/>
      <c r="AG243" s="140"/>
      <c r="AH243" s="140"/>
      <c r="AI243" s="128"/>
      <c r="AJ243" s="137"/>
      <c r="AK243" s="140"/>
      <c r="AL243" s="140"/>
    </row>
    <row r="244" ht="15.75" customHeight="1">
      <c r="A244" s="125">
        <v>243.0</v>
      </c>
      <c r="B244" s="138">
        <f t="shared" si="22"/>
        <v>10243</v>
      </c>
      <c r="C244" s="124" t="s">
        <v>1840</v>
      </c>
      <c r="D244" s="122" t="s">
        <v>1849</v>
      </c>
      <c r="E244" s="125" t="s">
        <v>7</v>
      </c>
      <c r="F244" s="126" t="s">
        <v>2340</v>
      </c>
      <c r="G244" s="198" t="s">
        <v>454</v>
      </c>
      <c r="H244" s="140" t="s">
        <v>1844</v>
      </c>
      <c r="I244" s="128" t="s">
        <v>1843</v>
      </c>
      <c r="J244" s="186" t="s">
        <v>1844</v>
      </c>
      <c r="K244" s="128" t="s">
        <v>1844</v>
      </c>
      <c r="L244" s="136" t="s">
        <v>1844</v>
      </c>
      <c r="M244" s="136" t="s">
        <v>1844</v>
      </c>
      <c r="N244" s="144" t="s">
        <v>1844</v>
      </c>
      <c r="O244" s="140" t="s">
        <v>1844</v>
      </c>
      <c r="P244" s="140" t="s">
        <v>1844</v>
      </c>
      <c r="Q244" s="140"/>
      <c r="R244" s="144"/>
      <c r="S244" s="140"/>
      <c r="T244" s="140"/>
      <c r="U244" s="140"/>
      <c r="V244" s="140"/>
      <c r="W244" s="144"/>
      <c r="X244" s="136"/>
      <c r="Y244" s="136"/>
      <c r="Z244" s="140"/>
      <c r="AA244" s="140"/>
      <c r="AB244" s="140"/>
      <c r="AC244" s="140"/>
      <c r="AD244" s="140"/>
      <c r="AE244" s="140"/>
      <c r="AF244" s="140"/>
      <c r="AG244" s="140"/>
      <c r="AH244" s="140"/>
      <c r="AI244" s="128"/>
      <c r="AJ244" s="137"/>
      <c r="AK244" s="140"/>
      <c r="AL244" s="140"/>
    </row>
    <row r="245" ht="15.75" customHeight="1">
      <c r="A245" s="125">
        <v>244.0</v>
      </c>
      <c r="B245" s="138">
        <f t="shared" si="22"/>
        <v>10244</v>
      </c>
      <c r="C245" s="124" t="s">
        <v>1840</v>
      </c>
      <c r="D245" s="122" t="s">
        <v>1849</v>
      </c>
      <c r="E245" s="125" t="s">
        <v>34</v>
      </c>
      <c r="F245" s="127" t="s">
        <v>2058</v>
      </c>
      <c r="G245" s="127" t="s">
        <v>456</v>
      </c>
      <c r="H245" s="140" t="s">
        <v>1844</v>
      </c>
      <c r="I245" s="140" t="s">
        <v>1843</v>
      </c>
      <c r="J245" s="186" t="s">
        <v>1876</v>
      </c>
      <c r="K245" s="128" t="s">
        <v>1877</v>
      </c>
      <c r="L245" s="136" t="s">
        <v>1844</v>
      </c>
      <c r="M245" s="136" t="s">
        <v>1845</v>
      </c>
      <c r="N245" s="144">
        <v>1.0</v>
      </c>
      <c r="O245" s="140" t="s">
        <v>1879</v>
      </c>
      <c r="P245" s="140" t="s">
        <v>1862</v>
      </c>
      <c r="Q245" s="140"/>
      <c r="R245" s="144"/>
      <c r="S245" s="140" t="s">
        <v>1845</v>
      </c>
      <c r="T245" s="140" t="s">
        <v>1845</v>
      </c>
      <c r="U245" s="140"/>
      <c r="V245" s="140"/>
      <c r="W245" s="144"/>
      <c r="X245" s="136"/>
      <c r="Y245" s="136"/>
      <c r="Z245" s="140"/>
      <c r="AA245" s="140"/>
      <c r="AB245" s="140"/>
      <c r="AC245" s="140"/>
      <c r="AD245" s="140"/>
      <c r="AE245" s="140"/>
      <c r="AF245" s="140"/>
      <c r="AG245" s="140"/>
      <c r="AH245" s="140"/>
      <c r="AI245" s="128"/>
      <c r="AJ245" s="137"/>
      <c r="AK245" s="140"/>
      <c r="AL245" s="140"/>
    </row>
    <row r="246" ht="15.75" customHeight="1">
      <c r="A246" s="125">
        <v>245.0</v>
      </c>
      <c r="B246" s="138">
        <f t="shared" si="22"/>
        <v>10245</v>
      </c>
      <c r="C246" s="124" t="s">
        <v>1840</v>
      </c>
      <c r="D246" s="122" t="s">
        <v>1849</v>
      </c>
      <c r="E246" s="125" t="s">
        <v>27</v>
      </c>
      <c r="F246" s="127" t="s">
        <v>2341</v>
      </c>
      <c r="G246" s="127" t="s">
        <v>458</v>
      </c>
      <c r="H246" s="140" t="s">
        <v>1844</v>
      </c>
      <c r="I246" s="128" t="s">
        <v>1843</v>
      </c>
      <c r="J246" s="186" t="s">
        <v>1844</v>
      </c>
      <c r="K246" s="128" t="s">
        <v>1844</v>
      </c>
      <c r="L246" s="136" t="s">
        <v>1844</v>
      </c>
      <c r="M246" s="136" t="s">
        <v>1845</v>
      </c>
      <c r="N246" s="144" t="s">
        <v>1844</v>
      </c>
      <c r="O246" s="140" t="s">
        <v>1844</v>
      </c>
      <c r="P246" s="140" t="s">
        <v>1862</v>
      </c>
      <c r="Q246" s="140"/>
      <c r="R246" s="144"/>
      <c r="S246" s="140"/>
      <c r="T246" s="140" t="s">
        <v>1845</v>
      </c>
      <c r="U246" s="140"/>
      <c r="V246" s="140"/>
      <c r="W246" s="144"/>
      <c r="X246" s="136"/>
      <c r="Y246" s="136"/>
      <c r="Z246" s="140"/>
      <c r="AA246" s="140"/>
      <c r="AB246" s="140"/>
      <c r="AC246" s="140"/>
      <c r="AD246" s="140"/>
      <c r="AE246" s="140"/>
      <c r="AF246" s="140"/>
      <c r="AG246" s="140"/>
      <c r="AH246" s="140"/>
      <c r="AI246" s="128"/>
      <c r="AJ246" s="137"/>
      <c r="AK246" s="140"/>
      <c r="AL246" s="140"/>
    </row>
    <row r="247" ht="15.75" customHeight="1">
      <c r="A247" s="125">
        <v>246.0</v>
      </c>
      <c r="B247" s="138">
        <f t="shared" si="22"/>
        <v>10246</v>
      </c>
      <c r="C247" s="124" t="s">
        <v>1840</v>
      </c>
      <c r="D247" s="122" t="s">
        <v>1849</v>
      </c>
      <c r="E247" s="125" t="s">
        <v>27</v>
      </c>
      <c r="F247" s="127" t="s">
        <v>2342</v>
      </c>
      <c r="G247" s="127" t="s">
        <v>460</v>
      </c>
      <c r="H247" s="140" t="s">
        <v>1844</v>
      </c>
      <c r="I247" s="128" t="s">
        <v>1852</v>
      </c>
      <c r="J247" s="186" t="s">
        <v>1844</v>
      </c>
      <c r="K247" s="128" t="s">
        <v>1844</v>
      </c>
      <c r="L247" s="136" t="s">
        <v>1844</v>
      </c>
      <c r="M247" s="136" t="s">
        <v>1845</v>
      </c>
      <c r="N247" s="144" t="s">
        <v>1844</v>
      </c>
      <c r="O247" s="140" t="s">
        <v>1844</v>
      </c>
      <c r="P247" s="140" t="s">
        <v>1862</v>
      </c>
      <c r="Q247" s="140"/>
      <c r="R247" s="144"/>
      <c r="S247" s="140"/>
      <c r="T247" s="140"/>
      <c r="U247" s="140" t="s">
        <v>1845</v>
      </c>
      <c r="V247" s="140"/>
      <c r="W247" s="144"/>
      <c r="X247" s="136"/>
      <c r="Y247" s="136"/>
      <c r="Z247" s="140"/>
      <c r="AA247" s="140"/>
      <c r="AB247" s="140"/>
      <c r="AC247" s="140"/>
      <c r="AD247" s="140"/>
      <c r="AE247" s="140"/>
      <c r="AF247" s="140"/>
      <c r="AG247" s="140"/>
      <c r="AH247" s="140"/>
      <c r="AI247" s="128"/>
      <c r="AJ247" s="137"/>
      <c r="AK247" s="140"/>
      <c r="AL247" s="140"/>
    </row>
    <row r="248" ht="15.75" customHeight="1">
      <c r="A248" s="125">
        <v>247.0</v>
      </c>
      <c r="B248" s="138">
        <f t="shared" si="22"/>
        <v>10247</v>
      </c>
      <c r="C248" s="124" t="s">
        <v>1840</v>
      </c>
      <c r="D248" s="122" t="s">
        <v>1849</v>
      </c>
      <c r="E248" s="125" t="s">
        <v>20</v>
      </c>
      <c r="F248" s="127" t="s">
        <v>2343</v>
      </c>
      <c r="G248" s="127" t="s">
        <v>462</v>
      </c>
      <c r="H248" s="140" t="s">
        <v>1844</v>
      </c>
      <c r="I248" s="128" t="s">
        <v>1906</v>
      </c>
      <c r="J248" s="186" t="s">
        <v>1844</v>
      </c>
      <c r="K248" s="170" t="s">
        <v>1844</v>
      </c>
      <c r="L248" s="136" t="s">
        <v>1844</v>
      </c>
      <c r="M248" s="136" t="s">
        <v>1845</v>
      </c>
      <c r="N248" s="144" t="s">
        <v>1844</v>
      </c>
      <c r="O248" s="140" t="s">
        <v>1844</v>
      </c>
      <c r="P248" s="140" t="s">
        <v>1862</v>
      </c>
      <c r="Q248" s="140"/>
      <c r="R248" s="144"/>
      <c r="S248" s="140"/>
      <c r="T248" s="140"/>
      <c r="U248" s="140"/>
      <c r="V248" s="140" t="s">
        <v>1845</v>
      </c>
      <c r="W248" s="144"/>
      <c r="X248" s="136"/>
      <c r="Y248" s="136"/>
      <c r="Z248" s="140"/>
      <c r="AA248" s="140"/>
      <c r="AB248" s="140"/>
      <c r="AC248" s="140"/>
      <c r="AD248" s="140"/>
      <c r="AE248" s="140"/>
      <c r="AF248" s="140"/>
      <c r="AG248" s="140"/>
      <c r="AH248" s="140"/>
      <c r="AI248" s="128"/>
      <c r="AJ248" s="137"/>
      <c r="AK248" s="140"/>
      <c r="AL248" s="140"/>
    </row>
    <row r="249" ht="15.75" customHeight="1">
      <c r="A249" s="160">
        <v>248.0</v>
      </c>
      <c r="B249" s="157" t="s">
        <v>1742</v>
      </c>
      <c r="C249" s="159" t="s">
        <v>1873</v>
      </c>
      <c r="D249" s="157" t="s">
        <v>1846</v>
      </c>
      <c r="E249" s="160" t="s">
        <v>34</v>
      </c>
      <c r="F249" s="162" t="s">
        <v>2344</v>
      </c>
      <c r="G249" s="162" t="s">
        <v>2345</v>
      </c>
      <c r="H249" s="167" t="s">
        <v>1844</v>
      </c>
      <c r="I249" s="164" t="s">
        <v>1843</v>
      </c>
      <c r="J249" s="184" t="s">
        <v>1876</v>
      </c>
      <c r="K249" s="164" t="s">
        <v>1877</v>
      </c>
      <c r="L249" s="168" t="s">
        <v>1878</v>
      </c>
      <c r="M249" s="168" t="s">
        <v>1845</v>
      </c>
      <c r="N249" s="166" t="s">
        <v>1903</v>
      </c>
      <c r="O249" s="167" t="s">
        <v>1879</v>
      </c>
      <c r="P249" s="167" t="s">
        <v>1862</v>
      </c>
      <c r="Q249" s="167" t="s">
        <v>1845</v>
      </c>
      <c r="R249" s="166"/>
      <c r="S249" s="167"/>
      <c r="T249" s="167"/>
      <c r="U249" s="167"/>
      <c r="V249" s="167"/>
      <c r="W249" s="166"/>
      <c r="X249" s="168"/>
      <c r="Y249" s="168"/>
      <c r="Z249" s="167"/>
      <c r="AA249" s="167"/>
      <c r="AB249" s="167"/>
      <c r="AC249" s="167"/>
      <c r="AD249" s="167"/>
      <c r="AE249" s="167"/>
      <c r="AF249" s="167"/>
      <c r="AG249" s="164"/>
      <c r="AH249" s="167"/>
      <c r="AI249" s="164"/>
      <c r="AJ249" s="169"/>
      <c r="AK249" s="167"/>
      <c r="AL249" s="167"/>
    </row>
    <row r="250" ht="15.75" customHeight="1">
      <c r="A250" s="125">
        <v>249.0</v>
      </c>
      <c r="B250" s="138">
        <f t="shared" ref="B250:B251" si="23">SUM(A250+10000)</f>
        <v>10249</v>
      </c>
      <c r="C250" s="124" t="s">
        <v>1840</v>
      </c>
      <c r="D250" s="122" t="s">
        <v>2212</v>
      </c>
      <c r="E250" s="125" t="s">
        <v>7</v>
      </c>
      <c r="F250" s="127" t="s">
        <v>2346</v>
      </c>
      <c r="G250" s="127" t="s">
        <v>466</v>
      </c>
      <c r="H250" s="140" t="s">
        <v>1844</v>
      </c>
      <c r="I250" s="128" t="s">
        <v>1852</v>
      </c>
      <c r="J250" s="186" t="s">
        <v>1844</v>
      </c>
      <c r="K250" s="128" t="s">
        <v>1844</v>
      </c>
      <c r="L250" s="136" t="s">
        <v>1844</v>
      </c>
      <c r="M250" s="136" t="s">
        <v>1844</v>
      </c>
      <c r="N250" s="144" t="s">
        <v>1844</v>
      </c>
      <c r="O250" s="140" t="s">
        <v>1844</v>
      </c>
      <c r="P250" s="140" t="s">
        <v>1844</v>
      </c>
      <c r="Q250" s="140"/>
      <c r="R250" s="144"/>
      <c r="S250" s="140"/>
      <c r="T250" s="140"/>
      <c r="U250" s="140"/>
      <c r="V250" s="140"/>
      <c r="W250" s="144"/>
      <c r="X250" s="136" t="s">
        <v>1845</v>
      </c>
      <c r="Y250" s="136"/>
      <c r="Z250" s="140"/>
      <c r="AA250" s="140"/>
      <c r="AB250" s="140"/>
      <c r="AC250" s="140"/>
      <c r="AD250" s="140"/>
      <c r="AE250" s="140"/>
      <c r="AF250" s="140"/>
      <c r="AG250" s="128"/>
      <c r="AH250" s="140"/>
      <c r="AI250" s="128"/>
      <c r="AJ250" s="137"/>
      <c r="AK250" s="140"/>
      <c r="AL250" s="140"/>
    </row>
    <row r="251" ht="15.75" customHeight="1">
      <c r="A251" s="138">
        <v>250.0</v>
      </c>
      <c r="B251" s="138">
        <f t="shared" si="23"/>
        <v>10250</v>
      </c>
      <c r="C251" s="179" t="s">
        <v>1840</v>
      </c>
      <c r="D251" s="150" t="s">
        <v>1849</v>
      </c>
      <c r="E251" s="151" t="s">
        <v>34</v>
      </c>
      <c r="F251" s="153" t="s">
        <v>2347</v>
      </c>
      <c r="G251" s="153" t="s">
        <v>468</v>
      </c>
      <c r="H251" s="140" t="s">
        <v>1844</v>
      </c>
      <c r="I251" s="129" t="s">
        <v>1843</v>
      </c>
      <c r="J251" s="143" t="s">
        <v>1876</v>
      </c>
      <c r="K251" s="129" t="s">
        <v>2348</v>
      </c>
      <c r="L251" s="132" t="s">
        <v>1878</v>
      </c>
      <c r="M251" s="132" t="s">
        <v>1845</v>
      </c>
      <c r="N251" s="131" t="s">
        <v>1844</v>
      </c>
      <c r="O251" s="171" t="s">
        <v>1879</v>
      </c>
      <c r="P251" s="171" t="s">
        <v>1862</v>
      </c>
      <c r="Q251" s="171"/>
      <c r="R251" s="131"/>
      <c r="S251" s="171"/>
      <c r="T251" s="171"/>
      <c r="U251" s="171"/>
      <c r="V251" s="171"/>
      <c r="W251" s="131"/>
      <c r="X251" s="132"/>
      <c r="Y251" s="132"/>
      <c r="Z251" s="171"/>
      <c r="AA251" s="171"/>
      <c r="AB251" s="171"/>
      <c r="AC251" s="171"/>
      <c r="AD251" s="171"/>
      <c r="AE251" s="171"/>
      <c r="AF251" s="140"/>
      <c r="AG251" s="128"/>
      <c r="AH251" s="140"/>
      <c r="AI251" s="128"/>
      <c r="AJ251" s="137"/>
      <c r="AK251" s="140"/>
      <c r="AL251" s="140"/>
    </row>
    <row r="252" ht="15.75" customHeight="1">
      <c r="A252" s="125">
        <v>251.0</v>
      </c>
      <c r="B252" s="123" t="s">
        <v>1742</v>
      </c>
      <c r="C252" s="124" t="s">
        <v>1840</v>
      </c>
      <c r="D252" s="122" t="s">
        <v>1849</v>
      </c>
      <c r="E252" s="125" t="s">
        <v>7</v>
      </c>
      <c r="F252" s="127" t="s">
        <v>2349</v>
      </c>
      <c r="G252" s="127" t="s">
        <v>470</v>
      </c>
      <c r="H252" s="140" t="s">
        <v>1844</v>
      </c>
      <c r="I252" s="128" t="s">
        <v>1843</v>
      </c>
      <c r="J252" s="186" t="s">
        <v>1844</v>
      </c>
      <c r="K252" s="170" t="s">
        <v>1844</v>
      </c>
      <c r="L252" s="136" t="s">
        <v>1844</v>
      </c>
      <c r="M252" s="136" t="s">
        <v>1844</v>
      </c>
      <c r="N252" s="144" t="s">
        <v>1844</v>
      </c>
      <c r="O252" s="140" t="s">
        <v>1844</v>
      </c>
      <c r="P252" s="140" t="s">
        <v>1844</v>
      </c>
      <c r="Q252" s="140" t="s">
        <v>1845</v>
      </c>
      <c r="R252" s="144"/>
      <c r="S252" s="140"/>
      <c r="T252" s="140"/>
      <c r="U252" s="140"/>
      <c r="V252" s="140"/>
      <c r="W252" s="144"/>
      <c r="X252" s="136"/>
      <c r="Y252" s="136"/>
      <c r="Z252" s="140" t="s">
        <v>1845</v>
      </c>
      <c r="AA252" s="140"/>
      <c r="AB252" s="140"/>
      <c r="AC252" s="140"/>
      <c r="AD252" s="140"/>
      <c r="AE252" s="140"/>
      <c r="AF252" s="140"/>
      <c r="AG252" s="140"/>
      <c r="AH252" s="140"/>
      <c r="AI252" s="128"/>
      <c r="AJ252" s="137"/>
      <c r="AK252" s="140"/>
      <c r="AL252" s="140"/>
    </row>
    <row r="253" ht="15.75" customHeight="1">
      <c r="A253" s="125">
        <v>252.0</v>
      </c>
      <c r="B253" s="138">
        <f t="shared" ref="B253:B254" si="24">SUM(A253+10000)</f>
        <v>10252</v>
      </c>
      <c r="C253" s="124" t="s">
        <v>1840</v>
      </c>
      <c r="D253" s="122" t="s">
        <v>2125</v>
      </c>
      <c r="E253" s="125" t="s">
        <v>20</v>
      </c>
      <c r="F253" s="127" t="s">
        <v>2350</v>
      </c>
      <c r="G253" s="127" t="s">
        <v>472</v>
      </c>
      <c r="H253" s="140" t="s">
        <v>1844</v>
      </c>
      <c r="I253" s="128" t="s">
        <v>1906</v>
      </c>
      <c r="J253" s="186" t="s">
        <v>1844</v>
      </c>
      <c r="K253" s="128" t="s">
        <v>1844</v>
      </c>
      <c r="L253" s="136" t="s">
        <v>1844</v>
      </c>
      <c r="M253" s="136" t="s">
        <v>1845</v>
      </c>
      <c r="N253" s="144" t="s">
        <v>1844</v>
      </c>
      <c r="O253" s="140" t="s">
        <v>1844</v>
      </c>
      <c r="P253" s="140" t="s">
        <v>1964</v>
      </c>
      <c r="Q253" s="140"/>
      <c r="R253" s="144"/>
      <c r="S253" s="140"/>
      <c r="T253" s="140"/>
      <c r="U253" s="140"/>
      <c r="V253" s="140"/>
      <c r="W253" s="144"/>
      <c r="X253" s="136"/>
      <c r="Y253" s="136"/>
      <c r="Z253" s="140"/>
      <c r="AA253" s="140"/>
      <c r="AB253" s="140"/>
      <c r="AC253" s="140"/>
      <c r="AD253" s="140"/>
      <c r="AE253" s="140"/>
      <c r="AF253" s="140"/>
      <c r="AG253" s="140"/>
      <c r="AH253" s="140"/>
      <c r="AI253" s="128"/>
      <c r="AJ253" s="137"/>
      <c r="AK253" s="140"/>
      <c r="AL253" s="140"/>
    </row>
    <row r="254" ht="15.75" customHeight="1">
      <c r="A254" s="125">
        <v>253.0</v>
      </c>
      <c r="B254" s="138">
        <f t="shared" si="24"/>
        <v>10253</v>
      </c>
      <c r="C254" s="124" t="s">
        <v>1840</v>
      </c>
      <c r="D254" s="122" t="s">
        <v>2125</v>
      </c>
      <c r="E254" s="125" t="s">
        <v>20</v>
      </c>
      <c r="F254" s="127" t="s">
        <v>2351</v>
      </c>
      <c r="G254" s="127" t="s">
        <v>2352</v>
      </c>
      <c r="H254" s="140" t="s">
        <v>1844</v>
      </c>
      <c r="I254" s="128" t="s">
        <v>1843</v>
      </c>
      <c r="J254" s="186" t="s">
        <v>1844</v>
      </c>
      <c r="K254" s="136" t="s">
        <v>1844</v>
      </c>
      <c r="L254" s="136" t="s">
        <v>1844</v>
      </c>
      <c r="M254" s="136" t="s">
        <v>1845</v>
      </c>
      <c r="N254" s="144" t="s">
        <v>1844</v>
      </c>
      <c r="O254" s="140" t="s">
        <v>1844</v>
      </c>
      <c r="P254" s="140" t="s">
        <v>1895</v>
      </c>
      <c r="Q254" s="140"/>
      <c r="R254" s="144"/>
      <c r="S254" s="140"/>
      <c r="T254" s="140"/>
      <c r="U254" s="140"/>
      <c r="V254" s="140"/>
      <c r="W254" s="144"/>
      <c r="X254" s="136"/>
      <c r="Y254" s="136"/>
      <c r="Z254" s="140"/>
      <c r="AA254" s="140"/>
      <c r="AB254" s="140"/>
      <c r="AC254" s="140"/>
      <c r="AD254" s="140"/>
      <c r="AE254" s="140"/>
      <c r="AF254" s="140"/>
      <c r="AG254" s="140"/>
      <c r="AH254" s="140"/>
      <c r="AI254" s="128"/>
      <c r="AJ254" s="137"/>
      <c r="AK254" s="140"/>
      <c r="AL254" s="140"/>
    </row>
    <row r="255" ht="15.75" customHeight="1">
      <c r="A255" s="125">
        <v>254.0</v>
      </c>
      <c r="B255" s="123" t="s">
        <v>1742</v>
      </c>
      <c r="C255" s="124" t="s">
        <v>1840</v>
      </c>
      <c r="D255" s="122" t="s">
        <v>1841</v>
      </c>
      <c r="E255" s="125" t="s">
        <v>7</v>
      </c>
      <c r="F255" s="127" t="s">
        <v>2353</v>
      </c>
      <c r="G255" s="127" t="s">
        <v>2354</v>
      </c>
      <c r="H255" s="140" t="s">
        <v>1844</v>
      </c>
      <c r="I255" s="128" t="s">
        <v>1843</v>
      </c>
      <c r="J255" s="186" t="s">
        <v>1844</v>
      </c>
      <c r="K255" s="136" t="s">
        <v>1844</v>
      </c>
      <c r="L255" s="136" t="s">
        <v>1844</v>
      </c>
      <c r="M255" s="136" t="s">
        <v>1844</v>
      </c>
      <c r="N255" s="144" t="s">
        <v>1844</v>
      </c>
      <c r="O255" s="128" t="s">
        <v>1844</v>
      </c>
      <c r="P255" s="128" t="s">
        <v>1844</v>
      </c>
      <c r="Q255" s="140" t="s">
        <v>1845</v>
      </c>
      <c r="R255" s="144" t="s">
        <v>1845</v>
      </c>
      <c r="S255" s="140"/>
      <c r="T255" s="140" t="s">
        <v>1845</v>
      </c>
      <c r="U255" s="140"/>
      <c r="V255" s="140"/>
      <c r="W255" s="144" t="s">
        <v>1845</v>
      </c>
      <c r="X255" s="136"/>
      <c r="Y255" s="136"/>
      <c r="Z255" s="140"/>
      <c r="AA255" s="140"/>
      <c r="AB255" s="140"/>
      <c r="AC255" s="140"/>
      <c r="AD255" s="140"/>
      <c r="AE255" s="140"/>
      <c r="AF255" s="140"/>
      <c r="AG255" s="140"/>
      <c r="AH255" s="140"/>
      <c r="AI255" s="128"/>
      <c r="AJ255" s="137"/>
      <c r="AK255" s="140"/>
      <c r="AL255" s="140"/>
    </row>
    <row r="256" ht="15.75" customHeight="1">
      <c r="A256" s="125">
        <v>255.0</v>
      </c>
      <c r="B256" s="123" t="s">
        <v>1742</v>
      </c>
      <c r="C256" s="124" t="s">
        <v>1840</v>
      </c>
      <c r="D256" s="122" t="s">
        <v>1841</v>
      </c>
      <c r="E256" s="125" t="s">
        <v>7</v>
      </c>
      <c r="F256" s="142" t="s">
        <v>2355</v>
      </c>
      <c r="G256" s="127" t="s">
        <v>2356</v>
      </c>
      <c r="H256" s="140" t="s">
        <v>1844</v>
      </c>
      <c r="I256" s="128" t="s">
        <v>1843</v>
      </c>
      <c r="J256" s="186" t="s">
        <v>1844</v>
      </c>
      <c r="K256" s="136" t="s">
        <v>1844</v>
      </c>
      <c r="L256" s="136" t="s">
        <v>1844</v>
      </c>
      <c r="M256" s="136" t="s">
        <v>1844</v>
      </c>
      <c r="N256" s="144" t="s">
        <v>1844</v>
      </c>
      <c r="O256" s="128" t="s">
        <v>1844</v>
      </c>
      <c r="P256" s="128" t="s">
        <v>1844</v>
      </c>
      <c r="Q256" s="140" t="s">
        <v>1845</v>
      </c>
      <c r="R256" s="144" t="s">
        <v>1845</v>
      </c>
      <c r="S256" s="140"/>
      <c r="T256" s="140" t="s">
        <v>1845</v>
      </c>
      <c r="U256" s="140"/>
      <c r="V256" s="140"/>
      <c r="W256" s="144" t="s">
        <v>1845</v>
      </c>
      <c r="X256" s="136"/>
      <c r="Y256" s="136"/>
      <c r="Z256" s="140"/>
      <c r="AA256" s="140"/>
      <c r="AB256" s="140"/>
      <c r="AC256" s="140"/>
      <c r="AD256" s="140"/>
      <c r="AE256" s="140"/>
      <c r="AF256" s="140"/>
      <c r="AG256" s="140"/>
      <c r="AH256" s="140"/>
      <c r="AI256" s="128"/>
      <c r="AJ256" s="137"/>
      <c r="AK256" s="140"/>
      <c r="AL256" s="140"/>
    </row>
    <row r="257" ht="15.75" customHeight="1">
      <c r="A257" s="125">
        <v>256.0</v>
      </c>
      <c r="B257" s="138">
        <f>SUM(A257+10000)</f>
        <v>10256</v>
      </c>
      <c r="C257" s="124" t="s">
        <v>1840</v>
      </c>
      <c r="D257" s="122" t="s">
        <v>2125</v>
      </c>
      <c r="E257" s="174" t="s">
        <v>34</v>
      </c>
      <c r="F257" s="126" t="s">
        <v>2357</v>
      </c>
      <c r="G257" s="175" t="s">
        <v>132</v>
      </c>
      <c r="H257" s="140" t="s">
        <v>1844</v>
      </c>
      <c r="I257" s="128" t="s">
        <v>1852</v>
      </c>
      <c r="J257" s="186" t="s">
        <v>1902</v>
      </c>
      <c r="K257" s="136" t="s">
        <v>1877</v>
      </c>
      <c r="L257" s="136" t="s">
        <v>1844</v>
      </c>
      <c r="M257" s="136" t="s">
        <v>1845</v>
      </c>
      <c r="N257" s="144">
        <v>1.0</v>
      </c>
      <c r="O257" s="128" t="s">
        <v>1879</v>
      </c>
      <c r="P257" s="128" t="s">
        <v>1862</v>
      </c>
      <c r="Q257" s="140"/>
      <c r="R257" s="144"/>
      <c r="S257" s="140"/>
      <c r="T257" s="140"/>
      <c r="U257" s="140"/>
      <c r="V257" s="140"/>
      <c r="W257" s="144"/>
      <c r="X257" s="136"/>
      <c r="Y257" s="136"/>
      <c r="Z257" s="140"/>
      <c r="AA257" s="140"/>
      <c r="AB257" s="140"/>
      <c r="AC257" s="140"/>
      <c r="AD257" s="140"/>
      <c r="AE257" s="140"/>
      <c r="AF257" s="140"/>
      <c r="AG257" s="140"/>
      <c r="AH257" s="140"/>
      <c r="AI257" s="128"/>
      <c r="AJ257" s="137"/>
      <c r="AK257" s="140"/>
      <c r="AL257" s="140"/>
    </row>
    <row r="258" ht="15.75" customHeight="1">
      <c r="A258" s="125">
        <v>257.0</v>
      </c>
      <c r="B258" s="123" t="s">
        <v>1742</v>
      </c>
      <c r="C258" s="124" t="s">
        <v>1840</v>
      </c>
      <c r="D258" s="122" t="s">
        <v>2125</v>
      </c>
      <c r="E258" s="174" t="s">
        <v>34</v>
      </c>
      <c r="F258" s="126" t="s">
        <v>2358</v>
      </c>
      <c r="G258" s="175" t="s">
        <v>2359</v>
      </c>
      <c r="H258" s="140" t="s">
        <v>1844</v>
      </c>
      <c r="I258" s="128" t="s">
        <v>1843</v>
      </c>
      <c r="J258" s="186" t="s">
        <v>1902</v>
      </c>
      <c r="K258" s="136" t="s">
        <v>1877</v>
      </c>
      <c r="L258" s="136" t="s">
        <v>1990</v>
      </c>
      <c r="M258" s="136" t="s">
        <v>1845</v>
      </c>
      <c r="N258" s="144" t="s">
        <v>1903</v>
      </c>
      <c r="O258" s="144" t="s">
        <v>1879</v>
      </c>
      <c r="P258" s="144" t="s">
        <v>1862</v>
      </c>
      <c r="Q258" s="140" t="s">
        <v>1845</v>
      </c>
      <c r="R258" s="144"/>
      <c r="S258" s="140"/>
      <c r="T258" s="140"/>
      <c r="U258" s="140"/>
      <c r="V258" s="140"/>
      <c r="W258" s="144"/>
      <c r="X258" s="136"/>
      <c r="Y258" s="136"/>
      <c r="Z258" s="140"/>
      <c r="AA258" s="140"/>
      <c r="AB258" s="140"/>
      <c r="AC258" s="140"/>
      <c r="AD258" s="140"/>
      <c r="AE258" s="140"/>
      <c r="AF258" s="140"/>
      <c r="AG258" s="140"/>
      <c r="AH258" s="140"/>
      <c r="AI258" s="128"/>
      <c r="AJ258" s="137"/>
      <c r="AK258" s="140"/>
      <c r="AL258" s="140"/>
    </row>
    <row r="259" ht="15.75" customHeight="1">
      <c r="A259" s="125">
        <v>258.0</v>
      </c>
      <c r="B259" s="138">
        <f t="shared" ref="B259:B263" si="25">SUM(A259+10000)</f>
        <v>10258</v>
      </c>
      <c r="C259" s="124" t="s">
        <v>1840</v>
      </c>
      <c r="D259" s="122" t="s">
        <v>2125</v>
      </c>
      <c r="E259" s="174" t="s">
        <v>27</v>
      </c>
      <c r="F259" s="126" t="s">
        <v>2360</v>
      </c>
      <c r="G259" s="175" t="s">
        <v>482</v>
      </c>
      <c r="H259" s="140" t="s">
        <v>1844</v>
      </c>
      <c r="I259" s="128" t="s">
        <v>2036</v>
      </c>
      <c r="J259" s="186" t="s">
        <v>1844</v>
      </c>
      <c r="K259" s="136" t="s">
        <v>1844</v>
      </c>
      <c r="L259" s="136" t="s">
        <v>1844</v>
      </c>
      <c r="M259" s="136" t="s">
        <v>1845</v>
      </c>
      <c r="N259" s="144" t="s">
        <v>1844</v>
      </c>
      <c r="O259" s="144" t="s">
        <v>1844</v>
      </c>
      <c r="P259" s="144" t="s">
        <v>1862</v>
      </c>
      <c r="Q259" s="140"/>
      <c r="R259" s="144"/>
      <c r="S259" s="140"/>
      <c r="T259" s="140"/>
      <c r="U259" s="140"/>
      <c r="V259" s="140"/>
      <c r="W259" s="144"/>
      <c r="X259" s="136" t="s">
        <v>1845</v>
      </c>
      <c r="Y259" s="136"/>
      <c r="Z259" s="140"/>
      <c r="AA259" s="140"/>
      <c r="AB259" s="140"/>
      <c r="AC259" s="140"/>
      <c r="AD259" s="140"/>
      <c r="AE259" s="140"/>
      <c r="AF259" s="140"/>
      <c r="AG259" s="140"/>
      <c r="AH259" s="140"/>
      <c r="AI259" s="128"/>
      <c r="AJ259" s="137"/>
      <c r="AK259" s="140"/>
      <c r="AL259" s="140"/>
    </row>
    <row r="260" ht="15.75" customHeight="1">
      <c r="A260" s="160">
        <v>259.0</v>
      </c>
      <c r="B260" s="158">
        <f t="shared" si="25"/>
        <v>10259</v>
      </c>
      <c r="C260" s="159" t="s">
        <v>1873</v>
      </c>
      <c r="D260" s="157" t="s">
        <v>2125</v>
      </c>
      <c r="E260" s="199" t="s">
        <v>34</v>
      </c>
      <c r="F260" s="161" t="s">
        <v>2361</v>
      </c>
      <c r="G260" s="200" t="s">
        <v>484</v>
      </c>
      <c r="H260" s="167" t="s">
        <v>1844</v>
      </c>
      <c r="I260" s="164" t="s">
        <v>2036</v>
      </c>
      <c r="J260" s="184" t="s">
        <v>1876</v>
      </c>
      <c r="K260" s="168" t="s">
        <v>1877</v>
      </c>
      <c r="L260" s="168" t="s">
        <v>1878</v>
      </c>
      <c r="M260" s="168" t="s">
        <v>1845</v>
      </c>
      <c r="N260" s="166" t="s">
        <v>1903</v>
      </c>
      <c r="O260" s="167" t="s">
        <v>1879</v>
      </c>
      <c r="P260" s="167" t="s">
        <v>1862</v>
      </c>
      <c r="Q260" s="167"/>
      <c r="R260" s="166"/>
      <c r="S260" s="167"/>
      <c r="T260" s="167"/>
      <c r="U260" s="167"/>
      <c r="V260" s="167"/>
      <c r="W260" s="166"/>
      <c r="X260" s="168" t="s">
        <v>1845</v>
      </c>
      <c r="Y260" s="168"/>
      <c r="Z260" s="167"/>
      <c r="AA260" s="167"/>
      <c r="AB260" s="167"/>
      <c r="AC260" s="167"/>
      <c r="AD260" s="167"/>
      <c r="AE260" s="167"/>
      <c r="AF260" s="167"/>
      <c r="AG260" s="164"/>
      <c r="AH260" s="167"/>
      <c r="AI260" s="164"/>
      <c r="AJ260" s="169"/>
      <c r="AK260" s="167"/>
      <c r="AL260" s="167"/>
    </row>
    <row r="261" ht="15.75" customHeight="1">
      <c r="A261" s="125">
        <v>260.0</v>
      </c>
      <c r="B261" s="138">
        <f t="shared" si="25"/>
        <v>10260</v>
      </c>
      <c r="C261" s="124" t="s">
        <v>1840</v>
      </c>
      <c r="D261" s="122" t="s">
        <v>2125</v>
      </c>
      <c r="E261" s="174" t="s">
        <v>34</v>
      </c>
      <c r="F261" s="126" t="s">
        <v>2362</v>
      </c>
      <c r="G261" s="175" t="s">
        <v>485</v>
      </c>
      <c r="H261" s="140" t="s">
        <v>1844</v>
      </c>
      <c r="I261" s="140" t="s">
        <v>1843</v>
      </c>
      <c r="J261" s="186" t="s">
        <v>1902</v>
      </c>
      <c r="K261" s="170" t="s">
        <v>1877</v>
      </c>
      <c r="L261" s="136" t="s">
        <v>1844</v>
      </c>
      <c r="M261" s="136" t="s">
        <v>1845</v>
      </c>
      <c r="N261" s="144">
        <v>1.0</v>
      </c>
      <c r="O261" s="140" t="s">
        <v>1879</v>
      </c>
      <c r="P261" s="140" t="s">
        <v>1862</v>
      </c>
      <c r="Q261" s="140"/>
      <c r="R261" s="144"/>
      <c r="S261" s="140"/>
      <c r="T261" s="140" t="s">
        <v>1845</v>
      </c>
      <c r="U261" s="140"/>
      <c r="V261" s="140"/>
      <c r="W261" s="144"/>
      <c r="X261" s="136"/>
      <c r="Y261" s="136"/>
      <c r="Z261" s="140"/>
      <c r="AA261" s="140"/>
      <c r="AB261" s="140"/>
      <c r="AC261" s="140"/>
      <c r="AD261" s="140"/>
      <c r="AE261" s="140"/>
      <c r="AF261" s="140"/>
      <c r="AG261" s="140"/>
      <c r="AH261" s="140"/>
      <c r="AI261" s="128"/>
      <c r="AJ261" s="137"/>
      <c r="AK261" s="140"/>
      <c r="AL261" s="140"/>
    </row>
    <row r="262" ht="15.75" customHeight="1">
      <c r="A262" s="125">
        <v>261.0</v>
      </c>
      <c r="B262" s="138">
        <f t="shared" si="25"/>
        <v>10261</v>
      </c>
      <c r="C262" s="124" t="s">
        <v>1840</v>
      </c>
      <c r="D262" s="122" t="s">
        <v>2125</v>
      </c>
      <c r="E262" s="174" t="s">
        <v>7</v>
      </c>
      <c r="F262" s="126" t="s">
        <v>2215</v>
      </c>
      <c r="G262" s="201" t="s">
        <v>487</v>
      </c>
      <c r="H262" s="140" t="s">
        <v>1844</v>
      </c>
      <c r="I262" s="128" t="s">
        <v>1843</v>
      </c>
      <c r="J262" s="186" t="s">
        <v>1844</v>
      </c>
      <c r="K262" s="136" t="s">
        <v>1844</v>
      </c>
      <c r="L262" s="136" t="s">
        <v>1844</v>
      </c>
      <c r="M262" s="136" t="s">
        <v>1844</v>
      </c>
      <c r="N262" s="144" t="s">
        <v>1844</v>
      </c>
      <c r="O262" s="140" t="s">
        <v>1844</v>
      </c>
      <c r="P262" s="140" t="s">
        <v>1844</v>
      </c>
      <c r="Q262" s="140"/>
      <c r="R262" s="144" t="s">
        <v>1845</v>
      </c>
      <c r="S262" s="140"/>
      <c r="T262" s="140" t="s">
        <v>1845</v>
      </c>
      <c r="U262" s="140"/>
      <c r="V262" s="140"/>
      <c r="W262" s="144"/>
      <c r="X262" s="136"/>
      <c r="Y262" s="136"/>
      <c r="Z262" s="140"/>
      <c r="AA262" s="140"/>
      <c r="AB262" s="140"/>
      <c r="AC262" s="140"/>
      <c r="AD262" s="140"/>
      <c r="AE262" s="140"/>
      <c r="AF262" s="140"/>
      <c r="AG262" s="140"/>
      <c r="AH262" s="140"/>
      <c r="AI262" s="128"/>
      <c r="AJ262" s="137"/>
      <c r="AK262" s="140"/>
      <c r="AL262" s="140"/>
    </row>
    <row r="263" ht="15.75" customHeight="1">
      <c r="A263" s="160">
        <v>262.0</v>
      </c>
      <c r="B263" s="158">
        <f t="shared" si="25"/>
        <v>10262</v>
      </c>
      <c r="C263" s="159" t="s">
        <v>1873</v>
      </c>
      <c r="D263" s="157" t="s">
        <v>1841</v>
      </c>
      <c r="E263" s="199" t="s">
        <v>34</v>
      </c>
      <c r="F263" s="161" t="s">
        <v>2363</v>
      </c>
      <c r="G263" s="200" t="s">
        <v>489</v>
      </c>
      <c r="H263" s="167" t="s">
        <v>1844</v>
      </c>
      <c r="I263" s="164" t="s">
        <v>1843</v>
      </c>
      <c r="J263" s="184" t="s">
        <v>1876</v>
      </c>
      <c r="K263" s="168" t="s">
        <v>1877</v>
      </c>
      <c r="L263" s="168" t="s">
        <v>1878</v>
      </c>
      <c r="M263" s="168" t="s">
        <v>1845</v>
      </c>
      <c r="N263" s="166">
        <v>1.0</v>
      </c>
      <c r="O263" s="167" t="s">
        <v>1879</v>
      </c>
      <c r="P263" s="167" t="s">
        <v>1862</v>
      </c>
      <c r="Q263" s="167"/>
      <c r="R263" s="166"/>
      <c r="S263" s="167" t="s">
        <v>1845</v>
      </c>
      <c r="T263" s="167"/>
      <c r="U263" s="167"/>
      <c r="V263" s="167"/>
      <c r="W263" s="166"/>
      <c r="X263" s="168"/>
      <c r="Y263" s="168"/>
      <c r="Z263" s="167"/>
      <c r="AA263" s="167"/>
      <c r="AB263" s="167"/>
      <c r="AC263" s="167"/>
      <c r="AD263" s="167"/>
      <c r="AE263" s="167"/>
      <c r="AF263" s="167"/>
      <c r="AG263" s="164"/>
      <c r="AH263" s="167"/>
      <c r="AI263" s="164"/>
      <c r="AJ263" s="169"/>
      <c r="AK263" s="167"/>
      <c r="AL263" s="167"/>
    </row>
    <row r="264" ht="15.75" customHeight="1">
      <c r="A264" s="125">
        <v>263.0</v>
      </c>
      <c r="B264" s="123" t="s">
        <v>1742</v>
      </c>
      <c r="C264" s="124" t="s">
        <v>1840</v>
      </c>
      <c r="D264" s="122" t="s">
        <v>1841</v>
      </c>
      <c r="E264" s="174" t="s">
        <v>7</v>
      </c>
      <c r="F264" s="126" t="s">
        <v>2364</v>
      </c>
      <c r="G264" s="198" t="s">
        <v>2365</v>
      </c>
      <c r="H264" s="140" t="s">
        <v>1844</v>
      </c>
      <c r="I264" s="128" t="s">
        <v>1843</v>
      </c>
      <c r="J264" s="186" t="s">
        <v>1844</v>
      </c>
      <c r="K264" s="136" t="s">
        <v>1844</v>
      </c>
      <c r="L264" s="136" t="s">
        <v>1844</v>
      </c>
      <c r="M264" s="136" t="s">
        <v>1844</v>
      </c>
      <c r="N264" s="144" t="s">
        <v>1844</v>
      </c>
      <c r="O264" s="140" t="s">
        <v>1844</v>
      </c>
      <c r="P264" s="140" t="s">
        <v>1862</v>
      </c>
      <c r="Q264" s="140" t="s">
        <v>1845</v>
      </c>
      <c r="R264" s="144"/>
      <c r="S264" s="140" t="s">
        <v>1845</v>
      </c>
      <c r="T264" s="140"/>
      <c r="U264" s="140"/>
      <c r="V264" s="140"/>
      <c r="W264" s="144"/>
      <c r="X264" s="136"/>
      <c r="Y264" s="136"/>
      <c r="Z264" s="140"/>
      <c r="AA264" s="140"/>
      <c r="AB264" s="140"/>
      <c r="AC264" s="140"/>
      <c r="AD264" s="140"/>
      <c r="AE264" s="140"/>
      <c r="AF264" s="140"/>
      <c r="AG264" s="140"/>
      <c r="AH264" s="140"/>
      <c r="AI264" s="128"/>
      <c r="AJ264" s="137"/>
      <c r="AK264" s="140"/>
      <c r="AL264" s="140"/>
    </row>
    <row r="265" ht="15.75" customHeight="1">
      <c r="A265" s="125">
        <v>264.0</v>
      </c>
      <c r="B265" s="138">
        <f>SUM(A265+10000)</f>
        <v>10264</v>
      </c>
      <c r="C265" s="124" t="s">
        <v>1840</v>
      </c>
      <c r="D265" s="122" t="s">
        <v>1841</v>
      </c>
      <c r="E265" s="174" t="s">
        <v>27</v>
      </c>
      <c r="F265" s="126" t="s">
        <v>2366</v>
      </c>
      <c r="G265" s="175" t="s">
        <v>493</v>
      </c>
      <c r="H265" s="140" t="s">
        <v>1844</v>
      </c>
      <c r="I265" s="128" t="s">
        <v>1843</v>
      </c>
      <c r="J265" s="186" t="s">
        <v>1844</v>
      </c>
      <c r="K265" s="136" t="s">
        <v>1844</v>
      </c>
      <c r="L265" s="136" t="s">
        <v>1844</v>
      </c>
      <c r="M265" s="136" t="s">
        <v>1845</v>
      </c>
      <c r="N265" s="144" t="s">
        <v>1844</v>
      </c>
      <c r="O265" s="140" t="s">
        <v>1844</v>
      </c>
      <c r="P265" s="140" t="s">
        <v>1895</v>
      </c>
      <c r="Q265" s="140"/>
      <c r="R265" s="144"/>
      <c r="S265" s="140" t="s">
        <v>1845</v>
      </c>
      <c r="T265" s="140"/>
      <c r="U265" s="140"/>
      <c r="V265" s="140"/>
      <c r="W265" s="144"/>
      <c r="X265" s="136"/>
      <c r="Y265" s="136"/>
      <c r="Z265" s="140"/>
      <c r="AA265" s="140"/>
      <c r="AB265" s="140"/>
      <c r="AC265" s="140"/>
      <c r="AD265" s="140"/>
      <c r="AE265" s="140"/>
      <c r="AF265" s="140"/>
      <c r="AG265" s="140"/>
      <c r="AH265" s="140"/>
      <c r="AI265" s="128"/>
      <c r="AJ265" s="137"/>
      <c r="AK265" s="140"/>
      <c r="AL265" s="140"/>
    </row>
    <row r="266" ht="15.75" customHeight="1">
      <c r="A266" s="125">
        <v>265.0</v>
      </c>
      <c r="B266" s="123" t="s">
        <v>1742</v>
      </c>
      <c r="C266" s="124" t="s">
        <v>1840</v>
      </c>
      <c r="D266" s="122" t="s">
        <v>1841</v>
      </c>
      <c r="E266" s="174" t="s">
        <v>34</v>
      </c>
      <c r="F266" s="126" t="s">
        <v>2367</v>
      </c>
      <c r="G266" s="201" t="s">
        <v>2368</v>
      </c>
      <c r="H266" s="191" t="s">
        <v>1844</v>
      </c>
      <c r="I266" s="128" t="s">
        <v>1843</v>
      </c>
      <c r="J266" s="186" t="s">
        <v>1876</v>
      </c>
      <c r="K266" s="136" t="s">
        <v>1877</v>
      </c>
      <c r="L266" s="136" t="s">
        <v>1844</v>
      </c>
      <c r="M266" s="136" t="s">
        <v>1845</v>
      </c>
      <c r="N266" s="144" t="s">
        <v>1903</v>
      </c>
      <c r="O266" s="140" t="s">
        <v>1879</v>
      </c>
      <c r="P266" s="140" t="s">
        <v>1895</v>
      </c>
      <c r="Q266" s="140" t="s">
        <v>1845</v>
      </c>
      <c r="R266" s="144"/>
      <c r="S266" s="140"/>
      <c r="T266" s="140"/>
      <c r="U266" s="140"/>
      <c r="V266" s="140"/>
      <c r="W266" s="144"/>
      <c r="X266" s="136"/>
      <c r="Y266" s="136"/>
      <c r="Z266" s="140"/>
      <c r="AA266" s="140"/>
      <c r="AB266" s="140"/>
      <c r="AC266" s="140"/>
      <c r="AD266" s="140"/>
      <c r="AE266" s="140"/>
      <c r="AF266" s="140"/>
      <c r="AG266" s="140"/>
      <c r="AH266" s="140"/>
      <c r="AI266" s="128"/>
      <c r="AJ266" s="137"/>
      <c r="AK266" s="140"/>
      <c r="AL266" s="140"/>
    </row>
    <row r="267" ht="15.75" customHeight="1">
      <c r="A267" s="160">
        <v>266.0</v>
      </c>
      <c r="B267" s="157" t="s">
        <v>1742</v>
      </c>
      <c r="C267" s="159" t="s">
        <v>1873</v>
      </c>
      <c r="D267" s="157" t="s">
        <v>1841</v>
      </c>
      <c r="E267" s="199" t="s">
        <v>34</v>
      </c>
      <c r="F267" s="161" t="s">
        <v>2369</v>
      </c>
      <c r="G267" s="200" t="s">
        <v>2370</v>
      </c>
      <c r="H267" s="167" t="s">
        <v>1844</v>
      </c>
      <c r="I267" s="164" t="s">
        <v>1843</v>
      </c>
      <c r="J267" s="184" t="s">
        <v>1876</v>
      </c>
      <c r="K267" s="168" t="s">
        <v>1877</v>
      </c>
      <c r="L267" s="168" t="s">
        <v>1878</v>
      </c>
      <c r="M267" s="168" t="s">
        <v>1845</v>
      </c>
      <c r="N267" s="166">
        <v>1.0</v>
      </c>
      <c r="O267" s="167" t="s">
        <v>1879</v>
      </c>
      <c r="P267" s="167" t="s">
        <v>1895</v>
      </c>
      <c r="Q267" s="167" t="s">
        <v>1845</v>
      </c>
      <c r="R267" s="166"/>
      <c r="S267" s="167"/>
      <c r="T267" s="167"/>
      <c r="U267" s="167"/>
      <c r="V267" s="167"/>
      <c r="W267" s="166"/>
      <c r="X267" s="168"/>
      <c r="Y267" s="168"/>
      <c r="Z267" s="167"/>
      <c r="AA267" s="167"/>
      <c r="AB267" s="167"/>
      <c r="AC267" s="167"/>
      <c r="AD267" s="167"/>
      <c r="AE267" s="167"/>
      <c r="AF267" s="167"/>
      <c r="AG267" s="164"/>
      <c r="AH267" s="167"/>
      <c r="AI267" s="164"/>
      <c r="AJ267" s="169"/>
      <c r="AK267" s="167"/>
      <c r="AL267" s="167"/>
    </row>
    <row r="268" ht="15.75" customHeight="1">
      <c r="A268" s="125">
        <v>267.0</v>
      </c>
      <c r="B268" s="138">
        <f t="shared" ref="B268:B271" si="26">SUM(A268+10000)</f>
        <v>10267</v>
      </c>
      <c r="C268" s="124" t="s">
        <v>1840</v>
      </c>
      <c r="D268" s="122" t="s">
        <v>2099</v>
      </c>
      <c r="E268" s="174" t="s">
        <v>7</v>
      </c>
      <c r="F268" s="126" t="s">
        <v>2371</v>
      </c>
      <c r="G268" s="201" t="s">
        <v>2372</v>
      </c>
      <c r="H268" s="140" t="s">
        <v>1844</v>
      </c>
      <c r="I268" s="128" t="s">
        <v>1843</v>
      </c>
      <c r="J268" s="186" t="s">
        <v>1844</v>
      </c>
      <c r="K268" s="136" t="s">
        <v>1844</v>
      </c>
      <c r="L268" s="136" t="s">
        <v>1844</v>
      </c>
      <c r="M268" s="136" t="s">
        <v>1844</v>
      </c>
      <c r="N268" s="144" t="s">
        <v>1844</v>
      </c>
      <c r="O268" s="140" t="s">
        <v>1844</v>
      </c>
      <c r="P268" s="140" t="s">
        <v>1844</v>
      </c>
      <c r="Q268" s="140"/>
      <c r="R268" s="144"/>
      <c r="S268" s="140" t="s">
        <v>1845</v>
      </c>
      <c r="T268" s="140"/>
      <c r="U268" s="140"/>
      <c r="V268" s="140"/>
      <c r="W268" s="144" t="s">
        <v>1845</v>
      </c>
      <c r="X268" s="136" t="s">
        <v>1845</v>
      </c>
      <c r="Y268" s="136"/>
      <c r="Z268" s="140"/>
      <c r="AA268" s="140"/>
      <c r="AB268" s="140"/>
      <c r="AC268" s="140"/>
      <c r="AD268" s="140"/>
      <c r="AE268" s="140"/>
      <c r="AF268" s="140"/>
      <c r="AG268" s="140"/>
      <c r="AH268" s="140"/>
      <c r="AI268" s="128"/>
      <c r="AJ268" s="137"/>
      <c r="AK268" s="140"/>
      <c r="AL268" s="140"/>
    </row>
    <row r="269" ht="15.75" customHeight="1">
      <c r="A269" s="125">
        <v>268.0</v>
      </c>
      <c r="B269" s="138">
        <f t="shared" si="26"/>
        <v>10268</v>
      </c>
      <c r="C269" s="124" t="s">
        <v>1840</v>
      </c>
      <c r="D269" s="122" t="s">
        <v>2099</v>
      </c>
      <c r="E269" s="125" t="s">
        <v>34</v>
      </c>
      <c r="F269" s="197" t="s">
        <v>2373</v>
      </c>
      <c r="G269" s="127" t="s">
        <v>500</v>
      </c>
      <c r="H269" s="140" t="s">
        <v>1844</v>
      </c>
      <c r="I269" s="128" t="s">
        <v>1843</v>
      </c>
      <c r="J269" s="186" t="s">
        <v>1876</v>
      </c>
      <c r="K269" s="170" t="s">
        <v>2348</v>
      </c>
      <c r="L269" s="136" t="s">
        <v>1844</v>
      </c>
      <c r="M269" s="136" t="s">
        <v>1845</v>
      </c>
      <c r="N269" s="144" t="s">
        <v>1844</v>
      </c>
      <c r="O269" s="140" t="s">
        <v>1879</v>
      </c>
      <c r="P269" s="140" t="s">
        <v>1862</v>
      </c>
      <c r="Q269" s="140"/>
      <c r="R269" s="140"/>
      <c r="S269" s="140"/>
      <c r="T269" s="140"/>
      <c r="U269" s="140"/>
      <c r="V269" s="140"/>
      <c r="W269" s="144"/>
      <c r="X269" s="136"/>
      <c r="Y269" s="136"/>
      <c r="Z269" s="140"/>
      <c r="AA269" s="140"/>
      <c r="AB269" s="140"/>
      <c r="AC269" s="140"/>
      <c r="AD269" s="140"/>
      <c r="AE269" s="140"/>
      <c r="AF269" s="140"/>
      <c r="AG269" s="140"/>
      <c r="AH269" s="140"/>
      <c r="AI269" s="128"/>
      <c r="AJ269" s="137"/>
      <c r="AK269" s="140"/>
      <c r="AL269" s="140"/>
    </row>
    <row r="270" ht="15.75" customHeight="1">
      <c r="A270" s="125">
        <v>269.0</v>
      </c>
      <c r="B270" s="138">
        <f t="shared" si="26"/>
        <v>10269</v>
      </c>
      <c r="C270" s="124" t="s">
        <v>1840</v>
      </c>
      <c r="D270" s="122" t="s">
        <v>1841</v>
      </c>
      <c r="E270" s="125" t="s">
        <v>7</v>
      </c>
      <c r="F270" s="127" t="s">
        <v>2374</v>
      </c>
      <c r="G270" s="127" t="s">
        <v>502</v>
      </c>
      <c r="H270" s="140" t="s">
        <v>1844</v>
      </c>
      <c r="I270" s="128" t="s">
        <v>1906</v>
      </c>
      <c r="J270" s="186" t="s">
        <v>1844</v>
      </c>
      <c r="K270" s="170" t="s">
        <v>1844</v>
      </c>
      <c r="L270" s="136" t="s">
        <v>1844</v>
      </c>
      <c r="M270" s="136" t="s">
        <v>1844</v>
      </c>
      <c r="N270" s="144" t="s">
        <v>1844</v>
      </c>
      <c r="O270" s="140" t="s">
        <v>1844</v>
      </c>
      <c r="P270" s="140" t="s">
        <v>1844</v>
      </c>
      <c r="Q270" s="140"/>
      <c r="R270" s="144"/>
      <c r="S270" s="140"/>
      <c r="T270" s="140"/>
      <c r="U270" s="140"/>
      <c r="V270" s="140" t="s">
        <v>1845</v>
      </c>
      <c r="W270" s="144"/>
      <c r="X270" s="136"/>
      <c r="Y270" s="136"/>
      <c r="Z270" s="140"/>
      <c r="AA270" s="140"/>
      <c r="AB270" s="140"/>
      <c r="AC270" s="140"/>
      <c r="AD270" s="140"/>
      <c r="AE270" s="140"/>
      <c r="AF270" s="140"/>
      <c r="AG270" s="140"/>
      <c r="AH270" s="140"/>
      <c r="AI270" s="128"/>
      <c r="AJ270" s="137"/>
      <c r="AK270" s="140"/>
      <c r="AL270" s="140"/>
    </row>
    <row r="271" ht="15.75" customHeight="1">
      <c r="A271" s="125">
        <v>270.0</v>
      </c>
      <c r="B271" s="138">
        <f t="shared" si="26"/>
        <v>10270</v>
      </c>
      <c r="C271" s="124" t="s">
        <v>1840</v>
      </c>
      <c r="D271" s="122" t="s">
        <v>1849</v>
      </c>
      <c r="E271" s="125" t="s">
        <v>20</v>
      </c>
      <c r="F271" s="127" t="s">
        <v>2375</v>
      </c>
      <c r="G271" s="127" t="s">
        <v>504</v>
      </c>
      <c r="H271" s="140" t="s">
        <v>1844</v>
      </c>
      <c r="I271" s="128" t="s">
        <v>1843</v>
      </c>
      <c r="J271" s="186" t="s">
        <v>1844</v>
      </c>
      <c r="K271" s="136" t="s">
        <v>1844</v>
      </c>
      <c r="L271" s="136" t="s">
        <v>1844</v>
      </c>
      <c r="M271" s="136" t="s">
        <v>1845</v>
      </c>
      <c r="N271" s="144" t="s">
        <v>1844</v>
      </c>
      <c r="O271" s="140" t="s">
        <v>1844</v>
      </c>
      <c r="P271" s="140" t="s">
        <v>1895</v>
      </c>
      <c r="Q271" s="140"/>
      <c r="R271" s="144"/>
      <c r="S271" s="140" t="s">
        <v>1845</v>
      </c>
      <c r="T271" s="140"/>
      <c r="U271" s="140"/>
      <c r="V271" s="140"/>
      <c r="W271" s="144"/>
      <c r="X271" s="136"/>
      <c r="Y271" s="136"/>
      <c r="Z271" s="140"/>
      <c r="AA271" s="140"/>
      <c r="AB271" s="140"/>
      <c r="AC271" s="140"/>
      <c r="AD271" s="140"/>
      <c r="AE271" s="140"/>
      <c r="AF271" s="140"/>
      <c r="AG271" s="140"/>
      <c r="AH271" s="140"/>
      <c r="AI271" s="128"/>
      <c r="AJ271" s="137"/>
      <c r="AK271" s="140"/>
      <c r="AL271" s="140"/>
    </row>
    <row r="272" ht="15.75" customHeight="1">
      <c r="A272" s="125">
        <v>271.0</v>
      </c>
      <c r="B272" s="123" t="s">
        <v>1742</v>
      </c>
      <c r="C272" s="124" t="s">
        <v>1840</v>
      </c>
      <c r="D272" s="122" t="s">
        <v>1846</v>
      </c>
      <c r="E272" s="125" t="s">
        <v>7</v>
      </c>
      <c r="F272" s="127" t="s">
        <v>2376</v>
      </c>
      <c r="G272" s="127" t="s">
        <v>2377</v>
      </c>
      <c r="H272" s="140" t="s">
        <v>1844</v>
      </c>
      <c r="I272" s="128" t="s">
        <v>1843</v>
      </c>
      <c r="J272" s="186" t="s">
        <v>1844</v>
      </c>
      <c r="K272" s="136" t="s">
        <v>1844</v>
      </c>
      <c r="L272" s="136" t="s">
        <v>1844</v>
      </c>
      <c r="M272" s="136" t="s">
        <v>1844</v>
      </c>
      <c r="N272" s="144" t="s">
        <v>1844</v>
      </c>
      <c r="O272" s="140" t="s">
        <v>1844</v>
      </c>
      <c r="P272" s="140" t="s">
        <v>1844</v>
      </c>
      <c r="Q272" s="140" t="s">
        <v>1845</v>
      </c>
      <c r="R272" s="144"/>
      <c r="S272" s="140"/>
      <c r="T272" s="140"/>
      <c r="U272" s="140"/>
      <c r="V272" s="140"/>
      <c r="W272" s="144" t="s">
        <v>1845</v>
      </c>
      <c r="X272" s="136"/>
      <c r="Y272" s="136"/>
      <c r="Z272" s="140"/>
      <c r="AA272" s="140"/>
      <c r="AB272" s="140"/>
      <c r="AC272" s="140"/>
      <c r="AD272" s="140"/>
      <c r="AE272" s="140"/>
      <c r="AF272" s="140"/>
      <c r="AG272" s="140"/>
      <c r="AH272" s="140"/>
      <c r="AI272" s="128"/>
      <c r="AJ272" s="137"/>
      <c r="AK272" s="140"/>
      <c r="AL272" s="140"/>
    </row>
    <row r="273" ht="15.75" customHeight="1">
      <c r="A273" s="125">
        <v>272.0</v>
      </c>
      <c r="B273" s="138">
        <f t="shared" ref="B273:B278" si="27">SUM(A273+10000)</f>
        <v>10272</v>
      </c>
      <c r="C273" s="124" t="s">
        <v>1840</v>
      </c>
      <c r="D273" s="122" t="s">
        <v>2099</v>
      </c>
      <c r="E273" s="125" t="s">
        <v>7</v>
      </c>
      <c r="F273" s="127" t="s">
        <v>2378</v>
      </c>
      <c r="G273" s="127" t="s">
        <v>508</v>
      </c>
      <c r="H273" s="140" t="s">
        <v>1844</v>
      </c>
      <c r="I273" s="128" t="s">
        <v>1852</v>
      </c>
      <c r="J273" s="186" t="s">
        <v>1844</v>
      </c>
      <c r="K273" s="136" t="s">
        <v>1844</v>
      </c>
      <c r="L273" s="136" t="s">
        <v>1844</v>
      </c>
      <c r="M273" s="136" t="s">
        <v>1844</v>
      </c>
      <c r="N273" s="144" t="s">
        <v>1844</v>
      </c>
      <c r="O273" s="140" t="s">
        <v>1844</v>
      </c>
      <c r="P273" s="140" t="s">
        <v>1844</v>
      </c>
      <c r="Q273" s="140"/>
      <c r="R273" s="144"/>
      <c r="S273" s="140"/>
      <c r="T273" s="140"/>
      <c r="U273" s="140"/>
      <c r="V273" s="140"/>
      <c r="W273" s="144"/>
      <c r="X273" s="136"/>
      <c r="Y273" s="136"/>
      <c r="Z273" s="140"/>
      <c r="AA273" s="140"/>
      <c r="AB273" s="140"/>
      <c r="AC273" s="140"/>
      <c r="AD273" s="140"/>
      <c r="AE273" s="140"/>
      <c r="AF273" s="140"/>
      <c r="AG273" s="140"/>
      <c r="AH273" s="140"/>
      <c r="AI273" s="128"/>
      <c r="AJ273" s="137"/>
      <c r="AK273" s="140"/>
      <c r="AL273" s="140"/>
    </row>
    <row r="274" ht="15.75" customHeight="1">
      <c r="A274" s="160">
        <v>273.0</v>
      </c>
      <c r="B274" s="158">
        <f t="shared" si="27"/>
        <v>10273</v>
      </c>
      <c r="C274" s="159" t="s">
        <v>1873</v>
      </c>
      <c r="D274" s="157" t="s">
        <v>2379</v>
      </c>
      <c r="E274" s="160" t="s">
        <v>34</v>
      </c>
      <c r="F274" s="162" t="s">
        <v>2380</v>
      </c>
      <c r="G274" s="162" t="s">
        <v>510</v>
      </c>
      <c r="H274" s="167" t="s">
        <v>1844</v>
      </c>
      <c r="I274" s="164" t="s">
        <v>1843</v>
      </c>
      <c r="J274" s="184" t="s">
        <v>1876</v>
      </c>
      <c r="K274" s="168" t="s">
        <v>1877</v>
      </c>
      <c r="L274" s="168" t="s">
        <v>1878</v>
      </c>
      <c r="M274" s="168" t="s">
        <v>1845</v>
      </c>
      <c r="N274" s="166">
        <v>1.0</v>
      </c>
      <c r="O274" s="167" t="s">
        <v>1879</v>
      </c>
      <c r="P274" s="167" t="s">
        <v>1862</v>
      </c>
      <c r="Q274" s="167"/>
      <c r="R274" s="166"/>
      <c r="S274" s="167" t="s">
        <v>1845</v>
      </c>
      <c r="T274" s="167"/>
      <c r="U274" s="167"/>
      <c r="V274" s="167"/>
      <c r="W274" s="166"/>
      <c r="X274" s="168"/>
      <c r="Y274" s="168"/>
      <c r="Z274" s="167"/>
      <c r="AA274" s="167"/>
      <c r="AB274" s="167"/>
      <c r="AC274" s="167"/>
      <c r="AD274" s="167"/>
      <c r="AE274" s="167"/>
      <c r="AF274" s="167"/>
      <c r="AG274" s="164"/>
      <c r="AH274" s="167"/>
      <c r="AI274" s="164"/>
      <c r="AJ274" s="169"/>
      <c r="AK274" s="167"/>
      <c r="AL274" s="167"/>
    </row>
    <row r="275" ht="15.75" customHeight="1">
      <c r="A275" s="160">
        <v>274.0</v>
      </c>
      <c r="B275" s="158">
        <f t="shared" si="27"/>
        <v>10274</v>
      </c>
      <c r="C275" s="159" t="s">
        <v>1873</v>
      </c>
      <c r="D275" s="157" t="s">
        <v>2379</v>
      </c>
      <c r="E275" s="160" t="s">
        <v>34</v>
      </c>
      <c r="F275" s="162" t="s">
        <v>2381</v>
      </c>
      <c r="G275" s="162" t="s">
        <v>512</v>
      </c>
      <c r="H275" s="167" t="s">
        <v>1844</v>
      </c>
      <c r="I275" s="164" t="s">
        <v>1852</v>
      </c>
      <c r="J275" s="184" t="s">
        <v>1876</v>
      </c>
      <c r="K275" s="168" t="s">
        <v>1877</v>
      </c>
      <c r="L275" s="168" t="s">
        <v>1878</v>
      </c>
      <c r="M275" s="168" t="s">
        <v>1845</v>
      </c>
      <c r="N275" s="166" t="s">
        <v>1903</v>
      </c>
      <c r="O275" s="167" t="s">
        <v>1879</v>
      </c>
      <c r="P275" s="167" t="s">
        <v>1862</v>
      </c>
      <c r="Q275" s="167"/>
      <c r="R275" s="166"/>
      <c r="S275" s="167"/>
      <c r="T275" s="167"/>
      <c r="U275" s="167"/>
      <c r="V275" s="167"/>
      <c r="W275" s="166"/>
      <c r="X275" s="168"/>
      <c r="Y275" s="168"/>
      <c r="Z275" s="167"/>
      <c r="AA275" s="167"/>
      <c r="AB275" s="167"/>
      <c r="AC275" s="167"/>
      <c r="AD275" s="167"/>
      <c r="AE275" s="167"/>
      <c r="AF275" s="167"/>
      <c r="AG275" s="164"/>
      <c r="AH275" s="167"/>
      <c r="AI275" s="164"/>
      <c r="AJ275" s="169"/>
      <c r="AK275" s="167"/>
      <c r="AL275" s="167"/>
    </row>
    <row r="276" ht="15.75" customHeight="1">
      <c r="A276" s="125">
        <v>275.0</v>
      </c>
      <c r="B276" s="138">
        <f t="shared" si="27"/>
        <v>10275</v>
      </c>
      <c r="C276" s="124" t="s">
        <v>1840</v>
      </c>
      <c r="D276" s="122" t="s">
        <v>2379</v>
      </c>
      <c r="E276" s="125" t="s">
        <v>7</v>
      </c>
      <c r="F276" s="153" t="s">
        <v>2382</v>
      </c>
      <c r="G276" s="221" t="s">
        <v>514</v>
      </c>
      <c r="H276" s="140" t="s">
        <v>1844</v>
      </c>
      <c r="I276" s="128" t="s">
        <v>1843</v>
      </c>
      <c r="J276" s="186" t="s">
        <v>1844</v>
      </c>
      <c r="K276" s="136" t="s">
        <v>1844</v>
      </c>
      <c r="L276" s="136" t="s">
        <v>1844</v>
      </c>
      <c r="M276" s="136" t="s">
        <v>1844</v>
      </c>
      <c r="N276" s="144" t="s">
        <v>1844</v>
      </c>
      <c r="O276" s="140" t="s">
        <v>1844</v>
      </c>
      <c r="P276" s="140" t="s">
        <v>1844</v>
      </c>
      <c r="Q276" s="140"/>
      <c r="R276" s="144"/>
      <c r="S276" s="140" t="s">
        <v>1845</v>
      </c>
      <c r="T276" s="140" t="s">
        <v>1845</v>
      </c>
      <c r="U276" s="140"/>
      <c r="V276" s="140"/>
      <c r="W276" s="144"/>
      <c r="X276" s="136"/>
      <c r="Y276" s="136"/>
      <c r="Z276" s="140"/>
      <c r="AA276" s="140"/>
      <c r="AB276" s="140"/>
      <c r="AC276" s="140"/>
      <c r="AD276" s="140"/>
      <c r="AE276" s="140"/>
      <c r="AF276" s="140"/>
      <c r="AG276" s="140"/>
      <c r="AH276" s="140"/>
      <c r="AI276" s="128"/>
      <c r="AJ276" s="137"/>
      <c r="AK276" s="140"/>
      <c r="AL276" s="140"/>
    </row>
    <row r="277" ht="15.75" customHeight="1">
      <c r="A277" s="125">
        <v>276.0</v>
      </c>
      <c r="B277" s="138">
        <f t="shared" si="27"/>
        <v>10276</v>
      </c>
      <c r="C277" s="124" t="s">
        <v>1840</v>
      </c>
      <c r="D277" s="122" t="s">
        <v>2379</v>
      </c>
      <c r="E277" s="125" t="s">
        <v>7</v>
      </c>
      <c r="F277" s="153" t="s">
        <v>2383</v>
      </c>
      <c r="G277" s="221" t="s">
        <v>516</v>
      </c>
      <c r="H277" s="140" t="s">
        <v>1844</v>
      </c>
      <c r="I277" s="128" t="s">
        <v>1852</v>
      </c>
      <c r="J277" s="186" t="s">
        <v>1844</v>
      </c>
      <c r="K277" s="136" t="s">
        <v>1844</v>
      </c>
      <c r="L277" s="136" t="s">
        <v>1844</v>
      </c>
      <c r="M277" s="136" t="s">
        <v>1844</v>
      </c>
      <c r="N277" s="144" t="s">
        <v>1844</v>
      </c>
      <c r="O277" s="140" t="s">
        <v>1844</v>
      </c>
      <c r="P277" s="140" t="s">
        <v>1844</v>
      </c>
      <c r="Q277" s="140"/>
      <c r="R277" s="144"/>
      <c r="S277" s="140"/>
      <c r="T277" s="140"/>
      <c r="U277" s="140"/>
      <c r="V277" s="140"/>
      <c r="W277" s="144"/>
      <c r="X277" s="136"/>
      <c r="Y277" s="136"/>
      <c r="Z277" s="140"/>
      <c r="AA277" s="140"/>
      <c r="AB277" s="140"/>
      <c r="AC277" s="140"/>
      <c r="AD277" s="140"/>
      <c r="AE277" s="140"/>
      <c r="AF277" s="140"/>
      <c r="AG277" s="140"/>
      <c r="AH277" s="140"/>
      <c r="AI277" s="128"/>
      <c r="AJ277" s="137"/>
      <c r="AK277" s="140"/>
      <c r="AL277" s="140"/>
    </row>
    <row r="278" ht="15.75" customHeight="1">
      <c r="A278" s="125">
        <v>277.0</v>
      </c>
      <c r="B278" s="138">
        <f t="shared" si="27"/>
        <v>10277</v>
      </c>
      <c r="C278" s="124" t="s">
        <v>1840</v>
      </c>
      <c r="D278" s="122" t="s">
        <v>2379</v>
      </c>
      <c r="E278" s="125" t="s">
        <v>34</v>
      </c>
      <c r="F278" s="153" t="s">
        <v>2384</v>
      </c>
      <c r="G278" s="127" t="s">
        <v>517</v>
      </c>
      <c r="H278" s="140" t="s">
        <v>1844</v>
      </c>
      <c r="I278" s="128" t="s">
        <v>1852</v>
      </c>
      <c r="J278" s="186" t="s">
        <v>1876</v>
      </c>
      <c r="K278" s="136" t="s">
        <v>1877</v>
      </c>
      <c r="L278" s="136" t="s">
        <v>1844</v>
      </c>
      <c r="M278" s="136" t="s">
        <v>1845</v>
      </c>
      <c r="N278" s="144">
        <v>1.0</v>
      </c>
      <c r="O278" s="140" t="s">
        <v>1879</v>
      </c>
      <c r="P278" s="140" t="s">
        <v>1895</v>
      </c>
      <c r="Q278" s="140"/>
      <c r="R278" s="144"/>
      <c r="S278" s="140"/>
      <c r="T278" s="140"/>
      <c r="U278" s="140"/>
      <c r="V278" s="140"/>
      <c r="W278" s="144"/>
      <c r="X278" s="136"/>
      <c r="Y278" s="136"/>
      <c r="Z278" s="140"/>
      <c r="AA278" s="140"/>
      <c r="AB278" s="140"/>
      <c r="AC278" s="140"/>
      <c r="AD278" s="140"/>
      <c r="AE278" s="140"/>
      <c r="AF278" s="140"/>
      <c r="AG278" s="140"/>
      <c r="AH278" s="140"/>
      <c r="AI278" s="128"/>
      <c r="AJ278" s="137"/>
      <c r="AK278" s="140"/>
      <c r="AL278" s="140"/>
    </row>
    <row r="279" ht="15.75" customHeight="1">
      <c r="A279" s="125">
        <v>278.0</v>
      </c>
      <c r="B279" s="123" t="s">
        <v>1742</v>
      </c>
      <c r="C279" s="124" t="s">
        <v>1840</v>
      </c>
      <c r="D279" s="122" t="s">
        <v>2379</v>
      </c>
      <c r="E279" s="125" t="s">
        <v>7</v>
      </c>
      <c r="F279" s="152" t="s">
        <v>2385</v>
      </c>
      <c r="G279" s="175" t="s">
        <v>2386</v>
      </c>
      <c r="H279" s="140" t="s">
        <v>1844</v>
      </c>
      <c r="I279" s="128" t="s">
        <v>1906</v>
      </c>
      <c r="J279" s="186" t="s">
        <v>1844</v>
      </c>
      <c r="K279" s="136" t="s">
        <v>1844</v>
      </c>
      <c r="L279" s="136" t="s">
        <v>1844</v>
      </c>
      <c r="M279" s="136" t="s">
        <v>1844</v>
      </c>
      <c r="N279" s="144" t="s">
        <v>1844</v>
      </c>
      <c r="O279" s="140" t="s">
        <v>1844</v>
      </c>
      <c r="P279" s="140" t="s">
        <v>1844</v>
      </c>
      <c r="Q279" s="140" t="s">
        <v>1845</v>
      </c>
      <c r="R279" s="144"/>
      <c r="S279" s="140"/>
      <c r="T279" s="140"/>
      <c r="U279" s="140"/>
      <c r="V279" s="140" t="s">
        <v>1845</v>
      </c>
      <c r="W279" s="144"/>
      <c r="X279" s="136" t="s">
        <v>1845</v>
      </c>
      <c r="Y279" s="136"/>
      <c r="Z279" s="140"/>
      <c r="AA279" s="140"/>
      <c r="AB279" s="140"/>
      <c r="AC279" s="140"/>
      <c r="AD279" s="140"/>
      <c r="AE279" s="140"/>
      <c r="AF279" s="140"/>
      <c r="AG279" s="140"/>
      <c r="AH279" s="140"/>
      <c r="AI279" s="128"/>
      <c r="AJ279" s="137"/>
      <c r="AK279" s="140"/>
      <c r="AL279" s="140"/>
    </row>
    <row r="280" ht="15.75" customHeight="1">
      <c r="A280" s="125">
        <v>279.0</v>
      </c>
      <c r="B280" s="138">
        <f t="shared" ref="B280:B284" si="28">SUM(A280+10000)</f>
        <v>10279</v>
      </c>
      <c r="C280" s="124" t="s">
        <v>1840</v>
      </c>
      <c r="D280" s="122" t="s">
        <v>2379</v>
      </c>
      <c r="E280" s="125" t="s">
        <v>27</v>
      </c>
      <c r="F280" s="126" t="s">
        <v>2387</v>
      </c>
      <c r="G280" s="181" t="s">
        <v>521</v>
      </c>
      <c r="H280" s="140" t="s">
        <v>1844</v>
      </c>
      <c r="I280" s="128" t="s">
        <v>1906</v>
      </c>
      <c r="J280" s="186" t="s">
        <v>1844</v>
      </c>
      <c r="K280" s="136" t="s">
        <v>1844</v>
      </c>
      <c r="L280" s="136" t="s">
        <v>1844</v>
      </c>
      <c r="M280" s="136" t="s">
        <v>1845</v>
      </c>
      <c r="N280" s="144" t="s">
        <v>1844</v>
      </c>
      <c r="O280" s="140" t="s">
        <v>1844</v>
      </c>
      <c r="P280" s="140" t="s">
        <v>1862</v>
      </c>
      <c r="Q280" s="140"/>
      <c r="R280" s="144"/>
      <c r="S280" s="140"/>
      <c r="T280" s="140"/>
      <c r="U280" s="140" t="s">
        <v>1845</v>
      </c>
      <c r="V280" s="140" t="s">
        <v>1845</v>
      </c>
      <c r="W280" s="144"/>
      <c r="X280" s="136"/>
      <c r="Y280" s="136"/>
      <c r="Z280" s="140"/>
      <c r="AA280" s="140"/>
      <c r="AB280" s="140"/>
      <c r="AC280" s="140"/>
      <c r="AD280" s="140"/>
      <c r="AE280" s="140"/>
      <c r="AF280" s="140"/>
      <c r="AG280" s="140"/>
      <c r="AH280" s="140"/>
      <c r="AI280" s="128"/>
      <c r="AJ280" s="137"/>
      <c r="AK280" s="140"/>
      <c r="AL280" s="140"/>
    </row>
    <row r="281" ht="15.75" customHeight="1">
      <c r="A281" s="151">
        <v>280.0</v>
      </c>
      <c r="B281" s="138">
        <f t="shared" si="28"/>
        <v>10280</v>
      </c>
      <c r="C281" s="179" t="s">
        <v>1840</v>
      </c>
      <c r="D281" s="150" t="s">
        <v>2379</v>
      </c>
      <c r="E281" s="151" t="s">
        <v>7</v>
      </c>
      <c r="F281" s="152" t="s">
        <v>2388</v>
      </c>
      <c r="G281" s="153" t="s">
        <v>523</v>
      </c>
      <c r="H281" s="140" t="s">
        <v>1844</v>
      </c>
      <c r="I281" s="129" t="s">
        <v>1906</v>
      </c>
      <c r="J281" s="143" t="s">
        <v>1844</v>
      </c>
      <c r="K281" s="132" t="s">
        <v>1844</v>
      </c>
      <c r="L281" s="132" t="s">
        <v>1844</v>
      </c>
      <c r="M281" s="132" t="s">
        <v>1844</v>
      </c>
      <c r="N281" s="131" t="s">
        <v>1844</v>
      </c>
      <c r="O281" s="171" t="s">
        <v>1844</v>
      </c>
      <c r="P281" s="171" t="s">
        <v>1844</v>
      </c>
      <c r="Q281" s="171"/>
      <c r="R281" s="131"/>
      <c r="S281" s="171"/>
      <c r="T281" s="171"/>
      <c r="U281" s="171" t="s">
        <v>1845</v>
      </c>
      <c r="V281" s="171" t="s">
        <v>1845</v>
      </c>
      <c r="W281" s="131"/>
      <c r="X281" s="132"/>
      <c r="Y281" s="132"/>
      <c r="Z281" s="171"/>
      <c r="AA281" s="171"/>
      <c r="AB281" s="171"/>
      <c r="AC281" s="171"/>
      <c r="AD281" s="171"/>
      <c r="AE281" s="171"/>
      <c r="AF281" s="140"/>
      <c r="AG281" s="140"/>
      <c r="AH281" s="140"/>
      <c r="AI281" s="128"/>
      <c r="AJ281" s="137"/>
      <c r="AK281" s="140"/>
      <c r="AL281" s="140"/>
    </row>
    <row r="282" ht="15.75" customHeight="1">
      <c r="A282" s="160">
        <v>281.0</v>
      </c>
      <c r="B282" s="158">
        <f t="shared" si="28"/>
        <v>10281</v>
      </c>
      <c r="C282" s="159" t="s">
        <v>1873</v>
      </c>
      <c r="D282" s="157" t="s">
        <v>2379</v>
      </c>
      <c r="E282" s="160" t="s">
        <v>34</v>
      </c>
      <c r="F282" s="161" t="s">
        <v>2389</v>
      </c>
      <c r="G282" s="162" t="s">
        <v>525</v>
      </c>
      <c r="H282" s="167" t="s">
        <v>1844</v>
      </c>
      <c r="I282" s="164" t="s">
        <v>1843</v>
      </c>
      <c r="J282" s="184" t="s">
        <v>1876</v>
      </c>
      <c r="K282" s="168" t="s">
        <v>1877</v>
      </c>
      <c r="L282" s="168" t="s">
        <v>1878</v>
      </c>
      <c r="M282" s="168" t="s">
        <v>1845</v>
      </c>
      <c r="N282" s="166">
        <v>1.0</v>
      </c>
      <c r="O282" s="167" t="s">
        <v>1879</v>
      </c>
      <c r="P282" s="167" t="s">
        <v>1862</v>
      </c>
      <c r="Q282" s="167"/>
      <c r="R282" s="166"/>
      <c r="S282" s="167" t="s">
        <v>1845</v>
      </c>
      <c r="T282" s="167"/>
      <c r="U282" s="167"/>
      <c r="V282" s="167"/>
      <c r="W282" s="166"/>
      <c r="X282" s="168" t="s">
        <v>1845</v>
      </c>
      <c r="Y282" s="168"/>
      <c r="Z282" s="167"/>
      <c r="AA282" s="167"/>
      <c r="AB282" s="167"/>
      <c r="AC282" s="167"/>
      <c r="AD282" s="167"/>
      <c r="AE282" s="167"/>
      <c r="AF282" s="167"/>
      <c r="AG282" s="164"/>
      <c r="AH282" s="167"/>
      <c r="AI282" s="164"/>
      <c r="AJ282" s="169"/>
      <c r="AK282" s="167"/>
      <c r="AL282" s="167"/>
    </row>
    <row r="283" ht="15.75" customHeight="1">
      <c r="A283" s="160">
        <v>282.0</v>
      </c>
      <c r="B283" s="158">
        <f t="shared" si="28"/>
        <v>10282</v>
      </c>
      <c r="C283" s="159" t="s">
        <v>1873</v>
      </c>
      <c r="D283" s="157" t="s">
        <v>2379</v>
      </c>
      <c r="E283" s="160" t="s">
        <v>34</v>
      </c>
      <c r="F283" s="162" t="s">
        <v>2390</v>
      </c>
      <c r="G283" s="162" t="s">
        <v>526</v>
      </c>
      <c r="H283" s="167" t="s">
        <v>1844</v>
      </c>
      <c r="I283" s="164" t="s">
        <v>1843</v>
      </c>
      <c r="J283" s="184" t="s">
        <v>1876</v>
      </c>
      <c r="K283" s="164" t="s">
        <v>1877</v>
      </c>
      <c r="L283" s="168" t="s">
        <v>1878</v>
      </c>
      <c r="M283" s="168" t="s">
        <v>1845</v>
      </c>
      <c r="N283" s="166">
        <v>1.0</v>
      </c>
      <c r="O283" s="167" t="s">
        <v>1879</v>
      </c>
      <c r="P283" s="167" t="s">
        <v>1862</v>
      </c>
      <c r="Q283" s="167"/>
      <c r="R283" s="166"/>
      <c r="S283" s="167" t="s">
        <v>1845</v>
      </c>
      <c r="T283" s="167"/>
      <c r="U283" s="167"/>
      <c r="V283" s="167"/>
      <c r="W283" s="166"/>
      <c r="X283" s="168" t="s">
        <v>1845</v>
      </c>
      <c r="Y283" s="168"/>
      <c r="Z283" s="167"/>
      <c r="AA283" s="167"/>
      <c r="AB283" s="167"/>
      <c r="AC283" s="167"/>
      <c r="AD283" s="167"/>
      <c r="AE283" s="167"/>
      <c r="AF283" s="167"/>
      <c r="AG283" s="164"/>
      <c r="AH283" s="167"/>
      <c r="AI283" s="164"/>
      <c r="AJ283" s="169"/>
      <c r="AK283" s="167"/>
      <c r="AL283" s="167"/>
    </row>
    <row r="284" ht="15.75" customHeight="1">
      <c r="A284" s="125">
        <v>283.0</v>
      </c>
      <c r="B284" s="138">
        <f t="shared" si="28"/>
        <v>10283</v>
      </c>
      <c r="C284" s="124" t="s">
        <v>1840</v>
      </c>
      <c r="D284" s="122" t="s">
        <v>2379</v>
      </c>
      <c r="E284" s="125" t="s">
        <v>7</v>
      </c>
      <c r="F284" s="127" t="s">
        <v>2391</v>
      </c>
      <c r="G284" s="222" t="s">
        <v>528</v>
      </c>
      <c r="H284" s="140" t="s">
        <v>1844</v>
      </c>
      <c r="I284" s="128" t="s">
        <v>1906</v>
      </c>
      <c r="J284" s="186" t="s">
        <v>1844</v>
      </c>
      <c r="K284" s="136" t="s">
        <v>1844</v>
      </c>
      <c r="L284" s="136" t="s">
        <v>1844</v>
      </c>
      <c r="M284" s="136" t="s">
        <v>1844</v>
      </c>
      <c r="N284" s="144" t="s">
        <v>1844</v>
      </c>
      <c r="O284" s="140" t="s">
        <v>1844</v>
      </c>
      <c r="P284" s="140" t="s">
        <v>1844</v>
      </c>
      <c r="Q284" s="140"/>
      <c r="R284" s="144"/>
      <c r="S284" s="140"/>
      <c r="T284" s="140"/>
      <c r="U284" s="140"/>
      <c r="V284" s="140" t="s">
        <v>1845</v>
      </c>
      <c r="W284" s="144"/>
      <c r="X284" s="136"/>
      <c r="Y284" s="136"/>
      <c r="Z284" s="140"/>
      <c r="AA284" s="140"/>
      <c r="AB284" s="140"/>
      <c r="AC284" s="140"/>
      <c r="AD284" s="140"/>
      <c r="AE284" s="140"/>
      <c r="AF284" s="140"/>
      <c r="AG284" s="140"/>
      <c r="AH284" s="140"/>
      <c r="AI284" s="128"/>
      <c r="AJ284" s="137"/>
      <c r="AK284" s="140"/>
      <c r="AL284" s="140"/>
    </row>
    <row r="285" ht="15.75" customHeight="1">
      <c r="A285" s="125">
        <v>284.0</v>
      </c>
      <c r="B285" s="123" t="s">
        <v>1742</v>
      </c>
      <c r="C285" s="124" t="s">
        <v>1840</v>
      </c>
      <c r="D285" s="122" t="s">
        <v>2379</v>
      </c>
      <c r="E285" s="125" t="s">
        <v>7</v>
      </c>
      <c r="F285" s="127" t="s">
        <v>2392</v>
      </c>
      <c r="G285" s="127" t="s">
        <v>2393</v>
      </c>
      <c r="H285" s="140" t="s">
        <v>1844</v>
      </c>
      <c r="I285" s="128" t="s">
        <v>1906</v>
      </c>
      <c r="J285" s="186" t="s">
        <v>1844</v>
      </c>
      <c r="K285" s="136" t="s">
        <v>1844</v>
      </c>
      <c r="L285" s="136" t="s">
        <v>1844</v>
      </c>
      <c r="M285" s="136" t="s">
        <v>1844</v>
      </c>
      <c r="N285" s="144" t="s">
        <v>1844</v>
      </c>
      <c r="O285" s="140" t="s">
        <v>1844</v>
      </c>
      <c r="P285" s="140" t="s">
        <v>1844</v>
      </c>
      <c r="Q285" s="140" t="s">
        <v>1845</v>
      </c>
      <c r="R285" s="144"/>
      <c r="S285" s="140"/>
      <c r="T285" s="140"/>
      <c r="U285" s="140"/>
      <c r="V285" s="140"/>
      <c r="W285" s="144"/>
      <c r="X285" s="136"/>
      <c r="Y285" s="136"/>
      <c r="Z285" s="140"/>
      <c r="AA285" s="140"/>
      <c r="AB285" s="140"/>
      <c r="AC285" s="140"/>
      <c r="AD285" s="140"/>
      <c r="AE285" s="140"/>
      <c r="AF285" s="140"/>
      <c r="AG285" s="140"/>
      <c r="AH285" s="140"/>
      <c r="AI285" s="128"/>
      <c r="AJ285" s="137"/>
      <c r="AK285" s="140"/>
      <c r="AL285" s="140"/>
    </row>
    <row r="286" ht="15.75" customHeight="1">
      <c r="A286" s="160">
        <v>285.0</v>
      </c>
      <c r="B286" s="158">
        <f t="shared" ref="B286:B292" si="29">SUM(A286+10000)</f>
        <v>10285</v>
      </c>
      <c r="C286" s="159" t="s">
        <v>1840</v>
      </c>
      <c r="D286" s="157" t="s">
        <v>2379</v>
      </c>
      <c r="E286" s="160" t="s">
        <v>34</v>
      </c>
      <c r="F286" s="162" t="s">
        <v>2394</v>
      </c>
      <c r="G286" s="162" t="s">
        <v>532</v>
      </c>
      <c r="H286" s="167" t="s">
        <v>1844</v>
      </c>
      <c r="I286" s="164" t="s">
        <v>1906</v>
      </c>
      <c r="J286" s="184" t="s">
        <v>1876</v>
      </c>
      <c r="K286" s="168" t="s">
        <v>1877</v>
      </c>
      <c r="L286" s="168" t="s">
        <v>1844</v>
      </c>
      <c r="M286" s="168" t="s">
        <v>1845</v>
      </c>
      <c r="N286" s="166" t="s">
        <v>1903</v>
      </c>
      <c r="O286" s="167" t="s">
        <v>1879</v>
      </c>
      <c r="P286" s="167" t="s">
        <v>1862</v>
      </c>
      <c r="Q286" s="167"/>
      <c r="R286" s="166"/>
      <c r="S286" s="167"/>
      <c r="T286" s="167"/>
      <c r="U286" s="167" t="s">
        <v>1845</v>
      </c>
      <c r="V286" s="167" t="s">
        <v>1845</v>
      </c>
      <c r="W286" s="166"/>
      <c r="X286" s="168"/>
      <c r="Y286" s="168"/>
      <c r="Z286" s="167"/>
      <c r="AA286" s="167"/>
      <c r="AB286" s="167"/>
      <c r="AC286" s="167"/>
      <c r="AD286" s="167"/>
      <c r="AE286" s="167"/>
      <c r="AF286" s="167"/>
      <c r="AG286" s="164"/>
      <c r="AH286" s="167"/>
      <c r="AI286" s="164"/>
      <c r="AJ286" s="169"/>
      <c r="AK286" s="167"/>
      <c r="AL286" s="167"/>
    </row>
    <row r="287" ht="15.75" customHeight="1">
      <c r="A287" s="125">
        <v>286.0</v>
      </c>
      <c r="B287" s="138">
        <f t="shared" si="29"/>
        <v>10286</v>
      </c>
      <c r="C287" s="124" t="s">
        <v>1840</v>
      </c>
      <c r="D287" s="122" t="s">
        <v>2379</v>
      </c>
      <c r="E287" s="125" t="s">
        <v>7</v>
      </c>
      <c r="F287" s="152" t="s">
        <v>2395</v>
      </c>
      <c r="G287" s="127" t="s">
        <v>2396</v>
      </c>
      <c r="H287" s="140" t="s">
        <v>1844</v>
      </c>
      <c r="I287" s="128" t="s">
        <v>1843</v>
      </c>
      <c r="J287" s="186" t="s">
        <v>1844</v>
      </c>
      <c r="K287" s="136" t="s">
        <v>1844</v>
      </c>
      <c r="L287" s="136" t="s">
        <v>1844</v>
      </c>
      <c r="M287" s="136" t="s">
        <v>1844</v>
      </c>
      <c r="N287" s="144" t="s">
        <v>1844</v>
      </c>
      <c r="O287" s="140" t="s">
        <v>1844</v>
      </c>
      <c r="P287" s="140" t="s">
        <v>1844</v>
      </c>
      <c r="Q287" s="140"/>
      <c r="R287" s="144"/>
      <c r="S287" s="140"/>
      <c r="T287" s="140"/>
      <c r="U287" s="140"/>
      <c r="V287" s="140"/>
      <c r="W287" s="144" t="s">
        <v>1845</v>
      </c>
      <c r="X287" s="136"/>
      <c r="Y287" s="136"/>
      <c r="Z287" s="140"/>
      <c r="AA287" s="140"/>
      <c r="AB287" s="140"/>
      <c r="AC287" s="140"/>
      <c r="AD287" s="140"/>
      <c r="AE287" s="140"/>
      <c r="AF287" s="140"/>
      <c r="AG287" s="140"/>
      <c r="AH287" s="140"/>
      <c r="AI287" s="128"/>
      <c r="AJ287" s="137"/>
      <c r="AK287" s="140"/>
      <c r="AL287" s="140"/>
    </row>
    <row r="288" ht="15.75" customHeight="1">
      <c r="A288" s="125">
        <v>287.0</v>
      </c>
      <c r="B288" s="138">
        <f t="shared" si="29"/>
        <v>10287</v>
      </c>
      <c r="C288" s="124" t="s">
        <v>1840</v>
      </c>
      <c r="D288" s="122" t="s">
        <v>2379</v>
      </c>
      <c r="E288" s="125" t="s">
        <v>34</v>
      </c>
      <c r="F288" s="198" t="s">
        <v>2397</v>
      </c>
      <c r="G288" s="127" t="s">
        <v>535</v>
      </c>
      <c r="H288" s="140" t="s">
        <v>1844</v>
      </c>
      <c r="I288" s="128" t="s">
        <v>1843</v>
      </c>
      <c r="J288" s="186" t="s">
        <v>1902</v>
      </c>
      <c r="K288" s="136" t="s">
        <v>1877</v>
      </c>
      <c r="L288" s="136" t="s">
        <v>1878</v>
      </c>
      <c r="M288" s="136" t="s">
        <v>1845</v>
      </c>
      <c r="N288" s="144">
        <v>1.0</v>
      </c>
      <c r="O288" s="140" t="s">
        <v>1879</v>
      </c>
      <c r="P288" s="140" t="s">
        <v>1862</v>
      </c>
      <c r="Q288" s="140"/>
      <c r="R288" s="144"/>
      <c r="S288" s="140" t="s">
        <v>1845</v>
      </c>
      <c r="T288" s="140"/>
      <c r="U288" s="140"/>
      <c r="V288" s="140"/>
      <c r="W288" s="144"/>
      <c r="X288" s="136"/>
      <c r="Y288" s="136"/>
      <c r="Z288" s="140"/>
      <c r="AA288" s="140"/>
      <c r="AB288" s="140"/>
      <c r="AC288" s="140"/>
      <c r="AD288" s="140"/>
      <c r="AE288" s="140"/>
      <c r="AF288" s="140"/>
      <c r="AG288" s="128"/>
      <c r="AH288" s="140"/>
      <c r="AI288" s="128"/>
      <c r="AJ288" s="137"/>
      <c r="AK288" s="140"/>
      <c r="AL288" s="140"/>
    </row>
    <row r="289" ht="15.75" customHeight="1">
      <c r="A289" s="125">
        <v>288.0</v>
      </c>
      <c r="B289" s="138">
        <f t="shared" si="29"/>
        <v>10288</v>
      </c>
      <c r="C289" s="124" t="s">
        <v>1840</v>
      </c>
      <c r="D289" s="122" t="s">
        <v>2379</v>
      </c>
      <c r="E289" s="125" t="s">
        <v>34</v>
      </c>
      <c r="F289" s="198" t="s">
        <v>2398</v>
      </c>
      <c r="G289" s="127" t="s">
        <v>537</v>
      </c>
      <c r="H289" s="140" t="s">
        <v>1844</v>
      </c>
      <c r="I289" s="128" t="s">
        <v>1843</v>
      </c>
      <c r="J289" s="186" t="s">
        <v>1876</v>
      </c>
      <c r="K289" s="136" t="s">
        <v>2348</v>
      </c>
      <c r="L289" s="136" t="s">
        <v>1878</v>
      </c>
      <c r="M289" s="136" t="s">
        <v>1845</v>
      </c>
      <c r="N289" s="144" t="s">
        <v>1844</v>
      </c>
      <c r="O289" s="140" t="s">
        <v>1879</v>
      </c>
      <c r="P289" s="140" t="s">
        <v>1862</v>
      </c>
      <c r="Q289" s="140"/>
      <c r="R289" s="144"/>
      <c r="S289" s="140" t="s">
        <v>1845</v>
      </c>
      <c r="T289" s="140"/>
      <c r="U289" s="140"/>
      <c r="V289" s="140"/>
      <c r="W289" s="144"/>
      <c r="X289" s="136"/>
      <c r="Y289" s="136"/>
      <c r="Z289" s="140"/>
      <c r="AA289" s="140"/>
      <c r="AB289" s="140"/>
      <c r="AC289" s="140"/>
      <c r="AD289" s="140"/>
      <c r="AE289" s="140"/>
      <c r="AF289" s="140"/>
      <c r="AG289" s="140"/>
      <c r="AH289" s="140"/>
      <c r="AI289" s="128"/>
      <c r="AJ289" s="137"/>
      <c r="AK289" s="140"/>
      <c r="AL289" s="140"/>
    </row>
    <row r="290" ht="15.75" customHeight="1">
      <c r="A290" s="151">
        <v>289.0</v>
      </c>
      <c r="B290" s="138">
        <f t="shared" si="29"/>
        <v>10289</v>
      </c>
      <c r="C290" s="179" t="s">
        <v>1840</v>
      </c>
      <c r="D290" s="150" t="s">
        <v>2379</v>
      </c>
      <c r="E290" s="151" t="s">
        <v>34</v>
      </c>
      <c r="F290" s="152" t="s">
        <v>2399</v>
      </c>
      <c r="G290" s="153" t="s">
        <v>539</v>
      </c>
      <c r="H290" s="140" t="s">
        <v>1844</v>
      </c>
      <c r="I290" s="129" t="s">
        <v>1843</v>
      </c>
      <c r="J290" s="143" t="s">
        <v>1876</v>
      </c>
      <c r="K290" s="132" t="s">
        <v>2348</v>
      </c>
      <c r="L290" s="132" t="s">
        <v>1878</v>
      </c>
      <c r="M290" s="132" t="s">
        <v>1845</v>
      </c>
      <c r="N290" s="131" t="s">
        <v>1844</v>
      </c>
      <c r="O290" s="171" t="s">
        <v>1879</v>
      </c>
      <c r="P290" s="171" t="s">
        <v>1862</v>
      </c>
      <c r="Q290" s="171"/>
      <c r="R290" s="131"/>
      <c r="S290" s="171" t="s">
        <v>1845</v>
      </c>
      <c r="T290" s="171"/>
      <c r="U290" s="171"/>
      <c r="V290" s="171"/>
      <c r="W290" s="131"/>
      <c r="X290" s="132"/>
      <c r="Y290" s="132"/>
      <c r="Z290" s="171"/>
      <c r="AA290" s="171"/>
      <c r="AB290" s="171"/>
      <c r="AC290" s="171"/>
      <c r="AD290" s="171"/>
      <c r="AE290" s="171"/>
      <c r="AF290" s="140"/>
      <c r="AG290" s="128"/>
      <c r="AH290" s="140"/>
      <c r="AI290" s="128"/>
      <c r="AJ290" s="137"/>
      <c r="AK290" s="140"/>
      <c r="AL290" s="140"/>
    </row>
    <row r="291" ht="15.75" customHeight="1">
      <c r="A291" s="151">
        <v>290.0</v>
      </c>
      <c r="B291" s="138">
        <f t="shared" si="29"/>
        <v>10290</v>
      </c>
      <c r="C291" s="179" t="s">
        <v>1840</v>
      </c>
      <c r="D291" s="150" t="s">
        <v>2379</v>
      </c>
      <c r="E291" s="151" t="s">
        <v>7</v>
      </c>
      <c r="F291" s="152" t="s">
        <v>2400</v>
      </c>
      <c r="G291" s="153" t="s">
        <v>541</v>
      </c>
      <c r="H291" s="140" t="s">
        <v>1844</v>
      </c>
      <c r="I291" s="128" t="s">
        <v>1906</v>
      </c>
      <c r="J291" s="143" t="s">
        <v>1844</v>
      </c>
      <c r="K291" s="132" t="s">
        <v>1844</v>
      </c>
      <c r="L291" s="132" t="s">
        <v>1844</v>
      </c>
      <c r="M291" s="132" t="s">
        <v>1844</v>
      </c>
      <c r="N291" s="131" t="s">
        <v>1844</v>
      </c>
      <c r="O291" s="171" t="s">
        <v>1844</v>
      </c>
      <c r="P291" s="171" t="s">
        <v>1844</v>
      </c>
      <c r="Q291" s="171"/>
      <c r="R291" s="131"/>
      <c r="S291" s="171"/>
      <c r="T291" s="171"/>
      <c r="U291" s="171"/>
      <c r="V291" s="171"/>
      <c r="W291" s="131"/>
      <c r="X291" s="132" t="s">
        <v>1845</v>
      </c>
      <c r="Y291" s="132"/>
      <c r="Z291" s="171"/>
      <c r="AA291" s="171"/>
      <c r="AB291" s="171"/>
      <c r="AC291" s="171"/>
      <c r="AD291" s="171"/>
      <c r="AE291" s="171"/>
      <c r="AF291" s="140"/>
      <c r="AG291" s="140" t="s">
        <v>2401</v>
      </c>
      <c r="AH291" s="140"/>
      <c r="AI291" s="128"/>
      <c r="AJ291" s="137"/>
      <c r="AK291" s="140"/>
      <c r="AL291" s="140"/>
    </row>
    <row r="292" ht="15.75" customHeight="1">
      <c r="A292" s="151">
        <v>291.0</v>
      </c>
      <c r="B292" s="138">
        <f t="shared" si="29"/>
        <v>10291</v>
      </c>
      <c r="C292" s="179" t="s">
        <v>1840</v>
      </c>
      <c r="D292" s="150" t="s">
        <v>1849</v>
      </c>
      <c r="E292" s="151" t="s">
        <v>7</v>
      </c>
      <c r="F292" s="223" t="s">
        <v>2388</v>
      </c>
      <c r="G292" s="153" t="s">
        <v>543</v>
      </c>
      <c r="H292" s="140" t="s">
        <v>1844</v>
      </c>
      <c r="I292" s="129" t="s">
        <v>1906</v>
      </c>
      <c r="J292" s="143" t="s">
        <v>1844</v>
      </c>
      <c r="K292" s="132" t="s">
        <v>1844</v>
      </c>
      <c r="L292" s="132" t="s">
        <v>1844</v>
      </c>
      <c r="M292" s="132" t="s">
        <v>1844</v>
      </c>
      <c r="N292" s="131" t="s">
        <v>1844</v>
      </c>
      <c r="O292" s="171" t="s">
        <v>1844</v>
      </c>
      <c r="P292" s="171" t="s">
        <v>1844</v>
      </c>
      <c r="Q292" s="171"/>
      <c r="R292" s="131"/>
      <c r="S292" s="171"/>
      <c r="T292" s="171"/>
      <c r="U292" s="171" t="s">
        <v>1845</v>
      </c>
      <c r="V292" s="171"/>
      <c r="W292" s="131" t="s">
        <v>1845</v>
      </c>
      <c r="X292" s="132"/>
      <c r="Y292" s="132"/>
      <c r="Z292" s="171"/>
      <c r="AA292" s="171"/>
      <c r="AB292" s="171"/>
      <c r="AC292" s="171"/>
      <c r="AD292" s="171"/>
      <c r="AE292" s="171"/>
      <c r="AF292" s="140"/>
      <c r="AG292" s="140"/>
      <c r="AH292" s="140"/>
      <c r="AI292" s="128"/>
      <c r="AJ292" s="137"/>
      <c r="AK292" s="140"/>
      <c r="AL292" s="140"/>
    </row>
    <row r="293" ht="15.75" customHeight="1">
      <c r="A293" s="125">
        <v>292.0</v>
      </c>
      <c r="B293" s="123" t="s">
        <v>1742</v>
      </c>
      <c r="C293" s="124" t="s">
        <v>1840</v>
      </c>
      <c r="D293" s="122" t="s">
        <v>2379</v>
      </c>
      <c r="E293" s="125" t="s">
        <v>7</v>
      </c>
      <c r="F293" s="223" t="s">
        <v>2402</v>
      </c>
      <c r="G293" s="127" t="s">
        <v>545</v>
      </c>
      <c r="H293" s="140" t="s">
        <v>1844</v>
      </c>
      <c r="I293" s="128" t="s">
        <v>1843</v>
      </c>
      <c r="J293" s="186" t="s">
        <v>1844</v>
      </c>
      <c r="K293" s="136" t="s">
        <v>1844</v>
      </c>
      <c r="L293" s="136" t="s">
        <v>1844</v>
      </c>
      <c r="M293" s="136" t="s">
        <v>1844</v>
      </c>
      <c r="N293" s="144" t="s">
        <v>1844</v>
      </c>
      <c r="O293" s="140" t="s">
        <v>1844</v>
      </c>
      <c r="P293" s="140" t="s">
        <v>1844</v>
      </c>
      <c r="Q293" s="140" t="s">
        <v>1845</v>
      </c>
      <c r="R293" s="144"/>
      <c r="S293" s="140"/>
      <c r="T293" s="140"/>
      <c r="U293" s="140"/>
      <c r="V293" s="140"/>
      <c r="W293" s="144"/>
      <c r="X293" s="136" t="s">
        <v>1845</v>
      </c>
      <c r="Y293" s="136"/>
      <c r="Z293" s="140"/>
      <c r="AA293" s="140"/>
      <c r="AB293" s="140"/>
      <c r="AC293" s="140"/>
      <c r="AD293" s="140"/>
      <c r="AE293" s="140"/>
      <c r="AF293" s="140"/>
      <c r="AG293" s="140"/>
      <c r="AH293" s="140"/>
      <c r="AI293" s="128"/>
      <c r="AJ293" s="137"/>
      <c r="AK293" s="140"/>
      <c r="AL293" s="140"/>
    </row>
    <row r="294" ht="15.75" customHeight="1">
      <c r="A294" s="125">
        <v>293.0</v>
      </c>
      <c r="B294" s="123" t="s">
        <v>1742</v>
      </c>
      <c r="C294" s="124" t="s">
        <v>1840</v>
      </c>
      <c r="D294" s="122" t="s">
        <v>2379</v>
      </c>
      <c r="E294" s="125" t="s">
        <v>7</v>
      </c>
      <c r="F294" s="152" t="s">
        <v>2403</v>
      </c>
      <c r="G294" s="127" t="s">
        <v>547</v>
      </c>
      <c r="H294" s="140" t="s">
        <v>1844</v>
      </c>
      <c r="I294" s="128" t="s">
        <v>1843</v>
      </c>
      <c r="J294" s="186" t="s">
        <v>1844</v>
      </c>
      <c r="K294" s="136" t="s">
        <v>1844</v>
      </c>
      <c r="L294" s="136" t="s">
        <v>1844</v>
      </c>
      <c r="M294" s="136" t="s">
        <v>1844</v>
      </c>
      <c r="N294" s="144" t="s">
        <v>1844</v>
      </c>
      <c r="O294" s="140" t="s">
        <v>1844</v>
      </c>
      <c r="P294" s="140" t="s">
        <v>1844</v>
      </c>
      <c r="Q294" s="140" t="s">
        <v>1845</v>
      </c>
      <c r="R294" s="144"/>
      <c r="S294" s="140"/>
      <c r="T294" s="140"/>
      <c r="U294" s="140"/>
      <c r="V294" s="140"/>
      <c r="W294" s="144"/>
      <c r="X294" s="136" t="s">
        <v>1845</v>
      </c>
      <c r="Y294" s="136"/>
      <c r="Z294" s="140"/>
      <c r="AA294" s="140"/>
      <c r="AB294" s="140"/>
      <c r="AC294" s="140"/>
      <c r="AD294" s="140"/>
      <c r="AE294" s="140"/>
      <c r="AF294" s="140"/>
      <c r="AG294" s="140"/>
      <c r="AH294" s="140"/>
      <c r="AI294" s="128"/>
      <c r="AJ294" s="137"/>
      <c r="AK294" s="140"/>
      <c r="AL294" s="140"/>
    </row>
    <row r="295" ht="15.75" customHeight="1">
      <c r="A295" s="160">
        <v>294.0</v>
      </c>
      <c r="B295" s="158">
        <f t="shared" ref="B295:B310" si="30">SUM(A295+10000)</f>
        <v>10294</v>
      </c>
      <c r="C295" s="159" t="s">
        <v>1873</v>
      </c>
      <c r="D295" s="157" t="s">
        <v>2404</v>
      </c>
      <c r="E295" s="160" t="s">
        <v>34</v>
      </c>
      <c r="F295" s="162" t="s">
        <v>2405</v>
      </c>
      <c r="G295" s="224" t="s">
        <v>549</v>
      </c>
      <c r="H295" s="192" t="s">
        <v>2250</v>
      </c>
      <c r="I295" s="167" t="s">
        <v>1843</v>
      </c>
      <c r="J295" s="184" t="s">
        <v>1876</v>
      </c>
      <c r="K295" s="168" t="s">
        <v>1877</v>
      </c>
      <c r="L295" s="168" t="s">
        <v>1990</v>
      </c>
      <c r="M295" s="168" t="s">
        <v>1845</v>
      </c>
      <c r="N295" s="166" t="s">
        <v>1903</v>
      </c>
      <c r="O295" s="167" t="s">
        <v>1879</v>
      </c>
      <c r="P295" s="167" t="s">
        <v>1862</v>
      </c>
      <c r="Q295" s="167"/>
      <c r="R295" s="166"/>
      <c r="S295" s="167"/>
      <c r="T295" s="167" t="s">
        <v>1845</v>
      </c>
      <c r="U295" s="167"/>
      <c r="V295" s="167"/>
      <c r="W295" s="166"/>
      <c r="X295" s="168"/>
      <c r="Y295" s="168"/>
      <c r="Z295" s="167"/>
      <c r="AA295" s="167"/>
      <c r="AB295" s="167"/>
      <c r="AC295" s="167"/>
      <c r="AD295" s="167"/>
      <c r="AE295" s="167"/>
      <c r="AF295" s="167"/>
      <c r="AG295" s="164"/>
      <c r="AH295" s="167"/>
      <c r="AI295" s="164"/>
      <c r="AJ295" s="169"/>
      <c r="AK295" s="167"/>
      <c r="AL295" s="167"/>
    </row>
    <row r="296" ht="15.75" customHeight="1">
      <c r="A296" s="160">
        <v>295.0</v>
      </c>
      <c r="B296" s="158">
        <f t="shared" si="30"/>
        <v>10295</v>
      </c>
      <c r="C296" s="159" t="s">
        <v>1873</v>
      </c>
      <c r="D296" s="157" t="s">
        <v>2404</v>
      </c>
      <c r="E296" s="160" t="s">
        <v>34</v>
      </c>
      <c r="F296" s="214" t="s">
        <v>2406</v>
      </c>
      <c r="G296" s="162" t="s">
        <v>2407</v>
      </c>
      <c r="H296" s="192" t="s">
        <v>2250</v>
      </c>
      <c r="I296" s="167" t="s">
        <v>1843</v>
      </c>
      <c r="J296" s="184" t="s">
        <v>1876</v>
      </c>
      <c r="K296" s="164" t="s">
        <v>1877</v>
      </c>
      <c r="L296" s="168" t="s">
        <v>1878</v>
      </c>
      <c r="M296" s="168" t="s">
        <v>1845</v>
      </c>
      <c r="N296" s="166">
        <v>1.0</v>
      </c>
      <c r="O296" s="167" t="s">
        <v>1879</v>
      </c>
      <c r="P296" s="167" t="s">
        <v>1862</v>
      </c>
      <c r="Q296" s="167"/>
      <c r="R296" s="167"/>
      <c r="S296" s="167"/>
      <c r="T296" s="167" t="s">
        <v>1845</v>
      </c>
      <c r="U296" s="167"/>
      <c r="V296" s="167"/>
      <c r="W296" s="166"/>
      <c r="X296" s="168"/>
      <c r="Y296" s="168"/>
      <c r="Z296" s="167"/>
      <c r="AA296" s="167"/>
      <c r="AB296" s="167"/>
      <c r="AC296" s="167"/>
      <c r="AD296" s="167"/>
      <c r="AE296" s="167"/>
      <c r="AF296" s="167"/>
      <c r="AG296" s="164"/>
      <c r="AH296" s="167"/>
      <c r="AI296" s="164"/>
      <c r="AJ296" s="169"/>
      <c r="AK296" s="167"/>
      <c r="AL296" s="167"/>
    </row>
    <row r="297" ht="15.75" customHeight="1">
      <c r="A297" s="160">
        <v>296.0</v>
      </c>
      <c r="B297" s="158">
        <f t="shared" si="30"/>
        <v>10296</v>
      </c>
      <c r="C297" s="159" t="s">
        <v>1873</v>
      </c>
      <c r="D297" s="157" t="s">
        <v>2404</v>
      </c>
      <c r="E297" s="160" t="s">
        <v>34</v>
      </c>
      <c r="F297" s="214" t="s">
        <v>2325</v>
      </c>
      <c r="G297" s="162" t="s">
        <v>551</v>
      </c>
      <c r="H297" s="167" t="s">
        <v>1844</v>
      </c>
      <c r="I297" s="167" t="s">
        <v>1843</v>
      </c>
      <c r="J297" s="184" t="s">
        <v>1876</v>
      </c>
      <c r="K297" s="164" t="s">
        <v>1877</v>
      </c>
      <c r="L297" s="168" t="s">
        <v>1878</v>
      </c>
      <c r="M297" s="168" t="s">
        <v>1845</v>
      </c>
      <c r="N297" s="166" t="s">
        <v>1903</v>
      </c>
      <c r="O297" s="167" t="s">
        <v>1879</v>
      </c>
      <c r="P297" s="167" t="s">
        <v>1862</v>
      </c>
      <c r="Q297" s="167"/>
      <c r="R297" s="167"/>
      <c r="S297" s="167"/>
      <c r="T297" s="167" t="s">
        <v>1845</v>
      </c>
      <c r="U297" s="167"/>
      <c r="V297" s="167"/>
      <c r="W297" s="166"/>
      <c r="X297" s="168"/>
      <c r="Y297" s="168"/>
      <c r="Z297" s="167"/>
      <c r="AA297" s="167"/>
      <c r="AB297" s="167"/>
      <c r="AC297" s="167"/>
      <c r="AD297" s="167"/>
      <c r="AE297" s="167"/>
      <c r="AF297" s="167"/>
      <c r="AG297" s="164"/>
      <c r="AH297" s="167"/>
      <c r="AI297" s="164"/>
      <c r="AJ297" s="169"/>
      <c r="AK297" s="167"/>
      <c r="AL297" s="167"/>
    </row>
    <row r="298" ht="15.75" customHeight="1">
      <c r="A298" s="160">
        <v>297.0</v>
      </c>
      <c r="B298" s="158">
        <f t="shared" si="30"/>
        <v>10297</v>
      </c>
      <c r="C298" s="159" t="s">
        <v>1873</v>
      </c>
      <c r="D298" s="157" t="s">
        <v>2404</v>
      </c>
      <c r="E298" s="160" t="s">
        <v>34</v>
      </c>
      <c r="F298" s="162" t="s">
        <v>2408</v>
      </c>
      <c r="G298" s="162" t="s">
        <v>552</v>
      </c>
      <c r="H298" s="167" t="s">
        <v>1844</v>
      </c>
      <c r="I298" s="167" t="s">
        <v>1843</v>
      </c>
      <c r="J298" s="184" t="s">
        <v>1876</v>
      </c>
      <c r="K298" s="177" t="s">
        <v>1877</v>
      </c>
      <c r="L298" s="168" t="s">
        <v>1884</v>
      </c>
      <c r="M298" s="168" t="s">
        <v>1845</v>
      </c>
      <c r="N298" s="166" t="s">
        <v>1903</v>
      </c>
      <c r="O298" s="167" t="s">
        <v>1879</v>
      </c>
      <c r="P298" s="167" t="s">
        <v>1862</v>
      </c>
      <c r="Q298" s="167"/>
      <c r="R298" s="167"/>
      <c r="S298" s="167"/>
      <c r="T298" s="167" t="s">
        <v>1845</v>
      </c>
      <c r="U298" s="167"/>
      <c r="V298" s="167"/>
      <c r="W298" s="166"/>
      <c r="X298" s="168"/>
      <c r="Y298" s="168"/>
      <c r="Z298" s="167"/>
      <c r="AA298" s="167"/>
      <c r="AB298" s="167"/>
      <c r="AC298" s="167"/>
      <c r="AD298" s="167"/>
      <c r="AE298" s="167"/>
      <c r="AF298" s="167"/>
      <c r="AG298" s="164"/>
      <c r="AH298" s="167"/>
      <c r="AI298" s="164"/>
      <c r="AJ298" s="169"/>
      <c r="AK298" s="167"/>
      <c r="AL298" s="167"/>
    </row>
    <row r="299" ht="15.75" customHeight="1">
      <c r="A299" s="160">
        <v>298.0</v>
      </c>
      <c r="B299" s="158">
        <f t="shared" si="30"/>
        <v>10298</v>
      </c>
      <c r="C299" s="159" t="s">
        <v>1873</v>
      </c>
      <c r="D299" s="157" t="s">
        <v>2404</v>
      </c>
      <c r="E299" s="160" t="s">
        <v>34</v>
      </c>
      <c r="F299" s="162" t="s">
        <v>2409</v>
      </c>
      <c r="G299" s="162" t="s">
        <v>553</v>
      </c>
      <c r="H299" s="167" t="s">
        <v>1844</v>
      </c>
      <c r="I299" s="164" t="s">
        <v>1843</v>
      </c>
      <c r="J299" s="184" t="s">
        <v>1876</v>
      </c>
      <c r="K299" s="177" t="s">
        <v>1877</v>
      </c>
      <c r="L299" s="168" t="s">
        <v>1990</v>
      </c>
      <c r="M299" s="168" t="s">
        <v>1845</v>
      </c>
      <c r="N299" s="166">
        <v>1.0</v>
      </c>
      <c r="O299" s="167" t="s">
        <v>1879</v>
      </c>
      <c r="P299" s="167" t="s">
        <v>1862</v>
      </c>
      <c r="Q299" s="167"/>
      <c r="R299" s="167"/>
      <c r="S299" s="167" t="s">
        <v>1845</v>
      </c>
      <c r="T299" s="167"/>
      <c r="U299" s="167"/>
      <c r="V299" s="167"/>
      <c r="W299" s="166"/>
      <c r="X299" s="168"/>
      <c r="Y299" s="168"/>
      <c r="Z299" s="167"/>
      <c r="AA299" s="167"/>
      <c r="AB299" s="167"/>
      <c r="AC299" s="167"/>
      <c r="AD299" s="167"/>
      <c r="AE299" s="167"/>
      <c r="AF299" s="167"/>
      <c r="AG299" s="164"/>
      <c r="AH299" s="167"/>
      <c r="AI299" s="164"/>
      <c r="AJ299" s="169"/>
      <c r="AK299" s="167"/>
      <c r="AL299" s="167"/>
    </row>
    <row r="300" ht="15.75" customHeight="1">
      <c r="A300" s="160">
        <v>299.0</v>
      </c>
      <c r="B300" s="158">
        <f t="shared" si="30"/>
        <v>10299</v>
      </c>
      <c r="C300" s="159" t="s">
        <v>1873</v>
      </c>
      <c r="D300" s="157" t="s">
        <v>2404</v>
      </c>
      <c r="E300" s="160" t="s">
        <v>34</v>
      </c>
      <c r="F300" s="162" t="s">
        <v>2410</v>
      </c>
      <c r="G300" s="162" t="s">
        <v>554</v>
      </c>
      <c r="H300" s="167" t="s">
        <v>1844</v>
      </c>
      <c r="I300" s="164" t="s">
        <v>1843</v>
      </c>
      <c r="J300" s="184" t="s">
        <v>1876</v>
      </c>
      <c r="K300" s="177" t="s">
        <v>1877</v>
      </c>
      <c r="L300" s="168" t="s">
        <v>1884</v>
      </c>
      <c r="M300" s="168" t="s">
        <v>1845</v>
      </c>
      <c r="N300" s="166" t="s">
        <v>1903</v>
      </c>
      <c r="O300" s="167" t="s">
        <v>1879</v>
      </c>
      <c r="P300" s="167" t="s">
        <v>1862</v>
      </c>
      <c r="Q300" s="167"/>
      <c r="R300" s="167"/>
      <c r="S300" s="167" t="s">
        <v>1845</v>
      </c>
      <c r="T300" s="167"/>
      <c r="U300" s="167"/>
      <c r="V300" s="167"/>
      <c r="W300" s="166"/>
      <c r="X300" s="168"/>
      <c r="Y300" s="168"/>
      <c r="Z300" s="167"/>
      <c r="AA300" s="167"/>
      <c r="AB300" s="167"/>
      <c r="AC300" s="167"/>
      <c r="AD300" s="167"/>
      <c r="AE300" s="167"/>
      <c r="AF300" s="167"/>
      <c r="AG300" s="164"/>
      <c r="AH300" s="167"/>
      <c r="AI300" s="164"/>
      <c r="AJ300" s="169"/>
      <c r="AK300" s="167"/>
      <c r="AL300" s="167"/>
    </row>
    <row r="301" ht="15.75" customHeight="1">
      <c r="A301" s="125">
        <v>300.0</v>
      </c>
      <c r="B301" s="138">
        <f t="shared" si="30"/>
        <v>10300</v>
      </c>
      <c r="C301" s="124" t="s">
        <v>1840</v>
      </c>
      <c r="D301" s="122" t="s">
        <v>2404</v>
      </c>
      <c r="E301" s="125" t="s">
        <v>7</v>
      </c>
      <c r="F301" s="127" t="s">
        <v>2411</v>
      </c>
      <c r="G301" s="127" t="s">
        <v>555</v>
      </c>
      <c r="H301" s="140" t="s">
        <v>1844</v>
      </c>
      <c r="I301" s="128" t="s">
        <v>1843</v>
      </c>
      <c r="J301" s="186" t="s">
        <v>1844</v>
      </c>
      <c r="K301" s="170" t="s">
        <v>1844</v>
      </c>
      <c r="L301" s="136" t="s">
        <v>1844</v>
      </c>
      <c r="M301" s="136" t="s">
        <v>1844</v>
      </c>
      <c r="N301" s="144" t="s">
        <v>1844</v>
      </c>
      <c r="O301" s="140" t="s">
        <v>1844</v>
      </c>
      <c r="P301" s="140" t="s">
        <v>1844</v>
      </c>
      <c r="Q301" s="140"/>
      <c r="R301" s="140"/>
      <c r="S301" s="140" t="s">
        <v>1845</v>
      </c>
      <c r="T301" s="140"/>
      <c r="U301" s="140"/>
      <c r="V301" s="140"/>
      <c r="W301" s="144"/>
      <c r="X301" s="136" t="s">
        <v>1845</v>
      </c>
      <c r="Y301" s="136"/>
      <c r="Z301" s="140"/>
      <c r="AA301" s="140"/>
      <c r="AB301" s="140"/>
      <c r="AC301" s="140"/>
      <c r="AD301" s="140"/>
      <c r="AE301" s="140"/>
      <c r="AF301" s="140"/>
      <c r="AG301" s="140"/>
      <c r="AH301" s="140"/>
      <c r="AI301" s="128"/>
      <c r="AJ301" s="137"/>
      <c r="AK301" s="140"/>
      <c r="AL301" s="140"/>
    </row>
    <row r="302" ht="15.75" customHeight="1">
      <c r="A302" s="125">
        <v>301.0</v>
      </c>
      <c r="B302" s="138">
        <f t="shared" si="30"/>
        <v>10301</v>
      </c>
      <c r="C302" s="124" t="s">
        <v>1840</v>
      </c>
      <c r="D302" s="122" t="s">
        <v>2404</v>
      </c>
      <c r="E302" s="125" t="s">
        <v>20</v>
      </c>
      <c r="F302" s="127" t="s">
        <v>2412</v>
      </c>
      <c r="G302" s="127" t="s">
        <v>557</v>
      </c>
      <c r="H302" s="140" t="s">
        <v>1844</v>
      </c>
      <c r="I302" s="128" t="s">
        <v>1843</v>
      </c>
      <c r="J302" s="186" t="s">
        <v>1844</v>
      </c>
      <c r="K302" s="170" t="s">
        <v>1844</v>
      </c>
      <c r="L302" s="136" t="s">
        <v>1961</v>
      </c>
      <c r="M302" s="136" t="s">
        <v>1845</v>
      </c>
      <c r="N302" s="144" t="s">
        <v>1844</v>
      </c>
      <c r="O302" s="140" t="s">
        <v>1844</v>
      </c>
      <c r="P302" s="140" t="s">
        <v>1862</v>
      </c>
      <c r="Q302" s="140"/>
      <c r="R302" s="140"/>
      <c r="S302" s="140"/>
      <c r="T302" s="140" t="s">
        <v>1845</v>
      </c>
      <c r="U302" s="140"/>
      <c r="V302" s="140"/>
      <c r="W302" s="144"/>
      <c r="X302" s="136"/>
      <c r="Y302" s="136"/>
      <c r="Z302" s="140"/>
      <c r="AA302" s="140"/>
      <c r="AB302" s="140"/>
      <c r="AC302" s="140"/>
      <c r="AD302" s="140"/>
      <c r="AE302" s="140"/>
      <c r="AF302" s="140"/>
      <c r="AG302" s="140"/>
      <c r="AH302" s="140"/>
      <c r="AI302" s="128"/>
      <c r="AJ302" s="137"/>
      <c r="AK302" s="140"/>
      <c r="AL302" s="140"/>
    </row>
    <row r="303" ht="15.75" customHeight="1">
      <c r="A303" s="160">
        <v>302.0</v>
      </c>
      <c r="B303" s="158">
        <f t="shared" si="30"/>
        <v>10302</v>
      </c>
      <c r="C303" s="159" t="s">
        <v>1873</v>
      </c>
      <c r="D303" s="157" t="s">
        <v>2404</v>
      </c>
      <c r="E303" s="160" t="s">
        <v>34</v>
      </c>
      <c r="F303" s="162" t="s">
        <v>2413</v>
      </c>
      <c r="G303" s="162" t="s">
        <v>559</v>
      </c>
      <c r="H303" s="167" t="s">
        <v>1844</v>
      </c>
      <c r="I303" s="164" t="s">
        <v>1843</v>
      </c>
      <c r="J303" s="184" t="s">
        <v>1876</v>
      </c>
      <c r="K303" s="177" t="s">
        <v>1877</v>
      </c>
      <c r="L303" s="168" t="s">
        <v>1884</v>
      </c>
      <c r="M303" s="168" t="s">
        <v>1845</v>
      </c>
      <c r="N303" s="166">
        <v>1.0</v>
      </c>
      <c r="O303" s="167" t="s">
        <v>1879</v>
      </c>
      <c r="P303" s="167" t="s">
        <v>1862</v>
      </c>
      <c r="Q303" s="167"/>
      <c r="R303" s="167"/>
      <c r="S303" s="167" t="s">
        <v>1845</v>
      </c>
      <c r="T303" s="167"/>
      <c r="U303" s="167"/>
      <c r="V303" s="167"/>
      <c r="W303" s="166"/>
      <c r="X303" s="168"/>
      <c r="Y303" s="168"/>
      <c r="Z303" s="167"/>
      <c r="AA303" s="167"/>
      <c r="AB303" s="167"/>
      <c r="AC303" s="167"/>
      <c r="AD303" s="167"/>
      <c r="AE303" s="167"/>
      <c r="AF303" s="167"/>
      <c r="AG303" s="164"/>
      <c r="AH303" s="167"/>
      <c r="AI303" s="164"/>
      <c r="AJ303" s="169"/>
      <c r="AK303" s="167"/>
      <c r="AL303" s="167"/>
    </row>
    <row r="304" ht="15.75" customHeight="1">
      <c r="A304" s="160">
        <v>303.0</v>
      </c>
      <c r="B304" s="158">
        <f t="shared" si="30"/>
        <v>10303</v>
      </c>
      <c r="C304" s="159" t="s">
        <v>1873</v>
      </c>
      <c r="D304" s="157" t="s">
        <v>2404</v>
      </c>
      <c r="E304" s="160" t="s">
        <v>34</v>
      </c>
      <c r="F304" s="162" t="s">
        <v>2414</v>
      </c>
      <c r="G304" s="162" t="s">
        <v>560</v>
      </c>
      <c r="H304" s="167" t="s">
        <v>1844</v>
      </c>
      <c r="I304" s="164" t="s">
        <v>1843</v>
      </c>
      <c r="J304" s="184" t="s">
        <v>1876</v>
      </c>
      <c r="K304" s="168" t="s">
        <v>1877</v>
      </c>
      <c r="L304" s="168" t="s">
        <v>1884</v>
      </c>
      <c r="M304" s="168" t="s">
        <v>1845</v>
      </c>
      <c r="N304" s="166" t="s">
        <v>1903</v>
      </c>
      <c r="O304" s="167" t="s">
        <v>1879</v>
      </c>
      <c r="P304" s="167" t="s">
        <v>1862</v>
      </c>
      <c r="Q304" s="167"/>
      <c r="R304" s="166"/>
      <c r="S304" s="167" t="s">
        <v>1845</v>
      </c>
      <c r="T304" s="167"/>
      <c r="U304" s="167"/>
      <c r="V304" s="167"/>
      <c r="W304" s="166"/>
      <c r="X304" s="168"/>
      <c r="Y304" s="168"/>
      <c r="Z304" s="167"/>
      <c r="AA304" s="167"/>
      <c r="AB304" s="167"/>
      <c r="AC304" s="167"/>
      <c r="AD304" s="167"/>
      <c r="AE304" s="167"/>
      <c r="AF304" s="167"/>
      <c r="AG304" s="164"/>
      <c r="AH304" s="167"/>
      <c r="AI304" s="164"/>
      <c r="AJ304" s="169"/>
      <c r="AK304" s="167"/>
      <c r="AL304" s="167"/>
    </row>
    <row r="305" ht="15.75" customHeight="1">
      <c r="A305" s="151">
        <v>304.0</v>
      </c>
      <c r="B305" s="138">
        <f t="shared" si="30"/>
        <v>10304</v>
      </c>
      <c r="C305" s="179" t="s">
        <v>1840</v>
      </c>
      <c r="D305" s="150" t="s">
        <v>2404</v>
      </c>
      <c r="E305" s="151" t="s">
        <v>20</v>
      </c>
      <c r="F305" s="153" t="s">
        <v>2375</v>
      </c>
      <c r="G305" s="153" t="s">
        <v>561</v>
      </c>
      <c r="H305" s="140" t="s">
        <v>1844</v>
      </c>
      <c r="I305" s="129" t="s">
        <v>1843</v>
      </c>
      <c r="J305" s="143" t="s">
        <v>1844</v>
      </c>
      <c r="K305" s="132" t="s">
        <v>1844</v>
      </c>
      <c r="L305" s="132" t="s">
        <v>1844</v>
      </c>
      <c r="M305" s="132" t="s">
        <v>1845</v>
      </c>
      <c r="N305" s="131" t="s">
        <v>1844</v>
      </c>
      <c r="O305" s="171" t="s">
        <v>1844</v>
      </c>
      <c r="P305" s="171" t="s">
        <v>1862</v>
      </c>
      <c r="Q305" s="171"/>
      <c r="R305" s="131"/>
      <c r="S305" s="171" t="s">
        <v>1845</v>
      </c>
      <c r="T305" s="171"/>
      <c r="U305" s="171"/>
      <c r="V305" s="171"/>
      <c r="W305" s="131"/>
      <c r="X305" s="132"/>
      <c r="Y305" s="132"/>
      <c r="Z305" s="171"/>
      <c r="AA305" s="171"/>
      <c r="AB305" s="171"/>
      <c r="AC305" s="171"/>
      <c r="AD305" s="171"/>
      <c r="AE305" s="171"/>
      <c r="AF305" s="140"/>
      <c r="AG305" s="140"/>
      <c r="AH305" s="140"/>
      <c r="AI305" s="128"/>
      <c r="AJ305" s="137"/>
      <c r="AK305" s="140"/>
      <c r="AL305" s="140"/>
    </row>
    <row r="306" ht="15.75" customHeight="1">
      <c r="A306" s="125">
        <v>305.0</v>
      </c>
      <c r="B306" s="138">
        <f t="shared" si="30"/>
        <v>10305</v>
      </c>
      <c r="C306" s="124" t="s">
        <v>1840</v>
      </c>
      <c r="D306" s="122" t="s">
        <v>2404</v>
      </c>
      <c r="E306" s="125" t="s">
        <v>20</v>
      </c>
      <c r="F306" s="127" t="s">
        <v>2415</v>
      </c>
      <c r="G306" s="127" t="s">
        <v>563</v>
      </c>
      <c r="H306" s="140" t="s">
        <v>1844</v>
      </c>
      <c r="I306" s="128" t="s">
        <v>1843</v>
      </c>
      <c r="J306" s="186" t="s">
        <v>1844</v>
      </c>
      <c r="K306" s="170" t="s">
        <v>1844</v>
      </c>
      <c r="L306" s="136" t="s">
        <v>1844</v>
      </c>
      <c r="M306" s="136" t="s">
        <v>1845</v>
      </c>
      <c r="N306" s="144" t="s">
        <v>1844</v>
      </c>
      <c r="O306" s="128" t="s">
        <v>1844</v>
      </c>
      <c r="P306" s="128" t="s">
        <v>2072</v>
      </c>
      <c r="Q306" s="128"/>
      <c r="R306" s="128"/>
      <c r="S306" s="128"/>
      <c r="T306" s="128"/>
      <c r="U306" s="128"/>
      <c r="V306" s="128"/>
      <c r="W306" s="136"/>
      <c r="X306" s="136"/>
      <c r="Y306" s="136"/>
      <c r="Z306" s="128"/>
      <c r="AA306" s="128"/>
      <c r="AB306" s="140"/>
      <c r="AC306" s="140"/>
      <c r="AD306" s="140"/>
      <c r="AE306" s="140"/>
      <c r="AF306" s="140"/>
      <c r="AG306" s="140"/>
      <c r="AH306" s="140"/>
      <c r="AI306" s="128"/>
      <c r="AJ306" s="137"/>
      <c r="AK306" s="140"/>
      <c r="AL306" s="140"/>
    </row>
    <row r="307" ht="15.75" customHeight="1">
      <c r="A307" s="151">
        <v>306.0</v>
      </c>
      <c r="B307" s="138">
        <f t="shared" si="30"/>
        <v>10306</v>
      </c>
      <c r="C307" s="179" t="s">
        <v>1840</v>
      </c>
      <c r="D307" s="150" t="s">
        <v>2404</v>
      </c>
      <c r="E307" s="151" t="s">
        <v>34</v>
      </c>
      <c r="F307" s="152" t="s">
        <v>2416</v>
      </c>
      <c r="G307" s="153" t="s">
        <v>565</v>
      </c>
      <c r="H307" s="140" t="s">
        <v>1844</v>
      </c>
      <c r="I307" s="171" t="s">
        <v>1843</v>
      </c>
      <c r="J307" s="143" t="s">
        <v>1876</v>
      </c>
      <c r="K307" s="172" t="s">
        <v>2348</v>
      </c>
      <c r="L307" s="132" t="s">
        <v>1878</v>
      </c>
      <c r="M307" s="132" t="s">
        <v>1845</v>
      </c>
      <c r="N307" s="131" t="s">
        <v>1844</v>
      </c>
      <c r="O307" s="171" t="s">
        <v>1879</v>
      </c>
      <c r="P307" s="171" t="s">
        <v>1862</v>
      </c>
      <c r="Q307" s="171"/>
      <c r="R307" s="171"/>
      <c r="S307" s="171"/>
      <c r="T307" s="171" t="s">
        <v>1845</v>
      </c>
      <c r="U307" s="171"/>
      <c r="V307" s="171"/>
      <c r="W307" s="131"/>
      <c r="X307" s="132"/>
      <c r="Y307" s="132"/>
      <c r="Z307" s="171"/>
      <c r="AA307" s="171"/>
      <c r="AB307" s="171"/>
      <c r="AC307" s="171"/>
      <c r="AD307" s="171"/>
      <c r="AE307" s="171"/>
      <c r="AF307" s="140"/>
      <c r="AG307" s="128"/>
      <c r="AH307" s="140"/>
      <c r="AI307" s="128"/>
      <c r="AJ307" s="137"/>
      <c r="AK307" s="140"/>
      <c r="AL307" s="140"/>
    </row>
    <row r="308" ht="15.75" customHeight="1">
      <c r="A308" s="125">
        <v>307.0</v>
      </c>
      <c r="B308" s="138">
        <f t="shared" si="30"/>
        <v>10307</v>
      </c>
      <c r="C308" s="124" t="s">
        <v>1840</v>
      </c>
      <c r="D308" s="122" t="s">
        <v>2404</v>
      </c>
      <c r="E308" s="125" t="s">
        <v>34</v>
      </c>
      <c r="F308" s="127" t="s">
        <v>2417</v>
      </c>
      <c r="G308" s="127" t="s">
        <v>567</v>
      </c>
      <c r="H308" s="128" t="s">
        <v>1844</v>
      </c>
      <c r="I308" s="128" t="s">
        <v>1852</v>
      </c>
      <c r="J308" s="186" t="s">
        <v>1902</v>
      </c>
      <c r="K308" s="136" t="s">
        <v>1877</v>
      </c>
      <c r="L308" s="136" t="s">
        <v>1878</v>
      </c>
      <c r="M308" s="136" t="s">
        <v>1845</v>
      </c>
      <c r="N308" s="144" t="s">
        <v>1844</v>
      </c>
      <c r="O308" s="140" t="s">
        <v>1879</v>
      </c>
      <c r="P308" s="140" t="s">
        <v>1862</v>
      </c>
      <c r="Q308" s="140"/>
      <c r="R308" s="144"/>
      <c r="S308" s="140"/>
      <c r="T308" s="140"/>
      <c r="U308" s="140" t="s">
        <v>1845</v>
      </c>
      <c r="V308" s="140"/>
      <c r="W308" s="144"/>
      <c r="X308" s="136"/>
      <c r="Y308" s="136"/>
      <c r="Z308" s="140"/>
      <c r="AA308" s="140"/>
      <c r="AB308" s="140"/>
      <c r="AC308" s="140"/>
      <c r="AD308" s="140"/>
      <c r="AE308" s="140"/>
      <c r="AF308" s="140"/>
      <c r="AG308" s="140"/>
      <c r="AH308" s="140"/>
      <c r="AI308" s="128"/>
      <c r="AJ308" s="137"/>
      <c r="AK308" s="140"/>
      <c r="AL308" s="140"/>
    </row>
    <row r="309" ht="15.75" customHeight="1">
      <c r="A309" s="122">
        <v>308.0</v>
      </c>
      <c r="B309" s="138">
        <f t="shared" si="30"/>
        <v>10308</v>
      </c>
      <c r="C309" s="124" t="s">
        <v>1840</v>
      </c>
      <c r="D309" s="122" t="s">
        <v>2404</v>
      </c>
      <c r="E309" s="125" t="s">
        <v>34</v>
      </c>
      <c r="F309" s="127" t="s">
        <v>2418</v>
      </c>
      <c r="G309" s="127" t="s">
        <v>569</v>
      </c>
      <c r="H309" s="128" t="s">
        <v>1844</v>
      </c>
      <c r="I309" s="128" t="s">
        <v>1852</v>
      </c>
      <c r="J309" s="149" t="s">
        <v>1902</v>
      </c>
      <c r="K309" s="128" t="s">
        <v>1877</v>
      </c>
      <c r="L309" s="128" t="s">
        <v>1990</v>
      </c>
      <c r="M309" s="128"/>
      <c r="N309" s="144" t="s">
        <v>1903</v>
      </c>
      <c r="O309" s="144" t="s">
        <v>1879</v>
      </c>
      <c r="P309" s="140" t="s">
        <v>1862</v>
      </c>
      <c r="Q309" s="144"/>
      <c r="R309" s="144"/>
      <c r="S309" s="144"/>
      <c r="T309" s="144"/>
      <c r="U309" s="144"/>
      <c r="V309" s="144"/>
      <c r="W309" s="144"/>
      <c r="X309" s="128"/>
      <c r="Y309" s="128"/>
      <c r="Z309" s="140"/>
      <c r="AA309" s="140"/>
      <c r="AB309" s="140"/>
      <c r="AC309" s="140"/>
      <c r="AD309" s="140"/>
      <c r="AE309" s="140"/>
      <c r="AF309" s="140"/>
      <c r="AG309" s="140"/>
      <c r="AH309" s="140"/>
      <c r="AI309" s="128"/>
      <c r="AJ309" s="137"/>
      <c r="AK309" s="140"/>
      <c r="AL309" s="140"/>
    </row>
    <row r="310" ht="15.75" customHeight="1">
      <c r="A310" s="160">
        <v>309.0</v>
      </c>
      <c r="B310" s="158">
        <f t="shared" si="30"/>
        <v>10309</v>
      </c>
      <c r="C310" s="159" t="s">
        <v>1873</v>
      </c>
      <c r="D310" s="157" t="s">
        <v>2404</v>
      </c>
      <c r="E310" s="160" t="s">
        <v>34</v>
      </c>
      <c r="F310" s="162" t="s">
        <v>2419</v>
      </c>
      <c r="G310" s="162" t="s">
        <v>571</v>
      </c>
      <c r="H310" s="192" t="s">
        <v>1844</v>
      </c>
      <c r="I310" s="164" t="s">
        <v>1852</v>
      </c>
      <c r="J310" s="184" t="s">
        <v>1876</v>
      </c>
      <c r="K310" s="168" t="s">
        <v>1877</v>
      </c>
      <c r="L310" s="168" t="s">
        <v>1990</v>
      </c>
      <c r="M310" s="168" t="s">
        <v>1845</v>
      </c>
      <c r="N310" s="166" t="s">
        <v>1903</v>
      </c>
      <c r="O310" s="167" t="s">
        <v>1879</v>
      </c>
      <c r="P310" s="167" t="s">
        <v>1862</v>
      </c>
      <c r="Q310" s="167"/>
      <c r="R310" s="166"/>
      <c r="S310" s="167"/>
      <c r="T310" s="167"/>
      <c r="U310" s="167"/>
      <c r="V310" s="167"/>
      <c r="W310" s="166"/>
      <c r="X310" s="168"/>
      <c r="Y310" s="168"/>
      <c r="Z310" s="167"/>
      <c r="AA310" s="167"/>
      <c r="AB310" s="167"/>
      <c r="AC310" s="167"/>
      <c r="AD310" s="167"/>
      <c r="AE310" s="167"/>
      <c r="AF310" s="167"/>
      <c r="AG310" s="164"/>
      <c r="AH310" s="167"/>
      <c r="AI310" s="164"/>
      <c r="AJ310" s="169"/>
      <c r="AK310" s="167"/>
      <c r="AL310" s="167"/>
    </row>
    <row r="311" ht="15.75" customHeight="1">
      <c r="A311" s="125">
        <v>310.0</v>
      </c>
      <c r="B311" s="123" t="s">
        <v>1742</v>
      </c>
      <c r="C311" s="124" t="s">
        <v>1840</v>
      </c>
      <c r="D311" s="122" t="s">
        <v>2404</v>
      </c>
      <c r="E311" s="125" t="s">
        <v>7</v>
      </c>
      <c r="F311" s="126" t="s">
        <v>2420</v>
      </c>
      <c r="G311" s="127" t="s">
        <v>572</v>
      </c>
      <c r="H311" s="140" t="s">
        <v>1844</v>
      </c>
      <c r="I311" s="128" t="s">
        <v>1843</v>
      </c>
      <c r="J311" s="149" t="s">
        <v>1844</v>
      </c>
      <c r="K311" s="128" t="s">
        <v>1844</v>
      </c>
      <c r="L311" s="128" t="s">
        <v>1844</v>
      </c>
      <c r="M311" s="128" t="s">
        <v>1844</v>
      </c>
      <c r="N311" s="140" t="s">
        <v>1844</v>
      </c>
      <c r="O311" s="140" t="s">
        <v>1844</v>
      </c>
      <c r="P311" s="140" t="s">
        <v>1844</v>
      </c>
      <c r="Q311" s="140" t="s">
        <v>1845</v>
      </c>
      <c r="R311" s="140"/>
      <c r="S311" s="140"/>
      <c r="T311" s="140" t="s">
        <v>1845</v>
      </c>
      <c r="U311" s="140"/>
      <c r="V311" s="140"/>
      <c r="W311" s="140"/>
      <c r="X311" s="128"/>
      <c r="Y311" s="128"/>
      <c r="Z311" s="140"/>
      <c r="AA311" s="140"/>
      <c r="AB311" s="140"/>
      <c r="AC311" s="140"/>
      <c r="AD311" s="140"/>
      <c r="AE311" s="140"/>
      <c r="AF311" s="140"/>
      <c r="AG311" s="140"/>
      <c r="AH311" s="140"/>
      <c r="AI311" s="128"/>
      <c r="AJ311" s="137"/>
      <c r="AK311" s="140"/>
      <c r="AL311" s="140"/>
    </row>
    <row r="312" ht="15.75" customHeight="1">
      <c r="A312" s="125">
        <v>311.0</v>
      </c>
      <c r="B312" s="138">
        <f t="shared" ref="B312:B322" si="31">SUM(A312+10000)</f>
        <v>10311</v>
      </c>
      <c r="C312" s="124" t="s">
        <v>1840</v>
      </c>
      <c r="D312" s="122" t="s">
        <v>2404</v>
      </c>
      <c r="E312" s="125" t="s">
        <v>7</v>
      </c>
      <c r="F312" s="127" t="s">
        <v>2421</v>
      </c>
      <c r="G312" s="127" t="s">
        <v>574</v>
      </c>
      <c r="H312" s="140" t="s">
        <v>1844</v>
      </c>
      <c r="I312" s="128" t="s">
        <v>1906</v>
      </c>
      <c r="J312" s="186" t="s">
        <v>1844</v>
      </c>
      <c r="K312" s="136" t="s">
        <v>1844</v>
      </c>
      <c r="L312" s="136" t="s">
        <v>1844</v>
      </c>
      <c r="M312" s="136" t="s">
        <v>1844</v>
      </c>
      <c r="N312" s="144" t="s">
        <v>1844</v>
      </c>
      <c r="O312" s="140" t="s">
        <v>1844</v>
      </c>
      <c r="P312" s="140" t="s">
        <v>1844</v>
      </c>
      <c r="Q312" s="140"/>
      <c r="R312" s="144"/>
      <c r="S312" s="140"/>
      <c r="T312" s="140"/>
      <c r="U312" s="140"/>
      <c r="V312" s="140" t="s">
        <v>1845</v>
      </c>
      <c r="W312" s="144"/>
      <c r="X312" s="136"/>
      <c r="Y312" s="136"/>
      <c r="Z312" s="140"/>
      <c r="AA312" s="140"/>
      <c r="AB312" s="140"/>
      <c r="AC312" s="140"/>
      <c r="AD312" s="140"/>
      <c r="AE312" s="140"/>
      <c r="AF312" s="140"/>
      <c r="AG312" s="140"/>
      <c r="AH312" s="140"/>
      <c r="AI312" s="128"/>
      <c r="AJ312" s="137"/>
      <c r="AK312" s="140"/>
      <c r="AL312" s="140"/>
    </row>
    <row r="313" ht="15.75" customHeight="1">
      <c r="A313" s="151">
        <v>312.0</v>
      </c>
      <c r="B313" s="138">
        <f t="shared" si="31"/>
        <v>10312</v>
      </c>
      <c r="C313" s="179" t="s">
        <v>1840</v>
      </c>
      <c r="D313" s="150" t="s">
        <v>2404</v>
      </c>
      <c r="E313" s="151" t="s">
        <v>34</v>
      </c>
      <c r="F313" s="153" t="s">
        <v>2422</v>
      </c>
      <c r="G313" s="153" t="s">
        <v>2423</v>
      </c>
      <c r="H313" s="140" t="s">
        <v>1844</v>
      </c>
      <c r="I313" s="171" t="s">
        <v>1843</v>
      </c>
      <c r="J313" s="143" t="s">
        <v>1876</v>
      </c>
      <c r="K313" s="172" t="s">
        <v>2348</v>
      </c>
      <c r="L313" s="132" t="s">
        <v>1990</v>
      </c>
      <c r="M313" s="132" t="s">
        <v>1845</v>
      </c>
      <c r="N313" s="131" t="s">
        <v>1844</v>
      </c>
      <c r="O313" s="171" t="s">
        <v>1879</v>
      </c>
      <c r="P313" s="171" t="s">
        <v>1862</v>
      </c>
      <c r="Q313" s="171"/>
      <c r="R313" s="131"/>
      <c r="S313" s="171"/>
      <c r="T313" s="171" t="s">
        <v>1845</v>
      </c>
      <c r="U313" s="171"/>
      <c r="V313" s="171"/>
      <c r="W313" s="131"/>
      <c r="X313" s="132"/>
      <c r="Y313" s="132"/>
      <c r="Z313" s="171"/>
      <c r="AA313" s="171"/>
      <c r="AB313" s="171"/>
      <c r="AC313" s="171"/>
      <c r="AD313" s="171"/>
      <c r="AE313" s="171"/>
      <c r="AF313" s="140"/>
      <c r="AG313" s="140"/>
      <c r="AH313" s="140"/>
      <c r="AI313" s="128"/>
      <c r="AJ313" s="137"/>
      <c r="AK313" s="140"/>
      <c r="AL313" s="140"/>
    </row>
    <row r="314" ht="15.75" customHeight="1">
      <c r="A314" s="125">
        <v>313.0</v>
      </c>
      <c r="B314" s="138">
        <f t="shared" si="31"/>
        <v>10313</v>
      </c>
      <c r="C314" s="124" t="s">
        <v>1840</v>
      </c>
      <c r="D314" s="122" t="s">
        <v>2404</v>
      </c>
      <c r="E314" s="125" t="s">
        <v>20</v>
      </c>
      <c r="F314" s="127" t="s">
        <v>2424</v>
      </c>
      <c r="G314" s="127" t="s">
        <v>578</v>
      </c>
      <c r="H314" s="140" t="s">
        <v>1844</v>
      </c>
      <c r="I314" s="128" t="s">
        <v>1843</v>
      </c>
      <c r="J314" s="186" t="s">
        <v>1844</v>
      </c>
      <c r="K314" s="136" t="s">
        <v>1844</v>
      </c>
      <c r="L314" s="136" t="s">
        <v>1878</v>
      </c>
      <c r="M314" s="136" t="s">
        <v>1845</v>
      </c>
      <c r="N314" s="144" t="s">
        <v>1844</v>
      </c>
      <c r="O314" s="140" t="s">
        <v>1844</v>
      </c>
      <c r="P314" s="140" t="s">
        <v>1862</v>
      </c>
      <c r="Q314" s="140"/>
      <c r="R314" s="144"/>
      <c r="S314" s="140" t="s">
        <v>1845</v>
      </c>
      <c r="T314" s="140"/>
      <c r="U314" s="140"/>
      <c r="V314" s="140"/>
      <c r="W314" s="144"/>
      <c r="X314" s="136"/>
      <c r="Y314" s="136"/>
      <c r="Z314" s="140"/>
      <c r="AA314" s="140"/>
      <c r="AB314" s="140"/>
      <c r="AC314" s="140"/>
      <c r="AD314" s="140"/>
      <c r="AE314" s="140"/>
      <c r="AF314" s="140"/>
      <c r="AG314" s="140"/>
      <c r="AH314" s="140"/>
      <c r="AI314" s="128"/>
      <c r="AJ314" s="137"/>
      <c r="AK314" s="140"/>
      <c r="AL314" s="140"/>
    </row>
    <row r="315" ht="15.75" customHeight="1">
      <c r="A315" s="125">
        <v>314.0</v>
      </c>
      <c r="B315" s="138">
        <f t="shared" si="31"/>
        <v>10314</v>
      </c>
      <c r="C315" s="124" t="s">
        <v>1840</v>
      </c>
      <c r="D315" s="122" t="s">
        <v>2404</v>
      </c>
      <c r="E315" s="125" t="s">
        <v>7</v>
      </c>
      <c r="F315" s="127" t="s">
        <v>2425</v>
      </c>
      <c r="G315" s="127" t="s">
        <v>580</v>
      </c>
      <c r="H315" s="140" t="s">
        <v>1844</v>
      </c>
      <c r="I315" s="128" t="s">
        <v>1843</v>
      </c>
      <c r="J315" s="186" t="s">
        <v>1844</v>
      </c>
      <c r="K315" s="136" t="s">
        <v>1844</v>
      </c>
      <c r="L315" s="136" t="s">
        <v>1844</v>
      </c>
      <c r="M315" s="136" t="s">
        <v>1844</v>
      </c>
      <c r="N315" s="144" t="s">
        <v>1844</v>
      </c>
      <c r="O315" s="140" t="s">
        <v>1844</v>
      </c>
      <c r="P315" s="140" t="s">
        <v>1844</v>
      </c>
      <c r="Q315" s="140"/>
      <c r="R315" s="144" t="s">
        <v>1845</v>
      </c>
      <c r="S315" s="140"/>
      <c r="T315" s="140"/>
      <c r="U315" s="140"/>
      <c r="V315" s="140"/>
      <c r="W315" s="144"/>
      <c r="X315" s="136"/>
      <c r="Y315" s="136"/>
      <c r="Z315" s="140"/>
      <c r="AA315" s="140"/>
      <c r="AB315" s="140"/>
      <c r="AC315" s="140"/>
      <c r="AD315" s="140"/>
      <c r="AE315" s="140"/>
      <c r="AF315" s="140"/>
      <c r="AG315" s="140"/>
      <c r="AH315" s="140"/>
      <c r="AI315" s="128"/>
      <c r="AJ315" s="137"/>
      <c r="AK315" s="140"/>
      <c r="AL315" s="140"/>
    </row>
    <row r="316" ht="15.75" customHeight="1">
      <c r="A316" s="125">
        <v>315.0</v>
      </c>
      <c r="B316" s="138">
        <f t="shared" si="31"/>
        <v>10315</v>
      </c>
      <c r="C316" s="124" t="s">
        <v>1840</v>
      </c>
      <c r="D316" s="122" t="s">
        <v>2404</v>
      </c>
      <c r="E316" s="125" t="s">
        <v>34</v>
      </c>
      <c r="F316" s="127" t="s">
        <v>2426</v>
      </c>
      <c r="G316" s="127" t="s">
        <v>582</v>
      </c>
      <c r="H316" s="128" t="s">
        <v>1844</v>
      </c>
      <c r="I316" s="128" t="s">
        <v>1906</v>
      </c>
      <c r="J316" s="186" t="s">
        <v>1876</v>
      </c>
      <c r="K316" s="136" t="s">
        <v>1877</v>
      </c>
      <c r="L316" s="136" t="s">
        <v>1844</v>
      </c>
      <c r="M316" s="136" t="s">
        <v>1845</v>
      </c>
      <c r="N316" s="144" t="s">
        <v>1903</v>
      </c>
      <c r="O316" s="140" t="s">
        <v>1879</v>
      </c>
      <c r="P316" s="140" t="s">
        <v>1862</v>
      </c>
      <c r="Q316" s="140"/>
      <c r="R316" s="144"/>
      <c r="S316" s="140"/>
      <c r="T316" s="140"/>
      <c r="U316" s="140"/>
      <c r="V316" s="140"/>
      <c r="W316" s="144"/>
      <c r="X316" s="136"/>
      <c r="Y316" s="136"/>
      <c r="Z316" s="140"/>
      <c r="AA316" s="140"/>
      <c r="AB316" s="140"/>
      <c r="AC316" s="140"/>
      <c r="AD316" s="140"/>
      <c r="AE316" s="140"/>
      <c r="AF316" s="140"/>
      <c r="AG316" s="140"/>
      <c r="AH316" s="140"/>
      <c r="AI316" s="128"/>
      <c r="AJ316" s="137"/>
      <c r="AK316" s="140"/>
      <c r="AL316" s="140"/>
    </row>
    <row r="317" ht="15.75" customHeight="1">
      <c r="A317" s="125">
        <v>316.0</v>
      </c>
      <c r="B317" s="138">
        <f t="shared" si="31"/>
        <v>10316</v>
      </c>
      <c r="C317" s="124" t="s">
        <v>1840</v>
      </c>
      <c r="D317" s="122" t="s">
        <v>1841</v>
      </c>
      <c r="E317" s="125" t="s">
        <v>20</v>
      </c>
      <c r="F317" s="127" t="s">
        <v>2136</v>
      </c>
      <c r="G317" s="225" t="s">
        <v>584</v>
      </c>
      <c r="H317" s="140" t="s">
        <v>1844</v>
      </c>
      <c r="I317" s="128" t="s">
        <v>1906</v>
      </c>
      <c r="J317" s="186" t="s">
        <v>1844</v>
      </c>
      <c r="K317" s="136" t="s">
        <v>1844</v>
      </c>
      <c r="L317" s="136" t="s">
        <v>1844</v>
      </c>
      <c r="M317" s="136" t="s">
        <v>1845</v>
      </c>
      <c r="N317" s="144" t="s">
        <v>1844</v>
      </c>
      <c r="O317" s="128" t="s">
        <v>1844</v>
      </c>
      <c r="P317" s="140" t="s">
        <v>1862</v>
      </c>
      <c r="Q317" s="140"/>
      <c r="R317" s="144"/>
      <c r="S317" s="140"/>
      <c r="T317" s="140"/>
      <c r="U317" s="140" t="s">
        <v>1845</v>
      </c>
      <c r="V317" s="140"/>
      <c r="W317" s="144"/>
      <c r="X317" s="136"/>
      <c r="Y317" s="136"/>
      <c r="Z317" s="140"/>
      <c r="AA317" s="140"/>
      <c r="AB317" s="140"/>
      <c r="AC317" s="140"/>
      <c r="AD317" s="140"/>
      <c r="AE317" s="140"/>
      <c r="AF317" s="140"/>
      <c r="AG317" s="140"/>
      <c r="AH317" s="140"/>
      <c r="AI317" s="128"/>
      <c r="AJ317" s="137"/>
      <c r="AK317" s="140"/>
      <c r="AL317" s="140"/>
    </row>
    <row r="318" ht="15.75" customHeight="1">
      <c r="A318" s="125">
        <v>317.0</v>
      </c>
      <c r="B318" s="138">
        <f t="shared" si="31"/>
        <v>10317</v>
      </c>
      <c r="C318" s="124" t="s">
        <v>1840</v>
      </c>
      <c r="D318" s="122" t="s">
        <v>1841</v>
      </c>
      <c r="E318" s="125" t="s">
        <v>7</v>
      </c>
      <c r="F318" s="127" t="s">
        <v>2427</v>
      </c>
      <c r="G318" s="127" t="s">
        <v>586</v>
      </c>
      <c r="H318" s="140" t="s">
        <v>1844</v>
      </c>
      <c r="I318" s="128" t="s">
        <v>1843</v>
      </c>
      <c r="J318" s="186" t="s">
        <v>1844</v>
      </c>
      <c r="K318" s="136" t="s">
        <v>1844</v>
      </c>
      <c r="L318" s="136" t="s">
        <v>1844</v>
      </c>
      <c r="M318" s="136" t="s">
        <v>1844</v>
      </c>
      <c r="N318" s="144" t="s">
        <v>1844</v>
      </c>
      <c r="O318" s="128" t="s">
        <v>1844</v>
      </c>
      <c r="P318" s="140" t="s">
        <v>1844</v>
      </c>
      <c r="Q318" s="140"/>
      <c r="R318" s="144"/>
      <c r="S318" s="140" t="s">
        <v>1845</v>
      </c>
      <c r="T318" s="140"/>
      <c r="U318" s="140"/>
      <c r="V318" s="140"/>
      <c r="W318" s="144"/>
      <c r="X318" s="136"/>
      <c r="Y318" s="136"/>
      <c r="Z318" s="140"/>
      <c r="AA318" s="140"/>
      <c r="AB318" s="140"/>
      <c r="AC318" s="140"/>
      <c r="AD318" s="140"/>
      <c r="AE318" s="140"/>
      <c r="AF318" s="140"/>
      <c r="AG318" s="140"/>
      <c r="AH318" s="140"/>
      <c r="AI318" s="128"/>
      <c r="AJ318" s="137"/>
      <c r="AK318" s="140"/>
      <c r="AL318" s="140"/>
    </row>
    <row r="319" ht="15.75" customHeight="1">
      <c r="A319" s="125">
        <v>318.0</v>
      </c>
      <c r="B319" s="138">
        <f t="shared" si="31"/>
        <v>10318</v>
      </c>
      <c r="C319" s="124" t="s">
        <v>1840</v>
      </c>
      <c r="D319" s="122" t="s">
        <v>1841</v>
      </c>
      <c r="E319" s="125" t="s">
        <v>7</v>
      </c>
      <c r="F319" s="127" t="s">
        <v>2428</v>
      </c>
      <c r="G319" s="127" t="s">
        <v>588</v>
      </c>
      <c r="H319" s="140" t="s">
        <v>1844</v>
      </c>
      <c r="I319" s="128" t="s">
        <v>1844</v>
      </c>
      <c r="J319" s="186" t="s">
        <v>1844</v>
      </c>
      <c r="K319" s="170" t="s">
        <v>1844</v>
      </c>
      <c r="L319" s="136" t="s">
        <v>1844</v>
      </c>
      <c r="M319" s="136" t="s">
        <v>1844</v>
      </c>
      <c r="N319" s="144" t="s">
        <v>1844</v>
      </c>
      <c r="O319" s="128" t="s">
        <v>1844</v>
      </c>
      <c r="P319" s="140" t="s">
        <v>1844</v>
      </c>
      <c r="Q319" s="140"/>
      <c r="R319" s="140"/>
      <c r="S319" s="140" t="s">
        <v>1845</v>
      </c>
      <c r="T319" s="140"/>
      <c r="U319" s="140"/>
      <c r="V319" s="140"/>
      <c r="W319" s="144"/>
      <c r="X319" s="136" t="s">
        <v>1845</v>
      </c>
      <c r="Y319" s="136"/>
      <c r="Z319" s="140"/>
      <c r="AA319" s="140"/>
      <c r="AB319" s="140"/>
      <c r="AC319" s="140"/>
      <c r="AD319" s="140"/>
      <c r="AE319" s="140"/>
      <c r="AF319" s="140"/>
      <c r="AG319" s="140"/>
      <c r="AH319" s="140"/>
      <c r="AI319" s="128"/>
      <c r="AJ319" s="137"/>
      <c r="AK319" s="140"/>
      <c r="AL319" s="140"/>
    </row>
    <row r="320" ht="15.75" customHeight="1">
      <c r="A320" s="151">
        <v>319.0</v>
      </c>
      <c r="B320" s="138">
        <f t="shared" si="31"/>
        <v>10319</v>
      </c>
      <c r="C320" s="179" t="s">
        <v>1840</v>
      </c>
      <c r="D320" s="150" t="s">
        <v>1841</v>
      </c>
      <c r="E320" s="151" t="s">
        <v>27</v>
      </c>
      <c r="F320" s="153" t="s">
        <v>2429</v>
      </c>
      <c r="G320" s="201" t="s">
        <v>2430</v>
      </c>
      <c r="H320" s="140" t="s">
        <v>1844</v>
      </c>
      <c r="I320" s="129" t="s">
        <v>1843</v>
      </c>
      <c r="J320" s="130" t="s">
        <v>1844</v>
      </c>
      <c r="K320" s="129" t="s">
        <v>1844</v>
      </c>
      <c r="L320" s="132" t="s">
        <v>1844</v>
      </c>
      <c r="M320" s="129" t="s">
        <v>1845</v>
      </c>
      <c r="N320" s="131" t="s">
        <v>1844</v>
      </c>
      <c r="O320" s="132" t="s">
        <v>1844</v>
      </c>
      <c r="P320" s="129" t="s">
        <v>1862</v>
      </c>
      <c r="Q320" s="129"/>
      <c r="R320" s="132"/>
      <c r="S320" s="129"/>
      <c r="T320" s="129"/>
      <c r="U320" s="129"/>
      <c r="V320" s="129"/>
      <c r="W320" s="132"/>
      <c r="X320" s="132"/>
      <c r="Y320" s="132"/>
      <c r="Z320" s="129"/>
      <c r="AA320" s="129"/>
      <c r="AB320" s="171"/>
      <c r="AC320" s="171"/>
      <c r="AD320" s="171"/>
      <c r="AE320" s="171"/>
      <c r="AF320" s="140"/>
      <c r="AG320" s="140"/>
      <c r="AH320" s="140"/>
      <c r="AI320" s="128"/>
      <c r="AJ320" s="137"/>
      <c r="AK320" s="140"/>
      <c r="AL320" s="140"/>
    </row>
    <row r="321" ht="15.75" customHeight="1">
      <c r="A321" s="125">
        <v>320.0</v>
      </c>
      <c r="B321" s="138">
        <f t="shared" si="31"/>
        <v>10320</v>
      </c>
      <c r="C321" s="124" t="s">
        <v>1840</v>
      </c>
      <c r="D321" s="122" t="s">
        <v>1849</v>
      </c>
      <c r="E321" s="125" t="s">
        <v>20</v>
      </c>
      <c r="F321" s="127" t="s">
        <v>2431</v>
      </c>
      <c r="G321" s="127" t="s">
        <v>592</v>
      </c>
      <c r="H321" s="140" t="s">
        <v>1844</v>
      </c>
      <c r="I321" s="128" t="s">
        <v>1843</v>
      </c>
      <c r="J321" s="186" t="s">
        <v>1844</v>
      </c>
      <c r="K321" s="136" t="s">
        <v>1844</v>
      </c>
      <c r="L321" s="136" t="s">
        <v>1844</v>
      </c>
      <c r="M321" s="136" t="s">
        <v>1845</v>
      </c>
      <c r="N321" s="144" t="s">
        <v>1844</v>
      </c>
      <c r="O321" s="140" t="s">
        <v>1844</v>
      </c>
      <c r="P321" s="140" t="s">
        <v>1895</v>
      </c>
      <c r="Q321" s="140"/>
      <c r="R321" s="144"/>
      <c r="S321" s="140" t="s">
        <v>1845</v>
      </c>
      <c r="T321" s="140"/>
      <c r="U321" s="140"/>
      <c r="V321" s="140"/>
      <c r="W321" s="144"/>
      <c r="X321" s="136"/>
      <c r="Y321" s="136"/>
      <c r="Z321" s="140"/>
      <c r="AA321" s="140"/>
      <c r="AB321" s="140"/>
      <c r="AC321" s="140"/>
      <c r="AD321" s="140"/>
      <c r="AE321" s="140"/>
      <c r="AF321" s="140"/>
      <c r="AG321" s="140"/>
      <c r="AH321" s="140"/>
      <c r="AI321" s="128"/>
      <c r="AJ321" s="137"/>
      <c r="AK321" s="140"/>
      <c r="AL321" s="140"/>
    </row>
    <row r="322" ht="15.75" customHeight="1">
      <c r="A322" s="151">
        <v>321.0</v>
      </c>
      <c r="B322" s="138">
        <f t="shared" si="31"/>
        <v>10321</v>
      </c>
      <c r="C322" s="179" t="s">
        <v>1840</v>
      </c>
      <c r="D322" s="150" t="s">
        <v>2404</v>
      </c>
      <c r="E322" s="151" t="s">
        <v>34</v>
      </c>
      <c r="F322" s="226" t="s">
        <v>2432</v>
      </c>
      <c r="G322" s="190" t="s">
        <v>594</v>
      </c>
      <c r="H322" s="140" t="s">
        <v>1844</v>
      </c>
      <c r="I322" s="129" t="s">
        <v>1906</v>
      </c>
      <c r="J322" s="143" t="s">
        <v>1902</v>
      </c>
      <c r="K322" s="132" t="s">
        <v>1877</v>
      </c>
      <c r="L322" s="132" t="s">
        <v>1990</v>
      </c>
      <c r="M322" s="132" t="s">
        <v>1845</v>
      </c>
      <c r="N322" s="131" t="s">
        <v>1903</v>
      </c>
      <c r="O322" s="129" t="s">
        <v>1879</v>
      </c>
      <c r="P322" s="171" t="s">
        <v>1862</v>
      </c>
      <c r="Q322" s="129"/>
      <c r="R322" s="131"/>
      <c r="S322" s="129"/>
      <c r="T322" s="129"/>
      <c r="U322" s="129" t="s">
        <v>1845</v>
      </c>
      <c r="V322" s="129"/>
      <c r="W322" s="131"/>
      <c r="X322" s="132"/>
      <c r="Y322" s="132"/>
      <c r="Z322" s="129"/>
      <c r="AA322" s="129"/>
      <c r="AB322" s="171"/>
      <c r="AC322" s="171"/>
      <c r="AD322" s="171"/>
      <c r="AE322" s="171"/>
      <c r="AF322" s="140"/>
      <c r="AG322" s="140"/>
      <c r="AH322" s="140"/>
      <c r="AI322" s="128"/>
      <c r="AJ322" s="137"/>
      <c r="AK322" s="140"/>
      <c r="AL322" s="140"/>
    </row>
    <row r="323" ht="15.75" customHeight="1">
      <c r="A323" s="125">
        <v>322.0</v>
      </c>
      <c r="B323" s="123" t="s">
        <v>1742</v>
      </c>
      <c r="C323" s="124" t="s">
        <v>1840</v>
      </c>
      <c r="D323" s="122" t="s">
        <v>1841</v>
      </c>
      <c r="E323" s="125" t="s">
        <v>7</v>
      </c>
      <c r="F323" s="127" t="s">
        <v>2433</v>
      </c>
      <c r="G323" s="126" t="s">
        <v>596</v>
      </c>
      <c r="H323" s="227" t="s">
        <v>1844</v>
      </c>
      <c r="I323" s="128" t="s">
        <v>1843</v>
      </c>
      <c r="J323" s="149" t="s">
        <v>1844</v>
      </c>
      <c r="K323" s="128" t="s">
        <v>1844</v>
      </c>
      <c r="L323" s="128" t="s">
        <v>1844</v>
      </c>
      <c r="M323" s="128" t="s">
        <v>1844</v>
      </c>
      <c r="N323" s="144" t="s">
        <v>1844</v>
      </c>
      <c r="O323" s="136" t="s">
        <v>1844</v>
      </c>
      <c r="P323" s="128" t="s">
        <v>1844</v>
      </c>
      <c r="Q323" s="136" t="s">
        <v>1845</v>
      </c>
      <c r="R323" s="136"/>
      <c r="S323" s="136" t="s">
        <v>1845</v>
      </c>
      <c r="T323" s="136"/>
      <c r="U323" s="136"/>
      <c r="V323" s="136"/>
      <c r="W323" s="136"/>
      <c r="X323" s="128"/>
      <c r="Y323" s="128"/>
      <c r="Z323" s="128"/>
      <c r="AA323" s="128"/>
      <c r="AB323" s="140"/>
      <c r="AC323" s="140"/>
      <c r="AD323" s="140"/>
      <c r="AE323" s="140"/>
      <c r="AF323" s="140"/>
      <c r="AG323" s="140"/>
      <c r="AH323" s="140"/>
      <c r="AI323" s="128"/>
      <c r="AJ323" s="137"/>
      <c r="AK323" s="140"/>
      <c r="AL323" s="140"/>
    </row>
    <row r="324" ht="15.75" customHeight="1">
      <c r="A324" s="125">
        <v>323.0</v>
      </c>
      <c r="B324" s="123" t="s">
        <v>1742</v>
      </c>
      <c r="C324" s="124" t="s">
        <v>1840</v>
      </c>
      <c r="D324" s="122" t="s">
        <v>2434</v>
      </c>
      <c r="E324" s="125" t="s">
        <v>7</v>
      </c>
      <c r="F324" s="127" t="s">
        <v>2435</v>
      </c>
      <c r="G324" s="126" t="s">
        <v>598</v>
      </c>
      <c r="H324" s="149" t="s">
        <v>1844</v>
      </c>
      <c r="I324" s="128" t="s">
        <v>1843</v>
      </c>
      <c r="J324" s="186" t="s">
        <v>1844</v>
      </c>
      <c r="K324" s="128" t="s">
        <v>1844</v>
      </c>
      <c r="L324" s="136" t="s">
        <v>1844</v>
      </c>
      <c r="M324" s="136" t="s">
        <v>1844</v>
      </c>
      <c r="N324" s="144" t="s">
        <v>1844</v>
      </c>
      <c r="O324" s="136" t="s">
        <v>1844</v>
      </c>
      <c r="P324" s="136" t="s">
        <v>1844</v>
      </c>
      <c r="Q324" s="136" t="s">
        <v>1845</v>
      </c>
      <c r="R324" s="144"/>
      <c r="S324" s="136"/>
      <c r="T324" s="136"/>
      <c r="U324" s="136"/>
      <c r="V324" s="136"/>
      <c r="W324" s="144"/>
      <c r="X324" s="136"/>
      <c r="Y324" s="136"/>
      <c r="Z324" s="128"/>
      <c r="AA324" s="128"/>
      <c r="AB324" s="140"/>
      <c r="AC324" s="140"/>
      <c r="AD324" s="140"/>
      <c r="AE324" s="140"/>
      <c r="AF324" s="140"/>
      <c r="AG324" s="140"/>
      <c r="AH324" s="140"/>
      <c r="AI324" s="128"/>
      <c r="AJ324" s="137"/>
      <c r="AK324" s="140"/>
      <c r="AL324" s="140"/>
    </row>
    <row r="325" ht="15.75" customHeight="1">
      <c r="A325" s="125">
        <v>324.0</v>
      </c>
      <c r="B325" s="138">
        <f t="shared" ref="B325:B328" si="32">SUM(A325+10000)</f>
        <v>10324</v>
      </c>
      <c r="C325" s="124" t="s">
        <v>1840</v>
      </c>
      <c r="D325" s="122" t="s">
        <v>2434</v>
      </c>
      <c r="E325" s="125" t="s">
        <v>34</v>
      </c>
      <c r="F325" s="127" t="s">
        <v>2436</v>
      </c>
      <c r="G325" s="198" t="s">
        <v>600</v>
      </c>
      <c r="H325" s="128" t="s">
        <v>1844</v>
      </c>
      <c r="I325" s="128" t="s">
        <v>1906</v>
      </c>
      <c r="J325" s="149" t="s">
        <v>1902</v>
      </c>
      <c r="K325" s="136" t="s">
        <v>1877</v>
      </c>
      <c r="L325" s="136" t="s">
        <v>1844</v>
      </c>
      <c r="M325" s="128" t="s">
        <v>1845</v>
      </c>
      <c r="N325" s="144">
        <v>1.0</v>
      </c>
      <c r="O325" s="128" t="s">
        <v>1879</v>
      </c>
      <c r="P325" s="128" t="s">
        <v>1862</v>
      </c>
      <c r="Q325" s="128"/>
      <c r="R325" s="144"/>
      <c r="S325" s="128"/>
      <c r="T325" s="128"/>
      <c r="U325" s="128" t="s">
        <v>1845</v>
      </c>
      <c r="V325" s="128" t="s">
        <v>1845</v>
      </c>
      <c r="W325" s="144"/>
      <c r="X325" s="128"/>
      <c r="Y325" s="128"/>
      <c r="Z325" s="128"/>
      <c r="AA325" s="128"/>
      <c r="AB325" s="140"/>
      <c r="AC325" s="140"/>
      <c r="AD325" s="140"/>
      <c r="AE325" s="140"/>
      <c r="AF325" s="140"/>
      <c r="AG325" s="140"/>
      <c r="AH325" s="140"/>
      <c r="AI325" s="128"/>
      <c r="AJ325" s="137"/>
      <c r="AK325" s="140"/>
      <c r="AL325" s="140"/>
    </row>
    <row r="326" ht="15.75" customHeight="1">
      <c r="A326" s="125">
        <v>325.0</v>
      </c>
      <c r="B326" s="138">
        <f t="shared" si="32"/>
        <v>10325</v>
      </c>
      <c r="C326" s="124" t="s">
        <v>1840</v>
      </c>
      <c r="D326" s="122" t="s">
        <v>2434</v>
      </c>
      <c r="E326" s="125" t="s">
        <v>34</v>
      </c>
      <c r="F326" s="127" t="s">
        <v>2437</v>
      </c>
      <c r="G326" s="127" t="s">
        <v>602</v>
      </c>
      <c r="H326" s="128" t="s">
        <v>1844</v>
      </c>
      <c r="I326" s="128" t="s">
        <v>1906</v>
      </c>
      <c r="J326" s="149" t="s">
        <v>1902</v>
      </c>
      <c r="K326" s="128" t="s">
        <v>1877</v>
      </c>
      <c r="L326" s="128" t="s">
        <v>1878</v>
      </c>
      <c r="M326" s="128" t="s">
        <v>1845</v>
      </c>
      <c r="N326" s="144" t="s">
        <v>1903</v>
      </c>
      <c r="O326" s="136" t="s">
        <v>1879</v>
      </c>
      <c r="P326" s="136" t="s">
        <v>1862</v>
      </c>
      <c r="Q326" s="136"/>
      <c r="R326" s="144"/>
      <c r="S326" s="136"/>
      <c r="T326" s="136"/>
      <c r="U326" s="136" t="s">
        <v>1845</v>
      </c>
      <c r="V326" s="136" t="s">
        <v>1845</v>
      </c>
      <c r="W326" s="144"/>
      <c r="X326" s="128"/>
      <c r="Y326" s="128"/>
      <c r="Z326" s="128"/>
      <c r="AA326" s="128"/>
      <c r="AB326" s="140"/>
      <c r="AC326" s="140"/>
      <c r="AD326" s="140"/>
      <c r="AE326" s="140"/>
      <c r="AF326" s="140"/>
      <c r="AG326" s="140"/>
      <c r="AH326" s="140"/>
      <c r="AI326" s="128"/>
      <c r="AJ326" s="137"/>
      <c r="AK326" s="140"/>
      <c r="AL326" s="140"/>
    </row>
    <row r="327" ht="15.75" customHeight="1">
      <c r="A327" s="125">
        <v>326.0</v>
      </c>
      <c r="B327" s="138">
        <f t="shared" si="32"/>
        <v>10326</v>
      </c>
      <c r="C327" s="124" t="s">
        <v>1840</v>
      </c>
      <c r="D327" s="122" t="s">
        <v>2434</v>
      </c>
      <c r="E327" s="125" t="s">
        <v>7</v>
      </c>
      <c r="F327" s="198" t="s">
        <v>2438</v>
      </c>
      <c r="G327" s="127" t="s">
        <v>604</v>
      </c>
      <c r="H327" s="140" t="s">
        <v>1844</v>
      </c>
      <c r="I327" s="128" t="s">
        <v>1843</v>
      </c>
      <c r="J327" s="149" t="s">
        <v>1844</v>
      </c>
      <c r="K327" s="136" t="s">
        <v>1844</v>
      </c>
      <c r="L327" s="128" t="s">
        <v>1844</v>
      </c>
      <c r="M327" s="128" t="s">
        <v>1844</v>
      </c>
      <c r="N327" s="144" t="s">
        <v>1844</v>
      </c>
      <c r="O327" s="140" t="s">
        <v>1844</v>
      </c>
      <c r="P327" s="140" t="s">
        <v>1844</v>
      </c>
      <c r="Q327" s="140"/>
      <c r="R327" s="144" t="s">
        <v>1845</v>
      </c>
      <c r="S327" s="140"/>
      <c r="T327" s="140"/>
      <c r="U327" s="140"/>
      <c r="V327" s="140"/>
      <c r="W327" s="144"/>
      <c r="X327" s="128"/>
      <c r="Y327" s="128"/>
      <c r="Z327" s="140"/>
      <c r="AA327" s="140"/>
      <c r="AB327" s="140"/>
      <c r="AC327" s="140"/>
      <c r="AD327" s="140"/>
      <c r="AE327" s="140"/>
      <c r="AF327" s="140"/>
      <c r="AG327" s="128"/>
      <c r="AH327" s="140"/>
      <c r="AI327" s="128"/>
      <c r="AJ327" s="137"/>
      <c r="AK327" s="140"/>
      <c r="AL327" s="140"/>
    </row>
    <row r="328" ht="15.75" customHeight="1">
      <c r="A328" s="160">
        <v>327.0</v>
      </c>
      <c r="B328" s="158">
        <f t="shared" si="32"/>
        <v>10327</v>
      </c>
      <c r="C328" s="159" t="s">
        <v>1840</v>
      </c>
      <c r="D328" s="157" t="s">
        <v>2434</v>
      </c>
      <c r="E328" s="160" t="s">
        <v>34</v>
      </c>
      <c r="F328" s="162" t="s">
        <v>2439</v>
      </c>
      <c r="G328" s="214" t="s">
        <v>606</v>
      </c>
      <c r="H328" s="164" t="s">
        <v>1844</v>
      </c>
      <c r="I328" s="164" t="s">
        <v>1843</v>
      </c>
      <c r="J328" s="165" t="s">
        <v>1876</v>
      </c>
      <c r="K328" s="168" t="s">
        <v>1877</v>
      </c>
      <c r="L328" s="164" t="s">
        <v>1878</v>
      </c>
      <c r="M328" s="164" t="s">
        <v>1845</v>
      </c>
      <c r="N328" s="167" t="s">
        <v>1903</v>
      </c>
      <c r="O328" s="164" t="s">
        <v>1879</v>
      </c>
      <c r="P328" s="164" t="s">
        <v>1862</v>
      </c>
      <c r="Q328" s="164"/>
      <c r="R328" s="166"/>
      <c r="S328" s="164"/>
      <c r="T328" s="164"/>
      <c r="U328" s="164"/>
      <c r="V328" s="164"/>
      <c r="W328" s="166"/>
      <c r="X328" s="164" t="s">
        <v>1845</v>
      </c>
      <c r="Y328" s="164"/>
      <c r="Z328" s="164"/>
      <c r="AA328" s="164"/>
      <c r="AB328" s="167"/>
      <c r="AC328" s="167"/>
      <c r="AD328" s="167"/>
      <c r="AE328" s="167"/>
      <c r="AF328" s="167"/>
      <c r="AG328" s="167"/>
      <c r="AH328" s="167"/>
      <c r="AI328" s="164"/>
      <c r="AJ328" s="169"/>
      <c r="AK328" s="167"/>
      <c r="AL328" s="167"/>
    </row>
    <row r="329" ht="15.75" customHeight="1">
      <c r="A329" s="125">
        <v>328.0</v>
      </c>
      <c r="B329" s="123" t="s">
        <v>1742</v>
      </c>
      <c r="C329" s="124" t="s">
        <v>1840</v>
      </c>
      <c r="D329" s="122" t="s">
        <v>2434</v>
      </c>
      <c r="E329" s="125" t="s">
        <v>7</v>
      </c>
      <c r="F329" s="153" t="s">
        <v>2440</v>
      </c>
      <c r="G329" s="126" t="s">
        <v>608</v>
      </c>
      <c r="H329" s="149" t="s">
        <v>1844</v>
      </c>
      <c r="I329" s="128" t="s">
        <v>1852</v>
      </c>
      <c r="J329" s="186" t="s">
        <v>1844</v>
      </c>
      <c r="K329" s="136" t="s">
        <v>1844</v>
      </c>
      <c r="L329" s="136" t="s">
        <v>1844</v>
      </c>
      <c r="M329" s="136" t="s">
        <v>1844</v>
      </c>
      <c r="N329" s="144" t="s">
        <v>1844</v>
      </c>
      <c r="O329" s="128" t="s">
        <v>1844</v>
      </c>
      <c r="P329" s="128" t="s">
        <v>1844</v>
      </c>
      <c r="Q329" s="128" t="s">
        <v>1845</v>
      </c>
      <c r="R329" s="144"/>
      <c r="S329" s="128"/>
      <c r="T329" s="128"/>
      <c r="U329" s="128"/>
      <c r="V329" s="128"/>
      <c r="W329" s="144"/>
      <c r="X329" s="136"/>
      <c r="Y329" s="136"/>
      <c r="Z329" s="128"/>
      <c r="AA329" s="128"/>
      <c r="AB329" s="140"/>
      <c r="AC329" s="140"/>
      <c r="AD329" s="140"/>
      <c r="AE329" s="140"/>
      <c r="AF329" s="140"/>
      <c r="AG329" s="140"/>
      <c r="AH329" s="140"/>
      <c r="AI329" s="128"/>
      <c r="AJ329" s="137"/>
      <c r="AK329" s="140"/>
      <c r="AL329" s="140"/>
    </row>
    <row r="330" ht="15.75" customHeight="1">
      <c r="A330" s="151">
        <v>329.0</v>
      </c>
      <c r="B330" s="138">
        <f t="shared" ref="B330:B332" si="33">SUM(A330+10000)</f>
        <v>10329</v>
      </c>
      <c r="C330" s="179" t="s">
        <v>1840</v>
      </c>
      <c r="D330" s="150" t="s">
        <v>2434</v>
      </c>
      <c r="E330" s="151" t="s">
        <v>7</v>
      </c>
      <c r="F330" s="153" t="s">
        <v>2441</v>
      </c>
      <c r="G330" s="228" t="s">
        <v>610</v>
      </c>
      <c r="H330" s="128" t="s">
        <v>1844</v>
      </c>
      <c r="I330" s="129" t="s">
        <v>1843</v>
      </c>
      <c r="J330" s="143" t="s">
        <v>1844</v>
      </c>
      <c r="K330" s="132" t="s">
        <v>1844</v>
      </c>
      <c r="L330" s="132" t="s">
        <v>1844</v>
      </c>
      <c r="M330" s="132" t="s">
        <v>1844</v>
      </c>
      <c r="N330" s="131" t="s">
        <v>1844</v>
      </c>
      <c r="O330" s="129" t="s">
        <v>1844</v>
      </c>
      <c r="P330" s="129" t="s">
        <v>1844</v>
      </c>
      <c r="Q330" s="129"/>
      <c r="R330" s="131"/>
      <c r="S330" s="129" t="s">
        <v>1845</v>
      </c>
      <c r="T330" s="129"/>
      <c r="U330" s="129"/>
      <c r="V330" s="129"/>
      <c r="W330" s="131"/>
      <c r="X330" s="132"/>
      <c r="Y330" s="132"/>
      <c r="Z330" s="129"/>
      <c r="AA330" s="129"/>
      <c r="AB330" s="171"/>
      <c r="AC330" s="171"/>
      <c r="AD330" s="171"/>
      <c r="AE330" s="171"/>
      <c r="AF330" s="140"/>
      <c r="AG330" s="140"/>
      <c r="AH330" s="140"/>
      <c r="AI330" s="128"/>
      <c r="AJ330" s="137"/>
      <c r="AK330" s="140"/>
      <c r="AL330" s="140"/>
    </row>
    <row r="331" ht="15.75" customHeight="1">
      <c r="A331" s="151">
        <v>330.0</v>
      </c>
      <c r="B331" s="138">
        <f t="shared" si="33"/>
        <v>10330</v>
      </c>
      <c r="C331" s="179" t="s">
        <v>1840</v>
      </c>
      <c r="D331" s="150" t="s">
        <v>2434</v>
      </c>
      <c r="E331" s="151" t="s">
        <v>7</v>
      </c>
      <c r="F331" s="201" t="s">
        <v>2442</v>
      </c>
      <c r="G331" s="153" t="s">
        <v>612</v>
      </c>
      <c r="H331" s="128" t="s">
        <v>1844</v>
      </c>
      <c r="I331" s="129" t="s">
        <v>1906</v>
      </c>
      <c r="J331" s="130" t="s">
        <v>1844</v>
      </c>
      <c r="K331" s="132" t="s">
        <v>1844</v>
      </c>
      <c r="L331" s="129" t="s">
        <v>1844</v>
      </c>
      <c r="M331" s="129" t="s">
        <v>1844</v>
      </c>
      <c r="N331" s="171" t="s">
        <v>1844</v>
      </c>
      <c r="O331" s="129" t="s">
        <v>1844</v>
      </c>
      <c r="P331" s="129" t="s">
        <v>1844</v>
      </c>
      <c r="Q331" s="129"/>
      <c r="R331" s="131"/>
      <c r="S331" s="129"/>
      <c r="T331" s="129"/>
      <c r="U331" s="129" t="s">
        <v>1845</v>
      </c>
      <c r="V331" s="129"/>
      <c r="W331" s="131"/>
      <c r="X331" s="129"/>
      <c r="Y331" s="129"/>
      <c r="Z331" s="129"/>
      <c r="AA331" s="129"/>
      <c r="AB331" s="171"/>
      <c r="AC331" s="171"/>
      <c r="AD331" s="171"/>
      <c r="AE331" s="171"/>
      <c r="AF331" s="140"/>
      <c r="AG331" s="140"/>
      <c r="AH331" s="140"/>
      <c r="AI331" s="128"/>
      <c r="AJ331" s="137"/>
      <c r="AK331" s="140"/>
      <c r="AL331" s="140"/>
    </row>
    <row r="332" ht="15.75" customHeight="1">
      <c r="A332" s="151">
        <v>331.0</v>
      </c>
      <c r="B332" s="138">
        <f t="shared" si="33"/>
        <v>10331</v>
      </c>
      <c r="C332" s="179" t="s">
        <v>1840</v>
      </c>
      <c r="D332" s="150" t="s">
        <v>2434</v>
      </c>
      <c r="E332" s="151" t="s">
        <v>7</v>
      </c>
      <c r="F332" s="152" t="s">
        <v>2443</v>
      </c>
      <c r="G332" s="153" t="s">
        <v>614</v>
      </c>
      <c r="H332" s="128" t="s">
        <v>1844</v>
      </c>
      <c r="I332" s="129" t="s">
        <v>1906</v>
      </c>
      <c r="J332" s="130" t="s">
        <v>1844</v>
      </c>
      <c r="K332" s="132" t="s">
        <v>1844</v>
      </c>
      <c r="L332" s="129" t="s">
        <v>1844</v>
      </c>
      <c r="M332" s="129" t="s">
        <v>1844</v>
      </c>
      <c r="N332" s="171" t="s">
        <v>1844</v>
      </c>
      <c r="O332" s="129" t="s">
        <v>1844</v>
      </c>
      <c r="P332" s="129" t="s">
        <v>1844</v>
      </c>
      <c r="Q332" s="129"/>
      <c r="R332" s="131"/>
      <c r="S332" s="129"/>
      <c r="T332" s="129"/>
      <c r="U332" s="129" t="s">
        <v>1845</v>
      </c>
      <c r="V332" s="129" t="s">
        <v>1845</v>
      </c>
      <c r="W332" s="131"/>
      <c r="X332" s="129"/>
      <c r="Y332" s="129"/>
      <c r="Z332" s="129"/>
      <c r="AA332" s="129"/>
      <c r="AB332" s="171"/>
      <c r="AC332" s="171"/>
      <c r="AD332" s="171"/>
      <c r="AE332" s="171"/>
      <c r="AF332" s="140"/>
      <c r="AG332" s="140"/>
      <c r="AH332" s="140"/>
      <c r="AI332" s="128"/>
      <c r="AJ332" s="137"/>
      <c r="AK332" s="140"/>
      <c r="AL332" s="140"/>
    </row>
    <row r="333" ht="15.75" customHeight="1">
      <c r="A333" s="125">
        <v>332.0</v>
      </c>
      <c r="B333" s="123" t="s">
        <v>1742</v>
      </c>
      <c r="C333" s="124" t="s">
        <v>1840</v>
      </c>
      <c r="D333" s="122" t="s">
        <v>2434</v>
      </c>
      <c r="E333" s="125" t="s">
        <v>20</v>
      </c>
      <c r="F333" s="229" t="s">
        <v>2444</v>
      </c>
      <c r="G333" s="190" t="s">
        <v>616</v>
      </c>
      <c r="H333" s="128" t="s">
        <v>1844</v>
      </c>
      <c r="I333" s="128" t="s">
        <v>1843</v>
      </c>
      <c r="J333" s="149" t="s">
        <v>1844</v>
      </c>
      <c r="K333" s="136" t="s">
        <v>1844</v>
      </c>
      <c r="L333" s="128" t="s">
        <v>1844</v>
      </c>
      <c r="M333" s="128" t="s">
        <v>1845</v>
      </c>
      <c r="N333" s="140" t="s">
        <v>1844</v>
      </c>
      <c r="O333" s="128" t="s">
        <v>1844</v>
      </c>
      <c r="P333" s="128" t="s">
        <v>1862</v>
      </c>
      <c r="Q333" s="128" t="s">
        <v>1845</v>
      </c>
      <c r="R333" s="144"/>
      <c r="S333" s="128" t="s">
        <v>1845</v>
      </c>
      <c r="T333" s="128"/>
      <c r="U333" s="128"/>
      <c r="V333" s="128"/>
      <c r="W333" s="144"/>
      <c r="X333" s="128"/>
      <c r="Y333" s="128"/>
      <c r="Z333" s="128"/>
      <c r="AA333" s="128"/>
      <c r="AB333" s="140"/>
      <c r="AC333" s="140"/>
      <c r="AD333" s="140"/>
      <c r="AE333" s="140"/>
      <c r="AF333" s="140"/>
      <c r="AG333" s="140"/>
      <c r="AH333" s="140"/>
      <c r="AI333" s="128"/>
      <c r="AJ333" s="137"/>
      <c r="AK333" s="140"/>
      <c r="AL333" s="140"/>
    </row>
    <row r="334" ht="15.75" customHeight="1">
      <c r="A334" s="125">
        <v>333.0</v>
      </c>
      <c r="B334" s="123" t="s">
        <v>1742</v>
      </c>
      <c r="C334" s="124" t="s">
        <v>1840</v>
      </c>
      <c r="D334" s="122" t="s">
        <v>2434</v>
      </c>
      <c r="E334" s="125" t="s">
        <v>7</v>
      </c>
      <c r="F334" s="153" t="s">
        <v>2445</v>
      </c>
      <c r="G334" s="126" t="s">
        <v>618</v>
      </c>
      <c r="H334" s="149" t="s">
        <v>1844</v>
      </c>
      <c r="I334" s="128" t="s">
        <v>1843</v>
      </c>
      <c r="J334" s="186" t="s">
        <v>1844</v>
      </c>
      <c r="K334" s="136" t="s">
        <v>1844</v>
      </c>
      <c r="L334" s="136" t="s">
        <v>1844</v>
      </c>
      <c r="M334" s="136" t="s">
        <v>1844</v>
      </c>
      <c r="N334" s="144" t="s">
        <v>1844</v>
      </c>
      <c r="O334" s="128" t="s">
        <v>1844</v>
      </c>
      <c r="P334" s="128" t="s">
        <v>1844</v>
      </c>
      <c r="Q334" s="128" t="s">
        <v>1845</v>
      </c>
      <c r="R334" s="144"/>
      <c r="S334" s="128"/>
      <c r="T334" s="128" t="s">
        <v>1845</v>
      </c>
      <c r="U334" s="128"/>
      <c r="V334" s="128"/>
      <c r="W334" s="144"/>
      <c r="X334" s="136"/>
      <c r="Y334" s="136"/>
      <c r="Z334" s="128"/>
      <c r="AA334" s="128"/>
      <c r="AB334" s="140"/>
      <c r="AC334" s="140"/>
      <c r="AD334" s="140"/>
      <c r="AE334" s="140"/>
      <c r="AF334" s="140"/>
      <c r="AG334" s="140"/>
      <c r="AH334" s="140"/>
      <c r="AI334" s="128"/>
      <c r="AJ334" s="137"/>
      <c r="AK334" s="140"/>
      <c r="AL334" s="140"/>
    </row>
    <row r="335" ht="15.75" customHeight="1">
      <c r="A335" s="160">
        <v>334.0</v>
      </c>
      <c r="B335" s="158">
        <f t="shared" ref="B335:B336" si="34">SUM(A335+10000)</f>
        <v>10334</v>
      </c>
      <c r="C335" s="159" t="s">
        <v>1873</v>
      </c>
      <c r="D335" s="157" t="s">
        <v>2434</v>
      </c>
      <c r="E335" s="160" t="s">
        <v>34</v>
      </c>
      <c r="F335" s="161" t="s">
        <v>2446</v>
      </c>
      <c r="G335" s="217" t="s">
        <v>620</v>
      </c>
      <c r="H335" s="164" t="s">
        <v>1844</v>
      </c>
      <c r="I335" s="164" t="s">
        <v>1843</v>
      </c>
      <c r="J335" s="184" t="s">
        <v>1876</v>
      </c>
      <c r="K335" s="168" t="s">
        <v>1877</v>
      </c>
      <c r="L335" s="168" t="s">
        <v>1878</v>
      </c>
      <c r="M335" s="168" t="s">
        <v>1845</v>
      </c>
      <c r="N335" s="166">
        <v>1.0</v>
      </c>
      <c r="O335" s="164" t="s">
        <v>1879</v>
      </c>
      <c r="P335" s="164" t="s">
        <v>1862</v>
      </c>
      <c r="Q335" s="164"/>
      <c r="R335" s="166"/>
      <c r="S335" s="164"/>
      <c r="T335" s="164"/>
      <c r="U335" s="164"/>
      <c r="V335" s="164"/>
      <c r="W335" s="166" t="s">
        <v>1845</v>
      </c>
      <c r="X335" s="168" t="s">
        <v>1845</v>
      </c>
      <c r="Y335" s="168"/>
      <c r="Z335" s="164"/>
      <c r="AA335" s="164"/>
      <c r="AB335" s="167"/>
      <c r="AC335" s="167"/>
      <c r="AD335" s="167"/>
      <c r="AE335" s="167"/>
      <c r="AF335" s="167"/>
      <c r="AG335" s="164"/>
      <c r="AH335" s="167"/>
      <c r="AI335" s="164"/>
      <c r="AJ335" s="169"/>
      <c r="AK335" s="167"/>
      <c r="AL335" s="167"/>
    </row>
    <row r="336" ht="15.75" customHeight="1">
      <c r="A336" s="125">
        <v>335.0</v>
      </c>
      <c r="B336" s="138">
        <f t="shared" si="34"/>
        <v>10335</v>
      </c>
      <c r="C336" s="124" t="s">
        <v>1840</v>
      </c>
      <c r="D336" s="122" t="s">
        <v>2434</v>
      </c>
      <c r="E336" s="125" t="s">
        <v>34</v>
      </c>
      <c r="F336" s="152" t="s">
        <v>2447</v>
      </c>
      <c r="G336" s="127" t="s">
        <v>621</v>
      </c>
      <c r="H336" s="128" t="s">
        <v>1844</v>
      </c>
      <c r="I336" s="128" t="s">
        <v>1843</v>
      </c>
      <c r="J336" s="186" t="s">
        <v>1902</v>
      </c>
      <c r="K336" s="136" t="s">
        <v>1877</v>
      </c>
      <c r="L336" s="136" t="s">
        <v>1884</v>
      </c>
      <c r="M336" s="136" t="s">
        <v>1845</v>
      </c>
      <c r="N336" s="144" t="s">
        <v>1926</v>
      </c>
      <c r="O336" s="128" t="s">
        <v>1879</v>
      </c>
      <c r="P336" s="128" t="s">
        <v>1862</v>
      </c>
      <c r="Q336" s="128"/>
      <c r="R336" s="144"/>
      <c r="S336" s="128"/>
      <c r="T336" s="128"/>
      <c r="U336" s="128"/>
      <c r="V336" s="128"/>
      <c r="W336" s="144"/>
      <c r="X336" s="136"/>
      <c r="Y336" s="136"/>
      <c r="Z336" s="128"/>
      <c r="AA336" s="128"/>
      <c r="AB336" s="140"/>
      <c r="AC336" s="140"/>
      <c r="AD336" s="140"/>
      <c r="AE336" s="140"/>
      <c r="AF336" s="140"/>
      <c r="AG336" s="140"/>
      <c r="AH336" s="140"/>
      <c r="AI336" s="128"/>
      <c r="AJ336" s="137"/>
      <c r="AK336" s="140"/>
      <c r="AL336" s="140"/>
    </row>
    <row r="337" ht="15.75" customHeight="1">
      <c r="A337" s="160">
        <v>336.0</v>
      </c>
      <c r="B337" s="157" t="s">
        <v>1742</v>
      </c>
      <c r="C337" s="159" t="s">
        <v>1873</v>
      </c>
      <c r="D337" s="157" t="s">
        <v>2434</v>
      </c>
      <c r="E337" s="160" t="s">
        <v>34</v>
      </c>
      <c r="F337" s="161" t="s">
        <v>2448</v>
      </c>
      <c r="G337" s="162" t="s">
        <v>2449</v>
      </c>
      <c r="H337" s="164" t="s">
        <v>1844</v>
      </c>
      <c r="I337" s="164" t="s">
        <v>1843</v>
      </c>
      <c r="J337" s="184" t="s">
        <v>1876</v>
      </c>
      <c r="K337" s="168" t="s">
        <v>1877</v>
      </c>
      <c r="L337" s="168" t="s">
        <v>1878</v>
      </c>
      <c r="M337" s="168" t="s">
        <v>1845</v>
      </c>
      <c r="N337" s="166">
        <v>1.0</v>
      </c>
      <c r="O337" s="164" t="s">
        <v>1879</v>
      </c>
      <c r="P337" s="164" t="s">
        <v>1862</v>
      </c>
      <c r="Q337" s="164" t="s">
        <v>1845</v>
      </c>
      <c r="R337" s="166"/>
      <c r="S337" s="164"/>
      <c r="T337" s="164"/>
      <c r="U337" s="164"/>
      <c r="V337" s="164"/>
      <c r="W337" s="166"/>
      <c r="X337" s="168"/>
      <c r="Y337" s="168"/>
      <c r="Z337" s="164"/>
      <c r="AA337" s="164"/>
      <c r="AB337" s="167"/>
      <c r="AC337" s="167"/>
      <c r="AD337" s="167"/>
      <c r="AE337" s="167"/>
      <c r="AF337" s="167"/>
      <c r="AG337" s="164"/>
      <c r="AH337" s="167"/>
      <c r="AI337" s="164"/>
      <c r="AJ337" s="169"/>
      <c r="AK337" s="167"/>
      <c r="AL337" s="167"/>
    </row>
    <row r="338" ht="15.75" customHeight="1">
      <c r="A338" s="125">
        <v>337.0</v>
      </c>
      <c r="B338" s="138">
        <f>SUM(A338+10000)</f>
        <v>10337</v>
      </c>
      <c r="C338" s="124" t="s">
        <v>1840</v>
      </c>
      <c r="D338" s="122" t="s">
        <v>2434</v>
      </c>
      <c r="E338" s="125" t="s">
        <v>34</v>
      </c>
      <c r="F338" s="152" t="s">
        <v>2450</v>
      </c>
      <c r="G338" s="142" t="s">
        <v>624</v>
      </c>
      <c r="H338" s="128" t="s">
        <v>1844</v>
      </c>
      <c r="I338" s="128" t="s">
        <v>1843</v>
      </c>
      <c r="J338" s="186" t="s">
        <v>1876</v>
      </c>
      <c r="K338" s="136" t="s">
        <v>1877</v>
      </c>
      <c r="L338" s="136" t="s">
        <v>1844</v>
      </c>
      <c r="M338" s="136" t="s">
        <v>1845</v>
      </c>
      <c r="N338" s="144" t="s">
        <v>1903</v>
      </c>
      <c r="O338" s="128" t="s">
        <v>1879</v>
      </c>
      <c r="P338" s="128" t="s">
        <v>1862</v>
      </c>
      <c r="Q338" s="128"/>
      <c r="R338" s="144"/>
      <c r="S338" s="128" t="s">
        <v>1845</v>
      </c>
      <c r="T338" s="128"/>
      <c r="U338" s="128"/>
      <c r="V338" s="128"/>
      <c r="W338" s="144"/>
      <c r="X338" s="136"/>
      <c r="Y338" s="136"/>
      <c r="Z338" s="128"/>
      <c r="AA338" s="128"/>
      <c r="AB338" s="140"/>
      <c r="AC338" s="140"/>
      <c r="AD338" s="140"/>
      <c r="AE338" s="140"/>
      <c r="AF338" s="140"/>
      <c r="AG338" s="140"/>
      <c r="AH338" s="140"/>
      <c r="AI338" s="128"/>
      <c r="AJ338" s="137"/>
      <c r="AK338" s="140"/>
      <c r="AL338" s="140"/>
    </row>
    <row r="339" ht="15.75" customHeight="1">
      <c r="A339" s="151">
        <v>338.0</v>
      </c>
      <c r="B339" s="123" t="s">
        <v>1742</v>
      </c>
      <c r="C339" s="179" t="s">
        <v>1840</v>
      </c>
      <c r="D339" s="150" t="s">
        <v>2434</v>
      </c>
      <c r="E339" s="151" t="s">
        <v>7</v>
      </c>
      <c r="F339" s="153" t="s">
        <v>2451</v>
      </c>
      <c r="G339" s="152" t="s">
        <v>626</v>
      </c>
      <c r="H339" s="149" t="s">
        <v>1844</v>
      </c>
      <c r="I339" s="129" t="s">
        <v>1843</v>
      </c>
      <c r="J339" s="143" t="s">
        <v>1844</v>
      </c>
      <c r="K339" s="132" t="s">
        <v>1844</v>
      </c>
      <c r="L339" s="132" t="s">
        <v>1844</v>
      </c>
      <c r="M339" s="132" t="s">
        <v>1844</v>
      </c>
      <c r="N339" s="131" t="s">
        <v>1844</v>
      </c>
      <c r="O339" s="129" t="s">
        <v>1844</v>
      </c>
      <c r="P339" s="129" t="s">
        <v>1844</v>
      </c>
      <c r="Q339" s="129" t="s">
        <v>1845</v>
      </c>
      <c r="R339" s="131"/>
      <c r="S339" s="129"/>
      <c r="T339" s="129"/>
      <c r="U339" s="129"/>
      <c r="V339" s="129"/>
      <c r="W339" s="131"/>
      <c r="X339" s="132"/>
      <c r="Y339" s="132"/>
      <c r="Z339" s="129"/>
      <c r="AA339" s="129"/>
      <c r="AB339" s="171"/>
      <c r="AC339" s="171"/>
      <c r="AD339" s="171"/>
      <c r="AE339" s="171"/>
      <c r="AF339" s="140"/>
      <c r="AG339" s="140"/>
      <c r="AH339" s="140"/>
      <c r="AI339" s="128"/>
      <c r="AJ339" s="137"/>
      <c r="AK339" s="140"/>
      <c r="AL339" s="140"/>
    </row>
    <row r="340" ht="15.75" customHeight="1">
      <c r="A340" s="125">
        <v>339.0</v>
      </c>
      <c r="B340" s="123" t="s">
        <v>1742</v>
      </c>
      <c r="C340" s="124" t="s">
        <v>1840</v>
      </c>
      <c r="D340" s="122" t="s">
        <v>2069</v>
      </c>
      <c r="E340" s="125" t="s">
        <v>7</v>
      </c>
      <c r="F340" s="127" t="s">
        <v>2452</v>
      </c>
      <c r="G340" s="230" t="s">
        <v>628</v>
      </c>
      <c r="H340" s="149" t="s">
        <v>1844</v>
      </c>
      <c r="I340" s="128" t="s">
        <v>1843</v>
      </c>
      <c r="J340" s="186" t="s">
        <v>1844</v>
      </c>
      <c r="K340" s="136" t="s">
        <v>1844</v>
      </c>
      <c r="L340" s="136" t="s">
        <v>1844</v>
      </c>
      <c r="M340" s="136" t="s">
        <v>1844</v>
      </c>
      <c r="N340" s="144" t="s">
        <v>1844</v>
      </c>
      <c r="O340" s="128" t="s">
        <v>1844</v>
      </c>
      <c r="P340" s="128" t="s">
        <v>1844</v>
      </c>
      <c r="Q340" s="128" t="s">
        <v>1845</v>
      </c>
      <c r="R340" s="144"/>
      <c r="S340" s="128"/>
      <c r="T340" s="128"/>
      <c r="U340" s="128"/>
      <c r="V340" s="128"/>
      <c r="W340" s="144"/>
      <c r="X340" s="136"/>
      <c r="Y340" s="136"/>
      <c r="Z340" s="128"/>
      <c r="AA340" s="128"/>
      <c r="AB340" s="140"/>
      <c r="AC340" s="140"/>
      <c r="AD340" s="140"/>
      <c r="AE340" s="140"/>
      <c r="AF340" s="140"/>
      <c r="AG340" s="140"/>
      <c r="AH340" s="140"/>
      <c r="AI340" s="128"/>
      <c r="AJ340" s="137"/>
      <c r="AK340" s="140"/>
      <c r="AL340" s="140"/>
    </row>
    <row r="341" ht="15.75" customHeight="1">
      <c r="A341" s="125">
        <v>340.0</v>
      </c>
      <c r="B341" s="123" t="s">
        <v>1742</v>
      </c>
      <c r="C341" s="124" t="s">
        <v>1840</v>
      </c>
      <c r="D341" s="122" t="s">
        <v>2069</v>
      </c>
      <c r="E341" s="125" t="s">
        <v>7</v>
      </c>
      <c r="F341" s="127" t="s">
        <v>2453</v>
      </c>
      <c r="G341" s="231" t="s">
        <v>630</v>
      </c>
      <c r="H341" s="128" t="s">
        <v>1844</v>
      </c>
      <c r="I341" s="128" t="s">
        <v>1906</v>
      </c>
      <c r="J341" s="186" t="s">
        <v>1844</v>
      </c>
      <c r="K341" s="136" t="s">
        <v>1844</v>
      </c>
      <c r="L341" s="136" t="s">
        <v>1844</v>
      </c>
      <c r="M341" s="136" t="s">
        <v>1844</v>
      </c>
      <c r="N341" s="144" t="s">
        <v>1844</v>
      </c>
      <c r="O341" s="128" t="s">
        <v>1844</v>
      </c>
      <c r="P341" s="128" t="s">
        <v>1844</v>
      </c>
      <c r="Q341" s="128" t="s">
        <v>1845</v>
      </c>
      <c r="R341" s="144"/>
      <c r="S341" s="128"/>
      <c r="T341" s="128"/>
      <c r="U341" s="128"/>
      <c r="V341" s="128" t="s">
        <v>1845</v>
      </c>
      <c r="W341" s="144"/>
      <c r="X341" s="136"/>
      <c r="Y341" s="136"/>
      <c r="Z341" s="128"/>
      <c r="AA341" s="128"/>
      <c r="AB341" s="140"/>
      <c r="AC341" s="140"/>
      <c r="AD341" s="140"/>
      <c r="AE341" s="140"/>
      <c r="AF341" s="140"/>
      <c r="AG341" s="140"/>
      <c r="AH341" s="140"/>
      <c r="AI341" s="128"/>
      <c r="AJ341" s="137"/>
      <c r="AK341" s="140"/>
      <c r="AL341" s="140"/>
    </row>
    <row r="342" ht="15.75" customHeight="1">
      <c r="A342" s="125">
        <v>341.0</v>
      </c>
      <c r="B342" s="123" t="s">
        <v>1742</v>
      </c>
      <c r="C342" s="124" t="s">
        <v>1840</v>
      </c>
      <c r="D342" s="122" t="s">
        <v>2069</v>
      </c>
      <c r="E342" s="125" t="s">
        <v>7</v>
      </c>
      <c r="F342" s="126" t="s">
        <v>2454</v>
      </c>
      <c r="G342" s="197" t="s">
        <v>632</v>
      </c>
      <c r="H342" s="128" t="s">
        <v>1844</v>
      </c>
      <c r="I342" s="128" t="s">
        <v>1906</v>
      </c>
      <c r="J342" s="186" t="s">
        <v>1844</v>
      </c>
      <c r="K342" s="136" t="s">
        <v>1844</v>
      </c>
      <c r="L342" s="136" t="s">
        <v>1844</v>
      </c>
      <c r="M342" s="136" t="s">
        <v>1844</v>
      </c>
      <c r="N342" s="144" t="s">
        <v>1844</v>
      </c>
      <c r="O342" s="128" t="s">
        <v>1844</v>
      </c>
      <c r="P342" s="128" t="s">
        <v>1844</v>
      </c>
      <c r="Q342" s="128" t="s">
        <v>1845</v>
      </c>
      <c r="R342" s="144"/>
      <c r="S342" s="128"/>
      <c r="T342" s="128"/>
      <c r="U342" s="128"/>
      <c r="V342" s="128" t="s">
        <v>1845</v>
      </c>
      <c r="W342" s="144"/>
      <c r="X342" s="136"/>
      <c r="Y342" s="136"/>
      <c r="Z342" s="128"/>
      <c r="AA342" s="128"/>
      <c r="AB342" s="140"/>
      <c r="AC342" s="140"/>
      <c r="AD342" s="140"/>
      <c r="AE342" s="140"/>
      <c r="AF342" s="140"/>
      <c r="AG342" s="140"/>
      <c r="AH342" s="140"/>
      <c r="AI342" s="128"/>
      <c r="AJ342" s="137"/>
      <c r="AK342" s="140"/>
      <c r="AL342" s="140"/>
    </row>
    <row r="343" ht="15.75" customHeight="1">
      <c r="A343" s="151">
        <v>342.0</v>
      </c>
      <c r="B343" s="138">
        <f t="shared" ref="B343:B344" si="35">SUM(A343+10000)</f>
        <v>10342</v>
      </c>
      <c r="C343" s="179" t="s">
        <v>1840</v>
      </c>
      <c r="D343" s="150" t="s">
        <v>2434</v>
      </c>
      <c r="E343" s="151" t="s">
        <v>34</v>
      </c>
      <c r="F343" s="223" t="s">
        <v>2455</v>
      </c>
      <c r="G343" s="153" t="s">
        <v>634</v>
      </c>
      <c r="H343" s="128" t="s">
        <v>1844</v>
      </c>
      <c r="I343" s="129" t="s">
        <v>1906</v>
      </c>
      <c r="J343" s="143" t="s">
        <v>1902</v>
      </c>
      <c r="K343" s="132" t="s">
        <v>1877</v>
      </c>
      <c r="L343" s="132" t="s">
        <v>1878</v>
      </c>
      <c r="M343" s="132" t="s">
        <v>1845</v>
      </c>
      <c r="N343" s="131">
        <v>1.0</v>
      </c>
      <c r="O343" s="129" t="s">
        <v>1879</v>
      </c>
      <c r="P343" s="129" t="s">
        <v>1862</v>
      </c>
      <c r="Q343" s="129"/>
      <c r="R343" s="131"/>
      <c r="S343" s="129"/>
      <c r="T343" s="129"/>
      <c r="U343" s="129" t="s">
        <v>1845</v>
      </c>
      <c r="V343" s="129" t="s">
        <v>1845</v>
      </c>
      <c r="W343" s="131"/>
      <c r="X343" s="132"/>
      <c r="Y343" s="132"/>
      <c r="Z343" s="129"/>
      <c r="AA343" s="129"/>
      <c r="AB343" s="171"/>
      <c r="AC343" s="171"/>
      <c r="AD343" s="171"/>
      <c r="AE343" s="171"/>
      <c r="AF343" s="140"/>
      <c r="AG343" s="140"/>
      <c r="AH343" s="140"/>
      <c r="AI343" s="128"/>
      <c r="AJ343" s="137"/>
      <c r="AK343" s="140"/>
      <c r="AL343" s="140"/>
    </row>
    <row r="344" ht="15.75" customHeight="1">
      <c r="A344" s="151">
        <v>343.0</v>
      </c>
      <c r="B344" s="138">
        <f t="shared" si="35"/>
        <v>10343</v>
      </c>
      <c r="C344" s="179" t="s">
        <v>1840</v>
      </c>
      <c r="D344" s="150" t="s">
        <v>2125</v>
      </c>
      <c r="E344" s="151" t="s">
        <v>7</v>
      </c>
      <c r="F344" s="223" t="s">
        <v>2456</v>
      </c>
      <c r="G344" s="153" t="s">
        <v>635</v>
      </c>
      <c r="H344" s="128" t="s">
        <v>1844</v>
      </c>
      <c r="I344" s="129" t="s">
        <v>1906</v>
      </c>
      <c r="J344" s="143" t="s">
        <v>1844</v>
      </c>
      <c r="K344" s="132" t="s">
        <v>1844</v>
      </c>
      <c r="L344" s="132" t="s">
        <v>1844</v>
      </c>
      <c r="M344" s="132" t="s">
        <v>1844</v>
      </c>
      <c r="N344" s="131" t="s">
        <v>1844</v>
      </c>
      <c r="O344" s="129" t="s">
        <v>1844</v>
      </c>
      <c r="P344" s="129" t="s">
        <v>1844</v>
      </c>
      <c r="Q344" s="129"/>
      <c r="R344" s="131"/>
      <c r="S344" s="129" t="s">
        <v>1845</v>
      </c>
      <c r="T344" s="129"/>
      <c r="U344" s="129"/>
      <c r="V344" s="129" t="s">
        <v>1845</v>
      </c>
      <c r="W344" s="131"/>
      <c r="X344" s="132"/>
      <c r="Y344" s="132"/>
      <c r="Z344" s="129"/>
      <c r="AA344" s="129"/>
      <c r="AB344" s="171"/>
      <c r="AC344" s="171"/>
      <c r="AD344" s="171"/>
      <c r="AE344" s="171"/>
      <c r="AF344" s="140"/>
      <c r="AG344" s="140"/>
      <c r="AH344" s="140"/>
      <c r="AI344" s="128"/>
      <c r="AJ344" s="137"/>
      <c r="AK344" s="140"/>
      <c r="AL344" s="140"/>
    </row>
    <row r="345" ht="15.75" customHeight="1">
      <c r="A345" s="151">
        <v>344.0</v>
      </c>
      <c r="B345" s="123" t="s">
        <v>1742</v>
      </c>
      <c r="C345" s="179" t="s">
        <v>1840</v>
      </c>
      <c r="D345" s="150" t="s">
        <v>2125</v>
      </c>
      <c r="E345" s="151" t="s">
        <v>7</v>
      </c>
      <c r="F345" s="223" t="s">
        <v>2457</v>
      </c>
      <c r="G345" s="190" t="s">
        <v>2458</v>
      </c>
      <c r="H345" s="128" t="s">
        <v>1844</v>
      </c>
      <c r="I345" s="129" t="s">
        <v>2018</v>
      </c>
      <c r="J345" s="143" t="s">
        <v>1844</v>
      </c>
      <c r="K345" s="132" t="s">
        <v>1844</v>
      </c>
      <c r="L345" s="132" t="s">
        <v>1844</v>
      </c>
      <c r="M345" s="132" t="s">
        <v>1844</v>
      </c>
      <c r="N345" s="131" t="s">
        <v>1844</v>
      </c>
      <c r="O345" s="129" t="s">
        <v>1844</v>
      </c>
      <c r="P345" s="129" t="s">
        <v>1844</v>
      </c>
      <c r="Q345" s="129" t="s">
        <v>1845</v>
      </c>
      <c r="R345" s="131"/>
      <c r="S345" s="129"/>
      <c r="T345" s="129"/>
      <c r="U345" s="129"/>
      <c r="V345" s="129" t="s">
        <v>1845</v>
      </c>
      <c r="W345" s="131"/>
      <c r="X345" s="132"/>
      <c r="Y345" s="132"/>
      <c r="Z345" s="129"/>
      <c r="AA345" s="129"/>
      <c r="AB345" s="171"/>
      <c r="AC345" s="171"/>
      <c r="AD345" s="171"/>
      <c r="AE345" s="171"/>
      <c r="AF345" s="140"/>
      <c r="AG345" s="140"/>
      <c r="AH345" s="140"/>
      <c r="AI345" s="128"/>
      <c r="AJ345" s="137"/>
      <c r="AK345" s="140"/>
      <c r="AL345" s="140"/>
    </row>
    <row r="346" ht="15.75" customHeight="1">
      <c r="A346" s="125">
        <v>345.0</v>
      </c>
      <c r="B346" s="138">
        <f t="shared" ref="B346:B351" si="36">SUM(A346+10000)</f>
        <v>10345</v>
      </c>
      <c r="C346" s="124" t="s">
        <v>1840</v>
      </c>
      <c r="D346" s="122" t="s">
        <v>2125</v>
      </c>
      <c r="E346" s="125" t="s">
        <v>20</v>
      </c>
      <c r="F346" s="198" t="s">
        <v>2350</v>
      </c>
      <c r="G346" s="127" t="s">
        <v>639</v>
      </c>
      <c r="H346" s="140" t="s">
        <v>1844</v>
      </c>
      <c r="I346" s="128" t="s">
        <v>1906</v>
      </c>
      <c r="J346" s="186" t="s">
        <v>1844</v>
      </c>
      <c r="K346" s="136" t="s">
        <v>1844</v>
      </c>
      <c r="L346" s="136" t="s">
        <v>1844</v>
      </c>
      <c r="M346" s="136" t="s">
        <v>1845</v>
      </c>
      <c r="N346" s="144" t="s">
        <v>1844</v>
      </c>
      <c r="O346" s="140" t="s">
        <v>1844</v>
      </c>
      <c r="P346" s="140" t="s">
        <v>1895</v>
      </c>
      <c r="Q346" s="140"/>
      <c r="R346" s="144"/>
      <c r="S346" s="140"/>
      <c r="T346" s="140"/>
      <c r="U346" s="140"/>
      <c r="V346" s="140"/>
      <c r="W346" s="144"/>
      <c r="X346" s="136"/>
      <c r="Y346" s="136"/>
      <c r="Z346" s="140"/>
      <c r="AA346" s="140"/>
      <c r="AB346" s="140"/>
      <c r="AC346" s="140"/>
      <c r="AD346" s="140"/>
      <c r="AE346" s="140"/>
      <c r="AF346" s="140"/>
      <c r="AG346" s="140"/>
      <c r="AH346" s="140"/>
      <c r="AI346" s="128"/>
      <c r="AJ346" s="137"/>
      <c r="AK346" s="140"/>
      <c r="AL346" s="140"/>
    </row>
    <row r="347" ht="15.75" customHeight="1">
      <c r="A347" s="125">
        <v>346.0</v>
      </c>
      <c r="B347" s="138">
        <f t="shared" si="36"/>
        <v>10346</v>
      </c>
      <c r="C347" s="124" t="s">
        <v>1840</v>
      </c>
      <c r="D347" s="122" t="s">
        <v>2125</v>
      </c>
      <c r="E347" s="125" t="s">
        <v>20</v>
      </c>
      <c r="F347" s="127" t="s">
        <v>2320</v>
      </c>
      <c r="G347" s="127" t="s">
        <v>2459</v>
      </c>
      <c r="H347" s="140" t="s">
        <v>1844</v>
      </c>
      <c r="I347" s="128" t="s">
        <v>1906</v>
      </c>
      <c r="J347" s="186" t="s">
        <v>1844</v>
      </c>
      <c r="K347" s="136" t="s">
        <v>1844</v>
      </c>
      <c r="L347" s="136" t="s">
        <v>1844</v>
      </c>
      <c r="M347" s="136" t="s">
        <v>1845</v>
      </c>
      <c r="N347" s="144" t="s">
        <v>1844</v>
      </c>
      <c r="O347" s="144" t="s">
        <v>1844</v>
      </c>
      <c r="P347" s="144" t="s">
        <v>1895</v>
      </c>
      <c r="Q347" s="140"/>
      <c r="R347" s="144"/>
      <c r="S347" s="140"/>
      <c r="T347" s="140"/>
      <c r="U347" s="140"/>
      <c r="V347" s="140"/>
      <c r="W347" s="144"/>
      <c r="X347" s="136"/>
      <c r="Y347" s="136"/>
      <c r="Z347" s="140"/>
      <c r="AA347" s="140"/>
      <c r="AB347" s="140"/>
      <c r="AC347" s="140"/>
      <c r="AD347" s="140"/>
      <c r="AE347" s="140"/>
      <c r="AF347" s="140"/>
      <c r="AG347" s="140"/>
      <c r="AH347" s="140"/>
      <c r="AI347" s="128"/>
      <c r="AJ347" s="137"/>
      <c r="AK347" s="140"/>
      <c r="AL347" s="140"/>
    </row>
    <row r="348" ht="15.75" customHeight="1">
      <c r="A348" s="125">
        <v>347.0</v>
      </c>
      <c r="B348" s="138">
        <f t="shared" si="36"/>
        <v>10347</v>
      </c>
      <c r="C348" s="124" t="s">
        <v>1840</v>
      </c>
      <c r="D348" s="122" t="s">
        <v>2125</v>
      </c>
      <c r="E348" s="125" t="s">
        <v>20</v>
      </c>
      <c r="F348" s="127" t="s">
        <v>2319</v>
      </c>
      <c r="G348" s="127" t="s">
        <v>2460</v>
      </c>
      <c r="H348" s="140" t="s">
        <v>1844</v>
      </c>
      <c r="I348" s="128" t="s">
        <v>1906</v>
      </c>
      <c r="J348" s="186" t="s">
        <v>1844</v>
      </c>
      <c r="K348" s="136" t="s">
        <v>1844</v>
      </c>
      <c r="L348" s="136" t="s">
        <v>1844</v>
      </c>
      <c r="M348" s="136" t="s">
        <v>1845</v>
      </c>
      <c r="N348" s="144" t="s">
        <v>1844</v>
      </c>
      <c r="O348" s="144" t="s">
        <v>1844</v>
      </c>
      <c r="P348" s="144" t="s">
        <v>1895</v>
      </c>
      <c r="Q348" s="140"/>
      <c r="R348" s="144"/>
      <c r="S348" s="140" t="s">
        <v>1845</v>
      </c>
      <c r="T348" s="140"/>
      <c r="U348" s="140"/>
      <c r="V348" s="140"/>
      <c r="W348" s="144"/>
      <c r="X348" s="136"/>
      <c r="Y348" s="136"/>
      <c r="Z348" s="140"/>
      <c r="AA348" s="140"/>
      <c r="AB348" s="140"/>
      <c r="AC348" s="140"/>
      <c r="AD348" s="140"/>
      <c r="AE348" s="140"/>
      <c r="AF348" s="140"/>
      <c r="AG348" s="140"/>
      <c r="AH348" s="140"/>
      <c r="AI348" s="128"/>
      <c r="AJ348" s="137"/>
      <c r="AK348" s="140"/>
      <c r="AL348" s="140"/>
    </row>
    <row r="349" ht="15.75" customHeight="1">
      <c r="A349" s="125">
        <v>348.0</v>
      </c>
      <c r="B349" s="138">
        <f t="shared" si="36"/>
        <v>10348</v>
      </c>
      <c r="C349" s="124" t="s">
        <v>1840</v>
      </c>
      <c r="D349" s="122" t="s">
        <v>2125</v>
      </c>
      <c r="E349" s="125" t="s">
        <v>34</v>
      </c>
      <c r="F349" s="127" t="s">
        <v>2220</v>
      </c>
      <c r="G349" s="127" t="s">
        <v>645</v>
      </c>
      <c r="H349" s="140" t="s">
        <v>1844</v>
      </c>
      <c r="I349" s="128" t="s">
        <v>1906</v>
      </c>
      <c r="J349" s="186" t="s">
        <v>1876</v>
      </c>
      <c r="K349" s="136" t="s">
        <v>1877</v>
      </c>
      <c r="L349" s="136" t="s">
        <v>1844</v>
      </c>
      <c r="M349" s="136" t="s">
        <v>1845</v>
      </c>
      <c r="N349" s="144" t="s">
        <v>1903</v>
      </c>
      <c r="O349" s="140" t="s">
        <v>1879</v>
      </c>
      <c r="P349" s="140" t="s">
        <v>1895</v>
      </c>
      <c r="Q349" s="140"/>
      <c r="R349" s="144"/>
      <c r="S349" s="140" t="s">
        <v>1845</v>
      </c>
      <c r="T349" s="140"/>
      <c r="U349" s="140"/>
      <c r="V349" s="140"/>
      <c r="W349" s="144"/>
      <c r="X349" s="136"/>
      <c r="Y349" s="136"/>
      <c r="Z349" s="140"/>
      <c r="AA349" s="140"/>
      <c r="AB349" s="140"/>
      <c r="AC349" s="140"/>
      <c r="AD349" s="140"/>
      <c r="AE349" s="140"/>
      <c r="AF349" s="140"/>
      <c r="AG349" s="140"/>
      <c r="AH349" s="140"/>
      <c r="AI349" s="128"/>
      <c r="AJ349" s="137"/>
      <c r="AK349" s="140"/>
      <c r="AL349" s="140"/>
    </row>
    <row r="350" ht="15.75" customHeight="1">
      <c r="A350" s="125">
        <v>349.0</v>
      </c>
      <c r="B350" s="138">
        <f t="shared" si="36"/>
        <v>10349</v>
      </c>
      <c r="C350" s="124" t="s">
        <v>1840</v>
      </c>
      <c r="D350" s="122" t="s">
        <v>2125</v>
      </c>
      <c r="E350" s="125" t="s">
        <v>34</v>
      </c>
      <c r="F350" s="127" t="s">
        <v>2316</v>
      </c>
      <c r="G350" s="127" t="s">
        <v>647</v>
      </c>
      <c r="H350" s="140" t="s">
        <v>1844</v>
      </c>
      <c r="I350" s="128" t="s">
        <v>2036</v>
      </c>
      <c r="J350" s="186" t="s">
        <v>1876</v>
      </c>
      <c r="K350" s="128" t="s">
        <v>1877</v>
      </c>
      <c r="L350" s="136" t="s">
        <v>1844</v>
      </c>
      <c r="M350" s="136" t="s">
        <v>1845</v>
      </c>
      <c r="N350" s="144">
        <v>1.0</v>
      </c>
      <c r="O350" s="140" t="s">
        <v>1879</v>
      </c>
      <c r="P350" s="140" t="s">
        <v>1895</v>
      </c>
      <c r="Q350" s="140"/>
      <c r="R350" s="140"/>
      <c r="S350" s="140" t="s">
        <v>1845</v>
      </c>
      <c r="T350" s="140"/>
      <c r="U350" s="140"/>
      <c r="V350" s="140"/>
      <c r="W350" s="144"/>
      <c r="X350" s="136"/>
      <c r="Y350" s="136"/>
      <c r="Z350" s="140"/>
      <c r="AA350" s="140"/>
      <c r="AB350" s="140"/>
      <c r="AC350" s="140"/>
      <c r="AD350" s="140"/>
      <c r="AE350" s="140"/>
      <c r="AF350" s="140"/>
      <c r="AG350" s="140"/>
      <c r="AH350" s="140"/>
      <c r="AI350" s="128"/>
      <c r="AJ350" s="137"/>
      <c r="AK350" s="140"/>
      <c r="AL350" s="140"/>
    </row>
    <row r="351" ht="15.75" customHeight="1">
      <c r="A351" s="125">
        <v>350.0</v>
      </c>
      <c r="B351" s="138">
        <f t="shared" si="36"/>
        <v>10350</v>
      </c>
      <c r="C351" s="124" t="s">
        <v>1840</v>
      </c>
      <c r="D351" s="122" t="s">
        <v>2099</v>
      </c>
      <c r="E351" s="125" t="s">
        <v>7</v>
      </c>
      <c r="F351" s="127" t="s">
        <v>2461</v>
      </c>
      <c r="G351" s="142" t="s">
        <v>648</v>
      </c>
      <c r="H351" s="128" t="s">
        <v>1844</v>
      </c>
      <c r="I351" s="128" t="s">
        <v>1843</v>
      </c>
      <c r="J351" s="186" t="s">
        <v>1844</v>
      </c>
      <c r="K351" s="128" t="s">
        <v>1844</v>
      </c>
      <c r="L351" s="136" t="s">
        <v>1844</v>
      </c>
      <c r="M351" s="136" t="s">
        <v>1844</v>
      </c>
      <c r="N351" s="144" t="s">
        <v>1844</v>
      </c>
      <c r="O351" s="128" t="s">
        <v>1844</v>
      </c>
      <c r="P351" s="128" t="s">
        <v>1844</v>
      </c>
      <c r="Q351" s="128"/>
      <c r="R351" s="140"/>
      <c r="S351" s="128" t="s">
        <v>1845</v>
      </c>
      <c r="T351" s="128"/>
      <c r="U351" s="128"/>
      <c r="V351" s="128"/>
      <c r="W351" s="144"/>
      <c r="X351" s="136"/>
      <c r="Y351" s="136"/>
      <c r="Z351" s="128"/>
      <c r="AA351" s="128"/>
      <c r="AB351" s="140"/>
      <c r="AC351" s="140"/>
      <c r="AD351" s="140"/>
      <c r="AE351" s="140"/>
      <c r="AF351" s="140"/>
      <c r="AG351" s="140"/>
      <c r="AH351" s="140"/>
      <c r="AI351" s="128"/>
      <c r="AJ351" s="137"/>
      <c r="AK351" s="140"/>
      <c r="AL351" s="140"/>
    </row>
    <row r="352" ht="15.75" customHeight="1">
      <c r="A352" s="125">
        <v>351.0</v>
      </c>
      <c r="B352" s="123" t="s">
        <v>1742</v>
      </c>
      <c r="C352" s="124" t="s">
        <v>1840</v>
      </c>
      <c r="D352" s="122" t="s">
        <v>2462</v>
      </c>
      <c r="E352" s="125" t="s">
        <v>7</v>
      </c>
      <c r="F352" s="127" t="s">
        <v>2463</v>
      </c>
      <c r="G352" s="127" t="s">
        <v>2464</v>
      </c>
      <c r="H352" s="140" t="s">
        <v>1844</v>
      </c>
      <c r="I352" s="128" t="s">
        <v>1906</v>
      </c>
      <c r="J352" s="186" t="s">
        <v>1844</v>
      </c>
      <c r="K352" s="170" t="s">
        <v>1844</v>
      </c>
      <c r="L352" s="136" t="s">
        <v>1844</v>
      </c>
      <c r="M352" s="136" t="s">
        <v>1844</v>
      </c>
      <c r="N352" s="144" t="s">
        <v>1844</v>
      </c>
      <c r="O352" s="140" t="s">
        <v>1844</v>
      </c>
      <c r="P352" s="140" t="s">
        <v>1844</v>
      </c>
      <c r="Q352" s="140" t="s">
        <v>1845</v>
      </c>
      <c r="R352" s="140"/>
      <c r="S352" s="140" t="s">
        <v>1845</v>
      </c>
      <c r="T352" s="140"/>
      <c r="U352" s="140"/>
      <c r="V352" s="140" t="s">
        <v>1845</v>
      </c>
      <c r="W352" s="144"/>
      <c r="X352" s="136"/>
      <c r="Y352" s="136"/>
      <c r="Z352" s="140"/>
      <c r="AA352" s="140"/>
      <c r="AB352" s="140"/>
      <c r="AC352" s="140"/>
      <c r="AD352" s="140"/>
      <c r="AE352" s="140"/>
      <c r="AF352" s="140"/>
      <c r="AG352" s="140"/>
      <c r="AH352" s="140"/>
      <c r="AI352" s="128"/>
      <c r="AJ352" s="137"/>
      <c r="AK352" s="140"/>
      <c r="AL352" s="140"/>
    </row>
    <row r="353" ht="15.75" customHeight="1">
      <c r="A353" s="125">
        <v>352.0</v>
      </c>
      <c r="B353" s="123" t="s">
        <v>1742</v>
      </c>
      <c r="C353" s="124" t="s">
        <v>1840</v>
      </c>
      <c r="D353" s="122" t="s">
        <v>2462</v>
      </c>
      <c r="E353" s="125" t="s">
        <v>7</v>
      </c>
      <c r="F353" s="127" t="s">
        <v>2465</v>
      </c>
      <c r="G353" s="127" t="s">
        <v>2466</v>
      </c>
      <c r="H353" s="128" t="s">
        <v>1844</v>
      </c>
      <c r="I353" s="128" t="s">
        <v>1906</v>
      </c>
      <c r="J353" s="186" t="s">
        <v>1844</v>
      </c>
      <c r="K353" s="170" t="s">
        <v>1844</v>
      </c>
      <c r="L353" s="136" t="s">
        <v>1844</v>
      </c>
      <c r="M353" s="136" t="s">
        <v>1844</v>
      </c>
      <c r="N353" s="144" t="s">
        <v>1844</v>
      </c>
      <c r="O353" s="128" t="s">
        <v>1844</v>
      </c>
      <c r="P353" s="128" t="s">
        <v>1844</v>
      </c>
      <c r="Q353" s="128" t="s">
        <v>1845</v>
      </c>
      <c r="R353" s="140"/>
      <c r="S353" s="128"/>
      <c r="T353" s="128"/>
      <c r="U353" s="128"/>
      <c r="V353" s="128" t="s">
        <v>1845</v>
      </c>
      <c r="W353" s="144"/>
      <c r="X353" s="136"/>
      <c r="Y353" s="136" t="s">
        <v>1845</v>
      </c>
      <c r="Z353" s="128"/>
      <c r="AA353" s="128"/>
      <c r="AB353" s="140"/>
      <c r="AC353" s="140"/>
      <c r="AD353" s="140"/>
      <c r="AE353" s="140"/>
      <c r="AF353" s="140"/>
      <c r="AG353" s="140"/>
      <c r="AH353" s="140"/>
      <c r="AI353" s="128"/>
      <c r="AJ353" s="137"/>
      <c r="AK353" s="140"/>
      <c r="AL353" s="140"/>
    </row>
    <row r="354" ht="15.75" customHeight="1">
      <c r="A354" s="125">
        <v>353.0</v>
      </c>
      <c r="B354" s="138">
        <f t="shared" ref="B354:B363" si="37">SUM(A354+10000)</f>
        <v>10353</v>
      </c>
      <c r="C354" s="124" t="s">
        <v>1840</v>
      </c>
      <c r="D354" s="122" t="s">
        <v>2462</v>
      </c>
      <c r="E354" s="125" t="s">
        <v>7</v>
      </c>
      <c r="F354" s="127" t="s">
        <v>2467</v>
      </c>
      <c r="G354" s="197" t="s">
        <v>654</v>
      </c>
      <c r="H354" s="140" t="s">
        <v>1844</v>
      </c>
      <c r="I354" s="128" t="s">
        <v>1843</v>
      </c>
      <c r="J354" s="186" t="s">
        <v>1844</v>
      </c>
      <c r="K354" s="136" t="s">
        <v>1844</v>
      </c>
      <c r="L354" s="136" t="s">
        <v>1844</v>
      </c>
      <c r="M354" s="136" t="s">
        <v>1844</v>
      </c>
      <c r="N354" s="144" t="s">
        <v>1844</v>
      </c>
      <c r="O354" s="140" t="s">
        <v>1844</v>
      </c>
      <c r="P354" s="140" t="s">
        <v>1844</v>
      </c>
      <c r="Q354" s="140"/>
      <c r="R354" s="144" t="s">
        <v>1845</v>
      </c>
      <c r="S354" s="140" t="s">
        <v>1845</v>
      </c>
      <c r="T354" s="140"/>
      <c r="U354" s="140"/>
      <c r="V354" s="140"/>
      <c r="W354" s="144"/>
      <c r="X354" s="136"/>
      <c r="Y354" s="136"/>
      <c r="Z354" s="140"/>
      <c r="AA354" s="140"/>
      <c r="AB354" s="140"/>
      <c r="AC354" s="140"/>
      <c r="AD354" s="140"/>
      <c r="AE354" s="140"/>
      <c r="AF354" s="140"/>
      <c r="AG354" s="140"/>
      <c r="AH354" s="140"/>
      <c r="AI354" s="128"/>
      <c r="AJ354" s="137"/>
      <c r="AK354" s="140"/>
      <c r="AL354" s="140"/>
    </row>
    <row r="355" ht="15.75" customHeight="1">
      <c r="A355" s="151">
        <v>354.0</v>
      </c>
      <c r="B355" s="138">
        <f t="shared" si="37"/>
        <v>10354</v>
      </c>
      <c r="C355" s="179" t="s">
        <v>1840</v>
      </c>
      <c r="D355" s="150" t="s">
        <v>2462</v>
      </c>
      <c r="E355" s="151" t="s">
        <v>7</v>
      </c>
      <c r="F355" s="153" t="s">
        <v>2468</v>
      </c>
      <c r="G355" s="153" t="s">
        <v>656</v>
      </c>
      <c r="H355" s="140" t="s">
        <v>1844</v>
      </c>
      <c r="I355" s="129" t="s">
        <v>1906</v>
      </c>
      <c r="J355" s="143" t="s">
        <v>1844</v>
      </c>
      <c r="K355" s="129" t="s">
        <v>1844</v>
      </c>
      <c r="L355" s="132" t="s">
        <v>1844</v>
      </c>
      <c r="M355" s="132" t="s">
        <v>1844</v>
      </c>
      <c r="N355" s="131" t="s">
        <v>1844</v>
      </c>
      <c r="O355" s="171" t="s">
        <v>1844</v>
      </c>
      <c r="P355" s="171" t="s">
        <v>1844</v>
      </c>
      <c r="Q355" s="171"/>
      <c r="R355" s="171" t="s">
        <v>1845</v>
      </c>
      <c r="S355" s="171"/>
      <c r="T355" s="171"/>
      <c r="U355" s="171"/>
      <c r="V355" s="171" t="s">
        <v>1845</v>
      </c>
      <c r="W355" s="131"/>
      <c r="X355" s="132"/>
      <c r="Y355" s="132"/>
      <c r="Z355" s="171"/>
      <c r="AA355" s="171"/>
      <c r="AB355" s="171"/>
      <c r="AC355" s="171"/>
      <c r="AD355" s="171"/>
      <c r="AE355" s="171"/>
      <c r="AF355" s="140"/>
      <c r="AG355" s="140"/>
      <c r="AH355" s="140"/>
      <c r="AI355" s="128"/>
      <c r="AJ355" s="137"/>
      <c r="AK355" s="140"/>
      <c r="AL355" s="140"/>
    </row>
    <row r="356" ht="15.75" customHeight="1">
      <c r="A356" s="125">
        <v>355.0</v>
      </c>
      <c r="B356" s="138">
        <f t="shared" si="37"/>
        <v>10355</v>
      </c>
      <c r="C356" s="124" t="s">
        <v>1840</v>
      </c>
      <c r="D356" s="122" t="s">
        <v>2462</v>
      </c>
      <c r="E356" s="125" t="s">
        <v>20</v>
      </c>
      <c r="F356" s="232" t="s">
        <v>2469</v>
      </c>
      <c r="G356" s="232" t="s">
        <v>658</v>
      </c>
      <c r="H356" s="128" t="s">
        <v>1844</v>
      </c>
      <c r="I356" s="128" t="s">
        <v>1843</v>
      </c>
      <c r="J356" s="186" t="s">
        <v>1844</v>
      </c>
      <c r="K356" s="136" t="s">
        <v>1844</v>
      </c>
      <c r="L356" s="136" t="s">
        <v>1844</v>
      </c>
      <c r="M356" s="136" t="s">
        <v>1844</v>
      </c>
      <c r="N356" s="144" t="s">
        <v>1844</v>
      </c>
      <c r="O356" s="136" t="s">
        <v>1844</v>
      </c>
      <c r="P356" s="128" t="s">
        <v>1895</v>
      </c>
      <c r="Q356" s="128"/>
      <c r="R356" s="144"/>
      <c r="S356" s="128" t="s">
        <v>1845</v>
      </c>
      <c r="T356" s="128"/>
      <c r="U356" s="128"/>
      <c r="V356" s="128"/>
      <c r="W356" s="144"/>
      <c r="X356" s="136"/>
      <c r="Y356" s="136"/>
      <c r="Z356" s="128"/>
      <c r="AA356" s="128"/>
      <c r="AB356" s="140"/>
      <c r="AC356" s="140"/>
      <c r="AD356" s="140"/>
      <c r="AE356" s="140"/>
      <c r="AF356" s="140"/>
      <c r="AG356" s="140"/>
      <c r="AH356" s="140"/>
      <c r="AI356" s="128"/>
      <c r="AJ356" s="137"/>
      <c r="AK356" s="140"/>
      <c r="AL356" s="140"/>
    </row>
    <row r="357" ht="15.75" customHeight="1">
      <c r="A357" s="125">
        <v>356.0</v>
      </c>
      <c r="B357" s="138">
        <f t="shared" si="37"/>
        <v>10356</v>
      </c>
      <c r="C357" s="124" t="s">
        <v>1840</v>
      </c>
      <c r="D357" s="122" t="s">
        <v>2462</v>
      </c>
      <c r="E357" s="125" t="s">
        <v>7</v>
      </c>
      <c r="F357" s="127" t="s">
        <v>2470</v>
      </c>
      <c r="G357" s="127" t="s">
        <v>660</v>
      </c>
      <c r="H357" s="140" t="s">
        <v>1844</v>
      </c>
      <c r="I357" s="128" t="s">
        <v>2036</v>
      </c>
      <c r="J357" s="186" t="s">
        <v>1844</v>
      </c>
      <c r="K357" s="136" t="s">
        <v>1844</v>
      </c>
      <c r="L357" s="136" t="s">
        <v>1844</v>
      </c>
      <c r="M357" s="136" t="s">
        <v>1844</v>
      </c>
      <c r="N357" s="144" t="s">
        <v>1844</v>
      </c>
      <c r="O357" s="140" t="s">
        <v>1844</v>
      </c>
      <c r="P357" s="140" t="s">
        <v>1844</v>
      </c>
      <c r="Q357" s="140"/>
      <c r="R357" s="144" t="s">
        <v>1845</v>
      </c>
      <c r="S357" s="140"/>
      <c r="T357" s="140"/>
      <c r="U357" s="140"/>
      <c r="V357" s="140"/>
      <c r="W357" s="144"/>
      <c r="X357" s="136"/>
      <c r="Y357" s="128"/>
      <c r="Z357" s="140"/>
      <c r="AA357" s="140"/>
      <c r="AB357" s="140"/>
      <c r="AC357" s="140"/>
      <c r="AD357" s="140"/>
      <c r="AE357" s="140"/>
      <c r="AF357" s="140"/>
      <c r="AG357" s="140"/>
      <c r="AH357" s="140"/>
      <c r="AI357" s="128"/>
      <c r="AJ357" s="137"/>
      <c r="AK357" s="140"/>
      <c r="AL357" s="140"/>
    </row>
    <row r="358" ht="15.75" customHeight="1">
      <c r="A358" s="151">
        <v>357.0</v>
      </c>
      <c r="B358" s="138">
        <f t="shared" si="37"/>
        <v>10357</v>
      </c>
      <c r="C358" s="124" t="s">
        <v>1840</v>
      </c>
      <c r="D358" s="122" t="s">
        <v>2462</v>
      </c>
      <c r="E358" s="151" t="s">
        <v>7</v>
      </c>
      <c r="F358" s="201" t="s">
        <v>2471</v>
      </c>
      <c r="G358" s="153" t="s">
        <v>662</v>
      </c>
      <c r="H358" s="171" t="s">
        <v>1844</v>
      </c>
      <c r="I358" s="129" t="s">
        <v>1843</v>
      </c>
      <c r="J358" s="143" t="s">
        <v>1844</v>
      </c>
      <c r="K358" s="132" t="s">
        <v>1844</v>
      </c>
      <c r="L358" s="132" t="s">
        <v>1844</v>
      </c>
      <c r="M358" s="132" t="s">
        <v>1844</v>
      </c>
      <c r="N358" s="131" t="s">
        <v>1844</v>
      </c>
      <c r="O358" s="171" t="s">
        <v>1844</v>
      </c>
      <c r="P358" s="171" t="s">
        <v>1844</v>
      </c>
      <c r="Q358" s="171"/>
      <c r="R358" s="131" t="s">
        <v>1845</v>
      </c>
      <c r="S358" s="171"/>
      <c r="T358" s="171" t="s">
        <v>1845</v>
      </c>
      <c r="U358" s="171"/>
      <c r="V358" s="171"/>
      <c r="W358" s="131"/>
      <c r="X358" s="132"/>
      <c r="Y358" s="132"/>
      <c r="Z358" s="171"/>
      <c r="AA358" s="171"/>
      <c r="AB358" s="140"/>
      <c r="AC358" s="140"/>
      <c r="AD358" s="140"/>
      <c r="AE358" s="140"/>
      <c r="AF358" s="140"/>
      <c r="AG358" s="128"/>
      <c r="AH358" s="140"/>
      <c r="AI358" s="128"/>
      <c r="AJ358" s="137"/>
      <c r="AK358" s="140"/>
      <c r="AL358" s="140"/>
    </row>
    <row r="359" ht="15.75" customHeight="1">
      <c r="A359" s="160">
        <v>358.0</v>
      </c>
      <c r="B359" s="158">
        <f t="shared" si="37"/>
        <v>10358</v>
      </c>
      <c r="C359" s="159" t="s">
        <v>1873</v>
      </c>
      <c r="D359" s="157" t="s">
        <v>2125</v>
      </c>
      <c r="E359" s="160" t="s">
        <v>34</v>
      </c>
      <c r="F359" s="214" t="s">
        <v>2472</v>
      </c>
      <c r="G359" s="162" t="s">
        <v>664</v>
      </c>
      <c r="H359" s="167" t="s">
        <v>1844</v>
      </c>
      <c r="I359" s="164" t="s">
        <v>1843</v>
      </c>
      <c r="J359" s="184" t="s">
        <v>1876</v>
      </c>
      <c r="K359" s="168" t="s">
        <v>1877</v>
      </c>
      <c r="L359" s="168" t="s">
        <v>1878</v>
      </c>
      <c r="M359" s="168" t="s">
        <v>1845</v>
      </c>
      <c r="N359" s="166">
        <v>1.0</v>
      </c>
      <c r="O359" s="167" t="s">
        <v>1879</v>
      </c>
      <c r="P359" s="167" t="s">
        <v>2473</v>
      </c>
      <c r="Q359" s="167"/>
      <c r="R359" s="166"/>
      <c r="S359" s="167"/>
      <c r="T359" s="167"/>
      <c r="U359" s="167"/>
      <c r="V359" s="167"/>
      <c r="W359" s="166"/>
      <c r="X359" s="168"/>
      <c r="Y359" s="164"/>
      <c r="Z359" s="167"/>
      <c r="AA359" s="167"/>
      <c r="AB359" s="167"/>
      <c r="AC359" s="167"/>
      <c r="AD359" s="167"/>
      <c r="AE359" s="167"/>
      <c r="AF359" s="167"/>
      <c r="AG359" s="164"/>
      <c r="AH359" s="167"/>
      <c r="AI359" s="164"/>
      <c r="AJ359" s="169"/>
      <c r="AK359" s="167"/>
      <c r="AL359" s="167"/>
    </row>
    <row r="360" ht="15.75" customHeight="1">
      <c r="A360" s="160">
        <v>359.0</v>
      </c>
      <c r="B360" s="158">
        <f t="shared" si="37"/>
        <v>10359</v>
      </c>
      <c r="C360" s="159" t="s">
        <v>1873</v>
      </c>
      <c r="D360" s="157" t="s">
        <v>2125</v>
      </c>
      <c r="E360" s="160" t="s">
        <v>34</v>
      </c>
      <c r="F360" s="162" t="s">
        <v>2206</v>
      </c>
      <c r="G360" s="162" t="s">
        <v>115</v>
      </c>
      <c r="H360" s="167" t="s">
        <v>1844</v>
      </c>
      <c r="I360" s="164" t="s">
        <v>1843</v>
      </c>
      <c r="J360" s="184" t="s">
        <v>1876</v>
      </c>
      <c r="K360" s="168" t="s">
        <v>1877</v>
      </c>
      <c r="L360" s="168" t="s">
        <v>1990</v>
      </c>
      <c r="M360" s="168" t="s">
        <v>1845</v>
      </c>
      <c r="N360" s="166">
        <v>1.0</v>
      </c>
      <c r="O360" s="167" t="s">
        <v>1879</v>
      </c>
      <c r="P360" s="167" t="s">
        <v>1862</v>
      </c>
      <c r="Q360" s="167"/>
      <c r="R360" s="166"/>
      <c r="S360" s="167"/>
      <c r="T360" s="167"/>
      <c r="U360" s="167"/>
      <c r="V360" s="167"/>
      <c r="W360" s="166"/>
      <c r="X360" s="168"/>
      <c r="Y360" s="168"/>
      <c r="Z360" s="167"/>
      <c r="AA360" s="167"/>
      <c r="AB360" s="167"/>
      <c r="AC360" s="167"/>
      <c r="AD360" s="167"/>
      <c r="AE360" s="167"/>
      <c r="AF360" s="167"/>
      <c r="AG360" s="164"/>
      <c r="AH360" s="167"/>
      <c r="AI360" s="164"/>
      <c r="AJ360" s="169"/>
      <c r="AK360" s="167"/>
      <c r="AL360" s="167"/>
    </row>
    <row r="361" ht="15.75" customHeight="1">
      <c r="A361" s="233">
        <v>360.0</v>
      </c>
      <c r="B361" s="138">
        <f t="shared" si="37"/>
        <v>10360</v>
      </c>
      <c r="C361" s="124" t="s">
        <v>2474</v>
      </c>
      <c r="D361" s="122" t="s">
        <v>2434</v>
      </c>
      <c r="E361" s="233" t="s">
        <v>34</v>
      </c>
      <c r="F361" s="219" t="s">
        <v>2436</v>
      </c>
      <c r="G361" s="234" t="s">
        <v>665</v>
      </c>
      <c r="H361" s="140" t="s">
        <v>1844</v>
      </c>
      <c r="I361" s="235" t="s">
        <v>1906</v>
      </c>
      <c r="J361" s="236" t="s">
        <v>1876</v>
      </c>
      <c r="K361" s="237" t="s">
        <v>1877</v>
      </c>
      <c r="L361" s="237" t="s">
        <v>1844</v>
      </c>
      <c r="M361" s="237" t="s">
        <v>1845</v>
      </c>
      <c r="N361" s="238">
        <v>1.0</v>
      </c>
      <c r="O361" s="239" t="s">
        <v>1844</v>
      </c>
      <c r="P361" s="239" t="s">
        <v>1862</v>
      </c>
      <c r="Q361" s="239"/>
      <c r="R361" s="238"/>
      <c r="S361" s="239"/>
      <c r="T361" s="239"/>
      <c r="U361" s="239" t="s">
        <v>1845</v>
      </c>
      <c r="V361" s="239" t="s">
        <v>1845</v>
      </c>
      <c r="W361" s="238"/>
      <c r="X361" s="237"/>
      <c r="Y361" s="235"/>
      <c r="Z361" s="239"/>
      <c r="AA361" s="239"/>
      <c r="AB361" s="140"/>
      <c r="AC361" s="140"/>
      <c r="AD361" s="140"/>
      <c r="AE361" s="140"/>
      <c r="AF361" s="140"/>
      <c r="AG361" s="128"/>
      <c r="AH361" s="140"/>
      <c r="AI361" s="128"/>
      <c r="AJ361" s="137"/>
      <c r="AK361" s="140"/>
      <c r="AL361" s="140"/>
    </row>
    <row r="362" ht="15.75" customHeight="1">
      <c r="A362" s="160">
        <v>361.0</v>
      </c>
      <c r="B362" s="158">
        <f t="shared" si="37"/>
        <v>10361</v>
      </c>
      <c r="C362" s="159" t="s">
        <v>2474</v>
      </c>
      <c r="D362" s="157" t="s">
        <v>2434</v>
      </c>
      <c r="E362" s="160" t="s">
        <v>34</v>
      </c>
      <c r="F362" s="162" t="s">
        <v>2437</v>
      </c>
      <c r="G362" s="162" t="s">
        <v>666</v>
      </c>
      <c r="H362" s="167" t="s">
        <v>1844</v>
      </c>
      <c r="I362" s="164" t="s">
        <v>1906</v>
      </c>
      <c r="J362" s="184" t="s">
        <v>1876</v>
      </c>
      <c r="K362" s="168" t="s">
        <v>1877</v>
      </c>
      <c r="L362" s="168" t="s">
        <v>1878</v>
      </c>
      <c r="M362" s="168" t="s">
        <v>1845</v>
      </c>
      <c r="N362" s="166" t="s">
        <v>1903</v>
      </c>
      <c r="O362" s="167" t="s">
        <v>1879</v>
      </c>
      <c r="P362" s="167" t="s">
        <v>1862</v>
      </c>
      <c r="Q362" s="167"/>
      <c r="R362" s="166"/>
      <c r="S362" s="167"/>
      <c r="T362" s="167"/>
      <c r="U362" s="167" t="s">
        <v>1845</v>
      </c>
      <c r="V362" s="167" t="s">
        <v>1845</v>
      </c>
      <c r="W362" s="166"/>
      <c r="X362" s="168"/>
      <c r="Y362" s="164"/>
      <c r="Z362" s="167"/>
      <c r="AA362" s="167"/>
      <c r="AB362" s="167"/>
      <c r="AC362" s="167"/>
      <c r="AD362" s="167"/>
      <c r="AE362" s="167"/>
      <c r="AF362" s="167"/>
      <c r="AG362" s="164"/>
      <c r="AH362" s="167"/>
      <c r="AI362" s="164"/>
      <c r="AJ362" s="169"/>
      <c r="AK362" s="167"/>
      <c r="AL362" s="167"/>
    </row>
    <row r="363" ht="15.75" customHeight="1">
      <c r="A363" s="160">
        <v>362.0</v>
      </c>
      <c r="B363" s="158">
        <f t="shared" si="37"/>
        <v>10362</v>
      </c>
      <c r="C363" s="159" t="s">
        <v>2474</v>
      </c>
      <c r="D363" s="157" t="s">
        <v>2434</v>
      </c>
      <c r="E363" s="160" t="s">
        <v>34</v>
      </c>
      <c r="F363" s="162" t="s">
        <v>2475</v>
      </c>
      <c r="G363" s="162" t="s">
        <v>667</v>
      </c>
      <c r="H363" s="167" t="s">
        <v>1844</v>
      </c>
      <c r="I363" s="164" t="s">
        <v>1906</v>
      </c>
      <c r="J363" s="184" t="s">
        <v>1876</v>
      </c>
      <c r="K363" s="177" t="s">
        <v>1877</v>
      </c>
      <c r="L363" s="168" t="s">
        <v>1878</v>
      </c>
      <c r="M363" s="168" t="s">
        <v>1845</v>
      </c>
      <c r="N363" s="166">
        <v>1.0</v>
      </c>
      <c r="O363" s="166" t="s">
        <v>1879</v>
      </c>
      <c r="P363" s="166" t="s">
        <v>1862</v>
      </c>
      <c r="Q363" s="166"/>
      <c r="R363" s="166"/>
      <c r="S363" s="166"/>
      <c r="T363" s="166"/>
      <c r="U363" s="166" t="s">
        <v>1845</v>
      </c>
      <c r="V363" s="166" t="s">
        <v>1845</v>
      </c>
      <c r="W363" s="166"/>
      <c r="X363" s="168"/>
      <c r="Y363" s="168"/>
      <c r="Z363" s="167"/>
      <c r="AA363" s="167"/>
      <c r="AB363" s="167"/>
      <c r="AC363" s="167"/>
      <c r="AD363" s="167"/>
      <c r="AE363" s="167"/>
      <c r="AF363" s="167"/>
      <c r="AG363" s="164"/>
      <c r="AH363" s="167"/>
      <c r="AI363" s="164"/>
      <c r="AJ363" s="169"/>
      <c r="AK363" s="167"/>
      <c r="AL363" s="167"/>
    </row>
    <row r="364" ht="15.75" customHeight="1">
      <c r="A364" s="125">
        <v>363.0</v>
      </c>
      <c r="B364" s="123" t="s">
        <v>1742</v>
      </c>
      <c r="C364" s="124" t="s">
        <v>1840</v>
      </c>
      <c r="D364" s="122" t="s">
        <v>2434</v>
      </c>
      <c r="E364" s="125" t="s">
        <v>20</v>
      </c>
      <c r="F364" s="127" t="s">
        <v>2444</v>
      </c>
      <c r="G364" s="127" t="s">
        <v>2476</v>
      </c>
      <c r="H364" s="140" t="s">
        <v>1844</v>
      </c>
      <c r="I364" s="128" t="s">
        <v>1843</v>
      </c>
      <c r="J364" s="186" t="s">
        <v>1844</v>
      </c>
      <c r="K364" s="136" t="s">
        <v>1844</v>
      </c>
      <c r="L364" s="136" t="s">
        <v>1844</v>
      </c>
      <c r="M364" s="136" t="s">
        <v>1845</v>
      </c>
      <c r="N364" s="144" t="s">
        <v>1844</v>
      </c>
      <c r="O364" s="140" t="s">
        <v>1844</v>
      </c>
      <c r="P364" s="140" t="s">
        <v>1862</v>
      </c>
      <c r="Q364" s="140" t="s">
        <v>1845</v>
      </c>
      <c r="R364" s="144"/>
      <c r="S364" s="140"/>
      <c r="T364" s="140"/>
      <c r="U364" s="140"/>
      <c r="V364" s="140"/>
      <c r="W364" s="144"/>
      <c r="X364" s="136"/>
      <c r="Y364" s="128"/>
      <c r="Z364" s="140"/>
      <c r="AA364" s="140"/>
      <c r="AB364" s="140"/>
      <c r="AC364" s="140"/>
      <c r="AD364" s="140"/>
      <c r="AE364" s="140"/>
      <c r="AF364" s="140"/>
      <c r="AG364" s="140"/>
      <c r="AH364" s="140"/>
      <c r="AI364" s="128"/>
      <c r="AJ364" s="137"/>
      <c r="AK364" s="140"/>
      <c r="AL364" s="140"/>
    </row>
    <row r="365" ht="15.75" customHeight="1">
      <c r="A365" s="125">
        <v>364.0</v>
      </c>
      <c r="B365" s="138">
        <f>SUM(A365+10000)</f>
        <v>10364</v>
      </c>
      <c r="C365" s="124" t="s">
        <v>1840</v>
      </c>
      <c r="D365" s="122" t="s">
        <v>2069</v>
      </c>
      <c r="E365" s="125" t="s">
        <v>20</v>
      </c>
      <c r="F365" s="127" t="s">
        <v>2091</v>
      </c>
      <c r="G365" s="127" t="s">
        <v>670</v>
      </c>
      <c r="H365" s="140" t="s">
        <v>1844</v>
      </c>
      <c r="I365" s="128" t="s">
        <v>1843</v>
      </c>
      <c r="J365" s="186" t="s">
        <v>1844</v>
      </c>
      <c r="K365" s="136" t="s">
        <v>1844</v>
      </c>
      <c r="L365" s="136" t="s">
        <v>1878</v>
      </c>
      <c r="M365" s="136" t="s">
        <v>1845</v>
      </c>
      <c r="N365" s="144" t="s">
        <v>1844</v>
      </c>
      <c r="O365" s="140" t="s">
        <v>1844</v>
      </c>
      <c r="P365" s="140" t="s">
        <v>1895</v>
      </c>
      <c r="Q365" s="140"/>
      <c r="R365" s="144"/>
      <c r="S365" s="140" t="s">
        <v>1845</v>
      </c>
      <c r="T365" s="140"/>
      <c r="U365" s="140"/>
      <c r="V365" s="140"/>
      <c r="W365" s="144"/>
      <c r="X365" s="136"/>
      <c r="Y365" s="128"/>
      <c r="Z365" s="140"/>
      <c r="AA365" s="140"/>
      <c r="AB365" s="140"/>
      <c r="AC365" s="140"/>
      <c r="AD365" s="140"/>
      <c r="AE365" s="140"/>
      <c r="AF365" s="140"/>
      <c r="AG365" s="140"/>
      <c r="AH365" s="140"/>
      <c r="AI365" s="128"/>
      <c r="AJ365" s="137"/>
      <c r="AK365" s="140"/>
      <c r="AL365" s="140"/>
    </row>
    <row r="366" ht="15.75" customHeight="1">
      <c r="A366" s="125">
        <v>365.0</v>
      </c>
      <c r="B366" s="123" t="s">
        <v>1742</v>
      </c>
      <c r="C366" s="124" t="s">
        <v>1840</v>
      </c>
      <c r="D366" s="122" t="s">
        <v>2125</v>
      </c>
      <c r="E366" s="125" t="s">
        <v>7</v>
      </c>
      <c r="F366" s="127" t="s">
        <v>2477</v>
      </c>
      <c r="G366" s="127" t="s">
        <v>2478</v>
      </c>
      <c r="H366" s="140" t="s">
        <v>1844</v>
      </c>
      <c r="I366" s="128" t="s">
        <v>1843</v>
      </c>
      <c r="J366" s="186" t="s">
        <v>1844</v>
      </c>
      <c r="K366" s="136" t="s">
        <v>1844</v>
      </c>
      <c r="L366" s="136" t="s">
        <v>1844</v>
      </c>
      <c r="M366" s="136" t="s">
        <v>1844</v>
      </c>
      <c r="N366" s="144" t="s">
        <v>1844</v>
      </c>
      <c r="O366" s="140" t="s">
        <v>1844</v>
      </c>
      <c r="P366" s="140" t="s">
        <v>1844</v>
      </c>
      <c r="Q366" s="140" t="s">
        <v>1845</v>
      </c>
      <c r="R366" s="144"/>
      <c r="S366" s="140"/>
      <c r="T366" s="140"/>
      <c r="U366" s="140"/>
      <c r="V366" s="140"/>
      <c r="W366" s="144"/>
      <c r="X366" s="136"/>
      <c r="Y366" s="128"/>
      <c r="Z366" s="140"/>
      <c r="AA366" s="140"/>
      <c r="AB366" s="140"/>
      <c r="AC366" s="140"/>
      <c r="AD366" s="140"/>
      <c r="AE366" s="140"/>
      <c r="AF366" s="140"/>
      <c r="AG366" s="140"/>
      <c r="AH366" s="140"/>
      <c r="AI366" s="128"/>
      <c r="AJ366" s="137"/>
      <c r="AK366" s="140"/>
      <c r="AL366" s="140"/>
    </row>
    <row r="367" ht="15.75" customHeight="1">
      <c r="A367" s="151">
        <v>366.0</v>
      </c>
      <c r="B367" s="138">
        <f t="shared" ref="B367:B369" si="38">SUM(A367+10000)</f>
        <v>10366</v>
      </c>
      <c r="C367" s="179" t="s">
        <v>1840</v>
      </c>
      <c r="D367" s="150" t="s">
        <v>2125</v>
      </c>
      <c r="E367" s="151" t="s">
        <v>27</v>
      </c>
      <c r="F367" s="153" t="s">
        <v>2479</v>
      </c>
      <c r="G367" s="190" t="s">
        <v>674</v>
      </c>
      <c r="H367" s="140" t="s">
        <v>1844</v>
      </c>
      <c r="I367" s="129" t="s">
        <v>1843</v>
      </c>
      <c r="J367" s="143" t="s">
        <v>1844</v>
      </c>
      <c r="K367" s="132" t="s">
        <v>1844</v>
      </c>
      <c r="L367" s="132" t="s">
        <v>1844</v>
      </c>
      <c r="M367" s="132" t="s">
        <v>1845</v>
      </c>
      <c r="N367" s="131" t="s">
        <v>1844</v>
      </c>
      <c r="O367" s="171" t="s">
        <v>1844</v>
      </c>
      <c r="P367" s="171" t="s">
        <v>1862</v>
      </c>
      <c r="Q367" s="171"/>
      <c r="R367" s="131" t="s">
        <v>1845</v>
      </c>
      <c r="S367" s="171"/>
      <c r="T367" s="171"/>
      <c r="U367" s="171"/>
      <c r="V367" s="171"/>
      <c r="W367" s="131" t="s">
        <v>1845</v>
      </c>
      <c r="X367" s="132"/>
      <c r="Y367" s="129"/>
      <c r="Z367" s="171"/>
      <c r="AA367" s="171"/>
      <c r="AB367" s="171"/>
      <c r="AC367" s="171"/>
      <c r="AD367" s="171"/>
      <c r="AE367" s="171"/>
      <c r="AF367" s="140"/>
      <c r="AG367" s="128"/>
      <c r="AH367" s="140"/>
      <c r="AI367" s="128"/>
      <c r="AJ367" s="137"/>
      <c r="AK367" s="140"/>
      <c r="AL367" s="140"/>
    </row>
    <row r="368" ht="15.75" customHeight="1">
      <c r="A368" s="125">
        <v>367.0</v>
      </c>
      <c r="B368" s="138">
        <f t="shared" si="38"/>
        <v>10367</v>
      </c>
      <c r="C368" s="124" t="s">
        <v>1840</v>
      </c>
      <c r="D368" s="122" t="s">
        <v>2125</v>
      </c>
      <c r="E368" s="125" t="s">
        <v>7</v>
      </c>
      <c r="F368" s="127" t="s">
        <v>2480</v>
      </c>
      <c r="G368" s="127" t="s">
        <v>676</v>
      </c>
      <c r="H368" s="140" t="s">
        <v>1844</v>
      </c>
      <c r="I368" s="128" t="s">
        <v>1843</v>
      </c>
      <c r="J368" s="186" t="s">
        <v>1844</v>
      </c>
      <c r="K368" s="136" t="s">
        <v>1844</v>
      </c>
      <c r="L368" s="136" t="s">
        <v>1844</v>
      </c>
      <c r="M368" s="136" t="s">
        <v>1844</v>
      </c>
      <c r="N368" s="144" t="s">
        <v>1844</v>
      </c>
      <c r="O368" s="140" t="s">
        <v>1844</v>
      </c>
      <c r="P368" s="140" t="s">
        <v>1844</v>
      </c>
      <c r="Q368" s="140"/>
      <c r="R368" s="144" t="s">
        <v>1845</v>
      </c>
      <c r="S368" s="140"/>
      <c r="T368" s="140"/>
      <c r="U368" s="140"/>
      <c r="V368" s="140"/>
      <c r="W368" s="144" t="s">
        <v>1845</v>
      </c>
      <c r="X368" s="136" t="s">
        <v>1845</v>
      </c>
      <c r="Y368" s="128"/>
      <c r="Z368" s="140"/>
      <c r="AA368" s="140"/>
      <c r="AB368" s="140"/>
      <c r="AC368" s="140"/>
      <c r="AD368" s="140"/>
      <c r="AE368" s="140"/>
      <c r="AF368" s="140"/>
      <c r="AG368" s="140"/>
      <c r="AH368" s="140"/>
      <c r="AI368" s="128"/>
      <c r="AJ368" s="137"/>
      <c r="AK368" s="140"/>
      <c r="AL368" s="140"/>
    </row>
    <row r="369" ht="15.75" customHeight="1">
      <c r="A369" s="125">
        <v>368.0</v>
      </c>
      <c r="B369" s="138">
        <f t="shared" si="38"/>
        <v>10368</v>
      </c>
      <c r="C369" s="124" t="s">
        <v>1840</v>
      </c>
      <c r="D369" s="122" t="s">
        <v>2462</v>
      </c>
      <c r="E369" s="125" t="s">
        <v>20</v>
      </c>
      <c r="F369" s="153" t="s">
        <v>2469</v>
      </c>
      <c r="G369" s="153" t="s">
        <v>678</v>
      </c>
      <c r="H369" s="140" t="s">
        <v>1844</v>
      </c>
      <c r="I369" s="128" t="s">
        <v>1843</v>
      </c>
      <c r="J369" s="186" t="s">
        <v>1844</v>
      </c>
      <c r="K369" s="136" t="s">
        <v>1844</v>
      </c>
      <c r="L369" s="136" t="s">
        <v>1844</v>
      </c>
      <c r="M369" s="136" t="s">
        <v>1845</v>
      </c>
      <c r="N369" s="144" t="s">
        <v>1844</v>
      </c>
      <c r="O369" s="140" t="s">
        <v>1844</v>
      </c>
      <c r="P369" s="140" t="s">
        <v>1895</v>
      </c>
      <c r="Q369" s="140"/>
      <c r="R369" s="144"/>
      <c r="S369" s="140" t="s">
        <v>1845</v>
      </c>
      <c r="T369" s="140"/>
      <c r="U369" s="140"/>
      <c r="V369" s="140"/>
      <c r="W369" s="144"/>
      <c r="X369" s="136"/>
      <c r="Y369" s="128"/>
      <c r="Z369" s="140"/>
      <c r="AA369" s="140"/>
      <c r="AB369" s="140"/>
      <c r="AC369" s="140"/>
      <c r="AD369" s="140"/>
      <c r="AE369" s="140"/>
      <c r="AF369" s="140"/>
      <c r="AG369" s="140"/>
      <c r="AH369" s="140"/>
      <c r="AI369" s="128"/>
      <c r="AJ369" s="137"/>
      <c r="AK369" s="140"/>
      <c r="AL369" s="140"/>
    </row>
    <row r="370" ht="15.75" customHeight="1">
      <c r="A370" s="125">
        <v>369.0</v>
      </c>
      <c r="B370" s="123" t="s">
        <v>1742</v>
      </c>
      <c r="C370" s="124" t="s">
        <v>1840</v>
      </c>
      <c r="D370" s="122" t="s">
        <v>1841</v>
      </c>
      <c r="E370" s="125" t="s">
        <v>7</v>
      </c>
      <c r="F370" s="127" t="s">
        <v>2481</v>
      </c>
      <c r="G370" s="127" t="s">
        <v>2482</v>
      </c>
      <c r="H370" s="140" t="s">
        <v>1844</v>
      </c>
      <c r="I370" s="128" t="s">
        <v>1843</v>
      </c>
      <c r="J370" s="186" t="s">
        <v>1844</v>
      </c>
      <c r="K370" s="136" t="s">
        <v>1844</v>
      </c>
      <c r="L370" s="136" t="s">
        <v>1844</v>
      </c>
      <c r="M370" s="136" t="s">
        <v>1844</v>
      </c>
      <c r="N370" s="144" t="s">
        <v>1844</v>
      </c>
      <c r="O370" s="140" t="s">
        <v>1844</v>
      </c>
      <c r="P370" s="140" t="s">
        <v>1844</v>
      </c>
      <c r="Q370" s="140" t="s">
        <v>1845</v>
      </c>
      <c r="R370" s="144"/>
      <c r="S370" s="140"/>
      <c r="T370" s="140"/>
      <c r="U370" s="140"/>
      <c r="V370" s="140"/>
      <c r="W370" s="144"/>
      <c r="X370" s="136"/>
      <c r="Y370" s="128"/>
      <c r="Z370" s="140" t="s">
        <v>1845</v>
      </c>
      <c r="AA370" s="140"/>
      <c r="AB370" s="140"/>
      <c r="AC370" s="140"/>
      <c r="AD370" s="140"/>
      <c r="AE370" s="140"/>
      <c r="AF370" s="140"/>
      <c r="AG370" s="140"/>
      <c r="AH370" s="140"/>
      <c r="AI370" s="128"/>
      <c r="AJ370" s="137"/>
      <c r="AK370" s="140"/>
      <c r="AL370" s="140"/>
    </row>
    <row r="371" ht="15.75" customHeight="1">
      <c r="A371" s="125">
        <v>370.0</v>
      </c>
      <c r="B371" s="138">
        <f t="shared" ref="B371:B375" si="39">SUM(A371+10000)</f>
        <v>10370</v>
      </c>
      <c r="C371" s="124" t="s">
        <v>1840</v>
      </c>
      <c r="D371" s="122" t="s">
        <v>1841</v>
      </c>
      <c r="E371" s="125" t="s">
        <v>7</v>
      </c>
      <c r="F371" s="127" t="s">
        <v>2483</v>
      </c>
      <c r="G371" s="127" t="s">
        <v>369</v>
      </c>
      <c r="H371" s="140" t="s">
        <v>1844</v>
      </c>
      <c r="I371" s="128" t="s">
        <v>1843</v>
      </c>
      <c r="J371" s="186" t="s">
        <v>1844</v>
      </c>
      <c r="K371" s="136" t="s">
        <v>1844</v>
      </c>
      <c r="L371" s="136" t="s">
        <v>1844</v>
      </c>
      <c r="M371" s="136" t="s">
        <v>1844</v>
      </c>
      <c r="N371" s="144" t="s">
        <v>1844</v>
      </c>
      <c r="O371" s="140" t="s">
        <v>1844</v>
      </c>
      <c r="P371" s="140" t="s">
        <v>1844</v>
      </c>
      <c r="Q371" s="140"/>
      <c r="R371" s="144"/>
      <c r="S371" s="140" t="s">
        <v>1845</v>
      </c>
      <c r="T371" s="140"/>
      <c r="U371" s="140"/>
      <c r="V371" s="140"/>
      <c r="W371" s="144" t="s">
        <v>1845</v>
      </c>
      <c r="X371" s="136"/>
      <c r="Y371" s="128"/>
      <c r="Z371" s="140"/>
      <c r="AA371" s="140"/>
      <c r="AB371" s="140"/>
      <c r="AC371" s="140"/>
      <c r="AD371" s="140"/>
      <c r="AE371" s="140"/>
      <c r="AF371" s="140"/>
      <c r="AG371" s="140"/>
      <c r="AH371" s="140"/>
      <c r="AI371" s="128"/>
      <c r="AJ371" s="137"/>
      <c r="AK371" s="140"/>
      <c r="AL371" s="140"/>
    </row>
    <row r="372" ht="15.75" customHeight="1">
      <c r="A372" s="125">
        <v>371.0</v>
      </c>
      <c r="B372" s="138">
        <f t="shared" si="39"/>
        <v>10371</v>
      </c>
      <c r="C372" s="124" t="s">
        <v>1840</v>
      </c>
      <c r="D372" s="122" t="s">
        <v>2099</v>
      </c>
      <c r="E372" s="125" t="s">
        <v>27</v>
      </c>
      <c r="F372" s="198" t="s">
        <v>2484</v>
      </c>
      <c r="G372" s="127" t="s">
        <v>683</v>
      </c>
      <c r="H372" s="140" t="s">
        <v>1844</v>
      </c>
      <c r="I372" s="128" t="s">
        <v>1843</v>
      </c>
      <c r="J372" s="186" t="s">
        <v>1844</v>
      </c>
      <c r="K372" s="136" t="s">
        <v>1844</v>
      </c>
      <c r="L372" s="136" t="s">
        <v>1844</v>
      </c>
      <c r="M372" s="136" t="s">
        <v>1845</v>
      </c>
      <c r="N372" s="144" t="s">
        <v>1844</v>
      </c>
      <c r="O372" s="140" t="s">
        <v>1844</v>
      </c>
      <c r="P372" s="140" t="s">
        <v>1862</v>
      </c>
      <c r="Q372" s="140"/>
      <c r="R372" s="144"/>
      <c r="S372" s="140"/>
      <c r="T372" s="140" t="s">
        <v>1845</v>
      </c>
      <c r="U372" s="140"/>
      <c r="V372" s="140"/>
      <c r="W372" s="144" t="s">
        <v>1845</v>
      </c>
      <c r="X372" s="136"/>
      <c r="Y372" s="128"/>
      <c r="Z372" s="140"/>
      <c r="AA372" s="140"/>
      <c r="AB372" s="140"/>
      <c r="AC372" s="140"/>
      <c r="AD372" s="140"/>
      <c r="AE372" s="140"/>
      <c r="AF372" s="140"/>
      <c r="AG372" s="140"/>
      <c r="AH372" s="140"/>
      <c r="AI372" s="128"/>
      <c r="AJ372" s="137"/>
      <c r="AK372" s="140"/>
      <c r="AL372" s="140"/>
    </row>
    <row r="373" ht="15.75" customHeight="1">
      <c r="A373" s="125">
        <v>372.0</v>
      </c>
      <c r="B373" s="138">
        <f t="shared" si="39"/>
        <v>10372</v>
      </c>
      <c r="C373" s="124" t="s">
        <v>1840</v>
      </c>
      <c r="D373" s="122" t="s">
        <v>2099</v>
      </c>
      <c r="E373" s="125" t="s">
        <v>7</v>
      </c>
      <c r="F373" s="127" t="s">
        <v>2346</v>
      </c>
      <c r="G373" s="153" t="s">
        <v>2485</v>
      </c>
      <c r="H373" s="140" t="s">
        <v>1844</v>
      </c>
      <c r="I373" s="128" t="s">
        <v>1906</v>
      </c>
      <c r="J373" s="186" t="s">
        <v>1844</v>
      </c>
      <c r="K373" s="136" t="s">
        <v>1844</v>
      </c>
      <c r="L373" s="136" t="s">
        <v>1844</v>
      </c>
      <c r="M373" s="136" t="s">
        <v>1844</v>
      </c>
      <c r="N373" s="144" t="s">
        <v>1844</v>
      </c>
      <c r="O373" s="140" t="s">
        <v>1844</v>
      </c>
      <c r="P373" s="140" t="s">
        <v>1844</v>
      </c>
      <c r="Q373" s="140"/>
      <c r="R373" s="144"/>
      <c r="S373" s="140"/>
      <c r="T373" s="140"/>
      <c r="U373" s="140"/>
      <c r="V373" s="140" t="s">
        <v>1845</v>
      </c>
      <c r="W373" s="144"/>
      <c r="X373" s="136" t="s">
        <v>1845</v>
      </c>
      <c r="Y373" s="128"/>
      <c r="Z373" s="140"/>
      <c r="AA373" s="140"/>
      <c r="AB373" s="140"/>
      <c r="AC373" s="140"/>
      <c r="AD373" s="140"/>
      <c r="AE373" s="140"/>
      <c r="AF373" s="140"/>
      <c r="AG373" s="140"/>
      <c r="AH373" s="140"/>
      <c r="AI373" s="128"/>
      <c r="AJ373" s="137"/>
      <c r="AK373" s="140"/>
      <c r="AL373" s="140"/>
    </row>
    <row r="374" ht="15.75" customHeight="1">
      <c r="A374" s="160">
        <v>373.0</v>
      </c>
      <c r="B374" s="158">
        <f t="shared" si="39"/>
        <v>10373</v>
      </c>
      <c r="C374" s="159" t="s">
        <v>1873</v>
      </c>
      <c r="D374" s="157" t="s">
        <v>2379</v>
      </c>
      <c r="E374" s="160" t="s">
        <v>34</v>
      </c>
      <c r="F374" s="162" t="s">
        <v>2486</v>
      </c>
      <c r="G374" s="162" t="s">
        <v>687</v>
      </c>
      <c r="H374" s="167" t="s">
        <v>1844</v>
      </c>
      <c r="I374" s="164" t="s">
        <v>1843</v>
      </c>
      <c r="J374" s="184" t="s">
        <v>1876</v>
      </c>
      <c r="K374" s="168" t="s">
        <v>1877</v>
      </c>
      <c r="L374" s="168" t="s">
        <v>1878</v>
      </c>
      <c r="M374" s="168" t="s">
        <v>1845</v>
      </c>
      <c r="N374" s="166">
        <v>1.0</v>
      </c>
      <c r="O374" s="167" t="s">
        <v>1879</v>
      </c>
      <c r="P374" s="167" t="s">
        <v>1862</v>
      </c>
      <c r="Q374" s="167"/>
      <c r="R374" s="166"/>
      <c r="S374" s="167"/>
      <c r="T374" s="167"/>
      <c r="U374" s="167"/>
      <c r="V374" s="167"/>
      <c r="W374" s="166"/>
      <c r="X374" s="168" t="s">
        <v>1845</v>
      </c>
      <c r="Y374" s="164"/>
      <c r="Z374" s="167"/>
      <c r="AA374" s="167"/>
      <c r="AB374" s="167"/>
      <c r="AC374" s="167"/>
      <c r="AD374" s="167"/>
      <c r="AE374" s="167"/>
      <c r="AF374" s="167"/>
      <c r="AG374" s="164"/>
      <c r="AH374" s="167"/>
      <c r="AI374" s="164"/>
      <c r="AJ374" s="169"/>
      <c r="AK374" s="167"/>
      <c r="AL374" s="167"/>
    </row>
    <row r="375" ht="15.75" customHeight="1">
      <c r="A375" s="125">
        <v>374.0</v>
      </c>
      <c r="B375" s="138">
        <f t="shared" si="39"/>
        <v>10374</v>
      </c>
      <c r="C375" s="124" t="s">
        <v>1840</v>
      </c>
      <c r="D375" s="122" t="s">
        <v>1841</v>
      </c>
      <c r="E375" s="125" t="s">
        <v>20</v>
      </c>
      <c r="F375" s="127" t="s">
        <v>2487</v>
      </c>
      <c r="G375" s="127" t="s">
        <v>688</v>
      </c>
      <c r="H375" s="140" t="s">
        <v>1844</v>
      </c>
      <c r="I375" s="128" t="s">
        <v>1843</v>
      </c>
      <c r="J375" s="186" t="s">
        <v>1844</v>
      </c>
      <c r="K375" s="136" t="s">
        <v>1844</v>
      </c>
      <c r="L375" s="136" t="s">
        <v>1961</v>
      </c>
      <c r="M375" s="136" t="s">
        <v>1845</v>
      </c>
      <c r="N375" s="144" t="s">
        <v>1844</v>
      </c>
      <c r="O375" s="140" t="s">
        <v>1844</v>
      </c>
      <c r="P375" s="140" t="s">
        <v>1895</v>
      </c>
      <c r="Q375" s="140"/>
      <c r="R375" s="144"/>
      <c r="S375" s="140"/>
      <c r="T375" s="140"/>
      <c r="U375" s="140"/>
      <c r="V375" s="140"/>
      <c r="W375" s="144"/>
      <c r="X375" s="136"/>
      <c r="Y375" s="128"/>
      <c r="Z375" s="140"/>
      <c r="AA375" s="140"/>
      <c r="AB375" s="140"/>
      <c r="AC375" s="140"/>
      <c r="AD375" s="140"/>
      <c r="AE375" s="140"/>
      <c r="AF375" s="140"/>
      <c r="AG375" s="140"/>
      <c r="AH375" s="140"/>
      <c r="AI375" s="128"/>
      <c r="AJ375" s="137"/>
      <c r="AK375" s="140"/>
      <c r="AL375" s="140"/>
    </row>
    <row r="376" ht="15.75" customHeight="1">
      <c r="A376" s="125">
        <v>375.0</v>
      </c>
      <c r="B376" s="123" t="s">
        <v>1742</v>
      </c>
      <c r="C376" s="124" t="s">
        <v>1840</v>
      </c>
      <c r="D376" s="122" t="s">
        <v>1841</v>
      </c>
      <c r="E376" s="125" t="s">
        <v>20</v>
      </c>
      <c r="F376" s="127" t="s">
        <v>2488</v>
      </c>
      <c r="G376" s="198" t="s">
        <v>2489</v>
      </c>
      <c r="H376" s="140" t="s">
        <v>1844</v>
      </c>
      <c r="I376" s="128" t="s">
        <v>1843</v>
      </c>
      <c r="J376" s="186" t="s">
        <v>1844</v>
      </c>
      <c r="K376" s="136" t="s">
        <v>1844</v>
      </c>
      <c r="L376" s="136" t="s">
        <v>1961</v>
      </c>
      <c r="M376" s="136" t="s">
        <v>1845</v>
      </c>
      <c r="N376" s="144" t="s">
        <v>1844</v>
      </c>
      <c r="O376" s="140" t="s">
        <v>1844</v>
      </c>
      <c r="P376" s="140" t="s">
        <v>1862</v>
      </c>
      <c r="Q376" s="140" t="s">
        <v>1845</v>
      </c>
      <c r="R376" s="144"/>
      <c r="S376" s="140"/>
      <c r="T376" s="140"/>
      <c r="U376" s="140"/>
      <c r="V376" s="140"/>
      <c r="W376" s="144"/>
      <c r="X376" s="136"/>
      <c r="Y376" s="128"/>
      <c r="Z376" s="140"/>
      <c r="AA376" s="140"/>
      <c r="AB376" s="140"/>
      <c r="AC376" s="140"/>
      <c r="AD376" s="140"/>
      <c r="AE376" s="140"/>
      <c r="AF376" s="140"/>
      <c r="AG376" s="140"/>
      <c r="AH376" s="140"/>
      <c r="AI376" s="128"/>
      <c r="AJ376" s="137"/>
      <c r="AK376" s="140"/>
      <c r="AL376" s="140"/>
    </row>
    <row r="377" ht="15.75" customHeight="1">
      <c r="A377" s="125">
        <v>376.0</v>
      </c>
      <c r="B377" s="138">
        <f t="shared" ref="B377:B389" si="40">SUM(A377+10000)</f>
        <v>10376</v>
      </c>
      <c r="C377" s="124" t="s">
        <v>1840</v>
      </c>
      <c r="D377" s="122" t="s">
        <v>2490</v>
      </c>
      <c r="E377" s="125" t="s">
        <v>20</v>
      </c>
      <c r="F377" s="221" t="s">
        <v>2491</v>
      </c>
      <c r="G377" s="127" t="s">
        <v>692</v>
      </c>
      <c r="H377" s="140" t="s">
        <v>1844</v>
      </c>
      <c r="I377" s="128" t="s">
        <v>1843</v>
      </c>
      <c r="J377" s="186" t="s">
        <v>1844</v>
      </c>
      <c r="K377" s="170" t="s">
        <v>1844</v>
      </c>
      <c r="L377" s="136" t="s">
        <v>1844</v>
      </c>
      <c r="M377" s="136" t="s">
        <v>1845</v>
      </c>
      <c r="N377" s="144" t="s">
        <v>1844</v>
      </c>
      <c r="O377" s="140" t="s">
        <v>1844</v>
      </c>
      <c r="P377" s="140" t="s">
        <v>1862</v>
      </c>
      <c r="Q377" s="140"/>
      <c r="R377" s="140" t="s">
        <v>1845</v>
      </c>
      <c r="S377" s="140"/>
      <c r="T377" s="140"/>
      <c r="U377" s="140"/>
      <c r="V377" s="140"/>
      <c r="W377" s="144"/>
      <c r="X377" s="136"/>
      <c r="Y377" s="136"/>
      <c r="Z377" s="140"/>
      <c r="AA377" s="140"/>
      <c r="AB377" s="140"/>
      <c r="AC377" s="140"/>
      <c r="AD377" s="140"/>
      <c r="AE377" s="140"/>
      <c r="AF377" s="140"/>
      <c r="AG377" s="140"/>
      <c r="AH377" s="140"/>
      <c r="AI377" s="128"/>
      <c r="AJ377" s="137"/>
      <c r="AK377" s="140"/>
      <c r="AL377" s="140"/>
    </row>
    <row r="378" ht="15.75" customHeight="1">
      <c r="A378" s="125">
        <v>377.0</v>
      </c>
      <c r="B378" s="138">
        <f t="shared" si="40"/>
        <v>10377</v>
      </c>
      <c r="C378" s="124" t="s">
        <v>1840</v>
      </c>
      <c r="D378" s="122" t="s">
        <v>2490</v>
      </c>
      <c r="E378" s="125" t="s">
        <v>34</v>
      </c>
      <c r="F378" s="127" t="s">
        <v>2492</v>
      </c>
      <c r="G378" s="127" t="s">
        <v>694</v>
      </c>
      <c r="H378" s="140" t="s">
        <v>1844</v>
      </c>
      <c r="I378" s="128" t="s">
        <v>1843</v>
      </c>
      <c r="J378" s="186" t="s">
        <v>1902</v>
      </c>
      <c r="K378" s="136" t="s">
        <v>1877</v>
      </c>
      <c r="L378" s="136" t="s">
        <v>1878</v>
      </c>
      <c r="M378" s="136" t="s">
        <v>1845</v>
      </c>
      <c r="N378" s="144">
        <v>1.0</v>
      </c>
      <c r="O378" s="140" t="s">
        <v>1879</v>
      </c>
      <c r="P378" s="140" t="s">
        <v>1895</v>
      </c>
      <c r="Q378" s="140"/>
      <c r="R378" s="144" t="s">
        <v>1845</v>
      </c>
      <c r="S378" s="140"/>
      <c r="T378" s="140"/>
      <c r="U378" s="140"/>
      <c r="V378" s="140"/>
      <c r="W378" s="144"/>
      <c r="X378" s="136"/>
      <c r="Y378" s="128"/>
      <c r="Z378" s="140"/>
      <c r="AA378" s="140"/>
      <c r="AB378" s="140"/>
      <c r="AC378" s="140"/>
      <c r="AD378" s="140"/>
      <c r="AE378" s="140"/>
      <c r="AF378" s="140"/>
      <c r="AG378" s="140"/>
      <c r="AH378" s="140"/>
      <c r="AI378" s="128"/>
      <c r="AJ378" s="137"/>
      <c r="AK378" s="140"/>
      <c r="AL378" s="140"/>
    </row>
    <row r="379" ht="15.75" customHeight="1">
      <c r="A379" s="125">
        <v>378.0</v>
      </c>
      <c r="B379" s="138">
        <f t="shared" si="40"/>
        <v>10378</v>
      </c>
      <c r="C379" s="124" t="s">
        <v>1840</v>
      </c>
      <c r="D379" s="122" t="s">
        <v>2490</v>
      </c>
      <c r="E379" s="125" t="s">
        <v>20</v>
      </c>
      <c r="F379" s="127" t="s">
        <v>2493</v>
      </c>
      <c r="G379" s="127" t="s">
        <v>696</v>
      </c>
      <c r="H379" s="140" t="s">
        <v>1844</v>
      </c>
      <c r="I379" s="128" t="s">
        <v>1843</v>
      </c>
      <c r="J379" s="186" t="s">
        <v>1844</v>
      </c>
      <c r="K379" s="136" t="s">
        <v>1844</v>
      </c>
      <c r="L379" s="136" t="s">
        <v>1844</v>
      </c>
      <c r="M379" s="136" t="s">
        <v>1845</v>
      </c>
      <c r="N379" s="144" t="s">
        <v>1844</v>
      </c>
      <c r="O379" s="140" t="s">
        <v>1844</v>
      </c>
      <c r="P379" s="140" t="s">
        <v>1862</v>
      </c>
      <c r="Q379" s="140"/>
      <c r="R379" s="144" t="s">
        <v>1845</v>
      </c>
      <c r="S379" s="140"/>
      <c r="T379" s="140" t="s">
        <v>1845</v>
      </c>
      <c r="U379" s="140"/>
      <c r="V379" s="140"/>
      <c r="W379" s="144"/>
      <c r="X379" s="136"/>
      <c r="Y379" s="128"/>
      <c r="Z379" s="140"/>
      <c r="AA379" s="140"/>
      <c r="AB379" s="140"/>
      <c r="AC379" s="140"/>
      <c r="AD379" s="140"/>
      <c r="AE379" s="140"/>
      <c r="AF379" s="140"/>
      <c r="AG379" s="140"/>
      <c r="AH379" s="140"/>
      <c r="AI379" s="128"/>
      <c r="AJ379" s="137"/>
      <c r="AK379" s="140"/>
      <c r="AL379" s="140"/>
    </row>
    <row r="380" ht="15.75" customHeight="1">
      <c r="A380" s="151">
        <v>379.0</v>
      </c>
      <c r="B380" s="138">
        <f t="shared" si="40"/>
        <v>10379</v>
      </c>
      <c r="C380" s="124" t="s">
        <v>1840</v>
      </c>
      <c r="D380" s="122" t="s">
        <v>2490</v>
      </c>
      <c r="E380" s="125" t="s">
        <v>34</v>
      </c>
      <c r="F380" s="127" t="s">
        <v>2494</v>
      </c>
      <c r="G380" s="127" t="s">
        <v>698</v>
      </c>
      <c r="H380" s="140" t="s">
        <v>1844</v>
      </c>
      <c r="I380" s="140" t="s">
        <v>1843</v>
      </c>
      <c r="J380" s="186" t="s">
        <v>1876</v>
      </c>
      <c r="K380" s="136" t="s">
        <v>2348</v>
      </c>
      <c r="L380" s="136" t="s">
        <v>1844</v>
      </c>
      <c r="M380" s="136" t="s">
        <v>1845</v>
      </c>
      <c r="N380" s="144" t="s">
        <v>1844</v>
      </c>
      <c r="O380" s="140" t="s">
        <v>1879</v>
      </c>
      <c r="P380" s="140" t="s">
        <v>1895</v>
      </c>
      <c r="Q380" s="140"/>
      <c r="R380" s="144" t="s">
        <v>1845</v>
      </c>
      <c r="S380" s="140"/>
      <c r="T380" s="140" t="s">
        <v>1845</v>
      </c>
      <c r="U380" s="140"/>
      <c r="V380" s="140"/>
      <c r="W380" s="144"/>
      <c r="X380" s="136"/>
      <c r="Y380" s="128"/>
      <c r="Z380" s="140"/>
      <c r="AA380" s="140"/>
      <c r="AB380" s="140"/>
      <c r="AC380" s="140"/>
      <c r="AD380" s="140"/>
      <c r="AE380" s="140"/>
      <c r="AF380" s="140"/>
      <c r="AG380" s="140"/>
      <c r="AH380" s="140"/>
      <c r="AI380" s="128"/>
      <c r="AJ380" s="137"/>
      <c r="AK380" s="140"/>
      <c r="AL380" s="140"/>
    </row>
    <row r="381" ht="15.75" customHeight="1">
      <c r="A381" s="125">
        <v>380.0</v>
      </c>
      <c r="B381" s="138">
        <f t="shared" si="40"/>
        <v>10380</v>
      </c>
      <c r="C381" s="124" t="s">
        <v>1840</v>
      </c>
      <c r="D381" s="122" t="s">
        <v>2490</v>
      </c>
      <c r="E381" s="125" t="s">
        <v>7</v>
      </c>
      <c r="F381" s="127" t="s">
        <v>2495</v>
      </c>
      <c r="G381" s="127" t="s">
        <v>700</v>
      </c>
      <c r="H381" s="140" t="s">
        <v>1844</v>
      </c>
      <c r="I381" s="128" t="s">
        <v>1843</v>
      </c>
      <c r="J381" s="186" t="s">
        <v>1844</v>
      </c>
      <c r="K381" s="136" t="s">
        <v>1844</v>
      </c>
      <c r="L381" s="136" t="s">
        <v>1844</v>
      </c>
      <c r="M381" s="136" t="s">
        <v>1844</v>
      </c>
      <c r="N381" s="144" t="s">
        <v>1844</v>
      </c>
      <c r="O381" s="140" t="s">
        <v>1844</v>
      </c>
      <c r="P381" s="140" t="s">
        <v>1844</v>
      </c>
      <c r="Q381" s="140"/>
      <c r="R381" s="144" t="s">
        <v>1845</v>
      </c>
      <c r="S381" s="140" t="s">
        <v>1845</v>
      </c>
      <c r="T381" s="140"/>
      <c r="U381" s="140"/>
      <c r="V381" s="140"/>
      <c r="W381" s="144"/>
      <c r="X381" s="136"/>
      <c r="Y381" s="128"/>
      <c r="Z381" s="140"/>
      <c r="AA381" s="140"/>
      <c r="AB381" s="140"/>
      <c r="AC381" s="140"/>
      <c r="AD381" s="140"/>
      <c r="AE381" s="140"/>
      <c r="AF381" s="140"/>
      <c r="AG381" s="140"/>
      <c r="AH381" s="140"/>
      <c r="AI381" s="128"/>
      <c r="AJ381" s="137"/>
      <c r="AK381" s="140"/>
      <c r="AL381" s="140"/>
    </row>
    <row r="382" ht="15.75" customHeight="1">
      <c r="A382" s="125">
        <v>381.0</v>
      </c>
      <c r="B382" s="138">
        <f t="shared" si="40"/>
        <v>10381</v>
      </c>
      <c r="C382" s="124" t="s">
        <v>1840</v>
      </c>
      <c r="D382" s="122" t="s">
        <v>2490</v>
      </c>
      <c r="E382" s="125" t="s">
        <v>34</v>
      </c>
      <c r="F382" s="127" t="s">
        <v>2496</v>
      </c>
      <c r="G382" s="127" t="s">
        <v>702</v>
      </c>
      <c r="H382" s="140" t="s">
        <v>1844</v>
      </c>
      <c r="I382" s="128" t="s">
        <v>1843</v>
      </c>
      <c r="J382" s="186" t="s">
        <v>1876</v>
      </c>
      <c r="K382" s="136" t="s">
        <v>2348</v>
      </c>
      <c r="L382" s="136" t="s">
        <v>1990</v>
      </c>
      <c r="M382" s="136" t="s">
        <v>1845</v>
      </c>
      <c r="N382" s="144" t="s">
        <v>1844</v>
      </c>
      <c r="O382" s="140" t="s">
        <v>1879</v>
      </c>
      <c r="P382" s="140" t="s">
        <v>1862</v>
      </c>
      <c r="Q382" s="140"/>
      <c r="R382" s="144" t="s">
        <v>1845</v>
      </c>
      <c r="S382" s="140"/>
      <c r="T382" s="140"/>
      <c r="U382" s="140"/>
      <c r="V382" s="140"/>
      <c r="W382" s="144"/>
      <c r="X382" s="136"/>
      <c r="Y382" s="128"/>
      <c r="Z382" s="140"/>
      <c r="AA382" s="140"/>
      <c r="AB382" s="140"/>
      <c r="AC382" s="140"/>
      <c r="AD382" s="140"/>
      <c r="AE382" s="140"/>
      <c r="AF382" s="140"/>
      <c r="AG382" s="140"/>
      <c r="AH382" s="140"/>
      <c r="AI382" s="128"/>
      <c r="AJ382" s="137"/>
      <c r="AK382" s="140"/>
      <c r="AL382" s="140"/>
    </row>
    <row r="383" ht="15.75" customHeight="1">
      <c r="A383" s="125">
        <v>382.0</v>
      </c>
      <c r="B383" s="138">
        <f t="shared" si="40"/>
        <v>10382</v>
      </c>
      <c r="C383" s="124" t="s">
        <v>1840</v>
      </c>
      <c r="D383" s="122" t="s">
        <v>2490</v>
      </c>
      <c r="E383" s="125" t="s">
        <v>7</v>
      </c>
      <c r="F383" s="127" t="s">
        <v>2497</v>
      </c>
      <c r="G383" s="127" t="s">
        <v>704</v>
      </c>
      <c r="H383" s="140" t="s">
        <v>1844</v>
      </c>
      <c r="I383" s="128" t="s">
        <v>1843</v>
      </c>
      <c r="J383" s="186" t="s">
        <v>1844</v>
      </c>
      <c r="K383" s="136" t="s">
        <v>1844</v>
      </c>
      <c r="L383" s="136" t="s">
        <v>1844</v>
      </c>
      <c r="M383" s="136" t="s">
        <v>1844</v>
      </c>
      <c r="N383" s="144" t="s">
        <v>1844</v>
      </c>
      <c r="O383" s="140" t="s">
        <v>1844</v>
      </c>
      <c r="P383" s="140" t="s">
        <v>1844</v>
      </c>
      <c r="Q383" s="140"/>
      <c r="R383" s="144" t="s">
        <v>1845</v>
      </c>
      <c r="S383" s="140" t="s">
        <v>1845</v>
      </c>
      <c r="T383" s="140"/>
      <c r="U383" s="140"/>
      <c r="V383" s="140"/>
      <c r="W383" s="144"/>
      <c r="X383" s="136"/>
      <c r="Y383" s="128"/>
      <c r="Z383" s="140"/>
      <c r="AA383" s="140"/>
      <c r="AB383" s="140"/>
      <c r="AC383" s="140"/>
      <c r="AD383" s="140"/>
      <c r="AE383" s="140"/>
      <c r="AF383" s="140"/>
      <c r="AG383" s="140"/>
      <c r="AH383" s="140"/>
      <c r="AI383" s="128"/>
      <c r="AJ383" s="137"/>
      <c r="AK383" s="140"/>
      <c r="AL383" s="140"/>
    </row>
    <row r="384" ht="15.75" customHeight="1">
      <c r="A384" s="125">
        <v>383.0</v>
      </c>
      <c r="B384" s="138">
        <f t="shared" si="40"/>
        <v>10383</v>
      </c>
      <c r="C384" s="124" t="s">
        <v>1840</v>
      </c>
      <c r="D384" s="122" t="s">
        <v>2490</v>
      </c>
      <c r="E384" s="125" t="s">
        <v>7</v>
      </c>
      <c r="F384" s="127" t="s">
        <v>2498</v>
      </c>
      <c r="G384" s="127" t="s">
        <v>706</v>
      </c>
      <c r="H384" s="140" t="s">
        <v>1844</v>
      </c>
      <c r="I384" s="128" t="s">
        <v>1843</v>
      </c>
      <c r="J384" s="186" t="s">
        <v>1844</v>
      </c>
      <c r="K384" s="136" t="s">
        <v>1844</v>
      </c>
      <c r="L384" s="136" t="s">
        <v>1844</v>
      </c>
      <c r="M384" s="136" t="s">
        <v>1844</v>
      </c>
      <c r="N384" s="144" t="s">
        <v>1844</v>
      </c>
      <c r="O384" s="140" t="s">
        <v>1844</v>
      </c>
      <c r="P384" s="140" t="s">
        <v>1844</v>
      </c>
      <c r="Q384" s="140"/>
      <c r="R384" s="144" t="s">
        <v>1845</v>
      </c>
      <c r="S384" s="140" t="s">
        <v>1845</v>
      </c>
      <c r="T384" s="140" t="s">
        <v>1845</v>
      </c>
      <c r="U384" s="140"/>
      <c r="V384" s="140"/>
      <c r="W384" s="144"/>
      <c r="X384" s="136"/>
      <c r="Y384" s="128"/>
      <c r="Z384" s="140"/>
      <c r="AA384" s="140"/>
      <c r="AB384" s="140"/>
      <c r="AC384" s="140"/>
      <c r="AD384" s="140"/>
      <c r="AE384" s="140"/>
      <c r="AF384" s="140"/>
      <c r="AG384" s="140"/>
      <c r="AH384" s="140"/>
      <c r="AI384" s="128"/>
      <c r="AJ384" s="137"/>
      <c r="AK384" s="140"/>
      <c r="AL384" s="140"/>
    </row>
    <row r="385" ht="15.75" customHeight="1">
      <c r="A385" s="125">
        <v>384.0</v>
      </c>
      <c r="B385" s="138">
        <f t="shared" si="40"/>
        <v>10384</v>
      </c>
      <c r="C385" s="124" t="s">
        <v>1840</v>
      </c>
      <c r="D385" s="122" t="s">
        <v>2490</v>
      </c>
      <c r="E385" s="125" t="s">
        <v>34</v>
      </c>
      <c r="F385" s="127" t="s">
        <v>2499</v>
      </c>
      <c r="G385" s="127" t="s">
        <v>708</v>
      </c>
      <c r="H385" s="140" t="s">
        <v>1844</v>
      </c>
      <c r="I385" s="128" t="s">
        <v>1843</v>
      </c>
      <c r="J385" s="186" t="s">
        <v>1876</v>
      </c>
      <c r="K385" s="136" t="s">
        <v>2348</v>
      </c>
      <c r="L385" s="136" t="s">
        <v>1878</v>
      </c>
      <c r="M385" s="136" t="s">
        <v>1845</v>
      </c>
      <c r="N385" s="144" t="s">
        <v>1844</v>
      </c>
      <c r="O385" s="140" t="s">
        <v>1879</v>
      </c>
      <c r="P385" s="140" t="s">
        <v>1862</v>
      </c>
      <c r="Q385" s="140"/>
      <c r="R385" s="144" t="s">
        <v>1845</v>
      </c>
      <c r="S385" s="140"/>
      <c r="T385" s="140"/>
      <c r="U385" s="140"/>
      <c r="V385" s="140"/>
      <c r="W385" s="144"/>
      <c r="X385" s="136"/>
      <c r="Y385" s="128"/>
      <c r="Z385" s="140"/>
      <c r="AA385" s="140"/>
      <c r="AB385" s="140"/>
      <c r="AC385" s="140"/>
      <c r="AD385" s="140"/>
      <c r="AE385" s="140"/>
      <c r="AF385" s="140"/>
      <c r="AG385" s="128"/>
      <c r="AH385" s="140"/>
      <c r="AI385" s="128"/>
      <c r="AJ385" s="137"/>
      <c r="AK385" s="140"/>
      <c r="AL385" s="140"/>
    </row>
    <row r="386" ht="15.75" customHeight="1">
      <c r="A386" s="151">
        <v>385.0</v>
      </c>
      <c r="B386" s="138">
        <f t="shared" si="40"/>
        <v>10385</v>
      </c>
      <c r="C386" s="179" t="s">
        <v>1840</v>
      </c>
      <c r="D386" s="150" t="s">
        <v>2125</v>
      </c>
      <c r="E386" s="151" t="s">
        <v>34</v>
      </c>
      <c r="F386" s="153" t="s">
        <v>2500</v>
      </c>
      <c r="G386" s="153" t="s">
        <v>710</v>
      </c>
      <c r="H386" s="140" t="s">
        <v>1844</v>
      </c>
      <c r="I386" s="129" t="s">
        <v>1843</v>
      </c>
      <c r="J386" s="143" t="s">
        <v>1876</v>
      </c>
      <c r="K386" s="132" t="s">
        <v>2348</v>
      </c>
      <c r="L386" s="132" t="s">
        <v>1878</v>
      </c>
      <c r="M386" s="132" t="s">
        <v>1845</v>
      </c>
      <c r="N386" s="131" t="s">
        <v>1844</v>
      </c>
      <c r="O386" s="171" t="s">
        <v>1879</v>
      </c>
      <c r="P386" s="171" t="s">
        <v>1862</v>
      </c>
      <c r="Q386" s="171"/>
      <c r="R386" s="131"/>
      <c r="S386" s="171" t="s">
        <v>1845</v>
      </c>
      <c r="T386" s="171"/>
      <c r="U386" s="171"/>
      <c r="V386" s="171"/>
      <c r="W386" s="131"/>
      <c r="X386" s="132"/>
      <c r="Y386" s="129"/>
      <c r="Z386" s="171"/>
      <c r="AA386" s="171"/>
      <c r="AB386" s="171"/>
      <c r="AC386" s="171"/>
      <c r="AD386" s="171"/>
      <c r="AE386" s="171"/>
      <c r="AF386" s="140"/>
      <c r="AG386" s="128"/>
      <c r="AH386" s="140"/>
      <c r="AI386" s="128"/>
      <c r="AJ386" s="137"/>
      <c r="AK386" s="140"/>
      <c r="AL386" s="140"/>
    </row>
    <row r="387" ht="15.75" customHeight="1">
      <c r="A387" s="233">
        <v>386.0</v>
      </c>
      <c r="B387" s="138">
        <f t="shared" si="40"/>
        <v>10386</v>
      </c>
      <c r="C387" s="240" t="s">
        <v>1840</v>
      </c>
      <c r="D387" s="241" t="s">
        <v>2125</v>
      </c>
      <c r="E387" s="233" t="s">
        <v>34</v>
      </c>
      <c r="F387" s="242" t="s">
        <v>2501</v>
      </c>
      <c r="G387" s="219" t="s">
        <v>539</v>
      </c>
      <c r="H387" s="239" t="s">
        <v>1844</v>
      </c>
      <c r="I387" s="235" t="s">
        <v>1843</v>
      </c>
      <c r="J387" s="236" t="s">
        <v>1876</v>
      </c>
      <c r="K387" s="237" t="s">
        <v>2348</v>
      </c>
      <c r="L387" s="237" t="s">
        <v>1878</v>
      </c>
      <c r="M387" s="237" t="s">
        <v>1845</v>
      </c>
      <c r="N387" s="238" t="s">
        <v>1844</v>
      </c>
      <c r="O387" s="239" t="s">
        <v>1879</v>
      </c>
      <c r="P387" s="239" t="s">
        <v>1862</v>
      </c>
      <c r="Q387" s="239"/>
      <c r="R387" s="238"/>
      <c r="S387" s="239" t="s">
        <v>1845</v>
      </c>
      <c r="T387" s="239"/>
      <c r="U387" s="239"/>
      <c r="V387" s="239"/>
      <c r="W387" s="238"/>
      <c r="X387" s="237"/>
      <c r="Y387" s="235"/>
      <c r="Z387" s="239"/>
      <c r="AA387" s="239"/>
      <c r="AB387" s="239"/>
      <c r="AC387" s="239"/>
      <c r="AD387" s="239"/>
      <c r="AE387" s="239"/>
      <c r="AF387" s="239"/>
      <c r="AG387" s="239"/>
      <c r="AH387" s="239"/>
      <c r="AI387" s="235"/>
      <c r="AJ387" s="243"/>
      <c r="AK387" s="140"/>
      <c r="AL387" s="140"/>
    </row>
    <row r="388" ht="15.75" customHeight="1">
      <c r="A388" s="125">
        <v>387.0</v>
      </c>
      <c r="B388" s="138">
        <f t="shared" si="40"/>
        <v>10387</v>
      </c>
      <c r="C388" s="124" t="s">
        <v>1840</v>
      </c>
      <c r="D388" s="122" t="s">
        <v>2125</v>
      </c>
      <c r="E388" s="125" t="s">
        <v>34</v>
      </c>
      <c r="F388" s="127" t="s">
        <v>2502</v>
      </c>
      <c r="G388" s="127" t="s">
        <v>713</v>
      </c>
      <c r="H388" s="140" t="s">
        <v>1844</v>
      </c>
      <c r="I388" s="128" t="s">
        <v>1843</v>
      </c>
      <c r="J388" s="186" t="s">
        <v>1876</v>
      </c>
      <c r="K388" s="136" t="s">
        <v>2348</v>
      </c>
      <c r="L388" s="136" t="s">
        <v>1878</v>
      </c>
      <c r="M388" s="136" t="s">
        <v>1845</v>
      </c>
      <c r="N388" s="144" t="s">
        <v>1844</v>
      </c>
      <c r="O388" s="140" t="s">
        <v>1879</v>
      </c>
      <c r="P388" s="140" t="s">
        <v>1895</v>
      </c>
      <c r="Q388" s="140"/>
      <c r="R388" s="144"/>
      <c r="S388" s="140" t="s">
        <v>1845</v>
      </c>
      <c r="T388" s="140"/>
      <c r="U388" s="140"/>
      <c r="V388" s="140"/>
      <c r="W388" s="144"/>
      <c r="X388" s="136"/>
      <c r="Y388" s="128"/>
      <c r="Z388" s="140"/>
      <c r="AA388" s="140"/>
      <c r="AB388" s="140"/>
      <c r="AC388" s="140"/>
      <c r="AD388" s="140"/>
      <c r="AE388" s="140"/>
      <c r="AF388" s="140"/>
      <c r="AG388" s="140"/>
      <c r="AH388" s="140"/>
      <c r="AI388" s="128"/>
      <c r="AJ388" s="137"/>
      <c r="AK388" s="140"/>
      <c r="AL388" s="140"/>
    </row>
    <row r="389" ht="15.75" customHeight="1">
      <c r="A389" s="125">
        <v>388.0</v>
      </c>
      <c r="B389" s="138">
        <f t="shared" si="40"/>
        <v>10388</v>
      </c>
      <c r="C389" s="124" t="s">
        <v>1840</v>
      </c>
      <c r="D389" s="122" t="s">
        <v>2125</v>
      </c>
      <c r="E389" s="125" t="s">
        <v>34</v>
      </c>
      <c r="F389" s="127" t="s">
        <v>2503</v>
      </c>
      <c r="G389" s="127" t="s">
        <v>715</v>
      </c>
      <c r="H389" s="140" t="s">
        <v>1844</v>
      </c>
      <c r="I389" s="128" t="s">
        <v>1843</v>
      </c>
      <c r="J389" s="186" t="s">
        <v>1876</v>
      </c>
      <c r="K389" s="136" t="s">
        <v>2348</v>
      </c>
      <c r="L389" s="136" t="s">
        <v>1878</v>
      </c>
      <c r="M389" s="136" t="s">
        <v>1845</v>
      </c>
      <c r="N389" s="144" t="s">
        <v>1844</v>
      </c>
      <c r="O389" s="140" t="s">
        <v>1879</v>
      </c>
      <c r="P389" s="140" t="s">
        <v>1895</v>
      </c>
      <c r="Q389" s="140"/>
      <c r="R389" s="144" t="s">
        <v>1845</v>
      </c>
      <c r="S389" s="140"/>
      <c r="T389" s="140"/>
      <c r="U389" s="140"/>
      <c r="V389" s="140"/>
      <c r="W389" s="144"/>
      <c r="X389" s="136"/>
      <c r="Y389" s="128"/>
      <c r="Z389" s="140"/>
      <c r="AA389" s="140"/>
      <c r="AB389" s="140"/>
      <c r="AC389" s="140"/>
      <c r="AD389" s="140"/>
      <c r="AE389" s="140"/>
      <c r="AF389" s="140"/>
      <c r="AG389" s="140"/>
      <c r="AH389" s="140"/>
      <c r="AI389" s="128"/>
      <c r="AJ389" s="137"/>
      <c r="AK389" s="140"/>
      <c r="AL389" s="140"/>
    </row>
    <row r="390" ht="15.75" customHeight="1">
      <c r="A390" s="125">
        <v>389.0</v>
      </c>
      <c r="B390" s="123" t="s">
        <v>1742</v>
      </c>
      <c r="C390" s="124" t="s">
        <v>1840</v>
      </c>
      <c r="D390" s="122" t="s">
        <v>1849</v>
      </c>
      <c r="E390" s="125" t="s">
        <v>34</v>
      </c>
      <c r="F390" s="127" t="s">
        <v>1912</v>
      </c>
      <c r="G390" s="127" t="s">
        <v>2504</v>
      </c>
      <c r="H390" s="140" t="s">
        <v>1844</v>
      </c>
      <c r="I390" s="128" t="s">
        <v>1843</v>
      </c>
      <c r="J390" s="186" t="s">
        <v>1876</v>
      </c>
      <c r="K390" s="136" t="s">
        <v>2348</v>
      </c>
      <c r="L390" s="136" t="s">
        <v>1878</v>
      </c>
      <c r="M390" s="136" t="s">
        <v>1845</v>
      </c>
      <c r="N390" s="144" t="s">
        <v>1844</v>
      </c>
      <c r="O390" s="140" t="s">
        <v>1879</v>
      </c>
      <c r="P390" s="140" t="s">
        <v>1862</v>
      </c>
      <c r="Q390" s="140" t="s">
        <v>1845</v>
      </c>
      <c r="R390" s="144"/>
      <c r="S390" s="140"/>
      <c r="T390" s="140"/>
      <c r="U390" s="140"/>
      <c r="V390" s="140"/>
      <c r="W390" s="144"/>
      <c r="X390" s="136"/>
      <c r="Y390" s="128"/>
      <c r="Z390" s="140"/>
      <c r="AA390" s="140"/>
      <c r="AB390" s="140"/>
      <c r="AC390" s="140"/>
      <c r="AD390" s="140"/>
      <c r="AE390" s="140"/>
      <c r="AF390" s="140"/>
      <c r="AG390" s="140"/>
      <c r="AH390" s="140"/>
      <c r="AI390" s="128"/>
      <c r="AJ390" s="137"/>
      <c r="AK390" s="140"/>
      <c r="AL390" s="140"/>
    </row>
    <row r="391" ht="15.75" customHeight="1">
      <c r="A391" s="125">
        <v>390.0</v>
      </c>
      <c r="B391" s="123" t="s">
        <v>1742</v>
      </c>
      <c r="C391" s="124" t="s">
        <v>1840</v>
      </c>
      <c r="D391" s="122" t="s">
        <v>1849</v>
      </c>
      <c r="E391" s="125" t="s">
        <v>34</v>
      </c>
      <c r="F391" s="126" t="s">
        <v>2505</v>
      </c>
      <c r="G391" s="127" t="s">
        <v>2506</v>
      </c>
      <c r="H391" s="140" t="s">
        <v>1844</v>
      </c>
      <c r="I391" s="128" t="s">
        <v>1843</v>
      </c>
      <c r="J391" s="186" t="s">
        <v>1876</v>
      </c>
      <c r="K391" s="136" t="s">
        <v>2348</v>
      </c>
      <c r="L391" s="136" t="s">
        <v>1878</v>
      </c>
      <c r="M391" s="136" t="s">
        <v>1845</v>
      </c>
      <c r="N391" s="144" t="s">
        <v>1844</v>
      </c>
      <c r="O391" s="140" t="s">
        <v>1879</v>
      </c>
      <c r="P391" s="140" t="s">
        <v>1895</v>
      </c>
      <c r="Q391" s="140" t="s">
        <v>1845</v>
      </c>
      <c r="R391" s="144"/>
      <c r="S391" s="140"/>
      <c r="T391" s="140"/>
      <c r="U391" s="140"/>
      <c r="V391" s="140"/>
      <c r="W391" s="144"/>
      <c r="X391" s="136"/>
      <c r="Y391" s="128"/>
      <c r="Z391" s="140"/>
      <c r="AA391" s="140"/>
      <c r="AB391" s="140"/>
      <c r="AC391" s="140"/>
      <c r="AD391" s="140"/>
      <c r="AE391" s="140"/>
      <c r="AF391" s="140"/>
      <c r="AG391" s="140"/>
      <c r="AH391" s="140"/>
      <c r="AI391" s="128"/>
      <c r="AJ391" s="137"/>
      <c r="AK391" s="140"/>
      <c r="AL391" s="140"/>
    </row>
    <row r="392" ht="15.75" customHeight="1">
      <c r="A392" s="125">
        <v>391.0</v>
      </c>
      <c r="B392" s="138">
        <f t="shared" ref="B392:B401" si="41">SUM(A392+10000)</f>
        <v>10391</v>
      </c>
      <c r="C392" s="124" t="s">
        <v>1840</v>
      </c>
      <c r="D392" s="122" t="s">
        <v>1849</v>
      </c>
      <c r="E392" s="125" t="s">
        <v>34</v>
      </c>
      <c r="F392" s="127" t="s">
        <v>2507</v>
      </c>
      <c r="G392" s="127" t="s">
        <v>721</v>
      </c>
      <c r="H392" s="140" t="s">
        <v>1844</v>
      </c>
      <c r="I392" s="128" t="s">
        <v>1843</v>
      </c>
      <c r="J392" s="186" t="s">
        <v>1876</v>
      </c>
      <c r="K392" s="136" t="s">
        <v>2348</v>
      </c>
      <c r="L392" s="136" t="s">
        <v>1990</v>
      </c>
      <c r="M392" s="136" t="s">
        <v>1845</v>
      </c>
      <c r="N392" s="144" t="s">
        <v>1844</v>
      </c>
      <c r="O392" s="140" t="s">
        <v>1879</v>
      </c>
      <c r="P392" s="140" t="s">
        <v>1862</v>
      </c>
      <c r="Q392" s="140"/>
      <c r="R392" s="144"/>
      <c r="S392" s="140"/>
      <c r="T392" s="140"/>
      <c r="U392" s="140"/>
      <c r="V392" s="140"/>
      <c r="W392" s="144"/>
      <c r="X392" s="136"/>
      <c r="Y392" s="128"/>
      <c r="Z392" s="140"/>
      <c r="AA392" s="140"/>
      <c r="AB392" s="140"/>
      <c r="AC392" s="140"/>
      <c r="AD392" s="140"/>
      <c r="AE392" s="140"/>
      <c r="AF392" s="140"/>
      <c r="AG392" s="128"/>
      <c r="AH392" s="140"/>
      <c r="AI392" s="128"/>
      <c r="AJ392" s="137"/>
      <c r="AK392" s="140"/>
      <c r="AL392" s="140"/>
    </row>
    <row r="393" ht="15.75" customHeight="1">
      <c r="A393" s="125">
        <v>392.0</v>
      </c>
      <c r="B393" s="138">
        <f t="shared" si="41"/>
        <v>10392</v>
      </c>
      <c r="C393" s="124" t="s">
        <v>1840</v>
      </c>
      <c r="D393" s="122" t="s">
        <v>1849</v>
      </c>
      <c r="E393" s="125" t="s">
        <v>34</v>
      </c>
      <c r="F393" s="127" t="s">
        <v>2508</v>
      </c>
      <c r="G393" s="127" t="s">
        <v>723</v>
      </c>
      <c r="H393" s="140" t="s">
        <v>1844</v>
      </c>
      <c r="I393" s="128" t="s">
        <v>1843</v>
      </c>
      <c r="J393" s="186" t="s">
        <v>1876</v>
      </c>
      <c r="K393" s="136" t="s">
        <v>2348</v>
      </c>
      <c r="L393" s="136" t="s">
        <v>1884</v>
      </c>
      <c r="M393" s="136" t="s">
        <v>1845</v>
      </c>
      <c r="N393" s="144" t="s">
        <v>1844</v>
      </c>
      <c r="O393" s="140" t="s">
        <v>1879</v>
      </c>
      <c r="P393" s="140" t="s">
        <v>1862</v>
      </c>
      <c r="Q393" s="140"/>
      <c r="R393" s="144"/>
      <c r="S393" s="140"/>
      <c r="T393" s="140"/>
      <c r="U393" s="140"/>
      <c r="V393" s="140"/>
      <c r="W393" s="144"/>
      <c r="X393" s="136"/>
      <c r="Y393" s="128"/>
      <c r="Z393" s="140"/>
      <c r="AA393" s="140"/>
      <c r="AB393" s="140"/>
      <c r="AC393" s="140"/>
      <c r="AD393" s="140"/>
      <c r="AE393" s="140"/>
      <c r="AF393" s="140"/>
      <c r="AG393" s="140"/>
      <c r="AH393" s="140"/>
      <c r="AI393" s="128"/>
      <c r="AJ393" s="137"/>
      <c r="AK393" s="140"/>
      <c r="AL393" s="140"/>
    </row>
    <row r="394" ht="15.75" customHeight="1">
      <c r="A394" s="125">
        <v>393.0</v>
      </c>
      <c r="B394" s="138">
        <f t="shared" si="41"/>
        <v>10393</v>
      </c>
      <c r="C394" s="124" t="s">
        <v>1840</v>
      </c>
      <c r="D394" s="122" t="s">
        <v>2125</v>
      </c>
      <c r="E394" s="125" t="s">
        <v>34</v>
      </c>
      <c r="F394" s="127" t="s">
        <v>2509</v>
      </c>
      <c r="G394" s="127" t="s">
        <v>725</v>
      </c>
      <c r="H394" s="140" t="s">
        <v>1844</v>
      </c>
      <c r="I394" s="128" t="s">
        <v>1843</v>
      </c>
      <c r="J394" s="186" t="s">
        <v>1876</v>
      </c>
      <c r="K394" s="136" t="s">
        <v>2348</v>
      </c>
      <c r="L394" s="136" t="s">
        <v>1990</v>
      </c>
      <c r="M394" s="136" t="s">
        <v>1845</v>
      </c>
      <c r="N394" s="144" t="s">
        <v>1844</v>
      </c>
      <c r="O394" s="140" t="s">
        <v>1879</v>
      </c>
      <c r="P394" s="140" t="s">
        <v>1862</v>
      </c>
      <c r="Q394" s="140"/>
      <c r="R394" s="144"/>
      <c r="S394" s="140"/>
      <c r="T394" s="140"/>
      <c r="U394" s="140"/>
      <c r="V394" s="140"/>
      <c r="W394" s="144"/>
      <c r="X394" s="136" t="s">
        <v>1845</v>
      </c>
      <c r="Y394" s="128"/>
      <c r="Z394" s="140"/>
      <c r="AA394" s="140"/>
      <c r="AB394" s="140"/>
      <c r="AC394" s="140"/>
      <c r="AD394" s="140"/>
      <c r="AE394" s="140"/>
      <c r="AF394" s="140"/>
      <c r="AG394" s="140"/>
      <c r="AH394" s="140"/>
      <c r="AI394" s="128"/>
      <c r="AJ394" s="137"/>
      <c r="AK394" s="140"/>
      <c r="AL394" s="140"/>
    </row>
    <row r="395" ht="15.75" customHeight="1">
      <c r="A395" s="125">
        <v>394.0</v>
      </c>
      <c r="B395" s="138">
        <f t="shared" si="41"/>
        <v>10394</v>
      </c>
      <c r="C395" s="124" t="s">
        <v>1840</v>
      </c>
      <c r="D395" s="122" t="s">
        <v>1849</v>
      </c>
      <c r="E395" s="125" t="s">
        <v>34</v>
      </c>
      <c r="F395" s="127" t="s">
        <v>2510</v>
      </c>
      <c r="G395" s="198" t="s">
        <v>727</v>
      </c>
      <c r="H395" s="140" t="s">
        <v>1844</v>
      </c>
      <c r="I395" s="128" t="s">
        <v>1906</v>
      </c>
      <c r="J395" s="186" t="s">
        <v>1876</v>
      </c>
      <c r="K395" s="170" t="s">
        <v>2348</v>
      </c>
      <c r="L395" s="136" t="s">
        <v>1878</v>
      </c>
      <c r="M395" s="136" t="s">
        <v>1845</v>
      </c>
      <c r="N395" s="144" t="s">
        <v>1844</v>
      </c>
      <c r="O395" s="140" t="s">
        <v>1879</v>
      </c>
      <c r="P395" s="140" t="s">
        <v>1862</v>
      </c>
      <c r="Q395" s="140"/>
      <c r="R395" s="140"/>
      <c r="S395" s="140"/>
      <c r="T395" s="140"/>
      <c r="U395" s="140" t="s">
        <v>1845</v>
      </c>
      <c r="V395" s="140"/>
      <c r="W395" s="144"/>
      <c r="X395" s="136"/>
      <c r="Y395" s="136"/>
      <c r="Z395" s="140"/>
      <c r="AA395" s="140"/>
      <c r="AB395" s="140"/>
      <c r="AC395" s="140"/>
      <c r="AD395" s="140"/>
      <c r="AE395" s="140"/>
      <c r="AF395" s="140"/>
      <c r="AG395" s="140"/>
      <c r="AH395" s="140"/>
      <c r="AI395" s="128"/>
      <c r="AJ395" s="137"/>
      <c r="AK395" s="140"/>
      <c r="AL395" s="140"/>
    </row>
    <row r="396" ht="15.75" customHeight="1">
      <c r="A396" s="125">
        <v>395.0</v>
      </c>
      <c r="B396" s="138">
        <f t="shared" si="41"/>
        <v>10395</v>
      </c>
      <c r="C396" s="124" t="s">
        <v>1840</v>
      </c>
      <c r="D396" s="122" t="s">
        <v>1849</v>
      </c>
      <c r="E396" s="125" t="s">
        <v>34</v>
      </c>
      <c r="F396" s="127" t="s">
        <v>2511</v>
      </c>
      <c r="G396" s="127" t="s">
        <v>729</v>
      </c>
      <c r="H396" s="140" t="s">
        <v>1844</v>
      </c>
      <c r="I396" s="128" t="s">
        <v>1843</v>
      </c>
      <c r="J396" s="186" t="s">
        <v>1876</v>
      </c>
      <c r="K396" s="136" t="s">
        <v>2348</v>
      </c>
      <c r="L396" s="136" t="s">
        <v>1990</v>
      </c>
      <c r="M396" s="136" t="s">
        <v>1845</v>
      </c>
      <c r="N396" s="144" t="s">
        <v>1844</v>
      </c>
      <c r="O396" s="140" t="s">
        <v>1879</v>
      </c>
      <c r="P396" s="140" t="s">
        <v>1895</v>
      </c>
      <c r="Q396" s="140"/>
      <c r="R396" s="144"/>
      <c r="S396" s="140"/>
      <c r="T396" s="140"/>
      <c r="U396" s="140"/>
      <c r="V396" s="140"/>
      <c r="W396" s="144"/>
      <c r="X396" s="136"/>
      <c r="Y396" s="128"/>
      <c r="Z396" s="140"/>
      <c r="AA396" s="140"/>
      <c r="AB396" s="140"/>
      <c r="AC396" s="140"/>
      <c r="AD396" s="140"/>
      <c r="AE396" s="140"/>
      <c r="AF396" s="140"/>
      <c r="AG396" s="140"/>
      <c r="AH396" s="140"/>
      <c r="AI396" s="128"/>
      <c r="AJ396" s="137"/>
      <c r="AK396" s="140"/>
      <c r="AL396" s="140"/>
    </row>
    <row r="397" ht="15.75" customHeight="1">
      <c r="A397" s="125">
        <v>396.0</v>
      </c>
      <c r="B397" s="138">
        <f t="shared" si="41"/>
        <v>10396</v>
      </c>
      <c r="C397" s="124" t="s">
        <v>1840</v>
      </c>
      <c r="D397" s="122" t="s">
        <v>2125</v>
      </c>
      <c r="E397" s="125" t="s">
        <v>34</v>
      </c>
      <c r="F397" s="127" t="s">
        <v>2512</v>
      </c>
      <c r="G397" s="127" t="s">
        <v>731</v>
      </c>
      <c r="H397" s="140" t="s">
        <v>1844</v>
      </c>
      <c r="I397" s="128" t="s">
        <v>1843</v>
      </c>
      <c r="J397" s="186" t="s">
        <v>1876</v>
      </c>
      <c r="K397" s="136" t="s">
        <v>2348</v>
      </c>
      <c r="L397" s="136" t="s">
        <v>1878</v>
      </c>
      <c r="M397" s="136" t="s">
        <v>1845</v>
      </c>
      <c r="N397" s="144" t="s">
        <v>1844</v>
      </c>
      <c r="O397" s="140" t="s">
        <v>1879</v>
      </c>
      <c r="P397" s="140" t="s">
        <v>1862</v>
      </c>
      <c r="Q397" s="140"/>
      <c r="R397" s="144"/>
      <c r="S397" s="140"/>
      <c r="T397" s="140"/>
      <c r="U397" s="140"/>
      <c r="V397" s="140"/>
      <c r="W397" s="144"/>
      <c r="X397" s="136" t="s">
        <v>1845</v>
      </c>
      <c r="Y397" s="128"/>
      <c r="Z397" s="140" t="s">
        <v>1845</v>
      </c>
      <c r="AA397" s="140"/>
      <c r="AB397" s="140"/>
      <c r="AC397" s="140"/>
      <c r="AD397" s="140"/>
      <c r="AE397" s="140"/>
      <c r="AF397" s="140"/>
      <c r="AG397" s="140"/>
      <c r="AH397" s="140"/>
      <c r="AI397" s="128"/>
      <c r="AJ397" s="137"/>
      <c r="AK397" s="140"/>
      <c r="AL397" s="140"/>
    </row>
    <row r="398" ht="15.75" customHeight="1">
      <c r="A398" s="125">
        <v>397.0</v>
      </c>
      <c r="B398" s="138">
        <f t="shared" si="41"/>
        <v>10397</v>
      </c>
      <c r="C398" s="124" t="s">
        <v>1840</v>
      </c>
      <c r="D398" s="122" t="s">
        <v>2125</v>
      </c>
      <c r="E398" s="125" t="s">
        <v>34</v>
      </c>
      <c r="F398" s="127" t="s">
        <v>2513</v>
      </c>
      <c r="G398" s="127" t="s">
        <v>733</v>
      </c>
      <c r="H398" s="140" t="s">
        <v>1844</v>
      </c>
      <c r="I398" s="128" t="s">
        <v>1843</v>
      </c>
      <c r="J398" s="186" t="s">
        <v>1876</v>
      </c>
      <c r="K398" s="136" t="s">
        <v>2348</v>
      </c>
      <c r="L398" s="136" t="s">
        <v>1990</v>
      </c>
      <c r="M398" s="136" t="s">
        <v>1845</v>
      </c>
      <c r="N398" s="144" t="s">
        <v>1844</v>
      </c>
      <c r="O398" s="140" t="s">
        <v>1879</v>
      </c>
      <c r="P398" s="140" t="s">
        <v>1862</v>
      </c>
      <c r="Q398" s="140"/>
      <c r="R398" s="144"/>
      <c r="S398" s="140" t="s">
        <v>1845</v>
      </c>
      <c r="T398" s="140"/>
      <c r="U398" s="140"/>
      <c r="V398" s="140"/>
      <c r="W398" s="144"/>
      <c r="X398" s="136"/>
      <c r="Y398" s="128"/>
      <c r="Z398" s="140"/>
      <c r="AA398" s="140"/>
      <c r="AB398" s="140"/>
      <c r="AC398" s="140"/>
      <c r="AD398" s="140"/>
      <c r="AE398" s="140"/>
      <c r="AF398" s="140"/>
      <c r="AG398" s="128"/>
      <c r="AH398" s="140"/>
      <c r="AI398" s="128"/>
      <c r="AJ398" s="137"/>
      <c r="AK398" s="140"/>
      <c r="AL398" s="140"/>
    </row>
    <row r="399" ht="15.75" customHeight="1">
      <c r="A399" s="125">
        <v>398.0</v>
      </c>
      <c r="B399" s="138">
        <f t="shared" si="41"/>
        <v>10398</v>
      </c>
      <c r="C399" s="124" t="s">
        <v>1840</v>
      </c>
      <c r="D399" s="122" t="s">
        <v>1849</v>
      </c>
      <c r="E399" s="125" t="s">
        <v>34</v>
      </c>
      <c r="F399" s="127" t="s">
        <v>2514</v>
      </c>
      <c r="G399" s="127" t="s">
        <v>735</v>
      </c>
      <c r="H399" s="140" t="s">
        <v>1844</v>
      </c>
      <c r="I399" s="128" t="s">
        <v>1906</v>
      </c>
      <c r="J399" s="186" t="s">
        <v>1876</v>
      </c>
      <c r="K399" s="136" t="s">
        <v>2348</v>
      </c>
      <c r="L399" s="136" t="s">
        <v>1990</v>
      </c>
      <c r="M399" s="136" t="s">
        <v>1845</v>
      </c>
      <c r="N399" s="144" t="s">
        <v>1844</v>
      </c>
      <c r="O399" s="140" t="s">
        <v>1879</v>
      </c>
      <c r="P399" s="140" t="s">
        <v>1862</v>
      </c>
      <c r="Q399" s="140"/>
      <c r="R399" s="144"/>
      <c r="S399" s="140"/>
      <c r="T399" s="140"/>
      <c r="U399" s="140"/>
      <c r="V399" s="140"/>
      <c r="W399" s="144"/>
      <c r="X399" s="136"/>
      <c r="Y399" s="128"/>
      <c r="Z399" s="140"/>
      <c r="AA399" s="140"/>
      <c r="AB399" s="140"/>
      <c r="AC399" s="140"/>
      <c r="AD399" s="140"/>
      <c r="AE399" s="140"/>
      <c r="AF399" s="140"/>
      <c r="AG399" s="140"/>
      <c r="AH399" s="140"/>
      <c r="AI399" s="128"/>
      <c r="AJ399" s="137"/>
      <c r="AK399" s="140"/>
      <c r="AL399" s="140"/>
    </row>
    <row r="400" ht="15.75" customHeight="1">
      <c r="A400" s="125">
        <v>399.0</v>
      </c>
      <c r="B400" s="138">
        <f t="shared" si="41"/>
        <v>10399</v>
      </c>
      <c r="C400" s="124" t="s">
        <v>1840</v>
      </c>
      <c r="D400" s="122" t="s">
        <v>1849</v>
      </c>
      <c r="E400" s="125" t="s">
        <v>34</v>
      </c>
      <c r="F400" s="127" t="s">
        <v>2515</v>
      </c>
      <c r="G400" s="127" t="s">
        <v>736</v>
      </c>
      <c r="H400" s="140" t="s">
        <v>1844</v>
      </c>
      <c r="I400" s="128" t="s">
        <v>1906</v>
      </c>
      <c r="J400" s="186" t="s">
        <v>1876</v>
      </c>
      <c r="K400" s="136" t="s">
        <v>2348</v>
      </c>
      <c r="L400" s="136" t="s">
        <v>1878</v>
      </c>
      <c r="M400" s="136" t="s">
        <v>1845</v>
      </c>
      <c r="N400" s="144" t="s">
        <v>1844</v>
      </c>
      <c r="O400" s="140" t="s">
        <v>1879</v>
      </c>
      <c r="P400" s="140" t="s">
        <v>1964</v>
      </c>
      <c r="Q400" s="140"/>
      <c r="R400" s="144"/>
      <c r="S400" s="140"/>
      <c r="T400" s="140"/>
      <c r="U400" s="140"/>
      <c r="V400" s="140"/>
      <c r="W400" s="144"/>
      <c r="X400" s="136"/>
      <c r="Y400" s="128"/>
      <c r="Z400" s="140"/>
      <c r="AA400" s="140"/>
      <c r="AB400" s="140"/>
      <c r="AC400" s="140"/>
      <c r="AD400" s="140"/>
      <c r="AE400" s="140"/>
      <c r="AF400" s="140"/>
      <c r="AG400" s="140"/>
      <c r="AH400" s="140"/>
      <c r="AI400" s="128"/>
      <c r="AJ400" s="137"/>
      <c r="AK400" s="140"/>
      <c r="AL400" s="140"/>
    </row>
    <row r="401" ht="15.75" customHeight="1">
      <c r="A401" s="233">
        <v>400.0</v>
      </c>
      <c r="B401" s="138">
        <f t="shared" si="41"/>
        <v>10400</v>
      </c>
      <c r="C401" s="244" t="s">
        <v>2474</v>
      </c>
      <c r="D401" s="122" t="s">
        <v>1849</v>
      </c>
      <c r="E401" s="233" t="s">
        <v>34</v>
      </c>
      <c r="F401" s="219" t="s">
        <v>2516</v>
      </c>
      <c r="G401" s="219" t="s">
        <v>738</v>
      </c>
      <c r="H401" s="140" t="s">
        <v>1844</v>
      </c>
      <c r="I401" s="235" t="s">
        <v>1906</v>
      </c>
      <c r="J401" s="236" t="s">
        <v>1876</v>
      </c>
      <c r="K401" s="237" t="s">
        <v>2348</v>
      </c>
      <c r="L401" s="237" t="s">
        <v>1878</v>
      </c>
      <c r="M401" s="237" t="s">
        <v>1845</v>
      </c>
      <c r="N401" s="238" t="s">
        <v>1844</v>
      </c>
      <c r="O401" s="239" t="s">
        <v>1879</v>
      </c>
      <c r="P401" s="239" t="s">
        <v>1862</v>
      </c>
      <c r="Q401" s="239"/>
      <c r="R401" s="238"/>
      <c r="S401" s="239"/>
      <c r="T401" s="239"/>
      <c r="U401" s="239" t="s">
        <v>1845</v>
      </c>
      <c r="V401" s="239" t="s">
        <v>1845</v>
      </c>
      <c r="W401" s="238"/>
      <c r="X401" s="237"/>
      <c r="Y401" s="235"/>
      <c r="Z401" s="239"/>
      <c r="AA401" s="239"/>
      <c r="AB401" s="140"/>
      <c r="AC401" s="140"/>
      <c r="AD401" s="140"/>
      <c r="AE401" s="140"/>
      <c r="AF401" s="140"/>
      <c r="AG401" s="128"/>
      <c r="AH401" s="140"/>
      <c r="AI401" s="128"/>
      <c r="AJ401" s="137"/>
      <c r="AK401" s="140"/>
      <c r="AL401" s="140"/>
    </row>
    <row r="402" ht="15.75" customHeight="1">
      <c r="A402" s="125">
        <v>401.0</v>
      </c>
      <c r="B402" s="123" t="s">
        <v>1742</v>
      </c>
      <c r="C402" s="124" t="s">
        <v>1840</v>
      </c>
      <c r="D402" s="122" t="s">
        <v>1849</v>
      </c>
      <c r="E402" s="125" t="s">
        <v>34</v>
      </c>
      <c r="F402" s="127" t="s">
        <v>2517</v>
      </c>
      <c r="G402" s="127" t="s">
        <v>2518</v>
      </c>
      <c r="H402" s="140" t="s">
        <v>1844</v>
      </c>
      <c r="I402" s="128" t="s">
        <v>1843</v>
      </c>
      <c r="J402" s="186" t="s">
        <v>1876</v>
      </c>
      <c r="K402" s="170" t="s">
        <v>2348</v>
      </c>
      <c r="L402" s="136" t="s">
        <v>1878</v>
      </c>
      <c r="M402" s="136" t="s">
        <v>1845</v>
      </c>
      <c r="N402" s="144" t="s">
        <v>1844</v>
      </c>
      <c r="O402" s="140" t="s">
        <v>1879</v>
      </c>
      <c r="P402" s="140" t="s">
        <v>1895</v>
      </c>
      <c r="Q402" s="140" t="s">
        <v>1845</v>
      </c>
      <c r="R402" s="140"/>
      <c r="S402" s="140"/>
      <c r="T402" s="140"/>
      <c r="U402" s="140"/>
      <c r="V402" s="140"/>
      <c r="W402" s="144"/>
      <c r="X402" s="136"/>
      <c r="Y402" s="136"/>
      <c r="Z402" s="140"/>
      <c r="AA402" s="140"/>
      <c r="AB402" s="140"/>
      <c r="AC402" s="140"/>
      <c r="AD402" s="140"/>
      <c r="AE402" s="140"/>
      <c r="AF402" s="140"/>
      <c r="AG402" s="140"/>
      <c r="AH402" s="140"/>
      <c r="AI402" s="128"/>
      <c r="AJ402" s="137"/>
      <c r="AK402" s="140"/>
      <c r="AL402" s="140"/>
    </row>
    <row r="403" ht="15.75" customHeight="1">
      <c r="A403" s="125">
        <v>402.0</v>
      </c>
      <c r="B403" s="138">
        <f t="shared" ref="B403:B406" si="42">SUM(A403+10000)</f>
        <v>10402</v>
      </c>
      <c r="C403" s="124" t="s">
        <v>1840</v>
      </c>
      <c r="D403" s="122" t="s">
        <v>2490</v>
      </c>
      <c r="E403" s="125" t="s">
        <v>34</v>
      </c>
      <c r="F403" s="127" t="s">
        <v>2519</v>
      </c>
      <c r="G403" s="127" t="s">
        <v>741</v>
      </c>
      <c r="H403" s="140" t="s">
        <v>1844</v>
      </c>
      <c r="I403" s="128" t="s">
        <v>1843</v>
      </c>
      <c r="J403" s="186" t="s">
        <v>1876</v>
      </c>
      <c r="K403" s="136" t="s">
        <v>2348</v>
      </c>
      <c r="L403" s="136" t="s">
        <v>1878</v>
      </c>
      <c r="M403" s="136" t="s">
        <v>1845</v>
      </c>
      <c r="N403" s="144" t="s">
        <v>1844</v>
      </c>
      <c r="O403" s="140" t="s">
        <v>1879</v>
      </c>
      <c r="P403" s="140" t="s">
        <v>1862</v>
      </c>
      <c r="Q403" s="140"/>
      <c r="R403" s="144"/>
      <c r="S403" s="140"/>
      <c r="T403" s="140"/>
      <c r="U403" s="140"/>
      <c r="V403" s="140"/>
      <c r="W403" s="144" t="s">
        <v>1845</v>
      </c>
      <c r="X403" s="136"/>
      <c r="Y403" s="128"/>
      <c r="Z403" s="140"/>
      <c r="AA403" s="140"/>
      <c r="AB403" s="140"/>
      <c r="AC403" s="140"/>
      <c r="AD403" s="140"/>
      <c r="AE403" s="140"/>
      <c r="AF403" s="140"/>
      <c r="AG403" s="140"/>
      <c r="AH403" s="140"/>
      <c r="AI403" s="128"/>
      <c r="AJ403" s="137"/>
      <c r="AK403" s="140"/>
      <c r="AL403" s="140"/>
    </row>
    <row r="404" ht="15.75" customHeight="1">
      <c r="A404" s="125">
        <v>403.0</v>
      </c>
      <c r="B404" s="138">
        <f t="shared" si="42"/>
        <v>10403</v>
      </c>
      <c r="C404" s="124" t="s">
        <v>1840</v>
      </c>
      <c r="D404" s="122" t="s">
        <v>2125</v>
      </c>
      <c r="E404" s="125" t="s">
        <v>34</v>
      </c>
      <c r="F404" s="185" t="s">
        <v>2472</v>
      </c>
      <c r="G404" s="127" t="s">
        <v>743</v>
      </c>
      <c r="H404" s="140" t="s">
        <v>1844</v>
      </c>
      <c r="I404" s="128" t="s">
        <v>1843</v>
      </c>
      <c r="J404" s="186" t="s">
        <v>1876</v>
      </c>
      <c r="K404" s="170" t="s">
        <v>2348</v>
      </c>
      <c r="L404" s="136" t="s">
        <v>1878</v>
      </c>
      <c r="M404" s="136" t="s">
        <v>1845</v>
      </c>
      <c r="N404" s="144" t="s">
        <v>1844</v>
      </c>
      <c r="O404" s="140" t="s">
        <v>1879</v>
      </c>
      <c r="P404" s="140" t="s">
        <v>2473</v>
      </c>
      <c r="Q404" s="140"/>
      <c r="R404" s="140"/>
      <c r="S404" s="140"/>
      <c r="T404" s="140"/>
      <c r="U404" s="140"/>
      <c r="V404" s="140"/>
      <c r="W404" s="144"/>
      <c r="X404" s="136"/>
      <c r="Y404" s="136"/>
      <c r="Z404" s="140"/>
      <c r="AA404" s="140"/>
      <c r="AB404" s="140"/>
      <c r="AC404" s="140"/>
      <c r="AD404" s="140"/>
      <c r="AE404" s="140"/>
      <c r="AF404" s="140"/>
      <c r="AG404" s="140"/>
      <c r="AH404" s="140"/>
      <c r="AI404" s="128"/>
      <c r="AJ404" s="137"/>
      <c r="AK404" s="140"/>
      <c r="AL404" s="140"/>
    </row>
    <row r="405" ht="15.75" customHeight="1">
      <c r="A405" s="125">
        <v>404.0</v>
      </c>
      <c r="B405" s="138">
        <f t="shared" si="42"/>
        <v>10404</v>
      </c>
      <c r="C405" s="124" t="s">
        <v>1840</v>
      </c>
      <c r="D405" s="122" t="s">
        <v>2125</v>
      </c>
      <c r="E405" s="125" t="s">
        <v>34</v>
      </c>
      <c r="F405" s="185" t="s">
        <v>2520</v>
      </c>
      <c r="G405" s="127" t="s">
        <v>745</v>
      </c>
      <c r="H405" s="140" t="s">
        <v>1844</v>
      </c>
      <c r="I405" s="128" t="s">
        <v>1843</v>
      </c>
      <c r="J405" s="186" t="s">
        <v>1876</v>
      </c>
      <c r="K405" s="170" t="s">
        <v>2348</v>
      </c>
      <c r="L405" s="136" t="s">
        <v>1878</v>
      </c>
      <c r="M405" s="136" t="s">
        <v>1845</v>
      </c>
      <c r="N405" s="144" t="s">
        <v>1844</v>
      </c>
      <c r="O405" s="140" t="s">
        <v>1879</v>
      </c>
      <c r="P405" s="140" t="s">
        <v>1862</v>
      </c>
      <c r="Q405" s="140"/>
      <c r="R405" s="140"/>
      <c r="S405" s="140"/>
      <c r="T405" s="140"/>
      <c r="U405" s="140"/>
      <c r="V405" s="140"/>
      <c r="W405" s="144"/>
      <c r="X405" s="136" t="s">
        <v>1845</v>
      </c>
      <c r="Y405" s="136"/>
      <c r="Z405" s="140"/>
      <c r="AA405" s="140"/>
      <c r="AB405" s="140"/>
      <c r="AC405" s="140"/>
      <c r="AD405" s="140"/>
      <c r="AE405" s="140"/>
      <c r="AF405" s="140"/>
      <c r="AG405" s="140"/>
      <c r="AH405" s="140"/>
      <c r="AI405" s="128"/>
      <c r="AJ405" s="137"/>
      <c r="AK405" s="140"/>
      <c r="AL405" s="140"/>
    </row>
    <row r="406" ht="15.75" customHeight="1">
      <c r="A406" s="125">
        <v>405.0</v>
      </c>
      <c r="B406" s="138">
        <f t="shared" si="42"/>
        <v>10405</v>
      </c>
      <c r="C406" s="124" t="s">
        <v>1840</v>
      </c>
      <c r="D406" s="122" t="s">
        <v>2125</v>
      </c>
      <c r="E406" s="125" t="s">
        <v>34</v>
      </c>
      <c r="F406" s="127" t="s">
        <v>2503</v>
      </c>
      <c r="G406" s="142" t="s">
        <v>747</v>
      </c>
      <c r="H406" s="140" t="s">
        <v>1844</v>
      </c>
      <c r="I406" s="128" t="s">
        <v>1843</v>
      </c>
      <c r="J406" s="186" t="s">
        <v>1876</v>
      </c>
      <c r="K406" s="136" t="s">
        <v>2348</v>
      </c>
      <c r="L406" s="136" t="s">
        <v>1878</v>
      </c>
      <c r="M406" s="136" t="s">
        <v>1845</v>
      </c>
      <c r="N406" s="144" t="s">
        <v>1844</v>
      </c>
      <c r="O406" s="140" t="s">
        <v>1879</v>
      </c>
      <c r="P406" s="140" t="s">
        <v>1895</v>
      </c>
      <c r="Q406" s="140"/>
      <c r="R406" s="144"/>
      <c r="S406" s="140"/>
      <c r="T406" s="140"/>
      <c r="U406" s="140"/>
      <c r="V406" s="140"/>
      <c r="W406" s="144"/>
      <c r="X406" s="136"/>
      <c r="Y406" s="128"/>
      <c r="Z406" s="140"/>
      <c r="AA406" s="140"/>
      <c r="AB406" s="140"/>
      <c r="AC406" s="140"/>
      <c r="AD406" s="140"/>
      <c r="AE406" s="140"/>
      <c r="AF406" s="140"/>
      <c r="AG406" s="140"/>
      <c r="AH406" s="140"/>
      <c r="AI406" s="128"/>
      <c r="AJ406" s="137"/>
      <c r="AK406" s="140"/>
      <c r="AL406" s="140"/>
    </row>
    <row r="407" ht="15.75" customHeight="1">
      <c r="A407" s="125">
        <v>406.0</v>
      </c>
      <c r="B407" s="123" t="s">
        <v>1742</v>
      </c>
      <c r="C407" s="124" t="s">
        <v>1840</v>
      </c>
      <c r="D407" s="122" t="s">
        <v>1849</v>
      </c>
      <c r="E407" s="125" t="s">
        <v>34</v>
      </c>
      <c r="F407" s="127" t="s">
        <v>2521</v>
      </c>
      <c r="G407" s="127" t="s">
        <v>2522</v>
      </c>
      <c r="H407" s="140" t="s">
        <v>1844</v>
      </c>
      <c r="I407" s="128" t="s">
        <v>1843</v>
      </c>
      <c r="J407" s="186" t="s">
        <v>1876</v>
      </c>
      <c r="K407" s="136" t="s">
        <v>2348</v>
      </c>
      <c r="L407" s="136" t="s">
        <v>1878</v>
      </c>
      <c r="M407" s="136" t="s">
        <v>1845</v>
      </c>
      <c r="N407" s="144" t="s">
        <v>1844</v>
      </c>
      <c r="O407" s="140" t="s">
        <v>1879</v>
      </c>
      <c r="P407" s="140" t="s">
        <v>1862</v>
      </c>
      <c r="Q407" s="140" t="s">
        <v>1845</v>
      </c>
      <c r="R407" s="144"/>
      <c r="S407" s="140"/>
      <c r="T407" s="140"/>
      <c r="U407" s="140"/>
      <c r="V407" s="140"/>
      <c r="W407" s="144"/>
      <c r="X407" s="136"/>
      <c r="Y407" s="128"/>
      <c r="Z407" s="140"/>
      <c r="AA407" s="140"/>
      <c r="AB407" s="140"/>
      <c r="AC407" s="140"/>
      <c r="AD407" s="140"/>
      <c r="AE407" s="140"/>
      <c r="AF407" s="140"/>
      <c r="AG407" s="140"/>
      <c r="AH407" s="140"/>
      <c r="AI407" s="128"/>
      <c r="AJ407" s="137"/>
      <c r="AK407" s="140"/>
      <c r="AL407" s="140"/>
    </row>
    <row r="408" ht="15.75" customHeight="1">
      <c r="A408" s="125">
        <v>407.0</v>
      </c>
      <c r="B408" s="138">
        <f>SUM(A408+10000)</f>
        <v>10407</v>
      </c>
      <c r="C408" s="124" t="s">
        <v>1840</v>
      </c>
      <c r="D408" s="122" t="s">
        <v>2125</v>
      </c>
      <c r="E408" s="125" t="s">
        <v>34</v>
      </c>
      <c r="F408" s="127" t="s">
        <v>2523</v>
      </c>
      <c r="G408" s="153" t="s">
        <v>751</v>
      </c>
      <c r="H408" s="140" t="s">
        <v>1844</v>
      </c>
      <c r="I408" s="128" t="s">
        <v>2036</v>
      </c>
      <c r="J408" s="186" t="s">
        <v>1876</v>
      </c>
      <c r="K408" s="136" t="s">
        <v>2348</v>
      </c>
      <c r="L408" s="136" t="s">
        <v>1878</v>
      </c>
      <c r="M408" s="136" t="s">
        <v>1845</v>
      </c>
      <c r="N408" s="144" t="s">
        <v>1844</v>
      </c>
      <c r="O408" s="140" t="s">
        <v>1879</v>
      </c>
      <c r="P408" s="140" t="s">
        <v>1862</v>
      </c>
      <c r="Q408" s="140"/>
      <c r="R408" s="144"/>
      <c r="S408" s="140"/>
      <c r="T408" s="140"/>
      <c r="U408" s="140"/>
      <c r="V408" s="140"/>
      <c r="W408" s="144"/>
      <c r="X408" s="136" t="s">
        <v>1845</v>
      </c>
      <c r="Y408" s="128"/>
      <c r="Z408" s="140"/>
      <c r="AA408" s="140"/>
      <c r="AB408" s="140"/>
      <c r="AC408" s="140"/>
      <c r="AD408" s="140"/>
      <c r="AE408" s="140"/>
      <c r="AF408" s="140"/>
      <c r="AG408" s="140"/>
      <c r="AH408" s="140"/>
      <c r="AI408" s="128"/>
      <c r="AJ408" s="137"/>
      <c r="AK408" s="140"/>
      <c r="AL408" s="140"/>
    </row>
    <row r="409" ht="15.75" customHeight="1">
      <c r="A409" s="125">
        <v>408.0</v>
      </c>
      <c r="B409" s="123" t="s">
        <v>1742</v>
      </c>
      <c r="C409" s="124" t="s">
        <v>1840</v>
      </c>
      <c r="D409" s="122" t="s">
        <v>1849</v>
      </c>
      <c r="E409" s="125" t="s">
        <v>34</v>
      </c>
      <c r="F409" s="185" t="s">
        <v>2524</v>
      </c>
      <c r="G409" s="127" t="s">
        <v>2525</v>
      </c>
      <c r="H409" s="128" t="s">
        <v>1844</v>
      </c>
      <c r="I409" s="128" t="s">
        <v>1843</v>
      </c>
      <c r="J409" s="186" t="s">
        <v>1876</v>
      </c>
      <c r="K409" s="128" t="s">
        <v>2348</v>
      </c>
      <c r="L409" s="136" t="s">
        <v>1878</v>
      </c>
      <c r="M409" s="144" t="s">
        <v>1845</v>
      </c>
      <c r="N409" s="144" t="s">
        <v>1844</v>
      </c>
      <c r="O409" s="140" t="s">
        <v>1879</v>
      </c>
      <c r="P409" s="140" t="s">
        <v>1895</v>
      </c>
      <c r="Q409" s="140" t="s">
        <v>1845</v>
      </c>
      <c r="R409" s="144"/>
      <c r="S409" s="140"/>
      <c r="T409" s="140"/>
      <c r="U409" s="140"/>
      <c r="V409" s="140"/>
      <c r="W409" s="136"/>
      <c r="X409" s="136"/>
      <c r="Y409" s="144"/>
      <c r="Z409" s="128"/>
      <c r="AA409" s="128"/>
      <c r="AB409" s="140"/>
      <c r="AC409" s="140"/>
      <c r="AD409" s="140"/>
      <c r="AE409" s="140"/>
      <c r="AF409" s="140"/>
      <c r="AG409" s="140"/>
      <c r="AH409" s="140"/>
      <c r="AI409" s="128"/>
      <c r="AJ409" s="137"/>
      <c r="AK409" s="140"/>
      <c r="AL409" s="140"/>
    </row>
    <row r="410" ht="15.75" customHeight="1">
      <c r="A410" s="125">
        <v>409.0</v>
      </c>
      <c r="B410" s="138">
        <f t="shared" ref="B410:B417" si="43">SUM(A410+10000)</f>
        <v>10409</v>
      </c>
      <c r="C410" s="124" t="s">
        <v>1840</v>
      </c>
      <c r="D410" s="122" t="s">
        <v>1849</v>
      </c>
      <c r="E410" s="125" t="s">
        <v>34</v>
      </c>
      <c r="F410" s="127" t="s">
        <v>2526</v>
      </c>
      <c r="G410" s="198" t="s">
        <v>754</v>
      </c>
      <c r="H410" s="140" t="s">
        <v>1844</v>
      </c>
      <c r="I410" s="128" t="s">
        <v>1852</v>
      </c>
      <c r="J410" s="186" t="s">
        <v>1876</v>
      </c>
      <c r="K410" s="136" t="s">
        <v>2348</v>
      </c>
      <c r="L410" s="136" t="s">
        <v>1878</v>
      </c>
      <c r="M410" s="136" t="s">
        <v>1845</v>
      </c>
      <c r="N410" s="144" t="s">
        <v>1844</v>
      </c>
      <c r="O410" s="140" t="s">
        <v>1879</v>
      </c>
      <c r="P410" s="140" t="s">
        <v>1862</v>
      </c>
      <c r="Q410" s="140"/>
      <c r="R410" s="144"/>
      <c r="S410" s="140"/>
      <c r="T410" s="140"/>
      <c r="U410" s="140"/>
      <c r="V410" s="140"/>
      <c r="W410" s="144"/>
      <c r="X410" s="136"/>
      <c r="Y410" s="136"/>
      <c r="Z410" s="140"/>
      <c r="AA410" s="140"/>
      <c r="AB410" s="140"/>
      <c r="AC410" s="140"/>
      <c r="AD410" s="140"/>
      <c r="AE410" s="140"/>
      <c r="AF410" s="140"/>
      <c r="AG410" s="140"/>
      <c r="AH410" s="140"/>
      <c r="AI410" s="128"/>
      <c r="AJ410" s="137"/>
      <c r="AK410" s="140"/>
      <c r="AL410" s="140"/>
    </row>
    <row r="411" ht="15.75" customHeight="1">
      <c r="A411" s="125">
        <v>410.0</v>
      </c>
      <c r="B411" s="138">
        <f t="shared" si="43"/>
        <v>10410</v>
      </c>
      <c r="C411" s="124" t="s">
        <v>1840</v>
      </c>
      <c r="D411" s="122" t="s">
        <v>2125</v>
      </c>
      <c r="E411" s="125" t="s">
        <v>34</v>
      </c>
      <c r="F411" s="185" t="s">
        <v>2527</v>
      </c>
      <c r="G411" s="127" t="s">
        <v>755</v>
      </c>
      <c r="H411" s="140" t="s">
        <v>1844</v>
      </c>
      <c r="I411" s="128" t="s">
        <v>1843</v>
      </c>
      <c r="J411" s="245" t="s">
        <v>1876</v>
      </c>
      <c r="K411" s="246" t="s">
        <v>2348</v>
      </c>
      <c r="L411" s="246" t="s">
        <v>1878</v>
      </c>
      <c r="M411" s="246" t="s">
        <v>1845</v>
      </c>
      <c r="N411" s="140" t="s">
        <v>1844</v>
      </c>
      <c r="O411" s="140" t="s">
        <v>1879</v>
      </c>
      <c r="P411" s="140" t="s">
        <v>1862</v>
      </c>
      <c r="Q411" s="247"/>
      <c r="R411" s="140"/>
      <c r="S411" s="140" t="s">
        <v>1845</v>
      </c>
      <c r="T411" s="140"/>
      <c r="U411" s="140"/>
      <c r="V411" s="247"/>
      <c r="W411" s="247"/>
      <c r="X411" s="246" t="s">
        <v>1845</v>
      </c>
      <c r="Y411" s="128"/>
      <c r="Z411" s="140"/>
      <c r="AA411" s="140"/>
      <c r="AB411" s="140"/>
      <c r="AC411" s="140"/>
      <c r="AD411" s="140"/>
      <c r="AE411" s="140"/>
      <c r="AF411" s="140"/>
      <c r="AG411" s="140"/>
      <c r="AH411" s="140"/>
      <c r="AI411" s="128"/>
      <c r="AJ411" s="137"/>
      <c r="AK411" s="140"/>
      <c r="AL411" s="140"/>
    </row>
    <row r="412" ht="15.75" customHeight="1">
      <c r="A412" s="125">
        <v>411.0</v>
      </c>
      <c r="B412" s="138">
        <f t="shared" si="43"/>
        <v>10411</v>
      </c>
      <c r="C412" s="124" t="s">
        <v>1840</v>
      </c>
      <c r="D412" s="122" t="s">
        <v>2125</v>
      </c>
      <c r="E412" s="125" t="s">
        <v>34</v>
      </c>
      <c r="F412" s="185" t="s">
        <v>2528</v>
      </c>
      <c r="G412" s="127" t="s">
        <v>757</v>
      </c>
      <c r="H412" s="140" t="s">
        <v>1844</v>
      </c>
      <c r="I412" s="128" t="s">
        <v>1843</v>
      </c>
      <c r="J412" s="186" t="s">
        <v>1876</v>
      </c>
      <c r="K412" s="136" t="s">
        <v>2348</v>
      </c>
      <c r="L412" s="136" t="s">
        <v>1878</v>
      </c>
      <c r="M412" s="136" t="s">
        <v>1845</v>
      </c>
      <c r="N412" s="144" t="s">
        <v>1844</v>
      </c>
      <c r="O412" s="140" t="s">
        <v>1879</v>
      </c>
      <c r="P412" s="140" t="s">
        <v>1862</v>
      </c>
      <c r="Q412" s="140"/>
      <c r="R412" s="144"/>
      <c r="S412" s="140" t="s">
        <v>1845</v>
      </c>
      <c r="T412" s="140"/>
      <c r="U412" s="140"/>
      <c r="V412" s="140"/>
      <c r="W412" s="144"/>
      <c r="X412" s="136" t="s">
        <v>1845</v>
      </c>
      <c r="Y412" s="136"/>
      <c r="Z412" s="140"/>
      <c r="AA412" s="140"/>
      <c r="AB412" s="140"/>
      <c r="AC412" s="140"/>
      <c r="AD412" s="140"/>
      <c r="AE412" s="140"/>
      <c r="AF412" s="140"/>
      <c r="AG412" s="140"/>
      <c r="AH412" s="140"/>
      <c r="AI412" s="128"/>
      <c r="AJ412" s="137"/>
      <c r="AK412" s="140"/>
      <c r="AL412" s="140"/>
    </row>
    <row r="413" ht="15.75" customHeight="1">
      <c r="A413" s="125">
        <v>412.0</v>
      </c>
      <c r="B413" s="138">
        <f t="shared" si="43"/>
        <v>10412</v>
      </c>
      <c r="C413" s="124" t="s">
        <v>1840</v>
      </c>
      <c r="D413" s="122" t="s">
        <v>2125</v>
      </c>
      <c r="E413" s="125" t="s">
        <v>34</v>
      </c>
      <c r="F413" s="127" t="s">
        <v>2529</v>
      </c>
      <c r="G413" s="127" t="s">
        <v>759</v>
      </c>
      <c r="H413" s="140" t="s">
        <v>1844</v>
      </c>
      <c r="I413" s="140" t="s">
        <v>1843</v>
      </c>
      <c r="J413" s="186" t="s">
        <v>1876</v>
      </c>
      <c r="K413" s="136" t="s">
        <v>2348</v>
      </c>
      <c r="L413" s="136" t="s">
        <v>1884</v>
      </c>
      <c r="M413" s="136" t="s">
        <v>1845</v>
      </c>
      <c r="N413" s="144" t="s">
        <v>1844</v>
      </c>
      <c r="O413" s="140" t="s">
        <v>1879</v>
      </c>
      <c r="P413" s="140" t="s">
        <v>1862</v>
      </c>
      <c r="Q413" s="140"/>
      <c r="R413" s="144"/>
      <c r="S413" s="140"/>
      <c r="T413" s="140" t="s">
        <v>1845</v>
      </c>
      <c r="U413" s="140"/>
      <c r="V413" s="140"/>
      <c r="W413" s="144"/>
      <c r="X413" s="136"/>
      <c r="Y413" s="128"/>
      <c r="Z413" s="140"/>
      <c r="AA413" s="140"/>
      <c r="AB413" s="140"/>
      <c r="AC413" s="140"/>
      <c r="AD413" s="140"/>
      <c r="AE413" s="140"/>
      <c r="AF413" s="140"/>
      <c r="AG413" s="140"/>
      <c r="AH413" s="140"/>
      <c r="AI413" s="128"/>
      <c r="AJ413" s="137"/>
      <c r="AK413" s="140"/>
      <c r="AL413" s="140"/>
    </row>
    <row r="414" ht="15.75" customHeight="1">
      <c r="A414" s="125">
        <v>413.0</v>
      </c>
      <c r="B414" s="138">
        <f t="shared" si="43"/>
        <v>10413</v>
      </c>
      <c r="C414" s="124" t="s">
        <v>1840</v>
      </c>
      <c r="D414" s="122" t="s">
        <v>2125</v>
      </c>
      <c r="E414" s="125" t="s">
        <v>34</v>
      </c>
      <c r="F414" s="127" t="s">
        <v>2530</v>
      </c>
      <c r="G414" s="127" t="s">
        <v>761</v>
      </c>
      <c r="H414" s="140" t="s">
        <v>1844</v>
      </c>
      <c r="I414" s="128" t="s">
        <v>1843</v>
      </c>
      <c r="J414" s="186" t="s">
        <v>1876</v>
      </c>
      <c r="K414" s="136" t="s">
        <v>2348</v>
      </c>
      <c r="L414" s="136" t="s">
        <v>1884</v>
      </c>
      <c r="M414" s="136" t="s">
        <v>1845</v>
      </c>
      <c r="N414" s="144" t="s">
        <v>1844</v>
      </c>
      <c r="O414" s="140" t="s">
        <v>1879</v>
      </c>
      <c r="P414" s="140" t="s">
        <v>1862</v>
      </c>
      <c r="Q414" s="140"/>
      <c r="R414" s="144"/>
      <c r="S414" s="140" t="s">
        <v>1845</v>
      </c>
      <c r="T414" s="140"/>
      <c r="U414" s="140"/>
      <c r="V414" s="140"/>
      <c r="W414" s="144"/>
      <c r="X414" s="136"/>
      <c r="Y414" s="128"/>
      <c r="Z414" s="140"/>
      <c r="AA414" s="140"/>
      <c r="AB414" s="140"/>
      <c r="AC414" s="140"/>
      <c r="AD414" s="140"/>
      <c r="AE414" s="140"/>
      <c r="AF414" s="140"/>
      <c r="AG414" s="140"/>
      <c r="AH414" s="140"/>
      <c r="AI414" s="128"/>
      <c r="AJ414" s="137"/>
      <c r="AK414" s="140"/>
      <c r="AL414" s="140"/>
    </row>
    <row r="415" ht="15.75" customHeight="1">
      <c r="A415" s="125">
        <v>414.0</v>
      </c>
      <c r="B415" s="138">
        <f t="shared" si="43"/>
        <v>10414</v>
      </c>
      <c r="C415" s="124" t="s">
        <v>1840</v>
      </c>
      <c r="D415" s="122" t="s">
        <v>2125</v>
      </c>
      <c r="E415" s="125" t="s">
        <v>34</v>
      </c>
      <c r="F415" s="127" t="s">
        <v>2531</v>
      </c>
      <c r="G415" s="127" t="s">
        <v>763</v>
      </c>
      <c r="H415" s="140" t="s">
        <v>1844</v>
      </c>
      <c r="I415" s="128" t="s">
        <v>1843</v>
      </c>
      <c r="J415" s="186" t="s">
        <v>1876</v>
      </c>
      <c r="K415" s="170" t="s">
        <v>2348</v>
      </c>
      <c r="L415" s="136" t="s">
        <v>1884</v>
      </c>
      <c r="M415" s="136" t="s">
        <v>1845</v>
      </c>
      <c r="N415" s="144" t="s">
        <v>1844</v>
      </c>
      <c r="O415" s="140" t="s">
        <v>1879</v>
      </c>
      <c r="P415" s="140" t="s">
        <v>1862</v>
      </c>
      <c r="Q415" s="140"/>
      <c r="R415" s="140"/>
      <c r="S415" s="140" t="s">
        <v>1845</v>
      </c>
      <c r="T415" s="140"/>
      <c r="U415" s="140"/>
      <c r="V415" s="140"/>
      <c r="W415" s="144"/>
      <c r="X415" s="136"/>
      <c r="Y415" s="136"/>
      <c r="Z415" s="140"/>
      <c r="AA415" s="140"/>
      <c r="AB415" s="140"/>
      <c r="AC415" s="140"/>
      <c r="AD415" s="140"/>
      <c r="AE415" s="140"/>
      <c r="AF415" s="140"/>
      <c r="AG415" s="140"/>
      <c r="AH415" s="140"/>
      <c r="AI415" s="128"/>
      <c r="AJ415" s="137"/>
      <c r="AK415" s="140"/>
      <c r="AL415" s="140"/>
    </row>
    <row r="416" ht="15.75" customHeight="1">
      <c r="A416" s="125">
        <v>415.0</v>
      </c>
      <c r="B416" s="138">
        <f t="shared" si="43"/>
        <v>10415</v>
      </c>
      <c r="C416" s="124" t="s">
        <v>1840</v>
      </c>
      <c r="D416" s="122" t="s">
        <v>1849</v>
      </c>
      <c r="E416" s="125" t="s">
        <v>34</v>
      </c>
      <c r="F416" s="127" t="s">
        <v>2532</v>
      </c>
      <c r="G416" s="127" t="s">
        <v>765</v>
      </c>
      <c r="H416" s="191" t="s">
        <v>1844</v>
      </c>
      <c r="I416" s="128" t="s">
        <v>1852</v>
      </c>
      <c r="J416" s="186" t="s">
        <v>1876</v>
      </c>
      <c r="K416" s="136" t="s">
        <v>2348</v>
      </c>
      <c r="L416" s="136" t="s">
        <v>1990</v>
      </c>
      <c r="M416" s="136" t="s">
        <v>1845</v>
      </c>
      <c r="N416" s="144" t="s">
        <v>1844</v>
      </c>
      <c r="O416" s="140" t="s">
        <v>1879</v>
      </c>
      <c r="P416" s="140" t="s">
        <v>1862</v>
      </c>
      <c r="Q416" s="140"/>
      <c r="R416" s="144"/>
      <c r="S416" s="140"/>
      <c r="T416" s="140"/>
      <c r="U416" s="140"/>
      <c r="V416" s="140"/>
      <c r="W416" s="144"/>
      <c r="X416" s="136"/>
      <c r="Y416" s="128"/>
      <c r="Z416" s="140"/>
      <c r="AA416" s="140"/>
      <c r="AB416" s="140"/>
      <c r="AC416" s="140"/>
      <c r="AD416" s="140"/>
      <c r="AE416" s="140"/>
      <c r="AF416" s="140"/>
      <c r="AG416" s="140"/>
      <c r="AH416" s="140"/>
      <c r="AI416" s="128"/>
      <c r="AJ416" s="137"/>
      <c r="AK416" s="140"/>
      <c r="AL416" s="140"/>
    </row>
    <row r="417" ht="15.75" customHeight="1">
      <c r="A417" s="125">
        <v>416.0</v>
      </c>
      <c r="B417" s="138">
        <f t="shared" si="43"/>
        <v>10416</v>
      </c>
      <c r="C417" s="124" t="s">
        <v>1840</v>
      </c>
      <c r="D417" s="122" t="s">
        <v>2125</v>
      </c>
      <c r="E417" s="125" t="s">
        <v>34</v>
      </c>
      <c r="F417" s="127" t="s">
        <v>2533</v>
      </c>
      <c r="G417" s="127" t="s">
        <v>767</v>
      </c>
      <c r="H417" s="128" t="s">
        <v>1844</v>
      </c>
      <c r="I417" s="128" t="s">
        <v>1843</v>
      </c>
      <c r="J417" s="186" t="s">
        <v>1876</v>
      </c>
      <c r="K417" s="136" t="s">
        <v>2348</v>
      </c>
      <c r="L417" s="136" t="s">
        <v>1878</v>
      </c>
      <c r="M417" s="136" t="s">
        <v>1845</v>
      </c>
      <c r="N417" s="144" t="s">
        <v>1844</v>
      </c>
      <c r="O417" s="128" t="s">
        <v>1879</v>
      </c>
      <c r="P417" s="128" t="s">
        <v>1862</v>
      </c>
      <c r="Q417" s="128"/>
      <c r="R417" s="144"/>
      <c r="S417" s="128"/>
      <c r="T417" s="128"/>
      <c r="U417" s="128"/>
      <c r="V417" s="128"/>
      <c r="W417" s="144" t="s">
        <v>1845</v>
      </c>
      <c r="X417" s="136" t="s">
        <v>1845</v>
      </c>
      <c r="Y417" s="128"/>
      <c r="Z417" s="128"/>
      <c r="AA417" s="128"/>
      <c r="AB417" s="140"/>
      <c r="AC417" s="140"/>
      <c r="AD417" s="140"/>
      <c r="AE417" s="140"/>
      <c r="AF417" s="140"/>
      <c r="AG417" s="140"/>
      <c r="AH417" s="140"/>
      <c r="AI417" s="128"/>
      <c r="AJ417" s="137"/>
      <c r="AK417" s="140"/>
      <c r="AL417" s="140"/>
    </row>
    <row r="418" ht="15.75" customHeight="1">
      <c r="A418" s="151">
        <v>417.0</v>
      </c>
      <c r="B418" s="123" t="s">
        <v>1742</v>
      </c>
      <c r="C418" s="179" t="s">
        <v>1840</v>
      </c>
      <c r="D418" s="150" t="s">
        <v>2490</v>
      </c>
      <c r="E418" s="151" t="s">
        <v>7</v>
      </c>
      <c r="F418" s="153" t="s">
        <v>2534</v>
      </c>
      <c r="G418" s="153" t="s">
        <v>2535</v>
      </c>
      <c r="H418" s="128" t="s">
        <v>1844</v>
      </c>
      <c r="I418" s="129" t="s">
        <v>2018</v>
      </c>
      <c r="J418" s="143" t="s">
        <v>1844</v>
      </c>
      <c r="K418" s="132" t="s">
        <v>1844</v>
      </c>
      <c r="L418" s="132" t="s">
        <v>1844</v>
      </c>
      <c r="M418" s="132" t="s">
        <v>1844</v>
      </c>
      <c r="N418" s="131" t="s">
        <v>1844</v>
      </c>
      <c r="O418" s="129" t="s">
        <v>1844</v>
      </c>
      <c r="P418" s="129" t="s">
        <v>1844</v>
      </c>
      <c r="Q418" s="129" t="s">
        <v>1845</v>
      </c>
      <c r="R418" s="131"/>
      <c r="S418" s="129"/>
      <c r="T418" s="129"/>
      <c r="U418" s="129"/>
      <c r="V418" s="129"/>
      <c r="W418" s="131"/>
      <c r="X418" s="132"/>
      <c r="Y418" s="132"/>
      <c r="Z418" s="129"/>
      <c r="AA418" s="129"/>
      <c r="AB418" s="171"/>
      <c r="AC418" s="171"/>
      <c r="AD418" s="171"/>
      <c r="AE418" s="171"/>
      <c r="AF418" s="140"/>
      <c r="AG418" s="140"/>
      <c r="AH418" s="140"/>
      <c r="AI418" s="128"/>
      <c r="AJ418" s="137"/>
      <c r="AK418" s="140"/>
      <c r="AL418" s="140"/>
    </row>
    <row r="419" ht="15.75" customHeight="1">
      <c r="A419" s="125">
        <v>418.0</v>
      </c>
      <c r="B419" s="123" t="s">
        <v>1742</v>
      </c>
      <c r="C419" s="124" t="s">
        <v>1840</v>
      </c>
      <c r="D419" s="122" t="s">
        <v>2490</v>
      </c>
      <c r="E419" s="125" t="s">
        <v>34</v>
      </c>
      <c r="F419" s="153" t="s">
        <v>2536</v>
      </c>
      <c r="G419" s="127" t="s">
        <v>2537</v>
      </c>
      <c r="H419" s="128" t="s">
        <v>1844</v>
      </c>
      <c r="I419" s="128" t="s">
        <v>1843</v>
      </c>
      <c r="J419" s="186" t="s">
        <v>1876</v>
      </c>
      <c r="K419" s="136" t="s">
        <v>1877</v>
      </c>
      <c r="L419" s="136" t="s">
        <v>1844</v>
      </c>
      <c r="M419" s="136" t="s">
        <v>1845</v>
      </c>
      <c r="N419" s="144" t="s">
        <v>1844</v>
      </c>
      <c r="O419" s="128" t="s">
        <v>1879</v>
      </c>
      <c r="P419" s="128" t="s">
        <v>1862</v>
      </c>
      <c r="Q419" s="128" t="s">
        <v>1845</v>
      </c>
      <c r="R419" s="144"/>
      <c r="S419" s="128"/>
      <c r="T419" s="128"/>
      <c r="U419" s="128"/>
      <c r="V419" s="128"/>
      <c r="W419" s="144"/>
      <c r="X419" s="136"/>
      <c r="Y419" s="136"/>
      <c r="Z419" s="128"/>
      <c r="AA419" s="128"/>
      <c r="AB419" s="140"/>
      <c r="AC419" s="140"/>
      <c r="AD419" s="140"/>
      <c r="AE419" s="140"/>
      <c r="AF419" s="140"/>
      <c r="AG419" s="140"/>
      <c r="AH419" s="140"/>
      <c r="AI419" s="128"/>
      <c r="AJ419" s="137"/>
      <c r="AK419" s="140"/>
      <c r="AL419" s="140"/>
    </row>
    <row r="420" ht="15.75" customHeight="1">
      <c r="A420" s="125">
        <v>419.0</v>
      </c>
      <c r="B420" s="138">
        <f t="shared" ref="B420:B425" si="44">SUM(A420+10000)</f>
        <v>10419</v>
      </c>
      <c r="C420" s="124" t="s">
        <v>1840</v>
      </c>
      <c r="D420" s="122" t="s">
        <v>2490</v>
      </c>
      <c r="E420" s="125" t="s">
        <v>34</v>
      </c>
      <c r="F420" s="127" t="s">
        <v>2538</v>
      </c>
      <c r="G420" s="127" t="s">
        <v>773</v>
      </c>
      <c r="H420" s="140" t="s">
        <v>1844</v>
      </c>
      <c r="I420" s="128" t="s">
        <v>1843</v>
      </c>
      <c r="J420" s="186" t="s">
        <v>1876</v>
      </c>
      <c r="K420" s="136" t="s">
        <v>2348</v>
      </c>
      <c r="L420" s="136" t="s">
        <v>1990</v>
      </c>
      <c r="M420" s="136" t="s">
        <v>1845</v>
      </c>
      <c r="N420" s="144" t="s">
        <v>1844</v>
      </c>
      <c r="O420" s="140" t="s">
        <v>1879</v>
      </c>
      <c r="P420" s="140" t="s">
        <v>1895</v>
      </c>
      <c r="Q420" s="140"/>
      <c r="R420" s="144" t="s">
        <v>1845</v>
      </c>
      <c r="S420" s="140"/>
      <c r="T420" s="140"/>
      <c r="U420" s="140"/>
      <c r="V420" s="140"/>
      <c r="W420" s="144"/>
      <c r="X420" s="136" t="s">
        <v>1845</v>
      </c>
      <c r="Y420" s="136"/>
      <c r="Z420" s="140"/>
      <c r="AA420" s="140"/>
      <c r="AB420" s="140"/>
      <c r="AC420" s="140"/>
      <c r="AD420" s="140"/>
      <c r="AE420" s="140"/>
      <c r="AF420" s="140"/>
      <c r="AG420" s="140"/>
      <c r="AH420" s="140"/>
      <c r="AI420" s="128"/>
      <c r="AJ420" s="137"/>
      <c r="AK420" s="140"/>
      <c r="AL420" s="140"/>
    </row>
    <row r="421" ht="15.75" customHeight="1">
      <c r="A421" s="125">
        <v>420.0</v>
      </c>
      <c r="B421" s="138">
        <f t="shared" si="44"/>
        <v>10420</v>
      </c>
      <c r="C421" s="124" t="s">
        <v>1840</v>
      </c>
      <c r="D421" s="122" t="s">
        <v>1849</v>
      </c>
      <c r="E421" s="125" t="s">
        <v>7</v>
      </c>
      <c r="F421" s="127" t="s">
        <v>2539</v>
      </c>
      <c r="G421" s="127" t="s">
        <v>775</v>
      </c>
      <c r="H421" s="140" t="s">
        <v>1844</v>
      </c>
      <c r="I421" s="128" t="s">
        <v>1843</v>
      </c>
      <c r="J421" s="186" t="s">
        <v>1844</v>
      </c>
      <c r="K421" s="136" t="s">
        <v>1844</v>
      </c>
      <c r="L421" s="136" t="s">
        <v>1844</v>
      </c>
      <c r="M421" s="136" t="s">
        <v>1844</v>
      </c>
      <c r="N421" s="144" t="s">
        <v>1844</v>
      </c>
      <c r="O421" s="140" t="s">
        <v>2540</v>
      </c>
      <c r="P421" s="140" t="s">
        <v>1844</v>
      </c>
      <c r="Q421" s="140"/>
      <c r="R421" s="144" t="s">
        <v>1845</v>
      </c>
      <c r="S421" s="140" t="s">
        <v>1845</v>
      </c>
      <c r="T421" s="140" t="s">
        <v>1845</v>
      </c>
      <c r="U421" s="140"/>
      <c r="V421" s="140"/>
      <c r="W421" s="144"/>
      <c r="X421" s="136"/>
      <c r="Y421" s="128"/>
      <c r="Z421" s="140"/>
      <c r="AA421" s="140"/>
      <c r="AB421" s="140"/>
      <c r="AC421" s="140"/>
      <c r="AD421" s="140"/>
      <c r="AE421" s="140"/>
      <c r="AF421" s="140"/>
      <c r="AG421" s="140"/>
      <c r="AH421" s="140"/>
      <c r="AI421" s="128"/>
      <c r="AJ421" s="137"/>
      <c r="AK421" s="140"/>
      <c r="AL421" s="140"/>
    </row>
    <row r="422" ht="15.75" customHeight="1">
      <c r="A422" s="125">
        <v>421.0</v>
      </c>
      <c r="B422" s="138">
        <f t="shared" si="44"/>
        <v>10421</v>
      </c>
      <c r="C422" s="124" t="s">
        <v>1840</v>
      </c>
      <c r="D422" s="122" t="s">
        <v>1849</v>
      </c>
      <c r="E422" s="125" t="s">
        <v>27</v>
      </c>
      <c r="F422" s="127" t="s">
        <v>2541</v>
      </c>
      <c r="G422" s="127" t="s">
        <v>777</v>
      </c>
      <c r="H422" s="140" t="s">
        <v>1844</v>
      </c>
      <c r="I422" s="128" t="s">
        <v>1843</v>
      </c>
      <c r="J422" s="186" t="s">
        <v>1844</v>
      </c>
      <c r="K422" s="136" t="s">
        <v>1844</v>
      </c>
      <c r="L422" s="136" t="s">
        <v>1844</v>
      </c>
      <c r="M422" s="136" t="s">
        <v>1845</v>
      </c>
      <c r="N422" s="144" t="s">
        <v>1844</v>
      </c>
      <c r="O422" s="140" t="s">
        <v>1844</v>
      </c>
      <c r="P422" s="140" t="s">
        <v>1862</v>
      </c>
      <c r="Q422" s="140"/>
      <c r="R422" s="144"/>
      <c r="S422" s="140" t="s">
        <v>1845</v>
      </c>
      <c r="T422" s="140"/>
      <c r="U422" s="140"/>
      <c r="V422" s="140"/>
      <c r="W422" s="144"/>
      <c r="X422" s="136"/>
      <c r="Y422" s="128"/>
      <c r="Z422" s="140"/>
      <c r="AA422" s="140"/>
      <c r="AB422" s="140"/>
      <c r="AC422" s="140"/>
      <c r="AD422" s="140"/>
      <c r="AE422" s="140"/>
      <c r="AF422" s="140"/>
      <c r="AG422" s="140"/>
      <c r="AH422" s="140"/>
      <c r="AI422" s="128"/>
      <c r="AJ422" s="137"/>
      <c r="AK422" s="140"/>
      <c r="AL422" s="140"/>
    </row>
    <row r="423" ht="15.75" customHeight="1">
      <c r="A423" s="125">
        <v>422.0</v>
      </c>
      <c r="B423" s="138">
        <f t="shared" si="44"/>
        <v>10422</v>
      </c>
      <c r="C423" s="124" t="s">
        <v>1840</v>
      </c>
      <c r="D423" s="122" t="s">
        <v>1849</v>
      </c>
      <c r="E423" s="125" t="s">
        <v>7</v>
      </c>
      <c r="F423" s="127" t="s">
        <v>2542</v>
      </c>
      <c r="G423" s="127" t="s">
        <v>779</v>
      </c>
      <c r="H423" s="140" t="s">
        <v>1844</v>
      </c>
      <c r="I423" s="128" t="s">
        <v>1843</v>
      </c>
      <c r="J423" s="186" t="s">
        <v>1844</v>
      </c>
      <c r="K423" s="136" t="s">
        <v>1844</v>
      </c>
      <c r="L423" s="136" t="s">
        <v>1844</v>
      </c>
      <c r="M423" s="136" t="s">
        <v>1844</v>
      </c>
      <c r="N423" s="144" t="s">
        <v>1844</v>
      </c>
      <c r="O423" s="140" t="s">
        <v>1844</v>
      </c>
      <c r="P423" s="140" t="s">
        <v>1844</v>
      </c>
      <c r="Q423" s="140"/>
      <c r="R423" s="144" t="s">
        <v>1845</v>
      </c>
      <c r="S423" s="140"/>
      <c r="T423" s="140" t="s">
        <v>1845</v>
      </c>
      <c r="U423" s="140"/>
      <c r="V423" s="140"/>
      <c r="W423" s="144"/>
      <c r="X423" s="136"/>
      <c r="Y423" s="128"/>
      <c r="Z423" s="140"/>
      <c r="AA423" s="140"/>
      <c r="AB423" s="140"/>
      <c r="AC423" s="140"/>
      <c r="AD423" s="140"/>
      <c r="AE423" s="140"/>
      <c r="AF423" s="140"/>
      <c r="AG423" s="140"/>
      <c r="AH423" s="140"/>
      <c r="AI423" s="128"/>
      <c r="AJ423" s="137"/>
      <c r="AK423" s="140"/>
      <c r="AL423" s="140"/>
    </row>
    <row r="424" ht="15.75" customHeight="1">
      <c r="A424" s="151">
        <v>423.0</v>
      </c>
      <c r="B424" s="138">
        <f t="shared" si="44"/>
        <v>10423</v>
      </c>
      <c r="C424" s="179" t="s">
        <v>1840</v>
      </c>
      <c r="D424" s="150" t="s">
        <v>1849</v>
      </c>
      <c r="E424" s="151" t="s">
        <v>7</v>
      </c>
      <c r="F424" s="153" t="s">
        <v>2543</v>
      </c>
      <c r="G424" s="153" t="s">
        <v>781</v>
      </c>
      <c r="H424" s="128" t="s">
        <v>1844</v>
      </c>
      <c r="I424" s="129" t="s">
        <v>1843</v>
      </c>
      <c r="J424" s="143" t="s">
        <v>1844</v>
      </c>
      <c r="K424" s="132" t="s">
        <v>1844</v>
      </c>
      <c r="L424" s="132" t="s">
        <v>1844</v>
      </c>
      <c r="M424" s="132" t="s">
        <v>1844</v>
      </c>
      <c r="N424" s="131" t="s">
        <v>1844</v>
      </c>
      <c r="O424" s="129" t="s">
        <v>1844</v>
      </c>
      <c r="P424" s="129" t="s">
        <v>1844</v>
      </c>
      <c r="Q424" s="129"/>
      <c r="R424" s="131" t="s">
        <v>1845</v>
      </c>
      <c r="S424" s="129"/>
      <c r="T424" s="129" t="s">
        <v>1845</v>
      </c>
      <c r="U424" s="129"/>
      <c r="V424" s="129"/>
      <c r="W424" s="131"/>
      <c r="X424" s="132"/>
      <c r="Y424" s="129"/>
      <c r="Z424" s="129"/>
      <c r="AA424" s="129"/>
      <c r="AB424" s="171"/>
      <c r="AC424" s="171"/>
      <c r="AD424" s="171"/>
      <c r="AE424" s="171"/>
      <c r="AF424" s="140"/>
      <c r="AG424" s="128"/>
      <c r="AH424" s="140"/>
      <c r="AI424" s="128"/>
      <c r="AJ424" s="137"/>
      <c r="AK424" s="140"/>
      <c r="AL424" s="140"/>
    </row>
    <row r="425" ht="15.75" customHeight="1">
      <c r="A425" s="125">
        <v>424.0</v>
      </c>
      <c r="B425" s="138">
        <f t="shared" si="44"/>
        <v>10424</v>
      </c>
      <c r="C425" s="124" t="s">
        <v>1840</v>
      </c>
      <c r="D425" s="122" t="s">
        <v>1849</v>
      </c>
      <c r="E425" s="125" t="s">
        <v>20</v>
      </c>
      <c r="F425" s="127" t="s">
        <v>2544</v>
      </c>
      <c r="G425" s="127" t="s">
        <v>783</v>
      </c>
      <c r="H425" s="140" t="s">
        <v>1844</v>
      </c>
      <c r="I425" s="128" t="s">
        <v>1843</v>
      </c>
      <c r="J425" s="186" t="s">
        <v>1844</v>
      </c>
      <c r="K425" s="136" t="s">
        <v>1844</v>
      </c>
      <c r="L425" s="136" t="s">
        <v>1844</v>
      </c>
      <c r="M425" s="136" t="s">
        <v>1845</v>
      </c>
      <c r="N425" s="144" t="s">
        <v>1844</v>
      </c>
      <c r="O425" s="140" t="s">
        <v>1844</v>
      </c>
      <c r="P425" s="140" t="s">
        <v>1862</v>
      </c>
      <c r="Q425" s="140"/>
      <c r="R425" s="144"/>
      <c r="S425" s="140"/>
      <c r="T425" s="140" t="s">
        <v>1845</v>
      </c>
      <c r="U425" s="140"/>
      <c r="V425" s="140"/>
      <c r="W425" s="144"/>
      <c r="X425" s="136"/>
      <c r="Y425" s="128"/>
      <c r="Z425" s="140"/>
      <c r="AA425" s="140"/>
      <c r="AB425" s="140"/>
      <c r="AC425" s="140"/>
      <c r="AD425" s="140"/>
      <c r="AE425" s="140"/>
      <c r="AF425" s="140"/>
      <c r="AG425" s="140"/>
      <c r="AH425" s="140"/>
      <c r="AI425" s="128"/>
      <c r="AJ425" s="137"/>
      <c r="AK425" s="140"/>
      <c r="AL425" s="140"/>
    </row>
    <row r="426" ht="15.75" customHeight="1">
      <c r="A426" s="125">
        <v>425.0</v>
      </c>
      <c r="B426" s="123" t="s">
        <v>1742</v>
      </c>
      <c r="C426" s="124" t="s">
        <v>1840</v>
      </c>
      <c r="D426" s="122" t="s">
        <v>2545</v>
      </c>
      <c r="E426" s="125" t="s">
        <v>34</v>
      </c>
      <c r="F426" s="153" t="s">
        <v>2546</v>
      </c>
      <c r="G426" s="127" t="s">
        <v>2547</v>
      </c>
      <c r="H426" s="140" t="s">
        <v>1844</v>
      </c>
      <c r="I426" s="140" t="s">
        <v>1843</v>
      </c>
      <c r="J426" s="186" t="s">
        <v>1876</v>
      </c>
      <c r="K426" s="136" t="s">
        <v>2348</v>
      </c>
      <c r="L426" s="136" t="s">
        <v>1878</v>
      </c>
      <c r="M426" s="136" t="s">
        <v>1845</v>
      </c>
      <c r="N426" s="144" t="s">
        <v>1844</v>
      </c>
      <c r="O426" s="140" t="s">
        <v>1879</v>
      </c>
      <c r="P426" s="140" t="s">
        <v>1862</v>
      </c>
      <c r="Q426" s="140" t="s">
        <v>1845</v>
      </c>
      <c r="R426" s="144"/>
      <c r="S426" s="140"/>
      <c r="T426" s="140" t="s">
        <v>1845</v>
      </c>
      <c r="U426" s="140"/>
      <c r="V426" s="140"/>
      <c r="W426" s="144"/>
      <c r="X426" s="136"/>
      <c r="Y426" s="128"/>
      <c r="Z426" s="140"/>
      <c r="AA426" s="140"/>
      <c r="AB426" s="140"/>
      <c r="AC426" s="140"/>
      <c r="AD426" s="140"/>
      <c r="AE426" s="140"/>
      <c r="AF426" s="140"/>
      <c r="AG426" s="140"/>
      <c r="AH426" s="140"/>
      <c r="AI426" s="128"/>
      <c r="AJ426" s="137"/>
      <c r="AK426" s="140"/>
      <c r="AL426" s="140"/>
    </row>
    <row r="427" ht="15.75" customHeight="1">
      <c r="A427" s="125">
        <v>426.0</v>
      </c>
      <c r="B427" s="138">
        <f t="shared" ref="B427:B432" si="45">SUM(A427+10000)</f>
        <v>10426</v>
      </c>
      <c r="C427" s="124" t="s">
        <v>1840</v>
      </c>
      <c r="D427" s="122" t="s">
        <v>1849</v>
      </c>
      <c r="E427" s="125" t="s">
        <v>34</v>
      </c>
      <c r="F427" s="127" t="s">
        <v>2548</v>
      </c>
      <c r="G427" s="127" t="s">
        <v>787</v>
      </c>
      <c r="H427" s="140" t="s">
        <v>1844</v>
      </c>
      <c r="I427" s="128" t="s">
        <v>1843</v>
      </c>
      <c r="J427" s="186" t="s">
        <v>1902</v>
      </c>
      <c r="K427" s="170" t="s">
        <v>1877</v>
      </c>
      <c r="L427" s="136" t="s">
        <v>1844</v>
      </c>
      <c r="M427" s="136" t="s">
        <v>1845</v>
      </c>
      <c r="N427" s="144" t="s">
        <v>1903</v>
      </c>
      <c r="O427" s="140" t="s">
        <v>1879</v>
      </c>
      <c r="P427" s="140" t="s">
        <v>1862</v>
      </c>
      <c r="Q427" s="140"/>
      <c r="R427" s="144"/>
      <c r="S427" s="140"/>
      <c r="T427" s="140"/>
      <c r="U427" s="140"/>
      <c r="V427" s="140"/>
      <c r="W427" s="144" t="s">
        <v>1845</v>
      </c>
      <c r="X427" s="136"/>
      <c r="Y427" s="136"/>
      <c r="Z427" s="140"/>
      <c r="AA427" s="140"/>
      <c r="AB427" s="140"/>
      <c r="AC427" s="140"/>
      <c r="AD427" s="140"/>
      <c r="AE427" s="140"/>
      <c r="AF427" s="140"/>
      <c r="AG427" s="140"/>
      <c r="AH427" s="140"/>
      <c r="AI427" s="128"/>
      <c r="AJ427" s="137"/>
      <c r="AK427" s="140"/>
      <c r="AL427" s="140"/>
    </row>
    <row r="428" ht="15.75" customHeight="1">
      <c r="A428" s="125">
        <v>427.0</v>
      </c>
      <c r="B428" s="138">
        <f t="shared" si="45"/>
        <v>10427</v>
      </c>
      <c r="C428" s="124" t="s">
        <v>1840</v>
      </c>
      <c r="D428" s="122" t="s">
        <v>2099</v>
      </c>
      <c r="E428" s="125" t="s">
        <v>34</v>
      </c>
      <c r="F428" s="198" t="s">
        <v>2549</v>
      </c>
      <c r="G428" s="127" t="s">
        <v>789</v>
      </c>
      <c r="H428" s="140" t="s">
        <v>1844</v>
      </c>
      <c r="I428" s="128" t="s">
        <v>1843</v>
      </c>
      <c r="J428" s="186" t="s">
        <v>1902</v>
      </c>
      <c r="K428" s="136" t="s">
        <v>1877</v>
      </c>
      <c r="L428" s="136" t="s">
        <v>1990</v>
      </c>
      <c r="M428" s="136" t="s">
        <v>1845</v>
      </c>
      <c r="N428" s="144" t="s">
        <v>1903</v>
      </c>
      <c r="O428" s="140" t="s">
        <v>1879</v>
      </c>
      <c r="P428" s="140"/>
      <c r="Q428" s="140"/>
      <c r="R428" s="144"/>
      <c r="S428" s="140"/>
      <c r="T428" s="140"/>
      <c r="U428" s="140"/>
      <c r="V428" s="140"/>
      <c r="W428" s="144"/>
      <c r="X428" s="136"/>
      <c r="Y428" s="128"/>
      <c r="Z428" s="140"/>
      <c r="AA428" s="140"/>
      <c r="AB428" s="140"/>
      <c r="AC428" s="140"/>
      <c r="AD428" s="140"/>
      <c r="AE428" s="140"/>
      <c r="AF428" s="140"/>
      <c r="AG428" s="140"/>
      <c r="AH428" s="140"/>
      <c r="AI428" s="128"/>
      <c r="AJ428" s="137"/>
      <c r="AK428" s="140"/>
      <c r="AL428" s="140"/>
    </row>
    <row r="429" ht="15.75" customHeight="1">
      <c r="A429" s="125">
        <v>428.0</v>
      </c>
      <c r="B429" s="138">
        <f t="shared" si="45"/>
        <v>10428</v>
      </c>
      <c r="C429" s="124" t="s">
        <v>1840</v>
      </c>
      <c r="D429" s="122" t="s">
        <v>2434</v>
      </c>
      <c r="E429" s="125" t="s">
        <v>7</v>
      </c>
      <c r="F429" s="127" t="s">
        <v>2550</v>
      </c>
      <c r="G429" s="127" t="s">
        <v>791</v>
      </c>
      <c r="H429" s="140" t="s">
        <v>1844</v>
      </c>
      <c r="I429" s="128" t="s">
        <v>1843</v>
      </c>
      <c r="J429" s="186" t="s">
        <v>1844</v>
      </c>
      <c r="K429" s="136" t="s">
        <v>1844</v>
      </c>
      <c r="L429" s="136" t="s">
        <v>1844</v>
      </c>
      <c r="M429" s="136" t="s">
        <v>1844</v>
      </c>
      <c r="N429" s="144" t="s">
        <v>1844</v>
      </c>
      <c r="O429" s="128" t="s">
        <v>1844</v>
      </c>
      <c r="P429" s="128" t="s">
        <v>1844</v>
      </c>
      <c r="Q429" s="128"/>
      <c r="R429" s="144"/>
      <c r="S429" s="128" t="s">
        <v>1845</v>
      </c>
      <c r="T429" s="128" t="s">
        <v>1845</v>
      </c>
      <c r="U429" s="128"/>
      <c r="V429" s="128"/>
      <c r="W429" s="144"/>
      <c r="X429" s="136"/>
      <c r="Y429" s="128"/>
      <c r="Z429" s="128"/>
      <c r="AA429" s="128"/>
      <c r="AB429" s="140"/>
      <c r="AC429" s="140"/>
      <c r="AD429" s="140"/>
      <c r="AE429" s="140"/>
      <c r="AF429" s="140"/>
      <c r="AG429" s="140"/>
      <c r="AH429" s="140"/>
      <c r="AI429" s="128"/>
      <c r="AJ429" s="137"/>
      <c r="AK429" s="140"/>
      <c r="AL429" s="140"/>
    </row>
    <row r="430" ht="15.75" customHeight="1">
      <c r="A430" s="125">
        <v>429.0</v>
      </c>
      <c r="B430" s="138">
        <f t="shared" si="45"/>
        <v>10429</v>
      </c>
      <c r="C430" s="124" t="s">
        <v>1840</v>
      </c>
      <c r="D430" s="122" t="s">
        <v>1849</v>
      </c>
      <c r="E430" s="125" t="s">
        <v>34</v>
      </c>
      <c r="F430" s="127" t="s">
        <v>2551</v>
      </c>
      <c r="G430" s="127" t="s">
        <v>793</v>
      </c>
      <c r="H430" s="140" t="s">
        <v>1844</v>
      </c>
      <c r="I430" s="128" t="s">
        <v>1843</v>
      </c>
      <c r="J430" s="186" t="s">
        <v>1876</v>
      </c>
      <c r="K430" s="136" t="s">
        <v>1877</v>
      </c>
      <c r="L430" s="136" t="s">
        <v>1844</v>
      </c>
      <c r="M430" s="136" t="s">
        <v>1845</v>
      </c>
      <c r="N430" s="144">
        <v>1.0</v>
      </c>
      <c r="O430" s="128" t="s">
        <v>1879</v>
      </c>
      <c r="P430" s="128" t="s">
        <v>1895</v>
      </c>
      <c r="Q430" s="128"/>
      <c r="R430" s="144"/>
      <c r="S430" s="128" t="s">
        <v>1845</v>
      </c>
      <c r="T430" s="128"/>
      <c r="U430" s="128"/>
      <c r="V430" s="128"/>
      <c r="W430" s="144"/>
      <c r="X430" s="136"/>
      <c r="Y430" s="128"/>
      <c r="Z430" s="128"/>
      <c r="AA430" s="128"/>
      <c r="AB430" s="140"/>
      <c r="AC430" s="140"/>
      <c r="AD430" s="140"/>
      <c r="AE430" s="140"/>
      <c r="AF430" s="140"/>
      <c r="AG430" s="140"/>
      <c r="AH430" s="140"/>
      <c r="AI430" s="128"/>
      <c r="AJ430" s="137"/>
      <c r="AK430" s="140"/>
      <c r="AL430" s="140"/>
    </row>
    <row r="431" ht="15.75" customHeight="1">
      <c r="A431" s="125">
        <v>430.0</v>
      </c>
      <c r="B431" s="138">
        <f t="shared" si="45"/>
        <v>10430</v>
      </c>
      <c r="C431" s="124" t="s">
        <v>1840</v>
      </c>
      <c r="D431" s="122" t="s">
        <v>1849</v>
      </c>
      <c r="E431" s="125" t="s">
        <v>34</v>
      </c>
      <c r="F431" s="153" t="s">
        <v>2329</v>
      </c>
      <c r="G431" s="248" t="s">
        <v>795</v>
      </c>
      <c r="H431" s="140" t="s">
        <v>1844</v>
      </c>
      <c r="I431" s="128" t="s">
        <v>1843</v>
      </c>
      <c r="J431" s="149" t="s">
        <v>1902</v>
      </c>
      <c r="K431" s="136" t="s">
        <v>1877</v>
      </c>
      <c r="L431" s="128" t="s">
        <v>1844</v>
      </c>
      <c r="M431" s="128" t="s">
        <v>1845</v>
      </c>
      <c r="N431" s="144" t="s">
        <v>1903</v>
      </c>
      <c r="O431" s="128" t="s">
        <v>1879</v>
      </c>
      <c r="P431" s="128" t="s">
        <v>1862</v>
      </c>
      <c r="Q431" s="128"/>
      <c r="R431" s="144"/>
      <c r="S431" s="128" t="s">
        <v>1845</v>
      </c>
      <c r="T431" s="128"/>
      <c r="U431" s="128"/>
      <c r="V431" s="128"/>
      <c r="W431" s="144"/>
      <c r="X431" s="128"/>
      <c r="Y431" s="128"/>
      <c r="Z431" s="128"/>
      <c r="AA431" s="128"/>
      <c r="AB431" s="140"/>
      <c r="AC431" s="140"/>
      <c r="AD431" s="140"/>
      <c r="AE431" s="140"/>
      <c r="AF431" s="140"/>
      <c r="AG431" s="140"/>
      <c r="AH431" s="140"/>
      <c r="AI431" s="128"/>
      <c r="AJ431" s="137"/>
      <c r="AK431" s="140"/>
      <c r="AL431" s="140"/>
    </row>
    <row r="432" ht="15.75" customHeight="1">
      <c r="A432" s="125">
        <v>431.0</v>
      </c>
      <c r="B432" s="138">
        <f t="shared" si="45"/>
        <v>10431</v>
      </c>
      <c r="C432" s="124" t="s">
        <v>1840</v>
      </c>
      <c r="D432" s="122" t="s">
        <v>1849</v>
      </c>
      <c r="E432" s="125" t="s">
        <v>34</v>
      </c>
      <c r="F432" s="127" t="s">
        <v>2234</v>
      </c>
      <c r="G432" s="127" t="s">
        <v>797</v>
      </c>
      <c r="H432" s="140" t="s">
        <v>1844</v>
      </c>
      <c r="I432" s="128" t="s">
        <v>1843</v>
      </c>
      <c r="J432" s="149" t="s">
        <v>1876</v>
      </c>
      <c r="K432" s="136" t="s">
        <v>1877</v>
      </c>
      <c r="L432" s="128" t="s">
        <v>1844</v>
      </c>
      <c r="M432" s="128" t="s">
        <v>1845</v>
      </c>
      <c r="N432" s="144">
        <v>1.0</v>
      </c>
      <c r="O432" s="140" t="s">
        <v>1879</v>
      </c>
      <c r="P432" s="140" t="s">
        <v>1895</v>
      </c>
      <c r="Q432" s="140"/>
      <c r="R432" s="144"/>
      <c r="S432" s="140" t="s">
        <v>1845</v>
      </c>
      <c r="T432" s="140"/>
      <c r="U432" s="140"/>
      <c r="V432" s="140"/>
      <c r="W432" s="144"/>
      <c r="X432" s="136"/>
      <c r="Y432" s="128"/>
      <c r="Z432" s="140"/>
      <c r="AA432" s="140"/>
      <c r="AB432" s="140"/>
      <c r="AC432" s="140"/>
      <c r="AD432" s="140"/>
      <c r="AE432" s="140"/>
      <c r="AF432" s="140"/>
      <c r="AG432" s="140"/>
      <c r="AH432" s="140"/>
      <c r="AI432" s="128"/>
      <c r="AJ432" s="137"/>
      <c r="AK432" s="140"/>
      <c r="AL432" s="140"/>
    </row>
    <row r="433" ht="15.75" customHeight="1">
      <c r="A433" s="125">
        <v>432.0</v>
      </c>
      <c r="B433" s="123" t="s">
        <v>1742</v>
      </c>
      <c r="C433" s="124" t="s">
        <v>1840</v>
      </c>
      <c r="D433" s="122" t="s">
        <v>2552</v>
      </c>
      <c r="E433" s="125" t="s">
        <v>7</v>
      </c>
      <c r="F433" s="198" t="s">
        <v>2553</v>
      </c>
      <c r="G433" s="198" t="s">
        <v>799</v>
      </c>
      <c r="H433" s="140" t="s">
        <v>1844</v>
      </c>
      <c r="I433" s="128" t="s">
        <v>1843</v>
      </c>
      <c r="J433" s="186" t="s">
        <v>1844</v>
      </c>
      <c r="K433" s="136" t="s">
        <v>1844</v>
      </c>
      <c r="L433" s="136" t="s">
        <v>1844</v>
      </c>
      <c r="M433" s="136" t="s">
        <v>1844</v>
      </c>
      <c r="N433" s="144" t="s">
        <v>1844</v>
      </c>
      <c r="O433" s="140" t="s">
        <v>1844</v>
      </c>
      <c r="P433" s="140" t="s">
        <v>1844</v>
      </c>
      <c r="Q433" s="140" t="s">
        <v>1845</v>
      </c>
      <c r="R433" s="144"/>
      <c r="S433" s="140"/>
      <c r="T433" s="140"/>
      <c r="U433" s="140"/>
      <c r="V433" s="140"/>
      <c r="W433" s="144" t="s">
        <v>1845</v>
      </c>
      <c r="X433" s="136"/>
      <c r="Y433" s="128"/>
      <c r="Z433" s="140"/>
      <c r="AA433" s="140"/>
      <c r="AB433" s="140"/>
      <c r="AC433" s="140"/>
      <c r="AD433" s="140"/>
      <c r="AE433" s="140"/>
      <c r="AF433" s="140"/>
      <c r="AG433" s="140"/>
      <c r="AH433" s="140"/>
      <c r="AI433" s="128"/>
      <c r="AJ433" s="137"/>
      <c r="AK433" s="140"/>
      <c r="AL433" s="140"/>
    </row>
    <row r="434" ht="15.75" customHeight="1">
      <c r="A434" s="125">
        <v>433.0</v>
      </c>
      <c r="B434" s="138">
        <f>SUM(A434+10000)</f>
        <v>10433</v>
      </c>
      <c r="C434" s="124" t="s">
        <v>1840</v>
      </c>
      <c r="D434" s="122" t="s">
        <v>2552</v>
      </c>
      <c r="E434" s="125" t="s">
        <v>7</v>
      </c>
      <c r="F434" s="127" t="s">
        <v>2554</v>
      </c>
      <c r="G434" s="127" t="s">
        <v>801</v>
      </c>
      <c r="H434" s="140" t="s">
        <v>1844</v>
      </c>
      <c r="I434" s="128" t="s">
        <v>1906</v>
      </c>
      <c r="J434" s="186" t="s">
        <v>1844</v>
      </c>
      <c r="K434" s="128" t="s">
        <v>1844</v>
      </c>
      <c r="L434" s="136" t="s">
        <v>1844</v>
      </c>
      <c r="M434" s="136" t="s">
        <v>1844</v>
      </c>
      <c r="N434" s="144" t="s">
        <v>1844</v>
      </c>
      <c r="O434" s="144" t="s">
        <v>1844</v>
      </c>
      <c r="P434" s="140" t="s">
        <v>1844</v>
      </c>
      <c r="Q434" s="140"/>
      <c r="R434" s="140"/>
      <c r="S434" s="140"/>
      <c r="T434" s="140"/>
      <c r="U434" s="140" t="s">
        <v>1845</v>
      </c>
      <c r="V434" s="140"/>
      <c r="W434" s="144" t="s">
        <v>1845</v>
      </c>
      <c r="X434" s="136"/>
      <c r="Y434" s="136"/>
      <c r="Z434" s="140"/>
      <c r="AA434" s="140"/>
      <c r="AB434" s="140"/>
      <c r="AC434" s="140"/>
      <c r="AD434" s="140"/>
      <c r="AE434" s="140"/>
      <c r="AF434" s="140"/>
      <c r="AG434" s="140"/>
      <c r="AH434" s="140"/>
      <c r="AI434" s="128"/>
      <c r="AJ434" s="137"/>
      <c r="AK434" s="140"/>
      <c r="AL434" s="140"/>
    </row>
    <row r="435" ht="15.75" customHeight="1">
      <c r="A435" s="125">
        <v>434.0</v>
      </c>
      <c r="B435" s="123" t="s">
        <v>1742</v>
      </c>
      <c r="C435" s="124" t="s">
        <v>1840</v>
      </c>
      <c r="D435" s="122" t="s">
        <v>2552</v>
      </c>
      <c r="E435" s="125" t="s">
        <v>34</v>
      </c>
      <c r="F435" s="127" t="s">
        <v>2555</v>
      </c>
      <c r="G435" s="142" t="s">
        <v>2556</v>
      </c>
      <c r="H435" s="140" t="s">
        <v>1844</v>
      </c>
      <c r="I435" s="128" t="s">
        <v>1843</v>
      </c>
      <c r="J435" s="186" t="s">
        <v>1876</v>
      </c>
      <c r="K435" s="136" t="s">
        <v>2348</v>
      </c>
      <c r="L435" s="136" t="s">
        <v>1878</v>
      </c>
      <c r="M435" s="136" t="s">
        <v>1845</v>
      </c>
      <c r="N435" s="144" t="s">
        <v>1844</v>
      </c>
      <c r="O435" s="140" t="s">
        <v>1879</v>
      </c>
      <c r="P435" s="140" t="s">
        <v>1862</v>
      </c>
      <c r="Q435" s="140" t="s">
        <v>1845</v>
      </c>
      <c r="R435" s="144"/>
      <c r="S435" s="140"/>
      <c r="T435" s="140"/>
      <c r="U435" s="140"/>
      <c r="V435" s="140"/>
      <c r="W435" s="144"/>
      <c r="X435" s="136" t="s">
        <v>1845</v>
      </c>
      <c r="Y435" s="128"/>
      <c r="Z435" s="140"/>
      <c r="AA435" s="140"/>
      <c r="AB435" s="140"/>
      <c r="AC435" s="140"/>
      <c r="AD435" s="140"/>
      <c r="AE435" s="140"/>
      <c r="AF435" s="140"/>
      <c r="AG435" s="140"/>
      <c r="AH435" s="140"/>
      <c r="AI435" s="128"/>
      <c r="AJ435" s="137"/>
      <c r="AK435" s="140"/>
      <c r="AL435" s="140"/>
    </row>
    <row r="436" ht="15.75" customHeight="1">
      <c r="A436" s="125">
        <v>435.0</v>
      </c>
      <c r="B436" s="123" t="s">
        <v>1742</v>
      </c>
      <c r="C436" s="124" t="s">
        <v>1840</v>
      </c>
      <c r="D436" s="122" t="s">
        <v>2552</v>
      </c>
      <c r="E436" s="125" t="s">
        <v>34</v>
      </c>
      <c r="F436" s="127" t="s">
        <v>2557</v>
      </c>
      <c r="G436" s="127" t="s">
        <v>2558</v>
      </c>
      <c r="H436" s="140" t="s">
        <v>1844</v>
      </c>
      <c r="I436" s="128" t="s">
        <v>1843</v>
      </c>
      <c r="J436" s="186" t="s">
        <v>1876</v>
      </c>
      <c r="K436" s="136" t="s">
        <v>2348</v>
      </c>
      <c r="L436" s="136" t="s">
        <v>1878</v>
      </c>
      <c r="M436" s="136" t="s">
        <v>1845</v>
      </c>
      <c r="N436" s="144" t="s">
        <v>1844</v>
      </c>
      <c r="O436" s="140" t="s">
        <v>1879</v>
      </c>
      <c r="P436" s="140" t="s">
        <v>1862</v>
      </c>
      <c r="Q436" s="140" t="s">
        <v>1845</v>
      </c>
      <c r="R436" s="144"/>
      <c r="S436" s="140"/>
      <c r="T436" s="140"/>
      <c r="U436" s="140"/>
      <c r="V436" s="140"/>
      <c r="W436" s="144"/>
      <c r="X436" s="136"/>
      <c r="Y436" s="128"/>
      <c r="Z436" s="140"/>
      <c r="AA436" s="140"/>
      <c r="AB436" s="140"/>
      <c r="AC436" s="140"/>
      <c r="AD436" s="140"/>
      <c r="AE436" s="140"/>
      <c r="AF436" s="140"/>
      <c r="AG436" s="140"/>
      <c r="AH436" s="140"/>
      <c r="AI436" s="128"/>
      <c r="AJ436" s="137"/>
      <c r="AK436" s="140"/>
      <c r="AL436" s="140"/>
    </row>
    <row r="437" ht="15.75" customHeight="1">
      <c r="A437" s="125">
        <v>436.0</v>
      </c>
      <c r="B437" s="138">
        <f t="shared" ref="B437:B439" si="46">SUM(A437+10000)</f>
        <v>10436</v>
      </c>
      <c r="C437" s="124" t="s">
        <v>1840</v>
      </c>
      <c r="D437" s="122" t="s">
        <v>2552</v>
      </c>
      <c r="E437" s="125" t="s">
        <v>7</v>
      </c>
      <c r="F437" s="127" t="s">
        <v>2559</v>
      </c>
      <c r="G437" s="127" t="s">
        <v>807</v>
      </c>
      <c r="H437" s="140" t="s">
        <v>1844</v>
      </c>
      <c r="I437" s="128" t="s">
        <v>1843</v>
      </c>
      <c r="J437" s="186" t="s">
        <v>1844</v>
      </c>
      <c r="K437" s="136" t="s">
        <v>1844</v>
      </c>
      <c r="L437" s="136" t="s">
        <v>1844</v>
      </c>
      <c r="M437" s="136" t="s">
        <v>1844</v>
      </c>
      <c r="N437" s="144" t="s">
        <v>1844</v>
      </c>
      <c r="O437" s="140" t="s">
        <v>1844</v>
      </c>
      <c r="P437" s="140" t="s">
        <v>1844</v>
      </c>
      <c r="Q437" s="140"/>
      <c r="R437" s="144"/>
      <c r="S437" s="140" t="s">
        <v>1845</v>
      </c>
      <c r="T437" s="140"/>
      <c r="U437" s="140"/>
      <c r="V437" s="140"/>
      <c r="W437" s="144" t="s">
        <v>1845</v>
      </c>
      <c r="X437" s="136"/>
      <c r="Y437" s="128"/>
      <c r="Z437" s="140"/>
      <c r="AA437" s="140"/>
      <c r="AB437" s="140"/>
      <c r="AC437" s="140"/>
      <c r="AD437" s="140"/>
      <c r="AE437" s="140"/>
      <c r="AF437" s="140"/>
      <c r="AG437" s="140"/>
      <c r="AH437" s="140"/>
      <c r="AI437" s="128"/>
      <c r="AJ437" s="137"/>
      <c r="AK437" s="140"/>
      <c r="AL437" s="140"/>
    </row>
    <row r="438" ht="15.75" customHeight="1">
      <c r="A438" s="125">
        <v>437.0</v>
      </c>
      <c r="B438" s="138">
        <f t="shared" si="46"/>
        <v>10437</v>
      </c>
      <c r="C438" s="124" t="s">
        <v>1840</v>
      </c>
      <c r="D438" s="122" t="s">
        <v>1849</v>
      </c>
      <c r="E438" s="125" t="s">
        <v>34</v>
      </c>
      <c r="F438" s="127" t="s">
        <v>2560</v>
      </c>
      <c r="G438" s="127" t="s">
        <v>809</v>
      </c>
      <c r="H438" s="140" t="s">
        <v>1844</v>
      </c>
      <c r="I438" s="128" t="s">
        <v>1906</v>
      </c>
      <c r="J438" s="186" t="s">
        <v>1876</v>
      </c>
      <c r="K438" s="136" t="s">
        <v>2348</v>
      </c>
      <c r="L438" s="136" t="s">
        <v>1878</v>
      </c>
      <c r="M438" s="136" t="s">
        <v>1845</v>
      </c>
      <c r="N438" s="144" t="s">
        <v>1844</v>
      </c>
      <c r="O438" s="140" t="s">
        <v>1844</v>
      </c>
      <c r="P438" s="140" t="s">
        <v>1862</v>
      </c>
      <c r="Q438" s="140"/>
      <c r="R438" s="144"/>
      <c r="S438" s="140"/>
      <c r="T438" s="140"/>
      <c r="U438" s="140"/>
      <c r="V438" s="140" t="s">
        <v>1845</v>
      </c>
      <c r="W438" s="144"/>
      <c r="X438" s="136"/>
      <c r="Y438" s="128"/>
      <c r="Z438" s="140"/>
      <c r="AA438" s="140"/>
      <c r="AB438" s="140"/>
      <c r="AC438" s="140"/>
      <c r="AD438" s="140"/>
      <c r="AE438" s="140"/>
      <c r="AF438" s="140"/>
      <c r="AG438" s="140"/>
      <c r="AH438" s="140"/>
      <c r="AI438" s="128"/>
      <c r="AJ438" s="137"/>
      <c r="AK438" s="140"/>
      <c r="AL438" s="140"/>
    </row>
    <row r="439" ht="15.75" customHeight="1">
      <c r="A439" s="125">
        <v>438.0</v>
      </c>
      <c r="B439" s="138">
        <f t="shared" si="46"/>
        <v>10438</v>
      </c>
      <c r="C439" s="124" t="s">
        <v>1840</v>
      </c>
      <c r="D439" s="122" t="s">
        <v>2552</v>
      </c>
      <c r="E439" s="125" t="s">
        <v>20</v>
      </c>
      <c r="F439" s="127" t="s">
        <v>2561</v>
      </c>
      <c r="G439" s="127" t="s">
        <v>811</v>
      </c>
      <c r="H439" s="140" t="s">
        <v>1844</v>
      </c>
      <c r="I439" s="128" t="s">
        <v>1906</v>
      </c>
      <c r="J439" s="186" t="s">
        <v>1844</v>
      </c>
      <c r="K439" s="136" t="s">
        <v>1844</v>
      </c>
      <c r="L439" s="136" t="s">
        <v>1844</v>
      </c>
      <c r="M439" s="136" t="s">
        <v>1845</v>
      </c>
      <c r="N439" s="144" t="s">
        <v>1844</v>
      </c>
      <c r="O439" s="140" t="s">
        <v>1844</v>
      </c>
      <c r="P439" s="140" t="s">
        <v>1862</v>
      </c>
      <c r="Q439" s="140"/>
      <c r="R439" s="144"/>
      <c r="S439" s="140"/>
      <c r="T439" s="140"/>
      <c r="U439" s="140" t="s">
        <v>1845</v>
      </c>
      <c r="V439" s="140"/>
      <c r="W439" s="144"/>
      <c r="X439" s="136"/>
      <c r="Y439" s="128"/>
      <c r="Z439" s="140"/>
      <c r="AA439" s="140"/>
      <c r="AB439" s="140"/>
      <c r="AC439" s="140"/>
      <c r="AD439" s="140"/>
      <c r="AE439" s="140"/>
      <c r="AF439" s="140"/>
      <c r="AG439" s="140"/>
      <c r="AH439" s="140"/>
      <c r="AI439" s="128"/>
      <c r="AJ439" s="137"/>
      <c r="AK439" s="140"/>
      <c r="AL439" s="140"/>
    </row>
    <row r="440" ht="15.75" customHeight="1">
      <c r="A440" s="125">
        <v>439.0</v>
      </c>
      <c r="B440" s="123" t="s">
        <v>1742</v>
      </c>
      <c r="C440" s="124" t="s">
        <v>1840</v>
      </c>
      <c r="D440" s="122" t="s">
        <v>2552</v>
      </c>
      <c r="E440" s="125" t="s">
        <v>34</v>
      </c>
      <c r="F440" s="127" t="s">
        <v>2562</v>
      </c>
      <c r="G440" s="127" t="s">
        <v>2563</v>
      </c>
      <c r="H440" s="140" t="s">
        <v>1844</v>
      </c>
      <c r="I440" s="128" t="s">
        <v>1843</v>
      </c>
      <c r="J440" s="186" t="s">
        <v>1876</v>
      </c>
      <c r="K440" s="136" t="s">
        <v>2348</v>
      </c>
      <c r="L440" s="136" t="s">
        <v>1878</v>
      </c>
      <c r="M440" s="136" t="s">
        <v>1845</v>
      </c>
      <c r="N440" s="144" t="s">
        <v>1844</v>
      </c>
      <c r="O440" s="140" t="s">
        <v>1879</v>
      </c>
      <c r="P440" s="140" t="s">
        <v>1862</v>
      </c>
      <c r="Q440" s="140" t="s">
        <v>1845</v>
      </c>
      <c r="R440" s="144"/>
      <c r="S440" s="140"/>
      <c r="T440" s="140"/>
      <c r="U440" s="140"/>
      <c r="V440" s="140"/>
      <c r="W440" s="144"/>
      <c r="X440" s="136" t="s">
        <v>1845</v>
      </c>
      <c r="Y440" s="128"/>
      <c r="Z440" s="140"/>
      <c r="AA440" s="140"/>
      <c r="AB440" s="140"/>
      <c r="AC440" s="140"/>
      <c r="AD440" s="140"/>
      <c r="AE440" s="140"/>
      <c r="AF440" s="140"/>
      <c r="AG440" s="140"/>
      <c r="AH440" s="140"/>
      <c r="AI440" s="128"/>
      <c r="AJ440" s="137"/>
      <c r="AK440" s="140"/>
      <c r="AL440" s="140"/>
    </row>
    <row r="441" ht="15.75" customHeight="1">
      <c r="A441" s="125">
        <v>440.0</v>
      </c>
      <c r="B441" s="138">
        <f t="shared" ref="B441:B448" si="47">SUM(A441+10000)</f>
        <v>10440</v>
      </c>
      <c r="C441" s="124" t="s">
        <v>1840</v>
      </c>
      <c r="D441" s="122" t="s">
        <v>2552</v>
      </c>
      <c r="E441" s="125" t="s">
        <v>7</v>
      </c>
      <c r="F441" s="127" t="s">
        <v>2564</v>
      </c>
      <c r="G441" s="127" t="s">
        <v>815</v>
      </c>
      <c r="H441" s="140" t="s">
        <v>1844</v>
      </c>
      <c r="I441" s="128" t="s">
        <v>1906</v>
      </c>
      <c r="J441" s="186" t="s">
        <v>1844</v>
      </c>
      <c r="K441" s="136" t="s">
        <v>1844</v>
      </c>
      <c r="L441" s="136" t="s">
        <v>1844</v>
      </c>
      <c r="M441" s="136" t="s">
        <v>1844</v>
      </c>
      <c r="N441" s="144" t="s">
        <v>1844</v>
      </c>
      <c r="O441" s="140" t="s">
        <v>1844</v>
      </c>
      <c r="P441" s="140" t="s">
        <v>1844</v>
      </c>
      <c r="Q441" s="140"/>
      <c r="R441" s="144"/>
      <c r="S441" s="140" t="s">
        <v>1845</v>
      </c>
      <c r="T441" s="140"/>
      <c r="U441" s="140"/>
      <c r="V441" s="140" t="s">
        <v>1845</v>
      </c>
      <c r="W441" s="144"/>
      <c r="X441" s="136"/>
      <c r="Y441" s="128"/>
      <c r="Z441" s="140"/>
      <c r="AA441" s="140"/>
      <c r="AB441" s="140"/>
      <c r="AC441" s="140"/>
      <c r="AD441" s="140"/>
      <c r="AE441" s="140"/>
      <c r="AF441" s="140"/>
      <c r="AG441" s="140"/>
      <c r="AH441" s="140"/>
      <c r="AI441" s="128"/>
      <c r="AJ441" s="137"/>
      <c r="AK441" s="140"/>
      <c r="AL441" s="140"/>
    </row>
    <row r="442" ht="15.75" customHeight="1">
      <c r="A442" s="125">
        <v>441.0</v>
      </c>
      <c r="B442" s="138">
        <f t="shared" si="47"/>
        <v>10441</v>
      </c>
      <c r="C442" s="124" t="s">
        <v>1840</v>
      </c>
      <c r="D442" s="122" t="s">
        <v>2552</v>
      </c>
      <c r="E442" s="125" t="s">
        <v>34</v>
      </c>
      <c r="F442" s="127" t="s">
        <v>2565</v>
      </c>
      <c r="G442" s="249" t="s">
        <v>817</v>
      </c>
      <c r="H442" s="140" t="s">
        <v>1844</v>
      </c>
      <c r="I442" s="128" t="s">
        <v>1843</v>
      </c>
      <c r="J442" s="186" t="s">
        <v>1902</v>
      </c>
      <c r="K442" s="136" t="s">
        <v>1877</v>
      </c>
      <c r="L442" s="136" t="s">
        <v>1990</v>
      </c>
      <c r="M442" s="136" t="s">
        <v>1845</v>
      </c>
      <c r="N442" s="144" t="s">
        <v>1903</v>
      </c>
      <c r="O442" s="140" t="s">
        <v>1879</v>
      </c>
      <c r="P442" s="140" t="s">
        <v>1862</v>
      </c>
      <c r="Q442" s="140"/>
      <c r="R442" s="144"/>
      <c r="S442" s="140"/>
      <c r="T442" s="140"/>
      <c r="U442" s="140"/>
      <c r="V442" s="140"/>
      <c r="W442" s="144" t="s">
        <v>1845</v>
      </c>
      <c r="X442" s="136"/>
      <c r="Y442" s="128"/>
      <c r="Z442" s="140"/>
      <c r="AA442" s="140"/>
      <c r="AB442" s="140"/>
      <c r="AC442" s="140"/>
      <c r="AD442" s="140"/>
      <c r="AE442" s="140"/>
      <c r="AF442" s="140"/>
      <c r="AG442" s="140"/>
      <c r="AH442" s="140"/>
      <c r="AI442" s="128"/>
      <c r="AJ442" s="137"/>
      <c r="AK442" s="140"/>
      <c r="AL442" s="140"/>
    </row>
    <row r="443" ht="15.75" customHeight="1">
      <c r="A443" s="125">
        <v>442.0</v>
      </c>
      <c r="B443" s="138">
        <f t="shared" si="47"/>
        <v>10442</v>
      </c>
      <c r="C443" s="124" t="s">
        <v>1840</v>
      </c>
      <c r="D443" s="122" t="s">
        <v>2552</v>
      </c>
      <c r="E443" s="125" t="s">
        <v>34</v>
      </c>
      <c r="F443" s="127" t="s">
        <v>2566</v>
      </c>
      <c r="G443" s="127" t="s">
        <v>819</v>
      </c>
      <c r="H443" s="140" t="s">
        <v>1844</v>
      </c>
      <c r="I443" s="128" t="s">
        <v>1906</v>
      </c>
      <c r="J443" s="186" t="s">
        <v>1902</v>
      </c>
      <c r="K443" s="136" t="s">
        <v>1877</v>
      </c>
      <c r="L443" s="136" t="s">
        <v>1990</v>
      </c>
      <c r="M443" s="136" t="s">
        <v>1845</v>
      </c>
      <c r="N443" s="144" t="s">
        <v>1903</v>
      </c>
      <c r="O443" s="140" t="s">
        <v>1879</v>
      </c>
      <c r="P443" s="140" t="s">
        <v>1862</v>
      </c>
      <c r="Q443" s="140"/>
      <c r="R443" s="144"/>
      <c r="S443" s="140" t="s">
        <v>1845</v>
      </c>
      <c r="T443" s="140"/>
      <c r="U443" s="140"/>
      <c r="V443" s="140"/>
      <c r="W443" s="144"/>
      <c r="X443" s="136"/>
      <c r="Y443" s="128"/>
      <c r="Z443" s="140"/>
      <c r="AA443" s="140"/>
      <c r="AB443" s="140"/>
      <c r="AC443" s="140"/>
      <c r="AD443" s="140"/>
      <c r="AE443" s="140"/>
      <c r="AF443" s="140"/>
      <c r="AG443" s="140"/>
      <c r="AH443" s="140"/>
      <c r="AI443" s="128"/>
      <c r="AJ443" s="137"/>
      <c r="AK443" s="140"/>
      <c r="AL443" s="140"/>
    </row>
    <row r="444" ht="15.75" customHeight="1">
      <c r="A444" s="125">
        <v>443.0</v>
      </c>
      <c r="B444" s="138">
        <f t="shared" si="47"/>
        <v>10443</v>
      </c>
      <c r="C444" s="124" t="s">
        <v>1840</v>
      </c>
      <c r="D444" s="122" t="s">
        <v>2552</v>
      </c>
      <c r="E444" s="125" t="s">
        <v>7</v>
      </c>
      <c r="F444" s="127" t="s">
        <v>2567</v>
      </c>
      <c r="G444" s="127" t="s">
        <v>821</v>
      </c>
      <c r="H444" s="140" t="s">
        <v>1844</v>
      </c>
      <c r="I444" s="128" t="s">
        <v>1906</v>
      </c>
      <c r="J444" s="186" t="s">
        <v>1844</v>
      </c>
      <c r="K444" s="136" t="s">
        <v>1844</v>
      </c>
      <c r="L444" s="136" t="s">
        <v>1844</v>
      </c>
      <c r="M444" s="136" t="s">
        <v>1844</v>
      </c>
      <c r="N444" s="144" t="s">
        <v>1844</v>
      </c>
      <c r="O444" s="140" t="s">
        <v>1844</v>
      </c>
      <c r="P444" s="140" t="s">
        <v>1844</v>
      </c>
      <c r="Q444" s="140"/>
      <c r="R444" s="144"/>
      <c r="S444" s="140"/>
      <c r="T444" s="140"/>
      <c r="U444" s="140"/>
      <c r="V444" s="140" t="s">
        <v>1845</v>
      </c>
      <c r="W444" s="144"/>
      <c r="X444" s="136"/>
      <c r="Y444" s="128"/>
      <c r="Z444" s="140"/>
      <c r="AA444" s="140"/>
      <c r="AB444" s="140" t="s">
        <v>1845</v>
      </c>
      <c r="AC444" s="140"/>
      <c r="AD444" s="140"/>
      <c r="AE444" s="140"/>
      <c r="AF444" s="140"/>
      <c r="AG444" s="140"/>
      <c r="AH444" s="140"/>
      <c r="AI444" s="128"/>
      <c r="AJ444" s="137"/>
      <c r="AK444" s="140"/>
      <c r="AL444" s="140"/>
    </row>
    <row r="445" ht="15.75" customHeight="1">
      <c r="A445" s="125">
        <v>444.0</v>
      </c>
      <c r="B445" s="138">
        <f t="shared" si="47"/>
        <v>10444</v>
      </c>
      <c r="C445" s="124" t="s">
        <v>1840</v>
      </c>
      <c r="D445" s="122" t="s">
        <v>2552</v>
      </c>
      <c r="E445" s="125" t="s">
        <v>7</v>
      </c>
      <c r="F445" s="127" t="s">
        <v>2568</v>
      </c>
      <c r="G445" s="127" t="s">
        <v>823</v>
      </c>
      <c r="H445" s="140" t="s">
        <v>1844</v>
      </c>
      <c r="I445" s="128" t="s">
        <v>1906</v>
      </c>
      <c r="J445" s="186" t="s">
        <v>1844</v>
      </c>
      <c r="K445" s="136" t="s">
        <v>1844</v>
      </c>
      <c r="L445" s="136" t="s">
        <v>1844</v>
      </c>
      <c r="M445" s="136" t="s">
        <v>1844</v>
      </c>
      <c r="N445" s="144" t="s">
        <v>1844</v>
      </c>
      <c r="O445" s="140" t="s">
        <v>1844</v>
      </c>
      <c r="P445" s="140" t="s">
        <v>1844</v>
      </c>
      <c r="Q445" s="140"/>
      <c r="R445" s="144"/>
      <c r="S445" s="140"/>
      <c r="T445" s="140"/>
      <c r="U445" s="140"/>
      <c r="V445" s="140"/>
      <c r="W445" s="144"/>
      <c r="X445" s="136"/>
      <c r="Y445" s="128"/>
      <c r="Z445" s="140"/>
      <c r="AA445" s="140"/>
      <c r="AB445" s="140"/>
      <c r="AC445" s="140" t="s">
        <v>1845</v>
      </c>
      <c r="AD445" s="140"/>
      <c r="AE445" s="140"/>
      <c r="AF445" s="140"/>
      <c r="AG445" s="140"/>
      <c r="AH445" s="140"/>
      <c r="AI445" s="128"/>
      <c r="AJ445" s="137"/>
      <c r="AK445" s="140"/>
      <c r="AL445" s="140"/>
    </row>
    <row r="446" ht="15.75" customHeight="1">
      <c r="A446" s="125">
        <v>445.0</v>
      </c>
      <c r="B446" s="138">
        <f t="shared" si="47"/>
        <v>10445</v>
      </c>
      <c r="C446" s="124" t="s">
        <v>1840</v>
      </c>
      <c r="D446" s="122" t="s">
        <v>2099</v>
      </c>
      <c r="E446" s="125" t="s">
        <v>20</v>
      </c>
      <c r="F446" s="127" t="s">
        <v>2569</v>
      </c>
      <c r="G446" s="221" t="s">
        <v>825</v>
      </c>
      <c r="H446" s="140" t="s">
        <v>1844</v>
      </c>
      <c r="I446" s="128" t="s">
        <v>1843</v>
      </c>
      <c r="J446" s="186" t="s">
        <v>1844</v>
      </c>
      <c r="K446" s="136" t="s">
        <v>1844</v>
      </c>
      <c r="L446" s="136" t="s">
        <v>1844</v>
      </c>
      <c r="M446" s="136" t="s">
        <v>1844</v>
      </c>
      <c r="N446" s="144" t="s">
        <v>1844</v>
      </c>
      <c r="O446" s="140" t="s">
        <v>1844</v>
      </c>
      <c r="P446" s="140" t="s">
        <v>1862</v>
      </c>
      <c r="Q446" s="140"/>
      <c r="R446" s="144"/>
      <c r="S446" s="140" t="s">
        <v>1845</v>
      </c>
      <c r="T446" s="140" t="s">
        <v>1845</v>
      </c>
      <c r="U446" s="140"/>
      <c r="V446" s="140"/>
      <c r="W446" s="144"/>
      <c r="X446" s="136"/>
      <c r="Y446" s="128"/>
      <c r="Z446" s="140"/>
      <c r="AA446" s="140"/>
      <c r="AB446" s="140"/>
      <c r="AC446" s="140"/>
      <c r="AD446" s="140"/>
      <c r="AE446" s="140"/>
      <c r="AF446" s="140"/>
      <c r="AG446" s="140"/>
      <c r="AH446" s="140"/>
      <c r="AI446" s="128"/>
      <c r="AJ446" s="137"/>
      <c r="AK446" s="140"/>
      <c r="AL446" s="140"/>
    </row>
    <row r="447" ht="15.75" customHeight="1">
      <c r="A447" s="125">
        <v>446.0</v>
      </c>
      <c r="B447" s="138">
        <f t="shared" si="47"/>
        <v>10446</v>
      </c>
      <c r="C447" s="124" t="s">
        <v>1840</v>
      </c>
      <c r="D447" s="122" t="s">
        <v>1849</v>
      </c>
      <c r="E447" s="125" t="s">
        <v>34</v>
      </c>
      <c r="F447" s="127" t="s">
        <v>2570</v>
      </c>
      <c r="G447" s="127" t="s">
        <v>827</v>
      </c>
      <c r="H447" s="140" t="s">
        <v>1844</v>
      </c>
      <c r="I447" s="140" t="s">
        <v>1843</v>
      </c>
      <c r="J447" s="186" t="s">
        <v>1876</v>
      </c>
      <c r="K447" s="136" t="s">
        <v>2348</v>
      </c>
      <c r="L447" s="136" t="s">
        <v>1844</v>
      </c>
      <c r="M447" s="136" t="s">
        <v>1845</v>
      </c>
      <c r="N447" s="144" t="s">
        <v>1844</v>
      </c>
      <c r="O447" s="140" t="s">
        <v>1879</v>
      </c>
      <c r="P447" s="140" t="s">
        <v>1862</v>
      </c>
      <c r="Q447" s="140"/>
      <c r="R447" s="144" t="s">
        <v>1845</v>
      </c>
      <c r="S447" s="140"/>
      <c r="T447" s="140" t="s">
        <v>1845</v>
      </c>
      <c r="U447" s="140"/>
      <c r="V447" s="140"/>
      <c r="W447" s="144"/>
      <c r="X447" s="136"/>
      <c r="Y447" s="128"/>
      <c r="Z447" s="140"/>
      <c r="AA447" s="140"/>
      <c r="AB447" s="140"/>
      <c r="AC447" s="140"/>
      <c r="AD447" s="140"/>
      <c r="AE447" s="140"/>
      <c r="AF447" s="140"/>
      <c r="AG447" s="140"/>
      <c r="AH447" s="140"/>
      <c r="AI447" s="128"/>
      <c r="AJ447" s="137"/>
      <c r="AK447" s="140"/>
      <c r="AL447" s="140"/>
    </row>
    <row r="448" ht="15.75" customHeight="1">
      <c r="A448" s="125">
        <v>447.0</v>
      </c>
      <c r="B448" s="138">
        <f t="shared" si="47"/>
        <v>10447</v>
      </c>
      <c r="C448" s="124" t="s">
        <v>1840</v>
      </c>
      <c r="D448" s="122" t="s">
        <v>1849</v>
      </c>
      <c r="E448" s="125" t="s">
        <v>7</v>
      </c>
      <c r="F448" s="127" t="s">
        <v>2571</v>
      </c>
      <c r="G448" s="127" t="s">
        <v>829</v>
      </c>
      <c r="H448" s="140" t="s">
        <v>1844</v>
      </c>
      <c r="I448" s="128" t="s">
        <v>1906</v>
      </c>
      <c r="J448" s="186" t="s">
        <v>1844</v>
      </c>
      <c r="K448" s="136" t="s">
        <v>1844</v>
      </c>
      <c r="L448" s="136" t="s">
        <v>1844</v>
      </c>
      <c r="M448" s="136" t="s">
        <v>1844</v>
      </c>
      <c r="N448" s="144" t="s">
        <v>1844</v>
      </c>
      <c r="O448" s="140" t="s">
        <v>1844</v>
      </c>
      <c r="P448" s="140" t="s">
        <v>1844</v>
      </c>
      <c r="Q448" s="140"/>
      <c r="R448" s="144" t="s">
        <v>1845</v>
      </c>
      <c r="S448" s="140"/>
      <c r="T448" s="140"/>
      <c r="U448" s="140"/>
      <c r="V448" s="140" t="s">
        <v>1845</v>
      </c>
      <c r="W448" s="144"/>
      <c r="X448" s="136"/>
      <c r="Y448" s="128"/>
      <c r="Z448" s="140"/>
      <c r="AA448" s="140"/>
      <c r="AB448" s="140"/>
      <c r="AC448" s="140"/>
      <c r="AD448" s="140"/>
      <c r="AE448" s="140"/>
      <c r="AF448" s="140"/>
      <c r="AG448" s="140"/>
      <c r="AH448" s="140"/>
      <c r="AI448" s="128"/>
      <c r="AJ448" s="137"/>
      <c r="AK448" s="140"/>
      <c r="AL448" s="140"/>
    </row>
    <row r="449" ht="15.75" customHeight="1">
      <c r="A449" s="125">
        <v>448.0</v>
      </c>
      <c r="B449" s="123" t="s">
        <v>1742</v>
      </c>
      <c r="C449" s="124" t="s">
        <v>1840</v>
      </c>
      <c r="D449" s="122" t="s">
        <v>1841</v>
      </c>
      <c r="E449" s="125" t="s">
        <v>7</v>
      </c>
      <c r="F449" s="127" t="s">
        <v>2433</v>
      </c>
      <c r="G449" s="127" t="s">
        <v>831</v>
      </c>
      <c r="H449" s="140" t="s">
        <v>1844</v>
      </c>
      <c r="I449" s="128" t="s">
        <v>1843</v>
      </c>
      <c r="J449" s="186" t="s">
        <v>1844</v>
      </c>
      <c r="K449" s="136" t="s">
        <v>1844</v>
      </c>
      <c r="L449" s="136" t="s">
        <v>1844</v>
      </c>
      <c r="M449" s="136" t="s">
        <v>1844</v>
      </c>
      <c r="N449" s="144" t="s">
        <v>1844</v>
      </c>
      <c r="O449" s="140" t="s">
        <v>1844</v>
      </c>
      <c r="P449" s="140" t="s">
        <v>1844</v>
      </c>
      <c r="Q449" s="140" t="s">
        <v>1845</v>
      </c>
      <c r="R449" s="144"/>
      <c r="S449" s="140" t="s">
        <v>1845</v>
      </c>
      <c r="T449" s="140"/>
      <c r="U449" s="140"/>
      <c r="V449" s="140"/>
      <c r="W449" s="144"/>
      <c r="X449" s="136"/>
      <c r="Y449" s="128"/>
      <c r="Z449" s="140"/>
      <c r="AA449" s="140"/>
      <c r="AB449" s="140"/>
      <c r="AC449" s="140"/>
      <c r="AD449" s="140"/>
      <c r="AE449" s="140"/>
      <c r="AF449" s="140"/>
      <c r="AG449" s="140"/>
      <c r="AH449" s="140"/>
      <c r="AI449" s="128"/>
      <c r="AJ449" s="137"/>
      <c r="AK449" s="140"/>
      <c r="AL449" s="140"/>
    </row>
    <row r="450" ht="15.75" customHeight="1">
      <c r="A450" s="125">
        <v>449.0</v>
      </c>
      <c r="B450" s="138">
        <f t="shared" ref="B450:B451" si="48">SUM(A450+10000)</f>
        <v>10449</v>
      </c>
      <c r="C450" s="124" t="s">
        <v>1840</v>
      </c>
      <c r="D450" s="122" t="s">
        <v>1849</v>
      </c>
      <c r="E450" s="125" t="s">
        <v>27</v>
      </c>
      <c r="F450" s="198" t="s">
        <v>2572</v>
      </c>
      <c r="G450" s="127" t="s">
        <v>832</v>
      </c>
      <c r="H450" s="140" t="s">
        <v>1844</v>
      </c>
      <c r="I450" s="128" t="s">
        <v>1843</v>
      </c>
      <c r="J450" s="186" t="s">
        <v>1844</v>
      </c>
      <c r="K450" s="136" t="s">
        <v>1844</v>
      </c>
      <c r="L450" s="136" t="s">
        <v>1844</v>
      </c>
      <c r="M450" s="136" t="s">
        <v>1845</v>
      </c>
      <c r="N450" s="144" t="s">
        <v>1844</v>
      </c>
      <c r="O450" s="140" t="s">
        <v>1844</v>
      </c>
      <c r="P450" s="140" t="s">
        <v>1862</v>
      </c>
      <c r="Q450" s="140"/>
      <c r="R450" s="144"/>
      <c r="S450" s="140" t="s">
        <v>1845</v>
      </c>
      <c r="T450" s="140"/>
      <c r="U450" s="140"/>
      <c r="V450" s="140"/>
      <c r="W450" s="144"/>
      <c r="X450" s="136"/>
      <c r="Y450" s="128"/>
      <c r="Z450" s="140"/>
      <c r="AA450" s="140"/>
      <c r="AB450" s="140"/>
      <c r="AC450" s="140"/>
      <c r="AD450" s="140"/>
      <c r="AE450" s="140"/>
      <c r="AF450" s="140"/>
      <c r="AG450" s="140"/>
      <c r="AH450" s="140"/>
      <c r="AI450" s="128"/>
      <c r="AJ450" s="137"/>
      <c r="AK450" s="140"/>
      <c r="AL450" s="140"/>
    </row>
    <row r="451" ht="15.75" customHeight="1">
      <c r="A451" s="125">
        <v>450.0</v>
      </c>
      <c r="B451" s="138">
        <f t="shared" si="48"/>
        <v>10450</v>
      </c>
      <c r="C451" s="124" t="s">
        <v>1840</v>
      </c>
      <c r="D451" s="122" t="s">
        <v>1849</v>
      </c>
      <c r="E451" s="125" t="s">
        <v>20</v>
      </c>
      <c r="F451" s="198" t="s">
        <v>2573</v>
      </c>
      <c r="G451" s="127" t="s">
        <v>834</v>
      </c>
      <c r="H451" s="140" t="s">
        <v>1844</v>
      </c>
      <c r="I451" s="128" t="s">
        <v>1843</v>
      </c>
      <c r="J451" s="186" t="s">
        <v>1844</v>
      </c>
      <c r="K451" s="136" t="s">
        <v>1844</v>
      </c>
      <c r="L451" s="136" t="s">
        <v>1961</v>
      </c>
      <c r="M451" s="136" t="s">
        <v>1844</v>
      </c>
      <c r="N451" s="144" t="s">
        <v>1844</v>
      </c>
      <c r="O451" s="140" t="s">
        <v>1844</v>
      </c>
      <c r="P451" s="140" t="s">
        <v>2072</v>
      </c>
      <c r="Q451" s="140"/>
      <c r="R451" s="144"/>
      <c r="S451" s="140"/>
      <c r="T451" s="140"/>
      <c r="U451" s="140"/>
      <c r="V451" s="140"/>
      <c r="W451" s="144"/>
      <c r="X451" s="136"/>
      <c r="Y451" s="128"/>
      <c r="Z451" s="140"/>
      <c r="AA451" s="140"/>
      <c r="AB451" s="140"/>
      <c r="AC451" s="140"/>
      <c r="AD451" s="140"/>
      <c r="AE451" s="140"/>
      <c r="AF451" s="140"/>
      <c r="AG451" s="140"/>
      <c r="AH451" s="140"/>
      <c r="AI451" s="128"/>
      <c r="AJ451" s="137"/>
      <c r="AK451" s="140"/>
      <c r="AL451" s="140"/>
    </row>
    <row r="452" ht="15.75" customHeight="1">
      <c r="A452" s="125">
        <v>451.0</v>
      </c>
      <c r="B452" s="123" t="s">
        <v>1742</v>
      </c>
      <c r="C452" s="124" t="s">
        <v>1840</v>
      </c>
      <c r="D452" s="122" t="s">
        <v>1841</v>
      </c>
      <c r="E452" s="125" t="s">
        <v>34</v>
      </c>
      <c r="F452" s="127" t="s">
        <v>2574</v>
      </c>
      <c r="G452" s="127" t="s">
        <v>2575</v>
      </c>
      <c r="H452" s="140" t="s">
        <v>1844</v>
      </c>
      <c r="I452" s="128" t="s">
        <v>1843</v>
      </c>
      <c r="J452" s="186" t="s">
        <v>1902</v>
      </c>
      <c r="K452" s="136" t="s">
        <v>1877</v>
      </c>
      <c r="L452" s="136" t="s">
        <v>1878</v>
      </c>
      <c r="M452" s="136" t="s">
        <v>1845</v>
      </c>
      <c r="N452" s="144" t="s">
        <v>1903</v>
      </c>
      <c r="O452" s="140" t="s">
        <v>1879</v>
      </c>
      <c r="P452" s="140" t="s">
        <v>1862</v>
      </c>
      <c r="Q452" s="140" t="s">
        <v>1845</v>
      </c>
      <c r="R452" s="144"/>
      <c r="S452" s="140"/>
      <c r="T452" s="140"/>
      <c r="U452" s="140"/>
      <c r="V452" s="140"/>
      <c r="W452" s="144"/>
      <c r="X452" s="136"/>
      <c r="Y452" s="128"/>
      <c r="Z452" s="140"/>
      <c r="AA452" s="140"/>
      <c r="AB452" s="140"/>
      <c r="AC452" s="140"/>
      <c r="AD452" s="140"/>
      <c r="AE452" s="140"/>
      <c r="AF452" s="140"/>
      <c r="AG452" s="140"/>
      <c r="AH452" s="140"/>
      <c r="AI452" s="128"/>
      <c r="AJ452" s="137"/>
      <c r="AK452" s="140"/>
      <c r="AL452" s="140"/>
    </row>
    <row r="453" ht="15.75" customHeight="1">
      <c r="A453" s="125">
        <v>452.0</v>
      </c>
      <c r="B453" s="138">
        <f t="shared" ref="B453:B477" si="49">SUM(A453+10000)</f>
        <v>10452</v>
      </c>
      <c r="C453" s="124" t="s">
        <v>1840</v>
      </c>
      <c r="D453" s="122" t="s">
        <v>1841</v>
      </c>
      <c r="E453" s="125" t="s">
        <v>34</v>
      </c>
      <c r="F453" s="127" t="s">
        <v>2576</v>
      </c>
      <c r="G453" s="127" t="s">
        <v>838</v>
      </c>
      <c r="H453" s="140" t="s">
        <v>1844</v>
      </c>
      <c r="I453" s="128" t="s">
        <v>1843</v>
      </c>
      <c r="J453" s="186" t="s">
        <v>1902</v>
      </c>
      <c r="K453" s="136" t="s">
        <v>1877</v>
      </c>
      <c r="L453" s="136" t="s">
        <v>1844</v>
      </c>
      <c r="M453" s="136" t="s">
        <v>1845</v>
      </c>
      <c r="N453" s="144">
        <v>1.0</v>
      </c>
      <c r="O453" s="140" t="s">
        <v>1879</v>
      </c>
      <c r="P453" s="128" t="s">
        <v>1895</v>
      </c>
      <c r="Q453" s="140"/>
      <c r="R453" s="144"/>
      <c r="S453" s="128" t="s">
        <v>1845</v>
      </c>
      <c r="T453" s="140"/>
      <c r="U453" s="140"/>
      <c r="V453" s="140"/>
      <c r="W453" s="144"/>
      <c r="X453" s="136"/>
      <c r="Y453" s="128"/>
      <c r="Z453" s="140"/>
      <c r="AA453" s="140"/>
      <c r="AB453" s="128"/>
      <c r="AC453" s="128"/>
      <c r="AD453" s="128"/>
      <c r="AE453" s="128"/>
      <c r="AF453" s="128"/>
      <c r="AG453" s="140"/>
      <c r="AH453" s="140"/>
      <c r="AI453" s="128"/>
      <c r="AJ453" s="137"/>
      <c r="AK453" s="140"/>
      <c r="AL453" s="140"/>
    </row>
    <row r="454" ht="15.75" customHeight="1">
      <c r="A454" s="125">
        <v>453.0</v>
      </c>
      <c r="B454" s="138">
        <f t="shared" si="49"/>
        <v>10453</v>
      </c>
      <c r="C454" s="124" t="s">
        <v>1840</v>
      </c>
      <c r="D454" s="122" t="s">
        <v>2212</v>
      </c>
      <c r="E454" s="125" t="s">
        <v>7</v>
      </c>
      <c r="F454" s="127" t="s">
        <v>2577</v>
      </c>
      <c r="G454" s="127" t="s">
        <v>840</v>
      </c>
      <c r="H454" s="140" t="s">
        <v>1844</v>
      </c>
      <c r="I454" s="128" t="s">
        <v>1906</v>
      </c>
      <c r="J454" s="186" t="s">
        <v>1844</v>
      </c>
      <c r="K454" s="136" t="s">
        <v>1844</v>
      </c>
      <c r="L454" s="136" t="s">
        <v>1844</v>
      </c>
      <c r="M454" s="136" t="s">
        <v>1844</v>
      </c>
      <c r="N454" s="144" t="s">
        <v>1844</v>
      </c>
      <c r="O454" s="140" t="s">
        <v>1844</v>
      </c>
      <c r="P454" s="128" t="s">
        <v>1844</v>
      </c>
      <c r="Q454" s="140"/>
      <c r="R454" s="144"/>
      <c r="S454" s="128"/>
      <c r="T454" s="140"/>
      <c r="U454" s="140" t="s">
        <v>1845</v>
      </c>
      <c r="V454" s="140"/>
      <c r="W454" s="144"/>
      <c r="X454" s="136" t="s">
        <v>1845</v>
      </c>
      <c r="Y454" s="128"/>
      <c r="Z454" s="140"/>
      <c r="AA454" s="140"/>
      <c r="AB454" s="128"/>
      <c r="AC454" s="128"/>
      <c r="AD454" s="128"/>
      <c r="AE454" s="128"/>
      <c r="AF454" s="128"/>
      <c r="AG454" s="140"/>
      <c r="AH454" s="140"/>
      <c r="AI454" s="128"/>
      <c r="AJ454" s="137"/>
      <c r="AK454" s="140"/>
      <c r="AL454" s="140"/>
    </row>
    <row r="455" ht="15.75" customHeight="1">
      <c r="A455" s="141">
        <v>454.0</v>
      </c>
      <c r="B455" s="138">
        <f t="shared" si="49"/>
        <v>10454</v>
      </c>
      <c r="C455" s="124" t="s">
        <v>1840</v>
      </c>
      <c r="D455" s="122" t="s">
        <v>2212</v>
      </c>
      <c r="E455" s="141" t="s">
        <v>7</v>
      </c>
      <c r="F455" s="126" t="s">
        <v>2578</v>
      </c>
      <c r="G455" s="142" t="s">
        <v>842</v>
      </c>
      <c r="H455" s="140" t="s">
        <v>1844</v>
      </c>
      <c r="I455" s="128" t="s">
        <v>1906</v>
      </c>
      <c r="J455" s="186" t="s">
        <v>1844</v>
      </c>
      <c r="K455" s="128" t="s">
        <v>1844</v>
      </c>
      <c r="L455" s="136" t="s">
        <v>1844</v>
      </c>
      <c r="M455" s="136" t="s">
        <v>1844</v>
      </c>
      <c r="N455" s="144" t="s">
        <v>1844</v>
      </c>
      <c r="O455" s="144" t="s">
        <v>2579</v>
      </c>
      <c r="P455" s="136" t="s">
        <v>1844</v>
      </c>
      <c r="Q455" s="144"/>
      <c r="R455" s="144"/>
      <c r="S455" s="136"/>
      <c r="T455" s="144"/>
      <c r="U455" s="144" t="s">
        <v>1845</v>
      </c>
      <c r="V455" s="144"/>
      <c r="W455" s="144"/>
      <c r="X455" s="136"/>
      <c r="Y455" s="136"/>
      <c r="Z455" s="140" t="s">
        <v>1845</v>
      </c>
      <c r="AA455" s="144"/>
      <c r="AB455" s="136"/>
      <c r="AC455" s="136"/>
      <c r="AD455" s="136"/>
      <c r="AE455" s="136"/>
      <c r="AF455" s="136"/>
      <c r="AG455" s="140"/>
      <c r="AH455" s="136"/>
      <c r="AI455" s="128"/>
      <c r="AJ455" s="137"/>
      <c r="AK455" s="140"/>
      <c r="AL455" s="140"/>
    </row>
    <row r="456" ht="15.75" customHeight="1">
      <c r="A456" s="125">
        <v>455.0</v>
      </c>
      <c r="B456" s="138">
        <f t="shared" si="49"/>
        <v>10455</v>
      </c>
      <c r="C456" s="250" t="s">
        <v>1840</v>
      </c>
      <c r="D456" s="122" t="s">
        <v>2212</v>
      </c>
      <c r="E456" s="125" t="s">
        <v>27</v>
      </c>
      <c r="F456" s="127" t="s">
        <v>2580</v>
      </c>
      <c r="G456" s="127" t="s">
        <v>844</v>
      </c>
      <c r="H456" s="140" t="s">
        <v>1844</v>
      </c>
      <c r="I456" s="128" t="s">
        <v>1843</v>
      </c>
      <c r="J456" s="186" t="s">
        <v>1844</v>
      </c>
      <c r="K456" s="136" t="s">
        <v>1844</v>
      </c>
      <c r="L456" s="136" t="s">
        <v>1878</v>
      </c>
      <c r="M456" s="136" t="s">
        <v>1844</v>
      </c>
      <c r="N456" s="144" t="s">
        <v>1844</v>
      </c>
      <c r="O456" s="140" t="s">
        <v>1844</v>
      </c>
      <c r="P456" s="128" t="s">
        <v>1862</v>
      </c>
      <c r="Q456" s="140"/>
      <c r="R456" s="144"/>
      <c r="S456" s="128"/>
      <c r="T456" s="140"/>
      <c r="U456" s="140"/>
      <c r="V456" s="140"/>
      <c r="W456" s="144"/>
      <c r="X456" s="136"/>
      <c r="Y456" s="128"/>
      <c r="Z456" s="140"/>
      <c r="AA456" s="144"/>
      <c r="AB456" s="136"/>
      <c r="AC456" s="136"/>
      <c r="AD456" s="136"/>
      <c r="AE456" s="136"/>
      <c r="AF456" s="136"/>
      <c r="AG456" s="140"/>
      <c r="AH456" s="136"/>
      <c r="AI456" s="128"/>
      <c r="AJ456" s="137"/>
      <c r="AK456" s="140"/>
      <c r="AL456" s="140"/>
    </row>
    <row r="457" ht="15.75" customHeight="1">
      <c r="A457" s="125">
        <v>456.0</v>
      </c>
      <c r="B457" s="138">
        <f t="shared" si="49"/>
        <v>10456</v>
      </c>
      <c r="C457" s="250" t="s">
        <v>1840</v>
      </c>
      <c r="D457" s="122" t="s">
        <v>2581</v>
      </c>
      <c r="E457" s="125" t="s">
        <v>34</v>
      </c>
      <c r="F457" s="127" t="s">
        <v>2582</v>
      </c>
      <c r="G457" s="127" t="s">
        <v>846</v>
      </c>
      <c r="H457" s="140" t="s">
        <v>1844</v>
      </c>
      <c r="I457" s="128" t="s">
        <v>1906</v>
      </c>
      <c r="J457" s="186" t="s">
        <v>1902</v>
      </c>
      <c r="K457" s="136" t="s">
        <v>1877</v>
      </c>
      <c r="L457" s="136" t="s">
        <v>1878</v>
      </c>
      <c r="M457" s="136" t="s">
        <v>1845</v>
      </c>
      <c r="N457" s="144" t="s">
        <v>1903</v>
      </c>
      <c r="O457" s="140" t="s">
        <v>1879</v>
      </c>
      <c r="P457" s="128" t="s">
        <v>1862</v>
      </c>
      <c r="Q457" s="140"/>
      <c r="R457" s="144"/>
      <c r="S457" s="128"/>
      <c r="T457" s="140"/>
      <c r="U457" s="140" t="s">
        <v>1845</v>
      </c>
      <c r="V457" s="140"/>
      <c r="W457" s="144"/>
      <c r="X457" s="136" t="s">
        <v>1845</v>
      </c>
      <c r="Y457" s="128"/>
      <c r="Z457" s="140"/>
      <c r="AA457" s="144"/>
      <c r="AB457" s="136"/>
      <c r="AC457" s="136"/>
      <c r="AD457" s="136"/>
      <c r="AE457" s="136"/>
      <c r="AF457" s="136"/>
      <c r="AG457" s="140"/>
      <c r="AH457" s="136"/>
      <c r="AI457" s="128"/>
      <c r="AJ457" s="137"/>
      <c r="AK457" s="140"/>
      <c r="AL457" s="140"/>
    </row>
    <row r="458" ht="15.75" customHeight="1">
      <c r="A458" s="125">
        <v>457.0</v>
      </c>
      <c r="B458" s="138">
        <f t="shared" si="49"/>
        <v>10457</v>
      </c>
      <c r="C458" s="250" t="s">
        <v>1840</v>
      </c>
      <c r="D458" s="122" t="s">
        <v>2581</v>
      </c>
      <c r="E458" s="125" t="s">
        <v>20</v>
      </c>
      <c r="F458" s="127" t="s">
        <v>2583</v>
      </c>
      <c r="G458" s="142" t="s">
        <v>848</v>
      </c>
      <c r="H458" s="140" t="s">
        <v>1844</v>
      </c>
      <c r="I458" s="128" t="s">
        <v>1843</v>
      </c>
      <c r="J458" s="186" t="s">
        <v>1844</v>
      </c>
      <c r="K458" s="136" t="s">
        <v>1844</v>
      </c>
      <c r="L458" s="136" t="s">
        <v>1844</v>
      </c>
      <c r="M458" s="136" t="s">
        <v>1845</v>
      </c>
      <c r="N458" s="144" t="s">
        <v>1844</v>
      </c>
      <c r="O458" s="140" t="s">
        <v>1844</v>
      </c>
      <c r="P458" s="128" t="s">
        <v>1862</v>
      </c>
      <c r="Q458" s="140"/>
      <c r="R458" s="144"/>
      <c r="S458" s="128" t="s">
        <v>1845</v>
      </c>
      <c r="T458" s="140"/>
      <c r="U458" s="140"/>
      <c r="V458" s="140"/>
      <c r="W458" s="144"/>
      <c r="X458" s="136"/>
      <c r="Y458" s="128"/>
      <c r="Z458" s="140"/>
      <c r="AA458" s="144"/>
      <c r="AB458" s="136"/>
      <c r="AC458" s="136"/>
      <c r="AD458" s="136"/>
      <c r="AE458" s="136"/>
      <c r="AF458" s="136"/>
      <c r="AG458" s="140"/>
      <c r="AH458" s="136"/>
      <c r="AI458" s="128"/>
      <c r="AJ458" s="137"/>
      <c r="AK458" s="140"/>
      <c r="AL458" s="140"/>
    </row>
    <row r="459" ht="15.75" customHeight="1">
      <c r="A459" s="125">
        <v>458.0</v>
      </c>
      <c r="B459" s="138">
        <f t="shared" si="49"/>
        <v>10458</v>
      </c>
      <c r="C459" s="250" t="s">
        <v>1840</v>
      </c>
      <c r="D459" s="122" t="s">
        <v>2581</v>
      </c>
      <c r="E459" s="125" t="s">
        <v>20</v>
      </c>
      <c r="F459" s="225" t="s">
        <v>2584</v>
      </c>
      <c r="G459" s="142" t="s">
        <v>850</v>
      </c>
      <c r="H459" s="140" t="s">
        <v>1844</v>
      </c>
      <c r="I459" s="128" t="s">
        <v>1843</v>
      </c>
      <c r="J459" s="186" t="s">
        <v>1844</v>
      </c>
      <c r="K459" s="136" t="s">
        <v>1844</v>
      </c>
      <c r="L459" s="136" t="s">
        <v>1844</v>
      </c>
      <c r="M459" s="136" t="s">
        <v>1845</v>
      </c>
      <c r="N459" s="144" t="s">
        <v>1844</v>
      </c>
      <c r="O459" s="140" t="s">
        <v>1844</v>
      </c>
      <c r="P459" s="128" t="s">
        <v>1862</v>
      </c>
      <c r="Q459" s="140"/>
      <c r="R459" s="144"/>
      <c r="S459" s="128" t="s">
        <v>1845</v>
      </c>
      <c r="T459" s="140"/>
      <c r="U459" s="140"/>
      <c r="V459" s="140"/>
      <c r="W459" s="144"/>
      <c r="X459" s="136"/>
      <c r="Y459" s="128"/>
      <c r="Z459" s="140"/>
      <c r="AA459" s="144"/>
      <c r="AB459" s="136"/>
      <c r="AC459" s="136"/>
      <c r="AD459" s="136"/>
      <c r="AE459" s="136"/>
      <c r="AF459" s="136"/>
      <c r="AG459" s="140"/>
      <c r="AH459" s="136"/>
      <c r="AI459" s="128"/>
      <c r="AJ459" s="137"/>
      <c r="AK459" s="140"/>
      <c r="AL459" s="140"/>
    </row>
    <row r="460" ht="15.75" customHeight="1">
      <c r="A460" s="125">
        <v>459.0</v>
      </c>
      <c r="B460" s="138">
        <f t="shared" si="49"/>
        <v>10459</v>
      </c>
      <c r="C460" s="250" t="s">
        <v>1840</v>
      </c>
      <c r="D460" s="122" t="s">
        <v>2581</v>
      </c>
      <c r="E460" s="125" t="s">
        <v>20</v>
      </c>
      <c r="F460" s="251" t="s">
        <v>2585</v>
      </c>
      <c r="G460" s="252" t="s">
        <v>852</v>
      </c>
      <c r="H460" s="140" t="s">
        <v>1844</v>
      </c>
      <c r="I460" s="128" t="s">
        <v>1843</v>
      </c>
      <c r="J460" s="186" t="s">
        <v>1844</v>
      </c>
      <c r="K460" s="136" t="s">
        <v>1844</v>
      </c>
      <c r="L460" s="136" t="s">
        <v>1844</v>
      </c>
      <c r="M460" s="136" t="s">
        <v>1845</v>
      </c>
      <c r="N460" s="144" t="s">
        <v>1844</v>
      </c>
      <c r="O460" s="140" t="s">
        <v>1844</v>
      </c>
      <c r="P460" s="128" t="s">
        <v>1862</v>
      </c>
      <c r="Q460" s="140"/>
      <c r="R460" s="144"/>
      <c r="S460" s="128" t="s">
        <v>1845</v>
      </c>
      <c r="T460" s="140"/>
      <c r="U460" s="140"/>
      <c r="V460" s="140"/>
      <c r="W460" s="144"/>
      <c r="X460" s="136" t="s">
        <v>1845</v>
      </c>
      <c r="Y460" s="128"/>
      <c r="Z460" s="140"/>
      <c r="AA460" s="144"/>
      <c r="AB460" s="136"/>
      <c r="AC460" s="136"/>
      <c r="AD460" s="136"/>
      <c r="AE460" s="136"/>
      <c r="AF460" s="136"/>
      <c r="AG460" s="140"/>
      <c r="AH460" s="136"/>
      <c r="AI460" s="128"/>
      <c r="AJ460" s="137"/>
      <c r="AK460" s="140"/>
      <c r="AL460" s="140"/>
    </row>
    <row r="461" ht="15.75" customHeight="1">
      <c r="A461" s="125">
        <v>460.0</v>
      </c>
      <c r="B461" s="138">
        <f t="shared" si="49"/>
        <v>10460</v>
      </c>
      <c r="C461" s="250" t="s">
        <v>1840</v>
      </c>
      <c r="D461" s="122" t="s">
        <v>2581</v>
      </c>
      <c r="E461" s="174" t="s">
        <v>34</v>
      </c>
      <c r="F461" s="126" t="s">
        <v>2586</v>
      </c>
      <c r="G461" s="126" t="s">
        <v>854</v>
      </c>
      <c r="H461" s="227" t="s">
        <v>1844</v>
      </c>
      <c r="I461" s="128" t="s">
        <v>1843</v>
      </c>
      <c r="J461" s="186" t="s">
        <v>1876</v>
      </c>
      <c r="K461" s="136" t="s">
        <v>2348</v>
      </c>
      <c r="L461" s="136" t="s">
        <v>1844</v>
      </c>
      <c r="M461" s="136" t="s">
        <v>1845</v>
      </c>
      <c r="N461" s="144" t="s">
        <v>1844</v>
      </c>
      <c r="O461" s="140" t="s">
        <v>1879</v>
      </c>
      <c r="P461" s="128" t="s">
        <v>1862</v>
      </c>
      <c r="Q461" s="140"/>
      <c r="R461" s="144" t="s">
        <v>1845</v>
      </c>
      <c r="S461" s="128" t="s">
        <v>1845</v>
      </c>
      <c r="T461" s="140"/>
      <c r="U461" s="140"/>
      <c r="V461" s="140"/>
      <c r="W461" s="144"/>
      <c r="X461" s="136"/>
      <c r="Y461" s="128"/>
      <c r="Z461" s="140"/>
      <c r="AA461" s="144"/>
      <c r="AB461" s="136"/>
      <c r="AC461" s="136"/>
      <c r="AD461" s="136"/>
      <c r="AE461" s="136"/>
      <c r="AF461" s="136"/>
      <c r="AG461" s="140"/>
      <c r="AH461" s="136"/>
      <c r="AI461" s="128"/>
      <c r="AJ461" s="137"/>
      <c r="AK461" s="140"/>
      <c r="AL461" s="140"/>
    </row>
    <row r="462" ht="15.75" customHeight="1">
      <c r="A462" s="125">
        <v>461.0</v>
      </c>
      <c r="B462" s="138">
        <f t="shared" si="49"/>
        <v>10461</v>
      </c>
      <c r="C462" s="250" t="s">
        <v>1840</v>
      </c>
      <c r="D462" s="122" t="s">
        <v>2581</v>
      </c>
      <c r="E462" s="125" t="s">
        <v>34</v>
      </c>
      <c r="F462" s="253" t="s">
        <v>2587</v>
      </c>
      <c r="G462" s="254" t="s">
        <v>856</v>
      </c>
      <c r="H462" s="140" t="s">
        <v>1844</v>
      </c>
      <c r="I462" s="128" t="s">
        <v>1843</v>
      </c>
      <c r="J462" s="186" t="s">
        <v>1876</v>
      </c>
      <c r="K462" s="136" t="s">
        <v>2348</v>
      </c>
      <c r="L462" s="136" t="s">
        <v>1844</v>
      </c>
      <c r="M462" s="136" t="s">
        <v>1845</v>
      </c>
      <c r="N462" s="144" t="s">
        <v>1844</v>
      </c>
      <c r="O462" s="140" t="s">
        <v>1879</v>
      </c>
      <c r="P462" s="128" t="s">
        <v>1862</v>
      </c>
      <c r="Q462" s="140"/>
      <c r="R462" s="144"/>
      <c r="S462" s="128"/>
      <c r="T462" s="140"/>
      <c r="U462" s="140"/>
      <c r="V462" s="140"/>
      <c r="W462" s="144" t="s">
        <v>1845</v>
      </c>
      <c r="X462" s="136" t="s">
        <v>1845</v>
      </c>
      <c r="Y462" s="128"/>
      <c r="Z462" s="140"/>
      <c r="AA462" s="144"/>
      <c r="AB462" s="136"/>
      <c r="AC462" s="136"/>
      <c r="AD462" s="136"/>
      <c r="AE462" s="136"/>
      <c r="AF462" s="136"/>
      <c r="AG462" s="140"/>
      <c r="AH462" s="136"/>
      <c r="AI462" s="128"/>
      <c r="AJ462" s="137"/>
      <c r="AK462" s="140"/>
      <c r="AL462" s="140"/>
    </row>
    <row r="463" ht="15.75" customHeight="1">
      <c r="A463" s="125">
        <v>462.0</v>
      </c>
      <c r="B463" s="138">
        <f t="shared" si="49"/>
        <v>10462</v>
      </c>
      <c r="C463" s="250" t="s">
        <v>1840</v>
      </c>
      <c r="D463" s="122" t="s">
        <v>1846</v>
      </c>
      <c r="E463" s="174" t="s">
        <v>34</v>
      </c>
      <c r="F463" s="126" t="s">
        <v>2588</v>
      </c>
      <c r="G463" s="126" t="s">
        <v>858</v>
      </c>
      <c r="H463" s="227" t="s">
        <v>1844</v>
      </c>
      <c r="I463" s="128" t="s">
        <v>1843</v>
      </c>
      <c r="J463" s="186" t="s">
        <v>1876</v>
      </c>
      <c r="K463" s="136" t="s">
        <v>2348</v>
      </c>
      <c r="L463" s="136" t="s">
        <v>1878</v>
      </c>
      <c r="M463" s="136" t="s">
        <v>1845</v>
      </c>
      <c r="N463" s="144" t="s">
        <v>1844</v>
      </c>
      <c r="O463" s="140" t="s">
        <v>1879</v>
      </c>
      <c r="P463" s="128" t="s">
        <v>1862</v>
      </c>
      <c r="Q463" s="140"/>
      <c r="R463" s="144"/>
      <c r="S463" s="128" t="s">
        <v>1845</v>
      </c>
      <c r="T463" s="140"/>
      <c r="U463" s="140"/>
      <c r="V463" s="140"/>
      <c r="W463" s="144"/>
      <c r="X463" s="136"/>
      <c r="Y463" s="128"/>
      <c r="Z463" s="140"/>
      <c r="AA463" s="144"/>
      <c r="AB463" s="136"/>
      <c r="AC463" s="136"/>
      <c r="AD463" s="136"/>
      <c r="AE463" s="136"/>
      <c r="AF463" s="136"/>
      <c r="AG463" s="140"/>
      <c r="AH463" s="136"/>
      <c r="AI463" s="128"/>
      <c r="AJ463" s="137"/>
      <c r="AK463" s="140"/>
      <c r="AL463" s="140"/>
    </row>
    <row r="464" ht="15.75" customHeight="1">
      <c r="A464" s="125">
        <v>463.0</v>
      </c>
      <c r="B464" s="138">
        <f t="shared" si="49"/>
        <v>10463</v>
      </c>
      <c r="C464" s="250" t="s">
        <v>1840</v>
      </c>
      <c r="D464" s="122" t="s">
        <v>2581</v>
      </c>
      <c r="E464" s="174" t="s">
        <v>34</v>
      </c>
      <c r="F464" s="126" t="s">
        <v>2589</v>
      </c>
      <c r="G464" s="126" t="s">
        <v>860</v>
      </c>
      <c r="H464" s="227" t="s">
        <v>1844</v>
      </c>
      <c r="I464" s="128" t="s">
        <v>1843</v>
      </c>
      <c r="J464" s="186" t="s">
        <v>1876</v>
      </c>
      <c r="K464" s="136" t="s">
        <v>1877</v>
      </c>
      <c r="L464" s="136" t="s">
        <v>1844</v>
      </c>
      <c r="M464" s="136" t="s">
        <v>1845</v>
      </c>
      <c r="N464" s="144" t="s">
        <v>1844</v>
      </c>
      <c r="O464" s="140" t="s">
        <v>1879</v>
      </c>
      <c r="P464" s="128" t="s">
        <v>1862</v>
      </c>
      <c r="Q464" s="140"/>
      <c r="R464" s="144"/>
      <c r="S464" s="128" t="s">
        <v>1845</v>
      </c>
      <c r="T464" s="140"/>
      <c r="U464" s="140"/>
      <c r="V464" s="140"/>
      <c r="W464" s="144"/>
      <c r="X464" s="136"/>
      <c r="Y464" s="128"/>
      <c r="Z464" s="140"/>
      <c r="AA464" s="144"/>
      <c r="AB464" s="136"/>
      <c r="AC464" s="136"/>
      <c r="AD464" s="136"/>
      <c r="AE464" s="136"/>
      <c r="AF464" s="136"/>
      <c r="AG464" s="140"/>
      <c r="AH464" s="136"/>
      <c r="AI464" s="128"/>
      <c r="AJ464" s="137"/>
      <c r="AK464" s="140"/>
      <c r="AL464" s="140"/>
    </row>
    <row r="465" ht="15.75" customHeight="1">
      <c r="A465" s="151">
        <v>464.0</v>
      </c>
      <c r="B465" s="138">
        <f t="shared" si="49"/>
        <v>10464</v>
      </c>
      <c r="C465" s="250" t="s">
        <v>1840</v>
      </c>
      <c r="D465" s="150" t="s">
        <v>2581</v>
      </c>
      <c r="E465" s="151" t="s">
        <v>7</v>
      </c>
      <c r="F465" s="255" t="s">
        <v>2590</v>
      </c>
      <c r="G465" s="255" t="s">
        <v>862</v>
      </c>
      <c r="H465" s="140" t="s">
        <v>1844</v>
      </c>
      <c r="I465" s="129" t="s">
        <v>1852</v>
      </c>
      <c r="J465" s="143" t="s">
        <v>1844</v>
      </c>
      <c r="K465" s="132" t="s">
        <v>1844</v>
      </c>
      <c r="L465" s="132" t="s">
        <v>1844</v>
      </c>
      <c r="M465" s="132" t="s">
        <v>1844</v>
      </c>
      <c r="N465" s="131" t="s">
        <v>1844</v>
      </c>
      <c r="O465" s="171" t="s">
        <v>1844</v>
      </c>
      <c r="P465" s="129" t="s">
        <v>1844</v>
      </c>
      <c r="Q465" s="171"/>
      <c r="R465" s="131"/>
      <c r="S465" s="129"/>
      <c r="T465" s="171"/>
      <c r="U465" s="171" t="s">
        <v>1845</v>
      </c>
      <c r="V465" s="171"/>
      <c r="W465" s="131"/>
      <c r="X465" s="132"/>
      <c r="Y465" s="129"/>
      <c r="Z465" s="171"/>
      <c r="AA465" s="131"/>
      <c r="AB465" s="132"/>
      <c r="AC465" s="132"/>
      <c r="AD465" s="132"/>
      <c r="AE465" s="132"/>
      <c r="AF465" s="136"/>
      <c r="AG465" s="140"/>
      <c r="AH465" s="136"/>
      <c r="AI465" s="128"/>
      <c r="AJ465" s="137"/>
      <c r="AK465" s="140"/>
      <c r="AL465" s="140"/>
    </row>
    <row r="466" ht="15.75" customHeight="1">
      <c r="A466" s="125">
        <v>465.0</v>
      </c>
      <c r="B466" s="138">
        <f t="shared" si="49"/>
        <v>10465</v>
      </c>
      <c r="C466" s="250" t="s">
        <v>1840</v>
      </c>
      <c r="D466" s="122" t="s">
        <v>2404</v>
      </c>
      <c r="E466" s="174" t="s">
        <v>34</v>
      </c>
      <c r="F466" s="126" t="s">
        <v>2591</v>
      </c>
      <c r="G466" s="126" t="s">
        <v>864</v>
      </c>
      <c r="H466" s="227" t="s">
        <v>1844</v>
      </c>
      <c r="I466" s="128" t="s">
        <v>1843</v>
      </c>
      <c r="J466" s="186" t="s">
        <v>1876</v>
      </c>
      <c r="K466" s="136" t="s">
        <v>2348</v>
      </c>
      <c r="L466" s="136" t="s">
        <v>1878</v>
      </c>
      <c r="M466" s="136" t="s">
        <v>1845</v>
      </c>
      <c r="N466" s="144" t="s">
        <v>1844</v>
      </c>
      <c r="O466" s="140" t="s">
        <v>1879</v>
      </c>
      <c r="P466" s="128" t="s">
        <v>1862</v>
      </c>
      <c r="Q466" s="140"/>
      <c r="R466" s="144"/>
      <c r="S466" s="128" t="s">
        <v>1845</v>
      </c>
      <c r="T466" s="140"/>
      <c r="U466" s="140"/>
      <c r="V466" s="140"/>
      <c r="W466" s="144"/>
      <c r="X466" s="136"/>
      <c r="Y466" s="128"/>
      <c r="Z466" s="140"/>
      <c r="AA466" s="144"/>
      <c r="AB466" s="136"/>
      <c r="AC466" s="136"/>
      <c r="AD466" s="136"/>
      <c r="AE466" s="136"/>
      <c r="AF466" s="136"/>
      <c r="AG466" s="140"/>
      <c r="AH466" s="136"/>
      <c r="AI466" s="128"/>
      <c r="AJ466" s="137"/>
      <c r="AK466" s="140"/>
      <c r="AL466" s="140"/>
    </row>
    <row r="467" ht="15.75" customHeight="1">
      <c r="A467" s="125">
        <v>466.0</v>
      </c>
      <c r="B467" s="138">
        <f t="shared" si="49"/>
        <v>10466</v>
      </c>
      <c r="C467" s="250" t="s">
        <v>1840</v>
      </c>
      <c r="D467" s="122" t="s">
        <v>2125</v>
      </c>
      <c r="E467" s="125" t="s">
        <v>7</v>
      </c>
      <c r="F467" s="198" t="s">
        <v>2592</v>
      </c>
      <c r="G467" s="197" t="s">
        <v>866</v>
      </c>
      <c r="H467" s="140" t="s">
        <v>1844</v>
      </c>
      <c r="I467" s="128" t="s">
        <v>1906</v>
      </c>
      <c r="J467" s="186" t="s">
        <v>1844</v>
      </c>
      <c r="K467" s="136" t="s">
        <v>1844</v>
      </c>
      <c r="L467" s="136" t="s">
        <v>1844</v>
      </c>
      <c r="M467" s="136" t="s">
        <v>1844</v>
      </c>
      <c r="N467" s="144" t="s">
        <v>1844</v>
      </c>
      <c r="O467" s="140" t="s">
        <v>1844</v>
      </c>
      <c r="P467" s="128" t="s">
        <v>1844</v>
      </c>
      <c r="Q467" s="140"/>
      <c r="R467" s="144" t="s">
        <v>1845</v>
      </c>
      <c r="S467" s="128" t="s">
        <v>1845</v>
      </c>
      <c r="T467" s="140"/>
      <c r="U467" s="140"/>
      <c r="V467" s="140"/>
      <c r="W467" s="144"/>
      <c r="X467" s="136"/>
      <c r="Y467" s="128"/>
      <c r="Z467" s="140"/>
      <c r="AA467" s="144"/>
      <c r="AB467" s="136"/>
      <c r="AC467" s="136"/>
      <c r="AD467" s="136"/>
      <c r="AE467" s="136"/>
      <c r="AF467" s="136"/>
      <c r="AG467" s="140"/>
      <c r="AH467" s="136"/>
      <c r="AI467" s="128"/>
      <c r="AJ467" s="137"/>
      <c r="AK467" s="140"/>
      <c r="AL467" s="140"/>
    </row>
    <row r="468" ht="15.75" customHeight="1">
      <c r="A468" s="125">
        <v>467.0</v>
      </c>
      <c r="B468" s="138">
        <f t="shared" si="49"/>
        <v>10467</v>
      </c>
      <c r="C468" s="250" t="s">
        <v>1840</v>
      </c>
      <c r="D468" s="122" t="s">
        <v>2125</v>
      </c>
      <c r="E468" s="125" t="s">
        <v>27</v>
      </c>
      <c r="F468" s="198" t="s">
        <v>2593</v>
      </c>
      <c r="G468" s="198" t="s">
        <v>868</v>
      </c>
      <c r="H468" s="140" t="s">
        <v>1844</v>
      </c>
      <c r="I468" s="128" t="s">
        <v>1843</v>
      </c>
      <c r="J468" s="186" t="s">
        <v>1844</v>
      </c>
      <c r="K468" s="136" t="s">
        <v>1844</v>
      </c>
      <c r="L468" s="136" t="s">
        <v>1844</v>
      </c>
      <c r="M468" s="136" t="s">
        <v>1845</v>
      </c>
      <c r="N468" s="144" t="s">
        <v>1844</v>
      </c>
      <c r="O468" s="140"/>
      <c r="P468" s="128" t="s">
        <v>1862</v>
      </c>
      <c r="Q468" s="140"/>
      <c r="R468" s="144"/>
      <c r="S468" s="128"/>
      <c r="T468" s="140" t="s">
        <v>1845</v>
      </c>
      <c r="U468" s="140"/>
      <c r="V468" s="140"/>
      <c r="W468" s="144"/>
      <c r="X468" s="136"/>
      <c r="Y468" s="128"/>
      <c r="Z468" s="140"/>
      <c r="AA468" s="144"/>
      <c r="AB468" s="136"/>
      <c r="AC468" s="136"/>
      <c r="AD468" s="136"/>
      <c r="AE468" s="136"/>
      <c r="AF468" s="136"/>
      <c r="AG468" s="140"/>
      <c r="AH468" s="136"/>
      <c r="AI468" s="128"/>
      <c r="AJ468" s="137"/>
      <c r="AK468" s="140"/>
      <c r="AL468" s="140"/>
    </row>
    <row r="469" ht="15.75" customHeight="1">
      <c r="A469" s="125">
        <v>468.0</v>
      </c>
      <c r="B469" s="138">
        <f t="shared" si="49"/>
        <v>10468</v>
      </c>
      <c r="C469" s="250" t="s">
        <v>1840</v>
      </c>
      <c r="D469" s="122" t="s">
        <v>2581</v>
      </c>
      <c r="E469" s="125" t="s">
        <v>34</v>
      </c>
      <c r="F469" s="127" t="s">
        <v>2594</v>
      </c>
      <c r="G469" s="127" t="s">
        <v>870</v>
      </c>
      <c r="H469" s="140" t="s">
        <v>1844</v>
      </c>
      <c r="I469" s="128" t="s">
        <v>1906</v>
      </c>
      <c r="J469" s="186" t="s">
        <v>1902</v>
      </c>
      <c r="K469" s="136" t="s">
        <v>1877</v>
      </c>
      <c r="L469" s="136" t="s">
        <v>1844</v>
      </c>
      <c r="M469" s="136" t="s">
        <v>1845</v>
      </c>
      <c r="N469" s="144">
        <v>1.0</v>
      </c>
      <c r="O469" s="140" t="s">
        <v>1879</v>
      </c>
      <c r="P469" s="128" t="s">
        <v>1862</v>
      </c>
      <c r="Q469" s="140"/>
      <c r="R469" s="144"/>
      <c r="S469" s="128"/>
      <c r="T469" s="140"/>
      <c r="U469" s="140"/>
      <c r="V469" s="140" t="s">
        <v>1845</v>
      </c>
      <c r="W469" s="144"/>
      <c r="X469" s="136"/>
      <c r="Y469" s="128"/>
      <c r="Z469" s="140"/>
      <c r="AA469" s="144"/>
      <c r="AB469" s="136"/>
      <c r="AC469" s="136"/>
      <c r="AD469" s="136"/>
      <c r="AE469" s="136"/>
      <c r="AF469" s="136"/>
      <c r="AG469" s="140"/>
      <c r="AH469" s="136"/>
      <c r="AI469" s="128"/>
      <c r="AJ469" s="137"/>
      <c r="AK469" s="140"/>
      <c r="AL469" s="140"/>
    </row>
    <row r="470" ht="15.75" customHeight="1">
      <c r="A470" s="125">
        <v>469.0</v>
      </c>
      <c r="B470" s="138">
        <f t="shared" si="49"/>
        <v>10469</v>
      </c>
      <c r="C470" s="250" t="s">
        <v>1840</v>
      </c>
      <c r="D470" s="122" t="s">
        <v>1849</v>
      </c>
      <c r="E470" s="125" t="s">
        <v>27</v>
      </c>
      <c r="F470" s="127" t="s">
        <v>2595</v>
      </c>
      <c r="G470" s="153" t="s">
        <v>872</v>
      </c>
      <c r="H470" s="140" t="s">
        <v>1844</v>
      </c>
      <c r="I470" s="128" t="s">
        <v>1843</v>
      </c>
      <c r="J470" s="186" t="s">
        <v>1844</v>
      </c>
      <c r="K470" s="136" t="s">
        <v>1844</v>
      </c>
      <c r="L470" s="136" t="s">
        <v>1844</v>
      </c>
      <c r="M470" s="136" t="s">
        <v>1845</v>
      </c>
      <c r="N470" s="144" t="s">
        <v>1844</v>
      </c>
      <c r="O470" s="140" t="s">
        <v>1844</v>
      </c>
      <c r="P470" s="128" t="s">
        <v>1862</v>
      </c>
      <c r="Q470" s="140"/>
      <c r="R470" s="144" t="s">
        <v>1845</v>
      </c>
      <c r="S470" s="128"/>
      <c r="T470" s="140" t="s">
        <v>1845</v>
      </c>
      <c r="U470" s="140"/>
      <c r="V470" s="140"/>
      <c r="W470" s="144"/>
      <c r="X470" s="136"/>
      <c r="Y470" s="128"/>
      <c r="Z470" s="140"/>
      <c r="AA470" s="144"/>
      <c r="AB470" s="136"/>
      <c r="AC470" s="136"/>
      <c r="AD470" s="136"/>
      <c r="AE470" s="136"/>
      <c r="AF470" s="136"/>
      <c r="AG470" s="140"/>
      <c r="AH470" s="136"/>
      <c r="AI470" s="128"/>
      <c r="AJ470" s="137"/>
      <c r="AK470" s="140"/>
      <c r="AL470" s="140"/>
    </row>
    <row r="471" ht="15.75" customHeight="1">
      <c r="A471" s="125">
        <v>470.0</v>
      </c>
      <c r="B471" s="138">
        <f t="shared" si="49"/>
        <v>10470</v>
      </c>
      <c r="C471" s="250" t="s">
        <v>1840</v>
      </c>
      <c r="D471" s="122" t="s">
        <v>2125</v>
      </c>
      <c r="E471" s="125" t="s">
        <v>7</v>
      </c>
      <c r="F471" s="232" t="s">
        <v>2596</v>
      </c>
      <c r="G471" s="127" t="s">
        <v>874</v>
      </c>
      <c r="H471" s="140" t="s">
        <v>1844</v>
      </c>
      <c r="I471" s="128" t="s">
        <v>1906</v>
      </c>
      <c r="J471" s="186" t="s">
        <v>1844</v>
      </c>
      <c r="K471" s="136" t="s">
        <v>1844</v>
      </c>
      <c r="L471" s="136" t="s">
        <v>1844</v>
      </c>
      <c r="M471" s="136" t="s">
        <v>1844</v>
      </c>
      <c r="N471" s="144" t="s">
        <v>1844</v>
      </c>
      <c r="O471" s="140" t="s">
        <v>1844</v>
      </c>
      <c r="P471" s="128" t="s">
        <v>1844</v>
      </c>
      <c r="Q471" s="140"/>
      <c r="R471" s="144"/>
      <c r="S471" s="128"/>
      <c r="T471" s="140"/>
      <c r="U471" s="140" t="s">
        <v>1845</v>
      </c>
      <c r="V471" s="140" t="s">
        <v>1845</v>
      </c>
      <c r="W471" s="144" t="s">
        <v>1845</v>
      </c>
      <c r="X471" s="136"/>
      <c r="Y471" s="128"/>
      <c r="Z471" s="140"/>
      <c r="AA471" s="144"/>
      <c r="AB471" s="136"/>
      <c r="AC471" s="136"/>
      <c r="AD471" s="136"/>
      <c r="AE471" s="136"/>
      <c r="AF471" s="136"/>
      <c r="AG471" s="140"/>
      <c r="AH471" s="136"/>
      <c r="AI471" s="128"/>
      <c r="AJ471" s="137"/>
      <c r="AK471" s="140"/>
      <c r="AL471" s="140"/>
    </row>
    <row r="472" ht="15.75" customHeight="1">
      <c r="A472" s="125">
        <v>471.0</v>
      </c>
      <c r="B472" s="138">
        <f t="shared" si="49"/>
        <v>10471</v>
      </c>
      <c r="C472" s="250" t="s">
        <v>1840</v>
      </c>
      <c r="D472" s="122" t="s">
        <v>2099</v>
      </c>
      <c r="E472" s="125" t="s">
        <v>34</v>
      </c>
      <c r="F472" s="201" t="s">
        <v>2597</v>
      </c>
      <c r="G472" s="142" t="s">
        <v>876</v>
      </c>
      <c r="H472" s="140" t="s">
        <v>1844</v>
      </c>
      <c r="I472" s="140" t="s">
        <v>1843</v>
      </c>
      <c r="J472" s="186" t="s">
        <v>1876</v>
      </c>
      <c r="K472" s="136" t="s">
        <v>2348</v>
      </c>
      <c r="L472" s="136" t="s">
        <v>1844</v>
      </c>
      <c r="M472" s="136" t="s">
        <v>1845</v>
      </c>
      <c r="N472" s="144" t="s">
        <v>1844</v>
      </c>
      <c r="O472" s="140" t="s">
        <v>1879</v>
      </c>
      <c r="P472" s="128" t="s">
        <v>1862</v>
      </c>
      <c r="Q472" s="140"/>
      <c r="R472" s="144"/>
      <c r="S472" s="128"/>
      <c r="T472" s="140" t="s">
        <v>1845</v>
      </c>
      <c r="U472" s="140"/>
      <c r="V472" s="140"/>
      <c r="W472" s="144"/>
      <c r="X472" s="136"/>
      <c r="Y472" s="128"/>
      <c r="Z472" s="140"/>
      <c r="AA472" s="144"/>
      <c r="AB472" s="136"/>
      <c r="AC472" s="136"/>
      <c r="AD472" s="136"/>
      <c r="AE472" s="136"/>
      <c r="AF472" s="136"/>
      <c r="AG472" s="140"/>
      <c r="AH472" s="136"/>
      <c r="AI472" s="128"/>
      <c r="AJ472" s="137"/>
      <c r="AK472" s="140"/>
      <c r="AL472" s="140"/>
    </row>
    <row r="473" ht="15.75" customHeight="1">
      <c r="A473" s="125">
        <v>472.0</v>
      </c>
      <c r="B473" s="138">
        <f t="shared" si="49"/>
        <v>10472</v>
      </c>
      <c r="C473" s="250" t="s">
        <v>1840</v>
      </c>
      <c r="D473" s="122" t="s">
        <v>1846</v>
      </c>
      <c r="E473" s="174" t="s">
        <v>34</v>
      </c>
      <c r="F473" s="126" t="s">
        <v>2598</v>
      </c>
      <c r="G473" s="126" t="s">
        <v>878</v>
      </c>
      <c r="H473" s="227" t="s">
        <v>1844</v>
      </c>
      <c r="I473" s="128" t="s">
        <v>1843</v>
      </c>
      <c r="J473" s="186" t="s">
        <v>1876</v>
      </c>
      <c r="K473" s="136" t="s">
        <v>1877</v>
      </c>
      <c r="L473" s="136" t="s">
        <v>1844</v>
      </c>
      <c r="M473" s="136" t="s">
        <v>1845</v>
      </c>
      <c r="N473" s="144">
        <v>1.0</v>
      </c>
      <c r="O473" s="140" t="s">
        <v>1879</v>
      </c>
      <c r="P473" s="128" t="s">
        <v>1862</v>
      </c>
      <c r="Q473" s="140"/>
      <c r="R473" s="144"/>
      <c r="S473" s="128" t="s">
        <v>1845</v>
      </c>
      <c r="T473" s="140"/>
      <c r="U473" s="140"/>
      <c r="V473" s="140"/>
      <c r="W473" s="144"/>
      <c r="X473" s="136"/>
      <c r="Y473" s="128"/>
      <c r="Z473" s="140"/>
      <c r="AA473" s="144"/>
      <c r="AB473" s="136"/>
      <c r="AC473" s="136"/>
      <c r="AD473" s="136"/>
      <c r="AE473" s="136"/>
      <c r="AF473" s="136"/>
      <c r="AG473" s="140"/>
      <c r="AH473" s="136"/>
      <c r="AI473" s="128"/>
      <c r="AJ473" s="137"/>
      <c r="AK473" s="140"/>
      <c r="AL473" s="140"/>
    </row>
    <row r="474" ht="15.75" customHeight="1">
      <c r="A474" s="125">
        <v>473.0</v>
      </c>
      <c r="B474" s="138">
        <f t="shared" si="49"/>
        <v>10473</v>
      </c>
      <c r="C474" s="250" t="s">
        <v>1840</v>
      </c>
      <c r="D474" s="122" t="s">
        <v>1849</v>
      </c>
      <c r="E474" s="125" t="s">
        <v>27</v>
      </c>
      <c r="F474" s="204" t="s">
        <v>2599</v>
      </c>
      <c r="G474" s="228" t="s">
        <v>880</v>
      </c>
      <c r="H474" s="140" t="s">
        <v>1844</v>
      </c>
      <c r="I474" s="128" t="s">
        <v>1843</v>
      </c>
      <c r="J474" s="186" t="s">
        <v>1844</v>
      </c>
      <c r="K474" s="136" t="s">
        <v>1844</v>
      </c>
      <c r="L474" s="136" t="s">
        <v>1844</v>
      </c>
      <c r="M474" s="136" t="s">
        <v>1845</v>
      </c>
      <c r="N474" s="144" t="s">
        <v>1844</v>
      </c>
      <c r="O474" s="140" t="s">
        <v>1844</v>
      </c>
      <c r="P474" s="128" t="s">
        <v>1862</v>
      </c>
      <c r="Q474" s="140"/>
      <c r="R474" s="144" t="s">
        <v>1845</v>
      </c>
      <c r="S474" s="128"/>
      <c r="T474" s="140" t="s">
        <v>1845</v>
      </c>
      <c r="U474" s="140"/>
      <c r="V474" s="140"/>
      <c r="W474" s="144"/>
      <c r="X474" s="136" t="s">
        <v>1845</v>
      </c>
      <c r="Y474" s="128"/>
      <c r="Z474" s="140"/>
      <c r="AA474" s="144"/>
      <c r="AB474" s="136"/>
      <c r="AC474" s="136"/>
      <c r="AD474" s="136"/>
      <c r="AE474" s="136"/>
      <c r="AF474" s="136"/>
      <c r="AG474" s="140"/>
      <c r="AH474" s="136"/>
      <c r="AI474" s="128"/>
      <c r="AJ474" s="137"/>
      <c r="AK474" s="140"/>
      <c r="AL474" s="140"/>
    </row>
    <row r="475" ht="15.75" customHeight="1">
      <c r="A475" s="125">
        <v>474.0</v>
      </c>
      <c r="B475" s="138">
        <f t="shared" si="49"/>
        <v>10474</v>
      </c>
      <c r="C475" s="250" t="s">
        <v>1840</v>
      </c>
      <c r="D475" s="122" t="s">
        <v>2581</v>
      </c>
      <c r="E475" s="125" t="s">
        <v>34</v>
      </c>
      <c r="F475" s="127" t="s">
        <v>2586</v>
      </c>
      <c r="G475" s="127" t="s">
        <v>882</v>
      </c>
      <c r="H475" s="140" t="s">
        <v>1844</v>
      </c>
      <c r="I475" s="128" t="s">
        <v>1843</v>
      </c>
      <c r="J475" s="186" t="s">
        <v>1876</v>
      </c>
      <c r="K475" s="136" t="s">
        <v>2348</v>
      </c>
      <c r="L475" s="136" t="s">
        <v>1844</v>
      </c>
      <c r="M475" s="136" t="s">
        <v>1845</v>
      </c>
      <c r="N475" s="144" t="s">
        <v>1844</v>
      </c>
      <c r="O475" s="140" t="s">
        <v>1879</v>
      </c>
      <c r="P475" s="128" t="s">
        <v>1862</v>
      </c>
      <c r="Q475" s="140"/>
      <c r="R475" s="144" t="s">
        <v>1845</v>
      </c>
      <c r="S475" s="128" t="s">
        <v>1845</v>
      </c>
      <c r="T475" s="140"/>
      <c r="U475" s="140"/>
      <c r="V475" s="140"/>
      <c r="W475" s="144"/>
      <c r="X475" s="136"/>
      <c r="Y475" s="128"/>
      <c r="Z475" s="140"/>
      <c r="AA475" s="144"/>
      <c r="AB475" s="136"/>
      <c r="AC475" s="136"/>
      <c r="AD475" s="136"/>
      <c r="AE475" s="136"/>
      <c r="AF475" s="136"/>
      <c r="AG475" s="140"/>
      <c r="AH475" s="136"/>
      <c r="AI475" s="128"/>
      <c r="AJ475" s="137"/>
      <c r="AK475" s="140"/>
      <c r="AL475" s="140"/>
    </row>
    <row r="476" ht="13.5" customHeight="1">
      <c r="A476" s="125">
        <v>475.0</v>
      </c>
      <c r="B476" s="138">
        <f t="shared" si="49"/>
        <v>10475</v>
      </c>
      <c r="C476" s="250" t="s">
        <v>1840</v>
      </c>
      <c r="D476" s="122" t="s">
        <v>2581</v>
      </c>
      <c r="E476" s="125" t="s">
        <v>34</v>
      </c>
      <c r="F476" s="198" t="s">
        <v>2582</v>
      </c>
      <c r="G476" s="127" t="s">
        <v>884</v>
      </c>
      <c r="H476" s="140" t="s">
        <v>1844</v>
      </c>
      <c r="I476" s="128" t="s">
        <v>1906</v>
      </c>
      <c r="J476" s="186" t="s">
        <v>1902</v>
      </c>
      <c r="K476" s="136" t="s">
        <v>1877</v>
      </c>
      <c r="L476" s="136" t="s">
        <v>1844</v>
      </c>
      <c r="M476" s="136" t="s">
        <v>1845</v>
      </c>
      <c r="N476" s="144">
        <v>1.0</v>
      </c>
      <c r="O476" s="140" t="s">
        <v>1879</v>
      </c>
      <c r="P476" s="128" t="s">
        <v>1862</v>
      </c>
      <c r="Q476" s="140"/>
      <c r="R476" s="144"/>
      <c r="S476" s="128"/>
      <c r="T476" s="140"/>
      <c r="U476" s="140" t="s">
        <v>1845</v>
      </c>
      <c r="V476" s="140"/>
      <c r="W476" s="144"/>
      <c r="X476" s="136" t="s">
        <v>1845</v>
      </c>
      <c r="Y476" s="128"/>
      <c r="Z476" s="140"/>
      <c r="AA476" s="144"/>
      <c r="AB476" s="136"/>
      <c r="AC476" s="136"/>
      <c r="AD476" s="136"/>
      <c r="AE476" s="136"/>
      <c r="AF476" s="136"/>
      <c r="AG476" s="140"/>
      <c r="AH476" s="136"/>
      <c r="AI476" s="128"/>
      <c r="AJ476" s="137"/>
      <c r="AK476" s="140"/>
      <c r="AL476" s="140"/>
    </row>
    <row r="477" ht="15.75" customHeight="1">
      <c r="A477" s="125">
        <v>476.0</v>
      </c>
      <c r="B477" s="138">
        <f t="shared" si="49"/>
        <v>10476</v>
      </c>
      <c r="C477" s="250" t="s">
        <v>1840</v>
      </c>
      <c r="D477" s="122" t="s">
        <v>2490</v>
      </c>
      <c r="E477" s="125" t="s">
        <v>27</v>
      </c>
      <c r="F477" s="153" t="s">
        <v>2600</v>
      </c>
      <c r="G477" s="127" t="s">
        <v>885</v>
      </c>
      <c r="H477" s="140" t="s">
        <v>1844</v>
      </c>
      <c r="I477" s="128" t="s">
        <v>1843</v>
      </c>
      <c r="J477" s="186" t="s">
        <v>1844</v>
      </c>
      <c r="K477" s="136" t="s">
        <v>1844</v>
      </c>
      <c r="L477" s="136" t="s">
        <v>1844</v>
      </c>
      <c r="M477" s="136" t="s">
        <v>1845</v>
      </c>
      <c r="N477" s="144" t="s">
        <v>1844</v>
      </c>
      <c r="O477" s="140" t="s">
        <v>1844</v>
      </c>
      <c r="P477" s="128" t="s">
        <v>1862</v>
      </c>
      <c r="Q477" s="140"/>
      <c r="R477" s="144" t="s">
        <v>1845</v>
      </c>
      <c r="S477" s="128"/>
      <c r="T477" s="140"/>
      <c r="U477" s="140"/>
      <c r="V477" s="140"/>
      <c r="W477" s="144"/>
      <c r="X477" s="136"/>
      <c r="Y477" s="128"/>
      <c r="Z477" s="140"/>
      <c r="AA477" s="144"/>
      <c r="AB477" s="136"/>
      <c r="AC477" s="136"/>
      <c r="AD477" s="136"/>
      <c r="AE477" s="136"/>
      <c r="AF477" s="136"/>
      <c r="AG477" s="140"/>
      <c r="AH477" s="136"/>
      <c r="AI477" s="128"/>
      <c r="AJ477" s="137"/>
      <c r="AK477" s="140"/>
      <c r="AL477" s="140"/>
    </row>
    <row r="478" ht="15.75" customHeight="1">
      <c r="A478" s="151">
        <v>477.0</v>
      </c>
      <c r="B478" s="123" t="s">
        <v>1742</v>
      </c>
      <c r="C478" s="256" t="s">
        <v>1840</v>
      </c>
      <c r="D478" s="150" t="s">
        <v>1841</v>
      </c>
      <c r="E478" s="151" t="s">
        <v>20</v>
      </c>
      <c r="F478" s="153" t="s">
        <v>2488</v>
      </c>
      <c r="G478" s="153" t="s">
        <v>2601</v>
      </c>
      <c r="H478" s="140" t="s">
        <v>1844</v>
      </c>
      <c r="I478" s="129" t="s">
        <v>1843</v>
      </c>
      <c r="J478" s="143" t="s">
        <v>1844</v>
      </c>
      <c r="K478" s="132" t="s">
        <v>1844</v>
      </c>
      <c r="L478" s="132" t="s">
        <v>1961</v>
      </c>
      <c r="M478" s="132" t="s">
        <v>1845</v>
      </c>
      <c r="N478" s="131" t="s">
        <v>1844</v>
      </c>
      <c r="O478" s="171" t="s">
        <v>1844</v>
      </c>
      <c r="P478" s="129" t="s">
        <v>1862</v>
      </c>
      <c r="Q478" s="171" t="s">
        <v>1845</v>
      </c>
      <c r="R478" s="131"/>
      <c r="S478" s="129"/>
      <c r="T478" s="171"/>
      <c r="U478" s="171"/>
      <c r="V478" s="171"/>
      <c r="W478" s="131"/>
      <c r="X478" s="132"/>
      <c r="Y478" s="129"/>
      <c r="Z478" s="171"/>
      <c r="AA478" s="131"/>
      <c r="AB478" s="132"/>
      <c r="AC478" s="132"/>
      <c r="AD478" s="132"/>
      <c r="AE478" s="132"/>
      <c r="AF478" s="136"/>
      <c r="AG478" s="128"/>
      <c r="AH478" s="136"/>
      <c r="AI478" s="128"/>
      <c r="AJ478" s="137"/>
      <c r="AK478" s="140"/>
      <c r="AL478" s="140"/>
    </row>
    <row r="479" ht="15.75" customHeight="1">
      <c r="A479" s="125">
        <v>478.0</v>
      </c>
      <c r="B479" s="138">
        <f t="shared" ref="B479:B484" si="50">SUM(A479+10000)</f>
        <v>10478</v>
      </c>
      <c r="C479" s="250" t="s">
        <v>1840</v>
      </c>
      <c r="D479" s="122" t="s">
        <v>1841</v>
      </c>
      <c r="E479" s="125" t="s">
        <v>7</v>
      </c>
      <c r="F479" s="126" t="s">
        <v>2602</v>
      </c>
      <c r="G479" s="127" t="s">
        <v>889</v>
      </c>
      <c r="H479" s="140" t="s">
        <v>1844</v>
      </c>
      <c r="I479" s="128" t="s">
        <v>1843</v>
      </c>
      <c r="J479" s="186" t="s">
        <v>1844</v>
      </c>
      <c r="K479" s="136" t="s">
        <v>1844</v>
      </c>
      <c r="L479" s="136" t="s">
        <v>1844</v>
      </c>
      <c r="M479" s="136" t="s">
        <v>1844</v>
      </c>
      <c r="N479" s="144" t="s">
        <v>1844</v>
      </c>
      <c r="O479" s="140" t="s">
        <v>1844</v>
      </c>
      <c r="P479" s="140" t="s">
        <v>1844</v>
      </c>
      <c r="Q479" s="140"/>
      <c r="R479" s="144"/>
      <c r="S479" s="128" t="s">
        <v>1845</v>
      </c>
      <c r="T479" s="140"/>
      <c r="U479" s="140"/>
      <c r="V479" s="140"/>
      <c r="W479" s="144"/>
      <c r="X479" s="136"/>
      <c r="Y479" s="128"/>
      <c r="Z479" s="140"/>
      <c r="AA479" s="144"/>
      <c r="AB479" s="136"/>
      <c r="AC479" s="136"/>
      <c r="AD479" s="136"/>
      <c r="AE479" s="136"/>
      <c r="AF479" s="136"/>
      <c r="AG479" s="140"/>
      <c r="AH479" s="136"/>
      <c r="AI479" s="128"/>
      <c r="AJ479" s="137"/>
      <c r="AK479" s="140"/>
      <c r="AL479" s="140"/>
    </row>
    <row r="480" ht="15.75" customHeight="1">
      <c r="A480" s="125">
        <v>479.0</v>
      </c>
      <c r="B480" s="138">
        <f t="shared" si="50"/>
        <v>10479</v>
      </c>
      <c r="C480" s="250" t="s">
        <v>1840</v>
      </c>
      <c r="D480" s="122" t="s">
        <v>1841</v>
      </c>
      <c r="E480" s="125" t="s">
        <v>34</v>
      </c>
      <c r="F480" s="127" t="s">
        <v>2603</v>
      </c>
      <c r="G480" s="127" t="s">
        <v>891</v>
      </c>
      <c r="H480" s="140" t="s">
        <v>1844</v>
      </c>
      <c r="I480" s="128" t="s">
        <v>1843</v>
      </c>
      <c r="J480" s="186" t="s">
        <v>1902</v>
      </c>
      <c r="K480" s="136" t="s">
        <v>1877</v>
      </c>
      <c r="L480" s="136" t="s">
        <v>1878</v>
      </c>
      <c r="M480" s="136" t="s">
        <v>1845</v>
      </c>
      <c r="N480" s="144" t="s">
        <v>1903</v>
      </c>
      <c r="O480" s="140" t="s">
        <v>1879</v>
      </c>
      <c r="P480" s="140" t="s">
        <v>1862</v>
      </c>
      <c r="Q480" s="140"/>
      <c r="R480" s="144"/>
      <c r="S480" s="140" t="s">
        <v>1845</v>
      </c>
      <c r="T480" s="140"/>
      <c r="U480" s="140"/>
      <c r="V480" s="140"/>
      <c r="W480" s="144"/>
      <c r="X480" s="136"/>
      <c r="Y480" s="128"/>
      <c r="Z480" s="140"/>
      <c r="AA480" s="144"/>
      <c r="AB480" s="144"/>
      <c r="AC480" s="144"/>
      <c r="AD480" s="144"/>
      <c r="AE480" s="144"/>
      <c r="AF480" s="144"/>
      <c r="AG480" s="140"/>
      <c r="AH480" s="136"/>
      <c r="AI480" s="128"/>
      <c r="AJ480" s="137"/>
      <c r="AK480" s="140"/>
      <c r="AL480" s="140"/>
    </row>
    <row r="481" ht="15.75" customHeight="1">
      <c r="A481" s="125">
        <v>480.0</v>
      </c>
      <c r="B481" s="138">
        <f t="shared" si="50"/>
        <v>10480</v>
      </c>
      <c r="C481" s="250" t="s">
        <v>1840</v>
      </c>
      <c r="D481" s="122" t="s">
        <v>1841</v>
      </c>
      <c r="E481" s="125" t="s">
        <v>34</v>
      </c>
      <c r="F481" s="127" t="s">
        <v>2604</v>
      </c>
      <c r="G481" s="127" t="s">
        <v>893</v>
      </c>
      <c r="H481" s="140" t="s">
        <v>1844</v>
      </c>
      <c r="I481" s="128" t="s">
        <v>1843</v>
      </c>
      <c r="J481" s="186" t="s">
        <v>1902</v>
      </c>
      <c r="K481" s="136" t="s">
        <v>1877</v>
      </c>
      <c r="L481" s="136" t="s">
        <v>1878</v>
      </c>
      <c r="M481" s="136" t="s">
        <v>1845</v>
      </c>
      <c r="N481" s="144" t="s">
        <v>1903</v>
      </c>
      <c r="O481" s="140" t="s">
        <v>1879</v>
      </c>
      <c r="P481" s="140" t="s">
        <v>1862</v>
      </c>
      <c r="Q481" s="140"/>
      <c r="R481" s="144"/>
      <c r="S481" s="140" t="s">
        <v>1845</v>
      </c>
      <c r="T481" s="140"/>
      <c r="U481" s="140"/>
      <c r="V481" s="140"/>
      <c r="W481" s="144"/>
      <c r="X481" s="136"/>
      <c r="Y481" s="128"/>
      <c r="Z481" s="140"/>
      <c r="AA481" s="144"/>
      <c r="AB481" s="144"/>
      <c r="AC481" s="144"/>
      <c r="AD481" s="144"/>
      <c r="AE481" s="144"/>
      <c r="AF481" s="144"/>
      <c r="AG481" s="140"/>
      <c r="AH481" s="136"/>
      <c r="AI481" s="128"/>
      <c r="AJ481" s="137"/>
      <c r="AK481" s="140"/>
      <c r="AL481" s="140"/>
    </row>
    <row r="482" ht="15.75" customHeight="1">
      <c r="A482" s="125">
        <v>481.0</v>
      </c>
      <c r="B482" s="138">
        <f t="shared" si="50"/>
        <v>10481</v>
      </c>
      <c r="C482" s="124" t="s">
        <v>1840</v>
      </c>
      <c r="D482" s="122" t="s">
        <v>1841</v>
      </c>
      <c r="E482" s="125" t="s">
        <v>27</v>
      </c>
      <c r="F482" s="127" t="s">
        <v>2605</v>
      </c>
      <c r="G482" s="221" t="s">
        <v>895</v>
      </c>
      <c r="H482" s="140" t="s">
        <v>1844</v>
      </c>
      <c r="I482" s="128" t="s">
        <v>1843</v>
      </c>
      <c r="J482" s="186" t="s">
        <v>1844</v>
      </c>
      <c r="K482" s="136" t="s">
        <v>1844</v>
      </c>
      <c r="L482" s="136" t="s">
        <v>1844</v>
      </c>
      <c r="M482" s="136" t="s">
        <v>1845</v>
      </c>
      <c r="N482" s="144" t="s">
        <v>1844</v>
      </c>
      <c r="O482" s="140" t="s">
        <v>1844</v>
      </c>
      <c r="P482" s="140" t="s">
        <v>1862</v>
      </c>
      <c r="Q482" s="140"/>
      <c r="R482" s="144"/>
      <c r="S482" s="140" t="s">
        <v>1845</v>
      </c>
      <c r="T482" s="140"/>
      <c r="U482" s="140"/>
      <c r="V482" s="140"/>
      <c r="W482" s="144"/>
      <c r="X482" s="136"/>
      <c r="Y482" s="136"/>
      <c r="Z482" s="140"/>
      <c r="AA482" s="140"/>
      <c r="AB482" s="140"/>
      <c r="AC482" s="140"/>
      <c r="AD482" s="140"/>
      <c r="AE482" s="140"/>
      <c r="AF482" s="140"/>
      <c r="AG482" s="140"/>
      <c r="AH482" s="140"/>
      <c r="AI482" s="128"/>
      <c r="AJ482" s="137"/>
      <c r="AK482" s="140"/>
      <c r="AL482" s="140"/>
    </row>
    <row r="483" ht="15.75" customHeight="1">
      <c r="A483" s="125">
        <v>482.0</v>
      </c>
      <c r="B483" s="138">
        <f t="shared" si="50"/>
        <v>10482</v>
      </c>
      <c r="C483" s="124" t="s">
        <v>1840</v>
      </c>
      <c r="D483" s="122" t="s">
        <v>1841</v>
      </c>
      <c r="E483" s="125" t="s">
        <v>34</v>
      </c>
      <c r="F483" s="127" t="s">
        <v>2606</v>
      </c>
      <c r="G483" s="221" t="s">
        <v>897</v>
      </c>
      <c r="H483" s="140" t="s">
        <v>1844</v>
      </c>
      <c r="I483" s="128" t="s">
        <v>1843</v>
      </c>
      <c r="J483" s="186" t="s">
        <v>1902</v>
      </c>
      <c r="K483" s="136" t="s">
        <v>1877</v>
      </c>
      <c r="L483" s="136" t="s">
        <v>1844</v>
      </c>
      <c r="M483" s="136" t="s">
        <v>1845</v>
      </c>
      <c r="N483" s="144">
        <v>1.0</v>
      </c>
      <c r="O483" s="140" t="s">
        <v>1879</v>
      </c>
      <c r="P483" s="140" t="s">
        <v>1862</v>
      </c>
      <c r="Q483" s="140"/>
      <c r="R483" s="144"/>
      <c r="S483" s="140" t="s">
        <v>1845</v>
      </c>
      <c r="T483" s="140"/>
      <c r="U483" s="140"/>
      <c r="V483" s="140"/>
      <c r="W483" s="144"/>
      <c r="X483" s="136"/>
      <c r="Y483" s="136"/>
      <c r="Z483" s="140"/>
      <c r="AA483" s="140"/>
      <c r="AB483" s="140"/>
      <c r="AC483" s="140"/>
      <c r="AD483" s="140"/>
      <c r="AE483" s="140"/>
      <c r="AF483" s="140"/>
      <c r="AG483" s="140"/>
      <c r="AH483" s="140"/>
      <c r="AI483" s="128"/>
      <c r="AJ483" s="137"/>
      <c r="AK483" s="140"/>
      <c r="AL483" s="140"/>
    </row>
    <row r="484" ht="15.75" customHeight="1">
      <c r="A484" s="125">
        <v>483.0</v>
      </c>
      <c r="B484" s="138">
        <f t="shared" si="50"/>
        <v>10483</v>
      </c>
      <c r="C484" s="250" t="s">
        <v>1840</v>
      </c>
      <c r="D484" s="122" t="s">
        <v>2019</v>
      </c>
      <c r="E484" s="125" t="s">
        <v>7</v>
      </c>
      <c r="F484" s="127" t="s">
        <v>2607</v>
      </c>
      <c r="G484" s="127" t="s">
        <v>899</v>
      </c>
      <c r="H484" s="140" t="s">
        <v>1844</v>
      </c>
      <c r="I484" s="128" t="s">
        <v>1906</v>
      </c>
      <c r="J484" s="186" t="s">
        <v>1844</v>
      </c>
      <c r="K484" s="136" t="s">
        <v>1844</v>
      </c>
      <c r="L484" s="136" t="s">
        <v>1844</v>
      </c>
      <c r="M484" s="136" t="s">
        <v>1844</v>
      </c>
      <c r="N484" s="144" t="s">
        <v>1844</v>
      </c>
      <c r="O484" s="128" t="s">
        <v>1844</v>
      </c>
      <c r="P484" s="128" t="s">
        <v>1844</v>
      </c>
      <c r="Q484" s="128"/>
      <c r="R484" s="136"/>
      <c r="S484" s="128" t="s">
        <v>1845</v>
      </c>
      <c r="T484" s="128"/>
      <c r="U484" s="128"/>
      <c r="V484" s="128"/>
      <c r="W484" s="136"/>
      <c r="X484" s="136" t="s">
        <v>1845</v>
      </c>
      <c r="Y484" s="128"/>
      <c r="Z484" s="128"/>
      <c r="AA484" s="128"/>
      <c r="AB484" s="128"/>
      <c r="AC484" s="128"/>
      <c r="AD484" s="140"/>
      <c r="AE484" s="140"/>
      <c r="AF484" s="140"/>
      <c r="AG484" s="140"/>
      <c r="AH484" s="140"/>
      <c r="AI484" s="128"/>
      <c r="AJ484" s="137"/>
      <c r="AK484" s="140"/>
      <c r="AL484" s="140"/>
    </row>
    <row r="485" ht="15.75" customHeight="1">
      <c r="A485" s="125">
        <v>484.0</v>
      </c>
      <c r="B485" s="123" t="s">
        <v>1742</v>
      </c>
      <c r="C485" s="250" t="s">
        <v>1840</v>
      </c>
      <c r="D485" s="122" t="s">
        <v>2019</v>
      </c>
      <c r="E485" s="125" t="s">
        <v>20</v>
      </c>
      <c r="F485" s="221" t="s">
        <v>2608</v>
      </c>
      <c r="G485" s="142" t="s">
        <v>2609</v>
      </c>
      <c r="H485" s="140" t="s">
        <v>1844</v>
      </c>
      <c r="I485" s="137" t="s">
        <v>1843</v>
      </c>
      <c r="J485" s="128" t="s">
        <v>1844</v>
      </c>
      <c r="K485" s="186" t="s">
        <v>1844</v>
      </c>
      <c r="L485" s="136" t="s">
        <v>1878</v>
      </c>
      <c r="M485" s="136" t="s">
        <v>1845</v>
      </c>
      <c r="N485" s="144" t="s">
        <v>1844</v>
      </c>
      <c r="O485" s="140" t="s">
        <v>1844</v>
      </c>
      <c r="P485" s="140" t="s">
        <v>1862</v>
      </c>
      <c r="Q485" s="128" t="s">
        <v>1845</v>
      </c>
      <c r="R485" s="144"/>
      <c r="S485" s="128"/>
      <c r="T485" s="128"/>
      <c r="U485" s="128"/>
      <c r="V485" s="128"/>
      <c r="W485" s="144"/>
      <c r="X485" s="136"/>
      <c r="Y485" s="128"/>
      <c r="Z485" s="128"/>
      <c r="AA485" s="128"/>
      <c r="AB485" s="128"/>
      <c r="AC485" s="128"/>
      <c r="AD485" s="140"/>
      <c r="AE485" s="140"/>
      <c r="AF485" s="140"/>
      <c r="AG485" s="128"/>
      <c r="AH485" s="140"/>
      <c r="AI485" s="128"/>
      <c r="AJ485" s="137"/>
      <c r="AK485" s="140"/>
      <c r="AL485" s="140"/>
    </row>
    <row r="486" ht="15.75" customHeight="1">
      <c r="A486" s="233">
        <v>485.0</v>
      </c>
      <c r="B486" s="138">
        <f t="shared" ref="B486:B506" si="51">SUM(A486+10000)</f>
        <v>10485</v>
      </c>
      <c r="C486" s="257" t="s">
        <v>1873</v>
      </c>
      <c r="D486" s="241" t="s">
        <v>2019</v>
      </c>
      <c r="E486" s="233" t="s">
        <v>7</v>
      </c>
      <c r="F486" s="242" t="s">
        <v>2610</v>
      </c>
      <c r="G486" s="258" t="s">
        <v>902</v>
      </c>
      <c r="H486" s="239" t="s">
        <v>1844</v>
      </c>
      <c r="I486" s="243" t="s">
        <v>1843</v>
      </c>
      <c r="J486" s="235" t="s">
        <v>1844</v>
      </c>
      <c r="K486" s="259" t="s">
        <v>1844</v>
      </c>
      <c r="L486" s="235" t="s">
        <v>1844</v>
      </c>
      <c r="M486" s="235" t="s">
        <v>1844</v>
      </c>
      <c r="N486" s="238" t="s">
        <v>1844</v>
      </c>
      <c r="O486" s="238" t="s">
        <v>1844</v>
      </c>
      <c r="P486" s="237" t="s">
        <v>1844</v>
      </c>
      <c r="Q486" s="237"/>
      <c r="R486" s="238"/>
      <c r="S486" s="237"/>
      <c r="T486" s="237" t="s">
        <v>1845</v>
      </c>
      <c r="U486" s="237"/>
      <c r="V486" s="237"/>
      <c r="W486" s="238"/>
      <c r="X486" s="237" t="s">
        <v>1845</v>
      </c>
      <c r="Y486" s="237"/>
      <c r="Z486" s="235"/>
      <c r="AA486" s="237"/>
      <c r="AB486" s="237"/>
      <c r="AC486" s="237"/>
      <c r="AD486" s="239" t="s">
        <v>1845</v>
      </c>
      <c r="AE486" s="239"/>
      <c r="AF486" s="140"/>
      <c r="AG486" s="128"/>
      <c r="AH486" s="140"/>
      <c r="AI486" s="128"/>
      <c r="AJ486" s="137"/>
      <c r="AK486" s="140"/>
      <c r="AL486" s="140"/>
    </row>
    <row r="487" ht="15.75" customHeight="1">
      <c r="A487" s="233">
        <v>486.0</v>
      </c>
      <c r="B487" s="138">
        <f t="shared" si="51"/>
        <v>10486</v>
      </c>
      <c r="C487" s="257" t="s">
        <v>1873</v>
      </c>
      <c r="D487" s="241" t="s">
        <v>2019</v>
      </c>
      <c r="E487" s="233" t="s">
        <v>7</v>
      </c>
      <c r="F487" s="242" t="s">
        <v>2611</v>
      </c>
      <c r="G487" s="258" t="s">
        <v>904</v>
      </c>
      <c r="H487" s="239" t="s">
        <v>1844</v>
      </c>
      <c r="I487" s="243" t="s">
        <v>1843</v>
      </c>
      <c r="J487" s="235" t="s">
        <v>1844</v>
      </c>
      <c r="K487" s="260" t="s">
        <v>1844</v>
      </c>
      <c r="L487" s="237" t="s">
        <v>1844</v>
      </c>
      <c r="M487" s="237" t="s">
        <v>1844</v>
      </c>
      <c r="N487" s="238" t="s">
        <v>1844</v>
      </c>
      <c r="O487" s="238" t="s">
        <v>1844</v>
      </c>
      <c r="P487" s="235" t="s">
        <v>1844</v>
      </c>
      <c r="Q487" s="235"/>
      <c r="R487" s="238"/>
      <c r="S487" s="235"/>
      <c r="T487" s="235"/>
      <c r="U487" s="235"/>
      <c r="V487" s="235"/>
      <c r="W487" s="238"/>
      <c r="X487" s="237" t="s">
        <v>1845</v>
      </c>
      <c r="Y487" s="235"/>
      <c r="Z487" s="235"/>
      <c r="AA487" s="237"/>
      <c r="AB487" s="237"/>
      <c r="AC487" s="237"/>
      <c r="AD487" s="239" t="s">
        <v>1845</v>
      </c>
      <c r="AE487" s="239"/>
      <c r="AF487" s="140"/>
      <c r="AG487" s="128"/>
      <c r="AH487" s="140"/>
      <c r="AI487" s="128"/>
      <c r="AJ487" s="137"/>
      <c r="AK487" s="140"/>
      <c r="AL487" s="140"/>
    </row>
    <row r="488" ht="15.75" customHeight="1">
      <c r="A488" s="233">
        <v>487.0</v>
      </c>
      <c r="B488" s="138">
        <f t="shared" si="51"/>
        <v>10487</v>
      </c>
      <c r="C488" s="257" t="s">
        <v>1873</v>
      </c>
      <c r="D488" s="241" t="s">
        <v>2019</v>
      </c>
      <c r="E488" s="233" t="s">
        <v>7</v>
      </c>
      <c r="F488" s="219" t="s">
        <v>2612</v>
      </c>
      <c r="G488" s="261" t="s">
        <v>906</v>
      </c>
      <c r="H488" s="239" t="s">
        <v>1844</v>
      </c>
      <c r="I488" s="243" t="s">
        <v>1843</v>
      </c>
      <c r="J488" s="235" t="s">
        <v>1844</v>
      </c>
      <c r="K488" s="260" t="s">
        <v>1844</v>
      </c>
      <c r="L488" s="235" t="s">
        <v>1844</v>
      </c>
      <c r="M488" s="235" t="s">
        <v>1844</v>
      </c>
      <c r="N488" s="238" t="s">
        <v>1844</v>
      </c>
      <c r="O488" s="238" t="s">
        <v>1844</v>
      </c>
      <c r="P488" s="237" t="s">
        <v>1844</v>
      </c>
      <c r="Q488" s="235"/>
      <c r="R488" s="238"/>
      <c r="S488" s="235"/>
      <c r="T488" s="235" t="s">
        <v>1845</v>
      </c>
      <c r="U488" s="235"/>
      <c r="V488" s="235"/>
      <c r="W488" s="238"/>
      <c r="X488" s="237"/>
      <c r="Y488" s="235"/>
      <c r="Z488" s="235" t="s">
        <v>1845</v>
      </c>
      <c r="AA488" s="237"/>
      <c r="AB488" s="237"/>
      <c r="AC488" s="237"/>
      <c r="AD488" s="239" t="s">
        <v>1845</v>
      </c>
      <c r="AE488" s="239"/>
      <c r="AF488" s="140"/>
      <c r="AG488" s="128"/>
      <c r="AH488" s="140"/>
      <c r="AI488" s="128"/>
      <c r="AJ488" s="137"/>
      <c r="AK488" s="140"/>
      <c r="AL488" s="140"/>
    </row>
    <row r="489" ht="15.75" customHeight="1">
      <c r="A489" s="233">
        <v>488.0</v>
      </c>
      <c r="B489" s="138">
        <f t="shared" si="51"/>
        <v>10488</v>
      </c>
      <c r="C489" s="257" t="s">
        <v>1873</v>
      </c>
      <c r="D489" s="241" t="s">
        <v>2019</v>
      </c>
      <c r="E489" s="233" t="s">
        <v>27</v>
      </c>
      <c r="F489" s="262" t="s">
        <v>2613</v>
      </c>
      <c r="G489" s="258" t="s">
        <v>908</v>
      </c>
      <c r="H489" s="239" t="s">
        <v>1844</v>
      </c>
      <c r="I489" s="243" t="s">
        <v>1843</v>
      </c>
      <c r="J489" s="235" t="s">
        <v>1844</v>
      </c>
      <c r="K489" s="260" t="s">
        <v>1844</v>
      </c>
      <c r="L489" s="235" t="s">
        <v>1844</v>
      </c>
      <c r="M489" s="235" t="s">
        <v>1845</v>
      </c>
      <c r="N489" s="238" t="s">
        <v>1844</v>
      </c>
      <c r="O489" s="238" t="s">
        <v>1844</v>
      </c>
      <c r="P489" s="237" t="s">
        <v>1862</v>
      </c>
      <c r="Q489" s="239"/>
      <c r="R489" s="238"/>
      <c r="S489" s="235"/>
      <c r="T489" s="239"/>
      <c r="U489" s="239"/>
      <c r="V489" s="239"/>
      <c r="W489" s="238"/>
      <c r="X489" s="237"/>
      <c r="Y489" s="235"/>
      <c r="Z489" s="239"/>
      <c r="AA489" s="238"/>
      <c r="AB489" s="237"/>
      <c r="AC489" s="237"/>
      <c r="AD489" s="235" t="s">
        <v>1845</v>
      </c>
      <c r="AE489" s="235"/>
      <c r="AF489" s="140"/>
      <c r="AG489" s="128"/>
      <c r="AH489" s="140"/>
      <c r="AI489" s="128"/>
      <c r="AJ489" s="137"/>
      <c r="AK489" s="140"/>
      <c r="AL489" s="140"/>
    </row>
    <row r="490" ht="15.75" customHeight="1">
      <c r="A490" s="233">
        <v>489.0</v>
      </c>
      <c r="B490" s="138">
        <f t="shared" si="51"/>
        <v>10489</v>
      </c>
      <c r="C490" s="257" t="s">
        <v>1873</v>
      </c>
      <c r="D490" s="241" t="s">
        <v>2019</v>
      </c>
      <c r="E490" s="233" t="s">
        <v>7</v>
      </c>
      <c r="F490" s="258" t="s">
        <v>2614</v>
      </c>
      <c r="G490" s="258" t="s">
        <v>910</v>
      </c>
      <c r="H490" s="239" t="s">
        <v>1844</v>
      </c>
      <c r="I490" s="243" t="s">
        <v>1843</v>
      </c>
      <c r="J490" s="235" t="s">
        <v>1844</v>
      </c>
      <c r="K490" s="260" t="s">
        <v>1844</v>
      </c>
      <c r="L490" s="235" t="s">
        <v>1844</v>
      </c>
      <c r="M490" s="235" t="s">
        <v>1844</v>
      </c>
      <c r="N490" s="238" t="s">
        <v>1844</v>
      </c>
      <c r="O490" s="238" t="s">
        <v>1844</v>
      </c>
      <c r="P490" s="237" t="s">
        <v>1844</v>
      </c>
      <c r="Q490" s="239"/>
      <c r="R490" s="238"/>
      <c r="S490" s="235" t="s">
        <v>1845</v>
      </c>
      <c r="T490" s="239" t="s">
        <v>1845</v>
      </c>
      <c r="U490" s="239"/>
      <c r="V490" s="239"/>
      <c r="W490" s="238"/>
      <c r="X490" s="237"/>
      <c r="Y490" s="235"/>
      <c r="Z490" s="239"/>
      <c r="AA490" s="238"/>
      <c r="AB490" s="237"/>
      <c r="AC490" s="237"/>
      <c r="AD490" s="235" t="s">
        <v>1845</v>
      </c>
      <c r="AE490" s="235"/>
      <c r="AF490" s="140"/>
      <c r="AG490" s="128"/>
      <c r="AH490" s="140"/>
      <c r="AI490" s="128"/>
      <c r="AJ490" s="137"/>
      <c r="AK490" s="140"/>
      <c r="AL490" s="140"/>
    </row>
    <row r="491" ht="15.75" customHeight="1">
      <c r="A491" s="233">
        <v>490.0</v>
      </c>
      <c r="B491" s="138">
        <f t="shared" si="51"/>
        <v>10490</v>
      </c>
      <c r="C491" s="257" t="s">
        <v>1873</v>
      </c>
      <c r="D491" s="241" t="s">
        <v>2019</v>
      </c>
      <c r="E491" s="233" t="s">
        <v>7</v>
      </c>
      <c r="F491" s="263" t="s">
        <v>2615</v>
      </c>
      <c r="G491" s="258" t="s">
        <v>912</v>
      </c>
      <c r="H491" s="239" t="s">
        <v>1844</v>
      </c>
      <c r="I491" s="243" t="s">
        <v>1843</v>
      </c>
      <c r="J491" s="235" t="s">
        <v>1844</v>
      </c>
      <c r="K491" s="236" t="s">
        <v>1844</v>
      </c>
      <c r="L491" s="237" t="s">
        <v>1844</v>
      </c>
      <c r="M491" s="237" t="s">
        <v>1844</v>
      </c>
      <c r="N491" s="238" t="s">
        <v>1844</v>
      </c>
      <c r="O491" s="239" t="s">
        <v>1844</v>
      </c>
      <c r="P491" s="235" t="s">
        <v>1844</v>
      </c>
      <c r="Q491" s="239"/>
      <c r="R491" s="238"/>
      <c r="S491" s="235" t="s">
        <v>1845</v>
      </c>
      <c r="T491" s="239" t="s">
        <v>1845</v>
      </c>
      <c r="U491" s="239"/>
      <c r="V491" s="239"/>
      <c r="W491" s="238"/>
      <c r="X491" s="237" t="s">
        <v>1845</v>
      </c>
      <c r="Y491" s="235"/>
      <c r="Z491" s="239"/>
      <c r="AA491" s="238"/>
      <c r="AB491" s="237"/>
      <c r="AC491" s="237"/>
      <c r="AD491" s="237" t="s">
        <v>1845</v>
      </c>
      <c r="AE491" s="237"/>
      <c r="AF491" s="140"/>
      <c r="AG491" s="128"/>
      <c r="AH491" s="140"/>
      <c r="AI491" s="128"/>
      <c r="AJ491" s="137"/>
      <c r="AK491" s="140"/>
      <c r="AL491" s="140"/>
    </row>
    <row r="492" ht="15.75" customHeight="1">
      <c r="A492" s="233">
        <v>491.0</v>
      </c>
      <c r="B492" s="138">
        <f t="shared" si="51"/>
        <v>10491</v>
      </c>
      <c r="C492" s="257" t="s">
        <v>1873</v>
      </c>
      <c r="D492" s="241" t="s">
        <v>2019</v>
      </c>
      <c r="E492" s="233" t="s">
        <v>34</v>
      </c>
      <c r="F492" s="263" t="s">
        <v>2616</v>
      </c>
      <c r="G492" s="258" t="s">
        <v>914</v>
      </c>
      <c r="H492" s="239" t="s">
        <v>1844</v>
      </c>
      <c r="I492" s="243" t="s">
        <v>1843</v>
      </c>
      <c r="J492" s="235" t="s">
        <v>1876</v>
      </c>
      <c r="K492" s="260" t="s">
        <v>1877</v>
      </c>
      <c r="L492" s="235" t="s">
        <v>1844</v>
      </c>
      <c r="M492" s="235" t="s">
        <v>1845</v>
      </c>
      <c r="N492" s="238">
        <v>1.0</v>
      </c>
      <c r="O492" s="238" t="s">
        <v>1879</v>
      </c>
      <c r="P492" s="238" t="s">
        <v>1862</v>
      </c>
      <c r="Q492" s="239"/>
      <c r="R492" s="238"/>
      <c r="S492" s="239"/>
      <c r="T492" s="239"/>
      <c r="U492" s="239"/>
      <c r="V492" s="239"/>
      <c r="W492" s="238"/>
      <c r="X492" s="237"/>
      <c r="Y492" s="235"/>
      <c r="Z492" s="239"/>
      <c r="AA492" s="238"/>
      <c r="AB492" s="238"/>
      <c r="AC492" s="238"/>
      <c r="AD492" s="238" t="s">
        <v>1845</v>
      </c>
      <c r="AE492" s="238"/>
      <c r="AF492" s="140"/>
      <c r="AG492" s="128"/>
      <c r="AH492" s="140"/>
      <c r="AI492" s="128"/>
      <c r="AJ492" s="137"/>
      <c r="AK492" s="140"/>
      <c r="AL492" s="140"/>
    </row>
    <row r="493" ht="15.75" customHeight="1">
      <c r="A493" s="233">
        <v>492.0</v>
      </c>
      <c r="B493" s="138">
        <f t="shared" si="51"/>
        <v>10492</v>
      </c>
      <c r="C493" s="257" t="s">
        <v>1873</v>
      </c>
      <c r="D493" s="241" t="s">
        <v>2019</v>
      </c>
      <c r="E493" s="233" t="s">
        <v>7</v>
      </c>
      <c r="F493" s="242" t="s">
        <v>2617</v>
      </c>
      <c r="G493" s="219" t="s">
        <v>916</v>
      </c>
      <c r="H493" s="239" t="s">
        <v>1844</v>
      </c>
      <c r="I493" s="243" t="s">
        <v>1843</v>
      </c>
      <c r="J493" s="235" t="s">
        <v>1844</v>
      </c>
      <c r="K493" s="260" t="s">
        <v>1844</v>
      </c>
      <c r="L493" s="235" t="s">
        <v>1844</v>
      </c>
      <c r="M493" s="235" t="s">
        <v>1844</v>
      </c>
      <c r="N493" s="238" t="s">
        <v>1844</v>
      </c>
      <c r="O493" s="238" t="s">
        <v>1844</v>
      </c>
      <c r="P493" s="237" t="s">
        <v>1844</v>
      </c>
      <c r="Q493" s="239"/>
      <c r="R493" s="238"/>
      <c r="S493" s="239"/>
      <c r="T493" s="239"/>
      <c r="U493" s="239"/>
      <c r="V493" s="239"/>
      <c r="W493" s="238"/>
      <c r="X493" s="237"/>
      <c r="Y493" s="235"/>
      <c r="Z493" s="239" t="s">
        <v>1845</v>
      </c>
      <c r="AA493" s="238"/>
      <c r="AB493" s="238"/>
      <c r="AC493" s="238"/>
      <c r="AD493" s="238" t="s">
        <v>1845</v>
      </c>
      <c r="AE493" s="238"/>
      <c r="AF493" s="140"/>
      <c r="AG493" s="128"/>
      <c r="AH493" s="140"/>
      <c r="AI493" s="128"/>
      <c r="AJ493" s="137"/>
      <c r="AK493" s="140"/>
      <c r="AL493" s="140"/>
    </row>
    <row r="494" ht="15.75" customHeight="1">
      <c r="A494" s="264">
        <v>493.0</v>
      </c>
      <c r="B494" s="138">
        <f t="shared" si="51"/>
        <v>10493</v>
      </c>
      <c r="C494" s="257" t="s">
        <v>2618</v>
      </c>
      <c r="D494" s="241" t="s">
        <v>2019</v>
      </c>
      <c r="E494" s="264" t="s">
        <v>7</v>
      </c>
      <c r="F494" s="265" t="s">
        <v>2619</v>
      </c>
      <c r="G494" s="266" t="s">
        <v>918</v>
      </c>
      <c r="H494" s="239" t="s">
        <v>1844</v>
      </c>
      <c r="I494" s="243" t="s">
        <v>1843</v>
      </c>
      <c r="J494" s="235" t="s">
        <v>1844</v>
      </c>
      <c r="K494" s="259" t="s">
        <v>1844</v>
      </c>
      <c r="L494" s="237" t="s">
        <v>1844</v>
      </c>
      <c r="M494" s="237" t="s">
        <v>1844</v>
      </c>
      <c r="N494" s="238" t="s">
        <v>1844</v>
      </c>
      <c r="O494" s="238" t="s">
        <v>1844</v>
      </c>
      <c r="P494" s="237" t="s">
        <v>1844</v>
      </c>
      <c r="Q494" s="238"/>
      <c r="R494" s="238"/>
      <c r="S494" s="238"/>
      <c r="T494" s="238"/>
      <c r="U494" s="238"/>
      <c r="V494" s="238"/>
      <c r="W494" s="238" t="s">
        <v>1845</v>
      </c>
      <c r="X494" s="237"/>
      <c r="Y494" s="237"/>
      <c r="Z494" s="238"/>
      <c r="AA494" s="238"/>
      <c r="AB494" s="239"/>
      <c r="AC494" s="239"/>
      <c r="AD494" s="239" t="s">
        <v>1845</v>
      </c>
      <c r="AE494" s="239"/>
      <c r="AF494" s="140"/>
      <c r="AG494" s="128"/>
      <c r="AH494" s="140"/>
      <c r="AI494" s="128"/>
      <c r="AJ494" s="137"/>
      <c r="AK494" s="140"/>
      <c r="AL494" s="140"/>
    </row>
    <row r="495" ht="15.75" customHeight="1">
      <c r="A495" s="233">
        <v>494.0</v>
      </c>
      <c r="B495" s="138">
        <f t="shared" si="51"/>
        <v>10494</v>
      </c>
      <c r="C495" s="257" t="s">
        <v>1873</v>
      </c>
      <c r="D495" s="241" t="s">
        <v>2019</v>
      </c>
      <c r="E495" s="233" t="s">
        <v>7</v>
      </c>
      <c r="F495" s="219" t="s">
        <v>2620</v>
      </c>
      <c r="G495" s="219" t="s">
        <v>920</v>
      </c>
      <c r="H495" s="239" t="s">
        <v>1844</v>
      </c>
      <c r="I495" s="243" t="s">
        <v>1843</v>
      </c>
      <c r="J495" s="235" t="s">
        <v>1844</v>
      </c>
      <c r="K495" s="260" t="s">
        <v>1844</v>
      </c>
      <c r="L495" s="235" t="s">
        <v>1844</v>
      </c>
      <c r="M495" s="235" t="s">
        <v>1844</v>
      </c>
      <c r="N495" s="238" t="s">
        <v>1844</v>
      </c>
      <c r="O495" s="238" t="s">
        <v>1844</v>
      </c>
      <c r="P495" s="237" t="s">
        <v>1844</v>
      </c>
      <c r="Q495" s="235"/>
      <c r="R495" s="238"/>
      <c r="S495" s="235" t="s">
        <v>1845</v>
      </c>
      <c r="T495" s="235"/>
      <c r="U495" s="235"/>
      <c r="V495" s="235"/>
      <c r="W495" s="238"/>
      <c r="X495" s="237"/>
      <c r="Y495" s="235"/>
      <c r="Z495" s="235" t="s">
        <v>1845</v>
      </c>
      <c r="AA495" s="235"/>
      <c r="AB495" s="235"/>
      <c r="AC495" s="235"/>
      <c r="AD495" s="239" t="s">
        <v>1845</v>
      </c>
      <c r="AE495" s="239"/>
      <c r="AF495" s="140"/>
      <c r="AG495" s="128"/>
      <c r="AH495" s="140"/>
      <c r="AI495" s="128"/>
      <c r="AJ495" s="137"/>
      <c r="AK495" s="140"/>
      <c r="AL495" s="140"/>
    </row>
    <row r="496" ht="15.75" customHeight="1">
      <c r="A496" s="233">
        <v>495.0</v>
      </c>
      <c r="B496" s="138">
        <f t="shared" si="51"/>
        <v>10495</v>
      </c>
      <c r="C496" s="257" t="s">
        <v>1873</v>
      </c>
      <c r="D496" s="241" t="s">
        <v>2019</v>
      </c>
      <c r="E496" s="233" t="s">
        <v>7</v>
      </c>
      <c r="F496" s="242" t="s">
        <v>2621</v>
      </c>
      <c r="G496" s="258" t="s">
        <v>922</v>
      </c>
      <c r="H496" s="239" t="s">
        <v>1844</v>
      </c>
      <c r="I496" s="243" t="s">
        <v>1843</v>
      </c>
      <c r="J496" s="235" t="s">
        <v>1844</v>
      </c>
      <c r="K496" s="260" t="s">
        <v>1844</v>
      </c>
      <c r="L496" s="235" t="s">
        <v>1844</v>
      </c>
      <c r="M496" s="235" t="s">
        <v>1844</v>
      </c>
      <c r="N496" s="238" t="s">
        <v>1844</v>
      </c>
      <c r="O496" s="238" t="s">
        <v>1844</v>
      </c>
      <c r="P496" s="237" t="s">
        <v>1844</v>
      </c>
      <c r="Q496" s="235"/>
      <c r="R496" s="238"/>
      <c r="S496" s="235" t="s">
        <v>1845</v>
      </c>
      <c r="T496" s="235"/>
      <c r="U496" s="235"/>
      <c r="V496" s="235"/>
      <c r="W496" s="238"/>
      <c r="X496" s="237" t="s">
        <v>1845</v>
      </c>
      <c r="Y496" s="235"/>
      <c r="Z496" s="235"/>
      <c r="AA496" s="235"/>
      <c r="AB496" s="235"/>
      <c r="AC496" s="235"/>
      <c r="AD496" s="239" t="s">
        <v>1845</v>
      </c>
      <c r="AE496" s="239"/>
      <c r="AF496" s="140"/>
      <c r="AG496" s="128"/>
      <c r="AH496" s="140"/>
      <c r="AI496" s="128"/>
      <c r="AJ496" s="137"/>
      <c r="AK496" s="140"/>
      <c r="AL496" s="140"/>
    </row>
    <row r="497" ht="15.75" customHeight="1">
      <c r="A497" s="233">
        <v>496.0</v>
      </c>
      <c r="B497" s="138">
        <f t="shared" si="51"/>
        <v>10496</v>
      </c>
      <c r="C497" s="257" t="s">
        <v>1873</v>
      </c>
      <c r="D497" s="241" t="s">
        <v>2019</v>
      </c>
      <c r="E497" s="233" t="s">
        <v>7</v>
      </c>
      <c r="F497" s="219" t="s">
        <v>2622</v>
      </c>
      <c r="G497" s="258" t="s">
        <v>924</v>
      </c>
      <c r="H497" s="239" t="s">
        <v>1844</v>
      </c>
      <c r="I497" s="243" t="s">
        <v>1843</v>
      </c>
      <c r="J497" s="235" t="s">
        <v>1844</v>
      </c>
      <c r="K497" s="260" t="s">
        <v>1844</v>
      </c>
      <c r="L497" s="235" t="s">
        <v>1844</v>
      </c>
      <c r="M497" s="235" t="s">
        <v>1844</v>
      </c>
      <c r="N497" s="238" t="s">
        <v>1844</v>
      </c>
      <c r="O497" s="238" t="s">
        <v>1844</v>
      </c>
      <c r="P497" s="237" t="s">
        <v>1844</v>
      </c>
      <c r="Q497" s="235"/>
      <c r="R497" s="238"/>
      <c r="S497" s="235" t="s">
        <v>1845</v>
      </c>
      <c r="T497" s="235"/>
      <c r="U497" s="235"/>
      <c r="V497" s="235"/>
      <c r="W497" s="238"/>
      <c r="X497" s="237" t="s">
        <v>1845</v>
      </c>
      <c r="Y497" s="235"/>
      <c r="Z497" s="235"/>
      <c r="AA497" s="237"/>
      <c r="AB497" s="237"/>
      <c r="AC497" s="237"/>
      <c r="AD497" s="239" t="s">
        <v>1845</v>
      </c>
      <c r="AE497" s="239"/>
      <c r="AF497" s="140"/>
      <c r="AG497" s="128"/>
      <c r="AH497" s="140"/>
      <c r="AI497" s="128"/>
      <c r="AJ497" s="137"/>
      <c r="AK497" s="140"/>
      <c r="AL497" s="140"/>
    </row>
    <row r="498" ht="15.75" customHeight="1">
      <c r="A498" s="233">
        <v>497.0</v>
      </c>
      <c r="B498" s="138">
        <f t="shared" si="51"/>
        <v>10497</v>
      </c>
      <c r="C498" s="257" t="s">
        <v>1873</v>
      </c>
      <c r="D498" s="241" t="s">
        <v>2019</v>
      </c>
      <c r="E498" s="233" t="s">
        <v>7</v>
      </c>
      <c r="F498" s="219" t="s">
        <v>2623</v>
      </c>
      <c r="G498" s="267" t="s">
        <v>926</v>
      </c>
      <c r="H498" s="239" t="s">
        <v>1844</v>
      </c>
      <c r="I498" s="243" t="s">
        <v>1906</v>
      </c>
      <c r="J498" s="235" t="s">
        <v>1844</v>
      </c>
      <c r="K498" s="260" t="s">
        <v>1844</v>
      </c>
      <c r="L498" s="235" t="s">
        <v>1844</v>
      </c>
      <c r="M498" s="235" t="s">
        <v>1844</v>
      </c>
      <c r="N498" s="238" t="s">
        <v>1844</v>
      </c>
      <c r="O498" s="238" t="s">
        <v>1844</v>
      </c>
      <c r="P498" s="237" t="s">
        <v>1844</v>
      </c>
      <c r="Q498" s="235"/>
      <c r="R498" s="238"/>
      <c r="S498" s="235"/>
      <c r="T498" s="235"/>
      <c r="U498" s="235"/>
      <c r="V498" s="235" t="s">
        <v>1845</v>
      </c>
      <c r="W498" s="238"/>
      <c r="X498" s="237" t="s">
        <v>1845</v>
      </c>
      <c r="Y498" s="235"/>
      <c r="Z498" s="235"/>
      <c r="AA498" s="237"/>
      <c r="AB498" s="237"/>
      <c r="AC498" s="237"/>
      <c r="AD498" s="239" t="s">
        <v>1845</v>
      </c>
      <c r="AE498" s="239"/>
      <c r="AF498" s="140"/>
      <c r="AG498" s="128"/>
      <c r="AH498" s="140"/>
      <c r="AI498" s="128"/>
      <c r="AJ498" s="137"/>
      <c r="AK498" s="140"/>
      <c r="AL498" s="140"/>
    </row>
    <row r="499" ht="15.75" customHeight="1">
      <c r="A499" s="233">
        <v>498.0</v>
      </c>
      <c r="B499" s="138">
        <f t="shared" si="51"/>
        <v>10498</v>
      </c>
      <c r="C499" s="257" t="s">
        <v>1873</v>
      </c>
      <c r="D499" s="241" t="s">
        <v>2019</v>
      </c>
      <c r="E499" s="233" t="s">
        <v>34</v>
      </c>
      <c r="F499" s="242" t="s">
        <v>2624</v>
      </c>
      <c r="G499" s="258" t="s">
        <v>928</v>
      </c>
      <c r="H499" s="239" t="s">
        <v>1844</v>
      </c>
      <c r="I499" s="243" t="s">
        <v>1906</v>
      </c>
      <c r="J499" s="235" t="s">
        <v>1876</v>
      </c>
      <c r="K499" s="260" t="s">
        <v>2348</v>
      </c>
      <c r="L499" s="235" t="s">
        <v>1878</v>
      </c>
      <c r="M499" s="235" t="s">
        <v>1845</v>
      </c>
      <c r="N499" s="238" t="s">
        <v>1844</v>
      </c>
      <c r="O499" s="238" t="s">
        <v>1879</v>
      </c>
      <c r="P499" s="237" t="s">
        <v>1862</v>
      </c>
      <c r="Q499" s="235"/>
      <c r="R499" s="238"/>
      <c r="S499" s="235"/>
      <c r="T499" s="235"/>
      <c r="U499" s="235"/>
      <c r="V499" s="235" t="s">
        <v>1845</v>
      </c>
      <c r="W499" s="238"/>
      <c r="X499" s="237"/>
      <c r="Y499" s="235"/>
      <c r="Z499" s="235"/>
      <c r="AA499" s="237"/>
      <c r="AB499" s="237"/>
      <c r="AC499" s="237"/>
      <c r="AD499" s="239" t="s">
        <v>1845</v>
      </c>
      <c r="AE499" s="239"/>
      <c r="AF499" s="140"/>
      <c r="AG499" s="128"/>
      <c r="AH499" s="140"/>
      <c r="AI499" s="128"/>
      <c r="AJ499" s="137"/>
      <c r="AK499" s="140"/>
      <c r="AL499" s="140"/>
    </row>
    <row r="500" ht="15.75" customHeight="1">
      <c r="A500" s="125">
        <v>499.0</v>
      </c>
      <c r="B500" s="138">
        <f t="shared" si="51"/>
        <v>10499</v>
      </c>
      <c r="C500" s="250" t="s">
        <v>1873</v>
      </c>
      <c r="D500" s="122" t="s">
        <v>2019</v>
      </c>
      <c r="E500" s="125" t="s">
        <v>20</v>
      </c>
      <c r="F500" s="127" t="s">
        <v>2625</v>
      </c>
      <c r="G500" s="221" t="s">
        <v>930</v>
      </c>
      <c r="H500" s="140" t="s">
        <v>1844</v>
      </c>
      <c r="I500" s="137" t="s">
        <v>1843</v>
      </c>
      <c r="J500" s="128" t="s">
        <v>1844</v>
      </c>
      <c r="K500" s="170" t="s">
        <v>1844</v>
      </c>
      <c r="L500" s="128" t="s">
        <v>1844</v>
      </c>
      <c r="M500" s="128" t="s">
        <v>1845</v>
      </c>
      <c r="N500" s="144" t="s">
        <v>1844</v>
      </c>
      <c r="O500" s="144" t="s">
        <v>1844</v>
      </c>
      <c r="P500" s="136" t="s">
        <v>1862</v>
      </c>
      <c r="Q500" s="128"/>
      <c r="R500" s="144"/>
      <c r="S500" s="128" t="s">
        <v>2401</v>
      </c>
      <c r="T500" s="128"/>
      <c r="U500" s="128"/>
      <c r="V500" s="128"/>
      <c r="W500" s="144"/>
      <c r="X500" s="136"/>
      <c r="Y500" s="128"/>
      <c r="Z500" s="128"/>
      <c r="AA500" s="136"/>
      <c r="AB500" s="136"/>
      <c r="AC500" s="136"/>
      <c r="AD500" s="140"/>
      <c r="AE500" s="140"/>
      <c r="AF500" s="140"/>
      <c r="AG500" s="140"/>
      <c r="AH500" s="140"/>
      <c r="AI500" s="128"/>
      <c r="AJ500" s="137"/>
      <c r="AK500" s="140"/>
      <c r="AL500" s="140"/>
    </row>
    <row r="501" ht="15.75" customHeight="1">
      <c r="A501" s="233">
        <v>500.0</v>
      </c>
      <c r="B501" s="138">
        <f t="shared" si="51"/>
        <v>10500</v>
      </c>
      <c r="C501" s="257" t="s">
        <v>1873</v>
      </c>
      <c r="D501" s="241" t="s">
        <v>2019</v>
      </c>
      <c r="E501" s="233" t="s">
        <v>34</v>
      </c>
      <c r="F501" s="258" t="s">
        <v>2626</v>
      </c>
      <c r="G501" s="258" t="s">
        <v>932</v>
      </c>
      <c r="H501" s="239" t="s">
        <v>1844</v>
      </c>
      <c r="I501" s="243" t="s">
        <v>1843</v>
      </c>
      <c r="J501" s="235" t="s">
        <v>1876</v>
      </c>
      <c r="K501" s="236" t="s">
        <v>2348</v>
      </c>
      <c r="L501" s="237" t="s">
        <v>1878</v>
      </c>
      <c r="M501" s="237" t="s">
        <v>1845</v>
      </c>
      <c r="N501" s="238" t="s">
        <v>1844</v>
      </c>
      <c r="O501" s="239" t="s">
        <v>1879</v>
      </c>
      <c r="P501" s="235" t="s">
        <v>1862</v>
      </c>
      <c r="Q501" s="235"/>
      <c r="R501" s="238"/>
      <c r="S501" s="235"/>
      <c r="T501" s="235"/>
      <c r="U501" s="235"/>
      <c r="V501" s="235"/>
      <c r="W501" s="238"/>
      <c r="X501" s="237"/>
      <c r="Y501" s="235"/>
      <c r="Z501" s="235"/>
      <c r="AA501" s="237"/>
      <c r="AB501" s="237"/>
      <c r="AC501" s="237"/>
      <c r="AD501" s="239" t="s">
        <v>1845</v>
      </c>
      <c r="AE501" s="239"/>
      <c r="AF501" s="140"/>
      <c r="AG501" s="128"/>
      <c r="AH501" s="140"/>
      <c r="AI501" s="128"/>
      <c r="AJ501" s="137"/>
      <c r="AK501" s="140"/>
      <c r="AL501" s="140"/>
    </row>
    <row r="502" ht="15.75" customHeight="1">
      <c r="A502" s="233">
        <v>501.0</v>
      </c>
      <c r="B502" s="138">
        <f t="shared" si="51"/>
        <v>10501</v>
      </c>
      <c r="C502" s="257" t="s">
        <v>1873</v>
      </c>
      <c r="D502" s="241" t="s">
        <v>2019</v>
      </c>
      <c r="E502" s="233" t="s">
        <v>7</v>
      </c>
      <c r="F502" s="263" t="s">
        <v>2627</v>
      </c>
      <c r="G502" s="258" t="s">
        <v>934</v>
      </c>
      <c r="H502" s="239" t="s">
        <v>1844</v>
      </c>
      <c r="I502" s="243" t="s">
        <v>1843</v>
      </c>
      <c r="J502" s="235" t="s">
        <v>1844</v>
      </c>
      <c r="K502" s="236" t="s">
        <v>1844</v>
      </c>
      <c r="L502" s="237" t="s">
        <v>1844</v>
      </c>
      <c r="M502" s="237" t="s">
        <v>1844</v>
      </c>
      <c r="N502" s="238" t="s">
        <v>1844</v>
      </c>
      <c r="O502" s="239" t="s">
        <v>1844</v>
      </c>
      <c r="P502" s="235" t="s">
        <v>1844</v>
      </c>
      <c r="Q502" s="235"/>
      <c r="R502" s="238"/>
      <c r="S502" s="235" t="s">
        <v>1845</v>
      </c>
      <c r="T502" s="235"/>
      <c r="U502" s="235"/>
      <c r="V502" s="235"/>
      <c r="W502" s="238"/>
      <c r="X502" s="237"/>
      <c r="Y502" s="235"/>
      <c r="Z502" s="235"/>
      <c r="AA502" s="237"/>
      <c r="AB502" s="237"/>
      <c r="AC502" s="237"/>
      <c r="AD502" s="239" t="s">
        <v>1845</v>
      </c>
      <c r="AE502" s="239"/>
      <c r="AF502" s="140"/>
      <c r="AG502" s="128"/>
      <c r="AH502" s="140"/>
      <c r="AI502" s="128"/>
      <c r="AJ502" s="137"/>
      <c r="AK502" s="140"/>
      <c r="AL502" s="140"/>
    </row>
    <row r="503" ht="15.75" customHeight="1">
      <c r="A503" s="233">
        <v>502.0</v>
      </c>
      <c r="B503" s="138">
        <f t="shared" si="51"/>
        <v>10502</v>
      </c>
      <c r="C503" s="257" t="s">
        <v>1873</v>
      </c>
      <c r="D503" s="241" t="s">
        <v>2019</v>
      </c>
      <c r="E503" s="233" t="s">
        <v>7</v>
      </c>
      <c r="F503" s="242" t="s">
        <v>2628</v>
      </c>
      <c r="G503" s="219" t="s">
        <v>936</v>
      </c>
      <c r="H503" s="239" t="s">
        <v>1844</v>
      </c>
      <c r="I503" s="243" t="s">
        <v>1843</v>
      </c>
      <c r="J503" s="235" t="s">
        <v>1844</v>
      </c>
      <c r="K503" s="236" t="s">
        <v>1844</v>
      </c>
      <c r="L503" s="237" t="s">
        <v>1844</v>
      </c>
      <c r="M503" s="237" t="s">
        <v>1844</v>
      </c>
      <c r="N503" s="238" t="s">
        <v>1844</v>
      </c>
      <c r="O503" s="239" t="s">
        <v>1844</v>
      </c>
      <c r="P503" s="235" t="s">
        <v>1844</v>
      </c>
      <c r="Q503" s="235"/>
      <c r="R503" s="238"/>
      <c r="S503" s="235" t="s">
        <v>1845</v>
      </c>
      <c r="T503" s="235"/>
      <c r="U503" s="235"/>
      <c r="V503" s="235"/>
      <c r="W503" s="238"/>
      <c r="X503" s="237"/>
      <c r="Y503" s="235"/>
      <c r="Z503" s="235"/>
      <c r="AA503" s="237"/>
      <c r="AB503" s="237"/>
      <c r="AC503" s="237"/>
      <c r="AD503" s="239" t="s">
        <v>1845</v>
      </c>
      <c r="AE503" s="239"/>
      <c r="AF503" s="140"/>
      <c r="AG503" s="128"/>
      <c r="AH503" s="140"/>
      <c r="AI503" s="128"/>
      <c r="AJ503" s="137"/>
      <c r="AK503" s="140"/>
      <c r="AL503" s="140"/>
    </row>
    <row r="504" ht="15.75" customHeight="1">
      <c r="A504" s="233">
        <v>503.0</v>
      </c>
      <c r="B504" s="138">
        <f t="shared" si="51"/>
        <v>10503</v>
      </c>
      <c r="C504" s="257" t="s">
        <v>1873</v>
      </c>
      <c r="D504" s="241" t="s">
        <v>2019</v>
      </c>
      <c r="E504" s="233" t="s">
        <v>34</v>
      </c>
      <c r="F504" s="242" t="s">
        <v>2629</v>
      </c>
      <c r="G504" s="258" t="s">
        <v>938</v>
      </c>
      <c r="H504" s="239" t="s">
        <v>1844</v>
      </c>
      <c r="I504" s="243" t="s">
        <v>1843</v>
      </c>
      <c r="J504" s="235" t="s">
        <v>1876</v>
      </c>
      <c r="K504" s="260" t="s">
        <v>2348</v>
      </c>
      <c r="L504" s="235" t="s">
        <v>1878</v>
      </c>
      <c r="M504" s="235" t="s">
        <v>1845</v>
      </c>
      <c r="N504" s="238" t="s">
        <v>1844</v>
      </c>
      <c r="O504" s="238" t="s">
        <v>1879</v>
      </c>
      <c r="P504" s="237" t="s">
        <v>1862</v>
      </c>
      <c r="Q504" s="235"/>
      <c r="R504" s="238"/>
      <c r="S504" s="235" t="s">
        <v>1845</v>
      </c>
      <c r="T504" s="235"/>
      <c r="U504" s="235"/>
      <c r="V504" s="235"/>
      <c r="W504" s="238"/>
      <c r="X504" s="237"/>
      <c r="Y504" s="235"/>
      <c r="Z504" s="235"/>
      <c r="AA504" s="237"/>
      <c r="AB504" s="237"/>
      <c r="AC504" s="237"/>
      <c r="AD504" s="239" t="s">
        <v>1845</v>
      </c>
      <c r="AE504" s="239"/>
      <c r="AF504" s="140"/>
      <c r="AG504" s="128"/>
      <c r="AH504" s="140"/>
      <c r="AI504" s="128"/>
      <c r="AJ504" s="137"/>
      <c r="AK504" s="140"/>
      <c r="AL504" s="140"/>
    </row>
    <row r="505" ht="15.75" customHeight="1">
      <c r="A505" s="233">
        <v>504.0</v>
      </c>
      <c r="B505" s="138">
        <f t="shared" si="51"/>
        <v>10504</v>
      </c>
      <c r="C505" s="257" t="s">
        <v>1873</v>
      </c>
      <c r="D505" s="241" t="s">
        <v>2019</v>
      </c>
      <c r="E505" s="233" t="s">
        <v>34</v>
      </c>
      <c r="F505" s="242" t="s">
        <v>2630</v>
      </c>
      <c r="G505" s="258" t="s">
        <v>940</v>
      </c>
      <c r="H505" s="239" t="s">
        <v>1844</v>
      </c>
      <c r="I505" s="243" t="s">
        <v>1843</v>
      </c>
      <c r="J505" s="235" t="s">
        <v>1876</v>
      </c>
      <c r="K505" s="260" t="s">
        <v>2348</v>
      </c>
      <c r="L505" s="235" t="s">
        <v>1878</v>
      </c>
      <c r="M505" s="235" t="s">
        <v>1845</v>
      </c>
      <c r="N505" s="238" t="s">
        <v>1844</v>
      </c>
      <c r="O505" s="238" t="s">
        <v>1879</v>
      </c>
      <c r="P505" s="237" t="s">
        <v>1862</v>
      </c>
      <c r="Q505" s="235"/>
      <c r="R505" s="238"/>
      <c r="S505" s="235" t="s">
        <v>1845</v>
      </c>
      <c r="T505" s="235"/>
      <c r="U505" s="235"/>
      <c r="V505" s="235"/>
      <c r="W505" s="238"/>
      <c r="X505" s="237"/>
      <c r="Y505" s="235"/>
      <c r="Z505" s="235"/>
      <c r="AA505" s="237"/>
      <c r="AB505" s="237"/>
      <c r="AC505" s="237"/>
      <c r="AD505" s="239" t="s">
        <v>1845</v>
      </c>
      <c r="AE505" s="239"/>
      <c r="AF505" s="140"/>
      <c r="AG505" s="128"/>
      <c r="AH505" s="140"/>
      <c r="AI505" s="128"/>
      <c r="AJ505" s="137"/>
      <c r="AK505" s="140"/>
      <c r="AL505" s="140"/>
    </row>
    <row r="506" ht="15.75" customHeight="1">
      <c r="A506" s="233">
        <v>505.0</v>
      </c>
      <c r="B506" s="138">
        <f t="shared" si="51"/>
        <v>10505</v>
      </c>
      <c r="C506" s="257" t="s">
        <v>1873</v>
      </c>
      <c r="D506" s="241" t="s">
        <v>2019</v>
      </c>
      <c r="E506" s="233" t="s">
        <v>20</v>
      </c>
      <c r="F506" s="242" t="s">
        <v>2631</v>
      </c>
      <c r="G506" s="258" t="s">
        <v>942</v>
      </c>
      <c r="H506" s="239" t="s">
        <v>1844</v>
      </c>
      <c r="I506" s="243" t="s">
        <v>1843</v>
      </c>
      <c r="J506" s="235" t="s">
        <v>1844</v>
      </c>
      <c r="K506" s="236" t="s">
        <v>1844</v>
      </c>
      <c r="L506" s="237" t="s">
        <v>1884</v>
      </c>
      <c r="M506" s="237" t="s">
        <v>1845</v>
      </c>
      <c r="N506" s="238" t="s">
        <v>1844</v>
      </c>
      <c r="O506" s="239" t="s">
        <v>1844</v>
      </c>
      <c r="P506" s="235" t="s">
        <v>1862</v>
      </c>
      <c r="Q506" s="239"/>
      <c r="R506" s="238"/>
      <c r="S506" s="235"/>
      <c r="T506" s="239"/>
      <c r="U506" s="239"/>
      <c r="V506" s="239"/>
      <c r="W506" s="238"/>
      <c r="X506" s="237"/>
      <c r="Y506" s="235"/>
      <c r="Z506" s="239"/>
      <c r="AA506" s="238"/>
      <c r="AB506" s="237"/>
      <c r="AC506" s="237"/>
      <c r="AD506" s="235" t="s">
        <v>1845</v>
      </c>
      <c r="AE506" s="235"/>
      <c r="AF506" s="140"/>
      <c r="AG506" s="128"/>
      <c r="AH506" s="140"/>
      <c r="AI506" s="128"/>
      <c r="AJ506" s="137"/>
      <c r="AK506" s="140"/>
      <c r="AL506" s="140"/>
    </row>
    <row r="507" ht="15.75" customHeight="1">
      <c r="A507" s="233">
        <v>506.0</v>
      </c>
      <c r="B507" s="123" t="s">
        <v>1742</v>
      </c>
      <c r="C507" s="257" t="s">
        <v>1873</v>
      </c>
      <c r="D507" s="241" t="s">
        <v>2019</v>
      </c>
      <c r="E507" s="233" t="s">
        <v>7</v>
      </c>
      <c r="F507" s="242" t="s">
        <v>2632</v>
      </c>
      <c r="G507" s="258" t="s">
        <v>2633</v>
      </c>
      <c r="H507" s="239" t="s">
        <v>1844</v>
      </c>
      <c r="I507" s="243" t="s">
        <v>1843</v>
      </c>
      <c r="J507" s="235" t="s">
        <v>1844</v>
      </c>
      <c r="K507" s="236" t="s">
        <v>1844</v>
      </c>
      <c r="L507" s="237" t="s">
        <v>1844</v>
      </c>
      <c r="M507" s="237" t="s">
        <v>1844</v>
      </c>
      <c r="N507" s="238" t="s">
        <v>1844</v>
      </c>
      <c r="O507" s="239" t="s">
        <v>1844</v>
      </c>
      <c r="P507" s="239" t="s">
        <v>1844</v>
      </c>
      <c r="Q507" s="239" t="s">
        <v>1845</v>
      </c>
      <c r="R507" s="238"/>
      <c r="S507" s="235"/>
      <c r="T507" s="239"/>
      <c r="U507" s="239"/>
      <c r="V507" s="239"/>
      <c r="W507" s="238"/>
      <c r="X507" s="237"/>
      <c r="Y507" s="235"/>
      <c r="Z507" s="239"/>
      <c r="AA507" s="238"/>
      <c r="AB507" s="237"/>
      <c r="AC507" s="237"/>
      <c r="AD507" s="235" t="s">
        <v>1845</v>
      </c>
      <c r="AE507" s="235"/>
      <c r="AF507" s="140"/>
      <c r="AG507" s="128"/>
      <c r="AH507" s="140"/>
      <c r="AI507" s="128"/>
      <c r="AJ507" s="137"/>
      <c r="AK507" s="140"/>
      <c r="AL507" s="140"/>
    </row>
    <row r="508" ht="15.75" customHeight="1">
      <c r="A508" s="233">
        <v>507.0</v>
      </c>
      <c r="B508" s="123" t="s">
        <v>1742</v>
      </c>
      <c r="C508" s="257" t="s">
        <v>1873</v>
      </c>
      <c r="D508" s="241" t="s">
        <v>2019</v>
      </c>
      <c r="E508" s="233" t="s">
        <v>34</v>
      </c>
      <c r="F508" s="263" t="s">
        <v>2634</v>
      </c>
      <c r="G508" s="258" t="s">
        <v>2635</v>
      </c>
      <c r="H508" s="239" t="s">
        <v>1844</v>
      </c>
      <c r="I508" s="243" t="s">
        <v>1843</v>
      </c>
      <c r="J508" s="235" t="s">
        <v>1876</v>
      </c>
      <c r="K508" s="236" t="s">
        <v>2348</v>
      </c>
      <c r="L508" s="237" t="s">
        <v>1878</v>
      </c>
      <c r="M508" s="237" t="s">
        <v>1845</v>
      </c>
      <c r="N508" s="238" t="s">
        <v>1844</v>
      </c>
      <c r="O508" s="239" t="s">
        <v>1879</v>
      </c>
      <c r="P508" s="235" t="s">
        <v>1862</v>
      </c>
      <c r="Q508" s="235" t="s">
        <v>1845</v>
      </c>
      <c r="R508" s="238"/>
      <c r="S508" s="235"/>
      <c r="T508" s="235"/>
      <c r="U508" s="235"/>
      <c r="V508" s="235"/>
      <c r="W508" s="238"/>
      <c r="X508" s="237"/>
      <c r="Y508" s="235"/>
      <c r="Z508" s="235"/>
      <c r="AA508" s="237"/>
      <c r="AB508" s="237"/>
      <c r="AC508" s="237"/>
      <c r="AD508" s="238" t="s">
        <v>1845</v>
      </c>
      <c r="AE508" s="238"/>
      <c r="AF508" s="140"/>
      <c r="AG508" s="128"/>
      <c r="AH508" s="140"/>
      <c r="AI508" s="128"/>
      <c r="AJ508" s="137"/>
      <c r="AK508" s="140"/>
      <c r="AL508" s="140"/>
    </row>
    <row r="509" ht="15.75" customHeight="1">
      <c r="A509" s="233">
        <v>508.0</v>
      </c>
      <c r="B509" s="123" t="s">
        <v>1742</v>
      </c>
      <c r="C509" s="257" t="s">
        <v>1873</v>
      </c>
      <c r="D509" s="241" t="s">
        <v>2019</v>
      </c>
      <c r="E509" s="233" t="s">
        <v>7</v>
      </c>
      <c r="F509" s="263" t="s">
        <v>2636</v>
      </c>
      <c r="G509" s="258" t="s">
        <v>2637</v>
      </c>
      <c r="H509" s="239" t="s">
        <v>1844</v>
      </c>
      <c r="I509" s="243" t="s">
        <v>1843</v>
      </c>
      <c r="J509" s="235" t="s">
        <v>1844</v>
      </c>
      <c r="K509" s="259" t="s">
        <v>1844</v>
      </c>
      <c r="L509" s="237" t="s">
        <v>1844</v>
      </c>
      <c r="M509" s="237" t="s">
        <v>1844</v>
      </c>
      <c r="N509" s="238" t="s">
        <v>1844</v>
      </c>
      <c r="O509" s="239" t="s">
        <v>1844</v>
      </c>
      <c r="P509" s="239" t="s">
        <v>1844</v>
      </c>
      <c r="Q509" s="239" t="s">
        <v>1845</v>
      </c>
      <c r="R509" s="238"/>
      <c r="S509" s="235"/>
      <c r="T509" s="239"/>
      <c r="U509" s="239"/>
      <c r="V509" s="239"/>
      <c r="W509" s="238"/>
      <c r="X509" s="237"/>
      <c r="Y509" s="235"/>
      <c r="Z509" s="239" t="s">
        <v>1845</v>
      </c>
      <c r="AA509" s="238"/>
      <c r="AB509" s="237"/>
      <c r="AC509" s="237"/>
      <c r="AD509" s="237" t="s">
        <v>1845</v>
      </c>
      <c r="AE509" s="237"/>
      <c r="AF509" s="140"/>
      <c r="AG509" s="128"/>
      <c r="AH509" s="140"/>
      <c r="AI509" s="128"/>
      <c r="AJ509" s="137"/>
      <c r="AK509" s="140"/>
      <c r="AL509" s="140"/>
    </row>
    <row r="510" ht="15.75" customHeight="1">
      <c r="A510" s="233">
        <v>509.0</v>
      </c>
      <c r="B510" s="123" t="s">
        <v>1742</v>
      </c>
      <c r="C510" s="257" t="s">
        <v>1873</v>
      </c>
      <c r="D510" s="241" t="s">
        <v>2019</v>
      </c>
      <c r="E510" s="233" t="s">
        <v>7</v>
      </c>
      <c r="F510" s="263" t="s">
        <v>2638</v>
      </c>
      <c r="G510" s="258" t="s">
        <v>2639</v>
      </c>
      <c r="H510" s="239" t="s">
        <v>1844</v>
      </c>
      <c r="I510" s="243" t="s">
        <v>1843</v>
      </c>
      <c r="J510" s="235" t="s">
        <v>1844</v>
      </c>
      <c r="K510" s="236" t="s">
        <v>1844</v>
      </c>
      <c r="L510" s="237" t="s">
        <v>1844</v>
      </c>
      <c r="M510" s="237" t="s">
        <v>1844</v>
      </c>
      <c r="N510" s="238" t="s">
        <v>1844</v>
      </c>
      <c r="O510" s="239" t="s">
        <v>1844</v>
      </c>
      <c r="P510" s="239" t="s">
        <v>1844</v>
      </c>
      <c r="Q510" s="239" t="s">
        <v>1845</v>
      </c>
      <c r="R510" s="238"/>
      <c r="S510" s="235"/>
      <c r="T510" s="239"/>
      <c r="U510" s="239"/>
      <c r="V510" s="239"/>
      <c r="W510" s="238"/>
      <c r="X510" s="237" t="s">
        <v>1845</v>
      </c>
      <c r="Y510" s="235"/>
      <c r="Z510" s="239"/>
      <c r="AA510" s="238"/>
      <c r="AB510" s="237"/>
      <c r="AC510" s="237"/>
      <c r="AD510" s="235" t="s">
        <v>1845</v>
      </c>
      <c r="AE510" s="235"/>
      <c r="AF510" s="140"/>
      <c r="AG510" s="128"/>
      <c r="AH510" s="140"/>
      <c r="AI510" s="128"/>
      <c r="AJ510" s="137"/>
      <c r="AK510" s="140"/>
      <c r="AL510" s="140"/>
    </row>
    <row r="511" ht="15.75" customHeight="1">
      <c r="A511" s="125">
        <v>510.0</v>
      </c>
      <c r="B511" s="138">
        <f t="shared" ref="B511:B514" si="52">SUM(A511+10000)</f>
        <v>10510</v>
      </c>
      <c r="C511" s="250" t="s">
        <v>1873</v>
      </c>
      <c r="D511" s="122" t="s">
        <v>2019</v>
      </c>
      <c r="E511" s="125" t="s">
        <v>7</v>
      </c>
      <c r="F511" s="126" t="s">
        <v>2640</v>
      </c>
      <c r="G511" s="221" t="s">
        <v>952</v>
      </c>
      <c r="H511" s="140" t="s">
        <v>1844</v>
      </c>
      <c r="I511" s="128" t="s">
        <v>1843</v>
      </c>
      <c r="J511" s="268" t="s">
        <v>1844</v>
      </c>
      <c r="K511" s="128" t="s">
        <v>1844</v>
      </c>
      <c r="L511" s="136" t="s">
        <v>1844</v>
      </c>
      <c r="M511" s="136" t="s">
        <v>1844</v>
      </c>
      <c r="N511" s="144" t="s">
        <v>1844</v>
      </c>
      <c r="O511" s="140" t="s">
        <v>1844</v>
      </c>
      <c r="P511" s="140" t="s">
        <v>1844</v>
      </c>
      <c r="Q511" s="140"/>
      <c r="R511" s="144" t="s">
        <v>1845</v>
      </c>
      <c r="S511" s="128" t="s">
        <v>1845</v>
      </c>
      <c r="T511" s="140"/>
      <c r="U511" s="140"/>
      <c r="V511" s="140"/>
      <c r="W511" s="144"/>
      <c r="X511" s="136" t="s">
        <v>1845</v>
      </c>
      <c r="Y511" s="128"/>
      <c r="Z511" s="140"/>
      <c r="AA511" s="144"/>
      <c r="AB511" s="136"/>
      <c r="AC511" s="136"/>
      <c r="AD511" s="136"/>
      <c r="AE511" s="136"/>
      <c r="AF511" s="140"/>
      <c r="AG511" s="140"/>
      <c r="AH511" s="140"/>
      <c r="AI511" s="128"/>
      <c r="AJ511" s="137"/>
      <c r="AK511" s="140"/>
      <c r="AL511" s="140"/>
    </row>
    <row r="512" ht="15.75" customHeight="1">
      <c r="A512" s="233">
        <v>511.0</v>
      </c>
      <c r="B512" s="138">
        <f t="shared" si="52"/>
        <v>10511</v>
      </c>
      <c r="C512" s="257" t="s">
        <v>1873</v>
      </c>
      <c r="D512" s="241" t="s">
        <v>2019</v>
      </c>
      <c r="E512" s="233" t="s">
        <v>20</v>
      </c>
      <c r="F512" s="263" t="s">
        <v>2641</v>
      </c>
      <c r="G512" s="258" t="s">
        <v>954</v>
      </c>
      <c r="H512" s="239" t="s">
        <v>1844</v>
      </c>
      <c r="I512" s="235" t="s">
        <v>1843</v>
      </c>
      <c r="J512" s="236" t="s">
        <v>1844</v>
      </c>
      <c r="K512" s="235" t="s">
        <v>1844</v>
      </c>
      <c r="L512" s="237" t="s">
        <v>1844</v>
      </c>
      <c r="M512" s="237" t="s">
        <v>1845</v>
      </c>
      <c r="N512" s="238" t="s">
        <v>1844</v>
      </c>
      <c r="O512" s="239" t="s">
        <v>1844</v>
      </c>
      <c r="P512" s="235" t="s">
        <v>1862</v>
      </c>
      <c r="Q512" s="239"/>
      <c r="R512" s="238"/>
      <c r="S512" s="235"/>
      <c r="T512" s="239"/>
      <c r="U512" s="239"/>
      <c r="V512" s="239"/>
      <c r="W512" s="238"/>
      <c r="X512" s="237"/>
      <c r="Y512" s="235"/>
      <c r="Z512" s="239"/>
      <c r="AA512" s="238"/>
      <c r="AB512" s="237"/>
      <c r="AC512" s="237"/>
      <c r="AD512" s="237" t="s">
        <v>1845</v>
      </c>
      <c r="AE512" s="237"/>
      <c r="AF512" s="140"/>
      <c r="AG512" s="128"/>
      <c r="AH512" s="140"/>
      <c r="AI512" s="128"/>
      <c r="AJ512" s="137"/>
      <c r="AK512" s="140"/>
      <c r="AL512" s="140"/>
    </row>
    <row r="513" ht="15.75" customHeight="1">
      <c r="A513" s="233">
        <v>512.0</v>
      </c>
      <c r="B513" s="138">
        <f t="shared" si="52"/>
        <v>10512</v>
      </c>
      <c r="C513" s="257" t="s">
        <v>1873</v>
      </c>
      <c r="D513" s="241" t="s">
        <v>2019</v>
      </c>
      <c r="E513" s="233" t="s">
        <v>20</v>
      </c>
      <c r="F513" s="242" t="s">
        <v>2642</v>
      </c>
      <c r="G513" s="258" t="s">
        <v>956</v>
      </c>
      <c r="H513" s="239" t="s">
        <v>1844</v>
      </c>
      <c r="I513" s="235" t="s">
        <v>1843</v>
      </c>
      <c r="J513" s="236" t="s">
        <v>1844</v>
      </c>
      <c r="K513" s="237" t="s">
        <v>1844</v>
      </c>
      <c r="L513" s="237" t="s">
        <v>1844</v>
      </c>
      <c r="M513" s="237" t="s">
        <v>1845</v>
      </c>
      <c r="N513" s="238" t="s">
        <v>1844</v>
      </c>
      <c r="O513" s="239" t="s">
        <v>1844</v>
      </c>
      <c r="P513" s="235" t="s">
        <v>1862</v>
      </c>
      <c r="Q513" s="239"/>
      <c r="R513" s="238"/>
      <c r="S513" s="235"/>
      <c r="T513" s="239"/>
      <c r="U513" s="239"/>
      <c r="V513" s="239"/>
      <c r="W513" s="238"/>
      <c r="X513" s="237"/>
      <c r="Y513" s="235"/>
      <c r="Z513" s="239"/>
      <c r="AA513" s="238"/>
      <c r="AB513" s="237"/>
      <c r="AC513" s="237"/>
      <c r="AD513" s="237" t="s">
        <v>1845</v>
      </c>
      <c r="AE513" s="237"/>
      <c r="AF513" s="140"/>
      <c r="AG513" s="128"/>
      <c r="AH513" s="140"/>
      <c r="AI513" s="128"/>
      <c r="AJ513" s="137"/>
      <c r="AK513" s="140"/>
      <c r="AL513" s="140"/>
    </row>
    <row r="514" ht="15.75" customHeight="1">
      <c r="A514" s="125">
        <v>513.0</v>
      </c>
      <c r="B514" s="138">
        <f t="shared" si="52"/>
        <v>10513</v>
      </c>
      <c r="C514" s="250" t="s">
        <v>1873</v>
      </c>
      <c r="D514" s="122" t="s">
        <v>2019</v>
      </c>
      <c r="E514" s="125" t="s">
        <v>20</v>
      </c>
      <c r="F514" s="126" t="s">
        <v>2643</v>
      </c>
      <c r="G514" s="221" t="s">
        <v>958</v>
      </c>
      <c r="H514" s="140" t="s">
        <v>1844</v>
      </c>
      <c r="I514" s="128" t="s">
        <v>1843</v>
      </c>
      <c r="J514" s="186" t="s">
        <v>1844</v>
      </c>
      <c r="K514" s="136" t="s">
        <v>1844</v>
      </c>
      <c r="L514" s="136" t="s">
        <v>1990</v>
      </c>
      <c r="M514" s="136" t="s">
        <v>1879</v>
      </c>
      <c r="N514" s="144" t="s">
        <v>1844</v>
      </c>
      <c r="O514" s="140" t="s">
        <v>1844</v>
      </c>
      <c r="P514" s="128" t="s">
        <v>1895</v>
      </c>
      <c r="Q514" s="140"/>
      <c r="R514" s="144"/>
      <c r="S514" s="128"/>
      <c r="T514" s="140"/>
      <c r="U514" s="140"/>
      <c r="V514" s="140"/>
      <c r="W514" s="144"/>
      <c r="X514" s="136" t="s">
        <v>1845</v>
      </c>
      <c r="Y514" s="128"/>
      <c r="Z514" s="140"/>
      <c r="AA514" s="144"/>
      <c r="AB514" s="136"/>
      <c r="AC514" s="136"/>
      <c r="AD514" s="136"/>
      <c r="AE514" s="136"/>
      <c r="AF514" s="140"/>
      <c r="AG514" s="140"/>
      <c r="AH514" s="140"/>
      <c r="AI514" s="128"/>
      <c r="AJ514" s="137"/>
      <c r="AK514" s="140"/>
      <c r="AL514" s="140"/>
    </row>
    <row r="515" ht="15.75" customHeight="1">
      <c r="A515" s="125">
        <v>514.0</v>
      </c>
      <c r="B515" s="123" t="s">
        <v>1742</v>
      </c>
      <c r="C515" s="250" t="s">
        <v>1840</v>
      </c>
      <c r="D515" s="122" t="str">
        <f t="array" ref="D515">INDEX(TEXTSPLIT(#REF!, "_"), 2)</f>
        <v>#NAME?</v>
      </c>
      <c r="E515" s="125" t="s">
        <v>34</v>
      </c>
      <c r="F515" s="126" t="s">
        <v>2644</v>
      </c>
      <c r="G515" s="221" t="s">
        <v>2645</v>
      </c>
      <c r="H515" s="140" t="s">
        <v>1844</v>
      </c>
      <c r="I515" s="128" t="s">
        <v>1843</v>
      </c>
      <c r="J515" s="186" t="s">
        <v>1902</v>
      </c>
      <c r="K515" s="136" t="s">
        <v>1877</v>
      </c>
      <c r="L515" s="136" t="s">
        <v>1990</v>
      </c>
      <c r="M515" s="136" t="s">
        <v>1845</v>
      </c>
      <c r="N515" s="144">
        <v>1.0</v>
      </c>
      <c r="O515" s="140" t="s">
        <v>1879</v>
      </c>
      <c r="P515" s="128" t="s">
        <v>1895</v>
      </c>
      <c r="Q515" s="140" t="s">
        <v>1845</v>
      </c>
      <c r="R515" s="144"/>
      <c r="S515" s="128"/>
      <c r="T515" s="140"/>
      <c r="U515" s="140"/>
      <c r="V515" s="140"/>
      <c r="W515" s="144"/>
      <c r="X515" s="136" t="s">
        <v>1845</v>
      </c>
      <c r="Y515" s="128"/>
      <c r="Z515" s="140"/>
      <c r="AA515" s="144"/>
      <c r="AB515" s="136"/>
      <c r="AC515" s="136"/>
      <c r="AD515" s="136"/>
      <c r="AE515" s="136"/>
      <c r="AF515" s="140"/>
      <c r="AG515" s="140"/>
      <c r="AH515" s="140"/>
      <c r="AI515" s="128"/>
      <c r="AJ515" s="137"/>
      <c r="AK515" s="140"/>
      <c r="AL515" s="140"/>
    </row>
    <row r="516" ht="15.75" customHeight="1">
      <c r="A516" s="125">
        <v>515.0</v>
      </c>
      <c r="B516" s="123" t="s">
        <v>1742</v>
      </c>
      <c r="C516" s="250" t="s">
        <v>1840</v>
      </c>
      <c r="D516" s="122" t="str">
        <f t="array" ref="D516">INDEX(TEXTSPLIT(#REF!, "_"), 2)</f>
        <v>#NAME?</v>
      </c>
      <c r="E516" s="125" t="s">
        <v>34</v>
      </c>
      <c r="F516" s="126" t="s">
        <v>2646</v>
      </c>
      <c r="G516" s="221" t="s">
        <v>2647</v>
      </c>
      <c r="H516" s="140" t="s">
        <v>1844</v>
      </c>
      <c r="I516" s="128" t="s">
        <v>1843</v>
      </c>
      <c r="J516" s="186" t="s">
        <v>1902</v>
      </c>
      <c r="K516" s="136" t="s">
        <v>1877</v>
      </c>
      <c r="L516" s="136" t="s">
        <v>1990</v>
      </c>
      <c r="M516" s="136" t="s">
        <v>1845</v>
      </c>
      <c r="N516" s="144">
        <v>1.0</v>
      </c>
      <c r="O516" s="140" t="s">
        <v>1879</v>
      </c>
      <c r="P516" s="128" t="s">
        <v>1895</v>
      </c>
      <c r="Q516" s="140" t="s">
        <v>1845</v>
      </c>
      <c r="R516" s="144"/>
      <c r="S516" s="128"/>
      <c r="T516" s="140"/>
      <c r="U516" s="140"/>
      <c r="V516" s="140"/>
      <c r="W516" s="144" t="s">
        <v>1845</v>
      </c>
      <c r="X516" s="136" t="s">
        <v>1845</v>
      </c>
      <c r="Y516" s="128"/>
      <c r="Z516" s="140" t="s">
        <v>1845</v>
      </c>
      <c r="AA516" s="144"/>
      <c r="AB516" s="136"/>
      <c r="AC516" s="136"/>
      <c r="AD516" s="136"/>
      <c r="AE516" s="136"/>
      <c r="AF516" s="140"/>
      <c r="AG516" s="140"/>
      <c r="AH516" s="140"/>
      <c r="AI516" s="128"/>
      <c r="AJ516" s="137"/>
      <c r="AK516" s="140"/>
      <c r="AL516" s="140"/>
    </row>
    <row r="517" ht="15.75" customHeight="1">
      <c r="A517" s="125">
        <v>516.0</v>
      </c>
      <c r="B517" s="138">
        <f>SUM(A517+10000)</f>
        <v>10516</v>
      </c>
      <c r="C517" s="250" t="s">
        <v>1840</v>
      </c>
      <c r="D517" s="122" t="s">
        <v>2019</v>
      </c>
      <c r="E517" s="125" t="s">
        <v>20</v>
      </c>
      <c r="F517" s="126" t="s">
        <v>2648</v>
      </c>
      <c r="G517" s="221" t="s">
        <v>964</v>
      </c>
      <c r="H517" s="140" t="s">
        <v>1844</v>
      </c>
      <c r="I517" s="128" t="s">
        <v>1906</v>
      </c>
      <c r="J517" s="186" t="s">
        <v>1844</v>
      </c>
      <c r="K517" s="136" t="s">
        <v>1844</v>
      </c>
      <c r="L517" s="136" t="s">
        <v>1844</v>
      </c>
      <c r="M517" s="136" t="s">
        <v>1845</v>
      </c>
      <c r="N517" s="144" t="s">
        <v>1844</v>
      </c>
      <c r="O517" s="140" t="s">
        <v>1844</v>
      </c>
      <c r="P517" s="128" t="s">
        <v>1844</v>
      </c>
      <c r="Q517" s="140"/>
      <c r="R517" s="144"/>
      <c r="S517" s="128"/>
      <c r="T517" s="140"/>
      <c r="U517" s="140" t="s">
        <v>1845</v>
      </c>
      <c r="V517" s="140" t="s">
        <v>1845</v>
      </c>
      <c r="W517" s="144"/>
      <c r="X517" s="136"/>
      <c r="Y517" s="128"/>
      <c r="Z517" s="140"/>
      <c r="AA517" s="144"/>
      <c r="AB517" s="136"/>
      <c r="AC517" s="136"/>
      <c r="AD517" s="136"/>
      <c r="AE517" s="136"/>
      <c r="AF517" s="140"/>
      <c r="AG517" s="140"/>
      <c r="AH517" s="140"/>
      <c r="AI517" s="128"/>
      <c r="AJ517" s="137"/>
      <c r="AK517" s="140"/>
      <c r="AL517" s="140"/>
    </row>
    <row r="518" ht="15.75" customHeight="1">
      <c r="A518" s="125">
        <v>517.0</v>
      </c>
      <c r="B518" s="123" t="s">
        <v>1742</v>
      </c>
      <c r="C518" s="250" t="s">
        <v>1840</v>
      </c>
      <c r="D518" s="122" t="s">
        <v>2019</v>
      </c>
      <c r="E518" s="125" t="s">
        <v>7</v>
      </c>
      <c r="F518" s="126" t="s">
        <v>2649</v>
      </c>
      <c r="G518" s="127" t="s">
        <v>2650</v>
      </c>
      <c r="H518" s="140" t="s">
        <v>1844</v>
      </c>
      <c r="I518" s="128" t="s">
        <v>1906</v>
      </c>
      <c r="J518" s="186" t="s">
        <v>1844</v>
      </c>
      <c r="K518" s="136" t="s">
        <v>1844</v>
      </c>
      <c r="L518" s="136" t="s">
        <v>1844</v>
      </c>
      <c r="M518" s="136" t="s">
        <v>1844</v>
      </c>
      <c r="N518" s="144" t="s">
        <v>1844</v>
      </c>
      <c r="O518" s="140" t="s">
        <v>1844</v>
      </c>
      <c r="P518" s="128" t="s">
        <v>1844</v>
      </c>
      <c r="Q518" s="140" t="s">
        <v>1845</v>
      </c>
      <c r="R518" s="144"/>
      <c r="S518" s="128"/>
      <c r="T518" s="140"/>
      <c r="U518" s="140"/>
      <c r="V518" s="140" t="s">
        <v>1845</v>
      </c>
      <c r="W518" s="144"/>
      <c r="X518" s="136"/>
      <c r="Y518" s="128"/>
      <c r="Z518" s="140"/>
      <c r="AA518" s="144"/>
      <c r="AB518" s="136" t="s">
        <v>1845</v>
      </c>
      <c r="AC518" s="136"/>
      <c r="AD518" s="136"/>
      <c r="AE518" s="136"/>
      <c r="AF518" s="140"/>
      <c r="AG518" s="140"/>
      <c r="AH518" s="140"/>
      <c r="AI518" s="128"/>
      <c r="AJ518" s="137"/>
      <c r="AK518" s="140"/>
      <c r="AL518" s="140"/>
    </row>
    <row r="519" ht="15.75" customHeight="1">
      <c r="A519" s="125">
        <v>518.0</v>
      </c>
      <c r="B519" s="123" t="s">
        <v>1742</v>
      </c>
      <c r="C519" s="250" t="s">
        <v>1840</v>
      </c>
      <c r="D519" s="122" t="s">
        <v>2019</v>
      </c>
      <c r="E519" s="125" t="s">
        <v>7</v>
      </c>
      <c r="F519" s="126" t="s">
        <v>2651</v>
      </c>
      <c r="G519" s="127" t="s">
        <v>968</v>
      </c>
      <c r="H519" s="140" t="s">
        <v>1844</v>
      </c>
      <c r="I519" s="128" t="s">
        <v>1906</v>
      </c>
      <c r="J519" s="186" t="s">
        <v>1844</v>
      </c>
      <c r="K519" s="136" t="s">
        <v>1844</v>
      </c>
      <c r="L519" s="136" t="s">
        <v>1844</v>
      </c>
      <c r="M519" s="136" t="s">
        <v>1844</v>
      </c>
      <c r="N519" s="144" t="s">
        <v>1844</v>
      </c>
      <c r="O519" s="140" t="s">
        <v>1844</v>
      </c>
      <c r="P519" s="128" t="s">
        <v>1844</v>
      </c>
      <c r="Q519" s="140" t="s">
        <v>1845</v>
      </c>
      <c r="R519" s="144"/>
      <c r="S519" s="128"/>
      <c r="T519" s="140"/>
      <c r="U519" s="140"/>
      <c r="V519" s="140" t="s">
        <v>1845</v>
      </c>
      <c r="W519" s="144"/>
      <c r="X519" s="136" t="s">
        <v>1845</v>
      </c>
      <c r="Y519" s="128"/>
      <c r="Z519" s="140"/>
      <c r="AA519" s="144"/>
      <c r="AB519" s="136" t="s">
        <v>1845</v>
      </c>
      <c r="AC519" s="136"/>
      <c r="AD519" s="136"/>
      <c r="AE519" s="136"/>
      <c r="AF519" s="140"/>
      <c r="AG519" s="140"/>
      <c r="AH519" s="140"/>
      <c r="AI519" s="128"/>
      <c r="AJ519" s="137"/>
      <c r="AK519" s="140"/>
      <c r="AL519" s="140"/>
    </row>
    <row r="520" ht="15.75" customHeight="1">
      <c r="A520" s="125">
        <v>519.0</v>
      </c>
      <c r="B520" s="123" t="s">
        <v>1742</v>
      </c>
      <c r="C520" s="250" t="s">
        <v>1840</v>
      </c>
      <c r="D520" s="122" t="s">
        <v>1849</v>
      </c>
      <c r="E520" s="125" t="s">
        <v>34</v>
      </c>
      <c r="F520" s="127" t="s">
        <v>2652</v>
      </c>
      <c r="G520" s="127" t="s">
        <v>2653</v>
      </c>
      <c r="H520" s="140" t="s">
        <v>1844</v>
      </c>
      <c r="I520" s="128" t="s">
        <v>1843</v>
      </c>
      <c r="J520" s="186" t="s">
        <v>1902</v>
      </c>
      <c r="K520" s="136" t="s">
        <v>1877</v>
      </c>
      <c r="L520" s="136" t="s">
        <v>1878</v>
      </c>
      <c r="M520" s="136" t="s">
        <v>1845</v>
      </c>
      <c r="N520" s="144">
        <v>1.0</v>
      </c>
      <c r="O520" s="140" t="s">
        <v>1879</v>
      </c>
      <c r="P520" s="128" t="s">
        <v>2654</v>
      </c>
      <c r="Q520" s="140" t="s">
        <v>1845</v>
      </c>
      <c r="R520" s="144"/>
      <c r="S520" s="128"/>
      <c r="T520" s="140"/>
      <c r="U520" s="140"/>
      <c r="V520" s="140"/>
      <c r="W520" s="144"/>
      <c r="X520" s="136"/>
      <c r="Y520" s="128"/>
      <c r="Z520" s="140"/>
      <c r="AA520" s="144"/>
      <c r="AB520" s="136"/>
      <c r="AC520" s="136"/>
      <c r="AD520" s="136"/>
      <c r="AE520" s="136"/>
      <c r="AF520" s="140"/>
      <c r="AG520" s="140"/>
      <c r="AH520" s="140"/>
      <c r="AI520" s="128"/>
      <c r="AJ520" s="137"/>
      <c r="AK520" s="140"/>
      <c r="AL520" s="140"/>
    </row>
    <row r="521" ht="15.75" customHeight="1">
      <c r="A521" s="125">
        <v>520.0</v>
      </c>
      <c r="B521" s="123" t="s">
        <v>1742</v>
      </c>
      <c r="C521" s="250" t="s">
        <v>1840</v>
      </c>
      <c r="D521" s="122" t="s">
        <v>1849</v>
      </c>
      <c r="E521" s="125" t="s">
        <v>34</v>
      </c>
      <c r="F521" s="127" t="s">
        <v>2655</v>
      </c>
      <c r="G521" s="153" t="s">
        <v>2656</v>
      </c>
      <c r="H521" s="140" t="s">
        <v>1844</v>
      </c>
      <c r="I521" s="128" t="s">
        <v>1843</v>
      </c>
      <c r="J521" s="186" t="s">
        <v>1902</v>
      </c>
      <c r="K521" s="136" t="s">
        <v>1877</v>
      </c>
      <c r="L521" s="136" t="s">
        <v>1878</v>
      </c>
      <c r="M521" s="136" t="s">
        <v>1845</v>
      </c>
      <c r="N521" s="144">
        <v>1.0</v>
      </c>
      <c r="O521" s="140" t="s">
        <v>1879</v>
      </c>
      <c r="P521" s="128" t="s">
        <v>1862</v>
      </c>
      <c r="Q521" s="140" t="s">
        <v>1845</v>
      </c>
      <c r="R521" s="144"/>
      <c r="S521" s="128" t="s">
        <v>1845</v>
      </c>
      <c r="T521" s="140"/>
      <c r="U521" s="140"/>
      <c r="V521" s="140"/>
      <c r="W521" s="144"/>
      <c r="X521" s="136"/>
      <c r="Y521" s="128"/>
      <c r="Z521" s="140"/>
      <c r="AA521" s="144"/>
      <c r="AB521" s="136"/>
      <c r="AC521" s="136"/>
      <c r="AD521" s="136"/>
      <c r="AE521" s="136"/>
      <c r="AF521" s="140"/>
      <c r="AG521" s="140"/>
      <c r="AH521" s="140"/>
      <c r="AI521" s="128"/>
      <c r="AJ521" s="137"/>
      <c r="AK521" s="140"/>
      <c r="AL521" s="140"/>
    </row>
    <row r="522" ht="15.75" customHeight="1">
      <c r="A522" s="125">
        <v>521.0</v>
      </c>
      <c r="B522" s="123" t="s">
        <v>1742</v>
      </c>
      <c r="C522" s="250" t="s">
        <v>1840</v>
      </c>
      <c r="D522" s="122" t="s">
        <v>1849</v>
      </c>
      <c r="E522" s="125" t="s">
        <v>20</v>
      </c>
      <c r="F522" s="127" t="s">
        <v>2657</v>
      </c>
      <c r="G522" s="127" t="s">
        <v>2658</v>
      </c>
      <c r="H522" s="140" t="s">
        <v>1844</v>
      </c>
      <c r="I522" s="128" t="s">
        <v>1843</v>
      </c>
      <c r="J522" s="186" t="s">
        <v>1844</v>
      </c>
      <c r="K522" s="136" t="s">
        <v>1844</v>
      </c>
      <c r="L522" s="136" t="s">
        <v>1990</v>
      </c>
      <c r="M522" s="136" t="s">
        <v>1845</v>
      </c>
      <c r="N522" s="144" t="s">
        <v>1844</v>
      </c>
      <c r="O522" s="140" t="s">
        <v>1844</v>
      </c>
      <c r="P522" s="128" t="s">
        <v>1862</v>
      </c>
      <c r="Q522" s="140" t="s">
        <v>1845</v>
      </c>
      <c r="R522" s="144"/>
      <c r="S522" s="128"/>
      <c r="T522" s="140"/>
      <c r="U522" s="140"/>
      <c r="V522" s="140"/>
      <c r="W522" s="144"/>
      <c r="X522" s="136"/>
      <c r="Y522" s="128"/>
      <c r="Z522" s="140"/>
      <c r="AA522" s="144"/>
      <c r="AB522" s="136"/>
      <c r="AC522" s="136"/>
      <c r="AD522" s="136"/>
      <c r="AE522" s="136"/>
      <c r="AF522" s="140"/>
      <c r="AG522" s="140"/>
      <c r="AH522" s="140"/>
      <c r="AI522" s="128"/>
      <c r="AJ522" s="137"/>
      <c r="AK522" s="140"/>
      <c r="AL522" s="140"/>
    </row>
    <row r="523" ht="15.75" customHeight="1">
      <c r="A523" s="125">
        <v>522.0</v>
      </c>
      <c r="B523" s="138">
        <f>SUM(A523+10000)</f>
        <v>10522</v>
      </c>
      <c r="C523" s="250" t="s">
        <v>1840</v>
      </c>
      <c r="D523" s="122" t="s">
        <v>1849</v>
      </c>
      <c r="E523" s="125" t="s">
        <v>27</v>
      </c>
      <c r="F523" s="127" t="s">
        <v>2659</v>
      </c>
      <c r="G523" s="127" t="s">
        <v>976</v>
      </c>
      <c r="H523" s="140" t="s">
        <v>1844</v>
      </c>
      <c r="I523" s="128" t="s">
        <v>1843</v>
      </c>
      <c r="J523" s="186" t="s">
        <v>1844</v>
      </c>
      <c r="K523" s="136" t="s">
        <v>1844</v>
      </c>
      <c r="L523" s="136" t="s">
        <v>1844</v>
      </c>
      <c r="M523" s="136" t="s">
        <v>1845</v>
      </c>
      <c r="N523" s="144" t="s">
        <v>1844</v>
      </c>
      <c r="O523" s="140" t="s">
        <v>1844</v>
      </c>
      <c r="P523" s="128" t="s">
        <v>1862</v>
      </c>
      <c r="Q523" s="140"/>
      <c r="R523" s="144"/>
      <c r="S523" s="128" t="s">
        <v>1845</v>
      </c>
      <c r="T523" s="140"/>
      <c r="U523" s="140"/>
      <c r="V523" s="140"/>
      <c r="W523" s="144"/>
      <c r="X523" s="136"/>
      <c r="Y523" s="128"/>
      <c r="Z523" s="140"/>
      <c r="AA523" s="144"/>
      <c r="AB523" s="136"/>
      <c r="AC523" s="136"/>
      <c r="AD523" s="136"/>
      <c r="AE523" s="136"/>
      <c r="AF523" s="140"/>
      <c r="AG523" s="140"/>
      <c r="AH523" s="140"/>
      <c r="AI523" s="128"/>
      <c r="AJ523" s="137"/>
      <c r="AK523" s="140"/>
      <c r="AL523" s="140"/>
    </row>
    <row r="524" ht="15.75" customHeight="1">
      <c r="A524" s="233">
        <v>523.0</v>
      </c>
      <c r="B524" s="123" t="s">
        <v>1742</v>
      </c>
      <c r="C524" s="257" t="s">
        <v>1873</v>
      </c>
      <c r="D524" s="241" t="s">
        <v>2019</v>
      </c>
      <c r="E524" s="233" t="s">
        <v>7</v>
      </c>
      <c r="F524" s="219" t="s">
        <v>2660</v>
      </c>
      <c r="G524" s="262" t="s">
        <v>2661</v>
      </c>
      <c r="H524" s="239" t="s">
        <v>1844</v>
      </c>
      <c r="I524" s="235" t="s">
        <v>1843</v>
      </c>
      <c r="J524" s="236" t="s">
        <v>1844</v>
      </c>
      <c r="K524" s="237" t="s">
        <v>1844</v>
      </c>
      <c r="L524" s="237" t="s">
        <v>1844</v>
      </c>
      <c r="M524" s="237" t="s">
        <v>1844</v>
      </c>
      <c r="N524" s="238" t="s">
        <v>1844</v>
      </c>
      <c r="O524" s="239" t="s">
        <v>1844</v>
      </c>
      <c r="P524" s="239" t="s">
        <v>1844</v>
      </c>
      <c r="Q524" s="239" t="s">
        <v>1845</v>
      </c>
      <c r="R524" s="238"/>
      <c r="S524" s="235"/>
      <c r="T524" s="239"/>
      <c r="U524" s="239"/>
      <c r="V524" s="239"/>
      <c r="W524" s="238"/>
      <c r="X524" s="237" t="s">
        <v>1845</v>
      </c>
      <c r="Y524" s="235"/>
      <c r="Z524" s="239" t="s">
        <v>1845</v>
      </c>
      <c r="AA524" s="238"/>
      <c r="AB524" s="237"/>
      <c r="AC524" s="237"/>
      <c r="AD524" s="237" t="s">
        <v>1845</v>
      </c>
      <c r="AE524" s="237"/>
      <c r="AF524" s="239"/>
      <c r="AG524" s="235"/>
      <c r="AH524" s="239"/>
      <c r="AI524" s="235"/>
      <c r="AJ524" s="243"/>
      <c r="AK524" s="239"/>
      <c r="AL524" s="239"/>
    </row>
    <row r="525" ht="15.75" customHeight="1">
      <c r="A525" s="125">
        <v>524.0</v>
      </c>
      <c r="B525" s="138">
        <f t="shared" ref="B525:B526" si="53">SUM(A525+10000)</f>
        <v>10524</v>
      </c>
      <c r="C525" s="250" t="s">
        <v>1840</v>
      </c>
      <c r="D525" s="122" t="s">
        <v>2069</v>
      </c>
      <c r="E525" s="125" t="s">
        <v>7</v>
      </c>
      <c r="F525" s="127"/>
      <c r="G525" s="127" t="s">
        <v>980</v>
      </c>
      <c r="H525" s="140" t="s">
        <v>1844</v>
      </c>
      <c r="I525" s="128" t="s">
        <v>1843</v>
      </c>
      <c r="J525" s="186" t="s">
        <v>1844</v>
      </c>
      <c r="K525" s="128" t="s">
        <v>1844</v>
      </c>
      <c r="L525" s="136" t="s">
        <v>1844</v>
      </c>
      <c r="M525" s="136" t="s">
        <v>1844</v>
      </c>
      <c r="N525" s="144" t="s">
        <v>1844</v>
      </c>
      <c r="O525" s="140" t="s">
        <v>1844</v>
      </c>
      <c r="P525" s="140" t="s">
        <v>1844</v>
      </c>
      <c r="Q525" s="140"/>
      <c r="R525" s="144"/>
      <c r="S525" s="128" t="s">
        <v>1845</v>
      </c>
      <c r="T525" s="140"/>
      <c r="U525" s="140"/>
      <c r="V525" s="140"/>
      <c r="W525" s="144" t="s">
        <v>1845</v>
      </c>
      <c r="X525" s="136"/>
      <c r="Y525" s="128"/>
      <c r="Z525" s="140"/>
      <c r="AA525" s="144"/>
      <c r="AB525" s="136"/>
      <c r="AC525" s="136"/>
      <c r="AD525" s="136"/>
      <c r="AE525" s="136"/>
      <c r="AF525" s="140"/>
      <c r="AG525" s="140"/>
      <c r="AH525" s="140"/>
      <c r="AI525" s="128"/>
      <c r="AJ525" s="137"/>
      <c r="AK525" s="140"/>
      <c r="AL525" s="140"/>
    </row>
    <row r="526" ht="15.75" customHeight="1">
      <c r="A526" s="125">
        <v>525.0</v>
      </c>
      <c r="B526" s="138">
        <f t="shared" si="53"/>
        <v>10525</v>
      </c>
      <c r="C526" s="250" t="s">
        <v>1840</v>
      </c>
      <c r="D526" s="122" t="s">
        <v>1849</v>
      </c>
      <c r="E526" s="125" t="s">
        <v>34</v>
      </c>
      <c r="F526" s="127" t="s">
        <v>2548</v>
      </c>
      <c r="G526" s="127" t="s">
        <v>982</v>
      </c>
      <c r="H526" s="140" t="s">
        <v>1844</v>
      </c>
      <c r="I526" s="128" t="s">
        <v>1843</v>
      </c>
      <c r="J526" s="186" t="s">
        <v>1902</v>
      </c>
      <c r="K526" s="136" t="s">
        <v>1877</v>
      </c>
      <c r="L526" s="136" t="s">
        <v>1844</v>
      </c>
      <c r="M526" s="136" t="s">
        <v>1845</v>
      </c>
      <c r="N526" s="144" t="s">
        <v>1903</v>
      </c>
      <c r="O526" s="140" t="s">
        <v>1879</v>
      </c>
      <c r="P526" s="128" t="s">
        <v>1862</v>
      </c>
      <c r="Q526" s="140"/>
      <c r="R526" s="144" t="s">
        <v>1845</v>
      </c>
      <c r="S526" s="128" t="s">
        <v>1845</v>
      </c>
      <c r="T526" s="140"/>
      <c r="U526" s="140"/>
      <c r="V526" s="140"/>
      <c r="W526" s="144"/>
      <c r="X526" s="136"/>
      <c r="Y526" s="128"/>
      <c r="Z526" s="140"/>
      <c r="AA526" s="144"/>
      <c r="AB526" s="136"/>
      <c r="AC526" s="136"/>
      <c r="AD526" s="136"/>
      <c r="AE526" s="136"/>
      <c r="AF526" s="140"/>
      <c r="AG526" s="140"/>
      <c r="AH526" s="140"/>
      <c r="AI526" s="128"/>
      <c r="AJ526" s="137"/>
      <c r="AK526" s="140"/>
      <c r="AL526" s="140"/>
    </row>
    <row r="527" ht="15.75" customHeight="1">
      <c r="A527" s="125">
        <v>526.0</v>
      </c>
      <c r="B527" s="123" t="s">
        <v>1742</v>
      </c>
      <c r="C527" s="250" t="s">
        <v>1840</v>
      </c>
      <c r="D527" s="122" t="s">
        <v>2125</v>
      </c>
      <c r="E527" s="125" t="s">
        <v>7</v>
      </c>
      <c r="F527" s="127" t="s">
        <v>2662</v>
      </c>
      <c r="G527" s="127" t="s">
        <v>2663</v>
      </c>
      <c r="H527" s="140" t="s">
        <v>1844</v>
      </c>
      <c r="I527" s="128" t="s">
        <v>1843</v>
      </c>
      <c r="J527" s="186" t="s">
        <v>1844</v>
      </c>
      <c r="K527" s="136" t="s">
        <v>1844</v>
      </c>
      <c r="L527" s="136" t="s">
        <v>1844</v>
      </c>
      <c r="M527" s="136" t="s">
        <v>1844</v>
      </c>
      <c r="N527" s="144" t="s">
        <v>1844</v>
      </c>
      <c r="O527" s="140" t="s">
        <v>1844</v>
      </c>
      <c r="P527" s="140" t="s">
        <v>1844</v>
      </c>
      <c r="Q527" s="140" t="s">
        <v>1845</v>
      </c>
      <c r="R527" s="144"/>
      <c r="S527" s="128" t="s">
        <v>1845</v>
      </c>
      <c r="T527" s="140" t="s">
        <v>1845</v>
      </c>
      <c r="U527" s="140"/>
      <c r="V527" s="140"/>
      <c r="W527" s="144"/>
      <c r="X527" s="136"/>
      <c r="Y527" s="128"/>
      <c r="Z527" s="140"/>
      <c r="AA527" s="144"/>
      <c r="AB527" s="136"/>
      <c r="AC527" s="136"/>
      <c r="AD527" s="136"/>
      <c r="AE527" s="136"/>
      <c r="AF527" s="140"/>
      <c r="AG527" s="140"/>
      <c r="AH527" s="140"/>
      <c r="AI527" s="128"/>
      <c r="AJ527" s="137"/>
      <c r="AK527" s="140"/>
      <c r="AL527" s="140"/>
    </row>
    <row r="528" ht="15.75" customHeight="1">
      <c r="A528" s="151">
        <v>527.0</v>
      </c>
      <c r="B528" s="138">
        <f t="shared" ref="B528:B537" si="54">SUM(A528+10000)</f>
        <v>10527</v>
      </c>
      <c r="C528" s="250" t="s">
        <v>1840</v>
      </c>
      <c r="D528" s="150" t="s">
        <v>1849</v>
      </c>
      <c r="E528" s="151" t="s">
        <v>7</v>
      </c>
      <c r="F528" s="153" t="s">
        <v>2664</v>
      </c>
      <c r="G528" s="153" t="s">
        <v>986</v>
      </c>
      <c r="H528" s="140" t="s">
        <v>1844</v>
      </c>
      <c r="I528" s="129" t="s">
        <v>1843</v>
      </c>
      <c r="J528" s="143" t="s">
        <v>1844</v>
      </c>
      <c r="K528" s="129" t="s">
        <v>1844</v>
      </c>
      <c r="L528" s="132" t="s">
        <v>1844</v>
      </c>
      <c r="M528" s="132" t="s">
        <v>1844</v>
      </c>
      <c r="N528" s="131" t="s">
        <v>1844</v>
      </c>
      <c r="O528" s="171" t="s">
        <v>1844</v>
      </c>
      <c r="P528" s="171" t="s">
        <v>1844</v>
      </c>
      <c r="Q528" s="171"/>
      <c r="R528" s="131" t="s">
        <v>1845</v>
      </c>
      <c r="S528" s="129"/>
      <c r="T528" s="171" t="s">
        <v>1845</v>
      </c>
      <c r="U528" s="171"/>
      <c r="V528" s="171"/>
      <c r="W528" s="131"/>
      <c r="X528" s="132"/>
      <c r="Y528" s="129"/>
      <c r="Z528" s="171"/>
      <c r="AA528" s="131"/>
      <c r="AB528" s="132"/>
      <c r="AC528" s="132"/>
      <c r="AD528" s="132"/>
      <c r="AE528" s="132"/>
      <c r="AF528" s="140"/>
      <c r="AG528" s="128"/>
      <c r="AH528" s="140"/>
      <c r="AI528" s="128"/>
      <c r="AJ528" s="137"/>
      <c r="AK528" s="140"/>
      <c r="AL528" s="140"/>
    </row>
    <row r="529" ht="15.75" customHeight="1">
      <c r="A529" s="125">
        <v>528.0</v>
      </c>
      <c r="B529" s="138">
        <f t="shared" si="54"/>
        <v>10528</v>
      </c>
      <c r="C529" s="250" t="s">
        <v>1840</v>
      </c>
      <c r="D529" s="122" t="s">
        <v>1841</v>
      </c>
      <c r="E529" s="125" t="s">
        <v>20</v>
      </c>
      <c r="F529" s="248" t="s">
        <v>2665</v>
      </c>
      <c r="G529" s="153" t="s">
        <v>988</v>
      </c>
      <c r="H529" s="140" t="s">
        <v>1844</v>
      </c>
      <c r="I529" s="128" t="s">
        <v>1843</v>
      </c>
      <c r="J529" s="186" t="s">
        <v>1844</v>
      </c>
      <c r="K529" s="128" t="s">
        <v>1844</v>
      </c>
      <c r="L529" s="136" t="s">
        <v>1844</v>
      </c>
      <c r="M529" s="136" t="s">
        <v>1845</v>
      </c>
      <c r="N529" s="144" t="s">
        <v>1844</v>
      </c>
      <c r="O529" s="140" t="s">
        <v>1844</v>
      </c>
      <c r="P529" s="140" t="s">
        <v>1895</v>
      </c>
      <c r="Q529" s="140"/>
      <c r="R529" s="144"/>
      <c r="S529" s="128" t="s">
        <v>1845</v>
      </c>
      <c r="T529" s="140"/>
      <c r="U529" s="140"/>
      <c r="V529" s="140"/>
      <c r="W529" s="144"/>
      <c r="X529" s="136"/>
      <c r="Y529" s="128"/>
      <c r="Z529" s="140"/>
      <c r="AA529" s="144"/>
      <c r="AB529" s="136"/>
      <c r="AC529" s="136"/>
      <c r="AD529" s="136"/>
      <c r="AE529" s="136"/>
      <c r="AF529" s="140"/>
      <c r="AG529" s="140"/>
      <c r="AH529" s="140"/>
      <c r="AI529" s="128"/>
      <c r="AJ529" s="137"/>
      <c r="AK529" s="140"/>
      <c r="AL529" s="140"/>
    </row>
    <row r="530" ht="15.75" customHeight="1">
      <c r="A530" s="125">
        <v>529.0</v>
      </c>
      <c r="B530" s="138">
        <f t="shared" si="54"/>
        <v>10529</v>
      </c>
      <c r="C530" s="250" t="s">
        <v>1840</v>
      </c>
      <c r="D530" s="122" t="s">
        <v>2069</v>
      </c>
      <c r="E530" s="125" t="s">
        <v>20</v>
      </c>
      <c r="F530" s="126" t="s">
        <v>2666</v>
      </c>
      <c r="G530" s="127" t="s">
        <v>990</v>
      </c>
      <c r="H530" s="140" t="s">
        <v>1844</v>
      </c>
      <c r="I530" s="128" t="s">
        <v>1843</v>
      </c>
      <c r="J530" s="186" t="s">
        <v>1844</v>
      </c>
      <c r="K530" s="128" t="s">
        <v>1844</v>
      </c>
      <c r="L530" s="136" t="s">
        <v>1844</v>
      </c>
      <c r="M530" s="136" t="s">
        <v>1845</v>
      </c>
      <c r="N530" s="144" t="s">
        <v>1844</v>
      </c>
      <c r="O530" s="140" t="s">
        <v>1844</v>
      </c>
      <c r="P530" s="140" t="s">
        <v>1862</v>
      </c>
      <c r="Q530" s="140"/>
      <c r="R530" s="144"/>
      <c r="S530" s="128"/>
      <c r="T530" s="140"/>
      <c r="U530" s="140"/>
      <c r="V530" s="140"/>
      <c r="W530" s="144" t="s">
        <v>1845</v>
      </c>
      <c r="X530" s="136"/>
      <c r="Y530" s="128"/>
      <c r="Z530" s="140"/>
      <c r="AA530" s="144"/>
      <c r="AB530" s="136"/>
      <c r="AC530" s="136"/>
      <c r="AD530" s="136"/>
      <c r="AE530" s="136"/>
      <c r="AF530" s="140"/>
      <c r="AG530" s="140"/>
      <c r="AH530" s="140"/>
      <c r="AI530" s="128"/>
      <c r="AJ530" s="137"/>
      <c r="AK530" s="140"/>
      <c r="AL530" s="140"/>
    </row>
    <row r="531" ht="15.75" customHeight="1">
      <c r="A531" s="125">
        <v>530.0</v>
      </c>
      <c r="B531" s="138">
        <f t="shared" si="54"/>
        <v>10530</v>
      </c>
      <c r="C531" s="250" t="s">
        <v>1840</v>
      </c>
      <c r="D531" s="122" t="s">
        <v>2434</v>
      </c>
      <c r="E531" s="125" t="s">
        <v>27</v>
      </c>
      <c r="F531" s="127" t="s">
        <v>2667</v>
      </c>
      <c r="G531" s="127" t="s">
        <v>992</v>
      </c>
      <c r="H531" s="140" t="s">
        <v>1844</v>
      </c>
      <c r="I531" s="128" t="s">
        <v>1843</v>
      </c>
      <c r="J531" s="186" t="s">
        <v>1844</v>
      </c>
      <c r="K531" s="128" t="s">
        <v>1844</v>
      </c>
      <c r="L531" s="136" t="s">
        <v>1961</v>
      </c>
      <c r="M531" s="136" t="s">
        <v>1845</v>
      </c>
      <c r="N531" s="144" t="s">
        <v>1844</v>
      </c>
      <c r="O531" s="140" t="s">
        <v>1844</v>
      </c>
      <c r="P531" s="140" t="s">
        <v>1895</v>
      </c>
      <c r="Q531" s="140"/>
      <c r="R531" s="144"/>
      <c r="S531" s="128"/>
      <c r="T531" s="140"/>
      <c r="U531" s="140"/>
      <c r="V531" s="140"/>
      <c r="W531" s="144"/>
      <c r="X531" s="136"/>
      <c r="Y531" s="128"/>
      <c r="Z531" s="140"/>
      <c r="AA531" s="144"/>
      <c r="AB531" s="136"/>
      <c r="AC531" s="136"/>
      <c r="AD531" s="136"/>
      <c r="AE531" s="136"/>
      <c r="AF531" s="140"/>
      <c r="AG531" s="140"/>
      <c r="AH531" s="140"/>
      <c r="AI531" s="128"/>
      <c r="AJ531" s="137"/>
      <c r="AK531" s="140"/>
      <c r="AL531" s="140"/>
    </row>
    <row r="532" ht="15.75" customHeight="1">
      <c r="A532" s="125">
        <v>531.0</v>
      </c>
      <c r="B532" s="138">
        <f t="shared" si="54"/>
        <v>10531</v>
      </c>
      <c r="C532" s="250" t="s">
        <v>1840</v>
      </c>
      <c r="D532" s="122" t="s">
        <v>1849</v>
      </c>
      <c r="E532" s="125" t="s">
        <v>34</v>
      </c>
      <c r="F532" s="127" t="s">
        <v>2668</v>
      </c>
      <c r="G532" s="127" t="s">
        <v>994</v>
      </c>
      <c r="H532" s="140" t="s">
        <v>1844</v>
      </c>
      <c r="I532" s="128" t="s">
        <v>1843</v>
      </c>
      <c r="J532" s="186" t="s">
        <v>1876</v>
      </c>
      <c r="K532" s="128" t="s">
        <v>2348</v>
      </c>
      <c r="L532" s="136" t="s">
        <v>1884</v>
      </c>
      <c r="M532" s="136" t="s">
        <v>1845</v>
      </c>
      <c r="N532" s="144" t="s">
        <v>1844</v>
      </c>
      <c r="O532" s="140" t="s">
        <v>1879</v>
      </c>
      <c r="P532" s="140" t="s">
        <v>1895</v>
      </c>
      <c r="Q532" s="140"/>
      <c r="R532" s="144"/>
      <c r="S532" s="128"/>
      <c r="T532" s="140"/>
      <c r="U532" s="140"/>
      <c r="V532" s="140"/>
      <c r="W532" s="144"/>
      <c r="X532" s="136"/>
      <c r="Y532" s="128"/>
      <c r="Z532" s="140"/>
      <c r="AA532" s="144"/>
      <c r="AB532" s="136"/>
      <c r="AC532" s="136"/>
      <c r="AD532" s="136"/>
      <c r="AE532" s="136"/>
      <c r="AF532" s="140"/>
      <c r="AG532" s="140"/>
      <c r="AH532" s="140"/>
      <c r="AI532" s="128"/>
      <c r="AJ532" s="137"/>
      <c r="AK532" s="140"/>
      <c r="AL532" s="140"/>
    </row>
    <row r="533" ht="15.75" customHeight="1">
      <c r="A533" s="125">
        <v>532.0</v>
      </c>
      <c r="B533" s="138">
        <f t="shared" si="54"/>
        <v>10532</v>
      </c>
      <c r="C533" s="250" t="s">
        <v>1840</v>
      </c>
      <c r="D533" s="122" t="s">
        <v>1849</v>
      </c>
      <c r="E533" s="125" t="s">
        <v>20</v>
      </c>
      <c r="F533" s="153" t="s">
        <v>2669</v>
      </c>
      <c r="G533" s="127" t="s">
        <v>996</v>
      </c>
      <c r="H533" s="140" t="s">
        <v>1844</v>
      </c>
      <c r="I533" s="128" t="s">
        <v>1843</v>
      </c>
      <c r="J533" s="186" t="s">
        <v>1844</v>
      </c>
      <c r="K533" s="136" t="s">
        <v>1844</v>
      </c>
      <c r="L533" s="136" t="s">
        <v>1884</v>
      </c>
      <c r="M533" s="136" t="s">
        <v>1845</v>
      </c>
      <c r="N533" s="144" t="s">
        <v>1844</v>
      </c>
      <c r="O533" s="140" t="s">
        <v>1844</v>
      </c>
      <c r="P533" s="140" t="s">
        <v>1895</v>
      </c>
      <c r="Q533" s="140"/>
      <c r="R533" s="144"/>
      <c r="S533" s="128"/>
      <c r="T533" s="140"/>
      <c r="U533" s="140"/>
      <c r="V533" s="140"/>
      <c r="W533" s="144"/>
      <c r="X533" s="136"/>
      <c r="Y533" s="128"/>
      <c r="Z533" s="140"/>
      <c r="AA533" s="144"/>
      <c r="AB533" s="136"/>
      <c r="AC533" s="136"/>
      <c r="AD533" s="136"/>
      <c r="AE533" s="136"/>
      <c r="AF533" s="140"/>
      <c r="AG533" s="140"/>
      <c r="AH533" s="140"/>
      <c r="AI533" s="128"/>
      <c r="AJ533" s="137"/>
      <c r="AK533" s="140"/>
      <c r="AL533" s="140"/>
    </row>
    <row r="534" ht="15.75" customHeight="1">
      <c r="A534" s="125">
        <v>533.0</v>
      </c>
      <c r="B534" s="138">
        <f t="shared" si="54"/>
        <v>10533</v>
      </c>
      <c r="C534" s="250" t="s">
        <v>1840</v>
      </c>
      <c r="D534" s="122" t="s">
        <v>2490</v>
      </c>
      <c r="E534" s="125" t="s">
        <v>7</v>
      </c>
      <c r="F534" s="198" t="s">
        <v>2670</v>
      </c>
      <c r="G534" s="127" t="s">
        <v>998</v>
      </c>
      <c r="H534" s="140" t="s">
        <v>1844</v>
      </c>
      <c r="I534" s="128" t="s">
        <v>1843</v>
      </c>
      <c r="J534" s="186" t="s">
        <v>1844</v>
      </c>
      <c r="K534" s="136" t="s">
        <v>1844</v>
      </c>
      <c r="L534" s="136" t="s">
        <v>1844</v>
      </c>
      <c r="M534" s="136" t="s">
        <v>1844</v>
      </c>
      <c r="N534" s="144" t="s">
        <v>1844</v>
      </c>
      <c r="O534" s="140" t="s">
        <v>1844</v>
      </c>
      <c r="P534" s="140" t="s">
        <v>1844</v>
      </c>
      <c r="Q534" s="140"/>
      <c r="R534" s="144" t="s">
        <v>1845</v>
      </c>
      <c r="S534" s="128" t="s">
        <v>1845</v>
      </c>
      <c r="T534" s="140"/>
      <c r="U534" s="140"/>
      <c r="V534" s="140"/>
      <c r="W534" s="144"/>
      <c r="X534" s="136" t="s">
        <v>1845</v>
      </c>
      <c r="Y534" s="128"/>
      <c r="Z534" s="140"/>
      <c r="AA534" s="144"/>
      <c r="AB534" s="136"/>
      <c r="AC534" s="136"/>
      <c r="AD534" s="136"/>
      <c r="AE534" s="136"/>
      <c r="AF534" s="140"/>
      <c r="AG534" s="140"/>
      <c r="AH534" s="140"/>
      <c r="AI534" s="128"/>
      <c r="AJ534" s="137"/>
      <c r="AK534" s="140"/>
      <c r="AL534" s="140"/>
    </row>
    <row r="535" ht="15.75" customHeight="1">
      <c r="A535" s="125">
        <v>534.0</v>
      </c>
      <c r="B535" s="138">
        <f t="shared" si="54"/>
        <v>10534</v>
      </c>
      <c r="C535" s="250" t="s">
        <v>1840</v>
      </c>
      <c r="D535" s="122" t="s">
        <v>2490</v>
      </c>
      <c r="E535" s="125" t="s">
        <v>34</v>
      </c>
      <c r="F535" s="127" t="s">
        <v>2671</v>
      </c>
      <c r="G535" s="127" t="s">
        <v>1000</v>
      </c>
      <c r="H535" s="140" t="s">
        <v>1844</v>
      </c>
      <c r="I535" s="140" t="s">
        <v>1843</v>
      </c>
      <c r="J535" s="186" t="s">
        <v>1876</v>
      </c>
      <c r="K535" s="136" t="s">
        <v>2348</v>
      </c>
      <c r="L535" s="136" t="s">
        <v>1878</v>
      </c>
      <c r="M535" s="136" t="s">
        <v>1845</v>
      </c>
      <c r="N535" s="144" t="s">
        <v>1844</v>
      </c>
      <c r="O535" s="140" t="s">
        <v>1879</v>
      </c>
      <c r="P535" s="140" t="s">
        <v>1862</v>
      </c>
      <c r="Q535" s="140"/>
      <c r="R535" s="144" t="s">
        <v>1845</v>
      </c>
      <c r="S535" s="128"/>
      <c r="T535" s="140" t="s">
        <v>1845</v>
      </c>
      <c r="U535" s="140"/>
      <c r="V535" s="140"/>
      <c r="W535" s="144"/>
      <c r="X535" s="136"/>
      <c r="Y535" s="128"/>
      <c r="Z535" s="140"/>
      <c r="AA535" s="144"/>
      <c r="AB535" s="136"/>
      <c r="AC535" s="136"/>
      <c r="AD535" s="136"/>
      <c r="AE535" s="136"/>
      <c r="AF535" s="140"/>
      <c r="AG535" s="140"/>
      <c r="AH535" s="140"/>
      <c r="AI535" s="128"/>
      <c r="AJ535" s="137"/>
      <c r="AK535" s="140"/>
      <c r="AL535" s="140"/>
    </row>
    <row r="536" ht="15.75" customHeight="1">
      <c r="A536" s="125">
        <v>535.0</v>
      </c>
      <c r="B536" s="138">
        <f t="shared" si="54"/>
        <v>10535</v>
      </c>
      <c r="C536" s="250" t="s">
        <v>1840</v>
      </c>
      <c r="D536" s="122" t="s">
        <v>2462</v>
      </c>
      <c r="E536" s="125" t="s">
        <v>34</v>
      </c>
      <c r="F536" s="127" t="s">
        <v>2672</v>
      </c>
      <c r="G536" s="127" t="s">
        <v>1002</v>
      </c>
      <c r="H536" s="140" t="s">
        <v>1844</v>
      </c>
      <c r="I536" s="128" t="s">
        <v>1843</v>
      </c>
      <c r="J536" s="186" t="s">
        <v>1902</v>
      </c>
      <c r="K536" s="136" t="s">
        <v>1877</v>
      </c>
      <c r="L536" s="136" t="s">
        <v>1878</v>
      </c>
      <c r="M536" s="136" t="s">
        <v>1845</v>
      </c>
      <c r="N536" s="144">
        <v>1.0</v>
      </c>
      <c r="O536" s="140" t="s">
        <v>1879</v>
      </c>
      <c r="P536" s="128" t="s">
        <v>1862</v>
      </c>
      <c r="Q536" s="140" t="s">
        <v>1845</v>
      </c>
      <c r="R536" s="144"/>
      <c r="S536" s="128"/>
      <c r="T536" s="140"/>
      <c r="U536" s="140"/>
      <c r="V536" s="140"/>
      <c r="W536" s="144"/>
      <c r="X536" s="136"/>
      <c r="Y536" s="128"/>
      <c r="Z536" s="140" t="s">
        <v>1845</v>
      </c>
      <c r="AA536" s="144"/>
      <c r="AB536" s="136"/>
      <c r="AC536" s="136"/>
      <c r="AD536" s="136"/>
      <c r="AE536" s="136"/>
      <c r="AF536" s="140"/>
      <c r="AG536" s="140"/>
      <c r="AH536" s="140"/>
      <c r="AI536" s="128"/>
      <c r="AJ536" s="137"/>
      <c r="AK536" s="140"/>
      <c r="AL536" s="140"/>
    </row>
    <row r="537" ht="15.75" customHeight="1">
      <c r="A537" s="125">
        <v>536.0</v>
      </c>
      <c r="B537" s="138">
        <f t="shared" si="54"/>
        <v>10536</v>
      </c>
      <c r="C537" s="250" t="s">
        <v>1840</v>
      </c>
      <c r="D537" s="122" t="s">
        <v>2212</v>
      </c>
      <c r="E537" s="125" t="s">
        <v>34</v>
      </c>
      <c r="F537" s="153" t="s">
        <v>2673</v>
      </c>
      <c r="G537" s="126" t="s">
        <v>1004</v>
      </c>
      <c r="H537" s="140" t="s">
        <v>1844</v>
      </c>
      <c r="I537" s="128" t="s">
        <v>1843</v>
      </c>
      <c r="J537" s="186" t="s">
        <v>1902</v>
      </c>
      <c r="K537" s="136" t="s">
        <v>1877</v>
      </c>
      <c r="L537" s="136" t="s">
        <v>1878</v>
      </c>
      <c r="M537" s="136" t="s">
        <v>1845</v>
      </c>
      <c r="N537" s="144">
        <v>1.0</v>
      </c>
      <c r="O537" s="140" t="s">
        <v>1879</v>
      </c>
      <c r="P537" s="128" t="s">
        <v>1862</v>
      </c>
      <c r="Q537" s="140" t="s">
        <v>1845</v>
      </c>
      <c r="R537" s="144"/>
      <c r="S537" s="128"/>
      <c r="T537" s="140"/>
      <c r="U537" s="140"/>
      <c r="V537" s="140"/>
      <c r="W537" s="144"/>
      <c r="X537" s="136"/>
      <c r="Y537" s="128"/>
      <c r="Z537" s="140" t="s">
        <v>1845</v>
      </c>
      <c r="AA537" s="144"/>
      <c r="AB537" s="136"/>
      <c r="AC537" s="136"/>
      <c r="AD537" s="136"/>
      <c r="AE537" s="136"/>
      <c r="AF537" s="140"/>
      <c r="AG537" s="140"/>
      <c r="AH537" s="140"/>
      <c r="AI537" s="128"/>
      <c r="AJ537" s="137"/>
      <c r="AK537" s="140"/>
      <c r="AL537" s="140"/>
    </row>
    <row r="538" ht="15.75" customHeight="1">
      <c r="A538" s="125">
        <v>537.0</v>
      </c>
      <c r="B538" s="123" t="s">
        <v>1742</v>
      </c>
      <c r="C538" s="250" t="s">
        <v>1840</v>
      </c>
      <c r="D538" s="122" t="s">
        <v>2212</v>
      </c>
      <c r="E538" s="125" t="s">
        <v>34</v>
      </c>
      <c r="F538" s="198" t="s">
        <v>2674</v>
      </c>
      <c r="G538" s="126" t="s">
        <v>1005</v>
      </c>
      <c r="H538" s="140" t="s">
        <v>1844</v>
      </c>
      <c r="I538" s="128" t="s">
        <v>1843</v>
      </c>
      <c r="J538" s="186" t="s">
        <v>1902</v>
      </c>
      <c r="K538" s="136" t="s">
        <v>1877</v>
      </c>
      <c r="L538" s="136" t="s">
        <v>1878</v>
      </c>
      <c r="M538" s="136" t="s">
        <v>1845</v>
      </c>
      <c r="N538" s="144" t="s">
        <v>1903</v>
      </c>
      <c r="O538" s="140" t="s">
        <v>1879</v>
      </c>
      <c r="P538" s="128" t="s">
        <v>1862</v>
      </c>
      <c r="Q538" s="140" t="s">
        <v>1845</v>
      </c>
      <c r="R538" s="144"/>
      <c r="S538" s="128"/>
      <c r="T538" s="140"/>
      <c r="U538" s="140"/>
      <c r="V538" s="140"/>
      <c r="W538" s="144"/>
      <c r="X538" s="136"/>
      <c r="Y538" s="128"/>
      <c r="Z538" s="140" t="s">
        <v>1845</v>
      </c>
      <c r="AA538" s="144"/>
      <c r="AB538" s="136"/>
      <c r="AC538" s="136"/>
      <c r="AD538" s="136"/>
      <c r="AE538" s="136"/>
      <c r="AF538" s="140"/>
      <c r="AG538" s="140"/>
      <c r="AH538" s="140"/>
      <c r="AI538" s="128"/>
      <c r="AJ538" s="137"/>
      <c r="AK538" s="140"/>
      <c r="AL538" s="140"/>
    </row>
    <row r="539" ht="15.75" customHeight="1">
      <c r="A539" s="125">
        <v>538.0</v>
      </c>
      <c r="B539" s="138">
        <f t="shared" ref="B539:B549" si="55">SUM(A539+10000)</f>
        <v>10538</v>
      </c>
      <c r="C539" s="250" t="s">
        <v>1840</v>
      </c>
      <c r="D539" s="122" t="s">
        <v>2212</v>
      </c>
      <c r="E539" s="125" t="s">
        <v>34</v>
      </c>
      <c r="F539" s="127" t="s">
        <v>2675</v>
      </c>
      <c r="G539" s="126" t="s">
        <v>1006</v>
      </c>
      <c r="H539" s="140" t="s">
        <v>1844</v>
      </c>
      <c r="I539" s="128" t="s">
        <v>1843</v>
      </c>
      <c r="J539" s="186" t="s">
        <v>1902</v>
      </c>
      <c r="K539" s="136" t="s">
        <v>1877</v>
      </c>
      <c r="L539" s="136" t="s">
        <v>1878</v>
      </c>
      <c r="M539" s="136" t="s">
        <v>1845</v>
      </c>
      <c r="N539" s="144" t="s">
        <v>1903</v>
      </c>
      <c r="O539" s="140" t="s">
        <v>1879</v>
      </c>
      <c r="P539" s="140" t="s">
        <v>2676</v>
      </c>
      <c r="Q539" s="140"/>
      <c r="R539" s="144"/>
      <c r="S539" s="140"/>
      <c r="T539" s="140"/>
      <c r="U539" s="140"/>
      <c r="V539" s="140"/>
      <c r="W539" s="144"/>
      <c r="X539" s="136"/>
      <c r="Y539" s="128"/>
      <c r="Z539" s="140" t="s">
        <v>1845</v>
      </c>
      <c r="AA539" s="144"/>
      <c r="AB539" s="136"/>
      <c r="AC539" s="136"/>
      <c r="AD539" s="136"/>
      <c r="AE539" s="136"/>
      <c r="AF539" s="140"/>
      <c r="AG539" s="140"/>
      <c r="AH539" s="140"/>
      <c r="AI539" s="128"/>
      <c r="AJ539" s="137"/>
      <c r="AK539" s="140"/>
      <c r="AL539" s="140"/>
    </row>
    <row r="540" ht="15.75" customHeight="1">
      <c r="A540" s="125">
        <v>539.0</v>
      </c>
      <c r="B540" s="138">
        <f t="shared" si="55"/>
        <v>10539</v>
      </c>
      <c r="C540" s="250" t="s">
        <v>1840</v>
      </c>
      <c r="D540" s="122" t="s">
        <v>2677</v>
      </c>
      <c r="E540" s="125" t="s">
        <v>7</v>
      </c>
      <c r="F540" s="127" t="s">
        <v>2678</v>
      </c>
      <c r="G540" s="127" t="s">
        <v>1007</v>
      </c>
      <c r="H540" s="140" t="s">
        <v>1844</v>
      </c>
      <c r="I540" s="128" t="s">
        <v>1843</v>
      </c>
      <c r="J540" s="186" t="s">
        <v>1844</v>
      </c>
      <c r="K540" s="136" t="s">
        <v>1844</v>
      </c>
      <c r="L540" s="136" t="s">
        <v>1844</v>
      </c>
      <c r="M540" s="136" t="s">
        <v>1844</v>
      </c>
      <c r="N540" s="144" t="s">
        <v>1844</v>
      </c>
      <c r="O540" s="140" t="s">
        <v>1844</v>
      </c>
      <c r="P540" s="140" t="s">
        <v>1844</v>
      </c>
      <c r="Q540" s="140"/>
      <c r="R540" s="144" t="s">
        <v>1845</v>
      </c>
      <c r="S540" s="140" t="s">
        <v>1845</v>
      </c>
      <c r="T540" s="140" t="s">
        <v>1845</v>
      </c>
      <c r="U540" s="140"/>
      <c r="V540" s="140"/>
      <c r="W540" s="144" t="s">
        <v>1845</v>
      </c>
      <c r="X540" s="136"/>
      <c r="Y540" s="128"/>
      <c r="Z540" s="140"/>
      <c r="AA540" s="144"/>
      <c r="AB540" s="136"/>
      <c r="AC540" s="136"/>
      <c r="AD540" s="136"/>
      <c r="AE540" s="136"/>
      <c r="AF540" s="140"/>
      <c r="AG540" s="140"/>
      <c r="AH540" s="140"/>
      <c r="AI540" s="128"/>
      <c r="AJ540" s="137"/>
      <c r="AK540" s="140"/>
      <c r="AL540" s="140"/>
    </row>
    <row r="541" ht="15.75" customHeight="1">
      <c r="A541" s="125">
        <v>540.0</v>
      </c>
      <c r="B541" s="138">
        <f t="shared" si="55"/>
        <v>10540</v>
      </c>
      <c r="C541" s="250" t="s">
        <v>1840</v>
      </c>
      <c r="D541" s="122" t="s">
        <v>2677</v>
      </c>
      <c r="E541" s="125" t="s">
        <v>7</v>
      </c>
      <c r="F541" s="127" t="s">
        <v>2679</v>
      </c>
      <c r="G541" s="127" t="s">
        <v>1008</v>
      </c>
      <c r="H541" s="140" t="s">
        <v>1844</v>
      </c>
      <c r="I541" s="128" t="s">
        <v>1843</v>
      </c>
      <c r="J541" s="186" t="s">
        <v>1844</v>
      </c>
      <c r="K541" s="136" t="s">
        <v>1844</v>
      </c>
      <c r="L541" s="136" t="s">
        <v>1844</v>
      </c>
      <c r="M541" s="136" t="s">
        <v>1844</v>
      </c>
      <c r="N541" s="144" t="s">
        <v>1844</v>
      </c>
      <c r="O541" s="140" t="s">
        <v>1844</v>
      </c>
      <c r="P541" s="140" t="s">
        <v>1844</v>
      </c>
      <c r="Q541" s="140"/>
      <c r="R541" s="144" t="s">
        <v>1845</v>
      </c>
      <c r="S541" s="140"/>
      <c r="T541" s="140" t="s">
        <v>1845</v>
      </c>
      <c r="U541" s="140"/>
      <c r="V541" s="140"/>
      <c r="W541" s="144" t="s">
        <v>1845</v>
      </c>
      <c r="X541" s="136"/>
      <c r="Y541" s="128"/>
      <c r="Z541" s="140"/>
      <c r="AA541" s="144"/>
      <c r="AB541" s="136"/>
      <c r="AC541" s="136"/>
      <c r="AD541" s="136"/>
      <c r="AE541" s="136"/>
      <c r="AF541" s="140"/>
      <c r="AG541" s="140"/>
      <c r="AH541" s="140"/>
      <c r="AI541" s="128"/>
      <c r="AJ541" s="137"/>
      <c r="AK541" s="140"/>
      <c r="AL541" s="140"/>
    </row>
    <row r="542" ht="15.75" customHeight="1">
      <c r="A542" s="125">
        <v>541.0</v>
      </c>
      <c r="B542" s="138">
        <f t="shared" si="55"/>
        <v>10541</v>
      </c>
      <c r="C542" s="250" t="s">
        <v>1840</v>
      </c>
      <c r="D542" s="122" t="s">
        <v>2677</v>
      </c>
      <c r="E542" s="125" t="s">
        <v>7</v>
      </c>
      <c r="F542" s="127" t="s">
        <v>2680</v>
      </c>
      <c r="G542" s="127" t="s">
        <v>1010</v>
      </c>
      <c r="H542" s="140" t="s">
        <v>1844</v>
      </c>
      <c r="I542" s="128" t="s">
        <v>1843</v>
      </c>
      <c r="J542" s="186" t="s">
        <v>1844</v>
      </c>
      <c r="K542" s="136" t="s">
        <v>1844</v>
      </c>
      <c r="L542" s="136" t="s">
        <v>1844</v>
      </c>
      <c r="M542" s="136" t="s">
        <v>1844</v>
      </c>
      <c r="N542" s="144" t="s">
        <v>1844</v>
      </c>
      <c r="O542" s="140" t="s">
        <v>1844</v>
      </c>
      <c r="P542" s="140" t="s">
        <v>1844</v>
      </c>
      <c r="Q542" s="140"/>
      <c r="R542" s="144" t="s">
        <v>1845</v>
      </c>
      <c r="S542" s="140" t="s">
        <v>1845</v>
      </c>
      <c r="T542" s="140"/>
      <c r="U542" s="140"/>
      <c r="V542" s="140"/>
      <c r="W542" s="144" t="s">
        <v>1845</v>
      </c>
      <c r="X542" s="136"/>
      <c r="Y542" s="128"/>
      <c r="Z542" s="140"/>
      <c r="AA542" s="144"/>
      <c r="AB542" s="136"/>
      <c r="AC542" s="136"/>
      <c r="AD542" s="136"/>
      <c r="AE542" s="136"/>
      <c r="AF542" s="140"/>
      <c r="AG542" s="140"/>
      <c r="AH542" s="140"/>
      <c r="AI542" s="128"/>
      <c r="AJ542" s="137"/>
      <c r="AK542" s="140"/>
      <c r="AL542" s="140"/>
    </row>
    <row r="543" ht="15.75" customHeight="1">
      <c r="A543" s="125">
        <v>542.0</v>
      </c>
      <c r="B543" s="138">
        <f t="shared" si="55"/>
        <v>10542</v>
      </c>
      <c r="C543" s="250" t="s">
        <v>1840</v>
      </c>
      <c r="D543" s="122" t="s">
        <v>2677</v>
      </c>
      <c r="E543" s="125" t="s">
        <v>7</v>
      </c>
      <c r="F543" s="225" t="s">
        <v>2681</v>
      </c>
      <c r="G543" s="127" t="s">
        <v>1012</v>
      </c>
      <c r="H543" s="140" t="s">
        <v>1844</v>
      </c>
      <c r="I543" s="128" t="s">
        <v>1843</v>
      </c>
      <c r="J543" s="186" t="s">
        <v>1844</v>
      </c>
      <c r="K543" s="136" t="s">
        <v>1844</v>
      </c>
      <c r="L543" s="136" t="s">
        <v>1844</v>
      </c>
      <c r="M543" s="136" t="s">
        <v>1844</v>
      </c>
      <c r="N543" s="144" t="s">
        <v>1844</v>
      </c>
      <c r="O543" s="140" t="s">
        <v>1844</v>
      </c>
      <c r="P543" s="140" t="s">
        <v>1844</v>
      </c>
      <c r="Q543" s="140"/>
      <c r="R543" s="144" t="s">
        <v>1845</v>
      </c>
      <c r="S543" s="140"/>
      <c r="T543" s="140"/>
      <c r="U543" s="140"/>
      <c r="V543" s="140"/>
      <c r="W543" s="144"/>
      <c r="X543" s="136" t="s">
        <v>1845</v>
      </c>
      <c r="Y543" s="128"/>
      <c r="Z543" s="140"/>
      <c r="AA543" s="144"/>
      <c r="AB543" s="136"/>
      <c r="AC543" s="136"/>
      <c r="AD543" s="136"/>
      <c r="AE543" s="136"/>
      <c r="AF543" s="140"/>
      <c r="AG543" s="140"/>
      <c r="AH543" s="140"/>
      <c r="AI543" s="128"/>
      <c r="AJ543" s="137"/>
      <c r="AK543" s="140"/>
      <c r="AL543" s="140"/>
    </row>
    <row r="544" ht="15.75" customHeight="1">
      <c r="A544" s="125">
        <v>543.0</v>
      </c>
      <c r="B544" s="138">
        <f t="shared" si="55"/>
        <v>10543</v>
      </c>
      <c r="C544" s="250" t="s">
        <v>1840</v>
      </c>
      <c r="D544" s="122" t="s">
        <v>2677</v>
      </c>
      <c r="E544" s="125" t="s">
        <v>34</v>
      </c>
      <c r="F544" s="253" t="s">
        <v>2682</v>
      </c>
      <c r="G544" s="127" t="s">
        <v>1014</v>
      </c>
      <c r="H544" s="140" t="s">
        <v>1844</v>
      </c>
      <c r="I544" s="128" t="s">
        <v>1843</v>
      </c>
      <c r="J544" s="186" t="s">
        <v>1876</v>
      </c>
      <c r="K544" s="136" t="s">
        <v>2348</v>
      </c>
      <c r="L544" s="136" t="s">
        <v>1844</v>
      </c>
      <c r="M544" s="136" t="s">
        <v>1845</v>
      </c>
      <c r="N544" s="144" t="s">
        <v>1844</v>
      </c>
      <c r="O544" s="140" t="s">
        <v>1879</v>
      </c>
      <c r="P544" s="140" t="s">
        <v>1862</v>
      </c>
      <c r="Q544" s="140"/>
      <c r="R544" s="144" t="s">
        <v>1845</v>
      </c>
      <c r="S544" s="140"/>
      <c r="T544" s="140"/>
      <c r="U544" s="140"/>
      <c r="V544" s="140"/>
      <c r="W544" s="144" t="s">
        <v>1845</v>
      </c>
      <c r="X544" s="136"/>
      <c r="Y544" s="128"/>
      <c r="Z544" s="140"/>
      <c r="AA544" s="144"/>
      <c r="AB544" s="136"/>
      <c r="AC544" s="136"/>
      <c r="AD544" s="136"/>
      <c r="AE544" s="136"/>
      <c r="AF544" s="140"/>
      <c r="AG544" s="140"/>
      <c r="AH544" s="140"/>
      <c r="AI544" s="128"/>
      <c r="AJ544" s="137"/>
      <c r="AK544" s="140"/>
      <c r="AL544" s="140"/>
    </row>
    <row r="545" ht="15.75" customHeight="1">
      <c r="A545" s="125">
        <v>544.0</v>
      </c>
      <c r="B545" s="138">
        <f t="shared" si="55"/>
        <v>10544</v>
      </c>
      <c r="C545" s="250" t="s">
        <v>1840</v>
      </c>
      <c r="D545" s="122" t="s">
        <v>2677</v>
      </c>
      <c r="E545" s="125" t="s">
        <v>7</v>
      </c>
      <c r="F545" s="198" t="s">
        <v>2683</v>
      </c>
      <c r="G545" s="127" t="s">
        <v>1016</v>
      </c>
      <c r="H545" s="140" t="s">
        <v>1844</v>
      </c>
      <c r="I545" s="128" t="s">
        <v>1906</v>
      </c>
      <c r="J545" s="186" t="s">
        <v>1844</v>
      </c>
      <c r="K545" s="136" t="s">
        <v>1844</v>
      </c>
      <c r="L545" s="136" t="s">
        <v>1844</v>
      </c>
      <c r="M545" s="136" t="s">
        <v>1844</v>
      </c>
      <c r="N545" s="144" t="s">
        <v>1844</v>
      </c>
      <c r="O545" s="140" t="s">
        <v>1844</v>
      </c>
      <c r="P545" s="140" t="s">
        <v>1844</v>
      </c>
      <c r="Q545" s="140"/>
      <c r="R545" s="144"/>
      <c r="S545" s="140"/>
      <c r="T545" s="140"/>
      <c r="U545" s="140" t="s">
        <v>1845</v>
      </c>
      <c r="V545" s="140" t="s">
        <v>1845</v>
      </c>
      <c r="W545" s="144"/>
      <c r="X545" s="136"/>
      <c r="Y545" s="128"/>
      <c r="Z545" s="140"/>
      <c r="AA545" s="144"/>
      <c r="AB545" s="136"/>
      <c r="AC545" s="136"/>
      <c r="AD545" s="136"/>
      <c r="AE545" s="136"/>
      <c r="AF545" s="140"/>
      <c r="AG545" s="140"/>
      <c r="AH545" s="140"/>
      <c r="AI545" s="128"/>
      <c r="AJ545" s="137"/>
      <c r="AK545" s="140"/>
      <c r="AL545" s="140"/>
    </row>
    <row r="546" ht="15.75" customHeight="1">
      <c r="A546" s="125">
        <v>545.0</v>
      </c>
      <c r="B546" s="138">
        <f t="shared" si="55"/>
        <v>10545</v>
      </c>
      <c r="C546" s="250" t="s">
        <v>1840</v>
      </c>
      <c r="D546" s="122" t="s">
        <v>2677</v>
      </c>
      <c r="E546" s="125" t="s">
        <v>7</v>
      </c>
      <c r="F546" s="127" t="s">
        <v>2684</v>
      </c>
      <c r="G546" s="127" t="s">
        <v>1018</v>
      </c>
      <c r="H546" s="140" t="s">
        <v>1844</v>
      </c>
      <c r="I546" s="128" t="s">
        <v>1843</v>
      </c>
      <c r="J546" s="186" t="s">
        <v>1844</v>
      </c>
      <c r="K546" s="136" t="s">
        <v>1844</v>
      </c>
      <c r="L546" s="136" t="s">
        <v>1844</v>
      </c>
      <c r="M546" s="136" t="s">
        <v>1844</v>
      </c>
      <c r="N546" s="144" t="s">
        <v>1844</v>
      </c>
      <c r="O546" s="140" t="s">
        <v>1844</v>
      </c>
      <c r="P546" s="140" t="s">
        <v>1844</v>
      </c>
      <c r="Q546" s="140"/>
      <c r="R546" s="144" t="s">
        <v>1845</v>
      </c>
      <c r="S546" s="140"/>
      <c r="T546" s="140" t="s">
        <v>1845</v>
      </c>
      <c r="U546" s="140"/>
      <c r="V546" s="140"/>
      <c r="W546" s="144"/>
      <c r="X546" s="136" t="s">
        <v>1845</v>
      </c>
      <c r="Y546" s="128"/>
      <c r="Z546" s="140"/>
      <c r="AA546" s="144"/>
      <c r="AB546" s="136"/>
      <c r="AC546" s="136"/>
      <c r="AD546" s="136"/>
      <c r="AE546" s="136"/>
      <c r="AF546" s="140"/>
      <c r="AG546" s="140"/>
      <c r="AH546" s="140"/>
      <c r="AI546" s="128"/>
      <c r="AJ546" s="137"/>
      <c r="AK546" s="140"/>
      <c r="AL546" s="140"/>
    </row>
    <row r="547" ht="15.75" customHeight="1">
      <c r="A547" s="125">
        <v>546.0</v>
      </c>
      <c r="B547" s="138">
        <f t="shared" si="55"/>
        <v>10546</v>
      </c>
      <c r="C547" s="250" t="s">
        <v>1840</v>
      </c>
      <c r="D547" s="122" t="s">
        <v>2677</v>
      </c>
      <c r="E547" s="125" t="s">
        <v>34</v>
      </c>
      <c r="F547" s="127" t="s">
        <v>2685</v>
      </c>
      <c r="G547" s="127" t="s">
        <v>1020</v>
      </c>
      <c r="H547" s="140" t="s">
        <v>1844</v>
      </c>
      <c r="I547" s="128" t="s">
        <v>1906</v>
      </c>
      <c r="J547" s="186" t="s">
        <v>1902</v>
      </c>
      <c r="K547" s="136" t="s">
        <v>1877</v>
      </c>
      <c r="L547" s="136" t="s">
        <v>1990</v>
      </c>
      <c r="M547" s="136" t="s">
        <v>1845</v>
      </c>
      <c r="N547" s="144" t="s">
        <v>1903</v>
      </c>
      <c r="O547" s="140" t="s">
        <v>1879</v>
      </c>
      <c r="P547" s="140" t="s">
        <v>1862</v>
      </c>
      <c r="Q547" s="140"/>
      <c r="R547" s="144"/>
      <c r="S547" s="140"/>
      <c r="T547" s="140"/>
      <c r="U547" s="140" t="s">
        <v>1845</v>
      </c>
      <c r="V547" s="140" t="s">
        <v>1845</v>
      </c>
      <c r="W547" s="144"/>
      <c r="X547" s="136"/>
      <c r="Y547" s="128"/>
      <c r="Z547" s="140"/>
      <c r="AA547" s="144"/>
      <c r="AB547" s="136"/>
      <c r="AC547" s="136"/>
      <c r="AD547" s="136"/>
      <c r="AE547" s="136"/>
      <c r="AF547" s="140"/>
      <c r="AG547" s="140"/>
      <c r="AH547" s="140"/>
      <c r="AI547" s="128"/>
      <c r="AJ547" s="137"/>
      <c r="AK547" s="140"/>
      <c r="AL547" s="140"/>
    </row>
    <row r="548" ht="15.75" customHeight="1">
      <c r="A548" s="125">
        <v>547.0</v>
      </c>
      <c r="B548" s="138">
        <f t="shared" si="55"/>
        <v>10547</v>
      </c>
      <c r="C548" s="250" t="s">
        <v>1840</v>
      </c>
      <c r="D548" s="122" t="s">
        <v>2677</v>
      </c>
      <c r="E548" s="125" t="s">
        <v>7</v>
      </c>
      <c r="F548" s="127" t="s">
        <v>2686</v>
      </c>
      <c r="G548" s="221" t="s">
        <v>1022</v>
      </c>
      <c r="H548" s="140" t="s">
        <v>1844</v>
      </c>
      <c r="I548" s="128" t="s">
        <v>1843</v>
      </c>
      <c r="J548" s="186" t="s">
        <v>1844</v>
      </c>
      <c r="K548" s="136" t="s">
        <v>1844</v>
      </c>
      <c r="L548" s="136" t="s">
        <v>1844</v>
      </c>
      <c r="M548" s="136" t="s">
        <v>1844</v>
      </c>
      <c r="N548" s="144" t="s">
        <v>1844</v>
      </c>
      <c r="O548" s="140" t="s">
        <v>1844</v>
      </c>
      <c r="P548" s="140" t="s">
        <v>1844</v>
      </c>
      <c r="Q548" s="140"/>
      <c r="R548" s="144" t="s">
        <v>1845</v>
      </c>
      <c r="S548" s="140"/>
      <c r="T548" s="140" t="s">
        <v>1845</v>
      </c>
      <c r="U548" s="140"/>
      <c r="V548" s="140"/>
      <c r="W548" s="144"/>
      <c r="X548" s="136"/>
      <c r="Y548" s="128"/>
      <c r="Z548" s="140" t="s">
        <v>1845</v>
      </c>
      <c r="AA548" s="144"/>
      <c r="AB548" s="136"/>
      <c r="AC548" s="136"/>
      <c r="AD548" s="136"/>
      <c r="AE548" s="136"/>
      <c r="AF548" s="140"/>
      <c r="AG548" s="140"/>
      <c r="AH548" s="140"/>
      <c r="AI548" s="128"/>
      <c r="AJ548" s="137"/>
      <c r="AK548" s="140"/>
      <c r="AL548" s="140"/>
    </row>
    <row r="549" ht="15.75" customHeight="1">
      <c r="A549" s="125">
        <v>548.0</v>
      </c>
      <c r="B549" s="138">
        <f t="shared" si="55"/>
        <v>10548</v>
      </c>
      <c r="C549" s="250" t="s">
        <v>1840</v>
      </c>
      <c r="D549" s="122" t="s">
        <v>2677</v>
      </c>
      <c r="E549" s="125" t="s">
        <v>34</v>
      </c>
      <c r="F549" s="127" t="s">
        <v>2687</v>
      </c>
      <c r="G549" s="221" t="s">
        <v>1024</v>
      </c>
      <c r="H549" s="140" t="s">
        <v>1844</v>
      </c>
      <c r="I549" s="128" t="s">
        <v>1906</v>
      </c>
      <c r="J549" s="186" t="s">
        <v>1876</v>
      </c>
      <c r="K549" s="136" t="s">
        <v>2348</v>
      </c>
      <c r="L549" s="136" t="s">
        <v>1844</v>
      </c>
      <c r="M549" s="136" t="s">
        <v>1845</v>
      </c>
      <c r="N549" s="144" t="s">
        <v>1844</v>
      </c>
      <c r="O549" s="140" t="s">
        <v>1879</v>
      </c>
      <c r="P549" s="140" t="s">
        <v>1862</v>
      </c>
      <c r="Q549" s="140"/>
      <c r="R549" s="144"/>
      <c r="S549" s="140"/>
      <c r="T549" s="140"/>
      <c r="U549" s="140"/>
      <c r="V549" s="140" t="s">
        <v>1845</v>
      </c>
      <c r="W549" s="144"/>
      <c r="X549" s="136"/>
      <c r="Y549" s="128"/>
      <c r="Z549" s="140"/>
      <c r="AA549" s="144"/>
      <c r="AB549" s="136"/>
      <c r="AC549" s="136"/>
      <c r="AD549" s="136"/>
      <c r="AE549" s="136"/>
      <c r="AF549" s="140"/>
      <c r="AG549" s="140"/>
      <c r="AH549" s="140"/>
      <c r="AI549" s="128"/>
      <c r="AJ549" s="137"/>
      <c r="AK549" s="140"/>
      <c r="AL549" s="140"/>
    </row>
    <row r="550" ht="15.75" customHeight="1">
      <c r="A550" s="125">
        <v>549.0</v>
      </c>
      <c r="B550" s="123" t="s">
        <v>1742</v>
      </c>
      <c r="C550" s="250" t="s">
        <v>1840</v>
      </c>
      <c r="D550" s="122" t="s">
        <v>2677</v>
      </c>
      <c r="E550" s="125" t="s">
        <v>7</v>
      </c>
      <c r="F550" s="127" t="s">
        <v>2688</v>
      </c>
      <c r="G550" s="127" t="s">
        <v>1026</v>
      </c>
      <c r="H550" s="140" t="s">
        <v>1844</v>
      </c>
      <c r="I550" s="128" t="s">
        <v>1843</v>
      </c>
      <c r="J550" s="186" t="s">
        <v>1844</v>
      </c>
      <c r="K550" s="136" t="s">
        <v>1844</v>
      </c>
      <c r="L550" s="136" t="s">
        <v>1844</v>
      </c>
      <c r="M550" s="136" t="s">
        <v>1844</v>
      </c>
      <c r="N550" s="144" t="s">
        <v>1844</v>
      </c>
      <c r="O550" s="140" t="s">
        <v>1844</v>
      </c>
      <c r="P550" s="140" t="s">
        <v>1844</v>
      </c>
      <c r="Q550" s="140" t="s">
        <v>1845</v>
      </c>
      <c r="R550" s="144" t="s">
        <v>1845</v>
      </c>
      <c r="S550" s="140"/>
      <c r="T550" s="140"/>
      <c r="U550" s="140"/>
      <c r="V550" s="140"/>
      <c r="W550" s="144"/>
      <c r="X550" s="136"/>
      <c r="Y550" s="128"/>
      <c r="Z550" s="140"/>
      <c r="AA550" s="144"/>
      <c r="AB550" s="136"/>
      <c r="AC550" s="136"/>
      <c r="AD550" s="136"/>
      <c r="AE550" s="136"/>
      <c r="AF550" s="140"/>
      <c r="AG550" s="140"/>
      <c r="AH550" s="140"/>
      <c r="AI550" s="128"/>
      <c r="AJ550" s="137"/>
      <c r="AK550" s="140"/>
      <c r="AL550" s="140"/>
    </row>
    <row r="551" ht="15.75" customHeight="1">
      <c r="A551" s="125">
        <v>550.0</v>
      </c>
      <c r="B551" s="123" t="s">
        <v>1742</v>
      </c>
      <c r="C551" s="250" t="s">
        <v>1840</v>
      </c>
      <c r="D551" s="122" t="s">
        <v>2677</v>
      </c>
      <c r="E551" s="125" t="s">
        <v>7</v>
      </c>
      <c r="F551" s="127" t="s">
        <v>2689</v>
      </c>
      <c r="G551" s="127" t="s">
        <v>2690</v>
      </c>
      <c r="H551" s="140" t="s">
        <v>1844</v>
      </c>
      <c r="I551" s="128" t="s">
        <v>1843</v>
      </c>
      <c r="J551" s="186" t="s">
        <v>1844</v>
      </c>
      <c r="K551" s="136" t="s">
        <v>1844</v>
      </c>
      <c r="L551" s="136" t="s">
        <v>1844</v>
      </c>
      <c r="M551" s="136" t="s">
        <v>1844</v>
      </c>
      <c r="N551" s="144" t="s">
        <v>1844</v>
      </c>
      <c r="O551" s="140" t="s">
        <v>1844</v>
      </c>
      <c r="P551" s="140" t="s">
        <v>1844</v>
      </c>
      <c r="Q551" s="140" t="s">
        <v>1845</v>
      </c>
      <c r="R551" s="144" t="s">
        <v>1845</v>
      </c>
      <c r="S551" s="140"/>
      <c r="T551" s="140"/>
      <c r="U551" s="140"/>
      <c r="V551" s="140"/>
      <c r="W551" s="144" t="s">
        <v>1845</v>
      </c>
      <c r="X551" s="136" t="s">
        <v>1845</v>
      </c>
      <c r="Y551" s="128"/>
      <c r="Z551" s="140"/>
      <c r="AA551" s="144"/>
      <c r="AB551" s="136"/>
      <c r="AC551" s="136"/>
      <c r="AD551" s="136"/>
      <c r="AE551" s="136"/>
      <c r="AF551" s="140"/>
      <c r="AG551" s="140"/>
      <c r="AH551" s="140"/>
      <c r="AI551" s="128"/>
      <c r="AJ551" s="137"/>
      <c r="AK551" s="140"/>
      <c r="AL551" s="140"/>
    </row>
    <row r="552" ht="15.75" customHeight="1">
      <c r="A552" s="125">
        <v>551.0</v>
      </c>
      <c r="B552" s="138">
        <f>SUM(A552+10000)</f>
        <v>10551</v>
      </c>
      <c r="C552" s="250" t="s">
        <v>1840</v>
      </c>
      <c r="D552" s="122" t="s">
        <v>2677</v>
      </c>
      <c r="E552" s="125" t="s">
        <v>7</v>
      </c>
      <c r="F552" s="127" t="s">
        <v>2691</v>
      </c>
      <c r="G552" s="127" t="s">
        <v>1030</v>
      </c>
      <c r="H552" s="140" t="s">
        <v>1844</v>
      </c>
      <c r="I552" s="128" t="s">
        <v>1843</v>
      </c>
      <c r="J552" s="186" t="s">
        <v>1844</v>
      </c>
      <c r="K552" s="136" t="s">
        <v>1844</v>
      </c>
      <c r="L552" s="136" t="s">
        <v>1844</v>
      </c>
      <c r="M552" s="136" t="s">
        <v>1844</v>
      </c>
      <c r="N552" s="144" t="s">
        <v>1844</v>
      </c>
      <c r="O552" s="140" t="s">
        <v>1844</v>
      </c>
      <c r="P552" s="140" t="s">
        <v>1844</v>
      </c>
      <c r="Q552" s="140"/>
      <c r="R552" s="144" t="s">
        <v>1845</v>
      </c>
      <c r="S552" s="140"/>
      <c r="T552" s="140"/>
      <c r="U552" s="140"/>
      <c r="V552" s="140"/>
      <c r="W552" s="144" t="s">
        <v>1845</v>
      </c>
      <c r="X552" s="136"/>
      <c r="Y552" s="128"/>
      <c r="Z552" s="140"/>
      <c r="AA552" s="144"/>
      <c r="AB552" s="136"/>
      <c r="AC552" s="136"/>
      <c r="AD552" s="136"/>
      <c r="AE552" s="136"/>
      <c r="AF552" s="140"/>
      <c r="AG552" s="140"/>
      <c r="AH552" s="140"/>
      <c r="AI552" s="128"/>
      <c r="AJ552" s="137"/>
      <c r="AK552" s="140"/>
      <c r="AL552" s="140"/>
    </row>
    <row r="553" ht="15.75" customHeight="1">
      <c r="A553" s="125">
        <v>552.0</v>
      </c>
      <c r="B553" s="123" t="s">
        <v>1742</v>
      </c>
      <c r="C553" s="250" t="s">
        <v>1840</v>
      </c>
      <c r="D553" s="122" t="s">
        <v>2692</v>
      </c>
      <c r="E553" s="125" t="s">
        <v>34</v>
      </c>
      <c r="F553" s="127" t="s">
        <v>2693</v>
      </c>
      <c r="G553" s="127" t="s">
        <v>2694</v>
      </c>
      <c r="H553" s="140" t="s">
        <v>1844</v>
      </c>
      <c r="I553" s="140" t="s">
        <v>1843</v>
      </c>
      <c r="J553" s="186" t="s">
        <v>1876</v>
      </c>
      <c r="K553" s="136" t="s">
        <v>2348</v>
      </c>
      <c r="L553" s="136" t="s">
        <v>1878</v>
      </c>
      <c r="M553" s="136" t="s">
        <v>1845</v>
      </c>
      <c r="N553" s="144" t="s">
        <v>1844</v>
      </c>
      <c r="O553" s="140" t="s">
        <v>1879</v>
      </c>
      <c r="P553" s="140" t="s">
        <v>1862</v>
      </c>
      <c r="Q553" s="140" t="s">
        <v>1845</v>
      </c>
      <c r="R553" s="144"/>
      <c r="S553" s="140"/>
      <c r="T553" s="140" t="s">
        <v>1845</v>
      </c>
      <c r="U553" s="140"/>
      <c r="V553" s="140"/>
      <c r="W553" s="144"/>
      <c r="X553" s="136"/>
      <c r="Y553" s="128"/>
      <c r="Z553" s="140"/>
      <c r="AA553" s="144"/>
      <c r="AB553" s="136"/>
      <c r="AC553" s="136"/>
      <c r="AD553" s="136"/>
      <c r="AE553" s="136"/>
      <c r="AF553" s="140"/>
      <c r="AG553" s="128"/>
      <c r="AH553" s="140"/>
      <c r="AI553" s="128"/>
      <c r="AJ553" s="137"/>
      <c r="AK553" s="140"/>
      <c r="AL553" s="140"/>
    </row>
    <row r="554" ht="15.75" customHeight="1">
      <c r="A554" s="125">
        <v>553.0</v>
      </c>
      <c r="B554" s="138">
        <f t="shared" ref="B554:B561" si="56">SUM(A554+10000)</f>
        <v>10553</v>
      </c>
      <c r="C554" s="250" t="s">
        <v>1840</v>
      </c>
      <c r="D554" s="122" t="s">
        <v>2677</v>
      </c>
      <c r="E554" s="125" t="s">
        <v>34</v>
      </c>
      <c r="F554" s="127" t="s">
        <v>2695</v>
      </c>
      <c r="G554" s="127" t="s">
        <v>1034</v>
      </c>
      <c r="H554" s="140" t="s">
        <v>1844</v>
      </c>
      <c r="I554" s="128" t="s">
        <v>1843</v>
      </c>
      <c r="J554" s="186" t="s">
        <v>1876</v>
      </c>
      <c r="K554" s="136" t="s">
        <v>2348</v>
      </c>
      <c r="L554" s="136" t="s">
        <v>1844</v>
      </c>
      <c r="M554" s="136" t="s">
        <v>1845</v>
      </c>
      <c r="N554" s="144" t="s">
        <v>1844</v>
      </c>
      <c r="O554" s="140" t="s">
        <v>1879</v>
      </c>
      <c r="P554" s="140" t="s">
        <v>1862</v>
      </c>
      <c r="Q554" s="140"/>
      <c r="R554" s="144" t="s">
        <v>1845</v>
      </c>
      <c r="S554" s="140"/>
      <c r="T554" s="140"/>
      <c r="U554" s="140"/>
      <c r="V554" s="140"/>
      <c r="W554" s="144"/>
      <c r="X554" s="136"/>
      <c r="Y554" s="128"/>
      <c r="Z554" s="140"/>
      <c r="AA554" s="144"/>
      <c r="AB554" s="136"/>
      <c r="AC554" s="136"/>
      <c r="AD554" s="136"/>
      <c r="AE554" s="136"/>
      <c r="AF554" s="140"/>
      <c r="AG554" s="140"/>
      <c r="AH554" s="140"/>
      <c r="AI554" s="128"/>
      <c r="AJ554" s="137"/>
      <c r="AK554" s="140"/>
      <c r="AL554" s="140"/>
    </row>
    <row r="555" ht="15.75" customHeight="1">
      <c r="A555" s="125">
        <v>554.0</v>
      </c>
      <c r="B555" s="138">
        <f t="shared" si="56"/>
        <v>10554</v>
      </c>
      <c r="C555" s="250" t="s">
        <v>1840</v>
      </c>
      <c r="D555" s="122" t="s">
        <v>2677</v>
      </c>
      <c r="E555" s="125" t="s">
        <v>34</v>
      </c>
      <c r="F555" s="127" t="s">
        <v>2696</v>
      </c>
      <c r="G555" s="127" t="s">
        <v>1036</v>
      </c>
      <c r="H555" s="140" t="s">
        <v>1844</v>
      </c>
      <c r="I555" s="140" t="s">
        <v>1843</v>
      </c>
      <c r="J555" s="186" t="s">
        <v>1876</v>
      </c>
      <c r="K555" s="136" t="s">
        <v>2348</v>
      </c>
      <c r="L555" s="136" t="s">
        <v>1884</v>
      </c>
      <c r="M555" s="136" t="s">
        <v>1845</v>
      </c>
      <c r="N555" s="144" t="s">
        <v>1844</v>
      </c>
      <c r="O555" s="140" t="s">
        <v>1879</v>
      </c>
      <c r="P555" s="140" t="s">
        <v>1862</v>
      </c>
      <c r="Q555" s="140"/>
      <c r="R555" s="144" t="s">
        <v>1845</v>
      </c>
      <c r="S555" s="140"/>
      <c r="T555" s="140" t="s">
        <v>1845</v>
      </c>
      <c r="U555" s="140"/>
      <c r="V555" s="140"/>
      <c r="W555" s="144"/>
      <c r="X555" s="136"/>
      <c r="Y555" s="128"/>
      <c r="Z555" s="140"/>
      <c r="AA555" s="144"/>
      <c r="AB555" s="136"/>
      <c r="AC555" s="136"/>
      <c r="AD555" s="136"/>
      <c r="AE555" s="136"/>
      <c r="AF555" s="140"/>
      <c r="AG555" s="140"/>
      <c r="AH555" s="140"/>
      <c r="AI555" s="128"/>
      <c r="AJ555" s="137"/>
      <c r="AK555" s="140"/>
      <c r="AL555" s="140"/>
    </row>
    <row r="556" ht="15.75" customHeight="1">
      <c r="A556" s="125">
        <v>555.0</v>
      </c>
      <c r="B556" s="138">
        <f t="shared" si="56"/>
        <v>10555</v>
      </c>
      <c r="C556" s="250" t="s">
        <v>1840</v>
      </c>
      <c r="D556" s="122" t="s">
        <v>2677</v>
      </c>
      <c r="E556" s="125" t="s">
        <v>34</v>
      </c>
      <c r="F556" s="127" t="s">
        <v>2697</v>
      </c>
      <c r="G556" s="127" t="s">
        <v>1038</v>
      </c>
      <c r="H556" s="140" t="s">
        <v>1844</v>
      </c>
      <c r="I556" s="140" t="s">
        <v>1843</v>
      </c>
      <c r="J556" s="186" t="s">
        <v>1876</v>
      </c>
      <c r="K556" s="136" t="s">
        <v>2348</v>
      </c>
      <c r="L556" s="136" t="s">
        <v>1884</v>
      </c>
      <c r="M556" s="136" t="s">
        <v>1845</v>
      </c>
      <c r="N556" s="144" t="s">
        <v>1844</v>
      </c>
      <c r="O556" s="140" t="s">
        <v>1879</v>
      </c>
      <c r="P556" s="140" t="s">
        <v>1862</v>
      </c>
      <c r="Q556" s="140"/>
      <c r="R556" s="144" t="s">
        <v>1845</v>
      </c>
      <c r="S556" s="140"/>
      <c r="T556" s="140" t="s">
        <v>1845</v>
      </c>
      <c r="U556" s="140"/>
      <c r="V556" s="140"/>
      <c r="W556" s="144" t="s">
        <v>1845</v>
      </c>
      <c r="X556" s="136"/>
      <c r="Y556" s="128"/>
      <c r="Z556" s="140"/>
      <c r="AA556" s="144"/>
      <c r="AB556" s="136"/>
      <c r="AC556" s="136"/>
      <c r="AD556" s="136"/>
      <c r="AE556" s="136"/>
      <c r="AF556" s="140"/>
      <c r="AG556" s="140"/>
      <c r="AH556" s="140"/>
      <c r="AI556" s="128"/>
      <c r="AJ556" s="137"/>
      <c r="AK556" s="140"/>
      <c r="AL556" s="140"/>
    </row>
    <row r="557" ht="15.75" customHeight="1">
      <c r="A557" s="125">
        <v>556.0</v>
      </c>
      <c r="B557" s="138">
        <f t="shared" si="56"/>
        <v>10556</v>
      </c>
      <c r="C557" s="250" t="s">
        <v>1840</v>
      </c>
      <c r="D557" s="122" t="s">
        <v>2677</v>
      </c>
      <c r="E557" s="125" t="s">
        <v>34</v>
      </c>
      <c r="F557" s="127" t="s">
        <v>2698</v>
      </c>
      <c r="G557" s="142" t="s">
        <v>1040</v>
      </c>
      <c r="H557" s="140" t="s">
        <v>1844</v>
      </c>
      <c r="I557" s="140" t="s">
        <v>1843</v>
      </c>
      <c r="J557" s="186" t="s">
        <v>1876</v>
      </c>
      <c r="K557" s="136" t="s">
        <v>2348</v>
      </c>
      <c r="L557" s="136" t="s">
        <v>1990</v>
      </c>
      <c r="M557" s="136" t="s">
        <v>1845</v>
      </c>
      <c r="N557" s="144" t="s">
        <v>1844</v>
      </c>
      <c r="O557" s="140" t="s">
        <v>1879</v>
      </c>
      <c r="P557" s="140" t="s">
        <v>1862</v>
      </c>
      <c r="Q557" s="140"/>
      <c r="R557" s="144" t="s">
        <v>1845</v>
      </c>
      <c r="S557" s="140"/>
      <c r="T557" s="140" t="s">
        <v>1845</v>
      </c>
      <c r="U557" s="140"/>
      <c r="V557" s="140"/>
      <c r="W557" s="144" t="s">
        <v>1845</v>
      </c>
      <c r="X557" s="136"/>
      <c r="Y557" s="128"/>
      <c r="Z557" s="140"/>
      <c r="AA557" s="144"/>
      <c r="AB557" s="136"/>
      <c r="AC557" s="136"/>
      <c r="AD557" s="136"/>
      <c r="AE557" s="136"/>
      <c r="AF557" s="140"/>
      <c r="AG557" s="140"/>
      <c r="AH557" s="140"/>
      <c r="AI557" s="128"/>
      <c r="AJ557" s="137"/>
      <c r="AK557" s="140"/>
      <c r="AL557" s="140"/>
    </row>
    <row r="558" ht="15.75" customHeight="1">
      <c r="A558" s="125">
        <v>557.0</v>
      </c>
      <c r="B558" s="138">
        <f t="shared" si="56"/>
        <v>10557</v>
      </c>
      <c r="C558" s="250" t="s">
        <v>1840</v>
      </c>
      <c r="D558" s="122" t="s">
        <v>2677</v>
      </c>
      <c r="E558" s="125" t="s">
        <v>34</v>
      </c>
      <c r="F558" s="127" t="s">
        <v>2699</v>
      </c>
      <c r="G558" s="269" t="s">
        <v>1042</v>
      </c>
      <c r="H558" s="227" t="s">
        <v>1844</v>
      </c>
      <c r="I558" s="140" t="s">
        <v>1843</v>
      </c>
      <c r="J558" s="186" t="s">
        <v>1876</v>
      </c>
      <c r="K558" s="136" t="s">
        <v>2348</v>
      </c>
      <c r="L558" s="136" t="s">
        <v>1878</v>
      </c>
      <c r="M558" s="136" t="s">
        <v>1845</v>
      </c>
      <c r="N558" s="144" t="s">
        <v>1844</v>
      </c>
      <c r="O558" s="140" t="s">
        <v>1879</v>
      </c>
      <c r="P558" s="140" t="s">
        <v>1862</v>
      </c>
      <c r="Q558" s="140"/>
      <c r="R558" s="144" t="s">
        <v>1845</v>
      </c>
      <c r="S558" s="140"/>
      <c r="T558" s="140" t="s">
        <v>1845</v>
      </c>
      <c r="U558" s="140"/>
      <c r="V558" s="140"/>
      <c r="W558" s="144" t="s">
        <v>1845</v>
      </c>
      <c r="X558" s="136"/>
      <c r="Y558" s="128"/>
      <c r="Z558" s="140"/>
      <c r="AA558" s="144"/>
      <c r="AB558" s="136"/>
      <c r="AC558" s="136"/>
      <c r="AD558" s="136"/>
      <c r="AE558" s="136"/>
      <c r="AF558" s="140"/>
      <c r="AG558" s="140"/>
      <c r="AH558" s="140"/>
      <c r="AI558" s="128"/>
      <c r="AJ558" s="137"/>
      <c r="AK558" s="140"/>
      <c r="AL558" s="140"/>
    </row>
    <row r="559" ht="15.75" customHeight="1">
      <c r="A559" s="125">
        <v>558.0</v>
      </c>
      <c r="B559" s="138">
        <f t="shared" si="56"/>
        <v>10558</v>
      </c>
      <c r="C559" s="250" t="s">
        <v>1840</v>
      </c>
      <c r="D559" s="122" t="s">
        <v>2677</v>
      </c>
      <c r="E559" s="125" t="s">
        <v>34</v>
      </c>
      <c r="F559" s="127" t="s">
        <v>2700</v>
      </c>
      <c r="G559" s="126" t="s">
        <v>1044</v>
      </c>
      <c r="H559" s="227" t="s">
        <v>1844</v>
      </c>
      <c r="I559" s="140" t="s">
        <v>1843</v>
      </c>
      <c r="J559" s="186" t="s">
        <v>1876</v>
      </c>
      <c r="K559" s="136" t="s">
        <v>2348</v>
      </c>
      <c r="L559" s="136" t="s">
        <v>1844</v>
      </c>
      <c r="M559" s="136" t="s">
        <v>1845</v>
      </c>
      <c r="N559" s="144" t="s">
        <v>1844</v>
      </c>
      <c r="O559" s="140" t="s">
        <v>1879</v>
      </c>
      <c r="P559" s="140" t="s">
        <v>1862</v>
      </c>
      <c r="Q559" s="140"/>
      <c r="R559" s="144" t="s">
        <v>1845</v>
      </c>
      <c r="S559" s="140" t="s">
        <v>1845</v>
      </c>
      <c r="T559" s="140" t="s">
        <v>1845</v>
      </c>
      <c r="U559" s="140"/>
      <c r="V559" s="140"/>
      <c r="W559" s="144"/>
      <c r="X559" s="136"/>
      <c r="Y559" s="128"/>
      <c r="Z559" s="140"/>
      <c r="AA559" s="144"/>
      <c r="AB559" s="136"/>
      <c r="AC559" s="136"/>
      <c r="AD559" s="136"/>
      <c r="AE559" s="136"/>
      <c r="AF559" s="140"/>
      <c r="AG559" s="140"/>
      <c r="AH559" s="140"/>
      <c r="AI559" s="128"/>
      <c r="AJ559" s="137"/>
      <c r="AK559" s="140"/>
      <c r="AL559" s="140"/>
    </row>
    <row r="560" ht="15.75" customHeight="1">
      <c r="A560" s="125">
        <v>559.0</v>
      </c>
      <c r="B560" s="138">
        <f t="shared" si="56"/>
        <v>10559</v>
      </c>
      <c r="C560" s="250" t="s">
        <v>1840</v>
      </c>
      <c r="D560" s="122" t="s">
        <v>2677</v>
      </c>
      <c r="E560" s="125" t="s">
        <v>7</v>
      </c>
      <c r="F560" s="127" t="s">
        <v>2701</v>
      </c>
      <c r="G560" s="126" t="s">
        <v>1046</v>
      </c>
      <c r="H560" s="227" t="s">
        <v>1844</v>
      </c>
      <c r="I560" s="128" t="s">
        <v>1843</v>
      </c>
      <c r="J560" s="186" t="s">
        <v>1844</v>
      </c>
      <c r="K560" s="136" t="s">
        <v>1844</v>
      </c>
      <c r="L560" s="136" t="s">
        <v>1844</v>
      </c>
      <c r="M560" s="136" t="s">
        <v>1844</v>
      </c>
      <c r="N560" s="144" t="s">
        <v>1844</v>
      </c>
      <c r="O560" s="140" t="s">
        <v>1844</v>
      </c>
      <c r="P560" s="140" t="s">
        <v>1844</v>
      </c>
      <c r="Q560" s="140"/>
      <c r="R560" s="144" t="s">
        <v>1845</v>
      </c>
      <c r="S560" s="140"/>
      <c r="T560" s="140"/>
      <c r="U560" s="140"/>
      <c r="V560" s="140"/>
      <c r="W560" s="144" t="s">
        <v>1845</v>
      </c>
      <c r="X560" s="136"/>
      <c r="Y560" s="128"/>
      <c r="Z560" s="140" t="s">
        <v>1845</v>
      </c>
      <c r="AA560" s="144"/>
      <c r="AB560" s="136"/>
      <c r="AC560" s="136"/>
      <c r="AD560" s="136"/>
      <c r="AE560" s="136"/>
      <c r="AF560" s="140"/>
      <c r="AG560" s="140"/>
      <c r="AH560" s="140"/>
      <c r="AI560" s="128"/>
      <c r="AJ560" s="137"/>
      <c r="AK560" s="140"/>
      <c r="AL560" s="140"/>
    </row>
    <row r="561" ht="15.75" customHeight="1">
      <c r="A561" s="125">
        <v>560.0</v>
      </c>
      <c r="B561" s="138">
        <f t="shared" si="56"/>
        <v>10560</v>
      </c>
      <c r="C561" s="250" t="s">
        <v>1840</v>
      </c>
      <c r="D561" s="122" t="s">
        <v>2677</v>
      </c>
      <c r="E561" s="125" t="s">
        <v>7</v>
      </c>
      <c r="F561" s="198" t="s">
        <v>2702</v>
      </c>
      <c r="G561" s="229" t="s">
        <v>1048</v>
      </c>
      <c r="H561" s="227" t="s">
        <v>1844</v>
      </c>
      <c r="I561" s="128" t="s">
        <v>1843</v>
      </c>
      <c r="J561" s="186" t="s">
        <v>1844</v>
      </c>
      <c r="K561" s="136" t="s">
        <v>1844</v>
      </c>
      <c r="L561" s="136" t="s">
        <v>1844</v>
      </c>
      <c r="M561" s="136" t="s">
        <v>1844</v>
      </c>
      <c r="N561" s="144" t="s">
        <v>1844</v>
      </c>
      <c r="O561" s="140" t="s">
        <v>1844</v>
      </c>
      <c r="P561" s="140" t="s">
        <v>1844</v>
      </c>
      <c r="Q561" s="140"/>
      <c r="R561" s="144" t="s">
        <v>1845</v>
      </c>
      <c r="S561" s="140"/>
      <c r="T561" s="140"/>
      <c r="U561" s="140"/>
      <c r="V561" s="140"/>
      <c r="W561" s="144"/>
      <c r="X561" s="136"/>
      <c r="Y561" s="128"/>
      <c r="Z561" s="140" t="s">
        <v>1845</v>
      </c>
      <c r="AA561" s="144"/>
      <c r="AB561" s="136"/>
      <c r="AC561" s="136"/>
      <c r="AD561" s="136"/>
      <c r="AE561" s="136"/>
      <c r="AF561" s="140"/>
      <c r="AG561" s="140"/>
      <c r="AH561" s="140"/>
      <c r="AI561" s="128"/>
      <c r="AJ561" s="137"/>
      <c r="AK561" s="140"/>
      <c r="AL561" s="140"/>
    </row>
    <row r="562" ht="15.75" customHeight="1">
      <c r="A562" s="125">
        <v>561.0</v>
      </c>
      <c r="B562" s="123" t="s">
        <v>1742</v>
      </c>
      <c r="C562" s="250" t="s">
        <v>1840</v>
      </c>
      <c r="D562" s="122" t="s">
        <v>2099</v>
      </c>
      <c r="E562" s="125" t="s">
        <v>34</v>
      </c>
      <c r="F562" s="198" t="s">
        <v>2703</v>
      </c>
      <c r="G562" s="126" t="s">
        <v>2704</v>
      </c>
      <c r="H562" s="227" t="s">
        <v>1844</v>
      </c>
      <c r="I562" s="128" t="s">
        <v>1843</v>
      </c>
      <c r="J562" s="186" t="s">
        <v>1876</v>
      </c>
      <c r="K562" s="136" t="s">
        <v>2348</v>
      </c>
      <c r="L562" s="136" t="s">
        <v>1884</v>
      </c>
      <c r="M562" s="136" t="s">
        <v>1845</v>
      </c>
      <c r="N562" s="144" t="s">
        <v>1844</v>
      </c>
      <c r="O562" s="140" t="s">
        <v>1879</v>
      </c>
      <c r="P562" s="140" t="s">
        <v>1862</v>
      </c>
      <c r="Q562" s="140" t="s">
        <v>1845</v>
      </c>
      <c r="R562" s="144"/>
      <c r="S562" s="140"/>
      <c r="T562" s="140"/>
      <c r="U562" s="140"/>
      <c r="V562" s="140"/>
      <c r="W562" s="144"/>
      <c r="X562" s="136"/>
      <c r="Y562" s="128"/>
      <c r="Z562" s="140"/>
      <c r="AA562" s="144"/>
      <c r="AB562" s="136"/>
      <c r="AC562" s="136"/>
      <c r="AD562" s="136"/>
      <c r="AE562" s="136"/>
      <c r="AF562" s="140"/>
      <c r="AG562" s="140"/>
      <c r="AH562" s="140"/>
      <c r="AI562" s="128"/>
      <c r="AJ562" s="137"/>
      <c r="AK562" s="140"/>
      <c r="AL562" s="140"/>
    </row>
    <row r="563" ht="15.75" customHeight="1">
      <c r="A563" s="125">
        <v>562.0</v>
      </c>
      <c r="B563" s="138">
        <f t="shared" ref="B563:B575" si="57">SUM(A563+10000)</f>
        <v>10562</v>
      </c>
      <c r="C563" s="250" t="s">
        <v>1840</v>
      </c>
      <c r="D563" s="122" t="s">
        <v>2677</v>
      </c>
      <c r="E563" s="125" t="s">
        <v>7</v>
      </c>
      <c r="F563" s="127" t="s">
        <v>2705</v>
      </c>
      <c r="G563" s="270" t="s">
        <v>1052</v>
      </c>
      <c r="H563" s="227" t="s">
        <v>1844</v>
      </c>
      <c r="I563" s="128" t="s">
        <v>1843</v>
      </c>
      <c r="J563" s="186" t="s">
        <v>1844</v>
      </c>
      <c r="K563" s="136" t="s">
        <v>1844</v>
      </c>
      <c r="L563" s="136" t="s">
        <v>1844</v>
      </c>
      <c r="M563" s="136" t="s">
        <v>1844</v>
      </c>
      <c r="N563" s="144" t="s">
        <v>1844</v>
      </c>
      <c r="O563" s="140" t="s">
        <v>1844</v>
      </c>
      <c r="P563" s="140" t="s">
        <v>1844</v>
      </c>
      <c r="Q563" s="140"/>
      <c r="R563" s="144" t="s">
        <v>1845</v>
      </c>
      <c r="S563" s="140"/>
      <c r="T563" s="140"/>
      <c r="U563" s="140"/>
      <c r="V563" s="140"/>
      <c r="W563" s="144" t="s">
        <v>1845</v>
      </c>
      <c r="X563" s="136" t="s">
        <v>1845</v>
      </c>
      <c r="Y563" s="128"/>
      <c r="Z563" s="140" t="s">
        <v>1845</v>
      </c>
      <c r="AA563" s="144"/>
      <c r="AB563" s="136"/>
      <c r="AC563" s="136"/>
      <c r="AD563" s="136"/>
      <c r="AE563" s="136"/>
      <c r="AF563" s="140"/>
      <c r="AG563" s="140"/>
      <c r="AH563" s="140"/>
      <c r="AI563" s="128"/>
      <c r="AJ563" s="137"/>
      <c r="AK563" s="140"/>
      <c r="AL563" s="140"/>
    </row>
    <row r="564" ht="15.75" customHeight="1">
      <c r="A564" s="125">
        <v>563.0</v>
      </c>
      <c r="B564" s="138">
        <f t="shared" si="57"/>
        <v>10563</v>
      </c>
      <c r="C564" s="250" t="s">
        <v>1840</v>
      </c>
      <c r="D564" s="122" t="s">
        <v>2677</v>
      </c>
      <c r="E564" s="125" t="s">
        <v>7</v>
      </c>
      <c r="F564" s="127" t="s">
        <v>2706</v>
      </c>
      <c r="G564" s="126" t="s">
        <v>1054</v>
      </c>
      <c r="H564" s="227" t="s">
        <v>1844</v>
      </c>
      <c r="I564" s="128" t="s">
        <v>1843</v>
      </c>
      <c r="J564" s="186" t="s">
        <v>1844</v>
      </c>
      <c r="K564" s="136" t="s">
        <v>1844</v>
      </c>
      <c r="L564" s="136" t="s">
        <v>1844</v>
      </c>
      <c r="M564" s="136" t="s">
        <v>1844</v>
      </c>
      <c r="N564" s="144" t="s">
        <v>1844</v>
      </c>
      <c r="O564" s="140" t="s">
        <v>1844</v>
      </c>
      <c r="P564" s="140" t="s">
        <v>1844</v>
      </c>
      <c r="Q564" s="140"/>
      <c r="R564" s="144" t="s">
        <v>1845</v>
      </c>
      <c r="S564" s="140" t="s">
        <v>1845</v>
      </c>
      <c r="T564" s="140"/>
      <c r="U564" s="140"/>
      <c r="V564" s="140"/>
      <c r="W564" s="144" t="s">
        <v>1845</v>
      </c>
      <c r="X564" s="136" t="s">
        <v>1845</v>
      </c>
      <c r="Y564" s="128"/>
      <c r="Z564" s="140"/>
      <c r="AA564" s="144"/>
      <c r="AB564" s="136"/>
      <c r="AC564" s="136"/>
      <c r="AD564" s="136"/>
      <c r="AE564" s="136"/>
      <c r="AF564" s="140"/>
      <c r="AG564" s="140"/>
      <c r="AH564" s="140"/>
      <c r="AI564" s="128"/>
      <c r="AJ564" s="137"/>
      <c r="AK564" s="140"/>
      <c r="AL564" s="140"/>
    </row>
    <row r="565" ht="15.75" customHeight="1">
      <c r="A565" s="125">
        <v>564.0</v>
      </c>
      <c r="B565" s="138">
        <f t="shared" si="57"/>
        <v>10564</v>
      </c>
      <c r="C565" s="250" t="s">
        <v>1840</v>
      </c>
      <c r="D565" s="122" t="s">
        <v>2677</v>
      </c>
      <c r="E565" s="125" t="s">
        <v>34</v>
      </c>
      <c r="F565" s="127" t="s">
        <v>2707</v>
      </c>
      <c r="G565" s="126" t="s">
        <v>1056</v>
      </c>
      <c r="H565" s="227" t="s">
        <v>1844</v>
      </c>
      <c r="I565" s="140" t="s">
        <v>1843</v>
      </c>
      <c r="J565" s="186" t="s">
        <v>1876</v>
      </c>
      <c r="K565" s="136" t="s">
        <v>2348</v>
      </c>
      <c r="L565" s="136" t="s">
        <v>1844</v>
      </c>
      <c r="M565" s="136" t="s">
        <v>1845</v>
      </c>
      <c r="N565" s="144" t="s">
        <v>1844</v>
      </c>
      <c r="O565" s="140" t="s">
        <v>1879</v>
      </c>
      <c r="P565" s="140" t="s">
        <v>1862</v>
      </c>
      <c r="Q565" s="140"/>
      <c r="R565" s="144" t="s">
        <v>1845</v>
      </c>
      <c r="S565" s="140"/>
      <c r="T565" s="140" t="s">
        <v>1845</v>
      </c>
      <c r="U565" s="140"/>
      <c r="V565" s="140"/>
      <c r="W565" s="144" t="s">
        <v>1845</v>
      </c>
      <c r="X565" s="136"/>
      <c r="Y565" s="128"/>
      <c r="Z565" s="140"/>
      <c r="AA565" s="144"/>
      <c r="AB565" s="136"/>
      <c r="AC565" s="136"/>
      <c r="AD565" s="136"/>
      <c r="AE565" s="136"/>
      <c r="AF565" s="140"/>
      <c r="AG565" s="140"/>
      <c r="AH565" s="140"/>
      <c r="AI565" s="128"/>
      <c r="AJ565" s="137"/>
      <c r="AK565" s="140"/>
      <c r="AL565" s="140"/>
    </row>
    <row r="566" ht="15.75" customHeight="1">
      <c r="A566" s="125">
        <v>565.0</v>
      </c>
      <c r="B566" s="138">
        <f t="shared" si="57"/>
        <v>10565</v>
      </c>
      <c r="C566" s="250" t="s">
        <v>1840</v>
      </c>
      <c r="D566" s="122" t="s">
        <v>2677</v>
      </c>
      <c r="E566" s="125" t="s">
        <v>7</v>
      </c>
      <c r="F566" s="127" t="s">
        <v>2708</v>
      </c>
      <c r="G566" s="126" t="s">
        <v>1058</v>
      </c>
      <c r="H566" s="227" t="s">
        <v>1844</v>
      </c>
      <c r="I566" s="128" t="s">
        <v>1843</v>
      </c>
      <c r="J566" s="186" t="s">
        <v>1844</v>
      </c>
      <c r="K566" s="136" t="s">
        <v>1844</v>
      </c>
      <c r="L566" s="136" t="s">
        <v>1844</v>
      </c>
      <c r="M566" s="136" t="s">
        <v>1844</v>
      </c>
      <c r="N566" s="144" t="s">
        <v>1844</v>
      </c>
      <c r="O566" s="140" t="s">
        <v>1844</v>
      </c>
      <c r="P566" s="140" t="s">
        <v>1844</v>
      </c>
      <c r="Q566" s="140"/>
      <c r="R566" s="144" t="s">
        <v>1845</v>
      </c>
      <c r="S566" s="140" t="s">
        <v>1845</v>
      </c>
      <c r="T566" s="140"/>
      <c r="U566" s="140"/>
      <c r="V566" s="140"/>
      <c r="W566" s="144"/>
      <c r="X566" s="136" t="s">
        <v>1845</v>
      </c>
      <c r="Y566" s="128"/>
      <c r="Z566" s="140"/>
      <c r="AA566" s="144"/>
      <c r="AB566" s="136"/>
      <c r="AC566" s="136"/>
      <c r="AD566" s="136"/>
      <c r="AE566" s="136"/>
      <c r="AF566" s="140"/>
      <c r="AG566" s="140"/>
      <c r="AH566" s="140"/>
      <c r="AI566" s="128"/>
      <c r="AJ566" s="137"/>
      <c r="AK566" s="140"/>
      <c r="AL566" s="140"/>
    </row>
    <row r="567" ht="15.75" customHeight="1">
      <c r="A567" s="125">
        <v>566.0</v>
      </c>
      <c r="B567" s="138">
        <f t="shared" si="57"/>
        <v>10566</v>
      </c>
      <c r="C567" s="250" t="s">
        <v>1840</v>
      </c>
      <c r="D567" s="122" t="s">
        <v>2677</v>
      </c>
      <c r="E567" s="125" t="s">
        <v>7</v>
      </c>
      <c r="F567" s="127" t="s">
        <v>2709</v>
      </c>
      <c r="G567" s="126" t="s">
        <v>1060</v>
      </c>
      <c r="H567" s="227" t="s">
        <v>1844</v>
      </c>
      <c r="I567" s="128" t="s">
        <v>1843</v>
      </c>
      <c r="J567" s="186" t="s">
        <v>1844</v>
      </c>
      <c r="K567" s="136" t="s">
        <v>1844</v>
      </c>
      <c r="L567" s="136" t="s">
        <v>1844</v>
      </c>
      <c r="M567" s="136" t="s">
        <v>1844</v>
      </c>
      <c r="N567" s="144" t="s">
        <v>1844</v>
      </c>
      <c r="O567" s="140" t="s">
        <v>1844</v>
      </c>
      <c r="P567" s="140" t="s">
        <v>1844</v>
      </c>
      <c r="Q567" s="140"/>
      <c r="R567" s="144" t="s">
        <v>1845</v>
      </c>
      <c r="S567" s="140" t="s">
        <v>1845</v>
      </c>
      <c r="T567" s="140"/>
      <c r="U567" s="140"/>
      <c r="V567" s="140"/>
      <c r="W567" s="144"/>
      <c r="X567" s="136"/>
      <c r="Y567" s="128"/>
      <c r="Z567" s="140" t="s">
        <v>1845</v>
      </c>
      <c r="AA567" s="144"/>
      <c r="AB567" s="136"/>
      <c r="AC567" s="136"/>
      <c r="AD567" s="136"/>
      <c r="AE567" s="136"/>
      <c r="AF567" s="140"/>
      <c r="AG567" s="140"/>
      <c r="AH567" s="140"/>
      <c r="AI567" s="128"/>
      <c r="AJ567" s="137"/>
      <c r="AK567" s="140"/>
      <c r="AL567" s="140"/>
    </row>
    <row r="568" ht="15.75" customHeight="1">
      <c r="A568" s="125">
        <v>567.0</v>
      </c>
      <c r="B568" s="138">
        <f t="shared" si="57"/>
        <v>10567</v>
      </c>
      <c r="C568" s="250" t="s">
        <v>1840</v>
      </c>
      <c r="D568" s="122" t="s">
        <v>2677</v>
      </c>
      <c r="E568" s="125" t="s">
        <v>7</v>
      </c>
      <c r="F568" s="127" t="s">
        <v>2710</v>
      </c>
      <c r="G568" s="271" t="s">
        <v>1062</v>
      </c>
      <c r="H568" s="227" t="s">
        <v>1844</v>
      </c>
      <c r="I568" s="128" t="s">
        <v>1843</v>
      </c>
      <c r="J568" s="186" t="s">
        <v>1844</v>
      </c>
      <c r="K568" s="136" t="s">
        <v>1844</v>
      </c>
      <c r="L568" s="136" t="s">
        <v>1844</v>
      </c>
      <c r="M568" s="136" t="s">
        <v>1844</v>
      </c>
      <c r="N568" s="144" t="s">
        <v>1844</v>
      </c>
      <c r="O568" s="140" t="s">
        <v>1844</v>
      </c>
      <c r="P568" s="140" t="s">
        <v>1844</v>
      </c>
      <c r="Q568" s="140"/>
      <c r="R568" s="144" t="s">
        <v>1845</v>
      </c>
      <c r="S568" s="140" t="s">
        <v>1845</v>
      </c>
      <c r="T568" s="140"/>
      <c r="U568" s="140"/>
      <c r="V568" s="140"/>
      <c r="W568" s="144" t="s">
        <v>1845</v>
      </c>
      <c r="X568" s="136"/>
      <c r="Y568" s="128"/>
      <c r="Z568" s="140" t="s">
        <v>1845</v>
      </c>
      <c r="AA568" s="144"/>
      <c r="AB568" s="136"/>
      <c r="AC568" s="136"/>
      <c r="AD568" s="136"/>
      <c r="AE568" s="136"/>
      <c r="AF568" s="140"/>
      <c r="AG568" s="140"/>
      <c r="AH568" s="140"/>
      <c r="AI568" s="128"/>
      <c r="AJ568" s="137"/>
      <c r="AK568" s="140"/>
      <c r="AL568" s="140"/>
    </row>
    <row r="569" ht="15.75" customHeight="1">
      <c r="A569" s="125">
        <v>568.0</v>
      </c>
      <c r="B569" s="138">
        <f t="shared" si="57"/>
        <v>10568</v>
      </c>
      <c r="C569" s="250" t="s">
        <v>1840</v>
      </c>
      <c r="D569" s="122" t="s">
        <v>2677</v>
      </c>
      <c r="E569" s="125" t="s">
        <v>7</v>
      </c>
      <c r="F569" s="127" t="s">
        <v>2711</v>
      </c>
      <c r="G569" s="126" t="s">
        <v>1064</v>
      </c>
      <c r="H569" s="227" t="s">
        <v>1844</v>
      </c>
      <c r="I569" s="128" t="s">
        <v>1843</v>
      </c>
      <c r="J569" s="186" t="s">
        <v>1844</v>
      </c>
      <c r="K569" s="136" t="s">
        <v>1844</v>
      </c>
      <c r="L569" s="136" t="s">
        <v>1844</v>
      </c>
      <c r="M569" s="136" t="s">
        <v>1844</v>
      </c>
      <c r="N569" s="144" t="s">
        <v>1844</v>
      </c>
      <c r="O569" s="140" t="s">
        <v>1844</v>
      </c>
      <c r="P569" s="140" t="s">
        <v>1844</v>
      </c>
      <c r="Q569" s="140"/>
      <c r="R569" s="144" t="s">
        <v>1845</v>
      </c>
      <c r="S569" s="140"/>
      <c r="T569" s="140"/>
      <c r="U569" s="140"/>
      <c r="V569" s="140"/>
      <c r="W569" s="144"/>
      <c r="X569" s="136" t="s">
        <v>1845</v>
      </c>
      <c r="Y569" s="128"/>
      <c r="Z569" s="140" t="s">
        <v>1845</v>
      </c>
      <c r="AA569" s="144"/>
      <c r="AB569" s="136"/>
      <c r="AC569" s="136"/>
      <c r="AD569" s="136"/>
      <c r="AE569" s="136"/>
      <c r="AF569" s="140"/>
      <c r="AG569" s="140"/>
      <c r="AH569" s="140"/>
      <c r="AI569" s="128"/>
      <c r="AJ569" s="137"/>
      <c r="AK569" s="140"/>
      <c r="AL569" s="140"/>
    </row>
    <row r="570" ht="15.75" customHeight="1">
      <c r="A570" s="125">
        <v>569.0</v>
      </c>
      <c r="B570" s="138">
        <f t="shared" si="57"/>
        <v>10569</v>
      </c>
      <c r="C570" s="250" t="s">
        <v>1840</v>
      </c>
      <c r="D570" s="122" t="s">
        <v>2677</v>
      </c>
      <c r="E570" s="125" t="s">
        <v>20</v>
      </c>
      <c r="F570" s="127" t="s">
        <v>2712</v>
      </c>
      <c r="G570" s="126" t="s">
        <v>1066</v>
      </c>
      <c r="H570" s="227" t="s">
        <v>1844</v>
      </c>
      <c r="I570" s="128" t="s">
        <v>1843</v>
      </c>
      <c r="J570" s="186" t="s">
        <v>1844</v>
      </c>
      <c r="K570" s="136" t="s">
        <v>1844</v>
      </c>
      <c r="L570" s="136" t="s">
        <v>1844</v>
      </c>
      <c r="M570" s="136" t="s">
        <v>1845</v>
      </c>
      <c r="N570" s="144" t="s">
        <v>1844</v>
      </c>
      <c r="O570" s="140" t="s">
        <v>1844</v>
      </c>
      <c r="P570" s="140" t="s">
        <v>1862</v>
      </c>
      <c r="Q570" s="140"/>
      <c r="R570" s="144"/>
      <c r="S570" s="140"/>
      <c r="T570" s="140" t="s">
        <v>1845</v>
      </c>
      <c r="U570" s="140"/>
      <c r="V570" s="140"/>
      <c r="W570" s="144"/>
      <c r="X570" s="136"/>
      <c r="Y570" s="128"/>
      <c r="Z570" s="140"/>
      <c r="AA570" s="144"/>
      <c r="AB570" s="136"/>
      <c r="AC570" s="136"/>
      <c r="AD570" s="136"/>
      <c r="AE570" s="136"/>
      <c r="AF570" s="140"/>
      <c r="AG570" s="140"/>
      <c r="AH570" s="140"/>
      <c r="AI570" s="128"/>
      <c r="AJ570" s="137"/>
      <c r="AK570" s="140"/>
      <c r="AL570" s="140"/>
    </row>
    <row r="571" ht="15.75" customHeight="1">
      <c r="A571" s="125">
        <v>570.0</v>
      </c>
      <c r="B571" s="138">
        <f t="shared" si="57"/>
        <v>10570</v>
      </c>
      <c r="C571" s="250" t="s">
        <v>1840</v>
      </c>
      <c r="D571" s="122" t="s">
        <v>2677</v>
      </c>
      <c r="E571" s="125" t="s">
        <v>7</v>
      </c>
      <c r="F571" s="127" t="s">
        <v>2713</v>
      </c>
      <c r="G571" s="270" t="s">
        <v>1068</v>
      </c>
      <c r="H571" s="227" t="s">
        <v>1844</v>
      </c>
      <c r="I571" s="128" t="s">
        <v>1843</v>
      </c>
      <c r="J571" s="186" t="s">
        <v>1844</v>
      </c>
      <c r="K571" s="136" t="s">
        <v>1844</v>
      </c>
      <c r="L571" s="136" t="s">
        <v>1844</v>
      </c>
      <c r="M571" s="136" t="s">
        <v>1844</v>
      </c>
      <c r="N571" s="144" t="s">
        <v>1844</v>
      </c>
      <c r="O571" s="140" t="s">
        <v>1844</v>
      </c>
      <c r="P571" s="140" t="s">
        <v>1844</v>
      </c>
      <c r="Q571" s="140"/>
      <c r="R571" s="144" t="s">
        <v>1845</v>
      </c>
      <c r="S571" s="140" t="s">
        <v>1845</v>
      </c>
      <c r="T571" s="140"/>
      <c r="U571" s="140"/>
      <c r="V571" s="140"/>
      <c r="W571" s="144" t="s">
        <v>1845</v>
      </c>
      <c r="X571" s="136" t="s">
        <v>1845</v>
      </c>
      <c r="Y571" s="128"/>
      <c r="Z571" s="140" t="s">
        <v>1845</v>
      </c>
      <c r="AA571" s="144"/>
      <c r="AB571" s="136"/>
      <c r="AC571" s="136"/>
      <c r="AD571" s="136"/>
      <c r="AE571" s="136"/>
      <c r="AF571" s="140"/>
      <c r="AG571" s="140"/>
      <c r="AH571" s="140"/>
      <c r="AI571" s="128"/>
      <c r="AJ571" s="137"/>
      <c r="AK571" s="140"/>
      <c r="AL571" s="140"/>
    </row>
    <row r="572" ht="15.75" customHeight="1">
      <c r="A572" s="125">
        <v>571.0</v>
      </c>
      <c r="B572" s="138">
        <f t="shared" si="57"/>
        <v>10571</v>
      </c>
      <c r="C572" s="250" t="s">
        <v>1840</v>
      </c>
      <c r="D572" s="122" t="s">
        <v>2677</v>
      </c>
      <c r="E572" s="125" t="s">
        <v>7</v>
      </c>
      <c r="F572" s="127" t="s">
        <v>2714</v>
      </c>
      <c r="G572" s="197" t="s">
        <v>1070</v>
      </c>
      <c r="H572" s="140" t="s">
        <v>1844</v>
      </c>
      <c r="I572" s="128" t="s">
        <v>1843</v>
      </c>
      <c r="J572" s="186" t="s">
        <v>1844</v>
      </c>
      <c r="K572" s="136" t="s">
        <v>1844</v>
      </c>
      <c r="L572" s="136" t="s">
        <v>1844</v>
      </c>
      <c r="M572" s="136" t="s">
        <v>1844</v>
      </c>
      <c r="N572" s="144" t="s">
        <v>1844</v>
      </c>
      <c r="O572" s="140" t="s">
        <v>1844</v>
      </c>
      <c r="P572" s="140" t="s">
        <v>1844</v>
      </c>
      <c r="Q572" s="140"/>
      <c r="R572" s="144" t="s">
        <v>1845</v>
      </c>
      <c r="S572" s="140" t="s">
        <v>1845</v>
      </c>
      <c r="T572" s="140"/>
      <c r="U572" s="140"/>
      <c r="V572" s="140"/>
      <c r="W572" s="144" t="s">
        <v>1845</v>
      </c>
      <c r="X572" s="136" t="s">
        <v>1845</v>
      </c>
      <c r="Y572" s="128"/>
      <c r="Z572" s="140" t="s">
        <v>1845</v>
      </c>
      <c r="AA572" s="144"/>
      <c r="AB572" s="136"/>
      <c r="AC572" s="136"/>
      <c r="AD572" s="136"/>
      <c r="AE572" s="136"/>
      <c r="AF572" s="140"/>
      <c r="AG572" s="140"/>
      <c r="AH572" s="140"/>
      <c r="AI572" s="128"/>
      <c r="AJ572" s="137"/>
      <c r="AK572" s="140"/>
      <c r="AL572" s="140"/>
    </row>
    <row r="573" ht="15.75" customHeight="1">
      <c r="A573" s="125">
        <v>572.0</v>
      </c>
      <c r="B573" s="138">
        <f t="shared" si="57"/>
        <v>10572</v>
      </c>
      <c r="C573" s="250" t="s">
        <v>1840</v>
      </c>
      <c r="D573" s="122" t="s">
        <v>2677</v>
      </c>
      <c r="E573" s="125" t="s">
        <v>7</v>
      </c>
      <c r="F573" s="127" t="s">
        <v>2715</v>
      </c>
      <c r="G573" s="127" t="s">
        <v>1072</v>
      </c>
      <c r="H573" s="140" t="s">
        <v>1844</v>
      </c>
      <c r="I573" s="128" t="s">
        <v>1843</v>
      </c>
      <c r="J573" s="186" t="s">
        <v>1844</v>
      </c>
      <c r="K573" s="136" t="s">
        <v>1844</v>
      </c>
      <c r="L573" s="136" t="s">
        <v>1844</v>
      </c>
      <c r="M573" s="136" t="s">
        <v>1844</v>
      </c>
      <c r="N573" s="144" t="s">
        <v>1844</v>
      </c>
      <c r="O573" s="140" t="s">
        <v>1844</v>
      </c>
      <c r="P573" s="140" t="s">
        <v>1844</v>
      </c>
      <c r="Q573" s="140"/>
      <c r="R573" s="144" t="s">
        <v>1845</v>
      </c>
      <c r="S573" s="140"/>
      <c r="T573" s="140"/>
      <c r="U573" s="140"/>
      <c r="V573" s="140"/>
      <c r="W573" s="144" t="s">
        <v>1845</v>
      </c>
      <c r="X573" s="136" t="s">
        <v>1845</v>
      </c>
      <c r="Y573" s="128"/>
      <c r="Z573" s="140" t="s">
        <v>1845</v>
      </c>
      <c r="AA573" s="144"/>
      <c r="AB573" s="136"/>
      <c r="AC573" s="136"/>
      <c r="AD573" s="136"/>
      <c r="AE573" s="136"/>
      <c r="AF573" s="140"/>
      <c r="AG573" s="140"/>
      <c r="AH573" s="140"/>
      <c r="AI573" s="128"/>
      <c r="AJ573" s="137"/>
      <c r="AK573" s="140"/>
      <c r="AL573" s="140"/>
    </row>
    <row r="574" ht="15.75" customHeight="1">
      <c r="A574" s="125">
        <v>573.0</v>
      </c>
      <c r="B574" s="138">
        <f t="shared" si="57"/>
        <v>10573</v>
      </c>
      <c r="C574" s="250" t="s">
        <v>1840</v>
      </c>
      <c r="D574" s="122" t="s">
        <v>2677</v>
      </c>
      <c r="E574" s="125" t="s">
        <v>34</v>
      </c>
      <c r="F574" s="127" t="s">
        <v>2716</v>
      </c>
      <c r="G574" s="127" t="s">
        <v>1074</v>
      </c>
      <c r="H574" s="140" t="s">
        <v>1844</v>
      </c>
      <c r="I574" s="140" t="s">
        <v>1843</v>
      </c>
      <c r="J574" s="186" t="s">
        <v>1876</v>
      </c>
      <c r="K574" s="136" t="s">
        <v>2348</v>
      </c>
      <c r="L574" s="136" t="s">
        <v>1844</v>
      </c>
      <c r="M574" s="136" t="s">
        <v>1845</v>
      </c>
      <c r="N574" s="144" t="s">
        <v>1844</v>
      </c>
      <c r="O574" s="140" t="s">
        <v>1879</v>
      </c>
      <c r="P574" s="140" t="s">
        <v>1862</v>
      </c>
      <c r="Q574" s="140"/>
      <c r="R574" s="144" t="s">
        <v>1845</v>
      </c>
      <c r="S574" s="140"/>
      <c r="T574" s="140" t="s">
        <v>1845</v>
      </c>
      <c r="U574" s="140"/>
      <c r="V574" s="140"/>
      <c r="W574" s="144" t="s">
        <v>1845</v>
      </c>
      <c r="X574" s="136"/>
      <c r="Y574" s="128"/>
      <c r="Z574" s="140"/>
      <c r="AA574" s="144"/>
      <c r="AB574" s="136"/>
      <c r="AC574" s="136"/>
      <c r="AD574" s="136"/>
      <c r="AE574" s="136"/>
      <c r="AF574" s="140"/>
      <c r="AG574" s="140"/>
      <c r="AH574" s="140"/>
      <c r="AI574" s="128"/>
      <c r="AJ574" s="137"/>
      <c r="AK574" s="140"/>
      <c r="AL574" s="140"/>
    </row>
    <row r="575" ht="15.75" customHeight="1">
      <c r="A575" s="125">
        <v>574.0</v>
      </c>
      <c r="B575" s="138">
        <f t="shared" si="57"/>
        <v>10574</v>
      </c>
      <c r="C575" s="250" t="s">
        <v>1840</v>
      </c>
      <c r="D575" s="122" t="s">
        <v>2677</v>
      </c>
      <c r="E575" s="125" t="s">
        <v>7</v>
      </c>
      <c r="F575" s="127" t="s">
        <v>2717</v>
      </c>
      <c r="G575" s="127" t="s">
        <v>1076</v>
      </c>
      <c r="H575" s="140" t="s">
        <v>1844</v>
      </c>
      <c r="I575" s="128" t="s">
        <v>1843</v>
      </c>
      <c r="J575" s="186" t="s">
        <v>1844</v>
      </c>
      <c r="K575" s="136" t="s">
        <v>1844</v>
      </c>
      <c r="L575" s="136" t="s">
        <v>1844</v>
      </c>
      <c r="M575" s="136" t="s">
        <v>1844</v>
      </c>
      <c r="N575" s="144" t="s">
        <v>1844</v>
      </c>
      <c r="O575" s="140" t="s">
        <v>1844</v>
      </c>
      <c r="P575" s="140" t="s">
        <v>1844</v>
      </c>
      <c r="Q575" s="140"/>
      <c r="R575" s="144" t="s">
        <v>1845</v>
      </c>
      <c r="S575" s="140" t="s">
        <v>1845</v>
      </c>
      <c r="T575" s="140"/>
      <c r="U575" s="140"/>
      <c r="V575" s="140"/>
      <c r="W575" s="144" t="s">
        <v>1845</v>
      </c>
      <c r="X575" s="136" t="s">
        <v>1845</v>
      </c>
      <c r="Y575" s="128"/>
      <c r="Z575" s="140" t="s">
        <v>1845</v>
      </c>
      <c r="AA575" s="144"/>
      <c r="AB575" s="136"/>
      <c r="AC575" s="136"/>
      <c r="AD575" s="136"/>
      <c r="AE575" s="136"/>
      <c r="AF575" s="140"/>
      <c r="AG575" s="140"/>
      <c r="AH575" s="140"/>
      <c r="AI575" s="128"/>
      <c r="AJ575" s="137"/>
      <c r="AK575" s="140"/>
      <c r="AL575" s="140"/>
    </row>
    <row r="576" ht="15.75" customHeight="1">
      <c r="A576" s="125">
        <v>575.0</v>
      </c>
      <c r="B576" s="123" t="s">
        <v>1742</v>
      </c>
      <c r="C576" s="250" t="s">
        <v>1840</v>
      </c>
      <c r="D576" s="122" t="s">
        <v>2677</v>
      </c>
      <c r="E576" s="125" t="s">
        <v>7</v>
      </c>
      <c r="F576" s="127" t="s">
        <v>2718</v>
      </c>
      <c r="G576" s="127" t="s">
        <v>2719</v>
      </c>
      <c r="H576" s="140" t="s">
        <v>1844</v>
      </c>
      <c r="I576" s="128" t="s">
        <v>1843</v>
      </c>
      <c r="J576" s="186" t="s">
        <v>1844</v>
      </c>
      <c r="K576" s="136" t="s">
        <v>1844</v>
      </c>
      <c r="L576" s="136" t="s">
        <v>1844</v>
      </c>
      <c r="M576" s="136" t="s">
        <v>1844</v>
      </c>
      <c r="N576" s="144" t="s">
        <v>1844</v>
      </c>
      <c r="O576" s="140" t="s">
        <v>1844</v>
      </c>
      <c r="P576" s="140" t="s">
        <v>1844</v>
      </c>
      <c r="Q576" s="140" t="s">
        <v>1845</v>
      </c>
      <c r="R576" s="144"/>
      <c r="S576" s="140"/>
      <c r="T576" s="140" t="s">
        <v>1845</v>
      </c>
      <c r="U576" s="140"/>
      <c r="V576" s="140"/>
      <c r="W576" s="144"/>
      <c r="X576" s="136" t="s">
        <v>1845</v>
      </c>
      <c r="Y576" s="128"/>
      <c r="Z576" s="140"/>
      <c r="AA576" s="144"/>
      <c r="AB576" s="136"/>
      <c r="AC576" s="136"/>
      <c r="AD576" s="136"/>
      <c r="AE576" s="136"/>
      <c r="AF576" s="140"/>
      <c r="AG576" s="140"/>
      <c r="AH576" s="140"/>
      <c r="AI576" s="128"/>
      <c r="AJ576" s="137"/>
      <c r="AK576" s="140"/>
      <c r="AL576" s="140"/>
    </row>
    <row r="577" ht="15.75" customHeight="1">
      <c r="A577" s="125">
        <v>576.0</v>
      </c>
      <c r="B577" s="138">
        <f t="shared" ref="B577:B586" si="58">SUM(A577+10000)</f>
        <v>10576</v>
      </c>
      <c r="C577" s="250" t="s">
        <v>1840</v>
      </c>
      <c r="D577" s="122" t="s">
        <v>2677</v>
      </c>
      <c r="E577" s="125" t="s">
        <v>34</v>
      </c>
      <c r="F577" s="272" t="s">
        <v>2720</v>
      </c>
      <c r="G577" s="127" t="s">
        <v>1080</v>
      </c>
      <c r="H577" s="140" t="s">
        <v>1844</v>
      </c>
      <c r="I577" s="128" t="s">
        <v>1843</v>
      </c>
      <c r="J577" s="186" t="s">
        <v>1902</v>
      </c>
      <c r="K577" s="136" t="s">
        <v>1877</v>
      </c>
      <c r="L577" s="136" t="s">
        <v>1878</v>
      </c>
      <c r="M577" s="136" t="s">
        <v>1845</v>
      </c>
      <c r="N577" s="144">
        <v>1.0</v>
      </c>
      <c r="O577" s="140" t="s">
        <v>1879</v>
      </c>
      <c r="P577" s="140" t="s">
        <v>1862</v>
      </c>
      <c r="Q577" s="140"/>
      <c r="R577" s="144"/>
      <c r="S577" s="140" t="s">
        <v>1845</v>
      </c>
      <c r="T577" s="140"/>
      <c r="U577" s="140"/>
      <c r="V577" s="140"/>
      <c r="W577" s="144"/>
      <c r="X577" s="136" t="s">
        <v>1845</v>
      </c>
      <c r="Y577" s="128"/>
      <c r="Z577" s="140"/>
      <c r="AA577" s="144"/>
      <c r="AB577" s="136"/>
      <c r="AC577" s="136"/>
      <c r="AD577" s="136"/>
      <c r="AE577" s="136"/>
      <c r="AF577" s="140"/>
      <c r="AG577" s="140"/>
      <c r="AH577" s="140"/>
      <c r="AI577" s="128"/>
      <c r="AJ577" s="137"/>
      <c r="AK577" s="140"/>
      <c r="AL577" s="140"/>
    </row>
    <row r="578" ht="15.75" customHeight="1">
      <c r="A578" s="125">
        <v>577.0</v>
      </c>
      <c r="B578" s="138">
        <f t="shared" si="58"/>
        <v>10577</v>
      </c>
      <c r="C578" s="250" t="s">
        <v>1840</v>
      </c>
      <c r="D578" s="122" t="s">
        <v>2677</v>
      </c>
      <c r="E578" s="125" t="s">
        <v>34</v>
      </c>
      <c r="F578" s="273" t="s">
        <v>2721</v>
      </c>
      <c r="G578" s="127" t="s">
        <v>1082</v>
      </c>
      <c r="H578" s="140" t="s">
        <v>1844</v>
      </c>
      <c r="I578" s="128" t="s">
        <v>1843</v>
      </c>
      <c r="J578" s="186" t="s">
        <v>1902</v>
      </c>
      <c r="K578" s="136" t="s">
        <v>1877</v>
      </c>
      <c r="L578" s="136" t="s">
        <v>1878</v>
      </c>
      <c r="M578" s="136" t="s">
        <v>1845</v>
      </c>
      <c r="N578" s="144" t="s">
        <v>1903</v>
      </c>
      <c r="O578" s="140" t="s">
        <v>1879</v>
      </c>
      <c r="P578" s="140" t="s">
        <v>1862</v>
      </c>
      <c r="Q578" s="140"/>
      <c r="R578" s="144"/>
      <c r="S578" s="140" t="s">
        <v>1845</v>
      </c>
      <c r="T578" s="140"/>
      <c r="U578" s="140"/>
      <c r="V578" s="140"/>
      <c r="W578" s="144"/>
      <c r="X578" s="136" t="s">
        <v>1845</v>
      </c>
      <c r="Y578" s="128"/>
      <c r="Z578" s="140"/>
      <c r="AA578" s="144"/>
      <c r="AB578" s="136"/>
      <c r="AC578" s="136"/>
      <c r="AD578" s="136"/>
      <c r="AE578" s="136"/>
      <c r="AF578" s="140"/>
      <c r="AG578" s="140"/>
      <c r="AH578" s="140"/>
      <c r="AI578" s="128"/>
      <c r="AJ578" s="137"/>
      <c r="AK578" s="140"/>
      <c r="AL578" s="140"/>
    </row>
    <row r="579" ht="15.75" customHeight="1">
      <c r="A579" s="125">
        <v>578.0</v>
      </c>
      <c r="B579" s="138">
        <f t="shared" si="58"/>
        <v>10578</v>
      </c>
      <c r="C579" s="250" t="s">
        <v>1840</v>
      </c>
      <c r="D579" s="122" t="s">
        <v>2677</v>
      </c>
      <c r="E579" s="125" t="s">
        <v>34</v>
      </c>
      <c r="F579" s="126" t="s">
        <v>2722</v>
      </c>
      <c r="G579" s="127" t="s">
        <v>1083</v>
      </c>
      <c r="H579" s="140" t="s">
        <v>1844</v>
      </c>
      <c r="I579" s="140" t="s">
        <v>1843</v>
      </c>
      <c r="J579" s="186" t="s">
        <v>1876</v>
      </c>
      <c r="K579" s="136" t="s">
        <v>2348</v>
      </c>
      <c r="L579" s="136" t="s">
        <v>1884</v>
      </c>
      <c r="M579" s="136" t="s">
        <v>1845</v>
      </c>
      <c r="N579" s="144" t="s">
        <v>1844</v>
      </c>
      <c r="O579" s="140" t="s">
        <v>1879</v>
      </c>
      <c r="P579" s="140" t="s">
        <v>1862</v>
      </c>
      <c r="Q579" s="140"/>
      <c r="R579" s="144" t="s">
        <v>1845</v>
      </c>
      <c r="S579" s="140" t="s">
        <v>1845</v>
      </c>
      <c r="T579" s="140" t="s">
        <v>1845</v>
      </c>
      <c r="U579" s="140"/>
      <c r="V579" s="140"/>
      <c r="W579" s="144" t="s">
        <v>1845</v>
      </c>
      <c r="X579" s="136"/>
      <c r="Y579" s="128"/>
      <c r="Z579" s="140"/>
      <c r="AA579" s="144"/>
      <c r="AB579" s="136"/>
      <c r="AC579" s="136"/>
      <c r="AD579" s="136"/>
      <c r="AE579" s="136"/>
      <c r="AF579" s="140"/>
      <c r="AG579" s="140"/>
      <c r="AH579" s="140"/>
      <c r="AI579" s="128"/>
      <c r="AJ579" s="137"/>
      <c r="AK579" s="140"/>
      <c r="AL579" s="140"/>
    </row>
    <row r="580" ht="15.75" customHeight="1">
      <c r="A580" s="125">
        <v>579.0</v>
      </c>
      <c r="B580" s="138">
        <f t="shared" si="58"/>
        <v>10579</v>
      </c>
      <c r="C580" s="250" t="s">
        <v>1840</v>
      </c>
      <c r="D580" s="122" t="s">
        <v>2677</v>
      </c>
      <c r="E580" s="125" t="s">
        <v>34</v>
      </c>
      <c r="F580" s="225" t="s">
        <v>2723</v>
      </c>
      <c r="G580" s="225" t="s">
        <v>1085</v>
      </c>
      <c r="H580" s="140" t="s">
        <v>1844</v>
      </c>
      <c r="I580" s="128" t="s">
        <v>1843</v>
      </c>
      <c r="J580" s="186" t="s">
        <v>1876</v>
      </c>
      <c r="K580" s="136" t="s">
        <v>1877</v>
      </c>
      <c r="L580" s="136" t="s">
        <v>1844</v>
      </c>
      <c r="M580" s="136" t="s">
        <v>1845</v>
      </c>
      <c r="N580" s="144">
        <v>1.0</v>
      </c>
      <c r="O580" s="140" t="s">
        <v>1879</v>
      </c>
      <c r="P580" s="140" t="s">
        <v>1895</v>
      </c>
      <c r="Q580" s="140"/>
      <c r="R580" s="144"/>
      <c r="S580" s="140" t="s">
        <v>1845</v>
      </c>
      <c r="T580" s="140"/>
      <c r="U580" s="140"/>
      <c r="V580" s="140"/>
      <c r="W580" s="144"/>
      <c r="X580" s="136"/>
      <c r="Y580" s="128"/>
      <c r="Z580" s="140"/>
      <c r="AA580" s="144"/>
      <c r="AB580" s="136"/>
      <c r="AC580" s="136"/>
      <c r="AD580" s="136"/>
      <c r="AE580" s="136"/>
      <c r="AF580" s="140"/>
      <c r="AG580" s="140"/>
      <c r="AH580" s="140"/>
      <c r="AI580" s="128"/>
      <c r="AJ580" s="137"/>
      <c r="AK580" s="140"/>
      <c r="AL580" s="140"/>
    </row>
    <row r="581" ht="15.75" customHeight="1">
      <c r="A581" s="125">
        <v>580.0</v>
      </c>
      <c r="B581" s="138">
        <f t="shared" si="58"/>
        <v>10580</v>
      </c>
      <c r="C581" s="250" t="s">
        <v>1840</v>
      </c>
      <c r="D581" s="122" t="s">
        <v>2677</v>
      </c>
      <c r="E581" s="125" t="s">
        <v>7</v>
      </c>
      <c r="F581" s="253" t="s">
        <v>2724</v>
      </c>
      <c r="G581" s="198" t="s">
        <v>1087</v>
      </c>
      <c r="H581" s="140" t="s">
        <v>1844</v>
      </c>
      <c r="I581" s="128" t="s">
        <v>1843</v>
      </c>
      <c r="J581" s="186" t="s">
        <v>1844</v>
      </c>
      <c r="K581" s="136" t="s">
        <v>1844</v>
      </c>
      <c r="L581" s="136" t="s">
        <v>1844</v>
      </c>
      <c r="M581" s="136" t="s">
        <v>1844</v>
      </c>
      <c r="N581" s="144" t="s">
        <v>1844</v>
      </c>
      <c r="O581" s="140" t="s">
        <v>1844</v>
      </c>
      <c r="P581" s="140" t="s">
        <v>1844</v>
      </c>
      <c r="Q581" s="140"/>
      <c r="R581" s="144" t="s">
        <v>1845</v>
      </c>
      <c r="S581" s="140"/>
      <c r="T581" s="140" t="s">
        <v>1845</v>
      </c>
      <c r="U581" s="140"/>
      <c r="V581" s="140"/>
      <c r="W581" s="144" t="s">
        <v>1845</v>
      </c>
      <c r="X581" s="136" t="s">
        <v>1845</v>
      </c>
      <c r="Y581" s="128"/>
      <c r="Z581" s="140"/>
      <c r="AA581" s="144"/>
      <c r="AB581" s="136"/>
      <c r="AC581" s="136"/>
      <c r="AD581" s="136"/>
      <c r="AE581" s="136"/>
      <c r="AF581" s="140"/>
      <c r="AG581" s="140"/>
      <c r="AH581" s="140"/>
      <c r="AI581" s="128"/>
      <c r="AJ581" s="137"/>
      <c r="AK581" s="140"/>
      <c r="AL581" s="140"/>
    </row>
    <row r="582" ht="15.75" customHeight="1">
      <c r="A582" s="125">
        <v>581.0</v>
      </c>
      <c r="B582" s="138">
        <f t="shared" si="58"/>
        <v>10581</v>
      </c>
      <c r="C582" s="250" t="s">
        <v>1840</v>
      </c>
      <c r="D582" s="122" t="s">
        <v>2677</v>
      </c>
      <c r="E582" s="125" t="s">
        <v>34</v>
      </c>
      <c r="F582" s="198" t="s">
        <v>2725</v>
      </c>
      <c r="G582" s="127" t="s">
        <v>1089</v>
      </c>
      <c r="H582" s="140" t="s">
        <v>1844</v>
      </c>
      <c r="I582" s="140" t="s">
        <v>1843</v>
      </c>
      <c r="J582" s="186" t="s">
        <v>1876</v>
      </c>
      <c r="K582" s="136" t="s">
        <v>2348</v>
      </c>
      <c r="L582" s="136" t="s">
        <v>1990</v>
      </c>
      <c r="M582" s="136" t="s">
        <v>1845</v>
      </c>
      <c r="N582" s="144" t="s">
        <v>1844</v>
      </c>
      <c r="O582" s="140" t="s">
        <v>1879</v>
      </c>
      <c r="P582" s="140" t="s">
        <v>1862</v>
      </c>
      <c r="Q582" s="140"/>
      <c r="R582" s="144" t="s">
        <v>1845</v>
      </c>
      <c r="S582" s="140" t="s">
        <v>1845</v>
      </c>
      <c r="T582" s="140" t="s">
        <v>1845</v>
      </c>
      <c r="U582" s="140"/>
      <c r="V582" s="140"/>
      <c r="W582" s="144" t="s">
        <v>1845</v>
      </c>
      <c r="X582" s="136"/>
      <c r="Y582" s="128"/>
      <c r="Z582" s="140"/>
      <c r="AA582" s="144"/>
      <c r="AB582" s="136"/>
      <c r="AC582" s="136"/>
      <c r="AD582" s="136"/>
      <c r="AE582" s="136"/>
      <c r="AF582" s="140"/>
      <c r="AG582" s="140"/>
      <c r="AH582" s="140"/>
      <c r="AI582" s="128"/>
      <c r="AJ582" s="137"/>
      <c r="AK582" s="140"/>
      <c r="AL582" s="140"/>
    </row>
    <row r="583" ht="15.75" customHeight="1">
      <c r="A583" s="125">
        <v>582.0</v>
      </c>
      <c r="B583" s="138">
        <f t="shared" si="58"/>
        <v>10582</v>
      </c>
      <c r="C583" s="250" t="s">
        <v>1840</v>
      </c>
      <c r="D583" s="122" t="s">
        <v>2677</v>
      </c>
      <c r="E583" s="125" t="s">
        <v>20</v>
      </c>
      <c r="F583" s="272" t="s">
        <v>2726</v>
      </c>
      <c r="G583" s="127" t="s">
        <v>1091</v>
      </c>
      <c r="H583" s="140" t="s">
        <v>1844</v>
      </c>
      <c r="I583" s="128" t="s">
        <v>1843</v>
      </c>
      <c r="J583" s="186" t="s">
        <v>1844</v>
      </c>
      <c r="K583" s="136" t="s">
        <v>1844</v>
      </c>
      <c r="L583" s="136" t="s">
        <v>1878</v>
      </c>
      <c r="M583" s="136" t="s">
        <v>1845</v>
      </c>
      <c r="N583" s="144" t="s">
        <v>1844</v>
      </c>
      <c r="O583" s="140" t="s">
        <v>1844</v>
      </c>
      <c r="P583" s="128" t="s">
        <v>1862</v>
      </c>
      <c r="Q583" s="140"/>
      <c r="R583" s="144"/>
      <c r="S583" s="128" t="s">
        <v>1845</v>
      </c>
      <c r="T583" s="140"/>
      <c r="U583" s="140"/>
      <c r="V583" s="140"/>
      <c r="W583" s="144"/>
      <c r="X583" s="136"/>
      <c r="Y583" s="128"/>
      <c r="Z583" s="140"/>
      <c r="AA583" s="144"/>
      <c r="AB583" s="136"/>
      <c r="AC583" s="136"/>
      <c r="AD583" s="136"/>
      <c r="AE583" s="136"/>
      <c r="AF583" s="128"/>
      <c r="AG583" s="140"/>
      <c r="AH583" s="140"/>
      <c r="AI583" s="128"/>
      <c r="AJ583" s="137"/>
      <c r="AK583" s="140"/>
      <c r="AL583" s="140"/>
    </row>
    <row r="584" ht="15.75" customHeight="1">
      <c r="A584" s="125">
        <v>583.0</v>
      </c>
      <c r="B584" s="138">
        <f t="shared" si="58"/>
        <v>10583</v>
      </c>
      <c r="C584" s="250" t="s">
        <v>1840</v>
      </c>
      <c r="D584" s="122" t="s">
        <v>2677</v>
      </c>
      <c r="E584" s="125" t="s">
        <v>34</v>
      </c>
      <c r="F584" s="274" t="s">
        <v>2727</v>
      </c>
      <c r="G584" s="153" t="s">
        <v>1093</v>
      </c>
      <c r="H584" s="140" t="s">
        <v>1844</v>
      </c>
      <c r="I584" s="140" t="s">
        <v>1843</v>
      </c>
      <c r="J584" s="186" t="s">
        <v>1876</v>
      </c>
      <c r="K584" s="136" t="s">
        <v>2348</v>
      </c>
      <c r="L584" s="136" t="s">
        <v>1844</v>
      </c>
      <c r="M584" s="136" t="s">
        <v>1845</v>
      </c>
      <c r="N584" s="144" t="s">
        <v>1844</v>
      </c>
      <c r="O584" s="140" t="s">
        <v>1879</v>
      </c>
      <c r="P584" s="128" t="s">
        <v>1862</v>
      </c>
      <c r="Q584" s="140"/>
      <c r="R584" s="144" t="s">
        <v>1845</v>
      </c>
      <c r="S584" s="128" t="s">
        <v>1845</v>
      </c>
      <c r="T584" s="140" t="s">
        <v>1845</v>
      </c>
      <c r="U584" s="140"/>
      <c r="V584" s="140"/>
      <c r="W584" s="144" t="s">
        <v>1845</v>
      </c>
      <c r="X584" s="136"/>
      <c r="Y584" s="128"/>
      <c r="Z584" s="140"/>
      <c r="AA584" s="144"/>
      <c r="AB584" s="136"/>
      <c r="AC584" s="136"/>
      <c r="AD584" s="136"/>
      <c r="AE584" s="136"/>
      <c r="AF584" s="136"/>
      <c r="AG584" s="140"/>
      <c r="AH584" s="128"/>
      <c r="AI584" s="128"/>
      <c r="AJ584" s="137"/>
      <c r="AK584" s="140"/>
      <c r="AL584" s="140"/>
    </row>
    <row r="585" ht="15.75" customHeight="1">
      <c r="A585" s="125">
        <v>584.0</v>
      </c>
      <c r="B585" s="138">
        <f t="shared" si="58"/>
        <v>10584</v>
      </c>
      <c r="C585" s="250" t="s">
        <v>1840</v>
      </c>
      <c r="D585" s="122" t="s">
        <v>2677</v>
      </c>
      <c r="E585" s="125" t="s">
        <v>7</v>
      </c>
      <c r="F585" s="275" t="s">
        <v>2728</v>
      </c>
      <c r="G585" s="175" t="s">
        <v>1095</v>
      </c>
      <c r="H585" s="140" t="s">
        <v>1844</v>
      </c>
      <c r="I585" s="128" t="s">
        <v>1843</v>
      </c>
      <c r="J585" s="186" t="s">
        <v>1844</v>
      </c>
      <c r="K585" s="136" t="s">
        <v>1844</v>
      </c>
      <c r="L585" s="136" t="s">
        <v>1844</v>
      </c>
      <c r="M585" s="136" t="s">
        <v>1844</v>
      </c>
      <c r="N585" s="144" t="s">
        <v>1844</v>
      </c>
      <c r="O585" s="140" t="s">
        <v>1844</v>
      </c>
      <c r="P585" s="128" t="s">
        <v>1844</v>
      </c>
      <c r="Q585" s="140"/>
      <c r="R585" s="144" t="s">
        <v>1845</v>
      </c>
      <c r="S585" s="128" t="s">
        <v>1845</v>
      </c>
      <c r="T585" s="140"/>
      <c r="U585" s="140"/>
      <c r="V585" s="140"/>
      <c r="W585" s="144" t="s">
        <v>1845</v>
      </c>
      <c r="X585" s="136"/>
      <c r="Y585" s="128"/>
      <c r="Z585" s="140"/>
      <c r="AA585" s="144"/>
      <c r="AB585" s="136"/>
      <c r="AC585" s="136"/>
      <c r="AD585" s="136"/>
      <c r="AE585" s="136"/>
      <c r="AF585" s="136"/>
      <c r="AG585" s="140"/>
      <c r="AH585" s="136"/>
      <c r="AI585" s="128"/>
      <c r="AJ585" s="137"/>
      <c r="AK585" s="140"/>
      <c r="AL585" s="140"/>
    </row>
    <row r="586" ht="15.75" customHeight="1">
      <c r="A586" s="125">
        <v>585.0</v>
      </c>
      <c r="B586" s="138">
        <f t="shared" si="58"/>
        <v>10585</v>
      </c>
      <c r="C586" s="250" t="s">
        <v>1840</v>
      </c>
      <c r="D586" s="122" t="s">
        <v>2379</v>
      </c>
      <c r="E586" s="125" t="s">
        <v>20</v>
      </c>
      <c r="F586" s="198" t="s">
        <v>2382</v>
      </c>
      <c r="G586" s="127" t="s">
        <v>1097</v>
      </c>
      <c r="H586" s="140" t="s">
        <v>1844</v>
      </c>
      <c r="I586" s="128" t="s">
        <v>2036</v>
      </c>
      <c r="J586" s="186" t="s">
        <v>1844</v>
      </c>
      <c r="K586" s="136" t="s">
        <v>1844</v>
      </c>
      <c r="L586" s="136" t="s">
        <v>1844</v>
      </c>
      <c r="M586" s="136" t="s">
        <v>1845</v>
      </c>
      <c r="N586" s="144" t="s">
        <v>1844</v>
      </c>
      <c r="O586" s="140" t="s">
        <v>1844</v>
      </c>
      <c r="P586" s="140" t="s">
        <v>1895</v>
      </c>
      <c r="Q586" s="140"/>
      <c r="R586" s="144"/>
      <c r="S586" s="140"/>
      <c r="T586" s="140"/>
      <c r="U586" s="140" t="s">
        <v>1845</v>
      </c>
      <c r="V586" s="140"/>
      <c r="W586" s="144"/>
      <c r="X586" s="136"/>
      <c r="Y586" s="128"/>
      <c r="Z586" s="140"/>
      <c r="AA586" s="144"/>
      <c r="AB586" s="144"/>
      <c r="AC586" s="144"/>
      <c r="AD586" s="144"/>
      <c r="AE586" s="144"/>
      <c r="AF586" s="136"/>
      <c r="AG586" s="140"/>
      <c r="AH586" s="136"/>
      <c r="AI586" s="128"/>
      <c r="AJ586" s="137"/>
      <c r="AK586" s="140"/>
      <c r="AL586" s="140"/>
    </row>
    <row r="587" ht="15.75" customHeight="1">
      <c r="A587" s="125">
        <v>586.0</v>
      </c>
      <c r="B587" s="123" t="s">
        <v>1742</v>
      </c>
      <c r="C587" s="250" t="s">
        <v>1840</v>
      </c>
      <c r="D587" s="122" t="s">
        <v>2125</v>
      </c>
      <c r="E587" s="125" t="s">
        <v>7</v>
      </c>
      <c r="F587" s="127" t="s">
        <v>2729</v>
      </c>
      <c r="G587" s="127" t="s">
        <v>1099</v>
      </c>
      <c r="H587" s="140" t="s">
        <v>1844</v>
      </c>
      <c r="I587" s="128" t="s">
        <v>1906</v>
      </c>
      <c r="J587" s="186" t="s">
        <v>1844</v>
      </c>
      <c r="K587" s="170" t="s">
        <v>1844</v>
      </c>
      <c r="L587" s="136" t="s">
        <v>1844</v>
      </c>
      <c r="M587" s="136" t="s">
        <v>1844</v>
      </c>
      <c r="N587" s="144" t="s">
        <v>1844</v>
      </c>
      <c r="O587" s="140" t="s">
        <v>1844</v>
      </c>
      <c r="P587" s="128" t="s">
        <v>1844</v>
      </c>
      <c r="Q587" s="140" t="s">
        <v>1845</v>
      </c>
      <c r="R587" s="140"/>
      <c r="S587" s="140"/>
      <c r="T587" s="140"/>
      <c r="U587" s="140"/>
      <c r="V587" s="140" t="s">
        <v>1845</v>
      </c>
      <c r="W587" s="144"/>
      <c r="X587" s="136"/>
      <c r="Y587" s="136"/>
      <c r="Z587" s="140"/>
      <c r="AA587" s="140"/>
      <c r="AB587" s="140"/>
      <c r="AC587" s="140"/>
      <c r="AD587" s="140"/>
      <c r="AE587" s="144"/>
      <c r="AF587" s="136"/>
      <c r="AG587" s="140"/>
      <c r="AH587" s="136"/>
      <c r="AI587" s="128"/>
      <c r="AJ587" s="137"/>
      <c r="AK587" s="140"/>
      <c r="AL587" s="140"/>
    </row>
    <row r="588" ht="15.75" customHeight="1">
      <c r="A588" s="125">
        <v>587.0</v>
      </c>
      <c r="B588" s="138">
        <f>SUM(A588+10000)</f>
        <v>10587</v>
      </c>
      <c r="C588" s="250" t="s">
        <v>1840</v>
      </c>
      <c r="D588" s="122" t="s">
        <v>2212</v>
      </c>
      <c r="E588" s="125" t="s">
        <v>7</v>
      </c>
      <c r="F588" s="127" t="s">
        <v>2730</v>
      </c>
      <c r="G588" s="127" t="s">
        <v>1101</v>
      </c>
      <c r="H588" s="140" t="s">
        <v>1844</v>
      </c>
      <c r="I588" s="128" t="s">
        <v>1843</v>
      </c>
      <c r="J588" s="186" t="s">
        <v>1844</v>
      </c>
      <c r="K588" s="136" t="s">
        <v>1844</v>
      </c>
      <c r="L588" s="136" t="s">
        <v>1844</v>
      </c>
      <c r="M588" s="136" t="s">
        <v>1844</v>
      </c>
      <c r="N588" s="136" t="s">
        <v>1844</v>
      </c>
      <c r="O588" s="128" t="s">
        <v>1844</v>
      </c>
      <c r="P588" s="128" t="s">
        <v>1844</v>
      </c>
      <c r="Q588" s="140"/>
      <c r="R588" s="144"/>
      <c r="S588" s="140" t="s">
        <v>1845</v>
      </c>
      <c r="T588" s="140" t="s">
        <v>1845</v>
      </c>
      <c r="U588" s="140"/>
      <c r="V588" s="140"/>
      <c r="W588" s="144" t="s">
        <v>1845</v>
      </c>
      <c r="X588" s="136"/>
      <c r="Y588" s="128"/>
      <c r="Z588" s="140"/>
      <c r="AA588" s="140"/>
      <c r="AB588" s="140"/>
      <c r="AC588" s="140"/>
      <c r="AD588" s="140"/>
      <c r="AE588" s="144"/>
      <c r="AF588" s="136"/>
      <c r="AG588" s="140"/>
      <c r="AH588" s="136"/>
      <c r="AI588" s="128"/>
      <c r="AJ588" s="137"/>
      <c r="AK588" s="140"/>
      <c r="AL588" s="140"/>
    </row>
    <row r="589" ht="15.75" customHeight="1">
      <c r="A589" s="125">
        <v>588.0</v>
      </c>
      <c r="B589" s="123" t="s">
        <v>1742</v>
      </c>
      <c r="C589" s="250" t="s">
        <v>1840</v>
      </c>
      <c r="D589" s="276" t="s">
        <v>2019</v>
      </c>
      <c r="E589" s="125" t="s">
        <v>7</v>
      </c>
      <c r="F589" s="127" t="s">
        <v>2660</v>
      </c>
      <c r="G589" s="277" t="s">
        <v>2731</v>
      </c>
      <c r="H589" s="140" t="s">
        <v>1844</v>
      </c>
      <c r="I589" s="128" t="s">
        <v>1843</v>
      </c>
      <c r="J589" s="186" t="s">
        <v>1844</v>
      </c>
      <c r="K589" s="128" t="s">
        <v>1844</v>
      </c>
      <c r="L589" s="128" t="s">
        <v>1844</v>
      </c>
      <c r="M589" s="128" t="s">
        <v>1844</v>
      </c>
      <c r="N589" s="140" t="s">
        <v>1844</v>
      </c>
      <c r="O589" s="128" t="s">
        <v>1844</v>
      </c>
      <c r="P589" s="128" t="s">
        <v>1844</v>
      </c>
      <c r="Q589" s="140" t="s">
        <v>1845</v>
      </c>
      <c r="R589" s="144"/>
      <c r="S589" s="140"/>
      <c r="T589" s="140"/>
      <c r="U589" s="140"/>
      <c r="V589" s="140"/>
      <c r="W589" s="144"/>
      <c r="X589" s="136" t="s">
        <v>1845</v>
      </c>
      <c r="Y589" s="128"/>
      <c r="Z589" s="140" t="s">
        <v>1845</v>
      </c>
      <c r="AA589" s="140"/>
      <c r="AB589" s="140"/>
      <c r="AC589" s="140"/>
      <c r="AD589" s="140"/>
      <c r="AE589" s="144"/>
      <c r="AF589" s="136"/>
      <c r="AG589" s="140"/>
      <c r="AH589" s="136"/>
      <c r="AI589" s="128"/>
      <c r="AJ589" s="137"/>
      <c r="AK589" s="140"/>
      <c r="AL589" s="140"/>
    </row>
    <row r="590" ht="15.75" customHeight="1">
      <c r="A590" s="122">
        <v>589.0</v>
      </c>
      <c r="B590" s="138">
        <f>SUM(A590+10000)</f>
        <v>10589</v>
      </c>
      <c r="C590" s="250" t="s">
        <v>1840</v>
      </c>
      <c r="D590" s="276" t="s">
        <v>2019</v>
      </c>
      <c r="E590" s="125" t="s">
        <v>7</v>
      </c>
      <c r="F590" s="127" t="s">
        <v>2732</v>
      </c>
      <c r="G590" s="277" t="s">
        <v>1105</v>
      </c>
      <c r="H590" s="140" t="s">
        <v>1844</v>
      </c>
      <c r="I590" s="128" t="s">
        <v>1843</v>
      </c>
      <c r="J590" s="186" t="s">
        <v>1844</v>
      </c>
      <c r="K590" s="136" t="s">
        <v>1844</v>
      </c>
      <c r="L590" s="136" t="s">
        <v>1844</v>
      </c>
      <c r="M590" s="136" t="s">
        <v>1844</v>
      </c>
      <c r="N590" s="144" t="s">
        <v>1844</v>
      </c>
      <c r="O590" s="128" t="s">
        <v>1844</v>
      </c>
      <c r="P590" s="128" t="s">
        <v>1844</v>
      </c>
      <c r="Q590" s="140"/>
      <c r="R590" s="144"/>
      <c r="S590" s="140" t="s">
        <v>1845</v>
      </c>
      <c r="T590" s="140"/>
      <c r="U590" s="140"/>
      <c r="V590" s="140"/>
      <c r="W590" s="144"/>
      <c r="X590" s="136"/>
      <c r="Y590" s="128"/>
      <c r="Z590" s="140" t="s">
        <v>1845</v>
      </c>
      <c r="AA590" s="140"/>
      <c r="AB590" s="140"/>
      <c r="AC590" s="140"/>
      <c r="AD590" s="140"/>
      <c r="AE590" s="144"/>
      <c r="AF590" s="136"/>
      <c r="AG590" s="140"/>
      <c r="AH590" s="136"/>
      <c r="AI590" s="128"/>
      <c r="AJ590" s="137"/>
      <c r="AK590" s="140"/>
      <c r="AL590" s="140"/>
    </row>
    <row r="591" ht="15.75" customHeight="1">
      <c r="A591" s="122">
        <v>590.0</v>
      </c>
      <c r="B591" s="123" t="s">
        <v>1742</v>
      </c>
      <c r="C591" s="250" t="s">
        <v>2733</v>
      </c>
      <c r="D591" s="122" t="s">
        <v>1841</v>
      </c>
      <c r="E591" s="125" t="s">
        <v>7</v>
      </c>
      <c r="F591" s="220" t="s">
        <v>2734</v>
      </c>
      <c r="G591" s="127" t="s">
        <v>2735</v>
      </c>
      <c r="H591" s="140" t="s">
        <v>1844</v>
      </c>
      <c r="I591" s="128" t="s">
        <v>1843</v>
      </c>
      <c r="J591" s="186" t="s">
        <v>1844</v>
      </c>
      <c r="K591" s="136" t="s">
        <v>1844</v>
      </c>
      <c r="L591" s="136" t="s">
        <v>1844</v>
      </c>
      <c r="M591" s="136" t="s">
        <v>1844</v>
      </c>
      <c r="N591" s="144" t="s">
        <v>1844</v>
      </c>
      <c r="O591" s="128" t="s">
        <v>1844</v>
      </c>
      <c r="P591" s="128" t="s">
        <v>1844</v>
      </c>
      <c r="Q591" s="140" t="s">
        <v>1845</v>
      </c>
      <c r="R591" s="144"/>
      <c r="S591" s="140" t="s">
        <v>1845</v>
      </c>
      <c r="T591" s="140"/>
      <c r="U591" s="140"/>
      <c r="V591" s="140"/>
      <c r="W591" s="144"/>
      <c r="X591" s="136" t="s">
        <v>1845</v>
      </c>
      <c r="Y591" s="128"/>
      <c r="Z591" s="140"/>
      <c r="AA591" s="140"/>
      <c r="AB591" s="140"/>
      <c r="AC591" s="140"/>
      <c r="AD591" s="140"/>
      <c r="AE591" s="144"/>
      <c r="AF591" s="136"/>
      <c r="AG591" s="140"/>
      <c r="AH591" s="136"/>
      <c r="AI591" s="128"/>
      <c r="AJ591" s="137"/>
      <c r="AK591" s="140"/>
      <c r="AL591" s="140"/>
    </row>
    <row r="592" ht="15.75" customHeight="1">
      <c r="A592" s="125">
        <v>591.0</v>
      </c>
      <c r="B592" s="138">
        <f>SUM(A592+10000)</f>
        <v>10591</v>
      </c>
      <c r="C592" s="250" t="s">
        <v>1840</v>
      </c>
      <c r="D592" s="122" t="s">
        <v>2581</v>
      </c>
      <c r="E592" s="125" t="s">
        <v>34</v>
      </c>
      <c r="F592" s="126" t="s">
        <v>2736</v>
      </c>
      <c r="G592" s="127" t="s">
        <v>1109</v>
      </c>
      <c r="H592" s="140" t="s">
        <v>1844</v>
      </c>
      <c r="I592" s="128" t="s">
        <v>1843</v>
      </c>
      <c r="J592" s="186" t="s">
        <v>1876</v>
      </c>
      <c r="K592" s="136" t="s">
        <v>2348</v>
      </c>
      <c r="L592" s="136" t="s">
        <v>1878</v>
      </c>
      <c r="M592" s="136" t="s">
        <v>1845</v>
      </c>
      <c r="N592" s="144" t="s">
        <v>1844</v>
      </c>
      <c r="O592" s="128" t="s">
        <v>1879</v>
      </c>
      <c r="P592" s="128" t="s">
        <v>1862</v>
      </c>
      <c r="Q592" s="140"/>
      <c r="R592" s="144"/>
      <c r="S592" s="140" t="s">
        <v>1845</v>
      </c>
      <c r="T592" s="140"/>
      <c r="U592" s="140"/>
      <c r="V592" s="140"/>
      <c r="W592" s="144" t="s">
        <v>1845</v>
      </c>
      <c r="X592" s="136"/>
      <c r="Y592" s="128"/>
      <c r="Z592" s="140"/>
      <c r="AA592" s="140"/>
      <c r="AB592" s="140"/>
      <c r="AC592" s="140"/>
      <c r="AD592" s="140"/>
      <c r="AE592" s="144"/>
      <c r="AF592" s="136"/>
      <c r="AG592" s="140"/>
      <c r="AH592" s="136"/>
      <c r="AI592" s="128"/>
      <c r="AJ592" s="137"/>
      <c r="AK592" s="140"/>
      <c r="AL592" s="140"/>
    </row>
    <row r="593" ht="15.75" customHeight="1">
      <c r="A593" s="125">
        <v>592.0</v>
      </c>
      <c r="B593" s="123" t="s">
        <v>1742</v>
      </c>
      <c r="C593" s="250" t="s">
        <v>2733</v>
      </c>
      <c r="D593" s="122" t="s">
        <v>1841</v>
      </c>
      <c r="E593" s="125" t="s">
        <v>34</v>
      </c>
      <c r="F593" s="127" t="s">
        <v>2737</v>
      </c>
      <c r="G593" s="127" t="s">
        <v>2738</v>
      </c>
      <c r="H593" s="140" t="s">
        <v>1844</v>
      </c>
      <c r="I593" s="128" t="s">
        <v>1843</v>
      </c>
      <c r="J593" s="186" t="s">
        <v>1876</v>
      </c>
      <c r="K593" s="136" t="s">
        <v>2348</v>
      </c>
      <c r="L593" s="136" t="s">
        <v>1878</v>
      </c>
      <c r="M593" s="136" t="s">
        <v>1845</v>
      </c>
      <c r="N593" s="144" t="s">
        <v>1844</v>
      </c>
      <c r="O593" s="128" t="s">
        <v>1879</v>
      </c>
      <c r="P593" s="128" t="s">
        <v>1862</v>
      </c>
      <c r="Q593" s="140" t="s">
        <v>1845</v>
      </c>
      <c r="R593" s="144"/>
      <c r="S593" s="140" t="s">
        <v>1845</v>
      </c>
      <c r="T593" s="140"/>
      <c r="U593" s="140"/>
      <c r="V593" s="140"/>
      <c r="W593" s="144"/>
      <c r="X593" s="136"/>
      <c r="Y593" s="128"/>
      <c r="Z593" s="140"/>
      <c r="AA593" s="140"/>
      <c r="AB593" s="140"/>
      <c r="AC593" s="140"/>
      <c r="AD593" s="140"/>
      <c r="AE593" s="144"/>
      <c r="AF593" s="136"/>
      <c r="AG593" s="140"/>
      <c r="AH593" s="136"/>
      <c r="AI593" s="128"/>
      <c r="AJ593" s="137"/>
      <c r="AK593" s="140"/>
      <c r="AL593" s="140"/>
    </row>
    <row r="594" ht="15.75" customHeight="1">
      <c r="A594" s="125">
        <v>593.0</v>
      </c>
      <c r="B594" s="138">
        <f t="shared" ref="B594:B603" si="59">SUM(A594+10000)</f>
        <v>10593</v>
      </c>
      <c r="C594" s="278" t="s">
        <v>2733</v>
      </c>
      <c r="D594" s="122" t="s">
        <v>1841</v>
      </c>
      <c r="E594" s="122" t="s">
        <v>20</v>
      </c>
      <c r="F594" s="127" t="s">
        <v>2739</v>
      </c>
      <c r="G594" s="126" t="s">
        <v>1113</v>
      </c>
      <c r="H594" s="140" t="s">
        <v>1844</v>
      </c>
      <c r="I594" s="128" t="s">
        <v>1843</v>
      </c>
      <c r="J594" s="186" t="s">
        <v>1844</v>
      </c>
      <c r="K594" s="136" t="s">
        <v>1844</v>
      </c>
      <c r="L594" s="136" t="s">
        <v>1844</v>
      </c>
      <c r="M594" s="136" t="s">
        <v>1845</v>
      </c>
      <c r="N594" s="144" t="s">
        <v>1844</v>
      </c>
      <c r="O594" s="128" t="s">
        <v>1844</v>
      </c>
      <c r="P594" s="128" t="s">
        <v>1862</v>
      </c>
      <c r="Q594" s="140"/>
      <c r="R594" s="144"/>
      <c r="S594" s="140" t="s">
        <v>1845</v>
      </c>
      <c r="T594" s="140"/>
      <c r="U594" s="140"/>
      <c r="V594" s="140"/>
      <c r="W594" s="144"/>
      <c r="X594" s="136"/>
      <c r="Y594" s="128"/>
      <c r="Z594" s="140"/>
      <c r="AA594" s="140"/>
      <c r="AB594" s="140"/>
      <c r="AC594" s="140"/>
      <c r="AD594" s="140"/>
      <c r="AE594" s="144"/>
      <c r="AF594" s="136"/>
      <c r="AG594" s="140"/>
      <c r="AH594" s="136"/>
      <c r="AI594" s="128"/>
      <c r="AJ594" s="137"/>
      <c r="AK594" s="140"/>
      <c r="AL594" s="140"/>
    </row>
    <row r="595" ht="15.75" customHeight="1">
      <c r="A595" s="125">
        <v>594.0</v>
      </c>
      <c r="B595" s="138">
        <f t="shared" si="59"/>
        <v>10594</v>
      </c>
      <c r="C595" s="278" t="s">
        <v>2733</v>
      </c>
      <c r="D595" s="122" t="s">
        <v>1841</v>
      </c>
      <c r="E595" s="125" t="s">
        <v>20</v>
      </c>
      <c r="F595" s="126" t="s">
        <v>2740</v>
      </c>
      <c r="G595" s="126" t="s">
        <v>1115</v>
      </c>
      <c r="H595" s="140" t="s">
        <v>1844</v>
      </c>
      <c r="I595" s="128" t="s">
        <v>1843</v>
      </c>
      <c r="J595" s="186" t="s">
        <v>1844</v>
      </c>
      <c r="K595" s="136" t="s">
        <v>1844</v>
      </c>
      <c r="L595" s="136" t="s">
        <v>1844</v>
      </c>
      <c r="M595" s="136" t="s">
        <v>1845</v>
      </c>
      <c r="N595" s="144" t="s">
        <v>1844</v>
      </c>
      <c r="O595" s="128" t="s">
        <v>1844</v>
      </c>
      <c r="P595" s="128" t="s">
        <v>1862</v>
      </c>
      <c r="Q595" s="140"/>
      <c r="R595" s="144"/>
      <c r="S595" s="140" t="s">
        <v>1845</v>
      </c>
      <c r="T595" s="140"/>
      <c r="U595" s="140"/>
      <c r="V595" s="140"/>
      <c r="W595" s="144"/>
      <c r="X595" s="136"/>
      <c r="Y595" s="128"/>
      <c r="Z595" s="140"/>
      <c r="AA595" s="140"/>
      <c r="AB595" s="140"/>
      <c r="AC595" s="140"/>
      <c r="AD595" s="140"/>
      <c r="AE595" s="144"/>
      <c r="AF595" s="136"/>
      <c r="AG595" s="140"/>
      <c r="AH595" s="136"/>
      <c r="AI595" s="128"/>
      <c r="AJ595" s="137"/>
      <c r="AK595" s="140"/>
      <c r="AL595" s="140"/>
    </row>
    <row r="596" ht="15.75" customHeight="1">
      <c r="A596" s="125">
        <v>595.0</v>
      </c>
      <c r="B596" s="138">
        <f t="shared" si="59"/>
        <v>10595</v>
      </c>
      <c r="C596" s="250" t="s">
        <v>1840</v>
      </c>
      <c r="D596" s="122" t="s">
        <v>2069</v>
      </c>
      <c r="E596" s="125" t="s">
        <v>34</v>
      </c>
      <c r="F596" s="126" t="s">
        <v>2741</v>
      </c>
      <c r="G596" s="126" t="s">
        <v>1117</v>
      </c>
      <c r="H596" s="140" t="s">
        <v>1844</v>
      </c>
      <c r="I596" s="128" t="s">
        <v>1843</v>
      </c>
      <c r="J596" s="186" t="s">
        <v>1876</v>
      </c>
      <c r="K596" s="136" t="s">
        <v>2348</v>
      </c>
      <c r="L596" s="136" t="s">
        <v>1878</v>
      </c>
      <c r="M596" s="136" t="s">
        <v>1845</v>
      </c>
      <c r="N596" s="144" t="s">
        <v>1844</v>
      </c>
      <c r="O596" s="128" t="s">
        <v>1879</v>
      </c>
      <c r="P596" s="128" t="s">
        <v>1895</v>
      </c>
      <c r="Q596" s="140"/>
      <c r="R596" s="144"/>
      <c r="S596" s="140" t="s">
        <v>1845</v>
      </c>
      <c r="T596" s="140"/>
      <c r="U596" s="140"/>
      <c r="V596" s="140"/>
      <c r="W596" s="144"/>
      <c r="X596" s="136" t="s">
        <v>1845</v>
      </c>
      <c r="Y596" s="128"/>
      <c r="Z596" s="140"/>
      <c r="AA596" s="140"/>
      <c r="AB596" s="140"/>
      <c r="AC596" s="140"/>
      <c r="AD596" s="140"/>
      <c r="AE596" s="144"/>
      <c r="AF596" s="136"/>
      <c r="AG596" s="140"/>
      <c r="AH596" s="136"/>
      <c r="AI596" s="128"/>
      <c r="AJ596" s="137"/>
      <c r="AK596" s="140"/>
      <c r="AL596" s="140"/>
    </row>
    <row r="597" ht="15.75" customHeight="1">
      <c r="A597" s="125">
        <v>596.0</v>
      </c>
      <c r="B597" s="138">
        <f t="shared" si="59"/>
        <v>10596</v>
      </c>
      <c r="C597" s="250" t="s">
        <v>1840</v>
      </c>
      <c r="D597" s="122" t="s">
        <v>2434</v>
      </c>
      <c r="E597" s="122" t="s">
        <v>7</v>
      </c>
      <c r="F597" s="153" t="s">
        <v>2742</v>
      </c>
      <c r="G597" s="269" t="s">
        <v>1119</v>
      </c>
      <c r="H597" s="140" t="s">
        <v>1844</v>
      </c>
      <c r="I597" s="128" t="s">
        <v>1906</v>
      </c>
      <c r="J597" s="186" t="s">
        <v>1844</v>
      </c>
      <c r="K597" s="136" t="s">
        <v>1844</v>
      </c>
      <c r="L597" s="136" t="s">
        <v>1844</v>
      </c>
      <c r="M597" s="136" t="s">
        <v>1844</v>
      </c>
      <c r="N597" s="144" t="s">
        <v>1844</v>
      </c>
      <c r="O597" s="128" t="s">
        <v>1844</v>
      </c>
      <c r="P597" s="128" t="s">
        <v>1844</v>
      </c>
      <c r="Q597" s="140"/>
      <c r="R597" s="144"/>
      <c r="S597" s="140"/>
      <c r="T597" s="140"/>
      <c r="U597" s="140" t="s">
        <v>1845</v>
      </c>
      <c r="V597" s="140"/>
      <c r="W597" s="144"/>
      <c r="X597" s="136"/>
      <c r="Y597" s="128"/>
      <c r="Z597" s="140"/>
      <c r="AA597" s="140"/>
      <c r="AB597" s="140"/>
      <c r="AC597" s="140"/>
      <c r="AD597" s="140"/>
      <c r="AE597" s="144"/>
      <c r="AF597" s="136" t="s">
        <v>1845</v>
      </c>
      <c r="AG597" s="140"/>
      <c r="AH597" s="136"/>
      <c r="AI597" s="128"/>
      <c r="AJ597" s="137"/>
      <c r="AK597" s="140"/>
      <c r="AL597" s="140"/>
    </row>
    <row r="598" ht="15.75" customHeight="1">
      <c r="A598" s="125">
        <v>597.0</v>
      </c>
      <c r="B598" s="138">
        <f t="shared" si="59"/>
        <v>10597</v>
      </c>
      <c r="C598" s="278" t="s">
        <v>1840</v>
      </c>
      <c r="D598" s="122" t="s">
        <v>2099</v>
      </c>
      <c r="E598" s="122" t="s">
        <v>34</v>
      </c>
      <c r="F598" s="279" t="s">
        <v>2743</v>
      </c>
      <c r="G598" s="126" t="s">
        <v>1121</v>
      </c>
      <c r="H598" s="128" t="s">
        <v>1844</v>
      </c>
      <c r="I598" s="128" t="s">
        <v>1843</v>
      </c>
      <c r="J598" s="186" t="s">
        <v>1876</v>
      </c>
      <c r="K598" s="136" t="s">
        <v>1877</v>
      </c>
      <c r="L598" s="136" t="s">
        <v>1844</v>
      </c>
      <c r="M598" s="136" t="s">
        <v>1845</v>
      </c>
      <c r="N598" s="144">
        <v>1.0</v>
      </c>
      <c r="O598" s="128" t="s">
        <v>1879</v>
      </c>
      <c r="P598" s="128" t="s">
        <v>1862</v>
      </c>
      <c r="Q598" s="128"/>
      <c r="R598" s="144"/>
      <c r="S598" s="128" t="s">
        <v>1845</v>
      </c>
      <c r="T598" s="128"/>
      <c r="U598" s="128"/>
      <c r="V598" s="128"/>
      <c r="W598" s="144"/>
      <c r="X598" s="136"/>
      <c r="Y598" s="128"/>
      <c r="Z598" s="128"/>
      <c r="AA598" s="128"/>
      <c r="AB598" s="140"/>
      <c r="AC598" s="140"/>
      <c r="AD598" s="140"/>
      <c r="AE598" s="144"/>
      <c r="AF598" s="144"/>
      <c r="AG598" s="140"/>
      <c r="AH598" s="136"/>
      <c r="AI598" s="128"/>
      <c r="AJ598" s="137"/>
      <c r="AK598" s="140"/>
      <c r="AL598" s="140"/>
    </row>
    <row r="599" ht="15.75" customHeight="1">
      <c r="A599" s="125">
        <v>598.0</v>
      </c>
      <c r="B599" s="138">
        <f t="shared" si="59"/>
        <v>10598</v>
      </c>
      <c r="C599" s="278" t="s">
        <v>1840</v>
      </c>
      <c r="D599" s="122" t="s">
        <v>2099</v>
      </c>
      <c r="E599" s="125" t="s">
        <v>34</v>
      </c>
      <c r="F599" s="225" t="s">
        <v>2744</v>
      </c>
      <c r="G599" s="127" t="s">
        <v>1123</v>
      </c>
      <c r="H599" s="128" t="s">
        <v>1844</v>
      </c>
      <c r="I599" s="128" t="s">
        <v>1843</v>
      </c>
      <c r="J599" s="186" t="s">
        <v>1876</v>
      </c>
      <c r="K599" s="136" t="s">
        <v>1877</v>
      </c>
      <c r="L599" s="136" t="s">
        <v>1844</v>
      </c>
      <c r="M599" s="136" t="s">
        <v>1845</v>
      </c>
      <c r="N599" s="144" t="s">
        <v>1903</v>
      </c>
      <c r="O599" s="128" t="s">
        <v>1879</v>
      </c>
      <c r="P599" s="128" t="s">
        <v>1862</v>
      </c>
      <c r="Q599" s="128"/>
      <c r="R599" s="144"/>
      <c r="S599" s="128" t="s">
        <v>1845</v>
      </c>
      <c r="T599" s="128"/>
      <c r="U599" s="128"/>
      <c r="V599" s="128"/>
      <c r="W599" s="144"/>
      <c r="X599" s="136"/>
      <c r="Y599" s="136"/>
      <c r="Z599" s="128"/>
      <c r="AA599" s="128"/>
      <c r="AB599" s="140"/>
      <c r="AC599" s="140"/>
      <c r="AD599" s="140"/>
      <c r="AE599" s="140"/>
      <c r="AF599" s="140"/>
      <c r="AG599" s="140"/>
      <c r="AH599" s="140"/>
      <c r="AI599" s="128"/>
      <c r="AJ599" s="137"/>
      <c r="AK599" s="140"/>
      <c r="AL599" s="140"/>
    </row>
    <row r="600" ht="15.75" customHeight="1">
      <c r="A600" s="125">
        <v>599.0</v>
      </c>
      <c r="B600" s="138">
        <f t="shared" si="59"/>
        <v>10599</v>
      </c>
      <c r="C600" s="278" t="s">
        <v>1840</v>
      </c>
      <c r="D600" s="122" t="s">
        <v>1841</v>
      </c>
      <c r="E600" s="125" t="s">
        <v>7</v>
      </c>
      <c r="F600" s="280" t="s">
        <v>2745</v>
      </c>
      <c r="G600" s="127" t="s">
        <v>1124</v>
      </c>
      <c r="H600" s="128" t="s">
        <v>1844</v>
      </c>
      <c r="I600" s="128" t="s">
        <v>1906</v>
      </c>
      <c r="J600" s="186" t="s">
        <v>1844</v>
      </c>
      <c r="K600" s="136" t="s">
        <v>1844</v>
      </c>
      <c r="L600" s="136" t="s">
        <v>1844</v>
      </c>
      <c r="M600" s="136" t="s">
        <v>1844</v>
      </c>
      <c r="N600" s="144" t="s">
        <v>1844</v>
      </c>
      <c r="O600" s="128" t="s">
        <v>1844</v>
      </c>
      <c r="P600" s="128" t="s">
        <v>1844</v>
      </c>
      <c r="Q600" s="128"/>
      <c r="R600" s="144"/>
      <c r="S600" s="128"/>
      <c r="T600" s="128"/>
      <c r="U600" s="128"/>
      <c r="V600" s="128" t="s">
        <v>1845</v>
      </c>
      <c r="W600" s="144"/>
      <c r="X600" s="136"/>
      <c r="Y600" s="136"/>
      <c r="Z600" s="128"/>
      <c r="AA600" s="128" t="s">
        <v>1845</v>
      </c>
      <c r="AB600" s="140"/>
      <c r="AC600" s="140"/>
      <c r="AD600" s="140"/>
      <c r="AE600" s="140"/>
      <c r="AF600" s="140"/>
      <c r="AG600" s="140"/>
      <c r="AH600" s="140"/>
      <c r="AI600" s="128"/>
      <c r="AJ600" s="137"/>
      <c r="AK600" s="140"/>
      <c r="AL600" s="140"/>
    </row>
    <row r="601" ht="15.75" customHeight="1">
      <c r="A601" s="125">
        <v>600.0</v>
      </c>
      <c r="B601" s="138">
        <f t="shared" si="59"/>
        <v>10600</v>
      </c>
      <c r="C601" s="278" t="s">
        <v>1840</v>
      </c>
      <c r="D601" s="122" t="s">
        <v>2099</v>
      </c>
      <c r="E601" s="122" t="s">
        <v>7</v>
      </c>
      <c r="F601" s="198" t="s">
        <v>2746</v>
      </c>
      <c r="G601" s="126" t="s">
        <v>1126</v>
      </c>
      <c r="H601" s="128" t="s">
        <v>1844</v>
      </c>
      <c r="I601" s="129" t="s">
        <v>1843</v>
      </c>
      <c r="J601" s="143" t="s">
        <v>1844</v>
      </c>
      <c r="K601" s="132" t="s">
        <v>1844</v>
      </c>
      <c r="L601" s="132" t="s">
        <v>1844</v>
      </c>
      <c r="M601" s="132" t="s">
        <v>1844</v>
      </c>
      <c r="N601" s="131" t="s">
        <v>1844</v>
      </c>
      <c r="O601" s="129" t="s">
        <v>1844</v>
      </c>
      <c r="P601" s="129" t="s">
        <v>1844</v>
      </c>
      <c r="Q601" s="129"/>
      <c r="R601" s="132"/>
      <c r="S601" s="129" t="s">
        <v>1845</v>
      </c>
      <c r="T601" s="129"/>
      <c r="U601" s="129"/>
      <c r="V601" s="129"/>
      <c r="W601" s="132"/>
      <c r="X601" s="132"/>
      <c r="Y601" s="129"/>
      <c r="Z601" s="129"/>
      <c r="AA601" s="129"/>
      <c r="AB601" s="129"/>
      <c r="AC601" s="129"/>
      <c r="AD601" s="129"/>
      <c r="AE601" s="129"/>
      <c r="AF601" s="129"/>
      <c r="AG601" s="128"/>
      <c r="AH601" s="140"/>
      <c r="AI601" s="128"/>
      <c r="AJ601" s="137"/>
      <c r="AK601" s="140"/>
      <c r="AL601" s="140"/>
    </row>
    <row r="602" ht="15.75" customHeight="1">
      <c r="A602" s="122">
        <v>601.0</v>
      </c>
      <c r="B602" s="138">
        <f t="shared" si="59"/>
        <v>10601</v>
      </c>
      <c r="C602" s="250" t="s">
        <v>1840</v>
      </c>
      <c r="D602" s="122" t="s">
        <v>2212</v>
      </c>
      <c r="E602" s="125" t="s">
        <v>7</v>
      </c>
      <c r="F602" s="126" t="s">
        <v>2747</v>
      </c>
      <c r="G602" s="127" t="s">
        <v>1128</v>
      </c>
      <c r="H602" s="128" t="s">
        <v>1844</v>
      </c>
      <c r="I602" s="128" t="s">
        <v>1906</v>
      </c>
      <c r="J602" s="130" t="s">
        <v>1844</v>
      </c>
      <c r="K602" s="129" t="s">
        <v>1844</v>
      </c>
      <c r="L602" s="129" t="s">
        <v>1844</v>
      </c>
      <c r="M602" s="129" t="s">
        <v>1844</v>
      </c>
      <c r="N602" s="131" t="s">
        <v>1844</v>
      </c>
      <c r="O602" s="132" t="s">
        <v>1844</v>
      </c>
      <c r="P602" s="132" t="s">
        <v>1844</v>
      </c>
      <c r="Q602" s="136"/>
      <c r="R602" s="144"/>
      <c r="S602" s="136" t="s">
        <v>1845</v>
      </c>
      <c r="T602" s="136"/>
      <c r="U602" s="136" t="s">
        <v>1845</v>
      </c>
      <c r="V602" s="136" t="s">
        <v>1845</v>
      </c>
      <c r="W602" s="144"/>
      <c r="X602" s="128"/>
      <c r="Y602" s="128"/>
      <c r="Z602" s="128"/>
      <c r="AA602" s="144"/>
      <c r="AB602" s="136"/>
      <c r="AC602" s="136"/>
      <c r="AD602" s="136"/>
      <c r="AE602" s="136"/>
      <c r="AF602" s="136"/>
      <c r="AG602" s="136"/>
      <c r="AH602" s="136"/>
      <c r="AI602" s="128"/>
      <c r="AJ602" s="137"/>
      <c r="AK602" s="140"/>
      <c r="AL602" s="140"/>
    </row>
    <row r="603" ht="15.75" customHeight="1">
      <c r="A603" s="160">
        <v>602.0</v>
      </c>
      <c r="B603" s="158">
        <f t="shared" si="59"/>
        <v>10602</v>
      </c>
      <c r="C603" s="281" t="s">
        <v>1840</v>
      </c>
      <c r="D603" s="157" t="s">
        <v>2125</v>
      </c>
      <c r="E603" s="160" t="s">
        <v>34</v>
      </c>
      <c r="F603" s="162" t="s">
        <v>2324</v>
      </c>
      <c r="G603" s="161" t="s">
        <v>1130</v>
      </c>
      <c r="H603" s="164" t="s">
        <v>1844</v>
      </c>
      <c r="I603" s="164" t="s">
        <v>1906</v>
      </c>
      <c r="J603" s="165" t="s">
        <v>1876</v>
      </c>
      <c r="K603" s="164" t="s">
        <v>1877</v>
      </c>
      <c r="L603" s="164" t="s">
        <v>1878</v>
      </c>
      <c r="M603" s="164" t="s">
        <v>1845</v>
      </c>
      <c r="N603" s="166">
        <v>1.0</v>
      </c>
      <c r="O603" s="168" t="s">
        <v>1879</v>
      </c>
      <c r="P603" s="168" t="s">
        <v>1862</v>
      </c>
      <c r="Q603" s="164"/>
      <c r="R603" s="166"/>
      <c r="S603" s="164"/>
      <c r="T603" s="164"/>
      <c r="U603" s="164"/>
      <c r="V603" s="164"/>
      <c r="W603" s="166"/>
      <c r="X603" s="168"/>
      <c r="Y603" s="164"/>
      <c r="Z603" s="164"/>
      <c r="AA603" s="167"/>
      <c r="AB603" s="168"/>
      <c r="AC603" s="168"/>
      <c r="AD603" s="168"/>
      <c r="AE603" s="168"/>
      <c r="AF603" s="168"/>
      <c r="AG603" s="168"/>
      <c r="AH603" s="168"/>
      <c r="AI603" s="164"/>
      <c r="AJ603" s="169"/>
      <c r="AK603" s="167"/>
      <c r="AL603" s="167"/>
    </row>
    <row r="604" ht="15.75" customHeight="1">
      <c r="A604" s="125">
        <v>603.0</v>
      </c>
      <c r="B604" s="123" t="s">
        <v>1742</v>
      </c>
      <c r="C604" s="250" t="s">
        <v>1840</v>
      </c>
      <c r="D604" s="122" t="s">
        <v>2462</v>
      </c>
      <c r="E604" s="122" t="s">
        <v>7</v>
      </c>
      <c r="F604" s="127" t="s">
        <v>2748</v>
      </c>
      <c r="G604" s="126" t="s">
        <v>2749</v>
      </c>
      <c r="H604" s="128" t="s">
        <v>1844</v>
      </c>
      <c r="I604" s="128" t="s">
        <v>1906</v>
      </c>
      <c r="J604" s="143" t="s">
        <v>1844</v>
      </c>
      <c r="K604" s="136" t="s">
        <v>1844</v>
      </c>
      <c r="L604" s="132" t="s">
        <v>1844</v>
      </c>
      <c r="M604" s="132" t="s">
        <v>1844</v>
      </c>
      <c r="N604" s="131" t="s">
        <v>1844</v>
      </c>
      <c r="O604" s="128" t="s">
        <v>1844</v>
      </c>
      <c r="P604" s="128" t="s">
        <v>1844</v>
      </c>
      <c r="Q604" s="128" t="s">
        <v>1845</v>
      </c>
      <c r="R604" s="144"/>
      <c r="S604" s="128"/>
      <c r="T604" s="128"/>
      <c r="U604" s="128"/>
      <c r="V604" s="128" t="s">
        <v>1845</v>
      </c>
      <c r="W604" s="144"/>
      <c r="X604" s="136"/>
      <c r="Y604" s="128"/>
      <c r="Z604" s="128"/>
      <c r="AA604" s="140"/>
      <c r="AB604" s="136" t="s">
        <v>1845</v>
      </c>
      <c r="AC604" s="136"/>
      <c r="AD604" s="136"/>
      <c r="AE604" s="136"/>
      <c r="AF604" s="136"/>
      <c r="AG604" s="136"/>
      <c r="AH604" s="136"/>
      <c r="AI604" s="128"/>
      <c r="AJ604" s="137"/>
      <c r="AK604" s="140"/>
      <c r="AL604" s="140"/>
    </row>
    <row r="605" ht="15.75" customHeight="1">
      <c r="A605" s="125">
        <v>604.0</v>
      </c>
      <c r="B605" s="138">
        <f>SUM(A605+10000)</f>
        <v>10604</v>
      </c>
      <c r="C605" s="250" t="s">
        <v>1840</v>
      </c>
      <c r="D605" s="122" t="s">
        <v>2019</v>
      </c>
      <c r="E605" s="122" t="s">
        <v>7</v>
      </c>
      <c r="F605" s="127" t="s">
        <v>2750</v>
      </c>
      <c r="G605" s="126" t="s">
        <v>1134</v>
      </c>
      <c r="H605" s="128" t="s">
        <v>1844</v>
      </c>
      <c r="I605" s="128" t="s">
        <v>1843</v>
      </c>
      <c r="J605" s="143" t="s">
        <v>1844</v>
      </c>
      <c r="K605" s="136" t="s">
        <v>1844</v>
      </c>
      <c r="L605" s="132" t="s">
        <v>1844</v>
      </c>
      <c r="M605" s="132" t="s">
        <v>1844</v>
      </c>
      <c r="N605" s="131" t="s">
        <v>1844</v>
      </c>
      <c r="O605" s="128" t="s">
        <v>1844</v>
      </c>
      <c r="P605" s="128" t="s">
        <v>1844</v>
      </c>
      <c r="Q605" s="128"/>
      <c r="R605" s="144"/>
      <c r="S605" s="128"/>
      <c r="T605" s="128" t="s">
        <v>1845</v>
      </c>
      <c r="U605" s="128"/>
      <c r="V605" s="128"/>
      <c r="W605" s="144"/>
      <c r="X605" s="136"/>
      <c r="Y605" s="128"/>
      <c r="Z605" s="128" t="s">
        <v>1845</v>
      </c>
      <c r="AA605" s="140"/>
      <c r="AB605" s="136"/>
      <c r="AC605" s="136"/>
      <c r="AD605" s="136"/>
      <c r="AE605" s="136"/>
      <c r="AF605" s="136"/>
      <c r="AG605" s="136"/>
      <c r="AH605" s="136"/>
      <c r="AI605" s="128"/>
      <c r="AJ605" s="137"/>
      <c r="AK605" s="140"/>
      <c r="AL605" s="140"/>
    </row>
    <row r="606" ht="15.75" customHeight="1">
      <c r="A606" s="125">
        <v>605.0</v>
      </c>
      <c r="B606" s="123" t="s">
        <v>1742</v>
      </c>
      <c r="C606" s="278" t="s">
        <v>1840</v>
      </c>
      <c r="D606" s="122" t="s">
        <v>1841</v>
      </c>
      <c r="E606" s="122" t="s">
        <v>7</v>
      </c>
      <c r="F606" s="127" t="s">
        <v>2751</v>
      </c>
      <c r="G606" s="126" t="s">
        <v>2752</v>
      </c>
      <c r="H606" s="128" t="s">
        <v>1844</v>
      </c>
      <c r="I606" s="128" t="s">
        <v>1906</v>
      </c>
      <c r="J606" s="143" t="s">
        <v>1844</v>
      </c>
      <c r="K606" s="136" t="s">
        <v>1844</v>
      </c>
      <c r="L606" s="132" t="s">
        <v>1844</v>
      </c>
      <c r="M606" s="132" t="s">
        <v>1844</v>
      </c>
      <c r="N606" s="131" t="s">
        <v>1844</v>
      </c>
      <c r="O606" s="128" t="s">
        <v>1844</v>
      </c>
      <c r="P606" s="128" t="s">
        <v>1844</v>
      </c>
      <c r="Q606" s="128" t="s">
        <v>1845</v>
      </c>
      <c r="R606" s="144"/>
      <c r="S606" s="128"/>
      <c r="T606" s="128"/>
      <c r="U606" s="128"/>
      <c r="V606" s="128" t="s">
        <v>1845</v>
      </c>
      <c r="W606" s="144"/>
      <c r="X606" s="136"/>
      <c r="Y606" s="128"/>
      <c r="Z606" s="128"/>
      <c r="AA606" s="140"/>
      <c r="AB606" s="136"/>
      <c r="AC606" s="136"/>
      <c r="AD606" s="136"/>
      <c r="AE606" s="136" t="s">
        <v>1845</v>
      </c>
      <c r="AF606" s="136"/>
      <c r="AG606" s="136"/>
      <c r="AH606" s="136"/>
      <c r="AI606" s="128"/>
      <c r="AJ606" s="137"/>
      <c r="AK606" s="140"/>
      <c r="AL606" s="140"/>
    </row>
    <row r="607" ht="15.75" customHeight="1">
      <c r="A607" s="125">
        <v>606.0</v>
      </c>
      <c r="B607" s="138">
        <f t="shared" ref="B607:B615" si="60">SUM(A607+10000)</f>
        <v>10606</v>
      </c>
      <c r="C607" s="278" t="s">
        <v>1840</v>
      </c>
      <c r="D607" s="122" t="s">
        <v>2099</v>
      </c>
      <c r="E607" s="122" t="s">
        <v>7</v>
      </c>
      <c r="F607" s="127" t="s">
        <v>2753</v>
      </c>
      <c r="G607" s="126" t="s">
        <v>1138</v>
      </c>
      <c r="H607" s="128" t="s">
        <v>1844</v>
      </c>
      <c r="I607" s="128" t="s">
        <v>1843</v>
      </c>
      <c r="J607" s="143" t="s">
        <v>1844</v>
      </c>
      <c r="K607" s="136" t="s">
        <v>1844</v>
      </c>
      <c r="L607" s="132" t="s">
        <v>1844</v>
      </c>
      <c r="M607" s="132" t="s">
        <v>1844</v>
      </c>
      <c r="N607" s="131" t="s">
        <v>1844</v>
      </c>
      <c r="O607" s="128" t="s">
        <v>1844</v>
      </c>
      <c r="P607" s="128" t="s">
        <v>1844</v>
      </c>
      <c r="Q607" s="128"/>
      <c r="R607" s="144"/>
      <c r="S607" s="128" t="s">
        <v>1845</v>
      </c>
      <c r="T607" s="128"/>
      <c r="U607" s="128"/>
      <c r="V607" s="128"/>
      <c r="W607" s="144"/>
      <c r="X607" s="136"/>
      <c r="Y607" s="128"/>
      <c r="Z607" s="128"/>
      <c r="AA607" s="140"/>
      <c r="AB607" s="136"/>
      <c r="AC607" s="136"/>
      <c r="AD607" s="136"/>
      <c r="AE607" s="144"/>
      <c r="AF607" s="144"/>
      <c r="AG607" s="136"/>
      <c r="AH607" s="136"/>
      <c r="AI607" s="128"/>
      <c r="AJ607" s="137"/>
      <c r="AK607" s="140"/>
      <c r="AL607" s="140"/>
    </row>
    <row r="608" ht="15.75" customHeight="1">
      <c r="A608" s="125">
        <v>607.0</v>
      </c>
      <c r="B608" s="138">
        <f t="shared" si="60"/>
        <v>10607</v>
      </c>
      <c r="C608" s="278" t="s">
        <v>1840</v>
      </c>
      <c r="D608" s="122" t="s">
        <v>2099</v>
      </c>
      <c r="E608" s="122" t="s">
        <v>34</v>
      </c>
      <c r="F608" s="127" t="s">
        <v>2754</v>
      </c>
      <c r="G608" s="126" t="s">
        <v>1140</v>
      </c>
      <c r="H608" s="140" t="s">
        <v>1844</v>
      </c>
      <c r="I608" s="128" t="s">
        <v>1843</v>
      </c>
      <c r="J608" s="186" t="s">
        <v>1876</v>
      </c>
      <c r="K608" s="136" t="s">
        <v>2348</v>
      </c>
      <c r="L608" s="136" t="s">
        <v>1990</v>
      </c>
      <c r="M608" s="136" t="s">
        <v>1845</v>
      </c>
      <c r="N608" s="144" t="s">
        <v>1844</v>
      </c>
      <c r="O608" s="140" t="s">
        <v>1879</v>
      </c>
      <c r="P608" s="128" t="s">
        <v>1862</v>
      </c>
      <c r="Q608" s="140"/>
      <c r="R608" s="144"/>
      <c r="S608" s="128" t="s">
        <v>1845</v>
      </c>
      <c r="T608" s="140"/>
      <c r="U608" s="140"/>
      <c r="V608" s="140"/>
      <c r="W608" s="144"/>
      <c r="X608" s="136"/>
      <c r="Y608" s="128"/>
      <c r="Z608" s="140"/>
      <c r="AA608" s="140"/>
      <c r="AB608" s="136"/>
      <c r="AC608" s="136"/>
      <c r="AD608" s="136"/>
      <c r="AE608" s="128"/>
      <c r="AF608" s="136"/>
      <c r="AG608" s="136"/>
      <c r="AH608" s="136"/>
      <c r="AI608" s="128"/>
      <c r="AJ608" s="137"/>
      <c r="AK608" s="140"/>
      <c r="AL608" s="140"/>
    </row>
    <row r="609" ht="15.75" customHeight="1">
      <c r="A609" s="125">
        <v>608.0</v>
      </c>
      <c r="B609" s="138">
        <f t="shared" si="60"/>
        <v>10608</v>
      </c>
      <c r="C609" s="250" t="s">
        <v>1840</v>
      </c>
      <c r="D609" s="122" t="s">
        <v>1846</v>
      </c>
      <c r="E609" s="125" t="s">
        <v>27</v>
      </c>
      <c r="F609" s="282" t="s">
        <v>2755</v>
      </c>
      <c r="G609" s="126" t="s">
        <v>2756</v>
      </c>
      <c r="H609" s="283" t="s">
        <v>1844</v>
      </c>
      <c r="I609" s="128" t="s">
        <v>1843</v>
      </c>
      <c r="J609" s="186" t="s">
        <v>1844</v>
      </c>
      <c r="K609" s="136" t="s">
        <v>1844</v>
      </c>
      <c r="L609" s="136" t="s">
        <v>1844</v>
      </c>
      <c r="M609" s="136" t="s">
        <v>1845</v>
      </c>
      <c r="N609" s="144" t="s">
        <v>1844</v>
      </c>
      <c r="O609" s="140" t="s">
        <v>1844</v>
      </c>
      <c r="P609" s="128" t="s">
        <v>1895</v>
      </c>
      <c r="Q609" s="140"/>
      <c r="R609" s="144"/>
      <c r="S609" s="128"/>
      <c r="T609" s="140"/>
      <c r="U609" s="140"/>
      <c r="V609" s="140"/>
      <c r="W609" s="144" t="s">
        <v>1845</v>
      </c>
      <c r="X609" s="136"/>
      <c r="Y609" s="128"/>
      <c r="Z609" s="140"/>
      <c r="AA609" s="144"/>
      <c r="AB609" s="136"/>
      <c r="AC609" s="136"/>
      <c r="AD609" s="136"/>
      <c r="AE609" s="144"/>
      <c r="AF609" s="144"/>
      <c r="AG609" s="136"/>
      <c r="AH609" s="136"/>
      <c r="AI609" s="128"/>
      <c r="AJ609" s="137"/>
      <c r="AK609" s="140"/>
      <c r="AL609" s="140"/>
    </row>
    <row r="610" ht="15.75" customHeight="1">
      <c r="A610" s="125">
        <v>609.0</v>
      </c>
      <c r="B610" s="138">
        <f t="shared" si="60"/>
        <v>10609</v>
      </c>
      <c r="C610" s="278" t="s">
        <v>1840</v>
      </c>
      <c r="D610" s="122" t="s">
        <v>1846</v>
      </c>
      <c r="E610" s="122" t="s">
        <v>20</v>
      </c>
      <c r="F610" s="198" t="s">
        <v>2757</v>
      </c>
      <c r="G610" s="126" t="s">
        <v>2758</v>
      </c>
      <c r="H610" s="284" t="s">
        <v>1844</v>
      </c>
      <c r="I610" s="128" t="s">
        <v>1843</v>
      </c>
      <c r="J610" s="186" t="s">
        <v>1844</v>
      </c>
      <c r="K610" s="136" t="s">
        <v>1844</v>
      </c>
      <c r="L610" s="136" t="s">
        <v>1844</v>
      </c>
      <c r="M610" s="136" t="s">
        <v>1845</v>
      </c>
      <c r="N610" s="144" t="s">
        <v>1844</v>
      </c>
      <c r="O610" s="140" t="s">
        <v>1844</v>
      </c>
      <c r="P610" s="128" t="s">
        <v>1895</v>
      </c>
      <c r="Q610" s="140"/>
      <c r="R610" s="144"/>
      <c r="S610" s="128"/>
      <c r="T610" s="140"/>
      <c r="U610" s="140"/>
      <c r="V610" s="140"/>
      <c r="W610" s="144" t="s">
        <v>1845</v>
      </c>
      <c r="X610" s="136"/>
      <c r="Y610" s="128"/>
      <c r="Z610" s="140"/>
      <c r="AA610" s="140"/>
      <c r="AB610" s="136"/>
      <c r="AC610" s="136"/>
      <c r="AD610" s="136"/>
      <c r="AE610" s="140"/>
      <c r="AF610" s="144"/>
      <c r="AG610" s="136"/>
      <c r="AH610" s="136"/>
      <c r="AI610" s="128"/>
      <c r="AJ610" s="137"/>
      <c r="AK610" s="140"/>
      <c r="AL610" s="140"/>
    </row>
    <row r="611" ht="15.75" customHeight="1">
      <c r="A611" s="125">
        <v>610.0</v>
      </c>
      <c r="B611" s="138">
        <f t="shared" si="60"/>
        <v>10610</v>
      </c>
      <c r="C611" s="278" t="s">
        <v>1840</v>
      </c>
      <c r="D611" s="122" t="s">
        <v>2099</v>
      </c>
      <c r="E611" s="122" t="s">
        <v>34</v>
      </c>
      <c r="F611" s="127" t="s">
        <v>2754</v>
      </c>
      <c r="G611" s="126" t="s">
        <v>1140</v>
      </c>
      <c r="H611" s="227" t="s">
        <v>1844</v>
      </c>
      <c r="I611" s="128" t="s">
        <v>1843</v>
      </c>
      <c r="J611" s="186" t="s">
        <v>1876</v>
      </c>
      <c r="K611" s="136" t="s">
        <v>2348</v>
      </c>
      <c r="L611" s="136" t="s">
        <v>1990</v>
      </c>
      <c r="M611" s="136" t="s">
        <v>1845</v>
      </c>
      <c r="N611" s="144" t="s">
        <v>1844</v>
      </c>
      <c r="O611" s="140" t="s">
        <v>1879</v>
      </c>
      <c r="P611" s="128" t="s">
        <v>1862</v>
      </c>
      <c r="Q611" s="140"/>
      <c r="R611" s="144"/>
      <c r="S611" s="128" t="s">
        <v>1845</v>
      </c>
      <c r="T611" s="140"/>
      <c r="U611" s="140"/>
      <c r="V611" s="140"/>
      <c r="W611" s="144"/>
      <c r="X611" s="136"/>
      <c r="Y611" s="128"/>
      <c r="Z611" s="140"/>
      <c r="AA611" s="140"/>
      <c r="AB611" s="136"/>
      <c r="AC611" s="136"/>
      <c r="AD611" s="136"/>
      <c r="AE611" s="128"/>
      <c r="AF611" s="136"/>
      <c r="AG611" s="136"/>
      <c r="AH611" s="136"/>
      <c r="AI611" s="128"/>
      <c r="AJ611" s="137"/>
      <c r="AK611" s="140"/>
      <c r="AL611" s="140"/>
    </row>
    <row r="612" ht="15.75" customHeight="1">
      <c r="A612" s="122">
        <v>611.0</v>
      </c>
      <c r="B612" s="138">
        <f t="shared" si="60"/>
        <v>10611</v>
      </c>
      <c r="C612" s="285" t="s">
        <v>1840</v>
      </c>
      <c r="D612" s="122" t="s">
        <v>2099</v>
      </c>
      <c r="E612" s="122" t="s">
        <v>34</v>
      </c>
      <c r="F612" s="152" t="s">
        <v>2759</v>
      </c>
      <c r="G612" s="126" t="s">
        <v>1147</v>
      </c>
      <c r="H612" s="140" t="s">
        <v>1844</v>
      </c>
      <c r="I612" s="128" t="s">
        <v>1843</v>
      </c>
      <c r="J612" s="128" t="s">
        <v>1876</v>
      </c>
      <c r="K612" s="128" t="s">
        <v>2348</v>
      </c>
      <c r="L612" s="128" t="s">
        <v>1884</v>
      </c>
      <c r="M612" s="128" t="s">
        <v>1845</v>
      </c>
      <c r="N612" s="140" t="s">
        <v>1844</v>
      </c>
      <c r="O612" s="140" t="s">
        <v>1879</v>
      </c>
      <c r="P612" s="128" t="s">
        <v>1862</v>
      </c>
      <c r="Q612" s="140"/>
      <c r="R612" s="140"/>
      <c r="S612" s="128" t="s">
        <v>1845</v>
      </c>
      <c r="T612" s="140"/>
      <c r="U612" s="140"/>
      <c r="V612" s="140"/>
      <c r="W612" s="140"/>
      <c r="X612" s="128"/>
      <c r="Y612" s="128"/>
      <c r="Z612" s="140"/>
      <c r="AA612" s="140"/>
      <c r="AB612" s="128"/>
      <c r="AC612" s="128"/>
      <c r="AD612" s="128"/>
      <c r="AE612" s="140"/>
      <c r="AF612" s="140"/>
      <c r="AG612" s="128"/>
      <c r="AH612" s="128"/>
      <c r="AI612" s="128"/>
      <c r="AJ612" s="137"/>
      <c r="AK612" s="140"/>
      <c r="AL612" s="140"/>
    </row>
    <row r="613" ht="15.75" customHeight="1">
      <c r="A613" s="125">
        <v>612.0</v>
      </c>
      <c r="B613" s="138">
        <f t="shared" si="60"/>
        <v>10612</v>
      </c>
      <c r="C613" s="285" t="s">
        <v>1840</v>
      </c>
      <c r="D613" s="122" t="s">
        <v>2099</v>
      </c>
      <c r="E613" s="122" t="s">
        <v>34</v>
      </c>
      <c r="F613" s="152" t="s">
        <v>2760</v>
      </c>
      <c r="G613" s="126" t="s">
        <v>1149</v>
      </c>
      <c r="H613" s="140" t="s">
        <v>1844</v>
      </c>
      <c r="I613" s="128" t="s">
        <v>1843</v>
      </c>
      <c r="J613" s="128" t="s">
        <v>1876</v>
      </c>
      <c r="K613" s="128" t="s">
        <v>2348</v>
      </c>
      <c r="L613" s="128" t="s">
        <v>1844</v>
      </c>
      <c r="M613" s="128" t="s">
        <v>1845</v>
      </c>
      <c r="N613" s="140" t="s">
        <v>1844</v>
      </c>
      <c r="O613" s="140" t="s">
        <v>1879</v>
      </c>
      <c r="P613" s="128" t="s">
        <v>1862</v>
      </c>
      <c r="Q613" s="140"/>
      <c r="R613" s="140"/>
      <c r="S613" s="128" t="s">
        <v>1845</v>
      </c>
      <c r="T613" s="140"/>
      <c r="U613" s="140"/>
      <c r="V613" s="140"/>
      <c r="W613" s="144"/>
      <c r="X613" s="128"/>
      <c r="Y613" s="136"/>
      <c r="Z613" s="140"/>
      <c r="AA613" s="140"/>
      <c r="AB613" s="286"/>
      <c r="AC613" s="286"/>
      <c r="AD613" s="286"/>
      <c r="AE613" s="140"/>
      <c r="AF613" s="135"/>
      <c r="AG613" s="286"/>
      <c r="AH613" s="286"/>
      <c r="AI613" s="286"/>
      <c r="AJ613" s="287"/>
      <c r="AK613" s="140"/>
      <c r="AL613" s="140"/>
    </row>
    <row r="614" ht="15.75" customHeight="1">
      <c r="A614" s="125">
        <v>613.0</v>
      </c>
      <c r="B614" s="138">
        <f t="shared" si="60"/>
        <v>10613</v>
      </c>
      <c r="C614" s="285" t="s">
        <v>1840</v>
      </c>
      <c r="D614" s="122" t="s">
        <v>1846</v>
      </c>
      <c r="E614" s="122" t="s">
        <v>7</v>
      </c>
      <c r="F614" s="126" t="s">
        <v>2761</v>
      </c>
      <c r="G614" s="126" t="s">
        <v>1151</v>
      </c>
      <c r="H614" s="140" t="s">
        <v>1844</v>
      </c>
      <c r="I614" s="128" t="s">
        <v>1906</v>
      </c>
      <c r="J614" s="128" t="s">
        <v>1844</v>
      </c>
      <c r="K614" s="128" t="s">
        <v>1844</v>
      </c>
      <c r="L614" s="128" t="s">
        <v>1844</v>
      </c>
      <c r="M614" s="128" t="s">
        <v>1844</v>
      </c>
      <c r="N614" s="140" t="s">
        <v>1844</v>
      </c>
      <c r="O614" s="140" t="s">
        <v>1844</v>
      </c>
      <c r="P614" s="128" t="s">
        <v>1844</v>
      </c>
      <c r="Q614" s="140"/>
      <c r="R614" s="144"/>
      <c r="S614" s="128"/>
      <c r="T614" s="140"/>
      <c r="U614" s="140"/>
      <c r="V614" s="140" t="s">
        <v>1845</v>
      </c>
      <c r="W614" s="144"/>
      <c r="X614" s="128"/>
      <c r="Y614" s="128"/>
      <c r="Z614" s="140"/>
      <c r="AA614" s="140"/>
      <c r="AB614" s="286"/>
      <c r="AC614" s="286"/>
      <c r="AD614" s="286"/>
      <c r="AE614" s="140"/>
      <c r="AF614" s="140"/>
      <c r="AG614" s="286" t="s">
        <v>1845</v>
      </c>
      <c r="AH614" s="286"/>
      <c r="AI614" s="286"/>
      <c r="AJ614" s="287"/>
      <c r="AK614" s="140"/>
      <c r="AL614" s="140"/>
    </row>
    <row r="615" ht="15.75" customHeight="1">
      <c r="A615" s="125">
        <v>614.0</v>
      </c>
      <c r="B615" s="138">
        <f t="shared" si="60"/>
        <v>10614</v>
      </c>
      <c r="C615" s="278" t="s">
        <v>1840</v>
      </c>
      <c r="D615" s="122" t="s">
        <v>2099</v>
      </c>
      <c r="E615" s="122" t="s">
        <v>34</v>
      </c>
      <c r="F615" s="153" t="s">
        <v>2762</v>
      </c>
      <c r="G615" s="126" t="s">
        <v>1153</v>
      </c>
      <c r="H615" s="140" t="s">
        <v>1844</v>
      </c>
      <c r="I615" s="128" t="s">
        <v>1843</v>
      </c>
      <c r="J615" s="128" t="s">
        <v>1876</v>
      </c>
      <c r="K615" s="128" t="s">
        <v>2348</v>
      </c>
      <c r="L615" s="128" t="s">
        <v>1878</v>
      </c>
      <c r="M615" s="128" t="s">
        <v>1845</v>
      </c>
      <c r="N615" s="140" t="s">
        <v>1844</v>
      </c>
      <c r="O615" s="140" t="s">
        <v>1879</v>
      </c>
      <c r="P615" s="128" t="s">
        <v>2763</v>
      </c>
      <c r="Q615" s="140"/>
      <c r="R615" s="140"/>
      <c r="S615" s="128"/>
      <c r="T615" s="140"/>
      <c r="U615" s="140"/>
      <c r="V615" s="140"/>
      <c r="W615" s="140" t="s">
        <v>1845</v>
      </c>
      <c r="X615" s="128"/>
      <c r="Y615" s="128"/>
      <c r="Z615" s="140"/>
      <c r="AA615" s="140"/>
      <c r="AB615" s="286"/>
      <c r="AC615" s="286"/>
      <c r="AD615" s="286"/>
      <c r="AE615" s="140"/>
      <c r="AF615" s="135"/>
      <c r="AG615" s="286"/>
      <c r="AH615" s="286"/>
      <c r="AI615" s="286"/>
      <c r="AJ615" s="287"/>
      <c r="AK615" s="140"/>
      <c r="AL615" s="140"/>
    </row>
    <row r="616" ht="15.75" customHeight="1">
      <c r="A616" s="125">
        <v>615.0</v>
      </c>
      <c r="B616" s="123" t="s">
        <v>1742</v>
      </c>
      <c r="C616" s="250" t="s">
        <v>1840</v>
      </c>
      <c r="D616" s="122" t="s">
        <v>2212</v>
      </c>
      <c r="E616" s="288" t="s">
        <v>7</v>
      </c>
      <c r="F616" s="198" t="s">
        <v>2764</v>
      </c>
      <c r="G616" s="126" t="s">
        <v>2765</v>
      </c>
      <c r="H616" s="140" t="s">
        <v>1844</v>
      </c>
      <c r="I616" s="128" t="s">
        <v>1906</v>
      </c>
      <c r="J616" s="128" t="s">
        <v>1844</v>
      </c>
      <c r="K616" s="136" t="s">
        <v>1844</v>
      </c>
      <c r="L616" s="128" t="s">
        <v>1844</v>
      </c>
      <c r="M616" s="128" t="s">
        <v>1844</v>
      </c>
      <c r="N616" s="140" t="s">
        <v>1844</v>
      </c>
      <c r="O616" s="140" t="s">
        <v>1844</v>
      </c>
      <c r="P616" s="128" t="s">
        <v>1844</v>
      </c>
      <c r="Q616" s="140" t="s">
        <v>1845</v>
      </c>
      <c r="R616" s="144"/>
      <c r="S616" s="128"/>
      <c r="T616" s="140"/>
      <c r="U616" s="140"/>
      <c r="V616" s="140" t="s">
        <v>1845</v>
      </c>
      <c r="W616" s="144"/>
      <c r="X616" s="128"/>
      <c r="Y616" s="128"/>
      <c r="Z616" s="140"/>
      <c r="AA616" s="140"/>
      <c r="AB616" s="286"/>
      <c r="AC616" s="286"/>
      <c r="AD616" s="286"/>
      <c r="AE616" s="140"/>
      <c r="AF616" s="140"/>
      <c r="AG616" s="286"/>
      <c r="AH616" s="286"/>
      <c r="AI616" s="286"/>
      <c r="AJ616" s="287"/>
      <c r="AK616" s="140"/>
      <c r="AL616" s="140"/>
    </row>
    <row r="617" ht="15.75" customHeight="1">
      <c r="A617" s="125">
        <v>616.0</v>
      </c>
      <c r="B617" s="123" t="s">
        <v>1742</v>
      </c>
      <c r="C617" s="250" t="s">
        <v>1840</v>
      </c>
      <c r="D617" s="122" t="s">
        <v>2212</v>
      </c>
      <c r="E617" s="288" t="s">
        <v>7</v>
      </c>
      <c r="F617" s="127" t="s">
        <v>2766</v>
      </c>
      <c r="G617" s="126" t="s">
        <v>2767</v>
      </c>
      <c r="H617" s="140" t="s">
        <v>1844</v>
      </c>
      <c r="I617" s="128" t="s">
        <v>1906</v>
      </c>
      <c r="J617" s="128" t="s">
        <v>1844</v>
      </c>
      <c r="K617" s="136" t="s">
        <v>1844</v>
      </c>
      <c r="L617" s="128" t="s">
        <v>1844</v>
      </c>
      <c r="M617" s="128" t="s">
        <v>1844</v>
      </c>
      <c r="N617" s="140" t="s">
        <v>1844</v>
      </c>
      <c r="O617" s="140" t="s">
        <v>1844</v>
      </c>
      <c r="P617" s="128" t="s">
        <v>1844</v>
      </c>
      <c r="Q617" s="140" t="s">
        <v>1845</v>
      </c>
      <c r="R617" s="144"/>
      <c r="S617" s="128"/>
      <c r="T617" s="140"/>
      <c r="U617" s="140"/>
      <c r="V617" s="140" t="s">
        <v>1845</v>
      </c>
      <c r="W617" s="144"/>
      <c r="X617" s="128"/>
      <c r="Y617" s="128"/>
      <c r="Z617" s="140"/>
      <c r="AA617" s="140"/>
      <c r="AB617" s="286" t="s">
        <v>1845</v>
      </c>
      <c r="AC617" s="286"/>
      <c r="AD617" s="286"/>
      <c r="AE617" s="140"/>
      <c r="AF617" s="140"/>
      <c r="AG617" s="286"/>
      <c r="AH617" s="286"/>
      <c r="AI617" s="286"/>
      <c r="AJ617" s="287"/>
      <c r="AK617" s="140"/>
      <c r="AL617" s="140"/>
    </row>
    <row r="618" ht="15.75" customHeight="1">
      <c r="A618" s="122">
        <v>617.0</v>
      </c>
      <c r="B618" s="138">
        <f t="shared" ref="B618:B623" si="61">SUM(A618+10000)</f>
        <v>10617</v>
      </c>
      <c r="C618" s="285" t="s">
        <v>1840</v>
      </c>
      <c r="D618" s="122" t="s">
        <v>1841</v>
      </c>
      <c r="E618" s="122" t="s">
        <v>34</v>
      </c>
      <c r="F618" s="126" t="s">
        <v>2768</v>
      </c>
      <c r="G618" s="126" t="s">
        <v>1159</v>
      </c>
      <c r="H618" s="140" t="s">
        <v>1844</v>
      </c>
      <c r="I618" s="128" t="s">
        <v>1843</v>
      </c>
      <c r="J618" s="128" t="s">
        <v>1876</v>
      </c>
      <c r="K618" s="128" t="s">
        <v>2348</v>
      </c>
      <c r="L618" s="128" t="s">
        <v>1878</v>
      </c>
      <c r="M618" s="128" t="s">
        <v>1845</v>
      </c>
      <c r="N618" s="140" t="s">
        <v>1844</v>
      </c>
      <c r="O618" s="140" t="s">
        <v>1879</v>
      </c>
      <c r="P618" s="128" t="s">
        <v>1895</v>
      </c>
      <c r="Q618" s="140"/>
      <c r="R618" s="140"/>
      <c r="S618" s="128" t="s">
        <v>1845</v>
      </c>
      <c r="T618" s="140"/>
      <c r="U618" s="140"/>
      <c r="V618" s="140"/>
      <c r="W618" s="140"/>
      <c r="X618" s="128"/>
      <c r="Y618" s="128"/>
      <c r="Z618" s="140"/>
      <c r="AA618" s="140"/>
      <c r="AB618" s="128"/>
      <c r="AC618" s="128"/>
      <c r="AD618" s="128"/>
      <c r="AE618" s="140"/>
      <c r="AF618" s="140"/>
      <c r="AG618" s="128"/>
      <c r="AH618" s="128"/>
      <c r="AI618" s="128"/>
      <c r="AJ618" s="137"/>
      <c r="AK618" s="140"/>
      <c r="AL618" s="140"/>
    </row>
    <row r="619" ht="15.75" customHeight="1">
      <c r="A619" s="122">
        <v>618.0</v>
      </c>
      <c r="B619" s="138">
        <f t="shared" si="61"/>
        <v>10618</v>
      </c>
      <c r="C619" s="250" t="s">
        <v>1840</v>
      </c>
      <c r="D619" s="122" t="s">
        <v>2490</v>
      </c>
      <c r="E619" s="122" t="s">
        <v>20</v>
      </c>
      <c r="F619" s="126" t="s">
        <v>2769</v>
      </c>
      <c r="G619" s="126" t="s">
        <v>1161</v>
      </c>
      <c r="H619" s="140" t="s">
        <v>1844</v>
      </c>
      <c r="I619" s="128" t="s">
        <v>1843</v>
      </c>
      <c r="J619" s="128" t="s">
        <v>1844</v>
      </c>
      <c r="K619" s="128" t="s">
        <v>1844</v>
      </c>
      <c r="L619" s="128" t="s">
        <v>1844</v>
      </c>
      <c r="M619" s="128" t="s">
        <v>1845</v>
      </c>
      <c r="N619" s="140" t="s">
        <v>1844</v>
      </c>
      <c r="O619" s="140" t="s">
        <v>1844</v>
      </c>
      <c r="P619" s="128" t="s">
        <v>1862</v>
      </c>
      <c r="Q619" s="140"/>
      <c r="R619" s="140" t="s">
        <v>1845</v>
      </c>
      <c r="S619" s="128"/>
      <c r="T619" s="140"/>
      <c r="U619" s="140"/>
      <c r="V619" s="140"/>
      <c r="W619" s="140"/>
      <c r="X619" s="128"/>
      <c r="Y619" s="128"/>
      <c r="Z619" s="140"/>
      <c r="AA619" s="140"/>
      <c r="AB619" s="128"/>
      <c r="AC619" s="128"/>
      <c r="AD619" s="128"/>
      <c r="AE619" s="140"/>
      <c r="AF619" s="140"/>
      <c r="AG619" s="128"/>
      <c r="AH619" s="128"/>
      <c r="AI619" s="128"/>
      <c r="AJ619" s="137"/>
      <c r="AK619" s="140"/>
      <c r="AL619" s="140"/>
    </row>
    <row r="620" ht="15.75" customHeight="1">
      <c r="A620" s="122">
        <v>619.0</v>
      </c>
      <c r="B620" s="138">
        <f t="shared" si="61"/>
        <v>10619</v>
      </c>
      <c r="C620" s="285" t="s">
        <v>1840</v>
      </c>
      <c r="D620" s="122" t="s">
        <v>2099</v>
      </c>
      <c r="E620" s="122" t="s">
        <v>27</v>
      </c>
      <c r="F620" s="126" t="s">
        <v>2770</v>
      </c>
      <c r="G620" s="126" t="s">
        <v>1163</v>
      </c>
      <c r="H620" s="140" t="s">
        <v>1844</v>
      </c>
      <c r="I620" s="128" t="s">
        <v>1906</v>
      </c>
      <c r="J620" s="128" t="s">
        <v>1844</v>
      </c>
      <c r="K620" s="128" t="s">
        <v>1844</v>
      </c>
      <c r="L620" s="128" t="s">
        <v>1844</v>
      </c>
      <c r="M620" s="128" t="s">
        <v>1845</v>
      </c>
      <c r="N620" s="140" t="s">
        <v>1844</v>
      </c>
      <c r="O620" s="140" t="s">
        <v>1844</v>
      </c>
      <c r="P620" s="128" t="s">
        <v>1862</v>
      </c>
      <c r="Q620" s="140"/>
      <c r="R620" s="140"/>
      <c r="S620" s="128" t="s">
        <v>1845</v>
      </c>
      <c r="T620" s="140"/>
      <c r="U620" s="140" t="s">
        <v>1845</v>
      </c>
      <c r="V620" s="140"/>
      <c r="W620" s="140"/>
      <c r="X620" s="128"/>
      <c r="Y620" s="128"/>
      <c r="Z620" s="140"/>
      <c r="AA620" s="140"/>
      <c r="AB620" s="128"/>
      <c r="AC620" s="128"/>
      <c r="AD620" s="128"/>
      <c r="AE620" s="140"/>
      <c r="AF620" s="140"/>
      <c r="AG620" s="128"/>
      <c r="AH620" s="128"/>
      <c r="AI620" s="128"/>
      <c r="AJ620" s="137"/>
      <c r="AK620" s="140"/>
      <c r="AL620" s="140"/>
    </row>
    <row r="621" ht="15.75" customHeight="1">
      <c r="A621" s="125">
        <v>620.0</v>
      </c>
      <c r="B621" s="138">
        <f t="shared" si="61"/>
        <v>10620</v>
      </c>
      <c r="C621" s="250" t="s">
        <v>1840</v>
      </c>
      <c r="D621" s="122" t="s">
        <v>2490</v>
      </c>
      <c r="E621" s="122" t="s">
        <v>34</v>
      </c>
      <c r="F621" s="127" t="s">
        <v>2771</v>
      </c>
      <c r="G621" s="185" t="s">
        <v>1165</v>
      </c>
      <c r="H621" s="140" t="s">
        <v>1844</v>
      </c>
      <c r="I621" s="128" t="s">
        <v>1843</v>
      </c>
      <c r="J621" s="128" t="s">
        <v>1876</v>
      </c>
      <c r="K621" s="136" t="s">
        <v>2348</v>
      </c>
      <c r="L621" s="128" t="s">
        <v>1990</v>
      </c>
      <c r="M621" s="128" t="s">
        <v>1845</v>
      </c>
      <c r="N621" s="140" t="s">
        <v>1844</v>
      </c>
      <c r="O621" s="140" t="s">
        <v>1879</v>
      </c>
      <c r="P621" s="128" t="s">
        <v>1895</v>
      </c>
      <c r="Q621" s="140"/>
      <c r="R621" s="144" t="s">
        <v>1845</v>
      </c>
      <c r="S621" s="128"/>
      <c r="T621" s="140"/>
      <c r="U621" s="140"/>
      <c r="V621" s="140"/>
      <c r="W621" s="144"/>
      <c r="X621" s="128"/>
      <c r="Y621" s="128"/>
      <c r="Z621" s="140"/>
      <c r="AA621" s="140"/>
      <c r="AB621" s="286"/>
      <c r="AC621" s="286"/>
      <c r="AD621" s="286"/>
      <c r="AE621" s="140"/>
      <c r="AF621" s="140"/>
      <c r="AG621" s="286"/>
      <c r="AH621" s="286"/>
      <c r="AI621" s="286"/>
      <c r="AJ621" s="287"/>
      <c r="AK621" s="140"/>
      <c r="AL621" s="140"/>
    </row>
    <row r="622" ht="15.75" customHeight="1">
      <c r="A622" s="125">
        <v>621.0</v>
      </c>
      <c r="B622" s="138">
        <f t="shared" si="61"/>
        <v>10621</v>
      </c>
      <c r="C622" s="250" t="s">
        <v>1840</v>
      </c>
      <c r="D622" s="122" t="s">
        <v>2490</v>
      </c>
      <c r="E622" s="122" t="s">
        <v>7</v>
      </c>
      <c r="F622" s="127" t="s">
        <v>2772</v>
      </c>
      <c r="G622" s="273" t="s">
        <v>1166</v>
      </c>
      <c r="H622" s="227" t="s">
        <v>1844</v>
      </c>
      <c r="I622" s="128" t="s">
        <v>1843</v>
      </c>
      <c r="J622" s="128" t="s">
        <v>1844</v>
      </c>
      <c r="K622" s="136" t="s">
        <v>1844</v>
      </c>
      <c r="L622" s="128" t="s">
        <v>1844</v>
      </c>
      <c r="M622" s="128" t="s">
        <v>1844</v>
      </c>
      <c r="N622" s="140" t="s">
        <v>1844</v>
      </c>
      <c r="O622" s="140" t="s">
        <v>1844</v>
      </c>
      <c r="P622" s="128" t="s">
        <v>1844</v>
      </c>
      <c r="Q622" s="140"/>
      <c r="R622" s="144"/>
      <c r="S622" s="128"/>
      <c r="T622" s="140"/>
      <c r="U622" s="140"/>
      <c r="V622" s="140"/>
      <c r="W622" s="144" t="s">
        <v>1845</v>
      </c>
      <c r="X622" s="128"/>
      <c r="Y622" s="128"/>
      <c r="Z622" s="140"/>
      <c r="AA622" s="140"/>
      <c r="AB622" s="286"/>
      <c r="AC622" s="286"/>
      <c r="AD622" s="286"/>
      <c r="AE622" s="140"/>
      <c r="AF622" s="140"/>
      <c r="AG622" s="286"/>
      <c r="AH622" s="286"/>
      <c r="AI622" s="286"/>
      <c r="AJ622" s="287"/>
      <c r="AK622" s="140"/>
      <c r="AL622" s="140"/>
    </row>
    <row r="623" ht="15.75" customHeight="1">
      <c r="A623" s="125">
        <v>622.0</v>
      </c>
      <c r="B623" s="138">
        <f t="shared" si="61"/>
        <v>10622</v>
      </c>
      <c r="C623" s="250" t="s">
        <v>1840</v>
      </c>
      <c r="D623" s="122" t="s">
        <v>1849</v>
      </c>
      <c r="E623" s="122" t="s">
        <v>34</v>
      </c>
      <c r="F623" s="127" t="s">
        <v>2773</v>
      </c>
      <c r="G623" s="126" t="s">
        <v>2774</v>
      </c>
      <c r="H623" s="227" t="s">
        <v>1844</v>
      </c>
      <c r="I623" s="128" t="s">
        <v>1906</v>
      </c>
      <c r="J623" s="128" t="s">
        <v>1902</v>
      </c>
      <c r="K623" s="136" t="s">
        <v>1877</v>
      </c>
      <c r="L623" s="128" t="s">
        <v>1878</v>
      </c>
      <c r="M623" s="128" t="s">
        <v>1845</v>
      </c>
      <c r="N623" s="140" t="s">
        <v>1903</v>
      </c>
      <c r="O623" s="140" t="s">
        <v>1879</v>
      </c>
      <c r="P623" s="128" t="s">
        <v>1862</v>
      </c>
      <c r="Q623" s="140"/>
      <c r="R623" s="144"/>
      <c r="S623" s="128"/>
      <c r="T623" s="140"/>
      <c r="U623" s="140" t="s">
        <v>1845</v>
      </c>
      <c r="V623" s="140"/>
      <c r="W623" s="144"/>
      <c r="X623" s="128"/>
      <c r="Y623" s="128"/>
      <c r="Z623" s="140"/>
      <c r="AA623" s="140"/>
      <c r="AB623" s="286"/>
      <c r="AC623" s="286"/>
      <c r="AD623" s="286"/>
      <c r="AE623" s="140"/>
      <c r="AF623" s="140"/>
      <c r="AG623" s="286"/>
      <c r="AH623" s="286"/>
      <c r="AI623" s="286"/>
      <c r="AJ623" s="287"/>
      <c r="AK623" s="140"/>
      <c r="AL623" s="140"/>
    </row>
    <row r="624" ht="15.75" customHeight="1">
      <c r="A624" s="125">
        <v>623.0</v>
      </c>
      <c r="B624" s="123" t="s">
        <v>1742</v>
      </c>
      <c r="C624" s="250" t="s">
        <v>1840</v>
      </c>
      <c r="D624" s="122" t="s">
        <v>1849</v>
      </c>
      <c r="E624" s="122" t="s">
        <v>7</v>
      </c>
      <c r="F624" s="127" t="s">
        <v>2775</v>
      </c>
      <c r="G624" s="152" t="s">
        <v>1169</v>
      </c>
      <c r="H624" s="227" t="s">
        <v>1844</v>
      </c>
      <c r="I624" s="128" t="s">
        <v>1906</v>
      </c>
      <c r="J624" s="128" t="s">
        <v>1844</v>
      </c>
      <c r="K624" s="136" t="s">
        <v>1844</v>
      </c>
      <c r="L624" s="128" t="s">
        <v>1844</v>
      </c>
      <c r="M624" s="128" t="s">
        <v>1844</v>
      </c>
      <c r="N624" s="140" t="s">
        <v>1844</v>
      </c>
      <c r="O624" s="140" t="s">
        <v>1844</v>
      </c>
      <c r="P624" s="128" t="s">
        <v>1844</v>
      </c>
      <c r="Q624" s="140" t="s">
        <v>1845</v>
      </c>
      <c r="R624" s="144"/>
      <c r="S624" s="128"/>
      <c r="T624" s="140"/>
      <c r="U624" s="140" t="s">
        <v>1845</v>
      </c>
      <c r="V624" s="140" t="s">
        <v>1845</v>
      </c>
      <c r="W624" s="144"/>
      <c r="X624" s="128"/>
      <c r="Y624" s="128"/>
      <c r="Z624" s="140"/>
      <c r="AA624" s="140"/>
      <c r="AB624" s="286"/>
      <c r="AC624" s="286"/>
      <c r="AD624" s="286"/>
      <c r="AE624" s="140"/>
      <c r="AF624" s="140"/>
      <c r="AG624" s="286"/>
      <c r="AH624" s="286"/>
      <c r="AI624" s="286"/>
      <c r="AJ624" s="287"/>
      <c r="AK624" s="140"/>
      <c r="AL624" s="140"/>
    </row>
    <row r="625" ht="15.75" customHeight="1">
      <c r="A625" s="125">
        <v>624.0</v>
      </c>
      <c r="B625" s="138">
        <f>SUM(A625+10000)</f>
        <v>10624</v>
      </c>
      <c r="C625" s="250" t="s">
        <v>1840</v>
      </c>
      <c r="D625" s="122" t="s">
        <v>1849</v>
      </c>
      <c r="E625" s="122" t="s">
        <v>34</v>
      </c>
      <c r="F625" s="153" t="s">
        <v>2776</v>
      </c>
      <c r="G625" s="152" t="s">
        <v>1171</v>
      </c>
      <c r="H625" s="227" t="s">
        <v>1844</v>
      </c>
      <c r="I625" s="128" t="s">
        <v>1843</v>
      </c>
      <c r="J625" s="128" t="s">
        <v>1876</v>
      </c>
      <c r="K625" s="136" t="s">
        <v>2348</v>
      </c>
      <c r="L625" s="128" t="s">
        <v>1844</v>
      </c>
      <c r="M625" s="128" t="s">
        <v>1845</v>
      </c>
      <c r="N625" s="140" t="s">
        <v>1903</v>
      </c>
      <c r="O625" s="140" t="s">
        <v>1879</v>
      </c>
      <c r="P625" s="128" t="s">
        <v>1895</v>
      </c>
      <c r="Q625" s="140"/>
      <c r="R625" s="144"/>
      <c r="S625" s="128"/>
      <c r="T625" s="140"/>
      <c r="U625" s="140"/>
      <c r="V625" s="140"/>
      <c r="W625" s="144"/>
      <c r="X625" s="128"/>
      <c r="Y625" s="128"/>
      <c r="Z625" s="140"/>
      <c r="AA625" s="140"/>
      <c r="AB625" s="286"/>
      <c r="AC625" s="286"/>
      <c r="AD625" s="286"/>
      <c r="AE625" s="140"/>
      <c r="AF625" s="140"/>
      <c r="AG625" s="286"/>
      <c r="AH625" s="286"/>
      <c r="AI625" s="286"/>
      <c r="AJ625" s="287"/>
      <c r="AK625" s="140"/>
      <c r="AL625" s="140"/>
    </row>
    <row r="626" ht="15.75" customHeight="1">
      <c r="A626" s="125">
        <v>625.0</v>
      </c>
      <c r="B626" s="123" t="s">
        <v>1742</v>
      </c>
      <c r="C626" s="250" t="s">
        <v>1840</v>
      </c>
      <c r="D626" s="122" t="s">
        <v>2677</v>
      </c>
      <c r="E626" s="122" t="s">
        <v>7</v>
      </c>
      <c r="F626" s="198" t="s">
        <v>2777</v>
      </c>
      <c r="G626" s="198" t="s">
        <v>2778</v>
      </c>
      <c r="H626" s="140" t="s">
        <v>1844</v>
      </c>
      <c r="I626" s="128" t="s">
        <v>1843</v>
      </c>
      <c r="J626" s="128" t="s">
        <v>1844</v>
      </c>
      <c r="K626" s="136" t="s">
        <v>1844</v>
      </c>
      <c r="L626" s="128" t="s">
        <v>1844</v>
      </c>
      <c r="M626" s="128" t="s">
        <v>1844</v>
      </c>
      <c r="N626" s="140" t="s">
        <v>1844</v>
      </c>
      <c r="O626" s="140" t="s">
        <v>1844</v>
      </c>
      <c r="P626" s="128" t="s">
        <v>1844</v>
      </c>
      <c r="Q626" s="140" t="s">
        <v>1845</v>
      </c>
      <c r="R626" s="144" t="s">
        <v>1845</v>
      </c>
      <c r="S626" s="128"/>
      <c r="T626" s="140"/>
      <c r="U626" s="140"/>
      <c r="V626" s="140"/>
      <c r="W626" s="144" t="s">
        <v>1845</v>
      </c>
      <c r="X626" s="128" t="s">
        <v>1845</v>
      </c>
      <c r="Y626" s="128"/>
      <c r="Z626" s="140"/>
      <c r="AA626" s="140"/>
      <c r="AB626" s="286"/>
      <c r="AC626" s="286"/>
      <c r="AD626" s="286"/>
      <c r="AE626" s="140"/>
      <c r="AF626" s="140"/>
      <c r="AG626" s="286"/>
      <c r="AH626" s="286"/>
      <c r="AI626" s="286"/>
      <c r="AJ626" s="287"/>
      <c r="AK626" s="140"/>
      <c r="AL626" s="140"/>
    </row>
    <row r="627" ht="15.75" customHeight="1">
      <c r="A627" s="125">
        <v>626.0</v>
      </c>
      <c r="B627" s="138">
        <f t="shared" ref="B627:B639" si="62">SUM(A627+10000)</f>
        <v>10626</v>
      </c>
      <c r="C627" s="250" t="s">
        <v>1840</v>
      </c>
      <c r="D627" s="122" t="s">
        <v>2677</v>
      </c>
      <c r="E627" s="122" t="s">
        <v>7</v>
      </c>
      <c r="F627" s="127" t="s">
        <v>2779</v>
      </c>
      <c r="G627" s="126" t="s">
        <v>1175</v>
      </c>
      <c r="H627" s="140" t="s">
        <v>1844</v>
      </c>
      <c r="I627" s="128" t="s">
        <v>1843</v>
      </c>
      <c r="J627" s="128" t="s">
        <v>1844</v>
      </c>
      <c r="K627" s="136" t="s">
        <v>1844</v>
      </c>
      <c r="L627" s="128" t="s">
        <v>1844</v>
      </c>
      <c r="M627" s="128" t="s">
        <v>1844</v>
      </c>
      <c r="N627" s="140" t="s">
        <v>1844</v>
      </c>
      <c r="O627" s="140" t="s">
        <v>1844</v>
      </c>
      <c r="P627" s="140" t="s">
        <v>1844</v>
      </c>
      <c r="Q627" s="140"/>
      <c r="R627" s="144" t="s">
        <v>1845</v>
      </c>
      <c r="S627" s="140"/>
      <c r="T627" s="140" t="s">
        <v>1845</v>
      </c>
      <c r="U627" s="140"/>
      <c r="V627" s="140"/>
      <c r="W627" s="144" t="s">
        <v>1845</v>
      </c>
      <c r="X627" s="128" t="s">
        <v>1845</v>
      </c>
      <c r="Y627" s="128"/>
      <c r="Z627" s="140"/>
      <c r="AA627" s="140"/>
      <c r="AB627" s="135"/>
      <c r="AC627" s="286"/>
      <c r="AD627" s="286"/>
      <c r="AE627" s="128"/>
      <c r="AF627" s="140"/>
      <c r="AG627" s="135"/>
      <c r="AH627" s="286"/>
      <c r="AI627" s="286"/>
      <c r="AJ627" s="287"/>
      <c r="AK627" s="140"/>
      <c r="AL627" s="140"/>
    </row>
    <row r="628" ht="15.75" customHeight="1">
      <c r="A628" s="125">
        <v>627.0</v>
      </c>
      <c r="B628" s="138">
        <f t="shared" si="62"/>
        <v>10627</v>
      </c>
      <c r="C628" s="250" t="s">
        <v>1840</v>
      </c>
      <c r="D628" s="122" t="s">
        <v>2677</v>
      </c>
      <c r="E628" s="122" t="s">
        <v>20</v>
      </c>
      <c r="F628" s="153" t="s">
        <v>2780</v>
      </c>
      <c r="G628" s="127" t="s">
        <v>2781</v>
      </c>
      <c r="H628" s="140" t="s">
        <v>1844</v>
      </c>
      <c r="I628" s="128" t="s">
        <v>1843</v>
      </c>
      <c r="J628" s="186" t="s">
        <v>1844</v>
      </c>
      <c r="K628" s="136" t="s">
        <v>1844</v>
      </c>
      <c r="L628" s="136" t="s">
        <v>1884</v>
      </c>
      <c r="M628" s="136" t="s">
        <v>1845</v>
      </c>
      <c r="N628" s="144" t="s">
        <v>1844</v>
      </c>
      <c r="O628" s="140" t="s">
        <v>1844</v>
      </c>
      <c r="P628" s="140" t="s">
        <v>1844</v>
      </c>
      <c r="Q628" s="140"/>
      <c r="R628" s="144" t="s">
        <v>1845</v>
      </c>
      <c r="S628" s="140"/>
      <c r="T628" s="140" t="s">
        <v>1845</v>
      </c>
      <c r="U628" s="140"/>
      <c r="V628" s="140"/>
      <c r="W628" s="144" t="s">
        <v>1845</v>
      </c>
      <c r="X628" s="136"/>
      <c r="Y628" s="128"/>
      <c r="Z628" s="140"/>
      <c r="AA628" s="140"/>
      <c r="AB628" s="140"/>
      <c r="AC628" s="144"/>
      <c r="AD628" s="144"/>
      <c r="AE628" s="144"/>
      <c r="AF628" s="140"/>
      <c r="AG628" s="140"/>
      <c r="AH628" s="286"/>
      <c r="AI628" s="286"/>
      <c r="AJ628" s="287"/>
      <c r="AK628" s="140"/>
      <c r="AL628" s="140"/>
    </row>
    <row r="629" ht="15.75" customHeight="1">
      <c r="A629" s="125">
        <v>628.0</v>
      </c>
      <c r="B629" s="138">
        <f t="shared" si="62"/>
        <v>10628</v>
      </c>
      <c r="C629" s="250" t="s">
        <v>1840</v>
      </c>
      <c r="D629" s="122" t="s">
        <v>2677</v>
      </c>
      <c r="E629" s="122" t="s">
        <v>27</v>
      </c>
      <c r="F629" s="253" t="s">
        <v>2782</v>
      </c>
      <c r="G629" s="127" t="s">
        <v>2783</v>
      </c>
      <c r="H629" s="140" t="s">
        <v>1844</v>
      </c>
      <c r="I629" s="128" t="s">
        <v>1843</v>
      </c>
      <c r="J629" s="186" t="s">
        <v>1844</v>
      </c>
      <c r="K629" s="136" t="s">
        <v>1844</v>
      </c>
      <c r="L629" s="136" t="s">
        <v>1844</v>
      </c>
      <c r="M629" s="136" t="s">
        <v>1844</v>
      </c>
      <c r="N629" s="144" t="s">
        <v>1844</v>
      </c>
      <c r="O629" s="140" t="s">
        <v>1844</v>
      </c>
      <c r="P629" s="128" t="s">
        <v>1862</v>
      </c>
      <c r="Q629" s="140"/>
      <c r="R629" s="144" t="s">
        <v>1845</v>
      </c>
      <c r="S629" s="140" t="s">
        <v>1845</v>
      </c>
      <c r="T629" s="140" t="s">
        <v>1845</v>
      </c>
      <c r="U629" s="140"/>
      <c r="V629" s="140"/>
      <c r="W629" s="144" t="s">
        <v>1845</v>
      </c>
      <c r="X629" s="136"/>
      <c r="Y629" s="128"/>
      <c r="Z629" s="140"/>
      <c r="AA629" s="140"/>
      <c r="AB629" s="140"/>
      <c r="AC629" s="140"/>
      <c r="AD629" s="140"/>
      <c r="AE629" s="140"/>
      <c r="AF629" s="140"/>
      <c r="AG629" s="135"/>
      <c r="AH629" s="286"/>
      <c r="AI629" s="286"/>
      <c r="AJ629" s="287"/>
      <c r="AK629" s="140"/>
      <c r="AL629" s="140"/>
    </row>
    <row r="630" ht="15.75" customHeight="1">
      <c r="A630" s="125">
        <v>629.0</v>
      </c>
      <c r="B630" s="138">
        <f t="shared" si="62"/>
        <v>10629</v>
      </c>
      <c r="C630" s="250" t="s">
        <v>1840</v>
      </c>
      <c r="D630" s="122" t="s">
        <v>2677</v>
      </c>
      <c r="E630" s="122" t="s">
        <v>34</v>
      </c>
      <c r="F630" s="198" t="s">
        <v>2784</v>
      </c>
      <c r="G630" s="126" t="s">
        <v>827</v>
      </c>
      <c r="H630" s="140" t="s">
        <v>1844</v>
      </c>
      <c r="I630" s="140" t="s">
        <v>1843</v>
      </c>
      <c r="J630" s="186" t="s">
        <v>1876</v>
      </c>
      <c r="K630" s="136" t="s">
        <v>2348</v>
      </c>
      <c r="L630" s="136" t="s">
        <v>1844</v>
      </c>
      <c r="M630" s="136" t="s">
        <v>1845</v>
      </c>
      <c r="N630" s="144" t="s">
        <v>1844</v>
      </c>
      <c r="O630" s="140" t="s">
        <v>1879</v>
      </c>
      <c r="P630" s="128" t="s">
        <v>1895</v>
      </c>
      <c r="Q630" s="140"/>
      <c r="R630" s="144" t="s">
        <v>1845</v>
      </c>
      <c r="S630" s="140"/>
      <c r="T630" s="140" t="s">
        <v>1845</v>
      </c>
      <c r="U630" s="140"/>
      <c r="V630" s="140"/>
      <c r="W630" s="144"/>
      <c r="X630" s="136"/>
      <c r="Y630" s="128"/>
      <c r="Z630" s="140"/>
      <c r="AA630" s="140"/>
      <c r="AB630" s="140"/>
      <c r="AC630" s="140"/>
      <c r="AD630" s="140"/>
      <c r="AE630" s="140"/>
      <c r="AF630" s="140"/>
      <c r="AG630" s="135"/>
      <c r="AH630" s="286"/>
      <c r="AI630" s="286"/>
      <c r="AJ630" s="287"/>
      <c r="AK630" s="140"/>
      <c r="AL630" s="140"/>
    </row>
    <row r="631" ht="15.75" customHeight="1">
      <c r="A631" s="125">
        <v>630.0</v>
      </c>
      <c r="B631" s="138">
        <f t="shared" si="62"/>
        <v>10630</v>
      </c>
      <c r="C631" s="250" t="s">
        <v>1840</v>
      </c>
      <c r="D631" s="122" t="s">
        <v>2677</v>
      </c>
      <c r="E631" s="122" t="s">
        <v>27</v>
      </c>
      <c r="F631" s="127" t="s">
        <v>2785</v>
      </c>
      <c r="G631" s="127" t="s">
        <v>1182</v>
      </c>
      <c r="H631" s="140" t="s">
        <v>1844</v>
      </c>
      <c r="I631" s="128" t="s">
        <v>1843</v>
      </c>
      <c r="J631" s="186" t="s">
        <v>1844</v>
      </c>
      <c r="K631" s="136" t="s">
        <v>1844</v>
      </c>
      <c r="L631" s="136" t="s">
        <v>1844</v>
      </c>
      <c r="M631" s="136" t="s">
        <v>1845</v>
      </c>
      <c r="N631" s="144" t="s">
        <v>1844</v>
      </c>
      <c r="O631" s="140" t="s">
        <v>1844</v>
      </c>
      <c r="P631" s="128" t="s">
        <v>1862</v>
      </c>
      <c r="Q631" s="140"/>
      <c r="R631" s="144" t="s">
        <v>1845</v>
      </c>
      <c r="S631" s="140"/>
      <c r="T631" s="140" t="s">
        <v>1845</v>
      </c>
      <c r="U631" s="140"/>
      <c r="V631" s="140"/>
      <c r="W631" s="144" t="s">
        <v>1845</v>
      </c>
      <c r="X631" s="136"/>
      <c r="Y631" s="128"/>
      <c r="Z631" s="140"/>
      <c r="AA631" s="140"/>
      <c r="AB631" s="140"/>
      <c r="AC631" s="140"/>
      <c r="AD631" s="140"/>
      <c r="AE631" s="140"/>
      <c r="AF631" s="140"/>
      <c r="AG631" s="135"/>
      <c r="AH631" s="286"/>
      <c r="AI631" s="286"/>
      <c r="AJ631" s="287"/>
      <c r="AK631" s="140"/>
      <c r="AL631" s="140"/>
    </row>
    <row r="632" ht="15.75" customHeight="1">
      <c r="A632" s="125">
        <v>631.0</v>
      </c>
      <c r="B632" s="138">
        <f t="shared" si="62"/>
        <v>10631</v>
      </c>
      <c r="C632" s="250" t="s">
        <v>1840</v>
      </c>
      <c r="D632" s="122" t="s">
        <v>2677</v>
      </c>
      <c r="E632" s="122" t="s">
        <v>7</v>
      </c>
      <c r="F632" s="289" t="s">
        <v>2786</v>
      </c>
      <c r="G632" s="126" t="s">
        <v>1184</v>
      </c>
      <c r="H632" s="140" t="s">
        <v>1844</v>
      </c>
      <c r="I632" s="128" t="s">
        <v>1843</v>
      </c>
      <c r="J632" s="186" t="s">
        <v>1844</v>
      </c>
      <c r="K632" s="136" t="s">
        <v>1844</v>
      </c>
      <c r="L632" s="136" t="s">
        <v>1844</v>
      </c>
      <c r="M632" s="136" t="s">
        <v>1844</v>
      </c>
      <c r="N632" s="144" t="s">
        <v>1844</v>
      </c>
      <c r="O632" s="140" t="s">
        <v>1844</v>
      </c>
      <c r="P632" s="140" t="s">
        <v>1844</v>
      </c>
      <c r="Q632" s="140"/>
      <c r="R632" s="144" t="s">
        <v>1845</v>
      </c>
      <c r="S632" s="140" t="s">
        <v>1845</v>
      </c>
      <c r="T632" s="140" t="s">
        <v>1845</v>
      </c>
      <c r="U632" s="140"/>
      <c r="V632" s="140"/>
      <c r="W632" s="144"/>
      <c r="X632" s="136"/>
      <c r="Y632" s="128"/>
      <c r="Z632" s="140"/>
      <c r="AA632" s="140"/>
      <c r="AB632" s="140"/>
      <c r="AC632" s="140"/>
      <c r="AD632" s="140"/>
      <c r="AE632" s="140"/>
      <c r="AF632" s="140"/>
      <c r="AG632" s="135"/>
      <c r="AH632" s="286"/>
      <c r="AI632" s="286"/>
      <c r="AJ632" s="287"/>
      <c r="AK632" s="140"/>
      <c r="AL632" s="140"/>
    </row>
    <row r="633" ht="15.75" customHeight="1">
      <c r="A633" s="125">
        <v>632.0</v>
      </c>
      <c r="B633" s="138">
        <f t="shared" si="62"/>
        <v>10632</v>
      </c>
      <c r="C633" s="250" t="s">
        <v>1840</v>
      </c>
      <c r="D633" s="122" t="s">
        <v>2677</v>
      </c>
      <c r="E633" s="122" t="s">
        <v>7</v>
      </c>
      <c r="F633" s="290" t="s">
        <v>2787</v>
      </c>
      <c r="G633" s="126" t="s">
        <v>1186</v>
      </c>
      <c r="H633" s="140" t="s">
        <v>1844</v>
      </c>
      <c r="I633" s="128" t="s">
        <v>1843</v>
      </c>
      <c r="J633" s="186" t="s">
        <v>1844</v>
      </c>
      <c r="K633" s="136" t="s">
        <v>1844</v>
      </c>
      <c r="L633" s="136" t="s">
        <v>1844</v>
      </c>
      <c r="M633" s="136" t="s">
        <v>1844</v>
      </c>
      <c r="N633" s="144" t="s">
        <v>1844</v>
      </c>
      <c r="O633" s="140" t="s">
        <v>1844</v>
      </c>
      <c r="P633" s="140" t="s">
        <v>1844</v>
      </c>
      <c r="Q633" s="140"/>
      <c r="R633" s="144" t="s">
        <v>1845</v>
      </c>
      <c r="S633" s="140" t="s">
        <v>1845</v>
      </c>
      <c r="T633" s="140" t="s">
        <v>1845</v>
      </c>
      <c r="U633" s="140"/>
      <c r="V633" s="140"/>
      <c r="W633" s="144"/>
      <c r="X633" s="136"/>
      <c r="Y633" s="128"/>
      <c r="Z633" s="140"/>
      <c r="AA633" s="140"/>
      <c r="AB633" s="140"/>
      <c r="AC633" s="140"/>
      <c r="AD633" s="140"/>
      <c r="AE633" s="140"/>
      <c r="AF633" s="140"/>
      <c r="AG633" s="135"/>
      <c r="AH633" s="286"/>
      <c r="AI633" s="286"/>
      <c r="AJ633" s="287"/>
      <c r="AK633" s="140"/>
      <c r="AL633" s="140"/>
    </row>
    <row r="634" ht="15.75" customHeight="1">
      <c r="A634" s="125">
        <v>633.0</v>
      </c>
      <c r="B634" s="138">
        <f t="shared" si="62"/>
        <v>10633</v>
      </c>
      <c r="C634" s="250" t="s">
        <v>1840</v>
      </c>
      <c r="D634" s="122" t="s">
        <v>2677</v>
      </c>
      <c r="E634" s="122" t="s">
        <v>34</v>
      </c>
      <c r="F634" s="198" t="s">
        <v>2788</v>
      </c>
      <c r="G634" s="126" t="s">
        <v>1188</v>
      </c>
      <c r="H634" s="140" t="s">
        <v>1844</v>
      </c>
      <c r="I634" s="140" t="s">
        <v>1843</v>
      </c>
      <c r="J634" s="186" t="s">
        <v>1876</v>
      </c>
      <c r="K634" s="136" t="s">
        <v>2348</v>
      </c>
      <c r="L634" s="136" t="s">
        <v>1844</v>
      </c>
      <c r="M634" s="136" t="s">
        <v>1845</v>
      </c>
      <c r="N634" s="144" t="s">
        <v>1844</v>
      </c>
      <c r="O634" s="140" t="s">
        <v>1879</v>
      </c>
      <c r="P634" s="140" t="s">
        <v>1862</v>
      </c>
      <c r="Q634" s="140"/>
      <c r="R634" s="144" t="s">
        <v>1845</v>
      </c>
      <c r="S634" s="140" t="s">
        <v>1845</v>
      </c>
      <c r="T634" s="140" t="s">
        <v>1845</v>
      </c>
      <c r="U634" s="140"/>
      <c r="V634" s="140"/>
      <c r="W634" s="144"/>
      <c r="X634" s="136"/>
      <c r="Y634" s="128"/>
      <c r="Z634" s="140"/>
      <c r="AA634" s="140"/>
      <c r="AB634" s="140"/>
      <c r="AC634" s="140"/>
      <c r="AD634" s="140"/>
      <c r="AE634" s="140"/>
      <c r="AF634" s="140"/>
      <c r="AG634" s="140"/>
      <c r="AH634" s="128"/>
      <c r="AI634" s="286"/>
      <c r="AJ634" s="287"/>
      <c r="AK634" s="140"/>
      <c r="AL634" s="140"/>
    </row>
    <row r="635" ht="15.75" customHeight="1">
      <c r="A635" s="125">
        <v>634.0</v>
      </c>
      <c r="B635" s="138">
        <f t="shared" si="62"/>
        <v>10634</v>
      </c>
      <c r="C635" s="250" t="s">
        <v>1840</v>
      </c>
      <c r="D635" s="122" t="s">
        <v>2677</v>
      </c>
      <c r="E635" s="122" t="s">
        <v>7</v>
      </c>
      <c r="F635" s="289" t="s">
        <v>2789</v>
      </c>
      <c r="G635" s="127" t="s">
        <v>1190</v>
      </c>
      <c r="H635" s="140" t="s">
        <v>1844</v>
      </c>
      <c r="I635" s="128" t="s">
        <v>1843</v>
      </c>
      <c r="J635" s="186" t="s">
        <v>1844</v>
      </c>
      <c r="K635" s="136" t="s">
        <v>1844</v>
      </c>
      <c r="L635" s="136" t="s">
        <v>1844</v>
      </c>
      <c r="M635" s="136" t="s">
        <v>1844</v>
      </c>
      <c r="N635" s="144" t="s">
        <v>1844</v>
      </c>
      <c r="O635" s="140" t="s">
        <v>1844</v>
      </c>
      <c r="P635" s="140" t="s">
        <v>1844</v>
      </c>
      <c r="Q635" s="140"/>
      <c r="R635" s="144" t="s">
        <v>1845</v>
      </c>
      <c r="S635" s="140"/>
      <c r="T635" s="140" t="s">
        <v>1845</v>
      </c>
      <c r="U635" s="140"/>
      <c r="V635" s="140"/>
      <c r="W635" s="144" t="s">
        <v>1845</v>
      </c>
      <c r="X635" s="136"/>
      <c r="Y635" s="128"/>
      <c r="Z635" s="140"/>
      <c r="AA635" s="140"/>
      <c r="AB635" s="140"/>
      <c r="AC635" s="140"/>
      <c r="AD635" s="140"/>
      <c r="AE635" s="140"/>
      <c r="AF635" s="140"/>
      <c r="AG635" s="135"/>
      <c r="AH635" s="286"/>
      <c r="AI635" s="286"/>
      <c r="AJ635" s="287"/>
      <c r="AK635" s="140"/>
      <c r="AL635" s="140"/>
    </row>
    <row r="636" ht="15.75" customHeight="1">
      <c r="A636" s="125">
        <v>635.0</v>
      </c>
      <c r="B636" s="138">
        <f t="shared" si="62"/>
        <v>10635</v>
      </c>
      <c r="C636" s="250" t="s">
        <v>1840</v>
      </c>
      <c r="D636" s="122" t="s">
        <v>2677</v>
      </c>
      <c r="E636" s="125" t="s">
        <v>7</v>
      </c>
      <c r="F636" s="126" t="s">
        <v>2790</v>
      </c>
      <c r="G636" s="127" t="s">
        <v>1192</v>
      </c>
      <c r="H636" s="140" t="s">
        <v>1844</v>
      </c>
      <c r="I636" s="128" t="s">
        <v>1843</v>
      </c>
      <c r="J636" s="186" t="s">
        <v>1844</v>
      </c>
      <c r="K636" s="136" t="s">
        <v>1844</v>
      </c>
      <c r="L636" s="136" t="s">
        <v>1844</v>
      </c>
      <c r="M636" s="136" t="s">
        <v>1844</v>
      </c>
      <c r="N636" s="144" t="s">
        <v>1844</v>
      </c>
      <c r="O636" s="140" t="s">
        <v>1844</v>
      </c>
      <c r="P636" s="140" t="s">
        <v>1844</v>
      </c>
      <c r="Q636" s="140"/>
      <c r="R636" s="144" t="s">
        <v>1845</v>
      </c>
      <c r="S636" s="140" t="s">
        <v>1845</v>
      </c>
      <c r="T636" s="140" t="s">
        <v>1845</v>
      </c>
      <c r="U636" s="140"/>
      <c r="V636" s="140"/>
      <c r="W636" s="144" t="s">
        <v>1845</v>
      </c>
      <c r="X636" s="136"/>
      <c r="Y636" s="128"/>
      <c r="Z636" s="140"/>
      <c r="AA636" s="140"/>
      <c r="AB636" s="140"/>
      <c r="AC636" s="140"/>
      <c r="AD636" s="140"/>
      <c r="AE636" s="140"/>
      <c r="AF636" s="140"/>
      <c r="AG636" s="135"/>
      <c r="AH636" s="286"/>
      <c r="AI636" s="286"/>
      <c r="AJ636" s="287"/>
      <c r="AK636" s="140"/>
      <c r="AL636" s="140"/>
    </row>
    <row r="637" ht="15.75" customHeight="1">
      <c r="A637" s="151">
        <v>636.0</v>
      </c>
      <c r="B637" s="138">
        <f t="shared" si="62"/>
        <v>10636</v>
      </c>
      <c r="C637" s="250" t="s">
        <v>1840</v>
      </c>
      <c r="D637" s="122" t="s">
        <v>2490</v>
      </c>
      <c r="E637" s="125" t="s">
        <v>34</v>
      </c>
      <c r="F637" s="272" t="s">
        <v>2791</v>
      </c>
      <c r="G637" s="127" t="s">
        <v>1193</v>
      </c>
      <c r="H637" s="140" t="s">
        <v>1844</v>
      </c>
      <c r="I637" s="128" t="s">
        <v>1843</v>
      </c>
      <c r="J637" s="186" t="s">
        <v>1876</v>
      </c>
      <c r="K637" s="136" t="s">
        <v>2348</v>
      </c>
      <c r="L637" s="136" t="s">
        <v>1878</v>
      </c>
      <c r="M637" s="136" t="s">
        <v>1845</v>
      </c>
      <c r="N637" s="144" t="s">
        <v>1844</v>
      </c>
      <c r="O637" s="140" t="s">
        <v>1879</v>
      </c>
      <c r="P637" s="140" t="s">
        <v>1862</v>
      </c>
      <c r="Q637" s="140"/>
      <c r="R637" s="144" t="s">
        <v>1845</v>
      </c>
      <c r="S637" s="140" t="s">
        <v>1845</v>
      </c>
      <c r="T637" s="140"/>
      <c r="U637" s="140"/>
      <c r="V637" s="140"/>
      <c r="W637" s="144"/>
      <c r="X637" s="136"/>
      <c r="Y637" s="128"/>
      <c r="Z637" s="140"/>
      <c r="AA637" s="140"/>
      <c r="AB637" s="128"/>
      <c r="AC637" s="128"/>
      <c r="AD637" s="128"/>
      <c r="AE637" s="140"/>
      <c r="AF637" s="140"/>
      <c r="AG637" s="135"/>
      <c r="AH637" s="286"/>
      <c r="AI637" s="286"/>
      <c r="AJ637" s="287"/>
      <c r="AK637" s="140"/>
      <c r="AL637" s="140"/>
    </row>
    <row r="638" ht="15.75" customHeight="1">
      <c r="A638" s="125">
        <v>637.0</v>
      </c>
      <c r="B638" s="138">
        <f t="shared" si="62"/>
        <v>10637</v>
      </c>
      <c r="C638" s="250" t="s">
        <v>1840</v>
      </c>
      <c r="D638" s="122" t="s">
        <v>2490</v>
      </c>
      <c r="E638" s="122" t="s">
        <v>34</v>
      </c>
      <c r="F638" s="273" t="s">
        <v>2792</v>
      </c>
      <c r="G638" s="126" t="s">
        <v>1195</v>
      </c>
      <c r="H638" s="140" t="s">
        <v>1844</v>
      </c>
      <c r="I638" s="128" t="s">
        <v>1843</v>
      </c>
      <c r="J638" s="186" t="s">
        <v>1876</v>
      </c>
      <c r="K638" s="136" t="s">
        <v>2348</v>
      </c>
      <c r="L638" s="136" t="s">
        <v>1990</v>
      </c>
      <c r="M638" s="136" t="s">
        <v>1845</v>
      </c>
      <c r="N638" s="144" t="s">
        <v>1844</v>
      </c>
      <c r="O638" s="140" t="s">
        <v>1879</v>
      </c>
      <c r="P638" s="140" t="s">
        <v>1862</v>
      </c>
      <c r="Q638" s="140"/>
      <c r="R638" s="144" t="s">
        <v>1845</v>
      </c>
      <c r="S638" s="140" t="s">
        <v>1845</v>
      </c>
      <c r="T638" s="140"/>
      <c r="U638" s="140"/>
      <c r="V638" s="140"/>
      <c r="W638" s="144"/>
      <c r="X638" s="136"/>
      <c r="Y638" s="128"/>
      <c r="Z638" s="140"/>
      <c r="AA638" s="140"/>
      <c r="AB638" s="291"/>
      <c r="AC638" s="291"/>
      <c r="AD638" s="291"/>
      <c r="AE638" s="140"/>
      <c r="AF638" s="140"/>
      <c r="AG638" s="135"/>
      <c r="AH638" s="286"/>
      <c r="AI638" s="286"/>
      <c r="AJ638" s="287"/>
      <c r="AK638" s="140"/>
      <c r="AL638" s="140"/>
    </row>
    <row r="639" ht="15.75" customHeight="1">
      <c r="A639" s="125">
        <v>638.0</v>
      </c>
      <c r="B639" s="138">
        <f t="shared" si="62"/>
        <v>10638</v>
      </c>
      <c r="C639" s="250" t="s">
        <v>1840</v>
      </c>
      <c r="D639" s="122" t="s">
        <v>1849</v>
      </c>
      <c r="E639" s="122" t="s">
        <v>20</v>
      </c>
      <c r="F639" s="292" t="s">
        <v>2793</v>
      </c>
      <c r="G639" s="127" t="s">
        <v>1197</v>
      </c>
      <c r="H639" s="140" t="s">
        <v>1844</v>
      </c>
      <c r="I639" s="128" t="s">
        <v>1843</v>
      </c>
      <c r="J639" s="186" t="s">
        <v>1844</v>
      </c>
      <c r="K639" s="136" t="s">
        <v>1844</v>
      </c>
      <c r="L639" s="136" t="s">
        <v>1878</v>
      </c>
      <c r="M639" s="136" t="s">
        <v>1845</v>
      </c>
      <c r="N639" s="144" t="s">
        <v>1844</v>
      </c>
      <c r="O639" s="140" t="s">
        <v>1844</v>
      </c>
      <c r="P639" s="140" t="s">
        <v>1862</v>
      </c>
      <c r="Q639" s="140"/>
      <c r="R639" s="144"/>
      <c r="S639" s="140" t="s">
        <v>1845</v>
      </c>
      <c r="T639" s="140"/>
      <c r="U639" s="140"/>
      <c r="V639" s="140"/>
      <c r="W639" s="144"/>
      <c r="X639" s="136"/>
      <c r="Y639" s="128"/>
      <c r="Z639" s="140"/>
      <c r="AA639" s="140"/>
      <c r="AB639" s="293"/>
      <c r="AC639" s="293"/>
      <c r="AD639" s="293"/>
      <c r="AE639" s="140"/>
      <c r="AF639" s="140"/>
      <c r="AG639" s="135"/>
      <c r="AH639" s="286"/>
      <c r="AI639" s="286"/>
      <c r="AJ639" s="287"/>
      <c r="AK639" s="140"/>
      <c r="AL639" s="140"/>
    </row>
    <row r="640" ht="15.75" customHeight="1">
      <c r="A640" s="125">
        <v>639.0</v>
      </c>
      <c r="B640" s="123" t="s">
        <v>1742</v>
      </c>
      <c r="C640" s="250" t="s">
        <v>1840</v>
      </c>
      <c r="D640" s="122" t="s">
        <v>1849</v>
      </c>
      <c r="E640" s="122" t="s">
        <v>20</v>
      </c>
      <c r="F640" s="126" t="s">
        <v>2794</v>
      </c>
      <c r="G640" s="126" t="s">
        <v>2795</v>
      </c>
      <c r="H640" s="140" t="s">
        <v>1844</v>
      </c>
      <c r="I640" s="128" t="s">
        <v>1843</v>
      </c>
      <c r="J640" s="186" t="s">
        <v>1844</v>
      </c>
      <c r="K640" s="136" t="s">
        <v>1844</v>
      </c>
      <c r="L640" s="136" t="s">
        <v>1990</v>
      </c>
      <c r="M640" s="136" t="s">
        <v>1845</v>
      </c>
      <c r="N640" s="144" t="s">
        <v>1844</v>
      </c>
      <c r="O640" s="140" t="s">
        <v>1844</v>
      </c>
      <c r="P640" s="140" t="s">
        <v>2654</v>
      </c>
      <c r="Q640" s="140" t="s">
        <v>1845</v>
      </c>
      <c r="R640" s="144"/>
      <c r="S640" s="140" t="s">
        <v>1845</v>
      </c>
      <c r="T640" s="140"/>
      <c r="U640" s="140"/>
      <c r="V640" s="140"/>
      <c r="W640" s="144"/>
      <c r="X640" s="136"/>
      <c r="Y640" s="128"/>
      <c r="Z640" s="140"/>
      <c r="AA640" s="140"/>
      <c r="AB640" s="140"/>
      <c r="AC640" s="140"/>
      <c r="AD640" s="140"/>
      <c r="AE640" s="140"/>
      <c r="AF640" s="140"/>
      <c r="AG640" s="135"/>
      <c r="AH640" s="286"/>
      <c r="AI640" s="286"/>
      <c r="AJ640" s="287"/>
      <c r="AK640" s="140"/>
      <c r="AL640" s="140"/>
    </row>
    <row r="641" ht="15.75" customHeight="1">
      <c r="A641" s="125">
        <v>640.0</v>
      </c>
      <c r="B641" s="138">
        <f>SUM(A641+10000)</f>
        <v>10640</v>
      </c>
      <c r="C641" s="250" t="s">
        <v>1840</v>
      </c>
      <c r="D641" s="122" t="s">
        <v>2677</v>
      </c>
      <c r="E641" s="122" t="s">
        <v>7</v>
      </c>
      <c r="F641" s="126" t="s">
        <v>2796</v>
      </c>
      <c r="G641" s="126" t="s">
        <v>1201</v>
      </c>
      <c r="H641" s="140" t="s">
        <v>1844</v>
      </c>
      <c r="I641" s="128" t="s">
        <v>1843</v>
      </c>
      <c r="J641" s="186" t="s">
        <v>1844</v>
      </c>
      <c r="K641" s="136" t="s">
        <v>1844</v>
      </c>
      <c r="L641" s="136" t="s">
        <v>1844</v>
      </c>
      <c r="M641" s="136" t="s">
        <v>1844</v>
      </c>
      <c r="N641" s="144" t="s">
        <v>1844</v>
      </c>
      <c r="O641" s="140" t="s">
        <v>1844</v>
      </c>
      <c r="P641" s="140" t="s">
        <v>1844</v>
      </c>
      <c r="Q641" s="140"/>
      <c r="R641" s="144" t="s">
        <v>1845</v>
      </c>
      <c r="S641" s="140"/>
      <c r="T641" s="140"/>
      <c r="U641" s="140"/>
      <c r="V641" s="140"/>
      <c r="W641" s="144" t="s">
        <v>1845</v>
      </c>
      <c r="X641" s="136" t="s">
        <v>1845</v>
      </c>
      <c r="Y641" s="128"/>
      <c r="Z641" s="140"/>
      <c r="AA641" s="140"/>
      <c r="AB641" s="140"/>
      <c r="AC641" s="140"/>
      <c r="AD641" s="140"/>
      <c r="AE641" s="140"/>
      <c r="AF641" s="140"/>
      <c r="AG641" s="135"/>
      <c r="AH641" s="286"/>
      <c r="AI641" s="286"/>
      <c r="AJ641" s="287"/>
      <c r="AK641" s="140"/>
      <c r="AL641" s="140"/>
    </row>
    <row r="642" ht="15.75" customHeight="1">
      <c r="A642" s="125">
        <v>641.0</v>
      </c>
      <c r="B642" s="123" t="s">
        <v>1742</v>
      </c>
      <c r="C642" s="250" t="s">
        <v>1840</v>
      </c>
      <c r="D642" s="122" t="s">
        <v>1849</v>
      </c>
      <c r="E642" s="122" t="s">
        <v>34</v>
      </c>
      <c r="F642" s="272" t="s">
        <v>2652</v>
      </c>
      <c r="G642" s="126" t="s">
        <v>2797</v>
      </c>
      <c r="H642" s="140" t="s">
        <v>1844</v>
      </c>
      <c r="I642" s="128" t="s">
        <v>1843</v>
      </c>
      <c r="J642" s="128" t="s">
        <v>1902</v>
      </c>
      <c r="K642" s="128" t="s">
        <v>1877</v>
      </c>
      <c r="L642" s="128" t="s">
        <v>1878</v>
      </c>
      <c r="M642" s="128" t="s">
        <v>1845</v>
      </c>
      <c r="N642" s="140">
        <v>1.0</v>
      </c>
      <c r="O642" s="140" t="s">
        <v>1879</v>
      </c>
      <c r="P642" s="140" t="s">
        <v>2654</v>
      </c>
      <c r="Q642" s="140" t="s">
        <v>1845</v>
      </c>
      <c r="R642" s="144"/>
      <c r="S642" s="140" t="s">
        <v>1845</v>
      </c>
      <c r="T642" s="140"/>
      <c r="U642" s="140"/>
      <c r="V642" s="140"/>
      <c r="W642" s="144"/>
      <c r="X642" s="136"/>
      <c r="Y642" s="128"/>
      <c r="Z642" s="140"/>
      <c r="AA642" s="140"/>
      <c r="AB642" s="135"/>
      <c r="AC642" s="135"/>
      <c r="AD642" s="135"/>
      <c r="AE642" s="140"/>
      <c r="AF642" s="140"/>
      <c r="AG642" s="135"/>
      <c r="AH642" s="286"/>
      <c r="AI642" s="286"/>
      <c r="AJ642" s="287"/>
      <c r="AK642" s="140"/>
      <c r="AL642" s="140"/>
    </row>
    <row r="643" ht="15.75" customHeight="1">
      <c r="A643" s="125">
        <v>642.0</v>
      </c>
      <c r="B643" s="123" t="s">
        <v>1742</v>
      </c>
      <c r="C643" s="250" t="s">
        <v>1840</v>
      </c>
      <c r="D643" s="122" t="s">
        <v>1849</v>
      </c>
      <c r="E643" s="122" t="s">
        <v>34</v>
      </c>
      <c r="F643" s="273" t="s">
        <v>1993</v>
      </c>
      <c r="G643" s="127" t="s">
        <v>2798</v>
      </c>
      <c r="H643" s="140" t="s">
        <v>1844</v>
      </c>
      <c r="I643" s="128" t="s">
        <v>1843</v>
      </c>
      <c r="J643" s="128" t="s">
        <v>1876</v>
      </c>
      <c r="K643" s="136" t="s">
        <v>2348</v>
      </c>
      <c r="L643" s="128" t="s">
        <v>1878</v>
      </c>
      <c r="M643" s="128" t="s">
        <v>1845</v>
      </c>
      <c r="N643" s="140" t="s">
        <v>1844</v>
      </c>
      <c r="O643" s="140" t="s">
        <v>1879</v>
      </c>
      <c r="P643" s="140" t="s">
        <v>1895</v>
      </c>
      <c r="Q643" s="140" t="s">
        <v>1845</v>
      </c>
      <c r="R643" s="144"/>
      <c r="S643" s="140" t="s">
        <v>1845</v>
      </c>
      <c r="T643" s="140"/>
      <c r="U643" s="140"/>
      <c r="V643" s="140"/>
      <c r="W643" s="144"/>
      <c r="X643" s="136"/>
      <c r="Y643" s="128"/>
      <c r="Z643" s="140"/>
      <c r="AA643" s="140"/>
      <c r="AB643" s="135"/>
      <c r="AC643" s="135"/>
      <c r="AD643" s="135"/>
      <c r="AE643" s="140"/>
      <c r="AF643" s="140"/>
      <c r="AG643" s="135"/>
      <c r="AH643" s="286"/>
      <c r="AI643" s="286"/>
      <c r="AJ643" s="287"/>
      <c r="AK643" s="140"/>
      <c r="AL643" s="140"/>
    </row>
    <row r="644" ht="15.75" customHeight="1">
      <c r="A644" s="125">
        <v>643.0</v>
      </c>
      <c r="B644" s="138">
        <f>SUM(A644+10000)</f>
        <v>10643</v>
      </c>
      <c r="C644" s="250" t="s">
        <v>1840</v>
      </c>
      <c r="D644" s="122" t="s">
        <v>1849</v>
      </c>
      <c r="E644" s="122" t="s">
        <v>7</v>
      </c>
      <c r="F644" s="126" t="s">
        <v>2799</v>
      </c>
      <c r="G644" s="126" t="s">
        <v>1207</v>
      </c>
      <c r="H644" s="140" t="s">
        <v>1844</v>
      </c>
      <c r="I644" s="128" t="s">
        <v>1843</v>
      </c>
      <c r="J644" s="128" t="s">
        <v>1844</v>
      </c>
      <c r="K644" s="136" t="s">
        <v>1844</v>
      </c>
      <c r="L644" s="128" t="s">
        <v>1844</v>
      </c>
      <c r="M644" s="128" t="s">
        <v>1844</v>
      </c>
      <c r="N644" s="140" t="s">
        <v>1844</v>
      </c>
      <c r="O644" s="140" t="s">
        <v>1844</v>
      </c>
      <c r="P644" s="140" t="s">
        <v>1844</v>
      </c>
      <c r="Q644" s="140"/>
      <c r="R644" s="144" t="s">
        <v>1845</v>
      </c>
      <c r="S644" s="140"/>
      <c r="T644" s="140" t="s">
        <v>1845</v>
      </c>
      <c r="U644" s="140"/>
      <c r="V644" s="140"/>
      <c r="W644" s="144"/>
      <c r="X644" s="136" t="s">
        <v>1845</v>
      </c>
      <c r="Y644" s="128"/>
      <c r="Z644" s="140"/>
      <c r="AA644" s="140"/>
      <c r="AB644" s="135"/>
      <c r="AC644" s="135"/>
      <c r="AD644" s="135"/>
      <c r="AE644" s="140"/>
      <c r="AF644" s="140"/>
      <c r="AG644" s="135"/>
      <c r="AH644" s="286"/>
      <c r="AI644" s="286"/>
      <c r="AJ644" s="287"/>
      <c r="AK644" s="140"/>
      <c r="AL644" s="140"/>
    </row>
    <row r="645" ht="15.75" customHeight="1">
      <c r="A645" s="125">
        <v>644.0</v>
      </c>
      <c r="B645" s="123" t="s">
        <v>1742</v>
      </c>
      <c r="C645" s="250" t="s">
        <v>1840</v>
      </c>
      <c r="D645" s="122" t="s">
        <v>2212</v>
      </c>
      <c r="E645" s="122" t="s">
        <v>7</v>
      </c>
      <c r="F645" s="127" t="s">
        <v>2800</v>
      </c>
      <c r="G645" s="127" t="s">
        <v>2801</v>
      </c>
      <c r="H645" s="140" t="s">
        <v>1844</v>
      </c>
      <c r="I645" s="128" t="s">
        <v>1843</v>
      </c>
      <c r="J645" s="186" t="s">
        <v>1844</v>
      </c>
      <c r="K645" s="136" t="s">
        <v>1844</v>
      </c>
      <c r="L645" s="136" t="s">
        <v>1844</v>
      </c>
      <c r="M645" s="136" t="s">
        <v>1844</v>
      </c>
      <c r="N645" s="144" t="s">
        <v>1844</v>
      </c>
      <c r="O645" s="140" t="s">
        <v>1844</v>
      </c>
      <c r="P645" s="140" t="s">
        <v>1844</v>
      </c>
      <c r="Q645" s="140" t="s">
        <v>1845</v>
      </c>
      <c r="R645" s="144"/>
      <c r="S645" s="140" t="s">
        <v>1845</v>
      </c>
      <c r="T645" s="140" t="s">
        <v>1845</v>
      </c>
      <c r="U645" s="140"/>
      <c r="V645" s="140"/>
      <c r="W645" s="144" t="s">
        <v>1845</v>
      </c>
      <c r="X645" s="136"/>
      <c r="Y645" s="128"/>
      <c r="Z645" s="140"/>
      <c r="AA645" s="140"/>
      <c r="AB645" s="140"/>
      <c r="AC645" s="140"/>
      <c r="AD645" s="140"/>
      <c r="AE645" s="140"/>
      <c r="AF645" s="140"/>
      <c r="AG645" s="135"/>
      <c r="AH645" s="286"/>
      <c r="AI645" s="286"/>
      <c r="AJ645" s="287"/>
      <c r="AK645" s="140"/>
      <c r="AL645" s="140"/>
    </row>
    <row r="646" ht="15.75" customHeight="1">
      <c r="A646" s="125">
        <v>645.0</v>
      </c>
      <c r="B646" s="123" t="s">
        <v>1742</v>
      </c>
      <c r="C646" s="250" t="s">
        <v>1840</v>
      </c>
      <c r="D646" s="122" t="s">
        <v>2212</v>
      </c>
      <c r="E646" s="122" t="s">
        <v>7</v>
      </c>
      <c r="F646" s="127" t="s">
        <v>2802</v>
      </c>
      <c r="G646" s="126" t="s">
        <v>2803</v>
      </c>
      <c r="H646" s="140" t="s">
        <v>1844</v>
      </c>
      <c r="I646" s="128" t="s">
        <v>1843</v>
      </c>
      <c r="J646" s="186" t="s">
        <v>1844</v>
      </c>
      <c r="K646" s="136" t="s">
        <v>1844</v>
      </c>
      <c r="L646" s="136" t="s">
        <v>1844</v>
      </c>
      <c r="M646" s="136" t="s">
        <v>1844</v>
      </c>
      <c r="N646" s="144" t="s">
        <v>1844</v>
      </c>
      <c r="O646" s="140" t="s">
        <v>1844</v>
      </c>
      <c r="P646" s="140" t="s">
        <v>1844</v>
      </c>
      <c r="Q646" s="140" t="s">
        <v>1845</v>
      </c>
      <c r="R646" s="144"/>
      <c r="S646" s="140" t="s">
        <v>1845</v>
      </c>
      <c r="T646" s="140" t="s">
        <v>1845</v>
      </c>
      <c r="U646" s="140"/>
      <c r="V646" s="140"/>
      <c r="W646" s="144" t="s">
        <v>1845</v>
      </c>
      <c r="X646" s="136"/>
      <c r="Y646" s="128"/>
      <c r="Z646" s="140"/>
      <c r="AA646" s="140"/>
      <c r="AB646" s="140"/>
      <c r="AC646" s="140"/>
      <c r="AD646" s="140"/>
      <c r="AE646" s="140"/>
      <c r="AF646" s="140"/>
      <c r="AG646" s="135"/>
      <c r="AH646" s="286"/>
      <c r="AI646" s="286"/>
      <c r="AJ646" s="287"/>
      <c r="AK646" s="140"/>
      <c r="AL646" s="140"/>
    </row>
    <row r="647" ht="15.75" customHeight="1">
      <c r="A647" s="125">
        <v>646.0</v>
      </c>
      <c r="B647" s="138">
        <f t="shared" ref="B647:B649" si="63">SUM(A647+10000)</f>
        <v>10646</v>
      </c>
      <c r="C647" s="250" t="s">
        <v>1840</v>
      </c>
      <c r="D647" s="122" t="s">
        <v>2677</v>
      </c>
      <c r="E647" s="122" t="s">
        <v>7</v>
      </c>
      <c r="F647" s="127" t="s">
        <v>2804</v>
      </c>
      <c r="G647" s="126" t="s">
        <v>1213</v>
      </c>
      <c r="H647" s="140" t="s">
        <v>1844</v>
      </c>
      <c r="I647" s="128" t="s">
        <v>1843</v>
      </c>
      <c r="J647" s="186" t="s">
        <v>1844</v>
      </c>
      <c r="K647" s="136" t="s">
        <v>1844</v>
      </c>
      <c r="L647" s="136" t="s">
        <v>1844</v>
      </c>
      <c r="M647" s="136" t="s">
        <v>1844</v>
      </c>
      <c r="N647" s="144" t="s">
        <v>1844</v>
      </c>
      <c r="O647" s="140" t="s">
        <v>1844</v>
      </c>
      <c r="P647" s="140" t="s">
        <v>1844</v>
      </c>
      <c r="Q647" s="140"/>
      <c r="R647" s="144" t="s">
        <v>2401</v>
      </c>
      <c r="S647" s="140"/>
      <c r="T647" s="140" t="s">
        <v>1845</v>
      </c>
      <c r="U647" s="140"/>
      <c r="V647" s="140"/>
      <c r="W647" s="144" t="s">
        <v>1845</v>
      </c>
      <c r="X647" s="136"/>
      <c r="Y647" s="128"/>
      <c r="Z647" s="140" t="s">
        <v>2401</v>
      </c>
      <c r="AA647" s="140"/>
      <c r="AB647" s="140"/>
      <c r="AC647" s="140"/>
      <c r="AD647" s="140"/>
      <c r="AE647" s="140"/>
      <c r="AF647" s="140"/>
      <c r="AG647" s="135"/>
      <c r="AH647" s="286"/>
      <c r="AI647" s="286"/>
      <c r="AJ647" s="287"/>
      <c r="AK647" s="140"/>
      <c r="AL647" s="140"/>
    </row>
    <row r="648" ht="15.75" customHeight="1">
      <c r="A648" s="125">
        <v>647.0</v>
      </c>
      <c r="B648" s="138">
        <f t="shared" si="63"/>
        <v>10647</v>
      </c>
      <c r="C648" s="250" t="s">
        <v>1840</v>
      </c>
      <c r="D648" s="122" t="s">
        <v>2677</v>
      </c>
      <c r="E648" s="122" t="s">
        <v>7</v>
      </c>
      <c r="F648" s="127" t="s">
        <v>2779</v>
      </c>
      <c r="G648" s="126" t="s">
        <v>1215</v>
      </c>
      <c r="H648" s="140" t="s">
        <v>1844</v>
      </c>
      <c r="I648" s="128" t="s">
        <v>1843</v>
      </c>
      <c r="J648" s="186" t="s">
        <v>1844</v>
      </c>
      <c r="K648" s="136" t="s">
        <v>1844</v>
      </c>
      <c r="L648" s="136" t="s">
        <v>1844</v>
      </c>
      <c r="M648" s="136" t="s">
        <v>1844</v>
      </c>
      <c r="N648" s="144" t="s">
        <v>1844</v>
      </c>
      <c r="O648" s="140" t="s">
        <v>1844</v>
      </c>
      <c r="P648" s="140" t="s">
        <v>1844</v>
      </c>
      <c r="Q648" s="140"/>
      <c r="R648" s="144" t="s">
        <v>1845</v>
      </c>
      <c r="S648" s="140" t="s">
        <v>1845</v>
      </c>
      <c r="T648" s="140" t="s">
        <v>1845</v>
      </c>
      <c r="U648" s="140"/>
      <c r="V648" s="140"/>
      <c r="W648" s="144" t="s">
        <v>1845</v>
      </c>
      <c r="X648" s="136" t="s">
        <v>1845</v>
      </c>
      <c r="Y648" s="128"/>
      <c r="Z648" s="140"/>
      <c r="AA648" s="140"/>
      <c r="AB648" s="140"/>
      <c r="AC648" s="128"/>
      <c r="AD648" s="128"/>
      <c r="AE648" s="128"/>
      <c r="AF648" s="140"/>
      <c r="AG648" s="135"/>
      <c r="AH648" s="286"/>
      <c r="AI648" s="286"/>
      <c r="AJ648" s="287"/>
      <c r="AK648" s="140"/>
      <c r="AL648" s="140"/>
    </row>
    <row r="649" ht="15.75" customHeight="1">
      <c r="A649" s="125">
        <v>648.0</v>
      </c>
      <c r="B649" s="138">
        <f t="shared" si="63"/>
        <v>10648</v>
      </c>
      <c r="C649" s="250" t="s">
        <v>1840</v>
      </c>
      <c r="D649" s="122" t="s">
        <v>2677</v>
      </c>
      <c r="E649" s="122" t="s">
        <v>7</v>
      </c>
      <c r="F649" s="127" t="s">
        <v>2805</v>
      </c>
      <c r="G649" s="127" t="s">
        <v>1217</v>
      </c>
      <c r="H649" s="140" t="s">
        <v>1844</v>
      </c>
      <c r="I649" s="128" t="s">
        <v>1843</v>
      </c>
      <c r="J649" s="186" t="s">
        <v>1844</v>
      </c>
      <c r="K649" s="136" t="s">
        <v>1844</v>
      </c>
      <c r="L649" s="136" t="s">
        <v>1844</v>
      </c>
      <c r="M649" s="136" t="s">
        <v>1844</v>
      </c>
      <c r="N649" s="144" t="s">
        <v>1844</v>
      </c>
      <c r="O649" s="140" t="s">
        <v>1844</v>
      </c>
      <c r="P649" s="140" t="s">
        <v>1844</v>
      </c>
      <c r="Q649" s="140"/>
      <c r="R649" s="144" t="s">
        <v>1845</v>
      </c>
      <c r="S649" s="140" t="s">
        <v>1845</v>
      </c>
      <c r="T649" s="140" t="s">
        <v>1845</v>
      </c>
      <c r="U649" s="140"/>
      <c r="V649" s="140"/>
      <c r="W649" s="144" t="s">
        <v>1845</v>
      </c>
      <c r="X649" s="136" t="s">
        <v>1845</v>
      </c>
      <c r="Y649" s="128"/>
      <c r="Z649" s="140"/>
      <c r="AA649" s="140"/>
      <c r="AB649" s="140"/>
      <c r="AC649" s="136"/>
      <c r="AD649" s="136"/>
      <c r="AE649" s="136"/>
      <c r="AF649" s="140"/>
      <c r="AG649" s="140"/>
      <c r="AH649" s="286"/>
      <c r="AI649" s="286"/>
      <c r="AJ649" s="287"/>
      <c r="AK649" s="140"/>
      <c r="AL649" s="140"/>
    </row>
    <row r="650" ht="15.75" customHeight="1">
      <c r="A650" s="125">
        <v>649.0</v>
      </c>
      <c r="B650" s="123" t="s">
        <v>1742</v>
      </c>
      <c r="C650" s="250" t="s">
        <v>1840</v>
      </c>
      <c r="D650" s="122" t="s">
        <v>2434</v>
      </c>
      <c r="E650" s="122" t="s">
        <v>7</v>
      </c>
      <c r="F650" s="127" t="s">
        <v>2806</v>
      </c>
      <c r="G650" s="127" t="s">
        <v>2807</v>
      </c>
      <c r="H650" s="140" t="s">
        <v>1844</v>
      </c>
      <c r="I650" s="128" t="s">
        <v>1843</v>
      </c>
      <c r="J650" s="186" t="s">
        <v>1844</v>
      </c>
      <c r="K650" s="136" t="s">
        <v>1844</v>
      </c>
      <c r="L650" s="136" t="s">
        <v>1844</v>
      </c>
      <c r="M650" s="136" t="s">
        <v>1844</v>
      </c>
      <c r="N650" s="144" t="s">
        <v>1844</v>
      </c>
      <c r="O650" s="140" t="s">
        <v>1844</v>
      </c>
      <c r="P650" s="140" t="s">
        <v>1844</v>
      </c>
      <c r="Q650" s="140" t="s">
        <v>1845</v>
      </c>
      <c r="R650" s="144"/>
      <c r="S650" s="140"/>
      <c r="T650" s="140"/>
      <c r="U650" s="140"/>
      <c r="V650" s="140"/>
      <c r="W650" s="144"/>
      <c r="X650" s="136" t="s">
        <v>1845</v>
      </c>
      <c r="Y650" s="128"/>
      <c r="Z650" s="140" t="s">
        <v>1845</v>
      </c>
      <c r="AA650" s="140"/>
      <c r="AB650" s="140"/>
      <c r="AC650" s="136"/>
      <c r="AD650" s="136"/>
      <c r="AE650" s="144"/>
      <c r="AF650" s="140"/>
      <c r="AG650" s="140"/>
      <c r="AH650" s="286"/>
      <c r="AI650" s="286"/>
      <c r="AJ650" s="287"/>
      <c r="AK650" s="140"/>
      <c r="AL650" s="140"/>
    </row>
    <row r="651" ht="15.75" customHeight="1">
      <c r="A651" s="125">
        <v>650.0</v>
      </c>
      <c r="B651" s="138">
        <f t="shared" ref="B651:B675" si="64">SUM(A651+10000)</f>
        <v>10650</v>
      </c>
      <c r="C651" s="250" t="s">
        <v>1840</v>
      </c>
      <c r="D651" s="122" t="s">
        <v>2677</v>
      </c>
      <c r="E651" s="122" t="s">
        <v>34</v>
      </c>
      <c r="F651" s="127" t="s">
        <v>2808</v>
      </c>
      <c r="G651" s="153" t="s">
        <v>2809</v>
      </c>
      <c r="H651" s="140" t="s">
        <v>1844</v>
      </c>
      <c r="I651" s="140" t="s">
        <v>1843</v>
      </c>
      <c r="J651" s="186" t="s">
        <v>1876</v>
      </c>
      <c r="K651" s="136" t="s">
        <v>2348</v>
      </c>
      <c r="L651" s="136" t="s">
        <v>1844</v>
      </c>
      <c r="M651" s="136" t="s">
        <v>1845</v>
      </c>
      <c r="N651" s="144" t="s">
        <v>1844</v>
      </c>
      <c r="O651" s="140" t="s">
        <v>1879</v>
      </c>
      <c r="P651" s="128" t="s">
        <v>1862</v>
      </c>
      <c r="Q651" s="140"/>
      <c r="R651" s="144" t="s">
        <v>1845</v>
      </c>
      <c r="S651" s="128" t="s">
        <v>1845</v>
      </c>
      <c r="T651" s="140" t="s">
        <v>1845</v>
      </c>
      <c r="U651" s="140"/>
      <c r="V651" s="140"/>
      <c r="W651" s="144" t="s">
        <v>1845</v>
      </c>
      <c r="X651" s="136"/>
      <c r="Y651" s="128"/>
      <c r="Z651" s="140"/>
      <c r="AA651" s="140"/>
      <c r="AB651" s="128"/>
      <c r="AC651" s="136"/>
      <c r="AD651" s="136"/>
      <c r="AE651" s="128"/>
      <c r="AF651" s="128"/>
      <c r="AG651" s="140"/>
      <c r="AH651" s="128"/>
      <c r="AI651" s="286"/>
      <c r="AJ651" s="287"/>
      <c r="AK651" s="140"/>
      <c r="AL651" s="140"/>
    </row>
    <row r="652" ht="15.75" customHeight="1">
      <c r="A652" s="125">
        <v>651.0</v>
      </c>
      <c r="B652" s="138">
        <f t="shared" si="64"/>
        <v>10651</v>
      </c>
      <c r="C652" s="250" t="s">
        <v>1840</v>
      </c>
      <c r="D652" s="122" t="s">
        <v>2677</v>
      </c>
      <c r="E652" s="125" t="s">
        <v>7</v>
      </c>
      <c r="F652" s="127" t="s">
        <v>2810</v>
      </c>
      <c r="G652" s="294" t="s">
        <v>2811</v>
      </c>
      <c r="H652" s="140" t="s">
        <v>1844</v>
      </c>
      <c r="I652" s="128" t="s">
        <v>1843</v>
      </c>
      <c r="J652" s="186" t="s">
        <v>1844</v>
      </c>
      <c r="K652" s="136" t="s">
        <v>1844</v>
      </c>
      <c r="L652" s="136" t="s">
        <v>1844</v>
      </c>
      <c r="M652" s="136" t="s">
        <v>1844</v>
      </c>
      <c r="N652" s="144" t="s">
        <v>1844</v>
      </c>
      <c r="O652" s="140" t="s">
        <v>1844</v>
      </c>
      <c r="P652" s="140" t="s">
        <v>1844</v>
      </c>
      <c r="Q652" s="140"/>
      <c r="R652" s="144"/>
      <c r="S652" s="140"/>
      <c r="T652" s="140"/>
      <c r="U652" s="140"/>
      <c r="V652" s="140"/>
      <c r="W652" s="144"/>
      <c r="X652" s="136" t="s">
        <v>1845</v>
      </c>
      <c r="Y652" s="128"/>
      <c r="Z652" s="140" t="s">
        <v>1845</v>
      </c>
      <c r="AA652" s="144"/>
      <c r="AB652" s="144"/>
      <c r="AC652" s="136"/>
      <c r="AD652" s="136"/>
      <c r="AE652" s="144"/>
      <c r="AF652" s="144"/>
      <c r="AG652" s="140"/>
      <c r="AH652" s="136"/>
      <c r="AI652" s="128"/>
      <c r="AJ652" s="137"/>
      <c r="AK652" s="140"/>
      <c r="AL652" s="140"/>
    </row>
    <row r="653" ht="15.75" customHeight="1">
      <c r="A653" s="125">
        <v>652.0</v>
      </c>
      <c r="B653" s="138">
        <f t="shared" si="64"/>
        <v>10652</v>
      </c>
      <c r="C653" s="250" t="s">
        <v>1840</v>
      </c>
      <c r="D653" s="122" t="s">
        <v>2677</v>
      </c>
      <c r="E653" s="122" t="s">
        <v>7</v>
      </c>
      <c r="F653" s="127" t="s">
        <v>2812</v>
      </c>
      <c r="G653" s="210" t="s">
        <v>1225</v>
      </c>
      <c r="H653" s="140" t="s">
        <v>1844</v>
      </c>
      <c r="I653" s="128" t="s">
        <v>1843</v>
      </c>
      <c r="J653" s="186" t="s">
        <v>1844</v>
      </c>
      <c r="K653" s="136" t="s">
        <v>1844</v>
      </c>
      <c r="L653" s="136" t="s">
        <v>1844</v>
      </c>
      <c r="M653" s="136" t="s">
        <v>1844</v>
      </c>
      <c r="N653" s="144" t="s">
        <v>1844</v>
      </c>
      <c r="O653" s="140" t="s">
        <v>1844</v>
      </c>
      <c r="P653" s="140" t="s">
        <v>1844</v>
      </c>
      <c r="Q653" s="140"/>
      <c r="R653" s="144" t="s">
        <v>1845</v>
      </c>
      <c r="S653" s="140" t="s">
        <v>1845</v>
      </c>
      <c r="T653" s="140" t="s">
        <v>1845</v>
      </c>
      <c r="U653" s="140"/>
      <c r="V653" s="140"/>
      <c r="W653" s="144" t="s">
        <v>1845</v>
      </c>
      <c r="X653" s="136"/>
      <c r="Y653" s="128"/>
      <c r="Z653" s="140"/>
      <c r="AA653" s="140"/>
      <c r="AB653" s="144"/>
      <c r="AC653" s="136"/>
      <c r="AD653" s="136"/>
      <c r="AE653" s="140"/>
      <c r="AF653" s="140"/>
      <c r="AG653" s="144"/>
      <c r="AH653" s="286"/>
      <c r="AI653" s="286"/>
      <c r="AJ653" s="287"/>
      <c r="AK653" s="140"/>
      <c r="AL653" s="140"/>
    </row>
    <row r="654" ht="15.75" customHeight="1">
      <c r="A654" s="125">
        <v>653.0</v>
      </c>
      <c r="B654" s="138">
        <f t="shared" si="64"/>
        <v>10653</v>
      </c>
      <c r="C654" s="250" t="s">
        <v>1840</v>
      </c>
      <c r="D654" s="122" t="s">
        <v>2677</v>
      </c>
      <c r="E654" s="125" t="s">
        <v>34</v>
      </c>
      <c r="F654" s="127" t="s">
        <v>2813</v>
      </c>
      <c r="G654" s="152" t="s">
        <v>1227</v>
      </c>
      <c r="H654" s="140" t="s">
        <v>1844</v>
      </c>
      <c r="I654" s="140" t="s">
        <v>1843</v>
      </c>
      <c r="J654" s="186" t="s">
        <v>1876</v>
      </c>
      <c r="K654" s="136" t="s">
        <v>2348</v>
      </c>
      <c r="L654" s="136" t="s">
        <v>1844</v>
      </c>
      <c r="M654" s="136" t="s">
        <v>1845</v>
      </c>
      <c r="N654" s="144" t="s">
        <v>1844</v>
      </c>
      <c r="O654" s="140" t="s">
        <v>1879</v>
      </c>
      <c r="P654" s="128" t="s">
        <v>1862</v>
      </c>
      <c r="Q654" s="140"/>
      <c r="R654" s="144" t="s">
        <v>1845</v>
      </c>
      <c r="S654" s="128" t="s">
        <v>1845</v>
      </c>
      <c r="T654" s="140" t="s">
        <v>1845</v>
      </c>
      <c r="U654" s="140"/>
      <c r="V654" s="140"/>
      <c r="W654" s="144" t="s">
        <v>1845</v>
      </c>
      <c r="X654" s="136"/>
      <c r="Y654" s="128"/>
      <c r="Z654" s="140"/>
      <c r="AA654" s="140"/>
      <c r="AB654" s="144"/>
      <c r="AC654" s="144"/>
      <c r="AD654" s="144"/>
      <c r="AE654" s="140"/>
      <c r="AF654" s="140"/>
      <c r="AG654" s="144"/>
      <c r="AH654" s="128"/>
      <c r="AI654" s="286"/>
      <c r="AJ654" s="287"/>
      <c r="AK654" s="140"/>
      <c r="AL654" s="140"/>
    </row>
    <row r="655" ht="15.75" customHeight="1">
      <c r="A655" s="141">
        <v>654.0</v>
      </c>
      <c r="B655" s="138">
        <f t="shared" si="64"/>
        <v>10654</v>
      </c>
      <c r="C655" s="250" t="s">
        <v>1840</v>
      </c>
      <c r="D655" s="295" t="s">
        <v>2677</v>
      </c>
      <c r="E655" s="295" t="s">
        <v>7</v>
      </c>
      <c r="F655" s="127" t="s">
        <v>2814</v>
      </c>
      <c r="G655" s="126" t="s">
        <v>1229</v>
      </c>
      <c r="H655" s="140" t="s">
        <v>1844</v>
      </c>
      <c r="I655" s="128" t="s">
        <v>1843</v>
      </c>
      <c r="J655" s="186" t="s">
        <v>1844</v>
      </c>
      <c r="K655" s="136" t="s">
        <v>1844</v>
      </c>
      <c r="L655" s="136" t="s">
        <v>1844</v>
      </c>
      <c r="M655" s="136" t="s">
        <v>1844</v>
      </c>
      <c r="N655" s="144" t="s">
        <v>1844</v>
      </c>
      <c r="O655" s="140" t="s">
        <v>1844</v>
      </c>
      <c r="P655" s="140" t="s">
        <v>1844</v>
      </c>
      <c r="Q655" s="140"/>
      <c r="R655" s="144" t="s">
        <v>1845</v>
      </c>
      <c r="S655" s="140" t="s">
        <v>1845</v>
      </c>
      <c r="T655" s="140" t="s">
        <v>1845</v>
      </c>
      <c r="U655" s="140"/>
      <c r="V655" s="140"/>
      <c r="W655" s="144"/>
      <c r="X655" s="136" t="s">
        <v>1845</v>
      </c>
      <c r="Y655" s="136"/>
      <c r="Z655" s="144"/>
      <c r="AA655" s="144"/>
      <c r="AB655" s="144"/>
      <c r="AC655" s="144"/>
      <c r="AD655" s="144"/>
      <c r="AE655" s="144"/>
      <c r="AF655" s="296"/>
      <c r="AG655" s="140"/>
      <c r="AH655" s="297"/>
      <c r="AI655" s="286"/>
      <c r="AJ655" s="287"/>
      <c r="AK655" s="140"/>
      <c r="AL655" s="140"/>
    </row>
    <row r="656" ht="15.75" customHeight="1">
      <c r="A656" s="125">
        <v>655.0</v>
      </c>
      <c r="B656" s="138">
        <f t="shared" si="64"/>
        <v>10655</v>
      </c>
      <c r="C656" s="250" t="s">
        <v>1840</v>
      </c>
      <c r="D656" s="122" t="s">
        <v>2677</v>
      </c>
      <c r="E656" s="122" t="s">
        <v>7</v>
      </c>
      <c r="F656" s="127" t="s">
        <v>2710</v>
      </c>
      <c r="G656" s="127" t="s">
        <v>1231</v>
      </c>
      <c r="H656" s="140" t="s">
        <v>1844</v>
      </c>
      <c r="I656" s="128" t="s">
        <v>1843</v>
      </c>
      <c r="J656" s="186" t="s">
        <v>1844</v>
      </c>
      <c r="K656" s="136" t="s">
        <v>1844</v>
      </c>
      <c r="L656" s="136" t="s">
        <v>1844</v>
      </c>
      <c r="M656" s="136" t="s">
        <v>1844</v>
      </c>
      <c r="N656" s="144" t="s">
        <v>1844</v>
      </c>
      <c r="O656" s="140" t="s">
        <v>1844</v>
      </c>
      <c r="P656" s="140" t="s">
        <v>1844</v>
      </c>
      <c r="Q656" s="140"/>
      <c r="R656" s="144" t="s">
        <v>1845</v>
      </c>
      <c r="S656" s="140" t="s">
        <v>1845</v>
      </c>
      <c r="T656" s="140" t="s">
        <v>1845</v>
      </c>
      <c r="U656" s="140"/>
      <c r="V656" s="140"/>
      <c r="W656" s="144" t="s">
        <v>1845</v>
      </c>
      <c r="X656" s="136"/>
      <c r="Y656" s="128"/>
      <c r="Z656" s="140" t="s">
        <v>1845</v>
      </c>
      <c r="AA656" s="140"/>
      <c r="AB656" s="144"/>
      <c r="AC656" s="144"/>
      <c r="AD656" s="144"/>
      <c r="AE656" s="140"/>
      <c r="AF656" s="140"/>
      <c r="AG656" s="293"/>
      <c r="AH656" s="286"/>
      <c r="AI656" s="286"/>
      <c r="AJ656" s="287"/>
      <c r="AK656" s="140"/>
      <c r="AL656" s="140"/>
    </row>
    <row r="657" ht="15.75" customHeight="1">
      <c r="A657" s="125">
        <v>656.0</v>
      </c>
      <c r="B657" s="138">
        <f t="shared" si="64"/>
        <v>10656</v>
      </c>
      <c r="C657" s="250" t="s">
        <v>1840</v>
      </c>
      <c r="D657" s="122" t="s">
        <v>2677</v>
      </c>
      <c r="E657" s="122" t="s">
        <v>7</v>
      </c>
      <c r="F657" s="127" t="s">
        <v>2815</v>
      </c>
      <c r="G657" s="153" t="s">
        <v>1233</v>
      </c>
      <c r="H657" s="140" t="s">
        <v>1844</v>
      </c>
      <c r="I657" s="128" t="s">
        <v>1843</v>
      </c>
      <c r="J657" s="186" t="s">
        <v>1844</v>
      </c>
      <c r="K657" s="136" t="s">
        <v>1844</v>
      </c>
      <c r="L657" s="136" t="s">
        <v>1844</v>
      </c>
      <c r="M657" s="136" t="s">
        <v>1844</v>
      </c>
      <c r="N657" s="144" t="s">
        <v>1844</v>
      </c>
      <c r="O657" s="140" t="s">
        <v>1844</v>
      </c>
      <c r="P657" s="140" t="s">
        <v>1844</v>
      </c>
      <c r="Q657" s="140"/>
      <c r="R657" s="144" t="s">
        <v>1845</v>
      </c>
      <c r="S657" s="140" t="s">
        <v>1845</v>
      </c>
      <c r="T657" s="140" t="s">
        <v>1845</v>
      </c>
      <c r="U657" s="140"/>
      <c r="V657" s="140"/>
      <c r="W657" s="144"/>
      <c r="X657" s="136" t="s">
        <v>1845</v>
      </c>
      <c r="Y657" s="128"/>
      <c r="Z657" s="140"/>
      <c r="AA657" s="140"/>
      <c r="AB657" s="144"/>
      <c r="AC657" s="144"/>
      <c r="AD657" s="144"/>
      <c r="AE657" s="140"/>
      <c r="AF657" s="298"/>
      <c r="AG657" s="140"/>
      <c r="AH657" s="297"/>
      <c r="AI657" s="286"/>
      <c r="AJ657" s="287"/>
      <c r="AK657" s="140"/>
      <c r="AL657" s="140"/>
    </row>
    <row r="658" ht="15.75" customHeight="1">
      <c r="A658" s="125">
        <v>657.0</v>
      </c>
      <c r="B658" s="138">
        <f t="shared" si="64"/>
        <v>10657</v>
      </c>
      <c r="C658" s="250" t="s">
        <v>1840</v>
      </c>
      <c r="D658" s="122" t="s">
        <v>2677</v>
      </c>
      <c r="E658" s="122" t="s">
        <v>7</v>
      </c>
      <c r="F658" s="127" t="s">
        <v>2816</v>
      </c>
      <c r="G658" s="152" t="s">
        <v>1234</v>
      </c>
      <c r="H658" s="140" t="s">
        <v>1844</v>
      </c>
      <c r="I658" s="128" t="s">
        <v>1843</v>
      </c>
      <c r="J658" s="299" t="s">
        <v>1844</v>
      </c>
      <c r="K658" s="144" t="s">
        <v>1844</v>
      </c>
      <c r="L658" s="144" t="s">
        <v>1844</v>
      </c>
      <c r="M658" s="144" t="s">
        <v>1844</v>
      </c>
      <c r="N658" s="144" t="s">
        <v>1844</v>
      </c>
      <c r="O658" s="140" t="s">
        <v>1844</v>
      </c>
      <c r="P658" s="140" t="s">
        <v>1844</v>
      </c>
      <c r="Q658" s="140"/>
      <c r="R658" s="144" t="s">
        <v>1845</v>
      </c>
      <c r="S658" s="128" t="s">
        <v>1845</v>
      </c>
      <c r="T658" s="128" t="s">
        <v>1845</v>
      </c>
      <c r="U658" s="128"/>
      <c r="V658" s="128"/>
      <c r="W658" s="144"/>
      <c r="X658" s="128" t="s">
        <v>1845</v>
      </c>
      <c r="Y658" s="128"/>
      <c r="Z658" s="128"/>
      <c r="AA658" s="140"/>
      <c r="AB658" s="144"/>
      <c r="AC658" s="144"/>
      <c r="AD658" s="144"/>
      <c r="AE658" s="140"/>
      <c r="AF658" s="298"/>
      <c r="AG658" s="140"/>
      <c r="AH658" s="297"/>
      <c r="AI658" s="286"/>
      <c r="AJ658" s="287"/>
      <c r="AK658" s="140"/>
      <c r="AL658" s="140"/>
    </row>
    <row r="659" ht="15.75" customHeight="1">
      <c r="A659" s="125">
        <v>658.0</v>
      </c>
      <c r="B659" s="138">
        <f t="shared" si="64"/>
        <v>10658</v>
      </c>
      <c r="C659" s="250" t="s">
        <v>1840</v>
      </c>
      <c r="D659" s="122" t="s">
        <v>2677</v>
      </c>
      <c r="E659" s="122" t="s">
        <v>7</v>
      </c>
      <c r="F659" s="127" t="s">
        <v>2817</v>
      </c>
      <c r="G659" s="152" t="s">
        <v>1236</v>
      </c>
      <c r="H659" s="140" t="s">
        <v>1844</v>
      </c>
      <c r="I659" s="128" t="s">
        <v>1843</v>
      </c>
      <c r="J659" s="128" t="s">
        <v>1844</v>
      </c>
      <c r="K659" s="128" t="s">
        <v>1844</v>
      </c>
      <c r="L659" s="128" t="s">
        <v>1844</v>
      </c>
      <c r="M659" s="128" t="s">
        <v>1844</v>
      </c>
      <c r="N659" s="140" t="s">
        <v>1844</v>
      </c>
      <c r="O659" s="140" t="s">
        <v>1844</v>
      </c>
      <c r="P659" s="140" t="s">
        <v>1844</v>
      </c>
      <c r="Q659" s="140"/>
      <c r="R659" s="144" t="s">
        <v>1845</v>
      </c>
      <c r="S659" s="140" t="s">
        <v>1845</v>
      </c>
      <c r="T659" s="140" t="s">
        <v>1845</v>
      </c>
      <c r="U659" s="140"/>
      <c r="V659" s="140"/>
      <c r="W659" s="144" t="s">
        <v>1845</v>
      </c>
      <c r="X659" s="128" t="s">
        <v>1845</v>
      </c>
      <c r="Y659" s="128"/>
      <c r="Z659" s="140"/>
      <c r="AA659" s="140"/>
      <c r="AB659" s="144"/>
      <c r="AC659" s="144"/>
      <c r="AD659" s="144"/>
      <c r="AE659" s="140"/>
      <c r="AF659" s="298"/>
      <c r="AG659" s="140"/>
      <c r="AH659" s="297"/>
      <c r="AI659" s="286"/>
      <c r="AJ659" s="287"/>
      <c r="AK659" s="140"/>
      <c r="AL659" s="140"/>
    </row>
    <row r="660" ht="15.75" customHeight="1">
      <c r="A660" s="125">
        <v>659.0</v>
      </c>
      <c r="B660" s="138">
        <f t="shared" si="64"/>
        <v>10659</v>
      </c>
      <c r="C660" s="250" t="s">
        <v>1840</v>
      </c>
      <c r="D660" s="122" t="s">
        <v>2677</v>
      </c>
      <c r="E660" s="122" t="s">
        <v>7</v>
      </c>
      <c r="F660" s="127" t="s">
        <v>2818</v>
      </c>
      <c r="G660" s="152" t="s">
        <v>1238</v>
      </c>
      <c r="H660" s="140" t="s">
        <v>1844</v>
      </c>
      <c r="I660" s="128" t="s">
        <v>1843</v>
      </c>
      <c r="J660" s="186" t="s">
        <v>1844</v>
      </c>
      <c r="K660" s="136" t="s">
        <v>1844</v>
      </c>
      <c r="L660" s="136" t="s">
        <v>1844</v>
      </c>
      <c r="M660" s="136" t="s">
        <v>1844</v>
      </c>
      <c r="N660" s="144" t="s">
        <v>1844</v>
      </c>
      <c r="O660" s="140" t="s">
        <v>1844</v>
      </c>
      <c r="P660" s="140" t="s">
        <v>1844</v>
      </c>
      <c r="Q660" s="140"/>
      <c r="R660" s="144" t="s">
        <v>1845</v>
      </c>
      <c r="S660" s="140" t="s">
        <v>1845</v>
      </c>
      <c r="T660" s="140" t="s">
        <v>1845</v>
      </c>
      <c r="U660" s="140"/>
      <c r="V660" s="140"/>
      <c r="W660" s="144" t="s">
        <v>1845</v>
      </c>
      <c r="X660" s="136" t="s">
        <v>1845</v>
      </c>
      <c r="Y660" s="128"/>
      <c r="Z660" s="140"/>
      <c r="AA660" s="140"/>
      <c r="AB660" s="144"/>
      <c r="AC660" s="144"/>
      <c r="AD660" s="144"/>
      <c r="AE660" s="140"/>
      <c r="AF660" s="298"/>
      <c r="AG660" s="140"/>
      <c r="AH660" s="297"/>
      <c r="AI660" s="286"/>
      <c r="AJ660" s="287"/>
      <c r="AK660" s="140"/>
      <c r="AL660" s="140"/>
    </row>
    <row r="661" ht="15.75" customHeight="1">
      <c r="A661" s="125">
        <v>660.0</v>
      </c>
      <c r="B661" s="138">
        <f t="shared" si="64"/>
        <v>10660</v>
      </c>
      <c r="C661" s="250" t="s">
        <v>1840</v>
      </c>
      <c r="D661" s="122" t="s">
        <v>2677</v>
      </c>
      <c r="E661" s="122" t="s">
        <v>7</v>
      </c>
      <c r="F661" s="127" t="s">
        <v>2819</v>
      </c>
      <c r="G661" s="152" t="s">
        <v>1240</v>
      </c>
      <c r="H661" s="140" t="s">
        <v>1844</v>
      </c>
      <c r="I661" s="128" t="s">
        <v>1843</v>
      </c>
      <c r="J661" s="186" t="s">
        <v>1844</v>
      </c>
      <c r="K661" s="136" t="s">
        <v>1844</v>
      </c>
      <c r="L661" s="136" t="s">
        <v>1844</v>
      </c>
      <c r="M661" s="136" t="s">
        <v>1844</v>
      </c>
      <c r="N661" s="144" t="s">
        <v>1844</v>
      </c>
      <c r="O661" s="140" t="s">
        <v>1844</v>
      </c>
      <c r="P661" s="140" t="s">
        <v>1844</v>
      </c>
      <c r="Q661" s="140"/>
      <c r="R661" s="144" t="s">
        <v>1845</v>
      </c>
      <c r="S661" s="140" t="s">
        <v>1845</v>
      </c>
      <c r="T661" s="140" t="s">
        <v>1845</v>
      </c>
      <c r="U661" s="140"/>
      <c r="V661" s="140"/>
      <c r="W661" s="144"/>
      <c r="X661" s="136" t="s">
        <v>1845</v>
      </c>
      <c r="Y661" s="128"/>
      <c r="Z661" s="140" t="s">
        <v>1845</v>
      </c>
      <c r="AA661" s="140"/>
      <c r="AB661" s="144"/>
      <c r="AC661" s="144"/>
      <c r="AD661" s="144"/>
      <c r="AE661" s="140"/>
      <c r="AF661" s="298"/>
      <c r="AG661" s="140"/>
      <c r="AH661" s="297"/>
      <c r="AI661" s="286"/>
      <c r="AJ661" s="287"/>
      <c r="AK661" s="140"/>
      <c r="AL661" s="140"/>
    </row>
    <row r="662" ht="15.75" customHeight="1">
      <c r="A662" s="125">
        <v>661.0</v>
      </c>
      <c r="B662" s="138">
        <f t="shared" si="64"/>
        <v>10661</v>
      </c>
      <c r="C662" s="250" t="s">
        <v>1840</v>
      </c>
      <c r="D662" s="122" t="s">
        <v>2677</v>
      </c>
      <c r="E662" s="122" t="s">
        <v>7</v>
      </c>
      <c r="F662" s="275" t="s">
        <v>2820</v>
      </c>
      <c r="G662" s="126" t="s">
        <v>1242</v>
      </c>
      <c r="H662" s="140" t="s">
        <v>1844</v>
      </c>
      <c r="I662" s="128" t="s">
        <v>1843</v>
      </c>
      <c r="J662" s="186" t="s">
        <v>1844</v>
      </c>
      <c r="K662" s="136" t="s">
        <v>1844</v>
      </c>
      <c r="L662" s="136" t="s">
        <v>1844</v>
      </c>
      <c r="M662" s="136" t="s">
        <v>1844</v>
      </c>
      <c r="N662" s="144" t="s">
        <v>1844</v>
      </c>
      <c r="O662" s="140" t="s">
        <v>1844</v>
      </c>
      <c r="P662" s="140" t="s">
        <v>1844</v>
      </c>
      <c r="Q662" s="140"/>
      <c r="R662" s="144" t="s">
        <v>1845</v>
      </c>
      <c r="S662" s="140" t="s">
        <v>1845</v>
      </c>
      <c r="T662" s="140" t="s">
        <v>1845</v>
      </c>
      <c r="U662" s="140"/>
      <c r="V662" s="140"/>
      <c r="W662" s="144" t="s">
        <v>1845</v>
      </c>
      <c r="X662" s="136"/>
      <c r="Y662" s="128"/>
      <c r="Z662" s="140" t="s">
        <v>1845</v>
      </c>
      <c r="AA662" s="140"/>
      <c r="AB662" s="144"/>
      <c r="AC662" s="144"/>
      <c r="AD662" s="144"/>
      <c r="AE662" s="140"/>
      <c r="AF662" s="140"/>
      <c r="AG662" s="293"/>
      <c r="AH662" s="286"/>
      <c r="AI662" s="286"/>
      <c r="AJ662" s="287"/>
      <c r="AK662" s="140"/>
      <c r="AL662" s="140"/>
    </row>
    <row r="663" ht="15.75" customHeight="1">
      <c r="A663" s="125">
        <v>662.0</v>
      </c>
      <c r="B663" s="138">
        <f t="shared" si="64"/>
        <v>10662</v>
      </c>
      <c r="C663" s="250" t="s">
        <v>1840</v>
      </c>
      <c r="D663" s="122" t="s">
        <v>2677</v>
      </c>
      <c r="E663" s="122" t="s">
        <v>7</v>
      </c>
      <c r="F663" s="275" t="s">
        <v>2821</v>
      </c>
      <c r="G663" s="127" t="s">
        <v>1244</v>
      </c>
      <c r="H663" s="128" t="s">
        <v>1844</v>
      </c>
      <c r="I663" s="128" t="s">
        <v>1843</v>
      </c>
      <c r="J663" s="186" t="s">
        <v>1844</v>
      </c>
      <c r="K663" s="136" t="s">
        <v>1844</v>
      </c>
      <c r="L663" s="136" t="s">
        <v>1844</v>
      </c>
      <c r="M663" s="136" t="s">
        <v>1844</v>
      </c>
      <c r="N663" s="144" t="s">
        <v>1844</v>
      </c>
      <c r="O663" s="140" t="s">
        <v>1844</v>
      </c>
      <c r="P663" s="140" t="s">
        <v>1844</v>
      </c>
      <c r="Q663" s="140"/>
      <c r="R663" s="144" t="s">
        <v>1845</v>
      </c>
      <c r="S663" s="140" t="s">
        <v>1845</v>
      </c>
      <c r="T663" s="140" t="s">
        <v>1845</v>
      </c>
      <c r="U663" s="140"/>
      <c r="V663" s="140"/>
      <c r="W663" s="144"/>
      <c r="X663" s="136"/>
      <c r="Y663" s="128"/>
      <c r="Z663" s="140" t="s">
        <v>1845</v>
      </c>
      <c r="AA663" s="140"/>
      <c r="AB663" s="144"/>
      <c r="AC663" s="144"/>
      <c r="AD663" s="144"/>
      <c r="AE663" s="140"/>
      <c r="AF663" s="140"/>
      <c r="AG663" s="293"/>
      <c r="AH663" s="286"/>
      <c r="AI663" s="286"/>
      <c r="AJ663" s="287"/>
      <c r="AK663" s="140"/>
      <c r="AL663" s="140"/>
    </row>
    <row r="664" ht="15.75" customHeight="1">
      <c r="A664" s="122">
        <v>663.0</v>
      </c>
      <c r="B664" s="138">
        <f t="shared" si="64"/>
        <v>10663</v>
      </c>
      <c r="C664" s="250" t="s">
        <v>1840</v>
      </c>
      <c r="D664" s="122" t="s">
        <v>2677</v>
      </c>
      <c r="E664" s="125" t="s">
        <v>7</v>
      </c>
      <c r="F664" s="275" t="s">
        <v>2822</v>
      </c>
      <c r="G664" s="127" t="s">
        <v>1246</v>
      </c>
      <c r="H664" s="128" t="s">
        <v>1844</v>
      </c>
      <c r="I664" s="128" t="s">
        <v>1843</v>
      </c>
      <c r="J664" s="149" t="s">
        <v>1844</v>
      </c>
      <c r="K664" s="128" t="s">
        <v>1844</v>
      </c>
      <c r="L664" s="128" t="s">
        <v>1844</v>
      </c>
      <c r="M664" s="128" t="s">
        <v>1844</v>
      </c>
      <c r="N664" s="140" t="s">
        <v>1844</v>
      </c>
      <c r="O664" s="140" t="s">
        <v>1844</v>
      </c>
      <c r="P664" s="140" t="s">
        <v>1844</v>
      </c>
      <c r="Q664" s="140"/>
      <c r="R664" s="140" t="s">
        <v>1845</v>
      </c>
      <c r="S664" s="140" t="s">
        <v>1845</v>
      </c>
      <c r="T664" s="140" t="s">
        <v>1845</v>
      </c>
      <c r="U664" s="140"/>
      <c r="V664" s="140"/>
      <c r="W664" s="140"/>
      <c r="X664" s="128"/>
      <c r="Y664" s="128"/>
      <c r="Z664" s="140" t="s">
        <v>1845</v>
      </c>
      <c r="AA664" s="140"/>
      <c r="AB664" s="140"/>
      <c r="AC664" s="140"/>
      <c r="AD664" s="140"/>
      <c r="AE664" s="140"/>
      <c r="AF664" s="140"/>
      <c r="AG664" s="144"/>
      <c r="AH664" s="140"/>
      <c r="AI664" s="128"/>
      <c r="AJ664" s="137"/>
      <c r="AK664" s="140"/>
      <c r="AL664" s="140"/>
    </row>
    <row r="665" ht="15.75" customHeight="1">
      <c r="A665" s="122">
        <v>664.0</v>
      </c>
      <c r="B665" s="138">
        <f t="shared" si="64"/>
        <v>10664</v>
      </c>
      <c r="C665" s="250" t="s">
        <v>1840</v>
      </c>
      <c r="D665" s="122" t="s">
        <v>2677</v>
      </c>
      <c r="E665" s="125" t="s">
        <v>7</v>
      </c>
      <c r="F665" s="275" t="s">
        <v>2713</v>
      </c>
      <c r="G665" s="153" t="s">
        <v>2823</v>
      </c>
      <c r="H665" s="128" t="s">
        <v>1844</v>
      </c>
      <c r="I665" s="128" t="s">
        <v>1843</v>
      </c>
      <c r="J665" s="149" t="s">
        <v>1844</v>
      </c>
      <c r="K665" s="128" t="s">
        <v>1844</v>
      </c>
      <c r="L665" s="128" t="s">
        <v>1844</v>
      </c>
      <c r="M665" s="128" t="s">
        <v>1844</v>
      </c>
      <c r="N665" s="128" t="s">
        <v>1844</v>
      </c>
      <c r="O665" s="140" t="s">
        <v>1844</v>
      </c>
      <c r="P665" s="140" t="s">
        <v>1844</v>
      </c>
      <c r="Q665" s="140"/>
      <c r="R665" s="140" t="s">
        <v>1845</v>
      </c>
      <c r="S665" s="140" t="s">
        <v>1845</v>
      </c>
      <c r="T665" s="140" t="s">
        <v>1845</v>
      </c>
      <c r="U665" s="140"/>
      <c r="V665" s="140"/>
      <c r="W665" s="140" t="s">
        <v>1845</v>
      </c>
      <c r="X665" s="128" t="s">
        <v>1845</v>
      </c>
      <c r="Y665" s="128"/>
      <c r="Z665" s="140" t="s">
        <v>1845</v>
      </c>
      <c r="AA665" s="140"/>
      <c r="AB665" s="140"/>
      <c r="AC665" s="140"/>
      <c r="AD665" s="140"/>
      <c r="AE665" s="140"/>
      <c r="AF665" s="298"/>
      <c r="AG665" s="140"/>
      <c r="AH665" s="227"/>
      <c r="AI665" s="128"/>
      <c r="AJ665" s="137"/>
      <c r="AK665" s="140"/>
      <c r="AL665" s="140"/>
    </row>
    <row r="666" ht="15.75" customHeight="1">
      <c r="A666" s="125">
        <v>665.0</v>
      </c>
      <c r="B666" s="138">
        <f t="shared" si="64"/>
        <v>10665</v>
      </c>
      <c r="C666" s="250" t="s">
        <v>1840</v>
      </c>
      <c r="D666" s="122" t="s">
        <v>2545</v>
      </c>
      <c r="E666" s="122" t="s">
        <v>7</v>
      </c>
      <c r="F666" s="126" t="s">
        <v>2824</v>
      </c>
      <c r="G666" s="126" t="s">
        <v>1250</v>
      </c>
      <c r="H666" s="140" t="s">
        <v>1844</v>
      </c>
      <c r="I666" s="128" t="s">
        <v>1843</v>
      </c>
      <c r="J666" s="149" t="s">
        <v>1844</v>
      </c>
      <c r="K666" s="149" t="s">
        <v>1844</v>
      </c>
      <c r="L666" s="128" t="s">
        <v>1844</v>
      </c>
      <c r="M666" s="128" t="s">
        <v>1844</v>
      </c>
      <c r="N666" s="140" t="s">
        <v>1844</v>
      </c>
      <c r="O666" s="140" t="s">
        <v>1844</v>
      </c>
      <c r="P666" s="140" t="s">
        <v>1844</v>
      </c>
      <c r="Q666" s="140"/>
      <c r="R666" s="144"/>
      <c r="S666" s="128" t="s">
        <v>1845</v>
      </c>
      <c r="T666" s="140"/>
      <c r="U666" s="140"/>
      <c r="V666" s="140"/>
      <c r="W666" s="144"/>
      <c r="X666" s="128"/>
      <c r="Y666" s="128"/>
      <c r="Z666" s="140"/>
      <c r="AA666" s="140"/>
      <c r="AB666" s="128"/>
      <c r="AC666" s="128"/>
      <c r="AD666" s="128"/>
      <c r="AE666" s="128"/>
      <c r="AF666" s="128"/>
      <c r="AG666" s="135"/>
      <c r="AH666" s="135"/>
      <c r="AI666" s="286"/>
      <c r="AJ666" s="287"/>
      <c r="AK666" s="140"/>
      <c r="AL666" s="140"/>
    </row>
    <row r="667" ht="15.75" customHeight="1">
      <c r="A667" s="125">
        <v>666.0</v>
      </c>
      <c r="B667" s="138">
        <f t="shared" si="64"/>
        <v>10666</v>
      </c>
      <c r="C667" s="250" t="s">
        <v>1840</v>
      </c>
      <c r="D667" s="122" t="s">
        <v>1849</v>
      </c>
      <c r="E667" s="125" t="s">
        <v>7</v>
      </c>
      <c r="F667" s="225" t="s">
        <v>2825</v>
      </c>
      <c r="G667" s="153" t="s">
        <v>1252</v>
      </c>
      <c r="H667" s="128" t="s">
        <v>1844</v>
      </c>
      <c r="I667" s="128" t="s">
        <v>1843</v>
      </c>
      <c r="J667" s="186" t="s">
        <v>1844</v>
      </c>
      <c r="K667" s="136" t="s">
        <v>1844</v>
      </c>
      <c r="L667" s="136" t="s">
        <v>1844</v>
      </c>
      <c r="M667" s="136" t="s">
        <v>1844</v>
      </c>
      <c r="N667" s="144" t="s">
        <v>1844</v>
      </c>
      <c r="O667" s="140" t="s">
        <v>1844</v>
      </c>
      <c r="P667" s="140" t="s">
        <v>1844</v>
      </c>
      <c r="Q667" s="140"/>
      <c r="R667" s="144" t="s">
        <v>1845</v>
      </c>
      <c r="S667" s="140" t="s">
        <v>1845</v>
      </c>
      <c r="T667" s="140" t="s">
        <v>1845</v>
      </c>
      <c r="U667" s="140"/>
      <c r="V667" s="140"/>
      <c r="W667" s="144"/>
      <c r="X667" s="136"/>
      <c r="Y667" s="128"/>
      <c r="Z667" s="140"/>
      <c r="AA667" s="144"/>
      <c r="AB667" s="144"/>
      <c r="AC667" s="144"/>
      <c r="AD667" s="144"/>
      <c r="AE667" s="144"/>
      <c r="AF667" s="144"/>
      <c r="AG667" s="140"/>
      <c r="AH667" s="136"/>
      <c r="AI667" s="128"/>
      <c r="AJ667" s="137"/>
      <c r="AK667" s="140"/>
      <c r="AL667" s="140"/>
    </row>
    <row r="668" ht="15.75" customHeight="1">
      <c r="A668" s="125">
        <v>667.0</v>
      </c>
      <c r="B668" s="138">
        <f t="shared" si="64"/>
        <v>10667</v>
      </c>
      <c r="C668" s="250" t="s">
        <v>1840</v>
      </c>
      <c r="D668" s="122" t="str">
        <f t="array" ref="D668">INDEX(TEXTSPLIT(#REF!, "_"), 2)</f>
        <v>#NAME?</v>
      </c>
      <c r="E668" s="122" t="s">
        <v>34</v>
      </c>
      <c r="F668" s="126" t="s">
        <v>2826</v>
      </c>
      <c r="G668" s="126" t="s">
        <v>1254</v>
      </c>
      <c r="H668" s="128" t="s">
        <v>1844</v>
      </c>
      <c r="I668" s="128" t="s">
        <v>1843</v>
      </c>
      <c r="J668" s="149" t="s">
        <v>1876</v>
      </c>
      <c r="K668" s="136" t="s">
        <v>2348</v>
      </c>
      <c r="L668" s="128" t="s">
        <v>1990</v>
      </c>
      <c r="M668" s="128" t="s">
        <v>1845</v>
      </c>
      <c r="N668" s="140" t="s">
        <v>1844</v>
      </c>
      <c r="O668" s="140" t="s">
        <v>1879</v>
      </c>
      <c r="P668" s="140"/>
      <c r="Q668" s="140"/>
      <c r="R668" s="144" t="s">
        <v>1845</v>
      </c>
      <c r="S668" s="140"/>
      <c r="T668" s="140"/>
      <c r="U668" s="140"/>
      <c r="V668" s="140"/>
      <c r="W668" s="144"/>
      <c r="X668" s="128" t="s">
        <v>1845</v>
      </c>
      <c r="Y668" s="128"/>
      <c r="Z668" s="140"/>
      <c r="AA668" s="140"/>
      <c r="AB668" s="140"/>
      <c r="AC668" s="140"/>
      <c r="AD668" s="140"/>
      <c r="AE668" s="140"/>
      <c r="AF668" s="140"/>
      <c r="AG668" s="135"/>
      <c r="AH668" s="135"/>
      <c r="AI668" s="286"/>
      <c r="AJ668" s="287"/>
      <c r="AK668" s="140"/>
      <c r="AL668" s="140"/>
    </row>
    <row r="669" ht="15.75" customHeight="1">
      <c r="A669" s="125">
        <v>668.0</v>
      </c>
      <c r="B669" s="138">
        <f t="shared" si="64"/>
        <v>10668</v>
      </c>
      <c r="C669" s="250" t="s">
        <v>1840</v>
      </c>
      <c r="D669" s="122" t="s">
        <v>2677</v>
      </c>
      <c r="E669" s="122" t="s">
        <v>7</v>
      </c>
      <c r="F669" s="127" t="s">
        <v>2827</v>
      </c>
      <c r="G669" s="127" t="s">
        <v>1256</v>
      </c>
      <c r="H669" s="128" t="s">
        <v>1844</v>
      </c>
      <c r="I669" s="128" t="s">
        <v>1843</v>
      </c>
      <c r="J669" s="149" t="s">
        <v>1844</v>
      </c>
      <c r="K669" s="136" t="s">
        <v>1844</v>
      </c>
      <c r="L669" s="128" t="s">
        <v>1844</v>
      </c>
      <c r="M669" s="128" t="s">
        <v>1844</v>
      </c>
      <c r="N669" s="128" t="s">
        <v>1844</v>
      </c>
      <c r="O669" s="128" t="s">
        <v>1844</v>
      </c>
      <c r="P669" s="128" t="s">
        <v>1844</v>
      </c>
      <c r="Q669" s="140"/>
      <c r="R669" s="144" t="s">
        <v>1845</v>
      </c>
      <c r="S669" s="140" t="s">
        <v>1845</v>
      </c>
      <c r="T669" s="140" t="s">
        <v>1845</v>
      </c>
      <c r="U669" s="140"/>
      <c r="V669" s="140"/>
      <c r="W669" s="144" t="s">
        <v>1845</v>
      </c>
      <c r="X669" s="128"/>
      <c r="Y669" s="128"/>
      <c r="Z669" s="140"/>
      <c r="AA669" s="140"/>
      <c r="AB669" s="140"/>
      <c r="AC669" s="140"/>
      <c r="AD669" s="140"/>
      <c r="AE669" s="140"/>
      <c r="AF669" s="140"/>
      <c r="AG669" s="135"/>
      <c r="AH669" s="135"/>
      <c r="AI669" s="286"/>
      <c r="AJ669" s="287"/>
      <c r="AK669" s="140"/>
      <c r="AL669" s="140"/>
    </row>
    <row r="670" ht="15.75" customHeight="1">
      <c r="A670" s="125">
        <v>669.0</v>
      </c>
      <c r="B670" s="138">
        <f t="shared" si="64"/>
        <v>10669</v>
      </c>
      <c r="C670" s="250" t="s">
        <v>1840</v>
      </c>
      <c r="D670" s="122" t="s">
        <v>2677</v>
      </c>
      <c r="E670" s="122" t="s">
        <v>34</v>
      </c>
      <c r="F670" s="127" t="s">
        <v>2828</v>
      </c>
      <c r="G670" s="126" t="s">
        <v>1258</v>
      </c>
      <c r="H670" s="128" t="s">
        <v>1844</v>
      </c>
      <c r="I670" s="140" t="s">
        <v>1843</v>
      </c>
      <c r="J670" s="149" t="s">
        <v>1876</v>
      </c>
      <c r="K670" s="149" t="s">
        <v>2348</v>
      </c>
      <c r="L670" s="149" t="s">
        <v>1884</v>
      </c>
      <c r="M670" s="149" t="s">
        <v>1845</v>
      </c>
      <c r="N670" s="227" t="s">
        <v>1844</v>
      </c>
      <c r="O670" s="149" t="s">
        <v>1879</v>
      </c>
      <c r="P670" s="149" t="s">
        <v>1862</v>
      </c>
      <c r="Q670" s="140"/>
      <c r="R670" s="144" t="s">
        <v>1845</v>
      </c>
      <c r="S670" s="140" t="s">
        <v>1845</v>
      </c>
      <c r="T670" s="140" t="s">
        <v>1845</v>
      </c>
      <c r="U670" s="140"/>
      <c r="V670" s="140"/>
      <c r="W670" s="144" t="s">
        <v>1845</v>
      </c>
      <c r="X670" s="128"/>
      <c r="Y670" s="128"/>
      <c r="Z670" s="140"/>
      <c r="AA670" s="140"/>
      <c r="AB670" s="140"/>
      <c r="AC670" s="140"/>
      <c r="AD670" s="140"/>
      <c r="AE670" s="140"/>
      <c r="AF670" s="140"/>
      <c r="AG670" s="140"/>
      <c r="AH670" s="140"/>
      <c r="AI670" s="286"/>
      <c r="AJ670" s="287"/>
      <c r="AK670" s="140"/>
      <c r="AL670" s="140"/>
    </row>
    <row r="671" ht="15.75" customHeight="1">
      <c r="A671" s="125">
        <v>670.0</v>
      </c>
      <c r="B671" s="138">
        <f t="shared" si="64"/>
        <v>10670</v>
      </c>
      <c r="C671" s="250" t="s">
        <v>1840</v>
      </c>
      <c r="D671" s="122" t="s">
        <v>2490</v>
      </c>
      <c r="E671" s="122" t="s">
        <v>34</v>
      </c>
      <c r="F671" s="127" t="s">
        <v>2829</v>
      </c>
      <c r="G671" s="127" t="s">
        <v>1260</v>
      </c>
      <c r="H671" s="128" t="s">
        <v>1844</v>
      </c>
      <c r="I671" s="128" t="s">
        <v>1843</v>
      </c>
      <c r="J671" s="149" t="s">
        <v>1876</v>
      </c>
      <c r="K671" s="136" t="s">
        <v>2348</v>
      </c>
      <c r="L671" s="136" t="s">
        <v>1884</v>
      </c>
      <c r="M671" s="149" t="s">
        <v>1845</v>
      </c>
      <c r="N671" s="227" t="s">
        <v>1844</v>
      </c>
      <c r="O671" s="128" t="s">
        <v>1879</v>
      </c>
      <c r="P671" s="128" t="s">
        <v>1862</v>
      </c>
      <c r="Q671" s="140"/>
      <c r="R671" s="144" t="s">
        <v>1845</v>
      </c>
      <c r="S671" s="140"/>
      <c r="T671" s="140"/>
      <c r="U671" s="140"/>
      <c r="V671" s="140"/>
      <c r="W671" s="144"/>
      <c r="X671" s="128"/>
      <c r="Y671" s="128"/>
      <c r="Z671" s="140"/>
      <c r="AA671" s="140"/>
      <c r="AB671" s="140"/>
      <c r="AC671" s="140"/>
      <c r="AD671" s="140"/>
      <c r="AE671" s="140"/>
      <c r="AF671" s="140"/>
      <c r="AG671" s="135"/>
      <c r="AH671" s="135"/>
      <c r="AI671" s="286"/>
      <c r="AJ671" s="287"/>
      <c r="AK671" s="140"/>
      <c r="AL671" s="140"/>
    </row>
    <row r="672" ht="15.75" customHeight="1">
      <c r="A672" s="125">
        <v>671.0</v>
      </c>
      <c r="B672" s="138">
        <f t="shared" si="64"/>
        <v>10671</v>
      </c>
      <c r="C672" s="250" t="s">
        <v>1840</v>
      </c>
      <c r="D672" s="122" t="s">
        <v>2490</v>
      </c>
      <c r="E672" s="122" t="s">
        <v>7</v>
      </c>
      <c r="F672" s="127" t="s">
        <v>2495</v>
      </c>
      <c r="G672" s="127" t="s">
        <v>1262</v>
      </c>
      <c r="H672" s="140" t="s">
        <v>1844</v>
      </c>
      <c r="I672" s="128" t="s">
        <v>1843</v>
      </c>
      <c r="J672" s="149" t="s">
        <v>1844</v>
      </c>
      <c r="K672" s="136" t="s">
        <v>1844</v>
      </c>
      <c r="L672" s="136" t="s">
        <v>1844</v>
      </c>
      <c r="M672" s="149" t="s">
        <v>1844</v>
      </c>
      <c r="N672" s="227" t="s">
        <v>1844</v>
      </c>
      <c r="O672" s="140" t="s">
        <v>1844</v>
      </c>
      <c r="P672" s="140" t="s">
        <v>1844</v>
      </c>
      <c r="Q672" s="140"/>
      <c r="R672" s="144" t="s">
        <v>1845</v>
      </c>
      <c r="S672" s="140" t="s">
        <v>1845</v>
      </c>
      <c r="T672" s="140"/>
      <c r="U672" s="140"/>
      <c r="V672" s="140"/>
      <c r="W672" s="144"/>
      <c r="X672" s="128"/>
      <c r="Y672" s="128"/>
      <c r="Z672" s="140"/>
      <c r="AA672" s="140"/>
      <c r="AB672" s="140"/>
      <c r="AC672" s="140"/>
      <c r="AD672" s="140"/>
      <c r="AE672" s="140"/>
      <c r="AF672" s="140"/>
      <c r="AG672" s="135"/>
      <c r="AH672" s="135"/>
      <c r="AI672" s="286"/>
      <c r="AJ672" s="287"/>
      <c r="AK672" s="140"/>
      <c r="AL672" s="140"/>
    </row>
    <row r="673" ht="15.75" customHeight="1">
      <c r="A673" s="125">
        <v>672.0</v>
      </c>
      <c r="B673" s="138">
        <f t="shared" si="64"/>
        <v>10672</v>
      </c>
      <c r="C673" s="250" t="s">
        <v>1840</v>
      </c>
      <c r="D673" s="122" t="s">
        <v>2019</v>
      </c>
      <c r="E673" s="125" t="s">
        <v>7</v>
      </c>
      <c r="F673" s="127" t="s">
        <v>2830</v>
      </c>
      <c r="G673" s="127" t="s">
        <v>1264</v>
      </c>
      <c r="H673" s="140" t="s">
        <v>1844</v>
      </c>
      <c r="I673" s="128" t="s">
        <v>1843</v>
      </c>
      <c r="J673" s="186" t="s">
        <v>1844</v>
      </c>
      <c r="K673" s="136" t="s">
        <v>1844</v>
      </c>
      <c r="L673" s="136" t="s">
        <v>1844</v>
      </c>
      <c r="M673" s="136" t="s">
        <v>1844</v>
      </c>
      <c r="N673" s="144" t="s">
        <v>1844</v>
      </c>
      <c r="O673" s="140" t="s">
        <v>1844</v>
      </c>
      <c r="P673" s="140" t="s">
        <v>1844</v>
      </c>
      <c r="Q673" s="140"/>
      <c r="R673" s="144"/>
      <c r="S673" s="140" t="s">
        <v>1845</v>
      </c>
      <c r="T673" s="140"/>
      <c r="U673" s="140"/>
      <c r="V673" s="140"/>
      <c r="W673" s="144"/>
      <c r="X673" s="136" t="s">
        <v>1845</v>
      </c>
      <c r="Y673" s="128"/>
      <c r="Z673" s="140" t="s">
        <v>1845</v>
      </c>
      <c r="AA673" s="140"/>
      <c r="AB673" s="140"/>
      <c r="AC673" s="140"/>
      <c r="AD673" s="140"/>
      <c r="AE673" s="140"/>
      <c r="AF673" s="140"/>
      <c r="AG673" s="140"/>
      <c r="AH673" s="140"/>
      <c r="AI673" s="128"/>
      <c r="AJ673" s="137"/>
      <c r="AK673" s="140"/>
      <c r="AL673" s="140"/>
    </row>
    <row r="674" ht="15.75" customHeight="1">
      <c r="A674" s="125">
        <v>673.0</v>
      </c>
      <c r="B674" s="138">
        <f t="shared" si="64"/>
        <v>10673</v>
      </c>
      <c r="C674" s="250" t="s">
        <v>1840</v>
      </c>
      <c r="D674" s="122" t="s">
        <v>2490</v>
      </c>
      <c r="E674" s="122" t="s">
        <v>7</v>
      </c>
      <c r="F674" s="127" t="s">
        <v>2831</v>
      </c>
      <c r="G674" s="277" t="s">
        <v>1266</v>
      </c>
      <c r="H674" s="140" t="s">
        <v>1844</v>
      </c>
      <c r="I674" s="128" t="s">
        <v>1906</v>
      </c>
      <c r="J674" s="186" t="s">
        <v>1844</v>
      </c>
      <c r="K674" s="136" t="s">
        <v>1844</v>
      </c>
      <c r="L674" s="136" t="s">
        <v>1844</v>
      </c>
      <c r="M674" s="136" t="s">
        <v>1844</v>
      </c>
      <c r="N674" s="144" t="s">
        <v>1844</v>
      </c>
      <c r="O674" s="140" t="s">
        <v>1844</v>
      </c>
      <c r="P674" s="140" t="s">
        <v>1844</v>
      </c>
      <c r="Q674" s="140"/>
      <c r="R674" s="144" t="s">
        <v>1845</v>
      </c>
      <c r="S674" s="140"/>
      <c r="T674" s="140"/>
      <c r="U674" s="140" t="s">
        <v>1845</v>
      </c>
      <c r="V674" s="140"/>
      <c r="W674" s="144"/>
      <c r="X674" s="136"/>
      <c r="Y674" s="128"/>
      <c r="Z674" s="140"/>
      <c r="AA674" s="140"/>
      <c r="AB674" s="140"/>
      <c r="AC674" s="140"/>
      <c r="AD674" s="140"/>
      <c r="AE674" s="140"/>
      <c r="AF674" s="140"/>
      <c r="AG674" s="135"/>
      <c r="AH674" s="135"/>
      <c r="AI674" s="286"/>
      <c r="AJ674" s="287"/>
      <c r="AK674" s="140"/>
      <c r="AL674" s="140"/>
    </row>
    <row r="675" ht="15.75" customHeight="1">
      <c r="A675" s="125">
        <v>674.0</v>
      </c>
      <c r="B675" s="138">
        <f t="shared" si="64"/>
        <v>10674</v>
      </c>
      <c r="C675" s="250" t="s">
        <v>1840</v>
      </c>
      <c r="D675" s="122" t="s">
        <v>2552</v>
      </c>
      <c r="E675" s="122" t="s">
        <v>34</v>
      </c>
      <c r="F675" s="300" t="s">
        <v>2832</v>
      </c>
      <c r="G675" s="126" t="s">
        <v>2833</v>
      </c>
      <c r="H675" s="140" t="s">
        <v>1844</v>
      </c>
      <c r="I675" s="128" t="s">
        <v>1906</v>
      </c>
      <c r="J675" s="186" t="s">
        <v>1902</v>
      </c>
      <c r="K675" s="136" t="s">
        <v>1877</v>
      </c>
      <c r="L675" s="136" t="s">
        <v>1990</v>
      </c>
      <c r="M675" s="136" t="s">
        <v>1845</v>
      </c>
      <c r="N675" s="144" t="s">
        <v>1903</v>
      </c>
      <c r="O675" s="140" t="s">
        <v>1879</v>
      </c>
      <c r="P675" s="140" t="s">
        <v>1862</v>
      </c>
      <c r="Q675" s="140"/>
      <c r="R675" s="144"/>
      <c r="S675" s="140" t="s">
        <v>1845</v>
      </c>
      <c r="T675" s="140"/>
      <c r="U675" s="140"/>
      <c r="V675" s="140"/>
      <c r="W675" s="144"/>
      <c r="X675" s="136"/>
      <c r="Y675" s="128"/>
      <c r="Z675" s="140"/>
      <c r="AA675" s="140"/>
      <c r="AB675" s="140"/>
      <c r="AC675" s="140"/>
      <c r="AD675" s="140"/>
      <c r="AE675" s="140"/>
      <c r="AF675" s="140"/>
      <c r="AG675" s="135"/>
      <c r="AH675" s="135"/>
      <c r="AI675" s="286"/>
      <c r="AJ675" s="287"/>
      <c r="AK675" s="140"/>
      <c r="AL675" s="140"/>
    </row>
    <row r="676" ht="15.75" customHeight="1">
      <c r="A676" s="125">
        <v>675.0</v>
      </c>
      <c r="B676" s="123" t="s">
        <v>1742</v>
      </c>
      <c r="C676" s="250" t="s">
        <v>1840</v>
      </c>
      <c r="D676" s="122" t="s">
        <v>2069</v>
      </c>
      <c r="E676" s="122" t="s">
        <v>7</v>
      </c>
      <c r="F676" s="127" t="s">
        <v>2834</v>
      </c>
      <c r="G676" s="127" t="s">
        <v>799</v>
      </c>
      <c r="H676" s="128" t="s">
        <v>1844</v>
      </c>
      <c r="I676" s="129" t="s">
        <v>1843</v>
      </c>
      <c r="J676" s="143" t="s">
        <v>1844</v>
      </c>
      <c r="K676" s="132" t="s">
        <v>1844</v>
      </c>
      <c r="L676" s="132" t="s">
        <v>1844</v>
      </c>
      <c r="M676" s="132" t="s">
        <v>1844</v>
      </c>
      <c r="N676" s="171" t="s">
        <v>1844</v>
      </c>
      <c r="O676" s="129" t="s">
        <v>1844</v>
      </c>
      <c r="P676" s="129" t="s">
        <v>1844</v>
      </c>
      <c r="Q676" s="129" t="s">
        <v>1845</v>
      </c>
      <c r="R676" s="144"/>
      <c r="S676" s="140"/>
      <c r="T676" s="140"/>
      <c r="U676" s="140"/>
      <c r="V676" s="140"/>
      <c r="W676" s="144" t="s">
        <v>1845</v>
      </c>
      <c r="X676" s="136"/>
      <c r="Y676" s="128"/>
      <c r="Z676" s="140"/>
      <c r="AA676" s="140"/>
      <c r="AB676" s="140"/>
      <c r="AC676" s="140"/>
      <c r="AD676" s="140"/>
      <c r="AE676" s="140"/>
      <c r="AF676" s="140"/>
      <c r="AG676" s="135"/>
      <c r="AH676" s="135"/>
      <c r="AI676" s="286"/>
      <c r="AJ676" s="287"/>
      <c r="AK676" s="140"/>
      <c r="AL676" s="140"/>
    </row>
    <row r="677" ht="15.75" customHeight="1">
      <c r="A677" s="125">
        <v>676.0</v>
      </c>
      <c r="B677" s="123" t="s">
        <v>1742</v>
      </c>
      <c r="C677" s="250" t="s">
        <v>1840</v>
      </c>
      <c r="D677" s="122" t="s">
        <v>2069</v>
      </c>
      <c r="E677" s="122" t="s">
        <v>7</v>
      </c>
      <c r="F677" s="127" t="s">
        <v>2452</v>
      </c>
      <c r="G677" s="127" t="s">
        <v>1271</v>
      </c>
      <c r="H677" s="128" t="s">
        <v>1844</v>
      </c>
      <c r="I677" s="128" t="s">
        <v>1843</v>
      </c>
      <c r="J677" s="149" t="s">
        <v>1844</v>
      </c>
      <c r="K677" s="128" t="s">
        <v>1844</v>
      </c>
      <c r="L677" s="128" t="s">
        <v>1844</v>
      </c>
      <c r="M677" s="128" t="s">
        <v>1844</v>
      </c>
      <c r="N677" s="144" t="s">
        <v>1844</v>
      </c>
      <c r="O677" s="136" t="s">
        <v>1844</v>
      </c>
      <c r="P677" s="136" t="s">
        <v>1844</v>
      </c>
      <c r="Q677" s="136" t="s">
        <v>1845</v>
      </c>
      <c r="R677" s="144"/>
      <c r="S677" s="128"/>
      <c r="T677" s="128"/>
      <c r="U677" s="128"/>
      <c r="V677" s="128"/>
      <c r="W677" s="144" t="s">
        <v>1845</v>
      </c>
      <c r="X677" s="136"/>
      <c r="Y677" s="128"/>
      <c r="Z677" s="128"/>
      <c r="AA677" s="128"/>
      <c r="AB677" s="140"/>
      <c r="AC677" s="140"/>
      <c r="AD677" s="140"/>
      <c r="AE677" s="140"/>
      <c r="AF677" s="140"/>
      <c r="AG677" s="135"/>
      <c r="AH677" s="135"/>
      <c r="AI677" s="286"/>
      <c r="AJ677" s="287"/>
      <c r="AK677" s="140"/>
      <c r="AL677" s="140"/>
    </row>
    <row r="678" ht="15.75" customHeight="1">
      <c r="A678" s="125">
        <v>677.0</v>
      </c>
      <c r="B678" s="123" t="s">
        <v>1742</v>
      </c>
      <c r="C678" s="250" t="s">
        <v>1840</v>
      </c>
      <c r="D678" s="122" t="s">
        <v>2069</v>
      </c>
      <c r="E678" s="122" t="s">
        <v>7</v>
      </c>
      <c r="F678" s="127" t="s">
        <v>2453</v>
      </c>
      <c r="G678" s="127" t="s">
        <v>1273</v>
      </c>
      <c r="H678" s="128" t="s">
        <v>1844</v>
      </c>
      <c r="I678" s="128" t="s">
        <v>1906</v>
      </c>
      <c r="J678" s="186" t="s">
        <v>1844</v>
      </c>
      <c r="K678" s="136" t="s">
        <v>1844</v>
      </c>
      <c r="L678" s="136" t="s">
        <v>1844</v>
      </c>
      <c r="M678" s="136" t="s">
        <v>1844</v>
      </c>
      <c r="N678" s="144" t="s">
        <v>1844</v>
      </c>
      <c r="O678" s="128" t="s">
        <v>1844</v>
      </c>
      <c r="P678" s="128" t="s">
        <v>1844</v>
      </c>
      <c r="Q678" s="128" t="s">
        <v>1845</v>
      </c>
      <c r="R678" s="144"/>
      <c r="S678" s="128"/>
      <c r="T678" s="128"/>
      <c r="U678" s="128"/>
      <c r="V678" s="128" t="s">
        <v>1845</v>
      </c>
      <c r="W678" s="144" t="s">
        <v>1845</v>
      </c>
      <c r="X678" s="136"/>
      <c r="Y678" s="136"/>
      <c r="Z678" s="128"/>
      <c r="AA678" s="128"/>
      <c r="AB678" s="140"/>
      <c r="AC678" s="140"/>
      <c r="AD678" s="140"/>
      <c r="AE678" s="140"/>
      <c r="AF678" s="140"/>
      <c r="AG678" s="140"/>
      <c r="AH678" s="135"/>
      <c r="AI678" s="286"/>
      <c r="AJ678" s="287"/>
      <c r="AK678" s="140"/>
      <c r="AL678" s="140"/>
    </row>
    <row r="679" ht="15.75" customHeight="1">
      <c r="A679" s="125">
        <v>678.0</v>
      </c>
      <c r="B679" s="123" t="s">
        <v>1742</v>
      </c>
      <c r="C679" s="250" t="s">
        <v>1840</v>
      </c>
      <c r="D679" s="122" t="s">
        <v>2069</v>
      </c>
      <c r="E679" s="122" t="s">
        <v>7</v>
      </c>
      <c r="F679" s="127" t="s">
        <v>2454</v>
      </c>
      <c r="G679" s="127" t="s">
        <v>1275</v>
      </c>
      <c r="H679" s="128" t="s">
        <v>1844</v>
      </c>
      <c r="I679" s="128" t="s">
        <v>1906</v>
      </c>
      <c r="J679" s="186" t="s">
        <v>1844</v>
      </c>
      <c r="K679" s="136" t="s">
        <v>1844</v>
      </c>
      <c r="L679" s="136" t="s">
        <v>1844</v>
      </c>
      <c r="M679" s="136" t="s">
        <v>1844</v>
      </c>
      <c r="N679" s="144" t="s">
        <v>1844</v>
      </c>
      <c r="O679" s="128" t="s">
        <v>1844</v>
      </c>
      <c r="P679" s="128" t="s">
        <v>1844</v>
      </c>
      <c r="Q679" s="128" t="s">
        <v>1845</v>
      </c>
      <c r="R679" s="144"/>
      <c r="S679" s="128"/>
      <c r="T679" s="128"/>
      <c r="U679" s="128"/>
      <c r="V679" s="128" t="s">
        <v>1845</v>
      </c>
      <c r="W679" s="144" t="s">
        <v>1845</v>
      </c>
      <c r="X679" s="136"/>
      <c r="Y679" s="136"/>
      <c r="Z679" s="128"/>
      <c r="AA679" s="128"/>
      <c r="AB679" s="140"/>
      <c r="AC679" s="140"/>
      <c r="AD679" s="140"/>
      <c r="AE679" s="140"/>
      <c r="AF679" s="140"/>
      <c r="AG679" s="140"/>
      <c r="AH679" s="135"/>
      <c r="AI679" s="286"/>
      <c r="AJ679" s="287"/>
      <c r="AK679" s="140"/>
      <c r="AL679" s="140"/>
    </row>
    <row r="680" ht="15.75" customHeight="1">
      <c r="A680" s="125">
        <v>679.0</v>
      </c>
      <c r="B680" s="138">
        <f t="shared" ref="B680:B681" si="65">SUM(A680+10000)</f>
        <v>10679</v>
      </c>
      <c r="C680" s="250" t="s">
        <v>1840</v>
      </c>
      <c r="D680" s="122" t="s">
        <v>2490</v>
      </c>
      <c r="E680" s="122" t="s">
        <v>20</v>
      </c>
      <c r="F680" s="127" t="s">
        <v>2835</v>
      </c>
      <c r="G680" s="127" t="s">
        <v>1277</v>
      </c>
      <c r="H680" s="128" t="s">
        <v>1844</v>
      </c>
      <c r="I680" s="128" t="s">
        <v>1843</v>
      </c>
      <c r="J680" s="186" t="s">
        <v>1844</v>
      </c>
      <c r="K680" s="136" t="s">
        <v>1844</v>
      </c>
      <c r="L680" s="136" t="s">
        <v>1878</v>
      </c>
      <c r="M680" s="136" t="s">
        <v>1845</v>
      </c>
      <c r="N680" s="144" t="s">
        <v>1844</v>
      </c>
      <c r="O680" s="128" t="s">
        <v>1844</v>
      </c>
      <c r="P680" s="128" t="s">
        <v>1862</v>
      </c>
      <c r="Q680" s="128"/>
      <c r="R680" s="144" t="s">
        <v>1845</v>
      </c>
      <c r="S680" s="128"/>
      <c r="T680" s="128"/>
      <c r="U680" s="128"/>
      <c r="V680" s="128"/>
      <c r="W680" s="144"/>
      <c r="X680" s="136"/>
      <c r="Y680" s="136"/>
      <c r="Z680" s="128"/>
      <c r="AA680" s="140"/>
      <c r="AB680" s="140"/>
      <c r="AC680" s="140"/>
      <c r="AD680" s="140"/>
      <c r="AE680" s="140"/>
      <c r="AF680" s="140"/>
      <c r="AG680" s="140"/>
      <c r="AH680" s="135"/>
      <c r="AI680" s="286"/>
      <c r="AJ680" s="287"/>
      <c r="AK680" s="140"/>
      <c r="AL680" s="140"/>
    </row>
    <row r="681" ht="15.75" customHeight="1">
      <c r="A681" s="125">
        <v>680.0</v>
      </c>
      <c r="B681" s="138">
        <f t="shared" si="65"/>
        <v>10680</v>
      </c>
      <c r="C681" s="250" t="s">
        <v>1840</v>
      </c>
      <c r="D681" s="122" t="s">
        <v>2692</v>
      </c>
      <c r="E681" s="122" t="s">
        <v>27</v>
      </c>
      <c r="F681" s="127" t="s">
        <v>2836</v>
      </c>
      <c r="G681" s="127" t="s">
        <v>2837</v>
      </c>
      <c r="H681" s="128" t="s">
        <v>1844</v>
      </c>
      <c r="I681" s="128" t="s">
        <v>1843</v>
      </c>
      <c r="J681" s="186" t="s">
        <v>1844</v>
      </c>
      <c r="K681" s="136" t="s">
        <v>1844</v>
      </c>
      <c r="L681" s="136" t="s">
        <v>1844</v>
      </c>
      <c r="M681" s="136" t="s">
        <v>1845</v>
      </c>
      <c r="N681" s="144" t="s">
        <v>1844</v>
      </c>
      <c r="O681" s="128" t="s">
        <v>1844</v>
      </c>
      <c r="P681" s="128" t="s">
        <v>1862</v>
      </c>
      <c r="Q681" s="128"/>
      <c r="R681" s="144"/>
      <c r="S681" s="128"/>
      <c r="T681" s="128" t="s">
        <v>1845</v>
      </c>
      <c r="U681" s="128"/>
      <c r="V681" s="128"/>
      <c r="W681" s="144"/>
      <c r="X681" s="136"/>
      <c r="Y681" s="128"/>
      <c r="Z681" s="128"/>
      <c r="AA681" s="140"/>
      <c r="AB681" s="140"/>
      <c r="AC681" s="140"/>
      <c r="AD681" s="140"/>
      <c r="AE681" s="140"/>
      <c r="AF681" s="140"/>
      <c r="AG681" s="135"/>
      <c r="AH681" s="135"/>
      <c r="AI681" s="286"/>
      <c r="AJ681" s="287"/>
      <c r="AK681" s="140"/>
      <c r="AL681" s="140"/>
    </row>
    <row r="682" ht="15.75" customHeight="1">
      <c r="A682" s="125">
        <v>681.0</v>
      </c>
      <c r="B682" s="123" t="s">
        <v>1742</v>
      </c>
      <c r="C682" s="250" t="s">
        <v>1840</v>
      </c>
      <c r="D682" s="122" t="s">
        <v>2125</v>
      </c>
      <c r="E682" s="122" t="s">
        <v>7</v>
      </c>
      <c r="F682" s="127" t="s">
        <v>2838</v>
      </c>
      <c r="G682" s="127" t="s">
        <v>2839</v>
      </c>
      <c r="H682" s="128" t="s">
        <v>1844</v>
      </c>
      <c r="I682" s="128" t="s">
        <v>1843</v>
      </c>
      <c r="J682" s="186" t="s">
        <v>1844</v>
      </c>
      <c r="K682" s="136" t="s">
        <v>1844</v>
      </c>
      <c r="L682" s="136" t="s">
        <v>1844</v>
      </c>
      <c r="M682" s="136" t="s">
        <v>1844</v>
      </c>
      <c r="N682" s="144" t="s">
        <v>1844</v>
      </c>
      <c r="O682" s="128" t="s">
        <v>1844</v>
      </c>
      <c r="P682" s="128" t="s">
        <v>1844</v>
      </c>
      <c r="Q682" s="128" t="s">
        <v>1845</v>
      </c>
      <c r="R682" s="144" t="s">
        <v>1845</v>
      </c>
      <c r="S682" s="128"/>
      <c r="T682" s="128"/>
      <c r="U682" s="128"/>
      <c r="V682" s="128"/>
      <c r="W682" s="144" t="s">
        <v>1845</v>
      </c>
      <c r="X682" s="136"/>
      <c r="Y682" s="136"/>
      <c r="Z682" s="128"/>
      <c r="AA682" s="140"/>
      <c r="AB682" s="140"/>
      <c r="AC682" s="140"/>
      <c r="AD682" s="140"/>
      <c r="AE682" s="140"/>
      <c r="AF682" s="140"/>
      <c r="AG682" s="140"/>
      <c r="AH682" s="135"/>
      <c r="AI682" s="286"/>
      <c r="AJ682" s="287"/>
      <c r="AK682" s="140"/>
      <c r="AL682" s="140"/>
    </row>
    <row r="683" ht="15.75" customHeight="1">
      <c r="A683" s="125">
        <v>682.0</v>
      </c>
      <c r="B683" s="138">
        <f t="shared" ref="B683:B693" si="66">SUM(A683+10000)</f>
        <v>10682</v>
      </c>
      <c r="C683" s="278" t="s">
        <v>1840</v>
      </c>
      <c r="D683" s="122" t="s">
        <v>1846</v>
      </c>
      <c r="E683" s="122" t="s">
        <v>27</v>
      </c>
      <c r="F683" s="127" t="s">
        <v>2840</v>
      </c>
      <c r="G683" s="127" t="s">
        <v>1283</v>
      </c>
      <c r="H683" s="128" t="s">
        <v>1844</v>
      </c>
      <c r="I683" s="128" t="s">
        <v>1843</v>
      </c>
      <c r="J683" s="186" t="s">
        <v>1844</v>
      </c>
      <c r="K683" s="136" t="s">
        <v>1844</v>
      </c>
      <c r="L683" s="136" t="s">
        <v>1844</v>
      </c>
      <c r="M683" s="136" t="s">
        <v>1845</v>
      </c>
      <c r="N683" s="144" t="s">
        <v>1844</v>
      </c>
      <c r="O683" s="128" t="s">
        <v>1844</v>
      </c>
      <c r="P683" s="128" t="s">
        <v>1895</v>
      </c>
      <c r="Q683" s="128"/>
      <c r="R683" s="144"/>
      <c r="S683" s="128" t="s">
        <v>1845</v>
      </c>
      <c r="T683" s="128"/>
      <c r="U683" s="128"/>
      <c r="V683" s="128"/>
      <c r="W683" s="144" t="s">
        <v>1845</v>
      </c>
      <c r="X683" s="136"/>
      <c r="Y683" s="128"/>
      <c r="Z683" s="128"/>
      <c r="AA683" s="140"/>
      <c r="AB683" s="140"/>
      <c r="AC683" s="140"/>
      <c r="AD683" s="140"/>
      <c r="AE683" s="140"/>
      <c r="AF683" s="140"/>
      <c r="AG683" s="135"/>
      <c r="AH683" s="135"/>
      <c r="AI683" s="286"/>
      <c r="AJ683" s="287"/>
      <c r="AK683" s="140"/>
      <c r="AL683" s="140"/>
    </row>
    <row r="684" ht="15.75" customHeight="1">
      <c r="A684" s="125">
        <v>683.0</v>
      </c>
      <c r="B684" s="138">
        <f t="shared" si="66"/>
        <v>10683</v>
      </c>
      <c r="C684" s="250" t="s">
        <v>1840</v>
      </c>
      <c r="D684" s="122" t="s">
        <v>2692</v>
      </c>
      <c r="E684" s="122" t="s">
        <v>34</v>
      </c>
      <c r="F684" s="127" t="s">
        <v>2841</v>
      </c>
      <c r="G684" s="301" t="s">
        <v>1285</v>
      </c>
      <c r="H684" s="128" t="s">
        <v>1844</v>
      </c>
      <c r="I684" s="128" t="s">
        <v>1843</v>
      </c>
      <c r="J684" s="186" t="s">
        <v>1902</v>
      </c>
      <c r="K684" s="136" t="s">
        <v>1877</v>
      </c>
      <c r="L684" s="136" t="s">
        <v>1990</v>
      </c>
      <c r="M684" s="136" t="s">
        <v>1845</v>
      </c>
      <c r="N684" s="144">
        <v>1.0</v>
      </c>
      <c r="O684" s="128" t="s">
        <v>1879</v>
      </c>
      <c r="P684" s="140" t="s">
        <v>1862</v>
      </c>
      <c r="Q684" s="128"/>
      <c r="R684" s="144"/>
      <c r="S684" s="128"/>
      <c r="T684" s="128"/>
      <c r="U684" s="128"/>
      <c r="V684" s="128"/>
      <c r="W684" s="144"/>
      <c r="X684" s="136"/>
      <c r="Y684" s="128"/>
      <c r="Z684" s="128"/>
      <c r="AA684" s="140"/>
      <c r="AB684" s="140"/>
      <c r="AC684" s="140"/>
      <c r="AD684" s="140"/>
      <c r="AE684" s="140"/>
      <c r="AF684" s="140"/>
      <c r="AG684" s="135"/>
      <c r="AH684" s="135"/>
      <c r="AI684" s="286"/>
      <c r="AJ684" s="287"/>
      <c r="AK684" s="140"/>
      <c r="AL684" s="140"/>
    </row>
    <row r="685" ht="15.75" customHeight="1">
      <c r="A685" s="125">
        <v>684.0</v>
      </c>
      <c r="B685" s="138">
        <f t="shared" si="66"/>
        <v>10684</v>
      </c>
      <c r="C685" s="250" t="s">
        <v>1840</v>
      </c>
      <c r="D685" s="122" t="s">
        <v>2692</v>
      </c>
      <c r="E685" s="122" t="s">
        <v>34</v>
      </c>
      <c r="F685" s="127" t="s">
        <v>2842</v>
      </c>
      <c r="G685" s="301" t="s">
        <v>1287</v>
      </c>
      <c r="H685" s="128" t="s">
        <v>1844</v>
      </c>
      <c r="I685" s="128" t="s">
        <v>1843</v>
      </c>
      <c r="J685" s="186" t="s">
        <v>1902</v>
      </c>
      <c r="K685" s="136" t="s">
        <v>1877</v>
      </c>
      <c r="L685" s="136" t="s">
        <v>1844</v>
      </c>
      <c r="M685" s="136" t="s">
        <v>1845</v>
      </c>
      <c r="N685" s="144">
        <v>1.0</v>
      </c>
      <c r="O685" s="128" t="s">
        <v>1879</v>
      </c>
      <c r="P685" s="140" t="s">
        <v>2654</v>
      </c>
      <c r="Q685" s="128"/>
      <c r="R685" s="144"/>
      <c r="S685" s="128"/>
      <c r="T685" s="128"/>
      <c r="U685" s="128"/>
      <c r="V685" s="128"/>
      <c r="W685" s="144"/>
      <c r="X685" s="136"/>
      <c r="Y685" s="128"/>
      <c r="Z685" s="128"/>
      <c r="AA685" s="140"/>
      <c r="AB685" s="140"/>
      <c r="AC685" s="140"/>
      <c r="AD685" s="140"/>
      <c r="AE685" s="140"/>
      <c r="AF685" s="140"/>
      <c r="AG685" s="135"/>
      <c r="AH685" s="135"/>
      <c r="AI685" s="286"/>
      <c r="AJ685" s="287"/>
      <c r="AK685" s="140"/>
      <c r="AL685" s="140"/>
    </row>
    <row r="686" ht="15.75" customHeight="1">
      <c r="A686" s="125">
        <v>685.0</v>
      </c>
      <c r="B686" s="138">
        <f t="shared" si="66"/>
        <v>10685</v>
      </c>
      <c r="C686" s="278" t="s">
        <v>1840</v>
      </c>
      <c r="D686" s="122" t="s">
        <v>1841</v>
      </c>
      <c r="E686" s="122" t="s">
        <v>34</v>
      </c>
      <c r="F686" s="127" t="s">
        <v>2843</v>
      </c>
      <c r="G686" s="127" t="s">
        <v>1289</v>
      </c>
      <c r="H686" s="191" t="s">
        <v>1844</v>
      </c>
      <c r="I686" s="129" t="s">
        <v>1906</v>
      </c>
      <c r="J686" s="143" t="s">
        <v>1876</v>
      </c>
      <c r="K686" s="132" t="s">
        <v>2348</v>
      </c>
      <c r="L686" s="132" t="s">
        <v>1844</v>
      </c>
      <c r="M686" s="132" t="s">
        <v>1845</v>
      </c>
      <c r="N686" s="131" t="s">
        <v>1844</v>
      </c>
      <c r="O686" s="171" t="s">
        <v>1844</v>
      </c>
      <c r="P686" s="171" t="s">
        <v>1862</v>
      </c>
      <c r="Q686" s="171"/>
      <c r="R686" s="131"/>
      <c r="S686" s="171"/>
      <c r="T686" s="171"/>
      <c r="U686" s="171"/>
      <c r="V686" s="171" t="s">
        <v>1845</v>
      </c>
      <c r="W686" s="131"/>
      <c r="X686" s="132"/>
      <c r="Y686" s="129"/>
      <c r="Z686" s="171"/>
      <c r="AA686" s="171"/>
      <c r="AB686" s="171"/>
      <c r="AC686" s="171"/>
      <c r="AD686" s="171"/>
      <c r="AE686" s="171"/>
      <c r="AF686" s="140"/>
      <c r="AG686" s="286"/>
      <c r="AH686" s="135"/>
      <c r="AI686" s="286"/>
      <c r="AJ686" s="287"/>
      <c r="AK686" s="140"/>
      <c r="AL686" s="140"/>
    </row>
    <row r="687" ht="15.75" customHeight="1">
      <c r="A687" s="125">
        <v>686.0</v>
      </c>
      <c r="B687" s="138">
        <f t="shared" si="66"/>
        <v>10686</v>
      </c>
      <c r="C687" s="250" t="s">
        <v>1840</v>
      </c>
      <c r="D687" s="122" t="s">
        <v>1841</v>
      </c>
      <c r="E687" s="122" t="s">
        <v>34</v>
      </c>
      <c r="F687" s="127" t="s">
        <v>2844</v>
      </c>
      <c r="G687" s="126" t="s">
        <v>1290</v>
      </c>
      <c r="H687" s="140" t="s">
        <v>1844</v>
      </c>
      <c r="I687" s="128" t="s">
        <v>1906</v>
      </c>
      <c r="J687" s="143" t="s">
        <v>1902</v>
      </c>
      <c r="K687" s="136" t="s">
        <v>1877</v>
      </c>
      <c r="L687" s="132" t="s">
        <v>1844</v>
      </c>
      <c r="M687" s="132" t="s">
        <v>1845</v>
      </c>
      <c r="N687" s="131">
        <v>1.0</v>
      </c>
      <c r="O687" s="140" t="s">
        <v>1879</v>
      </c>
      <c r="P687" s="140" t="s">
        <v>1895</v>
      </c>
      <c r="Q687" s="140"/>
      <c r="R687" s="144"/>
      <c r="S687" s="140"/>
      <c r="T687" s="140"/>
      <c r="U687" s="140" t="s">
        <v>1845</v>
      </c>
      <c r="V687" s="140"/>
      <c r="W687" s="144"/>
      <c r="X687" s="136"/>
      <c r="Y687" s="128"/>
      <c r="Z687" s="140"/>
      <c r="AA687" s="140"/>
      <c r="AB687" s="140"/>
      <c r="AC687" s="140"/>
      <c r="AD687" s="140"/>
      <c r="AE687" s="140"/>
      <c r="AF687" s="140"/>
      <c r="AG687" s="286"/>
      <c r="AH687" s="135"/>
      <c r="AI687" s="286"/>
      <c r="AJ687" s="287"/>
      <c r="AK687" s="140"/>
      <c r="AL687" s="140"/>
    </row>
    <row r="688" ht="15.75" customHeight="1">
      <c r="A688" s="125">
        <v>687.0</v>
      </c>
      <c r="B688" s="138">
        <f t="shared" si="66"/>
        <v>10687</v>
      </c>
      <c r="C688" s="250" t="s">
        <v>1840</v>
      </c>
      <c r="D688" s="122" t="s">
        <v>2404</v>
      </c>
      <c r="E688" s="122" t="s">
        <v>34</v>
      </c>
      <c r="F688" s="127" t="s">
        <v>2845</v>
      </c>
      <c r="G688" s="301" t="s">
        <v>1291</v>
      </c>
      <c r="H688" s="140" t="s">
        <v>1844</v>
      </c>
      <c r="I688" s="128" t="s">
        <v>1852</v>
      </c>
      <c r="J688" s="143" t="s">
        <v>1876</v>
      </c>
      <c r="K688" s="136" t="s">
        <v>1877</v>
      </c>
      <c r="L688" s="132" t="s">
        <v>1844</v>
      </c>
      <c r="M688" s="132" t="s">
        <v>1845</v>
      </c>
      <c r="N688" s="131">
        <v>1.0</v>
      </c>
      <c r="O688" s="140" t="s">
        <v>1879</v>
      </c>
      <c r="P688" s="140" t="s">
        <v>1862</v>
      </c>
      <c r="Q688" s="140"/>
      <c r="R688" s="144"/>
      <c r="S688" s="140"/>
      <c r="T688" s="140"/>
      <c r="U688" s="140"/>
      <c r="V688" s="140"/>
      <c r="W688" s="144"/>
      <c r="X688" s="136"/>
      <c r="Y688" s="128"/>
      <c r="Z688" s="140"/>
      <c r="AA688" s="140"/>
      <c r="AB688" s="140"/>
      <c r="AC688" s="140"/>
      <c r="AD688" s="140"/>
      <c r="AE688" s="140"/>
      <c r="AF688" s="140"/>
      <c r="AG688" s="286"/>
      <c r="AH688" s="135"/>
      <c r="AI688" s="286"/>
      <c r="AJ688" s="287"/>
      <c r="AK688" s="140"/>
      <c r="AL688" s="140"/>
    </row>
    <row r="689" ht="15.75" customHeight="1">
      <c r="A689" s="125">
        <v>688.0</v>
      </c>
      <c r="B689" s="138">
        <f t="shared" si="66"/>
        <v>10688</v>
      </c>
      <c r="C689" s="278" t="s">
        <v>1840</v>
      </c>
      <c r="D689" s="122" t="s">
        <v>1841</v>
      </c>
      <c r="E689" s="122" t="s">
        <v>27</v>
      </c>
      <c r="F689" s="127" t="s">
        <v>2846</v>
      </c>
      <c r="G689" s="126" t="s">
        <v>1292</v>
      </c>
      <c r="H689" s="140" t="s">
        <v>1844</v>
      </c>
      <c r="I689" s="128" t="s">
        <v>1906</v>
      </c>
      <c r="J689" s="143" t="s">
        <v>1844</v>
      </c>
      <c r="K689" s="136" t="s">
        <v>1844</v>
      </c>
      <c r="L689" s="132" t="s">
        <v>1844</v>
      </c>
      <c r="M689" s="132" t="s">
        <v>1845</v>
      </c>
      <c r="N689" s="131" t="s">
        <v>1844</v>
      </c>
      <c r="O689" s="140" t="s">
        <v>1844</v>
      </c>
      <c r="P689" s="140" t="s">
        <v>1862</v>
      </c>
      <c r="Q689" s="140"/>
      <c r="R689" s="144"/>
      <c r="S689" s="140"/>
      <c r="T689" s="140"/>
      <c r="U689" s="140"/>
      <c r="V689" s="140" t="s">
        <v>1845</v>
      </c>
      <c r="W689" s="144"/>
      <c r="X689" s="136"/>
      <c r="Y689" s="128"/>
      <c r="Z689" s="140"/>
      <c r="AA689" s="140"/>
      <c r="AB689" s="140"/>
      <c r="AC689" s="140"/>
      <c r="AD689" s="140"/>
      <c r="AE689" s="140"/>
      <c r="AF689" s="140"/>
      <c r="AG689" s="286"/>
      <c r="AH689" s="135"/>
      <c r="AI689" s="286"/>
      <c r="AJ689" s="287"/>
      <c r="AK689" s="140"/>
      <c r="AL689" s="140"/>
    </row>
    <row r="690" ht="15.75" customHeight="1">
      <c r="A690" s="125">
        <v>689.0</v>
      </c>
      <c r="B690" s="138">
        <f t="shared" si="66"/>
        <v>10689</v>
      </c>
      <c r="C690" s="250" t="s">
        <v>1840</v>
      </c>
      <c r="D690" s="122" t="s">
        <v>2692</v>
      </c>
      <c r="E690" s="122" t="s">
        <v>34</v>
      </c>
      <c r="F690" s="127" t="s">
        <v>2842</v>
      </c>
      <c r="G690" s="126" t="s">
        <v>1294</v>
      </c>
      <c r="H690" s="140" t="s">
        <v>1844</v>
      </c>
      <c r="I690" s="128" t="s">
        <v>1843</v>
      </c>
      <c r="J690" s="143" t="s">
        <v>1902</v>
      </c>
      <c r="K690" s="136" t="s">
        <v>1877</v>
      </c>
      <c r="L690" s="132" t="s">
        <v>1844</v>
      </c>
      <c r="M690" s="132" t="s">
        <v>1845</v>
      </c>
      <c r="N690" s="131">
        <v>1.0</v>
      </c>
      <c r="O690" s="140" t="s">
        <v>1879</v>
      </c>
      <c r="P690" s="140" t="s">
        <v>2654</v>
      </c>
      <c r="Q690" s="140"/>
      <c r="R690" s="144"/>
      <c r="S690" s="140"/>
      <c r="T690" s="140"/>
      <c r="U690" s="140"/>
      <c r="V690" s="140"/>
      <c r="W690" s="144"/>
      <c r="X690" s="136" t="s">
        <v>1845</v>
      </c>
      <c r="Y690" s="128"/>
      <c r="Z690" s="140"/>
      <c r="AA690" s="140"/>
      <c r="AB690" s="140"/>
      <c r="AC690" s="140"/>
      <c r="AD690" s="140"/>
      <c r="AE690" s="140"/>
      <c r="AF690" s="140"/>
      <c r="AG690" s="286"/>
      <c r="AH690" s="135"/>
      <c r="AI690" s="286"/>
      <c r="AJ690" s="287"/>
      <c r="AK690" s="140"/>
      <c r="AL690" s="140"/>
    </row>
    <row r="691" ht="15.75" customHeight="1">
      <c r="A691" s="125">
        <v>690.0</v>
      </c>
      <c r="B691" s="138">
        <f t="shared" si="66"/>
        <v>10690</v>
      </c>
      <c r="C691" s="250" t="s">
        <v>1840</v>
      </c>
      <c r="D691" s="122" t="s">
        <v>2581</v>
      </c>
      <c r="E691" s="122" t="s">
        <v>34</v>
      </c>
      <c r="F691" s="127" t="s">
        <v>2847</v>
      </c>
      <c r="G691" s="126" t="s">
        <v>1295</v>
      </c>
      <c r="H691" s="140" t="s">
        <v>1844</v>
      </c>
      <c r="I691" s="128" t="s">
        <v>1843</v>
      </c>
      <c r="J691" s="143" t="s">
        <v>1876</v>
      </c>
      <c r="K691" s="136" t="s">
        <v>2348</v>
      </c>
      <c r="L691" s="132" t="s">
        <v>1844</v>
      </c>
      <c r="M691" s="132" t="s">
        <v>1845</v>
      </c>
      <c r="N691" s="131" t="s">
        <v>1844</v>
      </c>
      <c r="O691" s="140" t="s">
        <v>1879</v>
      </c>
      <c r="P691" s="140" t="s">
        <v>1862</v>
      </c>
      <c r="Q691" s="140"/>
      <c r="R691" s="144"/>
      <c r="S691" s="140" t="s">
        <v>1845</v>
      </c>
      <c r="T691" s="140"/>
      <c r="U691" s="140"/>
      <c r="V691" s="140"/>
      <c r="W691" s="144" t="s">
        <v>1845</v>
      </c>
      <c r="X691" s="136" t="s">
        <v>1845</v>
      </c>
      <c r="Y691" s="128"/>
      <c r="Z691" s="140"/>
      <c r="AA691" s="140"/>
      <c r="AB691" s="140"/>
      <c r="AC691" s="140"/>
      <c r="AD691" s="140"/>
      <c r="AE691" s="140"/>
      <c r="AF691" s="140"/>
      <c r="AG691" s="291"/>
      <c r="AH691" s="135"/>
      <c r="AI691" s="286"/>
      <c r="AJ691" s="287"/>
      <c r="AK691" s="140"/>
      <c r="AL691" s="140"/>
    </row>
    <row r="692" ht="15.75" customHeight="1">
      <c r="A692" s="302">
        <v>691.0</v>
      </c>
      <c r="B692" s="138">
        <f t="shared" si="66"/>
        <v>10691</v>
      </c>
      <c r="C692" s="250" t="s">
        <v>1840</v>
      </c>
      <c r="D692" s="303" t="s">
        <v>2692</v>
      </c>
      <c r="E692" s="303" t="s">
        <v>20</v>
      </c>
      <c r="F692" s="269" t="s">
        <v>2848</v>
      </c>
      <c r="G692" s="269" t="s">
        <v>1296</v>
      </c>
      <c r="H692" s="304" t="s">
        <v>1844</v>
      </c>
      <c r="I692" s="305" t="s">
        <v>1843</v>
      </c>
      <c r="J692" s="306" t="s">
        <v>1844</v>
      </c>
      <c r="K692" s="307" t="s">
        <v>1844</v>
      </c>
      <c r="L692" s="308" t="s">
        <v>1844</v>
      </c>
      <c r="M692" s="308" t="s">
        <v>1845</v>
      </c>
      <c r="N692" s="309" t="s">
        <v>1844</v>
      </c>
      <c r="O692" s="304" t="s">
        <v>1844</v>
      </c>
      <c r="P692" s="304" t="s">
        <v>1862</v>
      </c>
      <c r="Q692" s="304"/>
      <c r="R692" s="310"/>
      <c r="S692" s="304"/>
      <c r="T692" s="304" t="s">
        <v>1845</v>
      </c>
      <c r="U692" s="304"/>
      <c r="V692" s="304"/>
      <c r="W692" s="310" t="s">
        <v>1845</v>
      </c>
      <c r="X692" s="307"/>
      <c r="Y692" s="305"/>
      <c r="Z692" s="304"/>
      <c r="AA692" s="304"/>
      <c r="AB692" s="304"/>
      <c r="AC692" s="304"/>
      <c r="AD692" s="304"/>
      <c r="AE692" s="304"/>
      <c r="AF692" s="311"/>
      <c r="AG692" s="305"/>
      <c r="AH692" s="312"/>
      <c r="AI692" s="286"/>
      <c r="AJ692" s="287"/>
      <c r="AK692" s="140"/>
      <c r="AL692" s="140"/>
    </row>
    <row r="693" ht="15.75" customHeight="1">
      <c r="A693" s="125">
        <v>692.0</v>
      </c>
      <c r="B693" s="138">
        <f t="shared" si="66"/>
        <v>10692</v>
      </c>
      <c r="C693" s="250" t="s">
        <v>1840</v>
      </c>
      <c r="D693" s="122" t="s">
        <v>2692</v>
      </c>
      <c r="E693" s="122" t="s">
        <v>34</v>
      </c>
      <c r="F693" s="127" t="s">
        <v>2849</v>
      </c>
      <c r="G693" s="126" t="s">
        <v>1298</v>
      </c>
      <c r="H693" s="140" t="s">
        <v>1844</v>
      </c>
      <c r="I693" s="128" t="s">
        <v>1843</v>
      </c>
      <c r="J693" s="143" t="s">
        <v>1902</v>
      </c>
      <c r="K693" s="136" t="s">
        <v>1877</v>
      </c>
      <c r="L693" s="132" t="s">
        <v>1878</v>
      </c>
      <c r="M693" s="132" t="s">
        <v>1845</v>
      </c>
      <c r="N693" s="131">
        <v>1.0</v>
      </c>
      <c r="O693" s="140" t="s">
        <v>1879</v>
      </c>
      <c r="P693" s="140" t="s">
        <v>1862</v>
      </c>
      <c r="Q693" s="140"/>
      <c r="R693" s="144"/>
      <c r="S693" s="140" t="s">
        <v>1845</v>
      </c>
      <c r="T693" s="140"/>
      <c r="U693" s="140"/>
      <c r="V693" s="140"/>
      <c r="W693" s="144"/>
      <c r="X693" s="136"/>
      <c r="Y693" s="128"/>
      <c r="Z693" s="140"/>
      <c r="AA693" s="140"/>
      <c r="AB693" s="140"/>
      <c r="AC693" s="140"/>
      <c r="AD693" s="140"/>
      <c r="AE693" s="140"/>
      <c r="AF693" s="298"/>
      <c r="AG693" s="128"/>
      <c r="AH693" s="312"/>
      <c r="AI693" s="286"/>
      <c r="AJ693" s="287"/>
      <c r="AK693" s="140"/>
      <c r="AL693" s="140"/>
    </row>
    <row r="694" ht="15.75" customHeight="1">
      <c r="A694" s="125">
        <v>693.0</v>
      </c>
      <c r="B694" s="123" t="s">
        <v>1742</v>
      </c>
      <c r="C694" s="250" t="s">
        <v>1840</v>
      </c>
      <c r="D694" s="122" t="s">
        <v>2692</v>
      </c>
      <c r="E694" s="122" t="s">
        <v>7</v>
      </c>
      <c r="F694" s="313" t="s">
        <v>2850</v>
      </c>
      <c r="G694" s="126" t="s">
        <v>1299</v>
      </c>
      <c r="H694" s="140" t="s">
        <v>1844</v>
      </c>
      <c r="I694" s="128" t="s">
        <v>1843</v>
      </c>
      <c r="J694" s="143" t="s">
        <v>1844</v>
      </c>
      <c r="K694" s="136" t="s">
        <v>1844</v>
      </c>
      <c r="L694" s="132" t="s">
        <v>1844</v>
      </c>
      <c r="M694" s="132" t="s">
        <v>1844</v>
      </c>
      <c r="N694" s="131" t="s">
        <v>1844</v>
      </c>
      <c r="O694" s="140" t="s">
        <v>1844</v>
      </c>
      <c r="P694" s="140" t="s">
        <v>1844</v>
      </c>
      <c r="Q694" s="140" t="s">
        <v>1845</v>
      </c>
      <c r="R694" s="144"/>
      <c r="S694" s="140" t="s">
        <v>1845</v>
      </c>
      <c r="T694" s="140"/>
      <c r="U694" s="140"/>
      <c r="V694" s="140"/>
      <c r="W694" s="144"/>
      <c r="X694" s="136"/>
      <c r="Y694" s="128"/>
      <c r="Z694" s="140"/>
      <c r="AA694" s="140"/>
      <c r="AB694" s="140"/>
      <c r="AC694" s="140"/>
      <c r="AD694" s="140"/>
      <c r="AE694" s="140"/>
      <c r="AF694" s="298"/>
      <c r="AG694" s="128"/>
      <c r="AH694" s="312"/>
      <c r="AI694" s="286"/>
      <c r="AJ694" s="287"/>
      <c r="AK694" s="140"/>
      <c r="AL694" s="140"/>
    </row>
    <row r="695" ht="15.75" customHeight="1">
      <c r="A695" s="125">
        <v>694.0</v>
      </c>
      <c r="B695" s="138">
        <f t="shared" ref="B695:B702" si="67">SUM(A695+10000)</f>
        <v>10694</v>
      </c>
      <c r="C695" s="250" t="s">
        <v>1840</v>
      </c>
      <c r="D695" s="122" t="s">
        <v>2692</v>
      </c>
      <c r="E695" s="122" t="s">
        <v>34</v>
      </c>
      <c r="F695" s="127" t="s">
        <v>2851</v>
      </c>
      <c r="G695" s="126" t="s">
        <v>1300</v>
      </c>
      <c r="H695" s="140" t="s">
        <v>1844</v>
      </c>
      <c r="I695" s="128" t="s">
        <v>1843</v>
      </c>
      <c r="J695" s="143" t="s">
        <v>1902</v>
      </c>
      <c r="K695" s="136" t="s">
        <v>1877</v>
      </c>
      <c r="L695" s="132" t="s">
        <v>1844</v>
      </c>
      <c r="M695" s="132" t="s">
        <v>1845</v>
      </c>
      <c r="N695" s="131">
        <v>1.0</v>
      </c>
      <c r="O695" s="140" t="s">
        <v>1879</v>
      </c>
      <c r="P695" s="140" t="s">
        <v>2654</v>
      </c>
      <c r="Q695" s="140"/>
      <c r="R695" s="144"/>
      <c r="S695" s="140"/>
      <c r="T695" s="140"/>
      <c r="U695" s="140"/>
      <c r="V695" s="140"/>
      <c r="W695" s="144" t="s">
        <v>1845</v>
      </c>
      <c r="X695" s="136" t="s">
        <v>1845</v>
      </c>
      <c r="Y695" s="128"/>
      <c r="Z695" s="140"/>
      <c r="AA695" s="140"/>
      <c r="AB695" s="140"/>
      <c r="AC695" s="140"/>
      <c r="AD695" s="140"/>
      <c r="AE695" s="140"/>
      <c r="AF695" s="298"/>
      <c r="AG695" s="128"/>
      <c r="AH695" s="312"/>
      <c r="AI695" s="286"/>
      <c r="AJ695" s="287"/>
      <c r="AK695" s="140"/>
      <c r="AL695" s="140"/>
    </row>
    <row r="696" ht="15.75" customHeight="1">
      <c r="A696" s="141">
        <v>695.0</v>
      </c>
      <c r="B696" s="138">
        <f t="shared" si="67"/>
        <v>10695</v>
      </c>
      <c r="C696" s="250" t="s">
        <v>1840</v>
      </c>
      <c r="D696" s="122" t="str">
        <f t="array" ref="D696">INDEX(TEXTSPLIT(#REF!, "_"), 2)</f>
        <v>#NAME?</v>
      </c>
      <c r="E696" s="122" t="s">
        <v>34</v>
      </c>
      <c r="F696" s="127" t="s">
        <v>2852</v>
      </c>
      <c r="G696" s="126" t="s">
        <v>2853</v>
      </c>
      <c r="H696" s="140" t="s">
        <v>1844</v>
      </c>
      <c r="I696" s="128" t="s">
        <v>1843</v>
      </c>
      <c r="J696" s="143" t="s">
        <v>1902</v>
      </c>
      <c r="K696" s="136" t="s">
        <v>1877</v>
      </c>
      <c r="L696" s="132" t="s">
        <v>1990</v>
      </c>
      <c r="M696" s="132" t="s">
        <v>1845</v>
      </c>
      <c r="N696" s="131" t="s">
        <v>1903</v>
      </c>
      <c r="O696" s="140" t="s">
        <v>1879</v>
      </c>
      <c r="P696" s="140" t="s">
        <v>1862</v>
      </c>
      <c r="Q696" s="144"/>
      <c r="R696" s="144"/>
      <c r="S696" s="144"/>
      <c r="T696" s="144"/>
      <c r="U696" s="144"/>
      <c r="V696" s="296"/>
      <c r="W696" s="140" t="s">
        <v>1845</v>
      </c>
      <c r="X696" s="186" t="s">
        <v>1845</v>
      </c>
      <c r="Y696" s="136"/>
      <c r="Z696" s="144"/>
      <c r="AA696" s="144"/>
      <c r="AB696" s="144"/>
      <c r="AC696" s="144"/>
      <c r="AD696" s="144"/>
      <c r="AE696" s="144"/>
      <c r="AF696" s="296"/>
      <c r="AG696" s="140"/>
      <c r="AH696" s="227"/>
      <c r="AI696" s="128"/>
      <c r="AJ696" s="287"/>
      <c r="AK696" s="140"/>
      <c r="AL696" s="140"/>
    </row>
    <row r="697" ht="15.75" customHeight="1">
      <c r="A697" s="141">
        <v>696.0</v>
      </c>
      <c r="B697" s="138">
        <f t="shared" si="67"/>
        <v>10696</v>
      </c>
      <c r="C697" s="250" t="s">
        <v>1840</v>
      </c>
      <c r="D697" s="295" t="s">
        <v>2490</v>
      </c>
      <c r="E697" s="295" t="s">
        <v>34</v>
      </c>
      <c r="F697" s="142" t="s">
        <v>2854</v>
      </c>
      <c r="G697" s="127" t="s">
        <v>1302</v>
      </c>
      <c r="H697" s="140" t="s">
        <v>1844</v>
      </c>
      <c r="I697" s="128" t="s">
        <v>1843</v>
      </c>
      <c r="J697" s="186" t="s">
        <v>1876</v>
      </c>
      <c r="K697" s="136" t="s">
        <v>2348</v>
      </c>
      <c r="L697" s="136" t="s">
        <v>1878</v>
      </c>
      <c r="M697" s="136" t="s">
        <v>1845</v>
      </c>
      <c r="N697" s="144" t="s">
        <v>1844</v>
      </c>
      <c r="O697" s="140" t="s">
        <v>1879</v>
      </c>
      <c r="P697" s="140" t="s">
        <v>1862</v>
      </c>
      <c r="Q697" s="140"/>
      <c r="R697" s="144" t="s">
        <v>1845</v>
      </c>
      <c r="S697" s="140" t="s">
        <v>1845</v>
      </c>
      <c r="T697" s="144"/>
      <c r="U697" s="144"/>
      <c r="V697" s="144"/>
      <c r="W697" s="144"/>
      <c r="X697" s="136"/>
      <c r="Y697" s="136"/>
      <c r="Z697" s="144"/>
      <c r="AA697" s="144"/>
      <c r="AB697" s="144"/>
      <c r="AC697" s="144"/>
      <c r="AD697" s="144"/>
      <c r="AE697" s="144"/>
      <c r="AF697" s="296"/>
      <c r="AG697" s="140"/>
      <c r="AH697" s="227"/>
      <c r="AI697" s="128"/>
      <c r="AJ697" s="287"/>
      <c r="AK697" s="140"/>
      <c r="AL697" s="140"/>
    </row>
    <row r="698" ht="15.75" customHeight="1">
      <c r="A698" s="125">
        <v>697.0</v>
      </c>
      <c r="B698" s="138">
        <f t="shared" si="67"/>
        <v>10697</v>
      </c>
      <c r="C698" s="250" t="s">
        <v>1840</v>
      </c>
      <c r="D698" s="122" t="s">
        <v>2692</v>
      </c>
      <c r="E698" s="122" t="s">
        <v>7</v>
      </c>
      <c r="F698" s="127" t="s">
        <v>2855</v>
      </c>
      <c r="G698" s="127" t="s">
        <v>2856</v>
      </c>
      <c r="H698" s="140" t="s">
        <v>1844</v>
      </c>
      <c r="I698" s="128" t="s">
        <v>1906</v>
      </c>
      <c r="J698" s="186" t="s">
        <v>1844</v>
      </c>
      <c r="K698" s="136" t="s">
        <v>1844</v>
      </c>
      <c r="L698" s="136" t="s">
        <v>1844</v>
      </c>
      <c r="M698" s="136" t="s">
        <v>1844</v>
      </c>
      <c r="N698" s="144" t="s">
        <v>1844</v>
      </c>
      <c r="O698" s="140" t="s">
        <v>1844</v>
      </c>
      <c r="P698" s="140" t="s">
        <v>1844</v>
      </c>
      <c r="Q698" s="140"/>
      <c r="R698" s="144"/>
      <c r="S698" s="140"/>
      <c r="T698" s="140"/>
      <c r="U698" s="140"/>
      <c r="V698" s="140" t="s">
        <v>1845</v>
      </c>
      <c r="W698" s="144" t="s">
        <v>1845</v>
      </c>
      <c r="X698" s="136"/>
      <c r="Y698" s="128"/>
      <c r="Z698" s="140"/>
      <c r="AA698" s="140"/>
      <c r="AB698" s="144"/>
      <c r="AC698" s="144"/>
      <c r="AD698" s="144"/>
      <c r="AE698" s="140"/>
      <c r="AF698" s="298"/>
      <c r="AG698" s="140"/>
      <c r="AH698" s="312"/>
      <c r="AI698" s="286"/>
      <c r="AJ698" s="287"/>
      <c r="AK698" s="140"/>
      <c r="AL698" s="140"/>
    </row>
    <row r="699" ht="15.75" customHeight="1">
      <c r="A699" s="125">
        <v>698.0</v>
      </c>
      <c r="B699" s="138">
        <f t="shared" si="67"/>
        <v>10698</v>
      </c>
      <c r="C699" s="250" t="s">
        <v>1840</v>
      </c>
      <c r="D699" s="122" t="s">
        <v>2692</v>
      </c>
      <c r="E699" s="122" t="s">
        <v>34</v>
      </c>
      <c r="F699" s="201" t="s">
        <v>2857</v>
      </c>
      <c r="G699" s="126" t="s">
        <v>1304</v>
      </c>
      <c r="H699" s="140" t="s">
        <v>1844</v>
      </c>
      <c r="I699" s="128" t="s">
        <v>1906</v>
      </c>
      <c r="J699" s="186" t="s">
        <v>1876</v>
      </c>
      <c r="K699" s="136" t="s">
        <v>2348</v>
      </c>
      <c r="L699" s="136" t="s">
        <v>1844</v>
      </c>
      <c r="M699" s="136" t="s">
        <v>1845</v>
      </c>
      <c r="N699" s="144" t="s">
        <v>1844</v>
      </c>
      <c r="O699" s="140" t="s">
        <v>1879</v>
      </c>
      <c r="P699" s="140" t="s">
        <v>1862</v>
      </c>
      <c r="Q699" s="140"/>
      <c r="R699" s="144"/>
      <c r="S699" s="140"/>
      <c r="T699" s="140"/>
      <c r="U699" s="140"/>
      <c r="V699" s="140" t="s">
        <v>1845</v>
      </c>
      <c r="W699" s="144" t="s">
        <v>1845</v>
      </c>
      <c r="X699" s="136"/>
      <c r="Y699" s="128"/>
      <c r="Z699" s="140"/>
      <c r="AA699" s="140"/>
      <c r="AB699" s="144"/>
      <c r="AC699" s="144"/>
      <c r="AD699" s="144"/>
      <c r="AE699" s="140"/>
      <c r="AF699" s="298"/>
      <c r="AG699" s="140"/>
      <c r="AH699" s="312"/>
      <c r="AI699" s="286"/>
      <c r="AJ699" s="287"/>
      <c r="AK699" s="140"/>
      <c r="AL699" s="140"/>
    </row>
    <row r="700" ht="15.75" customHeight="1">
      <c r="A700" s="141">
        <v>699.0</v>
      </c>
      <c r="B700" s="138">
        <f t="shared" si="67"/>
        <v>10699</v>
      </c>
      <c r="C700" s="250" t="s">
        <v>1840</v>
      </c>
      <c r="D700" s="295" t="s">
        <v>2692</v>
      </c>
      <c r="E700" s="295" t="s">
        <v>34</v>
      </c>
      <c r="F700" s="142" t="s">
        <v>2858</v>
      </c>
      <c r="G700" s="185" t="s">
        <v>1305</v>
      </c>
      <c r="H700" s="144" t="s">
        <v>1844</v>
      </c>
      <c r="I700" s="136" t="s">
        <v>1906</v>
      </c>
      <c r="J700" s="186" t="s">
        <v>1876</v>
      </c>
      <c r="K700" s="136" t="s">
        <v>2348</v>
      </c>
      <c r="L700" s="136" t="s">
        <v>1878</v>
      </c>
      <c r="M700" s="136" t="s">
        <v>1845</v>
      </c>
      <c r="N700" s="144" t="s">
        <v>1844</v>
      </c>
      <c r="O700" s="144" t="s">
        <v>1879</v>
      </c>
      <c r="P700" s="144" t="s">
        <v>1862</v>
      </c>
      <c r="Q700" s="144"/>
      <c r="R700" s="144"/>
      <c r="S700" s="144"/>
      <c r="T700" s="144"/>
      <c r="U700" s="144"/>
      <c r="V700" s="144" t="s">
        <v>1845</v>
      </c>
      <c r="W700" s="144" t="s">
        <v>1845</v>
      </c>
      <c r="X700" s="136"/>
      <c r="Y700" s="136"/>
      <c r="Z700" s="144"/>
      <c r="AA700" s="144"/>
      <c r="AB700" s="144"/>
      <c r="AC700" s="144"/>
      <c r="AD700" s="144"/>
      <c r="AE700" s="144"/>
      <c r="AF700" s="296"/>
      <c r="AG700" s="140"/>
      <c r="AH700" s="314"/>
      <c r="AI700" s="291"/>
      <c r="AJ700" s="315"/>
      <c r="AK700" s="140"/>
      <c r="AL700" s="140"/>
    </row>
    <row r="701" ht="15.75" customHeight="1">
      <c r="A701" s="122">
        <v>700.0</v>
      </c>
      <c r="B701" s="138">
        <f t="shared" si="67"/>
        <v>10700</v>
      </c>
      <c r="C701" s="250" t="s">
        <v>1840</v>
      </c>
      <c r="D701" s="122" t="s">
        <v>2692</v>
      </c>
      <c r="E701" s="122" t="s">
        <v>7</v>
      </c>
      <c r="F701" s="269" t="s">
        <v>2859</v>
      </c>
      <c r="G701" s="152" t="s">
        <v>1306</v>
      </c>
      <c r="H701" s="140" t="s">
        <v>1844</v>
      </c>
      <c r="I701" s="128" t="s">
        <v>1843</v>
      </c>
      <c r="J701" s="128" t="s">
        <v>1844</v>
      </c>
      <c r="K701" s="128" t="s">
        <v>1844</v>
      </c>
      <c r="L701" s="128" t="s">
        <v>1844</v>
      </c>
      <c r="M701" s="128" t="s">
        <v>1844</v>
      </c>
      <c r="N701" s="140" t="s">
        <v>1844</v>
      </c>
      <c r="O701" s="140" t="s">
        <v>1844</v>
      </c>
      <c r="P701" s="140" t="s">
        <v>1844</v>
      </c>
      <c r="Q701" s="140"/>
      <c r="R701" s="140"/>
      <c r="S701" s="140"/>
      <c r="T701" s="140"/>
      <c r="U701" s="140"/>
      <c r="V701" s="140"/>
      <c r="W701" s="140" t="s">
        <v>1845</v>
      </c>
      <c r="X701" s="128"/>
      <c r="Y701" s="128"/>
      <c r="Z701" s="140"/>
      <c r="AA701" s="140"/>
      <c r="AB701" s="140"/>
      <c r="AC701" s="140"/>
      <c r="AD701" s="140"/>
      <c r="AE701" s="140"/>
      <c r="AF701" s="298"/>
      <c r="AG701" s="140"/>
      <c r="AH701" s="299"/>
      <c r="AI701" s="128"/>
      <c r="AJ701" s="137"/>
      <c r="AK701" s="140"/>
      <c r="AL701" s="140"/>
    </row>
    <row r="702" ht="15.75" customHeight="1">
      <c r="A702" s="122">
        <v>701.0</v>
      </c>
      <c r="B702" s="138">
        <f t="shared" si="67"/>
        <v>10701</v>
      </c>
      <c r="C702" s="250" t="s">
        <v>1840</v>
      </c>
      <c r="D702" s="122" t="s">
        <v>2692</v>
      </c>
      <c r="E702" s="122" t="s">
        <v>27</v>
      </c>
      <c r="F702" s="126" t="s">
        <v>2860</v>
      </c>
      <c r="G702" s="152" t="s">
        <v>1307</v>
      </c>
      <c r="H702" s="140" t="s">
        <v>1844</v>
      </c>
      <c r="I702" s="128" t="s">
        <v>1843</v>
      </c>
      <c r="J702" s="128" t="s">
        <v>1844</v>
      </c>
      <c r="K702" s="128" t="s">
        <v>1844</v>
      </c>
      <c r="L702" s="128" t="s">
        <v>1844</v>
      </c>
      <c r="M702" s="128" t="s">
        <v>1845</v>
      </c>
      <c r="N702" s="140" t="s">
        <v>1844</v>
      </c>
      <c r="O702" s="140" t="s">
        <v>1844</v>
      </c>
      <c r="P702" s="140" t="s">
        <v>1862</v>
      </c>
      <c r="Q702" s="140"/>
      <c r="R702" s="140"/>
      <c r="S702" s="140" t="s">
        <v>1845</v>
      </c>
      <c r="T702" s="140"/>
      <c r="U702" s="140"/>
      <c r="V702" s="140"/>
      <c r="W702" s="140"/>
      <c r="X702" s="128"/>
      <c r="Y702" s="128"/>
      <c r="Z702" s="140"/>
      <c r="AA702" s="140"/>
      <c r="AB702" s="140"/>
      <c r="AC702" s="140"/>
      <c r="AD702" s="140"/>
      <c r="AE702" s="140"/>
      <c r="AF702" s="298"/>
      <c r="AG702" s="298"/>
      <c r="AH702" s="140"/>
      <c r="AI702" s="149"/>
      <c r="AJ702" s="137"/>
      <c r="AK702" s="140"/>
      <c r="AL702" s="140"/>
    </row>
    <row r="703" ht="15.75" customHeight="1">
      <c r="A703" s="122">
        <v>702.0</v>
      </c>
      <c r="B703" s="123" t="s">
        <v>1742</v>
      </c>
      <c r="C703" s="250" t="s">
        <v>1840</v>
      </c>
      <c r="D703" s="122" t="s">
        <v>2692</v>
      </c>
      <c r="E703" s="122" t="s">
        <v>7</v>
      </c>
      <c r="F703" s="152" t="s">
        <v>2861</v>
      </c>
      <c r="G703" s="152" t="s">
        <v>1308</v>
      </c>
      <c r="H703" s="140" t="s">
        <v>1844</v>
      </c>
      <c r="I703" s="128" t="s">
        <v>1843</v>
      </c>
      <c r="J703" s="128" t="s">
        <v>1844</v>
      </c>
      <c r="K703" s="128" t="s">
        <v>1844</v>
      </c>
      <c r="L703" s="128" t="s">
        <v>1844</v>
      </c>
      <c r="M703" s="128" t="s">
        <v>1844</v>
      </c>
      <c r="N703" s="140" t="s">
        <v>1844</v>
      </c>
      <c r="O703" s="140" t="s">
        <v>1844</v>
      </c>
      <c r="P703" s="140" t="s">
        <v>1844</v>
      </c>
      <c r="Q703" s="140" t="s">
        <v>1845</v>
      </c>
      <c r="R703" s="140"/>
      <c r="S703" s="140"/>
      <c r="T703" s="140"/>
      <c r="U703" s="140"/>
      <c r="V703" s="140"/>
      <c r="W703" s="144" t="s">
        <v>1845</v>
      </c>
      <c r="X703" s="136"/>
      <c r="Y703" s="136"/>
      <c r="Z703" s="140"/>
      <c r="AA703" s="144"/>
      <c r="AB703" s="144"/>
      <c r="AC703" s="144"/>
      <c r="AD703" s="144"/>
      <c r="AE703" s="144"/>
      <c r="AF703" s="296"/>
      <c r="AG703" s="298"/>
      <c r="AH703" s="140"/>
      <c r="AI703" s="186"/>
      <c r="AJ703" s="316"/>
      <c r="AK703" s="140"/>
      <c r="AL703" s="140"/>
    </row>
    <row r="704" ht="15.75" customHeight="1">
      <c r="A704" s="125">
        <v>703.0</v>
      </c>
      <c r="B704" s="138">
        <f t="shared" ref="B704:B706" si="68">SUM(A704+10000)</f>
        <v>10703</v>
      </c>
      <c r="C704" s="278" t="s">
        <v>1840</v>
      </c>
      <c r="D704" s="122" t="s">
        <v>1841</v>
      </c>
      <c r="E704" s="122" t="s">
        <v>7</v>
      </c>
      <c r="F704" s="152" t="s">
        <v>2862</v>
      </c>
      <c r="G704" s="126" t="s">
        <v>1309</v>
      </c>
      <c r="H704" s="144" t="s">
        <v>1844</v>
      </c>
      <c r="I704" s="136" t="s">
        <v>1843</v>
      </c>
      <c r="J704" s="170" t="s">
        <v>1844</v>
      </c>
      <c r="K704" s="136" t="s">
        <v>1844</v>
      </c>
      <c r="L704" s="170" t="s">
        <v>1844</v>
      </c>
      <c r="M704" s="170" t="s">
        <v>1844</v>
      </c>
      <c r="N704" s="284" t="s">
        <v>2863</v>
      </c>
      <c r="O704" s="144" t="s">
        <v>1844</v>
      </c>
      <c r="P704" s="144" t="s">
        <v>1844</v>
      </c>
      <c r="Q704" s="144"/>
      <c r="R704" s="144"/>
      <c r="S704" s="140" t="s">
        <v>1845</v>
      </c>
      <c r="T704" s="140"/>
      <c r="U704" s="140"/>
      <c r="V704" s="298"/>
      <c r="W704" s="140"/>
      <c r="X704" s="128"/>
      <c r="Y704" s="128"/>
      <c r="Z704" s="317"/>
      <c r="AA704" s="140"/>
      <c r="AB704" s="140"/>
      <c r="AC704" s="140"/>
      <c r="AD704" s="140"/>
      <c r="AE704" s="140"/>
      <c r="AF704" s="298"/>
      <c r="AG704" s="318"/>
      <c r="AH704" s="298"/>
      <c r="AI704" s="128"/>
      <c r="AJ704" s="137"/>
      <c r="AK704" s="140"/>
      <c r="AL704" s="140"/>
    </row>
    <row r="705" ht="15.75" customHeight="1">
      <c r="A705" s="125">
        <v>704.0</v>
      </c>
      <c r="B705" s="138">
        <f t="shared" si="68"/>
        <v>10704</v>
      </c>
      <c r="C705" s="278" t="s">
        <v>1840</v>
      </c>
      <c r="D705" s="122" t="s">
        <v>1841</v>
      </c>
      <c r="E705" s="122" t="s">
        <v>27</v>
      </c>
      <c r="F705" s="152" t="s">
        <v>2864</v>
      </c>
      <c r="G705" s="319" t="s">
        <v>1310</v>
      </c>
      <c r="H705" s="140" t="s">
        <v>1844</v>
      </c>
      <c r="I705" s="128" t="s">
        <v>1843</v>
      </c>
      <c r="J705" s="128" t="s">
        <v>1844</v>
      </c>
      <c r="K705" s="128" t="s">
        <v>1844</v>
      </c>
      <c r="L705" s="128" t="s">
        <v>1844</v>
      </c>
      <c r="M705" s="128" t="s">
        <v>1845</v>
      </c>
      <c r="N705" s="140" t="s">
        <v>1844</v>
      </c>
      <c r="O705" s="140" t="s">
        <v>1844</v>
      </c>
      <c r="P705" s="140" t="s">
        <v>1862</v>
      </c>
      <c r="Q705" s="140"/>
      <c r="R705" s="299"/>
      <c r="S705" s="140"/>
      <c r="T705" s="140"/>
      <c r="U705" s="140"/>
      <c r="V705" s="298"/>
      <c r="W705" s="140"/>
      <c r="X705" s="128"/>
      <c r="Y705" s="128"/>
      <c r="Z705" s="317"/>
      <c r="AA705" s="140"/>
      <c r="AB705" s="140"/>
      <c r="AC705" s="140"/>
      <c r="AD705" s="140"/>
      <c r="AE705" s="140"/>
      <c r="AF705" s="298"/>
      <c r="AG705" s="298"/>
      <c r="AH705" s="298"/>
      <c r="AI705" s="128"/>
      <c r="AJ705" s="137"/>
      <c r="AK705" s="140"/>
      <c r="AL705" s="140"/>
    </row>
    <row r="706" ht="15.75" customHeight="1">
      <c r="A706" s="125">
        <v>705.0</v>
      </c>
      <c r="B706" s="138">
        <f t="shared" si="68"/>
        <v>10705</v>
      </c>
      <c r="C706" s="250" t="s">
        <v>1840</v>
      </c>
      <c r="D706" s="122" t="s">
        <v>2462</v>
      </c>
      <c r="E706" s="122" t="s">
        <v>7</v>
      </c>
      <c r="F706" s="152" t="s">
        <v>2865</v>
      </c>
      <c r="G706" s="319" t="s">
        <v>1312</v>
      </c>
      <c r="H706" s="140" t="s">
        <v>1844</v>
      </c>
      <c r="I706" s="128" t="s">
        <v>1906</v>
      </c>
      <c r="J706" s="128" t="s">
        <v>1844</v>
      </c>
      <c r="K706" s="128" t="s">
        <v>1844</v>
      </c>
      <c r="L706" s="128" t="s">
        <v>1844</v>
      </c>
      <c r="M706" s="128" t="s">
        <v>1844</v>
      </c>
      <c r="N706" s="140" t="s">
        <v>1844</v>
      </c>
      <c r="O706" s="140" t="s">
        <v>1844</v>
      </c>
      <c r="P706" s="140" t="s">
        <v>1844</v>
      </c>
      <c r="Q706" s="144"/>
      <c r="R706" s="299"/>
      <c r="S706" s="140"/>
      <c r="T706" s="140"/>
      <c r="U706" s="140" t="s">
        <v>1845</v>
      </c>
      <c r="V706" s="298"/>
      <c r="W706" s="140"/>
      <c r="X706" s="128"/>
      <c r="Y706" s="128"/>
      <c r="Z706" s="317"/>
      <c r="AA706" s="140"/>
      <c r="AB706" s="140"/>
      <c r="AC706" s="140"/>
      <c r="AD706" s="140"/>
      <c r="AE706" s="140"/>
      <c r="AF706" s="298"/>
      <c r="AG706" s="298"/>
      <c r="AH706" s="298"/>
      <c r="AI706" s="128"/>
      <c r="AJ706" s="137"/>
      <c r="AK706" s="140"/>
      <c r="AL706" s="140"/>
    </row>
    <row r="707" ht="15.75" customHeight="1">
      <c r="A707" s="125">
        <v>706.0</v>
      </c>
      <c r="B707" s="123" t="s">
        <v>1742</v>
      </c>
      <c r="C707" s="250" t="s">
        <v>1840</v>
      </c>
      <c r="D707" s="122" t="s">
        <v>2462</v>
      </c>
      <c r="E707" s="122" t="s">
        <v>7</v>
      </c>
      <c r="F707" s="152" t="s">
        <v>2866</v>
      </c>
      <c r="G707" s="319" t="s">
        <v>1313</v>
      </c>
      <c r="H707" s="140" t="s">
        <v>1844</v>
      </c>
      <c r="I707" s="128" t="s">
        <v>1843</v>
      </c>
      <c r="J707" s="128" t="s">
        <v>1844</v>
      </c>
      <c r="K707" s="128" t="s">
        <v>1844</v>
      </c>
      <c r="L707" s="128" t="s">
        <v>1844</v>
      </c>
      <c r="M707" s="128" t="s">
        <v>1844</v>
      </c>
      <c r="N707" s="140" t="s">
        <v>1844</v>
      </c>
      <c r="O707" s="140" t="s">
        <v>1844</v>
      </c>
      <c r="P707" s="298" t="s">
        <v>1844</v>
      </c>
      <c r="Q707" s="140" t="s">
        <v>1845</v>
      </c>
      <c r="R707" s="140"/>
      <c r="S707" s="227"/>
      <c r="T707" s="140"/>
      <c r="U707" s="140"/>
      <c r="V707" s="298"/>
      <c r="W707" s="140"/>
      <c r="X707" s="128" t="s">
        <v>1845</v>
      </c>
      <c r="Y707" s="128"/>
      <c r="Z707" s="317"/>
      <c r="AA707" s="140"/>
      <c r="AB707" s="140"/>
      <c r="AC707" s="140"/>
      <c r="AD707" s="140"/>
      <c r="AE707" s="140"/>
      <c r="AF707" s="298"/>
      <c r="AG707" s="298"/>
      <c r="AH707" s="298"/>
      <c r="AI707" s="128"/>
      <c r="AJ707" s="137"/>
      <c r="AK707" s="140"/>
      <c r="AL707" s="140"/>
    </row>
    <row r="708" ht="15.75" customHeight="1">
      <c r="A708" s="125">
        <v>707.0</v>
      </c>
      <c r="B708" s="138">
        <f t="shared" ref="B708:B709" si="69">SUM(A708+10000)</f>
        <v>10707</v>
      </c>
      <c r="C708" s="250" t="s">
        <v>1840</v>
      </c>
      <c r="D708" s="122" t="s">
        <v>2692</v>
      </c>
      <c r="E708" s="122" t="s">
        <v>7</v>
      </c>
      <c r="F708" s="152" t="s">
        <v>2867</v>
      </c>
      <c r="G708" s="319" t="s">
        <v>1314</v>
      </c>
      <c r="H708" s="140" t="s">
        <v>1844</v>
      </c>
      <c r="I708" s="128" t="s">
        <v>1906</v>
      </c>
      <c r="J708" s="128" t="s">
        <v>1844</v>
      </c>
      <c r="K708" s="136" t="s">
        <v>1844</v>
      </c>
      <c r="L708" s="128" t="s">
        <v>1844</v>
      </c>
      <c r="M708" s="128" t="s">
        <v>1844</v>
      </c>
      <c r="N708" s="140" t="s">
        <v>1844</v>
      </c>
      <c r="O708" s="140" t="s">
        <v>1844</v>
      </c>
      <c r="P708" s="298" t="s">
        <v>1844</v>
      </c>
      <c r="Q708" s="140"/>
      <c r="R708" s="140"/>
      <c r="S708" s="227" t="s">
        <v>1845</v>
      </c>
      <c r="T708" s="140"/>
      <c r="U708" s="140" t="s">
        <v>1845</v>
      </c>
      <c r="V708" s="140" t="s">
        <v>1845</v>
      </c>
      <c r="W708" s="144"/>
      <c r="X708" s="128"/>
      <c r="Y708" s="128"/>
      <c r="Z708" s="140"/>
      <c r="AA708" s="140"/>
      <c r="AB708" s="140"/>
      <c r="AC708" s="140"/>
      <c r="AD708" s="140"/>
      <c r="AE708" s="140"/>
      <c r="AF708" s="140"/>
      <c r="AG708" s="298"/>
      <c r="AH708" s="298"/>
      <c r="AI708" s="128"/>
      <c r="AJ708" s="137"/>
      <c r="AK708" s="140"/>
      <c r="AL708" s="140"/>
    </row>
    <row r="709" ht="15.75" customHeight="1">
      <c r="A709" s="125">
        <v>708.0</v>
      </c>
      <c r="B709" s="138">
        <f t="shared" si="69"/>
        <v>10708</v>
      </c>
      <c r="C709" s="250" t="s">
        <v>1840</v>
      </c>
      <c r="D709" s="122" t="s">
        <v>2692</v>
      </c>
      <c r="E709" s="122" t="s">
        <v>34</v>
      </c>
      <c r="F709" s="152" t="s">
        <v>2868</v>
      </c>
      <c r="G709" s="319" t="s">
        <v>1315</v>
      </c>
      <c r="H709" s="140" t="s">
        <v>1844</v>
      </c>
      <c r="I709" s="140" t="s">
        <v>1843</v>
      </c>
      <c r="J709" s="128" t="s">
        <v>1902</v>
      </c>
      <c r="K709" s="136" t="s">
        <v>1877</v>
      </c>
      <c r="L709" s="128" t="s">
        <v>1990</v>
      </c>
      <c r="M709" s="128" t="s">
        <v>1845</v>
      </c>
      <c r="N709" s="140">
        <v>1.0</v>
      </c>
      <c r="O709" s="140" t="s">
        <v>1879</v>
      </c>
      <c r="P709" s="140" t="s">
        <v>1862</v>
      </c>
      <c r="Q709" s="140"/>
      <c r="R709" s="140"/>
      <c r="S709" s="140"/>
      <c r="T709" s="140" t="s">
        <v>1845</v>
      </c>
      <c r="U709" s="140"/>
      <c r="V709" s="140"/>
      <c r="W709" s="144"/>
      <c r="X709" s="128"/>
      <c r="Y709" s="128"/>
      <c r="Z709" s="140"/>
      <c r="AA709" s="140"/>
      <c r="AB709" s="140"/>
      <c r="AC709" s="140"/>
      <c r="AD709" s="140"/>
      <c r="AE709" s="140"/>
      <c r="AF709" s="140"/>
      <c r="AG709" s="298"/>
      <c r="AH709" s="298"/>
      <c r="AI709" s="128"/>
      <c r="AJ709" s="137"/>
      <c r="AK709" s="140"/>
      <c r="AL709" s="140"/>
    </row>
    <row r="710" ht="15.75" customHeight="1">
      <c r="A710" s="125">
        <v>709.0</v>
      </c>
      <c r="B710" s="123" t="s">
        <v>1742</v>
      </c>
      <c r="C710" s="250" t="s">
        <v>1840</v>
      </c>
      <c r="D710" s="122" t="s">
        <v>2692</v>
      </c>
      <c r="E710" s="122" t="s">
        <v>7</v>
      </c>
      <c r="F710" s="152" t="s">
        <v>2869</v>
      </c>
      <c r="G710" s="319" t="s">
        <v>1316</v>
      </c>
      <c r="H710" s="140" t="s">
        <v>1844</v>
      </c>
      <c r="I710" s="128" t="s">
        <v>1843</v>
      </c>
      <c r="J710" s="128" t="s">
        <v>1844</v>
      </c>
      <c r="K710" s="136" t="s">
        <v>1844</v>
      </c>
      <c r="L710" s="128" t="s">
        <v>1844</v>
      </c>
      <c r="M710" s="128" t="s">
        <v>1844</v>
      </c>
      <c r="N710" s="140" t="s">
        <v>1844</v>
      </c>
      <c r="O710" s="140" t="s">
        <v>1844</v>
      </c>
      <c r="P710" s="140" t="s">
        <v>1844</v>
      </c>
      <c r="Q710" s="140" t="s">
        <v>1845</v>
      </c>
      <c r="R710" s="144"/>
      <c r="S710" s="140"/>
      <c r="T710" s="140" t="s">
        <v>1845</v>
      </c>
      <c r="U710" s="140"/>
      <c r="V710" s="140"/>
      <c r="W710" s="144"/>
      <c r="X710" s="128"/>
      <c r="Y710" s="128"/>
      <c r="Z710" s="140"/>
      <c r="AA710" s="140"/>
      <c r="AB710" s="140"/>
      <c r="AC710" s="140"/>
      <c r="AD710" s="140"/>
      <c r="AE710" s="140"/>
      <c r="AF710" s="140"/>
      <c r="AG710" s="298"/>
      <c r="AH710" s="298"/>
      <c r="AI710" s="128"/>
      <c r="AJ710" s="137"/>
      <c r="AK710" s="140"/>
      <c r="AL710" s="140"/>
    </row>
    <row r="711" ht="15.75" customHeight="1">
      <c r="A711" s="125">
        <v>710.0</v>
      </c>
      <c r="B711" s="123" t="s">
        <v>1742</v>
      </c>
      <c r="C711" s="250" t="s">
        <v>1840</v>
      </c>
      <c r="D711" s="122" t="s">
        <v>2692</v>
      </c>
      <c r="E711" s="138" t="s">
        <v>7</v>
      </c>
      <c r="F711" s="127" t="s">
        <v>2870</v>
      </c>
      <c r="G711" s="301" t="s">
        <v>2871</v>
      </c>
      <c r="H711" s="140" t="s">
        <v>1844</v>
      </c>
      <c r="I711" s="129" t="s">
        <v>1906</v>
      </c>
      <c r="J711" s="128" t="s">
        <v>1844</v>
      </c>
      <c r="K711" s="136" t="s">
        <v>1844</v>
      </c>
      <c r="L711" s="128" t="s">
        <v>1844</v>
      </c>
      <c r="M711" s="128" t="s">
        <v>1844</v>
      </c>
      <c r="N711" s="140" t="s">
        <v>1844</v>
      </c>
      <c r="O711" s="140" t="s">
        <v>1844</v>
      </c>
      <c r="P711" s="140" t="s">
        <v>1844</v>
      </c>
      <c r="Q711" s="140" t="s">
        <v>1845</v>
      </c>
      <c r="R711" s="144"/>
      <c r="S711" s="140"/>
      <c r="T711" s="140"/>
      <c r="U711" s="140" t="s">
        <v>1845</v>
      </c>
      <c r="V711" s="140" t="s">
        <v>1845</v>
      </c>
      <c r="W711" s="144"/>
      <c r="X711" s="128"/>
      <c r="Y711" s="128"/>
      <c r="Z711" s="140"/>
      <c r="AA711" s="140"/>
      <c r="AB711" s="140"/>
      <c r="AC711" s="140"/>
      <c r="AD711" s="140"/>
      <c r="AE711" s="140"/>
      <c r="AF711" s="140"/>
      <c r="AG711" s="298"/>
      <c r="AH711" s="298"/>
      <c r="AI711" s="128"/>
      <c r="AJ711" s="137"/>
      <c r="AK711" s="140"/>
      <c r="AL711" s="140"/>
    </row>
    <row r="712" ht="15.75" customHeight="1">
      <c r="A712" s="125">
        <v>711.0</v>
      </c>
      <c r="B712" s="138">
        <f t="shared" ref="B712:B713" si="70">SUM(A712+10000)</f>
        <v>10711</v>
      </c>
      <c r="C712" s="250" t="s">
        <v>1840</v>
      </c>
      <c r="D712" s="122" t="s">
        <v>1849</v>
      </c>
      <c r="E712" s="138" t="s">
        <v>20</v>
      </c>
      <c r="F712" s="127" t="s">
        <v>2872</v>
      </c>
      <c r="G712" s="301" t="s">
        <v>1318</v>
      </c>
      <c r="H712" s="140"/>
      <c r="I712" s="128" t="s">
        <v>1843</v>
      </c>
      <c r="J712" s="128" t="s">
        <v>1844</v>
      </c>
      <c r="K712" s="136" t="s">
        <v>1844</v>
      </c>
      <c r="L712" s="128" t="s">
        <v>1844</v>
      </c>
      <c r="M712" s="128" t="s">
        <v>1845</v>
      </c>
      <c r="N712" s="140" t="s">
        <v>1844</v>
      </c>
      <c r="O712" s="140" t="s">
        <v>1844</v>
      </c>
      <c r="P712" s="140" t="s">
        <v>1862</v>
      </c>
      <c r="Q712" s="140"/>
      <c r="R712" s="144"/>
      <c r="S712" s="140" t="s">
        <v>1845</v>
      </c>
      <c r="T712" s="140"/>
      <c r="U712" s="140"/>
      <c r="V712" s="140"/>
      <c r="W712" s="144"/>
      <c r="X712" s="128"/>
      <c r="Y712" s="128"/>
      <c r="Z712" s="140"/>
      <c r="AA712" s="140"/>
      <c r="AB712" s="140"/>
      <c r="AC712" s="140"/>
      <c r="AD712" s="140"/>
      <c r="AE712" s="140"/>
      <c r="AF712" s="140"/>
      <c r="AG712" s="298"/>
      <c r="AH712" s="298"/>
      <c r="AI712" s="128"/>
      <c r="AJ712" s="137"/>
      <c r="AK712" s="140"/>
      <c r="AL712" s="140"/>
    </row>
    <row r="713" ht="15.75" customHeight="1">
      <c r="A713" s="125">
        <v>712.0</v>
      </c>
      <c r="B713" s="138">
        <f t="shared" si="70"/>
        <v>10712</v>
      </c>
      <c r="C713" s="250" t="s">
        <v>1840</v>
      </c>
      <c r="D713" s="122" t="s">
        <v>2677</v>
      </c>
      <c r="E713" s="138" t="s">
        <v>7</v>
      </c>
      <c r="F713" s="127" t="s">
        <v>2796</v>
      </c>
      <c r="G713" s="301" t="s">
        <v>1320</v>
      </c>
      <c r="H713" s="140" t="s">
        <v>1844</v>
      </c>
      <c r="I713" s="128" t="s">
        <v>1843</v>
      </c>
      <c r="J713" s="128" t="s">
        <v>1844</v>
      </c>
      <c r="K713" s="136" t="s">
        <v>1844</v>
      </c>
      <c r="L713" s="128" t="s">
        <v>1844</v>
      </c>
      <c r="M713" s="128" t="s">
        <v>1844</v>
      </c>
      <c r="N713" s="140" t="s">
        <v>1844</v>
      </c>
      <c r="O713" s="140" t="s">
        <v>1844</v>
      </c>
      <c r="P713" s="140" t="s">
        <v>1844</v>
      </c>
      <c r="Q713" s="140"/>
      <c r="R713" s="144" t="s">
        <v>1845</v>
      </c>
      <c r="S713" s="140"/>
      <c r="T713" s="140" t="s">
        <v>1845</v>
      </c>
      <c r="U713" s="140"/>
      <c r="V713" s="140"/>
      <c r="W713" s="144" t="s">
        <v>1845</v>
      </c>
      <c r="X713" s="128" t="s">
        <v>1845</v>
      </c>
      <c r="Y713" s="128"/>
      <c r="Z713" s="140"/>
      <c r="AA713" s="140"/>
      <c r="AB713" s="140"/>
      <c r="AC713" s="140"/>
      <c r="AD713" s="140"/>
      <c r="AE713" s="140"/>
      <c r="AF713" s="140"/>
      <c r="AG713" s="298"/>
      <c r="AH713" s="298"/>
      <c r="AI713" s="128"/>
      <c r="AJ713" s="137"/>
      <c r="AK713" s="140"/>
      <c r="AL713" s="140"/>
    </row>
    <row r="714" ht="15.75" customHeight="1">
      <c r="A714" s="125">
        <v>713.0</v>
      </c>
      <c r="B714" s="123" t="s">
        <v>1742</v>
      </c>
      <c r="C714" s="250" t="s">
        <v>1840</v>
      </c>
      <c r="D714" s="122" t="s">
        <v>2692</v>
      </c>
      <c r="E714" s="122" t="s">
        <v>34</v>
      </c>
      <c r="F714" s="127" t="s">
        <v>2873</v>
      </c>
      <c r="G714" s="127" t="s">
        <v>2874</v>
      </c>
      <c r="H714" s="140" t="s">
        <v>1844</v>
      </c>
      <c r="I714" s="128" t="s">
        <v>1906</v>
      </c>
      <c r="J714" s="128" t="s">
        <v>1876</v>
      </c>
      <c r="K714" s="136" t="s">
        <v>2348</v>
      </c>
      <c r="L714" s="128" t="s">
        <v>1878</v>
      </c>
      <c r="M714" s="128" t="s">
        <v>1845</v>
      </c>
      <c r="N714" s="140" t="s">
        <v>1844</v>
      </c>
      <c r="O714" s="140" t="s">
        <v>1879</v>
      </c>
      <c r="P714" s="140" t="s">
        <v>1862</v>
      </c>
      <c r="Q714" s="140" t="s">
        <v>1845</v>
      </c>
      <c r="R714" s="144"/>
      <c r="S714" s="140"/>
      <c r="T714" s="140"/>
      <c r="U714" s="140" t="s">
        <v>1845</v>
      </c>
      <c r="V714" s="140" t="s">
        <v>1845</v>
      </c>
      <c r="W714" s="144"/>
      <c r="X714" s="128"/>
      <c r="Y714" s="128"/>
      <c r="Z714" s="140"/>
      <c r="AA714" s="140"/>
      <c r="AB714" s="140"/>
      <c r="AC714" s="140"/>
      <c r="AD714" s="140"/>
      <c r="AE714" s="140"/>
      <c r="AF714" s="140"/>
      <c r="AG714" s="298"/>
      <c r="AH714" s="298"/>
      <c r="AI714" s="128"/>
      <c r="AJ714" s="137"/>
      <c r="AK714" s="140"/>
      <c r="AL714" s="140"/>
    </row>
    <row r="715" ht="15.75" customHeight="1">
      <c r="A715" s="125">
        <v>714.0</v>
      </c>
      <c r="B715" s="138">
        <f t="shared" ref="B715:B718" si="71">SUM(A715+10000)</f>
        <v>10714</v>
      </c>
      <c r="C715" s="250" t="s">
        <v>1840</v>
      </c>
      <c r="D715" s="122" t="s">
        <v>2692</v>
      </c>
      <c r="E715" s="122" t="s">
        <v>20</v>
      </c>
      <c r="F715" s="127" t="s">
        <v>2875</v>
      </c>
      <c r="G715" s="126" t="s">
        <v>1322</v>
      </c>
      <c r="H715" s="140" t="s">
        <v>1844</v>
      </c>
      <c r="I715" s="128" t="s">
        <v>1906</v>
      </c>
      <c r="J715" s="128" t="s">
        <v>1844</v>
      </c>
      <c r="K715" s="136" t="s">
        <v>1844</v>
      </c>
      <c r="L715" s="128" t="s">
        <v>1844</v>
      </c>
      <c r="M715" s="128" t="s">
        <v>1845</v>
      </c>
      <c r="N715" s="140" t="s">
        <v>1844</v>
      </c>
      <c r="O715" s="140" t="s">
        <v>1844</v>
      </c>
      <c r="P715" s="140" t="s">
        <v>1862</v>
      </c>
      <c r="Q715" s="140" t="s">
        <v>1845</v>
      </c>
      <c r="R715" s="144"/>
      <c r="S715" s="140"/>
      <c r="T715" s="140"/>
      <c r="U715" s="140" t="s">
        <v>1845</v>
      </c>
      <c r="V715" s="140"/>
      <c r="W715" s="144"/>
      <c r="X715" s="128"/>
      <c r="Y715" s="128"/>
      <c r="Z715" s="140"/>
      <c r="AA715" s="140"/>
      <c r="AB715" s="140"/>
      <c r="AC715" s="140"/>
      <c r="AD715" s="140"/>
      <c r="AE715" s="140"/>
      <c r="AF715" s="140"/>
      <c r="AG715" s="298"/>
      <c r="AH715" s="298"/>
      <c r="AI715" s="128"/>
      <c r="AJ715" s="137"/>
      <c r="AK715" s="140"/>
      <c r="AL715" s="140"/>
    </row>
    <row r="716" ht="15.75" customHeight="1">
      <c r="A716" s="125">
        <v>715.0</v>
      </c>
      <c r="B716" s="138">
        <f t="shared" si="71"/>
        <v>10715</v>
      </c>
      <c r="C716" s="250" t="s">
        <v>1840</v>
      </c>
      <c r="D716" s="122" t="s">
        <v>2692</v>
      </c>
      <c r="E716" s="122" t="s">
        <v>34</v>
      </c>
      <c r="F716" s="126" t="s">
        <v>2876</v>
      </c>
      <c r="G716" s="320" t="s">
        <v>1323</v>
      </c>
      <c r="H716" s="140" t="s">
        <v>1844</v>
      </c>
      <c r="I716" s="140" t="s">
        <v>1843</v>
      </c>
      <c r="J716" s="128" t="s">
        <v>1902</v>
      </c>
      <c r="K716" s="136" t="s">
        <v>1877</v>
      </c>
      <c r="L716" s="128" t="s">
        <v>1844</v>
      </c>
      <c r="M716" s="128" t="s">
        <v>1845</v>
      </c>
      <c r="N716" s="140">
        <v>1.0</v>
      </c>
      <c r="O716" s="140" t="s">
        <v>1879</v>
      </c>
      <c r="P716" s="140" t="s">
        <v>1895</v>
      </c>
      <c r="Q716" s="140"/>
      <c r="R716" s="144"/>
      <c r="S716" s="140"/>
      <c r="T716" s="140" t="s">
        <v>1845</v>
      </c>
      <c r="U716" s="140"/>
      <c r="V716" s="140"/>
      <c r="W716" s="144" t="s">
        <v>1845</v>
      </c>
      <c r="X716" s="128"/>
      <c r="Y716" s="128"/>
      <c r="Z716" s="140"/>
      <c r="AA716" s="140"/>
      <c r="AB716" s="140"/>
      <c r="AC716" s="140"/>
      <c r="AD716" s="140"/>
      <c r="AE716" s="140"/>
      <c r="AF716" s="140"/>
      <c r="AG716" s="298"/>
      <c r="AH716" s="298"/>
      <c r="AI716" s="128"/>
      <c r="AJ716" s="137"/>
      <c r="AK716" s="140"/>
      <c r="AL716" s="140"/>
    </row>
    <row r="717" ht="15.75" customHeight="1">
      <c r="A717" s="122">
        <v>716.0</v>
      </c>
      <c r="B717" s="138">
        <f t="shared" si="71"/>
        <v>10716</v>
      </c>
      <c r="C717" s="250" t="s">
        <v>1840</v>
      </c>
      <c r="D717" s="122" t="s">
        <v>2692</v>
      </c>
      <c r="E717" s="122" t="s">
        <v>27</v>
      </c>
      <c r="F717" s="127" t="s">
        <v>2877</v>
      </c>
      <c r="G717" s="301" t="s">
        <v>1324</v>
      </c>
      <c r="H717" s="140" t="s">
        <v>1844</v>
      </c>
      <c r="I717" s="128" t="s">
        <v>1843</v>
      </c>
      <c r="J717" s="128" t="s">
        <v>1844</v>
      </c>
      <c r="K717" s="136" t="s">
        <v>1844</v>
      </c>
      <c r="L717" s="128" t="s">
        <v>1844</v>
      </c>
      <c r="M717" s="128" t="s">
        <v>1845</v>
      </c>
      <c r="N717" s="140" t="s">
        <v>1844</v>
      </c>
      <c r="O717" s="140" t="s">
        <v>1844</v>
      </c>
      <c r="P717" s="140" t="s">
        <v>1862</v>
      </c>
      <c r="Q717" s="140"/>
      <c r="R717" s="144"/>
      <c r="S717" s="140" t="s">
        <v>1845</v>
      </c>
      <c r="T717" s="140"/>
      <c r="U717" s="140"/>
      <c r="V717" s="140"/>
      <c r="W717" s="144"/>
      <c r="X717" s="128"/>
      <c r="Y717" s="128"/>
      <c r="Z717" s="140"/>
      <c r="AA717" s="140"/>
      <c r="AB717" s="140"/>
      <c r="AC717" s="140"/>
      <c r="AD717" s="140"/>
      <c r="AE717" s="140"/>
      <c r="AF717" s="140"/>
      <c r="AG717" s="298"/>
      <c r="AH717" s="298"/>
      <c r="AI717" s="128"/>
      <c r="AJ717" s="137"/>
      <c r="AK717" s="140"/>
      <c r="AL717" s="140"/>
    </row>
    <row r="718" ht="15.75" customHeight="1">
      <c r="A718" s="125">
        <v>717.0</v>
      </c>
      <c r="B718" s="138">
        <f t="shared" si="71"/>
        <v>10717</v>
      </c>
      <c r="C718" s="250" t="s">
        <v>1840</v>
      </c>
      <c r="D718" s="122" t="s">
        <v>2692</v>
      </c>
      <c r="E718" s="122" t="s">
        <v>27</v>
      </c>
      <c r="F718" s="127" t="s">
        <v>2878</v>
      </c>
      <c r="G718" s="301" t="s">
        <v>1325</v>
      </c>
      <c r="H718" s="140" t="s">
        <v>1844</v>
      </c>
      <c r="I718" s="128" t="s">
        <v>1843</v>
      </c>
      <c r="J718" s="128" t="s">
        <v>1844</v>
      </c>
      <c r="K718" s="136" t="s">
        <v>1844</v>
      </c>
      <c r="L718" s="128" t="s">
        <v>1844</v>
      </c>
      <c r="M718" s="128" t="s">
        <v>1845</v>
      </c>
      <c r="N718" s="140" t="s">
        <v>1844</v>
      </c>
      <c r="O718" s="140" t="s">
        <v>1844</v>
      </c>
      <c r="P718" s="140" t="s">
        <v>1895</v>
      </c>
      <c r="Q718" s="140"/>
      <c r="R718" s="144"/>
      <c r="S718" s="140" t="s">
        <v>1845</v>
      </c>
      <c r="T718" s="140"/>
      <c r="U718" s="140"/>
      <c r="V718" s="140"/>
      <c r="W718" s="144"/>
      <c r="X718" s="128"/>
      <c r="Y718" s="128"/>
      <c r="Z718" s="140"/>
      <c r="AA718" s="140"/>
      <c r="AB718" s="140"/>
      <c r="AC718" s="140"/>
      <c r="AD718" s="140"/>
      <c r="AE718" s="140"/>
      <c r="AF718" s="140"/>
      <c r="AG718" s="298"/>
      <c r="AH718" s="298"/>
      <c r="AI718" s="128"/>
      <c r="AJ718" s="137"/>
      <c r="AK718" s="140"/>
      <c r="AL718" s="140"/>
    </row>
    <row r="719" ht="15.75" customHeight="1">
      <c r="A719" s="125">
        <v>718.0</v>
      </c>
      <c r="B719" s="123" t="s">
        <v>1742</v>
      </c>
      <c r="C719" s="250" t="s">
        <v>1840</v>
      </c>
      <c r="D719" s="122" t="s">
        <v>2692</v>
      </c>
      <c r="E719" s="122" t="s">
        <v>20</v>
      </c>
      <c r="F719" s="321" t="s">
        <v>2879</v>
      </c>
      <c r="G719" s="301" t="s">
        <v>2880</v>
      </c>
      <c r="H719" s="140" t="s">
        <v>1844</v>
      </c>
      <c r="I719" s="128" t="s">
        <v>1843</v>
      </c>
      <c r="J719" s="128" t="s">
        <v>1844</v>
      </c>
      <c r="K719" s="136" t="s">
        <v>1844</v>
      </c>
      <c r="L719" s="128" t="s">
        <v>1878</v>
      </c>
      <c r="M719" s="128" t="s">
        <v>1845</v>
      </c>
      <c r="N719" s="140" t="s">
        <v>1844</v>
      </c>
      <c r="O719" s="140" t="s">
        <v>1844</v>
      </c>
      <c r="P719" s="140" t="s">
        <v>1862</v>
      </c>
      <c r="Q719" s="140" t="s">
        <v>1845</v>
      </c>
      <c r="R719" s="144"/>
      <c r="S719" s="140"/>
      <c r="T719" s="140" t="s">
        <v>1845</v>
      </c>
      <c r="U719" s="140"/>
      <c r="V719" s="140"/>
      <c r="W719" s="144"/>
      <c r="X719" s="128"/>
      <c r="Y719" s="128"/>
      <c r="Z719" s="140"/>
      <c r="AA719" s="140"/>
      <c r="AB719" s="140"/>
      <c r="AC719" s="140"/>
      <c r="AD719" s="140"/>
      <c r="AE719" s="140"/>
      <c r="AF719" s="140"/>
      <c r="AG719" s="298"/>
      <c r="AH719" s="298"/>
      <c r="AI719" s="128"/>
      <c r="AJ719" s="137"/>
      <c r="AK719" s="140"/>
      <c r="AL719" s="140"/>
    </row>
    <row r="720" ht="15.75" customHeight="1">
      <c r="A720" s="125">
        <v>719.0</v>
      </c>
      <c r="B720" s="138">
        <f t="shared" ref="B720:B721" si="72">SUM(A720+10000)</f>
        <v>10719</v>
      </c>
      <c r="C720" s="250" t="s">
        <v>1840</v>
      </c>
      <c r="D720" s="122" t="s">
        <v>2692</v>
      </c>
      <c r="E720" s="122" t="s">
        <v>20</v>
      </c>
      <c r="F720" s="127" t="s">
        <v>2881</v>
      </c>
      <c r="G720" s="320" t="s">
        <v>1328</v>
      </c>
      <c r="H720" s="140" t="s">
        <v>1844</v>
      </c>
      <c r="I720" s="128" t="s">
        <v>1906</v>
      </c>
      <c r="J720" s="128" t="s">
        <v>1844</v>
      </c>
      <c r="K720" s="136" t="s">
        <v>1844</v>
      </c>
      <c r="L720" s="128" t="s">
        <v>1844</v>
      </c>
      <c r="M720" s="128" t="s">
        <v>1845</v>
      </c>
      <c r="N720" s="140" t="s">
        <v>1844</v>
      </c>
      <c r="O720" s="140" t="s">
        <v>1844</v>
      </c>
      <c r="P720" s="140" t="s">
        <v>1862</v>
      </c>
      <c r="Q720" s="140"/>
      <c r="R720" s="144"/>
      <c r="S720" s="140"/>
      <c r="T720" s="140"/>
      <c r="U720" s="140" t="s">
        <v>1845</v>
      </c>
      <c r="V720" s="140" t="s">
        <v>1845</v>
      </c>
      <c r="W720" s="144"/>
      <c r="X720" s="128"/>
      <c r="Y720" s="128"/>
      <c r="Z720" s="140"/>
      <c r="AA720" s="140"/>
      <c r="AB720" s="140"/>
      <c r="AC720" s="140"/>
      <c r="AD720" s="140"/>
      <c r="AE720" s="140"/>
      <c r="AF720" s="140"/>
      <c r="AG720" s="298"/>
      <c r="AH720" s="298"/>
      <c r="AI720" s="128"/>
      <c r="AJ720" s="137"/>
      <c r="AK720" s="140"/>
      <c r="AL720" s="140"/>
    </row>
    <row r="721" ht="15.75" customHeight="1">
      <c r="A721" s="125">
        <v>720.0</v>
      </c>
      <c r="B721" s="138">
        <f t="shared" si="72"/>
        <v>10720</v>
      </c>
      <c r="C721" s="250" t="s">
        <v>1840</v>
      </c>
      <c r="D721" s="122" t="s">
        <v>2581</v>
      </c>
      <c r="E721" s="122" t="s">
        <v>34</v>
      </c>
      <c r="F721" s="127" t="s">
        <v>2882</v>
      </c>
      <c r="G721" s="320" t="s">
        <v>1330</v>
      </c>
      <c r="H721" s="140" t="s">
        <v>1844</v>
      </c>
      <c r="I721" s="128" t="s">
        <v>1843</v>
      </c>
      <c r="J721" s="128" t="s">
        <v>1902</v>
      </c>
      <c r="K721" s="136" t="s">
        <v>1877</v>
      </c>
      <c r="L721" s="128" t="s">
        <v>1878</v>
      </c>
      <c r="M721" s="128" t="s">
        <v>1845</v>
      </c>
      <c r="N721" s="140">
        <v>1.0</v>
      </c>
      <c r="O721" s="140" t="s">
        <v>1879</v>
      </c>
      <c r="P721" s="140" t="s">
        <v>1862</v>
      </c>
      <c r="Q721" s="140"/>
      <c r="R721" s="144"/>
      <c r="S721" s="140"/>
      <c r="T721" s="140"/>
      <c r="U721" s="140"/>
      <c r="V721" s="140"/>
      <c r="W721" s="144" t="s">
        <v>1845</v>
      </c>
      <c r="X721" s="128"/>
      <c r="Y721" s="128"/>
      <c r="Z721" s="140"/>
      <c r="AA721" s="140"/>
      <c r="AB721" s="140"/>
      <c r="AC721" s="140"/>
      <c r="AD721" s="140"/>
      <c r="AE721" s="140"/>
      <c r="AF721" s="140"/>
      <c r="AG721" s="298"/>
      <c r="AH721" s="298"/>
      <c r="AI721" s="128"/>
      <c r="AJ721" s="137"/>
      <c r="AK721" s="140"/>
      <c r="AL721" s="140"/>
    </row>
    <row r="722" ht="15.75" customHeight="1">
      <c r="A722" s="125">
        <v>721.0</v>
      </c>
      <c r="B722" s="123" t="s">
        <v>1742</v>
      </c>
      <c r="C722" s="250" t="s">
        <v>1840</v>
      </c>
      <c r="D722" s="122" t="s">
        <v>2125</v>
      </c>
      <c r="E722" s="138" t="s">
        <v>7</v>
      </c>
      <c r="F722" s="126" t="s">
        <v>2883</v>
      </c>
      <c r="G722" s="320" t="s">
        <v>2884</v>
      </c>
      <c r="H722" s="140" t="s">
        <v>1844</v>
      </c>
      <c r="I722" s="128" t="s">
        <v>1843</v>
      </c>
      <c r="J722" s="128" t="s">
        <v>1844</v>
      </c>
      <c r="K722" s="136" t="s">
        <v>1844</v>
      </c>
      <c r="L722" s="128" t="s">
        <v>1844</v>
      </c>
      <c r="M722" s="128" t="s">
        <v>1844</v>
      </c>
      <c r="N722" s="140" t="s">
        <v>1844</v>
      </c>
      <c r="O722" s="140" t="s">
        <v>1844</v>
      </c>
      <c r="P722" s="140" t="s">
        <v>1844</v>
      </c>
      <c r="Q722" s="140" t="s">
        <v>1845</v>
      </c>
      <c r="R722" s="144"/>
      <c r="S722" s="140"/>
      <c r="T722" s="140"/>
      <c r="U722" s="140"/>
      <c r="V722" s="140"/>
      <c r="W722" s="144"/>
      <c r="X722" s="128"/>
      <c r="Y722" s="128"/>
      <c r="Z722" s="140"/>
      <c r="AA722" s="140"/>
      <c r="AB722" s="140"/>
      <c r="AC722" s="140"/>
      <c r="AD722" s="140"/>
      <c r="AE722" s="140"/>
      <c r="AF722" s="140"/>
      <c r="AG722" s="298"/>
      <c r="AH722" s="298"/>
      <c r="AI722" s="128"/>
      <c r="AJ722" s="137"/>
      <c r="AK722" s="140"/>
      <c r="AL722" s="140"/>
    </row>
    <row r="723" ht="15.75" customHeight="1">
      <c r="A723" s="125">
        <v>722.0</v>
      </c>
      <c r="B723" s="138">
        <f t="shared" ref="B723:B726" si="73">SUM(A723+10000)</f>
        <v>10722</v>
      </c>
      <c r="C723" s="250" t="s">
        <v>1840</v>
      </c>
      <c r="D723" s="122" t="s">
        <v>2069</v>
      </c>
      <c r="E723" s="122" t="s">
        <v>7</v>
      </c>
      <c r="F723" s="127" t="s">
        <v>2885</v>
      </c>
      <c r="G723" s="126" t="s">
        <v>1332</v>
      </c>
      <c r="H723" s="140" t="s">
        <v>1844</v>
      </c>
      <c r="I723" s="128" t="s">
        <v>1906</v>
      </c>
      <c r="J723" s="128" t="s">
        <v>1844</v>
      </c>
      <c r="K723" s="136" t="s">
        <v>1844</v>
      </c>
      <c r="L723" s="128" t="s">
        <v>1844</v>
      </c>
      <c r="M723" s="128" t="s">
        <v>1844</v>
      </c>
      <c r="N723" s="140" t="s">
        <v>1844</v>
      </c>
      <c r="O723" s="140" t="s">
        <v>1844</v>
      </c>
      <c r="P723" s="140" t="s">
        <v>1844</v>
      </c>
      <c r="Q723" s="140"/>
      <c r="R723" s="144"/>
      <c r="S723" s="140"/>
      <c r="T723" s="140"/>
      <c r="U723" s="140" t="s">
        <v>1845</v>
      </c>
      <c r="V723" s="140"/>
      <c r="W723" s="144"/>
      <c r="X723" s="128"/>
      <c r="Y723" s="128"/>
      <c r="Z723" s="140"/>
      <c r="AA723" s="140"/>
      <c r="AB723" s="140"/>
      <c r="AC723" s="140"/>
      <c r="AD723" s="140"/>
      <c r="AE723" s="140"/>
      <c r="AF723" s="140"/>
      <c r="AG723" s="298"/>
      <c r="AH723" s="298" t="s">
        <v>1845</v>
      </c>
      <c r="AI723" s="128"/>
      <c r="AJ723" s="137"/>
      <c r="AK723" s="140"/>
      <c r="AL723" s="140"/>
    </row>
    <row r="724" ht="15.75" customHeight="1">
      <c r="A724" s="125">
        <v>723.0</v>
      </c>
      <c r="B724" s="138">
        <f t="shared" si="73"/>
        <v>10723</v>
      </c>
      <c r="C724" s="250" t="s">
        <v>1840</v>
      </c>
      <c r="D724" s="122" t="s">
        <v>2125</v>
      </c>
      <c r="E724" s="122" t="s">
        <v>7</v>
      </c>
      <c r="F724" s="127" t="s">
        <v>2886</v>
      </c>
      <c r="G724" s="126" t="s">
        <v>1333</v>
      </c>
      <c r="H724" s="140" t="s">
        <v>1844</v>
      </c>
      <c r="I724" s="128" t="s">
        <v>1906</v>
      </c>
      <c r="J724" s="128" t="s">
        <v>1844</v>
      </c>
      <c r="K724" s="136" t="s">
        <v>1844</v>
      </c>
      <c r="L724" s="128" t="s">
        <v>1844</v>
      </c>
      <c r="M724" s="128" t="s">
        <v>1844</v>
      </c>
      <c r="N724" s="140" t="s">
        <v>1844</v>
      </c>
      <c r="O724" s="140" t="s">
        <v>1844</v>
      </c>
      <c r="P724" s="140" t="s">
        <v>1844</v>
      </c>
      <c r="Q724" s="140"/>
      <c r="R724" s="144" t="s">
        <v>1845</v>
      </c>
      <c r="S724" s="140"/>
      <c r="T724" s="140"/>
      <c r="U724" s="140"/>
      <c r="V724" s="140"/>
      <c r="W724" s="144" t="s">
        <v>1845</v>
      </c>
      <c r="X724" s="128"/>
      <c r="Y724" s="128"/>
      <c r="Z724" s="140"/>
      <c r="AA724" s="140"/>
      <c r="AB724" s="140"/>
      <c r="AC724" s="140"/>
      <c r="AD724" s="140"/>
      <c r="AE724" s="140"/>
      <c r="AF724" s="140"/>
      <c r="AG724" s="298"/>
      <c r="AH724" s="298"/>
      <c r="AI724" s="128"/>
      <c r="AJ724" s="137"/>
      <c r="AK724" s="140"/>
      <c r="AL724" s="140"/>
    </row>
    <row r="725" ht="15.75" customHeight="1">
      <c r="A725" s="125">
        <v>724.0</v>
      </c>
      <c r="B725" s="138">
        <f t="shared" si="73"/>
        <v>10724</v>
      </c>
      <c r="C725" s="250" t="s">
        <v>1840</v>
      </c>
      <c r="D725" s="122" t="s">
        <v>2125</v>
      </c>
      <c r="E725" s="122" t="s">
        <v>7</v>
      </c>
      <c r="F725" s="127" t="s">
        <v>2887</v>
      </c>
      <c r="G725" s="126" t="s">
        <v>1334</v>
      </c>
      <c r="H725" s="140" t="s">
        <v>1844</v>
      </c>
      <c r="I725" s="128" t="s">
        <v>1906</v>
      </c>
      <c r="J725" s="128" t="s">
        <v>1844</v>
      </c>
      <c r="K725" s="136" t="s">
        <v>1844</v>
      </c>
      <c r="L725" s="128" t="s">
        <v>1844</v>
      </c>
      <c r="M725" s="128" t="s">
        <v>1844</v>
      </c>
      <c r="N725" s="140" t="s">
        <v>1844</v>
      </c>
      <c r="O725" s="140" t="s">
        <v>1844</v>
      </c>
      <c r="P725" s="140" t="s">
        <v>1844</v>
      </c>
      <c r="Q725" s="140"/>
      <c r="R725" s="144" t="s">
        <v>1845</v>
      </c>
      <c r="S725" s="140"/>
      <c r="T725" s="140"/>
      <c r="U725" s="140"/>
      <c r="V725" s="140"/>
      <c r="W725" s="144" t="s">
        <v>1845</v>
      </c>
      <c r="X725" s="128"/>
      <c r="Y725" s="128"/>
      <c r="Z725" s="140"/>
      <c r="AA725" s="140"/>
      <c r="AB725" s="140"/>
      <c r="AC725" s="140"/>
      <c r="AD725" s="140"/>
      <c r="AE725" s="140"/>
      <c r="AF725" s="140"/>
      <c r="AG725" s="298"/>
      <c r="AH725" s="298"/>
      <c r="AI725" s="128"/>
      <c r="AJ725" s="137"/>
      <c r="AK725" s="140"/>
      <c r="AL725" s="140"/>
    </row>
    <row r="726" ht="15.75" customHeight="1">
      <c r="A726" s="125">
        <v>725.0</v>
      </c>
      <c r="B726" s="138">
        <f t="shared" si="73"/>
        <v>10725</v>
      </c>
      <c r="C726" s="250" t="s">
        <v>1840</v>
      </c>
      <c r="D726" s="122" t="s">
        <v>2462</v>
      </c>
      <c r="E726" s="122" t="s">
        <v>7</v>
      </c>
      <c r="F726" s="127" t="s">
        <v>2888</v>
      </c>
      <c r="G726" s="126" t="s">
        <v>1335</v>
      </c>
      <c r="H726" s="140" t="s">
        <v>1844</v>
      </c>
      <c r="I726" s="128" t="s">
        <v>1906</v>
      </c>
      <c r="J726" s="136" t="s">
        <v>1844</v>
      </c>
      <c r="K726" s="136" t="s">
        <v>1844</v>
      </c>
      <c r="L726" s="136" t="s">
        <v>1844</v>
      </c>
      <c r="M726" s="136" t="s">
        <v>1844</v>
      </c>
      <c r="N726" s="140" t="s">
        <v>1844</v>
      </c>
      <c r="O726" s="140" t="s">
        <v>1844</v>
      </c>
      <c r="P726" s="140" t="s">
        <v>1844</v>
      </c>
      <c r="Q726" s="140"/>
      <c r="R726" s="144" t="s">
        <v>1845</v>
      </c>
      <c r="S726" s="140"/>
      <c r="T726" s="140"/>
      <c r="U726" s="140" t="s">
        <v>1845</v>
      </c>
      <c r="V726" s="140"/>
      <c r="W726" s="144"/>
      <c r="X726" s="128"/>
      <c r="Y726" s="128"/>
      <c r="Z726" s="140"/>
      <c r="AA726" s="140"/>
      <c r="AB726" s="140"/>
      <c r="AC726" s="140"/>
      <c r="AD726" s="140"/>
      <c r="AE726" s="140"/>
      <c r="AF726" s="140"/>
      <c r="AG726" s="298"/>
      <c r="AH726" s="298"/>
      <c r="AI726" s="128"/>
      <c r="AJ726" s="137"/>
      <c r="AK726" s="140"/>
      <c r="AL726" s="140"/>
    </row>
    <row r="727" ht="15.75" customHeight="1">
      <c r="A727" s="125">
        <v>726.0</v>
      </c>
      <c r="B727" s="123" t="s">
        <v>1742</v>
      </c>
      <c r="C727" s="250" t="s">
        <v>1840</v>
      </c>
      <c r="D727" s="122" t="s">
        <v>2462</v>
      </c>
      <c r="E727" s="122" t="s">
        <v>7</v>
      </c>
      <c r="F727" s="127" t="s">
        <v>2889</v>
      </c>
      <c r="G727" s="126" t="s">
        <v>1336</v>
      </c>
      <c r="H727" s="140" t="s">
        <v>1844</v>
      </c>
      <c r="I727" s="128" t="s">
        <v>1843</v>
      </c>
      <c r="J727" s="136" t="s">
        <v>1844</v>
      </c>
      <c r="K727" s="136" t="s">
        <v>1844</v>
      </c>
      <c r="L727" s="136" t="s">
        <v>1844</v>
      </c>
      <c r="M727" s="136" t="s">
        <v>1844</v>
      </c>
      <c r="N727" s="140" t="s">
        <v>1844</v>
      </c>
      <c r="O727" s="140" t="s">
        <v>1844</v>
      </c>
      <c r="P727" s="140" t="s">
        <v>1844</v>
      </c>
      <c r="Q727" s="140" t="s">
        <v>1845</v>
      </c>
      <c r="R727" s="144"/>
      <c r="S727" s="140"/>
      <c r="T727" s="140"/>
      <c r="U727" s="140"/>
      <c r="V727" s="140"/>
      <c r="W727" s="144"/>
      <c r="X727" s="136"/>
      <c r="Y727" s="136"/>
      <c r="Z727" s="144" t="s">
        <v>1845</v>
      </c>
      <c r="AA727" s="144"/>
      <c r="AB727" s="144"/>
      <c r="AC727" s="144"/>
      <c r="AD727" s="144"/>
      <c r="AE727" s="144"/>
      <c r="AF727" s="144"/>
      <c r="AG727" s="296"/>
      <c r="AH727" s="296"/>
      <c r="AI727" s="136"/>
      <c r="AJ727" s="316"/>
      <c r="AK727" s="140"/>
      <c r="AL727" s="140"/>
    </row>
    <row r="728" ht="15.75" customHeight="1">
      <c r="A728" s="125">
        <v>727.0</v>
      </c>
      <c r="B728" s="138">
        <f t="shared" ref="B728:B729" si="74">SUM(A728+10000)</f>
        <v>10727</v>
      </c>
      <c r="C728" s="250" t="s">
        <v>1840</v>
      </c>
      <c r="D728" s="122" t="s">
        <v>2404</v>
      </c>
      <c r="E728" s="122" t="s">
        <v>20</v>
      </c>
      <c r="F728" s="127" t="s">
        <v>2890</v>
      </c>
      <c r="G728" s="126" t="s">
        <v>1337</v>
      </c>
      <c r="H728" s="140" t="s">
        <v>1844</v>
      </c>
      <c r="I728" s="129" t="s">
        <v>1843</v>
      </c>
      <c r="J728" s="136" t="s">
        <v>1844</v>
      </c>
      <c r="K728" s="136" t="s">
        <v>1844</v>
      </c>
      <c r="L728" s="136" t="s">
        <v>1844</v>
      </c>
      <c r="M728" s="136" t="s">
        <v>1845</v>
      </c>
      <c r="N728" s="131" t="s">
        <v>1844</v>
      </c>
      <c r="O728" s="132" t="s">
        <v>1844</v>
      </c>
      <c r="P728" s="132" t="s">
        <v>1862</v>
      </c>
      <c r="Q728" s="132"/>
      <c r="R728" s="132"/>
      <c r="S728" s="132" t="s">
        <v>1845</v>
      </c>
      <c r="T728" s="132"/>
      <c r="U728" s="132"/>
      <c r="V728" s="132"/>
      <c r="W728" s="322"/>
      <c r="X728" s="129"/>
      <c r="Y728" s="129"/>
      <c r="Z728" s="129"/>
      <c r="AA728" s="129"/>
      <c r="AB728" s="129"/>
      <c r="AC728" s="129"/>
      <c r="AD728" s="129"/>
      <c r="AE728" s="129"/>
      <c r="AF728" s="128"/>
      <c r="AG728" s="140"/>
      <c r="AH728" s="128"/>
      <c r="AI728" s="128"/>
      <c r="AJ728" s="137"/>
      <c r="AK728" s="140"/>
      <c r="AL728" s="140"/>
    </row>
    <row r="729" ht="15.75" customHeight="1">
      <c r="A729" s="125">
        <v>728.0</v>
      </c>
      <c r="B729" s="138">
        <f t="shared" si="74"/>
        <v>10728</v>
      </c>
      <c r="C729" s="250" t="s">
        <v>1840</v>
      </c>
      <c r="D729" s="122" t="s">
        <v>2125</v>
      </c>
      <c r="E729" s="122" t="s">
        <v>7</v>
      </c>
      <c r="F729" s="127" t="s">
        <v>2891</v>
      </c>
      <c r="G729" s="126" t="s">
        <v>1339</v>
      </c>
      <c r="H729" s="140" t="s">
        <v>1844</v>
      </c>
      <c r="I729" s="128" t="s">
        <v>1843</v>
      </c>
      <c r="J729" s="136" t="s">
        <v>1844</v>
      </c>
      <c r="K729" s="136" t="s">
        <v>1844</v>
      </c>
      <c r="L729" s="136" t="s">
        <v>1844</v>
      </c>
      <c r="M729" s="136" t="s">
        <v>1844</v>
      </c>
      <c r="N729" s="323" t="s">
        <v>1844</v>
      </c>
      <c r="O729" s="149" t="s">
        <v>1844</v>
      </c>
      <c r="P729" s="128" t="s">
        <v>1844</v>
      </c>
      <c r="Q729" s="128"/>
      <c r="R729" s="144" t="s">
        <v>1845</v>
      </c>
      <c r="S729" s="128"/>
      <c r="T729" s="128"/>
      <c r="U729" s="128"/>
      <c r="V729" s="128"/>
      <c r="W729" s="296" t="s">
        <v>1845</v>
      </c>
      <c r="X729" s="128"/>
      <c r="Y729" s="128"/>
      <c r="Z729" s="128"/>
      <c r="AA729" s="140"/>
      <c r="AB729" s="128"/>
      <c r="AC729" s="128"/>
      <c r="AD729" s="128"/>
      <c r="AE729" s="140"/>
      <c r="AF729" s="140"/>
      <c r="AG729" s="140"/>
      <c r="AH729" s="128"/>
      <c r="AI729" s="128"/>
      <c r="AJ729" s="137"/>
      <c r="AK729" s="140"/>
      <c r="AL729" s="140"/>
    </row>
    <row r="730" ht="15.75" customHeight="1">
      <c r="A730" s="125">
        <v>729.0</v>
      </c>
      <c r="B730" s="123" t="s">
        <v>1742</v>
      </c>
      <c r="C730" s="250" t="s">
        <v>1840</v>
      </c>
      <c r="D730" s="122" t="s">
        <v>2892</v>
      </c>
      <c r="E730" s="122" t="s">
        <v>34</v>
      </c>
      <c r="F730" s="127" t="s">
        <v>2893</v>
      </c>
      <c r="G730" s="127" t="s">
        <v>2504</v>
      </c>
      <c r="H730" s="140" t="s">
        <v>1844</v>
      </c>
      <c r="I730" s="128" t="s">
        <v>1906</v>
      </c>
      <c r="J730" s="136" t="s">
        <v>1876</v>
      </c>
      <c r="K730" s="136" t="s">
        <v>2348</v>
      </c>
      <c r="L730" s="136" t="s">
        <v>1878</v>
      </c>
      <c r="M730" s="136" t="s">
        <v>1845</v>
      </c>
      <c r="N730" s="324" t="s">
        <v>1844</v>
      </c>
      <c r="O730" s="128" t="s">
        <v>1879</v>
      </c>
      <c r="P730" s="128" t="s">
        <v>1862</v>
      </c>
      <c r="Q730" s="128" t="s">
        <v>1845</v>
      </c>
      <c r="R730" s="144"/>
      <c r="S730" s="128"/>
      <c r="T730" s="128"/>
      <c r="U730" s="128"/>
      <c r="V730" s="128"/>
      <c r="W730" s="144"/>
      <c r="X730" s="286"/>
      <c r="Y730" s="128"/>
      <c r="Z730" s="128"/>
      <c r="AA730" s="140"/>
      <c r="AB730" s="286"/>
      <c r="AC730" s="286"/>
      <c r="AD730" s="286"/>
      <c r="AE730" s="140"/>
      <c r="AF730" s="140"/>
      <c r="AG730" s="135"/>
      <c r="AH730" s="287"/>
      <c r="AI730" s="286"/>
      <c r="AJ730" s="287"/>
      <c r="AK730" s="140"/>
      <c r="AL730" s="140"/>
    </row>
    <row r="731" ht="15.75" customHeight="1">
      <c r="A731" s="125">
        <v>730.0</v>
      </c>
      <c r="B731" s="138">
        <f t="shared" ref="B731:B734" si="75">SUM(A731+10000)</f>
        <v>10730</v>
      </c>
      <c r="C731" s="250" t="s">
        <v>1840</v>
      </c>
      <c r="D731" s="122" t="s">
        <v>2125</v>
      </c>
      <c r="E731" s="122" t="s">
        <v>7</v>
      </c>
      <c r="F731" s="127" t="s">
        <v>2894</v>
      </c>
      <c r="G731" s="126" t="s">
        <v>1340</v>
      </c>
      <c r="H731" s="140" t="s">
        <v>1844</v>
      </c>
      <c r="I731" s="128" t="s">
        <v>1906</v>
      </c>
      <c r="J731" s="136" t="s">
        <v>1844</v>
      </c>
      <c r="K731" s="136" t="s">
        <v>1844</v>
      </c>
      <c r="L731" s="136" t="s">
        <v>1844</v>
      </c>
      <c r="M731" s="136" t="s">
        <v>1844</v>
      </c>
      <c r="N731" s="324" t="s">
        <v>1844</v>
      </c>
      <c r="O731" s="128" t="s">
        <v>1844</v>
      </c>
      <c r="P731" s="128" t="s">
        <v>1844</v>
      </c>
      <c r="Q731" s="128"/>
      <c r="R731" s="144" t="s">
        <v>1845</v>
      </c>
      <c r="S731" s="128"/>
      <c r="T731" s="128"/>
      <c r="U731" s="128"/>
      <c r="V731" s="128"/>
      <c r="W731" s="144" t="s">
        <v>1845</v>
      </c>
      <c r="X731" s="286"/>
      <c r="Y731" s="128"/>
      <c r="Z731" s="128"/>
      <c r="AA731" s="140"/>
      <c r="AB731" s="286"/>
      <c r="AC731" s="286"/>
      <c r="AD731" s="286"/>
      <c r="AE731" s="140"/>
      <c r="AF731" s="140"/>
      <c r="AG731" s="135"/>
      <c r="AH731" s="287"/>
      <c r="AI731" s="286"/>
      <c r="AJ731" s="287"/>
      <c r="AK731" s="140"/>
      <c r="AL731" s="140"/>
    </row>
    <row r="732" ht="15.75" customHeight="1">
      <c r="A732" s="125">
        <v>731.0</v>
      </c>
      <c r="B732" s="138">
        <f t="shared" si="75"/>
        <v>10731</v>
      </c>
      <c r="C732" s="250" t="s">
        <v>1840</v>
      </c>
      <c r="D732" s="122" t="s">
        <v>2892</v>
      </c>
      <c r="E732" s="122" t="s">
        <v>34</v>
      </c>
      <c r="F732" s="127" t="s">
        <v>2895</v>
      </c>
      <c r="G732" s="232" t="s">
        <v>1341</v>
      </c>
      <c r="H732" s="140" t="s">
        <v>1844</v>
      </c>
      <c r="I732" s="128" t="s">
        <v>1906</v>
      </c>
      <c r="J732" s="136" t="s">
        <v>1876</v>
      </c>
      <c r="K732" s="136" t="s">
        <v>2348</v>
      </c>
      <c r="L732" s="136" t="s">
        <v>1844</v>
      </c>
      <c r="M732" s="136" t="s">
        <v>1845</v>
      </c>
      <c r="N732" s="324" t="s">
        <v>1844</v>
      </c>
      <c r="O732" s="128" t="s">
        <v>1879</v>
      </c>
      <c r="P732" s="128" t="s">
        <v>1862</v>
      </c>
      <c r="Q732" s="128"/>
      <c r="R732" s="144"/>
      <c r="S732" s="128"/>
      <c r="T732" s="128"/>
      <c r="U732" s="128"/>
      <c r="V732" s="128"/>
      <c r="W732" s="144"/>
      <c r="X732" s="286" t="s">
        <v>1845</v>
      </c>
      <c r="Y732" s="128"/>
      <c r="Z732" s="128"/>
      <c r="AA732" s="140"/>
      <c r="AB732" s="286"/>
      <c r="AC732" s="286"/>
      <c r="AD732" s="286"/>
      <c r="AE732" s="140"/>
      <c r="AF732" s="140"/>
      <c r="AG732" s="135"/>
      <c r="AH732" s="287"/>
      <c r="AI732" s="286"/>
      <c r="AJ732" s="287"/>
      <c r="AK732" s="140"/>
      <c r="AL732" s="140"/>
    </row>
    <row r="733" ht="15.75" customHeight="1">
      <c r="A733" s="125">
        <v>732.0</v>
      </c>
      <c r="B733" s="138">
        <f t="shared" si="75"/>
        <v>10732</v>
      </c>
      <c r="C733" s="250" t="s">
        <v>1840</v>
      </c>
      <c r="D733" s="122" t="s">
        <v>2892</v>
      </c>
      <c r="E733" s="122" t="s">
        <v>34</v>
      </c>
      <c r="F733" s="127" t="s">
        <v>2896</v>
      </c>
      <c r="G733" s="232" t="s">
        <v>2897</v>
      </c>
      <c r="H733" s="140" t="s">
        <v>1844</v>
      </c>
      <c r="I733" s="128" t="s">
        <v>1906</v>
      </c>
      <c r="J733" s="136" t="s">
        <v>1876</v>
      </c>
      <c r="K733" s="136" t="s">
        <v>2348</v>
      </c>
      <c r="L733" s="136" t="s">
        <v>1990</v>
      </c>
      <c r="M733" s="136" t="s">
        <v>1845</v>
      </c>
      <c r="N733" s="324" t="s">
        <v>1844</v>
      </c>
      <c r="O733" s="128" t="s">
        <v>1879</v>
      </c>
      <c r="P733" s="128" t="s">
        <v>1862</v>
      </c>
      <c r="Q733" s="128"/>
      <c r="R733" s="144"/>
      <c r="S733" s="128"/>
      <c r="T733" s="128"/>
      <c r="U733" s="128"/>
      <c r="V733" s="128"/>
      <c r="W733" s="144"/>
      <c r="X733" s="286" t="s">
        <v>1845</v>
      </c>
      <c r="Y733" s="128"/>
      <c r="Z733" s="128"/>
      <c r="AA733" s="140"/>
      <c r="AB733" s="286"/>
      <c r="AC733" s="286"/>
      <c r="AD733" s="286"/>
      <c r="AE733" s="140"/>
      <c r="AF733" s="140"/>
      <c r="AG733" s="135"/>
      <c r="AH733" s="287"/>
      <c r="AI733" s="286"/>
      <c r="AJ733" s="287"/>
      <c r="AK733" s="140"/>
      <c r="AL733" s="140"/>
    </row>
    <row r="734" ht="15.75" customHeight="1">
      <c r="A734" s="125">
        <v>733.0</v>
      </c>
      <c r="B734" s="138">
        <f t="shared" si="75"/>
        <v>10733</v>
      </c>
      <c r="C734" s="250" t="s">
        <v>1840</v>
      </c>
      <c r="D734" s="122" t="s">
        <v>2892</v>
      </c>
      <c r="E734" s="122" t="s">
        <v>34</v>
      </c>
      <c r="F734" s="127" t="s">
        <v>2898</v>
      </c>
      <c r="G734" s="232" t="s">
        <v>1343</v>
      </c>
      <c r="H734" s="140" t="s">
        <v>1844</v>
      </c>
      <c r="I734" s="128" t="s">
        <v>1906</v>
      </c>
      <c r="J734" s="136" t="s">
        <v>1876</v>
      </c>
      <c r="K734" s="136" t="s">
        <v>2348</v>
      </c>
      <c r="L734" s="136" t="s">
        <v>1878</v>
      </c>
      <c r="M734" s="136" t="s">
        <v>1845</v>
      </c>
      <c r="N734" s="324" t="s">
        <v>1844</v>
      </c>
      <c r="O734" s="128" t="s">
        <v>1879</v>
      </c>
      <c r="P734" s="128" t="s">
        <v>1862</v>
      </c>
      <c r="Q734" s="128"/>
      <c r="R734" s="144"/>
      <c r="S734" s="128"/>
      <c r="T734" s="128"/>
      <c r="U734" s="128"/>
      <c r="V734" s="128"/>
      <c r="W734" s="144"/>
      <c r="X734" s="286"/>
      <c r="Y734" s="128"/>
      <c r="Z734" s="128"/>
      <c r="AA734" s="140"/>
      <c r="AB734" s="286"/>
      <c r="AC734" s="286"/>
      <c r="AD734" s="286"/>
      <c r="AE734" s="140"/>
      <c r="AF734" s="140"/>
      <c r="AG734" s="135"/>
      <c r="AH734" s="287"/>
      <c r="AI734" s="286"/>
      <c r="AJ734" s="287"/>
      <c r="AK734" s="140"/>
      <c r="AL734" s="140"/>
    </row>
    <row r="735" ht="15.75" customHeight="1">
      <c r="A735" s="125">
        <v>734.0</v>
      </c>
      <c r="B735" s="123" t="s">
        <v>1742</v>
      </c>
      <c r="C735" s="250" t="s">
        <v>1840</v>
      </c>
      <c r="D735" s="122" t="s">
        <v>2892</v>
      </c>
      <c r="E735" s="122" t="s">
        <v>20</v>
      </c>
      <c r="F735" s="127" t="s">
        <v>2899</v>
      </c>
      <c r="G735" s="153" t="s">
        <v>2900</v>
      </c>
      <c r="H735" s="140" t="s">
        <v>1844</v>
      </c>
      <c r="I735" s="128" t="s">
        <v>1843</v>
      </c>
      <c r="J735" s="136" t="s">
        <v>1844</v>
      </c>
      <c r="K735" s="136" t="s">
        <v>1844</v>
      </c>
      <c r="L735" s="136" t="s">
        <v>1844</v>
      </c>
      <c r="M735" s="136" t="s">
        <v>1845</v>
      </c>
      <c r="N735" s="324" t="s">
        <v>1844</v>
      </c>
      <c r="O735" s="128" t="s">
        <v>1844</v>
      </c>
      <c r="P735" s="128" t="s">
        <v>1862</v>
      </c>
      <c r="Q735" s="128" t="s">
        <v>1845</v>
      </c>
      <c r="R735" s="144"/>
      <c r="S735" s="128" t="s">
        <v>1845</v>
      </c>
      <c r="T735" s="128"/>
      <c r="U735" s="128"/>
      <c r="V735" s="128"/>
      <c r="W735" s="144"/>
      <c r="X735" s="286"/>
      <c r="Y735" s="128"/>
      <c r="Z735" s="128"/>
      <c r="AA735" s="140"/>
      <c r="AB735" s="286"/>
      <c r="AC735" s="286"/>
      <c r="AD735" s="286"/>
      <c r="AE735" s="140"/>
      <c r="AF735" s="140"/>
      <c r="AG735" s="135"/>
      <c r="AH735" s="287"/>
      <c r="AI735" s="286"/>
      <c r="AJ735" s="287"/>
      <c r="AK735" s="140"/>
      <c r="AL735" s="140"/>
    </row>
    <row r="736" ht="15.75" customHeight="1">
      <c r="A736" s="125">
        <v>735.0</v>
      </c>
      <c r="B736" s="138">
        <f>SUM(A736+10000)</f>
        <v>10735</v>
      </c>
      <c r="C736" s="250" t="s">
        <v>1840</v>
      </c>
      <c r="D736" s="122" t="s">
        <v>2892</v>
      </c>
      <c r="E736" s="122" t="s">
        <v>7</v>
      </c>
      <c r="F736" s="221" t="s">
        <v>2901</v>
      </c>
      <c r="G736" s="126" t="s">
        <v>1346</v>
      </c>
      <c r="H736" s="140" t="s">
        <v>1844</v>
      </c>
      <c r="I736" s="128" t="s">
        <v>1843</v>
      </c>
      <c r="J736" s="136" t="s">
        <v>1844</v>
      </c>
      <c r="K736" s="136" t="s">
        <v>1844</v>
      </c>
      <c r="L736" s="136" t="s">
        <v>1844</v>
      </c>
      <c r="M736" s="136" t="s">
        <v>1844</v>
      </c>
      <c r="N736" s="324" t="s">
        <v>1844</v>
      </c>
      <c r="O736" s="128" t="s">
        <v>1844</v>
      </c>
      <c r="P736" s="128" t="s">
        <v>1844</v>
      </c>
      <c r="Q736" s="128"/>
      <c r="R736" s="144"/>
      <c r="S736" s="128" t="s">
        <v>1845</v>
      </c>
      <c r="T736" s="128"/>
      <c r="U736" s="128"/>
      <c r="V736" s="128"/>
      <c r="W736" s="144" t="s">
        <v>1845</v>
      </c>
      <c r="X736" s="286" t="s">
        <v>1845</v>
      </c>
      <c r="Y736" s="128"/>
      <c r="Z736" s="128"/>
      <c r="AA736" s="140"/>
      <c r="AB736" s="286"/>
      <c r="AC736" s="286"/>
      <c r="AD736" s="286"/>
      <c r="AE736" s="140"/>
      <c r="AF736" s="140"/>
      <c r="AG736" s="135"/>
      <c r="AH736" s="287"/>
      <c r="AI736" s="286"/>
      <c r="AJ736" s="287"/>
      <c r="AK736" s="140"/>
      <c r="AL736" s="140"/>
    </row>
    <row r="737" ht="15.75" customHeight="1">
      <c r="A737" s="125">
        <v>736.0</v>
      </c>
      <c r="B737" s="123" t="s">
        <v>1742</v>
      </c>
      <c r="C737" s="250" t="s">
        <v>1840</v>
      </c>
      <c r="D737" s="122" t="s">
        <v>2892</v>
      </c>
      <c r="E737" s="122" t="s">
        <v>34</v>
      </c>
      <c r="F737" s="127" t="s">
        <v>2902</v>
      </c>
      <c r="G737" s="126" t="s">
        <v>2903</v>
      </c>
      <c r="H737" s="140" t="s">
        <v>1844</v>
      </c>
      <c r="I737" s="128" t="s">
        <v>1906</v>
      </c>
      <c r="J737" s="136" t="s">
        <v>1876</v>
      </c>
      <c r="K737" s="136" t="s">
        <v>2348</v>
      </c>
      <c r="L737" s="136" t="s">
        <v>1990</v>
      </c>
      <c r="M737" s="136" t="s">
        <v>1845</v>
      </c>
      <c r="N737" s="324" t="s">
        <v>1844</v>
      </c>
      <c r="O737" s="128" t="s">
        <v>1879</v>
      </c>
      <c r="P737" s="128" t="s">
        <v>1862</v>
      </c>
      <c r="Q737" s="128" t="s">
        <v>1845</v>
      </c>
      <c r="R737" s="144"/>
      <c r="S737" s="128"/>
      <c r="T737" s="128"/>
      <c r="U737" s="128"/>
      <c r="V737" s="128" t="s">
        <v>1845</v>
      </c>
      <c r="W737" s="144"/>
      <c r="X737" s="286"/>
      <c r="Y737" s="128"/>
      <c r="Z737" s="128"/>
      <c r="AA737" s="140"/>
      <c r="AB737" s="286"/>
      <c r="AC737" s="286"/>
      <c r="AD737" s="286"/>
      <c r="AE737" s="140"/>
      <c r="AF737" s="140"/>
      <c r="AG737" s="135"/>
      <c r="AH737" s="287"/>
      <c r="AI737" s="286"/>
      <c r="AJ737" s="287"/>
      <c r="AK737" s="140"/>
      <c r="AL737" s="140"/>
    </row>
    <row r="738" ht="15.75" customHeight="1">
      <c r="A738" s="125">
        <v>737.0</v>
      </c>
      <c r="B738" s="138">
        <f t="shared" ref="B738:B749" si="76">SUM(A738+10000)</f>
        <v>10737</v>
      </c>
      <c r="C738" s="250" t="s">
        <v>1840</v>
      </c>
      <c r="D738" s="122" t="s">
        <v>2892</v>
      </c>
      <c r="E738" s="122" t="s">
        <v>34</v>
      </c>
      <c r="F738" s="127" t="s">
        <v>2904</v>
      </c>
      <c r="G738" s="126" t="s">
        <v>1348</v>
      </c>
      <c r="H738" s="140" t="s">
        <v>1844</v>
      </c>
      <c r="I738" s="128" t="s">
        <v>1906</v>
      </c>
      <c r="J738" s="136" t="s">
        <v>1876</v>
      </c>
      <c r="K738" s="136" t="s">
        <v>2348</v>
      </c>
      <c r="L738" s="136" t="s">
        <v>1844</v>
      </c>
      <c r="M738" s="136" t="s">
        <v>1845</v>
      </c>
      <c r="N738" s="324" t="s">
        <v>1844</v>
      </c>
      <c r="O738" s="128" t="s">
        <v>1879</v>
      </c>
      <c r="P738" s="128" t="s">
        <v>1862</v>
      </c>
      <c r="Q738" s="128"/>
      <c r="R738" s="144"/>
      <c r="S738" s="128" t="s">
        <v>1845</v>
      </c>
      <c r="T738" s="128"/>
      <c r="U738" s="128" t="s">
        <v>1845</v>
      </c>
      <c r="V738" s="128"/>
      <c r="W738" s="144"/>
      <c r="X738" s="286"/>
      <c r="Y738" s="128"/>
      <c r="Z738" s="128"/>
      <c r="AA738" s="140"/>
      <c r="AB738" s="286"/>
      <c r="AC738" s="286"/>
      <c r="AD738" s="286"/>
      <c r="AE738" s="140"/>
      <c r="AF738" s="140"/>
      <c r="AG738" s="135"/>
      <c r="AH738" s="287"/>
      <c r="AI738" s="286"/>
      <c r="AJ738" s="287"/>
      <c r="AK738" s="140"/>
      <c r="AL738" s="140"/>
    </row>
    <row r="739" ht="15.75" customHeight="1">
      <c r="A739" s="125">
        <v>738.0</v>
      </c>
      <c r="B739" s="138">
        <f t="shared" si="76"/>
        <v>10738</v>
      </c>
      <c r="C739" s="250" t="s">
        <v>1840</v>
      </c>
      <c r="D739" s="122" t="s">
        <v>2892</v>
      </c>
      <c r="E739" s="122" t="s">
        <v>34</v>
      </c>
      <c r="F739" s="127" t="s">
        <v>2905</v>
      </c>
      <c r="G739" s="126" t="s">
        <v>1349</v>
      </c>
      <c r="H739" s="140" t="s">
        <v>1844</v>
      </c>
      <c r="I739" s="128" t="s">
        <v>1906</v>
      </c>
      <c r="J739" s="136" t="s">
        <v>1876</v>
      </c>
      <c r="K739" s="136" t="s">
        <v>2348</v>
      </c>
      <c r="L739" s="136" t="s">
        <v>1990</v>
      </c>
      <c r="M739" s="136" t="s">
        <v>1845</v>
      </c>
      <c r="N739" s="324" t="s">
        <v>1844</v>
      </c>
      <c r="O739" s="128" t="s">
        <v>1879</v>
      </c>
      <c r="P739" s="128" t="s">
        <v>1862</v>
      </c>
      <c r="Q739" s="128"/>
      <c r="R739" s="144"/>
      <c r="S739" s="128" t="s">
        <v>1845</v>
      </c>
      <c r="T739" s="128"/>
      <c r="U739" s="128" t="s">
        <v>1845</v>
      </c>
      <c r="V739" s="137"/>
      <c r="W739" s="140"/>
      <c r="X739" s="297"/>
      <c r="Y739" s="128"/>
      <c r="Z739" s="128"/>
      <c r="AA739" s="140"/>
      <c r="AB739" s="286"/>
      <c r="AC739" s="286"/>
      <c r="AD739" s="286"/>
      <c r="AE739" s="140"/>
      <c r="AF739" s="140"/>
      <c r="AG739" s="135"/>
      <c r="AH739" s="287"/>
      <c r="AI739" s="286"/>
      <c r="AJ739" s="287"/>
      <c r="AK739" s="140"/>
      <c r="AL739" s="140"/>
    </row>
    <row r="740" ht="15.75" customHeight="1">
      <c r="A740" s="288">
        <v>739.0</v>
      </c>
      <c r="B740" s="138">
        <f t="shared" si="76"/>
        <v>10739</v>
      </c>
      <c r="C740" s="250" t="s">
        <v>1840</v>
      </c>
      <c r="D740" s="325" t="s">
        <v>2892</v>
      </c>
      <c r="E740" s="138" t="s">
        <v>34</v>
      </c>
      <c r="F740" s="127" t="s">
        <v>2906</v>
      </c>
      <c r="G740" s="301" t="s">
        <v>1350</v>
      </c>
      <c r="H740" s="140" t="s">
        <v>1844</v>
      </c>
      <c r="I740" s="140" t="s">
        <v>1906</v>
      </c>
      <c r="J740" s="136" t="s">
        <v>1902</v>
      </c>
      <c r="K740" s="136" t="s">
        <v>1877</v>
      </c>
      <c r="L740" s="136" t="s">
        <v>1990</v>
      </c>
      <c r="M740" s="136" t="s">
        <v>1845</v>
      </c>
      <c r="N740" s="135">
        <v>1.0</v>
      </c>
      <c r="O740" s="140" t="s">
        <v>1879</v>
      </c>
      <c r="P740" s="140" t="s">
        <v>1862</v>
      </c>
      <c r="Q740" s="318"/>
      <c r="R740" s="140"/>
      <c r="S740" s="312"/>
      <c r="T740" s="135" t="s">
        <v>1845</v>
      </c>
      <c r="U740" s="135" t="s">
        <v>1845</v>
      </c>
      <c r="V740" s="318"/>
      <c r="W740" s="135"/>
      <c r="X740" s="286"/>
      <c r="Y740" s="286"/>
      <c r="Z740" s="326"/>
      <c r="AA740" s="135"/>
      <c r="AB740" s="135"/>
      <c r="AC740" s="135"/>
      <c r="AD740" s="135"/>
      <c r="AE740" s="135"/>
      <c r="AF740" s="318"/>
      <c r="AG740" s="135"/>
      <c r="AH740" s="318"/>
      <c r="AI740" s="286"/>
      <c r="AJ740" s="287"/>
      <c r="AK740" s="140"/>
      <c r="AL740" s="140"/>
    </row>
    <row r="741" ht="15.75" customHeight="1">
      <c r="A741" s="141">
        <v>740.0</v>
      </c>
      <c r="B741" s="138">
        <f t="shared" si="76"/>
        <v>10740</v>
      </c>
      <c r="C741" s="250" t="s">
        <v>1840</v>
      </c>
      <c r="D741" s="122" t="s">
        <v>2892</v>
      </c>
      <c r="E741" s="138" t="s">
        <v>20</v>
      </c>
      <c r="F741" s="127" t="s">
        <v>2907</v>
      </c>
      <c r="G741" s="301" t="s">
        <v>1351</v>
      </c>
      <c r="H741" s="135" t="s">
        <v>1844</v>
      </c>
      <c r="I741" s="129" t="s">
        <v>1843</v>
      </c>
      <c r="J741" s="136" t="s">
        <v>1844</v>
      </c>
      <c r="K741" s="136" t="s">
        <v>1844</v>
      </c>
      <c r="L741" s="136" t="s">
        <v>1844</v>
      </c>
      <c r="M741" s="136" t="s">
        <v>1845</v>
      </c>
      <c r="N741" s="135" t="s">
        <v>1844</v>
      </c>
      <c r="O741" s="286" t="s">
        <v>1844</v>
      </c>
      <c r="P741" s="135" t="s">
        <v>1862</v>
      </c>
      <c r="Q741" s="135"/>
      <c r="R741" s="135"/>
      <c r="S741" s="140" t="s">
        <v>1845</v>
      </c>
      <c r="T741" s="140"/>
      <c r="U741" s="140"/>
      <c r="V741" s="296"/>
      <c r="W741" s="135"/>
      <c r="X741" s="268" t="s">
        <v>1845</v>
      </c>
      <c r="Y741" s="291"/>
      <c r="Z741" s="298"/>
      <c r="AA741" s="140"/>
      <c r="AB741" s="140"/>
      <c r="AC741" s="140"/>
      <c r="AD741" s="140"/>
      <c r="AE741" s="140"/>
      <c r="AF741" s="298"/>
      <c r="AG741" s="140"/>
      <c r="AH741" s="298"/>
      <c r="AI741" s="128"/>
      <c r="AJ741" s="137"/>
      <c r="AK741" s="140"/>
      <c r="AL741" s="140"/>
    </row>
    <row r="742" ht="15.75" customHeight="1">
      <c r="A742" s="264">
        <v>741.0</v>
      </c>
      <c r="B742" s="138">
        <f t="shared" si="76"/>
        <v>10741</v>
      </c>
      <c r="C742" s="257" t="s">
        <v>1840</v>
      </c>
      <c r="D742" s="241" t="s">
        <v>2892</v>
      </c>
      <c r="E742" s="264" t="s">
        <v>7</v>
      </c>
      <c r="F742" s="327" t="s">
        <v>2908</v>
      </c>
      <c r="G742" s="328" t="s">
        <v>1353</v>
      </c>
      <c r="H742" s="239" t="s">
        <v>1844</v>
      </c>
      <c r="I742" s="235" t="s">
        <v>1843</v>
      </c>
      <c r="J742" s="237" t="s">
        <v>1844</v>
      </c>
      <c r="K742" s="237" t="s">
        <v>1844</v>
      </c>
      <c r="L742" s="237" t="s">
        <v>1844</v>
      </c>
      <c r="M742" s="237" t="s">
        <v>1844</v>
      </c>
      <c r="N742" s="238" t="s">
        <v>1844</v>
      </c>
      <c r="O742" s="237" t="s">
        <v>1844</v>
      </c>
      <c r="P742" s="238" t="s">
        <v>1844</v>
      </c>
      <c r="Q742" s="238"/>
      <c r="R742" s="238"/>
      <c r="S742" s="238"/>
      <c r="T742" s="238"/>
      <c r="U742" s="238"/>
      <c r="V742" s="238"/>
      <c r="W742" s="329"/>
      <c r="X742" s="237"/>
      <c r="Y742" s="237"/>
      <c r="Z742" s="330"/>
      <c r="AA742" s="239"/>
      <c r="AB742" s="239"/>
      <c r="AC742" s="239"/>
      <c r="AD742" s="239"/>
      <c r="AE742" s="239"/>
      <c r="AF742" s="330"/>
      <c r="AG742" s="239"/>
      <c r="AH742" s="331"/>
      <c r="AI742" s="235"/>
      <c r="AJ742" s="332" t="s">
        <v>1845</v>
      </c>
      <c r="AK742" s="140"/>
      <c r="AL742" s="140"/>
    </row>
    <row r="743" ht="15.75" customHeight="1">
      <c r="A743" s="141">
        <v>742.0</v>
      </c>
      <c r="B743" s="138">
        <f t="shared" si="76"/>
        <v>10742</v>
      </c>
      <c r="C743" s="250" t="s">
        <v>1840</v>
      </c>
      <c r="D743" s="122" t="s">
        <v>2892</v>
      </c>
      <c r="E743" s="122" t="s">
        <v>27</v>
      </c>
      <c r="F743" s="333" t="s">
        <v>2909</v>
      </c>
      <c r="G743" s="142" t="s">
        <v>2910</v>
      </c>
      <c r="H743" s="140" t="s">
        <v>1844</v>
      </c>
      <c r="I743" s="128" t="s">
        <v>1843</v>
      </c>
      <c r="J743" s="136" t="s">
        <v>1844</v>
      </c>
      <c r="K743" s="136" t="s">
        <v>1844</v>
      </c>
      <c r="L743" s="136" t="s">
        <v>1844</v>
      </c>
      <c r="M743" s="136" t="s">
        <v>1845</v>
      </c>
      <c r="N743" s="144" t="s">
        <v>1844</v>
      </c>
      <c r="O743" s="136" t="s">
        <v>1844</v>
      </c>
      <c r="P743" s="144" t="s">
        <v>1862</v>
      </c>
      <c r="Q743" s="144"/>
      <c r="R743" s="144"/>
      <c r="S743" s="144"/>
      <c r="T743" s="144"/>
      <c r="U743" s="144"/>
      <c r="V743" s="144"/>
      <c r="W743" s="144"/>
      <c r="X743" s="136" t="s">
        <v>1845</v>
      </c>
      <c r="Y743" s="136"/>
      <c r="Z743" s="298"/>
      <c r="AA743" s="140"/>
      <c r="AB743" s="140"/>
      <c r="AC743" s="140"/>
      <c r="AD743" s="140"/>
      <c r="AE743" s="140"/>
      <c r="AF743" s="298"/>
      <c r="AG743" s="140"/>
      <c r="AH743" s="227"/>
      <c r="AI743" s="128"/>
      <c r="AJ743" s="137"/>
      <c r="AK743" s="140"/>
      <c r="AL743" s="140"/>
    </row>
    <row r="744" ht="15.75" customHeight="1">
      <c r="A744" s="141">
        <v>743.0</v>
      </c>
      <c r="B744" s="138">
        <f t="shared" si="76"/>
        <v>10743</v>
      </c>
      <c r="C744" s="250" t="s">
        <v>1840</v>
      </c>
      <c r="D744" s="122" t="s">
        <v>2892</v>
      </c>
      <c r="E744" s="141" t="s">
        <v>34</v>
      </c>
      <c r="F744" s="201" t="s">
        <v>2911</v>
      </c>
      <c r="G744" s="201" t="s">
        <v>1356</v>
      </c>
      <c r="H744" s="140" t="s">
        <v>1844</v>
      </c>
      <c r="I744" s="128" t="s">
        <v>1843</v>
      </c>
      <c r="J744" s="186" t="s">
        <v>1876</v>
      </c>
      <c r="K744" s="128" t="s">
        <v>2348</v>
      </c>
      <c r="L744" s="136" t="s">
        <v>1990</v>
      </c>
      <c r="M744" s="136" t="s">
        <v>1845</v>
      </c>
      <c r="N744" s="144" t="s">
        <v>1844</v>
      </c>
      <c r="O744" s="136" t="s">
        <v>1879</v>
      </c>
      <c r="P744" s="144" t="s">
        <v>1862</v>
      </c>
      <c r="Q744" s="144"/>
      <c r="R744" s="144"/>
      <c r="S744" s="144"/>
      <c r="T744" s="144"/>
      <c r="U744" s="144"/>
      <c r="V744" s="144"/>
      <c r="W744" s="144"/>
      <c r="X744" s="136" t="s">
        <v>1845</v>
      </c>
      <c r="Y744" s="136"/>
      <c r="Z744" s="298"/>
      <c r="AA744" s="140"/>
      <c r="AB744" s="140"/>
      <c r="AC744" s="140"/>
      <c r="AD744" s="140"/>
      <c r="AE744" s="140"/>
      <c r="AF744" s="140"/>
      <c r="AG744" s="135"/>
      <c r="AH744" s="227"/>
      <c r="AI744" s="128"/>
      <c r="AJ744" s="137"/>
      <c r="AK744" s="140"/>
      <c r="AL744" s="140"/>
    </row>
    <row r="745" ht="15.75" customHeight="1">
      <c r="A745" s="125">
        <v>744.0</v>
      </c>
      <c r="B745" s="138">
        <f t="shared" si="76"/>
        <v>10744</v>
      </c>
      <c r="C745" s="250" t="s">
        <v>1840</v>
      </c>
      <c r="D745" s="122" t="s">
        <v>2892</v>
      </c>
      <c r="E745" s="125" t="s">
        <v>34</v>
      </c>
      <c r="F745" s="152" t="s">
        <v>2912</v>
      </c>
      <c r="G745" s="142" t="s">
        <v>1357</v>
      </c>
      <c r="H745" s="140" t="s">
        <v>1844</v>
      </c>
      <c r="I745" s="128" t="s">
        <v>1843</v>
      </c>
      <c r="J745" s="186" t="s">
        <v>1876</v>
      </c>
      <c r="K745" s="128" t="s">
        <v>2348</v>
      </c>
      <c r="L745" s="136" t="s">
        <v>1878</v>
      </c>
      <c r="M745" s="136" t="s">
        <v>1845</v>
      </c>
      <c r="N745" s="144" t="s">
        <v>1844</v>
      </c>
      <c r="O745" s="136" t="s">
        <v>1879</v>
      </c>
      <c r="P745" s="136" t="s">
        <v>1862</v>
      </c>
      <c r="Q745" s="140"/>
      <c r="R745" s="140"/>
      <c r="S745" s="140"/>
      <c r="T745" s="140" t="s">
        <v>1845</v>
      </c>
      <c r="U745" s="140"/>
      <c r="V745" s="140"/>
      <c r="W745" s="144"/>
      <c r="X745" s="136" t="s">
        <v>1845</v>
      </c>
      <c r="Y745" s="136"/>
      <c r="Z745" s="140"/>
      <c r="AA745" s="135"/>
      <c r="AB745" s="135"/>
      <c r="AC745" s="135"/>
      <c r="AD745" s="135"/>
      <c r="AE745" s="135"/>
      <c r="AF745" s="135"/>
      <c r="AG745" s="135"/>
      <c r="AH745" s="140"/>
      <c r="AI745" s="128"/>
      <c r="AJ745" s="137"/>
      <c r="AK745" s="140"/>
      <c r="AL745" s="140"/>
    </row>
    <row r="746" ht="15.75" customHeight="1">
      <c r="A746" s="233">
        <v>745.0</v>
      </c>
      <c r="B746" s="138">
        <f t="shared" si="76"/>
        <v>10745</v>
      </c>
      <c r="C746" s="240" t="s">
        <v>1840</v>
      </c>
      <c r="D746" s="241" t="s">
        <v>2892</v>
      </c>
      <c r="E746" s="233" t="s">
        <v>7</v>
      </c>
      <c r="F746" s="219" t="s">
        <v>2913</v>
      </c>
      <c r="G746" s="327" t="s">
        <v>1358</v>
      </c>
      <c r="H746" s="331" t="s">
        <v>1844</v>
      </c>
      <c r="I746" s="235" t="s">
        <v>1843</v>
      </c>
      <c r="J746" s="236" t="s">
        <v>1844</v>
      </c>
      <c r="K746" s="235" t="s">
        <v>1844</v>
      </c>
      <c r="L746" s="237" t="s">
        <v>1844</v>
      </c>
      <c r="M746" s="237" t="s">
        <v>1844</v>
      </c>
      <c r="N746" s="238" t="s">
        <v>1844</v>
      </c>
      <c r="O746" s="237" t="s">
        <v>1844</v>
      </c>
      <c r="P746" s="237" t="s">
        <v>1844</v>
      </c>
      <c r="Q746" s="239"/>
      <c r="R746" s="239"/>
      <c r="S746" s="239"/>
      <c r="T746" s="239"/>
      <c r="U746" s="239"/>
      <c r="V746" s="239"/>
      <c r="W746" s="238"/>
      <c r="X746" s="237" t="s">
        <v>1845</v>
      </c>
      <c r="Y746" s="237"/>
      <c r="Z746" s="239"/>
      <c r="AA746" s="239"/>
      <c r="AB746" s="239"/>
      <c r="AC746" s="239"/>
      <c r="AD746" s="239"/>
      <c r="AE746" s="239"/>
      <c r="AF746" s="239"/>
      <c r="AG746" s="239"/>
      <c r="AH746" s="239"/>
      <c r="AI746" s="235"/>
      <c r="AJ746" s="243" t="s">
        <v>1845</v>
      </c>
      <c r="AK746" s="140"/>
      <c r="AL746" s="140"/>
    </row>
    <row r="747" ht="15.75" customHeight="1">
      <c r="A747" s="141">
        <v>746.0</v>
      </c>
      <c r="B747" s="138">
        <f t="shared" si="76"/>
        <v>10746</v>
      </c>
      <c r="C747" s="124" t="s">
        <v>1840</v>
      </c>
      <c r="D747" s="122" t="s">
        <v>2892</v>
      </c>
      <c r="E747" s="141" t="s">
        <v>34</v>
      </c>
      <c r="F747" s="142" t="s">
        <v>2914</v>
      </c>
      <c r="G747" s="215" t="s">
        <v>1359</v>
      </c>
      <c r="H747" s="140" t="s">
        <v>1844</v>
      </c>
      <c r="I747" s="128" t="s">
        <v>1843</v>
      </c>
      <c r="J747" s="186" t="s">
        <v>1876</v>
      </c>
      <c r="K747" s="128" t="s">
        <v>2348</v>
      </c>
      <c r="L747" s="136" t="s">
        <v>1878</v>
      </c>
      <c r="M747" s="136" t="s">
        <v>1845</v>
      </c>
      <c r="N747" s="144" t="s">
        <v>1844</v>
      </c>
      <c r="O747" s="136" t="s">
        <v>1879</v>
      </c>
      <c r="P747" s="136" t="s">
        <v>1862</v>
      </c>
      <c r="Q747" s="144"/>
      <c r="R747" s="144"/>
      <c r="S747" s="144" t="s">
        <v>1845</v>
      </c>
      <c r="T747" s="144"/>
      <c r="U747" s="144"/>
      <c r="V747" s="296"/>
      <c r="W747" s="140"/>
      <c r="X747" s="186"/>
      <c r="Y747" s="136"/>
      <c r="Z747" s="140"/>
      <c r="AA747" s="140"/>
      <c r="AB747" s="140"/>
      <c r="AC747" s="140"/>
      <c r="AD747" s="140"/>
      <c r="AE747" s="140"/>
      <c r="AF747" s="140" t="s">
        <v>1845</v>
      </c>
      <c r="AG747" s="140"/>
      <c r="AH747" s="140"/>
      <c r="AI747" s="128"/>
      <c r="AJ747" s="137"/>
      <c r="AK747" s="140"/>
      <c r="AL747" s="140"/>
    </row>
    <row r="748" ht="15.75" customHeight="1">
      <c r="A748" s="141">
        <v>747.0</v>
      </c>
      <c r="B748" s="138">
        <f t="shared" si="76"/>
        <v>10747</v>
      </c>
      <c r="C748" s="124" t="s">
        <v>1840</v>
      </c>
      <c r="D748" s="122" t="s">
        <v>2892</v>
      </c>
      <c r="E748" s="141" t="s">
        <v>34</v>
      </c>
      <c r="F748" s="142" t="s">
        <v>2915</v>
      </c>
      <c r="G748" s="142" t="s">
        <v>1360</v>
      </c>
      <c r="H748" s="140" t="s">
        <v>1844</v>
      </c>
      <c r="I748" s="128" t="s">
        <v>1843</v>
      </c>
      <c r="J748" s="186" t="s">
        <v>1876</v>
      </c>
      <c r="K748" s="128" t="s">
        <v>2348</v>
      </c>
      <c r="L748" s="136" t="s">
        <v>1878</v>
      </c>
      <c r="M748" s="136" t="s">
        <v>1845</v>
      </c>
      <c r="N748" s="144" t="s">
        <v>1844</v>
      </c>
      <c r="O748" s="136" t="s">
        <v>1879</v>
      </c>
      <c r="P748" s="136" t="s">
        <v>1862</v>
      </c>
      <c r="Q748" s="144"/>
      <c r="R748" s="144"/>
      <c r="S748" s="144"/>
      <c r="T748" s="144"/>
      <c r="U748" s="144"/>
      <c r="V748" s="144"/>
      <c r="W748" s="293"/>
      <c r="X748" s="136"/>
      <c r="Y748" s="136"/>
      <c r="Z748" s="140"/>
      <c r="AA748" s="140"/>
      <c r="AB748" s="140"/>
      <c r="AC748" s="140"/>
      <c r="AD748" s="140"/>
      <c r="AE748" s="140"/>
      <c r="AF748" s="140" t="s">
        <v>1845</v>
      </c>
      <c r="AG748" s="140"/>
      <c r="AH748" s="140"/>
      <c r="AI748" s="128"/>
      <c r="AJ748" s="137"/>
      <c r="AK748" s="140"/>
      <c r="AL748" s="140"/>
    </row>
    <row r="749" ht="15.75" customHeight="1">
      <c r="A749" s="264">
        <v>748.0</v>
      </c>
      <c r="B749" s="138">
        <f t="shared" si="76"/>
        <v>10748</v>
      </c>
      <c r="C749" s="240" t="s">
        <v>1873</v>
      </c>
      <c r="D749" s="241" t="s">
        <v>2892</v>
      </c>
      <c r="E749" s="264" t="s">
        <v>34</v>
      </c>
      <c r="F749" s="234" t="s">
        <v>2916</v>
      </c>
      <c r="G749" s="234" t="s">
        <v>1361</v>
      </c>
      <c r="H749" s="239" t="s">
        <v>1844</v>
      </c>
      <c r="I749" s="235" t="s">
        <v>1843</v>
      </c>
      <c r="J749" s="236" t="s">
        <v>1876</v>
      </c>
      <c r="K749" s="235" t="s">
        <v>1877</v>
      </c>
      <c r="L749" s="237" t="s">
        <v>1844</v>
      </c>
      <c r="M749" s="237" t="s">
        <v>1845</v>
      </c>
      <c r="N749" s="238">
        <v>1.0</v>
      </c>
      <c r="O749" s="237" t="s">
        <v>1879</v>
      </c>
      <c r="P749" s="237" t="s">
        <v>1862</v>
      </c>
      <c r="Q749" s="238"/>
      <c r="R749" s="238"/>
      <c r="S749" s="238" t="s">
        <v>1845</v>
      </c>
      <c r="T749" s="238" t="s">
        <v>1845</v>
      </c>
      <c r="U749" s="238"/>
      <c r="V749" s="238"/>
      <c r="W749" s="238"/>
      <c r="X749" s="237"/>
      <c r="Y749" s="237"/>
      <c r="Z749" s="239"/>
      <c r="AA749" s="239"/>
      <c r="AB749" s="239"/>
      <c r="AC749" s="239"/>
      <c r="AD749" s="239"/>
      <c r="AE749" s="239"/>
      <c r="AF749" s="239"/>
      <c r="AG749" s="239"/>
      <c r="AH749" s="239"/>
      <c r="AI749" s="235"/>
      <c r="AJ749" s="243"/>
      <c r="AK749" s="140"/>
      <c r="AL749" s="140"/>
    </row>
    <row r="750" ht="15.75" customHeight="1">
      <c r="A750" s="141">
        <v>749.0</v>
      </c>
      <c r="B750" s="123" t="s">
        <v>1742</v>
      </c>
      <c r="C750" s="124" t="s">
        <v>1840</v>
      </c>
      <c r="D750" s="295" t="s">
        <v>2892</v>
      </c>
      <c r="E750" s="295" t="s">
        <v>34</v>
      </c>
      <c r="F750" s="142" t="s">
        <v>2917</v>
      </c>
      <c r="G750" s="334" t="s">
        <v>2918</v>
      </c>
      <c r="H750" s="140" t="s">
        <v>1844</v>
      </c>
      <c r="I750" s="144" t="s">
        <v>1843</v>
      </c>
      <c r="J750" s="186" t="s">
        <v>1876</v>
      </c>
      <c r="K750" s="136" t="s">
        <v>2348</v>
      </c>
      <c r="L750" s="136" t="s">
        <v>1878</v>
      </c>
      <c r="M750" s="136" t="s">
        <v>1845</v>
      </c>
      <c r="N750" s="144" t="s">
        <v>1844</v>
      </c>
      <c r="O750" s="144" t="s">
        <v>1879</v>
      </c>
      <c r="P750" s="144" t="s">
        <v>1862</v>
      </c>
      <c r="Q750" s="144" t="s">
        <v>1845</v>
      </c>
      <c r="R750" s="144"/>
      <c r="S750" s="144"/>
      <c r="T750" s="144" t="s">
        <v>1845</v>
      </c>
      <c r="U750" s="144"/>
      <c r="V750" s="144"/>
      <c r="W750" s="144"/>
      <c r="X750" s="136" t="s">
        <v>1845</v>
      </c>
      <c r="Y750" s="136"/>
      <c r="Z750" s="144"/>
      <c r="AA750" s="144"/>
      <c r="AB750" s="144"/>
      <c r="AC750" s="144"/>
      <c r="AD750" s="144"/>
      <c r="AE750" s="144"/>
      <c r="AF750" s="144"/>
      <c r="AG750" s="144"/>
      <c r="AH750" s="144"/>
      <c r="AI750" s="136"/>
      <c r="AJ750" s="316"/>
      <c r="AK750" s="140"/>
      <c r="AL750" s="140"/>
    </row>
    <row r="751" ht="15.75" customHeight="1">
      <c r="A751" s="141">
        <v>750.0</v>
      </c>
      <c r="B751" s="138">
        <f t="shared" ref="B751:B752" si="77">SUM(A751+10000)</f>
        <v>10750</v>
      </c>
      <c r="C751" s="124" t="s">
        <v>1840</v>
      </c>
      <c r="D751" s="295" t="s">
        <v>2919</v>
      </c>
      <c r="E751" s="295" t="s">
        <v>34</v>
      </c>
      <c r="F751" s="142" t="s">
        <v>2920</v>
      </c>
      <c r="G751" s="185" t="s">
        <v>1364</v>
      </c>
      <c r="H751" s="136" t="s">
        <v>1844</v>
      </c>
      <c r="I751" s="144" t="s">
        <v>1843</v>
      </c>
      <c r="J751" s="186" t="s">
        <v>1876</v>
      </c>
      <c r="K751" s="136" t="s">
        <v>2348</v>
      </c>
      <c r="L751" s="136" t="s">
        <v>1844</v>
      </c>
      <c r="M751" s="136" t="s">
        <v>1845</v>
      </c>
      <c r="N751" s="144" t="s">
        <v>1844</v>
      </c>
      <c r="O751" s="144" t="s">
        <v>1844</v>
      </c>
      <c r="P751" s="144" t="s">
        <v>1862</v>
      </c>
      <c r="Q751" s="144"/>
      <c r="R751" s="144"/>
      <c r="S751" s="144" t="s">
        <v>1845</v>
      </c>
      <c r="T751" s="144"/>
      <c r="U751" s="144"/>
      <c r="V751" s="144"/>
      <c r="W751" s="144"/>
      <c r="X751" s="136"/>
      <c r="Y751" s="136"/>
      <c r="Z751" s="144"/>
      <c r="AA751" s="144"/>
      <c r="AB751" s="144"/>
      <c r="AC751" s="144"/>
      <c r="AD751" s="144"/>
      <c r="AE751" s="144"/>
      <c r="AF751" s="144"/>
      <c r="AG751" s="144"/>
      <c r="AH751" s="144"/>
      <c r="AI751" s="136"/>
      <c r="AJ751" s="316"/>
      <c r="AK751" s="140"/>
      <c r="AL751" s="140"/>
    </row>
    <row r="752" ht="15.75" customHeight="1">
      <c r="A752" s="141">
        <v>751.0</v>
      </c>
      <c r="B752" s="138">
        <f t="shared" si="77"/>
        <v>10751</v>
      </c>
      <c r="C752" s="124" t="s">
        <v>1840</v>
      </c>
      <c r="D752" s="122" t="s">
        <v>2892</v>
      </c>
      <c r="E752" s="141" t="s">
        <v>27</v>
      </c>
      <c r="F752" s="142" t="s">
        <v>2921</v>
      </c>
      <c r="G752" s="142" t="s">
        <v>2922</v>
      </c>
      <c r="H752" s="140" t="s">
        <v>1844</v>
      </c>
      <c r="I752" s="128" t="s">
        <v>1843</v>
      </c>
      <c r="J752" s="186" t="s">
        <v>1844</v>
      </c>
      <c r="K752" s="128" t="s">
        <v>1844</v>
      </c>
      <c r="L752" s="136" t="s">
        <v>1844</v>
      </c>
      <c r="M752" s="136" t="s">
        <v>1845</v>
      </c>
      <c r="N752" s="144" t="s">
        <v>1844</v>
      </c>
      <c r="O752" s="144" t="s">
        <v>1844</v>
      </c>
      <c r="P752" s="144" t="s">
        <v>1862</v>
      </c>
      <c r="Q752" s="144"/>
      <c r="R752" s="144"/>
      <c r="S752" s="144" t="s">
        <v>1845</v>
      </c>
      <c r="T752" s="144"/>
      <c r="U752" s="144"/>
      <c r="V752" s="144"/>
      <c r="W752" s="144"/>
      <c r="X752" s="136"/>
      <c r="Y752" s="136"/>
      <c r="Z752" s="140"/>
      <c r="AA752" s="140"/>
      <c r="AB752" s="140"/>
      <c r="AC752" s="140"/>
      <c r="AD752" s="140"/>
      <c r="AE752" s="140"/>
      <c r="AF752" s="140"/>
      <c r="AG752" s="140"/>
      <c r="AH752" s="140"/>
      <c r="AI752" s="128"/>
      <c r="AJ752" s="137"/>
      <c r="AK752" s="140"/>
      <c r="AL752" s="140"/>
    </row>
    <row r="753" ht="15.75" customHeight="1">
      <c r="A753" s="189">
        <v>752.0</v>
      </c>
      <c r="B753" s="123" t="s">
        <v>1742</v>
      </c>
      <c r="C753" s="179" t="s">
        <v>1840</v>
      </c>
      <c r="D753" s="150" t="s">
        <v>2892</v>
      </c>
      <c r="E753" s="189" t="s">
        <v>34</v>
      </c>
      <c r="F753" s="127" t="s">
        <v>2923</v>
      </c>
      <c r="G753" s="335" t="s">
        <v>2924</v>
      </c>
      <c r="H753" s="140" t="s">
        <v>1844</v>
      </c>
      <c r="I753" s="129" t="s">
        <v>1843</v>
      </c>
      <c r="J753" s="143" t="s">
        <v>1876</v>
      </c>
      <c r="K753" s="129" t="s">
        <v>2348</v>
      </c>
      <c r="L753" s="132" t="s">
        <v>1844</v>
      </c>
      <c r="M753" s="132" t="s">
        <v>1845</v>
      </c>
      <c r="N753" s="131" t="s">
        <v>1844</v>
      </c>
      <c r="O753" s="132" t="s">
        <v>1879</v>
      </c>
      <c r="P753" s="132" t="s">
        <v>1862</v>
      </c>
      <c r="Q753" s="132" t="s">
        <v>1845</v>
      </c>
      <c r="R753" s="132"/>
      <c r="S753" s="132"/>
      <c r="T753" s="132" t="s">
        <v>1845</v>
      </c>
      <c r="U753" s="132"/>
      <c r="V753" s="132"/>
      <c r="W753" s="132"/>
      <c r="X753" s="132"/>
      <c r="Y753" s="132"/>
      <c r="Z753" s="171"/>
      <c r="AA753" s="171"/>
      <c r="AB753" s="171"/>
      <c r="AC753" s="171"/>
      <c r="AD753" s="171"/>
      <c r="AE753" s="171"/>
      <c r="AF753" s="171"/>
      <c r="AG753" s="140"/>
      <c r="AH753" s="140"/>
      <c r="AI753" s="128"/>
      <c r="AJ753" s="137"/>
      <c r="AK753" s="140"/>
      <c r="AL753" s="140"/>
    </row>
    <row r="754" ht="15.75" customHeight="1">
      <c r="A754" s="189">
        <v>753.0</v>
      </c>
      <c r="B754" s="138">
        <f>SUM(A754+10000)</f>
        <v>10753</v>
      </c>
      <c r="C754" s="179" t="s">
        <v>1840</v>
      </c>
      <c r="D754" s="150" t="str">
        <f t="array" ref="D754">INDEX(TEXTSPLIT(#REF!, "_"), 2)</f>
        <v>#NAME?</v>
      </c>
      <c r="E754" s="189" t="s">
        <v>34</v>
      </c>
      <c r="F754" s="190" t="s">
        <v>2925</v>
      </c>
      <c r="G754" s="190" t="s">
        <v>2926</v>
      </c>
      <c r="H754" s="140" t="s">
        <v>1844</v>
      </c>
      <c r="I754" s="129" t="s">
        <v>1843</v>
      </c>
      <c r="J754" s="143" t="s">
        <v>1902</v>
      </c>
      <c r="K754" s="129" t="s">
        <v>1877</v>
      </c>
      <c r="L754" s="136" t="s">
        <v>1990</v>
      </c>
      <c r="M754" s="136" t="s">
        <v>1845</v>
      </c>
      <c r="N754" s="135">
        <v>1.0</v>
      </c>
      <c r="O754" s="131" t="s">
        <v>1879</v>
      </c>
      <c r="P754" s="140" t="s">
        <v>1862</v>
      </c>
      <c r="Q754" s="131"/>
      <c r="R754" s="131"/>
      <c r="S754" s="131"/>
      <c r="T754" s="131" t="s">
        <v>1845</v>
      </c>
      <c r="U754" s="131"/>
      <c r="V754" s="131"/>
      <c r="W754" s="131"/>
      <c r="X754" s="132" t="s">
        <v>1845</v>
      </c>
      <c r="Y754" s="132"/>
      <c r="Z754" s="171"/>
      <c r="AA754" s="171"/>
      <c r="AB754" s="171"/>
      <c r="AC754" s="171"/>
      <c r="AD754" s="171"/>
      <c r="AE754" s="171"/>
      <c r="AF754" s="171"/>
      <c r="AG754" s="140"/>
      <c r="AH754" s="140"/>
      <c r="AI754" s="128"/>
      <c r="AJ754" s="137"/>
      <c r="AK754" s="140"/>
      <c r="AL754" s="140"/>
    </row>
    <row r="755" ht="15.75" customHeight="1">
      <c r="A755" s="189">
        <v>754.0</v>
      </c>
      <c r="B755" s="123" t="s">
        <v>1742</v>
      </c>
      <c r="C755" s="179" t="s">
        <v>1840</v>
      </c>
      <c r="D755" s="150" t="str">
        <f t="array" ref="D755">INDEX(TEXTSPLIT(#REF!, "_"), 2)</f>
        <v>#NAME?</v>
      </c>
      <c r="E755" s="189" t="s">
        <v>34</v>
      </c>
      <c r="F755" s="193" t="s">
        <v>2927</v>
      </c>
      <c r="G755" s="190" t="s">
        <v>2928</v>
      </c>
      <c r="H755" s="140" t="s">
        <v>1844</v>
      </c>
      <c r="I755" s="129" t="s">
        <v>1843</v>
      </c>
      <c r="J755" s="143" t="s">
        <v>1902</v>
      </c>
      <c r="K755" s="129" t="s">
        <v>1877</v>
      </c>
      <c r="L755" s="136" t="s">
        <v>1990</v>
      </c>
      <c r="M755" s="132" t="s">
        <v>1845</v>
      </c>
      <c r="N755" s="131">
        <v>1.0</v>
      </c>
      <c r="O755" s="131" t="s">
        <v>1879</v>
      </c>
      <c r="P755" s="131" t="s">
        <v>1862</v>
      </c>
      <c r="Q755" s="131" t="s">
        <v>1845</v>
      </c>
      <c r="R755" s="131"/>
      <c r="S755" s="131"/>
      <c r="T755" s="131" t="s">
        <v>1845</v>
      </c>
      <c r="U755" s="131"/>
      <c r="V755" s="131"/>
      <c r="W755" s="131"/>
      <c r="X755" s="132" t="s">
        <v>1845</v>
      </c>
      <c r="Y755" s="132"/>
      <c r="Z755" s="171"/>
      <c r="AA755" s="171"/>
      <c r="AB755" s="171"/>
      <c r="AC755" s="171"/>
      <c r="AD755" s="171"/>
      <c r="AE755" s="171"/>
      <c r="AF755" s="171"/>
      <c r="AG755" s="140"/>
      <c r="AH755" s="140"/>
      <c r="AI755" s="128"/>
      <c r="AJ755" s="137"/>
      <c r="AK755" s="140"/>
      <c r="AL755" s="140"/>
    </row>
    <row r="756" ht="15.75" customHeight="1">
      <c r="A756" s="264">
        <v>755.0</v>
      </c>
      <c r="B756" s="123" t="s">
        <v>1742</v>
      </c>
      <c r="C756" s="264" t="s">
        <v>1840</v>
      </c>
      <c r="D756" s="336" t="s">
        <v>2892</v>
      </c>
      <c r="E756" s="336" t="s">
        <v>7</v>
      </c>
      <c r="F756" s="219" t="s">
        <v>2929</v>
      </c>
      <c r="G756" s="337" t="s">
        <v>1370</v>
      </c>
      <c r="H756" s="237" t="s">
        <v>1844</v>
      </c>
      <c r="I756" s="238" t="s">
        <v>1843</v>
      </c>
      <c r="J756" s="236" t="s">
        <v>1844</v>
      </c>
      <c r="K756" s="237" t="s">
        <v>1844</v>
      </c>
      <c r="L756" s="237" t="s">
        <v>1844</v>
      </c>
      <c r="M756" s="237" t="s">
        <v>1844</v>
      </c>
      <c r="N756" s="238" t="s">
        <v>1844</v>
      </c>
      <c r="O756" s="238" t="s">
        <v>1844</v>
      </c>
      <c r="P756" s="238" t="s">
        <v>1844</v>
      </c>
      <c r="Q756" s="238" t="s">
        <v>1845</v>
      </c>
      <c r="R756" s="238"/>
      <c r="S756" s="238"/>
      <c r="T756" s="238"/>
      <c r="U756" s="238"/>
      <c r="V756" s="238"/>
      <c r="W756" s="238"/>
      <c r="X756" s="237" t="s">
        <v>1845</v>
      </c>
      <c r="Y756" s="237"/>
      <c r="Z756" s="238"/>
      <c r="AA756" s="238"/>
      <c r="AB756" s="238"/>
      <c r="AC756" s="238"/>
      <c r="AD756" s="238"/>
      <c r="AE756" s="238"/>
      <c r="AF756" s="238"/>
      <c r="AG756" s="238"/>
      <c r="AH756" s="238"/>
      <c r="AI756" s="237"/>
      <c r="AJ756" s="338" t="s">
        <v>1845</v>
      </c>
      <c r="AK756" s="140"/>
      <c r="AL756" s="140"/>
    </row>
    <row r="757" ht="15.75" customHeight="1">
      <c r="A757" s="125">
        <v>756.0</v>
      </c>
      <c r="B757" s="138">
        <f t="shared" ref="B757:B760" si="78">SUM(A757+10000)</f>
        <v>10756</v>
      </c>
      <c r="C757" s="141" t="s">
        <v>1840</v>
      </c>
      <c r="D757" s="122" t="s">
        <v>2892</v>
      </c>
      <c r="E757" s="122" t="s">
        <v>7</v>
      </c>
      <c r="F757" s="127" t="s">
        <v>2930</v>
      </c>
      <c r="G757" s="153" t="s">
        <v>1371</v>
      </c>
      <c r="H757" s="128" t="s">
        <v>1844</v>
      </c>
      <c r="I757" s="140" t="s">
        <v>1906</v>
      </c>
      <c r="J757" s="186" t="s">
        <v>1844</v>
      </c>
      <c r="K757" s="136" t="s">
        <v>1844</v>
      </c>
      <c r="L757" s="136" t="s">
        <v>1844</v>
      </c>
      <c r="M757" s="136" t="s">
        <v>1844</v>
      </c>
      <c r="N757" s="144" t="s">
        <v>1844</v>
      </c>
      <c r="O757" s="140" t="s">
        <v>1844</v>
      </c>
      <c r="P757" s="140" t="s">
        <v>1844</v>
      </c>
      <c r="Q757" s="140"/>
      <c r="R757" s="144"/>
      <c r="S757" s="140"/>
      <c r="T757" s="140"/>
      <c r="U757" s="140" t="s">
        <v>1845</v>
      </c>
      <c r="V757" s="140"/>
      <c r="W757" s="144"/>
      <c r="X757" s="136"/>
      <c r="Y757" s="128"/>
      <c r="Z757" s="140"/>
      <c r="AA757" s="140"/>
      <c r="AB757" s="144"/>
      <c r="AC757" s="144"/>
      <c r="AD757" s="144"/>
      <c r="AE757" s="140"/>
      <c r="AF757" s="140"/>
      <c r="AG757" s="144"/>
      <c r="AH757" s="144"/>
      <c r="AI757" s="136"/>
      <c r="AJ757" s="316"/>
      <c r="AK757" s="140"/>
      <c r="AL757" s="140"/>
    </row>
    <row r="758" ht="15.75" customHeight="1">
      <c r="A758" s="141">
        <v>757.0</v>
      </c>
      <c r="B758" s="138">
        <f t="shared" si="78"/>
        <v>10757</v>
      </c>
      <c r="C758" s="141" t="s">
        <v>1840</v>
      </c>
      <c r="D758" s="295" t="s">
        <v>2892</v>
      </c>
      <c r="E758" s="295" t="s">
        <v>7</v>
      </c>
      <c r="F758" s="142" t="s">
        <v>2931</v>
      </c>
      <c r="G758" s="339" t="s">
        <v>1372</v>
      </c>
      <c r="H758" s="136" t="s">
        <v>1844</v>
      </c>
      <c r="I758" s="144" t="s">
        <v>1843</v>
      </c>
      <c r="J758" s="186" t="s">
        <v>1844</v>
      </c>
      <c r="K758" s="136" t="s">
        <v>1844</v>
      </c>
      <c r="L758" s="136" t="s">
        <v>1844</v>
      </c>
      <c r="M758" s="136" t="s">
        <v>1844</v>
      </c>
      <c r="N758" s="144" t="s">
        <v>1844</v>
      </c>
      <c r="O758" s="144" t="s">
        <v>1844</v>
      </c>
      <c r="P758" s="144" t="s">
        <v>1844</v>
      </c>
      <c r="Q758" s="144"/>
      <c r="R758" s="144"/>
      <c r="S758" s="144" t="s">
        <v>1845</v>
      </c>
      <c r="T758" s="144" t="s">
        <v>1845</v>
      </c>
      <c r="U758" s="144"/>
      <c r="V758" s="144"/>
      <c r="W758" s="144"/>
      <c r="X758" s="136"/>
      <c r="Y758" s="136"/>
      <c r="Z758" s="144"/>
      <c r="AA758" s="144"/>
      <c r="AB758" s="144"/>
      <c r="AC758" s="144"/>
      <c r="AD758" s="144"/>
      <c r="AE758" s="144"/>
      <c r="AF758" s="144"/>
      <c r="AG758" s="144"/>
      <c r="AH758" s="144"/>
      <c r="AI758" s="136" t="s">
        <v>1845</v>
      </c>
      <c r="AJ758" s="316"/>
      <c r="AK758" s="140"/>
      <c r="AL758" s="140"/>
    </row>
    <row r="759" ht="15.75" customHeight="1">
      <c r="A759" s="125">
        <v>758.0</v>
      </c>
      <c r="B759" s="138">
        <f t="shared" si="78"/>
        <v>10758</v>
      </c>
      <c r="C759" s="141" t="s">
        <v>1840</v>
      </c>
      <c r="D759" s="122" t="s">
        <v>2892</v>
      </c>
      <c r="E759" s="122" t="s">
        <v>34</v>
      </c>
      <c r="F759" s="127" t="s">
        <v>2932</v>
      </c>
      <c r="G759" s="126" t="s">
        <v>2933</v>
      </c>
      <c r="H759" s="128" t="s">
        <v>1844</v>
      </c>
      <c r="I759" s="140" t="s">
        <v>1843</v>
      </c>
      <c r="J759" s="186" t="s">
        <v>1876</v>
      </c>
      <c r="K759" s="136" t="s">
        <v>2348</v>
      </c>
      <c r="L759" s="136" t="s">
        <v>1878</v>
      </c>
      <c r="M759" s="136" t="s">
        <v>1845</v>
      </c>
      <c r="N759" s="144" t="s">
        <v>1844</v>
      </c>
      <c r="O759" s="140" t="s">
        <v>1879</v>
      </c>
      <c r="P759" s="140" t="s">
        <v>1862</v>
      </c>
      <c r="Q759" s="140"/>
      <c r="R759" s="144"/>
      <c r="S759" s="140"/>
      <c r="T759" s="140" t="s">
        <v>1845</v>
      </c>
      <c r="U759" s="140"/>
      <c r="V759" s="140"/>
      <c r="W759" s="144"/>
      <c r="X759" s="136" t="s">
        <v>1845</v>
      </c>
      <c r="Y759" s="128"/>
      <c r="Z759" s="140"/>
      <c r="AA759" s="140"/>
      <c r="AB759" s="144"/>
      <c r="AC759" s="144"/>
      <c r="AD759" s="144"/>
      <c r="AE759" s="140"/>
      <c r="AF759" s="140"/>
      <c r="AG759" s="144"/>
      <c r="AH759" s="144"/>
      <c r="AI759" s="136"/>
      <c r="AJ759" s="316"/>
      <c r="AK759" s="140"/>
      <c r="AL759" s="140"/>
    </row>
    <row r="760" ht="15.75" customHeight="1">
      <c r="A760" s="141">
        <v>759.0</v>
      </c>
      <c r="B760" s="138">
        <f t="shared" si="78"/>
        <v>10759</v>
      </c>
      <c r="C760" s="141" t="s">
        <v>1840</v>
      </c>
      <c r="D760" s="295" t="s">
        <v>2892</v>
      </c>
      <c r="E760" s="295" t="s">
        <v>34</v>
      </c>
      <c r="F760" s="142" t="s">
        <v>2934</v>
      </c>
      <c r="G760" s="185" t="s">
        <v>2935</v>
      </c>
      <c r="H760" s="136" t="s">
        <v>1844</v>
      </c>
      <c r="I760" s="144" t="s">
        <v>1843</v>
      </c>
      <c r="J760" s="186" t="s">
        <v>1902</v>
      </c>
      <c r="K760" s="136" t="s">
        <v>1877</v>
      </c>
      <c r="L760" s="136" t="s">
        <v>1990</v>
      </c>
      <c r="M760" s="136" t="s">
        <v>1845</v>
      </c>
      <c r="N760" s="144" t="s">
        <v>1903</v>
      </c>
      <c r="O760" s="144" t="s">
        <v>1879</v>
      </c>
      <c r="P760" s="144" t="s">
        <v>1862</v>
      </c>
      <c r="Q760" s="144"/>
      <c r="R760" s="144"/>
      <c r="S760" s="144"/>
      <c r="T760" s="144" t="s">
        <v>1845</v>
      </c>
      <c r="U760" s="144"/>
      <c r="V760" s="144"/>
      <c r="W760" s="144"/>
      <c r="X760" s="136" t="s">
        <v>1845</v>
      </c>
      <c r="Y760" s="136"/>
      <c r="Z760" s="144"/>
      <c r="AA760" s="144"/>
      <c r="AB760" s="144"/>
      <c r="AC760" s="144"/>
      <c r="AD760" s="144"/>
      <c r="AE760" s="144"/>
      <c r="AF760" s="144"/>
      <c r="AG760" s="144"/>
      <c r="AH760" s="144"/>
      <c r="AI760" s="136"/>
      <c r="AJ760" s="316"/>
      <c r="AK760" s="140"/>
      <c r="AL760" s="140"/>
    </row>
    <row r="761" ht="15.75" customHeight="1">
      <c r="A761" s="141">
        <v>760.0</v>
      </c>
      <c r="B761" s="123" t="s">
        <v>1742</v>
      </c>
      <c r="C761" s="141" t="s">
        <v>1840</v>
      </c>
      <c r="D761" s="295" t="s">
        <v>2919</v>
      </c>
      <c r="E761" s="295" t="s">
        <v>7</v>
      </c>
      <c r="F761" s="142" t="s">
        <v>2936</v>
      </c>
      <c r="G761" s="185" t="s">
        <v>1375</v>
      </c>
      <c r="H761" s="136" t="s">
        <v>1844</v>
      </c>
      <c r="I761" s="144" t="s">
        <v>1843</v>
      </c>
      <c r="J761" s="186" t="s">
        <v>1844</v>
      </c>
      <c r="K761" s="136" t="s">
        <v>1844</v>
      </c>
      <c r="L761" s="136" t="s">
        <v>1844</v>
      </c>
      <c r="M761" s="136" t="s">
        <v>1844</v>
      </c>
      <c r="N761" s="144" t="s">
        <v>1844</v>
      </c>
      <c r="O761" s="144" t="s">
        <v>1844</v>
      </c>
      <c r="P761" s="144" t="s">
        <v>1844</v>
      </c>
      <c r="Q761" s="144" t="s">
        <v>1845</v>
      </c>
      <c r="R761" s="144"/>
      <c r="S761" s="144"/>
      <c r="T761" s="144" t="s">
        <v>1845</v>
      </c>
      <c r="U761" s="144"/>
      <c r="V761" s="144"/>
      <c r="W761" s="144"/>
      <c r="X761" s="136"/>
      <c r="Y761" s="136"/>
      <c r="Z761" s="144"/>
      <c r="AA761" s="144"/>
      <c r="AB761" s="144"/>
      <c r="AC761" s="144"/>
      <c r="AD761" s="144"/>
      <c r="AE761" s="144"/>
      <c r="AF761" s="144"/>
      <c r="AG761" s="144"/>
      <c r="AH761" s="144"/>
      <c r="AI761" s="136"/>
      <c r="AJ761" s="316"/>
      <c r="AK761" s="140"/>
      <c r="AL761" s="140"/>
    </row>
    <row r="762" ht="15.75" customHeight="1">
      <c r="A762" s="141">
        <v>761.0</v>
      </c>
      <c r="B762" s="138">
        <f>SUM(A762+10000)</f>
        <v>10761</v>
      </c>
      <c r="C762" s="141" t="s">
        <v>1840</v>
      </c>
      <c r="D762" s="295" t="s">
        <v>2919</v>
      </c>
      <c r="E762" s="295" t="s">
        <v>27</v>
      </c>
      <c r="F762" s="142" t="s">
        <v>2937</v>
      </c>
      <c r="G762" s="185" t="s">
        <v>1376</v>
      </c>
      <c r="H762" s="136" t="s">
        <v>1844</v>
      </c>
      <c r="I762" s="144" t="s">
        <v>1843</v>
      </c>
      <c r="J762" s="186" t="s">
        <v>1844</v>
      </c>
      <c r="K762" s="136" t="s">
        <v>1844</v>
      </c>
      <c r="L762" s="136" t="s">
        <v>1844</v>
      </c>
      <c r="M762" s="136" t="s">
        <v>1845</v>
      </c>
      <c r="N762" s="144" t="s">
        <v>1844</v>
      </c>
      <c r="O762" s="144" t="s">
        <v>1844</v>
      </c>
      <c r="P762" s="144" t="s">
        <v>1862</v>
      </c>
      <c r="Q762" s="144"/>
      <c r="R762" s="144"/>
      <c r="S762" s="144" t="s">
        <v>1845</v>
      </c>
      <c r="T762" s="144" t="s">
        <v>1845</v>
      </c>
      <c r="U762" s="144"/>
      <c r="V762" s="144"/>
      <c r="W762" s="144"/>
      <c r="X762" s="136"/>
      <c r="Y762" s="136"/>
      <c r="Z762" s="144"/>
      <c r="AA762" s="144"/>
      <c r="AB762" s="144"/>
      <c r="AC762" s="144"/>
      <c r="AD762" s="144"/>
      <c r="AE762" s="144"/>
      <c r="AF762" s="144"/>
      <c r="AG762" s="144"/>
      <c r="AH762" s="144"/>
      <c r="AI762" s="136"/>
      <c r="AJ762" s="316"/>
      <c r="AK762" s="140"/>
      <c r="AL762" s="140"/>
    </row>
    <row r="763" ht="15.75" customHeight="1">
      <c r="A763" s="141">
        <v>762.0</v>
      </c>
      <c r="B763" s="123" t="s">
        <v>1742</v>
      </c>
      <c r="C763" s="141" t="s">
        <v>1840</v>
      </c>
      <c r="D763" s="295" t="s">
        <v>2919</v>
      </c>
      <c r="E763" s="295" t="s">
        <v>34</v>
      </c>
      <c r="F763" s="340" t="s">
        <v>2938</v>
      </c>
      <c r="G763" s="221" t="s">
        <v>2939</v>
      </c>
      <c r="H763" s="136" t="s">
        <v>1844</v>
      </c>
      <c r="I763" s="144" t="s">
        <v>1843</v>
      </c>
      <c r="J763" s="186" t="s">
        <v>1876</v>
      </c>
      <c r="K763" s="136" t="s">
        <v>2348</v>
      </c>
      <c r="L763" s="136" t="s">
        <v>1878</v>
      </c>
      <c r="M763" s="136" t="s">
        <v>1845</v>
      </c>
      <c r="N763" s="144" t="s">
        <v>1844</v>
      </c>
      <c r="O763" s="144" t="s">
        <v>1879</v>
      </c>
      <c r="P763" s="144" t="s">
        <v>1862</v>
      </c>
      <c r="Q763" s="144" t="s">
        <v>1845</v>
      </c>
      <c r="R763" s="144"/>
      <c r="S763" s="144"/>
      <c r="T763" s="144"/>
      <c r="U763" s="144"/>
      <c r="V763" s="144"/>
      <c r="W763" s="144"/>
      <c r="X763" s="136" t="s">
        <v>1845</v>
      </c>
      <c r="Y763" s="136"/>
      <c r="Z763" s="144"/>
      <c r="AA763" s="144"/>
      <c r="AB763" s="144"/>
      <c r="AC763" s="144"/>
      <c r="AD763" s="144"/>
      <c r="AE763" s="144"/>
      <c r="AF763" s="144"/>
      <c r="AG763" s="144"/>
      <c r="AH763" s="144"/>
      <c r="AI763" s="136"/>
      <c r="AJ763" s="316"/>
      <c r="AK763" s="140"/>
      <c r="AL763" s="140"/>
    </row>
    <row r="764" ht="15.75" customHeight="1">
      <c r="A764" s="141">
        <v>763.0</v>
      </c>
      <c r="B764" s="123" t="s">
        <v>1742</v>
      </c>
      <c r="C764" s="141" t="s">
        <v>1840</v>
      </c>
      <c r="D764" s="295" t="s">
        <v>2919</v>
      </c>
      <c r="E764" s="295" t="s">
        <v>34</v>
      </c>
      <c r="F764" s="142" t="s">
        <v>2940</v>
      </c>
      <c r="G764" s="221" t="s">
        <v>2941</v>
      </c>
      <c r="H764" s="136" t="s">
        <v>1844</v>
      </c>
      <c r="I764" s="128" t="s">
        <v>1843</v>
      </c>
      <c r="J764" s="186" t="s">
        <v>1902</v>
      </c>
      <c r="K764" s="170" t="s">
        <v>1877</v>
      </c>
      <c r="L764" s="136" t="s">
        <v>1878</v>
      </c>
      <c r="M764" s="136" t="s">
        <v>1845</v>
      </c>
      <c r="N764" s="144">
        <v>1.0</v>
      </c>
      <c r="O764" s="140" t="s">
        <v>1879</v>
      </c>
      <c r="P764" s="140" t="s">
        <v>1862</v>
      </c>
      <c r="Q764" s="140" t="s">
        <v>1845</v>
      </c>
      <c r="R764" s="144"/>
      <c r="S764" s="144"/>
      <c r="T764" s="144"/>
      <c r="U764" s="144"/>
      <c r="V764" s="144"/>
      <c r="W764" s="144"/>
      <c r="X764" s="136" t="s">
        <v>1845</v>
      </c>
      <c r="Y764" s="136"/>
      <c r="Z764" s="144"/>
      <c r="AA764" s="144"/>
      <c r="AB764" s="144"/>
      <c r="AC764" s="144"/>
      <c r="AD764" s="144"/>
      <c r="AE764" s="144"/>
      <c r="AF764" s="144"/>
      <c r="AG764" s="144"/>
      <c r="AH764" s="144"/>
      <c r="AI764" s="136"/>
      <c r="AJ764" s="316"/>
      <c r="AK764" s="140"/>
      <c r="AL764" s="140"/>
    </row>
    <row r="765" ht="24.0" customHeight="1">
      <c r="A765" s="141">
        <v>764.0</v>
      </c>
      <c r="B765" s="138">
        <f t="shared" ref="B765:B767" si="79">SUM(A765+10000)</f>
        <v>10764</v>
      </c>
      <c r="C765" s="141" t="s">
        <v>1840</v>
      </c>
      <c r="D765" s="295" t="s">
        <v>2892</v>
      </c>
      <c r="E765" s="295" t="s">
        <v>7</v>
      </c>
      <c r="F765" s="142" t="s">
        <v>2942</v>
      </c>
      <c r="G765" s="341" t="s">
        <v>1380</v>
      </c>
      <c r="H765" s="136" t="s">
        <v>1844</v>
      </c>
      <c r="I765" s="144" t="s">
        <v>1843</v>
      </c>
      <c r="J765" s="186" t="s">
        <v>1844</v>
      </c>
      <c r="K765" s="136" t="s">
        <v>1844</v>
      </c>
      <c r="L765" s="136" t="s">
        <v>1844</v>
      </c>
      <c r="M765" s="136" t="s">
        <v>1844</v>
      </c>
      <c r="N765" s="144" t="s">
        <v>1844</v>
      </c>
      <c r="O765" s="144" t="s">
        <v>1844</v>
      </c>
      <c r="P765" s="144" t="s">
        <v>1844</v>
      </c>
      <c r="Q765" s="144"/>
      <c r="R765" s="144"/>
      <c r="S765" s="144" t="s">
        <v>1845</v>
      </c>
      <c r="T765" s="144" t="s">
        <v>1845</v>
      </c>
      <c r="U765" s="144"/>
      <c r="V765" s="144"/>
      <c r="W765" s="144"/>
      <c r="X765" s="136" t="s">
        <v>1845</v>
      </c>
      <c r="Y765" s="136"/>
      <c r="Z765" s="144"/>
      <c r="AA765" s="144"/>
      <c r="AB765" s="144"/>
      <c r="AC765" s="144"/>
      <c r="AD765" s="144"/>
      <c r="AE765" s="144"/>
      <c r="AF765" s="144"/>
      <c r="AG765" s="144"/>
      <c r="AH765" s="144"/>
      <c r="AI765" s="136" t="s">
        <v>1845</v>
      </c>
      <c r="AJ765" s="316"/>
      <c r="AK765" s="140"/>
      <c r="AL765" s="140"/>
    </row>
    <row r="766" ht="15.75" customHeight="1">
      <c r="A766" s="141">
        <v>765.0</v>
      </c>
      <c r="B766" s="138">
        <f t="shared" si="79"/>
        <v>10765</v>
      </c>
      <c r="C766" s="141" t="s">
        <v>1840</v>
      </c>
      <c r="D766" s="295" t="s">
        <v>2919</v>
      </c>
      <c r="E766" s="295" t="s">
        <v>7</v>
      </c>
      <c r="F766" s="142" t="s">
        <v>2943</v>
      </c>
      <c r="G766" s="221" t="s">
        <v>1381</v>
      </c>
      <c r="H766" s="136" t="s">
        <v>1844</v>
      </c>
      <c r="I766" s="144" t="s">
        <v>1843</v>
      </c>
      <c r="J766" s="186" t="s">
        <v>1844</v>
      </c>
      <c r="K766" s="136" t="s">
        <v>1844</v>
      </c>
      <c r="L766" s="136" t="s">
        <v>1844</v>
      </c>
      <c r="M766" s="136" t="s">
        <v>1844</v>
      </c>
      <c r="N766" s="144" t="s">
        <v>1844</v>
      </c>
      <c r="O766" s="144" t="s">
        <v>1844</v>
      </c>
      <c r="P766" s="144" t="s">
        <v>1844</v>
      </c>
      <c r="Q766" s="144"/>
      <c r="R766" s="144"/>
      <c r="S766" s="144"/>
      <c r="T766" s="144" t="s">
        <v>1845</v>
      </c>
      <c r="U766" s="144"/>
      <c r="V766" s="144"/>
      <c r="W766" s="144" t="s">
        <v>1845</v>
      </c>
      <c r="X766" s="136" t="s">
        <v>1845</v>
      </c>
      <c r="Y766" s="136"/>
      <c r="Z766" s="144"/>
      <c r="AA766" s="144"/>
      <c r="AB766" s="144"/>
      <c r="AC766" s="144"/>
      <c r="AD766" s="144"/>
      <c r="AE766" s="144"/>
      <c r="AF766" s="144"/>
      <c r="AG766" s="144"/>
      <c r="AH766" s="144"/>
      <c r="AI766" s="136"/>
      <c r="AJ766" s="316"/>
      <c r="AK766" s="140"/>
      <c r="AL766" s="140"/>
    </row>
    <row r="767" ht="15.75" customHeight="1">
      <c r="A767" s="141">
        <v>766.0</v>
      </c>
      <c r="B767" s="138">
        <f t="shared" si="79"/>
        <v>10766</v>
      </c>
      <c r="C767" s="141" t="s">
        <v>1840</v>
      </c>
      <c r="D767" s="295" t="s">
        <v>2919</v>
      </c>
      <c r="E767" s="295" t="s">
        <v>20</v>
      </c>
      <c r="F767" s="142" t="s">
        <v>2944</v>
      </c>
      <c r="G767" s="221" t="s">
        <v>1382</v>
      </c>
      <c r="H767" s="136" t="s">
        <v>1844</v>
      </c>
      <c r="I767" s="144" t="s">
        <v>1843</v>
      </c>
      <c r="J767" s="186" t="s">
        <v>1844</v>
      </c>
      <c r="K767" s="136" t="s">
        <v>1844</v>
      </c>
      <c r="L767" s="136" t="s">
        <v>1844</v>
      </c>
      <c r="M767" s="136" t="s">
        <v>1845</v>
      </c>
      <c r="N767" s="144" t="s">
        <v>1844</v>
      </c>
      <c r="O767" s="144" t="s">
        <v>1844</v>
      </c>
      <c r="P767" s="144" t="s">
        <v>1862</v>
      </c>
      <c r="Q767" s="144"/>
      <c r="R767" s="144"/>
      <c r="S767" s="144" t="s">
        <v>1845</v>
      </c>
      <c r="T767" s="144" t="s">
        <v>1845</v>
      </c>
      <c r="U767" s="144"/>
      <c r="V767" s="144"/>
      <c r="W767" s="144"/>
      <c r="X767" s="136"/>
      <c r="Y767" s="136"/>
      <c r="Z767" s="144"/>
      <c r="AA767" s="144"/>
      <c r="AB767" s="144"/>
      <c r="AC767" s="144"/>
      <c r="AD767" s="144"/>
      <c r="AE767" s="144"/>
      <c r="AF767" s="144"/>
      <c r="AG767" s="144"/>
      <c r="AH767" s="144"/>
      <c r="AI767" s="136"/>
      <c r="AJ767" s="316"/>
      <c r="AK767" s="140"/>
      <c r="AL767" s="140"/>
    </row>
    <row r="768" ht="15.75" customHeight="1">
      <c r="A768" s="141">
        <v>767.0</v>
      </c>
      <c r="B768" s="123" t="s">
        <v>1742</v>
      </c>
      <c r="C768" s="141" t="s">
        <v>1840</v>
      </c>
      <c r="D768" s="295" t="s">
        <v>2919</v>
      </c>
      <c r="E768" s="295" t="s">
        <v>7</v>
      </c>
      <c r="F768" s="142" t="s">
        <v>2945</v>
      </c>
      <c r="G768" s="221" t="s">
        <v>1383</v>
      </c>
      <c r="H768" s="136" t="s">
        <v>1844</v>
      </c>
      <c r="I768" s="144" t="s">
        <v>1843</v>
      </c>
      <c r="J768" s="186" t="s">
        <v>1844</v>
      </c>
      <c r="K768" s="136" t="s">
        <v>1844</v>
      </c>
      <c r="L768" s="136" t="s">
        <v>1844</v>
      </c>
      <c r="M768" s="136" t="s">
        <v>1844</v>
      </c>
      <c r="N768" s="144" t="s">
        <v>1844</v>
      </c>
      <c r="O768" s="144" t="s">
        <v>1844</v>
      </c>
      <c r="P768" s="144" t="s">
        <v>1844</v>
      </c>
      <c r="Q768" s="144" t="s">
        <v>1845</v>
      </c>
      <c r="R768" s="144"/>
      <c r="S768" s="144"/>
      <c r="T768" s="144" t="s">
        <v>1845</v>
      </c>
      <c r="U768" s="144"/>
      <c r="V768" s="144"/>
      <c r="W768" s="144"/>
      <c r="X768" s="136"/>
      <c r="Y768" s="136"/>
      <c r="Z768" s="144"/>
      <c r="AA768" s="144"/>
      <c r="AB768" s="144"/>
      <c r="AC768" s="144"/>
      <c r="AD768" s="144"/>
      <c r="AE768" s="144"/>
      <c r="AF768" s="144"/>
      <c r="AG768" s="144"/>
      <c r="AH768" s="144"/>
      <c r="AI768" s="136"/>
      <c r="AJ768" s="316"/>
      <c r="AK768" s="140"/>
      <c r="AL768" s="140"/>
    </row>
    <row r="769" ht="15.75" customHeight="1">
      <c r="A769" s="141">
        <v>768.0</v>
      </c>
      <c r="B769" s="123" t="s">
        <v>1742</v>
      </c>
      <c r="C769" s="250" t="s">
        <v>1840</v>
      </c>
      <c r="D769" s="295" t="s">
        <v>2919</v>
      </c>
      <c r="E769" s="295" t="s">
        <v>7</v>
      </c>
      <c r="F769" s="127" t="s">
        <v>2946</v>
      </c>
      <c r="G769" s="221" t="s">
        <v>2947</v>
      </c>
      <c r="H769" s="136" t="s">
        <v>1844</v>
      </c>
      <c r="I769" s="144" t="s">
        <v>1843</v>
      </c>
      <c r="J769" s="186" t="s">
        <v>1844</v>
      </c>
      <c r="K769" s="136" t="s">
        <v>1844</v>
      </c>
      <c r="L769" s="136" t="s">
        <v>1844</v>
      </c>
      <c r="M769" s="136" t="s">
        <v>1844</v>
      </c>
      <c r="N769" s="144" t="s">
        <v>1844</v>
      </c>
      <c r="O769" s="144" t="s">
        <v>1844</v>
      </c>
      <c r="P769" s="144" t="s">
        <v>1844</v>
      </c>
      <c r="Q769" s="144" t="s">
        <v>1845</v>
      </c>
      <c r="R769" s="144"/>
      <c r="S769" s="144" t="s">
        <v>1845</v>
      </c>
      <c r="T769" s="144"/>
      <c r="U769" s="144"/>
      <c r="V769" s="144"/>
      <c r="W769" s="144" t="s">
        <v>1845</v>
      </c>
      <c r="X769" s="136"/>
      <c r="Y769" s="136"/>
      <c r="Z769" s="144"/>
      <c r="AA769" s="144"/>
      <c r="AB769" s="144"/>
      <c r="AC769" s="144"/>
      <c r="AD769" s="144"/>
      <c r="AE769" s="144"/>
      <c r="AF769" s="144"/>
      <c r="AG769" s="144"/>
      <c r="AH769" s="144"/>
      <c r="AI769" s="136"/>
      <c r="AJ769" s="316"/>
      <c r="AK769" s="140"/>
      <c r="AL769" s="140"/>
    </row>
    <row r="770" ht="15.75" customHeight="1">
      <c r="A770" s="141">
        <v>769.0</v>
      </c>
      <c r="B770" s="123" t="s">
        <v>1742</v>
      </c>
      <c r="C770" s="250" t="s">
        <v>1840</v>
      </c>
      <c r="D770" s="295" t="s">
        <v>2919</v>
      </c>
      <c r="E770" s="295" t="s">
        <v>34</v>
      </c>
      <c r="F770" s="142" t="s">
        <v>2948</v>
      </c>
      <c r="G770" s="334" t="s">
        <v>2949</v>
      </c>
      <c r="H770" s="136" t="s">
        <v>1844</v>
      </c>
      <c r="I770" s="144" t="s">
        <v>1843</v>
      </c>
      <c r="J770" s="186" t="s">
        <v>1876</v>
      </c>
      <c r="K770" s="136" t="s">
        <v>2348</v>
      </c>
      <c r="L770" s="136" t="s">
        <v>1878</v>
      </c>
      <c r="M770" s="136" t="s">
        <v>1845</v>
      </c>
      <c r="N770" s="144" t="s">
        <v>1844</v>
      </c>
      <c r="O770" s="144" t="s">
        <v>1879</v>
      </c>
      <c r="P770" s="144" t="s">
        <v>1862</v>
      </c>
      <c r="Q770" s="144" t="s">
        <v>1845</v>
      </c>
      <c r="R770" s="144"/>
      <c r="S770" s="144"/>
      <c r="T770" s="144"/>
      <c r="U770" s="144"/>
      <c r="V770" s="144"/>
      <c r="W770" s="144"/>
      <c r="X770" s="136" t="s">
        <v>1845</v>
      </c>
      <c r="Y770" s="136"/>
      <c r="Z770" s="144"/>
      <c r="AA770" s="144"/>
      <c r="AB770" s="144"/>
      <c r="AC770" s="144"/>
      <c r="AD770" s="144"/>
      <c r="AE770" s="144"/>
      <c r="AF770" s="144"/>
      <c r="AG770" s="144"/>
      <c r="AH770" s="144"/>
      <c r="AI770" s="136"/>
      <c r="AJ770" s="316"/>
      <c r="AK770" s="140"/>
      <c r="AL770" s="140"/>
    </row>
    <row r="771" ht="15.75" customHeight="1">
      <c r="A771" s="141">
        <v>770.0</v>
      </c>
      <c r="B771" s="123" t="s">
        <v>1742</v>
      </c>
      <c r="C771" s="250" t="s">
        <v>1840</v>
      </c>
      <c r="D771" s="295" t="s">
        <v>2919</v>
      </c>
      <c r="E771" s="295" t="s">
        <v>34</v>
      </c>
      <c r="F771" s="142" t="s">
        <v>2950</v>
      </c>
      <c r="G771" s="269" t="s">
        <v>2951</v>
      </c>
      <c r="H771" s="186" t="s">
        <v>1844</v>
      </c>
      <c r="I771" s="144" t="s">
        <v>1843</v>
      </c>
      <c r="J771" s="186" t="s">
        <v>1902</v>
      </c>
      <c r="K771" s="136" t="s">
        <v>1877</v>
      </c>
      <c r="L771" s="136" t="s">
        <v>1878</v>
      </c>
      <c r="M771" s="136" t="s">
        <v>1845</v>
      </c>
      <c r="N771" s="144">
        <v>1.0</v>
      </c>
      <c r="O771" s="144" t="s">
        <v>1879</v>
      </c>
      <c r="P771" s="144" t="s">
        <v>1862</v>
      </c>
      <c r="Q771" s="144" t="s">
        <v>1845</v>
      </c>
      <c r="R771" s="144"/>
      <c r="S771" s="144"/>
      <c r="T771" s="144"/>
      <c r="U771" s="144"/>
      <c r="V771" s="144"/>
      <c r="W771" s="144"/>
      <c r="X771" s="136" t="s">
        <v>1845</v>
      </c>
      <c r="Y771" s="136"/>
      <c r="Z771" s="144"/>
      <c r="AA771" s="144"/>
      <c r="AB771" s="144"/>
      <c r="AC771" s="144"/>
      <c r="AD771" s="144"/>
      <c r="AE771" s="144"/>
      <c r="AF771" s="144"/>
      <c r="AG771" s="144"/>
      <c r="AH771" s="144"/>
      <c r="AI771" s="136"/>
      <c r="AJ771" s="316"/>
      <c r="AK771" s="140"/>
      <c r="AL771" s="140"/>
    </row>
    <row r="772" ht="15.75" customHeight="1">
      <c r="A772" s="141">
        <v>771.0</v>
      </c>
      <c r="B772" s="123" t="s">
        <v>1742</v>
      </c>
      <c r="C772" s="250" t="s">
        <v>1840</v>
      </c>
      <c r="D772" s="295" t="s">
        <v>2892</v>
      </c>
      <c r="E772" s="342" t="s">
        <v>34</v>
      </c>
      <c r="F772" s="126" t="s">
        <v>2952</v>
      </c>
      <c r="G772" s="343" t="s">
        <v>2953</v>
      </c>
      <c r="H772" s="136" t="s">
        <v>1844</v>
      </c>
      <c r="I772" s="144" t="s">
        <v>1843</v>
      </c>
      <c r="J772" s="186" t="s">
        <v>1876</v>
      </c>
      <c r="K772" s="136" t="s">
        <v>2348</v>
      </c>
      <c r="L772" s="136" t="s">
        <v>1878</v>
      </c>
      <c r="M772" s="136" t="s">
        <v>1845</v>
      </c>
      <c r="N772" s="144" t="s">
        <v>1844</v>
      </c>
      <c r="O772" s="144" t="s">
        <v>1879</v>
      </c>
      <c r="P772" s="144" t="s">
        <v>1862</v>
      </c>
      <c r="Q772" s="144" t="s">
        <v>1845</v>
      </c>
      <c r="R772" s="144"/>
      <c r="S772" s="144" t="s">
        <v>1845</v>
      </c>
      <c r="T772" s="144"/>
      <c r="U772" s="144"/>
      <c r="V772" s="144"/>
      <c r="W772" s="144"/>
      <c r="X772" s="136"/>
      <c r="Y772" s="136"/>
      <c r="Z772" s="144"/>
      <c r="AA772" s="144"/>
      <c r="AB772" s="144"/>
      <c r="AC772" s="144"/>
      <c r="AD772" s="144"/>
      <c r="AE772" s="144"/>
      <c r="AF772" s="144"/>
      <c r="AG772" s="144"/>
      <c r="AH772" s="144"/>
      <c r="AI772" s="136"/>
      <c r="AJ772" s="316"/>
      <c r="AK772" s="140"/>
      <c r="AL772" s="140"/>
    </row>
    <row r="773" ht="15.75" customHeight="1">
      <c r="A773" s="141">
        <v>772.0</v>
      </c>
      <c r="B773" s="138">
        <f>SUM(A773+10000)</f>
        <v>10772</v>
      </c>
      <c r="C773" s="250" t="s">
        <v>1840</v>
      </c>
      <c r="D773" s="295" t="s">
        <v>2892</v>
      </c>
      <c r="E773" s="295" t="s">
        <v>34</v>
      </c>
      <c r="F773" s="215" t="s">
        <v>2954</v>
      </c>
      <c r="G773" s="334" t="s">
        <v>1388</v>
      </c>
      <c r="H773" s="136" t="s">
        <v>1844</v>
      </c>
      <c r="I773" s="144" t="s">
        <v>1843</v>
      </c>
      <c r="J773" s="186" t="s">
        <v>1902</v>
      </c>
      <c r="K773" s="136" t="s">
        <v>1877</v>
      </c>
      <c r="L773" s="136" t="s">
        <v>1878</v>
      </c>
      <c r="M773" s="136" t="s">
        <v>1845</v>
      </c>
      <c r="N773" s="144">
        <v>1.0</v>
      </c>
      <c r="O773" s="144" t="s">
        <v>1879</v>
      </c>
      <c r="P773" s="144" t="s">
        <v>2654</v>
      </c>
      <c r="Q773" s="144"/>
      <c r="R773" s="144"/>
      <c r="S773" s="144"/>
      <c r="T773" s="144"/>
      <c r="U773" s="144"/>
      <c r="V773" s="144"/>
      <c r="W773" s="144"/>
      <c r="X773" s="136"/>
      <c r="Y773" s="136"/>
      <c r="Z773" s="144"/>
      <c r="AA773" s="144"/>
      <c r="AB773" s="144"/>
      <c r="AC773" s="144"/>
      <c r="AD773" s="144"/>
      <c r="AE773" s="144"/>
      <c r="AF773" s="144"/>
      <c r="AG773" s="144"/>
      <c r="AH773" s="144"/>
      <c r="AI773" s="136"/>
      <c r="AJ773" s="316"/>
      <c r="AK773" s="140"/>
      <c r="AL773" s="140"/>
    </row>
    <row r="774" ht="15.75" customHeight="1">
      <c r="A774" s="141">
        <v>773.0</v>
      </c>
      <c r="B774" s="250" t="s">
        <v>2955</v>
      </c>
      <c r="C774" s="250" t="s">
        <v>1840</v>
      </c>
      <c r="D774" s="295" t="s">
        <v>2892</v>
      </c>
      <c r="E774" s="295" t="s">
        <v>7</v>
      </c>
      <c r="F774" s="142" t="s">
        <v>2956</v>
      </c>
      <c r="G774" s="334" t="s">
        <v>1389</v>
      </c>
      <c r="H774" s="136" t="s">
        <v>1844</v>
      </c>
      <c r="I774" s="144" t="s">
        <v>1843</v>
      </c>
      <c r="J774" s="186" t="s">
        <v>1844</v>
      </c>
      <c r="K774" s="136" t="s">
        <v>1844</v>
      </c>
      <c r="L774" s="136" t="s">
        <v>1844</v>
      </c>
      <c r="M774" s="136" t="s">
        <v>1844</v>
      </c>
      <c r="N774" s="144" t="s">
        <v>1844</v>
      </c>
      <c r="O774" s="144" t="s">
        <v>1844</v>
      </c>
      <c r="P774" s="144" t="s">
        <v>1844</v>
      </c>
      <c r="Q774" s="144" t="s">
        <v>1845</v>
      </c>
      <c r="R774" s="144"/>
      <c r="S774" s="144"/>
      <c r="T774" s="144"/>
      <c r="U774" s="144"/>
      <c r="V774" s="144"/>
      <c r="W774" s="144"/>
      <c r="X774" s="136"/>
      <c r="Y774" s="136"/>
      <c r="Z774" s="144"/>
      <c r="AA774" s="144"/>
      <c r="AB774" s="144"/>
      <c r="AC774" s="144"/>
      <c r="AD774" s="144"/>
      <c r="AE774" s="144"/>
      <c r="AF774" s="144"/>
      <c r="AG774" s="144"/>
      <c r="AH774" s="144"/>
      <c r="AI774" s="136"/>
      <c r="AJ774" s="316"/>
      <c r="AK774" s="140"/>
      <c r="AL774" s="140"/>
    </row>
    <row r="775" ht="15.75" customHeight="1">
      <c r="A775" s="264">
        <v>774.0</v>
      </c>
      <c r="B775" s="123" t="s">
        <v>1742</v>
      </c>
      <c r="C775" s="257" t="s">
        <v>1840</v>
      </c>
      <c r="D775" s="336" t="s">
        <v>2892</v>
      </c>
      <c r="E775" s="336" t="s">
        <v>7</v>
      </c>
      <c r="F775" s="234" t="s">
        <v>2957</v>
      </c>
      <c r="G775" s="263" t="s">
        <v>1390</v>
      </c>
      <c r="H775" s="237" t="s">
        <v>1844</v>
      </c>
      <c r="I775" s="238" t="s">
        <v>1843</v>
      </c>
      <c r="J775" s="236" t="s">
        <v>1844</v>
      </c>
      <c r="K775" s="237" t="s">
        <v>1844</v>
      </c>
      <c r="L775" s="237" t="s">
        <v>1844</v>
      </c>
      <c r="M775" s="237" t="s">
        <v>1844</v>
      </c>
      <c r="N775" s="238" t="s">
        <v>1844</v>
      </c>
      <c r="O775" s="238" t="s">
        <v>1844</v>
      </c>
      <c r="P775" s="238" t="s">
        <v>1844</v>
      </c>
      <c r="Q775" s="238" t="s">
        <v>1845</v>
      </c>
      <c r="R775" s="238"/>
      <c r="S775" s="238"/>
      <c r="T775" s="238"/>
      <c r="U775" s="238"/>
      <c r="V775" s="238"/>
      <c r="W775" s="238"/>
      <c r="X775" s="237"/>
      <c r="Y775" s="237"/>
      <c r="Z775" s="238"/>
      <c r="AA775" s="238"/>
      <c r="AB775" s="238"/>
      <c r="AC775" s="238"/>
      <c r="AD775" s="238"/>
      <c r="AE775" s="238"/>
      <c r="AF775" s="238"/>
      <c r="AG775" s="238"/>
      <c r="AH775" s="238"/>
      <c r="AI775" s="237"/>
      <c r="AJ775" s="338" t="s">
        <v>1845</v>
      </c>
      <c r="AK775" s="140"/>
      <c r="AL775" s="140"/>
    </row>
    <row r="776" ht="15.75" customHeight="1">
      <c r="A776" s="141">
        <v>775.0</v>
      </c>
      <c r="B776" s="138">
        <f>SUM(A776+10000)</f>
        <v>10775</v>
      </c>
      <c r="C776" s="250" t="s">
        <v>1840</v>
      </c>
      <c r="D776" s="295" t="s">
        <v>2892</v>
      </c>
      <c r="E776" s="295" t="s">
        <v>20</v>
      </c>
      <c r="F776" s="269" t="s">
        <v>2958</v>
      </c>
      <c r="G776" s="185" t="s">
        <v>1391</v>
      </c>
      <c r="H776" s="136" t="s">
        <v>1844</v>
      </c>
      <c r="I776" s="144" t="s">
        <v>1906</v>
      </c>
      <c r="J776" s="186" t="s">
        <v>1844</v>
      </c>
      <c r="K776" s="136" t="s">
        <v>1844</v>
      </c>
      <c r="L776" s="136" t="s">
        <v>1844</v>
      </c>
      <c r="M776" s="136" t="s">
        <v>1845</v>
      </c>
      <c r="N776" s="144" t="s">
        <v>1844</v>
      </c>
      <c r="O776" s="144" t="s">
        <v>1844</v>
      </c>
      <c r="P776" s="144" t="s">
        <v>1862</v>
      </c>
      <c r="Q776" s="144"/>
      <c r="R776" s="144"/>
      <c r="S776" s="144"/>
      <c r="T776" s="144"/>
      <c r="U776" s="144"/>
      <c r="V776" s="144" t="s">
        <v>1845</v>
      </c>
      <c r="W776" s="144"/>
      <c r="X776" s="136" t="s">
        <v>1845</v>
      </c>
      <c r="Y776" s="136"/>
      <c r="Z776" s="144"/>
      <c r="AA776" s="144"/>
      <c r="AB776" s="144"/>
      <c r="AC776" s="144"/>
      <c r="AD776" s="144"/>
      <c r="AE776" s="144"/>
      <c r="AF776" s="144"/>
      <c r="AG776" s="144"/>
      <c r="AH776" s="144"/>
      <c r="AI776" s="136"/>
      <c r="AJ776" s="316"/>
      <c r="AK776" s="140"/>
      <c r="AL776" s="140"/>
    </row>
    <row r="777" ht="15.75" customHeight="1">
      <c r="A777" s="233">
        <v>776.0</v>
      </c>
      <c r="B777" s="123" t="s">
        <v>1742</v>
      </c>
      <c r="C777" s="344" t="s">
        <v>1840</v>
      </c>
      <c r="D777" s="241" t="s">
        <v>2892</v>
      </c>
      <c r="E777" s="241" t="s">
        <v>7</v>
      </c>
      <c r="F777" s="234" t="s">
        <v>2959</v>
      </c>
      <c r="G777" s="263" t="s">
        <v>1393</v>
      </c>
      <c r="H777" s="235" t="s">
        <v>1844</v>
      </c>
      <c r="I777" s="239" t="s">
        <v>1843</v>
      </c>
      <c r="J777" s="236" t="s">
        <v>1844</v>
      </c>
      <c r="K777" s="237" t="s">
        <v>1844</v>
      </c>
      <c r="L777" s="237" t="s">
        <v>1844</v>
      </c>
      <c r="M777" s="237" t="s">
        <v>1844</v>
      </c>
      <c r="N777" s="238" t="s">
        <v>1844</v>
      </c>
      <c r="O777" s="239" t="s">
        <v>1844</v>
      </c>
      <c r="P777" s="239" t="s">
        <v>1844</v>
      </c>
      <c r="Q777" s="239" t="s">
        <v>1845</v>
      </c>
      <c r="R777" s="238"/>
      <c r="S777" s="239" t="s">
        <v>1845</v>
      </c>
      <c r="T777" s="239"/>
      <c r="U777" s="239"/>
      <c r="V777" s="239"/>
      <c r="W777" s="238"/>
      <c r="X777" s="237"/>
      <c r="Y777" s="235"/>
      <c r="Z777" s="239"/>
      <c r="AA777" s="239"/>
      <c r="AB777" s="238"/>
      <c r="AC777" s="238"/>
      <c r="AD777" s="238"/>
      <c r="AE777" s="239"/>
      <c r="AF777" s="239"/>
      <c r="AG777" s="238"/>
      <c r="AH777" s="238"/>
      <c r="AI777" s="237"/>
      <c r="AJ777" s="338" t="s">
        <v>1845</v>
      </c>
      <c r="AK777" s="140"/>
      <c r="AL777" s="140"/>
    </row>
    <row r="778" ht="15.75" customHeight="1">
      <c r="A778" s="264">
        <v>777.0</v>
      </c>
      <c r="B778" s="123" t="s">
        <v>1742</v>
      </c>
      <c r="C778" s="257" t="s">
        <v>1840</v>
      </c>
      <c r="D778" s="336" t="s">
        <v>2892</v>
      </c>
      <c r="E778" s="345" t="s">
        <v>34</v>
      </c>
      <c r="F778" s="346" t="s">
        <v>2960</v>
      </c>
      <c r="G778" s="347" t="s">
        <v>2961</v>
      </c>
      <c r="H778" s="236" t="s">
        <v>1844</v>
      </c>
      <c r="I778" s="238" t="s">
        <v>1843</v>
      </c>
      <c r="J778" s="236" t="s">
        <v>1902</v>
      </c>
      <c r="K778" s="237" t="s">
        <v>1877</v>
      </c>
      <c r="L778" s="237" t="s">
        <v>1844</v>
      </c>
      <c r="M778" s="237" t="s">
        <v>1845</v>
      </c>
      <c r="N778" s="238">
        <v>1.0</v>
      </c>
      <c r="O778" s="238" t="s">
        <v>1879</v>
      </c>
      <c r="P778" s="238" t="s">
        <v>1862</v>
      </c>
      <c r="Q778" s="238" t="s">
        <v>1845</v>
      </c>
      <c r="R778" s="238"/>
      <c r="S778" s="238"/>
      <c r="T778" s="238"/>
      <c r="U778" s="238"/>
      <c r="V778" s="238"/>
      <c r="W778" s="238"/>
      <c r="X778" s="237"/>
      <c r="Y778" s="237"/>
      <c r="Z778" s="238"/>
      <c r="AA778" s="238"/>
      <c r="AB778" s="238"/>
      <c r="AC778" s="238"/>
      <c r="AD778" s="238"/>
      <c r="AE778" s="238"/>
      <c r="AF778" s="238"/>
      <c r="AG778" s="238"/>
      <c r="AH778" s="238"/>
      <c r="AI778" s="237"/>
      <c r="AJ778" s="338" t="s">
        <v>1845</v>
      </c>
      <c r="AK778" s="140"/>
      <c r="AL778" s="140"/>
    </row>
    <row r="779" ht="15.75" customHeight="1">
      <c r="A779" s="141">
        <v>778.0</v>
      </c>
      <c r="B779" s="123" t="s">
        <v>1742</v>
      </c>
      <c r="C779" s="250" t="s">
        <v>1840</v>
      </c>
      <c r="D779" s="295" t="s">
        <v>2892</v>
      </c>
      <c r="E779" s="342" t="s">
        <v>34</v>
      </c>
      <c r="F779" s="126" t="s">
        <v>2962</v>
      </c>
      <c r="G779" s="343" t="s">
        <v>2963</v>
      </c>
      <c r="H779" s="136" t="s">
        <v>1844</v>
      </c>
      <c r="I779" s="144" t="s">
        <v>1843</v>
      </c>
      <c r="J779" s="186" t="s">
        <v>1876</v>
      </c>
      <c r="K779" s="136" t="s">
        <v>2348</v>
      </c>
      <c r="L779" s="136" t="s">
        <v>1878</v>
      </c>
      <c r="M779" s="136" t="s">
        <v>1845</v>
      </c>
      <c r="N779" s="144" t="s">
        <v>1844</v>
      </c>
      <c r="O779" s="144" t="s">
        <v>1879</v>
      </c>
      <c r="P779" s="144" t="s">
        <v>1862</v>
      </c>
      <c r="Q779" s="144" t="s">
        <v>1845</v>
      </c>
      <c r="R779" s="144"/>
      <c r="S779" s="144" t="s">
        <v>1845</v>
      </c>
      <c r="T779" s="144"/>
      <c r="U779" s="144"/>
      <c r="V779" s="144"/>
      <c r="W779" s="144"/>
      <c r="X779" s="136" t="s">
        <v>1845</v>
      </c>
      <c r="Y779" s="136"/>
      <c r="Z779" s="144"/>
      <c r="AA779" s="144"/>
      <c r="AB779" s="144"/>
      <c r="AC779" s="144"/>
      <c r="AD779" s="144"/>
      <c r="AE779" s="144"/>
      <c r="AF779" s="144"/>
      <c r="AG779" s="144"/>
      <c r="AH779" s="144"/>
      <c r="AI779" s="136"/>
      <c r="AJ779" s="316"/>
      <c r="AK779" s="140"/>
      <c r="AL779" s="140"/>
    </row>
    <row r="780" ht="15.75" customHeight="1">
      <c r="A780" s="264">
        <v>779.0</v>
      </c>
      <c r="B780" s="138">
        <f>SUM(A780+10000)</f>
        <v>10779</v>
      </c>
      <c r="C780" s="257" t="s">
        <v>1840</v>
      </c>
      <c r="D780" s="336" t="s">
        <v>2892</v>
      </c>
      <c r="E780" s="336" t="s">
        <v>7</v>
      </c>
      <c r="F780" s="348" t="s">
        <v>2964</v>
      </c>
      <c r="G780" s="263" t="s">
        <v>1396</v>
      </c>
      <c r="H780" s="237" t="s">
        <v>1844</v>
      </c>
      <c r="I780" s="238" t="s">
        <v>1843</v>
      </c>
      <c r="J780" s="236" t="s">
        <v>1844</v>
      </c>
      <c r="K780" s="237" t="s">
        <v>1844</v>
      </c>
      <c r="L780" s="237" t="s">
        <v>1844</v>
      </c>
      <c r="M780" s="237" t="s">
        <v>1844</v>
      </c>
      <c r="N780" s="238" t="s">
        <v>1844</v>
      </c>
      <c r="O780" s="238" t="s">
        <v>1844</v>
      </c>
      <c r="P780" s="238" t="s">
        <v>1844</v>
      </c>
      <c r="Q780" s="238"/>
      <c r="R780" s="238"/>
      <c r="S780" s="238"/>
      <c r="T780" s="238"/>
      <c r="U780" s="238"/>
      <c r="V780" s="238"/>
      <c r="W780" s="238"/>
      <c r="X780" s="237" t="s">
        <v>1845</v>
      </c>
      <c r="Y780" s="237"/>
      <c r="Z780" s="238"/>
      <c r="AA780" s="238"/>
      <c r="AB780" s="238"/>
      <c r="AC780" s="238"/>
      <c r="AD780" s="238"/>
      <c r="AE780" s="238"/>
      <c r="AF780" s="238"/>
      <c r="AG780" s="238"/>
      <c r="AH780" s="238"/>
      <c r="AI780" s="237"/>
      <c r="AJ780" s="338" t="s">
        <v>1845</v>
      </c>
      <c r="AK780" s="140"/>
      <c r="AL780" s="140"/>
    </row>
    <row r="781" ht="15.75" customHeight="1">
      <c r="A781" s="125">
        <v>780.0</v>
      </c>
      <c r="B781" s="123" t="s">
        <v>1742</v>
      </c>
      <c r="C781" s="250" t="s">
        <v>1840</v>
      </c>
      <c r="D781" s="122" t="s">
        <v>2892</v>
      </c>
      <c r="E781" s="122" t="s">
        <v>20</v>
      </c>
      <c r="F781" s="127" t="s">
        <v>2965</v>
      </c>
      <c r="G781" s="126" t="s">
        <v>2966</v>
      </c>
      <c r="H781" s="128" t="s">
        <v>1844</v>
      </c>
      <c r="I781" s="140" t="s">
        <v>1843</v>
      </c>
      <c r="J781" s="149" t="s">
        <v>1844</v>
      </c>
      <c r="K781" s="136" t="s">
        <v>1844</v>
      </c>
      <c r="L781" s="128" t="s">
        <v>1844</v>
      </c>
      <c r="M781" s="128" t="s">
        <v>1845</v>
      </c>
      <c r="N781" s="140" t="s">
        <v>1844</v>
      </c>
      <c r="O781" s="140" t="s">
        <v>1844</v>
      </c>
      <c r="P781" s="140" t="s">
        <v>1862</v>
      </c>
      <c r="Q781" s="140" t="s">
        <v>1845</v>
      </c>
      <c r="R781" s="144"/>
      <c r="S781" s="140"/>
      <c r="T781" s="140"/>
      <c r="U781" s="140"/>
      <c r="V781" s="140"/>
      <c r="W781" s="144"/>
      <c r="X781" s="128"/>
      <c r="Y781" s="128"/>
      <c r="Z781" s="140"/>
      <c r="AA781" s="140"/>
      <c r="AB781" s="140"/>
      <c r="AC781" s="140"/>
      <c r="AD781" s="140"/>
      <c r="AE781" s="140"/>
      <c r="AF781" s="140"/>
      <c r="AG781" s="140"/>
      <c r="AH781" s="140"/>
      <c r="AI781" s="128"/>
      <c r="AJ781" s="137"/>
      <c r="AK781" s="140"/>
      <c r="AL781" s="140"/>
    </row>
    <row r="782" ht="15.75" customHeight="1">
      <c r="A782" s="141">
        <v>781.0</v>
      </c>
      <c r="B782" s="138">
        <f t="shared" ref="B782:B786" si="80">SUM(A782+10000)</f>
        <v>10781</v>
      </c>
      <c r="C782" s="250" t="s">
        <v>1840</v>
      </c>
      <c r="D782" s="295" t="s">
        <v>2892</v>
      </c>
      <c r="E782" s="295" t="s">
        <v>20</v>
      </c>
      <c r="F782" s="142" t="s">
        <v>2967</v>
      </c>
      <c r="G782" s="185" t="s">
        <v>1399</v>
      </c>
      <c r="H782" s="136" t="s">
        <v>1844</v>
      </c>
      <c r="I782" s="144" t="s">
        <v>1843</v>
      </c>
      <c r="J782" s="186" t="s">
        <v>1844</v>
      </c>
      <c r="K782" s="136" t="s">
        <v>1844</v>
      </c>
      <c r="L782" s="136" t="s">
        <v>1844</v>
      </c>
      <c r="M782" s="136" t="s">
        <v>1845</v>
      </c>
      <c r="N782" s="144" t="s">
        <v>1844</v>
      </c>
      <c r="O782" s="144" t="s">
        <v>1844</v>
      </c>
      <c r="P782" s="144" t="s">
        <v>1862</v>
      </c>
      <c r="Q782" s="144"/>
      <c r="R782" s="144"/>
      <c r="S782" s="144" t="s">
        <v>1845</v>
      </c>
      <c r="T782" s="144"/>
      <c r="U782" s="144"/>
      <c r="V782" s="144"/>
      <c r="W782" s="144"/>
      <c r="X782" s="136"/>
      <c r="Y782" s="136"/>
      <c r="Z782" s="144"/>
      <c r="AA782" s="144"/>
      <c r="AB782" s="144"/>
      <c r="AC782" s="144"/>
      <c r="AD782" s="144"/>
      <c r="AE782" s="144"/>
      <c r="AF782" s="144"/>
      <c r="AG782" s="144"/>
      <c r="AH782" s="144"/>
      <c r="AI782" s="136"/>
      <c r="AJ782" s="316"/>
      <c r="AK782" s="140"/>
      <c r="AL782" s="140"/>
    </row>
    <row r="783" ht="15.75" customHeight="1">
      <c r="A783" s="141">
        <v>782.0</v>
      </c>
      <c r="B783" s="138">
        <f t="shared" si="80"/>
        <v>10782</v>
      </c>
      <c r="C783" s="250" t="s">
        <v>1840</v>
      </c>
      <c r="D783" s="295" t="s">
        <v>2892</v>
      </c>
      <c r="E783" s="295" t="s">
        <v>20</v>
      </c>
      <c r="F783" s="269" t="s">
        <v>2968</v>
      </c>
      <c r="G783" s="269" t="s">
        <v>2969</v>
      </c>
      <c r="H783" s="136" t="s">
        <v>1844</v>
      </c>
      <c r="I783" s="144" t="s">
        <v>1843</v>
      </c>
      <c r="J783" s="186" t="s">
        <v>1844</v>
      </c>
      <c r="K783" s="136" t="s">
        <v>1844</v>
      </c>
      <c r="L783" s="136" t="s">
        <v>1844</v>
      </c>
      <c r="M783" s="136" t="s">
        <v>1845</v>
      </c>
      <c r="N783" s="144" t="s">
        <v>1844</v>
      </c>
      <c r="O783" s="144" t="s">
        <v>1844</v>
      </c>
      <c r="P783" s="144" t="s">
        <v>1862</v>
      </c>
      <c r="Q783" s="144"/>
      <c r="R783" s="144"/>
      <c r="S783" s="144"/>
      <c r="T783" s="144" t="s">
        <v>1845</v>
      </c>
      <c r="U783" s="144"/>
      <c r="V783" s="144"/>
      <c r="W783" s="144"/>
      <c r="X783" s="136"/>
      <c r="Y783" s="136"/>
      <c r="Z783" s="144"/>
      <c r="AA783" s="144"/>
      <c r="AB783" s="144"/>
      <c r="AC783" s="144"/>
      <c r="AD783" s="144"/>
      <c r="AE783" s="144"/>
      <c r="AF783" s="144"/>
      <c r="AG783" s="144"/>
      <c r="AH783" s="144"/>
      <c r="AI783" s="136"/>
      <c r="AJ783" s="316"/>
      <c r="AK783" s="140"/>
      <c r="AL783" s="140"/>
    </row>
    <row r="784" ht="15.75" customHeight="1">
      <c r="A784" s="141">
        <v>783.0</v>
      </c>
      <c r="B784" s="138">
        <f t="shared" si="80"/>
        <v>10783</v>
      </c>
      <c r="C784" s="250" t="s">
        <v>1840</v>
      </c>
      <c r="D784" s="295" t="s">
        <v>2892</v>
      </c>
      <c r="E784" s="295" t="s">
        <v>27</v>
      </c>
      <c r="F784" s="142" t="s">
        <v>2970</v>
      </c>
      <c r="G784" s="334" t="s">
        <v>2971</v>
      </c>
      <c r="H784" s="136" t="s">
        <v>1844</v>
      </c>
      <c r="I784" s="144" t="s">
        <v>1843</v>
      </c>
      <c r="J784" s="186" t="s">
        <v>1844</v>
      </c>
      <c r="K784" s="136" t="s">
        <v>1844</v>
      </c>
      <c r="L784" s="136" t="s">
        <v>1844</v>
      </c>
      <c r="M784" s="136" t="s">
        <v>1845</v>
      </c>
      <c r="N784" s="144" t="s">
        <v>1844</v>
      </c>
      <c r="O784" s="144" t="s">
        <v>1844</v>
      </c>
      <c r="P784" s="144" t="s">
        <v>1862</v>
      </c>
      <c r="Q784" s="144"/>
      <c r="R784" s="144"/>
      <c r="S784" s="144"/>
      <c r="T784" s="144" t="s">
        <v>1845</v>
      </c>
      <c r="U784" s="144"/>
      <c r="V784" s="144"/>
      <c r="W784" s="144"/>
      <c r="X784" s="136"/>
      <c r="Y784" s="136"/>
      <c r="Z784" s="144"/>
      <c r="AA784" s="144"/>
      <c r="AB784" s="144"/>
      <c r="AC784" s="144"/>
      <c r="AD784" s="144"/>
      <c r="AE784" s="144"/>
      <c r="AF784" s="144" t="s">
        <v>1845</v>
      </c>
      <c r="AG784" s="144"/>
      <c r="AH784" s="144"/>
      <c r="AI784" s="136"/>
      <c r="AJ784" s="316"/>
      <c r="AK784" s="140"/>
      <c r="AL784" s="140"/>
    </row>
    <row r="785" ht="15.75" customHeight="1">
      <c r="A785" s="141">
        <v>784.0</v>
      </c>
      <c r="B785" s="138">
        <f t="shared" si="80"/>
        <v>10784</v>
      </c>
      <c r="C785" s="141" t="s">
        <v>1840</v>
      </c>
      <c r="D785" s="295" t="s">
        <v>2892</v>
      </c>
      <c r="E785" s="295" t="s">
        <v>20</v>
      </c>
      <c r="F785" s="269" t="s">
        <v>2972</v>
      </c>
      <c r="G785" s="126" t="s">
        <v>1405</v>
      </c>
      <c r="H785" s="136" t="s">
        <v>1844</v>
      </c>
      <c r="I785" s="144" t="s">
        <v>1843</v>
      </c>
      <c r="J785" s="186" t="s">
        <v>1844</v>
      </c>
      <c r="K785" s="136" t="s">
        <v>1844</v>
      </c>
      <c r="L785" s="136" t="s">
        <v>1844</v>
      </c>
      <c r="M785" s="136" t="s">
        <v>1845</v>
      </c>
      <c r="N785" s="144" t="s">
        <v>1844</v>
      </c>
      <c r="O785" s="144" t="s">
        <v>1844</v>
      </c>
      <c r="P785" s="144" t="s">
        <v>1862</v>
      </c>
      <c r="Q785" s="144"/>
      <c r="R785" s="144"/>
      <c r="S785" s="144" t="s">
        <v>1845</v>
      </c>
      <c r="T785" s="144" t="s">
        <v>1845</v>
      </c>
      <c r="U785" s="144"/>
      <c r="V785" s="144"/>
      <c r="W785" s="144"/>
      <c r="X785" s="136"/>
      <c r="Y785" s="136"/>
      <c r="Z785" s="144"/>
      <c r="AA785" s="144"/>
      <c r="AB785" s="144"/>
      <c r="AC785" s="144"/>
      <c r="AD785" s="144"/>
      <c r="AE785" s="144"/>
      <c r="AF785" s="144" t="s">
        <v>1845</v>
      </c>
      <c r="AG785" s="144"/>
      <c r="AH785" s="144"/>
      <c r="AI785" s="136"/>
      <c r="AJ785" s="316"/>
      <c r="AK785" s="140"/>
      <c r="AL785" s="140"/>
    </row>
    <row r="786" ht="15.75" customHeight="1">
      <c r="A786" s="141">
        <v>785.0</v>
      </c>
      <c r="B786" s="138">
        <f t="shared" si="80"/>
        <v>10785</v>
      </c>
      <c r="C786" s="141" t="s">
        <v>1840</v>
      </c>
      <c r="D786" s="295" t="s">
        <v>2892</v>
      </c>
      <c r="E786" s="303" t="s">
        <v>34</v>
      </c>
      <c r="F786" s="269" t="s">
        <v>2973</v>
      </c>
      <c r="G786" s="269" t="s">
        <v>1406</v>
      </c>
      <c r="H786" s="136" t="s">
        <v>1844</v>
      </c>
      <c r="I786" s="144" t="s">
        <v>1843</v>
      </c>
      <c r="J786" s="186" t="s">
        <v>1876</v>
      </c>
      <c r="K786" s="136" t="s">
        <v>2348</v>
      </c>
      <c r="L786" s="136" t="s">
        <v>1878</v>
      </c>
      <c r="M786" s="136" t="s">
        <v>1845</v>
      </c>
      <c r="N786" s="144" t="s">
        <v>1844</v>
      </c>
      <c r="O786" s="144" t="s">
        <v>1879</v>
      </c>
      <c r="P786" s="144" t="s">
        <v>1862</v>
      </c>
      <c r="Q786" s="144"/>
      <c r="R786" s="144"/>
      <c r="S786" s="144" t="s">
        <v>1845</v>
      </c>
      <c r="T786" s="144" t="s">
        <v>1845</v>
      </c>
      <c r="U786" s="144"/>
      <c r="V786" s="144"/>
      <c r="W786" s="144"/>
      <c r="X786" s="136"/>
      <c r="Y786" s="136"/>
      <c r="Z786" s="144"/>
      <c r="AA786" s="144"/>
      <c r="AB786" s="144"/>
      <c r="AC786" s="144"/>
      <c r="AD786" s="144"/>
      <c r="AE786" s="144"/>
      <c r="AF786" s="144"/>
      <c r="AG786" s="144"/>
      <c r="AH786" s="144"/>
      <c r="AI786" s="136"/>
      <c r="AJ786" s="316"/>
      <c r="AK786" s="140"/>
      <c r="AL786" s="140"/>
    </row>
    <row r="787" ht="15.75" customHeight="1">
      <c r="A787" s="141">
        <v>786.0</v>
      </c>
      <c r="B787" s="123" t="s">
        <v>1742</v>
      </c>
      <c r="C787" s="141" t="s">
        <v>1840</v>
      </c>
      <c r="D787" s="295" t="s">
        <v>2892</v>
      </c>
      <c r="E787" s="295" t="s">
        <v>7</v>
      </c>
      <c r="F787" s="269" t="s">
        <v>2974</v>
      </c>
      <c r="G787" s="269" t="s">
        <v>1407</v>
      </c>
      <c r="H787" s="136" t="s">
        <v>1844</v>
      </c>
      <c r="I787" s="144" t="s">
        <v>1843</v>
      </c>
      <c r="J787" s="186" t="s">
        <v>1844</v>
      </c>
      <c r="K787" s="136" t="s">
        <v>1844</v>
      </c>
      <c r="L787" s="136" t="s">
        <v>1844</v>
      </c>
      <c r="M787" s="136" t="s">
        <v>1844</v>
      </c>
      <c r="N787" s="144" t="s">
        <v>1844</v>
      </c>
      <c r="O787" s="144" t="s">
        <v>1844</v>
      </c>
      <c r="P787" s="144" t="s">
        <v>1844</v>
      </c>
      <c r="Q787" s="144" t="s">
        <v>1845</v>
      </c>
      <c r="R787" s="144"/>
      <c r="S787" s="144" t="s">
        <v>1845</v>
      </c>
      <c r="T787" s="144" t="s">
        <v>1845</v>
      </c>
      <c r="U787" s="144"/>
      <c r="V787" s="144"/>
      <c r="W787" s="144"/>
      <c r="X787" s="136"/>
      <c r="Y787" s="136"/>
      <c r="Z787" s="144"/>
      <c r="AA787" s="144"/>
      <c r="AB787" s="144"/>
      <c r="AC787" s="144"/>
      <c r="AD787" s="144"/>
      <c r="AE787" s="144"/>
      <c r="AF787" s="144"/>
      <c r="AG787" s="144"/>
      <c r="AH787" s="144"/>
      <c r="AI787" s="136"/>
      <c r="AJ787" s="316"/>
      <c r="AK787" s="140"/>
      <c r="AL787" s="140"/>
    </row>
    <row r="788" ht="15.75" customHeight="1">
      <c r="A788" s="141">
        <v>787.0</v>
      </c>
      <c r="B788" s="138">
        <f t="shared" ref="B788:B793" si="81">SUM(A788+10000)</f>
        <v>10787</v>
      </c>
      <c r="C788" s="141" t="s">
        <v>1840</v>
      </c>
      <c r="D788" s="295" t="s">
        <v>2892</v>
      </c>
      <c r="E788" s="295" t="s">
        <v>7</v>
      </c>
      <c r="F788" s="127" t="s">
        <v>2975</v>
      </c>
      <c r="G788" s="269" t="s">
        <v>1408</v>
      </c>
      <c r="H788" s="136" t="s">
        <v>1844</v>
      </c>
      <c r="I788" s="144" t="s">
        <v>1906</v>
      </c>
      <c r="J788" s="186" t="s">
        <v>1844</v>
      </c>
      <c r="K788" s="136" t="s">
        <v>1844</v>
      </c>
      <c r="L788" s="136" t="s">
        <v>1844</v>
      </c>
      <c r="M788" s="136" t="s">
        <v>1844</v>
      </c>
      <c r="N788" s="144" t="s">
        <v>1844</v>
      </c>
      <c r="O788" s="144" t="s">
        <v>1844</v>
      </c>
      <c r="P788" s="144" t="s">
        <v>1844</v>
      </c>
      <c r="Q788" s="144"/>
      <c r="R788" s="144"/>
      <c r="S788" s="144"/>
      <c r="T788" s="144"/>
      <c r="U788" s="144" t="s">
        <v>1845</v>
      </c>
      <c r="V788" s="144" t="s">
        <v>1845</v>
      </c>
      <c r="W788" s="144"/>
      <c r="X788" s="136"/>
      <c r="Y788" s="136"/>
      <c r="Z788" s="144"/>
      <c r="AA788" s="144"/>
      <c r="AB788" s="144"/>
      <c r="AC788" s="144"/>
      <c r="AD788" s="144"/>
      <c r="AE788" s="144"/>
      <c r="AF788" s="144"/>
      <c r="AG788" s="144"/>
      <c r="AH788" s="144"/>
      <c r="AI788" s="136"/>
      <c r="AJ788" s="316"/>
      <c r="AK788" s="140"/>
      <c r="AL788" s="140"/>
    </row>
    <row r="789" ht="15.75" customHeight="1">
      <c r="A789" s="141">
        <v>788.0</v>
      </c>
      <c r="B789" s="138">
        <f t="shared" si="81"/>
        <v>10788</v>
      </c>
      <c r="C789" s="141" t="s">
        <v>1840</v>
      </c>
      <c r="D789" s="295" t="s">
        <v>2892</v>
      </c>
      <c r="E789" s="342" t="s">
        <v>34</v>
      </c>
      <c r="F789" s="126" t="s">
        <v>2976</v>
      </c>
      <c r="G789" s="333" t="s">
        <v>1410</v>
      </c>
      <c r="H789" s="136" t="s">
        <v>1844</v>
      </c>
      <c r="I789" s="144" t="s">
        <v>1843</v>
      </c>
      <c r="J789" s="186" t="s">
        <v>1876</v>
      </c>
      <c r="K789" s="136" t="s">
        <v>2348</v>
      </c>
      <c r="L789" s="136" t="s">
        <v>1844</v>
      </c>
      <c r="M789" s="136" t="s">
        <v>1845</v>
      </c>
      <c r="N789" s="144" t="s">
        <v>1844</v>
      </c>
      <c r="O789" s="144" t="s">
        <v>1879</v>
      </c>
      <c r="P789" s="144" t="s">
        <v>1862</v>
      </c>
      <c r="Q789" s="144"/>
      <c r="R789" s="144"/>
      <c r="S789" s="144" t="s">
        <v>1845</v>
      </c>
      <c r="T789" s="144" t="s">
        <v>1845</v>
      </c>
      <c r="U789" s="144"/>
      <c r="V789" s="144"/>
      <c r="W789" s="144"/>
      <c r="X789" s="136" t="s">
        <v>1845</v>
      </c>
      <c r="Y789" s="136"/>
      <c r="Z789" s="144"/>
      <c r="AA789" s="144"/>
      <c r="AB789" s="144"/>
      <c r="AC789" s="144"/>
      <c r="AD789" s="144"/>
      <c r="AE789" s="144"/>
      <c r="AF789" s="144"/>
      <c r="AG789" s="144"/>
      <c r="AH789" s="144"/>
      <c r="AI789" s="136"/>
      <c r="AJ789" s="316"/>
      <c r="AK789" s="140"/>
      <c r="AL789" s="140"/>
    </row>
    <row r="790" ht="15.75" customHeight="1">
      <c r="A790" s="141">
        <v>789.0</v>
      </c>
      <c r="B790" s="138">
        <f t="shared" si="81"/>
        <v>10789</v>
      </c>
      <c r="C790" s="141" t="s">
        <v>1840</v>
      </c>
      <c r="D790" s="295" t="s">
        <v>2892</v>
      </c>
      <c r="E790" s="295" t="s">
        <v>7</v>
      </c>
      <c r="F790" s="349" t="s">
        <v>2977</v>
      </c>
      <c r="G790" s="271" t="s">
        <v>1411</v>
      </c>
      <c r="H790" s="136" t="s">
        <v>1844</v>
      </c>
      <c r="I790" s="144" t="s">
        <v>1843</v>
      </c>
      <c r="J790" s="186" t="s">
        <v>1844</v>
      </c>
      <c r="K790" s="136" t="s">
        <v>1844</v>
      </c>
      <c r="L790" s="136" t="s">
        <v>1844</v>
      </c>
      <c r="M790" s="136" t="s">
        <v>1844</v>
      </c>
      <c r="N790" s="144" t="s">
        <v>1844</v>
      </c>
      <c r="O790" s="144" t="s">
        <v>1844</v>
      </c>
      <c r="P790" s="144" t="s">
        <v>1844</v>
      </c>
      <c r="Q790" s="144"/>
      <c r="R790" s="144"/>
      <c r="S790" s="144" t="s">
        <v>1845</v>
      </c>
      <c r="T790" s="144"/>
      <c r="U790" s="144"/>
      <c r="V790" s="144"/>
      <c r="W790" s="144"/>
      <c r="X790" s="136"/>
      <c r="Y790" s="136"/>
      <c r="Z790" s="144"/>
      <c r="AA790" s="144"/>
      <c r="AB790" s="144"/>
      <c r="AC790" s="144"/>
      <c r="AD790" s="144"/>
      <c r="AE790" s="144"/>
      <c r="AF790" s="144"/>
      <c r="AG790" s="144"/>
      <c r="AH790" s="144"/>
      <c r="AI790" s="136" t="s">
        <v>1845</v>
      </c>
      <c r="AJ790" s="137"/>
      <c r="AK790" s="140"/>
      <c r="AL790" s="140"/>
    </row>
    <row r="791" ht="15.75" customHeight="1">
      <c r="A791" s="233">
        <v>790.0</v>
      </c>
      <c r="B791" s="138">
        <f t="shared" si="81"/>
        <v>10790</v>
      </c>
      <c r="C791" s="233" t="s">
        <v>1840</v>
      </c>
      <c r="D791" s="241" t="s">
        <v>2892</v>
      </c>
      <c r="E791" s="241" t="s">
        <v>7</v>
      </c>
      <c r="F791" s="219" t="s">
        <v>2978</v>
      </c>
      <c r="G791" s="242" t="s">
        <v>1412</v>
      </c>
      <c r="H791" s="235" t="s">
        <v>1844</v>
      </c>
      <c r="I791" s="239" t="s">
        <v>1906</v>
      </c>
      <c r="J791" s="236" t="s">
        <v>1844</v>
      </c>
      <c r="K791" s="237" t="s">
        <v>1844</v>
      </c>
      <c r="L791" s="237" t="s">
        <v>1844</v>
      </c>
      <c r="M791" s="237" t="s">
        <v>1844</v>
      </c>
      <c r="N791" s="238" t="s">
        <v>1844</v>
      </c>
      <c r="O791" s="239" t="s">
        <v>1844</v>
      </c>
      <c r="P791" s="239" t="s">
        <v>1844</v>
      </c>
      <c r="Q791" s="239"/>
      <c r="R791" s="238"/>
      <c r="S791" s="239" t="s">
        <v>1845</v>
      </c>
      <c r="T791" s="239"/>
      <c r="U791" s="239" t="s">
        <v>1845</v>
      </c>
      <c r="V791" s="239"/>
      <c r="W791" s="238"/>
      <c r="X791" s="237"/>
      <c r="Y791" s="235"/>
      <c r="Z791" s="239"/>
      <c r="AA791" s="239"/>
      <c r="AB791" s="238"/>
      <c r="AC791" s="238"/>
      <c r="AD791" s="238"/>
      <c r="AE791" s="239"/>
      <c r="AF791" s="239"/>
      <c r="AG791" s="238"/>
      <c r="AH791" s="238"/>
      <c r="AI791" s="237"/>
      <c r="AJ791" s="338" t="s">
        <v>1845</v>
      </c>
      <c r="AK791" s="140"/>
      <c r="AL791" s="140"/>
    </row>
    <row r="792" ht="15.75" customHeight="1">
      <c r="A792" s="141">
        <v>791.0</v>
      </c>
      <c r="B792" s="138">
        <f t="shared" si="81"/>
        <v>10791</v>
      </c>
      <c r="C792" s="141" t="s">
        <v>1840</v>
      </c>
      <c r="D792" s="295" t="str">
        <f t="array" ref="D792">INDEX(TEXTSPLIT(#REF!, "_"), 2)</f>
        <v>#NAME?</v>
      </c>
      <c r="E792" s="295" t="s">
        <v>34</v>
      </c>
      <c r="F792" s="142" t="s">
        <v>2979</v>
      </c>
      <c r="G792" s="185" t="s">
        <v>1413</v>
      </c>
      <c r="H792" s="136" t="s">
        <v>1844</v>
      </c>
      <c r="I792" s="144" t="s">
        <v>1843</v>
      </c>
      <c r="J792" s="186" t="s">
        <v>1876</v>
      </c>
      <c r="K792" s="136" t="s">
        <v>2348</v>
      </c>
      <c r="L792" s="136" t="s">
        <v>1990</v>
      </c>
      <c r="M792" s="136" t="s">
        <v>1845</v>
      </c>
      <c r="N792" s="144" t="s">
        <v>1844</v>
      </c>
      <c r="O792" s="144" t="s">
        <v>1879</v>
      </c>
      <c r="P792" s="144" t="s">
        <v>1862</v>
      </c>
      <c r="Q792" s="144"/>
      <c r="R792" s="144"/>
      <c r="S792" s="144" t="s">
        <v>1845</v>
      </c>
      <c r="T792" s="144"/>
      <c r="U792" s="144"/>
      <c r="V792" s="144"/>
      <c r="W792" s="144"/>
      <c r="X792" s="136" t="s">
        <v>1845</v>
      </c>
      <c r="Y792" s="136"/>
      <c r="Z792" s="144"/>
      <c r="AA792" s="144"/>
      <c r="AB792" s="144"/>
      <c r="AC792" s="144"/>
      <c r="AD792" s="144"/>
      <c r="AE792" s="144"/>
      <c r="AF792" s="144"/>
      <c r="AG792" s="144"/>
      <c r="AH792" s="144"/>
      <c r="AI792" s="136"/>
      <c r="AJ792" s="316"/>
      <c r="AK792" s="140"/>
      <c r="AL792" s="140"/>
    </row>
    <row r="793" ht="15.75" customHeight="1">
      <c r="A793" s="233">
        <v>792.0</v>
      </c>
      <c r="B793" s="138">
        <f t="shared" si="81"/>
        <v>10792</v>
      </c>
      <c r="C793" s="264" t="s">
        <v>1840</v>
      </c>
      <c r="D793" s="241" t="s">
        <v>2892</v>
      </c>
      <c r="E793" s="241" t="s">
        <v>7</v>
      </c>
      <c r="F793" s="219" t="s">
        <v>2980</v>
      </c>
      <c r="G793" s="242" t="s">
        <v>1414</v>
      </c>
      <c r="H793" s="235" t="s">
        <v>1844</v>
      </c>
      <c r="I793" s="239" t="s">
        <v>1906</v>
      </c>
      <c r="J793" s="259" t="s">
        <v>1844</v>
      </c>
      <c r="K793" s="237" t="s">
        <v>1844</v>
      </c>
      <c r="L793" s="235" t="s">
        <v>1844</v>
      </c>
      <c r="M793" s="235" t="s">
        <v>1844</v>
      </c>
      <c r="N793" s="239" t="s">
        <v>1844</v>
      </c>
      <c r="O793" s="239" t="s">
        <v>1844</v>
      </c>
      <c r="P793" s="239" t="s">
        <v>1844</v>
      </c>
      <c r="Q793" s="239"/>
      <c r="R793" s="238"/>
      <c r="S793" s="239"/>
      <c r="T793" s="239"/>
      <c r="U793" s="239"/>
      <c r="V793" s="239" t="s">
        <v>1845</v>
      </c>
      <c r="W793" s="238"/>
      <c r="X793" s="235"/>
      <c r="Y793" s="235"/>
      <c r="Z793" s="239"/>
      <c r="AA793" s="239"/>
      <c r="AB793" s="239"/>
      <c r="AC793" s="239"/>
      <c r="AD793" s="239"/>
      <c r="AE793" s="239"/>
      <c r="AF793" s="239"/>
      <c r="AG793" s="239"/>
      <c r="AH793" s="239"/>
      <c r="AI793" s="235"/>
      <c r="AJ793" s="243" t="s">
        <v>1845</v>
      </c>
      <c r="AK793" s="140"/>
      <c r="AL793" s="140"/>
    </row>
    <row r="794" ht="15.75" customHeight="1">
      <c r="A794" s="233">
        <v>793.0</v>
      </c>
      <c r="B794" s="123" t="s">
        <v>1742</v>
      </c>
      <c r="C794" s="264" t="s">
        <v>1840</v>
      </c>
      <c r="D794" s="336" t="s">
        <v>2892</v>
      </c>
      <c r="E794" s="336" t="s">
        <v>34</v>
      </c>
      <c r="F794" s="350" t="s">
        <v>2981</v>
      </c>
      <c r="G794" s="263" t="s">
        <v>2982</v>
      </c>
      <c r="H794" s="235" t="s">
        <v>1844</v>
      </c>
      <c r="I794" s="239" t="s">
        <v>1843</v>
      </c>
      <c r="J794" s="259" t="s">
        <v>1876</v>
      </c>
      <c r="K794" s="237" t="s">
        <v>2348</v>
      </c>
      <c r="L794" s="235" t="s">
        <v>1878</v>
      </c>
      <c r="M794" s="235" t="s">
        <v>1845</v>
      </c>
      <c r="N794" s="239" t="s">
        <v>1844</v>
      </c>
      <c r="O794" s="239" t="s">
        <v>1879</v>
      </c>
      <c r="P794" s="239" t="s">
        <v>1862</v>
      </c>
      <c r="Q794" s="239" t="s">
        <v>1845</v>
      </c>
      <c r="R794" s="238"/>
      <c r="S794" s="239"/>
      <c r="T794" s="239"/>
      <c r="U794" s="239"/>
      <c r="V794" s="239"/>
      <c r="W794" s="238"/>
      <c r="X794" s="235"/>
      <c r="Y794" s="235"/>
      <c r="Z794" s="239"/>
      <c r="AA794" s="239"/>
      <c r="AB794" s="239"/>
      <c r="AC794" s="239"/>
      <c r="AD794" s="239"/>
      <c r="AE794" s="239"/>
      <c r="AF794" s="239"/>
      <c r="AG794" s="239"/>
      <c r="AH794" s="239"/>
      <c r="AI794" s="235"/>
      <c r="AJ794" s="243" t="s">
        <v>1845</v>
      </c>
      <c r="AK794" s="140"/>
      <c r="AL794" s="140"/>
    </row>
    <row r="795" ht="15.75" customHeight="1">
      <c r="A795" s="233">
        <v>794.0</v>
      </c>
      <c r="B795" s="123" t="s">
        <v>1742</v>
      </c>
      <c r="C795" s="264" t="s">
        <v>1840</v>
      </c>
      <c r="D795" s="336" t="s">
        <v>2892</v>
      </c>
      <c r="E795" s="336" t="s">
        <v>34</v>
      </c>
      <c r="F795" s="351" t="s">
        <v>2983</v>
      </c>
      <c r="G795" s="263" t="s">
        <v>2984</v>
      </c>
      <c r="H795" s="235" t="s">
        <v>1844</v>
      </c>
      <c r="I795" s="239" t="s">
        <v>1843</v>
      </c>
      <c r="J795" s="259" t="s">
        <v>1876</v>
      </c>
      <c r="K795" s="237" t="s">
        <v>2348</v>
      </c>
      <c r="L795" s="235" t="s">
        <v>1844</v>
      </c>
      <c r="M795" s="235" t="s">
        <v>1845</v>
      </c>
      <c r="N795" s="239" t="s">
        <v>1844</v>
      </c>
      <c r="O795" s="239" t="s">
        <v>1879</v>
      </c>
      <c r="P795" s="239" t="s">
        <v>1862</v>
      </c>
      <c r="Q795" s="239" t="s">
        <v>1845</v>
      </c>
      <c r="R795" s="238"/>
      <c r="S795" s="239"/>
      <c r="T795" s="239"/>
      <c r="U795" s="239"/>
      <c r="V795" s="239"/>
      <c r="W795" s="238"/>
      <c r="X795" s="235"/>
      <c r="Y795" s="235"/>
      <c r="Z795" s="239"/>
      <c r="AA795" s="239"/>
      <c r="AB795" s="239"/>
      <c r="AC795" s="239"/>
      <c r="AD795" s="239"/>
      <c r="AE795" s="239"/>
      <c r="AF795" s="239"/>
      <c r="AG795" s="239"/>
      <c r="AH795" s="239"/>
      <c r="AI795" s="235"/>
      <c r="AJ795" s="243" t="s">
        <v>1845</v>
      </c>
      <c r="AK795" s="140"/>
      <c r="AL795" s="140"/>
    </row>
    <row r="796" ht="15.75" customHeight="1">
      <c r="A796" s="233">
        <v>795.0</v>
      </c>
      <c r="B796" s="123" t="s">
        <v>1742</v>
      </c>
      <c r="C796" s="264" t="s">
        <v>1840</v>
      </c>
      <c r="D796" s="241" t="s">
        <v>2892</v>
      </c>
      <c r="E796" s="241" t="s">
        <v>20</v>
      </c>
      <c r="F796" s="263" t="s">
        <v>2985</v>
      </c>
      <c r="G796" s="242" t="s">
        <v>2986</v>
      </c>
      <c r="H796" s="235" t="s">
        <v>1844</v>
      </c>
      <c r="I796" s="239" t="s">
        <v>1843</v>
      </c>
      <c r="J796" s="259" t="s">
        <v>1844</v>
      </c>
      <c r="K796" s="237" t="s">
        <v>1844</v>
      </c>
      <c r="L796" s="235" t="s">
        <v>1844</v>
      </c>
      <c r="M796" s="235" t="s">
        <v>1845</v>
      </c>
      <c r="N796" s="239" t="s">
        <v>1844</v>
      </c>
      <c r="O796" s="239" t="s">
        <v>1844</v>
      </c>
      <c r="P796" s="239" t="s">
        <v>1862</v>
      </c>
      <c r="Q796" s="239" t="s">
        <v>1845</v>
      </c>
      <c r="R796" s="238"/>
      <c r="S796" s="239"/>
      <c r="T796" s="239"/>
      <c r="U796" s="239"/>
      <c r="V796" s="239"/>
      <c r="W796" s="238"/>
      <c r="X796" s="235"/>
      <c r="Y796" s="235"/>
      <c r="Z796" s="239"/>
      <c r="AA796" s="239"/>
      <c r="AB796" s="239"/>
      <c r="AC796" s="239"/>
      <c r="AD796" s="239"/>
      <c r="AE796" s="239"/>
      <c r="AF796" s="239"/>
      <c r="AG796" s="239"/>
      <c r="AH796" s="239"/>
      <c r="AI796" s="235"/>
      <c r="AJ796" s="243" t="s">
        <v>1845</v>
      </c>
      <c r="AK796" s="140"/>
      <c r="AL796" s="140"/>
    </row>
    <row r="797" ht="15.75" customHeight="1">
      <c r="A797" s="302">
        <v>796.0</v>
      </c>
      <c r="B797" s="138">
        <f t="shared" ref="B797:B814" si="82">SUM(A797+10000)</f>
        <v>10796</v>
      </c>
      <c r="C797" s="352" t="s">
        <v>1840</v>
      </c>
      <c r="D797" s="303" t="s">
        <v>2892</v>
      </c>
      <c r="E797" s="303" t="s">
        <v>34</v>
      </c>
      <c r="F797" s="353" t="s">
        <v>2987</v>
      </c>
      <c r="G797" s="353" t="s">
        <v>1418</v>
      </c>
      <c r="H797" s="305" t="s">
        <v>1844</v>
      </c>
      <c r="I797" s="304" t="s">
        <v>1843</v>
      </c>
      <c r="J797" s="354" t="s">
        <v>1876</v>
      </c>
      <c r="K797" s="307" t="s">
        <v>2348</v>
      </c>
      <c r="L797" s="305" t="s">
        <v>1844</v>
      </c>
      <c r="M797" s="305" t="s">
        <v>1845</v>
      </c>
      <c r="N797" s="304" t="s">
        <v>1844</v>
      </c>
      <c r="O797" s="304" t="s">
        <v>1879</v>
      </c>
      <c r="P797" s="144" t="s">
        <v>1862</v>
      </c>
      <c r="Q797" s="304"/>
      <c r="R797" s="310"/>
      <c r="S797" s="304" t="s">
        <v>1845</v>
      </c>
      <c r="T797" s="304"/>
      <c r="U797" s="304"/>
      <c r="V797" s="304"/>
      <c r="W797" s="310"/>
      <c r="X797" s="305" t="s">
        <v>1845</v>
      </c>
      <c r="Y797" s="305"/>
      <c r="Z797" s="304"/>
      <c r="AA797" s="304"/>
      <c r="AB797" s="304"/>
      <c r="AC797" s="304"/>
      <c r="AD797" s="304"/>
      <c r="AE797" s="304"/>
      <c r="AF797" s="304"/>
      <c r="AG797" s="304"/>
      <c r="AH797" s="304"/>
      <c r="AI797" s="305"/>
      <c r="AJ797" s="355"/>
      <c r="AK797" s="140"/>
      <c r="AL797" s="140"/>
    </row>
    <row r="798" ht="15.75" customHeight="1">
      <c r="A798" s="233">
        <v>797.0</v>
      </c>
      <c r="B798" s="138">
        <f t="shared" si="82"/>
        <v>10797</v>
      </c>
      <c r="C798" s="264" t="s">
        <v>1840</v>
      </c>
      <c r="D798" s="241" t="s">
        <v>2892</v>
      </c>
      <c r="E798" s="241" t="s">
        <v>7</v>
      </c>
      <c r="F798" s="356" t="s">
        <v>2988</v>
      </c>
      <c r="G798" s="357" t="s">
        <v>1419</v>
      </c>
      <c r="H798" s="235" t="s">
        <v>1844</v>
      </c>
      <c r="I798" s="239" t="s">
        <v>1906</v>
      </c>
      <c r="J798" s="259" t="s">
        <v>1844</v>
      </c>
      <c r="K798" s="237" t="s">
        <v>1844</v>
      </c>
      <c r="L798" s="235" t="s">
        <v>1844</v>
      </c>
      <c r="M798" s="235" t="s">
        <v>1844</v>
      </c>
      <c r="N798" s="239" t="s">
        <v>1844</v>
      </c>
      <c r="O798" s="239" t="s">
        <v>1844</v>
      </c>
      <c r="P798" s="239" t="s">
        <v>1844</v>
      </c>
      <c r="Q798" s="239"/>
      <c r="R798" s="238"/>
      <c r="S798" s="239"/>
      <c r="T798" s="239"/>
      <c r="U798" s="239" t="s">
        <v>1845</v>
      </c>
      <c r="V798" s="239"/>
      <c r="W798" s="238"/>
      <c r="X798" s="235"/>
      <c r="Y798" s="235"/>
      <c r="Z798" s="239"/>
      <c r="AA798" s="239"/>
      <c r="AB798" s="239"/>
      <c r="AC798" s="239"/>
      <c r="AD798" s="239"/>
      <c r="AE798" s="239"/>
      <c r="AF798" s="239"/>
      <c r="AG798" s="239"/>
      <c r="AH798" s="239"/>
      <c r="AI798" s="235"/>
      <c r="AJ798" s="243" t="s">
        <v>1845</v>
      </c>
      <c r="AK798" s="140"/>
      <c r="AL798" s="140"/>
    </row>
    <row r="799" ht="15.75" customHeight="1">
      <c r="A799" s="125">
        <v>798.0</v>
      </c>
      <c r="B799" s="138">
        <f t="shared" si="82"/>
        <v>10798</v>
      </c>
      <c r="C799" s="141" t="s">
        <v>1840</v>
      </c>
      <c r="D799" s="122" t="s">
        <v>2892</v>
      </c>
      <c r="E799" s="122" t="s">
        <v>34</v>
      </c>
      <c r="F799" s="269" t="s">
        <v>2989</v>
      </c>
      <c r="G799" s="269" t="s">
        <v>1420</v>
      </c>
      <c r="H799" s="128" t="s">
        <v>1844</v>
      </c>
      <c r="I799" s="140" t="s">
        <v>1843</v>
      </c>
      <c r="J799" s="149" t="s">
        <v>1876</v>
      </c>
      <c r="K799" s="136" t="s">
        <v>2348</v>
      </c>
      <c r="L799" s="128" t="s">
        <v>1878</v>
      </c>
      <c r="M799" s="128" t="s">
        <v>1845</v>
      </c>
      <c r="N799" s="140" t="s">
        <v>1844</v>
      </c>
      <c r="O799" s="140" t="s">
        <v>1879</v>
      </c>
      <c r="P799" s="140" t="s">
        <v>1862</v>
      </c>
      <c r="Q799" s="140"/>
      <c r="R799" s="144"/>
      <c r="S799" s="140"/>
      <c r="T799" s="140" t="s">
        <v>1845</v>
      </c>
      <c r="U799" s="140"/>
      <c r="V799" s="140"/>
      <c r="W799" s="144"/>
      <c r="X799" s="128"/>
      <c r="Y799" s="128"/>
      <c r="Z799" s="140"/>
      <c r="AA799" s="140"/>
      <c r="AB799" s="140"/>
      <c r="AC799" s="140"/>
      <c r="AD799" s="140"/>
      <c r="AE799" s="140"/>
      <c r="AF799" s="140"/>
      <c r="AG799" s="140"/>
      <c r="AH799" s="140"/>
      <c r="AI799" s="128"/>
      <c r="AJ799" s="137"/>
      <c r="AK799" s="140"/>
      <c r="AL799" s="140"/>
    </row>
    <row r="800" ht="15.75" customHeight="1">
      <c r="A800" s="233">
        <v>799.0</v>
      </c>
      <c r="B800" s="138">
        <f t="shared" si="82"/>
        <v>10799</v>
      </c>
      <c r="C800" s="264" t="s">
        <v>1840</v>
      </c>
      <c r="D800" s="241" t="s">
        <v>2892</v>
      </c>
      <c r="E800" s="241" t="s">
        <v>7</v>
      </c>
      <c r="F800" s="263" t="s">
        <v>2990</v>
      </c>
      <c r="G800" s="263" t="s">
        <v>1421</v>
      </c>
      <c r="H800" s="235" t="s">
        <v>1844</v>
      </c>
      <c r="I800" s="239" t="s">
        <v>1843</v>
      </c>
      <c r="J800" s="259" t="s">
        <v>1844</v>
      </c>
      <c r="K800" s="237" t="s">
        <v>1844</v>
      </c>
      <c r="L800" s="235" t="s">
        <v>1844</v>
      </c>
      <c r="M800" s="235" t="s">
        <v>1844</v>
      </c>
      <c r="N800" s="239" t="s">
        <v>1844</v>
      </c>
      <c r="O800" s="239" t="s">
        <v>1844</v>
      </c>
      <c r="P800" s="239" t="s">
        <v>1844</v>
      </c>
      <c r="Q800" s="239"/>
      <c r="R800" s="238"/>
      <c r="S800" s="239"/>
      <c r="T800" s="239" t="s">
        <v>1845</v>
      </c>
      <c r="U800" s="239"/>
      <c r="V800" s="239"/>
      <c r="W800" s="238"/>
      <c r="X800" s="235"/>
      <c r="Y800" s="235"/>
      <c r="Z800" s="239"/>
      <c r="AA800" s="239"/>
      <c r="AB800" s="239"/>
      <c r="AC800" s="239"/>
      <c r="AD800" s="239"/>
      <c r="AE800" s="239"/>
      <c r="AF800" s="239"/>
      <c r="AG800" s="239"/>
      <c r="AH800" s="239"/>
      <c r="AI800" s="235"/>
      <c r="AJ800" s="243" t="s">
        <v>1845</v>
      </c>
      <c r="AK800" s="140"/>
      <c r="AL800" s="140"/>
    </row>
    <row r="801" ht="15.75" customHeight="1">
      <c r="A801" s="125">
        <v>800.0</v>
      </c>
      <c r="B801" s="138">
        <f t="shared" si="82"/>
        <v>10800</v>
      </c>
      <c r="C801" s="141" t="s">
        <v>1840</v>
      </c>
      <c r="D801" s="122" t="s">
        <v>2892</v>
      </c>
      <c r="E801" s="122" t="s">
        <v>7</v>
      </c>
      <c r="F801" s="269" t="s">
        <v>2991</v>
      </c>
      <c r="G801" s="269" t="s">
        <v>1422</v>
      </c>
      <c r="H801" s="128" t="s">
        <v>1844</v>
      </c>
      <c r="I801" s="140" t="s">
        <v>1843</v>
      </c>
      <c r="J801" s="149" t="s">
        <v>1844</v>
      </c>
      <c r="K801" s="136" t="s">
        <v>1844</v>
      </c>
      <c r="L801" s="128" t="s">
        <v>1844</v>
      </c>
      <c r="M801" s="128" t="s">
        <v>1844</v>
      </c>
      <c r="N801" s="140" t="s">
        <v>1844</v>
      </c>
      <c r="O801" s="140" t="s">
        <v>1844</v>
      </c>
      <c r="P801" s="140" t="s">
        <v>1844</v>
      </c>
      <c r="Q801" s="140"/>
      <c r="R801" s="144"/>
      <c r="S801" s="140" t="s">
        <v>1845</v>
      </c>
      <c r="T801" s="140"/>
      <c r="U801" s="140"/>
      <c r="V801" s="140"/>
      <c r="W801" s="144"/>
      <c r="X801" s="128"/>
      <c r="Y801" s="128"/>
      <c r="Z801" s="140"/>
      <c r="AA801" s="140"/>
      <c r="AB801" s="140"/>
      <c r="AC801" s="140"/>
      <c r="AD801" s="140"/>
      <c r="AE801" s="140"/>
      <c r="AF801" s="140" t="s">
        <v>1845</v>
      </c>
      <c r="AG801" s="140"/>
      <c r="AH801" s="140"/>
      <c r="AI801" s="128"/>
      <c r="AJ801" s="137"/>
      <c r="AK801" s="140"/>
      <c r="AL801" s="140"/>
    </row>
    <row r="802" ht="15.75" customHeight="1">
      <c r="A802" s="125">
        <v>801.0</v>
      </c>
      <c r="B802" s="138">
        <f t="shared" si="82"/>
        <v>10801</v>
      </c>
      <c r="C802" s="141" t="s">
        <v>1840</v>
      </c>
      <c r="D802" s="122" t="s">
        <v>2892</v>
      </c>
      <c r="E802" s="122" t="s">
        <v>7</v>
      </c>
      <c r="F802" s="269" t="s">
        <v>2992</v>
      </c>
      <c r="G802" s="269" t="s">
        <v>1423</v>
      </c>
      <c r="H802" s="128" t="s">
        <v>1844</v>
      </c>
      <c r="I802" s="140" t="s">
        <v>1906</v>
      </c>
      <c r="J802" s="149" t="s">
        <v>1844</v>
      </c>
      <c r="K802" s="136" t="s">
        <v>1844</v>
      </c>
      <c r="L802" s="128" t="s">
        <v>1844</v>
      </c>
      <c r="M802" s="128" t="s">
        <v>1844</v>
      </c>
      <c r="N802" s="140" t="s">
        <v>1844</v>
      </c>
      <c r="O802" s="140" t="s">
        <v>1844</v>
      </c>
      <c r="P802" s="140" t="s">
        <v>1844</v>
      </c>
      <c r="Q802" s="140" t="s">
        <v>1845</v>
      </c>
      <c r="R802" s="144"/>
      <c r="S802" s="140"/>
      <c r="T802" s="140"/>
      <c r="U802" s="140"/>
      <c r="V802" s="140" t="s">
        <v>1845</v>
      </c>
      <c r="W802" s="144"/>
      <c r="X802" s="128"/>
      <c r="Y802" s="128"/>
      <c r="Z802" s="140"/>
      <c r="AA802" s="140"/>
      <c r="AB802" s="140"/>
      <c r="AC802" s="140"/>
      <c r="AD802" s="140"/>
      <c r="AE802" s="140"/>
      <c r="AF802" s="140"/>
      <c r="AG802" s="140"/>
      <c r="AH802" s="140"/>
      <c r="AI802" s="128"/>
      <c r="AJ802" s="137"/>
      <c r="AK802" s="140"/>
      <c r="AL802" s="140"/>
    </row>
    <row r="803" ht="15.75" customHeight="1">
      <c r="A803" s="125">
        <v>802.0</v>
      </c>
      <c r="B803" s="138">
        <f t="shared" si="82"/>
        <v>10802</v>
      </c>
      <c r="C803" s="141" t="s">
        <v>1840</v>
      </c>
      <c r="D803" s="122" t="s">
        <v>2892</v>
      </c>
      <c r="E803" s="122" t="s">
        <v>20</v>
      </c>
      <c r="F803" s="269" t="s">
        <v>2993</v>
      </c>
      <c r="G803" s="269" t="s">
        <v>1424</v>
      </c>
      <c r="H803" s="128" t="s">
        <v>1844</v>
      </c>
      <c r="I803" s="140" t="s">
        <v>1843</v>
      </c>
      <c r="J803" s="149" t="s">
        <v>1844</v>
      </c>
      <c r="K803" s="136" t="s">
        <v>1844</v>
      </c>
      <c r="L803" s="128" t="s">
        <v>1844</v>
      </c>
      <c r="M803" s="128" t="s">
        <v>1845</v>
      </c>
      <c r="N803" s="140" t="s">
        <v>1844</v>
      </c>
      <c r="O803" s="140" t="s">
        <v>1844</v>
      </c>
      <c r="P803" s="144" t="s">
        <v>1862</v>
      </c>
      <c r="Q803" s="140"/>
      <c r="R803" s="144"/>
      <c r="S803" s="140" t="s">
        <v>1845</v>
      </c>
      <c r="T803" s="140"/>
      <c r="U803" s="140"/>
      <c r="V803" s="140"/>
      <c r="W803" s="144"/>
      <c r="X803" s="128"/>
      <c r="Y803" s="128"/>
      <c r="Z803" s="140"/>
      <c r="AA803" s="140"/>
      <c r="AB803" s="140"/>
      <c r="AC803" s="140"/>
      <c r="AD803" s="140"/>
      <c r="AE803" s="140"/>
      <c r="AF803" s="140" t="s">
        <v>1845</v>
      </c>
      <c r="AG803" s="140"/>
      <c r="AH803" s="140"/>
      <c r="AI803" s="128"/>
      <c r="AJ803" s="137"/>
      <c r="AK803" s="140"/>
      <c r="AL803" s="140"/>
    </row>
    <row r="804" ht="15.75" customHeight="1">
      <c r="A804" s="125">
        <v>803.0</v>
      </c>
      <c r="B804" s="138">
        <f t="shared" si="82"/>
        <v>10803</v>
      </c>
      <c r="C804" s="141" t="s">
        <v>1840</v>
      </c>
      <c r="D804" s="122" t="s">
        <v>2892</v>
      </c>
      <c r="E804" s="122" t="s">
        <v>20</v>
      </c>
      <c r="F804" s="269" t="s">
        <v>2994</v>
      </c>
      <c r="G804" s="269" t="s">
        <v>1425</v>
      </c>
      <c r="H804" s="128" t="s">
        <v>1844</v>
      </c>
      <c r="I804" s="140" t="s">
        <v>1843</v>
      </c>
      <c r="J804" s="149" t="s">
        <v>1844</v>
      </c>
      <c r="K804" s="136" t="s">
        <v>1844</v>
      </c>
      <c r="L804" s="128" t="s">
        <v>1844</v>
      </c>
      <c r="M804" s="128" t="s">
        <v>1845</v>
      </c>
      <c r="N804" s="140" t="s">
        <v>1844</v>
      </c>
      <c r="O804" s="140" t="s">
        <v>1844</v>
      </c>
      <c r="P804" s="144" t="s">
        <v>1862</v>
      </c>
      <c r="Q804" s="140"/>
      <c r="R804" s="144"/>
      <c r="S804" s="140" t="s">
        <v>1845</v>
      </c>
      <c r="T804" s="140"/>
      <c r="U804" s="140"/>
      <c r="V804" s="140"/>
      <c r="W804" s="144"/>
      <c r="X804" s="128"/>
      <c r="Y804" s="128"/>
      <c r="Z804" s="140"/>
      <c r="AA804" s="140"/>
      <c r="AB804" s="140"/>
      <c r="AC804" s="140"/>
      <c r="AD804" s="140"/>
      <c r="AE804" s="140"/>
      <c r="AF804" s="140" t="s">
        <v>1845</v>
      </c>
      <c r="AG804" s="140"/>
      <c r="AH804" s="140"/>
      <c r="AI804" s="128"/>
      <c r="AJ804" s="137"/>
      <c r="AK804" s="140"/>
      <c r="AL804" s="140"/>
    </row>
    <row r="805" ht="15.75" customHeight="1">
      <c r="A805" s="125">
        <v>804.0</v>
      </c>
      <c r="B805" s="138">
        <f t="shared" si="82"/>
        <v>10804</v>
      </c>
      <c r="C805" s="141" t="s">
        <v>1840</v>
      </c>
      <c r="D805" s="122" t="s">
        <v>2892</v>
      </c>
      <c r="E805" s="122" t="s">
        <v>7</v>
      </c>
      <c r="F805" s="334" t="s">
        <v>2995</v>
      </c>
      <c r="G805" s="269" t="s">
        <v>1426</v>
      </c>
      <c r="H805" s="128" t="s">
        <v>1844</v>
      </c>
      <c r="I805" s="140" t="s">
        <v>1843</v>
      </c>
      <c r="J805" s="149" t="s">
        <v>1844</v>
      </c>
      <c r="K805" s="136" t="s">
        <v>1844</v>
      </c>
      <c r="L805" s="128" t="s">
        <v>1844</v>
      </c>
      <c r="M805" s="128" t="s">
        <v>1844</v>
      </c>
      <c r="N805" s="140" t="s">
        <v>1844</v>
      </c>
      <c r="O805" s="140" t="s">
        <v>1844</v>
      </c>
      <c r="P805" s="140" t="s">
        <v>1844</v>
      </c>
      <c r="Q805" s="140"/>
      <c r="R805" s="144"/>
      <c r="S805" s="140" t="s">
        <v>1845</v>
      </c>
      <c r="T805" s="140"/>
      <c r="U805" s="140"/>
      <c r="V805" s="140"/>
      <c r="W805" s="144"/>
      <c r="X805" s="128"/>
      <c r="Y805" s="128"/>
      <c r="Z805" s="140"/>
      <c r="AA805" s="140"/>
      <c r="AB805" s="140"/>
      <c r="AC805" s="140"/>
      <c r="AD805" s="140"/>
      <c r="AE805" s="140"/>
      <c r="AF805" s="140" t="s">
        <v>1845</v>
      </c>
      <c r="AG805" s="140"/>
      <c r="AH805" s="140"/>
      <c r="AI805" s="128"/>
      <c r="AJ805" s="137"/>
      <c r="AK805" s="140"/>
      <c r="AL805" s="140"/>
    </row>
    <row r="806" ht="15.75" customHeight="1">
      <c r="A806" s="125">
        <v>805.0</v>
      </c>
      <c r="B806" s="138">
        <f t="shared" si="82"/>
        <v>10805</v>
      </c>
      <c r="C806" s="141" t="s">
        <v>1840</v>
      </c>
      <c r="D806" s="122" t="s">
        <v>2892</v>
      </c>
      <c r="E806" s="122" t="s">
        <v>7</v>
      </c>
      <c r="F806" s="269" t="s">
        <v>2996</v>
      </c>
      <c r="G806" s="269" t="s">
        <v>1427</v>
      </c>
      <c r="H806" s="128" t="s">
        <v>1844</v>
      </c>
      <c r="I806" s="140" t="s">
        <v>1906</v>
      </c>
      <c r="J806" s="149" t="s">
        <v>1844</v>
      </c>
      <c r="K806" s="136" t="s">
        <v>1844</v>
      </c>
      <c r="L806" s="128" t="s">
        <v>1844</v>
      </c>
      <c r="M806" s="128" t="s">
        <v>1844</v>
      </c>
      <c r="N806" s="140" t="s">
        <v>1844</v>
      </c>
      <c r="O806" s="140" t="s">
        <v>1844</v>
      </c>
      <c r="P806" s="140" t="s">
        <v>1844</v>
      </c>
      <c r="Q806" s="140"/>
      <c r="R806" s="144"/>
      <c r="S806" s="140" t="s">
        <v>1845</v>
      </c>
      <c r="T806" s="140"/>
      <c r="U806" s="140" t="s">
        <v>1845</v>
      </c>
      <c r="V806" s="140"/>
      <c r="W806" s="144" t="s">
        <v>1845</v>
      </c>
      <c r="X806" s="128"/>
      <c r="Y806" s="128"/>
      <c r="Z806" s="140"/>
      <c r="AA806" s="140"/>
      <c r="AB806" s="140"/>
      <c r="AC806" s="140"/>
      <c r="AD806" s="140"/>
      <c r="AE806" s="140"/>
      <c r="AF806" s="140"/>
      <c r="AG806" s="140"/>
      <c r="AH806" s="140"/>
      <c r="AI806" s="128"/>
      <c r="AJ806" s="137"/>
      <c r="AK806" s="140"/>
      <c r="AL806" s="140"/>
    </row>
    <row r="807" ht="15.75" customHeight="1">
      <c r="A807" s="125">
        <v>806.0</v>
      </c>
      <c r="B807" s="138">
        <f t="shared" si="82"/>
        <v>10806</v>
      </c>
      <c r="C807" s="141" t="s">
        <v>1840</v>
      </c>
      <c r="D807" s="122" t="s">
        <v>2892</v>
      </c>
      <c r="E807" s="122" t="s">
        <v>7</v>
      </c>
      <c r="F807" s="269" t="s">
        <v>2997</v>
      </c>
      <c r="G807" s="269" t="s">
        <v>1428</v>
      </c>
      <c r="H807" s="128" t="s">
        <v>1844</v>
      </c>
      <c r="I807" s="140" t="s">
        <v>1906</v>
      </c>
      <c r="J807" s="149" t="s">
        <v>1844</v>
      </c>
      <c r="K807" s="136" t="s">
        <v>1844</v>
      </c>
      <c r="L807" s="128" t="s">
        <v>1844</v>
      </c>
      <c r="M807" s="128" t="s">
        <v>1844</v>
      </c>
      <c r="N807" s="140" t="s">
        <v>1844</v>
      </c>
      <c r="O807" s="140" t="s">
        <v>1844</v>
      </c>
      <c r="P807" s="140" t="s">
        <v>1844</v>
      </c>
      <c r="Q807" s="140"/>
      <c r="R807" s="144"/>
      <c r="S807" s="140" t="s">
        <v>1845</v>
      </c>
      <c r="T807" s="140"/>
      <c r="U807" s="140" t="s">
        <v>1845</v>
      </c>
      <c r="V807" s="140"/>
      <c r="W807" s="144" t="s">
        <v>1845</v>
      </c>
      <c r="X807" s="128"/>
      <c r="Y807" s="128"/>
      <c r="Z807" s="140"/>
      <c r="AA807" s="140"/>
      <c r="AB807" s="140"/>
      <c r="AC807" s="140"/>
      <c r="AD807" s="140"/>
      <c r="AE807" s="140"/>
      <c r="AF807" s="140"/>
      <c r="AG807" s="140"/>
      <c r="AH807" s="140"/>
      <c r="AI807" s="128"/>
      <c r="AJ807" s="137"/>
      <c r="AK807" s="140"/>
      <c r="AL807" s="140"/>
    </row>
    <row r="808" ht="15.75" customHeight="1">
      <c r="A808" s="141">
        <v>807.0</v>
      </c>
      <c r="B808" s="138">
        <f t="shared" si="82"/>
        <v>10807</v>
      </c>
      <c r="C808" s="141" t="s">
        <v>1840</v>
      </c>
      <c r="D808" s="122" t="s">
        <v>2892</v>
      </c>
      <c r="E808" s="295" t="s">
        <v>20</v>
      </c>
      <c r="F808" s="229" t="s">
        <v>2998</v>
      </c>
      <c r="G808" s="271" t="s">
        <v>1429</v>
      </c>
      <c r="H808" s="136" t="s">
        <v>1844</v>
      </c>
      <c r="I808" s="144" t="s">
        <v>1843</v>
      </c>
      <c r="J808" s="186" t="s">
        <v>1844</v>
      </c>
      <c r="K808" s="136" t="s">
        <v>1844</v>
      </c>
      <c r="L808" s="136" t="s">
        <v>1844</v>
      </c>
      <c r="M808" s="136" t="s">
        <v>1845</v>
      </c>
      <c r="N808" s="144" t="s">
        <v>1844</v>
      </c>
      <c r="O808" s="144" t="s">
        <v>1844</v>
      </c>
      <c r="P808" s="140" t="s">
        <v>1862</v>
      </c>
      <c r="Q808" s="144"/>
      <c r="R808" s="144"/>
      <c r="S808" s="144" t="s">
        <v>1845</v>
      </c>
      <c r="T808" s="144"/>
      <c r="U808" s="144"/>
      <c r="V808" s="144"/>
      <c r="W808" s="144"/>
      <c r="X808" s="136" t="s">
        <v>1845</v>
      </c>
      <c r="Y808" s="136"/>
      <c r="Z808" s="144"/>
      <c r="AA808" s="144"/>
      <c r="AB808" s="144"/>
      <c r="AC808" s="144"/>
      <c r="AD808" s="144"/>
      <c r="AE808" s="144"/>
      <c r="AF808" s="144"/>
      <c r="AG808" s="144"/>
      <c r="AH808" s="144"/>
      <c r="AI808" s="136" t="s">
        <v>1845</v>
      </c>
      <c r="AJ808" s="316"/>
      <c r="AK808" s="140"/>
      <c r="AL808" s="140"/>
    </row>
    <row r="809" ht="15.75" customHeight="1">
      <c r="A809" s="125">
        <v>808.0</v>
      </c>
      <c r="B809" s="138">
        <f t="shared" si="82"/>
        <v>10808</v>
      </c>
      <c r="C809" s="141" t="s">
        <v>1840</v>
      </c>
      <c r="D809" s="122" t="s">
        <v>2892</v>
      </c>
      <c r="E809" s="122" t="s">
        <v>7</v>
      </c>
      <c r="F809" s="229" t="s">
        <v>2999</v>
      </c>
      <c r="G809" s="271" t="s">
        <v>1430</v>
      </c>
      <c r="H809" s="128" t="s">
        <v>1844</v>
      </c>
      <c r="I809" s="140" t="s">
        <v>1843</v>
      </c>
      <c r="J809" s="149" t="s">
        <v>1844</v>
      </c>
      <c r="K809" s="136" t="s">
        <v>1844</v>
      </c>
      <c r="L809" s="128" t="s">
        <v>1844</v>
      </c>
      <c r="M809" s="128" t="s">
        <v>1844</v>
      </c>
      <c r="N809" s="140" t="s">
        <v>1844</v>
      </c>
      <c r="O809" s="140" t="s">
        <v>1844</v>
      </c>
      <c r="P809" s="140" t="s">
        <v>1844</v>
      </c>
      <c r="Q809" s="140"/>
      <c r="R809" s="144"/>
      <c r="S809" s="140" t="s">
        <v>1845</v>
      </c>
      <c r="T809" s="140"/>
      <c r="U809" s="140"/>
      <c r="V809" s="140"/>
      <c r="W809" s="144"/>
      <c r="X809" s="128" t="s">
        <v>1845</v>
      </c>
      <c r="Y809" s="128"/>
      <c r="Z809" s="140"/>
      <c r="AA809" s="140"/>
      <c r="AB809" s="140"/>
      <c r="AC809" s="140"/>
      <c r="AD809" s="140"/>
      <c r="AE809" s="140"/>
      <c r="AF809" s="140"/>
      <c r="AG809" s="140"/>
      <c r="AH809" s="140"/>
      <c r="AI809" s="128" t="s">
        <v>1845</v>
      </c>
      <c r="AJ809" s="137"/>
      <c r="AK809" s="140"/>
      <c r="AL809" s="140"/>
    </row>
    <row r="810" ht="15.75" customHeight="1">
      <c r="A810" s="125">
        <v>809.0</v>
      </c>
      <c r="B810" s="138">
        <f t="shared" si="82"/>
        <v>10809</v>
      </c>
      <c r="C810" s="141" t="s">
        <v>1840</v>
      </c>
      <c r="D810" s="122" t="s">
        <v>2892</v>
      </c>
      <c r="E810" s="122" t="s">
        <v>7</v>
      </c>
      <c r="F810" s="229" t="s">
        <v>3000</v>
      </c>
      <c r="G810" s="271" t="s">
        <v>1431</v>
      </c>
      <c r="H810" s="128" t="s">
        <v>1844</v>
      </c>
      <c r="I810" s="140" t="s">
        <v>1843</v>
      </c>
      <c r="J810" s="149" t="s">
        <v>1844</v>
      </c>
      <c r="K810" s="136" t="s">
        <v>1844</v>
      </c>
      <c r="L810" s="128" t="s">
        <v>1844</v>
      </c>
      <c r="M810" s="128" t="s">
        <v>1844</v>
      </c>
      <c r="N810" s="140" t="s">
        <v>1844</v>
      </c>
      <c r="O810" s="140" t="s">
        <v>1844</v>
      </c>
      <c r="P810" s="140" t="s">
        <v>1844</v>
      </c>
      <c r="Q810" s="140"/>
      <c r="R810" s="144"/>
      <c r="S810" s="140" t="s">
        <v>1845</v>
      </c>
      <c r="T810" s="140"/>
      <c r="U810" s="140"/>
      <c r="V810" s="140"/>
      <c r="W810" s="144"/>
      <c r="X810" s="128" t="s">
        <v>1845</v>
      </c>
      <c r="Y810" s="128"/>
      <c r="Z810" s="140"/>
      <c r="AA810" s="140"/>
      <c r="AB810" s="140"/>
      <c r="AC810" s="140"/>
      <c r="AD810" s="140"/>
      <c r="AE810" s="140"/>
      <c r="AF810" s="140"/>
      <c r="AG810" s="140"/>
      <c r="AH810" s="140"/>
      <c r="AI810" s="128" t="s">
        <v>1845</v>
      </c>
      <c r="AJ810" s="137"/>
      <c r="AK810" s="140"/>
      <c r="AL810" s="140"/>
    </row>
    <row r="811" ht="15.75" customHeight="1">
      <c r="A811" s="125">
        <v>810.0</v>
      </c>
      <c r="B811" s="138">
        <f t="shared" si="82"/>
        <v>10810</v>
      </c>
      <c r="C811" s="141" t="s">
        <v>1840</v>
      </c>
      <c r="D811" s="122" t="s">
        <v>2892</v>
      </c>
      <c r="E811" s="122" t="s">
        <v>7</v>
      </c>
      <c r="F811" s="229" t="s">
        <v>3001</v>
      </c>
      <c r="G811" s="271" t="s">
        <v>1432</v>
      </c>
      <c r="H811" s="128" t="s">
        <v>1844</v>
      </c>
      <c r="I811" s="140" t="s">
        <v>1843</v>
      </c>
      <c r="J811" s="149" t="s">
        <v>1844</v>
      </c>
      <c r="K811" s="136" t="s">
        <v>1844</v>
      </c>
      <c r="L811" s="128" t="s">
        <v>1844</v>
      </c>
      <c r="M811" s="128" t="s">
        <v>1844</v>
      </c>
      <c r="N811" s="140" t="s">
        <v>1844</v>
      </c>
      <c r="O811" s="140" t="s">
        <v>1844</v>
      </c>
      <c r="P811" s="140" t="s">
        <v>1844</v>
      </c>
      <c r="Q811" s="140"/>
      <c r="R811" s="144"/>
      <c r="S811" s="140"/>
      <c r="T811" s="140"/>
      <c r="U811" s="140"/>
      <c r="V811" s="140"/>
      <c r="W811" s="144"/>
      <c r="X811" s="128" t="s">
        <v>1845</v>
      </c>
      <c r="Y811" s="128"/>
      <c r="Z811" s="140"/>
      <c r="AA811" s="140"/>
      <c r="AB811" s="140"/>
      <c r="AC811" s="140"/>
      <c r="AD811" s="140"/>
      <c r="AE811" s="140"/>
      <c r="AF811" s="140"/>
      <c r="AG811" s="140"/>
      <c r="AH811" s="140"/>
      <c r="AI811" s="128" t="s">
        <v>1845</v>
      </c>
      <c r="AJ811" s="137"/>
      <c r="AK811" s="140"/>
      <c r="AL811" s="140"/>
    </row>
    <row r="812" ht="15.75" customHeight="1">
      <c r="A812" s="125">
        <v>811.0</v>
      </c>
      <c r="B812" s="138">
        <f t="shared" si="82"/>
        <v>10811</v>
      </c>
      <c r="C812" s="141" t="s">
        <v>1840</v>
      </c>
      <c r="D812" s="122" t="s">
        <v>2892</v>
      </c>
      <c r="E812" s="122" t="s">
        <v>7</v>
      </c>
      <c r="F812" s="229" t="s">
        <v>3002</v>
      </c>
      <c r="G812" s="269" t="s">
        <v>1433</v>
      </c>
      <c r="H812" s="128" t="s">
        <v>1844</v>
      </c>
      <c r="I812" s="140" t="s">
        <v>1906</v>
      </c>
      <c r="J812" s="149" t="s">
        <v>1844</v>
      </c>
      <c r="K812" s="136" t="s">
        <v>1844</v>
      </c>
      <c r="L812" s="128" t="s">
        <v>1844</v>
      </c>
      <c r="M812" s="128" t="s">
        <v>1844</v>
      </c>
      <c r="N812" s="140" t="s">
        <v>1844</v>
      </c>
      <c r="O812" s="140" t="s">
        <v>1844</v>
      </c>
      <c r="P812" s="140" t="s">
        <v>1844</v>
      </c>
      <c r="Q812" s="140"/>
      <c r="R812" s="144"/>
      <c r="S812" s="140" t="s">
        <v>1845</v>
      </c>
      <c r="T812" s="140"/>
      <c r="U812" s="140"/>
      <c r="V812" s="140"/>
      <c r="W812" s="144"/>
      <c r="X812" s="128"/>
      <c r="Y812" s="128"/>
      <c r="Z812" s="140"/>
      <c r="AA812" s="140"/>
      <c r="AB812" s="140"/>
      <c r="AC812" s="140"/>
      <c r="AD812" s="140"/>
      <c r="AE812" s="140"/>
      <c r="AF812" s="140"/>
      <c r="AG812" s="140"/>
      <c r="AH812" s="140"/>
      <c r="AI812" s="128"/>
      <c r="AJ812" s="137"/>
      <c r="AK812" s="140"/>
      <c r="AL812" s="140"/>
    </row>
    <row r="813" ht="15.75" customHeight="1">
      <c r="A813" s="125">
        <v>812.0</v>
      </c>
      <c r="B813" s="138">
        <f t="shared" si="82"/>
        <v>10812</v>
      </c>
      <c r="C813" s="141" t="s">
        <v>1840</v>
      </c>
      <c r="D813" s="122" t="s">
        <v>2892</v>
      </c>
      <c r="E813" s="122" t="s">
        <v>7</v>
      </c>
      <c r="F813" s="358" t="s">
        <v>3003</v>
      </c>
      <c r="G813" s="269" t="s">
        <v>1434</v>
      </c>
      <c r="H813" s="128" t="s">
        <v>1844</v>
      </c>
      <c r="I813" s="140" t="s">
        <v>1906</v>
      </c>
      <c r="J813" s="149" t="s">
        <v>1844</v>
      </c>
      <c r="K813" s="136" t="s">
        <v>1844</v>
      </c>
      <c r="L813" s="128" t="s">
        <v>1844</v>
      </c>
      <c r="M813" s="128" t="s">
        <v>1844</v>
      </c>
      <c r="N813" s="140" t="s">
        <v>1844</v>
      </c>
      <c r="O813" s="140" t="s">
        <v>1844</v>
      </c>
      <c r="P813" s="140" t="s">
        <v>1844</v>
      </c>
      <c r="Q813" s="140"/>
      <c r="R813" s="144"/>
      <c r="S813" s="140" t="s">
        <v>1845</v>
      </c>
      <c r="T813" s="140"/>
      <c r="U813" s="140" t="s">
        <v>1845</v>
      </c>
      <c r="V813" s="140" t="s">
        <v>1845</v>
      </c>
      <c r="W813" s="144"/>
      <c r="X813" s="128" t="s">
        <v>1845</v>
      </c>
      <c r="Y813" s="128"/>
      <c r="Z813" s="140"/>
      <c r="AA813" s="140"/>
      <c r="AB813" s="140"/>
      <c r="AC813" s="140"/>
      <c r="AD813" s="140"/>
      <c r="AE813" s="140"/>
      <c r="AF813" s="140"/>
      <c r="AG813" s="140"/>
      <c r="AH813" s="140"/>
      <c r="AI813" s="128"/>
      <c r="AJ813" s="137"/>
      <c r="AK813" s="140"/>
      <c r="AL813" s="140"/>
    </row>
    <row r="814" ht="15.75" customHeight="1">
      <c r="A814" s="125">
        <v>813.0</v>
      </c>
      <c r="B814" s="138">
        <f t="shared" si="82"/>
        <v>10813</v>
      </c>
      <c r="C814" s="141" t="s">
        <v>1840</v>
      </c>
      <c r="D814" s="122" t="s">
        <v>2892</v>
      </c>
      <c r="E814" s="122" t="s">
        <v>7</v>
      </c>
      <c r="F814" s="127" t="s">
        <v>3004</v>
      </c>
      <c r="G814" s="269" t="s">
        <v>1435</v>
      </c>
      <c r="H814" s="128" t="s">
        <v>1844</v>
      </c>
      <c r="I814" s="140" t="s">
        <v>1843</v>
      </c>
      <c r="J814" s="149" t="s">
        <v>1844</v>
      </c>
      <c r="K814" s="136" t="s">
        <v>1844</v>
      </c>
      <c r="L814" s="128" t="s">
        <v>1844</v>
      </c>
      <c r="M814" s="128" t="s">
        <v>1844</v>
      </c>
      <c r="N814" s="140" t="s">
        <v>1844</v>
      </c>
      <c r="O814" s="140" t="s">
        <v>1844</v>
      </c>
      <c r="P814" s="140" t="s">
        <v>1844</v>
      </c>
      <c r="Q814" s="140"/>
      <c r="R814" s="144"/>
      <c r="S814" s="140"/>
      <c r="T814" s="140"/>
      <c r="U814" s="140"/>
      <c r="V814" s="140"/>
      <c r="W814" s="144"/>
      <c r="X814" s="128" t="s">
        <v>1845</v>
      </c>
      <c r="Y814" s="128"/>
      <c r="Z814" s="140"/>
      <c r="AA814" s="140"/>
      <c r="AB814" s="140"/>
      <c r="AC814" s="140"/>
      <c r="AD814" s="140"/>
      <c r="AE814" s="140"/>
      <c r="AF814" s="140" t="s">
        <v>1845</v>
      </c>
      <c r="AG814" s="140"/>
      <c r="AH814" s="140"/>
      <c r="AI814" s="128"/>
      <c r="AJ814" s="137"/>
      <c r="AK814" s="140"/>
      <c r="AL814" s="140"/>
    </row>
    <row r="815" ht="15.75" customHeight="1">
      <c r="A815" s="125">
        <v>814.0</v>
      </c>
      <c r="B815" s="123" t="s">
        <v>1742</v>
      </c>
      <c r="C815" s="141" t="s">
        <v>1840</v>
      </c>
      <c r="D815" s="122" t="s">
        <v>2892</v>
      </c>
      <c r="E815" s="295" t="s">
        <v>34</v>
      </c>
      <c r="F815" s="142" t="s">
        <v>3005</v>
      </c>
      <c r="G815" s="185" t="s">
        <v>3006</v>
      </c>
      <c r="H815" s="128" t="s">
        <v>1844</v>
      </c>
      <c r="I815" s="140" t="s">
        <v>1843</v>
      </c>
      <c r="J815" s="149" t="s">
        <v>1902</v>
      </c>
      <c r="K815" s="136" t="s">
        <v>1877</v>
      </c>
      <c r="L815" s="128" t="s">
        <v>1878</v>
      </c>
      <c r="M815" s="128" t="s">
        <v>1845</v>
      </c>
      <c r="N815" s="140" t="s">
        <v>1903</v>
      </c>
      <c r="O815" s="140" t="s">
        <v>1879</v>
      </c>
      <c r="P815" s="144" t="s">
        <v>1862</v>
      </c>
      <c r="Q815" s="140" t="s">
        <v>1845</v>
      </c>
      <c r="R815" s="144"/>
      <c r="S815" s="140" t="s">
        <v>1845</v>
      </c>
      <c r="T815" s="140"/>
      <c r="U815" s="140"/>
      <c r="V815" s="140"/>
      <c r="W815" s="144"/>
      <c r="X815" s="128"/>
      <c r="Y815" s="128"/>
      <c r="Z815" s="140"/>
      <c r="AA815" s="140"/>
      <c r="AB815" s="140"/>
      <c r="AC815" s="140"/>
      <c r="AD815" s="140"/>
      <c r="AE815" s="140"/>
      <c r="AF815" s="140"/>
      <c r="AG815" s="140"/>
      <c r="AH815" s="140"/>
      <c r="AI815" s="128"/>
      <c r="AJ815" s="137"/>
      <c r="AK815" s="140"/>
      <c r="AL815" s="140"/>
    </row>
    <row r="816" ht="15.75" customHeight="1">
      <c r="A816" s="125">
        <v>815.0</v>
      </c>
      <c r="B816" s="138">
        <f t="shared" ref="B816:B820" si="83">SUM(A816+10000)</f>
        <v>10815</v>
      </c>
      <c r="C816" s="141" t="s">
        <v>1840</v>
      </c>
      <c r="D816" s="122" t="s">
        <v>2892</v>
      </c>
      <c r="E816" s="122" t="s">
        <v>7</v>
      </c>
      <c r="F816" s="127" t="s">
        <v>3007</v>
      </c>
      <c r="G816" s="269" t="s">
        <v>1437</v>
      </c>
      <c r="H816" s="128" t="s">
        <v>1844</v>
      </c>
      <c r="I816" s="140" t="s">
        <v>1906</v>
      </c>
      <c r="J816" s="149" t="s">
        <v>1844</v>
      </c>
      <c r="K816" s="136" t="s">
        <v>1844</v>
      </c>
      <c r="L816" s="128" t="s">
        <v>1844</v>
      </c>
      <c r="M816" s="128" t="s">
        <v>1844</v>
      </c>
      <c r="N816" s="140" t="s">
        <v>1844</v>
      </c>
      <c r="O816" s="140" t="s">
        <v>1844</v>
      </c>
      <c r="P816" s="140" t="s">
        <v>1844</v>
      </c>
      <c r="Q816" s="140"/>
      <c r="R816" s="144"/>
      <c r="S816" s="140"/>
      <c r="T816" s="140"/>
      <c r="U816" s="140"/>
      <c r="V816" s="140"/>
      <c r="W816" s="144"/>
      <c r="X816" s="128" t="s">
        <v>1845</v>
      </c>
      <c r="Y816" s="128"/>
      <c r="Z816" s="140"/>
      <c r="AA816" s="140"/>
      <c r="AB816" s="140"/>
      <c r="AC816" s="140"/>
      <c r="AD816" s="140"/>
      <c r="AE816" s="140"/>
      <c r="AF816" s="140"/>
      <c r="AG816" s="140" t="s">
        <v>1845</v>
      </c>
      <c r="AH816" s="140"/>
      <c r="AI816" s="128"/>
      <c r="AJ816" s="137"/>
      <c r="AK816" s="140"/>
      <c r="AL816" s="140"/>
    </row>
    <row r="817" ht="15.75" customHeight="1">
      <c r="A817" s="125">
        <v>816.0</v>
      </c>
      <c r="B817" s="138">
        <f t="shared" si="83"/>
        <v>10816</v>
      </c>
      <c r="C817" s="141" t="s">
        <v>1840</v>
      </c>
      <c r="D817" s="122" t="s">
        <v>2892</v>
      </c>
      <c r="E817" s="295" t="s">
        <v>20</v>
      </c>
      <c r="F817" s="127" t="s">
        <v>3008</v>
      </c>
      <c r="G817" s="269" t="s">
        <v>1438</v>
      </c>
      <c r="H817" s="128" t="s">
        <v>1844</v>
      </c>
      <c r="I817" s="140" t="s">
        <v>1843</v>
      </c>
      <c r="J817" s="149" t="s">
        <v>1844</v>
      </c>
      <c r="K817" s="136" t="s">
        <v>1844</v>
      </c>
      <c r="L817" s="128" t="s">
        <v>1844</v>
      </c>
      <c r="M817" s="128" t="s">
        <v>1845</v>
      </c>
      <c r="N817" s="140" t="s">
        <v>1844</v>
      </c>
      <c r="O817" s="140" t="s">
        <v>1844</v>
      </c>
      <c r="P817" s="144" t="s">
        <v>1862</v>
      </c>
      <c r="Q817" s="140"/>
      <c r="R817" s="144"/>
      <c r="S817" s="140"/>
      <c r="T817" s="140"/>
      <c r="U817" s="140"/>
      <c r="V817" s="140"/>
      <c r="W817" s="144"/>
      <c r="X817" s="128"/>
      <c r="Y817" s="128"/>
      <c r="Z817" s="140"/>
      <c r="AA817" s="140"/>
      <c r="AB817" s="140"/>
      <c r="AC817" s="140"/>
      <c r="AD817" s="140"/>
      <c r="AE817" s="140"/>
      <c r="AF817" s="140" t="s">
        <v>1845</v>
      </c>
      <c r="AG817" s="140"/>
      <c r="AH817" s="140"/>
      <c r="AI817" s="128"/>
      <c r="AJ817" s="137"/>
      <c r="AK817" s="140"/>
      <c r="AL817" s="140"/>
    </row>
    <row r="818" ht="15.75" customHeight="1">
      <c r="A818" s="125">
        <v>817.0</v>
      </c>
      <c r="B818" s="138">
        <f t="shared" si="83"/>
        <v>10817</v>
      </c>
      <c r="C818" s="141" t="s">
        <v>1840</v>
      </c>
      <c r="D818" s="122" t="s">
        <v>2892</v>
      </c>
      <c r="E818" s="122" t="s">
        <v>34</v>
      </c>
      <c r="F818" s="127" t="s">
        <v>3009</v>
      </c>
      <c r="G818" s="127" t="s">
        <v>1439</v>
      </c>
      <c r="H818" s="128" t="s">
        <v>1844</v>
      </c>
      <c r="I818" s="140" t="s">
        <v>1906</v>
      </c>
      <c r="J818" s="149" t="s">
        <v>1876</v>
      </c>
      <c r="K818" s="136" t="s">
        <v>2348</v>
      </c>
      <c r="L818" s="128" t="s">
        <v>1844</v>
      </c>
      <c r="M818" s="128" t="s">
        <v>1845</v>
      </c>
      <c r="N818" s="140" t="s">
        <v>1844</v>
      </c>
      <c r="O818" s="140" t="s">
        <v>1879</v>
      </c>
      <c r="P818" s="140" t="s">
        <v>1862</v>
      </c>
      <c r="Q818" s="140"/>
      <c r="R818" s="144"/>
      <c r="S818" s="140"/>
      <c r="T818" s="140"/>
      <c r="U818" s="140"/>
      <c r="V818" s="140"/>
      <c r="W818" s="144"/>
      <c r="X818" s="128"/>
      <c r="Y818" s="128"/>
      <c r="Z818" s="140"/>
      <c r="AA818" s="140"/>
      <c r="AB818" s="140"/>
      <c r="AC818" s="140"/>
      <c r="AD818" s="140"/>
      <c r="AE818" s="140"/>
      <c r="AF818" s="140"/>
      <c r="AG818" s="140"/>
      <c r="AH818" s="140"/>
      <c r="AI818" s="128"/>
      <c r="AJ818" s="137"/>
      <c r="AK818" s="140"/>
      <c r="AL818" s="140"/>
    </row>
    <row r="819" ht="15.75" customHeight="1">
      <c r="A819" s="125">
        <v>818.0</v>
      </c>
      <c r="B819" s="138">
        <f t="shared" si="83"/>
        <v>10818</v>
      </c>
      <c r="C819" s="141" t="s">
        <v>1840</v>
      </c>
      <c r="D819" s="122" t="s">
        <v>2892</v>
      </c>
      <c r="E819" s="122" t="s">
        <v>20</v>
      </c>
      <c r="F819" s="269" t="s">
        <v>3010</v>
      </c>
      <c r="G819" s="269" t="s">
        <v>1440</v>
      </c>
      <c r="H819" s="128" t="s">
        <v>1844</v>
      </c>
      <c r="I819" s="140" t="s">
        <v>1843</v>
      </c>
      <c r="J819" s="149" t="s">
        <v>1844</v>
      </c>
      <c r="K819" s="136" t="s">
        <v>1844</v>
      </c>
      <c r="L819" s="128" t="s">
        <v>1844</v>
      </c>
      <c r="M819" s="128" t="s">
        <v>1845</v>
      </c>
      <c r="N819" s="140" t="s">
        <v>1844</v>
      </c>
      <c r="O819" s="140" t="s">
        <v>1844</v>
      </c>
      <c r="P819" s="140" t="s">
        <v>1862</v>
      </c>
      <c r="Q819" s="140"/>
      <c r="R819" s="144"/>
      <c r="S819" s="140" t="s">
        <v>1845</v>
      </c>
      <c r="T819" s="140" t="s">
        <v>1845</v>
      </c>
      <c r="U819" s="140"/>
      <c r="V819" s="140"/>
      <c r="W819" s="144"/>
      <c r="X819" s="128"/>
      <c r="Y819" s="128"/>
      <c r="Z819" s="140"/>
      <c r="AA819" s="140"/>
      <c r="AB819" s="140"/>
      <c r="AC819" s="140"/>
      <c r="AD819" s="140"/>
      <c r="AE819" s="140"/>
      <c r="AF819" s="140"/>
      <c r="AG819" s="140"/>
      <c r="AH819" s="140"/>
      <c r="AI819" s="128"/>
      <c r="AJ819" s="137"/>
      <c r="AK819" s="140"/>
      <c r="AL819" s="140"/>
    </row>
    <row r="820" ht="15.75" customHeight="1">
      <c r="A820" s="125">
        <v>819.0</v>
      </c>
      <c r="B820" s="138">
        <f t="shared" si="83"/>
        <v>10819</v>
      </c>
      <c r="C820" s="141" t="s">
        <v>1840</v>
      </c>
      <c r="D820" s="122" t="s">
        <v>2892</v>
      </c>
      <c r="E820" s="122" t="s">
        <v>34</v>
      </c>
      <c r="F820" s="269" t="s">
        <v>3011</v>
      </c>
      <c r="G820" s="126" t="s">
        <v>1441</v>
      </c>
      <c r="H820" s="128" t="s">
        <v>1844</v>
      </c>
      <c r="I820" s="140" t="s">
        <v>1906</v>
      </c>
      <c r="J820" s="149" t="s">
        <v>1876</v>
      </c>
      <c r="K820" s="136" t="s">
        <v>2348</v>
      </c>
      <c r="L820" s="128" t="s">
        <v>1844</v>
      </c>
      <c r="M820" s="128" t="s">
        <v>1845</v>
      </c>
      <c r="N820" s="140" t="s">
        <v>1844</v>
      </c>
      <c r="O820" s="140" t="s">
        <v>1879</v>
      </c>
      <c r="P820" s="140" t="s">
        <v>1862</v>
      </c>
      <c r="Q820" s="140"/>
      <c r="R820" s="144"/>
      <c r="S820" s="140"/>
      <c r="T820" s="140"/>
      <c r="U820" s="140"/>
      <c r="V820" s="140" t="s">
        <v>1845</v>
      </c>
      <c r="W820" s="144"/>
      <c r="X820" s="128" t="s">
        <v>1845</v>
      </c>
      <c r="Y820" s="128"/>
      <c r="Z820" s="140"/>
      <c r="AA820" s="140"/>
      <c r="AB820" s="140"/>
      <c r="AC820" s="140"/>
      <c r="AD820" s="140"/>
      <c r="AE820" s="140"/>
      <c r="AF820" s="140"/>
      <c r="AG820" s="140"/>
      <c r="AH820" s="140"/>
      <c r="AI820" s="128"/>
      <c r="AJ820" s="137"/>
      <c r="AK820" s="140"/>
      <c r="AL820" s="140"/>
    </row>
    <row r="821" ht="15.75" customHeight="1">
      <c r="A821" s="125">
        <v>820.0</v>
      </c>
      <c r="B821" s="123" t="s">
        <v>1742</v>
      </c>
      <c r="C821" s="141" t="s">
        <v>1840</v>
      </c>
      <c r="D821" s="122" t="s">
        <v>2892</v>
      </c>
      <c r="E821" s="122" t="s">
        <v>34</v>
      </c>
      <c r="F821" s="269" t="s">
        <v>3012</v>
      </c>
      <c r="G821" s="269" t="s">
        <v>3013</v>
      </c>
      <c r="H821" s="128" t="s">
        <v>1844</v>
      </c>
      <c r="I821" s="140" t="s">
        <v>1906</v>
      </c>
      <c r="J821" s="149" t="s">
        <v>1876</v>
      </c>
      <c r="K821" s="136" t="s">
        <v>2348</v>
      </c>
      <c r="L821" s="128" t="s">
        <v>1844</v>
      </c>
      <c r="M821" s="128" t="s">
        <v>1845</v>
      </c>
      <c r="N821" s="140" t="s">
        <v>1844</v>
      </c>
      <c r="O821" s="140" t="s">
        <v>1879</v>
      </c>
      <c r="P821" s="140" t="s">
        <v>1862</v>
      </c>
      <c r="Q821" s="140" t="s">
        <v>1845</v>
      </c>
      <c r="R821" s="144"/>
      <c r="S821" s="140"/>
      <c r="T821" s="140"/>
      <c r="U821" s="140"/>
      <c r="V821" s="140" t="s">
        <v>1845</v>
      </c>
      <c r="W821" s="144"/>
      <c r="X821" s="128"/>
      <c r="Y821" s="128"/>
      <c r="Z821" s="140"/>
      <c r="AA821" s="140"/>
      <c r="AB821" s="140"/>
      <c r="AC821" s="140"/>
      <c r="AD821" s="140"/>
      <c r="AE821" s="140"/>
      <c r="AF821" s="140"/>
      <c r="AG821" s="140"/>
      <c r="AH821" s="140"/>
      <c r="AI821" s="128"/>
      <c r="AJ821" s="137"/>
      <c r="AK821" s="140"/>
      <c r="AL821" s="140"/>
    </row>
    <row r="822" ht="15.75" customHeight="1">
      <c r="A822" s="125">
        <v>821.0</v>
      </c>
      <c r="B822" s="123" t="s">
        <v>1742</v>
      </c>
      <c r="C822" s="141" t="s">
        <v>1840</v>
      </c>
      <c r="D822" s="122" t="s">
        <v>2892</v>
      </c>
      <c r="E822" s="122" t="s">
        <v>20</v>
      </c>
      <c r="F822" s="359" t="s">
        <v>3014</v>
      </c>
      <c r="G822" s="126" t="s">
        <v>3015</v>
      </c>
      <c r="H822" s="128" t="s">
        <v>1844</v>
      </c>
      <c r="I822" s="140" t="s">
        <v>1843</v>
      </c>
      <c r="J822" s="149" t="s">
        <v>1844</v>
      </c>
      <c r="K822" s="136" t="s">
        <v>1844</v>
      </c>
      <c r="L822" s="128" t="s">
        <v>1844</v>
      </c>
      <c r="M822" s="128" t="s">
        <v>1845</v>
      </c>
      <c r="N822" s="140" t="s">
        <v>1844</v>
      </c>
      <c r="O822" s="140" t="s">
        <v>1844</v>
      </c>
      <c r="P822" s="140" t="s">
        <v>1862</v>
      </c>
      <c r="Q822" s="140" t="s">
        <v>1845</v>
      </c>
      <c r="R822" s="144"/>
      <c r="S822" s="140"/>
      <c r="T822" s="140"/>
      <c r="U822" s="140"/>
      <c r="V822" s="140"/>
      <c r="W822" s="144"/>
      <c r="X822" s="128"/>
      <c r="Y822" s="128"/>
      <c r="Z822" s="140"/>
      <c r="AA822" s="140"/>
      <c r="AB822" s="140"/>
      <c r="AC822" s="140"/>
      <c r="AD822" s="140"/>
      <c r="AE822" s="140"/>
      <c r="AF822" s="140"/>
      <c r="AG822" s="140"/>
      <c r="AH822" s="140"/>
      <c r="AI822" s="128"/>
      <c r="AJ822" s="137"/>
      <c r="AK822" s="140"/>
      <c r="AL822" s="140"/>
    </row>
    <row r="823" ht="15.75" customHeight="1">
      <c r="A823" s="141">
        <v>822.0</v>
      </c>
      <c r="B823" s="138">
        <f t="shared" ref="B823:B830" si="84">SUM(A823+10000)</f>
        <v>10822</v>
      </c>
      <c r="C823" s="141" t="s">
        <v>1840</v>
      </c>
      <c r="D823" s="122" t="s">
        <v>2892</v>
      </c>
      <c r="E823" s="303" t="s">
        <v>27</v>
      </c>
      <c r="F823" s="269" t="s">
        <v>3016</v>
      </c>
      <c r="G823" s="269" t="s">
        <v>1445</v>
      </c>
      <c r="H823" s="136" t="s">
        <v>1844</v>
      </c>
      <c r="I823" s="144" t="s">
        <v>1843</v>
      </c>
      <c r="J823" s="186" t="s">
        <v>1844</v>
      </c>
      <c r="K823" s="136" t="s">
        <v>1844</v>
      </c>
      <c r="L823" s="136" t="s">
        <v>1844</v>
      </c>
      <c r="M823" s="136" t="s">
        <v>1845</v>
      </c>
      <c r="N823" s="144" t="s">
        <v>1844</v>
      </c>
      <c r="O823" s="144" t="s">
        <v>1844</v>
      </c>
      <c r="P823" s="140" t="s">
        <v>1862</v>
      </c>
      <c r="Q823" s="144"/>
      <c r="R823" s="144"/>
      <c r="S823" s="144" t="s">
        <v>1845</v>
      </c>
      <c r="T823" s="144"/>
      <c r="U823" s="144"/>
      <c r="V823" s="144"/>
      <c r="W823" s="144"/>
      <c r="X823" s="136" t="s">
        <v>1845</v>
      </c>
      <c r="Y823" s="136"/>
      <c r="Z823" s="144"/>
      <c r="AA823" s="144"/>
      <c r="AB823" s="144"/>
      <c r="AC823" s="144"/>
      <c r="AD823" s="144"/>
      <c r="AE823" s="144"/>
      <c r="AF823" s="144"/>
      <c r="AG823" s="144"/>
      <c r="AH823" s="144"/>
      <c r="AI823" s="136"/>
      <c r="AJ823" s="316"/>
      <c r="AK823" s="140"/>
      <c r="AL823" s="140"/>
    </row>
    <row r="824" ht="15.75" customHeight="1">
      <c r="A824" s="241">
        <v>823.0</v>
      </c>
      <c r="B824" s="138">
        <f t="shared" si="84"/>
        <v>10823</v>
      </c>
      <c r="C824" s="264" t="s">
        <v>1840</v>
      </c>
      <c r="D824" s="241" t="s">
        <v>2892</v>
      </c>
      <c r="E824" s="233" t="s">
        <v>34</v>
      </c>
      <c r="F824" s="263" t="s">
        <v>3017</v>
      </c>
      <c r="G824" s="263" t="s">
        <v>1447</v>
      </c>
      <c r="H824" s="235" t="s">
        <v>1844</v>
      </c>
      <c r="I824" s="239" t="s">
        <v>1843</v>
      </c>
      <c r="J824" s="259" t="s">
        <v>1876</v>
      </c>
      <c r="K824" s="235" t="s">
        <v>2348</v>
      </c>
      <c r="L824" s="235" t="s">
        <v>1990</v>
      </c>
      <c r="M824" s="235" t="s">
        <v>1845</v>
      </c>
      <c r="N824" s="239" t="s">
        <v>1844</v>
      </c>
      <c r="O824" s="239" t="s">
        <v>1879</v>
      </c>
      <c r="P824" s="238" t="s">
        <v>1862</v>
      </c>
      <c r="Q824" s="239"/>
      <c r="R824" s="239"/>
      <c r="S824" s="239"/>
      <c r="T824" s="239"/>
      <c r="U824" s="239"/>
      <c r="V824" s="239"/>
      <c r="W824" s="239"/>
      <c r="X824" s="235" t="s">
        <v>1845</v>
      </c>
      <c r="Y824" s="235"/>
      <c r="Z824" s="239"/>
      <c r="AA824" s="239"/>
      <c r="AB824" s="239"/>
      <c r="AC824" s="239"/>
      <c r="AD824" s="239"/>
      <c r="AE824" s="239"/>
      <c r="AF824" s="239"/>
      <c r="AG824" s="239"/>
      <c r="AH824" s="239"/>
      <c r="AI824" s="235"/>
      <c r="AJ824" s="243" t="s">
        <v>1845</v>
      </c>
      <c r="AK824" s="140"/>
      <c r="AL824" s="140"/>
    </row>
    <row r="825" ht="15.75" customHeight="1">
      <c r="A825" s="241">
        <v>824.0</v>
      </c>
      <c r="B825" s="138">
        <f t="shared" si="84"/>
        <v>10824</v>
      </c>
      <c r="C825" s="264" t="s">
        <v>1840</v>
      </c>
      <c r="D825" s="241" t="s">
        <v>2892</v>
      </c>
      <c r="E825" s="233" t="s">
        <v>7</v>
      </c>
      <c r="F825" s="265" t="s">
        <v>3018</v>
      </c>
      <c r="G825" s="263" t="s">
        <v>1448</v>
      </c>
      <c r="H825" s="235" t="s">
        <v>1844</v>
      </c>
      <c r="I825" s="239" t="s">
        <v>1906</v>
      </c>
      <c r="J825" s="259" t="s">
        <v>1844</v>
      </c>
      <c r="K825" s="235" t="s">
        <v>1844</v>
      </c>
      <c r="L825" s="235" t="s">
        <v>1844</v>
      </c>
      <c r="M825" s="235" t="s">
        <v>1844</v>
      </c>
      <c r="N825" s="239" t="s">
        <v>1844</v>
      </c>
      <c r="O825" s="239" t="s">
        <v>1844</v>
      </c>
      <c r="P825" s="239" t="s">
        <v>1844</v>
      </c>
      <c r="Q825" s="239"/>
      <c r="R825" s="239"/>
      <c r="S825" s="239"/>
      <c r="T825" s="239"/>
      <c r="U825" s="239"/>
      <c r="V825" s="239"/>
      <c r="W825" s="239"/>
      <c r="X825" s="235"/>
      <c r="Y825" s="235"/>
      <c r="Z825" s="239"/>
      <c r="AA825" s="239"/>
      <c r="AB825" s="239"/>
      <c r="AC825" s="239"/>
      <c r="AD825" s="239"/>
      <c r="AE825" s="239"/>
      <c r="AF825" s="239"/>
      <c r="AG825" s="239"/>
      <c r="AH825" s="239"/>
      <c r="AI825" s="235"/>
      <c r="AJ825" s="243" t="s">
        <v>1845</v>
      </c>
      <c r="AK825" s="140"/>
      <c r="AL825" s="140"/>
    </row>
    <row r="826" ht="15.75" customHeight="1">
      <c r="A826" s="122">
        <v>825.0</v>
      </c>
      <c r="B826" s="138">
        <f t="shared" si="84"/>
        <v>10825</v>
      </c>
      <c r="C826" s="141" t="s">
        <v>1840</v>
      </c>
      <c r="D826" s="122" t="s">
        <v>2892</v>
      </c>
      <c r="E826" s="125" t="s">
        <v>34</v>
      </c>
      <c r="F826" s="359" t="s">
        <v>3019</v>
      </c>
      <c r="G826" s="269" t="s">
        <v>1449</v>
      </c>
      <c r="H826" s="136" t="s">
        <v>1844</v>
      </c>
      <c r="I826" s="144" t="s">
        <v>1906</v>
      </c>
      <c r="J826" s="186" t="s">
        <v>1902</v>
      </c>
      <c r="K826" s="136" t="s">
        <v>1877</v>
      </c>
      <c r="L826" s="136" t="s">
        <v>1884</v>
      </c>
      <c r="M826" s="136" t="s">
        <v>1845</v>
      </c>
      <c r="N826" s="144" t="s">
        <v>1903</v>
      </c>
      <c r="O826" s="144" t="s">
        <v>1879</v>
      </c>
      <c r="P826" s="144" t="s">
        <v>1862</v>
      </c>
      <c r="Q826" s="144"/>
      <c r="R826" s="144"/>
      <c r="S826" s="144"/>
      <c r="T826" s="144"/>
      <c r="U826" s="144" t="s">
        <v>1845</v>
      </c>
      <c r="V826" s="144"/>
      <c r="W826" s="144"/>
      <c r="X826" s="136" t="s">
        <v>1845</v>
      </c>
      <c r="Y826" s="136"/>
      <c r="Z826" s="144"/>
      <c r="AA826" s="144"/>
      <c r="AB826" s="144"/>
      <c r="AC826" s="144"/>
      <c r="AD826" s="144"/>
      <c r="AE826" s="144"/>
      <c r="AF826" s="144"/>
      <c r="AG826" s="144"/>
      <c r="AH826" s="144"/>
      <c r="AI826" s="136"/>
      <c r="AJ826" s="316"/>
      <c r="AK826" s="140"/>
      <c r="AL826" s="140"/>
    </row>
    <row r="827" ht="15.75" customHeight="1">
      <c r="A827" s="233">
        <v>826.0</v>
      </c>
      <c r="B827" s="138">
        <f t="shared" si="84"/>
        <v>10826</v>
      </c>
      <c r="C827" s="264" t="s">
        <v>1840</v>
      </c>
      <c r="D827" s="241" t="s">
        <v>2892</v>
      </c>
      <c r="E827" s="241" t="s">
        <v>7</v>
      </c>
      <c r="F827" s="263" t="s">
        <v>3020</v>
      </c>
      <c r="G827" s="263" t="s">
        <v>1450</v>
      </c>
      <c r="H827" s="237" t="s">
        <v>1844</v>
      </c>
      <c r="I827" s="238" t="s">
        <v>1906</v>
      </c>
      <c r="J827" s="236" t="s">
        <v>1844</v>
      </c>
      <c r="K827" s="237" t="s">
        <v>1844</v>
      </c>
      <c r="L827" s="237" t="s">
        <v>1844</v>
      </c>
      <c r="M827" s="237" t="s">
        <v>1844</v>
      </c>
      <c r="N827" s="238" t="s">
        <v>1844</v>
      </c>
      <c r="O827" s="238" t="s">
        <v>1844</v>
      </c>
      <c r="P827" s="238" t="s">
        <v>1844</v>
      </c>
      <c r="Q827" s="239"/>
      <c r="R827" s="238"/>
      <c r="S827" s="239"/>
      <c r="T827" s="239"/>
      <c r="U827" s="239"/>
      <c r="V827" s="239" t="s">
        <v>1845</v>
      </c>
      <c r="W827" s="238"/>
      <c r="X827" s="235"/>
      <c r="Y827" s="235"/>
      <c r="Z827" s="239"/>
      <c r="AA827" s="239"/>
      <c r="AB827" s="239"/>
      <c r="AC827" s="239"/>
      <c r="AD827" s="239"/>
      <c r="AE827" s="239"/>
      <c r="AF827" s="239"/>
      <c r="AG827" s="239"/>
      <c r="AH827" s="239"/>
      <c r="AI827" s="235"/>
      <c r="AJ827" s="243" t="s">
        <v>1845</v>
      </c>
      <c r="AK827" s="140"/>
      <c r="AL827" s="140"/>
    </row>
    <row r="828" ht="15.75" customHeight="1">
      <c r="A828" s="141">
        <v>827.0</v>
      </c>
      <c r="B828" s="138">
        <f t="shared" si="84"/>
        <v>10827</v>
      </c>
      <c r="C828" s="141" t="s">
        <v>1840</v>
      </c>
      <c r="D828" s="122" t="s">
        <v>2892</v>
      </c>
      <c r="E828" s="125" t="s">
        <v>34</v>
      </c>
      <c r="F828" s="229" t="s">
        <v>3021</v>
      </c>
      <c r="G828" s="270" t="s">
        <v>1451</v>
      </c>
      <c r="H828" s="136" t="s">
        <v>1844</v>
      </c>
      <c r="I828" s="144" t="s">
        <v>1906</v>
      </c>
      <c r="J828" s="186" t="s">
        <v>1876</v>
      </c>
      <c r="K828" s="136" t="s">
        <v>2348</v>
      </c>
      <c r="L828" s="136" t="s">
        <v>1878</v>
      </c>
      <c r="M828" s="136" t="s">
        <v>1845</v>
      </c>
      <c r="N828" s="144" t="s">
        <v>1844</v>
      </c>
      <c r="O828" s="144" t="s">
        <v>1879</v>
      </c>
      <c r="P828" s="140" t="s">
        <v>1862</v>
      </c>
      <c r="Q828" s="144"/>
      <c r="R828" s="144"/>
      <c r="S828" s="144"/>
      <c r="T828" s="144"/>
      <c r="U828" s="144"/>
      <c r="V828" s="144" t="s">
        <v>1845</v>
      </c>
      <c r="W828" s="144"/>
      <c r="X828" s="136" t="s">
        <v>1845</v>
      </c>
      <c r="Y828" s="136"/>
      <c r="Z828" s="144"/>
      <c r="AA828" s="144"/>
      <c r="AB828" s="144"/>
      <c r="AC828" s="144"/>
      <c r="AD828" s="144"/>
      <c r="AE828" s="144"/>
      <c r="AF828" s="144"/>
      <c r="AG828" s="144"/>
      <c r="AH828" s="144"/>
      <c r="AI828" s="136"/>
      <c r="AJ828" s="316"/>
      <c r="AK828" s="140"/>
      <c r="AL828" s="140"/>
    </row>
    <row r="829" ht="15.75" customHeight="1">
      <c r="A829" s="125">
        <v>828.0</v>
      </c>
      <c r="B829" s="138">
        <f t="shared" si="84"/>
        <v>10828</v>
      </c>
      <c r="C829" s="141" t="s">
        <v>1840</v>
      </c>
      <c r="D829" s="122" t="s">
        <v>2212</v>
      </c>
      <c r="E829" s="122" t="s">
        <v>34</v>
      </c>
      <c r="F829" s="127" t="s">
        <v>3022</v>
      </c>
      <c r="G829" s="126" t="s">
        <v>1452</v>
      </c>
      <c r="H829" s="128" t="s">
        <v>1844</v>
      </c>
      <c r="I829" s="140" t="s">
        <v>1843</v>
      </c>
      <c r="J829" s="186" t="s">
        <v>1876</v>
      </c>
      <c r="K829" s="136" t="s">
        <v>2348</v>
      </c>
      <c r="L829" s="136" t="s">
        <v>1844</v>
      </c>
      <c r="M829" s="136" t="s">
        <v>1845</v>
      </c>
      <c r="N829" s="144" t="s">
        <v>1844</v>
      </c>
      <c r="O829" s="144" t="s">
        <v>1879</v>
      </c>
      <c r="P829" s="144" t="s">
        <v>1862</v>
      </c>
      <c r="Q829" s="140"/>
      <c r="R829" s="144"/>
      <c r="S829" s="140" t="s">
        <v>1845</v>
      </c>
      <c r="T829" s="140"/>
      <c r="U829" s="140"/>
      <c r="V829" s="140"/>
      <c r="W829" s="144"/>
      <c r="X829" s="136"/>
      <c r="Y829" s="128"/>
      <c r="Z829" s="140"/>
      <c r="AA829" s="140"/>
      <c r="AB829" s="144"/>
      <c r="AC829" s="144"/>
      <c r="AD829" s="144"/>
      <c r="AE829" s="140"/>
      <c r="AF829" s="140"/>
      <c r="AG829" s="144"/>
      <c r="AH829" s="144"/>
      <c r="AI829" s="136"/>
      <c r="AJ829" s="316"/>
      <c r="AK829" s="140"/>
      <c r="AL829" s="140"/>
    </row>
    <row r="830" ht="15.75" customHeight="1">
      <c r="A830" s="264">
        <v>829.0</v>
      </c>
      <c r="B830" s="138">
        <f t="shared" si="84"/>
        <v>10829</v>
      </c>
      <c r="C830" s="264" t="s">
        <v>1840</v>
      </c>
      <c r="D830" s="241" t="s">
        <v>2892</v>
      </c>
      <c r="E830" s="336" t="s">
        <v>7</v>
      </c>
      <c r="F830" s="234" t="s">
        <v>3023</v>
      </c>
      <c r="G830" s="346" t="s">
        <v>1453</v>
      </c>
      <c r="H830" s="237" t="s">
        <v>1844</v>
      </c>
      <c r="I830" s="238" t="s">
        <v>1906</v>
      </c>
      <c r="J830" s="236" t="s">
        <v>1844</v>
      </c>
      <c r="K830" s="237" t="s">
        <v>1844</v>
      </c>
      <c r="L830" s="237" t="s">
        <v>1844</v>
      </c>
      <c r="M830" s="237" t="s">
        <v>1844</v>
      </c>
      <c r="N830" s="238" t="s">
        <v>1844</v>
      </c>
      <c r="O830" s="238" t="s">
        <v>1844</v>
      </c>
      <c r="P830" s="238" t="s">
        <v>1844</v>
      </c>
      <c r="Q830" s="238"/>
      <c r="R830" s="238"/>
      <c r="S830" s="238"/>
      <c r="T830" s="238"/>
      <c r="U830" s="238"/>
      <c r="V830" s="238" t="s">
        <v>1845</v>
      </c>
      <c r="W830" s="238"/>
      <c r="X830" s="237" t="s">
        <v>1845</v>
      </c>
      <c r="Y830" s="237"/>
      <c r="Z830" s="238"/>
      <c r="AA830" s="238"/>
      <c r="AB830" s="238"/>
      <c r="AC830" s="238"/>
      <c r="AD830" s="238"/>
      <c r="AE830" s="238"/>
      <c r="AF830" s="238"/>
      <c r="AG830" s="238"/>
      <c r="AH830" s="238"/>
      <c r="AI830" s="237"/>
      <c r="AJ830" s="338" t="s">
        <v>1845</v>
      </c>
      <c r="AK830" s="140"/>
      <c r="AL830" s="140"/>
    </row>
    <row r="831" ht="15.75" customHeight="1">
      <c r="A831" s="264">
        <v>830.0</v>
      </c>
      <c r="B831" s="123" t="s">
        <v>1742</v>
      </c>
      <c r="C831" s="264" t="s">
        <v>1840</v>
      </c>
      <c r="D831" s="241" t="s">
        <v>2892</v>
      </c>
      <c r="E831" s="336" t="s">
        <v>7</v>
      </c>
      <c r="F831" s="263" t="s">
        <v>3024</v>
      </c>
      <c r="G831" s="263" t="s">
        <v>3025</v>
      </c>
      <c r="H831" s="237" t="s">
        <v>1844</v>
      </c>
      <c r="I831" s="238" t="s">
        <v>1843</v>
      </c>
      <c r="J831" s="236" t="s">
        <v>1844</v>
      </c>
      <c r="K831" s="237" t="s">
        <v>1844</v>
      </c>
      <c r="L831" s="237" t="s">
        <v>1844</v>
      </c>
      <c r="M831" s="237" t="s">
        <v>1844</v>
      </c>
      <c r="N831" s="238" t="s">
        <v>1844</v>
      </c>
      <c r="O831" s="238" t="s">
        <v>1844</v>
      </c>
      <c r="P831" s="238" t="s">
        <v>1844</v>
      </c>
      <c r="Q831" s="238" t="s">
        <v>1845</v>
      </c>
      <c r="R831" s="238"/>
      <c r="S831" s="238"/>
      <c r="T831" s="238"/>
      <c r="U831" s="238"/>
      <c r="V831" s="238"/>
      <c r="W831" s="238"/>
      <c r="X831" s="237"/>
      <c r="Y831" s="237"/>
      <c r="Z831" s="238" t="s">
        <v>1845</v>
      </c>
      <c r="AA831" s="238"/>
      <c r="AB831" s="238"/>
      <c r="AC831" s="238"/>
      <c r="AD831" s="238"/>
      <c r="AE831" s="238"/>
      <c r="AF831" s="238"/>
      <c r="AG831" s="238"/>
      <c r="AH831" s="238"/>
      <c r="AI831" s="237"/>
      <c r="AJ831" s="338" t="s">
        <v>1845</v>
      </c>
      <c r="AK831" s="140"/>
      <c r="AL831" s="140"/>
    </row>
    <row r="832" ht="15.75" customHeight="1">
      <c r="A832" s="125">
        <v>831.0</v>
      </c>
      <c r="B832" s="123" t="s">
        <v>1742</v>
      </c>
      <c r="C832" s="141" t="s">
        <v>1840</v>
      </c>
      <c r="D832" s="122" t="s">
        <v>2892</v>
      </c>
      <c r="E832" s="295" t="s">
        <v>7</v>
      </c>
      <c r="F832" s="269" t="s">
        <v>3026</v>
      </c>
      <c r="G832" s="127" t="s">
        <v>3027</v>
      </c>
      <c r="H832" s="128" t="s">
        <v>1844</v>
      </c>
      <c r="I832" s="140" t="s">
        <v>1843</v>
      </c>
      <c r="J832" s="186" t="s">
        <v>1844</v>
      </c>
      <c r="K832" s="136" t="s">
        <v>1844</v>
      </c>
      <c r="L832" s="136" t="s">
        <v>1844</v>
      </c>
      <c r="M832" s="136" t="s">
        <v>1844</v>
      </c>
      <c r="N832" s="144" t="s">
        <v>1844</v>
      </c>
      <c r="O832" s="144" t="s">
        <v>1844</v>
      </c>
      <c r="P832" s="144" t="s">
        <v>1844</v>
      </c>
      <c r="Q832" s="140" t="s">
        <v>1845</v>
      </c>
      <c r="R832" s="144"/>
      <c r="S832" s="140"/>
      <c r="T832" s="140"/>
      <c r="U832" s="140"/>
      <c r="V832" s="140"/>
      <c r="W832" s="144"/>
      <c r="X832" s="128"/>
      <c r="Y832" s="128"/>
      <c r="Z832" s="140"/>
      <c r="AA832" s="140"/>
      <c r="AB832" s="140"/>
      <c r="AC832" s="140"/>
      <c r="AD832" s="140"/>
      <c r="AE832" s="140"/>
      <c r="AF832" s="140"/>
      <c r="AG832" s="140"/>
      <c r="AH832" s="140"/>
      <c r="AI832" s="128"/>
      <c r="AJ832" s="137"/>
      <c r="AK832" s="140"/>
      <c r="AL832" s="140"/>
    </row>
    <row r="833" ht="15.75" customHeight="1">
      <c r="A833" s="141">
        <v>832.0</v>
      </c>
      <c r="B833" s="138">
        <f t="shared" ref="B833:B836" si="85">SUM(A833+10000)</f>
        <v>10832</v>
      </c>
      <c r="C833" s="141" t="s">
        <v>1840</v>
      </c>
      <c r="D833" s="122" t="s">
        <v>2892</v>
      </c>
      <c r="E833" s="295" t="s">
        <v>7</v>
      </c>
      <c r="F833" s="269" t="s">
        <v>3028</v>
      </c>
      <c r="G833" s="271" t="s">
        <v>1456</v>
      </c>
      <c r="H833" s="136" t="s">
        <v>1844</v>
      </c>
      <c r="I833" s="144" t="s">
        <v>1843</v>
      </c>
      <c r="J833" s="186" t="s">
        <v>1844</v>
      </c>
      <c r="K833" s="136" t="s">
        <v>1844</v>
      </c>
      <c r="L833" s="136" t="s">
        <v>1844</v>
      </c>
      <c r="M833" s="136" t="s">
        <v>1844</v>
      </c>
      <c r="N833" s="144" t="s">
        <v>1844</v>
      </c>
      <c r="O833" s="144" t="s">
        <v>1844</v>
      </c>
      <c r="P833" s="144" t="s">
        <v>1844</v>
      </c>
      <c r="Q833" s="144"/>
      <c r="R833" s="144"/>
      <c r="S833" s="144" t="s">
        <v>1845</v>
      </c>
      <c r="T833" s="144"/>
      <c r="U833" s="144"/>
      <c r="V833" s="144"/>
      <c r="W833" s="144"/>
      <c r="X833" s="136"/>
      <c r="Y833" s="136"/>
      <c r="Z833" s="144"/>
      <c r="AA833" s="144"/>
      <c r="AB833" s="144"/>
      <c r="AC833" s="144"/>
      <c r="AD833" s="144"/>
      <c r="AE833" s="144"/>
      <c r="AF833" s="144"/>
      <c r="AG833" s="144"/>
      <c r="AH833" s="144"/>
      <c r="AI833" s="136" t="s">
        <v>1845</v>
      </c>
      <c r="AJ833" s="316"/>
      <c r="AK833" s="140"/>
      <c r="AL833" s="140"/>
    </row>
    <row r="834" ht="15.75" customHeight="1">
      <c r="A834" s="141">
        <v>833.0</v>
      </c>
      <c r="B834" s="138">
        <f t="shared" si="85"/>
        <v>10833</v>
      </c>
      <c r="C834" s="141" t="s">
        <v>1840</v>
      </c>
      <c r="D834" s="122" t="s">
        <v>2892</v>
      </c>
      <c r="E834" s="295" t="s">
        <v>34</v>
      </c>
      <c r="F834" s="269" t="s">
        <v>3029</v>
      </c>
      <c r="G834" s="269" t="s">
        <v>1457</v>
      </c>
      <c r="H834" s="136" t="s">
        <v>1844</v>
      </c>
      <c r="I834" s="144" t="s">
        <v>1843</v>
      </c>
      <c r="J834" s="186" t="s">
        <v>1876</v>
      </c>
      <c r="K834" s="136" t="s">
        <v>2348</v>
      </c>
      <c r="L834" s="136" t="s">
        <v>1844</v>
      </c>
      <c r="M834" s="136" t="s">
        <v>1845</v>
      </c>
      <c r="N834" s="144" t="s">
        <v>1844</v>
      </c>
      <c r="O834" s="144" t="s">
        <v>1879</v>
      </c>
      <c r="P834" s="144" t="s">
        <v>1862</v>
      </c>
      <c r="Q834" s="144"/>
      <c r="R834" s="144"/>
      <c r="S834" s="144" t="s">
        <v>1845</v>
      </c>
      <c r="T834" s="144"/>
      <c r="U834" s="144"/>
      <c r="V834" s="144"/>
      <c r="W834" s="144"/>
      <c r="X834" s="136"/>
      <c r="Y834" s="136"/>
      <c r="Z834" s="144"/>
      <c r="AA834" s="144"/>
      <c r="AB834" s="144"/>
      <c r="AC834" s="144"/>
      <c r="AD834" s="144"/>
      <c r="AE834" s="144"/>
      <c r="AF834" s="144"/>
      <c r="AG834" s="144"/>
      <c r="AH834" s="144"/>
      <c r="AI834" s="136"/>
      <c r="AJ834" s="316"/>
      <c r="AK834" s="140"/>
      <c r="AL834" s="140"/>
    </row>
    <row r="835" ht="15.75" customHeight="1">
      <c r="A835" s="125">
        <v>834.0</v>
      </c>
      <c r="B835" s="138">
        <f t="shared" si="85"/>
        <v>10834</v>
      </c>
      <c r="C835" s="141" t="s">
        <v>1840</v>
      </c>
      <c r="D835" s="295" t="s">
        <v>2892</v>
      </c>
      <c r="E835" s="295" t="s">
        <v>7</v>
      </c>
      <c r="F835" s="273" t="s">
        <v>3030</v>
      </c>
      <c r="G835" s="360" t="s">
        <v>1458</v>
      </c>
      <c r="H835" s="128" t="s">
        <v>1844</v>
      </c>
      <c r="I835" s="140" t="s">
        <v>2018</v>
      </c>
      <c r="J835" s="149" t="s">
        <v>1844</v>
      </c>
      <c r="K835" s="136" t="s">
        <v>1844</v>
      </c>
      <c r="L835" s="128" t="s">
        <v>1844</v>
      </c>
      <c r="M835" s="128" t="s">
        <v>1844</v>
      </c>
      <c r="N835" s="140" t="s">
        <v>1844</v>
      </c>
      <c r="O835" s="140" t="s">
        <v>1844</v>
      </c>
      <c r="P835" s="140" t="s">
        <v>1844</v>
      </c>
      <c r="Q835" s="140"/>
      <c r="R835" s="144" t="s">
        <v>1845</v>
      </c>
      <c r="S835" s="140"/>
      <c r="T835" s="140"/>
      <c r="U835" s="140"/>
      <c r="V835" s="140"/>
      <c r="W835" s="144"/>
      <c r="X835" s="128"/>
      <c r="Y835" s="128"/>
      <c r="Z835" s="140"/>
      <c r="AA835" s="140"/>
      <c r="AB835" s="140"/>
      <c r="AC835" s="140"/>
      <c r="AD835" s="140"/>
      <c r="AE835" s="140"/>
      <c r="AF835" s="140"/>
      <c r="AG835" s="140"/>
      <c r="AH835" s="140" t="s">
        <v>1845</v>
      </c>
      <c r="AI835" s="128"/>
      <c r="AJ835" s="137"/>
      <c r="AK835" s="140"/>
      <c r="AL835" s="140"/>
    </row>
    <row r="836" ht="15.75" customHeight="1">
      <c r="A836" s="174">
        <v>835.0</v>
      </c>
      <c r="B836" s="138">
        <f t="shared" si="85"/>
        <v>10835</v>
      </c>
      <c r="C836" s="122" t="s">
        <v>1840</v>
      </c>
      <c r="D836" s="122" t="s">
        <v>2892</v>
      </c>
      <c r="E836" s="122" t="s">
        <v>34</v>
      </c>
      <c r="F836" s="205" t="s">
        <v>3031</v>
      </c>
      <c r="G836" s="271" t="s">
        <v>1459</v>
      </c>
      <c r="H836" s="128" t="s">
        <v>1844</v>
      </c>
      <c r="I836" s="140" t="s">
        <v>1843</v>
      </c>
      <c r="J836" s="149" t="s">
        <v>1876</v>
      </c>
      <c r="K836" s="136" t="s">
        <v>2348</v>
      </c>
      <c r="L836" s="128" t="s">
        <v>1844</v>
      </c>
      <c r="M836" s="128" t="s">
        <v>1845</v>
      </c>
      <c r="N836" s="140" t="s">
        <v>1844</v>
      </c>
      <c r="O836" s="140" t="s">
        <v>1879</v>
      </c>
      <c r="P836" s="144" t="s">
        <v>1862</v>
      </c>
      <c r="Q836" s="140"/>
      <c r="R836" s="144"/>
      <c r="S836" s="140" t="s">
        <v>1845</v>
      </c>
      <c r="T836" s="140"/>
      <c r="U836" s="140"/>
      <c r="V836" s="140"/>
      <c r="W836" s="144"/>
      <c r="X836" s="128"/>
      <c r="Y836" s="128"/>
      <c r="Z836" s="140"/>
      <c r="AA836" s="140"/>
      <c r="AB836" s="140"/>
      <c r="AC836" s="140"/>
      <c r="AD836" s="140"/>
      <c r="AE836" s="140"/>
      <c r="AF836" s="140"/>
      <c r="AG836" s="140"/>
      <c r="AH836" s="140"/>
      <c r="AI836" s="128" t="s">
        <v>1845</v>
      </c>
      <c r="AJ836" s="137"/>
      <c r="AK836" s="140"/>
      <c r="AL836" s="140"/>
    </row>
    <row r="837" ht="15.75" customHeight="1">
      <c r="A837" s="233">
        <v>836.0</v>
      </c>
      <c r="B837" s="123" t="s">
        <v>1742</v>
      </c>
      <c r="C837" s="361" t="s">
        <v>1840</v>
      </c>
      <c r="D837" s="362" t="s">
        <v>2892</v>
      </c>
      <c r="E837" s="363" t="s">
        <v>7</v>
      </c>
      <c r="F837" s="263" t="s">
        <v>3032</v>
      </c>
      <c r="G837" s="263" t="s">
        <v>1460</v>
      </c>
      <c r="H837" s="235" t="s">
        <v>1844</v>
      </c>
      <c r="I837" s="239" t="s">
        <v>1843</v>
      </c>
      <c r="J837" s="259" t="s">
        <v>1844</v>
      </c>
      <c r="K837" s="237" t="s">
        <v>1844</v>
      </c>
      <c r="L837" s="235" t="s">
        <v>1844</v>
      </c>
      <c r="M837" s="235" t="s">
        <v>1844</v>
      </c>
      <c r="N837" s="239" t="s">
        <v>1844</v>
      </c>
      <c r="O837" s="239" t="s">
        <v>1844</v>
      </c>
      <c r="P837" s="239" t="s">
        <v>1844</v>
      </c>
      <c r="Q837" s="239" t="s">
        <v>1845</v>
      </c>
      <c r="R837" s="238"/>
      <c r="S837" s="239" t="s">
        <v>1845</v>
      </c>
      <c r="T837" s="239"/>
      <c r="U837" s="239"/>
      <c r="V837" s="239"/>
      <c r="W837" s="238"/>
      <c r="X837" s="235" t="s">
        <v>1845</v>
      </c>
      <c r="Y837" s="235"/>
      <c r="Z837" s="239"/>
      <c r="AA837" s="239"/>
      <c r="AB837" s="239"/>
      <c r="AC837" s="239"/>
      <c r="AD837" s="239"/>
      <c r="AE837" s="239"/>
      <c r="AF837" s="239"/>
      <c r="AG837" s="239"/>
      <c r="AH837" s="239"/>
      <c r="AI837" s="235"/>
      <c r="AJ837" s="243" t="s">
        <v>1845</v>
      </c>
      <c r="AK837" s="140"/>
      <c r="AL837" s="140"/>
    </row>
    <row r="838" ht="15.75" customHeight="1">
      <c r="A838" s="233">
        <v>837.0</v>
      </c>
      <c r="B838" s="138">
        <f t="shared" ref="B838:B839" si="86">SUM(A838+10000)</f>
        <v>10837</v>
      </c>
      <c r="C838" s="264" t="s">
        <v>1840</v>
      </c>
      <c r="D838" s="241" t="s">
        <v>2892</v>
      </c>
      <c r="E838" s="336" t="s">
        <v>7</v>
      </c>
      <c r="F838" s="263" t="s">
        <v>3033</v>
      </c>
      <c r="G838" s="364" t="s">
        <v>1461</v>
      </c>
      <c r="H838" s="235" t="s">
        <v>1844</v>
      </c>
      <c r="I838" s="239" t="s">
        <v>1843</v>
      </c>
      <c r="J838" s="259" t="s">
        <v>1844</v>
      </c>
      <c r="K838" s="237" t="s">
        <v>1844</v>
      </c>
      <c r="L838" s="235" t="s">
        <v>1844</v>
      </c>
      <c r="M838" s="235" t="s">
        <v>1844</v>
      </c>
      <c r="N838" s="239" t="s">
        <v>1844</v>
      </c>
      <c r="O838" s="239" t="s">
        <v>1844</v>
      </c>
      <c r="P838" s="239" t="s">
        <v>1844</v>
      </c>
      <c r="Q838" s="239"/>
      <c r="R838" s="238"/>
      <c r="S838" s="239" t="s">
        <v>1845</v>
      </c>
      <c r="T838" s="239"/>
      <c r="U838" s="239"/>
      <c r="V838" s="239"/>
      <c r="W838" s="238"/>
      <c r="X838" s="235"/>
      <c r="Y838" s="235"/>
      <c r="Z838" s="239"/>
      <c r="AA838" s="239"/>
      <c r="AB838" s="239"/>
      <c r="AC838" s="239"/>
      <c r="AD838" s="239"/>
      <c r="AE838" s="239"/>
      <c r="AF838" s="239"/>
      <c r="AG838" s="239"/>
      <c r="AH838" s="239"/>
      <c r="AI838" s="235" t="s">
        <v>1845</v>
      </c>
      <c r="AJ838" s="243" t="s">
        <v>1845</v>
      </c>
      <c r="AK838" s="140"/>
      <c r="AL838" s="140"/>
    </row>
    <row r="839" ht="15.75" customHeight="1">
      <c r="A839" s="233">
        <v>838.0</v>
      </c>
      <c r="B839" s="138">
        <f t="shared" si="86"/>
        <v>10838</v>
      </c>
      <c r="C839" s="264" t="s">
        <v>1840</v>
      </c>
      <c r="D839" s="241" t="s">
        <v>2892</v>
      </c>
      <c r="E839" s="336" t="s">
        <v>7</v>
      </c>
      <c r="F839" s="263" t="s">
        <v>3034</v>
      </c>
      <c r="G839" s="364" t="s">
        <v>1462</v>
      </c>
      <c r="H839" s="235" t="s">
        <v>1844</v>
      </c>
      <c r="I839" s="239" t="s">
        <v>1843</v>
      </c>
      <c r="J839" s="259" t="s">
        <v>1844</v>
      </c>
      <c r="K839" s="237" t="s">
        <v>1844</v>
      </c>
      <c r="L839" s="235" t="s">
        <v>1844</v>
      </c>
      <c r="M839" s="235" t="s">
        <v>1844</v>
      </c>
      <c r="N839" s="239" t="s">
        <v>1844</v>
      </c>
      <c r="O839" s="239" t="s">
        <v>1844</v>
      </c>
      <c r="P839" s="239" t="s">
        <v>1844</v>
      </c>
      <c r="Q839" s="239"/>
      <c r="R839" s="238"/>
      <c r="S839" s="239" t="s">
        <v>1845</v>
      </c>
      <c r="T839" s="239"/>
      <c r="U839" s="239"/>
      <c r="V839" s="239"/>
      <c r="W839" s="238"/>
      <c r="X839" s="235"/>
      <c r="Y839" s="235"/>
      <c r="Z839" s="239"/>
      <c r="AA839" s="239"/>
      <c r="AB839" s="239"/>
      <c r="AC839" s="239"/>
      <c r="AD839" s="239"/>
      <c r="AE839" s="239"/>
      <c r="AF839" s="239"/>
      <c r="AG839" s="239"/>
      <c r="AH839" s="239"/>
      <c r="AI839" s="235" t="s">
        <v>1845</v>
      </c>
      <c r="AJ839" s="243" t="s">
        <v>1845</v>
      </c>
      <c r="AK839" s="140"/>
      <c r="AL839" s="140"/>
    </row>
    <row r="840" ht="15.75" customHeight="1">
      <c r="A840" s="141">
        <v>839.0</v>
      </c>
      <c r="B840" s="123" t="s">
        <v>1742</v>
      </c>
      <c r="C840" s="141" t="s">
        <v>1840</v>
      </c>
      <c r="D840" s="295" t="s">
        <v>2552</v>
      </c>
      <c r="E840" s="295" t="s">
        <v>7</v>
      </c>
      <c r="F840" s="273" t="s">
        <v>3035</v>
      </c>
      <c r="G840" s="360" t="s">
        <v>3036</v>
      </c>
      <c r="H840" s="128" t="s">
        <v>1844</v>
      </c>
      <c r="I840" s="140" t="s">
        <v>1843</v>
      </c>
      <c r="J840" s="149" t="s">
        <v>1844</v>
      </c>
      <c r="K840" s="136" t="s">
        <v>1844</v>
      </c>
      <c r="L840" s="128" t="s">
        <v>1844</v>
      </c>
      <c r="M840" s="128" t="s">
        <v>1844</v>
      </c>
      <c r="N840" s="140" t="s">
        <v>1844</v>
      </c>
      <c r="O840" s="140" t="s">
        <v>1844</v>
      </c>
      <c r="P840" s="140" t="s">
        <v>1844</v>
      </c>
      <c r="Q840" s="144" t="s">
        <v>1845</v>
      </c>
      <c r="R840" s="144"/>
      <c r="S840" s="144" t="s">
        <v>1845</v>
      </c>
      <c r="T840" s="144"/>
      <c r="U840" s="144"/>
      <c r="V840" s="144"/>
      <c r="W840" s="144"/>
      <c r="X840" s="136"/>
      <c r="Y840" s="136"/>
      <c r="Z840" s="144"/>
      <c r="AA840" s="144"/>
      <c r="AB840" s="144"/>
      <c r="AC840" s="144"/>
      <c r="AD840" s="144"/>
      <c r="AE840" s="144"/>
      <c r="AF840" s="144"/>
      <c r="AG840" s="144"/>
      <c r="AH840" s="144"/>
      <c r="AI840" s="136"/>
      <c r="AJ840" s="316"/>
      <c r="AK840" s="140"/>
      <c r="AL840" s="140"/>
    </row>
    <row r="841" ht="15.75" customHeight="1">
      <c r="A841" s="141">
        <v>840.0</v>
      </c>
      <c r="B841" s="138">
        <f t="shared" ref="B841:B845" si="87">SUM(A841+10000)</f>
        <v>10840</v>
      </c>
      <c r="C841" s="141" t="s">
        <v>1840</v>
      </c>
      <c r="D841" s="122" t="s">
        <v>2892</v>
      </c>
      <c r="E841" s="295" t="s">
        <v>20</v>
      </c>
      <c r="F841" s="269" t="s">
        <v>3037</v>
      </c>
      <c r="G841" s="269" t="s">
        <v>1464</v>
      </c>
      <c r="H841" s="136" t="s">
        <v>1844</v>
      </c>
      <c r="I841" s="144" t="s">
        <v>1843</v>
      </c>
      <c r="J841" s="186" t="s">
        <v>1844</v>
      </c>
      <c r="K841" s="136" t="s">
        <v>1844</v>
      </c>
      <c r="L841" s="136" t="s">
        <v>1844</v>
      </c>
      <c r="M841" s="136" t="s">
        <v>1845</v>
      </c>
      <c r="N841" s="144" t="s">
        <v>1844</v>
      </c>
      <c r="O841" s="144" t="s">
        <v>1844</v>
      </c>
      <c r="P841" s="140" t="s">
        <v>1862</v>
      </c>
      <c r="Q841" s="144"/>
      <c r="R841" s="144"/>
      <c r="S841" s="144" t="s">
        <v>1845</v>
      </c>
      <c r="T841" s="144" t="s">
        <v>1845</v>
      </c>
      <c r="U841" s="144"/>
      <c r="V841" s="144"/>
      <c r="W841" s="144"/>
      <c r="X841" s="136"/>
      <c r="Y841" s="136"/>
      <c r="Z841" s="144"/>
      <c r="AA841" s="144"/>
      <c r="AB841" s="144"/>
      <c r="AC841" s="144"/>
      <c r="AD841" s="144"/>
      <c r="AE841" s="144"/>
      <c r="AF841" s="144"/>
      <c r="AG841" s="144"/>
      <c r="AH841" s="144"/>
      <c r="AI841" s="136"/>
      <c r="AJ841" s="316"/>
      <c r="AK841" s="140"/>
      <c r="AL841" s="140"/>
    </row>
    <row r="842" ht="15.75" customHeight="1">
      <c r="A842" s="141">
        <v>841.0</v>
      </c>
      <c r="B842" s="138">
        <f t="shared" si="87"/>
        <v>10841</v>
      </c>
      <c r="C842" s="141" t="s">
        <v>1840</v>
      </c>
      <c r="D842" s="122" t="s">
        <v>2892</v>
      </c>
      <c r="E842" s="295" t="s">
        <v>20</v>
      </c>
      <c r="F842" s="334" t="s">
        <v>2972</v>
      </c>
      <c r="G842" s="334" t="s">
        <v>1465</v>
      </c>
      <c r="H842" s="136" t="s">
        <v>1844</v>
      </c>
      <c r="I842" s="144" t="s">
        <v>1843</v>
      </c>
      <c r="J842" s="186" t="s">
        <v>1844</v>
      </c>
      <c r="K842" s="136" t="s">
        <v>1844</v>
      </c>
      <c r="L842" s="136" t="s">
        <v>1844</v>
      </c>
      <c r="M842" s="136" t="s">
        <v>1845</v>
      </c>
      <c r="N842" s="144" t="s">
        <v>1844</v>
      </c>
      <c r="O842" s="144" t="s">
        <v>1844</v>
      </c>
      <c r="P842" s="140" t="s">
        <v>1862</v>
      </c>
      <c r="Q842" s="144"/>
      <c r="R842" s="144"/>
      <c r="S842" s="144" t="s">
        <v>1845</v>
      </c>
      <c r="T842" s="144"/>
      <c r="U842" s="144"/>
      <c r="V842" s="144"/>
      <c r="W842" s="144"/>
      <c r="X842" s="136"/>
      <c r="Y842" s="136"/>
      <c r="Z842" s="144"/>
      <c r="AA842" s="144"/>
      <c r="AB842" s="144"/>
      <c r="AC842" s="144"/>
      <c r="AD842" s="144"/>
      <c r="AE842" s="144"/>
      <c r="AF842" s="144" t="s">
        <v>1845</v>
      </c>
      <c r="AG842" s="144"/>
      <c r="AH842" s="144"/>
      <c r="AI842" s="136"/>
      <c r="AJ842" s="316"/>
      <c r="AK842" s="140"/>
      <c r="AL842" s="140"/>
    </row>
    <row r="843" ht="15.75" customHeight="1">
      <c r="A843" s="125">
        <v>842.0</v>
      </c>
      <c r="B843" s="138">
        <f t="shared" si="87"/>
        <v>10842</v>
      </c>
      <c r="C843" s="141" t="s">
        <v>1840</v>
      </c>
      <c r="D843" s="122" t="s">
        <v>2892</v>
      </c>
      <c r="E843" s="295" t="s">
        <v>20</v>
      </c>
      <c r="F843" s="127" t="s">
        <v>3038</v>
      </c>
      <c r="G843" s="126" t="s">
        <v>1466</v>
      </c>
      <c r="H843" s="128" t="s">
        <v>1844</v>
      </c>
      <c r="I843" s="140" t="s">
        <v>1843</v>
      </c>
      <c r="J843" s="186" t="s">
        <v>1844</v>
      </c>
      <c r="K843" s="136" t="s">
        <v>1844</v>
      </c>
      <c r="L843" s="136" t="s">
        <v>1844</v>
      </c>
      <c r="M843" s="136" t="s">
        <v>1845</v>
      </c>
      <c r="N843" s="144" t="s">
        <v>1844</v>
      </c>
      <c r="O843" s="144" t="s">
        <v>1844</v>
      </c>
      <c r="P843" s="140" t="s">
        <v>1862</v>
      </c>
      <c r="Q843" s="140"/>
      <c r="R843" s="144"/>
      <c r="S843" s="140" t="s">
        <v>1845</v>
      </c>
      <c r="T843" s="140" t="s">
        <v>1845</v>
      </c>
      <c r="U843" s="140"/>
      <c r="V843" s="140"/>
      <c r="W843" s="144" t="s">
        <v>1845</v>
      </c>
      <c r="X843" s="128"/>
      <c r="Y843" s="128"/>
      <c r="Z843" s="140"/>
      <c r="AA843" s="140"/>
      <c r="AB843" s="140"/>
      <c r="AC843" s="140"/>
      <c r="AD843" s="140"/>
      <c r="AE843" s="140"/>
      <c r="AF843" s="140"/>
      <c r="AG843" s="140"/>
      <c r="AH843" s="140"/>
      <c r="AI843" s="128"/>
      <c r="AJ843" s="137"/>
      <c r="AK843" s="140"/>
      <c r="AL843" s="140"/>
    </row>
    <row r="844" ht="15.75" customHeight="1">
      <c r="A844" s="141">
        <v>843.0</v>
      </c>
      <c r="B844" s="138">
        <f t="shared" si="87"/>
        <v>10843</v>
      </c>
      <c r="C844" s="141" t="s">
        <v>1840</v>
      </c>
      <c r="D844" s="122" t="s">
        <v>2892</v>
      </c>
      <c r="E844" s="295" t="s">
        <v>20</v>
      </c>
      <c r="F844" s="142" t="s">
        <v>3039</v>
      </c>
      <c r="G844" s="339" t="s">
        <v>1467</v>
      </c>
      <c r="H844" s="128" t="s">
        <v>1844</v>
      </c>
      <c r="I844" s="140" t="s">
        <v>1843</v>
      </c>
      <c r="J844" s="186" t="s">
        <v>1844</v>
      </c>
      <c r="K844" s="136" t="s">
        <v>1844</v>
      </c>
      <c r="L844" s="136" t="s">
        <v>1844</v>
      </c>
      <c r="M844" s="136" t="s">
        <v>1845</v>
      </c>
      <c r="N844" s="144" t="s">
        <v>1844</v>
      </c>
      <c r="O844" s="144" t="s">
        <v>1844</v>
      </c>
      <c r="P844" s="140" t="s">
        <v>1862</v>
      </c>
      <c r="Q844" s="140"/>
      <c r="R844" s="144"/>
      <c r="S844" s="140" t="s">
        <v>1845</v>
      </c>
      <c r="T844" s="140" t="s">
        <v>1845</v>
      </c>
      <c r="U844" s="140"/>
      <c r="V844" s="140"/>
      <c r="W844" s="144"/>
      <c r="X844" s="128"/>
      <c r="Y844" s="128"/>
      <c r="Z844" s="140"/>
      <c r="AA844" s="140"/>
      <c r="AB844" s="140"/>
      <c r="AC844" s="140"/>
      <c r="AD844" s="140"/>
      <c r="AE844" s="140"/>
      <c r="AF844" s="140"/>
      <c r="AG844" s="140"/>
      <c r="AH844" s="140"/>
      <c r="AI844" s="128" t="s">
        <v>1845</v>
      </c>
      <c r="AJ844" s="137"/>
      <c r="AK844" s="140"/>
      <c r="AL844" s="140"/>
    </row>
    <row r="845" ht="15.75" customHeight="1">
      <c r="A845" s="125">
        <v>844.0</v>
      </c>
      <c r="B845" s="138">
        <f t="shared" si="87"/>
        <v>10844</v>
      </c>
      <c r="C845" s="141" t="s">
        <v>1840</v>
      </c>
      <c r="D845" s="295" t="s">
        <v>2892</v>
      </c>
      <c r="E845" s="295" t="s">
        <v>7</v>
      </c>
      <c r="F845" s="269" t="s">
        <v>3040</v>
      </c>
      <c r="G845" s="126" t="s">
        <v>1468</v>
      </c>
      <c r="H845" s="128" t="s">
        <v>1844</v>
      </c>
      <c r="I845" s="140" t="s">
        <v>1906</v>
      </c>
      <c r="J845" s="149" t="s">
        <v>1844</v>
      </c>
      <c r="K845" s="136" t="s">
        <v>1844</v>
      </c>
      <c r="L845" s="128" t="s">
        <v>1844</v>
      </c>
      <c r="M845" s="128" t="s">
        <v>1844</v>
      </c>
      <c r="N845" s="140" t="s">
        <v>1844</v>
      </c>
      <c r="O845" s="140" t="s">
        <v>1844</v>
      </c>
      <c r="P845" s="140" t="s">
        <v>1844</v>
      </c>
      <c r="Q845" s="140"/>
      <c r="R845" s="144"/>
      <c r="S845" s="140" t="s">
        <v>1845</v>
      </c>
      <c r="T845" s="140"/>
      <c r="U845" s="140" t="s">
        <v>1845</v>
      </c>
      <c r="V845" s="140" t="s">
        <v>1845</v>
      </c>
      <c r="W845" s="144"/>
      <c r="X845" s="128"/>
      <c r="Y845" s="128"/>
      <c r="Z845" s="140"/>
      <c r="AA845" s="140"/>
      <c r="AB845" s="140"/>
      <c r="AC845" s="140"/>
      <c r="AD845" s="140"/>
      <c r="AE845" s="140"/>
      <c r="AF845" s="140"/>
      <c r="AG845" s="140"/>
      <c r="AH845" s="140"/>
      <c r="AI845" s="128"/>
      <c r="AJ845" s="137"/>
      <c r="AK845" s="140"/>
      <c r="AL845" s="140"/>
    </row>
    <row r="846" ht="15.75" customHeight="1">
      <c r="A846" s="174">
        <v>845.0</v>
      </c>
      <c r="B846" s="123" t="s">
        <v>1742</v>
      </c>
      <c r="C846" s="122" t="s">
        <v>1840</v>
      </c>
      <c r="D846" s="122" t="s">
        <v>2892</v>
      </c>
      <c r="E846" s="122" t="s">
        <v>34</v>
      </c>
      <c r="F846" s="365" t="s">
        <v>3041</v>
      </c>
      <c r="G846" s="271" t="s">
        <v>3042</v>
      </c>
      <c r="H846" s="128" t="s">
        <v>1844</v>
      </c>
      <c r="I846" s="140" t="s">
        <v>1843</v>
      </c>
      <c r="J846" s="149" t="s">
        <v>1876</v>
      </c>
      <c r="K846" s="136" t="s">
        <v>2348</v>
      </c>
      <c r="L846" s="128" t="s">
        <v>1878</v>
      </c>
      <c r="M846" s="128" t="s">
        <v>1845</v>
      </c>
      <c r="N846" s="140" t="s">
        <v>1844</v>
      </c>
      <c r="O846" s="140" t="s">
        <v>1879</v>
      </c>
      <c r="P846" s="140" t="s">
        <v>1862</v>
      </c>
      <c r="Q846" s="140" t="s">
        <v>1845</v>
      </c>
      <c r="R846" s="144"/>
      <c r="S846" s="140" t="s">
        <v>1845</v>
      </c>
      <c r="T846" s="140"/>
      <c r="U846" s="140"/>
      <c r="V846" s="140"/>
      <c r="W846" s="144"/>
      <c r="X846" s="128"/>
      <c r="Y846" s="128"/>
      <c r="Z846" s="140"/>
      <c r="AA846" s="140"/>
      <c r="AB846" s="140"/>
      <c r="AC846" s="140"/>
      <c r="AD846" s="140"/>
      <c r="AE846" s="140"/>
      <c r="AF846" s="140"/>
      <c r="AG846" s="140"/>
      <c r="AH846" s="140"/>
      <c r="AI846" s="128" t="s">
        <v>1845</v>
      </c>
      <c r="AJ846" s="137"/>
      <c r="AK846" s="140"/>
      <c r="AL846" s="140"/>
    </row>
    <row r="847" ht="15.75" customHeight="1">
      <c r="A847" s="125">
        <v>846.0</v>
      </c>
      <c r="B847" s="123" t="s">
        <v>1742</v>
      </c>
      <c r="C847" s="122" t="s">
        <v>1840</v>
      </c>
      <c r="D847" s="122" t="s">
        <v>2892</v>
      </c>
      <c r="E847" s="122" t="s">
        <v>34</v>
      </c>
      <c r="F847" s="366" t="s">
        <v>3043</v>
      </c>
      <c r="G847" s="271" t="s">
        <v>3044</v>
      </c>
      <c r="H847" s="128" t="s">
        <v>1844</v>
      </c>
      <c r="I847" s="140" t="s">
        <v>1843</v>
      </c>
      <c r="J847" s="149" t="s">
        <v>1876</v>
      </c>
      <c r="K847" s="136" t="s">
        <v>2348</v>
      </c>
      <c r="L847" s="128" t="s">
        <v>1878</v>
      </c>
      <c r="M847" s="128" t="s">
        <v>1845</v>
      </c>
      <c r="N847" s="140" t="s">
        <v>1844</v>
      </c>
      <c r="O847" s="140" t="s">
        <v>1879</v>
      </c>
      <c r="P847" s="140" t="s">
        <v>1862</v>
      </c>
      <c r="Q847" s="140" t="s">
        <v>1845</v>
      </c>
      <c r="R847" s="144"/>
      <c r="S847" s="140" t="s">
        <v>1845</v>
      </c>
      <c r="T847" s="140"/>
      <c r="U847" s="140"/>
      <c r="V847" s="140"/>
      <c r="W847" s="144"/>
      <c r="X847" s="128"/>
      <c r="Y847" s="128"/>
      <c r="Z847" s="140"/>
      <c r="AA847" s="140"/>
      <c r="AB847" s="140"/>
      <c r="AC847" s="140"/>
      <c r="AD847" s="140"/>
      <c r="AE847" s="140"/>
      <c r="AF847" s="140"/>
      <c r="AG847" s="140"/>
      <c r="AH847" s="140"/>
      <c r="AI847" s="128" t="s">
        <v>1845</v>
      </c>
      <c r="AJ847" s="137"/>
      <c r="AK847" s="140"/>
      <c r="AL847" s="140"/>
    </row>
    <row r="848" ht="33.75" customHeight="1">
      <c r="A848" s="125">
        <v>847.0</v>
      </c>
      <c r="B848" s="138">
        <f>SUM(A848+10000)</f>
        <v>10847</v>
      </c>
      <c r="C848" s="122" t="s">
        <v>1840</v>
      </c>
      <c r="D848" s="122" t="s">
        <v>2892</v>
      </c>
      <c r="E848" s="122" t="s">
        <v>34</v>
      </c>
      <c r="F848" s="366" t="s">
        <v>3045</v>
      </c>
      <c r="G848" s="271" t="s">
        <v>1471</v>
      </c>
      <c r="H848" s="128" t="s">
        <v>1844</v>
      </c>
      <c r="I848" s="140" t="s">
        <v>1843</v>
      </c>
      <c r="J848" s="149" t="s">
        <v>1876</v>
      </c>
      <c r="K848" s="136" t="s">
        <v>2348</v>
      </c>
      <c r="L848" s="128" t="s">
        <v>1878</v>
      </c>
      <c r="M848" s="128" t="s">
        <v>1845</v>
      </c>
      <c r="N848" s="140" t="s">
        <v>1844</v>
      </c>
      <c r="O848" s="140" t="s">
        <v>1879</v>
      </c>
      <c r="P848" s="144" t="s">
        <v>1862</v>
      </c>
      <c r="Q848" s="140"/>
      <c r="R848" s="144"/>
      <c r="S848" s="140" t="s">
        <v>1845</v>
      </c>
      <c r="T848" s="140" t="s">
        <v>1845</v>
      </c>
      <c r="U848" s="140"/>
      <c r="V848" s="140"/>
      <c r="W848" s="144"/>
      <c r="X848" s="128"/>
      <c r="Y848" s="128"/>
      <c r="Z848" s="140"/>
      <c r="AA848" s="140"/>
      <c r="AB848" s="140"/>
      <c r="AC848" s="140"/>
      <c r="AD848" s="140"/>
      <c r="AE848" s="140"/>
      <c r="AF848" s="140"/>
      <c r="AG848" s="140"/>
      <c r="AH848" s="140"/>
      <c r="AI848" s="128" t="s">
        <v>1845</v>
      </c>
      <c r="AJ848" s="137"/>
      <c r="AK848" s="140"/>
      <c r="AL848" s="140"/>
    </row>
    <row r="849" ht="15.75" customHeight="1">
      <c r="A849" s="125">
        <v>848.0</v>
      </c>
      <c r="B849" s="123" t="s">
        <v>1742</v>
      </c>
      <c r="C849" s="122" t="s">
        <v>1840</v>
      </c>
      <c r="D849" s="122" t="s">
        <v>2892</v>
      </c>
      <c r="E849" s="122" t="s">
        <v>7</v>
      </c>
      <c r="F849" s="127" t="s">
        <v>3046</v>
      </c>
      <c r="G849" s="320" t="s">
        <v>1472</v>
      </c>
      <c r="H849" s="128" t="s">
        <v>1844</v>
      </c>
      <c r="I849" s="140" t="s">
        <v>1843</v>
      </c>
      <c r="J849" s="149" t="s">
        <v>1844</v>
      </c>
      <c r="K849" s="136" t="s">
        <v>1844</v>
      </c>
      <c r="L849" s="128" t="s">
        <v>1844</v>
      </c>
      <c r="M849" s="128" t="s">
        <v>1844</v>
      </c>
      <c r="N849" s="140" t="s">
        <v>1844</v>
      </c>
      <c r="O849" s="140" t="s">
        <v>1844</v>
      </c>
      <c r="P849" s="140" t="s">
        <v>1844</v>
      </c>
      <c r="Q849" s="140" t="s">
        <v>1845</v>
      </c>
      <c r="R849" s="144"/>
      <c r="S849" s="140" t="s">
        <v>1845</v>
      </c>
      <c r="T849" s="140"/>
      <c r="U849" s="140"/>
      <c r="V849" s="140"/>
      <c r="W849" s="144"/>
      <c r="X849" s="128"/>
      <c r="Y849" s="128"/>
      <c r="Z849" s="140"/>
      <c r="AA849" s="140"/>
      <c r="AB849" s="140"/>
      <c r="AC849" s="140"/>
      <c r="AD849" s="140"/>
      <c r="AE849" s="140"/>
      <c r="AF849" s="140"/>
      <c r="AG849" s="140"/>
      <c r="AH849" s="140"/>
      <c r="AI849" s="128" t="s">
        <v>1845</v>
      </c>
      <c r="AJ849" s="137"/>
      <c r="AK849" s="140"/>
      <c r="AL849" s="140"/>
    </row>
    <row r="850" ht="15.75" customHeight="1">
      <c r="A850" s="125">
        <v>849.0</v>
      </c>
      <c r="B850" s="138">
        <f>SUM(A850+10000)</f>
        <v>10849</v>
      </c>
      <c r="C850" s="141" t="s">
        <v>1840</v>
      </c>
      <c r="D850" s="122" t="s">
        <v>2892</v>
      </c>
      <c r="E850" s="122" t="s">
        <v>34</v>
      </c>
      <c r="F850" s="127" t="s">
        <v>3047</v>
      </c>
      <c r="G850" s="269" t="s">
        <v>1473</v>
      </c>
      <c r="H850" s="128"/>
      <c r="I850" s="140" t="s">
        <v>1906</v>
      </c>
      <c r="J850" s="149" t="s">
        <v>1876</v>
      </c>
      <c r="K850" s="136" t="s">
        <v>2348</v>
      </c>
      <c r="L850" s="128" t="s">
        <v>1990</v>
      </c>
      <c r="M850" s="128" t="s">
        <v>1845</v>
      </c>
      <c r="N850" s="140" t="s">
        <v>1844</v>
      </c>
      <c r="O850" s="140" t="s">
        <v>1879</v>
      </c>
      <c r="P850" s="144" t="s">
        <v>1862</v>
      </c>
      <c r="Q850" s="140"/>
      <c r="R850" s="144"/>
      <c r="S850" s="140" t="s">
        <v>1845</v>
      </c>
      <c r="T850" s="140"/>
      <c r="U850" s="140" t="s">
        <v>1845</v>
      </c>
      <c r="V850" s="140" t="s">
        <v>1845</v>
      </c>
      <c r="W850" s="144"/>
      <c r="X850" s="128" t="s">
        <v>1845</v>
      </c>
      <c r="Y850" s="128"/>
      <c r="Z850" s="140"/>
      <c r="AA850" s="140"/>
      <c r="AB850" s="140"/>
      <c r="AC850" s="140"/>
      <c r="AD850" s="140"/>
      <c r="AE850" s="140"/>
      <c r="AF850" s="140"/>
      <c r="AG850" s="140"/>
      <c r="AH850" s="140"/>
      <c r="AI850" s="128"/>
      <c r="AJ850" s="137"/>
      <c r="AK850" s="140"/>
      <c r="AL850" s="140"/>
    </row>
    <row r="851" ht="15.75" customHeight="1">
      <c r="A851" s="233">
        <v>850.0</v>
      </c>
      <c r="B851" s="123" t="s">
        <v>1742</v>
      </c>
      <c r="C851" s="264" t="s">
        <v>1840</v>
      </c>
      <c r="D851" s="241" t="s">
        <v>2892</v>
      </c>
      <c r="E851" s="241" t="s">
        <v>7</v>
      </c>
      <c r="F851" s="219" t="s">
        <v>3048</v>
      </c>
      <c r="G851" s="242" t="s">
        <v>1474</v>
      </c>
      <c r="H851" s="235"/>
      <c r="I851" s="239" t="s">
        <v>1906</v>
      </c>
      <c r="J851" s="259" t="s">
        <v>1844</v>
      </c>
      <c r="K851" s="237" t="s">
        <v>1844</v>
      </c>
      <c r="L851" s="235" t="s">
        <v>1844</v>
      </c>
      <c r="M851" s="235" t="s">
        <v>1844</v>
      </c>
      <c r="N851" s="239" t="s">
        <v>1844</v>
      </c>
      <c r="O851" s="239" t="s">
        <v>1844</v>
      </c>
      <c r="P851" s="239" t="s">
        <v>1844</v>
      </c>
      <c r="Q851" s="239" t="s">
        <v>1845</v>
      </c>
      <c r="R851" s="238"/>
      <c r="S851" s="239" t="s">
        <v>1845</v>
      </c>
      <c r="T851" s="239"/>
      <c r="U851" s="239" t="s">
        <v>1845</v>
      </c>
      <c r="V851" s="239" t="s">
        <v>1845</v>
      </c>
      <c r="W851" s="238"/>
      <c r="X851" s="235"/>
      <c r="Y851" s="235"/>
      <c r="Z851" s="239"/>
      <c r="AA851" s="239"/>
      <c r="AB851" s="239"/>
      <c r="AC851" s="239"/>
      <c r="AD851" s="239"/>
      <c r="AE851" s="239"/>
      <c r="AF851" s="239"/>
      <c r="AG851" s="239"/>
      <c r="AH851" s="239"/>
      <c r="AI851" s="235"/>
      <c r="AJ851" s="243" t="s">
        <v>1845</v>
      </c>
      <c r="AK851" s="140"/>
      <c r="AL851" s="140"/>
    </row>
    <row r="852" ht="15.75" customHeight="1">
      <c r="A852" s="233">
        <v>851.0</v>
      </c>
      <c r="B852" s="123" t="s">
        <v>1742</v>
      </c>
      <c r="C852" s="264" t="s">
        <v>1840</v>
      </c>
      <c r="D852" s="241" t="s">
        <v>2892</v>
      </c>
      <c r="E852" s="241" t="s">
        <v>7</v>
      </c>
      <c r="F852" s="219" t="s">
        <v>3049</v>
      </c>
      <c r="G852" s="367" t="s">
        <v>1475</v>
      </c>
      <c r="H852" s="235"/>
      <c r="I852" s="239" t="s">
        <v>1843</v>
      </c>
      <c r="J852" s="259" t="s">
        <v>1844</v>
      </c>
      <c r="K852" s="237" t="s">
        <v>1844</v>
      </c>
      <c r="L852" s="235" t="s">
        <v>1844</v>
      </c>
      <c r="M852" s="235" t="s">
        <v>1844</v>
      </c>
      <c r="N852" s="239" t="s">
        <v>1844</v>
      </c>
      <c r="O852" s="239" t="s">
        <v>1844</v>
      </c>
      <c r="P852" s="239" t="s">
        <v>1844</v>
      </c>
      <c r="Q852" s="239" t="s">
        <v>1845</v>
      </c>
      <c r="R852" s="238"/>
      <c r="S852" s="239" t="s">
        <v>1845</v>
      </c>
      <c r="T852" s="239"/>
      <c r="U852" s="239"/>
      <c r="V852" s="239"/>
      <c r="W852" s="238"/>
      <c r="X852" s="235" t="s">
        <v>1845</v>
      </c>
      <c r="Y852" s="235"/>
      <c r="Z852" s="239"/>
      <c r="AA852" s="239"/>
      <c r="AB852" s="239"/>
      <c r="AC852" s="239"/>
      <c r="AD852" s="239"/>
      <c r="AE852" s="239"/>
      <c r="AF852" s="239"/>
      <c r="AG852" s="239"/>
      <c r="AH852" s="239"/>
      <c r="AI852" s="235" t="s">
        <v>2401</v>
      </c>
      <c r="AJ852" s="243" t="s">
        <v>2401</v>
      </c>
      <c r="AK852" s="140"/>
      <c r="AL852" s="140"/>
    </row>
    <row r="853" ht="15.75" customHeight="1">
      <c r="A853" s="233">
        <v>852.0</v>
      </c>
      <c r="B853" s="123" t="s">
        <v>1742</v>
      </c>
      <c r="C853" s="264" t="s">
        <v>1840</v>
      </c>
      <c r="D853" s="241" t="s">
        <v>2892</v>
      </c>
      <c r="E853" s="241" t="s">
        <v>7</v>
      </c>
      <c r="F853" s="219" t="s">
        <v>3050</v>
      </c>
      <c r="G853" s="364" t="s">
        <v>1476</v>
      </c>
      <c r="H853" s="235"/>
      <c r="I853" s="239" t="s">
        <v>1906</v>
      </c>
      <c r="J853" s="259" t="s">
        <v>1844</v>
      </c>
      <c r="K853" s="237" t="s">
        <v>1844</v>
      </c>
      <c r="L853" s="235" t="s">
        <v>1844</v>
      </c>
      <c r="M853" s="235" t="s">
        <v>1844</v>
      </c>
      <c r="N853" s="239" t="s">
        <v>1844</v>
      </c>
      <c r="O853" s="239" t="s">
        <v>1844</v>
      </c>
      <c r="P853" s="239" t="s">
        <v>1844</v>
      </c>
      <c r="Q853" s="239" t="s">
        <v>1845</v>
      </c>
      <c r="R853" s="238"/>
      <c r="S853" s="239" t="s">
        <v>1845</v>
      </c>
      <c r="T853" s="239"/>
      <c r="U853" s="239" t="s">
        <v>1845</v>
      </c>
      <c r="V853" s="239" t="s">
        <v>1845</v>
      </c>
      <c r="W853" s="238"/>
      <c r="X853" s="235" t="s">
        <v>1845</v>
      </c>
      <c r="Y853" s="235"/>
      <c r="Z853" s="239"/>
      <c r="AA853" s="239"/>
      <c r="AB853" s="239"/>
      <c r="AC853" s="239"/>
      <c r="AD853" s="239"/>
      <c r="AE853" s="239"/>
      <c r="AF853" s="239"/>
      <c r="AG853" s="239"/>
      <c r="AH853" s="239"/>
      <c r="AI853" s="235" t="s">
        <v>1845</v>
      </c>
      <c r="AJ853" s="243" t="s">
        <v>1845</v>
      </c>
      <c r="AK853" s="140"/>
      <c r="AL853" s="140"/>
    </row>
    <row r="854" ht="15.75" customHeight="1">
      <c r="A854" s="125">
        <v>853.0</v>
      </c>
      <c r="B854" s="138">
        <f t="shared" ref="B854:B856" si="88">SUM(A854+10000)</f>
        <v>10853</v>
      </c>
      <c r="C854" s="141" t="s">
        <v>1840</v>
      </c>
      <c r="D854" s="122" t="s">
        <v>2892</v>
      </c>
      <c r="E854" s="122" t="s">
        <v>34</v>
      </c>
      <c r="F854" s="269" t="s">
        <v>3051</v>
      </c>
      <c r="G854" s="269" t="s">
        <v>1477</v>
      </c>
      <c r="H854" s="128"/>
      <c r="I854" s="140" t="s">
        <v>1906</v>
      </c>
      <c r="J854" s="149" t="s">
        <v>1876</v>
      </c>
      <c r="K854" s="136" t="s">
        <v>2348</v>
      </c>
      <c r="L854" s="128" t="s">
        <v>1878</v>
      </c>
      <c r="M854" s="128" t="s">
        <v>1845</v>
      </c>
      <c r="N854" s="140" t="s">
        <v>1844</v>
      </c>
      <c r="O854" s="140" t="s">
        <v>1879</v>
      </c>
      <c r="P854" s="140" t="s">
        <v>1862</v>
      </c>
      <c r="Q854" s="140"/>
      <c r="R854" s="144"/>
      <c r="S854" s="140"/>
      <c r="T854" s="140"/>
      <c r="U854" s="140" t="s">
        <v>1845</v>
      </c>
      <c r="V854" s="140" t="s">
        <v>1845</v>
      </c>
      <c r="W854" s="144"/>
      <c r="X854" s="128"/>
      <c r="Y854" s="128"/>
      <c r="Z854" s="140"/>
      <c r="AA854" s="140"/>
      <c r="AB854" s="140"/>
      <c r="AC854" s="140"/>
      <c r="AD854" s="140"/>
      <c r="AE854" s="140"/>
      <c r="AF854" s="140"/>
      <c r="AG854" s="140"/>
      <c r="AH854" s="140"/>
      <c r="AI854" s="128"/>
      <c r="AJ854" s="137"/>
      <c r="AK854" s="140"/>
      <c r="AL854" s="140"/>
    </row>
    <row r="855" ht="15.75" customHeight="1">
      <c r="A855" s="141">
        <v>854.0</v>
      </c>
      <c r="B855" s="138">
        <f t="shared" si="88"/>
        <v>10854</v>
      </c>
      <c r="C855" s="122" t="s">
        <v>1840</v>
      </c>
      <c r="D855" s="122" t="s">
        <v>2892</v>
      </c>
      <c r="E855" s="122" t="s">
        <v>34</v>
      </c>
      <c r="F855" s="269" t="s">
        <v>3052</v>
      </c>
      <c r="G855" s="271" t="s">
        <v>1478</v>
      </c>
      <c r="H855" s="136"/>
      <c r="I855" s="144" t="s">
        <v>1843</v>
      </c>
      <c r="J855" s="186" t="s">
        <v>1876</v>
      </c>
      <c r="K855" s="136" t="s">
        <v>2348</v>
      </c>
      <c r="L855" s="136" t="s">
        <v>1878</v>
      </c>
      <c r="M855" s="136" t="s">
        <v>1845</v>
      </c>
      <c r="N855" s="144" t="s">
        <v>1844</v>
      </c>
      <c r="O855" s="144" t="s">
        <v>1879</v>
      </c>
      <c r="P855" s="140" t="s">
        <v>1862</v>
      </c>
      <c r="Q855" s="144"/>
      <c r="R855" s="144"/>
      <c r="S855" s="144" t="s">
        <v>1845</v>
      </c>
      <c r="T855" s="144"/>
      <c r="U855" s="144"/>
      <c r="V855" s="144"/>
      <c r="W855" s="144"/>
      <c r="X855" s="136" t="s">
        <v>1845</v>
      </c>
      <c r="Y855" s="136"/>
      <c r="Z855" s="144"/>
      <c r="AA855" s="144"/>
      <c r="AB855" s="144"/>
      <c r="AC855" s="144"/>
      <c r="AD855" s="144"/>
      <c r="AE855" s="144"/>
      <c r="AF855" s="144"/>
      <c r="AG855" s="144"/>
      <c r="AH855" s="144"/>
      <c r="AI855" s="136" t="s">
        <v>1845</v>
      </c>
      <c r="AJ855" s="316"/>
      <c r="AK855" s="140"/>
      <c r="AL855" s="140"/>
    </row>
    <row r="856" ht="15.75" customHeight="1">
      <c r="A856" s="125">
        <v>855.0</v>
      </c>
      <c r="B856" s="138">
        <f t="shared" si="88"/>
        <v>10855</v>
      </c>
      <c r="C856" s="122" t="s">
        <v>1840</v>
      </c>
      <c r="D856" s="122" t="s">
        <v>2892</v>
      </c>
      <c r="E856" s="122" t="s">
        <v>34</v>
      </c>
      <c r="F856" s="127" t="s">
        <v>3053</v>
      </c>
      <c r="G856" s="126" t="s">
        <v>1479</v>
      </c>
      <c r="H856" s="128"/>
      <c r="I856" s="128" t="s">
        <v>1906</v>
      </c>
      <c r="J856" s="128" t="s">
        <v>1876</v>
      </c>
      <c r="K856" s="136" t="s">
        <v>2348</v>
      </c>
      <c r="L856" s="128" t="s">
        <v>1990</v>
      </c>
      <c r="M856" s="128" t="s">
        <v>1845</v>
      </c>
      <c r="N856" s="140" t="s">
        <v>1844</v>
      </c>
      <c r="O856" s="128" t="s">
        <v>1879</v>
      </c>
      <c r="P856" s="128" t="s">
        <v>1862</v>
      </c>
      <c r="Q856" s="128"/>
      <c r="R856" s="144"/>
      <c r="S856" s="128"/>
      <c r="T856" s="128"/>
      <c r="U856" s="128"/>
      <c r="V856" s="128" t="s">
        <v>1845</v>
      </c>
      <c r="W856" s="144"/>
      <c r="X856" s="128"/>
      <c r="Y856" s="128"/>
      <c r="Z856" s="140"/>
      <c r="AA856" s="140"/>
      <c r="AB856" s="140"/>
      <c r="AC856" s="140"/>
      <c r="AD856" s="140"/>
      <c r="AE856" s="140"/>
      <c r="AF856" s="140"/>
      <c r="AG856" s="140"/>
      <c r="AH856" s="140"/>
      <c r="AI856" s="128"/>
      <c r="AJ856" s="137"/>
      <c r="AK856" s="140"/>
      <c r="AL856" s="140"/>
    </row>
    <row r="857" ht="15.75" customHeight="1">
      <c r="A857" s="264">
        <v>856.0</v>
      </c>
      <c r="B857" s="123" t="s">
        <v>1742</v>
      </c>
      <c r="C857" s="264" t="s">
        <v>1840</v>
      </c>
      <c r="D857" s="336" t="s">
        <v>2892</v>
      </c>
      <c r="E857" s="241" t="s">
        <v>7</v>
      </c>
      <c r="F857" s="234" t="s">
        <v>3054</v>
      </c>
      <c r="G857" s="242" t="s">
        <v>1480</v>
      </c>
      <c r="H857" s="237"/>
      <c r="I857" s="235" t="s">
        <v>1906</v>
      </c>
      <c r="J857" s="236" t="s">
        <v>1844</v>
      </c>
      <c r="K857" s="237" t="s">
        <v>1844</v>
      </c>
      <c r="L857" s="237" t="s">
        <v>1844</v>
      </c>
      <c r="M857" s="237" t="s">
        <v>1844</v>
      </c>
      <c r="N857" s="238" t="s">
        <v>1844</v>
      </c>
      <c r="O857" s="238" t="s">
        <v>1844</v>
      </c>
      <c r="P857" s="238" t="s">
        <v>1844</v>
      </c>
      <c r="Q857" s="238" t="s">
        <v>1845</v>
      </c>
      <c r="R857" s="238"/>
      <c r="S857" s="238"/>
      <c r="T857" s="238"/>
      <c r="U857" s="238"/>
      <c r="V857" s="238" t="s">
        <v>1845</v>
      </c>
      <c r="W857" s="238"/>
      <c r="X857" s="237"/>
      <c r="Y857" s="237"/>
      <c r="Z857" s="238"/>
      <c r="AA857" s="238"/>
      <c r="AB857" s="238"/>
      <c r="AC857" s="238"/>
      <c r="AD857" s="238"/>
      <c r="AE857" s="238"/>
      <c r="AF857" s="238"/>
      <c r="AG857" s="238"/>
      <c r="AH857" s="238"/>
      <c r="AI857" s="237"/>
      <c r="AJ857" s="338" t="s">
        <v>1845</v>
      </c>
      <c r="AK857" s="140"/>
      <c r="AL857" s="140"/>
    </row>
    <row r="858" ht="15.75" customHeight="1">
      <c r="A858" s="264">
        <v>857.0</v>
      </c>
      <c r="B858" s="138">
        <f>SUM(A858+10000)</f>
        <v>10857</v>
      </c>
      <c r="C858" s="241" t="s">
        <v>1840</v>
      </c>
      <c r="D858" s="336" t="s">
        <v>2892</v>
      </c>
      <c r="E858" s="336" t="s">
        <v>7</v>
      </c>
      <c r="F858" s="263" t="s">
        <v>3055</v>
      </c>
      <c r="G858" s="364" t="s">
        <v>1481</v>
      </c>
      <c r="H858" s="237"/>
      <c r="I858" s="238" t="s">
        <v>1843</v>
      </c>
      <c r="J858" s="236" t="s">
        <v>1844</v>
      </c>
      <c r="K858" s="237" t="s">
        <v>1844</v>
      </c>
      <c r="L858" s="237" t="s">
        <v>1844</v>
      </c>
      <c r="M858" s="237" t="s">
        <v>1844</v>
      </c>
      <c r="N858" s="238" t="s">
        <v>1844</v>
      </c>
      <c r="O858" s="238" t="s">
        <v>1844</v>
      </c>
      <c r="P858" s="238" t="s">
        <v>1844</v>
      </c>
      <c r="Q858" s="238"/>
      <c r="R858" s="238"/>
      <c r="S858" s="238" t="s">
        <v>1845</v>
      </c>
      <c r="T858" s="238"/>
      <c r="U858" s="238"/>
      <c r="V858" s="238"/>
      <c r="W858" s="238"/>
      <c r="X858" s="237" t="s">
        <v>1845</v>
      </c>
      <c r="Y858" s="237"/>
      <c r="Z858" s="238"/>
      <c r="AA858" s="238"/>
      <c r="AB858" s="238"/>
      <c r="AC858" s="238"/>
      <c r="AD858" s="238"/>
      <c r="AE858" s="238"/>
      <c r="AF858" s="238"/>
      <c r="AG858" s="238"/>
      <c r="AH858" s="238"/>
      <c r="AI858" s="237" t="s">
        <v>1845</v>
      </c>
      <c r="AJ858" s="338" t="s">
        <v>1845</v>
      </c>
      <c r="AK858" s="140"/>
      <c r="AL858" s="140"/>
    </row>
    <row r="859" ht="15.75" customHeight="1">
      <c r="A859" s="241">
        <v>858.0</v>
      </c>
      <c r="B859" s="123" t="s">
        <v>1742</v>
      </c>
      <c r="C859" s="241" t="s">
        <v>1840</v>
      </c>
      <c r="D859" s="336" t="s">
        <v>2892</v>
      </c>
      <c r="E859" s="368" t="s">
        <v>7</v>
      </c>
      <c r="F859" s="369" t="s">
        <v>3056</v>
      </c>
      <c r="G859" s="370" t="s">
        <v>3057</v>
      </c>
      <c r="H859" s="371"/>
      <c r="I859" s="371" t="s">
        <v>1843</v>
      </c>
      <c r="J859" s="372" t="s">
        <v>1844</v>
      </c>
      <c r="K859" s="373" t="s">
        <v>1844</v>
      </c>
      <c r="L859" s="373" t="s">
        <v>1844</v>
      </c>
      <c r="M859" s="373" t="s">
        <v>1844</v>
      </c>
      <c r="N859" s="373" t="s">
        <v>1844</v>
      </c>
      <c r="O859" s="373" t="s">
        <v>1844</v>
      </c>
      <c r="P859" s="373" t="s">
        <v>1844</v>
      </c>
      <c r="Q859" s="371" t="s">
        <v>1845</v>
      </c>
      <c r="R859" s="371" t="s">
        <v>3058</v>
      </c>
      <c r="S859" s="371" t="s">
        <v>1845</v>
      </c>
      <c r="T859" s="371"/>
      <c r="U859" s="371" t="s">
        <v>3058</v>
      </c>
      <c r="V859" s="371" t="s">
        <v>3058</v>
      </c>
      <c r="W859" s="371"/>
      <c r="X859" s="371" t="s">
        <v>1845</v>
      </c>
      <c r="Y859" s="371" t="s">
        <v>3058</v>
      </c>
      <c r="Z859" s="371" t="s">
        <v>3058</v>
      </c>
      <c r="AA859" s="371" t="s">
        <v>3058</v>
      </c>
      <c r="AB859" s="371" t="s">
        <v>3058</v>
      </c>
      <c r="AC859" s="371" t="s">
        <v>3058</v>
      </c>
      <c r="AD859" s="371" t="s">
        <v>3058</v>
      </c>
      <c r="AE859" s="371" t="s">
        <v>3058</v>
      </c>
      <c r="AF859" s="371" t="s">
        <v>3058</v>
      </c>
      <c r="AG859" s="371" t="s">
        <v>3058</v>
      </c>
      <c r="AH859" s="371" t="s">
        <v>3058</v>
      </c>
      <c r="AI859" s="371" t="s">
        <v>1845</v>
      </c>
      <c r="AJ859" s="374" t="s">
        <v>1845</v>
      </c>
      <c r="AK859" s="140"/>
      <c r="AL859" s="140"/>
    </row>
    <row r="860" ht="15.75" customHeight="1">
      <c r="A860" s="141">
        <v>859.0</v>
      </c>
      <c r="B860" s="138">
        <f t="shared" ref="B860:B867" si="89">SUM(A860+10000)</f>
        <v>10859</v>
      </c>
      <c r="C860" s="122" t="s">
        <v>1840</v>
      </c>
      <c r="D860" s="295" t="s">
        <v>2892</v>
      </c>
      <c r="E860" s="125" t="s">
        <v>20</v>
      </c>
      <c r="F860" s="269" t="s">
        <v>3059</v>
      </c>
      <c r="G860" s="271" t="s">
        <v>1483</v>
      </c>
      <c r="H860" s="128"/>
      <c r="I860" s="129" t="s">
        <v>1843</v>
      </c>
      <c r="J860" s="143" t="s">
        <v>1844</v>
      </c>
      <c r="K860" s="132" t="s">
        <v>1844</v>
      </c>
      <c r="L860" s="132" t="s">
        <v>1878</v>
      </c>
      <c r="M860" s="132" t="s">
        <v>1845</v>
      </c>
      <c r="N860" s="132" t="s">
        <v>1844</v>
      </c>
      <c r="O860" s="132" t="s">
        <v>1844</v>
      </c>
      <c r="P860" s="128" t="s">
        <v>1862</v>
      </c>
      <c r="Q860" s="140"/>
      <c r="R860" s="140"/>
      <c r="S860" s="140" t="s">
        <v>1845</v>
      </c>
      <c r="T860" s="140"/>
      <c r="U860" s="140"/>
      <c r="V860" s="140"/>
      <c r="W860" s="140"/>
      <c r="X860" s="128" t="s">
        <v>1845</v>
      </c>
      <c r="Y860" s="128"/>
      <c r="Z860" s="140"/>
      <c r="AA860" s="140"/>
      <c r="AB860" s="140"/>
      <c r="AC860" s="140"/>
      <c r="AD860" s="140"/>
      <c r="AE860" s="140"/>
      <c r="AF860" s="140"/>
      <c r="AG860" s="140"/>
      <c r="AH860" s="140"/>
      <c r="AI860" s="128" t="s">
        <v>1845</v>
      </c>
      <c r="AJ860" s="137"/>
      <c r="AK860" s="140"/>
      <c r="AL860" s="140"/>
    </row>
    <row r="861" ht="15.75" customHeight="1">
      <c r="A861" s="241">
        <v>860.0</v>
      </c>
      <c r="B861" s="138">
        <f t="shared" si="89"/>
        <v>10860</v>
      </c>
      <c r="C861" s="241" t="s">
        <v>1840</v>
      </c>
      <c r="D861" s="336" t="s">
        <v>2892</v>
      </c>
      <c r="E861" s="241" t="s">
        <v>7</v>
      </c>
      <c r="F861" s="263" t="s">
        <v>3060</v>
      </c>
      <c r="G861" s="364" t="s">
        <v>1484</v>
      </c>
      <c r="H861" s="235"/>
      <c r="I861" s="371" t="s">
        <v>1843</v>
      </c>
      <c r="J861" s="372" t="s">
        <v>1844</v>
      </c>
      <c r="K861" s="373" t="s">
        <v>1844</v>
      </c>
      <c r="L861" s="373" t="s">
        <v>1844</v>
      </c>
      <c r="M861" s="373" t="s">
        <v>1844</v>
      </c>
      <c r="N861" s="373" t="s">
        <v>1844</v>
      </c>
      <c r="O861" s="373" t="s">
        <v>1844</v>
      </c>
      <c r="P861" s="373" t="s">
        <v>1844</v>
      </c>
      <c r="Q861" s="239"/>
      <c r="R861" s="238"/>
      <c r="S861" s="239"/>
      <c r="T861" s="239"/>
      <c r="U861" s="239"/>
      <c r="V861" s="239"/>
      <c r="W861" s="238"/>
      <c r="X861" s="235" t="s">
        <v>1845</v>
      </c>
      <c r="Y861" s="235"/>
      <c r="Z861" s="239"/>
      <c r="AA861" s="239"/>
      <c r="AB861" s="239"/>
      <c r="AC861" s="239"/>
      <c r="AD861" s="239"/>
      <c r="AE861" s="239"/>
      <c r="AF861" s="239"/>
      <c r="AG861" s="239"/>
      <c r="AH861" s="239"/>
      <c r="AI861" s="235" t="s">
        <v>1845</v>
      </c>
      <c r="AJ861" s="243" t="s">
        <v>1845</v>
      </c>
      <c r="AK861" s="140"/>
      <c r="AL861" s="140"/>
    </row>
    <row r="862" ht="15.75" customHeight="1">
      <c r="A862" s="141">
        <v>861.0</v>
      </c>
      <c r="B862" s="138">
        <f t="shared" si="89"/>
        <v>10861</v>
      </c>
      <c r="C862" s="122" t="s">
        <v>1840</v>
      </c>
      <c r="D862" s="295" t="s">
        <v>2892</v>
      </c>
      <c r="E862" s="303" t="s">
        <v>20</v>
      </c>
      <c r="F862" s="269" t="s">
        <v>3061</v>
      </c>
      <c r="G862" s="269" t="s">
        <v>1485</v>
      </c>
      <c r="H862" s="128"/>
      <c r="I862" s="128" t="s">
        <v>1906</v>
      </c>
      <c r="J862" s="143" t="s">
        <v>1844</v>
      </c>
      <c r="K862" s="143" t="s">
        <v>1844</v>
      </c>
      <c r="L862" s="143" t="s">
        <v>1844</v>
      </c>
      <c r="M862" s="128" t="s">
        <v>1845</v>
      </c>
      <c r="N862" s="143" t="s">
        <v>1844</v>
      </c>
      <c r="O862" s="143" t="s">
        <v>1844</v>
      </c>
      <c r="P862" s="128" t="s">
        <v>1862</v>
      </c>
      <c r="Q862" s="140"/>
      <c r="R862" s="144"/>
      <c r="S862" s="140"/>
      <c r="T862" s="140"/>
      <c r="U862" s="140" t="s">
        <v>1845</v>
      </c>
      <c r="V862" s="140"/>
      <c r="W862" s="144"/>
      <c r="X862" s="128"/>
      <c r="Y862" s="128"/>
      <c r="Z862" s="140"/>
      <c r="AA862" s="140"/>
      <c r="AB862" s="140"/>
      <c r="AC862" s="140"/>
      <c r="AD862" s="140"/>
      <c r="AE862" s="140"/>
      <c r="AF862" s="140"/>
      <c r="AG862" s="140"/>
      <c r="AH862" s="140"/>
      <c r="AI862" s="128"/>
      <c r="AJ862" s="137"/>
      <c r="AK862" s="140"/>
      <c r="AL862" s="140"/>
    </row>
    <row r="863" ht="15.75" customHeight="1">
      <c r="A863" s="122">
        <v>862.0</v>
      </c>
      <c r="B863" s="138">
        <f t="shared" si="89"/>
        <v>10862</v>
      </c>
      <c r="C863" s="122" t="s">
        <v>1840</v>
      </c>
      <c r="D863" s="295" t="s">
        <v>2892</v>
      </c>
      <c r="E863" s="303" t="s">
        <v>20</v>
      </c>
      <c r="F863" s="269" t="s">
        <v>3062</v>
      </c>
      <c r="G863" s="269" t="s">
        <v>1486</v>
      </c>
      <c r="H863" s="128"/>
      <c r="I863" s="128" t="s">
        <v>1906</v>
      </c>
      <c r="J863" s="143" t="s">
        <v>1844</v>
      </c>
      <c r="K863" s="143" t="s">
        <v>1844</v>
      </c>
      <c r="L863" s="143" t="s">
        <v>1844</v>
      </c>
      <c r="M863" s="128" t="s">
        <v>1845</v>
      </c>
      <c r="N863" s="143" t="s">
        <v>1844</v>
      </c>
      <c r="O863" s="143" t="s">
        <v>1844</v>
      </c>
      <c r="P863" s="128" t="s">
        <v>1862</v>
      </c>
      <c r="Q863" s="140"/>
      <c r="R863" s="144"/>
      <c r="S863" s="140"/>
      <c r="T863" s="140"/>
      <c r="U863" s="140" t="s">
        <v>1845</v>
      </c>
      <c r="V863" s="140" t="s">
        <v>1845</v>
      </c>
      <c r="W863" s="144"/>
      <c r="X863" s="128"/>
      <c r="Y863" s="128"/>
      <c r="Z863" s="140"/>
      <c r="AA863" s="140"/>
      <c r="AB863" s="140"/>
      <c r="AC863" s="140"/>
      <c r="AD863" s="140"/>
      <c r="AE863" s="140"/>
      <c r="AF863" s="140"/>
      <c r="AG863" s="140"/>
      <c r="AH863" s="140"/>
      <c r="AI863" s="128"/>
      <c r="AJ863" s="137"/>
      <c r="AK863" s="140"/>
      <c r="AL863" s="140"/>
    </row>
    <row r="864" ht="15.75" customHeight="1">
      <c r="A864" s="141">
        <v>863.0</v>
      </c>
      <c r="B864" s="138">
        <f t="shared" si="89"/>
        <v>10863</v>
      </c>
      <c r="C864" s="122" t="s">
        <v>1840</v>
      </c>
      <c r="D864" s="295" t="s">
        <v>2892</v>
      </c>
      <c r="E864" s="122" t="s">
        <v>7</v>
      </c>
      <c r="F864" s="269" t="s">
        <v>3063</v>
      </c>
      <c r="G864" s="269" t="s">
        <v>1487</v>
      </c>
      <c r="H864" s="128"/>
      <c r="I864" s="129" t="s">
        <v>1843</v>
      </c>
      <c r="J864" s="143" t="s">
        <v>1844</v>
      </c>
      <c r="K864" s="132" t="s">
        <v>1844</v>
      </c>
      <c r="L864" s="132" t="s">
        <v>1844</v>
      </c>
      <c r="M864" s="132" t="s">
        <v>1844</v>
      </c>
      <c r="N864" s="132" t="s">
        <v>1844</v>
      </c>
      <c r="O864" s="132" t="s">
        <v>1844</v>
      </c>
      <c r="P864" s="132" t="s">
        <v>1844</v>
      </c>
      <c r="Q864" s="140"/>
      <c r="R864" s="144"/>
      <c r="S864" s="140" t="s">
        <v>1845</v>
      </c>
      <c r="T864" s="140" t="s">
        <v>1845</v>
      </c>
      <c r="U864" s="140"/>
      <c r="V864" s="140"/>
      <c r="W864" s="144" t="s">
        <v>1845</v>
      </c>
      <c r="X864" s="128"/>
      <c r="Y864" s="128"/>
      <c r="Z864" s="140"/>
      <c r="AA864" s="140"/>
      <c r="AB864" s="140"/>
      <c r="AC864" s="140"/>
      <c r="AD864" s="140"/>
      <c r="AE864" s="140"/>
      <c r="AF864" s="140"/>
      <c r="AG864" s="140"/>
      <c r="AH864" s="140"/>
      <c r="AI864" s="128"/>
      <c r="AJ864" s="137"/>
      <c r="AK864" s="140"/>
      <c r="AL864" s="140"/>
    </row>
    <row r="865" ht="15.75" customHeight="1">
      <c r="A865" s="122">
        <v>864.0</v>
      </c>
      <c r="B865" s="138">
        <f t="shared" si="89"/>
        <v>10864</v>
      </c>
      <c r="C865" s="122" t="s">
        <v>1840</v>
      </c>
      <c r="D865" s="295" t="s">
        <v>2892</v>
      </c>
      <c r="E865" s="122" t="s">
        <v>7</v>
      </c>
      <c r="F865" s="126" t="s">
        <v>3064</v>
      </c>
      <c r="G865" s="269" t="s">
        <v>1488</v>
      </c>
      <c r="H865" s="128"/>
      <c r="I865" s="129" t="s">
        <v>1843</v>
      </c>
      <c r="J865" s="143" t="s">
        <v>1844</v>
      </c>
      <c r="K865" s="132" t="s">
        <v>1844</v>
      </c>
      <c r="L865" s="132" t="s">
        <v>1844</v>
      </c>
      <c r="M865" s="132" t="s">
        <v>1844</v>
      </c>
      <c r="N865" s="132" t="s">
        <v>1844</v>
      </c>
      <c r="O865" s="132" t="s">
        <v>1844</v>
      </c>
      <c r="P865" s="132" t="s">
        <v>1844</v>
      </c>
      <c r="Q865" s="140"/>
      <c r="R865" s="144"/>
      <c r="S865" s="140" t="s">
        <v>1845</v>
      </c>
      <c r="T865" s="140" t="s">
        <v>1845</v>
      </c>
      <c r="U865" s="140"/>
      <c r="V865" s="140"/>
      <c r="W865" s="144" t="s">
        <v>1845</v>
      </c>
      <c r="X865" s="128" t="s">
        <v>1845</v>
      </c>
      <c r="Y865" s="128"/>
      <c r="Z865" s="140"/>
      <c r="AA865" s="140"/>
      <c r="AB865" s="140"/>
      <c r="AC865" s="140"/>
      <c r="AD865" s="140"/>
      <c r="AE865" s="140"/>
      <c r="AF865" s="140"/>
      <c r="AG865" s="140"/>
      <c r="AH865" s="140"/>
      <c r="AI865" s="128"/>
      <c r="AJ865" s="137"/>
      <c r="AK865" s="140"/>
      <c r="AL865" s="140"/>
    </row>
    <row r="866" ht="15.75" customHeight="1">
      <c r="A866" s="141">
        <v>865.0</v>
      </c>
      <c r="B866" s="138">
        <f t="shared" si="89"/>
        <v>10865</v>
      </c>
      <c r="C866" s="122" t="s">
        <v>1840</v>
      </c>
      <c r="D866" s="295" t="s">
        <v>2892</v>
      </c>
      <c r="E866" s="122" t="s">
        <v>7</v>
      </c>
      <c r="F866" s="365" t="s">
        <v>3065</v>
      </c>
      <c r="G866" s="230" t="s">
        <v>1489</v>
      </c>
      <c r="H866" s="128"/>
      <c r="I866" s="129" t="s">
        <v>1843</v>
      </c>
      <c r="J866" s="143" t="s">
        <v>1844</v>
      </c>
      <c r="K866" s="132" t="s">
        <v>1844</v>
      </c>
      <c r="L866" s="132" t="s">
        <v>1844</v>
      </c>
      <c r="M866" s="132" t="s">
        <v>1844</v>
      </c>
      <c r="N866" s="132" t="s">
        <v>1844</v>
      </c>
      <c r="O866" s="132" t="s">
        <v>1844</v>
      </c>
      <c r="P866" s="132" t="s">
        <v>1844</v>
      </c>
      <c r="Q866" s="140"/>
      <c r="R866" s="144"/>
      <c r="S866" s="140"/>
      <c r="T866" s="140"/>
      <c r="U866" s="140"/>
      <c r="V866" s="140"/>
      <c r="W866" s="144"/>
      <c r="X866" s="128"/>
      <c r="Y866" s="128"/>
      <c r="Z866" s="140"/>
      <c r="AA866" s="140"/>
      <c r="AB866" s="140"/>
      <c r="AC866" s="140"/>
      <c r="AD866" s="140"/>
      <c r="AE866" s="140"/>
      <c r="AF866" s="140"/>
      <c r="AG866" s="140"/>
      <c r="AH866" s="140"/>
      <c r="AI866" s="128" t="s">
        <v>1845</v>
      </c>
      <c r="AJ866" s="137"/>
      <c r="AK866" s="140"/>
      <c r="AL866" s="140"/>
    </row>
    <row r="867" ht="15.75" customHeight="1">
      <c r="A867" s="122">
        <v>866.0</v>
      </c>
      <c r="B867" s="138">
        <f t="shared" si="89"/>
        <v>10866</v>
      </c>
      <c r="C867" s="122" t="s">
        <v>1840</v>
      </c>
      <c r="D867" s="295" t="s">
        <v>2892</v>
      </c>
      <c r="E867" s="122" t="s">
        <v>34</v>
      </c>
      <c r="F867" s="366" t="s">
        <v>3066</v>
      </c>
      <c r="G867" s="375" t="s">
        <v>3067</v>
      </c>
      <c r="H867" s="128"/>
      <c r="I867" s="129" t="s">
        <v>1843</v>
      </c>
      <c r="J867" s="143" t="s">
        <v>1876</v>
      </c>
      <c r="K867" s="132" t="s">
        <v>2348</v>
      </c>
      <c r="L867" s="132" t="s">
        <v>1844</v>
      </c>
      <c r="M867" s="128" t="s">
        <v>1845</v>
      </c>
      <c r="N867" s="132" t="s">
        <v>1844</v>
      </c>
      <c r="O867" s="140" t="s">
        <v>1879</v>
      </c>
      <c r="P867" s="128" t="s">
        <v>1862</v>
      </c>
      <c r="Q867" s="140"/>
      <c r="R867" s="144"/>
      <c r="S867" s="140"/>
      <c r="T867" s="140"/>
      <c r="U867" s="140"/>
      <c r="V867" s="140"/>
      <c r="W867" s="144"/>
      <c r="X867" s="128"/>
      <c r="Y867" s="128"/>
      <c r="Z867" s="140"/>
      <c r="AA867" s="140"/>
      <c r="AB867" s="140"/>
      <c r="AC867" s="140"/>
      <c r="AD867" s="140"/>
      <c r="AE867" s="140"/>
      <c r="AF867" s="140"/>
      <c r="AG867" s="140"/>
      <c r="AH867" s="140"/>
      <c r="AI867" s="128" t="s">
        <v>1845</v>
      </c>
      <c r="AJ867" s="137"/>
      <c r="AK867" s="140"/>
      <c r="AL867" s="140"/>
    </row>
    <row r="868" ht="15.75" customHeight="1">
      <c r="A868" s="141">
        <v>867.0</v>
      </c>
      <c r="B868" s="123" t="s">
        <v>1742</v>
      </c>
      <c r="C868" s="122" t="s">
        <v>1840</v>
      </c>
      <c r="D868" s="295" t="s">
        <v>2892</v>
      </c>
      <c r="E868" s="303" t="s">
        <v>7</v>
      </c>
      <c r="F868" s="376" t="s">
        <v>3068</v>
      </c>
      <c r="G868" s="377" t="s">
        <v>1491</v>
      </c>
      <c r="H868" s="128"/>
      <c r="I868" s="129" t="s">
        <v>1843</v>
      </c>
      <c r="J868" s="143" t="s">
        <v>1844</v>
      </c>
      <c r="K868" s="132" t="s">
        <v>1844</v>
      </c>
      <c r="L868" s="132" t="s">
        <v>1844</v>
      </c>
      <c r="M868" s="132" t="s">
        <v>1844</v>
      </c>
      <c r="N868" s="132" t="s">
        <v>1844</v>
      </c>
      <c r="O868" s="132" t="s">
        <v>1844</v>
      </c>
      <c r="P868" s="132" t="s">
        <v>1844</v>
      </c>
      <c r="Q868" s="140" t="s">
        <v>1845</v>
      </c>
      <c r="R868" s="144"/>
      <c r="S868" s="140"/>
      <c r="T868" s="140"/>
      <c r="U868" s="140"/>
      <c r="V868" s="140"/>
      <c r="W868" s="144"/>
      <c r="X868" s="128"/>
      <c r="Y868" s="128"/>
      <c r="Z868" s="140"/>
      <c r="AA868" s="140"/>
      <c r="AB868" s="140"/>
      <c r="AC868" s="140"/>
      <c r="AD868" s="140"/>
      <c r="AE868" s="140"/>
      <c r="AF868" s="140"/>
      <c r="AG868" s="140"/>
      <c r="AH868" s="140"/>
      <c r="AI868" s="128" t="s">
        <v>1845</v>
      </c>
      <c r="AJ868" s="137"/>
      <c r="AK868" s="140"/>
      <c r="AL868" s="140"/>
    </row>
    <row r="869" ht="37.5" customHeight="1">
      <c r="A869" s="141">
        <v>868.0</v>
      </c>
      <c r="B869" s="138">
        <f t="shared" ref="B869:B873" si="90">SUM(A869+10000)</f>
        <v>10868</v>
      </c>
      <c r="C869" s="122" t="s">
        <v>1840</v>
      </c>
      <c r="D869" s="295" t="s">
        <v>2892</v>
      </c>
      <c r="E869" s="302" t="s">
        <v>34</v>
      </c>
      <c r="F869" s="152" t="s">
        <v>3069</v>
      </c>
      <c r="G869" s="229" t="s">
        <v>1492</v>
      </c>
      <c r="H869" s="128"/>
      <c r="I869" s="129" t="s">
        <v>1843</v>
      </c>
      <c r="J869" s="128" t="s">
        <v>1876</v>
      </c>
      <c r="K869" s="132" t="s">
        <v>2348</v>
      </c>
      <c r="L869" s="128" t="s">
        <v>1990</v>
      </c>
      <c r="M869" s="128" t="s">
        <v>1845</v>
      </c>
      <c r="N869" s="132" t="s">
        <v>1844</v>
      </c>
      <c r="O869" s="143" t="s">
        <v>1879</v>
      </c>
      <c r="P869" s="128" t="s">
        <v>1862</v>
      </c>
      <c r="Q869" s="140"/>
      <c r="R869" s="144"/>
      <c r="S869" s="140" t="s">
        <v>1845</v>
      </c>
      <c r="T869" s="140"/>
      <c r="U869" s="140"/>
      <c r="V869" s="140"/>
      <c r="W869" s="144"/>
      <c r="X869" s="128" t="s">
        <v>1845</v>
      </c>
      <c r="Y869" s="128"/>
      <c r="Z869" s="140"/>
      <c r="AA869" s="140"/>
      <c r="AB869" s="140"/>
      <c r="AC869" s="140"/>
      <c r="AD869" s="140"/>
      <c r="AE869" s="140"/>
      <c r="AF869" s="140"/>
      <c r="AG869" s="140"/>
      <c r="AH869" s="140"/>
      <c r="AI869" s="128" t="s">
        <v>1845</v>
      </c>
      <c r="AJ869" s="137"/>
      <c r="AK869" s="140"/>
      <c r="AL869" s="140"/>
    </row>
    <row r="870" ht="16.5" customHeight="1">
      <c r="A870" s="122">
        <v>869.0</v>
      </c>
      <c r="B870" s="138">
        <f t="shared" si="90"/>
        <v>10869</v>
      </c>
      <c r="C870" s="122" t="s">
        <v>1840</v>
      </c>
      <c r="D870" s="295" t="s">
        <v>2892</v>
      </c>
      <c r="E870" s="302" t="s">
        <v>34</v>
      </c>
      <c r="F870" s="126" t="s">
        <v>3070</v>
      </c>
      <c r="G870" s="378" t="s">
        <v>1493</v>
      </c>
      <c r="H870" s="128"/>
      <c r="I870" s="128" t="s">
        <v>1906</v>
      </c>
      <c r="J870" s="143" t="s">
        <v>1876</v>
      </c>
      <c r="K870" s="143" t="s">
        <v>2348</v>
      </c>
      <c r="L870" s="128" t="s">
        <v>1990</v>
      </c>
      <c r="M870" s="128" t="s">
        <v>1845</v>
      </c>
      <c r="N870" s="143" t="s">
        <v>1844</v>
      </c>
      <c r="O870" s="143" t="s">
        <v>1879</v>
      </c>
      <c r="P870" s="128" t="s">
        <v>1862</v>
      </c>
      <c r="Q870" s="140"/>
      <c r="R870" s="144"/>
      <c r="S870" s="140" t="s">
        <v>1845</v>
      </c>
      <c r="T870" s="140"/>
      <c r="U870" s="140" t="s">
        <v>1845</v>
      </c>
      <c r="V870" s="140" t="s">
        <v>1845</v>
      </c>
      <c r="W870" s="144"/>
      <c r="X870" s="128" t="s">
        <v>1845</v>
      </c>
      <c r="Y870" s="128"/>
      <c r="Z870" s="140"/>
      <c r="AA870" s="140"/>
      <c r="AB870" s="140"/>
      <c r="AC870" s="140"/>
      <c r="AD870" s="140"/>
      <c r="AE870" s="140"/>
      <c r="AF870" s="140"/>
      <c r="AG870" s="140"/>
      <c r="AH870" s="140"/>
      <c r="AI870" s="128" t="s">
        <v>1845</v>
      </c>
      <c r="AJ870" s="137"/>
      <c r="AK870" s="140"/>
      <c r="AL870" s="140"/>
    </row>
    <row r="871" ht="15.75" customHeight="1">
      <c r="A871" s="141">
        <v>870.0</v>
      </c>
      <c r="B871" s="138">
        <f t="shared" si="90"/>
        <v>10870</v>
      </c>
      <c r="C871" s="122" t="s">
        <v>1840</v>
      </c>
      <c r="D871" s="295" t="s">
        <v>2892</v>
      </c>
      <c r="E871" s="303" t="s">
        <v>27</v>
      </c>
      <c r="F871" s="229" t="s">
        <v>3071</v>
      </c>
      <c r="G871" s="379" t="s">
        <v>1494</v>
      </c>
      <c r="H871" s="128"/>
      <c r="I871" s="129" t="s">
        <v>1843</v>
      </c>
      <c r="J871" s="149" t="s">
        <v>1844</v>
      </c>
      <c r="K871" s="136" t="s">
        <v>1844</v>
      </c>
      <c r="L871" s="136" t="s">
        <v>1844</v>
      </c>
      <c r="M871" s="136" t="s">
        <v>1845</v>
      </c>
      <c r="N871" s="144" t="s">
        <v>1844</v>
      </c>
      <c r="O871" s="144" t="s">
        <v>1844</v>
      </c>
      <c r="P871" s="140" t="s">
        <v>1862</v>
      </c>
      <c r="Q871" s="140"/>
      <c r="R871" s="144"/>
      <c r="S871" s="140" t="s">
        <v>1845</v>
      </c>
      <c r="T871" s="140" t="s">
        <v>1845</v>
      </c>
      <c r="U871" s="140"/>
      <c r="V871" s="140"/>
      <c r="W871" s="144"/>
      <c r="X871" s="128"/>
      <c r="Y871" s="128"/>
      <c r="Z871" s="140"/>
      <c r="AA871" s="140"/>
      <c r="AB871" s="140"/>
      <c r="AC871" s="140"/>
      <c r="AD871" s="140"/>
      <c r="AE871" s="140"/>
      <c r="AF871" s="140"/>
      <c r="AG871" s="140"/>
      <c r="AH871" s="140"/>
      <c r="AI871" s="128" t="s">
        <v>1845</v>
      </c>
      <c r="AJ871" s="137"/>
      <c r="AK871" s="140"/>
      <c r="AL871" s="140"/>
    </row>
    <row r="872" ht="15.75" customHeight="1">
      <c r="A872" s="264">
        <v>871.0</v>
      </c>
      <c r="B872" s="138">
        <f t="shared" si="90"/>
        <v>10871</v>
      </c>
      <c r="C872" s="241" t="s">
        <v>1840</v>
      </c>
      <c r="D872" s="241" t="s">
        <v>2892</v>
      </c>
      <c r="E872" s="241" t="s">
        <v>7</v>
      </c>
      <c r="F872" s="219" t="s">
        <v>3072</v>
      </c>
      <c r="G872" s="364" t="s">
        <v>1495</v>
      </c>
      <c r="H872" s="235"/>
      <c r="I872" s="239" t="s">
        <v>1843</v>
      </c>
      <c r="J872" s="259" t="s">
        <v>1844</v>
      </c>
      <c r="K872" s="237" t="s">
        <v>1844</v>
      </c>
      <c r="L872" s="235" t="s">
        <v>1844</v>
      </c>
      <c r="M872" s="235" t="s">
        <v>1844</v>
      </c>
      <c r="N872" s="239" t="s">
        <v>1844</v>
      </c>
      <c r="O872" s="239" t="s">
        <v>1844</v>
      </c>
      <c r="P872" s="239" t="s">
        <v>1844</v>
      </c>
      <c r="Q872" s="239"/>
      <c r="R872" s="238"/>
      <c r="S872" s="239" t="s">
        <v>1845</v>
      </c>
      <c r="T872" s="239"/>
      <c r="U872" s="239"/>
      <c r="V872" s="239"/>
      <c r="W872" s="238"/>
      <c r="X872" s="235" t="s">
        <v>1845</v>
      </c>
      <c r="Y872" s="235"/>
      <c r="Z872" s="239"/>
      <c r="AA872" s="239"/>
      <c r="AB872" s="239"/>
      <c r="AC872" s="239"/>
      <c r="AD872" s="239"/>
      <c r="AE872" s="239"/>
      <c r="AF872" s="239"/>
      <c r="AG872" s="239"/>
      <c r="AH872" s="239"/>
      <c r="AI872" s="235" t="s">
        <v>1845</v>
      </c>
      <c r="AJ872" s="243" t="s">
        <v>1845</v>
      </c>
      <c r="AK872" s="140"/>
      <c r="AL872" s="140"/>
    </row>
    <row r="873" ht="15.75" customHeight="1">
      <c r="A873" s="122">
        <v>872.0</v>
      </c>
      <c r="B873" s="138">
        <f t="shared" si="90"/>
        <v>10872</v>
      </c>
      <c r="C873" s="122" t="s">
        <v>1840</v>
      </c>
      <c r="D873" s="122" t="s">
        <v>2892</v>
      </c>
      <c r="E873" s="122" t="s">
        <v>7</v>
      </c>
      <c r="F873" s="269" t="s">
        <v>3073</v>
      </c>
      <c r="G873" s="271" t="s">
        <v>1496</v>
      </c>
      <c r="H873" s="128"/>
      <c r="I873" s="140" t="s">
        <v>1843</v>
      </c>
      <c r="J873" s="149" t="s">
        <v>1844</v>
      </c>
      <c r="K873" s="136" t="s">
        <v>1844</v>
      </c>
      <c r="L873" s="128" t="s">
        <v>1844</v>
      </c>
      <c r="M873" s="128" t="s">
        <v>1844</v>
      </c>
      <c r="N873" s="140" t="s">
        <v>1844</v>
      </c>
      <c r="O873" s="140" t="s">
        <v>1844</v>
      </c>
      <c r="P873" s="140" t="s">
        <v>1844</v>
      </c>
      <c r="Q873" s="140"/>
      <c r="R873" s="144"/>
      <c r="S873" s="140"/>
      <c r="T873" s="140"/>
      <c r="U873" s="140"/>
      <c r="V873" s="140"/>
      <c r="W873" s="144"/>
      <c r="X873" s="128"/>
      <c r="Y873" s="128"/>
      <c r="Z873" s="140"/>
      <c r="AA873" s="140"/>
      <c r="AB873" s="140"/>
      <c r="AC873" s="140"/>
      <c r="AD873" s="140"/>
      <c r="AE873" s="140"/>
      <c r="AF873" s="140"/>
      <c r="AG873" s="140"/>
      <c r="AH873" s="140"/>
      <c r="AI873" s="128" t="s">
        <v>1845</v>
      </c>
      <c r="AJ873" s="137"/>
      <c r="AK873" s="140"/>
      <c r="AL873" s="140"/>
    </row>
    <row r="874" ht="15.75" customHeight="1">
      <c r="A874" s="141">
        <v>873.0</v>
      </c>
      <c r="B874" s="123" t="s">
        <v>1742</v>
      </c>
      <c r="C874" s="122" t="s">
        <v>1840</v>
      </c>
      <c r="D874" s="122" t="s">
        <v>2892</v>
      </c>
      <c r="E874" s="122" t="s">
        <v>7</v>
      </c>
      <c r="F874" s="269" t="s">
        <v>3074</v>
      </c>
      <c r="G874" s="271" t="s">
        <v>1497</v>
      </c>
      <c r="H874" s="128"/>
      <c r="I874" s="140" t="s">
        <v>1843</v>
      </c>
      <c r="J874" s="149" t="s">
        <v>1844</v>
      </c>
      <c r="K874" s="136" t="s">
        <v>1844</v>
      </c>
      <c r="L874" s="128" t="s">
        <v>1844</v>
      </c>
      <c r="M874" s="128" t="s">
        <v>1844</v>
      </c>
      <c r="N874" s="140" t="s">
        <v>1844</v>
      </c>
      <c r="O874" s="140" t="s">
        <v>1844</v>
      </c>
      <c r="P874" s="140" t="s">
        <v>1844</v>
      </c>
      <c r="Q874" s="140" t="s">
        <v>1845</v>
      </c>
      <c r="R874" s="144"/>
      <c r="S874" s="140"/>
      <c r="T874" s="140"/>
      <c r="U874" s="140"/>
      <c r="V874" s="140"/>
      <c r="W874" s="144" t="s">
        <v>1845</v>
      </c>
      <c r="X874" s="128"/>
      <c r="Y874" s="128"/>
      <c r="Z874" s="140"/>
      <c r="AA874" s="140"/>
      <c r="AB874" s="140"/>
      <c r="AC874" s="140"/>
      <c r="AD874" s="140"/>
      <c r="AE874" s="140"/>
      <c r="AF874" s="140"/>
      <c r="AG874" s="140"/>
      <c r="AH874" s="140"/>
      <c r="AI874" s="128" t="s">
        <v>1845</v>
      </c>
      <c r="AJ874" s="137"/>
      <c r="AK874" s="140"/>
      <c r="AL874" s="140"/>
    </row>
    <row r="875" ht="15.75" customHeight="1">
      <c r="A875" s="264">
        <v>874.0</v>
      </c>
      <c r="B875" s="123" t="s">
        <v>1742</v>
      </c>
      <c r="C875" s="241" t="s">
        <v>1840</v>
      </c>
      <c r="D875" s="241" t="s">
        <v>2892</v>
      </c>
      <c r="E875" s="241" t="s">
        <v>7</v>
      </c>
      <c r="F875" s="263" t="s">
        <v>3075</v>
      </c>
      <c r="G875" s="263" t="s">
        <v>3076</v>
      </c>
      <c r="H875" s="237"/>
      <c r="I875" s="238" t="s">
        <v>1843</v>
      </c>
      <c r="J875" s="236" t="s">
        <v>1844</v>
      </c>
      <c r="K875" s="237" t="s">
        <v>1844</v>
      </c>
      <c r="L875" s="237" t="s">
        <v>1844</v>
      </c>
      <c r="M875" s="237" t="s">
        <v>1844</v>
      </c>
      <c r="N875" s="238" t="s">
        <v>1844</v>
      </c>
      <c r="O875" s="238" t="s">
        <v>1844</v>
      </c>
      <c r="P875" s="238" t="s">
        <v>1844</v>
      </c>
      <c r="Q875" s="238" t="s">
        <v>1845</v>
      </c>
      <c r="R875" s="238"/>
      <c r="S875" s="238"/>
      <c r="T875" s="238"/>
      <c r="U875" s="238"/>
      <c r="V875" s="238"/>
      <c r="W875" s="238"/>
      <c r="X875" s="237" t="s">
        <v>1845</v>
      </c>
      <c r="Y875" s="237"/>
      <c r="Z875" s="238"/>
      <c r="AA875" s="238"/>
      <c r="AB875" s="238"/>
      <c r="AC875" s="238"/>
      <c r="AD875" s="238"/>
      <c r="AE875" s="238"/>
      <c r="AF875" s="238"/>
      <c r="AG875" s="238"/>
      <c r="AH875" s="238"/>
      <c r="AI875" s="237"/>
      <c r="AJ875" s="338" t="s">
        <v>1845</v>
      </c>
      <c r="AK875" s="140"/>
      <c r="AL875" s="140"/>
    </row>
    <row r="876" ht="15.75" customHeight="1">
      <c r="A876" s="241">
        <v>875.0</v>
      </c>
      <c r="B876" s="123" t="s">
        <v>1742</v>
      </c>
      <c r="C876" s="241" t="s">
        <v>1840</v>
      </c>
      <c r="D876" s="241" t="s">
        <v>2892</v>
      </c>
      <c r="E876" s="241" t="s">
        <v>7</v>
      </c>
      <c r="F876" s="263" t="s">
        <v>3077</v>
      </c>
      <c r="G876" s="263" t="s">
        <v>3078</v>
      </c>
      <c r="H876" s="235"/>
      <c r="I876" s="239" t="s">
        <v>1843</v>
      </c>
      <c r="J876" s="259" t="s">
        <v>1844</v>
      </c>
      <c r="K876" s="237" t="s">
        <v>1844</v>
      </c>
      <c r="L876" s="235" t="s">
        <v>1844</v>
      </c>
      <c r="M876" s="235" t="s">
        <v>1844</v>
      </c>
      <c r="N876" s="239" t="s">
        <v>1844</v>
      </c>
      <c r="O876" s="239" t="s">
        <v>1844</v>
      </c>
      <c r="P876" s="239" t="s">
        <v>1844</v>
      </c>
      <c r="Q876" s="239" t="s">
        <v>1845</v>
      </c>
      <c r="R876" s="238"/>
      <c r="S876" s="239" t="s">
        <v>1845</v>
      </c>
      <c r="T876" s="239"/>
      <c r="U876" s="239"/>
      <c r="V876" s="239"/>
      <c r="W876" s="238"/>
      <c r="X876" s="235" t="s">
        <v>1845</v>
      </c>
      <c r="Y876" s="235"/>
      <c r="Z876" s="239"/>
      <c r="AA876" s="239"/>
      <c r="AB876" s="239"/>
      <c r="AC876" s="239"/>
      <c r="AD876" s="239"/>
      <c r="AE876" s="239"/>
      <c r="AF876" s="239"/>
      <c r="AG876" s="239"/>
      <c r="AH876" s="239"/>
      <c r="AI876" s="235"/>
      <c r="AJ876" s="243" t="s">
        <v>1845</v>
      </c>
      <c r="AK876" s="140"/>
      <c r="AL876" s="140"/>
    </row>
    <row r="877" ht="15.75" customHeight="1">
      <c r="A877" s="141">
        <v>876.0</v>
      </c>
      <c r="B877" s="123" t="s">
        <v>1742</v>
      </c>
      <c r="C877" s="122" t="s">
        <v>1840</v>
      </c>
      <c r="D877" s="122" t="s">
        <v>2892</v>
      </c>
      <c r="E877" s="122" t="s">
        <v>7</v>
      </c>
      <c r="F877" s="269" t="s">
        <v>3079</v>
      </c>
      <c r="G877" s="269" t="s">
        <v>1500</v>
      </c>
      <c r="H877" s="128"/>
      <c r="I877" s="140" t="s">
        <v>1843</v>
      </c>
      <c r="J877" s="149" t="s">
        <v>1844</v>
      </c>
      <c r="K877" s="136" t="s">
        <v>1844</v>
      </c>
      <c r="L877" s="128" t="s">
        <v>1844</v>
      </c>
      <c r="M877" s="128" t="s">
        <v>1844</v>
      </c>
      <c r="N877" s="140" t="s">
        <v>1844</v>
      </c>
      <c r="O877" s="140" t="s">
        <v>1844</v>
      </c>
      <c r="P877" s="140" t="s">
        <v>1844</v>
      </c>
      <c r="Q877" s="140" t="s">
        <v>1845</v>
      </c>
      <c r="R877" s="144"/>
      <c r="S877" s="140"/>
      <c r="T877" s="140" t="s">
        <v>1845</v>
      </c>
      <c r="U877" s="140"/>
      <c r="V877" s="140"/>
      <c r="W877" s="144" t="s">
        <v>1845</v>
      </c>
      <c r="X877" s="128"/>
      <c r="Y877" s="128"/>
      <c r="Z877" s="140"/>
      <c r="AA877" s="140"/>
      <c r="AB877" s="140"/>
      <c r="AC877" s="140"/>
      <c r="AD877" s="140"/>
      <c r="AE877" s="140"/>
      <c r="AF877" s="140"/>
      <c r="AG877" s="140"/>
      <c r="AH877" s="140"/>
      <c r="AI877" s="128"/>
      <c r="AJ877" s="137"/>
      <c r="AK877" s="140"/>
      <c r="AL877" s="140"/>
    </row>
    <row r="878" ht="15.75" customHeight="1">
      <c r="A878" s="264">
        <v>877.0</v>
      </c>
      <c r="B878" s="123" t="s">
        <v>1742</v>
      </c>
      <c r="C878" s="241" t="s">
        <v>1840</v>
      </c>
      <c r="D878" s="241" t="s">
        <v>2892</v>
      </c>
      <c r="E878" s="241" t="s">
        <v>7</v>
      </c>
      <c r="F878" s="263" t="s">
        <v>3080</v>
      </c>
      <c r="G878" s="263" t="s">
        <v>3081</v>
      </c>
      <c r="H878" s="235"/>
      <c r="I878" s="239" t="s">
        <v>1906</v>
      </c>
      <c r="J878" s="259" t="s">
        <v>1844</v>
      </c>
      <c r="K878" s="237" t="s">
        <v>1844</v>
      </c>
      <c r="L878" s="235" t="s">
        <v>1844</v>
      </c>
      <c r="M878" s="235" t="s">
        <v>1844</v>
      </c>
      <c r="N878" s="239" t="s">
        <v>1844</v>
      </c>
      <c r="O878" s="239" t="s">
        <v>1844</v>
      </c>
      <c r="P878" s="239" t="s">
        <v>1844</v>
      </c>
      <c r="Q878" s="239" t="s">
        <v>1845</v>
      </c>
      <c r="R878" s="238"/>
      <c r="S878" s="239" t="s">
        <v>1845</v>
      </c>
      <c r="T878" s="239"/>
      <c r="U878" s="239" t="s">
        <v>1845</v>
      </c>
      <c r="V878" s="239" t="s">
        <v>1845</v>
      </c>
      <c r="W878" s="238"/>
      <c r="X878" s="235" t="s">
        <v>1845</v>
      </c>
      <c r="Y878" s="235"/>
      <c r="Z878" s="239"/>
      <c r="AA878" s="239"/>
      <c r="AB878" s="239"/>
      <c r="AC878" s="239"/>
      <c r="AD878" s="239"/>
      <c r="AE878" s="239"/>
      <c r="AF878" s="239"/>
      <c r="AG878" s="239"/>
      <c r="AH878" s="239"/>
      <c r="AI878" s="235"/>
      <c r="AJ878" s="243" t="s">
        <v>1845</v>
      </c>
      <c r="AK878" s="140"/>
      <c r="AL878" s="140"/>
    </row>
    <row r="879" ht="15.75" customHeight="1">
      <c r="A879" s="122">
        <v>878.0</v>
      </c>
      <c r="B879" s="123" t="s">
        <v>1742</v>
      </c>
      <c r="C879" s="122" t="s">
        <v>1840</v>
      </c>
      <c r="D879" s="122" t="s">
        <v>2892</v>
      </c>
      <c r="E879" s="122" t="s">
        <v>7</v>
      </c>
      <c r="F879" s="269" t="s">
        <v>3082</v>
      </c>
      <c r="G879" s="269" t="s">
        <v>1502</v>
      </c>
      <c r="H879" s="128"/>
      <c r="I879" s="140" t="s">
        <v>1843</v>
      </c>
      <c r="J879" s="149" t="s">
        <v>1844</v>
      </c>
      <c r="K879" s="136" t="s">
        <v>1844</v>
      </c>
      <c r="L879" s="128" t="s">
        <v>1844</v>
      </c>
      <c r="M879" s="128" t="s">
        <v>1844</v>
      </c>
      <c r="N879" s="140" t="s">
        <v>1844</v>
      </c>
      <c r="O879" s="140" t="s">
        <v>1844</v>
      </c>
      <c r="P879" s="140" t="s">
        <v>1844</v>
      </c>
      <c r="Q879" s="140" t="s">
        <v>1845</v>
      </c>
      <c r="R879" s="144"/>
      <c r="S879" s="140"/>
      <c r="T879" s="140"/>
      <c r="U879" s="140"/>
      <c r="V879" s="140"/>
      <c r="W879" s="144"/>
      <c r="X879" s="128" t="s">
        <v>1845</v>
      </c>
      <c r="Y879" s="128"/>
      <c r="Z879" s="140"/>
      <c r="AA879" s="140"/>
      <c r="AB879" s="140"/>
      <c r="AC879" s="140"/>
      <c r="AD879" s="140"/>
      <c r="AE879" s="140"/>
      <c r="AF879" s="140"/>
      <c r="AG879" s="140"/>
      <c r="AH879" s="140"/>
      <c r="AI879" s="128"/>
      <c r="AJ879" s="137"/>
      <c r="AK879" s="140"/>
      <c r="AL879" s="140"/>
    </row>
    <row r="880" ht="15.75" customHeight="1">
      <c r="A880" s="125">
        <v>879.0</v>
      </c>
      <c r="B880" s="123" t="s">
        <v>1742</v>
      </c>
      <c r="C880" s="122" t="s">
        <v>1840</v>
      </c>
      <c r="D880" s="122" t="s">
        <v>2892</v>
      </c>
      <c r="E880" s="122" t="s">
        <v>34</v>
      </c>
      <c r="F880" s="269" t="s">
        <v>3083</v>
      </c>
      <c r="G880" s="269" t="s">
        <v>1503</v>
      </c>
      <c r="H880" s="128"/>
      <c r="I880" s="140" t="s">
        <v>1843</v>
      </c>
      <c r="J880" s="149" t="s">
        <v>1876</v>
      </c>
      <c r="K880" s="136" t="s">
        <v>2348</v>
      </c>
      <c r="L880" s="128" t="s">
        <v>1844</v>
      </c>
      <c r="M880" s="128" t="s">
        <v>1845</v>
      </c>
      <c r="N880" s="140" t="s">
        <v>1844</v>
      </c>
      <c r="O880" s="140" t="s">
        <v>1879</v>
      </c>
      <c r="P880" s="140" t="s">
        <v>1844</v>
      </c>
      <c r="Q880" s="140" t="s">
        <v>1845</v>
      </c>
      <c r="R880" s="144"/>
      <c r="S880" s="140"/>
      <c r="T880" s="140" t="s">
        <v>1845</v>
      </c>
      <c r="U880" s="140"/>
      <c r="V880" s="140"/>
      <c r="W880" s="144" t="s">
        <v>1845</v>
      </c>
      <c r="X880" s="128"/>
      <c r="Y880" s="128"/>
      <c r="Z880" s="140"/>
      <c r="AA880" s="140"/>
      <c r="AB880" s="140"/>
      <c r="AC880" s="140"/>
      <c r="AD880" s="140"/>
      <c r="AE880" s="140"/>
      <c r="AF880" s="140"/>
      <c r="AG880" s="140"/>
      <c r="AH880" s="140"/>
      <c r="AI880" s="128"/>
      <c r="AJ880" s="137"/>
      <c r="AK880" s="140"/>
      <c r="AL880" s="140"/>
    </row>
    <row r="881" ht="15.75" customHeight="1">
      <c r="A881" s="125">
        <v>880.0</v>
      </c>
      <c r="B881" s="138">
        <f t="shared" ref="B881:B883" si="91">SUM(A881+10000)</f>
        <v>10880</v>
      </c>
      <c r="C881" s="122" t="s">
        <v>1840</v>
      </c>
      <c r="D881" s="122" t="s">
        <v>2892</v>
      </c>
      <c r="E881" s="122" t="s">
        <v>7</v>
      </c>
      <c r="F881" s="269" t="s">
        <v>3084</v>
      </c>
      <c r="G881" s="269" t="s">
        <v>1504</v>
      </c>
      <c r="H881" s="128"/>
      <c r="I881" s="140" t="s">
        <v>1843</v>
      </c>
      <c r="J881" s="149" t="s">
        <v>1844</v>
      </c>
      <c r="K881" s="136" t="s">
        <v>1844</v>
      </c>
      <c r="L881" s="128" t="s">
        <v>1844</v>
      </c>
      <c r="M881" s="128" t="s">
        <v>1844</v>
      </c>
      <c r="N881" s="140" t="s">
        <v>1844</v>
      </c>
      <c r="O881" s="140" t="s">
        <v>1844</v>
      </c>
      <c r="P881" s="140" t="s">
        <v>1844</v>
      </c>
      <c r="Q881" s="140" t="s">
        <v>1845</v>
      </c>
      <c r="R881" s="144"/>
      <c r="S881" s="140"/>
      <c r="T881" s="140"/>
      <c r="U881" s="140"/>
      <c r="V881" s="140"/>
      <c r="W881" s="144"/>
      <c r="X881" s="128"/>
      <c r="Y881" s="128"/>
      <c r="Z881" s="140"/>
      <c r="AA881" s="140"/>
      <c r="AB881" s="140"/>
      <c r="AC881" s="140"/>
      <c r="AD881" s="140"/>
      <c r="AE881" s="140"/>
      <c r="AF881" s="140"/>
      <c r="AG881" s="140"/>
      <c r="AH881" s="140"/>
      <c r="AI881" s="128"/>
      <c r="AJ881" s="137"/>
      <c r="AK881" s="140"/>
      <c r="AL881" s="140"/>
    </row>
    <row r="882" ht="15.75" customHeight="1">
      <c r="A882" s="233">
        <v>881.0</v>
      </c>
      <c r="B882" s="138">
        <f t="shared" si="91"/>
        <v>10881</v>
      </c>
      <c r="C882" s="241" t="s">
        <v>1840</v>
      </c>
      <c r="D882" s="241" t="s">
        <v>2892</v>
      </c>
      <c r="E882" s="380" t="s">
        <v>34</v>
      </c>
      <c r="F882" s="263" t="s">
        <v>3085</v>
      </c>
      <c r="G882" s="263" t="s">
        <v>1505</v>
      </c>
      <c r="H882" s="235"/>
      <c r="I882" s="239" t="s">
        <v>1843</v>
      </c>
      <c r="J882" s="259" t="s">
        <v>1876</v>
      </c>
      <c r="K882" s="237" t="s">
        <v>2348</v>
      </c>
      <c r="L882" s="235" t="s">
        <v>1844</v>
      </c>
      <c r="M882" s="235" t="s">
        <v>1845</v>
      </c>
      <c r="N882" s="239" t="s">
        <v>1844</v>
      </c>
      <c r="O882" s="239" t="s">
        <v>1879</v>
      </c>
      <c r="P882" s="239" t="s">
        <v>1844</v>
      </c>
      <c r="Q882" s="239"/>
      <c r="R882" s="238"/>
      <c r="S882" s="239"/>
      <c r="T882" s="239"/>
      <c r="U882" s="239"/>
      <c r="V882" s="239"/>
      <c r="W882" s="238"/>
      <c r="X882" s="235" t="s">
        <v>1845</v>
      </c>
      <c r="Y882" s="235"/>
      <c r="Z882" s="239"/>
      <c r="AA882" s="239"/>
      <c r="AB882" s="239"/>
      <c r="AC882" s="239"/>
      <c r="AD882" s="239"/>
      <c r="AE882" s="239"/>
      <c r="AF882" s="239"/>
      <c r="AG882" s="239"/>
      <c r="AH882" s="239"/>
      <c r="AI882" s="235"/>
      <c r="AJ882" s="243" t="s">
        <v>1845</v>
      </c>
      <c r="AK882" s="140"/>
      <c r="AL882" s="140"/>
    </row>
    <row r="883" ht="15.75" customHeight="1">
      <c r="A883" s="125">
        <v>882.0</v>
      </c>
      <c r="B883" s="138">
        <f t="shared" si="91"/>
        <v>10882</v>
      </c>
      <c r="C883" s="122" t="s">
        <v>1840</v>
      </c>
      <c r="D883" s="122" t="s">
        <v>2892</v>
      </c>
      <c r="E883" s="303" t="s">
        <v>34</v>
      </c>
      <c r="F883" s="269" t="s">
        <v>3086</v>
      </c>
      <c r="G883" s="269" t="s">
        <v>1506</v>
      </c>
      <c r="H883" s="128"/>
      <c r="I883" s="140" t="s">
        <v>1843</v>
      </c>
      <c r="J883" s="149" t="s">
        <v>1876</v>
      </c>
      <c r="K883" s="136" t="s">
        <v>2348</v>
      </c>
      <c r="L883" s="128" t="s">
        <v>1844</v>
      </c>
      <c r="M883" s="128" t="s">
        <v>1845</v>
      </c>
      <c r="N883" s="140" t="s">
        <v>1844</v>
      </c>
      <c r="O883" s="140" t="s">
        <v>1879</v>
      </c>
      <c r="P883" s="140" t="s">
        <v>1844</v>
      </c>
      <c r="Q883" s="140"/>
      <c r="R883" s="144"/>
      <c r="S883" s="140"/>
      <c r="T883" s="140" t="s">
        <v>1845</v>
      </c>
      <c r="U883" s="140"/>
      <c r="V883" s="140"/>
      <c r="W883" s="144"/>
      <c r="X883" s="128"/>
      <c r="Y883" s="128"/>
      <c r="Z883" s="140"/>
      <c r="AA883" s="140"/>
      <c r="AB883" s="140"/>
      <c r="AC883" s="140"/>
      <c r="AD883" s="140"/>
      <c r="AE883" s="140"/>
      <c r="AF883" s="140"/>
      <c r="AG883" s="140"/>
      <c r="AH883" s="140"/>
      <c r="AI883" s="128" t="s">
        <v>1845</v>
      </c>
      <c r="AJ883" s="137"/>
      <c r="AK883" s="140"/>
      <c r="AL883" s="140"/>
    </row>
    <row r="884" ht="15.75" customHeight="1">
      <c r="A884" s="233">
        <v>883.0</v>
      </c>
      <c r="B884" s="123" t="s">
        <v>1742</v>
      </c>
      <c r="C884" s="241" t="s">
        <v>1840</v>
      </c>
      <c r="D884" s="241" t="s">
        <v>2892</v>
      </c>
      <c r="E884" s="380" t="s">
        <v>27</v>
      </c>
      <c r="F884" s="263" t="s">
        <v>3087</v>
      </c>
      <c r="G884" s="263" t="s">
        <v>1507</v>
      </c>
      <c r="H884" s="235"/>
      <c r="I884" s="239" t="s">
        <v>1843</v>
      </c>
      <c r="J884" s="259" t="s">
        <v>1844</v>
      </c>
      <c r="K884" s="237" t="s">
        <v>1844</v>
      </c>
      <c r="L884" s="235" t="s">
        <v>1844</v>
      </c>
      <c r="M884" s="235" t="s">
        <v>1845</v>
      </c>
      <c r="N884" s="239" t="s">
        <v>1844</v>
      </c>
      <c r="O884" s="239" t="s">
        <v>1844</v>
      </c>
      <c r="P884" s="239" t="s">
        <v>1862</v>
      </c>
      <c r="Q884" s="239" t="s">
        <v>1845</v>
      </c>
      <c r="R884" s="238"/>
      <c r="S884" s="239"/>
      <c r="T884" s="239"/>
      <c r="U884" s="239"/>
      <c r="V884" s="239"/>
      <c r="W884" s="238"/>
      <c r="X884" s="235" t="s">
        <v>1845</v>
      </c>
      <c r="Y884" s="235"/>
      <c r="Z884" s="239"/>
      <c r="AA884" s="239"/>
      <c r="AB884" s="239"/>
      <c r="AC884" s="239"/>
      <c r="AD884" s="239"/>
      <c r="AE884" s="239"/>
      <c r="AF884" s="239"/>
      <c r="AG884" s="239"/>
      <c r="AH884" s="239"/>
      <c r="AI884" s="235"/>
      <c r="AJ884" s="243" t="s">
        <v>1845</v>
      </c>
      <c r="AK884" s="140"/>
      <c r="AL884" s="140"/>
    </row>
    <row r="885" ht="15.75" customHeight="1">
      <c r="A885" s="125">
        <v>884.0</v>
      </c>
      <c r="B885" s="138">
        <f t="shared" ref="B885:B892" si="92">SUM(A885+10000)</f>
        <v>10884</v>
      </c>
      <c r="C885" s="122" t="s">
        <v>1840</v>
      </c>
      <c r="D885" s="122" t="s">
        <v>2892</v>
      </c>
      <c r="E885" s="122" t="s">
        <v>20</v>
      </c>
      <c r="F885" s="269" t="s">
        <v>3088</v>
      </c>
      <c r="G885" s="320" t="s">
        <v>3089</v>
      </c>
      <c r="H885" s="128"/>
      <c r="I885" s="140" t="s">
        <v>1843</v>
      </c>
      <c r="J885" s="149" t="s">
        <v>1844</v>
      </c>
      <c r="K885" s="136" t="s">
        <v>1844</v>
      </c>
      <c r="L885" s="128" t="s">
        <v>1844</v>
      </c>
      <c r="M885" s="128" t="s">
        <v>1845</v>
      </c>
      <c r="N885" s="140" t="s">
        <v>1844</v>
      </c>
      <c r="O885" s="140" t="s">
        <v>1844</v>
      </c>
      <c r="P885" s="140" t="s">
        <v>1862</v>
      </c>
      <c r="Q885" s="140"/>
      <c r="R885" s="144"/>
      <c r="S885" s="140" t="s">
        <v>1845</v>
      </c>
      <c r="T885" s="140" t="s">
        <v>1845</v>
      </c>
      <c r="U885" s="140"/>
      <c r="V885" s="140"/>
      <c r="W885" s="144"/>
      <c r="X885" s="128"/>
      <c r="Y885" s="128"/>
      <c r="Z885" s="140"/>
      <c r="AA885" s="140"/>
      <c r="AB885" s="140"/>
      <c r="AC885" s="140"/>
      <c r="AD885" s="140"/>
      <c r="AE885" s="140"/>
      <c r="AF885" s="140"/>
      <c r="AG885" s="140"/>
      <c r="AH885" s="140"/>
      <c r="AI885" s="128" t="s">
        <v>1845</v>
      </c>
      <c r="AJ885" s="137"/>
      <c r="AK885" s="140"/>
      <c r="AL885" s="140"/>
    </row>
    <row r="886" ht="15.75" customHeight="1">
      <c r="A886" s="125">
        <v>885.0</v>
      </c>
      <c r="B886" s="138">
        <f t="shared" si="92"/>
        <v>10885</v>
      </c>
      <c r="C886" s="122" t="s">
        <v>1840</v>
      </c>
      <c r="D886" s="122" t="s">
        <v>2892</v>
      </c>
      <c r="E886" s="122" t="s">
        <v>34</v>
      </c>
      <c r="F886" s="269" t="s">
        <v>3090</v>
      </c>
      <c r="G886" s="320" t="s">
        <v>1509</v>
      </c>
      <c r="H886" s="128"/>
      <c r="I886" s="140" t="s">
        <v>1843</v>
      </c>
      <c r="J886" s="149" t="s">
        <v>1876</v>
      </c>
      <c r="K886" s="136" t="s">
        <v>2348</v>
      </c>
      <c r="L886" s="128" t="s">
        <v>1990</v>
      </c>
      <c r="M886" s="128" t="s">
        <v>1845</v>
      </c>
      <c r="N886" s="140" t="s">
        <v>1844</v>
      </c>
      <c r="O886" s="140" t="s">
        <v>1879</v>
      </c>
      <c r="P886" s="144" t="s">
        <v>1862</v>
      </c>
      <c r="Q886" s="140"/>
      <c r="R886" s="144"/>
      <c r="S886" s="140" t="s">
        <v>1845</v>
      </c>
      <c r="T886" s="140"/>
      <c r="U886" s="140"/>
      <c r="V886" s="140"/>
      <c r="W886" s="144"/>
      <c r="X886" s="128"/>
      <c r="Y886" s="128"/>
      <c r="Z886" s="140"/>
      <c r="AA886" s="140"/>
      <c r="AB886" s="140"/>
      <c r="AC886" s="140"/>
      <c r="AD886" s="140"/>
      <c r="AE886" s="140"/>
      <c r="AF886" s="140"/>
      <c r="AG886" s="140"/>
      <c r="AH886" s="140"/>
      <c r="AI886" s="128"/>
      <c r="AJ886" s="137"/>
      <c r="AK886" s="140"/>
      <c r="AL886" s="140"/>
    </row>
    <row r="887" ht="15.75" customHeight="1">
      <c r="A887" s="125">
        <v>886.0</v>
      </c>
      <c r="B887" s="138">
        <f t="shared" si="92"/>
        <v>10886</v>
      </c>
      <c r="C887" s="122" t="s">
        <v>1840</v>
      </c>
      <c r="D887" s="122" t="s">
        <v>2892</v>
      </c>
      <c r="E887" s="122" t="s">
        <v>34</v>
      </c>
      <c r="F887" s="269" t="s">
        <v>3091</v>
      </c>
      <c r="G887" s="269" t="s">
        <v>1510</v>
      </c>
      <c r="H887" s="128"/>
      <c r="I887" s="140" t="s">
        <v>1843</v>
      </c>
      <c r="J887" s="149" t="s">
        <v>1876</v>
      </c>
      <c r="K887" s="136" t="s">
        <v>2348</v>
      </c>
      <c r="L887" s="128" t="s">
        <v>1844</v>
      </c>
      <c r="M887" s="128" t="s">
        <v>1845</v>
      </c>
      <c r="N887" s="140" t="s">
        <v>1844</v>
      </c>
      <c r="O887" s="140" t="s">
        <v>1879</v>
      </c>
      <c r="P887" s="140" t="s">
        <v>1862</v>
      </c>
      <c r="Q887" s="140"/>
      <c r="R887" s="144"/>
      <c r="S887" s="140" t="s">
        <v>1845</v>
      </c>
      <c r="T887" s="140"/>
      <c r="U887" s="140"/>
      <c r="V887" s="140"/>
      <c r="W887" s="144" t="s">
        <v>1845</v>
      </c>
      <c r="X887" s="128"/>
      <c r="Y887" s="128"/>
      <c r="Z887" s="140"/>
      <c r="AA887" s="140"/>
      <c r="AB887" s="140"/>
      <c r="AC887" s="140"/>
      <c r="AD887" s="140"/>
      <c r="AE887" s="140"/>
      <c r="AF887" s="140"/>
      <c r="AG887" s="140"/>
      <c r="AH887" s="140"/>
      <c r="AI887" s="128"/>
      <c r="AJ887" s="137"/>
      <c r="AK887" s="140"/>
      <c r="AL887" s="140"/>
    </row>
    <row r="888" ht="15.75" customHeight="1">
      <c r="A888" s="141">
        <v>887.0</v>
      </c>
      <c r="B888" s="138">
        <f t="shared" si="92"/>
        <v>10887</v>
      </c>
      <c r="C888" s="122" t="s">
        <v>1840</v>
      </c>
      <c r="D888" s="122" t="s">
        <v>2892</v>
      </c>
      <c r="E888" s="122" t="s">
        <v>34</v>
      </c>
      <c r="F888" s="269" t="s">
        <v>3092</v>
      </c>
      <c r="G888" s="269" t="s">
        <v>1511</v>
      </c>
      <c r="H888" s="128"/>
      <c r="I888" s="140" t="s">
        <v>1843</v>
      </c>
      <c r="J888" s="149" t="s">
        <v>1876</v>
      </c>
      <c r="K888" s="136" t="s">
        <v>2348</v>
      </c>
      <c r="L888" s="128" t="s">
        <v>1990</v>
      </c>
      <c r="M888" s="128" t="s">
        <v>1845</v>
      </c>
      <c r="N888" s="140" t="s">
        <v>1844</v>
      </c>
      <c r="O888" s="140" t="s">
        <v>1879</v>
      </c>
      <c r="P888" s="140" t="s">
        <v>1862</v>
      </c>
      <c r="Q888" s="140"/>
      <c r="R888" s="144"/>
      <c r="S888" s="140" t="s">
        <v>1845</v>
      </c>
      <c r="T888" s="140"/>
      <c r="U888" s="140"/>
      <c r="V888" s="140"/>
      <c r="W888" s="144"/>
      <c r="X888" s="128" t="s">
        <v>1845</v>
      </c>
      <c r="Y888" s="128"/>
      <c r="Z888" s="140"/>
      <c r="AA888" s="140"/>
      <c r="AB888" s="140"/>
      <c r="AC888" s="140"/>
      <c r="AD888" s="140"/>
      <c r="AE888" s="140"/>
      <c r="AF888" s="140"/>
      <c r="AG888" s="140"/>
      <c r="AH888" s="140"/>
      <c r="AI888" s="128" t="s">
        <v>1845</v>
      </c>
      <c r="AJ888" s="137"/>
      <c r="AK888" s="140"/>
      <c r="AL888" s="140"/>
    </row>
    <row r="889" ht="15.75" customHeight="1">
      <c r="A889" s="141">
        <v>888.0</v>
      </c>
      <c r="B889" s="138">
        <f t="shared" si="92"/>
        <v>10888</v>
      </c>
      <c r="C889" s="122" t="s">
        <v>1840</v>
      </c>
      <c r="D889" s="122" t="s">
        <v>2892</v>
      </c>
      <c r="E889" s="122" t="s">
        <v>7</v>
      </c>
      <c r="F889" s="269" t="s">
        <v>3093</v>
      </c>
      <c r="G889" s="379" t="s">
        <v>1512</v>
      </c>
      <c r="H889" s="136"/>
      <c r="I889" s="144" t="s">
        <v>1906</v>
      </c>
      <c r="J889" s="149" t="s">
        <v>1844</v>
      </c>
      <c r="K889" s="136" t="s">
        <v>1844</v>
      </c>
      <c r="L889" s="128" t="s">
        <v>1844</v>
      </c>
      <c r="M889" s="128" t="s">
        <v>1845</v>
      </c>
      <c r="N889" s="140" t="s">
        <v>1844</v>
      </c>
      <c r="O889" s="140" t="s">
        <v>1844</v>
      </c>
      <c r="P889" s="144" t="s">
        <v>1844</v>
      </c>
      <c r="Q889" s="144"/>
      <c r="R889" s="144"/>
      <c r="S889" s="144"/>
      <c r="T889" s="144"/>
      <c r="U889" s="144" t="s">
        <v>1845</v>
      </c>
      <c r="V889" s="144" t="s">
        <v>1845</v>
      </c>
      <c r="W889" s="144"/>
      <c r="X889" s="136" t="s">
        <v>1845</v>
      </c>
      <c r="Y889" s="136"/>
      <c r="Z889" s="144"/>
      <c r="AA889" s="144"/>
      <c r="AB889" s="144"/>
      <c r="AC889" s="144"/>
      <c r="AD889" s="144"/>
      <c r="AE889" s="144"/>
      <c r="AF889" s="144"/>
      <c r="AG889" s="144"/>
      <c r="AH889" s="144"/>
      <c r="AI889" s="136"/>
      <c r="AJ889" s="316"/>
      <c r="AK889" s="140"/>
      <c r="AL889" s="140"/>
    </row>
    <row r="890" ht="15.75" customHeight="1">
      <c r="A890" s="241">
        <v>889.0</v>
      </c>
      <c r="B890" s="138">
        <f t="shared" si="92"/>
        <v>10889</v>
      </c>
      <c r="C890" s="241" t="s">
        <v>1840</v>
      </c>
      <c r="D890" s="241" t="s">
        <v>2892</v>
      </c>
      <c r="E890" s="233" t="s">
        <v>34</v>
      </c>
      <c r="F890" s="263" t="s">
        <v>3094</v>
      </c>
      <c r="G890" s="263" t="s">
        <v>1513</v>
      </c>
      <c r="H890" s="235"/>
      <c r="I890" s="239" t="s">
        <v>1843</v>
      </c>
      <c r="J890" s="259" t="s">
        <v>1876</v>
      </c>
      <c r="K890" s="235" t="s">
        <v>2348</v>
      </c>
      <c r="L890" s="235" t="s">
        <v>1878</v>
      </c>
      <c r="M890" s="235" t="s">
        <v>1845</v>
      </c>
      <c r="N890" s="239" t="s">
        <v>1844</v>
      </c>
      <c r="O890" s="239" t="s">
        <v>1879</v>
      </c>
      <c r="P890" s="239" t="s">
        <v>1862</v>
      </c>
      <c r="Q890" s="239"/>
      <c r="R890" s="239"/>
      <c r="S890" s="239"/>
      <c r="T890" s="239"/>
      <c r="U890" s="239"/>
      <c r="V890" s="239"/>
      <c r="W890" s="239"/>
      <c r="X890" s="235" t="s">
        <v>1845</v>
      </c>
      <c r="Y890" s="235"/>
      <c r="Z890" s="239"/>
      <c r="AA890" s="239"/>
      <c r="AB890" s="239"/>
      <c r="AC890" s="239"/>
      <c r="AD890" s="239"/>
      <c r="AE890" s="239"/>
      <c r="AF890" s="239"/>
      <c r="AG890" s="239"/>
      <c r="AH890" s="239"/>
      <c r="AI890" s="235"/>
      <c r="AJ890" s="243" t="s">
        <v>1845</v>
      </c>
      <c r="AK890" s="140"/>
      <c r="AL890" s="140"/>
    </row>
    <row r="891" ht="15.75" customHeight="1">
      <c r="A891" s="122">
        <v>890.0</v>
      </c>
      <c r="B891" s="138">
        <f t="shared" si="92"/>
        <v>10890</v>
      </c>
      <c r="C891" s="122" t="s">
        <v>1840</v>
      </c>
      <c r="D891" s="122" t="s">
        <v>2892</v>
      </c>
      <c r="E891" s="125" t="s">
        <v>34</v>
      </c>
      <c r="F891" s="269" t="s">
        <v>3095</v>
      </c>
      <c r="G891" s="269" t="s">
        <v>3096</v>
      </c>
      <c r="H891" s="128"/>
      <c r="I891" s="140" t="s">
        <v>1843</v>
      </c>
      <c r="J891" s="149" t="s">
        <v>1876</v>
      </c>
      <c r="K891" s="128" t="s">
        <v>2348</v>
      </c>
      <c r="L891" s="305" t="s">
        <v>1990</v>
      </c>
      <c r="M891" s="128" t="s">
        <v>1845</v>
      </c>
      <c r="N891" s="140" t="s">
        <v>1844</v>
      </c>
      <c r="O891" s="140" t="s">
        <v>1879</v>
      </c>
      <c r="P891" s="140" t="s">
        <v>1895</v>
      </c>
      <c r="Q891" s="140"/>
      <c r="R891" s="140"/>
      <c r="S891" s="140"/>
      <c r="T891" s="140" t="s">
        <v>1845</v>
      </c>
      <c r="U891" s="140"/>
      <c r="V891" s="140"/>
      <c r="W891" s="140"/>
      <c r="X891" s="128" t="s">
        <v>1845</v>
      </c>
      <c r="Y891" s="128"/>
      <c r="Z891" s="140"/>
      <c r="AA891" s="140"/>
      <c r="AB891" s="140"/>
      <c r="AC891" s="140"/>
      <c r="AD891" s="140"/>
      <c r="AE891" s="140"/>
      <c r="AF891" s="140"/>
      <c r="AG891" s="140"/>
      <c r="AH891" s="140"/>
      <c r="AI891" s="128"/>
      <c r="AJ891" s="137"/>
      <c r="AK891" s="140"/>
      <c r="AL891" s="140"/>
    </row>
    <row r="892" ht="15.75" customHeight="1">
      <c r="A892" s="122">
        <v>891.0</v>
      </c>
      <c r="B892" s="138">
        <f t="shared" si="92"/>
        <v>10891</v>
      </c>
      <c r="C892" s="122" t="s">
        <v>1840</v>
      </c>
      <c r="D892" s="122" t="s">
        <v>2892</v>
      </c>
      <c r="E892" s="125" t="s">
        <v>34</v>
      </c>
      <c r="F892" s="269" t="s">
        <v>3097</v>
      </c>
      <c r="G892" s="359" t="s">
        <v>1515</v>
      </c>
      <c r="H892" s="128"/>
      <c r="I892" s="140" t="s">
        <v>1906</v>
      </c>
      <c r="J892" s="149" t="s">
        <v>1876</v>
      </c>
      <c r="K892" s="128" t="s">
        <v>2348</v>
      </c>
      <c r="L892" s="128" t="s">
        <v>1878</v>
      </c>
      <c r="M892" s="128" t="s">
        <v>1845</v>
      </c>
      <c r="N892" s="140" t="s">
        <v>1844</v>
      </c>
      <c r="O892" s="140" t="s">
        <v>1879</v>
      </c>
      <c r="P892" s="140" t="s">
        <v>1862</v>
      </c>
      <c r="Q892" s="140"/>
      <c r="R892" s="140"/>
      <c r="S892" s="140" t="s">
        <v>1845</v>
      </c>
      <c r="T892" s="140"/>
      <c r="U892" s="140" t="s">
        <v>1845</v>
      </c>
      <c r="V892" s="140" t="s">
        <v>1845</v>
      </c>
      <c r="W892" s="140"/>
      <c r="X892" s="128"/>
      <c r="Y892" s="128"/>
      <c r="Z892" s="140"/>
      <c r="AA892" s="140"/>
      <c r="AB892" s="140"/>
      <c r="AC892" s="140"/>
      <c r="AD892" s="140"/>
      <c r="AE892" s="140"/>
      <c r="AF892" s="140"/>
      <c r="AG892" s="140"/>
      <c r="AH892" s="140"/>
      <c r="AI892" s="128"/>
      <c r="AJ892" s="137"/>
      <c r="AK892" s="140"/>
      <c r="AL892" s="140"/>
    </row>
    <row r="893" ht="15.75" customHeight="1">
      <c r="A893" s="122">
        <v>892.0</v>
      </c>
      <c r="B893" s="123" t="s">
        <v>1742</v>
      </c>
      <c r="C893" s="122" t="s">
        <v>1840</v>
      </c>
      <c r="D893" s="122" t="s">
        <v>2892</v>
      </c>
      <c r="E893" s="125" t="s">
        <v>7</v>
      </c>
      <c r="F893" s="269" t="s">
        <v>3098</v>
      </c>
      <c r="G893" s="126" t="s">
        <v>3099</v>
      </c>
      <c r="H893" s="128"/>
      <c r="I893" s="140" t="s">
        <v>1843</v>
      </c>
      <c r="J893" s="149" t="s">
        <v>1844</v>
      </c>
      <c r="K893" s="128" t="s">
        <v>1844</v>
      </c>
      <c r="L893" s="128" t="s">
        <v>1844</v>
      </c>
      <c r="M893" s="128" t="s">
        <v>1844</v>
      </c>
      <c r="N893" s="140" t="s">
        <v>1844</v>
      </c>
      <c r="O893" s="140" t="s">
        <v>1844</v>
      </c>
      <c r="P893" s="140" t="s">
        <v>1844</v>
      </c>
      <c r="Q893" s="140" t="s">
        <v>1845</v>
      </c>
      <c r="R893" s="140"/>
      <c r="S893" s="140" t="s">
        <v>1845</v>
      </c>
      <c r="T893" s="140"/>
      <c r="U893" s="140"/>
      <c r="V893" s="140"/>
      <c r="W893" s="140" t="s">
        <v>1845</v>
      </c>
      <c r="X893" s="128"/>
      <c r="Y893" s="128"/>
      <c r="Z893" s="140"/>
      <c r="AA893" s="140"/>
      <c r="AB893" s="140"/>
      <c r="AC893" s="140"/>
      <c r="AD893" s="140"/>
      <c r="AE893" s="140"/>
      <c r="AF893" s="140"/>
      <c r="AG893" s="140"/>
      <c r="AH893" s="140"/>
      <c r="AI893" s="128"/>
      <c r="AJ893" s="137"/>
      <c r="AK893" s="140"/>
      <c r="AL893" s="140"/>
    </row>
    <row r="894" ht="15.75" customHeight="1">
      <c r="A894" s="241">
        <v>893.0</v>
      </c>
      <c r="B894" s="138">
        <f>SUM(A894+10000)</f>
        <v>10893</v>
      </c>
      <c r="C894" s="241" t="s">
        <v>1840</v>
      </c>
      <c r="D894" s="241" t="s">
        <v>2892</v>
      </c>
      <c r="E894" s="233" t="s">
        <v>7</v>
      </c>
      <c r="F894" s="263" t="s">
        <v>3100</v>
      </c>
      <c r="G894" s="263" t="s">
        <v>1518</v>
      </c>
      <c r="H894" s="235"/>
      <c r="I894" s="239" t="s">
        <v>1843</v>
      </c>
      <c r="J894" s="259" t="s">
        <v>1844</v>
      </c>
      <c r="K894" s="235" t="s">
        <v>1844</v>
      </c>
      <c r="L894" s="235" t="s">
        <v>1844</v>
      </c>
      <c r="M894" s="235" t="s">
        <v>1844</v>
      </c>
      <c r="N894" s="239" t="s">
        <v>1844</v>
      </c>
      <c r="O894" s="239" t="s">
        <v>1844</v>
      </c>
      <c r="P894" s="239" t="s">
        <v>1844</v>
      </c>
      <c r="Q894" s="239"/>
      <c r="R894" s="239"/>
      <c r="S894" s="239" t="s">
        <v>1845</v>
      </c>
      <c r="T894" s="239"/>
      <c r="U894" s="239"/>
      <c r="V894" s="239"/>
      <c r="W894" s="239"/>
      <c r="X894" s="235" t="s">
        <v>1845</v>
      </c>
      <c r="Y894" s="235"/>
      <c r="Z894" s="239"/>
      <c r="AA894" s="239"/>
      <c r="AB894" s="239"/>
      <c r="AC894" s="239"/>
      <c r="AD894" s="239"/>
      <c r="AE894" s="239"/>
      <c r="AF894" s="239"/>
      <c r="AG894" s="239"/>
      <c r="AH894" s="239"/>
      <c r="AI894" s="235"/>
      <c r="AJ894" s="243" t="s">
        <v>1845</v>
      </c>
      <c r="AK894" s="140"/>
      <c r="AL894" s="140"/>
    </row>
    <row r="895" ht="15.75" customHeight="1">
      <c r="A895" s="122">
        <v>894.0</v>
      </c>
      <c r="B895" s="123" t="s">
        <v>1742</v>
      </c>
      <c r="C895" s="122" t="s">
        <v>1840</v>
      </c>
      <c r="D895" s="122" t="s">
        <v>2892</v>
      </c>
      <c r="E895" s="125" t="s">
        <v>7</v>
      </c>
      <c r="F895" s="334" t="s">
        <v>3046</v>
      </c>
      <c r="G895" s="334" t="s">
        <v>1519</v>
      </c>
      <c r="H895" s="128"/>
      <c r="I895" s="140" t="s">
        <v>1843</v>
      </c>
      <c r="J895" s="149" t="s">
        <v>1844</v>
      </c>
      <c r="K895" s="128" t="s">
        <v>1844</v>
      </c>
      <c r="L895" s="128" t="s">
        <v>1844</v>
      </c>
      <c r="M895" s="128" t="s">
        <v>1844</v>
      </c>
      <c r="N895" s="140" t="s">
        <v>1844</v>
      </c>
      <c r="O895" s="140" t="s">
        <v>1844</v>
      </c>
      <c r="P895" s="140" t="s">
        <v>1844</v>
      </c>
      <c r="Q895" s="140" t="s">
        <v>1845</v>
      </c>
      <c r="R895" s="140"/>
      <c r="S895" s="140"/>
      <c r="T895" s="140"/>
      <c r="U895" s="140"/>
      <c r="V895" s="140"/>
      <c r="W895" s="140"/>
      <c r="X895" s="128"/>
      <c r="Y895" s="128"/>
      <c r="Z895" s="140"/>
      <c r="AA895" s="140"/>
      <c r="AB895" s="140"/>
      <c r="AC895" s="140"/>
      <c r="AD895" s="140"/>
      <c r="AE895" s="140"/>
      <c r="AF895" s="140"/>
      <c r="AG895" s="140"/>
      <c r="AH895" s="140"/>
      <c r="AI895" s="128"/>
      <c r="AJ895" s="137"/>
      <c r="AK895" s="140"/>
      <c r="AL895" s="140"/>
    </row>
    <row r="896" ht="15.75" customHeight="1">
      <c r="A896" s="241">
        <v>895.0</v>
      </c>
      <c r="B896" s="123" t="s">
        <v>1742</v>
      </c>
      <c r="C896" s="241" t="s">
        <v>1840</v>
      </c>
      <c r="D896" s="241" t="s">
        <v>2892</v>
      </c>
      <c r="E896" s="381" t="s">
        <v>7</v>
      </c>
      <c r="F896" s="242" t="s">
        <v>3050</v>
      </c>
      <c r="G896" s="263" t="s">
        <v>1520</v>
      </c>
      <c r="H896" s="259"/>
      <c r="I896" s="239" t="s">
        <v>1906</v>
      </c>
      <c r="J896" s="259" t="s">
        <v>1844</v>
      </c>
      <c r="K896" s="235" t="s">
        <v>1844</v>
      </c>
      <c r="L896" s="235" t="s">
        <v>1844</v>
      </c>
      <c r="M896" s="235" t="s">
        <v>1844</v>
      </c>
      <c r="N896" s="239" t="s">
        <v>1844</v>
      </c>
      <c r="O896" s="239" t="s">
        <v>1844</v>
      </c>
      <c r="P896" s="239" t="s">
        <v>1844</v>
      </c>
      <c r="Q896" s="239" t="s">
        <v>1845</v>
      </c>
      <c r="R896" s="239"/>
      <c r="S896" s="239" t="s">
        <v>1845</v>
      </c>
      <c r="T896" s="239"/>
      <c r="U896" s="239" t="s">
        <v>1845</v>
      </c>
      <c r="V896" s="239" t="s">
        <v>1845</v>
      </c>
      <c r="W896" s="239"/>
      <c r="X896" s="235" t="s">
        <v>1845</v>
      </c>
      <c r="Y896" s="235"/>
      <c r="Z896" s="239"/>
      <c r="AA896" s="239"/>
      <c r="AB896" s="239"/>
      <c r="AC896" s="239"/>
      <c r="AD896" s="239"/>
      <c r="AE896" s="239"/>
      <c r="AF896" s="239"/>
      <c r="AG896" s="239"/>
      <c r="AH896" s="239"/>
      <c r="AI896" s="235" t="s">
        <v>1845</v>
      </c>
      <c r="AJ896" s="243" t="s">
        <v>1845</v>
      </c>
      <c r="AK896" s="140"/>
      <c r="AL896" s="140"/>
    </row>
    <row r="897" ht="15.75" customHeight="1">
      <c r="A897" s="241">
        <v>896.0</v>
      </c>
      <c r="B897" s="123" t="s">
        <v>1742</v>
      </c>
      <c r="C897" s="241" t="s">
        <v>1840</v>
      </c>
      <c r="D897" s="241" t="s">
        <v>2892</v>
      </c>
      <c r="E897" s="233" t="s">
        <v>7</v>
      </c>
      <c r="F897" s="265" t="s">
        <v>3101</v>
      </c>
      <c r="G897" s="265" t="s">
        <v>3102</v>
      </c>
      <c r="H897" s="235"/>
      <c r="I897" s="239" t="s">
        <v>1906</v>
      </c>
      <c r="J897" s="259" t="s">
        <v>1844</v>
      </c>
      <c r="K897" s="235" t="s">
        <v>1844</v>
      </c>
      <c r="L897" s="235" t="s">
        <v>1844</v>
      </c>
      <c r="M897" s="235" t="s">
        <v>1844</v>
      </c>
      <c r="N897" s="239" t="s">
        <v>1844</v>
      </c>
      <c r="O897" s="239" t="s">
        <v>1844</v>
      </c>
      <c r="P897" s="239" t="s">
        <v>1844</v>
      </c>
      <c r="Q897" s="239" t="s">
        <v>1845</v>
      </c>
      <c r="R897" s="239"/>
      <c r="S897" s="239"/>
      <c r="T897" s="239"/>
      <c r="U897" s="239"/>
      <c r="V897" s="239"/>
      <c r="W897" s="239"/>
      <c r="X897" s="235"/>
      <c r="Y897" s="235"/>
      <c r="Z897" s="239"/>
      <c r="AA897" s="239"/>
      <c r="AB897" s="239"/>
      <c r="AC897" s="239"/>
      <c r="AD897" s="239"/>
      <c r="AE897" s="239"/>
      <c r="AF897" s="239"/>
      <c r="AG897" s="239"/>
      <c r="AH897" s="239"/>
      <c r="AI897" s="235"/>
      <c r="AJ897" s="243" t="s">
        <v>1845</v>
      </c>
      <c r="AK897" s="140"/>
      <c r="AL897" s="140"/>
    </row>
    <row r="898" ht="15.75" customHeight="1">
      <c r="A898" s="122">
        <v>897.0</v>
      </c>
      <c r="B898" s="138">
        <f t="shared" ref="B898:B909" si="93">SUM(A898+10000)</f>
        <v>10897</v>
      </c>
      <c r="C898" s="122" t="s">
        <v>1840</v>
      </c>
      <c r="D898" s="122" t="s">
        <v>2892</v>
      </c>
      <c r="E898" s="125" t="s">
        <v>20</v>
      </c>
      <c r="F898" s="382" t="s">
        <v>3103</v>
      </c>
      <c r="G898" s="269" t="s">
        <v>1522</v>
      </c>
      <c r="H898" s="128" t="s">
        <v>1844</v>
      </c>
      <c r="I898" s="140" t="s">
        <v>1843</v>
      </c>
      <c r="J898" s="149" t="s">
        <v>1844</v>
      </c>
      <c r="K898" s="128" t="s">
        <v>1844</v>
      </c>
      <c r="L898" s="128" t="s">
        <v>1844</v>
      </c>
      <c r="M898" s="128" t="s">
        <v>1845</v>
      </c>
      <c r="N898" s="140" t="s">
        <v>1844</v>
      </c>
      <c r="O898" s="140" t="s">
        <v>1844</v>
      </c>
      <c r="P898" s="140" t="s">
        <v>1862</v>
      </c>
      <c r="Q898" s="140"/>
      <c r="R898" s="140"/>
      <c r="S898" s="140" t="s">
        <v>1845</v>
      </c>
      <c r="T898" s="140" t="s">
        <v>1845</v>
      </c>
      <c r="U898" s="140"/>
      <c r="V898" s="140"/>
      <c r="W898" s="140" t="s">
        <v>1845</v>
      </c>
      <c r="X898" s="128"/>
      <c r="Y898" s="128"/>
      <c r="Z898" s="140"/>
      <c r="AA898" s="140"/>
      <c r="AB898" s="140"/>
      <c r="AC898" s="140"/>
      <c r="AD898" s="140"/>
      <c r="AE898" s="140"/>
      <c r="AF898" s="140"/>
      <c r="AG898" s="140"/>
      <c r="AH898" s="140"/>
      <c r="AI898" s="128"/>
      <c r="AJ898" s="137"/>
      <c r="AK898" s="140"/>
      <c r="AL898" s="140"/>
    </row>
    <row r="899" ht="15.75" customHeight="1">
      <c r="A899" s="122">
        <v>898.0</v>
      </c>
      <c r="B899" s="138">
        <f t="shared" si="93"/>
        <v>10898</v>
      </c>
      <c r="C899" s="122" t="s">
        <v>1840</v>
      </c>
      <c r="D899" s="122" t="s">
        <v>2892</v>
      </c>
      <c r="E899" s="125" t="s">
        <v>7</v>
      </c>
      <c r="F899" s="269" t="s">
        <v>3104</v>
      </c>
      <c r="G899" s="269" t="s">
        <v>1523</v>
      </c>
      <c r="H899" s="128" t="s">
        <v>1844</v>
      </c>
      <c r="I899" s="140" t="s">
        <v>1843</v>
      </c>
      <c r="J899" s="149" t="s">
        <v>1844</v>
      </c>
      <c r="K899" s="128" t="s">
        <v>1844</v>
      </c>
      <c r="L899" s="128" t="s">
        <v>1844</v>
      </c>
      <c r="M899" s="128" t="s">
        <v>1844</v>
      </c>
      <c r="N899" s="140" t="s">
        <v>1844</v>
      </c>
      <c r="O899" s="140" t="s">
        <v>1844</v>
      </c>
      <c r="P899" s="140" t="s">
        <v>1844</v>
      </c>
      <c r="Q899" s="140"/>
      <c r="R899" s="140"/>
      <c r="S899" s="140" t="s">
        <v>1845</v>
      </c>
      <c r="T899" s="140" t="s">
        <v>1845</v>
      </c>
      <c r="U899" s="140"/>
      <c r="V899" s="140"/>
      <c r="W899" s="140"/>
      <c r="X899" s="128"/>
      <c r="Y899" s="128"/>
      <c r="Z899" s="140"/>
      <c r="AA899" s="140"/>
      <c r="AB899" s="140"/>
      <c r="AC899" s="140"/>
      <c r="AD899" s="140"/>
      <c r="AE899" s="140"/>
      <c r="AF899" s="140"/>
      <c r="AG899" s="140"/>
      <c r="AH899" s="140"/>
      <c r="AI899" s="128" t="s">
        <v>1845</v>
      </c>
      <c r="AJ899" s="137"/>
      <c r="AK899" s="140"/>
      <c r="AL899" s="140"/>
    </row>
    <row r="900" ht="15.75" customHeight="1">
      <c r="A900" s="122">
        <v>899.0</v>
      </c>
      <c r="B900" s="138">
        <f t="shared" si="93"/>
        <v>10899</v>
      </c>
      <c r="C900" s="122" t="s">
        <v>1840</v>
      </c>
      <c r="D900" s="122" t="s">
        <v>2892</v>
      </c>
      <c r="E900" s="125" t="s">
        <v>7</v>
      </c>
      <c r="F900" s="269" t="s">
        <v>3105</v>
      </c>
      <c r="G900" s="269" t="s">
        <v>1524</v>
      </c>
      <c r="H900" s="128"/>
      <c r="I900" s="140" t="s">
        <v>1843</v>
      </c>
      <c r="J900" s="149" t="s">
        <v>1844</v>
      </c>
      <c r="K900" s="128" t="s">
        <v>1844</v>
      </c>
      <c r="L900" s="128" t="s">
        <v>1844</v>
      </c>
      <c r="M900" s="128" t="s">
        <v>1844</v>
      </c>
      <c r="N900" s="140" t="s">
        <v>1844</v>
      </c>
      <c r="O900" s="140" t="s">
        <v>1844</v>
      </c>
      <c r="P900" s="140" t="s">
        <v>1844</v>
      </c>
      <c r="Q900" s="140"/>
      <c r="R900" s="140"/>
      <c r="S900" s="140" t="s">
        <v>1845</v>
      </c>
      <c r="T900" s="140"/>
      <c r="U900" s="140"/>
      <c r="V900" s="140"/>
      <c r="W900" s="140"/>
      <c r="X900" s="128" t="s">
        <v>1845</v>
      </c>
      <c r="Y900" s="128"/>
      <c r="Z900" s="140"/>
      <c r="AA900" s="140"/>
      <c r="AB900" s="140"/>
      <c r="AC900" s="140"/>
      <c r="AD900" s="140"/>
      <c r="AE900" s="140"/>
      <c r="AF900" s="140"/>
      <c r="AG900" s="140"/>
      <c r="AH900" s="140"/>
      <c r="AI900" s="128" t="s">
        <v>1845</v>
      </c>
      <c r="AJ900" s="137"/>
      <c r="AK900" s="140"/>
      <c r="AL900" s="140"/>
    </row>
    <row r="901" ht="15.75" customHeight="1">
      <c r="A901" s="122">
        <v>900.0</v>
      </c>
      <c r="B901" s="138">
        <f t="shared" si="93"/>
        <v>10900</v>
      </c>
      <c r="C901" s="122" t="s">
        <v>1840</v>
      </c>
      <c r="D901" s="122" t="s">
        <v>2892</v>
      </c>
      <c r="E901" s="125" t="s">
        <v>7</v>
      </c>
      <c r="F901" s="269" t="s">
        <v>3106</v>
      </c>
      <c r="G901" s="269" t="s">
        <v>1525</v>
      </c>
      <c r="H901" s="128"/>
      <c r="I901" s="140" t="s">
        <v>1843</v>
      </c>
      <c r="J901" s="149" t="s">
        <v>1844</v>
      </c>
      <c r="K901" s="128" t="s">
        <v>1844</v>
      </c>
      <c r="L901" s="128" t="s">
        <v>1844</v>
      </c>
      <c r="M901" s="128" t="s">
        <v>1844</v>
      </c>
      <c r="N901" s="140" t="s">
        <v>1844</v>
      </c>
      <c r="O901" s="140" t="s">
        <v>1844</v>
      </c>
      <c r="P901" s="140" t="s">
        <v>1844</v>
      </c>
      <c r="Q901" s="140"/>
      <c r="R901" s="140"/>
      <c r="S901" s="140"/>
      <c r="T901" s="140" t="s">
        <v>1845</v>
      </c>
      <c r="U901" s="140"/>
      <c r="V901" s="140"/>
      <c r="W901" s="140"/>
      <c r="X901" s="128" t="s">
        <v>1845</v>
      </c>
      <c r="Y901" s="128"/>
      <c r="Z901" s="140"/>
      <c r="AA901" s="140"/>
      <c r="AB901" s="140"/>
      <c r="AC901" s="140"/>
      <c r="AD901" s="140"/>
      <c r="AE901" s="140"/>
      <c r="AF901" s="140"/>
      <c r="AG901" s="140"/>
      <c r="AH901" s="140"/>
      <c r="AI901" s="128" t="s">
        <v>1845</v>
      </c>
      <c r="AJ901" s="137"/>
      <c r="AK901" s="140"/>
      <c r="AL901" s="140"/>
    </row>
    <row r="902" ht="15.75" customHeight="1">
      <c r="A902" s="241">
        <v>901.0</v>
      </c>
      <c r="B902" s="138">
        <f t="shared" si="93"/>
        <v>10901</v>
      </c>
      <c r="C902" s="241" t="s">
        <v>1840</v>
      </c>
      <c r="D902" s="241" t="s">
        <v>2892</v>
      </c>
      <c r="E902" s="233" t="s">
        <v>7</v>
      </c>
      <c r="F902" s="263" t="s">
        <v>3107</v>
      </c>
      <c r="G902" s="263" t="s">
        <v>1526</v>
      </c>
      <c r="H902" s="235"/>
      <c r="I902" s="239" t="s">
        <v>1906</v>
      </c>
      <c r="J902" s="259" t="s">
        <v>1844</v>
      </c>
      <c r="K902" s="235" t="s">
        <v>1844</v>
      </c>
      <c r="L902" s="235" t="s">
        <v>1844</v>
      </c>
      <c r="M902" s="235" t="s">
        <v>1844</v>
      </c>
      <c r="N902" s="239" t="s">
        <v>1844</v>
      </c>
      <c r="O902" s="239" t="s">
        <v>1844</v>
      </c>
      <c r="P902" s="239" t="s">
        <v>1844</v>
      </c>
      <c r="Q902" s="239"/>
      <c r="R902" s="239"/>
      <c r="S902" s="239"/>
      <c r="T902" s="239"/>
      <c r="U902" s="239" t="s">
        <v>1845</v>
      </c>
      <c r="V902" s="239"/>
      <c r="W902" s="239"/>
      <c r="X902" s="235"/>
      <c r="Y902" s="235"/>
      <c r="Z902" s="239"/>
      <c r="AA902" s="239"/>
      <c r="AB902" s="239"/>
      <c r="AC902" s="239"/>
      <c r="AD902" s="239"/>
      <c r="AE902" s="239"/>
      <c r="AF902" s="239"/>
      <c r="AG902" s="239"/>
      <c r="AH902" s="239"/>
      <c r="AI902" s="235"/>
      <c r="AJ902" s="243" t="s">
        <v>1845</v>
      </c>
      <c r="AK902" s="140"/>
      <c r="AL902" s="140"/>
    </row>
    <row r="903" ht="15.75" customHeight="1">
      <c r="A903" s="122">
        <v>902.0</v>
      </c>
      <c r="B903" s="138">
        <f t="shared" si="93"/>
        <v>10902</v>
      </c>
      <c r="C903" s="122" t="s">
        <v>1840</v>
      </c>
      <c r="D903" s="122" t="s">
        <v>2892</v>
      </c>
      <c r="E903" s="125" t="s">
        <v>34</v>
      </c>
      <c r="F903" s="269" t="s">
        <v>3108</v>
      </c>
      <c r="G903" s="269" t="s">
        <v>1527</v>
      </c>
      <c r="H903" s="128"/>
      <c r="I903" s="140" t="s">
        <v>1843</v>
      </c>
      <c r="J903" s="149" t="s">
        <v>1876</v>
      </c>
      <c r="K903" s="128" t="s">
        <v>2348</v>
      </c>
      <c r="L903" s="128" t="s">
        <v>1990</v>
      </c>
      <c r="M903" s="128" t="s">
        <v>1845</v>
      </c>
      <c r="N903" s="140" t="s">
        <v>1844</v>
      </c>
      <c r="O903" s="140" t="s">
        <v>1879</v>
      </c>
      <c r="P903" s="140" t="s">
        <v>1895</v>
      </c>
      <c r="Q903" s="140"/>
      <c r="R903" s="140"/>
      <c r="S903" s="140"/>
      <c r="T903" s="140" t="s">
        <v>1845</v>
      </c>
      <c r="U903" s="140"/>
      <c r="V903" s="140"/>
      <c r="W903" s="140"/>
      <c r="X903" s="128" t="s">
        <v>1845</v>
      </c>
      <c r="Y903" s="128"/>
      <c r="Z903" s="140"/>
      <c r="AA903" s="140"/>
      <c r="AB903" s="140"/>
      <c r="AC903" s="140"/>
      <c r="AD903" s="140"/>
      <c r="AE903" s="140"/>
      <c r="AF903" s="140"/>
      <c r="AG903" s="140"/>
      <c r="AH903" s="140"/>
      <c r="AI903" s="128"/>
      <c r="AJ903" s="137"/>
      <c r="AK903" s="140"/>
      <c r="AL903" s="140"/>
    </row>
    <row r="904" ht="15.75" customHeight="1">
      <c r="A904" s="122">
        <v>903.0</v>
      </c>
      <c r="B904" s="138">
        <f t="shared" si="93"/>
        <v>10903</v>
      </c>
      <c r="C904" s="122" t="s">
        <v>1840</v>
      </c>
      <c r="D904" s="122" t="s">
        <v>2892</v>
      </c>
      <c r="E904" s="125" t="s">
        <v>34</v>
      </c>
      <c r="F904" s="269" t="s">
        <v>3109</v>
      </c>
      <c r="G904" s="269" t="s">
        <v>1528</v>
      </c>
      <c r="H904" s="128"/>
      <c r="I904" s="140" t="s">
        <v>1843</v>
      </c>
      <c r="J904" s="149" t="s">
        <v>1876</v>
      </c>
      <c r="K904" s="128" t="s">
        <v>2348</v>
      </c>
      <c r="L904" s="305" t="s">
        <v>1990</v>
      </c>
      <c r="M904" s="128" t="s">
        <v>1845</v>
      </c>
      <c r="N904" s="140" t="s">
        <v>1844</v>
      </c>
      <c r="O904" s="140" t="s">
        <v>1879</v>
      </c>
      <c r="P904" s="140" t="s">
        <v>1895</v>
      </c>
      <c r="Q904" s="140"/>
      <c r="R904" s="140"/>
      <c r="S904" s="140"/>
      <c r="T904" s="140"/>
      <c r="U904" s="140"/>
      <c r="V904" s="140"/>
      <c r="W904" s="140"/>
      <c r="X904" s="128" t="s">
        <v>1845</v>
      </c>
      <c r="Y904" s="128"/>
      <c r="Z904" s="140"/>
      <c r="AA904" s="140"/>
      <c r="AB904" s="140"/>
      <c r="AC904" s="140"/>
      <c r="AD904" s="140"/>
      <c r="AE904" s="140"/>
      <c r="AF904" s="140"/>
      <c r="AG904" s="140"/>
      <c r="AH904" s="140"/>
      <c r="AI904" s="128"/>
      <c r="AJ904" s="137"/>
      <c r="AK904" s="140"/>
      <c r="AL904" s="140"/>
    </row>
    <row r="905" ht="15.75" customHeight="1">
      <c r="A905" s="122">
        <v>904.0</v>
      </c>
      <c r="B905" s="138">
        <f t="shared" si="93"/>
        <v>10904</v>
      </c>
      <c r="C905" s="122" t="s">
        <v>1840</v>
      </c>
      <c r="D905" s="122" t="s">
        <v>2892</v>
      </c>
      <c r="E905" s="125" t="s">
        <v>34</v>
      </c>
      <c r="F905" s="269" t="s">
        <v>3110</v>
      </c>
      <c r="G905" s="271" t="s">
        <v>1529</v>
      </c>
      <c r="H905" s="128" t="s">
        <v>1844</v>
      </c>
      <c r="I905" s="140" t="s">
        <v>1843</v>
      </c>
      <c r="J905" s="149" t="s">
        <v>1876</v>
      </c>
      <c r="K905" s="136" t="s">
        <v>2348</v>
      </c>
      <c r="L905" s="128" t="s">
        <v>1878</v>
      </c>
      <c r="M905" s="128" t="s">
        <v>1845</v>
      </c>
      <c r="N905" s="140" t="s">
        <v>1844</v>
      </c>
      <c r="O905" s="140" t="s">
        <v>1879</v>
      </c>
      <c r="P905" s="140" t="s">
        <v>1862</v>
      </c>
      <c r="Q905" s="140"/>
      <c r="R905" s="144"/>
      <c r="S905" s="140" t="s">
        <v>1845</v>
      </c>
      <c r="T905" s="140"/>
      <c r="U905" s="140"/>
      <c r="V905" s="140"/>
      <c r="W905" s="144"/>
      <c r="X905" s="128"/>
      <c r="Y905" s="128"/>
      <c r="Z905" s="140"/>
      <c r="AA905" s="140"/>
      <c r="AB905" s="140"/>
      <c r="AC905" s="140"/>
      <c r="AD905" s="140"/>
      <c r="AE905" s="140"/>
      <c r="AF905" s="140"/>
      <c r="AG905" s="140"/>
      <c r="AH905" s="140"/>
      <c r="AI905" s="128" t="s">
        <v>1845</v>
      </c>
      <c r="AJ905" s="137"/>
      <c r="AK905" s="140"/>
      <c r="AL905" s="140"/>
    </row>
    <row r="906" ht="15.75" customHeight="1">
      <c r="A906" s="122">
        <v>905.0</v>
      </c>
      <c r="B906" s="138">
        <f t="shared" si="93"/>
        <v>10905</v>
      </c>
      <c r="C906" s="122" t="s">
        <v>1840</v>
      </c>
      <c r="D906" s="122" t="s">
        <v>2892</v>
      </c>
      <c r="E906" s="125" t="s">
        <v>7</v>
      </c>
      <c r="F906" s="269" t="s">
        <v>3111</v>
      </c>
      <c r="G906" s="269" t="s">
        <v>1530</v>
      </c>
      <c r="H906" s="128" t="s">
        <v>1844</v>
      </c>
      <c r="I906" s="140" t="s">
        <v>1843</v>
      </c>
      <c r="J906" s="149" t="s">
        <v>1844</v>
      </c>
      <c r="K906" s="128" t="s">
        <v>1844</v>
      </c>
      <c r="L906" s="128" t="s">
        <v>1844</v>
      </c>
      <c r="M906" s="128" t="s">
        <v>1844</v>
      </c>
      <c r="N906" s="140" t="s">
        <v>1844</v>
      </c>
      <c r="O906" s="140" t="s">
        <v>1844</v>
      </c>
      <c r="P906" s="140" t="s">
        <v>1844</v>
      </c>
      <c r="Q906" s="140"/>
      <c r="R906" s="140"/>
      <c r="S906" s="140" t="s">
        <v>1845</v>
      </c>
      <c r="T906" s="140" t="s">
        <v>1845</v>
      </c>
      <c r="U906" s="140"/>
      <c r="V906" s="140"/>
      <c r="W906" s="140"/>
      <c r="X906" s="128"/>
      <c r="Y906" s="128"/>
      <c r="Z906" s="140"/>
      <c r="AA906" s="140"/>
      <c r="AB906" s="140"/>
      <c r="AC906" s="140"/>
      <c r="AD906" s="140"/>
      <c r="AE906" s="140"/>
      <c r="AF906" s="140"/>
      <c r="AG906" s="140"/>
      <c r="AH906" s="140"/>
      <c r="AI906" s="128" t="s">
        <v>1845</v>
      </c>
      <c r="AJ906" s="137"/>
      <c r="AK906" s="140"/>
      <c r="AL906" s="140"/>
    </row>
    <row r="907" ht="15.75" customHeight="1">
      <c r="A907" s="122">
        <v>906.0</v>
      </c>
      <c r="B907" s="138">
        <f t="shared" si="93"/>
        <v>10906</v>
      </c>
      <c r="C907" s="122" t="s">
        <v>1840</v>
      </c>
      <c r="D907" s="122" t="s">
        <v>2892</v>
      </c>
      <c r="E907" s="125" t="s">
        <v>34</v>
      </c>
      <c r="F907" s="269" t="s">
        <v>3112</v>
      </c>
      <c r="G907" s="269" t="s">
        <v>1531</v>
      </c>
      <c r="H907" s="128"/>
      <c r="I907" s="140" t="s">
        <v>1843</v>
      </c>
      <c r="J907" s="149" t="s">
        <v>1876</v>
      </c>
      <c r="K907" s="128" t="s">
        <v>2348</v>
      </c>
      <c r="L907" s="128" t="s">
        <v>1844</v>
      </c>
      <c r="M907" s="128" t="s">
        <v>1845</v>
      </c>
      <c r="N907" s="140" t="s">
        <v>1844</v>
      </c>
      <c r="O907" s="140" t="s">
        <v>1879</v>
      </c>
      <c r="P907" s="140" t="s">
        <v>1862</v>
      </c>
      <c r="Q907" s="140"/>
      <c r="R907" s="140"/>
      <c r="S907" s="140" t="s">
        <v>1845</v>
      </c>
      <c r="T907" s="140" t="s">
        <v>1845</v>
      </c>
      <c r="U907" s="140"/>
      <c r="V907" s="140"/>
      <c r="W907" s="140"/>
      <c r="X907" s="128"/>
      <c r="Y907" s="128"/>
      <c r="Z907" s="140"/>
      <c r="AA907" s="140"/>
      <c r="AB907" s="140"/>
      <c r="AC907" s="140"/>
      <c r="AD907" s="140"/>
      <c r="AE907" s="140"/>
      <c r="AF907" s="140"/>
      <c r="AG907" s="140"/>
      <c r="AH907" s="140"/>
      <c r="AI907" s="128" t="s">
        <v>1845</v>
      </c>
      <c r="AJ907" s="137"/>
      <c r="AK907" s="140"/>
      <c r="AL907" s="140"/>
    </row>
    <row r="908" ht="15.75" customHeight="1">
      <c r="A908" s="122">
        <v>907.0</v>
      </c>
      <c r="B908" s="138">
        <f t="shared" si="93"/>
        <v>10907</v>
      </c>
      <c r="C908" s="122" t="s">
        <v>1840</v>
      </c>
      <c r="D908" s="122" t="s">
        <v>2892</v>
      </c>
      <c r="E908" s="125" t="s">
        <v>34</v>
      </c>
      <c r="F908" s="269" t="s">
        <v>3113</v>
      </c>
      <c r="G908" s="269" t="s">
        <v>1532</v>
      </c>
      <c r="H908" s="128"/>
      <c r="I908" s="140" t="s">
        <v>1843</v>
      </c>
      <c r="J908" s="149" t="s">
        <v>1876</v>
      </c>
      <c r="K908" s="128" t="s">
        <v>2348</v>
      </c>
      <c r="L908" s="305" t="s">
        <v>1990</v>
      </c>
      <c r="M908" s="128" t="s">
        <v>1845</v>
      </c>
      <c r="N908" s="140" t="s">
        <v>1844</v>
      </c>
      <c r="O908" s="140" t="s">
        <v>1879</v>
      </c>
      <c r="P908" s="140" t="s">
        <v>1862</v>
      </c>
      <c r="Q908" s="140"/>
      <c r="R908" s="140"/>
      <c r="S908" s="140" t="s">
        <v>1845</v>
      </c>
      <c r="T908" s="140" t="s">
        <v>1845</v>
      </c>
      <c r="U908" s="140"/>
      <c r="V908" s="140"/>
      <c r="W908" s="140"/>
      <c r="X908" s="128" t="s">
        <v>1845</v>
      </c>
      <c r="Y908" s="128"/>
      <c r="Z908" s="140"/>
      <c r="AA908" s="140"/>
      <c r="AB908" s="140"/>
      <c r="AC908" s="140"/>
      <c r="AD908" s="140"/>
      <c r="AE908" s="140"/>
      <c r="AF908" s="140"/>
      <c r="AG908" s="140"/>
      <c r="AH908" s="140"/>
      <c r="AI908" s="128" t="s">
        <v>1845</v>
      </c>
      <c r="AJ908" s="137"/>
      <c r="AK908" s="140"/>
      <c r="AL908" s="140"/>
    </row>
    <row r="909" ht="15.75" customHeight="1">
      <c r="A909" s="122">
        <v>908.0</v>
      </c>
      <c r="B909" s="138">
        <f t="shared" si="93"/>
        <v>10908</v>
      </c>
      <c r="C909" s="122" t="s">
        <v>1840</v>
      </c>
      <c r="D909" s="122" t="s">
        <v>2892</v>
      </c>
      <c r="E909" s="125" t="s">
        <v>34</v>
      </c>
      <c r="F909" s="269" t="s">
        <v>3114</v>
      </c>
      <c r="G909" s="269" t="s">
        <v>1533</v>
      </c>
      <c r="H909" s="128"/>
      <c r="I909" s="140" t="s">
        <v>1843</v>
      </c>
      <c r="J909" s="149" t="s">
        <v>1876</v>
      </c>
      <c r="K909" s="128" t="s">
        <v>2348</v>
      </c>
      <c r="L909" s="128" t="s">
        <v>1990</v>
      </c>
      <c r="M909" s="128" t="s">
        <v>1845</v>
      </c>
      <c r="N909" s="140" t="s">
        <v>1844</v>
      </c>
      <c r="O909" s="140" t="s">
        <v>1879</v>
      </c>
      <c r="P909" s="140" t="s">
        <v>1862</v>
      </c>
      <c r="Q909" s="140"/>
      <c r="R909" s="140"/>
      <c r="S909" s="140" t="s">
        <v>1845</v>
      </c>
      <c r="T909" s="140"/>
      <c r="U909" s="140"/>
      <c r="V909" s="140"/>
      <c r="W909" s="140"/>
      <c r="X909" s="128" t="s">
        <v>1845</v>
      </c>
      <c r="Y909" s="128"/>
      <c r="Z909" s="140"/>
      <c r="AA909" s="140"/>
      <c r="AB909" s="140"/>
      <c r="AC909" s="140"/>
      <c r="AD909" s="140"/>
      <c r="AE909" s="140"/>
      <c r="AF909" s="140"/>
      <c r="AG909" s="140"/>
      <c r="AH909" s="140"/>
      <c r="AI909" s="128"/>
      <c r="AJ909" s="137"/>
      <c r="AK909" s="140"/>
      <c r="AL909" s="140"/>
    </row>
    <row r="910" ht="15.75" customHeight="1">
      <c r="A910" s="241">
        <v>909.0</v>
      </c>
      <c r="B910" s="123" t="s">
        <v>1742</v>
      </c>
      <c r="C910" s="241" t="s">
        <v>1840</v>
      </c>
      <c r="D910" s="241" t="s">
        <v>2892</v>
      </c>
      <c r="E910" s="233" t="s">
        <v>7</v>
      </c>
      <c r="F910" s="263" t="s">
        <v>3115</v>
      </c>
      <c r="G910" s="263" t="s">
        <v>3116</v>
      </c>
      <c r="H910" s="235"/>
      <c r="I910" s="239" t="s">
        <v>1843</v>
      </c>
      <c r="J910" s="259" t="s">
        <v>1844</v>
      </c>
      <c r="K910" s="235" t="s">
        <v>1844</v>
      </c>
      <c r="L910" s="235" t="s">
        <v>1844</v>
      </c>
      <c r="M910" s="235" t="s">
        <v>1844</v>
      </c>
      <c r="N910" s="239" t="s">
        <v>1844</v>
      </c>
      <c r="O910" s="239" t="s">
        <v>1844</v>
      </c>
      <c r="P910" s="239" t="s">
        <v>1844</v>
      </c>
      <c r="Q910" s="239" t="s">
        <v>1845</v>
      </c>
      <c r="R910" s="239"/>
      <c r="S910" s="239"/>
      <c r="T910" s="239"/>
      <c r="U910" s="239"/>
      <c r="V910" s="239"/>
      <c r="W910" s="239" t="s">
        <v>1845</v>
      </c>
      <c r="X910" s="235"/>
      <c r="Y910" s="235"/>
      <c r="Z910" s="239"/>
      <c r="AA910" s="239"/>
      <c r="AB910" s="239"/>
      <c r="AC910" s="239"/>
      <c r="AD910" s="239"/>
      <c r="AE910" s="239"/>
      <c r="AF910" s="239"/>
      <c r="AG910" s="239"/>
      <c r="AH910" s="239"/>
      <c r="AI910" s="235"/>
      <c r="AJ910" s="243" t="s">
        <v>1845</v>
      </c>
      <c r="AK910" s="140"/>
      <c r="AL910" s="140"/>
    </row>
    <row r="911" ht="15.75" customHeight="1">
      <c r="A911" s="241">
        <v>910.0</v>
      </c>
      <c r="B911" s="123" t="s">
        <v>1742</v>
      </c>
      <c r="C911" s="241" t="s">
        <v>1840</v>
      </c>
      <c r="D911" s="241" t="s">
        <v>2892</v>
      </c>
      <c r="E911" s="381" t="s">
        <v>7</v>
      </c>
      <c r="F911" s="263" t="s">
        <v>3117</v>
      </c>
      <c r="G911" s="263" t="s">
        <v>3116</v>
      </c>
      <c r="H911" s="235"/>
      <c r="I911" s="239" t="s">
        <v>1843</v>
      </c>
      <c r="J911" s="259" t="s">
        <v>1844</v>
      </c>
      <c r="K911" s="235" t="s">
        <v>1844</v>
      </c>
      <c r="L911" s="235" t="s">
        <v>1844</v>
      </c>
      <c r="M911" s="235" t="s">
        <v>1844</v>
      </c>
      <c r="N911" s="239" t="s">
        <v>1844</v>
      </c>
      <c r="O911" s="239" t="s">
        <v>1844</v>
      </c>
      <c r="P911" s="239" t="s">
        <v>1844</v>
      </c>
      <c r="Q911" s="239" t="s">
        <v>1845</v>
      </c>
      <c r="R911" s="239"/>
      <c r="S911" s="239"/>
      <c r="T911" s="239"/>
      <c r="U911" s="239"/>
      <c r="V911" s="239"/>
      <c r="W911" s="239"/>
      <c r="X911" s="235"/>
      <c r="Y911" s="235"/>
      <c r="Z911" s="239"/>
      <c r="AA911" s="239"/>
      <c r="AB911" s="239"/>
      <c r="AC911" s="239"/>
      <c r="AD911" s="239"/>
      <c r="AE911" s="239"/>
      <c r="AF911" s="239"/>
      <c r="AG911" s="239"/>
      <c r="AH911" s="239"/>
      <c r="AI911" s="235"/>
      <c r="AJ911" s="243" t="s">
        <v>1845</v>
      </c>
      <c r="AK911" s="140"/>
      <c r="AL911" s="140"/>
    </row>
    <row r="912" ht="15.75" customHeight="1">
      <c r="A912" s="122">
        <v>911.0</v>
      </c>
      <c r="B912" s="138">
        <f>SUM(A912+10000)</f>
        <v>10911</v>
      </c>
      <c r="C912" s="122" t="s">
        <v>1840</v>
      </c>
      <c r="D912" s="122" t="s">
        <v>2892</v>
      </c>
      <c r="E912" s="125" t="s">
        <v>34</v>
      </c>
      <c r="F912" s="269"/>
      <c r="G912" s="269" t="s">
        <v>1535</v>
      </c>
      <c r="H912" s="128"/>
      <c r="I912" s="140" t="s">
        <v>1843</v>
      </c>
      <c r="J912" s="149" t="s">
        <v>1876</v>
      </c>
      <c r="K912" s="128" t="s">
        <v>2348</v>
      </c>
      <c r="L912" s="128" t="s">
        <v>1884</v>
      </c>
      <c r="M912" s="128" t="s">
        <v>1845</v>
      </c>
      <c r="N912" s="140" t="s">
        <v>1844</v>
      </c>
      <c r="O912" s="140" t="s">
        <v>1879</v>
      </c>
      <c r="P912" s="140" t="s">
        <v>1895</v>
      </c>
      <c r="Q912" s="140"/>
      <c r="R912" s="140"/>
      <c r="S912" s="140" t="s">
        <v>1845</v>
      </c>
      <c r="T912" s="140" t="s">
        <v>1845</v>
      </c>
      <c r="U912" s="140"/>
      <c r="V912" s="140"/>
      <c r="W912" s="140"/>
      <c r="X912" s="128"/>
      <c r="Y912" s="128"/>
      <c r="Z912" s="140"/>
      <c r="AA912" s="140"/>
      <c r="AB912" s="140"/>
      <c r="AC912" s="140"/>
      <c r="AD912" s="140"/>
      <c r="AE912" s="140"/>
      <c r="AF912" s="140"/>
      <c r="AG912" s="140"/>
      <c r="AH912" s="140"/>
      <c r="AI912" s="128" t="s">
        <v>1845</v>
      </c>
      <c r="AJ912" s="137"/>
      <c r="AK912" s="140"/>
      <c r="AL912" s="140"/>
    </row>
    <row r="913" ht="15.75" customHeight="1">
      <c r="A913" s="122">
        <v>912.0</v>
      </c>
      <c r="B913" s="123" t="s">
        <v>1742</v>
      </c>
      <c r="C913" s="122" t="s">
        <v>1840</v>
      </c>
      <c r="D913" s="122" t="s">
        <v>2892</v>
      </c>
      <c r="E913" s="125" t="s">
        <v>34</v>
      </c>
      <c r="F913" s="197" t="s">
        <v>3118</v>
      </c>
      <c r="G913" s="269" t="s">
        <v>3119</v>
      </c>
      <c r="H913" s="128"/>
      <c r="I913" s="140" t="s">
        <v>1843</v>
      </c>
      <c r="J913" s="149" t="s">
        <v>1876</v>
      </c>
      <c r="K913" s="128" t="s">
        <v>2348</v>
      </c>
      <c r="L913" s="305" t="s">
        <v>1990</v>
      </c>
      <c r="M913" s="128" t="s">
        <v>1845</v>
      </c>
      <c r="N913" s="140" t="s">
        <v>1844</v>
      </c>
      <c r="O913" s="140" t="s">
        <v>1879</v>
      </c>
      <c r="P913" s="140" t="s">
        <v>1895</v>
      </c>
      <c r="Q913" s="140" t="s">
        <v>1845</v>
      </c>
      <c r="R913" s="140"/>
      <c r="S913" s="140"/>
      <c r="T913" s="140"/>
      <c r="U913" s="140"/>
      <c r="V913" s="140"/>
      <c r="W913" s="140"/>
      <c r="X913" s="128"/>
      <c r="Y913" s="128"/>
      <c r="Z913" s="140"/>
      <c r="AA913" s="140"/>
      <c r="AB913" s="140"/>
      <c r="AC913" s="140"/>
      <c r="AD913" s="140"/>
      <c r="AE913" s="140"/>
      <c r="AF913" s="140"/>
      <c r="AG913" s="140"/>
      <c r="AH913" s="140"/>
      <c r="AI913" s="128"/>
      <c r="AJ913" s="137"/>
      <c r="AK913" s="140"/>
      <c r="AL913" s="140"/>
    </row>
    <row r="914" ht="15.75" customHeight="1">
      <c r="A914" s="122">
        <v>913.0</v>
      </c>
      <c r="B914" s="138">
        <f t="shared" ref="B914:B919" si="94">SUM(A914+10000)</f>
        <v>10913</v>
      </c>
      <c r="C914" s="122" t="s">
        <v>1840</v>
      </c>
      <c r="D914" s="122" t="s">
        <v>2892</v>
      </c>
      <c r="E914" s="125" t="s">
        <v>34</v>
      </c>
      <c r="F914" s="197" t="s">
        <v>3120</v>
      </c>
      <c r="G914" s="383" t="s">
        <v>1537</v>
      </c>
      <c r="H914" s="128"/>
      <c r="I914" s="140" t="s">
        <v>1843</v>
      </c>
      <c r="J914" s="149" t="s">
        <v>1876</v>
      </c>
      <c r="K914" s="128" t="s">
        <v>2348</v>
      </c>
      <c r="L914" s="305" t="s">
        <v>1884</v>
      </c>
      <c r="M914" s="128" t="s">
        <v>1845</v>
      </c>
      <c r="N914" s="140" t="s">
        <v>1844</v>
      </c>
      <c r="O914" s="140" t="s">
        <v>1879</v>
      </c>
      <c r="P914" s="140" t="s">
        <v>1862</v>
      </c>
      <c r="Q914" s="140"/>
      <c r="R914" s="140"/>
      <c r="S914" s="140" t="s">
        <v>1845</v>
      </c>
      <c r="T914" s="140"/>
      <c r="U914" s="140"/>
      <c r="V914" s="140"/>
      <c r="W914" s="140"/>
      <c r="X914" s="128"/>
      <c r="Y914" s="128"/>
      <c r="Z914" s="140"/>
      <c r="AA914" s="140"/>
      <c r="AB914" s="140"/>
      <c r="AC914" s="140"/>
      <c r="AD914" s="140"/>
      <c r="AE914" s="140"/>
      <c r="AF914" s="140"/>
      <c r="AG914" s="140"/>
      <c r="AH914" s="140"/>
      <c r="AI914" s="128" t="s">
        <v>1845</v>
      </c>
      <c r="AJ914" s="137"/>
      <c r="AK914" s="140"/>
      <c r="AL914" s="140"/>
    </row>
    <row r="915" ht="15.75" customHeight="1">
      <c r="A915" s="241">
        <v>914.0</v>
      </c>
      <c r="B915" s="138">
        <f t="shared" si="94"/>
        <v>10914</v>
      </c>
      <c r="C915" s="241" t="s">
        <v>1840</v>
      </c>
      <c r="D915" s="241" t="s">
        <v>2892</v>
      </c>
      <c r="E915" s="233" t="s">
        <v>7</v>
      </c>
      <c r="F915" s="384" t="s">
        <v>3121</v>
      </c>
      <c r="G915" s="385" t="s">
        <v>1538</v>
      </c>
      <c r="H915" s="235"/>
      <c r="I915" s="239" t="s">
        <v>1906</v>
      </c>
      <c r="J915" s="259" t="s">
        <v>1844</v>
      </c>
      <c r="K915" s="235" t="s">
        <v>1844</v>
      </c>
      <c r="L915" s="235" t="s">
        <v>1844</v>
      </c>
      <c r="M915" s="235" t="s">
        <v>1844</v>
      </c>
      <c r="N915" s="239" t="s">
        <v>1844</v>
      </c>
      <c r="O915" s="239" t="s">
        <v>1844</v>
      </c>
      <c r="P915" s="239" t="s">
        <v>1844</v>
      </c>
      <c r="Q915" s="239"/>
      <c r="R915" s="239"/>
      <c r="S915" s="239"/>
      <c r="T915" s="239"/>
      <c r="U915" s="239" t="s">
        <v>1845</v>
      </c>
      <c r="V915" s="239"/>
      <c r="W915" s="239"/>
      <c r="X915" s="235" t="s">
        <v>1845</v>
      </c>
      <c r="Y915" s="235"/>
      <c r="Z915" s="239"/>
      <c r="AA915" s="239"/>
      <c r="AB915" s="239"/>
      <c r="AC915" s="239"/>
      <c r="AD915" s="239"/>
      <c r="AE915" s="239"/>
      <c r="AF915" s="239"/>
      <c r="AG915" s="239"/>
      <c r="AH915" s="239"/>
      <c r="AI915" s="235"/>
      <c r="AJ915" s="243" t="s">
        <v>1845</v>
      </c>
      <c r="AK915" s="140"/>
      <c r="AL915" s="140"/>
    </row>
    <row r="916" ht="15.75" customHeight="1">
      <c r="A916" s="122">
        <v>915.0</v>
      </c>
      <c r="B916" s="138">
        <f t="shared" si="94"/>
        <v>10915</v>
      </c>
      <c r="C916" s="122" t="s">
        <v>1840</v>
      </c>
      <c r="D916" s="122" t="s">
        <v>2892</v>
      </c>
      <c r="E916" s="125" t="s">
        <v>7</v>
      </c>
      <c r="F916" s="197" t="s">
        <v>3122</v>
      </c>
      <c r="G916" s="383" t="s">
        <v>1539</v>
      </c>
      <c r="H916" s="128"/>
      <c r="I916" s="140" t="s">
        <v>1906</v>
      </c>
      <c r="J916" s="149" t="s">
        <v>1844</v>
      </c>
      <c r="K916" s="128" t="s">
        <v>1844</v>
      </c>
      <c r="L916" s="128" t="s">
        <v>1844</v>
      </c>
      <c r="M916" s="128" t="s">
        <v>1844</v>
      </c>
      <c r="N916" s="140" t="s">
        <v>1844</v>
      </c>
      <c r="O916" s="140" t="s">
        <v>1844</v>
      </c>
      <c r="P916" s="140" t="s">
        <v>1844</v>
      </c>
      <c r="Q916" s="140"/>
      <c r="R916" s="140"/>
      <c r="S916" s="140"/>
      <c r="T916" s="140"/>
      <c r="U916" s="140" t="s">
        <v>1845</v>
      </c>
      <c r="V916" s="140" t="s">
        <v>1845</v>
      </c>
      <c r="W916" s="140"/>
      <c r="X916" s="128"/>
      <c r="Y916" s="128"/>
      <c r="Z916" s="140"/>
      <c r="AA916" s="140"/>
      <c r="AB916" s="140"/>
      <c r="AC916" s="140"/>
      <c r="AD916" s="140"/>
      <c r="AE916" s="140"/>
      <c r="AF916" s="140"/>
      <c r="AG916" s="140"/>
      <c r="AH916" s="140"/>
      <c r="AI916" s="128" t="s">
        <v>1845</v>
      </c>
      <c r="AJ916" s="137"/>
      <c r="AK916" s="140"/>
      <c r="AL916" s="140"/>
    </row>
    <row r="917" ht="15.75" customHeight="1">
      <c r="A917" s="122">
        <v>916.0</v>
      </c>
      <c r="B917" s="138">
        <f t="shared" si="94"/>
        <v>10916</v>
      </c>
      <c r="C917" s="122" t="s">
        <v>1840</v>
      </c>
      <c r="D917" s="122" t="s">
        <v>2892</v>
      </c>
      <c r="E917" s="125" t="s">
        <v>7</v>
      </c>
      <c r="F917" s="126" t="s">
        <v>3123</v>
      </c>
      <c r="G917" s="383" t="s">
        <v>1540</v>
      </c>
      <c r="H917" s="128"/>
      <c r="I917" s="140" t="s">
        <v>1843</v>
      </c>
      <c r="J917" s="149" t="s">
        <v>1844</v>
      </c>
      <c r="K917" s="128" t="s">
        <v>1844</v>
      </c>
      <c r="L917" s="128" t="s">
        <v>1844</v>
      </c>
      <c r="M917" s="128" t="s">
        <v>1844</v>
      </c>
      <c r="N917" s="140" t="s">
        <v>1844</v>
      </c>
      <c r="O917" s="140" t="s">
        <v>1844</v>
      </c>
      <c r="P917" s="140" t="s">
        <v>1844</v>
      </c>
      <c r="Q917" s="140"/>
      <c r="R917" s="140"/>
      <c r="S917" s="140"/>
      <c r="T917" s="140" t="s">
        <v>1845</v>
      </c>
      <c r="U917" s="140"/>
      <c r="V917" s="140"/>
      <c r="W917" s="140"/>
      <c r="X917" s="128"/>
      <c r="Y917" s="128"/>
      <c r="Z917" s="140"/>
      <c r="AA917" s="140"/>
      <c r="AB917" s="140"/>
      <c r="AC917" s="140"/>
      <c r="AD917" s="140"/>
      <c r="AE917" s="140"/>
      <c r="AF917" s="140"/>
      <c r="AG917" s="140"/>
      <c r="AH917" s="140"/>
      <c r="AI917" s="128" t="s">
        <v>1845</v>
      </c>
      <c r="AJ917" s="137"/>
      <c r="AK917" s="140"/>
      <c r="AL917" s="140"/>
    </row>
    <row r="918" ht="15.75" customHeight="1">
      <c r="A918" s="122">
        <v>917.0</v>
      </c>
      <c r="B918" s="138">
        <f t="shared" si="94"/>
        <v>10917</v>
      </c>
      <c r="C918" s="122" t="s">
        <v>1840</v>
      </c>
      <c r="D918" s="122" t="s">
        <v>2892</v>
      </c>
      <c r="E918" s="122" t="s">
        <v>20</v>
      </c>
      <c r="F918" s="126" t="s">
        <v>3124</v>
      </c>
      <c r="G918" s="320" t="s">
        <v>1541</v>
      </c>
      <c r="H918" s="128"/>
      <c r="I918" s="140" t="s">
        <v>1843</v>
      </c>
      <c r="J918" s="149" t="s">
        <v>1844</v>
      </c>
      <c r="K918" s="128" t="s">
        <v>1844</v>
      </c>
      <c r="L918" s="128" t="s">
        <v>1844</v>
      </c>
      <c r="M918" s="128" t="s">
        <v>1845</v>
      </c>
      <c r="N918" s="140" t="s">
        <v>1844</v>
      </c>
      <c r="O918" s="140" t="s">
        <v>1844</v>
      </c>
      <c r="P918" s="140" t="s">
        <v>1862</v>
      </c>
      <c r="Q918" s="140"/>
      <c r="R918" s="140"/>
      <c r="S918" s="140"/>
      <c r="T918" s="140" t="s">
        <v>1845</v>
      </c>
      <c r="U918" s="140"/>
      <c r="V918" s="140"/>
      <c r="W918" s="140"/>
      <c r="X918" s="128"/>
      <c r="Y918" s="128"/>
      <c r="Z918" s="140"/>
      <c r="AA918" s="140"/>
      <c r="AB918" s="140"/>
      <c r="AC918" s="140"/>
      <c r="AD918" s="140"/>
      <c r="AE918" s="140"/>
      <c r="AF918" s="140"/>
      <c r="AG918" s="140"/>
      <c r="AH918" s="140"/>
      <c r="AI918" s="128" t="s">
        <v>1845</v>
      </c>
      <c r="AJ918" s="137"/>
      <c r="AK918" s="140"/>
      <c r="AL918" s="140"/>
    </row>
    <row r="919" ht="15.75" customHeight="1">
      <c r="A919" s="122">
        <v>918.0</v>
      </c>
      <c r="B919" s="138">
        <f t="shared" si="94"/>
        <v>10918</v>
      </c>
      <c r="C919" s="122" t="s">
        <v>1840</v>
      </c>
      <c r="D919" s="122" t="s">
        <v>2892</v>
      </c>
      <c r="E919" s="125" t="s">
        <v>7</v>
      </c>
      <c r="F919" s="126" t="s">
        <v>3125</v>
      </c>
      <c r="G919" s="383" t="s">
        <v>1542</v>
      </c>
      <c r="H919" s="128"/>
      <c r="I919" s="140" t="s">
        <v>1843</v>
      </c>
      <c r="J919" s="149" t="s">
        <v>1844</v>
      </c>
      <c r="K919" s="128" t="s">
        <v>1844</v>
      </c>
      <c r="L919" s="128" t="s">
        <v>1844</v>
      </c>
      <c r="M919" s="128" t="s">
        <v>1844</v>
      </c>
      <c r="N919" s="140" t="s">
        <v>1844</v>
      </c>
      <c r="O919" s="140" t="s">
        <v>1844</v>
      </c>
      <c r="P919" s="140" t="s">
        <v>1844</v>
      </c>
      <c r="Q919" s="140"/>
      <c r="R919" s="140"/>
      <c r="S919" s="140"/>
      <c r="T919" s="140" t="s">
        <v>1845</v>
      </c>
      <c r="U919" s="140"/>
      <c r="V919" s="140"/>
      <c r="W919" s="140" t="s">
        <v>1845</v>
      </c>
      <c r="X919" s="128"/>
      <c r="Y919" s="128"/>
      <c r="Z919" s="140"/>
      <c r="AA919" s="140"/>
      <c r="AB919" s="140"/>
      <c r="AC919" s="140"/>
      <c r="AD919" s="140"/>
      <c r="AE919" s="140"/>
      <c r="AF919" s="140"/>
      <c r="AG919" s="140"/>
      <c r="AH919" s="140"/>
      <c r="AI919" s="128"/>
      <c r="AJ919" s="137"/>
      <c r="AK919" s="140"/>
      <c r="AL919" s="140"/>
    </row>
    <row r="920" ht="15.75" customHeight="1">
      <c r="A920" s="122">
        <v>919.0</v>
      </c>
      <c r="B920" s="123" t="s">
        <v>1742</v>
      </c>
      <c r="C920" s="122" t="s">
        <v>1840</v>
      </c>
      <c r="D920" s="122" t="s">
        <v>2892</v>
      </c>
      <c r="E920" s="125" t="s">
        <v>7</v>
      </c>
      <c r="F920" s="126" t="s">
        <v>3126</v>
      </c>
      <c r="G920" s="383" t="s">
        <v>1543</v>
      </c>
      <c r="H920" s="128"/>
      <c r="I920" s="140" t="s">
        <v>1843</v>
      </c>
      <c r="J920" s="149" t="s">
        <v>1844</v>
      </c>
      <c r="K920" s="128" t="s">
        <v>1844</v>
      </c>
      <c r="L920" s="128" t="s">
        <v>1844</v>
      </c>
      <c r="M920" s="128" t="s">
        <v>1844</v>
      </c>
      <c r="N920" s="140" t="s">
        <v>1844</v>
      </c>
      <c r="O920" s="140" t="s">
        <v>1844</v>
      </c>
      <c r="P920" s="140" t="s">
        <v>1844</v>
      </c>
      <c r="Q920" s="140" t="s">
        <v>1845</v>
      </c>
      <c r="R920" s="140"/>
      <c r="S920" s="140" t="s">
        <v>1845</v>
      </c>
      <c r="T920" s="140" t="s">
        <v>1845</v>
      </c>
      <c r="U920" s="140"/>
      <c r="V920" s="140"/>
      <c r="W920" s="140"/>
      <c r="X920" s="128"/>
      <c r="Y920" s="128"/>
      <c r="Z920" s="140"/>
      <c r="AA920" s="140"/>
      <c r="AB920" s="140"/>
      <c r="AC920" s="140"/>
      <c r="AD920" s="140"/>
      <c r="AE920" s="140"/>
      <c r="AF920" s="140"/>
      <c r="AG920" s="140"/>
      <c r="AH920" s="140"/>
      <c r="AI920" s="128" t="s">
        <v>1845</v>
      </c>
      <c r="AJ920" s="137"/>
      <c r="AK920" s="140"/>
      <c r="AL920" s="140"/>
    </row>
    <row r="921" ht="15.75" customHeight="1">
      <c r="A921" s="122">
        <v>920.0</v>
      </c>
      <c r="B921" s="138">
        <f t="shared" ref="B921:B926" si="95">SUM(A921+10000)</f>
        <v>10920</v>
      </c>
      <c r="C921" s="122" t="s">
        <v>1840</v>
      </c>
      <c r="D921" s="122" t="s">
        <v>2892</v>
      </c>
      <c r="E921" s="125" t="s">
        <v>7</v>
      </c>
      <c r="F921" s="126" t="s">
        <v>3127</v>
      </c>
      <c r="G921" s="127" t="s">
        <v>1544</v>
      </c>
      <c r="H921" s="128" t="s">
        <v>1844</v>
      </c>
      <c r="I921" s="140" t="s">
        <v>1843</v>
      </c>
      <c r="J921" s="149" t="s">
        <v>1844</v>
      </c>
      <c r="K921" s="128" t="s">
        <v>1844</v>
      </c>
      <c r="L921" s="128" t="s">
        <v>1844</v>
      </c>
      <c r="M921" s="128" t="s">
        <v>1844</v>
      </c>
      <c r="N921" s="140" t="s">
        <v>1844</v>
      </c>
      <c r="O921" s="140" t="s">
        <v>1844</v>
      </c>
      <c r="P921" s="140" t="s">
        <v>1844</v>
      </c>
      <c r="Q921" s="140"/>
      <c r="R921" s="140"/>
      <c r="S921" s="140" t="s">
        <v>1845</v>
      </c>
      <c r="T921" s="140" t="s">
        <v>1845</v>
      </c>
      <c r="U921" s="140"/>
      <c r="V921" s="140"/>
      <c r="W921" s="140"/>
      <c r="X921" s="128"/>
      <c r="Y921" s="128"/>
      <c r="Z921" s="140"/>
      <c r="AA921" s="140"/>
      <c r="AB921" s="140"/>
      <c r="AC921" s="140"/>
      <c r="AD921" s="140"/>
      <c r="AE921" s="140"/>
      <c r="AF921" s="140"/>
      <c r="AG921" s="140"/>
      <c r="AH921" s="140"/>
      <c r="AI921" s="128"/>
      <c r="AJ921" s="137"/>
      <c r="AK921" s="140"/>
      <c r="AL921" s="140"/>
    </row>
    <row r="922" ht="15.75" customHeight="1">
      <c r="A922" s="122">
        <v>921.0</v>
      </c>
      <c r="B922" s="138">
        <f t="shared" si="95"/>
        <v>10921</v>
      </c>
      <c r="C922" s="122" t="s">
        <v>1840</v>
      </c>
      <c r="D922" s="122" t="s">
        <v>2892</v>
      </c>
      <c r="E922" s="125" t="s">
        <v>34</v>
      </c>
      <c r="F922" s="126" t="s">
        <v>3128</v>
      </c>
      <c r="G922" s="383" t="s">
        <v>1545</v>
      </c>
      <c r="H922" s="128"/>
      <c r="I922" s="140" t="s">
        <v>1843</v>
      </c>
      <c r="J922" s="149" t="s">
        <v>1876</v>
      </c>
      <c r="K922" s="128" t="s">
        <v>2348</v>
      </c>
      <c r="L922" s="128" t="s">
        <v>1884</v>
      </c>
      <c r="M922" s="128" t="s">
        <v>1845</v>
      </c>
      <c r="N922" s="140" t="s">
        <v>1844</v>
      </c>
      <c r="O922" s="140" t="s">
        <v>1879</v>
      </c>
      <c r="P922" s="140" t="s">
        <v>1862</v>
      </c>
      <c r="Q922" s="140"/>
      <c r="R922" s="140"/>
      <c r="S922" s="140" t="s">
        <v>1845</v>
      </c>
      <c r="T922" s="140"/>
      <c r="U922" s="140"/>
      <c r="V922" s="140"/>
      <c r="W922" s="140" t="s">
        <v>1845</v>
      </c>
      <c r="X922" s="128"/>
      <c r="Y922" s="128"/>
      <c r="Z922" s="140"/>
      <c r="AA922" s="140"/>
      <c r="AB922" s="140"/>
      <c r="AC922" s="140"/>
      <c r="AD922" s="140"/>
      <c r="AE922" s="140"/>
      <c r="AF922" s="140"/>
      <c r="AG922" s="140"/>
      <c r="AH922" s="140"/>
      <c r="AI922" s="128"/>
      <c r="AJ922" s="137"/>
      <c r="AK922" s="140"/>
      <c r="AL922" s="140"/>
    </row>
    <row r="923" ht="15.75" customHeight="1">
      <c r="A923" s="122">
        <v>922.0</v>
      </c>
      <c r="B923" s="138">
        <f t="shared" si="95"/>
        <v>10922</v>
      </c>
      <c r="C923" s="122" t="s">
        <v>1840</v>
      </c>
      <c r="D923" s="122" t="s">
        <v>2892</v>
      </c>
      <c r="E923" s="125" t="s">
        <v>34</v>
      </c>
      <c r="F923" s="126" t="s">
        <v>3129</v>
      </c>
      <c r="G923" s="383" t="s">
        <v>1546</v>
      </c>
      <c r="H923" s="128"/>
      <c r="I923" s="140" t="s">
        <v>1843</v>
      </c>
      <c r="J923" s="149" t="s">
        <v>1876</v>
      </c>
      <c r="K923" s="128" t="s">
        <v>2348</v>
      </c>
      <c r="L923" s="128" t="s">
        <v>1844</v>
      </c>
      <c r="M923" s="128" t="s">
        <v>1845</v>
      </c>
      <c r="N923" s="140" t="s">
        <v>1844</v>
      </c>
      <c r="O923" s="140" t="s">
        <v>1879</v>
      </c>
      <c r="P923" s="140" t="s">
        <v>1862</v>
      </c>
      <c r="Q923" s="140"/>
      <c r="R923" s="140"/>
      <c r="S923" s="140" t="s">
        <v>1845</v>
      </c>
      <c r="T923" s="140" t="s">
        <v>1845</v>
      </c>
      <c r="U923" s="140"/>
      <c r="V923" s="140"/>
      <c r="W923" s="140" t="s">
        <v>1845</v>
      </c>
      <c r="X923" s="128"/>
      <c r="Y923" s="128"/>
      <c r="Z923" s="140"/>
      <c r="AA923" s="140"/>
      <c r="AB923" s="140"/>
      <c r="AC923" s="140"/>
      <c r="AD923" s="140"/>
      <c r="AE923" s="140"/>
      <c r="AF923" s="140"/>
      <c r="AG923" s="140"/>
      <c r="AH923" s="140"/>
      <c r="AI923" s="128"/>
      <c r="AJ923" s="137"/>
      <c r="AK923" s="140"/>
      <c r="AL923" s="140"/>
    </row>
    <row r="924" ht="15.75" customHeight="1">
      <c r="A924" s="122">
        <v>923.0</v>
      </c>
      <c r="B924" s="138">
        <f t="shared" si="95"/>
        <v>10923</v>
      </c>
      <c r="C924" s="122" t="s">
        <v>1840</v>
      </c>
      <c r="D924" s="122" t="s">
        <v>2892</v>
      </c>
      <c r="E924" s="125" t="s">
        <v>34</v>
      </c>
      <c r="F924" s="269" t="s">
        <v>3130</v>
      </c>
      <c r="G924" s="383" t="s">
        <v>1547</v>
      </c>
      <c r="H924" s="128"/>
      <c r="I924" s="140" t="s">
        <v>1843</v>
      </c>
      <c r="J924" s="149" t="s">
        <v>1876</v>
      </c>
      <c r="K924" s="128" t="s">
        <v>2348</v>
      </c>
      <c r="L924" s="128" t="s">
        <v>1990</v>
      </c>
      <c r="M924" s="128" t="s">
        <v>1845</v>
      </c>
      <c r="N924" s="140" t="s">
        <v>1844</v>
      </c>
      <c r="O924" s="140" t="s">
        <v>1879</v>
      </c>
      <c r="P924" s="140" t="s">
        <v>1862</v>
      </c>
      <c r="Q924" s="140"/>
      <c r="R924" s="140"/>
      <c r="S924" s="140" t="s">
        <v>1845</v>
      </c>
      <c r="T924" s="140" t="s">
        <v>1845</v>
      </c>
      <c r="U924" s="140"/>
      <c r="V924" s="140"/>
      <c r="W924" s="140" t="s">
        <v>1845</v>
      </c>
      <c r="X924" s="128" t="s">
        <v>1845</v>
      </c>
      <c r="Y924" s="128"/>
      <c r="Z924" s="140"/>
      <c r="AA924" s="140"/>
      <c r="AB924" s="140"/>
      <c r="AC924" s="140"/>
      <c r="AD924" s="140"/>
      <c r="AE924" s="140"/>
      <c r="AF924" s="140"/>
      <c r="AG924" s="140"/>
      <c r="AH924" s="140"/>
      <c r="AI924" s="128"/>
      <c r="AJ924" s="137"/>
      <c r="AK924" s="140"/>
      <c r="AL924" s="140"/>
    </row>
    <row r="925" ht="15.75" customHeight="1">
      <c r="A925" s="122">
        <v>924.0</v>
      </c>
      <c r="B925" s="138">
        <f t="shared" si="95"/>
        <v>10924</v>
      </c>
      <c r="C925" s="122" t="s">
        <v>1840</v>
      </c>
      <c r="D925" s="122" t="s">
        <v>2892</v>
      </c>
      <c r="E925" s="125" t="s">
        <v>34</v>
      </c>
      <c r="F925" s="269" t="s">
        <v>3131</v>
      </c>
      <c r="G925" s="383" t="s">
        <v>1548</v>
      </c>
      <c r="H925" s="128"/>
      <c r="I925" s="140" t="s">
        <v>1843</v>
      </c>
      <c r="J925" s="149" t="s">
        <v>1876</v>
      </c>
      <c r="K925" s="128" t="s">
        <v>2348</v>
      </c>
      <c r="L925" s="128" t="s">
        <v>1884</v>
      </c>
      <c r="M925" s="128" t="s">
        <v>1845</v>
      </c>
      <c r="N925" s="140" t="s">
        <v>1844</v>
      </c>
      <c r="O925" s="140" t="s">
        <v>1879</v>
      </c>
      <c r="P925" s="140" t="s">
        <v>1895</v>
      </c>
      <c r="Q925" s="140"/>
      <c r="R925" s="140"/>
      <c r="S925" s="140" t="s">
        <v>1845</v>
      </c>
      <c r="T925" s="140" t="s">
        <v>1845</v>
      </c>
      <c r="U925" s="140"/>
      <c r="V925" s="140"/>
      <c r="W925" s="140" t="s">
        <v>1845</v>
      </c>
      <c r="X925" s="128"/>
      <c r="Y925" s="128"/>
      <c r="Z925" s="140"/>
      <c r="AA925" s="140"/>
      <c r="AB925" s="140"/>
      <c r="AC925" s="140"/>
      <c r="AD925" s="140"/>
      <c r="AE925" s="140"/>
      <c r="AF925" s="140"/>
      <c r="AG925" s="140"/>
      <c r="AH925" s="140"/>
      <c r="AI925" s="128"/>
      <c r="AJ925" s="137"/>
      <c r="AK925" s="140"/>
      <c r="AL925" s="140"/>
    </row>
    <row r="926" ht="15.75" customHeight="1">
      <c r="A926" s="122">
        <v>925.0</v>
      </c>
      <c r="B926" s="138">
        <f t="shared" si="95"/>
        <v>10925</v>
      </c>
      <c r="C926" s="122" t="s">
        <v>1840</v>
      </c>
      <c r="D926" s="122" t="s">
        <v>2892</v>
      </c>
      <c r="E926" s="125" t="s">
        <v>7</v>
      </c>
      <c r="F926" s="269" t="s">
        <v>3132</v>
      </c>
      <c r="G926" s="383" t="s">
        <v>1549</v>
      </c>
      <c r="H926" s="128"/>
      <c r="I926" s="140" t="s">
        <v>1906</v>
      </c>
      <c r="J926" s="149" t="s">
        <v>1844</v>
      </c>
      <c r="K926" s="128" t="s">
        <v>1844</v>
      </c>
      <c r="L926" s="128" t="s">
        <v>1844</v>
      </c>
      <c r="M926" s="128" t="s">
        <v>1844</v>
      </c>
      <c r="N926" s="140" t="s">
        <v>1844</v>
      </c>
      <c r="O926" s="140" t="s">
        <v>1844</v>
      </c>
      <c r="P926" s="140" t="s">
        <v>1844</v>
      </c>
      <c r="Q926" s="140"/>
      <c r="R926" s="140"/>
      <c r="S926" s="140"/>
      <c r="T926" s="140"/>
      <c r="U926" s="140"/>
      <c r="V926" s="140" t="s">
        <v>1845</v>
      </c>
      <c r="W926" s="140" t="s">
        <v>1845</v>
      </c>
      <c r="X926" s="128"/>
      <c r="Y926" s="128"/>
      <c r="Z926" s="140"/>
      <c r="AA926" s="140"/>
      <c r="AB926" s="140"/>
      <c r="AC926" s="140"/>
      <c r="AD926" s="140"/>
      <c r="AE926" s="140"/>
      <c r="AF926" s="140"/>
      <c r="AG926" s="140"/>
      <c r="AH926" s="140"/>
      <c r="AI926" s="128"/>
      <c r="AJ926" s="137"/>
      <c r="AK926" s="140"/>
      <c r="AL926" s="140"/>
    </row>
    <row r="927" ht="15.75" customHeight="1">
      <c r="A927" s="122">
        <v>926.0</v>
      </c>
      <c r="B927" s="123" t="s">
        <v>1742</v>
      </c>
      <c r="C927" s="122" t="s">
        <v>1840</v>
      </c>
      <c r="D927" s="122" t="s">
        <v>2892</v>
      </c>
      <c r="E927" s="125" t="s">
        <v>7</v>
      </c>
      <c r="F927" s="269" t="s">
        <v>3133</v>
      </c>
      <c r="G927" s="383" t="s">
        <v>1550</v>
      </c>
      <c r="H927" s="128"/>
      <c r="I927" s="140" t="s">
        <v>1843</v>
      </c>
      <c r="J927" s="149" t="s">
        <v>1844</v>
      </c>
      <c r="K927" s="128" t="s">
        <v>1844</v>
      </c>
      <c r="L927" s="128" t="s">
        <v>1844</v>
      </c>
      <c r="M927" s="128" t="s">
        <v>1844</v>
      </c>
      <c r="N927" s="140" t="s">
        <v>1844</v>
      </c>
      <c r="O927" s="140" t="s">
        <v>1844</v>
      </c>
      <c r="P927" s="140" t="s">
        <v>1844</v>
      </c>
      <c r="Q927" s="140" t="s">
        <v>1845</v>
      </c>
      <c r="R927" s="140"/>
      <c r="S927" s="140" t="s">
        <v>1845</v>
      </c>
      <c r="T927" s="140" t="s">
        <v>1845</v>
      </c>
      <c r="U927" s="140"/>
      <c r="V927" s="140"/>
      <c r="W927" s="140" t="s">
        <v>1845</v>
      </c>
      <c r="X927" s="128"/>
      <c r="Y927" s="128"/>
      <c r="Z927" s="140"/>
      <c r="AA927" s="140"/>
      <c r="AB927" s="140"/>
      <c r="AC927" s="140"/>
      <c r="AD927" s="140"/>
      <c r="AE927" s="140"/>
      <c r="AF927" s="140"/>
      <c r="AG927" s="140"/>
      <c r="AH927" s="140"/>
      <c r="AI927" s="128"/>
      <c r="AJ927" s="137"/>
      <c r="AK927" s="140"/>
      <c r="AL927" s="140"/>
    </row>
    <row r="928" ht="15.75" customHeight="1">
      <c r="A928" s="241">
        <v>927.0</v>
      </c>
      <c r="B928" s="138">
        <f t="shared" ref="B928:B929" si="96">SUM(A928+10000)</f>
        <v>10927</v>
      </c>
      <c r="C928" s="241" t="s">
        <v>1840</v>
      </c>
      <c r="D928" s="241" t="s">
        <v>2892</v>
      </c>
      <c r="E928" s="233" t="s">
        <v>7</v>
      </c>
      <c r="F928" s="242" t="s">
        <v>3134</v>
      </c>
      <c r="G928" s="219" t="s">
        <v>1551</v>
      </c>
      <c r="H928" s="235"/>
      <c r="I928" s="239" t="s">
        <v>1843</v>
      </c>
      <c r="J928" s="259" t="s">
        <v>1844</v>
      </c>
      <c r="K928" s="235" t="s">
        <v>1844</v>
      </c>
      <c r="L928" s="235" t="s">
        <v>1844</v>
      </c>
      <c r="M928" s="235" t="s">
        <v>1844</v>
      </c>
      <c r="N928" s="239" t="s">
        <v>1844</v>
      </c>
      <c r="O928" s="239" t="s">
        <v>1844</v>
      </c>
      <c r="P928" s="239" t="s">
        <v>1844</v>
      </c>
      <c r="Q928" s="239"/>
      <c r="R928" s="239"/>
      <c r="S928" s="239"/>
      <c r="T928" s="239"/>
      <c r="U928" s="239"/>
      <c r="V928" s="239"/>
      <c r="W928" s="239"/>
      <c r="X928" s="235" t="s">
        <v>1845</v>
      </c>
      <c r="Y928" s="235"/>
      <c r="Z928" s="239"/>
      <c r="AA928" s="239"/>
      <c r="AB928" s="239"/>
      <c r="AC928" s="239"/>
      <c r="AD928" s="239"/>
      <c r="AE928" s="239"/>
      <c r="AF928" s="239"/>
      <c r="AG928" s="239"/>
      <c r="AH928" s="239"/>
      <c r="AI928" s="235"/>
      <c r="AJ928" s="243" t="s">
        <v>1845</v>
      </c>
      <c r="AK928" s="140"/>
      <c r="AL928" s="140"/>
    </row>
    <row r="929" ht="15.75" customHeight="1">
      <c r="A929" s="122">
        <v>928.0</v>
      </c>
      <c r="B929" s="138">
        <f t="shared" si="96"/>
        <v>10928</v>
      </c>
      <c r="C929" s="122" t="s">
        <v>1840</v>
      </c>
      <c r="D929" s="122" t="s">
        <v>2892</v>
      </c>
      <c r="E929" s="125" t="s">
        <v>7</v>
      </c>
      <c r="F929" s="269" t="s">
        <v>3135</v>
      </c>
      <c r="G929" s="383" t="s">
        <v>1552</v>
      </c>
      <c r="H929" s="128"/>
      <c r="I929" s="140" t="s">
        <v>1843</v>
      </c>
      <c r="J929" s="149" t="s">
        <v>1844</v>
      </c>
      <c r="K929" s="128" t="s">
        <v>1844</v>
      </c>
      <c r="L929" s="128" t="s">
        <v>1844</v>
      </c>
      <c r="M929" s="128" t="s">
        <v>1844</v>
      </c>
      <c r="N929" s="140" t="s">
        <v>1844</v>
      </c>
      <c r="O929" s="140" t="s">
        <v>1844</v>
      </c>
      <c r="P929" s="140" t="s">
        <v>1844</v>
      </c>
      <c r="Q929" s="140"/>
      <c r="R929" s="140"/>
      <c r="S929" s="140" t="s">
        <v>1845</v>
      </c>
      <c r="T929" s="140" t="s">
        <v>1845</v>
      </c>
      <c r="U929" s="140"/>
      <c r="V929" s="140"/>
      <c r="W929" s="140" t="s">
        <v>1845</v>
      </c>
      <c r="X929" s="128"/>
      <c r="Y929" s="128"/>
      <c r="Z929" s="140"/>
      <c r="AA929" s="140"/>
      <c r="AB929" s="140"/>
      <c r="AC929" s="140"/>
      <c r="AD929" s="140"/>
      <c r="AE929" s="140"/>
      <c r="AF929" s="140"/>
      <c r="AG929" s="140"/>
      <c r="AH929" s="140"/>
      <c r="AI929" s="128"/>
      <c r="AJ929" s="137"/>
      <c r="AK929" s="140"/>
      <c r="AL929" s="140"/>
    </row>
    <row r="930" ht="15.75" customHeight="1">
      <c r="A930" s="241">
        <v>929.0</v>
      </c>
      <c r="B930" s="123" t="s">
        <v>1742</v>
      </c>
      <c r="C930" s="241" t="s">
        <v>1840</v>
      </c>
      <c r="D930" s="241" t="s">
        <v>2892</v>
      </c>
      <c r="E930" s="233" t="s">
        <v>7</v>
      </c>
      <c r="F930" s="263" t="s">
        <v>3136</v>
      </c>
      <c r="G930" s="385" t="s">
        <v>1553</v>
      </c>
      <c r="H930" s="235"/>
      <c r="I930" s="239" t="s">
        <v>1843</v>
      </c>
      <c r="J930" s="259" t="s">
        <v>1844</v>
      </c>
      <c r="K930" s="235" t="s">
        <v>1844</v>
      </c>
      <c r="L930" s="235" t="s">
        <v>1844</v>
      </c>
      <c r="M930" s="235" t="s">
        <v>1844</v>
      </c>
      <c r="N930" s="239" t="s">
        <v>1844</v>
      </c>
      <c r="O930" s="239" t="s">
        <v>1844</v>
      </c>
      <c r="P930" s="239" t="s">
        <v>1844</v>
      </c>
      <c r="Q930" s="239" t="s">
        <v>1845</v>
      </c>
      <c r="R930" s="239"/>
      <c r="S930" s="239"/>
      <c r="T930" s="239"/>
      <c r="U930" s="239"/>
      <c r="V930" s="239"/>
      <c r="W930" s="239"/>
      <c r="X930" s="235" t="s">
        <v>1845</v>
      </c>
      <c r="Y930" s="235"/>
      <c r="Z930" s="239"/>
      <c r="AA930" s="239"/>
      <c r="AB930" s="239"/>
      <c r="AC930" s="239"/>
      <c r="AD930" s="239"/>
      <c r="AE930" s="239"/>
      <c r="AF930" s="239"/>
      <c r="AG930" s="239"/>
      <c r="AH930" s="239"/>
      <c r="AI930" s="235"/>
      <c r="AJ930" s="243" t="s">
        <v>1845</v>
      </c>
      <c r="AK930" s="140"/>
      <c r="AL930" s="140"/>
    </row>
    <row r="931" ht="15.75" customHeight="1">
      <c r="A931" s="241">
        <v>930.0</v>
      </c>
      <c r="B931" s="138">
        <f>SUM(A931+10000)</f>
        <v>10930</v>
      </c>
      <c r="C931" s="241" t="s">
        <v>1840</v>
      </c>
      <c r="D931" s="241" t="s">
        <v>2892</v>
      </c>
      <c r="E931" s="233" t="s">
        <v>34</v>
      </c>
      <c r="F931" s="263" t="s">
        <v>3137</v>
      </c>
      <c r="G931" s="386" t="s">
        <v>1554</v>
      </c>
      <c r="H931" s="235"/>
      <c r="I931" s="239" t="s">
        <v>1843</v>
      </c>
      <c r="J931" s="259" t="s">
        <v>1876</v>
      </c>
      <c r="K931" s="235" t="s">
        <v>2348</v>
      </c>
      <c r="L931" s="235" t="s">
        <v>1990</v>
      </c>
      <c r="M931" s="235" t="s">
        <v>1845</v>
      </c>
      <c r="N931" s="239" t="s">
        <v>1844</v>
      </c>
      <c r="O931" s="239" t="s">
        <v>1879</v>
      </c>
      <c r="P931" s="239" t="s">
        <v>1862</v>
      </c>
      <c r="Q931" s="239"/>
      <c r="R931" s="239"/>
      <c r="S931" s="239"/>
      <c r="T931" s="239"/>
      <c r="U931" s="239"/>
      <c r="V931" s="239"/>
      <c r="W931" s="239"/>
      <c r="X931" s="235"/>
      <c r="Y931" s="235"/>
      <c r="Z931" s="239"/>
      <c r="AA931" s="239"/>
      <c r="AB931" s="239"/>
      <c r="AC931" s="239"/>
      <c r="AD931" s="239"/>
      <c r="AE931" s="239"/>
      <c r="AF931" s="239"/>
      <c r="AG931" s="239"/>
      <c r="AH931" s="239"/>
      <c r="AI931" s="235"/>
      <c r="AJ931" s="243" t="s">
        <v>1845</v>
      </c>
      <c r="AK931" s="140"/>
      <c r="AL931" s="140"/>
    </row>
    <row r="932" ht="15.75" customHeight="1">
      <c r="A932" s="122">
        <v>931.0</v>
      </c>
      <c r="B932" s="123" t="s">
        <v>1742</v>
      </c>
      <c r="C932" s="122" t="s">
        <v>1840</v>
      </c>
      <c r="D932" s="122" t="s">
        <v>1846</v>
      </c>
      <c r="E932" s="125" t="s">
        <v>7</v>
      </c>
      <c r="F932" s="126" t="s">
        <v>3138</v>
      </c>
      <c r="G932" s="127" t="s">
        <v>3139</v>
      </c>
      <c r="H932" s="128"/>
      <c r="I932" s="140" t="s">
        <v>1843</v>
      </c>
      <c r="J932" s="149" t="s">
        <v>1844</v>
      </c>
      <c r="K932" s="128" t="s">
        <v>1844</v>
      </c>
      <c r="L932" s="128" t="s">
        <v>1844</v>
      </c>
      <c r="M932" s="128" t="s">
        <v>1844</v>
      </c>
      <c r="N932" s="140" t="s">
        <v>1844</v>
      </c>
      <c r="O932" s="140" t="s">
        <v>1844</v>
      </c>
      <c r="P932" s="140" t="s">
        <v>1844</v>
      </c>
      <c r="Q932" s="140" t="s">
        <v>1845</v>
      </c>
      <c r="R932" s="140"/>
      <c r="S932" s="140"/>
      <c r="T932" s="140"/>
      <c r="U932" s="140"/>
      <c r="V932" s="140"/>
      <c r="W932" s="140"/>
      <c r="X932" s="128" t="s">
        <v>1845</v>
      </c>
      <c r="Y932" s="128"/>
      <c r="Z932" s="140"/>
      <c r="AA932" s="140"/>
      <c r="AB932" s="140"/>
      <c r="AC932" s="140"/>
      <c r="AD932" s="140"/>
      <c r="AE932" s="140"/>
      <c r="AF932" s="140"/>
      <c r="AG932" s="140"/>
      <c r="AH932" s="140"/>
      <c r="AI932" s="128"/>
      <c r="AJ932" s="137"/>
      <c r="AK932" s="140"/>
      <c r="AL932" s="140"/>
    </row>
    <row r="933" ht="15.75" customHeight="1">
      <c r="A933" s="122">
        <v>932.0</v>
      </c>
      <c r="B933" s="138">
        <f>SUM(A933+10000)</f>
        <v>10932</v>
      </c>
      <c r="C933" s="122" t="s">
        <v>1840</v>
      </c>
      <c r="D933" s="122" t="s">
        <v>2892</v>
      </c>
      <c r="E933" s="125" t="s">
        <v>7</v>
      </c>
      <c r="F933" s="126" t="s">
        <v>3140</v>
      </c>
      <c r="G933" s="320" t="s">
        <v>1556</v>
      </c>
      <c r="H933" s="128"/>
      <c r="I933" s="140" t="s">
        <v>1906</v>
      </c>
      <c r="J933" s="149" t="s">
        <v>1844</v>
      </c>
      <c r="K933" s="128" t="s">
        <v>1844</v>
      </c>
      <c r="L933" s="128" t="s">
        <v>1844</v>
      </c>
      <c r="M933" s="128" t="s">
        <v>1844</v>
      </c>
      <c r="N933" s="140" t="s">
        <v>1844</v>
      </c>
      <c r="O933" s="140" t="s">
        <v>1844</v>
      </c>
      <c r="P933" s="140" t="s">
        <v>1844</v>
      </c>
      <c r="Q933" s="140"/>
      <c r="R933" s="140"/>
      <c r="S933" s="140" t="s">
        <v>1845</v>
      </c>
      <c r="T933" s="140"/>
      <c r="U933" s="140" t="s">
        <v>1845</v>
      </c>
      <c r="V933" s="140" t="s">
        <v>1845</v>
      </c>
      <c r="W933" s="140"/>
      <c r="X933" s="128"/>
      <c r="Y933" s="128"/>
      <c r="Z933" s="140"/>
      <c r="AA933" s="140"/>
      <c r="AB933" s="140"/>
      <c r="AC933" s="140"/>
      <c r="AD933" s="140"/>
      <c r="AE933" s="140"/>
      <c r="AF933" s="140"/>
      <c r="AG933" s="140"/>
      <c r="AH933" s="140"/>
      <c r="AI933" s="128"/>
      <c r="AJ933" s="137"/>
      <c r="AK933" s="140"/>
      <c r="AL933" s="140"/>
    </row>
    <row r="934" ht="15.75" customHeight="1">
      <c r="A934" s="122">
        <v>933.0</v>
      </c>
      <c r="B934" s="123" t="s">
        <v>1742</v>
      </c>
      <c r="C934" s="122" t="s">
        <v>1840</v>
      </c>
      <c r="D934" s="122" t="s">
        <v>2892</v>
      </c>
      <c r="E934" s="125" t="s">
        <v>7</v>
      </c>
      <c r="F934" s="126" t="s">
        <v>3141</v>
      </c>
      <c r="G934" s="127" t="s">
        <v>1557</v>
      </c>
      <c r="H934" s="128"/>
      <c r="I934" s="140" t="s">
        <v>1906</v>
      </c>
      <c r="J934" s="149" t="s">
        <v>1844</v>
      </c>
      <c r="K934" s="128" t="s">
        <v>1844</v>
      </c>
      <c r="L934" s="128" t="s">
        <v>1844</v>
      </c>
      <c r="M934" s="128" t="s">
        <v>1844</v>
      </c>
      <c r="N934" s="140" t="s">
        <v>1844</v>
      </c>
      <c r="O934" s="140" t="s">
        <v>1844</v>
      </c>
      <c r="P934" s="140" t="s">
        <v>1844</v>
      </c>
      <c r="Q934" s="140" t="s">
        <v>1845</v>
      </c>
      <c r="R934" s="140"/>
      <c r="S934" s="140"/>
      <c r="T934" s="140"/>
      <c r="U934" s="140"/>
      <c r="V934" s="140" t="s">
        <v>1845</v>
      </c>
      <c r="W934" s="140"/>
      <c r="X934" s="128"/>
      <c r="Y934" s="128"/>
      <c r="Z934" s="140"/>
      <c r="AA934" s="140"/>
      <c r="AB934" s="140"/>
      <c r="AC934" s="140"/>
      <c r="AD934" s="140"/>
      <c r="AE934" s="140"/>
      <c r="AF934" s="140"/>
      <c r="AG934" s="140"/>
      <c r="AH934" s="140"/>
      <c r="AI934" s="128"/>
      <c r="AJ934" s="137"/>
      <c r="AK934" s="140"/>
      <c r="AL934" s="140"/>
    </row>
    <row r="935" ht="15.75" customHeight="1">
      <c r="A935" s="122">
        <v>934.0</v>
      </c>
      <c r="B935" s="138">
        <f>SUM(A935+10000)</f>
        <v>10934</v>
      </c>
      <c r="C935" s="122" t="s">
        <v>1840</v>
      </c>
      <c r="D935" s="122" t="s">
        <v>2892</v>
      </c>
      <c r="E935" s="125" t="s">
        <v>7</v>
      </c>
      <c r="F935" s="126" t="s">
        <v>3142</v>
      </c>
      <c r="G935" s="126" t="s">
        <v>1559</v>
      </c>
      <c r="H935" s="128" t="s">
        <v>1844</v>
      </c>
      <c r="I935" s="140" t="s">
        <v>1843</v>
      </c>
      <c r="J935" s="149" t="s">
        <v>1844</v>
      </c>
      <c r="K935" s="128" t="s">
        <v>1844</v>
      </c>
      <c r="L935" s="128" t="s">
        <v>1844</v>
      </c>
      <c r="M935" s="128" t="s">
        <v>1844</v>
      </c>
      <c r="N935" s="140" t="s">
        <v>1844</v>
      </c>
      <c r="O935" s="140" t="s">
        <v>1844</v>
      </c>
      <c r="P935" s="140" t="s">
        <v>1844</v>
      </c>
      <c r="Q935" s="140"/>
      <c r="R935" s="140"/>
      <c r="S935" s="140" t="s">
        <v>1845</v>
      </c>
      <c r="T935" s="140"/>
      <c r="U935" s="140"/>
      <c r="V935" s="140"/>
      <c r="W935" s="140" t="s">
        <v>1845</v>
      </c>
      <c r="X935" s="128" t="s">
        <v>1845</v>
      </c>
      <c r="Y935" s="128"/>
      <c r="Z935" s="140"/>
      <c r="AA935" s="140"/>
      <c r="AB935" s="140"/>
      <c r="AC935" s="140"/>
      <c r="AD935" s="140"/>
      <c r="AE935" s="140"/>
      <c r="AF935" s="140"/>
      <c r="AG935" s="140"/>
      <c r="AH935" s="140"/>
      <c r="AI935" s="128"/>
      <c r="AJ935" s="137"/>
      <c r="AK935" s="140"/>
      <c r="AL935" s="140"/>
    </row>
    <row r="936" ht="15.75" customHeight="1">
      <c r="A936" s="241">
        <v>935.0</v>
      </c>
      <c r="B936" s="123" t="s">
        <v>1742</v>
      </c>
      <c r="C936" s="241" t="s">
        <v>1840</v>
      </c>
      <c r="D936" s="241" t="s">
        <v>2892</v>
      </c>
      <c r="E936" s="233" t="s">
        <v>7</v>
      </c>
      <c r="F936" s="242" t="s">
        <v>3143</v>
      </c>
      <c r="G936" s="219" t="s">
        <v>1560</v>
      </c>
      <c r="H936" s="235"/>
      <c r="I936" s="239" t="s">
        <v>1906</v>
      </c>
      <c r="J936" s="259" t="s">
        <v>1844</v>
      </c>
      <c r="K936" s="235" t="s">
        <v>1844</v>
      </c>
      <c r="L936" s="235" t="s">
        <v>1844</v>
      </c>
      <c r="M936" s="235" t="s">
        <v>1844</v>
      </c>
      <c r="N936" s="239" t="s">
        <v>1844</v>
      </c>
      <c r="O936" s="239" t="s">
        <v>1844</v>
      </c>
      <c r="P936" s="239" t="s">
        <v>1844</v>
      </c>
      <c r="Q936" s="239" t="s">
        <v>1845</v>
      </c>
      <c r="R936" s="239"/>
      <c r="S936" s="239"/>
      <c r="T936" s="239"/>
      <c r="U936" s="239"/>
      <c r="V936" s="239" t="s">
        <v>1845</v>
      </c>
      <c r="W936" s="239"/>
      <c r="X936" s="235" t="s">
        <v>1845</v>
      </c>
      <c r="Y936" s="235"/>
      <c r="Z936" s="239"/>
      <c r="AA936" s="239"/>
      <c r="AB936" s="239"/>
      <c r="AC936" s="239"/>
      <c r="AD936" s="239"/>
      <c r="AE936" s="239"/>
      <c r="AF936" s="239"/>
      <c r="AG936" s="239"/>
      <c r="AH936" s="239"/>
      <c r="AI936" s="235"/>
      <c r="AJ936" s="243" t="s">
        <v>1845</v>
      </c>
      <c r="AK936" s="140"/>
      <c r="AL936" s="140"/>
    </row>
    <row r="937" ht="15.75" customHeight="1">
      <c r="A937" s="241">
        <v>936.0</v>
      </c>
      <c r="B937" s="123" t="s">
        <v>1742</v>
      </c>
      <c r="C937" s="241" t="s">
        <v>1840</v>
      </c>
      <c r="D937" s="241" t="s">
        <v>2892</v>
      </c>
      <c r="E937" s="233" t="s">
        <v>7</v>
      </c>
      <c r="F937" s="242" t="s">
        <v>3144</v>
      </c>
      <c r="G937" s="219" t="s">
        <v>1561</v>
      </c>
      <c r="H937" s="235"/>
      <c r="I937" s="239" t="s">
        <v>1906</v>
      </c>
      <c r="J937" s="259" t="s">
        <v>1844</v>
      </c>
      <c r="K937" s="235" t="s">
        <v>1844</v>
      </c>
      <c r="L937" s="235" t="s">
        <v>1844</v>
      </c>
      <c r="M937" s="235" t="s">
        <v>1844</v>
      </c>
      <c r="N937" s="239" t="s">
        <v>1844</v>
      </c>
      <c r="O937" s="239" t="s">
        <v>1844</v>
      </c>
      <c r="P937" s="239" t="s">
        <v>1844</v>
      </c>
      <c r="Q937" s="239" t="s">
        <v>1845</v>
      </c>
      <c r="R937" s="239"/>
      <c r="S937" s="239"/>
      <c r="T937" s="239"/>
      <c r="U937" s="239"/>
      <c r="V937" s="239" t="s">
        <v>1845</v>
      </c>
      <c r="W937" s="239"/>
      <c r="X937" s="235"/>
      <c r="Y937" s="235"/>
      <c r="Z937" s="239"/>
      <c r="AA937" s="239"/>
      <c r="AB937" s="239"/>
      <c r="AC937" s="239"/>
      <c r="AD937" s="239"/>
      <c r="AE937" s="239"/>
      <c r="AF937" s="239"/>
      <c r="AG937" s="239"/>
      <c r="AH937" s="239"/>
      <c r="AI937" s="235"/>
      <c r="AJ937" s="243" t="s">
        <v>1845</v>
      </c>
      <c r="AK937" s="140"/>
      <c r="AL937" s="140"/>
    </row>
    <row r="938" ht="15.75" customHeight="1">
      <c r="A938" s="241">
        <v>937.0</v>
      </c>
      <c r="B938" s="123" t="s">
        <v>1742</v>
      </c>
      <c r="C938" s="241" t="s">
        <v>1840</v>
      </c>
      <c r="D938" s="241" t="s">
        <v>2892</v>
      </c>
      <c r="E938" s="233" t="s">
        <v>7</v>
      </c>
      <c r="F938" s="242" t="s">
        <v>3145</v>
      </c>
      <c r="G938" s="219" t="s">
        <v>1562</v>
      </c>
      <c r="H938" s="235"/>
      <c r="I938" s="239" t="s">
        <v>1843</v>
      </c>
      <c r="J938" s="259" t="s">
        <v>1844</v>
      </c>
      <c r="K938" s="235" t="s">
        <v>1844</v>
      </c>
      <c r="L938" s="235" t="s">
        <v>1844</v>
      </c>
      <c r="M938" s="235" t="s">
        <v>1844</v>
      </c>
      <c r="N938" s="239" t="s">
        <v>1844</v>
      </c>
      <c r="O938" s="239" t="s">
        <v>1844</v>
      </c>
      <c r="P938" s="239" t="s">
        <v>1844</v>
      </c>
      <c r="Q938" s="239" t="s">
        <v>1845</v>
      </c>
      <c r="R938" s="239"/>
      <c r="S938" s="239"/>
      <c r="T938" s="239" t="s">
        <v>1845</v>
      </c>
      <c r="U938" s="239"/>
      <c r="V938" s="239"/>
      <c r="W938" s="239"/>
      <c r="X938" s="235"/>
      <c r="Y938" s="235"/>
      <c r="Z938" s="239"/>
      <c r="AA938" s="239"/>
      <c r="AB938" s="239"/>
      <c r="AC938" s="239"/>
      <c r="AD938" s="239"/>
      <c r="AE938" s="239"/>
      <c r="AF938" s="239"/>
      <c r="AG938" s="239"/>
      <c r="AH938" s="239"/>
      <c r="AI938" s="235"/>
      <c r="AJ938" s="243" t="s">
        <v>1845</v>
      </c>
      <c r="AK938" s="140"/>
      <c r="AL938" s="140"/>
    </row>
    <row r="939" ht="15.75" customHeight="1">
      <c r="A939" s="122">
        <v>938.0</v>
      </c>
      <c r="B939" s="138">
        <f t="shared" ref="B939:B947" si="97">SUM(A939+10000)</f>
        <v>10938</v>
      </c>
      <c r="C939" s="122" t="s">
        <v>1840</v>
      </c>
      <c r="D939" s="122" t="s">
        <v>2892</v>
      </c>
      <c r="E939" s="125" t="s">
        <v>34</v>
      </c>
      <c r="F939" s="127" t="s">
        <v>3113</v>
      </c>
      <c r="G939" s="221" t="s">
        <v>1563</v>
      </c>
      <c r="H939" s="128"/>
      <c r="I939" s="140" t="s">
        <v>1843</v>
      </c>
      <c r="J939" s="149" t="s">
        <v>1876</v>
      </c>
      <c r="K939" s="128" t="s">
        <v>2348</v>
      </c>
      <c r="L939" s="128" t="s">
        <v>1990</v>
      </c>
      <c r="M939" s="128" t="s">
        <v>1845</v>
      </c>
      <c r="N939" s="140" t="s">
        <v>1844</v>
      </c>
      <c r="O939" s="140" t="s">
        <v>1879</v>
      </c>
      <c r="P939" s="140" t="s">
        <v>1895</v>
      </c>
      <c r="Q939" s="140"/>
      <c r="R939" s="140"/>
      <c r="S939" s="140" t="s">
        <v>1845</v>
      </c>
      <c r="T939" s="140" t="s">
        <v>1845</v>
      </c>
      <c r="U939" s="140"/>
      <c r="V939" s="140"/>
      <c r="W939" s="140"/>
      <c r="X939" s="128" t="s">
        <v>1845</v>
      </c>
      <c r="Y939" s="128"/>
      <c r="Z939" s="140"/>
      <c r="AA939" s="140"/>
      <c r="AB939" s="140"/>
      <c r="AC939" s="140"/>
      <c r="AD939" s="140"/>
      <c r="AE939" s="140"/>
      <c r="AF939" s="140"/>
      <c r="AG939" s="140"/>
      <c r="AH939" s="140"/>
      <c r="AI939" s="128" t="s">
        <v>1845</v>
      </c>
      <c r="AJ939" s="137"/>
      <c r="AK939" s="140"/>
      <c r="AL939" s="140"/>
    </row>
    <row r="940" ht="15.75" customHeight="1">
      <c r="A940" s="122">
        <v>939.0</v>
      </c>
      <c r="B940" s="138">
        <f t="shared" si="97"/>
        <v>10939</v>
      </c>
      <c r="C940" s="122" t="s">
        <v>1840</v>
      </c>
      <c r="D940" s="122" t="s">
        <v>2892</v>
      </c>
      <c r="E940" s="125" t="s">
        <v>34</v>
      </c>
      <c r="F940" s="221" t="s">
        <v>3130</v>
      </c>
      <c r="G940" s="221" t="s">
        <v>1564</v>
      </c>
      <c r="H940" s="128"/>
      <c r="I940" s="140" t="s">
        <v>1843</v>
      </c>
      <c r="J940" s="149" t="s">
        <v>1876</v>
      </c>
      <c r="K940" s="128" t="s">
        <v>2348</v>
      </c>
      <c r="L940" s="128" t="s">
        <v>1990</v>
      </c>
      <c r="M940" s="128" t="s">
        <v>1845</v>
      </c>
      <c r="N940" s="140" t="s">
        <v>1844</v>
      </c>
      <c r="O940" s="140" t="s">
        <v>1879</v>
      </c>
      <c r="P940" s="140" t="s">
        <v>1895</v>
      </c>
      <c r="Q940" s="140"/>
      <c r="R940" s="140"/>
      <c r="S940" s="140" t="s">
        <v>1845</v>
      </c>
      <c r="T940" s="140" t="s">
        <v>1845</v>
      </c>
      <c r="U940" s="140"/>
      <c r="V940" s="140"/>
      <c r="W940" s="140" t="s">
        <v>1845</v>
      </c>
      <c r="X940" s="128" t="s">
        <v>1845</v>
      </c>
      <c r="Y940" s="128"/>
      <c r="Z940" s="140"/>
      <c r="AA940" s="140"/>
      <c r="AB940" s="140"/>
      <c r="AC940" s="140"/>
      <c r="AD940" s="140"/>
      <c r="AE940" s="140"/>
      <c r="AF940" s="140"/>
      <c r="AG940" s="140"/>
      <c r="AH940" s="140"/>
      <c r="AI940" s="128"/>
      <c r="AJ940" s="137"/>
      <c r="AK940" s="140"/>
      <c r="AL940" s="140"/>
    </row>
    <row r="941" ht="15.75" customHeight="1">
      <c r="A941" s="241">
        <v>940.0</v>
      </c>
      <c r="B941" s="138">
        <f t="shared" si="97"/>
        <v>10940</v>
      </c>
      <c r="C941" s="241" t="s">
        <v>1840</v>
      </c>
      <c r="D941" s="241" t="s">
        <v>2892</v>
      </c>
      <c r="E941" s="233" t="s">
        <v>34</v>
      </c>
      <c r="F941" s="263" t="s">
        <v>3146</v>
      </c>
      <c r="G941" s="386" t="s">
        <v>1565</v>
      </c>
      <c r="H941" s="235"/>
      <c r="I941" s="239" t="s">
        <v>1843</v>
      </c>
      <c r="J941" s="259" t="s">
        <v>1876</v>
      </c>
      <c r="K941" s="235" t="s">
        <v>2348</v>
      </c>
      <c r="L941" s="235" t="s">
        <v>1990</v>
      </c>
      <c r="M941" s="235" t="s">
        <v>1845</v>
      </c>
      <c r="N941" s="239" t="s">
        <v>1844</v>
      </c>
      <c r="O941" s="239" t="s">
        <v>1879</v>
      </c>
      <c r="P941" s="239" t="s">
        <v>1862</v>
      </c>
      <c r="Q941" s="239"/>
      <c r="R941" s="239"/>
      <c r="S941" s="239"/>
      <c r="T941" s="239"/>
      <c r="U941" s="239"/>
      <c r="V941" s="239"/>
      <c r="W941" s="239"/>
      <c r="X941" s="235"/>
      <c r="Y941" s="235"/>
      <c r="Z941" s="239"/>
      <c r="AA941" s="239"/>
      <c r="AB941" s="239"/>
      <c r="AC941" s="239"/>
      <c r="AD941" s="239"/>
      <c r="AE941" s="239"/>
      <c r="AF941" s="239"/>
      <c r="AG941" s="239"/>
      <c r="AH941" s="239"/>
      <c r="AI941" s="235"/>
      <c r="AJ941" s="243" t="s">
        <v>1845</v>
      </c>
      <c r="AK941" s="140"/>
      <c r="AL941" s="140"/>
    </row>
    <row r="942" ht="15.75" customHeight="1">
      <c r="A942" s="122">
        <v>941.0</v>
      </c>
      <c r="B942" s="138">
        <f t="shared" si="97"/>
        <v>10941</v>
      </c>
      <c r="C942" s="122" t="s">
        <v>1840</v>
      </c>
      <c r="D942" s="122" t="s">
        <v>2892</v>
      </c>
      <c r="E942" s="125" t="s">
        <v>7</v>
      </c>
      <c r="F942" s="269" t="s">
        <v>3104</v>
      </c>
      <c r="G942" s="383" t="s">
        <v>1566</v>
      </c>
      <c r="H942" s="128"/>
      <c r="I942" s="140" t="s">
        <v>1843</v>
      </c>
      <c r="J942" s="149" t="s">
        <v>1844</v>
      </c>
      <c r="K942" s="128" t="s">
        <v>1844</v>
      </c>
      <c r="L942" s="128" t="s">
        <v>1844</v>
      </c>
      <c r="M942" s="128" t="s">
        <v>1844</v>
      </c>
      <c r="N942" s="140" t="s">
        <v>1844</v>
      </c>
      <c r="O942" s="140" t="s">
        <v>1844</v>
      </c>
      <c r="P942" s="140" t="s">
        <v>1844</v>
      </c>
      <c r="Q942" s="140"/>
      <c r="R942" s="140"/>
      <c r="S942" s="140" t="s">
        <v>1845</v>
      </c>
      <c r="T942" s="140" t="s">
        <v>1845</v>
      </c>
      <c r="U942" s="140"/>
      <c r="V942" s="140"/>
      <c r="W942" s="140"/>
      <c r="X942" s="128"/>
      <c r="Y942" s="128"/>
      <c r="Z942" s="140"/>
      <c r="AA942" s="140"/>
      <c r="AB942" s="140"/>
      <c r="AC942" s="140"/>
      <c r="AD942" s="140"/>
      <c r="AE942" s="140"/>
      <c r="AF942" s="140"/>
      <c r="AG942" s="140"/>
      <c r="AH942" s="140"/>
      <c r="AI942" s="128" t="s">
        <v>1845</v>
      </c>
      <c r="AJ942" s="137"/>
      <c r="AK942" s="140"/>
      <c r="AL942" s="140"/>
    </row>
    <row r="943" ht="15.75" customHeight="1">
      <c r="A943" s="122">
        <v>942.0</v>
      </c>
      <c r="B943" s="138">
        <f t="shared" si="97"/>
        <v>10942</v>
      </c>
      <c r="C943" s="122" t="s">
        <v>1840</v>
      </c>
      <c r="D943" s="122" t="s">
        <v>2892</v>
      </c>
      <c r="E943" s="125" t="s">
        <v>7</v>
      </c>
      <c r="F943" s="269" t="s">
        <v>3111</v>
      </c>
      <c r="G943" s="383" t="s">
        <v>1567</v>
      </c>
      <c r="H943" s="128"/>
      <c r="I943" s="140" t="s">
        <v>1843</v>
      </c>
      <c r="J943" s="149" t="s">
        <v>1844</v>
      </c>
      <c r="K943" s="128" t="s">
        <v>1844</v>
      </c>
      <c r="L943" s="128" t="s">
        <v>1844</v>
      </c>
      <c r="M943" s="128" t="s">
        <v>1844</v>
      </c>
      <c r="N943" s="140" t="s">
        <v>1844</v>
      </c>
      <c r="O943" s="140" t="s">
        <v>1844</v>
      </c>
      <c r="P943" s="140" t="s">
        <v>1844</v>
      </c>
      <c r="Q943" s="140"/>
      <c r="R943" s="140"/>
      <c r="S943" s="140" t="s">
        <v>1845</v>
      </c>
      <c r="T943" s="140" t="s">
        <v>1845</v>
      </c>
      <c r="U943" s="140"/>
      <c r="V943" s="140"/>
      <c r="W943" s="140"/>
      <c r="X943" s="128"/>
      <c r="Y943" s="128"/>
      <c r="Z943" s="140"/>
      <c r="AA943" s="140"/>
      <c r="AB943" s="140"/>
      <c r="AC943" s="140"/>
      <c r="AD943" s="140"/>
      <c r="AE943" s="140"/>
      <c r="AF943" s="140"/>
      <c r="AG943" s="140"/>
      <c r="AH943" s="140"/>
      <c r="AI943" s="128" t="s">
        <v>1845</v>
      </c>
      <c r="AJ943" s="137"/>
      <c r="AK943" s="140"/>
      <c r="AL943" s="140"/>
    </row>
    <row r="944" ht="15.75" customHeight="1">
      <c r="A944" s="241">
        <v>943.0</v>
      </c>
      <c r="B944" s="138">
        <f t="shared" si="97"/>
        <v>10943</v>
      </c>
      <c r="C944" s="241" t="s">
        <v>1840</v>
      </c>
      <c r="D944" s="241" t="s">
        <v>2892</v>
      </c>
      <c r="E944" s="233" t="s">
        <v>34</v>
      </c>
      <c r="F944" s="263" t="s">
        <v>3147</v>
      </c>
      <c r="G944" s="242" t="s">
        <v>1568</v>
      </c>
      <c r="H944" s="235"/>
      <c r="I944" s="239" t="s">
        <v>1843</v>
      </c>
      <c r="J944" s="259" t="s">
        <v>1876</v>
      </c>
      <c r="K944" s="235" t="s">
        <v>2348</v>
      </c>
      <c r="L944" s="235" t="s">
        <v>1878</v>
      </c>
      <c r="M944" s="235" t="s">
        <v>1845</v>
      </c>
      <c r="N944" s="239" t="s">
        <v>1844</v>
      </c>
      <c r="O944" s="239" t="s">
        <v>1879</v>
      </c>
      <c r="P944" s="239" t="s">
        <v>1862</v>
      </c>
      <c r="Q944" s="239"/>
      <c r="R944" s="239"/>
      <c r="S944" s="239"/>
      <c r="T944" s="239"/>
      <c r="U944" s="239"/>
      <c r="V944" s="239"/>
      <c r="W944" s="239"/>
      <c r="X944" s="235"/>
      <c r="Y944" s="235"/>
      <c r="Z944" s="239"/>
      <c r="AA944" s="239"/>
      <c r="AB944" s="239"/>
      <c r="AC944" s="239"/>
      <c r="AD944" s="239"/>
      <c r="AE944" s="239"/>
      <c r="AF944" s="239"/>
      <c r="AG944" s="239"/>
      <c r="AH944" s="239"/>
      <c r="AI944" s="235"/>
      <c r="AJ944" s="243" t="s">
        <v>1845</v>
      </c>
      <c r="AK944" s="140"/>
      <c r="AL944" s="140"/>
    </row>
    <row r="945" ht="15.75" customHeight="1">
      <c r="A945" s="122">
        <v>944.0</v>
      </c>
      <c r="B945" s="138">
        <f t="shared" si="97"/>
        <v>10944</v>
      </c>
      <c r="C945" s="122" t="s">
        <v>1840</v>
      </c>
      <c r="D945" s="122" t="s">
        <v>2892</v>
      </c>
      <c r="E945" s="125" t="s">
        <v>7</v>
      </c>
      <c r="F945" s="126" t="s">
        <v>3148</v>
      </c>
      <c r="G945" s="383" t="s">
        <v>1569</v>
      </c>
      <c r="H945" s="128"/>
      <c r="I945" s="140" t="s">
        <v>1843</v>
      </c>
      <c r="J945" s="149" t="s">
        <v>1844</v>
      </c>
      <c r="K945" s="128" t="s">
        <v>1844</v>
      </c>
      <c r="L945" s="128" t="s">
        <v>1844</v>
      </c>
      <c r="M945" s="128" t="s">
        <v>1844</v>
      </c>
      <c r="N945" s="140" t="s">
        <v>1844</v>
      </c>
      <c r="O945" s="140" t="s">
        <v>1844</v>
      </c>
      <c r="P945" s="140" t="s">
        <v>1844</v>
      </c>
      <c r="Q945" s="140"/>
      <c r="R945" s="140"/>
      <c r="S945" s="140" t="s">
        <v>1845</v>
      </c>
      <c r="T945" s="140" t="s">
        <v>1845</v>
      </c>
      <c r="U945" s="140"/>
      <c r="V945" s="140"/>
      <c r="W945" s="140" t="s">
        <v>1845</v>
      </c>
      <c r="X945" s="128"/>
      <c r="Y945" s="128"/>
      <c r="Z945" s="140"/>
      <c r="AA945" s="140"/>
      <c r="AB945" s="140"/>
      <c r="AC945" s="140"/>
      <c r="AD945" s="140"/>
      <c r="AE945" s="140"/>
      <c r="AF945" s="140"/>
      <c r="AG945" s="140"/>
      <c r="AH945" s="140"/>
      <c r="AI945" s="128"/>
      <c r="AJ945" s="137"/>
      <c r="AK945" s="140"/>
      <c r="AL945" s="140"/>
    </row>
    <row r="946" ht="15.75" customHeight="1">
      <c r="A946" s="122">
        <v>945.0</v>
      </c>
      <c r="B946" s="138">
        <f t="shared" si="97"/>
        <v>10945</v>
      </c>
      <c r="C946" s="122" t="s">
        <v>1840</v>
      </c>
      <c r="D946" s="122" t="s">
        <v>2892</v>
      </c>
      <c r="E946" s="125" t="s">
        <v>7</v>
      </c>
      <c r="F946" s="126" t="s">
        <v>3135</v>
      </c>
      <c r="G946" s="387" t="s">
        <v>1570</v>
      </c>
      <c r="H946" s="128"/>
      <c r="I946" s="140" t="s">
        <v>1843</v>
      </c>
      <c r="J946" s="149" t="s">
        <v>1844</v>
      </c>
      <c r="K946" s="128" t="s">
        <v>1844</v>
      </c>
      <c r="L946" s="128" t="s">
        <v>1844</v>
      </c>
      <c r="M946" s="128" t="s">
        <v>1844</v>
      </c>
      <c r="N946" s="140" t="s">
        <v>1844</v>
      </c>
      <c r="O946" s="140" t="s">
        <v>1844</v>
      </c>
      <c r="P946" s="140" t="s">
        <v>1844</v>
      </c>
      <c r="Q946" s="140"/>
      <c r="R946" s="140"/>
      <c r="S946" s="140" t="s">
        <v>1845</v>
      </c>
      <c r="T946" s="140" t="s">
        <v>1845</v>
      </c>
      <c r="U946" s="140"/>
      <c r="V946" s="140"/>
      <c r="W946" s="140" t="s">
        <v>1845</v>
      </c>
      <c r="X946" s="128"/>
      <c r="Y946" s="128"/>
      <c r="Z946" s="140"/>
      <c r="AA946" s="140"/>
      <c r="AB946" s="140"/>
      <c r="AC946" s="140"/>
      <c r="AD946" s="140"/>
      <c r="AE946" s="140"/>
      <c r="AF946" s="140"/>
      <c r="AG946" s="140"/>
      <c r="AH946" s="140"/>
      <c r="AI946" s="128"/>
      <c r="AJ946" s="137"/>
      <c r="AK946" s="140"/>
      <c r="AL946" s="140"/>
    </row>
    <row r="947" ht="15.75" customHeight="1">
      <c r="A947" s="241">
        <v>946.0</v>
      </c>
      <c r="B947" s="138">
        <f t="shared" si="97"/>
        <v>10946</v>
      </c>
      <c r="C947" s="241" t="s">
        <v>1840</v>
      </c>
      <c r="D947" s="241" t="s">
        <v>2892</v>
      </c>
      <c r="E947" s="233" t="s">
        <v>7</v>
      </c>
      <c r="F947" s="385" t="s">
        <v>3149</v>
      </c>
      <c r="G947" s="388" t="s">
        <v>1571</v>
      </c>
      <c r="H947" s="235"/>
      <c r="I947" s="239" t="s">
        <v>1843</v>
      </c>
      <c r="J947" s="259" t="s">
        <v>1844</v>
      </c>
      <c r="K947" s="235" t="s">
        <v>1844</v>
      </c>
      <c r="L947" s="235" t="s">
        <v>1844</v>
      </c>
      <c r="M947" s="235" t="s">
        <v>1844</v>
      </c>
      <c r="N947" s="239" t="s">
        <v>1844</v>
      </c>
      <c r="O947" s="239" t="s">
        <v>1844</v>
      </c>
      <c r="P947" s="239" t="s">
        <v>1844</v>
      </c>
      <c r="Q947" s="239"/>
      <c r="R947" s="239"/>
      <c r="S947" s="239" t="s">
        <v>1845</v>
      </c>
      <c r="T947" s="239"/>
      <c r="U947" s="239"/>
      <c r="V947" s="239"/>
      <c r="W947" s="239"/>
      <c r="X947" s="235"/>
      <c r="Y947" s="235"/>
      <c r="Z947" s="239"/>
      <c r="AA947" s="239"/>
      <c r="AB947" s="239"/>
      <c r="AC947" s="239"/>
      <c r="AD947" s="239"/>
      <c r="AE947" s="239"/>
      <c r="AF947" s="239"/>
      <c r="AG947" s="239"/>
      <c r="AH947" s="239"/>
      <c r="AI947" s="235"/>
      <c r="AJ947" s="243" t="s">
        <v>1845</v>
      </c>
      <c r="AK947" s="140"/>
      <c r="AL947" s="140"/>
    </row>
    <row r="948" ht="15.75" customHeight="1">
      <c r="A948" s="241">
        <v>947.0</v>
      </c>
      <c r="B948" s="123" t="s">
        <v>1742</v>
      </c>
      <c r="C948" s="241" t="s">
        <v>1840</v>
      </c>
      <c r="D948" s="241" t="s">
        <v>2892</v>
      </c>
      <c r="E948" s="233" t="s">
        <v>7</v>
      </c>
      <c r="F948" s="235" t="s">
        <v>3150</v>
      </c>
      <c r="G948" s="385" t="s">
        <v>3151</v>
      </c>
      <c r="H948" s="235"/>
      <c r="I948" s="239" t="s">
        <v>1843</v>
      </c>
      <c r="J948" s="259" t="s">
        <v>1844</v>
      </c>
      <c r="K948" s="235" t="s">
        <v>1844</v>
      </c>
      <c r="L948" s="235" t="s">
        <v>1844</v>
      </c>
      <c r="M948" s="235" t="s">
        <v>1844</v>
      </c>
      <c r="N948" s="239" t="s">
        <v>1844</v>
      </c>
      <c r="O948" s="239" t="s">
        <v>1844</v>
      </c>
      <c r="P948" s="239" t="s">
        <v>1844</v>
      </c>
      <c r="Q948" s="239" t="s">
        <v>1845</v>
      </c>
      <c r="R948" s="239"/>
      <c r="S948" s="239" t="s">
        <v>1845</v>
      </c>
      <c r="T948" s="239"/>
      <c r="U948" s="239"/>
      <c r="V948" s="239"/>
      <c r="W948" s="239" t="s">
        <v>1845</v>
      </c>
      <c r="X948" s="235" t="s">
        <v>1845</v>
      </c>
      <c r="Y948" s="235"/>
      <c r="Z948" s="239"/>
      <c r="AA948" s="239"/>
      <c r="AB948" s="239"/>
      <c r="AC948" s="239"/>
      <c r="AD948" s="239"/>
      <c r="AE948" s="239"/>
      <c r="AF948" s="239"/>
      <c r="AG948" s="239"/>
      <c r="AH948" s="239"/>
      <c r="AI948" s="235"/>
      <c r="AJ948" s="243" t="s">
        <v>1845</v>
      </c>
      <c r="AK948" s="140"/>
      <c r="AL948" s="140"/>
    </row>
    <row r="949" ht="15.75" customHeight="1">
      <c r="A949" s="241">
        <v>948.0</v>
      </c>
      <c r="B949" s="123" t="s">
        <v>1742</v>
      </c>
      <c r="C949" s="241" t="s">
        <v>1840</v>
      </c>
      <c r="D949" s="241" t="s">
        <v>2892</v>
      </c>
      <c r="E949" s="233" t="s">
        <v>7</v>
      </c>
      <c r="F949" s="235" t="s">
        <v>3152</v>
      </c>
      <c r="G949" s="388" t="s">
        <v>3153</v>
      </c>
      <c r="H949" s="235"/>
      <c r="I949" s="239" t="s">
        <v>1906</v>
      </c>
      <c r="J949" s="259" t="s">
        <v>1844</v>
      </c>
      <c r="K949" s="235" t="s">
        <v>1844</v>
      </c>
      <c r="L949" s="235" t="s">
        <v>1844</v>
      </c>
      <c r="M949" s="235" t="s">
        <v>1844</v>
      </c>
      <c r="N949" s="239" t="s">
        <v>1844</v>
      </c>
      <c r="O949" s="239" t="s">
        <v>1844</v>
      </c>
      <c r="P949" s="239" t="s">
        <v>1844</v>
      </c>
      <c r="Q949" s="239" t="s">
        <v>1845</v>
      </c>
      <c r="R949" s="239"/>
      <c r="S949" s="239" t="s">
        <v>1845</v>
      </c>
      <c r="T949" s="239"/>
      <c r="U949" s="239" t="s">
        <v>1845</v>
      </c>
      <c r="V949" s="239" t="s">
        <v>1845</v>
      </c>
      <c r="W949" s="239" t="s">
        <v>1845</v>
      </c>
      <c r="X949" s="235" t="s">
        <v>1845</v>
      </c>
      <c r="Y949" s="235"/>
      <c r="Z949" s="239"/>
      <c r="AA949" s="239"/>
      <c r="AB949" s="239"/>
      <c r="AC949" s="239"/>
      <c r="AD949" s="239"/>
      <c r="AE949" s="239"/>
      <c r="AF949" s="239"/>
      <c r="AG949" s="239"/>
      <c r="AH949" s="239"/>
      <c r="AI949" s="235"/>
      <c r="AJ949" s="243" t="s">
        <v>1845</v>
      </c>
      <c r="AK949" s="140"/>
      <c r="AL949" s="140"/>
    </row>
    <row r="950" ht="15.75" customHeight="1">
      <c r="A950" s="241">
        <v>949.0</v>
      </c>
      <c r="B950" s="123" t="s">
        <v>1742</v>
      </c>
      <c r="C950" s="241" t="s">
        <v>1840</v>
      </c>
      <c r="D950" s="241" t="s">
        <v>2892</v>
      </c>
      <c r="E950" s="233" t="s">
        <v>7</v>
      </c>
      <c r="F950" s="263" t="s">
        <v>3154</v>
      </c>
      <c r="G950" s="385" t="s">
        <v>1574</v>
      </c>
      <c r="H950" s="235"/>
      <c r="I950" s="239" t="s">
        <v>1843</v>
      </c>
      <c r="J950" s="259" t="s">
        <v>1844</v>
      </c>
      <c r="K950" s="235" t="s">
        <v>1844</v>
      </c>
      <c r="L950" s="235" t="s">
        <v>1844</v>
      </c>
      <c r="M950" s="235" t="s">
        <v>1844</v>
      </c>
      <c r="N950" s="239" t="s">
        <v>1844</v>
      </c>
      <c r="O950" s="239" t="s">
        <v>1844</v>
      </c>
      <c r="P950" s="239" t="s">
        <v>1844</v>
      </c>
      <c r="Q950" s="239" t="s">
        <v>1845</v>
      </c>
      <c r="R950" s="239"/>
      <c r="S950" s="239"/>
      <c r="T950" s="239"/>
      <c r="U950" s="239"/>
      <c r="V950" s="239"/>
      <c r="W950" s="239"/>
      <c r="X950" s="235" t="s">
        <v>1845</v>
      </c>
      <c r="Y950" s="235"/>
      <c r="Z950" s="239" t="s">
        <v>1845</v>
      </c>
      <c r="AA950" s="239"/>
      <c r="AB950" s="239"/>
      <c r="AC950" s="239"/>
      <c r="AD950" s="239"/>
      <c r="AE950" s="239"/>
      <c r="AF950" s="239"/>
      <c r="AG950" s="239"/>
      <c r="AH950" s="239"/>
      <c r="AI950" s="235"/>
      <c r="AJ950" s="243" t="s">
        <v>1845</v>
      </c>
      <c r="AK950" s="140"/>
      <c r="AL950" s="140"/>
    </row>
    <row r="951" ht="15.75" customHeight="1">
      <c r="A951" s="122">
        <v>950.0</v>
      </c>
      <c r="B951" s="123" t="s">
        <v>1742</v>
      </c>
      <c r="C951" s="122" t="s">
        <v>1840</v>
      </c>
      <c r="D951" s="122" t="s">
        <v>2892</v>
      </c>
      <c r="E951" s="125" t="s">
        <v>34</v>
      </c>
      <c r="F951" s="128" t="s">
        <v>3155</v>
      </c>
      <c r="G951" s="128" t="s">
        <v>3156</v>
      </c>
      <c r="H951" s="128"/>
      <c r="I951" s="140" t="s">
        <v>1843</v>
      </c>
      <c r="J951" s="149" t="s">
        <v>1876</v>
      </c>
      <c r="K951" s="128" t="s">
        <v>2348</v>
      </c>
      <c r="L951" s="128" t="s">
        <v>1844</v>
      </c>
      <c r="M951" s="128" t="s">
        <v>1845</v>
      </c>
      <c r="N951" s="140" t="s">
        <v>1844</v>
      </c>
      <c r="O951" s="140" t="s">
        <v>1879</v>
      </c>
      <c r="P951" s="140" t="s">
        <v>1862</v>
      </c>
      <c r="Q951" s="140" t="s">
        <v>1845</v>
      </c>
      <c r="R951" s="140"/>
      <c r="S951" s="140" t="s">
        <v>1845</v>
      </c>
      <c r="T951" s="140"/>
      <c r="U951" s="140"/>
      <c r="V951" s="140"/>
      <c r="W951" s="140"/>
      <c r="X951" s="128"/>
      <c r="Y951" s="128"/>
      <c r="Z951" s="140"/>
      <c r="AA951" s="140"/>
      <c r="AB951" s="140"/>
      <c r="AC951" s="140"/>
      <c r="AD951" s="140"/>
      <c r="AE951" s="140"/>
      <c r="AF951" s="140"/>
      <c r="AG951" s="140"/>
      <c r="AH951" s="140"/>
      <c r="AI951" s="128"/>
      <c r="AJ951" s="137"/>
      <c r="AK951" s="140"/>
      <c r="AL951" s="140"/>
    </row>
    <row r="952" ht="15.75" customHeight="1">
      <c r="A952" s="122">
        <v>951.0</v>
      </c>
      <c r="B952" s="122" t="s">
        <v>3157</v>
      </c>
      <c r="C952" s="122" t="s">
        <v>1840</v>
      </c>
      <c r="D952" s="122" t="s">
        <v>2892</v>
      </c>
      <c r="E952" s="125" t="s">
        <v>7</v>
      </c>
      <c r="F952" s="126" t="s">
        <v>3158</v>
      </c>
      <c r="G952" s="127" t="s">
        <v>3159</v>
      </c>
      <c r="H952" s="128" t="s">
        <v>1844</v>
      </c>
      <c r="I952" s="140" t="s">
        <v>1843</v>
      </c>
      <c r="J952" s="149" t="s">
        <v>1844</v>
      </c>
      <c r="K952" s="128" t="s">
        <v>1844</v>
      </c>
      <c r="L952" s="128" t="s">
        <v>1844</v>
      </c>
      <c r="M952" s="128" t="s">
        <v>1844</v>
      </c>
      <c r="N952" s="140" t="s">
        <v>1844</v>
      </c>
      <c r="O952" s="140" t="s">
        <v>1844</v>
      </c>
      <c r="P952" s="140" t="s">
        <v>1844</v>
      </c>
      <c r="Q952" s="140" t="s">
        <v>1845</v>
      </c>
      <c r="R952" s="140"/>
      <c r="S952" s="140"/>
      <c r="T952" s="140"/>
      <c r="U952" s="140"/>
      <c r="V952" s="140"/>
      <c r="W952" s="140"/>
      <c r="X952" s="128" t="s">
        <v>1845</v>
      </c>
      <c r="Y952" s="128"/>
      <c r="Z952" s="140"/>
      <c r="AA952" s="140"/>
      <c r="AB952" s="140"/>
      <c r="AC952" s="140"/>
      <c r="AD952" s="140"/>
      <c r="AE952" s="140"/>
      <c r="AF952" s="140"/>
      <c r="AG952" s="140"/>
      <c r="AH952" s="140"/>
      <c r="AI952" s="128"/>
      <c r="AJ952" s="137"/>
      <c r="AK952" s="140"/>
      <c r="AL952" s="140"/>
    </row>
    <row r="953" ht="15.75" customHeight="1">
      <c r="A953" s="122">
        <v>952.0</v>
      </c>
      <c r="B953" s="123" t="s">
        <v>1742</v>
      </c>
      <c r="C953" s="122" t="s">
        <v>1840</v>
      </c>
      <c r="D953" s="122" t="s">
        <v>2892</v>
      </c>
      <c r="E953" s="125" t="s">
        <v>34</v>
      </c>
      <c r="F953" s="126" t="s">
        <v>2960</v>
      </c>
      <c r="G953" s="127" t="s">
        <v>3160</v>
      </c>
      <c r="H953" s="128"/>
      <c r="I953" s="140" t="s">
        <v>1843</v>
      </c>
      <c r="J953" s="186" t="s">
        <v>1902</v>
      </c>
      <c r="K953" s="128" t="s">
        <v>1877</v>
      </c>
      <c r="L953" s="128" t="s">
        <v>1844</v>
      </c>
      <c r="M953" s="128" t="s">
        <v>1845</v>
      </c>
      <c r="N953" s="140">
        <v>1.0</v>
      </c>
      <c r="O953" s="140" t="s">
        <v>1879</v>
      </c>
      <c r="P953" s="140" t="s">
        <v>1862</v>
      </c>
      <c r="Q953" s="140" t="s">
        <v>1845</v>
      </c>
      <c r="R953" s="140"/>
      <c r="S953" s="140"/>
      <c r="T953" s="140"/>
      <c r="U953" s="140"/>
      <c r="V953" s="140"/>
      <c r="W953" s="140"/>
      <c r="X953" s="128"/>
      <c r="Y953" s="128"/>
      <c r="Z953" s="140"/>
      <c r="AA953" s="140"/>
      <c r="AB953" s="140"/>
      <c r="AC953" s="140"/>
      <c r="AD953" s="140"/>
      <c r="AE953" s="140"/>
      <c r="AF953" s="140"/>
      <c r="AG953" s="140"/>
      <c r="AH953" s="140"/>
      <c r="AI953" s="128"/>
      <c r="AJ953" s="137"/>
      <c r="AK953" s="140"/>
      <c r="AL953" s="140"/>
    </row>
    <row r="954" ht="15.75" customHeight="1">
      <c r="A954" s="122">
        <v>953.0</v>
      </c>
      <c r="B954" s="123" t="s">
        <v>1742</v>
      </c>
      <c r="C954" s="122" t="s">
        <v>1840</v>
      </c>
      <c r="D954" s="122" t="s">
        <v>2892</v>
      </c>
      <c r="E954" s="125" t="s">
        <v>27</v>
      </c>
      <c r="F954" s="269" t="s">
        <v>3087</v>
      </c>
      <c r="G954" s="383" t="s">
        <v>1578</v>
      </c>
      <c r="H954" s="128"/>
      <c r="I954" s="140" t="s">
        <v>1843</v>
      </c>
      <c r="J954" s="149" t="s">
        <v>1844</v>
      </c>
      <c r="K954" s="128" t="s">
        <v>1844</v>
      </c>
      <c r="L954" s="128" t="s">
        <v>1844</v>
      </c>
      <c r="M954" s="128" t="s">
        <v>1845</v>
      </c>
      <c r="N954" s="140" t="s">
        <v>1844</v>
      </c>
      <c r="O954" s="140" t="s">
        <v>1844</v>
      </c>
      <c r="P954" s="140" t="s">
        <v>1862</v>
      </c>
      <c r="Q954" s="140" t="s">
        <v>1845</v>
      </c>
      <c r="R954" s="140"/>
      <c r="S954" s="140"/>
      <c r="T954" s="140"/>
      <c r="U954" s="140"/>
      <c r="V954" s="140"/>
      <c r="W954" s="140"/>
      <c r="X954" s="128" t="s">
        <v>1845</v>
      </c>
      <c r="Y954" s="128"/>
      <c r="Z954" s="140"/>
      <c r="AA954" s="140"/>
      <c r="AB954" s="140"/>
      <c r="AC954" s="140"/>
      <c r="AD954" s="140"/>
      <c r="AE954" s="140"/>
      <c r="AF954" s="140"/>
      <c r="AG954" s="140"/>
      <c r="AH954" s="140"/>
      <c r="AI954" s="128"/>
      <c r="AJ954" s="137"/>
      <c r="AK954" s="140"/>
      <c r="AL954" s="140"/>
    </row>
    <row r="955" ht="15.75" customHeight="1">
      <c r="A955" s="122">
        <v>954.0</v>
      </c>
      <c r="B955" s="123" t="s">
        <v>1742</v>
      </c>
      <c r="C955" s="122" t="s">
        <v>1840</v>
      </c>
      <c r="D955" s="122" t="s">
        <v>2892</v>
      </c>
      <c r="E955" s="125" t="s">
        <v>34</v>
      </c>
      <c r="F955" s="269" t="s">
        <v>3161</v>
      </c>
      <c r="G955" s="383" t="s">
        <v>1580</v>
      </c>
      <c r="H955" s="128"/>
      <c r="I955" s="140" t="s">
        <v>1843</v>
      </c>
      <c r="J955" s="149" t="s">
        <v>1876</v>
      </c>
      <c r="K955" s="128" t="s">
        <v>2348</v>
      </c>
      <c r="L955" s="128" t="s">
        <v>1990</v>
      </c>
      <c r="M955" s="128" t="s">
        <v>1845</v>
      </c>
      <c r="N955" s="140" t="s">
        <v>1844</v>
      </c>
      <c r="O955" s="140" t="s">
        <v>1879</v>
      </c>
      <c r="P955" s="140" t="s">
        <v>1862</v>
      </c>
      <c r="Q955" s="140" t="s">
        <v>1845</v>
      </c>
      <c r="R955" s="140"/>
      <c r="S955" s="140"/>
      <c r="T955" s="140"/>
      <c r="U955" s="140"/>
      <c r="V955" s="140"/>
      <c r="W955" s="140"/>
      <c r="X955" s="128" t="s">
        <v>1845</v>
      </c>
      <c r="Y955" s="128"/>
      <c r="Z955" s="140"/>
      <c r="AA955" s="140"/>
      <c r="AB955" s="140"/>
      <c r="AC955" s="140"/>
      <c r="AD955" s="140"/>
      <c r="AE955" s="140"/>
      <c r="AF955" s="140"/>
      <c r="AG955" s="140"/>
      <c r="AH955" s="140"/>
      <c r="AI955" s="128"/>
      <c r="AJ955" s="137"/>
      <c r="AK955" s="140"/>
      <c r="AL955" s="140"/>
    </row>
    <row r="956" ht="15.75" customHeight="1">
      <c r="A956" s="122">
        <v>955.0</v>
      </c>
      <c r="B956" s="138">
        <f>SUM(A956+10000)</f>
        <v>10955</v>
      </c>
      <c r="C956" s="122" t="s">
        <v>1840</v>
      </c>
      <c r="D956" s="122" t="s">
        <v>2892</v>
      </c>
      <c r="E956" s="125" t="s">
        <v>20</v>
      </c>
      <c r="F956" s="269" t="s">
        <v>3162</v>
      </c>
      <c r="G956" s="383" t="s">
        <v>3163</v>
      </c>
      <c r="H956" s="128"/>
      <c r="I956" s="140" t="s">
        <v>1843</v>
      </c>
      <c r="J956" s="149" t="s">
        <v>1844</v>
      </c>
      <c r="K956" s="128" t="s">
        <v>1844</v>
      </c>
      <c r="L956" s="128" t="s">
        <v>1878</v>
      </c>
      <c r="M956" s="128" t="s">
        <v>1845</v>
      </c>
      <c r="N956" s="140" t="s">
        <v>1844</v>
      </c>
      <c r="O956" s="140" t="s">
        <v>1844</v>
      </c>
      <c r="P956" s="140" t="s">
        <v>1862</v>
      </c>
      <c r="Q956" s="140"/>
      <c r="R956" s="140"/>
      <c r="S956" s="140"/>
      <c r="T956" s="140"/>
      <c r="U956" s="140"/>
      <c r="V956" s="140"/>
      <c r="W956" s="140"/>
      <c r="X956" s="128"/>
      <c r="Y956" s="128"/>
      <c r="Z956" s="140"/>
      <c r="AA956" s="140"/>
      <c r="AB956" s="140"/>
      <c r="AC956" s="140"/>
      <c r="AD956" s="140"/>
      <c r="AE956" s="140"/>
      <c r="AF956" s="140"/>
      <c r="AG956" s="140"/>
      <c r="AH956" s="140"/>
      <c r="AI956" s="128"/>
      <c r="AJ956" s="137"/>
      <c r="AK956" s="140"/>
      <c r="AL956" s="140"/>
    </row>
    <row r="957" ht="15.75" customHeight="1">
      <c r="A957" s="122">
        <v>956.0</v>
      </c>
      <c r="B957" s="123" t="s">
        <v>1742</v>
      </c>
      <c r="C957" s="122" t="s">
        <v>1840</v>
      </c>
      <c r="D957" s="122" t="s">
        <v>2892</v>
      </c>
      <c r="E957" s="125" t="s">
        <v>20</v>
      </c>
      <c r="F957" s="269" t="s">
        <v>3164</v>
      </c>
      <c r="G957" s="389" t="s">
        <v>1583</v>
      </c>
      <c r="H957" s="128"/>
      <c r="I957" s="140" t="s">
        <v>1843</v>
      </c>
      <c r="J957" s="149" t="s">
        <v>1844</v>
      </c>
      <c r="K957" s="128" t="s">
        <v>1844</v>
      </c>
      <c r="L957" s="128" t="s">
        <v>1844</v>
      </c>
      <c r="M957" s="128" t="s">
        <v>1845</v>
      </c>
      <c r="N957" s="140" t="s">
        <v>1844</v>
      </c>
      <c r="O957" s="140" t="s">
        <v>1844</v>
      </c>
      <c r="P957" s="140" t="s">
        <v>1895</v>
      </c>
      <c r="Q957" s="140" t="s">
        <v>1845</v>
      </c>
      <c r="R957" s="140"/>
      <c r="S957" s="140"/>
      <c r="T957" s="140"/>
      <c r="U957" s="140"/>
      <c r="V957" s="140"/>
      <c r="W957" s="140" t="s">
        <v>1845</v>
      </c>
      <c r="X957" s="128"/>
      <c r="Y957" s="128"/>
      <c r="Z957" s="140"/>
      <c r="AA957" s="140"/>
      <c r="AB957" s="140"/>
      <c r="AC957" s="140"/>
      <c r="AD957" s="140"/>
      <c r="AE957" s="140"/>
      <c r="AF957" s="140"/>
      <c r="AG957" s="140"/>
      <c r="AH957" s="140"/>
      <c r="AI957" s="128"/>
      <c r="AJ957" s="137"/>
      <c r="AK957" s="140"/>
      <c r="AL957" s="140"/>
    </row>
    <row r="958" ht="15.75" customHeight="1">
      <c r="A958" s="122">
        <v>957.0</v>
      </c>
      <c r="B958" s="123" t="s">
        <v>1742</v>
      </c>
      <c r="C958" s="122" t="s">
        <v>1840</v>
      </c>
      <c r="D958" s="122" t="s">
        <v>2892</v>
      </c>
      <c r="E958" s="125" t="s">
        <v>7</v>
      </c>
      <c r="F958" s="269" t="s">
        <v>3165</v>
      </c>
      <c r="G958" s="383" t="s">
        <v>1585</v>
      </c>
      <c r="H958" s="128"/>
      <c r="I958" s="140" t="s">
        <v>1843</v>
      </c>
      <c r="J958" s="149" t="s">
        <v>1844</v>
      </c>
      <c r="K958" s="128" t="s">
        <v>1844</v>
      </c>
      <c r="L958" s="128" t="s">
        <v>1844</v>
      </c>
      <c r="M958" s="128" t="s">
        <v>1844</v>
      </c>
      <c r="N958" s="140" t="s">
        <v>1844</v>
      </c>
      <c r="O958" s="140" t="s">
        <v>1844</v>
      </c>
      <c r="P958" s="140" t="s">
        <v>1844</v>
      </c>
      <c r="Q958" s="140" t="s">
        <v>1845</v>
      </c>
      <c r="R958" s="140"/>
      <c r="S958" s="140"/>
      <c r="T958" s="140"/>
      <c r="U958" s="140"/>
      <c r="V958" s="140"/>
      <c r="W958" s="140"/>
      <c r="X958" s="128" t="s">
        <v>1845</v>
      </c>
      <c r="Y958" s="128"/>
      <c r="Z958" s="140" t="s">
        <v>1845</v>
      </c>
      <c r="AA958" s="140"/>
      <c r="AB958" s="140"/>
      <c r="AC958" s="140"/>
      <c r="AD958" s="140"/>
      <c r="AE958" s="140"/>
      <c r="AF958" s="140"/>
      <c r="AG958" s="140"/>
      <c r="AH958" s="140"/>
      <c r="AI958" s="128"/>
      <c r="AJ958" s="137"/>
      <c r="AK958" s="140"/>
      <c r="AL958" s="140"/>
    </row>
    <row r="959" ht="15.75" customHeight="1">
      <c r="A959" s="122">
        <v>958.0</v>
      </c>
      <c r="B959" s="138">
        <f t="shared" ref="B959:B961" si="98">SUM(A959+10000)</f>
        <v>10958</v>
      </c>
      <c r="C959" s="122" t="s">
        <v>1840</v>
      </c>
      <c r="D959" s="122" t="s">
        <v>2892</v>
      </c>
      <c r="E959" s="125" t="s">
        <v>34</v>
      </c>
      <c r="F959" s="126" t="s">
        <v>3166</v>
      </c>
      <c r="G959" s="127" t="s">
        <v>1586</v>
      </c>
      <c r="H959" s="140" t="s">
        <v>1844</v>
      </c>
      <c r="I959" s="128" t="s">
        <v>1843</v>
      </c>
      <c r="J959" s="186" t="s">
        <v>1876</v>
      </c>
      <c r="K959" s="170" t="s">
        <v>2348</v>
      </c>
      <c r="L959" s="136" t="s">
        <v>1844</v>
      </c>
      <c r="M959" s="136" t="s">
        <v>1845</v>
      </c>
      <c r="N959" s="144" t="s">
        <v>1844</v>
      </c>
      <c r="O959" s="140" t="s">
        <v>1879</v>
      </c>
      <c r="P959" s="140" t="s">
        <v>1895</v>
      </c>
      <c r="Q959" s="140"/>
      <c r="R959" s="140"/>
      <c r="S959" s="140"/>
      <c r="T959" s="140"/>
      <c r="U959" s="140"/>
      <c r="V959" s="140"/>
      <c r="W959" s="140"/>
      <c r="X959" s="128"/>
      <c r="Y959" s="128"/>
      <c r="Z959" s="140"/>
      <c r="AA959" s="140"/>
      <c r="AB959" s="140"/>
      <c r="AC959" s="140"/>
      <c r="AD959" s="140"/>
      <c r="AE959" s="140"/>
      <c r="AF959" s="140"/>
      <c r="AG959" s="140"/>
      <c r="AH959" s="140"/>
      <c r="AI959" s="128"/>
      <c r="AJ959" s="137"/>
      <c r="AK959" s="140"/>
      <c r="AL959" s="140"/>
    </row>
    <row r="960" ht="15.75" customHeight="1">
      <c r="A960" s="122">
        <v>959.0</v>
      </c>
      <c r="B960" s="138">
        <f t="shared" si="98"/>
        <v>10959</v>
      </c>
      <c r="C960" s="122" t="s">
        <v>1840</v>
      </c>
      <c r="D960" s="122" t="s">
        <v>2892</v>
      </c>
      <c r="E960" s="125" t="s">
        <v>27</v>
      </c>
      <c r="F960" s="269" t="s">
        <v>3167</v>
      </c>
      <c r="G960" s="383" t="s">
        <v>3168</v>
      </c>
      <c r="H960" s="128"/>
      <c r="I960" s="140" t="s">
        <v>1843</v>
      </c>
      <c r="J960" s="149" t="s">
        <v>1844</v>
      </c>
      <c r="K960" s="128" t="s">
        <v>1844</v>
      </c>
      <c r="L960" s="128" t="s">
        <v>1844</v>
      </c>
      <c r="M960" s="128" t="s">
        <v>1845</v>
      </c>
      <c r="N960" s="140" t="s">
        <v>1844</v>
      </c>
      <c r="O960" s="140" t="s">
        <v>1844</v>
      </c>
      <c r="P960" s="140" t="s">
        <v>1862</v>
      </c>
      <c r="Q960" s="140"/>
      <c r="R960" s="140"/>
      <c r="S960" s="140"/>
      <c r="T960" s="140"/>
      <c r="U960" s="140"/>
      <c r="V960" s="140"/>
      <c r="W960" s="140"/>
      <c r="X960" s="128"/>
      <c r="Y960" s="128"/>
      <c r="Z960" s="140"/>
      <c r="AA960" s="140"/>
      <c r="AB960" s="140"/>
      <c r="AC960" s="140"/>
      <c r="AD960" s="140"/>
      <c r="AE960" s="140"/>
      <c r="AF960" s="140"/>
      <c r="AG960" s="140"/>
      <c r="AH960" s="140"/>
      <c r="AI960" s="128" t="s">
        <v>1845</v>
      </c>
      <c r="AJ960" s="137"/>
      <c r="AK960" s="140"/>
      <c r="AL960" s="140"/>
    </row>
    <row r="961" ht="15.75" customHeight="1">
      <c r="A961" s="122">
        <v>960.0</v>
      </c>
      <c r="B961" s="138">
        <f t="shared" si="98"/>
        <v>10960</v>
      </c>
      <c r="C961" s="122" t="s">
        <v>1840</v>
      </c>
      <c r="D961" s="122" t="s">
        <v>2892</v>
      </c>
      <c r="E961" s="125" t="s">
        <v>27</v>
      </c>
      <c r="F961" s="269" t="s">
        <v>3169</v>
      </c>
      <c r="G961" s="383" t="s">
        <v>3170</v>
      </c>
      <c r="H961" s="128"/>
      <c r="I961" s="140" t="s">
        <v>1843</v>
      </c>
      <c r="J961" s="149" t="s">
        <v>1844</v>
      </c>
      <c r="K961" s="128" t="s">
        <v>1844</v>
      </c>
      <c r="L961" s="128" t="s">
        <v>1844</v>
      </c>
      <c r="M961" s="128" t="s">
        <v>1845</v>
      </c>
      <c r="N961" s="140" t="s">
        <v>1844</v>
      </c>
      <c r="O961" s="140" t="s">
        <v>1844</v>
      </c>
      <c r="P961" s="140" t="s">
        <v>1862</v>
      </c>
      <c r="Q961" s="140"/>
      <c r="R961" s="140"/>
      <c r="S961" s="140" t="s">
        <v>1845</v>
      </c>
      <c r="T961" s="140"/>
      <c r="U961" s="140"/>
      <c r="V961" s="140"/>
      <c r="W961" s="140"/>
      <c r="X961" s="128"/>
      <c r="Y961" s="128"/>
      <c r="Z961" s="140"/>
      <c r="AA961" s="140"/>
      <c r="AB961" s="140"/>
      <c r="AC961" s="140"/>
      <c r="AD961" s="140"/>
      <c r="AE961" s="140"/>
      <c r="AF961" s="140"/>
      <c r="AG961" s="140"/>
      <c r="AH961" s="140"/>
      <c r="AI961" s="128"/>
      <c r="AJ961" s="137"/>
      <c r="AK961" s="140"/>
      <c r="AL961" s="140"/>
    </row>
    <row r="962" ht="15.75" customHeight="1">
      <c r="A962" s="122">
        <v>961.0</v>
      </c>
      <c r="B962" s="123" t="s">
        <v>1742</v>
      </c>
      <c r="C962" s="122" t="s">
        <v>1840</v>
      </c>
      <c r="D962" s="122" t="s">
        <v>2892</v>
      </c>
      <c r="E962" s="125" t="s">
        <v>34</v>
      </c>
      <c r="F962" s="269" t="s">
        <v>3171</v>
      </c>
      <c r="G962" s="383" t="s">
        <v>1591</v>
      </c>
      <c r="H962" s="128"/>
      <c r="I962" s="140" t="s">
        <v>1843</v>
      </c>
      <c r="J962" s="149" t="s">
        <v>1876</v>
      </c>
      <c r="K962" s="128" t="s">
        <v>2348</v>
      </c>
      <c r="L962" s="128" t="s">
        <v>1990</v>
      </c>
      <c r="M962" s="128" t="s">
        <v>1845</v>
      </c>
      <c r="N962" s="140" t="s">
        <v>1844</v>
      </c>
      <c r="O962" s="140" t="s">
        <v>1879</v>
      </c>
      <c r="P962" s="140" t="s">
        <v>1862</v>
      </c>
      <c r="Q962" s="140" t="s">
        <v>1845</v>
      </c>
      <c r="R962" s="140"/>
      <c r="S962" s="140"/>
      <c r="T962" s="140"/>
      <c r="U962" s="140"/>
      <c r="V962" s="140"/>
      <c r="W962" s="140"/>
      <c r="X962" s="128"/>
      <c r="Y962" s="128"/>
      <c r="Z962" s="140"/>
      <c r="AA962" s="140"/>
      <c r="AB962" s="140"/>
      <c r="AC962" s="140"/>
      <c r="AD962" s="140"/>
      <c r="AE962" s="140"/>
      <c r="AF962" s="140"/>
      <c r="AG962" s="140"/>
      <c r="AH962" s="140"/>
      <c r="AI962" s="128"/>
      <c r="AJ962" s="137"/>
      <c r="AK962" s="140"/>
      <c r="AL962" s="140"/>
    </row>
    <row r="963" ht="15.75" customHeight="1">
      <c r="A963" s="122">
        <v>962.0</v>
      </c>
      <c r="B963" s="138">
        <f>SUM(A963+10000)</f>
        <v>10962</v>
      </c>
      <c r="C963" s="122" t="s">
        <v>1840</v>
      </c>
      <c r="D963" s="122" t="s">
        <v>2892</v>
      </c>
      <c r="E963" s="125" t="s">
        <v>34</v>
      </c>
      <c r="F963" s="269" t="s">
        <v>3172</v>
      </c>
      <c r="G963" s="383" t="s">
        <v>1593</v>
      </c>
      <c r="H963" s="128"/>
      <c r="I963" s="140" t="s">
        <v>1843</v>
      </c>
      <c r="J963" s="149" t="s">
        <v>1876</v>
      </c>
      <c r="K963" s="128" t="s">
        <v>2348</v>
      </c>
      <c r="L963" s="128" t="s">
        <v>1844</v>
      </c>
      <c r="M963" s="128" t="s">
        <v>1845</v>
      </c>
      <c r="N963" s="140" t="s">
        <v>1844</v>
      </c>
      <c r="O963" s="140" t="s">
        <v>1879</v>
      </c>
      <c r="P963" s="140" t="s">
        <v>1862</v>
      </c>
      <c r="Q963" s="140"/>
      <c r="R963" s="140"/>
      <c r="S963" s="140"/>
      <c r="T963" s="140"/>
      <c r="U963" s="140"/>
      <c r="V963" s="140"/>
      <c r="W963" s="140" t="s">
        <v>1845</v>
      </c>
      <c r="X963" s="128"/>
      <c r="Y963" s="128"/>
      <c r="Z963" s="140"/>
      <c r="AA963" s="140"/>
      <c r="AB963" s="140"/>
      <c r="AC963" s="140"/>
      <c r="AD963" s="140"/>
      <c r="AE963" s="140"/>
      <c r="AF963" s="140"/>
      <c r="AG963" s="140"/>
      <c r="AH963" s="140"/>
      <c r="AI963" s="128"/>
      <c r="AJ963" s="137"/>
      <c r="AK963" s="140"/>
      <c r="AL963" s="140"/>
    </row>
    <row r="964" ht="15.75" customHeight="1">
      <c r="A964" s="122">
        <v>963.0</v>
      </c>
      <c r="B964" s="122" t="s">
        <v>3173</v>
      </c>
      <c r="C964" s="122" t="s">
        <v>1840</v>
      </c>
      <c r="D964" s="122" t="s">
        <v>2892</v>
      </c>
      <c r="E964" s="295" t="s">
        <v>7</v>
      </c>
      <c r="F964" s="269" t="s">
        <v>3174</v>
      </c>
      <c r="G964" s="269" t="s">
        <v>1595</v>
      </c>
      <c r="H964" s="128" t="s">
        <v>1844</v>
      </c>
      <c r="I964" s="140" t="s">
        <v>1843</v>
      </c>
      <c r="J964" s="149" t="s">
        <v>1844</v>
      </c>
      <c r="K964" s="128" t="s">
        <v>1844</v>
      </c>
      <c r="L964" s="128" t="s">
        <v>1844</v>
      </c>
      <c r="M964" s="128" t="s">
        <v>1844</v>
      </c>
      <c r="N964" s="140" t="s">
        <v>1844</v>
      </c>
      <c r="O964" s="140" t="s">
        <v>1844</v>
      </c>
      <c r="P964" s="140" t="s">
        <v>1844</v>
      </c>
      <c r="Q964" s="140" t="s">
        <v>1845</v>
      </c>
      <c r="R964" s="140"/>
      <c r="S964" s="140"/>
      <c r="T964" s="140"/>
      <c r="U964" s="140"/>
      <c r="V964" s="140"/>
      <c r="W964" s="140"/>
      <c r="X964" s="128" t="s">
        <v>1845</v>
      </c>
      <c r="Y964" s="128"/>
      <c r="Z964" s="140"/>
      <c r="AA964" s="140"/>
      <c r="AB964" s="140"/>
      <c r="AC964" s="140"/>
      <c r="AD964" s="140"/>
      <c r="AE964" s="140"/>
      <c r="AF964" s="140"/>
      <c r="AG964" s="140"/>
      <c r="AH964" s="140"/>
      <c r="AI964" s="128"/>
      <c r="AJ964" s="137"/>
      <c r="AK964" s="140"/>
      <c r="AL964" s="140"/>
    </row>
    <row r="965" ht="15.75" customHeight="1">
      <c r="A965" s="122">
        <v>964.0</v>
      </c>
      <c r="B965" s="138">
        <f>SUM(A965+10000)</f>
        <v>10964</v>
      </c>
      <c r="C965" s="122" t="s">
        <v>1840</v>
      </c>
      <c r="D965" s="122" t="s">
        <v>2892</v>
      </c>
      <c r="E965" s="125" t="s">
        <v>34</v>
      </c>
      <c r="F965" s="269" t="s">
        <v>3175</v>
      </c>
      <c r="G965" s="126" t="s">
        <v>1596</v>
      </c>
      <c r="H965" s="128"/>
      <c r="I965" s="140" t="s">
        <v>1843</v>
      </c>
      <c r="J965" s="149" t="s">
        <v>1876</v>
      </c>
      <c r="K965" s="128" t="s">
        <v>2348</v>
      </c>
      <c r="L965" s="128" t="s">
        <v>1878</v>
      </c>
      <c r="M965" s="128" t="s">
        <v>1845</v>
      </c>
      <c r="N965" s="140" t="s">
        <v>1844</v>
      </c>
      <c r="O965" s="140" t="s">
        <v>1879</v>
      </c>
      <c r="P965" s="140" t="s">
        <v>1862</v>
      </c>
      <c r="Q965" s="140" t="s">
        <v>1845</v>
      </c>
      <c r="R965" s="140"/>
      <c r="S965" s="140"/>
      <c r="T965" s="140"/>
      <c r="U965" s="140"/>
      <c r="V965" s="140"/>
      <c r="W965" s="140"/>
      <c r="X965" s="128"/>
      <c r="Y965" s="128"/>
      <c r="Z965" s="140"/>
      <c r="AA965" s="140"/>
      <c r="AB965" s="140"/>
      <c r="AC965" s="140"/>
      <c r="AD965" s="140"/>
      <c r="AE965" s="140"/>
      <c r="AF965" s="140"/>
      <c r="AG965" s="140"/>
      <c r="AH965" s="140"/>
      <c r="AI965" s="128"/>
      <c r="AJ965" s="137"/>
      <c r="AK965" s="140"/>
      <c r="AL965" s="140"/>
    </row>
    <row r="966" ht="15.75" customHeight="1">
      <c r="A966" s="122">
        <v>965.0</v>
      </c>
      <c r="B966" s="123" t="s">
        <v>1742</v>
      </c>
      <c r="C966" s="122" t="s">
        <v>1840</v>
      </c>
      <c r="D966" s="122" t="s">
        <v>2892</v>
      </c>
      <c r="E966" s="125" t="s">
        <v>34</v>
      </c>
      <c r="F966" s="269" t="s">
        <v>3146</v>
      </c>
      <c r="G966" s="126" t="s">
        <v>3176</v>
      </c>
      <c r="H966" s="128"/>
      <c r="I966" s="140" t="s">
        <v>1843</v>
      </c>
      <c r="J966" s="149" t="s">
        <v>1876</v>
      </c>
      <c r="K966" s="128" t="s">
        <v>2348</v>
      </c>
      <c r="L966" s="128" t="s">
        <v>1990</v>
      </c>
      <c r="M966" s="128" t="s">
        <v>1845</v>
      </c>
      <c r="N966" s="140" t="s">
        <v>1844</v>
      </c>
      <c r="O966" s="140" t="s">
        <v>1879</v>
      </c>
      <c r="P966" s="140" t="s">
        <v>1895</v>
      </c>
      <c r="Q966" s="140" t="s">
        <v>1845</v>
      </c>
      <c r="R966" s="140"/>
      <c r="S966" s="140"/>
      <c r="T966" s="140"/>
      <c r="U966" s="140"/>
      <c r="V966" s="140"/>
      <c r="W966" s="140"/>
      <c r="X966" s="128"/>
      <c r="Y966" s="128"/>
      <c r="Z966" s="140"/>
      <c r="AA966" s="140"/>
      <c r="AB966" s="140"/>
      <c r="AC966" s="140"/>
      <c r="AD966" s="140"/>
      <c r="AE966" s="140"/>
      <c r="AF966" s="140"/>
      <c r="AG966" s="140"/>
      <c r="AH966" s="140"/>
      <c r="AI966" s="128"/>
      <c r="AJ966" s="137"/>
      <c r="AK966" s="140"/>
      <c r="AL966" s="140"/>
    </row>
    <row r="967" ht="15.75" customHeight="1">
      <c r="A967" s="122">
        <v>966.0</v>
      </c>
      <c r="B967" s="138">
        <f>SUM(A967+10000)</f>
        <v>10966</v>
      </c>
      <c r="C967" s="122" t="s">
        <v>1840</v>
      </c>
      <c r="D967" s="122" t="s">
        <v>2892</v>
      </c>
      <c r="E967" s="125" t="s">
        <v>27</v>
      </c>
      <c r="F967" s="269" t="s">
        <v>3177</v>
      </c>
      <c r="G967" s="383" t="s">
        <v>3178</v>
      </c>
      <c r="H967" s="128"/>
      <c r="I967" s="140" t="s">
        <v>1843</v>
      </c>
      <c r="J967" s="149" t="s">
        <v>1844</v>
      </c>
      <c r="K967" s="128" t="s">
        <v>1844</v>
      </c>
      <c r="L967" s="128" t="s">
        <v>1844</v>
      </c>
      <c r="M967" s="128" t="s">
        <v>1845</v>
      </c>
      <c r="N967" s="140" t="s">
        <v>1844</v>
      </c>
      <c r="O967" s="140" t="s">
        <v>1844</v>
      </c>
      <c r="P967" s="140" t="s">
        <v>1844</v>
      </c>
      <c r="Q967" s="140"/>
      <c r="R967" s="140"/>
      <c r="S967" s="140"/>
      <c r="T967" s="140"/>
      <c r="U967" s="140"/>
      <c r="V967" s="140"/>
      <c r="W967" s="140" t="s">
        <v>1845</v>
      </c>
      <c r="X967" s="128"/>
      <c r="Y967" s="128"/>
      <c r="Z967" s="140"/>
      <c r="AA967" s="140"/>
      <c r="AB967" s="140"/>
      <c r="AC967" s="140"/>
      <c r="AD967" s="140"/>
      <c r="AE967" s="140"/>
      <c r="AF967" s="140"/>
      <c r="AG967" s="140"/>
      <c r="AH967" s="140"/>
      <c r="AI967" s="128"/>
      <c r="AJ967" s="137"/>
      <c r="AK967" s="140"/>
      <c r="AL967" s="140"/>
    </row>
    <row r="968" ht="15.75" customHeight="1">
      <c r="A968" s="122">
        <v>967.0</v>
      </c>
      <c r="B968" s="123" t="s">
        <v>1742</v>
      </c>
      <c r="C968" s="122" t="s">
        <v>1840</v>
      </c>
      <c r="D968" s="122" t="s">
        <v>2892</v>
      </c>
      <c r="E968" s="125" t="s">
        <v>34</v>
      </c>
      <c r="F968" s="269" t="s">
        <v>3179</v>
      </c>
      <c r="G968" s="383" t="s">
        <v>1602</v>
      </c>
      <c r="H968" s="128"/>
      <c r="I968" s="140" t="s">
        <v>1843</v>
      </c>
      <c r="J968" s="149" t="s">
        <v>1902</v>
      </c>
      <c r="K968" s="128" t="s">
        <v>1877</v>
      </c>
      <c r="L968" s="128" t="s">
        <v>1878</v>
      </c>
      <c r="M968" s="128" t="s">
        <v>1845</v>
      </c>
      <c r="N968" s="140" t="s">
        <v>1903</v>
      </c>
      <c r="O968" s="140" t="s">
        <v>1879</v>
      </c>
      <c r="P968" s="144" t="s">
        <v>1862</v>
      </c>
      <c r="Q968" s="140" t="s">
        <v>1845</v>
      </c>
      <c r="R968" s="140"/>
      <c r="S968" s="140"/>
      <c r="T968" s="140"/>
      <c r="U968" s="140"/>
      <c r="V968" s="140"/>
      <c r="W968" s="140"/>
      <c r="X968" s="128"/>
      <c r="Y968" s="128"/>
      <c r="Z968" s="140"/>
      <c r="AA968" s="140"/>
      <c r="AB968" s="140"/>
      <c r="AC968" s="140"/>
      <c r="AD968" s="140"/>
      <c r="AE968" s="140"/>
      <c r="AF968" s="140"/>
      <c r="AG968" s="140"/>
      <c r="AH968" s="140"/>
      <c r="AI968" s="128"/>
      <c r="AJ968" s="137"/>
      <c r="AK968" s="140"/>
      <c r="AL968" s="140"/>
    </row>
    <row r="969" ht="15.75" customHeight="1">
      <c r="A969" s="122">
        <v>968.0</v>
      </c>
      <c r="B969" s="138">
        <f t="shared" ref="B969:B970" si="99">SUM(A969+10000)</f>
        <v>10968</v>
      </c>
      <c r="C969" s="122" t="s">
        <v>1840</v>
      </c>
      <c r="D969" s="122" t="s">
        <v>2677</v>
      </c>
      <c r="E969" s="295" t="s">
        <v>7</v>
      </c>
      <c r="F969" s="126" t="s">
        <v>3180</v>
      </c>
      <c r="G969" s="127" t="s">
        <v>1604</v>
      </c>
      <c r="H969" s="128"/>
      <c r="I969" s="140" t="s">
        <v>1843</v>
      </c>
      <c r="J969" s="149" t="s">
        <v>1844</v>
      </c>
      <c r="K969" s="128" t="s">
        <v>1844</v>
      </c>
      <c r="L969" s="128" t="s">
        <v>1844</v>
      </c>
      <c r="M969" s="128" t="s">
        <v>1844</v>
      </c>
      <c r="N969" s="140" t="s">
        <v>1844</v>
      </c>
      <c r="O969" s="140" t="s">
        <v>1844</v>
      </c>
      <c r="P969" s="140" t="s">
        <v>1844</v>
      </c>
      <c r="Q969" s="140"/>
      <c r="R969" s="140" t="s">
        <v>1845</v>
      </c>
      <c r="S969" s="140" t="s">
        <v>1845</v>
      </c>
      <c r="T969" s="140" t="s">
        <v>1845</v>
      </c>
      <c r="U969" s="140"/>
      <c r="V969" s="140"/>
      <c r="W969" s="140"/>
      <c r="X969" s="128"/>
      <c r="Y969" s="128"/>
      <c r="Z969" s="140" t="s">
        <v>1845</v>
      </c>
      <c r="AA969" s="140"/>
      <c r="AB969" s="140"/>
      <c r="AC969" s="140"/>
      <c r="AD969" s="140"/>
      <c r="AE969" s="140"/>
      <c r="AF969" s="140"/>
      <c r="AG969" s="140"/>
      <c r="AH969" s="140"/>
      <c r="AI969" s="128"/>
      <c r="AJ969" s="137"/>
      <c r="AK969" s="140"/>
      <c r="AL969" s="140"/>
    </row>
    <row r="970" ht="15.75" customHeight="1">
      <c r="A970" s="122">
        <v>969.0</v>
      </c>
      <c r="B970" s="138">
        <f t="shared" si="99"/>
        <v>10969</v>
      </c>
      <c r="C970" s="250" t="s">
        <v>1840</v>
      </c>
      <c r="D970" s="122" t="s">
        <v>2677</v>
      </c>
      <c r="E970" s="125" t="s">
        <v>20</v>
      </c>
      <c r="F970" s="272" t="s">
        <v>3181</v>
      </c>
      <c r="G970" s="127" t="s">
        <v>1606</v>
      </c>
      <c r="H970" s="140" t="s">
        <v>1844</v>
      </c>
      <c r="I970" s="128" t="s">
        <v>1843</v>
      </c>
      <c r="J970" s="186" t="s">
        <v>1844</v>
      </c>
      <c r="K970" s="136" t="s">
        <v>1844</v>
      </c>
      <c r="L970" s="136" t="s">
        <v>1878</v>
      </c>
      <c r="M970" s="136" t="s">
        <v>1845</v>
      </c>
      <c r="N970" s="144" t="s">
        <v>1844</v>
      </c>
      <c r="O970" s="140" t="s">
        <v>1844</v>
      </c>
      <c r="P970" s="128" t="s">
        <v>1862</v>
      </c>
      <c r="Q970" s="140"/>
      <c r="R970" s="140"/>
      <c r="S970" s="140" t="s">
        <v>1845</v>
      </c>
      <c r="T970" s="140"/>
      <c r="U970" s="140"/>
      <c r="V970" s="140"/>
      <c r="W970" s="140"/>
      <c r="X970" s="128"/>
      <c r="Y970" s="128"/>
      <c r="Z970" s="140"/>
      <c r="AA970" s="140"/>
      <c r="AB970" s="140"/>
      <c r="AC970" s="140"/>
      <c r="AD970" s="140"/>
      <c r="AE970" s="140"/>
      <c r="AF970" s="140"/>
      <c r="AG970" s="140"/>
      <c r="AH970" s="140"/>
      <c r="AI970" s="128"/>
      <c r="AJ970" s="137"/>
      <c r="AK970" s="140"/>
      <c r="AL970" s="140"/>
    </row>
    <row r="971" ht="15.75" customHeight="1">
      <c r="A971" s="122">
        <v>970.0</v>
      </c>
      <c r="B971" s="123" t="s">
        <v>1742</v>
      </c>
      <c r="C971" s="122" t="s">
        <v>1840</v>
      </c>
      <c r="D971" s="122" t="s">
        <v>3182</v>
      </c>
      <c r="E971" s="125" t="s">
        <v>27</v>
      </c>
      <c r="F971" s="390" t="s">
        <v>3183</v>
      </c>
      <c r="G971" s="383" t="s">
        <v>3184</v>
      </c>
      <c r="H971" s="305"/>
      <c r="I971" s="140" t="s">
        <v>1843</v>
      </c>
      <c r="J971" s="149" t="s">
        <v>1844</v>
      </c>
      <c r="K971" s="128" t="s">
        <v>1844</v>
      </c>
      <c r="L971" s="128" t="s">
        <v>1961</v>
      </c>
      <c r="M971" s="128" t="s">
        <v>1845</v>
      </c>
      <c r="N971" s="140" t="s">
        <v>1844</v>
      </c>
      <c r="O971" s="140" t="s">
        <v>1844</v>
      </c>
      <c r="P971" s="140" t="s">
        <v>1862</v>
      </c>
      <c r="Q971" s="140" t="s">
        <v>1845</v>
      </c>
      <c r="R971" s="140"/>
      <c r="S971" s="140"/>
      <c r="T971" s="140"/>
      <c r="U971" s="140"/>
      <c r="V971" s="140"/>
      <c r="W971" s="140"/>
      <c r="X971" s="128" t="s">
        <v>1845</v>
      </c>
      <c r="Y971" s="128"/>
      <c r="Z971" s="140"/>
      <c r="AA971" s="140"/>
      <c r="AB971" s="140"/>
      <c r="AC971" s="140"/>
      <c r="AD971" s="140"/>
      <c r="AE971" s="140"/>
      <c r="AF971" s="140"/>
      <c r="AG971" s="140"/>
      <c r="AH971" s="140"/>
      <c r="AI971" s="128"/>
      <c r="AJ971" s="137"/>
      <c r="AK971" s="140"/>
      <c r="AL971" s="140"/>
    </row>
    <row r="972" ht="15.75" customHeight="1">
      <c r="A972" s="122">
        <v>971.0</v>
      </c>
      <c r="B972" s="138">
        <f t="shared" ref="B972:B975" si="100">SUM(A972+10000)</f>
        <v>10971</v>
      </c>
      <c r="C972" s="122" t="s">
        <v>1840</v>
      </c>
      <c r="D972" s="122" t="s">
        <v>3182</v>
      </c>
      <c r="E972" s="125" t="s">
        <v>20</v>
      </c>
      <c r="F972" s="391" t="s">
        <v>3185</v>
      </c>
      <c r="G972" s="390" t="s">
        <v>1610</v>
      </c>
      <c r="H972" s="128"/>
      <c r="I972" s="140" t="s">
        <v>1843</v>
      </c>
      <c r="J972" s="149" t="s">
        <v>1844</v>
      </c>
      <c r="K972" s="128" t="s">
        <v>1844</v>
      </c>
      <c r="L972" s="128" t="s">
        <v>1844</v>
      </c>
      <c r="M972" s="128" t="s">
        <v>1845</v>
      </c>
      <c r="N972" s="140" t="s">
        <v>1844</v>
      </c>
      <c r="O972" s="140" t="s">
        <v>1844</v>
      </c>
      <c r="P972" s="140" t="s">
        <v>1895</v>
      </c>
      <c r="Q972" s="140"/>
      <c r="R972" s="140"/>
      <c r="S972" s="140"/>
      <c r="T972" s="140" t="s">
        <v>1845</v>
      </c>
      <c r="U972" s="140"/>
      <c r="V972" s="140"/>
      <c r="W972" s="140"/>
      <c r="X972" s="128"/>
      <c r="Y972" s="128"/>
      <c r="Z972" s="140"/>
      <c r="AA972" s="140"/>
      <c r="AB972" s="140"/>
      <c r="AC972" s="140"/>
      <c r="AD972" s="140"/>
      <c r="AE972" s="140"/>
      <c r="AF972" s="140"/>
      <c r="AG972" s="140"/>
      <c r="AH972" s="140"/>
      <c r="AI972" s="128"/>
      <c r="AJ972" s="137"/>
      <c r="AK972" s="140"/>
      <c r="AL972" s="140"/>
    </row>
    <row r="973" ht="15.75" customHeight="1">
      <c r="A973" s="122">
        <v>972.0</v>
      </c>
      <c r="B973" s="138">
        <f t="shared" si="100"/>
        <v>10972</v>
      </c>
      <c r="C973" s="122" t="s">
        <v>1840</v>
      </c>
      <c r="D973" s="122" t="s">
        <v>3182</v>
      </c>
      <c r="E973" s="180" t="s">
        <v>27</v>
      </c>
      <c r="F973" s="391" t="s">
        <v>3186</v>
      </c>
      <c r="G973" s="391" t="s">
        <v>1612</v>
      </c>
      <c r="H973" s="128"/>
      <c r="I973" s="140" t="s">
        <v>1843</v>
      </c>
      <c r="J973" s="149" t="s">
        <v>1844</v>
      </c>
      <c r="K973" s="128" t="s">
        <v>1844</v>
      </c>
      <c r="L973" s="128" t="s">
        <v>1961</v>
      </c>
      <c r="M973" s="128" t="s">
        <v>1845</v>
      </c>
      <c r="N973" s="140" t="s">
        <v>1844</v>
      </c>
      <c r="O973" s="140" t="s">
        <v>1844</v>
      </c>
      <c r="P973" s="140" t="s">
        <v>1862</v>
      </c>
      <c r="Q973" s="140"/>
      <c r="R973" s="140"/>
      <c r="S973" s="140"/>
      <c r="T973" s="140"/>
      <c r="U973" s="140"/>
      <c r="V973" s="140"/>
      <c r="W973" s="140"/>
      <c r="X973" s="128" t="s">
        <v>1845</v>
      </c>
      <c r="Y973" s="128"/>
      <c r="Z973" s="140"/>
      <c r="AA973" s="140"/>
      <c r="AB973" s="140"/>
      <c r="AC973" s="140"/>
      <c r="AD973" s="140"/>
      <c r="AE973" s="140"/>
      <c r="AF973" s="140"/>
      <c r="AG973" s="140"/>
      <c r="AH973" s="140"/>
      <c r="AI973" s="128"/>
      <c r="AJ973" s="137"/>
      <c r="AK973" s="140"/>
      <c r="AL973" s="140"/>
    </row>
    <row r="974" ht="15.75" customHeight="1">
      <c r="A974" s="122">
        <v>973.0</v>
      </c>
      <c r="B974" s="138">
        <f t="shared" si="100"/>
        <v>10973</v>
      </c>
      <c r="C974" s="122" t="s">
        <v>1840</v>
      </c>
      <c r="D974" s="138" t="s">
        <v>3182</v>
      </c>
      <c r="E974" s="122" t="s">
        <v>34</v>
      </c>
      <c r="F974" s="391" t="s">
        <v>3187</v>
      </c>
      <c r="G974" s="383" t="s">
        <v>1614</v>
      </c>
      <c r="H974" s="128"/>
      <c r="I974" s="140" t="s">
        <v>1906</v>
      </c>
      <c r="J974" s="149" t="s">
        <v>1902</v>
      </c>
      <c r="K974" s="128" t="s">
        <v>1877</v>
      </c>
      <c r="L974" s="128" t="s">
        <v>1878</v>
      </c>
      <c r="M974" s="128" t="s">
        <v>1845</v>
      </c>
      <c r="N974" s="140">
        <v>1.0</v>
      </c>
      <c r="O974" s="140" t="s">
        <v>1879</v>
      </c>
      <c r="P974" s="144" t="s">
        <v>1862</v>
      </c>
      <c r="Q974" s="140"/>
      <c r="R974" s="140"/>
      <c r="S974" s="140"/>
      <c r="T974" s="140"/>
      <c r="U974" s="140"/>
      <c r="V974" s="140" t="s">
        <v>1845</v>
      </c>
      <c r="W974" s="140"/>
      <c r="X974" s="128"/>
      <c r="Y974" s="128"/>
      <c r="Z974" s="140"/>
      <c r="AA974" s="140"/>
      <c r="AB974" s="140"/>
      <c r="AC974" s="140"/>
      <c r="AD974" s="140"/>
      <c r="AE974" s="140"/>
      <c r="AF974" s="140"/>
      <c r="AG974" s="140"/>
      <c r="AH974" s="140"/>
      <c r="AI974" s="128"/>
      <c r="AJ974" s="137"/>
      <c r="AK974" s="140"/>
      <c r="AL974" s="140"/>
    </row>
    <row r="975" ht="15.75" customHeight="1">
      <c r="A975" s="122">
        <v>974.0</v>
      </c>
      <c r="B975" s="138">
        <f t="shared" si="100"/>
        <v>10974</v>
      </c>
      <c r="C975" s="122" t="s">
        <v>1840</v>
      </c>
      <c r="D975" s="138" t="s">
        <v>3182</v>
      </c>
      <c r="E975" s="122" t="s">
        <v>20</v>
      </c>
      <c r="F975" s="391" t="s">
        <v>3188</v>
      </c>
      <c r="G975" s="383" t="s">
        <v>1616</v>
      </c>
      <c r="H975" s="128"/>
      <c r="I975" s="140" t="s">
        <v>1906</v>
      </c>
      <c r="J975" s="149" t="s">
        <v>1844</v>
      </c>
      <c r="K975" s="128" t="s">
        <v>1844</v>
      </c>
      <c r="L975" s="128" t="s">
        <v>1844</v>
      </c>
      <c r="M975" s="128" t="s">
        <v>1845</v>
      </c>
      <c r="N975" s="140" t="s">
        <v>1844</v>
      </c>
      <c r="O975" s="140" t="s">
        <v>1844</v>
      </c>
      <c r="P975" s="140" t="s">
        <v>1862</v>
      </c>
      <c r="Q975" s="140"/>
      <c r="R975" s="140"/>
      <c r="S975" s="140"/>
      <c r="T975" s="140"/>
      <c r="U975" s="140"/>
      <c r="V975" s="140" t="s">
        <v>1845</v>
      </c>
      <c r="W975" s="140"/>
      <c r="X975" s="128"/>
      <c r="Y975" s="128"/>
      <c r="Z975" s="140"/>
      <c r="AA975" s="140"/>
      <c r="AB975" s="140"/>
      <c r="AC975" s="140"/>
      <c r="AD975" s="140"/>
      <c r="AE975" s="140"/>
      <c r="AF975" s="140"/>
      <c r="AG975" s="140"/>
      <c r="AH975" s="140"/>
      <c r="AI975" s="128"/>
      <c r="AJ975" s="137"/>
      <c r="AK975" s="140"/>
      <c r="AL975" s="140"/>
    </row>
    <row r="976" ht="15.75" customHeight="1">
      <c r="A976" s="122">
        <v>975.0</v>
      </c>
      <c r="B976" s="123" t="s">
        <v>1742</v>
      </c>
      <c r="C976" s="122" t="s">
        <v>1840</v>
      </c>
      <c r="D976" s="122" t="s">
        <v>2892</v>
      </c>
      <c r="E976" s="288" t="s">
        <v>34</v>
      </c>
      <c r="F976" s="391" t="s">
        <v>3189</v>
      </c>
      <c r="G976" s="392" t="s">
        <v>3190</v>
      </c>
      <c r="H976" s="128"/>
      <c r="I976" s="140" t="s">
        <v>1843</v>
      </c>
      <c r="J976" s="186" t="s">
        <v>1902</v>
      </c>
      <c r="K976" s="128" t="s">
        <v>1877</v>
      </c>
      <c r="L976" s="128" t="s">
        <v>1844</v>
      </c>
      <c r="M976" s="128" t="s">
        <v>1845</v>
      </c>
      <c r="N976" s="140">
        <v>1.0</v>
      </c>
      <c r="O976" s="140" t="s">
        <v>1879</v>
      </c>
      <c r="P976" s="140" t="s">
        <v>1862</v>
      </c>
      <c r="Q976" s="140" t="s">
        <v>1845</v>
      </c>
      <c r="R976" s="140"/>
      <c r="S976" s="140"/>
      <c r="T976" s="140"/>
      <c r="U976" s="140"/>
      <c r="V976" s="140"/>
      <c r="W976" s="140"/>
      <c r="X976" s="128"/>
      <c r="Y976" s="128"/>
      <c r="Z976" s="140"/>
      <c r="AA976" s="140"/>
      <c r="AB976" s="140"/>
      <c r="AC976" s="140"/>
      <c r="AD976" s="140"/>
      <c r="AE976" s="140"/>
      <c r="AF976" s="140"/>
      <c r="AG976" s="140"/>
      <c r="AH976" s="140"/>
      <c r="AI976" s="128"/>
      <c r="AJ976" s="137"/>
      <c r="AK976" s="140"/>
      <c r="AL976" s="140"/>
    </row>
    <row r="977" ht="15.75" customHeight="1">
      <c r="A977" s="122">
        <v>976.0</v>
      </c>
      <c r="B977" s="138">
        <f>SUM(A977+10000)</f>
        <v>10976</v>
      </c>
      <c r="C977" s="122" t="s">
        <v>1840</v>
      </c>
      <c r="D977" s="122" t="s">
        <v>2069</v>
      </c>
      <c r="E977" s="125" t="s">
        <v>34</v>
      </c>
      <c r="F977" s="391" t="s">
        <v>3191</v>
      </c>
      <c r="G977" s="221" t="s">
        <v>1619</v>
      </c>
      <c r="H977" s="128" t="s">
        <v>1844</v>
      </c>
      <c r="I977" s="140" t="s">
        <v>1843</v>
      </c>
      <c r="J977" s="149" t="s">
        <v>1876</v>
      </c>
      <c r="K977" s="128" t="s">
        <v>2348</v>
      </c>
      <c r="L977" s="128" t="s">
        <v>1844</v>
      </c>
      <c r="M977" s="128" t="s">
        <v>1845</v>
      </c>
      <c r="N977" s="140" t="s">
        <v>1844</v>
      </c>
      <c r="O977" s="140" t="s">
        <v>1879</v>
      </c>
      <c r="P977" s="140" t="s">
        <v>1862</v>
      </c>
      <c r="Q977" s="140"/>
      <c r="R977" s="140" t="s">
        <v>1845</v>
      </c>
      <c r="S977" s="140" t="s">
        <v>1845</v>
      </c>
      <c r="T977" s="140"/>
      <c r="U977" s="140"/>
      <c r="V977" s="140"/>
      <c r="W977" s="140" t="s">
        <v>1845</v>
      </c>
      <c r="X977" s="128"/>
      <c r="Y977" s="128"/>
      <c r="Z977" s="140"/>
      <c r="AA977" s="140"/>
      <c r="AB977" s="140"/>
      <c r="AC977" s="140"/>
      <c r="AD977" s="140"/>
      <c r="AE977" s="140"/>
      <c r="AF977" s="140"/>
      <c r="AG977" s="140"/>
      <c r="AH977" s="140"/>
      <c r="AI977" s="128"/>
      <c r="AJ977" s="137"/>
      <c r="AK977" s="140"/>
      <c r="AL977" s="140"/>
    </row>
    <row r="978" ht="15.75" customHeight="1">
      <c r="A978" s="122">
        <v>977.0</v>
      </c>
      <c r="B978" s="123" t="s">
        <v>1742</v>
      </c>
      <c r="C978" s="122" t="s">
        <v>1840</v>
      </c>
      <c r="D978" s="122" t="s">
        <v>3192</v>
      </c>
      <c r="E978" s="125" t="s">
        <v>20</v>
      </c>
      <c r="F978" s="391" t="s">
        <v>3193</v>
      </c>
      <c r="G978" s="172" t="s">
        <v>3194</v>
      </c>
      <c r="H978" s="128" t="s">
        <v>1844</v>
      </c>
      <c r="I978" s="140" t="s">
        <v>1843</v>
      </c>
      <c r="J978" s="149" t="s">
        <v>1844</v>
      </c>
      <c r="K978" s="128" t="s">
        <v>1844</v>
      </c>
      <c r="L978" s="128" t="s">
        <v>1844</v>
      </c>
      <c r="M978" s="128" t="s">
        <v>1845</v>
      </c>
      <c r="N978" s="140" t="s">
        <v>1844</v>
      </c>
      <c r="O978" s="140" t="s">
        <v>1844</v>
      </c>
      <c r="P978" s="140" t="s">
        <v>1862</v>
      </c>
      <c r="Q978" s="140" t="s">
        <v>1845</v>
      </c>
      <c r="R978" s="140"/>
      <c r="S978" s="140"/>
      <c r="T978" s="140"/>
      <c r="U978" s="140"/>
      <c r="V978" s="140"/>
      <c r="W978" s="140"/>
      <c r="X978" s="128"/>
      <c r="Y978" s="128"/>
      <c r="Z978" s="140"/>
      <c r="AA978" s="140"/>
      <c r="AB978" s="140"/>
      <c r="AC978" s="140"/>
      <c r="AD978" s="140"/>
      <c r="AE978" s="140"/>
      <c r="AF978" s="140"/>
      <c r="AG978" s="140"/>
      <c r="AH978" s="140"/>
      <c r="AI978" s="128"/>
      <c r="AJ978" s="137"/>
      <c r="AK978" s="140"/>
      <c r="AL978" s="140"/>
    </row>
    <row r="979" ht="15.75" customHeight="1">
      <c r="A979" s="122">
        <v>978.0</v>
      </c>
      <c r="B979" s="138">
        <f t="shared" ref="B979:B980" si="101">SUM(A979+10000)</f>
        <v>10978</v>
      </c>
      <c r="C979" s="250" t="s">
        <v>1840</v>
      </c>
      <c r="D979" s="122" t="s">
        <v>2677</v>
      </c>
      <c r="E979" s="125" t="s">
        <v>34</v>
      </c>
      <c r="F979" s="127" t="s">
        <v>3195</v>
      </c>
      <c r="G979" s="269" t="s">
        <v>1623</v>
      </c>
      <c r="H979" s="128" t="s">
        <v>1844</v>
      </c>
      <c r="I979" s="140" t="s">
        <v>1843</v>
      </c>
      <c r="J979" s="149" t="s">
        <v>1876</v>
      </c>
      <c r="K979" s="128" t="s">
        <v>2348</v>
      </c>
      <c r="L979" s="128" t="s">
        <v>1878</v>
      </c>
      <c r="M979" s="128" t="s">
        <v>1845</v>
      </c>
      <c r="N979" s="140" t="s">
        <v>1844</v>
      </c>
      <c r="O979" s="140" t="s">
        <v>1879</v>
      </c>
      <c r="P979" s="140" t="s">
        <v>1862</v>
      </c>
      <c r="Q979" s="140"/>
      <c r="R979" s="140" t="s">
        <v>1845</v>
      </c>
      <c r="S979" s="140" t="s">
        <v>1845</v>
      </c>
      <c r="T979" s="140" t="s">
        <v>1845</v>
      </c>
      <c r="U979" s="140"/>
      <c r="V979" s="140"/>
      <c r="W979" s="140" t="s">
        <v>1845</v>
      </c>
      <c r="X979" s="128"/>
      <c r="Y979" s="128"/>
      <c r="Z979" s="140"/>
      <c r="AA979" s="140"/>
      <c r="AB979" s="140"/>
      <c r="AC979" s="140"/>
      <c r="AD979" s="140"/>
      <c r="AE979" s="140"/>
      <c r="AF979" s="140"/>
      <c r="AG979" s="140"/>
      <c r="AH979" s="140"/>
      <c r="AI979" s="128"/>
      <c r="AJ979" s="137"/>
      <c r="AK979" s="140"/>
      <c r="AL979" s="140"/>
    </row>
    <row r="980" ht="15.75" customHeight="1">
      <c r="A980" s="122">
        <v>979.0</v>
      </c>
      <c r="B980" s="138">
        <f t="shared" si="101"/>
        <v>10979</v>
      </c>
      <c r="C980" s="122" t="s">
        <v>1840</v>
      </c>
      <c r="D980" s="122" t="s">
        <v>2581</v>
      </c>
      <c r="E980" s="125" t="s">
        <v>7</v>
      </c>
      <c r="F980" s="391" t="s">
        <v>3196</v>
      </c>
      <c r="G980" s="127" t="s">
        <v>1625</v>
      </c>
      <c r="H980" s="128" t="s">
        <v>1844</v>
      </c>
      <c r="I980" s="140" t="s">
        <v>1844</v>
      </c>
      <c r="J980" s="149" t="s">
        <v>1844</v>
      </c>
      <c r="K980" s="128" t="s">
        <v>1844</v>
      </c>
      <c r="L980" s="128" t="s">
        <v>1844</v>
      </c>
      <c r="M980" s="128" t="s">
        <v>1844</v>
      </c>
      <c r="N980" s="140" t="s">
        <v>1844</v>
      </c>
      <c r="O980" s="140" t="s">
        <v>1844</v>
      </c>
      <c r="P980" s="140" t="s">
        <v>1844</v>
      </c>
      <c r="Q980" s="140"/>
      <c r="R980" s="140"/>
      <c r="S980" s="140" t="s">
        <v>1845</v>
      </c>
      <c r="T980" s="140"/>
      <c r="U980" s="140"/>
      <c r="V980" s="140"/>
      <c r="W980" s="140"/>
      <c r="X980" s="128" t="s">
        <v>1845</v>
      </c>
      <c r="Y980" s="128"/>
      <c r="Z980" s="140"/>
      <c r="AA980" s="140"/>
      <c r="AB980" s="140"/>
      <c r="AC980" s="140"/>
      <c r="AD980" s="140"/>
      <c r="AE980" s="140"/>
      <c r="AF980" s="140"/>
      <c r="AG980" s="140"/>
      <c r="AH980" s="140"/>
      <c r="AI980" s="128"/>
      <c r="AJ980" s="137"/>
      <c r="AK980" s="140"/>
      <c r="AL980" s="140"/>
    </row>
    <row r="981" ht="15.75" customHeight="1">
      <c r="A981" s="122">
        <v>980.0</v>
      </c>
      <c r="B981" s="123" t="s">
        <v>1742</v>
      </c>
      <c r="C981" s="122" t="s">
        <v>1840</v>
      </c>
      <c r="D981" s="122" t="s">
        <v>3182</v>
      </c>
      <c r="E981" s="125" t="s">
        <v>34</v>
      </c>
      <c r="F981" s="391" t="s">
        <v>3197</v>
      </c>
      <c r="G981" s="221" t="s">
        <v>3198</v>
      </c>
      <c r="H981" s="128" t="s">
        <v>1844</v>
      </c>
      <c r="I981" s="140" t="s">
        <v>1843</v>
      </c>
      <c r="J981" s="149" t="s">
        <v>1902</v>
      </c>
      <c r="K981" s="128" t="s">
        <v>1877</v>
      </c>
      <c r="L981" s="128" t="s">
        <v>1878</v>
      </c>
      <c r="M981" s="128" t="s">
        <v>1845</v>
      </c>
      <c r="N981" s="140">
        <v>1.0</v>
      </c>
      <c r="O981" s="140" t="s">
        <v>1879</v>
      </c>
      <c r="P981" s="144" t="s">
        <v>1862</v>
      </c>
      <c r="Q981" s="140" t="s">
        <v>1845</v>
      </c>
      <c r="R981" s="140"/>
      <c r="S981" s="140"/>
      <c r="T981" s="140"/>
      <c r="U981" s="140"/>
      <c r="V981" s="140"/>
      <c r="W981" s="140" t="s">
        <v>1845</v>
      </c>
      <c r="X981" s="128"/>
      <c r="Y981" s="128"/>
      <c r="Z981" s="140"/>
      <c r="AA981" s="140"/>
      <c r="AB981" s="140"/>
      <c r="AC981" s="140"/>
      <c r="AD981" s="140"/>
      <c r="AE981" s="140"/>
      <c r="AF981" s="140"/>
      <c r="AG981" s="140"/>
      <c r="AH981" s="140"/>
      <c r="AI981" s="128"/>
      <c r="AJ981" s="137"/>
      <c r="AK981" s="140"/>
      <c r="AL981" s="140"/>
    </row>
    <row r="982" ht="15.75" customHeight="1">
      <c r="A982" s="122">
        <v>981.0</v>
      </c>
      <c r="B982" s="138">
        <f t="shared" ref="B982:B983" si="102">SUM(A982+10000)</f>
        <v>10981</v>
      </c>
      <c r="C982" s="122" t="s">
        <v>1840</v>
      </c>
      <c r="D982" s="122" t="s">
        <v>2892</v>
      </c>
      <c r="E982" s="125" t="s">
        <v>7</v>
      </c>
      <c r="F982" s="391" t="s">
        <v>3199</v>
      </c>
      <c r="G982" s="391" t="s">
        <v>1628</v>
      </c>
      <c r="H982" s="128" t="s">
        <v>1844</v>
      </c>
      <c r="I982" s="140" t="s">
        <v>1906</v>
      </c>
      <c r="J982" s="149" t="s">
        <v>1844</v>
      </c>
      <c r="K982" s="128" t="s">
        <v>1844</v>
      </c>
      <c r="L982" s="128" t="s">
        <v>1844</v>
      </c>
      <c r="M982" s="128" t="s">
        <v>1844</v>
      </c>
      <c r="N982" s="140" t="s">
        <v>1844</v>
      </c>
      <c r="O982" s="140" t="s">
        <v>1844</v>
      </c>
      <c r="P982" s="140" t="s">
        <v>1844</v>
      </c>
      <c r="Q982" s="140"/>
      <c r="R982" s="140"/>
      <c r="S982" s="140"/>
      <c r="T982" s="140"/>
      <c r="U982" s="140"/>
      <c r="V982" s="140" t="s">
        <v>1845</v>
      </c>
      <c r="W982" s="140" t="s">
        <v>1845</v>
      </c>
      <c r="X982" s="128"/>
      <c r="Y982" s="128"/>
      <c r="Z982" s="140"/>
      <c r="AA982" s="140"/>
      <c r="AB982" s="140"/>
      <c r="AC982" s="140"/>
      <c r="AD982" s="140"/>
      <c r="AE982" s="140"/>
      <c r="AF982" s="140"/>
      <c r="AG982" s="140"/>
      <c r="AH982" s="140"/>
      <c r="AI982" s="128"/>
      <c r="AJ982" s="137"/>
      <c r="AK982" s="140"/>
      <c r="AL982" s="140"/>
    </row>
    <row r="983" ht="15.75" customHeight="1">
      <c r="A983" s="122">
        <v>982.0</v>
      </c>
      <c r="B983" s="138">
        <f t="shared" si="102"/>
        <v>10982</v>
      </c>
      <c r="C983" s="122" t="s">
        <v>1840</v>
      </c>
      <c r="D983" s="122" t="s">
        <v>2892</v>
      </c>
      <c r="E983" s="125" t="s">
        <v>7</v>
      </c>
      <c r="F983" s="126" t="s">
        <v>3200</v>
      </c>
      <c r="G983" s="127" t="s">
        <v>1630</v>
      </c>
      <c r="H983" s="128" t="s">
        <v>1844</v>
      </c>
      <c r="I983" s="140" t="s">
        <v>1843</v>
      </c>
      <c r="J983" s="149" t="s">
        <v>1844</v>
      </c>
      <c r="K983" s="128" t="s">
        <v>1844</v>
      </c>
      <c r="L983" s="128" t="s">
        <v>1844</v>
      </c>
      <c r="M983" s="128" t="s">
        <v>1844</v>
      </c>
      <c r="N983" s="140" t="s">
        <v>1844</v>
      </c>
      <c r="O983" s="140" t="s">
        <v>1844</v>
      </c>
      <c r="P983" s="140" t="s">
        <v>1844</v>
      </c>
      <c r="Q983" s="140"/>
      <c r="R983" s="140"/>
      <c r="S983" s="140" t="s">
        <v>1845</v>
      </c>
      <c r="T983" s="140" t="s">
        <v>1845</v>
      </c>
      <c r="U983" s="140"/>
      <c r="V983" s="140"/>
      <c r="W983" s="140"/>
      <c r="X983" s="128"/>
      <c r="Y983" s="128"/>
      <c r="Z983" s="140"/>
      <c r="AA983" s="140"/>
      <c r="AB983" s="140"/>
      <c r="AC983" s="140"/>
      <c r="AD983" s="140"/>
      <c r="AE983" s="140"/>
      <c r="AF983" s="140"/>
      <c r="AG983" s="140"/>
      <c r="AH983" s="140"/>
      <c r="AI983" s="128"/>
      <c r="AJ983" s="137"/>
      <c r="AK983" s="140"/>
      <c r="AL983" s="140"/>
    </row>
    <row r="984" ht="15.75" customHeight="1">
      <c r="A984" s="122">
        <v>983.0</v>
      </c>
      <c r="B984" s="123" t="s">
        <v>1742</v>
      </c>
      <c r="C984" s="122" t="s">
        <v>1840</v>
      </c>
      <c r="D984" s="122" t="s">
        <v>2125</v>
      </c>
      <c r="E984" s="125" t="s">
        <v>34</v>
      </c>
      <c r="F984" s="126" t="s">
        <v>3201</v>
      </c>
      <c r="G984" s="360" t="s">
        <v>3202</v>
      </c>
      <c r="H984" s="128" t="s">
        <v>1844</v>
      </c>
      <c r="I984" s="140" t="s">
        <v>2036</v>
      </c>
      <c r="J984" s="149" t="s">
        <v>1876</v>
      </c>
      <c r="K984" s="128" t="s">
        <v>2348</v>
      </c>
      <c r="L984" s="128" t="s">
        <v>1844</v>
      </c>
      <c r="M984" s="128" t="s">
        <v>1845</v>
      </c>
      <c r="N984" s="140" t="s">
        <v>1844</v>
      </c>
      <c r="O984" s="140" t="s">
        <v>1879</v>
      </c>
      <c r="P984" s="140" t="s">
        <v>1862</v>
      </c>
      <c r="Q984" s="140" t="s">
        <v>1845</v>
      </c>
      <c r="R984" s="140" t="s">
        <v>1845</v>
      </c>
      <c r="S984" s="140"/>
      <c r="T984" s="140"/>
      <c r="U984" s="140"/>
      <c r="V984" s="140"/>
      <c r="W984" s="140" t="s">
        <v>1845</v>
      </c>
      <c r="X984" s="128"/>
      <c r="Y984" s="128"/>
      <c r="Z984" s="140"/>
      <c r="AA984" s="140"/>
      <c r="AB984" s="140"/>
      <c r="AC984" s="140"/>
      <c r="AD984" s="140"/>
      <c r="AE984" s="140"/>
      <c r="AF984" s="140"/>
      <c r="AG984" s="140"/>
      <c r="AH984" s="140"/>
      <c r="AI984" s="128"/>
      <c r="AJ984" s="137"/>
      <c r="AK984" s="140"/>
      <c r="AL984" s="140"/>
    </row>
    <row r="985" ht="15.75" customHeight="1">
      <c r="A985" s="122">
        <v>984.0</v>
      </c>
      <c r="B985" s="123" t="s">
        <v>1742</v>
      </c>
      <c r="C985" s="122" t="s">
        <v>1840</v>
      </c>
      <c r="D985" s="122" t="s">
        <v>2125</v>
      </c>
      <c r="E985" s="125" t="s">
        <v>34</v>
      </c>
      <c r="F985" s="126" t="s">
        <v>3203</v>
      </c>
      <c r="G985" s="360" t="s">
        <v>3204</v>
      </c>
      <c r="H985" s="128" t="s">
        <v>1844</v>
      </c>
      <c r="I985" s="140" t="s">
        <v>2036</v>
      </c>
      <c r="J985" s="149" t="s">
        <v>1876</v>
      </c>
      <c r="K985" s="128" t="s">
        <v>2348</v>
      </c>
      <c r="L985" s="128" t="s">
        <v>1878</v>
      </c>
      <c r="M985" s="128" t="s">
        <v>1845</v>
      </c>
      <c r="N985" s="140" t="s">
        <v>1844</v>
      </c>
      <c r="O985" s="140" t="s">
        <v>1879</v>
      </c>
      <c r="P985" s="140" t="s">
        <v>1862</v>
      </c>
      <c r="Q985" s="140" t="s">
        <v>1845</v>
      </c>
      <c r="R985" s="140" t="s">
        <v>1845</v>
      </c>
      <c r="S985" s="140"/>
      <c r="T985" s="140"/>
      <c r="U985" s="140"/>
      <c r="V985" s="140"/>
      <c r="W985" s="140" t="s">
        <v>1845</v>
      </c>
      <c r="X985" s="128"/>
      <c r="Y985" s="128"/>
      <c r="Z985" s="140"/>
      <c r="AA985" s="140"/>
      <c r="AB985" s="140"/>
      <c r="AC985" s="140"/>
      <c r="AD985" s="140"/>
      <c r="AE985" s="140"/>
      <c r="AF985" s="140"/>
      <c r="AG985" s="140"/>
      <c r="AH985" s="140"/>
      <c r="AI985" s="128"/>
      <c r="AJ985" s="137"/>
      <c r="AK985" s="140"/>
      <c r="AL985" s="140"/>
    </row>
    <row r="986" ht="15.75" customHeight="1">
      <c r="A986" s="122">
        <v>985.0</v>
      </c>
      <c r="B986" s="123" t="s">
        <v>1742</v>
      </c>
      <c r="C986" s="122" t="s">
        <v>1840</v>
      </c>
      <c r="D986" s="122" t="s">
        <v>2125</v>
      </c>
      <c r="E986" s="125" t="s">
        <v>20</v>
      </c>
      <c r="F986" s="126" t="s">
        <v>3205</v>
      </c>
      <c r="G986" s="273" t="s">
        <v>3206</v>
      </c>
      <c r="H986" s="128" t="s">
        <v>1844</v>
      </c>
      <c r="I986" s="140" t="s">
        <v>2036</v>
      </c>
      <c r="J986" s="149" t="s">
        <v>1844</v>
      </c>
      <c r="K986" s="128" t="s">
        <v>1844</v>
      </c>
      <c r="L986" s="128" t="s">
        <v>1844</v>
      </c>
      <c r="M986" s="128" t="s">
        <v>1845</v>
      </c>
      <c r="N986" s="140" t="s">
        <v>1844</v>
      </c>
      <c r="O986" s="140" t="s">
        <v>1844</v>
      </c>
      <c r="P986" s="140" t="s">
        <v>1862</v>
      </c>
      <c r="Q986" s="140" t="s">
        <v>1845</v>
      </c>
      <c r="R986" s="140" t="s">
        <v>1845</v>
      </c>
      <c r="S986" s="140"/>
      <c r="T986" s="140"/>
      <c r="U986" s="140"/>
      <c r="V986" s="140"/>
      <c r="W986" s="140" t="s">
        <v>1845</v>
      </c>
      <c r="X986" s="128"/>
      <c r="Y986" s="128"/>
      <c r="Z986" s="140"/>
      <c r="AA986" s="140"/>
      <c r="AB986" s="140"/>
      <c r="AC986" s="140"/>
      <c r="AD986" s="140"/>
      <c r="AE986" s="140"/>
      <c r="AF986" s="140"/>
      <c r="AG986" s="140"/>
      <c r="AH986" s="140"/>
      <c r="AI986" s="128"/>
      <c r="AJ986" s="137"/>
      <c r="AK986" s="140"/>
      <c r="AL986" s="140"/>
    </row>
    <row r="987" ht="15.75" customHeight="1">
      <c r="A987" s="122">
        <v>986.0</v>
      </c>
      <c r="B987" s="138">
        <f t="shared" ref="B987:B990" si="103">SUM(A987+10000)</f>
        <v>10986</v>
      </c>
      <c r="C987" s="122" t="s">
        <v>1840</v>
      </c>
      <c r="D987" s="122" t="s">
        <v>2919</v>
      </c>
      <c r="E987" s="125" t="s">
        <v>7</v>
      </c>
      <c r="F987" s="391" t="s">
        <v>3207</v>
      </c>
      <c r="G987" s="391" t="s">
        <v>1638</v>
      </c>
      <c r="H987" s="128" t="s">
        <v>1844</v>
      </c>
      <c r="I987" s="140" t="s">
        <v>1843</v>
      </c>
      <c r="J987" s="149" t="s">
        <v>1844</v>
      </c>
      <c r="K987" s="128" t="s">
        <v>1844</v>
      </c>
      <c r="L987" s="128" t="s">
        <v>1844</v>
      </c>
      <c r="M987" s="128" t="s">
        <v>1844</v>
      </c>
      <c r="N987" s="140" t="s">
        <v>1844</v>
      </c>
      <c r="O987" s="140" t="s">
        <v>1844</v>
      </c>
      <c r="P987" s="140" t="s">
        <v>1844</v>
      </c>
      <c r="Q987" s="140"/>
      <c r="R987" s="140"/>
      <c r="S987" s="140"/>
      <c r="T987" s="140"/>
      <c r="U987" s="140"/>
      <c r="V987" s="140"/>
      <c r="W987" s="140"/>
      <c r="X987" s="128"/>
      <c r="Y987" s="128"/>
      <c r="Z987" s="140" t="s">
        <v>1845</v>
      </c>
      <c r="AA987" s="140"/>
      <c r="AB987" s="140"/>
      <c r="AC987" s="140"/>
      <c r="AD987" s="140"/>
      <c r="AE987" s="140"/>
      <c r="AF987" s="140"/>
      <c r="AG987" s="140"/>
      <c r="AH987" s="140"/>
      <c r="AI987" s="128"/>
      <c r="AJ987" s="137"/>
      <c r="AK987" s="140"/>
      <c r="AL987" s="140"/>
    </row>
    <row r="988" ht="15.75" customHeight="1">
      <c r="A988" s="122">
        <v>987.0</v>
      </c>
      <c r="B988" s="138">
        <f t="shared" si="103"/>
        <v>10987</v>
      </c>
      <c r="C988" s="122" t="s">
        <v>1840</v>
      </c>
      <c r="D988" s="122" t="s">
        <v>1841</v>
      </c>
      <c r="E988" s="125" t="s">
        <v>7</v>
      </c>
      <c r="F988" s="126" t="s">
        <v>3208</v>
      </c>
      <c r="G988" s="126" t="s">
        <v>1639</v>
      </c>
      <c r="H988" s="128" t="s">
        <v>1844</v>
      </c>
      <c r="I988" s="140" t="s">
        <v>1843</v>
      </c>
      <c r="J988" s="149" t="s">
        <v>1844</v>
      </c>
      <c r="K988" s="128" t="s">
        <v>1844</v>
      </c>
      <c r="L988" s="128" t="s">
        <v>1844</v>
      </c>
      <c r="M988" s="128" t="s">
        <v>1844</v>
      </c>
      <c r="N988" s="140" t="s">
        <v>1844</v>
      </c>
      <c r="O988" s="140" t="s">
        <v>1844</v>
      </c>
      <c r="P988" s="140" t="s">
        <v>1844</v>
      </c>
      <c r="Q988" s="140"/>
      <c r="R988" s="140"/>
      <c r="S988" s="140" t="s">
        <v>1845</v>
      </c>
      <c r="T988" s="140"/>
      <c r="U988" s="140"/>
      <c r="V988" s="140"/>
      <c r="W988" s="140"/>
      <c r="X988" s="128"/>
      <c r="Y988" s="128"/>
      <c r="Z988" s="140"/>
      <c r="AA988" s="140"/>
      <c r="AB988" s="140"/>
      <c r="AC988" s="140"/>
      <c r="AD988" s="140"/>
      <c r="AE988" s="140"/>
      <c r="AF988" s="140"/>
      <c r="AG988" s="140"/>
      <c r="AH988" s="140"/>
      <c r="AI988" s="128"/>
      <c r="AJ988" s="137"/>
      <c r="AK988" s="140"/>
      <c r="AL988" s="140"/>
    </row>
    <row r="989" ht="15.75" customHeight="1">
      <c r="A989" s="122">
        <v>988.0</v>
      </c>
      <c r="B989" s="138">
        <f t="shared" si="103"/>
        <v>10988</v>
      </c>
      <c r="C989" s="393">
        <v>2.0</v>
      </c>
      <c r="D989" s="122" t="s">
        <v>3209</v>
      </c>
      <c r="E989" s="125" t="s">
        <v>7</v>
      </c>
      <c r="F989" s="391" t="s">
        <v>3210</v>
      </c>
      <c r="G989" s="126" t="s">
        <v>1641</v>
      </c>
      <c r="H989" s="128" t="s">
        <v>1844</v>
      </c>
      <c r="I989" s="140" t="s">
        <v>1906</v>
      </c>
      <c r="J989" s="149" t="s">
        <v>1844</v>
      </c>
      <c r="K989" s="128" t="s">
        <v>1844</v>
      </c>
      <c r="L989" s="128" t="s">
        <v>1844</v>
      </c>
      <c r="M989" s="128" t="s">
        <v>1844</v>
      </c>
      <c r="N989" s="140" t="s">
        <v>1844</v>
      </c>
      <c r="O989" s="140" t="s">
        <v>1844</v>
      </c>
      <c r="P989" s="140" t="s">
        <v>1844</v>
      </c>
      <c r="Q989" s="140"/>
      <c r="R989" s="140"/>
      <c r="S989" s="140"/>
      <c r="T989" s="140"/>
      <c r="U989" s="140"/>
      <c r="V989" s="140" t="s">
        <v>1845</v>
      </c>
      <c r="W989" s="140"/>
      <c r="X989" s="128"/>
      <c r="Y989" s="128" t="s">
        <v>1845</v>
      </c>
      <c r="Z989" s="140"/>
      <c r="AA989" s="140"/>
      <c r="AB989" s="140"/>
      <c r="AC989" s="140"/>
      <c r="AD989" s="140"/>
      <c r="AE989" s="140"/>
      <c r="AF989" s="140"/>
      <c r="AG989" s="140"/>
      <c r="AH989" s="140"/>
      <c r="AI989" s="128"/>
      <c r="AJ989" s="137"/>
      <c r="AK989" s="140"/>
      <c r="AL989" s="140"/>
    </row>
    <row r="990" ht="15.75" customHeight="1">
      <c r="A990" s="122">
        <v>989.0</v>
      </c>
      <c r="B990" s="138">
        <f t="shared" si="103"/>
        <v>10989</v>
      </c>
      <c r="C990" s="122" t="s">
        <v>1840</v>
      </c>
      <c r="D990" s="122" t="s">
        <v>2892</v>
      </c>
      <c r="E990" s="125" t="s">
        <v>7</v>
      </c>
      <c r="F990" s="391" t="s">
        <v>3211</v>
      </c>
      <c r="G990" s="360" t="s">
        <v>1643</v>
      </c>
      <c r="H990" s="128" t="s">
        <v>1844</v>
      </c>
      <c r="I990" s="140" t="s">
        <v>1843</v>
      </c>
      <c r="J990" s="149" t="s">
        <v>1844</v>
      </c>
      <c r="K990" s="128" t="s">
        <v>1844</v>
      </c>
      <c r="L990" s="128" t="s">
        <v>1844</v>
      </c>
      <c r="M990" s="128" t="s">
        <v>1844</v>
      </c>
      <c r="N990" s="140" t="s">
        <v>1844</v>
      </c>
      <c r="O990" s="140" t="s">
        <v>1844</v>
      </c>
      <c r="P990" s="140" t="s">
        <v>1844</v>
      </c>
      <c r="Q990" s="140"/>
      <c r="R990" s="140"/>
      <c r="S990" s="140" t="s">
        <v>1845</v>
      </c>
      <c r="T990" s="140" t="s">
        <v>1845</v>
      </c>
      <c r="U990" s="140"/>
      <c r="V990" s="140"/>
      <c r="W990" s="140"/>
      <c r="X990" s="128"/>
      <c r="Y990" s="128"/>
      <c r="Z990" s="140"/>
      <c r="AA990" s="140"/>
      <c r="AB990" s="140"/>
      <c r="AC990" s="140"/>
      <c r="AD990" s="140"/>
      <c r="AE990" s="140"/>
      <c r="AF990" s="140"/>
      <c r="AG990" s="140"/>
      <c r="AH990" s="140"/>
      <c r="AI990" s="128"/>
      <c r="AJ990" s="137"/>
      <c r="AK990" s="140"/>
      <c r="AL990" s="140"/>
    </row>
    <row r="991" ht="15.75" customHeight="1">
      <c r="A991" s="122">
        <v>990.0</v>
      </c>
      <c r="B991" s="123" t="s">
        <v>1742</v>
      </c>
      <c r="C991" s="393">
        <v>2.0</v>
      </c>
      <c r="D991" s="122" t="s">
        <v>3192</v>
      </c>
      <c r="E991" s="125" t="s">
        <v>7</v>
      </c>
      <c r="F991" s="126" t="s">
        <v>3212</v>
      </c>
      <c r="G991" s="127" t="s">
        <v>1645</v>
      </c>
      <c r="H991" s="128" t="s">
        <v>1844</v>
      </c>
      <c r="I991" s="140" t="s">
        <v>1843</v>
      </c>
      <c r="J991" s="149" t="s">
        <v>1844</v>
      </c>
      <c r="K991" s="128" t="s">
        <v>1844</v>
      </c>
      <c r="L991" s="128" t="s">
        <v>1844</v>
      </c>
      <c r="M991" s="128" t="s">
        <v>1844</v>
      </c>
      <c r="N991" s="140" t="s">
        <v>1844</v>
      </c>
      <c r="O991" s="140" t="s">
        <v>1844</v>
      </c>
      <c r="P991" s="140" t="s">
        <v>1844</v>
      </c>
      <c r="Q991" s="140" t="s">
        <v>1845</v>
      </c>
      <c r="R991" s="140" t="s">
        <v>1845</v>
      </c>
      <c r="S991" s="140"/>
      <c r="T991" s="140"/>
      <c r="U991" s="140"/>
      <c r="V991" s="140"/>
      <c r="W991" s="140"/>
      <c r="X991" s="128"/>
      <c r="Y991" s="128"/>
      <c r="Z991" s="140"/>
      <c r="AA991" s="140"/>
      <c r="AB991" s="140"/>
      <c r="AC991" s="140"/>
      <c r="AD991" s="140"/>
      <c r="AE991" s="140"/>
      <c r="AF991" s="140"/>
      <c r="AG991" s="140"/>
      <c r="AH991" s="140"/>
      <c r="AI991" s="128"/>
      <c r="AJ991" s="137"/>
      <c r="AK991" s="140"/>
      <c r="AL991" s="140"/>
    </row>
    <row r="992" ht="15.75" customHeight="1">
      <c r="A992" s="122">
        <v>991.0</v>
      </c>
      <c r="B992" s="138">
        <f t="shared" ref="B992:B1000" si="104">SUM(A992+10000)</f>
        <v>10991</v>
      </c>
      <c r="C992" s="393">
        <v>2.0</v>
      </c>
      <c r="D992" s="122" t="s">
        <v>3209</v>
      </c>
      <c r="E992" s="125" t="s">
        <v>34</v>
      </c>
      <c r="F992" s="126" t="s">
        <v>3213</v>
      </c>
      <c r="G992" s="360" t="s">
        <v>1647</v>
      </c>
      <c r="H992" s="128" t="s">
        <v>1844</v>
      </c>
      <c r="I992" s="140" t="s">
        <v>1843</v>
      </c>
      <c r="J992" s="149" t="s">
        <v>1876</v>
      </c>
      <c r="K992" s="128" t="s">
        <v>2348</v>
      </c>
      <c r="L992" s="128" t="s">
        <v>1844</v>
      </c>
      <c r="M992" s="128" t="s">
        <v>1845</v>
      </c>
      <c r="N992" s="140" t="s">
        <v>1844</v>
      </c>
      <c r="O992" s="140" t="s">
        <v>1879</v>
      </c>
      <c r="P992" s="140" t="s">
        <v>1895</v>
      </c>
      <c r="Q992" s="140"/>
      <c r="R992" s="140" t="s">
        <v>1845</v>
      </c>
      <c r="S992" s="140"/>
      <c r="T992" s="140"/>
      <c r="U992" s="140"/>
      <c r="V992" s="140"/>
      <c r="W992" s="140" t="s">
        <v>1845</v>
      </c>
      <c r="X992" s="128"/>
      <c r="Y992" s="128"/>
      <c r="Z992" s="140"/>
      <c r="AA992" s="140"/>
      <c r="AB992" s="140"/>
      <c r="AC992" s="140"/>
      <c r="AD992" s="140"/>
      <c r="AE992" s="140"/>
      <c r="AF992" s="140"/>
      <c r="AG992" s="140"/>
      <c r="AH992" s="140"/>
      <c r="AI992" s="128"/>
      <c r="AJ992" s="137"/>
      <c r="AK992" s="140"/>
      <c r="AL992" s="140"/>
    </row>
    <row r="993" ht="15.75" customHeight="1">
      <c r="A993" s="122">
        <v>992.0</v>
      </c>
      <c r="B993" s="138">
        <f t="shared" si="104"/>
        <v>10992</v>
      </c>
      <c r="C993" s="393">
        <v>2.0</v>
      </c>
      <c r="D993" s="122" t="s">
        <v>3209</v>
      </c>
      <c r="E993" s="125" t="s">
        <v>34</v>
      </c>
      <c r="F993" s="126" t="s">
        <v>3214</v>
      </c>
      <c r="G993" s="360" t="s">
        <v>1649</v>
      </c>
      <c r="H993" s="128" t="s">
        <v>1844</v>
      </c>
      <c r="I993" s="140" t="s">
        <v>1843</v>
      </c>
      <c r="J993" s="149" t="s">
        <v>1876</v>
      </c>
      <c r="K993" s="128" t="s">
        <v>2348</v>
      </c>
      <c r="L993" s="128" t="s">
        <v>1844</v>
      </c>
      <c r="M993" s="128" t="s">
        <v>1845</v>
      </c>
      <c r="N993" s="140" t="s">
        <v>1844</v>
      </c>
      <c r="O993" s="140" t="s">
        <v>1879</v>
      </c>
      <c r="P993" s="140" t="s">
        <v>1895</v>
      </c>
      <c r="Q993" s="140"/>
      <c r="R993" s="140" t="s">
        <v>1845</v>
      </c>
      <c r="S993" s="140" t="s">
        <v>1845</v>
      </c>
      <c r="T993" s="140"/>
      <c r="U993" s="140"/>
      <c r="V993" s="140"/>
      <c r="W993" s="140" t="s">
        <v>1845</v>
      </c>
      <c r="X993" s="128"/>
      <c r="Y993" s="128"/>
      <c r="Z993" s="140"/>
      <c r="AA993" s="140"/>
      <c r="AB993" s="140"/>
      <c r="AC993" s="140"/>
      <c r="AD993" s="140"/>
      <c r="AE993" s="140"/>
      <c r="AF993" s="140"/>
      <c r="AG993" s="140"/>
      <c r="AH993" s="140"/>
      <c r="AI993" s="128"/>
      <c r="AJ993" s="137"/>
      <c r="AK993" s="140"/>
      <c r="AL993" s="140"/>
    </row>
    <row r="994" ht="15.75" customHeight="1">
      <c r="A994" s="122">
        <v>993.0</v>
      </c>
      <c r="B994" s="138">
        <f t="shared" si="104"/>
        <v>10993</v>
      </c>
      <c r="C994" s="393">
        <v>2.0</v>
      </c>
      <c r="D994" s="122" t="s">
        <v>3209</v>
      </c>
      <c r="E994" s="125" t="s">
        <v>34</v>
      </c>
      <c r="F994" s="126" t="s">
        <v>3215</v>
      </c>
      <c r="G994" s="394" t="s">
        <v>1651</v>
      </c>
      <c r="H994" s="128" t="s">
        <v>1844</v>
      </c>
      <c r="I994" s="140" t="s">
        <v>1843</v>
      </c>
      <c r="J994" s="149" t="s">
        <v>1876</v>
      </c>
      <c r="K994" s="128" t="s">
        <v>2348</v>
      </c>
      <c r="L994" s="128" t="s">
        <v>1878</v>
      </c>
      <c r="M994" s="128" t="s">
        <v>1845</v>
      </c>
      <c r="N994" s="140" t="s">
        <v>1844</v>
      </c>
      <c r="O994" s="140" t="s">
        <v>1879</v>
      </c>
      <c r="P994" s="140" t="s">
        <v>1895</v>
      </c>
      <c r="Q994" s="140"/>
      <c r="R994" s="140" t="s">
        <v>1845</v>
      </c>
      <c r="S994" s="140" t="s">
        <v>1845</v>
      </c>
      <c r="T994" s="140"/>
      <c r="U994" s="140"/>
      <c r="V994" s="140"/>
      <c r="W994" s="140" t="s">
        <v>1845</v>
      </c>
      <c r="X994" s="128"/>
      <c r="Y994" s="128"/>
      <c r="Z994" s="140"/>
      <c r="AA994" s="140"/>
      <c r="AB994" s="140"/>
      <c r="AC994" s="140"/>
      <c r="AD994" s="140"/>
      <c r="AE994" s="140"/>
      <c r="AF994" s="140"/>
      <c r="AG994" s="140"/>
      <c r="AH994" s="140"/>
      <c r="AI994" s="128"/>
      <c r="AJ994" s="137"/>
      <c r="AK994" s="140"/>
      <c r="AL994" s="140"/>
    </row>
    <row r="995" ht="15.75" customHeight="1">
      <c r="A995" s="122">
        <v>994.0</v>
      </c>
      <c r="B995" s="138">
        <f t="shared" si="104"/>
        <v>10994</v>
      </c>
      <c r="C995" s="393">
        <v>2.0</v>
      </c>
      <c r="D995" s="122" t="s">
        <v>3209</v>
      </c>
      <c r="E995" s="125" t="s">
        <v>7</v>
      </c>
      <c r="F995" s="126" t="s">
        <v>3216</v>
      </c>
      <c r="G995" s="175" t="s">
        <v>1653</v>
      </c>
      <c r="H995" s="128" t="s">
        <v>1844</v>
      </c>
      <c r="I995" s="140" t="s">
        <v>1843</v>
      </c>
      <c r="J995" s="149" t="s">
        <v>1844</v>
      </c>
      <c r="K995" s="128" t="s">
        <v>1844</v>
      </c>
      <c r="L995" s="128" t="s">
        <v>1844</v>
      </c>
      <c r="M995" s="128" t="s">
        <v>1844</v>
      </c>
      <c r="N995" s="140" t="s">
        <v>1844</v>
      </c>
      <c r="O995" s="140" t="s">
        <v>1844</v>
      </c>
      <c r="P995" s="140" t="s">
        <v>1844</v>
      </c>
      <c r="Q995" s="140"/>
      <c r="R995" s="140" t="s">
        <v>1845</v>
      </c>
      <c r="S995" s="140" t="s">
        <v>1845</v>
      </c>
      <c r="T995" s="140"/>
      <c r="U995" s="140"/>
      <c r="V995" s="140"/>
      <c r="W995" s="140" t="s">
        <v>1845</v>
      </c>
      <c r="X995" s="128"/>
      <c r="Y995" s="128"/>
      <c r="Z995" s="140"/>
      <c r="AA995" s="140"/>
      <c r="AB995" s="140"/>
      <c r="AC995" s="140"/>
      <c r="AD995" s="140"/>
      <c r="AE995" s="140"/>
      <c r="AF995" s="140"/>
      <c r="AG995" s="140"/>
      <c r="AH995" s="140"/>
      <c r="AI995" s="128"/>
      <c r="AJ995" s="137"/>
      <c r="AK995" s="140"/>
      <c r="AL995" s="140"/>
    </row>
    <row r="996" ht="15.75" customHeight="1">
      <c r="A996" s="122">
        <v>995.0</v>
      </c>
      <c r="B996" s="138">
        <f t="shared" si="104"/>
        <v>10995</v>
      </c>
      <c r="C996" s="393">
        <v>2.0</v>
      </c>
      <c r="D996" s="122" t="s">
        <v>3209</v>
      </c>
      <c r="E996" s="125" t="s">
        <v>34</v>
      </c>
      <c r="F996" s="126" t="s">
        <v>3217</v>
      </c>
      <c r="G996" s="360" t="s">
        <v>1655</v>
      </c>
      <c r="H996" s="128" t="s">
        <v>1844</v>
      </c>
      <c r="I996" s="140" t="s">
        <v>1843</v>
      </c>
      <c r="J996" s="149" t="s">
        <v>1876</v>
      </c>
      <c r="K996" s="128" t="s">
        <v>2348</v>
      </c>
      <c r="L996" s="128" t="s">
        <v>1990</v>
      </c>
      <c r="M996" s="128" t="s">
        <v>1845</v>
      </c>
      <c r="N996" s="140" t="s">
        <v>1844</v>
      </c>
      <c r="O996" s="140" t="s">
        <v>1879</v>
      </c>
      <c r="P996" s="140" t="s">
        <v>1895</v>
      </c>
      <c r="Q996" s="140"/>
      <c r="R996" s="140" t="s">
        <v>1845</v>
      </c>
      <c r="S996" s="140" t="s">
        <v>1845</v>
      </c>
      <c r="T996" s="140"/>
      <c r="U996" s="140"/>
      <c r="V996" s="140"/>
      <c r="W996" s="140" t="s">
        <v>1845</v>
      </c>
      <c r="X996" s="128"/>
      <c r="Y996" s="128"/>
      <c r="Z996" s="140"/>
      <c r="AA996" s="140"/>
      <c r="AB996" s="140"/>
      <c r="AC996" s="140"/>
      <c r="AD996" s="140"/>
      <c r="AE996" s="140"/>
      <c r="AF996" s="140"/>
      <c r="AG996" s="140"/>
      <c r="AH996" s="140"/>
      <c r="AI996" s="128"/>
      <c r="AJ996" s="137"/>
      <c r="AK996" s="140"/>
      <c r="AL996" s="140"/>
    </row>
    <row r="997" ht="15.75" customHeight="1">
      <c r="A997" s="122">
        <v>996.0</v>
      </c>
      <c r="B997" s="138">
        <f t="shared" si="104"/>
        <v>10996</v>
      </c>
      <c r="C997" s="393">
        <v>2.0</v>
      </c>
      <c r="D997" s="122" t="s">
        <v>3192</v>
      </c>
      <c r="E997" s="125" t="s">
        <v>20</v>
      </c>
      <c r="F997" s="126" t="s">
        <v>3218</v>
      </c>
      <c r="G997" s="269" t="s">
        <v>1657</v>
      </c>
      <c r="H997" s="128" t="s">
        <v>1844</v>
      </c>
      <c r="I997" s="140" t="s">
        <v>1843</v>
      </c>
      <c r="J997" s="149" t="s">
        <v>1844</v>
      </c>
      <c r="K997" s="128" t="s">
        <v>1844</v>
      </c>
      <c r="L997" s="128" t="s">
        <v>1844</v>
      </c>
      <c r="M997" s="128" t="s">
        <v>1845</v>
      </c>
      <c r="N997" s="140" t="s">
        <v>1844</v>
      </c>
      <c r="O997" s="140" t="s">
        <v>1844</v>
      </c>
      <c r="P997" s="140" t="s">
        <v>1862</v>
      </c>
      <c r="Q997" s="140"/>
      <c r="R997" s="140" t="s">
        <v>1845</v>
      </c>
      <c r="S997" s="140" t="s">
        <v>1845</v>
      </c>
      <c r="T997" s="140"/>
      <c r="U997" s="140"/>
      <c r="V997" s="140"/>
      <c r="W997" s="140"/>
      <c r="X997" s="128"/>
      <c r="Y997" s="128"/>
      <c r="Z997" s="140"/>
      <c r="AA997" s="140"/>
      <c r="AB997" s="140"/>
      <c r="AC997" s="140"/>
      <c r="AD997" s="140"/>
      <c r="AE997" s="140"/>
      <c r="AF997" s="140"/>
      <c r="AG997" s="140"/>
      <c r="AH997" s="140"/>
      <c r="AI997" s="128"/>
      <c r="AJ997" s="137"/>
      <c r="AK997" s="140"/>
      <c r="AL997" s="140"/>
    </row>
    <row r="998" ht="15.75" customHeight="1">
      <c r="A998" s="122">
        <v>997.0</v>
      </c>
      <c r="B998" s="138">
        <f t="shared" si="104"/>
        <v>10997</v>
      </c>
      <c r="C998" s="393">
        <v>2.0</v>
      </c>
      <c r="D998" s="122" t="s">
        <v>2919</v>
      </c>
      <c r="E998" s="125" t="s">
        <v>7</v>
      </c>
      <c r="F998" s="126" t="s">
        <v>3219</v>
      </c>
      <c r="G998" s="126" t="s">
        <v>1659</v>
      </c>
      <c r="H998" s="128" t="s">
        <v>1844</v>
      </c>
      <c r="I998" s="140" t="s">
        <v>1843</v>
      </c>
      <c r="J998" s="149" t="s">
        <v>1844</v>
      </c>
      <c r="K998" s="128" t="s">
        <v>1844</v>
      </c>
      <c r="L998" s="128" t="s">
        <v>1844</v>
      </c>
      <c r="M998" s="128" t="s">
        <v>1844</v>
      </c>
      <c r="N998" s="140" t="s">
        <v>1844</v>
      </c>
      <c r="O998" s="140" t="s">
        <v>1844</v>
      </c>
      <c r="P998" s="140" t="s">
        <v>1844</v>
      </c>
      <c r="Q998" s="140"/>
      <c r="R998" s="140"/>
      <c r="S998" s="140" t="s">
        <v>1845</v>
      </c>
      <c r="T998" s="140"/>
      <c r="U998" s="140"/>
      <c r="V998" s="140"/>
      <c r="W998" s="140"/>
      <c r="X998" s="128"/>
      <c r="Y998" s="128"/>
      <c r="Z998" s="140" t="s">
        <v>1845</v>
      </c>
      <c r="AA998" s="140"/>
      <c r="AB998" s="140"/>
      <c r="AC998" s="140"/>
      <c r="AD998" s="140"/>
      <c r="AE998" s="140"/>
      <c r="AF998" s="140"/>
      <c r="AG998" s="140"/>
      <c r="AH998" s="140"/>
      <c r="AI998" s="128"/>
      <c r="AJ998" s="137"/>
      <c r="AK998" s="140"/>
      <c r="AL998" s="140"/>
    </row>
    <row r="999" ht="15.75" customHeight="1">
      <c r="A999" s="122">
        <v>998.0</v>
      </c>
      <c r="B999" s="138">
        <f t="shared" si="104"/>
        <v>10998</v>
      </c>
      <c r="C999" s="393">
        <v>2.0</v>
      </c>
      <c r="D999" s="122" t="s">
        <v>3192</v>
      </c>
      <c r="E999" s="125" t="s">
        <v>34</v>
      </c>
      <c r="F999" s="126" t="s">
        <v>3220</v>
      </c>
      <c r="G999" s="305" t="s">
        <v>1661</v>
      </c>
      <c r="H999" s="128" t="s">
        <v>1844</v>
      </c>
      <c r="I999" s="140" t="s">
        <v>1843</v>
      </c>
      <c r="J999" s="149" t="s">
        <v>1902</v>
      </c>
      <c r="K999" s="128" t="s">
        <v>1877</v>
      </c>
      <c r="L999" s="128" t="s">
        <v>1878</v>
      </c>
      <c r="M999" s="128" t="s">
        <v>1845</v>
      </c>
      <c r="N999" s="140">
        <v>1.0</v>
      </c>
      <c r="O999" s="140" t="s">
        <v>1879</v>
      </c>
      <c r="P999" s="144" t="s">
        <v>1862</v>
      </c>
      <c r="Q999" s="140"/>
      <c r="R999" s="140" t="s">
        <v>1845</v>
      </c>
      <c r="S999" s="140"/>
      <c r="T999" s="140"/>
      <c r="U999" s="140"/>
      <c r="V999" s="140"/>
      <c r="W999" s="140"/>
      <c r="X999" s="128"/>
      <c r="Y999" s="128"/>
      <c r="Z999" s="140"/>
      <c r="AA999" s="140"/>
      <c r="AB999" s="140"/>
      <c r="AC999" s="140"/>
      <c r="AD999" s="140"/>
      <c r="AE999" s="140"/>
      <c r="AF999" s="140"/>
      <c r="AG999" s="140"/>
      <c r="AH999" s="140"/>
      <c r="AI999" s="128"/>
      <c r="AJ999" s="137"/>
      <c r="AK999" s="140"/>
      <c r="AL999" s="140"/>
    </row>
    <row r="1000" ht="15.75" customHeight="1">
      <c r="A1000" s="122">
        <v>999.0</v>
      </c>
      <c r="B1000" s="138">
        <f t="shared" si="104"/>
        <v>10999</v>
      </c>
      <c r="C1000" s="393">
        <v>2.0</v>
      </c>
      <c r="D1000" s="122" t="s">
        <v>3192</v>
      </c>
      <c r="E1000" s="125" t="s">
        <v>7</v>
      </c>
      <c r="F1000" s="126" t="s">
        <v>3221</v>
      </c>
      <c r="G1000" s="126" t="s">
        <v>1663</v>
      </c>
      <c r="H1000" s="128" t="s">
        <v>1844</v>
      </c>
      <c r="I1000" s="140" t="s">
        <v>1843</v>
      </c>
      <c r="J1000" s="149" t="s">
        <v>1844</v>
      </c>
      <c r="K1000" s="128" t="s">
        <v>1844</v>
      </c>
      <c r="L1000" s="128" t="s">
        <v>1844</v>
      </c>
      <c r="M1000" s="128" t="s">
        <v>1844</v>
      </c>
      <c r="N1000" s="140" t="s">
        <v>1844</v>
      </c>
      <c r="O1000" s="140" t="s">
        <v>1844</v>
      </c>
      <c r="P1000" s="140" t="s">
        <v>1844</v>
      </c>
      <c r="Q1000" s="140"/>
      <c r="R1000" s="140" t="s">
        <v>1845</v>
      </c>
      <c r="S1000" s="140"/>
      <c r="T1000" s="140"/>
      <c r="U1000" s="140"/>
      <c r="V1000" s="140"/>
      <c r="W1000" s="140" t="s">
        <v>1845</v>
      </c>
      <c r="X1000" s="128"/>
      <c r="Y1000" s="128"/>
      <c r="Z1000" s="140"/>
      <c r="AA1000" s="140"/>
      <c r="AB1000" s="140"/>
      <c r="AC1000" s="140"/>
      <c r="AD1000" s="140"/>
      <c r="AE1000" s="140"/>
      <c r="AF1000" s="140"/>
      <c r="AG1000" s="140"/>
      <c r="AH1000" s="140"/>
      <c r="AI1000" s="128"/>
      <c r="AJ1000" s="137"/>
      <c r="AK1000" s="140"/>
      <c r="AL1000" s="140"/>
    </row>
    <row r="1001" ht="15.75" customHeight="1">
      <c r="A1001" s="122">
        <v>1000.0</v>
      </c>
      <c r="B1001" s="123" t="s">
        <v>1742</v>
      </c>
      <c r="C1001" s="393">
        <v>2.0</v>
      </c>
      <c r="D1001" s="122" t="s">
        <v>3209</v>
      </c>
      <c r="E1001" s="125" t="s">
        <v>7</v>
      </c>
      <c r="F1001" s="126" t="s">
        <v>3222</v>
      </c>
      <c r="G1001" s="305" t="s">
        <v>1665</v>
      </c>
      <c r="H1001" s="128" t="s">
        <v>1844</v>
      </c>
      <c r="I1001" s="140" t="s">
        <v>1843</v>
      </c>
      <c r="J1001" s="149" t="s">
        <v>1844</v>
      </c>
      <c r="K1001" s="128" t="s">
        <v>1844</v>
      </c>
      <c r="L1001" s="128" t="s">
        <v>1844</v>
      </c>
      <c r="M1001" s="128" t="s">
        <v>1844</v>
      </c>
      <c r="N1001" s="140" t="s">
        <v>1844</v>
      </c>
      <c r="O1001" s="140" t="s">
        <v>1844</v>
      </c>
      <c r="P1001" s="140" t="s">
        <v>1844</v>
      </c>
      <c r="Q1001" s="140" t="s">
        <v>1845</v>
      </c>
      <c r="R1001" s="140" t="s">
        <v>1845</v>
      </c>
      <c r="S1001" s="140"/>
      <c r="T1001" s="140"/>
      <c r="U1001" s="140"/>
      <c r="V1001" s="140"/>
      <c r="W1001" s="140" t="s">
        <v>1845</v>
      </c>
      <c r="X1001" s="128"/>
      <c r="Y1001" s="128"/>
      <c r="Z1001" s="140"/>
      <c r="AA1001" s="140"/>
      <c r="AB1001" s="140"/>
      <c r="AC1001" s="140"/>
      <c r="AD1001" s="140"/>
      <c r="AE1001" s="140"/>
      <c r="AF1001" s="140"/>
      <c r="AG1001" s="140"/>
      <c r="AH1001" s="140"/>
      <c r="AI1001" s="128"/>
      <c r="AJ1001" s="137"/>
      <c r="AK1001" s="140"/>
      <c r="AL1001" s="140"/>
    </row>
    <row r="1002" ht="15.75" customHeight="1">
      <c r="A1002" s="122">
        <v>1001.0</v>
      </c>
      <c r="B1002" s="123" t="s">
        <v>1742</v>
      </c>
      <c r="C1002" s="393">
        <v>2.0</v>
      </c>
      <c r="D1002" s="122" t="s">
        <v>3192</v>
      </c>
      <c r="E1002" s="125" t="s">
        <v>34</v>
      </c>
      <c r="F1002" s="305" t="s">
        <v>3223</v>
      </c>
      <c r="G1002" s="305" t="s">
        <v>3224</v>
      </c>
      <c r="H1002" s="128" t="s">
        <v>1844</v>
      </c>
      <c r="I1002" s="140" t="s">
        <v>1843</v>
      </c>
      <c r="J1002" s="149" t="s">
        <v>1876</v>
      </c>
      <c r="K1002" s="128" t="s">
        <v>2348</v>
      </c>
      <c r="L1002" s="128" t="s">
        <v>1878</v>
      </c>
      <c r="M1002" s="128" t="s">
        <v>1845</v>
      </c>
      <c r="N1002" s="140" t="s">
        <v>1844</v>
      </c>
      <c r="O1002" s="140" t="s">
        <v>1879</v>
      </c>
      <c r="P1002" s="140" t="s">
        <v>1862</v>
      </c>
      <c r="Q1002" s="140" t="s">
        <v>1845</v>
      </c>
      <c r="R1002" s="140" t="s">
        <v>1845</v>
      </c>
      <c r="S1002" s="140"/>
      <c r="T1002" s="140"/>
      <c r="U1002" s="140"/>
      <c r="V1002" s="140"/>
      <c r="W1002" s="140"/>
      <c r="X1002" s="128"/>
      <c r="Y1002" s="128"/>
      <c r="Z1002" s="140"/>
      <c r="AA1002" s="140"/>
      <c r="AB1002" s="140"/>
      <c r="AC1002" s="140"/>
      <c r="AD1002" s="140"/>
      <c r="AE1002" s="140"/>
      <c r="AF1002" s="140"/>
      <c r="AG1002" s="140"/>
      <c r="AH1002" s="140"/>
      <c r="AI1002" s="128"/>
      <c r="AJ1002" s="137"/>
      <c r="AK1002" s="140"/>
      <c r="AL1002" s="140"/>
    </row>
    <row r="1003" ht="15.75" customHeight="1">
      <c r="A1003" s="122">
        <v>1002.0</v>
      </c>
      <c r="B1003" s="123" t="s">
        <v>1742</v>
      </c>
      <c r="C1003" s="393">
        <v>2.0</v>
      </c>
      <c r="D1003" s="122" t="s">
        <v>3192</v>
      </c>
      <c r="E1003" s="125" t="s">
        <v>20</v>
      </c>
      <c r="F1003" s="126" t="s">
        <v>3193</v>
      </c>
      <c r="G1003" s="126" t="s">
        <v>3225</v>
      </c>
      <c r="H1003" s="128" t="s">
        <v>1844</v>
      </c>
      <c r="I1003" s="140" t="s">
        <v>1843</v>
      </c>
      <c r="J1003" s="149" t="s">
        <v>1844</v>
      </c>
      <c r="K1003" s="128" t="s">
        <v>1844</v>
      </c>
      <c r="L1003" s="128" t="s">
        <v>1844</v>
      </c>
      <c r="M1003" s="128" t="s">
        <v>1845</v>
      </c>
      <c r="N1003" s="140" t="s">
        <v>1844</v>
      </c>
      <c r="O1003" s="140" t="s">
        <v>1844</v>
      </c>
      <c r="P1003" s="140" t="s">
        <v>1862</v>
      </c>
      <c r="Q1003" s="140" t="s">
        <v>1845</v>
      </c>
      <c r="R1003" s="140" t="s">
        <v>1845</v>
      </c>
      <c r="S1003" s="140"/>
      <c r="T1003" s="140"/>
      <c r="U1003" s="140"/>
      <c r="V1003" s="140"/>
      <c r="W1003" s="140"/>
      <c r="X1003" s="128"/>
      <c r="Y1003" s="128"/>
      <c r="Z1003" s="140"/>
      <c r="AA1003" s="140"/>
      <c r="AB1003" s="140"/>
      <c r="AC1003" s="140"/>
      <c r="AD1003" s="140"/>
      <c r="AE1003" s="140"/>
      <c r="AF1003" s="140"/>
      <c r="AG1003" s="140"/>
      <c r="AH1003" s="140"/>
      <c r="AI1003" s="128"/>
      <c r="AJ1003" s="137"/>
      <c r="AK1003" s="140"/>
      <c r="AL1003" s="140"/>
    </row>
    <row r="1004" ht="15.75" customHeight="1">
      <c r="A1004" s="122">
        <v>1003.0</v>
      </c>
      <c r="B1004" s="138">
        <f>SUM(A1004+10000)</f>
        <v>11003</v>
      </c>
      <c r="C1004" s="393">
        <v>2.0</v>
      </c>
      <c r="D1004" s="122" t="s">
        <v>3192</v>
      </c>
      <c r="E1004" s="125" t="s">
        <v>20</v>
      </c>
      <c r="F1004" s="305" t="s">
        <v>3226</v>
      </c>
      <c r="G1004" s="305" t="s">
        <v>1671</v>
      </c>
      <c r="H1004" s="128" t="s">
        <v>1844</v>
      </c>
      <c r="I1004" s="140" t="s">
        <v>1843</v>
      </c>
      <c r="J1004" s="149" t="s">
        <v>1844</v>
      </c>
      <c r="K1004" s="128" t="s">
        <v>1844</v>
      </c>
      <c r="L1004" s="128" t="s">
        <v>1844</v>
      </c>
      <c r="M1004" s="128" t="s">
        <v>1845</v>
      </c>
      <c r="N1004" s="140" t="s">
        <v>1844</v>
      </c>
      <c r="O1004" s="140" t="s">
        <v>1844</v>
      </c>
      <c r="P1004" s="140" t="s">
        <v>1895</v>
      </c>
      <c r="Q1004" s="140"/>
      <c r="R1004" s="140" t="s">
        <v>1845</v>
      </c>
      <c r="S1004" s="140"/>
      <c r="T1004" s="140"/>
      <c r="U1004" s="140"/>
      <c r="V1004" s="140"/>
      <c r="W1004" s="140"/>
      <c r="X1004" s="128"/>
      <c r="Y1004" s="128"/>
      <c r="Z1004" s="140"/>
      <c r="AA1004" s="140"/>
      <c r="AB1004" s="140"/>
      <c r="AC1004" s="140"/>
      <c r="AD1004" s="140"/>
      <c r="AE1004" s="140"/>
      <c r="AF1004" s="140"/>
      <c r="AG1004" s="140"/>
      <c r="AH1004" s="140"/>
      <c r="AI1004" s="128"/>
      <c r="AJ1004" s="137"/>
      <c r="AK1004" s="140"/>
      <c r="AL1004" s="140"/>
    </row>
    <row r="1005" ht="15.75" customHeight="1">
      <c r="A1005" s="122">
        <v>1004.0</v>
      </c>
      <c r="B1005" s="123" t="s">
        <v>1742</v>
      </c>
      <c r="C1005" s="393">
        <v>2.0</v>
      </c>
      <c r="D1005" s="122" t="s">
        <v>3192</v>
      </c>
      <c r="E1005" s="125" t="s">
        <v>7</v>
      </c>
      <c r="F1005" s="126" t="s">
        <v>3227</v>
      </c>
      <c r="G1005" s="126" t="s">
        <v>3228</v>
      </c>
      <c r="H1005" s="128" t="s">
        <v>1844</v>
      </c>
      <c r="I1005" s="140" t="s">
        <v>1843</v>
      </c>
      <c r="J1005" s="149" t="s">
        <v>1844</v>
      </c>
      <c r="K1005" s="128" t="s">
        <v>1844</v>
      </c>
      <c r="L1005" s="128" t="s">
        <v>1844</v>
      </c>
      <c r="M1005" s="128" t="s">
        <v>1844</v>
      </c>
      <c r="N1005" s="140" t="s">
        <v>1844</v>
      </c>
      <c r="O1005" s="140" t="s">
        <v>1844</v>
      </c>
      <c r="P1005" s="140" t="s">
        <v>1844</v>
      </c>
      <c r="Q1005" s="140" t="s">
        <v>1845</v>
      </c>
      <c r="R1005" s="140" t="s">
        <v>1845</v>
      </c>
      <c r="S1005" s="140"/>
      <c r="T1005" s="140"/>
      <c r="U1005" s="140"/>
      <c r="V1005" s="140"/>
      <c r="W1005" s="140"/>
      <c r="X1005" s="128" t="s">
        <v>1845</v>
      </c>
      <c r="Y1005" s="128"/>
      <c r="Z1005" s="140"/>
      <c r="AA1005" s="140"/>
      <c r="AB1005" s="140"/>
      <c r="AC1005" s="140"/>
      <c r="AD1005" s="140"/>
      <c r="AE1005" s="140"/>
      <c r="AF1005" s="140"/>
      <c r="AG1005" s="140"/>
      <c r="AH1005" s="140"/>
      <c r="AI1005" s="128"/>
      <c r="AJ1005" s="137"/>
      <c r="AK1005" s="140"/>
      <c r="AL1005" s="140"/>
    </row>
    <row r="1006" ht="15.75" customHeight="1">
      <c r="A1006" s="122">
        <v>1005.0</v>
      </c>
      <c r="B1006" s="138">
        <f>SUM(A1006+10000)</f>
        <v>11005</v>
      </c>
      <c r="C1006" s="393">
        <v>2.0</v>
      </c>
      <c r="D1006" s="122" t="s">
        <v>3209</v>
      </c>
      <c r="E1006" s="125" t="s">
        <v>34</v>
      </c>
      <c r="F1006" s="126" t="s">
        <v>3229</v>
      </c>
      <c r="G1006" s="126" t="s">
        <v>1675</v>
      </c>
      <c r="H1006" s="128" t="s">
        <v>1844</v>
      </c>
      <c r="I1006" s="140" t="s">
        <v>1843</v>
      </c>
      <c r="J1006" s="149" t="s">
        <v>1876</v>
      </c>
      <c r="K1006" s="128" t="s">
        <v>2348</v>
      </c>
      <c r="L1006" s="128" t="s">
        <v>1884</v>
      </c>
      <c r="M1006" s="128" t="s">
        <v>1845</v>
      </c>
      <c r="N1006" s="140" t="s">
        <v>1844</v>
      </c>
      <c r="O1006" s="140" t="s">
        <v>1879</v>
      </c>
      <c r="P1006" s="140" t="s">
        <v>1862</v>
      </c>
      <c r="Q1006" s="140"/>
      <c r="R1006" s="140" t="s">
        <v>1845</v>
      </c>
      <c r="S1006" s="140" t="s">
        <v>1845</v>
      </c>
      <c r="T1006" s="140"/>
      <c r="U1006" s="140"/>
      <c r="V1006" s="140"/>
      <c r="W1006" s="140"/>
      <c r="X1006" s="128"/>
      <c r="Y1006" s="128"/>
      <c r="Z1006" s="140"/>
      <c r="AA1006" s="140"/>
      <c r="AB1006" s="140"/>
      <c r="AC1006" s="140"/>
      <c r="AD1006" s="140"/>
      <c r="AE1006" s="140"/>
      <c r="AF1006" s="140"/>
      <c r="AG1006" s="140"/>
      <c r="AH1006" s="140"/>
      <c r="AI1006" s="128"/>
      <c r="AJ1006" s="137"/>
      <c r="AK1006" s="140"/>
      <c r="AL1006" s="140"/>
    </row>
    <row r="1007" ht="15.75" customHeight="1">
      <c r="A1007" s="122">
        <v>1006.0</v>
      </c>
      <c r="B1007" s="123" t="s">
        <v>1742</v>
      </c>
      <c r="C1007" s="393">
        <v>2.0</v>
      </c>
      <c r="D1007" s="122" t="s">
        <v>2019</v>
      </c>
      <c r="E1007" s="125" t="s">
        <v>7</v>
      </c>
      <c r="F1007" s="305" t="s">
        <v>2636</v>
      </c>
      <c r="G1007" s="305" t="s">
        <v>1677</v>
      </c>
      <c r="H1007" s="128" t="s">
        <v>1844</v>
      </c>
      <c r="I1007" s="140" t="s">
        <v>1843</v>
      </c>
      <c r="J1007" s="149" t="s">
        <v>1844</v>
      </c>
      <c r="K1007" s="128" t="s">
        <v>1844</v>
      </c>
      <c r="L1007" s="128" t="s">
        <v>1844</v>
      </c>
      <c r="M1007" s="128" t="s">
        <v>1844</v>
      </c>
      <c r="N1007" s="140" t="s">
        <v>1844</v>
      </c>
      <c r="O1007" s="140" t="s">
        <v>1844</v>
      </c>
      <c r="P1007" s="140" t="s">
        <v>1844</v>
      </c>
      <c r="Q1007" s="140" t="s">
        <v>1845</v>
      </c>
      <c r="R1007" s="140" t="s">
        <v>1845</v>
      </c>
      <c r="S1007" s="140"/>
      <c r="T1007" s="140"/>
      <c r="U1007" s="140"/>
      <c r="V1007" s="140"/>
      <c r="W1007" s="140"/>
      <c r="X1007" s="128"/>
      <c r="Y1007" s="128"/>
      <c r="Z1007" s="140" t="s">
        <v>1845</v>
      </c>
      <c r="AA1007" s="140"/>
      <c r="AB1007" s="140"/>
      <c r="AC1007" s="140"/>
      <c r="AD1007" s="140"/>
      <c r="AE1007" s="140"/>
      <c r="AF1007" s="140"/>
      <c r="AG1007" s="140"/>
      <c r="AH1007" s="140"/>
      <c r="AI1007" s="128"/>
      <c r="AJ1007" s="137"/>
      <c r="AK1007" s="140"/>
      <c r="AL1007" s="140"/>
    </row>
    <row r="1008" ht="15.75" customHeight="1">
      <c r="A1008" s="122">
        <v>1007.0</v>
      </c>
      <c r="B1008" s="138">
        <f>SUM(A1008+10000)</f>
        <v>11007</v>
      </c>
      <c r="C1008" s="393">
        <v>2.0</v>
      </c>
      <c r="D1008" s="122" t="s">
        <v>3209</v>
      </c>
      <c r="E1008" s="125" t="s">
        <v>34</v>
      </c>
      <c r="F1008" s="127" t="s">
        <v>3230</v>
      </c>
      <c r="G1008" s="127" t="s">
        <v>1679</v>
      </c>
      <c r="H1008" s="128" t="s">
        <v>1844</v>
      </c>
      <c r="I1008" s="140" t="s">
        <v>1906</v>
      </c>
      <c r="J1008" s="149" t="s">
        <v>1876</v>
      </c>
      <c r="K1008" s="128" t="s">
        <v>2348</v>
      </c>
      <c r="L1008" s="128" t="s">
        <v>1844</v>
      </c>
      <c r="M1008" s="128" t="s">
        <v>1845</v>
      </c>
      <c r="N1008" s="140" t="s">
        <v>1844</v>
      </c>
      <c r="O1008" s="140" t="s">
        <v>1879</v>
      </c>
      <c r="P1008" s="140" t="s">
        <v>1964</v>
      </c>
      <c r="Q1008" s="140"/>
      <c r="R1008" s="140" t="s">
        <v>1845</v>
      </c>
      <c r="S1008" s="140"/>
      <c r="T1008" s="140"/>
      <c r="U1008" s="140"/>
      <c r="V1008" s="140" t="s">
        <v>1845</v>
      </c>
      <c r="W1008" s="140"/>
      <c r="X1008" s="128"/>
      <c r="Y1008" s="128"/>
      <c r="Z1008" s="140"/>
      <c r="AA1008" s="140"/>
      <c r="AB1008" s="140"/>
      <c r="AC1008" s="140"/>
      <c r="AD1008" s="140"/>
      <c r="AE1008" s="140"/>
      <c r="AF1008" s="140"/>
      <c r="AG1008" s="140"/>
      <c r="AH1008" s="140"/>
      <c r="AI1008" s="128"/>
      <c r="AJ1008" s="137"/>
      <c r="AK1008" s="140"/>
      <c r="AL1008" s="140"/>
    </row>
    <row r="1009" ht="15.75" customHeight="1">
      <c r="A1009" s="122">
        <v>1008.0</v>
      </c>
      <c r="B1009" s="123" t="s">
        <v>1742</v>
      </c>
      <c r="C1009" s="393">
        <v>2.0</v>
      </c>
      <c r="D1009" s="122" t="s">
        <v>3209</v>
      </c>
      <c r="E1009" s="125" t="s">
        <v>7</v>
      </c>
      <c r="F1009" s="127" t="s">
        <v>3231</v>
      </c>
      <c r="G1009" s="127" t="s">
        <v>3232</v>
      </c>
      <c r="H1009" s="128" t="s">
        <v>1844</v>
      </c>
      <c r="I1009" s="140" t="s">
        <v>1843</v>
      </c>
      <c r="J1009" s="149" t="s">
        <v>1844</v>
      </c>
      <c r="K1009" s="128" t="s">
        <v>1844</v>
      </c>
      <c r="L1009" s="128" t="s">
        <v>1844</v>
      </c>
      <c r="M1009" s="128" t="s">
        <v>1844</v>
      </c>
      <c r="N1009" s="140" t="s">
        <v>1844</v>
      </c>
      <c r="O1009" s="140" t="s">
        <v>1844</v>
      </c>
      <c r="P1009" s="140" t="s">
        <v>1844</v>
      </c>
      <c r="Q1009" s="140" t="s">
        <v>1845</v>
      </c>
      <c r="R1009" s="140" t="s">
        <v>1845</v>
      </c>
      <c r="S1009" s="140"/>
      <c r="T1009" s="140"/>
      <c r="U1009" s="140"/>
      <c r="V1009" s="140"/>
      <c r="W1009" s="140" t="s">
        <v>1845</v>
      </c>
      <c r="X1009" s="128"/>
      <c r="Y1009" s="128"/>
      <c r="Z1009" s="140"/>
      <c r="AA1009" s="140"/>
      <c r="AB1009" s="140"/>
      <c r="AC1009" s="140"/>
      <c r="AD1009" s="140"/>
      <c r="AE1009" s="140"/>
      <c r="AF1009" s="140"/>
      <c r="AG1009" s="140"/>
      <c r="AH1009" s="140"/>
      <c r="AI1009" s="128"/>
      <c r="AJ1009" s="137"/>
      <c r="AK1009" s="140"/>
      <c r="AL1009" s="140"/>
    </row>
    <row r="1010" ht="15.75" customHeight="1">
      <c r="A1010" s="122">
        <v>1009.0</v>
      </c>
      <c r="B1010" s="138">
        <f>SUM(A1010+10000)</f>
        <v>11009</v>
      </c>
      <c r="C1010" s="393">
        <v>2.0</v>
      </c>
      <c r="D1010" s="122" t="s">
        <v>2892</v>
      </c>
      <c r="E1010" s="125" t="s">
        <v>7</v>
      </c>
      <c r="F1010" s="126" t="s">
        <v>3233</v>
      </c>
      <c r="G1010" s="175" t="s">
        <v>1683</v>
      </c>
      <c r="H1010" s="128" t="s">
        <v>1844</v>
      </c>
      <c r="I1010" s="140" t="s">
        <v>1843</v>
      </c>
      <c r="J1010" s="149" t="s">
        <v>1844</v>
      </c>
      <c r="K1010" s="128" t="s">
        <v>1844</v>
      </c>
      <c r="L1010" s="128" t="s">
        <v>1844</v>
      </c>
      <c r="M1010" s="128" t="s">
        <v>1844</v>
      </c>
      <c r="N1010" s="140" t="s">
        <v>1844</v>
      </c>
      <c r="O1010" s="140" t="s">
        <v>1844</v>
      </c>
      <c r="P1010" s="140" t="s">
        <v>1844</v>
      </c>
      <c r="Q1010" s="140"/>
      <c r="R1010" s="140"/>
      <c r="S1010" s="140" t="s">
        <v>1845</v>
      </c>
      <c r="T1010" s="140"/>
      <c r="U1010" s="140"/>
      <c r="V1010" s="140"/>
      <c r="W1010" s="140" t="s">
        <v>1845</v>
      </c>
      <c r="X1010" s="128"/>
      <c r="Y1010" s="128"/>
      <c r="Z1010" s="140"/>
      <c r="AA1010" s="140"/>
      <c r="AB1010" s="140"/>
      <c r="AC1010" s="140"/>
      <c r="AD1010" s="140"/>
      <c r="AE1010" s="140"/>
      <c r="AF1010" s="140"/>
      <c r="AG1010" s="140"/>
      <c r="AH1010" s="140"/>
      <c r="AI1010" s="128"/>
      <c r="AJ1010" s="137"/>
      <c r="AK1010" s="140"/>
      <c r="AL1010" s="140"/>
    </row>
    <row r="1011" ht="15.75" customHeight="1">
      <c r="A1011" s="122">
        <v>1010.0</v>
      </c>
      <c r="B1011" s="123" t="s">
        <v>1742</v>
      </c>
      <c r="C1011" s="393">
        <v>2.0</v>
      </c>
      <c r="D1011" s="122" t="s">
        <v>3192</v>
      </c>
      <c r="E1011" s="125" t="s">
        <v>7</v>
      </c>
      <c r="F1011" s="126" t="s">
        <v>3234</v>
      </c>
      <c r="G1011" s="127" t="s">
        <v>1685</v>
      </c>
      <c r="H1011" s="128" t="s">
        <v>1844</v>
      </c>
      <c r="I1011" s="140" t="s">
        <v>1843</v>
      </c>
      <c r="J1011" s="149" t="s">
        <v>1844</v>
      </c>
      <c r="K1011" s="128" t="s">
        <v>1844</v>
      </c>
      <c r="L1011" s="128" t="s">
        <v>1844</v>
      </c>
      <c r="M1011" s="128" t="s">
        <v>1844</v>
      </c>
      <c r="N1011" s="140" t="s">
        <v>1844</v>
      </c>
      <c r="O1011" s="140" t="s">
        <v>1844</v>
      </c>
      <c r="P1011" s="140" t="s">
        <v>1844</v>
      </c>
      <c r="Q1011" s="140" t="s">
        <v>1845</v>
      </c>
      <c r="R1011" s="140" t="s">
        <v>1845</v>
      </c>
      <c r="S1011" s="140"/>
      <c r="T1011" s="140" t="s">
        <v>1845</v>
      </c>
      <c r="U1011" s="140"/>
      <c r="V1011" s="140"/>
      <c r="W1011" s="140"/>
      <c r="X1011" s="128"/>
      <c r="Y1011" s="128"/>
      <c r="Z1011" s="140"/>
      <c r="AA1011" s="140"/>
      <c r="AB1011" s="140"/>
      <c r="AC1011" s="140"/>
      <c r="AD1011" s="140"/>
      <c r="AE1011" s="140"/>
      <c r="AF1011" s="140"/>
      <c r="AG1011" s="140"/>
      <c r="AH1011" s="140"/>
      <c r="AI1011" s="128"/>
      <c r="AJ1011" s="137"/>
      <c r="AK1011" s="140"/>
      <c r="AL1011" s="140"/>
    </row>
    <row r="1012" ht="15.75" customHeight="1">
      <c r="A1012" s="122">
        <v>1011.0</v>
      </c>
      <c r="B1012" s="138">
        <f>SUM(A1012+10000)</f>
        <v>11011</v>
      </c>
      <c r="C1012" s="393">
        <v>2.0</v>
      </c>
      <c r="D1012" s="122" t="s">
        <v>3209</v>
      </c>
      <c r="E1012" s="125" t="s">
        <v>34</v>
      </c>
      <c r="F1012" s="126" t="s">
        <v>3235</v>
      </c>
      <c r="G1012" s="126" t="s">
        <v>1687</v>
      </c>
      <c r="H1012" s="128" t="s">
        <v>1844</v>
      </c>
      <c r="I1012" s="140" t="s">
        <v>1906</v>
      </c>
      <c r="J1012" s="149" t="s">
        <v>1902</v>
      </c>
      <c r="K1012" s="128" t="s">
        <v>1877</v>
      </c>
      <c r="L1012" s="128" t="s">
        <v>1844</v>
      </c>
      <c r="M1012" s="128" t="s">
        <v>1845</v>
      </c>
      <c r="N1012" s="140" t="s">
        <v>1903</v>
      </c>
      <c r="O1012" s="140" t="s">
        <v>1879</v>
      </c>
      <c r="P1012" s="140" t="s">
        <v>1862</v>
      </c>
      <c r="Q1012" s="140"/>
      <c r="R1012" s="140" t="s">
        <v>1845</v>
      </c>
      <c r="S1012" s="140"/>
      <c r="T1012" s="140"/>
      <c r="U1012" s="140" t="s">
        <v>1845</v>
      </c>
      <c r="V1012" s="140"/>
      <c r="W1012" s="140"/>
      <c r="X1012" s="128"/>
      <c r="Y1012" s="128"/>
      <c r="Z1012" s="140"/>
      <c r="AA1012" s="140"/>
      <c r="AB1012" s="140"/>
      <c r="AC1012" s="140"/>
      <c r="AD1012" s="140"/>
      <c r="AE1012" s="140"/>
      <c r="AF1012" s="140"/>
      <c r="AG1012" s="140"/>
      <c r="AH1012" s="140"/>
      <c r="AI1012" s="128"/>
      <c r="AJ1012" s="137"/>
      <c r="AK1012" s="140"/>
      <c r="AL1012" s="140"/>
    </row>
    <row r="1013" ht="15.75" customHeight="1">
      <c r="A1013" s="122">
        <v>1012.0</v>
      </c>
      <c r="B1013" s="123" t="s">
        <v>1742</v>
      </c>
      <c r="C1013" s="393">
        <v>2.0</v>
      </c>
      <c r="D1013" s="122" t="s">
        <v>3192</v>
      </c>
      <c r="E1013" s="125" t="s">
        <v>34</v>
      </c>
      <c r="F1013" s="126" t="s">
        <v>3236</v>
      </c>
      <c r="G1013" s="127" t="s">
        <v>3237</v>
      </c>
      <c r="H1013" s="128" t="s">
        <v>1844</v>
      </c>
      <c r="I1013" s="140" t="s">
        <v>1843</v>
      </c>
      <c r="J1013" s="149" t="s">
        <v>1876</v>
      </c>
      <c r="K1013" s="128" t="s">
        <v>2348</v>
      </c>
      <c r="L1013" s="128" t="s">
        <v>1878</v>
      </c>
      <c r="M1013" s="128" t="s">
        <v>1845</v>
      </c>
      <c r="N1013" s="140" t="s">
        <v>1844</v>
      </c>
      <c r="O1013" s="140" t="s">
        <v>1879</v>
      </c>
      <c r="P1013" s="140" t="s">
        <v>1862</v>
      </c>
      <c r="Q1013" s="140" t="s">
        <v>1845</v>
      </c>
      <c r="R1013" s="140" t="s">
        <v>1845</v>
      </c>
      <c r="S1013" s="140"/>
      <c r="T1013" s="140"/>
      <c r="U1013" s="140"/>
      <c r="V1013" s="140"/>
      <c r="W1013" s="140"/>
      <c r="X1013" s="128"/>
      <c r="Y1013" s="128"/>
      <c r="Z1013" s="140"/>
      <c r="AA1013" s="140"/>
      <c r="AB1013" s="140"/>
      <c r="AC1013" s="140"/>
      <c r="AD1013" s="140"/>
      <c r="AE1013" s="140"/>
      <c r="AF1013" s="140"/>
      <c r="AG1013" s="140"/>
      <c r="AH1013" s="140"/>
      <c r="AI1013" s="128"/>
      <c r="AJ1013" s="137"/>
      <c r="AK1013" s="140"/>
      <c r="AL1013" s="140"/>
    </row>
    <row r="1014" ht="15.75" customHeight="1">
      <c r="A1014" s="122">
        <v>1013.0</v>
      </c>
      <c r="B1014" s="138">
        <f t="shared" ref="B1014:B1020" si="105">SUM(A1014+10000)</f>
        <v>11013</v>
      </c>
      <c r="C1014" s="393">
        <v>2.0</v>
      </c>
      <c r="D1014" s="122" t="s">
        <v>3209</v>
      </c>
      <c r="E1014" s="125" t="s">
        <v>20</v>
      </c>
      <c r="F1014" s="126" t="s">
        <v>3238</v>
      </c>
      <c r="G1014" s="127" t="s">
        <v>1691</v>
      </c>
      <c r="H1014" s="128" t="s">
        <v>1844</v>
      </c>
      <c r="I1014" s="140" t="s">
        <v>1843</v>
      </c>
      <c r="J1014" s="149" t="s">
        <v>1844</v>
      </c>
      <c r="K1014" s="128" t="s">
        <v>1844</v>
      </c>
      <c r="L1014" s="128" t="s">
        <v>1844</v>
      </c>
      <c r="M1014" s="128" t="s">
        <v>1845</v>
      </c>
      <c r="N1014" s="140" t="s">
        <v>1844</v>
      </c>
      <c r="O1014" s="140" t="s">
        <v>1844</v>
      </c>
      <c r="P1014" s="140" t="s">
        <v>1895</v>
      </c>
      <c r="Q1014" s="140"/>
      <c r="R1014" s="140" t="s">
        <v>1845</v>
      </c>
      <c r="S1014" s="140" t="s">
        <v>1845</v>
      </c>
      <c r="T1014" s="140"/>
      <c r="U1014" s="140"/>
      <c r="V1014" s="140"/>
      <c r="W1014" s="140" t="s">
        <v>1845</v>
      </c>
      <c r="X1014" s="128"/>
      <c r="Y1014" s="128"/>
      <c r="Z1014" s="140"/>
      <c r="AA1014" s="140"/>
      <c r="AB1014" s="140"/>
      <c r="AC1014" s="140"/>
      <c r="AD1014" s="140"/>
      <c r="AE1014" s="140"/>
      <c r="AF1014" s="140"/>
      <c r="AG1014" s="140"/>
      <c r="AH1014" s="140"/>
      <c r="AI1014" s="128"/>
      <c r="AJ1014" s="137"/>
      <c r="AK1014" s="140"/>
      <c r="AL1014" s="140"/>
    </row>
    <row r="1015" ht="15.75" customHeight="1">
      <c r="A1015" s="122">
        <v>1014.0</v>
      </c>
      <c r="B1015" s="138">
        <f t="shared" si="105"/>
        <v>11014</v>
      </c>
      <c r="C1015" s="393">
        <v>2.0</v>
      </c>
      <c r="D1015" s="122" t="s">
        <v>3209</v>
      </c>
      <c r="E1015" s="125" t="s">
        <v>20</v>
      </c>
      <c r="F1015" s="126" t="s">
        <v>3238</v>
      </c>
      <c r="G1015" s="127" t="s">
        <v>1693</v>
      </c>
      <c r="H1015" s="128" t="s">
        <v>1844</v>
      </c>
      <c r="I1015" s="140" t="s">
        <v>1843</v>
      </c>
      <c r="J1015" s="149" t="s">
        <v>1844</v>
      </c>
      <c r="K1015" s="128" t="s">
        <v>1844</v>
      </c>
      <c r="L1015" s="128" t="s">
        <v>1844</v>
      </c>
      <c r="M1015" s="128" t="s">
        <v>1845</v>
      </c>
      <c r="N1015" s="140" t="s">
        <v>1844</v>
      </c>
      <c r="O1015" s="140" t="s">
        <v>1844</v>
      </c>
      <c r="P1015" s="140" t="s">
        <v>1895</v>
      </c>
      <c r="Q1015" s="140"/>
      <c r="R1015" s="140" t="s">
        <v>1845</v>
      </c>
      <c r="S1015" s="140"/>
      <c r="T1015" s="140"/>
      <c r="U1015" s="140"/>
      <c r="V1015" s="140"/>
      <c r="W1015" s="140" t="s">
        <v>1845</v>
      </c>
      <c r="X1015" s="128"/>
      <c r="Y1015" s="128"/>
      <c r="Z1015" s="140"/>
      <c r="AA1015" s="140"/>
      <c r="AB1015" s="140"/>
      <c r="AC1015" s="140"/>
      <c r="AD1015" s="140"/>
      <c r="AE1015" s="140"/>
      <c r="AF1015" s="140"/>
      <c r="AG1015" s="140"/>
      <c r="AH1015" s="140"/>
      <c r="AI1015" s="128"/>
      <c r="AJ1015" s="137"/>
      <c r="AK1015" s="140"/>
      <c r="AL1015" s="140"/>
    </row>
    <row r="1016" ht="15.75" customHeight="1">
      <c r="A1016" s="122">
        <v>1015.0</v>
      </c>
      <c r="B1016" s="138">
        <f t="shared" si="105"/>
        <v>11015</v>
      </c>
      <c r="C1016" s="393">
        <v>2.0</v>
      </c>
      <c r="D1016" s="122" t="s">
        <v>3209</v>
      </c>
      <c r="E1016" s="122" t="s">
        <v>34</v>
      </c>
      <c r="F1016" s="126" t="s">
        <v>3239</v>
      </c>
      <c r="G1016" s="126" t="s">
        <v>1695</v>
      </c>
      <c r="H1016" s="128" t="s">
        <v>1844</v>
      </c>
      <c r="I1016" s="140" t="s">
        <v>1843</v>
      </c>
      <c r="J1016" s="149" t="s">
        <v>1902</v>
      </c>
      <c r="K1016" s="128" t="s">
        <v>1877</v>
      </c>
      <c r="L1016" s="128" t="s">
        <v>1878</v>
      </c>
      <c r="M1016" s="128" t="s">
        <v>1845</v>
      </c>
      <c r="N1016" s="140" t="s">
        <v>1903</v>
      </c>
      <c r="O1016" s="140" t="s">
        <v>1879</v>
      </c>
      <c r="P1016" s="140" t="s">
        <v>1862</v>
      </c>
      <c r="Q1016" s="140"/>
      <c r="R1016" s="140" t="s">
        <v>1845</v>
      </c>
      <c r="S1016" s="140"/>
      <c r="T1016" s="140"/>
      <c r="U1016" s="140"/>
      <c r="V1016" s="140"/>
      <c r="W1016" s="140"/>
      <c r="X1016" s="128"/>
      <c r="Y1016" s="128"/>
      <c r="Z1016" s="140"/>
      <c r="AA1016" s="140"/>
      <c r="AB1016" s="140"/>
      <c r="AC1016" s="140"/>
      <c r="AD1016" s="140"/>
      <c r="AE1016" s="140"/>
      <c r="AF1016" s="140"/>
      <c r="AG1016" s="140"/>
      <c r="AH1016" s="140"/>
      <c r="AI1016" s="128"/>
      <c r="AJ1016" s="137"/>
      <c r="AK1016" s="140"/>
      <c r="AL1016" s="140"/>
    </row>
    <row r="1017" ht="15.75" customHeight="1">
      <c r="A1017" s="122">
        <v>1016.0</v>
      </c>
      <c r="B1017" s="138">
        <f t="shared" si="105"/>
        <v>11016</v>
      </c>
      <c r="C1017" s="393">
        <v>2.0</v>
      </c>
      <c r="D1017" s="122" t="s">
        <v>3209</v>
      </c>
      <c r="E1017" s="122" t="s">
        <v>34</v>
      </c>
      <c r="F1017" s="126" t="s">
        <v>3240</v>
      </c>
      <c r="G1017" s="269" t="s">
        <v>1696</v>
      </c>
      <c r="H1017" s="128" t="s">
        <v>1844</v>
      </c>
      <c r="I1017" s="140" t="s">
        <v>1843</v>
      </c>
      <c r="J1017" s="149" t="s">
        <v>1876</v>
      </c>
      <c r="K1017" s="128" t="s">
        <v>2348</v>
      </c>
      <c r="L1017" s="128" t="s">
        <v>1878</v>
      </c>
      <c r="M1017" s="128" t="s">
        <v>1845</v>
      </c>
      <c r="N1017" s="140" t="s">
        <v>1844</v>
      </c>
      <c r="O1017" s="140" t="s">
        <v>1879</v>
      </c>
      <c r="P1017" s="140" t="s">
        <v>1862</v>
      </c>
      <c r="Q1017" s="140"/>
      <c r="R1017" s="140" t="s">
        <v>1845</v>
      </c>
      <c r="S1017" s="140"/>
      <c r="T1017" s="140"/>
      <c r="U1017" s="140"/>
      <c r="V1017" s="140"/>
      <c r="W1017" s="140" t="s">
        <v>1845</v>
      </c>
      <c r="X1017" s="128"/>
      <c r="Y1017" s="128"/>
      <c r="Z1017" s="140"/>
      <c r="AA1017" s="140"/>
      <c r="AB1017" s="140"/>
      <c r="AC1017" s="140"/>
      <c r="AD1017" s="140"/>
      <c r="AE1017" s="140"/>
      <c r="AF1017" s="140"/>
      <c r="AG1017" s="140"/>
      <c r="AH1017" s="140"/>
      <c r="AI1017" s="128"/>
      <c r="AJ1017" s="137"/>
      <c r="AK1017" s="140"/>
      <c r="AL1017" s="140"/>
    </row>
    <row r="1018" ht="15.75" customHeight="1">
      <c r="A1018" s="122">
        <v>1017.0</v>
      </c>
      <c r="B1018" s="138">
        <f t="shared" si="105"/>
        <v>11017</v>
      </c>
      <c r="C1018" s="393">
        <v>2.0</v>
      </c>
      <c r="D1018" s="122" t="s">
        <v>3241</v>
      </c>
      <c r="E1018" s="122" t="s">
        <v>34</v>
      </c>
      <c r="F1018" s="126" t="s">
        <v>3242</v>
      </c>
      <c r="G1018" s="269" t="s">
        <v>1698</v>
      </c>
      <c r="H1018" s="128" t="s">
        <v>1844</v>
      </c>
      <c r="I1018" s="140" t="s">
        <v>1906</v>
      </c>
      <c r="J1018" s="149" t="s">
        <v>1902</v>
      </c>
      <c r="K1018" s="128" t="s">
        <v>1877</v>
      </c>
      <c r="L1018" s="128" t="s">
        <v>1990</v>
      </c>
      <c r="M1018" s="128" t="s">
        <v>1845</v>
      </c>
      <c r="N1018" s="140" t="s">
        <v>1903</v>
      </c>
      <c r="O1018" s="140" t="s">
        <v>1879</v>
      </c>
      <c r="P1018" s="140" t="s">
        <v>1862</v>
      </c>
      <c r="Q1018" s="140"/>
      <c r="R1018" s="140"/>
      <c r="S1018" s="140"/>
      <c r="T1018" s="140"/>
      <c r="U1018" s="140" t="s">
        <v>1845</v>
      </c>
      <c r="V1018" s="140" t="s">
        <v>1845</v>
      </c>
      <c r="W1018" s="140" t="s">
        <v>1845</v>
      </c>
      <c r="X1018" s="128"/>
      <c r="Y1018" s="128"/>
      <c r="Z1018" s="140"/>
      <c r="AA1018" s="140"/>
      <c r="AB1018" s="140"/>
      <c r="AC1018" s="140"/>
      <c r="AD1018" s="140"/>
      <c r="AE1018" s="140"/>
      <c r="AF1018" s="140"/>
      <c r="AG1018" s="140"/>
      <c r="AH1018" s="140"/>
      <c r="AI1018" s="128"/>
      <c r="AJ1018" s="137"/>
      <c r="AK1018" s="140"/>
      <c r="AL1018" s="140"/>
    </row>
    <row r="1019" ht="15.75" customHeight="1">
      <c r="A1019" s="122">
        <v>1018.0</v>
      </c>
      <c r="B1019" s="138">
        <f t="shared" si="105"/>
        <v>11018</v>
      </c>
      <c r="C1019" s="393">
        <v>2.0</v>
      </c>
      <c r="D1019" s="122" t="s">
        <v>3241</v>
      </c>
      <c r="E1019" s="122" t="s">
        <v>27</v>
      </c>
      <c r="F1019" s="126" t="s">
        <v>3243</v>
      </c>
      <c r="G1019" s="126" t="s">
        <v>1700</v>
      </c>
      <c r="H1019" s="128" t="s">
        <v>1844</v>
      </c>
      <c r="I1019" s="140" t="s">
        <v>1906</v>
      </c>
      <c r="J1019" s="149" t="s">
        <v>1844</v>
      </c>
      <c r="K1019" s="128" t="s">
        <v>1844</v>
      </c>
      <c r="L1019" s="128" t="s">
        <v>1844</v>
      </c>
      <c r="M1019" s="128" t="s">
        <v>1845</v>
      </c>
      <c r="N1019" s="140" t="s">
        <v>1844</v>
      </c>
      <c r="O1019" s="140" t="s">
        <v>1844</v>
      </c>
      <c r="P1019" s="140" t="s">
        <v>1862</v>
      </c>
      <c r="Q1019" s="140"/>
      <c r="R1019" s="140"/>
      <c r="S1019" s="140"/>
      <c r="T1019" s="140"/>
      <c r="U1019" s="140" t="s">
        <v>1845</v>
      </c>
      <c r="V1019" s="140" t="s">
        <v>1845</v>
      </c>
      <c r="W1019" s="140" t="s">
        <v>1845</v>
      </c>
      <c r="X1019" s="128"/>
      <c r="Y1019" s="128"/>
      <c r="Z1019" s="140"/>
      <c r="AA1019" s="140"/>
      <c r="AB1019" s="140"/>
      <c r="AC1019" s="140"/>
      <c r="AD1019" s="140"/>
      <c r="AE1019" s="140"/>
      <c r="AF1019" s="140"/>
      <c r="AG1019" s="140"/>
      <c r="AH1019" s="140"/>
      <c r="AI1019" s="128"/>
      <c r="AJ1019" s="137"/>
      <c r="AK1019" s="140"/>
      <c r="AL1019" s="140"/>
    </row>
    <row r="1020" ht="15.75" customHeight="1">
      <c r="A1020" s="122">
        <v>1019.0</v>
      </c>
      <c r="B1020" s="138">
        <f t="shared" si="105"/>
        <v>11019</v>
      </c>
      <c r="C1020" s="393">
        <v>2.0</v>
      </c>
      <c r="D1020" s="122" t="s">
        <v>3209</v>
      </c>
      <c r="E1020" s="122" t="s">
        <v>7</v>
      </c>
      <c r="F1020" s="126" t="s">
        <v>3244</v>
      </c>
      <c r="G1020" s="126" t="s">
        <v>1702</v>
      </c>
      <c r="H1020" s="128" t="s">
        <v>1844</v>
      </c>
      <c r="I1020" s="140" t="s">
        <v>1906</v>
      </c>
      <c r="J1020" s="149" t="s">
        <v>1844</v>
      </c>
      <c r="K1020" s="128" t="s">
        <v>1844</v>
      </c>
      <c r="L1020" s="128" t="s">
        <v>1844</v>
      </c>
      <c r="M1020" s="128" t="s">
        <v>1844</v>
      </c>
      <c r="N1020" s="140" t="s">
        <v>1844</v>
      </c>
      <c r="O1020" s="140" t="s">
        <v>1844</v>
      </c>
      <c r="P1020" s="140" t="s">
        <v>1844</v>
      </c>
      <c r="Q1020" s="140"/>
      <c r="R1020" s="140" t="s">
        <v>1845</v>
      </c>
      <c r="S1020" s="140" t="s">
        <v>1845</v>
      </c>
      <c r="T1020" s="140"/>
      <c r="U1020" s="140"/>
      <c r="V1020" s="140" t="s">
        <v>1845</v>
      </c>
      <c r="W1020" s="140"/>
      <c r="X1020" s="128"/>
      <c r="Y1020" s="128"/>
      <c r="Z1020" s="140"/>
      <c r="AA1020" s="140"/>
      <c r="AB1020" s="140"/>
      <c r="AC1020" s="140"/>
      <c r="AD1020" s="140"/>
      <c r="AE1020" s="140"/>
      <c r="AF1020" s="140"/>
      <c r="AG1020" s="140"/>
      <c r="AH1020" s="140"/>
      <c r="AI1020" s="128"/>
      <c r="AJ1020" s="137"/>
      <c r="AK1020" s="140"/>
      <c r="AL1020" s="140"/>
    </row>
    <row r="1021" ht="15.75" customHeight="1">
      <c r="A1021" s="122">
        <v>1020.0</v>
      </c>
      <c r="B1021" s="123" t="s">
        <v>1742</v>
      </c>
      <c r="C1021" s="393">
        <v>2.0</v>
      </c>
      <c r="D1021" s="122" t="s">
        <v>3241</v>
      </c>
      <c r="E1021" s="122" t="s">
        <v>7</v>
      </c>
      <c r="F1021" s="269" t="s">
        <v>3245</v>
      </c>
      <c r="G1021" s="126" t="s">
        <v>1704</v>
      </c>
      <c r="H1021" s="128" t="s">
        <v>1844</v>
      </c>
      <c r="I1021" s="140" t="s">
        <v>1906</v>
      </c>
      <c r="J1021" s="149" t="s">
        <v>1844</v>
      </c>
      <c r="K1021" s="128" t="s">
        <v>1844</v>
      </c>
      <c r="L1021" s="128" t="s">
        <v>1844</v>
      </c>
      <c r="M1021" s="128" t="s">
        <v>1844</v>
      </c>
      <c r="N1021" s="140" t="s">
        <v>1844</v>
      </c>
      <c r="O1021" s="140" t="s">
        <v>1844</v>
      </c>
      <c r="P1021" s="140" t="s">
        <v>1844</v>
      </c>
      <c r="Q1021" s="140" t="s">
        <v>1845</v>
      </c>
      <c r="R1021" s="140"/>
      <c r="S1021" s="140"/>
      <c r="T1021" s="140"/>
      <c r="U1021" s="140" t="s">
        <v>1845</v>
      </c>
      <c r="V1021" s="140" t="s">
        <v>1845</v>
      </c>
      <c r="W1021" s="140"/>
      <c r="X1021" s="128"/>
      <c r="Y1021" s="128"/>
      <c r="Z1021" s="140"/>
      <c r="AA1021" s="140"/>
      <c r="AB1021" s="140"/>
      <c r="AC1021" s="140"/>
      <c r="AD1021" s="140"/>
      <c r="AE1021" s="140"/>
      <c r="AF1021" s="140"/>
      <c r="AG1021" s="140"/>
      <c r="AH1021" s="140"/>
      <c r="AI1021" s="128"/>
      <c r="AJ1021" s="137"/>
      <c r="AK1021" s="140"/>
      <c r="AL1021" s="140"/>
    </row>
    <row r="1022" ht="15.75" customHeight="1">
      <c r="A1022" s="122">
        <v>1021.0</v>
      </c>
      <c r="B1022" s="138">
        <f>SUM(A1022+10000)</f>
        <v>11021</v>
      </c>
      <c r="C1022" s="393">
        <v>2.0</v>
      </c>
      <c r="D1022" s="122" t="s">
        <v>3209</v>
      </c>
      <c r="E1022" s="125" t="s">
        <v>34</v>
      </c>
      <c r="F1022" s="126" t="s">
        <v>3246</v>
      </c>
      <c r="G1022" s="126" t="s">
        <v>1706</v>
      </c>
      <c r="H1022" s="128" t="s">
        <v>1844</v>
      </c>
      <c r="I1022" s="140" t="s">
        <v>1906</v>
      </c>
      <c r="J1022" s="149" t="s">
        <v>1902</v>
      </c>
      <c r="K1022" s="128" t="s">
        <v>1877</v>
      </c>
      <c r="L1022" s="128" t="s">
        <v>1990</v>
      </c>
      <c r="M1022" s="128" t="s">
        <v>1845</v>
      </c>
      <c r="N1022" s="140" t="s">
        <v>1903</v>
      </c>
      <c r="O1022" s="140" t="s">
        <v>1879</v>
      </c>
      <c r="P1022" s="140" t="s">
        <v>1862</v>
      </c>
      <c r="Q1022" s="140"/>
      <c r="R1022" s="140" t="s">
        <v>1845</v>
      </c>
      <c r="S1022" s="140"/>
      <c r="T1022" s="140"/>
      <c r="U1022" s="140" t="s">
        <v>1845</v>
      </c>
      <c r="V1022" s="140"/>
      <c r="W1022" s="140"/>
      <c r="X1022" s="128"/>
      <c r="Y1022" s="128"/>
      <c r="Z1022" s="140"/>
      <c r="AA1022" s="140"/>
      <c r="AB1022" s="140"/>
      <c r="AC1022" s="140"/>
      <c r="AD1022" s="140"/>
      <c r="AE1022" s="140"/>
      <c r="AF1022" s="140"/>
      <c r="AG1022" s="140"/>
      <c r="AH1022" s="140"/>
      <c r="AI1022" s="128"/>
      <c r="AJ1022" s="137"/>
      <c r="AK1022" s="140"/>
      <c r="AL1022" s="140"/>
    </row>
    <row r="1023" ht="15.75" customHeight="1">
      <c r="A1023" s="122">
        <v>1022.0</v>
      </c>
      <c r="B1023" s="123" t="s">
        <v>1742</v>
      </c>
      <c r="C1023" s="393">
        <v>2.0</v>
      </c>
      <c r="D1023" s="122" t="s">
        <v>3241</v>
      </c>
      <c r="E1023" s="125" t="s">
        <v>7</v>
      </c>
      <c r="F1023" s="269" t="s">
        <v>3247</v>
      </c>
      <c r="G1023" s="269" t="s">
        <v>1708</v>
      </c>
      <c r="H1023" s="128" t="s">
        <v>1844</v>
      </c>
      <c r="I1023" s="140" t="s">
        <v>1843</v>
      </c>
      <c r="J1023" s="149" t="s">
        <v>1844</v>
      </c>
      <c r="K1023" s="128" t="s">
        <v>1844</v>
      </c>
      <c r="L1023" s="128" t="s">
        <v>1844</v>
      </c>
      <c r="M1023" s="128" t="s">
        <v>1844</v>
      </c>
      <c r="N1023" s="140" t="s">
        <v>1844</v>
      </c>
      <c r="O1023" s="140" t="s">
        <v>1844</v>
      </c>
      <c r="P1023" s="140" t="s">
        <v>1844</v>
      </c>
      <c r="Q1023" s="140" t="s">
        <v>1845</v>
      </c>
      <c r="R1023" s="140"/>
      <c r="S1023" s="140"/>
      <c r="T1023" s="140" t="s">
        <v>1845</v>
      </c>
      <c r="U1023" s="140"/>
      <c r="V1023" s="140"/>
      <c r="W1023" s="140"/>
      <c r="X1023" s="128"/>
      <c r="Y1023" s="128"/>
      <c r="Z1023" s="140"/>
      <c r="AA1023" s="140"/>
      <c r="AB1023" s="140"/>
      <c r="AC1023" s="140"/>
      <c r="AD1023" s="140"/>
      <c r="AE1023" s="140"/>
      <c r="AF1023" s="140"/>
      <c r="AG1023" s="140"/>
      <c r="AH1023" s="140"/>
      <c r="AI1023" s="128"/>
      <c r="AJ1023" s="137"/>
      <c r="AK1023" s="140"/>
      <c r="AL1023" s="140"/>
    </row>
    <row r="1024" ht="15.75" customHeight="1">
      <c r="A1024" s="122">
        <v>1023.0</v>
      </c>
      <c r="B1024" s="138">
        <f t="shared" ref="B1024:B1026" si="106">SUM(A1024+10000)</f>
        <v>11023</v>
      </c>
      <c r="C1024" s="393">
        <v>2.0</v>
      </c>
      <c r="D1024" s="122" t="s">
        <v>3209</v>
      </c>
      <c r="E1024" s="125" t="s">
        <v>7</v>
      </c>
      <c r="F1024" s="269" t="s">
        <v>3248</v>
      </c>
      <c r="G1024" s="269" t="s">
        <v>1710</v>
      </c>
      <c r="H1024" s="128" t="s">
        <v>1844</v>
      </c>
      <c r="I1024" s="140" t="s">
        <v>1843</v>
      </c>
      <c r="J1024" s="149" t="s">
        <v>1844</v>
      </c>
      <c r="K1024" s="149" t="s">
        <v>1844</v>
      </c>
      <c r="L1024" s="149" t="s">
        <v>1844</v>
      </c>
      <c r="M1024" s="149" t="s">
        <v>1844</v>
      </c>
      <c r="N1024" s="149" t="s">
        <v>1844</v>
      </c>
      <c r="O1024" s="149" t="s">
        <v>1844</v>
      </c>
      <c r="P1024" s="140" t="s">
        <v>1844</v>
      </c>
      <c r="Q1024" s="140"/>
      <c r="R1024" s="140" t="s">
        <v>1845</v>
      </c>
      <c r="S1024" s="140" t="s">
        <v>1845</v>
      </c>
      <c r="T1024" s="140"/>
      <c r="U1024" s="140"/>
      <c r="V1024" s="140"/>
      <c r="W1024" s="140"/>
      <c r="X1024" s="128"/>
      <c r="Y1024" s="128"/>
      <c r="Z1024" s="140"/>
      <c r="AA1024" s="140"/>
      <c r="AB1024" s="140"/>
      <c r="AC1024" s="140"/>
      <c r="AD1024" s="140"/>
      <c r="AE1024" s="140"/>
      <c r="AF1024" s="140"/>
      <c r="AG1024" s="140"/>
      <c r="AH1024" s="140"/>
      <c r="AI1024" s="128"/>
      <c r="AJ1024" s="137"/>
      <c r="AK1024" s="140"/>
      <c r="AL1024" s="140"/>
    </row>
    <row r="1025" ht="15.75" customHeight="1">
      <c r="A1025" s="122">
        <v>1024.0</v>
      </c>
      <c r="B1025" s="138">
        <f t="shared" si="106"/>
        <v>11024</v>
      </c>
      <c r="C1025" s="393">
        <v>2.0</v>
      </c>
      <c r="D1025" s="122" t="s">
        <v>3241</v>
      </c>
      <c r="E1025" s="125" t="s">
        <v>7</v>
      </c>
      <c r="F1025" s="269" t="s">
        <v>3249</v>
      </c>
      <c r="G1025" s="269" t="s">
        <v>1712</v>
      </c>
      <c r="H1025" s="128" t="s">
        <v>1844</v>
      </c>
      <c r="I1025" s="140" t="s">
        <v>1906</v>
      </c>
      <c r="J1025" s="149" t="s">
        <v>1844</v>
      </c>
      <c r="K1025" s="149" t="s">
        <v>1844</v>
      </c>
      <c r="L1025" s="149" t="s">
        <v>1844</v>
      </c>
      <c r="M1025" s="149" t="s">
        <v>1844</v>
      </c>
      <c r="N1025" s="149" t="s">
        <v>1844</v>
      </c>
      <c r="O1025" s="149" t="s">
        <v>1844</v>
      </c>
      <c r="P1025" s="140" t="s">
        <v>1844</v>
      </c>
      <c r="Q1025" s="140"/>
      <c r="R1025" s="140"/>
      <c r="S1025" s="140" t="s">
        <v>1845</v>
      </c>
      <c r="T1025" s="140"/>
      <c r="U1025" s="140" t="s">
        <v>1845</v>
      </c>
      <c r="V1025" s="140" t="s">
        <v>1845</v>
      </c>
      <c r="W1025" s="140"/>
      <c r="X1025" s="128"/>
      <c r="Y1025" s="128"/>
      <c r="Z1025" s="140"/>
      <c r="AA1025" s="140"/>
      <c r="AB1025" s="140"/>
      <c r="AC1025" s="140"/>
      <c r="AD1025" s="140"/>
      <c r="AE1025" s="140"/>
      <c r="AF1025" s="140"/>
      <c r="AG1025" s="140"/>
      <c r="AH1025" s="140"/>
      <c r="AI1025" s="128"/>
      <c r="AJ1025" s="137"/>
      <c r="AK1025" s="140"/>
      <c r="AL1025" s="140"/>
    </row>
    <row r="1026" ht="15.75" customHeight="1">
      <c r="A1026" s="122">
        <v>1025.0</v>
      </c>
      <c r="B1026" s="138">
        <f t="shared" si="106"/>
        <v>11025</v>
      </c>
      <c r="C1026" s="393">
        <v>2.0</v>
      </c>
      <c r="D1026" s="122" t="s">
        <v>3241</v>
      </c>
      <c r="E1026" s="125" t="s">
        <v>20</v>
      </c>
      <c r="F1026" s="126" t="s">
        <v>3250</v>
      </c>
      <c r="G1026" s="185" t="s">
        <v>1714</v>
      </c>
      <c r="H1026" s="128" t="s">
        <v>1844</v>
      </c>
      <c r="I1026" s="140" t="s">
        <v>1906</v>
      </c>
      <c r="J1026" s="149" t="s">
        <v>1844</v>
      </c>
      <c r="K1026" s="128" t="s">
        <v>1844</v>
      </c>
      <c r="L1026" s="128" t="s">
        <v>1844</v>
      </c>
      <c r="M1026" s="128" t="s">
        <v>1845</v>
      </c>
      <c r="N1026" s="140" t="s">
        <v>1844</v>
      </c>
      <c r="O1026" s="140" t="s">
        <v>1844</v>
      </c>
      <c r="P1026" s="140" t="s">
        <v>1862</v>
      </c>
      <c r="Q1026" s="140"/>
      <c r="R1026" s="140"/>
      <c r="S1026" s="140"/>
      <c r="T1026" s="140"/>
      <c r="U1026" s="140"/>
      <c r="V1026" s="140" t="s">
        <v>1845</v>
      </c>
      <c r="W1026" s="140" t="s">
        <v>1845</v>
      </c>
      <c r="X1026" s="128"/>
      <c r="Y1026" s="128"/>
      <c r="Z1026" s="140"/>
      <c r="AA1026" s="140"/>
      <c r="AB1026" s="140"/>
      <c r="AC1026" s="140"/>
      <c r="AD1026" s="140"/>
      <c r="AE1026" s="140"/>
      <c r="AF1026" s="140"/>
      <c r="AG1026" s="140"/>
      <c r="AH1026" s="140"/>
      <c r="AI1026" s="128"/>
      <c r="AJ1026" s="137"/>
      <c r="AK1026" s="140"/>
      <c r="AL1026" s="140"/>
    </row>
    <row r="1027" ht="15.75" customHeight="1">
      <c r="A1027" s="122">
        <v>1026.0</v>
      </c>
      <c r="B1027" s="123" t="s">
        <v>1742</v>
      </c>
      <c r="C1027" s="393">
        <v>2.0</v>
      </c>
      <c r="D1027" s="122" t="s">
        <v>3241</v>
      </c>
      <c r="E1027" s="125" t="s">
        <v>7</v>
      </c>
      <c r="F1027" s="126" t="s">
        <v>3251</v>
      </c>
      <c r="G1027" s="269" t="s">
        <v>1716</v>
      </c>
      <c r="H1027" s="128" t="s">
        <v>1844</v>
      </c>
      <c r="I1027" s="140" t="s">
        <v>1843</v>
      </c>
      <c r="J1027" s="149" t="s">
        <v>1844</v>
      </c>
      <c r="K1027" s="128" t="s">
        <v>1844</v>
      </c>
      <c r="L1027" s="128" t="s">
        <v>1844</v>
      </c>
      <c r="M1027" s="128" t="s">
        <v>1844</v>
      </c>
      <c r="N1027" s="140" t="s">
        <v>1844</v>
      </c>
      <c r="O1027" s="140" t="s">
        <v>1844</v>
      </c>
      <c r="P1027" s="140" t="s">
        <v>1844</v>
      </c>
      <c r="Q1027" s="140" t="s">
        <v>1845</v>
      </c>
      <c r="R1027" s="140"/>
      <c r="S1027" s="140" t="s">
        <v>1845</v>
      </c>
      <c r="T1027" s="140" t="s">
        <v>1845</v>
      </c>
      <c r="U1027" s="140"/>
      <c r="V1027" s="140"/>
      <c r="W1027" s="140"/>
      <c r="X1027" s="128"/>
      <c r="Y1027" s="128"/>
      <c r="Z1027" s="140"/>
      <c r="AA1027" s="140"/>
      <c r="AB1027" s="140"/>
      <c r="AC1027" s="140"/>
      <c r="AD1027" s="140"/>
      <c r="AE1027" s="140"/>
      <c r="AF1027" s="140"/>
      <c r="AG1027" s="140"/>
      <c r="AH1027" s="140"/>
      <c r="AI1027" s="128"/>
      <c r="AJ1027" s="137"/>
      <c r="AK1027" s="140"/>
      <c r="AL1027" s="140"/>
    </row>
    <row r="1028" ht="15.75" customHeight="1">
      <c r="A1028" s="122">
        <v>1027.0</v>
      </c>
      <c r="B1028" s="138">
        <f t="shared" ref="B1028:B1029" si="107">SUM(A1028+10000)</f>
        <v>11027</v>
      </c>
      <c r="C1028" s="393">
        <v>2.0</v>
      </c>
      <c r="D1028" s="122" t="s">
        <v>3241</v>
      </c>
      <c r="E1028" s="125" t="s">
        <v>7</v>
      </c>
      <c r="F1028" s="126" t="s">
        <v>3252</v>
      </c>
      <c r="G1028" s="127" t="s">
        <v>1718</v>
      </c>
      <c r="H1028" s="128" t="s">
        <v>1844</v>
      </c>
      <c r="I1028" s="140" t="s">
        <v>1906</v>
      </c>
      <c r="J1028" s="149" t="s">
        <v>1844</v>
      </c>
      <c r="K1028" s="128" t="s">
        <v>1844</v>
      </c>
      <c r="L1028" s="128" t="s">
        <v>1844</v>
      </c>
      <c r="M1028" s="128" t="s">
        <v>1844</v>
      </c>
      <c r="N1028" s="140" t="s">
        <v>1844</v>
      </c>
      <c r="O1028" s="140" t="s">
        <v>1844</v>
      </c>
      <c r="P1028" s="140" t="s">
        <v>1844</v>
      </c>
      <c r="Q1028" s="140"/>
      <c r="R1028" s="140"/>
      <c r="S1028" s="140" t="s">
        <v>1845</v>
      </c>
      <c r="T1028" s="140"/>
      <c r="U1028" s="140"/>
      <c r="V1028" s="140" t="s">
        <v>1845</v>
      </c>
      <c r="W1028" s="140"/>
      <c r="X1028" s="128"/>
      <c r="Y1028" s="128"/>
      <c r="Z1028" s="140"/>
      <c r="AA1028" s="140"/>
      <c r="AB1028" s="140"/>
      <c r="AC1028" s="140"/>
      <c r="AD1028" s="140"/>
      <c r="AE1028" s="140"/>
      <c r="AF1028" s="140"/>
      <c r="AG1028" s="140"/>
      <c r="AH1028" s="140"/>
      <c r="AI1028" s="128"/>
      <c r="AJ1028" s="137"/>
      <c r="AK1028" s="140"/>
      <c r="AL1028" s="140"/>
    </row>
    <row r="1029" ht="15.75" customHeight="1">
      <c r="A1029" s="122">
        <v>1028.0</v>
      </c>
      <c r="B1029" s="138">
        <f t="shared" si="107"/>
        <v>11028</v>
      </c>
      <c r="C1029" s="393">
        <v>2.0</v>
      </c>
      <c r="D1029" s="122" t="s">
        <v>3241</v>
      </c>
      <c r="E1029" s="125" t="s">
        <v>27</v>
      </c>
      <c r="F1029" s="269" t="s">
        <v>3243</v>
      </c>
      <c r="G1029" s="269" t="s">
        <v>1720</v>
      </c>
      <c r="H1029" s="128" t="s">
        <v>1844</v>
      </c>
      <c r="I1029" s="140" t="s">
        <v>1906</v>
      </c>
      <c r="J1029" s="149" t="s">
        <v>1844</v>
      </c>
      <c r="K1029" s="128" t="s">
        <v>1844</v>
      </c>
      <c r="L1029" s="128" t="s">
        <v>1844</v>
      </c>
      <c r="M1029" s="128" t="s">
        <v>1845</v>
      </c>
      <c r="N1029" s="140" t="s">
        <v>1844</v>
      </c>
      <c r="O1029" s="140" t="s">
        <v>1844</v>
      </c>
      <c r="P1029" s="140" t="s">
        <v>1862</v>
      </c>
      <c r="Q1029" s="140"/>
      <c r="R1029" s="140"/>
      <c r="S1029" s="140"/>
      <c r="T1029" s="140"/>
      <c r="U1029" s="140" t="s">
        <v>1845</v>
      </c>
      <c r="V1029" s="140" t="s">
        <v>1845</v>
      </c>
      <c r="W1029" s="140"/>
      <c r="X1029" s="128"/>
      <c r="Y1029" s="128"/>
      <c r="Z1029" s="140"/>
      <c r="AA1029" s="140"/>
      <c r="AB1029" s="140"/>
      <c r="AC1029" s="140"/>
      <c r="AD1029" s="140"/>
      <c r="AE1029" s="140"/>
      <c r="AF1029" s="140"/>
      <c r="AG1029" s="140"/>
      <c r="AH1029" s="140"/>
      <c r="AI1029" s="128"/>
      <c r="AJ1029" s="137"/>
      <c r="AK1029" s="140"/>
      <c r="AL1029" s="140"/>
    </row>
    <row r="1030" ht="15.75" customHeight="1">
      <c r="A1030" s="122">
        <v>1029.0</v>
      </c>
      <c r="B1030" s="123" t="s">
        <v>1742</v>
      </c>
      <c r="C1030" s="393">
        <v>2.0</v>
      </c>
      <c r="D1030" s="122" t="s">
        <v>3241</v>
      </c>
      <c r="E1030" s="125" t="s">
        <v>7</v>
      </c>
      <c r="F1030" s="126" t="s">
        <v>3253</v>
      </c>
      <c r="G1030" s="127" t="s">
        <v>3254</v>
      </c>
      <c r="H1030" s="128" t="s">
        <v>1844</v>
      </c>
      <c r="I1030" s="140" t="s">
        <v>1906</v>
      </c>
      <c r="J1030" s="149" t="s">
        <v>1844</v>
      </c>
      <c r="K1030" s="128" t="s">
        <v>1844</v>
      </c>
      <c r="L1030" s="128" t="s">
        <v>1844</v>
      </c>
      <c r="M1030" s="128" t="s">
        <v>1844</v>
      </c>
      <c r="N1030" s="140" t="s">
        <v>1844</v>
      </c>
      <c r="O1030" s="140" t="s">
        <v>1844</v>
      </c>
      <c r="P1030" s="140" t="s">
        <v>1844</v>
      </c>
      <c r="Q1030" s="140" t="s">
        <v>1845</v>
      </c>
      <c r="R1030" s="140"/>
      <c r="S1030" s="140"/>
      <c r="T1030" s="140"/>
      <c r="U1030" s="140"/>
      <c r="V1030" s="140" t="s">
        <v>1845</v>
      </c>
      <c r="W1030" s="140"/>
      <c r="X1030" s="128"/>
      <c r="Y1030" s="128"/>
      <c r="Z1030" s="140"/>
      <c r="AA1030" s="140"/>
      <c r="AB1030" s="140"/>
      <c r="AC1030" s="140"/>
      <c r="AD1030" s="140"/>
      <c r="AE1030" s="140"/>
      <c r="AF1030" s="140"/>
      <c r="AG1030" s="140"/>
      <c r="AH1030" s="140"/>
      <c r="AI1030" s="128"/>
      <c r="AJ1030" s="137"/>
      <c r="AK1030" s="140"/>
      <c r="AL1030" s="140"/>
    </row>
    <row r="1031" ht="15.75" customHeight="1">
      <c r="A1031" s="122">
        <v>1030.0</v>
      </c>
      <c r="B1031" s="138">
        <f t="shared" ref="B1031:B1034" si="108">SUM(A1031+10000)</f>
        <v>11030</v>
      </c>
      <c r="C1031" s="393">
        <v>2.0</v>
      </c>
      <c r="D1031" s="122" t="s">
        <v>3209</v>
      </c>
      <c r="E1031" s="125" t="s">
        <v>27</v>
      </c>
      <c r="F1031" s="126" t="s">
        <v>3255</v>
      </c>
      <c r="G1031" s="269" t="s">
        <v>3256</v>
      </c>
      <c r="H1031" s="128" t="s">
        <v>1844</v>
      </c>
      <c r="I1031" s="140" t="s">
        <v>1843</v>
      </c>
      <c r="J1031" s="149" t="s">
        <v>1844</v>
      </c>
      <c r="K1031" s="128" t="s">
        <v>1844</v>
      </c>
      <c r="L1031" s="128" t="s">
        <v>1844</v>
      </c>
      <c r="M1031" s="128" t="s">
        <v>1845</v>
      </c>
      <c r="N1031" s="140" t="s">
        <v>1844</v>
      </c>
      <c r="O1031" s="140" t="s">
        <v>1844</v>
      </c>
      <c r="P1031" s="140" t="s">
        <v>1862</v>
      </c>
      <c r="Q1031" s="140"/>
      <c r="R1031" s="140" t="s">
        <v>1845</v>
      </c>
      <c r="S1031" s="140"/>
      <c r="T1031" s="140"/>
      <c r="U1031" s="140"/>
      <c r="V1031" s="140"/>
      <c r="W1031" s="140" t="s">
        <v>1845</v>
      </c>
      <c r="X1031" s="128"/>
      <c r="Y1031" s="128"/>
      <c r="Z1031" s="140"/>
      <c r="AA1031" s="140"/>
      <c r="AB1031" s="140"/>
      <c r="AC1031" s="140"/>
      <c r="AD1031" s="140"/>
      <c r="AE1031" s="140"/>
      <c r="AF1031" s="140"/>
      <c r="AG1031" s="140"/>
      <c r="AH1031" s="140"/>
      <c r="AI1031" s="128"/>
      <c r="AJ1031" s="137"/>
      <c r="AK1031" s="140"/>
      <c r="AL1031" s="140"/>
    </row>
    <row r="1032" ht="15.75" customHeight="1">
      <c r="A1032" s="122">
        <v>1031.0</v>
      </c>
      <c r="B1032" s="138">
        <f t="shared" si="108"/>
        <v>11031</v>
      </c>
      <c r="C1032" s="393">
        <v>2.0</v>
      </c>
      <c r="D1032" s="122" t="s">
        <v>3241</v>
      </c>
      <c r="E1032" s="125" t="s">
        <v>7</v>
      </c>
      <c r="F1032" s="126" t="s">
        <v>3257</v>
      </c>
      <c r="G1032" s="126" t="s">
        <v>1726</v>
      </c>
      <c r="H1032" s="128" t="s">
        <v>1844</v>
      </c>
      <c r="I1032" s="140" t="s">
        <v>1906</v>
      </c>
      <c r="J1032" s="149" t="s">
        <v>1844</v>
      </c>
      <c r="K1032" s="128" t="s">
        <v>1844</v>
      </c>
      <c r="L1032" s="128" t="s">
        <v>1844</v>
      </c>
      <c r="M1032" s="128" t="s">
        <v>1844</v>
      </c>
      <c r="N1032" s="140" t="s">
        <v>1844</v>
      </c>
      <c r="O1032" s="140" t="s">
        <v>1844</v>
      </c>
      <c r="P1032" s="140" t="s">
        <v>1844</v>
      </c>
      <c r="Q1032" s="140"/>
      <c r="R1032" s="140"/>
      <c r="S1032" s="140"/>
      <c r="T1032" s="140"/>
      <c r="U1032" s="140" t="s">
        <v>1845</v>
      </c>
      <c r="V1032" s="140" t="s">
        <v>1845</v>
      </c>
      <c r="W1032" s="140"/>
      <c r="X1032" s="128"/>
      <c r="Y1032" s="128"/>
      <c r="Z1032" s="140"/>
      <c r="AA1032" s="140"/>
      <c r="AB1032" s="140"/>
      <c r="AC1032" s="140"/>
      <c r="AD1032" s="140"/>
      <c r="AE1032" s="140"/>
      <c r="AF1032" s="140"/>
      <c r="AG1032" s="140"/>
      <c r="AH1032" s="140"/>
      <c r="AI1032" s="128"/>
      <c r="AJ1032" s="137"/>
      <c r="AK1032" s="140"/>
      <c r="AL1032" s="140"/>
    </row>
    <row r="1033" ht="15.75" customHeight="1">
      <c r="A1033" s="122">
        <v>1032.0</v>
      </c>
      <c r="B1033" s="138">
        <f t="shared" si="108"/>
        <v>11032</v>
      </c>
      <c r="C1033" s="393">
        <v>2.0</v>
      </c>
      <c r="D1033" s="122" t="s">
        <v>3209</v>
      </c>
      <c r="E1033" s="125" t="s">
        <v>34</v>
      </c>
      <c r="F1033" s="269" t="s">
        <v>3258</v>
      </c>
      <c r="G1033" s="269" t="s">
        <v>1728</v>
      </c>
      <c r="H1033" s="128" t="s">
        <v>1844</v>
      </c>
      <c r="I1033" s="140" t="s">
        <v>1843</v>
      </c>
      <c r="J1033" s="149" t="s">
        <v>1876</v>
      </c>
      <c r="K1033" s="128" t="s">
        <v>2348</v>
      </c>
      <c r="L1033" s="128" t="s">
        <v>1844</v>
      </c>
      <c r="M1033" s="128" t="s">
        <v>1845</v>
      </c>
      <c r="N1033" s="140" t="s">
        <v>1844</v>
      </c>
      <c r="O1033" s="140" t="s">
        <v>1879</v>
      </c>
      <c r="P1033" s="140" t="s">
        <v>1862</v>
      </c>
      <c r="Q1033" s="140"/>
      <c r="R1033" s="140" t="s">
        <v>1845</v>
      </c>
      <c r="S1033" s="140" t="s">
        <v>1845</v>
      </c>
      <c r="T1033" s="140"/>
      <c r="U1033" s="140"/>
      <c r="V1033" s="140"/>
      <c r="W1033" s="140" t="s">
        <v>1845</v>
      </c>
      <c r="X1033" s="128"/>
      <c r="Y1033" s="128"/>
      <c r="Z1033" s="140"/>
      <c r="AA1033" s="140"/>
      <c r="AB1033" s="140"/>
      <c r="AC1033" s="140"/>
      <c r="AD1033" s="140"/>
      <c r="AE1033" s="140"/>
      <c r="AF1033" s="140"/>
      <c r="AG1033" s="140"/>
      <c r="AH1033" s="140"/>
      <c r="AI1033" s="128"/>
      <c r="AJ1033" s="137"/>
      <c r="AK1033" s="140"/>
      <c r="AL1033" s="140"/>
    </row>
    <row r="1034" ht="15.75" customHeight="1">
      <c r="A1034" s="122">
        <v>1033.0</v>
      </c>
      <c r="B1034" s="138">
        <f t="shared" si="108"/>
        <v>11033</v>
      </c>
      <c r="C1034" s="393">
        <v>2.0</v>
      </c>
      <c r="D1034" s="122" t="s">
        <v>3209</v>
      </c>
      <c r="E1034" s="125" t="s">
        <v>7</v>
      </c>
      <c r="F1034" s="269" t="s">
        <v>3259</v>
      </c>
      <c r="G1034" s="395" t="s">
        <v>1730</v>
      </c>
      <c r="H1034" s="128" t="s">
        <v>1844</v>
      </c>
      <c r="I1034" s="140" t="s">
        <v>1843</v>
      </c>
      <c r="J1034" s="149" t="s">
        <v>1844</v>
      </c>
      <c r="K1034" s="128" t="s">
        <v>1844</v>
      </c>
      <c r="L1034" s="128" t="s">
        <v>1844</v>
      </c>
      <c r="M1034" s="128" t="s">
        <v>1844</v>
      </c>
      <c r="N1034" s="140" t="s">
        <v>1844</v>
      </c>
      <c r="O1034" s="140" t="s">
        <v>1844</v>
      </c>
      <c r="P1034" s="140" t="s">
        <v>1844</v>
      </c>
      <c r="Q1034" s="140"/>
      <c r="R1034" s="140"/>
      <c r="S1034" s="140"/>
      <c r="T1034" s="140"/>
      <c r="U1034" s="140"/>
      <c r="V1034" s="140"/>
      <c r="W1034" s="140"/>
      <c r="X1034" s="128"/>
      <c r="Y1034" s="128"/>
      <c r="Z1034" s="140"/>
      <c r="AA1034" s="140"/>
      <c r="AB1034" s="140"/>
      <c r="AC1034" s="140"/>
      <c r="AD1034" s="140"/>
      <c r="AE1034" s="140"/>
      <c r="AF1034" s="140"/>
      <c r="AG1034" s="140"/>
      <c r="AH1034" s="140"/>
      <c r="AI1034" s="128"/>
      <c r="AJ1034" s="137"/>
      <c r="AK1034" s="140"/>
      <c r="AL1034" s="140"/>
    </row>
    <row r="1035" ht="15.75" customHeight="1">
      <c r="A1035" s="122">
        <v>1034.0</v>
      </c>
      <c r="B1035" s="123" t="s">
        <v>1742</v>
      </c>
      <c r="C1035" s="393">
        <v>2.0</v>
      </c>
      <c r="D1035" s="122" t="s">
        <v>3209</v>
      </c>
      <c r="E1035" s="125" t="s">
        <v>27</v>
      </c>
      <c r="F1035" s="269" t="s">
        <v>3260</v>
      </c>
      <c r="G1035" s="383" t="s">
        <v>1732</v>
      </c>
      <c r="H1035" s="128" t="s">
        <v>1844</v>
      </c>
      <c r="I1035" s="140" t="s">
        <v>1906</v>
      </c>
      <c r="J1035" s="149" t="s">
        <v>1844</v>
      </c>
      <c r="K1035" s="128" t="s">
        <v>1844</v>
      </c>
      <c r="L1035" s="128" t="s">
        <v>1844</v>
      </c>
      <c r="M1035" s="128" t="s">
        <v>1845</v>
      </c>
      <c r="N1035" s="140" t="s">
        <v>1844</v>
      </c>
      <c r="O1035" s="140" t="s">
        <v>1844</v>
      </c>
      <c r="P1035" s="140" t="s">
        <v>1862</v>
      </c>
      <c r="Q1035" s="140" t="s">
        <v>1845</v>
      </c>
      <c r="R1035" s="140"/>
      <c r="S1035" s="140"/>
      <c r="T1035" s="140"/>
      <c r="U1035" s="140"/>
      <c r="V1035" s="140"/>
      <c r="W1035" s="140"/>
      <c r="X1035" s="128"/>
      <c r="Y1035" s="128"/>
      <c r="Z1035" s="140"/>
      <c r="AA1035" s="140"/>
      <c r="AB1035" s="140"/>
      <c r="AC1035" s="140"/>
      <c r="AD1035" s="140"/>
      <c r="AE1035" s="140"/>
      <c r="AF1035" s="140"/>
      <c r="AG1035" s="140"/>
      <c r="AH1035" s="140"/>
      <c r="AI1035" s="128"/>
      <c r="AJ1035" s="137"/>
      <c r="AK1035" s="140"/>
      <c r="AL1035" s="140"/>
    </row>
    <row r="1036" ht="15.75" customHeight="1">
      <c r="A1036" s="122">
        <v>1035.0</v>
      </c>
      <c r="B1036" s="138">
        <f t="shared" ref="B1036:B1037" si="109">SUM(A1036+10000)</f>
        <v>11035</v>
      </c>
      <c r="C1036" s="393">
        <v>2.0</v>
      </c>
      <c r="D1036" s="122" t="s">
        <v>3241</v>
      </c>
      <c r="E1036" s="125" t="s">
        <v>34</v>
      </c>
      <c r="F1036" s="269" t="s">
        <v>3261</v>
      </c>
      <c r="G1036" s="269" t="s">
        <v>1734</v>
      </c>
      <c r="H1036" s="128" t="s">
        <v>1844</v>
      </c>
      <c r="I1036" s="140" t="s">
        <v>1843</v>
      </c>
      <c r="J1036" s="149" t="s">
        <v>1876</v>
      </c>
      <c r="K1036" s="128" t="s">
        <v>2348</v>
      </c>
      <c r="L1036" s="128" t="s">
        <v>1844</v>
      </c>
      <c r="M1036" s="128" t="s">
        <v>1845</v>
      </c>
      <c r="N1036" s="140" t="s">
        <v>1844</v>
      </c>
      <c r="O1036" s="140" t="s">
        <v>1879</v>
      </c>
      <c r="P1036" s="140" t="s">
        <v>1862</v>
      </c>
      <c r="Q1036" s="140"/>
      <c r="R1036" s="140"/>
      <c r="S1036" s="140" t="s">
        <v>1845</v>
      </c>
      <c r="T1036" s="140" t="s">
        <v>1926</v>
      </c>
      <c r="U1036" s="140"/>
      <c r="V1036" s="140"/>
      <c r="W1036" s="140"/>
      <c r="X1036" s="128"/>
      <c r="Y1036" s="128"/>
      <c r="Z1036" s="140"/>
      <c r="AA1036" s="140"/>
      <c r="AB1036" s="140"/>
      <c r="AC1036" s="140"/>
      <c r="AD1036" s="140"/>
      <c r="AE1036" s="140"/>
      <c r="AF1036" s="140"/>
      <c r="AG1036" s="140"/>
      <c r="AH1036" s="140"/>
      <c r="AI1036" s="128"/>
      <c r="AJ1036" s="137"/>
      <c r="AK1036" s="140"/>
      <c r="AL1036" s="140"/>
    </row>
    <row r="1037" ht="15.75" customHeight="1">
      <c r="A1037" s="122">
        <v>1036.0</v>
      </c>
      <c r="B1037" s="138">
        <f t="shared" si="109"/>
        <v>11036</v>
      </c>
      <c r="C1037" s="393">
        <v>2.0</v>
      </c>
      <c r="D1037" s="122" t="s">
        <v>3209</v>
      </c>
      <c r="E1037" s="125" t="s">
        <v>34</v>
      </c>
      <c r="F1037" s="269" t="s">
        <v>3262</v>
      </c>
      <c r="G1037" s="269" t="s">
        <v>1736</v>
      </c>
      <c r="H1037" s="128" t="s">
        <v>1844</v>
      </c>
      <c r="I1037" s="140" t="s">
        <v>1843</v>
      </c>
      <c r="J1037" s="149" t="s">
        <v>1876</v>
      </c>
      <c r="K1037" s="128" t="s">
        <v>2348</v>
      </c>
      <c r="L1037" s="128" t="s">
        <v>1990</v>
      </c>
      <c r="M1037" s="128" t="s">
        <v>1845</v>
      </c>
      <c r="N1037" s="128" t="s">
        <v>1844</v>
      </c>
      <c r="O1037" s="140" t="s">
        <v>1879</v>
      </c>
      <c r="P1037" s="140" t="s">
        <v>1862</v>
      </c>
      <c r="Q1037" s="140"/>
      <c r="R1037" s="140" t="s">
        <v>1845</v>
      </c>
      <c r="S1037" s="140"/>
      <c r="T1037" s="140"/>
      <c r="U1037" s="140"/>
      <c r="V1037" s="140"/>
      <c r="W1037" s="140" t="s">
        <v>1845</v>
      </c>
      <c r="X1037" s="128"/>
      <c r="Y1037" s="128"/>
      <c r="Z1037" s="140"/>
      <c r="AA1037" s="140"/>
      <c r="AB1037" s="140"/>
      <c r="AC1037" s="140"/>
      <c r="AD1037" s="140"/>
      <c r="AE1037" s="140"/>
      <c r="AF1037" s="140"/>
      <c r="AG1037" s="140"/>
      <c r="AH1037" s="140"/>
      <c r="AI1037" s="128"/>
      <c r="AJ1037" s="137"/>
      <c r="AK1037" s="140"/>
      <c r="AL1037" s="140"/>
    </row>
    <row r="1038" ht="15.75" customHeight="1">
      <c r="A1038" s="122">
        <v>1037.0</v>
      </c>
      <c r="B1038" s="123" t="s">
        <v>1742</v>
      </c>
      <c r="C1038" s="393">
        <v>2.0</v>
      </c>
      <c r="D1038" s="122" t="s">
        <v>2099</v>
      </c>
      <c r="E1038" s="125" t="s">
        <v>7</v>
      </c>
      <c r="F1038" s="126" t="s">
        <v>3263</v>
      </c>
      <c r="G1038" s="269" t="s">
        <v>1738</v>
      </c>
      <c r="H1038" s="128" t="s">
        <v>1844</v>
      </c>
      <c r="I1038" s="140" t="s">
        <v>1843</v>
      </c>
      <c r="J1038" s="149" t="s">
        <v>1844</v>
      </c>
      <c r="K1038" s="128" t="s">
        <v>1844</v>
      </c>
      <c r="L1038" s="128" t="s">
        <v>1844</v>
      </c>
      <c r="M1038" s="128" t="s">
        <v>1844</v>
      </c>
      <c r="N1038" s="128" t="s">
        <v>1844</v>
      </c>
      <c r="O1038" s="140" t="s">
        <v>1844</v>
      </c>
      <c r="P1038" s="140" t="s">
        <v>1844</v>
      </c>
      <c r="Q1038" s="140" t="s">
        <v>1845</v>
      </c>
      <c r="R1038" s="140"/>
      <c r="S1038" s="140"/>
      <c r="T1038" s="140" t="s">
        <v>1845</v>
      </c>
      <c r="U1038" s="140"/>
      <c r="V1038" s="140"/>
      <c r="W1038" s="140" t="s">
        <v>1845</v>
      </c>
      <c r="X1038" s="128"/>
      <c r="Y1038" s="128"/>
      <c r="Z1038" s="140"/>
      <c r="AA1038" s="140"/>
      <c r="AB1038" s="140"/>
      <c r="AC1038" s="140"/>
      <c r="AD1038" s="140"/>
      <c r="AE1038" s="140"/>
      <c r="AF1038" s="140"/>
      <c r="AG1038" s="140"/>
      <c r="AH1038" s="140"/>
      <c r="AI1038" s="128"/>
      <c r="AJ1038" s="137"/>
      <c r="AK1038" s="140"/>
      <c r="AL1038" s="140"/>
    </row>
    <row r="1039" ht="15.75" customHeight="1">
      <c r="A1039" s="122">
        <v>1038.0</v>
      </c>
      <c r="B1039" s="123" t="s">
        <v>1742</v>
      </c>
      <c r="C1039" s="393">
        <v>2.0</v>
      </c>
      <c r="D1039" s="122" t="s">
        <v>3264</v>
      </c>
      <c r="E1039" s="125" t="s">
        <v>7</v>
      </c>
      <c r="F1039" s="269" t="s">
        <v>3265</v>
      </c>
      <c r="G1039" s="269" t="s">
        <v>3266</v>
      </c>
      <c r="H1039" s="269" t="s">
        <v>1844</v>
      </c>
      <c r="I1039" s="140" t="s">
        <v>1843</v>
      </c>
      <c r="J1039" s="149" t="s">
        <v>1844</v>
      </c>
      <c r="K1039" s="128" t="s">
        <v>1844</v>
      </c>
      <c r="L1039" s="128" t="s">
        <v>1844</v>
      </c>
      <c r="M1039" s="128" t="s">
        <v>1844</v>
      </c>
      <c r="N1039" s="140" t="s">
        <v>1844</v>
      </c>
      <c r="O1039" s="140" t="s">
        <v>1844</v>
      </c>
      <c r="P1039" s="140" t="s">
        <v>1844</v>
      </c>
      <c r="Q1039" s="140" t="s">
        <v>1845</v>
      </c>
      <c r="R1039" s="140"/>
      <c r="S1039" s="140" t="s">
        <v>1845</v>
      </c>
      <c r="T1039" s="140" t="s">
        <v>1845</v>
      </c>
      <c r="U1039" s="140"/>
      <c r="V1039" s="140"/>
      <c r="W1039" s="140"/>
      <c r="X1039" s="128"/>
      <c r="Y1039" s="128"/>
      <c r="Z1039" s="140"/>
      <c r="AA1039" s="140"/>
      <c r="AB1039" s="140"/>
      <c r="AC1039" s="140"/>
      <c r="AD1039" s="140"/>
      <c r="AE1039" s="140"/>
      <c r="AF1039" s="140"/>
      <c r="AG1039" s="140"/>
      <c r="AH1039" s="140"/>
      <c r="AI1039" s="128"/>
      <c r="AJ1039" s="137"/>
      <c r="AK1039" s="140"/>
      <c r="AL1039" s="140"/>
    </row>
    <row r="1040" ht="15.75" customHeight="1">
      <c r="A1040" s="122">
        <v>1039.0</v>
      </c>
      <c r="B1040" s="138">
        <f t="shared" ref="B1040:B1042" si="110">SUM(A1040+10000)</f>
        <v>11039</v>
      </c>
      <c r="C1040" s="396">
        <v>2.0</v>
      </c>
      <c r="D1040" s="122" t="s">
        <v>3264</v>
      </c>
      <c r="E1040" s="125" t="s">
        <v>7</v>
      </c>
      <c r="F1040" s="320" t="s">
        <v>3267</v>
      </c>
      <c r="G1040" s="127" t="s">
        <v>1743</v>
      </c>
      <c r="H1040" s="128" t="s">
        <v>1844</v>
      </c>
      <c r="I1040" s="140" t="s">
        <v>1843</v>
      </c>
      <c r="J1040" s="149" t="s">
        <v>1844</v>
      </c>
      <c r="K1040" s="128" t="s">
        <v>1844</v>
      </c>
      <c r="L1040" s="128" t="s">
        <v>1844</v>
      </c>
      <c r="M1040" s="128" t="s">
        <v>1844</v>
      </c>
      <c r="N1040" s="140" t="s">
        <v>1844</v>
      </c>
      <c r="O1040" s="140" t="s">
        <v>1844</v>
      </c>
      <c r="P1040" s="140" t="s">
        <v>1844</v>
      </c>
      <c r="Q1040" s="140"/>
      <c r="R1040" s="140"/>
      <c r="S1040" s="140" t="s">
        <v>1845</v>
      </c>
      <c r="T1040" s="140" t="s">
        <v>1845</v>
      </c>
      <c r="U1040" s="140"/>
      <c r="V1040" s="140"/>
      <c r="W1040" s="140"/>
      <c r="X1040" s="128"/>
      <c r="Y1040" s="128"/>
      <c r="Z1040" s="140"/>
      <c r="AA1040" s="140"/>
      <c r="AB1040" s="140"/>
      <c r="AC1040" s="140"/>
      <c r="AD1040" s="140"/>
      <c r="AE1040" s="140"/>
      <c r="AF1040" s="140"/>
      <c r="AG1040" s="140"/>
      <c r="AH1040" s="140"/>
      <c r="AI1040" s="140"/>
      <c r="AJ1040" s="128"/>
      <c r="AK1040" s="140"/>
      <c r="AL1040" s="140"/>
    </row>
    <row r="1041" ht="15.75" customHeight="1">
      <c r="A1041" s="122">
        <v>1040.0</v>
      </c>
      <c r="B1041" s="138">
        <f t="shared" si="110"/>
        <v>11040</v>
      </c>
      <c r="C1041" s="396">
        <v>2.0</v>
      </c>
      <c r="D1041" s="122" t="s">
        <v>3264</v>
      </c>
      <c r="E1041" s="125" t="s">
        <v>34</v>
      </c>
      <c r="F1041" s="320" t="s">
        <v>3268</v>
      </c>
      <c r="G1041" s="397" t="s">
        <v>1745</v>
      </c>
      <c r="H1041" s="128" t="s">
        <v>1844</v>
      </c>
      <c r="I1041" s="140" t="s">
        <v>1843</v>
      </c>
      <c r="J1041" s="149" t="s">
        <v>1876</v>
      </c>
      <c r="K1041" s="128" t="s">
        <v>2348</v>
      </c>
      <c r="L1041" s="128" t="s">
        <v>1878</v>
      </c>
      <c r="M1041" s="128" t="s">
        <v>1845</v>
      </c>
      <c r="N1041" s="140" t="s">
        <v>1844</v>
      </c>
      <c r="O1041" s="140" t="s">
        <v>1879</v>
      </c>
      <c r="P1041" s="140" t="s">
        <v>1862</v>
      </c>
      <c r="Q1041" s="140"/>
      <c r="R1041" s="140" t="s">
        <v>1845</v>
      </c>
      <c r="S1041" s="140" t="s">
        <v>1845</v>
      </c>
      <c r="T1041" s="140"/>
      <c r="U1041" s="140"/>
      <c r="V1041" s="140"/>
      <c r="W1041" s="140" t="s">
        <v>1845</v>
      </c>
      <c r="X1041" s="128"/>
      <c r="Y1041" s="128"/>
      <c r="Z1041" s="140"/>
      <c r="AA1041" s="140"/>
      <c r="AB1041" s="140"/>
      <c r="AC1041" s="140"/>
      <c r="AD1041" s="140"/>
      <c r="AE1041" s="140"/>
      <c r="AF1041" s="140"/>
      <c r="AG1041" s="140"/>
      <c r="AH1041" s="140"/>
      <c r="AI1041" s="140"/>
      <c r="AJ1041" s="128"/>
      <c r="AK1041" s="140"/>
      <c r="AL1041" s="140"/>
    </row>
    <row r="1042" ht="15.75" customHeight="1">
      <c r="A1042" s="122">
        <v>1041.0</v>
      </c>
      <c r="B1042" s="138">
        <f t="shared" si="110"/>
        <v>11041</v>
      </c>
      <c r="C1042" s="396">
        <v>2.0</v>
      </c>
      <c r="D1042" s="122" t="s">
        <v>3241</v>
      </c>
      <c r="E1042" s="125" t="s">
        <v>34</v>
      </c>
      <c r="F1042" s="320" t="s">
        <v>3269</v>
      </c>
      <c r="G1042" s="398" t="s">
        <v>1747</v>
      </c>
      <c r="H1042" s="128" t="s">
        <v>1844</v>
      </c>
      <c r="I1042" s="140" t="s">
        <v>1906</v>
      </c>
      <c r="J1042" s="227" t="s">
        <v>1876</v>
      </c>
      <c r="K1042" s="128" t="s">
        <v>2348</v>
      </c>
      <c r="L1042" s="140" t="s">
        <v>1844</v>
      </c>
      <c r="M1042" s="128" t="s">
        <v>1845</v>
      </c>
      <c r="N1042" s="140" t="s">
        <v>1844</v>
      </c>
      <c r="O1042" s="140" t="s">
        <v>1879</v>
      </c>
      <c r="P1042" s="140" t="s">
        <v>1862</v>
      </c>
      <c r="Q1042" s="140"/>
      <c r="R1042" s="140"/>
      <c r="S1042" s="140"/>
      <c r="T1042" s="140"/>
      <c r="U1042" s="140" t="s">
        <v>1845</v>
      </c>
      <c r="V1042" s="140" t="s">
        <v>1845</v>
      </c>
      <c r="W1042" s="140"/>
      <c r="X1042" s="128"/>
      <c r="Y1042" s="128"/>
      <c r="Z1042" s="140"/>
      <c r="AA1042" s="140"/>
      <c r="AB1042" s="140"/>
      <c r="AC1042" s="140"/>
      <c r="AD1042" s="140"/>
      <c r="AE1042" s="140"/>
      <c r="AF1042" s="140"/>
      <c r="AG1042" s="140"/>
      <c r="AH1042" s="140"/>
      <c r="AI1042" s="140"/>
      <c r="AJ1042" s="128"/>
      <c r="AK1042" s="140"/>
      <c r="AL1042" s="140"/>
    </row>
    <row r="1043" ht="15.75" customHeight="1">
      <c r="A1043" s="122">
        <v>1042.0</v>
      </c>
      <c r="B1043" s="123" t="s">
        <v>1742</v>
      </c>
      <c r="C1043" s="396">
        <v>2.0</v>
      </c>
      <c r="D1043" s="122" t="s">
        <v>1846</v>
      </c>
      <c r="E1043" s="125" t="s">
        <v>7</v>
      </c>
      <c r="F1043" s="320" t="s">
        <v>3270</v>
      </c>
      <c r="G1043" s="202" t="s">
        <v>1749</v>
      </c>
      <c r="H1043" s="128" t="s">
        <v>1844</v>
      </c>
      <c r="I1043" s="140" t="s">
        <v>1906</v>
      </c>
      <c r="J1043" s="149" t="s">
        <v>1844</v>
      </c>
      <c r="K1043" s="128" t="s">
        <v>1844</v>
      </c>
      <c r="L1043" s="128" t="s">
        <v>1844</v>
      </c>
      <c r="M1043" s="128" t="s">
        <v>1844</v>
      </c>
      <c r="N1043" s="140" t="s">
        <v>1844</v>
      </c>
      <c r="O1043" s="140" t="s">
        <v>1844</v>
      </c>
      <c r="P1043" s="140" t="s">
        <v>1844</v>
      </c>
      <c r="Q1043" s="140" t="s">
        <v>1845</v>
      </c>
      <c r="R1043" s="140"/>
      <c r="S1043" s="140"/>
      <c r="T1043" s="140"/>
      <c r="U1043" s="140"/>
      <c r="V1043" s="140" t="s">
        <v>1845</v>
      </c>
      <c r="W1043" s="140"/>
      <c r="X1043" s="128"/>
      <c r="Y1043" s="128"/>
      <c r="Z1043" s="140"/>
      <c r="AA1043" s="140"/>
      <c r="AB1043" s="140"/>
      <c r="AC1043" s="140"/>
      <c r="AD1043" s="140"/>
      <c r="AE1043" s="140"/>
      <c r="AF1043" s="140"/>
      <c r="AG1043" s="140"/>
      <c r="AH1043" s="140"/>
      <c r="AI1043" s="140"/>
      <c r="AJ1043" s="128"/>
      <c r="AK1043" s="140"/>
      <c r="AL1043" s="140"/>
    </row>
    <row r="1044" ht="15.75" customHeight="1">
      <c r="A1044" s="122">
        <v>1043.0</v>
      </c>
      <c r="B1044" s="138">
        <f>SUM(A1044+10000)</f>
        <v>11043</v>
      </c>
      <c r="C1044" s="396">
        <v>2.0</v>
      </c>
      <c r="D1044" s="122" t="s">
        <v>3209</v>
      </c>
      <c r="E1044" s="125" t="s">
        <v>34</v>
      </c>
      <c r="F1044" s="320" t="s">
        <v>3271</v>
      </c>
      <c r="G1044" s="301" t="s">
        <v>1751</v>
      </c>
      <c r="H1044" s="128" t="s">
        <v>1844</v>
      </c>
      <c r="I1044" s="140" t="s">
        <v>1843</v>
      </c>
      <c r="J1044" s="149" t="s">
        <v>1876</v>
      </c>
      <c r="K1044" s="128" t="s">
        <v>2348</v>
      </c>
      <c r="L1044" s="128" t="s">
        <v>1878</v>
      </c>
      <c r="M1044" s="128" t="s">
        <v>1845</v>
      </c>
      <c r="N1044" s="140" t="s">
        <v>1844</v>
      </c>
      <c r="O1044" s="140" t="s">
        <v>1879</v>
      </c>
      <c r="P1044" s="140" t="s">
        <v>1862</v>
      </c>
      <c r="Q1044" s="140"/>
      <c r="R1044" s="140"/>
      <c r="S1044" s="140" t="s">
        <v>1845</v>
      </c>
      <c r="T1044" s="140"/>
      <c r="U1044" s="140"/>
      <c r="V1044" s="140"/>
      <c r="W1044" s="140" t="s">
        <v>1845</v>
      </c>
      <c r="X1044" s="128" t="s">
        <v>1845</v>
      </c>
      <c r="Y1044" s="128"/>
      <c r="Z1044" s="140"/>
      <c r="AA1044" s="140"/>
      <c r="AB1044" s="140"/>
      <c r="AC1044" s="140"/>
      <c r="AD1044" s="140"/>
      <c r="AE1044" s="140"/>
      <c r="AF1044" s="140"/>
      <c r="AG1044" s="140"/>
      <c r="AH1044" s="140"/>
      <c r="AI1044" s="140"/>
      <c r="AJ1044" s="128"/>
      <c r="AK1044" s="140"/>
      <c r="AL1044" s="140"/>
    </row>
    <row r="1045" ht="15.75" customHeight="1">
      <c r="A1045" s="122">
        <v>1044.0</v>
      </c>
      <c r="B1045" s="123" t="s">
        <v>1742</v>
      </c>
      <c r="C1045" s="396">
        <v>2.0</v>
      </c>
      <c r="D1045" s="122" t="s">
        <v>3241</v>
      </c>
      <c r="E1045" s="125" t="s">
        <v>7</v>
      </c>
      <c r="F1045" s="320" t="s">
        <v>3272</v>
      </c>
      <c r="G1045" s="301" t="s">
        <v>3273</v>
      </c>
      <c r="H1045" s="128" t="s">
        <v>1844</v>
      </c>
      <c r="I1045" s="140" t="s">
        <v>1843</v>
      </c>
      <c r="J1045" s="149" t="s">
        <v>1844</v>
      </c>
      <c r="K1045" s="128" t="s">
        <v>1844</v>
      </c>
      <c r="L1045" s="128" t="s">
        <v>1844</v>
      </c>
      <c r="M1045" s="128" t="s">
        <v>1844</v>
      </c>
      <c r="N1045" s="140" t="s">
        <v>1844</v>
      </c>
      <c r="O1045" s="140" t="s">
        <v>1844</v>
      </c>
      <c r="P1045" s="140" t="s">
        <v>1844</v>
      </c>
      <c r="Q1045" s="140" t="s">
        <v>1845</v>
      </c>
      <c r="R1045" s="140"/>
      <c r="S1045" s="140"/>
      <c r="T1045" s="140" t="s">
        <v>1845</v>
      </c>
      <c r="U1045" s="140"/>
      <c r="V1045" s="140"/>
      <c r="W1045" s="140"/>
      <c r="X1045" s="128"/>
      <c r="Y1045" s="128"/>
      <c r="Z1045" s="140"/>
      <c r="AA1045" s="140"/>
      <c r="AB1045" s="140"/>
      <c r="AC1045" s="140"/>
      <c r="AD1045" s="140"/>
      <c r="AE1045" s="140"/>
      <c r="AF1045" s="140"/>
      <c r="AG1045" s="140"/>
      <c r="AH1045" s="140"/>
      <c r="AI1045" s="140"/>
      <c r="AJ1045" s="128"/>
      <c r="AK1045" s="140"/>
      <c r="AL1045" s="140"/>
    </row>
    <row r="1046" ht="15.0" customHeight="1">
      <c r="A1046" s="122">
        <v>1045.0</v>
      </c>
      <c r="B1046" s="342">
        <f>SUM(A1046+10000)</f>
        <v>11045</v>
      </c>
      <c r="C1046" s="396">
        <v>2.0</v>
      </c>
      <c r="D1046" s="295" t="s">
        <v>3209</v>
      </c>
      <c r="E1046" s="141" t="s">
        <v>34</v>
      </c>
      <c r="F1046" s="334" t="s">
        <v>3274</v>
      </c>
      <c r="G1046" s="127" t="s">
        <v>1755</v>
      </c>
      <c r="H1046" s="136" t="s">
        <v>1844</v>
      </c>
      <c r="I1046" s="144" t="s">
        <v>1906</v>
      </c>
      <c r="J1046" s="186" t="s">
        <v>1876</v>
      </c>
      <c r="K1046" s="136" t="s">
        <v>2348</v>
      </c>
      <c r="L1046" s="136" t="s">
        <v>1844</v>
      </c>
      <c r="M1046" s="136" t="s">
        <v>1845</v>
      </c>
      <c r="N1046" s="144" t="s">
        <v>1844</v>
      </c>
      <c r="O1046" s="140" t="s">
        <v>1879</v>
      </c>
      <c r="P1046" s="140" t="s">
        <v>1862</v>
      </c>
      <c r="Q1046" s="144" t="s">
        <v>1845</v>
      </c>
      <c r="R1046" s="144"/>
      <c r="S1046" s="144"/>
      <c r="T1046" s="144"/>
      <c r="U1046" s="144"/>
      <c r="V1046" s="144" t="s">
        <v>1845</v>
      </c>
      <c r="W1046" s="144"/>
      <c r="X1046" s="136"/>
      <c r="Y1046" s="136"/>
      <c r="Z1046" s="144"/>
      <c r="AA1046" s="144"/>
      <c r="AB1046" s="144"/>
      <c r="AC1046" s="144"/>
      <c r="AD1046" s="144"/>
      <c r="AE1046" s="144"/>
      <c r="AF1046" s="144"/>
      <c r="AG1046" s="144"/>
      <c r="AH1046" s="144"/>
      <c r="AI1046" s="136"/>
      <c r="AJ1046" s="136"/>
      <c r="AK1046" s="144"/>
      <c r="AL1046" s="140"/>
    </row>
    <row r="1047" ht="15.0" customHeight="1">
      <c r="A1047" s="122">
        <v>1046.0</v>
      </c>
      <c r="B1047" s="123" t="s">
        <v>1742</v>
      </c>
      <c r="C1047" s="396">
        <v>2.0</v>
      </c>
      <c r="D1047" s="122" t="s">
        <v>3241</v>
      </c>
      <c r="E1047" s="125" t="s">
        <v>7</v>
      </c>
      <c r="F1047" s="126" t="s">
        <v>3275</v>
      </c>
      <c r="G1047" s="301" t="s">
        <v>1757</v>
      </c>
      <c r="H1047" s="128" t="s">
        <v>1844</v>
      </c>
      <c r="I1047" s="140" t="s">
        <v>1843</v>
      </c>
      <c r="J1047" s="149" t="s">
        <v>1844</v>
      </c>
      <c r="K1047" s="128" t="s">
        <v>1844</v>
      </c>
      <c r="L1047" s="128" t="s">
        <v>1844</v>
      </c>
      <c r="M1047" s="128" t="s">
        <v>1844</v>
      </c>
      <c r="N1047" s="140" t="s">
        <v>1844</v>
      </c>
      <c r="O1047" s="140" t="s">
        <v>1844</v>
      </c>
      <c r="P1047" s="140" t="s">
        <v>1844</v>
      </c>
      <c r="Q1047" s="140" t="s">
        <v>1845</v>
      </c>
      <c r="R1047" s="140"/>
      <c r="S1047" s="140"/>
      <c r="T1047" s="140"/>
      <c r="U1047" s="140"/>
      <c r="V1047" s="140"/>
      <c r="W1047" s="140" t="s">
        <v>1845</v>
      </c>
      <c r="X1047" s="128"/>
      <c r="Y1047" s="128"/>
      <c r="Z1047" s="140"/>
      <c r="AA1047" s="140"/>
      <c r="AB1047" s="140"/>
      <c r="AC1047" s="140"/>
      <c r="AD1047" s="140"/>
      <c r="AE1047" s="140"/>
      <c r="AF1047" s="140"/>
      <c r="AG1047" s="140"/>
      <c r="AH1047" s="140"/>
      <c r="AI1047" s="140"/>
      <c r="AJ1047" s="128"/>
      <c r="AK1047" s="140"/>
      <c r="AL1047" s="140"/>
    </row>
    <row r="1048" ht="15.0" customHeight="1">
      <c r="A1048" s="122">
        <v>1047.0</v>
      </c>
      <c r="B1048" s="138">
        <f t="shared" ref="B1048:B1051" si="111">SUM(A1048+10000)</f>
        <v>11047</v>
      </c>
      <c r="C1048" s="396">
        <v>2.0</v>
      </c>
      <c r="D1048" s="122" t="s">
        <v>3241</v>
      </c>
      <c r="E1048" s="125" t="s">
        <v>7</v>
      </c>
      <c r="F1048" s="126" t="s">
        <v>3276</v>
      </c>
      <c r="G1048" s="127" t="s">
        <v>1759</v>
      </c>
      <c r="H1048" s="128" t="s">
        <v>1844</v>
      </c>
      <c r="I1048" s="140" t="s">
        <v>1906</v>
      </c>
      <c r="J1048" s="149" t="s">
        <v>1844</v>
      </c>
      <c r="K1048" s="128" t="s">
        <v>1844</v>
      </c>
      <c r="L1048" s="128" t="s">
        <v>1844</v>
      </c>
      <c r="M1048" s="128" t="s">
        <v>1844</v>
      </c>
      <c r="N1048" s="140" t="s">
        <v>1844</v>
      </c>
      <c r="O1048" s="140" t="s">
        <v>1844</v>
      </c>
      <c r="P1048" s="140" t="s">
        <v>1844</v>
      </c>
      <c r="Q1048" s="140"/>
      <c r="R1048" s="140"/>
      <c r="S1048" s="140"/>
      <c r="T1048" s="140"/>
      <c r="U1048" s="140" t="s">
        <v>1845</v>
      </c>
      <c r="V1048" s="140" t="s">
        <v>1845</v>
      </c>
      <c r="W1048" s="140"/>
      <c r="X1048" s="128" t="s">
        <v>1845</v>
      </c>
      <c r="Y1048" s="128"/>
      <c r="Z1048" s="140"/>
      <c r="AA1048" s="140"/>
      <c r="AB1048" s="140"/>
      <c r="AC1048" s="140"/>
      <c r="AD1048" s="140"/>
      <c r="AE1048" s="140"/>
      <c r="AF1048" s="140"/>
      <c r="AG1048" s="140"/>
      <c r="AH1048" s="140"/>
      <c r="AI1048" s="140"/>
      <c r="AJ1048" s="128"/>
      <c r="AK1048" s="140"/>
      <c r="AL1048" s="140"/>
    </row>
    <row r="1049" ht="15.0" customHeight="1">
      <c r="A1049" s="122">
        <v>1048.0</v>
      </c>
      <c r="B1049" s="138">
        <f t="shared" si="111"/>
        <v>11048</v>
      </c>
      <c r="C1049" s="396">
        <v>2.0</v>
      </c>
      <c r="D1049" s="122" t="s">
        <v>3264</v>
      </c>
      <c r="E1049" s="125" t="s">
        <v>34</v>
      </c>
      <c r="F1049" s="126" t="s">
        <v>3277</v>
      </c>
      <c r="G1049" s="301" t="s">
        <v>1761</v>
      </c>
      <c r="H1049" s="128" t="s">
        <v>1844</v>
      </c>
      <c r="I1049" s="140" t="s">
        <v>1843</v>
      </c>
      <c r="J1049" s="149" t="s">
        <v>1902</v>
      </c>
      <c r="K1049" s="128" t="s">
        <v>1877</v>
      </c>
      <c r="L1049" s="128" t="s">
        <v>1878</v>
      </c>
      <c r="M1049" s="128" t="s">
        <v>1845</v>
      </c>
      <c r="N1049" s="140">
        <v>1.0</v>
      </c>
      <c r="O1049" s="140" t="s">
        <v>1879</v>
      </c>
      <c r="P1049" s="140" t="s">
        <v>1862</v>
      </c>
      <c r="Q1049" s="140"/>
      <c r="R1049" s="140" t="s">
        <v>1845</v>
      </c>
      <c r="S1049" s="140" t="s">
        <v>1845</v>
      </c>
      <c r="T1049" s="140"/>
      <c r="U1049" s="140"/>
      <c r="V1049" s="140"/>
      <c r="W1049" s="140"/>
      <c r="X1049" s="128"/>
      <c r="Y1049" s="128"/>
      <c r="Z1049" s="140"/>
      <c r="AA1049" s="140"/>
      <c r="AB1049" s="140"/>
      <c r="AC1049" s="140"/>
      <c r="AD1049" s="140"/>
      <c r="AE1049" s="140"/>
      <c r="AF1049" s="140"/>
      <c r="AG1049" s="140"/>
      <c r="AH1049" s="140"/>
      <c r="AI1049" s="140"/>
      <c r="AJ1049" s="128"/>
      <c r="AK1049" s="140"/>
      <c r="AL1049" s="140"/>
    </row>
    <row r="1050" ht="15.75" customHeight="1">
      <c r="A1050" s="122">
        <v>1049.0</v>
      </c>
      <c r="B1050" s="138">
        <f t="shared" si="111"/>
        <v>11049</v>
      </c>
      <c r="C1050" s="396">
        <v>2.0</v>
      </c>
      <c r="D1050" s="122" t="s">
        <v>3209</v>
      </c>
      <c r="E1050" s="125" t="s">
        <v>20</v>
      </c>
      <c r="F1050" s="320" t="s">
        <v>3278</v>
      </c>
      <c r="G1050" s="320" t="s">
        <v>1763</v>
      </c>
      <c r="H1050" s="128" t="s">
        <v>1844</v>
      </c>
      <c r="I1050" s="140" t="s">
        <v>1843</v>
      </c>
      <c r="J1050" s="149" t="s">
        <v>1844</v>
      </c>
      <c r="K1050" s="128" t="s">
        <v>1844</v>
      </c>
      <c r="L1050" s="136" t="s">
        <v>1844</v>
      </c>
      <c r="M1050" s="136" t="s">
        <v>1845</v>
      </c>
      <c r="N1050" s="144" t="s">
        <v>1844</v>
      </c>
      <c r="O1050" s="144" t="s">
        <v>1844</v>
      </c>
      <c r="P1050" s="144" t="s">
        <v>1862</v>
      </c>
      <c r="Q1050" s="144"/>
      <c r="R1050" s="144" t="s">
        <v>1845</v>
      </c>
      <c r="S1050" s="144"/>
      <c r="T1050" s="144"/>
      <c r="U1050" s="144"/>
      <c r="V1050" s="144"/>
      <c r="W1050" s="144" t="s">
        <v>1845</v>
      </c>
      <c r="X1050" s="136"/>
      <c r="Y1050" s="136"/>
      <c r="Z1050" s="140"/>
      <c r="AA1050" s="144"/>
      <c r="AB1050" s="144"/>
      <c r="AC1050" s="144"/>
      <c r="AD1050" s="144"/>
      <c r="AE1050" s="144"/>
      <c r="AF1050" s="144"/>
      <c r="AG1050" s="140"/>
      <c r="AH1050" s="144"/>
      <c r="AI1050" s="140"/>
      <c r="AJ1050" s="128"/>
      <c r="AK1050" s="140"/>
      <c r="AL1050" s="140"/>
    </row>
    <row r="1051" ht="15.75" customHeight="1">
      <c r="A1051" s="122">
        <v>1050.0</v>
      </c>
      <c r="B1051" s="138">
        <f t="shared" si="111"/>
        <v>11050</v>
      </c>
      <c r="C1051" s="396">
        <v>2.0</v>
      </c>
      <c r="D1051" s="122" t="s">
        <v>3241</v>
      </c>
      <c r="E1051" s="125" t="s">
        <v>34</v>
      </c>
      <c r="F1051" s="126" t="s">
        <v>3279</v>
      </c>
      <c r="G1051" s="389" t="s">
        <v>1765</v>
      </c>
      <c r="H1051" s="128" t="s">
        <v>1844</v>
      </c>
      <c r="I1051" s="140" t="s">
        <v>1843</v>
      </c>
      <c r="J1051" s="149" t="s">
        <v>1902</v>
      </c>
      <c r="K1051" s="170" t="s">
        <v>1877</v>
      </c>
      <c r="L1051" s="128" t="s">
        <v>1878</v>
      </c>
      <c r="M1051" s="128" t="s">
        <v>1845</v>
      </c>
      <c r="N1051" s="140">
        <v>1.0</v>
      </c>
      <c r="O1051" s="140" t="s">
        <v>1879</v>
      </c>
      <c r="P1051" s="140" t="s">
        <v>1862</v>
      </c>
      <c r="Q1051" s="140"/>
      <c r="R1051" s="140"/>
      <c r="S1051" s="140" t="s">
        <v>1845</v>
      </c>
      <c r="T1051" s="140"/>
      <c r="U1051" s="140"/>
      <c r="V1051" s="140"/>
      <c r="W1051" s="140" t="s">
        <v>1845</v>
      </c>
      <c r="X1051" s="128"/>
      <c r="Y1051" s="128"/>
      <c r="Z1051" s="128"/>
      <c r="AA1051" s="140"/>
      <c r="AB1051" s="140"/>
      <c r="AC1051" s="140"/>
      <c r="AD1051" s="140"/>
      <c r="AE1051" s="140"/>
      <c r="AF1051" s="140"/>
      <c r="AG1051" s="140"/>
      <c r="AH1051" s="140"/>
      <c r="AI1051" s="140"/>
      <c r="AJ1051" s="128"/>
      <c r="AK1051" s="140"/>
      <c r="AL1051" s="140"/>
    </row>
    <row r="1052" ht="15.75" customHeight="1">
      <c r="A1052" s="122">
        <v>1051.0</v>
      </c>
      <c r="B1052" s="123" t="s">
        <v>1742</v>
      </c>
      <c r="C1052" s="396">
        <v>2.0</v>
      </c>
      <c r="D1052" s="122" t="s">
        <v>3209</v>
      </c>
      <c r="E1052" s="125" t="s">
        <v>34</v>
      </c>
      <c r="F1052" s="320" t="s">
        <v>3280</v>
      </c>
      <c r="G1052" s="320" t="s">
        <v>1767</v>
      </c>
      <c r="H1052" s="128" t="s">
        <v>1844</v>
      </c>
      <c r="I1052" s="140" t="s">
        <v>1843</v>
      </c>
      <c r="J1052" s="149" t="s">
        <v>1876</v>
      </c>
      <c r="K1052" s="128" t="s">
        <v>2348</v>
      </c>
      <c r="L1052" s="128" t="s">
        <v>1878</v>
      </c>
      <c r="M1052" s="128" t="s">
        <v>1845</v>
      </c>
      <c r="N1052" s="144" t="s">
        <v>1844</v>
      </c>
      <c r="O1052" s="144" t="s">
        <v>1879</v>
      </c>
      <c r="P1052" s="144" t="s">
        <v>1862</v>
      </c>
      <c r="Q1052" s="144" t="s">
        <v>1845</v>
      </c>
      <c r="R1052" s="144" t="s">
        <v>1845</v>
      </c>
      <c r="S1052" s="144"/>
      <c r="T1052" s="144"/>
      <c r="U1052" s="144"/>
      <c r="V1052" s="144"/>
      <c r="W1052" s="144"/>
      <c r="X1052" s="128"/>
      <c r="Y1052" s="128"/>
      <c r="Z1052" s="140"/>
      <c r="AA1052" s="144"/>
      <c r="AB1052" s="144"/>
      <c r="AC1052" s="144"/>
      <c r="AD1052" s="144"/>
      <c r="AE1052" s="144"/>
      <c r="AF1052" s="144"/>
      <c r="AG1052" s="140"/>
      <c r="AH1052" s="144"/>
      <c r="AI1052" s="140"/>
      <c r="AJ1052" s="128"/>
      <c r="AK1052" s="140"/>
      <c r="AL1052" s="140"/>
    </row>
    <row r="1053" ht="15.0" customHeight="1">
      <c r="A1053" s="122">
        <v>1052.0</v>
      </c>
      <c r="B1053" s="122">
        <f t="shared" ref="B1053:B1054" si="112">SUM(A1053+10000)</f>
        <v>11052</v>
      </c>
      <c r="C1053" s="396">
        <v>2.0</v>
      </c>
      <c r="D1053" s="122" t="s">
        <v>3241</v>
      </c>
      <c r="E1053" s="125" t="s">
        <v>34</v>
      </c>
      <c r="F1053" s="126" t="s">
        <v>3281</v>
      </c>
      <c r="G1053" s="126" t="s">
        <v>1769</v>
      </c>
      <c r="H1053" s="128" t="s">
        <v>1844</v>
      </c>
      <c r="I1053" s="140" t="s">
        <v>1843</v>
      </c>
      <c r="J1053" s="149" t="s">
        <v>1902</v>
      </c>
      <c r="K1053" s="128" t="s">
        <v>1877</v>
      </c>
      <c r="L1053" s="128" t="s">
        <v>1878</v>
      </c>
      <c r="M1053" s="128" t="s">
        <v>1845</v>
      </c>
      <c r="N1053" s="144">
        <v>1.0</v>
      </c>
      <c r="O1053" s="144" t="s">
        <v>1879</v>
      </c>
      <c r="P1053" s="140" t="s">
        <v>1862</v>
      </c>
      <c r="Q1053" s="144"/>
      <c r="R1053" s="144"/>
      <c r="S1053" s="144"/>
      <c r="T1053" s="144"/>
      <c r="U1053" s="144"/>
      <c r="V1053" s="144"/>
      <c r="W1053" s="144" t="s">
        <v>1845</v>
      </c>
      <c r="X1053" s="128" t="s">
        <v>1845</v>
      </c>
      <c r="Y1053" s="128"/>
      <c r="Z1053" s="140"/>
      <c r="AA1053" s="144"/>
      <c r="AB1053" s="144"/>
      <c r="AC1053" s="144"/>
      <c r="AD1053" s="144"/>
      <c r="AE1053" s="144"/>
      <c r="AF1053" s="144"/>
      <c r="AG1053" s="140"/>
      <c r="AH1053" s="144"/>
      <c r="AI1053" s="140"/>
      <c r="AJ1053" s="128"/>
      <c r="AK1053" s="140"/>
      <c r="AL1053" s="140"/>
    </row>
    <row r="1054" ht="17.25" customHeight="1">
      <c r="A1054" s="122">
        <v>1053.0</v>
      </c>
      <c r="B1054" s="138">
        <f t="shared" si="112"/>
        <v>11053</v>
      </c>
      <c r="C1054" s="396">
        <v>2.0</v>
      </c>
      <c r="D1054" s="122" t="s">
        <v>3241</v>
      </c>
      <c r="E1054" s="125" t="s">
        <v>34</v>
      </c>
      <c r="F1054" s="126" t="s">
        <v>3282</v>
      </c>
      <c r="G1054" s="320" t="s">
        <v>1771</v>
      </c>
      <c r="H1054" s="128" t="s">
        <v>1844</v>
      </c>
      <c r="I1054" s="140" t="s">
        <v>1843</v>
      </c>
      <c r="J1054" s="149" t="s">
        <v>1902</v>
      </c>
      <c r="K1054" s="128" t="s">
        <v>1877</v>
      </c>
      <c r="L1054" s="128" t="s">
        <v>1878</v>
      </c>
      <c r="M1054" s="128" t="s">
        <v>1845</v>
      </c>
      <c r="N1054" s="144">
        <v>1.0</v>
      </c>
      <c r="O1054" s="144" t="s">
        <v>1879</v>
      </c>
      <c r="P1054" s="140" t="s">
        <v>1862</v>
      </c>
      <c r="Q1054" s="144"/>
      <c r="R1054" s="144"/>
      <c r="S1054" s="144" t="s">
        <v>1845</v>
      </c>
      <c r="T1054" s="144"/>
      <c r="U1054" s="144"/>
      <c r="V1054" s="144"/>
      <c r="W1054" s="144" t="s">
        <v>1845</v>
      </c>
      <c r="X1054" s="128" t="s">
        <v>1845</v>
      </c>
      <c r="Y1054" s="128"/>
      <c r="Z1054" s="140"/>
      <c r="AA1054" s="144"/>
      <c r="AB1054" s="144"/>
      <c r="AC1054" s="144"/>
      <c r="AD1054" s="144"/>
      <c r="AE1054" s="144"/>
      <c r="AF1054" s="144"/>
      <c r="AG1054" s="140"/>
      <c r="AH1054" s="144"/>
      <c r="AI1054" s="140"/>
      <c r="AJ1054" s="128"/>
      <c r="AK1054" s="140"/>
      <c r="AL1054" s="140"/>
    </row>
    <row r="1055" ht="15.0" customHeight="1">
      <c r="A1055" s="122">
        <v>1054.0</v>
      </c>
      <c r="B1055" s="123" t="s">
        <v>1742</v>
      </c>
      <c r="C1055" s="396">
        <v>2.0</v>
      </c>
      <c r="D1055" s="122" t="s">
        <v>3241</v>
      </c>
      <c r="E1055" s="125" t="s">
        <v>7</v>
      </c>
      <c r="F1055" s="126" t="s">
        <v>3275</v>
      </c>
      <c r="G1055" s="126" t="s">
        <v>1773</v>
      </c>
      <c r="H1055" s="128" t="s">
        <v>1844</v>
      </c>
      <c r="I1055" s="140" t="s">
        <v>1843</v>
      </c>
      <c r="J1055" s="149" t="s">
        <v>1844</v>
      </c>
      <c r="K1055" s="170" t="s">
        <v>1844</v>
      </c>
      <c r="L1055" s="128" t="s">
        <v>1844</v>
      </c>
      <c r="M1055" s="128" t="s">
        <v>1844</v>
      </c>
      <c r="N1055" s="140" t="s">
        <v>1844</v>
      </c>
      <c r="O1055" s="144" t="s">
        <v>1844</v>
      </c>
      <c r="P1055" s="140" t="s">
        <v>1844</v>
      </c>
      <c r="Q1055" s="140" t="s">
        <v>1845</v>
      </c>
      <c r="R1055" s="140"/>
      <c r="S1055" s="140"/>
      <c r="T1055" s="140"/>
      <c r="U1055" s="140"/>
      <c r="V1055" s="140"/>
      <c r="W1055" s="140" t="s">
        <v>1845</v>
      </c>
      <c r="X1055" s="128"/>
      <c r="Y1055" s="128"/>
      <c r="Z1055" s="140"/>
      <c r="AA1055" s="140"/>
      <c r="AB1055" s="140"/>
      <c r="AC1055" s="140"/>
      <c r="AD1055" s="140"/>
      <c r="AE1055" s="140"/>
      <c r="AF1055" s="140"/>
      <c r="AG1055" s="140"/>
      <c r="AH1055" s="140"/>
      <c r="AI1055" s="140"/>
      <c r="AJ1055" s="137"/>
      <c r="AK1055" s="140"/>
      <c r="AL1055" s="140"/>
    </row>
    <row r="1056" ht="15.0" customHeight="1">
      <c r="A1056" s="122">
        <v>1055.0</v>
      </c>
      <c r="B1056" s="138">
        <f t="shared" ref="B1056:B1062" si="113">SUM(A1056+10000)</f>
        <v>11055</v>
      </c>
      <c r="C1056" s="396">
        <v>2.0</v>
      </c>
      <c r="D1056" s="122" t="s">
        <v>3264</v>
      </c>
      <c r="E1056" s="125" t="s">
        <v>34</v>
      </c>
      <c r="F1056" s="126" t="s">
        <v>3283</v>
      </c>
      <c r="G1056" s="399" t="s">
        <v>1775</v>
      </c>
      <c r="H1056" s="128" t="s">
        <v>1844</v>
      </c>
      <c r="I1056" s="140" t="s">
        <v>1843</v>
      </c>
      <c r="J1056" s="149" t="s">
        <v>1876</v>
      </c>
      <c r="K1056" s="128" t="s">
        <v>2348</v>
      </c>
      <c r="L1056" s="128" t="s">
        <v>1878</v>
      </c>
      <c r="M1056" s="128" t="s">
        <v>1845</v>
      </c>
      <c r="N1056" s="140" t="s">
        <v>1844</v>
      </c>
      <c r="O1056" s="140" t="s">
        <v>1879</v>
      </c>
      <c r="P1056" s="140" t="s">
        <v>1862</v>
      </c>
      <c r="Q1056" s="140"/>
      <c r="R1056" s="140" t="s">
        <v>1845</v>
      </c>
      <c r="S1056" s="140" t="s">
        <v>1845</v>
      </c>
      <c r="T1056" s="140"/>
      <c r="U1056" s="140"/>
      <c r="V1056" s="140"/>
      <c r="W1056" s="140"/>
      <c r="X1056" s="128"/>
      <c r="Y1056" s="128"/>
      <c r="Z1056" s="140"/>
      <c r="AA1056" s="140"/>
      <c r="AB1056" s="140"/>
      <c r="AC1056" s="140"/>
      <c r="AD1056" s="140"/>
      <c r="AE1056" s="140"/>
      <c r="AF1056" s="140"/>
      <c r="AG1056" s="140"/>
      <c r="AH1056" s="140"/>
      <c r="AI1056" s="140"/>
      <c r="AJ1056" s="128"/>
      <c r="AK1056" s="140"/>
      <c r="AL1056" s="140"/>
    </row>
    <row r="1057" ht="15.0" customHeight="1">
      <c r="A1057" s="122">
        <v>1056.0</v>
      </c>
      <c r="B1057" s="138">
        <f t="shared" si="113"/>
        <v>11056</v>
      </c>
      <c r="C1057" s="396">
        <v>2.0</v>
      </c>
      <c r="D1057" s="122" t="s">
        <v>3264</v>
      </c>
      <c r="E1057" s="125" t="s">
        <v>7</v>
      </c>
      <c r="F1057" s="126" t="s">
        <v>3284</v>
      </c>
      <c r="G1057" s="301" t="s">
        <v>1777</v>
      </c>
      <c r="H1057" s="128" t="s">
        <v>1844</v>
      </c>
      <c r="I1057" s="140" t="s">
        <v>1906</v>
      </c>
      <c r="J1057" s="149" t="s">
        <v>1844</v>
      </c>
      <c r="K1057" s="128" t="s">
        <v>1844</v>
      </c>
      <c r="L1057" s="128" t="s">
        <v>1844</v>
      </c>
      <c r="M1057" s="128" t="s">
        <v>1844</v>
      </c>
      <c r="N1057" s="128" t="s">
        <v>1844</v>
      </c>
      <c r="O1057" s="128" t="s">
        <v>1844</v>
      </c>
      <c r="P1057" s="140" t="s">
        <v>1844</v>
      </c>
      <c r="Q1057" s="140"/>
      <c r="R1057" s="140" t="s">
        <v>1845</v>
      </c>
      <c r="S1057" s="140" t="s">
        <v>1845</v>
      </c>
      <c r="T1057" s="140"/>
      <c r="U1057" s="140"/>
      <c r="V1057" s="140"/>
      <c r="W1057" s="140"/>
      <c r="X1057" s="128"/>
      <c r="Y1057" s="128"/>
      <c r="Z1057" s="140"/>
      <c r="AA1057" s="140"/>
      <c r="AB1057" s="140"/>
      <c r="AC1057" s="140"/>
      <c r="AD1057" s="140"/>
      <c r="AE1057" s="140"/>
      <c r="AF1057" s="140"/>
      <c r="AG1057" s="140"/>
      <c r="AH1057" s="140"/>
      <c r="AI1057" s="140"/>
      <c r="AJ1057" s="128"/>
      <c r="AK1057" s="140"/>
      <c r="AL1057" s="140"/>
    </row>
    <row r="1058" ht="15.0" customHeight="1">
      <c r="A1058" s="122">
        <v>1057.0</v>
      </c>
      <c r="B1058" s="138">
        <f t="shared" si="113"/>
        <v>11057</v>
      </c>
      <c r="C1058" s="396">
        <v>2.0</v>
      </c>
      <c r="D1058" s="122" t="s">
        <v>3209</v>
      </c>
      <c r="E1058" s="125" t="s">
        <v>34</v>
      </c>
      <c r="F1058" s="126" t="s">
        <v>3285</v>
      </c>
      <c r="G1058" s="127" t="s">
        <v>1779</v>
      </c>
      <c r="H1058" s="128" t="s">
        <v>1844</v>
      </c>
      <c r="I1058" s="140" t="s">
        <v>1843</v>
      </c>
      <c r="J1058" s="149" t="s">
        <v>1902</v>
      </c>
      <c r="K1058" s="128" t="s">
        <v>1877</v>
      </c>
      <c r="L1058" s="128" t="s">
        <v>1878</v>
      </c>
      <c r="M1058" s="128" t="s">
        <v>1845</v>
      </c>
      <c r="N1058" s="140">
        <v>1.0</v>
      </c>
      <c r="O1058" s="140" t="s">
        <v>1879</v>
      </c>
      <c r="P1058" s="140" t="s">
        <v>2318</v>
      </c>
      <c r="Q1058" s="140"/>
      <c r="R1058" s="140" t="s">
        <v>1845</v>
      </c>
      <c r="S1058" s="140"/>
      <c r="T1058" s="140"/>
      <c r="U1058" s="140"/>
      <c r="V1058" s="140"/>
      <c r="W1058" s="140"/>
      <c r="X1058" s="128"/>
      <c r="Y1058" s="128"/>
      <c r="Z1058" s="140"/>
      <c r="AA1058" s="140"/>
      <c r="AB1058" s="140"/>
      <c r="AC1058" s="140"/>
      <c r="AD1058" s="140"/>
      <c r="AE1058" s="140"/>
      <c r="AF1058" s="140"/>
      <c r="AG1058" s="140"/>
      <c r="AH1058" s="140"/>
      <c r="AI1058" s="140"/>
      <c r="AJ1058" s="128"/>
      <c r="AK1058" s="140"/>
      <c r="AL1058" s="140"/>
    </row>
    <row r="1059" ht="15.0" customHeight="1">
      <c r="A1059" s="122">
        <v>1058.0</v>
      </c>
      <c r="B1059" s="138">
        <f t="shared" si="113"/>
        <v>11058</v>
      </c>
      <c r="C1059" s="396">
        <v>2.0</v>
      </c>
      <c r="D1059" s="122" t="s">
        <v>3264</v>
      </c>
      <c r="E1059" s="125" t="s">
        <v>7</v>
      </c>
      <c r="F1059" s="126" t="s">
        <v>3286</v>
      </c>
      <c r="G1059" s="126" t="s">
        <v>1781</v>
      </c>
      <c r="H1059" s="128" t="s">
        <v>1844</v>
      </c>
      <c r="I1059" s="140" t="s">
        <v>1843</v>
      </c>
      <c r="J1059" s="186" t="s">
        <v>1844</v>
      </c>
      <c r="K1059" s="128" t="s">
        <v>1844</v>
      </c>
      <c r="L1059" s="136" t="s">
        <v>1844</v>
      </c>
      <c r="M1059" s="136" t="s">
        <v>1844</v>
      </c>
      <c r="N1059" s="144" t="s">
        <v>1844</v>
      </c>
      <c r="O1059" s="144" t="s">
        <v>1844</v>
      </c>
      <c r="P1059" s="144" t="s">
        <v>1844</v>
      </c>
      <c r="Q1059" s="144"/>
      <c r="R1059" s="144" t="s">
        <v>1845</v>
      </c>
      <c r="S1059" s="144" t="s">
        <v>1845</v>
      </c>
      <c r="T1059" s="144"/>
      <c r="U1059" s="144"/>
      <c r="V1059" s="144"/>
      <c r="W1059" s="144"/>
      <c r="X1059" s="136"/>
      <c r="Y1059" s="136"/>
      <c r="Z1059" s="140"/>
      <c r="AA1059" s="144"/>
      <c r="AB1059" s="144"/>
      <c r="AC1059" s="144"/>
      <c r="AD1059" s="144"/>
      <c r="AE1059" s="144"/>
      <c r="AF1059" s="144"/>
      <c r="AG1059" s="140"/>
      <c r="AH1059" s="144"/>
      <c r="AI1059" s="140"/>
      <c r="AJ1059" s="137"/>
      <c r="AK1059" s="140"/>
      <c r="AL1059" s="140"/>
    </row>
    <row r="1060" ht="15.0" customHeight="1">
      <c r="A1060" s="122">
        <v>1059.0</v>
      </c>
      <c r="B1060" s="138">
        <f t="shared" si="113"/>
        <v>11059</v>
      </c>
      <c r="C1060" s="396">
        <v>2.0</v>
      </c>
      <c r="D1060" s="122" t="s">
        <v>3209</v>
      </c>
      <c r="E1060" s="125" t="s">
        <v>7</v>
      </c>
      <c r="F1060" s="126" t="s">
        <v>3287</v>
      </c>
      <c r="G1060" s="126" t="s">
        <v>3288</v>
      </c>
      <c r="H1060" s="128" t="s">
        <v>1844</v>
      </c>
      <c r="I1060" s="140" t="s">
        <v>1843</v>
      </c>
      <c r="J1060" s="186" t="s">
        <v>1844</v>
      </c>
      <c r="K1060" s="128" t="s">
        <v>1844</v>
      </c>
      <c r="L1060" s="136" t="s">
        <v>1844</v>
      </c>
      <c r="M1060" s="136" t="s">
        <v>1844</v>
      </c>
      <c r="N1060" s="144" t="s">
        <v>1844</v>
      </c>
      <c r="O1060" s="144" t="s">
        <v>1844</v>
      </c>
      <c r="P1060" s="144" t="s">
        <v>1844</v>
      </c>
      <c r="Q1060" s="144"/>
      <c r="R1060" s="144" t="s">
        <v>1845</v>
      </c>
      <c r="S1060" s="144" t="s">
        <v>1845</v>
      </c>
      <c r="T1060" s="144"/>
      <c r="U1060" s="144"/>
      <c r="V1060" s="144"/>
      <c r="W1060" s="144" t="s">
        <v>1845</v>
      </c>
      <c r="X1060" s="136"/>
      <c r="Y1060" s="136"/>
      <c r="Z1060" s="140"/>
      <c r="AA1060" s="144"/>
      <c r="AB1060" s="144"/>
      <c r="AC1060" s="144"/>
      <c r="AD1060" s="144"/>
      <c r="AE1060" s="144"/>
      <c r="AF1060" s="144"/>
      <c r="AG1060" s="140"/>
      <c r="AH1060" s="144"/>
      <c r="AI1060" s="140"/>
      <c r="AJ1060" s="137"/>
      <c r="AK1060" s="140"/>
      <c r="AL1060" s="140"/>
    </row>
    <row r="1061" ht="15.0" customHeight="1">
      <c r="A1061" s="122">
        <v>1060.0</v>
      </c>
      <c r="B1061" s="138">
        <f t="shared" si="113"/>
        <v>11060</v>
      </c>
      <c r="C1061" s="396">
        <v>2.0</v>
      </c>
      <c r="D1061" s="122" t="s">
        <v>2892</v>
      </c>
      <c r="E1061" s="125" t="s">
        <v>20</v>
      </c>
      <c r="F1061" s="126" t="s">
        <v>3289</v>
      </c>
      <c r="G1061" s="126" t="s">
        <v>1785</v>
      </c>
      <c r="H1061" s="128" t="s">
        <v>1844</v>
      </c>
      <c r="I1061" s="140" t="s">
        <v>1843</v>
      </c>
      <c r="J1061" s="149" t="s">
        <v>1844</v>
      </c>
      <c r="K1061" s="128" t="s">
        <v>1844</v>
      </c>
      <c r="L1061" s="136" t="s">
        <v>1844</v>
      </c>
      <c r="M1061" s="136" t="s">
        <v>1845</v>
      </c>
      <c r="N1061" s="144" t="s">
        <v>1844</v>
      </c>
      <c r="O1061" s="144" t="s">
        <v>1844</v>
      </c>
      <c r="P1061" s="144" t="s">
        <v>1862</v>
      </c>
      <c r="Q1061" s="144"/>
      <c r="R1061" s="144"/>
      <c r="S1061" s="144"/>
      <c r="T1061" s="144" t="s">
        <v>1845</v>
      </c>
      <c r="U1061" s="144"/>
      <c r="V1061" s="144"/>
      <c r="W1061" s="144" t="s">
        <v>1845</v>
      </c>
      <c r="X1061" s="136"/>
      <c r="Y1061" s="136"/>
      <c r="Z1061" s="140"/>
      <c r="AA1061" s="144"/>
      <c r="AB1061" s="144"/>
      <c r="AC1061" s="144"/>
      <c r="AD1061" s="144"/>
      <c r="AE1061" s="144"/>
      <c r="AF1061" s="144"/>
      <c r="AG1061" s="140"/>
      <c r="AH1061" s="144"/>
      <c r="AI1061" s="140"/>
      <c r="AJ1061" s="137"/>
      <c r="AK1061" s="140"/>
      <c r="AL1061" s="140"/>
    </row>
    <row r="1062" ht="15.0" customHeight="1">
      <c r="A1062" s="122">
        <v>1061.0</v>
      </c>
      <c r="B1062" s="138">
        <f t="shared" si="113"/>
        <v>11061</v>
      </c>
      <c r="C1062" s="396">
        <v>2.0</v>
      </c>
      <c r="D1062" s="122" t="s">
        <v>2892</v>
      </c>
      <c r="E1062" s="125" t="s">
        <v>20</v>
      </c>
      <c r="F1062" s="126" t="s">
        <v>3124</v>
      </c>
      <c r="G1062" s="320" t="s">
        <v>1787</v>
      </c>
      <c r="H1062" s="128" t="s">
        <v>1844</v>
      </c>
      <c r="I1062" s="140" t="s">
        <v>1843</v>
      </c>
      <c r="J1062" s="186" t="s">
        <v>1844</v>
      </c>
      <c r="K1062" s="128" t="s">
        <v>1844</v>
      </c>
      <c r="L1062" s="136" t="s">
        <v>1844</v>
      </c>
      <c r="M1062" s="136" t="s">
        <v>1845</v>
      </c>
      <c r="N1062" s="144" t="s">
        <v>1844</v>
      </c>
      <c r="O1062" s="144" t="s">
        <v>1844</v>
      </c>
      <c r="P1062" s="144" t="s">
        <v>1862</v>
      </c>
      <c r="Q1062" s="144"/>
      <c r="R1062" s="144"/>
      <c r="S1062" s="144"/>
      <c r="T1062" s="144" t="s">
        <v>1845</v>
      </c>
      <c r="U1062" s="144"/>
      <c r="V1062" s="144"/>
      <c r="W1062" s="144"/>
      <c r="X1062" s="136"/>
      <c r="Y1062" s="136"/>
      <c r="Z1062" s="140"/>
      <c r="AA1062" s="144"/>
      <c r="AB1062" s="144"/>
      <c r="AC1062" s="144"/>
      <c r="AD1062" s="144"/>
      <c r="AE1062" s="144"/>
      <c r="AF1062" s="144"/>
      <c r="AG1062" s="140"/>
      <c r="AH1062" s="144"/>
      <c r="AI1062" s="140" t="s">
        <v>1845</v>
      </c>
      <c r="AJ1062" s="137"/>
      <c r="AK1062" s="140"/>
      <c r="AL1062" s="140"/>
    </row>
    <row r="1063" ht="15.0" customHeight="1">
      <c r="A1063" s="122">
        <v>1062.0</v>
      </c>
      <c r="B1063" s="123" t="s">
        <v>1742</v>
      </c>
      <c r="C1063" s="396">
        <v>2.0</v>
      </c>
      <c r="D1063" s="122" t="s">
        <v>1844</v>
      </c>
      <c r="E1063" s="125" t="s">
        <v>7</v>
      </c>
      <c r="F1063" s="126" t="s">
        <v>3290</v>
      </c>
      <c r="G1063" s="126" t="s">
        <v>1789</v>
      </c>
      <c r="H1063" s="128" t="s">
        <v>1844</v>
      </c>
      <c r="I1063" s="140" t="s">
        <v>1843</v>
      </c>
      <c r="J1063" s="186" t="s">
        <v>1844</v>
      </c>
      <c r="K1063" s="170" t="s">
        <v>1844</v>
      </c>
      <c r="L1063" s="136" t="s">
        <v>1844</v>
      </c>
      <c r="M1063" s="136" t="s">
        <v>1844</v>
      </c>
      <c r="N1063" s="144" t="s">
        <v>1844</v>
      </c>
      <c r="O1063" s="144" t="s">
        <v>1844</v>
      </c>
      <c r="P1063" s="144" t="s">
        <v>1844</v>
      </c>
      <c r="Q1063" s="144" t="s">
        <v>1845</v>
      </c>
      <c r="R1063" s="144"/>
      <c r="S1063" s="144"/>
      <c r="T1063" s="144" t="s">
        <v>1845</v>
      </c>
      <c r="U1063" s="144"/>
      <c r="V1063" s="144"/>
      <c r="W1063" s="144"/>
      <c r="X1063" s="136"/>
      <c r="Y1063" s="136"/>
      <c r="Z1063" s="140"/>
      <c r="AA1063" s="140"/>
      <c r="AB1063" s="140"/>
      <c r="AC1063" s="140"/>
      <c r="AD1063" s="140"/>
      <c r="AE1063" s="140"/>
      <c r="AF1063" s="140"/>
      <c r="AG1063" s="140"/>
      <c r="AH1063" s="140"/>
      <c r="AI1063" s="140"/>
      <c r="AJ1063" s="137"/>
      <c r="AK1063" s="140"/>
      <c r="AL1063" s="140"/>
    </row>
    <row r="1064" ht="15.0" customHeight="1">
      <c r="A1064" s="122">
        <v>1063.0</v>
      </c>
      <c r="B1064" s="138">
        <f t="shared" ref="B1064:B1066" si="114">SUM(A1064+10000)</f>
        <v>11063</v>
      </c>
      <c r="C1064" s="396">
        <v>2.0</v>
      </c>
      <c r="D1064" s="122" t="s">
        <v>1844</v>
      </c>
      <c r="E1064" s="125" t="s">
        <v>20</v>
      </c>
      <c r="F1064" s="126" t="s">
        <v>3291</v>
      </c>
      <c r="G1064" s="320" t="s">
        <v>3292</v>
      </c>
      <c r="H1064" s="128"/>
      <c r="I1064" s="140" t="s">
        <v>1906</v>
      </c>
      <c r="J1064" s="186" t="s">
        <v>1844</v>
      </c>
      <c r="K1064" s="128" t="s">
        <v>1844</v>
      </c>
      <c r="L1064" s="136" t="s">
        <v>1844</v>
      </c>
      <c r="M1064" s="136" t="s">
        <v>1845</v>
      </c>
      <c r="N1064" s="144" t="s">
        <v>1844</v>
      </c>
      <c r="O1064" s="144" t="s">
        <v>1844</v>
      </c>
      <c r="P1064" s="144" t="s">
        <v>1895</v>
      </c>
      <c r="Q1064" s="144"/>
      <c r="R1064" s="144"/>
      <c r="S1064" s="144"/>
      <c r="T1064" s="144"/>
      <c r="U1064" s="144" t="s">
        <v>1845</v>
      </c>
      <c r="V1064" s="144" t="s">
        <v>1845</v>
      </c>
      <c r="W1064" s="144"/>
      <c r="X1064" s="136"/>
      <c r="Y1064" s="136"/>
      <c r="Z1064" s="140"/>
      <c r="AA1064" s="140"/>
      <c r="AB1064" s="140"/>
      <c r="AC1064" s="140"/>
      <c r="AD1064" s="140"/>
      <c r="AE1064" s="140"/>
      <c r="AF1064" s="140"/>
      <c r="AG1064" s="140"/>
      <c r="AH1064" s="140"/>
      <c r="AI1064" s="140"/>
      <c r="AJ1064" s="137"/>
      <c r="AK1064" s="140"/>
      <c r="AL1064" s="140"/>
    </row>
    <row r="1065" ht="15.0" customHeight="1">
      <c r="A1065" s="122">
        <v>1064.0</v>
      </c>
      <c r="B1065" s="138">
        <f t="shared" si="114"/>
        <v>11064</v>
      </c>
      <c r="C1065" s="396">
        <v>2.0</v>
      </c>
      <c r="D1065" s="122" t="s">
        <v>1844</v>
      </c>
      <c r="E1065" s="125" t="s">
        <v>7</v>
      </c>
      <c r="F1065" s="126" t="s">
        <v>3293</v>
      </c>
      <c r="G1065" s="126" t="s">
        <v>3294</v>
      </c>
      <c r="H1065" s="128" t="s">
        <v>1844</v>
      </c>
      <c r="I1065" s="140" t="s">
        <v>1906</v>
      </c>
      <c r="J1065" s="186" t="s">
        <v>1844</v>
      </c>
      <c r="K1065" s="170" t="s">
        <v>1844</v>
      </c>
      <c r="L1065" s="136" t="s">
        <v>1844</v>
      </c>
      <c r="M1065" s="136" t="s">
        <v>1844</v>
      </c>
      <c r="N1065" s="144" t="s">
        <v>1844</v>
      </c>
      <c r="O1065" s="144" t="s">
        <v>1844</v>
      </c>
      <c r="P1065" s="144" t="s">
        <v>1844</v>
      </c>
      <c r="Q1065" s="144"/>
      <c r="R1065" s="144"/>
      <c r="S1065" s="144"/>
      <c r="T1065" s="144"/>
      <c r="U1065" s="144"/>
      <c r="V1065" s="144" t="s">
        <v>1845</v>
      </c>
      <c r="W1065" s="144"/>
      <c r="X1065" s="136"/>
      <c r="Y1065" s="136"/>
      <c r="Z1065" s="140"/>
      <c r="AA1065" s="140"/>
      <c r="AB1065" s="140"/>
      <c r="AC1065" s="140"/>
      <c r="AD1065" s="140"/>
      <c r="AE1065" s="140"/>
      <c r="AF1065" s="140"/>
      <c r="AG1065" s="140"/>
      <c r="AH1065" s="140"/>
      <c r="AI1065" s="140"/>
      <c r="AJ1065" s="137"/>
      <c r="AK1065" s="140" t="s">
        <v>1845</v>
      </c>
      <c r="AL1065" s="140"/>
    </row>
    <row r="1066" ht="15.0" customHeight="1">
      <c r="A1066" s="122">
        <v>1065.0</v>
      </c>
      <c r="B1066" s="138">
        <f t="shared" si="114"/>
        <v>11065</v>
      </c>
      <c r="C1066" s="124" t="s">
        <v>1840</v>
      </c>
      <c r="D1066" s="122" t="s">
        <v>1844</v>
      </c>
      <c r="E1066" s="125" t="s">
        <v>27</v>
      </c>
      <c r="F1066" s="126" t="s">
        <v>3295</v>
      </c>
      <c r="G1066" s="126" t="s">
        <v>3296</v>
      </c>
      <c r="H1066" s="140" t="s">
        <v>1844</v>
      </c>
      <c r="I1066" s="128" t="s">
        <v>1852</v>
      </c>
      <c r="J1066" s="186" t="s">
        <v>1844</v>
      </c>
      <c r="K1066" s="128" t="s">
        <v>1844</v>
      </c>
      <c r="L1066" s="136" t="s">
        <v>1844</v>
      </c>
      <c r="M1066" s="136" t="s">
        <v>1845</v>
      </c>
      <c r="N1066" s="144" t="s">
        <v>1844</v>
      </c>
      <c r="O1066" s="144" t="s">
        <v>1844</v>
      </c>
      <c r="P1066" s="144" t="s">
        <v>1862</v>
      </c>
      <c r="Q1066" s="144"/>
      <c r="R1066" s="144"/>
      <c r="S1066" s="144" t="s">
        <v>1845</v>
      </c>
      <c r="T1066" s="144"/>
      <c r="U1066" s="144"/>
      <c r="V1066" s="144"/>
      <c r="W1066" s="144"/>
      <c r="X1066" s="136"/>
      <c r="Y1066" s="136"/>
      <c r="Z1066" s="140"/>
      <c r="AA1066" s="140"/>
      <c r="AB1066" s="140"/>
      <c r="AC1066" s="140"/>
      <c r="AD1066" s="140"/>
      <c r="AE1066" s="140"/>
      <c r="AF1066" s="140"/>
      <c r="AG1066" s="140"/>
      <c r="AH1066" s="140"/>
      <c r="AI1066" s="128"/>
      <c r="AJ1066" s="137"/>
      <c r="AK1066" s="140"/>
      <c r="AL1066" s="140"/>
    </row>
    <row r="1067" ht="15.0" customHeight="1">
      <c r="A1067" s="122">
        <v>1066.0</v>
      </c>
      <c r="B1067" s="123" t="s">
        <v>1742</v>
      </c>
      <c r="C1067" s="396">
        <v>2.0</v>
      </c>
      <c r="D1067" s="122" t="s">
        <v>3209</v>
      </c>
      <c r="E1067" s="125" t="s">
        <v>34</v>
      </c>
      <c r="F1067" s="126" t="s">
        <v>3297</v>
      </c>
      <c r="G1067" s="126" t="s">
        <v>3298</v>
      </c>
      <c r="H1067" s="128" t="s">
        <v>1844</v>
      </c>
      <c r="I1067" s="140" t="s">
        <v>1843</v>
      </c>
      <c r="J1067" s="186" t="s">
        <v>1876</v>
      </c>
      <c r="K1067" s="128" t="s">
        <v>2348</v>
      </c>
      <c r="L1067" s="136" t="str">
        <f>MID(LEFT(TRIM('Master Sheet'!$G1067), FIND(";", TRIM('Master Sheet'!$G1067)) - 1), FIND("{token}", SUBSTITUTE(TRIM('Master Sheet'!$G1067), " ", "{token}", 25)) + 2, LEN(TRIM('Master Sheet'!$G1067)))</f>
        <v>DAYS_RANGE</v>
      </c>
      <c r="M1067" s="136" t="s">
        <v>1845</v>
      </c>
      <c r="N1067" s="144" t="s">
        <v>1844</v>
      </c>
      <c r="O1067" s="144" t="s">
        <v>1879</v>
      </c>
      <c r="P1067" s="144" t="s">
        <v>1862</v>
      </c>
      <c r="Q1067" s="144" t="s">
        <v>1845</v>
      </c>
      <c r="R1067" s="144" t="s">
        <v>1845</v>
      </c>
      <c r="S1067" s="144" t="s">
        <v>1845</v>
      </c>
      <c r="T1067" s="144"/>
      <c r="U1067" s="144"/>
      <c r="V1067" s="144"/>
      <c r="W1067" s="144" t="s">
        <v>1845</v>
      </c>
      <c r="X1067" s="136"/>
      <c r="Y1067" s="136"/>
      <c r="Z1067" s="140"/>
      <c r="AA1067" s="140"/>
      <c r="AB1067" s="140"/>
      <c r="AC1067" s="140"/>
      <c r="AD1067" s="140"/>
      <c r="AE1067" s="140"/>
      <c r="AF1067" s="140"/>
      <c r="AG1067" s="140"/>
      <c r="AH1067" s="140"/>
      <c r="AI1067" s="140"/>
      <c r="AJ1067" s="137"/>
      <c r="AK1067" s="140"/>
      <c r="AL1067" s="140"/>
    </row>
    <row r="1068" ht="15.0" customHeight="1">
      <c r="A1068" s="122">
        <v>1067.0</v>
      </c>
      <c r="B1068" s="138">
        <f t="shared" ref="B1068:B1071" si="115">SUM(A1068+10000)</f>
        <v>11067</v>
      </c>
      <c r="C1068" s="396">
        <v>2.0</v>
      </c>
      <c r="D1068" s="122" t="s">
        <v>3264</v>
      </c>
      <c r="E1068" s="125" t="s">
        <v>27</v>
      </c>
      <c r="F1068" s="126" t="s">
        <v>3299</v>
      </c>
      <c r="G1068" s="320" t="s">
        <v>3300</v>
      </c>
      <c r="H1068" s="128" t="s">
        <v>1844</v>
      </c>
      <c r="I1068" s="140" t="s">
        <v>1906</v>
      </c>
      <c r="J1068" s="149" t="s">
        <v>1844</v>
      </c>
      <c r="K1068" s="128" t="s">
        <v>1844</v>
      </c>
      <c r="L1068" s="128" t="s">
        <v>1844</v>
      </c>
      <c r="M1068" s="128" t="s">
        <v>1845</v>
      </c>
      <c r="N1068" s="140" t="s">
        <v>1844</v>
      </c>
      <c r="O1068" s="144" t="s">
        <v>1844</v>
      </c>
      <c r="P1068" s="140" t="s">
        <v>1862</v>
      </c>
      <c r="Q1068" s="140"/>
      <c r="R1068" s="140"/>
      <c r="S1068" s="140"/>
      <c r="T1068" s="140"/>
      <c r="U1068" s="140"/>
      <c r="V1068" s="140"/>
      <c r="W1068" s="140"/>
      <c r="X1068" s="128"/>
      <c r="Y1068" s="128"/>
      <c r="Z1068" s="140"/>
      <c r="AA1068" s="140"/>
      <c r="AB1068" s="140"/>
      <c r="AC1068" s="140"/>
      <c r="AD1068" s="140"/>
      <c r="AE1068" s="140"/>
      <c r="AF1068" s="140"/>
      <c r="AG1068" s="140"/>
      <c r="AH1068" s="140"/>
      <c r="AI1068" s="140"/>
      <c r="AJ1068" s="137"/>
      <c r="AK1068" s="140"/>
      <c r="AL1068" s="140"/>
    </row>
    <row r="1069" ht="15.0" customHeight="1">
      <c r="A1069" s="122">
        <v>1068.0</v>
      </c>
      <c r="B1069" s="138">
        <f t="shared" si="115"/>
        <v>11068</v>
      </c>
      <c r="C1069" s="396">
        <v>2.0</v>
      </c>
      <c r="D1069" s="122" t="s">
        <v>3209</v>
      </c>
      <c r="E1069" s="125" t="s">
        <v>7</v>
      </c>
      <c r="F1069" s="126" t="s">
        <v>3301</v>
      </c>
      <c r="G1069" s="126" t="s">
        <v>3302</v>
      </c>
      <c r="H1069" s="128" t="s">
        <v>1844</v>
      </c>
      <c r="I1069" s="140" t="s">
        <v>1843</v>
      </c>
      <c r="J1069" s="186" t="s">
        <v>1844</v>
      </c>
      <c r="K1069" s="128" t="s">
        <v>1844</v>
      </c>
      <c r="L1069" s="136" t="s">
        <v>1844</v>
      </c>
      <c r="M1069" s="136" t="s">
        <v>1844</v>
      </c>
      <c r="N1069" s="144" t="s">
        <v>1844</v>
      </c>
      <c r="O1069" s="144" t="s">
        <v>1844</v>
      </c>
      <c r="P1069" s="140" t="s">
        <v>1844</v>
      </c>
      <c r="Q1069" s="140"/>
      <c r="R1069" s="140" t="s">
        <v>1845</v>
      </c>
      <c r="S1069" s="140" t="s">
        <v>1845</v>
      </c>
      <c r="T1069" s="140"/>
      <c r="U1069" s="140"/>
      <c r="V1069" s="140"/>
      <c r="W1069" s="144"/>
      <c r="X1069" s="136"/>
      <c r="Y1069" s="136"/>
      <c r="Z1069" s="140"/>
      <c r="AA1069" s="140"/>
      <c r="AB1069" s="140"/>
      <c r="AC1069" s="140"/>
      <c r="AD1069" s="140"/>
      <c r="AE1069" s="140"/>
      <c r="AF1069" s="140"/>
      <c r="AG1069" s="140"/>
      <c r="AH1069" s="140"/>
      <c r="AI1069" s="140"/>
      <c r="AJ1069" s="137"/>
      <c r="AK1069" s="140"/>
      <c r="AL1069" s="140"/>
    </row>
    <row r="1070" ht="15.0" customHeight="1">
      <c r="A1070" s="122">
        <v>1069.0</v>
      </c>
      <c r="B1070" s="138">
        <f t="shared" si="115"/>
        <v>11069</v>
      </c>
      <c r="C1070" s="396">
        <v>2.0</v>
      </c>
      <c r="D1070" s="122" t="s">
        <v>3303</v>
      </c>
      <c r="E1070" s="125" t="s">
        <v>7</v>
      </c>
      <c r="F1070" s="126" t="s">
        <v>3304</v>
      </c>
      <c r="G1070" s="126" t="s">
        <v>3305</v>
      </c>
      <c r="H1070" s="128" t="s">
        <v>1844</v>
      </c>
      <c r="I1070" s="140" t="s">
        <v>1843</v>
      </c>
      <c r="J1070" s="186" t="s">
        <v>1844</v>
      </c>
      <c r="K1070" s="128" t="s">
        <v>1844</v>
      </c>
      <c r="L1070" s="136" t="s">
        <v>1844</v>
      </c>
      <c r="M1070" s="136" t="s">
        <v>1844</v>
      </c>
      <c r="N1070" s="144" t="s">
        <v>1844</v>
      </c>
      <c r="O1070" s="144" t="s">
        <v>1844</v>
      </c>
      <c r="P1070" s="140" t="s">
        <v>1844</v>
      </c>
      <c r="Q1070" s="140"/>
      <c r="R1070" s="140" t="s">
        <v>1845</v>
      </c>
      <c r="S1070" s="140"/>
      <c r="T1070" s="140"/>
      <c r="U1070" s="140"/>
      <c r="V1070" s="140"/>
      <c r="W1070" s="144"/>
      <c r="X1070" s="136"/>
      <c r="Y1070" s="136"/>
      <c r="Z1070" s="140"/>
      <c r="AA1070" s="140"/>
      <c r="AB1070" s="140"/>
      <c r="AC1070" s="140"/>
      <c r="AD1070" s="140"/>
      <c r="AE1070" s="140"/>
      <c r="AF1070" s="140"/>
      <c r="AG1070" s="140"/>
      <c r="AH1070" s="140"/>
      <c r="AI1070" s="140"/>
      <c r="AJ1070" s="137"/>
      <c r="AK1070" s="140"/>
      <c r="AL1070" s="140"/>
    </row>
    <row r="1071" ht="15.0" customHeight="1">
      <c r="A1071" s="122">
        <v>1070.0</v>
      </c>
      <c r="B1071" s="138">
        <f t="shared" si="115"/>
        <v>11070</v>
      </c>
      <c r="C1071" s="396">
        <v>2.0</v>
      </c>
      <c r="D1071" s="122" t="s">
        <v>3209</v>
      </c>
      <c r="E1071" s="125" t="s">
        <v>20</v>
      </c>
      <c r="F1071" s="126" t="s">
        <v>3306</v>
      </c>
      <c r="G1071" s="126" t="s">
        <v>3307</v>
      </c>
      <c r="H1071" s="128" t="s">
        <v>1844</v>
      </c>
      <c r="I1071" s="140" t="s">
        <v>1843</v>
      </c>
      <c r="J1071" s="186" t="s">
        <v>1844</v>
      </c>
      <c r="K1071" s="170" t="s">
        <v>1844</v>
      </c>
      <c r="L1071" s="136" t="s">
        <v>1878</v>
      </c>
      <c r="M1071" s="136" t="s">
        <v>1845</v>
      </c>
      <c r="N1071" s="144" t="s">
        <v>1844</v>
      </c>
      <c r="O1071" s="144" t="s">
        <v>1844</v>
      </c>
      <c r="P1071" s="140" t="s">
        <v>1862</v>
      </c>
      <c r="Q1071" s="140"/>
      <c r="R1071" s="140" t="s">
        <v>1845</v>
      </c>
      <c r="S1071" s="140" t="s">
        <v>1845</v>
      </c>
      <c r="T1071" s="140"/>
      <c r="U1071" s="140"/>
      <c r="V1071" s="140"/>
      <c r="W1071" s="144"/>
      <c r="X1071" s="136"/>
      <c r="Y1071" s="136"/>
      <c r="Z1071" s="140"/>
      <c r="AA1071" s="140"/>
      <c r="AB1071" s="140"/>
      <c r="AC1071" s="140"/>
      <c r="AD1071" s="140"/>
      <c r="AE1071" s="140"/>
      <c r="AF1071" s="140"/>
      <c r="AG1071" s="140"/>
      <c r="AH1071" s="140"/>
      <c r="AI1071" s="140"/>
      <c r="AJ1071" s="137"/>
      <c r="AK1071" s="140"/>
      <c r="AL1071" s="140"/>
    </row>
    <row r="1072" ht="15.0" customHeight="1">
      <c r="A1072" s="122">
        <v>1071.0</v>
      </c>
      <c r="B1072" s="123" t="s">
        <v>1742</v>
      </c>
      <c r="C1072" s="396">
        <v>2.0</v>
      </c>
      <c r="D1072" s="122" t="s">
        <v>3308</v>
      </c>
      <c r="E1072" s="125" t="s">
        <v>7</v>
      </c>
      <c r="F1072" s="126" t="s">
        <v>3309</v>
      </c>
      <c r="G1072" s="126" t="s">
        <v>3310</v>
      </c>
      <c r="H1072" s="128" t="s">
        <v>1844</v>
      </c>
      <c r="I1072" s="140" t="s">
        <v>1906</v>
      </c>
      <c r="J1072" s="186" t="s">
        <v>1844</v>
      </c>
      <c r="K1072" s="170" t="s">
        <v>1844</v>
      </c>
      <c r="L1072" s="136" t="s">
        <v>1844</v>
      </c>
      <c r="M1072" s="136" t="s">
        <v>1844</v>
      </c>
      <c r="N1072" s="144" t="s">
        <v>1844</v>
      </c>
      <c r="O1072" s="144" t="s">
        <v>1844</v>
      </c>
      <c r="P1072" s="140" t="s">
        <v>1844</v>
      </c>
      <c r="Q1072" s="140" t="s">
        <v>1845</v>
      </c>
      <c r="R1072" s="140"/>
      <c r="S1072" s="140"/>
      <c r="T1072" s="140"/>
      <c r="U1072" s="140"/>
      <c r="V1072" s="140" t="s">
        <v>1845</v>
      </c>
      <c r="W1072" s="144"/>
      <c r="X1072" s="136"/>
      <c r="Y1072" s="136"/>
      <c r="Z1072" s="140"/>
      <c r="AA1072" s="140"/>
      <c r="AB1072" s="140" t="s">
        <v>1845</v>
      </c>
      <c r="AC1072" s="140"/>
      <c r="AD1072" s="140"/>
      <c r="AE1072" s="140"/>
      <c r="AF1072" s="140"/>
      <c r="AG1072" s="140"/>
      <c r="AH1072" s="140"/>
      <c r="AI1072" s="140"/>
      <c r="AJ1072" s="137"/>
      <c r="AK1072" s="140"/>
      <c r="AL1072" s="140"/>
    </row>
    <row r="1073" ht="15.0" customHeight="1">
      <c r="A1073" s="122">
        <v>1072.0</v>
      </c>
      <c r="B1073" s="138">
        <f>SUM(A1073+10000)</f>
        <v>11072</v>
      </c>
      <c r="C1073" s="396">
        <v>2.0</v>
      </c>
      <c r="D1073" s="122" t="s">
        <v>3209</v>
      </c>
      <c r="E1073" s="125" t="s">
        <v>7</v>
      </c>
      <c r="F1073" s="126" t="s">
        <v>3311</v>
      </c>
      <c r="G1073" s="126" t="s">
        <v>3312</v>
      </c>
      <c r="H1073" s="128" t="s">
        <v>1844</v>
      </c>
      <c r="I1073" s="140" t="s">
        <v>1906</v>
      </c>
      <c r="J1073" s="186" t="s">
        <v>1844</v>
      </c>
      <c r="K1073" s="128" t="s">
        <v>1844</v>
      </c>
      <c r="L1073" s="136" t="s">
        <v>1844</v>
      </c>
      <c r="M1073" s="136" t="s">
        <v>1844</v>
      </c>
      <c r="N1073" s="144" t="s">
        <v>1844</v>
      </c>
      <c r="O1073" s="144" t="s">
        <v>1844</v>
      </c>
      <c r="P1073" s="140" t="s">
        <v>1844</v>
      </c>
      <c r="Q1073" s="140"/>
      <c r="R1073" s="140" t="s">
        <v>1845</v>
      </c>
      <c r="S1073" s="140"/>
      <c r="T1073" s="140"/>
      <c r="U1073" s="140" t="s">
        <v>1845</v>
      </c>
      <c r="V1073" s="140"/>
      <c r="W1073" s="144"/>
      <c r="X1073" s="136"/>
      <c r="Y1073" s="136"/>
      <c r="Z1073" s="140"/>
      <c r="AA1073" s="140"/>
      <c r="AB1073" s="140"/>
      <c r="AC1073" s="140"/>
      <c r="AD1073" s="140"/>
      <c r="AE1073" s="140"/>
      <c r="AF1073" s="140"/>
      <c r="AG1073" s="140"/>
      <c r="AH1073" s="140"/>
      <c r="AI1073" s="140"/>
      <c r="AJ1073" s="137"/>
      <c r="AK1073" s="140"/>
      <c r="AL1073" s="140"/>
    </row>
    <row r="1074" ht="15.0" customHeight="1">
      <c r="A1074" s="122">
        <v>1073.0</v>
      </c>
      <c r="B1074" s="123" t="s">
        <v>1742</v>
      </c>
      <c r="C1074" s="396">
        <v>2.0</v>
      </c>
      <c r="D1074" s="122" t="s">
        <v>3308</v>
      </c>
      <c r="E1074" s="125" t="s">
        <v>27</v>
      </c>
      <c r="F1074" s="126" t="s">
        <v>3313</v>
      </c>
      <c r="G1074" s="126" t="s">
        <v>3314</v>
      </c>
      <c r="H1074" s="128" t="s">
        <v>1844</v>
      </c>
      <c r="I1074" s="140" t="s">
        <v>1843</v>
      </c>
      <c r="J1074" s="186" t="s">
        <v>1844</v>
      </c>
      <c r="K1074" s="128" t="s">
        <v>1844</v>
      </c>
      <c r="L1074" s="136" t="s">
        <v>1844</v>
      </c>
      <c r="M1074" s="136" t="s">
        <v>1845</v>
      </c>
      <c r="N1074" s="144" t="s">
        <v>1844</v>
      </c>
      <c r="O1074" s="144" t="s">
        <v>1844</v>
      </c>
      <c r="P1074" s="140" t="s">
        <v>1862</v>
      </c>
      <c r="Q1074" s="140" t="s">
        <v>1845</v>
      </c>
      <c r="R1074" s="140"/>
      <c r="S1074" s="140"/>
      <c r="T1074" s="140"/>
      <c r="U1074" s="140"/>
      <c r="V1074" s="140"/>
      <c r="W1074" s="144"/>
      <c r="X1074" s="136"/>
      <c r="Y1074" s="136"/>
      <c r="Z1074" s="140"/>
      <c r="AA1074" s="140"/>
      <c r="AB1074" s="140"/>
      <c r="AC1074" s="140"/>
      <c r="AD1074" s="140"/>
      <c r="AE1074" s="140"/>
      <c r="AF1074" s="140"/>
      <c r="AG1074" s="140"/>
      <c r="AH1074" s="140"/>
      <c r="AI1074" s="140"/>
      <c r="AJ1074" s="137"/>
      <c r="AK1074" s="140"/>
      <c r="AL1074" s="140"/>
    </row>
    <row r="1075" ht="15.0" customHeight="1">
      <c r="A1075" s="122">
        <v>1074.0</v>
      </c>
      <c r="B1075" s="138">
        <f>SUM(A1075+10000)</f>
        <v>11074</v>
      </c>
      <c r="C1075" s="396">
        <v>2.0</v>
      </c>
      <c r="D1075" s="122" t="s">
        <v>3209</v>
      </c>
      <c r="E1075" s="125" t="s">
        <v>34</v>
      </c>
      <c r="F1075" s="126" t="s">
        <v>3315</v>
      </c>
      <c r="G1075" s="126" t="s">
        <v>3316</v>
      </c>
      <c r="H1075" s="128" t="s">
        <v>1844</v>
      </c>
      <c r="I1075" s="140" t="s">
        <v>1843</v>
      </c>
      <c r="J1075" s="186" t="s">
        <v>1876</v>
      </c>
      <c r="K1075" s="170" t="s">
        <v>2348</v>
      </c>
      <c r="L1075" s="136" t="s">
        <v>1878</v>
      </c>
      <c r="M1075" s="136" t="s">
        <v>1845</v>
      </c>
      <c r="N1075" s="144" t="s">
        <v>1844</v>
      </c>
      <c r="O1075" s="144" t="s">
        <v>1879</v>
      </c>
      <c r="P1075" s="140" t="s">
        <v>1862</v>
      </c>
      <c r="Q1075" s="140"/>
      <c r="R1075" s="140" t="s">
        <v>1845</v>
      </c>
      <c r="S1075" s="140" t="s">
        <v>1845</v>
      </c>
      <c r="T1075" s="140"/>
      <c r="U1075" s="140"/>
      <c r="V1075" s="140"/>
      <c r="W1075" s="144" t="s">
        <v>1845</v>
      </c>
      <c r="X1075" s="136"/>
      <c r="Y1075" s="136"/>
      <c r="Z1075" s="140"/>
      <c r="AA1075" s="140"/>
      <c r="AB1075" s="140"/>
      <c r="AC1075" s="140"/>
      <c r="AD1075" s="140"/>
      <c r="AE1075" s="140"/>
      <c r="AF1075" s="140"/>
      <c r="AG1075" s="140"/>
      <c r="AH1075" s="140"/>
      <c r="AI1075" s="140"/>
      <c r="AJ1075" s="137"/>
      <c r="AK1075" s="140"/>
      <c r="AL1075" s="140"/>
    </row>
    <row r="1076" ht="15.0" customHeight="1">
      <c r="A1076" s="122">
        <v>1075.0</v>
      </c>
      <c r="B1076" s="123" t="s">
        <v>1742</v>
      </c>
      <c r="C1076" s="396">
        <v>2.0</v>
      </c>
      <c r="D1076" s="122" t="s">
        <v>3264</v>
      </c>
      <c r="E1076" s="125" t="s">
        <v>7</v>
      </c>
      <c r="F1076" s="126" t="s">
        <v>3317</v>
      </c>
      <c r="G1076" s="126" t="s">
        <v>3318</v>
      </c>
      <c r="H1076" s="128" t="s">
        <v>1844</v>
      </c>
      <c r="I1076" s="140" t="s">
        <v>1843</v>
      </c>
      <c r="J1076" s="186" t="s">
        <v>1844</v>
      </c>
      <c r="K1076" s="170" t="s">
        <v>1844</v>
      </c>
      <c r="L1076" s="136" t="s">
        <v>1844</v>
      </c>
      <c r="M1076" s="136" t="s">
        <v>1844</v>
      </c>
      <c r="N1076" s="144" t="s">
        <v>1844</v>
      </c>
      <c r="O1076" s="144" t="s">
        <v>1844</v>
      </c>
      <c r="P1076" s="140" t="s">
        <v>1844</v>
      </c>
      <c r="Q1076" s="140" t="s">
        <v>1845</v>
      </c>
      <c r="R1076" s="140"/>
      <c r="S1076" s="140" t="s">
        <v>1845</v>
      </c>
      <c r="T1076" s="140"/>
      <c r="U1076" s="140"/>
      <c r="V1076" s="140"/>
      <c r="W1076" s="144" t="s">
        <v>1845</v>
      </c>
      <c r="X1076" s="136"/>
      <c r="Y1076" s="136"/>
      <c r="Z1076" s="140" t="s">
        <v>1845</v>
      </c>
      <c r="AA1076" s="140"/>
      <c r="AB1076" s="140"/>
      <c r="AC1076" s="140"/>
      <c r="AD1076" s="140"/>
      <c r="AE1076" s="140"/>
      <c r="AF1076" s="140"/>
      <c r="AG1076" s="140"/>
      <c r="AH1076" s="140"/>
      <c r="AI1076" s="140"/>
      <c r="AJ1076" s="137"/>
      <c r="AK1076" s="140"/>
      <c r="AL1076" s="140"/>
    </row>
    <row r="1077" ht="15.0" customHeight="1">
      <c r="A1077" s="122">
        <v>1076.0</v>
      </c>
      <c r="B1077" s="138">
        <f t="shared" ref="B1077:B1084" si="116">SUM(A1077+10000)</f>
        <v>11076</v>
      </c>
      <c r="C1077" s="396">
        <v>2.0</v>
      </c>
      <c r="D1077" s="122" t="s">
        <v>3264</v>
      </c>
      <c r="E1077" s="125" t="s">
        <v>20</v>
      </c>
      <c r="F1077" s="126" t="s">
        <v>3319</v>
      </c>
      <c r="G1077" s="126" t="s">
        <v>3320</v>
      </c>
      <c r="H1077" s="128" t="s">
        <v>1844</v>
      </c>
      <c r="I1077" s="140" t="s">
        <v>1843</v>
      </c>
      <c r="J1077" s="186" t="s">
        <v>1844</v>
      </c>
      <c r="K1077" s="128" t="s">
        <v>1844</v>
      </c>
      <c r="L1077" s="136" t="s">
        <v>1844</v>
      </c>
      <c r="M1077" s="136" t="s">
        <v>1845</v>
      </c>
      <c r="N1077" s="144" t="s">
        <v>1844</v>
      </c>
      <c r="O1077" s="144" t="s">
        <v>1844</v>
      </c>
      <c r="P1077" s="144" t="s">
        <v>1862</v>
      </c>
      <c r="Q1077" s="144"/>
      <c r="R1077" s="144"/>
      <c r="S1077" s="144"/>
      <c r="T1077" s="144"/>
      <c r="U1077" s="144"/>
      <c r="V1077" s="144"/>
      <c r="W1077" s="144" t="s">
        <v>1845</v>
      </c>
      <c r="X1077" s="136"/>
      <c r="Y1077" s="136"/>
      <c r="Z1077" s="144"/>
      <c r="AA1077" s="144"/>
      <c r="AB1077" s="140"/>
      <c r="AC1077" s="140"/>
      <c r="AD1077" s="140"/>
      <c r="AE1077" s="140"/>
      <c r="AF1077" s="140"/>
      <c r="AG1077" s="140"/>
      <c r="AH1077" s="140"/>
      <c r="AI1077" s="140"/>
      <c r="AJ1077" s="137"/>
      <c r="AK1077" s="140"/>
      <c r="AL1077" s="140"/>
    </row>
    <row r="1078" ht="15.0" customHeight="1">
      <c r="A1078" s="122">
        <v>1077.0</v>
      </c>
      <c r="B1078" s="138">
        <f t="shared" si="116"/>
        <v>11077</v>
      </c>
      <c r="C1078" s="396">
        <v>2.0</v>
      </c>
      <c r="D1078" s="122" t="s">
        <v>3209</v>
      </c>
      <c r="E1078" s="125" t="s">
        <v>34</v>
      </c>
      <c r="F1078" s="126" t="s">
        <v>3321</v>
      </c>
      <c r="G1078" s="126" t="s">
        <v>3322</v>
      </c>
      <c r="H1078" s="128" t="s">
        <v>1844</v>
      </c>
      <c r="I1078" s="140" t="s">
        <v>1843</v>
      </c>
      <c r="J1078" s="186" t="s">
        <v>1876</v>
      </c>
      <c r="K1078" s="128" t="s">
        <v>2348</v>
      </c>
      <c r="L1078" s="136" t="s">
        <v>1844</v>
      </c>
      <c r="M1078" s="136" t="s">
        <v>1845</v>
      </c>
      <c r="N1078" s="144" t="s">
        <v>1844</v>
      </c>
      <c r="O1078" s="144" t="s">
        <v>1879</v>
      </c>
      <c r="P1078" s="140" t="s">
        <v>1862</v>
      </c>
      <c r="Q1078" s="140"/>
      <c r="R1078" s="140" t="s">
        <v>1845</v>
      </c>
      <c r="S1078" s="140"/>
      <c r="T1078" s="140"/>
      <c r="U1078" s="140"/>
      <c r="V1078" s="140"/>
      <c r="W1078" s="144"/>
      <c r="X1078" s="136" t="s">
        <v>1845</v>
      </c>
      <c r="Y1078" s="136"/>
      <c r="Z1078" s="140"/>
      <c r="AA1078" s="140"/>
      <c r="AB1078" s="140"/>
      <c r="AC1078" s="140"/>
      <c r="AD1078" s="140"/>
      <c r="AE1078" s="140"/>
      <c r="AF1078" s="140"/>
      <c r="AG1078" s="140"/>
      <c r="AH1078" s="140"/>
      <c r="AI1078" s="140"/>
      <c r="AJ1078" s="137"/>
      <c r="AK1078" s="140"/>
      <c r="AL1078" s="140"/>
    </row>
    <row r="1079" ht="15.0" customHeight="1">
      <c r="A1079" s="122">
        <v>1078.0</v>
      </c>
      <c r="B1079" s="138">
        <f t="shared" si="116"/>
        <v>11078</v>
      </c>
      <c r="C1079" s="396">
        <v>2.0</v>
      </c>
      <c r="D1079" s="122" t="s">
        <v>3209</v>
      </c>
      <c r="E1079" s="125" t="s">
        <v>34</v>
      </c>
      <c r="F1079" s="126" t="s">
        <v>3323</v>
      </c>
      <c r="G1079" s="126" t="s">
        <v>3324</v>
      </c>
      <c r="H1079" s="128" t="s">
        <v>1844</v>
      </c>
      <c r="I1079" s="140" t="s">
        <v>1843</v>
      </c>
      <c r="J1079" s="186" t="s">
        <v>1876</v>
      </c>
      <c r="K1079" s="128" t="s">
        <v>2348</v>
      </c>
      <c r="L1079" s="136" t="s">
        <v>1844</v>
      </c>
      <c r="M1079" s="136" t="s">
        <v>1845</v>
      </c>
      <c r="N1079" s="144" t="s">
        <v>1844</v>
      </c>
      <c r="O1079" s="144" t="s">
        <v>1879</v>
      </c>
      <c r="P1079" s="140" t="s">
        <v>1862</v>
      </c>
      <c r="Q1079" s="140"/>
      <c r="R1079" s="140" t="s">
        <v>1845</v>
      </c>
      <c r="S1079" s="140" t="s">
        <v>1845</v>
      </c>
      <c r="T1079" s="140"/>
      <c r="U1079" s="140"/>
      <c r="V1079" s="140"/>
      <c r="W1079" s="144"/>
      <c r="X1079" s="136"/>
      <c r="Y1079" s="136"/>
      <c r="Z1079" s="140"/>
      <c r="AA1079" s="140"/>
      <c r="AB1079" s="140"/>
      <c r="AC1079" s="140"/>
      <c r="AD1079" s="140"/>
      <c r="AE1079" s="140"/>
      <c r="AF1079" s="140"/>
      <c r="AG1079" s="140"/>
      <c r="AH1079" s="140"/>
      <c r="AI1079" s="140"/>
      <c r="AJ1079" s="137"/>
      <c r="AK1079" s="140"/>
      <c r="AL1079" s="140"/>
    </row>
    <row r="1080" ht="15.0" customHeight="1">
      <c r="A1080" s="122">
        <v>1079.0</v>
      </c>
      <c r="B1080" s="138">
        <f t="shared" si="116"/>
        <v>11079</v>
      </c>
      <c r="C1080" s="396">
        <v>2.0</v>
      </c>
      <c r="D1080" s="122" t="s">
        <v>3264</v>
      </c>
      <c r="E1080" s="125" t="s">
        <v>34</v>
      </c>
      <c r="F1080" s="126" t="s">
        <v>3325</v>
      </c>
      <c r="G1080" s="127" t="s">
        <v>3326</v>
      </c>
      <c r="H1080" s="128" t="s">
        <v>1844</v>
      </c>
      <c r="I1080" s="140" t="s">
        <v>1843</v>
      </c>
      <c r="J1080" s="149" t="s">
        <v>1876</v>
      </c>
      <c r="K1080" s="128" t="s">
        <v>2348</v>
      </c>
      <c r="L1080" s="128" t="s">
        <v>1878</v>
      </c>
      <c r="M1080" s="128" t="s">
        <v>1845</v>
      </c>
      <c r="N1080" s="140" t="s">
        <v>1844</v>
      </c>
      <c r="O1080" s="140" t="s">
        <v>1879</v>
      </c>
      <c r="P1080" s="140" t="s">
        <v>1862</v>
      </c>
      <c r="Q1080" s="140" t="s">
        <v>1845</v>
      </c>
      <c r="R1080" s="140" t="s">
        <v>1845</v>
      </c>
      <c r="S1080" s="140" t="s">
        <v>1845</v>
      </c>
      <c r="T1080" s="140"/>
      <c r="U1080" s="140"/>
      <c r="V1080" s="140"/>
      <c r="W1080" s="140" t="s">
        <v>1845</v>
      </c>
      <c r="X1080" s="128"/>
      <c r="Y1080" s="128"/>
      <c r="Z1080" s="140"/>
      <c r="AA1080" s="140"/>
      <c r="AB1080" s="140"/>
      <c r="AC1080" s="140"/>
      <c r="AD1080" s="140"/>
      <c r="AE1080" s="140"/>
      <c r="AF1080" s="140"/>
      <c r="AG1080" s="140"/>
      <c r="AH1080" s="140"/>
      <c r="AI1080" s="140"/>
      <c r="AJ1080" s="128"/>
      <c r="AK1080" s="140"/>
      <c r="AL1080" s="140"/>
    </row>
    <row r="1081" ht="15.0" customHeight="1">
      <c r="A1081" s="122">
        <v>1080.0</v>
      </c>
      <c r="B1081" s="138">
        <f t="shared" si="116"/>
        <v>11080</v>
      </c>
      <c r="C1081" s="396">
        <v>2.0</v>
      </c>
      <c r="D1081" s="122" t="s">
        <v>3264</v>
      </c>
      <c r="E1081" s="125" t="s">
        <v>7</v>
      </c>
      <c r="F1081" s="126" t="s">
        <v>3327</v>
      </c>
      <c r="G1081" s="221" t="s">
        <v>3328</v>
      </c>
      <c r="H1081" s="128" t="s">
        <v>1844</v>
      </c>
      <c r="I1081" s="140" t="s">
        <v>1843</v>
      </c>
      <c r="J1081" s="149" t="s">
        <v>1844</v>
      </c>
      <c r="K1081" s="128" t="s">
        <v>1844</v>
      </c>
      <c r="L1081" s="128" t="s">
        <v>1844</v>
      </c>
      <c r="M1081" s="128" t="s">
        <v>1844</v>
      </c>
      <c r="N1081" s="140" t="s">
        <v>1844</v>
      </c>
      <c r="O1081" s="140" t="s">
        <v>1844</v>
      </c>
      <c r="P1081" s="140" t="s">
        <v>1844</v>
      </c>
      <c r="Q1081" s="140" t="s">
        <v>1845</v>
      </c>
      <c r="R1081" s="140"/>
      <c r="S1081" s="140" t="s">
        <v>1845</v>
      </c>
      <c r="T1081" s="140"/>
      <c r="U1081" s="140"/>
      <c r="V1081" s="140"/>
      <c r="W1081" s="140" t="s">
        <v>1845</v>
      </c>
      <c r="X1081" s="128"/>
      <c r="Y1081" s="128"/>
      <c r="Z1081" s="140"/>
      <c r="AA1081" s="140"/>
      <c r="AB1081" s="140"/>
      <c r="AC1081" s="140"/>
      <c r="AD1081" s="140"/>
      <c r="AE1081" s="140"/>
      <c r="AF1081" s="140"/>
      <c r="AG1081" s="140"/>
      <c r="AH1081" s="140"/>
      <c r="AI1081" s="140"/>
      <c r="AJ1081" s="128"/>
      <c r="AK1081" s="140"/>
      <c r="AL1081" s="140"/>
    </row>
    <row r="1082" ht="15.0" customHeight="1">
      <c r="A1082" s="122">
        <v>1081.0</v>
      </c>
      <c r="B1082" s="138">
        <f t="shared" si="116"/>
        <v>11081</v>
      </c>
      <c r="C1082" s="396">
        <v>2.0</v>
      </c>
      <c r="D1082" s="122" t="s">
        <v>3264</v>
      </c>
      <c r="E1082" s="125" t="s">
        <v>7</v>
      </c>
      <c r="F1082" s="126" t="s">
        <v>3329</v>
      </c>
      <c r="G1082" s="221" t="s">
        <v>3330</v>
      </c>
      <c r="H1082" s="128" t="s">
        <v>1844</v>
      </c>
      <c r="I1082" s="140" t="s">
        <v>1843</v>
      </c>
      <c r="J1082" s="149" t="s">
        <v>1844</v>
      </c>
      <c r="K1082" s="128" t="s">
        <v>1844</v>
      </c>
      <c r="L1082" s="128" t="s">
        <v>1844</v>
      </c>
      <c r="M1082" s="128" t="s">
        <v>1844</v>
      </c>
      <c r="N1082" s="140" t="s">
        <v>1844</v>
      </c>
      <c r="O1082" s="140" t="s">
        <v>1844</v>
      </c>
      <c r="P1082" s="140" t="s">
        <v>1844</v>
      </c>
      <c r="Q1082" s="140" t="s">
        <v>1845</v>
      </c>
      <c r="R1082" s="140" t="s">
        <v>1845</v>
      </c>
      <c r="S1082" s="140" t="s">
        <v>1845</v>
      </c>
      <c r="T1082" s="140"/>
      <c r="U1082" s="140"/>
      <c r="V1082" s="140"/>
      <c r="W1082" s="140" t="s">
        <v>1845</v>
      </c>
      <c r="X1082" s="128"/>
      <c r="Y1082" s="128"/>
      <c r="Z1082" s="140"/>
      <c r="AA1082" s="140"/>
      <c r="AB1082" s="140"/>
      <c r="AC1082" s="140"/>
      <c r="AD1082" s="140"/>
      <c r="AE1082" s="140"/>
      <c r="AF1082" s="140"/>
      <c r="AG1082" s="140"/>
      <c r="AH1082" s="140"/>
      <c r="AI1082" s="140"/>
      <c r="AJ1082" s="128"/>
      <c r="AK1082" s="140"/>
      <c r="AL1082" s="140"/>
    </row>
    <row r="1083" ht="15.0" customHeight="1">
      <c r="A1083" s="122">
        <v>1082.0</v>
      </c>
      <c r="B1083" s="138">
        <f t="shared" si="116"/>
        <v>11082</v>
      </c>
      <c r="C1083" s="396">
        <v>2.0</v>
      </c>
      <c r="D1083" s="122" t="s">
        <v>3264</v>
      </c>
      <c r="E1083" s="125" t="s">
        <v>34</v>
      </c>
      <c r="F1083" s="126" t="s">
        <v>3331</v>
      </c>
      <c r="G1083" s="127" t="s">
        <v>3332</v>
      </c>
      <c r="H1083" s="128" t="s">
        <v>1844</v>
      </c>
      <c r="I1083" s="140" t="s">
        <v>1843</v>
      </c>
      <c r="J1083" s="149" t="s">
        <v>1876</v>
      </c>
      <c r="K1083" s="128" t="s">
        <v>2348</v>
      </c>
      <c r="L1083" s="128" t="s">
        <v>1844</v>
      </c>
      <c r="M1083" s="128" t="s">
        <v>1845</v>
      </c>
      <c r="N1083" s="140" t="s">
        <v>1844</v>
      </c>
      <c r="O1083" s="140" t="s">
        <v>1879</v>
      </c>
      <c r="P1083" s="140" t="s">
        <v>1862</v>
      </c>
      <c r="Q1083" s="140" t="s">
        <v>1845</v>
      </c>
      <c r="R1083" s="140" t="s">
        <v>1845</v>
      </c>
      <c r="S1083" s="140" t="s">
        <v>1845</v>
      </c>
      <c r="T1083" s="140"/>
      <c r="U1083" s="140"/>
      <c r="V1083" s="140"/>
      <c r="W1083" s="140" t="s">
        <v>1845</v>
      </c>
      <c r="X1083" s="128"/>
      <c r="Y1083" s="128"/>
      <c r="Z1083" s="140"/>
      <c r="AA1083" s="140"/>
      <c r="AB1083" s="140"/>
      <c r="AC1083" s="140"/>
      <c r="AD1083" s="140"/>
      <c r="AE1083" s="140"/>
      <c r="AF1083" s="140"/>
      <c r="AG1083" s="140"/>
      <c r="AH1083" s="140"/>
      <c r="AI1083" s="140"/>
      <c r="AJ1083" s="128"/>
      <c r="AK1083" s="140"/>
      <c r="AL1083" s="140"/>
    </row>
    <row r="1084" ht="15.0" customHeight="1">
      <c r="A1084" s="122">
        <v>1083.0</v>
      </c>
      <c r="B1084" s="138">
        <f t="shared" si="116"/>
        <v>11083</v>
      </c>
      <c r="C1084" s="396">
        <v>2.0</v>
      </c>
      <c r="D1084" s="122" t="s">
        <v>3209</v>
      </c>
      <c r="E1084" s="125" t="s">
        <v>34</v>
      </c>
      <c r="F1084" s="126" t="s">
        <v>3333</v>
      </c>
      <c r="G1084" s="127" t="s">
        <v>3334</v>
      </c>
      <c r="H1084" s="128" t="s">
        <v>1844</v>
      </c>
      <c r="I1084" s="140" t="s">
        <v>1843</v>
      </c>
      <c r="J1084" s="149" t="s">
        <v>1876</v>
      </c>
      <c r="K1084" s="128" t="s">
        <v>2348</v>
      </c>
      <c r="L1084" s="128" t="s">
        <v>1844</v>
      </c>
      <c r="M1084" s="128" t="s">
        <v>1845</v>
      </c>
      <c r="N1084" s="140" t="s">
        <v>1844</v>
      </c>
      <c r="O1084" s="140" t="s">
        <v>1879</v>
      </c>
      <c r="P1084" s="140" t="s">
        <v>1862</v>
      </c>
      <c r="Q1084" s="140"/>
      <c r="R1084" s="140" t="s">
        <v>1845</v>
      </c>
      <c r="S1084" s="140"/>
      <c r="T1084" s="140"/>
      <c r="U1084" s="140"/>
      <c r="V1084" s="140"/>
      <c r="W1084" s="140" t="s">
        <v>1845</v>
      </c>
      <c r="X1084" s="128" t="s">
        <v>1845</v>
      </c>
      <c r="Y1084" s="128"/>
      <c r="Z1084" s="140"/>
      <c r="AA1084" s="140"/>
      <c r="AB1084" s="140"/>
      <c r="AC1084" s="140"/>
      <c r="AD1084" s="140"/>
      <c r="AE1084" s="140"/>
      <c r="AF1084" s="140"/>
      <c r="AG1084" s="140"/>
      <c r="AH1084" s="140"/>
      <c r="AI1084" s="140"/>
      <c r="AJ1084" s="128"/>
      <c r="AK1084" s="140"/>
      <c r="AL1084" s="140"/>
    </row>
    <row r="1085" ht="15.0" customHeight="1">
      <c r="A1085" s="122">
        <v>1084.0</v>
      </c>
      <c r="B1085" s="138">
        <v>11084.0</v>
      </c>
      <c r="C1085" s="396">
        <v>2.0</v>
      </c>
      <c r="D1085" s="122" t="s">
        <v>1844</v>
      </c>
      <c r="E1085" s="125" t="s">
        <v>27</v>
      </c>
      <c r="F1085" s="126" t="s">
        <v>3335</v>
      </c>
      <c r="G1085" s="221" t="s">
        <v>3336</v>
      </c>
      <c r="H1085" s="128"/>
      <c r="I1085" s="140" t="s">
        <v>1843</v>
      </c>
      <c r="J1085" s="149" t="s">
        <v>1844</v>
      </c>
      <c r="K1085" s="128" t="s">
        <v>1844</v>
      </c>
      <c r="L1085" s="128" t="s">
        <v>1844</v>
      </c>
      <c r="M1085" s="128" t="s">
        <v>1845</v>
      </c>
      <c r="N1085" s="140" t="s">
        <v>1844</v>
      </c>
      <c r="O1085" s="140" t="s">
        <v>1844</v>
      </c>
      <c r="P1085" s="140" t="s">
        <v>1895</v>
      </c>
      <c r="Q1085" s="140"/>
      <c r="R1085" s="140"/>
      <c r="S1085" s="140"/>
      <c r="T1085" s="140"/>
      <c r="U1085" s="140"/>
      <c r="V1085" s="140"/>
      <c r="W1085" s="140" t="s">
        <v>1845</v>
      </c>
      <c r="X1085" s="128"/>
      <c r="Y1085" s="128"/>
      <c r="Z1085" s="140"/>
      <c r="AA1085" s="140"/>
      <c r="AB1085" s="140"/>
      <c r="AC1085" s="140"/>
      <c r="AD1085" s="140"/>
      <c r="AE1085" s="140"/>
      <c r="AF1085" s="140"/>
      <c r="AG1085" s="140"/>
      <c r="AH1085" s="140"/>
      <c r="AI1085" s="140"/>
      <c r="AJ1085" s="128"/>
      <c r="AK1085" s="140"/>
      <c r="AL1085" s="140"/>
    </row>
    <row r="1086" ht="15.0" customHeight="1">
      <c r="A1086" s="122">
        <v>1085.0</v>
      </c>
      <c r="B1086" s="138">
        <f t="shared" ref="B1086:B1090" si="117">SUM(A1086+10000)</f>
        <v>11085</v>
      </c>
      <c r="C1086" s="396">
        <v>2.0</v>
      </c>
      <c r="D1086" s="122" t="s">
        <v>3264</v>
      </c>
      <c r="E1086" s="125" t="s">
        <v>7</v>
      </c>
      <c r="F1086" s="126" t="s">
        <v>3337</v>
      </c>
      <c r="G1086" s="126" t="s">
        <v>3338</v>
      </c>
      <c r="H1086" s="128" t="s">
        <v>1844</v>
      </c>
      <c r="I1086" s="140" t="s">
        <v>1843</v>
      </c>
      <c r="J1086" s="149" t="s">
        <v>1844</v>
      </c>
      <c r="K1086" s="128" t="s">
        <v>1844</v>
      </c>
      <c r="L1086" s="128" t="s">
        <v>1844</v>
      </c>
      <c r="M1086" s="128" t="s">
        <v>1844</v>
      </c>
      <c r="N1086" s="140" t="s">
        <v>1844</v>
      </c>
      <c r="O1086" s="140" t="s">
        <v>1844</v>
      </c>
      <c r="P1086" s="140" t="s">
        <v>1844</v>
      </c>
      <c r="Q1086" s="140" t="s">
        <v>1845</v>
      </c>
      <c r="R1086" s="140" t="s">
        <v>1845</v>
      </c>
      <c r="S1086" s="140" t="s">
        <v>1845</v>
      </c>
      <c r="T1086" s="140" t="s">
        <v>1845</v>
      </c>
      <c r="U1086" s="140"/>
      <c r="V1086" s="140"/>
      <c r="W1086" s="140" t="s">
        <v>1845</v>
      </c>
      <c r="X1086" s="128"/>
      <c r="Y1086" s="128"/>
      <c r="Z1086" s="140"/>
      <c r="AA1086" s="140"/>
      <c r="AB1086" s="140"/>
      <c r="AC1086" s="140"/>
      <c r="AD1086" s="140"/>
      <c r="AE1086" s="140"/>
      <c r="AF1086" s="140"/>
      <c r="AG1086" s="140"/>
      <c r="AH1086" s="140"/>
      <c r="AI1086" s="140"/>
      <c r="AJ1086" s="128"/>
      <c r="AK1086" s="140"/>
      <c r="AL1086" s="140"/>
    </row>
    <row r="1087" ht="15.0" customHeight="1">
      <c r="A1087" s="122">
        <v>1086.0</v>
      </c>
      <c r="B1087" s="138">
        <f t="shared" si="117"/>
        <v>11086</v>
      </c>
      <c r="C1087" s="396">
        <v>2.0</v>
      </c>
      <c r="D1087" s="122" t="s">
        <v>3264</v>
      </c>
      <c r="E1087" s="125" t="s">
        <v>7</v>
      </c>
      <c r="F1087" s="126" t="s">
        <v>3339</v>
      </c>
      <c r="G1087" s="126" t="s">
        <v>3340</v>
      </c>
      <c r="H1087" s="128" t="s">
        <v>1844</v>
      </c>
      <c r="I1087" s="140" t="s">
        <v>1843</v>
      </c>
      <c r="J1087" s="149" t="s">
        <v>1844</v>
      </c>
      <c r="K1087" s="128" t="s">
        <v>1844</v>
      </c>
      <c r="L1087" s="128" t="s">
        <v>1844</v>
      </c>
      <c r="M1087" s="128" t="s">
        <v>1844</v>
      </c>
      <c r="N1087" s="140" t="s">
        <v>1844</v>
      </c>
      <c r="O1087" s="140" t="s">
        <v>1844</v>
      </c>
      <c r="P1087" s="140" t="s">
        <v>1844</v>
      </c>
      <c r="Q1087" s="140"/>
      <c r="R1087" s="140" t="s">
        <v>1845</v>
      </c>
      <c r="S1087" s="140" t="s">
        <v>1845</v>
      </c>
      <c r="T1087" s="140"/>
      <c r="U1087" s="140"/>
      <c r="V1087" s="140"/>
      <c r="W1087" s="140" t="s">
        <v>1845</v>
      </c>
      <c r="X1087" s="128"/>
      <c r="Y1087" s="128"/>
      <c r="Z1087" s="140"/>
      <c r="AA1087" s="140"/>
      <c r="AB1087" s="140"/>
      <c r="AC1087" s="140"/>
      <c r="AD1087" s="140"/>
      <c r="AE1087" s="140"/>
      <c r="AF1087" s="140"/>
      <c r="AG1087" s="140"/>
      <c r="AH1087" s="140"/>
      <c r="AI1087" s="140"/>
      <c r="AJ1087" s="128"/>
      <c r="AK1087" s="140"/>
      <c r="AL1087" s="140"/>
    </row>
    <row r="1088" ht="15.0" customHeight="1">
      <c r="A1088" s="122">
        <v>1087.0</v>
      </c>
      <c r="B1088" s="138">
        <f t="shared" si="117"/>
        <v>11087</v>
      </c>
      <c r="C1088" s="396">
        <v>2.0</v>
      </c>
      <c r="D1088" s="122" t="s">
        <v>3264</v>
      </c>
      <c r="E1088" s="125" t="s">
        <v>20</v>
      </c>
      <c r="F1088" s="126" t="s">
        <v>3341</v>
      </c>
      <c r="G1088" s="126" t="s">
        <v>3342</v>
      </c>
      <c r="H1088" s="128" t="s">
        <v>1844</v>
      </c>
      <c r="I1088" s="140" t="s">
        <v>1843</v>
      </c>
      <c r="J1088" s="149" t="s">
        <v>1844</v>
      </c>
      <c r="K1088" s="128" t="s">
        <v>1844</v>
      </c>
      <c r="L1088" s="128" t="s">
        <v>1961</v>
      </c>
      <c r="M1088" s="128" t="s">
        <v>1845</v>
      </c>
      <c r="N1088" s="140" t="s">
        <v>1844</v>
      </c>
      <c r="O1088" s="140" t="s">
        <v>1844</v>
      </c>
      <c r="P1088" s="140" t="s">
        <v>1862</v>
      </c>
      <c r="Q1088" s="140"/>
      <c r="R1088" s="140"/>
      <c r="S1088" s="140" t="s">
        <v>1845</v>
      </c>
      <c r="T1088" s="140"/>
      <c r="U1088" s="140"/>
      <c r="V1088" s="140"/>
      <c r="W1088" s="140"/>
      <c r="X1088" s="128"/>
      <c r="Y1088" s="128"/>
      <c r="Z1088" s="140"/>
      <c r="AA1088" s="140"/>
      <c r="AB1088" s="140"/>
      <c r="AC1088" s="140"/>
      <c r="AD1088" s="140"/>
      <c r="AE1088" s="140"/>
      <c r="AF1088" s="140"/>
      <c r="AG1088" s="140"/>
      <c r="AH1088" s="140"/>
      <c r="AI1088" s="140"/>
      <c r="AJ1088" s="128"/>
      <c r="AK1088" s="140"/>
      <c r="AL1088" s="140"/>
    </row>
    <row r="1089" ht="15.0" customHeight="1">
      <c r="A1089" s="122">
        <v>1088.0</v>
      </c>
      <c r="B1089" s="138">
        <f t="shared" si="117"/>
        <v>11088</v>
      </c>
      <c r="C1089" s="396">
        <v>2.0</v>
      </c>
      <c r="D1089" s="122" t="s">
        <v>1844</v>
      </c>
      <c r="E1089" s="125" t="s">
        <v>7</v>
      </c>
      <c r="F1089" s="126" t="s">
        <v>3343</v>
      </c>
      <c r="G1089" s="126" t="s">
        <v>3344</v>
      </c>
      <c r="H1089" s="128" t="s">
        <v>1844</v>
      </c>
      <c r="I1089" s="140" t="s">
        <v>1843</v>
      </c>
      <c r="J1089" s="149" t="s">
        <v>1844</v>
      </c>
      <c r="K1089" s="128" t="s">
        <v>1844</v>
      </c>
      <c r="L1089" s="128" t="s">
        <v>1844</v>
      </c>
      <c r="M1089" s="128" t="s">
        <v>1844</v>
      </c>
      <c r="N1089" s="140" t="s">
        <v>1844</v>
      </c>
      <c r="O1089" s="140" t="s">
        <v>1844</v>
      </c>
      <c r="P1089" s="140" t="s">
        <v>1844</v>
      </c>
      <c r="Q1089" s="140" t="s">
        <v>1845</v>
      </c>
      <c r="R1089" s="140"/>
      <c r="S1089" s="140"/>
      <c r="T1089" s="140"/>
      <c r="U1089" s="140"/>
      <c r="V1089" s="140"/>
      <c r="W1089" s="140"/>
      <c r="X1089" s="128"/>
      <c r="Y1089" s="128"/>
      <c r="Z1089" s="140"/>
      <c r="AA1089" s="140"/>
      <c r="AB1089" s="140"/>
      <c r="AC1089" s="140"/>
      <c r="AD1089" s="140"/>
      <c r="AE1089" s="140"/>
      <c r="AF1089" s="140"/>
      <c r="AG1089" s="140"/>
      <c r="AH1089" s="140"/>
      <c r="AI1089" s="140"/>
      <c r="AJ1089" s="128"/>
      <c r="AK1089" s="140"/>
      <c r="AL1089" s="140"/>
    </row>
    <row r="1090" ht="15.0" customHeight="1">
      <c r="A1090" s="122">
        <v>1089.0</v>
      </c>
      <c r="B1090" s="138">
        <f t="shared" si="117"/>
        <v>11089</v>
      </c>
      <c r="C1090" s="396">
        <v>2.0</v>
      </c>
      <c r="D1090" s="122" t="s">
        <v>3264</v>
      </c>
      <c r="E1090" s="125" t="s">
        <v>34</v>
      </c>
      <c r="F1090" s="126" t="s">
        <v>3345</v>
      </c>
      <c r="G1090" s="126" t="s">
        <v>3346</v>
      </c>
      <c r="H1090" s="128" t="s">
        <v>1844</v>
      </c>
      <c r="I1090" s="140" t="s">
        <v>1843</v>
      </c>
      <c r="J1090" s="149" t="s">
        <v>1876</v>
      </c>
      <c r="K1090" s="128" t="s">
        <v>2348</v>
      </c>
      <c r="L1090" s="128" t="s">
        <v>1844</v>
      </c>
      <c r="M1090" s="128" t="s">
        <v>1845</v>
      </c>
      <c r="N1090" s="140" t="s">
        <v>1844</v>
      </c>
      <c r="O1090" s="140" t="s">
        <v>1879</v>
      </c>
      <c r="P1090" s="140" t="s">
        <v>1862</v>
      </c>
      <c r="Q1090" s="140"/>
      <c r="R1090" s="140" t="s">
        <v>1845</v>
      </c>
      <c r="S1090" s="140" t="s">
        <v>1845</v>
      </c>
      <c r="T1090" s="140" t="s">
        <v>1845</v>
      </c>
      <c r="U1090" s="140"/>
      <c r="V1090" s="140"/>
      <c r="W1090" s="140"/>
      <c r="X1090" s="128"/>
      <c r="Y1090" s="128"/>
      <c r="Z1090" s="140"/>
      <c r="AA1090" s="140"/>
      <c r="AB1090" s="140"/>
      <c r="AC1090" s="140"/>
      <c r="AD1090" s="140"/>
      <c r="AE1090" s="140"/>
      <c r="AF1090" s="140"/>
      <c r="AG1090" s="140"/>
      <c r="AH1090" s="140"/>
      <c r="AI1090" s="140"/>
      <c r="AJ1090" s="128"/>
      <c r="AK1090" s="140"/>
      <c r="AL1090" s="140"/>
    </row>
    <row r="1091" ht="15.0" customHeight="1">
      <c r="A1091" s="400" t="s">
        <v>1742</v>
      </c>
      <c r="B1091" s="138">
        <v>50001.0</v>
      </c>
      <c r="C1091" s="396">
        <v>1.0</v>
      </c>
      <c r="D1091" s="122" t="s">
        <v>1844</v>
      </c>
      <c r="E1091" s="125" t="s">
        <v>7</v>
      </c>
      <c r="F1091" s="126" t="s">
        <v>3347</v>
      </c>
      <c r="G1091" s="269" t="s">
        <v>3348</v>
      </c>
      <c r="H1091" s="269" t="s">
        <v>1844</v>
      </c>
      <c r="I1091" s="140" t="s">
        <v>1843</v>
      </c>
      <c r="J1091" s="186" t="s">
        <v>1844</v>
      </c>
      <c r="K1091" s="170" t="s">
        <v>1844</v>
      </c>
      <c r="L1091" s="136" t="s">
        <v>1844</v>
      </c>
      <c r="M1091" s="136" t="s">
        <v>1844</v>
      </c>
      <c r="N1091" s="144" t="s">
        <v>1844</v>
      </c>
      <c r="O1091" s="144" t="s">
        <v>1844</v>
      </c>
      <c r="P1091" s="140" t="s">
        <v>1844</v>
      </c>
      <c r="Q1091" s="140" t="s">
        <v>1845</v>
      </c>
      <c r="R1091" s="140"/>
      <c r="S1091" s="140"/>
      <c r="T1091" s="140"/>
      <c r="U1091" s="140"/>
      <c r="V1091" s="140"/>
      <c r="W1091" s="144"/>
      <c r="X1091" s="136"/>
      <c r="Y1091" s="136"/>
      <c r="Z1091" s="140"/>
      <c r="AA1091" s="140"/>
      <c r="AB1091" s="140"/>
      <c r="AC1091" s="140"/>
      <c r="AD1091" s="140"/>
      <c r="AE1091" s="140"/>
      <c r="AF1091" s="140"/>
      <c r="AG1091" s="140"/>
      <c r="AH1091" s="140"/>
      <c r="AI1091" s="128"/>
      <c r="AJ1091" s="137"/>
      <c r="AK1091" s="140"/>
      <c r="AL1091" s="140"/>
    </row>
    <row r="1092" ht="15.0" customHeight="1">
      <c r="A1092" s="400" t="s">
        <v>1742</v>
      </c>
      <c r="B1092" s="138">
        <v>50002.0</v>
      </c>
      <c r="C1092" s="396">
        <v>1.0</v>
      </c>
      <c r="D1092" s="122" t="s">
        <v>1844</v>
      </c>
      <c r="E1092" s="125" t="s">
        <v>7</v>
      </c>
      <c r="F1092" s="126" t="s">
        <v>3349</v>
      </c>
      <c r="G1092" s="269" t="s">
        <v>3350</v>
      </c>
      <c r="H1092" s="269" t="s">
        <v>1844</v>
      </c>
      <c r="I1092" s="140" t="s">
        <v>1843</v>
      </c>
      <c r="J1092" s="186" t="s">
        <v>1844</v>
      </c>
      <c r="K1092" s="170" t="s">
        <v>1844</v>
      </c>
      <c r="L1092" s="136" t="s">
        <v>1844</v>
      </c>
      <c r="M1092" s="136" t="s">
        <v>1844</v>
      </c>
      <c r="N1092" s="144" t="s">
        <v>1844</v>
      </c>
      <c r="O1092" s="144" t="s">
        <v>1844</v>
      </c>
      <c r="P1092" s="140" t="s">
        <v>1844</v>
      </c>
      <c r="Q1092" s="140" t="s">
        <v>1845</v>
      </c>
      <c r="R1092" s="140"/>
      <c r="S1092" s="140"/>
      <c r="T1092" s="140"/>
      <c r="U1092" s="140"/>
      <c r="V1092" s="140"/>
      <c r="W1092" s="144"/>
      <c r="X1092" s="136"/>
      <c r="Y1092" s="136"/>
      <c r="Z1092" s="140"/>
      <c r="AA1092" s="140"/>
      <c r="AB1092" s="140"/>
      <c r="AC1092" s="140"/>
      <c r="AD1092" s="140"/>
      <c r="AE1092" s="140"/>
      <c r="AF1092" s="140"/>
      <c r="AG1092" s="140"/>
      <c r="AH1092" s="140"/>
      <c r="AI1092" s="128"/>
      <c r="AJ1092" s="137"/>
      <c r="AK1092" s="140"/>
      <c r="AL1092" s="140"/>
    </row>
    <row r="1093" ht="15.0" customHeight="1">
      <c r="A1093" s="400" t="s">
        <v>1742</v>
      </c>
      <c r="B1093" s="138">
        <v>50003.0</v>
      </c>
      <c r="C1093" s="396">
        <v>1.0</v>
      </c>
      <c r="D1093" s="122" t="s">
        <v>1844</v>
      </c>
      <c r="E1093" s="125" t="s">
        <v>7</v>
      </c>
      <c r="F1093" s="126" t="s">
        <v>3351</v>
      </c>
      <c r="G1093" s="269" t="s">
        <v>3352</v>
      </c>
      <c r="H1093" s="269" t="s">
        <v>1844</v>
      </c>
      <c r="I1093" s="140" t="s">
        <v>1843</v>
      </c>
      <c r="J1093" s="186" t="s">
        <v>1844</v>
      </c>
      <c r="K1093" s="170" t="s">
        <v>1844</v>
      </c>
      <c r="L1093" s="136" t="s">
        <v>1844</v>
      </c>
      <c r="M1093" s="136" t="s">
        <v>1844</v>
      </c>
      <c r="N1093" s="144" t="s">
        <v>1844</v>
      </c>
      <c r="O1093" s="144" t="s">
        <v>1844</v>
      </c>
      <c r="P1093" s="140" t="s">
        <v>1844</v>
      </c>
      <c r="Q1093" s="140" t="s">
        <v>1845</v>
      </c>
      <c r="R1093" s="140"/>
      <c r="S1093" s="140"/>
      <c r="T1093" s="140"/>
      <c r="U1093" s="140"/>
      <c r="V1093" s="140"/>
      <c r="W1093" s="144"/>
      <c r="X1093" s="136" t="s">
        <v>1845</v>
      </c>
      <c r="Y1093" s="136"/>
      <c r="Z1093" s="140"/>
      <c r="AA1093" s="140"/>
      <c r="AB1093" s="140"/>
      <c r="AC1093" s="140"/>
      <c r="AD1093" s="140"/>
      <c r="AE1093" s="140"/>
      <c r="AF1093" s="140"/>
      <c r="AG1093" s="140"/>
      <c r="AH1093" s="140"/>
      <c r="AI1093" s="128"/>
      <c r="AJ1093" s="137"/>
      <c r="AK1093" s="140"/>
      <c r="AL1093" s="140"/>
    </row>
    <row r="1094" ht="15.0" customHeight="1">
      <c r="A1094" s="400" t="s">
        <v>1742</v>
      </c>
      <c r="B1094" s="138">
        <v>50004.0</v>
      </c>
      <c r="C1094" s="396">
        <v>1.0</v>
      </c>
      <c r="D1094" s="122" t="s">
        <v>1844</v>
      </c>
      <c r="E1094" s="125" t="s">
        <v>7</v>
      </c>
      <c r="F1094" s="126" t="s">
        <v>3353</v>
      </c>
      <c r="G1094" s="320" t="s">
        <v>3354</v>
      </c>
      <c r="H1094" s="269"/>
      <c r="I1094" s="140" t="s">
        <v>1843</v>
      </c>
      <c r="J1094" s="186" t="s">
        <v>1844</v>
      </c>
      <c r="K1094" s="128" t="s">
        <v>1844</v>
      </c>
      <c r="L1094" s="136" t="s">
        <v>1844</v>
      </c>
      <c r="M1094" s="136" t="s">
        <v>1845</v>
      </c>
      <c r="N1094" s="144" t="s">
        <v>1844</v>
      </c>
      <c r="O1094" s="144" t="s">
        <v>1844</v>
      </c>
      <c r="P1094" s="140" t="s">
        <v>1895</v>
      </c>
      <c r="Q1094" s="140"/>
      <c r="R1094" s="140"/>
      <c r="S1094" s="140"/>
      <c r="T1094" s="140" t="s">
        <v>1845</v>
      </c>
      <c r="U1094" s="140"/>
      <c r="V1094" s="140"/>
      <c r="W1094" s="144"/>
      <c r="X1094" s="136"/>
      <c r="Y1094" s="136"/>
      <c r="Z1094" s="140"/>
      <c r="AA1094" s="140"/>
      <c r="AB1094" s="140"/>
      <c r="AC1094" s="140"/>
      <c r="AD1094" s="140"/>
      <c r="AE1094" s="140"/>
      <c r="AF1094" s="140"/>
      <c r="AG1094" s="140"/>
      <c r="AH1094" s="140"/>
      <c r="AI1094" s="128"/>
      <c r="AJ1094" s="137"/>
      <c r="AK1094" s="140"/>
      <c r="AL1094" s="140"/>
    </row>
    <row r="1095" ht="15.0" customHeight="1">
      <c r="A1095" s="400" t="s">
        <v>1742</v>
      </c>
      <c r="B1095" s="138">
        <v>50005.0</v>
      </c>
      <c r="C1095" s="396">
        <v>1.0</v>
      </c>
      <c r="D1095" s="122" t="s">
        <v>1844</v>
      </c>
      <c r="E1095" s="125" t="s">
        <v>7</v>
      </c>
      <c r="F1095" s="126" t="s">
        <v>3355</v>
      </c>
      <c r="G1095" s="269" t="s">
        <v>3356</v>
      </c>
      <c r="H1095" s="269" t="s">
        <v>1844</v>
      </c>
      <c r="I1095" s="140" t="s">
        <v>1843</v>
      </c>
      <c r="J1095" s="186" t="s">
        <v>1844</v>
      </c>
      <c r="K1095" s="128" t="s">
        <v>1844</v>
      </c>
      <c r="L1095" s="136" t="s">
        <v>1844</v>
      </c>
      <c r="M1095" s="136" t="s">
        <v>1844</v>
      </c>
      <c r="N1095" s="144" t="s">
        <v>1844</v>
      </c>
      <c r="O1095" s="144" t="s">
        <v>1844</v>
      </c>
      <c r="P1095" s="140"/>
      <c r="Q1095" s="140"/>
      <c r="R1095" s="140"/>
      <c r="S1095" s="140"/>
      <c r="T1095" s="140"/>
      <c r="U1095" s="140"/>
      <c r="V1095" s="140"/>
      <c r="W1095" s="144"/>
      <c r="X1095" s="136" t="s">
        <v>1845</v>
      </c>
      <c r="Y1095" s="136"/>
      <c r="Z1095" s="140"/>
      <c r="AA1095" s="140"/>
      <c r="AB1095" s="140"/>
      <c r="AC1095" s="140"/>
      <c r="AD1095" s="140"/>
      <c r="AE1095" s="140"/>
      <c r="AF1095" s="140"/>
      <c r="AG1095" s="140"/>
      <c r="AH1095" s="140"/>
      <c r="AI1095" s="128"/>
      <c r="AJ1095" s="137"/>
      <c r="AK1095" s="140"/>
      <c r="AL1095" s="140" t="s">
        <v>1845</v>
      </c>
    </row>
    <row r="1096" ht="15.0" customHeight="1">
      <c r="A1096" s="400" t="s">
        <v>1742</v>
      </c>
      <c r="B1096" s="138">
        <v>50006.0</v>
      </c>
      <c r="C1096" s="396">
        <v>1.0</v>
      </c>
      <c r="D1096" s="122" t="s">
        <v>1844</v>
      </c>
      <c r="E1096" s="125" t="s">
        <v>7</v>
      </c>
      <c r="F1096" s="126" t="s">
        <v>3357</v>
      </c>
      <c r="G1096" s="269" t="s">
        <v>3358</v>
      </c>
      <c r="H1096" s="269" t="s">
        <v>1844</v>
      </c>
      <c r="I1096" s="140" t="s">
        <v>1843</v>
      </c>
      <c r="J1096" s="186" t="s">
        <v>1844</v>
      </c>
      <c r="K1096" s="128" t="s">
        <v>1844</v>
      </c>
      <c r="L1096" s="136" t="s">
        <v>1844</v>
      </c>
      <c r="M1096" s="136" t="s">
        <v>1844</v>
      </c>
      <c r="N1096" s="144" t="s">
        <v>1844</v>
      </c>
      <c r="O1096" s="144" t="s">
        <v>1844</v>
      </c>
      <c r="P1096" s="144" t="s">
        <v>1844</v>
      </c>
      <c r="Q1096" s="144"/>
      <c r="R1096" s="144"/>
      <c r="S1096" s="144"/>
      <c r="T1096" s="144" t="s">
        <v>1845</v>
      </c>
      <c r="U1096" s="144"/>
      <c r="V1096" s="144"/>
      <c r="W1096" s="144"/>
      <c r="X1096" s="136"/>
      <c r="Y1096" s="136"/>
      <c r="Z1096" s="144"/>
      <c r="AA1096" s="144"/>
      <c r="AB1096" s="140"/>
      <c r="AC1096" s="140"/>
      <c r="AD1096" s="140"/>
      <c r="AE1096" s="140"/>
      <c r="AF1096" s="140"/>
      <c r="AG1096" s="140"/>
      <c r="AH1096" s="140"/>
      <c r="AI1096" s="128"/>
      <c r="AJ1096" s="137"/>
      <c r="AK1096" s="140"/>
      <c r="AL1096" s="140"/>
    </row>
    <row r="1097" ht="15.0" customHeight="1">
      <c r="A1097" s="400" t="s">
        <v>1742</v>
      </c>
      <c r="B1097" s="138">
        <v>50007.0</v>
      </c>
      <c r="C1097" s="396">
        <v>1.0</v>
      </c>
      <c r="D1097" s="122" t="s">
        <v>1844</v>
      </c>
      <c r="E1097" s="125" t="s">
        <v>7</v>
      </c>
      <c r="F1097" s="126" t="s">
        <v>3359</v>
      </c>
      <c r="G1097" s="126" t="s">
        <v>3360</v>
      </c>
      <c r="H1097" s="269" t="s">
        <v>1844</v>
      </c>
      <c r="I1097" s="140" t="s">
        <v>1843</v>
      </c>
      <c r="J1097" s="149" t="s">
        <v>1844</v>
      </c>
      <c r="K1097" s="128" t="s">
        <v>1844</v>
      </c>
      <c r="L1097" s="128" t="s">
        <v>1844</v>
      </c>
      <c r="M1097" s="128" t="s">
        <v>1844</v>
      </c>
      <c r="N1097" s="140" t="s">
        <v>1844</v>
      </c>
      <c r="O1097" s="140" t="s">
        <v>1844</v>
      </c>
      <c r="P1097" s="140" t="s">
        <v>1844</v>
      </c>
      <c r="Q1097" s="140" t="s">
        <v>1845</v>
      </c>
      <c r="R1097" s="140"/>
      <c r="S1097" s="140"/>
      <c r="T1097" s="140" t="s">
        <v>1845</v>
      </c>
      <c r="U1097" s="140"/>
      <c r="V1097" s="140"/>
      <c r="W1097" s="140"/>
      <c r="X1097" s="128"/>
      <c r="Y1097" s="128"/>
      <c r="Z1097" s="140"/>
      <c r="AA1097" s="140"/>
      <c r="AB1097" s="140"/>
      <c r="AC1097" s="140"/>
      <c r="AD1097" s="140"/>
      <c r="AE1097" s="140"/>
      <c r="AF1097" s="140"/>
      <c r="AG1097" s="140"/>
      <c r="AH1097" s="140"/>
      <c r="AI1097" s="128"/>
      <c r="AJ1097" s="128"/>
      <c r="AK1097" s="140"/>
      <c r="AL1097" s="140" t="s">
        <v>1845</v>
      </c>
    </row>
    <row r="1098" ht="15.0" customHeight="1">
      <c r="A1098" s="400" t="s">
        <v>1742</v>
      </c>
      <c r="B1098" s="138">
        <v>50008.0</v>
      </c>
      <c r="C1098" s="396">
        <v>1.0</v>
      </c>
      <c r="D1098" s="122" t="s">
        <v>1844</v>
      </c>
      <c r="E1098" s="125" t="s">
        <v>7</v>
      </c>
      <c r="F1098" s="126" t="s">
        <v>3361</v>
      </c>
      <c r="G1098" s="127" t="s">
        <v>3362</v>
      </c>
      <c r="H1098" s="269" t="s">
        <v>1844</v>
      </c>
      <c r="I1098" s="140" t="s">
        <v>2018</v>
      </c>
      <c r="J1098" s="149" t="s">
        <v>1844</v>
      </c>
      <c r="K1098" s="128" t="s">
        <v>1844</v>
      </c>
      <c r="L1098" s="128" t="s">
        <v>1844</v>
      </c>
      <c r="M1098" s="128" t="s">
        <v>1844</v>
      </c>
      <c r="N1098" s="140" t="s">
        <v>1844</v>
      </c>
      <c r="O1098" s="140" t="s">
        <v>1844</v>
      </c>
      <c r="P1098" s="140" t="s">
        <v>1844</v>
      </c>
      <c r="Q1098" s="140" t="s">
        <v>1845</v>
      </c>
      <c r="R1098" s="140"/>
      <c r="S1098" s="140"/>
      <c r="T1098" s="140"/>
      <c r="U1098" s="140"/>
      <c r="V1098" s="140"/>
      <c r="W1098" s="140"/>
      <c r="X1098" s="128"/>
      <c r="Y1098" s="128"/>
      <c r="Z1098" s="140"/>
      <c r="AA1098" s="140"/>
      <c r="AB1098" s="140"/>
      <c r="AC1098" s="140"/>
      <c r="AD1098" s="140"/>
      <c r="AE1098" s="140"/>
      <c r="AF1098" s="140"/>
      <c r="AG1098" s="140" t="s">
        <v>1845</v>
      </c>
      <c r="AH1098" s="140"/>
      <c r="AI1098" s="128"/>
      <c r="AJ1098" s="128"/>
      <c r="AK1098" s="140"/>
      <c r="AL1098" s="140"/>
    </row>
    <row r="1099" ht="15.0" customHeight="1">
      <c r="A1099" s="400" t="s">
        <v>1742</v>
      </c>
      <c r="B1099" s="138">
        <v>50009.0</v>
      </c>
      <c r="C1099" s="396">
        <v>1.0</v>
      </c>
      <c r="D1099" s="122" t="s">
        <v>1844</v>
      </c>
      <c r="E1099" s="125" t="s">
        <v>7</v>
      </c>
      <c r="F1099" s="126" t="s">
        <v>3363</v>
      </c>
      <c r="G1099" s="127" t="s">
        <v>3364</v>
      </c>
      <c r="H1099" s="269" t="s">
        <v>1844</v>
      </c>
      <c r="I1099" s="140" t="s">
        <v>1843</v>
      </c>
      <c r="J1099" s="149" t="s">
        <v>1844</v>
      </c>
      <c r="K1099" s="128" t="s">
        <v>1844</v>
      </c>
      <c r="L1099" s="128" t="s">
        <v>1844</v>
      </c>
      <c r="M1099" s="128" t="s">
        <v>1844</v>
      </c>
      <c r="N1099" s="140" t="s">
        <v>1844</v>
      </c>
      <c r="O1099" s="140" t="s">
        <v>1844</v>
      </c>
      <c r="P1099" s="140" t="s">
        <v>1844</v>
      </c>
      <c r="Q1099" s="140" t="s">
        <v>1845</v>
      </c>
      <c r="R1099" s="140"/>
      <c r="S1099" s="140"/>
      <c r="T1099" s="140"/>
      <c r="U1099" s="140"/>
      <c r="V1099" s="140"/>
      <c r="W1099" s="140" t="s">
        <v>1845</v>
      </c>
      <c r="X1099" s="128"/>
      <c r="Y1099" s="128"/>
      <c r="Z1099" s="140"/>
      <c r="AA1099" s="140"/>
      <c r="AB1099" s="140"/>
      <c r="AC1099" s="140"/>
      <c r="AD1099" s="140"/>
      <c r="AE1099" s="140"/>
      <c r="AF1099" s="140"/>
      <c r="AG1099" s="140"/>
      <c r="AH1099" s="140"/>
      <c r="AI1099" s="128"/>
      <c r="AJ1099" s="128"/>
      <c r="AK1099" s="140"/>
      <c r="AL1099" s="140"/>
    </row>
    <row r="1100" ht="15.0" customHeight="1">
      <c r="A1100" s="400" t="s">
        <v>1742</v>
      </c>
      <c r="B1100" s="138">
        <v>50010.0</v>
      </c>
      <c r="C1100" s="396">
        <v>1.0</v>
      </c>
      <c r="D1100" s="122" t="s">
        <v>1844</v>
      </c>
      <c r="E1100" s="125" t="s">
        <v>7</v>
      </c>
      <c r="F1100" s="126" t="s">
        <v>3365</v>
      </c>
      <c r="G1100" s="126" t="s">
        <v>3366</v>
      </c>
      <c r="H1100" s="269" t="s">
        <v>1844</v>
      </c>
      <c r="I1100" s="140" t="s">
        <v>1843</v>
      </c>
      <c r="J1100" s="149" t="s">
        <v>1844</v>
      </c>
      <c r="K1100" s="128" t="s">
        <v>1844</v>
      </c>
      <c r="L1100" s="128" t="s">
        <v>1844</v>
      </c>
      <c r="M1100" s="128" t="s">
        <v>1844</v>
      </c>
      <c r="N1100" s="140" t="s">
        <v>1844</v>
      </c>
      <c r="O1100" s="140" t="s">
        <v>1844</v>
      </c>
      <c r="P1100" s="140" t="s">
        <v>1844</v>
      </c>
      <c r="Q1100" s="140" t="s">
        <v>1845</v>
      </c>
      <c r="R1100" s="140"/>
      <c r="S1100" s="140"/>
      <c r="T1100" s="140" t="s">
        <v>1845</v>
      </c>
      <c r="U1100" s="140"/>
      <c r="V1100" s="140"/>
      <c r="W1100" s="140"/>
      <c r="X1100" s="128"/>
      <c r="Y1100" s="128"/>
      <c r="Z1100" s="140"/>
      <c r="AA1100" s="140"/>
      <c r="AB1100" s="140"/>
      <c r="AC1100" s="140"/>
      <c r="AD1100" s="140"/>
      <c r="AE1100" s="140"/>
      <c r="AF1100" s="140"/>
      <c r="AG1100" s="140"/>
      <c r="AH1100" s="140"/>
      <c r="AI1100" s="128"/>
      <c r="AJ1100" s="128"/>
      <c r="AK1100" s="140"/>
      <c r="AL1100" s="140"/>
    </row>
    <row r="1101" ht="15.0" customHeight="1">
      <c r="A1101" s="400" t="s">
        <v>1742</v>
      </c>
      <c r="B1101" s="138">
        <v>50011.0</v>
      </c>
      <c r="C1101" s="396">
        <v>1.0</v>
      </c>
      <c r="D1101" s="122" t="s">
        <v>1844</v>
      </c>
      <c r="E1101" s="125" t="s">
        <v>7</v>
      </c>
      <c r="F1101" s="126" t="s">
        <v>3367</v>
      </c>
      <c r="G1101" s="126" t="s">
        <v>3368</v>
      </c>
      <c r="H1101" s="269" t="s">
        <v>1844</v>
      </c>
      <c r="I1101" s="140" t="s">
        <v>1843</v>
      </c>
      <c r="J1101" s="149" t="s">
        <v>1844</v>
      </c>
      <c r="K1101" s="128" t="s">
        <v>1844</v>
      </c>
      <c r="L1101" s="128" t="s">
        <v>1844</v>
      </c>
      <c r="M1101" s="128" t="s">
        <v>1844</v>
      </c>
      <c r="N1101" s="140" t="s">
        <v>1844</v>
      </c>
      <c r="O1101" s="140" t="s">
        <v>1844</v>
      </c>
      <c r="P1101" s="140" t="s">
        <v>1844</v>
      </c>
      <c r="Q1101" s="140" t="s">
        <v>1845</v>
      </c>
      <c r="R1101" s="140"/>
      <c r="S1101" s="140"/>
      <c r="T1101" s="140" t="s">
        <v>1845</v>
      </c>
      <c r="U1101" s="140"/>
      <c r="V1101" s="140"/>
      <c r="W1101" s="140"/>
      <c r="X1101" s="128"/>
      <c r="Y1101" s="128"/>
      <c r="Z1101" s="140"/>
      <c r="AA1101" s="140"/>
      <c r="AB1101" s="140"/>
      <c r="AC1101" s="140"/>
      <c r="AD1101" s="140"/>
      <c r="AE1101" s="140"/>
      <c r="AF1101" s="140"/>
      <c r="AG1101" s="140"/>
      <c r="AH1101" s="140"/>
      <c r="AI1101" s="128"/>
      <c r="AJ1101" s="128"/>
      <c r="AK1101" s="140"/>
      <c r="AL1101" s="140"/>
    </row>
    <row r="1102" ht="15.0" customHeight="1">
      <c r="A1102" s="400" t="s">
        <v>1742</v>
      </c>
      <c r="B1102" s="138">
        <v>50013.0</v>
      </c>
      <c r="C1102" s="396">
        <v>1.0</v>
      </c>
      <c r="D1102" s="122" t="s">
        <v>1844</v>
      </c>
      <c r="E1102" s="125" t="s">
        <v>7</v>
      </c>
      <c r="F1102" s="126" t="s">
        <v>3369</v>
      </c>
      <c r="G1102" s="126" t="s">
        <v>3370</v>
      </c>
      <c r="H1102" s="128" t="s">
        <v>1844</v>
      </c>
      <c r="I1102" s="140" t="s">
        <v>2036</v>
      </c>
      <c r="J1102" s="186" t="s">
        <v>1844</v>
      </c>
      <c r="K1102" s="170" t="s">
        <v>1844</v>
      </c>
      <c r="L1102" s="136" t="s">
        <v>1844</v>
      </c>
      <c r="M1102" s="136" t="s">
        <v>1844</v>
      </c>
      <c r="N1102" s="144" t="s">
        <v>1844</v>
      </c>
      <c r="O1102" s="136" t="s">
        <v>1844</v>
      </c>
      <c r="P1102" s="128" t="s">
        <v>1844</v>
      </c>
      <c r="Q1102" s="140" t="s">
        <v>1845</v>
      </c>
      <c r="R1102" s="140"/>
      <c r="S1102" s="140" t="s">
        <v>1845</v>
      </c>
      <c r="T1102" s="140"/>
      <c r="U1102" s="140"/>
      <c r="V1102" s="140"/>
      <c r="W1102" s="144"/>
      <c r="X1102" s="136" t="s">
        <v>1845</v>
      </c>
      <c r="Y1102" s="136"/>
      <c r="Z1102" s="140"/>
      <c r="AA1102" s="140"/>
      <c r="AB1102" s="140"/>
      <c r="AC1102" s="140"/>
      <c r="AD1102" s="140"/>
      <c r="AE1102" s="140"/>
      <c r="AF1102" s="140"/>
      <c r="AG1102" s="140"/>
      <c r="AH1102" s="140"/>
      <c r="AI1102" s="140"/>
      <c r="AJ1102" s="137"/>
      <c r="AK1102" s="140"/>
      <c r="AL1102" s="140"/>
    </row>
    <row r="1103" ht="15.0" customHeight="1">
      <c r="A1103" s="400" t="s">
        <v>1742</v>
      </c>
      <c r="B1103" s="138">
        <v>50016.0</v>
      </c>
      <c r="C1103" s="396">
        <v>1.0</v>
      </c>
      <c r="D1103" s="122" t="s">
        <v>1844</v>
      </c>
      <c r="E1103" s="125" t="s">
        <v>20</v>
      </c>
      <c r="F1103" s="126" t="s">
        <v>3371</v>
      </c>
      <c r="G1103" s="126" t="s">
        <v>3372</v>
      </c>
      <c r="H1103" s="128" t="s">
        <v>1844</v>
      </c>
      <c r="I1103" s="140" t="s">
        <v>1843</v>
      </c>
      <c r="J1103" s="186" t="s">
        <v>1844</v>
      </c>
      <c r="K1103" s="170" t="s">
        <v>1844</v>
      </c>
      <c r="L1103" s="136" t="s">
        <v>1844</v>
      </c>
      <c r="M1103" s="136" t="s">
        <v>1845</v>
      </c>
      <c r="N1103" s="144" t="s">
        <v>1844</v>
      </c>
      <c r="O1103" s="144" t="s">
        <v>1844</v>
      </c>
      <c r="P1103" s="140" t="s">
        <v>1862</v>
      </c>
      <c r="Q1103" s="140"/>
      <c r="R1103" s="140"/>
      <c r="S1103" s="140"/>
      <c r="T1103" s="140"/>
      <c r="U1103" s="140"/>
      <c r="V1103" s="140"/>
      <c r="W1103" s="144"/>
      <c r="X1103" s="136"/>
      <c r="Y1103" s="136"/>
      <c r="Z1103" s="140"/>
      <c r="AA1103" s="140"/>
      <c r="AB1103" s="140"/>
      <c r="AC1103" s="140"/>
      <c r="AD1103" s="140"/>
      <c r="AE1103" s="140"/>
      <c r="AF1103" s="140"/>
      <c r="AG1103" s="140"/>
      <c r="AH1103" s="140"/>
      <c r="AI1103" s="140"/>
      <c r="AJ1103" s="137"/>
      <c r="AK1103" s="140"/>
      <c r="AL1103" s="140" t="s">
        <v>1845</v>
      </c>
    </row>
    <row r="1104" ht="15.0" customHeight="1">
      <c r="A1104" s="400" t="s">
        <v>1742</v>
      </c>
      <c r="B1104" s="138">
        <v>50017.0</v>
      </c>
      <c r="C1104" s="396">
        <v>1.0</v>
      </c>
      <c r="D1104" s="122" t="s">
        <v>1844</v>
      </c>
      <c r="E1104" s="125" t="s">
        <v>7</v>
      </c>
      <c r="F1104" s="126" t="s">
        <v>3373</v>
      </c>
      <c r="G1104" s="126" t="s">
        <v>3374</v>
      </c>
      <c r="H1104" s="128" t="s">
        <v>1844</v>
      </c>
      <c r="I1104" s="140" t="s">
        <v>1843</v>
      </c>
      <c r="J1104" s="186" t="s">
        <v>1844</v>
      </c>
      <c r="K1104" s="170" t="s">
        <v>1844</v>
      </c>
      <c r="L1104" s="136" t="s">
        <v>1844</v>
      </c>
      <c r="M1104" s="136" t="s">
        <v>1844</v>
      </c>
      <c r="N1104" s="144" t="s">
        <v>1844</v>
      </c>
      <c r="O1104" s="144" t="s">
        <v>1844</v>
      </c>
      <c r="P1104" s="140" t="s">
        <v>1844</v>
      </c>
      <c r="Q1104" s="140"/>
      <c r="R1104" s="140"/>
      <c r="S1104" s="140"/>
      <c r="T1104" s="140"/>
      <c r="U1104" s="140"/>
      <c r="V1104" s="140"/>
      <c r="W1104" s="144"/>
      <c r="X1104" s="136"/>
      <c r="Y1104" s="136"/>
      <c r="Z1104" s="140"/>
      <c r="AA1104" s="140"/>
      <c r="AB1104" s="140"/>
      <c r="AC1104" s="140"/>
      <c r="AD1104" s="140"/>
      <c r="AE1104" s="140"/>
      <c r="AF1104" s="140"/>
      <c r="AG1104" s="140"/>
      <c r="AH1104" s="140"/>
      <c r="AI1104" s="140"/>
      <c r="AJ1104" s="137"/>
      <c r="AK1104" s="140"/>
      <c r="AL1104" s="140" t="s">
        <v>1845</v>
      </c>
    </row>
    <row r="1105" ht="15.0" customHeight="1">
      <c r="A1105" s="400" t="s">
        <v>1742</v>
      </c>
      <c r="B1105" s="138">
        <v>50018.0</v>
      </c>
      <c r="C1105" s="396">
        <v>1.0</v>
      </c>
      <c r="D1105" s="122" t="s">
        <v>1844</v>
      </c>
      <c r="E1105" s="125" t="s">
        <v>27</v>
      </c>
      <c r="F1105" s="126" t="s">
        <v>3375</v>
      </c>
      <c r="G1105" s="126" t="s">
        <v>3376</v>
      </c>
      <c r="H1105" s="128" t="s">
        <v>1844</v>
      </c>
      <c r="I1105" s="140" t="s">
        <v>1843</v>
      </c>
      <c r="J1105" s="186" t="s">
        <v>1844</v>
      </c>
      <c r="K1105" s="170" t="s">
        <v>1844</v>
      </c>
      <c r="L1105" s="136" t="s">
        <v>1844</v>
      </c>
      <c r="M1105" s="136" t="s">
        <v>1845</v>
      </c>
      <c r="N1105" s="144" t="s">
        <v>1844</v>
      </c>
      <c r="O1105" s="144" t="s">
        <v>1844</v>
      </c>
      <c r="P1105" s="140" t="s">
        <v>1862</v>
      </c>
      <c r="Q1105" s="140"/>
      <c r="R1105" s="140"/>
      <c r="S1105" s="140"/>
      <c r="T1105" s="140"/>
      <c r="U1105" s="140"/>
      <c r="V1105" s="140"/>
      <c r="W1105" s="144"/>
      <c r="X1105" s="136"/>
      <c r="Y1105" s="136"/>
      <c r="Z1105" s="140"/>
      <c r="AA1105" s="140"/>
      <c r="AB1105" s="140"/>
      <c r="AC1105" s="140"/>
      <c r="AD1105" s="140"/>
      <c r="AE1105" s="140"/>
      <c r="AF1105" s="140"/>
      <c r="AG1105" s="140"/>
      <c r="AH1105" s="140"/>
      <c r="AI1105" s="140"/>
      <c r="AJ1105" s="137"/>
      <c r="AK1105" s="140"/>
      <c r="AL1105" s="140" t="s">
        <v>1845</v>
      </c>
    </row>
    <row r="1106" ht="15.0" customHeight="1">
      <c r="A1106" s="400" t="s">
        <v>1742</v>
      </c>
      <c r="B1106" s="138">
        <v>50019.0</v>
      </c>
      <c r="C1106" s="396">
        <v>1.0</v>
      </c>
      <c r="D1106" s="122" t="s">
        <v>1844</v>
      </c>
      <c r="E1106" s="125" t="s">
        <v>34</v>
      </c>
      <c r="F1106" s="303" t="s">
        <v>1844</v>
      </c>
      <c r="G1106" s="269" t="s">
        <v>3377</v>
      </c>
      <c r="H1106" s="269" t="s">
        <v>1844</v>
      </c>
      <c r="I1106" s="129" t="s">
        <v>1843</v>
      </c>
      <c r="J1106" s="143" t="s">
        <v>1876</v>
      </c>
      <c r="K1106" s="172" t="s">
        <v>1877</v>
      </c>
      <c r="L1106" s="132" t="s">
        <v>1844</v>
      </c>
      <c r="M1106" s="132" t="s">
        <v>1845</v>
      </c>
      <c r="N1106" s="131">
        <f t="shared" ref="N1106:N1107" si="118">1</f>
        <v>1</v>
      </c>
      <c r="O1106" s="131" t="s">
        <v>1845</v>
      </c>
      <c r="P1106" s="132" t="s">
        <v>1862</v>
      </c>
      <c r="Q1106" s="131"/>
      <c r="R1106" s="131"/>
      <c r="S1106" s="131"/>
      <c r="T1106" s="131"/>
      <c r="U1106" s="131"/>
      <c r="V1106" s="131"/>
      <c r="W1106" s="131"/>
      <c r="X1106" s="132"/>
      <c r="Y1106" s="132"/>
      <c r="Z1106" s="171"/>
      <c r="AA1106" s="171"/>
      <c r="AB1106" s="171"/>
      <c r="AC1106" s="171"/>
      <c r="AD1106" s="171"/>
      <c r="AE1106" s="171"/>
      <c r="AF1106" s="140"/>
      <c r="AG1106" s="140"/>
      <c r="AH1106" s="128"/>
      <c r="AI1106" s="128"/>
      <c r="AJ1106" s="137"/>
      <c r="AK1106" s="140"/>
      <c r="AL1106" s="140"/>
    </row>
    <row r="1107" ht="15.0" customHeight="1">
      <c r="A1107" s="400" t="s">
        <v>1742</v>
      </c>
      <c r="B1107" s="138">
        <v>50020.0</v>
      </c>
      <c r="C1107" s="396">
        <v>1.0</v>
      </c>
      <c r="D1107" s="122" t="s">
        <v>1844</v>
      </c>
      <c r="E1107" s="125" t="s">
        <v>34</v>
      </c>
      <c r="F1107" s="303" t="s">
        <v>1844</v>
      </c>
      <c r="G1107" s="269" t="s">
        <v>3378</v>
      </c>
      <c r="H1107" s="269" t="s">
        <v>1844</v>
      </c>
      <c r="I1107" s="129" t="s">
        <v>1843</v>
      </c>
      <c r="J1107" s="143" t="s">
        <v>1876</v>
      </c>
      <c r="K1107" s="172" t="s">
        <v>1877</v>
      </c>
      <c r="L1107" s="132" t="s">
        <v>1844</v>
      </c>
      <c r="M1107" s="132" t="s">
        <v>1845</v>
      </c>
      <c r="N1107" s="131">
        <f t="shared" si="118"/>
        <v>1</v>
      </c>
      <c r="O1107" s="131" t="s">
        <v>1845</v>
      </c>
      <c r="P1107" s="129" t="s">
        <v>1895</v>
      </c>
      <c r="Q1107" s="171"/>
      <c r="R1107" s="171"/>
      <c r="S1107" s="171"/>
      <c r="T1107" s="171"/>
      <c r="U1107" s="171"/>
      <c r="V1107" s="171"/>
      <c r="W1107" s="131"/>
      <c r="X1107" s="132"/>
      <c r="Y1107" s="132"/>
      <c r="Z1107" s="171"/>
      <c r="AA1107" s="171"/>
      <c r="AB1107" s="171"/>
      <c r="AC1107" s="171"/>
      <c r="AD1107" s="171"/>
      <c r="AE1107" s="171"/>
      <c r="AF1107" s="140"/>
      <c r="AG1107" s="140"/>
      <c r="AH1107" s="140"/>
      <c r="AI1107" s="128"/>
      <c r="AJ1107" s="137"/>
      <c r="AK1107" s="140"/>
      <c r="AL1107" s="140"/>
    </row>
    <row r="1108" ht="15.0" customHeight="1">
      <c r="A1108" s="400" t="s">
        <v>1742</v>
      </c>
      <c r="B1108" s="138">
        <v>50023.0</v>
      </c>
      <c r="C1108" s="396">
        <v>1.0</v>
      </c>
      <c r="D1108" s="122" t="s">
        <v>1844</v>
      </c>
      <c r="E1108" s="125" t="s">
        <v>34</v>
      </c>
      <c r="F1108" s="303" t="s">
        <v>1844</v>
      </c>
      <c r="G1108" s="269" t="s">
        <v>3379</v>
      </c>
      <c r="H1108" s="269" t="s">
        <v>1844</v>
      </c>
      <c r="I1108" s="129" t="s">
        <v>1843</v>
      </c>
      <c r="J1108" s="143" t="s">
        <v>1902</v>
      </c>
      <c r="K1108" s="172" t="s">
        <v>1877</v>
      </c>
      <c r="L1108" s="132" t="s">
        <v>1878</v>
      </c>
      <c r="M1108" s="132" t="s">
        <v>1845</v>
      </c>
      <c r="N1108" s="131" t="s">
        <v>1903</v>
      </c>
      <c r="O1108" s="131" t="s">
        <v>1845</v>
      </c>
      <c r="P1108" s="129" t="s">
        <v>1862</v>
      </c>
      <c r="Q1108" s="171"/>
      <c r="R1108" s="171"/>
      <c r="S1108" s="171"/>
      <c r="T1108" s="171"/>
      <c r="U1108" s="171"/>
      <c r="V1108" s="171"/>
      <c r="W1108" s="131"/>
      <c r="X1108" s="132"/>
      <c r="Y1108" s="132"/>
      <c r="Z1108" s="171"/>
      <c r="AA1108" s="171"/>
      <c r="AB1108" s="171"/>
      <c r="AC1108" s="171"/>
      <c r="AD1108" s="171"/>
      <c r="AE1108" s="171"/>
      <c r="AF1108" s="140"/>
      <c r="AG1108" s="140"/>
      <c r="AH1108" s="128"/>
      <c r="AI1108" s="128"/>
      <c r="AJ1108" s="137"/>
      <c r="AK1108" s="140"/>
      <c r="AL1108" s="140"/>
    </row>
    <row r="1109" ht="15.0" customHeight="1">
      <c r="A1109" s="157" t="s">
        <v>1742</v>
      </c>
      <c r="B1109" s="158">
        <v>50025.0</v>
      </c>
      <c r="C1109" s="396">
        <v>1.0</v>
      </c>
      <c r="D1109" s="157" t="s">
        <v>1844</v>
      </c>
      <c r="E1109" s="160" t="s">
        <v>34</v>
      </c>
      <c r="F1109" s="401" t="s">
        <v>1844</v>
      </c>
      <c r="G1109" s="402" t="s">
        <v>3380</v>
      </c>
      <c r="H1109" s="402" t="s">
        <v>1844</v>
      </c>
      <c r="I1109" s="164" t="s">
        <v>1843</v>
      </c>
      <c r="J1109" s="184" t="s">
        <v>1876</v>
      </c>
      <c r="K1109" s="177" t="s">
        <v>1877</v>
      </c>
      <c r="L1109" s="168" t="s">
        <v>1878</v>
      </c>
      <c r="M1109" s="168" t="s">
        <v>1845</v>
      </c>
      <c r="N1109" s="166" t="s">
        <v>1903</v>
      </c>
      <c r="O1109" s="166" t="s">
        <v>1845</v>
      </c>
      <c r="P1109" s="164" t="s">
        <v>1895</v>
      </c>
      <c r="Q1109" s="167"/>
      <c r="R1109" s="167"/>
      <c r="S1109" s="167"/>
      <c r="T1109" s="167"/>
      <c r="U1109" s="167"/>
      <c r="V1109" s="167"/>
      <c r="W1109" s="166"/>
      <c r="X1109" s="168"/>
      <c r="Y1109" s="168"/>
      <c r="Z1109" s="167"/>
      <c r="AA1109" s="167"/>
      <c r="AB1109" s="167"/>
      <c r="AC1109" s="167"/>
      <c r="AD1109" s="167"/>
      <c r="AE1109" s="167"/>
      <c r="AF1109" s="167"/>
      <c r="AG1109" s="164"/>
      <c r="AH1109" s="164"/>
      <c r="AI1109" s="164"/>
      <c r="AJ1109" s="169"/>
      <c r="AK1109" s="167"/>
      <c r="AL1109" s="167"/>
    </row>
    <row r="1110" ht="15.0" customHeight="1">
      <c r="A1110" s="157" t="s">
        <v>1742</v>
      </c>
      <c r="B1110" s="158">
        <v>50027.0</v>
      </c>
      <c r="C1110" s="396">
        <v>1.0</v>
      </c>
      <c r="D1110" s="157" t="s">
        <v>1844</v>
      </c>
      <c r="E1110" s="160" t="s">
        <v>34</v>
      </c>
      <c r="F1110" s="401" t="s">
        <v>1844</v>
      </c>
      <c r="G1110" s="402" t="s">
        <v>3381</v>
      </c>
      <c r="H1110" s="402" t="s">
        <v>1844</v>
      </c>
      <c r="I1110" s="164" t="s">
        <v>1843</v>
      </c>
      <c r="J1110" s="184" t="s">
        <v>1876</v>
      </c>
      <c r="K1110" s="164" t="s">
        <v>1877</v>
      </c>
      <c r="L1110" s="168" t="s">
        <v>1878</v>
      </c>
      <c r="M1110" s="168" t="s">
        <v>1845</v>
      </c>
      <c r="N1110" s="166">
        <v>1.0</v>
      </c>
      <c r="O1110" s="166" t="s">
        <v>1845</v>
      </c>
      <c r="P1110" s="164" t="s">
        <v>1862</v>
      </c>
      <c r="Q1110" s="167" t="s">
        <v>1845</v>
      </c>
      <c r="R1110" s="167"/>
      <c r="S1110" s="167"/>
      <c r="T1110" s="167"/>
      <c r="U1110" s="167"/>
      <c r="V1110" s="167"/>
      <c r="W1110" s="166"/>
      <c r="X1110" s="168"/>
      <c r="Y1110" s="168"/>
      <c r="Z1110" s="167"/>
      <c r="AA1110" s="167"/>
      <c r="AB1110" s="167"/>
      <c r="AC1110" s="167"/>
      <c r="AD1110" s="167"/>
      <c r="AE1110" s="167"/>
      <c r="AF1110" s="167"/>
      <c r="AG1110" s="164"/>
      <c r="AH1110" s="164"/>
      <c r="AI1110" s="164"/>
      <c r="AJ1110" s="169"/>
      <c r="AK1110" s="167"/>
      <c r="AL1110" s="167"/>
    </row>
    <row r="1111" ht="15.0" customHeight="1">
      <c r="A1111" s="157" t="s">
        <v>1742</v>
      </c>
      <c r="B1111" s="158">
        <v>50029.0</v>
      </c>
      <c r="C1111" s="396">
        <v>1.0</v>
      </c>
      <c r="D1111" s="157" t="s">
        <v>1844</v>
      </c>
      <c r="E1111" s="160" t="s">
        <v>34</v>
      </c>
      <c r="F1111" s="401" t="s">
        <v>1844</v>
      </c>
      <c r="G1111" s="402" t="s">
        <v>3382</v>
      </c>
      <c r="H1111" s="402" t="s">
        <v>1844</v>
      </c>
      <c r="I1111" s="164" t="s">
        <v>1843</v>
      </c>
      <c r="J1111" s="184" t="s">
        <v>1876</v>
      </c>
      <c r="K1111" s="164" t="s">
        <v>1877</v>
      </c>
      <c r="L1111" s="168" t="s">
        <v>1878</v>
      </c>
      <c r="M1111" s="168" t="s">
        <v>1845</v>
      </c>
      <c r="N1111" s="166" t="s">
        <v>1903</v>
      </c>
      <c r="O1111" s="166" t="s">
        <v>1845</v>
      </c>
      <c r="P1111" s="164" t="s">
        <v>1862</v>
      </c>
      <c r="Q1111" s="167"/>
      <c r="R1111" s="167"/>
      <c r="S1111" s="167"/>
      <c r="T1111" s="167"/>
      <c r="U1111" s="167"/>
      <c r="V1111" s="167"/>
      <c r="W1111" s="166"/>
      <c r="X1111" s="168"/>
      <c r="Y1111" s="168"/>
      <c r="Z1111" s="167"/>
      <c r="AA1111" s="167"/>
      <c r="AB1111" s="164"/>
      <c r="AC1111" s="164"/>
      <c r="AD1111" s="164"/>
      <c r="AE1111" s="164"/>
      <c r="AF1111" s="164"/>
      <c r="AG1111" s="164"/>
      <c r="AH1111" s="167"/>
      <c r="AI1111" s="164"/>
      <c r="AJ1111" s="169"/>
      <c r="AK1111" s="167"/>
      <c r="AL1111" s="167"/>
    </row>
    <row r="1112" ht="15.0" customHeight="1">
      <c r="A1112" s="400" t="s">
        <v>1742</v>
      </c>
      <c r="B1112" s="138">
        <v>50030.0</v>
      </c>
      <c r="C1112" s="396">
        <v>1.0</v>
      </c>
      <c r="D1112" s="122" t="s">
        <v>1844</v>
      </c>
      <c r="E1112" s="125" t="s">
        <v>20</v>
      </c>
      <c r="F1112" s="126" t="s">
        <v>3383</v>
      </c>
      <c r="G1112" s="403" t="s">
        <v>3384</v>
      </c>
      <c r="H1112" s="269" t="s">
        <v>1844</v>
      </c>
      <c r="I1112" s="140" t="s">
        <v>1843</v>
      </c>
      <c r="J1112" s="186" t="s">
        <v>1844</v>
      </c>
      <c r="K1112" s="170" t="s">
        <v>1844</v>
      </c>
      <c r="L1112" s="136" t="s">
        <v>1844</v>
      </c>
      <c r="M1112" s="136" t="s">
        <v>1845</v>
      </c>
      <c r="N1112" s="144" t="s">
        <v>1844</v>
      </c>
      <c r="O1112" s="144" t="s">
        <v>1844</v>
      </c>
      <c r="P1112" s="140" t="s">
        <v>1862</v>
      </c>
      <c r="Q1112" s="140" t="s">
        <v>1845</v>
      </c>
      <c r="R1112" s="140"/>
      <c r="S1112" s="140"/>
      <c r="T1112" s="140"/>
      <c r="U1112" s="140"/>
      <c r="V1112" s="140"/>
      <c r="W1112" s="144"/>
      <c r="X1112" s="136"/>
      <c r="Y1112" s="136"/>
      <c r="Z1112" s="140"/>
      <c r="AA1112" s="140"/>
      <c r="AB1112" s="140"/>
      <c r="AC1112" s="140"/>
      <c r="AD1112" s="140"/>
      <c r="AE1112" s="140"/>
      <c r="AF1112" s="140"/>
      <c r="AG1112" s="140"/>
      <c r="AH1112" s="140"/>
      <c r="AI1112" s="128"/>
      <c r="AJ1112" s="137"/>
      <c r="AK1112" s="140"/>
      <c r="AL1112" s="140" t="s">
        <v>1845</v>
      </c>
    </row>
    <row r="1113" ht="15.0" customHeight="1">
      <c r="A1113" s="400" t="s">
        <v>1742</v>
      </c>
      <c r="B1113" s="138">
        <v>50032.0</v>
      </c>
      <c r="C1113" s="396">
        <v>1.0</v>
      </c>
      <c r="D1113" s="122" t="s">
        <v>1844</v>
      </c>
      <c r="E1113" s="125" t="s">
        <v>7</v>
      </c>
      <c r="F1113" s="126" t="s">
        <v>3385</v>
      </c>
      <c r="G1113" s="271" t="s">
        <v>3386</v>
      </c>
      <c r="H1113" s="269" t="s">
        <v>1844</v>
      </c>
      <c r="I1113" s="140" t="s">
        <v>1843</v>
      </c>
      <c r="J1113" s="186" t="s">
        <v>1844</v>
      </c>
      <c r="K1113" s="128" t="s">
        <v>1844</v>
      </c>
      <c r="L1113" s="136" t="s">
        <v>1844</v>
      </c>
      <c r="M1113" s="136" t="s">
        <v>1879</v>
      </c>
      <c r="N1113" s="144" t="s">
        <v>1844</v>
      </c>
      <c r="O1113" s="144" t="s">
        <v>1844</v>
      </c>
      <c r="P1113" s="140" t="s">
        <v>1844</v>
      </c>
      <c r="Q1113" s="140" t="s">
        <v>1845</v>
      </c>
      <c r="R1113" s="140"/>
      <c r="S1113" s="140"/>
      <c r="T1113" s="140"/>
      <c r="U1113" s="140"/>
      <c r="V1113" s="140"/>
      <c r="W1113" s="144"/>
      <c r="X1113" s="136"/>
      <c r="Y1113" s="136"/>
      <c r="Z1113" s="140"/>
      <c r="AA1113" s="140"/>
      <c r="AB1113" s="140"/>
      <c r="AC1113" s="140"/>
      <c r="AD1113" s="140"/>
      <c r="AE1113" s="140"/>
      <c r="AF1113" s="140"/>
      <c r="AG1113" s="140"/>
      <c r="AH1113" s="140"/>
      <c r="AI1113" s="128"/>
      <c r="AJ1113" s="137"/>
      <c r="AK1113" s="140"/>
      <c r="AL1113" s="140" t="s">
        <v>1845</v>
      </c>
    </row>
    <row r="1114" ht="15.0" customHeight="1">
      <c r="A1114" s="400" t="s">
        <v>1742</v>
      </c>
      <c r="B1114" s="138">
        <v>50033.0</v>
      </c>
      <c r="C1114" s="396">
        <v>1.0</v>
      </c>
      <c r="D1114" s="122" t="s">
        <v>1844</v>
      </c>
      <c r="E1114" s="125" t="s">
        <v>7</v>
      </c>
      <c r="F1114" s="126" t="s">
        <v>3387</v>
      </c>
      <c r="G1114" s="271" t="s">
        <v>3388</v>
      </c>
      <c r="H1114" s="269" t="s">
        <v>1844</v>
      </c>
      <c r="I1114" s="140" t="s">
        <v>1843</v>
      </c>
      <c r="J1114" s="186" t="s">
        <v>1844</v>
      </c>
      <c r="K1114" s="170" t="s">
        <v>1844</v>
      </c>
      <c r="L1114" s="136" t="s">
        <v>1844</v>
      </c>
      <c r="M1114" s="136" t="s">
        <v>1844</v>
      </c>
      <c r="N1114" s="144" t="s">
        <v>1844</v>
      </c>
      <c r="O1114" s="144" t="s">
        <v>1844</v>
      </c>
      <c r="P1114" s="140" t="s">
        <v>1844</v>
      </c>
      <c r="Q1114" s="140" t="s">
        <v>1845</v>
      </c>
      <c r="R1114" s="140"/>
      <c r="S1114" s="140"/>
      <c r="T1114" s="140"/>
      <c r="U1114" s="140"/>
      <c r="V1114" s="140"/>
      <c r="W1114" s="144"/>
      <c r="X1114" s="136"/>
      <c r="Y1114" s="136"/>
      <c r="Z1114" s="140"/>
      <c r="AA1114" s="140"/>
      <c r="AB1114" s="140"/>
      <c r="AC1114" s="140"/>
      <c r="AD1114" s="140"/>
      <c r="AE1114" s="140"/>
      <c r="AF1114" s="140"/>
      <c r="AG1114" s="140"/>
      <c r="AH1114" s="140"/>
      <c r="AI1114" s="128"/>
      <c r="AJ1114" s="137"/>
      <c r="AK1114" s="140"/>
      <c r="AL1114" s="140" t="s">
        <v>1845</v>
      </c>
    </row>
    <row r="1115" ht="15.0" customHeight="1">
      <c r="A1115" s="400" t="s">
        <v>1742</v>
      </c>
      <c r="B1115" s="138">
        <v>50038.0</v>
      </c>
      <c r="C1115" s="396">
        <v>1.0</v>
      </c>
      <c r="D1115" s="122" t="s">
        <v>1844</v>
      </c>
      <c r="E1115" s="125" t="s">
        <v>34</v>
      </c>
      <c r="F1115" s="303" t="s">
        <v>1844</v>
      </c>
      <c r="G1115" s="269" t="s">
        <v>3389</v>
      </c>
      <c r="H1115" s="269" t="s">
        <v>1844</v>
      </c>
      <c r="I1115" s="129" t="s">
        <v>1843</v>
      </c>
      <c r="J1115" s="143" t="s">
        <v>1902</v>
      </c>
      <c r="K1115" s="172" t="s">
        <v>1877</v>
      </c>
      <c r="L1115" s="132" t="s">
        <v>1844</v>
      </c>
      <c r="M1115" s="132" t="s">
        <v>1845</v>
      </c>
      <c r="N1115" s="131">
        <v>1.0</v>
      </c>
      <c r="O1115" s="144" t="s">
        <v>1845</v>
      </c>
      <c r="P1115" s="129" t="s">
        <v>1895</v>
      </c>
      <c r="Q1115" s="129"/>
      <c r="R1115" s="129"/>
      <c r="S1115" s="129"/>
      <c r="T1115" s="129"/>
      <c r="U1115" s="129"/>
      <c r="V1115" s="129"/>
      <c r="W1115" s="132"/>
      <c r="X1115" s="132"/>
      <c r="Y1115" s="132"/>
      <c r="Z1115" s="129"/>
      <c r="AA1115" s="129"/>
      <c r="AB1115" s="129"/>
      <c r="AC1115" s="129"/>
      <c r="AD1115" s="129"/>
      <c r="AE1115" s="129"/>
      <c r="AF1115" s="128"/>
      <c r="AG1115" s="140"/>
      <c r="AH1115" s="128"/>
      <c r="AI1115" s="128"/>
      <c r="AJ1115" s="137"/>
      <c r="AK1115" s="140"/>
      <c r="AL1115" s="140"/>
    </row>
    <row r="1116" ht="15.0" customHeight="1">
      <c r="A1116" s="400" t="s">
        <v>1742</v>
      </c>
      <c r="B1116" s="138">
        <v>50043.0</v>
      </c>
      <c r="C1116" s="396">
        <v>1.0</v>
      </c>
      <c r="D1116" s="122" t="s">
        <v>1844</v>
      </c>
      <c r="E1116" s="125" t="s">
        <v>34</v>
      </c>
      <c r="F1116" s="303" t="s">
        <v>1844</v>
      </c>
      <c r="G1116" s="269" t="s">
        <v>3390</v>
      </c>
      <c r="H1116" s="269" t="s">
        <v>1844</v>
      </c>
      <c r="I1116" s="128" t="s">
        <v>1843</v>
      </c>
      <c r="J1116" s="186" t="s">
        <v>1902</v>
      </c>
      <c r="K1116" s="170" t="s">
        <v>1877</v>
      </c>
      <c r="L1116" s="136" t="s">
        <v>1878</v>
      </c>
      <c r="M1116" s="136" t="s">
        <v>1845</v>
      </c>
      <c r="N1116" s="144">
        <v>1.0</v>
      </c>
      <c r="O1116" s="144" t="s">
        <v>1845</v>
      </c>
      <c r="P1116" s="128" t="s">
        <v>1862</v>
      </c>
      <c r="Q1116" s="140"/>
      <c r="R1116" s="140"/>
      <c r="S1116" s="140"/>
      <c r="T1116" s="140"/>
      <c r="U1116" s="140"/>
      <c r="V1116" s="140"/>
      <c r="W1116" s="144"/>
      <c r="X1116" s="136"/>
      <c r="Y1116" s="136"/>
      <c r="Z1116" s="140"/>
      <c r="AA1116" s="140"/>
      <c r="AB1116" s="128"/>
      <c r="AC1116" s="128"/>
      <c r="AD1116" s="128"/>
      <c r="AE1116" s="128"/>
      <c r="AF1116" s="128"/>
      <c r="AG1116" s="128"/>
      <c r="AH1116" s="128"/>
      <c r="AI1116" s="128"/>
      <c r="AJ1116" s="137"/>
      <c r="AK1116" s="140"/>
      <c r="AL1116" s="140"/>
    </row>
    <row r="1117" ht="15.0" customHeight="1">
      <c r="A1117" s="400" t="s">
        <v>1742</v>
      </c>
      <c r="B1117" s="138">
        <v>50047.0</v>
      </c>
      <c r="C1117" s="396">
        <v>1.0</v>
      </c>
      <c r="D1117" s="122" t="s">
        <v>1844</v>
      </c>
      <c r="E1117" s="125" t="s">
        <v>34</v>
      </c>
      <c r="F1117" s="303" t="s">
        <v>1844</v>
      </c>
      <c r="G1117" s="269" t="s">
        <v>3391</v>
      </c>
      <c r="H1117" s="269" t="s">
        <v>1844</v>
      </c>
      <c r="I1117" s="129" t="s">
        <v>1843</v>
      </c>
      <c r="J1117" s="143" t="s">
        <v>1902</v>
      </c>
      <c r="K1117" s="172" t="s">
        <v>1877</v>
      </c>
      <c r="L1117" s="132" t="s">
        <v>1844</v>
      </c>
      <c r="M1117" s="132" t="s">
        <v>1845</v>
      </c>
      <c r="N1117" s="131" t="s">
        <v>1903</v>
      </c>
      <c r="O1117" s="144" t="s">
        <v>1845</v>
      </c>
      <c r="P1117" s="129" t="s">
        <v>1895</v>
      </c>
      <c r="Q1117" s="171"/>
      <c r="R1117" s="171"/>
      <c r="S1117" s="129" t="s">
        <v>1845</v>
      </c>
      <c r="T1117" s="171"/>
      <c r="U1117" s="171"/>
      <c r="V1117" s="171"/>
      <c r="W1117" s="131"/>
      <c r="X1117" s="132"/>
      <c r="Y1117" s="132"/>
      <c r="Z1117" s="171"/>
      <c r="AA1117" s="171"/>
      <c r="AB1117" s="129"/>
      <c r="AC1117" s="129"/>
      <c r="AD1117" s="129"/>
      <c r="AE1117" s="129"/>
      <c r="AF1117" s="128"/>
      <c r="AG1117" s="140"/>
      <c r="AH1117" s="128"/>
      <c r="AI1117" s="128"/>
      <c r="AJ1117" s="137"/>
      <c r="AK1117" s="140"/>
      <c r="AL1117" s="140"/>
    </row>
    <row r="1118" ht="15.0" customHeight="1">
      <c r="A1118" s="400" t="s">
        <v>1742</v>
      </c>
      <c r="B1118" s="138">
        <v>50050.0</v>
      </c>
      <c r="C1118" s="396">
        <v>1.0</v>
      </c>
      <c r="D1118" s="122" t="s">
        <v>1844</v>
      </c>
      <c r="E1118" s="125" t="s">
        <v>34</v>
      </c>
      <c r="F1118" s="303" t="s">
        <v>1844</v>
      </c>
      <c r="G1118" s="269" t="s">
        <v>3392</v>
      </c>
      <c r="H1118" s="269" t="s">
        <v>1844</v>
      </c>
      <c r="I1118" s="129" t="s">
        <v>1843</v>
      </c>
      <c r="J1118" s="143" t="s">
        <v>1876</v>
      </c>
      <c r="K1118" s="172" t="s">
        <v>1877</v>
      </c>
      <c r="L1118" s="132" t="s">
        <v>1844</v>
      </c>
      <c r="M1118" s="132" t="s">
        <v>1845</v>
      </c>
      <c r="N1118" s="131" t="s">
        <v>1903</v>
      </c>
      <c r="O1118" s="144" t="s">
        <v>1845</v>
      </c>
      <c r="P1118" s="129" t="s">
        <v>1964</v>
      </c>
      <c r="Q1118" s="129"/>
      <c r="R1118" s="129"/>
      <c r="S1118" s="129"/>
      <c r="T1118" s="129"/>
      <c r="U1118" s="129"/>
      <c r="V1118" s="129"/>
      <c r="W1118" s="132"/>
      <c r="X1118" s="132"/>
      <c r="Y1118" s="132"/>
      <c r="Z1118" s="129"/>
      <c r="AA1118" s="129"/>
      <c r="AB1118" s="129"/>
      <c r="AC1118" s="129"/>
      <c r="AD1118" s="129"/>
      <c r="AE1118" s="129"/>
      <c r="AF1118" s="128"/>
      <c r="AG1118" s="128"/>
      <c r="AH1118" s="128"/>
      <c r="AI1118" s="128"/>
      <c r="AJ1118" s="137"/>
      <c r="AK1118" s="140"/>
      <c r="AL1118" s="140"/>
    </row>
    <row r="1119" ht="15.0" customHeight="1">
      <c r="A1119" s="400" t="s">
        <v>1742</v>
      </c>
      <c r="B1119" s="138">
        <v>50064.0</v>
      </c>
      <c r="C1119" s="396">
        <v>1.0</v>
      </c>
      <c r="D1119" s="122" t="s">
        <v>1844</v>
      </c>
      <c r="E1119" s="125" t="s">
        <v>34</v>
      </c>
      <c r="F1119" s="303" t="s">
        <v>1844</v>
      </c>
      <c r="G1119" s="269" t="s">
        <v>3393</v>
      </c>
      <c r="H1119" s="269" t="s">
        <v>1844</v>
      </c>
      <c r="I1119" s="129" t="s">
        <v>1843</v>
      </c>
      <c r="J1119" s="143" t="s">
        <v>1902</v>
      </c>
      <c r="K1119" s="172" t="s">
        <v>1877</v>
      </c>
      <c r="L1119" s="132" t="s">
        <v>1878</v>
      </c>
      <c r="M1119" s="132" t="s">
        <v>1845</v>
      </c>
      <c r="N1119" s="131">
        <v>1.0</v>
      </c>
      <c r="O1119" s="144" t="s">
        <v>1845</v>
      </c>
      <c r="P1119" s="171" t="s">
        <v>1964</v>
      </c>
      <c r="Q1119" s="171"/>
      <c r="R1119" s="171"/>
      <c r="S1119" s="171"/>
      <c r="T1119" s="171"/>
      <c r="U1119" s="171"/>
      <c r="V1119" s="171"/>
      <c r="W1119" s="131"/>
      <c r="X1119" s="132"/>
      <c r="Y1119" s="132"/>
      <c r="Z1119" s="171"/>
      <c r="AA1119" s="171"/>
      <c r="AB1119" s="171"/>
      <c r="AC1119" s="171"/>
      <c r="AD1119" s="171"/>
      <c r="AE1119" s="171"/>
      <c r="AF1119" s="140"/>
      <c r="AG1119" s="128"/>
      <c r="AH1119" s="140"/>
      <c r="AI1119" s="128"/>
      <c r="AJ1119" s="137"/>
      <c r="AK1119" s="140"/>
      <c r="AL1119" s="140"/>
    </row>
    <row r="1120" ht="15.0" customHeight="1">
      <c r="A1120" s="400" t="s">
        <v>1742</v>
      </c>
      <c r="B1120" s="138">
        <v>50069.0</v>
      </c>
      <c r="C1120" s="396">
        <v>1.0</v>
      </c>
      <c r="D1120" s="122" t="s">
        <v>1844</v>
      </c>
      <c r="E1120" s="125" t="s">
        <v>34</v>
      </c>
      <c r="F1120" s="303" t="s">
        <v>1844</v>
      </c>
      <c r="G1120" s="269" t="s">
        <v>3394</v>
      </c>
      <c r="H1120" s="269" t="s">
        <v>1844</v>
      </c>
      <c r="I1120" s="129" t="s">
        <v>1843</v>
      </c>
      <c r="J1120" s="143" t="s">
        <v>1902</v>
      </c>
      <c r="K1120" s="172" t="s">
        <v>1877</v>
      </c>
      <c r="L1120" s="132" t="s">
        <v>1884</v>
      </c>
      <c r="M1120" s="132" t="s">
        <v>1845</v>
      </c>
      <c r="N1120" s="131">
        <v>1.0</v>
      </c>
      <c r="O1120" s="144" t="s">
        <v>1845</v>
      </c>
      <c r="P1120" s="171" t="s">
        <v>1862</v>
      </c>
      <c r="Q1120" s="171"/>
      <c r="R1120" s="171"/>
      <c r="S1120" s="171"/>
      <c r="T1120" s="171"/>
      <c r="U1120" s="171"/>
      <c r="V1120" s="171"/>
      <c r="W1120" s="131"/>
      <c r="X1120" s="132"/>
      <c r="Y1120" s="132"/>
      <c r="Z1120" s="171"/>
      <c r="AA1120" s="171"/>
      <c r="AB1120" s="171"/>
      <c r="AC1120" s="171"/>
      <c r="AD1120" s="171"/>
      <c r="AE1120" s="171"/>
      <c r="AF1120" s="140"/>
      <c r="AG1120" s="140"/>
      <c r="AH1120" s="140"/>
      <c r="AI1120" s="128"/>
      <c r="AJ1120" s="137"/>
      <c r="AK1120" s="140"/>
      <c r="AL1120" s="140"/>
    </row>
    <row r="1121" ht="15.0" customHeight="1">
      <c r="A1121" s="400" t="s">
        <v>1742</v>
      </c>
      <c r="B1121" s="138">
        <v>50070.0</v>
      </c>
      <c r="C1121" s="396">
        <v>1.0</v>
      </c>
      <c r="D1121" s="122" t="s">
        <v>1844</v>
      </c>
      <c r="E1121" s="125" t="s">
        <v>20</v>
      </c>
      <c r="F1121" s="303" t="s">
        <v>1844</v>
      </c>
      <c r="G1121" s="269" t="s">
        <v>126</v>
      </c>
      <c r="H1121" s="269" t="s">
        <v>1844</v>
      </c>
      <c r="I1121" s="129" t="s">
        <v>1843</v>
      </c>
      <c r="J1121" s="143" t="s">
        <v>1844</v>
      </c>
      <c r="K1121" s="172" t="s">
        <v>1844</v>
      </c>
      <c r="L1121" s="132" t="s">
        <v>1878</v>
      </c>
      <c r="M1121" s="132" t="s">
        <v>1845</v>
      </c>
      <c r="N1121" s="131" t="s">
        <v>1844</v>
      </c>
      <c r="O1121" s="144" t="s">
        <v>1845</v>
      </c>
      <c r="P1121" s="171" t="s">
        <v>1895</v>
      </c>
      <c r="Q1121" s="171"/>
      <c r="R1121" s="171"/>
      <c r="S1121" s="171"/>
      <c r="T1121" s="171"/>
      <c r="U1121" s="171"/>
      <c r="V1121" s="171"/>
      <c r="W1121" s="131"/>
      <c r="X1121" s="132"/>
      <c r="Y1121" s="132"/>
      <c r="Z1121" s="171"/>
      <c r="AA1121" s="171"/>
      <c r="AB1121" s="171"/>
      <c r="AC1121" s="171"/>
      <c r="AD1121" s="171"/>
      <c r="AE1121" s="171"/>
      <c r="AF1121" s="140"/>
      <c r="AG1121" s="140"/>
      <c r="AH1121" s="140"/>
      <c r="AI1121" s="128"/>
      <c r="AJ1121" s="137"/>
      <c r="AK1121" s="140"/>
      <c r="AL1121" s="140"/>
    </row>
    <row r="1122" ht="15.0" customHeight="1">
      <c r="A1122" s="400" t="s">
        <v>1742</v>
      </c>
      <c r="B1122" s="138">
        <v>50073.0</v>
      </c>
      <c r="C1122" s="396">
        <v>1.0</v>
      </c>
      <c r="D1122" s="122" t="s">
        <v>1844</v>
      </c>
      <c r="E1122" s="125" t="s">
        <v>34</v>
      </c>
      <c r="F1122" s="303" t="s">
        <v>1844</v>
      </c>
      <c r="G1122" s="269" t="s">
        <v>3395</v>
      </c>
      <c r="H1122" s="269" t="s">
        <v>1844</v>
      </c>
      <c r="I1122" s="129" t="s">
        <v>1843</v>
      </c>
      <c r="J1122" s="143" t="s">
        <v>1902</v>
      </c>
      <c r="K1122" s="129" t="s">
        <v>1877</v>
      </c>
      <c r="L1122" s="132" t="s">
        <v>1844</v>
      </c>
      <c r="M1122" s="132" t="s">
        <v>1845</v>
      </c>
      <c r="N1122" s="131">
        <v>1.0</v>
      </c>
      <c r="O1122" s="144" t="s">
        <v>1845</v>
      </c>
      <c r="P1122" s="171" t="s">
        <v>1862</v>
      </c>
      <c r="Q1122" s="171"/>
      <c r="R1122" s="171"/>
      <c r="S1122" s="171"/>
      <c r="T1122" s="171"/>
      <c r="U1122" s="171"/>
      <c r="V1122" s="171"/>
      <c r="W1122" s="131"/>
      <c r="X1122" s="132"/>
      <c r="Y1122" s="132"/>
      <c r="Z1122" s="171"/>
      <c r="AA1122" s="171"/>
      <c r="AB1122" s="171"/>
      <c r="AC1122" s="171"/>
      <c r="AD1122" s="171"/>
      <c r="AE1122" s="171"/>
      <c r="AF1122" s="140"/>
      <c r="AG1122" s="140"/>
      <c r="AH1122" s="140"/>
      <c r="AI1122" s="128"/>
      <c r="AJ1122" s="137"/>
      <c r="AK1122" s="140"/>
      <c r="AL1122" s="140"/>
    </row>
    <row r="1123" ht="15.0" customHeight="1">
      <c r="A1123" s="400" t="s">
        <v>1742</v>
      </c>
      <c r="B1123" s="138">
        <v>50074.0</v>
      </c>
      <c r="C1123" s="396">
        <v>1.0</v>
      </c>
      <c r="D1123" s="122" t="s">
        <v>1844</v>
      </c>
      <c r="E1123" s="125" t="s">
        <v>34</v>
      </c>
      <c r="F1123" s="303" t="s">
        <v>1844</v>
      </c>
      <c r="G1123" s="269" t="s">
        <v>3396</v>
      </c>
      <c r="H1123" s="269" t="s">
        <v>1844</v>
      </c>
      <c r="I1123" s="128" t="s">
        <v>1843</v>
      </c>
      <c r="J1123" s="186" t="s">
        <v>1876</v>
      </c>
      <c r="K1123" s="128" t="s">
        <v>1877</v>
      </c>
      <c r="L1123" s="136" t="s">
        <v>1844</v>
      </c>
      <c r="M1123" s="136" t="s">
        <v>1845</v>
      </c>
      <c r="N1123" s="144" t="s">
        <v>1903</v>
      </c>
      <c r="O1123" s="144" t="s">
        <v>1845</v>
      </c>
      <c r="P1123" s="140" t="s">
        <v>1862</v>
      </c>
      <c r="Q1123" s="140"/>
      <c r="R1123" s="140"/>
      <c r="S1123" s="140"/>
      <c r="T1123" s="140"/>
      <c r="U1123" s="140"/>
      <c r="V1123" s="140"/>
      <c r="W1123" s="144"/>
      <c r="X1123" s="136"/>
      <c r="Y1123" s="136"/>
      <c r="Z1123" s="140"/>
      <c r="AA1123" s="140"/>
      <c r="AB1123" s="140"/>
      <c r="AC1123" s="140"/>
      <c r="AD1123" s="140"/>
      <c r="AE1123" s="140"/>
      <c r="AF1123" s="140"/>
      <c r="AG1123" s="140"/>
      <c r="AH1123" s="140"/>
      <c r="AI1123" s="128"/>
      <c r="AJ1123" s="137"/>
      <c r="AK1123" s="140"/>
      <c r="AL1123" s="140"/>
    </row>
    <row r="1124" ht="15.0" customHeight="1">
      <c r="A1124" s="400" t="s">
        <v>1742</v>
      </c>
      <c r="B1124" s="138">
        <v>50077.0</v>
      </c>
      <c r="C1124" s="396">
        <v>1.0</v>
      </c>
      <c r="D1124" s="122" t="s">
        <v>1844</v>
      </c>
      <c r="E1124" s="125" t="s">
        <v>34</v>
      </c>
      <c r="F1124" s="303" t="s">
        <v>1844</v>
      </c>
      <c r="G1124" s="269" t="s">
        <v>3397</v>
      </c>
      <c r="H1124" s="269" t="s">
        <v>1844</v>
      </c>
      <c r="I1124" s="129" t="s">
        <v>1843</v>
      </c>
      <c r="J1124" s="143" t="s">
        <v>1876</v>
      </c>
      <c r="K1124" s="172" t="s">
        <v>1877</v>
      </c>
      <c r="L1124" s="132" t="s">
        <v>1844</v>
      </c>
      <c r="M1124" s="132" t="s">
        <v>1845</v>
      </c>
      <c r="N1124" s="131">
        <v>1.0</v>
      </c>
      <c r="O1124" s="144" t="s">
        <v>1845</v>
      </c>
      <c r="P1124" s="171" t="s">
        <v>1862</v>
      </c>
      <c r="Q1124" s="171"/>
      <c r="R1124" s="171"/>
      <c r="S1124" s="171"/>
      <c r="T1124" s="171"/>
      <c r="U1124" s="171"/>
      <c r="V1124" s="171"/>
      <c r="W1124" s="131"/>
      <c r="X1124" s="132" t="s">
        <v>1845</v>
      </c>
      <c r="Y1124" s="132"/>
      <c r="Z1124" s="171"/>
      <c r="AA1124" s="171"/>
      <c r="AB1124" s="171"/>
      <c r="AC1124" s="171"/>
      <c r="AD1124" s="171"/>
      <c r="AE1124" s="171"/>
      <c r="AF1124" s="140"/>
      <c r="AG1124" s="140"/>
      <c r="AH1124" s="140"/>
      <c r="AI1124" s="128"/>
      <c r="AJ1124" s="137"/>
      <c r="AK1124" s="140"/>
      <c r="AL1124" s="140"/>
    </row>
    <row r="1125" ht="15.0" customHeight="1">
      <c r="A1125" s="400" t="s">
        <v>1742</v>
      </c>
      <c r="B1125" s="138">
        <v>50092.0</v>
      </c>
      <c r="C1125" s="396">
        <v>1.0</v>
      </c>
      <c r="D1125" s="122" t="s">
        <v>1844</v>
      </c>
      <c r="E1125" s="125" t="s">
        <v>34</v>
      </c>
      <c r="F1125" s="303" t="s">
        <v>1844</v>
      </c>
      <c r="G1125" s="269" t="s">
        <v>3398</v>
      </c>
      <c r="H1125" s="269" t="s">
        <v>1844</v>
      </c>
      <c r="I1125" s="129" t="s">
        <v>1843</v>
      </c>
      <c r="J1125" s="143" t="s">
        <v>1876</v>
      </c>
      <c r="K1125" s="129" t="s">
        <v>1877</v>
      </c>
      <c r="L1125" s="132" t="s">
        <v>1844</v>
      </c>
      <c r="M1125" s="132" t="s">
        <v>1845</v>
      </c>
      <c r="N1125" s="131">
        <v>1.0</v>
      </c>
      <c r="O1125" s="144" t="s">
        <v>1845</v>
      </c>
      <c r="P1125" s="171" t="s">
        <v>1895</v>
      </c>
      <c r="Q1125" s="171"/>
      <c r="R1125" s="171"/>
      <c r="S1125" s="171" t="s">
        <v>1845</v>
      </c>
      <c r="T1125" s="171"/>
      <c r="U1125" s="171"/>
      <c r="V1125" s="171"/>
      <c r="W1125" s="131"/>
      <c r="X1125" s="132"/>
      <c r="Y1125" s="132"/>
      <c r="Z1125" s="171"/>
      <c r="AA1125" s="171"/>
      <c r="AB1125" s="171"/>
      <c r="AC1125" s="171"/>
      <c r="AD1125" s="171"/>
      <c r="AE1125" s="171"/>
      <c r="AF1125" s="140"/>
      <c r="AG1125" s="140"/>
      <c r="AH1125" s="140"/>
      <c r="AI1125" s="128"/>
      <c r="AJ1125" s="137"/>
      <c r="AK1125" s="140"/>
      <c r="AL1125" s="140"/>
    </row>
    <row r="1126" ht="15.0" customHeight="1">
      <c r="A1126" s="400" t="s">
        <v>1742</v>
      </c>
      <c r="B1126" s="138">
        <v>50095.0</v>
      </c>
      <c r="C1126" s="396">
        <v>1.0</v>
      </c>
      <c r="D1126" s="122" t="s">
        <v>1844</v>
      </c>
      <c r="E1126" s="125" t="s">
        <v>34</v>
      </c>
      <c r="F1126" s="303" t="s">
        <v>1844</v>
      </c>
      <c r="G1126" s="269" t="s">
        <v>3399</v>
      </c>
      <c r="H1126" s="269" t="s">
        <v>1844</v>
      </c>
      <c r="I1126" s="129" t="s">
        <v>1843</v>
      </c>
      <c r="J1126" s="143" t="s">
        <v>1876</v>
      </c>
      <c r="K1126" s="129" t="s">
        <v>1877</v>
      </c>
      <c r="L1126" s="132" t="s">
        <v>1844</v>
      </c>
      <c r="M1126" s="132" t="s">
        <v>1845</v>
      </c>
      <c r="N1126" s="131">
        <v>1.0</v>
      </c>
      <c r="O1126" s="144" t="s">
        <v>1845</v>
      </c>
      <c r="P1126" s="171" t="s">
        <v>1862</v>
      </c>
      <c r="Q1126" s="171"/>
      <c r="R1126" s="171"/>
      <c r="S1126" s="171" t="s">
        <v>1845</v>
      </c>
      <c r="T1126" s="171"/>
      <c r="U1126" s="171"/>
      <c r="V1126" s="171"/>
      <c r="W1126" s="131"/>
      <c r="X1126" s="132"/>
      <c r="Y1126" s="132"/>
      <c r="Z1126" s="171"/>
      <c r="AA1126" s="171"/>
      <c r="AB1126" s="171"/>
      <c r="AC1126" s="171"/>
      <c r="AD1126" s="171"/>
      <c r="AE1126" s="171"/>
      <c r="AF1126" s="140"/>
      <c r="AG1126" s="128"/>
      <c r="AH1126" s="140"/>
      <c r="AI1126" s="128"/>
      <c r="AJ1126" s="137"/>
      <c r="AK1126" s="140"/>
      <c r="AL1126" s="140"/>
    </row>
    <row r="1127" ht="15.0" customHeight="1">
      <c r="A1127" s="400" t="s">
        <v>1742</v>
      </c>
      <c r="B1127" s="138">
        <v>50096.0</v>
      </c>
      <c r="C1127" s="396">
        <v>1.0</v>
      </c>
      <c r="D1127" s="122" t="s">
        <v>1844</v>
      </c>
      <c r="E1127" s="125" t="s">
        <v>34</v>
      </c>
      <c r="F1127" s="303" t="s">
        <v>1844</v>
      </c>
      <c r="G1127" s="269" t="s">
        <v>3400</v>
      </c>
      <c r="H1127" s="269" t="s">
        <v>1844</v>
      </c>
      <c r="I1127" s="128" t="s">
        <v>1843</v>
      </c>
      <c r="J1127" s="186" t="s">
        <v>1876</v>
      </c>
      <c r="K1127" s="170" t="s">
        <v>1877</v>
      </c>
      <c r="L1127" s="136" t="s">
        <v>1844</v>
      </c>
      <c r="M1127" s="136" t="s">
        <v>1845</v>
      </c>
      <c r="N1127" s="144">
        <v>1.0</v>
      </c>
      <c r="O1127" s="144" t="s">
        <v>1845</v>
      </c>
      <c r="P1127" s="140" t="s">
        <v>1862</v>
      </c>
      <c r="Q1127" s="140"/>
      <c r="R1127" s="140"/>
      <c r="S1127" s="140" t="s">
        <v>1845</v>
      </c>
      <c r="T1127" s="140"/>
      <c r="U1127" s="140"/>
      <c r="V1127" s="140"/>
      <c r="W1127" s="144"/>
      <c r="X1127" s="136"/>
      <c r="Y1127" s="136"/>
      <c r="Z1127" s="140"/>
      <c r="AA1127" s="140"/>
      <c r="AB1127" s="140"/>
      <c r="AC1127" s="140"/>
      <c r="AD1127" s="140"/>
      <c r="AE1127" s="140"/>
      <c r="AF1127" s="140"/>
      <c r="AG1127" s="128"/>
      <c r="AH1127" s="140"/>
      <c r="AI1127" s="128"/>
      <c r="AJ1127" s="137"/>
      <c r="AK1127" s="140"/>
      <c r="AL1127" s="140"/>
    </row>
    <row r="1128" ht="15.0" customHeight="1">
      <c r="A1128" s="400" t="s">
        <v>1742</v>
      </c>
      <c r="B1128" s="138">
        <v>50098.0</v>
      </c>
      <c r="C1128" s="396">
        <v>1.0</v>
      </c>
      <c r="D1128" s="122" t="s">
        <v>1844</v>
      </c>
      <c r="E1128" s="125" t="s">
        <v>34</v>
      </c>
      <c r="F1128" s="303" t="s">
        <v>1844</v>
      </c>
      <c r="G1128" s="269" t="s">
        <v>3401</v>
      </c>
      <c r="H1128" s="269" t="s">
        <v>1844</v>
      </c>
      <c r="I1128" s="129" t="s">
        <v>1843</v>
      </c>
      <c r="J1128" s="143" t="s">
        <v>1876</v>
      </c>
      <c r="K1128" s="172" t="s">
        <v>1877</v>
      </c>
      <c r="L1128" s="132" t="s">
        <v>1844</v>
      </c>
      <c r="M1128" s="132" t="s">
        <v>1845</v>
      </c>
      <c r="N1128" s="131">
        <v>1.0</v>
      </c>
      <c r="O1128" s="144" t="s">
        <v>1845</v>
      </c>
      <c r="P1128" s="171" t="s">
        <v>1862</v>
      </c>
      <c r="Q1128" s="171"/>
      <c r="R1128" s="171"/>
      <c r="S1128" s="171" t="s">
        <v>1845</v>
      </c>
      <c r="T1128" s="171"/>
      <c r="U1128" s="171"/>
      <c r="V1128" s="171"/>
      <c r="W1128" s="131"/>
      <c r="X1128" s="132"/>
      <c r="Y1128" s="132"/>
      <c r="Z1128" s="171"/>
      <c r="AA1128" s="171"/>
      <c r="AB1128" s="171"/>
      <c r="AC1128" s="171"/>
      <c r="AD1128" s="171"/>
      <c r="AE1128" s="171"/>
      <c r="AF1128" s="140"/>
      <c r="AG1128" s="128"/>
      <c r="AH1128" s="140"/>
      <c r="AI1128" s="128"/>
      <c r="AJ1128" s="137"/>
      <c r="AK1128" s="140"/>
      <c r="AL1128" s="140"/>
    </row>
    <row r="1129" ht="15.0" customHeight="1">
      <c r="A1129" s="400" t="s">
        <v>1742</v>
      </c>
      <c r="B1129" s="138">
        <v>50103.0</v>
      </c>
      <c r="C1129" s="396">
        <v>1.0</v>
      </c>
      <c r="D1129" s="122" t="s">
        <v>1844</v>
      </c>
      <c r="E1129" s="125" t="s">
        <v>34</v>
      </c>
      <c r="F1129" s="303" t="s">
        <v>1844</v>
      </c>
      <c r="G1129" s="269" t="s">
        <v>3402</v>
      </c>
      <c r="H1129" s="269" t="s">
        <v>1844</v>
      </c>
      <c r="I1129" s="129" t="s">
        <v>1843</v>
      </c>
      <c r="J1129" s="143" t="s">
        <v>1902</v>
      </c>
      <c r="K1129" s="129" t="s">
        <v>1877</v>
      </c>
      <c r="L1129" s="132" t="s">
        <v>1878</v>
      </c>
      <c r="M1129" s="132" t="s">
        <v>1845</v>
      </c>
      <c r="N1129" s="131">
        <v>1.0</v>
      </c>
      <c r="O1129" s="144" t="s">
        <v>1845</v>
      </c>
      <c r="P1129" s="171" t="s">
        <v>2072</v>
      </c>
      <c r="Q1129" s="171"/>
      <c r="R1129" s="171"/>
      <c r="S1129" s="171"/>
      <c r="T1129" s="171"/>
      <c r="U1129" s="171"/>
      <c r="V1129" s="171"/>
      <c r="W1129" s="131"/>
      <c r="X1129" s="132"/>
      <c r="Y1129" s="132"/>
      <c r="Z1129" s="171"/>
      <c r="AA1129" s="171"/>
      <c r="AB1129" s="171"/>
      <c r="AC1129" s="171"/>
      <c r="AD1129" s="171"/>
      <c r="AE1129" s="171"/>
      <c r="AF1129" s="140"/>
      <c r="AG1129" s="140"/>
      <c r="AH1129" s="140"/>
      <c r="AI1129" s="128"/>
      <c r="AJ1129" s="137"/>
      <c r="AK1129" s="140"/>
      <c r="AL1129" s="140"/>
    </row>
    <row r="1130" ht="15.0" customHeight="1">
      <c r="A1130" s="400" t="s">
        <v>1742</v>
      </c>
      <c r="B1130" s="138">
        <v>50107.0</v>
      </c>
      <c r="C1130" s="396">
        <v>1.0</v>
      </c>
      <c r="D1130" s="122" t="s">
        <v>1844</v>
      </c>
      <c r="E1130" s="125" t="s">
        <v>34</v>
      </c>
      <c r="F1130" s="303" t="s">
        <v>1844</v>
      </c>
      <c r="G1130" s="269" t="s">
        <v>3403</v>
      </c>
      <c r="H1130" s="269" t="s">
        <v>1844</v>
      </c>
      <c r="I1130" s="129" t="s">
        <v>1843</v>
      </c>
      <c r="J1130" s="143" t="s">
        <v>1902</v>
      </c>
      <c r="K1130" s="129" t="s">
        <v>1877</v>
      </c>
      <c r="L1130" s="132" t="s">
        <v>1878</v>
      </c>
      <c r="M1130" s="132" t="s">
        <v>1845</v>
      </c>
      <c r="N1130" s="131" t="s">
        <v>1903</v>
      </c>
      <c r="O1130" s="144" t="s">
        <v>1845</v>
      </c>
      <c r="P1130" s="171" t="s">
        <v>1895</v>
      </c>
      <c r="Q1130" s="171"/>
      <c r="R1130" s="131"/>
      <c r="S1130" s="171"/>
      <c r="T1130" s="171"/>
      <c r="U1130" s="171"/>
      <c r="V1130" s="171"/>
      <c r="W1130" s="131"/>
      <c r="X1130" s="132"/>
      <c r="Y1130" s="132"/>
      <c r="Z1130" s="171"/>
      <c r="AA1130" s="171"/>
      <c r="AB1130" s="171"/>
      <c r="AC1130" s="171"/>
      <c r="AD1130" s="171"/>
      <c r="AE1130" s="171"/>
      <c r="AF1130" s="140"/>
      <c r="AG1130" s="140"/>
      <c r="AH1130" s="140"/>
      <c r="AI1130" s="128"/>
      <c r="AJ1130" s="137"/>
      <c r="AK1130" s="140"/>
      <c r="AL1130" s="140"/>
    </row>
    <row r="1131" ht="15.0" customHeight="1">
      <c r="A1131" s="400" t="s">
        <v>1742</v>
      </c>
      <c r="B1131" s="138">
        <v>50110.0</v>
      </c>
      <c r="C1131" s="396">
        <v>1.0</v>
      </c>
      <c r="D1131" s="122" t="s">
        <v>1844</v>
      </c>
      <c r="E1131" s="125" t="s">
        <v>34</v>
      </c>
      <c r="F1131" s="303" t="s">
        <v>1844</v>
      </c>
      <c r="G1131" s="269" t="s">
        <v>3404</v>
      </c>
      <c r="H1131" s="269" t="s">
        <v>1844</v>
      </c>
      <c r="I1131" s="129" t="s">
        <v>1843</v>
      </c>
      <c r="J1131" s="143" t="s">
        <v>1902</v>
      </c>
      <c r="K1131" s="129" t="s">
        <v>1877</v>
      </c>
      <c r="L1131" s="132" t="s">
        <v>1878</v>
      </c>
      <c r="M1131" s="132" t="s">
        <v>1845</v>
      </c>
      <c r="N1131" s="131">
        <v>1.0</v>
      </c>
      <c r="O1131" s="144" t="s">
        <v>1845</v>
      </c>
      <c r="P1131" s="171" t="s">
        <v>1895</v>
      </c>
      <c r="Q1131" s="171"/>
      <c r="R1131" s="131"/>
      <c r="S1131" s="171"/>
      <c r="T1131" s="171"/>
      <c r="U1131" s="171"/>
      <c r="V1131" s="171"/>
      <c r="W1131" s="131"/>
      <c r="X1131" s="132" t="s">
        <v>1845</v>
      </c>
      <c r="Y1131" s="132"/>
      <c r="Z1131" s="171"/>
      <c r="AA1131" s="171"/>
      <c r="AB1131" s="171"/>
      <c r="AC1131" s="171"/>
      <c r="AD1131" s="171"/>
      <c r="AE1131" s="171"/>
      <c r="AF1131" s="140"/>
      <c r="AG1131" s="140"/>
      <c r="AH1131" s="140"/>
      <c r="AI1131" s="128"/>
      <c r="AJ1131" s="137"/>
      <c r="AK1131" s="140"/>
      <c r="AL1131" s="140"/>
    </row>
    <row r="1132" ht="15.0" customHeight="1">
      <c r="A1132" s="400" t="s">
        <v>1742</v>
      </c>
      <c r="B1132" s="138">
        <v>50116.0</v>
      </c>
      <c r="C1132" s="396">
        <v>1.0</v>
      </c>
      <c r="D1132" s="122" t="s">
        <v>1844</v>
      </c>
      <c r="E1132" s="125" t="s">
        <v>34</v>
      </c>
      <c r="F1132" s="303" t="s">
        <v>1844</v>
      </c>
      <c r="G1132" s="269" t="s">
        <v>3405</v>
      </c>
      <c r="H1132" s="269" t="s">
        <v>1844</v>
      </c>
      <c r="I1132" s="129" t="s">
        <v>1843</v>
      </c>
      <c r="J1132" s="143" t="s">
        <v>1876</v>
      </c>
      <c r="K1132" s="129" t="s">
        <v>1877</v>
      </c>
      <c r="L1132" s="132" t="s">
        <v>1844</v>
      </c>
      <c r="M1132" s="132" t="s">
        <v>1845</v>
      </c>
      <c r="N1132" s="131" t="s">
        <v>1903</v>
      </c>
      <c r="O1132" s="144" t="s">
        <v>1845</v>
      </c>
      <c r="P1132" s="171" t="s">
        <v>1862</v>
      </c>
      <c r="Q1132" s="171"/>
      <c r="R1132" s="131"/>
      <c r="S1132" s="171" t="s">
        <v>1845</v>
      </c>
      <c r="T1132" s="171"/>
      <c r="U1132" s="171"/>
      <c r="V1132" s="171"/>
      <c r="W1132" s="131"/>
      <c r="X1132" s="132"/>
      <c r="Y1132" s="132"/>
      <c r="Z1132" s="171"/>
      <c r="AA1132" s="171"/>
      <c r="AB1132" s="171"/>
      <c r="AC1132" s="171"/>
      <c r="AD1132" s="171"/>
      <c r="AE1132" s="171"/>
      <c r="AF1132" s="140"/>
      <c r="AG1132" s="128"/>
      <c r="AH1132" s="140"/>
      <c r="AI1132" s="128"/>
      <c r="AJ1132" s="137"/>
      <c r="AK1132" s="140"/>
      <c r="AL1132" s="140"/>
    </row>
    <row r="1133" ht="15.0" customHeight="1">
      <c r="A1133" s="400" t="s">
        <v>1742</v>
      </c>
      <c r="B1133" s="138">
        <v>50118.0</v>
      </c>
      <c r="C1133" s="396">
        <v>1.0</v>
      </c>
      <c r="D1133" s="122" t="s">
        <v>1844</v>
      </c>
      <c r="E1133" s="125" t="s">
        <v>34</v>
      </c>
      <c r="F1133" s="303" t="s">
        <v>1844</v>
      </c>
      <c r="G1133" s="269" t="s">
        <v>3406</v>
      </c>
      <c r="H1133" s="269" t="s">
        <v>1844</v>
      </c>
      <c r="I1133" s="129" t="s">
        <v>1843</v>
      </c>
      <c r="J1133" s="143" t="s">
        <v>1902</v>
      </c>
      <c r="K1133" s="132" t="s">
        <v>1877</v>
      </c>
      <c r="L1133" s="132" t="s">
        <v>1844</v>
      </c>
      <c r="M1133" s="132" t="s">
        <v>1845</v>
      </c>
      <c r="N1133" s="131" t="s">
        <v>1903</v>
      </c>
      <c r="O1133" s="144" t="s">
        <v>1845</v>
      </c>
      <c r="P1133" s="171" t="s">
        <v>1862</v>
      </c>
      <c r="Q1133" s="171"/>
      <c r="R1133" s="131"/>
      <c r="S1133" s="171"/>
      <c r="T1133" s="171"/>
      <c r="U1133" s="171"/>
      <c r="V1133" s="171"/>
      <c r="W1133" s="131"/>
      <c r="X1133" s="132"/>
      <c r="Y1133" s="132"/>
      <c r="Z1133" s="171"/>
      <c r="AA1133" s="171"/>
      <c r="AB1133" s="171"/>
      <c r="AC1133" s="171"/>
      <c r="AD1133" s="171"/>
      <c r="AE1133" s="171"/>
      <c r="AF1133" s="140"/>
      <c r="AG1133" s="140"/>
      <c r="AH1133" s="140"/>
      <c r="AI1133" s="128"/>
      <c r="AJ1133" s="137"/>
      <c r="AK1133" s="140"/>
      <c r="AL1133" s="140"/>
    </row>
    <row r="1134" ht="15.0" customHeight="1">
      <c r="A1134" s="400" t="s">
        <v>1742</v>
      </c>
      <c r="B1134" s="138">
        <v>50127.0</v>
      </c>
      <c r="C1134" s="396">
        <v>1.0</v>
      </c>
      <c r="D1134" s="122" t="s">
        <v>1844</v>
      </c>
      <c r="E1134" s="125" t="s">
        <v>34</v>
      </c>
      <c r="F1134" s="303" t="s">
        <v>1844</v>
      </c>
      <c r="G1134" s="269" t="s">
        <v>3407</v>
      </c>
      <c r="H1134" s="269" t="s">
        <v>1844</v>
      </c>
      <c r="I1134" s="129" t="s">
        <v>1843</v>
      </c>
      <c r="J1134" s="143" t="s">
        <v>1902</v>
      </c>
      <c r="K1134" s="132" t="s">
        <v>1877</v>
      </c>
      <c r="L1134" s="132" t="s">
        <v>1878</v>
      </c>
      <c r="M1134" s="132" t="s">
        <v>1845</v>
      </c>
      <c r="N1134" s="131">
        <v>1.0</v>
      </c>
      <c r="O1134" s="144" t="s">
        <v>1845</v>
      </c>
      <c r="P1134" s="131" t="s">
        <v>1862</v>
      </c>
      <c r="Q1134" s="171"/>
      <c r="R1134" s="131"/>
      <c r="S1134" s="171"/>
      <c r="T1134" s="171"/>
      <c r="U1134" s="171"/>
      <c r="V1134" s="171"/>
      <c r="W1134" s="131"/>
      <c r="X1134" s="132" t="s">
        <v>1845</v>
      </c>
      <c r="Y1134" s="132"/>
      <c r="Z1134" s="171"/>
      <c r="AA1134" s="171"/>
      <c r="AB1134" s="171"/>
      <c r="AC1134" s="171"/>
      <c r="AD1134" s="171"/>
      <c r="AE1134" s="171"/>
      <c r="AF1134" s="140"/>
      <c r="AG1134" s="140"/>
      <c r="AH1134" s="140"/>
      <c r="AI1134" s="128"/>
      <c r="AJ1134" s="137"/>
      <c r="AK1134" s="140"/>
      <c r="AL1134" s="140"/>
    </row>
    <row r="1135" ht="15.0" customHeight="1">
      <c r="A1135" s="400" t="s">
        <v>1742</v>
      </c>
      <c r="B1135" s="138">
        <v>50129.0</v>
      </c>
      <c r="C1135" s="396">
        <v>1.0</v>
      </c>
      <c r="D1135" s="122" t="s">
        <v>1844</v>
      </c>
      <c r="E1135" s="125" t="s">
        <v>34</v>
      </c>
      <c r="F1135" s="303" t="s">
        <v>1844</v>
      </c>
      <c r="G1135" s="269" t="s">
        <v>3408</v>
      </c>
      <c r="H1135" s="269" t="s">
        <v>1844</v>
      </c>
      <c r="I1135" s="129" t="s">
        <v>1843</v>
      </c>
      <c r="J1135" s="143" t="s">
        <v>1876</v>
      </c>
      <c r="K1135" s="172" t="s">
        <v>1877</v>
      </c>
      <c r="L1135" s="132" t="s">
        <v>1844</v>
      </c>
      <c r="M1135" s="132" t="s">
        <v>1845</v>
      </c>
      <c r="N1135" s="131" t="s">
        <v>1903</v>
      </c>
      <c r="O1135" s="144" t="s">
        <v>1845</v>
      </c>
      <c r="P1135" s="171" t="s">
        <v>1895</v>
      </c>
      <c r="Q1135" s="171"/>
      <c r="R1135" s="131"/>
      <c r="S1135" s="171" t="s">
        <v>1845</v>
      </c>
      <c r="T1135" s="171"/>
      <c r="U1135" s="171"/>
      <c r="V1135" s="171"/>
      <c r="W1135" s="131"/>
      <c r="X1135" s="132"/>
      <c r="Y1135" s="132"/>
      <c r="Z1135" s="171"/>
      <c r="AA1135" s="171"/>
      <c r="AB1135" s="171"/>
      <c r="AC1135" s="171"/>
      <c r="AD1135" s="171"/>
      <c r="AE1135" s="171"/>
      <c r="AF1135" s="140"/>
      <c r="AG1135" s="128"/>
      <c r="AH1135" s="140"/>
      <c r="AI1135" s="128"/>
      <c r="AJ1135" s="137"/>
      <c r="AK1135" s="140"/>
      <c r="AL1135" s="140"/>
    </row>
    <row r="1136" ht="15.0" customHeight="1">
      <c r="A1136" s="157" t="s">
        <v>1742</v>
      </c>
      <c r="B1136" s="158">
        <v>50130.0</v>
      </c>
      <c r="C1136" s="396">
        <v>1.0</v>
      </c>
      <c r="D1136" s="157" t="s">
        <v>1844</v>
      </c>
      <c r="E1136" s="160" t="s">
        <v>34</v>
      </c>
      <c r="F1136" s="401" t="s">
        <v>1844</v>
      </c>
      <c r="G1136" s="402" t="s">
        <v>3409</v>
      </c>
      <c r="H1136" s="402" t="s">
        <v>1844</v>
      </c>
      <c r="I1136" s="164" t="s">
        <v>1843</v>
      </c>
      <c r="J1136" s="184" t="s">
        <v>1876</v>
      </c>
      <c r="K1136" s="168" t="s">
        <v>1877</v>
      </c>
      <c r="L1136" s="168" t="s">
        <v>1878</v>
      </c>
      <c r="M1136" s="168" t="s">
        <v>1845</v>
      </c>
      <c r="N1136" s="166" t="s">
        <v>1903</v>
      </c>
      <c r="O1136" s="166" t="s">
        <v>1845</v>
      </c>
      <c r="P1136" s="167" t="s">
        <v>1862</v>
      </c>
      <c r="Q1136" s="164" t="s">
        <v>1845</v>
      </c>
      <c r="R1136" s="168"/>
      <c r="S1136" s="164"/>
      <c r="T1136" s="164"/>
      <c r="U1136" s="164"/>
      <c r="V1136" s="164"/>
      <c r="W1136" s="168"/>
      <c r="X1136" s="168"/>
      <c r="Y1136" s="168"/>
      <c r="Z1136" s="164"/>
      <c r="AA1136" s="164"/>
      <c r="AB1136" s="167"/>
      <c r="AC1136" s="167"/>
      <c r="AD1136" s="167"/>
      <c r="AE1136" s="167"/>
      <c r="AF1136" s="167"/>
      <c r="AG1136" s="164"/>
      <c r="AH1136" s="167"/>
      <c r="AI1136" s="164"/>
      <c r="AJ1136" s="169"/>
      <c r="AK1136" s="167"/>
      <c r="AL1136" s="167"/>
    </row>
    <row r="1137" ht="15.0" customHeight="1">
      <c r="A1137" s="400" t="s">
        <v>1742</v>
      </c>
      <c r="B1137" s="138">
        <v>50132.0</v>
      </c>
      <c r="C1137" s="396">
        <v>1.0</v>
      </c>
      <c r="D1137" s="122" t="s">
        <v>1844</v>
      </c>
      <c r="E1137" s="125" t="s">
        <v>34</v>
      </c>
      <c r="F1137" s="303" t="s">
        <v>1844</v>
      </c>
      <c r="G1137" s="269" t="s">
        <v>3410</v>
      </c>
      <c r="H1137" s="269" t="s">
        <v>1844</v>
      </c>
      <c r="I1137" s="129" t="s">
        <v>1906</v>
      </c>
      <c r="J1137" s="143" t="s">
        <v>1902</v>
      </c>
      <c r="K1137" s="132" t="s">
        <v>1877</v>
      </c>
      <c r="L1137" s="132" t="s">
        <v>1878</v>
      </c>
      <c r="M1137" s="132" t="s">
        <v>1845</v>
      </c>
      <c r="N1137" s="131">
        <v>1.0</v>
      </c>
      <c r="O1137" s="144" t="s">
        <v>1845</v>
      </c>
      <c r="P1137" s="171" t="s">
        <v>1862</v>
      </c>
      <c r="Q1137" s="171"/>
      <c r="R1137" s="131"/>
      <c r="S1137" s="171"/>
      <c r="T1137" s="171"/>
      <c r="U1137" s="171" t="s">
        <v>1845</v>
      </c>
      <c r="V1137" s="171"/>
      <c r="W1137" s="131"/>
      <c r="X1137" s="132"/>
      <c r="Y1137" s="132"/>
      <c r="Z1137" s="171"/>
      <c r="AA1137" s="171"/>
      <c r="AB1137" s="171"/>
      <c r="AC1137" s="171"/>
      <c r="AD1137" s="171"/>
      <c r="AE1137" s="171"/>
      <c r="AF1137" s="140"/>
      <c r="AG1137" s="140"/>
      <c r="AH1137" s="140"/>
      <c r="AI1137" s="128"/>
      <c r="AJ1137" s="137"/>
      <c r="AK1137" s="140"/>
      <c r="AL1137" s="140"/>
    </row>
    <row r="1138" ht="15.0" customHeight="1">
      <c r="A1138" s="400" t="s">
        <v>1742</v>
      </c>
      <c r="B1138" s="138">
        <v>50137.0</v>
      </c>
      <c r="C1138" s="396">
        <v>1.0</v>
      </c>
      <c r="D1138" s="122" t="s">
        <v>1844</v>
      </c>
      <c r="E1138" s="125" t="s">
        <v>34</v>
      </c>
      <c r="F1138" s="303" t="s">
        <v>1844</v>
      </c>
      <c r="G1138" s="269" t="s">
        <v>3411</v>
      </c>
      <c r="H1138" s="269" t="s">
        <v>1844</v>
      </c>
      <c r="I1138" s="129" t="s">
        <v>1843</v>
      </c>
      <c r="J1138" s="143" t="s">
        <v>1902</v>
      </c>
      <c r="K1138" s="172" t="s">
        <v>1877</v>
      </c>
      <c r="L1138" s="132" t="s">
        <v>1844</v>
      </c>
      <c r="M1138" s="132" t="s">
        <v>1845</v>
      </c>
      <c r="N1138" s="131">
        <v>1.0</v>
      </c>
      <c r="O1138" s="144" t="s">
        <v>1845</v>
      </c>
      <c r="P1138" s="171" t="s">
        <v>1895</v>
      </c>
      <c r="Q1138" s="171"/>
      <c r="R1138" s="171"/>
      <c r="S1138" s="171" t="s">
        <v>1845</v>
      </c>
      <c r="T1138" s="171"/>
      <c r="U1138" s="171"/>
      <c r="V1138" s="171"/>
      <c r="W1138" s="131"/>
      <c r="X1138" s="132"/>
      <c r="Y1138" s="132"/>
      <c r="Z1138" s="171"/>
      <c r="AA1138" s="171"/>
      <c r="AB1138" s="171"/>
      <c r="AC1138" s="171"/>
      <c r="AD1138" s="171"/>
      <c r="AE1138" s="171"/>
      <c r="AF1138" s="140"/>
      <c r="AG1138" s="128"/>
      <c r="AH1138" s="140"/>
      <c r="AI1138" s="128"/>
      <c r="AJ1138" s="137"/>
      <c r="AK1138" s="140"/>
      <c r="AL1138" s="140"/>
    </row>
    <row r="1139" ht="15.0" customHeight="1">
      <c r="A1139" s="400" t="s">
        <v>1742</v>
      </c>
      <c r="B1139" s="138">
        <v>50139.0</v>
      </c>
      <c r="C1139" s="396">
        <v>1.0</v>
      </c>
      <c r="D1139" s="122" t="s">
        <v>1844</v>
      </c>
      <c r="E1139" s="125" t="s">
        <v>34</v>
      </c>
      <c r="F1139" s="303" t="s">
        <v>1844</v>
      </c>
      <c r="G1139" s="269" t="s">
        <v>3412</v>
      </c>
      <c r="H1139" s="269" t="s">
        <v>1844</v>
      </c>
      <c r="I1139" s="129" t="s">
        <v>1843</v>
      </c>
      <c r="J1139" s="143" t="s">
        <v>1902</v>
      </c>
      <c r="K1139" s="129" t="s">
        <v>1877</v>
      </c>
      <c r="L1139" s="132" t="s">
        <v>1844</v>
      </c>
      <c r="M1139" s="132" t="s">
        <v>1845</v>
      </c>
      <c r="N1139" s="131" t="s">
        <v>1903</v>
      </c>
      <c r="O1139" s="144" t="s">
        <v>1845</v>
      </c>
      <c r="P1139" s="171" t="s">
        <v>1895</v>
      </c>
      <c r="Q1139" s="171"/>
      <c r="R1139" s="131"/>
      <c r="S1139" s="171" t="s">
        <v>1845</v>
      </c>
      <c r="T1139" s="171"/>
      <c r="U1139" s="171"/>
      <c r="V1139" s="171"/>
      <c r="W1139" s="131"/>
      <c r="X1139" s="132"/>
      <c r="Y1139" s="132"/>
      <c r="Z1139" s="171"/>
      <c r="AA1139" s="171"/>
      <c r="AB1139" s="171"/>
      <c r="AC1139" s="171"/>
      <c r="AD1139" s="171"/>
      <c r="AE1139" s="171"/>
      <c r="AF1139" s="140"/>
      <c r="AG1139" s="140"/>
      <c r="AH1139" s="140"/>
      <c r="AI1139" s="128"/>
      <c r="AJ1139" s="137"/>
      <c r="AK1139" s="140"/>
      <c r="AL1139" s="140"/>
    </row>
    <row r="1140" ht="15.0" customHeight="1">
      <c r="A1140" s="400" t="s">
        <v>1742</v>
      </c>
      <c r="B1140" s="138">
        <v>50141.0</v>
      </c>
      <c r="C1140" s="396">
        <v>1.0</v>
      </c>
      <c r="D1140" s="122" t="s">
        <v>1844</v>
      </c>
      <c r="E1140" s="125" t="s">
        <v>34</v>
      </c>
      <c r="F1140" s="303" t="s">
        <v>1844</v>
      </c>
      <c r="G1140" s="269" t="s">
        <v>3413</v>
      </c>
      <c r="H1140" s="269" t="s">
        <v>1844</v>
      </c>
      <c r="I1140" s="129" t="s">
        <v>1906</v>
      </c>
      <c r="J1140" s="143" t="s">
        <v>1876</v>
      </c>
      <c r="K1140" s="132" t="s">
        <v>1877</v>
      </c>
      <c r="L1140" s="132" t="s">
        <v>1844</v>
      </c>
      <c r="M1140" s="132" t="s">
        <v>1845</v>
      </c>
      <c r="N1140" s="131" t="s">
        <v>1903</v>
      </c>
      <c r="O1140" s="144" t="s">
        <v>1845</v>
      </c>
      <c r="P1140" s="171" t="s">
        <v>1862</v>
      </c>
      <c r="Q1140" s="171"/>
      <c r="R1140" s="131"/>
      <c r="S1140" s="171"/>
      <c r="T1140" s="171"/>
      <c r="U1140" s="171" t="s">
        <v>1845</v>
      </c>
      <c r="V1140" s="171"/>
      <c r="W1140" s="131"/>
      <c r="X1140" s="132"/>
      <c r="Y1140" s="132"/>
      <c r="Z1140" s="171"/>
      <c r="AA1140" s="171"/>
      <c r="AB1140" s="171"/>
      <c r="AC1140" s="171"/>
      <c r="AD1140" s="171"/>
      <c r="AE1140" s="171"/>
      <c r="AF1140" s="140"/>
      <c r="AG1140" s="140"/>
      <c r="AH1140" s="140"/>
      <c r="AI1140" s="128"/>
      <c r="AJ1140" s="137"/>
      <c r="AK1140" s="140"/>
      <c r="AL1140" s="140"/>
    </row>
    <row r="1141" ht="15.0" customHeight="1">
      <c r="A1141" s="400" t="s">
        <v>1742</v>
      </c>
      <c r="B1141" s="138">
        <v>50153.0</v>
      </c>
      <c r="C1141" s="396">
        <v>1.0</v>
      </c>
      <c r="D1141" s="122" t="s">
        <v>1844</v>
      </c>
      <c r="E1141" s="125" t="s">
        <v>34</v>
      </c>
      <c r="F1141" s="303" t="s">
        <v>1844</v>
      </c>
      <c r="G1141" s="269" t="s">
        <v>3414</v>
      </c>
      <c r="H1141" s="269" t="s">
        <v>1844</v>
      </c>
      <c r="I1141" s="129" t="s">
        <v>1843</v>
      </c>
      <c r="J1141" s="143" t="s">
        <v>1876</v>
      </c>
      <c r="K1141" s="132" t="s">
        <v>1877</v>
      </c>
      <c r="L1141" s="132" t="s">
        <v>1844</v>
      </c>
      <c r="M1141" s="132" t="s">
        <v>1845</v>
      </c>
      <c r="N1141" s="131" t="s">
        <v>1903</v>
      </c>
      <c r="O1141" s="144" t="s">
        <v>1845</v>
      </c>
      <c r="P1141" s="171" t="s">
        <v>1862</v>
      </c>
      <c r="Q1141" s="171"/>
      <c r="R1141" s="131"/>
      <c r="S1141" s="171"/>
      <c r="T1141" s="171"/>
      <c r="U1141" s="171"/>
      <c r="V1141" s="171"/>
      <c r="W1141" s="131" t="s">
        <v>1845</v>
      </c>
      <c r="X1141" s="132"/>
      <c r="Y1141" s="132"/>
      <c r="Z1141" s="171"/>
      <c r="AA1141" s="171"/>
      <c r="AB1141" s="171"/>
      <c r="AC1141" s="171"/>
      <c r="AD1141" s="171"/>
      <c r="AE1141" s="171"/>
      <c r="AF1141" s="140"/>
      <c r="AG1141" s="140"/>
      <c r="AH1141" s="140"/>
      <c r="AI1141" s="128"/>
      <c r="AJ1141" s="137"/>
      <c r="AK1141" s="140"/>
      <c r="AL1141" s="140"/>
    </row>
    <row r="1142" ht="15.0" customHeight="1">
      <c r="A1142" s="400" t="s">
        <v>1742</v>
      </c>
      <c r="B1142" s="138">
        <v>50154.0</v>
      </c>
      <c r="C1142" s="396">
        <v>1.0</v>
      </c>
      <c r="D1142" s="122" t="s">
        <v>1844</v>
      </c>
      <c r="E1142" s="125" t="s">
        <v>34</v>
      </c>
      <c r="F1142" s="303" t="s">
        <v>1844</v>
      </c>
      <c r="G1142" s="269" t="s">
        <v>3415</v>
      </c>
      <c r="H1142" s="269" t="s">
        <v>1844</v>
      </c>
      <c r="I1142" s="129" t="s">
        <v>1906</v>
      </c>
      <c r="J1142" s="143" t="s">
        <v>1876</v>
      </c>
      <c r="K1142" s="132" t="s">
        <v>1877</v>
      </c>
      <c r="L1142" s="132" t="s">
        <v>1844</v>
      </c>
      <c r="M1142" s="132" t="s">
        <v>1845</v>
      </c>
      <c r="N1142" s="131">
        <v>1.0</v>
      </c>
      <c r="O1142" s="144" t="s">
        <v>1845</v>
      </c>
      <c r="P1142" s="171" t="s">
        <v>1862</v>
      </c>
      <c r="Q1142" s="171"/>
      <c r="R1142" s="131"/>
      <c r="S1142" s="171"/>
      <c r="T1142" s="171"/>
      <c r="U1142" s="171" t="s">
        <v>1845</v>
      </c>
      <c r="V1142" s="171"/>
      <c r="W1142" s="131"/>
      <c r="X1142" s="132"/>
      <c r="Y1142" s="132"/>
      <c r="Z1142" s="171"/>
      <c r="AA1142" s="171"/>
      <c r="AB1142" s="171"/>
      <c r="AC1142" s="171"/>
      <c r="AD1142" s="171"/>
      <c r="AE1142" s="171"/>
      <c r="AF1142" s="140"/>
      <c r="AG1142" s="140"/>
      <c r="AH1142" s="140"/>
      <c r="AI1142" s="128"/>
      <c r="AJ1142" s="137"/>
      <c r="AK1142" s="140"/>
      <c r="AL1142" s="140"/>
    </row>
    <row r="1143" ht="15.0" customHeight="1">
      <c r="A1143" s="400" t="s">
        <v>1742</v>
      </c>
      <c r="B1143" s="138">
        <v>50156.0</v>
      </c>
      <c r="C1143" s="396">
        <v>1.0</v>
      </c>
      <c r="D1143" s="122" t="s">
        <v>1844</v>
      </c>
      <c r="E1143" s="125" t="s">
        <v>34</v>
      </c>
      <c r="F1143" s="303" t="s">
        <v>1844</v>
      </c>
      <c r="G1143" s="269" t="s">
        <v>3416</v>
      </c>
      <c r="H1143" s="269" t="s">
        <v>1844</v>
      </c>
      <c r="I1143" s="129" t="s">
        <v>1843</v>
      </c>
      <c r="J1143" s="143" t="s">
        <v>1902</v>
      </c>
      <c r="K1143" s="172" t="s">
        <v>1877</v>
      </c>
      <c r="L1143" s="132" t="s">
        <v>1878</v>
      </c>
      <c r="M1143" s="132" t="s">
        <v>1845</v>
      </c>
      <c r="N1143" s="131">
        <v>1.0</v>
      </c>
      <c r="O1143" s="144" t="s">
        <v>1845</v>
      </c>
      <c r="P1143" s="171" t="s">
        <v>1862</v>
      </c>
      <c r="Q1143" s="171"/>
      <c r="R1143" s="171"/>
      <c r="S1143" s="171"/>
      <c r="T1143" s="171"/>
      <c r="U1143" s="171"/>
      <c r="V1143" s="171"/>
      <c r="W1143" s="131" t="s">
        <v>1845</v>
      </c>
      <c r="X1143" s="132"/>
      <c r="Y1143" s="132"/>
      <c r="Z1143" s="171"/>
      <c r="AA1143" s="171"/>
      <c r="AB1143" s="171"/>
      <c r="AC1143" s="171"/>
      <c r="AD1143" s="171"/>
      <c r="AE1143" s="171"/>
      <c r="AF1143" s="140"/>
      <c r="AG1143" s="140"/>
      <c r="AH1143" s="140"/>
      <c r="AI1143" s="128"/>
      <c r="AJ1143" s="137"/>
      <c r="AK1143" s="140"/>
      <c r="AL1143" s="140"/>
    </row>
    <row r="1144" ht="15.0" customHeight="1">
      <c r="A1144" s="400" t="s">
        <v>1742</v>
      </c>
      <c r="B1144" s="138">
        <v>50157.0</v>
      </c>
      <c r="C1144" s="396">
        <v>1.0</v>
      </c>
      <c r="D1144" s="122" t="s">
        <v>1844</v>
      </c>
      <c r="E1144" s="125" t="s">
        <v>34</v>
      </c>
      <c r="F1144" s="303" t="s">
        <v>1844</v>
      </c>
      <c r="G1144" s="269" t="s">
        <v>3417</v>
      </c>
      <c r="H1144" s="269" t="s">
        <v>1844</v>
      </c>
      <c r="I1144" s="129" t="s">
        <v>1843</v>
      </c>
      <c r="J1144" s="143" t="s">
        <v>1902</v>
      </c>
      <c r="K1144" s="132" t="s">
        <v>1877</v>
      </c>
      <c r="L1144" s="132" t="s">
        <v>1878</v>
      </c>
      <c r="M1144" s="132" t="s">
        <v>1845</v>
      </c>
      <c r="N1144" s="131" t="s">
        <v>1903</v>
      </c>
      <c r="O1144" s="144" t="s">
        <v>1845</v>
      </c>
      <c r="P1144" s="171" t="s">
        <v>1862</v>
      </c>
      <c r="Q1144" s="171"/>
      <c r="R1144" s="131"/>
      <c r="S1144" s="171" t="s">
        <v>1845</v>
      </c>
      <c r="T1144" s="171"/>
      <c r="U1144" s="171"/>
      <c r="V1144" s="171"/>
      <c r="W1144" s="131"/>
      <c r="X1144" s="132"/>
      <c r="Y1144" s="132"/>
      <c r="Z1144" s="171"/>
      <c r="AA1144" s="171"/>
      <c r="AB1144" s="171"/>
      <c r="AC1144" s="171"/>
      <c r="AD1144" s="171"/>
      <c r="AE1144" s="171"/>
      <c r="AF1144" s="140"/>
      <c r="AG1144" s="128"/>
      <c r="AH1144" s="140"/>
      <c r="AI1144" s="128"/>
      <c r="AJ1144" s="137"/>
      <c r="AK1144" s="140"/>
      <c r="AL1144" s="140"/>
    </row>
    <row r="1145" ht="15.0" customHeight="1">
      <c r="A1145" s="400" t="s">
        <v>1742</v>
      </c>
      <c r="B1145" s="138">
        <v>50160.0</v>
      </c>
      <c r="C1145" s="396">
        <v>1.0</v>
      </c>
      <c r="D1145" s="122" t="s">
        <v>1844</v>
      </c>
      <c r="E1145" s="125" t="s">
        <v>34</v>
      </c>
      <c r="F1145" s="303" t="s">
        <v>1844</v>
      </c>
      <c r="G1145" s="269" t="s">
        <v>3418</v>
      </c>
      <c r="H1145" s="269" t="s">
        <v>1844</v>
      </c>
      <c r="I1145" s="129" t="s">
        <v>1906</v>
      </c>
      <c r="J1145" s="130" t="s">
        <v>1902</v>
      </c>
      <c r="K1145" s="129" t="s">
        <v>1877</v>
      </c>
      <c r="L1145" s="129" t="s">
        <v>1878</v>
      </c>
      <c r="M1145" s="129" t="s">
        <v>1845</v>
      </c>
      <c r="N1145" s="131" t="s">
        <v>1903</v>
      </c>
      <c r="O1145" s="144" t="s">
        <v>1845</v>
      </c>
      <c r="P1145" s="171" t="s">
        <v>1862</v>
      </c>
      <c r="Q1145" s="131"/>
      <c r="R1145" s="131"/>
      <c r="S1145" s="131"/>
      <c r="T1145" s="131"/>
      <c r="U1145" s="131" t="s">
        <v>1845</v>
      </c>
      <c r="V1145" s="131"/>
      <c r="W1145" s="131"/>
      <c r="X1145" s="129"/>
      <c r="Y1145" s="129"/>
      <c r="Z1145" s="171"/>
      <c r="AA1145" s="171"/>
      <c r="AB1145" s="171"/>
      <c r="AC1145" s="171"/>
      <c r="AD1145" s="171"/>
      <c r="AE1145" s="171"/>
      <c r="AF1145" s="140"/>
      <c r="AG1145" s="140"/>
      <c r="AH1145" s="140"/>
      <c r="AI1145" s="128"/>
      <c r="AJ1145" s="137"/>
      <c r="AK1145" s="140"/>
      <c r="AL1145" s="140"/>
    </row>
    <row r="1146" ht="15.0" customHeight="1">
      <c r="A1146" s="400" t="s">
        <v>1742</v>
      </c>
      <c r="B1146" s="138">
        <v>50168.0</v>
      </c>
      <c r="C1146" s="396">
        <v>1.0</v>
      </c>
      <c r="D1146" s="122" t="s">
        <v>1844</v>
      </c>
      <c r="E1146" s="125" t="s">
        <v>34</v>
      </c>
      <c r="F1146" s="303" t="s">
        <v>1844</v>
      </c>
      <c r="G1146" s="269" t="s">
        <v>3419</v>
      </c>
      <c r="H1146" s="269" t="s">
        <v>1844</v>
      </c>
      <c r="I1146" s="171" t="s">
        <v>1843</v>
      </c>
      <c r="J1146" s="143" t="s">
        <v>1876</v>
      </c>
      <c r="K1146" s="172" t="s">
        <v>1877</v>
      </c>
      <c r="L1146" s="132" t="s">
        <v>1844</v>
      </c>
      <c r="M1146" s="132" t="s">
        <v>1845</v>
      </c>
      <c r="N1146" s="131">
        <v>1.0</v>
      </c>
      <c r="O1146" s="144" t="s">
        <v>1845</v>
      </c>
      <c r="P1146" s="171" t="s">
        <v>1844</v>
      </c>
      <c r="Q1146" s="171"/>
      <c r="R1146" s="131"/>
      <c r="S1146" s="171"/>
      <c r="T1146" s="171" t="s">
        <v>1845</v>
      </c>
      <c r="U1146" s="171"/>
      <c r="V1146" s="171"/>
      <c r="W1146" s="131"/>
      <c r="X1146" s="132"/>
      <c r="Y1146" s="132"/>
      <c r="Z1146" s="171"/>
      <c r="AA1146" s="171"/>
      <c r="AB1146" s="171"/>
      <c r="AC1146" s="171"/>
      <c r="AD1146" s="171"/>
      <c r="AE1146" s="171"/>
      <c r="AF1146" s="140"/>
      <c r="AG1146" s="128"/>
      <c r="AH1146" s="140"/>
      <c r="AI1146" s="128"/>
      <c r="AJ1146" s="137"/>
      <c r="AK1146" s="140"/>
      <c r="AL1146" s="140"/>
    </row>
    <row r="1147" ht="15.0" customHeight="1">
      <c r="A1147" s="400" t="s">
        <v>1742</v>
      </c>
      <c r="B1147" s="138">
        <v>50171.0</v>
      </c>
      <c r="C1147" s="396">
        <v>1.0</v>
      </c>
      <c r="D1147" s="122" t="s">
        <v>1844</v>
      </c>
      <c r="E1147" s="125" t="s">
        <v>34</v>
      </c>
      <c r="F1147" s="303" t="s">
        <v>1844</v>
      </c>
      <c r="G1147" s="269" t="s">
        <v>3420</v>
      </c>
      <c r="H1147" s="269" t="s">
        <v>1844</v>
      </c>
      <c r="I1147" s="129" t="s">
        <v>1843</v>
      </c>
      <c r="J1147" s="130" t="s">
        <v>1902</v>
      </c>
      <c r="K1147" s="132" t="s">
        <v>1877</v>
      </c>
      <c r="L1147" s="132" t="s">
        <v>1844</v>
      </c>
      <c r="M1147" s="129" t="s">
        <v>1845</v>
      </c>
      <c r="N1147" s="131" t="s">
        <v>1903</v>
      </c>
      <c r="O1147" s="144" t="s">
        <v>1845</v>
      </c>
      <c r="P1147" s="171" t="s">
        <v>1862</v>
      </c>
      <c r="Q1147" s="171"/>
      <c r="R1147" s="131"/>
      <c r="S1147" s="171"/>
      <c r="T1147" s="171"/>
      <c r="U1147" s="171"/>
      <c r="V1147" s="171"/>
      <c r="W1147" s="131"/>
      <c r="X1147" s="129" t="s">
        <v>1845</v>
      </c>
      <c r="Y1147" s="129"/>
      <c r="Z1147" s="171"/>
      <c r="AA1147" s="171"/>
      <c r="AB1147" s="171"/>
      <c r="AC1147" s="171"/>
      <c r="AD1147" s="171"/>
      <c r="AE1147" s="171"/>
      <c r="AF1147" s="140"/>
      <c r="AG1147" s="140"/>
      <c r="AH1147" s="140"/>
      <c r="AI1147" s="128"/>
      <c r="AJ1147" s="137"/>
      <c r="AK1147" s="140"/>
      <c r="AL1147" s="140"/>
    </row>
    <row r="1148" ht="15.0" customHeight="1">
      <c r="A1148" s="400" t="s">
        <v>1742</v>
      </c>
      <c r="B1148" s="138">
        <v>50187.0</v>
      </c>
      <c r="C1148" s="396">
        <v>1.0</v>
      </c>
      <c r="D1148" s="122" t="s">
        <v>1844</v>
      </c>
      <c r="E1148" s="125" t="s">
        <v>34</v>
      </c>
      <c r="F1148" s="303" t="s">
        <v>1844</v>
      </c>
      <c r="G1148" s="269" t="s">
        <v>3421</v>
      </c>
      <c r="H1148" s="269" t="s">
        <v>1844</v>
      </c>
      <c r="I1148" s="140" t="s">
        <v>1843</v>
      </c>
      <c r="J1148" s="149" t="s">
        <v>1876</v>
      </c>
      <c r="K1148" s="136" t="s">
        <v>1877</v>
      </c>
      <c r="L1148" s="128" t="s">
        <v>1844</v>
      </c>
      <c r="M1148" s="128" t="s">
        <v>1845</v>
      </c>
      <c r="N1148" s="140" t="s">
        <v>1903</v>
      </c>
      <c r="O1148" s="144" t="s">
        <v>1845</v>
      </c>
      <c r="P1148" s="140" t="s">
        <v>1862</v>
      </c>
      <c r="Q1148" s="140"/>
      <c r="R1148" s="144"/>
      <c r="S1148" s="140"/>
      <c r="T1148" s="140" t="s">
        <v>1845</v>
      </c>
      <c r="U1148" s="140"/>
      <c r="V1148" s="140"/>
      <c r="W1148" s="144"/>
      <c r="X1148" s="128"/>
      <c r="Y1148" s="128"/>
      <c r="Z1148" s="140"/>
      <c r="AA1148" s="140"/>
      <c r="AB1148" s="140"/>
      <c r="AC1148" s="140"/>
      <c r="AD1148" s="140"/>
      <c r="AE1148" s="140"/>
      <c r="AF1148" s="140"/>
      <c r="AG1148" s="140"/>
      <c r="AH1148" s="140"/>
      <c r="AI1148" s="128"/>
      <c r="AJ1148" s="137"/>
      <c r="AK1148" s="140"/>
      <c r="AL1148" s="140"/>
    </row>
    <row r="1149" ht="15.0" customHeight="1">
      <c r="A1149" s="400" t="s">
        <v>1742</v>
      </c>
      <c r="B1149" s="138">
        <v>50190.0</v>
      </c>
      <c r="C1149" s="396">
        <v>1.0</v>
      </c>
      <c r="D1149" s="122" t="s">
        <v>1844</v>
      </c>
      <c r="E1149" s="125" t="s">
        <v>34</v>
      </c>
      <c r="F1149" s="303" t="s">
        <v>1844</v>
      </c>
      <c r="G1149" s="221" t="s">
        <v>3422</v>
      </c>
      <c r="H1149" s="269" t="s">
        <v>1844</v>
      </c>
      <c r="I1149" s="128" t="s">
        <v>1843</v>
      </c>
      <c r="J1149" s="149" t="s">
        <v>1876</v>
      </c>
      <c r="K1149" s="128" t="s">
        <v>1877</v>
      </c>
      <c r="L1149" s="128" t="s">
        <v>1844</v>
      </c>
      <c r="M1149" s="128" t="s">
        <v>1845</v>
      </c>
      <c r="N1149" s="140" t="s">
        <v>1903</v>
      </c>
      <c r="O1149" s="140" t="s">
        <v>1845</v>
      </c>
      <c r="P1149" s="140" t="s">
        <v>1862</v>
      </c>
      <c r="Q1149" s="140"/>
      <c r="R1149" s="140"/>
      <c r="S1149" s="140"/>
      <c r="T1149" s="140"/>
      <c r="U1149" s="140"/>
      <c r="V1149" s="140"/>
      <c r="W1149" s="140"/>
      <c r="X1149" s="128" t="s">
        <v>1845</v>
      </c>
      <c r="Y1149" s="128"/>
      <c r="Z1149" s="140"/>
      <c r="AA1149" s="140"/>
      <c r="AB1149" s="140"/>
      <c r="AC1149" s="140"/>
      <c r="AD1149" s="140"/>
      <c r="AE1149" s="140"/>
      <c r="AF1149" s="140"/>
      <c r="AG1149" s="140"/>
      <c r="AH1149" s="140"/>
      <c r="AI1149" s="128"/>
      <c r="AJ1149" s="128"/>
      <c r="AK1149" s="140"/>
      <c r="AL1149" s="140"/>
    </row>
    <row r="1150" ht="15.0" customHeight="1">
      <c r="A1150" s="400" t="s">
        <v>1742</v>
      </c>
      <c r="B1150" s="138">
        <v>50191.0</v>
      </c>
      <c r="C1150" s="396">
        <v>1.0</v>
      </c>
      <c r="D1150" s="122" t="s">
        <v>1844</v>
      </c>
      <c r="E1150" s="125" t="s">
        <v>34</v>
      </c>
      <c r="F1150" s="303" t="s">
        <v>1844</v>
      </c>
      <c r="G1150" s="269" t="s">
        <v>3423</v>
      </c>
      <c r="H1150" s="269" t="s">
        <v>1844</v>
      </c>
      <c r="I1150" s="140" t="s">
        <v>1843</v>
      </c>
      <c r="J1150" s="186" t="s">
        <v>1876</v>
      </c>
      <c r="K1150" s="136" t="s">
        <v>1877</v>
      </c>
      <c r="L1150" s="136" t="s">
        <v>1844</v>
      </c>
      <c r="M1150" s="136" t="s">
        <v>1845</v>
      </c>
      <c r="N1150" s="144">
        <v>1.0</v>
      </c>
      <c r="O1150" s="144" t="s">
        <v>1845</v>
      </c>
      <c r="P1150" s="140" t="s">
        <v>1862</v>
      </c>
      <c r="Q1150" s="140"/>
      <c r="R1150" s="144"/>
      <c r="S1150" s="140"/>
      <c r="T1150" s="140" t="s">
        <v>1845</v>
      </c>
      <c r="U1150" s="140"/>
      <c r="V1150" s="140"/>
      <c r="W1150" s="144" t="s">
        <v>1845</v>
      </c>
      <c r="X1150" s="136"/>
      <c r="Y1150" s="136"/>
      <c r="Z1150" s="140"/>
      <c r="AA1150" s="140"/>
      <c r="AB1150" s="140"/>
      <c r="AC1150" s="140"/>
      <c r="AD1150" s="140"/>
      <c r="AE1150" s="140"/>
      <c r="AF1150" s="140"/>
      <c r="AG1150" s="140"/>
      <c r="AH1150" s="140"/>
      <c r="AI1150" s="128"/>
      <c r="AJ1150" s="137"/>
      <c r="AK1150" s="140"/>
      <c r="AL1150" s="140"/>
    </row>
    <row r="1151" ht="15.0" customHeight="1">
      <c r="A1151" s="400" t="s">
        <v>1742</v>
      </c>
      <c r="B1151" s="138">
        <v>50192.0</v>
      </c>
      <c r="C1151" s="396">
        <v>1.0</v>
      </c>
      <c r="D1151" s="122" t="s">
        <v>1844</v>
      </c>
      <c r="E1151" s="125" t="s">
        <v>34</v>
      </c>
      <c r="F1151" s="303" t="s">
        <v>1844</v>
      </c>
      <c r="G1151" s="269" t="s">
        <v>3424</v>
      </c>
      <c r="H1151" s="269" t="s">
        <v>1844</v>
      </c>
      <c r="I1151" s="140" t="s">
        <v>1843</v>
      </c>
      <c r="J1151" s="186" t="s">
        <v>1902</v>
      </c>
      <c r="K1151" s="136" t="s">
        <v>1877</v>
      </c>
      <c r="L1151" s="136" t="s">
        <v>1844</v>
      </c>
      <c r="M1151" s="136" t="s">
        <v>1845</v>
      </c>
      <c r="N1151" s="144" t="s">
        <v>1903</v>
      </c>
      <c r="O1151" s="144" t="s">
        <v>1845</v>
      </c>
      <c r="P1151" s="140" t="s">
        <v>1862</v>
      </c>
      <c r="Q1151" s="140"/>
      <c r="R1151" s="144"/>
      <c r="S1151" s="140"/>
      <c r="T1151" s="140" t="s">
        <v>1845</v>
      </c>
      <c r="U1151" s="140"/>
      <c r="V1151" s="140"/>
      <c r="W1151" s="144" t="s">
        <v>1845</v>
      </c>
      <c r="X1151" s="136"/>
      <c r="Y1151" s="128"/>
      <c r="Z1151" s="140"/>
      <c r="AA1151" s="140"/>
      <c r="AB1151" s="140"/>
      <c r="AC1151" s="140"/>
      <c r="AD1151" s="140"/>
      <c r="AE1151" s="140"/>
      <c r="AF1151" s="140"/>
      <c r="AG1151" s="140"/>
      <c r="AH1151" s="140"/>
      <c r="AI1151" s="128"/>
      <c r="AJ1151" s="137"/>
      <c r="AK1151" s="140"/>
      <c r="AL1151" s="140"/>
    </row>
    <row r="1152" ht="15.0" customHeight="1">
      <c r="A1152" s="400" t="s">
        <v>1742</v>
      </c>
      <c r="B1152" s="138">
        <v>50193.0</v>
      </c>
      <c r="C1152" s="396">
        <v>1.0</v>
      </c>
      <c r="D1152" s="122" t="s">
        <v>1844</v>
      </c>
      <c r="E1152" s="125" t="s">
        <v>34</v>
      </c>
      <c r="F1152" s="303" t="s">
        <v>1844</v>
      </c>
      <c r="G1152" s="269" t="s">
        <v>3425</v>
      </c>
      <c r="H1152" s="269" t="s">
        <v>1844</v>
      </c>
      <c r="I1152" s="140" t="s">
        <v>1843</v>
      </c>
      <c r="J1152" s="186" t="s">
        <v>1902</v>
      </c>
      <c r="K1152" s="136" t="s">
        <v>1877</v>
      </c>
      <c r="L1152" s="136" t="s">
        <v>1844</v>
      </c>
      <c r="M1152" s="136" t="s">
        <v>1845</v>
      </c>
      <c r="N1152" s="144">
        <v>1.0</v>
      </c>
      <c r="O1152" s="144" t="s">
        <v>1845</v>
      </c>
      <c r="P1152" s="140" t="s">
        <v>1862</v>
      </c>
      <c r="Q1152" s="140"/>
      <c r="R1152" s="144"/>
      <c r="S1152" s="140"/>
      <c r="T1152" s="140" t="s">
        <v>1845</v>
      </c>
      <c r="U1152" s="140"/>
      <c r="V1152" s="140"/>
      <c r="W1152" s="144" t="s">
        <v>1845</v>
      </c>
      <c r="X1152" s="136"/>
      <c r="Y1152" s="128"/>
      <c r="Z1152" s="140"/>
      <c r="AA1152" s="140"/>
      <c r="AB1152" s="140"/>
      <c r="AC1152" s="140"/>
      <c r="AD1152" s="140"/>
      <c r="AE1152" s="140"/>
      <c r="AF1152" s="140"/>
      <c r="AG1152" s="140"/>
      <c r="AH1152" s="140"/>
      <c r="AI1152" s="128"/>
      <c r="AJ1152" s="137"/>
      <c r="AK1152" s="140"/>
      <c r="AL1152" s="140"/>
    </row>
    <row r="1153" ht="15.0" customHeight="1">
      <c r="A1153" s="400" t="s">
        <v>1742</v>
      </c>
      <c r="B1153" s="138">
        <v>50197.0</v>
      </c>
      <c r="C1153" s="396">
        <v>1.0</v>
      </c>
      <c r="D1153" s="122" t="s">
        <v>1844</v>
      </c>
      <c r="E1153" s="125" t="s">
        <v>34</v>
      </c>
      <c r="F1153" s="303" t="s">
        <v>1844</v>
      </c>
      <c r="G1153" s="269" t="s">
        <v>3426</v>
      </c>
      <c r="H1153" s="269" t="s">
        <v>1844</v>
      </c>
      <c r="I1153" s="128" t="s">
        <v>1843</v>
      </c>
      <c r="J1153" s="186" t="s">
        <v>1902</v>
      </c>
      <c r="K1153" s="136" t="s">
        <v>1877</v>
      </c>
      <c r="L1153" s="136" t="s">
        <v>1844</v>
      </c>
      <c r="M1153" s="136" t="s">
        <v>1845</v>
      </c>
      <c r="N1153" s="144">
        <v>1.0</v>
      </c>
      <c r="O1153" s="144" t="s">
        <v>1845</v>
      </c>
      <c r="P1153" s="140" t="s">
        <v>1862</v>
      </c>
      <c r="Q1153" s="140"/>
      <c r="R1153" s="144"/>
      <c r="S1153" s="140"/>
      <c r="T1153" s="140"/>
      <c r="U1153" s="140"/>
      <c r="V1153" s="140"/>
      <c r="W1153" s="144" t="s">
        <v>1845</v>
      </c>
      <c r="X1153" s="136"/>
      <c r="Y1153" s="128"/>
      <c r="Z1153" s="140"/>
      <c r="AA1153" s="140"/>
      <c r="AB1153" s="140"/>
      <c r="AC1153" s="140"/>
      <c r="AD1153" s="140"/>
      <c r="AE1153" s="140"/>
      <c r="AF1153" s="140"/>
      <c r="AG1153" s="140"/>
      <c r="AH1153" s="140"/>
      <c r="AI1153" s="128"/>
      <c r="AJ1153" s="137"/>
      <c r="AK1153" s="140"/>
      <c r="AL1153" s="140"/>
    </row>
    <row r="1154" ht="15.0" customHeight="1">
      <c r="A1154" s="400" t="s">
        <v>1742</v>
      </c>
      <c r="B1154" s="138">
        <v>50200.0</v>
      </c>
      <c r="C1154" s="396">
        <v>1.0</v>
      </c>
      <c r="D1154" s="122" t="s">
        <v>1844</v>
      </c>
      <c r="E1154" s="125" t="s">
        <v>34</v>
      </c>
      <c r="F1154" s="303" t="s">
        <v>1844</v>
      </c>
      <c r="G1154" s="269" t="s">
        <v>3427</v>
      </c>
      <c r="H1154" s="269" t="s">
        <v>1844</v>
      </c>
      <c r="I1154" s="128" t="s">
        <v>1906</v>
      </c>
      <c r="J1154" s="186" t="s">
        <v>1902</v>
      </c>
      <c r="K1154" s="136" t="s">
        <v>1877</v>
      </c>
      <c r="L1154" s="136" t="s">
        <v>1844</v>
      </c>
      <c r="M1154" s="136" t="s">
        <v>1845</v>
      </c>
      <c r="N1154" s="144">
        <v>1.0</v>
      </c>
      <c r="O1154" s="144" t="s">
        <v>1845</v>
      </c>
      <c r="P1154" s="140" t="s">
        <v>1862</v>
      </c>
      <c r="Q1154" s="140"/>
      <c r="R1154" s="144"/>
      <c r="S1154" s="140"/>
      <c r="T1154" s="140"/>
      <c r="U1154" s="140"/>
      <c r="V1154" s="140"/>
      <c r="W1154" s="144"/>
      <c r="X1154" s="136"/>
      <c r="Y1154" s="128"/>
      <c r="Z1154" s="140"/>
      <c r="AA1154" s="140"/>
      <c r="AB1154" s="140"/>
      <c r="AC1154" s="140"/>
      <c r="AD1154" s="140"/>
      <c r="AE1154" s="140"/>
      <c r="AF1154" s="140"/>
      <c r="AG1154" s="140"/>
      <c r="AH1154" s="140"/>
      <c r="AI1154" s="128"/>
      <c r="AJ1154" s="137"/>
      <c r="AK1154" s="140"/>
      <c r="AL1154" s="140"/>
    </row>
    <row r="1155" ht="15.0" customHeight="1">
      <c r="A1155" s="400" t="s">
        <v>1742</v>
      </c>
      <c r="B1155" s="138">
        <v>50203.0</v>
      </c>
      <c r="C1155" s="396">
        <v>1.0</v>
      </c>
      <c r="D1155" s="122" t="s">
        <v>1844</v>
      </c>
      <c r="E1155" s="125" t="s">
        <v>34</v>
      </c>
      <c r="F1155" s="303" t="s">
        <v>1844</v>
      </c>
      <c r="G1155" s="269" t="s">
        <v>3428</v>
      </c>
      <c r="H1155" s="269" t="s">
        <v>1844</v>
      </c>
      <c r="I1155" s="171" t="s">
        <v>1843</v>
      </c>
      <c r="J1155" s="143" t="s">
        <v>1902</v>
      </c>
      <c r="K1155" s="132" t="s">
        <v>1877</v>
      </c>
      <c r="L1155" s="132" t="s">
        <v>1844</v>
      </c>
      <c r="M1155" s="132" t="s">
        <v>1845</v>
      </c>
      <c r="N1155" s="131">
        <v>1.0</v>
      </c>
      <c r="O1155" s="144" t="s">
        <v>1845</v>
      </c>
      <c r="P1155" s="171" t="s">
        <v>1895</v>
      </c>
      <c r="Q1155" s="171"/>
      <c r="R1155" s="131"/>
      <c r="S1155" s="171"/>
      <c r="T1155" s="171" t="s">
        <v>1845</v>
      </c>
      <c r="U1155" s="171"/>
      <c r="V1155" s="171"/>
      <c r="W1155" s="131"/>
      <c r="X1155" s="132"/>
      <c r="Y1155" s="129"/>
      <c r="Z1155" s="171"/>
      <c r="AA1155" s="171"/>
      <c r="AB1155" s="171"/>
      <c r="AC1155" s="171"/>
      <c r="AD1155" s="171"/>
      <c r="AE1155" s="171"/>
      <c r="AF1155" s="140"/>
      <c r="AG1155" s="140"/>
      <c r="AH1155" s="140"/>
      <c r="AI1155" s="128"/>
      <c r="AJ1155" s="137"/>
      <c r="AK1155" s="140"/>
      <c r="AL1155" s="140"/>
    </row>
    <row r="1156" ht="15.0" customHeight="1">
      <c r="A1156" s="400" t="s">
        <v>1742</v>
      </c>
      <c r="B1156" s="138">
        <v>50206.0</v>
      </c>
      <c r="C1156" s="396">
        <v>1.0</v>
      </c>
      <c r="D1156" s="122" t="s">
        <v>1844</v>
      </c>
      <c r="E1156" s="125" t="s">
        <v>34</v>
      </c>
      <c r="F1156" s="303" t="s">
        <v>1844</v>
      </c>
      <c r="G1156" s="269" t="s">
        <v>3377</v>
      </c>
      <c r="H1156" s="269" t="s">
        <v>1844</v>
      </c>
      <c r="I1156" s="128" t="s">
        <v>1906</v>
      </c>
      <c r="J1156" s="186" t="s">
        <v>1876</v>
      </c>
      <c r="K1156" s="136" t="s">
        <v>1877</v>
      </c>
      <c r="L1156" s="136" t="s">
        <v>1844</v>
      </c>
      <c r="M1156" s="136" t="s">
        <v>1845</v>
      </c>
      <c r="N1156" s="144">
        <v>1.0</v>
      </c>
      <c r="O1156" s="144" t="s">
        <v>1845</v>
      </c>
      <c r="P1156" s="140" t="s">
        <v>1862</v>
      </c>
      <c r="Q1156" s="140"/>
      <c r="R1156" s="144"/>
      <c r="S1156" s="140"/>
      <c r="T1156" s="140"/>
      <c r="U1156" s="140"/>
      <c r="V1156" s="140"/>
      <c r="W1156" s="144"/>
      <c r="X1156" s="136"/>
      <c r="Y1156" s="128"/>
      <c r="Z1156" s="140"/>
      <c r="AA1156" s="140"/>
      <c r="AB1156" s="140"/>
      <c r="AC1156" s="140"/>
      <c r="AD1156" s="140"/>
      <c r="AE1156" s="140"/>
      <c r="AF1156" s="140"/>
      <c r="AG1156" s="140"/>
      <c r="AH1156" s="140"/>
      <c r="AI1156" s="128"/>
      <c r="AJ1156" s="137"/>
      <c r="AK1156" s="140"/>
      <c r="AL1156" s="140"/>
    </row>
    <row r="1157" ht="15.0" customHeight="1">
      <c r="A1157" s="400" t="s">
        <v>1742</v>
      </c>
      <c r="B1157" s="138">
        <v>50208.0</v>
      </c>
      <c r="C1157" s="396">
        <v>1.0</v>
      </c>
      <c r="D1157" s="122" t="s">
        <v>1844</v>
      </c>
      <c r="E1157" s="125" t="s">
        <v>34</v>
      </c>
      <c r="F1157" s="303" t="s">
        <v>1844</v>
      </c>
      <c r="G1157" s="269" t="s">
        <v>3429</v>
      </c>
      <c r="H1157" s="269" t="s">
        <v>1844</v>
      </c>
      <c r="I1157" s="128" t="s">
        <v>1843</v>
      </c>
      <c r="J1157" s="186" t="s">
        <v>1902</v>
      </c>
      <c r="K1157" s="136" t="s">
        <v>1877</v>
      </c>
      <c r="L1157" s="136" t="s">
        <v>1878</v>
      </c>
      <c r="M1157" s="136" t="s">
        <v>1845</v>
      </c>
      <c r="N1157" s="144">
        <v>1.0</v>
      </c>
      <c r="O1157" s="144" t="s">
        <v>1845</v>
      </c>
      <c r="P1157" s="140" t="s">
        <v>2290</v>
      </c>
      <c r="Q1157" s="140"/>
      <c r="R1157" s="144"/>
      <c r="S1157" s="140"/>
      <c r="T1157" s="140"/>
      <c r="U1157" s="140"/>
      <c r="V1157" s="140"/>
      <c r="W1157" s="144"/>
      <c r="X1157" s="136"/>
      <c r="Y1157" s="128"/>
      <c r="Z1157" s="140"/>
      <c r="AA1157" s="140"/>
      <c r="AB1157" s="140"/>
      <c r="AC1157" s="140"/>
      <c r="AD1157" s="140"/>
      <c r="AE1157" s="140"/>
      <c r="AF1157" s="140"/>
      <c r="AG1157" s="140"/>
      <c r="AH1157" s="140"/>
      <c r="AI1157" s="128"/>
      <c r="AJ1157" s="137"/>
      <c r="AK1157" s="140"/>
      <c r="AL1157" s="140"/>
    </row>
    <row r="1158" ht="15.0" customHeight="1">
      <c r="A1158" s="400" t="s">
        <v>1742</v>
      </c>
      <c r="B1158" s="138">
        <v>50209.0</v>
      </c>
      <c r="C1158" s="396">
        <v>1.0</v>
      </c>
      <c r="D1158" s="122" t="s">
        <v>1844</v>
      </c>
      <c r="E1158" s="125" t="s">
        <v>34</v>
      </c>
      <c r="F1158" s="303" t="s">
        <v>1844</v>
      </c>
      <c r="G1158" s="269" t="s">
        <v>3430</v>
      </c>
      <c r="H1158" s="269" t="s">
        <v>1844</v>
      </c>
      <c r="I1158" s="128" t="s">
        <v>1843</v>
      </c>
      <c r="J1158" s="186" t="s">
        <v>1902</v>
      </c>
      <c r="K1158" s="136" t="s">
        <v>1877</v>
      </c>
      <c r="L1158" s="136" t="s">
        <v>1878</v>
      </c>
      <c r="M1158" s="136" t="s">
        <v>1845</v>
      </c>
      <c r="N1158" s="144">
        <v>1.0</v>
      </c>
      <c r="O1158" s="144" t="s">
        <v>1845</v>
      </c>
      <c r="P1158" s="140" t="s">
        <v>1862</v>
      </c>
      <c r="Q1158" s="140" t="s">
        <v>1845</v>
      </c>
      <c r="R1158" s="144"/>
      <c r="S1158" s="140"/>
      <c r="T1158" s="140"/>
      <c r="U1158" s="140"/>
      <c r="V1158" s="140"/>
      <c r="W1158" s="144"/>
      <c r="X1158" s="136"/>
      <c r="Y1158" s="128"/>
      <c r="Z1158" s="140"/>
      <c r="AA1158" s="140"/>
      <c r="AB1158" s="140"/>
      <c r="AC1158" s="140"/>
      <c r="AD1158" s="140"/>
      <c r="AE1158" s="140"/>
      <c r="AF1158" s="140"/>
      <c r="AG1158" s="140"/>
      <c r="AH1158" s="140"/>
      <c r="AI1158" s="128"/>
      <c r="AJ1158" s="137"/>
      <c r="AK1158" s="140"/>
      <c r="AL1158" s="140"/>
    </row>
    <row r="1159" ht="15.0" customHeight="1">
      <c r="A1159" s="400" t="s">
        <v>1742</v>
      </c>
      <c r="B1159" s="138">
        <v>50210.0</v>
      </c>
      <c r="C1159" s="396">
        <v>1.0</v>
      </c>
      <c r="D1159" s="122" t="s">
        <v>1844</v>
      </c>
      <c r="E1159" s="125" t="s">
        <v>34</v>
      </c>
      <c r="F1159" s="303" t="s">
        <v>1844</v>
      </c>
      <c r="G1159" s="269" t="s">
        <v>3431</v>
      </c>
      <c r="H1159" s="269" t="s">
        <v>1844</v>
      </c>
      <c r="I1159" s="128" t="s">
        <v>2036</v>
      </c>
      <c r="J1159" s="186" t="s">
        <v>1902</v>
      </c>
      <c r="K1159" s="170" t="s">
        <v>1877</v>
      </c>
      <c r="L1159" s="136" t="s">
        <v>1844</v>
      </c>
      <c r="M1159" s="136" t="s">
        <v>1845</v>
      </c>
      <c r="N1159" s="144">
        <v>1.0</v>
      </c>
      <c r="O1159" s="144" t="s">
        <v>1845</v>
      </c>
      <c r="P1159" s="140" t="s">
        <v>1862</v>
      </c>
      <c r="Q1159" s="140"/>
      <c r="R1159" s="140"/>
      <c r="S1159" s="140"/>
      <c r="T1159" s="140"/>
      <c r="U1159" s="140"/>
      <c r="V1159" s="140"/>
      <c r="W1159" s="144"/>
      <c r="X1159" s="136"/>
      <c r="Y1159" s="136"/>
      <c r="Z1159" s="140"/>
      <c r="AA1159" s="140"/>
      <c r="AB1159" s="140"/>
      <c r="AC1159" s="140"/>
      <c r="AD1159" s="140"/>
      <c r="AE1159" s="140"/>
      <c r="AF1159" s="140"/>
      <c r="AG1159" s="140"/>
      <c r="AH1159" s="140"/>
      <c r="AI1159" s="128"/>
      <c r="AJ1159" s="137"/>
      <c r="AK1159" s="140"/>
      <c r="AL1159" s="140"/>
    </row>
    <row r="1160" ht="15.0" customHeight="1">
      <c r="A1160" s="400" t="s">
        <v>1742</v>
      </c>
      <c r="B1160" s="138">
        <v>50214.0</v>
      </c>
      <c r="C1160" s="396">
        <v>1.0</v>
      </c>
      <c r="D1160" s="122" t="s">
        <v>1844</v>
      </c>
      <c r="E1160" s="125" t="s">
        <v>34</v>
      </c>
      <c r="F1160" s="303" t="s">
        <v>1844</v>
      </c>
      <c r="G1160" s="269" t="s">
        <v>3432</v>
      </c>
      <c r="H1160" s="269" t="s">
        <v>1844</v>
      </c>
      <c r="I1160" s="128" t="s">
        <v>1843</v>
      </c>
      <c r="J1160" s="186" t="s">
        <v>1902</v>
      </c>
      <c r="K1160" s="136" t="s">
        <v>1877</v>
      </c>
      <c r="L1160" s="136" t="s">
        <v>1990</v>
      </c>
      <c r="M1160" s="136" t="s">
        <v>1845</v>
      </c>
      <c r="N1160" s="144" t="s">
        <v>1903</v>
      </c>
      <c r="O1160" s="144" t="s">
        <v>1845</v>
      </c>
      <c r="P1160" s="140" t="s">
        <v>1862</v>
      </c>
      <c r="Q1160" s="140"/>
      <c r="R1160" s="144"/>
      <c r="S1160" s="140"/>
      <c r="T1160" s="140"/>
      <c r="U1160" s="140"/>
      <c r="V1160" s="140"/>
      <c r="W1160" s="144"/>
      <c r="X1160" s="136"/>
      <c r="Y1160" s="128"/>
      <c r="Z1160" s="140"/>
      <c r="AA1160" s="140"/>
      <c r="AB1160" s="140"/>
      <c r="AC1160" s="140"/>
      <c r="AD1160" s="140"/>
      <c r="AE1160" s="140"/>
      <c r="AF1160" s="140"/>
      <c r="AG1160" s="140"/>
      <c r="AH1160" s="140"/>
      <c r="AI1160" s="128"/>
      <c r="AJ1160" s="137"/>
      <c r="AK1160" s="140"/>
      <c r="AL1160" s="140"/>
    </row>
    <row r="1161" ht="15.0" customHeight="1">
      <c r="A1161" s="400" t="s">
        <v>1742</v>
      </c>
      <c r="B1161" s="138">
        <v>50217.0</v>
      </c>
      <c r="C1161" s="396">
        <v>1.0</v>
      </c>
      <c r="D1161" s="122" t="s">
        <v>1844</v>
      </c>
      <c r="E1161" s="125" t="s">
        <v>34</v>
      </c>
      <c r="F1161" s="303" t="s">
        <v>1844</v>
      </c>
      <c r="G1161" s="269" t="s">
        <v>3433</v>
      </c>
      <c r="H1161" s="269" t="s">
        <v>1844</v>
      </c>
      <c r="I1161" s="128" t="s">
        <v>2036</v>
      </c>
      <c r="J1161" s="245" t="s">
        <v>1902</v>
      </c>
      <c r="K1161" s="246" t="s">
        <v>1877</v>
      </c>
      <c r="L1161" s="246" t="s">
        <v>1878</v>
      </c>
      <c r="M1161" s="246" t="s">
        <v>1845</v>
      </c>
      <c r="N1161" s="140">
        <v>1.0</v>
      </c>
      <c r="O1161" s="144" t="s">
        <v>1845</v>
      </c>
      <c r="P1161" s="140" t="s">
        <v>1862</v>
      </c>
      <c r="Q1161" s="247"/>
      <c r="R1161" s="140"/>
      <c r="S1161" s="140"/>
      <c r="T1161" s="140"/>
      <c r="U1161" s="140"/>
      <c r="V1161" s="247"/>
      <c r="W1161" s="247"/>
      <c r="X1161" s="246"/>
      <c r="Y1161" s="128"/>
      <c r="Z1161" s="140"/>
      <c r="AA1161" s="140"/>
      <c r="AB1161" s="140"/>
      <c r="AC1161" s="140"/>
      <c r="AD1161" s="140"/>
      <c r="AE1161" s="140"/>
      <c r="AF1161" s="140"/>
      <c r="AG1161" s="140"/>
      <c r="AH1161" s="140"/>
      <c r="AI1161" s="128"/>
      <c r="AJ1161" s="137"/>
      <c r="AK1161" s="140"/>
      <c r="AL1161" s="140"/>
    </row>
    <row r="1162" ht="15.0" customHeight="1">
      <c r="A1162" s="400" t="s">
        <v>1742</v>
      </c>
      <c r="B1162" s="138">
        <v>50221.0</v>
      </c>
      <c r="C1162" s="396">
        <v>1.0</v>
      </c>
      <c r="D1162" s="122" t="s">
        <v>1844</v>
      </c>
      <c r="E1162" s="125" t="s">
        <v>34</v>
      </c>
      <c r="F1162" s="303" t="s">
        <v>1844</v>
      </c>
      <c r="G1162" s="269" t="s">
        <v>3434</v>
      </c>
      <c r="H1162" s="269" t="s">
        <v>1844</v>
      </c>
      <c r="I1162" s="140" t="s">
        <v>1843</v>
      </c>
      <c r="J1162" s="186" t="s">
        <v>1902</v>
      </c>
      <c r="K1162" s="136" t="s">
        <v>1877</v>
      </c>
      <c r="L1162" s="136" t="s">
        <v>1844</v>
      </c>
      <c r="M1162" s="136" t="s">
        <v>1845</v>
      </c>
      <c r="N1162" s="144">
        <v>1.0</v>
      </c>
      <c r="O1162" s="144" t="s">
        <v>1845</v>
      </c>
      <c r="P1162" s="140" t="s">
        <v>1895</v>
      </c>
      <c r="Q1162" s="140"/>
      <c r="R1162" s="144"/>
      <c r="S1162" s="140"/>
      <c r="T1162" s="140" t="s">
        <v>1845</v>
      </c>
      <c r="U1162" s="140"/>
      <c r="V1162" s="140"/>
      <c r="W1162" s="144"/>
      <c r="X1162" s="136"/>
      <c r="Y1162" s="136"/>
      <c r="Z1162" s="140"/>
      <c r="AA1162" s="140"/>
      <c r="AB1162" s="140"/>
      <c r="AC1162" s="140"/>
      <c r="AD1162" s="140"/>
      <c r="AE1162" s="140"/>
      <c r="AF1162" s="140"/>
      <c r="AG1162" s="140"/>
      <c r="AH1162" s="140"/>
      <c r="AI1162" s="128"/>
      <c r="AJ1162" s="137"/>
      <c r="AK1162" s="140"/>
      <c r="AL1162" s="140"/>
    </row>
    <row r="1163" ht="15.0" customHeight="1">
      <c r="A1163" s="400" t="s">
        <v>1742</v>
      </c>
      <c r="B1163" s="138">
        <v>50222.0</v>
      </c>
      <c r="C1163" s="396">
        <v>1.0</v>
      </c>
      <c r="D1163" s="122" t="s">
        <v>1844</v>
      </c>
      <c r="E1163" s="125" t="s">
        <v>34</v>
      </c>
      <c r="F1163" s="303" t="s">
        <v>1844</v>
      </c>
      <c r="G1163" s="269" t="s">
        <v>3435</v>
      </c>
      <c r="H1163" s="269" t="s">
        <v>1844</v>
      </c>
      <c r="I1163" s="129" t="s">
        <v>2036</v>
      </c>
      <c r="J1163" s="143" t="s">
        <v>1876</v>
      </c>
      <c r="K1163" s="172" t="s">
        <v>1877</v>
      </c>
      <c r="L1163" s="132" t="s">
        <v>1844</v>
      </c>
      <c r="M1163" s="132" t="s">
        <v>1845</v>
      </c>
      <c r="N1163" s="131">
        <v>1.0</v>
      </c>
      <c r="O1163" s="144" t="s">
        <v>1845</v>
      </c>
      <c r="P1163" s="171" t="s">
        <v>2318</v>
      </c>
      <c r="Q1163" s="171"/>
      <c r="R1163" s="171"/>
      <c r="S1163" s="171" t="s">
        <v>1845</v>
      </c>
      <c r="T1163" s="171"/>
      <c r="U1163" s="171"/>
      <c r="V1163" s="171"/>
      <c r="W1163" s="131"/>
      <c r="X1163" s="132"/>
      <c r="Y1163" s="132"/>
      <c r="Z1163" s="171"/>
      <c r="AA1163" s="171"/>
      <c r="AB1163" s="171"/>
      <c r="AC1163" s="171"/>
      <c r="AD1163" s="171"/>
      <c r="AE1163" s="171"/>
      <c r="AF1163" s="140"/>
      <c r="AG1163" s="140"/>
      <c r="AH1163" s="140"/>
      <c r="AI1163" s="128"/>
      <c r="AJ1163" s="137"/>
      <c r="AK1163" s="140"/>
      <c r="AL1163" s="140"/>
    </row>
    <row r="1164" ht="15.0" customHeight="1">
      <c r="A1164" s="400" t="s">
        <v>1742</v>
      </c>
      <c r="B1164" s="138">
        <v>50231.0</v>
      </c>
      <c r="C1164" s="396">
        <v>1.0</v>
      </c>
      <c r="D1164" s="122" t="s">
        <v>1844</v>
      </c>
      <c r="E1164" s="125" t="s">
        <v>34</v>
      </c>
      <c r="F1164" s="303" t="s">
        <v>1844</v>
      </c>
      <c r="G1164" s="269" t="s">
        <v>3436</v>
      </c>
      <c r="H1164" s="269" t="s">
        <v>1844</v>
      </c>
      <c r="I1164" s="128" t="s">
        <v>1843</v>
      </c>
      <c r="J1164" s="186" t="s">
        <v>1902</v>
      </c>
      <c r="K1164" s="136" t="s">
        <v>1877</v>
      </c>
      <c r="L1164" s="136" t="s">
        <v>1878</v>
      </c>
      <c r="M1164" s="136" t="s">
        <v>1845</v>
      </c>
      <c r="N1164" s="144" t="s">
        <v>1903</v>
      </c>
      <c r="O1164" s="144" t="s">
        <v>1845</v>
      </c>
      <c r="P1164" s="140" t="s">
        <v>1862</v>
      </c>
      <c r="Q1164" s="140"/>
      <c r="R1164" s="144"/>
      <c r="S1164" s="140"/>
      <c r="T1164" s="140"/>
      <c r="U1164" s="140"/>
      <c r="V1164" s="140"/>
      <c r="W1164" s="144"/>
      <c r="X1164" s="136" t="s">
        <v>1845</v>
      </c>
      <c r="Y1164" s="128"/>
      <c r="Z1164" s="140"/>
      <c r="AA1164" s="140"/>
      <c r="AB1164" s="140"/>
      <c r="AC1164" s="140"/>
      <c r="AD1164" s="140"/>
      <c r="AE1164" s="140"/>
      <c r="AF1164" s="140"/>
      <c r="AG1164" s="140"/>
      <c r="AH1164" s="140"/>
      <c r="AI1164" s="128"/>
      <c r="AJ1164" s="137"/>
      <c r="AK1164" s="140"/>
      <c r="AL1164" s="140"/>
    </row>
    <row r="1165" ht="15.0" customHeight="1">
      <c r="A1165" s="400" t="s">
        <v>1742</v>
      </c>
      <c r="B1165" s="138">
        <v>50232.0</v>
      </c>
      <c r="C1165" s="396">
        <v>1.0</v>
      </c>
      <c r="D1165" s="122" t="s">
        <v>1844</v>
      </c>
      <c r="E1165" s="125" t="s">
        <v>34</v>
      </c>
      <c r="F1165" s="303" t="s">
        <v>1844</v>
      </c>
      <c r="G1165" s="269" t="s">
        <v>3437</v>
      </c>
      <c r="H1165" s="269" t="s">
        <v>1844</v>
      </c>
      <c r="I1165" s="128" t="s">
        <v>1843</v>
      </c>
      <c r="J1165" s="149" t="s">
        <v>1876</v>
      </c>
      <c r="K1165" s="136" t="s">
        <v>1877</v>
      </c>
      <c r="L1165" s="128" t="s">
        <v>1844</v>
      </c>
      <c r="M1165" s="128" t="s">
        <v>1845</v>
      </c>
      <c r="N1165" s="144" t="s">
        <v>1903</v>
      </c>
      <c r="O1165" s="144" t="s">
        <v>1845</v>
      </c>
      <c r="P1165" s="140" t="s">
        <v>1895</v>
      </c>
      <c r="Q1165" s="140"/>
      <c r="R1165" s="144"/>
      <c r="S1165" s="140"/>
      <c r="T1165" s="140"/>
      <c r="U1165" s="140"/>
      <c r="V1165" s="140"/>
      <c r="W1165" s="144"/>
      <c r="X1165" s="128"/>
      <c r="Y1165" s="128"/>
      <c r="Z1165" s="140"/>
      <c r="AA1165" s="140"/>
      <c r="AB1165" s="140"/>
      <c r="AC1165" s="140"/>
      <c r="AD1165" s="140"/>
      <c r="AE1165" s="140"/>
      <c r="AF1165" s="140"/>
      <c r="AG1165" s="140"/>
      <c r="AH1165" s="140"/>
      <c r="AI1165" s="128"/>
      <c r="AJ1165" s="137"/>
      <c r="AK1165" s="140"/>
      <c r="AL1165" s="140"/>
    </row>
    <row r="1166" ht="15.0" customHeight="1">
      <c r="A1166" s="400" t="s">
        <v>1742</v>
      </c>
      <c r="B1166" s="138">
        <v>50233.0</v>
      </c>
      <c r="C1166" s="396">
        <v>1.0</v>
      </c>
      <c r="D1166" s="122" t="s">
        <v>1844</v>
      </c>
      <c r="E1166" s="125" t="s">
        <v>34</v>
      </c>
      <c r="F1166" s="303" t="s">
        <v>1844</v>
      </c>
      <c r="G1166" s="269" t="s">
        <v>3438</v>
      </c>
      <c r="H1166" s="269" t="s">
        <v>1844</v>
      </c>
      <c r="I1166" s="128" t="s">
        <v>1843</v>
      </c>
      <c r="J1166" s="186" t="s">
        <v>1902</v>
      </c>
      <c r="K1166" s="136" t="s">
        <v>1877</v>
      </c>
      <c r="L1166" s="136" t="s">
        <v>1844</v>
      </c>
      <c r="M1166" s="136" t="s">
        <v>1845</v>
      </c>
      <c r="N1166" s="144">
        <v>1.0</v>
      </c>
      <c r="O1166" s="144" t="s">
        <v>1845</v>
      </c>
      <c r="P1166" s="140" t="s">
        <v>1862</v>
      </c>
      <c r="Q1166" s="140"/>
      <c r="R1166" s="144"/>
      <c r="S1166" s="140"/>
      <c r="T1166" s="140"/>
      <c r="U1166" s="140"/>
      <c r="V1166" s="140"/>
      <c r="W1166" s="144"/>
      <c r="X1166" s="136" t="s">
        <v>1845</v>
      </c>
      <c r="Y1166" s="128"/>
      <c r="Z1166" s="140"/>
      <c r="AA1166" s="140"/>
      <c r="AB1166" s="140"/>
      <c r="AC1166" s="140"/>
      <c r="AD1166" s="140"/>
      <c r="AE1166" s="140"/>
      <c r="AF1166" s="140"/>
      <c r="AG1166" s="140"/>
      <c r="AH1166" s="140"/>
      <c r="AI1166" s="128"/>
      <c r="AJ1166" s="137"/>
      <c r="AK1166" s="140"/>
      <c r="AL1166" s="140"/>
    </row>
    <row r="1167" ht="15.0" customHeight="1">
      <c r="A1167" s="400" t="s">
        <v>1742</v>
      </c>
      <c r="B1167" s="138">
        <v>50236.0</v>
      </c>
      <c r="C1167" s="396">
        <v>1.0</v>
      </c>
      <c r="D1167" s="122" t="s">
        <v>1844</v>
      </c>
      <c r="E1167" s="125" t="s">
        <v>34</v>
      </c>
      <c r="F1167" s="303" t="s">
        <v>1844</v>
      </c>
      <c r="G1167" s="269" t="s">
        <v>3439</v>
      </c>
      <c r="H1167" s="269" t="s">
        <v>1844</v>
      </c>
      <c r="I1167" s="128" t="s">
        <v>1843</v>
      </c>
      <c r="J1167" s="186" t="s">
        <v>1902</v>
      </c>
      <c r="K1167" s="136" t="s">
        <v>1877</v>
      </c>
      <c r="L1167" s="136" t="s">
        <v>1990</v>
      </c>
      <c r="M1167" s="136" t="s">
        <v>1845</v>
      </c>
      <c r="N1167" s="144" t="s">
        <v>1903</v>
      </c>
      <c r="O1167" s="144" t="s">
        <v>1845</v>
      </c>
      <c r="P1167" s="140" t="s">
        <v>1862</v>
      </c>
      <c r="Q1167" s="140"/>
      <c r="R1167" s="144"/>
      <c r="S1167" s="140" t="s">
        <v>1845</v>
      </c>
      <c r="T1167" s="140"/>
      <c r="U1167" s="140"/>
      <c r="V1167" s="140"/>
      <c r="W1167" s="144"/>
      <c r="X1167" s="136"/>
      <c r="Y1167" s="128"/>
      <c r="Z1167" s="140"/>
      <c r="AA1167" s="140"/>
      <c r="AB1167" s="140"/>
      <c r="AC1167" s="140"/>
      <c r="AD1167" s="140"/>
      <c r="AE1167" s="140"/>
      <c r="AF1167" s="140"/>
      <c r="AG1167" s="128"/>
      <c r="AH1167" s="140"/>
      <c r="AI1167" s="128"/>
      <c r="AJ1167" s="137"/>
      <c r="AK1167" s="140"/>
      <c r="AL1167" s="140"/>
    </row>
    <row r="1168" ht="15.0" customHeight="1">
      <c r="A1168" s="400" t="s">
        <v>1742</v>
      </c>
      <c r="B1168" s="138">
        <v>50237.0</v>
      </c>
      <c r="C1168" s="396">
        <v>1.0</v>
      </c>
      <c r="D1168" s="122" t="s">
        <v>1844</v>
      </c>
      <c r="E1168" s="125" t="s">
        <v>34</v>
      </c>
      <c r="F1168" s="303" t="s">
        <v>1844</v>
      </c>
      <c r="G1168" s="269" t="s">
        <v>3440</v>
      </c>
      <c r="H1168" s="269" t="s">
        <v>1844</v>
      </c>
      <c r="I1168" s="128" t="s">
        <v>1843</v>
      </c>
      <c r="J1168" s="186" t="s">
        <v>1902</v>
      </c>
      <c r="K1168" s="136" t="s">
        <v>1877</v>
      </c>
      <c r="L1168" s="136" t="s">
        <v>1844</v>
      </c>
      <c r="M1168" s="136" t="s">
        <v>1845</v>
      </c>
      <c r="N1168" s="144">
        <v>1.0</v>
      </c>
      <c r="O1168" s="144" t="s">
        <v>1845</v>
      </c>
      <c r="P1168" s="140" t="s">
        <v>1862</v>
      </c>
      <c r="Q1168" s="140"/>
      <c r="R1168" s="144"/>
      <c r="S1168" s="140" t="s">
        <v>1845</v>
      </c>
      <c r="T1168" s="140"/>
      <c r="U1168" s="140"/>
      <c r="V1168" s="140"/>
      <c r="W1168" s="144"/>
      <c r="X1168" s="136"/>
      <c r="Y1168" s="128"/>
      <c r="Z1168" s="140"/>
      <c r="AA1168" s="140"/>
      <c r="AB1168" s="140"/>
      <c r="AC1168" s="140"/>
      <c r="AD1168" s="140"/>
      <c r="AE1168" s="140"/>
      <c r="AF1168" s="140"/>
      <c r="AG1168" s="128"/>
      <c r="AH1168" s="140"/>
      <c r="AI1168" s="128"/>
      <c r="AJ1168" s="137"/>
      <c r="AK1168" s="140"/>
      <c r="AL1168" s="140"/>
    </row>
    <row r="1169" ht="15.0" customHeight="1">
      <c r="A1169" s="400" t="s">
        <v>1742</v>
      </c>
      <c r="B1169" s="138">
        <v>50238.0</v>
      </c>
      <c r="C1169" s="396">
        <v>1.0</v>
      </c>
      <c r="D1169" s="122" t="s">
        <v>1844</v>
      </c>
      <c r="E1169" s="125" t="s">
        <v>34</v>
      </c>
      <c r="F1169" s="303" t="s">
        <v>1844</v>
      </c>
      <c r="G1169" s="269" t="s">
        <v>3441</v>
      </c>
      <c r="H1169" s="269" t="s">
        <v>1844</v>
      </c>
      <c r="I1169" s="128" t="s">
        <v>1852</v>
      </c>
      <c r="J1169" s="186" t="s">
        <v>1876</v>
      </c>
      <c r="K1169" s="136" t="s">
        <v>1877</v>
      </c>
      <c r="L1169" s="136" t="s">
        <v>1844</v>
      </c>
      <c r="M1169" s="136" t="s">
        <v>1845</v>
      </c>
      <c r="N1169" s="144">
        <v>1.0</v>
      </c>
      <c r="O1169" s="144" t="s">
        <v>1845</v>
      </c>
      <c r="P1169" s="140" t="s">
        <v>1895</v>
      </c>
      <c r="Q1169" s="140"/>
      <c r="R1169" s="144"/>
      <c r="S1169" s="140"/>
      <c r="T1169" s="140"/>
      <c r="U1169" s="140" t="s">
        <v>1845</v>
      </c>
      <c r="V1169" s="140"/>
      <c r="W1169" s="144"/>
      <c r="X1169" s="136"/>
      <c r="Y1169" s="128"/>
      <c r="Z1169" s="140"/>
      <c r="AA1169" s="144"/>
      <c r="AB1169" s="144"/>
      <c r="AC1169" s="144"/>
      <c r="AD1169" s="144"/>
      <c r="AE1169" s="144"/>
      <c r="AF1169" s="144"/>
      <c r="AG1169" s="128"/>
      <c r="AH1169" s="144"/>
      <c r="AI1169" s="128"/>
      <c r="AJ1169" s="137"/>
      <c r="AK1169" s="140"/>
      <c r="AL1169" s="140"/>
    </row>
    <row r="1170" ht="15.0" customHeight="1">
      <c r="A1170" s="400" t="s">
        <v>1742</v>
      </c>
      <c r="B1170" s="138">
        <v>50244.0</v>
      </c>
      <c r="C1170" s="396">
        <v>1.0</v>
      </c>
      <c r="D1170" s="122" t="s">
        <v>1844</v>
      </c>
      <c r="E1170" s="125" t="s">
        <v>34</v>
      </c>
      <c r="F1170" s="303" t="s">
        <v>1844</v>
      </c>
      <c r="G1170" s="269" t="s">
        <v>3442</v>
      </c>
      <c r="H1170" s="269" t="s">
        <v>1844</v>
      </c>
      <c r="I1170" s="140" t="s">
        <v>1843</v>
      </c>
      <c r="J1170" s="186" t="s">
        <v>1876</v>
      </c>
      <c r="K1170" s="136" t="s">
        <v>1877</v>
      </c>
      <c r="L1170" s="136" t="s">
        <v>1844</v>
      </c>
      <c r="M1170" s="136" t="s">
        <v>1845</v>
      </c>
      <c r="N1170" s="144">
        <v>1.0</v>
      </c>
      <c r="O1170" s="144" t="s">
        <v>1845</v>
      </c>
      <c r="P1170" s="140" t="s">
        <v>1862</v>
      </c>
      <c r="Q1170" s="140"/>
      <c r="R1170" s="144"/>
      <c r="S1170" s="140" t="s">
        <v>1845</v>
      </c>
      <c r="T1170" s="140" t="s">
        <v>1845</v>
      </c>
      <c r="U1170" s="140"/>
      <c r="V1170" s="140"/>
      <c r="W1170" s="144"/>
      <c r="X1170" s="136"/>
      <c r="Y1170" s="128"/>
      <c r="Z1170" s="140"/>
      <c r="AA1170" s="144"/>
      <c r="AB1170" s="144"/>
      <c r="AC1170" s="144"/>
      <c r="AD1170" s="144"/>
      <c r="AE1170" s="144"/>
      <c r="AF1170" s="144"/>
      <c r="AG1170" s="140"/>
      <c r="AH1170" s="144"/>
      <c r="AI1170" s="128"/>
      <c r="AJ1170" s="137"/>
      <c r="AK1170" s="140"/>
      <c r="AL1170" s="140"/>
    </row>
    <row r="1171" ht="15.0" customHeight="1">
      <c r="A1171" s="157" t="s">
        <v>1742</v>
      </c>
      <c r="B1171" s="158">
        <v>50248.0</v>
      </c>
      <c r="C1171" s="396">
        <v>1.0</v>
      </c>
      <c r="D1171" s="157" t="s">
        <v>1844</v>
      </c>
      <c r="E1171" s="160" t="s">
        <v>34</v>
      </c>
      <c r="F1171" s="401" t="s">
        <v>1844</v>
      </c>
      <c r="G1171" s="402" t="s">
        <v>3443</v>
      </c>
      <c r="H1171" s="402" t="s">
        <v>1844</v>
      </c>
      <c r="I1171" s="164" t="s">
        <v>1843</v>
      </c>
      <c r="J1171" s="184" t="s">
        <v>1876</v>
      </c>
      <c r="K1171" s="168" t="s">
        <v>1877</v>
      </c>
      <c r="L1171" s="168" t="s">
        <v>1878</v>
      </c>
      <c r="M1171" s="168" t="s">
        <v>1845</v>
      </c>
      <c r="N1171" s="166" t="s">
        <v>1903</v>
      </c>
      <c r="O1171" s="166" t="s">
        <v>1845</v>
      </c>
      <c r="P1171" s="167" t="s">
        <v>1862</v>
      </c>
      <c r="Q1171" s="167" t="s">
        <v>1845</v>
      </c>
      <c r="R1171" s="166"/>
      <c r="S1171" s="167"/>
      <c r="T1171" s="167"/>
      <c r="U1171" s="167"/>
      <c r="V1171" s="167"/>
      <c r="W1171" s="166"/>
      <c r="X1171" s="168"/>
      <c r="Y1171" s="164"/>
      <c r="Z1171" s="167"/>
      <c r="AA1171" s="166"/>
      <c r="AB1171" s="166"/>
      <c r="AC1171" s="166"/>
      <c r="AD1171" s="166"/>
      <c r="AE1171" s="166"/>
      <c r="AF1171" s="166"/>
      <c r="AG1171" s="164"/>
      <c r="AH1171" s="166"/>
      <c r="AI1171" s="164"/>
      <c r="AJ1171" s="169"/>
      <c r="AK1171" s="167"/>
      <c r="AL1171" s="167"/>
    </row>
    <row r="1172" ht="15.0" customHeight="1">
      <c r="A1172" s="400" t="s">
        <v>1742</v>
      </c>
      <c r="B1172" s="138">
        <v>50250.0</v>
      </c>
      <c r="C1172" s="396">
        <v>1.0</v>
      </c>
      <c r="D1172" s="122" t="s">
        <v>1844</v>
      </c>
      <c r="E1172" s="125" t="s">
        <v>34</v>
      </c>
      <c r="F1172" s="303" t="s">
        <v>1844</v>
      </c>
      <c r="G1172" s="269" t="s">
        <v>3444</v>
      </c>
      <c r="H1172" s="269" t="s">
        <v>1844</v>
      </c>
      <c r="I1172" s="129" t="s">
        <v>1843</v>
      </c>
      <c r="J1172" s="143" t="s">
        <v>1876</v>
      </c>
      <c r="K1172" s="132" t="s">
        <v>2348</v>
      </c>
      <c r="L1172" s="132" t="s">
        <v>1878</v>
      </c>
      <c r="M1172" s="132" t="s">
        <v>1845</v>
      </c>
      <c r="N1172" s="131" t="s">
        <v>1844</v>
      </c>
      <c r="O1172" s="144" t="s">
        <v>1845</v>
      </c>
      <c r="P1172" s="171" t="s">
        <v>1862</v>
      </c>
      <c r="Q1172" s="171"/>
      <c r="R1172" s="131"/>
      <c r="S1172" s="171"/>
      <c r="T1172" s="171"/>
      <c r="U1172" s="171"/>
      <c r="V1172" s="171"/>
      <c r="W1172" s="131"/>
      <c r="X1172" s="132"/>
      <c r="Y1172" s="129"/>
      <c r="Z1172" s="171"/>
      <c r="AA1172" s="131"/>
      <c r="AB1172" s="131"/>
      <c r="AC1172" s="131"/>
      <c r="AD1172" s="131"/>
      <c r="AE1172" s="131"/>
      <c r="AF1172" s="144"/>
      <c r="AG1172" s="128"/>
      <c r="AH1172" s="144"/>
      <c r="AI1172" s="128"/>
      <c r="AJ1172" s="137"/>
      <c r="AK1172" s="140"/>
      <c r="AL1172" s="140"/>
    </row>
    <row r="1173" ht="15.0" customHeight="1">
      <c r="A1173" s="400" t="s">
        <v>1742</v>
      </c>
      <c r="B1173" s="138">
        <v>50256.0</v>
      </c>
      <c r="C1173" s="396">
        <v>1.0</v>
      </c>
      <c r="D1173" s="122" t="s">
        <v>1844</v>
      </c>
      <c r="E1173" s="125" t="s">
        <v>34</v>
      </c>
      <c r="F1173" s="303" t="s">
        <v>1844</v>
      </c>
      <c r="G1173" s="269" t="s">
        <v>3395</v>
      </c>
      <c r="H1173" s="269" t="s">
        <v>1844</v>
      </c>
      <c r="I1173" s="128" t="s">
        <v>1852</v>
      </c>
      <c r="J1173" s="186" t="s">
        <v>1902</v>
      </c>
      <c r="K1173" s="136" t="s">
        <v>1877</v>
      </c>
      <c r="L1173" s="136" t="s">
        <v>1844</v>
      </c>
      <c r="M1173" s="136" t="s">
        <v>1845</v>
      </c>
      <c r="N1173" s="144">
        <v>1.0</v>
      </c>
      <c r="O1173" s="144" t="s">
        <v>1845</v>
      </c>
      <c r="P1173" s="128" t="s">
        <v>1862</v>
      </c>
      <c r="Q1173" s="140"/>
      <c r="R1173" s="144"/>
      <c r="S1173" s="140"/>
      <c r="T1173" s="140"/>
      <c r="U1173" s="140"/>
      <c r="V1173" s="140"/>
      <c r="W1173" s="144"/>
      <c r="X1173" s="136"/>
      <c r="Y1173" s="128"/>
      <c r="Z1173" s="140"/>
      <c r="AA1173" s="144"/>
      <c r="AB1173" s="144"/>
      <c r="AC1173" s="144"/>
      <c r="AD1173" s="144"/>
      <c r="AE1173" s="144"/>
      <c r="AF1173" s="144"/>
      <c r="AG1173" s="140"/>
      <c r="AH1173" s="144"/>
      <c r="AI1173" s="128"/>
      <c r="AJ1173" s="137"/>
      <c r="AK1173" s="140"/>
      <c r="AL1173" s="140"/>
    </row>
    <row r="1174" ht="15.0" customHeight="1">
      <c r="A1174" s="400" t="s">
        <v>1742</v>
      </c>
      <c r="B1174" s="138">
        <v>50257.0</v>
      </c>
      <c r="C1174" s="396">
        <v>1.0</v>
      </c>
      <c r="D1174" s="122" t="s">
        <v>1844</v>
      </c>
      <c r="E1174" s="125" t="s">
        <v>34</v>
      </c>
      <c r="F1174" s="303" t="s">
        <v>1844</v>
      </c>
      <c r="G1174" s="269" t="s">
        <v>3445</v>
      </c>
      <c r="H1174" s="269" t="s">
        <v>1844</v>
      </c>
      <c r="I1174" s="128" t="s">
        <v>1843</v>
      </c>
      <c r="J1174" s="186" t="s">
        <v>1902</v>
      </c>
      <c r="K1174" s="136" t="s">
        <v>1877</v>
      </c>
      <c r="L1174" s="136" t="s">
        <v>1990</v>
      </c>
      <c r="M1174" s="136" t="s">
        <v>1845</v>
      </c>
      <c r="N1174" s="144" t="s">
        <v>1903</v>
      </c>
      <c r="O1174" s="144" t="s">
        <v>1845</v>
      </c>
      <c r="P1174" s="140" t="s">
        <v>1862</v>
      </c>
      <c r="Q1174" s="140" t="s">
        <v>1845</v>
      </c>
      <c r="R1174" s="144"/>
      <c r="S1174" s="140"/>
      <c r="T1174" s="140"/>
      <c r="U1174" s="140"/>
      <c r="V1174" s="140"/>
      <c r="W1174" s="144"/>
      <c r="X1174" s="136"/>
      <c r="Y1174" s="128"/>
      <c r="Z1174" s="140"/>
      <c r="AA1174" s="144"/>
      <c r="AB1174" s="144"/>
      <c r="AC1174" s="144"/>
      <c r="AD1174" s="144"/>
      <c r="AE1174" s="144"/>
      <c r="AF1174" s="144"/>
      <c r="AG1174" s="140"/>
      <c r="AH1174" s="144"/>
      <c r="AI1174" s="128"/>
      <c r="AJ1174" s="137"/>
      <c r="AK1174" s="140"/>
      <c r="AL1174" s="140"/>
    </row>
    <row r="1175" ht="15.0" customHeight="1">
      <c r="A1175" s="400" t="s">
        <v>1742</v>
      </c>
      <c r="B1175" s="138">
        <v>50260.0</v>
      </c>
      <c r="C1175" s="396">
        <v>1.0</v>
      </c>
      <c r="D1175" s="122" t="s">
        <v>1844</v>
      </c>
      <c r="E1175" s="125" t="s">
        <v>34</v>
      </c>
      <c r="F1175" s="303" t="s">
        <v>1844</v>
      </c>
      <c r="G1175" s="269" t="s">
        <v>3446</v>
      </c>
      <c r="H1175" s="269" t="s">
        <v>1844</v>
      </c>
      <c r="I1175" s="140" t="s">
        <v>1843</v>
      </c>
      <c r="J1175" s="186" t="s">
        <v>1902</v>
      </c>
      <c r="K1175" s="136" t="s">
        <v>1877</v>
      </c>
      <c r="L1175" s="136" t="s">
        <v>1844</v>
      </c>
      <c r="M1175" s="136" t="s">
        <v>1845</v>
      </c>
      <c r="N1175" s="144">
        <v>1.0</v>
      </c>
      <c r="O1175" s="144" t="s">
        <v>1845</v>
      </c>
      <c r="P1175" s="140" t="s">
        <v>1862</v>
      </c>
      <c r="Q1175" s="140"/>
      <c r="R1175" s="144"/>
      <c r="S1175" s="140"/>
      <c r="T1175" s="140" t="s">
        <v>1845</v>
      </c>
      <c r="U1175" s="140"/>
      <c r="V1175" s="140"/>
      <c r="W1175" s="144"/>
      <c r="X1175" s="136"/>
      <c r="Y1175" s="128"/>
      <c r="Z1175" s="140"/>
      <c r="AA1175" s="144"/>
      <c r="AB1175" s="144"/>
      <c r="AC1175" s="144"/>
      <c r="AD1175" s="144"/>
      <c r="AE1175" s="144"/>
      <c r="AF1175" s="144"/>
      <c r="AG1175" s="140"/>
      <c r="AH1175" s="144"/>
      <c r="AI1175" s="128"/>
      <c r="AJ1175" s="137"/>
      <c r="AK1175" s="140"/>
      <c r="AL1175" s="140"/>
    </row>
    <row r="1176" ht="15.0" customHeight="1">
      <c r="A1176" s="157" t="s">
        <v>1742</v>
      </c>
      <c r="B1176" s="158">
        <v>50262.0</v>
      </c>
      <c r="C1176" s="396">
        <v>1.0</v>
      </c>
      <c r="D1176" s="157" t="s">
        <v>1844</v>
      </c>
      <c r="E1176" s="160" t="s">
        <v>34</v>
      </c>
      <c r="F1176" s="401" t="s">
        <v>1844</v>
      </c>
      <c r="G1176" s="402" t="s">
        <v>3447</v>
      </c>
      <c r="H1176" s="402" t="s">
        <v>1844</v>
      </c>
      <c r="I1176" s="164" t="s">
        <v>1843</v>
      </c>
      <c r="J1176" s="184" t="s">
        <v>1876</v>
      </c>
      <c r="K1176" s="168" t="s">
        <v>1877</v>
      </c>
      <c r="L1176" s="168" t="s">
        <v>1878</v>
      </c>
      <c r="M1176" s="168" t="s">
        <v>1845</v>
      </c>
      <c r="N1176" s="166">
        <v>1.0</v>
      </c>
      <c r="O1176" s="166" t="s">
        <v>1845</v>
      </c>
      <c r="P1176" s="167" t="s">
        <v>1862</v>
      </c>
      <c r="Q1176" s="167"/>
      <c r="R1176" s="166"/>
      <c r="S1176" s="167" t="s">
        <v>1845</v>
      </c>
      <c r="T1176" s="167"/>
      <c r="U1176" s="167"/>
      <c r="V1176" s="167"/>
      <c r="W1176" s="166"/>
      <c r="X1176" s="168"/>
      <c r="Y1176" s="164"/>
      <c r="Z1176" s="167"/>
      <c r="AA1176" s="166"/>
      <c r="AB1176" s="166"/>
      <c r="AC1176" s="166"/>
      <c r="AD1176" s="166"/>
      <c r="AE1176" s="166"/>
      <c r="AF1176" s="166"/>
      <c r="AG1176" s="164"/>
      <c r="AH1176" s="166"/>
      <c r="AI1176" s="164"/>
      <c r="AJ1176" s="169"/>
      <c r="AK1176" s="167"/>
      <c r="AL1176" s="167"/>
    </row>
    <row r="1177" ht="15.0" customHeight="1">
      <c r="A1177" s="400" t="s">
        <v>1742</v>
      </c>
      <c r="B1177" s="138">
        <v>50265.0</v>
      </c>
      <c r="C1177" s="396">
        <v>1.0</v>
      </c>
      <c r="D1177" s="122" t="s">
        <v>1844</v>
      </c>
      <c r="E1177" s="125" t="s">
        <v>34</v>
      </c>
      <c r="F1177" s="303" t="s">
        <v>1844</v>
      </c>
      <c r="G1177" s="269" t="s">
        <v>3448</v>
      </c>
      <c r="H1177" s="269" t="s">
        <v>1844</v>
      </c>
      <c r="I1177" s="128" t="s">
        <v>1843</v>
      </c>
      <c r="J1177" s="186" t="s">
        <v>1876</v>
      </c>
      <c r="K1177" s="136" t="s">
        <v>1877</v>
      </c>
      <c r="L1177" s="136" t="s">
        <v>1844</v>
      </c>
      <c r="M1177" s="136" t="s">
        <v>1845</v>
      </c>
      <c r="N1177" s="144" t="s">
        <v>1903</v>
      </c>
      <c r="O1177" s="144" t="s">
        <v>1845</v>
      </c>
      <c r="P1177" s="140" t="s">
        <v>1895</v>
      </c>
      <c r="Q1177" s="140" t="s">
        <v>1845</v>
      </c>
      <c r="R1177" s="144"/>
      <c r="S1177" s="140"/>
      <c r="T1177" s="140"/>
      <c r="U1177" s="140"/>
      <c r="V1177" s="140"/>
      <c r="W1177" s="144"/>
      <c r="X1177" s="136"/>
      <c r="Y1177" s="128"/>
      <c r="Z1177" s="140"/>
      <c r="AA1177" s="144"/>
      <c r="AB1177" s="144"/>
      <c r="AC1177" s="144"/>
      <c r="AD1177" s="144"/>
      <c r="AE1177" s="144"/>
      <c r="AF1177" s="144"/>
      <c r="AG1177" s="140"/>
      <c r="AH1177" s="144"/>
      <c r="AI1177" s="128"/>
      <c r="AJ1177" s="137"/>
      <c r="AK1177" s="140"/>
      <c r="AL1177" s="140"/>
    </row>
    <row r="1178" ht="15.0" customHeight="1">
      <c r="A1178" s="400" t="s">
        <v>1742</v>
      </c>
      <c r="B1178" s="138">
        <v>50268.0</v>
      </c>
      <c r="C1178" s="396">
        <v>1.0</v>
      </c>
      <c r="D1178" s="122" t="s">
        <v>1844</v>
      </c>
      <c r="E1178" s="125" t="s">
        <v>34</v>
      </c>
      <c r="F1178" s="303" t="s">
        <v>1844</v>
      </c>
      <c r="G1178" s="269" t="s">
        <v>3449</v>
      </c>
      <c r="H1178" s="269" t="s">
        <v>1844</v>
      </c>
      <c r="I1178" s="128" t="s">
        <v>1843</v>
      </c>
      <c r="J1178" s="186" t="s">
        <v>1876</v>
      </c>
      <c r="K1178" s="136" t="s">
        <v>2348</v>
      </c>
      <c r="L1178" s="136" t="s">
        <v>1844</v>
      </c>
      <c r="M1178" s="136" t="s">
        <v>1845</v>
      </c>
      <c r="N1178" s="144" t="s">
        <v>1844</v>
      </c>
      <c r="O1178" s="144" t="s">
        <v>1845</v>
      </c>
      <c r="P1178" s="140" t="s">
        <v>1862</v>
      </c>
      <c r="Q1178" s="140"/>
      <c r="R1178" s="144"/>
      <c r="S1178" s="140"/>
      <c r="T1178" s="140"/>
      <c r="U1178" s="140"/>
      <c r="V1178" s="140"/>
      <c r="W1178" s="144"/>
      <c r="X1178" s="136"/>
      <c r="Y1178" s="128"/>
      <c r="Z1178" s="140"/>
      <c r="AA1178" s="144"/>
      <c r="AB1178" s="144"/>
      <c r="AC1178" s="144"/>
      <c r="AD1178" s="144"/>
      <c r="AE1178" s="144"/>
      <c r="AF1178" s="140"/>
      <c r="AG1178" s="140"/>
      <c r="AH1178" s="140"/>
      <c r="AI1178" s="128"/>
      <c r="AJ1178" s="137"/>
      <c r="AK1178" s="140"/>
      <c r="AL1178" s="140"/>
    </row>
    <row r="1179" ht="15.0" customHeight="1">
      <c r="A1179" s="157" t="s">
        <v>1742</v>
      </c>
      <c r="B1179" s="158">
        <v>50282.0</v>
      </c>
      <c r="C1179" s="396">
        <v>1.0</v>
      </c>
      <c r="D1179" s="157" t="s">
        <v>1844</v>
      </c>
      <c r="E1179" s="160" t="s">
        <v>34</v>
      </c>
      <c r="F1179" s="401" t="s">
        <v>1844</v>
      </c>
      <c r="G1179" s="402" t="s">
        <v>3450</v>
      </c>
      <c r="H1179" s="402" t="s">
        <v>1844</v>
      </c>
      <c r="I1179" s="164" t="s">
        <v>1843</v>
      </c>
      <c r="J1179" s="184" t="s">
        <v>1876</v>
      </c>
      <c r="K1179" s="168" t="s">
        <v>1877</v>
      </c>
      <c r="L1179" s="168" t="s">
        <v>1878</v>
      </c>
      <c r="M1179" s="168" t="s">
        <v>1845</v>
      </c>
      <c r="N1179" s="166">
        <v>1.0</v>
      </c>
      <c r="O1179" s="166" t="s">
        <v>1845</v>
      </c>
      <c r="P1179" s="167" t="s">
        <v>1862</v>
      </c>
      <c r="Q1179" s="167"/>
      <c r="R1179" s="166"/>
      <c r="S1179" s="167" t="s">
        <v>1845</v>
      </c>
      <c r="T1179" s="167"/>
      <c r="U1179" s="167"/>
      <c r="V1179" s="167"/>
      <c r="W1179" s="166"/>
      <c r="X1179" s="168" t="s">
        <v>1845</v>
      </c>
      <c r="Y1179" s="164"/>
      <c r="Z1179" s="167"/>
      <c r="AA1179" s="166"/>
      <c r="AB1179" s="166"/>
      <c r="AC1179" s="166"/>
      <c r="AD1179" s="166"/>
      <c r="AE1179" s="166"/>
      <c r="AF1179" s="167"/>
      <c r="AG1179" s="164"/>
      <c r="AH1179" s="167"/>
      <c r="AI1179" s="164"/>
      <c r="AJ1179" s="169"/>
      <c r="AK1179" s="167"/>
      <c r="AL1179" s="167"/>
    </row>
    <row r="1180" ht="15.0" customHeight="1">
      <c r="A1180" s="400" t="s">
        <v>1742</v>
      </c>
      <c r="B1180" s="138">
        <v>50287.0</v>
      </c>
      <c r="C1180" s="396">
        <v>1.0</v>
      </c>
      <c r="D1180" s="122" t="s">
        <v>1844</v>
      </c>
      <c r="E1180" s="125" t="s">
        <v>34</v>
      </c>
      <c r="F1180" s="303" t="s">
        <v>1844</v>
      </c>
      <c r="G1180" s="269" t="s">
        <v>3451</v>
      </c>
      <c r="H1180" s="269" t="s">
        <v>1844</v>
      </c>
      <c r="I1180" s="128" t="s">
        <v>1843</v>
      </c>
      <c r="J1180" s="186" t="s">
        <v>1902</v>
      </c>
      <c r="K1180" s="136" t="s">
        <v>1877</v>
      </c>
      <c r="L1180" s="136" t="s">
        <v>1878</v>
      </c>
      <c r="M1180" s="136" t="s">
        <v>1845</v>
      </c>
      <c r="N1180" s="144">
        <v>1.0</v>
      </c>
      <c r="O1180" s="144" t="s">
        <v>1845</v>
      </c>
      <c r="P1180" s="140" t="s">
        <v>1862</v>
      </c>
      <c r="Q1180" s="140"/>
      <c r="R1180" s="144"/>
      <c r="S1180" s="140" t="s">
        <v>1845</v>
      </c>
      <c r="T1180" s="140"/>
      <c r="U1180" s="140"/>
      <c r="V1180" s="140"/>
      <c r="W1180" s="144"/>
      <c r="X1180" s="136"/>
      <c r="Y1180" s="128"/>
      <c r="Z1180" s="140"/>
      <c r="AA1180" s="144"/>
      <c r="AB1180" s="144"/>
      <c r="AC1180" s="144"/>
      <c r="AD1180" s="144"/>
      <c r="AE1180" s="144"/>
      <c r="AF1180" s="140"/>
      <c r="AG1180" s="128"/>
      <c r="AH1180" s="140"/>
      <c r="AI1180" s="128"/>
      <c r="AJ1180" s="137"/>
      <c r="AK1180" s="140"/>
      <c r="AL1180" s="140"/>
    </row>
    <row r="1181" ht="15.0" customHeight="1">
      <c r="A1181" s="400" t="s">
        <v>1742</v>
      </c>
      <c r="B1181" s="138">
        <v>50288.0</v>
      </c>
      <c r="C1181" s="396">
        <v>1.0</v>
      </c>
      <c r="D1181" s="122" t="s">
        <v>1844</v>
      </c>
      <c r="E1181" s="125" t="s">
        <v>34</v>
      </c>
      <c r="F1181" s="303" t="s">
        <v>1844</v>
      </c>
      <c r="G1181" s="269" t="s">
        <v>3452</v>
      </c>
      <c r="H1181" s="269" t="s">
        <v>1844</v>
      </c>
      <c r="I1181" s="128" t="s">
        <v>1843</v>
      </c>
      <c r="J1181" s="186" t="s">
        <v>1876</v>
      </c>
      <c r="K1181" s="136" t="s">
        <v>2348</v>
      </c>
      <c r="L1181" s="136" t="s">
        <v>1878</v>
      </c>
      <c r="M1181" s="136" t="s">
        <v>1845</v>
      </c>
      <c r="N1181" s="144" t="s">
        <v>1844</v>
      </c>
      <c r="O1181" s="144" t="s">
        <v>1845</v>
      </c>
      <c r="P1181" s="140" t="s">
        <v>1862</v>
      </c>
      <c r="Q1181" s="140"/>
      <c r="R1181" s="144"/>
      <c r="S1181" s="140" t="s">
        <v>1845</v>
      </c>
      <c r="T1181" s="140"/>
      <c r="U1181" s="140"/>
      <c r="V1181" s="140"/>
      <c r="W1181" s="144"/>
      <c r="X1181" s="136"/>
      <c r="Y1181" s="128"/>
      <c r="Z1181" s="140"/>
      <c r="AA1181" s="144"/>
      <c r="AB1181" s="144"/>
      <c r="AC1181" s="144"/>
      <c r="AD1181" s="144"/>
      <c r="AE1181" s="144"/>
      <c r="AF1181" s="140"/>
      <c r="AG1181" s="140"/>
      <c r="AH1181" s="140"/>
      <c r="AI1181" s="128"/>
      <c r="AJ1181" s="137"/>
      <c r="AK1181" s="140"/>
      <c r="AL1181" s="140"/>
    </row>
    <row r="1182" ht="15.0" customHeight="1">
      <c r="A1182" s="400" t="s">
        <v>1742</v>
      </c>
      <c r="B1182" s="138">
        <v>50289.0</v>
      </c>
      <c r="C1182" s="396">
        <v>1.0</v>
      </c>
      <c r="D1182" s="122" t="s">
        <v>1844</v>
      </c>
      <c r="E1182" s="125" t="s">
        <v>34</v>
      </c>
      <c r="F1182" s="303" t="s">
        <v>1844</v>
      </c>
      <c r="G1182" s="269" t="s">
        <v>3453</v>
      </c>
      <c r="H1182" s="269" t="s">
        <v>1844</v>
      </c>
      <c r="I1182" s="129" t="s">
        <v>1843</v>
      </c>
      <c r="J1182" s="143" t="s">
        <v>1876</v>
      </c>
      <c r="K1182" s="132" t="s">
        <v>2348</v>
      </c>
      <c r="L1182" s="132" t="s">
        <v>1878</v>
      </c>
      <c r="M1182" s="132" t="s">
        <v>1845</v>
      </c>
      <c r="N1182" s="131" t="s">
        <v>1844</v>
      </c>
      <c r="O1182" s="144" t="s">
        <v>1845</v>
      </c>
      <c r="P1182" s="171" t="s">
        <v>1862</v>
      </c>
      <c r="Q1182" s="171"/>
      <c r="R1182" s="131"/>
      <c r="S1182" s="171" t="s">
        <v>1845</v>
      </c>
      <c r="T1182" s="171"/>
      <c r="U1182" s="171"/>
      <c r="V1182" s="171"/>
      <c r="W1182" s="131"/>
      <c r="X1182" s="132"/>
      <c r="Y1182" s="129"/>
      <c r="Z1182" s="171"/>
      <c r="AA1182" s="131"/>
      <c r="AB1182" s="131"/>
      <c r="AC1182" s="131"/>
      <c r="AD1182" s="131"/>
      <c r="AE1182" s="131"/>
      <c r="AF1182" s="140"/>
      <c r="AG1182" s="128"/>
      <c r="AH1182" s="140"/>
      <c r="AI1182" s="128"/>
      <c r="AJ1182" s="137"/>
      <c r="AK1182" s="140"/>
      <c r="AL1182" s="140"/>
    </row>
    <row r="1183" ht="15.0" customHeight="1">
      <c r="A1183" s="400" t="s">
        <v>1742</v>
      </c>
      <c r="B1183" s="138">
        <v>50306.0</v>
      </c>
      <c r="C1183" s="396">
        <v>1.0</v>
      </c>
      <c r="D1183" s="122" t="s">
        <v>1844</v>
      </c>
      <c r="E1183" s="125" t="s">
        <v>34</v>
      </c>
      <c r="F1183" s="303" t="s">
        <v>1844</v>
      </c>
      <c r="G1183" s="269" t="s">
        <v>3454</v>
      </c>
      <c r="H1183" s="269" t="s">
        <v>1844</v>
      </c>
      <c r="I1183" s="171" t="s">
        <v>1843</v>
      </c>
      <c r="J1183" s="143" t="s">
        <v>1876</v>
      </c>
      <c r="K1183" s="132" t="s">
        <v>2348</v>
      </c>
      <c r="L1183" s="132" t="s">
        <v>1878</v>
      </c>
      <c r="M1183" s="132" t="s">
        <v>1845</v>
      </c>
      <c r="N1183" s="131" t="s">
        <v>1844</v>
      </c>
      <c r="O1183" s="144" t="s">
        <v>1845</v>
      </c>
      <c r="P1183" s="171" t="s">
        <v>1862</v>
      </c>
      <c r="Q1183" s="171"/>
      <c r="R1183" s="131"/>
      <c r="S1183" s="171"/>
      <c r="T1183" s="171" t="s">
        <v>1845</v>
      </c>
      <c r="U1183" s="171"/>
      <c r="V1183" s="171"/>
      <c r="W1183" s="131"/>
      <c r="X1183" s="132"/>
      <c r="Y1183" s="129"/>
      <c r="Z1183" s="171"/>
      <c r="AA1183" s="131"/>
      <c r="AB1183" s="131"/>
      <c r="AC1183" s="131"/>
      <c r="AD1183" s="131"/>
      <c r="AE1183" s="131"/>
      <c r="AF1183" s="140"/>
      <c r="AG1183" s="128"/>
      <c r="AH1183" s="140"/>
      <c r="AI1183" s="128"/>
      <c r="AJ1183" s="137"/>
      <c r="AK1183" s="140"/>
      <c r="AL1183" s="140"/>
    </row>
    <row r="1184" ht="15.0" customHeight="1">
      <c r="A1184" s="400" t="s">
        <v>1742</v>
      </c>
      <c r="B1184" s="138">
        <v>50307.0</v>
      </c>
      <c r="C1184" s="396">
        <v>1.0</v>
      </c>
      <c r="D1184" s="122" t="s">
        <v>1844</v>
      </c>
      <c r="E1184" s="125" t="s">
        <v>34</v>
      </c>
      <c r="F1184" s="303" t="s">
        <v>1844</v>
      </c>
      <c r="G1184" s="269" t="s">
        <v>3455</v>
      </c>
      <c r="H1184" s="269" t="s">
        <v>1844</v>
      </c>
      <c r="I1184" s="128" t="s">
        <v>1852</v>
      </c>
      <c r="J1184" s="186" t="s">
        <v>1902</v>
      </c>
      <c r="K1184" s="136" t="s">
        <v>1877</v>
      </c>
      <c r="L1184" s="136" t="s">
        <v>1878</v>
      </c>
      <c r="M1184" s="136" t="s">
        <v>1845</v>
      </c>
      <c r="N1184" s="144" t="s">
        <v>1844</v>
      </c>
      <c r="O1184" s="144" t="s">
        <v>1845</v>
      </c>
      <c r="P1184" s="140" t="s">
        <v>1862</v>
      </c>
      <c r="Q1184" s="140"/>
      <c r="R1184" s="144"/>
      <c r="S1184" s="140"/>
      <c r="T1184" s="140"/>
      <c r="U1184" s="140" t="s">
        <v>1845</v>
      </c>
      <c r="V1184" s="140"/>
      <c r="W1184" s="144"/>
      <c r="X1184" s="136"/>
      <c r="Y1184" s="128"/>
      <c r="Z1184" s="140"/>
      <c r="AA1184" s="144"/>
      <c r="AB1184" s="144"/>
      <c r="AC1184" s="144"/>
      <c r="AD1184" s="144"/>
      <c r="AE1184" s="144"/>
      <c r="AF1184" s="140"/>
      <c r="AG1184" s="140"/>
      <c r="AH1184" s="140"/>
      <c r="AI1184" s="128"/>
      <c r="AJ1184" s="137"/>
      <c r="AK1184" s="140"/>
      <c r="AL1184" s="140"/>
    </row>
    <row r="1185" ht="15.0" customHeight="1">
      <c r="A1185" s="400" t="s">
        <v>1742</v>
      </c>
      <c r="B1185" s="138">
        <v>50308.0</v>
      </c>
      <c r="C1185" s="396">
        <v>1.0</v>
      </c>
      <c r="D1185" s="122" t="s">
        <v>1844</v>
      </c>
      <c r="E1185" s="125" t="s">
        <v>34</v>
      </c>
      <c r="F1185" s="303" t="s">
        <v>1844</v>
      </c>
      <c r="G1185" s="269" t="s">
        <v>3456</v>
      </c>
      <c r="H1185" s="269" t="s">
        <v>1844</v>
      </c>
      <c r="I1185" s="128" t="s">
        <v>1852</v>
      </c>
      <c r="J1185" s="186" t="s">
        <v>1902</v>
      </c>
      <c r="K1185" s="136" t="s">
        <v>1877</v>
      </c>
      <c r="L1185" s="136" t="s">
        <v>1990</v>
      </c>
      <c r="M1185" s="136"/>
      <c r="N1185" s="144" t="s">
        <v>1903</v>
      </c>
      <c r="O1185" s="144" t="s">
        <v>1845</v>
      </c>
      <c r="P1185" s="140" t="s">
        <v>1862</v>
      </c>
      <c r="Q1185" s="140"/>
      <c r="R1185" s="144"/>
      <c r="S1185" s="140"/>
      <c r="T1185" s="140"/>
      <c r="U1185" s="140"/>
      <c r="V1185" s="140"/>
      <c r="W1185" s="144"/>
      <c r="X1185" s="136"/>
      <c r="Y1185" s="128"/>
      <c r="Z1185" s="140"/>
      <c r="AA1185" s="144"/>
      <c r="AB1185" s="144"/>
      <c r="AC1185" s="144"/>
      <c r="AD1185" s="144"/>
      <c r="AE1185" s="144"/>
      <c r="AF1185" s="140"/>
      <c r="AG1185" s="140"/>
      <c r="AH1185" s="140"/>
      <c r="AI1185" s="128"/>
      <c r="AJ1185" s="137"/>
      <c r="AK1185" s="140"/>
      <c r="AL1185" s="140"/>
    </row>
    <row r="1186" ht="15.0" customHeight="1">
      <c r="A1186" s="400" t="s">
        <v>1742</v>
      </c>
      <c r="B1186" s="138">
        <v>50312.0</v>
      </c>
      <c r="C1186" s="396">
        <v>1.0</v>
      </c>
      <c r="D1186" s="122" t="s">
        <v>1844</v>
      </c>
      <c r="E1186" s="125" t="s">
        <v>34</v>
      </c>
      <c r="F1186" s="303" t="s">
        <v>1844</v>
      </c>
      <c r="G1186" s="269" t="s">
        <v>3457</v>
      </c>
      <c r="H1186" s="269" t="s">
        <v>1844</v>
      </c>
      <c r="I1186" s="171" t="s">
        <v>1843</v>
      </c>
      <c r="J1186" s="143" t="s">
        <v>1876</v>
      </c>
      <c r="K1186" s="132" t="s">
        <v>2348</v>
      </c>
      <c r="L1186" s="132" t="s">
        <v>1990</v>
      </c>
      <c r="M1186" s="132" t="s">
        <v>1845</v>
      </c>
      <c r="N1186" s="131" t="s">
        <v>1844</v>
      </c>
      <c r="O1186" s="144" t="s">
        <v>1845</v>
      </c>
      <c r="P1186" s="171" t="s">
        <v>1862</v>
      </c>
      <c r="Q1186" s="171"/>
      <c r="R1186" s="131"/>
      <c r="S1186" s="171"/>
      <c r="T1186" s="171" t="s">
        <v>1845</v>
      </c>
      <c r="U1186" s="171"/>
      <c r="V1186" s="171"/>
      <c r="W1186" s="131"/>
      <c r="X1186" s="132"/>
      <c r="Y1186" s="129"/>
      <c r="Z1186" s="171"/>
      <c r="AA1186" s="171"/>
      <c r="AB1186" s="171"/>
      <c r="AC1186" s="171"/>
      <c r="AD1186" s="171"/>
      <c r="AE1186" s="131"/>
      <c r="AF1186" s="144"/>
      <c r="AG1186" s="140"/>
      <c r="AH1186" s="144"/>
      <c r="AI1186" s="128"/>
      <c r="AJ1186" s="137"/>
      <c r="AK1186" s="140"/>
      <c r="AL1186" s="140"/>
    </row>
    <row r="1187" ht="15.0" customHeight="1">
      <c r="A1187" s="400" t="s">
        <v>1742</v>
      </c>
      <c r="B1187" s="138">
        <v>50324.0</v>
      </c>
      <c r="C1187" s="396">
        <v>1.0</v>
      </c>
      <c r="D1187" s="122" t="s">
        <v>1844</v>
      </c>
      <c r="E1187" s="125" t="s">
        <v>34</v>
      </c>
      <c r="F1187" s="303" t="s">
        <v>1844</v>
      </c>
      <c r="G1187" s="269" t="s">
        <v>3458</v>
      </c>
      <c r="H1187" s="269" t="s">
        <v>1844</v>
      </c>
      <c r="I1187" s="128" t="s">
        <v>1906</v>
      </c>
      <c r="J1187" s="186" t="s">
        <v>1902</v>
      </c>
      <c r="K1187" s="136" t="s">
        <v>1877</v>
      </c>
      <c r="L1187" s="136" t="s">
        <v>1844</v>
      </c>
      <c r="M1187" s="136" t="s">
        <v>1845</v>
      </c>
      <c r="N1187" s="144">
        <v>1.0</v>
      </c>
      <c r="O1187" s="144" t="s">
        <v>1845</v>
      </c>
      <c r="P1187" s="128" t="s">
        <v>1862</v>
      </c>
      <c r="Q1187" s="128"/>
      <c r="R1187" s="144"/>
      <c r="S1187" s="128"/>
      <c r="T1187" s="128"/>
      <c r="U1187" s="128" t="s">
        <v>1845</v>
      </c>
      <c r="V1187" s="128" t="s">
        <v>1845</v>
      </c>
      <c r="W1187" s="144"/>
      <c r="X1187" s="136"/>
      <c r="Y1187" s="128"/>
      <c r="Z1187" s="128"/>
      <c r="AA1187" s="128"/>
      <c r="AB1187" s="140"/>
      <c r="AC1187" s="140"/>
      <c r="AD1187" s="140"/>
      <c r="AE1187" s="144"/>
      <c r="AF1187" s="144"/>
      <c r="AG1187" s="140"/>
      <c r="AH1187" s="144"/>
      <c r="AI1187" s="128"/>
      <c r="AJ1187" s="137"/>
      <c r="AK1187" s="140"/>
      <c r="AL1187" s="140"/>
    </row>
    <row r="1188" ht="15.0" customHeight="1">
      <c r="A1188" s="157" t="s">
        <v>1742</v>
      </c>
      <c r="B1188" s="158">
        <v>50327.0</v>
      </c>
      <c r="C1188" s="396">
        <v>1.0</v>
      </c>
      <c r="D1188" s="157" t="s">
        <v>1844</v>
      </c>
      <c r="E1188" s="160" t="s">
        <v>34</v>
      </c>
      <c r="F1188" s="401" t="s">
        <v>1844</v>
      </c>
      <c r="G1188" s="402" t="s">
        <v>3459</v>
      </c>
      <c r="H1188" s="402" t="s">
        <v>1844</v>
      </c>
      <c r="I1188" s="164" t="s">
        <v>1843</v>
      </c>
      <c r="J1188" s="165" t="s">
        <v>1876</v>
      </c>
      <c r="K1188" s="164" t="s">
        <v>1877</v>
      </c>
      <c r="L1188" s="164" t="s">
        <v>1878</v>
      </c>
      <c r="M1188" s="164" t="s">
        <v>1845</v>
      </c>
      <c r="N1188" s="166" t="s">
        <v>1903</v>
      </c>
      <c r="O1188" s="166" t="s">
        <v>1845</v>
      </c>
      <c r="P1188" s="168" t="s">
        <v>1862</v>
      </c>
      <c r="Q1188" s="164"/>
      <c r="R1188" s="166"/>
      <c r="S1188" s="164"/>
      <c r="T1188" s="164"/>
      <c r="U1188" s="164"/>
      <c r="V1188" s="164"/>
      <c r="W1188" s="166"/>
      <c r="X1188" s="168" t="s">
        <v>1845</v>
      </c>
      <c r="Y1188" s="164"/>
      <c r="Z1188" s="164"/>
      <c r="AA1188" s="164"/>
      <c r="AB1188" s="166"/>
      <c r="AC1188" s="166"/>
      <c r="AD1188" s="166"/>
      <c r="AE1188" s="166"/>
      <c r="AF1188" s="166"/>
      <c r="AG1188" s="166"/>
      <c r="AH1188" s="166"/>
      <c r="AI1188" s="164"/>
      <c r="AJ1188" s="169"/>
      <c r="AK1188" s="167"/>
      <c r="AL1188" s="167"/>
    </row>
    <row r="1189" ht="15.0" customHeight="1">
      <c r="A1189" s="400" t="s">
        <v>1742</v>
      </c>
      <c r="B1189" s="138">
        <v>50328.0</v>
      </c>
      <c r="C1189" s="396">
        <v>1.0</v>
      </c>
      <c r="D1189" s="122" t="s">
        <v>1844</v>
      </c>
      <c r="E1189" s="125" t="s">
        <v>7</v>
      </c>
      <c r="F1189" s="126" t="s">
        <v>3460</v>
      </c>
      <c r="G1189" s="269" t="s">
        <v>3461</v>
      </c>
      <c r="H1189" s="269" t="s">
        <v>1844</v>
      </c>
      <c r="I1189" s="140" t="s">
        <v>1852</v>
      </c>
      <c r="J1189" s="128" t="s">
        <v>1844</v>
      </c>
      <c r="K1189" s="128" t="s">
        <v>1844</v>
      </c>
      <c r="L1189" s="128" t="s">
        <v>1844</v>
      </c>
      <c r="M1189" s="128" t="s">
        <v>1844</v>
      </c>
      <c r="N1189" s="140" t="s">
        <v>1844</v>
      </c>
      <c r="O1189" s="144" t="s">
        <v>1844</v>
      </c>
      <c r="P1189" s="140" t="s">
        <v>1844</v>
      </c>
      <c r="Q1189" s="140" t="s">
        <v>1845</v>
      </c>
      <c r="R1189" s="140"/>
      <c r="S1189" s="140"/>
      <c r="T1189" s="140"/>
      <c r="U1189" s="140"/>
      <c r="V1189" s="140"/>
      <c r="W1189" s="144"/>
      <c r="X1189" s="128"/>
      <c r="Y1189" s="136"/>
      <c r="Z1189" s="140"/>
      <c r="AA1189" s="140"/>
      <c r="AB1189" s="135"/>
      <c r="AC1189" s="135"/>
      <c r="AD1189" s="135"/>
      <c r="AE1189" s="140"/>
      <c r="AF1189" s="135"/>
      <c r="AG1189" s="135"/>
      <c r="AH1189" s="135"/>
      <c r="AI1189" s="286"/>
      <c r="AJ1189" s="287"/>
      <c r="AK1189" s="140"/>
      <c r="AL1189" s="140"/>
    </row>
    <row r="1190" ht="15.0" customHeight="1">
      <c r="A1190" s="400" t="s">
        <v>1742</v>
      </c>
      <c r="B1190" s="138">
        <v>50337.0</v>
      </c>
      <c r="C1190" s="396">
        <v>1.0</v>
      </c>
      <c r="D1190" s="122" t="s">
        <v>1844</v>
      </c>
      <c r="E1190" s="125" t="s">
        <v>34</v>
      </c>
      <c r="F1190" s="303" t="s">
        <v>1844</v>
      </c>
      <c r="G1190" s="269" t="s">
        <v>3462</v>
      </c>
      <c r="H1190" s="269" t="s">
        <v>1844</v>
      </c>
      <c r="I1190" s="128" t="s">
        <v>1843</v>
      </c>
      <c r="J1190" s="186" t="s">
        <v>1876</v>
      </c>
      <c r="K1190" s="136" t="s">
        <v>1877</v>
      </c>
      <c r="L1190" s="136" t="s">
        <v>1844</v>
      </c>
      <c r="M1190" s="136" t="s">
        <v>1845</v>
      </c>
      <c r="N1190" s="144" t="s">
        <v>1903</v>
      </c>
      <c r="O1190" s="144" t="s">
        <v>1845</v>
      </c>
      <c r="P1190" s="128" t="s">
        <v>1862</v>
      </c>
      <c r="Q1190" s="128"/>
      <c r="R1190" s="144"/>
      <c r="S1190" s="128" t="s">
        <v>1845</v>
      </c>
      <c r="T1190" s="128"/>
      <c r="U1190" s="128"/>
      <c r="V1190" s="128"/>
      <c r="W1190" s="144"/>
      <c r="X1190" s="136"/>
      <c r="Y1190" s="128"/>
      <c r="Z1190" s="128"/>
      <c r="AA1190" s="128"/>
      <c r="AB1190" s="140"/>
      <c r="AC1190" s="140"/>
      <c r="AD1190" s="140"/>
      <c r="AE1190" s="140"/>
      <c r="AF1190" s="140"/>
      <c r="AG1190" s="135"/>
      <c r="AH1190" s="135"/>
      <c r="AI1190" s="286"/>
      <c r="AJ1190" s="287"/>
      <c r="AK1190" s="140"/>
      <c r="AL1190" s="140"/>
    </row>
    <row r="1191" ht="15.0" customHeight="1">
      <c r="A1191" s="400" t="s">
        <v>1742</v>
      </c>
      <c r="B1191" s="138">
        <v>50384.0</v>
      </c>
      <c r="C1191" s="396">
        <v>1.0</v>
      </c>
      <c r="D1191" s="122" t="s">
        <v>1844</v>
      </c>
      <c r="E1191" s="125" t="s">
        <v>34</v>
      </c>
      <c r="F1191" s="303" t="s">
        <v>1844</v>
      </c>
      <c r="G1191" s="269" t="s">
        <v>3463</v>
      </c>
      <c r="H1191" s="269" t="s">
        <v>1844</v>
      </c>
      <c r="I1191" s="128" t="s">
        <v>1843</v>
      </c>
      <c r="J1191" s="186" t="s">
        <v>1876</v>
      </c>
      <c r="K1191" s="136" t="s">
        <v>2348</v>
      </c>
      <c r="L1191" s="136" t="s">
        <v>1878</v>
      </c>
      <c r="M1191" s="136" t="s">
        <v>1845</v>
      </c>
      <c r="N1191" s="144" t="s">
        <v>1844</v>
      </c>
      <c r="O1191" s="144" t="s">
        <v>1845</v>
      </c>
      <c r="P1191" s="140" t="s">
        <v>1862</v>
      </c>
      <c r="Q1191" s="140"/>
      <c r="R1191" s="144" t="s">
        <v>1845</v>
      </c>
      <c r="S1191" s="140"/>
      <c r="T1191" s="140"/>
      <c r="U1191" s="140"/>
      <c r="V1191" s="140"/>
      <c r="W1191" s="144"/>
      <c r="X1191" s="136"/>
      <c r="Y1191" s="128"/>
      <c r="Z1191" s="140"/>
      <c r="AA1191" s="140"/>
      <c r="AB1191" s="140"/>
      <c r="AC1191" s="140"/>
      <c r="AD1191" s="140"/>
      <c r="AE1191" s="140"/>
      <c r="AF1191" s="140"/>
      <c r="AG1191" s="286"/>
      <c r="AH1191" s="135"/>
      <c r="AI1191" s="286"/>
      <c r="AJ1191" s="287"/>
      <c r="AK1191" s="140"/>
      <c r="AL1191" s="140"/>
    </row>
    <row r="1192" ht="15.0" customHeight="1">
      <c r="A1192" s="400" t="s">
        <v>1742</v>
      </c>
      <c r="B1192" s="138">
        <v>50385.0</v>
      </c>
      <c r="C1192" s="396">
        <v>1.0</v>
      </c>
      <c r="D1192" s="122" t="s">
        <v>1844</v>
      </c>
      <c r="E1192" s="125" t="s">
        <v>34</v>
      </c>
      <c r="F1192" s="303" t="s">
        <v>1844</v>
      </c>
      <c r="G1192" s="269" t="s">
        <v>3464</v>
      </c>
      <c r="H1192" s="269" t="s">
        <v>1844</v>
      </c>
      <c r="I1192" s="129" t="s">
        <v>1843</v>
      </c>
      <c r="J1192" s="143" t="s">
        <v>1876</v>
      </c>
      <c r="K1192" s="132" t="s">
        <v>2348</v>
      </c>
      <c r="L1192" s="132" t="s">
        <v>1878</v>
      </c>
      <c r="M1192" s="132" t="s">
        <v>1845</v>
      </c>
      <c r="N1192" s="131" t="s">
        <v>1844</v>
      </c>
      <c r="O1192" s="144" t="s">
        <v>1845</v>
      </c>
      <c r="P1192" s="171" t="s">
        <v>1862</v>
      </c>
      <c r="Q1192" s="171"/>
      <c r="R1192" s="131"/>
      <c r="S1192" s="171" t="s">
        <v>1845</v>
      </c>
      <c r="T1192" s="171"/>
      <c r="U1192" s="171"/>
      <c r="V1192" s="171"/>
      <c r="W1192" s="131"/>
      <c r="X1192" s="132"/>
      <c r="Y1192" s="129"/>
      <c r="Z1192" s="171"/>
      <c r="AA1192" s="171"/>
      <c r="AB1192" s="171"/>
      <c r="AC1192" s="131"/>
      <c r="AD1192" s="131"/>
      <c r="AE1192" s="171"/>
      <c r="AF1192" s="140"/>
      <c r="AG1192" s="128"/>
      <c r="AH1192" s="140"/>
      <c r="AI1192" s="286"/>
      <c r="AJ1192" s="287"/>
      <c r="AK1192" s="140"/>
      <c r="AL1192" s="140"/>
    </row>
    <row r="1193" ht="15.0" customHeight="1">
      <c r="A1193" s="400" t="s">
        <v>1742</v>
      </c>
      <c r="B1193" s="138">
        <v>50386.0</v>
      </c>
      <c r="C1193" s="396">
        <v>1.0</v>
      </c>
      <c r="D1193" s="122" t="s">
        <v>1844</v>
      </c>
      <c r="E1193" s="125" t="s">
        <v>34</v>
      </c>
      <c r="F1193" s="303" t="s">
        <v>1844</v>
      </c>
      <c r="G1193" s="269" t="s">
        <v>674</v>
      </c>
      <c r="H1193" s="269" t="s">
        <v>1844</v>
      </c>
      <c r="I1193" s="235" t="s">
        <v>1843</v>
      </c>
      <c r="J1193" s="259" t="s">
        <v>1876</v>
      </c>
      <c r="K1193" s="237" t="s">
        <v>2348</v>
      </c>
      <c r="L1193" s="237" t="s">
        <v>1878</v>
      </c>
      <c r="M1193" s="259" t="s">
        <v>1845</v>
      </c>
      <c r="N1193" s="331" t="s">
        <v>1844</v>
      </c>
      <c r="O1193" s="144" t="s">
        <v>1845</v>
      </c>
      <c r="P1193" s="239" t="s">
        <v>1862</v>
      </c>
      <c r="Q1193" s="239"/>
      <c r="R1193" s="238"/>
      <c r="S1193" s="239" t="s">
        <v>1845</v>
      </c>
      <c r="T1193" s="239"/>
      <c r="U1193" s="239"/>
      <c r="V1193" s="239"/>
      <c r="W1193" s="238"/>
      <c r="X1193" s="235"/>
      <c r="Y1193" s="235"/>
      <c r="Z1193" s="239"/>
      <c r="AA1193" s="239"/>
      <c r="AB1193" s="239"/>
      <c r="AC1193" s="239"/>
      <c r="AD1193" s="239"/>
      <c r="AE1193" s="239"/>
      <c r="AF1193" s="239"/>
      <c r="AG1193" s="404"/>
      <c r="AH1193" s="404"/>
      <c r="AI1193" s="405"/>
      <c r="AJ1193" s="332"/>
      <c r="AK1193" s="140"/>
      <c r="AL1193" s="140"/>
    </row>
    <row r="1194" ht="15.0" customHeight="1">
      <c r="A1194" s="400" t="s">
        <v>1742</v>
      </c>
      <c r="B1194" s="138">
        <v>50389.0</v>
      </c>
      <c r="C1194" s="396">
        <v>1.0</v>
      </c>
      <c r="D1194" s="122" t="s">
        <v>1844</v>
      </c>
      <c r="E1194" s="125" t="s">
        <v>34</v>
      </c>
      <c r="F1194" s="303" t="s">
        <v>1844</v>
      </c>
      <c r="G1194" s="269" t="s">
        <v>3465</v>
      </c>
      <c r="H1194" s="269" t="s">
        <v>1844</v>
      </c>
      <c r="I1194" s="128" t="s">
        <v>1843</v>
      </c>
      <c r="J1194" s="186" t="s">
        <v>1876</v>
      </c>
      <c r="K1194" s="136" t="s">
        <v>2348</v>
      </c>
      <c r="L1194" s="136" t="s">
        <v>1878</v>
      </c>
      <c r="M1194" s="136" t="s">
        <v>1845</v>
      </c>
      <c r="N1194" s="144" t="s">
        <v>1844</v>
      </c>
      <c r="O1194" s="144" t="s">
        <v>1845</v>
      </c>
      <c r="P1194" s="140" t="s">
        <v>1862</v>
      </c>
      <c r="Q1194" s="140" t="s">
        <v>1845</v>
      </c>
      <c r="R1194" s="144"/>
      <c r="S1194" s="140"/>
      <c r="T1194" s="140"/>
      <c r="U1194" s="140"/>
      <c r="V1194" s="140"/>
      <c r="W1194" s="144"/>
      <c r="X1194" s="136"/>
      <c r="Y1194" s="128"/>
      <c r="Z1194" s="140"/>
      <c r="AA1194" s="140"/>
      <c r="AB1194" s="140"/>
      <c r="AC1194" s="140"/>
      <c r="AD1194" s="140"/>
      <c r="AE1194" s="140"/>
      <c r="AF1194" s="140"/>
      <c r="AG1194" s="135"/>
      <c r="AH1194" s="135"/>
      <c r="AI1194" s="286"/>
      <c r="AJ1194" s="287"/>
      <c r="AK1194" s="140"/>
      <c r="AL1194" s="140"/>
    </row>
    <row r="1195" ht="15.0" customHeight="1">
      <c r="A1195" s="400" t="s">
        <v>1742</v>
      </c>
      <c r="B1195" s="138">
        <v>50391.0</v>
      </c>
      <c r="C1195" s="396">
        <v>1.0</v>
      </c>
      <c r="D1195" s="122" t="s">
        <v>1844</v>
      </c>
      <c r="E1195" s="125" t="s">
        <v>34</v>
      </c>
      <c r="F1195" s="303" t="s">
        <v>1844</v>
      </c>
      <c r="G1195" s="269" t="s">
        <v>3466</v>
      </c>
      <c r="H1195" s="269" t="s">
        <v>1844</v>
      </c>
      <c r="I1195" s="128" t="s">
        <v>1843</v>
      </c>
      <c r="J1195" s="186" t="s">
        <v>1876</v>
      </c>
      <c r="K1195" s="136" t="s">
        <v>2348</v>
      </c>
      <c r="L1195" s="136" t="s">
        <v>1990</v>
      </c>
      <c r="M1195" s="136" t="s">
        <v>1845</v>
      </c>
      <c r="N1195" s="144" t="s">
        <v>1844</v>
      </c>
      <c r="O1195" s="144" t="s">
        <v>1845</v>
      </c>
      <c r="P1195" s="140" t="s">
        <v>1862</v>
      </c>
      <c r="Q1195" s="140"/>
      <c r="R1195" s="144"/>
      <c r="S1195" s="140"/>
      <c r="T1195" s="140"/>
      <c r="U1195" s="140"/>
      <c r="V1195" s="140"/>
      <c r="W1195" s="144"/>
      <c r="X1195" s="136"/>
      <c r="Y1195" s="128"/>
      <c r="Z1195" s="140"/>
      <c r="AA1195" s="140"/>
      <c r="AB1195" s="140"/>
      <c r="AC1195" s="140"/>
      <c r="AD1195" s="140"/>
      <c r="AE1195" s="140"/>
      <c r="AF1195" s="140"/>
      <c r="AG1195" s="286"/>
      <c r="AH1195" s="135"/>
      <c r="AI1195" s="286"/>
      <c r="AJ1195" s="287"/>
      <c r="AK1195" s="140"/>
      <c r="AL1195" s="140"/>
    </row>
    <row r="1196" ht="15.0" customHeight="1">
      <c r="A1196" s="400" t="s">
        <v>1742</v>
      </c>
      <c r="B1196" s="138">
        <v>50392.0</v>
      </c>
      <c r="C1196" s="396">
        <v>1.0</v>
      </c>
      <c r="D1196" s="122" t="s">
        <v>1844</v>
      </c>
      <c r="E1196" s="125" t="s">
        <v>34</v>
      </c>
      <c r="F1196" s="303" t="s">
        <v>1844</v>
      </c>
      <c r="G1196" s="269" t="s">
        <v>3467</v>
      </c>
      <c r="H1196" s="269" t="s">
        <v>1844</v>
      </c>
      <c r="I1196" s="128" t="s">
        <v>1843</v>
      </c>
      <c r="J1196" s="186" t="s">
        <v>1876</v>
      </c>
      <c r="K1196" s="136" t="s">
        <v>2348</v>
      </c>
      <c r="L1196" s="136" t="s">
        <v>1884</v>
      </c>
      <c r="M1196" s="136" t="s">
        <v>1845</v>
      </c>
      <c r="N1196" s="144" t="s">
        <v>1844</v>
      </c>
      <c r="O1196" s="144" t="s">
        <v>1845</v>
      </c>
      <c r="P1196" s="140" t="s">
        <v>1862</v>
      </c>
      <c r="Q1196" s="140"/>
      <c r="R1196" s="144"/>
      <c r="S1196" s="140"/>
      <c r="T1196" s="144"/>
      <c r="U1196" s="144"/>
      <c r="V1196" s="144"/>
      <c r="W1196" s="144"/>
      <c r="X1196" s="136"/>
      <c r="Y1196" s="136"/>
      <c r="Z1196" s="144"/>
      <c r="AA1196" s="144"/>
      <c r="AB1196" s="144"/>
      <c r="AC1196" s="144"/>
      <c r="AD1196" s="144"/>
      <c r="AE1196" s="144"/>
      <c r="AF1196" s="296"/>
      <c r="AG1196" s="140"/>
      <c r="AH1196" s="227"/>
      <c r="AI1196" s="128"/>
      <c r="AJ1196" s="287"/>
      <c r="AK1196" s="140"/>
      <c r="AL1196" s="140"/>
    </row>
    <row r="1197" ht="15.0" customHeight="1">
      <c r="A1197" s="400" t="s">
        <v>1742</v>
      </c>
      <c r="B1197" s="138">
        <v>50397.0</v>
      </c>
      <c r="C1197" s="396">
        <v>1.0</v>
      </c>
      <c r="D1197" s="122" t="s">
        <v>1844</v>
      </c>
      <c r="E1197" s="125" t="s">
        <v>34</v>
      </c>
      <c r="F1197" s="303" t="s">
        <v>1844</v>
      </c>
      <c r="G1197" s="269" t="s">
        <v>3468</v>
      </c>
      <c r="H1197" s="269" t="s">
        <v>1844</v>
      </c>
      <c r="I1197" s="128" t="s">
        <v>1843</v>
      </c>
      <c r="J1197" s="128" t="s">
        <v>1876</v>
      </c>
      <c r="K1197" s="136" t="s">
        <v>2348</v>
      </c>
      <c r="L1197" s="128" t="s">
        <v>1990</v>
      </c>
      <c r="M1197" s="128" t="s">
        <v>1845</v>
      </c>
      <c r="N1197" s="140" t="s">
        <v>1844</v>
      </c>
      <c r="O1197" s="144" t="s">
        <v>1845</v>
      </c>
      <c r="P1197" s="140" t="s">
        <v>1862</v>
      </c>
      <c r="Q1197" s="140"/>
      <c r="R1197" s="144"/>
      <c r="S1197" s="140" t="s">
        <v>1845</v>
      </c>
      <c r="T1197" s="140"/>
      <c r="U1197" s="140"/>
      <c r="V1197" s="140"/>
      <c r="W1197" s="144"/>
      <c r="X1197" s="128"/>
      <c r="Y1197" s="128"/>
      <c r="Z1197" s="140"/>
      <c r="AA1197" s="140"/>
      <c r="AB1197" s="140"/>
      <c r="AC1197" s="140"/>
      <c r="AD1197" s="140"/>
      <c r="AE1197" s="140"/>
      <c r="AF1197" s="140"/>
      <c r="AG1197" s="137"/>
      <c r="AH1197" s="298"/>
      <c r="AI1197" s="128"/>
      <c r="AJ1197" s="137"/>
      <c r="AK1197" s="140"/>
      <c r="AL1197" s="140"/>
    </row>
    <row r="1198" ht="15.0" customHeight="1">
      <c r="A1198" s="400" t="s">
        <v>1742</v>
      </c>
      <c r="B1198" s="138">
        <v>50402.0</v>
      </c>
      <c r="C1198" s="396">
        <v>1.0</v>
      </c>
      <c r="D1198" s="122" t="s">
        <v>1844</v>
      </c>
      <c r="E1198" s="125" t="s">
        <v>34</v>
      </c>
      <c r="F1198" s="303" t="s">
        <v>1844</v>
      </c>
      <c r="G1198" s="269" t="s">
        <v>3469</v>
      </c>
      <c r="H1198" s="269" t="s">
        <v>1844</v>
      </c>
      <c r="I1198" s="128" t="s">
        <v>1843</v>
      </c>
      <c r="J1198" s="136" t="s">
        <v>1876</v>
      </c>
      <c r="K1198" s="136" t="s">
        <v>2348</v>
      </c>
      <c r="L1198" s="136" t="s">
        <v>1878</v>
      </c>
      <c r="M1198" s="136" t="s">
        <v>1845</v>
      </c>
      <c r="N1198" s="312" t="s">
        <v>1844</v>
      </c>
      <c r="O1198" s="144" t="s">
        <v>1845</v>
      </c>
      <c r="P1198" s="140" t="s">
        <v>1862</v>
      </c>
      <c r="Q1198" s="140"/>
      <c r="R1198" s="144"/>
      <c r="S1198" s="140"/>
      <c r="T1198" s="140"/>
      <c r="U1198" s="140"/>
      <c r="V1198" s="140"/>
      <c r="W1198" s="144" t="s">
        <v>1845</v>
      </c>
      <c r="X1198" s="286"/>
      <c r="Y1198" s="128"/>
      <c r="Z1198" s="140"/>
      <c r="AA1198" s="140"/>
      <c r="AB1198" s="135"/>
      <c r="AC1198" s="135"/>
      <c r="AD1198" s="135"/>
      <c r="AE1198" s="140"/>
      <c r="AF1198" s="140"/>
      <c r="AG1198" s="135"/>
      <c r="AH1198" s="318"/>
      <c r="AI1198" s="286"/>
      <c r="AJ1198" s="287"/>
      <c r="AK1198" s="140"/>
      <c r="AL1198" s="140"/>
    </row>
    <row r="1199" ht="15.0" customHeight="1">
      <c r="A1199" s="400" t="s">
        <v>1742</v>
      </c>
      <c r="B1199" s="138">
        <v>50404.0</v>
      </c>
      <c r="C1199" s="396">
        <v>1.0</v>
      </c>
      <c r="D1199" s="122" t="s">
        <v>1844</v>
      </c>
      <c r="E1199" s="125" t="s">
        <v>34</v>
      </c>
      <c r="F1199" s="303" t="s">
        <v>1844</v>
      </c>
      <c r="G1199" s="269" t="s">
        <v>3470</v>
      </c>
      <c r="H1199" s="269" t="s">
        <v>1844</v>
      </c>
      <c r="I1199" s="128" t="s">
        <v>1843</v>
      </c>
      <c r="J1199" s="136" t="s">
        <v>1876</v>
      </c>
      <c r="K1199" s="136" t="s">
        <v>2348</v>
      </c>
      <c r="L1199" s="136" t="s">
        <v>1878</v>
      </c>
      <c r="M1199" s="136" t="s">
        <v>1845</v>
      </c>
      <c r="N1199" s="312" t="s">
        <v>1844</v>
      </c>
      <c r="O1199" s="144" t="s">
        <v>1845</v>
      </c>
      <c r="P1199" s="140" t="s">
        <v>1862</v>
      </c>
      <c r="Q1199" s="140"/>
      <c r="R1199" s="144"/>
      <c r="S1199" s="140"/>
      <c r="T1199" s="140"/>
      <c r="U1199" s="140"/>
      <c r="V1199" s="140"/>
      <c r="W1199" s="144"/>
      <c r="X1199" s="286" t="s">
        <v>1845</v>
      </c>
      <c r="Y1199" s="128"/>
      <c r="Z1199" s="140"/>
      <c r="AA1199" s="140"/>
      <c r="AB1199" s="135"/>
      <c r="AC1199" s="135"/>
      <c r="AD1199" s="135"/>
      <c r="AE1199" s="140"/>
      <c r="AF1199" s="140"/>
      <c r="AG1199" s="135"/>
      <c r="AH1199" s="318"/>
      <c r="AI1199" s="286"/>
      <c r="AJ1199" s="287"/>
      <c r="AK1199" s="140"/>
      <c r="AL1199" s="140"/>
    </row>
    <row r="1200" ht="15.0" customHeight="1">
      <c r="A1200" s="400" t="s">
        <v>1742</v>
      </c>
      <c r="B1200" s="138">
        <v>50406.0</v>
      </c>
      <c r="C1200" s="396">
        <v>1.0</v>
      </c>
      <c r="D1200" s="122" t="s">
        <v>1844</v>
      </c>
      <c r="E1200" s="125" t="s">
        <v>34</v>
      </c>
      <c r="F1200" s="303" t="s">
        <v>1844</v>
      </c>
      <c r="G1200" s="269" t="s">
        <v>3471</v>
      </c>
      <c r="H1200" s="269" t="s">
        <v>1844</v>
      </c>
      <c r="I1200" s="128" t="s">
        <v>1843</v>
      </c>
      <c r="J1200" s="136" t="s">
        <v>1876</v>
      </c>
      <c r="K1200" s="136" t="s">
        <v>2348</v>
      </c>
      <c r="L1200" s="136" t="s">
        <v>1878</v>
      </c>
      <c r="M1200" s="136" t="s">
        <v>1845</v>
      </c>
      <c r="N1200" s="312" t="s">
        <v>1844</v>
      </c>
      <c r="O1200" s="144" t="s">
        <v>1845</v>
      </c>
      <c r="P1200" s="140" t="s">
        <v>1862</v>
      </c>
      <c r="Q1200" s="140" t="s">
        <v>1845</v>
      </c>
      <c r="R1200" s="144"/>
      <c r="S1200" s="140"/>
      <c r="T1200" s="140"/>
      <c r="U1200" s="140"/>
      <c r="V1200" s="140"/>
      <c r="W1200" s="144"/>
      <c r="X1200" s="286"/>
      <c r="Y1200" s="128"/>
      <c r="Z1200" s="140"/>
      <c r="AA1200" s="140"/>
      <c r="AB1200" s="135"/>
      <c r="AC1200" s="135"/>
      <c r="AD1200" s="135"/>
      <c r="AE1200" s="140"/>
      <c r="AF1200" s="140"/>
      <c r="AG1200" s="135"/>
      <c r="AH1200" s="318"/>
      <c r="AI1200" s="286"/>
      <c r="AJ1200" s="287"/>
      <c r="AK1200" s="140"/>
      <c r="AL1200" s="140"/>
    </row>
    <row r="1201" ht="15.0" customHeight="1">
      <c r="A1201" s="400" t="s">
        <v>1742</v>
      </c>
      <c r="B1201" s="138">
        <v>50410.0</v>
      </c>
      <c r="C1201" s="396">
        <v>1.0</v>
      </c>
      <c r="D1201" s="122" t="s">
        <v>1844</v>
      </c>
      <c r="E1201" s="125" t="s">
        <v>34</v>
      </c>
      <c r="F1201" s="303" t="s">
        <v>1844</v>
      </c>
      <c r="G1201" s="269" t="s">
        <v>3472</v>
      </c>
      <c r="H1201" s="269" t="s">
        <v>1844</v>
      </c>
      <c r="I1201" s="128" t="s">
        <v>1843</v>
      </c>
      <c r="J1201" s="136" t="s">
        <v>1876</v>
      </c>
      <c r="K1201" s="136" t="s">
        <v>2348</v>
      </c>
      <c r="L1201" s="136" t="s">
        <v>1878</v>
      </c>
      <c r="M1201" s="136" t="s">
        <v>1845</v>
      </c>
      <c r="N1201" s="312" t="s">
        <v>1844</v>
      </c>
      <c r="O1201" s="144" t="s">
        <v>1845</v>
      </c>
      <c r="P1201" s="140" t="s">
        <v>1862</v>
      </c>
      <c r="Q1201" s="140"/>
      <c r="R1201" s="144"/>
      <c r="S1201" s="140" t="s">
        <v>1845</v>
      </c>
      <c r="T1201" s="140"/>
      <c r="U1201" s="140"/>
      <c r="V1201" s="140"/>
      <c r="W1201" s="144"/>
      <c r="X1201" s="286" t="s">
        <v>1845</v>
      </c>
      <c r="Y1201" s="128"/>
      <c r="Z1201" s="140"/>
      <c r="AA1201" s="140"/>
      <c r="AB1201" s="135"/>
      <c r="AC1201" s="135"/>
      <c r="AD1201" s="135"/>
      <c r="AE1201" s="140"/>
      <c r="AF1201" s="140"/>
      <c r="AG1201" s="135"/>
      <c r="AH1201" s="318"/>
      <c r="AI1201" s="286"/>
      <c r="AJ1201" s="287"/>
      <c r="AK1201" s="140"/>
      <c r="AL1201" s="140"/>
    </row>
    <row r="1202" ht="15.0" customHeight="1">
      <c r="A1202" s="400" t="s">
        <v>1742</v>
      </c>
      <c r="B1202" s="138">
        <v>50411.0</v>
      </c>
      <c r="C1202" s="396">
        <v>1.0</v>
      </c>
      <c r="D1202" s="122" t="s">
        <v>1844</v>
      </c>
      <c r="E1202" s="125" t="s">
        <v>34</v>
      </c>
      <c r="F1202" s="303" t="s">
        <v>1844</v>
      </c>
      <c r="G1202" s="269" t="s">
        <v>3473</v>
      </c>
      <c r="H1202" s="269" t="s">
        <v>1844</v>
      </c>
      <c r="I1202" s="128" t="s">
        <v>1843</v>
      </c>
      <c r="J1202" s="136" t="s">
        <v>1876</v>
      </c>
      <c r="K1202" s="136" t="s">
        <v>2348</v>
      </c>
      <c r="L1202" s="136" t="s">
        <v>1878</v>
      </c>
      <c r="M1202" s="136" t="s">
        <v>1845</v>
      </c>
      <c r="N1202" s="312" t="s">
        <v>1844</v>
      </c>
      <c r="O1202" s="144" t="s">
        <v>1845</v>
      </c>
      <c r="P1202" s="140" t="s">
        <v>1862</v>
      </c>
      <c r="Q1202" s="140"/>
      <c r="R1202" s="144"/>
      <c r="S1202" s="140" t="s">
        <v>1845</v>
      </c>
      <c r="T1202" s="140"/>
      <c r="U1202" s="140"/>
      <c r="V1202" s="140"/>
      <c r="W1202" s="144"/>
      <c r="X1202" s="286" t="s">
        <v>1845</v>
      </c>
      <c r="Y1202" s="128"/>
      <c r="Z1202" s="140"/>
      <c r="AA1202" s="140"/>
      <c r="AB1202" s="135"/>
      <c r="AC1202" s="135"/>
      <c r="AD1202" s="135"/>
      <c r="AE1202" s="140"/>
      <c r="AF1202" s="140"/>
      <c r="AG1202" s="135"/>
      <c r="AH1202" s="318"/>
      <c r="AI1202" s="286"/>
      <c r="AJ1202" s="287"/>
      <c r="AK1202" s="140"/>
      <c r="AL1202" s="140"/>
    </row>
    <row r="1203" ht="15.0" customHeight="1">
      <c r="A1203" s="400" t="s">
        <v>1742</v>
      </c>
      <c r="B1203" s="138">
        <v>50414.0</v>
      </c>
      <c r="C1203" s="396">
        <v>1.0</v>
      </c>
      <c r="D1203" s="122" t="s">
        <v>1844</v>
      </c>
      <c r="E1203" s="125" t="s">
        <v>34</v>
      </c>
      <c r="F1203" s="303" t="s">
        <v>1844</v>
      </c>
      <c r="G1203" s="269" t="s">
        <v>3474</v>
      </c>
      <c r="H1203" s="269" t="s">
        <v>1844</v>
      </c>
      <c r="I1203" s="128" t="s">
        <v>1843</v>
      </c>
      <c r="J1203" s="136" t="s">
        <v>1876</v>
      </c>
      <c r="K1203" s="136" t="s">
        <v>2348</v>
      </c>
      <c r="L1203" s="136" t="s">
        <v>1884</v>
      </c>
      <c r="M1203" s="136" t="s">
        <v>1845</v>
      </c>
      <c r="N1203" s="312" t="s">
        <v>1844</v>
      </c>
      <c r="O1203" s="144" t="s">
        <v>1845</v>
      </c>
      <c r="P1203" s="140" t="s">
        <v>1862</v>
      </c>
      <c r="Q1203" s="140"/>
      <c r="R1203" s="144"/>
      <c r="S1203" s="140" t="s">
        <v>1845</v>
      </c>
      <c r="T1203" s="140"/>
      <c r="U1203" s="140"/>
      <c r="V1203" s="140"/>
      <c r="W1203" s="144"/>
      <c r="X1203" s="286"/>
      <c r="Y1203" s="128"/>
      <c r="Z1203" s="140"/>
      <c r="AA1203" s="140"/>
      <c r="AB1203" s="135"/>
      <c r="AC1203" s="135"/>
      <c r="AD1203" s="135"/>
      <c r="AE1203" s="140"/>
      <c r="AF1203" s="140"/>
      <c r="AG1203" s="135"/>
      <c r="AH1203" s="318"/>
      <c r="AI1203" s="286"/>
      <c r="AJ1203" s="287"/>
      <c r="AK1203" s="140"/>
      <c r="AL1203" s="140"/>
    </row>
    <row r="1204" ht="15.0" customHeight="1">
      <c r="A1204" s="400" t="s">
        <v>1742</v>
      </c>
      <c r="B1204" s="138">
        <v>50416.0</v>
      </c>
      <c r="C1204" s="396">
        <v>1.0</v>
      </c>
      <c r="D1204" s="122" t="s">
        <v>1844</v>
      </c>
      <c r="E1204" s="125" t="s">
        <v>34</v>
      </c>
      <c r="F1204" s="303" t="s">
        <v>1844</v>
      </c>
      <c r="G1204" s="269" t="s">
        <v>3475</v>
      </c>
      <c r="H1204" s="269" t="s">
        <v>1844</v>
      </c>
      <c r="I1204" s="128" t="s">
        <v>1843</v>
      </c>
      <c r="J1204" s="136" t="s">
        <v>1876</v>
      </c>
      <c r="K1204" s="136" t="s">
        <v>2348</v>
      </c>
      <c r="L1204" s="136" t="s">
        <v>1878</v>
      </c>
      <c r="M1204" s="136" t="s">
        <v>1845</v>
      </c>
      <c r="N1204" s="312" t="s">
        <v>1844</v>
      </c>
      <c r="O1204" s="144" t="s">
        <v>1845</v>
      </c>
      <c r="P1204" s="128" t="s">
        <v>1862</v>
      </c>
      <c r="Q1204" s="128"/>
      <c r="R1204" s="144"/>
      <c r="S1204" s="128"/>
      <c r="T1204" s="128"/>
      <c r="U1204" s="128"/>
      <c r="V1204" s="137"/>
      <c r="W1204" s="140" t="s">
        <v>1845</v>
      </c>
      <c r="X1204" s="297" t="s">
        <v>1845</v>
      </c>
      <c r="Y1204" s="128"/>
      <c r="Z1204" s="128"/>
      <c r="AA1204" s="128"/>
      <c r="AB1204" s="135"/>
      <c r="AC1204" s="135"/>
      <c r="AD1204" s="135"/>
      <c r="AE1204" s="140"/>
      <c r="AF1204" s="140"/>
      <c r="AG1204" s="135"/>
      <c r="AH1204" s="318"/>
      <c r="AI1204" s="286"/>
      <c r="AJ1204" s="287"/>
      <c r="AK1204" s="140"/>
      <c r="AL1204" s="140"/>
    </row>
    <row r="1205" ht="15.0" customHeight="1">
      <c r="A1205" s="400" t="s">
        <v>1742</v>
      </c>
      <c r="B1205" s="138">
        <v>50430.0</v>
      </c>
      <c r="C1205" s="396">
        <v>1.0</v>
      </c>
      <c r="D1205" s="122" t="s">
        <v>1844</v>
      </c>
      <c r="E1205" s="125" t="s">
        <v>34</v>
      </c>
      <c r="F1205" s="303" t="s">
        <v>1844</v>
      </c>
      <c r="G1205" s="269" t="s">
        <v>3476</v>
      </c>
      <c r="H1205" s="269" t="s">
        <v>1844</v>
      </c>
      <c r="I1205" s="128" t="s">
        <v>1843</v>
      </c>
      <c r="J1205" s="136" t="s">
        <v>1902</v>
      </c>
      <c r="K1205" s="136" t="s">
        <v>1877</v>
      </c>
      <c r="L1205" s="136" t="s">
        <v>1844</v>
      </c>
      <c r="M1205" s="136" t="s">
        <v>1845</v>
      </c>
      <c r="N1205" s="135" t="s">
        <v>1903</v>
      </c>
      <c r="O1205" s="144" t="s">
        <v>1845</v>
      </c>
      <c r="P1205" s="128" t="s">
        <v>1862</v>
      </c>
      <c r="Q1205" s="287"/>
      <c r="R1205" s="140"/>
      <c r="S1205" s="297" t="s">
        <v>1845</v>
      </c>
      <c r="T1205" s="286"/>
      <c r="U1205" s="286"/>
      <c r="V1205" s="287"/>
      <c r="W1205" s="135"/>
      <c r="X1205" s="286"/>
      <c r="Y1205" s="286"/>
      <c r="Z1205" s="406"/>
      <c r="AA1205" s="286"/>
      <c r="AB1205" s="135"/>
      <c r="AC1205" s="135"/>
      <c r="AD1205" s="135"/>
      <c r="AE1205" s="135"/>
      <c r="AF1205" s="318"/>
      <c r="AG1205" s="135"/>
      <c r="AH1205" s="318"/>
      <c r="AI1205" s="286"/>
      <c r="AJ1205" s="287"/>
      <c r="AK1205" s="140"/>
      <c r="AL1205" s="140"/>
    </row>
    <row r="1206" ht="15.0" customHeight="1">
      <c r="A1206" s="400" t="s">
        <v>1742</v>
      </c>
      <c r="B1206" s="138">
        <v>50435.0</v>
      </c>
      <c r="C1206" s="396">
        <v>1.0</v>
      </c>
      <c r="D1206" s="122" t="s">
        <v>1844</v>
      </c>
      <c r="E1206" s="125" t="s">
        <v>34</v>
      </c>
      <c r="F1206" s="303" t="s">
        <v>1844</v>
      </c>
      <c r="G1206" s="269" t="s">
        <v>3477</v>
      </c>
      <c r="H1206" s="269" t="s">
        <v>1844</v>
      </c>
      <c r="I1206" s="128" t="s">
        <v>1843</v>
      </c>
      <c r="J1206" s="186" t="s">
        <v>1876</v>
      </c>
      <c r="K1206" s="128" t="s">
        <v>2348</v>
      </c>
      <c r="L1206" s="136" t="s">
        <v>1878</v>
      </c>
      <c r="M1206" s="136" t="s">
        <v>1845</v>
      </c>
      <c r="N1206" s="144" t="s">
        <v>1844</v>
      </c>
      <c r="O1206" s="144" t="s">
        <v>1845</v>
      </c>
      <c r="P1206" s="144" t="s">
        <v>1862</v>
      </c>
      <c r="Q1206" s="140" t="s">
        <v>1845</v>
      </c>
      <c r="R1206" s="140"/>
      <c r="S1206" s="140"/>
      <c r="T1206" s="140"/>
      <c r="U1206" s="140"/>
      <c r="V1206" s="140"/>
      <c r="W1206" s="144"/>
      <c r="X1206" s="136"/>
      <c r="Y1206" s="136"/>
      <c r="Z1206" s="140"/>
      <c r="AA1206" s="135"/>
      <c r="AB1206" s="135"/>
      <c r="AC1206" s="135"/>
      <c r="AD1206" s="135"/>
      <c r="AE1206" s="135"/>
      <c r="AF1206" s="135"/>
      <c r="AG1206" s="135"/>
      <c r="AH1206" s="140"/>
      <c r="AI1206" s="128"/>
      <c r="AJ1206" s="137"/>
      <c r="AK1206" s="140"/>
      <c r="AL1206" s="140"/>
    </row>
    <row r="1207" ht="15.0" customHeight="1">
      <c r="A1207" s="400" t="s">
        <v>1742</v>
      </c>
      <c r="B1207" s="138">
        <v>50437.0</v>
      </c>
      <c r="C1207" s="396">
        <v>1.0</v>
      </c>
      <c r="D1207" s="122" t="s">
        <v>1844</v>
      </c>
      <c r="E1207" s="125" t="s">
        <v>34</v>
      </c>
      <c r="F1207" s="303" t="s">
        <v>1844</v>
      </c>
      <c r="G1207" s="269" t="s">
        <v>3478</v>
      </c>
      <c r="H1207" s="269" t="s">
        <v>1844</v>
      </c>
      <c r="I1207" s="128" t="s">
        <v>1906</v>
      </c>
      <c r="J1207" s="186" t="s">
        <v>1876</v>
      </c>
      <c r="K1207" s="128" t="s">
        <v>2348</v>
      </c>
      <c r="L1207" s="136" t="s">
        <v>1878</v>
      </c>
      <c r="M1207" s="136" t="s">
        <v>1845</v>
      </c>
      <c r="N1207" s="144" t="s">
        <v>1844</v>
      </c>
      <c r="O1207" s="144" t="s">
        <v>1845</v>
      </c>
      <c r="P1207" s="144" t="s">
        <v>1862</v>
      </c>
      <c r="Q1207" s="144"/>
      <c r="R1207" s="144"/>
      <c r="S1207" s="144"/>
      <c r="T1207" s="144"/>
      <c r="U1207" s="144"/>
      <c r="V1207" s="296" t="s">
        <v>1845</v>
      </c>
      <c r="W1207" s="140"/>
      <c r="X1207" s="186"/>
      <c r="Y1207" s="136"/>
      <c r="Z1207" s="140"/>
      <c r="AA1207" s="140"/>
      <c r="AB1207" s="140"/>
      <c r="AC1207" s="140"/>
      <c r="AD1207" s="140"/>
      <c r="AE1207" s="140"/>
      <c r="AF1207" s="140"/>
      <c r="AG1207" s="140"/>
      <c r="AH1207" s="140"/>
      <c r="AI1207" s="128"/>
      <c r="AJ1207" s="137"/>
      <c r="AK1207" s="140"/>
      <c r="AL1207" s="140"/>
    </row>
    <row r="1208" ht="15.0" customHeight="1">
      <c r="A1208" s="400" t="s">
        <v>1742</v>
      </c>
      <c r="B1208" s="138">
        <v>50446.0</v>
      </c>
      <c r="C1208" s="396">
        <v>1.0</v>
      </c>
      <c r="D1208" s="122" t="s">
        <v>1844</v>
      </c>
      <c r="E1208" s="125" t="s">
        <v>34</v>
      </c>
      <c r="F1208" s="303" t="s">
        <v>1844</v>
      </c>
      <c r="G1208" s="269" t="s">
        <v>3479</v>
      </c>
      <c r="H1208" s="269" t="s">
        <v>1844</v>
      </c>
      <c r="I1208" s="140" t="s">
        <v>1843</v>
      </c>
      <c r="J1208" s="186" t="s">
        <v>1876</v>
      </c>
      <c r="K1208" s="128" t="s">
        <v>2348</v>
      </c>
      <c r="L1208" s="136" t="s">
        <v>1844</v>
      </c>
      <c r="M1208" s="136" t="s">
        <v>1845</v>
      </c>
      <c r="N1208" s="144" t="s">
        <v>1844</v>
      </c>
      <c r="O1208" s="144" t="s">
        <v>1845</v>
      </c>
      <c r="P1208" s="144" t="s">
        <v>1862</v>
      </c>
      <c r="Q1208" s="144"/>
      <c r="R1208" s="144" t="s">
        <v>1845</v>
      </c>
      <c r="S1208" s="144"/>
      <c r="T1208" s="144" t="s">
        <v>1845</v>
      </c>
      <c r="U1208" s="144"/>
      <c r="V1208" s="144"/>
      <c r="W1208" s="293"/>
      <c r="X1208" s="136"/>
      <c r="Y1208" s="136"/>
      <c r="Z1208" s="140"/>
      <c r="AA1208" s="140"/>
      <c r="AB1208" s="140"/>
      <c r="AC1208" s="140"/>
      <c r="AD1208" s="140"/>
      <c r="AE1208" s="140"/>
      <c r="AF1208" s="140"/>
      <c r="AG1208" s="140"/>
      <c r="AH1208" s="140"/>
      <c r="AI1208" s="128"/>
      <c r="AJ1208" s="137"/>
      <c r="AK1208" s="140"/>
      <c r="AL1208" s="140"/>
    </row>
    <row r="1209" ht="15.0" customHeight="1">
      <c r="A1209" s="400" t="s">
        <v>1742</v>
      </c>
      <c r="B1209" s="138">
        <v>50461.0</v>
      </c>
      <c r="C1209" s="396">
        <v>1.0</v>
      </c>
      <c r="D1209" s="122" t="s">
        <v>1844</v>
      </c>
      <c r="E1209" s="125" t="s">
        <v>34</v>
      </c>
      <c r="F1209" s="303" t="s">
        <v>1844</v>
      </c>
      <c r="G1209" s="269" t="s">
        <v>3480</v>
      </c>
      <c r="H1209" s="269" t="s">
        <v>1844</v>
      </c>
      <c r="I1209" s="128" t="s">
        <v>1843</v>
      </c>
      <c r="J1209" s="186" t="s">
        <v>1876</v>
      </c>
      <c r="K1209" s="128" t="s">
        <v>2348</v>
      </c>
      <c r="L1209" s="136" t="s">
        <v>1844</v>
      </c>
      <c r="M1209" s="136" t="s">
        <v>1845</v>
      </c>
      <c r="N1209" s="144" t="s">
        <v>1844</v>
      </c>
      <c r="O1209" s="144" t="s">
        <v>1845</v>
      </c>
      <c r="P1209" s="136" t="s">
        <v>1862</v>
      </c>
      <c r="Q1209" s="144"/>
      <c r="R1209" s="144"/>
      <c r="S1209" s="136"/>
      <c r="T1209" s="144"/>
      <c r="U1209" s="144"/>
      <c r="V1209" s="144"/>
      <c r="W1209" s="144" t="s">
        <v>1845</v>
      </c>
      <c r="X1209" s="136" t="s">
        <v>1845</v>
      </c>
      <c r="Y1209" s="136"/>
      <c r="Z1209" s="140"/>
      <c r="AA1209" s="140"/>
      <c r="AB1209" s="128"/>
      <c r="AC1209" s="128"/>
      <c r="AD1209" s="128"/>
      <c r="AE1209" s="128"/>
      <c r="AF1209" s="128"/>
      <c r="AG1209" s="140"/>
      <c r="AH1209" s="128"/>
      <c r="AI1209" s="128"/>
      <c r="AJ1209" s="137"/>
      <c r="AK1209" s="140"/>
      <c r="AL1209" s="140"/>
    </row>
    <row r="1210" ht="15.0" customHeight="1">
      <c r="A1210" s="400" t="s">
        <v>1742</v>
      </c>
      <c r="B1210" s="138">
        <v>50462.0</v>
      </c>
      <c r="C1210" s="396">
        <v>1.0</v>
      </c>
      <c r="D1210" s="122" t="s">
        <v>1844</v>
      </c>
      <c r="E1210" s="125" t="s">
        <v>34</v>
      </c>
      <c r="F1210" s="303" t="s">
        <v>1844</v>
      </c>
      <c r="G1210" s="269" t="s">
        <v>3481</v>
      </c>
      <c r="H1210" s="269" t="s">
        <v>1844</v>
      </c>
      <c r="I1210" s="136" t="s">
        <v>1843</v>
      </c>
      <c r="J1210" s="186" t="s">
        <v>1876</v>
      </c>
      <c r="K1210" s="136" t="s">
        <v>2348</v>
      </c>
      <c r="L1210" s="136" t="s">
        <v>1878</v>
      </c>
      <c r="M1210" s="136" t="s">
        <v>1845</v>
      </c>
      <c r="N1210" s="144" t="s">
        <v>1844</v>
      </c>
      <c r="O1210" s="144" t="s">
        <v>1845</v>
      </c>
      <c r="P1210" s="136" t="s">
        <v>1862</v>
      </c>
      <c r="Q1210" s="144"/>
      <c r="R1210" s="144"/>
      <c r="S1210" s="136" t="s">
        <v>1845</v>
      </c>
      <c r="T1210" s="144"/>
      <c r="U1210" s="144"/>
      <c r="V1210" s="144"/>
      <c r="W1210" s="144"/>
      <c r="X1210" s="136"/>
      <c r="Y1210" s="136"/>
      <c r="Z1210" s="144"/>
      <c r="AA1210" s="144"/>
      <c r="AB1210" s="136"/>
      <c r="AC1210" s="136"/>
      <c r="AD1210" s="136"/>
      <c r="AE1210" s="136"/>
      <c r="AF1210" s="136"/>
      <c r="AG1210" s="144"/>
      <c r="AH1210" s="136"/>
      <c r="AI1210" s="136"/>
      <c r="AJ1210" s="316"/>
      <c r="AK1210" s="140"/>
      <c r="AL1210" s="140"/>
    </row>
    <row r="1211" ht="15.0" customHeight="1">
      <c r="A1211" s="400" t="s">
        <v>1742</v>
      </c>
      <c r="B1211" s="138">
        <v>50463.0</v>
      </c>
      <c r="C1211" s="396">
        <v>1.0</v>
      </c>
      <c r="D1211" s="122" t="s">
        <v>1844</v>
      </c>
      <c r="E1211" s="125" t="s">
        <v>34</v>
      </c>
      <c r="F1211" s="303" t="s">
        <v>1844</v>
      </c>
      <c r="G1211" s="269" t="s">
        <v>3482</v>
      </c>
      <c r="H1211" s="269" t="s">
        <v>1844</v>
      </c>
      <c r="I1211" s="136" t="s">
        <v>1843</v>
      </c>
      <c r="J1211" s="186" t="s">
        <v>1876</v>
      </c>
      <c r="K1211" s="136" t="s">
        <v>1877</v>
      </c>
      <c r="L1211" s="136" t="s">
        <v>1844</v>
      </c>
      <c r="M1211" s="136" t="s">
        <v>1845</v>
      </c>
      <c r="N1211" s="144" t="s">
        <v>1844</v>
      </c>
      <c r="O1211" s="144" t="s">
        <v>1845</v>
      </c>
      <c r="P1211" s="136" t="s">
        <v>1862</v>
      </c>
      <c r="Q1211" s="144"/>
      <c r="R1211" s="144"/>
      <c r="S1211" s="136" t="s">
        <v>1845</v>
      </c>
      <c r="T1211" s="144"/>
      <c r="U1211" s="144"/>
      <c r="V1211" s="144"/>
      <c r="W1211" s="144"/>
      <c r="X1211" s="136"/>
      <c r="Y1211" s="136"/>
      <c r="Z1211" s="144"/>
      <c r="AA1211" s="144"/>
      <c r="AB1211" s="136"/>
      <c r="AC1211" s="136"/>
      <c r="AD1211" s="136"/>
      <c r="AE1211" s="136"/>
      <c r="AF1211" s="136"/>
      <c r="AG1211" s="144"/>
      <c r="AH1211" s="136"/>
      <c r="AI1211" s="136"/>
      <c r="AJ1211" s="316"/>
      <c r="AK1211" s="140"/>
      <c r="AL1211" s="140"/>
    </row>
    <row r="1212" ht="15.0" customHeight="1">
      <c r="A1212" s="400" t="s">
        <v>1742</v>
      </c>
      <c r="B1212" s="138">
        <v>50465.0</v>
      </c>
      <c r="C1212" s="396">
        <v>1.0</v>
      </c>
      <c r="D1212" s="122" t="s">
        <v>1844</v>
      </c>
      <c r="E1212" s="125" t="s">
        <v>34</v>
      </c>
      <c r="F1212" s="303" t="s">
        <v>1844</v>
      </c>
      <c r="G1212" s="269" t="s">
        <v>3483</v>
      </c>
      <c r="H1212" s="269" t="s">
        <v>1844</v>
      </c>
      <c r="I1212" s="128" t="s">
        <v>1843</v>
      </c>
      <c r="J1212" s="186" t="s">
        <v>1876</v>
      </c>
      <c r="K1212" s="128" t="s">
        <v>2348</v>
      </c>
      <c r="L1212" s="136" t="s">
        <v>1878</v>
      </c>
      <c r="M1212" s="136" t="s">
        <v>1845</v>
      </c>
      <c r="N1212" s="144" t="s">
        <v>1844</v>
      </c>
      <c r="O1212" s="144" t="s">
        <v>1845</v>
      </c>
      <c r="P1212" s="136" t="s">
        <v>1862</v>
      </c>
      <c r="Q1212" s="144"/>
      <c r="R1212" s="144"/>
      <c r="S1212" s="136" t="s">
        <v>1845</v>
      </c>
      <c r="T1212" s="144"/>
      <c r="U1212" s="144"/>
      <c r="V1212" s="144"/>
      <c r="W1212" s="144"/>
      <c r="X1212" s="136"/>
      <c r="Y1212" s="136"/>
      <c r="Z1212" s="140"/>
      <c r="AA1212" s="140"/>
      <c r="AB1212" s="128"/>
      <c r="AC1212" s="128"/>
      <c r="AD1212" s="128"/>
      <c r="AE1212" s="128"/>
      <c r="AF1212" s="128"/>
      <c r="AG1212" s="140"/>
      <c r="AH1212" s="128"/>
      <c r="AI1212" s="128"/>
      <c r="AJ1212" s="137"/>
      <c r="AK1212" s="140"/>
      <c r="AL1212" s="140"/>
    </row>
    <row r="1213" ht="15.0" customHeight="1">
      <c r="A1213" s="400" t="s">
        <v>1742</v>
      </c>
      <c r="B1213" s="138">
        <v>50471.0</v>
      </c>
      <c r="C1213" s="396">
        <v>1.0</v>
      </c>
      <c r="D1213" s="122" t="s">
        <v>1844</v>
      </c>
      <c r="E1213" s="125" t="s">
        <v>34</v>
      </c>
      <c r="F1213" s="303" t="s">
        <v>1844</v>
      </c>
      <c r="G1213" s="269" t="s">
        <v>3484</v>
      </c>
      <c r="H1213" s="269" t="s">
        <v>1844</v>
      </c>
      <c r="I1213" s="140" t="s">
        <v>1843</v>
      </c>
      <c r="J1213" s="186" t="s">
        <v>1876</v>
      </c>
      <c r="K1213" s="128" t="s">
        <v>2348</v>
      </c>
      <c r="L1213" s="136" t="s">
        <v>1844</v>
      </c>
      <c r="M1213" s="136" t="s">
        <v>1845</v>
      </c>
      <c r="N1213" s="135" t="s">
        <v>1844</v>
      </c>
      <c r="O1213" s="144" t="s">
        <v>1845</v>
      </c>
      <c r="P1213" s="128" t="s">
        <v>1862</v>
      </c>
      <c r="Q1213" s="144"/>
      <c r="R1213" s="144"/>
      <c r="S1213" s="136"/>
      <c r="T1213" s="144" t="s">
        <v>1845</v>
      </c>
      <c r="U1213" s="144"/>
      <c r="V1213" s="144"/>
      <c r="W1213" s="144"/>
      <c r="X1213" s="136"/>
      <c r="Y1213" s="136"/>
      <c r="Z1213" s="140"/>
      <c r="AA1213" s="140"/>
      <c r="AB1213" s="128"/>
      <c r="AC1213" s="128"/>
      <c r="AD1213" s="128"/>
      <c r="AE1213" s="128"/>
      <c r="AF1213" s="128"/>
      <c r="AG1213" s="140"/>
      <c r="AH1213" s="128"/>
      <c r="AI1213" s="128"/>
      <c r="AJ1213" s="137"/>
      <c r="AK1213" s="140"/>
      <c r="AL1213" s="140"/>
    </row>
    <row r="1214" ht="15.0" customHeight="1">
      <c r="A1214" s="400" t="s">
        <v>1742</v>
      </c>
      <c r="B1214" s="138">
        <v>50472.0</v>
      </c>
      <c r="C1214" s="396">
        <v>1.0</v>
      </c>
      <c r="D1214" s="122" t="s">
        <v>1844</v>
      </c>
      <c r="E1214" s="125" t="s">
        <v>34</v>
      </c>
      <c r="F1214" s="303" t="s">
        <v>1844</v>
      </c>
      <c r="G1214" s="269" t="s">
        <v>3485</v>
      </c>
      <c r="H1214" s="269" t="s">
        <v>1844</v>
      </c>
      <c r="I1214" s="128" t="s">
        <v>1843</v>
      </c>
      <c r="J1214" s="186" t="s">
        <v>1876</v>
      </c>
      <c r="K1214" s="128" t="s">
        <v>1877</v>
      </c>
      <c r="L1214" s="136" t="s">
        <v>1844</v>
      </c>
      <c r="M1214" s="136" t="s">
        <v>1845</v>
      </c>
      <c r="N1214" s="144">
        <v>1.0</v>
      </c>
      <c r="O1214" s="144" t="s">
        <v>1845</v>
      </c>
      <c r="P1214" s="136" t="s">
        <v>1862</v>
      </c>
      <c r="Q1214" s="144"/>
      <c r="R1214" s="144"/>
      <c r="S1214" s="136" t="s">
        <v>1845</v>
      </c>
      <c r="T1214" s="144"/>
      <c r="U1214" s="144"/>
      <c r="V1214" s="144"/>
      <c r="W1214" s="144"/>
      <c r="X1214" s="136"/>
      <c r="Y1214" s="136"/>
      <c r="Z1214" s="140"/>
      <c r="AA1214" s="140"/>
      <c r="AB1214" s="128"/>
      <c r="AC1214" s="128"/>
      <c r="AD1214" s="128"/>
      <c r="AE1214" s="128"/>
      <c r="AF1214" s="128"/>
      <c r="AG1214" s="140"/>
      <c r="AH1214" s="128"/>
      <c r="AI1214" s="128"/>
      <c r="AJ1214" s="137"/>
      <c r="AK1214" s="140"/>
      <c r="AL1214" s="140"/>
    </row>
    <row r="1215" ht="15.0" customHeight="1">
      <c r="A1215" s="400" t="s">
        <v>1742</v>
      </c>
      <c r="B1215" s="138">
        <v>50474.0</v>
      </c>
      <c r="C1215" s="396">
        <v>1.0</v>
      </c>
      <c r="D1215" s="122" t="s">
        <v>1844</v>
      </c>
      <c r="E1215" s="125" t="s">
        <v>34</v>
      </c>
      <c r="F1215" s="303" t="s">
        <v>1844</v>
      </c>
      <c r="G1215" s="269" t="s">
        <v>3486</v>
      </c>
      <c r="H1215" s="269" t="s">
        <v>1844</v>
      </c>
      <c r="I1215" s="128" t="s">
        <v>1843</v>
      </c>
      <c r="J1215" s="186" t="s">
        <v>1876</v>
      </c>
      <c r="K1215" s="136" t="s">
        <v>2348</v>
      </c>
      <c r="L1215" s="136" t="s">
        <v>1844</v>
      </c>
      <c r="M1215" s="136" t="s">
        <v>1845</v>
      </c>
      <c r="N1215" s="144" t="s">
        <v>1844</v>
      </c>
      <c r="O1215" s="144" t="s">
        <v>1845</v>
      </c>
      <c r="P1215" s="128" t="s">
        <v>1862</v>
      </c>
      <c r="Q1215" s="140"/>
      <c r="R1215" s="144" t="s">
        <v>1845</v>
      </c>
      <c r="S1215" s="128" t="s">
        <v>1845</v>
      </c>
      <c r="T1215" s="140"/>
      <c r="U1215" s="140"/>
      <c r="V1215" s="140"/>
      <c r="W1215" s="144"/>
      <c r="X1215" s="136"/>
      <c r="Y1215" s="128"/>
      <c r="Z1215" s="140"/>
      <c r="AA1215" s="140"/>
      <c r="AB1215" s="136"/>
      <c r="AC1215" s="136"/>
      <c r="AD1215" s="136"/>
      <c r="AE1215" s="128"/>
      <c r="AF1215" s="128"/>
      <c r="AG1215" s="144"/>
      <c r="AH1215" s="136"/>
      <c r="AI1215" s="136"/>
      <c r="AJ1215" s="316"/>
      <c r="AK1215" s="140"/>
      <c r="AL1215" s="140"/>
    </row>
    <row r="1216" ht="15.0" customHeight="1">
      <c r="A1216" s="400" t="s">
        <v>1742</v>
      </c>
      <c r="B1216" s="138">
        <v>50475.0</v>
      </c>
      <c r="C1216" s="396">
        <v>1.0</v>
      </c>
      <c r="D1216" s="122" t="s">
        <v>1844</v>
      </c>
      <c r="E1216" s="125" t="s">
        <v>34</v>
      </c>
      <c r="F1216" s="303" t="s">
        <v>1844</v>
      </c>
      <c r="G1216" s="269" t="s">
        <v>3487</v>
      </c>
      <c r="H1216" s="269" t="s">
        <v>1844</v>
      </c>
      <c r="I1216" s="136" t="s">
        <v>1906</v>
      </c>
      <c r="J1216" s="186" t="s">
        <v>1902</v>
      </c>
      <c r="K1216" s="136" t="s">
        <v>1877</v>
      </c>
      <c r="L1216" s="136" t="s">
        <v>1844</v>
      </c>
      <c r="M1216" s="136" t="s">
        <v>1845</v>
      </c>
      <c r="N1216" s="144">
        <v>1.0</v>
      </c>
      <c r="O1216" s="144" t="s">
        <v>1845</v>
      </c>
      <c r="P1216" s="136" t="s">
        <v>1862</v>
      </c>
      <c r="Q1216" s="144"/>
      <c r="R1216" s="144"/>
      <c r="S1216" s="136"/>
      <c r="T1216" s="144"/>
      <c r="U1216" s="144" t="s">
        <v>1845</v>
      </c>
      <c r="V1216" s="144"/>
      <c r="W1216" s="144"/>
      <c r="X1216" s="136" t="s">
        <v>1845</v>
      </c>
      <c r="Y1216" s="136"/>
      <c r="Z1216" s="144"/>
      <c r="AA1216" s="144"/>
      <c r="AB1216" s="136"/>
      <c r="AC1216" s="136"/>
      <c r="AD1216" s="136"/>
      <c r="AE1216" s="136"/>
      <c r="AF1216" s="136"/>
      <c r="AG1216" s="144"/>
      <c r="AH1216" s="136"/>
      <c r="AI1216" s="136"/>
      <c r="AJ1216" s="316"/>
      <c r="AK1216" s="140"/>
      <c r="AL1216" s="140"/>
    </row>
    <row r="1217" ht="15.0" customHeight="1">
      <c r="A1217" s="400" t="s">
        <v>1742</v>
      </c>
      <c r="B1217" s="138">
        <v>50480.0</v>
      </c>
      <c r="C1217" s="396">
        <v>1.0</v>
      </c>
      <c r="D1217" s="122" t="s">
        <v>1844</v>
      </c>
      <c r="E1217" s="125" t="s">
        <v>34</v>
      </c>
      <c r="F1217" s="303" t="s">
        <v>1844</v>
      </c>
      <c r="G1217" s="269" t="s">
        <v>3488</v>
      </c>
      <c r="H1217" s="269" t="s">
        <v>1844</v>
      </c>
      <c r="I1217" s="136" t="s">
        <v>1843</v>
      </c>
      <c r="J1217" s="186" t="s">
        <v>1902</v>
      </c>
      <c r="K1217" s="136" t="s">
        <v>1877</v>
      </c>
      <c r="L1217" s="136" t="s">
        <v>1878</v>
      </c>
      <c r="M1217" s="136" t="s">
        <v>1845</v>
      </c>
      <c r="N1217" s="144" t="s">
        <v>1903</v>
      </c>
      <c r="O1217" s="144" t="s">
        <v>1845</v>
      </c>
      <c r="P1217" s="144" t="s">
        <v>1862</v>
      </c>
      <c r="Q1217" s="144"/>
      <c r="R1217" s="144"/>
      <c r="S1217" s="144" t="s">
        <v>1845</v>
      </c>
      <c r="T1217" s="144"/>
      <c r="U1217" s="144"/>
      <c r="V1217" s="144"/>
      <c r="W1217" s="144"/>
      <c r="X1217" s="136"/>
      <c r="Y1217" s="136"/>
      <c r="Z1217" s="144"/>
      <c r="AA1217" s="144"/>
      <c r="AB1217" s="144"/>
      <c r="AC1217" s="144"/>
      <c r="AD1217" s="144"/>
      <c r="AE1217" s="144"/>
      <c r="AF1217" s="144"/>
      <c r="AG1217" s="144"/>
      <c r="AH1217" s="136"/>
      <c r="AI1217" s="136"/>
      <c r="AJ1217" s="316"/>
      <c r="AK1217" s="140"/>
      <c r="AL1217" s="140"/>
    </row>
    <row r="1218" ht="15.0" customHeight="1">
      <c r="A1218" s="400" t="s">
        <v>1742</v>
      </c>
      <c r="B1218" s="138">
        <v>50543.0</v>
      </c>
      <c r="C1218" s="396">
        <v>1.0</v>
      </c>
      <c r="D1218" s="122" t="s">
        <v>1844</v>
      </c>
      <c r="E1218" s="125" t="s">
        <v>34</v>
      </c>
      <c r="F1218" s="303" t="s">
        <v>1844</v>
      </c>
      <c r="G1218" s="383" t="s">
        <v>3489</v>
      </c>
      <c r="H1218" s="269" t="s">
        <v>1844</v>
      </c>
      <c r="I1218" s="128" t="s">
        <v>1843</v>
      </c>
      <c r="J1218" s="186" t="s">
        <v>1876</v>
      </c>
      <c r="K1218" s="170" t="s">
        <v>2348</v>
      </c>
      <c r="L1218" s="136" t="s">
        <v>1844</v>
      </c>
      <c r="M1218" s="136" t="s">
        <v>1845</v>
      </c>
      <c r="N1218" s="144" t="s">
        <v>1844</v>
      </c>
      <c r="O1218" s="144" t="s">
        <v>1845</v>
      </c>
      <c r="P1218" s="140" t="s">
        <v>1862</v>
      </c>
      <c r="Q1218" s="140"/>
      <c r="R1218" s="144" t="s">
        <v>1845</v>
      </c>
      <c r="S1218" s="144"/>
      <c r="T1218" s="144"/>
      <c r="U1218" s="144"/>
      <c r="V1218" s="144"/>
      <c r="W1218" s="144" t="s">
        <v>1845</v>
      </c>
      <c r="X1218" s="136"/>
      <c r="Y1218" s="136"/>
      <c r="Z1218" s="144"/>
      <c r="AA1218" s="144"/>
      <c r="AB1218" s="136"/>
      <c r="AC1218" s="136"/>
      <c r="AD1218" s="136"/>
      <c r="AE1218" s="136"/>
      <c r="AF1218" s="144"/>
      <c r="AG1218" s="144"/>
      <c r="AH1218" s="144"/>
      <c r="AI1218" s="136"/>
      <c r="AJ1218" s="316"/>
      <c r="AK1218" s="140"/>
      <c r="AL1218" s="140"/>
    </row>
    <row r="1219" ht="15.0" customHeight="1">
      <c r="A1219" s="400" t="s">
        <v>1742</v>
      </c>
      <c r="B1219" s="138">
        <v>50546.0</v>
      </c>
      <c r="C1219" s="396">
        <v>1.0</v>
      </c>
      <c r="D1219" s="122" t="s">
        <v>1844</v>
      </c>
      <c r="E1219" s="125" t="s">
        <v>34</v>
      </c>
      <c r="F1219" s="303" t="s">
        <v>1844</v>
      </c>
      <c r="G1219" s="269" t="s">
        <v>3490</v>
      </c>
      <c r="H1219" s="269" t="s">
        <v>1844</v>
      </c>
      <c r="I1219" s="136" t="s">
        <v>1906</v>
      </c>
      <c r="J1219" s="186" t="s">
        <v>1902</v>
      </c>
      <c r="K1219" s="136" t="s">
        <v>1877</v>
      </c>
      <c r="L1219" s="136" t="s">
        <v>1990</v>
      </c>
      <c r="M1219" s="136" t="s">
        <v>1845</v>
      </c>
      <c r="N1219" s="144" t="s">
        <v>1903</v>
      </c>
      <c r="O1219" s="144" t="s">
        <v>1845</v>
      </c>
      <c r="P1219" s="144" t="s">
        <v>1862</v>
      </c>
      <c r="Q1219" s="144"/>
      <c r="R1219" s="144"/>
      <c r="S1219" s="144"/>
      <c r="T1219" s="144"/>
      <c r="U1219" s="144" t="s">
        <v>1845</v>
      </c>
      <c r="V1219" s="144" t="s">
        <v>1845</v>
      </c>
      <c r="W1219" s="144"/>
      <c r="X1219" s="136"/>
      <c r="Y1219" s="136"/>
      <c r="Z1219" s="144"/>
      <c r="AA1219" s="144"/>
      <c r="AB1219" s="136"/>
      <c r="AC1219" s="136"/>
      <c r="AD1219" s="136"/>
      <c r="AE1219" s="136"/>
      <c r="AF1219" s="144"/>
      <c r="AG1219" s="144"/>
      <c r="AH1219" s="144"/>
      <c r="AI1219" s="136"/>
      <c r="AJ1219" s="316"/>
      <c r="AK1219" s="140"/>
      <c r="AL1219" s="140"/>
    </row>
    <row r="1220" ht="15.0" customHeight="1">
      <c r="A1220" s="400" t="s">
        <v>1742</v>
      </c>
      <c r="B1220" s="138">
        <v>50548.0</v>
      </c>
      <c r="C1220" s="396">
        <v>1.0</v>
      </c>
      <c r="D1220" s="122" t="s">
        <v>1844</v>
      </c>
      <c r="E1220" s="125" t="s">
        <v>34</v>
      </c>
      <c r="F1220" s="303" t="s">
        <v>1844</v>
      </c>
      <c r="G1220" s="269" t="s">
        <v>3491</v>
      </c>
      <c r="H1220" s="269" t="s">
        <v>1844</v>
      </c>
      <c r="I1220" s="136" t="s">
        <v>1906</v>
      </c>
      <c r="J1220" s="186" t="s">
        <v>1876</v>
      </c>
      <c r="K1220" s="136" t="s">
        <v>2348</v>
      </c>
      <c r="L1220" s="136" t="s">
        <v>1844</v>
      </c>
      <c r="M1220" s="136" t="s">
        <v>1845</v>
      </c>
      <c r="N1220" s="144" t="s">
        <v>1844</v>
      </c>
      <c r="O1220" s="144" t="s">
        <v>1845</v>
      </c>
      <c r="P1220" s="144" t="s">
        <v>1862</v>
      </c>
      <c r="Q1220" s="144"/>
      <c r="R1220" s="144"/>
      <c r="S1220" s="144"/>
      <c r="T1220" s="144"/>
      <c r="U1220" s="144"/>
      <c r="V1220" s="144" t="s">
        <v>1845</v>
      </c>
      <c r="W1220" s="144"/>
      <c r="X1220" s="136"/>
      <c r="Y1220" s="136"/>
      <c r="Z1220" s="144"/>
      <c r="AA1220" s="144"/>
      <c r="AB1220" s="136"/>
      <c r="AC1220" s="136"/>
      <c r="AD1220" s="136"/>
      <c r="AE1220" s="136"/>
      <c r="AF1220" s="144"/>
      <c r="AG1220" s="144"/>
      <c r="AH1220" s="144"/>
      <c r="AI1220" s="136"/>
      <c r="AJ1220" s="316"/>
      <c r="AK1220" s="140"/>
      <c r="AL1220" s="140"/>
    </row>
    <row r="1221" ht="15.0" customHeight="1">
      <c r="A1221" s="400" t="s">
        <v>1742</v>
      </c>
      <c r="B1221" s="138">
        <v>50553.0</v>
      </c>
      <c r="C1221" s="396">
        <v>1.0</v>
      </c>
      <c r="D1221" s="122" t="s">
        <v>1844</v>
      </c>
      <c r="E1221" s="125" t="s">
        <v>34</v>
      </c>
      <c r="F1221" s="303" t="s">
        <v>1844</v>
      </c>
      <c r="G1221" s="269" t="s">
        <v>3492</v>
      </c>
      <c r="H1221" s="269" t="s">
        <v>1844</v>
      </c>
      <c r="I1221" s="136" t="s">
        <v>1843</v>
      </c>
      <c r="J1221" s="186" t="s">
        <v>1876</v>
      </c>
      <c r="K1221" s="136" t="s">
        <v>2348</v>
      </c>
      <c r="L1221" s="136" t="s">
        <v>1844</v>
      </c>
      <c r="M1221" s="136" t="s">
        <v>1845</v>
      </c>
      <c r="N1221" s="144" t="s">
        <v>1844</v>
      </c>
      <c r="O1221" s="144" t="s">
        <v>1845</v>
      </c>
      <c r="P1221" s="144" t="s">
        <v>1862</v>
      </c>
      <c r="Q1221" s="144"/>
      <c r="R1221" s="144" t="s">
        <v>1845</v>
      </c>
      <c r="S1221" s="144"/>
      <c r="T1221" s="144"/>
      <c r="U1221" s="144"/>
      <c r="V1221" s="144"/>
      <c r="W1221" s="144"/>
      <c r="X1221" s="136"/>
      <c r="Y1221" s="136"/>
      <c r="Z1221" s="144"/>
      <c r="AA1221" s="144"/>
      <c r="AB1221" s="136"/>
      <c r="AC1221" s="136"/>
      <c r="AD1221" s="136"/>
      <c r="AE1221" s="136"/>
      <c r="AF1221" s="144"/>
      <c r="AG1221" s="144"/>
      <c r="AH1221" s="144"/>
      <c r="AI1221" s="136"/>
      <c r="AJ1221" s="316"/>
      <c r="AK1221" s="140"/>
      <c r="AL1221" s="140"/>
    </row>
    <row r="1222" ht="15.0" customHeight="1">
      <c r="A1222" s="400" t="s">
        <v>1742</v>
      </c>
      <c r="B1222" s="138">
        <v>50555.0</v>
      </c>
      <c r="C1222" s="396">
        <v>1.0</v>
      </c>
      <c r="D1222" s="122" t="s">
        <v>1844</v>
      </c>
      <c r="E1222" s="125" t="s">
        <v>34</v>
      </c>
      <c r="F1222" s="303" t="s">
        <v>1844</v>
      </c>
      <c r="G1222" s="269" t="s">
        <v>3493</v>
      </c>
      <c r="H1222" s="269" t="s">
        <v>1844</v>
      </c>
      <c r="I1222" s="144" t="s">
        <v>1843</v>
      </c>
      <c r="J1222" s="186" t="s">
        <v>1876</v>
      </c>
      <c r="K1222" s="136" t="s">
        <v>2348</v>
      </c>
      <c r="L1222" s="136" t="s">
        <v>1884</v>
      </c>
      <c r="M1222" s="136" t="s">
        <v>1845</v>
      </c>
      <c r="N1222" s="144" t="s">
        <v>1844</v>
      </c>
      <c r="O1222" s="144" t="s">
        <v>1845</v>
      </c>
      <c r="P1222" s="144" t="s">
        <v>1862</v>
      </c>
      <c r="Q1222" s="144"/>
      <c r="R1222" s="144" t="s">
        <v>1845</v>
      </c>
      <c r="S1222" s="144"/>
      <c r="T1222" s="144" t="s">
        <v>1845</v>
      </c>
      <c r="U1222" s="144"/>
      <c r="V1222" s="144"/>
      <c r="W1222" s="144" t="s">
        <v>1845</v>
      </c>
      <c r="X1222" s="136"/>
      <c r="Y1222" s="136"/>
      <c r="Z1222" s="144"/>
      <c r="AA1222" s="144"/>
      <c r="AB1222" s="136"/>
      <c r="AC1222" s="136"/>
      <c r="AD1222" s="136"/>
      <c r="AE1222" s="136"/>
      <c r="AF1222" s="144"/>
      <c r="AG1222" s="144"/>
      <c r="AH1222" s="144"/>
      <c r="AI1222" s="136"/>
      <c r="AJ1222" s="316"/>
      <c r="AK1222" s="140"/>
      <c r="AL1222" s="140"/>
    </row>
    <row r="1223" ht="15.0" customHeight="1">
      <c r="A1223" s="400" t="s">
        <v>1742</v>
      </c>
      <c r="B1223" s="138">
        <v>50556.0</v>
      </c>
      <c r="C1223" s="396">
        <v>1.0</v>
      </c>
      <c r="D1223" s="122" t="s">
        <v>1844</v>
      </c>
      <c r="E1223" s="125" t="s">
        <v>34</v>
      </c>
      <c r="F1223" s="303" t="s">
        <v>1844</v>
      </c>
      <c r="G1223" s="269" t="s">
        <v>3494</v>
      </c>
      <c r="H1223" s="269" t="s">
        <v>1844</v>
      </c>
      <c r="I1223" s="144" t="s">
        <v>1843</v>
      </c>
      <c r="J1223" s="186" t="s">
        <v>1876</v>
      </c>
      <c r="K1223" s="136" t="s">
        <v>2348</v>
      </c>
      <c r="L1223" s="136" t="s">
        <v>1990</v>
      </c>
      <c r="M1223" s="136" t="s">
        <v>1845</v>
      </c>
      <c r="N1223" s="144" t="s">
        <v>1844</v>
      </c>
      <c r="O1223" s="144" t="s">
        <v>1845</v>
      </c>
      <c r="P1223" s="144" t="s">
        <v>1862</v>
      </c>
      <c r="Q1223" s="144"/>
      <c r="R1223" s="144" t="s">
        <v>1845</v>
      </c>
      <c r="S1223" s="144"/>
      <c r="T1223" s="144" t="s">
        <v>1845</v>
      </c>
      <c r="U1223" s="144"/>
      <c r="V1223" s="144"/>
      <c r="W1223" s="144" t="s">
        <v>1845</v>
      </c>
      <c r="X1223" s="136"/>
      <c r="Y1223" s="136"/>
      <c r="Z1223" s="144"/>
      <c r="AA1223" s="144"/>
      <c r="AB1223" s="136"/>
      <c r="AC1223" s="136"/>
      <c r="AD1223" s="136"/>
      <c r="AE1223" s="136"/>
      <c r="AF1223" s="144"/>
      <c r="AG1223" s="144"/>
      <c r="AH1223" s="144"/>
      <c r="AI1223" s="136"/>
      <c r="AJ1223" s="316"/>
      <c r="AK1223" s="140"/>
      <c r="AL1223" s="140"/>
    </row>
    <row r="1224" ht="15.0" customHeight="1">
      <c r="A1224" s="400" t="s">
        <v>1742</v>
      </c>
      <c r="B1224" s="138">
        <v>50557.0</v>
      </c>
      <c r="C1224" s="396">
        <v>1.0</v>
      </c>
      <c r="D1224" s="122" t="s">
        <v>1844</v>
      </c>
      <c r="E1224" s="125" t="s">
        <v>34</v>
      </c>
      <c r="F1224" s="303" t="s">
        <v>1844</v>
      </c>
      <c r="G1224" s="269" t="s">
        <v>3495</v>
      </c>
      <c r="H1224" s="269" t="s">
        <v>1844</v>
      </c>
      <c r="I1224" s="144" t="s">
        <v>1843</v>
      </c>
      <c r="J1224" s="186" t="s">
        <v>1876</v>
      </c>
      <c r="K1224" s="136" t="s">
        <v>2348</v>
      </c>
      <c r="L1224" s="136" t="s">
        <v>1878</v>
      </c>
      <c r="M1224" s="136" t="s">
        <v>1845</v>
      </c>
      <c r="N1224" s="144" t="s">
        <v>1844</v>
      </c>
      <c r="O1224" s="144" t="s">
        <v>1845</v>
      </c>
      <c r="P1224" s="144" t="s">
        <v>1862</v>
      </c>
      <c r="Q1224" s="144"/>
      <c r="R1224" s="144" t="s">
        <v>1845</v>
      </c>
      <c r="S1224" s="144"/>
      <c r="T1224" s="144" t="s">
        <v>1845</v>
      </c>
      <c r="U1224" s="144"/>
      <c r="V1224" s="144"/>
      <c r="W1224" s="144" t="s">
        <v>1845</v>
      </c>
      <c r="X1224" s="136"/>
      <c r="Y1224" s="136"/>
      <c r="Z1224" s="144"/>
      <c r="AA1224" s="144"/>
      <c r="AB1224" s="136"/>
      <c r="AC1224" s="136"/>
      <c r="AD1224" s="136"/>
      <c r="AE1224" s="136"/>
      <c r="AF1224" s="144"/>
      <c r="AG1224" s="144"/>
      <c r="AH1224" s="144"/>
      <c r="AI1224" s="136"/>
      <c r="AJ1224" s="316"/>
      <c r="AK1224" s="140"/>
      <c r="AL1224" s="140"/>
    </row>
    <row r="1225" ht="15.0" customHeight="1">
      <c r="A1225" s="400" t="s">
        <v>1742</v>
      </c>
      <c r="B1225" s="138">
        <v>50564.0</v>
      </c>
      <c r="C1225" s="396">
        <v>1.0</v>
      </c>
      <c r="D1225" s="122" t="s">
        <v>1844</v>
      </c>
      <c r="E1225" s="125" t="s">
        <v>34</v>
      </c>
      <c r="F1225" s="303" t="s">
        <v>1844</v>
      </c>
      <c r="G1225" s="269" t="s">
        <v>3496</v>
      </c>
      <c r="H1225" s="269" t="s">
        <v>1844</v>
      </c>
      <c r="I1225" s="144" t="s">
        <v>1843</v>
      </c>
      <c r="J1225" s="186" t="s">
        <v>1876</v>
      </c>
      <c r="K1225" s="136" t="s">
        <v>2348</v>
      </c>
      <c r="L1225" s="136" t="s">
        <v>1844</v>
      </c>
      <c r="M1225" s="136" t="s">
        <v>1845</v>
      </c>
      <c r="N1225" s="144" t="s">
        <v>1844</v>
      </c>
      <c r="O1225" s="144" t="s">
        <v>1845</v>
      </c>
      <c r="P1225" s="144" t="s">
        <v>1862</v>
      </c>
      <c r="Q1225" s="144"/>
      <c r="R1225" s="144" t="s">
        <v>1845</v>
      </c>
      <c r="S1225" s="144"/>
      <c r="T1225" s="144" t="s">
        <v>1845</v>
      </c>
      <c r="U1225" s="144"/>
      <c r="V1225" s="144"/>
      <c r="W1225" s="144" t="s">
        <v>1845</v>
      </c>
      <c r="X1225" s="136"/>
      <c r="Y1225" s="136"/>
      <c r="Z1225" s="144"/>
      <c r="AA1225" s="144"/>
      <c r="AB1225" s="136"/>
      <c r="AC1225" s="136"/>
      <c r="AD1225" s="136"/>
      <c r="AE1225" s="136"/>
      <c r="AF1225" s="144"/>
      <c r="AG1225" s="144"/>
      <c r="AH1225" s="144"/>
      <c r="AI1225" s="136"/>
      <c r="AJ1225" s="316"/>
      <c r="AK1225" s="140"/>
      <c r="AL1225" s="140"/>
    </row>
    <row r="1226" ht="15.0" customHeight="1">
      <c r="A1226" s="400" t="s">
        <v>1742</v>
      </c>
      <c r="B1226" s="138">
        <v>50591.0</v>
      </c>
      <c r="C1226" s="396">
        <v>1.0</v>
      </c>
      <c r="D1226" s="122" t="s">
        <v>1844</v>
      </c>
      <c r="E1226" s="125" t="s">
        <v>34</v>
      </c>
      <c r="F1226" s="303" t="s">
        <v>1844</v>
      </c>
      <c r="G1226" s="269" t="s">
        <v>3497</v>
      </c>
      <c r="H1226" s="269" t="s">
        <v>1844</v>
      </c>
      <c r="I1226" s="136" t="s">
        <v>1843</v>
      </c>
      <c r="J1226" s="186" t="s">
        <v>1876</v>
      </c>
      <c r="K1226" s="136" t="s">
        <v>2348</v>
      </c>
      <c r="L1226" s="136" t="s">
        <v>1878</v>
      </c>
      <c r="M1226" s="136" t="s">
        <v>1845</v>
      </c>
      <c r="N1226" s="144" t="s">
        <v>1844</v>
      </c>
      <c r="O1226" s="144" t="s">
        <v>1845</v>
      </c>
      <c r="P1226" s="136" t="s">
        <v>1862</v>
      </c>
      <c r="Q1226" s="144"/>
      <c r="R1226" s="144"/>
      <c r="S1226" s="144" t="s">
        <v>1845</v>
      </c>
      <c r="T1226" s="144"/>
      <c r="U1226" s="144"/>
      <c r="V1226" s="144"/>
      <c r="W1226" s="144" t="s">
        <v>1845</v>
      </c>
      <c r="X1226" s="136"/>
      <c r="Y1226" s="136"/>
      <c r="Z1226" s="144"/>
      <c r="AA1226" s="144"/>
      <c r="AB1226" s="144"/>
      <c r="AC1226" s="144"/>
      <c r="AD1226" s="144"/>
      <c r="AE1226" s="144"/>
      <c r="AF1226" s="136"/>
      <c r="AG1226" s="144"/>
      <c r="AH1226" s="136"/>
      <c r="AI1226" s="136"/>
      <c r="AJ1226" s="316"/>
      <c r="AK1226" s="140"/>
      <c r="AL1226" s="140"/>
    </row>
    <row r="1227" ht="15.0" customHeight="1">
      <c r="A1227" s="400" t="s">
        <v>1742</v>
      </c>
      <c r="B1227" s="138">
        <v>50597.0</v>
      </c>
      <c r="C1227" s="396">
        <v>1.0</v>
      </c>
      <c r="D1227" s="122" t="s">
        <v>1844</v>
      </c>
      <c r="E1227" s="125" t="s">
        <v>34</v>
      </c>
      <c r="F1227" s="303" t="s">
        <v>1844</v>
      </c>
      <c r="G1227" s="269" t="s">
        <v>3498</v>
      </c>
      <c r="H1227" s="269" t="s">
        <v>1844</v>
      </c>
      <c r="I1227" s="128" t="s">
        <v>1843</v>
      </c>
      <c r="J1227" s="149" t="s">
        <v>1876</v>
      </c>
      <c r="K1227" s="136" t="s">
        <v>1877</v>
      </c>
      <c r="L1227" s="128" t="s">
        <v>1844</v>
      </c>
      <c r="M1227" s="128" t="s">
        <v>1845</v>
      </c>
      <c r="N1227" s="140">
        <v>1.0</v>
      </c>
      <c r="O1227" s="144" t="s">
        <v>1845</v>
      </c>
      <c r="P1227" s="136" t="s">
        <v>1862</v>
      </c>
      <c r="Q1227" s="128"/>
      <c r="R1227" s="144"/>
      <c r="S1227" s="128" t="s">
        <v>1845</v>
      </c>
      <c r="T1227" s="128"/>
      <c r="U1227" s="128"/>
      <c r="V1227" s="128"/>
      <c r="W1227" s="144"/>
      <c r="X1227" s="128"/>
      <c r="Y1227" s="128"/>
      <c r="Z1227" s="128"/>
      <c r="AA1227" s="128"/>
      <c r="AB1227" s="140"/>
      <c r="AC1227" s="140"/>
      <c r="AD1227" s="140"/>
      <c r="AE1227" s="140"/>
      <c r="AF1227" s="140"/>
      <c r="AG1227" s="140"/>
      <c r="AH1227" s="128"/>
      <c r="AI1227" s="128"/>
      <c r="AJ1227" s="137"/>
      <c r="AK1227" s="140"/>
      <c r="AL1227" s="140"/>
    </row>
    <row r="1228" ht="15.0" customHeight="1">
      <c r="A1228" s="157" t="s">
        <v>1742</v>
      </c>
      <c r="B1228" s="158">
        <v>50602.0</v>
      </c>
      <c r="C1228" s="396">
        <v>1.0</v>
      </c>
      <c r="D1228" s="157" t="s">
        <v>1844</v>
      </c>
      <c r="E1228" s="160" t="s">
        <v>34</v>
      </c>
      <c r="F1228" s="401" t="s">
        <v>1844</v>
      </c>
      <c r="G1228" s="402" t="s">
        <v>3499</v>
      </c>
      <c r="H1228" s="402" t="s">
        <v>1844</v>
      </c>
      <c r="I1228" s="164" t="s">
        <v>1906</v>
      </c>
      <c r="J1228" s="165" t="s">
        <v>1876</v>
      </c>
      <c r="K1228" s="168" t="s">
        <v>1877</v>
      </c>
      <c r="L1228" s="164" t="s">
        <v>1878</v>
      </c>
      <c r="M1228" s="164" t="s">
        <v>1845</v>
      </c>
      <c r="N1228" s="167">
        <v>1.0</v>
      </c>
      <c r="O1228" s="166" t="s">
        <v>1845</v>
      </c>
      <c r="P1228" s="164" t="s">
        <v>1862</v>
      </c>
      <c r="Q1228" s="164"/>
      <c r="R1228" s="166"/>
      <c r="S1228" s="164"/>
      <c r="T1228" s="164"/>
      <c r="U1228" s="164"/>
      <c r="V1228" s="164"/>
      <c r="W1228" s="166"/>
      <c r="X1228" s="164"/>
      <c r="Y1228" s="164"/>
      <c r="Z1228" s="164"/>
      <c r="AA1228" s="167"/>
      <c r="AB1228" s="164"/>
      <c r="AC1228" s="164"/>
      <c r="AD1228" s="164"/>
      <c r="AE1228" s="164"/>
      <c r="AF1228" s="164"/>
      <c r="AG1228" s="164"/>
      <c r="AH1228" s="164"/>
      <c r="AI1228" s="164"/>
      <c r="AJ1228" s="169"/>
      <c r="AK1228" s="167"/>
      <c r="AL1228" s="167"/>
    </row>
    <row r="1229" ht="15.0" customHeight="1">
      <c r="A1229" s="400" t="s">
        <v>1742</v>
      </c>
      <c r="B1229" s="138">
        <v>50612.0</v>
      </c>
      <c r="C1229" s="396">
        <v>1.0</v>
      </c>
      <c r="D1229" s="122" t="s">
        <v>1844</v>
      </c>
      <c r="E1229" s="125" t="s">
        <v>34</v>
      </c>
      <c r="F1229" s="303" t="s">
        <v>1844</v>
      </c>
      <c r="G1229" s="269" t="s">
        <v>3500</v>
      </c>
      <c r="H1229" s="269" t="s">
        <v>1844</v>
      </c>
      <c r="I1229" s="128" t="s">
        <v>1843</v>
      </c>
      <c r="J1229" s="149" t="s">
        <v>1876</v>
      </c>
      <c r="K1229" s="136" t="s">
        <v>2348</v>
      </c>
      <c r="L1229" s="128" t="s">
        <v>1844</v>
      </c>
      <c r="M1229" s="128" t="s">
        <v>1845</v>
      </c>
      <c r="N1229" s="140" t="s">
        <v>1844</v>
      </c>
      <c r="O1229" s="144" t="s">
        <v>1845</v>
      </c>
      <c r="P1229" s="136" t="s">
        <v>1862</v>
      </c>
      <c r="Q1229" s="140"/>
      <c r="R1229" s="144"/>
      <c r="S1229" s="128" t="s">
        <v>1845</v>
      </c>
      <c r="T1229" s="140"/>
      <c r="U1229" s="140"/>
      <c r="V1229" s="140"/>
      <c r="W1229" s="144"/>
      <c r="X1229" s="128"/>
      <c r="Y1229" s="128"/>
      <c r="Z1229" s="140"/>
      <c r="AA1229" s="140"/>
      <c r="AB1229" s="128"/>
      <c r="AC1229" s="128"/>
      <c r="AD1229" s="128"/>
      <c r="AE1229" s="140"/>
      <c r="AF1229" s="140"/>
      <c r="AG1229" s="128"/>
      <c r="AH1229" s="128"/>
      <c r="AI1229" s="128"/>
      <c r="AJ1229" s="137"/>
      <c r="AK1229" s="140"/>
      <c r="AL1229" s="140"/>
    </row>
    <row r="1230" ht="15.0" customHeight="1">
      <c r="A1230" s="400" t="s">
        <v>1742</v>
      </c>
      <c r="B1230" s="138">
        <v>50629.0</v>
      </c>
      <c r="C1230" s="396">
        <v>1.0</v>
      </c>
      <c r="D1230" s="122" t="s">
        <v>1844</v>
      </c>
      <c r="E1230" s="125" t="s">
        <v>34</v>
      </c>
      <c r="F1230" s="303" t="s">
        <v>1844</v>
      </c>
      <c r="G1230" s="269" t="s">
        <v>3501</v>
      </c>
      <c r="H1230" s="269" t="s">
        <v>1844</v>
      </c>
      <c r="I1230" s="140" t="s">
        <v>1843</v>
      </c>
      <c r="J1230" s="149" t="s">
        <v>1876</v>
      </c>
      <c r="K1230" s="136" t="s">
        <v>2348</v>
      </c>
      <c r="L1230" s="128" t="s">
        <v>1844</v>
      </c>
      <c r="M1230" s="128" t="s">
        <v>1845</v>
      </c>
      <c r="N1230" s="140" t="s">
        <v>1844</v>
      </c>
      <c r="O1230" s="144" t="s">
        <v>1845</v>
      </c>
      <c r="P1230" s="128" t="s">
        <v>1895</v>
      </c>
      <c r="Q1230" s="140"/>
      <c r="R1230" s="144" t="s">
        <v>1845</v>
      </c>
      <c r="S1230" s="140"/>
      <c r="T1230" s="140" t="s">
        <v>1845</v>
      </c>
      <c r="U1230" s="140"/>
      <c r="V1230" s="140"/>
      <c r="W1230" s="144"/>
      <c r="X1230" s="128"/>
      <c r="Y1230" s="128"/>
      <c r="Z1230" s="140"/>
      <c r="AA1230" s="140"/>
      <c r="AB1230" s="140"/>
      <c r="AC1230" s="140"/>
      <c r="AD1230" s="140"/>
      <c r="AE1230" s="140"/>
      <c r="AF1230" s="140"/>
      <c r="AG1230" s="140"/>
      <c r="AH1230" s="128"/>
      <c r="AI1230" s="128"/>
      <c r="AJ1230" s="137"/>
      <c r="AK1230" s="140"/>
      <c r="AL1230" s="140"/>
    </row>
    <row r="1231" ht="15.0" customHeight="1">
      <c r="A1231" s="400" t="s">
        <v>1742</v>
      </c>
      <c r="B1231" s="138">
        <v>50636.0</v>
      </c>
      <c r="C1231" s="396">
        <v>1.0</v>
      </c>
      <c r="D1231" s="122" t="s">
        <v>1844</v>
      </c>
      <c r="E1231" s="125" t="s">
        <v>34</v>
      </c>
      <c r="F1231" s="303" t="s">
        <v>1844</v>
      </c>
      <c r="G1231" s="269" t="s">
        <v>3502</v>
      </c>
      <c r="H1231" s="269" t="s">
        <v>1844</v>
      </c>
      <c r="I1231" s="128" t="s">
        <v>1843</v>
      </c>
      <c r="J1231" s="149" t="s">
        <v>1876</v>
      </c>
      <c r="K1231" s="136" t="s">
        <v>2348</v>
      </c>
      <c r="L1231" s="128" t="s">
        <v>1878</v>
      </c>
      <c r="M1231" s="128" t="s">
        <v>1845</v>
      </c>
      <c r="N1231" s="140" t="s">
        <v>1844</v>
      </c>
      <c r="O1231" s="144" t="s">
        <v>1845</v>
      </c>
      <c r="P1231" s="140" t="s">
        <v>1862</v>
      </c>
      <c r="Q1231" s="140"/>
      <c r="R1231" s="144" t="s">
        <v>1845</v>
      </c>
      <c r="S1231" s="140" t="s">
        <v>1845</v>
      </c>
      <c r="T1231" s="140"/>
      <c r="U1231" s="140"/>
      <c r="V1231" s="140"/>
      <c r="W1231" s="144"/>
      <c r="X1231" s="128"/>
      <c r="Y1231" s="128"/>
      <c r="Z1231" s="140"/>
      <c r="AA1231" s="140"/>
      <c r="AB1231" s="128"/>
      <c r="AC1231" s="128"/>
      <c r="AD1231" s="128"/>
      <c r="AE1231" s="140"/>
      <c r="AF1231" s="140"/>
      <c r="AG1231" s="140"/>
      <c r="AH1231" s="128"/>
      <c r="AI1231" s="128"/>
      <c r="AJ1231" s="137"/>
      <c r="AK1231" s="140"/>
      <c r="AL1231" s="140"/>
    </row>
    <row r="1232" ht="15.0" customHeight="1">
      <c r="A1232" s="400" t="s">
        <v>1742</v>
      </c>
      <c r="B1232" s="138">
        <v>50650.0</v>
      </c>
      <c r="C1232" s="396">
        <v>1.0</v>
      </c>
      <c r="D1232" s="122" t="s">
        <v>1844</v>
      </c>
      <c r="E1232" s="125" t="s">
        <v>34</v>
      </c>
      <c r="F1232" s="303" t="s">
        <v>1844</v>
      </c>
      <c r="G1232" s="269" t="s">
        <v>3503</v>
      </c>
      <c r="H1232" s="269" t="s">
        <v>1844</v>
      </c>
      <c r="I1232" s="140" t="s">
        <v>1843</v>
      </c>
      <c r="J1232" s="149" t="s">
        <v>1876</v>
      </c>
      <c r="K1232" s="136" t="s">
        <v>2348</v>
      </c>
      <c r="L1232" s="128" t="s">
        <v>1844</v>
      </c>
      <c r="M1232" s="128" t="s">
        <v>1845</v>
      </c>
      <c r="N1232" s="140" t="s">
        <v>1844</v>
      </c>
      <c r="O1232" s="144" t="s">
        <v>1845</v>
      </c>
      <c r="P1232" s="128" t="s">
        <v>1862</v>
      </c>
      <c r="Q1232" s="140"/>
      <c r="R1232" s="144" t="s">
        <v>1845</v>
      </c>
      <c r="S1232" s="128" t="s">
        <v>1845</v>
      </c>
      <c r="T1232" s="140" t="s">
        <v>1845</v>
      </c>
      <c r="U1232" s="140"/>
      <c r="V1232" s="140"/>
      <c r="W1232" s="144" t="s">
        <v>1845</v>
      </c>
      <c r="X1232" s="128"/>
      <c r="Y1232" s="128"/>
      <c r="Z1232" s="140"/>
      <c r="AA1232" s="140"/>
      <c r="AB1232" s="128"/>
      <c r="AC1232" s="128"/>
      <c r="AD1232" s="128"/>
      <c r="AE1232" s="128"/>
      <c r="AF1232" s="128"/>
      <c r="AG1232" s="140"/>
      <c r="AH1232" s="128"/>
      <c r="AI1232" s="128"/>
      <c r="AJ1232" s="137"/>
      <c r="AK1232" s="140"/>
      <c r="AL1232" s="140"/>
    </row>
    <row r="1233" ht="15.0" customHeight="1">
      <c r="A1233" s="400" t="s">
        <v>1742</v>
      </c>
      <c r="B1233" s="138">
        <v>50670.0</v>
      </c>
      <c r="C1233" s="396">
        <v>1.0</v>
      </c>
      <c r="D1233" s="122" t="s">
        <v>1844</v>
      </c>
      <c r="E1233" s="125" t="s">
        <v>34</v>
      </c>
      <c r="F1233" s="303" t="s">
        <v>1844</v>
      </c>
      <c r="G1233" s="269" t="s">
        <v>3504</v>
      </c>
      <c r="H1233" s="269" t="s">
        <v>1844</v>
      </c>
      <c r="I1233" s="128" t="s">
        <v>1843</v>
      </c>
      <c r="J1233" s="149" t="s">
        <v>1876</v>
      </c>
      <c r="K1233" s="136" t="s">
        <v>2348</v>
      </c>
      <c r="L1233" s="128" t="s">
        <v>1884</v>
      </c>
      <c r="M1233" s="128" t="s">
        <v>1845</v>
      </c>
      <c r="N1233" s="140" t="s">
        <v>1844</v>
      </c>
      <c r="O1233" s="144" t="s">
        <v>1845</v>
      </c>
      <c r="P1233" s="128" t="s">
        <v>1862</v>
      </c>
      <c r="Q1233" s="140"/>
      <c r="R1233" s="144" t="s">
        <v>1845</v>
      </c>
      <c r="S1233" s="140"/>
      <c r="T1233" s="140"/>
      <c r="U1233" s="140"/>
      <c r="V1233" s="140"/>
      <c r="W1233" s="144"/>
      <c r="X1233" s="128"/>
      <c r="Y1233" s="128"/>
      <c r="Z1233" s="140"/>
      <c r="AA1233" s="140"/>
      <c r="AB1233" s="140"/>
      <c r="AC1233" s="140"/>
      <c r="AD1233" s="140"/>
      <c r="AE1233" s="140"/>
      <c r="AF1233" s="140"/>
      <c r="AG1233" s="140"/>
      <c r="AH1233" s="140"/>
      <c r="AI1233" s="128"/>
      <c r="AJ1233" s="137"/>
      <c r="AK1233" s="140"/>
      <c r="AL1233" s="140"/>
    </row>
    <row r="1234" ht="15.0" customHeight="1">
      <c r="A1234" s="400" t="s">
        <v>1742</v>
      </c>
      <c r="B1234" s="138">
        <v>50683.0</v>
      </c>
      <c r="C1234" s="396">
        <v>1.0</v>
      </c>
      <c r="D1234" s="122" t="s">
        <v>1844</v>
      </c>
      <c r="E1234" s="125" t="s">
        <v>34</v>
      </c>
      <c r="F1234" s="303" t="s">
        <v>1844</v>
      </c>
      <c r="G1234" s="269" t="s">
        <v>3505</v>
      </c>
      <c r="H1234" s="269" t="s">
        <v>1844</v>
      </c>
      <c r="I1234" s="136" t="s">
        <v>1843</v>
      </c>
      <c r="J1234" s="186" t="s">
        <v>1902</v>
      </c>
      <c r="K1234" s="136" t="s">
        <v>1877</v>
      </c>
      <c r="L1234" s="136" t="s">
        <v>1990</v>
      </c>
      <c r="M1234" s="136" t="s">
        <v>1845</v>
      </c>
      <c r="N1234" s="144">
        <v>1.0</v>
      </c>
      <c r="O1234" s="144" t="s">
        <v>1845</v>
      </c>
      <c r="P1234" s="144" t="s">
        <v>1862</v>
      </c>
      <c r="Q1234" s="136"/>
      <c r="R1234" s="144"/>
      <c r="S1234" s="136"/>
      <c r="T1234" s="136"/>
      <c r="U1234" s="136"/>
      <c r="V1234" s="136"/>
      <c r="W1234" s="144"/>
      <c r="X1234" s="136"/>
      <c r="Y1234" s="136"/>
      <c r="Z1234" s="136"/>
      <c r="AA1234" s="144"/>
      <c r="AB1234" s="144"/>
      <c r="AC1234" s="144"/>
      <c r="AD1234" s="144"/>
      <c r="AE1234" s="144"/>
      <c r="AF1234" s="144"/>
      <c r="AG1234" s="144"/>
      <c r="AH1234" s="144"/>
      <c r="AI1234" s="136"/>
      <c r="AJ1234" s="316"/>
      <c r="AK1234" s="140"/>
      <c r="AL1234" s="140"/>
    </row>
    <row r="1235" ht="15.0" customHeight="1">
      <c r="A1235" s="400" t="s">
        <v>1742</v>
      </c>
      <c r="B1235" s="138">
        <v>50685.0</v>
      </c>
      <c r="C1235" s="396">
        <v>1.0</v>
      </c>
      <c r="D1235" s="122" t="s">
        <v>1844</v>
      </c>
      <c r="E1235" s="125" t="s">
        <v>34</v>
      </c>
      <c r="F1235" s="303" t="s">
        <v>1844</v>
      </c>
      <c r="G1235" s="269" t="s">
        <v>3491</v>
      </c>
      <c r="H1235" s="269" t="s">
        <v>1844</v>
      </c>
      <c r="I1235" s="132" t="s">
        <v>1906</v>
      </c>
      <c r="J1235" s="143" t="s">
        <v>1876</v>
      </c>
      <c r="K1235" s="132" t="s">
        <v>2348</v>
      </c>
      <c r="L1235" s="132" t="s">
        <v>1844</v>
      </c>
      <c r="M1235" s="132" t="s">
        <v>1845</v>
      </c>
      <c r="N1235" s="131" t="s">
        <v>1844</v>
      </c>
      <c r="O1235" s="144" t="s">
        <v>1845</v>
      </c>
      <c r="P1235" s="171" t="s">
        <v>1862</v>
      </c>
      <c r="Q1235" s="131"/>
      <c r="R1235" s="131"/>
      <c r="S1235" s="131"/>
      <c r="T1235" s="131"/>
      <c r="U1235" s="131"/>
      <c r="V1235" s="131" t="s">
        <v>1845</v>
      </c>
      <c r="W1235" s="131"/>
      <c r="X1235" s="132"/>
      <c r="Y1235" s="132"/>
      <c r="Z1235" s="131"/>
      <c r="AA1235" s="131"/>
      <c r="AB1235" s="131"/>
      <c r="AC1235" s="131"/>
      <c r="AD1235" s="131"/>
      <c r="AE1235" s="131"/>
      <c r="AF1235" s="144"/>
      <c r="AG1235" s="136"/>
      <c r="AH1235" s="144"/>
      <c r="AI1235" s="136"/>
      <c r="AJ1235" s="316"/>
      <c r="AK1235" s="140"/>
      <c r="AL1235" s="140"/>
    </row>
    <row r="1236" ht="15.0" customHeight="1">
      <c r="A1236" s="400" t="s">
        <v>1742</v>
      </c>
      <c r="B1236" s="138">
        <v>50696.0</v>
      </c>
      <c r="C1236" s="396">
        <v>1.0</v>
      </c>
      <c r="D1236" s="122" t="s">
        <v>1844</v>
      </c>
      <c r="E1236" s="125" t="s">
        <v>34</v>
      </c>
      <c r="F1236" s="303" t="s">
        <v>1844</v>
      </c>
      <c r="G1236" s="269" t="s">
        <v>3506</v>
      </c>
      <c r="H1236" s="269" t="s">
        <v>1844</v>
      </c>
      <c r="I1236" s="136" t="s">
        <v>1843</v>
      </c>
      <c r="J1236" s="186" t="s">
        <v>1876</v>
      </c>
      <c r="K1236" s="136" t="s">
        <v>2348</v>
      </c>
      <c r="L1236" s="136" t="s">
        <v>1878</v>
      </c>
      <c r="M1236" s="136" t="s">
        <v>1845</v>
      </c>
      <c r="N1236" s="144" t="s">
        <v>1844</v>
      </c>
      <c r="O1236" s="144" t="s">
        <v>1845</v>
      </c>
      <c r="P1236" s="144" t="s">
        <v>1862</v>
      </c>
      <c r="Q1236" s="144"/>
      <c r="R1236" s="144" t="s">
        <v>1845</v>
      </c>
      <c r="S1236" s="144" t="s">
        <v>1845</v>
      </c>
      <c r="T1236" s="144"/>
      <c r="U1236" s="144"/>
      <c r="V1236" s="144"/>
      <c r="W1236" s="144"/>
      <c r="X1236" s="136"/>
      <c r="Y1236" s="136"/>
      <c r="Z1236" s="144"/>
      <c r="AA1236" s="144"/>
      <c r="AB1236" s="144"/>
      <c r="AC1236" s="144"/>
      <c r="AD1236" s="144"/>
      <c r="AE1236" s="144"/>
      <c r="AF1236" s="144"/>
      <c r="AG1236" s="144"/>
      <c r="AH1236" s="144"/>
      <c r="AI1236" s="136"/>
      <c r="AJ1236" s="316"/>
      <c r="AK1236" s="140"/>
      <c r="AL1236" s="140"/>
    </row>
    <row r="1237" ht="15.0" customHeight="1">
      <c r="A1237" s="400" t="s">
        <v>1742</v>
      </c>
      <c r="B1237" s="138">
        <v>50720.0</v>
      </c>
      <c r="C1237" s="396">
        <v>1.0</v>
      </c>
      <c r="D1237" s="122" t="s">
        <v>1844</v>
      </c>
      <c r="E1237" s="125" t="s">
        <v>34</v>
      </c>
      <c r="F1237" s="303" t="s">
        <v>1844</v>
      </c>
      <c r="G1237" s="269" t="s">
        <v>3507</v>
      </c>
      <c r="H1237" s="269" t="s">
        <v>1844</v>
      </c>
      <c r="I1237" s="128" t="s">
        <v>1843</v>
      </c>
      <c r="J1237" s="149" t="s">
        <v>1902</v>
      </c>
      <c r="K1237" s="136" t="s">
        <v>1877</v>
      </c>
      <c r="L1237" s="128" t="s">
        <v>1878</v>
      </c>
      <c r="M1237" s="128" t="s">
        <v>1845</v>
      </c>
      <c r="N1237" s="140">
        <v>1.0</v>
      </c>
      <c r="O1237" s="144" t="s">
        <v>1845</v>
      </c>
      <c r="P1237" s="144" t="s">
        <v>1862</v>
      </c>
      <c r="Q1237" s="140"/>
      <c r="R1237" s="144"/>
      <c r="S1237" s="140"/>
      <c r="T1237" s="140"/>
      <c r="U1237" s="140"/>
      <c r="V1237" s="140"/>
      <c r="W1237" s="144" t="s">
        <v>1845</v>
      </c>
      <c r="X1237" s="128"/>
      <c r="Y1237" s="128"/>
      <c r="Z1237" s="140"/>
      <c r="AA1237" s="140"/>
      <c r="AB1237" s="140"/>
      <c r="AC1237" s="140"/>
      <c r="AD1237" s="140"/>
      <c r="AE1237" s="140"/>
      <c r="AF1237" s="140"/>
      <c r="AG1237" s="140"/>
      <c r="AH1237" s="140"/>
      <c r="AI1237" s="128"/>
      <c r="AJ1237" s="137"/>
      <c r="AK1237" s="140"/>
      <c r="AL1237" s="140"/>
    </row>
    <row r="1238" ht="15.0" customHeight="1">
      <c r="A1238" s="400" t="s">
        <v>1742</v>
      </c>
      <c r="B1238" s="138">
        <v>50729.0</v>
      </c>
      <c r="C1238" s="396">
        <v>1.0</v>
      </c>
      <c r="D1238" s="122" t="s">
        <v>1844</v>
      </c>
      <c r="E1238" s="125" t="s">
        <v>34</v>
      </c>
      <c r="F1238" s="303" t="s">
        <v>1844</v>
      </c>
      <c r="G1238" s="269" t="s">
        <v>3465</v>
      </c>
      <c r="H1238" s="269" t="s">
        <v>1844</v>
      </c>
      <c r="I1238" s="128" t="s">
        <v>1906</v>
      </c>
      <c r="J1238" s="149" t="s">
        <v>1876</v>
      </c>
      <c r="K1238" s="136" t="s">
        <v>2348</v>
      </c>
      <c r="L1238" s="128" t="s">
        <v>1878</v>
      </c>
      <c r="M1238" s="128" t="s">
        <v>1845</v>
      </c>
      <c r="N1238" s="171" t="s">
        <v>1844</v>
      </c>
      <c r="O1238" s="144" t="s">
        <v>1845</v>
      </c>
      <c r="P1238" s="128" t="s">
        <v>1862</v>
      </c>
      <c r="Q1238" s="128" t="s">
        <v>1845</v>
      </c>
      <c r="R1238" s="144"/>
      <c r="S1238" s="128"/>
      <c r="T1238" s="128"/>
      <c r="U1238" s="128"/>
      <c r="V1238" s="128"/>
      <c r="W1238" s="144"/>
      <c r="X1238" s="128"/>
      <c r="Y1238" s="128"/>
      <c r="Z1238" s="128"/>
      <c r="AA1238" s="140"/>
      <c r="AB1238" s="128"/>
      <c r="AC1238" s="128"/>
      <c r="AD1238" s="128"/>
      <c r="AE1238" s="140"/>
      <c r="AF1238" s="140"/>
      <c r="AG1238" s="140"/>
      <c r="AH1238" s="128"/>
      <c r="AI1238" s="128"/>
      <c r="AJ1238" s="137"/>
      <c r="AK1238" s="140"/>
      <c r="AL1238" s="140"/>
    </row>
    <row r="1239" ht="15.0" customHeight="1">
      <c r="A1239" s="400" t="s">
        <v>1742</v>
      </c>
      <c r="B1239" s="138">
        <v>50731.0</v>
      </c>
      <c r="C1239" s="396">
        <v>1.0</v>
      </c>
      <c r="D1239" s="122" t="s">
        <v>1844</v>
      </c>
      <c r="E1239" s="125" t="s">
        <v>34</v>
      </c>
      <c r="F1239" s="303" t="s">
        <v>1844</v>
      </c>
      <c r="G1239" s="269" t="s">
        <v>3508</v>
      </c>
      <c r="H1239" s="269" t="s">
        <v>1844</v>
      </c>
      <c r="I1239" s="128" t="s">
        <v>1906</v>
      </c>
      <c r="J1239" s="128" t="s">
        <v>1876</v>
      </c>
      <c r="K1239" s="136" t="s">
        <v>2348</v>
      </c>
      <c r="L1239" s="128" t="s">
        <v>1844</v>
      </c>
      <c r="M1239" s="128" t="s">
        <v>1845</v>
      </c>
      <c r="N1239" s="171" t="s">
        <v>1844</v>
      </c>
      <c r="O1239" s="144" t="s">
        <v>1845</v>
      </c>
      <c r="P1239" s="128" t="s">
        <v>1862</v>
      </c>
      <c r="Q1239" s="128"/>
      <c r="R1239" s="144"/>
      <c r="S1239" s="128"/>
      <c r="T1239" s="128"/>
      <c r="U1239" s="128"/>
      <c r="V1239" s="128"/>
      <c r="W1239" s="144"/>
      <c r="X1239" s="128" t="s">
        <v>1845</v>
      </c>
      <c r="Y1239" s="128"/>
      <c r="Z1239" s="128"/>
      <c r="AA1239" s="140"/>
      <c r="AB1239" s="128"/>
      <c r="AC1239" s="128"/>
      <c r="AD1239" s="128"/>
      <c r="AE1239" s="140"/>
      <c r="AF1239" s="140"/>
      <c r="AG1239" s="140"/>
      <c r="AH1239" s="128"/>
      <c r="AI1239" s="128"/>
      <c r="AJ1239" s="137"/>
      <c r="AK1239" s="140"/>
      <c r="AL1239" s="140"/>
    </row>
    <row r="1240" ht="15.0" customHeight="1">
      <c r="A1240" s="400" t="s">
        <v>1742</v>
      </c>
      <c r="B1240" s="138">
        <v>50732.0</v>
      </c>
      <c r="C1240" s="396">
        <v>1.0</v>
      </c>
      <c r="D1240" s="122" t="s">
        <v>1844</v>
      </c>
      <c r="E1240" s="125" t="s">
        <v>34</v>
      </c>
      <c r="F1240" s="303" t="s">
        <v>1844</v>
      </c>
      <c r="G1240" s="269" t="s">
        <v>3509</v>
      </c>
      <c r="H1240" s="269" t="s">
        <v>1844</v>
      </c>
      <c r="I1240" s="128" t="s">
        <v>1906</v>
      </c>
      <c r="J1240" s="149" t="s">
        <v>1876</v>
      </c>
      <c r="K1240" s="136" t="s">
        <v>2348</v>
      </c>
      <c r="L1240" s="128" t="s">
        <v>1990</v>
      </c>
      <c r="M1240" s="128" t="s">
        <v>1845</v>
      </c>
      <c r="N1240" s="171" t="s">
        <v>1844</v>
      </c>
      <c r="O1240" s="144" t="s">
        <v>1845</v>
      </c>
      <c r="P1240" s="128" t="s">
        <v>1862</v>
      </c>
      <c r="Q1240" s="128"/>
      <c r="R1240" s="144"/>
      <c r="S1240" s="128"/>
      <c r="T1240" s="128"/>
      <c r="U1240" s="128"/>
      <c r="V1240" s="128"/>
      <c r="W1240" s="144"/>
      <c r="X1240" s="128" t="s">
        <v>1845</v>
      </c>
      <c r="Y1240" s="128"/>
      <c r="Z1240" s="128"/>
      <c r="AA1240" s="140"/>
      <c r="AB1240" s="128"/>
      <c r="AC1240" s="128"/>
      <c r="AD1240" s="128"/>
      <c r="AE1240" s="140"/>
      <c r="AF1240" s="140"/>
      <c r="AG1240" s="140"/>
      <c r="AH1240" s="128"/>
      <c r="AI1240" s="128"/>
      <c r="AJ1240" s="137"/>
      <c r="AK1240" s="140"/>
      <c r="AL1240" s="140"/>
    </row>
    <row r="1241" ht="15.0" customHeight="1">
      <c r="A1241" s="400" t="s">
        <v>1742</v>
      </c>
      <c r="B1241" s="138">
        <v>50733.0</v>
      </c>
      <c r="C1241" s="396">
        <v>1.0</v>
      </c>
      <c r="D1241" s="122" t="s">
        <v>1844</v>
      </c>
      <c r="E1241" s="125" t="s">
        <v>34</v>
      </c>
      <c r="F1241" s="303" t="s">
        <v>1844</v>
      </c>
      <c r="G1241" s="269" t="s">
        <v>3510</v>
      </c>
      <c r="H1241" s="269" t="s">
        <v>1844</v>
      </c>
      <c r="I1241" s="128" t="s">
        <v>1906</v>
      </c>
      <c r="J1241" s="149" t="s">
        <v>1876</v>
      </c>
      <c r="K1241" s="136" t="s">
        <v>2348</v>
      </c>
      <c r="L1241" s="128" t="s">
        <v>1878</v>
      </c>
      <c r="M1241" s="128" t="s">
        <v>1845</v>
      </c>
      <c r="N1241" s="171" t="s">
        <v>1844</v>
      </c>
      <c r="O1241" s="144" t="s">
        <v>1845</v>
      </c>
      <c r="P1241" s="128" t="s">
        <v>1862</v>
      </c>
      <c r="Q1241" s="128"/>
      <c r="R1241" s="144"/>
      <c r="S1241" s="128"/>
      <c r="T1241" s="128"/>
      <c r="U1241" s="128"/>
      <c r="V1241" s="128"/>
      <c r="W1241" s="144"/>
      <c r="X1241" s="128"/>
      <c r="Y1241" s="128"/>
      <c r="Z1241" s="128"/>
      <c r="AA1241" s="140"/>
      <c r="AB1241" s="128"/>
      <c r="AC1241" s="128"/>
      <c r="AD1241" s="128"/>
      <c r="AE1241" s="140"/>
      <c r="AF1241" s="140"/>
      <c r="AG1241" s="140"/>
      <c r="AH1241" s="128"/>
      <c r="AI1241" s="128"/>
      <c r="AJ1241" s="137"/>
      <c r="AK1241" s="140"/>
      <c r="AL1241" s="140"/>
    </row>
    <row r="1242" ht="35.25" customHeight="1">
      <c r="A1242" s="400" t="s">
        <v>1742</v>
      </c>
      <c r="B1242" s="138">
        <v>50736.0</v>
      </c>
      <c r="C1242" s="396">
        <v>1.0</v>
      </c>
      <c r="D1242" s="122" t="s">
        <v>1844</v>
      </c>
      <c r="E1242" s="125" t="s">
        <v>34</v>
      </c>
      <c r="F1242" s="303" t="s">
        <v>1844</v>
      </c>
      <c r="G1242" s="269" t="s">
        <v>3511</v>
      </c>
      <c r="H1242" s="269" t="s">
        <v>1844</v>
      </c>
      <c r="I1242" s="128" t="s">
        <v>1906</v>
      </c>
      <c r="J1242" s="149" t="s">
        <v>1876</v>
      </c>
      <c r="K1242" s="128" t="s">
        <v>2348</v>
      </c>
      <c r="L1242" s="128" t="s">
        <v>1990</v>
      </c>
      <c r="M1242" s="128" t="s">
        <v>1845</v>
      </c>
      <c r="N1242" s="171" t="s">
        <v>1844</v>
      </c>
      <c r="O1242" s="144" t="s">
        <v>1845</v>
      </c>
      <c r="P1242" s="128" t="s">
        <v>1862</v>
      </c>
      <c r="Q1242" s="128" t="s">
        <v>1845</v>
      </c>
      <c r="R1242" s="140"/>
      <c r="S1242" s="128"/>
      <c r="T1242" s="128"/>
      <c r="U1242" s="128"/>
      <c r="V1242" s="128" t="s">
        <v>1845</v>
      </c>
      <c r="W1242" s="140"/>
      <c r="X1242" s="128"/>
      <c r="Y1242" s="128"/>
      <c r="Z1242" s="128"/>
      <c r="AA1242" s="140"/>
      <c r="AB1242" s="128"/>
      <c r="AC1242" s="128"/>
      <c r="AD1242" s="128"/>
      <c r="AE1242" s="140"/>
      <c r="AF1242" s="140"/>
      <c r="AG1242" s="140"/>
      <c r="AH1242" s="128"/>
      <c r="AI1242" s="128"/>
      <c r="AJ1242" s="137"/>
      <c r="AK1242" s="140"/>
      <c r="AL1242" s="140"/>
    </row>
    <row r="1243" ht="15.0" customHeight="1">
      <c r="A1243" s="400" t="s">
        <v>1742</v>
      </c>
      <c r="B1243" s="138">
        <v>50737.0</v>
      </c>
      <c r="C1243" s="396">
        <v>1.0</v>
      </c>
      <c r="D1243" s="122" t="s">
        <v>1844</v>
      </c>
      <c r="E1243" s="125" t="s">
        <v>34</v>
      </c>
      <c r="F1243" s="303" t="s">
        <v>1844</v>
      </c>
      <c r="G1243" s="269" t="s">
        <v>3512</v>
      </c>
      <c r="H1243" s="269" t="s">
        <v>1844</v>
      </c>
      <c r="I1243" s="128" t="s">
        <v>1906</v>
      </c>
      <c r="J1243" s="149" t="s">
        <v>1876</v>
      </c>
      <c r="K1243" s="128" t="s">
        <v>2348</v>
      </c>
      <c r="L1243" s="128" t="s">
        <v>1844</v>
      </c>
      <c r="M1243" s="128" t="s">
        <v>1845</v>
      </c>
      <c r="N1243" s="171" t="s">
        <v>1844</v>
      </c>
      <c r="O1243" s="144" t="s">
        <v>1845</v>
      </c>
      <c r="P1243" s="128" t="s">
        <v>1862</v>
      </c>
      <c r="Q1243" s="128"/>
      <c r="R1243" s="140"/>
      <c r="S1243" s="128" t="s">
        <v>1845</v>
      </c>
      <c r="T1243" s="128"/>
      <c r="U1243" s="128" t="s">
        <v>1845</v>
      </c>
      <c r="V1243" s="128"/>
      <c r="W1243" s="140"/>
      <c r="X1243" s="128"/>
      <c r="Y1243" s="128"/>
      <c r="Z1243" s="128"/>
      <c r="AA1243" s="140"/>
      <c r="AB1243" s="128"/>
      <c r="AC1243" s="128"/>
      <c r="AD1243" s="128"/>
      <c r="AE1243" s="140"/>
      <c r="AF1243" s="140"/>
      <c r="AG1243" s="140"/>
      <c r="AH1243" s="128"/>
      <c r="AI1243" s="128"/>
      <c r="AJ1243" s="137"/>
      <c r="AK1243" s="140"/>
      <c r="AL1243" s="140"/>
    </row>
    <row r="1244" ht="15.0" customHeight="1">
      <c r="A1244" s="400" t="s">
        <v>1742</v>
      </c>
      <c r="B1244" s="138">
        <v>50738.0</v>
      </c>
      <c r="C1244" s="396">
        <v>1.0</v>
      </c>
      <c r="D1244" s="122" t="s">
        <v>1844</v>
      </c>
      <c r="E1244" s="125" t="s">
        <v>34</v>
      </c>
      <c r="F1244" s="303" t="s">
        <v>1844</v>
      </c>
      <c r="G1244" s="269" t="s">
        <v>3513</v>
      </c>
      <c r="H1244" s="269" t="s">
        <v>1844</v>
      </c>
      <c r="I1244" s="128" t="s">
        <v>1906</v>
      </c>
      <c r="J1244" s="149" t="s">
        <v>1876</v>
      </c>
      <c r="K1244" s="128" t="s">
        <v>2348</v>
      </c>
      <c r="L1244" s="128" t="s">
        <v>1990</v>
      </c>
      <c r="M1244" s="128" t="s">
        <v>1845</v>
      </c>
      <c r="N1244" s="171" t="s">
        <v>1844</v>
      </c>
      <c r="O1244" s="144" t="s">
        <v>1845</v>
      </c>
      <c r="P1244" s="128" t="s">
        <v>1862</v>
      </c>
      <c r="Q1244" s="128"/>
      <c r="R1244" s="140"/>
      <c r="S1244" s="128" t="s">
        <v>1845</v>
      </c>
      <c r="T1244" s="128"/>
      <c r="U1244" s="128" t="s">
        <v>1845</v>
      </c>
      <c r="V1244" s="128"/>
      <c r="W1244" s="140"/>
      <c r="X1244" s="128"/>
      <c r="Y1244" s="128"/>
      <c r="Z1244" s="128"/>
      <c r="AA1244" s="140"/>
      <c r="AB1244" s="128"/>
      <c r="AC1244" s="128"/>
      <c r="AD1244" s="128"/>
      <c r="AE1244" s="140"/>
      <c r="AF1244" s="140"/>
      <c r="AG1244" s="140"/>
      <c r="AH1244" s="128"/>
      <c r="AI1244" s="128"/>
      <c r="AJ1244" s="137"/>
      <c r="AK1244" s="140"/>
      <c r="AL1244" s="140"/>
    </row>
    <row r="1245" ht="15.0" customHeight="1">
      <c r="A1245" s="400" t="s">
        <v>1742</v>
      </c>
      <c r="B1245" s="138">
        <v>50739.0</v>
      </c>
      <c r="C1245" s="396">
        <v>1.0</v>
      </c>
      <c r="D1245" s="122" t="s">
        <v>1844</v>
      </c>
      <c r="E1245" s="125" t="s">
        <v>34</v>
      </c>
      <c r="F1245" s="303" t="s">
        <v>1844</v>
      </c>
      <c r="G1245" s="269" t="s">
        <v>3514</v>
      </c>
      <c r="H1245" s="269" t="s">
        <v>1844</v>
      </c>
      <c r="I1245" s="140" t="s">
        <v>1906</v>
      </c>
      <c r="J1245" s="149" t="s">
        <v>1902</v>
      </c>
      <c r="K1245" s="128" t="s">
        <v>1877</v>
      </c>
      <c r="L1245" s="128" t="s">
        <v>1990</v>
      </c>
      <c r="M1245" s="128" t="s">
        <v>1845</v>
      </c>
      <c r="N1245" s="140">
        <v>1.0</v>
      </c>
      <c r="O1245" s="144" t="s">
        <v>1845</v>
      </c>
      <c r="P1245" s="140" t="s">
        <v>1862</v>
      </c>
      <c r="Q1245" s="140"/>
      <c r="R1245" s="140"/>
      <c r="S1245" s="140"/>
      <c r="T1245" s="140" t="s">
        <v>1845</v>
      </c>
      <c r="U1245" s="140" t="s">
        <v>1845</v>
      </c>
      <c r="V1245" s="140"/>
      <c r="W1245" s="140"/>
      <c r="X1245" s="128"/>
      <c r="Y1245" s="128"/>
      <c r="Z1245" s="140"/>
      <c r="AA1245" s="140"/>
      <c r="AB1245" s="140"/>
      <c r="AC1245" s="140"/>
      <c r="AD1245" s="140"/>
      <c r="AE1245" s="140"/>
      <c r="AF1245" s="140"/>
      <c r="AG1245" s="140"/>
      <c r="AH1245" s="140"/>
      <c r="AI1245" s="128"/>
      <c r="AJ1245" s="137"/>
      <c r="AK1245" s="140"/>
      <c r="AL1245" s="140"/>
    </row>
    <row r="1246" ht="15.0" customHeight="1">
      <c r="A1246" s="400" t="s">
        <v>1742</v>
      </c>
      <c r="B1246" s="138">
        <v>50744.0</v>
      </c>
      <c r="C1246" s="396">
        <v>1.0</v>
      </c>
      <c r="D1246" s="122" t="s">
        <v>1844</v>
      </c>
      <c r="E1246" s="125" t="s">
        <v>34</v>
      </c>
      <c r="F1246" s="303" t="s">
        <v>1844</v>
      </c>
      <c r="G1246" s="269" t="s">
        <v>3515</v>
      </c>
      <c r="H1246" s="269" t="s">
        <v>1844</v>
      </c>
      <c r="I1246" s="128" t="s">
        <v>1843</v>
      </c>
      <c r="J1246" s="149" t="s">
        <v>1876</v>
      </c>
      <c r="K1246" s="128" t="s">
        <v>2348</v>
      </c>
      <c r="L1246" s="128" t="s">
        <v>1878</v>
      </c>
      <c r="M1246" s="128" t="s">
        <v>1845</v>
      </c>
      <c r="N1246" s="140" t="s">
        <v>1844</v>
      </c>
      <c r="O1246" s="144" t="s">
        <v>1845</v>
      </c>
      <c r="P1246" s="128" t="s">
        <v>1862</v>
      </c>
      <c r="Q1246" s="140"/>
      <c r="R1246" s="140"/>
      <c r="S1246" s="140"/>
      <c r="T1246" s="140" t="s">
        <v>1845</v>
      </c>
      <c r="U1246" s="140"/>
      <c r="V1246" s="140"/>
      <c r="W1246" s="140"/>
      <c r="X1246" s="128" t="s">
        <v>1845</v>
      </c>
      <c r="Y1246" s="128"/>
      <c r="Z1246" s="140"/>
      <c r="AA1246" s="140"/>
      <c r="AB1246" s="140"/>
      <c r="AC1246" s="140"/>
      <c r="AD1246" s="140"/>
      <c r="AE1246" s="140"/>
      <c r="AF1246" s="140"/>
      <c r="AG1246" s="140"/>
      <c r="AH1246" s="140"/>
      <c r="AI1246" s="128"/>
      <c r="AJ1246" s="137"/>
      <c r="AK1246" s="140"/>
      <c r="AL1246" s="140"/>
    </row>
    <row r="1247" ht="15.0" customHeight="1">
      <c r="A1247" s="400" t="s">
        <v>1742</v>
      </c>
      <c r="B1247" s="138">
        <v>50746.0</v>
      </c>
      <c r="C1247" s="396">
        <v>1.0</v>
      </c>
      <c r="D1247" s="122" t="s">
        <v>1844</v>
      </c>
      <c r="E1247" s="125" t="s">
        <v>34</v>
      </c>
      <c r="F1247" s="303" t="s">
        <v>1844</v>
      </c>
      <c r="G1247" s="269" t="s">
        <v>3516</v>
      </c>
      <c r="H1247" s="269" t="s">
        <v>1844</v>
      </c>
      <c r="I1247" s="128" t="s">
        <v>1843</v>
      </c>
      <c r="J1247" s="149" t="s">
        <v>1876</v>
      </c>
      <c r="K1247" s="128" t="s">
        <v>2348</v>
      </c>
      <c r="L1247" s="128" t="s">
        <v>1878</v>
      </c>
      <c r="M1247" s="128" t="s">
        <v>1845</v>
      </c>
      <c r="N1247" s="140" t="s">
        <v>1844</v>
      </c>
      <c r="O1247" s="144" t="s">
        <v>1845</v>
      </c>
      <c r="P1247" s="128" t="s">
        <v>1862</v>
      </c>
      <c r="Q1247" s="140"/>
      <c r="R1247" s="140"/>
      <c r="S1247" s="140" t="s">
        <v>1845</v>
      </c>
      <c r="T1247" s="140"/>
      <c r="U1247" s="140"/>
      <c r="V1247" s="140"/>
      <c r="W1247" s="140"/>
      <c r="X1247" s="128"/>
      <c r="Y1247" s="128"/>
      <c r="Z1247" s="140"/>
      <c r="AA1247" s="140"/>
      <c r="AB1247" s="140"/>
      <c r="AC1247" s="140"/>
      <c r="AD1247" s="140"/>
      <c r="AE1247" s="140"/>
      <c r="AF1247" s="140" t="s">
        <v>1845</v>
      </c>
      <c r="AG1247" s="140"/>
      <c r="AH1247" s="140"/>
      <c r="AI1247" s="128"/>
      <c r="AJ1247" s="137"/>
      <c r="AK1247" s="140"/>
      <c r="AL1247" s="140"/>
    </row>
    <row r="1248" ht="15.0" customHeight="1">
      <c r="A1248" s="400" t="s">
        <v>1742</v>
      </c>
      <c r="B1248" s="138">
        <v>50747.0</v>
      </c>
      <c r="C1248" s="396">
        <v>1.0</v>
      </c>
      <c r="D1248" s="122" t="s">
        <v>1844</v>
      </c>
      <c r="E1248" s="125" t="s">
        <v>34</v>
      </c>
      <c r="F1248" s="303" t="s">
        <v>1844</v>
      </c>
      <c r="G1248" s="269" t="s">
        <v>3517</v>
      </c>
      <c r="H1248" s="269" t="s">
        <v>1844</v>
      </c>
      <c r="I1248" s="128" t="s">
        <v>1843</v>
      </c>
      <c r="J1248" s="149" t="s">
        <v>1876</v>
      </c>
      <c r="K1248" s="128" t="s">
        <v>2348</v>
      </c>
      <c r="L1248" s="128" t="s">
        <v>1878</v>
      </c>
      <c r="M1248" s="128" t="s">
        <v>1845</v>
      </c>
      <c r="N1248" s="140" t="s">
        <v>1844</v>
      </c>
      <c r="O1248" s="144" t="s">
        <v>1845</v>
      </c>
      <c r="P1248" s="128" t="s">
        <v>1862</v>
      </c>
      <c r="Q1248" s="140"/>
      <c r="R1248" s="140"/>
      <c r="S1248" s="140"/>
      <c r="T1248" s="140"/>
      <c r="U1248" s="140"/>
      <c r="V1248" s="140"/>
      <c r="W1248" s="140"/>
      <c r="X1248" s="128"/>
      <c r="Y1248" s="128"/>
      <c r="Z1248" s="140"/>
      <c r="AA1248" s="140"/>
      <c r="AB1248" s="140"/>
      <c r="AC1248" s="140"/>
      <c r="AD1248" s="140"/>
      <c r="AE1248" s="140"/>
      <c r="AF1248" s="140" t="s">
        <v>1845</v>
      </c>
      <c r="AG1248" s="140"/>
      <c r="AH1248" s="140"/>
      <c r="AI1248" s="128"/>
      <c r="AJ1248" s="137"/>
      <c r="AK1248" s="140"/>
      <c r="AL1248" s="140"/>
    </row>
    <row r="1249" ht="15.0" customHeight="1">
      <c r="A1249" s="400" t="s">
        <v>1742</v>
      </c>
      <c r="B1249" s="138">
        <v>50748.0</v>
      </c>
      <c r="C1249" s="396">
        <v>1.0</v>
      </c>
      <c r="D1249" s="122" t="s">
        <v>1844</v>
      </c>
      <c r="E1249" s="125" t="s">
        <v>34</v>
      </c>
      <c r="F1249" s="303" t="s">
        <v>1844</v>
      </c>
      <c r="G1249" s="269" t="s">
        <v>3518</v>
      </c>
      <c r="H1249" s="269" t="s">
        <v>1844</v>
      </c>
      <c r="I1249" s="235" t="s">
        <v>1843</v>
      </c>
      <c r="J1249" s="259" t="s">
        <v>1876</v>
      </c>
      <c r="K1249" s="235" t="s">
        <v>1877</v>
      </c>
      <c r="L1249" s="235" t="s">
        <v>1844</v>
      </c>
      <c r="M1249" s="235" t="s">
        <v>1845</v>
      </c>
      <c r="N1249" s="239">
        <v>1.0</v>
      </c>
      <c r="O1249" s="144" t="s">
        <v>1845</v>
      </c>
      <c r="P1249" s="235" t="s">
        <v>1862</v>
      </c>
      <c r="Q1249" s="239"/>
      <c r="R1249" s="239"/>
      <c r="S1249" s="239" t="s">
        <v>1845</v>
      </c>
      <c r="T1249" s="239" t="s">
        <v>1845</v>
      </c>
      <c r="U1249" s="239"/>
      <c r="V1249" s="239"/>
      <c r="W1249" s="239"/>
      <c r="X1249" s="235"/>
      <c r="Y1249" s="235"/>
      <c r="Z1249" s="239"/>
      <c r="AA1249" s="239"/>
      <c r="AB1249" s="239"/>
      <c r="AC1249" s="239"/>
      <c r="AD1249" s="239"/>
      <c r="AE1249" s="239"/>
      <c r="AF1249" s="239"/>
      <c r="AG1249" s="239"/>
      <c r="AH1249" s="239"/>
      <c r="AI1249" s="235"/>
      <c r="AJ1249" s="243"/>
      <c r="AK1249" s="140"/>
      <c r="AL1249" s="140"/>
    </row>
    <row r="1250" ht="15.0" customHeight="1">
      <c r="A1250" s="400" t="s">
        <v>1742</v>
      </c>
      <c r="B1250" s="138">
        <v>50749.0</v>
      </c>
      <c r="C1250" s="396">
        <v>1.0</v>
      </c>
      <c r="D1250" s="122" t="s">
        <v>1844</v>
      </c>
      <c r="E1250" s="125" t="s">
        <v>34</v>
      </c>
      <c r="F1250" s="303" t="s">
        <v>1844</v>
      </c>
      <c r="G1250" s="269" t="s">
        <v>3519</v>
      </c>
      <c r="H1250" s="269" t="s">
        <v>1844</v>
      </c>
      <c r="I1250" s="140" t="s">
        <v>1843</v>
      </c>
      <c r="J1250" s="149" t="s">
        <v>1876</v>
      </c>
      <c r="K1250" s="128" t="s">
        <v>2348</v>
      </c>
      <c r="L1250" s="128" t="s">
        <v>1878</v>
      </c>
      <c r="M1250" s="128" t="s">
        <v>1845</v>
      </c>
      <c r="N1250" s="140" t="s">
        <v>1844</v>
      </c>
      <c r="O1250" s="144" t="s">
        <v>1845</v>
      </c>
      <c r="P1250" s="140" t="s">
        <v>1862</v>
      </c>
      <c r="Q1250" s="140" t="s">
        <v>1845</v>
      </c>
      <c r="R1250" s="140"/>
      <c r="S1250" s="140"/>
      <c r="T1250" s="140" t="s">
        <v>1845</v>
      </c>
      <c r="U1250" s="140"/>
      <c r="V1250" s="140"/>
      <c r="W1250" s="140"/>
      <c r="X1250" s="128" t="s">
        <v>1845</v>
      </c>
      <c r="Y1250" s="128"/>
      <c r="Z1250" s="140"/>
      <c r="AA1250" s="140"/>
      <c r="AB1250" s="140"/>
      <c r="AC1250" s="140"/>
      <c r="AD1250" s="140"/>
      <c r="AE1250" s="140"/>
      <c r="AF1250" s="140"/>
      <c r="AG1250" s="140"/>
      <c r="AH1250" s="140"/>
      <c r="AI1250" s="128"/>
      <c r="AJ1250" s="137"/>
      <c r="AK1250" s="140"/>
      <c r="AL1250" s="140"/>
    </row>
    <row r="1251" ht="15.0" customHeight="1">
      <c r="A1251" s="400" t="s">
        <v>1742</v>
      </c>
      <c r="B1251" s="138">
        <v>50750.0</v>
      </c>
      <c r="C1251" s="396">
        <v>1.0</v>
      </c>
      <c r="D1251" s="122" t="s">
        <v>1844</v>
      </c>
      <c r="E1251" s="125" t="s">
        <v>34</v>
      </c>
      <c r="F1251" s="303" t="s">
        <v>1844</v>
      </c>
      <c r="G1251" s="269" t="s">
        <v>3520</v>
      </c>
      <c r="H1251" s="269" t="s">
        <v>1844</v>
      </c>
      <c r="I1251" s="140" t="s">
        <v>1843</v>
      </c>
      <c r="J1251" s="149" t="s">
        <v>1876</v>
      </c>
      <c r="K1251" s="128" t="s">
        <v>2348</v>
      </c>
      <c r="L1251" s="128" t="s">
        <v>1844</v>
      </c>
      <c r="M1251" s="128" t="s">
        <v>1845</v>
      </c>
      <c r="N1251" s="140" t="s">
        <v>1844</v>
      </c>
      <c r="O1251" s="144" t="s">
        <v>1845</v>
      </c>
      <c r="P1251" s="140" t="s">
        <v>1862</v>
      </c>
      <c r="Q1251" s="140"/>
      <c r="R1251" s="140"/>
      <c r="S1251" s="140" t="s">
        <v>1845</v>
      </c>
      <c r="T1251" s="140"/>
      <c r="U1251" s="140"/>
      <c r="V1251" s="140"/>
      <c r="W1251" s="140"/>
      <c r="X1251" s="128"/>
      <c r="Y1251" s="128"/>
      <c r="Z1251" s="140"/>
      <c r="AA1251" s="140"/>
      <c r="AB1251" s="140"/>
      <c r="AC1251" s="140"/>
      <c r="AD1251" s="140"/>
      <c r="AE1251" s="140"/>
      <c r="AF1251" s="140"/>
      <c r="AG1251" s="140"/>
      <c r="AH1251" s="140"/>
      <c r="AI1251" s="128"/>
      <c r="AJ1251" s="137"/>
      <c r="AK1251" s="140"/>
      <c r="AL1251" s="140"/>
    </row>
    <row r="1252" ht="15.0" customHeight="1">
      <c r="A1252" s="400" t="s">
        <v>1742</v>
      </c>
      <c r="B1252" s="138">
        <v>50752.0</v>
      </c>
      <c r="C1252" s="396">
        <v>1.0</v>
      </c>
      <c r="D1252" s="122" t="s">
        <v>1844</v>
      </c>
      <c r="E1252" s="125" t="s">
        <v>34</v>
      </c>
      <c r="F1252" s="303" t="s">
        <v>1844</v>
      </c>
      <c r="G1252" s="269" t="s">
        <v>3521</v>
      </c>
      <c r="H1252" s="269" t="s">
        <v>1844</v>
      </c>
      <c r="I1252" s="129" t="s">
        <v>1843</v>
      </c>
      <c r="J1252" s="130" t="s">
        <v>1876</v>
      </c>
      <c r="K1252" s="129" t="s">
        <v>2348</v>
      </c>
      <c r="L1252" s="129" t="s">
        <v>1844</v>
      </c>
      <c r="M1252" s="129" t="s">
        <v>1845</v>
      </c>
      <c r="N1252" s="171" t="s">
        <v>1844</v>
      </c>
      <c r="O1252" s="144" t="s">
        <v>1845</v>
      </c>
      <c r="P1252" s="129" t="s">
        <v>1862</v>
      </c>
      <c r="Q1252" s="129" t="s">
        <v>1845</v>
      </c>
      <c r="R1252" s="129"/>
      <c r="S1252" s="129"/>
      <c r="T1252" s="129" t="s">
        <v>1845</v>
      </c>
      <c r="U1252" s="129"/>
      <c r="V1252" s="129"/>
      <c r="W1252" s="129"/>
      <c r="X1252" s="129"/>
      <c r="Y1252" s="129"/>
      <c r="Z1252" s="171"/>
      <c r="AA1252" s="171"/>
      <c r="AB1252" s="171"/>
      <c r="AC1252" s="171"/>
      <c r="AD1252" s="171"/>
      <c r="AE1252" s="171"/>
      <c r="AF1252" s="171"/>
      <c r="AG1252" s="140"/>
      <c r="AH1252" s="140"/>
      <c r="AI1252" s="128"/>
      <c r="AJ1252" s="137"/>
      <c r="AK1252" s="140"/>
      <c r="AL1252" s="140"/>
    </row>
    <row r="1253" ht="15.0" customHeight="1">
      <c r="A1253" s="400" t="s">
        <v>1742</v>
      </c>
      <c r="B1253" s="138">
        <v>50753.0</v>
      </c>
      <c r="C1253" s="396">
        <v>1.0</v>
      </c>
      <c r="D1253" s="122" t="s">
        <v>1844</v>
      </c>
      <c r="E1253" s="125" t="s">
        <v>34</v>
      </c>
      <c r="F1253" s="303" t="s">
        <v>1844</v>
      </c>
      <c r="G1253" s="269" t="s">
        <v>3522</v>
      </c>
      <c r="H1253" s="269" t="s">
        <v>1844</v>
      </c>
      <c r="I1253" s="129" t="s">
        <v>1843</v>
      </c>
      <c r="J1253" s="143" t="s">
        <v>1902</v>
      </c>
      <c r="K1253" s="129" t="s">
        <v>1877</v>
      </c>
      <c r="L1253" s="128" t="s">
        <v>1990</v>
      </c>
      <c r="M1253" s="128" t="s">
        <v>1845</v>
      </c>
      <c r="N1253" s="140">
        <v>1.0</v>
      </c>
      <c r="O1253" s="144" t="s">
        <v>1845</v>
      </c>
      <c r="P1253" s="140" t="s">
        <v>1862</v>
      </c>
      <c r="Q1253" s="171"/>
      <c r="R1253" s="171"/>
      <c r="S1253" s="171"/>
      <c r="T1253" s="171" t="s">
        <v>1845</v>
      </c>
      <c r="U1253" s="171"/>
      <c r="V1253" s="171"/>
      <c r="W1253" s="171"/>
      <c r="X1253" s="129" t="s">
        <v>1845</v>
      </c>
      <c r="Y1253" s="129"/>
      <c r="Z1253" s="171"/>
      <c r="AA1253" s="171"/>
      <c r="AB1253" s="171"/>
      <c r="AC1253" s="171"/>
      <c r="AD1253" s="171"/>
      <c r="AE1253" s="171"/>
      <c r="AF1253" s="171"/>
      <c r="AG1253" s="140"/>
      <c r="AH1253" s="140"/>
      <c r="AI1253" s="128"/>
      <c r="AJ1253" s="137"/>
      <c r="AK1253" s="140"/>
      <c r="AL1253" s="140"/>
    </row>
    <row r="1254" ht="15.0" customHeight="1">
      <c r="A1254" s="400" t="s">
        <v>1742</v>
      </c>
      <c r="B1254" s="138">
        <v>50754.0</v>
      </c>
      <c r="C1254" s="396">
        <v>1.0</v>
      </c>
      <c r="D1254" s="122" t="s">
        <v>1844</v>
      </c>
      <c r="E1254" s="125" t="s">
        <v>34</v>
      </c>
      <c r="F1254" s="303" t="s">
        <v>1844</v>
      </c>
      <c r="G1254" s="269" t="s">
        <v>3523</v>
      </c>
      <c r="H1254" s="269" t="s">
        <v>1844</v>
      </c>
      <c r="I1254" s="129" t="s">
        <v>1843</v>
      </c>
      <c r="J1254" s="130" t="s">
        <v>1902</v>
      </c>
      <c r="K1254" s="129" t="s">
        <v>1877</v>
      </c>
      <c r="L1254" s="128" t="s">
        <v>1990</v>
      </c>
      <c r="M1254" s="129" t="s">
        <v>1845</v>
      </c>
      <c r="N1254" s="171">
        <v>1.0</v>
      </c>
      <c r="O1254" s="144" t="s">
        <v>1845</v>
      </c>
      <c r="P1254" s="171" t="s">
        <v>1862</v>
      </c>
      <c r="Q1254" s="171" t="s">
        <v>1845</v>
      </c>
      <c r="R1254" s="171"/>
      <c r="S1254" s="171"/>
      <c r="T1254" s="171" t="s">
        <v>1845</v>
      </c>
      <c r="U1254" s="171"/>
      <c r="V1254" s="171"/>
      <c r="W1254" s="171"/>
      <c r="X1254" s="129" t="s">
        <v>1845</v>
      </c>
      <c r="Y1254" s="129"/>
      <c r="Z1254" s="171"/>
      <c r="AA1254" s="171"/>
      <c r="AB1254" s="171"/>
      <c r="AC1254" s="171"/>
      <c r="AD1254" s="171"/>
      <c r="AE1254" s="171"/>
      <c r="AF1254" s="171"/>
      <c r="AG1254" s="140"/>
      <c r="AH1254" s="140"/>
      <c r="AI1254" s="128"/>
      <c r="AJ1254" s="137"/>
      <c r="AK1254" s="140"/>
      <c r="AL1254" s="140"/>
    </row>
    <row r="1255" ht="15.0" customHeight="1">
      <c r="A1255" s="400" t="s">
        <v>1742</v>
      </c>
      <c r="B1255" s="138">
        <v>50758.0</v>
      </c>
      <c r="C1255" s="396">
        <v>1.0</v>
      </c>
      <c r="D1255" s="122" t="s">
        <v>1844</v>
      </c>
      <c r="E1255" s="125" t="s">
        <v>34</v>
      </c>
      <c r="F1255" s="303" t="s">
        <v>1844</v>
      </c>
      <c r="G1255" s="269" t="s">
        <v>3524</v>
      </c>
      <c r="H1255" s="269" t="s">
        <v>1844</v>
      </c>
      <c r="I1255" s="140" t="s">
        <v>1843</v>
      </c>
      <c r="J1255" s="186" t="s">
        <v>1876</v>
      </c>
      <c r="K1255" s="170" t="s">
        <v>2348</v>
      </c>
      <c r="L1255" s="136" t="s">
        <v>1878</v>
      </c>
      <c r="M1255" s="136" t="s">
        <v>1845</v>
      </c>
      <c r="N1255" s="144" t="s">
        <v>1844</v>
      </c>
      <c r="O1255" s="144" t="s">
        <v>1845</v>
      </c>
      <c r="P1255" s="140" t="s">
        <v>1862</v>
      </c>
      <c r="Q1255" s="140"/>
      <c r="R1255" s="140"/>
      <c r="S1255" s="140"/>
      <c r="T1255" s="140" t="s">
        <v>1845</v>
      </c>
      <c r="U1255" s="140"/>
      <c r="V1255" s="140"/>
      <c r="W1255" s="140"/>
      <c r="X1255" s="128" t="s">
        <v>1845</v>
      </c>
      <c r="Y1255" s="128"/>
      <c r="Z1255" s="140"/>
      <c r="AA1255" s="140"/>
      <c r="AB1255" s="140"/>
      <c r="AC1255" s="140"/>
      <c r="AD1255" s="140"/>
      <c r="AE1255" s="140"/>
      <c r="AF1255" s="140"/>
      <c r="AG1255" s="140"/>
      <c r="AH1255" s="140"/>
      <c r="AI1255" s="128"/>
      <c r="AJ1255" s="137"/>
      <c r="AK1255" s="140"/>
      <c r="AL1255" s="140"/>
    </row>
    <row r="1256" ht="15.0" customHeight="1">
      <c r="A1256" s="400" t="s">
        <v>1742</v>
      </c>
      <c r="B1256" s="138">
        <v>50759.0</v>
      </c>
      <c r="C1256" s="396">
        <v>1.0</v>
      </c>
      <c r="D1256" s="122" t="s">
        <v>1844</v>
      </c>
      <c r="E1256" s="125" t="s">
        <v>34</v>
      </c>
      <c r="F1256" s="303" t="s">
        <v>1844</v>
      </c>
      <c r="G1256" s="269" t="s">
        <v>3525</v>
      </c>
      <c r="H1256" s="269" t="s">
        <v>1844</v>
      </c>
      <c r="I1256" s="140" t="s">
        <v>1843</v>
      </c>
      <c r="J1256" s="149" t="s">
        <v>1902</v>
      </c>
      <c r="K1256" s="128" t="s">
        <v>1877</v>
      </c>
      <c r="L1256" s="128" t="s">
        <v>1990</v>
      </c>
      <c r="M1256" s="128" t="s">
        <v>1845</v>
      </c>
      <c r="N1256" s="140" t="s">
        <v>1903</v>
      </c>
      <c r="O1256" s="144" t="s">
        <v>1845</v>
      </c>
      <c r="P1256" s="140" t="s">
        <v>1862</v>
      </c>
      <c r="Q1256" s="140"/>
      <c r="R1256" s="140"/>
      <c r="S1256" s="140"/>
      <c r="T1256" s="140" t="s">
        <v>1845</v>
      </c>
      <c r="U1256" s="140"/>
      <c r="V1256" s="140"/>
      <c r="W1256" s="140"/>
      <c r="X1256" s="128" t="s">
        <v>1845</v>
      </c>
      <c r="Y1256" s="128"/>
      <c r="Z1256" s="140"/>
      <c r="AA1256" s="140"/>
      <c r="AB1256" s="140"/>
      <c r="AC1256" s="140"/>
      <c r="AD1256" s="140"/>
      <c r="AE1256" s="140"/>
      <c r="AF1256" s="140"/>
      <c r="AG1256" s="140"/>
      <c r="AH1256" s="140"/>
      <c r="AI1256" s="128"/>
      <c r="AJ1256" s="137"/>
      <c r="AK1256" s="140"/>
      <c r="AL1256" s="140"/>
    </row>
    <row r="1257" ht="15.0" customHeight="1">
      <c r="A1257" s="400" t="s">
        <v>1742</v>
      </c>
      <c r="B1257" s="138">
        <v>50762.0</v>
      </c>
      <c r="C1257" s="396">
        <v>1.0</v>
      </c>
      <c r="D1257" s="122" t="s">
        <v>1844</v>
      </c>
      <c r="E1257" s="125" t="s">
        <v>34</v>
      </c>
      <c r="F1257" s="303" t="s">
        <v>1844</v>
      </c>
      <c r="G1257" s="269" t="s">
        <v>3526</v>
      </c>
      <c r="H1257" s="269" t="s">
        <v>1844</v>
      </c>
      <c r="I1257" s="140" t="s">
        <v>1843</v>
      </c>
      <c r="J1257" s="149" t="s">
        <v>1876</v>
      </c>
      <c r="K1257" s="128" t="s">
        <v>2348</v>
      </c>
      <c r="L1257" s="128" t="s">
        <v>1878</v>
      </c>
      <c r="M1257" s="128" t="s">
        <v>1845</v>
      </c>
      <c r="N1257" s="140" t="s">
        <v>1844</v>
      </c>
      <c r="O1257" s="144" t="s">
        <v>1845</v>
      </c>
      <c r="P1257" s="140" t="s">
        <v>1862</v>
      </c>
      <c r="Q1257" s="140" t="s">
        <v>1845</v>
      </c>
      <c r="R1257" s="140"/>
      <c r="S1257" s="140"/>
      <c r="T1257" s="140"/>
      <c r="U1257" s="140"/>
      <c r="V1257" s="140"/>
      <c r="W1257" s="140"/>
      <c r="X1257" s="128" t="s">
        <v>1845</v>
      </c>
      <c r="Y1257" s="128"/>
      <c r="Z1257" s="140"/>
      <c r="AA1257" s="140"/>
      <c r="AB1257" s="140"/>
      <c r="AC1257" s="140"/>
      <c r="AD1257" s="140"/>
      <c r="AE1257" s="140"/>
      <c r="AF1257" s="140"/>
      <c r="AG1257" s="140"/>
      <c r="AH1257" s="140"/>
      <c r="AI1257" s="128"/>
      <c r="AJ1257" s="137"/>
      <c r="AK1257" s="140"/>
      <c r="AL1257" s="140"/>
    </row>
    <row r="1258" ht="15.0" customHeight="1">
      <c r="A1258" s="400" t="s">
        <v>1742</v>
      </c>
      <c r="B1258" s="138">
        <v>50763.0</v>
      </c>
      <c r="C1258" s="396">
        <v>1.0</v>
      </c>
      <c r="D1258" s="122" t="s">
        <v>1844</v>
      </c>
      <c r="E1258" s="125" t="s">
        <v>34</v>
      </c>
      <c r="F1258" s="303" t="s">
        <v>1844</v>
      </c>
      <c r="G1258" s="269" t="s">
        <v>3527</v>
      </c>
      <c r="H1258" s="269" t="s">
        <v>1844</v>
      </c>
      <c r="I1258" s="128" t="s">
        <v>1843</v>
      </c>
      <c r="J1258" s="149" t="s">
        <v>1902</v>
      </c>
      <c r="K1258" s="128" t="s">
        <v>1877</v>
      </c>
      <c r="L1258" s="128" t="s">
        <v>1878</v>
      </c>
      <c r="M1258" s="128" t="s">
        <v>1845</v>
      </c>
      <c r="N1258" s="140">
        <v>1.0</v>
      </c>
      <c r="O1258" s="144" t="s">
        <v>1845</v>
      </c>
      <c r="P1258" s="140" t="s">
        <v>1862</v>
      </c>
      <c r="Q1258" s="140" t="s">
        <v>1845</v>
      </c>
      <c r="R1258" s="140"/>
      <c r="S1258" s="140"/>
      <c r="T1258" s="140"/>
      <c r="U1258" s="140"/>
      <c r="V1258" s="140"/>
      <c r="W1258" s="140"/>
      <c r="X1258" s="128" t="s">
        <v>1845</v>
      </c>
      <c r="Y1258" s="128"/>
      <c r="Z1258" s="140"/>
      <c r="AA1258" s="140"/>
      <c r="AB1258" s="140"/>
      <c r="AC1258" s="140"/>
      <c r="AD1258" s="140"/>
      <c r="AE1258" s="140"/>
      <c r="AF1258" s="140"/>
      <c r="AG1258" s="140"/>
      <c r="AH1258" s="140"/>
      <c r="AI1258" s="128"/>
      <c r="AJ1258" s="137"/>
      <c r="AK1258" s="140"/>
      <c r="AL1258" s="140"/>
    </row>
    <row r="1259" ht="15.0" customHeight="1">
      <c r="A1259" s="400" t="s">
        <v>1742</v>
      </c>
      <c r="B1259" s="138">
        <v>50769.0</v>
      </c>
      <c r="C1259" s="396">
        <v>1.0</v>
      </c>
      <c r="D1259" s="122" t="s">
        <v>1844</v>
      </c>
      <c r="E1259" s="125" t="s">
        <v>34</v>
      </c>
      <c r="F1259" s="303" t="s">
        <v>1844</v>
      </c>
      <c r="G1259" s="269" t="s">
        <v>3528</v>
      </c>
      <c r="H1259" s="269" t="s">
        <v>1844</v>
      </c>
      <c r="I1259" s="140" t="s">
        <v>1843</v>
      </c>
      <c r="J1259" s="149" t="s">
        <v>1876</v>
      </c>
      <c r="K1259" s="128" t="s">
        <v>2348</v>
      </c>
      <c r="L1259" s="128" t="s">
        <v>1878</v>
      </c>
      <c r="M1259" s="128" t="s">
        <v>1845</v>
      </c>
      <c r="N1259" s="140" t="s">
        <v>1844</v>
      </c>
      <c r="O1259" s="144" t="s">
        <v>1845</v>
      </c>
      <c r="P1259" s="140" t="s">
        <v>1862</v>
      </c>
      <c r="Q1259" s="140" t="s">
        <v>1845</v>
      </c>
      <c r="R1259" s="140"/>
      <c r="S1259" s="140"/>
      <c r="T1259" s="140"/>
      <c r="U1259" s="140"/>
      <c r="V1259" s="140"/>
      <c r="W1259" s="140"/>
      <c r="X1259" s="128" t="s">
        <v>1845</v>
      </c>
      <c r="Y1259" s="128"/>
      <c r="Z1259" s="140"/>
      <c r="AA1259" s="140"/>
      <c r="AB1259" s="140"/>
      <c r="AC1259" s="140"/>
      <c r="AD1259" s="140"/>
      <c r="AE1259" s="140"/>
      <c r="AF1259" s="140"/>
      <c r="AG1259" s="140"/>
      <c r="AH1259" s="140"/>
      <c r="AI1259" s="128"/>
      <c r="AJ1259" s="137"/>
      <c r="AK1259" s="140"/>
      <c r="AL1259" s="140"/>
    </row>
    <row r="1260" ht="15.0" customHeight="1">
      <c r="A1260" s="400" t="s">
        <v>1742</v>
      </c>
      <c r="B1260" s="138">
        <v>50770.0</v>
      </c>
      <c r="C1260" s="396">
        <v>1.0</v>
      </c>
      <c r="D1260" s="122" t="s">
        <v>1844</v>
      </c>
      <c r="E1260" s="125" t="s">
        <v>34</v>
      </c>
      <c r="F1260" s="303" t="s">
        <v>1844</v>
      </c>
      <c r="G1260" s="269" t="s">
        <v>3529</v>
      </c>
      <c r="H1260" s="269" t="s">
        <v>1844</v>
      </c>
      <c r="I1260" s="140" t="s">
        <v>1843</v>
      </c>
      <c r="J1260" s="149" t="s">
        <v>1902</v>
      </c>
      <c r="K1260" s="128" t="s">
        <v>1877</v>
      </c>
      <c r="L1260" s="128" t="s">
        <v>1878</v>
      </c>
      <c r="M1260" s="128" t="s">
        <v>1845</v>
      </c>
      <c r="N1260" s="140">
        <v>1.0</v>
      </c>
      <c r="O1260" s="144" t="s">
        <v>1845</v>
      </c>
      <c r="P1260" s="144" t="s">
        <v>1862</v>
      </c>
      <c r="Q1260" s="140" t="s">
        <v>1845</v>
      </c>
      <c r="R1260" s="140"/>
      <c r="S1260" s="140"/>
      <c r="T1260" s="140"/>
      <c r="U1260" s="140"/>
      <c r="V1260" s="140"/>
      <c r="W1260" s="140"/>
      <c r="X1260" s="128" t="s">
        <v>1845</v>
      </c>
      <c r="Y1260" s="128"/>
      <c r="Z1260" s="140"/>
      <c r="AA1260" s="140"/>
      <c r="AB1260" s="140"/>
      <c r="AC1260" s="140"/>
      <c r="AD1260" s="140"/>
      <c r="AE1260" s="140"/>
      <c r="AF1260" s="140"/>
      <c r="AG1260" s="140"/>
      <c r="AH1260" s="140"/>
      <c r="AI1260" s="128"/>
      <c r="AJ1260" s="137"/>
      <c r="AK1260" s="140"/>
      <c r="AL1260" s="140"/>
    </row>
    <row r="1261" ht="15.0" customHeight="1">
      <c r="A1261" s="400" t="s">
        <v>1742</v>
      </c>
      <c r="B1261" s="138">
        <v>50771.0</v>
      </c>
      <c r="C1261" s="396">
        <v>1.0</v>
      </c>
      <c r="D1261" s="122" t="s">
        <v>1844</v>
      </c>
      <c r="E1261" s="125" t="s">
        <v>34</v>
      </c>
      <c r="F1261" s="303" t="s">
        <v>1844</v>
      </c>
      <c r="G1261" s="269" t="s">
        <v>3530</v>
      </c>
      <c r="H1261" s="269" t="s">
        <v>1844</v>
      </c>
      <c r="I1261" s="140" t="s">
        <v>1843</v>
      </c>
      <c r="J1261" s="149" t="s">
        <v>1876</v>
      </c>
      <c r="K1261" s="128" t="s">
        <v>2348</v>
      </c>
      <c r="L1261" s="128" t="s">
        <v>1878</v>
      </c>
      <c r="M1261" s="128" t="s">
        <v>1845</v>
      </c>
      <c r="N1261" s="140" t="s">
        <v>1844</v>
      </c>
      <c r="O1261" s="144" t="s">
        <v>1845</v>
      </c>
      <c r="P1261" s="144" t="s">
        <v>1862</v>
      </c>
      <c r="Q1261" s="140" t="s">
        <v>1845</v>
      </c>
      <c r="R1261" s="140"/>
      <c r="S1261" s="140" t="s">
        <v>1845</v>
      </c>
      <c r="T1261" s="140"/>
      <c r="U1261" s="140"/>
      <c r="V1261" s="140"/>
      <c r="W1261" s="140"/>
      <c r="X1261" s="128"/>
      <c r="Y1261" s="128"/>
      <c r="Z1261" s="140"/>
      <c r="AA1261" s="140"/>
      <c r="AB1261" s="140"/>
      <c r="AC1261" s="140"/>
      <c r="AD1261" s="140"/>
      <c r="AE1261" s="140"/>
      <c r="AF1261" s="140"/>
      <c r="AG1261" s="140"/>
      <c r="AH1261" s="140"/>
      <c r="AI1261" s="128"/>
      <c r="AJ1261" s="137"/>
      <c r="AK1261" s="140"/>
      <c r="AL1261" s="140"/>
    </row>
    <row r="1262" ht="15.0" customHeight="1">
      <c r="A1262" s="400" t="s">
        <v>1742</v>
      </c>
      <c r="B1262" s="138">
        <v>50772.0</v>
      </c>
      <c r="C1262" s="396">
        <v>1.0</v>
      </c>
      <c r="D1262" s="122" t="s">
        <v>1844</v>
      </c>
      <c r="E1262" s="125" t="s">
        <v>34</v>
      </c>
      <c r="F1262" s="303" t="s">
        <v>1844</v>
      </c>
      <c r="G1262" s="269" t="s">
        <v>3531</v>
      </c>
      <c r="H1262" s="269" t="s">
        <v>1844</v>
      </c>
      <c r="I1262" s="140" t="s">
        <v>1843</v>
      </c>
      <c r="J1262" s="186" t="s">
        <v>1902</v>
      </c>
      <c r="K1262" s="128" t="s">
        <v>1877</v>
      </c>
      <c r="L1262" s="128" t="s">
        <v>1878</v>
      </c>
      <c r="M1262" s="128" t="s">
        <v>1845</v>
      </c>
      <c r="N1262" s="140">
        <v>1.0</v>
      </c>
      <c r="O1262" s="144" t="s">
        <v>1845</v>
      </c>
      <c r="P1262" s="140" t="s">
        <v>2654</v>
      </c>
      <c r="Q1262" s="140"/>
      <c r="R1262" s="140"/>
      <c r="S1262" s="140"/>
      <c r="T1262" s="140"/>
      <c r="U1262" s="140"/>
      <c r="V1262" s="140"/>
      <c r="W1262" s="140"/>
      <c r="X1262" s="128"/>
      <c r="Y1262" s="128"/>
      <c r="Z1262" s="140"/>
      <c r="AA1262" s="140"/>
      <c r="AB1262" s="140"/>
      <c r="AC1262" s="140"/>
      <c r="AD1262" s="140"/>
      <c r="AE1262" s="140"/>
      <c r="AF1262" s="140"/>
      <c r="AG1262" s="140"/>
      <c r="AH1262" s="140"/>
      <c r="AI1262" s="128"/>
      <c r="AJ1262" s="137"/>
      <c r="AK1262" s="140"/>
      <c r="AL1262" s="140"/>
    </row>
    <row r="1263" ht="15.0" customHeight="1">
      <c r="A1263" s="400" t="s">
        <v>1742</v>
      </c>
      <c r="B1263" s="138">
        <v>50778.0</v>
      </c>
      <c r="C1263" s="396">
        <v>1.0</v>
      </c>
      <c r="D1263" s="122" t="s">
        <v>1844</v>
      </c>
      <c r="E1263" s="125" t="s">
        <v>34</v>
      </c>
      <c r="F1263" s="303" t="s">
        <v>1844</v>
      </c>
      <c r="G1263" s="269" t="s">
        <v>3532</v>
      </c>
      <c r="H1263" s="269" t="s">
        <v>1844</v>
      </c>
      <c r="I1263" s="140" t="s">
        <v>1843</v>
      </c>
      <c r="J1263" s="149" t="s">
        <v>1876</v>
      </c>
      <c r="K1263" s="128" t="s">
        <v>2348</v>
      </c>
      <c r="L1263" s="128" t="s">
        <v>1878</v>
      </c>
      <c r="M1263" s="128" t="s">
        <v>1845</v>
      </c>
      <c r="N1263" s="140" t="s">
        <v>1844</v>
      </c>
      <c r="O1263" s="144" t="s">
        <v>1845</v>
      </c>
      <c r="P1263" s="140" t="s">
        <v>1862</v>
      </c>
      <c r="Q1263" s="140" t="s">
        <v>1845</v>
      </c>
      <c r="R1263" s="140"/>
      <c r="S1263" s="140" t="s">
        <v>1845</v>
      </c>
      <c r="T1263" s="140"/>
      <c r="U1263" s="140"/>
      <c r="V1263" s="140"/>
      <c r="W1263" s="140"/>
      <c r="X1263" s="128" t="s">
        <v>1845</v>
      </c>
      <c r="Y1263" s="128"/>
      <c r="Z1263" s="140"/>
      <c r="AA1263" s="140"/>
      <c r="AB1263" s="140"/>
      <c r="AC1263" s="140"/>
      <c r="AD1263" s="140"/>
      <c r="AE1263" s="140"/>
      <c r="AF1263" s="140"/>
      <c r="AG1263" s="140"/>
      <c r="AH1263" s="140"/>
      <c r="AI1263" s="128"/>
      <c r="AJ1263" s="137"/>
      <c r="AK1263" s="140"/>
      <c r="AL1263" s="140"/>
    </row>
    <row r="1264" ht="15.0" customHeight="1">
      <c r="A1264" s="400" t="s">
        <v>1742</v>
      </c>
      <c r="B1264" s="138">
        <v>50785.0</v>
      </c>
      <c r="C1264" s="396">
        <v>1.0</v>
      </c>
      <c r="D1264" s="122" t="s">
        <v>1844</v>
      </c>
      <c r="E1264" s="125" t="s">
        <v>34</v>
      </c>
      <c r="F1264" s="303" t="s">
        <v>1844</v>
      </c>
      <c r="G1264" s="269" t="s">
        <v>3533</v>
      </c>
      <c r="H1264" s="269" t="s">
        <v>1844</v>
      </c>
      <c r="I1264" s="140" t="s">
        <v>1843</v>
      </c>
      <c r="J1264" s="149" t="s">
        <v>1876</v>
      </c>
      <c r="K1264" s="128" t="s">
        <v>2348</v>
      </c>
      <c r="L1264" s="128" t="s">
        <v>1878</v>
      </c>
      <c r="M1264" s="128" t="s">
        <v>1845</v>
      </c>
      <c r="N1264" s="140" t="s">
        <v>1844</v>
      </c>
      <c r="O1264" s="144" t="s">
        <v>1845</v>
      </c>
      <c r="P1264" s="140" t="s">
        <v>1862</v>
      </c>
      <c r="Q1264" s="140"/>
      <c r="R1264" s="140"/>
      <c r="S1264" s="140" t="s">
        <v>1845</v>
      </c>
      <c r="T1264" s="140" t="s">
        <v>1845</v>
      </c>
      <c r="U1264" s="140"/>
      <c r="V1264" s="140"/>
      <c r="W1264" s="140"/>
      <c r="X1264" s="128"/>
      <c r="Y1264" s="128"/>
      <c r="Z1264" s="140"/>
      <c r="AA1264" s="140"/>
      <c r="AB1264" s="140"/>
      <c r="AC1264" s="140"/>
      <c r="AD1264" s="140"/>
      <c r="AE1264" s="140"/>
      <c r="AF1264" s="140"/>
      <c r="AG1264" s="140"/>
      <c r="AH1264" s="140"/>
      <c r="AI1264" s="128"/>
      <c r="AJ1264" s="137"/>
      <c r="AK1264" s="140"/>
      <c r="AL1264" s="140"/>
    </row>
    <row r="1265" ht="15.0" customHeight="1">
      <c r="A1265" s="400" t="s">
        <v>1742</v>
      </c>
      <c r="B1265" s="138">
        <v>50788.0</v>
      </c>
      <c r="C1265" s="396">
        <v>1.0</v>
      </c>
      <c r="D1265" s="122" t="s">
        <v>1844</v>
      </c>
      <c r="E1265" s="125" t="s">
        <v>34</v>
      </c>
      <c r="F1265" s="303" t="s">
        <v>1844</v>
      </c>
      <c r="G1265" s="269" t="s">
        <v>3534</v>
      </c>
      <c r="H1265" s="269" t="s">
        <v>1844</v>
      </c>
      <c r="I1265" s="140" t="s">
        <v>1843</v>
      </c>
      <c r="J1265" s="149" t="s">
        <v>1876</v>
      </c>
      <c r="K1265" s="128" t="s">
        <v>2348</v>
      </c>
      <c r="L1265" s="128" t="s">
        <v>1844</v>
      </c>
      <c r="M1265" s="128" t="s">
        <v>1845</v>
      </c>
      <c r="N1265" s="140" t="s">
        <v>1844</v>
      </c>
      <c r="O1265" s="144" t="s">
        <v>1845</v>
      </c>
      <c r="P1265" s="144" t="s">
        <v>1862</v>
      </c>
      <c r="Q1265" s="140"/>
      <c r="R1265" s="140"/>
      <c r="S1265" s="140" t="s">
        <v>1845</v>
      </c>
      <c r="T1265" s="140" t="s">
        <v>1845</v>
      </c>
      <c r="U1265" s="140"/>
      <c r="V1265" s="140"/>
      <c r="W1265" s="140"/>
      <c r="X1265" s="128" t="s">
        <v>1845</v>
      </c>
      <c r="Y1265" s="128"/>
      <c r="Z1265" s="140"/>
      <c r="AA1265" s="140"/>
      <c r="AB1265" s="140"/>
      <c r="AC1265" s="140"/>
      <c r="AD1265" s="140"/>
      <c r="AE1265" s="140"/>
      <c r="AF1265" s="140"/>
      <c r="AG1265" s="140"/>
      <c r="AH1265" s="140"/>
      <c r="AI1265" s="128"/>
      <c r="AJ1265" s="137"/>
      <c r="AK1265" s="140"/>
      <c r="AL1265" s="140"/>
    </row>
    <row r="1266" ht="15.0" customHeight="1">
      <c r="A1266" s="400" t="s">
        <v>1742</v>
      </c>
      <c r="B1266" s="138">
        <v>50791.0</v>
      </c>
      <c r="C1266" s="396">
        <v>1.0</v>
      </c>
      <c r="D1266" s="122" t="s">
        <v>1844</v>
      </c>
      <c r="E1266" s="125" t="s">
        <v>34</v>
      </c>
      <c r="F1266" s="303" t="s">
        <v>1844</v>
      </c>
      <c r="G1266" s="269" t="s">
        <v>3535</v>
      </c>
      <c r="H1266" s="269" t="s">
        <v>1844</v>
      </c>
      <c r="I1266" s="140" t="s">
        <v>1843</v>
      </c>
      <c r="J1266" s="149" t="s">
        <v>1876</v>
      </c>
      <c r="K1266" s="128" t="s">
        <v>2348</v>
      </c>
      <c r="L1266" s="128" t="s">
        <v>1990</v>
      </c>
      <c r="M1266" s="128" t="s">
        <v>1845</v>
      </c>
      <c r="N1266" s="140" t="s">
        <v>1844</v>
      </c>
      <c r="O1266" s="144" t="s">
        <v>1845</v>
      </c>
      <c r="P1266" s="140" t="s">
        <v>1862</v>
      </c>
      <c r="Q1266" s="140"/>
      <c r="R1266" s="140"/>
      <c r="S1266" s="140" t="s">
        <v>1845</v>
      </c>
      <c r="T1266" s="140"/>
      <c r="U1266" s="140"/>
      <c r="V1266" s="140"/>
      <c r="W1266" s="140"/>
      <c r="X1266" s="128" t="s">
        <v>1845</v>
      </c>
      <c r="Y1266" s="128"/>
      <c r="Z1266" s="140"/>
      <c r="AA1266" s="140"/>
      <c r="AB1266" s="140"/>
      <c r="AC1266" s="140"/>
      <c r="AD1266" s="140"/>
      <c r="AE1266" s="140"/>
      <c r="AF1266" s="140"/>
      <c r="AG1266" s="140"/>
      <c r="AH1266" s="140"/>
      <c r="AI1266" s="128"/>
      <c r="AJ1266" s="137"/>
      <c r="AK1266" s="140"/>
      <c r="AL1266" s="140"/>
    </row>
    <row r="1267" ht="15.0" customHeight="1">
      <c r="A1267" s="400" t="s">
        <v>1742</v>
      </c>
      <c r="B1267" s="138">
        <v>50796.0</v>
      </c>
      <c r="C1267" s="396">
        <v>1.0</v>
      </c>
      <c r="D1267" s="122" t="s">
        <v>1844</v>
      </c>
      <c r="E1267" s="125" t="s">
        <v>34</v>
      </c>
      <c r="F1267" s="303" t="s">
        <v>1844</v>
      </c>
      <c r="G1267" s="269" t="s">
        <v>3536</v>
      </c>
      <c r="H1267" s="269" t="s">
        <v>1844</v>
      </c>
      <c r="I1267" s="304" t="s">
        <v>1843</v>
      </c>
      <c r="J1267" s="354" t="s">
        <v>1876</v>
      </c>
      <c r="K1267" s="305" t="s">
        <v>2348</v>
      </c>
      <c r="L1267" s="305" t="s">
        <v>1844</v>
      </c>
      <c r="M1267" s="305" t="s">
        <v>1845</v>
      </c>
      <c r="N1267" s="304" t="s">
        <v>1844</v>
      </c>
      <c r="O1267" s="144" t="s">
        <v>1845</v>
      </c>
      <c r="P1267" s="140" t="s">
        <v>1862</v>
      </c>
      <c r="Q1267" s="304"/>
      <c r="R1267" s="304"/>
      <c r="S1267" s="304" t="s">
        <v>1845</v>
      </c>
      <c r="T1267" s="304"/>
      <c r="U1267" s="304"/>
      <c r="V1267" s="304"/>
      <c r="W1267" s="304"/>
      <c r="X1267" s="305" t="s">
        <v>1845</v>
      </c>
      <c r="Y1267" s="305"/>
      <c r="Z1267" s="304"/>
      <c r="AA1267" s="304"/>
      <c r="AB1267" s="304"/>
      <c r="AC1267" s="304"/>
      <c r="AD1267" s="304"/>
      <c r="AE1267" s="304"/>
      <c r="AF1267" s="304"/>
      <c r="AG1267" s="304"/>
      <c r="AH1267" s="304"/>
      <c r="AI1267" s="305"/>
      <c r="AJ1267" s="355"/>
      <c r="AK1267" s="140"/>
      <c r="AL1267" s="140"/>
    </row>
    <row r="1268" ht="15.0" customHeight="1">
      <c r="A1268" s="400" t="s">
        <v>1742</v>
      </c>
      <c r="B1268" s="138">
        <v>50798.0</v>
      </c>
      <c r="C1268" s="396">
        <v>1.0</v>
      </c>
      <c r="D1268" s="122" t="s">
        <v>1844</v>
      </c>
      <c r="E1268" s="125" t="s">
        <v>34</v>
      </c>
      <c r="F1268" s="303" t="s">
        <v>1844</v>
      </c>
      <c r="G1268" s="269" t="s">
        <v>3537</v>
      </c>
      <c r="H1268" s="269" t="s">
        <v>1844</v>
      </c>
      <c r="I1268" s="140" t="s">
        <v>1843</v>
      </c>
      <c r="J1268" s="149" t="s">
        <v>1876</v>
      </c>
      <c r="K1268" s="128" t="s">
        <v>2348</v>
      </c>
      <c r="L1268" s="128" t="s">
        <v>1878</v>
      </c>
      <c r="M1268" s="128" t="s">
        <v>1845</v>
      </c>
      <c r="N1268" s="140" t="s">
        <v>1844</v>
      </c>
      <c r="O1268" s="144" t="s">
        <v>1845</v>
      </c>
      <c r="P1268" s="140" t="s">
        <v>1862</v>
      </c>
      <c r="Q1268" s="140"/>
      <c r="R1268" s="140"/>
      <c r="S1268" s="140"/>
      <c r="T1268" s="140" t="s">
        <v>1845</v>
      </c>
      <c r="U1268" s="140"/>
      <c r="V1268" s="140"/>
      <c r="W1268" s="140"/>
      <c r="X1268" s="128"/>
      <c r="Y1268" s="128"/>
      <c r="Z1268" s="140"/>
      <c r="AA1268" s="140"/>
      <c r="AB1268" s="140"/>
      <c r="AC1268" s="140"/>
      <c r="AD1268" s="140"/>
      <c r="AE1268" s="140"/>
      <c r="AF1268" s="140"/>
      <c r="AG1268" s="140"/>
      <c r="AH1268" s="140"/>
      <c r="AI1268" s="128"/>
      <c r="AJ1268" s="137"/>
      <c r="AK1268" s="140"/>
      <c r="AL1268" s="140"/>
    </row>
    <row r="1269" ht="15.0" customHeight="1">
      <c r="A1269" s="400" t="s">
        <v>1742</v>
      </c>
      <c r="B1269" s="138">
        <v>50814.0</v>
      </c>
      <c r="C1269" s="396">
        <v>1.0</v>
      </c>
      <c r="D1269" s="122" t="s">
        <v>1844</v>
      </c>
      <c r="E1269" s="125" t="s">
        <v>34</v>
      </c>
      <c r="F1269" s="303" t="s">
        <v>1844</v>
      </c>
      <c r="G1269" s="269" t="s">
        <v>3538</v>
      </c>
      <c r="H1269" s="269" t="s">
        <v>1844</v>
      </c>
      <c r="I1269" s="140" t="s">
        <v>1843</v>
      </c>
      <c r="J1269" s="149" t="s">
        <v>1902</v>
      </c>
      <c r="K1269" s="128" t="s">
        <v>1877</v>
      </c>
      <c r="L1269" s="128" t="s">
        <v>1878</v>
      </c>
      <c r="M1269" s="128" t="s">
        <v>1845</v>
      </c>
      <c r="N1269" s="140" t="s">
        <v>1903</v>
      </c>
      <c r="O1269" s="144" t="s">
        <v>1845</v>
      </c>
      <c r="P1269" s="140" t="s">
        <v>1862</v>
      </c>
      <c r="Q1269" s="140" t="s">
        <v>1845</v>
      </c>
      <c r="R1269" s="140"/>
      <c r="S1269" s="140" t="s">
        <v>1845</v>
      </c>
      <c r="T1269" s="140"/>
      <c r="U1269" s="140"/>
      <c r="V1269" s="140"/>
      <c r="W1269" s="140"/>
      <c r="X1269" s="128"/>
      <c r="Y1269" s="128"/>
      <c r="Z1269" s="140"/>
      <c r="AA1269" s="140"/>
      <c r="AB1269" s="140"/>
      <c r="AC1269" s="140"/>
      <c r="AD1269" s="140"/>
      <c r="AE1269" s="140"/>
      <c r="AF1269" s="140"/>
      <c r="AG1269" s="140"/>
      <c r="AH1269" s="140"/>
      <c r="AI1269" s="128"/>
      <c r="AJ1269" s="137"/>
      <c r="AK1269" s="140"/>
      <c r="AL1269" s="140"/>
    </row>
    <row r="1270" ht="15.0" customHeight="1">
      <c r="A1270" s="400" t="s">
        <v>1742</v>
      </c>
      <c r="B1270" s="138">
        <v>50817.0</v>
      </c>
      <c r="C1270" s="396">
        <v>1.0</v>
      </c>
      <c r="D1270" s="122" t="s">
        <v>1844</v>
      </c>
      <c r="E1270" s="125" t="s">
        <v>34</v>
      </c>
      <c r="F1270" s="303" t="s">
        <v>1844</v>
      </c>
      <c r="G1270" s="269" t="s">
        <v>3539</v>
      </c>
      <c r="H1270" s="269" t="s">
        <v>1844</v>
      </c>
      <c r="I1270" s="140" t="s">
        <v>1906</v>
      </c>
      <c r="J1270" s="149" t="s">
        <v>1876</v>
      </c>
      <c r="K1270" s="128" t="s">
        <v>2348</v>
      </c>
      <c r="L1270" s="128" t="s">
        <v>1844</v>
      </c>
      <c r="M1270" s="128" t="s">
        <v>1845</v>
      </c>
      <c r="N1270" s="140" t="s">
        <v>1844</v>
      </c>
      <c r="O1270" s="144" t="s">
        <v>1845</v>
      </c>
      <c r="P1270" s="140" t="s">
        <v>1862</v>
      </c>
      <c r="Q1270" s="140"/>
      <c r="R1270" s="140"/>
      <c r="S1270" s="140"/>
      <c r="T1270" s="140"/>
      <c r="U1270" s="140"/>
      <c r="V1270" s="140"/>
      <c r="W1270" s="140"/>
      <c r="X1270" s="128"/>
      <c r="Y1270" s="128"/>
      <c r="Z1270" s="140"/>
      <c r="AA1270" s="140"/>
      <c r="AB1270" s="140"/>
      <c r="AC1270" s="140"/>
      <c r="AD1270" s="140"/>
      <c r="AE1270" s="140"/>
      <c r="AF1270" s="140"/>
      <c r="AG1270" s="140"/>
      <c r="AH1270" s="140"/>
      <c r="AI1270" s="128"/>
      <c r="AJ1270" s="137"/>
      <c r="AK1270" s="140"/>
      <c r="AL1270" s="140"/>
    </row>
    <row r="1271" ht="15.0" customHeight="1">
      <c r="A1271" s="400" t="s">
        <v>1742</v>
      </c>
      <c r="B1271" s="138">
        <v>50818.0</v>
      </c>
      <c r="C1271" s="396">
        <v>1.0</v>
      </c>
      <c r="D1271" s="122" t="s">
        <v>1844</v>
      </c>
      <c r="E1271" s="125" t="s">
        <v>34</v>
      </c>
      <c r="F1271" s="303" t="s">
        <v>1844</v>
      </c>
      <c r="G1271" s="269" t="s">
        <v>1440</v>
      </c>
      <c r="H1271" s="269" t="s">
        <v>1844</v>
      </c>
      <c r="I1271" s="140" t="s">
        <v>1843</v>
      </c>
      <c r="J1271" s="149" t="s">
        <v>1844</v>
      </c>
      <c r="K1271" s="128" t="s">
        <v>1844</v>
      </c>
      <c r="L1271" s="128" t="s">
        <v>1844</v>
      </c>
      <c r="M1271" s="128" t="s">
        <v>1845</v>
      </c>
      <c r="N1271" s="140" t="s">
        <v>1844</v>
      </c>
      <c r="O1271" s="144" t="s">
        <v>1845</v>
      </c>
      <c r="P1271" s="140" t="s">
        <v>1862</v>
      </c>
      <c r="Q1271" s="140"/>
      <c r="R1271" s="140"/>
      <c r="S1271" s="140" t="s">
        <v>1845</v>
      </c>
      <c r="T1271" s="140" t="s">
        <v>1845</v>
      </c>
      <c r="U1271" s="140"/>
      <c r="V1271" s="140"/>
      <c r="W1271" s="140"/>
      <c r="X1271" s="128"/>
      <c r="Y1271" s="128"/>
      <c r="Z1271" s="140"/>
      <c r="AA1271" s="140"/>
      <c r="AB1271" s="140"/>
      <c r="AC1271" s="140"/>
      <c r="AD1271" s="140"/>
      <c r="AE1271" s="140"/>
      <c r="AF1271" s="140"/>
      <c r="AG1271" s="140"/>
      <c r="AH1271" s="140"/>
      <c r="AI1271" s="128"/>
      <c r="AJ1271" s="137"/>
      <c r="AK1271" s="140"/>
      <c r="AL1271" s="140"/>
    </row>
    <row r="1272" ht="15.0" customHeight="1">
      <c r="A1272" s="400" t="s">
        <v>1742</v>
      </c>
      <c r="B1272" s="138">
        <v>50819.0</v>
      </c>
      <c r="C1272" s="396">
        <v>1.0</v>
      </c>
      <c r="D1272" s="122" t="s">
        <v>1844</v>
      </c>
      <c r="E1272" s="125" t="s">
        <v>34</v>
      </c>
      <c r="F1272" s="303" t="s">
        <v>1844</v>
      </c>
      <c r="G1272" s="269" t="s">
        <v>3540</v>
      </c>
      <c r="H1272" s="269" t="s">
        <v>1844</v>
      </c>
      <c r="I1272" s="140" t="s">
        <v>1906</v>
      </c>
      <c r="J1272" s="149" t="s">
        <v>1876</v>
      </c>
      <c r="K1272" s="128" t="s">
        <v>2348</v>
      </c>
      <c r="L1272" s="128" t="s">
        <v>1844</v>
      </c>
      <c r="M1272" s="128" t="s">
        <v>1845</v>
      </c>
      <c r="N1272" s="140" t="s">
        <v>1844</v>
      </c>
      <c r="O1272" s="144" t="s">
        <v>1845</v>
      </c>
      <c r="P1272" s="144" t="s">
        <v>1862</v>
      </c>
      <c r="Q1272" s="140"/>
      <c r="R1272" s="140"/>
      <c r="S1272" s="140"/>
      <c r="T1272" s="140"/>
      <c r="U1272" s="140"/>
      <c r="V1272" s="140" t="s">
        <v>1845</v>
      </c>
      <c r="W1272" s="140"/>
      <c r="X1272" s="128" t="s">
        <v>1845</v>
      </c>
      <c r="Y1272" s="128"/>
      <c r="Z1272" s="140"/>
      <c r="AA1272" s="140"/>
      <c r="AB1272" s="140"/>
      <c r="AC1272" s="140"/>
      <c r="AD1272" s="140"/>
      <c r="AE1272" s="140"/>
      <c r="AF1272" s="140"/>
      <c r="AG1272" s="140"/>
      <c r="AH1272" s="140"/>
      <c r="AI1272" s="128"/>
      <c r="AJ1272" s="137"/>
      <c r="AK1272" s="140"/>
      <c r="AL1272" s="140"/>
    </row>
    <row r="1273" ht="36.75" customHeight="1">
      <c r="A1273" s="400" t="s">
        <v>1742</v>
      </c>
      <c r="B1273" s="138">
        <v>50820.0</v>
      </c>
      <c r="C1273" s="396">
        <v>1.0</v>
      </c>
      <c r="D1273" s="122" t="s">
        <v>1844</v>
      </c>
      <c r="E1273" s="125" t="s">
        <v>34</v>
      </c>
      <c r="F1273" s="303" t="s">
        <v>1844</v>
      </c>
      <c r="G1273" s="269" t="s">
        <v>3541</v>
      </c>
      <c r="H1273" s="269" t="s">
        <v>1844</v>
      </c>
      <c r="I1273" s="140" t="s">
        <v>1906</v>
      </c>
      <c r="J1273" s="149" t="s">
        <v>1876</v>
      </c>
      <c r="K1273" s="128" t="s">
        <v>2348</v>
      </c>
      <c r="L1273" s="128" t="s">
        <v>1844</v>
      </c>
      <c r="M1273" s="128" t="s">
        <v>1845</v>
      </c>
      <c r="N1273" s="140" t="s">
        <v>1844</v>
      </c>
      <c r="O1273" s="144" t="s">
        <v>1845</v>
      </c>
      <c r="P1273" s="140" t="s">
        <v>1862</v>
      </c>
      <c r="Q1273" s="140" t="s">
        <v>1845</v>
      </c>
      <c r="R1273" s="140"/>
      <c r="S1273" s="140"/>
      <c r="T1273" s="140"/>
      <c r="U1273" s="140"/>
      <c r="V1273" s="140" t="s">
        <v>1845</v>
      </c>
      <c r="W1273" s="140"/>
      <c r="X1273" s="128"/>
      <c r="Y1273" s="128"/>
      <c r="Z1273" s="140"/>
      <c r="AA1273" s="140"/>
      <c r="AB1273" s="140"/>
      <c r="AC1273" s="140"/>
      <c r="AD1273" s="140"/>
      <c r="AE1273" s="140"/>
      <c r="AF1273" s="140"/>
      <c r="AG1273" s="140"/>
      <c r="AH1273" s="140"/>
      <c r="AI1273" s="128"/>
      <c r="AJ1273" s="137"/>
      <c r="AK1273" s="140"/>
      <c r="AL1273" s="140"/>
    </row>
    <row r="1274" ht="15.0" customHeight="1">
      <c r="A1274" s="400" t="s">
        <v>1742</v>
      </c>
      <c r="B1274" s="138">
        <v>50825.0</v>
      </c>
      <c r="C1274" s="396">
        <v>1.0</v>
      </c>
      <c r="D1274" s="122" t="s">
        <v>1844</v>
      </c>
      <c r="E1274" s="125" t="s">
        <v>34</v>
      </c>
      <c r="F1274" s="303" t="s">
        <v>1844</v>
      </c>
      <c r="G1274" s="269" t="s">
        <v>3542</v>
      </c>
      <c r="H1274" s="269" t="s">
        <v>1844</v>
      </c>
      <c r="I1274" s="140" t="s">
        <v>1906</v>
      </c>
      <c r="J1274" s="149" t="s">
        <v>1902</v>
      </c>
      <c r="K1274" s="128" t="s">
        <v>1877</v>
      </c>
      <c r="L1274" s="128" t="s">
        <v>1884</v>
      </c>
      <c r="M1274" s="128" t="s">
        <v>1845</v>
      </c>
      <c r="N1274" s="140" t="s">
        <v>1903</v>
      </c>
      <c r="O1274" s="144" t="s">
        <v>1845</v>
      </c>
      <c r="P1274" s="140" t="s">
        <v>1862</v>
      </c>
      <c r="Q1274" s="140"/>
      <c r="R1274" s="140"/>
      <c r="S1274" s="140"/>
      <c r="T1274" s="140"/>
      <c r="U1274" s="140" t="s">
        <v>1845</v>
      </c>
      <c r="V1274" s="140"/>
      <c r="W1274" s="140"/>
      <c r="X1274" s="128" t="s">
        <v>1845</v>
      </c>
      <c r="Y1274" s="128"/>
      <c r="Z1274" s="140"/>
      <c r="AA1274" s="140"/>
      <c r="AB1274" s="140"/>
      <c r="AC1274" s="140"/>
      <c r="AD1274" s="140"/>
      <c r="AE1274" s="140"/>
      <c r="AF1274" s="140"/>
      <c r="AG1274" s="140"/>
      <c r="AH1274" s="140"/>
      <c r="AI1274" s="128"/>
      <c r="AJ1274" s="137"/>
      <c r="AK1274" s="140"/>
      <c r="AL1274" s="140"/>
    </row>
    <row r="1275" ht="15.0" customHeight="1">
      <c r="A1275" s="400" t="s">
        <v>1742</v>
      </c>
      <c r="B1275" s="138">
        <v>50827.0</v>
      </c>
      <c r="C1275" s="396">
        <v>1.0</v>
      </c>
      <c r="D1275" s="122" t="s">
        <v>1844</v>
      </c>
      <c r="E1275" s="125" t="s">
        <v>34</v>
      </c>
      <c r="F1275" s="303" t="s">
        <v>1844</v>
      </c>
      <c r="G1275" s="269" t="s">
        <v>3543</v>
      </c>
      <c r="H1275" s="269" t="s">
        <v>1844</v>
      </c>
      <c r="I1275" s="140" t="s">
        <v>1906</v>
      </c>
      <c r="J1275" s="149" t="s">
        <v>1876</v>
      </c>
      <c r="K1275" s="128" t="s">
        <v>2348</v>
      </c>
      <c r="L1275" s="128" t="s">
        <v>1878</v>
      </c>
      <c r="M1275" s="128" t="s">
        <v>1845</v>
      </c>
      <c r="N1275" s="140" t="s">
        <v>1844</v>
      </c>
      <c r="O1275" s="144" t="s">
        <v>1845</v>
      </c>
      <c r="P1275" s="140" t="s">
        <v>1862</v>
      </c>
      <c r="Q1275" s="140"/>
      <c r="R1275" s="140"/>
      <c r="S1275" s="140"/>
      <c r="T1275" s="140"/>
      <c r="U1275" s="140"/>
      <c r="V1275" s="140" t="s">
        <v>1845</v>
      </c>
      <c r="W1275" s="140"/>
      <c r="X1275" s="128" t="s">
        <v>1845</v>
      </c>
      <c r="Y1275" s="128"/>
      <c r="Z1275" s="140"/>
      <c r="AA1275" s="140"/>
      <c r="AB1275" s="140"/>
      <c r="AC1275" s="140"/>
      <c r="AD1275" s="140"/>
      <c r="AE1275" s="140"/>
      <c r="AF1275" s="140"/>
      <c r="AG1275" s="140"/>
      <c r="AH1275" s="140"/>
      <c r="AI1275" s="128"/>
      <c r="AJ1275" s="137"/>
      <c r="AK1275" s="140"/>
      <c r="AL1275" s="140"/>
    </row>
    <row r="1276" ht="15.0" customHeight="1">
      <c r="A1276" s="400" t="s">
        <v>1742</v>
      </c>
      <c r="B1276" s="138">
        <v>50833.0</v>
      </c>
      <c r="C1276" s="396">
        <v>1.0</v>
      </c>
      <c r="D1276" s="122" t="s">
        <v>1844</v>
      </c>
      <c r="E1276" s="125" t="s">
        <v>34</v>
      </c>
      <c r="F1276" s="303" t="s">
        <v>1844</v>
      </c>
      <c r="G1276" s="269" t="s">
        <v>3544</v>
      </c>
      <c r="H1276" s="269" t="s">
        <v>1844</v>
      </c>
      <c r="I1276" s="140" t="s">
        <v>1843</v>
      </c>
      <c r="J1276" s="149" t="s">
        <v>1876</v>
      </c>
      <c r="K1276" s="128" t="s">
        <v>2348</v>
      </c>
      <c r="L1276" s="128" t="s">
        <v>1844</v>
      </c>
      <c r="M1276" s="128" t="s">
        <v>1845</v>
      </c>
      <c r="N1276" s="140" t="s">
        <v>1844</v>
      </c>
      <c r="O1276" s="144" t="s">
        <v>1845</v>
      </c>
      <c r="P1276" s="140" t="s">
        <v>1862</v>
      </c>
      <c r="Q1276" s="140"/>
      <c r="R1276" s="140"/>
      <c r="S1276" s="140" t="s">
        <v>1845</v>
      </c>
      <c r="T1276" s="140"/>
      <c r="U1276" s="140"/>
      <c r="V1276" s="140"/>
      <c r="W1276" s="140"/>
      <c r="X1276" s="128"/>
      <c r="Y1276" s="128"/>
      <c r="Z1276" s="140"/>
      <c r="AA1276" s="140"/>
      <c r="AB1276" s="140"/>
      <c r="AC1276" s="140"/>
      <c r="AD1276" s="140"/>
      <c r="AE1276" s="140"/>
      <c r="AF1276" s="140"/>
      <c r="AG1276" s="140"/>
      <c r="AH1276" s="140"/>
      <c r="AI1276" s="128"/>
      <c r="AJ1276" s="137"/>
      <c r="AK1276" s="140"/>
      <c r="AL1276" s="140"/>
    </row>
    <row r="1277" ht="15.0" customHeight="1">
      <c r="A1277" s="400" t="s">
        <v>1742</v>
      </c>
      <c r="B1277" s="138">
        <v>50849.0</v>
      </c>
      <c r="C1277" s="396">
        <v>1.0</v>
      </c>
      <c r="D1277" s="122" t="s">
        <v>1844</v>
      </c>
      <c r="E1277" s="125" t="s">
        <v>34</v>
      </c>
      <c r="F1277" s="303" t="s">
        <v>1844</v>
      </c>
      <c r="G1277" s="269" t="s">
        <v>3545</v>
      </c>
      <c r="H1277" s="269" t="s">
        <v>1844</v>
      </c>
      <c r="I1277" s="140" t="s">
        <v>1906</v>
      </c>
      <c r="J1277" s="149" t="s">
        <v>1876</v>
      </c>
      <c r="K1277" s="128" t="s">
        <v>2348</v>
      </c>
      <c r="L1277" s="128" t="s">
        <v>1990</v>
      </c>
      <c r="M1277" s="128" t="s">
        <v>1845</v>
      </c>
      <c r="N1277" s="140" t="s">
        <v>1844</v>
      </c>
      <c r="O1277" s="144" t="s">
        <v>1845</v>
      </c>
      <c r="P1277" s="140" t="s">
        <v>1862</v>
      </c>
      <c r="Q1277" s="140"/>
      <c r="R1277" s="140"/>
      <c r="S1277" s="140" t="s">
        <v>1845</v>
      </c>
      <c r="T1277" s="140"/>
      <c r="U1277" s="140" t="s">
        <v>1845</v>
      </c>
      <c r="V1277" s="140" t="s">
        <v>1845</v>
      </c>
      <c r="W1277" s="140"/>
      <c r="X1277" s="128" t="s">
        <v>1845</v>
      </c>
      <c r="Y1277" s="128"/>
      <c r="Z1277" s="140"/>
      <c r="AA1277" s="140"/>
      <c r="AB1277" s="140"/>
      <c r="AC1277" s="140"/>
      <c r="AD1277" s="140"/>
      <c r="AE1277" s="140"/>
      <c r="AF1277" s="140"/>
      <c r="AG1277" s="140"/>
      <c r="AH1277" s="140"/>
      <c r="AI1277" s="128"/>
      <c r="AJ1277" s="137"/>
      <c r="AK1277" s="140"/>
      <c r="AL1277" s="140"/>
    </row>
    <row r="1278" ht="15.0" customHeight="1">
      <c r="A1278" s="400" t="s">
        <v>1742</v>
      </c>
      <c r="B1278" s="138">
        <v>50853.0</v>
      </c>
      <c r="C1278" s="396">
        <v>1.0</v>
      </c>
      <c r="D1278" s="122" t="s">
        <v>1844</v>
      </c>
      <c r="E1278" s="125" t="s">
        <v>34</v>
      </c>
      <c r="F1278" s="303" t="s">
        <v>1844</v>
      </c>
      <c r="G1278" s="269" t="s">
        <v>3546</v>
      </c>
      <c r="H1278" s="269" t="s">
        <v>1844</v>
      </c>
      <c r="I1278" s="140" t="s">
        <v>1906</v>
      </c>
      <c r="J1278" s="149" t="s">
        <v>1876</v>
      </c>
      <c r="K1278" s="128" t="s">
        <v>2348</v>
      </c>
      <c r="L1278" s="128" t="s">
        <v>1878</v>
      </c>
      <c r="M1278" s="128" t="s">
        <v>1845</v>
      </c>
      <c r="N1278" s="140" t="s">
        <v>1844</v>
      </c>
      <c r="O1278" s="144" t="s">
        <v>1845</v>
      </c>
      <c r="P1278" s="140" t="s">
        <v>1862</v>
      </c>
      <c r="Q1278" s="140"/>
      <c r="R1278" s="140"/>
      <c r="S1278" s="140"/>
      <c r="T1278" s="140"/>
      <c r="U1278" s="140" t="s">
        <v>1845</v>
      </c>
      <c r="V1278" s="140" t="s">
        <v>1845</v>
      </c>
      <c r="W1278" s="140"/>
      <c r="X1278" s="128"/>
      <c r="Y1278" s="128"/>
      <c r="Z1278" s="140"/>
      <c r="AA1278" s="140"/>
      <c r="AB1278" s="140"/>
      <c r="AC1278" s="140"/>
      <c r="AD1278" s="140"/>
      <c r="AE1278" s="140"/>
      <c r="AF1278" s="140"/>
      <c r="AG1278" s="140"/>
      <c r="AH1278" s="140"/>
      <c r="AI1278" s="128"/>
      <c r="AJ1278" s="137"/>
      <c r="AK1278" s="140"/>
      <c r="AL1278" s="140"/>
    </row>
    <row r="1279" ht="15.0" customHeight="1">
      <c r="A1279" s="400" t="s">
        <v>1742</v>
      </c>
      <c r="B1279" s="138">
        <v>50855.0</v>
      </c>
      <c r="C1279" s="396">
        <v>1.0</v>
      </c>
      <c r="D1279" s="122" t="s">
        <v>1844</v>
      </c>
      <c r="E1279" s="125" t="s">
        <v>34</v>
      </c>
      <c r="F1279" s="303" t="s">
        <v>1844</v>
      </c>
      <c r="G1279" s="269" t="s">
        <v>3547</v>
      </c>
      <c r="H1279" s="269" t="s">
        <v>1844</v>
      </c>
      <c r="I1279" s="128" t="s">
        <v>1906</v>
      </c>
      <c r="J1279" s="149" t="s">
        <v>1876</v>
      </c>
      <c r="K1279" s="128" t="s">
        <v>2348</v>
      </c>
      <c r="L1279" s="128" t="s">
        <v>1990</v>
      </c>
      <c r="M1279" s="128" t="s">
        <v>1845</v>
      </c>
      <c r="N1279" s="140" t="s">
        <v>1844</v>
      </c>
      <c r="O1279" s="144" t="s">
        <v>1845</v>
      </c>
      <c r="P1279" s="128" t="s">
        <v>1862</v>
      </c>
      <c r="Q1279" s="128"/>
      <c r="R1279" s="140"/>
      <c r="S1279" s="128"/>
      <c r="T1279" s="128"/>
      <c r="U1279" s="128"/>
      <c r="V1279" s="128" t="s">
        <v>1845</v>
      </c>
      <c r="W1279" s="140"/>
      <c r="X1279" s="128"/>
      <c r="Y1279" s="128"/>
      <c r="Z1279" s="140"/>
      <c r="AA1279" s="140"/>
      <c r="AB1279" s="140"/>
      <c r="AC1279" s="140"/>
      <c r="AD1279" s="140"/>
      <c r="AE1279" s="140"/>
      <c r="AF1279" s="140"/>
      <c r="AG1279" s="140"/>
      <c r="AH1279" s="140"/>
      <c r="AI1279" s="128"/>
      <c r="AJ1279" s="137"/>
      <c r="AK1279" s="140"/>
      <c r="AL1279" s="140"/>
    </row>
    <row r="1280" ht="15.0" customHeight="1">
      <c r="A1280" s="400" t="s">
        <v>1742</v>
      </c>
      <c r="B1280" s="138">
        <v>50879.0</v>
      </c>
      <c r="C1280" s="396">
        <v>1.0</v>
      </c>
      <c r="D1280" s="122" t="s">
        <v>1844</v>
      </c>
      <c r="E1280" s="125" t="s">
        <v>34</v>
      </c>
      <c r="F1280" s="303" t="s">
        <v>1844</v>
      </c>
      <c r="G1280" s="269" t="s">
        <v>3548</v>
      </c>
      <c r="H1280" s="269" t="s">
        <v>1844</v>
      </c>
      <c r="I1280" s="140" t="s">
        <v>1843</v>
      </c>
      <c r="J1280" s="149" t="s">
        <v>1876</v>
      </c>
      <c r="K1280" s="128" t="s">
        <v>2348</v>
      </c>
      <c r="L1280" s="128" t="s">
        <v>1844</v>
      </c>
      <c r="M1280" s="128" t="s">
        <v>1845</v>
      </c>
      <c r="N1280" s="140" t="s">
        <v>1844</v>
      </c>
      <c r="O1280" s="144" t="s">
        <v>1845</v>
      </c>
      <c r="P1280" s="140" t="s">
        <v>1844</v>
      </c>
      <c r="Q1280" s="140" t="s">
        <v>1845</v>
      </c>
      <c r="R1280" s="140"/>
      <c r="S1280" s="140"/>
      <c r="T1280" s="140" t="s">
        <v>1845</v>
      </c>
      <c r="U1280" s="140"/>
      <c r="V1280" s="140"/>
      <c r="W1280" s="140" t="s">
        <v>1845</v>
      </c>
      <c r="X1280" s="128"/>
      <c r="Y1280" s="128"/>
      <c r="Z1280" s="140"/>
      <c r="AA1280" s="140"/>
      <c r="AB1280" s="140"/>
      <c r="AC1280" s="140"/>
      <c r="AD1280" s="140"/>
      <c r="AE1280" s="140"/>
      <c r="AF1280" s="140"/>
      <c r="AG1280" s="140"/>
      <c r="AH1280" s="140"/>
      <c r="AI1280" s="128"/>
      <c r="AJ1280" s="137"/>
      <c r="AK1280" s="140"/>
      <c r="AL1280" s="140"/>
    </row>
    <row r="1281" ht="15.0" customHeight="1">
      <c r="A1281" s="400" t="s">
        <v>1742</v>
      </c>
      <c r="B1281" s="138">
        <v>50886.0</v>
      </c>
      <c r="C1281" s="396">
        <v>1.0</v>
      </c>
      <c r="D1281" s="122" t="s">
        <v>1844</v>
      </c>
      <c r="E1281" s="125" t="s">
        <v>34</v>
      </c>
      <c r="F1281" s="303" t="s">
        <v>1844</v>
      </c>
      <c r="G1281" s="269" t="s">
        <v>3549</v>
      </c>
      <c r="H1281" s="269" t="s">
        <v>1844</v>
      </c>
      <c r="I1281" s="140" t="s">
        <v>1843</v>
      </c>
      <c r="J1281" s="149" t="s">
        <v>1876</v>
      </c>
      <c r="K1281" s="128" t="s">
        <v>2348</v>
      </c>
      <c r="L1281" s="128" t="s">
        <v>1844</v>
      </c>
      <c r="M1281" s="128" t="s">
        <v>1845</v>
      </c>
      <c r="N1281" s="140" t="s">
        <v>1844</v>
      </c>
      <c r="O1281" s="144" t="s">
        <v>1845</v>
      </c>
      <c r="P1281" s="140" t="s">
        <v>1862</v>
      </c>
      <c r="Q1281" s="140"/>
      <c r="R1281" s="140"/>
      <c r="S1281" s="140" t="s">
        <v>1845</v>
      </c>
      <c r="T1281" s="140"/>
      <c r="U1281" s="140"/>
      <c r="V1281" s="140"/>
      <c r="W1281" s="140" t="s">
        <v>1845</v>
      </c>
      <c r="X1281" s="128"/>
      <c r="Y1281" s="128"/>
      <c r="Z1281" s="140"/>
      <c r="AA1281" s="140"/>
      <c r="AB1281" s="140"/>
      <c r="AC1281" s="140"/>
      <c r="AD1281" s="140"/>
      <c r="AE1281" s="140"/>
      <c r="AF1281" s="140"/>
      <c r="AG1281" s="140"/>
      <c r="AH1281" s="140"/>
      <c r="AI1281" s="128"/>
      <c r="AJ1281" s="137"/>
      <c r="AK1281" s="140"/>
      <c r="AL1281" s="140"/>
    </row>
    <row r="1282" ht="15.0" customHeight="1">
      <c r="A1282" s="400" t="s">
        <v>1742</v>
      </c>
      <c r="B1282" s="138">
        <v>50890.0</v>
      </c>
      <c r="C1282" s="396">
        <v>1.0</v>
      </c>
      <c r="D1282" s="122" t="s">
        <v>1844</v>
      </c>
      <c r="E1282" s="125" t="s">
        <v>34</v>
      </c>
      <c r="F1282" s="303" t="s">
        <v>1844</v>
      </c>
      <c r="G1282" s="269" t="s">
        <v>3550</v>
      </c>
      <c r="H1282" s="269" t="s">
        <v>1844</v>
      </c>
      <c r="I1282" s="140" t="s">
        <v>1843</v>
      </c>
      <c r="J1282" s="149" t="s">
        <v>1876</v>
      </c>
      <c r="K1282" s="128" t="s">
        <v>2348</v>
      </c>
      <c r="L1282" s="305" t="s">
        <v>1990</v>
      </c>
      <c r="M1282" s="128" t="s">
        <v>1845</v>
      </c>
      <c r="N1282" s="140" t="s">
        <v>1844</v>
      </c>
      <c r="O1282" s="144" t="s">
        <v>1845</v>
      </c>
      <c r="P1282" s="140" t="s">
        <v>1895</v>
      </c>
      <c r="Q1282" s="140"/>
      <c r="R1282" s="140"/>
      <c r="S1282" s="140"/>
      <c r="T1282" s="140" t="s">
        <v>1845</v>
      </c>
      <c r="U1282" s="140"/>
      <c r="V1282" s="140"/>
      <c r="W1282" s="140"/>
      <c r="X1282" s="128" t="s">
        <v>1845</v>
      </c>
      <c r="Y1282" s="128"/>
      <c r="Z1282" s="140"/>
      <c r="AA1282" s="140"/>
      <c r="AB1282" s="140"/>
      <c r="AC1282" s="140"/>
      <c r="AD1282" s="140"/>
      <c r="AE1282" s="140"/>
      <c r="AF1282" s="140"/>
      <c r="AG1282" s="140"/>
      <c r="AH1282" s="140"/>
      <c r="AI1282" s="128"/>
      <c r="AJ1282" s="137"/>
      <c r="AK1282" s="140"/>
      <c r="AL1282" s="140"/>
    </row>
    <row r="1283" ht="15.0" customHeight="1">
      <c r="A1283" s="400" t="s">
        <v>1742</v>
      </c>
      <c r="B1283" s="138">
        <v>50902.0</v>
      </c>
      <c r="C1283" s="396">
        <v>1.0</v>
      </c>
      <c r="D1283" s="122" t="s">
        <v>1844</v>
      </c>
      <c r="E1283" s="125" t="s">
        <v>34</v>
      </c>
      <c r="F1283" s="303" t="s">
        <v>1844</v>
      </c>
      <c r="G1283" s="269" t="s">
        <v>3551</v>
      </c>
      <c r="H1283" s="269" t="s">
        <v>1844</v>
      </c>
      <c r="I1283" s="140" t="s">
        <v>1843</v>
      </c>
      <c r="J1283" s="149" t="s">
        <v>1876</v>
      </c>
      <c r="K1283" s="128" t="s">
        <v>2348</v>
      </c>
      <c r="L1283" s="128" t="s">
        <v>1990</v>
      </c>
      <c r="M1283" s="128" t="s">
        <v>1845</v>
      </c>
      <c r="N1283" s="140" t="s">
        <v>1844</v>
      </c>
      <c r="O1283" s="140" t="s">
        <v>1845</v>
      </c>
      <c r="P1283" s="140" t="s">
        <v>1895</v>
      </c>
      <c r="Q1283" s="140"/>
      <c r="R1283" s="140"/>
      <c r="S1283" s="140"/>
      <c r="T1283" s="140" t="s">
        <v>1845</v>
      </c>
      <c r="U1283" s="140"/>
      <c r="V1283" s="140"/>
      <c r="W1283" s="140"/>
      <c r="X1283" s="128" t="s">
        <v>1845</v>
      </c>
      <c r="Y1283" s="128"/>
      <c r="Z1283" s="140"/>
      <c r="AA1283" s="140"/>
      <c r="AB1283" s="140"/>
      <c r="AC1283" s="140"/>
      <c r="AD1283" s="140"/>
      <c r="AE1283" s="140"/>
      <c r="AF1283" s="140"/>
      <c r="AG1283" s="140"/>
      <c r="AH1283" s="140"/>
      <c r="AI1283" s="128"/>
      <c r="AJ1283" s="137"/>
      <c r="AK1283" s="140"/>
      <c r="AL1283" s="140"/>
    </row>
    <row r="1284" ht="15.0" customHeight="1">
      <c r="A1284" s="407" t="s">
        <v>1742</v>
      </c>
      <c r="B1284" s="342">
        <v>50903.0</v>
      </c>
      <c r="C1284" s="393">
        <v>1.0</v>
      </c>
      <c r="D1284" s="122" t="s">
        <v>1844</v>
      </c>
      <c r="E1284" s="141" t="s">
        <v>34</v>
      </c>
      <c r="F1284" s="352" t="s">
        <v>1844</v>
      </c>
      <c r="G1284" s="340" t="s">
        <v>3552</v>
      </c>
      <c r="H1284" s="334" t="s">
        <v>1844</v>
      </c>
      <c r="I1284" s="140" t="s">
        <v>1843</v>
      </c>
      <c r="J1284" s="149" t="s">
        <v>1876</v>
      </c>
      <c r="K1284" s="128" t="s">
        <v>2348</v>
      </c>
      <c r="L1284" s="305" t="s">
        <v>1990</v>
      </c>
      <c r="M1284" s="128" t="s">
        <v>1845</v>
      </c>
      <c r="N1284" s="140" t="s">
        <v>1844</v>
      </c>
      <c r="O1284" s="140" t="s">
        <v>1845</v>
      </c>
      <c r="P1284" s="140" t="s">
        <v>1895</v>
      </c>
      <c r="Q1284" s="140"/>
      <c r="R1284" s="144"/>
      <c r="S1284" s="144"/>
      <c r="T1284" s="144"/>
      <c r="U1284" s="144"/>
      <c r="V1284" s="144"/>
      <c r="W1284" s="144"/>
      <c r="X1284" s="136" t="s">
        <v>1845</v>
      </c>
      <c r="Y1284" s="136"/>
      <c r="Z1284" s="144"/>
      <c r="AA1284" s="144"/>
      <c r="AB1284" s="144"/>
      <c r="AC1284" s="144"/>
      <c r="AD1284" s="144"/>
      <c r="AE1284" s="144"/>
      <c r="AF1284" s="144"/>
      <c r="AG1284" s="144"/>
      <c r="AH1284" s="144"/>
      <c r="AI1284" s="136"/>
      <c r="AJ1284" s="136"/>
      <c r="AK1284" s="140"/>
      <c r="AL1284" s="140"/>
    </row>
    <row r="1285" ht="15.0" customHeight="1">
      <c r="A1285" s="407" t="s">
        <v>1742</v>
      </c>
      <c r="B1285" s="342">
        <v>50908.0</v>
      </c>
      <c r="C1285" s="393">
        <v>1.0</v>
      </c>
      <c r="D1285" s="295" t="s">
        <v>1844</v>
      </c>
      <c r="E1285" s="141" t="s">
        <v>34</v>
      </c>
      <c r="F1285" s="352" t="s">
        <v>1844</v>
      </c>
      <c r="G1285" s="408" t="s">
        <v>3553</v>
      </c>
      <c r="H1285" s="334" t="s">
        <v>1844</v>
      </c>
      <c r="I1285" s="144" t="s">
        <v>1843</v>
      </c>
      <c r="J1285" s="186" t="s">
        <v>1876</v>
      </c>
      <c r="K1285" s="136" t="s">
        <v>2348</v>
      </c>
      <c r="L1285" s="136" t="s">
        <v>1990</v>
      </c>
      <c r="M1285" s="136" t="s">
        <v>1845</v>
      </c>
      <c r="N1285" s="144" t="s">
        <v>1844</v>
      </c>
      <c r="O1285" s="144" t="s">
        <v>1845</v>
      </c>
      <c r="P1285" s="144" t="s">
        <v>1862</v>
      </c>
      <c r="Q1285" s="144"/>
      <c r="R1285" s="144"/>
      <c r="S1285" s="144" t="s">
        <v>1845</v>
      </c>
      <c r="T1285" s="144"/>
      <c r="U1285" s="144"/>
      <c r="V1285" s="144"/>
      <c r="W1285" s="144"/>
      <c r="X1285" s="136" t="s">
        <v>1845</v>
      </c>
      <c r="Y1285" s="136"/>
      <c r="Z1285" s="144"/>
      <c r="AA1285" s="144"/>
      <c r="AB1285" s="144"/>
      <c r="AC1285" s="144"/>
      <c r="AD1285" s="144"/>
      <c r="AE1285" s="144"/>
      <c r="AF1285" s="144"/>
      <c r="AG1285" s="144"/>
      <c r="AH1285" s="144"/>
      <c r="AI1285" s="136"/>
      <c r="AJ1285" s="136"/>
      <c r="AK1285" s="140"/>
      <c r="AL1285" s="140"/>
    </row>
    <row r="1286" ht="15.0" customHeight="1">
      <c r="A1286" s="407" t="s">
        <v>1742</v>
      </c>
      <c r="B1286" s="342">
        <v>50912.0</v>
      </c>
      <c r="C1286" s="393">
        <v>1.0</v>
      </c>
      <c r="D1286" s="295" t="s">
        <v>1844</v>
      </c>
      <c r="E1286" s="141" t="s">
        <v>34</v>
      </c>
      <c r="F1286" s="352" t="s">
        <v>1844</v>
      </c>
      <c r="G1286" s="409" t="s">
        <v>3554</v>
      </c>
      <c r="H1286" s="334" t="s">
        <v>1844</v>
      </c>
      <c r="I1286" s="144" t="s">
        <v>1843</v>
      </c>
      <c r="J1286" s="136" t="s">
        <v>1876</v>
      </c>
      <c r="K1286" s="136" t="s">
        <v>2348</v>
      </c>
      <c r="L1286" s="307" t="s">
        <v>1990</v>
      </c>
      <c r="M1286" s="136" t="s">
        <v>1845</v>
      </c>
      <c r="N1286" s="144" t="s">
        <v>1844</v>
      </c>
      <c r="O1286" s="144" t="s">
        <v>1845</v>
      </c>
      <c r="P1286" s="144" t="s">
        <v>1895</v>
      </c>
      <c r="Q1286" s="144" t="s">
        <v>1845</v>
      </c>
      <c r="R1286" s="144"/>
      <c r="S1286" s="144"/>
      <c r="T1286" s="144"/>
      <c r="U1286" s="144"/>
      <c r="V1286" s="144"/>
      <c r="W1286" s="144"/>
      <c r="X1286" s="136"/>
      <c r="Y1286" s="136"/>
      <c r="Z1286" s="144"/>
      <c r="AA1286" s="144"/>
      <c r="AB1286" s="144"/>
      <c r="AC1286" s="144"/>
      <c r="AD1286" s="144"/>
      <c r="AE1286" s="144"/>
      <c r="AF1286" s="144"/>
      <c r="AG1286" s="144"/>
      <c r="AH1286" s="144"/>
      <c r="AI1286" s="136"/>
      <c r="AJ1286" s="136"/>
      <c r="AK1286" s="140"/>
      <c r="AL1286" s="140"/>
    </row>
    <row r="1287" ht="15.0" customHeight="1">
      <c r="A1287" s="407" t="s">
        <v>1742</v>
      </c>
      <c r="B1287" s="342">
        <v>50921.0</v>
      </c>
      <c r="C1287" s="393">
        <v>1.0</v>
      </c>
      <c r="D1287" s="295" t="s">
        <v>1844</v>
      </c>
      <c r="E1287" s="141" t="s">
        <v>34</v>
      </c>
      <c r="F1287" s="352" t="s">
        <v>1844</v>
      </c>
      <c r="G1287" s="221" t="s">
        <v>3555</v>
      </c>
      <c r="H1287" s="408" t="s">
        <v>1844</v>
      </c>
      <c r="I1287" s="144" t="s">
        <v>1843</v>
      </c>
      <c r="J1287" s="186" t="s">
        <v>1876</v>
      </c>
      <c r="K1287" s="136" t="s">
        <v>2348</v>
      </c>
      <c r="L1287" s="136" t="s">
        <v>1884</v>
      </c>
      <c r="M1287" s="136" t="s">
        <v>1845</v>
      </c>
      <c r="N1287" s="144" t="s">
        <v>1844</v>
      </c>
      <c r="O1287" s="144" t="s">
        <v>1845</v>
      </c>
      <c r="P1287" s="144" t="s">
        <v>1862</v>
      </c>
      <c r="Q1287" s="144"/>
      <c r="R1287" s="144"/>
      <c r="S1287" s="144" t="s">
        <v>1845</v>
      </c>
      <c r="T1287" s="144"/>
      <c r="U1287" s="144"/>
      <c r="V1287" s="144"/>
      <c r="W1287" s="144" t="s">
        <v>1845</v>
      </c>
      <c r="X1287" s="136"/>
      <c r="Y1287" s="136"/>
      <c r="Z1287" s="144"/>
      <c r="AA1287" s="144"/>
      <c r="AB1287" s="144"/>
      <c r="AC1287" s="144"/>
      <c r="AD1287" s="144"/>
      <c r="AE1287" s="144"/>
      <c r="AF1287" s="144"/>
      <c r="AG1287" s="144"/>
      <c r="AH1287" s="144"/>
      <c r="AI1287" s="136"/>
      <c r="AJ1287" s="136"/>
      <c r="AK1287" s="140"/>
      <c r="AL1287" s="140"/>
    </row>
    <row r="1288" ht="15.0" customHeight="1">
      <c r="A1288" s="407" t="s">
        <v>1742</v>
      </c>
      <c r="B1288" s="342">
        <v>50922.0</v>
      </c>
      <c r="C1288" s="393">
        <v>1.0</v>
      </c>
      <c r="D1288" s="295" t="s">
        <v>1844</v>
      </c>
      <c r="E1288" s="141" t="s">
        <v>34</v>
      </c>
      <c r="F1288" s="352" t="s">
        <v>1844</v>
      </c>
      <c r="G1288" s="408" t="s">
        <v>3556</v>
      </c>
      <c r="H1288" s="334" t="s">
        <v>1844</v>
      </c>
      <c r="I1288" s="144" t="s">
        <v>1843</v>
      </c>
      <c r="J1288" s="186" t="s">
        <v>1876</v>
      </c>
      <c r="K1288" s="136" t="s">
        <v>2348</v>
      </c>
      <c r="L1288" s="136" t="s">
        <v>1844</v>
      </c>
      <c r="M1288" s="136" t="s">
        <v>1845</v>
      </c>
      <c r="N1288" s="144" t="s">
        <v>1844</v>
      </c>
      <c r="O1288" s="144" t="s">
        <v>1845</v>
      </c>
      <c r="P1288" s="144" t="s">
        <v>1862</v>
      </c>
      <c r="Q1288" s="144"/>
      <c r="R1288" s="144"/>
      <c r="S1288" s="144" t="s">
        <v>1845</v>
      </c>
      <c r="T1288" s="144" t="s">
        <v>1845</v>
      </c>
      <c r="U1288" s="144"/>
      <c r="V1288" s="144"/>
      <c r="W1288" s="144" t="s">
        <v>1845</v>
      </c>
      <c r="X1288" s="136"/>
      <c r="Y1288" s="136"/>
      <c r="Z1288" s="144"/>
      <c r="AA1288" s="144"/>
      <c r="AB1288" s="144"/>
      <c r="AC1288" s="144"/>
      <c r="AD1288" s="144"/>
      <c r="AE1288" s="144"/>
      <c r="AF1288" s="144"/>
      <c r="AG1288" s="144"/>
      <c r="AH1288" s="144"/>
      <c r="AI1288" s="136"/>
      <c r="AJ1288" s="136"/>
      <c r="AK1288" s="140"/>
      <c r="AL1288" s="140"/>
    </row>
    <row r="1289" ht="15.0" customHeight="1">
      <c r="A1289" s="400" t="s">
        <v>1742</v>
      </c>
      <c r="B1289" s="138">
        <v>50923.0</v>
      </c>
      <c r="C1289" s="393">
        <v>1.0</v>
      </c>
      <c r="D1289" s="122" t="s">
        <v>1844</v>
      </c>
      <c r="E1289" s="125" t="s">
        <v>34</v>
      </c>
      <c r="F1289" s="352" t="s">
        <v>1844</v>
      </c>
      <c r="G1289" s="408" t="s">
        <v>3557</v>
      </c>
      <c r="H1289" s="269" t="s">
        <v>1844</v>
      </c>
      <c r="I1289" s="140" t="s">
        <v>1843</v>
      </c>
      <c r="J1289" s="149" t="s">
        <v>1876</v>
      </c>
      <c r="K1289" s="128" t="s">
        <v>2348</v>
      </c>
      <c r="L1289" s="128" t="s">
        <v>1990</v>
      </c>
      <c r="M1289" s="128" t="s">
        <v>1845</v>
      </c>
      <c r="N1289" s="140" t="s">
        <v>1844</v>
      </c>
      <c r="O1289" s="140" t="s">
        <v>1845</v>
      </c>
      <c r="P1289" s="140" t="s">
        <v>1862</v>
      </c>
      <c r="Q1289" s="140"/>
      <c r="R1289" s="140"/>
      <c r="S1289" s="140" t="s">
        <v>1845</v>
      </c>
      <c r="T1289" s="140" t="s">
        <v>1845</v>
      </c>
      <c r="U1289" s="140"/>
      <c r="V1289" s="140"/>
      <c r="W1289" s="140" t="s">
        <v>1845</v>
      </c>
      <c r="X1289" s="128" t="s">
        <v>1845</v>
      </c>
      <c r="Y1289" s="128"/>
      <c r="Z1289" s="140"/>
      <c r="AA1289" s="140"/>
      <c r="AB1289" s="140"/>
      <c r="AC1289" s="140"/>
      <c r="AD1289" s="140"/>
      <c r="AE1289" s="140"/>
      <c r="AF1289" s="140"/>
      <c r="AG1289" s="140"/>
      <c r="AH1289" s="140"/>
      <c r="AI1289" s="128"/>
      <c r="AJ1289" s="128"/>
      <c r="AK1289" s="140"/>
      <c r="AL1289" s="140"/>
    </row>
    <row r="1290" ht="15.0" customHeight="1">
      <c r="A1290" s="407" t="s">
        <v>1742</v>
      </c>
      <c r="B1290" s="342">
        <v>50924.0</v>
      </c>
      <c r="C1290" s="410">
        <v>1.0</v>
      </c>
      <c r="D1290" s="295" t="s">
        <v>1844</v>
      </c>
      <c r="E1290" s="141" t="s">
        <v>34</v>
      </c>
      <c r="F1290" s="411" t="s">
        <v>1844</v>
      </c>
      <c r="G1290" s="340" t="s">
        <v>3558</v>
      </c>
      <c r="H1290" s="334" t="s">
        <v>1844</v>
      </c>
      <c r="I1290" s="144" t="s">
        <v>1843</v>
      </c>
      <c r="J1290" s="186" t="s">
        <v>1876</v>
      </c>
      <c r="K1290" s="136" t="s">
        <v>2348</v>
      </c>
      <c r="L1290" s="136" t="s">
        <v>1884</v>
      </c>
      <c r="M1290" s="136" t="s">
        <v>1845</v>
      </c>
      <c r="N1290" s="144" t="s">
        <v>1844</v>
      </c>
      <c r="O1290" s="144" t="s">
        <v>1845</v>
      </c>
      <c r="P1290" s="144" t="s">
        <v>1895</v>
      </c>
      <c r="Q1290" s="144"/>
      <c r="R1290" s="144"/>
      <c r="S1290" s="144" t="s">
        <v>1845</v>
      </c>
      <c r="T1290" s="144" t="s">
        <v>1845</v>
      </c>
      <c r="U1290" s="144"/>
      <c r="V1290" s="144"/>
      <c r="W1290" s="144" t="s">
        <v>1845</v>
      </c>
      <c r="X1290" s="136"/>
      <c r="Y1290" s="136"/>
      <c r="Z1290" s="144"/>
      <c r="AA1290" s="144"/>
      <c r="AB1290" s="144"/>
      <c r="AC1290" s="144"/>
      <c r="AD1290" s="144"/>
      <c r="AE1290" s="144"/>
      <c r="AF1290" s="144"/>
      <c r="AG1290" s="144"/>
      <c r="AH1290" s="144"/>
      <c r="AI1290" s="136"/>
      <c r="AJ1290" s="136"/>
      <c r="AK1290" s="140"/>
      <c r="AL1290" s="140"/>
    </row>
    <row r="1291" ht="15.0" customHeight="1">
      <c r="A1291" s="407" t="s">
        <v>1742</v>
      </c>
      <c r="B1291" s="342">
        <v>50939.0</v>
      </c>
      <c r="C1291" s="410">
        <v>1.0</v>
      </c>
      <c r="D1291" s="295" t="s">
        <v>1844</v>
      </c>
      <c r="E1291" s="141" t="s">
        <v>34</v>
      </c>
      <c r="F1291" s="411" t="s">
        <v>1844</v>
      </c>
      <c r="G1291" s="340" t="s">
        <v>3559</v>
      </c>
      <c r="H1291" s="334" t="s">
        <v>1844</v>
      </c>
      <c r="I1291" s="144" t="s">
        <v>1843</v>
      </c>
      <c r="J1291" s="186" t="s">
        <v>1876</v>
      </c>
      <c r="K1291" s="136" t="s">
        <v>2348</v>
      </c>
      <c r="L1291" s="136" t="s">
        <v>1990</v>
      </c>
      <c r="M1291" s="136" t="s">
        <v>1845</v>
      </c>
      <c r="N1291" s="144" t="s">
        <v>1844</v>
      </c>
      <c r="O1291" s="144" t="s">
        <v>1845</v>
      </c>
      <c r="P1291" s="144" t="s">
        <v>1895</v>
      </c>
      <c r="Q1291" s="144"/>
      <c r="R1291" s="144"/>
      <c r="S1291" s="144" t="s">
        <v>1845</v>
      </c>
      <c r="T1291" s="144" t="s">
        <v>1845</v>
      </c>
      <c r="U1291" s="144"/>
      <c r="V1291" s="144"/>
      <c r="W1291" s="144" t="s">
        <v>1845</v>
      </c>
      <c r="X1291" s="136" t="s">
        <v>1845</v>
      </c>
      <c r="Y1291" s="136"/>
      <c r="Z1291" s="144"/>
      <c r="AA1291" s="144"/>
      <c r="AB1291" s="144"/>
      <c r="AC1291" s="144"/>
      <c r="AD1291" s="144"/>
      <c r="AE1291" s="144"/>
      <c r="AF1291" s="144"/>
      <c r="AG1291" s="144"/>
      <c r="AH1291" s="144"/>
      <c r="AI1291" s="136"/>
      <c r="AJ1291" s="136"/>
      <c r="AK1291" s="140"/>
      <c r="AL1291" s="140"/>
    </row>
    <row r="1292" ht="15.0" customHeight="1">
      <c r="A1292" s="400" t="s">
        <v>1742</v>
      </c>
      <c r="B1292" s="138">
        <v>50950.0</v>
      </c>
      <c r="C1292" s="396">
        <v>1.0</v>
      </c>
      <c r="D1292" s="122" t="s">
        <v>1844</v>
      </c>
      <c r="E1292" s="141" t="s">
        <v>34</v>
      </c>
      <c r="F1292" s="411" t="s">
        <v>1844</v>
      </c>
      <c r="G1292" s="334" t="s">
        <v>3560</v>
      </c>
      <c r="H1292" s="334" t="s">
        <v>1844</v>
      </c>
      <c r="I1292" s="140" t="s">
        <v>1843</v>
      </c>
      <c r="J1292" s="186" t="s">
        <v>1876</v>
      </c>
      <c r="K1292" s="136" t="s">
        <v>2348</v>
      </c>
      <c r="L1292" s="136" t="s">
        <v>1844</v>
      </c>
      <c r="M1292" s="136" t="s">
        <v>1845</v>
      </c>
      <c r="N1292" s="144" t="s">
        <v>1844</v>
      </c>
      <c r="O1292" s="144" t="s">
        <v>1845</v>
      </c>
      <c r="P1292" s="144" t="s">
        <v>1862</v>
      </c>
      <c r="Q1292" s="140" t="s">
        <v>1845</v>
      </c>
      <c r="R1292" s="140"/>
      <c r="S1292" s="140" t="s">
        <v>1845</v>
      </c>
      <c r="T1292" s="140"/>
      <c r="U1292" s="140"/>
      <c r="V1292" s="140"/>
      <c r="W1292" s="140"/>
      <c r="X1292" s="128"/>
      <c r="Y1292" s="128"/>
      <c r="Z1292" s="140"/>
      <c r="AA1292" s="140"/>
      <c r="AB1292" s="140"/>
      <c r="AC1292" s="140"/>
      <c r="AD1292" s="140"/>
      <c r="AE1292" s="140"/>
      <c r="AF1292" s="140"/>
      <c r="AG1292" s="140"/>
      <c r="AH1292" s="140"/>
      <c r="AI1292" s="128"/>
      <c r="AJ1292" s="128"/>
      <c r="AK1292" s="140"/>
      <c r="AL1292" s="140"/>
    </row>
    <row r="1293" ht="15.0" customHeight="1">
      <c r="A1293" s="407" t="s">
        <v>1742</v>
      </c>
      <c r="B1293" s="342">
        <v>50952.0</v>
      </c>
      <c r="C1293" s="393">
        <v>1.0</v>
      </c>
      <c r="D1293" s="295" t="s">
        <v>1844</v>
      </c>
      <c r="E1293" s="141" t="s">
        <v>34</v>
      </c>
      <c r="F1293" s="411" t="s">
        <v>1844</v>
      </c>
      <c r="G1293" s="340" t="s">
        <v>3561</v>
      </c>
      <c r="H1293" s="334" t="s">
        <v>1844</v>
      </c>
      <c r="I1293" s="144" t="s">
        <v>1843</v>
      </c>
      <c r="J1293" s="186" t="s">
        <v>1902</v>
      </c>
      <c r="K1293" s="136" t="s">
        <v>1877</v>
      </c>
      <c r="L1293" s="136" t="s">
        <v>1844</v>
      </c>
      <c r="M1293" s="136" t="s">
        <v>1845</v>
      </c>
      <c r="N1293" s="144">
        <v>1.0</v>
      </c>
      <c r="O1293" s="144" t="s">
        <v>1845</v>
      </c>
      <c r="P1293" s="144" t="s">
        <v>1862</v>
      </c>
      <c r="Q1293" s="144" t="s">
        <v>1845</v>
      </c>
      <c r="R1293" s="144"/>
      <c r="S1293" s="144"/>
      <c r="T1293" s="144"/>
      <c r="U1293" s="144"/>
      <c r="V1293" s="144"/>
      <c r="W1293" s="144"/>
      <c r="X1293" s="136"/>
      <c r="Y1293" s="136"/>
      <c r="Z1293" s="144"/>
      <c r="AA1293" s="144"/>
      <c r="AB1293" s="144"/>
      <c r="AC1293" s="144"/>
      <c r="AD1293" s="144"/>
      <c r="AE1293" s="144"/>
      <c r="AF1293" s="144"/>
      <c r="AG1293" s="144"/>
      <c r="AH1293" s="144"/>
      <c r="AI1293" s="136"/>
      <c r="AJ1293" s="136"/>
      <c r="AK1293" s="140"/>
      <c r="AL1293" s="140"/>
    </row>
    <row r="1294" ht="15.0" customHeight="1">
      <c r="A1294" s="407" t="s">
        <v>1742</v>
      </c>
      <c r="B1294" s="342">
        <v>50954.0</v>
      </c>
      <c r="C1294" s="410">
        <v>1.0</v>
      </c>
      <c r="D1294" s="295" t="s">
        <v>1844</v>
      </c>
      <c r="E1294" s="141" t="s">
        <v>34</v>
      </c>
      <c r="F1294" s="412" t="s">
        <v>1844</v>
      </c>
      <c r="G1294" s="340" t="s">
        <v>3562</v>
      </c>
      <c r="H1294" s="334" t="s">
        <v>1844</v>
      </c>
      <c r="I1294" s="144" t="s">
        <v>1843</v>
      </c>
      <c r="J1294" s="186" t="s">
        <v>1876</v>
      </c>
      <c r="K1294" s="136" t="s">
        <v>2348</v>
      </c>
      <c r="L1294" s="136" t="s">
        <v>1990</v>
      </c>
      <c r="M1294" s="136" t="s">
        <v>1845</v>
      </c>
      <c r="N1294" s="144" t="s">
        <v>1844</v>
      </c>
      <c r="O1294" s="144" t="s">
        <v>1845</v>
      </c>
      <c r="P1294" s="144" t="s">
        <v>1862</v>
      </c>
      <c r="Q1294" s="144" t="s">
        <v>1845</v>
      </c>
      <c r="R1294" s="144"/>
      <c r="S1294" s="144"/>
      <c r="T1294" s="144"/>
      <c r="U1294" s="144"/>
      <c r="V1294" s="144"/>
      <c r="W1294" s="144"/>
      <c r="X1294" s="136" t="s">
        <v>1845</v>
      </c>
      <c r="Y1294" s="136"/>
      <c r="Z1294" s="144"/>
      <c r="AA1294" s="144"/>
      <c r="AB1294" s="144"/>
      <c r="AC1294" s="144"/>
      <c r="AD1294" s="144"/>
      <c r="AE1294" s="144"/>
      <c r="AF1294" s="144"/>
      <c r="AG1294" s="144"/>
      <c r="AH1294" s="144"/>
      <c r="AI1294" s="136"/>
      <c r="AJ1294" s="136"/>
      <c r="AK1294" s="140"/>
      <c r="AL1294" s="140"/>
    </row>
    <row r="1295" ht="15.0" customHeight="1">
      <c r="A1295" s="400" t="s">
        <v>1742</v>
      </c>
      <c r="B1295" s="138">
        <v>50958.0</v>
      </c>
      <c r="C1295" s="396">
        <v>1.0</v>
      </c>
      <c r="D1295" s="122" t="s">
        <v>1844</v>
      </c>
      <c r="E1295" s="125" t="s">
        <v>34</v>
      </c>
      <c r="F1295" s="411" t="s">
        <v>1844</v>
      </c>
      <c r="G1295" s="334" t="s">
        <v>3563</v>
      </c>
      <c r="H1295" s="269" t="s">
        <v>1844</v>
      </c>
      <c r="I1295" s="128" t="s">
        <v>1843</v>
      </c>
      <c r="J1295" s="149" t="s">
        <v>1876</v>
      </c>
      <c r="K1295" s="128" t="s">
        <v>2348</v>
      </c>
      <c r="L1295" s="128" t="s">
        <v>1844</v>
      </c>
      <c r="M1295" s="128" t="s">
        <v>1845</v>
      </c>
      <c r="N1295" s="140" t="s">
        <v>1844</v>
      </c>
      <c r="O1295" s="140" t="s">
        <v>1845</v>
      </c>
      <c r="P1295" s="140" t="s">
        <v>1895</v>
      </c>
      <c r="Q1295" s="140"/>
      <c r="R1295" s="140"/>
      <c r="S1295" s="140"/>
      <c r="T1295" s="140"/>
      <c r="U1295" s="140"/>
      <c r="V1295" s="140"/>
      <c r="W1295" s="140"/>
      <c r="X1295" s="128"/>
      <c r="Y1295" s="128"/>
      <c r="Z1295" s="140"/>
      <c r="AA1295" s="140"/>
      <c r="AB1295" s="140"/>
      <c r="AC1295" s="140"/>
      <c r="AD1295" s="140"/>
      <c r="AE1295" s="140"/>
      <c r="AF1295" s="140"/>
      <c r="AG1295" s="140"/>
      <c r="AH1295" s="140"/>
      <c r="AI1295" s="128"/>
      <c r="AJ1295" s="137"/>
      <c r="AK1295" s="140"/>
      <c r="AL1295" s="140"/>
    </row>
    <row r="1296" ht="15.0" customHeight="1">
      <c r="A1296" s="400" t="s">
        <v>1742</v>
      </c>
      <c r="B1296" s="138">
        <v>50961.0</v>
      </c>
      <c r="C1296" s="396">
        <v>1.0</v>
      </c>
      <c r="D1296" s="122" t="s">
        <v>1844</v>
      </c>
      <c r="E1296" s="125" t="s">
        <v>34</v>
      </c>
      <c r="F1296" s="412" t="s">
        <v>1844</v>
      </c>
      <c r="G1296" s="340" t="s">
        <v>3564</v>
      </c>
      <c r="H1296" s="269" t="s">
        <v>1844</v>
      </c>
      <c r="I1296" s="140" t="s">
        <v>1843</v>
      </c>
      <c r="J1296" s="149" t="s">
        <v>1876</v>
      </c>
      <c r="K1296" s="128" t="s">
        <v>2348</v>
      </c>
      <c r="L1296" s="128" t="s">
        <v>1990</v>
      </c>
      <c r="M1296" s="128" t="s">
        <v>1845</v>
      </c>
      <c r="N1296" s="140" t="s">
        <v>1844</v>
      </c>
      <c r="O1296" s="140" t="s">
        <v>1845</v>
      </c>
      <c r="P1296" s="140" t="s">
        <v>1862</v>
      </c>
      <c r="Q1296" s="140" t="s">
        <v>1845</v>
      </c>
      <c r="R1296" s="140"/>
      <c r="S1296" s="140"/>
      <c r="T1296" s="140"/>
      <c r="U1296" s="140"/>
      <c r="V1296" s="140"/>
      <c r="W1296" s="140"/>
      <c r="X1296" s="128"/>
      <c r="Y1296" s="128"/>
      <c r="Z1296" s="140"/>
      <c r="AA1296" s="140"/>
      <c r="AB1296" s="140"/>
      <c r="AC1296" s="140"/>
      <c r="AD1296" s="140"/>
      <c r="AE1296" s="140"/>
      <c r="AF1296" s="140"/>
      <c r="AG1296" s="140"/>
      <c r="AH1296" s="140"/>
      <c r="AI1296" s="128"/>
      <c r="AJ1296" s="136"/>
      <c r="AK1296" s="140"/>
      <c r="AL1296" s="140"/>
    </row>
    <row r="1297" ht="15.0" customHeight="1">
      <c r="A1297" s="400" t="s">
        <v>1742</v>
      </c>
      <c r="B1297" s="138">
        <v>50962.0</v>
      </c>
      <c r="C1297" s="396">
        <v>1.0</v>
      </c>
      <c r="D1297" s="122" t="s">
        <v>1844</v>
      </c>
      <c r="E1297" s="125" t="s">
        <v>34</v>
      </c>
      <c r="F1297" s="411" t="s">
        <v>1844</v>
      </c>
      <c r="G1297" s="334" t="s">
        <v>3565</v>
      </c>
      <c r="H1297" s="269" t="s">
        <v>1844</v>
      </c>
      <c r="I1297" s="140" t="s">
        <v>1843</v>
      </c>
      <c r="J1297" s="149" t="s">
        <v>1876</v>
      </c>
      <c r="K1297" s="128" t="s">
        <v>2348</v>
      </c>
      <c r="L1297" s="128" t="s">
        <v>1844</v>
      </c>
      <c r="M1297" s="128" t="s">
        <v>1845</v>
      </c>
      <c r="N1297" s="140" t="s">
        <v>1844</v>
      </c>
      <c r="O1297" s="140" t="s">
        <v>1845</v>
      </c>
      <c r="P1297" s="140" t="s">
        <v>1862</v>
      </c>
      <c r="Q1297" s="140"/>
      <c r="R1297" s="140"/>
      <c r="S1297" s="140"/>
      <c r="T1297" s="140"/>
      <c r="U1297" s="140"/>
      <c r="V1297" s="140"/>
      <c r="W1297" s="140" t="s">
        <v>1845</v>
      </c>
      <c r="X1297" s="128"/>
      <c r="Y1297" s="128"/>
      <c r="Z1297" s="140"/>
      <c r="AA1297" s="140"/>
      <c r="AB1297" s="140"/>
      <c r="AC1297" s="140"/>
      <c r="AD1297" s="140"/>
      <c r="AE1297" s="140"/>
      <c r="AF1297" s="140"/>
      <c r="AG1297" s="140"/>
      <c r="AH1297" s="140"/>
      <c r="AI1297" s="128"/>
      <c r="AJ1297" s="136"/>
      <c r="AK1297" s="140"/>
      <c r="AL1297" s="140"/>
    </row>
    <row r="1298" ht="15.0" customHeight="1">
      <c r="A1298" s="400" t="s">
        <v>1742</v>
      </c>
      <c r="B1298" s="138">
        <v>50964.0</v>
      </c>
      <c r="C1298" s="396">
        <v>1.0</v>
      </c>
      <c r="D1298" s="122" t="s">
        <v>1844</v>
      </c>
      <c r="E1298" s="125" t="s">
        <v>34</v>
      </c>
      <c r="F1298" s="411" t="s">
        <v>1844</v>
      </c>
      <c r="G1298" s="340" t="s">
        <v>3566</v>
      </c>
      <c r="H1298" s="269" t="s">
        <v>1844</v>
      </c>
      <c r="I1298" s="140" t="s">
        <v>1843</v>
      </c>
      <c r="J1298" s="149" t="s">
        <v>1876</v>
      </c>
      <c r="K1298" s="128" t="s">
        <v>2348</v>
      </c>
      <c r="L1298" s="128" t="s">
        <v>1878</v>
      </c>
      <c r="M1298" s="128" t="s">
        <v>1845</v>
      </c>
      <c r="N1298" s="140" t="s">
        <v>1844</v>
      </c>
      <c r="O1298" s="140" t="s">
        <v>1845</v>
      </c>
      <c r="P1298" s="140" t="s">
        <v>1862</v>
      </c>
      <c r="Q1298" s="140" t="s">
        <v>1845</v>
      </c>
      <c r="R1298" s="140"/>
      <c r="S1298" s="140"/>
      <c r="T1298" s="140"/>
      <c r="U1298" s="140"/>
      <c r="V1298" s="140"/>
      <c r="W1298" s="140"/>
      <c r="X1298" s="128"/>
      <c r="Y1298" s="128"/>
      <c r="Z1298" s="140"/>
      <c r="AA1298" s="140"/>
      <c r="AB1298" s="140"/>
      <c r="AC1298" s="140"/>
      <c r="AD1298" s="140"/>
      <c r="AE1298" s="140"/>
      <c r="AF1298" s="140"/>
      <c r="AG1298" s="140"/>
      <c r="AH1298" s="140"/>
      <c r="AI1298" s="128"/>
      <c r="AJ1298" s="136"/>
      <c r="AK1298" s="140"/>
      <c r="AL1298" s="140"/>
    </row>
    <row r="1299" ht="15.0" customHeight="1">
      <c r="A1299" s="400" t="s">
        <v>1742</v>
      </c>
      <c r="B1299" s="138">
        <v>50965.0</v>
      </c>
      <c r="C1299" s="396">
        <v>1.0</v>
      </c>
      <c r="D1299" s="122" t="s">
        <v>1844</v>
      </c>
      <c r="E1299" s="141" t="s">
        <v>34</v>
      </c>
      <c r="F1299" s="411" t="s">
        <v>1844</v>
      </c>
      <c r="G1299" s="334" t="s">
        <v>3567</v>
      </c>
      <c r="H1299" s="269" t="s">
        <v>1844</v>
      </c>
      <c r="I1299" s="140" t="s">
        <v>1843</v>
      </c>
      <c r="J1299" s="149" t="s">
        <v>1876</v>
      </c>
      <c r="K1299" s="128" t="s">
        <v>2348</v>
      </c>
      <c r="L1299" s="128" t="s">
        <v>1990</v>
      </c>
      <c r="M1299" s="128" t="s">
        <v>1845</v>
      </c>
      <c r="N1299" s="140" t="s">
        <v>1844</v>
      </c>
      <c r="O1299" s="140" t="s">
        <v>1845</v>
      </c>
      <c r="P1299" s="140" t="s">
        <v>1895</v>
      </c>
      <c r="Q1299" s="140" t="s">
        <v>1845</v>
      </c>
      <c r="R1299" s="140"/>
      <c r="S1299" s="140"/>
      <c r="T1299" s="140"/>
      <c r="U1299" s="140"/>
      <c r="V1299" s="140"/>
      <c r="W1299" s="140"/>
      <c r="X1299" s="128"/>
      <c r="Y1299" s="128"/>
      <c r="Z1299" s="140"/>
      <c r="AA1299" s="140"/>
      <c r="AB1299" s="140"/>
      <c r="AC1299" s="140"/>
      <c r="AD1299" s="140"/>
      <c r="AE1299" s="140"/>
      <c r="AF1299" s="140"/>
      <c r="AG1299" s="140"/>
      <c r="AH1299" s="140"/>
      <c r="AI1299" s="128"/>
      <c r="AJ1299" s="136"/>
      <c r="AK1299" s="140"/>
      <c r="AL1299" s="140"/>
    </row>
    <row r="1300" ht="15.0" customHeight="1">
      <c r="A1300" s="400" t="s">
        <v>1742</v>
      </c>
      <c r="B1300" s="138">
        <v>50967.0</v>
      </c>
      <c r="C1300" s="396">
        <v>1.0</v>
      </c>
      <c r="D1300" s="122" t="s">
        <v>1844</v>
      </c>
      <c r="E1300" s="141" t="s">
        <v>34</v>
      </c>
      <c r="F1300" s="411" t="s">
        <v>1844</v>
      </c>
      <c r="G1300" s="340" t="s">
        <v>3568</v>
      </c>
      <c r="H1300" s="269" t="s">
        <v>1844</v>
      </c>
      <c r="I1300" s="140" t="s">
        <v>1843</v>
      </c>
      <c r="J1300" s="149" t="s">
        <v>1902</v>
      </c>
      <c r="K1300" s="128" t="s">
        <v>1877</v>
      </c>
      <c r="L1300" s="128" t="s">
        <v>1878</v>
      </c>
      <c r="M1300" s="128" t="s">
        <v>1845</v>
      </c>
      <c r="N1300" s="140" t="s">
        <v>1903</v>
      </c>
      <c r="O1300" s="140" t="s">
        <v>1845</v>
      </c>
      <c r="P1300" s="140" t="s">
        <v>1862</v>
      </c>
      <c r="Q1300" s="140" t="s">
        <v>1845</v>
      </c>
      <c r="R1300" s="140"/>
      <c r="S1300" s="140"/>
      <c r="T1300" s="140"/>
      <c r="U1300" s="140"/>
      <c r="V1300" s="140"/>
      <c r="W1300" s="140"/>
      <c r="X1300" s="128"/>
      <c r="Y1300" s="128"/>
      <c r="Z1300" s="140"/>
      <c r="AA1300" s="140"/>
      <c r="AB1300" s="140"/>
      <c r="AC1300" s="140"/>
      <c r="AD1300" s="140"/>
      <c r="AE1300" s="140"/>
      <c r="AF1300" s="140"/>
      <c r="AG1300" s="140"/>
      <c r="AH1300" s="140"/>
      <c r="AI1300" s="128"/>
      <c r="AJ1300" s="136"/>
      <c r="AK1300" s="140"/>
      <c r="AL1300" s="140"/>
    </row>
    <row r="1301" ht="15.0" customHeight="1">
      <c r="A1301" s="400" t="s">
        <v>1742</v>
      </c>
      <c r="B1301" s="138">
        <v>50973.0</v>
      </c>
      <c r="C1301" s="396">
        <v>1.0</v>
      </c>
      <c r="D1301" s="122" t="s">
        <v>1844</v>
      </c>
      <c r="E1301" s="125" t="s">
        <v>34</v>
      </c>
      <c r="F1301" s="303" t="s">
        <v>1844</v>
      </c>
      <c r="G1301" s="340" t="s">
        <v>3569</v>
      </c>
      <c r="H1301" s="269" t="s">
        <v>1844</v>
      </c>
      <c r="I1301" s="140" t="s">
        <v>1906</v>
      </c>
      <c r="J1301" s="149" t="s">
        <v>1902</v>
      </c>
      <c r="K1301" s="128" t="s">
        <v>1877</v>
      </c>
      <c r="L1301" s="128" t="s">
        <v>1878</v>
      </c>
      <c r="M1301" s="128" t="s">
        <v>1845</v>
      </c>
      <c r="N1301" s="140">
        <v>1.0</v>
      </c>
      <c r="O1301" s="140" t="s">
        <v>1845</v>
      </c>
      <c r="P1301" s="140" t="s">
        <v>1862</v>
      </c>
      <c r="Q1301" s="140"/>
      <c r="R1301" s="140"/>
      <c r="S1301" s="140"/>
      <c r="T1301" s="140"/>
      <c r="U1301" s="140"/>
      <c r="V1301" s="140" t="s">
        <v>1845</v>
      </c>
      <c r="W1301" s="140"/>
      <c r="X1301" s="128"/>
      <c r="Y1301" s="128"/>
      <c r="Z1301" s="140"/>
      <c r="AA1301" s="140"/>
      <c r="AB1301" s="140"/>
      <c r="AC1301" s="140"/>
      <c r="AD1301" s="140"/>
      <c r="AE1301" s="140"/>
      <c r="AF1301" s="140"/>
      <c r="AG1301" s="140"/>
      <c r="AH1301" s="140"/>
      <c r="AI1301" s="128"/>
      <c r="AJ1301" s="136"/>
      <c r="AK1301" s="140"/>
      <c r="AL1301" s="140"/>
    </row>
    <row r="1302" ht="15.0" customHeight="1">
      <c r="A1302" s="400" t="s">
        <v>1742</v>
      </c>
      <c r="B1302" s="138">
        <v>50975.0</v>
      </c>
      <c r="C1302" s="396">
        <v>1.0</v>
      </c>
      <c r="D1302" s="122" t="s">
        <v>1844</v>
      </c>
      <c r="E1302" s="125" t="s">
        <v>34</v>
      </c>
      <c r="F1302" s="411" t="s">
        <v>1844</v>
      </c>
      <c r="G1302" s="334" t="s">
        <v>3570</v>
      </c>
      <c r="H1302" s="269" t="s">
        <v>1844</v>
      </c>
      <c r="I1302" s="140" t="s">
        <v>1843</v>
      </c>
      <c r="J1302" s="149" t="s">
        <v>1902</v>
      </c>
      <c r="K1302" s="128" t="s">
        <v>1877</v>
      </c>
      <c r="L1302" s="128" t="s">
        <v>1844</v>
      </c>
      <c r="M1302" s="128" t="s">
        <v>1845</v>
      </c>
      <c r="N1302" s="140">
        <v>1.0</v>
      </c>
      <c r="O1302" s="140" t="s">
        <v>1845</v>
      </c>
      <c r="P1302" s="140" t="s">
        <v>1862</v>
      </c>
      <c r="Q1302" s="140" t="s">
        <v>1845</v>
      </c>
      <c r="R1302" s="140"/>
      <c r="S1302" s="140"/>
      <c r="T1302" s="140"/>
      <c r="U1302" s="140"/>
      <c r="V1302" s="140"/>
      <c r="W1302" s="140"/>
      <c r="X1302" s="128"/>
      <c r="Y1302" s="128"/>
      <c r="Z1302" s="140"/>
      <c r="AA1302" s="140"/>
      <c r="AB1302" s="140"/>
      <c r="AC1302" s="140"/>
      <c r="AD1302" s="140"/>
      <c r="AE1302" s="140"/>
      <c r="AF1302" s="140"/>
      <c r="AG1302" s="140"/>
      <c r="AH1302" s="140"/>
      <c r="AI1302" s="128"/>
      <c r="AJ1302" s="136"/>
      <c r="AK1302" s="140"/>
      <c r="AL1302" s="140"/>
    </row>
    <row r="1303" ht="15.0" customHeight="1">
      <c r="A1303" s="400" t="s">
        <v>1742</v>
      </c>
      <c r="B1303" s="138">
        <v>50976.0</v>
      </c>
      <c r="C1303" s="396">
        <v>1.0</v>
      </c>
      <c r="D1303" s="122" t="s">
        <v>1844</v>
      </c>
      <c r="E1303" s="125" t="s">
        <v>34</v>
      </c>
      <c r="F1303" s="303" t="s">
        <v>1844</v>
      </c>
      <c r="G1303" s="269" t="s">
        <v>3571</v>
      </c>
      <c r="H1303" s="269" t="s">
        <v>1844</v>
      </c>
      <c r="I1303" s="140" t="s">
        <v>1843</v>
      </c>
      <c r="J1303" s="149" t="s">
        <v>1876</v>
      </c>
      <c r="K1303" s="128" t="s">
        <v>2348</v>
      </c>
      <c r="L1303" s="128" t="s">
        <v>1844</v>
      </c>
      <c r="M1303" s="128" t="s">
        <v>1845</v>
      </c>
      <c r="N1303" s="140" t="s">
        <v>1844</v>
      </c>
      <c r="O1303" s="140" t="s">
        <v>1845</v>
      </c>
      <c r="P1303" s="140" t="s">
        <v>1862</v>
      </c>
      <c r="Q1303" s="140"/>
      <c r="R1303" s="140" t="s">
        <v>1845</v>
      </c>
      <c r="S1303" s="140" t="s">
        <v>1845</v>
      </c>
      <c r="T1303" s="140"/>
      <c r="U1303" s="140"/>
      <c r="V1303" s="140"/>
      <c r="W1303" s="140" t="s">
        <v>1845</v>
      </c>
      <c r="X1303" s="128"/>
      <c r="Y1303" s="128"/>
      <c r="Z1303" s="140"/>
      <c r="AA1303" s="140"/>
      <c r="AB1303" s="140"/>
      <c r="AC1303" s="140"/>
      <c r="AD1303" s="140"/>
      <c r="AE1303" s="140"/>
      <c r="AF1303" s="140"/>
      <c r="AG1303" s="140"/>
      <c r="AH1303" s="140"/>
      <c r="AI1303" s="128"/>
      <c r="AJ1303" s="136"/>
      <c r="AK1303" s="140"/>
      <c r="AL1303" s="140"/>
    </row>
    <row r="1304" ht="15.0" customHeight="1">
      <c r="A1304" s="400" t="s">
        <v>1742</v>
      </c>
      <c r="B1304" s="138">
        <v>50978.0</v>
      </c>
      <c r="C1304" s="396">
        <v>1.0</v>
      </c>
      <c r="D1304" s="122" t="s">
        <v>1844</v>
      </c>
      <c r="E1304" s="125" t="s">
        <v>34</v>
      </c>
      <c r="F1304" s="411" t="s">
        <v>1844</v>
      </c>
      <c r="G1304" s="269" t="s">
        <v>3572</v>
      </c>
      <c r="H1304" s="269" t="s">
        <v>1844</v>
      </c>
      <c r="I1304" s="140" t="s">
        <v>1843</v>
      </c>
      <c r="J1304" s="149" t="s">
        <v>1876</v>
      </c>
      <c r="K1304" s="128" t="s">
        <v>2348</v>
      </c>
      <c r="L1304" s="128" t="s">
        <v>1878</v>
      </c>
      <c r="M1304" s="128" t="s">
        <v>1845</v>
      </c>
      <c r="N1304" s="140" t="s">
        <v>1844</v>
      </c>
      <c r="O1304" s="140" t="s">
        <v>1845</v>
      </c>
      <c r="P1304" s="140" t="s">
        <v>1862</v>
      </c>
      <c r="Q1304" s="140"/>
      <c r="R1304" s="140" t="s">
        <v>1845</v>
      </c>
      <c r="S1304" s="140" t="s">
        <v>1845</v>
      </c>
      <c r="T1304" s="140" t="s">
        <v>1845</v>
      </c>
      <c r="U1304" s="140"/>
      <c r="V1304" s="140"/>
      <c r="W1304" s="140" t="s">
        <v>1845</v>
      </c>
      <c r="X1304" s="128"/>
      <c r="Y1304" s="128"/>
      <c r="Z1304" s="140"/>
      <c r="AA1304" s="140"/>
      <c r="AB1304" s="140"/>
      <c r="AC1304" s="140"/>
      <c r="AD1304" s="140"/>
      <c r="AE1304" s="140"/>
      <c r="AF1304" s="140"/>
      <c r="AG1304" s="140"/>
      <c r="AH1304" s="140"/>
      <c r="AI1304" s="128"/>
      <c r="AJ1304" s="136"/>
      <c r="AK1304" s="140"/>
      <c r="AL1304" s="140"/>
    </row>
    <row r="1305" ht="15.0" customHeight="1">
      <c r="A1305" s="400" t="s">
        <v>1742</v>
      </c>
      <c r="B1305" s="138">
        <v>50980.0</v>
      </c>
      <c r="C1305" s="396">
        <v>1.0</v>
      </c>
      <c r="D1305" s="122" t="s">
        <v>1844</v>
      </c>
      <c r="E1305" s="125" t="s">
        <v>34</v>
      </c>
      <c r="F1305" s="411" t="s">
        <v>1844</v>
      </c>
      <c r="G1305" s="334" t="s">
        <v>3573</v>
      </c>
      <c r="H1305" s="269" t="s">
        <v>1844</v>
      </c>
      <c r="I1305" s="140" t="s">
        <v>1843</v>
      </c>
      <c r="J1305" s="149" t="s">
        <v>1902</v>
      </c>
      <c r="K1305" s="128" t="s">
        <v>1877</v>
      </c>
      <c r="L1305" s="128" t="s">
        <v>1878</v>
      </c>
      <c r="M1305" s="128" t="s">
        <v>1845</v>
      </c>
      <c r="N1305" s="140">
        <v>1.0</v>
      </c>
      <c r="O1305" s="140" t="s">
        <v>1845</v>
      </c>
      <c r="P1305" s="140" t="s">
        <v>1862</v>
      </c>
      <c r="Q1305" s="140" t="s">
        <v>1845</v>
      </c>
      <c r="R1305" s="140"/>
      <c r="S1305" s="140"/>
      <c r="T1305" s="140"/>
      <c r="U1305" s="140"/>
      <c r="V1305" s="140"/>
      <c r="W1305" s="140" t="s">
        <v>1845</v>
      </c>
      <c r="X1305" s="128"/>
      <c r="Y1305" s="128"/>
      <c r="Z1305" s="140"/>
      <c r="AA1305" s="140"/>
      <c r="AB1305" s="140"/>
      <c r="AC1305" s="140"/>
      <c r="AD1305" s="140"/>
      <c r="AE1305" s="140"/>
      <c r="AF1305" s="140"/>
      <c r="AG1305" s="140"/>
      <c r="AH1305" s="140"/>
      <c r="AI1305" s="128"/>
      <c r="AJ1305" s="128"/>
      <c r="AK1305" s="140"/>
      <c r="AL1305" s="140"/>
    </row>
    <row r="1306" ht="15.0" customHeight="1">
      <c r="A1306" s="400" t="s">
        <v>1742</v>
      </c>
      <c r="B1306" s="138">
        <v>50983.0</v>
      </c>
      <c r="C1306" s="396">
        <v>1.0</v>
      </c>
      <c r="D1306" s="122" t="s">
        <v>1844</v>
      </c>
      <c r="E1306" s="125" t="s">
        <v>34</v>
      </c>
      <c r="F1306" s="411" t="s">
        <v>1844</v>
      </c>
      <c r="G1306" s="126" t="s">
        <v>3574</v>
      </c>
      <c r="H1306" s="269" t="s">
        <v>1844</v>
      </c>
      <c r="I1306" s="140" t="s">
        <v>2036</v>
      </c>
      <c r="J1306" s="149" t="s">
        <v>1876</v>
      </c>
      <c r="K1306" s="128" t="s">
        <v>2348</v>
      </c>
      <c r="L1306" s="128" t="s">
        <v>1844</v>
      </c>
      <c r="M1306" s="128" t="s">
        <v>1845</v>
      </c>
      <c r="N1306" s="140" t="s">
        <v>1844</v>
      </c>
      <c r="O1306" s="140" t="s">
        <v>1845</v>
      </c>
      <c r="P1306" s="140" t="s">
        <v>1862</v>
      </c>
      <c r="Q1306" s="140" t="s">
        <v>1845</v>
      </c>
      <c r="R1306" s="140" t="s">
        <v>1845</v>
      </c>
      <c r="S1306" s="140"/>
      <c r="T1306" s="140"/>
      <c r="U1306" s="140"/>
      <c r="V1306" s="140"/>
      <c r="W1306" s="140" t="s">
        <v>1845</v>
      </c>
      <c r="X1306" s="128"/>
      <c r="Y1306" s="128"/>
      <c r="Z1306" s="140"/>
      <c r="AA1306" s="140"/>
      <c r="AB1306" s="140"/>
      <c r="AC1306" s="140"/>
      <c r="AD1306" s="140"/>
      <c r="AE1306" s="140"/>
      <c r="AF1306" s="140"/>
      <c r="AG1306" s="140"/>
      <c r="AH1306" s="140"/>
      <c r="AI1306" s="128"/>
      <c r="AJ1306" s="128"/>
      <c r="AK1306" s="140"/>
      <c r="AL1306" s="140"/>
    </row>
    <row r="1307" ht="15.0" customHeight="1">
      <c r="A1307" s="400" t="s">
        <v>1742</v>
      </c>
      <c r="B1307" s="138">
        <v>50984.0</v>
      </c>
      <c r="C1307" s="396">
        <v>1.0</v>
      </c>
      <c r="D1307" s="122" t="s">
        <v>1844</v>
      </c>
      <c r="E1307" s="125" t="s">
        <v>34</v>
      </c>
      <c r="F1307" s="411" t="s">
        <v>1844</v>
      </c>
      <c r="G1307" s="127" t="s">
        <v>3575</v>
      </c>
      <c r="H1307" s="269" t="s">
        <v>1844</v>
      </c>
      <c r="I1307" s="140" t="s">
        <v>2036</v>
      </c>
      <c r="J1307" s="149" t="s">
        <v>1876</v>
      </c>
      <c r="K1307" s="128" t="s">
        <v>2348</v>
      </c>
      <c r="L1307" s="128" t="s">
        <v>1878</v>
      </c>
      <c r="M1307" s="128" t="s">
        <v>1845</v>
      </c>
      <c r="N1307" s="140" t="s">
        <v>1844</v>
      </c>
      <c r="O1307" s="140" t="s">
        <v>1845</v>
      </c>
      <c r="P1307" s="140" t="s">
        <v>1862</v>
      </c>
      <c r="Q1307" s="140" t="s">
        <v>1845</v>
      </c>
      <c r="R1307" s="140" t="s">
        <v>1845</v>
      </c>
      <c r="S1307" s="140"/>
      <c r="T1307" s="140"/>
      <c r="U1307" s="140"/>
      <c r="V1307" s="140"/>
      <c r="W1307" s="140" t="s">
        <v>1845</v>
      </c>
      <c r="X1307" s="128"/>
      <c r="Y1307" s="128"/>
      <c r="Z1307" s="140"/>
      <c r="AA1307" s="140"/>
      <c r="AB1307" s="140"/>
      <c r="AC1307" s="140"/>
      <c r="AD1307" s="140"/>
      <c r="AE1307" s="140"/>
      <c r="AF1307" s="140"/>
      <c r="AG1307" s="140"/>
      <c r="AH1307" s="140"/>
      <c r="AI1307" s="128"/>
      <c r="AJ1307" s="128"/>
      <c r="AK1307" s="140"/>
      <c r="AL1307" s="140"/>
    </row>
    <row r="1308" ht="15.0" customHeight="1">
      <c r="A1308" s="400" t="s">
        <v>1742</v>
      </c>
      <c r="B1308" s="138">
        <v>50991.0</v>
      </c>
      <c r="C1308" s="396">
        <v>1.0</v>
      </c>
      <c r="D1308" s="122" t="s">
        <v>1844</v>
      </c>
      <c r="E1308" s="125" t="s">
        <v>34</v>
      </c>
      <c r="F1308" s="303" t="s">
        <v>1844</v>
      </c>
      <c r="G1308" s="383" t="s">
        <v>3576</v>
      </c>
      <c r="H1308" s="269" t="s">
        <v>1844</v>
      </c>
      <c r="I1308" s="140" t="s">
        <v>1843</v>
      </c>
      <c r="J1308" s="149" t="s">
        <v>1876</v>
      </c>
      <c r="K1308" s="128" t="s">
        <v>2348</v>
      </c>
      <c r="L1308" s="128" t="s">
        <v>1844</v>
      </c>
      <c r="M1308" s="128" t="s">
        <v>1845</v>
      </c>
      <c r="N1308" s="140" t="s">
        <v>1844</v>
      </c>
      <c r="O1308" s="140" t="s">
        <v>1845</v>
      </c>
      <c r="P1308" s="140" t="s">
        <v>1895</v>
      </c>
      <c r="Q1308" s="140"/>
      <c r="R1308" s="140" t="s">
        <v>1845</v>
      </c>
      <c r="S1308" s="140"/>
      <c r="T1308" s="140"/>
      <c r="U1308" s="140"/>
      <c r="V1308" s="140"/>
      <c r="W1308" s="140" t="s">
        <v>1845</v>
      </c>
      <c r="X1308" s="128"/>
      <c r="Y1308" s="128"/>
      <c r="Z1308" s="140"/>
      <c r="AA1308" s="140"/>
      <c r="AB1308" s="140"/>
      <c r="AC1308" s="140"/>
      <c r="AD1308" s="140"/>
      <c r="AE1308" s="140"/>
      <c r="AF1308" s="140"/>
      <c r="AG1308" s="140"/>
      <c r="AH1308" s="140"/>
      <c r="AI1308" s="128"/>
      <c r="AJ1308" s="128"/>
      <c r="AK1308" s="140"/>
      <c r="AL1308" s="140"/>
    </row>
    <row r="1309" ht="15.0" customHeight="1">
      <c r="A1309" s="400" t="s">
        <v>1742</v>
      </c>
      <c r="B1309" s="138">
        <v>50992.0</v>
      </c>
      <c r="C1309" s="396">
        <v>1.0</v>
      </c>
      <c r="D1309" s="122" t="s">
        <v>1844</v>
      </c>
      <c r="E1309" s="125" t="s">
        <v>34</v>
      </c>
      <c r="F1309" s="303" t="s">
        <v>1844</v>
      </c>
      <c r="G1309" s="221" t="s">
        <v>3577</v>
      </c>
      <c r="H1309" s="269" t="s">
        <v>1844</v>
      </c>
      <c r="I1309" s="140" t="s">
        <v>1843</v>
      </c>
      <c r="J1309" s="149" t="s">
        <v>1876</v>
      </c>
      <c r="K1309" s="128" t="s">
        <v>2348</v>
      </c>
      <c r="L1309" s="128" t="s">
        <v>1844</v>
      </c>
      <c r="M1309" s="128" t="s">
        <v>1845</v>
      </c>
      <c r="N1309" s="140" t="s">
        <v>1844</v>
      </c>
      <c r="O1309" s="140" t="s">
        <v>1845</v>
      </c>
      <c r="P1309" s="140" t="s">
        <v>1895</v>
      </c>
      <c r="Q1309" s="140"/>
      <c r="R1309" s="140" t="s">
        <v>1845</v>
      </c>
      <c r="S1309" s="140" t="s">
        <v>1845</v>
      </c>
      <c r="T1309" s="140"/>
      <c r="U1309" s="140"/>
      <c r="V1309" s="140"/>
      <c r="W1309" s="140" t="s">
        <v>1845</v>
      </c>
      <c r="X1309" s="128"/>
      <c r="Y1309" s="128"/>
      <c r="Z1309" s="140"/>
      <c r="AA1309" s="140"/>
      <c r="AB1309" s="140"/>
      <c r="AC1309" s="140"/>
      <c r="AD1309" s="140"/>
      <c r="AE1309" s="140"/>
      <c r="AF1309" s="140"/>
      <c r="AG1309" s="140"/>
      <c r="AH1309" s="140"/>
      <c r="AI1309" s="128"/>
      <c r="AJ1309" s="128"/>
      <c r="AK1309" s="140"/>
      <c r="AL1309" s="140"/>
    </row>
    <row r="1310" ht="15.75" customHeight="1">
      <c r="A1310" s="413" t="s">
        <v>1742</v>
      </c>
      <c r="B1310" s="138">
        <v>50993.0</v>
      </c>
      <c r="C1310" s="396">
        <v>1.0</v>
      </c>
      <c r="D1310" s="122" t="s">
        <v>1844</v>
      </c>
      <c r="E1310" s="125" t="s">
        <v>34</v>
      </c>
      <c r="F1310" s="303" t="s">
        <v>1844</v>
      </c>
      <c r="G1310" s="221" t="s">
        <v>3578</v>
      </c>
      <c r="H1310" s="269" t="s">
        <v>1844</v>
      </c>
      <c r="I1310" s="140" t="s">
        <v>1843</v>
      </c>
      <c r="J1310" s="186" t="s">
        <v>1876</v>
      </c>
      <c r="K1310" s="136" t="s">
        <v>2348</v>
      </c>
      <c r="L1310" s="136" t="s">
        <v>1878</v>
      </c>
      <c r="M1310" s="136" t="s">
        <v>1845</v>
      </c>
      <c r="N1310" s="144" t="s">
        <v>1844</v>
      </c>
      <c r="O1310" s="140" t="s">
        <v>1845</v>
      </c>
      <c r="P1310" s="140" t="s">
        <v>1895</v>
      </c>
      <c r="Q1310" s="140"/>
      <c r="R1310" s="144" t="s">
        <v>1845</v>
      </c>
      <c r="S1310" s="140" t="s">
        <v>1845</v>
      </c>
      <c r="T1310" s="140"/>
      <c r="U1310" s="140"/>
      <c r="V1310" s="140"/>
      <c r="W1310" s="144" t="s">
        <v>1845</v>
      </c>
      <c r="X1310" s="136"/>
      <c r="Y1310" s="128"/>
      <c r="Z1310" s="140"/>
      <c r="AA1310" s="140"/>
      <c r="AB1310" s="140"/>
      <c r="AC1310" s="140"/>
      <c r="AD1310" s="140"/>
      <c r="AE1310" s="140"/>
      <c r="AF1310" s="140"/>
      <c r="AG1310" s="140"/>
      <c r="AH1310" s="140"/>
      <c r="AI1310" s="128"/>
      <c r="AJ1310" s="137"/>
      <c r="AK1310" s="140"/>
      <c r="AL1310" s="140"/>
    </row>
    <row r="1311" ht="15.0" customHeight="1">
      <c r="A1311" s="400" t="s">
        <v>1742</v>
      </c>
      <c r="B1311" s="138">
        <v>50995.0</v>
      </c>
      <c r="C1311" s="396">
        <v>1.0</v>
      </c>
      <c r="D1311" s="122" t="s">
        <v>1844</v>
      </c>
      <c r="E1311" s="125" t="s">
        <v>34</v>
      </c>
      <c r="F1311" s="303" t="s">
        <v>1844</v>
      </c>
      <c r="G1311" s="221" t="s">
        <v>3579</v>
      </c>
      <c r="H1311" s="269" t="s">
        <v>1844</v>
      </c>
      <c r="I1311" s="140" t="s">
        <v>1843</v>
      </c>
      <c r="J1311" s="149" t="s">
        <v>1876</v>
      </c>
      <c r="K1311" s="128" t="s">
        <v>2348</v>
      </c>
      <c r="L1311" s="128" t="s">
        <v>1990</v>
      </c>
      <c r="M1311" s="128" t="s">
        <v>1845</v>
      </c>
      <c r="N1311" s="140" t="s">
        <v>1844</v>
      </c>
      <c r="O1311" s="140" t="s">
        <v>1845</v>
      </c>
      <c r="P1311" s="140" t="s">
        <v>1895</v>
      </c>
      <c r="Q1311" s="140"/>
      <c r="R1311" s="140" t="s">
        <v>1845</v>
      </c>
      <c r="S1311" s="140" t="s">
        <v>1845</v>
      </c>
      <c r="T1311" s="140"/>
      <c r="U1311" s="140"/>
      <c r="V1311" s="140"/>
      <c r="W1311" s="140" t="s">
        <v>1845</v>
      </c>
      <c r="X1311" s="128"/>
      <c r="Y1311" s="128"/>
      <c r="Z1311" s="140"/>
      <c r="AA1311" s="140"/>
      <c r="AB1311" s="140"/>
      <c r="AC1311" s="140"/>
      <c r="AD1311" s="140"/>
      <c r="AE1311" s="140"/>
      <c r="AF1311" s="140"/>
      <c r="AG1311" s="140"/>
      <c r="AH1311" s="140"/>
      <c r="AI1311" s="128"/>
      <c r="AJ1311" s="128"/>
      <c r="AK1311" s="140"/>
      <c r="AL1311" s="140"/>
    </row>
    <row r="1312" ht="15.0" customHeight="1">
      <c r="A1312" s="400" t="s">
        <v>1742</v>
      </c>
      <c r="B1312" s="138">
        <v>50998.0</v>
      </c>
      <c r="C1312" s="396">
        <v>1.0</v>
      </c>
      <c r="D1312" s="122" t="s">
        <v>1844</v>
      </c>
      <c r="E1312" s="125" t="s">
        <v>34</v>
      </c>
      <c r="F1312" s="303" t="s">
        <v>1844</v>
      </c>
      <c r="G1312" s="269" t="s">
        <v>3580</v>
      </c>
      <c r="H1312" s="269" t="s">
        <v>1844</v>
      </c>
      <c r="I1312" s="140" t="s">
        <v>1843</v>
      </c>
      <c r="J1312" s="149" t="s">
        <v>1902</v>
      </c>
      <c r="K1312" s="128" t="s">
        <v>1877</v>
      </c>
      <c r="L1312" s="128" t="s">
        <v>1878</v>
      </c>
      <c r="M1312" s="128" t="s">
        <v>1845</v>
      </c>
      <c r="N1312" s="140">
        <v>1.0</v>
      </c>
      <c r="O1312" s="140" t="s">
        <v>1845</v>
      </c>
      <c r="P1312" s="140" t="s">
        <v>1862</v>
      </c>
      <c r="Q1312" s="140"/>
      <c r="R1312" s="140" t="s">
        <v>1845</v>
      </c>
      <c r="S1312" s="140"/>
      <c r="T1312" s="140"/>
      <c r="U1312" s="140"/>
      <c r="V1312" s="140"/>
      <c r="W1312" s="140"/>
      <c r="X1312" s="128"/>
      <c r="Y1312" s="128"/>
      <c r="Z1312" s="140"/>
      <c r="AA1312" s="140"/>
      <c r="AB1312" s="140"/>
      <c r="AC1312" s="140"/>
      <c r="AD1312" s="140"/>
      <c r="AE1312" s="140"/>
      <c r="AF1312" s="140"/>
      <c r="AG1312" s="140"/>
      <c r="AH1312" s="140"/>
      <c r="AI1312" s="128"/>
      <c r="AJ1312" s="128"/>
      <c r="AK1312" s="140"/>
      <c r="AL1312" s="140"/>
    </row>
    <row r="1313" ht="15.0" customHeight="1">
      <c r="A1313" s="400" t="s">
        <v>1742</v>
      </c>
      <c r="B1313" s="138">
        <v>51005.0</v>
      </c>
      <c r="C1313" s="396">
        <v>1.0</v>
      </c>
      <c r="D1313" s="122" t="s">
        <v>1844</v>
      </c>
      <c r="E1313" s="125" t="s">
        <v>34</v>
      </c>
      <c r="F1313" s="303" t="s">
        <v>1844</v>
      </c>
      <c r="G1313" s="221" t="s">
        <v>3581</v>
      </c>
      <c r="H1313" s="269" t="s">
        <v>1844</v>
      </c>
      <c r="I1313" s="140" t="s">
        <v>1843</v>
      </c>
      <c r="J1313" s="149" t="s">
        <v>1876</v>
      </c>
      <c r="K1313" s="128" t="s">
        <v>2348</v>
      </c>
      <c r="L1313" s="128" t="s">
        <v>1884</v>
      </c>
      <c r="M1313" s="128" t="s">
        <v>1845</v>
      </c>
      <c r="N1313" s="140" t="s">
        <v>1844</v>
      </c>
      <c r="O1313" s="140" t="s">
        <v>1845</v>
      </c>
      <c r="P1313" s="140" t="s">
        <v>1862</v>
      </c>
      <c r="Q1313" s="140"/>
      <c r="R1313" s="140" t="s">
        <v>1845</v>
      </c>
      <c r="S1313" s="140" t="s">
        <v>1845</v>
      </c>
      <c r="T1313" s="140"/>
      <c r="U1313" s="140"/>
      <c r="V1313" s="140"/>
      <c r="W1313" s="140"/>
      <c r="X1313" s="128"/>
      <c r="Y1313" s="128"/>
      <c r="Z1313" s="140"/>
      <c r="AA1313" s="140"/>
      <c r="AB1313" s="140"/>
      <c r="AC1313" s="140"/>
      <c r="AD1313" s="140"/>
      <c r="AE1313" s="140"/>
      <c r="AF1313" s="140"/>
      <c r="AG1313" s="140"/>
      <c r="AH1313" s="140"/>
      <c r="AI1313" s="128"/>
      <c r="AJ1313" s="128"/>
      <c r="AK1313" s="140"/>
      <c r="AL1313" s="140"/>
    </row>
    <row r="1314" ht="15.0" customHeight="1">
      <c r="A1314" s="400" t="s">
        <v>1742</v>
      </c>
      <c r="B1314" s="138">
        <v>51007.0</v>
      </c>
      <c r="C1314" s="396">
        <v>1.0</v>
      </c>
      <c r="D1314" s="122" t="s">
        <v>1844</v>
      </c>
      <c r="E1314" s="125" t="s">
        <v>34</v>
      </c>
      <c r="F1314" s="303" t="s">
        <v>1844</v>
      </c>
      <c r="G1314" s="269" t="s">
        <v>3582</v>
      </c>
      <c r="H1314" s="269" t="s">
        <v>1844</v>
      </c>
      <c r="I1314" s="140" t="s">
        <v>1906</v>
      </c>
      <c r="J1314" s="149" t="s">
        <v>1876</v>
      </c>
      <c r="K1314" s="128" t="s">
        <v>2348</v>
      </c>
      <c r="L1314" s="128" t="s">
        <v>1844</v>
      </c>
      <c r="M1314" s="128" t="s">
        <v>1845</v>
      </c>
      <c r="N1314" s="140" t="s">
        <v>1844</v>
      </c>
      <c r="O1314" s="140" t="s">
        <v>1845</v>
      </c>
      <c r="P1314" s="140" t="s">
        <v>1964</v>
      </c>
      <c r="Q1314" s="140"/>
      <c r="R1314" s="140" t="s">
        <v>1845</v>
      </c>
      <c r="S1314" s="140"/>
      <c r="T1314" s="140"/>
      <c r="U1314" s="140"/>
      <c r="V1314" s="140" t="s">
        <v>1845</v>
      </c>
      <c r="W1314" s="140"/>
      <c r="X1314" s="128"/>
      <c r="Y1314" s="128"/>
      <c r="Z1314" s="140"/>
      <c r="AA1314" s="140"/>
      <c r="AB1314" s="140"/>
      <c r="AC1314" s="140"/>
      <c r="AD1314" s="140"/>
      <c r="AE1314" s="140"/>
      <c r="AF1314" s="140"/>
      <c r="AG1314" s="140"/>
      <c r="AH1314" s="140"/>
      <c r="AI1314" s="128"/>
      <c r="AJ1314" s="128"/>
      <c r="AK1314" s="140"/>
      <c r="AL1314" s="140"/>
    </row>
    <row r="1315" ht="15.0" customHeight="1">
      <c r="A1315" s="400" t="s">
        <v>1742</v>
      </c>
      <c r="B1315" s="138">
        <v>51011.0</v>
      </c>
      <c r="C1315" s="396">
        <v>1.0</v>
      </c>
      <c r="D1315" s="122" t="s">
        <v>1844</v>
      </c>
      <c r="E1315" s="125" t="s">
        <v>34</v>
      </c>
      <c r="F1315" s="303" t="s">
        <v>1844</v>
      </c>
      <c r="G1315" s="221" t="s">
        <v>3583</v>
      </c>
      <c r="H1315" s="269" t="s">
        <v>1844</v>
      </c>
      <c r="I1315" s="140" t="s">
        <v>1906</v>
      </c>
      <c r="J1315" s="149" t="s">
        <v>1902</v>
      </c>
      <c r="K1315" s="128" t="s">
        <v>1877</v>
      </c>
      <c r="L1315" s="128" t="s">
        <v>1844</v>
      </c>
      <c r="M1315" s="128" t="s">
        <v>1845</v>
      </c>
      <c r="N1315" s="140" t="s">
        <v>1903</v>
      </c>
      <c r="O1315" s="140" t="s">
        <v>1845</v>
      </c>
      <c r="P1315" s="140" t="s">
        <v>1862</v>
      </c>
      <c r="Q1315" s="140"/>
      <c r="R1315" s="140" t="s">
        <v>1845</v>
      </c>
      <c r="S1315" s="140"/>
      <c r="T1315" s="140"/>
      <c r="U1315" s="140" t="s">
        <v>1845</v>
      </c>
      <c r="V1315" s="140"/>
      <c r="W1315" s="140"/>
      <c r="X1315" s="128"/>
      <c r="Y1315" s="128"/>
      <c r="Z1315" s="140"/>
      <c r="AA1315" s="140"/>
      <c r="AB1315" s="140"/>
      <c r="AC1315" s="140"/>
      <c r="AD1315" s="140"/>
      <c r="AE1315" s="140"/>
      <c r="AF1315" s="140"/>
      <c r="AG1315" s="140"/>
      <c r="AH1315" s="140"/>
      <c r="AI1315" s="128"/>
      <c r="AJ1315" s="128"/>
      <c r="AK1315" s="140"/>
      <c r="AL1315" s="140"/>
    </row>
    <row r="1316" ht="15.0" customHeight="1">
      <c r="A1316" s="400" t="s">
        <v>1742</v>
      </c>
      <c r="B1316" s="138">
        <v>51012.0</v>
      </c>
      <c r="C1316" s="396">
        <v>1.0</v>
      </c>
      <c r="D1316" s="122" t="s">
        <v>1844</v>
      </c>
      <c r="E1316" s="125" t="s">
        <v>34</v>
      </c>
      <c r="F1316" s="303" t="s">
        <v>1844</v>
      </c>
      <c r="G1316" s="221" t="s">
        <v>3584</v>
      </c>
      <c r="H1316" s="269" t="s">
        <v>1844</v>
      </c>
      <c r="I1316" s="140" t="s">
        <v>1843</v>
      </c>
      <c r="J1316" s="149" t="s">
        <v>1876</v>
      </c>
      <c r="K1316" s="128" t="s">
        <v>2348</v>
      </c>
      <c r="L1316" s="128" t="s">
        <v>1878</v>
      </c>
      <c r="M1316" s="128" t="s">
        <v>1845</v>
      </c>
      <c r="N1316" s="140" t="s">
        <v>1844</v>
      </c>
      <c r="O1316" s="140" t="s">
        <v>1845</v>
      </c>
      <c r="P1316" s="140" t="s">
        <v>1862</v>
      </c>
      <c r="Q1316" s="140" t="s">
        <v>1845</v>
      </c>
      <c r="R1316" s="140" t="s">
        <v>1845</v>
      </c>
      <c r="S1316" s="140"/>
      <c r="T1316" s="140"/>
      <c r="U1316" s="140"/>
      <c r="V1316" s="140"/>
      <c r="W1316" s="140"/>
      <c r="X1316" s="128"/>
      <c r="Y1316" s="128"/>
      <c r="Z1316" s="140"/>
      <c r="AA1316" s="140"/>
      <c r="AB1316" s="140"/>
      <c r="AC1316" s="140"/>
      <c r="AD1316" s="140"/>
      <c r="AE1316" s="140"/>
      <c r="AF1316" s="140"/>
      <c r="AG1316" s="140"/>
      <c r="AH1316" s="140"/>
      <c r="AI1316" s="128"/>
      <c r="AJ1316" s="128"/>
      <c r="AK1316" s="140"/>
      <c r="AL1316" s="140"/>
    </row>
    <row r="1317" ht="15.0" customHeight="1">
      <c r="A1317" s="400" t="s">
        <v>1742</v>
      </c>
      <c r="B1317" s="138">
        <v>51015.0</v>
      </c>
      <c r="C1317" s="396">
        <v>1.0</v>
      </c>
      <c r="D1317" s="122" t="s">
        <v>1844</v>
      </c>
      <c r="E1317" s="125" t="s">
        <v>34</v>
      </c>
      <c r="F1317" s="303" t="s">
        <v>1844</v>
      </c>
      <c r="G1317" s="269" t="s">
        <v>3585</v>
      </c>
      <c r="H1317" s="269" t="s">
        <v>1844</v>
      </c>
      <c r="I1317" s="140" t="s">
        <v>1843</v>
      </c>
      <c r="J1317" s="149" t="s">
        <v>1902</v>
      </c>
      <c r="K1317" s="128" t="s">
        <v>1877</v>
      </c>
      <c r="L1317" s="128" t="s">
        <v>1878</v>
      </c>
      <c r="M1317" s="128" t="s">
        <v>1845</v>
      </c>
      <c r="N1317" s="140" t="s">
        <v>1903</v>
      </c>
      <c r="O1317" s="140" t="s">
        <v>1845</v>
      </c>
      <c r="P1317" s="140" t="s">
        <v>1862</v>
      </c>
      <c r="Q1317" s="140"/>
      <c r="R1317" s="140" t="s">
        <v>1845</v>
      </c>
      <c r="S1317" s="140"/>
      <c r="T1317" s="140"/>
      <c r="U1317" s="140"/>
      <c r="V1317" s="140"/>
      <c r="W1317" s="140"/>
      <c r="X1317" s="128"/>
      <c r="Y1317" s="128"/>
      <c r="Z1317" s="140"/>
      <c r="AA1317" s="140"/>
      <c r="AB1317" s="140"/>
      <c r="AC1317" s="140"/>
      <c r="AD1317" s="140"/>
      <c r="AE1317" s="140"/>
      <c r="AF1317" s="140"/>
      <c r="AG1317" s="140"/>
      <c r="AH1317" s="140"/>
      <c r="AI1317" s="128"/>
      <c r="AJ1317" s="128"/>
      <c r="AK1317" s="140"/>
      <c r="AL1317" s="140"/>
    </row>
    <row r="1318" ht="15.0" customHeight="1">
      <c r="A1318" s="400" t="s">
        <v>1742</v>
      </c>
      <c r="B1318" s="138">
        <v>51016.0</v>
      </c>
      <c r="C1318" s="396">
        <v>1.0</v>
      </c>
      <c r="D1318" s="122" t="s">
        <v>1844</v>
      </c>
      <c r="E1318" s="125" t="s">
        <v>34</v>
      </c>
      <c r="F1318" s="303" t="s">
        <v>1844</v>
      </c>
      <c r="G1318" s="383" t="s">
        <v>3586</v>
      </c>
      <c r="H1318" s="269" t="s">
        <v>1844</v>
      </c>
      <c r="I1318" s="140" t="s">
        <v>1843</v>
      </c>
      <c r="J1318" s="149" t="s">
        <v>1876</v>
      </c>
      <c r="K1318" s="128" t="s">
        <v>2348</v>
      </c>
      <c r="L1318" s="128" t="s">
        <v>1878</v>
      </c>
      <c r="M1318" s="128" t="s">
        <v>1845</v>
      </c>
      <c r="N1318" s="140" t="s">
        <v>1844</v>
      </c>
      <c r="O1318" s="140" t="s">
        <v>1845</v>
      </c>
      <c r="P1318" s="140" t="s">
        <v>1862</v>
      </c>
      <c r="Q1318" s="140"/>
      <c r="R1318" s="140" t="s">
        <v>1845</v>
      </c>
      <c r="S1318" s="140"/>
      <c r="T1318" s="140"/>
      <c r="U1318" s="140"/>
      <c r="V1318" s="140"/>
      <c r="W1318" s="140" t="s">
        <v>1845</v>
      </c>
      <c r="X1318" s="128"/>
      <c r="Y1318" s="128"/>
      <c r="Z1318" s="140"/>
      <c r="AA1318" s="140"/>
      <c r="AB1318" s="140"/>
      <c r="AC1318" s="140"/>
      <c r="AD1318" s="140"/>
      <c r="AE1318" s="140"/>
      <c r="AF1318" s="140"/>
      <c r="AG1318" s="140"/>
      <c r="AH1318" s="140"/>
      <c r="AI1318" s="128"/>
      <c r="AJ1318" s="128"/>
      <c r="AK1318" s="140"/>
      <c r="AL1318" s="140"/>
    </row>
    <row r="1319" ht="15.0" customHeight="1">
      <c r="A1319" s="400" t="s">
        <v>1742</v>
      </c>
      <c r="B1319" s="138">
        <v>51017.0</v>
      </c>
      <c r="C1319" s="396">
        <v>1.0</v>
      </c>
      <c r="D1319" s="122" t="s">
        <v>1844</v>
      </c>
      <c r="E1319" s="125" t="s">
        <v>34</v>
      </c>
      <c r="F1319" s="303" t="s">
        <v>1844</v>
      </c>
      <c r="G1319" s="269" t="s">
        <v>3587</v>
      </c>
      <c r="H1319" s="269" t="s">
        <v>1844</v>
      </c>
      <c r="I1319" s="140" t="s">
        <v>1906</v>
      </c>
      <c r="J1319" s="149" t="s">
        <v>1902</v>
      </c>
      <c r="K1319" s="128" t="s">
        <v>1877</v>
      </c>
      <c r="L1319" s="128" t="s">
        <v>1990</v>
      </c>
      <c r="M1319" s="128" t="s">
        <v>1845</v>
      </c>
      <c r="N1319" s="140" t="s">
        <v>1903</v>
      </c>
      <c r="O1319" s="140" t="s">
        <v>1845</v>
      </c>
      <c r="P1319" s="140" t="s">
        <v>1862</v>
      </c>
      <c r="Q1319" s="140"/>
      <c r="R1319" s="140"/>
      <c r="S1319" s="140"/>
      <c r="T1319" s="140"/>
      <c r="U1319" s="140" t="s">
        <v>1845</v>
      </c>
      <c r="V1319" s="140" t="s">
        <v>1845</v>
      </c>
      <c r="W1319" s="140" t="s">
        <v>1845</v>
      </c>
      <c r="X1319" s="128"/>
      <c r="Y1319" s="128"/>
      <c r="Z1319" s="140"/>
      <c r="AA1319" s="140"/>
      <c r="AB1319" s="140"/>
      <c r="AC1319" s="140"/>
      <c r="AD1319" s="140"/>
      <c r="AE1319" s="140"/>
      <c r="AF1319" s="140"/>
      <c r="AG1319" s="140"/>
      <c r="AH1319" s="140"/>
      <c r="AI1319" s="128"/>
      <c r="AJ1319" s="128"/>
      <c r="AK1319" s="140"/>
      <c r="AL1319" s="140"/>
    </row>
    <row r="1320" ht="15.0" customHeight="1">
      <c r="A1320" s="400" t="s">
        <v>1742</v>
      </c>
      <c r="B1320" s="138">
        <v>51021.0</v>
      </c>
      <c r="C1320" s="396">
        <v>1.0</v>
      </c>
      <c r="D1320" s="122" t="s">
        <v>1844</v>
      </c>
      <c r="E1320" s="125" t="s">
        <v>34</v>
      </c>
      <c r="F1320" s="303" t="s">
        <v>1844</v>
      </c>
      <c r="G1320" s="269" t="s">
        <v>3588</v>
      </c>
      <c r="H1320" s="269" t="s">
        <v>1844</v>
      </c>
      <c r="I1320" s="140" t="s">
        <v>1906</v>
      </c>
      <c r="J1320" s="149" t="s">
        <v>1902</v>
      </c>
      <c r="K1320" s="128" t="s">
        <v>1877</v>
      </c>
      <c r="L1320" s="128" t="s">
        <v>1990</v>
      </c>
      <c r="M1320" s="128" t="s">
        <v>1845</v>
      </c>
      <c r="N1320" s="140" t="s">
        <v>1903</v>
      </c>
      <c r="O1320" s="140" t="s">
        <v>1845</v>
      </c>
      <c r="P1320" s="140" t="s">
        <v>1862</v>
      </c>
      <c r="Q1320" s="140"/>
      <c r="R1320" s="140" t="s">
        <v>1845</v>
      </c>
      <c r="S1320" s="140"/>
      <c r="T1320" s="140"/>
      <c r="U1320" s="140" t="s">
        <v>1845</v>
      </c>
      <c r="V1320" s="140"/>
      <c r="W1320" s="140"/>
      <c r="X1320" s="128"/>
      <c r="Y1320" s="128"/>
      <c r="Z1320" s="140"/>
      <c r="AA1320" s="140"/>
      <c r="AB1320" s="140"/>
      <c r="AC1320" s="140"/>
      <c r="AD1320" s="140"/>
      <c r="AE1320" s="140"/>
      <c r="AF1320" s="140"/>
      <c r="AG1320" s="140"/>
      <c r="AH1320" s="140"/>
      <c r="AI1320" s="128"/>
      <c r="AJ1320" s="128"/>
      <c r="AK1320" s="140"/>
      <c r="AL1320" s="140"/>
    </row>
    <row r="1321" ht="15.0" customHeight="1">
      <c r="A1321" s="400" t="s">
        <v>1742</v>
      </c>
      <c r="B1321" s="138">
        <v>51032.0</v>
      </c>
      <c r="C1321" s="396">
        <v>1.0</v>
      </c>
      <c r="D1321" s="122" t="s">
        <v>1844</v>
      </c>
      <c r="E1321" s="125" t="s">
        <v>34</v>
      </c>
      <c r="F1321" s="303" t="s">
        <v>1844</v>
      </c>
      <c r="G1321" s="221" t="s">
        <v>3589</v>
      </c>
      <c r="H1321" s="269" t="s">
        <v>1844</v>
      </c>
      <c r="I1321" s="140" t="s">
        <v>1843</v>
      </c>
      <c r="J1321" s="149" t="s">
        <v>1876</v>
      </c>
      <c r="K1321" s="128" t="s">
        <v>2348</v>
      </c>
      <c r="L1321" s="128" t="s">
        <v>1844</v>
      </c>
      <c r="M1321" s="128" t="s">
        <v>1845</v>
      </c>
      <c r="N1321" s="140" t="s">
        <v>1844</v>
      </c>
      <c r="O1321" s="140" t="s">
        <v>1845</v>
      </c>
      <c r="P1321" s="140" t="s">
        <v>1862</v>
      </c>
      <c r="Q1321" s="140"/>
      <c r="R1321" s="140" t="s">
        <v>1845</v>
      </c>
      <c r="S1321" s="140" t="s">
        <v>1845</v>
      </c>
      <c r="T1321" s="140"/>
      <c r="U1321" s="140"/>
      <c r="V1321" s="140"/>
      <c r="W1321" s="140" t="s">
        <v>1845</v>
      </c>
      <c r="X1321" s="128"/>
      <c r="Y1321" s="128"/>
      <c r="Z1321" s="140"/>
      <c r="AA1321" s="140"/>
      <c r="AB1321" s="140"/>
      <c r="AC1321" s="140"/>
      <c r="AD1321" s="140"/>
      <c r="AE1321" s="140"/>
      <c r="AF1321" s="140"/>
      <c r="AG1321" s="140"/>
      <c r="AH1321" s="140"/>
      <c r="AI1321" s="128"/>
      <c r="AJ1321" s="128"/>
      <c r="AK1321" s="140"/>
      <c r="AL1321" s="140"/>
    </row>
    <row r="1322" ht="15.0" customHeight="1">
      <c r="A1322" s="400" t="s">
        <v>1742</v>
      </c>
      <c r="B1322" s="138">
        <v>51035.0</v>
      </c>
      <c r="C1322" s="396">
        <v>1.0</v>
      </c>
      <c r="D1322" s="122" t="s">
        <v>1844</v>
      </c>
      <c r="E1322" s="125" t="s">
        <v>34</v>
      </c>
      <c r="F1322" s="303" t="s">
        <v>1844</v>
      </c>
      <c r="G1322" s="221" t="s">
        <v>3590</v>
      </c>
      <c r="H1322" s="269" t="s">
        <v>1844</v>
      </c>
      <c r="I1322" s="140" t="s">
        <v>1843</v>
      </c>
      <c r="J1322" s="149" t="s">
        <v>1876</v>
      </c>
      <c r="K1322" s="128" t="s">
        <v>2348</v>
      </c>
      <c r="L1322" s="128" t="s">
        <v>1844</v>
      </c>
      <c r="M1322" s="128" t="s">
        <v>1845</v>
      </c>
      <c r="N1322" s="140" t="s">
        <v>1844</v>
      </c>
      <c r="O1322" s="140" t="s">
        <v>1845</v>
      </c>
      <c r="P1322" s="140" t="s">
        <v>1862</v>
      </c>
      <c r="Q1322" s="140"/>
      <c r="R1322" s="140"/>
      <c r="S1322" s="140" t="s">
        <v>1845</v>
      </c>
      <c r="T1322" s="140" t="s">
        <v>1926</v>
      </c>
      <c r="U1322" s="140"/>
      <c r="V1322" s="140"/>
      <c r="W1322" s="140"/>
      <c r="X1322" s="128"/>
      <c r="Y1322" s="128"/>
      <c r="Z1322" s="140"/>
      <c r="AA1322" s="140"/>
      <c r="AB1322" s="140"/>
      <c r="AC1322" s="140"/>
      <c r="AD1322" s="140"/>
      <c r="AE1322" s="140"/>
      <c r="AF1322" s="140"/>
      <c r="AG1322" s="140"/>
      <c r="AH1322" s="140"/>
      <c r="AI1322" s="128"/>
      <c r="AJ1322" s="128"/>
      <c r="AK1322" s="140"/>
      <c r="AL1322" s="140"/>
    </row>
    <row r="1323" ht="15.0" customHeight="1">
      <c r="A1323" s="400" t="s">
        <v>1742</v>
      </c>
      <c r="B1323" s="138">
        <v>51036.0</v>
      </c>
      <c r="C1323" s="396">
        <v>1.0</v>
      </c>
      <c r="D1323" s="122" t="s">
        <v>1844</v>
      </c>
      <c r="E1323" s="125" t="s">
        <v>34</v>
      </c>
      <c r="F1323" s="303" t="s">
        <v>1844</v>
      </c>
      <c r="G1323" s="414" t="s">
        <v>3591</v>
      </c>
      <c r="H1323" s="269" t="s">
        <v>1844</v>
      </c>
      <c r="I1323" s="140" t="s">
        <v>1843</v>
      </c>
      <c r="J1323" s="149" t="s">
        <v>1876</v>
      </c>
      <c r="K1323" s="128" t="s">
        <v>2348</v>
      </c>
      <c r="L1323" s="128" t="s">
        <v>1990</v>
      </c>
      <c r="M1323" s="128" t="s">
        <v>1845</v>
      </c>
      <c r="N1323" s="128" t="s">
        <v>1844</v>
      </c>
      <c r="O1323" s="140" t="s">
        <v>1845</v>
      </c>
      <c r="P1323" s="140" t="s">
        <v>1862</v>
      </c>
      <c r="Q1323" s="140"/>
      <c r="R1323" s="140" t="s">
        <v>1845</v>
      </c>
      <c r="S1323" s="140"/>
      <c r="T1323" s="140"/>
      <c r="U1323" s="140"/>
      <c r="V1323" s="140"/>
      <c r="W1323" s="140" t="s">
        <v>1845</v>
      </c>
      <c r="X1323" s="128"/>
      <c r="Y1323" s="128"/>
      <c r="Z1323" s="140"/>
      <c r="AA1323" s="140"/>
      <c r="AB1323" s="140"/>
      <c r="AC1323" s="140"/>
      <c r="AD1323" s="140"/>
      <c r="AE1323" s="140"/>
      <c r="AF1323" s="140"/>
      <c r="AG1323" s="140"/>
      <c r="AH1323" s="140"/>
      <c r="AI1323" s="128"/>
      <c r="AJ1323" s="128"/>
      <c r="AK1323" s="140"/>
      <c r="AL1323" s="140"/>
    </row>
    <row r="1324" ht="15.0" customHeight="1">
      <c r="A1324" s="122">
        <v>1090.0</v>
      </c>
      <c r="B1324" s="138">
        <f t="shared" ref="B1324:B1369" si="119">SUM(A1324+10000)</f>
        <v>11090</v>
      </c>
      <c r="C1324" s="415" t="s">
        <v>1873</v>
      </c>
      <c r="D1324" s="122" t="s">
        <v>2125</v>
      </c>
      <c r="E1324" s="125" t="s">
        <v>7</v>
      </c>
      <c r="F1324" s="320" t="s">
        <v>3592</v>
      </c>
      <c r="G1324" s="127" t="s">
        <v>3593</v>
      </c>
      <c r="H1324" s="269" t="s">
        <v>1844</v>
      </c>
      <c r="I1324" s="140" t="s">
        <v>1843</v>
      </c>
      <c r="J1324" s="128" t="s">
        <v>1844</v>
      </c>
      <c r="K1324" s="128" t="s">
        <v>1844</v>
      </c>
      <c r="L1324" s="128" t="s">
        <v>1844</v>
      </c>
      <c r="M1324" s="128" t="s">
        <v>1844</v>
      </c>
      <c r="N1324" s="128" t="s">
        <v>1844</v>
      </c>
      <c r="O1324" s="128" t="s">
        <v>1844</v>
      </c>
      <c r="P1324" s="128" t="s">
        <v>1844</v>
      </c>
      <c r="Q1324" s="140" t="s">
        <v>1845</v>
      </c>
      <c r="R1324" s="140" t="s">
        <v>1845</v>
      </c>
      <c r="S1324" s="140"/>
      <c r="T1324" s="140"/>
      <c r="U1324" s="140"/>
      <c r="V1324" s="140"/>
      <c r="W1324" s="140"/>
      <c r="X1324" s="128" t="s">
        <v>1845</v>
      </c>
      <c r="Y1324" s="128"/>
      <c r="Z1324" s="140"/>
      <c r="AA1324" s="140"/>
      <c r="AB1324" s="140"/>
      <c r="AC1324" s="140"/>
      <c r="AD1324" s="140"/>
      <c r="AE1324" s="140"/>
      <c r="AF1324" s="140"/>
      <c r="AG1324" s="140"/>
      <c r="AH1324" s="140"/>
      <c r="AI1324" s="140"/>
      <c r="AJ1324" s="128"/>
      <c r="AK1324" s="140"/>
      <c r="AL1324" s="140"/>
    </row>
    <row r="1325" ht="15.0" customHeight="1">
      <c r="A1325" s="122"/>
      <c r="B1325" s="138">
        <f t="shared" si="119"/>
        <v>10000</v>
      </c>
      <c r="C1325" s="138"/>
      <c r="D1325" s="122"/>
      <c r="E1325" s="125"/>
      <c r="F1325" s="126"/>
      <c r="G1325" s="127"/>
      <c r="H1325" s="128"/>
      <c r="I1325" s="140"/>
      <c r="J1325" s="149"/>
      <c r="K1325" s="128"/>
      <c r="L1325" s="128"/>
      <c r="M1325" s="128"/>
      <c r="N1325" s="140"/>
      <c r="O1325" s="140"/>
      <c r="P1325" s="140"/>
      <c r="Q1325" s="140"/>
      <c r="R1325" s="140"/>
      <c r="S1325" s="140"/>
      <c r="T1325" s="140"/>
      <c r="U1325" s="140"/>
      <c r="V1325" s="140"/>
      <c r="W1325" s="140"/>
      <c r="X1325" s="128"/>
      <c r="Y1325" s="128"/>
      <c r="Z1325" s="140"/>
      <c r="AA1325" s="140"/>
      <c r="AB1325" s="140"/>
      <c r="AC1325" s="140"/>
      <c r="AD1325" s="140"/>
      <c r="AE1325" s="140"/>
      <c r="AF1325" s="140"/>
      <c r="AG1325" s="140"/>
      <c r="AH1325" s="140"/>
      <c r="AI1325" s="140"/>
      <c r="AJ1325" s="128"/>
      <c r="AK1325" s="140"/>
      <c r="AL1325" s="140"/>
    </row>
    <row r="1326" ht="15.0" customHeight="1">
      <c r="A1326" s="122"/>
      <c r="B1326" s="138">
        <f t="shared" si="119"/>
        <v>10000</v>
      </c>
      <c r="C1326" s="138"/>
      <c r="D1326" s="122"/>
      <c r="E1326" s="125"/>
      <c r="F1326" s="126"/>
      <c r="G1326" s="127"/>
      <c r="H1326" s="128"/>
      <c r="I1326" s="140"/>
      <c r="J1326" s="149"/>
      <c r="K1326" s="128"/>
      <c r="L1326" s="128"/>
      <c r="M1326" s="128"/>
      <c r="N1326" s="140"/>
      <c r="O1326" s="140"/>
      <c r="P1326" s="140"/>
      <c r="Q1326" s="140"/>
      <c r="R1326" s="140"/>
      <c r="S1326" s="140"/>
      <c r="T1326" s="140"/>
      <c r="U1326" s="140"/>
      <c r="V1326" s="140"/>
      <c r="W1326" s="140"/>
      <c r="X1326" s="128"/>
      <c r="Y1326" s="128"/>
      <c r="Z1326" s="140"/>
      <c r="AA1326" s="140"/>
      <c r="AB1326" s="140"/>
      <c r="AC1326" s="140"/>
      <c r="AD1326" s="140"/>
      <c r="AE1326" s="140"/>
      <c r="AF1326" s="140"/>
      <c r="AG1326" s="140"/>
      <c r="AH1326" s="140"/>
      <c r="AI1326" s="140"/>
      <c r="AJ1326" s="128"/>
      <c r="AK1326" s="140"/>
      <c r="AL1326" s="140"/>
    </row>
    <row r="1327" ht="15.0" customHeight="1">
      <c r="A1327" s="122"/>
      <c r="B1327" s="138">
        <f t="shared" si="119"/>
        <v>10000</v>
      </c>
      <c r="C1327" s="138"/>
      <c r="D1327" s="122"/>
      <c r="E1327" s="125"/>
      <c r="F1327" s="126"/>
      <c r="G1327" s="127"/>
      <c r="H1327" s="128"/>
      <c r="I1327" s="140"/>
      <c r="J1327" s="149"/>
      <c r="K1327" s="128"/>
      <c r="L1327" s="128"/>
      <c r="M1327" s="128"/>
      <c r="N1327" s="140"/>
      <c r="O1327" s="140"/>
      <c r="P1327" s="140"/>
      <c r="Q1327" s="140"/>
      <c r="R1327" s="140"/>
      <c r="S1327" s="140"/>
      <c r="T1327" s="140"/>
      <c r="U1327" s="140"/>
      <c r="V1327" s="140"/>
      <c r="W1327" s="140"/>
      <c r="X1327" s="128"/>
      <c r="Y1327" s="128"/>
      <c r="Z1327" s="140"/>
      <c r="AA1327" s="140"/>
      <c r="AB1327" s="140"/>
      <c r="AC1327" s="140"/>
      <c r="AD1327" s="140"/>
      <c r="AE1327" s="140"/>
      <c r="AF1327" s="140"/>
      <c r="AG1327" s="140"/>
      <c r="AH1327" s="140"/>
      <c r="AI1327" s="140"/>
      <c r="AJ1327" s="128"/>
      <c r="AK1327" s="140"/>
      <c r="AL1327" s="140"/>
    </row>
    <row r="1328" ht="15.0" customHeight="1">
      <c r="A1328" s="122"/>
      <c r="B1328" s="138">
        <f t="shared" si="119"/>
        <v>10000</v>
      </c>
      <c r="C1328" s="138"/>
      <c r="D1328" s="122"/>
      <c r="E1328" s="125"/>
      <c r="F1328" s="126"/>
      <c r="G1328" s="127"/>
      <c r="H1328" s="128"/>
      <c r="I1328" s="140"/>
      <c r="J1328" s="149"/>
      <c r="K1328" s="128"/>
      <c r="L1328" s="128"/>
      <c r="M1328" s="128"/>
      <c r="N1328" s="140"/>
      <c r="O1328" s="140"/>
      <c r="P1328" s="140"/>
      <c r="Q1328" s="140"/>
      <c r="R1328" s="140"/>
      <c r="S1328" s="140"/>
      <c r="T1328" s="140"/>
      <c r="U1328" s="140"/>
      <c r="V1328" s="140"/>
      <c r="W1328" s="140"/>
      <c r="X1328" s="128"/>
      <c r="Y1328" s="128"/>
      <c r="Z1328" s="140"/>
      <c r="AA1328" s="140"/>
      <c r="AB1328" s="140"/>
      <c r="AC1328" s="140"/>
      <c r="AD1328" s="140"/>
      <c r="AE1328" s="140"/>
      <c r="AF1328" s="140"/>
      <c r="AG1328" s="140"/>
      <c r="AH1328" s="140"/>
      <c r="AI1328" s="140"/>
      <c r="AJ1328" s="128"/>
      <c r="AK1328" s="140"/>
      <c r="AL1328" s="140"/>
    </row>
    <row r="1329" ht="15.0" customHeight="1">
      <c r="A1329" s="122"/>
      <c r="B1329" s="138">
        <f t="shared" si="119"/>
        <v>10000</v>
      </c>
      <c r="C1329" s="138"/>
      <c r="D1329" s="122"/>
      <c r="E1329" s="125"/>
      <c r="F1329" s="126"/>
      <c r="G1329" s="127"/>
      <c r="H1329" s="128"/>
      <c r="I1329" s="140"/>
      <c r="J1329" s="149"/>
      <c r="K1329" s="128"/>
      <c r="L1329" s="128"/>
      <c r="M1329" s="128"/>
      <c r="N1329" s="140"/>
      <c r="O1329" s="140"/>
      <c r="P1329" s="140"/>
      <c r="Q1329" s="140"/>
      <c r="R1329" s="140"/>
      <c r="S1329" s="140"/>
      <c r="T1329" s="140"/>
      <c r="U1329" s="140"/>
      <c r="V1329" s="140"/>
      <c r="W1329" s="140"/>
      <c r="X1329" s="128"/>
      <c r="Y1329" s="128"/>
      <c r="Z1329" s="140"/>
      <c r="AA1329" s="140"/>
      <c r="AB1329" s="140"/>
      <c r="AC1329" s="140"/>
      <c r="AD1329" s="140"/>
      <c r="AE1329" s="140"/>
      <c r="AF1329" s="140"/>
      <c r="AG1329" s="140"/>
      <c r="AH1329" s="140"/>
      <c r="AI1329" s="140"/>
      <c r="AJ1329" s="128"/>
      <c r="AK1329" s="140"/>
      <c r="AL1329" s="140"/>
    </row>
    <row r="1330" ht="15.0" customHeight="1">
      <c r="A1330" s="122"/>
      <c r="B1330" s="138">
        <f t="shared" si="119"/>
        <v>10000</v>
      </c>
      <c r="C1330" s="138"/>
      <c r="D1330" s="122"/>
      <c r="E1330" s="125"/>
      <c r="F1330" s="126"/>
      <c r="G1330" s="127"/>
      <c r="H1330" s="128"/>
      <c r="I1330" s="140"/>
      <c r="J1330" s="149"/>
      <c r="K1330" s="128"/>
      <c r="L1330" s="128"/>
      <c r="M1330" s="128"/>
      <c r="N1330" s="140"/>
      <c r="O1330" s="140"/>
      <c r="P1330" s="140"/>
      <c r="Q1330" s="140"/>
      <c r="R1330" s="140"/>
      <c r="S1330" s="140"/>
      <c r="T1330" s="140"/>
      <c r="U1330" s="140"/>
      <c r="V1330" s="140"/>
      <c r="W1330" s="140"/>
      <c r="X1330" s="128"/>
      <c r="Y1330" s="128"/>
      <c r="Z1330" s="140"/>
      <c r="AA1330" s="140"/>
      <c r="AB1330" s="140"/>
      <c r="AC1330" s="140"/>
      <c r="AD1330" s="140"/>
      <c r="AE1330" s="140"/>
      <c r="AF1330" s="140"/>
      <c r="AG1330" s="140"/>
      <c r="AH1330" s="140"/>
      <c r="AI1330" s="140"/>
      <c r="AJ1330" s="128"/>
      <c r="AK1330" s="140"/>
      <c r="AL1330" s="140"/>
    </row>
    <row r="1331" ht="15.0" customHeight="1">
      <c r="A1331" s="122"/>
      <c r="B1331" s="138">
        <f t="shared" si="119"/>
        <v>10000</v>
      </c>
      <c r="C1331" s="138"/>
      <c r="D1331" s="122"/>
      <c r="E1331" s="125"/>
      <c r="F1331" s="126"/>
      <c r="G1331" s="127"/>
      <c r="H1331" s="128"/>
      <c r="I1331" s="140"/>
      <c r="J1331" s="149"/>
      <c r="K1331" s="128"/>
      <c r="L1331" s="128"/>
      <c r="M1331" s="128"/>
      <c r="N1331" s="140"/>
      <c r="O1331" s="140"/>
      <c r="P1331" s="140"/>
      <c r="Q1331" s="140"/>
      <c r="R1331" s="140"/>
      <c r="S1331" s="140"/>
      <c r="T1331" s="140"/>
      <c r="U1331" s="140"/>
      <c r="V1331" s="140"/>
      <c r="W1331" s="140"/>
      <c r="X1331" s="128"/>
      <c r="Y1331" s="128"/>
      <c r="Z1331" s="140"/>
      <c r="AA1331" s="140"/>
      <c r="AB1331" s="140"/>
      <c r="AC1331" s="140"/>
      <c r="AD1331" s="140"/>
      <c r="AE1331" s="140"/>
      <c r="AF1331" s="140"/>
      <c r="AG1331" s="140"/>
      <c r="AH1331" s="140"/>
      <c r="AI1331" s="140"/>
      <c r="AJ1331" s="128"/>
      <c r="AK1331" s="140"/>
      <c r="AL1331" s="140"/>
    </row>
    <row r="1332" ht="15.0" customHeight="1">
      <c r="A1332" s="122"/>
      <c r="B1332" s="138">
        <f t="shared" si="119"/>
        <v>10000</v>
      </c>
      <c r="C1332" s="138"/>
      <c r="D1332" s="122"/>
      <c r="E1332" s="125"/>
      <c r="F1332" s="126"/>
      <c r="G1332" s="127"/>
      <c r="H1332" s="128"/>
      <c r="I1332" s="140"/>
      <c r="J1332" s="149"/>
      <c r="K1332" s="128"/>
      <c r="L1332" s="128"/>
      <c r="M1332" s="128"/>
      <c r="N1332" s="140"/>
      <c r="O1332" s="140"/>
      <c r="P1332" s="140"/>
      <c r="Q1332" s="140"/>
      <c r="R1332" s="140"/>
      <c r="S1332" s="140"/>
      <c r="T1332" s="140"/>
      <c r="U1332" s="140"/>
      <c r="V1332" s="140"/>
      <c r="W1332" s="140"/>
      <c r="X1332" s="128"/>
      <c r="Y1332" s="128"/>
      <c r="Z1332" s="140"/>
      <c r="AA1332" s="140"/>
      <c r="AB1332" s="140"/>
      <c r="AC1332" s="140"/>
      <c r="AD1332" s="140"/>
      <c r="AE1332" s="140"/>
      <c r="AF1332" s="140"/>
      <c r="AG1332" s="140"/>
      <c r="AH1332" s="140"/>
      <c r="AI1332" s="140"/>
      <c r="AJ1332" s="128"/>
      <c r="AK1332" s="140"/>
      <c r="AL1332" s="140"/>
    </row>
    <row r="1333" ht="15.0" customHeight="1">
      <c r="A1333" s="122"/>
      <c r="B1333" s="138">
        <f t="shared" si="119"/>
        <v>10000</v>
      </c>
      <c r="C1333" s="138"/>
      <c r="D1333" s="122"/>
      <c r="E1333" s="125"/>
      <c r="F1333" s="126"/>
      <c r="G1333" s="127"/>
      <c r="H1333" s="128"/>
      <c r="I1333" s="140"/>
      <c r="J1333" s="149"/>
      <c r="K1333" s="128"/>
      <c r="L1333" s="128"/>
      <c r="M1333" s="128"/>
      <c r="N1333" s="140"/>
      <c r="O1333" s="140"/>
      <c r="P1333" s="140"/>
      <c r="Q1333" s="140"/>
      <c r="R1333" s="140"/>
      <c r="S1333" s="140"/>
      <c r="T1333" s="140"/>
      <c r="U1333" s="140"/>
      <c r="V1333" s="140"/>
      <c r="W1333" s="140"/>
      <c r="X1333" s="128"/>
      <c r="Y1333" s="128"/>
      <c r="Z1333" s="140"/>
      <c r="AA1333" s="140"/>
      <c r="AB1333" s="140"/>
      <c r="AC1333" s="140"/>
      <c r="AD1333" s="140"/>
      <c r="AE1333" s="140"/>
      <c r="AF1333" s="140"/>
      <c r="AG1333" s="140"/>
      <c r="AH1333" s="140"/>
      <c r="AI1333" s="140"/>
      <c r="AJ1333" s="128"/>
      <c r="AK1333" s="140"/>
      <c r="AL1333" s="140"/>
    </row>
    <row r="1334" ht="15.0" customHeight="1">
      <c r="A1334" s="122"/>
      <c r="B1334" s="138">
        <f t="shared" si="119"/>
        <v>10000</v>
      </c>
      <c r="C1334" s="138"/>
      <c r="D1334" s="122"/>
      <c r="E1334" s="125"/>
      <c r="F1334" s="126"/>
      <c r="G1334" s="127"/>
      <c r="H1334" s="128"/>
      <c r="I1334" s="140"/>
      <c r="J1334" s="149"/>
      <c r="K1334" s="128"/>
      <c r="L1334" s="128"/>
      <c r="M1334" s="128"/>
      <c r="N1334" s="140"/>
      <c r="O1334" s="140"/>
      <c r="P1334" s="140"/>
      <c r="Q1334" s="140"/>
      <c r="R1334" s="140"/>
      <c r="S1334" s="140"/>
      <c r="T1334" s="140"/>
      <c r="U1334" s="140"/>
      <c r="V1334" s="140"/>
      <c r="W1334" s="140"/>
      <c r="X1334" s="128"/>
      <c r="Y1334" s="128"/>
      <c r="Z1334" s="140"/>
      <c r="AA1334" s="140"/>
      <c r="AB1334" s="140"/>
      <c r="AC1334" s="140"/>
      <c r="AD1334" s="140"/>
      <c r="AE1334" s="140"/>
      <c r="AF1334" s="140"/>
      <c r="AG1334" s="140"/>
      <c r="AH1334" s="140"/>
      <c r="AI1334" s="140"/>
      <c r="AJ1334" s="128"/>
      <c r="AK1334" s="140"/>
      <c r="AL1334" s="140"/>
    </row>
    <row r="1335" ht="15.0" customHeight="1">
      <c r="A1335" s="122"/>
      <c r="B1335" s="138">
        <f t="shared" si="119"/>
        <v>10000</v>
      </c>
      <c r="C1335" s="138"/>
      <c r="D1335" s="122"/>
      <c r="E1335" s="125"/>
      <c r="F1335" s="126"/>
      <c r="G1335" s="127"/>
      <c r="H1335" s="128"/>
      <c r="I1335" s="140"/>
      <c r="J1335" s="149"/>
      <c r="K1335" s="128"/>
      <c r="L1335" s="128"/>
      <c r="M1335" s="128"/>
      <c r="N1335" s="140"/>
      <c r="O1335" s="140"/>
      <c r="P1335" s="140"/>
      <c r="Q1335" s="140"/>
      <c r="R1335" s="140"/>
      <c r="S1335" s="140"/>
      <c r="T1335" s="140"/>
      <c r="U1335" s="140"/>
      <c r="V1335" s="140"/>
      <c r="W1335" s="140"/>
      <c r="X1335" s="128"/>
      <c r="Y1335" s="128"/>
      <c r="Z1335" s="140"/>
      <c r="AA1335" s="140"/>
      <c r="AB1335" s="140"/>
      <c r="AC1335" s="140"/>
      <c r="AD1335" s="140"/>
      <c r="AE1335" s="140"/>
      <c r="AF1335" s="140"/>
      <c r="AG1335" s="140"/>
      <c r="AH1335" s="140"/>
      <c r="AI1335" s="140"/>
      <c r="AJ1335" s="128"/>
      <c r="AK1335" s="140"/>
      <c r="AL1335" s="140"/>
    </row>
    <row r="1336" ht="15.0" customHeight="1">
      <c r="A1336" s="122"/>
      <c r="B1336" s="138">
        <f t="shared" si="119"/>
        <v>10000</v>
      </c>
      <c r="C1336" s="138"/>
      <c r="D1336" s="122"/>
      <c r="E1336" s="125"/>
      <c r="F1336" s="126"/>
      <c r="G1336" s="127"/>
      <c r="H1336" s="128"/>
      <c r="I1336" s="140"/>
      <c r="J1336" s="149"/>
      <c r="K1336" s="128"/>
      <c r="L1336" s="128"/>
      <c r="M1336" s="128"/>
      <c r="N1336" s="140"/>
      <c r="O1336" s="140"/>
      <c r="P1336" s="140"/>
      <c r="Q1336" s="140"/>
      <c r="R1336" s="140"/>
      <c r="S1336" s="140"/>
      <c r="T1336" s="140"/>
      <c r="U1336" s="140"/>
      <c r="V1336" s="140"/>
      <c r="W1336" s="140"/>
      <c r="X1336" s="128"/>
      <c r="Y1336" s="128"/>
      <c r="Z1336" s="140"/>
      <c r="AA1336" s="140"/>
      <c r="AB1336" s="140"/>
      <c r="AC1336" s="140"/>
      <c r="AD1336" s="140"/>
      <c r="AE1336" s="140"/>
      <c r="AF1336" s="140"/>
      <c r="AG1336" s="140"/>
      <c r="AH1336" s="140"/>
      <c r="AI1336" s="140"/>
      <c r="AJ1336" s="128"/>
      <c r="AK1336" s="140"/>
      <c r="AL1336" s="140"/>
    </row>
    <row r="1337" ht="15.0" customHeight="1">
      <c r="A1337" s="122"/>
      <c r="B1337" s="138">
        <f t="shared" si="119"/>
        <v>10000</v>
      </c>
      <c r="C1337" s="138"/>
      <c r="D1337" s="122"/>
      <c r="E1337" s="125"/>
      <c r="F1337" s="126"/>
      <c r="G1337" s="127"/>
      <c r="H1337" s="128"/>
      <c r="I1337" s="140"/>
      <c r="J1337" s="149"/>
      <c r="K1337" s="128"/>
      <c r="L1337" s="128"/>
      <c r="M1337" s="128"/>
      <c r="N1337" s="140"/>
      <c r="O1337" s="140"/>
      <c r="P1337" s="140"/>
      <c r="Q1337" s="140"/>
      <c r="R1337" s="140"/>
      <c r="S1337" s="140"/>
      <c r="T1337" s="140"/>
      <c r="U1337" s="140"/>
      <c r="V1337" s="140"/>
      <c r="W1337" s="140"/>
      <c r="X1337" s="128"/>
      <c r="Y1337" s="128"/>
      <c r="Z1337" s="140"/>
      <c r="AA1337" s="140"/>
      <c r="AB1337" s="140"/>
      <c r="AC1337" s="140"/>
      <c r="AD1337" s="140"/>
      <c r="AE1337" s="140"/>
      <c r="AF1337" s="140"/>
      <c r="AG1337" s="140"/>
      <c r="AH1337" s="140"/>
      <c r="AI1337" s="140"/>
      <c r="AJ1337" s="128"/>
      <c r="AK1337" s="140"/>
      <c r="AL1337" s="140"/>
    </row>
    <row r="1338" ht="15.0" customHeight="1">
      <c r="A1338" s="122"/>
      <c r="B1338" s="138">
        <f t="shared" si="119"/>
        <v>10000</v>
      </c>
      <c r="C1338" s="138"/>
      <c r="D1338" s="122"/>
      <c r="E1338" s="125"/>
      <c r="F1338" s="126"/>
      <c r="G1338" s="127"/>
      <c r="H1338" s="128"/>
      <c r="I1338" s="140"/>
      <c r="J1338" s="149"/>
      <c r="K1338" s="128"/>
      <c r="L1338" s="128"/>
      <c r="M1338" s="128"/>
      <c r="N1338" s="140"/>
      <c r="O1338" s="140"/>
      <c r="P1338" s="140"/>
      <c r="Q1338" s="140"/>
      <c r="R1338" s="140"/>
      <c r="S1338" s="140"/>
      <c r="T1338" s="140"/>
      <c r="U1338" s="140"/>
      <c r="V1338" s="140"/>
      <c r="W1338" s="140"/>
      <c r="X1338" s="128"/>
      <c r="Y1338" s="128"/>
      <c r="Z1338" s="140"/>
      <c r="AA1338" s="140"/>
      <c r="AB1338" s="140"/>
      <c r="AC1338" s="140"/>
      <c r="AD1338" s="140"/>
      <c r="AE1338" s="140"/>
      <c r="AF1338" s="140"/>
      <c r="AG1338" s="140"/>
      <c r="AH1338" s="140"/>
      <c r="AI1338" s="140"/>
      <c r="AJ1338" s="128"/>
      <c r="AK1338" s="140"/>
      <c r="AL1338" s="140"/>
    </row>
    <row r="1339" ht="15.0" customHeight="1">
      <c r="A1339" s="122"/>
      <c r="B1339" s="138">
        <f t="shared" si="119"/>
        <v>10000</v>
      </c>
      <c r="C1339" s="138"/>
      <c r="D1339" s="122"/>
      <c r="E1339" s="125"/>
      <c r="F1339" s="126"/>
      <c r="G1339" s="127"/>
      <c r="H1339" s="128"/>
      <c r="I1339" s="140"/>
      <c r="J1339" s="149"/>
      <c r="K1339" s="128"/>
      <c r="L1339" s="128"/>
      <c r="M1339" s="128"/>
      <c r="N1339" s="140"/>
      <c r="O1339" s="140"/>
      <c r="P1339" s="140"/>
      <c r="Q1339" s="140"/>
      <c r="R1339" s="140"/>
      <c r="S1339" s="140"/>
      <c r="T1339" s="140"/>
      <c r="U1339" s="140"/>
      <c r="V1339" s="140"/>
      <c r="W1339" s="140"/>
      <c r="X1339" s="128"/>
      <c r="Y1339" s="128"/>
      <c r="Z1339" s="140"/>
      <c r="AA1339" s="140"/>
      <c r="AB1339" s="140"/>
      <c r="AC1339" s="140"/>
      <c r="AD1339" s="140"/>
      <c r="AE1339" s="140"/>
      <c r="AF1339" s="140"/>
      <c r="AG1339" s="140"/>
      <c r="AH1339" s="140"/>
      <c r="AI1339" s="140"/>
      <c r="AJ1339" s="128"/>
      <c r="AK1339" s="140"/>
      <c r="AL1339" s="140"/>
    </row>
    <row r="1340" ht="15.0" customHeight="1">
      <c r="A1340" s="122"/>
      <c r="B1340" s="138">
        <f t="shared" si="119"/>
        <v>10000</v>
      </c>
      <c r="C1340" s="138"/>
      <c r="D1340" s="122"/>
      <c r="E1340" s="125"/>
      <c r="F1340" s="126"/>
      <c r="G1340" s="127"/>
      <c r="H1340" s="128"/>
      <c r="I1340" s="140"/>
      <c r="J1340" s="149"/>
      <c r="K1340" s="128"/>
      <c r="L1340" s="128"/>
      <c r="M1340" s="128"/>
      <c r="N1340" s="140"/>
      <c r="O1340" s="140"/>
      <c r="P1340" s="140"/>
      <c r="Q1340" s="140"/>
      <c r="R1340" s="140"/>
      <c r="S1340" s="140"/>
      <c r="T1340" s="140"/>
      <c r="U1340" s="140"/>
      <c r="V1340" s="140"/>
      <c r="W1340" s="140"/>
      <c r="X1340" s="128"/>
      <c r="Y1340" s="128"/>
      <c r="Z1340" s="140"/>
      <c r="AA1340" s="140"/>
      <c r="AB1340" s="140"/>
      <c r="AC1340" s="140"/>
      <c r="AD1340" s="140"/>
      <c r="AE1340" s="140"/>
      <c r="AF1340" s="140"/>
      <c r="AG1340" s="140"/>
      <c r="AH1340" s="140"/>
      <c r="AI1340" s="140"/>
      <c r="AJ1340" s="128"/>
      <c r="AK1340" s="140"/>
      <c r="AL1340" s="140"/>
    </row>
    <row r="1341" ht="15.0" customHeight="1">
      <c r="A1341" s="122"/>
      <c r="B1341" s="138">
        <f t="shared" si="119"/>
        <v>10000</v>
      </c>
      <c r="C1341" s="138"/>
      <c r="D1341" s="122"/>
      <c r="E1341" s="125"/>
      <c r="F1341" s="126"/>
      <c r="G1341" s="127"/>
      <c r="H1341" s="128"/>
      <c r="I1341" s="140"/>
      <c r="J1341" s="149"/>
      <c r="K1341" s="128"/>
      <c r="L1341" s="128"/>
      <c r="M1341" s="128"/>
      <c r="N1341" s="140"/>
      <c r="O1341" s="140"/>
      <c r="P1341" s="140"/>
      <c r="Q1341" s="140"/>
      <c r="R1341" s="140"/>
      <c r="S1341" s="140"/>
      <c r="T1341" s="140"/>
      <c r="U1341" s="140"/>
      <c r="V1341" s="140"/>
      <c r="W1341" s="140"/>
      <c r="X1341" s="128"/>
      <c r="Y1341" s="128"/>
      <c r="Z1341" s="140"/>
      <c r="AA1341" s="140"/>
      <c r="AB1341" s="140"/>
      <c r="AC1341" s="140"/>
      <c r="AD1341" s="140"/>
      <c r="AE1341" s="140"/>
      <c r="AF1341" s="140"/>
      <c r="AG1341" s="140"/>
      <c r="AH1341" s="140"/>
      <c r="AI1341" s="140"/>
      <c r="AJ1341" s="128"/>
      <c r="AK1341" s="140"/>
      <c r="AL1341" s="140"/>
    </row>
    <row r="1342" ht="15.0" customHeight="1">
      <c r="A1342" s="122"/>
      <c r="B1342" s="138">
        <f t="shared" si="119"/>
        <v>10000</v>
      </c>
      <c r="C1342" s="138"/>
      <c r="D1342" s="122"/>
      <c r="E1342" s="125"/>
      <c r="F1342" s="126"/>
      <c r="G1342" s="127"/>
      <c r="H1342" s="128"/>
      <c r="I1342" s="140"/>
      <c r="J1342" s="149"/>
      <c r="K1342" s="128"/>
      <c r="L1342" s="128"/>
      <c r="M1342" s="128"/>
      <c r="N1342" s="140"/>
      <c r="O1342" s="140"/>
      <c r="P1342" s="140"/>
      <c r="Q1342" s="140"/>
      <c r="R1342" s="140"/>
      <c r="S1342" s="140"/>
      <c r="T1342" s="140"/>
      <c r="U1342" s="140"/>
      <c r="V1342" s="140"/>
      <c r="W1342" s="140"/>
      <c r="X1342" s="128"/>
      <c r="Y1342" s="128"/>
      <c r="Z1342" s="140"/>
      <c r="AA1342" s="140"/>
      <c r="AB1342" s="140"/>
      <c r="AC1342" s="140"/>
      <c r="AD1342" s="140"/>
      <c r="AE1342" s="140"/>
      <c r="AF1342" s="140"/>
      <c r="AG1342" s="140"/>
      <c r="AH1342" s="140"/>
      <c r="AI1342" s="140"/>
      <c r="AJ1342" s="128"/>
      <c r="AK1342" s="140"/>
      <c r="AL1342" s="140"/>
    </row>
    <row r="1343" ht="15.0" customHeight="1">
      <c r="A1343" s="122"/>
      <c r="B1343" s="138">
        <f t="shared" si="119"/>
        <v>10000</v>
      </c>
      <c r="C1343" s="138"/>
      <c r="D1343" s="122"/>
      <c r="E1343" s="125"/>
      <c r="F1343" s="126"/>
      <c r="G1343" s="127"/>
      <c r="H1343" s="128"/>
      <c r="I1343" s="140"/>
      <c r="J1343" s="149"/>
      <c r="K1343" s="128"/>
      <c r="L1343" s="128"/>
      <c r="M1343" s="128"/>
      <c r="N1343" s="140"/>
      <c r="O1343" s="140"/>
      <c r="P1343" s="140"/>
      <c r="Q1343" s="140"/>
      <c r="R1343" s="140"/>
      <c r="S1343" s="140"/>
      <c r="T1343" s="140"/>
      <c r="U1343" s="140"/>
      <c r="V1343" s="140"/>
      <c r="W1343" s="140"/>
      <c r="X1343" s="128"/>
      <c r="Y1343" s="128"/>
      <c r="Z1343" s="140"/>
      <c r="AA1343" s="140"/>
      <c r="AB1343" s="140"/>
      <c r="AC1343" s="140"/>
      <c r="AD1343" s="140"/>
      <c r="AE1343" s="140"/>
      <c r="AF1343" s="140"/>
      <c r="AG1343" s="140"/>
      <c r="AH1343" s="140"/>
      <c r="AI1343" s="140"/>
      <c r="AJ1343" s="128"/>
      <c r="AK1343" s="140"/>
      <c r="AL1343" s="140"/>
    </row>
    <row r="1344" ht="15.0" customHeight="1">
      <c r="A1344" s="122"/>
      <c r="B1344" s="138">
        <f t="shared" si="119"/>
        <v>10000</v>
      </c>
      <c r="C1344" s="138"/>
      <c r="D1344" s="122"/>
      <c r="E1344" s="125"/>
      <c r="F1344" s="126"/>
      <c r="G1344" s="127"/>
      <c r="H1344" s="128"/>
      <c r="I1344" s="140"/>
      <c r="J1344" s="149"/>
      <c r="K1344" s="128"/>
      <c r="L1344" s="128"/>
      <c r="M1344" s="128"/>
      <c r="N1344" s="140"/>
      <c r="O1344" s="140"/>
      <c r="P1344" s="140"/>
      <c r="Q1344" s="140"/>
      <c r="R1344" s="140"/>
      <c r="S1344" s="140"/>
      <c r="T1344" s="140"/>
      <c r="U1344" s="140"/>
      <c r="V1344" s="140"/>
      <c r="W1344" s="140"/>
      <c r="X1344" s="128"/>
      <c r="Y1344" s="128"/>
      <c r="Z1344" s="140"/>
      <c r="AA1344" s="140"/>
      <c r="AB1344" s="140"/>
      <c r="AC1344" s="140"/>
      <c r="AD1344" s="140"/>
      <c r="AE1344" s="140"/>
      <c r="AF1344" s="140"/>
      <c r="AG1344" s="140"/>
      <c r="AH1344" s="140"/>
      <c r="AI1344" s="140"/>
      <c r="AJ1344" s="128"/>
      <c r="AK1344" s="140"/>
      <c r="AL1344" s="140"/>
    </row>
    <row r="1345" ht="15.0" customHeight="1">
      <c r="A1345" s="122"/>
      <c r="B1345" s="138">
        <f t="shared" si="119"/>
        <v>10000</v>
      </c>
      <c r="C1345" s="138"/>
      <c r="D1345" s="122"/>
      <c r="E1345" s="125"/>
      <c r="F1345" s="126"/>
      <c r="G1345" s="127"/>
      <c r="H1345" s="128"/>
      <c r="I1345" s="140"/>
      <c r="J1345" s="149"/>
      <c r="K1345" s="128"/>
      <c r="L1345" s="128"/>
      <c r="M1345" s="128"/>
      <c r="N1345" s="140"/>
      <c r="O1345" s="140"/>
      <c r="P1345" s="140"/>
      <c r="Q1345" s="140"/>
      <c r="R1345" s="140"/>
      <c r="S1345" s="140"/>
      <c r="T1345" s="140"/>
      <c r="U1345" s="140"/>
      <c r="V1345" s="140"/>
      <c r="W1345" s="140"/>
      <c r="X1345" s="128"/>
      <c r="Y1345" s="128"/>
      <c r="Z1345" s="140"/>
      <c r="AA1345" s="140"/>
      <c r="AB1345" s="140"/>
      <c r="AC1345" s="140"/>
      <c r="AD1345" s="140"/>
      <c r="AE1345" s="140"/>
      <c r="AF1345" s="140"/>
      <c r="AG1345" s="140"/>
      <c r="AH1345" s="140"/>
      <c r="AI1345" s="140"/>
      <c r="AJ1345" s="128"/>
      <c r="AK1345" s="140"/>
      <c r="AL1345" s="140"/>
    </row>
    <row r="1346" ht="15.0" customHeight="1">
      <c r="A1346" s="122"/>
      <c r="B1346" s="138">
        <f t="shared" si="119"/>
        <v>10000</v>
      </c>
      <c r="C1346" s="138"/>
      <c r="D1346" s="122"/>
      <c r="E1346" s="125"/>
      <c r="F1346" s="126"/>
      <c r="G1346" s="127"/>
      <c r="H1346" s="128"/>
      <c r="I1346" s="140"/>
      <c r="J1346" s="149"/>
      <c r="K1346" s="128"/>
      <c r="L1346" s="128"/>
      <c r="M1346" s="128"/>
      <c r="N1346" s="140"/>
      <c r="O1346" s="140"/>
      <c r="P1346" s="140"/>
      <c r="Q1346" s="140"/>
      <c r="R1346" s="140"/>
      <c r="S1346" s="140"/>
      <c r="T1346" s="140"/>
      <c r="U1346" s="140"/>
      <c r="V1346" s="140"/>
      <c r="W1346" s="140"/>
      <c r="X1346" s="128"/>
      <c r="Y1346" s="128"/>
      <c r="Z1346" s="140"/>
      <c r="AA1346" s="140"/>
      <c r="AB1346" s="140"/>
      <c r="AC1346" s="140"/>
      <c r="AD1346" s="140"/>
      <c r="AE1346" s="140"/>
      <c r="AF1346" s="140"/>
      <c r="AG1346" s="140"/>
      <c r="AH1346" s="140"/>
      <c r="AI1346" s="140"/>
      <c r="AJ1346" s="128"/>
      <c r="AK1346" s="140"/>
      <c r="AL1346" s="140"/>
    </row>
    <row r="1347" ht="15.0" customHeight="1">
      <c r="A1347" s="122"/>
      <c r="B1347" s="138">
        <f t="shared" si="119"/>
        <v>10000</v>
      </c>
      <c r="C1347" s="138"/>
      <c r="D1347" s="122"/>
      <c r="E1347" s="125"/>
      <c r="F1347" s="126"/>
      <c r="G1347" s="127"/>
      <c r="H1347" s="128"/>
      <c r="I1347" s="140"/>
      <c r="J1347" s="149"/>
      <c r="K1347" s="128"/>
      <c r="L1347" s="128"/>
      <c r="M1347" s="128"/>
      <c r="N1347" s="140"/>
      <c r="O1347" s="140"/>
      <c r="P1347" s="140"/>
      <c r="Q1347" s="140"/>
      <c r="R1347" s="140"/>
      <c r="S1347" s="140"/>
      <c r="T1347" s="140"/>
      <c r="U1347" s="140"/>
      <c r="V1347" s="140"/>
      <c r="W1347" s="140"/>
      <c r="X1347" s="128"/>
      <c r="Y1347" s="128"/>
      <c r="Z1347" s="140"/>
      <c r="AA1347" s="140"/>
      <c r="AB1347" s="140"/>
      <c r="AC1347" s="140"/>
      <c r="AD1347" s="140"/>
      <c r="AE1347" s="140"/>
      <c r="AF1347" s="140"/>
      <c r="AG1347" s="140"/>
      <c r="AH1347" s="140"/>
      <c r="AI1347" s="140"/>
      <c r="AJ1347" s="128"/>
      <c r="AK1347" s="140"/>
      <c r="AL1347" s="140"/>
    </row>
    <row r="1348" ht="15.0" customHeight="1">
      <c r="A1348" s="122"/>
      <c r="B1348" s="138">
        <f t="shared" si="119"/>
        <v>10000</v>
      </c>
      <c r="C1348" s="138"/>
      <c r="D1348" s="122"/>
      <c r="E1348" s="125"/>
      <c r="F1348" s="126"/>
      <c r="G1348" s="127"/>
      <c r="H1348" s="128"/>
      <c r="I1348" s="140"/>
      <c r="J1348" s="149"/>
      <c r="K1348" s="128"/>
      <c r="L1348" s="128"/>
      <c r="M1348" s="128"/>
      <c r="N1348" s="140"/>
      <c r="O1348" s="140"/>
      <c r="P1348" s="140"/>
      <c r="Q1348" s="140"/>
      <c r="R1348" s="140"/>
      <c r="S1348" s="140"/>
      <c r="T1348" s="140"/>
      <c r="U1348" s="140"/>
      <c r="V1348" s="140"/>
      <c r="W1348" s="140"/>
      <c r="X1348" s="128"/>
      <c r="Y1348" s="128"/>
      <c r="Z1348" s="140"/>
      <c r="AA1348" s="140"/>
      <c r="AB1348" s="140"/>
      <c r="AC1348" s="140"/>
      <c r="AD1348" s="140"/>
      <c r="AE1348" s="140"/>
      <c r="AF1348" s="140"/>
      <c r="AG1348" s="140"/>
      <c r="AH1348" s="140"/>
      <c r="AI1348" s="140"/>
      <c r="AJ1348" s="128"/>
      <c r="AK1348" s="140"/>
      <c r="AL1348" s="140"/>
    </row>
    <row r="1349" ht="15.0" customHeight="1">
      <c r="A1349" s="122"/>
      <c r="B1349" s="138">
        <f t="shared" si="119"/>
        <v>10000</v>
      </c>
      <c r="C1349" s="138"/>
      <c r="D1349" s="122"/>
      <c r="E1349" s="125"/>
      <c r="F1349" s="126"/>
      <c r="G1349" s="127"/>
      <c r="H1349" s="128"/>
      <c r="I1349" s="140"/>
      <c r="J1349" s="149"/>
      <c r="K1349" s="128"/>
      <c r="L1349" s="128"/>
      <c r="M1349" s="128"/>
      <c r="N1349" s="140"/>
      <c r="O1349" s="140"/>
      <c r="P1349" s="140"/>
      <c r="Q1349" s="140"/>
      <c r="R1349" s="140"/>
      <c r="S1349" s="140"/>
      <c r="T1349" s="140"/>
      <c r="U1349" s="140"/>
      <c r="V1349" s="140"/>
      <c r="W1349" s="140"/>
      <c r="X1349" s="128"/>
      <c r="Y1349" s="128"/>
      <c r="Z1349" s="140"/>
      <c r="AA1349" s="140"/>
      <c r="AB1349" s="140"/>
      <c r="AC1349" s="140"/>
      <c r="AD1349" s="140"/>
      <c r="AE1349" s="140"/>
      <c r="AF1349" s="140"/>
      <c r="AG1349" s="140"/>
      <c r="AH1349" s="140"/>
      <c r="AI1349" s="140"/>
      <c r="AJ1349" s="128"/>
      <c r="AK1349" s="140"/>
      <c r="AL1349" s="140"/>
    </row>
    <row r="1350" ht="15.0" customHeight="1">
      <c r="A1350" s="122"/>
      <c r="B1350" s="138">
        <f t="shared" si="119"/>
        <v>10000</v>
      </c>
      <c r="C1350" s="138"/>
      <c r="D1350" s="122"/>
      <c r="E1350" s="125"/>
      <c r="F1350" s="126"/>
      <c r="G1350" s="127"/>
      <c r="H1350" s="128"/>
      <c r="I1350" s="140"/>
      <c r="J1350" s="149"/>
      <c r="K1350" s="128"/>
      <c r="L1350" s="128"/>
      <c r="M1350" s="128"/>
      <c r="N1350" s="140"/>
      <c r="O1350" s="140"/>
      <c r="P1350" s="140"/>
      <c r="Q1350" s="140"/>
      <c r="R1350" s="140"/>
      <c r="S1350" s="140"/>
      <c r="T1350" s="140"/>
      <c r="U1350" s="140"/>
      <c r="V1350" s="140"/>
      <c r="W1350" s="140"/>
      <c r="X1350" s="128"/>
      <c r="Y1350" s="128"/>
      <c r="Z1350" s="140"/>
      <c r="AA1350" s="140"/>
      <c r="AB1350" s="140"/>
      <c r="AC1350" s="140"/>
      <c r="AD1350" s="140"/>
      <c r="AE1350" s="140"/>
      <c r="AF1350" s="140"/>
      <c r="AG1350" s="140"/>
      <c r="AH1350" s="140"/>
      <c r="AI1350" s="140"/>
      <c r="AJ1350" s="128"/>
      <c r="AK1350" s="140"/>
      <c r="AL1350" s="140"/>
    </row>
    <row r="1351" ht="15.0" customHeight="1">
      <c r="A1351" s="122"/>
      <c r="B1351" s="138">
        <f t="shared" si="119"/>
        <v>10000</v>
      </c>
      <c r="C1351" s="138"/>
      <c r="D1351" s="122"/>
      <c r="E1351" s="125"/>
      <c r="F1351" s="126"/>
      <c r="G1351" s="127"/>
      <c r="H1351" s="128"/>
      <c r="I1351" s="140"/>
      <c r="J1351" s="149"/>
      <c r="K1351" s="128"/>
      <c r="L1351" s="128"/>
      <c r="M1351" s="128"/>
      <c r="N1351" s="140"/>
      <c r="O1351" s="140"/>
      <c r="P1351" s="140"/>
      <c r="Q1351" s="140"/>
      <c r="R1351" s="140"/>
      <c r="S1351" s="140"/>
      <c r="T1351" s="140"/>
      <c r="U1351" s="140"/>
      <c r="V1351" s="140"/>
      <c r="W1351" s="140"/>
      <c r="X1351" s="128"/>
      <c r="Y1351" s="128"/>
      <c r="Z1351" s="140"/>
      <c r="AA1351" s="140"/>
      <c r="AB1351" s="140"/>
      <c r="AC1351" s="140"/>
      <c r="AD1351" s="140"/>
      <c r="AE1351" s="140"/>
      <c r="AF1351" s="140"/>
      <c r="AG1351" s="140"/>
      <c r="AH1351" s="140"/>
      <c r="AI1351" s="140"/>
      <c r="AJ1351" s="128"/>
      <c r="AK1351" s="140"/>
      <c r="AL1351" s="140"/>
    </row>
    <row r="1352" ht="15.0" customHeight="1">
      <c r="A1352" s="122"/>
      <c r="B1352" s="138">
        <f t="shared" si="119"/>
        <v>10000</v>
      </c>
      <c r="C1352" s="138"/>
      <c r="D1352" s="122"/>
      <c r="E1352" s="125"/>
      <c r="F1352" s="126"/>
      <c r="G1352" s="127"/>
      <c r="H1352" s="128"/>
      <c r="I1352" s="140"/>
      <c r="J1352" s="149"/>
      <c r="K1352" s="128"/>
      <c r="L1352" s="128"/>
      <c r="M1352" s="128"/>
      <c r="N1352" s="140"/>
      <c r="O1352" s="140"/>
      <c r="P1352" s="140"/>
      <c r="Q1352" s="140"/>
      <c r="R1352" s="140"/>
      <c r="S1352" s="140"/>
      <c r="T1352" s="140"/>
      <c r="U1352" s="140"/>
      <c r="V1352" s="140"/>
      <c r="W1352" s="140"/>
      <c r="X1352" s="128"/>
      <c r="Y1352" s="128"/>
      <c r="Z1352" s="140"/>
      <c r="AA1352" s="140"/>
      <c r="AB1352" s="140"/>
      <c r="AC1352" s="140"/>
      <c r="AD1352" s="140"/>
      <c r="AE1352" s="140"/>
      <c r="AF1352" s="140"/>
      <c r="AG1352" s="140"/>
      <c r="AH1352" s="140"/>
      <c r="AI1352" s="140"/>
      <c r="AJ1352" s="128"/>
      <c r="AK1352" s="140"/>
      <c r="AL1352" s="140"/>
    </row>
    <row r="1353" ht="15.0" customHeight="1">
      <c r="A1353" s="122"/>
      <c r="B1353" s="138">
        <f t="shared" si="119"/>
        <v>10000</v>
      </c>
      <c r="C1353" s="138"/>
      <c r="D1353" s="122"/>
      <c r="E1353" s="125"/>
      <c r="F1353" s="126"/>
      <c r="G1353" s="127"/>
      <c r="H1353" s="128"/>
      <c r="I1353" s="140"/>
      <c r="J1353" s="149"/>
      <c r="K1353" s="128"/>
      <c r="L1353" s="128"/>
      <c r="M1353" s="128"/>
      <c r="N1353" s="140"/>
      <c r="O1353" s="140"/>
      <c r="P1353" s="140"/>
      <c r="Q1353" s="140"/>
      <c r="R1353" s="140"/>
      <c r="S1353" s="140"/>
      <c r="T1353" s="140"/>
      <c r="U1353" s="140"/>
      <c r="V1353" s="140"/>
      <c r="W1353" s="140"/>
      <c r="X1353" s="128"/>
      <c r="Y1353" s="128"/>
      <c r="Z1353" s="140"/>
      <c r="AA1353" s="140"/>
      <c r="AB1353" s="140"/>
      <c r="AC1353" s="140"/>
      <c r="AD1353" s="140"/>
      <c r="AE1353" s="140"/>
      <c r="AF1353" s="140"/>
      <c r="AG1353" s="140"/>
      <c r="AH1353" s="140"/>
      <c r="AI1353" s="140"/>
      <c r="AJ1353" s="128"/>
      <c r="AK1353" s="140"/>
      <c r="AL1353" s="140"/>
    </row>
    <row r="1354" ht="15.0" customHeight="1">
      <c r="A1354" s="122"/>
      <c r="B1354" s="138">
        <f t="shared" si="119"/>
        <v>10000</v>
      </c>
      <c r="C1354" s="138"/>
      <c r="D1354" s="122"/>
      <c r="E1354" s="125"/>
      <c r="F1354" s="126"/>
      <c r="G1354" s="127"/>
      <c r="H1354" s="128"/>
      <c r="I1354" s="140"/>
      <c r="J1354" s="149"/>
      <c r="K1354" s="128"/>
      <c r="L1354" s="128"/>
      <c r="M1354" s="128"/>
      <c r="N1354" s="140"/>
      <c r="O1354" s="140"/>
      <c r="P1354" s="140"/>
      <c r="Q1354" s="140"/>
      <c r="R1354" s="140"/>
      <c r="S1354" s="140"/>
      <c r="T1354" s="140"/>
      <c r="U1354" s="140"/>
      <c r="V1354" s="140"/>
      <c r="W1354" s="140"/>
      <c r="X1354" s="128"/>
      <c r="Y1354" s="128"/>
      <c r="Z1354" s="140"/>
      <c r="AA1354" s="140"/>
      <c r="AB1354" s="140"/>
      <c r="AC1354" s="140"/>
      <c r="AD1354" s="140"/>
      <c r="AE1354" s="140"/>
      <c r="AF1354" s="140"/>
      <c r="AG1354" s="140"/>
      <c r="AH1354" s="140"/>
      <c r="AI1354" s="140"/>
      <c r="AJ1354" s="128"/>
      <c r="AK1354" s="140"/>
      <c r="AL1354" s="140"/>
    </row>
    <row r="1355" ht="15.0" customHeight="1">
      <c r="A1355" s="122"/>
      <c r="B1355" s="138">
        <f t="shared" si="119"/>
        <v>10000</v>
      </c>
      <c r="C1355" s="138"/>
      <c r="D1355" s="122"/>
      <c r="E1355" s="125"/>
      <c r="F1355" s="126"/>
      <c r="G1355" s="127"/>
      <c r="H1355" s="128"/>
      <c r="I1355" s="140"/>
      <c r="J1355" s="149"/>
      <c r="K1355" s="128"/>
      <c r="L1355" s="128"/>
      <c r="M1355" s="128"/>
      <c r="N1355" s="140"/>
      <c r="O1355" s="140"/>
      <c r="P1355" s="140"/>
      <c r="Q1355" s="140"/>
      <c r="R1355" s="140"/>
      <c r="S1355" s="140"/>
      <c r="T1355" s="140"/>
      <c r="U1355" s="140"/>
      <c r="V1355" s="140"/>
      <c r="W1355" s="140"/>
      <c r="X1355" s="128"/>
      <c r="Y1355" s="128"/>
      <c r="Z1355" s="140"/>
      <c r="AA1355" s="140"/>
      <c r="AB1355" s="140"/>
      <c r="AC1355" s="140"/>
      <c r="AD1355" s="140"/>
      <c r="AE1355" s="140"/>
      <c r="AF1355" s="140"/>
      <c r="AG1355" s="140"/>
      <c r="AH1355" s="140"/>
      <c r="AI1355" s="140"/>
      <c r="AJ1355" s="128"/>
      <c r="AK1355" s="140"/>
      <c r="AL1355" s="140"/>
    </row>
    <row r="1356" ht="15.0" customHeight="1">
      <c r="A1356" s="122"/>
      <c r="B1356" s="138">
        <f t="shared" si="119"/>
        <v>10000</v>
      </c>
      <c r="C1356" s="138"/>
      <c r="D1356" s="122"/>
      <c r="E1356" s="125"/>
      <c r="F1356" s="126"/>
      <c r="G1356" s="127"/>
      <c r="H1356" s="128"/>
      <c r="I1356" s="140"/>
      <c r="J1356" s="149"/>
      <c r="K1356" s="128"/>
      <c r="L1356" s="128"/>
      <c r="M1356" s="128"/>
      <c r="N1356" s="140"/>
      <c r="O1356" s="140"/>
      <c r="P1356" s="140"/>
      <c r="Q1356" s="140"/>
      <c r="R1356" s="140"/>
      <c r="S1356" s="140"/>
      <c r="T1356" s="140"/>
      <c r="U1356" s="140"/>
      <c r="V1356" s="140"/>
      <c r="W1356" s="140"/>
      <c r="X1356" s="128"/>
      <c r="Y1356" s="128"/>
      <c r="Z1356" s="140"/>
      <c r="AA1356" s="140"/>
      <c r="AB1356" s="140"/>
      <c r="AC1356" s="140"/>
      <c r="AD1356" s="140"/>
      <c r="AE1356" s="140"/>
      <c r="AF1356" s="140"/>
      <c r="AG1356" s="140"/>
      <c r="AH1356" s="140"/>
      <c r="AI1356" s="140"/>
      <c r="AJ1356" s="128"/>
      <c r="AK1356" s="140"/>
      <c r="AL1356" s="140"/>
    </row>
    <row r="1357" ht="15.0" customHeight="1">
      <c r="A1357" s="122"/>
      <c r="B1357" s="138">
        <f t="shared" si="119"/>
        <v>10000</v>
      </c>
      <c r="C1357" s="138"/>
      <c r="D1357" s="122"/>
      <c r="E1357" s="125"/>
      <c r="F1357" s="126"/>
      <c r="G1357" s="127"/>
      <c r="H1357" s="128"/>
      <c r="I1357" s="140"/>
      <c r="J1357" s="149"/>
      <c r="K1357" s="128"/>
      <c r="L1357" s="128"/>
      <c r="M1357" s="128"/>
      <c r="N1357" s="140"/>
      <c r="O1357" s="140"/>
      <c r="P1357" s="140"/>
      <c r="Q1357" s="140"/>
      <c r="R1357" s="140"/>
      <c r="S1357" s="140"/>
      <c r="T1357" s="140"/>
      <c r="U1357" s="140"/>
      <c r="V1357" s="140"/>
      <c r="W1357" s="140"/>
      <c r="X1357" s="128"/>
      <c r="Y1357" s="128"/>
      <c r="Z1357" s="140"/>
      <c r="AA1357" s="140"/>
      <c r="AB1357" s="140"/>
      <c r="AC1357" s="140"/>
      <c r="AD1357" s="140"/>
      <c r="AE1357" s="140"/>
      <c r="AF1357" s="140"/>
      <c r="AG1357" s="140"/>
      <c r="AH1357" s="140"/>
      <c r="AI1357" s="140"/>
      <c r="AJ1357" s="128"/>
      <c r="AK1357" s="140"/>
      <c r="AL1357" s="140"/>
    </row>
    <row r="1358" ht="15.0" customHeight="1">
      <c r="A1358" s="122"/>
      <c r="B1358" s="138">
        <f t="shared" si="119"/>
        <v>10000</v>
      </c>
      <c r="C1358" s="138"/>
      <c r="D1358" s="122"/>
      <c r="E1358" s="125"/>
      <c r="F1358" s="126"/>
      <c r="G1358" s="127"/>
      <c r="H1358" s="128"/>
      <c r="I1358" s="140"/>
      <c r="J1358" s="149"/>
      <c r="K1358" s="128"/>
      <c r="L1358" s="128"/>
      <c r="M1358" s="128"/>
      <c r="N1358" s="140"/>
      <c r="O1358" s="140"/>
      <c r="P1358" s="140"/>
      <c r="Q1358" s="140"/>
      <c r="R1358" s="140"/>
      <c r="S1358" s="140"/>
      <c r="T1358" s="140"/>
      <c r="U1358" s="140"/>
      <c r="V1358" s="140"/>
      <c r="W1358" s="140"/>
      <c r="X1358" s="128"/>
      <c r="Y1358" s="128"/>
      <c r="Z1358" s="140"/>
      <c r="AA1358" s="140"/>
      <c r="AB1358" s="140"/>
      <c r="AC1358" s="140"/>
      <c r="AD1358" s="140"/>
      <c r="AE1358" s="140"/>
      <c r="AF1358" s="140"/>
      <c r="AG1358" s="140"/>
      <c r="AH1358" s="140"/>
      <c r="AI1358" s="140"/>
      <c r="AJ1358" s="128"/>
      <c r="AK1358" s="140"/>
      <c r="AL1358" s="140"/>
    </row>
    <row r="1359" ht="15.0" customHeight="1">
      <c r="A1359" s="122"/>
      <c r="B1359" s="138">
        <f t="shared" si="119"/>
        <v>10000</v>
      </c>
      <c r="C1359" s="138"/>
      <c r="D1359" s="122"/>
      <c r="E1359" s="125"/>
      <c r="F1359" s="126"/>
      <c r="G1359" s="127"/>
      <c r="H1359" s="128"/>
      <c r="I1359" s="140"/>
      <c r="J1359" s="149"/>
      <c r="K1359" s="128"/>
      <c r="L1359" s="128"/>
      <c r="M1359" s="128"/>
      <c r="N1359" s="140"/>
      <c r="O1359" s="140"/>
      <c r="P1359" s="140"/>
      <c r="Q1359" s="140"/>
      <c r="R1359" s="140"/>
      <c r="S1359" s="140"/>
      <c r="T1359" s="140"/>
      <c r="U1359" s="140"/>
      <c r="V1359" s="140"/>
      <c r="W1359" s="140"/>
      <c r="X1359" s="128"/>
      <c r="Y1359" s="128"/>
      <c r="Z1359" s="140"/>
      <c r="AA1359" s="140"/>
      <c r="AB1359" s="140"/>
      <c r="AC1359" s="140"/>
      <c r="AD1359" s="140"/>
      <c r="AE1359" s="140"/>
      <c r="AF1359" s="140"/>
      <c r="AG1359" s="140"/>
      <c r="AH1359" s="140"/>
      <c r="AI1359" s="140"/>
      <c r="AJ1359" s="128"/>
      <c r="AK1359" s="140"/>
      <c r="AL1359" s="140"/>
    </row>
    <row r="1360" ht="15.0" customHeight="1">
      <c r="A1360" s="122"/>
      <c r="B1360" s="138">
        <f t="shared" si="119"/>
        <v>10000</v>
      </c>
      <c r="C1360" s="138"/>
      <c r="D1360" s="122"/>
      <c r="E1360" s="125"/>
      <c r="F1360" s="126"/>
      <c r="G1360" s="127"/>
      <c r="H1360" s="128"/>
      <c r="I1360" s="140"/>
      <c r="J1360" s="149"/>
      <c r="K1360" s="128"/>
      <c r="L1360" s="128"/>
      <c r="M1360" s="128"/>
      <c r="N1360" s="140"/>
      <c r="O1360" s="140"/>
      <c r="P1360" s="140"/>
      <c r="Q1360" s="140"/>
      <c r="R1360" s="140"/>
      <c r="S1360" s="140"/>
      <c r="T1360" s="140"/>
      <c r="U1360" s="140"/>
      <c r="V1360" s="140"/>
      <c r="W1360" s="140"/>
      <c r="X1360" s="128"/>
      <c r="Y1360" s="128"/>
      <c r="Z1360" s="140"/>
      <c r="AA1360" s="140"/>
      <c r="AB1360" s="140"/>
      <c r="AC1360" s="140"/>
      <c r="AD1360" s="140"/>
      <c r="AE1360" s="140"/>
      <c r="AF1360" s="140"/>
      <c r="AG1360" s="140"/>
      <c r="AH1360" s="140"/>
      <c r="AI1360" s="140"/>
      <c r="AJ1360" s="128"/>
      <c r="AK1360" s="140"/>
      <c r="AL1360" s="140"/>
    </row>
    <row r="1361" ht="15.0" customHeight="1">
      <c r="A1361" s="122"/>
      <c r="B1361" s="138">
        <f t="shared" si="119"/>
        <v>10000</v>
      </c>
      <c r="C1361" s="138"/>
      <c r="D1361" s="122"/>
      <c r="E1361" s="125"/>
      <c r="F1361" s="126"/>
      <c r="G1361" s="127"/>
      <c r="H1361" s="128"/>
      <c r="I1361" s="140"/>
      <c r="J1361" s="149"/>
      <c r="K1361" s="128"/>
      <c r="L1361" s="128"/>
      <c r="M1361" s="128"/>
      <c r="N1361" s="140"/>
      <c r="O1361" s="140"/>
      <c r="P1361" s="140"/>
      <c r="Q1361" s="140"/>
      <c r="R1361" s="140"/>
      <c r="S1361" s="140"/>
      <c r="T1361" s="140"/>
      <c r="U1361" s="140"/>
      <c r="V1361" s="140"/>
      <c r="W1361" s="140"/>
      <c r="X1361" s="128"/>
      <c r="Y1361" s="128"/>
      <c r="Z1361" s="140"/>
      <c r="AA1361" s="140"/>
      <c r="AB1361" s="140"/>
      <c r="AC1361" s="140"/>
      <c r="AD1361" s="140"/>
      <c r="AE1361" s="140"/>
      <c r="AF1361" s="140"/>
      <c r="AG1361" s="140"/>
      <c r="AH1361" s="140"/>
      <c r="AI1361" s="140"/>
      <c r="AJ1361" s="128"/>
      <c r="AK1361" s="140"/>
      <c r="AL1361" s="140"/>
    </row>
    <row r="1362" ht="15.0" customHeight="1">
      <c r="A1362" s="122"/>
      <c r="B1362" s="138">
        <f t="shared" si="119"/>
        <v>10000</v>
      </c>
      <c r="C1362" s="138"/>
      <c r="D1362" s="122"/>
      <c r="E1362" s="125"/>
      <c r="F1362" s="126"/>
      <c r="G1362" s="127"/>
      <c r="H1362" s="128"/>
      <c r="I1362" s="140"/>
      <c r="J1362" s="149"/>
      <c r="K1362" s="128"/>
      <c r="L1362" s="128"/>
      <c r="M1362" s="128"/>
      <c r="N1362" s="140"/>
      <c r="O1362" s="140"/>
      <c r="P1362" s="140"/>
      <c r="Q1362" s="140"/>
      <c r="R1362" s="140"/>
      <c r="S1362" s="140"/>
      <c r="T1362" s="140"/>
      <c r="U1362" s="140"/>
      <c r="V1362" s="140"/>
      <c r="W1362" s="140"/>
      <c r="X1362" s="128"/>
      <c r="Y1362" s="128"/>
      <c r="Z1362" s="140"/>
      <c r="AA1362" s="140"/>
      <c r="AB1362" s="140"/>
      <c r="AC1362" s="140"/>
      <c r="AD1362" s="140"/>
      <c r="AE1362" s="140"/>
      <c r="AF1362" s="140"/>
      <c r="AG1362" s="140"/>
      <c r="AH1362" s="140"/>
      <c r="AI1362" s="140"/>
      <c r="AJ1362" s="128"/>
      <c r="AK1362" s="140"/>
      <c r="AL1362" s="140"/>
    </row>
    <row r="1363" ht="15.0" customHeight="1">
      <c r="A1363" s="122"/>
      <c r="B1363" s="138">
        <f t="shared" si="119"/>
        <v>10000</v>
      </c>
      <c r="C1363" s="138"/>
      <c r="D1363" s="122"/>
      <c r="E1363" s="125"/>
      <c r="F1363" s="126"/>
      <c r="G1363" s="127"/>
      <c r="H1363" s="128"/>
      <c r="I1363" s="140"/>
      <c r="J1363" s="149"/>
      <c r="K1363" s="128"/>
      <c r="L1363" s="128"/>
      <c r="M1363" s="128"/>
      <c r="N1363" s="140"/>
      <c r="O1363" s="140"/>
      <c r="P1363" s="140"/>
      <c r="Q1363" s="140"/>
      <c r="R1363" s="140"/>
      <c r="S1363" s="140"/>
      <c r="T1363" s="140"/>
      <c r="U1363" s="140"/>
      <c r="V1363" s="140"/>
      <c r="W1363" s="140"/>
      <c r="X1363" s="128"/>
      <c r="Y1363" s="128"/>
      <c r="Z1363" s="140"/>
      <c r="AA1363" s="140"/>
      <c r="AB1363" s="140"/>
      <c r="AC1363" s="140"/>
      <c r="AD1363" s="140"/>
      <c r="AE1363" s="140"/>
      <c r="AF1363" s="140"/>
      <c r="AG1363" s="140"/>
      <c r="AH1363" s="140"/>
      <c r="AI1363" s="140"/>
      <c r="AJ1363" s="128"/>
      <c r="AK1363" s="140"/>
      <c r="AL1363" s="140"/>
    </row>
    <row r="1364" ht="15.0" customHeight="1">
      <c r="A1364" s="122"/>
      <c r="B1364" s="138">
        <f t="shared" si="119"/>
        <v>10000</v>
      </c>
      <c r="C1364" s="138"/>
      <c r="D1364" s="122"/>
      <c r="E1364" s="125"/>
      <c r="F1364" s="126"/>
      <c r="G1364" s="127"/>
      <c r="H1364" s="128"/>
      <c r="I1364" s="140"/>
      <c r="J1364" s="149"/>
      <c r="K1364" s="128"/>
      <c r="L1364" s="128"/>
      <c r="M1364" s="128"/>
      <c r="N1364" s="140"/>
      <c r="O1364" s="140"/>
      <c r="P1364" s="140"/>
      <c r="Q1364" s="140"/>
      <c r="R1364" s="140"/>
      <c r="S1364" s="140"/>
      <c r="T1364" s="140"/>
      <c r="U1364" s="140"/>
      <c r="V1364" s="140"/>
      <c r="W1364" s="140"/>
      <c r="X1364" s="128"/>
      <c r="Y1364" s="128"/>
      <c r="Z1364" s="140"/>
      <c r="AA1364" s="140"/>
      <c r="AB1364" s="140"/>
      <c r="AC1364" s="140"/>
      <c r="AD1364" s="140"/>
      <c r="AE1364" s="140"/>
      <c r="AF1364" s="140"/>
      <c r="AG1364" s="140"/>
      <c r="AH1364" s="140"/>
      <c r="AI1364" s="140"/>
      <c r="AJ1364" s="128"/>
      <c r="AK1364" s="140"/>
      <c r="AL1364" s="140"/>
    </row>
    <row r="1365" ht="15.0" customHeight="1">
      <c r="A1365" s="122"/>
      <c r="B1365" s="138">
        <f t="shared" si="119"/>
        <v>10000</v>
      </c>
      <c r="C1365" s="138"/>
      <c r="D1365" s="122"/>
      <c r="E1365" s="125"/>
      <c r="F1365" s="126"/>
      <c r="G1365" s="127"/>
      <c r="H1365" s="128"/>
      <c r="I1365" s="140"/>
      <c r="J1365" s="149"/>
      <c r="K1365" s="128"/>
      <c r="L1365" s="128"/>
      <c r="M1365" s="128"/>
      <c r="N1365" s="140"/>
      <c r="O1365" s="140"/>
      <c r="P1365" s="140"/>
      <c r="Q1365" s="140"/>
      <c r="R1365" s="140"/>
      <c r="S1365" s="140"/>
      <c r="T1365" s="140"/>
      <c r="U1365" s="140"/>
      <c r="V1365" s="140"/>
      <c r="W1365" s="140"/>
      <c r="X1365" s="128"/>
      <c r="Y1365" s="128"/>
      <c r="Z1365" s="140"/>
      <c r="AA1365" s="140"/>
      <c r="AB1365" s="140"/>
      <c r="AC1365" s="140"/>
      <c r="AD1365" s="140"/>
      <c r="AE1365" s="140"/>
      <c r="AF1365" s="140"/>
      <c r="AG1365" s="140"/>
      <c r="AH1365" s="140"/>
      <c r="AI1365" s="140"/>
      <c r="AJ1365" s="128"/>
      <c r="AK1365" s="140"/>
      <c r="AL1365" s="140"/>
    </row>
    <row r="1366" ht="15.0" customHeight="1">
      <c r="A1366" s="122"/>
      <c r="B1366" s="138">
        <f t="shared" si="119"/>
        <v>10000</v>
      </c>
      <c r="C1366" s="138"/>
      <c r="D1366" s="122"/>
      <c r="E1366" s="125"/>
      <c r="F1366" s="126"/>
      <c r="G1366" s="127"/>
      <c r="H1366" s="128"/>
      <c r="I1366" s="140"/>
      <c r="J1366" s="149"/>
      <c r="K1366" s="128"/>
      <c r="L1366" s="128"/>
      <c r="M1366" s="128"/>
      <c r="N1366" s="140"/>
      <c r="O1366" s="140"/>
      <c r="P1366" s="140"/>
      <c r="Q1366" s="140"/>
      <c r="R1366" s="140"/>
      <c r="S1366" s="140"/>
      <c r="T1366" s="140"/>
      <c r="U1366" s="140"/>
      <c r="V1366" s="140"/>
      <c r="W1366" s="140"/>
      <c r="X1366" s="128"/>
      <c r="Y1366" s="128"/>
      <c r="Z1366" s="140"/>
      <c r="AA1366" s="140"/>
      <c r="AB1366" s="140"/>
      <c r="AC1366" s="140"/>
      <c r="AD1366" s="140"/>
      <c r="AE1366" s="140"/>
      <c r="AF1366" s="140"/>
      <c r="AG1366" s="140"/>
      <c r="AH1366" s="140"/>
      <c r="AI1366" s="140"/>
      <c r="AJ1366" s="128"/>
      <c r="AK1366" s="140"/>
      <c r="AL1366" s="140"/>
    </row>
    <row r="1367" ht="15.0" customHeight="1">
      <c r="A1367" s="122"/>
      <c r="B1367" s="138">
        <f t="shared" si="119"/>
        <v>10000</v>
      </c>
      <c r="C1367" s="138"/>
      <c r="D1367" s="122"/>
      <c r="E1367" s="125"/>
      <c r="F1367" s="126"/>
      <c r="G1367" s="127"/>
      <c r="H1367" s="128"/>
      <c r="I1367" s="140"/>
      <c r="J1367" s="149"/>
      <c r="K1367" s="128"/>
      <c r="L1367" s="128"/>
      <c r="M1367" s="128"/>
      <c r="N1367" s="140"/>
      <c r="O1367" s="140"/>
      <c r="P1367" s="140"/>
      <c r="Q1367" s="140"/>
      <c r="R1367" s="140"/>
      <c r="S1367" s="140"/>
      <c r="T1367" s="140"/>
      <c r="U1367" s="140"/>
      <c r="V1367" s="140"/>
      <c r="W1367" s="140"/>
      <c r="X1367" s="128"/>
      <c r="Y1367" s="128"/>
      <c r="Z1367" s="140"/>
      <c r="AA1367" s="140"/>
      <c r="AB1367" s="140"/>
      <c r="AC1367" s="140"/>
      <c r="AD1367" s="140"/>
      <c r="AE1367" s="140"/>
      <c r="AF1367" s="140"/>
      <c r="AG1367" s="140"/>
      <c r="AH1367" s="140"/>
      <c r="AI1367" s="140"/>
      <c r="AJ1367" s="128"/>
      <c r="AK1367" s="140"/>
      <c r="AL1367" s="140"/>
    </row>
    <row r="1368" ht="15.0" customHeight="1">
      <c r="A1368" s="122"/>
      <c r="B1368" s="138">
        <f t="shared" si="119"/>
        <v>10000</v>
      </c>
      <c r="C1368" s="138"/>
      <c r="D1368" s="122"/>
      <c r="E1368" s="125"/>
      <c r="F1368" s="126"/>
      <c r="G1368" s="127"/>
      <c r="H1368" s="128"/>
      <c r="I1368" s="140"/>
      <c r="J1368" s="149"/>
      <c r="K1368" s="128"/>
      <c r="L1368" s="128"/>
      <c r="M1368" s="128"/>
      <c r="N1368" s="140"/>
      <c r="O1368" s="140"/>
      <c r="P1368" s="140"/>
      <c r="Q1368" s="140"/>
      <c r="R1368" s="140"/>
      <c r="S1368" s="140"/>
      <c r="T1368" s="140"/>
      <c r="U1368" s="140"/>
      <c r="V1368" s="140"/>
      <c r="W1368" s="140"/>
      <c r="X1368" s="128"/>
      <c r="Y1368" s="128"/>
      <c r="Z1368" s="140"/>
      <c r="AA1368" s="140"/>
      <c r="AB1368" s="140"/>
      <c r="AC1368" s="140"/>
      <c r="AD1368" s="140"/>
      <c r="AE1368" s="140"/>
      <c r="AF1368" s="140"/>
      <c r="AG1368" s="140"/>
      <c r="AH1368" s="140"/>
      <c r="AI1368" s="140"/>
      <c r="AJ1368" s="128"/>
      <c r="AK1368" s="140"/>
      <c r="AL1368" s="140"/>
    </row>
    <row r="1369" ht="15.0" customHeight="1">
      <c r="A1369" s="295"/>
      <c r="B1369" s="342">
        <f t="shared" si="119"/>
        <v>10000</v>
      </c>
      <c r="C1369" s="342"/>
      <c r="D1369" s="295"/>
      <c r="E1369" s="141"/>
      <c r="F1369" s="185"/>
      <c r="G1369" s="142"/>
      <c r="H1369" s="136"/>
      <c r="I1369" s="144"/>
      <c r="J1369" s="186"/>
      <c r="K1369" s="136"/>
      <c r="L1369" s="136"/>
      <c r="M1369" s="136"/>
      <c r="N1369" s="144"/>
      <c r="O1369" s="144"/>
      <c r="P1369" s="144"/>
      <c r="Q1369" s="144"/>
      <c r="R1369" s="144"/>
      <c r="S1369" s="144"/>
      <c r="T1369" s="144"/>
      <c r="U1369" s="144"/>
      <c r="V1369" s="144"/>
      <c r="W1369" s="144"/>
      <c r="X1369" s="136"/>
      <c r="Y1369" s="136"/>
      <c r="Z1369" s="144"/>
      <c r="AA1369" s="144"/>
      <c r="AB1369" s="144"/>
      <c r="AC1369" s="144"/>
      <c r="AD1369" s="144"/>
      <c r="AE1369" s="144"/>
      <c r="AF1369" s="144"/>
      <c r="AG1369" s="144"/>
      <c r="AH1369" s="144"/>
      <c r="AI1369" s="144"/>
      <c r="AJ1369" s="136"/>
      <c r="AK1369" s="144"/>
      <c r="AL1369" s="144"/>
    </row>
    <row r="1370" ht="15.0" customHeight="1">
      <c r="A1370" s="295"/>
      <c r="B1370" s="342"/>
      <c r="C1370" s="342"/>
      <c r="D1370" s="295"/>
      <c r="E1370" s="141"/>
      <c r="F1370" s="185"/>
      <c r="G1370" s="142"/>
      <c r="H1370" s="136"/>
      <c r="I1370" s="144"/>
      <c r="J1370" s="186"/>
      <c r="K1370" s="136"/>
      <c r="L1370" s="136"/>
      <c r="M1370" s="136"/>
      <c r="N1370" s="144"/>
      <c r="O1370" s="144"/>
      <c r="P1370" s="144"/>
      <c r="Q1370" s="144"/>
      <c r="R1370" s="144"/>
      <c r="S1370" s="144"/>
      <c r="T1370" s="144"/>
      <c r="U1370" s="144"/>
      <c r="V1370" s="144"/>
      <c r="W1370" s="144"/>
      <c r="X1370" s="136"/>
      <c r="Y1370" s="136"/>
      <c r="Z1370" s="144"/>
      <c r="AA1370" s="144"/>
      <c r="AB1370" s="144"/>
      <c r="AC1370" s="144"/>
      <c r="AD1370" s="144"/>
      <c r="AE1370" s="144"/>
      <c r="AF1370" s="144"/>
      <c r="AG1370" s="144"/>
      <c r="AH1370" s="144"/>
      <c r="AI1370" s="144"/>
      <c r="AJ1370" s="136"/>
      <c r="AK1370" s="144"/>
      <c r="AL1370" s="144"/>
    </row>
    <row r="1371" ht="15.0" customHeight="1">
      <c r="A1371" s="295"/>
      <c r="B1371" s="342"/>
      <c r="C1371" s="342"/>
      <c r="D1371" s="295"/>
      <c r="E1371" s="141"/>
      <c r="F1371" s="185"/>
      <c r="G1371" s="142"/>
      <c r="H1371" s="136"/>
      <c r="I1371" s="144"/>
      <c r="J1371" s="186"/>
      <c r="K1371" s="136"/>
      <c r="L1371" s="136"/>
      <c r="M1371" s="136"/>
      <c r="N1371" s="144"/>
      <c r="O1371" s="144"/>
      <c r="P1371" s="144"/>
      <c r="Q1371" s="144"/>
      <c r="R1371" s="144"/>
      <c r="S1371" s="144"/>
      <c r="T1371" s="144"/>
      <c r="U1371" s="144"/>
      <c r="V1371" s="144"/>
      <c r="W1371" s="144"/>
      <c r="X1371" s="136"/>
      <c r="Y1371" s="136"/>
      <c r="Z1371" s="144"/>
      <c r="AA1371" s="144"/>
      <c r="AB1371" s="144"/>
      <c r="AC1371" s="144"/>
      <c r="AD1371" s="144"/>
      <c r="AE1371" s="144"/>
      <c r="AF1371" s="144"/>
      <c r="AG1371" s="144"/>
      <c r="AH1371" s="144"/>
      <c r="AI1371" s="144"/>
      <c r="AJ1371" s="136"/>
      <c r="AK1371" s="144"/>
      <c r="AL1371" s="144"/>
    </row>
    <row r="1372" ht="15.0" customHeight="1">
      <c r="A1372" s="416"/>
      <c r="B1372" s="417"/>
      <c r="C1372" s="417"/>
      <c r="D1372" s="416"/>
      <c r="E1372" s="418"/>
      <c r="F1372" s="419"/>
      <c r="G1372" s="420"/>
      <c r="H1372" s="421"/>
      <c r="I1372" s="422"/>
      <c r="J1372" s="423"/>
      <c r="K1372" s="421"/>
      <c r="L1372" s="421"/>
      <c r="M1372" s="421"/>
      <c r="N1372" s="422"/>
      <c r="O1372" s="422"/>
      <c r="P1372" s="422"/>
      <c r="Q1372" s="422"/>
      <c r="R1372" s="422"/>
      <c r="S1372" s="422"/>
      <c r="T1372" s="422"/>
      <c r="U1372" s="422"/>
      <c r="V1372" s="422"/>
      <c r="W1372" s="422"/>
      <c r="X1372" s="421"/>
      <c r="Y1372" s="421"/>
      <c r="Z1372" s="421"/>
      <c r="AA1372" s="422"/>
      <c r="AB1372" s="422"/>
      <c r="AC1372" s="422"/>
      <c r="AD1372" s="422"/>
      <c r="AE1372" s="422"/>
      <c r="AF1372" s="422"/>
      <c r="AG1372" s="422"/>
      <c r="AH1372" s="422"/>
      <c r="AI1372" s="422"/>
      <c r="AJ1372" s="424"/>
    </row>
    <row r="1373" ht="15.0" customHeight="1">
      <c r="A1373" s="416"/>
      <c r="B1373" s="417"/>
      <c r="C1373" s="417"/>
      <c r="D1373" s="416"/>
      <c r="E1373" s="418"/>
      <c r="F1373" s="419"/>
      <c r="G1373" s="420"/>
      <c r="H1373" s="421"/>
      <c r="I1373" s="422"/>
      <c r="J1373" s="423"/>
      <c r="K1373" s="421"/>
      <c r="L1373" s="421"/>
      <c r="M1373" s="421"/>
      <c r="N1373" s="422"/>
      <c r="O1373" s="422"/>
      <c r="P1373" s="422"/>
      <c r="Q1373" s="422"/>
      <c r="R1373" s="422"/>
      <c r="S1373" s="422"/>
      <c r="T1373" s="422"/>
      <c r="U1373" s="422"/>
      <c r="V1373" s="422"/>
      <c r="W1373" s="422"/>
      <c r="X1373" s="421"/>
      <c r="Y1373" s="421"/>
      <c r="Z1373" s="421"/>
      <c r="AA1373" s="422"/>
      <c r="AB1373" s="422"/>
      <c r="AC1373" s="422"/>
      <c r="AD1373" s="422"/>
      <c r="AE1373" s="422"/>
      <c r="AF1373" s="422"/>
      <c r="AG1373" s="422"/>
      <c r="AH1373" s="422"/>
      <c r="AI1373" s="422"/>
      <c r="AJ1373" s="424"/>
    </row>
    <row r="1374" ht="15.0" customHeight="1">
      <c r="A1374" s="416"/>
      <c r="B1374" s="417"/>
      <c r="C1374" s="417"/>
      <c r="D1374" s="416"/>
      <c r="E1374" s="418"/>
      <c r="F1374" s="419"/>
      <c r="G1374" s="420"/>
      <c r="H1374" s="421"/>
      <c r="I1374" s="422"/>
      <c r="J1374" s="423"/>
      <c r="K1374" s="421"/>
      <c r="L1374" s="421"/>
      <c r="M1374" s="421"/>
      <c r="N1374" s="422"/>
      <c r="O1374" s="422"/>
      <c r="P1374" s="422"/>
      <c r="Q1374" s="422"/>
      <c r="R1374" s="422"/>
      <c r="S1374" s="422"/>
      <c r="T1374" s="422"/>
      <c r="U1374" s="422"/>
      <c r="V1374" s="422"/>
      <c r="W1374" s="422"/>
      <c r="X1374" s="421"/>
      <c r="Y1374" s="421"/>
      <c r="Z1374" s="421"/>
      <c r="AA1374" s="422"/>
      <c r="AB1374" s="422"/>
      <c r="AC1374" s="422"/>
      <c r="AD1374" s="422"/>
      <c r="AE1374" s="422"/>
      <c r="AF1374" s="422"/>
      <c r="AG1374" s="422"/>
      <c r="AH1374" s="422"/>
      <c r="AI1374" s="422"/>
      <c r="AJ1374" s="424"/>
    </row>
    <row r="1375" ht="15.0" customHeight="1">
      <c r="A1375" s="416"/>
      <c r="B1375" s="417"/>
      <c r="C1375" s="417"/>
      <c r="D1375" s="416"/>
      <c r="E1375" s="418"/>
      <c r="F1375" s="419"/>
      <c r="G1375" s="420"/>
      <c r="H1375" s="421"/>
      <c r="I1375" s="422"/>
      <c r="J1375" s="423"/>
      <c r="K1375" s="421"/>
      <c r="L1375" s="421"/>
      <c r="M1375" s="421"/>
      <c r="N1375" s="422"/>
      <c r="O1375" s="422"/>
      <c r="P1375" s="422"/>
      <c r="Q1375" s="422"/>
      <c r="R1375" s="422"/>
      <c r="S1375" s="422"/>
      <c r="T1375" s="422"/>
      <c r="U1375" s="422"/>
      <c r="V1375" s="422"/>
      <c r="W1375" s="422"/>
      <c r="X1375" s="421"/>
      <c r="Y1375" s="421"/>
      <c r="Z1375" s="421"/>
      <c r="AA1375" s="422"/>
      <c r="AB1375" s="422"/>
      <c r="AC1375" s="422"/>
      <c r="AD1375" s="422"/>
      <c r="AE1375" s="422"/>
      <c r="AF1375" s="422"/>
      <c r="AG1375" s="422"/>
      <c r="AH1375" s="422"/>
      <c r="AI1375" s="422"/>
      <c r="AJ1375" s="424"/>
    </row>
    <row r="1376" ht="15.0" customHeight="1">
      <c r="A1376" s="416"/>
      <c r="B1376" s="417"/>
      <c r="C1376" s="417"/>
      <c r="D1376" s="416"/>
      <c r="E1376" s="418"/>
      <c r="F1376" s="419"/>
      <c r="G1376" s="420"/>
      <c r="H1376" s="421"/>
      <c r="I1376" s="422"/>
      <c r="J1376" s="423"/>
      <c r="K1376" s="421"/>
      <c r="L1376" s="421"/>
      <c r="M1376" s="421"/>
      <c r="N1376" s="422"/>
      <c r="O1376" s="422"/>
      <c r="P1376" s="422"/>
      <c r="Q1376" s="422"/>
      <c r="R1376" s="422"/>
      <c r="S1376" s="422"/>
      <c r="T1376" s="422"/>
      <c r="U1376" s="422"/>
      <c r="V1376" s="422"/>
      <c r="W1376" s="422"/>
      <c r="X1376" s="421"/>
      <c r="Y1376" s="421"/>
      <c r="Z1376" s="421"/>
      <c r="AA1376" s="422"/>
      <c r="AB1376" s="422"/>
      <c r="AC1376" s="422"/>
      <c r="AD1376" s="422"/>
      <c r="AE1376" s="422"/>
      <c r="AF1376" s="422"/>
      <c r="AG1376" s="422"/>
      <c r="AH1376" s="422"/>
      <c r="AI1376" s="422"/>
      <c r="AJ1376" s="424"/>
    </row>
    <row r="1377" ht="15.0" customHeight="1">
      <c r="A1377" s="416"/>
      <c r="B1377" s="417"/>
      <c r="C1377" s="417"/>
      <c r="D1377" s="416"/>
      <c r="E1377" s="418"/>
      <c r="F1377" s="419"/>
      <c r="G1377" s="420"/>
      <c r="H1377" s="421"/>
      <c r="I1377" s="422"/>
      <c r="J1377" s="423"/>
      <c r="K1377" s="421"/>
      <c r="L1377" s="421"/>
      <c r="M1377" s="421"/>
      <c r="N1377" s="422"/>
      <c r="O1377" s="422"/>
      <c r="P1377" s="422"/>
      <c r="Q1377" s="422"/>
      <c r="R1377" s="422"/>
      <c r="S1377" s="422"/>
      <c r="T1377" s="422"/>
      <c r="U1377" s="422"/>
      <c r="V1377" s="422"/>
      <c r="W1377" s="422"/>
      <c r="X1377" s="421"/>
      <c r="Y1377" s="421"/>
      <c r="Z1377" s="421"/>
      <c r="AA1377" s="422"/>
      <c r="AB1377" s="422"/>
      <c r="AC1377" s="422"/>
      <c r="AD1377" s="422"/>
      <c r="AE1377" s="422"/>
      <c r="AF1377" s="422"/>
      <c r="AG1377" s="422"/>
      <c r="AH1377" s="422"/>
      <c r="AI1377" s="422"/>
      <c r="AJ1377" s="424"/>
    </row>
    <row r="1378" ht="15.0" customHeight="1">
      <c r="A1378" s="416"/>
      <c r="B1378" s="417"/>
      <c r="C1378" s="417"/>
      <c r="D1378" s="416"/>
      <c r="E1378" s="418"/>
      <c r="F1378" s="419"/>
      <c r="G1378" s="420"/>
      <c r="H1378" s="421"/>
      <c r="I1378" s="422"/>
      <c r="J1378" s="423"/>
      <c r="K1378" s="421"/>
      <c r="L1378" s="421"/>
      <c r="M1378" s="421"/>
      <c r="N1378" s="422"/>
      <c r="O1378" s="422"/>
      <c r="P1378" s="422"/>
      <c r="Q1378" s="422"/>
      <c r="R1378" s="422"/>
      <c r="S1378" s="422"/>
      <c r="T1378" s="422"/>
      <c r="U1378" s="422"/>
      <c r="V1378" s="422"/>
      <c r="W1378" s="422"/>
      <c r="X1378" s="421"/>
      <c r="Y1378" s="421"/>
      <c r="Z1378" s="421"/>
      <c r="AA1378" s="422"/>
      <c r="AB1378" s="422"/>
      <c r="AC1378" s="422"/>
      <c r="AD1378" s="422"/>
      <c r="AE1378" s="422"/>
      <c r="AF1378" s="422"/>
      <c r="AG1378" s="422"/>
      <c r="AH1378" s="422"/>
      <c r="AI1378" s="422"/>
      <c r="AJ1378" s="424"/>
    </row>
    <row r="1379" ht="15.0" customHeight="1">
      <c r="A1379" s="416"/>
      <c r="B1379" s="417"/>
      <c r="C1379" s="417"/>
      <c r="D1379" s="416"/>
      <c r="E1379" s="418"/>
      <c r="F1379" s="419"/>
      <c r="G1379" s="420"/>
      <c r="H1379" s="421"/>
      <c r="I1379" s="422"/>
      <c r="J1379" s="423"/>
      <c r="K1379" s="421"/>
      <c r="L1379" s="421"/>
      <c r="M1379" s="421"/>
      <c r="N1379" s="422"/>
      <c r="O1379" s="422"/>
      <c r="P1379" s="422"/>
      <c r="Q1379" s="422"/>
      <c r="R1379" s="422"/>
      <c r="S1379" s="422"/>
      <c r="T1379" s="422"/>
      <c r="U1379" s="422"/>
      <c r="V1379" s="422"/>
      <c r="W1379" s="422"/>
      <c r="X1379" s="421"/>
      <c r="Y1379" s="421"/>
      <c r="Z1379" s="421"/>
      <c r="AA1379" s="422"/>
      <c r="AB1379" s="422"/>
      <c r="AC1379" s="422"/>
      <c r="AD1379" s="422"/>
      <c r="AE1379" s="422"/>
      <c r="AF1379" s="422"/>
      <c r="AG1379" s="422"/>
      <c r="AH1379" s="422"/>
      <c r="AI1379" s="422"/>
      <c r="AJ1379" s="424"/>
    </row>
    <row r="1380" ht="15.0" customHeight="1">
      <c r="A1380" s="416"/>
      <c r="B1380" s="417"/>
      <c r="C1380" s="417"/>
      <c r="D1380" s="418"/>
      <c r="E1380" s="419"/>
      <c r="F1380" s="420"/>
      <c r="G1380" s="421"/>
      <c r="H1380" s="422"/>
      <c r="I1380" s="423"/>
      <c r="J1380" s="421"/>
      <c r="K1380" s="421"/>
      <c r="L1380" s="421"/>
      <c r="M1380" s="422"/>
      <c r="N1380" s="422"/>
      <c r="O1380" s="422"/>
      <c r="P1380" s="422"/>
      <c r="Q1380" s="422"/>
      <c r="R1380" s="422"/>
      <c r="S1380" s="422"/>
      <c r="T1380" s="422"/>
      <c r="U1380" s="422"/>
      <c r="V1380" s="422"/>
      <c r="W1380" s="421"/>
      <c r="X1380" s="421"/>
      <c r="Y1380" s="421"/>
      <c r="Z1380" s="422"/>
      <c r="AA1380" s="422"/>
      <c r="AB1380" s="422"/>
      <c r="AC1380" s="422"/>
      <c r="AD1380" s="422"/>
      <c r="AE1380" s="422"/>
      <c r="AF1380" s="422"/>
      <c r="AG1380" s="422"/>
      <c r="AH1380" s="422"/>
      <c r="AI1380" s="424"/>
    </row>
    <row r="1381" ht="15.0" customHeight="1">
      <c r="A1381" s="416"/>
      <c r="B1381" s="417"/>
      <c r="C1381" s="417"/>
      <c r="D1381" s="416"/>
      <c r="E1381" s="418"/>
      <c r="F1381" s="419"/>
      <c r="G1381" s="420"/>
      <c r="H1381" s="421"/>
      <c r="I1381" s="422"/>
      <c r="J1381" s="423"/>
      <c r="K1381" s="421"/>
      <c r="L1381" s="421"/>
      <c r="M1381" s="421"/>
      <c r="N1381" s="422"/>
      <c r="O1381" s="422"/>
      <c r="P1381" s="422"/>
      <c r="Q1381" s="422"/>
      <c r="R1381" s="422"/>
      <c r="S1381" s="422"/>
      <c r="T1381" s="422"/>
      <c r="U1381" s="422"/>
      <c r="V1381" s="422"/>
      <c r="W1381" s="422"/>
      <c r="X1381" s="421"/>
      <c r="Y1381" s="421"/>
      <c r="Z1381" s="421"/>
      <c r="AA1381" s="422"/>
      <c r="AB1381" s="422"/>
      <c r="AC1381" s="422"/>
      <c r="AD1381" s="422"/>
      <c r="AE1381" s="422"/>
      <c r="AF1381" s="422"/>
      <c r="AG1381" s="422"/>
      <c r="AH1381" s="422"/>
      <c r="AI1381" s="422"/>
      <c r="AJ1381" s="424"/>
    </row>
    <row r="1382" ht="15.0" customHeight="1">
      <c r="A1382" s="416"/>
      <c r="B1382" s="417"/>
      <c r="C1382" s="417"/>
      <c r="D1382" s="416"/>
      <c r="E1382" s="418"/>
      <c r="F1382" s="419"/>
      <c r="G1382" s="420"/>
      <c r="H1382" s="421"/>
      <c r="I1382" s="422"/>
      <c r="J1382" s="423"/>
      <c r="K1382" s="421"/>
      <c r="L1382" s="421"/>
      <c r="M1382" s="421"/>
      <c r="N1382" s="422"/>
      <c r="O1382" s="422"/>
      <c r="P1382" s="422"/>
      <c r="Q1382" s="422"/>
      <c r="R1382" s="422"/>
      <c r="S1382" s="422"/>
      <c r="T1382" s="422"/>
      <c r="U1382" s="422"/>
      <c r="V1382" s="422"/>
      <c r="W1382" s="422"/>
      <c r="X1382" s="421"/>
      <c r="Y1382" s="421"/>
      <c r="Z1382" s="421"/>
      <c r="AA1382" s="422"/>
      <c r="AB1382" s="422"/>
      <c r="AC1382" s="422"/>
      <c r="AD1382" s="422"/>
      <c r="AE1382" s="422"/>
      <c r="AF1382" s="422"/>
      <c r="AG1382" s="422"/>
      <c r="AH1382" s="422"/>
      <c r="AI1382" s="422"/>
      <c r="AJ1382" s="424"/>
    </row>
    <row r="1383" ht="15.0" customHeight="1">
      <c r="A1383" s="416"/>
      <c r="B1383" s="417"/>
      <c r="C1383" s="417"/>
      <c r="D1383" s="416"/>
      <c r="E1383" s="418"/>
      <c r="F1383" s="419"/>
      <c r="G1383" s="420"/>
      <c r="H1383" s="421"/>
      <c r="I1383" s="422"/>
      <c r="J1383" s="423"/>
      <c r="K1383" s="421"/>
      <c r="L1383" s="421"/>
      <c r="M1383" s="421"/>
      <c r="N1383" s="422"/>
      <c r="O1383" s="422"/>
      <c r="P1383" s="422"/>
      <c r="Q1383" s="422"/>
      <c r="R1383" s="422"/>
      <c r="S1383" s="422"/>
      <c r="T1383" s="422"/>
      <c r="U1383" s="422"/>
      <c r="V1383" s="422"/>
      <c r="W1383" s="422"/>
      <c r="X1383" s="421"/>
      <c r="Y1383" s="421"/>
      <c r="Z1383" s="421"/>
      <c r="AA1383" s="422"/>
      <c r="AB1383" s="422"/>
      <c r="AC1383" s="422"/>
      <c r="AD1383" s="422"/>
      <c r="AE1383" s="422"/>
      <c r="AF1383" s="422"/>
      <c r="AG1383" s="422"/>
      <c r="AH1383" s="422"/>
      <c r="AI1383" s="422"/>
      <c r="AJ1383" s="424"/>
    </row>
    <row r="1384" ht="15.0" customHeight="1">
      <c r="A1384" s="416"/>
      <c r="B1384" s="417"/>
      <c r="C1384" s="417"/>
      <c r="D1384" s="416"/>
      <c r="E1384" s="418"/>
      <c r="F1384" s="419"/>
      <c r="G1384" s="420"/>
      <c r="H1384" s="421"/>
      <c r="I1384" s="422"/>
      <c r="J1384" s="423"/>
      <c r="K1384" s="421"/>
      <c r="L1384" s="421"/>
      <c r="M1384" s="421"/>
      <c r="N1384" s="422"/>
      <c r="O1384" s="422"/>
      <c r="P1384" s="422"/>
      <c r="Q1384" s="422"/>
      <c r="R1384" s="422"/>
      <c r="S1384" s="422"/>
      <c r="T1384" s="422"/>
      <c r="U1384" s="422"/>
      <c r="V1384" s="422"/>
      <c r="W1384" s="422"/>
      <c r="X1384" s="421"/>
      <c r="Y1384" s="421"/>
      <c r="Z1384" s="421"/>
      <c r="AA1384" s="422"/>
      <c r="AB1384" s="422"/>
      <c r="AC1384" s="422"/>
      <c r="AD1384" s="422"/>
      <c r="AE1384" s="422"/>
      <c r="AF1384" s="422"/>
      <c r="AG1384" s="422"/>
      <c r="AH1384" s="422"/>
      <c r="AI1384" s="422"/>
      <c r="AJ1384" s="424"/>
    </row>
    <row r="1385" ht="15.0" customHeight="1">
      <c r="A1385" s="416"/>
      <c r="B1385" s="417"/>
      <c r="C1385" s="417"/>
      <c r="D1385" s="416"/>
      <c r="E1385" s="418"/>
      <c r="F1385" s="419"/>
      <c r="G1385" s="420"/>
      <c r="H1385" s="421"/>
      <c r="I1385" s="422"/>
      <c r="J1385" s="423"/>
      <c r="K1385" s="421"/>
      <c r="L1385" s="421"/>
      <c r="M1385" s="421"/>
      <c r="N1385" s="422"/>
      <c r="O1385" s="422"/>
      <c r="P1385" s="422"/>
      <c r="Q1385" s="422"/>
      <c r="R1385" s="422"/>
      <c r="S1385" s="422"/>
      <c r="T1385" s="422"/>
      <c r="U1385" s="422"/>
      <c r="V1385" s="422"/>
      <c r="W1385" s="422"/>
      <c r="X1385" s="421"/>
      <c r="Y1385" s="421"/>
      <c r="Z1385" s="421"/>
      <c r="AA1385" s="422"/>
      <c r="AB1385" s="422"/>
      <c r="AC1385" s="422"/>
      <c r="AD1385" s="422"/>
      <c r="AE1385" s="422"/>
      <c r="AF1385" s="422"/>
      <c r="AG1385" s="422"/>
      <c r="AH1385" s="422"/>
      <c r="AI1385" s="422"/>
      <c r="AJ1385" s="424"/>
    </row>
    <row r="1386" ht="15.0" customHeight="1">
      <c r="A1386" s="416"/>
      <c r="B1386" s="417"/>
      <c r="C1386" s="417"/>
      <c r="D1386" s="416"/>
      <c r="E1386" s="418"/>
      <c r="F1386" s="419"/>
      <c r="G1386" s="420"/>
      <c r="H1386" s="421"/>
      <c r="I1386" s="422"/>
      <c r="J1386" s="423"/>
      <c r="K1386" s="421"/>
      <c r="L1386" s="421"/>
      <c r="M1386" s="421"/>
      <c r="N1386" s="422"/>
      <c r="O1386" s="422"/>
      <c r="P1386" s="422"/>
      <c r="Q1386" s="422"/>
      <c r="R1386" s="422"/>
      <c r="S1386" s="422"/>
      <c r="T1386" s="422"/>
      <c r="U1386" s="422"/>
      <c r="V1386" s="422"/>
      <c r="W1386" s="422"/>
      <c r="X1386" s="421"/>
      <c r="Y1386" s="421"/>
      <c r="Z1386" s="421"/>
      <c r="AA1386" s="422"/>
      <c r="AB1386" s="422"/>
      <c r="AC1386" s="422"/>
      <c r="AD1386" s="422"/>
      <c r="AE1386" s="422"/>
      <c r="AF1386" s="422"/>
      <c r="AG1386" s="422"/>
      <c r="AH1386" s="422"/>
      <c r="AI1386" s="422"/>
      <c r="AJ1386" s="424"/>
    </row>
    <row r="1387" ht="15.0" customHeight="1">
      <c r="A1387" s="416"/>
      <c r="B1387" s="417"/>
      <c r="C1387" s="417"/>
      <c r="D1387" s="416"/>
      <c r="E1387" s="418"/>
      <c r="F1387" s="419"/>
      <c r="G1387" s="420"/>
      <c r="H1387" s="421"/>
      <c r="I1387" s="422"/>
      <c r="J1387" s="423"/>
      <c r="K1387" s="421"/>
      <c r="L1387" s="421"/>
      <c r="M1387" s="421"/>
      <c r="N1387" s="422"/>
      <c r="O1387" s="422"/>
      <c r="P1387" s="422"/>
      <c r="Q1387" s="422"/>
      <c r="R1387" s="422"/>
      <c r="S1387" s="422"/>
      <c r="T1387" s="422"/>
      <c r="U1387" s="422"/>
      <c r="V1387" s="422"/>
      <c r="W1387" s="422"/>
      <c r="X1387" s="421"/>
      <c r="Y1387" s="421"/>
      <c r="Z1387" s="421"/>
      <c r="AA1387" s="422"/>
      <c r="AB1387" s="422"/>
      <c r="AC1387" s="422"/>
      <c r="AD1387" s="422"/>
      <c r="AE1387" s="422"/>
      <c r="AF1387" s="422"/>
      <c r="AG1387" s="422"/>
      <c r="AH1387" s="422"/>
      <c r="AI1387" s="422"/>
      <c r="AJ1387" s="424"/>
    </row>
    <row r="1388" ht="15.0" customHeight="1">
      <c r="A1388" s="416"/>
      <c r="B1388" s="417"/>
      <c r="C1388" s="417"/>
      <c r="D1388" s="416"/>
      <c r="E1388" s="418"/>
      <c r="F1388" s="419"/>
      <c r="G1388" s="420"/>
      <c r="H1388" s="421"/>
      <c r="I1388" s="422"/>
      <c r="J1388" s="423"/>
      <c r="K1388" s="421"/>
      <c r="L1388" s="421"/>
      <c r="M1388" s="421"/>
      <c r="N1388" s="422"/>
      <c r="O1388" s="422"/>
      <c r="P1388" s="422"/>
      <c r="Q1388" s="422"/>
      <c r="R1388" s="422"/>
      <c r="S1388" s="422"/>
      <c r="T1388" s="422"/>
      <c r="U1388" s="422"/>
      <c r="V1388" s="422"/>
      <c r="W1388" s="422"/>
      <c r="X1388" s="421"/>
      <c r="Y1388" s="421"/>
      <c r="Z1388" s="421"/>
      <c r="AA1388" s="422"/>
      <c r="AB1388" s="422"/>
      <c r="AC1388" s="422"/>
      <c r="AD1388" s="422"/>
      <c r="AE1388" s="422"/>
      <c r="AF1388" s="422"/>
      <c r="AG1388" s="422"/>
      <c r="AH1388" s="422"/>
      <c r="AI1388" s="422"/>
      <c r="AJ1388" s="424"/>
    </row>
    <row r="1389" ht="15.0" customHeight="1">
      <c r="A1389" s="416"/>
      <c r="B1389" s="417"/>
      <c r="C1389" s="417"/>
      <c r="D1389" s="416"/>
      <c r="E1389" s="418"/>
      <c r="F1389" s="419"/>
      <c r="G1389" s="420"/>
      <c r="H1389" s="421"/>
      <c r="I1389" s="422"/>
      <c r="J1389" s="423"/>
      <c r="K1389" s="421"/>
      <c r="L1389" s="421"/>
      <c r="M1389" s="421"/>
      <c r="N1389" s="422"/>
      <c r="O1389" s="422"/>
      <c r="P1389" s="422"/>
      <c r="Q1389" s="422"/>
      <c r="R1389" s="422"/>
      <c r="S1389" s="422"/>
      <c r="T1389" s="422"/>
      <c r="U1389" s="422"/>
      <c r="V1389" s="422"/>
      <c r="W1389" s="422"/>
      <c r="X1389" s="421"/>
      <c r="Y1389" s="421"/>
      <c r="Z1389" s="421"/>
      <c r="AA1389" s="422"/>
      <c r="AB1389" s="422"/>
      <c r="AC1389" s="422"/>
      <c r="AD1389" s="422"/>
      <c r="AE1389" s="422"/>
      <c r="AF1389" s="422"/>
      <c r="AG1389" s="422"/>
      <c r="AH1389" s="422"/>
      <c r="AI1389" s="422"/>
      <c r="AJ1389" s="424"/>
    </row>
    <row r="1390" ht="15.0" customHeight="1">
      <c r="A1390" s="416"/>
      <c r="B1390" s="417"/>
      <c r="C1390" s="417"/>
      <c r="D1390" s="416"/>
      <c r="E1390" s="418"/>
      <c r="F1390" s="419"/>
      <c r="G1390" s="420"/>
      <c r="H1390" s="421"/>
      <c r="I1390" s="422"/>
      <c r="J1390" s="423"/>
      <c r="K1390" s="421"/>
      <c r="L1390" s="421"/>
      <c r="M1390" s="421"/>
      <c r="N1390" s="422"/>
      <c r="O1390" s="422"/>
      <c r="P1390" s="422"/>
      <c r="Q1390" s="422"/>
      <c r="R1390" s="422"/>
      <c r="S1390" s="422"/>
      <c r="T1390" s="422"/>
      <c r="U1390" s="422"/>
      <c r="V1390" s="422"/>
      <c r="W1390" s="422"/>
      <c r="X1390" s="421"/>
      <c r="Y1390" s="421"/>
      <c r="Z1390" s="421"/>
      <c r="AA1390" s="422"/>
      <c r="AB1390" s="422"/>
      <c r="AC1390" s="422"/>
      <c r="AD1390" s="422"/>
      <c r="AE1390" s="422"/>
      <c r="AF1390" s="422"/>
      <c r="AG1390" s="422"/>
      <c r="AH1390" s="422"/>
      <c r="AI1390" s="422"/>
      <c r="AJ1390" s="424"/>
    </row>
    <row r="1391" ht="15.0" customHeight="1">
      <c r="A1391" s="416"/>
      <c r="B1391" s="417"/>
      <c r="C1391" s="417"/>
      <c r="D1391" s="416"/>
      <c r="E1391" s="418"/>
      <c r="F1391" s="419"/>
      <c r="G1391" s="420"/>
      <c r="H1391" s="421"/>
      <c r="I1391" s="422"/>
      <c r="J1391" s="423"/>
      <c r="K1391" s="421"/>
      <c r="L1391" s="421"/>
      <c r="M1391" s="421"/>
      <c r="N1391" s="422"/>
      <c r="O1391" s="422"/>
      <c r="P1391" s="422"/>
      <c r="Q1391" s="422"/>
      <c r="R1391" s="422"/>
      <c r="S1391" s="422"/>
      <c r="T1391" s="422"/>
      <c r="U1391" s="422"/>
      <c r="V1391" s="422"/>
      <c r="W1391" s="422"/>
      <c r="X1391" s="421"/>
      <c r="Y1391" s="421"/>
      <c r="Z1391" s="421"/>
      <c r="AA1391" s="422"/>
      <c r="AB1391" s="422"/>
      <c r="AC1391" s="422"/>
      <c r="AD1391" s="422"/>
      <c r="AE1391" s="422"/>
      <c r="AF1391" s="422"/>
      <c r="AG1391" s="422"/>
      <c r="AH1391" s="422"/>
      <c r="AI1391" s="422"/>
      <c r="AJ1391" s="424"/>
    </row>
    <row r="1392" ht="15.0" customHeight="1">
      <c r="A1392" s="416"/>
      <c r="B1392" s="417"/>
      <c r="C1392" s="417"/>
      <c r="D1392" s="416"/>
      <c r="E1392" s="418"/>
      <c r="F1392" s="419"/>
      <c r="G1392" s="420"/>
      <c r="H1392" s="421"/>
      <c r="I1392" s="422"/>
      <c r="J1392" s="423"/>
      <c r="K1392" s="421"/>
      <c r="L1392" s="421"/>
      <c r="M1392" s="421"/>
      <c r="N1392" s="422"/>
      <c r="O1392" s="422"/>
      <c r="P1392" s="422"/>
      <c r="Q1392" s="422"/>
      <c r="R1392" s="422"/>
      <c r="S1392" s="422"/>
      <c r="T1392" s="422"/>
      <c r="U1392" s="422"/>
      <c r="V1392" s="422"/>
      <c r="W1392" s="422"/>
      <c r="X1392" s="421"/>
      <c r="Y1392" s="421"/>
      <c r="Z1392" s="421"/>
      <c r="AA1392" s="422"/>
      <c r="AB1392" s="422"/>
      <c r="AC1392" s="422"/>
      <c r="AD1392" s="422"/>
      <c r="AE1392" s="422"/>
      <c r="AF1392" s="422"/>
      <c r="AG1392" s="422"/>
      <c r="AH1392" s="422"/>
      <c r="AI1392" s="422"/>
      <c r="AJ1392" s="424"/>
    </row>
    <row r="1393" ht="15.0" customHeight="1">
      <c r="A1393" s="416"/>
      <c r="B1393" s="417"/>
      <c r="C1393" s="417"/>
      <c r="D1393" s="416"/>
      <c r="E1393" s="418"/>
      <c r="F1393" s="419"/>
      <c r="G1393" s="420"/>
      <c r="H1393" s="421"/>
      <c r="I1393" s="422"/>
      <c r="J1393" s="423"/>
      <c r="K1393" s="421"/>
      <c r="L1393" s="421"/>
      <c r="M1393" s="421"/>
      <c r="N1393" s="422"/>
      <c r="O1393" s="422"/>
      <c r="P1393" s="422"/>
      <c r="Q1393" s="422"/>
      <c r="R1393" s="422"/>
      <c r="S1393" s="422"/>
      <c r="T1393" s="422"/>
      <c r="U1393" s="422"/>
      <c r="V1393" s="422"/>
      <c r="W1393" s="422"/>
      <c r="X1393" s="421"/>
      <c r="Y1393" s="421"/>
      <c r="Z1393" s="421"/>
      <c r="AA1393" s="422"/>
      <c r="AB1393" s="422"/>
      <c r="AC1393" s="422"/>
      <c r="AD1393" s="422"/>
      <c r="AE1393" s="422"/>
      <c r="AF1393" s="422"/>
      <c r="AG1393" s="422"/>
      <c r="AH1393" s="422"/>
      <c r="AI1393" s="422"/>
      <c r="AJ1393" s="424"/>
    </row>
    <row r="1394" ht="15.0" customHeight="1">
      <c r="A1394" s="416"/>
      <c r="B1394" s="417"/>
      <c r="C1394" s="417"/>
      <c r="D1394" s="416"/>
      <c r="E1394" s="418"/>
      <c r="F1394" s="419"/>
      <c r="G1394" s="420"/>
      <c r="H1394" s="421"/>
      <c r="I1394" s="422"/>
      <c r="J1394" s="423"/>
      <c r="K1394" s="421"/>
      <c r="L1394" s="421"/>
      <c r="M1394" s="421"/>
      <c r="N1394" s="422"/>
      <c r="O1394" s="422"/>
      <c r="P1394" s="422"/>
      <c r="Q1394" s="422"/>
      <c r="R1394" s="422"/>
      <c r="S1394" s="422"/>
      <c r="T1394" s="422"/>
      <c r="U1394" s="422"/>
      <c r="V1394" s="422"/>
      <c r="W1394" s="422"/>
      <c r="X1394" s="421"/>
      <c r="Y1394" s="421"/>
      <c r="Z1394" s="421"/>
      <c r="AA1394" s="422"/>
      <c r="AB1394" s="422"/>
      <c r="AC1394" s="422"/>
      <c r="AD1394" s="422"/>
      <c r="AE1394" s="422"/>
      <c r="AF1394" s="422"/>
      <c r="AG1394" s="422"/>
      <c r="AH1394" s="422"/>
      <c r="AI1394" s="422"/>
      <c r="AJ1394" s="424"/>
    </row>
    <row r="1395" ht="15.0" customHeight="1">
      <c r="A1395" s="416"/>
      <c r="B1395" s="417"/>
      <c r="C1395" s="417"/>
      <c r="D1395" s="416"/>
      <c r="E1395" s="418"/>
      <c r="F1395" s="419"/>
      <c r="G1395" s="420"/>
      <c r="H1395" s="421"/>
      <c r="I1395" s="422"/>
      <c r="J1395" s="423"/>
      <c r="K1395" s="421"/>
      <c r="L1395" s="421"/>
      <c r="M1395" s="421"/>
      <c r="N1395" s="422"/>
      <c r="O1395" s="422"/>
      <c r="P1395" s="422"/>
      <c r="Q1395" s="422"/>
      <c r="R1395" s="422"/>
      <c r="S1395" s="422"/>
      <c r="T1395" s="422"/>
      <c r="U1395" s="422"/>
      <c r="V1395" s="422"/>
      <c r="W1395" s="422"/>
      <c r="X1395" s="421"/>
      <c r="Y1395" s="421"/>
      <c r="Z1395" s="421"/>
      <c r="AA1395" s="422"/>
      <c r="AB1395" s="422"/>
      <c r="AC1395" s="422"/>
      <c r="AD1395" s="422"/>
      <c r="AE1395" s="422"/>
      <c r="AF1395" s="422"/>
      <c r="AG1395" s="422"/>
      <c r="AH1395" s="422"/>
      <c r="AI1395" s="422"/>
      <c r="AJ1395" s="424"/>
    </row>
    <row r="1396" ht="15.0" customHeight="1">
      <c r="A1396" s="416"/>
      <c r="B1396" s="417"/>
      <c r="C1396" s="417"/>
      <c r="D1396" s="416"/>
      <c r="E1396" s="418"/>
      <c r="F1396" s="419"/>
      <c r="G1396" s="420"/>
      <c r="H1396" s="421"/>
      <c r="I1396" s="422"/>
      <c r="J1396" s="423"/>
      <c r="K1396" s="421"/>
      <c r="L1396" s="421"/>
      <c r="M1396" s="421"/>
      <c r="N1396" s="422"/>
      <c r="O1396" s="422"/>
      <c r="P1396" s="422"/>
      <c r="Q1396" s="422"/>
      <c r="R1396" s="422"/>
      <c r="S1396" s="422"/>
      <c r="T1396" s="422"/>
      <c r="U1396" s="422"/>
      <c r="V1396" s="422"/>
      <c r="W1396" s="422"/>
      <c r="X1396" s="421"/>
      <c r="Y1396" s="421"/>
      <c r="Z1396" s="421"/>
      <c r="AA1396" s="422"/>
      <c r="AB1396" s="422"/>
      <c r="AC1396" s="422"/>
      <c r="AD1396" s="422"/>
      <c r="AE1396" s="422"/>
      <c r="AF1396" s="422"/>
      <c r="AG1396" s="422"/>
      <c r="AH1396" s="422"/>
      <c r="AI1396" s="422"/>
      <c r="AJ1396" s="424"/>
    </row>
    <row r="1397" ht="15.0" customHeight="1">
      <c r="A1397" s="416"/>
      <c r="B1397" s="417"/>
      <c r="C1397" s="417"/>
      <c r="D1397" s="416"/>
      <c r="E1397" s="418"/>
      <c r="F1397" s="419"/>
      <c r="G1397" s="420"/>
      <c r="H1397" s="421"/>
      <c r="I1397" s="422"/>
      <c r="J1397" s="423"/>
      <c r="K1397" s="421"/>
      <c r="L1397" s="421"/>
      <c r="M1397" s="421"/>
      <c r="N1397" s="422"/>
      <c r="O1397" s="422"/>
      <c r="P1397" s="422"/>
      <c r="Q1397" s="422"/>
      <c r="R1397" s="422"/>
      <c r="S1397" s="422"/>
      <c r="T1397" s="422"/>
      <c r="U1397" s="422"/>
      <c r="V1397" s="422"/>
      <c r="W1397" s="422"/>
      <c r="X1397" s="421"/>
      <c r="Y1397" s="421"/>
      <c r="Z1397" s="421"/>
      <c r="AA1397" s="422"/>
      <c r="AB1397" s="422"/>
      <c r="AC1397" s="422"/>
      <c r="AD1397" s="422"/>
      <c r="AE1397" s="422"/>
      <c r="AF1397" s="422"/>
      <c r="AG1397" s="422"/>
      <c r="AH1397" s="422"/>
      <c r="AI1397" s="422"/>
      <c r="AJ1397" s="424"/>
    </row>
    <row r="1398" ht="15.0" customHeight="1">
      <c r="A1398" s="416"/>
      <c r="B1398" s="417"/>
      <c r="C1398" s="417"/>
      <c r="D1398" s="416"/>
      <c r="E1398" s="418"/>
      <c r="F1398" s="419"/>
      <c r="G1398" s="420"/>
      <c r="H1398" s="421"/>
      <c r="I1398" s="422"/>
      <c r="J1398" s="423"/>
      <c r="K1398" s="421"/>
      <c r="L1398" s="421"/>
      <c r="M1398" s="421"/>
      <c r="N1398" s="422"/>
      <c r="O1398" s="422"/>
      <c r="P1398" s="422"/>
      <c r="Q1398" s="422"/>
      <c r="R1398" s="422"/>
      <c r="S1398" s="422"/>
      <c r="T1398" s="422"/>
      <c r="U1398" s="422"/>
      <c r="V1398" s="422"/>
      <c r="W1398" s="422"/>
      <c r="X1398" s="421"/>
      <c r="Y1398" s="421"/>
      <c r="Z1398" s="421"/>
      <c r="AA1398" s="422"/>
      <c r="AB1398" s="422"/>
      <c r="AC1398" s="422"/>
      <c r="AD1398" s="422"/>
      <c r="AE1398" s="422"/>
      <c r="AF1398" s="422"/>
      <c r="AG1398" s="422"/>
      <c r="AH1398" s="422"/>
      <c r="AI1398" s="422"/>
      <c r="AJ1398" s="424"/>
    </row>
    <row r="1399" ht="15.0" customHeight="1">
      <c r="A1399" s="416"/>
      <c r="B1399" s="417"/>
      <c r="C1399" s="417"/>
      <c r="D1399" s="416"/>
      <c r="E1399" s="418"/>
      <c r="F1399" s="419"/>
      <c r="G1399" s="420"/>
      <c r="H1399" s="421"/>
      <c r="I1399" s="422"/>
      <c r="J1399" s="423"/>
      <c r="K1399" s="421"/>
      <c r="L1399" s="421"/>
      <c r="M1399" s="421"/>
      <c r="N1399" s="422"/>
      <c r="O1399" s="422"/>
      <c r="P1399" s="422"/>
      <c r="Q1399" s="422"/>
      <c r="R1399" s="422"/>
      <c r="S1399" s="422"/>
      <c r="T1399" s="422"/>
      <c r="U1399" s="422"/>
      <c r="V1399" s="422"/>
      <c r="W1399" s="422"/>
      <c r="X1399" s="421"/>
      <c r="Y1399" s="421"/>
      <c r="Z1399" s="421"/>
      <c r="AA1399" s="422"/>
      <c r="AB1399" s="422"/>
      <c r="AC1399" s="422"/>
      <c r="AD1399" s="422"/>
      <c r="AE1399" s="422"/>
      <c r="AF1399" s="422"/>
      <c r="AG1399" s="422"/>
      <c r="AH1399" s="422"/>
      <c r="AI1399" s="422"/>
      <c r="AJ1399" s="424"/>
    </row>
    <row r="1400" ht="15.0" customHeight="1">
      <c r="A1400" s="416"/>
      <c r="B1400" s="417"/>
      <c r="C1400" s="417"/>
      <c r="D1400" s="416"/>
      <c r="E1400" s="418"/>
      <c r="F1400" s="419"/>
      <c r="G1400" s="420"/>
      <c r="H1400" s="421"/>
      <c r="I1400" s="422"/>
      <c r="J1400" s="423"/>
      <c r="K1400" s="421"/>
      <c r="L1400" s="421"/>
      <c r="M1400" s="421"/>
      <c r="N1400" s="422"/>
      <c r="O1400" s="422"/>
      <c r="P1400" s="422"/>
      <c r="Q1400" s="422"/>
      <c r="R1400" s="422"/>
      <c r="S1400" s="422"/>
      <c r="T1400" s="422"/>
      <c r="U1400" s="422"/>
      <c r="V1400" s="422"/>
      <c r="W1400" s="422"/>
      <c r="X1400" s="421"/>
      <c r="Y1400" s="421"/>
      <c r="Z1400" s="421"/>
      <c r="AA1400" s="422"/>
      <c r="AB1400" s="422"/>
      <c r="AC1400" s="422"/>
      <c r="AD1400" s="422"/>
      <c r="AE1400" s="422"/>
      <c r="AF1400" s="422"/>
      <c r="AG1400" s="422"/>
      <c r="AH1400" s="422"/>
      <c r="AI1400" s="422"/>
      <c r="AJ1400" s="424"/>
    </row>
    <row r="1401" ht="15.0" customHeight="1">
      <c r="A1401" s="416"/>
      <c r="B1401" s="417"/>
      <c r="C1401" s="417"/>
      <c r="D1401" s="416"/>
      <c r="E1401" s="418"/>
      <c r="F1401" s="419"/>
      <c r="G1401" s="420"/>
      <c r="H1401" s="421"/>
      <c r="I1401" s="422"/>
      <c r="J1401" s="423"/>
      <c r="K1401" s="421"/>
      <c r="L1401" s="421"/>
      <c r="M1401" s="421"/>
      <c r="N1401" s="422"/>
      <c r="O1401" s="422"/>
      <c r="P1401" s="422"/>
      <c r="Q1401" s="422"/>
      <c r="R1401" s="422"/>
      <c r="S1401" s="422"/>
      <c r="T1401" s="422"/>
      <c r="U1401" s="422"/>
      <c r="V1401" s="422"/>
      <c r="W1401" s="422"/>
      <c r="X1401" s="421"/>
      <c r="Y1401" s="421"/>
      <c r="Z1401" s="421"/>
      <c r="AA1401" s="422"/>
      <c r="AB1401" s="422"/>
      <c r="AC1401" s="422"/>
      <c r="AD1401" s="422"/>
      <c r="AE1401" s="422"/>
      <c r="AF1401" s="422"/>
      <c r="AG1401" s="422"/>
      <c r="AH1401" s="422"/>
      <c r="AI1401" s="422"/>
      <c r="AJ1401" s="424"/>
    </row>
    <row r="1402" ht="15.0" customHeight="1">
      <c r="A1402" s="416"/>
      <c r="B1402" s="417"/>
      <c r="C1402" s="417"/>
      <c r="D1402" s="416"/>
      <c r="E1402" s="418"/>
      <c r="F1402" s="419"/>
      <c r="G1402" s="420"/>
      <c r="H1402" s="421"/>
      <c r="I1402" s="422"/>
      <c r="J1402" s="423"/>
      <c r="K1402" s="421"/>
      <c r="L1402" s="421"/>
      <c r="M1402" s="421"/>
      <c r="N1402" s="422"/>
      <c r="O1402" s="422"/>
      <c r="P1402" s="422"/>
      <c r="Q1402" s="422"/>
      <c r="R1402" s="422"/>
      <c r="S1402" s="422"/>
      <c r="T1402" s="422"/>
      <c r="U1402" s="422"/>
      <c r="V1402" s="422"/>
      <c r="W1402" s="422"/>
      <c r="X1402" s="421"/>
      <c r="Y1402" s="421"/>
      <c r="Z1402" s="421"/>
      <c r="AA1402" s="422"/>
      <c r="AB1402" s="422"/>
      <c r="AC1402" s="422"/>
      <c r="AD1402" s="422"/>
      <c r="AE1402" s="422"/>
      <c r="AF1402" s="422"/>
      <c r="AG1402" s="422"/>
      <c r="AH1402" s="422"/>
      <c r="AI1402" s="422"/>
      <c r="AJ1402" s="424"/>
    </row>
    <row r="1403" ht="15.0" customHeight="1">
      <c r="A1403" s="416"/>
      <c r="B1403" s="417"/>
      <c r="C1403" s="417"/>
      <c r="D1403" s="416"/>
      <c r="E1403" s="418"/>
      <c r="F1403" s="419"/>
      <c r="G1403" s="420"/>
      <c r="H1403" s="421"/>
      <c r="I1403" s="422"/>
      <c r="J1403" s="423"/>
      <c r="K1403" s="421"/>
      <c r="L1403" s="421"/>
      <c r="M1403" s="421"/>
      <c r="N1403" s="422"/>
      <c r="O1403" s="422"/>
      <c r="P1403" s="422"/>
      <c r="Q1403" s="422"/>
      <c r="R1403" s="422"/>
      <c r="S1403" s="422"/>
      <c r="T1403" s="422"/>
      <c r="U1403" s="422"/>
      <c r="V1403" s="422"/>
      <c r="W1403" s="422"/>
      <c r="X1403" s="421"/>
      <c r="Y1403" s="421"/>
      <c r="Z1403" s="421"/>
      <c r="AA1403" s="422"/>
      <c r="AB1403" s="422"/>
      <c r="AC1403" s="422"/>
      <c r="AD1403" s="422"/>
      <c r="AE1403" s="422"/>
      <c r="AF1403" s="422"/>
      <c r="AG1403" s="422"/>
      <c r="AH1403" s="422"/>
      <c r="AI1403" s="422"/>
      <c r="AJ1403" s="424"/>
    </row>
    <row r="1404" ht="15.0" customHeight="1">
      <c r="A1404" s="416"/>
      <c r="B1404" s="417"/>
      <c r="C1404" s="417"/>
      <c r="D1404" s="416"/>
      <c r="E1404" s="418"/>
      <c r="F1404" s="419"/>
      <c r="G1404" s="420"/>
      <c r="H1404" s="421"/>
      <c r="I1404" s="422"/>
      <c r="J1404" s="423"/>
      <c r="K1404" s="421"/>
      <c r="L1404" s="421"/>
      <c r="M1404" s="421"/>
      <c r="N1404" s="422"/>
      <c r="O1404" s="422"/>
      <c r="P1404" s="422"/>
      <c r="Q1404" s="422"/>
      <c r="R1404" s="422"/>
      <c r="S1404" s="422"/>
      <c r="T1404" s="422"/>
      <c r="U1404" s="422"/>
      <c r="V1404" s="422"/>
      <c r="W1404" s="422"/>
      <c r="X1404" s="421"/>
      <c r="Y1404" s="421"/>
      <c r="Z1404" s="421"/>
      <c r="AA1404" s="422"/>
      <c r="AB1404" s="422"/>
      <c r="AC1404" s="422"/>
      <c r="AD1404" s="422"/>
      <c r="AE1404" s="422"/>
      <c r="AF1404" s="422"/>
      <c r="AG1404" s="422"/>
      <c r="AH1404" s="422"/>
      <c r="AI1404" s="422"/>
      <c r="AJ1404" s="424"/>
    </row>
    <row r="1405" ht="15.0" customHeight="1">
      <c r="A1405" s="416"/>
      <c r="B1405" s="417"/>
      <c r="C1405" s="417"/>
      <c r="D1405" s="416"/>
      <c r="E1405" s="418"/>
      <c r="F1405" s="419"/>
      <c r="G1405" s="420"/>
      <c r="H1405" s="421"/>
      <c r="I1405" s="422"/>
      <c r="J1405" s="423"/>
      <c r="K1405" s="421"/>
      <c r="L1405" s="421"/>
      <c r="M1405" s="421"/>
      <c r="N1405" s="422"/>
      <c r="O1405" s="422"/>
      <c r="P1405" s="422"/>
      <c r="Q1405" s="422"/>
      <c r="R1405" s="422"/>
      <c r="S1405" s="422"/>
      <c r="T1405" s="422"/>
      <c r="U1405" s="422"/>
      <c r="V1405" s="422"/>
      <c r="W1405" s="422"/>
      <c r="X1405" s="421"/>
      <c r="Y1405" s="421"/>
      <c r="Z1405" s="421"/>
      <c r="AA1405" s="422"/>
      <c r="AB1405" s="422"/>
      <c r="AC1405" s="422"/>
      <c r="AD1405" s="422"/>
      <c r="AE1405" s="422"/>
      <c r="AF1405" s="422"/>
      <c r="AG1405" s="422"/>
      <c r="AH1405" s="422"/>
      <c r="AI1405" s="422"/>
      <c r="AJ1405" s="424"/>
    </row>
    <row r="1406" ht="15.0" customHeight="1">
      <c r="A1406" s="416"/>
      <c r="B1406" s="417"/>
      <c r="C1406" s="417"/>
      <c r="D1406" s="416"/>
      <c r="E1406" s="418"/>
      <c r="F1406" s="419"/>
      <c r="G1406" s="420"/>
      <c r="H1406" s="421"/>
      <c r="I1406" s="422"/>
      <c r="J1406" s="423"/>
      <c r="K1406" s="421"/>
      <c r="L1406" s="421"/>
      <c r="M1406" s="421"/>
      <c r="N1406" s="422"/>
      <c r="O1406" s="422"/>
      <c r="P1406" s="422"/>
      <c r="Q1406" s="422"/>
      <c r="R1406" s="422"/>
      <c r="S1406" s="422"/>
      <c r="T1406" s="422"/>
      <c r="U1406" s="422"/>
      <c r="V1406" s="422"/>
      <c r="W1406" s="422"/>
      <c r="X1406" s="421"/>
      <c r="Y1406" s="421"/>
      <c r="Z1406" s="421"/>
      <c r="AA1406" s="422"/>
      <c r="AB1406" s="422"/>
      <c r="AC1406" s="422"/>
      <c r="AD1406" s="422"/>
      <c r="AE1406" s="422"/>
      <c r="AF1406" s="422"/>
      <c r="AG1406" s="422"/>
      <c r="AH1406" s="422"/>
      <c r="AI1406" s="422"/>
      <c r="AJ1406" s="424"/>
    </row>
    <row r="1407" ht="15.0" customHeight="1">
      <c r="A1407" s="416"/>
      <c r="B1407" s="417"/>
      <c r="C1407" s="417"/>
      <c r="D1407" s="416"/>
      <c r="E1407" s="418"/>
      <c r="F1407" s="419"/>
      <c r="G1407" s="420"/>
      <c r="H1407" s="421"/>
      <c r="I1407" s="422"/>
      <c r="J1407" s="423"/>
      <c r="K1407" s="421"/>
      <c r="L1407" s="421"/>
      <c r="M1407" s="421"/>
      <c r="N1407" s="422"/>
      <c r="O1407" s="422"/>
      <c r="P1407" s="422"/>
      <c r="Q1407" s="422"/>
      <c r="R1407" s="422"/>
      <c r="S1407" s="422"/>
      <c r="T1407" s="422"/>
      <c r="U1407" s="422"/>
      <c r="V1407" s="422"/>
      <c r="W1407" s="422"/>
      <c r="X1407" s="421"/>
      <c r="Y1407" s="421"/>
      <c r="Z1407" s="421"/>
      <c r="AA1407" s="422"/>
      <c r="AB1407" s="422"/>
      <c r="AC1407" s="422"/>
      <c r="AD1407" s="422"/>
      <c r="AE1407" s="422"/>
      <c r="AF1407" s="422"/>
      <c r="AG1407" s="422"/>
      <c r="AH1407" s="422"/>
      <c r="AI1407" s="422"/>
      <c r="AJ1407" s="424"/>
    </row>
    <row r="1408" ht="15.0" customHeight="1">
      <c r="A1408" s="416"/>
      <c r="B1408" s="417"/>
      <c r="C1408" s="417"/>
      <c r="D1408" s="416"/>
      <c r="E1408" s="418"/>
      <c r="F1408" s="419"/>
      <c r="G1408" s="420"/>
      <c r="H1408" s="421"/>
      <c r="I1408" s="422"/>
      <c r="J1408" s="423"/>
      <c r="K1408" s="421"/>
      <c r="L1408" s="421"/>
      <c r="M1408" s="421"/>
      <c r="N1408" s="422"/>
      <c r="O1408" s="422"/>
      <c r="P1408" s="422"/>
      <c r="Q1408" s="422"/>
      <c r="R1408" s="422"/>
      <c r="S1408" s="422"/>
      <c r="T1408" s="422"/>
      <c r="U1408" s="422"/>
      <c r="V1408" s="422"/>
      <c r="W1408" s="422"/>
      <c r="X1408" s="421"/>
      <c r="Y1408" s="421"/>
      <c r="Z1408" s="421"/>
      <c r="AA1408" s="422"/>
      <c r="AB1408" s="422"/>
      <c r="AC1408" s="422"/>
      <c r="AD1408" s="422"/>
      <c r="AE1408" s="422"/>
      <c r="AF1408" s="422"/>
      <c r="AG1408" s="422"/>
      <c r="AH1408" s="422"/>
      <c r="AI1408" s="422"/>
      <c r="AJ1408" s="424"/>
    </row>
    <row r="1409" ht="15.0" customHeight="1">
      <c r="A1409" s="416"/>
      <c r="B1409" s="417"/>
      <c r="C1409" s="417"/>
      <c r="D1409" s="416"/>
      <c r="E1409" s="418"/>
      <c r="F1409" s="419"/>
      <c r="G1409" s="420"/>
      <c r="H1409" s="421"/>
      <c r="I1409" s="422"/>
      <c r="J1409" s="423"/>
      <c r="K1409" s="421"/>
      <c r="L1409" s="421"/>
      <c r="M1409" s="421"/>
      <c r="N1409" s="422"/>
      <c r="O1409" s="422"/>
      <c r="P1409" s="422"/>
      <c r="Q1409" s="422"/>
      <c r="R1409" s="422"/>
      <c r="S1409" s="422"/>
      <c r="T1409" s="422"/>
      <c r="U1409" s="422"/>
      <c r="V1409" s="422"/>
      <c r="W1409" s="422"/>
      <c r="X1409" s="421"/>
      <c r="Y1409" s="421"/>
      <c r="Z1409" s="421"/>
      <c r="AA1409" s="422"/>
      <c r="AB1409" s="422"/>
      <c r="AC1409" s="422"/>
      <c r="AD1409" s="422"/>
      <c r="AE1409" s="422"/>
      <c r="AF1409" s="422"/>
      <c r="AG1409" s="422"/>
      <c r="AH1409" s="422"/>
      <c r="AI1409" s="422"/>
      <c r="AJ1409" s="424"/>
    </row>
    <row r="1410" ht="15.0" customHeight="1">
      <c r="A1410" s="416"/>
      <c r="B1410" s="417"/>
      <c r="C1410" s="417"/>
      <c r="D1410" s="416"/>
      <c r="E1410" s="418"/>
      <c r="F1410" s="419"/>
      <c r="G1410" s="420"/>
      <c r="H1410" s="421"/>
      <c r="I1410" s="422"/>
      <c r="J1410" s="423"/>
      <c r="K1410" s="421"/>
      <c r="L1410" s="421"/>
      <c r="M1410" s="421"/>
      <c r="N1410" s="422"/>
      <c r="O1410" s="422"/>
      <c r="P1410" s="422"/>
      <c r="Q1410" s="422"/>
      <c r="R1410" s="422"/>
      <c r="S1410" s="422"/>
      <c r="T1410" s="422"/>
      <c r="U1410" s="422"/>
      <c r="V1410" s="422"/>
      <c r="W1410" s="422"/>
      <c r="X1410" s="421"/>
      <c r="Y1410" s="421"/>
      <c r="Z1410" s="421"/>
      <c r="AA1410" s="422"/>
      <c r="AB1410" s="422"/>
      <c r="AC1410" s="422"/>
      <c r="AD1410" s="422"/>
      <c r="AE1410" s="422"/>
      <c r="AF1410" s="422"/>
      <c r="AG1410" s="422"/>
      <c r="AH1410" s="422"/>
      <c r="AI1410" s="422"/>
      <c r="AJ1410" s="424"/>
    </row>
    <row r="1411" ht="15.0" customHeight="1">
      <c r="A1411" s="416"/>
      <c r="B1411" s="417"/>
      <c r="C1411" s="417"/>
      <c r="D1411" s="416"/>
      <c r="E1411" s="418"/>
      <c r="F1411" s="419"/>
      <c r="G1411" s="420"/>
      <c r="H1411" s="421"/>
      <c r="I1411" s="422"/>
      <c r="J1411" s="423"/>
      <c r="K1411" s="421"/>
      <c r="L1411" s="421"/>
      <c r="M1411" s="421"/>
      <c r="N1411" s="422"/>
      <c r="O1411" s="422"/>
      <c r="P1411" s="422"/>
      <c r="Q1411" s="422"/>
      <c r="R1411" s="422"/>
      <c r="S1411" s="422"/>
      <c r="T1411" s="422"/>
      <c r="U1411" s="422"/>
      <c r="V1411" s="422"/>
      <c r="W1411" s="422"/>
      <c r="X1411" s="421"/>
      <c r="Y1411" s="421"/>
      <c r="Z1411" s="421"/>
      <c r="AA1411" s="422"/>
      <c r="AB1411" s="422"/>
      <c r="AC1411" s="422"/>
      <c r="AD1411" s="422"/>
      <c r="AE1411" s="422"/>
      <c r="AF1411" s="422"/>
      <c r="AG1411" s="422"/>
      <c r="AH1411" s="422"/>
      <c r="AI1411" s="422"/>
      <c r="AJ1411" s="424"/>
    </row>
    <row r="1412" ht="15.0" customHeight="1">
      <c r="A1412" s="416"/>
      <c r="B1412" s="417"/>
      <c r="C1412" s="417"/>
      <c r="D1412" s="416"/>
      <c r="E1412" s="418"/>
      <c r="F1412" s="419"/>
      <c r="G1412" s="420"/>
      <c r="H1412" s="421"/>
      <c r="I1412" s="422"/>
      <c r="J1412" s="423"/>
      <c r="K1412" s="421"/>
      <c r="L1412" s="421"/>
      <c r="M1412" s="421"/>
      <c r="N1412" s="422"/>
      <c r="O1412" s="422"/>
      <c r="P1412" s="422"/>
      <c r="Q1412" s="422"/>
      <c r="R1412" s="422"/>
      <c r="S1412" s="422"/>
      <c r="T1412" s="422"/>
      <c r="U1412" s="422"/>
      <c r="V1412" s="422"/>
      <c r="W1412" s="422"/>
      <c r="X1412" s="421"/>
      <c r="Y1412" s="421"/>
      <c r="Z1412" s="421"/>
      <c r="AA1412" s="422"/>
      <c r="AB1412" s="422"/>
      <c r="AC1412" s="422"/>
      <c r="AD1412" s="422"/>
      <c r="AE1412" s="422"/>
      <c r="AF1412" s="422"/>
      <c r="AG1412" s="422"/>
      <c r="AH1412" s="422"/>
      <c r="AI1412" s="422"/>
      <c r="AJ1412" s="424"/>
    </row>
    <row r="1413" ht="15.0" customHeight="1">
      <c r="A1413" s="416"/>
      <c r="B1413" s="417"/>
      <c r="C1413" s="417"/>
      <c r="D1413" s="416"/>
      <c r="E1413" s="418"/>
      <c r="F1413" s="419"/>
      <c r="G1413" s="420"/>
      <c r="H1413" s="421"/>
      <c r="I1413" s="422"/>
      <c r="J1413" s="423"/>
      <c r="K1413" s="421"/>
      <c r="L1413" s="421"/>
      <c r="M1413" s="421"/>
      <c r="N1413" s="422"/>
      <c r="O1413" s="422"/>
      <c r="P1413" s="422"/>
      <c r="Q1413" s="422"/>
      <c r="R1413" s="422"/>
      <c r="S1413" s="422"/>
      <c r="T1413" s="422"/>
      <c r="U1413" s="422"/>
      <c r="V1413" s="422"/>
      <c r="W1413" s="422"/>
      <c r="X1413" s="421"/>
      <c r="Y1413" s="421"/>
      <c r="Z1413" s="421"/>
      <c r="AA1413" s="422"/>
      <c r="AB1413" s="422"/>
      <c r="AC1413" s="422"/>
      <c r="AD1413" s="422"/>
      <c r="AE1413" s="422"/>
      <c r="AF1413" s="422"/>
      <c r="AG1413" s="422"/>
      <c r="AH1413" s="422"/>
      <c r="AI1413" s="422"/>
      <c r="AJ1413" s="424"/>
    </row>
    <row r="1414" ht="15.0" customHeight="1">
      <c r="A1414" s="416"/>
      <c r="B1414" s="417"/>
      <c r="C1414" s="417"/>
      <c r="D1414" s="416"/>
      <c r="E1414" s="418"/>
      <c r="F1414" s="419"/>
      <c r="G1414" s="420"/>
      <c r="H1414" s="421"/>
      <c r="I1414" s="422"/>
      <c r="J1414" s="423"/>
      <c r="K1414" s="421"/>
      <c r="L1414" s="421"/>
      <c r="M1414" s="421"/>
      <c r="N1414" s="422"/>
      <c r="O1414" s="422"/>
      <c r="P1414" s="422"/>
      <c r="Q1414" s="422"/>
      <c r="R1414" s="422"/>
      <c r="S1414" s="422"/>
      <c r="T1414" s="422"/>
      <c r="U1414" s="422"/>
      <c r="V1414" s="422"/>
      <c r="W1414" s="422"/>
      <c r="X1414" s="421"/>
      <c r="Y1414" s="421"/>
      <c r="Z1414" s="421"/>
      <c r="AA1414" s="422"/>
      <c r="AB1414" s="422"/>
      <c r="AC1414" s="422"/>
      <c r="AD1414" s="422"/>
      <c r="AE1414" s="422"/>
      <c r="AF1414" s="422"/>
      <c r="AG1414" s="422"/>
      <c r="AH1414" s="422"/>
      <c r="AI1414" s="422"/>
      <c r="AJ1414" s="424"/>
    </row>
    <row r="1415" ht="15.0" customHeight="1">
      <c r="A1415" s="416"/>
      <c r="B1415" s="417"/>
      <c r="C1415" s="417"/>
      <c r="D1415" s="416"/>
      <c r="E1415" s="418"/>
      <c r="F1415" s="419"/>
      <c r="G1415" s="420"/>
      <c r="H1415" s="421"/>
      <c r="I1415" s="422"/>
      <c r="J1415" s="423"/>
      <c r="K1415" s="421"/>
      <c r="L1415" s="421"/>
      <c r="M1415" s="421"/>
      <c r="N1415" s="422"/>
      <c r="O1415" s="422"/>
      <c r="P1415" s="422"/>
      <c r="Q1415" s="422"/>
      <c r="R1415" s="422"/>
      <c r="S1415" s="422"/>
      <c r="T1415" s="422"/>
      <c r="U1415" s="422"/>
      <c r="V1415" s="422"/>
      <c r="W1415" s="422"/>
      <c r="X1415" s="421"/>
      <c r="Y1415" s="421"/>
      <c r="Z1415" s="421"/>
      <c r="AA1415" s="422"/>
      <c r="AB1415" s="422"/>
      <c r="AC1415" s="422"/>
      <c r="AD1415" s="422"/>
      <c r="AE1415" s="422"/>
      <c r="AF1415" s="422"/>
      <c r="AG1415" s="422"/>
      <c r="AH1415" s="422"/>
      <c r="AI1415" s="422"/>
      <c r="AJ1415" s="424"/>
    </row>
    <row r="1416" ht="15.0" customHeight="1">
      <c r="A1416" s="416"/>
      <c r="B1416" s="417"/>
      <c r="C1416" s="417"/>
      <c r="D1416" s="416"/>
      <c r="E1416" s="418"/>
      <c r="F1416" s="419"/>
      <c r="G1416" s="420"/>
      <c r="H1416" s="421"/>
      <c r="I1416" s="422"/>
      <c r="J1416" s="423"/>
      <c r="K1416" s="421"/>
      <c r="L1416" s="421"/>
      <c r="M1416" s="421"/>
      <c r="N1416" s="422"/>
      <c r="O1416" s="422"/>
      <c r="P1416" s="422"/>
      <c r="Q1416" s="422"/>
      <c r="R1416" s="422"/>
      <c r="S1416" s="422"/>
      <c r="T1416" s="422"/>
      <c r="U1416" s="422"/>
      <c r="V1416" s="422"/>
      <c r="W1416" s="422"/>
      <c r="X1416" s="421"/>
      <c r="Y1416" s="421"/>
      <c r="Z1416" s="421"/>
      <c r="AA1416" s="422"/>
      <c r="AB1416" s="422"/>
      <c r="AC1416" s="422"/>
      <c r="AD1416" s="422"/>
      <c r="AE1416" s="422"/>
      <c r="AF1416" s="422"/>
      <c r="AG1416" s="422"/>
      <c r="AH1416" s="422"/>
      <c r="AI1416" s="422"/>
      <c r="AJ1416" s="424"/>
    </row>
    <row r="1417" ht="15.0" customHeight="1">
      <c r="A1417" s="416"/>
      <c r="B1417" s="417"/>
      <c r="C1417" s="417"/>
      <c r="D1417" s="416"/>
      <c r="E1417" s="418"/>
      <c r="F1417" s="419"/>
      <c r="G1417" s="420"/>
      <c r="H1417" s="421"/>
      <c r="I1417" s="422"/>
      <c r="J1417" s="423"/>
      <c r="K1417" s="421"/>
      <c r="L1417" s="421"/>
      <c r="M1417" s="421"/>
      <c r="N1417" s="422"/>
      <c r="O1417" s="422"/>
      <c r="P1417" s="422"/>
      <c r="Q1417" s="422"/>
      <c r="R1417" s="422"/>
      <c r="S1417" s="422"/>
      <c r="T1417" s="422"/>
      <c r="U1417" s="422"/>
      <c r="V1417" s="422"/>
      <c r="W1417" s="422"/>
      <c r="X1417" s="421"/>
      <c r="Y1417" s="421"/>
      <c r="Z1417" s="421"/>
      <c r="AA1417" s="422"/>
      <c r="AB1417" s="422"/>
      <c r="AC1417" s="422"/>
      <c r="AD1417" s="422"/>
      <c r="AE1417" s="422"/>
      <c r="AF1417" s="422"/>
      <c r="AG1417" s="422"/>
      <c r="AH1417" s="422"/>
      <c r="AI1417" s="422"/>
      <c r="AJ1417" s="424"/>
    </row>
    <row r="1418" ht="15.0" customHeight="1">
      <c r="A1418" s="416"/>
      <c r="B1418" s="417"/>
      <c r="C1418" s="417"/>
      <c r="D1418" s="416"/>
      <c r="E1418" s="418"/>
      <c r="F1418" s="419"/>
      <c r="G1418" s="420"/>
      <c r="H1418" s="421"/>
      <c r="I1418" s="422"/>
      <c r="J1418" s="423"/>
      <c r="K1418" s="421"/>
      <c r="L1418" s="421"/>
      <c r="M1418" s="421"/>
      <c r="N1418" s="422"/>
      <c r="O1418" s="422"/>
      <c r="P1418" s="422"/>
      <c r="Q1418" s="422"/>
      <c r="R1418" s="422"/>
      <c r="S1418" s="422"/>
      <c r="T1418" s="422"/>
      <c r="U1418" s="422"/>
      <c r="V1418" s="422"/>
      <c r="W1418" s="422"/>
      <c r="X1418" s="421"/>
      <c r="Y1418" s="421"/>
      <c r="Z1418" s="421"/>
      <c r="AA1418" s="422"/>
      <c r="AB1418" s="422"/>
      <c r="AC1418" s="422"/>
      <c r="AD1418" s="422"/>
      <c r="AE1418" s="422"/>
      <c r="AF1418" s="422"/>
      <c r="AG1418" s="422"/>
      <c r="AH1418" s="422"/>
      <c r="AI1418" s="422"/>
      <c r="AJ1418" s="424"/>
    </row>
    <row r="1419" ht="15.0" customHeight="1">
      <c r="A1419" s="416"/>
      <c r="B1419" s="417"/>
      <c r="C1419" s="417"/>
      <c r="D1419" s="416"/>
      <c r="E1419" s="418"/>
      <c r="F1419" s="419"/>
      <c r="G1419" s="420"/>
      <c r="H1419" s="421"/>
      <c r="I1419" s="422"/>
      <c r="J1419" s="423"/>
      <c r="K1419" s="421"/>
      <c r="L1419" s="421"/>
      <c r="M1419" s="421"/>
      <c r="N1419" s="422"/>
      <c r="O1419" s="422"/>
      <c r="P1419" s="422"/>
      <c r="Q1419" s="422"/>
      <c r="R1419" s="422"/>
      <c r="S1419" s="422"/>
      <c r="T1419" s="422"/>
      <c r="U1419" s="422"/>
      <c r="V1419" s="422"/>
      <c r="W1419" s="422"/>
      <c r="X1419" s="421"/>
      <c r="Y1419" s="421"/>
      <c r="Z1419" s="421"/>
      <c r="AA1419" s="422"/>
      <c r="AB1419" s="422"/>
      <c r="AC1419" s="422"/>
      <c r="AD1419" s="422"/>
      <c r="AE1419" s="422"/>
      <c r="AF1419" s="422"/>
      <c r="AG1419" s="422"/>
      <c r="AH1419" s="422"/>
      <c r="AI1419" s="422"/>
      <c r="AJ1419" s="424"/>
    </row>
    <row r="1420" ht="15.0" customHeight="1">
      <c r="A1420" s="416"/>
      <c r="B1420" s="417"/>
      <c r="C1420" s="417"/>
      <c r="D1420" s="416"/>
      <c r="E1420" s="418"/>
      <c r="F1420" s="419"/>
      <c r="G1420" s="420"/>
      <c r="H1420" s="421"/>
      <c r="I1420" s="422"/>
      <c r="J1420" s="423"/>
      <c r="K1420" s="421"/>
      <c r="L1420" s="421"/>
      <c r="M1420" s="421"/>
      <c r="N1420" s="422"/>
      <c r="O1420" s="422"/>
      <c r="P1420" s="422"/>
      <c r="Q1420" s="422"/>
      <c r="R1420" s="422"/>
      <c r="S1420" s="422"/>
      <c r="T1420" s="422"/>
      <c r="U1420" s="422"/>
      <c r="V1420" s="422"/>
      <c r="W1420" s="422"/>
      <c r="X1420" s="421"/>
      <c r="Y1420" s="421"/>
      <c r="Z1420" s="421"/>
      <c r="AA1420" s="422"/>
      <c r="AB1420" s="422"/>
      <c r="AC1420" s="422"/>
      <c r="AD1420" s="422"/>
      <c r="AE1420" s="422"/>
      <c r="AF1420" s="422"/>
      <c r="AG1420" s="422"/>
      <c r="AH1420" s="422"/>
      <c r="AI1420" s="422"/>
      <c r="AJ1420" s="424"/>
    </row>
    <row r="1421" ht="15.0" customHeight="1">
      <c r="A1421" s="416"/>
      <c r="B1421" s="417"/>
      <c r="C1421" s="417"/>
      <c r="D1421" s="416"/>
      <c r="E1421" s="418"/>
      <c r="F1421" s="419"/>
      <c r="G1421" s="420"/>
      <c r="H1421" s="421"/>
      <c r="I1421" s="422"/>
      <c r="J1421" s="423"/>
      <c r="K1421" s="421"/>
      <c r="L1421" s="421"/>
      <c r="M1421" s="421"/>
      <c r="N1421" s="422"/>
      <c r="O1421" s="422"/>
      <c r="P1421" s="422"/>
      <c r="Q1421" s="422"/>
      <c r="R1421" s="422"/>
      <c r="S1421" s="422"/>
      <c r="T1421" s="422"/>
      <c r="U1421" s="422"/>
      <c r="V1421" s="422"/>
      <c r="W1421" s="422"/>
      <c r="X1421" s="421"/>
      <c r="Y1421" s="421"/>
      <c r="Z1421" s="421"/>
      <c r="AA1421" s="422"/>
      <c r="AB1421" s="422"/>
      <c r="AC1421" s="422"/>
      <c r="AD1421" s="422"/>
      <c r="AE1421" s="422"/>
      <c r="AF1421" s="422"/>
      <c r="AG1421" s="422"/>
      <c r="AH1421" s="422"/>
      <c r="AI1421" s="422"/>
      <c r="AJ1421" s="424"/>
    </row>
    <row r="1422" ht="15.0" customHeight="1">
      <c r="A1422" s="416"/>
      <c r="B1422" s="417"/>
      <c r="C1422" s="417"/>
      <c r="D1422" s="416"/>
      <c r="E1422" s="418"/>
      <c r="F1422" s="419"/>
      <c r="G1422" s="420"/>
      <c r="H1422" s="421"/>
      <c r="I1422" s="422"/>
      <c r="J1422" s="423"/>
      <c r="K1422" s="421"/>
      <c r="L1422" s="421"/>
      <c r="M1422" s="421"/>
      <c r="N1422" s="422"/>
      <c r="O1422" s="422"/>
      <c r="P1422" s="422"/>
      <c r="Q1422" s="422"/>
      <c r="R1422" s="422"/>
      <c r="S1422" s="422"/>
      <c r="T1422" s="422"/>
      <c r="U1422" s="422"/>
      <c r="V1422" s="422"/>
      <c r="W1422" s="422"/>
      <c r="X1422" s="421"/>
      <c r="Y1422" s="421"/>
      <c r="Z1422" s="421"/>
      <c r="AA1422" s="422"/>
      <c r="AB1422" s="422"/>
      <c r="AC1422" s="422"/>
      <c r="AD1422" s="422"/>
      <c r="AE1422" s="422"/>
      <c r="AF1422" s="422"/>
      <c r="AG1422" s="422"/>
      <c r="AH1422" s="422"/>
      <c r="AI1422" s="422"/>
      <c r="AJ1422" s="424"/>
    </row>
    <row r="1423" ht="15.0" customHeight="1">
      <c r="A1423" s="416"/>
      <c r="B1423" s="417"/>
      <c r="C1423" s="417"/>
      <c r="D1423" s="416"/>
      <c r="E1423" s="418"/>
      <c r="F1423" s="419"/>
      <c r="G1423" s="420"/>
      <c r="H1423" s="421"/>
      <c r="I1423" s="422"/>
      <c r="J1423" s="423"/>
      <c r="K1423" s="421"/>
      <c r="L1423" s="421"/>
      <c r="M1423" s="421"/>
      <c r="N1423" s="422"/>
      <c r="O1423" s="422"/>
      <c r="P1423" s="422"/>
      <c r="Q1423" s="422"/>
      <c r="R1423" s="422"/>
      <c r="S1423" s="422"/>
      <c r="T1423" s="422"/>
      <c r="U1423" s="422"/>
      <c r="V1423" s="422"/>
      <c r="W1423" s="422"/>
      <c r="X1423" s="421"/>
      <c r="Y1423" s="421"/>
      <c r="Z1423" s="421"/>
      <c r="AA1423" s="422"/>
      <c r="AB1423" s="422"/>
      <c r="AC1423" s="422"/>
      <c r="AD1423" s="422"/>
      <c r="AE1423" s="422"/>
      <c r="AF1423" s="422"/>
      <c r="AG1423" s="422"/>
      <c r="AH1423" s="422"/>
      <c r="AI1423" s="422"/>
      <c r="AJ1423" s="424"/>
    </row>
    <row r="1424" ht="15.0" customHeight="1">
      <c r="A1424" s="416"/>
      <c r="B1424" s="417"/>
      <c r="C1424" s="417"/>
      <c r="D1424" s="416"/>
      <c r="E1424" s="418"/>
      <c r="F1424" s="419"/>
      <c r="G1424" s="420"/>
      <c r="H1424" s="421"/>
      <c r="I1424" s="422"/>
      <c r="J1424" s="423"/>
      <c r="K1424" s="421"/>
      <c r="L1424" s="421"/>
      <c r="M1424" s="421"/>
      <c r="N1424" s="422"/>
      <c r="O1424" s="422"/>
      <c r="P1424" s="422"/>
      <c r="Q1424" s="422"/>
      <c r="R1424" s="422"/>
      <c r="S1424" s="422"/>
      <c r="T1424" s="422"/>
      <c r="U1424" s="422"/>
      <c r="V1424" s="422"/>
      <c r="W1424" s="422"/>
      <c r="X1424" s="421"/>
      <c r="Y1424" s="421"/>
      <c r="Z1424" s="421"/>
      <c r="AA1424" s="422"/>
      <c r="AB1424" s="422"/>
      <c r="AC1424" s="422"/>
      <c r="AD1424" s="422"/>
      <c r="AE1424" s="422"/>
      <c r="AF1424" s="422"/>
      <c r="AG1424" s="422"/>
      <c r="AH1424" s="422"/>
      <c r="AI1424" s="422"/>
      <c r="AJ1424" s="424"/>
    </row>
    <row r="1425" ht="15.0" customHeight="1">
      <c r="A1425" s="416"/>
      <c r="B1425" s="417"/>
      <c r="C1425" s="417"/>
      <c r="D1425" s="416"/>
      <c r="E1425" s="418"/>
      <c r="F1425" s="419"/>
      <c r="G1425" s="420"/>
      <c r="H1425" s="421"/>
      <c r="I1425" s="422"/>
      <c r="J1425" s="423"/>
      <c r="K1425" s="421"/>
      <c r="L1425" s="421"/>
      <c r="M1425" s="421"/>
      <c r="N1425" s="422"/>
      <c r="O1425" s="422"/>
      <c r="P1425" s="422"/>
      <c r="Q1425" s="422"/>
      <c r="R1425" s="422"/>
      <c r="S1425" s="422"/>
      <c r="T1425" s="422"/>
      <c r="U1425" s="422"/>
      <c r="V1425" s="422"/>
      <c r="W1425" s="422"/>
      <c r="X1425" s="421"/>
      <c r="Y1425" s="421"/>
      <c r="Z1425" s="421"/>
      <c r="AA1425" s="422"/>
      <c r="AB1425" s="422"/>
      <c r="AC1425" s="422"/>
      <c r="AD1425" s="422"/>
      <c r="AE1425" s="422"/>
      <c r="AF1425" s="422"/>
      <c r="AG1425" s="422"/>
      <c r="AH1425" s="422"/>
      <c r="AI1425" s="422"/>
      <c r="AJ1425" s="424"/>
    </row>
    <row r="1426" ht="15.0" customHeight="1">
      <c r="A1426" s="416"/>
      <c r="B1426" s="417"/>
      <c r="C1426" s="417"/>
      <c r="D1426" s="416"/>
      <c r="E1426" s="418"/>
      <c r="F1426" s="419"/>
      <c r="G1426" s="420"/>
      <c r="H1426" s="421"/>
      <c r="I1426" s="422"/>
      <c r="J1426" s="423"/>
      <c r="K1426" s="421"/>
      <c r="L1426" s="421"/>
      <c r="M1426" s="421"/>
      <c r="N1426" s="422"/>
      <c r="O1426" s="422"/>
      <c r="P1426" s="422"/>
      <c r="Q1426" s="422"/>
      <c r="R1426" s="422"/>
      <c r="S1426" s="422"/>
      <c r="T1426" s="422"/>
      <c r="U1426" s="422"/>
      <c r="V1426" s="422"/>
      <c r="W1426" s="422"/>
      <c r="X1426" s="421"/>
      <c r="Y1426" s="421"/>
      <c r="Z1426" s="421"/>
      <c r="AA1426" s="422"/>
      <c r="AB1426" s="422"/>
      <c r="AC1426" s="422"/>
      <c r="AD1426" s="422"/>
      <c r="AE1426" s="422"/>
      <c r="AF1426" s="422"/>
      <c r="AG1426" s="422"/>
      <c r="AH1426" s="422"/>
      <c r="AI1426" s="422"/>
      <c r="AJ1426" s="424"/>
    </row>
    <row r="1427" ht="15.0" customHeight="1">
      <c r="A1427" s="416"/>
      <c r="B1427" s="417"/>
      <c r="C1427" s="417"/>
      <c r="D1427" s="416"/>
      <c r="E1427" s="418"/>
      <c r="F1427" s="419"/>
      <c r="G1427" s="420"/>
      <c r="H1427" s="421"/>
      <c r="I1427" s="422"/>
      <c r="J1427" s="423"/>
      <c r="K1427" s="421"/>
      <c r="L1427" s="421"/>
      <c r="M1427" s="421"/>
      <c r="N1427" s="422"/>
      <c r="O1427" s="422"/>
      <c r="P1427" s="422"/>
      <c r="Q1427" s="422"/>
      <c r="R1427" s="422"/>
      <c r="S1427" s="422"/>
      <c r="T1427" s="422"/>
      <c r="U1427" s="422"/>
      <c r="V1427" s="422"/>
      <c r="W1427" s="422"/>
      <c r="X1427" s="421"/>
      <c r="Y1427" s="421"/>
      <c r="Z1427" s="421"/>
      <c r="AA1427" s="422"/>
      <c r="AB1427" s="422"/>
      <c r="AC1427" s="422"/>
      <c r="AD1427" s="422"/>
      <c r="AE1427" s="422"/>
      <c r="AF1427" s="422"/>
      <c r="AG1427" s="422"/>
      <c r="AH1427" s="422"/>
      <c r="AI1427" s="422"/>
      <c r="AJ1427" s="424"/>
    </row>
    <row r="1428" ht="15.0" customHeight="1">
      <c r="A1428" s="416"/>
      <c r="B1428" s="417"/>
      <c r="C1428" s="417"/>
      <c r="D1428" s="416"/>
      <c r="E1428" s="418"/>
      <c r="F1428" s="419"/>
      <c r="G1428" s="420"/>
      <c r="H1428" s="421"/>
      <c r="I1428" s="422"/>
      <c r="J1428" s="423"/>
      <c r="K1428" s="421"/>
      <c r="L1428" s="421"/>
      <c r="M1428" s="421"/>
      <c r="N1428" s="422"/>
      <c r="O1428" s="422"/>
      <c r="P1428" s="422"/>
      <c r="Q1428" s="422"/>
      <c r="R1428" s="422"/>
      <c r="S1428" s="422"/>
      <c r="T1428" s="422"/>
      <c r="U1428" s="422"/>
      <c r="V1428" s="422"/>
      <c r="W1428" s="422"/>
      <c r="X1428" s="421"/>
      <c r="Y1428" s="421"/>
      <c r="Z1428" s="421"/>
      <c r="AA1428" s="422"/>
      <c r="AB1428" s="422"/>
      <c r="AC1428" s="422"/>
      <c r="AD1428" s="422"/>
      <c r="AE1428" s="422"/>
      <c r="AF1428" s="422"/>
      <c r="AG1428" s="422"/>
      <c r="AH1428" s="422"/>
      <c r="AI1428" s="422"/>
      <c r="AJ1428" s="424"/>
    </row>
    <row r="1429" ht="15.0" customHeight="1">
      <c r="A1429" s="416"/>
      <c r="B1429" s="417"/>
      <c r="C1429" s="417"/>
      <c r="D1429" s="416"/>
      <c r="E1429" s="418"/>
      <c r="F1429" s="419"/>
      <c r="G1429" s="420"/>
      <c r="H1429" s="421"/>
      <c r="I1429" s="422"/>
      <c r="J1429" s="423"/>
      <c r="K1429" s="421"/>
      <c r="L1429" s="421"/>
      <c r="M1429" s="421"/>
      <c r="N1429" s="422"/>
      <c r="O1429" s="422"/>
      <c r="P1429" s="422"/>
      <c r="Q1429" s="422"/>
      <c r="R1429" s="422"/>
      <c r="S1429" s="422"/>
      <c r="T1429" s="422"/>
      <c r="U1429" s="422"/>
      <c r="V1429" s="422"/>
      <c r="W1429" s="422"/>
      <c r="X1429" s="421"/>
      <c r="Y1429" s="421"/>
      <c r="Z1429" s="421"/>
      <c r="AA1429" s="422"/>
      <c r="AB1429" s="422"/>
      <c r="AC1429" s="422"/>
      <c r="AD1429" s="422"/>
      <c r="AE1429" s="422"/>
      <c r="AF1429" s="422"/>
      <c r="AG1429" s="422"/>
      <c r="AH1429" s="422"/>
      <c r="AI1429" s="422"/>
      <c r="AJ1429" s="424"/>
    </row>
    <row r="1430" ht="15.0" customHeight="1">
      <c r="A1430" s="416"/>
      <c r="B1430" s="417"/>
      <c r="C1430" s="417"/>
      <c r="D1430" s="416"/>
      <c r="E1430" s="418"/>
      <c r="F1430" s="419"/>
      <c r="G1430" s="420"/>
      <c r="H1430" s="421"/>
      <c r="I1430" s="422"/>
      <c r="J1430" s="423"/>
      <c r="K1430" s="421"/>
      <c r="L1430" s="421"/>
      <c r="M1430" s="421"/>
      <c r="N1430" s="422"/>
      <c r="O1430" s="422"/>
      <c r="P1430" s="422"/>
      <c r="Q1430" s="422"/>
      <c r="R1430" s="422"/>
      <c r="S1430" s="422"/>
      <c r="T1430" s="422"/>
      <c r="U1430" s="422"/>
      <c r="V1430" s="422"/>
      <c r="W1430" s="422"/>
      <c r="X1430" s="421"/>
      <c r="Y1430" s="421"/>
      <c r="Z1430" s="421"/>
      <c r="AA1430" s="422"/>
      <c r="AB1430" s="422"/>
      <c r="AC1430" s="422"/>
      <c r="AD1430" s="422"/>
      <c r="AE1430" s="422"/>
      <c r="AF1430" s="422"/>
      <c r="AG1430" s="422"/>
      <c r="AH1430" s="422"/>
      <c r="AI1430" s="422"/>
      <c r="AJ1430" s="424"/>
    </row>
    <row r="1431" ht="15.0" customHeight="1">
      <c r="A1431" s="416"/>
      <c r="B1431" s="417"/>
      <c r="C1431" s="417"/>
      <c r="D1431" s="416"/>
      <c r="E1431" s="418"/>
      <c r="F1431" s="419"/>
      <c r="G1431" s="420"/>
      <c r="H1431" s="421"/>
      <c r="I1431" s="422"/>
      <c r="J1431" s="423"/>
      <c r="K1431" s="421"/>
      <c r="L1431" s="421"/>
      <c r="M1431" s="421"/>
      <c r="N1431" s="422"/>
      <c r="O1431" s="422"/>
      <c r="P1431" s="422"/>
      <c r="Q1431" s="422"/>
      <c r="R1431" s="422"/>
      <c r="S1431" s="422"/>
      <c r="T1431" s="422"/>
      <c r="U1431" s="422"/>
      <c r="V1431" s="422"/>
      <c r="W1431" s="422"/>
      <c r="X1431" s="421"/>
      <c r="Y1431" s="421"/>
      <c r="Z1431" s="421"/>
      <c r="AA1431" s="422"/>
      <c r="AB1431" s="422"/>
      <c r="AC1431" s="422"/>
      <c r="AD1431" s="422"/>
      <c r="AE1431" s="422"/>
      <c r="AF1431" s="422"/>
      <c r="AG1431" s="422"/>
      <c r="AH1431" s="422"/>
      <c r="AI1431" s="422"/>
      <c r="AJ1431" s="424"/>
    </row>
    <row r="1432" ht="15.0" customHeight="1">
      <c r="A1432" s="416"/>
      <c r="B1432" s="417"/>
      <c r="C1432" s="417"/>
      <c r="D1432" s="416"/>
      <c r="E1432" s="418"/>
      <c r="F1432" s="419"/>
      <c r="G1432" s="420"/>
      <c r="H1432" s="421"/>
      <c r="I1432" s="422"/>
      <c r="J1432" s="423"/>
      <c r="K1432" s="421"/>
      <c r="L1432" s="421"/>
      <c r="M1432" s="421"/>
      <c r="N1432" s="422"/>
      <c r="O1432" s="422"/>
      <c r="P1432" s="422"/>
      <c r="Q1432" s="422"/>
      <c r="R1432" s="422"/>
      <c r="S1432" s="422"/>
      <c r="T1432" s="422"/>
      <c r="U1432" s="422"/>
      <c r="V1432" s="422"/>
      <c r="W1432" s="422"/>
      <c r="X1432" s="421"/>
      <c r="Y1432" s="421"/>
      <c r="Z1432" s="421"/>
      <c r="AA1432" s="422"/>
      <c r="AB1432" s="422"/>
      <c r="AC1432" s="422"/>
      <c r="AD1432" s="422"/>
      <c r="AE1432" s="422"/>
      <c r="AF1432" s="422"/>
      <c r="AG1432" s="422"/>
      <c r="AH1432" s="422"/>
      <c r="AI1432" s="422"/>
      <c r="AJ1432" s="424"/>
    </row>
    <row r="1433" ht="15.0" customHeight="1">
      <c r="A1433" s="416"/>
      <c r="B1433" s="417"/>
      <c r="C1433" s="417"/>
      <c r="D1433" s="416"/>
      <c r="E1433" s="418"/>
      <c r="F1433" s="419"/>
      <c r="G1433" s="420"/>
      <c r="H1433" s="421"/>
      <c r="I1433" s="422"/>
      <c r="J1433" s="423"/>
      <c r="K1433" s="421"/>
      <c r="L1433" s="421"/>
      <c r="M1433" s="421"/>
      <c r="N1433" s="422"/>
      <c r="O1433" s="422"/>
      <c r="P1433" s="422"/>
      <c r="Q1433" s="422"/>
      <c r="R1433" s="422"/>
      <c r="S1433" s="422"/>
      <c r="T1433" s="422"/>
      <c r="U1433" s="422"/>
      <c r="V1433" s="422"/>
      <c r="W1433" s="422"/>
      <c r="X1433" s="421"/>
      <c r="Y1433" s="421"/>
      <c r="Z1433" s="421"/>
      <c r="AA1433" s="422"/>
      <c r="AB1433" s="422"/>
      <c r="AC1433" s="422"/>
      <c r="AD1433" s="422"/>
      <c r="AE1433" s="422"/>
      <c r="AF1433" s="422"/>
      <c r="AG1433" s="422"/>
      <c r="AH1433" s="422"/>
      <c r="AI1433" s="422"/>
      <c r="AJ1433" s="424"/>
    </row>
    <row r="1434" ht="15.0" customHeight="1">
      <c r="A1434" s="416"/>
      <c r="B1434" s="417"/>
      <c r="C1434" s="417"/>
      <c r="D1434" s="416"/>
      <c r="E1434" s="418"/>
      <c r="F1434" s="419"/>
      <c r="G1434" s="420"/>
      <c r="H1434" s="421"/>
      <c r="I1434" s="422"/>
      <c r="J1434" s="423"/>
      <c r="K1434" s="421"/>
      <c r="L1434" s="421"/>
      <c r="M1434" s="421"/>
      <c r="N1434" s="422"/>
      <c r="O1434" s="422"/>
      <c r="P1434" s="422"/>
      <c r="Q1434" s="422"/>
      <c r="R1434" s="422"/>
      <c r="S1434" s="422"/>
      <c r="T1434" s="422"/>
      <c r="U1434" s="422"/>
      <c r="V1434" s="422"/>
      <c r="W1434" s="422"/>
      <c r="X1434" s="421"/>
      <c r="Y1434" s="421"/>
      <c r="Z1434" s="421"/>
      <c r="AA1434" s="422"/>
      <c r="AB1434" s="422"/>
      <c r="AC1434" s="422"/>
      <c r="AD1434" s="422"/>
      <c r="AE1434" s="422"/>
      <c r="AF1434" s="422"/>
      <c r="AG1434" s="422"/>
      <c r="AH1434" s="422"/>
      <c r="AI1434" s="422"/>
      <c r="AJ1434" s="424"/>
    </row>
    <row r="1435" ht="15.0" customHeight="1">
      <c r="A1435" s="416"/>
      <c r="B1435" s="417"/>
      <c r="C1435" s="417"/>
      <c r="D1435" s="416"/>
      <c r="E1435" s="418"/>
      <c r="F1435" s="419"/>
      <c r="G1435" s="420"/>
      <c r="H1435" s="421"/>
      <c r="I1435" s="422"/>
      <c r="J1435" s="423"/>
      <c r="K1435" s="421"/>
      <c r="L1435" s="421"/>
      <c r="M1435" s="421"/>
      <c r="N1435" s="422"/>
      <c r="O1435" s="422"/>
      <c r="P1435" s="422"/>
      <c r="Q1435" s="422"/>
      <c r="R1435" s="422"/>
      <c r="S1435" s="422"/>
      <c r="T1435" s="422"/>
      <c r="U1435" s="422"/>
      <c r="V1435" s="422"/>
      <c r="W1435" s="422"/>
      <c r="X1435" s="421"/>
      <c r="Y1435" s="421"/>
      <c r="Z1435" s="421"/>
      <c r="AA1435" s="422"/>
      <c r="AB1435" s="422"/>
      <c r="AC1435" s="422"/>
      <c r="AD1435" s="422"/>
      <c r="AE1435" s="422"/>
      <c r="AF1435" s="422"/>
      <c r="AG1435" s="422"/>
      <c r="AH1435" s="422"/>
      <c r="AI1435" s="422"/>
      <c r="AJ1435" s="424"/>
    </row>
    <row r="1436" ht="15.0" customHeight="1">
      <c r="A1436" s="416"/>
      <c r="B1436" s="417"/>
      <c r="C1436" s="417"/>
      <c r="D1436" s="416"/>
      <c r="E1436" s="418"/>
      <c r="F1436" s="419"/>
      <c r="G1436" s="420"/>
      <c r="H1436" s="421"/>
      <c r="I1436" s="422"/>
      <c r="J1436" s="423"/>
      <c r="K1436" s="421"/>
      <c r="L1436" s="421"/>
      <c r="M1436" s="421"/>
      <c r="N1436" s="422"/>
      <c r="O1436" s="422"/>
      <c r="P1436" s="422"/>
      <c r="Q1436" s="422"/>
      <c r="R1436" s="422"/>
      <c r="S1436" s="422"/>
      <c r="T1436" s="422"/>
      <c r="U1436" s="422"/>
      <c r="V1436" s="422"/>
      <c r="W1436" s="422"/>
      <c r="X1436" s="421"/>
      <c r="Y1436" s="421"/>
      <c r="Z1436" s="421"/>
      <c r="AA1436" s="422"/>
      <c r="AB1436" s="422"/>
      <c r="AC1436" s="422"/>
      <c r="AD1436" s="422"/>
      <c r="AE1436" s="422"/>
      <c r="AF1436" s="422"/>
      <c r="AG1436" s="422"/>
      <c r="AH1436" s="422"/>
      <c r="AI1436" s="422"/>
      <c r="AJ1436" s="424"/>
    </row>
    <row r="1437" ht="15.0" customHeight="1">
      <c r="A1437" s="416"/>
      <c r="B1437" s="417"/>
      <c r="C1437" s="417"/>
      <c r="D1437" s="416"/>
      <c r="E1437" s="418"/>
      <c r="F1437" s="419"/>
      <c r="G1437" s="420"/>
      <c r="H1437" s="421"/>
      <c r="I1437" s="422"/>
      <c r="J1437" s="423"/>
      <c r="K1437" s="421"/>
      <c r="L1437" s="421"/>
      <c r="M1437" s="421"/>
      <c r="N1437" s="422"/>
      <c r="O1437" s="422"/>
      <c r="P1437" s="422"/>
      <c r="Q1437" s="422"/>
      <c r="R1437" s="422"/>
      <c r="S1437" s="422"/>
      <c r="T1437" s="422"/>
      <c r="U1437" s="422"/>
      <c r="V1437" s="422"/>
      <c r="W1437" s="422"/>
      <c r="X1437" s="421"/>
      <c r="Y1437" s="421"/>
      <c r="Z1437" s="421"/>
      <c r="AA1437" s="422"/>
      <c r="AB1437" s="422"/>
      <c r="AC1437" s="422"/>
      <c r="AD1437" s="422"/>
      <c r="AE1437" s="422"/>
      <c r="AF1437" s="422"/>
      <c r="AG1437" s="422"/>
      <c r="AH1437" s="422"/>
      <c r="AI1437" s="422"/>
      <c r="AJ1437" s="424"/>
    </row>
    <row r="1438" ht="15.0" customHeight="1">
      <c r="A1438" s="416"/>
      <c r="B1438" s="417"/>
      <c r="C1438" s="417"/>
      <c r="D1438" s="416"/>
      <c r="E1438" s="418"/>
      <c r="F1438" s="419"/>
      <c r="G1438" s="420"/>
      <c r="H1438" s="421"/>
      <c r="I1438" s="422"/>
      <c r="J1438" s="423"/>
      <c r="K1438" s="421"/>
      <c r="L1438" s="421"/>
      <c r="M1438" s="421"/>
      <c r="N1438" s="422"/>
      <c r="O1438" s="422"/>
      <c r="P1438" s="422"/>
      <c r="Q1438" s="422"/>
      <c r="R1438" s="422"/>
      <c r="S1438" s="422"/>
      <c r="T1438" s="422"/>
      <c r="U1438" s="422"/>
      <c r="V1438" s="422"/>
      <c r="W1438" s="422"/>
      <c r="X1438" s="421"/>
      <c r="Y1438" s="421"/>
      <c r="Z1438" s="421"/>
      <c r="AA1438" s="422"/>
      <c r="AB1438" s="422"/>
      <c r="AC1438" s="422"/>
      <c r="AD1438" s="422"/>
      <c r="AE1438" s="422"/>
      <c r="AF1438" s="422"/>
      <c r="AG1438" s="422"/>
      <c r="AH1438" s="422"/>
      <c r="AI1438" s="422"/>
      <c r="AJ1438" s="424"/>
    </row>
    <row r="1439" ht="15.0" customHeight="1">
      <c r="A1439" s="416"/>
      <c r="B1439" s="417"/>
      <c r="C1439" s="417"/>
      <c r="D1439" s="416"/>
      <c r="E1439" s="418"/>
      <c r="F1439" s="419"/>
      <c r="G1439" s="420"/>
      <c r="H1439" s="421"/>
      <c r="I1439" s="422"/>
      <c r="J1439" s="423"/>
      <c r="K1439" s="421"/>
      <c r="L1439" s="421"/>
      <c r="M1439" s="421"/>
      <c r="N1439" s="422"/>
      <c r="O1439" s="422"/>
      <c r="P1439" s="422"/>
      <c r="Q1439" s="422"/>
      <c r="R1439" s="422"/>
      <c r="S1439" s="422"/>
      <c r="T1439" s="422"/>
      <c r="U1439" s="422"/>
      <c r="V1439" s="422"/>
      <c r="W1439" s="422"/>
      <c r="X1439" s="421"/>
      <c r="Y1439" s="421"/>
      <c r="Z1439" s="421"/>
      <c r="AA1439" s="422"/>
      <c r="AB1439" s="422"/>
      <c r="AC1439" s="422"/>
      <c r="AD1439" s="422"/>
      <c r="AE1439" s="422"/>
      <c r="AF1439" s="422"/>
      <c r="AG1439" s="422"/>
      <c r="AH1439" s="422"/>
      <c r="AI1439" s="422"/>
      <c r="AJ1439" s="424"/>
    </row>
    <row r="1440" ht="15.0" customHeight="1">
      <c r="A1440" s="416"/>
      <c r="B1440" s="417"/>
      <c r="C1440" s="417"/>
      <c r="D1440" s="416"/>
      <c r="E1440" s="418"/>
      <c r="F1440" s="419"/>
      <c r="G1440" s="420"/>
      <c r="H1440" s="421"/>
      <c r="I1440" s="422"/>
      <c r="J1440" s="423"/>
      <c r="K1440" s="421"/>
      <c r="L1440" s="421"/>
      <c r="M1440" s="421"/>
      <c r="N1440" s="422"/>
      <c r="O1440" s="422"/>
      <c r="P1440" s="422"/>
      <c r="Q1440" s="422"/>
      <c r="R1440" s="422"/>
      <c r="S1440" s="422"/>
      <c r="T1440" s="422"/>
      <c r="U1440" s="422"/>
      <c r="V1440" s="422"/>
      <c r="W1440" s="422"/>
      <c r="X1440" s="421"/>
      <c r="Y1440" s="421"/>
      <c r="Z1440" s="421"/>
      <c r="AA1440" s="422"/>
      <c r="AB1440" s="422"/>
      <c r="AC1440" s="422"/>
      <c r="AD1440" s="422"/>
      <c r="AE1440" s="422"/>
      <c r="AF1440" s="422"/>
      <c r="AG1440" s="422"/>
      <c r="AH1440" s="422"/>
      <c r="AI1440" s="422"/>
      <c r="AJ1440" s="424"/>
    </row>
    <row r="1441" ht="15.0" customHeight="1">
      <c r="A1441" s="416"/>
      <c r="B1441" s="417"/>
      <c r="C1441" s="417"/>
      <c r="D1441" s="416"/>
      <c r="E1441" s="418"/>
      <c r="F1441" s="419"/>
      <c r="G1441" s="420"/>
      <c r="H1441" s="421"/>
      <c r="I1441" s="422"/>
      <c r="J1441" s="423"/>
      <c r="K1441" s="421"/>
      <c r="L1441" s="421"/>
      <c r="M1441" s="421"/>
      <c r="N1441" s="422"/>
      <c r="O1441" s="422"/>
      <c r="P1441" s="422"/>
      <c r="Q1441" s="422"/>
      <c r="R1441" s="422"/>
      <c r="S1441" s="422"/>
      <c r="T1441" s="422"/>
      <c r="U1441" s="422"/>
      <c r="V1441" s="422"/>
      <c r="W1441" s="422"/>
      <c r="X1441" s="421"/>
      <c r="Y1441" s="421"/>
      <c r="Z1441" s="421"/>
      <c r="AA1441" s="422"/>
      <c r="AB1441" s="422"/>
      <c r="AC1441" s="422"/>
      <c r="AD1441" s="422"/>
      <c r="AE1441" s="422"/>
      <c r="AF1441" s="422"/>
      <c r="AG1441" s="422"/>
      <c r="AH1441" s="422"/>
      <c r="AI1441" s="422"/>
      <c r="AJ1441" s="424"/>
    </row>
    <row r="1442" ht="15.0" customHeight="1">
      <c r="A1442" s="416"/>
      <c r="B1442" s="417"/>
      <c r="C1442" s="417"/>
      <c r="D1442" s="416"/>
      <c r="E1442" s="418"/>
      <c r="F1442" s="419"/>
      <c r="G1442" s="420"/>
      <c r="H1442" s="421"/>
      <c r="I1442" s="422"/>
      <c r="J1442" s="423"/>
      <c r="K1442" s="421"/>
      <c r="L1442" s="421"/>
      <c r="M1442" s="421"/>
      <c r="N1442" s="422"/>
      <c r="O1442" s="422"/>
      <c r="P1442" s="422"/>
      <c r="Q1442" s="422"/>
      <c r="R1442" s="422"/>
      <c r="S1442" s="422"/>
      <c r="T1442" s="422"/>
      <c r="U1442" s="422"/>
      <c r="V1442" s="422"/>
      <c r="W1442" s="422"/>
      <c r="X1442" s="421"/>
      <c r="Y1442" s="421"/>
      <c r="Z1442" s="421"/>
      <c r="AA1442" s="422"/>
      <c r="AB1442" s="422"/>
      <c r="AC1442" s="422"/>
      <c r="AD1442" s="422"/>
      <c r="AE1442" s="422"/>
      <c r="AF1442" s="422"/>
      <c r="AG1442" s="422"/>
      <c r="AH1442" s="422"/>
      <c r="AI1442" s="422"/>
      <c r="AJ1442" s="424"/>
    </row>
    <row r="1443" ht="15.0" customHeight="1">
      <c r="A1443" s="416"/>
      <c r="B1443" s="417"/>
      <c r="C1443" s="417"/>
      <c r="D1443" s="416"/>
      <c r="E1443" s="418"/>
      <c r="F1443" s="419"/>
      <c r="G1443" s="420"/>
      <c r="H1443" s="421"/>
      <c r="I1443" s="422"/>
      <c r="J1443" s="423"/>
      <c r="K1443" s="421"/>
      <c r="L1443" s="421"/>
      <c r="M1443" s="421"/>
      <c r="N1443" s="422"/>
      <c r="O1443" s="422"/>
      <c r="P1443" s="422"/>
      <c r="Q1443" s="422"/>
      <c r="R1443" s="422"/>
      <c r="S1443" s="422"/>
      <c r="T1443" s="422"/>
      <c r="U1443" s="422"/>
      <c r="V1443" s="422"/>
      <c r="W1443" s="422"/>
      <c r="X1443" s="421"/>
      <c r="Y1443" s="421"/>
      <c r="Z1443" s="421"/>
      <c r="AA1443" s="422"/>
      <c r="AB1443" s="422"/>
      <c r="AC1443" s="422"/>
      <c r="AD1443" s="422"/>
      <c r="AE1443" s="422"/>
      <c r="AF1443" s="422"/>
      <c r="AG1443" s="422"/>
      <c r="AH1443" s="422"/>
      <c r="AI1443" s="422"/>
      <c r="AJ1443" s="424"/>
    </row>
    <row r="1444" ht="15.0" customHeight="1">
      <c r="A1444" s="416"/>
      <c r="B1444" s="417"/>
      <c r="C1444" s="417"/>
      <c r="D1444" s="416"/>
      <c r="E1444" s="418"/>
      <c r="F1444" s="419"/>
      <c r="G1444" s="420"/>
      <c r="H1444" s="421"/>
      <c r="I1444" s="422"/>
      <c r="J1444" s="423"/>
      <c r="K1444" s="421"/>
      <c r="L1444" s="421"/>
      <c r="M1444" s="421"/>
      <c r="N1444" s="422"/>
      <c r="O1444" s="422"/>
      <c r="P1444" s="422"/>
      <c r="Q1444" s="422"/>
      <c r="R1444" s="422"/>
      <c r="S1444" s="422"/>
      <c r="T1444" s="422"/>
      <c r="U1444" s="422"/>
      <c r="V1444" s="422"/>
      <c r="W1444" s="422"/>
      <c r="X1444" s="421"/>
      <c r="Y1444" s="421"/>
      <c r="Z1444" s="421"/>
      <c r="AA1444" s="422"/>
      <c r="AB1444" s="422"/>
      <c r="AC1444" s="422"/>
      <c r="AD1444" s="422"/>
      <c r="AE1444" s="422"/>
      <c r="AF1444" s="422"/>
      <c r="AG1444" s="422"/>
      <c r="AH1444" s="422"/>
      <c r="AI1444" s="422"/>
      <c r="AJ1444" s="424"/>
    </row>
    <row r="1445" ht="15.0" customHeight="1">
      <c r="A1445" s="416"/>
      <c r="B1445" s="417"/>
      <c r="C1445" s="417"/>
      <c r="D1445" s="416"/>
      <c r="E1445" s="418"/>
      <c r="F1445" s="419"/>
      <c r="G1445" s="420"/>
      <c r="H1445" s="421"/>
      <c r="I1445" s="422"/>
      <c r="J1445" s="423"/>
      <c r="K1445" s="421"/>
      <c r="L1445" s="421"/>
      <c r="M1445" s="421"/>
      <c r="N1445" s="422"/>
      <c r="O1445" s="422"/>
      <c r="P1445" s="422"/>
      <c r="Q1445" s="422"/>
      <c r="R1445" s="422"/>
      <c r="S1445" s="422"/>
      <c r="T1445" s="422"/>
      <c r="U1445" s="422"/>
      <c r="V1445" s="422"/>
      <c r="W1445" s="422"/>
      <c r="X1445" s="421"/>
      <c r="Y1445" s="421"/>
      <c r="Z1445" s="421"/>
      <c r="AA1445" s="422"/>
      <c r="AB1445" s="422"/>
      <c r="AC1445" s="422"/>
      <c r="AD1445" s="422"/>
      <c r="AE1445" s="422"/>
      <c r="AF1445" s="422"/>
      <c r="AG1445" s="422"/>
      <c r="AH1445" s="422"/>
      <c r="AI1445" s="422"/>
      <c r="AJ1445" s="424"/>
    </row>
    <row r="1446" ht="15.0" customHeight="1">
      <c r="A1446" s="416"/>
      <c r="B1446" s="417"/>
      <c r="C1446" s="417"/>
      <c r="D1446" s="416"/>
      <c r="E1446" s="418"/>
      <c r="F1446" s="419"/>
      <c r="G1446" s="420"/>
      <c r="H1446" s="421"/>
      <c r="I1446" s="422"/>
      <c r="J1446" s="423"/>
      <c r="K1446" s="421"/>
      <c r="L1446" s="421"/>
      <c r="M1446" s="421"/>
      <c r="N1446" s="422"/>
      <c r="O1446" s="422"/>
      <c r="P1446" s="422"/>
      <c r="Q1446" s="422"/>
      <c r="R1446" s="422"/>
      <c r="S1446" s="422"/>
      <c r="T1446" s="422"/>
      <c r="U1446" s="422"/>
      <c r="V1446" s="422"/>
      <c r="W1446" s="422"/>
      <c r="X1446" s="421"/>
      <c r="Y1446" s="421"/>
      <c r="Z1446" s="421"/>
      <c r="AA1446" s="422"/>
      <c r="AB1446" s="422"/>
      <c r="AC1446" s="422"/>
      <c r="AD1446" s="422"/>
      <c r="AE1446" s="422"/>
      <c r="AF1446" s="422"/>
      <c r="AG1446" s="422"/>
      <c r="AH1446" s="422"/>
      <c r="AI1446" s="422"/>
      <c r="AJ1446" s="424"/>
    </row>
    <row r="1447" ht="15.0" customHeight="1">
      <c r="A1447" s="416"/>
      <c r="B1447" s="417"/>
      <c r="C1447" s="417"/>
      <c r="D1447" s="416"/>
      <c r="E1447" s="418"/>
      <c r="F1447" s="419"/>
      <c r="G1447" s="420"/>
      <c r="H1447" s="421"/>
      <c r="I1447" s="422"/>
      <c r="J1447" s="423"/>
      <c r="K1447" s="421"/>
      <c r="L1447" s="421"/>
      <c r="M1447" s="421"/>
      <c r="N1447" s="422"/>
      <c r="O1447" s="422"/>
      <c r="P1447" s="422"/>
      <c r="Q1447" s="422"/>
      <c r="R1447" s="422"/>
      <c r="S1447" s="422"/>
      <c r="T1447" s="422"/>
      <c r="U1447" s="422"/>
      <c r="V1447" s="422"/>
      <c r="W1447" s="422"/>
      <c r="X1447" s="421"/>
      <c r="Y1447" s="421"/>
      <c r="Z1447" s="421"/>
      <c r="AA1447" s="422"/>
      <c r="AB1447" s="422"/>
      <c r="AC1447" s="422"/>
      <c r="AD1447" s="422"/>
      <c r="AE1447" s="422"/>
      <c r="AF1447" s="422"/>
      <c r="AG1447" s="422"/>
      <c r="AH1447" s="422"/>
      <c r="AI1447" s="422"/>
      <c r="AJ1447" s="424"/>
    </row>
    <row r="1448" ht="15.0" customHeight="1">
      <c r="A1448" s="416"/>
      <c r="B1448" s="417"/>
      <c r="C1448" s="417"/>
      <c r="D1448" s="416"/>
      <c r="E1448" s="418"/>
      <c r="F1448" s="419"/>
      <c r="G1448" s="420"/>
      <c r="H1448" s="421"/>
      <c r="I1448" s="422"/>
      <c r="J1448" s="423"/>
      <c r="K1448" s="421"/>
      <c r="L1448" s="421"/>
      <c r="M1448" s="421"/>
      <c r="N1448" s="422"/>
      <c r="O1448" s="422"/>
      <c r="P1448" s="422"/>
      <c r="Q1448" s="422"/>
      <c r="R1448" s="422"/>
      <c r="S1448" s="422"/>
      <c r="T1448" s="422"/>
      <c r="U1448" s="422"/>
      <c r="V1448" s="422"/>
      <c r="W1448" s="422"/>
      <c r="X1448" s="421"/>
      <c r="Y1448" s="421"/>
      <c r="Z1448" s="421"/>
      <c r="AA1448" s="422"/>
      <c r="AB1448" s="422"/>
      <c r="AC1448" s="422"/>
      <c r="AD1448" s="422"/>
      <c r="AE1448" s="422"/>
      <c r="AF1448" s="422"/>
      <c r="AG1448" s="422"/>
      <c r="AH1448" s="422"/>
      <c r="AI1448" s="422"/>
      <c r="AJ1448" s="424"/>
    </row>
    <row r="1449" ht="15.0" customHeight="1">
      <c r="A1449" s="416"/>
      <c r="B1449" s="417"/>
      <c r="C1449" s="417"/>
      <c r="D1449" s="416"/>
      <c r="E1449" s="418"/>
      <c r="F1449" s="419"/>
      <c r="G1449" s="420"/>
      <c r="H1449" s="421"/>
      <c r="I1449" s="422"/>
      <c r="J1449" s="423"/>
      <c r="K1449" s="421"/>
      <c r="L1449" s="421"/>
      <c r="M1449" s="421"/>
      <c r="N1449" s="422"/>
      <c r="O1449" s="422"/>
      <c r="P1449" s="422"/>
      <c r="Q1449" s="422"/>
      <c r="R1449" s="422"/>
      <c r="S1449" s="422"/>
      <c r="T1449" s="422"/>
      <c r="U1449" s="422"/>
      <c r="V1449" s="422"/>
      <c r="W1449" s="422"/>
      <c r="X1449" s="421"/>
      <c r="Y1449" s="421"/>
      <c r="Z1449" s="421"/>
      <c r="AA1449" s="422"/>
      <c r="AB1449" s="422"/>
      <c r="AC1449" s="422"/>
      <c r="AD1449" s="422"/>
      <c r="AE1449" s="422"/>
      <c r="AF1449" s="422"/>
      <c r="AG1449" s="422"/>
      <c r="AH1449" s="422"/>
      <c r="AI1449" s="422"/>
      <c r="AJ1449" s="424"/>
    </row>
    <row r="1450" ht="15.0" customHeight="1">
      <c r="A1450" s="416"/>
      <c r="B1450" s="417"/>
      <c r="C1450" s="417"/>
      <c r="D1450" s="416"/>
      <c r="E1450" s="418"/>
      <c r="F1450" s="419"/>
      <c r="G1450" s="420"/>
      <c r="H1450" s="421"/>
      <c r="I1450" s="422"/>
      <c r="J1450" s="423"/>
      <c r="K1450" s="421"/>
      <c r="L1450" s="421"/>
      <c r="M1450" s="421"/>
      <c r="N1450" s="422"/>
      <c r="O1450" s="422"/>
      <c r="P1450" s="422"/>
      <c r="Q1450" s="422"/>
      <c r="R1450" s="422"/>
      <c r="S1450" s="422"/>
      <c r="T1450" s="422"/>
      <c r="U1450" s="422"/>
      <c r="V1450" s="422"/>
      <c r="W1450" s="422"/>
      <c r="X1450" s="421"/>
      <c r="Y1450" s="421"/>
      <c r="Z1450" s="421"/>
      <c r="AA1450" s="422"/>
      <c r="AB1450" s="422"/>
      <c r="AC1450" s="422"/>
      <c r="AD1450" s="422"/>
      <c r="AE1450" s="422"/>
      <c r="AF1450" s="422"/>
      <c r="AG1450" s="422"/>
      <c r="AH1450" s="422"/>
      <c r="AI1450" s="422"/>
      <c r="AJ1450" s="424"/>
    </row>
    <row r="1451" ht="15.0" customHeight="1">
      <c r="A1451" s="416"/>
      <c r="B1451" s="417"/>
      <c r="C1451" s="417"/>
      <c r="D1451" s="416"/>
      <c r="E1451" s="418"/>
      <c r="F1451" s="419"/>
      <c r="G1451" s="420"/>
      <c r="H1451" s="421"/>
      <c r="I1451" s="422"/>
      <c r="J1451" s="423"/>
      <c r="K1451" s="421"/>
      <c r="L1451" s="421"/>
      <c r="M1451" s="421"/>
      <c r="N1451" s="422"/>
      <c r="O1451" s="422"/>
      <c r="P1451" s="422"/>
      <c r="Q1451" s="422"/>
      <c r="R1451" s="422"/>
      <c r="S1451" s="422"/>
      <c r="T1451" s="422"/>
      <c r="U1451" s="422"/>
      <c r="V1451" s="422"/>
      <c r="W1451" s="422"/>
      <c r="X1451" s="421"/>
      <c r="Y1451" s="421"/>
      <c r="Z1451" s="421"/>
      <c r="AA1451" s="422"/>
      <c r="AB1451" s="422"/>
      <c r="AC1451" s="422"/>
      <c r="AD1451" s="422"/>
      <c r="AE1451" s="422"/>
      <c r="AF1451" s="422"/>
      <c r="AG1451" s="422"/>
      <c r="AH1451" s="422"/>
      <c r="AI1451" s="422"/>
      <c r="AJ1451" s="424"/>
    </row>
    <row r="1452" ht="15.0" customHeight="1">
      <c r="A1452" s="416"/>
      <c r="B1452" s="417"/>
      <c r="C1452" s="417"/>
      <c r="D1452" s="416"/>
      <c r="E1452" s="418"/>
      <c r="F1452" s="419"/>
      <c r="G1452" s="420"/>
      <c r="H1452" s="421"/>
      <c r="I1452" s="422"/>
      <c r="J1452" s="423"/>
      <c r="K1452" s="421"/>
      <c r="L1452" s="421"/>
      <c r="M1452" s="421"/>
      <c r="N1452" s="422"/>
      <c r="O1452" s="422"/>
      <c r="P1452" s="422"/>
      <c r="Q1452" s="422"/>
      <c r="R1452" s="422"/>
      <c r="S1452" s="422"/>
      <c r="T1452" s="422"/>
      <c r="U1452" s="422"/>
      <c r="V1452" s="422"/>
      <c r="W1452" s="422"/>
      <c r="X1452" s="421"/>
      <c r="Y1452" s="421"/>
      <c r="Z1452" s="421"/>
      <c r="AA1452" s="422"/>
      <c r="AB1452" s="422"/>
      <c r="AC1452" s="422"/>
      <c r="AD1452" s="422"/>
      <c r="AE1452" s="422"/>
      <c r="AF1452" s="422"/>
      <c r="AG1452" s="422"/>
      <c r="AH1452" s="422"/>
      <c r="AI1452" s="422"/>
      <c r="AJ1452" s="424"/>
    </row>
    <row r="1453" ht="15.0" customHeight="1">
      <c r="A1453" s="416"/>
      <c r="B1453" s="417"/>
      <c r="C1453" s="417"/>
      <c r="D1453" s="416"/>
      <c r="E1453" s="418"/>
      <c r="F1453" s="419"/>
      <c r="G1453" s="420"/>
      <c r="H1453" s="421"/>
      <c r="I1453" s="422"/>
      <c r="J1453" s="423"/>
      <c r="K1453" s="421"/>
      <c r="L1453" s="421"/>
      <c r="M1453" s="421"/>
      <c r="N1453" s="422"/>
      <c r="O1453" s="422"/>
      <c r="P1453" s="422"/>
      <c r="Q1453" s="422"/>
      <c r="R1453" s="422"/>
      <c r="S1453" s="422"/>
      <c r="T1453" s="422"/>
      <c r="U1453" s="422"/>
      <c r="V1453" s="422"/>
      <c r="W1453" s="422"/>
      <c r="X1453" s="421"/>
      <c r="Y1453" s="421"/>
      <c r="Z1453" s="421"/>
      <c r="AA1453" s="422"/>
      <c r="AB1453" s="422"/>
      <c r="AC1453" s="422"/>
      <c r="AD1453" s="422"/>
      <c r="AE1453" s="422"/>
      <c r="AF1453" s="422"/>
      <c r="AG1453" s="422"/>
      <c r="AH1453" s="422"/>
      <c r="AI1453" s="422"/>
      <c r="AJ1453" s="424"/>
    </row>
    <row r="1454" ht="15.0" customHeight="1">
      <c r="A1454" s="416"/>
      <c r="B1454" s="417"/>
      <c r="C1454" s="417"/>
      <c r="D1454" s="416"/>
      <c r="E1454" s="418"/>
      <c r="F1454" s="419"/>
      <c r="G1454" s="420"/>
      <c r="H1454" s="421"/>
      <c r="I1454" s="422"/>
      <c r="J1454" s="423"/>
      <c r="K1454" s="421"/>
      <c r="L1454" s="421"/>
      <c r="M1454" s="421"/>
      <c r="N1454" s="422"/>
      <c r="O1454" s="422"/>
      <c r="P1454" s="422"/>
      <c r="Q1454" s="422"/>
      <c r="R1454" s="422"/>
      <c r="S1454" s="422"/>
      <c r="T1454" s="422"/>
      <c r="U1454" s="422"/>
      <c r="V1454" s="422"/>
      <c r="W1454" s="422"/>
      <c r="X1454" s="421"/>
      <c r="Y1454" s="421"/>
      <c r="Z1454" s="421"/>
      <c r="AA1454" s="422"/>
      <c r="AB1454" s="422"/>
      <c r="AC1454" s="422"/>
      <c r="AD1454" s="422"/>
      <c r="AE1454" s="422"/>
      <c r="AF1454" s="422"/>
      <c r="AG1454" s="422"/>
      <c r="AH1454" s="422"/>
      <c r="AI1454" s="422"/>
      <c r="AJ1454" s="424"/>
    </row>
    <row r="1455" ht="15.0" customHeight="1">
      <c r="A1455" s="416"/>
      <c r="B1455" s="417"/>
      <c r="C1455" s="417"/>
      <c r="D1455" s="416"/>
      <c r="E1455" s="418"/>
      <c r="F1455" s="419"/>
      <c r="G1455" s="420"/>
      <c r="H1455" s="421"/>
      <c r="I1455" s="422"/>
      <c r="J1455" s="423"/>
      <c r="K1455" s="421"/>
      <c r="L1455" s="421"/>
      <c r="M1455" s="421"/>
      <c r="N1455" s="422"/>
      <c r="O1455" s="422"/>
      <c r="P1455" s="422"/>
      <c r="Q1455" s="422"/>
      <c r="R1455" s="422"/>
      <c r="S1455" s="422"/>
      <c r="T1455" s="422"/>
      <c r="U1455" s="422"/>
      <c r="V1455" s="422"/>
      <c r="W1455" s="422"/>
      <c r="X1455" s="421"/>
      <c r="Y1455" s="421"/>
      <c r="Z1455" s="421"/>
      <c r="AA1455" s="422"/>
      <c r="AB1455" s="422"/>
      <c r="AC1455" s="422"/>
      <c r="AD1455" s="422"/>
      <c r="AE1455" s="422"/>
      <c r="AF1455" s="422"/>
      <c r="AG1455" s="422"/>
      <c r="AH1455" s="422"/>
      <c r="AI1455" s="422"/>
      <c r="AJ1455" s="424"/>
    </row>
    <row r="1456" ht="15.0" customHeight="1">
      <c r="A1456" s="416"/>
      <c r="B1456" s="417"/>
      <c r="C1456" s="417"/>
      <c r="D1456" s="416"/>
      <c r="E1456" s="418"/>
      <c r="F1456" s="419"/>
      <c r="G1456" s="420"/>
      <c r="H1456" s="421"/>
      <c r="I1456" s="422"/>
      <c r="J1456" s="423"/>
      <c r="K1456" s="421"/>
      <c r="L1456" s="421"/>
      <c r="M1456" s="421"/>
      <c r="N1456" s="422"/>
      <c r="O1456" s="422"/>
      <c r="P1456" s="422"/>
      <c r="Q1456" s="422"/>
      <c r="R1456" s="422"/>
      <c r="S1456" s="422"/>
      <c r="T1456" s="422"/>
      <c r="U1456" s="422"/>
      <c r="V1456" s="422"/>
      <c r="W1456" s="422"/>
      <c r="X1456" s="421"/>
      <c r="Y1456" s="421"/>
      <c r="Z1456" s="421"/>
      <c r="AA1456" s="422"/>
      <c r="AB1456" s="422"/>
      <c r="AC1456" s="422"/>
      <c r="AD1456" s="422"/>
      <c r="AE1456" s="422"/>
      <c r="AF1456" s="422"/>
      <c r="AG1456" s="422"/>
      <c r="AH1456" s="422"/>
      <c r="AI1456" s="422"/>
      <c r="AJ1456" s="424"/>
    </row>
    <row r="1457" ht="15.0" customHeight="1">
      <c r="A1457" s="416"/>
      <c r="B1457" s="417"/>
      <c r="C1457" s="417"/>
      <c r="D1457" s="416"/>
      <c r="E1457" s="418"/>
      <c r="F1457" s="419"/>
      <c r="G1457" s="420"/>
      <c r="H1457" s="421"/>
      <c r="I1457" s="422"/>
      <c r="J1457" s="423"/>
      <c r="K1457" s="421"/>
      <c r="L1457" s="421"/>
      <c r="M1457" s="421"/>
      <c r="N1457" s="422"/>
      <c r="O1457" s="422"/>
      <c r="P1457" s="422"/>
      <c r="Q1457" s="422"/>
      <c r="R1457" s="422"/>
      <c r="S1457" s="422"/>
      <c r="T1457" s="422"/>
      <c r="U1457" s="422"/>
      <c r="V1457" s="422"/>
      <c r="W1457" s="422"/>
      <c r="X1457" s="421"/>
      <c r="Y1457" s="421"/>
      <c r="Z1457" s="421"/>
      <c r="AA1457" s="422"/>
      <c r="AB1457" s="422"/>
      <c r="AC1457" s="422"/>
      <c r="AD1457" s="422"/>
      <c r="AE1457" s="422"/>
      <c r="AF1457" s="422"/>
      <c r="AG1457" s="422"/>
      <c r="AH1457" s="422"/>
      <c r="AI1457" s="422"/>
      <c r="AJ1457" s="424"/>
    </row>
    <row r="1458" ht="15.0" customHeight="1">
      <c r="A1458" s="416"/>
      <c r="B1458" s="417"/>
      <c r="C1458" s="417"/>
      <c r="D1458" s="416"/>
      <c r="E1458" s="418"/>
      <c r="F1458" s="419"/>
      <c r="G1458" s="420"/>
      <c r="H1458" s="421"/>
      <c r="I1458" s="422"/>
      <c r="J1458" s="423"/>
      <c r="K1458" s="421"/>
      <c r="L1458" s="421"/>
      <c r="M1458" s="421"/>
      <c r="N1458" s="422"/>
      <c r="O1458" s="422"/>
      <c r="P1458" s="422"/>
      <c r="Q1458" s="422"/>
      <c r="R1458" s="422"/>
      <c r="S1458" s="422"/>
      <c r="T1458" s="422"/>
      <c r="U1458" s="422"/>
      <c r="V1458" s="422"/>
      <c r="W1458" s="422"/>
      <c r="X1458" s="421"/>
      <c r="Y1458" s="421"/>
      <c r="Z1458" s="421"/>
      <c r="AA1458" s="422"/>
      <c r="AB1458" s="422"/>
      <c r="AC1458" s="422"/>
      <c r="AD1458" s="422"/>
      <c r="AE1458" s="422"/>
      <c r="AF1458" s="422"/>
      <c r="AG1458" s="422"/>
      <c r="AH1458" s="422"/>
      <c r="AI1458" s="422"/>
      <c r="AJ1458" s="424"/>
    </row>
    <row r="1459" ht="15.0" customHeight="1">
      <c r="A1459" s="416"/>
      <c r="B1459" s="417"/>
      <c r="C1459" s="417"/>
      <c r="D1459" s="416"/>
      <c r="E1459" s="418"/>
      <c r="F1459" s="419"/>
      <c r="G1459" s="420"/>
      <c r="H1459" s="421"/>
      <c r="I1459" s="422"/>
      <c r="J1459" s="423"/>
      <c r="K1459" s="421"/>
      <c r="L1459" s="421"/>
      <c r="M1459" s="421"/>
      <c r="N1459" s="422"/>
      <c r="O1459" s="422"/>
      <c r="P1459" s="422"/>
      <c r="Q1459" s="422"/>
      <c r="R1459" s="422"/>
      <c r="S1459" s="422"/>
      <c r="T1459" s="422"/>
      <c r="U1459" s="422"/>
      <c r="V1459" s="422"/>
      <c r="W1459" s="422"/>
      <c r="X1459" s="421"/>
      <c r="Y1459" s="421"/>
      <c r="Z1459" s="421"/>
      <c r="AA1459" s="422"/>
      <c r="AB1459" s="422"/>
      <c r="AC1459" s="422"/>
      <c r="AD1459" s="422"/>
      <c r="AE1459" s="422"/>
      <c r="AF1459" s="422"/>
      <c r="AG1459" s="422"/>
      <c r="AH1459" s="422"/>
      <c r="AI1459" s="422"/>
      <c r="AJ1459" s="424"/>
    </row>
    <row r="1460" ht="15.0" customHeight="1">
      <c r="A1460" s="416"/>
      <c r="B1460" s="417"/>
      <c r="C1460" s="417"/>
      <c r="D1460" s="416"/>
      <c r="E1460" s="418"/>
      <c r="F1460" s="419"/>
      <c r="G1460" s="420"/>
      <c r="H1460" s="421"/>
      <c r="I1460" s="422"/>
      <c r="J1460" s="423"/>
      <c r="K1460" s="421"/>
      <c r="L1460" s="421"/>
      <c r="M1460" s="421"/>
      <c r="N1460" s="422"/>
      <c r="O1460" s="422"/>
      <c r="P1460" s="422"/>
      <c r="Q1460" s="422"/>
      <c r="R1460" s="422"/>
      <c r="S1460" s="422"/>
      <c r="T1460" s="422"/>
      <c r="U1460" s="422"/>
      <c r="V1460" s="422"/>
      <c r="W1460" s="422"/>
      <c r="X1460" s="421"/>
      <c r="Y1460" s="421"/>
      <c r="Z1460" s="421"/>
      <c r="AA1460" s="422"/>
      <c r="AB1460" s="422"/>
      <c r="AC1460" s="422"/>
      <c r="AD1460" s="422"/>
      <c r="AE1460" s="422"/>
      <c r="AF1460" s="422"/>
      <c r="AG1460" s="422"/>
      <c r="AH1460" s="422"/>
      <c r="AI1460" s="422"/>
      <c r="AJ1460" s="424"/>
    </row>
    <row r="1461" ht="15.0" customHeight="1">
      <c r="A1461" s="416"/>
      <c r="B1461" s="417"/>
      <c r="C1461" s="417"/>
      <c r="D1461" s="416"/>
      <c r="E1461" s="418"/>
      <c r="F1461" s="419"/>
      <c r="G1461" s="420"/>
      <c r="H1461" s="421"/>
      <c r="I1461" s="422"/>
      <c r="J1461" s="423"/>
      <c r="K1461" s="421"/>
      <c r="L1461" s="421"/>
      <c r="M1461" s="421"/>
      <c r="N1461" s="422"/>
      <c r="O1461" s="422"/>
      <c r="P1461" s="422"/>
      <c r="Q1461" s="422"/>
      <c r="R1461" s="422"/>
      <c r="S1461" s="422"/>
      <c r="T1461" s="422"/>
      <c r="U1461" s="422"/>
      <c r="V1461" s="422"/>
      <c r="W1461" s="422"/>
      <c r="X1461" s="421"/>
      <c r="Y1461" s="421"/>
      <c r="Z1461" s="421"/>
      <c r="AA1461" s="422"/>
      <c r="AB1461" s="422"/>
      <c r="AC1461" s="422"/>
      <c r="AD1461" s="422"/>
      <c r="AE1461" s="422"/>
      <c r="AF1461" s="422"/>
      <c r="AG1461" s="422"/>
      <c r="AH1461" s="422"/>
      <c r="AI1461" s="422"/>
      <c r="AJ1461" s="424"/>
    </row>
    <row r="1462" ht="15.0" customHeight="1">
      <c r="A1462" s="416"/>
      <c r="B1462" s="417"/>
      <c r="C1462" s="417"/>
      <c r="D1462" s="416"/>
      <c r="E1462" s="418"/>
      <c r="F1462" s="419"/>
      <c r="G1462" s="420"/>
      <c r="H1462" s="421"/>
      <c r="I1462" s="422"/>
      <c r="J1462" s="423"/>
      <c r="K1462" s="421"/>
      <c r="L1462" s="421"/>
      <c r="M1462" s="421"/>
      <c r="N1462" s="422"/>
      <c r="O1462" s="422"/>
      <c r="P1462" s="422"/>
      <c r="Q1462" s="422"/>
      <c r="R1462" s="422"/>
      <c r="S1462" s="422"/>
      <c r="T1462" s="422"/>
      <c r="U1462" s="422"/>
      <c r="V1462" s="422"/>
      <c r="W1462" s="422"/>
      <c r="X1462" s="421"/>
      <c r="Y1462" s="421"/>
      <c r="Z1462" s="421"/>
      <c r="AA1462" s="422"/>
      <c r="AB1462" s="422"/>
      <c r="AC1462" s="422"/>
      <c r="AD1462" s="422"/>
      <c r="AE1462" s="422"/>
      <c r="AF1462" s="422"/>
      <c r="AG1462" s="422"/>
      <c r="AH1462" s="422"/>
      <c r="AI1462" s="422"/>
      <c r="AJ1462" s="424"/>
    </row>
    <row r="1463" ht="15.0" customHeight="1">
      <c r="A1463" s="416"/>
      <c r="B1463" s="417"/>
      <c r="C1463" s="417"/>
      <c r="D1463" s="416"/>
      <c r="E1463" s="418"/>
      <c r="F1463" s="419"/>
      <c r="G1463" s="420"/>
      <c r="H1463" s="421"/>
      <c r="I1463" s="422"/>
      <c r="J1463" s="423"/>
      <c r="K1463" s="421"/>
      <c r="L1463" s="421"/>
      <c r="M1463" s="421"/>
      <c r="N1463" s="422"/>
      <c r="O1463" s="422"/>
      <c r="P1463" s="422"/>
      <c r="Q1463" s="422"/>
      <c r="R1463" s="422"/>
      <c r="S1463" s="422"/>
      <c r="T1463" s="422"/>
      <c r="U1463" s="422"/>
      <c r="V1463" s="422"/>
      <c r="W1463" s="422"/>
      <c r="X1463" s="421"/>
      <c r="Y1463" s="421"/>
      <c r="Z1463" s="421"/>
      <c r="AA1463" s="422"/>
      <c r="AB1463" s="422"/>
      <c r="AC1463" s="422"/>
      <c r="AD1463" s="422"/>
      <c r="AE1463" s="422"/>
      <c r="AF1463" s="422"/>
      <c r="AG1463" s="422"/>
      <c r="AH1463" s="422"/>
      <c r="AI1463" s="422"/>
      <c r="AJ1463" s="424"/>
    </row>
    <row r="1464" ht="15.0" customHeight="1">
      <c r="A1464" s="416"/>
      <c r="B1464" s="417"/>
      <c r="C1464" s="417"/>
      <c r="D1464" s="416"/>
      <c r="E1464" s="418"/>
      <c r="F1464" s="419"/>
      <c r="G1464" s="420"/>
      <c r="H1464" s="421"/>
      <c r="I1464" s="422"/>
      <c r="J1464" s="423"/>
      <c r="K1464" s="421"/>
      <c r="L1464" s="421"/>
      <c r="M1464" s="421"/>
      <c r="N1464" s="422"/>
      <c r="O1464" s="422"/>
      <c r="P1464" s="422"/>
      <c r="Q1464" s="422"/>
      <c r="R1464" s="422"/>
      <c r="S1464" s="422"/>
      <c r="T1464" s="422"/>
      <c r="U1464" s="422"/>
      <c r="V1464" s="422"/>
      <c r="W1464" s="422"/>
      <c r="X1464" s="421"/>
      <c r="Y1464" s="421"/>
      <c r="Z1464" s="421"/>
      <c r="AA1464" s="422"/>
      <c r="AB1464" s="422"/>
      <c r="AC1464" s="422"/>
      <c r="AD1464" s="422"/>
      <c r="AE1464" s="422"/>
      <c r="AF1464" s="422"/>
      <c r="AG1464" s="422"/>
      <c r="AH1464" s="422"/>
      <c r="AI1464" s="422"/>
      <c r="AJ1464" s="424"/>
    </row>
    <row r="1465" ht="15.0" customHeight="1">
      <c r="A1465" s="416"/>
      <c r="B1465" s="417"/>
      <c r="C1465" s="417"/>
      <c r="D1465" s="416"/>
      <c r="E1465" s="418"/>
      <c r="F1465" s="419"/>
      <c r="G1465" s="420"/>
      <c r="H1465" s="421"/>
      <c r="I1465" s="422"/>
      <c r="J1465" s="423"/>
      <c r="K1465" s="421"/>
      <c r="L1465" s="421"/>
      <c r="M1465" s="421"/>
      <c r="N1465" s="422"/>
      <c r="O1465" s="422"/>
      <c r="P1465" s="422"/>
      <c r="Q1465" s="422"/>
      <c r="R1465" s="422"/>
      <c r="S1465" s="422"/>
      <c r="T1465" s="422"/>
      <c r="U1465" s="422"/>
      <c r="V1465" s="422"/>
      <c r="W1465" s="422"/>
      <c r="X1465" s="421"/>
      <c r="Y1465" s="421"/>
      <c r="Z1465" s="421"/>
      <c r="AA1465" s="422"/>
      <c r="AB1465" s="422"/>
      <c r="AC1465" s="422"/>
      <c r="AD1465" s="422"/>
      <c r="AE1465" s="422"/>
      <c r="AF1465" s="422"/>
      <c r="AG1465" s="422"/>
      <c r="AH1465" s="422"/>
      <c r="AI1465" s="422"/>
      <c r="AJ1465" s="424"/>
    </row>
    <row r="1466" ht="15.0" customHeight="1">
      <c r="A1466" s="416"/>
      <c r="B1466" s="417"/>
      <c r="C1466" s="417"/>
      <c r="D1466" s="416"/>
      <c r="E1466" s="418"/>
      <c r="F1466" s="419"/>
      <c r="G1466" s="420"/>
      <c r="H1466" s="421"/>
      <c r="I1466" s="422"/>
      <c r="J1466" s="423"/>
      <c r="K1466" s="421"/>
      <c r="L1466" s="421"/>
      <c r="M1466" s="421"/>
      <c r="N1466" s="422"/>
      <c r="O1466" s="422"/>
      <c r="P1466" s="422"/>
      <c r="Q1466" s="422"/>
      <c r="R1466" s="422"/>
      <c r="S1466" s="422"/>
      <c r="T1466" s="422"/>
      <c r="U1466" s="422"/>
      <c r="V1466" s="422"/>
      <c r="W1466" s="422"/>
      <c r="X1466" s="421"/>
      <c r="Y1466" s="421"/>
      <c r="Z1466" s="421"/>
      <c r="AA1466" s="422"/>
      <c r="AB1466" s="422"/>
      <c r="AC1466" s="422"/>
      <c r="AD1466" s="422"/>
      <c r="AE1466" s="422"/>
      <c r="AF1466" s="422"/>
      <c r="AG1466" s="422"/>
      <c r="AH1466" s="422"/>
      <c r="AI1466" s="422"/>
      <c r="AJ1466" s="424"/>
    </row>
    <row r="1467" ht="15.0" customHeight="1">
      <c r="A1467" s="416"/>
      <c r="B1467" s="417"/>
      <c r="C1467" s="417"/>
      <c r="D1467" s="416"/>
      <c r="E1467" s="418"/>
      <c r="F1467" s="419"/>
      <c r="G1467" s="420"/>
      <c r="H1467" s="421"/>
      <c r="I1467" s="422"/>
      <c r="J1467" s="423"/>
      <c r="K1467" s="421"/>
      <c r="L1467" s="421"/>
      <c r="M1467" s="421"/>
      <c r="N1467" s="422"/>
      <c r="O1467" s="422"/>
      <c r="P1467" s="422"/>
      <c r="Q1467" s="422"/>
      <c r="R1467" s="422"/>
      <c r="S1467" s="422"/>
      <c r="T1467" s="422"/>
      <c r="U1467" s="422"/>
      <c r="V1467" s="422"/>
      <c r="W1467" s="422"/>
      <c r="X1467" s="421"/>
      <c r="Y1467" s="421"/>
      <c r="Z1467" s="421"/>
      <c r="AA1467" s="422"/>
      <c r="AB1467" s="422"/>
      <c r="AC1467" s="422"/>
      <c r="AD1467" s="422"/>
      <c r="AE1467" s="422"/>
      <c r="AF1467" s="422"/>
      <c r="AG1467" s="422"/>
      <c r="AH1467" s="422"/>
      <c r="AI1467" s="422"/>
      <c r="AJ1467" s="424"/>
    </row>
    <row r="1468" ht="15.0" customHeight="1">
      <c r="A1468" s="416"/>
      <c r="B1468" s="417"/>
      <c r="C1468" s="417"/>
      <c r="D1468" s="416"/>
      <c r="E1468" s="418"/>
      <c r="F1468" s="419"/>
      <c r="G1468" s="420"/>
      <c r="H1468" s="421"/>
      <c r="I1468" s="422"/>
      <c r="J1468" s="423"/>
      <c r="K1468" s="421"/>
      <c r="L1468" s="421"/>
      <c r="M1468" s="421"/>
      <c r="N1468" s="422"/>
      <c r="O1468" s="422"/>
      <c r="P1468" s="422"/>
      <c r="Q1468" s="422"/>
      <c r="R1468" s="422"/>
      <c r="S1468" s="422"/>
      <c r="T1468" s="422"/>
      <c r="U1468" s="422"/>
      <c r="V1468" s="422"/>
      <c r="W1468" s="422"/>
      <c r="X1468" s="421"/>
      <c r="Y1468" s="421"/>
      <c r="Z1468" s="421"/>
      <c r="AA1468" s="422"/>
      <c r="AB1468" s="422"/>
      <c r="AC1468" s="422"/>
      <c r="AD1468" s="422"/>
      <c r="AE1468" s="422"/>
      <c r="AF1468" s="422"/>
      <c r="AG1468" s="422"/>
      <c r="AH1468" s="422"/>
      <c r="AI1468" s="422"/>
      <c r="AJ1468" s="424"/>
    </row>
    <row r="1469" ht="15.0" customHeight="1">
      <c r="A1469" s="416"/>
      <c r="B1469" s="417"/>
      <c r="C1469" s="417"/>
      <c r="D1469" s="416"/>
      <c r="E1469" s="418"/>
      <c r="F1469" s="419"/>
      <c r="G1469" s="420"/>
      <c r="H1469" s="421"/>
      <c r="I1469" s="422"/>
      <c r="J1469" s="423"/>
      <c r="K1469" s="421"/>
      <c r="L1469" s="421"/>
      <c r="M1469" s="421"/>
      <c r="N1469" s="422"/>
      <c r="O1469" s="422"/>
      <c r="P1469" s="422"/>
      <c r="Q1469" s="422"/>
      <c r="R1469" s="422"/>
      <c r="S1469" s="422"/>
      <c r="T1469" s="422"/>
      <c r="U1469" s="422"/>
      <c r="V1469" s="422"/>
      <c r="W1469" s="422"/>
      <c r="X1469" s="421"/>
      <c r="Y1469" s="421"/>
      <c r="Z1469" s="421"/>
      <c r="AA1469" s="422"/>
      <c r="AB1469" s="422"/>
      <c r="AC1469" s="422"/>
      <c r="AD1469" s="422"/>
      <c r="AE1469" s="422"/>
      <c r="AF1469" s="422"/>
      <c r="AG1469" s="422"/>
      <c r="AH1469" s="422"/>
      <c r="AI1469" s="422"/>
      <c r="AJ1469" s="424"/>
    </row>
    <row r="1470" ht="15.0" customHeight="1">
      <c r="A1470" s="416"/>
      <c r="B1470" s="417"/>
      <c r="C1470" s="417"/>
      <c r="D1470" s="416"/>
      <c r="E1470" s="418"/>
      <c r="F1470" s="419"/>
      <c r="G1470" s="420"/>
      <c r="H1470" s="421"/>
      <c r="I1470" s="422"/>
      <c r="J1470" s="423"/>
      <c r="K1470" s="421"/>
      <c r="L1470" s="421"/>
      <c r="M1470" s="421"/>
      <c r="N1470" s="422"/>
      <c r="O1470" s="422"/>
      <c r="P1470" s="422"/>
      <c r="Q1470" s="422"/>
      <c r="R1470" s="422"/>
      <c r="S1470" s="422"/>
      <c r="T1470" s="422"/>
      <c r="U1470" s="422"/>
      <c r="V1470" s="422"/>
      <c r="W1470" s="422"/>
      <c r="X1470" s="421"/>
      <c r="Y1470" s="421"/>
      <c r="Z1470" s="421"/>
      <c r="AA1470" s="422"/>
      <c r="AB1470" s="422"/>
      <c r="AC1470" s="422"/>
      <c r="AD1470" s="422"/>
      <c r="AE1470" s="422"/>
      <c r="AF1470" s="422"/>
      <c r="AG1470" s="422"/>
      <c r="AH1470" s="422"/>
      <c r="AI1470" s="422"/>
      <c r="AJ1470" s="424"/>
    </row>
    <row r="1471" ht="15.0" customHeight="1">
      <c r="A1471" s="416"/>
      <c r="B1471" s="417"/>
      <c r="C1471" s="417"/>
      <c r="D1471" s="416"/>
      <c r="E1471" s="418"/>
      <c r="F1471" s="419"/>
      <c r="G1471" s="420"/>
      <c r="H1471" s="421"/>
      <c r="I1471" s="422"/>
      <c r="J1471" s="423"/>
      <c r="K1471" s="421"/>
      <c r="L1471" s="421"/>
      <c r="M1471" s="421"/>
      <c r="N1471" s="422"/>
      <c r="O1471" s="422"/>
      <c r="P1471" s="422"/>
      <c r="Q1471" s="422"/>
      <c r="R1471" s="422"/>
      <c r="S1471" s="422"/>
      <c r="T1471" s="422"/>
      <c r="U1471" s="422"/>
      <c r="V1471" s="422"/>
      <c r="W1471" s="422"/>
      <c r="X1471" s="421"/>
      <c r="Y1471" s="421"/>
      <c r="Z1471" s="421"/>
      <c r="AA1471" s="422"/>
      <c r="AB1471" s="422"/>
      <c r="AC1471" s="422"/>
      <c r="AD1471" s="422"/>
      <c r="AE1471" s="422"/>
      <c r="AF1471" s="422"/>
      <c r="AG1471" s="422"/>
      <c r="AH1471" s="422"/>
      <c r="AI1471" s="422"/>
      <c r="AJ1471" s="424"/>
    </row>
    <row r="1472" ht="15.0" customHeight="1">
      <c r="A1472" s="416"/>
      <c r="B1472" s="417"/>
      <c r="C1472" s="417"/>
      <c r="D1472" s="416"/>
      <c r="E1472" s="418"/>
      <c r="F1472" s="419"/>
      <c r="G1472" s="420"/>
      <c r="H1472" s="421"/>
      <c r="I1472" s="422"/>
      <c r="J1472" s="423"/>
      <c r="K1472" s="421"/>
      <c r="L1472" s="421"/>
      <c r="M1472" s="421"/>
      <c r="N1472" s="422"/>
      <c r="O1472" s="422"/>
      <c r="P1472" s="422"/>
      <c r="Q1472" s="422"/>
      <c r="R1472" s="422"/>
      <c r="S1472" s="422"/>
      <c r="T1472" s="422"/>
      <c r="U1472" s="422"/>
      <c r="V1472" s="422"/>
      <c r="W1472" s="422"/>
      <c r="X1472" s="421"/>
      <c r="Y1472" s="421"/>
      <c r="Z1472" s="421"/>
      <c r="AA1472" s="422"/>
      <c r="AB1472" s="422"/>
      <c r="AC1472" s="422"/>
      <c r="AD1472" s="422"/>
      <c r="AE1472" s="422"/>
      <c r="AF1472" s="422"/>
      <c r="AG1472" s="422"/>
      <c r="AH1472" s="422"/>
      <c r="AI1472" s="422"/>
      <c r="AJ1472" s="424"/>
    </row>
    <row r="1473" ht="15.0" customHeight="1">
      <c r="A1473" s="416"/>
      <c r="B1473" s="417"/>
      <c r="C1473" s="417"/>
      <c r="D1473" s="416"/>
      <c r="E1473" s="418"/>
      <c r="F1473" s="419"/>
      <c r="G1473" s="420"/>
      <c r="H1473" s="421"/>
      <c r="I1473" s="422"/>
      <c r="J1473" s="423"/>
      <c r="K1473" s="421"/>
      <c r="L1473" s="421"/>
      <c r="M1473" s="421"/>
      <c r="N1473" s="422"/>
      <c r="O1473" s="422"/>
      <c r="P1473" s="422"/>
      <c r="Q1473" s="422"/>
      <c r="R1473" s="422"/>
      <c r="S1473" s="422"/>
      <c r="T1473" s="422"/>
      <c r="U1473" s="422"/>
      <c r="V1473" s="422"/>
      <c r="W1473" s="422"/>
      <c r="X1473" s="421"/>
      <c r="Y1473" s="421"/>
      <c r="Z1473" s="421"/>
      <c r="AA1473" s="422"/>
      <c r="AB1473" s="422"/>
      <c r="AC1473" s="422"/>
      <c r="AD1473" s="422"/>
      <c r="AE1473" s="422"/>
      <c r="AF1473" s="422"/>
      <c r="AG1473" s="422"/>
      <c r="AH1473" s="422"/>
      <c r="AI1473" s="422"/>
      <c r="AJ1473" s="424"/>
    </row>
    <row r="1474" ht="15.0" customHeight="1">
      <c r="A1474" s="416"/>
      <c r="B1474" s="417"/>
      <c r="C1474" s="417"/>
      <c r="D1474" s="416"/>
      <c r="E1474" s="418"/>
      <c r="F1474" s="419"/>
      <c r="G1474" s="420"/>
      <c r="H1474" s="421"/>
      <c r="I1474" s="422"/>
      <c r="J1474" s="423"/>
      <c r="K1474" s="421"/>
      <c r="L1474" s="421"/>
      <c r="M1474" s="421"/>
      <c r="N1474" s="422"/>
      <c r="O1474" s="422"/>
      <c r="P1474" s="422"/>
      <c r="Q1474" s="422"/>
      <c r="R1474" s="422"/>
      <c r="S1474" s="422"/>
      <c r="T1474" s="422"/>
      <c r="U1474" s="422"/>
      <c r="V1474" s="422"/>
      <c r="W1474" s="422"/>
      <c r="X1474" s="421"/>
      <c r="Y1474" s="421"/>
      <c r="Z1474" s="421"/>
      <c r="AA1474" s="422"/>
      <c r="AB1474" s="422"/>
      <c r="AC1474" s="422"/>
      <c r="AD1474" s="422"/>
      <c r="AE1474" s="422"/>
      <c r="AF1474" s="422"/>
      <c r="AG1474" s="422"/>
      <c r="AH1474" s="422"/>
      <c r="AI1474" s="422"/>
      <c r="AJ1474" s="424"/>
    </row>
    <row r="1475" ht="15.0" customHeight="1">
      <c r="A1475" s="416"/>
      <c r="B1475" s="417"/>
      <c r="C1475" s="417"/>
      <c r="D1475" s="416"/>
      <c r="E1475" s="418"/>
      <c r="F1475" s="419"/>
      <c r="G1475" s="420"/>
      <c r="H1475" s="421"/>
      <c r="I1475" s="422"/>
      <c r="J1475" s="423"/>
      <c r="K1475" s="421"/>
      <c r="L1475" s="421"/>
      <c r="M1475" s="421"/>
      <c r="N1475" s="422"/>
      <c r="O1475" s="422"/>
      <c r="P1475" s="422"/>
      <c r="Q1475" s="422"/>
      <c r="R1475" s="422"/>
      <c r="S1475" s="422"/>
      <c r="T1475" s="422"/>
      <c r="U1475" s="422"/>
      <c r="V1475" s="422"/>
      <c r="W1475" s="422"/>
      <c r="X1475" s="421"/>
      <c r="Y1475" s="421"/>
      <c r="Z1475" s="421"/>
      <c r="AA1475" s="422"/>
      <c r="AB1475" s="422"/>
      <c r="AC1475" s="422"/>
      <c r="AD1475" s="422"/>
      <c r="AE1475" s="422"/>
      <c r="AF1475" s="422"/>
      <c r="AG1475" s="422"/>
      <c r="AH1475" s="422"/>
      <c r="AI1475" s="422"/>
      <c r="AJ1475" s="424"/>
    </row>
    <row r="1476" ht="15.0" customHeight="1">
      <c r="A1476" s="416"/>
      <c r="B1476" s="417"/>
      <c r="C1476" s="417"/>
      <c r="D1476" s="416"/>
      <c r="E1476" s="418"/>
      <c r="F1476" s="419"/>
      <c r="G1476" s="420"/>
      <c r="H1476" s="421"/>
      <c r="I1476" s="422"/>
      <c r="J1476" s="423"/>
      <c r="K1476" s="421"/>
      <c r="L1476" s="421"/>
      <c r="M1476" s="421"/>
      <c r="N1476" s="422"/>
      <c r="O1476" s="422"/>
      <c r="P1476" s="422"/>
      <c r="Q1476" s="422"/>
      <c r="R1476" s="422"/>
      <c r="S1476" s="422"/>
      <c r="T1476" s="422"/>
      <c r="U1476" s="422"/>
      <c r="V1476" s="422"/>
      <c r="W1476" s="422"/>
      <c r="X1476" s="421"/>
      <c r="Y1476" s="421"/>
      <c r="Z1476" s="421"/>
      <c r="AA1476" s="422"/>
      <c r="AB1476" s="422"/>
      <c r="AC1476" s="422"/>
      <c r="AD1476" s="422"/>
      <c r="AE1476" s="422"/>
      <c r="AF1476" s="422"/>
      <c r="AG1476" s="422"/>
      <c r="AH1476" s="422"/>
      <c r="AI1476" s="422"/>
      <c r="AJ1476" s="424"/>
    </row>
    <row r="1477" ht="15.0" customHeight="1">
      <c r="A1477" s="416"/>
      <c r="B1477" s="417"/>
      <c r="C1477" s="417"/>
      <c r="D1477" s="416"/>
      <c r="E1477" s="418"/>
      <c r="F1477" s="419"/>
      <c r="G1477" s="420"/>
      <c r="H1477" s="421"/>
      <c r="I1477" s="422"/>
      <c r="J1477" s="423"/>
      <c r="K1477" s="421"/>
      <c r="L1477" s="421"/>
      <c r="M1477" s="421"/>
      <c r="N1477" s="422"/>
      <c r="O1477" s="422"/>
      <c r="P1477" s="422"/>
      <c r="Q1477" s="422"/>
      <c r="R1477" s="422"/>
      <c r="S1477" s="422"/>
      <c r="T1477" s="422"/>
      <c r="U1477" s="422"/>
      <c r="V1477" s="422"/>
      <c r="W1477" s="422"/>
      <c r="X1477" s="421"/>
      <c r="Y1477" s="421"/>
      <c r="Z1477" s="421"/>
      <c r="AA1477" s="422"/>
      <c r="AB1477" s="422"/>
      <c r="AC1477" s="422"/>
      <c r="AD1477" s="422"/>
      <c r="AE1477" s="422"/>
      <c r="AF1477" s="422"/>
      <c r="AG1477" s="422"/>
      <c r="AH1477" s="422"/>
      <c r="AI1477" s="422"/>
      <c r="AJ1477" s="424"/>
    </row>
    <row r="1478" ht="15.0" customHeight="1">
      <c r="A1478" s="416"/>
      <c r="B1478" s="417"/>
      <c r="C1478" s="417"/>
      <c r="D1478" s="416"/>
      <c r="E1478" s="418"/>
      <c r="F1478" s="419"/>
      <c r="G1478" s="420"/>
      <c r="H1478" s="421"/>
      <c r="I1478" s="422"/>
      <c r="J1478" s="423"/>
      <c r="K1478" s="421"/>
      <c r="L1478" s="421"/>
      <c r="M1478" s="421"/>
      <c r="N1478" s="422"/>
      <c r="O1478" s="422"/>
      <c r="P1478" s="422"/>
      <c r="Q1478" s="422"/>
      <c r="R1478" s="422"/>
      <c r="S1478" s="422"/>
      <c r="T1478" s="422"/>
      <c r="U1478" s="422"/>
      <c r="V1478" s="422"/>
      <c r="W1478" s="422"/>
      <c r="X1478" s="421"/>
      <c r="Y1478" s="421"/>
      <c r="Z1478" s="421"/>
      <c r="AA1478" s="422"/>
      <c r="AB1478" s="422"/>
      <c r="AC1478" s="422"/>
      <c r="AD1478" s="422"/>
      <c r="AE1478" s="422"/>
      <c r="AF1478" s="422"/>
      <c r="AG1478" s="422"/>
      <c r="AH1478" s="422"/>
      <c r="AI1478" s="422"/>
      <c r="AJ1478" s="424"/>
    </row>
    <row r="1479" ht="15.0" customHeight="1">
      <c r="A1479" s="416"/>
      <c r="B1479" s="417"/>
      <c r="C1479" s="417"/>
      <c r="D1479" s="416"/>
      <c r="E1479" s="418"/>
      <c r="F1479" s="419"/>
      <c r="G1479" s="420"/>
      <c r="H1479" s="421"/>
      <c r="I1479" s="422"/>
      <c r="J1479" s="423"/>
      <c r="K1479" s="421"/>
      <c r="L1479" s="421"/>
      <c r="M1479" s="421"/>
      <c r="N1479" s="422"/>
      <c r="O1479" s="422"/>
      <c r="P1479" s="422"/>
      <c r="Q1479" s="422"/>
      <c r="R1479" s="422"/>
      <c r="S1479" s="422"/>
      <c r="T1479" s="422"/>
      <c r="U1479" s="422"/>
      <c r="V1479" s="422"/>
      <c r="W1479" s="422"/>
      <c r="X1479" s="421"/>
      <c r="Y1479" s="421"/>
      <c r="Z1479" s="421"/>
      <c r="AA1479" s="422"/>
      <c r="AB1479" s="422"/>
      <c r="AC1479" s="422"/>
      <c r="AD1479" s="422"/>
      <c r="AE1479" s="422"/>
      <c r="AF1479" s="422"/>
      <c r="AG1479" s="422"/>
      <c r="AH1479" s="422"/>
      <c r="AI1479" s="422"/>
      <c r="AJ1479" s="424"/>
    </row>
    <row r="1480" ht="15.0" customHeight="1">
      <c r="A1480" s="416"/>
      <c r="B1480" s="417"/>
      <c r="C1480" s="417"/>
      <c r="D1480" s="416"/>
      <c r="E1480" s="418"/>
      <c r="F1480" s="419"/>
      <c r="G1480" s="420"/>
      <c r="H1480" s="421"/>
      <c r="I1480" s="422"/>
      <c r="J1480" s="423"/>
      <c r="K1480" s="421"/>
      <c r="L1480" s="421"/>
      <c r="M1480" s="421"/>
      <c r="N1480" s="422"/>
      <c r="O1480" s="422"/>
      <c r="P1480" s="422"/>
      <c r="Q1480" s="422"/>
      <c r="R1480" s="422"/>
      <c r="S1480" s="422"/>
      <c r="T1480" s="422"/>
      <c r="U1480" s="422"/>
      <c r="V1480" s="422"/>
      <c r="W1480" s="422"/>
      <c r="X1480" s="421"/>
      <c r="Y1480" s="421"/>
      <c r="Z1480" s="421"/>
      <c r="AA1480" s="422"/>
      <c r="AB1480" s="422"/>
      <c r="AC1480" s="422"/>
      <c r="AD1480" s="422"/>
      <c r="AE1480" s="422"/>
      <c r="AF1480" s="422"/>
      <c r="AG1480" s="422"/>
      <c r="AH1480" s="422"/>
      <c r="AI1480" s="422"/>
      <c r="AJ1480" s="424"/>
    </row>
    <row r="1481" ht="15.0" customHeight="1">
      <c r="A1481" s="416"/>
      <c r="B1481" s="417"/>
      <c r="C1481" s="417"/>
      <c r="D1481" s="416"/>
      <c r="E1481" s="418"/>
      <c r="F1481" s="419"/>
      <c r="G1481" s="420"/>
      <c r="H1481" s="421"/>
      <c r="I1481" s="422"/>
      <c r="J1481" s="423"/>
      <c r="K1481" s="421"/>
      <c r="L1481" s="421"/>
      <c r="M1481" s="421"/>
      <c r="N1481" s="422"/>
      <c r="O1481" s="422"/>
      <c r="P1481" s="422"/>
      <c r="Q1481" s="422"/>
      <c r="R1481" s="422"/>
      <c r="S1481" s="422"/>
      <c r="T1481" s="422"/>
      <c r="U1481" s="422"/>
      <c r="V1481" s="422"/>
      <c r="W1481" s="422"/>
      <c r="X1481" s="421"/>
      <c r="Y1481" s="421"/>
      <c r="Z1481" s="421"/>
      <c r="AA1481" s="422"/>
      <c r="AB1481" s="422"/>
      <c r="AC1481" s="422"/>
      <c r="AD1481" s="422"/>
      <c r="AE1481" s="422"/>
      <c r="AF1481" s="422"/>
      <c r="AG1481" s="422"/>
      <c r="AH1481" s="422"/>
      <c r="AI1481" s="422"/>
      <c r="AJ1481" s="424"/>
    </row>
    <row r="1482" ht="15.0" customHeight="1">
      <c r="A1482" s="416"/>
      <c r="B1482" s="417"/>
      <c r="C1482" s="417"/>
      <c r="D1482" s="416"/>
      <c r="E1482" s="418"/>
      <c r="F1482" s="419"/>
      <c r="G1482" s="420"/>
      <c r="H1482" s="421"/>
      <c r="I1482" s="422"/>
      <c r="J1482" s="423"/>
      <c r="K1482" s="421"/>
      <c r="L1482" s="421"/>
      <c r="M1482" s="421"/>
      <c r="N1482" s="422"/>
      <c r="O1482" s="422"/>
      <c r="P1482" s="422"/>
      <c r="Q1482" s="422"/>
      <c r="R1482" s="422"/>
      <c r="S1482" s="422"/>
      <c r="T1482" s="422"/>
      <c r="U1482" s="422"/>
      <c r="V1482" s="422"/>
      <c r="W1482" s="422"/>
      <c r="X1482" s="421"/>
      <c r="Y1482" s="421"/>
      <c r="Z1482" s="421"/>
      <c r="AA1482" s="422"/>
      <c r="AB1482" s="422"/>
      <c r="AC1482" s="422"/>
      <c r="AD1482" s="422"/>
      <c r="AE1482" s="422"/>
      <c r="AF1482" s="422"/>
      <c r="AG1482" s="422"/>
      <c r="AH1482" s="422"/>
      <c r="AI1482" s="422"/>
      <c r="AJ1482" s="424"/>
    </row>
    <row r="1483" ht="15.0" customHeight="1">
      <c r="A1483" s="416"/>
      <c r="B1483" s="417"/>
      <c r="C1483" s="417"/>
      <c r="D1483" s="416"/>
      <c r="E1483" s="418"/>
      <c r="F1483" s="419"/>
      <c r="G1483" s="420"/>
      <c r="H1483" s="421"/>
      <c r="I1483" s="422"/>
      <c r="J1483" s="423"/>
      <c r="K1483" s="421"/>
      <c r="L1483" s="421"/>
      <c r="M1483" s="421"/>
      <c r="N1483" s="422"/>
      <c r="O1483" s="422"/>
      <c r="P1483" s="422"/>
      <c r="Q1483" s="422"/>
      <c r="R1483" s="422"/>
      <c r="S1483" s="422"/>
      <c r="T1483" s="422"/>
      <c r="U1483" s="422"/>
      <c r="V1483" s="422"/>
      <c r="W1483" s="422"/>
      <c r="X1483" s="421"/>
      <c r="Y1483" s="421"/>
      <c r="Z1483" s="421"/>
      <c r="AA1483" s="422"/>
      <c r="AB1483" s="422"/>
      <c r="AC1483" s="422"/>
      <c r="AD1483" s="422"/>
      <c r="AE1483" s="422"/>
      <c r="AF1483" s="422"/>
      <c r="AG1483" s="422"/>
      <c r="AH1483" s="422"/>
      <c r="AI1483" s="422"/>
      <c r="AJ1483" s="424"/>
    </row>
    <row r="1484" ht="15.0" customHeight="1">
      <c r="A1484" s="416"/>
      <c r="B1484" s="417"/>
      <c r="C1484" s="417"/>
      <c r="D1484" s="416"/>
      <c r="E1484" s="418"/>
      <c r="F1484" s="419"/>
      <c r="G1484" s="420"/>
      <c r="H1484" s="421"/>
      <c r="I1484" s="422"/>
      <c r="J1484" s="423"/>
      <c r="K1484" s="421"/>
      <c r="L1484" s="421"/>
      <c r="M1484" s="421"/>
      <c r="N1484" s="422"/>
      <c r="O1484" s="422"/>
      <c r="P1484" s="422"/>
      <c r="Q1484" s="422"/>
      <c r="R1484" s="422"/>
      <c r="S1484" s="422"/>
      <c r="T1484" s="422"/>
      <c r="U1484" s="422"/>
      <c r="V1484" s="422"/>
      <c r="W1484" s="422"/>
      <c r="X1484" s="421"/>
      <c r="Y1484" s="421"/>
      <c r="Z1484" s="421"/>
      <c r="AA1484" s="422"/>
      <c r="AB1484" s="422"/>
      <c r="AC1484" s="422"/>
      <c r="AD1484" s="422"/>
      <c r="AE1484" s="422"/>
      <c r="AF1484" s="422"/>
      <c r="AG1484" s="422"/>
      <c r="AH1484" s="422"/>
      <c r="AI1484" s="422"/>
      <c r="AJ1484" s="424"/>
    </row>
    <row r="1485" ht="15.0" customHeight="1">
      <c r="A1485" s="416"/>
      <c r="B1485" s="417"/>
      <c r="C1485" s="417"/>
      <c r="D1485" s="416"/>
      <c r="E1485" s="418"/>
      <c r="F1485" s="419"/>
      <c r="G1485" s="420"/>
      <c r="H1485" s="421"/>
      <c r="I1485" s="422"/>
      <c r="J1485" s="423"/>
      <c r="K1485" s="421"/>
      <c r="L1485" s="421"/>
      <c r="M1485" s="421"/>
      <c r="N1485" s="422"/>
      <c r="O1485" s="422"/>
      <c r="P1485" s="422"/>
      <c r="Q1485" s="422"/>
      <c r="R1485" s="422"/>
      <c r="S1485" s="422"/>
      <c r="T1485" s="422"/>
      <c r="U1485" s="422"/>
      <c r="V1485" s="422"/>
      <c r="W1485" s="422"/>
      <c r="X1485" s="421"/>
      <c r="Y1485" s="421"/>
      <c r="Z1485" s="421"/>
      <c r="AA1485" s="422"/>
      <c r="AB1485" s="422"/>
      <c r="AC1485" s="422"/>
      <c r="AD1485" s="422"/>
      <c r="AE1485" s="422"/>
      <c r="AF1485" s="422"/>
      <c r="AG1485" s="422"/>
      <c r="AH1485" s="422"/>
      <c r="AI1485" s="422"/>
      <c r="AJ1485" s="424"/>
    </row>
    <row r="1486" ht="15.0" customHeight="1">
      <c r="A1486" s="416"/>
      <c r="B1486" s="417"/>
      <c r="C1486" s="417"/>
      <c r="D1486" s="416"/>
      <c r="E1486" s="418"/>
      <c r="F1486" s="419"/>
      <c r="G1486" s="420"/>
      <c r="H1486" s="421"/>
      <c r="I1486" s="422"/>
      <c r="J1486" s="423"/>
      <c r="K1486" s="421"/>
      <c r="L1486" s="421"/>
      <c r="M1486" s="421"/>
      <c r="N1486" s="422"/>
      <c r="O1486" s="422"/>
      <c r="P1486" s="422"/>
      <c r="Q1486" s="422"/>
      <c r="R1486" s="422"/>
      <c r="S1486" s="422"/>
      <c r="T1486" s="422"/>
      <c r="U1486" s="422"/>
      <c r="V1486" s="422"/>
      <c r="W1486" s="422"/>
      <c r="X1486" s="421"/>
      <c r="Y1486" s="421"/>
      <c r="Z1486" s="421"/>
      <c r="AA1486" s="422"/>
      <c r="AB1486" s="422"/>
      <c r="AC1486" s="422"/>
      <c r="AD1486" s="422"/>
      <c r="AE1486" s="422"/>
      <c r="AF1486" s="422"/>
      <c r="AG1486" s="422"/>
      <c r="AH1486" s="422"/>
      <c r="AI1486" s="422"/>
      <c r="AJ1486" s="424"/>
    </row>
    <row r="1487" ht="15.0" customHeight="1">
      <c r="A1487" s="416"/>
      <c r="B1487" s="417"/>
      <c r="C1487" s="417"/>
      <c r="D1487" s="416"/>
      <c r="E1487" s="418"/>
      <c r="F1487" s="419"/>
      <c r="G1487" s="420"/>
      <c r="H1487" s="421"/>
      <c r="I1487" s="422"/>
      <c r="J1487" s="423"/>
      <c r="K1487" s="421"/>
      <c r="L1487" s="421"/>
      <c r="M1487" s="421"/>
      <c r="N1487" s="422"/>
      <c r="O1487" s="422"/>
      <c r="P1487" s="422"/>
      <c r="Q1487" s="422"/>
      <c r="R1487" s="422"/>
      <c r="S1487" s="422"/>
      <c r="T1487" s="422"/>
      <c r="U1487" s="422"/>
      <c r="V1487" s="422"/>
      <c r="W1487" s="422"/>
      <c r="X1487" s="421"/>
      <c r="Y1487" s="421"/>
      <c r="Z1487" s="421"/>
      <c r="AA1487" s="422"/>
      <c r="AB1487" s="422"/>
      <c r="AC1487" s="422"/>
      <c r="AD1487" s="422"/>
      <c r="AE1487" s="422"/>
      <c r="AF1487" s="422"/>
      <c r="AG1487" s="422"/>
      <c r="AH1487" s="422"/>
      <c r="AI1487" s="422"/>
      <c r="AJ1487" s="424"/>
    </row>
    <row r="1488" ht="15.0" customHeight="1">
      <c r="A1488" s="416"/>
      <c r="B1488" s="417"/>
      <c r="C1488" s="417"/>
      <c r="D1488" s="416"/>
      <c r="E1488" s="418"/>
      <c r="F1488" s="419"/>
      <c r="G1488" s="420"/>
      <c r="H1488" s="421"/>
      <c r="I1488" s="422"/>
      <c r="J1488" s="423"/>
      <c r="K1488" s="421"/>
      <c r="L1488" s="421"/>
      <c r="M1488" s="421"/>
      <c r="N1488" s="422"/>
      <c r="O1488" s="422"/>
      <c r="P1488" s="422"/>
      <c r="Q1488" s="422"/>
      <c r="R1488" s="422"/>
      <c r="S1488" s="422"/>
      <c r="T1488" s="422"/>
      <c r="U1488" s="422"/>
      <c r="V1488" s="422"/>
      <c r="W1488" s="422"/>
      <c r="X1488" s="421"/>
      <c r="Y1488" s="421"/>
      <c r="Z1488" s="421"/>
      <c r="AA1488" s="422"/>
      <c r="AB1488" s="422"/>
      <c r="AC1488" s="422"/>
      <c r="AD1488" s="422"/>
      <c r="AE1488" s="422"/>
      <c r="AF1488" s="422"/>
      <c r="AG1488" s="422"/>
      <c r="AH1488" s="422"/>
      <c r="AI1488" s="422"/>
      <c r="AJ1488" s="424"/>
    </row>
    <row r="1489" ht="15.0" customHeight="1">
      <c r="A1489" s="416"/>
      <c r="B1489" s="417"/>
      <c r="C1489" s="417"/>
      <c r="D1489" s="416"/>
      <c r="E1489" s="418"/>
      <c r="F1489" s="419"/>
      <c r="G1489" s="420"/>
      <c r="H1489" s="421"/>
      <c r="I1489" s="422"/>
      <c r="J1489" s="423"/>
      <c r="K1489" s="421"/>
      <c r="L1489" s="421"/>
      <c r="M1489" s="421"/>
      <c r="N1489" s="422"/>
      <c r="O1489" s="422"/>
      <c r="P1489" s="422"/>
      <c r="Q1489" s="422"/>
      <c r="R1489" s="422"/>
      <c r="S1489" s="422"/>
      <c r="T1489" s="422"/>
      <c r="U1489" s="422"/>
      <c r="V1489" s="422"/>
      <c r="W1489" s="422"/>
      <c r="X1489" s="421"/>
      <c r="Y1489" s="421"/>
      <c r="Z1489" s="421"/>
      <c r="AA1489" s="422"/>
      <c r="AB1489" s="422"/>
      <c r="AC1489" s="422"/>
      <c r="AD1489" s="422"/>
      <c r="AE1489" s="422"/>
      <c r="AF1489" s="422"/>
      <c r="AG1489" s="422"/>
      <c r="AH1489" s="422"/>
      <c r="AI1489" s="422"/>
      <c r="AJ1489" s="424"/>
    </row>
    <row r="1490" ht="15.0" customHeight="1">
      <c r="A1490" s="416"/>
      <c r="B1490" s="417"/>
      <c r="C1490" s="417"/>
      <c r="D1490" s="416"/>
      <c r="E1490" s="418"/>
      <c r="F1490" s="419"/>
      <c r="G1490" s="420"/>
      <c r="H1490" s="421"/>
      <c r="I1490" s="422"/>
      <c r="J1490" s="423"/>
      <c r="K1490" s="421"/>
      <c r="L1490" s="421"/>
      <c r="M1490" s="421"/>
      <c r="N1490" s="422"/>
      <c r="O1490" s="422"/>
      <c r="P1490" s="422"/>
      <c r="Q1490" s="422"/>
      <c r="R1490" s="422"/>
      <c r="S1490" s="422"/>
      <c r="T1490" s="422"/>
      <c r="U1490" s="422"/>
      <c r="V1490" s="422"/>
      <c r="W1490" s="422"/>
      <c r="X1490" s="421"/>
      <c r="Y1490" s="421"/>
      <c r="Z1490" s="421"/>
      <c r="AA1490" s="422"/>
      <c r="AB1490" s="422"/>
      <c r="AC1490" s="422"/>
      <c r="AD1490" s="422"/>
      <c r="AE1490" s="422"/>
      <c r="AF1490" s="422"/>
      <c r="AG1490" s="422"/>
      <c r="AH1490" s="422"/>
      <c r="AI1490" s="422"/>
      <c r="AJ1490" s="424"/>
    </row>
    <row r="1491" ht="15.0" customHeight="1">
      <c r="A1491" s="416"/>
      <c r="B1491" s="417"/>
      <c r="C1491" s="417"/>
      <c r="D1491" s="416"/>
      <c r="E1491" s="418"/>
      <c r="F1491" s="419"/>
      <c r="G1491" s="420"/>
      <c r="H1491" s="421"/>
      <c r="I1491" s="422"/>
      <c r="J1491" s="423"/>
      <c r="K1491" s="421"/>
      <c r="L1491" s="421"/>
      <c r="M1491" s="421"/>
      <c r="N1491" s="422"/>
      <c r="O1491" s="422"/>
      <c r="P1491" s="422"/>
      <c r="Q1491" s="422"/>
      <c r="R1491" s="422"/>
      <c r="S1491" s="422"/>
      <c r="T1491" s="422"/>
      <c r="U1491" s="422"/>
      <c r="V1491" s="422"/>
      <c r="W1491" s="422"/>
      <c r="X1491" s="421"/>
      <c r="Y1491" s="421"/>
      <c r="Z1491" s="421"/>
      <c r="AA1491" s="422"/>
      <c r="AB1491" s="422"/>
      <c r="AC1491" s="422"/>
      <c r="AD1491" s="422"/>
      <c r="AE1491" s="422"/>
      <c r="AF1491" s="422"/>
      <c r="AG1491" s="422"/>
      <c r="AH1491" s="422"/>
      <c r="AI1491" s="422"/>
      <c r="AJ1491" s="424"/>
    </row>
    <row r="1492" ht="15.0" customHeight="1">
      <c r="A1492" s="416"/>
      <c r="B1492" s="417"/>
      <c r="C1492" s="417"/>
      <c r="D1492" s="416"/>
      <c r="E1492" s="418"/>
      <c r="F1492" s="419"/>
      <c r="G1492" s="420"/>
      <c r="H1492" s="421"/>
      <c r="I1492" s="422"/>
      <c r="J1492" s="423"/>
      <c r="K1492" s="421"/>
      <c r="L1492" s="421"/>
      <c r="M1492" s="421"/>
      <c r="N1492" s="422"/>
      <c r="O1492" s="422"/>
      <c r="P1492" s="422"/>
      <c r="Q1492" s="422"/>
      <c r="R1492" s="422"/>
      <c r="S1492" s="422"/>
      <c r="T1492" s="422"/>
      <c r="U1492" s="422"/>
      <c r="V1492" s="422"/>
      <c r="W1492" s="422"/>
      <c r="X1492" s="421"/>
      <c r="Y1492" s="421"/>
      <c r="Z1492" s="421"/>
      <c r="AA1492" s="422"/>
      <c r="AB1492" s="422"/>
      <c r="AC1492" s="422"/>
      <c r="AD1492" s="422"/>
      <c r="AE1492" s="422"/>
      <c r="AF1492" s="422"/>
      <c r="AG1492" s="422"/>
      <c r="AH1492" s="422"/>
      <c r="AI1492" s="422"/>
      <c r="AJ1492" s="424"/>
    </row>
    <row r="1493" ht="15.0" customHeight="1">
      <c r="A1493" s="416"/>
      <c r="B1493" s="417"/>
      <c r="C1493" s="417"/>
      <c r="D1493" s="416"/>
      <c r="E1493" s="418"/>
      <c r="F1493" s="419"/>
      <c r="G1493" s="420"/>
      <c r="H1493" s="421"/>
      <c r="I1493" s="422"/>
      <c r="J1493" s="423"/>
      <c r="K1493" s="421"/>
      <c r="L1493" s="421"/>
      <c r="M1493" s="421"/>
      <c r="N1493" s="422"/>
      <c r="O1493" s="422"/>
      <c r="P1493" s="422"/>
      <c r="Q1493" s="422"/>
      <c r="R1493" s="422"/>
      <c r="S1493" s="422"/>
      <c r="T1493" s="422"/>
      <c r="U1493" s="422"/>
      <c r="V1493" s="422"/>
      <c r="W1493" s="422"/>
      <c r="X1493" s="421"/>
      <c r="Y1493" s="421"/>
      <c r="Z1493" s="421"/>
      <c r="AA1493" s="422"/>
      <c r="AB1493" s="422"/>
      <c r="AC1493" s="422"/>
      <c r="AD1493" s="422"/>
      <c r="AE1493" s="422"/>
      <c r="AF1493" s="422"/>
      <c r="AG1493" s="422"/>
      <c r="AH1493" s="422"/>
      <c r="AI1493" s="422"/>
      <c r="AJ1493" s="424"/>
    </row>
    <row r="1494" ht="15.0" customHeight="1">
      <c r="A1494" s="416"/>
      <c r="B1494" s="417"/>
      <c r="C1494" s="417"/>
      <c r="D1494" s="416"/>
      <c r="E1494" s="418"/>
      <c r="F1494" s="419"/>
      <c r="G1494" s="420"/>
      <c r="H1494" s="421"/>
      <c r="I1494" s="422"/>
      <c r="J1494" s="423"/>
      <c r="K1494" s="421"/>
      <c r="L1494" s="421"/>
      <c r="M1494" s="421"/>
      <c r="N1494" s="422"/>
      <c r="O1494" s="422"/>
      <c r="P1494" s="422"/>
      <c r="Q1494" s="422"/>
      <c r="R1494" s="422"/>
      <c r="S1494" s="422"/>
      <c r="T1494" s="422"/>
      <c r="U1494" s="422"/>
      <c r="V1494" s="422"/>
      <c r="W1494" s="422"/>
      <c r="X1494" s="421"/>
      <c r="Y1494" s="421"/>
      <c r="Z1494" s="421"/>
      <c r="AA1494" s="422"/>
      <c r="AB1494" s="422"/>
      <c r="AC1494" s="422"/>
      <c r="AD1494" s="422"/>
      <c r="AE1494" s="422"/>
      <c r="AF1494" s="422"/>
      <c r="AG1494" s="422"/>
      <c r="AH1494" s="422"/>
      <c r="AI1494" s="422"/>
      <c r="AJ1494" s="424"/>
    </row>
    <row r="1495" ht="15.0" customHeight="1">
      <c r="A1495" s="416"/>
      <c r="B1495" s="417"/>
      <c r="C1495" s="417"/>
      <c r="D1495" s="416"/>
      <c r="E1495" s="418"/>
      <c r="F1495" s="419"/>
      <c r="G1495" s="420"/>
      <c r="H1495" s="421"/>
      <c r="I1495" s="422"/>
      <c r="J1495" s="423"/>
      <c r="K1495" s="421"/>
      <c r="L1495" s="421"/>
      <c r="M1495" s="421"/>
      <c r="N1495" s="422"/>
      <c r="O1495" s="422"/>
      <c r="P1495" s="422"/>
      <c r="Q1495" s="422"/>
      <c r="R1495" s="422"/>
      <c r="S1495" s="422"/>
      <c r="T1495" s="422"/>
      <c r="U1495" s="422"/>
      <c r="V1495" s="422"/>
      <c r="W1495" s="422"/>
      <c r="X1495" s="421"/>
      <c r="Y1495" s="421"/>
      <c r="Z1495" s="421"/>
      <c r="AA1495" s="422"/>
      <c r="AB1495" s="422"/>
      <c r="AC1495" s="422"/>
      <c r="AD1495" s="422"/>
      <c r="AE1495" s="422"/>
      <c r="AF1495" s="422"/>
      <c r="AG1495" s="422"/>
      <c r="AH1495" s="422"/>
      <c r="AI1495" s="422"/>
      <c r="AJ1495" s="424"/>
    </row>
    <row r="1496" ht="15.0" customHeight="1">
      <c r="A1496" s="416"/>
      <c r="B1496" s="417"/>
      <c r="C1496" s="417"/>
      <c r="D1496" s="416"/>
      <c r="E1496" s="418"/>
      <c r="F1496" s="419"/>
      <c r="G1496" s="420"/>
      <c r="H1496" s="421"/>
      <c r="I1496" s="422"/>
      <c r="J1496" s="423"/>
      <c r="K1496" s="421"/>
      <c r="L1496" s="421"/>
      <c r="M1496" s="421"/>
      <c r="N1496" s="422"/>
      <c r="O1496" s="422"/>
      <c r="P1496" s="422"/>
      <c r="Q1496" s="422"/>
      <c r="R1496" s="422"/>
      <c r="S1496" s="422"/>
      <c r="T1496" s="422"/>
      <c r="U1496" s="422"/>
      <c r="V1496" s="422"/>
      <c r="W1496" s="422"/>
      <c r="X1496" s="421"/>
      <c r="Y1496" s="421"/>
      <c r="Z1496" s="421"/>
      <c r="AA1496" s="422"/>
      <c r="AB1496" s="422"/>
      <c r="AC1496" s="422"/>
      <c r="AD1496" s="422"/>
      <c r="AE1496" s="422"/>
      <c r="AF1496" s="422"/>
      <c r="AG1496" s="422"/>
      <c r="AH1496" s="422"/>
      <c r="AI1496" s="422"/>
      <c r="AJ1496" s="424"/>
    </row>
    <row r="1497" ht="15.0" customHeight="1">
      <c r="A1497" s="416"/>
      <c r="B1497" s="417"/>
      <c r="C1497" s="417"/>
      <c r="D1497" s="416"/>
      <c r="E1497" s="418"/>
      <c r="F1497" s="419"/>
      <c r="G1497" s="420"/>
      <c r="H1497" s="421"/>
      <c r="I1497" s="422"/>
      <c r="J1497" s="423"/>
      <c r="K1497" s="421"/>
      <c r="L1497" s="421"/>
      <c r="M1497" s="421"/>
      <c r="N1497" s="422"/>
      <c r="O1497" s="422"/>
      <c r="P1497" s="422"/>
      <c r="Q1497" s="422"/>
      <c r="R1497" s="422"/>
      <c r="S1497" s="422"/>
      <c r="T1497" s="422"/>
      <c r="U1497" s="422"/>
      <c r="V1497" s="422"/>
      <c r="W1497" s="422"/>
      <c r="X1497" s="421"/>
      <c r="Y1497" s="421"/>
      <c r="Z1497" s="421"/>
      <c r="AA1497" s="422"/>
      <c r="AB1497" s="422"/>
      <c r="AC1497" s="422"/>
      <c r="AD1497" s="422"/>
      <c r="AE1497" s="422"/>
      <c r="AF1497" s="422"/>
      <c r="AG1497" s="422"/>
      <c r="AH1497" s="422"/>
      <c r="AI1497" s="422"/>
      <c r="AJ1497" s="424"/>
    </row>
    <row r="1498" ht="15.0" customHeight="1">
      <c r="A1498" s="416"/>
      <c r="B1498" s="417"/>
      <c r="C1498" s="417"/>
      <c r="D1498" s="416"/>
      <c r="E1498" s="418"/>
      <c r="F1498" s="419"/>
      <c r="G1498" s="420"/>
      <c r="H1498" s="421"/>
      <c r="I1498" s="422"/>
      <c r="J1498" s="423"/>
      <c r="K1498" s="421"/>
      <c r="L1498" s="421"/>
      <c r="M1498" s="421"/>
      <c r="N1498" s="422"/>
      <c r="O1498" s="422"/>
      <c r="P1498" s="422"/>
      <c r="Q1498" s="422"/>
      <c r="R1498" s="422"/>
      <c r="S1498" s="422"/>
      <c r="T1498" s="422"/>
      <c r="U1498" s="422"/>
      <c r="V1498" s="422"/>
      <c r="W1498" s="422"/>
      <c r="X1498" s="421"/>
      <c r="Y1498" s="421"/>
      <c r="Z1498" s="421"/>
      <c r="AA1498" s="422"/>
      <c r="AB1498" s="422"/>
      <c r="AC1498" s="422"/>
      <c r="AD1498" s="422"/>
      <c r="AE1498" s="422"/>
      <c r="AF1498" s="422"/>
      <c r="AG1498" s="422"/>
      <c r="AH1498" s="422"/>
      <c r="AI1498" s="422"/>
      <c r="AJ1498" s="424"/>
    </row>
    <row r="1499" ht="15.0" customHeight="1">
      <c r="A1499" s="416"/>
      <c r="B1499" s="417"/>
      <c r="C1499" s="417"/>
      <c r="D1499" s="416"/>
      <c r="E1499" s="418"/>
      <c r="F1499" s="419"/>
      <c r="G1499" s="420"/>
      <c r="H1499" s="421"/>
      <c r="I1499" s="422"/>
      <c r="J1499" s="423"/>
      <c r="K1499" s="421"/>
      <c r="L1499" s="421"/>
      <c r="M1499" s="421"/>
      <c r="N1499" s="422"/>
      <c r="O1499" s="422"/>
      <c r="P1499" s="422"/>
      <c r="Q1499" s="422"/>
      <c r="R1499" s="422"/>
      <c r="S1499" s="422"/>
      <c r="T1499" s="422"/>
      <c r="U1499" s="422"/>
      <c r="V1499" s="422"/>
      <c r="W1499" s="422"/>
      <c r="X1499" s="421"/>
      <c r="Y1499" s="421"/>
      <c r="Z1499" s="421"/>
      <c r="AA1499" s="422"/>
      <c r="AB1499" s="422"/>
      <c r="AC1499" s="422"/>
      <c r="AD1499" s="422"/>
      <c r="AE1499" s="422"/>
      <c r="AF1499" s="422"/>
      <c r="AG1499" s="422"/>
      <c r="AH1499" s="422"/>
      <c r="AI1499" s="422"/>
      <c r="AJ1499" s="424"/>
    </row>
    <row r="1500" ht="15.0" customHeight="1">
      <c r="A1500" s="416"/>
      <c r="B1500" s="417"/>
      <c r="C1500" s="417"/>
      <c r="D1500" s="416"/>
      <c r="E1500" s="418"/>
      <c r="F1500" s="419"/>
      <c r="G1500" s="420"/>
      <c r="H1500" s="421"/>
      <c r="I1500" s="422"/>
      <c r="J1500" s="423"/>
      <c r="K1500" s="421"/>
      <c r="L1500" s="421"/>
      <c r="M1500" s="421"/>
      <c r="N1500" s="422"/>
      <c r="O1500" s="422"/>
      <c r="P1500" s="422"/>
      <c r="Q1500" s="422"/>
      <c r="R1500" s="422"/>
      <c r="S1500" s="422"/>
      <c r="T1500" s="422"/>
      <c r="U1500" s="422"/>
      <c r="V1500" s="422"/>
      <c r="W1500" s="422"/>
      <c r="X1500" s="421"/>
      <c r="Y1500" s="421"/>
      <c r="Z1500" s="421"/>
      <c r="AA1500" s="422"/>
      <c r="AB1500" s="422"/>
      <c r="AC1500" s="422"/>
      <c r="AD1500" s="422"/>
      <c r="AE1500" s="422"/>
      <c r="AF1500" s="422"/>
      <c r="AG1500" s="422"/>
      <c r="AH1500" s="422"/>
      <c r="AI1500" s="422"/>
      <c r="AJ1500" s="424"/>
    </row>
    <row r="1501" ht="15.0" customHeight="1">
      <c r="A1501" s="416"/>
      <c r="B1501" s="417"/>
      <c r="C1501" s="417"/>
      <c r="D1501" s="416"/>
      <c r="E1501" s="418"/>
      <c r="F1501" s="419"/>
      <c r="G1501" s="420"/>
      <c r="H1501" s="421"/>
      <c r="I1501" s="422"/>
      <c r="J1501" s="423"/>
      <c r="K1501" s="421"/>
      <c r="L1501" s="421"/>
      <c r="M1501" s="421"/>
      <c r="N1501" s="422"/>
      <c r="O1501" s="422"/>
      <c r="P1501" s="422"/>
      <c r="Q1501" s="422"/>
      <c r="R1501" s="422"/>
      <c r="S1501" s="422"/>
      <c r="T1501" s="422"/>
      <c r="U1501" s="422"/>
      <c r="V1501" s="422"/>
      <c r="W1501" s="422"/>
      <c r="X1501" s="421"/>
      <c r="Y1501" s="421"/>
      <c r="Z1501" s="421"/>
      <c r="AA1501" s="422"/>
      <c r="AB1501" s="422"/>
      <c r="AC1501" s="422"/>
      <c r="AD1501" s="422"/>
      <c r="AE1501" s="422"/>
      <c r="AF1501" s="422"/>
      <c r="AG1501" s="422"/>
      <c r="AH1501" s="422"/>
      <c r="AI1501" s="422"/>
      <c r="AJ1501" s="424"/>
    </row>
    <row r="1502" ht="15.0" customHeight="1">
      <c r="A1502" s="416"/>
      <c r="B1502" s="417"/>
      <c r="C1502" s="417"/>
      <c r="D1502" s="416"/>
      <c r="E1502" s="418"/>
      <c r="F1502" s="419"/>
      <c r="G1502" s="420"/>
      <c r="H1502" s="421"/>
      <c r="I1502" s="422"/>
      <c r="J1502" s="423"/>
      <c r="K1502" s="421"/>
      <c r="L1502" s="421"/>
      <c r="M1502" s="421"/>
      <c r="N1502" s="422"/>
      <c r="O1502" s="422"/>
      <c r="P1502" s="422"/>
      <c r="Q1502" s="422"/>
      <c r="R1502" s="422"/>
      <c r="S1502" s="422"/>
      <c r="T1502" s="422"/>
      <c r="U1502" s="422"/>
      <c r="V1502" s="422"/>
      <c r="W1502" s="422"/>
      <c r="X1502" s="421"/>
      <c r="Y1502" s="421"/>
      <c r="Z1502" s="421"/>
      <c r="AA1502" s="422"/>
      <c r="AB1502" s="422"/>
      <c r="AC1502" s="422"/>
      <c r="AD1502" s="422"/>
      <c r="AE1502" s="422"/>
      <c r="AF1502" s="422"/>
      <c r="AG1502" s="422"/>
      <c r="AH1502" s="422"/>
      <c r="AI1502" s="422"/>
      <c r="AJ1502" s="424"/>
    </row>
    <row r="1503" ht="15.0" customHeight="1">
      <c r="A1503" s="416"/>
      <c r="B1503" s="417"/>
      <c r="C1503" s="417"/>
      <c r="D1503" s="416"/>
      <c r="E1503" s="418"/>
      <c r="F1503" s="419"/>
      <c r="G1503" s="420"/>
      <c r="H1503" s="421"/>
      <c r="I1503" s="422"/>
      <c r="J1503" s="423"/>
      <c r="K1503" s="421"/>
      <c r="L1503" s="421"/>
      <c r="M1503" s="421"/>
      <c r="N1503" s="422"/>
      <c r="O1503" s="422"/>
      <c r="P1503" s="422"/>
      <c r="Q1503" s="422"/>
      <c r="R1503" s="422"/>
      <c r="S1503" s="422"/>
      <c r="T1503" s="422"/>
      <c r="U1503" s="422"/>
      <c r="V1503" s="422"/>
      <c r="W1503" s="422"/>
      <c r="X1503" s="421"/>
      <c r="Y1503" s="421"/>
      <c r="Z1503" s="421"/>
      <c r="AA1503" s="422"/>
      <c r="AB1503" s="422"/>
      <c r="AC1503" s="422"/>
      <c r="AD1503" s="422"/>
      <c r="AE1503" s="422"/>
      <c r="AF1503" s="422"/>
      <c r="AG1503" s="422"/>
      <c r="AH1503" s="422"/>
      <c r="AI1503" s="422"/>
      <c r="AJ1503" s="424"/>
    </row>
    <row r="1504" ht="15.0" customHeight="1">
      <c r="A1504" s="416"/>
      <c r="B1504" s="417"/>
      <c r="C1504" s="417"/>
      <c r="D1504" s="416"/>
      <c r="E1504" s="418"/>
      <c r="F1504" s="419"/>
      <c r="G1504" s="420"/>
      <c r="H1504" s="421"/>
      <c r="I1504" s="422"/>
      <c r="J1504" s="423"/>
      <c r="K1504" s="421"/>
      <c r="L1504" s="421"/>
      <c r="M1504" s="421"/>
      <c r="N1504" s="422"/>
      <c r="O1504" s="422"/>
      <c r="P1504" s="422"/>
      <c r="Q1504" s="422"/>
      <c r="R1504" s="422"/>
      <c r="S1504" s="422"/>
      <c r="T1504" s="422"/>
      <c r="U1504" s="422"/>
      <c r="V1504" s="422"/>
      <c r="W1504" s="422"/>
      <c r="X1504" s="421"/>
      <c r="Y1504" s="421"/>
      <c r="Z1504" s="421"/>
      <c r="AA1504" s="422"/>
      <c r="AB1504" s="422"/>
      <c r="AC1504" s="422"/>
      <c r="AD1504" s="422"/>
      <c r="AE1504" s="422"/>
      <c r="AF1504" s="422"/>
      <c r="AG1504" s="422"/>
      <c r="AH1504" s="422"/>
      <c r="AI1504" s="422"/>
      <c r="AJ1504" s="424"/>
    </row>
    <row r="1505" ht="15.0" customHeight="1">
      <c r="A1505" s="416"/>
      <c r="B1505" s="417"/>
      <c r="C1505" s="417"/>
      <c r="D1505" s="416"/>
      <c r="E1505" s="418"/>
      <c r="F1505" s="419"/>
      <c r="G1505" s="420"/>
      <c r="H1505" s="421"/>
      <c r="I1505" s="422"/>
      <c r="J1505" s="423"/>
      <c r="K1505" s="421"/>
      <c r="L1505" s="421"/>
      <c r="M1505" s="421"/>
      <c r="N1505" s="422"/>
      <c r="O1505" s="422"/>
      <c r="P1505" s="422"/>
      <c r="Q1505" s="422"/>
      <c r="R1505" s="422"/>
      <c r="S1505" s="422"/>
      <c r="T1505" s="422"/>
      <c r="U1505" s="422"/>
      <c r="V1505" s="422"/>
      <c r="W1505" s="422"/>
      <c r="X1505" s="421"/>
      <c r="Y1505" s="421"/>
      <c r="Z1505" s="421"/>
      <c r="AA1505" s="422"/>
      <c r="AB1505" s="422"/>
      <c r="AC1505" s="422"/>
      <c r="AD1505" s="422"/>
      <c r="AE1505" s="422"/>
      <c r="AF1505" s="422"/>
      <c r="AG1505" s="422"/>
      <c r="AH1505" s="422"/>
      <c r="AI1505" s="422"/>
      <c r="AJ1505" s="424"/>
    </row>
    <row r="1506" ht="15.0" customHeight="1">
      <c r="A1506" s="416"/>
      <c r="B1506" s="417"/>
      <c r="C1506" s="417"/>
      <c r="D1506" s="416"/>
      <c r="E1506" s="418"/>
      <c r="F1506" s="419"/>
      <c r="G1506" s="420"/>
      <c r="H1506" s="421"/>
      <c r="I1506" s="422"/>
      <c r="J1506" s="423"/>
      <c r="K1506" s="421"/>
      <c r="L1506" s="421"/>
      <c r="M1506" s="421"/>
      <c r="N1506" s="422"/>
      <c r="O1506" s="422"/>
      <c r="P1506" s="422"/>
      <c r="Q1506" s="422"/>
      <c r="R1506" s="422"/>
      <c r="S1506" s="422"/>
      <c r="T1506" s="422"/>
      <c r="U1506" s="422"/>
      <c r="V1506" s="422"/>
      <c r="W1506" s="422"/>
      <c r="X1506" s="421"/>
      <c r="Y1506" s="421"/>
      <c r="Z1506" s="421"/>
      <c r="AA1506" s="422"/>
      <c r="AB1506" s="422"/>
      <c r="AC1506" s="422"/>
      <c r="AD1506" s="422"/>
      <c r="AE1506" s="422"/>
      <c r="AF1506" s="422"/>
      <c r="AG1506" s="422"/>
      <c r="AH1506" s="422"/>
      <c r="AI1506" s="422"/>
      <c r="AJ1506" s="424"/>
    </row>
    <row r="1507" ht="15.0" customHeight="1">
      <c r="A1507" s="416"/>
      <c r="B1507" s="417"/>
      <c r="C1507" s="417"/>
      <c r="D1507" s="416"/>
      <c r="E1507" s="418"/>
      <c r="F1507" s="419"/>
      <c r="G1507" s="420"/>
      <c r="H1507" s="421"/>
      <c r="I1507" s="422"/>
      <c r="J1507" s="423"/>
      <c r="K1507" s="421"/>
      <c r="L1507" s="421"/>
      <c r="M1507" s="421"/>
      <c r="N1507" s="422"/>
      <c r="O1507" s="422"/>
      <c r="P1507" s="422"/>
      <c r="Q1507" s="422"/>
      <c r="R1507" s="422"/>
      <c r="S1507" s="422"/>
      <c r="T1507" s="422"/>
      <c r="U1507" s="422"/>
      <c r="V1507" s="422"/>
      <c r="W1507" s="422"/>
      <c r="X1507" s="421"/>
      <c r="Y1507" s="421"/>
      <c r="Z1507" s="421"/>
      <c r="AA1507" s="422"/>
      <c r="AB1507" s="422"/>
      <c r="AC1507" s="422"/>
      <c r="AD1507" s="422"/>
      <c r="AE1507" s="422"/>
      <c r="AF1507" s="422"/>
      <c r="AG1507" s="422"/>
      <c r="AH1507" s="422"/>
      <c r="AI1507" s="422"/>
      <c r="AJ1507" s="424"/>
    </row>
    <row r="1508" ht="15.0" customHeight="1">
      <c r="A1508" s="416"/>
      <c r="B1508" s="417"/>
      <c r="C1508" s="417"/>
      <c r="D1508" s="416"/>
      <c r="E1508" s="418"/>
      <c r="F1508" s="419"/>
      <c r="G1508" s="420"/>
      <c r="H1508" s="421"/>
      <c r="I1508" s="422"/>
      <c r="J1508" s="423"/>
      <c r="K1508" s="421"/>
      <c r="L1508" s="421"/>
      <c r="M1508" s="421"/>
      <c r="N1508" s="422"/>
      <c r="O1508" s="422"/>
      <c r="P1508" s="422"/>
      <c r="Q1508" s="422"/>
      <c r="R1508" s="422"/>
      <c r="S1508" s="422"/>
      <c r="T1508" s="422"/>
      <c r="U1508" s="422"/>
      <c r="V1508" s="422"/>
      <c r="W1508" s="422"/>
      <c r="X1508" s="421"/>
      <c r="Y1508" s="421"/>
      <c r="Z1508" s="421"/>
      <c r="AA1508" s="422"/>
      <c r="AB1508" s="422"/>
      <c r="AC1508" s="422"/>
      <c r="AD1508" s="422"/>
      <c r="AE1508" s="422"/>
      <c r="AF1508" s="422"/>
      <c r="AG1508" s="422"/>
      <c r="AH1508" s="422"/>
      <c r="AI1508" s="422"/>
      <c r="AJ1508" s="424"/>
    </row>
    <row r="1509" ht="15.0" customHeight="1">
      <c r="A1509" s="416"/>
      <c r="B1509" s="417"/>
      <c r="C1509" s="417"/>
      <c r="D1509" s="416"/>
      <c r="E1509" s="418"/>
      <c r="F1509" s="419"/>
      <c r="G1509" s="420"/>
      <c r="H1509" s="421"/>
      <c r="I1509" s="422"/>
      <c r="J1509" s="423"/>
      <c r="K1509" s="421"/>
      <c r="L1509" s="421"/>
      <c r="M1509" s="421"/>
      <c r="N1509" s="422"/>
      <c r="O1509" s="422"/>
      <c r="P1509" s="422"/>
      <c r="Q1509" s="422"/>
      <c r="R1509" s="422"/>
      <c r="S1509" s="422"/>
      <c r="T1509" s="422"/>
      <c r="U1509" s="422"/>
      <c r="V1509" s="422"/>
      <c r="W1509" s="422"/>
      <c r="X1509" s="421"/>
      <c r="Y1509" s="421"/>
      <c r="Z1509" s="421"/>
      <c r="AA1509" s="422"/>
      <c r="AB1509" s="422"/>
      <c r="AC1509" s="422"/>
      <c r="AD1509" s="422"/>
      <c r="AE1509" s="422"/>
      <c r="AF1509" s="422"/>
      <c r="AG1509" s="422"/>
      <c r="AH1509" s="422"/>
      <c r="AI1509" s="422"/>
      <c r="AJ1509" s="424"/>
    </row>
    <row r="1510" ht="15.0" customHeight="1">
      <c r="A1510" s="416"/>
      <c r="B1510" s="417"/>
      <c r="C1510" s="417"/>
      <c r="D1510" s="416"/>
      <c r="E1510" s="418"/>
      <c r="F1510" s="419"/>
      <c r="G1510" s="420"/>
      <c r="H1510" s="421"/>
      <c r="I1510" s="422"/>
      <c r="J1510" s="423"/>
      <c r="K1510" s="421"/>
      <c r="L1510" s="421"/>
      <c r="M1510" s="421"/>
      <c r="N1510" s="422"/>
      <c r="O1510" s="422"/>
      <c r="P1510" s="422"/>
      <c r="Q1510" s="422"/>
      <c r="R1510" s="422"/>
      <c r="S1510" s="422"/>
      <c r="T1510" s="422"/>
      <c r="U1510" s="422"/>
      <c r="V1510" s="422"/>
      <c r="W1510" s="422"/>
      <c r="X1510" s="421"/>
      <c r="Y1510" s="421"/>
      <c r="Z1510" s="421"/>
      <c r="AA1510" s="422"/>
      <c r="AB1510" s="422"/>
      <c r="AC1510" s="422"/>
      <c r="AD1510" s="422"/>
      <c r="AE1510" s="422"/>
      <c r="AF1510" s="422"/>
      <c r="AG1510" s="422"/>
      <c r="AH1510" s="422"/>
      <c r="AI1510" s="422"/>
      <c r="AJ1510" s="424"/>
    </row>
    <row r="1511" ht="15.0" customHeight="1">
      <c r="A1511" s="416"/>
      <c r="B1511" s="417"/>
      <c r="C1511" s="417"/>
      <c r="D1511" s="416"/>
      <c r="E1511" s="418"/>
      <c r="F1511" s="419"/>
      <c r="G1511" s="420"/>
      <c r="H1511" s="421"/>
      <c r="I1511" s="422"/>
      <c r="J1511" s="423"/>
      <c r="K1511" s="421"/>
      <c r="L1511" s="421"/>
      <c r="M1511" s="421"/>
      <c r="N1511" s="422"/>
      <c r="O1511" s="422"/>
      <c r="P1511" s="422"/>
      <c r="Q1511" s="422"/>
      <c r="R1511" s="422"/>
      <c r="S1511" s="422"/>
      <c r="T1511" s="422"/>
      <c r="U1511" s="422"/>
      <c r="V1511" s="422"/>
      <c r="W1511" s="422"/>
      <c r="X1511" s="421"/>
      <c r="Y1511" s="421"/>
      <c r="Z1511" s="421"/>
      <c r="AA1511" s="422"/>
      <c r="AB1511" s="422"/>
      <c r="AC1511" s="422"/>
      <c r="AD1511" s="422"/>
      <c r="AE1511" s="422"/>
      <c r="AF1511" s="422"/>
      <c r="AG1511" s="422"/>
      <c r="AH1511" s="422"/>
      <c r="AI1511" s="422"/>
      <c r="AJ1511" s="424"/>
    </row>
    <row r="1512" ht="15.0" customHeight="1">
      <c r="A1512" s="416"/>
      <c r="B1512" s="417"/>
      <c r="C1512" s="417"/>
      <c r="D1512" s="416"/>
      <c r="E1512" s="418"/>
      <c r="F1512" s="419"/>
      <c r="G1512" s="420"/>
      <c r="H1512" s="421"/>
      <c r="I1512" s="422"/>
      <c r="J1512" s="423"/>
      <c r="K1512" s="421"/>
      <c r="L1512" s="421"/>
      <c r="M1512" s="421"/>
      <c r="N1512" s="422"/>
      <c r="O1512" s="422"/>
      <c r="P1512" s="422"/>
      <c r="Q1512" s="422"/>
      <c r="R1512" s="422"/>
      <c r="S1512" s="422"/>
      <c r="T1512" s="422"/>
      <c r="U1512" s="422"/>
      <c r="V1512" s="422"/>
      <c r="W1512" s="422"/>
      <c r="X1512" s="421"/>
      <c r="Y1512" s="421"/>
      <c r="Z1512" s="421"/>
      <c r="AA1512" s="422"/>
      <c r="AB1512" s="422"/>
      <c r="AC1512" s="422"/>
      <c r="AD1512" s="422"/>
      <c r="AE1512" s="422"/>
      <c r="AF1512" s="422"/>
      <c r="AG1512" s="422"/>
      <c r="AH1512" s="422"/>
      <c r="AI1512" s="422"/>
      <c r="AJ1512" s="424"/>
    </row>
    <row r="1513" ht="15.0" customHeight="1">
      <c r="A1513" s="416"/>
      <c r="B1513" s="417"/>
      <c r="C1513" s="417"/>
      <c r="D1513" s="416"/>
      <c r="E1513" s="418"/>
      <c r="F1513" s="419"/>
      <c r="G1513" s="420"/>
      <c r="H1513" s="421"/>
      <c r="I1513" s="422"/>
      <c r="J1513" s="423"/>
      <c r="K1513" s="421"/>
      <c r="L1513" s="421"/>
      <c r="M1513" s="421"/>
      <c r="N1513" s="422"/>
      <c r="O1513" s="422"/>
      <c r="P1513" s="422"/>
      <c r="Q1513" s="422"/>
      <c r="R1513" s="422"/>
      <c r="S1513" s="422"/>
      <c r="T1513" s="422"/>
      <c r="U1513" s="422"/>
      <c r="V1513" s="422"/>
      <c r="W1513" s="422"/>
      <c r="X1513" s="421"/>
      <c r="Y1513" s="421"/>
      <c r="Z1513" s="421"/>
      <c r="AA1513" s="422"/>
      <c r="AB1513" s="422"/>
      <c r="AC1513" s="422"/>
      <c r="AD1513" s="422"/>
      <c r="AE1513" s="422"/>
      <c r="AF1513" s="422"/>
      <c r="AG1513" s="422"/>
      <c r="AH1513" s="422"/>
      <c r="AI1513" s="422"/>
      <c r="AJ1513" s="424"/>
    </row>
    <row r="1514" ht="15.0" customHeight="1">
      <c r="A1514" s="416"/>
      <c r="B1514" s="417"/>
      <c r="C1514" s="417"/>
      <c r="D1514" s="416"/>
      <c r="E1514" s="418"/>
      <c r="F1514" s="419"/>
      <c r="G1514" s="420"/>
      <c r="H1514" s="421"/>
      <c r="I1514" s="422"/>
      <c r="J1514" s="423"/>
      <c r="K1514" s="421"/>
      <c r="L1514" s="421"/>
      <c r="M1514" s="421"/>
      <c r="N1514" s="422"/>
      <c r="O1514" s="422"/>
      <c r="P1514" s="422"/>
      <c r="Q1514" s="422"/>
      <c r="R1514" s="422"/>
      <c r="S1514" s="422"/>
      <c r="T1514" s="422"/>
      <c r="U1514" s="422"/>
      <c r="V1514" s="422"/>
      <c r="W1514" s="422"/>
      <c r="X1514" s="421"/>
      <c r="Y1514" s="421"/>
      <c r="Z1514" s="421"/>
      <c r="AA1514" s="422"/>
      <c r="AB1514" s="422"/>
      <c r="AC1514" s="422"/>
      <c r="AD1514" s="422"/>
      <c r="AE1514" s="422"/>
      <c r="AF1514" s="422"/>
      <c r="AG1514" s="422"/>
      <c r="AH1514" s="422"/>
      <c r="AI1514" s="422"/>
      <c r="AJ1514" s="424"/>
    </row>
    <row r="1515" ht="15.0" customHeight="1">
      <c r="A1515" s="416"/>
      <c r="B1515" s="417"/>
      <c r="C1515" s="417"/>
      <c r="D1515" s="416"/>
      <c r="E1515" s="418"/>
      <c r="F1515" s="419"/>
      <c r="G1515" s="420"/>
      <c r="H1515" s="421"/>
      <c r="I1515" s="422"/>
      <c r="J1515" s="423"/>
      <c r="K1515" s="421"/>
      <c r="L1515" s="421"/>
      <c r="M1515" s="421"/>
      <c r="N1515" s="422"/>
      <c r="O1515" s="422"/>
      <c r="P1515" s="422"/>
      <c r="Q1515" s="422"/>
      <c r="R1515" s="422"/>
      <c r="S1515" s="422"/>
      <c r="T1515" s="422"/>
      <c r="U1515" s="422"/>
      <c r="V1515" s="422"/>
      <c r="W1515" s="422"/>
      <c r="X1515" s="421"/>
      <c r="Y1515" s="421"/>
      <c r="Z1515" s="421"/>
      <c r="AA1515" s="422"/>
      <c r="AB1515" s="422"/>
      <c r="AC1515" s="422"/>
      <c r="AD1515" s="422"/>
      <c r="AE1515" s="422"/>
      <c r="AF1515" s="422"/>
      <c r="AG1515" s="422"/>
      <c r="AH1515" s="422"/>
      <c r="AI1515" s="422"/>
      <c r="AJ1515" s="424"/>
    </row>
    <row r="1516" ht="15.0" customHeight="1">
      <c r="A1516" s="416"/>
      <c r="B1516" s="417"/>
      <c r="C1516" s="417"/>
      <c r="D1516" s="416"/>
      <c r="E1516" s="418"/>
      <c r="F1516" s="419"/>
      <c r="G1516" s="420"/>
      <c r="H1516" s="421"/>
      <c r="I1516" s="422"/>
      <c r="J1516" s="423"/>
      <c r="K1516" s="421"/>
      <c r="L1516" s="421"/>
      <c r="M1516" s="421"/>
      <c r="N1516" s="422"/>
      <c r="O1516" s="422"/>
      <c r="P1516" s="422"/>
      <c r="Q1516" s="422"/>
      <c r="R1516" s="422"/>
      <c r="S1516" s="422"/>
      <c r="T1516" s="422"/>
      <c r="U1516" s="422"/>
      <c r="V1516" s="422"/>
      <c r="W1516" s="422"/>
      <c r="X1516" s="421"/>
      <c r="Y1516" s="421"/>
      <c r="Z1516" s="421"/>
      <c r="AA1516" s="422"/>
      <c r="AB1516" s="422"/>
      <c r="AC1516" s="422"/>
      <c r="AD1516" s="422"/>
      <c r="AE1516" s="422"/>
      <c r="AF1516" s="422"/>
      <c r="AG1516" s="422"/>
      <c r="AH1516" s="422"/>
      <c r="AI1516" s="422"/>
      <c r="AJ1516" s="424"/>
    </row>
    <row r="1517" ht="15.0" customHeight="1">
      <c r="A1517" s="416"/>
      <c r="B1517" s="417"/>
      <c r="C1517" s="417"/>
      <c r="D1517" s="416"/>
      <c r="E1517" s="418"/>
      <c r="F1517" s="419"/>
      <c r="G1517" s="420"/>
      <c r="H1517" s="421"/>
      <c r="I1517" s="422"/>
      <c r="J1517" s="423"/>
      <c r="K1517" s="421"/>
      <c r="L1517" s="421"/>
      <c r="M1517" s="421"/>
      <c r="N1517" s="422"/>
      <c r="O1517" s="422"/>
      <c r="P1517" s="422"/>
      <c r="Q1517" s="422"/>
      <c r="R1517" s="422"/>
      <c r="S1517" s="422"/>
      <c r="T1517" s="422"/>
      <c r="U1517" s="422"/>
      <c r="V1517" s="422"/>
      <c r="W1517" s="422"/>
      <c r="X1517" s="421"/>
      <c r="Y1517" s="421"/>
      <c r="Z1517" s="421"/>
      <c r="AA1517" s="422"/>
      <c r="AB1517" s="422"/>
      <c r="AC1517" s="422"/>
      <c r="AD1517" s="422"/>
      <c r="AE1517" s="422"/>
      <c r="AF1517" s="422"/>
      <c r="AG1517" s="422"/>
      <c r="AH1517" s="422"/>
      <c r="AI1517" s="422"/>
      <c r="AJ1517" s="424"/>
    </row>
    <row r="1518" ht="15.0" customHeight="1">
      <c r="A1518" s="416"/>
      <c r="B1518" s="417"/>
      <c r="C1518" s="417"/>
      <c r="D1518" s="416"/>
      <c r="E1518" s="418"/>
      <c r="F1518" s="419"/>
      <c r="G1518" s="420"/>
      <c r="H1518" s="421"/>
      <c r="I1518" s="422"/>
      <c r="J1518" s="423"/>
      <c r="K1518" s="421"/>
      <c r="L1518" s="421"/>
      <c r="M1518" s="421"/>
      <c r="N1518" s="422"/>
      <c r="O1518" s="422"/>
      <c r="P1518" s="422"/>
      <c r="Q1518" s="422"/>
      <c r="R1518" s="422"/>
      <c r="S1518" s="422"/>
      <c r="T1518" s="422"/>
      <c r="U1518" s="422"/>
      <c r="V1518" s="422"/>
      <c r="W1518" s="422"/>
      <c r="X1518" s="421"/>
      <c r="Y1518" s="421"/>
      <c r="Z1518" s="421"/>
      <c r="AA1518" s="422"/>
      <c r="AB1518" s="422"/>
      <c r="AC1518" s="422"/>
      <c r="AD1518" s="422"/>
      <c r="AE1518" s="422"/>
      <c r="AF1518" s="422"/>
      <c r="AG1518" s="422"/>
      <c r="AH1518" s="422"/>
      <c r="AI1518" s="422"/>
      <c r="AJ1518" s="424"/>
    </row>
    <row r="1519" ht="15.0" customHeight="1">
      <c r="A1519" s="416"/>
      <c r="B1519" s="417"/>
      <c r="C1519" s="417"/>
      <c r="D1519" s="416"/>
      <c r="E1519" s="418"/>
      <c r="F1519" s="419"/>
      <c r="G1519" s="420"/>
      <c r="H1519" s="421"/>
      <c r="I1519" s="422"/>
      <c r="J1519" s="423"/>
      <c r="K1519" s="421"/>
      <c r="L1519" s="421"/>
      <c r="M1519" s="421"/>
      <c r="N1519" s="422"/>
      <c r="O1519" s="422"/>
      <c r="P1519" s="422"/>
      <c r="Q1519" s="422"/>
      <c r="R1519" s="422"/>
      <c r="S1519" s="422"/>
      <c r="T1519" s="422"/>
      <c r="U1519" s="422"/>
      <c r="V1519" s="422"/>
      <c r="W1519" s="422"/>
      <c r="X1519" s="421"/>
      <c r="Y1519" s="421"/>
      <c r="Z1519" s="421"/>
      <c r="AA1519" s="422"/>
      <c r="AB1519" s="422"/>
      <c r="AC1519" s="422"/>
      <c r="AD1519" s="422"/>
      <c r="AE1519" s="422"/>
      <c r="AF1519" s="422"/>
      <c r="AG1519" s="422"/>
      <c r="AH1519" s="422"/>
      <c r="AI1519" s="422"/>
      <c r="AJ1519" s="424"/>
    </row>
    <row r="1520" ht="15.0" customHeight="1">
      <c r="A1520" s="416"/>
      <c r="B1520" s="417"/>
      <c r="C1520" s="417"/>
      <c r="D1520" s="416"/>
      <c r="E1520" s="418"/>
      <c r="F1520" s="419"/>
      <c r="G1520" s="420"/>
      <c r="H1520" s="421"/>
      <c r="I1520" s="422"/>
      <c r="J1520" s="423"/>
      <c r="K1520" s="421"/>
      <c r="L1520" s="421"/>
      <c r="M1520" s="421"/>
      <c r="N1520" s="422"/>
      <c r="O1520" s="422"/>
      <c r="P1520" s="422"/>
      <c r="Q1520" s="422"/>
      <c r="R1520" s="422"/>
      <c r="S1520" s="422"/>
      <c r="T1520" s="422"/>
      <c r="U1520" s="422"/>
      <c r="V1520" s="422"/>
      <c r="W1520" s="422"/>
      <c r="X1520" s="421"/>
      <c r="Y1520" s="421"/>
      <c r="Z1520" s="421"/>
      <c r="AA1520" s="422"/>
      <c r="AB1520" s="422"/>
      <c r="AC1520" s="422"/>
      <c r="AD1520" s="422"/>
      <c r="AE1520" s="422"/>
      <c r="AF1520" s="422"/>
      <c r="AG1520" s="422"/>
      <c r="AH1520" s="422"/>
      <c r="AI1520" s="422"/>
      <c r="AJ1520" s="424"/>
    </row>
    <row r="1521" ht="15.0" customHeight="1">
      <c r="A1521" s="416"/>
      <c r="B1521" s="417"/>
      <c r="C1521" s="417"/>
      <c r="D1521" s="416"/>
      <c r="E1521" s="418"/>
      <c r="F1521" s="419"/>
      <c r="G1521" s="420"/>
      <c r="H1521" s="421"/>
      <c r="I1521" s="422"/>
      <c r="J1521" s="423"/>
      <c r="K1521" s="421"/>
      <c r="L1521" s="421"/>
      <c r="M1521" s="421"/>
      <c r="N1521" s="422"/>
      <c r="O1521" s="422"/>
      <c r="P1521" s="422"/>
      <c r="Q1521" s="422"/>
      <c r="R1521" s="422"/>
      <c r="S1521" s="422"/>
      <c r="T1521" s="422"/>
      <c r="U1521" s="422"/>
      <c r="V1521" s="422"/>
      <c r="W1521" s="422"/>
      <c r="X1521" s="421"/>
      <c r="Y1521" s="421"/>
      <c r="Z1521" s="421"/>
      <c r="AA1521" s="422"/>
      <c r="AB1521" s="422"/>
      <c r="AC1521" s="422"/>
      <c r="AD1521" s="422"/>
      <c r="AE1521" s="422"/>
      <c r="AF1521" s="422"/>
      <c r="AG1521" s="422"/>
      <c r="AH1521" s="422"/>
      <c r="AI1521" s="422"/>
      <c r="AJ1521" s="424"/>
    </row>
    <row r="1522" ht="15.0" customHeight="1">
      <c r="A1522" s="416"/>
      <c r="B1522" s="417"/>
      <c r="C1522" s="417"/>
      <c r="D1522" s="416"/>
      <c r="E1522" s="418"/>
      <c r="F1522" s="419"/>
      <c r="G1522" s="420"/>
      <c r="H1522" s="421"/>
      <c r="I1522" s="422"/>
      <c r="J1522" s="423"/>
      <c r="K1522" s="421"/>
      <c r="L1522" s="421"/>
      <c r="M1522" s="421"/>
      <c r="N1522" s="422"/>
      <c r="O1522" s="422"/>
      <c r="P1522" s="422"/>
      <c r="Q1522" s="422"/>
      <c r="R1522" s="422"/>
      <c r="S1522" s="422"/>
      <c r="T1522" s="422"/>
      <c r="U1522" s="422"/>
      <c r="V1522" s="422"/>
      <c r="W1522" s="422"/>
      <c r="X1522" s="421"/>
      <c r="Y1522" s="421"/>
      <c r="Z1522" s="421"/>
      <c r="AA1522" s="422"/>
      <c r="AB1522" s="422"/>
      <c r="AC1522" s="422"/>
      <c r="AD1522" s="422"/>
      <c r="AE1522" s="422"/>
      <c r="AF1522" s="422"/>
      <c r="AG1522" s="422"/>
      <c r="AH1522" s="422"/>
      <c r="AI1522" s="422"/>
      <c r="AJ1522" s="424"/>
    </row>
    <row r="1523" ht="15.0" customHeight="1">
      <c r="A1523" s="416"/>
      <c r="B1523" s="417"/>
      <c r="C1523" s="417"/>
      <c r="D1523" s="416"/>
      <c r="E1523" s="418"/>
      <c r="F1523" s="419"/>
      <c r="G1523" s="420"/>
      <c r="H1523" s="421"/>
      <c r="I1523" s="422"/>
      <c r="J1523" s="423"/>
      <c r="K1523" s="421"/>
      <c r="L1523" s="421"/>
      <c r="M1523" s="421"/>
      <c r="N1523" s="422"/>
      <c r="O1523" s="422"/>
      <c r="P1523" s="422"/>
      <c r="Q1523" s="422"/>
      <c r="R1523" s="422"/>
      <c r="S1523" s="422"/>
      <c r="T1523" s="422"/>
      <c r="U1523" s="422"/>
      <c r="V1523" s="422"/>
      <c r="W1523" s="422"/>
      <c r="X1523" s="421"/>
      <c r="Y1523" s="421"/>
      <c r="Z1523" s="421"/>
      <c r="AA1523" s="422"/>
      <c r="AB1523" s="422"/>
      <c r="AC1523" s="422"/>
      <c r="AD1523" s="422"/>
      <c r="AE1523" s="422"/>
      <c r="AF1523" s="422"/>
      <c r="AG1523" s="422"/>
      <c r="AH1523" s="422"/>
      <c r="AI1523" s="422"/>
      <c r="AJ1523" s="424"/>
    </row>
    <row r="1524" ht="15.0" customHeight="1">
      <c r="A1524" s="416"/>
      <c r="B1524" s="417"/>
      <c r="C1524" s="417"/>
      <c r="D1524" s="416"/>
      <c r="E1524" s="418"/>
      <c r="F1524" s="419"/>
      <c r="G1524" s="420"/>
      <c r="H1524" s="421"/>
      <c r="I1524" s="422"/>
      <c r="J1524" s="423"/>
      <c r="K1524" s="421"/>
      <c r="L1524" s="421"/>
      <c r="M1524" s="421"/>
      <c r="N1524" s="422"/>
      <c r="O1524" s="422"/>
      <c r="P1524" s="422"/>
      <c r="Q1524" s="422"/>
      <c r="R1524" s="422"/>
      <c r="S1524" s="422"/>
      <c r="T1524" s="422"/>
      <c r="U1524" s="422"/>
      <c r="V1524" s="422"/>
      <c r="W1524" s="422"/>
      <c r="X1524" s="421"/>
      <c r="Y1524" s="421"/>
      <c r="Z1524" s="421"/>
      <c r="AA1524" s="422"/>
      <c r="AB1524" s="422"/>
      <c r="AC1524" s="422"/>
      <c r="AD1524" s="422"/>
      <c r="AE1524" s="422"/>
      <c r="AF1524" s="422"/>
      <c r="AG1524" s="422"/>
      <c r="AH1524" s="422"/>
      <c r="AI1524" s="422"/>
      <c r="AJ1524" s="424"/>
    </row>
    <row r="1525" ht="15.0" customHeight="1">
      <c r="A1525" s="416"/>
      <c r="B1525" s="417"/>
      <c r="C1525" s="417"/>
      <c r="D1525" s="416"/>
      <c r="E1525" s="418"/>
      <c r="F1525" s="419"/>
      <c r="G1525" s="420"/>
      <c r="H1525" s="421"/>
      <c r="I1525" s="422"/>
      <c r="J1525" s="423"/>
      <c r="K1525" s="421"/>
      <c r="L1525" s="421"/>
      <c r="M1525" s="421"/>
      <c r="N1525" s="422"/>
      <c r="O1525" s="422"/>
      <c r="P1525" s="422"/>
      <c r="Q1525" s="422"/>
      <c r="R1525" s="422"/>
      <c r="S1525" s="422"/>
      <c r="T1525" s="422"/>
      <c r="U1525" s="422"/>
      <c r="V1525" s="422"/>
      <c r="W1525" s="422"/>
      <c r="X1525" s="421"/>
      <c r="Y1525" s="421"/>
      <c r="Z1525" s="421"/>
      <c r="AA1525" s="422"/>
      <c r="AB1525" s="422"/>
      <c r="AC1525" s="422"/>
      <c r="AD1525" s="422"/>
      <c r="AE1525" s="422"/>
      <c r="AF1525" s="422"/>
      <c r="AG1525" s="422"/>
      <c r="AH1525" s="422"/>
      <c r="AI1525" s="422"/>
      <c r="AJ1525" s="424"/>
    </row>
    <row r="1526" ht="15.0" customHeight="1">
      <c r="A1526" s="416"/>
      <c r="B1526" s="417"/>
      <c r="C1526" s="417"/>
      <c r="D1526" s="416"/>
      <c r="E1526" s="418"/>
      <c r="F1526" s="419"/>
      <c r="G1526" s="420"/>
      <c r="H1526" s="421"/>
      <c r="I1526" s="422"/>
      <c r="J1526" s="423"/>
      <c r="K1526" s="421"/>
      <c r="L1526" s="421"/>
      <c r="M1526" s="421"/>
      <c r="N1526" s="422"/>
      <c r="O1526" s="422"/>
      <c r="P1526" s="422"/>
      <c r="Q1526" s="422"/>
      <c r="R1526" s="422"/>
      <c r="S1526" s="422"/>
      <c r="T1526" s="422"/>
      <c r="U1526" s="422"/>
      <c r="V1526" s="422"/>
      <c r="W1526" s="422"/>
      <c r="X1526" s="421"/>
      <c r="Y1526" s="421"/>
      <c r="Z1526" s="421"/>
      <c r="AA1526" s="422"/>
      <c r="AB1526" s="422"/>
      <c r="AC1526" s="422"/>
      <c r="AD1526" s="422"/>
      <c r="AE1526" s="422"/>
      <c r="AF1526" s="422"/>
      <c r="AG1526" s="422"/>
      <c r="AH1526" s="422"/>
      <c r="AI1526" s="422"/>
      <c r="AJ1526" s="424"/>
    </row>
    <row r="1527" ht="15.0" customHeight="1">
      <c r="A1527" s="416"/>
      <c r="B1527" s="417"/>
      <c r="C1527" s="417"/>
      <c r="D1527" s="416"/>
      <c r="E1527" s="418"/>
      <c r="F1527" s="419"/>
      <c r="G1527" s="420"/>
      <c r="H1527" s="421"/>
      <c r="I1527" s="422"/>
      <c r="J1527" s="423"/>
      <c r="K1527" s="421"/>
      <c r="L1527" s="421"/>
      <c r="M1527" s="421"/>
      <c r="N1527" s="422"/>
      <c r="O1527" s="422"/>
      <c r="P1527" s="422"/>
      <c r="Q1527" s="422"/>
      <c r="R1527" s="422"/>
      <c r="S1527" s="422"/>
      <c r="T1527" s="422"/>
      <c r="U1527" s="422"/>
      <c r="V1527" s="422"/>
      <c r="W1527" s="422"/>
      <c r="X1527" s="421"/>
      <c r="Y1527" s="421"/>
      <c r="Z1527" s="421"/>
      <c r="AA1527" s="422"/>
      <c r="AB1527" s="422"/>
      <c r="AC1527" s="422"/>
      <c r="AD1527" s="422"/>
      <c r="AE1527" s="422"/>
      <c r="AF1527" s="422"/>
      <c r="AG1527" s="422"/>
      <c r="AH1527" s="422"/>
      <c r="AI1527" s="422"/>
      <c r="AJ1527" s="424"/>
    </row>
    <row r="1528" ht="15.0" customHeight="1">
      <c r="A1528" s="416"/>
      <c r="B1528" s="417"/>
      <c r="C1528" s="417"/>
      <c r="D1528" s="416"/>
      <c r="E1528" s="418"/>
      <c r="F1528" s="419"/>
      <c r="G1528" s="420"/>
      <c r="H1528" s="421"/>
      <c r="I1528" s="422"/>
      <c r="J1528" s="423"/>
      <c r="K1528" s="421"/>
      <c r="L1528" s="421"/>
      <c r="M1528" s="421"/>
      <c r="N1528" s="422"/>
      <c r="O1528" s="422"/>
      <c r="P1528" s="422"/>
      <c r="Q1528" s="422"/>
      <c r="R1528" s="422"/>
      <c r="S1528" s="422"/>
      <c r="T1528" s="422"/>
      <c r="U1528" s="422"/>
      <c r="V1528" s="422"/>
      <c r="W1528" s="422"/>
      <c r="X1528" s="421"/>
      <c r="Y1528" s="421"/>
      <c r="Z1528" s="421"/>
      <c r="AA1528" s="422"/>
      <c r="AB1528" s="422"/>
      <c r="AC1528" s="422"/>
      <c r="AD1528" s="422"/>
      <c r="AE1528" s="422"/>
      <c r="AF1528" s="422"/>
      <c r="AG1528" s="422"/>
      <c r="AH1528" s="422"/>
      <c r="AI1528" s="422"/>
      <c r="AJ1528" s="424"/>
    </row>
    <row r="1529" ht="15.0" customHeight="1">
      <c r="A1529" s="416"/>
      <c r="B1529" s="417"/>
      <c r="C1529" s="417"/>
      <c r="D1529" s="416"/>
      <c r="E1529" s="418"/>
      <c r="F1529" s="419"/>
      <c r="G1529" s="420"/>
      <c r="H1529" s="421"/>
      <c r="I1529" s="422"/>
      <c r="J1529" s="423"/>
      <c r="K1529" s="421"/>
      <c r="L1529" s="421"/>
      <c r="M1529" s="421"/>
      <c r="N1529" s="422"/>
      <c r="O1529" s="422"/>
      <c r="P1529" s="422"/>
      <c r="Q1529" s="422"/>
      <c r="R1529" s="422"/>
      <c r="S1529" s="422"/>
      <c r="T1529" s="422"/>
      <c r="U1529" s="422"/>
      <c r="V1529" s="422"/>
      <c r="W1529" s="422"/>
      <c r="X1529" s="421"/>
      <c r="Y1529" s="421"/>
      <c r="Z1529" s="421"/>
      <c r="AA1529" s="422"/>
      <c r="AB1529" s="422"/>
      <c r="AC1529" s="422"/>
      <c r="AD1529" s="422"/>
      <c r="AE1529" s="422"/>
      <c r="AF1529" s="422"/>
      <c r="AG1529" s="422"/>
      <c r="AH1529" s="422"/>
      <c r="AI1529" s="422"/>
      <c r="AJ1529" s="424"/>
    </row>
    <row r="1530" ht="15.0" customHeight="1">
      <c r="A1530" s="416"/>
      <c r="B1530" s="417"/>
      <c r="C1530" s="417"/>
      <c r="D1530" s="416"/>
      <c r="E1530" s="418"/>
      <c r="F1530" s="419"/>
      <c r="G1530" s="420"/>
      <c r="H1530" s="421"/>
      <c r="I1530" s="422"/>
      <c r="J1530" s="423"/>
      <c r="K1530" s="421"/>
      <c r="L1530" s="421"/>
      <c r="M1530" s="421"/>
      <c r="N1530" s="422"/>
      <c r="O1530" s="422"/>
      <c r="P1530" s="422"/>
      <c r="Q1530" s="422"/>
      <c r="R1530" s="422"/>
      <c r="S1530" s="422"/>
      <c r="T1530" s="422"/>
      <c r="U1530" s="422"/>
      <c r="V1530" s="422"/>
      <c r="W1530" s="422"/>
      <c r="X1530" s="421"/>
      <c r="Y1530" s="421"/>
      <c r="Z1530" s="421"/>
      <c r="AA1530" s="422"/>
      <c r="AB1530" s="422"/>
      <c r="AC1530" s="422"/>
      <c r="AD1530" s="422"/>
      <c r="AE1530" s="422"/>
      <c r="AF1530" s="422"/>
      <c r="AG1530" s="422"/>
      <c r="AH1530" s="422"/>
      <c r="AI1530" s="422"/>
      <c r="AJ1530" s="424"/>
    </row>
    <row r="1531" ht="15.0" customHeight="1">
      <c r="A1531" s="416"/>
      <c r="B1531" s="417"/>
      <c r="C1531" s="417"/>
      <c r="D1531" s="416"/>
      <c r="E1531" s="418"/>
      <c r="F1531" s="419"/>
      <c r="G1531" s="420"/>
      <c r="H1531" s="421"/>
      <c r="I1531" s="422"/>
      <c r="J1531" s="423"/>
      <c r="K1531" s="421"/>
      <c r="L1531" s="421"/>
      <c r="M1531" s="421"/>
      <c r="N1531" s="422"/>
      <c r="O1531" s="422"/>
      <c r="P1531" s="422"/>
      <c r="Q1531" s="422"/>
      <c r="R1531" s="422"/>
      <c r="S1531" s="422"/>
      <c r="T1531" s="422"/>
      <c r="U1531" s="422"/>
      <c r="V1531" s="422"/>
      <c r="W1531" s="422"/>
      <c r="X1531" s="421"/>
      <c r="Y1531" s="421"/>
      <c r="Z1531" s="421"/>
      <c r="AA1531" s="422"/>
      <c r="AB1531" s="422"/>
      <c r="AC1531" s="422"/>
      <c r="AD1531" s="422"/>
      <c r="AE1531" s="422"/>
      <c r="AF1531" s="422"/>
      <c r="AG1531" s="422"/>
      <c r="AH1531" s="422"/>
      <c r="AI1531" s="422"/>
      <c r="AJ1531" s="424"/>
    </row>
    <row r="1532" ht="15.0" customHeight="1">
      <c r="A1532" s="416"/>
      <c r="B1532" s="417"/>
      <c r="C1532" s="417"/>
      <c r="D1532" s="416"/>
      <c r="E1532" s="418"/>
      <c r="F1532" s="419"/>
      <c r="G1532" s="420"/>
      <c r="H1532" s="421"/>
      <c r="I1532" s="422"/>
      <c r="J1532" s="423"/>
      <c r="K1532" s="421"/>
      <c r="L1532" s="421"/>
      <c r="M1532" s="421"/>
      <c r="N1532" s="422"/>
      <c r="O1532" s="422"/>
      <c r="P1532" s="422"/>
      <c r="Q1532" s="422"/>
      <c r="R1532" s="422"/>
      <c r="S1532" s="422"/>
      <c r="T1532" s="422"/>
      <c r="U1532" s="422"/>
      <c r="V1532" s="422"/>
      <c r="W1532" s="422"/>
      <c r="X1532" s="421"/>
      <c r="Y1532" s="421"/>
      <c r="Z1532" s="421"/>
      <c r="AA1532" s="422"/>
      <c r="AB1532" s="422"/>
      <c r="AC1532" s="422"/>
      <c r="AD1532" s="422"/>
      <c r="AE1532" s="422"/>
      <c r="AF1532" s="422"/>
      <c r="AG1532" s="422"/>
      <c r="AH1532" s="422"/>
      <c r="AI1532" s="422"/>
      <c r="AJ1532" s="424"/>
    </row>
    <row r="1533" ht="15.0" customHeight="1">
      <c r="A1533" s="416"/>
      <c r="B1533" s="417"/>
      <c r="C1533" s="417"/>
      <c r="D1533" s="416"/>
      <c r="E1533" s="418"/>
      <c r="F1533" s="419"/>
      <c r="G1533" s="420"/>
      <c r="H1533" s="421"/>
      <c r="I1533" s="422"/>
      <c r="J1533" s="423"/>
      <c r="K1533" s="421"/>
      <c r="L1533" s="421"/>
      <c r="M1533" s="421"/>
      <c r="N1533" s="422"/>
      <c r="O1533" s="422"/>
      <c r="P1533" s="422"/>
      <c r="Q1533" s="422"/>
      <c r="R1533" s="422"/>
      <c r="S1533" s="422"/>
      <c r="T1533" s="422"/>
      <c r="U1533" s="422"/>
      <c r="V1533" s="422"/>
      <c r="W1533" s="422"/>
      <c r="X1533" s="421"/>
      <c r="Y1533" s="421"/>
      <c r="Z1533" s="421"/>
      <c r="AA1533" s="422"/>
      <c r="AB1533" s="422"/>
      <c r="AC1533" s="422"/>
      <c r="AD1533" s="422"/>
      <c r="AE1533" s="422"/>
      <c r="AF1533" s="422"/>
      <c r="AG1533" s="422"/>
      <c r="AH1533" s="422"/>
      <c r="AI1533" s="422"/>
      <c r="AJ1533" s="424"/>
    </row>
    <row r="1534" ht="15.0" customHeight="1">
      <c r="A1534" s="416"/>
      <c r="B1534" s="417"/>
      <c r="C1534" s="417"/>
      <c r="D1534" s="416"/>
      <c r="E1534" s="418"/>
      <c r="F1534" s="419"/>
      <c r="G1534" s="420"/>
      <c r="H1534" s="421"/>
      <c r="I1534" s="422"/>
      <c r="J1534" s="423"/>
      <c r="K1534" s="421"/>
      <c r="L1534" s="421"/>
      <c r="M1534" s="421"/>
      <c r="N1534" s="422"/>
      <c r="O1534" s="422"/>
      <c r="P1534" s="422"/>
      <c r="Q1534" s="422"/>
      <c r="R1534" s="422"/>
      <c r="S1534" s="422"/>
      <c r="T1534" s="422"/>
      <c r="U1534" s="422"/>
      <c r="V1534" s="422"/>
      <c r="W1534" s="422"/>
      <c r="X1534" s="421"/>
      <c r="Y1534" s="421"/>
      <c r="Z1534" s="421"/>
      <c r="AA1534" s="422"/>
      <c r="AB1534" s="422"/>
      <c r="AC1534" s="422"/>
      <c r="AD1534" s="422"/>
      <c r="AE1534" s="422"/>
      <c r="AF1534" s="422"/>
      <c r="AG1534" s="422"/>
      <c r="AH1534" s="422"/>
      <c r="AI1534" s="422"/>
      <c r="AJ1534" s="424"/>
    </row>
    <row r="1535" ht="15.0" customHeight="1">
      <c r="A1535" s="416"/>
      <c r="B1535" s="417"/>
      <c r="C1535" s="417"/>
      <c r="D1535" s="416"/>
      <c r="E1535" s="418"/>
      <c r="F1535" s="419"/>
      <c r="G1535" s="420"/>
      <c r="H1535" s="421"/>
      <c r="I1535" s="422"/>
      <c r="J1535" s="423"/>
      <c r="K1535" s="421"/>
      <c r="L1535" s="421"/>
      <c r="M1535" s="421"/>
      <c r="N1535" s="422"/>
      <c r="O1535" s="422"/>
      <c r="P1535" s="422"/>
      <c r="Q1535" s="422"/>
      <c r="R1535" s="422"/>
      <c r="S1535" s="422"/>
      <c r="T1535" s="422"/>
      <c r="U1535" s="422"/>
      <c r="V1535" s="422"/>
      <c r="W1535" s="422"/>
      <c r="X1535" s="421"/>
      <c r="Y1535" s="421"/>
      <c r="Z1535" s="421"/>
      <c r="AA1535" s="422"/>
      <c r="AB1535" s="422"/>
      <c r="AC1535" s="422"/>
      <c r="AD1535" s="422"/>
      <c r="AE1535" s="422"/>
      <c r="AF1535" s="422"/>
      <c r="AG1535" s="422"/>
      <c r="AH1535" s="422"/>
      <c r="AI1535" s="422"/>
      <c r="AJ1535" s="424"/>
    </row>
    <row r="1536" ht="15.0" customHeight="1">
      <c r="A1536" s="416"/>
      <c r="B1536" s="417"/>
      <c r="C1536" s="417"/>
      <c r="D1536" s="416"/>
      <c r="E1536" s="418"/>
      <c r="F1536" s="419"/>
      <c r="G1536" s="420"/>
      <c r="H1536" s="421"/>
      <c r="I1536" s="422"/>
      <c r="J1536" s="423"/>
      <c r="K1536" s="421"/>
      <c r="L1536" s="421"/>
      <c r="M1536" s="421"/>
      <c r="N1536" s="422"/>
      <c r="O1536" s="422"/>
      <c r="P1536" s="422"/>
      <c r="Q1536" s="422"/>
      <c r="R1536" s="422"/>
      <c r="S1536" s="422"/>
      <c r="T1536" s="422"/>
      <c r="U1536" s="422"/>
      <c r="V1536" s="422"/>
      <c r="W1536" s="422"/>
      <c r="X1536" s="421"/>
      <c r="Y1536" s="421"/>
      <c r="Z1536" s="421"/>
      <c r="AA1536" s="422"/>
      <c r="AB1536" s="422"/>
      <c r="AC1536" s="422"/>
      <c r="AD1536" s="422"/>
      <c r="AE1536" s="422"/>
      <c r="AF1536" s="422"/>
      <c r="AG1536" s="422"/>
      <c r="AH1536" s="422"/>
      <c r="AI1536" s="422"/>
      <c r="AJ1536" s="424"/>
    </row>
    <row r="1537" ht="15.0" customHeight="1">
      <c r="A1537" s="416"/>
      <c r="B1537" s="417"/>
      <c r="C1537" s="417"/>
      <c r="D1537" s="416"/>
      <c r="E1537" s="418"/>
      <c r="F1537" s="419"/>
      <c r="G1537" s="420"/>
      <c r="H1537" s="421"/>
      <c r="I1537" s="422"/>
      <c r="J1537" s="423"/>
      <c r="K1537" s="421"/>
      <c r="L1537" s="421"/>
      <c r="M1537" s="421"/>
      <c r="N1537" s="422"/>
      <c r="O1537" s="422"/>
      <c r="P1537" s="422"/>
      <c r="Q1537" s="422"/>
      <c r="R1537" s="422"/>
      <c r="S1537" s="422"/>
      <c r="T1537" s="422"/>
      <c r="U1537" s="422"/>
      <c r="V1537" s="422"/>
      <c r="W1537" s="422"/>
      <c r="X1537" s="421"/>
      <c r="Y1537" s="421"/>
      <c r="Z1537" s="421"/>
      <c r="AA1537" s="422"/>
      <c r="AB1537" s="422"/>
      <c r="AC1537" s="422"/>
      <c r="AD1537" s="422"/>
      <c r="AE1537" s="422"/>
      <c r="AF1537" s="422"/>
      <c r="AG1537" s="422"/>
      <c r="AH1537" s="422"/>
      <c r="AI1537" s="422"/>
      <c r="AJ1537" s="424"/>
    </row>
    <row r="1538" ht="15.0" customHeight="1">
      <c r="A1538" s="416"/>
      <c r="B1538" s="417"/>
      <c r="C1538" s="417"/>
      <c r="D1538" s="416"/>
      <c r="E1538" s="418"/>
      <c r="F1538" s="419"/>
      <c r="G1538" s="420"/>
      <c r="H1538" s="421"/>
      <c r="I1538" s="422"/>
      <c r="J1538" s="423"/>
      <c r="K1538" s="421"/>
      <c r="L1538" s="421"/>
      <c r="M1538" s="421"/>
      <c r="N1538" s="422"/>
      <c r="O1538" s="422"/>
      <c r="P1538" s="422"/>
      <c r="Q1538" s="422"/>
      <c r="R1538" s="422"/>
      <c r="S1538" s="422"/>
      <c r="T1538" s="422"/>
      <c r="U1538" s="422"/>
      <c r="V1538" s="422"/>
      <c r="W1538" s="422"/>
      <c r="X1538" s="421"/>
      <c r="Y1538" s="421"/>
      <c r="Z1538" s="421"/>
      <c r="AA1538" s="422"/>
      <c r="AB1538" s="422"/>
      <c r="AC1538" s="422"/>
      <c r="AD1538" s="422"/>
      <c r="AE1538" s="422"/>
      <c r="AF1538" s="422"/>
      <c r="AG1538" s="422"/>
      <c r="AH1538" s="422"/>
      <c r="AI1538" s="422"/>
      <c r="AJ1538" s="424"/>
    </row>
    <row r="1539" ht="15.0" customHeight="1">
      <c r="A1539" s="416"/>
      <c r="B1539" s="417"/>
      <c r="C1539" s="417"/>
      <c r="D1539" s="416"/>
      <c r="E1539" s="418"/>
      <c r="F1539" s="419"/>
      <c r="G1539" s="420"/>
      <c r="H1539" s="421"/>
      <c r="I1539" s="422"/>
      <c r="J1539" s="423"/>
      <c r="K1539" s="421"/>
      <c r="L1539" s="421"/>
      <c r="M1539" s="421"/>
      <c r="N1539" s="422"/>
      <c r="O1539" s="422"/>
      <c r="P1539" s="422"/>
      <c r="Q1539" s="422"/>
      <c r="R1539" s="422"/>
      <c r="S1539" s="422"/>
      <c r="T1539" s="422"/>
      <c r="U1539" s="422"/>
      <c r="V1539" s="422"/>
      <c r="W1539" s="422"/>
      <c r="X1539" s="421"/>
      <c r="Y1539" s="421"/>
      <c r="Z1539" s="421"/>
      <c r="AA1539" s="422"/>
      <c r="AB1539" s="422"/>
      <c r="AC1539" s="422"/>
      <c r="AD1539" s="422"/>
      <c r="AE1539" s="422"/>
      <c r="AF1539" s="422"/>
      <c r="AG1539" s="422"/>
      <c r="AH1539" s="422"/>
      <c r="AI1539" s="422"/>
      <c r="AJ1539" s="424"/>
    </row>
    <row r="1540" ht="15.0" customHeight="1">
      <c r="A1540" s="416"/>
      <c r="B1540" s="417"/>
      <c r="C1540" s="417"/>
      <c r="D1540" s="416"/>
      <c r="E1540" s="418"/>
      <c r="F1540" s="419"/>
      <c r="G1540" s="420"/>
      <c r="H1540" s="421"/>
      <c r="I1540" s="422"/>
      <c r="J1540" s="423"/>
      <c r="K1540" s="421"/>
      <c r="L1540" s="421"/>
      <c r="M1540" s="421"/>
      <c r="N1540" s="422"/>
      <c r="O1540" s="422"/>
      <c r="P1540" s="422"/>
      <c r="Q1540" s="422"/>
      <c r="R1540" s="422"/>
      <c r="S1540" s="422"/>
      <c r="T1540" s="422"/>
      <c r="U1540" s="422"/>
      <c r="V1540" s="422"/>
      <c r="W1540" s="422"/>
      <c r="X1540" s="421"/>
      <c r="Y1540" s="421"/>
      <c r="Z1540" s="421"/>
      <c r="AA1540" s="422"/>
      <c r="AB1540" s="422"/>
      <c r="AC1540" s="422"/>
      <c r="AD1540" s="422"/>
      <c r="AE1540" s="422"/>
      <c r="AF1540" s="422"/>
      <c r="AG1540" s="422"/>
      <c r="AH1540" s="422"/>
      <c r="AI1540" s="422"/>
      <c r="AJ1540" s="424"/>
    </row>
    <row r="1541" ht="15.0" customHeight="1">
      <c r="A1541" s="416"/>
      <c r="B1541" s="417"/>
      <c r="C1541" s="417"/>
      <c r="D1541" s="416"/>
      <c r="E1541" s="418"/>
      <c r="F1541" s="419"/>
      <c r="G1541" s="420"/>
      <c r="H1541" s="421"/>
      <c r="I1541" s="422"/>
      <c r="J1541" s="423"/>
      <c r="K1541" s="421"/>
      <c r="L1541" s="421"/>
      <c r="M1541" s="421"/>
      <c r="N1541" s="422"/>
      <c r="O1541" s="422"/>
      <c r="P1541" s="422"/>
      <c r="Q1541" s="422"/>
      <c r="R1541" s="422"/>
      <c r="S1541" s="422"/>
      <c r="T1541" s="422"/>
      <c r="U1541" s="422"/>
      <c r="V1541" s="422"/>
      <c r="W1541" s="422"/>
      <c r="X1541" s="421"/>
      <c r="Y1541" s="421"/>
      <c r="Z1541" s="421"/>
      <c r="AA1541" s="422"/>
      <c r="AB1541" s="422"/>
      <c r="AC1541" s="422"/>
      <c r="AD1541" s="422"/>
      <c r="AE1541" s="422"/>
      <c r="AF1541" s="422"/>
      <c r="AG1541" s="422"/>
      <c r="AH1541" s="422"/>
      <c r="AI1541" s="422"/>
      <c r="AJ1541" s="424"/>
    </row>
    <row r="1542" ht="15.0" customHeight="1">
      <c r="A1542" s="416"/>
      <c r="B1542" s="417"/>
      <c r="C1542" s="417"/>
      <c r="D1542" s="416"/>
      <c r="E1542" s="418"/>
      <c r="F1542" s="419"/>
      <c r="G1542" s="420"/>
      <c r="H1542" s="421"/>
      <c r="I1542" s="422"/>
      <c r="J1542" s="423"/>
      <c r="K1542" s="421"/>
      <c r="L1542" s="421"/>
      <c r="M1542" s="421"/>
      <c r="N1542" s="422"/>
      <c r="O1542" s="422"/>
      <c r="P1542" s="422"/>
      <c r="Q1542" s="422"/>
      <c r="R1542" s="422"/>
      <c r="S1542" s="422"/>
      <c r="T1542" s="422"/>
      <c r="U1542" s="422"/>
      <c r="V1542" s="422"/>
      <c r="W1542" s="422"/>
      <c r="X1542" s="421"/>
      <c r="Y1542" s="421"/>
      <c r="Z1542" s="421"/>
      <c r="AA1542" s="422"/>
      <c r="AB1542" s="422"/>
      <c r="AC1542" s="422"/>
      <c r="AD1542" s="422"/>
      <c r="AE1542" s="422"/>
      <c r="AF1542" s="422"/>
      <c r="AG1542" s="422"/>
      <c r="AH1542" s="422"/>
      <c r="AI1542" s="422"/>
      <c r="AJ1542" s="424"/>
    </row>
    <row r="1543" ht="15.0" customHeight="1">
      <c r="A1543" s="416"/>
      <c r="B1543" s="417"/>
      <c r="C1543" s="417"/>
      <c r="D1543" s="416"/>
      <c r="E1543" s="418"/>
      <c r="F1543" s="419"/>
      <c r="G1543" s="420"/>
      <c r="H1543" s="421"/>
      <c r="I1543" s="422"/>
      <c r="J1543" s="423"/>
      <c r="K1543" s="421"/>
      <c r="L1543" s="421"/>
      <c r="M1543" s="421"/>
      <c r="N1543" s="422"/>
      <c r="O1543" s="422"/>
      <c r="P1543" s="422"/>
      <c r="Q1543" s="422"/>
      <c r="R1543" s="422"/>
      <c r="S1543" s="422"/>
      <c r="T1543" s="422"/>
      <c r="U1543" s="422"/>
      <c r="V1543" s="422"/>
      <c r="W1543" s="422"/>
      <c r="X1543" s="421"/>
      <c r="Y1543" s="421"/>
      <c r="Z1543" s="421"/>
      <c r="AA1543" s="422"/>
      <c r="AB1543" s="422"/>
      <c r="AC1543" s="422"/>
      <c r="AD1543" s="422"/>
      <c r="AE1543" s="422"/>
      <c r="AF1543" s="422"/>
      <c r="AG1543" s="422"/>
      <c r="AH1543" s="422"/>
      <c r="AI1543" s="422"/>
      <c r="AJ1543" s="424"/>
    </row>
    <row r="1544" ht="15.0" customHeight="1">
      <c r="A1544" s="416"/>
      <c r="B1544" s="417"/>
      <c r="C1544" s="417"/>
      <c r="D1544" s="416"/>
      <c r="E1544" s="418"/>
      <c r="F1544" s="419"/>
      <c r="G1544" s="420"/>
      <c r="H1544" s="421"/>
      <c r="I1544" s="422"/>
      <c r="J1544" s="423"/>
      <c r="K1544" s="421"/>
      <c r="L1544" s="421"/>
      <c r="M1544" s="421"/>
      <c r="N1544" s="422"/>
      <c r="O1544" s="422"/>
      <c r="P1544" s="422"/>
      <c r="Q1544" s="422"/>
      <c r="R1544" s="422"/>
      <c r="S1544" s="422"/>
      <c r="T1544" s="422"/>
      <c r="U1544" s="422"/>
      <c r="V1544" s="422"/>
      <c r="W1544" s="422"/>
      <c r="X1544" s="421"/>
      <c r="Y1544" s="421"/>
      <c r="Z1544" s="421"/>
      <c r="AA1544" s="422"/>
      <c r="AB1544" s="422"/>
      <c r="AC1544" s="422"/>
      <c r="AD1544" s="422"/>
      <c r="AE1544" s="422"/>
      <c r="AF1544" s="422"/>
      <c r="AG1544" s="422"/>
      <c r="AH1544" s="422"/>
      <c r="AI1544" s="422"/>
      <c r="AJ1544" s="424"/>
    </row>
    <row r="1545" ht="15.0" customHeight="1">
      <c r="A1545" s="416"/>
      <c r="B1545" s="417"/>
      <c r="C1545" s="417"/>
      <c r="D1545" s="416"/>
      <c r="E1545" s="418"/>
      <c r="F1545" s="419"/>
      <c r="G1545" s="420"/>
      <c r="H1545" s="421"/>
      <c r="I1545" s="422"/>
      <c r="J1545" s="423"/>
      <c r="K1545" s="421"/>
      <c r="L1545" s="421"/>
      <c r="M1545" s="421"/>
      <c r="N1545" s="422"/>
      <c r="O1545" s="422"/>
      <c r="P1545" s="422"/>
      <c r="Q1545" s="422"/>
      <c r="R1545" s="422"/>
      <c r="S1545" s="422"/>
      <c r="T1545" s="422"/>
      <c r="U1545" s="422"/>
      <c r="V1545" s="422"/>
      <c r="W1545" s="422"/>
      <c r="X1545" s="421"/>
      <c r="Y1545" s="421"/>
      <c r="Z1545" s="421"/>
      <c r="AA1545" s="422"/>
      <c r="AB1545" s="422"/>
      <c r="AC1545" s="422"/>
      <c r="AD1545" s="422"/>
      <c r="AE1545" s="422"/>
      <c r="AF1545" s="422"/>
      <c r="AG1545" s="422"/>
      <c r="AH1545" s="422"/>
      <c r="AI1545" s="422"/>
      <c r="AJ1545" s="424"/>
    </row>
    <row r="1546" ht="15.0" customHeight="1">
      <c r="A1546" s="416"/>
      <c r="B1546" s="417"/>
      <c r="C1546" s="417"/>
      <c r="D1546" s="416"/>
      <c r="E1546" s="418"/>
      <c r="F1546" s="419"/>
      <c r="G1546" s="420"/>
      <c r="H1546" s="421"/>
      <c r="I1546" s="422"/>
      <c r="J1546" s="423"/>
      <c r="K1546" s="421"/>
      <c r="L1546" s="421"/>
      <c r="M1546" s="421"/>
      <c r="N1546" s="422"/>
      <c r="O1546" s="422"/>
      <c r="P1546" s="422"/>
      <c r="Q1546" s="422"/>
      <c r="R1546" s="422"/>
      <c r="S1546" s="422"/>
      <c r="T1546" s="422"/>
      <c r="U1546" s="422"/>
      <c r="V1546" s="422"/>
      <c r="W1546" s="422"/>
      <c r="X1546" s="421"/>
      <c r="Y1546" s="421"/>
      <c r="Z1546" s="421"/>
      <c r="AA1546" s="422"/>
      <c r="AB1546" s="422"/>
      <c r="AC1546" s="422"/>
      <c r="AD1546" s="422"/>
      <c r="AE1546" s="422"/>
      <c r="AF1546" s="422"/>
      <c r="AG1546" s="422"/>
      <c r="AH1546" s="422"/>
      <c r="AI1546" s="422"/>
      <c r="AJ1546" s="424"/>
    </row>
    <row r="1547" ht="15.0" customHeight="1">
      <c r="A1547" s="416"/>
      <c r="B1547" s="417"/>
      <c r="C1547" s="417"/>
      <c r="D1547" s="416"/>
      <c r="E1547" s="418"/>
      <c r="F1547" s="419"/>
      <c r="G1547" s="420"/>
      <c r="H1547" s="421"/>
      <c r="I1547" s="422"/>
      <c r="J1547" s="423"/>
      <c r="K1547" s="421"/>
      <c r="L1547" s="421"/>
      <c r="M1547" s="421"/>
      <c r="N1547" s="422"/>
      <c r="O1547" s="422"/>
      <c r="P1547" s="422"/>
      <c r="Q1547" s="422"/>
      <c r="R1547" s="422"/>
      <c r="S1547" s="422"/>
      <c r="T1547" s="422"/>
      <c r="U1547" s="422"/>
      <c r="V1547" s="422"/>
      <c r="W1547" s="422"/>
      <c r="X1547" s="421"/>
      <c r="Y1547" s="421"/>
      <c r="Z1547" s="421"/>
      <c r="AA1547" s="422"/>
      <c r="AB1547" s="422"/>
      <c r="AC1547" s="422"/>
      <c r="AD1547" s="422"/>
      <c r="AE1547" s="422"/>
      <c r="AF1547" s="422"/>
      <c r="AG1547" s="422"/>
      <c r="AH1547" s="422"/>
      <c r="AI1547" s="422"/>
      <c r="AJ1547" s="424"/>
    </row>
    <row r="1548" ht="15.0" customHeight="1">
      <c r="A1548" s="416"/>
      <c r="B1548" s="417"/>
      <c r="C1548" s="417"/>
      <c r="D1548" s="416"/>
      <c r="E1548" s="418"/>
      <c r="F1548" s="419"/>
      <c r="G1548" s="420"/>
      <c r="H1548" s="421"/>
      <c r="I1548" s="422"/>
      <c r="J1548" s="423"/>
      <c r="K1548" s="421"/>
      <c r="L1548" s="421"/>
      <c r="M1548" s="421"/>
      <c r="N1548" s="422"/>
      <c r="O1548" s="422"/>
      <c r="P1548" s="422"/>
      <c r="Q1548" s="422"/>
      <c r="R1548" s="422"/>
      <c r="S1548" s="422"/>
      <c r="T1548" s="422"/>
      <c r="U1548" s="422"/>
      <c r="V1548" s="422"/>
      <c r="W1548" s="422"/>
      <c r="X1548" s="421"/>
      <c r="Y1548" s="421"/>
      <c r="Z1548" s="421"/>
      <c r="AA1548" s="422"/>
      <c r="AB1548" s="422"/>
      <c r="AC1548" s="422"/>
      <c r="AD1548" s="422"/>
      <c r="AE1548" s="422"/>
      <c r="AF1548" s="422"/>
      <c r="AG1548" s="422"/>
      <c r="AH1548" s="422"/>
      <c r="AI1548" s="422"/>
      <c r="AJ1548" s="424"/>
    </row>
    <row r="1549" ht="15.0" customHeight="1">
      <c r="A1549" s="416"/>
      <c r="B1549" s="417"/>
      <c r="C1549" s="417"/>
      <c r="D1549" s="416"/>
      <c r="E1549" s="418"/>
      <c r="F1549" s="419"/>
      <c r="G1549" s="420"/>
      <c r="H1549" s="421"/>
      <c r="I1549" s="422"/>
      <c r="J1549" s="423"/>
      <c r="K1549" s="421"/>
      <c r="L1549" s="421"/>
      <c r="M1549" s="421"/>
      <c r="N1549" s="422"/>
      <c r="O1549" s="422"/>
      <c r="P1549" s="422"/>
      <c r="Q1549" s="422"/>
      <c r="R1549" s="422"/>
      <c r="S1549" s="422"/>
      <c r="T1549" s="422"/>
      <c r="U1549" s="422"/>
      <c r="V1549" s="422"/>
      <c r="W1549" s="422"/>
      <c r="X1549" s="421"/>
      <c r="Y1549" s="421"/>
      <c r="Z1549" s="421"/>
      <c r="AA1549" s="422"/>
      <c r="AB1549" s="422"/>
      <c r="AC1549" s="422"/>
      <c r="AD1549" s="422"/>
      <c r="AE1549" s="422"/>
      <c r="AF1549" s="422"/>
      <c r="AG1549" s="422"/>
      <c r="AH1549" s="422"/>
      <c r="AI1549" s="422"/>
      <c r="AJ1549" s="424"/>
    </row>
    <row r="1550" ht="15.0" customHeight="1">
      <c r="A1550" s="416"/>
      <c r="B1550" s="417"/>
      <c r="C1550" s="417"/>
      <c r="D1550" s="416"/>
      <c r="E1550" s="418"/>
      <c r="F1550" s="419"/>
      <c r="G1550" s="420"/>
      <c r="H1550" s="421"/>
      <c r="I1550" s="422"/>
      <c r="J1550" s="423"/>
      <c r="K1550" s="421"/>
      <c r="L1550" s="421"/>
      <c r="M1550" s="421"/>
      <c r="N1550" s="422"/>
      <c r="O1550" s="422"/>
      <c r="P1550" s="422"/>
      <c r="Q1550" s="422"/>
      <c r="R1550" s="422"/>
      <c r="S1550" s="422"/>
      <c r="T1550" s="422"/>
      <c r="U1550" s="422"/>
      <c r="V1550" s="422"/>
      <c r="W1550" s="422"/>
      <c r="X1550" s="421"/>
      <c r="Y1550" s="421"/>
      <c r="Z1550" s="421"/>
      <c r="AA1550" s="422"/>
      <c r="AB1550" s="422"/>
      <c r="AC1550" s="422"/>
      <c r="AD1550" s="422"/>
      <c r="AE1550" s="422"/>
      <c r="AF1550" s="422"/>
      <c r="AG1550" s="422"/>
      <c r="AH1550" s="422"/>
      <c r="AI1550" s="422"/>
      <c r="AJ1550" s="424"/>
    </row>
    <row r="1551" ht="15.0" customHeight="1">
      <c r="A1551" s="416"/>
      <c r="B1551" s="417"/>
      <c r="C1551" s="417"/>
      <c r="D1551" s="416"/>
      <c r="E1551" s="418"/>
      <c r="F1551" s="419"/>
      <c r="G1551" s="420"/>
      <c r="H1551" s="421"/>
      <c r="I1551" s="422"/>
      <c r="J1551" s="423"/>
      <c r="K1551" s="421"/>
      <c r="L1551" s="421"/>
      <c r="M1551" s="421"/>
      <c r="N1551" s="422"/>
      <c r="O1551" s="422"/>
      <c r="P1551" s="422"/>
      <c r="Q1551" s="422"/>
      <c r="R1551" s="422"/>
      <c r="S1551" s="422"/>
      <c r="T1551" s="422"/>
      <c r="U1551" s="422"/>
      <c r="V1551" s="422"/>
      <c r="W1551" s="422"/>
      <c r="X1551" s="421"/>
      <c r="Y1551" s="421"/>
      <c r="Z1551" s="421"/>
      <c r="AA1551" s="422"/>
      <c r="AB1551" s="422"/>
      <c r="AC1551" s="422"/>
      <c r="AD1551" s="422"/>
      <c r="AE1551" s="422"/>
      <c r="AF1551" s="422"/>
      <c r="AG1551" s="422"/>
      <c r="AH1551" s="422"/>
      <c r="AI1551" s="422"/>
      <c r="AJ1551" s="424"/>
    </row>
    <row r="1552" ht="15.0" customHeight="1">
      <c r="A1552" s="416"/>
      <c r="B1552" s="417"/>
      <c r="C1552" s="417"/>
      <c r="D1552" s="416"/>
      <c r="E1552" s="418"/>
      <c r="F1552" s="419"/>
      <c r="G1552" s="420"/>
      <c r="H1552" s="421"/>
      <c r="I1552" s="422"/>
      <c r="J1552" s="423"/>
      <c r="K1552" s="421"/>
      <c r="L1552" s="421"/>
      <c r="M1552" s="421"/>
      <c r="N1552" s="422"/>
      <c r="O1552" s="422"/>
      <c r="P1552" s="422"/>
      <c r="Q1552" s="422"/>
      <c r="R1552" s="422"/>
      <c r="S1552" s="422"/>
      <c r="T1552" s="422"/>
      <c r="U1552" s="422"/>
      <c r="V1552" s="422"/>
      <c r="W1552" s="422"/>
      <c r="X1552" s="421"/>
      <c r="Y1552" s="421"/>
      <c r="Z1552" s="421"/>
      <c r="AA1552" s="422"/>
      <c r="AB1552" s="422"/>
      <c r="AC1552" s="422"/>
      <c r="AD1552" s="422"/>
      <c r="AE1552" s="422"/>
      <c r="AF1552" s="422"/>
      <c r="AG1552" s="422"/>
      <c r="AH1552" s="422"/>
      <c r="AI1552" s="422"/>
      <c r="AJ1552" s="424"/>
    </row>
    <row r="1553" ht="15.0" customHeight="1">
      <c r="A1553" s="416"/>
      <c r="B1553" s="417"/>
      <c r="C1553" s="417"/>
      <c r="D1553" s="416"/>
      <c r="E1553" s="418"/>
      <c r="F1553" s="419"/>
      <c r="G1553" s="420"/>
      <c r="H1553" s="421"/>
      <c r="I1553" s="422"/>
      <c r="J1553" s="423"/>
      <c r="K1553" s="421"/>
      <c r="L1553" s="421"/>
      <c r="M1553" s="421"/>
      <c r="N1553" s="422"/>
      <c r="O1553" s="422"/>
      <c r="P1553" s="422"/>
      <c r="Q1553" s="422"/>
      <c r="R1553" s="422"/>
      <c r="S1553" s="422"/>
      <c r="T1553" s="422"/>
      <c r="U1553" s="422"/>
      <c r="V1553" s="422"/>
      <c r="W1553" s="422"/>
      <c r="X1553" s="421"/>
      <c r="Y1553" s="421"/>
      <c r="Z1553" s="421"/>
      <c r="AA1553" s="422"/>
      <c r="AB1553" s="422"/>
      <c r="AC1553" s="422"/>
      <c r="AD1553" s="422"/>
      <c r="AE1553" s="422"/>
      <c r="AF1553" s="422"/>
      <c r="AG1553" s="422"/>
      <c r="AH1553" s="422"/>
      <c r="AI1553" s="422"/>
      <c r="AJ1553" s="424"/>
    </row>
    <row r="1554" ht="15.0" customHeight="1">
      <c r="A1554" s="416"/>
      <c r="B1554" s="417"/>
      <c r="C1554" s="417"/>
      <c r="D1554" s="416"/>
      <c r="E1554" s="418"/>
      <c r="F1554" s="419"/>
      <c r="G1554" s="420"/>
      <c r="H1554" s="421"/>
      <c r="I1554" s="422"/>
      <c r="J1554" s="423"/>
      <c r="K1554" s="421"/>
      <c r="L1554" s="421"/>
      <c r="M1554" s="421"/>
      <c r="N1554" s="422"/>
      <c r="O1554" s="422"/>
      <c r="P1554" s="422"/>
      <c r="Q1554" s="422"/>
      <c r="R1554" s="422"/>
      <c r="S1554" s="422"/>
      <c r="T1554" s="422"/>
      <c r="U1554" s="422"/>
      <c r="V1554" s="422"/>
      <c r="W1554" s="422"/>
      <c r="X1554" s="421"/>
      <c r="Y1554" s="421"/>
      <c r="Z1554" s="421"/>
      <c r="AA1554" s="422"/>
      <c r="AB1554" s="422"/>
      <c r="AC1554" s="422"/>
      <c r="AD1554" s="422"/>
      <c r="AE1554" s="422"/>
      <c r="AF1554" s="422"/>
      <c r="AG1554" s="422"/>
      <c r="AH1554" s="422"/>
      <c r="AI1554" s="422"/>
      <c r="AJ1554" s="424"/>
    </row>
    <row r="1555" ht="15.0" customHeight="1">
      <c r="A1555" s="416"/>
      <c r="B1555" s="417"/>
      <c r="C1555" s="417"/>
      <c r="D1555" s="416"/>
      <c r="E1555" s="418"/>
      <c r="F1555" s="419"/>
      <c r="G1555" s="420"/>
      <c r="H1555" s="421"/>
      <c r="I1555" s="422"/>
      <c r="J1555" s="423"/>
      <c r="K1555" s="421"/>
      <c r="L1555" s="421"/>
      <c r="M1555" s="421"/>
      <c r="N1555" s="422"/>
      <c r="O1555" s="422"/>
      <c r="P1555" s="422"/>
      <c r="Q1555" s="422"/>
      <c r="R1555" s="422"/>
      <c r="S1555" s="422"/>
      <c r="T1555" s="422"/>
      <c r="U1555" s="422"/>
      <c r="V1555" s="422"/>
      <c r="W1555" s="422"/>
      <c r="X1555" s="421"/>
      <c r="Y1555" s="421"/>
      <c r="Z1555" s="421"/>
      <c r="AA1555" s="422"/>
      <c r="AB1555" s="422"/>
      <c r="AC1555" s="422"/>
      <c r="AD1555" s="422"/>
      <c r="AE1555" s="422"/>
      <c r="AF1555" s="422"/>
      <c r="AG1555" s="422"/>
      <c r="AH1555" s="422"/>
      <c r="AI1555" s="422"/>
      <c r="AJ1555" s="424"/>
    </row>
    <row r="1556" ht="15.0" customHeight="1">
      <c r="A1556" s="416"/>
      <c r="B1556" s="417"/>
      <c r="C1556" s="417"/>
      <c r="D1556" s="416"/>
      <c r="E1556" s="418"/>
      <c r="F1556" s="419"/>
      <c r="G1556" s="420"/>
      <c r="H1556" s="421"/>
      <c r="I1556" s="422"/>
      <c r="J1556" s="423"/>
      <c r="K1556" s="421"/>
      <c r="L1556" s="421"/>
      <c r="M1556" s="421"/>
      <c r="N1556" s="422"/>
      <c r="O1556" s="422"/>
      <c r="P1556" s="422"/>
      <c r="Q1556" s="422"/>
      <c r="R1556" s="422"/>
      <c r="S1556" s="422"/>
      <c r="T1556" s="422"/>
      <c r="U1556" s="422"/>
      <c r="V1556" s="422"/>
      <c r="W1556" s="422"/>
      <c r="X1556" s="421"/>
      <c r="Y1556" s="421"/>
      <c r="Z1556" s="421"/>
      <c r="AA1556" s="422"/>
      <c r="AB1556" s="422"/>
      <c r="AC1556" s="422"/>
      <c r="AD1556" s="422"/>
      <c r="AE1556" s="422"/>
      <c r="AF1556" s="422"/>
      <c r="AG1556" s="422"/>
      <c r="AH1556" s="422"/>
      <c r="AI1556" s="422"/>
      <c r="AJ1556" s="424"/>
    </row>
    <row r="1557" ht="15.0" customHeight="1">
      <c r="A1557" s="416"/>
      <c r="B1557" s="417"/>
      <c r="C1557" s="417"/>
      <c r="D1557" s="416"/>
      <c r="E1557" s="418"/>
      <c r="F1557" s="419"/>
      <c r="G1557" s="420"/>
      <c r="H1557" s="421"/>
      <c r="I1557" s="422"/>
      <c r="J1557" s="423"/>
      <c r="K1557" s="421"/>
      <c r="L1557" s="421"/>
      <c r="M1557" s="421"/>
      <c r="N1557" s="422"/>
      <c r="O1557" s="422"/>
      <c r="P1557" s="422"/>
      <c r="Q1557" s="422"/>
      <c r="R1557" s="422"/>
      <c r="S1557" s="422"/>
      <c r="T1557" s="422"/>
      <c r="U1557" s="422"/>
      <c r="V1557" s="422"/>
      <c r="W1557" s="422"/>
      <c r="X1557" s="421"/>
      <c r="Y1557" s="421"/>
      <c r="Z1557" s="421"/>
      <c r="AA1557" s="422"/>
      <c r="AB1557" s="422"/>
      <c r="AC1557" s="422"/>
      <c r="AD1557" s="422"/>
      <c r="AE1557" s="422"/>
      <c r="AF1557" s="422"/>
      <c r="AG1557" s="422"/>
      <c r="AH1557" s="422"/>
      <c r="AI1557" s="422"/>
      <c r="AJ1557" s="424"/>
    </row>
    <row r="1558" ht="15.0" customHeight="1">
      <c r="A1558" s="416"/>
      <c r="B1558" s="417"/>
      <c r="C1558" s="417"/>
      <c r="D1558" s="416"/>
      <c r="E1558" s="418"/>
      <c r="F1558" s="419"/>
      <c r="G1558" s="420"/>
      <c r="H1558" s="421"/>
      <c r="I1558" s="422"/>
      <c r="J1558" s="423"/>
      <c r="K1558" s="421"/>
      <c r="L1558" s="421"/>
      <c r="M1558" s="421"/>
      <c r="N1558" s="422"/>
      <c r="O1558" s="422"/>
      <c r="P1558" s="422"/>
      <c r="Q1558" s="422"/>
      <c r="R1558" s="422"/>
      <c r="S1558" s="422"/>
      <c r="T1558" s="422"/>
      <c r="U1558" s="422"/>
      <c r="V1558" s="422"/>
      <c r="W1558" s="422"/>
      <c r="X1558" s="421"/>
      <c r="Y1558" s="421"/>
      <c r="Z1558" s="421"/>
      <c r="AA1558" s="422"/>
      <c r="AB1558" s="422"/>
      <c r="AC1558" s="422"/>
      <c r="AD1558" s="422"/>
      <c r="AE1558" s="422"/>
      <c r="AF1558" s="422"/>
      <c r="AG1558" s="422"/>
      <c r="AH1558" s="422"/>
      <c r="AI1558" s="422"/>
      <c r="AJ1558" s="424"/>
    </row>
    <row r="1559" ht="15.0" customHeight="1">
      <c r="A1559" s="416"/>
      <c r="B1559" s="417"/>
      <c r="C1559" s="417"/>
      <c r="D1559" s="416"/>
      <c r="E1559" s="418"/>
      <c r="F1559" s="419"/>
      <c r="G1559" s="420"/>
      <c r="H1559" s="421"/>
      <c r="I1559" s="422"/>
      <c r="J1559" s="423"/>
      <c r="K1559" s="421"/>
      <c r="L1559" s="421"/>
      <c r="M1559" s="421"/>
      <c r="N1559" s="422"/>
      <c r="O1559" s="422"/>
      <c r="P1559" s="422"/>
      <c r="Q1559" s="422"/>
      <c r="R1559" s="422"/>
      <c r="S1559" s="422"/>
      <c r="T1559" s="422"/>
      <c r="U1559" s="422"/>
      <c r="V1559" s="422"/>
      <c r="W1559" s="422"/>
      <c r="X1559" s="421"/>
      <c r="Y1559" s="421"/>
      <c r="Z1559" s="421"/>
      <c r="AA1559" s="422"/>
      <c r="AB1559" s="422"/>
      <c r="AC1559" s="422"/>
      <c r="AD1559" s="422"/>
      <c r="AE1559" s="422"/>
      <c r="AF1559" s="422"/>
      <c r="AG1559" s="422"/>
      <c r="AH1559" s="422"/>
      <c r="AI1559" s="422"/>
      <c r="AJ1559" s="424"/>
    </row>
    <row r="1560" ht="15.0" customHeight="1">
      <c r="A1560" s="416"/>
      <c r="B1560" s="417"/>
      <c r="C1560" s="417"/>
      <c r="D1560" s="416"/>
      <c r="E1560" s="418"/>
      <c r="F1560" s="419"/>
      <c r="G1560" s="420"/>
      <c r="H1560" s="421"/>
      <c r="I1560" s="422"/>
      <c r="J1560" s="423"/>
      <c r="K1560" s="421"/>
      <c r="L1560" s="421"/>
      <c r="M1560" s="421"/>
      <c r="N1560" s="422"/>
      <c r="O1560" s="422"/>
      <c r="P1560" s="422"/>
      <c r="Q1560" s="422"/>
      <c r="R1560" s="422"/>
      <c r="S1560" s="422"/>
      <c r="T1560" s="422"/>
      <c r="U1560" s="422"/>
      <c r="V1560" s="422"/>
      <c r="W1560" s="422"/>
      <c r="X1560" s="421"/>
      <c r="Y1560" s="421"/>
      <c r="Z1560" s="421"/>
      <c r="AA1560" s="422"/>
      <c r="AB1560" s="422"/>
      <c r="AC1560" s="422"/>
      <c r="AD1560" s="422"/>
      <c r="AE1560" s="422"/>
      <c r="AF1560" s="422"/>
      <c r="AG1560" s="422"/>
      <c r="AH1560" s="422"/>
      <c r="AI1560" s="422"/>
      <c r="AJ1560" s="424"/>
    </row>
    <row r="1561" ht="15.0" customHeight="1">
      <c r="A1561" s="416"/>
      <c r="B1561" s="417"/>
      <c r="C1561" s="417"/>
      <c r="D1561" s="416"/>
      <c r="E1561" s="418"/>
      <c r="F1561" s="419"/>
      <c r="G1561" s="420"/>
      <c r="H1561" s="421"/>
      <c r="I1561" s="422"/>
      <c r="J1561" s="423"/>
      <c r="K1561" s="421"/>
      <c r="L1561" s="421"/>
      <c r="M1561" s="421"/>
      <c r="N1561" s="422"/>
      <c r="O1561" s="422"/>
      <c r="P1561" s="422"/>
      <c r="Q1561" s="422"/>
      <c r="R1561" s="422"/>
      <c r="S1561" s="422"/>
      <c r="T1561" s="422"/>
      <c r="U1561" s="422"/>
      <c r="V1561" s="422"/>
      <c r="W1561" s="422"/>
      <c r="X1561" s="421"/>
      <c r="Y1561" s="421"/>
      <c r="Z1561" s="421"/>
      <c r="AA1561" s="422"/>
      <c r="AB1561" s="422"/>
      <c r="AC1561" s="422"/>
      <c r="AD1561" s="422"/>
      <c r="AE1561" s="422"/>
      <c r="AF1561" s="422"/>
      <c r="AG1561" s="422"/>
      <c r="AH1561" s="422"/>
      <c r="AI1561" s="422"/>
      <c r="AJ1561" s="424"/>
    </row>
    <row r="1562" ht="15.0" customHeight="1">
      <c r="A1562" s="416"/>
      <c r="B1562" s="417"/>
      <c r="C1562" s="417"/>
      <c r="D1562" s="416"/>
      <c r="E1562" s="418"/>
      <c r="F1562" s="419"/>
      <c r="G1562" s="420"/>
      <c r="H1562" s="421"/>
      <c r="I1562" s="422"/>
      <c r="J1562" s="423"/>
      <c r="K1562" s="421"/>
      <c r="L1562" s="421"/>
      <c r="M1562" s="421"/>
      <c r="N1562" s="422"/>
      <c r="O1562" s="422"/>
      <c r="P1562" s="422"/>
      <c r="Q1562" s="422"/>
      <c r="R1562" s="422"/>
      <c r="S1562" s="422"/>
      <c r="T1562" s="422"/>
      <c r="U1562" s="422"/>
      <c r="V1562" s="422"/>
      <c r="W1562" s="422"/>
      <c r="X1562" s="421"/>
      <c r="Y1562" s="421"/>
      <c r="Z1562" s="421"/>
      <c r="AA1562" s="422"/>
      <c r="AB1562" s="422"/>
      <c r="AC1562" s="422"/>
      <c r="AD1562" s="422"/>
      <c r="AE1562" s="422"/>
      <c r="AF1562" s="422"/>
      <c r="AG1562" s="422"/>
      <c r="AH1562" s="422"/>
      <c r="AI1562" s="422"/>
      <c r="AJ1562" s="424"/>
    </row>
    <row r="1563" ht="15.0" customHeight="1">
      <c r="A1563" s="416"/>
      <c r="B1563" s="417"/>
      <c r="C1563" s="417"/>
      <c r="D1563" s="416"/>
      <c r="E1563" s="418"/>
      <c r="F1563" s="419"/>
      <c r="G1563" s="420"/>
      <c r="H1563" s="421"/>
      <c r="I1563" s="422"/>
      <c r="J1563" s="423"/>
      <c r="K1563" s="421"/>
      <c r="L1563" s="421"/>
      <c r="M1563" s="421"/>
      <c r="N1563" s="422"/>
      <c r="O1563" s="422"/>
      <c r="P1563" s="422"/>
      <c r="Q1563" s="422"/>
      <c r="R1563" s="422"/>
      <c r="S1563" s="422"/>
      <c r="T1563" s="422"/>
      <c r="U1563" s="422"/>
      <c r="V1563" s="422"/>
      <c r="W1563" s="422"/>
      <c r="X1563" s="421"/>
      <c r="Y1563" s="421"/>
      <c r="Z1563" s="421"/>
      <c r="AA1563" s="422"/>
      <c r="AB1563" s="422"/>
      <c r="AC1563" s="422"/>
      <c r="AD1563" s="422"/>
      <c r="AE1563" s="422"/>
      <c r="AF1563" s="422"/>
      <c r="AG1563" s="422"/>
      <c r="AH1563" s="422"/>
      <c r="AI1563" s="422"/>
      <c r="AJ1563" s="424"/>
    </row>
    <row r="1564" ht="15.0" customHeight="1">
      <c r="A1564" s="416"/>
      <c r="B1564" s="417"/>
      <c r="C1564" s="417"/>
      <c r="D1564" s="416"/>
      <c r="E1564" s="418"/>
      <c r="F1564" s="419"/>
      <c r="G1564" s="420"/>
      <c r="H1564" s="421"/>
      <c r="I1564" s="422"/>
      <c r="J1564" s="423"/>
      <c r="K1564" s="421"/>
      <c r="L1564" s="421"/>
      <c r="M1564" s="421"/>
      <c r="N1564" s="422"/>
      <c r="O1564" s="422"/>
      <c r="P1564" s="422"/>
      <c r="Q1564" s="422"/>
      <c r="R1564" s="422"/>
      <c r="S1564" s="422"/>
      <c r="T1564" s="422"/>
      <c r="U1564" s="422"/>
      <c r="V1564" s="422"/>
      <c r="W1564" s="422"/>
      <c r="X1564" s="421"/>
      <c r="Y1564" s="421"/>
      <c r="Z1564" s="421"/>
      <c r="AA1564" s="422"/>
      <c r="AB1564" s="422"/>
      <c r="AC1564" s="422"/>
      <c r="AD1564" s="422"/>
      <c r="AE1564" s="422"/>
      <c r="AF1564" s="422"/>
      <c r="AG1564" s="422"/>
      <c r="AH1564" s="422"/>
      <c r="AI1564" s="422"/>
      <c r="AJ1564" s="424"/>
    </row>
    <row r="1565" ht="15.0" customHeight="1">
      <c r="A1565" s="416"/>
      <c r="B1565" s="417"/>
      <c r="C1565" s="417"/>
      <c r="D1565" s="416"/>
      <c r="E1565" s="418"/>
      <c r="F1565" s="419"/>
      <c r="G1565" s="420"/>
      <c r="H1565" s="421"/>
      <c r="I1565" s="422"/>
      <c r="J1565" s="423"/>
      <c r="K1565" s="421"/>
      <c r="L1565" s="421"/>
      <c r="M1565" s="421"/>
      <c r="N1565" s="422"/>
      <c r="O1565" s="422"/>
      <c r="P1565" s="422"/>
      <c r="Q1565" s="422"/>
      <c r="R1565" s="422"/>
      <c r="S1565" s="422"/>
      <c r="T1565" s="422"/>
      <c r="U1565" s="422"/>
      <c r="V1565" s="422"/>
      <c r="W1565" s="422"/>
      <c r="X1565" s="421"/>
      <c r="Y1565" s="421"/>
      <c r="Z1565" s="421"/>
      <c r="AA1565" s="422"/>
      <c r="AB1565" s="422"/>
      <c r="AC1565" s="422"/>
      <c r="AD1565" s="422"/>
      <c r="AE1565" s="422"/>
      <c r="AF1565" s="422"/>
      <c r="AG1565" s="422"/>
      <c r="AH1565" s="422"/>
      <c r="AI1565" s="422"/>
      <c r="AJ1565" s="424"/>
    </row>
    <row r="1566" ht="15.0" customHeight="1">
      <c r="A1566" s="416"/>
      <c r="B1566" s="417"/>
      <c r="C1566" s="417"/>
      <c r="D1566" s="416"/>
      <c r="E1566" s="418"/>
      <c r="F1566" s="419"/>
      <c r="G1566" s="420"/>
      <c r="H1566" s="421"/>
      <c r="I1566" s="422"/>
      <c r="J1566" s="423"/>
      <c r="K1566" s="421"/>
      <c r="L1566" s="421"/>
      <c r="M1566" s="421"/>
      <c r="N1566" s="422"/>
      <c r="O1566" s="422"/>
      <c r="P1566" s="422"/>
      <c r="Q1566" s="422"/>
      <c r="R1566" s="422"/>
      <c r="S1566" s="422"/>
      <c r="T1566" s="422"/>
      <c r="U1566" s="422"/>
      <c r="V1566" s="422"/>
      <c r="W1566" s="422"/>
      <c r="X1566" s="421"/>
      <c r="Y1566" s="421"/>
      <c r="Z1566" s="421"/>
      <c r="AA1566" s="422"/>
      <c r="AB1566" s="422"/>
      <c r="AC1566" s="422"/>
      <c r="AD1566" s="422"/>
      <c r="AE1566" s="422"/>
      <c r="AF1566" s="422"/>
      <c r="AG1566" s="422"/>
      <c r="AH1566" s="422"/>
      <c r="AI1566" s="422"/>
      <c r="AJ1566" s="424"/>
    </row>
    <row r="1567" ht="15.0" customHeight="1">
      <c r="A1567" s="416"/>
      <c r="B1567" s="417"/>
      <c r="C1567" s="417"/>
      <c r="D1567" s="416"/>
      <c r="E1567" s="418"/>
      <c r="F1567" s="419"/>
      <c r="G1567" s="420"/>
      <c r="H1567" s="421"/>
      <c r="I1567" s="422"/>
      <c r="J1567" s="423"/>
      <c r="K1567" s="421"/>
      <c r="L1567" s="421"/>
      <c r="M1567" s="421"/>
      <c r="N1567" s="422"/>
      <c r="O1567" s="422"/>
      <c r="P1567" s="422"/>
      <c r="Q1567" s="422"/>
      <c r="R1567" s="422"/>
      <c r="S1567" s="422"/>
      <c r="T1567" s="422"/>
      <c r="U1567" s="422"/>
      <c r="V1567" s="422"/>
      <c r="W1567" s="422"/>
      <c r="X1567" s="421"/>
      <c r="Y1567" s="421"/>
      <c r="Z1567" s="421"/>
      <c r="AA1567" s="422"/>
      <c r="AB1567" s="422"/>
      <c r="AC1567" s="422"/>
      <c r="AD1567" s="422"/>
      <c r="AE1567" s="422"/>
      <c r="AF1567" s="422"/>
      <c r="AG1567" s="422"/>
      <c r="AH1567" s="422"/>
      <c r="AI1567" s="422"/>
      <c r="AJ1567" s="424"/>
    </row>
    <row r="1568" ht="15.0" customHeight="1">
      <c r="A1568" s="416"/>
      <c r="B1568" s="417"/>
      <c r="C1568" s="417"/>
      <c r="D1568" s="416"/>
      <c r="E1568" s="418"/>
      <c r="F1568" s="419"/>
      <c r="G1568" s="420"/>
      <c r="H1568" s="421"/>
      <c r="I1568" s="422"/>
      <c r="J1568" s="423"/>
      <c r="K1568" s="421"/>
      <c r="L1568" s="421"/>
      <c r="M1568" s="421"/>
      <c r="N1568" s="422"/>
      <c r="O1568" s="422"/>
      <c r="P1568" s="422"/>
      <c r="Q1568" s="422"/>
      <c r="R1568" s="422"/>
      <c r="S1568" s="422"/>
      <c r="T1568" s="422"/>
      <c r="U1568" s="422"/>
      <c r="V1568" s="422"/>
      <c r="W1568" s="422"/>
      <c r="X1568" s="421"/>
      <c r="Y1568" s="421"/>
      <c r="Z1568" s="421"/>
      <c r="AA1568" s="422"/>
      <c r="AB1568" s="422"/>
      <c r="AC1568" s="422"/>
      <c r="AD1568" s="422"/>
      <c r="AE1568" s="422"/>
      <c r="AF1568" s="422"/>
      <c r="AG1568" s="422"/>
      <c r="AH1568" s="422"/>
      <c r="AI1568" s="422"/>
      <c r="AJ1568" s="424"/>
    </row>
    <row r="1569" ht="15.0" customHeight="1">
      <c r="A1569" s="416"/>
      <c r="B1569" s="417"/>
      <c r="C1569" s="417"/>
      <c r="D1569" s="416"/>
      <c r="E1569" s="418"/>
      <c r="F1569" s="419"/>
      <c r="G1569" s="420"/>
      <c r="H1569" s="421"/>
      <c r="I1569" s="422"/>
      <c r="J1569" s="423"/>
      <c r="K1569" s="421"/>
      <c r="L1569" s="421"/>
      <c r="M1569" s="421"/>
      <c r="N1569" s="422"/>
      <c r="O1569" s="422"/>
      <c r="P1569" s="422"/>
      <c r="Q1569" s="422"/>
      <c r="R1569" s="422"/>
      <c r="S1569" s="422"/>
      <c r="T1569" s="422"/>
      <c r="U1569" s="422"/>
      <c r="V1569" s="422"/>
      <c r="W1569" s="422"/>
      <c r="X1569" s="421"/>
      <c r="Y1569" s="421"/>
      <c r="Z1569" s="421"/>
      <c r="AA1569" s="422"/>
      <c r="AB1569" s="422"/>
      <c r="AC1569" s="422"/>
      <c r="AD1569" s="422"/>
      <c r="AE1569" s="422"/>
      <c r="AF1569" s="422"/>
      <c r="AG1569" s="422"/>
      <c r="AH1569" s="422"/>
      <c r="AI1569" s="422"/>
      <c r="AJ1569" s="424"/>
    </row>
  </sheetData>
  <autoFilter ref="$G$1375"/>
  <dataValidations>
    <dataValidation type="custom" allowBlank="1" showInputMessage="1" showErrorMessage="1" prompt="Max 30 Characters - Maximum character limit of 30 has been exceeded." sqref="F281 F287 F292:F293 F314 F343:F345 F592:F598 F636:F639 F641:F644 F675 F708:F709 F773 F779:F780 F787 F812 F823 F915 F942 F1088 F1305:F1306">
      <formula1>LT(LEN(F281),(31))</formula1>
    </dataValidation>
  </dataValidations>
  <printOptions/>
  <pageMargins bottom="0.75" footer="0.0" header="0.0" left="0.7" right="0.7" top="0.75"/>
  <pageSetup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C99"/>
    <pageSetUpPr/>
  </sheetPr>
  <sheetViews>
    <sheetView workbookViewId="0"/>
  </sheetViews>
  <sheetFormatPr customHeight="1" defaultColWidth="14.43" defaultRowHeight="15.0"/>
  <cols>
    <col customWidth="1" min="1" max="1" width="8.86"/>
    <col customWidth="1" min="2" max="2" width="21.57"/>
    <col customWidth="1" min="3" max="3" width="17.29"/>
    <col customWidth="1" min="4" max="4" width="16.14"/>
    <col customWidth="1" min="5" max="5" width="68.57"/>
    <col customWidth="1" min="6" max="6" width="66.57"/>
    <col customWidth="1" min="7" max="7" width="12.57"/>
    <col customWidth="1" min="8" max="8" width="25.86"/>
    <col customWidth="1" min="9" max="12" width="8.86"/>
  </cols>
  <sheetData>
    <row r="1">
      <c r="B1" s="425" t="s">
        <v>0</v>
      </c>
      <c r="C1" s="426" t="s">
        <v>3594</v>
      </c>
      <c r="D1" s="427" t="s">
        <v>3595</v>
      </c>
      <c r="E1" s="428" t="s">
        <v>3596</v>
      </c>
      <c r="F1" s="429" t="s">
        <v>4</v>
      </c>
      <c r="G1" s="427" t="s">
        <v>3597</v>
      </c>
      <c r="H1" s="427" t="s">
        <v>6</v>
      </c>
    </row>
    <row r="2" hidden="1">
      <c r="B2" s="154" t="s">
        <v>3598</v>
      </c>
      <c r="C2" s="146" t="str">
        <f t="shared" ref="C2:C688" si="1">SUM($B2+10000)</f>
        <v>#VALUE!</v>
      </c>
      <c r="D2" s="146" t="s">
        <v>7</v>
      </c>
      <c r="E2" s="305" t="s">
        <v>8</v>
      </c>
      <c r="F2" s="383" t="s">
        <v>9</v>
      </c>
      <c r="G2" s="430">
        <f>LEN('Expected Auditing Outcomes'!$F2)</f>
        <v>41</v>
      </c>
      <c r="H2" s="431">
        <v>45763.0</v>
      </c>
    </row>
    <row r="3" hidden="1">
      <c r="B3" s="146">
        <v>2.0</v>
      </c>
      <c r="C3" s="146">
        <f t="shared" si="1"/>
        <v>10002</v>
      </c>
      <c r="D3" s="146" t="s">
        <v>7</v>
      </c>
      <c r="E3" s="305" t="str">
        <f>VLOOKUP('Expected Auditing Outcomes'!$B3,'Master Sheet'!A3:G1032, 7, FALSE)</f>
        <v>PROC denial due to NOT PRESENT MOD</v>
      </c>
      <c r="F3" s="383" t="s">
        <v>11</v>
      </c>
      <c r="G3" s="430">
        <f>LEN('Expected Auditing Outcomes'!$F3)</f>
        <v>37</v>
      </c>
      <c r="H3" s="431">
        <v>45763.0</v>
      </c>
    </row>
    <row r="4" hidden="1">
      <c r="B4" s="146">
        <v>3.0</v>
      </c>
      <c r="C4" s="146">
        <f t="shared" si="1"/>
        <v>10003</v>
      </c>
      <c r="D4" s="146" t="s">
        <v>7</v>
      </c>
      <c r="E4" s="305" t="str">
        <f>VLOOKUP('Expected Auditing Outcomes'!$B4,'Master Sheet'!A4:G1033, 7, FALSE)</f>
        <v>PROC denial due to NOT PRESENT REV (OUTPAT_FAC)</v>
      </c>
      <c r="F4" s="383" t="s">
        <v>13</v>
      </c>
      <c r="G4" s="430">
        <f>LEN('Expected Auditing Outcomes'!$F4)</f>
        <v>46</v>
      </c>
      <c r="H4" s="431">
        <v>45763.0</v>
      </c>
    </row>
    <row r="5" hidden="1">
      <c r="B5" s="146">
        <v>4.0</v>
      </c>
      <c r="C5" s="146">
        <f t="shared" si="1"/>
        <v>10004</v>
      </c>
      <c r="D5" s="146" t="s">
        <v>7</v>
      </c>
      <c r="E5" s="305" t="str">
        <f>VLOOKUP('Expected Auditing Outcomes'!$B5,'Master Sheet'!A5:G1034, 7, FALSE)</f>
        <v>PROC denial due to NOT PRESENT POS or NULL POS</v>
      </c>
      <c r="F5" s="383" t="s">
        <v>15</v>
      </c>
      <c r="G5" s="430">
        <f>LEN('Expected Auditing Outcomes'!$F5)</f>
        <v>37</v>
      </c>
      <c r="H5" s="431">
        <v>45763.0</v>
      </c>
    </row>
    <row r="6" hidden="1">
      <c r="B6" s="146">
        <v>5.0</v>
      </c>
      <c r="C6" s="146">
        <f t="shared" si="1"/>
        <v>10005</v>
      </c>
      <c r="D6" s="146" t="s">
        <v>7</v>
      </c>
      <c r="E6" s="305" t="s">
        <v>16</v>
      </c>
      <c r="F6" s="383" t="s">
        <v>17</v>
      </c>
      <c r="G6" s="430">
        <f>LEN('Expected Auditing Outcomes'!$F6)</f>
        <v>27</v>
      </c>
      <c r="H6" s="431">
        <v>45763.0</v>
      </c>
    </row>
    <row r="7" hidden="1">
      <c r="B7" s="146">
        <v>6.0</v>
      </c>
      <c r="C7" s="146">
        <f t="shared" si="1"/>
        <v>10006</v>
      </c>
      <c r="D7" s="146" t="s">
        <v>7</v>
      </c>
      <c r="E7" s="305" t="str">
        <f>VLOOKUP('Expected Auditing Outcomes'!$B7,'Master Sheet'!A7:G1036, 7, FALSE)</f>
        <v>PROC denial due to NOT PRESENT DX and-or NOT PRESENT MOD</v>
      </c>
      <c r="F7" s="383" t="s">
        <v>3599</v>
      </c>
      <c r="G7" s="430">
        <f>LEN('Expected Auditing Outcomes'!$F7)</f>
        <v>64</v>
      </c>
      <c r="H7" s="431">
        <v>45763.0</v>
      </c>
    </row>
    <row r="8" hidden="1">
      <c r="B8" s="146">
        <v>7.0</v>
      </c>
      <c r="C8" s="146">
        <f t="shared" si="1"/>
        <v>10007</v>
      </c>
      <c r="D8" s="146" t="s">
        <v>20</v>
      </c>
      <c r="E8" s="305" t="str">
        <f>VLOOKUP('Expected Auditing Outcomes'!$B8,'Master Sheet'!A8:G1037, 7, FALSE)</f>
        <v>PROC denial due to PRESENT OTHER PROC (2-KEY D-S; SAME DOS; XPROV)</v>
      </c>
      <c r="F8" s="383" t="s">
        <v>22</v>
      </c>
      <c r="G8" s="430">
        <f>LEN('Expected Auditing Outcomes'!$F8)</f>
        <v>75</v>
      </c>
      <c r="H8" s="431">
        <v>45763.0</v>
      </c>
    </row>
    <row r="9" hidden="1">
      <c r="B9" s="146">
        <v>8.0</v>
      </c>
      <c r="C9" s="146">
        <f t="shared" si="1"/>
        <v>10008</v>
      </c>
      <c r="D9" s="146" t="s">
        <v>7</v>
      </c>
      <c r="E9" s="305" t="s">
        <v>23</v>
      </c>
      <c r="F9" s="383" t="s">
        <v>24</v>
      </c>
      <c r="G9" s="430">
        <f>LEN('Expected Auditing Outcomes'!$F9)</f>
        <v>28</v>
      </c>
      <c r="H9" s="431">
        <v>45763.0</v>
      </c>
    </row>
    <row r="10" hidden="1">
      <c r="B10" s="146">
        <v>9.0</v>
      </c>
      <c r="C10" s="146">
        <f t="shared" si="1"/>
        <v>10009</v>
      </c>
      <c r="D10" s="146" t="s">
        <v>7</v>
      </c>
      <c r="E10" s="305" t="str">
        <f>VLOOKUP('Expected Auditing Outcomes'!$B10,'Master Sheet'!A10:G1039, 7, FALSE)</f>
        <v>PROC denial due to NOT PRESENT DX and-or NOT PRESENT REV (OUTPAT_FAC)</v>
      </c>
      <c r="F10" s="383" t="s">
        <v>26</v>
      </c>
      <c r="G10" s="430">
        <f>LEN('Expected Auditing Outcomes'!$F10)</f>
        <v>77</v>
      </c>
      <c r="H10" s="431">
        <v>45763.0</v>
      </c>
    </row>
    <row r="11" hidden="1">
      <c r="B11" s="146">
        <v>10.0</v>
      </c>
      <c r="C11" s="146">
        <f t="shared" si="1"/>
        <v>10010</v>
      </c>
      <c r="D11" s="146" t="s">
        <v>27</v>
      </c>
      <c r="E11" s="305" t="s">
        <v>28</v>
      </c>
      <c r="F11" s="383" t="s">
        <v>29</v>
      </c>
      <c r="G11" s="430">
        <f>LEN('Expected Auditing Outcomes'!$F11)</f>
        <v>74</v>
      </c>
      <c r="H11" s="431">
        <v>45763.0</v>
      </c>
    </row>
    <row r="12" hidden="1">
      <c r="B12" s="146">
        <v>11.0</v>
      </c>
      <c r="C12" s="146">
        <f t="shared" si="1"/>
        <v>10011</v>
      </c>
      <c r="D12" s="146" t="s">
        <v>7</v>
      </c>
      <c r="E12" s="305" t="str">
        <f>VLOOKUP('Expected Auditing Outcomes'!$B12,'Master Sheet'!A12:G1051, 7, FALSE)</f>
        <v>PROC denial due to PRESENT DX</v>
      </c>
      <c r="F12" s="383" t="s">
        <v>31</v>
      </c>
      <c r="G12" s="430">
        <f>LEN('Expected Auditing Outcomes'!$F12)</f>
        <v>37</v>
      </c>
      <c r="H12" s="430"/>
    </row>
    <row r="13" hidden="1">
      <c r="B13" s="146">
        <v>12.0</v>
      </c>
      <c r="C13" s="146">
        <f t="shared" si="1"/>
        <v>10012</v>
      </c>
      <c r="D13" s="146" t="s">
        <v>7</v>
      </c>
      <c r="E13" s="305" t="str">
        <f>VLOOKUP('Expected Auditing Outcomes'!$B13,'Master Sheet'!A13:G1051, 7, FALSE)</f>
        <v>PROC denial due to PRESENT POS</v>
      </c>
      <c r="F13" s="383" t="s">
        <v>33</v>
      </c>
      <c r="G13" s="430">
        <f>LEN('Expected Auditing Outcomes'!$F13)</f>
        <v>33</v>
      </c>
      <c r="H13" s="431">
        <v>45763.0</v>
      </c>
    </row>
    <row r="14" hidden="1">
      <c r="B14" s="432">
        <v>13.0</v>
      </c>
      <c r="C14" s="432">
        <f t="shared" si="1"/>
        <v>10013</v>
      </c>
      <c r="D14" s="432" t="s">
        <v>34</v>
      </c>
      <c r="E14" s="388" t="str">
        <f>VLOOKUP('Expected Auditing Outcomes'!$B14,'Master Sheet'!A14:G1051, 7, FALSE)</f>
        <v>INDIVIDUAL PROC denial due to FREQ - Line Quantity (DAYS_RANGE; INCL SAME DOS; XPROV)(QTY=1 and ADD LINE=N)</v>
      </c>
      <c r="F14" s="433" t="s">
        <v>36</v>
      </c>
      <c r="G14" s="430">
        <f>LEN('Expected Auditing Outcomes'!$F14)</f>
        <v>117</v>
      </c>
      <c r="H14" s="431">
        <v>45763.0</v>
      </c>
    </row>
    <row r="15" hidden="1">
      <c r="B15" s="146">
        <v>14.0</v>
      </c>
      <c r="C15" s="146">
        <f t="shared" si="1"/>
        <v>10014</v>
      </c>
      <c r="D15" s="146" t="s">
        <v>7</v>
      </c>
      <c r="E15" s="305" t="str">
        <f>VLOOKUP('Expected Auditing Outcomes'!$B15,'Master Sheet'!A15:G1051, 7, FALSE)</f>
        <v>PROC denial due to PRESENT MOD</v>
      </c>
      <c r="F15" s="383" t="s">
        <v>38</v>
      </c>
      <c r="G15" s="430">
        <f>LEN('Expected Auditing Outcomes'!$F15)</f>
        <v>33</v>
      </c>
      <c r="H15" s="431">
        <v>45763.0</v>
      </c>
    </row>
    <row r="16" hidden="1">
      <c r="B16" s="146">
        <v>15.0</v>
      </c>
      <c r="C16" s="146">
        <f t="shared" si="1"/>
        <v>10015</v>
      </c>
      <c r="D16" s="146" t="s">
        <v>20</v>
      </c>
      <c r="E16" s="305" t="str">
        <f>VLOOKUP('Expected Auditing Outcomes'!$B16,'Master Sheet'!A16:G1051, 7, FALSE)</f>
        <v>PROC denial due to PRESENT OTHER PROC (1-KEY D-S; CALENDAR_MONTH; INCL SAME DOS; XPROV)</v>
      </c>
      <c r="F16" s="383" t="s">
        <v>40</v>
      </c>
      <c r="G16" s="430">
        <f>LEN('Expected Auditing Outcomes'!$F16)</f>
        <v>115</v>
      </c>
      <c r="H16" s="431">
        <v>45763.0</v>
      </c>
    </row>
    <row r="17" hidden="1">
      <c r="B17" s="432">
        <v>16.0</v>
      </c>
      <c r="C17" s="432">
        <f t="shared" si="1"/>
        <v>10016</v>
      </c>
      <c r="D17" s="432" t="s">
        <v>41</v>
      </c>
      <c r="E17" s="388" t="str">
        <f>VLOOKUP('Expected Auditing Outcomes'!$B17,'Master Sheet'!A17:G1051, 7, FALSE)</f>
        <v>COMBINATION (Patterns 13 + 19) </v>
      </c>
      <c r="F17" s="434" t="s">
        <v>43</v>
      </c>
      <c r="G17" s="435">
        <f>LEN('Expected Auditing Outcomes'!$F17)</f>
        <v>115</v>
      </c>
      <c r="H17" s="435"/>
    </row>
    <row r="18" hidden="1">
      <c r="B18" s="432">
        <v>17.0</v>
      </c>
      <c r="C18" s="432">
        <f t="shared" si="1"/>
        <v>10017</v>
      </c>
      <c r="D18" s="432" t="s">
        <v>41</v>
      </c>
      <c r="E18" s="388" t="str">
        <f>VLOOKUP('Expected Auditing Outcomes'!$B18,'Master Sheet'!A18:G1051, 7, FALSE)</f>
        <v>COMBINATION (Patterns 20 + 25) </v>
      </c>
      <c r="F18" s="434" t="s">
        <v>43</v>
      </c>
      <c r="G18" s="435">
        <f>LEN('Expected Auditing Outcomes'!$F18)</f>
        <v>115</v>
      </c>
      <c r="H18" s="435"/>
    </row>
    <row r="19" hidden="1">
      <c r="B19" s="432">
        <v>18.0</v>
      </c>
      <c r="C19" s="432">
        <f t="shared" si="1"/>
        <v>10018</v>
      </c>
      <c r="D19" s="432" t="s">
        <v>41</v>
      </c>
      <c r="E19" s="388" t="str">
        <f>VLOOKUP('Expected Auditing Outcomes'!$B19,'Master Sheet'!A19:G1051, 7, FALSE)</f>
        <v>COMBINATION (Patterns 21  + 13) </v>
      </c>
      <c r="F19" s="434" t="s">
        <v>43</v>
      </c>
      <c r="G19" s="435">
        <f>LEN('Expected Auditing Outcomes'!$F19)</f>
        <v>115</v>
      </c>
      <c r="H19" s="435"/>
      <c r="L19" s="436"/>
    </row>
    <row r="20" hidden="1">
      <c r="B20" s="146">
        <v>19.0</v>
      </c>
      <c r="C20" s="146">
        <f t="shared" si="1"/>
        <v>10019</v>
      </c>
      <c r="D20" s="146" t="s">
        <v>34</v>
      </c>
      <c r="E20" s="305" t="str">
        <f>VLOOKUP('Expected Auditing Outcomes'!$B20,'Master Sheet'!A20:G1051, 7, FALSE)</f>
        <v>INDIVIDUAL PROC denial due to FREQ - Line Quantity (SAME DOS; XPROV)(QTY=1 and ADD LINE=N)</v>
      </c>
      <c r="F20" s="305" t="s">
        <v>47</v>
      </c>
      <c r="G20" s="430">
        <f>LEN('Expected Auditing Outcomes'!$F20)</f>
        <v>80</v>
      </c>
      <c r="H20" s="431">
        <v>45763.0</v>
      </c>
    </row>
    <row r="21" ht="15.75" hidden="1" customHeight="1">
      <c r="B21" s="146">
        <v>20.0</v>
      </c>
      <c r="C21" s="146">
        <f t="shared" si="1"/>
        <v>10020</v>
      </c>
      <c r="D21" s="146" t="s">
        <v>34</v>
      </c>
      <c r="E21" s="305" t="str">
        <f>VLOOKUP('Expected Auditing Outcomes'!$B21,'Master Sheet'!A21:G1051, 7, FALSE)</f>
        <v>INDIVIDUAL PROC denial due to FREQ - Line Quantity (SAME DOS; SAME PROV)(QTY=1 and ADD LINE=N)</v>
      </c>
      <c r="F21" s="305" t="s">
        <v>49</v>
      </c>
      <c r="G21" s="430">
        <f>LEN('Expected Auditing Outcomes'!$F21)</f>
        <v>86</v>
      </c>
      <c r="H21" s="431">
        <v>45763.0</v>
      </c>
    </row>
    <row r="22" ht="15.75" hidden="1" customHeight="1">
      <c r="B22" s="146">
        <v>21.0</v>
      </c>
      <c r="C22" s="146">
        <f t="shared" si="1"/>
        <v>10021</v>
      </c>
      <c r="D22" s="146" t="s">
        <v>7</v>
      </c>
      <c r="E22" s="305" t="str">
        <f>VLOOKUP('Expected Auditing Outcomes'!$B22,'Master Sheet'!A22:G1051, 7, FALSE)</f>
        <v>PROC denial due to NOT PRESENT GENDER M</v>
      </c>
      <c r="F22" s="383" t="s">
        <v>51</v>
      </c>
      <c r="G22" s="430">
        <f>LEN('Expected Auditing Outcomes'!$F22)</f>
        <v>57</v>
      </c>
      <c r="H22" s="431">
        <v>45763.0</v>
      </c>
    </row>
    <row r="23" ht="15.75" hidden="1" customHeight="1">
      <c r="B23" s="146">
        <v>22.0</v>
      </c>
      <c r="C23" s="146">
        <f t="shared" si="1"/>
        <v>10022</v>
      </c>
      <c r="D23" s="146" t="s">
        <v>7</v>
      </c>
      <c r="E23" s="305" t="str">
        <f>VLOOKUP('Expected Auditing Outcomes'!$B23,'Master Sheet'!A23:G1051, 7, FALSE)</f>
        <v>PROC denial due to NOT PRESENT MOD1, AND/OR NOT PRESENT MOD2</v>
      </c>
      <c r="F23" s="383" t="s">
        <v>53</v>
      </c>
      <c r="G23" s="430">
        <f>LEN('Expected Auditing Outcomes'!$F23)</f>
        <v>80</v>
      </c>
      <c r="H23" s="431">
        <v>45763.0</v>
      </c>
    </row>
    <row r="24" ht="15.75" hidden="1" customHeight="1">
      <c r="B24" s="146">
        <v>23.0</v>
      </c>
      <c r="C24" s="146">
        <f t="shared" si="1"/>
        <v>10023</v>
      </c>
      <c r="D24" s="146" t="s">
        <v>34</v>
      </c>
      <c r="E24" s="305" t="str">
        <f>VLOOKUP('Expected Auditing Outcomes'!$B24,'Master Sheet'!A24:G1051, 7, FALSE)</f>
        <v>PROC GROUP denial due to FREQ - Line Quantity (DAYS_RANGE, INCL SAME DOS; XPROV)(QTY&gt;1 and ADD LINE=N) </v>
      </c>
      <c r="F24" s="383" t="s">
        <v>55</v>
      </c>
      <c r="G24" s="430">
        <f>LEN('Expected Auditing Outcomes'!$F24)</f>
        <v>160</v>
      </c>
      <c r="H24" s="431">
        <v>45763.0</v>
      </c>
    </row>
    <row r="25" ht="15.75" hidden="1" customHeight="1">
      <c r="B25" s="146">
        <v>24.0</v>
      </c>
      <c r="C25" s="146">
        <f t="shared" si="1"/>
        <v>10024</v>
      </c>
      <c r="D25" s="146" t="s">
        <v>7</v>
      </c>
      <c r="E25" s="305" t="str">
        <f>VLOOKUP('Expected Auditing Outcomes'!$B25,'Master Sheet'!A25:G1051, 7, FALSE)</f>
        <v>PROC denial due to NOT PRESENT Claim_PrincipalDiag and-or NOT PRESENT BILL TYPE (ALL_FAC)</v>
      </c>
      <c r="F25" s="383" t="s">
        <v>57</v>
      </c>
      <c r="G25" s="430">
        <f>LEN('Expected Auditing Outcomes'!$F25)</f>
        <v>92</v>
      </c>
      <c r="H25" s="431">
        <v>45763.0</v>
      </c>
    </row>
    <row r="26" ht="15.75" hidden="1" customHeight="1">
      <c r="B26" s="432">
        <v>25.0</v>
      </c>
      <c r="C26" s="432">
        <f t="shared" si="1"/>
        <v>10025</v>
      </c>
      <c r="D26" s="432" t="s">
        <v>34</v>
      </c>
      <c r="E26" s="388" t="str">
        <f>VLOOKUP('Expected Auditing Outcomes'!$B26,'Master Sheet'!A26:G1051, 7, FALSE)</f>
        <v>INDIVIDUAL PROC denial due to FREQ - Line Quantity (DAYS_RANGE; INCL SAME DOS; SAME PROV)(QTY&gt;1 and ADD LINE=N)</v>
      </c>
      <c r="F26" s="388" t="s">
        <v>59</v>
      </c>
      <c r="G26" s="430">
        <f>LEN('Expected Auditing Outcomes'!$F26)</f>
        <v>123</v>
      </c>
      <c r="H26" s="431">
        <v>45763.0</v>
      </c>
    </row>
    <row r="27" ht="15.75" hidden="1" customHeight="1">
      <c r="B27" s="146">
        <v>26.0</v>
      </c>
      <c r="C27" s="146">
        <f t="shared" si="1"/>
        <v>10026</v>
      </c>
      <c r="D27" s="146" t="s">
        <v>7</v>
      </c>
      <c r="E27" s="305" t="str">
        <f>VLOOKUP('Expected Auditing Outcomes'!$B27,'Master Sheet'!A27:G1051, 7, FALSE)</f>
        <v>PROC denial due to PRESENT AGE with INCL DX</v>
      </c>
      <c r="F27" s="383" t="s">
        <v>61</v>
      </c>
      <c r="G27" s="430">
        <f>LEN('Expected Auditing Outcomes'!$F27)</f>
        <v>57</v>
      </c>
      <c r="H27" s="431">
        <v>45763.0</v>
      </c>
    </row>
    <row r="28" ht="15.75" hidden="1" customHeight="1">
      <c r="B28" s="432">
        <v>27.0</v>
      </c>
      <c r="C28" s="432">
        <f t="shared" si="1"/>
        <v>10027</v>
      </c>
      <c r="D28" s="432" t="s">
        <v>34</v>
      </c>
      <c r="E28" s="388" t="str">
        <f>VLOOKUP('Expected Auditing Outcomes'!$B28,'Master Sheet'!A28:G1051, 7, FALSE)</f>
        <v>INDIVIDUAL PROC denial due to FREQ with D-S INCL DX - Line Quantity (DAYS_RANGE; INCL SAME DOS; XPROV)(QTY=1 and ADD LINE=N)</v>
      </c>
      <c r="F28" s="388" t="s">
        <v>3600</v>
      </c>
      <c r="G28" s="430">
        <f>LEN('Expected Auditing Outcomes'!$F28)</f>
        <v>159</v>
      </c>
      <c r="H28" s="431">
        <v>45763.0</v>
      </c>
    </row>
    <row r="29" ht="15.75" hidden="1" customHeight="1">
      <c r="B29" s="432">
        <v>28.0</v>
      </c>
      <c r="C29" s="432">
        <f t="shared" si="1"/>
        <v>10028</v>
      </c>
      <c r="D29" s="432" t="s">
        <v>41</v>
      </c>
      <c r="E29" s="388" t="str">
        <f>VLOOKUP('Expected Auditing Outcomes'!$B29,'Master Sheet'!A29:G1051, 7, FALSE)</f>
        <v>COMBINATION (Patterns 26 + 27) </v>
      </c>
      <c r="F29" s="434" t="s">
        <v>43</v>
      </c>
      <c r="G29" s="430">
        <f>LEN('Expected Auditing Outcomes'!$F29)</f>
        <v>115</v>
      </c>
      <c r="H29" s="430"/>
    </row>
    <row r="30" ht="15.75" hidden="1" customHeight="1">
      <c r="B30" s="432">
        <v>29.0</v>
      </c>
      <c r="C30" s="432">
        <f t="shared" si="1"/>
        <v>10029</v>
      </c>
      <c r="D30" s="432" t="s">
        <v>34</v>
      </c>
      <c r="E30" s="388" t="str">
        <f>VLOOKUP('Expected Auditing Outcomes'!$B30,'Master Sheet'!A30:G1051, 7, FALSE)</f>
        <v>INDIVIDUAL PROC denial due to FREQ - Line Quantity (DAYS_RANGE; INCL SAME DOS; XPROV)(QTY&gt;1 and ADD LINE=N)</v>
      </c>
      <c r="F30" s="388" t="s">
        <v>66</v>
      </c>
      <c r="G30" s="430">
        <f>LEN('Expected Auditing Outcomes'!$F30)</f>
        <v>117</v>
      </c>
      <c r="H30" s="431">
        <v>45763.0</v>
      </c>
    </row>
    <row r="31" ht="15.75" hidden="1" customHeight="1">
      <c r="B31" s="432">
        <v>30.0</v>
      </c>
      <c r="C31" s="432">
        <f t="shared" si="1"/>
        <v>10030</v>
      </c>
      <c r="D31" s="432" t="s">
        <v>41</v>
      </c>
      <c r="E31" s="388" t="str">
        <f>VLOOKUP('Expected Auditing Outcomes'!$B31,'Master Sheet'!A31:G1051, 7, FALSE)</f>
        <v>COMBINATION (Patterns 5 + 29) </v>
      </c>
      <c r="F31" s="434" t="s">
        <v>43</v>
      </c>
      <c r="G31" s="430">
        <f>LEN('Expected Auditing Outcomes'!$F31)</f>
        <v>115</v>
      </c>
      <c r="H31" s="430"/>
    </row>
    <row r="32" ht="15.75" hidden="1" customHeight="1">
      <c r="B32" s="146">
        <v>31.0</v>
      </c>
      <c r="C32" s="146">
        <f t="shared" si="1"/>
        <v>10031</v>
      </c>
      <c r="D32" s="146" t="s">
        <v>7</v>
      </c>
      <c r="E32" s="305" t="str">
        <f>VLOOKUP('Expected Auditing Outcomes'!$B32,'Master Sheet'!A32:G1051, 7, FALSE)</f>
        <v>PROC denial due to PRESENT AGE with INCL MOD</v>
      </c>
      <c r="F32" s="383" t="s">
        <v>69</v>
      </c>
      <c r="G32" s="430">
        <f>LEN('Expected Auditing Outcomes'!$F32)</f>
        <v>58</v>
      </c>
      <c r="H32" s="431">
        <v>45763.0</v>
      </c>
    </row>
    <row r="33" ht="15.75" hidden="1" customHeight="1">
      <c r="B33" s="432">
        <v>32.0</v>
      </c>
      <c r="C33" s="432">
        <f t="shared" si="1"/>
        <v>10032</v>
      </c>
      <c r="D33" s="432" t="s">
        <v>34</v>
      </c>
      <c r="E33" s="388" t="str">
        <f>VLOOKUP('Expected Auditing Outcomes'!$B33,'Master Sheet'!A33:G1051, 7, FALSE)</f>
        <v>INDIVIDUAL PROC denial due to FREQ with DENY MOD INCL - Line Quantity (DAYS_RANGE; INCL SAME DOS; XPROV)(QTY=1 and ADD LINE=N)</v>
      </c>
      <c r="F33" s="388" t="s">
        <v>71</v>
      </c>
      <c r="G33" s="430">
        <f>LEN('Expected Auditing Outcomes'!$F33)</f>
        <v>150</v>
      </c>
      <c r="H33" s="431">
        <v>45763.0</v>
      </c>
    </row>
    <row r="34" ht="15.75" hidden="1" customHeight="1">
      <c r="B34" s="432">
        <v>33.0</v>
      </c>
      <c r="C34" s="432">
        <f t="shared" si="1"/>
        <v>10033</v>
      </c>
      <c r="D34" s="432" t="s">
        <v>41</v>
      </c>
      <c r="E34" s="388" t="str">
        <f>VLOOKUP('Expected Auditing Outcomes'!$B34,'Master Sheet'!A34:G1051, 7, FALSE)</f>
        <v>COMBINATION (Patterns 31 + 32) </v>
      </c>
      <c r="F34" s="434" t="s">
        <v>43</v>
      </c>
      <c r="G34" s="430">
        <f>LEN('Expected Auditing Outcomes'!$F34)</f>
        <v>115</v>
      </c>
      <c r="H34" s="430"/>
    </row>
    <row r="35" ht="39.75" hidden="1" customHeight="1">
      <c r="B35" s="146">
        <v>34.0</v>
      </c>
      <c r="C35" s="146">
        <f t="shared" si="1"/>
        <v>10034</v>
      </c>
      <c r="D35" s="146" t="s">
        <v>20</v>
      </c>
      <c r="E35" s="305" t="str">
        <f>VLOOKUP('Expected Auditing Outcomes'!$B35,'Master Sheet'!A35:G1051, 7, FALSE)</f>
        <v>PROC denial due to PRESENT OTHER PROC with SUPPORT EXCL MOD (1-KEY D-S; SAME DOS; XPROV)</v>
      </c>
      <c r="F35" s="383" t="s">
        <v>74</v>
      </c>
      <c r="G35" s="430">
        <f>LEN('Expected Auditing Outcomes'!$F35)</f>
        <v>110</v>
      </c>
      <c r="H35" s="431">
        <v>45763.0</v>
      </c>
    </row>
    <row r="36" ht="39.0" hidden="1" customHeight="1">
      <c r="B36" s="146">
        <v>35.0</v>
      </c>
      <c r="C36" s="146">
        <f t="shared" si="1"/>
        <v>10035</v>
      </c>
      <c r="D36" s="146" t="s">
        <v>20</v>
      </c>
      <c r="E36" s="305" t="str">
        <f>VLOOKUP('Expected Auditing Outcomes'!$B36,'Master Sheet'!A36:G1051, 7, FALSE)</f>
        <v>PROC denial due to PRESENT OTHER PROC with SUPPORT MOD INCL (1-KEY ; SAME DOS; XPROV)</v>
      </c>
      <c r="F36" s="383" t="s">
        <v>76</v>
      </c>
      <c r="G36" s="430">
        <f>LEN('Expected Auditing Outcomes'!$F36)</f>
        <v>107</v>
      </c>
      <c r="H36" s="431">
        <v>45763.0</v>
      </c>
      <c r="J36" s="436"/>
    </row>
    <row r="37" ht="15.75" hidden="1" customHeight="1">
      <c r="B37" s="432">
        <v>36.0</v>
      </c>
      <c r="C37" s="432">
        <f t="shared" si="1"/>
        <v>10036</v>
      </c>
      <c r="D37" s="432" t="s">
        <v>41</v>
      </c>
      <c r="E37" s="388" t="str">
        <f>VLOOKUP('Expected Auditing Outcomes'!$B37,'Master Sheet'!A37:G1051, 7, FALSE)</f>
        <v>COMBINATION (Patterns 35 + 29) </v>
      </c>
      <c r="F37" s="434" t="s">
        <v>43</v>
      </c>
      <c r="G37" s="430">
        <f>LEN('Expected Auditing Outcomes'!$F37)</f>
        <v>115</v>
      </c>
      <c r="H37" s="430"/>
    </row>
    <row r="38" ht="15.75" hidden="1" customHeight="1">
      <c r="B38" s="146">
        <v>37.0</v>
      </c>
      <c r="C38" s="146">
        <f t="shared" si="1"/>
        <v>10037</v>
      </c>
      <c r="D38" s="146" t="s">
        <v>7</v>
      </c>
      <c r="E38" s="305" t="str">
        <f>VLOOKUP('Expected Auditing Outcomes'!$B38,'Master Sheet'!A38:G1051, 7, FALSE)</f>
        <v>PROC denial due to Line_Quantity &gt;1, AND/OR NOT PRESENT MOD</v>
      </c>
      <c r="F38" s="383" t="s">
        <v>3601</v>
      </c>
      <c r="G38" s="430">
        <f>LEN('Expected Auditing Outcomes'!$F38)</f>
        <v>78</v>
      </c>
      <c r="H38" s="431">
        <v>45763.0</v>
      </c>
    </row>
    <row r="39" ht="15.75" hidden="1" customHeight="1">
      <c r="B39" s="146">
        <v>38.0</v>
      </c>
      <c r="C39" s="146">
        <f t="shared" si="1"/>
        <v>10038</v>
      </c>
      <c r="D39" s="146" t="s">
        <v>34</v>
      </c>
      <c r="E39" s="305" t="str">
        <f>VLOOKUP('Expected Auditing Outcomes'!$B39,'Master Sheet'!A39:G1051, 7, FALSE)</f>
        <v>PROC GROUP denial due to FREQ - Line Quantity (SAME DOS; SAME PROV)(QTY=1 and ADD LINE=N)</v>
      </c>
      <c r="F39" s="383" t="s">
        <v>81</v>
      </c>
      <c r="G39" s="430">
        <f>LEN('Expected Auditing Outcomes'!$F39)</f>
        <v>135</v>
      </c>
      <c r="H39" s="431">
        <v>45763.0</v>
      </c>
    </row>
    <row r="40" ht="15.75" hidden="1" customHeight="1">
      <c r="B40" s="146">
        <v>39.0</v>
      </c>
      <c r="C40" s="146">
        <f t="shared" si="1"/>
        <v>10039</v>
      </c>
      <c r="D40" s="146" t="s">
        <v>41</v>
      </c>
      <c r="E40" s="305" t="str">
        <f>VLOOKUP('Expected Auditing Outcomes'!$B40,'Master Sheet'!A40:G1051, 7, FALSE)</f>
        <v>COMBINATION (Patterns 14 + 38) </v>
      </c>
      <c r="F40" s="437" t="s">
        <v>43</v>
      </c>
      <c r="G40" s="430">
        <f>LEN('Expected Auditing Outcomes'!$F40)</f>
        <v>115</v>
      </c>
      <c r="H40" s="430"/>
    </row>
    <row r="41" ht="15.75" hidden="1" customHeight="1">
      <c r="B41" s="146">
        <v>40.0</v>
      </c>
      <c r="C41" s="146">
        <f t="shared" si="1"/>
        <v>10040</v>
      </c>
      <c r="D41" s="146" t="s">
        <v>7</v>
      </c>
      <c r="E41" s="305" t="str">
        <f>VLOOKUP('Expected Auditing Outcomes'!$B41,'Master Sheet'!A41:G1051, 7, FALSE)</f>
        <v>PROC denial due to PRESENT DX or ALL DX NULL</v>
      </c>
      <c r="F41" s="383" t="s">
        <v>84</v>
      </c>
      <c r="G41" s="430">
        <f>LEN('Expected Auditing Outcomes'!$F41)</f>
        <v>54</v>
      </c>
      <c r="H41" s="431">
        <v>45763.0</v>
      </c>
    </row>
    <row r="42" ht="15.75" hidden="1" customHeight="1">
      <c r="B42" s="146">
        <v>41.0</v>
      </c>
      <c r="C42" s="146">
        <f t="shared" si="1"/>
        <v>10041</v>
      </c>
      <c r="D42" s="146" t="s">
        <v>41</v>
      </c>
      <c r="E42" s="305" t="str">
        <f>VLOOKUP('Expected Auditing Outcomes'!$B42,'Master Sheet'!A42:G1051, 7, FALSE)</f>
        <v>COMBINATION (Patterns 40 + 1) </v>
      </c>
      <c r="F42" s="437" t="s">
        <v>43</v>
      </c>
      <c r="G42" s="430">
        <f>LEN('Expected Auditing Outcomes'!$F42)</f>
        <v>115</v>
      </c>
      <c r="H42" s="430"/>
    </row>
    <row r="43" ht="15.75" hidden="1" customHeight="1">
      <c r="B43" s="146">
        <v>42.0</v>
      </c>
      <c r="C43" s="146">
        <f t="shared" si="1"/>
        <v>10042</v>
      </c>
      <c r="D43" s="146" t="s">
        <v>20</v>
      </c>
      <c r="E43" s="305" t="str">
        <f>VLOOKUP('Expected Auditing Outcomes'!$B43,'Master Sheet'!A43:G1051, 7, FALSE)</f>
        <v>PROC denial due to PRESENT OTHER PROC (1-KEY D-S; SAME DOS; XPROV)</v>
      </c>
      <c r="F43" s="383" t="s">
        <v>87</v>
      </c>
      <c r="G43" s="430">
        <f>LEN('Expected Auditing Outcomes'!$F43)</f>
        <v>75</v>
      </c>
      <c r="H43" s="431">
        <v>45763.0</v>
      </c>
    </row>
    <row r="44" ht="15.75" hidden="1" customHeight="1">
      <c r="B44" s="146">
        <v>43.0</v>
      </c>
      <c r="C44" s="146">
        <f t="shared" si="1"/>
        <v>10043</v>
      </c>
      <c r="D44" s="146" t="s">
        <v>34</v>
      </c>
      <c r="E44" s="305" t="str">
        <f>VLOOKUP('Expected Auditing Outcomes'!$B44,'Master Sheet'!A44:G1051, 7, FALSE)</f>
        <v>PROC GROUP denial due to FREQ - Line Quantity (DAYS_RANGE, INCL SAME DOS; XPROV)(QTY=1 and ADD LINE=N)</v>
      </c>
      <c r="F44" s="383" t="s">
        <v>89</v>
      </c>
      <c r="G44" s="430">
        <f>LEN('Expected Auditing Outcomes'!$F44)</f>
        <v>162</v>
      </c>
      <c r="H44" s="431">
        <v>45763.0</v>
      </c>
    </row>
    <row r="45" ht="15.75" hidden="1" customHeight="1">
      <c r="B45" s="146">
        <v>44.0</v>
      </c>
      <c r="C45" s="146">
        <f t="shared" si="1"/>
        <v>10044</v>
      </c>
      <c r="D45" s="146" t="s">
        <v>41</v>
      </c>
      <c r="E45" s="305" t="str">
        <f>VLOOKUP('Expected Auditing Outcomes'!$B45,'Master Sheet'!A45:G1051, 7, FALSE)</f>
        <v>COMBINATION (Patterns 42 + 43)</v>
      </c>
      <c r="F45" s="437" t="s">
        <v>43</v>
      </c>
      <c r="G45" s="430">
        <f>LEN('Expected Auditing Outcomes'!$F45)</f>
        <v>115</v>
      </c>
      <c r="H45" s="430"/>
    </row>
    <row r="46" ht="15.75" hidden="1" customHeight="1">
      <c r="B46" s="432">
        <v>45.0</v>
      </c>
      <c r="C46" s="432">
        <f t="shared" si="1"/>
        <v>10045</v>
      </c>
      <c r="D46" s="432" t="s">
        <v>41</v>
      </c>
      <c r="E46" s="388" t="str">
        <f>VLOOKUP('Expected Auditing Outcomes'!$B46,'Master Sheet'!A46:G1051, 7, FALSE)</f>
        <v>COMBINATION (Patterns 1 + 10 + 13)</v>
      </c>
      <c r="F46" s="434" t="s">
        <v>43</v>
      </c>
      <c r="G46" s="430">
        <f>LEN('Expected Auditing Outcomes'!$F46)</f>
        <v>115</v>
      </c>
      <c r="H46" s="430"/>
    </row>
    <row r="47" ht="15.75" hidden="1" customHeight="1">
      <c r="B47" s="146">
        <v>46.0</v>
      </c>
      <c r="C47" s="146">
        <f t="shared" si="1"/>
        <v>10046</v>
      </c>
      <c r="D47" s="146" t="s">
        <v>41</v>
      </c>
      <c r="E47" s="305" t="str">
        <f>VLOOKUP('Expected Auditing Outcomes'!$B47,'Master Sheet'!A47:G1051, 7, FALSE)</f>
        <v>COMBINATION (Patterns 1 + 43)</v>
      </c>
      <c r="F47" s="437" t="s">
        <v>43</v>
      </c>
      <c r="G47" s="430">
        <f>LEN('Expected Auditing Outcomes'!$F47)</f>
        <v>115</v>
      </c>
      <c r="H47" s="430"/>
    </row>
    <row r="48" ht="15.75" hidden="1" customHeight="1">
      <c r="B48" s="146">
        <v>47.0</v>
      </c>
      <c r="C48" s="146">
        <f t="shared" si="1"/>
        <v>10047</v>
      </c>
      <c r="D48" s="146" t="s">
        <v>34</v>
      </c>
      <c r="E48" s="305" t="str">
        <f>VLOOKUP('Expected Auditing Outcomes'!$B48,'Master Sheet'!A48:G1051, 7, FALSE)</f>
        <v>PROC GROUP denial due to FREQ with D-S EXCL MOD- Line Quantity (SAME DOS; SAME PROV)(QTY&gt;1 and ADD LINE=N)</v>
      </c>
      <c r="F48" s="383" t="s">
        <v>94</v>
      </c>
      <c r="G48" s="430">
        <f>LEN('Expected Auditing Outcomes'!$F48)</f>
        <v>176</v>
      </c>
      <c r="H48" s="431">
        <v>45763.0</v>
      </c>
    </row>
    <row r="49" ht="15.75" hidden="1" customHeight="1">
      <c r="B49" s="146">
        <v>48.0</v>
      </c>
      <c r="C49" s="146">
        <f t="shared" si="1"/>
        <v>10048</v>
      </c>
      <c r="D49" s="146" t="s">
        <v>41</v>
      </c>
      <c r="E49" s="305" t="str">
        <f>VLOOKUP('Expected Auditing Outcomes'!$B49,'Master Sheet'!A49:G1051, 7, FALSE)</f>
        <v>COMBINATION (Patterns 42 + 47)</v>
      </c>
      <c r="F49" s="437" t="s">
        <v>43</v>
      </c>
      <c r="G49" s="430">
        <f>LEN('Expected Auditing Outcomes'!$F49)</f>
        <v>115</v>
      </c>
      <c r="H49" s="430"/>
    </row>
    <row r="50" ht="15.75" hidden="1" customHeight="1">
      <c r="B50" s="146">
        <v>49.0</v>
      </c>
      <c r="C50" s="146">
        <f t="shared" si="1"/>
        <v>10049</v>
      </c>
      <c r="D50" s="146" t="s">
        <v>27</v>
      </c>
      <c r="E50" s="305" t="str">
        <f>VLOOKUP('Expected Auditing Outcomes'!$B50,'Master Sheet'!A50:G1051, 7, FALSE)</f>
        <v>PROC denial due to NOT PRESENT OTHER PROC (1-KEY D-S; DAYS; INCL SAME DOS; XPROV)</v>
      </c>
      <c r="F50" s="383" t="s">
        <v>97</v>
      </c>
      <c r="G50" s="430">
        <f>LEN('Expected Auditing Outcomes'!$F50)</f>
        <v>127</v>
      </c>
      <c r="H50" s="431">
        <v>45763.0</v>
      </c>
    </row>
    <row r="51" ht="15.75" hidden="1" customHeight="1">
      <c r="B51" s="146">
        <v>50.0</v>
      </c>
      <c r="C51" s="146">
        <f t="shared" si="1"/>
        <v>10050</v>
      </c>
      <c r="D51" s="146" t="s">
        <v>34</v>
      </c>
      <c r="E51" s="305" t="str">
        <f>VLOOKUP('Expected Auditing Outcomes'!$B51,'Master Sheet'!A51:G1051, 7, FALSE)</f>
        <v>INDIVIDUAL PROC denial due to FREQ - Line Quantity (SAME DOS; SAME NPI)(QTY&gt;1 and ADD LINE=N)</v>
      </c>
      <c r="F51" s="305" t="s">
        <v>99</v>
      </c>
      <c r="G51" s="430">
        <f>LEN('Expected Auditing Outcomes'!$F51)</f>
        <v>85</v>
      </c>
      <c r="H51" s="431">
        <v>45763.0</v>
      </c>
    </row>
    <row r="52" ht="15.75" hidden="1" customHeight="1">
      <c r="B52" s="146">
        <v>51.0</v>
      </c>
      <c r="C52" s="146">
        <f t="shared" si="1"/>
        <v>10051</v>
      </c>
      <c r="D52" s="146" t="s">
        <v>41</v>
      </c>
      <c r="E52" s="305" t="str">
        <f>VLOOKUP('Expected Auditing Outcomes'!$B52,'Master Sheet'!A52:G1051, 7, FALSE)</f>
        <v>COMBINATION (Patterns 1 + 50)</v>
      </c>
      <c r="F52" s="437" t="s">
        <v>43</v>
      </c>
      <c r="G52" s="430">
        <f>LEN('Expected Auditing Outcomes'!$F52)</f>
        <v>115</v>
      </c>
      <c r="H52" s="430"/>
    </row>
    <row r="53" ht="15.75" hidden="1" customHeight="1">
      <c r="B53" s="146">
        <v>52.0</v>
      </c>
      <c r="C53" s="146">
        <f t="shared" si="1"/>
        <v>10052</v>
      </c>
      <c r="D53" s="146" t="s">
        <v>41</v>
      </c>
      <c r="E53" s="305" t="str">
        <f>VLOOKUP('Expected Auditing Outcomes'!$B53,'Master Sheet'!A53:G1051, 7, FALSE)</f>
        <v>COMBINATION (Patterns 5 + 19) </v>
      </c>
      <c r="F53" s="437" t="s">
        <v>43</v>
      </c>
      <c r="G53" s="430">
        <f>LEN('Expected Auditing Outcomes'!$F53)</f>
        <v>115</v>
      </c>
      <c r="H53" s="430"/>
    </row>
    <row r="54" ht="15.75" hidden="1" customHeight="1">
      <c r="B54" s="146">
        <v>53.0</v>
      </c>
      <c r="C54" s="146">
        <f t="shared" si="1"/>
        <v>10053</v>
      </c>
      <c r="D54" s="146" t="s">
        <v>41</v>
      </c>
      <c r="E54" s="305" t="str">
        <f>VLOOKUP('Expected Auditing Outcomes'!$B54,'Master Sheet'!A54:G1051, 7, FALSE)</f>
        <v>COMBINATION (Patterns 40 + 6) </v>
      </c>
      <c r="F54" s="437" t="s">
        <v>43</v>
      </c>
      <c r="G54" s="430">
        <f>LEN('Expected Auditing Outcomes'!$F54)</f>
        <v>115</v>
      </c>
      <c r="H54" s="430"/>
    </row>
    <row r="55" ht="15.75" hidden="1" customHeight="1">
      <c r="B55" s="432">
        <v>54.0</v>
      </c>
      <c r="C55" s="432">
        <f t="shared" si="1"/>
        <v>10054</v>
      </c>
      <c r="D55" s="432" t="s">
        <v>34</v>
      </c>
      <c r="E55" s="388" t="str">
        <f>VLOOKUP('Expected Auditing Outcomes'!$B55,'Master Sheet'!A55:G1051, 7, FALSE)</f>
        <v>INDIVIDUAL PROC denial due to FREQ with D-S INCL DX - Line Quantity (DAYS_RANGE; INCL SAME DOS; SAME PROV)(QTY&gt;1 and ADD LINE=N) </v>
      </c>
      <c r="F55" s="388" t="s">
        <v>3602</v>
      </c>
      <c r="G55" s="430">
        <f>LEN('Expected Auditing Outcomes'!$F55)</f>
        <v>158</v>
      </c>
      <c r="H55" s="431">
        <v>45763.0</v>
      </c>
    </row>
    <row r="56" ht="15.75" hidden="1" customHeight="1">
      <c r="B56" s="432">
        <v>55.0</v>
      </c>
      <c r="C56" s="432">
        <f t="shared" si="1"/>
        <v>10055</v>
      </c>
      <c r="D56" s="432" t="s">
        <v>41</v>
      </c>
      <c r="E56" s="388" t="str">
        <f>VLOOKUP('Expected Auditing Outcomes'!$B56,'Master Sheet'!A56:G1051, 7, FALSE)</f>
        <v>COMBINATION (Patterns 1 + 54 + 23)</v>
      </c>
      <c r="F56" s="434" t="s">
        <v>43</v>
      </c>
      <c r="G56" s="430">
        <f>LEN('Expected Auditing Outcomes'!$F56)</f>
        <v>115</v>
      </c>
      <c r="H56" s="430"/>
    </row>
    <row r="57" ht="15.75" hidden="1" customHeight="1">
      <c r="B57" s="146">
        <v>56.0</v>
      </c>
      <c r="C57" s="146">
        <f t="shared" si="1"/>
        <v>10056</v>
      </c>
      <c r="D57" s="146" t="s">
        <v>41</v>
      </c>
      <c r="E57" s="305" t="str">
        <f>VLOOKUP('Expected Auditing Outcomes'!$B57,'Master Sheet'!A57:G1051, 7, FALSE)</f>
        <v>COMBINATION (Patterns 5 + 6)</v>
      </c>
      <c r="F57" s="437" t="s">
        <v>43</v>
      </c>
      <c r="G57" s="430">
        <f>LEN('Expected Auditing Outcomes'!$F57)</f>
        <v>115</v>
      </c>
      <c r="H57" s="430"/>
    </row>
    <row r="58" ht="15.75" hidden="1" customHeight="1">
      <c r="B58" s="432">
        <v>57.0</v>
      </c>
      <c r="C58" s="432">
        <f t="shared" si="1"/>
        <v>10057</v>
      </c>
      <c r="D58" s="432" t="s">
        <v>41</v>
      </c>
      <c r="E58" s="388" t="str">
        <f>VLOOKUP('Expected Auditing Outcomes'!$B58,'Master Sheet'!A58:G1051, 7, FALSE)</f>
        <v>COMBINATION (Patterns 2 + 29)</v>
      </c>
      <c r="F58" s="434" t="s">
        <v>43</v>
      </c>
      <c r="G58" s="430">
        <f>LEN('Expected Auditing Outcomes'!$F58)</f>
        <v>115</v>
      </c>
      <c r="H58" s="430"/>
    </row>
    <row r="59" ht="15.75" hidden="1" customHeight="1">
      <c r="B59" s="146">
        <v>58.0</v>
      </c>
      <c r="C59" s="146">
        <f t="shared" si="1"/>
        <v>10058</v>
      </c>
      <c r="D59" s="146" t="s">
        <v>20</v>
      </c>
      <c r="E59" s="305" t="str">
        <f>VLOOKUP('Expected Auditing Outcomes'!$B59,'Master Sheet'!A59:G1051, 7, FALSE)</f>
        <v>PROC denial due to PRESENT OTHER PROC (1-KEY D-S; SAME DOS; SAME PROV)</v>
      </c>
      <c r="F59" s="383" t="s">
        <v>109</v>
      </c>
      <c r="G59" s="430">
        <f>LEN('Expected Auditing Outcomes'!$F59)</f>
        <v>80</v>
      </c>
      <c r="H59" s="431">
        <v>45763.0</v>
      </c>
    </row>
    <row r="60" ht="15.75" hidden="1" customHeight="1">
      <c r="B60" s="432">
        <v>59.0</v>
      </c>
      <c r="C60" s="432">
        <f t="shared" si="1"/>
        <v>10059</v>
      </c>
      <c r="D60" s="432" t="s">
        <v>41</v>
      </c>
      <c r="E60" s="388" t="str">
        <f>VLOOKUP('Expected Auditing Outcomes'!$B60,'Master Sheet'!A60:G1051, 7, FALSE)</f>
        <v>COMBINATION (Patterns 2 + 15 + 13)</v>
      </c>
      <c r="F60" s="434" t="s">
        <v>43</v>
      </c>
      <c r="G60" s="430">
        <f>LEN('Expected Auditing Outcomes'!$F60)</f>
        <v>115</v>
      </c>
      <c r="H60" s="430"/>
    </row>
    <row r="61" ht="15.75" hidden="1" customHeight="1">
      <c r="B61" s="432">
        <v>60.0</v>
      </c>
      <c r="C61" s="432">
        <f t="shared" si="1"/>
        <v>10060</v>
      </c>
      <c r="D61" s="432" t="s">
        <v>41</v>
      </c>
      <c r="E61" s="388" t="str">
        <f>VLOOKUP('Expected Auditing Outcomes'!$B61,'Master Sheet'!A61:G1051, 7, FALSE)</f>
        <v>COMBINATION (Patterns 6 + 13)</v>
      </c>
      <c r="F61" s="434" t="s">
        <v>43</v>
      </c>
      <c r="G61" s="430">
        <f>LEN('Expected Auditing Outcomes'!$F61)</f>
        <v>115</v>
      </c>
      <c r="H61" s="430"/>
    </row>
    <row r="62" ht="15.75" hidden="1" customHeight="1">
      <c r="B62" s="432">
        <v>61.0</v>
      </c>
      <c r="C62" s="432">
        <f t="shared" si="1"/>
        <v>10061</v>
      </c>
      <c r="D62" s="432" t="s">
        <v>41</v>
      </c>
      <c r="E62" s="388" t="str">
        <f>VLOOKUP('Expected Auditing Outcomes'!$B62,'Master Sheet'!A62:G1051, 7, FALSE)</f>
        <v>COMBINATION (Patterns 1 + 13)</v>
      </c>
      <c r="F62" s="434" t="s">
        <v>43</v>
      </c>
      <c r="G62" s="430">
        <f>LEN('Expected Auditing Outcomes'!$F62)</f>
        <v>115</v>
      </c>
      <c r="H62" s="430"/>
    </row>
    <row r="63" ht="15.75" hidden="1" customHeight="1">
      <c r="B63" s="432">
        <v>62.0</v>
      </c>
      <c r="C63" s="432">
        <f t="shared" si="1"/>
        <v>10062</v>
      </c>
      <c r="D63" s="432" t="s">
        <v>34</v>
      </c>
      <c r="E63" s="388" t="str">
        <f>VLOOKUP('Expected Auditing Outcomes'!$B63,'Master Sheet'!A63:G1051, 7, FALSE)</f>
        <v>INDIVIDUAL PROC denial due to FREQ - Line Quantity (CALENDAR_YEAR; INCL SAME DOS; XPROV)(QTY&gt;1 and ADD LINE=N)</v>
      </c>
      <c r="F63" s="385" t="s">
        <v>114</v>
      </c>
      <c r="G63" s="430">
        <f>LEN('Expected Auditing Outcomes'!$F63)</f>
        <v>88</v>
      </c>
      <c r="H63" s="431">
        <v>45763.0</v>
      </c>
    </row>
    <row r="64" ht="15.75" hidden="1" customHeight="1">
      <c r="B64" s="432">
        <v>63.0</v>
      </c>
      <c r="C64" s="432">
        <f t="shared" si="1"/>
        <v>10063</v>
      </c>
      <c r="D64" s="432" t="s">
        <v>34</v>
      </c>
      <c r="E64" s="388" t="str">
        <f>VLOOKUP('Expected Auditing Outcomes'!$B64,'Master Sheet'!A64:G1051, 7, FALSE)</f>
        <v>INDIVIDUAL PROC denial due to FREQ - Line Quantity (CALENDAR_YEAR; INCL SAME DOS; XPROV)(QTY=1 and ADD LINE=N)</v>
      </c>
      <c r="F64" s="388" t="s">
        <v>114</v>
      </c>
      <c r="G64" s="430">
        <f>LEN('Expected Auditing Outcomes'!$F64)</f>
        <v>88</v>
      </c>
      <c r="H64" s="431">
        <v>45763.0</v>
      </c>
    </row>
    <row r="65" ht="15.75" hidden="1" customHeight="1">
      <c r="B65" s="146">
        <v>64.0</v>
      </c>
      <c r="C65" s="146">
        <f t="shared" si="1"/>
        <v>10064</v>
      </c>
      <c r="D65" s="146" t="s">
        <v>34</v>
      </c>
      <c r="E65" s="305" t="str">
        <f>VLOOKUP('Expected Auditing Outcomes'!$B65,'Master Sheet'!A65:G1051, 7, FALSE)</f>
        <v>PROC GROUP denial due to FREQ - Line Quantity (DAYS_RANGE, INCL SAME DOS; SAME NPI)(QTY=1 and ADD LINE=N)</v>
      </c>
      <c r="F65" s="383" t="s">
        <v>117</v>
      </c>
      <c r="G65" s="430">
        <f>LEN('Expected Auditing Outcomes'!$F65)</f>
        <v>171</v>
      </c>
      <c r="H65" s="431">
        <v>45763.0</v>
      </c>
    </row>
    <row r="66" ht="15.75" hidden="1" customHeight="1">
      <c r="B66" s="432">
        <v>65.0</v>
      </c>
      <c r="C66" s="432">
        <f t="shared" si="1"/>
        <v>10065</v>
      </c>
      <c r="D66" s="432" t="s">
        <v>41</v>
      </c>
      <c r="E66" s="388" t="str">
        <f>VLOOKUP('Expected Auditing Outcomes'!$B66,'Master Sheet'!A66:G1051, 7, FALSE)</f>
        <v>COMBINATION (Patterns 22 + 15 + 29)</v>
      </c>
      <c r="F66" s="434" t="s">
        <v>43</v>
      </c>
      <c r="G66" s="430">
        <f>LEN('Expected Auditing Outcomes'!$F66)</f>
        <v>115</v>
      </c>
      <c r="H66" s="430"/>
    </row>
    <row r="67" ht="15.75" hidden="1" customHeight="1">
      <c r="B67" s="432">
        <v>66.0</v>
      </c>
      <c r="C67" s="432">
        <f t="shared" si="1"/>
        <v>10066</v>
      </c>
      <c r="D67" s="432" t="s">
        <v>41</v>
      </c>
      <c r="E67" s="388" t="str">
        <f>VLOOKUP('Expected Auditing Outcomes'!$B67,'Master Sheet'!A67:G1051, 7, FALSE)</f>
        <v>COMBINATION (Patterns 22 + 29)</v>
      </c>
      <c r="F67" s="434" t="s">
        <v>43</v>
      </c>
      <c r="G67" s="430">
        <f>LEN('Expected Auditing Outcomes'!$F67)</f>
        <v>115</v>
      </c>
      <c r="H67" s="430"/>
    </row>
    <row r="68" ht="15.75" hidden="1" customHeight="1">
      <c r="B68" s="146">
        <v>67.0</v>
      </c>
      <c r="C68" s="146">
        <f t="shared" si="1"/>
        <v>10067</v>
      </c>
      <c r="D68" s="146" t="s">
        <v>20</v>
      </c>
      <c r="E68" s="305" t="str">
        <f>VLOOKUP('Expected Auditing Outcomes'!$B68,'Master Sheet'!A68:G1051, 7, FALSE)</f>
        <v>PROC denial due to PRESENT OTHER PROC (1-KEY D-S; DAYS; INCL SAME DOS; XPROV)</v>
      </c>
      <c r="F68" s="383" t="s">
        <v>121</v>
      </c>
      <c r="G68" s="430">
        <f>LEN('Expected Auditing Outcomes'!$F68)</f>
        <v>118</v>
      </c>
      <c r="H68" s="431">
        <v>45763.0</v>
      </c>
    </row>
    <row r="69" ht="15.75" hidden="1" customHeight="1">
      <c r="B69" s="432">
        <v>68.0</v>
      </c>
      <c r="C69" s="432">
        <f t="shared" si="1"/>
        <v>10068</v>
      </c>
      <c r="D69" s="432" t="s">
        <v>34</v>
      </c>
      <c r="E69" s="388" t="str">
        <f>VLOOKUP('Expected Auditing Outcomes'!$B69,'Master Sheet'!A69:G1051, 7, FALSE)</f>
        <v>INDIVIDUAL PROC denial due to FREQ - Line Quantity (CALENDAR_MONTH; INCL SAME DOS; XPROV)(QTY=1 and ADD LINE=N)</v>
      </c>
      <c r="F69" s="388" t="s">
        <v>123</v>
      </c>
      <c r="G69" s="430">
        <f>LEN('Expected Auditing Outcomes'!$F69)</f>
        <v>100</v>
      </c>
      <c r="H69" s="431">
        <v>45763.0</v>
      </c>
    </row>
    <row r="70" ht="15.75" hidden="1" customHeight="1">
      <c r="B70" s="146">
        <v>69.0</v>
      </c>
      <c r="C70" s="146">
        <f t="shared" si="1"/>
        <v>10069</v>
      </c>
      <c r="D70" s="146" t="s">
        <v>34</v>
      </c>
      <c r="E70" s="305" t="str">
        <f>VLOOKUP('Expected Auditing Outcomes'!$B70,'Master Sheet'!A70:G1051, 7, FALSE)</f>
        <v>PROC GROUP denial due to FREQ - Line Quantity (CALENDAR_MONTH; INCL SAME DOS; XPROV)(QTY=1 and ADD LINE=N)</v>
      </c>
      <c r="F70" s="383" t="s">
        <v>125</v>
      </c>
      <c r="G70" s="430">
        <f>LEN('Expected Auditing Outcomes'!$F70)</f>
        <v>167</v>
      </c>
      <c r="H70" s="431">
        <v>45763.0</v>
      </c>
    </row>
    <row r="71" ht="15.75" hidden="1" customHeight="1">
      <c r="B71" s="146">
        <v>70.0</v>
      </c>
      <c r="C71" s="146">
        <f t="shared" si="1"/>
        <v>10070</v>
      </c>
      <c r="D71" s="146" t="s">
        <v>20</v>
      </c>
      <c r="E71" s="305" t="str">
        <f>VLOOKUP('Expected Auditing Outcomes'!$B71,'Master Sheet'!A71:G1051, 7, FALSE)</f>
        <v>PROC denial due to PRESENT OTHER PROC (1-KEY D-S; DAYS RANGE;INCL SAME DOS, SAME PROV)</v>
      </c>
      <c r="F71" s="383" t="s">
        <v>127</v>
      </c>
      <c r="G71" s="430">
        <f>LEN('Expected Auditing Outcomes'!$F71)</f>
        <v>93</v>
      </c>
      <c r="H71" s="431">
        <v>45763.0</v>
      </c>
    </row>
    <row r="72" ht="15.75" hidden="1" customHeight="1">
      <c r="B72" s="146">
        <v>71.0</v>
      </c>
      <c r="C72" s="146">
        <f t="shared" si="1"/>
        <v>10071</v>
      </c>
      <c r="D72" s="146" t="s">
        <v>20</v>
      </c>
      <c r="E72" s="305" t="str">
        <f>VLOOKUP('Expected Auditing Outcomes'!$B72,'Master Sheet'!A72:G1051, 7, FALSE)</f>
        <v>PROC denial due to PRESENT OTHER PROC with SUPPORT MOD EXCL (1-KEY D-S; SAME DOS; SAME NPI)</v>
      </c>
      <c r="F72" s="383" t="s">
        <v>3603</v>
      </c>
      <c r="G72" s="430">
        <f>LEN('Expected Auditing Outcomes'!$F72)</f>
        <v>146</v>
      </c>
      <c r="H72" s="431">
        <v>45763.0</v>
      </c>
    </row>
    <row r="73" ht="15.75" hidden="1" customHeight="1">
      <c r="B73" s="146">
        <v>72.0</v>
      </c>
      <c r="C73" s="146">
        <f t="shared" si="1"/>
        <v>10072</v>
      </c>
      <c r="D73" s="146" t="s">
        <v>27</v>
      </c>
      <c r="E73" s="305" t="str">
        <f>VLOOKUP('Expected Auditing Outcomes'!$B73,'Master Sheet'!A73:G1051, 7, FALSE)</f>
        <v>PROC denial due to NOT PRESENT OTHER PROC (1-KEY D-S; SAME DOS; SAME NPI)</v>
      </c>
      <c r="F73" s="383" t="s">
        <v>131</v>
      </c>
      <c r="G73" s="430">
        <f>LEN('Expected Auditing Outcomes'!$F73)</f>
        <v>81</v>
      </c>
      <c r="H73" s="431">
        <v>45763.0</v>
      </c>
    </row>
    <row r="74" ht="15.75" hidden="1" customHeight="1">
      <c r="B74" s="146">
        <v>73.0</v>
      </c>
      <c r="C74" s="146">
        <f t="shared" si="1"/>
        <v>10073</v>
      </c>
      <c r="D74" s="146" t="s">
        <v>34</v>
      </c>
      <c r="E74" s="305" t="str">
        <f>VLOOKUP('Expected Auditing Outcomes'!$B74,'Master Sheet'!A74:G1051, 7, FALSE)</f>
        <v>PROC GROUP denial due to FREQ – Line Quantity (SAME DOS, XPROV)(QTY=1 and ADD LINE=N)</v>
      </c>
      <c r="F74" s="383" t="s">
        <v>133</v>
      </c>
      <c r="G74" s="430">
        <f>LEN('Expected Auditing Outcomes'!$F74)</f>
        <v>98</v>
      </c>
      <c r="H74" s="431">
        <v>45763.0</v>
      </c>
    </row>
    <row r="75" ht="15.75" hidden="1" customHeight="1">
      <c r="B75" s="146">
        <v>74.0</v>
      </c>
      <c r="C75" s="146">
        <f t="shared" si="1"/>
        <v>10074</v>
      </c>
      <c r="D75" s="146" t="s">
        <v>34</v>
      </c>
      <c r="E75" s="305" t="str">
        <f>VLOOKUP('Expected Auditing Outcomes'!$B75,'Master Sheet'!A75:G1051, 7, FALSE)</f>
        <v>INDIVIDUAL PROC denial due to FREQ  - Line Quantity (SAME DOS; XPROV)(QTY&gt;1 and ADD LINE=N)</v>
      </c>
      <c r="F75" s="383" t="s">
        <v>135</v>
      </c>
      <c r="G75" s="430">
        <f>LEN('Expected Auditing Outcomes'!$F75)</f>
        <v>80</v>
      </c>
      <c r="H75" s="431">
        <v>45763.0</v>
      </c>
    </row>
    <row r="76" ht="15.75" hidden="1" customHeight="1">
      <c r="B76" s="432">
        <v>75.0</v>
      </c>
      <c r="C76" s="432">
        <f t="shared" si="1"/>
        <v>10075</v>
      </c>
      <c r="D76" s="432" t="s">
        <v>20</v>
      </c>
      <c r="E76" s="388" t="str">
        <f>VLOOKUP('Expected Auditing Outcomes'!$B76,'Master Sheet'!A76:G1051, 7, FALSE)</f>
        <v>PROC denial due to PRESENT OTHER PROC with SUPPORT DX INCL (1-KEY D-S; SAME DOS; XPROV) INPAT_FAC</v>
      </c>
      <c r="F76" s="438" t="s">
        <v>137</v>
      </c>
      <c r="G76" s="430">
        <f>LEN('Expected Auditing Outcomes'!$F76)</f>
        <v>115</v>
      </c>
      <c r="H76" s="430"/>
    </row>
    <row r="77" ht="15.75" hidden="1" customHeight="1">
      <c r="B77" s="146">
        <v>76.0</v>
      </c>
      <c r="C77" s="146">
        <f t="shared" si="1"/>
        <v>10076</v>
      </c>
      <c r="D77" s="146" t="s">
        <v>20</v>
      </c>
      <c r="E77" s="305" t="str">
        <f>VLOOKUP('Expected Auditing Outcomes'!$B77,'Master Sheet'!A77:G1051, 7, FALSE)</f>
        <v>PROC denial due to PRESENT OTHER PROC with POS INCL (1-KEY D-S; SAME DOS; XPROV)</v>
      </c>
      <c r="F77" s="383" t="s">
        <v>139</v>
      </c>
      <c r="G77" s="430">
        <f>LEN('Expected Auditing Outcomes'!$F77)</f>
        <v>108</v>
      </c>
      <c r="H77" s="431">
        <v>45763.0</v>
      </c>
    </row>
    <row r="78" ht="15.75" hidden="1" customHeight="1">
      <c r="B78" s="146">
        <v>77.0</v>
      </c>
      <c r="C78" s="146">
        <f t="shared" si="1"/>
        <v>10077</v>
      </c>
      <c r="D78" s="146" t="s">
        <v>34</v>
      </c>
      <c r="E78" s="305" t="str">
        <f>VLOOKUP('Expected Auditing Outcomes'!$B78,'Master Sheet'!A78:G1051, 7, FALSE)</f>
        <v>INDIVIDUAL PROC denial due to FREQ  - Line Quantity with INCL AGE (SAME DOS; XPROV)(QTY=1 and ADD LINE=N)</v>
      </c>
      <c r="F78" s="383" t="s">
        <v>141</v>
      </c>
      <c r="G78" s="430">
        <f>LEN('Expected Auditing Outcomes'!$F78)</f>
        <v>87</v>
      </c>
      <c r="H78" s="431">
        <v>45763.0</v>
      </c>
    </row>
    <row r="79" ht="15.75" hidden="1" customHeight="1">
      <c r="B79" s="146">
        <v>78.0</v>
      </c>
      <c r="C79" s="146">
        <f t="shared" si="1"/>
        <v>10078</v>
      </c>
      <c r="D79" s="146" t="s">
        <v>7</v>
      </c>
      <c r="E79" s="305" t="str">
        <f>VLOOKUP('Expected Auditing Outcomes'!$B79,'Master Sheet'!A79:G1051, 7, FALSE)</f>
        <v>PROC denial due to NOT PRESENT MOD and-or NOT PRESENT REV CODE </v>
      </c>
      <c r="F79" s="383" t="s">
        <v>143</v>
      </c>
      <c r="G79" s="430">
        <f>LEN('Expected Auditing Outcomes'!$F79)</f>
        <v>64</v>
      </c>
      <c r="H79" s="431">
        <v>45763.0</v>
      </c>
    </row>
    <row r="80" ht="15.75" hidden="1" customHeight="1">
      <c r="B80" s="146">
        <v>79.0</v>
      </c>
      <c r="C80" s="146">
        <f t="shared" si="1"/>
        <v>10079</v>
      </c>
      <c r="D80" s="146" t="s">
        <v>7</v>
      </c>
      <c r="E80" s="305" t="str">
        <f>VLOOKUP('Expected Auditing Outcomes'!$B80,'Master Sheet'!A80:G1051, 7, FALSE)</f>
        <v>PROC denial due to PRESENT PROV SPEC</v>
      </c>
      <c r="F80" s="383" t="s">
        <v>145</v>
      </c>
      <c r="G80" s="430">
        <f>LEN('Expected Auditing Outcomes'!$F80)</f>
        <v>38</v>
      </c>
      <c r="H80" s="431">
        <v>45763.0</v>
      </c>
    </row>
    <row r="81" ht="15.75" hidden="1" customHeight="1">
      <c r="B81" s="432">
        <v>80.0</v>
      </c>
      <c r="C81" s="432">
        <f t="shared" si="1"/>
        <v>10080</v>
      </c>
      <c r="D81" s="432" t="s">
        <v>34</v>
      </c>
      <c r="E81" s="388" t="str">
        <f>VLOOKUP('Expected Auditing Outcomes'!$B81,'Master Sheet'!A81:G1051, 7, FALSE)</f>
        <v>INDIVIDUAL PROC denial due to FREQ with INCL AGE - Line Quantity (CALENDAR_YEAR; INCL SAME DOS; XPROV)(QTY=1 and ADD LINE=N) </v>
      </c>
      <c r="F81" s="385" t="s">
        <v>147</v>
      </c>
      <c r="G81" s="430">
        <f>LEN('Expected Auditing Outcomes'!$F81)</f>
        <v>97</v>
      </c>
      <c r="H81" s="431">
        <v>45763.0</v>
      </c>
    </row>
    <row r="82" ht="15.75" hidden="1" customHeight="1">
      <c r="B82" s="146">
        <v>81.0</v>
      </c>
      <c r="C82" s="146">
        <f t="shared" si="1"/>
        <v>10081</v>
      </c>
      <c r="D82" s="146" t="s">
        <v>7</v>
      </c>
      <c r="E82" s="305" t="s">
        <v>148</v>
      </c>
      <c r="F82" s="439" t="s">
        <v>149</v>
      </c>
      <c r="G82" s="430">
        <f>LEN('Expected Auditing Outcomes'!$F82)</f>
        <v>67</v>
      </c>
      <c r="H82" s="431">
        <v>45763.0</v>
      </c>
    </row>
    <row r="83" ht="15.75" hidden="1" customHeight="1">
      <c r="B83" s="146">
        <v>82.0</v>
      </c>
      <c r="C83" s="146">
        <f t="shared" si="1"/>
        <v>10082</v>
      </c>
      <c r="D83" s="146" t="s">
        <v>7</v>
      </c>
      <c r="E83" s="305" t="str">
        <f>VLOOKUP('Expected Auditing Outcomes'!$B83,'Master Sheet'!A83:G1051, 7, FALSE)</f>
        <v>PROC denial due to NOT PRESENT Prov Spec with INCL MOD</v>
      </c>
      <c r="F83" s="383" t="s">
        <v>3604</v>
      </c>
      <c r="G83" s="430">
        <f>LEN('Expected Auditing Outcomes'!$F83)</f>
        <v>64</v>
      </c>
      <c r="H83" s="431">
        <v>45763.0</v>
      </c>
    </row>
    <row r="84" ht="15.75" hidden="1" customHeight="1">
      <c r="B84" s="146">
        <v>83.0</v>
      </c>
      <c r="C84" s="146">
        <f t="shared" si="1"/>
        <v>10083</v>
      </c>
      <c r="D84" s="146" t="s">
        <v>7</v>
      </c>
      <c r="E84" s="305" t="str">
        <f>VLOOKUP('Expected Auditing Outcomes'!$B84,'Master Sheet'!A84:G1051, 7, FALSE)</f>
        <v>PROC denial due to Line_Quantity that IS_NULL</v>
      </c>
      <c r="F84" s="383" t="s">
        <v>153</v>
      </c>
      <c r="G84" s="430">
        <f>LEN('Expected Auditing Outcomes'!$F84)</f>
        <v>34</v>
      </c>
      <c r="H84" s="431">
        <v>45763.0</v>
      </c>
    </row>
    <row r="85" ht="15.75" hidden="1" customHeight="1">
      <c r="B85" s="146">
        <v>84.0</v>
      </c>
      <c r="C85" s="146">
        <f t="shared" si="1"/>
        <v>10084</v>
      </c>
      <c r="D85" s="146" t="s">
        <v>7</v>
      </c>
      <c r="E85" s="305" t="str">
        <f>VLOOKUP('Expected Auditing Outcomes'!$B85,'Master Sheet'!A85:G1051, 7, FALSE)</f>
        <v>PROC denial due to NOT PRESENT DX1 AND NOT PRESENT DX2 or Proc denial due to NOT PRESENT DX3. </v>
      </c>
      <c r="F85" s="305" t="s">
        <v>3605</v>
      </c>
      <c r="G85" s="430">
        <f>LEN('Expected Auditing Outcomes'!$F85)</f>
        <v>126</v>
      </c>
      <c r="H85" s="431">
        <v>45763.0</v>
      </c>
    </row>
    <row r="86" ht="15.75" hidden="1" customHeight="1">
      <c r="B86" s="146">
        <v>85.0</v>
      </c>
      <c r="C86" s="146">
        <f t="shared" si="1"/>
        <v>10085</v>
      </c>
      <c r="D86" s="146" t="s">
        <v>7</v>
      </c>
      <c r="E86" s="305" t="str">
        <f>VLOOKUP('Expected Auditing Outcomes'!$B86,'Master Sheet'!A86:G1051, 7, FALSE)</f>
        <v>DX denial due to PRESENT POS</v>
      </c>
      <c r="F86" s="383" t="s">
        <v>157</v>
      </c>
      <c r="G86" s="430">
        <f>LEN('Expected Auditing Outcomes'!$F86)</f>
        <v>32</v>
      </c>
      <c r="H86" s="431">
        <v>45763.0</v>
      </c>
    </row>
    <row r="87" ht="15.75" hidden="1" customHeight="1">
      <c r="B87" s="146">
        <v>86.0</v>
      </c>
      <c r="C87" s="146">
        <f t="shared" si="1"/>
        <v>10086</v>
      </c>
      <c r="D87" s="146" t="s">
        <v>7</v>
      </c>
      <c r="E87" s="305" t="str">
        <f>VLOOKUP('Expected Auditing Outcomes'!$B87,'Master Sheet'!A87:G1051, 7, FALSE)</f>
        <v>PROC denial due to NOT PRESENT Prov Spec </v>
      </c>
      <c r="F87" s="383" t="s">
        <v>159</v>
      </c>
      <c r="G87" s="430">
        <f>LEN('Expected Auditing Outcomes'!$F87)</f>
        <v>43</v>
      </c>
      <c r="H87" s="431">
        <v>45763.0</v>
      </c>
    </row>
    <row r="88" ht="15.75" hidden="1" customHeight="1">
      <c r="B88" s="146">
        <v>87.0</v>
      </c>
      <c r="C88" s="146">
        <f t="shared" si="1"/>
        <v>10087</v>
      </c>
      <c r="D88" s="146" t="s">
        <v>7</v>
      </c>
      <c r="E88" s="305" t="str">
        <f>VLOOKUP('Expected Auditing Outcomes'!$B88,'Master Sheet'!A88:G1051, 7, FALSE)</f>
        <v>PROC denial due to NOT PRESENT MOD with INCL DX</v>
      </c>
      <c r="F88" s="383" t="s">
        <v>161</v>
      </c>
      <c r="G88" s="430">
        <f>LEN('Expected Auditing Outcomes'!$F88)</f>
        <v>61</v>
      </c>
      <c r="H88" s="431">
        <v>45763.0</v>
      </c>
    </row>
    <row r="89" ht="15.75" hidden="1" customHeight="1">
      <c r="B89" s="146">
        <v>88.0</v>
      </c>
      <c r="C89" s="146">
        <f t="shared" si="1"/>
        <v>10088</v>
      </c>
      <c r="D89" s="146" t="s">
        <v>41</v>
      </c>
      <c r="E89" s="305" t="str">
        <f>VLOOKUP('Expected Auditing Outcomes'!$B89,'Master Sheet'!A89:G1051, 7, FALSE)</f>
        <v>COMBINATION (Patterns 5 + 86)</v>
      </c>
      <c r="F89" s="437" t="s">
        <v>43</v>
      </c>
      <c r="G89" s="430">
        <f>LEN('Expected Auditing Outcomes'!$F89)</f>
        <v>115</v>
      </c>
      <c r="H89" s="430"/>
    </row>
    <row r="90" ht="15.75" hidden="1" customHeight="1">
      <c r="B90" s="146">
        <v>89.0</v>
      </c>
      <c r="C90" s="146">
        <f t="shared" si="1"/>
        <v>10089</v>
      </c>
      <c r="D90" s="146" t="s">
        <v>20</v>
      </c>
      <c r="E90" s="305" t="str">
        <f>VLOOKUP('Expected Auditing Outcomes'!$B90,'Master Sheet'!A90:G1051, 7, FALSE)</f>
        <v>PROC denial due to PRESENT OTHER PROC with INCL AGE (1-KEY D-S; SAME DOS; SAME PROV)</v>
      </c>
      <c r="F90" s="383" t="s">
        <v>164</v>
      </c>
      <c r="G90" s="430">
        <f>LEN('Expected Auditing Outcomes'!$F90)</f>
        <v>105</v>
      </c>
      <c r="H90" s="431">
        <v>45763.0</v>
      </c>
    </row>
    <row r="91" ht="15.75" hidden="1" customHeight="1">
      <c r="B91" s="146">
        <v>90.0</v>
      </c>
      <c r="C91" s="146">
        <f t="shared" si="1"/>
        <v>10090</v>
      </c>
      <c r="D91" s="146" t="s">
        <v>7</v>
      </c>
      <c r="E91" s="305" t="str">
        <f>VLOOKUP('Expected Auditing Outcomes'!$B91,'Master Sheet'!A91:G1051, 7, FALSE)</f>
        <v>PROC denial due to AGE (ALL_FAC)</v>
      </c>
      <c r="F91" s="383" t="s">
        <v>166</v>
      </c>
      <c r="G91" s="430">
        <f>LEN('Expected Auditing Outcomes'!$F91)</f>
        <v>39</v>
      </c>
      <c r="H91" s="431">
        <v>45763.0</v>
      </c>
    </row>
    <row r="92" ht="15.75" hidden="1" customHeight="1">
      <c r="B92" s="146">
        <v>91.0</v>
      </c>
      <c r="C92" s="146">
        <f t="shared" si="1"/>
        <v>10091</v>
      </c>
      <c r="D92" s="146" t="s">
        <v>7</v>
      </c>
      <c r="E92" s="305" t="str">
        <f>VLOOKUP('Expected Auditing Outcomes'!$B92,'Master Sheet'!A92:G1051, 7, FALSE)</f>
        <v>PROC denial due to NOT PRESENT DX (Facility)</v>
      </c>
      <c r="F92" s="383" t="s">
        <v>168</v>
      </c>
      <c r="G92" s="430">
        <f>LEN('Expected Auditing Outcomes'!$F92)</f>
        <v>39</v>
      </c>
      <c r="H92" s="431">
        <v>45763.0</v>
      </c>
    </row>
    <row r="93" ht="15.75" hidden="1" customHeight="1">
      <c r="B93" s="146">
        <v>92.0</v>
      </c>
      <c r="C93" s="146">
        <f t="shared" si="1"/>
        <v>10092</v>
      </c>
      <c r="D93" s="146" t="s">
        <v>34</v>
      </c>
      <c r="E93" s="305" t="str">
        <f>VLOOKUP('Expected Auditing Outcomes'!$B93,'Master Sheet'!A93:G1051, 7, FALSE)</f>
        <v>INDIVIDUAL PROC denial due to FREQ with INCL ANY MOD - Line Quantity (SAME DOS; SAME PROV)(QTY=1 and ADD LINE=N)</v>
      </c>
      <c r="F93" s="383" t="s">
        <v>3606</v>
      </c>
      <c r="G93" s="430">
        <f>LEN('Expected Auditing Outcomes'!$F93)</f>
        <v>126</v>
      </c>
      <c r="H93" s="431">
        <v>45763.0</v>
      </c>
    </row>
    <row r="94" ht="15.75" hidden="1" customHeight="1">
      <c r="B94" s="146">
        <v>93.0</v>
      </c>
      <c r="C94" s="146">
        <f t="shared" si="1"/>
        <v>10093</v>
      </c>
      <c r="D94" s="146" t="s">
        <v>7</v>
      </c>
      <c r="E94" s="305" t="str">
        <f>VLOOKUP('Expected Auditing Outcomes'!$B94,'Master Sheet'!A94:G1051, 7, FALSE)</f>
        <v>PROC denial due to NOT PRESENT DX and-or NOT PRESENT GENDER</v>
      </c>
      <c r="F94" s="383" t="s">
        <v>172</v>
      </c>
      <c r="G94" s="430">
        <f>LEN('Expected Auditing Outcomes'!$F94)</f>
        <v>70</v>
      </c>
      <c r="H94" s="430"/>
    </row>
    <row r="95" ht="15.75" hidden="1" customHeight="1">
      <c r="B95" s="146">
        <v>94.0</v>
      </c>
      <c r="C95" s="146">
        <f t="shared" si="1"/>
        <v>10094</v>
      </c>
      <c r="D95" s="146" t="s">
        <v>34</v>
      </c>
      <c r="E95" s="305" t="str">
        <f>VLOOKUP('Expected Auditing Outcomes'!$B95,'Master Sheet'!A95:G1051, 7, FALSE)</f>
        <v>INDIVIDUAL PROC denial due to FREQ with D-S EXCL MOD- Line Quantity (DAYS_RANGE; INCL SAME DAY; XPROV)(QTY&gt;1 and ADD LINE=N)</v>
      </c>
      <c r="F95" s="383" t="s">
        <v>3607</v>
      </c>
      <c r="G95" s="430">
        <f>LEN('Expected Auditing Outcomes'!$F95)</f>
        <v>176</v>
      </c>
      <c r="H95" s="431">
        <v>45763.0</v>
      </c>
    </row>
    <row r="96" ht="15.75" hidden="1" customHeight="1">
      <c r="B96" s="146">
        <v>95.0</v>
      </c>
      <c r="C96" s="146">
        <f t="shared" si="1"/>
        <v>10095</v>
      </c>
      <c r="D96" s="146" t="s">
        <v>34</v>
      </c>
      <c r="E96" s="305" t="str">
        <f>VLOOKUP('Expected Auditing Outcomes'!$B96,'Master Sheet'!A96:G1051, 7, FALSE)</f>
        <v>INDIVIDUAL PROC denial due to FREQ with INCL ALL MOD LINES NULL - Line Quantity (SAME DOS; XPROV)(QTY=1 and ADD LINE=N)</v>
      </c>
      <c r="F96" s="383" t="s">
        <v>3608</v>
      </c>
      <c r="G96" s="430">
        <f>LEN('Expected Auditing Outcomes'!$F96)</f>
        <v>122</v>
      </c>
      <c r="H96" s="431">
        <v>45763.0</v>
      </c>
    </row>
    <row r="97" ht="15.75" hidden="1" customHeight="1">
      <c r="B97" s="146">
        <v>96.0</v>
      </c>
      <c r="C97" s="146">
        <f t="shared" si="1"/>
        <v>10096</v>
      </c>
      <c r="D97" s="146" t="s">
        <v>34</v>
      </c>
      <c r="E97" s="305" t="str">
        <f>VLOOKUP('Expected Auditing Outcomes'!$B97,'Master Sheet'!A97:G1051, 7, FALSE)</f>
        <v>INDIVIDUAL PROC denial due to FREQ with DENY LINE EXCL MOD- Line Quantity (SAME DOS; XPROV)(QTY=1 and ADD LINE=N)</v>
      </c>
      <c r="F97" s="383" t="s">
        <v>3609</v>
      </c>
      <c r="G97" s="430">
        <f>LEN('Expected Auditing Outcomes'!$F97)</f>
        <v>118</v>
      </c>
      <c r="H97" s="431">
        <v>45763.0</v>
      </c>
    </row>
    <row r="98" ht="15.75" hidden="1" customHeight="1">
      <c r="B98" s="146">
        <v>97.0</v>
      </c>
      <c r="C98" s="146">
        <f t="shared" si="1"/>
        <v>10097</v>
      </c>
      <c r="D98" s="146" t="s">
        <v>34</v>
      </c>
      <c r="E98" s="305" t="str">
        <f>VLOOKUP('Expected Auditing Outcomes'!$B98,'Master Sheet'!A99:G1051, 7, FALSE)</f>
        <v>#N/A</v>
      </c>
      <c r="F98" s="378" t="s">
        <v>3610</v>
      </c>
      <c r="G98" s="430">
        <f>LEN('Expected Auditing Outcomes'!$F98)</f>
        <v>172</v>
      </c>
      <c r="H98" s="431">
        <v>45763.0</v>
      </c>
    </row>
    <row r="99" ht="15.75" hidden="1" customHeight="1">
      <c r="B99" s="146">
        <v>98.0</v>
      </c>
      <c r="C99" s="146">
        <f t="shared" si="1"/>
        <v>10098</v>
      </c>
      <c r="D99" s="146" t="s">
        <v>34</v>
      </c>
      <c r="E99" s="305" t="s">
        <v>180</v>
      </c>
      <c r="F99" s="383" t="s">
        <v>3611</v>
      </c>
      <c r="G99" s="430">
        <f>LEN('Expected Auditing Outcomes'!$F99)</f>
        <v>119</v>
      </c>
      <c r="H99" s="431">
        <v>45763.0</v>
      </c>
    </row>
    <row r="100" ht="15.75" hidden="1" customHeight="1">
      <c r="B100" s="146">
        <v>99.0</v>
      </c>
      <c r="C100" s="146">
        <f t="shared" si="1"/>
        <v>10099</v>
      </c>
      <c r="D100" s="146" t="s">
        <v>7</v>
      </c>
      <c r="E100" s="440" t="s">
        <v>182</v>
      </c>
      <c r="F100" s="383" t="s">
        <v>183</v>
      </c>
      <c r="G100" s="430">
        <f>LEN('Expected Auditing Outcomes'!$F100)</f>
        <v>50</v>
      </c>
      <c r="H100" s="431">
        <v>45763.0</v>
      </c>
    </row>
    <row r="101" ht="15.75" hidden="1" customHeight="1">
      <c r="B101" s="146">
        <v>100.0</v>
      </c>
      <c r="C101" s="146">
        <f t="shared" si="1"/>
        <v>10100</v>
      </c>
      <c r="D101" s="146" t="s">
        <v>7</v>
      </c>
      <c r="E101" s="294" t="s">
        <v>184</v>
      </c>
      <c r="F101" s="383" t="s">
        <v>185</v>
      </c>
      <c r="G101" s="430">
        <f>LEN('Expected Auditing Outcomes'!$F101)</f>
        <v>62</v>
      </c>
      <c r="H101" s="431">
        <v>45763.0</v>
      </c>
    </row>
    <row r="102" ht="15.75" hidden="1" customHeight="1">
      <c r="B102" s="146">
        <v>101.0</v>
      </c>
      <c r="C102" s="146">
        <f t="shared" si="1"/>
        <v>10101</v>
      </c>
      <c r="D102" s="146" t="s">
        <v>7</v>
      </c>
      <c r="E102" s="440" t="s">
        <v>186</v>
      </c>
      <c r="F102" s="383" t="s">
        <v>187</v>
      </c>
      <c r="G102" s="430">
        <f>LEN('Expected Auditing Outcomes'!$F102)</f>
        <v>59</v>
      </c>
      <c r="H102" s="431">
        <v>45763.0</v>
      </c>
    </row>
    <row r="103" ht="15.75" hidden="1" customHeight="1">
      <c r="B103" s="146">
        <v>102.0</v>
      </c>
      <c r="C103" s="146">
        <f t="shared" si="1"/>
        <v>10102</v>
      </c>
      <c r="D103" s="146" t="s">
        <v>20</v>
      </c>
      <c r="E103" s="441" t="s">
        <v>188</v>
      </c>
      <c r="F103" s="383" t="s">
        <v>189</v>
      </c>
      <c r="G103" s="430">
        <f>LEN('Expected Auditing Outcomes'!$F103)</f>
        <v>91</v>
      </c>
      <c r="H103" s="431"/>
    </row>
    <row r="104" ht="15.75" hidden="1" customHeight="1">
      <c r="B104" s="442">
        <v>103.0</v>
      </c>
      <c r="C104" s="442">
        <f t="shared" si="1"/>
        <v>10103</v>
      </c>
      <c r="D104" s="442" t="s">
        <v>34</v>
      </c>
      <c r="E104" s="440" t="s">
        <v>190</v>
      </c>
      <c r="F104" s="443" t="s">
        <v>191</v>
      </c>
      <c r="G104" s="430">
        <f>LEN('Expected Auditing Outcomes'!$F104)</f>
        <v>176</v>
      </c>
      <c r="H104" s="430"/>
    </row>
    <row r="105" ht="15.75" hidden="1" customHeight="1">
      <c r="B105" s="146">
        <v>104.0</v>
      </c>
      <c r="C105" s="146">
        <f t="shared" si="1"/>
        <v>10104</v>
      </c>
      <c r="D105" s="146" t="s">
        <v>7</v>
      </c>
      <c r="E105" s="441" t="s">
        <v>2076</v>
      </c>
      <c r="F105" s="383" t="s">
        <v>193</v>
      </c>
      <c r="G105" s="430">
        <f>LEN('Expected Auditing Outcomes'!$F105)</f>
        <v>59</v>
      </c>
      <c r="H105" s="431">
        <v>45763.0</v>
      </c>
    </row>
    <row r="106" ht="15.75" hidden="1" customHeight="1">
      <c r="B106" s="146">
        <v>105.0</v>
      </c>
      <c r="C106" s="146">
        <f t="shared" si="1"/>
        <v>10105</v>
      </c>
      <c r="D106" s="146" t="s">
        <v>27</v>
      </c>
      <c r="E106" s="444" t="s">
        <v>194</v>
      </c>
      <c r="F106" s="383" t="s">
        <v>195</v>
      </c>
      <c r="G106" s="430">
        <f>LEN('Expected Auditing Outcomes'!$F106)</f>
        <v>102</v>
      </c>
      <c r="H106" s="431">
        <v>45763.0</v>
      </c>
    </row>
    <row r="107" ht="15.75" hidden="1" customHeight="1">
      <c r="B107" s="146">
        <v>106.0</v>
      </c>
      <c r="C107" s="146">
        <f t="shared" si="1"/>
        <v>10106</v>
      </c>
      <c r="D107" s="146" t="s">
        <v>7</v>
      </c>
      <c r="E107" s="441" t="s">
        <v>196</v>
      </c>
      <c r="F107" s="383" t="s">
        <v>197</v>
      </c>
      <c r="G107" s="430">
        <f>LEN('Expected Auditing Outcomes'!$F107)</f>
        <v>60</v>
      </c>
      <c r="H107" s="430"/>
    </row>
    <row r="108" ht="15.75" hidden="1" customHeight="1">
      <c r="B108" s="146">
        <v>107.0</v>
      </c>
      <c r="C108" s="146">
        <f t="shared" si="1"/>
        <v>10107</v>
      </c>
      <c r="D108" s="146" t="s">
        <v>34</v>
      </c>
      <c r="E108" s="440" t="s">
        <v>198</v>
      </c>
      <c r="F108" s="383" t="s">
        <v>199</v>
      </c>
      <c r="G108" s="430">
        <f>LEN('Expected Auditing Outcomes'!$F108)</f>
        <v>164</v>
      </c>
      <c r="H108" s="430"/>
    </row>
    <row r="109" ht="15.75" hidden="1" customHeight="1">
      <c r="B109" s="432">
        <v>108.0</v>
      </c>
      <c r="C109" s="432">
        <f t="shared" si="1"/>
        <v>10108</v>
      </c>
      <c r="D109" s="432" t="s">
        <v>34</v>
      </c>
      <c r="E109" s="267" t="s">
        <v>200</v>
      </c>
      <c r="F109" s="383" t="s">
        <v>201</v>
      </c>
      <c r="G109" s="430">
        <f>LEN('Expected Auditing Outcomes'!$F109)</f>
        <v>126</v>
      </c>
      <c r="H109" s="430"/>
    </row>
    <row r="110" ht="15.75" hidden="1" customHeight="1">
      <c r="B110" s="146">
        <v>109.0</v>
      </c>
      <c r="C110" s="146">
        <f t="shared" si="1"/>
        <v>10109</v>
      </c>
      <c r="D110" s="146" t="s">
        <v>7</v>
      </c>
      <c r="E110" s="440" t="s">
        <v>202</v>
      </c>
      <c r="F110" s="383" t="s">
        <v>203</v>
      </c>
      <c r="G110" s="430">
        <f>LEN('Expected Auditing Outcomes'!$F110)</f>
        <v>71</v>
      </c>
      <c r="H110" s="430"/>
    </row>
    <row r="111" ht="15.75" hidden="1" customHeight="1">
      <c r="B111" s="146">
        <v>110.0</v>
      </c>
      <c r="C111" s="146">
        <f t="shared" si="1"/>
        <v>10110</v>
      </c>
      <c r="D111" s="146" t="s">
        <v>34</v>
      </c>
      <c r="E111" s="441" t="s">
        <v>204</v>
      </c>
      <c r="F111" s="437" t="s">
        <v>3612</v>
      </c>
      <c r="G111" s="430">
        <f>LEN('Expected Auditing Outcomes'!$F111)</f>
        <v>183</v>
      </c>
      <c r="H111" s="431">
        <v>45770.0</v>
      </c>
    </row>
    <row r="112" ht="15.75" hidden="1" customHeight="1">
      <c r="B112" s="146">
        <v>111.0</v>
      </c>
      <c r="C112" s="146">
        <f t="shared" si="1"/>
        <v>10111</v>
      </c>
      <c r="D112" s="146" t="s">
        <v>20</v>
      </c>
      <c r="E112" s="445" t="s">
        <v>206</v>
      </c>
      <c r="F112" s="383" t="s">
        <v>207</v>
      </c>
      <c r="G112" s="430">
        <f>LEN('Expected Auditing Outcomes'!$F112)</f>
        <v>135</v>
      </c>
      <c r="H112" s="430"/>
    </row>
    <row r="113" ht="15.75" hidden="1" customHeight="1">
      <c r="B113" s="146">
        <v>112.0</v>
      </c>
      <c r="C113" s="146">
        <f t="shared" si="1"/>
        <v>10112</v>
      </c>
      <c r="D113" s="146" t="s">
        <v>7</v>
      </c>
      <c r="E113" s="446" t="s">
        <v>208</v>
      </c>
      <c r="F113" s="446" t="s">
        <v>3613</v>
      </c>
      <c r="G113" s="430">
        <f>LEN('Expected Auditing Outcomes'!$F113)</f>
        <v>80</v>
      </c>
      <c r="H113" s="430"/>
    </row>
    <row r="114" ht="15.75" hidden="1" customHeight="1">
      <c r="B114" s="146">
        <v>113.0</v>
      </c>
      <c r="C114" s="146">
        <f t="shared" si="1"/>
        <v>10113</v>
      </c>
      <c r="D114" s="146" t="s">
        <v>34</v>
      </c>
      <c r="E114" s="447" t="s">
        <v>210</v>
      </c>
      <c r="F114" s="437" t="s">
        <v>211</v>
      </c>
      <c r="G114" s="430">
        <f>LEN('Expected Auditing Outcomes'!$F114)</f>
        <v>198</v>
      </c>
      <c r="H114" s="431">
        <v>46000.0</v>
      </c>
    </row>
    <row r="115" ht="15.75" hidden="1" customHeight="1">
      <c r="B115" s="146">
        <v>114.0</v>
      </c>
      <c r="C115" s="146">
        <f t="shared" si="1"/>
        <v>10114</v>
      </c>
      <c r="D115" s="146" t="s">
        <v>20</v>
      </c>
      <c r="E115" s="221" t="s">
        <v>212</v>
      </c>
      <c r="F115" s="383" t="s">
        <v>213</v>
      </c>
      <c r="G115" s="430">
        <f>LEN('Expected Auditing Outcomes'!$F115)</f>
        <v>128</v>
      </c>
      <c r="H115" s="430"/>
    </row>
    <row r="116" ht="15.75" hidden="1" customHeight="1">
      <c r="B116" s="146">
        <v>115.0</v>
      </c>
      <c r="C116" s="146">
        <f t="shared" si="1"/>
        <v>10115</v>
      </c>
      <c r="D116" s="146" t="s">
        <v>20</v>
      </c>
      <c r="E116" s="447" t="s">
        <v>214</v>
      </c>
      <c r="F116" s="383" t="s">
        <v>215</v>
      </c>
      <c r="G116" s="430">
        <f>LEN('Expected Auditing Outcomes'!$F116)</f>
        <v>90</v>
      </c>
      <c r="H116" s="430"/>
    </row>
    <row r="117" ht="15.75" hidden="1" customHeight="1">
      <c r="B117" s="146">
        <v>116.0</v>
      </c>
      <c r="C117" s="146">
        <f t="shared" si="1"/>
        <v>10116</v>
      </c>
      <c r="D117" s="146" t="s">
        <v>34</v>
      </c>
      <c r="E117" s="221" t="s">
        <v>216</v>
      </c>
      <c r="F117" s="383" t="s">
        <v>217</v>
      </c>
      <c r="G117" s="430">
        <f>LEN('Expected Auditing Outcomes'!$F117)</f>
        <v>105</v>
      </c>
      <c r="H117" s="430"/>
    </row>
    <row r="118" ht="15.75" hidden="1" customHeight="1">
      <c r="B118" s="146">
        <v>117.0</v>
      </c>
      <c r="C118" s="146">
        <f t="shared" si="1"/>
        <v>10117</v>
      </c>
      <c r="D118" s="146" t="s">
        <v>20</v>
      </c>
      <c r="E118" s="448" t="s">
        <v>218</v>
      </c>
      <c r="F118" s="449" t="s">
        <v>219</v>
      </c>
      <c r="G118" s="430">
        <f>LEN('Expected Auditing Outcomes'!$F118)</f>
        <v>137</v>
      </c>
      <c r="H118" s="431">
        <v>45770.0</v>
      </c>
    </row>
    <row r="119" ht="15.75" hidden="1" customHeight="1">
      <c r="B119" s="146">
        <v>118.0</v>
      </c>
      <c r="C119" s="146">
        <f t="shared" si="1"/>
        <v>10118</v>
      </c>
      <c r="D119" s="146" t="s">
        <v>34</v>
      </c>
      <c r="E119" s="221" t="s">
        <v>220</v>
      </c>
      <c r="F119" s="383" t="s">
        <v>221</v>
      </c>
      <c r="G119" s="430">
        <f>LEN('Expected Auditing Outcomes'!$F119)</f>
        <v>128</v>
      </c>
      <c r="H119" s="430"/>
    </row>
    <row r="120" ht="15.75" hidden="1" customHeight="1">
      <c r="B120" s="450">
        <v>119.0</v>
      </c>
      <c r="C120" s="450">
        <f t="shared" si="1"/>
        <v>10119</v>
      </c>
      <c r="D120" s="450" t="s">
        <v>34</v>
      </c>
      <c r="E120" s="451" t="s">
        <v>3614</v>
      </c>
      <c r="F120" s="452" t="s">
        <v>3615</v>
      </c>
      <c r="G120" s="430">
        <f>LEN('Expected Auditing Outcomes'!$F120)</f>
        <v>168</v>
      </c>
      <c r="H120" s="431">
        <v>45770.0</v>
      </c>
    </row>
    <row r="121" ht="15.75" hidden="1" customHeight="1">
      <c r="B121" s="146">
        <v>120.0</v>
      </c>
      <c r="C121" s="146">
        <f t="shared" si="1"/>
        <v>10120</v>
      </c>
      <c r="D121" s="146" t="s">
        <v>7</v>
      </c>
      <c r="E121" s="232" t="s">
        <v>224</v>
      </c>
      <c r="F121" s="383" t="s">
        <v>225</v>
      </c>
      <c r="G121" s="430">
        <f>LEN('Expected Auditing Outcomes'!$F121)</f>
        <v>26</v>
      </c>
      <c r="H121" s="430"/>
    </row>
    <row r="122" ht="15.75" hidden="1" customHeight="1">
      <c r="B122" s="146">
        <v>121.0</v>
      </c>
      <c r="C122" s="146">
        <f t="shared" si="1"/>
        <v>10121</v>
      </c>
      <c r="D122" s="146" t="s">
        <v>7</v>
      </c>
      <c r="E122" s="445" t="s">
        <v>226</v>
      </c>
      <c r="F122" s="383" t="s">
        <v>227</v>
      </c>
      <c r="G122" s="430">
        <f>LEN('Expected Auditing Outcomes'!$F122)</f>
        <v>39</v>
      </c>
      <c r="H122" s="430"/>
    </row>
    <row r="123" ht="15.75" hidden="1" customHeight="1">
      <c r="B123" s="146">
        <v>122.0</v>
      </c>
      <c r="C123" s="146">
        <f t="shared" si="1"/>
        <v>10122</v>
      </c>
      <c r="D123" s="146" t="s">
        <v>7</v>
      </c>
      <c r="E123" s="441" t="s">
        <v>228</v>
      </c>
      <c r="F123" s="383" t="s">
        <v>229</v>
      </c>
      <c r="G123" s="430">
        <f>LEN('Expected Auditing Outcomes'!$F123)</f>
        <v>38</v>
      </c>
      <c r="H123" s="430"/>
    </row>
    <row r="124" ht="15.75" hidden="1" customHeight="1">
      <c r="B124" s="146">
        <v>123.0</v>
      </c>
      <c r="C124" s="146">
        <f t="shared" si="1"/>
        <v>10123</v>
      </c>
      <c r="D124" s="146" t="s">
        <v>7</v>
      </c>
      <c r="E124" s="445" t="s">
        <v>230</v>
      </c>
      <c r="F124" s="383" t="s">
        <v>231</v>
      </c>
      <c r="G124" s="430">
        <f>LEN('Expected Auditing Outcomes'!$F124)</f>
        <v>39</v>
      </c>
      <c r="H124" s="430"/>
    </row>
    <row r="125" ht="15.75" hidden="1" customHeight="1">
      <c r="B125" s="146">
        <v>124.0</v>
      </c>
      <c r="C125" s="146">
        <f t="shared" si="1"/>
        <v>10124</v>
      </c>
      <c r="D125" s="146" t="s">
        <v>7</v>
      </c>
      <c r="E125" s="441" t="s">
        <v>232</v>
      </c>
      <c r="F125" s="383" t="s">
        <v>233</v>
      </c>
      <c r="G125" s="430">
        <f>LEN('Expected Auditing Outcomes'!$F125)</f>
        <v>51</v>
      </c>
      <c r="H125" s="430"/>
    </row>
    <row r="126" ht="15.75" hidden="1" customHeight="1">
      <c r="B126" s="146">
        <v>125.0</v>
      </c>
      <c r="C126" s="146">
        <f t="shared" si="1"/>
        <v>10125</v>
      </c>
      <c r="D126" s="146" t="s">
        <v>20</v>
      </c>
      <c r="E126" s="444" t="s">
        <v>234</v>
      </c>
      <c r="F126" s="383" t="s">
        <v>235</v>
      </c>
      <c r="G126" s="430">
        <f>LEN('Expected Auditing Outcomes'!$F126)</f>
        <v>108</v>
      </c>
      <c r="H126" s="430"/>
    </row>
    <row r="127" ht="15.75" hidden="1" customHeight="1">
      <c r="B127" s="146">
        <v>126.0</v>
      </c>
      <c r="C127" s="146">
        <f t="shared" si="1"/>
        <v>10126</v>
      </c>
      <c r="D127" s="146" t="s">
        <v>7</v>
      </c>
      <c r="E127" s="294" t="s">
        <v>236</v>
      </c>
      <c r="F127" s="383" t="s">
        <v>237</v>
      </c>
      <c r="G127" s="430">
        <f>LEN('Expected Auditing Outcomes'!$F127)</f>
        <v>77</v>
      </c>
      <c r="H127" s="430"/>
    </row>
    <row r="128" ht="15.75" hidden="1" customHeight="1">
      <c r="B128" s="146">
        <v>127.0</v>
      </c>
      <c r="C128" s="146">
        <f t="shared" si="1"/>
        <v>10127</v>
      </c>
      <c r="D128" s="146" t="s">
        <v>34</v>
      </c>
      <c r="E128" s="440" t="s">
        <v>238</v>
      </c>
      <c r="F128" s="383" t="s">
        <v>239</v>
      </c>
      <c r="G128" s="430">
        <f>LEN('Expected Auditing Outcomes'!$F128)</f>
        <v>180</v>
      </c>
      <c r="H128" s="430"/>
    </row>
    <row r="129" ht="15.75" hidden="1" customHeight="1">
      <c r="B129" s="146">
        <v>128.0</v>
      </c>
      <c r="C129" s="146">
        <f t="shared" si="1"/>
        <v>10128</v>
      </c>
      <c r="D129" s="146" t="s">
        <v>27</v>
      </c>
      <c r="E129" s="294" t="s">
        <v>240</v>
      </c>
      <c r="F129" s="383" t="s">
        <v>241</v>
      </c>
      <c r="G129" s="430">
        <f>LEN('Expected Auditing Outcomes'!$F129)</f>
        <v>131</v>
      </c>
      <c r="H129" s="430"/>
    </row>
    <row r="130" ht="15.75" hidden="1" customHeight="1">
      <c r="B130" s="146">
        <v>129.0</v>
      </c>
      <c r="C130" s="146">
        <f t="shared" si="1"/>
        <v>10129</v>
      </c>
      <c r="D130" s="146" t="s">
        <v>34</v>
      </c>
      <c r="E130" s="440" t="s">
        <v>242</v>
      </c>
      <c r="F130" s="383" t="s">
        <v>3616</v>
      </c>
      <c r="G130" s="430">
        <f>LEN('Expected Auditing Outcomes'!$F130)</f>
        <v>146</v>
      </c>
      <c r="H130" s="430"/>
    </row>
    <row r="131" ht="15.75" hidden="1" customHeight="1">
      <c r="B131" s="146">
        <v>130.0</v>
      </c>
      <c r="C131" s="146">
        <f t="shared" si="1"/>
        <v>10130</v>
      </c>
      <c r="D131" s="146" t="s">
        <v>34</v>
      </c>
      <c r="E131" s="267"/>
      <c r="F131" s="437" t="s">
        <v>3617</v>
      </c>
      <c r="G131" s="430">
        <f>LEN('Expected Auditing Outcomes'!$F131)</f>
        <v>180</v>
      </c>
      <c r="H131" s="431">
        <v>45770.0</v>
      </c>
    </row>
    <row r="132" ht="15.75" hidden="1" customHeight="1">
      <c r="B132" s="146">
        <v>131.0</v>
      </c>
      <c r="C132" s="146">
        <f t="shared" si="1"/>
        <v>10131</v>
      </c>
      <c r="D132" s="146" t="s">
        <v>7</v>
      </c>
      <c r="E132" s="440" t="s">
        <v>246</v>
      </c>
      <c r="F132" s="383" t="s">
        <v>247</v>
      </c>
      <c r="G132" s="430">
        <f>LEN('Expected Auditing Outcomes'!$F132)</f>
        <v>70</v>
      </c>
      <c r="H132" s="430"/>
    </row>
    <row r="133" ht="15.75" hidden="1" customHeight="1">
      <c r="B133" s="146">
        <v>132.0</v>
      </c>
      <c r="C133" s="146">
        <f t="shared" si="1"/>
        <v>10132</v>
      </c>
      <c r="D133" s="146" t="s">
        <v>34</v>
      </c>
      <c r="E133" s="441" t="s">
        <v>248</v>
      </c>
      <c r="F133" s="437" t="s">
        <v>249</v>
      </c>
      <c r="G133" s="430">
        <f>LEN('Expected Auditing Outcomes'!$F133)</f>
        <v>199</v>
      </c>
      <c r="H133" s="431">
        <v>46000.0</v>
      </c>
    </row>
    <row r="134" ht="15.75" hidden="1" customHeight="1">
      <c r="B134" s="146">
        <v>133.0</v>
      </c>
      <c r="C134" s="146">
        <f t="shared" si="1"/>
        <v>10133</v>
      </c>
      <c r="D134" s="146" t="s">
        <v>20</v>
      </c>
      <c r="E134" s="444" t="s">
        <v>250</v>
      </c>
      <c r="F134" s="383" t="s">
        <v>251</v>
      </c>
      <c r="G134" s="430">
        <f>LEN('Expected Auditing Outcomes'!$F134)</f>
        <v>112</v>
      </c>
      <c r="H134" s="430"/>
    </row>
    <row r="135" ht="15.75" hidden="1" customHeight="1">
      <c r="B135" s="146">
        <v>134.0</v>
      </c>
      <c r="C135" s="146">
        <f t="shared" si="1"/>
        <v>10134</v>
      </c>
      <c r="D135" s="146" t="s">
        <v>34</v>
      </c>
      <c r="E135" s="267" t="s">
        <v>252</v>
      </c>
      <c r="F135" s="383" t="s">
        <v>253</v>
      </c>
      <c r="G135" s="430">
        <f>LEN('Expected Auditing Outcomes'!$F135)</f>
        <v>118</v>
      </c>
      <c r="H135" s="430"/>
    </row>
    <row r="136" ht="15.75" hidden="1" customHeight="1">
      <c r="B136" s="146">
        <v>135.0</v>
      </c>
      <c r="C136" s="146">
        <f t="shared" si="1"/>
        <v>10135</v>
      </c>
      <c r="D136" s="146" t="s">
        <v>34</v>
      </c>
      <c r="E136" s="453" t="s">
        <v>2141</v>
      </c>
      <c r="F136" s="383" t="s">
        <v>255</v>
      </c>
      <c r="G136" s="430">
        <f>LEN('Expected Auditing Outcomes'!$F136)</f>
        <v>169</v>
      </c>
      <c r="H136" s="430"/>
    </row>
    <row r="137" ht="15.75" hidden="1" customHeight="1">
      <c r="B137" s="146">
        <v>136.0</v>
      </c>
      <c r="C137" s="146">
        <f t="shared" si="1"/>
        <v>10136</v>
      </c>
      <c r="D137" s="146" t="s">
        <v>7</v>
      </c>
      <c r="E137" s="441" t="s">
        <v>256</v>
      </c>
      <c r="F137" s="383" t="s">
        <v>257</v>
      </c>
      <c r="G137" s="430">
        <f>LEN('Expected Auditing Outcomes'!$F137)</f>
        <v>56</v>
      </c>
      <c r="H137" s="430"/>
    </row>
    <row r="138" ht="15.75" hidden="1" customHeight="1">
      <c r="B138" s="146">
        <v>137.0</v>
      </c>
      <c r="C138" s="146">
        <f t="shared" si="1"/>
        <v>10137</v>
      </c>
      <c r="D138" s="146" t="s">
        <v>34</v>
      </c>
      <c r="E138" s="440" t="s">
        <v>2146</v>
      </c>
      <c r="F138" s="383" t="s">
        <v>259</v>
      </c>
      <c r="G138" s="430">
        <f>LEN('Expected Auditing Outcomes'!$F138)</f>
        <v>168</v>
      </c>
      <c r="H138" s="430"/>
    </row>
    <row r="139" ht="15.75" hidden="1" customHeight="1">
      <c r="B139" s="146">
        <v>138.0</v>
      </c>
      <c r="C139" s="146">
        <f t="shared" si="1"/>
        <v>10138</v>
      </c>
      <c r="D139" s="146" t="s">
        <v>27</v>
      </c>
      <c r="E139" s="441" t="s">
        <v>260</v>
      </c>
      <c r="F139" s="383" t="s">
        <v>261</v>
      </c>
      <c r="G139" s="430">
        <f>LEN('Expected Auditing Outcomes'!$F139)</f>
        <v>79</v>
      </c>
      <c r="H139" s="430"/>
    </row>
    <row r="140" ht="15.75" hidden="1" customHeight="1">
      <c r="B140" s="146">
        <v>139.0</v>
      </c>
      <c r="C140" s="146">
        <f t="shared" si="1"/>
        <v>10139</v>
      </c>
      <c r="D140" s="146" t="s">
        <v>34</v>
      </c>
      <c r="E140" s="454" t="s">
        <v>2151</v>
      </c>
      <c r="F140" s="437" t="s">
        <v>3618</v>
      </c>
      <c r="G140" s="430">
        <f>LEN('Expected Auditing Outcomes'!$F140)</f>
        <v>189</v>
      </c>
      <c r="H140" s="431">
        <v>45770.0</v>
      </c>
    </row>
    <row r="141" ht="15.75" hidden="1" customHeight="1">
      <c r="B141" s="146">
        <v>140.0</v>
      </c>
      <c r="C141" s="146">
        <f t="shared" si="1"/>
        <v>10140</v>
      </c>
      <c r="D141" s="146" t="s">
        <v>7</v>
      </c>
      <c r="E141" s="294" t="s">
        <v>3619</v>
      </c>
      <c r="F141" s="383" t="s">
        <v>265</v>
      </c>
      <c r="G141" s="430">
        <f>LEN('Expected Auditing Outcomes'!$F141)</f>
        <v>84</v>
      </c>
      <c r="H141" s="430"/>
    </row>
    <row r="142" ht="15.75" hidden="1" customHeight="1">
      <c r="B142" s="146">
        <v>141.0</v>
      </c>
      <c r="C142" s="146">
        <f t="shared" si="1"/>
        <v>10141</v>
      </c>
      <c r="D142" s="146" t="s">
        <v>34</v>
      </c>
      <c r="E142" s="440" t="s">
        <v>266</v>
      </c>
      <c r="F142" s="383" t="s">
        <v>3620</v>
      </c>
      <c r="G142" s="430">
        <f>LEN('Expected Auditing Outcomes'!$F142)</f>
        <v>163</v>
      </c>
      <c r="H142" s="430"/>
    </row>
    <row r="143" ht="15.75" hidden="1" customHeight="1">
      <c r="B143" s="432">
        <v>142.0</v>
      </c>
      <c r="C143" s="432">
        <f t="shared" si="1"/>
        <v>10142</v>
      </c>
      <c r="D143" s="146" t="s">
        <v>34</v>
      </c>
      <c r="E143" s="267" t="s">
        <v>268</v>
      </c>
      <c r="F143" s="385" t="s">
        <v>269</v>
      </c>
      <c r="G143" s="430">
        <f>LEN('Expected Auditing Outcomes'!$F143)</f>
        <v>135</v>
      </c>
      <c r="H143" s="430"/>
    </row>
    <row r="144" ht="15.75" hidden="1" customHeight="1">
      <c r="B144" s="432">
        <v>143.0</v>
      </c>
      <c r="C144" s="432">
        <f t="shared" si="1"/>
        <v>10143</v>
      </c>
      <c r="D144" s="146" t="s">
        <v>34</v>
      </c>
      <c r="E144" s="455" t="s">
        <v>270</v>
      </c>
      <c r="F144" s="456" t="s">
        <v>271</v>
      </c>
      <c r="G144" s="430">
        <f>LEN('Expected Auditing Outcomes'!$F144)</f>
        <v>167</v>
      </c>
      <c r="H144" s="430"/>
    </row>
    <row r="145" ht="15.75" hidden="1" customHeight="1">
      <c r="B145" s="432">
        <v>144.0</v>
      </c>
      <c r="C145" s="432">
        <f t="shared" si="1"/>
        <v>10144</v>
      </c>
      <c r="D145" s="146" t="s">
        <v>34</v>
      </c>
      <c r="E145" s="267" t="s">
        <v>272</v>
      </c>
      <c r="F145" s="456" t="s">
        <v>3621</v>
      </c>
      <c r="G145" s="430">
        <f>LEN('Expected Auditing Outcomes'!$F145)</f>
        <v>175</v>
      </c>
      <c r="H145" s="430"/>
    </row>
    <row r="146" ht="15.75" hidden="1" customHeight="1">
      <c r="B146" s="146">
        <v>145.0</v>
      </c>
      <c r="C146" s="146">
        <f t="shared" si="1"/>
        <v>10145</v>
      </c>
      <c r="D146" s="146" t="s">
        <v>7</v>
      </c>
      <c r="E146" s="440" t="s">
        <v>274</v>
      </c>
      <c r="F146" s="383" t="s">
        <v>3622</v>
      </c>
      <c r="G146" s="430">
        <f>LEN('Expected Auditing Outcomes'!$F146)</f>
        <v>106</v>
      </c>
      <c r="H146" s="430"/>
    </row>
    <row r="147" ht="53.25" hidden="1" customHeight="1">
      <c r="B147" s="146">
        <v>146.0</v>
      </c>
      <c r="C147" s="146">
        <f t="shared" si="1"/>
        <v>10146</v>
      </c>
      <c r="D147" s="146" t="s">
        <v>20</v>
      </c>
      <c r="E147" s="446" t="s">
        <v>2169</v>
      </c>
      <c r="F147" s="383" t="s">
        <v>277</v>
      </c>
      <c r="G147" s="430">
        <f>LEN('Expected Auditing Outcomes'!$F147)</f>
        <v>158</v>
      </c>
      <c r="H147" s="430"/>
    </row>
    <row r="148" ht="15.75" hidden="1" customHeight="1">
      <c r="B148" s="146">
        <v>147.0</v>
      </c>
      <c r="C148" s="146">
        <f t="shared" si="1"/>
        <v>10147</v>
      </c>
      <c r="D148" s="146" t="s">
        <v>20</v>
      </c>
      <c r="E148" s="457" t="s">
        <v>278</v>
      </c>
      <c r="F148" s="383" t="s">
        <v>279</v>
      </c>
      <c r="G148" s="430">
        <f>LEN('Expected Auditing Outcomes'!$F148)</f>
        <v>70</v>
      </c>
      <c r="H148" s="430"/>
    </row>
    <row r="149" ht="15.75" hidden="1" customHeight="1">
      <c r="B149" s="146">
        <v>148.0</v>
      </c>
      <c r="C149" s="146">
        <f t="shared" si="1"/>
        <v>10148</v>
      </c>
      <c r="D149" s="146" t="s">
        <v>7</v>
      </c>
      <c r="E149" s="269" t="s">
        <v>280</v>
      </c>
      <c r="F149" s="383" t="s">
        <v>281</v>
      </c>
      <c r="G149" s="430">
        <f>LEN('Expected Auditing Outcomes'!$F149)</f>
        <v>91</v>
      </c>
      <c r="H149" s="430"/>
    </row>
    <row r="150" ht="15.75" hidden="1" customHeight="1">
      <c r="B150" s="146">
        <v>149.0</v>
      </c>
      <c r="C150" s="146">
        <f t="shared" si="1"/>
        <v>10149</v>
      </c>
      <c r="D150" s="146" t="s">
        <v>7</v>
      </c>
      <c r="E150" s="457" t="s">
        <v>282</v>
      </c>
      <c r="F150" s="383" t="s">
        <v>283</v>
      </c>
      <c r="G150" s="430">
        <f>LEN('Expected Auditing Outcomes'!$F150)</f>
        <v>73</v>
      </c>
      <c r="H150" s="430"/>
    </row>
    <row r="151" ht="15.75" hidden="1" customHeight="1">
      <c r="B151" s="146">
        <v>150.0</v>
      </c>
      <c r="C151" s="146">
        <f t="shared" si="1"/>
        <v>10150</v>
      </c>
      <c r="D151" s="146" t="s">
        <v>7</v>
      </c>
      <c r="E151" s="229" t="s">
        <v>284</v>
      </c>
      <c r="F151" s="383" t="s">
        <v>285</v>
      </c>
      <c r="G151" s="430">
        <f>LEN('Expected Auditing Outcomes'!$F151)</f>
        <v>71</v>
      </c>
      <c r="H151" s="430"/>
    </row>
    <row r="152" ht="15.75" hidden="1" customHeight="1">
      <c r="B152" s="146">
        <v>151.0</v>
      </c>
      <c r="C152" s="146">
        <f t="shared" si="1"/>
        <v>10151</v>
      </c>
      <c r="D152" s="146" t="s">
        <v>34</v>
      </c>
      <c r="E152" s="457" t="s">
        <v>286</v>
      </c>
      <c r="F152" s="383" t="s">
        <v>3623</v>
      </c>
      <c r="G152" s="430">
        <f>LEN('Expected Auditing Outcomes'!$F152)</f>
        <v>145</v>
      </c>
      <c r="H152" s="430"/>
    </row>
    <row r="153" ht="15.75" hidden="1" customHeight="1">
      <c r="B153" s="146">
        <v>152.0</v>
      </c>
      <c r="C153" s="146">
        <f t="shared" si="1"/>
        <v>10152</v>
      </c>
      <c r="D153" s="146" t="s">
        <v>20</v>
      </c>
      <c r="E153" s="229" t="s">
        <v>288</v>
      </c>
      <c r="F153" s="383" t="s">
        <v>289</v>
      </c>
      <c r="G153" s="430">
        <f>LEN('Expected Auditing Outcomes'!$F153)</f>
        <v>139</v>
      </c>
      <c r="H153" s="430"/>
    </row>
    <row r="154" ht="15.75" hidden="1" customHeight="1">
      <c r="B154" s="146">
        <v>153.0</v>
      </c>
      <c r="C154" s="146">
        <f t="shared" si="1"/>
        <v>10153</v>
      </c>
      <c r="D154" s="146" t="s">
        <v>34</v>
      </c>
      <c r="E154" s="457" t="s">
        <v>290</v>
      </c>
      <c r="F154" s="383" t="s">
        <v>3624</v>
      </c>
      <c r="G154" s="430">
        <f>LEN('Expected Auditing Outcomes'!$F154)</f>
        <v>165</v>
      </c>
      <c r="H154" s="430"/>
    </row>
    <row r="155" ht="15.75" hidden="1" customHeight="1">
      <c r="B155" s="146">
        <v>154.0</v>
      </c>
      <c r="C155" s="146">
        <f t="shared" si="1"/>
        <v>10154</v>
      </c>
      <c r="D155" s="146" t="s">
        <v>34</v>
      </c>
      <c r="E155" s="269" t="s">
        <v>292</v>
      </c>
      <c r="F155" s="383" t="s">
        <v>3620</v>
      </c>
      <c r="G155" s="430">
        <f>LEN('Expected Auditing Outcomes'!$F155)</f>
        <v>163</v>
      </c>
      <c r="H155" s="430"/>
    </row>
    <row r="156" ht="15.75" hidden="1" customHeight="1">
      <c r="B156" s="146">
        <v>155.0</v>
      </c>
      <c r="C156" s="146">
        <f t="shared" si="1"/>
        <v>10155</v>
      </c>
      <c r="D156" s="146" t="s">
        <v>20</v>
      </c>
      <c r="E156" s="458" t="s">
        <v>293</v>
      </c>
      <c r="F156" s="437" t="s">
        <v>294</v>
      </c>
      <c r="G156" s="430">
        <f>LEN('Expected Auditing Outcomes'!$F156)</f>
        <v>157</v>
      </c>
      <c r="H156" s="431">
        <v>45770.0</v>
      </c>
    </row>
    <row r="157" ht="15.75" hidden="1" customHeight="1">
      <c r="B157" s="146">
        <v>156.0</v>
      </c>
      <c r="C157" s="146">
        <f t="shared" si="1"/>
        <v>10156</v>
      </c>
      <c r="D157" s="146" t="s">
        <v>34</v>
      </c>
      <c r="E157" s="269" t="s">
        <v>295</v>
      </c>
      <c r="F157" s="437" t="s">
        <v>3625</v>
      </c>
      <c r="G157" s="430">
        <f>LEN('Expected Auditing Outcomes'!$F157)</f>
        <v>171</v>
      </c>
      <c r="H157" s="431">
        <v>45770.0</v>
      </c>
    </row>
    <row r="158" ht="15.75" hidden="1" customHeight="1">
      <c r="B158" s="146">
        <v>157.0</v>
      </c>
      <c r="C158" s="146">
        <f t="shared" si="1"/>
        <v>10157</v>
      </c>
      <c r="D158" s="146" t="s">
        <v>34</v>
      </c>
      <c r="E158" s="459" t="s">
        <v>297</v>
      </c>
      <c r="F158" s="437" t="s">
        <v>298</v>
      </c>
      <c r="G158" s="430">
        <f>LEN('Expected Auditing Outcomes'!$F158)</f>
        <v>193</v>
      </c>
      <c r="H158" s="431">
        <v>45770.0</v>
      </c>
    </row>
    <row r="159" ht="15.75" hidden="1" customHeight="1">
      <c r="B159" s="146">
        <v>158.0</v>
      </c>
      <c r="C159" s="146">
        <f t="shared" si="1"/>
        <v>10158</v>
      </c>
      <c r="D159" s="146" t="s">
        <v>27</v>
      </c>
      <c r="E159" s="232" t="s">
        <v>299</v>
      </c>
      <c r="F159" s="383" t="s">
        <v>3626</v>
      </c>
      <c r="G159" s="430">
        <f>LEN('Expected Auditing Outcomes'!$F159)</f>
        <v>134</v>
      </c>
      <c r="H159" s="430"/>
    </row>
    <row r="160" ht="15.75" hidden="1" customHeight="1">
      <c r="B160" s="146">
        <v>159.0</v>
      </c>
      <c r="C160" s="146">
        <f t="shared" si="1"/>
        <v>10159</v>
      </c>
      <c r="D160" s="146" t="s">
        <v>27</v>
      </c>
      <c r="E160" s="447" t="s">
        <v>301</v>
      </c>
      <c r="F160" s="383" t="s">
        <v>3627</v>
      </c>
      <c r="G160" s="430">
        <f>LEN('Expected Auditing Outcomes'!$F160)</f>
        <v>122</v>
      </c>
      <c r="H160" s="430"/>
    </row>
    <row r="161" ht="15.75" hidden="1" customHeight="1">
      <c r="B161" s="146">
        <v>160.0</v>
      </c>
      <c r="C161" s="146">
        <f t="shared" si="1"/>
        <v>10160</v>
      </c>
      <c r="D161" s="146" t="s">
        <v>34</v>
      </c>
      <c r="E161" s="221" t="s">
        <v>303</v>
      </c>
      <c r="F161" s="437" t="s">
        <v>304</v>
      </c>
      <c r="G161" s="430">
        <f>LEN('Expected Auditing Outcomes'!$F161)</f>
        <v>193</v>
      </c>
      <c r="H161" s="431">
        <v>46000.0</v>
      </c>
    </row>
    <row r="162" ht="15.75" hidden="1" customHeight="1">
      <c r="B162" s="146">
        <v>161.0</v>
      </c>
      <c r="C162" s="146">
        <f t="shared" si="1"/>
        <v>10161</v>
      </c>
      <c r="D162" s="146" t="s">
        <v>27</v>
      </c>
      <c r="E162" s="460" t="s">
        <v>305</v>
      </c>
      <c r="F162" s="383" t="s">
        <v>3628</v>
      </c>
      <c r="G162" s="430">
        <f>LEN('Expected Auditing Outcomes'!$F162)</f>
        <v>143</v>
      </c>
      <c r="H162" s="430"/>
    </row>
    <row r="163" ht="15.75" hidden="1" customHeight="1">
      <c r="B163" s="432">
        <v>162.0</v>
      </c>
      <c r="C163" s="146">
        <f t="shared" si="1"/>
        <v>10162</v>
      </c>
      <c r="D163" s="432" t="s">
        <v>34</v>
      </c>
      <c r="E163" s="258" t="s">
        <v>307</v>
      </c>
      <c r="F163" s="383" t="s">
        <v>308</v>
      </c>
      <c r="G163" s="430">
        <f>LEN('Expected Auditing Outcomes'!$F163)</f>
        <v>113</v>
      </c>
      <c r="H163" s="430"/>
    </row>
    <row r="164" ht="15.75" hidden="1" customHeight="1">
      <c r="B164" s="146">
        <v>163.0</v>
      </c>
      <c r="C164" s="146">
        <f t="shared" si="1"/>
        <v>10163</v>
      </c>
      <c r="D164" s="146" t="s">
        <v>7</v>
      </c>
      <c r="E164" s="447" t="s">
        <v>309</v>
      </c>
      <c r="F164" s="383" t="s">
        <v>310</v>
      </c>
      <c r="G164" s="430">
        <f>LEN('Expected Auditing Outcomes'!$F164)</f>
        <v>63</v>
      </c>
      <c r="H164" s="430"/>
    </row>
    <row r="165" ht="15.75" hidden="1" customHeight="1">
      <c r="B165" s="146">
        <v>164.0</v>
      </c>
      <c r="C165" s="146">
        <f t="shared" si="1"/>
        <v>10164</v>
      </c>
      <c r="D165" s="146" t="s">
        <v>20</v>
      </c>
      <c r="E165" s="461" t="s">
        <v>311</v>
      </c>
      <c r="F165" s="383" t="s">
        <v>312</v>
      </c>
      <c r="G165" s="430">
        <f>LEN('Expected Auditing Outcomes'!$F165)</f>
        <v>154</v>
      </c>
      <c r="H165" s="430"/>
    </row>
    <row r="166" ht="15.75" hidden="1" customHeight="1">
      <c r="B166" s="432">
        <v>165.0</v>
      </c>
      <c r="C166" s="146">
        <f t="shared" si="1"/>
        <v>10165</v>
      </c>
      <c r="D166" s="432" t="s">
        <v>34</v>
      </c>
      <c r="E166" s="451" t="s">
        <v>313</v>
      </c>
      <c r="F166" s="383" t="s">
        <v>3629</v>
      </c>
      <c r="G166" s="430">
        <f>LEN('Expected Auditing Outcomes'!$F166)</f>
        <v>113</v>
      </c>
      <c r="H166" s="430"/>
    </row>
    <row r="167" ht="15.75" hidden="1" customHeight="1">
      <c r="B167" s="146">
        <v>166.0</v>
      </c>
      <c r="C167" s="146">
        <f t="shared" si="1"/>
        <v>10166</v>
      </c>
      <c r="D167" s="146" t="s">
        <v>7</v>
      </c>
      <c r="E167" s="221" t="s">
        <v>315</v>
      </c>
      <c r="F167" s="383" t="s">
        <v>316</v>
      </c>
      <c r="G167" s="430">
        <f>LEN('Expected Auditing Outcomes'!$F167)</f>
        <v>63</v>
      </c>
      <c r="H167" s="430"/>
    </row>
    <row r="168" ht="15.75" hidden="1" customHeight="1">
      <c r="B168" s="146">
        <v>167.0</v>
      </c>
      <c r="C168" s="146">
        <f t="shared" si="1"/>
        <v>10167</v>
      </c>
      <c r="D168" s="146" t="s">
        <v>7</v>
      </c>
      <c r="E168" s="447" t="s">
        <v>317</v>
      </c>
      <c r="F168" s="383" t="s">
        <v>318</v>
      </c>
      <c r="G168" s="430">
        <f>LEN('Expected Auditing Outcomes'!$F168)</f>
        <v>61</v>
      </c>
      <c r="H168" s="430"/>
    </row>
    <row r="169" ht="15.75" hidden="1" customHeight="1">
      <c r="B169" s="146">
        <v>168.0</v>
      </c>
      <c r="C169" s="146">
        <f t="shared" si="1"/>
        <v>10168</v>
      </c>
      <c r="D169" s="146" t="s">
        <v>34</v>
      </c>
      <c r="E169" s="462" t="s">
        <v>319</v>
      </c>
      <c r="F169" s="383" t="s">
        <v>3630</v>
      </c>
      <c r="G169" s="430">
        <f>LEN('Expected Auditing Outcomes'!$F169)</f>
        <v>133</v>
      </c>
      <c r="H169" s="430"/>
    </row>
    <row r="170" ht="15.75" hidden="1" customHeight="1">
      <c r="B170" s="146">
        <v>169.0</v>
      </c>
      <c r="C170" s="146">
        <f t="shared" si="1"/>
        <v>10169</v>
      </c>
      <c r="D170" s="146" t="s">
        <v>7</v>
      </c>
      <c r="E170" s="445" t="s">
        <v>321</v>
      </c>
      <c r="F170" s="383" t="s">
        <v>3631</v>
      </c>
      <c r="G170" s="430">
        <f>LEN('Expected Auditing Outcomes'!$F170)</f>
        <v>97</v>
      </c>
      <c r="H170" s="430"/>
    </row>
    <row r="171" ht="15.75" hidden="1" customHeight="1">
      <c r="B171" s="146">
        <v>170.0</v>
      </c>
      <c r="C171" s="146">
        <f t="shared" si="1"/>
        <v>10170</v>
      </c>
      <c r="D171" s="146" t="s">
        <v>7</v>
      </c>
      <c r="E171" s="221" t="s">
        <v>323</v>
      </c>
      <c r="F171" s="383" t="s">
        <v>324</v>
      </c>
      <c r="G171" s="430">
        <f>LEN('Expected Auditing Outcomes'!$F171)</f>
        <v>77</v>
      </c>
      <c r="H171" s="430"/>
    </row>
    <row r="172" ht="15.75" hidden="1" customHeight="1">
      <c r="B172" s="146">
        <v>171.0</v>
      </c>
      <c r="C172" s="146">
        <f t="shared" si="1"/>
        <v>10171</v>
      </c>
      <c r="D172" s="146" t="s">
        <v>34</v>
      </c>
      <c r="E172" s="447" t="s">
        <v>325</v>
      </c>
      <c r="F172" s="383" t="s">
        <v>326</v>
      </c>
      <c r="G172" s="430">
        <f>LEN('Expected Auditing Outcomes'!$F172)</f>
        <v>157</v>
      </c>
      <c r="H172" s="430"/>
    </row>
    <row r="173" ht="15.75" hidden="1" customHeight="1">
      <c r="B173" s="146">
        <v>172.0</v>
      </c>
      <c r="C173" s="146">
        <f t="shared" si="1"/>
        <v>10172</v>
      </c>
      <c r="D173" s="146" t="s">
        <v>34</v>
      </c>
      <c r="E173" s="221" t="s">
        <v>327</v>
      </c>
      <c r="F173" s="383" t="s">
        <v>328</v>
      </c>
      <c r="G173" s="430">
        <f>LEN('Expected Auditing Outcomes'!$F173)</f>
        <v>157</v>
      </c>
      <c r="H173" s="430"/>
    </row>
    <row r="174" ht="15.75" hidden="1" customHeight="1">
      <c r="B174" s="146">
        <v>173.0</v>
      </c>
      <c r="C174" s="146">
        <f t="shared" si="1"/>
        <v>10173</v>
      </c>
      <c r="D174" s="146" t="s">
        <v>20</v>
      </c>
      <c r="E174" s="447" t="s">
        <v>329</v>
      </c>
      <c r="F174" s="437" t="s">
        <v>330</v>
      </c>
      <c r="G174" s="430">
        <f>LEN('Expected Auditing Outcomes'!$F174)</f>
        <v>195</v>
      </c>
      <c r="H174" s="430" t="s">
        <v>331</v>
      </c>
    </row>
    <row r="175" ht="15.75" hidden="1" customHeight="1">
      <c r="B175" s="146">
        <v>174.0</v>
      </c>
      <c r="C175" s="146">
        <f t="shared" si="1"/>
        <v>10174</v>
      </c>
      <c r="D175" s="146" t="s">
        <v>7</v>
      </c>
      <c r="E175" s="232" t="s">
        <v>332</v>
      </c>
      <c r="F175" s="383" t="s">
        <v>333</v>
      </c>
      <c r="G175" s="430">
        <f>LEN('Expected Auditing Outcomes'!$F175)</f>
        <v>81</v>
      </c>
      <c r="H175" s="430"/>
    </row>
    <row r="176" ht="15.75" hidden="1" customHeight="1">
      <c r="B176" s="146">
        <v>175.0</v>
      </c>
      <c r="C176" s="146">
        <f t="shared" si="1"/>
        <v>10175</v>
      </c>
      <c r="D176" s="146" t="s">
        <v>7</v>
      </c>
      <c r="E176" s="447" t="s">
        <v>334</v>
      </c>
      <c r="F176" s="383" t="s">
        <v>335</v>
      </c>
      <c r="G176" s="430">
        <f>LEN('Expected Auditing Outcomes'!$F176)</f>
        <v>69</v>
      </c>
      <c r="H176" s="430"/>
    </row>
    <row r="177" ht="15.75" hidden="1" customHeight="1">
      <c r="B177" s="146">
        <v>176.0</v>
      </c>
      <c r="C177" s="146">
        <f t="shared" si="1"/>
        <v>10176</v>
      </c>
      <c r="D177" s="146" t="s">
        <v>7</v>
      </c>
      <c r="E177" s="221" t="s">
        <v>336</v>
      </c>
      <c r="F177" s="383" t="s">
        <v>337</v>
      </c>
      <c r="G177" s="430">
        <f>LEN('Expected Auditing Outcomes'!$F177)</f>
        <v>40</v>
      </c>
      <c r="H177" s="430"/>
    </row>
    <row r="178" ht="15.75" hidden="1" customHeight="1">
      <c r="B178" s="146">
        <v>177.0</v>
      </c>
      <c r="C178" s="146">
        <f t="shared" si="1"/>
        <v>10177</v>
      </c>
      <c r="D178" s="146" t="s">
        <v>7</v>
      </c>
      <c r="E178" s="447" t="s">
        <v>338</v>
      </c>
      <c r="F178" s="383" t="s">
        <v>339</v>
      </c>
      <c r="G178" s="430">
        <f>LEN('Expected Auditing Outcomes'!$F178)</f>
        <v>61</v>
      </c>
      <c r="H178" s="430"/>
    </row>
    <row r="179" ht="15.75" hidden="1" customHeight="1">
      <c r="B179" s="146">
        <v>178.0</v>
      </c>
      <c r="C179" s="146">
        <f t="shared" si="1"/>
        <v>10178</v>
      </c>
      <c r="D179" s="146" t="s">
        <v>7</v>
      </c>
      <c r="E179" s="221" t="s">
        <v>340</v>
      </c>
      <c r="F179" s="383" t="s">
        <v>341</v>
      </c>
      <c r="G179" s="430">
        <f>LEN('Expected Auditing Outcomes'!$F179)</f>
        <v>57</v>
      </c>
      <c r="H179" s="430"/>
    </row>
    <row r="180" ht="15.75" hidden="1" customHeight="1">
      <c r="B180" s="146">
        <v>179.0</v>
      </c>
      <c r="C180" s="146">
        <f t="shared" si="1"/>
        <v>10179</v>
      </c>
      <c r="D180" s="146" t="s">
        <v>34</v>
      </c>
      <c r="E180" s="447" t="s">
        <v>342</v>
      </c>
      <c r="F180" s="383" t="s">
        <v>343</v>
      </c>
      <c r="G180" s="430">
        <f>LEN('Expected Auditing Outcomes'!$F180)</f>
        <v>135</v>
      </c>
      <c r="H180" s="430"/>
    </row>
    <row r="181" ht="15.75" hidden="1" customHeight="1">
      <c r="B181" s="432">
        <v>180.0</v>
      </c>
      <c r="C181" s="432">
        <f t="shared" si="1"/>
        <v>10180</v>
      </c>
      <c r="D181" s="432" t="s">
        <v>27</v>
      </c>
      <c r="E181" s="258" t="s">
        <v>344</v>
      </c>
      <c r="F181" s="463" t="s">
        <v>345</v>
      </c>
      <c r="G181" s="430">
        <f>LEN('Expected Auditing Outcomes'!$F181)</f>
        <v>88</v>
      </c>
      <c r="H181" s="431">
        <v>46000.0</v>
      </c>
    </row>
    <row r="182" ht="15.75" hidden="1" customHeight="1">
      <c r="B182" s="146">
        <v>181.0</v>
      </c>
      <c r="C182" s="146">
        <f t="shared" si="1"/>
        <v>10181</v>
      </c>
      <c r="D182" s="146" t="s">
        <v>7</v>
      </c>
      <c r="E182" s="445" t="s">
        <v>2237</v>
      </c>
      <c r="F182" s="383" t="s">
        <v>3632</v>
      </c>
      <c r="G182" s="430">
        <f>LEN('Expected Auditing Outcomes'!$F182)</f>
        <v>70</v>
      </c>
      <c r="H182" s="430"/>
    </row>
    <row r="183" ht="15.75" hidden="1" customHeight="1">
      <c r="B183" s="146">
        <v>182.0</v>
      </c>
      <c r="C183" s="146">
        <f t="shared" si="1"/>
        <v>10182</v>
      </c>
      <c r="D183" s="146" t="s">
        <v>7</v>
      </c>
      <c r="E183" s="221" t="s">
        <v>347</v>
      </c>
      <c r="F183" s="383" t="s">
        <v>348</v>
      </c>
      <c r="G183" s="430">
        <f>LEN('Expected Auditing Outcomes'!$F183)</f>
        <v>59</v>
      </c>
      <c r="H183" s="430"/>
    </row>
    <row r="184" ht="15.75" hidden="1" customHeight="1">
      <c r="B184" s="146">
        <v>183.0</v>
      </c>
      <c r="C184" s="146">
        <f t="shared" si="1"/>
        <v>10183</v>
      </c>
      <c r="D184" s="146" t="s">
        <v>7</v>
      </c>
      <c r="E184" s="447" t="s">
        <v>349</v>
      </c>
      <c r="F184" s="383" t="s">
        <v>350</v>
      </c>
      <c r="G184" s="430">
        <f>LEN('Expected Auditing Outcomes'!$F184)</f>
        <v>37</v>
      </c>
      <c r="H184" s="430"/>
    </row>
    <row r="185" ht="36.75" hidden="1" customHeight="1">
      <c r="B185" s="432">
        <v>184.0</v>
      </c>
      <c r="C185" s="432">
        <f t="shared" si="1"/>
        <v>10184</v>
      </c>
      <c r="D185" s="432" t="s">
        <v>34</v>
      </c>
      <c r="E185" s="258" t="s">
        <v>351</v>
      </c>
      <c r="F185" s="383" t="s">
        <v>3633</v>
      </c>
      <c r="G185" s="430">
        <f>LEN('Expected Auditing Outcomes'!$F185)</f>
        <v>151</v>
      </c>
      <c r="H185" s="430"/>
    </row>
    <row r="186" ht="15.75" hidden="1" customHeight="1">
      <c r="B186" s="146">
        <v>185.0</v>
      </c>
      <c r="C186" s="146">
        <f t="shared" si="1"/>
        <v>10185</v>
      </c>
      <c r="D186" s="146" t="s">
        <v>27</v>
      </c>
      <c r="E186" s="451" t="s">
        <v>351</v>
      </c>
      <c r="F186" s="383" t="s">
        <v>353</v>
      </c>
      <c r="G186" s="430">
        <f>LEN('Expected Auditing Outcomes'!$F186)</f>
        <v>131</v>
      </c>
      <c r="H186" s="430"/>
    </row>
    <row r="187" ht="15.75" hidden="1" customHeight="1">
      <c r="B187" s="146">
        <v>186.0</v>
      </c>
      <c r="C187" s="146">
        <f t="shared" si="1"/>
        <v>10186</v>
      </c>
      <c r="D187" s="146" t="s">
        <v>20</v>
      </c>
      <c r="E187" s="221" t="s">
        <v>354</v>
      </c>
      <c r="F187" s="383" t="s">
        <v>355</v>
      </c>
      <c r="G187" s="430">
        <f>LEN('Expected Auditing Outcomes'!$F187)</f>
        <v>142</v>
      </c>
      <c r="H187" s="430"/>
    </row>
    <row r="188" ht="15.75" hidden="1" customHeight="1">
      <c r="B188" s="146">
        <v>187.0</v>
      </c>
      <c r="C188" s="146">
        <f t="shared" si="1"/>
        <v>10187</v>
      </c>
      <c r="D188" s="146" t="s">
        <v>34</v>
      </c>
      <c r="E188" s="447" t="s">
        <v>356</v>
      </c>
      <c r="F188" s="383" t="s">
        <v>3634</v>
      </c>
      <c r="G188" s="430">
        <f>LEN('Expected Auditing Outcomes'!$F188)</f>
        <v>153</v>
      </c>
      <c r="H188" s="430"/>
    </row>
    <row r="189" ht="15.75" hidden="1" customHeight="1">
      <c r="B189" s="146">
        <v>188.0</v>
      </c>
      <c r="C189" s="146">
        <f t="shared" si="1"/>
        <v>10188</v>
      </c>
      <c r="D189" s="146" t="s">
        <v>7</v>
      </c>
      <c r="E189" s="221" t="s">
        <v>2252</v>
      </c>
      <c r="F189" s="221" t="s">
        <v>3635</v>
      </c>
      <c r="G189" s="430">
        <f>LEN('Expected Auditing Outcomes'!$F189)</f>
        <v>108</v>
      </c>
      <c r="H189" s="430"/>
    </row>
    <row r="190" ht="15.75" hidden="1" customHeight="1">
      <c r="B190" s="146">
        <v>189.0</v>
      </c>
      <c r="C190" s="146">
        <f t="shared" si="1"/>
        <v>10189</v>
      </c>
      <c r="D190" s="146" t="s">
        <v>20</v>
      </c>
      <c r="E190" s="447" t="s">
        <v>360</v>
      </c>
      <c r="F190" s="383" t="s">
        <v>3636</v>
      </c>
      <c r="G190" s="430">
        <f>LEN('Expected Auditing Outcomes'!$F190)</f>
        <v>168</v>
      </c>
      <c r="H190" s="430"/>
    </row>
    <row r="191" ht="15.75" hidden="1" customHeight="1">
      <c r="B191" s="146">
        <v>190.0</v>
      </c>
      <c r="C191" s="146">
        <f t="shared" si="1"/>
        <v>10190</v>
      </c>
      <c r="D191" s="146" t="s">
        <v>34</v>
      </c>
      <c r="E191" s="221" t="s">
        <v>362</v>
      </c>
      <c r="F191" s="383" t="s">
        <v>363</v>
      </c>
      <c r="G191" s="430">
        <f>LEN('Expected Auditing Outcomes'!$F191)</f>
        <v>110</v>
      </c>
      <c r="H191" s="430"/>
    </row>
    <row r="192" ht="15.75" hidden="1" customHeight="1">
      <c r="B192" s="146">
        <v>191.0</v>
      </c>
      <c r="C192" s="146">
        <f t="shared" si="1"/>
        <v>10191</v>
      </c>
      <c r="D192" s="146" t="s">
        <v>34</v>
      </c>
      <c r="E192" s="305" t="str">
        <f>VLOOKUP('Expected Auditing Outcomes'!$B192,'Master Sheet'!A193:G1051, 7, FALSE)</f>
        <v>#N/A</v>
      </c>
      <c r="F192" s="437" t="s">
        <v>3637</v>
      </c>
      <c r="G192" s="430">
        <f>LEN('Expected Auditing Outcomes'!$F192)</f>
        <v>156</v>
      </c>
      <c r="H192" s="431">
        <v>45770.0</v>
      </c>
    </row>
    <row r="193" ht="15.75" hidden="1" customHeight="1">
      <c r="B193" s="146">
        <v>192.0</v>
      </c>
      <c r="C193" s="146">
        <f t="shared" si="1"/>
        <v>10192</v>
      </c>
      <c r="D193" s="146" t="s">
        <v>34</v>
      </c>
      <c r="E193" s="305" t="str">
        <f>VLOOKUP('Expected Auditing Outcomes'!$B193,'Master Sheet'!A194:G1051, 7, FALSE)</f>
        <v>#N/A</v>
      </c>
      <c r="F193" s="383" t="s">
        <v>3638</v>
      </c>
      <c r="G193" s="430">
        <f>LEN('Expected Auditing Outcomes'!$F193)</f>
        <v>189</v>
      </c>
      <c r="H193" s="430" t="s">
        <v>331</v>
      </c>
    </row>
    <row r="194" ht="15.75" hidden="1" customHeight="1">
      <c r="B194" s="146">
        <v>193.0</v>
      </c>
      <c r="C194" s="146">
        <f t="shared" si="1"/>
        <v>10193</v>
      </c>
      <c r="D194" s="146" t="s">
        <v>34</v>
      </c>
      <c r="E194" s="305" t="str">
        <f>VLOOKUP('Expected Auditing Outcomes'!$B194,'Master Sheet'!A195:G1051, 7, FALSE)</f>
        <v>#N/A</v>
      </c>
      <c r="F194" s="437" t="s">
        <v>3639</v>
      </c>
      <c r="G194" s="430">
        <f>LEN('Expected Auditing Outcomes'!$F194)</f>
        <v>190</v>
      </c>
      <c r="H194" s="430" t="s">
        <v>331</v>
      </c>
    </row>
    <row r="195" ht="15.75" hidden="1" customHeight="1">
      <c r="B195" s="146">
        <v>194.0</v>
      </c>
      <c r="C195" s="146">
        <f t="shared" si="1"/>
        <v>10194</v>
      </c>
      <c r="D195" s="146" t="s">
        <v>7</v>
      </c>
      <c r="E195" s="305" t="str">
        <f>VLOOKUP('Expected Auditing Outcomes'!$B195,'Master Sheet'!A196:G1051, 7, FALSE)</f>
        <v>#N/A</v>
      </c>
      <c r="F195" s="383" t="s">
        <v>3640</v>
      </c>
      <c r="G195" s="430">
        <f>LEN('Expected Auditing Outcomes'!$F195)</f>
        <v>68</v>
      </c>
      <c r="H195" s="430"/>
    </row>
    <row r="196" ht="15.75" hidden="1" customHeight="1">
      <c r="B196" s="146">
        <v>195.0</v>
      </c>
      <c r="C196" s="146">
        <f t="shared" si="1"/>
        <v>10195</v>
      </c>
      <c r="D196" s="146" t="s">
        <v>7</v>
      </c>
      <c r="E196" s="305" t="str">
        <f>VLOOKUP('Expected Auditing Outcomes'!$B196,'Master Sheet'!A197:G1051, 7, FALSE)</f>
        <v>#N/A</v>
      </c>
      <c r="F196" s="383" t="s">
        <v>372</v>
      </c>
      <c r="G196" s="430">
        <f>LEN('Expected Auditing Outcomes'!$F196)</f>
        <v>70</v>
      </c>
      <c r="H196" s="430"/>
    </row>
    <row r="197" ht="15.75" hidden="1" customHeight="1">
      <c r="B197" s="146">
        <v>196.0</v>
      </c>
      <c r="C197" s="146">
        <f t="shared" si="1"/>
        <v>10196</v>
      </c>
      <c r="D197" s="146" t="s">
        <v>20</v>
      </c>
      <c r="E197" s="305" t="str">
        <f>VLOOKUP('Expected Auditing Outcomes'!$B197,'Master Sheet'!A198:G1051, 7, FALSE)</f>
        <v>#N/A</v>
      </c>
      <c r="F197" s="383" t="s">
        <v>374</v>
      </c>
      <c r="G197" s="430">
        <f>LEN('Expected Auditing Outcomes'!$F197)</f>
        <v>143</v>
      </c>
      <c r="H197" s="430"/>
    </row>
    <row r="198" ht="15.75" hidden="1" customHeight="1">
      <c r="B198" s="146">
        <v>197.0</v>
      </c>
      <c r="C198" s="146">
        <f t="shared" si="1"/>
        <v>10197</v>
      </c>
      <c r="D198" s="146" t="s">
        <v>34</v>
      </c>
      <c r="E198" s="305" t="str">
        <f>VLOOKUP('Expected Auditing Outcomes'!$B198,'Master Sheet'!A199:G1051, 7, FALSE)</f>
        <v>#N/A</v>
      </c>
      <c r="F198" s="437" t="s">
        <v>3641</v>
      </c>
      <c r="G198" s="430">
        <f>LEN('Expected Auditing Outcomes'!$F198)</f>
        <v>195</v>
      </c>
      <c r="H198" s="430" t="s">
        <v>331</v>
      </c>
    </row>
    <row r="199" ht="15.75" hidden="1" customHeight="1">
      <c r="B199" s="146">
        <v>198.0</v>
      </c>
      <c r="C199" s="146">
        <f t="shared" si="1"/>
        <v>10198</v>
      </c>
      <c r="D199" s="146" t="s">
        <v>7</v>
      </c>
      <c r="E199" s="305" t="str">
        <f>VLOOKUP('Expected Auditing Outcomes'!$B199,'Master Sheet'!A200:G1051, 7, FALSE)</f>
        <v>#N/A</v>
      </c>
      <c r="F199" s="383" t="s">
        <v>378</v>
      </c>
      <c r="G199" s="430">
        <f>LEN('Expected Auditing Outcomes'!$F199)</f>
        <v>49</v>
      </c>
      <c r="H199" s="430"/>
    </row>
    <row r="200" ht="15.75" hidden="1" customHeight="1">
      <c r="B200" s="146">
        <v>199.0</v>
      </c>
      <c r="C200" s="146">
        <f t="shared" si="1"/>
        <v>10199</v>
      </c>
      <c r="D200" s="146" t="s">
        <v>20</v>
      </c>
      <c r="E200" s="305" t="str">
        <f>VLOOKUP('Expected Auditing Outcomes'!$B200,'Master Sheet'!A201:G1051, 7, FALSE)</f>
        <v>#N/A</v>
      </c>
      <c r="F200" s="383" t="s">
        <v>380</v>
      </c>
      <c r="G200" s="430">
        <f>LEN('Expected Auditing Outcomes'!$F200)</f>
        <v>70</v>
      </c>
      <c r="H200" s="430"/>
    </row>
    <row r="201" ht="15.75" hidden="1" customHeight="1">
      <c r="B201" s="146">
        <v>200.0</v>
      </c>
      <c r="C201" s="146">
        <f t="shared" si="1"/>
        <v>10200</v>
      </c>
      <c r="D201" s="146" t="s">
        <v>34</v>
      </c>
      <c r="E201" s="305" t="str">
        <f>VLOOKUP('Expected Auditing Outcomes'!$B201,'Master Sheet'!A202:G1051, 7, FALSE)</f>
        <v>#N/A</v>
      </c>
      <c r="F201" s="383" t="s">
        <v>382</v>
      </c>
      <c r="G201" s="430">
        <f>LEN('Expected Auditing Outcomes'!$F201)</f>
        <v>130</v>
      </c>
      <c r="H201" s="430"/>
    </row>
    <row r="202" ht="15.75" hidden="1" customHeight="1">
      <c r="B202" s="432">
        <v>201.0</v>
      </c>
      <c r="C202" s="432">
        <f t="shared" si="1"/>
        <v>10201</v>
      </c>
      <c r="D202" s="432" t="s">
        <v>34</v>
      </c>
      <c r="E202" s="305" t="str">
        <f>VLOOKUP('Expected Auditing Outcomes'!$B202,'Master Sheet'!A203:G1051, 7, FALSE)</f>
        <v>#N/A</v>
      </c>
      <c r="F202" s="383"/>
      <c r="G202" s="430">
        <f>LEN('Expected Auditing Outcomes'!$F202)</f>
        <v>0</v>
      </c>
      <c r="H202" s="430"/>
    </row>
    <row r="203" ht="15.75" hidden="1" customHeight="1">
      <c r="B203" s="146">
        <v>202.0</v>
      </c>
      <c r="C203" s="146">
        <f t="shared" si="1"/>
        <v>10202</v>
      </c>
      <c r="D203" s="146" t="s">
        <v>20</v>
      </c>
      <c r="E203" s="305" t="str">
        <f>VLOOKUP('Expected Auditing Outcomes'!$B203,'Master Sheet'!A204:G1051, 7, FALSE)</f>
        <v>#N/A</v>
      </c>
      <c r="F203" s="383" t="s">
        <v>385</v>
      </c>
      <c r="G203" s="430">
        <f>LEN('Expected Auditing Outcomes'!$F203)</f>
        <v>120</v>
      </c>
      <c r="H203" s="430"/>
    </row>
    <row r="204" ht="15.75" hidden="1" customHeight="1">
      <c r="B204" s="146">
        <v>203.0</v>
      </c>
      <c r="C204" s="146">
        <f t="shared" si="1"/>
        <v>10203</v>
      </c>
      <c r="D204" s="146" t="s">
        <v>34</v>
      </c>
      <c r="E204" s="305" t="str">
        <f>VLOOKUP('Expected Auditing Outcomes'!$B204,'Master Sheet'!A205:G1051, 7, FALSE)</f>
        <v>#N/A</v>
      </c>
      <c r="F204" s="437" t="s">
        <v>3642</v>
      </c>
      <c r="G204" s="430">
        <f>LEN('Expected Auditing Outcomes'!$F204)</f>
        <v>185</v>
      </c>
      <c r="H204" s="430" t="s">
        <v>331</v>
      </c>
    </row>
    <row r="205" ht="15.75" hidden="1" customHeight="1">
      <c r="B205" s="146">
        <v>204.0</v>
      </c>
      <c r="C205" s="146">
        <f t="shared" si="1"/>
        <v>10204</v>
      </c>
      <c r="D205" s="146" t="s">
        <v>20</v>
      </c>
      <c r="E205" s="305" t="str">
        <f>VLOOKUP('Expected Auditing Outcomes'!$B205,'Master Sheet'!A206:G1051, 7, FALSE)</f>
        <v>#N/A</v>
      </c>
      <c r="F205" s="437" t="s">
        <v>389</v>
      </c>
      <c r="G205" s="430">
        <f>LEN('Expected Auditing Outcomes'!$F205)</f>
        <v>180</v>
      </c>
      <c r="H205" s="431">
        <v>45772.0</v>
      </c>
    </row>
    <row r="206" ht="15.75" hidden="1" customHeight="1">
      <c r="B206" s="432">
        <v>205.0</v>
      </c>
      <c r="C206" s="432">
        <f t="shared" si="1"/>
        <v>10205</v>
      </c>
      <c r="D206" s="432" t="s">
        <v>34</v>
      </c>
      <c r="E206" s="305" t="str">
        <f>VLOOKUP('Expected Auditing Outcomes'!$B206,'Master Sheet'!A207:G1051, 7, FALSE)</f>
        <v>#N/A</v>
      </c>
      <c r="F206" s="383"/>
      <c r="G206" s="430">
        <f>LEN('Expected Auditing Outcomes'!$F206)</f>
        <v>0</v>
      </c>
      <c r="H206" s="430"/>
    </row>
    <row r="207" ht="15.75" hidden="1" customHeight="1">
      <c r="B207" s="146">
        <v>206.0</v>
      </c>
      <c r="C207" s="146">
        <f t="shared" si="1"/>
        <v>10206</v>
      </c>
      <c r="D207" s="146" t="s">
        <v>34</v>
      </c>
      <c r="E207" s="305" t="str">
        <f>VLOOKUP('Expected Auditing Outcomes'!$B207,'Master Sheet'!A208:G1051, 7, FALSE)</f>
        <v>#N/A</v>
      </c>
      <c r="F207" s="383" t="s">
        <v>391</v>
      </c>
      <c r="G207" s="430">
        <f>LEN('Expected Auditing Outcomes'!$F207)</f>
        <v>84</v>
      </c>
      <c r="H207" s="430"/>
    </row>
    <row r="208" ht="15.75" hidden="1" customHeight="1">
      <c r="B208" s="146">
        <v>207.0</v>
      </c>
      <c r="C208" s="146">
        <f t="shared" si="1"/>
        <v>10207</v>
      </c>
      <c r="D208" s="146" t="s">
        <v>34</v>
      </c>
      <c r="E208" s="305" t="str">
        <f>VLOOKUP('Expected Auditing Outcomes'!$B208,'Master Sheet'!A209:G1051, 7, FALSE)</f>
        <v>#N/A</v>
      </c>
      <c r="F208" s="383" t="s">
        <v>393</v>
      </c>
      <c r="G208" s="430">
        <f>LEN('Expected Auditing Outcomes'!$F208)</f>
        <v>94</v>
      </c>
      <c r="H208" s="430"/>
    </row>
    <row r="209" ht="15.75" hidden="1" customHeight="1">
      <c r="B209" s="146">
        <v>208.0</v>
      </c>
      <c r="C209" s="146">
        <f t="shared" si="1"/>
        <v>10208</v>
      </c>
      <c r="D209" s="146" t="s">
        <v>34</v>
      </c>
      <c r="E209" s="305" t="str">
        <f>VLOOKUP('Expected Auditing Outcomes'!$B209,'Master Sheet'!A210:G1051, 7, FALSE)</f>
        <v>#N/A</v>
      </c>
      <c r="F209" s="437" t="s">
        <v>395</v>
      </c>
      <c r="G209" s="430">
        <f>LEN('Expected Auditing Outcomes'!$F209)</f>
        <v>159</v>
      </c>
      <c r="H209" s="431">
        <v>45770.0</v>
      </c>
    </row>
    <row r="210" ht="15.75" hidden="1" customHeight="1">
      <c r="B210" s="146">
        <v>209.0</v>
      </c>
      <c r="C210" s="146">
        <f t="shared" si="1"/>
        <v>10209</v>
      </c>
      <c r="D210" s="146" t="s">
        <v>34</v>
      </c>
      <c r="E210" s="305" t="str">
        <f>VLOOKUP('Expected Auditing Outcomes'!$B210,'Master Sheet'!A211:G1051, 7, FALSE)</f>
        <v>#N/A</v>
      </c>
      <c r="F210" s="437" t="s">
        <v>397</v>
      </c>
      <c r="G210" s="430">
        <f>LEN('Expected Auditing Outcomes'!$F210)</f>
        <v>201</v>
      </c>
      <c r="H210" s="430" t="s">
        <v>331</v>
      </c>
    </row>
    <row r="211" ht="15.75" hidden="1" customHeight="1">
      <c r="B211" s="146">
        <v>210.0</v>
      </c>
      <c r="C211" s="146">
        <f t="shared" si="1"/>
        <v>10210</v>
      </c>
      <c r="D211" s="146" t="s">
        <v>34</v>
      </c>
      <c r="E211" s="305" t="str">
        <f>VLOOKUP('Expected Auditing Outcomes'!$B211,'Master Sheet'!A212:G1051, 7, FALSE)</f>
        <v>#N/A</v>
      </c>
      <c r="F211" s="383" t="s">
        <v>382</v>
      </c>
      <c r="G211" s="430">
        <f>LEN('Expected Auditing Outcomes'!$F211)</f>
        <v>130</v>
      </c>
      <c r="H211" s="430"/>
    </row>
    <row r="212" ht="15.75" hidden="1" customHeight="1">
      <c r="B212" s="432">
        <v>211.0</v>
      </c>
      <c r="C212" s="432">
        <f t="shared" si="1"/>
        <v>10211</v>
      </c>
      <c r="D212" s="432" t="s">
        <v>34</v>
      </c>
      <c r="E212" s="305" t="str">
        <f>VLOOKUP('Expected Auditing Outcomes'!$B212,'Master Sheet'!A213:G1051, 7, FALSE)</f>
        <v>#N/A</v>
      </c>
      <c r="F212" s="383"/>
      <c r="G212" s="430">
        <f>LEN('Expected Auditing Outcomes'!$F212)</f>
        <v>0</v>
      </c>
      <c r="H212" s="430"/>
    </row>
    <row r="213" ht="15.75" hidden="1" customHeight="1">
      <c r="B213" s="146">
        <v>212.0</v>
      </c>
      <c r="C213" s="146">
        <f t="shared" si="1"/>
        <v>10212</v>
      </c>
      <c r="D213" s="146" t="s">
        <v>7</v>
      </c>
      <c r="E213" s="305" t="str">
        <f>VLOOKUP('Expected Auditing Outcomes'!$B213,'Master Sheet'!A214:G1051, 7, FALSE)</f>
        <v>#N/A</v>
      </c>
      <c r="F213" s="383" t="s">
        <v>401</v>
      </c>
      <c r="G213" s="430">
        <f>LEN('Expected Auditing Outcomes'!$F213)</f>
        <v>40</v>
      </c>
      <c r="H213" s="430"/>
    </row>
    <row r="214" ht="15.75" hidden="1" customHeight="1">
      <c r="B214" s="146">
        <v>213.0</v>
      </c>
      <c r="C214" s="146">
        <f t="shared" si="1"/>
        <v>10213</v>
      </c>
      <c r="D214" s="146" t="s">
        <v>7</v>
      </c>
      <c r="E214" s="305" t="str">
        <f>VLOOKUP('Expected Auditing Outcomes'!$B214,'Master Sheet'!A215:G1051, 7, FALSE)</f>
        <v>#N/A</v>
      </c>
      <c r="F214" s="383" t="s">
        <v>3643</v>
      </c>
      <c r="G214" s="430">
        <f>LEN('Expected Auditing Outcomes'!$F214)</f>
        <v>59</v>
      </c>
      <c r="H214" s="430"/>
    </row>
    <row r="215" ht="15.75" hidden="1" customHeight="1">
      <c r="B215" s="146">
        <v>214.0</v>
      </c>
      <c r="C215" s="146">
        <f t="shared" si="1"/>
        <v>10214</v>
      </c>
      <c r="D215" s="146" t="s">
        <v>34</v>
      </c>
      <c r="E215" s="305" t="str">
        <f>VLOOKUP('Expected Auditing Outcomes'!$B215,'Master Sheet'!A216:G1051, 7, FALSE)</f>
        <v>#N/A</v>
      </c>
      <c r="F215" s="383" t="s">
        <v>405</v>
      </c>
      <c r="G215" s="430">
        <f>LEN('Expected Auditing Outcomes'!$F215)</f>
        <v>159</v>
      </c>
      <c r="H215" s="430"/>
    </row>
    <row r="216" ht="15.75" hidden="1" customHeight="1">
      <c r="B216" s="146">
        <v>215.0</v>
      </c>
      <c r="C216" s="146">
        <f t="shared" si="1"/>
        <v>10215</v>
      </c>
      <c r="D216" s="146" t="s">
        <v>7</v>
      </c>
      <c r="E216" s="305" t="str">
        <f>VLOOKUP('Expected Auditing Outcomes'!$B216,'Master Sheet'!A217:G1051, 7, FALSE)</f>
        <v>#N/A</v>
      </c>
      <c r="F216" s="383" t="s">
        <v>3644</v>
      </c>
      <c r="G216" s="430">
        <f>LEN('Expected Auditing Outcomes'!$F216)</f>
        <v>69</v>
      </c>
      <c r="H216" s="430"/>
    </row>
    <row r="217" ht="15.75" hidden="1" customHeight="1">
      <c r="B217" s="146">
        <v>216.0</v>
      </c>
      <c r="C217" s="146">
        <f t="shared" si="1"/>
        <v>10216</v>
      </c>
      <c r="D217" s="146" t="s">
        <v>7</v>
      </c>
      <c r="E217" s="305" t="str">
        <f>VLOOKUP('Expected Auditing Outcomes'!$B217,'Master Sheet'!A218:G1051, 7, FALSE)</f>
        <v>#N/A</v>
      </c>
      <c r="F217" s="383" t="s">
        <v>408</v>
      </c>
      <c r="G217" s="430">
        <f>LEN('Expected Auditing Outcomes'!$F217)</f>
        <v>43</v>
      </c>
      <c r="H217" s="430"/>
    </row>
    <row r="218" ht="15.75" hidden="1" customHeight="1">
      <c r="B218" s="146">
        <v>217.0</v>
      </c>
      <c r="C218" s="146">
        <f t="shared" si="1"/>
        <v>10217</v>
      </c>
      <c r="D218" s="146" t="s">
        <v>34</v>
      </c>
      <c r="E218" s="305" t="str">
        <f>VLOOKUP('Expected Auditing Outcomes'!$B218,'Master Sheet'!A219:G1051, 7, FALSE)</f>
        <v>#N/A</v>
      </c>
      <c r="F218" s="383" t="s">
        <v>410</v>
      </c>
      <c r="G218" s="430">
        <f>LEN('Expected Auditing Outcomes'!$F218)</f>
        <v>161</v>
      </c>
      <c r="H218" s="430"/>
    </row>
    <row r="219" ht="15.75" hidden="1" customHeight="1">
      <c r="B219" s="146">
        <v>218.0</v>
      </c>
      <c r="C219" s="146">
        <f t="shared" si="1"/>
        <v>10218</v>
      </c>
      <c r="D219" s="146" t="s">
        <v>20</v>
      </c>
      <c r="E219" s="305" t="str">
        <f>VLOOKUP('Expected Auditing Outcomes'!$B219,'Master Sheet'!A220:G1051, 7, FALSE)</f>
        <v>#N/A</v>
      </c>
      <c r="F219" s="383" t="s">
        <v>411</v>
      </c>
      <c r="G219" s="430">
        <f>LEN('Expected Auditing Outcomes'!$F219)</f>
        <v>75</v>
      </c>
      <c r="H219" s="430"/>
    </row>
    <row r="220" ht="15.75" hidden="1" customHeight="1">
      <c r="B220" s="146">
        <v>219.0</v>
      </c>
      <c r="C220" s="146">
        <f t="shared" si="1"/>
        <v>10219</v>
      </c>
      <c r="D220" s="146" t="s">
        <v>7</v>
      </c>
      <c r="E220" s="305" t="str">
        <f>VLOOKUP('Expected Auditing Outcomes'!$B220,'Master Sheet'!A221:G1051, 7, FALSE)</f>
        <v>#N/A</v>
      </c>
      <c r="F220" s="383" t="s">
        <v>413</v>
      </c>
      <c r="G220" s="430">
        <f>LEN('Expected Auditing Outcomes'!$F220)</f>
        <v>71</v>
      </c>
      <c r="H220" s="430"/>
    </row>
    <row r="221" ht="15.75" hidden="1" customHeight="1">
      <c r="B221" s="146">
        <v>220.0</v>
      </c>
      <c r="C221" s="146">
        <f t="shared" si="1"/>
        <v>10220</v>
      </c>
      <c r="D221" s="146" t="s">
        <v>7</v>
      </c>
      <c r="E221" s="305" t="str">
        <f>VLOOKUP('Expected Auditing Outcomes'!$B221,'Master Sheet'!A222:G1051, 7, FALSE)</f>
        <v>#N/A</v>
      </c>
      <c r="F221" s="383" t="s">
        <v>415</v>
      </c>
      <c r="G221" s="430">
        <f>LEN('Expected Auditing Outcomes'!$F221)</f>
        <v>97</v>
      </c>
      <c r="H221" s="430"/>
    </row>
    <row r="222" ht="15.75" hidden="1" customHeight="1">
      <c r="B222" s="146">
        <v>221.0</v>
      </c>
      <c r="C222" s="146">
        <f t="shared" si="1"/>
        <v>10221</v>
      </c>
      <c r="D222" s="146" t="s">
        <v>34</v>
      </c>
      <c r="E222" s="305" t="str">
        <f>VLOOKUP('Expected Auditing Outcomes'!$B222,'Master Sheet'!A223:G1051, 7, FALSE)</f>
        <v>#N/A</v>
      </c>
      <c r="F222" s="437" t="s">
        <v>417</v>
      </c>
      <c r="G222" s="430">
        <f>LEN('Expected Auditing Outcomes'!$F222)</f>
        <v>181</v>
      </c>
      <c r="H222" s="431">
        <v>45770.0</v>
      </c>
    </row>
    <row r="223" ht="15.75" hidden="1" customHeight="1">
      <c r="B223" s="146">
        <v>222.0</v>
      </c>
      <c r="C223" s="146">
        <f t="shared" si="1"/>
        <v>10222</v>
      </c>
      <c r="D223" s="146" t="s">
        <v>34</v>
      </c>
      <c r="E223" s="305" t="str">
        <f>VLOOKUP('Expected Auditing Outcomes'!$B223,'Master Sheet'!A224:G1051, 7, FALSE)</f>
        <v>#N/A</v>
      </c>
      <c r="F223" s="383" t="s">
        <v>3645</v>
      </c>
      <c r="G223" s="430">
        <f>LEN('Expected Auditing Outcomes'!$F223)</f>
        <v>157</v>
      </c>
      <c r="H223" s="430"/>
    </row>
    <row r="224" ht="15.75" hidden="1" customHeight="1">
      <c r="B224" s="146">
        <v>223.0</v>
      </c>
      <c r="C224" s="146">
        <f t="shared" si="1"/>
        <v>10223</v>
      </c>
      <c r="D224" s="146" t="s">
        <v>20</v>
      </c>
      <c r="E224" s="305" t="str">
        <f>VLOOKUP('Expected Auditing Outcomes'!$B224,'Master Sheet'!A225:G1051, 7, FALSE)</f>
        <v>#N/A</v>
      </c>
      <c r="F224" s="383" t="s">
        <v>421</v>
      </c>
      <c r="G224" s="430">
        <f>LEN('Expected Auditing Outcomes'!$F224)</f>
        <v>137</v>
      </c>
      <c r="H224" s="430"/>
    </row>
    <row r="225" ht="15.75" hidden="1" customHeight="1">
      <c r="B225" s="146">
        <v>224.0</v>
      </c>
      <c r="C225" s="146">
        <f t="shared" si="1"/>
        <v>10224</v>
      </c>
      <c r="D225" s="146" t="s">
        <v>20</v>
      </c>
      <c r="E225" s="305" t="str">
        <f>VLOOKUP('Expected Auditing Outcomes'!$B225,'Master Sheet'!A226:G1051, 7, FALSE)</f>
        <v>#N/A</v>
      </c>
      <c r="F225" s="383" t="s">
        <v>423</v>
      </c>
      <c r="G225" s="430">
        <f>LEN('Expected Auditing Outcomes'!$F225)</f>
        <v>87</v>
      </c>
      <c r="H225" s="430"/>
    </row>
    <row r="226" ht="15.75" hidden="1" customHeight="1">
      <c r="B226" s="432">
        <v>225.0</v>
      </c>
      <c r="C226" s="432">
        <f t="shared" si="1"/>
        <v>10225</v>
      </c>
      <c r="D226" s="432" t="s">
        <v>34</v>
      </c>
      <c r="E226" s="464" t="s">
        <v>424</v>
      </c>
      <c r="F226" s="383"/>
      <c r="G226" s="430">
        <f>LEN('Expected Auditing Outcomes'!$F226)</f>
        <v>0</v>
      </c>
      <c r="H226" s="430"/>
    </row>
    <row r="227" ht="15.75" hidden="1" customHeight="1">
      <c r="B227" s="146">
        <v>226.0</v>
      </c>
      <c r="C227" s="146">
        <f t="shared" si="1"/>
        <v>10226</v>
      </c>
      <c r="D227" s="146" t="s">
        <v>7</v>
      </c>
      <c r="E227" s="305" t="str">
        <f>VLOOKUP('Expected Auditing Outcomes'!$B227,'Master Sheet'!A228:G1051, 7, FALSE)</f>
        <v>#N/A</v>
      </c>
      <c r="F227" s="383" t="s">
        <v>38</v>
      </c>
      <c r="G227" s="430">
        <f>LEN('Expected Auditing Outcomes'!$F227)</f>
        <v>33</v>
      </c>
      <c r="H227" s="430"/>
    </row>
    <row r="228" ht="15.75" hidden="1" customHeight="1">
      <c r="B228" s="146">
        <v>227.0</v>
      </c>
      <c r="C228" s="146">
        <f t="shared" si="1"/>
        <v>10227</v>
      </c>
      <c r="D228" s="146" t="s">
        <v>34</v>
      </c>
      <c r="E228" s="305" t="str">
        <f>VLOOKUP('Expected Auditing Outcomes'!$B228,'Master Sheet'!A229:G1051, 7, FALSE)</f>
        <v>#N/A</v>
      </c>
      <c r="F228" s="383" t="s">
        <v>426</v>
      </c>
      <c r="G228" s="430">
        <f>LEN('Expected Auditing Outcomes'!$F228)</f>
        <v>162</v>
      </c>
      <c r="H228" s="430"/>
    </row>
    <row r="229" ht="15.75" hidden="1" customHeight="1">
      <c r="B229" s="432">
        <v>228.0</v>
      </c>
      <c r="C229" s="432">
        <f t="shared" si="1"/>
        <v>10228</v>
      </c>
      <c r="D229" s="432" t="s">
        <v>34</v>
      </c>
      <c r="E229" s="305" t="str">
        <f>VLOOKUP('Expected Auditing Outcomes'!$B229,'Master Sheet'!A230:G1051, 7, FALSE)</f>
        <v>#N/A</v>
      </c>
      <c r="F229" s="383"/>
      <c r="G229" s="430">
        <f>LEN('Expected Auditing Outcomes'!$F229)</f>
        <v>0</v>
      </c>
      <c r="H229" s="430"/>
    </row>
    <row r="230" ht="15.75" hidden="1" customHeight="1">
      <c r="B230" s="146">
        <v>229.0</v>
      </c>
      <c r="C230" s="146">
        <f t="shared" si="1"/>
        <v>10229</v>
      </c>
      <c r="D230" s="146" t="s">
        <v>20</v>
      </c>
      <c r="E230" s="305" t="str">
        <f>VLOOKUP('Expected Auditing Outcomes'!$B230,'Master Sheet'!A231:G1051, 7, FALSE)</f>
        <v>#N/A</v>
      </c>
      <c r="F230" s="383" t="s">
        <v>428</v>
      </c>
      <c r="G230" s="430">
        <f>LEN('Expected Auditing Outcomes'!$F230)</f>
        <v>168</v>
      </c>
      <c r="H230" s="430"/>
    </row>
    <row r="231" ht="15.75" hidden="1" customHeight="1">
      <c r="B231" s="146">
        <v>230.0</v>
      </c>
      <c r="C231" s="146">
        <f t="shared" si="1"/>
        <v>10230</v>
      </c>
      <c r="D231" s="146" t="s">
        <v>7</v>
      </c>
      <c r="E231" s="305" t="str">
        <f>VLOOKUP('Expected Auditing Outcomes'!$B231,'Master Sheet'!A232:G1051, 7, FALSE)</f>
        <v>#N/A</v>
      </c>
      <c r="F231" s="383" t="s">
        <v>430</v>
      </c>
      <c r="G231" s="430">
        <f>LEN('Expected Auditing Outcomes'!$F231)</f>
        <v>63</v>
      </c>
      <c r="H231" s="430"/>
    </row>
    <row r="232" ht="15.75" hidden="1" customHeight="1">
      <c r="B232" s="146">
        <v>231.0</v>
      </c>
      <c r="C232" s="146">
        <f t="shared" si="1"/>
        <v>10231</v>
      </c>
      <c r="D232" s="146" t="s">
        <v>34</v>
      </c>
      <c r="E232" s="305" t="str">
        <f>VLOOKUP('Expected Auditing Outcomes'!$B232,'Master Sheet'!A233:G1051, 7, FALSE)</f>
        <v>#N/A</v>
      </c>
      <c r="F232" s="437" t="s">
        <v>432</v>
      </c>
      <c r="G232" s="430">
        <f>LEN('Expected Auditing Outcomes'!$F232)</f>
        <v>184</v>
      </c>
      <c r="H232" s="431">
        <v>45770.0</v>
      </c>
    </row>
    <row r="233" ht="15.75" hidden="1" customHeight="1">
      <c r="B233" s="146">
        <v>232.0</v>
      </c>
      <c r="C233" s="146">
        <f t="shared" si="1"/>
        <v>10232</v>
      </c>
      <c r="D233" s="146" t="s">
        <v>34</v>
      </c>
      <c r="E233" s="305" t="str">
        <f>VLOOKUP('Expected Auditing Outcomes'!$B233,'Master Sheet'!A234:G1051, 7, FALSE)</f>
        <v>#N/A</v>
      </c>
      <c r="F233" s="383" t="s">
        <v>434</v>
      </c>
      <c r="G233" s="430">
        <f>LEN('Expected Auditing Outcomes'!$F233)</f>
        <v>89</v>
      </c>
      <c r="H233" s="430"/>
    </row>
    <row r="234" ht="15.75" hidden="1" customHeight="1">
      <c r="B234" s="146">
        <v>233.0</v>
      </c>
      <c r="C234" s="146">
        <f t="shared" si="1"/>
        <v>10233</v>
      </c>
      <c r="D234" s="146" t="s">
        <v>34</v>
      </c>
      <c r="E234" s="305" t="str">
        <f>VLOOKUP('Expected Auditing Outcomes'!$B234,'Master Sheet'!A235:G1051, 7, FALSE)</f>
        <v>#N/A</v>
      </c>
      <c r="F234" s="383" t="s">
        <v>436</v>
      </c>
      <c r="G234" s="430">
        <f>LEN('Expected Auditing Outcomes'!$F234)</f>
        <v>157</v>
      </c>
      <c r="H234" s="430"/>
    </row>
    <row r="235" ht="15.75" hidden="1" customHeight="1">
      <c r="B235" s="432">
        <v>234.0</v>
      </c>
      <c r="C235" s="432">
        <f t="shared" si="1"/>
        <v>10234</v>
      </c>
      <c r="D235" s="432" t="s">
        <v>34</v>
      </c>
      <c r="E235" s="305" t="str">
        <f>VLOOKUP('Expected Auditing Outcomes'!$B235,'Master Sheet'!A236:G1051, 7, FALSE)</f>
        <v>#N/A</v>
      </c>
      <c r="F235" s="383" t="s">
        <v>438</v>
      </c>
      <c r="G235" s="430">
        <f>LEN('Expected Auditing Outcomes'!$F235)</f>
        <v>143</v>
      </c>
      <c r="H235" s="430"/>
    </row>
    <row r="236" ht="15.75" hidden="1" customHeight="1">
      <c r="B236" s="146">
        <v>235.0</v>
      </c>
      <c r="C236" s="146">
        <f t="shared" si="1"/>
        <v>10235</v>
      </c>
      <c r="D236" s="146" t="s">
        <v>20</v>
      </c>
      <c r="E236" s="305" t="str">
        <f>VLOOKUP('Expected Auditing Outcomes'!$B236,'Master Sheet'!A237:G1051, 7, FALSE)</f>
        <v>#N/A</v>
      </c>
      <c r="F236" s="383" t="s">
        <v>440</v>
      </c>
      <c r="G236" s="430">
        <f>LEN('Expected Auditing Outcomes'!$F236)</f>
        <v>96</v>
      </c>
      <c r="H236" s="430"/>
    </row>
    <row r="237" ht="15.75" hidden="1" customHeight="1">
      <c r="B237" s="146">
        <v>236.0</v>
      </c>
      <c r="C237" s="146">
        <f t="shared" si="1"/>
        <v>10236</v>
      </c>
      <c r="D237" s="146" t="s">
        <v>34</v>
      </c>
      <c r="E237" s="305" t="str">
        <f>VLOOKUP('Expected Auditing Outcomes'!$B237,'Master Sheet'!A238:G1051, 7, FALSE)</f>
        <v>#N/A</v>
      </c>
      <c r="F237" s="383" t="s">
        <v>3646</v>
      </c>
      <c r="G237" s="430">
        <f>LEN('Expected Auditing Outcomes'!$F237)</f>
        <v>200</v>
      </c>
      <c r="H237" s="430" t="s">
        <v>331</v>
      </c>
    </row>
    <row r="238" ht="15.75" hidden="1" customHeight="1">
      <c r="B238" s="146">
        <v>237.0</v>
      </c>
      <c r="C238" s="146">
        <f t="shared" si="1"/>
        <v>10237</v>
      </c>
      <c r="D238" s="146" t="s">
        <v>34</v>
      </c>
      <c r="E238" s="305" t="str">
        <f>VLOOKUP('Expected Auditing Outcomes'!$B238,'Master Sheet'!A239:G1051, 7, FALSE)</f>
        <v>#N/A</v>
      </c>
      <c r="F238" s="383" t="s">
        <v>3647</v>
      </c>
      <c r="G238" s="430">
        <f>LEN('Expected Auditing Outcomes'!$F238)</f>
        <v>175</v>
      </c>
      <c r="H238" s="431">
        <v>45770.0</v>
      </c>
    </row>
    <row r="239" ht="15.75" hidden="1" customHeight="1">
      <c r="B239" s="146">
        <v>238.0</v>
      </c>
      <c r="C239" s="146">
        <f t="shared" si="1"/>
        <v>10238</v>
      </c>
      <c r="D239" s="146" t="s">
        <v>34</v>
      </c>
      <c r="E239" s="305" t="str">
        <f>VLOOKUP('Expected Auditing Outcomes'!$B239,'Master Sheet'!A240:G1051, 7, FALSE)</f>
        <v>#N/A</v>
      </c>
      <c r="F239" s="383" t="s">
        <v>446</v>
      </c>
      <c r="G239" s="430">
        <f>LEN('Expected Auditing Outcomes'!$F239)</f>
        <v>160</v>
      </c>
      <c r="H239" s="430"/>
    </row>
    <row r="240" ht="15.75" hidden="1" customHeight="1">
      <c r="B240" s="146">
        <v>239.0</v>
      </c>
      <c r="C240" s="146">
        <f t="shared" si="1"/>
        <v>10239</v>
      </c>
      <c r="D240" s="146" t="s">
        <v>7</v>
      </c>
      <c r="E240" s="305" t="str">
        <f>VLOOKUP('Expected Auditing Outcomes'!$B240,'Master Sheet'!A241:G1051, 7, FALSE)</f>
        <v>#N/A</v>
      </c>
      <c r="F240" s="383" t="s">
        <v>13</v>
      </c>
      <c r="G240" s="430">
        <f>LEN('Expected Auditing Outcomes'!$F240)</f>
        <v>46</v>
      </c>
      <c r="H240" s="430"/>
    </row>
    <row r="241" ht="15.75" hidden="1" customHeight="1">
      <c r="B241" s="146">
        <v>240.0</v>
      </c>
      <c r="C241" s="146">
        <f t="shared" si="1"/>
        <v>10240</v>
      </c>
      <c r="D241" s="146" t="s">
        <v>20</v>
      </c>
      <c r="E241" s="305" t="str">
        <f>VLOOKUP('Expected Auditing Outcomes'!$B241,'Master Sheet'!A242:G1051, 7, FALSE)</f>
        <v>#N/A</v>
      </c>
      <c r="F241" s="383" t="s">
        <v>449</v>
      </c>
      <c r="G241" s="430">
        <f>LEN('Expected Auditing Outcomes'!$F241)</f>
        <v>146</v>
      </c>
      <c r="H241" s="430"/>
    </row>
    <row r="242" ht="15.75" hidden="1" customHeight="1">
      <c r="B242" s="146">
        <v>241.0</v>
      </c>
      <c r="C242" s="146">
        <f t="shared" si="1"/>
        <v>10241</v>
      </c>
      <c r="D242" s="146" t="s">
        <v>7</v>
      </c>
      <c r="E242" s="305" t="str">
        <f>VLOOKUP('Expected Auditing Outcomes'!$B242,'Master Sheet'!A243:G1051, 7, FALSE)</f>
        <v>#N/A</v>
      </c>
      <c r="F242" s="383" t="s">
        <v>3648</v>
      </c>
      <c r="G242" s="430">
        <f>LEN('Expected Auditing Outcomes'!$F242)</f>
        <v>77</v>
      </c>
      <c r="H242" s="430"/>
    </row>
    <row r="243" ht="15.75" hidden="1" customHeight="1">
      <c r="B243" s="146">
        <v>242.0</v>
      </c>
      <c r="C243" s="146">
        <f t="shared" si="1"/>
        <v>10242</v>
      </c>
      <c r="D243" s="146" t="s">
        <v>7</v>
      </c>
      <c r="E243" s="305" t="str">
        <f>VLOOKUP('Expected Auditing Outcomes'!$B243,'Master Sheet'!A244:G1051, 7, FALSE)</f>
        <v>#N/A</v>
      </c>
      <c r="F243" s="383" t="s">
        <v>453</v>
      </c>
      <c r="G243" s="430">
        <f>LEN('Expected Auditing Outcomes'!$F243)</f>
        <v>84</v>
      </c>
      <c r="H243" s="430"/>
    </row>
    <row r="244" ht="15.75" hidden="1" customHeight="1">
      <c r="B244" s="146">
        <v>243.0</v>
      </c>
      <c r="C244" s="146">
        <f t="shared" si="1"/>
        <v>10243</v>
      </c>
      <c r="D244" s="146" t="s">
        <v>7</v>
      </c>
      <c r="E244" s="305" t="str">
        <f>VLOOKUP('Expected Auditing Outcomes'!$B244,'Master Sheet'!A245:G1051, 7, FALSE)</f>
        <v>#N/A</v>
      </c>
      <c r="F244" s="383" t="s">
        <v>455</v>
      </c>
      <c r="G244" s="430">
        <f>LEN('Expected Auditing Outcomes'!$F244)</f>
        <v>49</v>
      </c>
      <c r="H244" s="430"/>
    </row>
    <row r="245" ht="15.75" hidden="1" customHeight="1">
      <c r="B245" s="146">
        <v>244.0</v>
      </c>
      <c r="C245" s="146">
        <f t="shared" si="1"/>
        <v>10244</v>
      </c>
      <c r="D245" s="146" t="s">
        <v>34</v>
      </c>
      <c r="E245" s="305" t="str">
        <f>VLOOKUP('Expected Auditing Outcomes'!$B245,'Master Sheet'!A246:G1051, 7, FALSE)</f>
        <v>#N/A</v>
      </c>
      <c r="F245" s="437" t="s">
        <v>457</v>
      </c>
      <c r="G245" s="430">
        <f>LEN('Expected Auditing Outcomes'!$F245)</f>
        <v>15</v>
      </c>
      <c r="H245" s="430" t="s">
        <v>331</v>
      </c>
    </row>
    <row r="246" ht="15.75" hidden="1" customHeight="1">
      <c r="B246" s="146">
        <v>245.0</v>
      </c>
      <c r="C246" s="146">
        <f t="shared" si="1"/>
        <v>10245</v>
      </c>
      <c r="D246" s="146" t="s">
        <v>27</v>
      </c>
      <c r="E246" s="305" t="str">
        <f>VLOOKUP('Expected Auditing Outcomes'!$B246,'Master Sheet'!A247:G1051, 7, FALSE)</f>
        <v>#N/A</v>
      </c>
      <c r="F246" s="383" t="s">
        <v>3649</v>
      </c>
      <c r="G246" s="430">
        <f>LEN('Expected Auditing Outcomes'!$F246)</f>
        <v>112</v>
      </c>
      <c r="H246" s="430"/>
    </row>
    <row r="247" ht="15.75" hidden="1" customHeight="1">
      <c r="B247" s="146">
        <v>246.0</v>
      </c>
      <c r="C247" s="146">
        <f t="shared" si="1"/>
        <v>10246</v>
      </c>
      <c r="D247" s="146" t="s">
        <v>27</v>
      </c>
      <c r="E247" s="305" t="str">
        <f>VLOOKUP('Expected Auditing Outcomes'!$B247,'Master Sheet'!A248:G1051, 7, FALSE)</f>
        <v>#N/A</v>
      </c>
      <c r="F247" s="383" t="s">
        <v>3650</v>
      </c>
      <c r="G247" s="430">
        <f>LEN('Expected Auditing Outcomes'!$F247)</f>
        <v>116</v>
      </c>
      <c r="H247" s="430"/>
    </row>
    <row r="248" ht="15.75" hidden="1" customHeight="1">
      <c r="B248" s="146">
        <v>247.0</v>
      </c>
      <c r="C248" s="146">
        <f t="shared" si="1"/>
        <v>10247</v>
      </c>
      <c r="D248" s="146" t="s">
        <v>20</v>
      </c>
      <c r="E248" s="305" t="str">
        <f>VLOOKUP('Expected Auditing Outcomes'!$B248,'Master Sheet'!A249:G1051, 7, FALSE)</f>
        <v>#N/A</v>
      </c>
      <c r="F248" s="383" t="s">
        <v>463</v>
      </c>
      <c r="G248" s="430">
        <f>LEN('Expected Auditing Outcomes'!$F248)</f>
        <v>142</v>
      </c>
      <c r="H248" s="430"/>
    </row>
    <row r="249" ht="15.75" hidden="1" customHeight="1">
      <c r="B249" s="432">
        <v>248.0</v>
      </c>
      <c r="C249" s="432">
        <f t="shared" si="1"/>
        <v>10248</v>
      </c>
      <c r="D249" s="432" t="s">
        <v>34</v>
      </c>
      <c r="E249" s="305" t="str">
        <f>VLOOKUP('Expected Auditing Outcomes'!$B249,'Master Sheet'!A250:G1051, 7, FALSE)</f>
        <v>#N/A</v>
      </c>
      <c r="F249" s="383" t="s">
        <v>465</v>
      </c>
      <c r="G249" s="430">
        <f>LEN('Expected Auditing Outcomes'!$F249)</f>
        <v>163</v>
      </c>
      <c r="H249" s="430"/>
    </row>
    <row r="250" ht="15.75" hidden="1" customHeight="1">
      <c r="B250" s="146">
        <v>249.0</v>
      </c>
      <c r="C250" s="146">
        <f t="shared" si="1"/>
        <v>10249</v>
      </c>
      <c r="D250" s="146" t="s">
        <v>7</v>
      </c>
      <c r="E250" s="305" t="str">
        <f>VLOOKUP('Expected Auditing Outcomes'!$B250,'Master Sheet'!A251:G1051, 7, FALSE)</f>
        <v>#N/A</v>
      </c>
      <c r="F250" s="383" t="s">
        <v>467</v>
      </c>
      <c r="G250" s="430">
        <f>LEN('Expected Auditing Outcomes'!$F250)</f>
        <v>40</v>
      </c>
      <c r="H250" s="430"/>
    </row>
    <row r="251" ht="15.75" hidden="1" customHeight="1">
      <c r="B251" s="146">
        <v>250.0</v>
      </c>
      <c r="C251" s="146">
        <f t="shared" si="1"/>
        <v>10250</v>
      </c>
      <c r="D251" s="146" t="s">
        <v>34</v>
      </c>
      <c r="E251" s="305" t="str">
        <f>VLOOKUP('Expected Auditing Outcomes'!$B251,'Master Sheet'!A252:G1051, 7, FALSE)</f>
        <v>#N/A</v>
      </c>
      <c r="F251" s="383" t="s">
        <v>469</v>
      </c>
      <c r="G251" s="430">
        <f>LEN('Expected Auditing Outcomes'!$F251)</f>
        <v>115</v>
      </c>
      <c r="H251" s="430"/>
    </row>
    <row r="252" ht="15.75" hidden="1" customHeight="1">
      <c r="B252" s="146">
        <v>251.0</v>
      </c>
      <c r="C252" s="146">
        <f t="shared" si="1"/>
        <v>10251</v>
      </c>
      <c r="D252" s="146" t="s">
        <v>7</v>
      </c>
      <c r="E252" s="305" t="str">
        <f>VLOOKUP('Expected Auditing Outcomes'!$B252,'Master Sheet'!A253:G1051, 7, FALSE)</f>
        <v>#N/A</v>
      </c>
      <c r="F252" s="383" t="s">
        <v>3651</v>
      </c>
      <c r="G252" s="430">
        <f>LEN('Expected Auditing Outcomes'!$F252)</f>
        <v>80</v>
      </c>
      <c r="H252" s="430"/>
    </row>
    <row r="253" ht="15.75" hidden="1" customHeight="1">
      <c r="B253" s="146">
        <v>252.0</v>
      </c>
      <c r="C253" s="146">
        <f t="shared" si="1"/>
        <v>10252</v>
      </c>
      <c r="D253" s="146" t="s">
        <v>20</v>
      </c>
      <c r="E253" s="305" t="str">
        <f>VLOOKUP('Expected Auditing Outcomes'!$B253,'Master Sheet'!A254:G1051, 7, FALSE)</f>
        <v>#N/A</v>
      </c>
      <c r="F253" s="383" t="s">
        <v>423</v>
      </c>
      <c r="G253" s="430">
        <f>LEN('Expected Auditing Outcomes'!$F253)</f>
        <v>87</v>
      </c>
      <c r="H253" s="430"/>
    </row>
    <row r="254" ht="15.75" hidden="1" customHeight="1">
      <c r="B254" s="146">
        <v>253.0</v>
      </c>
      <c r="C254" s="146">
        <f t="shared" si="1"/>
        <v>10253</v>
      </c>
      <c r="D254" s="146" t="s">
        <v>20</v>
      </c>
      <c r="E254" s="305" t="str">
        <f>VLOOKUP('Expected Auditing Outcomes'!$B254,'Master Sheet'!A255:G1051, 7, FALSE)</f>
        <v>#N/A</v>
      </c>
      <c r="F254" s="383" t="s">
        <v>411</v>
      </c>
      <c r="G254" s="430">
        <f>LEN('Expected Auditing Outcomes'!$F254)</f>
        <v>75</v>
      </c>
      <c r="H254" s="430"/>
    </row>
    <row r="255" ht="15.75" hidden="1" customHeight="1">
      <c r="B255" s="146">
        <v>254.0</v>
      </c>
      <c r="C255" s="146">
        <f t="shared" si="1"/>
        <v>10254</v>
      </c>
      <c r="D255" s="146" t="s">
        <v>7</v>
      </c>
      <c r="E255" s="305" t="str">
        <f>VLOOKUP('Expected Auditing Outcomes'!$B255,'Master Sheet'!A256:G1051, 7, FALSE)</f>
        <v>#N/A</v>
      </c>
      <c r="F255" s="383" t="s">
        <v>3652</v>
      </c>
      <c r="G255" s="430">
        <f>LEN('Expected Auditing Outcomes'!$F255)</f>
        <v>87</v>
      </c>
      <c r="H255" s="430"/>
    </row>
    <row r="256" ht="15.75" hidden="1" customHeight="1">
      <c r="B256" s="146">
        <v>255.0</v>
      </c>
      <c r="C256" s="146">
        <f t="shared" si="1"/>
        <v>10255</v>
      </c>
      <c r="D256" s="146" t="s">
        <v>7</v>
      </c>
      <c r="E256" s="305" t="str">
        <f>VLOOKUP('Expected Auditing Outcomes'!$B256,'Master Sheet'!A257:G1051, 7, FALSE)</f>
        <v>#N/A</v>
      </c>
      <c r="F256" s="383" t="s">
        <v>3653</v>
      </c>
      <c r="G256" s="430">
        <f>LEN('Expected Auditing Outcomes'!$F256)</f>
        <v>117</v>
      </c>
      <c r="H256" s="430"/>
    </row>
    <row r="257" ht="15.75" hidden="1" customHeight="1">
      <c r="B257" s="146">
        <v>256.0</v>
      </c>
      <c r="C257" s="146">
        <f t="shared" si="1"/>
        <v>10256</v>
      </c>
      <c r="D257" s="146" t="s">
        <v>34</v>
      </c>
      <c r="E257" s="305" t="str">
        <f>VLOOKUP('Expected Auditing Outcomes'!$B257,'Master Sheet'!A258:G1051, 7, FALSE)</f>
        <v>#N/A</v>
      </c>
      <c r="F257" s="383" t="s">
        <v>479</v>
      </c>
      <c r="G257" s="430">
        <f>LEN('Expected Auditing Outcomes'!$F257)</f>
        <v>131</v>
      </c>
      <c r="H257" s="430"/>
    </row>
    <row r="258" ht="15.75" hidden="1" customHeight="1">
      <c r="B258" s="146">
        <v>257.0</v>
      </c>
      <c r="C258" s="146">
        <f t="shared" si="1"/>
        <v>10257</v>
      </c>
      <c r="D258" s="146" t="s">
        <v>34</v>
      </c>
      <c r="E258" s="305" t="str">
        <f>VLOOKUP('Expected Auditing Outcomes'!$B258,'Master Sheet'!A259:G1051, 7, FALSE)</f>
        <v>#N/A</v>
      </c>
      <c r="F258" s="437" t="s">
        <v>3654</v>
      </c>
      <c r="G258" s="430">
        <f>LEN('Expected Auditing Outcomes'!$F258)</f>
        <v>193</v>
      </c>
      <c r="H258" s="430" t="s">
        <v>331</v>
      </c>
    </row>
    <row r="259" ht="15.75" hidden="1" customHeight="1">
      <c r="B259" s="146">
        <v>258.0</v>
      </c>
      <c r="C259" s="146">
        <f t="shared" si="1"/>
        <v>10258</v>
      </c>
      <c r="D259" s="146" t="s">
        <v>27</v>
      </c>
      <c r="E259" s="305" t="str">
        <f>VLOOKUP('Expected Auditing Outcomes'!$B259,'Master Sheet'!A260:G1051, 7, FALSE)</f>
        <v>#N/A</v>
      </c>
      <c r="F259" s="383" t="s">
        <v>3655</v>
      </c>
      <c r="G259" s="430">
        <f>LEN('Expected Auditing Outcomes'!$F259)</f>
        <v>100</v>
      </c>
      <c r="H259" s="430"/>
    </row>
    <row r="260" ht="15.75" hidden="1" customHeight="1">
      <c r="B260" s="432">
        <v>259.0</v>
      </c>
      <c r="C260" s="432">
        <f t="shared" si="1"/>
        <v>10259</v>
      </c>
      <c r="D260" s="432" t="s">
        <v>34</v>
      </c>
      <c r="E260" s="305" t="str">
        <f>VLOOKUP('Expected Auditing Outcomes'!$B260,'Master Sheet'!A261:G1051, 7, FALSE)</f>
        <v>#N/A</v>
      </c>
      <c r="F260" s="383" t="s">
        <v>3656</v>
      </c>
      <c r="G260" s="430">
        <f>LEN('Expected Auditing Outcomes'!$F260)</f>
        <v>132</v>
      </c>
      <c r="H260" s="430"/>
    </row>
    <row r="261" ht="15.75" hidden="1" customHeight="1">
      <c r="B261" s="146">
        <v>260.0</v>
      </c>
      <c r="C261" s="146">
        <f t="shared" si="1"/>
        <v>10260</v>
      </c>
      <c r="D261" s="146" t="s">
        <v>34</v>
      </c>
      <c r="E261" s="305" t="str">
        <f>VLOOKUP('Expected Auditing Outcomes'!$B261,'Master Sheet'!A262:G1051, 7, FALSE)</f>
        <v>#N/A</v>
      </c>
      <c r="F261" s="383" t="s">
        <v>3657</v>
      </c>
      <c r="G261" s="430">
        <f>LEN('Expected Auditing Outcomes'!$F261)</f>
        <v>175</v>
      </c>
      <c r="H261" s="431">
        <v>45770.0</v>
      </c>
    </row>
    <row r="262" ht="15.75" hidden="1" customHeight="1">
      <c r="B262" s="146">
        <v>261.0</v>
      </c>
      <c r="C262" s="146">
        <f t="shared" si="1"/>
        <v>10261</v>
      </c>
      <c r="D262" s="146" t="s">
        <v>7</v>
      </c>
      <c r="E262" s="305" t="str">
        <f>VLOOKUP('Expected Auditing Outcomes'!$B262,'Master Sheet'!A263:G1051, 7, FALSE)</f>
        <v>#N/A</v>
      </c>
      <c r="F262" s="383" t="s">
        <v>488</v>
      </c>
      <c r="G262" s="430">
        <f>LEN('Expected Auditing Outcomes'!$F262)</f>
        <v>151</v>
      </c>
      <c r="H262" s="430"/>
    </row>
    <row r="263" ht="15.75" hidden="1" customHeight="1">
      <c r="B263" s="432">
        <v>262.0</v>
      </c>
      <c r="C263" s="432">
        <f t="shared" si="1"/>
        <v>10262</v>
      </c>
      <c r="D263" s="432" t="s">
        <v>34</v>
      </c>
      <c r="E263" s="305" t="str">
        <f>VLOOKUP('Expected Auditing Outcomes'!$B263,'Master Sheet'!A264:G1051, 7, FALSE)</f>
        <v>#N/A</v>
      </c>
      <c r="F263" s="385" t="s">
        <v>490</v>
      </c>
      <c r="G263" s="430">
        <f>LEN('Expected Auditing Outcomes'!$F263)</f>
        <v>162</v>
      </c>
      <c r="H263" s="430"/>
    </row>
    <row r="264" ht="15.75" hidden="1" customHeight="1">
      <c r="B264" s="146">
        <v>263.0</v>
      </c>
      <c r="C264" s="146">
        <f t="shared" si="1"/>
        <v>10263</v>
      </c>
      <c r="D264" s="146" t="s">
        <v>7</v>
      </c>
      <c r="E264" s="305" t="str">
        <f>VLOOKUP('Expected Auditing Outcomes'!$B264,'Master Sheet'!A265:G1051, 7, FALSE)</f>
        <v>#N/A</v>
      </c>
      <c r="F264" s="383" t="s">
        <v>492</v>
      </c>
      <c r="G264" s="430">
        <f>LEN('Expected Auditing Outcomes'!$F264)</f>
        <v>85</v>
      </c>
      <c r="H264" s="430"/>
    </row>
    <row r="265" ht="15.75" hidden="1" customHeight="1">
      <c r="B265" s="146">
        <v>264.0</v>
      </c>
      <c r="C265" s="146">
        <f t="shared" si="1"/>
        <v>10264</v>
      </c>
      <c r="D265" s="146" t="s">
        <v>27</v>
      </c>
      <c r="E265" s="305" t="str">
        <f>VLOOKUP('Expected Auditing Outcomes'!$B265,'Master Sheet'!A266:G1051, 7, FALSE)</f>
        <v>#N/A</v>
      </c>
      <c r="F265" s="383" t="s">
        <v>494</v>
      </c>
      <c r="G265" s="430">
        <f>LEN('Expected Auditing Outcomes'!$F265)</f>
        <v>118</v>
      </c>
      <c r="H265" s="430"/>
    </row>
    <row r="266" ht="15.75" hidden="1" customHeight="1">
      <c r="B266" s="146">
        <v>265.0</v>
      </c>
      <c r="C266" s="146">
        <f t="shared" si="1"/>
        <v>10265</v>
      </c>
      <c r="D266" s="146" t="s">
        <v>34</v>
      </c>
      <c r="E266" s="305" t="str">
        <f>VLOOKUP('Expected Auditing Outcomes'!$B266,'Master Sheet'!A267:G1051, 7, FALSE)</f>
        <v>#N/A</v>
      </c>
      <c r="F266" s="383" t="s">
        <v>496</v>
      </c>
      <c r="G266" s="430">
        <f>LEN('Expected Auditing Outcomes'!$F266)</f>
        <v>147</v>
      </c>
      <c r="H266" s="430"/>
    </row>
    <row r="267" ht="15.75" hidden="1" customHeight="1">
      <c r="B267" s="432">
        <v>266.0</v>
      </c>
      <c r="C267" s="432">
        <f t="shared" si="1"/>
        <v>10266</v>
      </c>
      <c r="D267" s="432" t="s">
        <v>34</v>
      </c>
      <c r="E267" s="305" t="str">
        <f>VLOOKUP('Expected Auditing Outcomes'!$B267,'Master Sheet'!A268:G1051, 7, FALSE)</f>
        <v>#N/A</v>
      </c>
      <c r="F267" s="383"/>
      <c r="G267" s="430">
        <f>LEN('Expected Auditing Outcomes'!$F267)</f>
        <v>0</v>
      </c>
      <c r="H267" s="430"/>
    </row>
    <row r="268" ht="15.75" hidden="1" customHeight="1">
      <c r="B268" s="146">
        <v>267.0</v>
      </c>
      <c r="C268" s="146">
        <f t="shared" si="1"/>
        <v>10267</v>
      </c>
      <c r="D268" s="146" t="s">
        <v>7</v>
      </c>
      <c r="E268" s="305" t="str">
        <f>VLOOKUP('Expected Auditing Outcomes'!$B268,'Master Sheet'!A269:G1051, 7, FALSE)</f>
        <v>#N/A</v>
      </c>
      <c r="F268" s="383"/>
      <c r="G268" s="430">
        <f>LEN('Expected Auditing Outcomes'!$F268)</f>
        <v>0</v>
      </c>
      <c r="H268" s="430"/>
    </row>
    <row r="269" ht="15.75" hidden="1" customHeight="1">
      <c r="B269" s="146">
        <v>268.0</v>
      </c>
      <c r="C269" s="146">
        <f t="shared" si="1"/>
        <v>10268</v>
      </c>
      <c r="D269" s="146" t="s">
        <v>34</v>
      </c>
      <c r="E269" s="305" t="str">
        <f>VLOOKUP('Expected Auditing Outcomes'!$B269,'Master Sheet'!A270:G1051, 7, FALSE)</f>
        <v>#N/A</v>
      </c>
      <c r="F269" s="383" t="s">
        <v>501</v>
      </c>
      <c r="G269" s="430">
        <f>LEN('Expected Auditing Outcomes'!$F269)</f>
        <v>83</v>
      </c>
      <c r="H269" s="430"/>
    </row>
    <row r="270" ht="15.75" hidden="1" customHeight="1">
      <c r="B270" s="146">
        <v>269.0</v>
      </c>
      <c r="C270" s="146">
        <f t="shared" si="1"/>
        <v>10269</v>
      </c>
      <c r="D270" s="146" t="s">
        <v>7</v>
      </c>
      <c r="E270" s="305" t="str">
        <f>VLOOKUP('Expected Auditing Outcomes'!$B270,'Master Sheet'!A271:G1051, 7, FALSE)</f>
        <v>#N/A</v>
      </c>
      <c r="F270" s="383" t="s">
        <v>503</v>
      </c>
      <c r="G270" s="430">
        <f>LEN('Expected Auditing Outcomes'!$F270)</f>
        <v>45</v>
      </c>
      <c r="H270" s="430"/>
    </row>
    <row r="271" ht="15.75" hidden="1" customHeight="1">
      <c r="B271" s="146">
        <v>270.0</v>
      </c>
      <c r="C271" s="146">
        <f t="shared" si="1"/>
        <v>10270</v>
      </c>
      <c r="D271" s="146" t="s">
        <v>20</v>
      </c>
      <c r="E271" s="221" t="s">
        <v>504</v>
      </c>
      <c r="F271" s="383" t="s">
        <v>3658</v>
      </c>
      <c r="G271" s="430">
        <f>LEN('Expected Auditing Outcomes'!$F271)</f>
        <v>136</v>
      </c>
      <c r="H271" s="430"/>
    </row>
    <row r="272" ht="15.75" hidden="1" customHeight="1">
      <c r="B272" s="146">
        <v>271.0</v>
      </c>
      <c r="C272" s="146">
        <f t="shared" si="1"/>
        <v>10271</v>
      </c>
      <c r="D272" s="146" t="s">
        <v>7</v>
      </c>
      <c r="E272" s="305" t="str">
        <f>VLOOKUP('Expected Auditing Outcomes'!$B272,'Master Sheet'!A273:G1051, 7, FALSE)</f>
        <v>#N/A</v>
      </c>
      <c r="F272" s="383" t="s">
        <v>507</v>
      </c>
      <c r="G272" s="430">
        <f>LEN('Expected Auditing Outcomes'!$F272)</f>
        <v>64</v>
      </c>
      <c r="H272" s="430"/>
    </row>
    <row r="273" ht="15.75" hidden="1" customHeight="1">
      <c r="B273" s="146">
        <v>272.0</v>
      </c>
      <c r="C273" s="146">
        <f t="shared" si="1"/>
        <v>10272</v>
      </c>
      <c r="D273" s="146" t="s">
        <v>7</v>
      </c>
      <c r="E273" s="305" t="str">
        <f>VLOOKUP('Expected Auditing Outcomes'!$B273,'Master Sheet'!A274:G1051, 7, FALSE)</f>
        <v>#N/A</v>
      </c>
      <c r="F273" s="383" t="s">
        <v>509</v>
      </c>
      <c r="G273" s="430">
        <f>LEN('Expected Auditing Outcomes'!$F273)</f>
        <v>47</v>
      </c>
      <c r="H273" s="430"/>
    </row>
    <row r="274" ht="15.75" hidden="1" customHeight="1">
      <c r="B274" s="432">
        <v>273.0</v>
      </c>
      <c r="C274" s="432">
        <f t="shared" si="1"/>
        <v>10273</v>
      </c>
      <c r="D274" s="432" t="s">
        <v>34</v>
      </c>
      <c r="E274" s="305" t="str">
        <f>VLOOKUP('Expected Auditing Outcomes'!$B274,'Master Sheet'!A275:G1051, 7, FALSE)</f>
        <v>#N/A</v>
      </c>
      <c r="F274" s="383" t="s">
        <v>511</v>
      </c>
      <c r="G274" s="430">
        <f>LEN('Expected Auditing Outcomes'!$F274)</f>
        <v>146</v>
      </c>
      <c r="H274" s="430"/>
    </row>
    <row r="275" ht="15.75" hidden="1" customHeight="1">
      <c r="B275" s="432">
        <v>274.0</v>
      </c>
      <c r="C275" s="432">
        <f t="shared" si="1"/>
        <v>10274</v>
      </c>
      <c r="D275" s="432" t="s">
        <v>34</v>
      </c>
      <c r="E275" s="305" t="str">
        <f>VLOOKUP('Expected Auditing Outcomes'!$B275,'Master Sheet'!A276:G1051, 7, FALSE)</f>
        <v>#N/A</v>
      </c>
      <c r="F275" s="465" t="s">
        <v>513</v>
      </c>
      <c r="G275" s="430">
        <f>LEN('Expected Auditing Outcomes'!$F275)</f>
        <v>85</v>
      </c>
      <c r="H275" s="430"/>
    </row>
    <row r="276" ht="15.75" hidden="1" customHeight="1">
      <c r="B276" s="146">
        <v>275.0</v>
      </c>
      <c r="C276" s="146">
        <f t="shared" si="1"/>
        <v>10275</v>
      </c>
      <c r="D276" s="146" t="s">
        <v>7</v>
      </c>
      <c r="E276" s="305" t="str">
        <f>VLOOKUP('Expected Auditing Outcomes'!$B276,'Master Sheet'!A277:G1051, 7, FALSE)</f>
        <v>#N/A</v>
      </c>
      <c r="F276" s="383" t="s">
        <v>515</v>
      </c>
      <c r="G276" s="430">
        <f>LEN('Expected Auditing Outcomes'!$F276)</f>
        <v>46</v>
      </c>
      <c r="H276" s="430"/>
    </row>
    <row r="277" ht="15.75" hidden="1" customHeight="1">
      <c r="B277" s="146">
        <v>276.0</v>
      </c>
      <c r="C277" s="146">
        <f t="shared" si="1"/>
        <v>10276</v>
      </c>
      <c r="D277" s="146" t="s">
        <v>7</v>
      </c>
      <c r="E277" s="305" t="str">
        <f>VLOOKUP('Expected Auditing Outcomes'!$B277,'Master Sheet'!A278:G1051, 7, FALSE)</f>
        <v>#N/A</v>
      </c>
      <c r="F277" s="383" t="s">
        <v>24</v>
      </c>
      <c r="G277" s="430">
        <f>LEN('Expected Auditing Outcomes'!$F277)</f>
        <v>28</v>
      </c>
      <c r="H277" s="430"/>
    </row>
    <row r="278" ht="15.75" hidden="1" customHeight="1">
      <c r="B278" s="146">
        <v>277.0</v>
      </c>
      <c r="C278" s="146">
        <f t="shared" si="1"/>
        <v>10277</v>
      </c>
      <c r="D278" s="146" t="s">
        <v>34</v>
      </c>
      <c r="E278" s="305" t="str">
        <f>VLOOKUP('Expected Auditing Outcomes'!$B278,'Master Sheet'!A279:G1051, 7, FALSE)</f>
        <v>#N/A</v>
      </c>
      <c r="F278" s="383" t="s">
        <v>518</v>
      </c>
      <c r="G278" s="430">
        <f>LEN('Expected Auditing Outcomes'!$F278)</f>
        <v>89</v>
      </c>
      <c r="H278" s="430"/>
    </row>
    <row r="279" ht="15.75" hidden="1" customHeight="1">
      <c r="B279" s="146">
        <v>278.0</v>
      </c>
      <c r="C279" s="146">
        <f t="shared" si="1"/>
        <v>10278</v>
      </c>
      <c r="D279" s="146" t="s">
        <v>7</v>
      </c>
      <c r="E279" s="305" t="str">
        <f>VLOOKUP('Expected Auditing Outcomes'!$B279,'Master Sheet'!A280:G1051, 7, FALSE)</f>
        <v>#N/A</v>
      </c>
      <c r="F279" s="383" t="s">
        <v>520</v>
      </c>
      <c r="G279" s="430">
        <f>LEN('Expected Auditing Outcomes'!$F279)</f>
        <v>80</v>
      </c>
      <c r="H279" s="430"/>
    </row>
    <row r="280" ht="15.75" hidden="1" customHeight="1">
      <c r="B280" s="146">
        <v>279.0</v>
      </c>
      <c r="C280" s="146">
        <f t="shared" si="1"/>
        <v>10279</v>
      </c>
      <c r="D280" s="146" t="s">
        <v>27</v>
      </c>
      <c r="E280" s="305" t="str">
        <f>VLOOKUP('Expected Auditing Outcomes'!$B280,'Master Sheet'!A281:G1051, 7, FALSE)</f>
        <v>#N/A</v>
      </c>
      <c r="F280" s="383" t="s">
        <v>3659</v>
      </c>
      <c r="G280" s="430">
        <f>LEN('Expected Auditing Outcomes'!$F280)</f>
        <v>131</v>
      </c>
      <c r="H280" s="430"/>
    </row>
    <row r="281" ht="15.75" hidden="1" customHeight="1">
      <c r="B281" s="146">
        <v>280.0</v>
      </c>
      <c r="C281" s="146">
        <f t="shared" si="1"/>
        <v>10280</v>
      </c>
      <c r="D281" s="146" t="s">
        <v>7</v>
      </c>
      <c r="E281" s="305" t="str">
        <f>VLOOKUP('Expected Auditing Outcomes'!$B281,'Master Sheet'!A282:G1051, 7, FALSE)</f>
        <v>#N/A</v>
      </c>
      <c r="F281" s="383" t="s">
        <v>524</v>
      </c>
      <c r="G281" s="430">
        <f>LEN('Expected Auditing Outcomes'!$F281)</f>
        <v>72</v>
      </c>
      <c r="H281" s="430"/>
    </row>
    <row r="282" ht="15.75" hidden="1" customHeight="1">
      <c r="B282" s="432">
        <v>281.0</v>
      </c>
      <c r="C282" s="432">
        <f t="shared" si="1"/>
        <v>10281</v>
      </c>
      <c r="D282" s="432" t="s">
        <v>34</v>
      </c>
      <c r="E282" s="305" t="str">
        <f>VLOOKUP('Expected Auditing Outcomes'!$B282,'Master Sheet'!A283:G1051, 7, FALSE)</f>
        <v>#N/A</v>
      </c>
      <c r="F282" s="383"/>
      <c r="G282" s="430">
        <f>LEN('Expected Auditing Outcomes'!$F282)</f>
        <v>0</v>
      </c>
      <c r="H282" s="430"/>
    </row>
    <row r="283" ht="15.75" hidden="1" customHeight="1">
      <c r="B283" s="432">
        <v>282.0</v>
      </c>
      <c r="C283" s="432">
        <f t="shared" si="1"/>
        <v>10282</v>
      </c>
      <c r="D283" s="432" t="s">
        <v>34</v>
      </c>
      <c r="E283" s="388" t="s">
        <v>527</v>
      </c>
      <c r="F283" s="388"/>
      <c r="G283" s="430">
        <f>LEN('Expected Auditing Outcomes'!$F283)</f>
        <v>0</v>
      </c>
      <c r="H283" s="430"/>
    </row>
    <row r="284" ht="15.75" hidden="1" customHeight="1">
      <c r="B284" s="146">
        <v>283.0</v>
      </c>
      <c r="C284" s="146">
        <f t="shared" si="1"/>
        <v>10283</v>
      </c>
      <c r="D284" s="146" t="s">
        <v>7</v>
      </c>
      <c r="E284" s="305" t="str">
        <f>VLOOKUP('Expected Auditing Outcomes'!$B284,'Master Sheet'!A285:G1051, 7, FALSE)</f>
        <v>#N/A</v>
      </c>
      <c r="F284" s="383" t="s">
        <v>529</v>
      </c>
      <c r="G284" s="430">
        <f>LEN('Expected Auditing Outcomes'!$F284)</f>
        <v>44</v>
      </c>
      <c r="H284" s="430"/>
    </row>
    <row r="285" ht="15.75" hidden="1" customHeight="1">
      <c r="B285" s="146">
        <v>284.0</v>
      </c>
      <c r="C285" s="146">
        <f t="shared" si="1"/>
        <v>10284</v>
      </c>
      <c r="D285" s="146" t="s">
        <v>7</v>
      </c>
      <c r="E285" s="305" t="str">
        <f>VLOOKUP('Expected Auditing Outcomes'!$B285,'Master Sheet'!A286:G1051, 7, FALSE)</f>
        <v>#N/A</v>
      </c>
      <c r="F285" s="387" t="s">
        <v>531</v>
      </c>
      <c r="G285" s="430">
        <f>LEN('Expected Auditing Outcomes'!$F285)</f>
        <v>38</v>
      </c>
      <c r="H285" s="430"/>
    </row>
    <row r="286" ht="15.75" hidden="1" customHeight="1">
      <c r="B286" s="432">
        <v>285.0</v>
      </c>
      <c r="C286" s="432">
        <f t="shared" si="1"/>
        <v>10285</v>
      </c>
      <c r="D286" s="432" t="s">
        <v>34</v>
      </c>
      <c r="E286" s="305" t="str">
        <f>VLOOKUP('Expected Auditing Outcomes'!$B286,'Master Sheet'!A287:G1051, 7, FALSE)</f>
        <v>#N/A</v>
      </c>
      <c r="F286" s="383"/>
      <c r="G286" s="430">
        <f>LEN('Expected Auditing Outcomes'!$F286)</f>
        <v>0</v>
      </c>
      <c r="H286" s="430"/>
    </row>
    <row r="287" ht="15.75" hidden="1" customHeight="1">
      <c r="B287" s="146">
        <v>286.0</v>
      </c>
      <c r="C287" s="146">
        <f t="shared" si="1"/>
        <v>10286</v>
      </c>
      <c r="D287" s="146" t="s">
        <v>7</v>
      </c>
      <c r="E287" s="305" t="str">
        <f>VLOOKUP('Expected Auditing Outcomes'!$B287,'Master Sheet'!A288:G1051, 7, FALSE)</f>
        <v>#N/A</v>
      </c>
      <c r="F287" s="383" t="s">
        <v>534</v>
      </c>
      <c r="G287" s="430">
        <f>LEN('Expected Auditing Outcomes'!$F287)</f>
        <v>44</v>
      </c>
      <c r="H287" s="430"/>
    </row>
    <row r="288" ht="15.75" hidden="1" customHeight="1">
      <c r="B288" s="146">
        <v>287.0</v>
      </c>
      <c r="C288" s="146">
        <f t="shared" si="1"/>
        <v>10287</v>
      </c>
      <c r="D288" s="146" t="s">
        <v>34</v>
      </c>
      <c r="E288" s="305" t="str">
        <f>VLOOKUP('Expected Auditing Outcomes'!$B288,'Master Sheet'!A289:G1051, 7, FALSE)</f>
        <v>#N/A</v>
      </c>
      <c r="F288" s="437" t="s">
        <v>536</v>
      </c>
      <c r="G288" s="430">
        <f>LEN('Expected Auditing Outcomes'!$F288)</f>
        <v>194</v>
      </c>
      <c r="H288" s="430" t="s">
        <v>331</v>
      </c>
    </row>
    <row r="289" ht="15.75" hidden="1" customHeight="1">
      <c r="B289" s="146">
        <v>288.0</v>
      </c>
      <c r="C289" s="146">
        <f t="shared" si="1"/>
        <v>10288</v>
      </c>
      <c r="D289" s="146" t="s">
        <v>34</v>
      </c>
      <c r="E289" s="305" t="str">
        <f>VLOOKUP('Expected Auditing Outcomes'!$B289,'Master Sheet'!A290:G1051, 7, FALSE)</f>
        <v>#N/A</v>
      </c>
      <c r="F289" s="437" t="s">
        <v>538</v>
      </c>
      <c r="G289" s="430">
        <f>LEN('Expected Auditing Outcomes'!$F289)</f>
        <v>172</v>
      </c>
      <c r="H289" s="431">
        <v>45770.0</v>
      </c>
    </row>
    <row r="290" ht="15.75" hidden="1" customHeight="1">
      <c r="B290" s="146">
        <v>289.0</v>
      </c>
      <c r="C290" s="146">
        <f t="shared" si="1"/>
        <v>10289</v>
      </c>
      <c r="D290" s="146" t="s">
        <v>34</v>
      </c>
      <c r="E290" s="305" t="str">
        <f>VLOOKUP('Expected Auditing Outcomes'!$B290,'Master Sheet'!A291:G1051, 7, FALSE)</f>
        <v>#N/A</v>
      </c>
      <c r="F290" s="383" t="s">
        <v>540</v>
      </c>
      <c r="G290" s="430">
        <f>LEN('Expected Auditing Outcomes'!$F290)</f>
        <v>147</v>
      </c>
      <c r="H290" s="430"/>
    </row>
    <row r="291" ht="15.75" hidden="1" customHeight="1">
      <c r="B291" s="146">
        <v>290.0</v>
      </c>
      <c r="C291" s="146">
        <f t="shared" si="1"/>
        <v>10290</v>
      </c>
      <c r="D291" s="146" t="s">
        <v>7</v>
      </c>
      <c r="E291" s="305" t="str">
        <f>VLOOKUP('Expected Auditing Outcomes'!$B291,'Master Sheet'!A292:G1051, 7, FALSE)</f>
        <v>#N/A</v>
      </c>
      <c r="F291" s="383" t="s">
        <v>542</v>
      </c>
      <c r="G291" s="430">
        <f>LEN('Expected Auditing Outcomes'!$F291)</f>
        <v>37</v>
      </c>
      <c r="H291" s="430"/>
    </row>
    <row r="292" ht="15.75" hidden="1" customHeight="1">
      <c r="B292" s="146">
        <v>291.0</v>
      </c>
      <c r="C292" s="146">
        <f t="shared" si="1"/>
        <v>10291</v>
      </c>
      <c r="D292" s="146" t="s">
        <v>7</v>
      </c>
      <c r="E292" s="305" t="str">
        <f>VLOOKUP('Expected Auditing Outcomes'!$B292,'Master Sheet'!A293:G1051, 7, FALSE)</f>
        <v>#N/A</v>
      </c>
      <c r="F292" s="383" t="s">
        <v>544</v>
      </c>
      <c r="G292" s="430">
        <f>LEN('Expected Auditing Outcomes'!$F292)</f>
        <v>43</v>
      </c>
      <c r="H292" s="430"/>
    </row>
    <row r="293" ht="15.75" hidden="1" customHeight="1">
      <c r="B293" s="146">
        <v>292.0</v>
      </c>
      <c r="C293" s="146">
        <f t="shared" si="1"/>
        <v>10292</v>
      </c>
      <c r="D293" s="146" t="s">
        <v>7</v>
      </c>
      <c r="E293" s="305" t="str">
        <f>VLOOKUP('Expected Auditing Outcomes'!$B293,'Master Sheet'!A294:G1051, 7, FALSE)</f>
        <v>#N/A</v>
      </c>
      <c r="F293" s="383" t="s">
        <v>546</v>
      </c>
      <c r="G293" s="430">
        <f>LEN('Expected Auditing Outcomes'!$F293)</f>
        <v>83</v>
      </c>
      <c r="H293" s="430"/>
    </row>
    <row r="294" ht="15.75" hidden="1" customHeight="1">
      <c r="B294" s="146">
        <v>293.0</v>
      </c>
      <c r="C294" s="146">
        <f t="shared" si="1"/>
        <v>10293</v>
      </c>
      <c r="D294" s="146" t="s">
        <v>7</v>
      </c>
      <c r="E294" s="305" t="str">
        <f>VLOOKUP('Expected Auditing Outcomes'!$B294,'Master Sheet'!A295:G1051, 7, FALSE)</f>
        <v>#N/A</v>
      </c>
      <c r="F294" s="383" t="s">
        <v>3660</v>
      </c>
      <c r="G294" s="430">
        <f>LEN('Expected Auditing Outcomes'!$F294)</f>
        <v>93</v>
      </c>
      <c r="H294" s="430"/>
    </row>
    <row r="295" ht="15.75" hidden="1" customHeight="1">
      <c r="B295" s="432">
        <v>294.0</v>
      </c>
      <c r="C295" s="432">
        <f t="shared" si="1"/>
        <v>10294</v>
      </c>
      <c r="D295" s="432" t="s">
        <v>34</v>
      </c>
      <c r="E295" s="305" t="str">
        <f>VLOOKUP('Expected Auditing Outcomes'!$B295,'Master Sheet'!A296:G1051, 7, FALSE)</f>
        <v>#N/A</v>
      </c>
      <c r="F295" s="383"/>
      <c r="G295" s="430">
        <f>LEN('Expected Auditing Outcomes'!$F295)</f>
        <v>0</v>
      </c>
      <c r="H295" s="430"/>
    </row>
    <row r="296" ht="15.75" hidden="1" customHeight="1">
      <c r="B296" s="432">
        <v>295.0</v>
      </c>
      <c r="C296" s="432">
        <f t="shared" si="1"/>
        <v>10295</v>
      </c>
      <c r="D296" s="432" t="s">
        <v>34</v>
      </c>
      <c r="E296" s="305" t="str">
        <f>VLOOKUP('Expected Auditing Outcomes'!$B296,'Master Sheet'!A297:G1051, 7, FALSE)</f>
        <v>#N/A</v>
      </c>
      <c r="F296" s="466"/>
      <c r="G296" s="430">
        <f>LEN('Expected Auditing Outcomes'!$F296)</f>
        <v>0</v>
      </c>
      <c r="H296" s="430"/>
    </row>
    <row r="297" ht="15.75" hidden="1" customHeight="1">
      <c r="B297" s="432">
        <v>296.0</v>
      </c>
      <c r="C297" s="432">
        <f t="shared" si="1"/>
        <v>10296</v>
      </c>
      <c r="D297" s="432" t="s">
        <v>34</v>
      </c>
      <c r="E297" s="305" t="str">
        <f>VLOOKUP('Expected Auditing Outcomes'!$B297,'Master Sheet'!A298:G1051, 7, FALSE)</f>
        <v>#N/A</v>
      </c>
      <c r="F297" s="383"/>
      <c r="G297" s="430">
        <f>LEN('Expected Auditing Outcomes'!$F297)</f>
        <v>0</v>
      </c>
      <c r="H297" s="430"/>
    </row>
    <row r="298" ht="15.75" hidden="1" customHeight="1">
      <c r="B298" s="432">
        <v>297.0</v>
      </c>
      <c r="C298" s="432">
        <f t="shared" si="1"/>
        <v>10297</v>
      </c>
      <c r="D298" s="432" t="s">
        <v>34</v>
      </c>
      <c r="E298" s="305" t="str">
        <f>VLOOKUP('Expected Auditing Outcomes'!$B298,'Master Sheet'!A299:G1051, 7, FALSE)</f>
        <v>#N/A</v>
      </c>
      <c r="F298" s="383"/>
      <c r="G298" s="430">
        <f>LEN('Expected Auditing Outcomes'!$F298)</f>
        <v>0</v>
      </c>
      <c r="H298" s="430"/>
    </row>
    <row r="299" ht="15.75" hidden="1" customHeight="1">
      <c r="B299" s="432">
        <v>298.0</v>
      </c>
      <c r="C299" s="432">
        <f t="shared" si="1"/>
        <v>10298</v>
      </c>
      <c r="D299" s="432" t="s">
        <v>34</v>
      </c>
      <c r="E299" s="305" t="str">
        <f>VLOOKUP('Expected Auditing Outcomes'!$B299,'Master Sheet'!A300:G1051, 7, FALSE)</f>
        <v>#N/A</v>
      </c>
      <c r="F299" s="383"/>
      <c r="G299" s="430">
        <f>LEN('Expected Auditing Outcomes'!$F299)</f>
        <v>0</v>
      </c>
      <c r="H299" s="430"/>
    </row>
    <row r="300" ht="15.75" hidden="1" customHeight="1">
      <c r="B300" s="432">
        <v>299.0</v>
      </c>
      <c r="C300" s="432">
        <f t="shared" si="1"/>
        <v>10299</v>
      </c>
      <c r="D300" s="432" t="s">
        <v>34</v>
      </c>
      <c r="E300" s="305" t="str">
        <f>VLOOKUP('Expected Auditing Outcomes'!$B300,'Master Sheet'!A301:G1051, 7, FALSE)</f>
        <v>#N/A</v>
      </c>
      <c r="F300" s="383"/>
      <c r="G300" s="430">
        <f>LEN('Expected Auditing Outcomes'!$F300)</f>
        <v>0</v>
      </c>
      <c r="H300" s="430"/>
    </row>
    <row r="301" ht="15.75" hidden="1" customHeight="1">
      <c r="B301" s="146">
        <v>300.0</v>
      </c>
      <c r="C301" s="146">
        <f t="shared" si="1"/>
        <v>10300</v>
      </c>
      <c r="D301" s="146" t="s">
        <v>7</v>
      </c>
      <c r="E301" s="305" t="str">
        <f>VLOOKUP('Expected Auditing Outcomes'!$B301,'Master Sheet'!A302:G1051, 7, FALSE)</f>
        <v>#N/A</v>
      </c>
      <c r="F301" s="383" t="s">
        <v>556</v>
      </c>
      <c r="G301" s="430">
        <f>LEN('Expected Auditing Outcomes'!$F301)</f>
        <v>65</v>
      </c>
      <c r="H301" s="430"/>
    </row>
    <row r="302" ht="15.75" hidden="1" customHeight="1">
      <c r="B302" s="146">
        <v>301.0</v>
      </c>
      <c r="C302" s="146">
        <f t="shared" si="1"/>
        <v>10301</v>
      </c>
      <c r="D302" s="146" t="s">
        <v>20</v>
      </c>
      <c r="E302" s="305" t="str">
        <f>VLOOKUP('Expected Auditing Outcomes'!$B302,'Master Sheet'!A303:G1051, 7, FALSE)</f>
        <v>#N/A</v>
      </c>
      <c r="F302" s="383" t="s">
        <v>558</v>
      </c>
      <c r="G302" s="430">
        <f>LEN('Expected Auditing Outcomes'!$F302)</f>
        <v>151</v>
      </c>
      <c r="H302" s="430"/>
    </row>
    <row r="303" ht="15.75" hidden="1" customHeight="1">
      <c r="B303" s="432">
        <v>302.0</v>
      </c>
      <c r="C303" s="432">
        <f t="shared" si="1"/>
        <v>10302</v>
      </c>
      <c r="D303" s="432" t="s">
        <v>34</v>
      </c>
      <c r="E303" s="305" t="str">
        <f>VLOOKUP('Expected Auditing Outcomes'!$B303,'Master Sheet'!A304:G1051, 7, FALSE)</f>
        <v>#N/A</v>
      </c>
      <c r="F303" s="383"/>
      <c r="G303" s="430">
        <f>LEN('Expected Auditing Outcomes'!$F303)</f>
        <v>0</v>
      </c>
      <c r="H303" s="430"/>
    </row>
    <row r="304" ht="15.75" hidden="1" customHeight="1">
      <c r="B304" s="432">
        <v>303.0</v>
      </c>
      <c r="C304" s="432">
        <f t="shared" si="1"/>
        <v>10303</v>
      </c>
      <c r="D304" s="432" t="s">
        <v>34</v>
      </c>
      <c r="E304" s="305" t="str">
        <f>VLOOKUP('Expected Auditing Outcomes'!$B304,'Master Sheet'!A305:G1051, 7, FALSE)</f>
        <v>#N/A</v>
      </c>
      <c r="F304" s="383"/>
      <c r="G304" s="430">
        <f>LEN('Expected Auditing Outcomes'!$F304)</f>
        <v>0</v>
      </c>
      <c r="H304" s="430"/>
    </row>
    <row r="305" ht="15.75" hidden="1" customHeight="1">
      <c r="B305" s="146">
        <v>304.0</v>
      </c>
      <c r="C305" s="146">
        <f t="shared" si="1"/>
        <v>10304</v>
      </c>
      <c r="D305" s="146" t="s">
        <v>20</v>
      </c>
      <c r="E305" s="305" t="str">
        <f>VLOOKUP('Expected Auditing Outcomes'!$B305,'Master Sheet'!A306:G1051, 7, FALSE)</f>
        <v>#N/A</v>
      </c>
      <c r="F305" s="383" t="s">
        <v>562</v>
      </c>
      <c r="G305" s="430">
        <f>LEN('Expected Auditing Outcomes'!$F305)</f>
        <v>130</v>
      </c>
      <c r="H305" s="430"/>
    </row>
    <row r="306" ht="15.75" hidden="1" customHeight="1">
      <c r="B306" s="146">
        <v>305.0</v>
      </c>
      <c r="C306" s="146">
        <f t="shared" si="1"/>
        <v>10305</v>
      </c>
      <c r="D306" s="146" t="s">
        <v>20</v>
      </c>
      <c r="E306" s="305" t="str">
        <f>VLOOKUP('Expected Auditing Outcomes'!$B306,'Master Sheet'!A307:G1051, 7, FALSE)</f>
        <v>#N/A</v>
      </c>
      <c r="F306" s="383" t="s">
        <v>564</v>
      </c>
      <c r="G306" s="430">
        <f>LEN('Expected Auditing Outcomes'!$F306)</f>
        <v>73</v>
      </c>
      <c r="H306" s="430"/>
    </row>
    <row r="307" ht="15.75" hidden="1" customHeight="1">
      <c r="B307" s="146">
        <v>306.0</v>
      </c>
      <c r="C307" s="146">
        <f t="shared" si="1"/>
        <v>10306</v>
      </c>
      <c r="D307" s="146" t="s">
        <v>34</v>
      </c>
      <c r="E307" s="305" t="str">
        <f>VLOOKUP('Expected Auditing Outcomes'!$B307,'Master Sheet'!A308:G1051, 7, FALSE)</f>
        <v>#N/A</v>
      </c>
      <c r="F307" s="437" t="s">
        <v>566</v>
      </c>
      <c r="G307" s="430">
        <f>LEN('Expected Auditing Outcomes'!$F307)</f>
        <v>184</v>
      </c>
      <c r="H307" s="431">
        <v>45770.0</v>
      </c>
    </row>
    <row r="308" ht="15.75" hidden="1" customHeight="1">
      <c r="B308" s="146">
        <v>307.0</v>
      </c>
      <c r="C308" s="146">
        <f t="shared" si="1"/>
        <v>10307</v>
      </c>
      <c r="D308" s="146" t="s">
        <v>34</v>
      </c>
      <c r="E308" s="305" t="str">
        <f>VLOOKUP('Expected Auditing Outcomes'!$B308,'Master Sheet'!A309:G1051, 7, FALSE)</f>
        <v>#N/A</v>
      </c>
      <c r="F308" s="437" t="s">
        <v>568</v>
      </c>
      <c r="G308" s="430">
        <f>LEN('Expected Auditing Outcomes'!$F308)</f>
        <v>231</v>
      </c>
      <c r="H308" s="430" t="s">
        <v>331</v>
      </c>
    </row>
    <row r="309" ht="15.75" hidden="1" customHeight="1">
      <c r="B309" s="146">
        <v>308.0</v>
      </c>
      <c r="C309" s="146">
        <f t="shared" si="1"/>
        <v>10308</v>
      </c>
      <c r="D309" s="146" t="s">
        <v>34</v>
      </c>
      <c r="E309" s="305" t="str">
        <f>VLOOKUP('Expected Auditing Outcomes'!$B309,'Master Sheet'!A310:G1051, 7, FALSE)</f>
        <v>#N/A</v>
      </c>
      <c r="F309" s="437" t="s">
        <v>570</v>
      </c>
      <c r="G309" s="430">
        <f>LEN('Expected Auditing Outcomes'!$F309)</f>
        <v>228</v>
      </c>
      <c r="H309" s="430" t="s">
        <v>331</v>
      </c>
    </row>
    <row r="310" ht="15.75" hidden="1" customHeight="1">
      <c r="B310" s="432">
        <v>309.0</v>
      </c>
      <c r="C310" s="432">
        <f t="shared" si="1"/>
        <v>10309</v>
      </c>
      <c r="D310" s="432" t="s">
        <v>34</v>
      </c>
      <c r="E310" s="305" t="str">
        <f>VLOOKUP('Expected Auditing Outcomes'!$B310,'Master Sheet'!A311:G1051, 7, FALSE)</f>
        <v>#N/A</v>
      </c>
      <c r="F310" s="383"/>
      <c r="G310" s="430">
        <f>LEN('Expected Auditing Outcomes'!$F310)</f>
        <v>0</v>
      </c>
      <c r="H310" s="430"/>
    </row>
    <row r="311" ht="15.75" hidden="1" customHeight="1">
      <c r="B311" s="146">
        <v>310.0</v>
      </c>
      <c r="C311" s="146">
        <f t="shared" si="1"/>
        <v>10310</v>
      </c>
      <c r="D311" s="146" t="s">
        <v>7</v>
      </c>
      <c r="E311" s="305" t="str">
        <f>VLOOKUP('Expected Auditing Outcomes'!$B311,'Master Sheet'!A312:G1051, 7, FALSE)</f>
        <v>#N/A</v>
      </c>
      <c r="F311" s="383" t="s">
        <v>3661</v>
      </c>
      <c r="G311" s="430">
        <f>LEN('Expected Auditing Outcomes'!$F311)</f>
        <v>134</v>
      </c>
      <c r="H311" s="430"/>
    </row>
    <row r="312" ht="15.75" hidden="1" customHeight="1">
      <c r="B312" s="146">
        <v>311.0</v>
      </c>
      <c r="C312" s="146">
        <f t="shared" si="1"/>
        <v>10311</v>
      </c>
      <c r="D312" s="146" t="s">
        <v>7</v>
      </c>
      <c r="E312" s="305" t="str">
        <f>VLOOKUP('Expected Auditing Outcomes'!$B312,'Master Sheet'!A313:G1051, 7, FALSE)</f>
        <v>#N/A</v>
      </c>
      <c r="F312" s="383" t="s">
        <v>3662</v>
      </c>
      <c r="G312" s="430">
        <f>LEN('Expected Auditing Outcomes'!$F312)</f>
        <v>142</v>
      </c>
      <c r="H312" s="430"/>
    </row>
    <row r="313" ht="15.75" hidden="1" customHeight="1">
      <c r="B313" s="146">
        <v>312.0</v>
      </c>
      <c r="C313" s="146">
        <f t="shared" si="1"/>
        <v>10312</v>
      </c>
      <c r="D313" s="146" t="s">
        <v>34</v>
      </c>
      <c r="E313" s="305" t="str">
        <f>VLOOKUP('Expected Auditing Outcomes'!$B313,'Master Sheet'!A314:G1051, 7, FALSE)</f>
        <v>#N/A</v>
      </c>
      <c r="F313" s="437" t="s">
        <v>577</v>
      </c>
      <c r="G313" s="430">
        <f>LEN('Expected Auditing Outcomes'!$F313)</f>
        <v>181</v>
      </c>
      <c r="H313" s="431">
        <v>45770.0</v>
      </c>
    </row>
    <row r="314" ht="15.75" hidden="1" customHeight="1">
      <c r="B314" s="146">
        <v>313.0</v>
      </c>
      <c r="C314" s="146">
        <f t="shared" si="1"/>
        <v>10313</v>
      </c>
      <c r="D314" s="146" t="s">
        <v>20</v>
      </c>
      <c r="E314" s="305" t="str">
        <f>VLOOKUP('Expected Auditing Outcomes'!$B314,'Master Sheet'!A315:G1051, 7, FALSE)</f>
        <v>#N/A</v>
      </c>
      <c r="F314" s="383" t="s">
        <v>579</v>
      </c>
      <c r="G314" s="430">
        <f>LEN('Expected Auditing Outcomes'!$F314)</f>
        <v>145</v>
      </c>
      <c r="H314" s="430"/>
    </row>
    <row r="315" ht="15.75" hidden="1" customHeight="1">
      <c r="B315" s="146">
        <v>314.0</v>
      </c>
      <c r="C315" s="146">
        <f t="shared" si="1"/>
        <v>10314</v>
      </c>
      <c r="D315" s="146" t="s">
        <v>7</v>
      </c>
      <c r="E315" s="305" t="str">
        <f>VLOOKUP('Expected Auditing Outcomes'!$B315,'Master Sheet'!A316:G1051, 7, FALSE)</f>
        <v>#N/A</v>
      </c>
      <c r="F315" s="383" t="s">
        <v>581</v>
      </c>
      <c r="G315" s="430">
        <f>LEN('Expected Auditing Outcomes'!$F315)</f>
        <v>43</v>
      </c>
      <c r="H315" s="430"/>
    </row>
    <row r="316" ht="15.75" hidden="1" customHeight="1">
      <c r="B316" s="146">
        <v>315.0</v>
      </c>
      <c r="C316" s="146">
        <f t="shared" si="1"/>
        <v>10315</v>
      </c>
      <c r="D316" s="146" t="s">
        <v>34</v>
      </c>
      <c r="E316" s="305" t="str">
        <f>VLOOKUP('Expected Auditing Outcomes'!$B316,'Master Sheet'!A317:G1051, 7, FALSE)</f>
        <v>#N/A</v>
      </c>
      <c r="F316" s="383" t="s">
        <v>583</v>
      </c>
      <c r="G316" s="430">
        <f>LEN('Expected Auditing Outcomes'!$F316)</f>
        <v>84</v>
      </c>
      <c r="H316" s="430"/>
    </row>
    <row r="317" ht="15.75" hidden="1" customHeight="1">
      <c r="B317" s="146">
        <v>316.0</v>
      </c>
      <c r="C317" s="146">
        <f t="shared" si="1"/>
        <v>10316</v>
      </c>
      <c r="D317" s="146" t="s">
        <v>20</v>
      </c>
      <c r="E317" s="305" t="str">
        <f>VLOOKUP('Expected Auditing Outcomes'!$B317,'Master Sheet'!A318:G1051, 7, FALSE)</f>
        <v>#N/A</v>
      </c>
      <c r="F317" s="383" t="s">
        <v>585</v>
      </c>
      <c r="G317" s="430">
        <f>LEN('Expected Auditing Outcomes'!$F317)</f>
        <v>145</v>
      </c>
      <c r="H317" s="430"/>
    </row>
    <row r="318" ht="15.75" hidden="1" customHeight="1">
      <c r="B318" s="146">
        <v>317.0</v>
      </c>
      <c r="C318" s="146">
        <f t="shared" si="1"/>
        <v>10317</v>
      </c>
      <c r="D318" s="146" t="s">
        <v>7</v>
      </c>
      <c r="E318" s="305" t="str">
        <f>VLOOKUP('Expected Auditing Outcomes'!$B318,'Master Sheet'!A319:G1051, 7, FALSE)</f>
        <v>#N/A</v>
      </c>
      <c r="F318" s="383" t="s">
        <v>587</v>
      </c>
      <c r="G318" s="430">
        <f>LEN('Expected Auditing Outcomes'!$F318)</f>
        <v>56</v>
      </c>
      <c r="H318" s="430"/>
    </row>
    <row r="319" ht="15.75" hidden="1" customHeight="1">
      <c r="B319" s="146">
        <v>318.0</v>
      </c>
      <c r="C319" s="146">
        <f t="shared" si="1"/>
        <v>10318</v>
      </c>
      <c r="D319" s="146" t="s">
        <v>7</v>
      </c>
      <c r="E319" s="305" t="str">
        <f>VLOOKUP('Expected Auditing Outcomes'!$B319,'Master Sheet'!A320:G1051, 7, FALSE)</f>
        <v>#N/A</v>
      </c>
      <c r="F319" s="383" t="s">
        <v>589</v>
      </c>
      <c r="G319" s="430">
        <f>LEN('Expected Auditing Outcomes'!$F319)</f>
        <v>72</v>
      </c>
      <c r="H319" s="430"/>
    </row>
    <row r="320" ht="15.75" hidden="1" customHeight="1">
      <c r="B320" s="146">
        <v>319.0</v>
      </c>
      <c r="C320" s="146">
        <f t="shared" si="1"/>
        <v>10319</v>
      </c>
      <c r="D320" s="146" t="s">
        <v>27</v>
      </c>
      <c r="E320" s="305" t="str">
        <f>VLOOKUP('Expected Auditing Outcomes'!$B320,'Master Sheet'!A321:G1051, 7, FALSE)</f>
        <v>#N/A</v>
      </c>
      <c r="F320" s="383" t="s">
        <v>591</v>
      </c>
      <c r="G320" s="430">
        <f>LEN('Expected Auditing Outcomes'!$F320)</f>
        <v>74</v>
      </c>
      <c r="H320" s="430"/>
    </row>
    <row r="321" ht="15.75" hidden="1" customHeight="1">
      <c r="B321" s="146">
        <v>320.0</v>
      </c>
      <c r="C321" s="146">
        <f t="shared" si="1"/>
        <v>10320</v>
      </c>
      <c r="D321" s="146" t="s">
        <v>20</v>
      </c>
      <c r="E321" s="305" t="str">
        <f>VLOOKUP('Expected Auditing Outcomes'!$B321,'Master Sheet'!A322:G1051, 7, FALSE)</f>
        <v>#N/A</v>
      </c>
      <c r="F321" s="383" t="s">
        <v>593</v>
      </c>
      <c r="G321" s="430">
        <f>LEN('Expected Auditing Outcomes'!$F321)</f>
        <v>128</v>
      </c>
      <c r="H321" s="430"/>
    </row>
    <row r="322" ht="15.75" hidden="1" customHeight="1">
      <c r="B322" s="146">
        <v>321.0</v>
      </c>
      <c r="C322" s="146">
        <f t="shared" si="1"/>
        <v>10321</v>
      </c>
      <c r="D322" s="146" t="s">
        <v>34</v>
      </c>
      <c r="E322" s="305" t="str">
        <f>VLOOKUP('Expected Auditing Outcomes'!$B322,'Master Sheet'!A323:G1051, 7, FALSE)</f>
        <v>#N/A</v>
      </c>
      <c r="F322" s="383" t="s">
        <v>595</v>
      </c>
      <c r="G322" s="430">
        <f>LEN('Expected Auditing Outcomes'!$F322)</f>
        <v>162</v>
      </c>
      <c r="H322" s="430"/>
    </row>
    <row r="323" ht="15.75" hidden="1" customHeight="1">
      <c r="B323" s="146">
        <v>322.0</v>
      </c>
      <c r="C323" s="146">
        <f t="shared" si="1"/>
        <v>10322</v>
      </c>
      <c r="D323" s="146" t="s">
        <v>7</v>
      </c>
      <c r="E323" s="305" t="str">
        <f>VLOOKUP('Expected Auditing Outcomes'!$B323,'Master Sheet'!A324:G1051, 7, FALSE)</f>
        <v>#N/A</v>
      </c>
      <c r="F323" s="383" t="s">
        <v>597</v>
      </c>
      <c r="G323" s="430">
        <f>LEN('Expected Auditing Outcomes'!$F323)</f>
        <v>122</v>
      </c>
      <c r="H323" s="430"/>
    </row>
    <row r="324" ht="15.75" hidden="1" customHeight="1">
      <c r="B324" s="146">
        <v>323.0</v>
      </c>
      <c r="C324" s="146">
        <f t="shared" si="1"/>
        <v>10323</v>
      </c>
      <c r="D324" s="146" t="s">
        <v>7</v>
      </c>
      <c r="E324" s="305" t="str">
        <f>VLOOKUP('Expected Auditing Outcomes'!$B324,'Master Sheet'!A325:G1051, 7, FALSE)</f>
        <v>#N/A</v>
      </c>
      <c r="F324" s="383" t="s">
        <v>599</v>
      </c>
      <c r="G324" s="430">
        <f>LEN('Expected Auditing Outcomes'!$F324)</f>
        <v>59</v>
      </c>
      <c r="H324" s="430"/>
    </row>
    <row r="325" ht="15.75" hidden="1" customHeight="1">
      <c r="B325" s="146">
        <v>324.0</v>
      </c>
      <c r="C325" s="146">
        <f t="shared" si="1"/>
        <v>10324</v>
      </c>
      <c r="D325" s="146" t="s">
        <v>34</v>
      </c>
      <c r="E325" s="305" t="str">
        <f>VLOOKUP('Expected Auditing Outcomes'!$B325,'Master Sheet'!A326:G1051, 7, FALSE)</f>
        <v>#N/A</v>
      </c>
      <c r="F325" s="437" t="s">
        <v>601</v>
      </c>
      <c r="G325" s="430">
        <f>LEN('Expected Auditing Outcomes'!$F325)</f>
        <v>204</v>
      </c>
      <c r="H325" s="430" t="s">
        <v>331</v>
      </c>
    </row>
    <row r="326" ht="15.75" hidden="1" customHeight="1">
      <c r="B326" s="146">
        <v>325.0</v>
      </c>
      <c r="C326" s="146">
        <f t="shared" si="1"/>
        <v>10325</v>
      </c>
      <c r="D326" s="146" t="s">
        <v>34</v>
      </c>
      <c r="E326" s="305" t="str">
        <f>VLOOKUP('Expected Auditing Outcomes'!$B326,'Master Sheet'!A327:G1051, 7, FALSE)</f>
        <v>#N/A</v>
      </c>
      <c r="F326" s="437" t="s">
        <v>603</v>
      </c>
      <c r="G326" s="430">
        <f>LEN('Expected Auditing Outcomes'!$F326)</f>
        <v>231</v>
      </c>
      <c r="H326" s="430" t="s">
        <v>331</v>
      </c>
    </row>
    <row r="327" ht="15.75" hidden="1" customHeight="1">
      <c r="B327" s="146">
        <v>326.0</v>
      </c>
      <c r="C327" s="146">
        <f t="shared" si="1"/>
        <v>10326</v>
      </c>
      <c r="D327" s="146" t="s">
        <v>7</v>
      </c>
      <c r="E327" s="305" t="str">
        <f>VLOOKUP('Expected Auditing Outcomes'!$B327,'Master Sheet'!A328:G1051, 7, FALSE)</f>
        <v>#N/A</v>
      </c>
      <c r="F327" s="383" t="s">
        <v>605</v>
      </c>
      <c r="G327" s="430">
        <f>LEN('Expected Auditing Outcomes'!$F327)</f>
        <v>41</v>
      </c>
      <c r="H327" s="430"/>
    </row>
    <row r="328" ht="15.75" hidden="1" customHeight="1">
      <c r="B328" s="146">
        <v>327.0</v>
      </c>
      <c r="C328" s="146">
        <f t="shared" si="1"/>
        <v>10327</v>
      </c>
      <c r="D328" s="146" t="s">
        <v>34</v>
      </c>
      <c r="E328" s="305" t="str">
        <f>VLOOKUP('Expected Auditing Outcomes'!$B328,'Master Sheet'!A329:G1051, 7, FALSE)</f>
        <v>#N/A</v>
      </c>
      <c r="F328" s="383" t="s">
        <v>607</v>
      </c>
      <c r="G328" s="430">
        <f>LEN('Expected Auditing Outcomes'!$F328)</f>
        <v>137</v>
      </c>
      <c r="H328" s="430"/>
    </row>
    <row r="329" ht="15.75" hidden="1" customHeight="1">
      <c r="B329" s="146">
        <v>328.0</v>
      </c>
      <c r="C329" s="146">
        <f t="shared" si="1"/>
        <v>10328</v>
      </c>
      <c r="D329" s="146" t="s">
        <v>7</v>
      </c>
      <c r="E329" s="305" t="s">
        <v>608</v>
      </c>
      <c r="F329" s="383" t="s">
        <v>609</v>
      </c>
      <c r="G329" s="430">
        <f>LEN('Expected Auditing Outcomes'!$F329)</f>
        <v>37</v>
      </c>
      <c r="H329" s="430"/>
    </row>
    <row r="330" ht="15.75" hidden="1" customHeight="1">
      <c r="B330" s="146">
        <v>329.0</v>
      </c>
      <c r="C330" s="146">
        <f t="shared" si="1"/>
        <v>10329</v>
      </c>
      <c r="D330" s="146" t="s">
        <v>7</v>
      </c>
      <c r="E330" s="305" t="str">
        <f>VLOOKUP('Expected Auditing Outcomes'!$B330,'Master Sheet'!A331:G1051, 7, FALSE)</f>
        <v>#N/A</v>
      </c>
      <c r="F330" s="383" t="s">
        <v>611</v>
      </c>
      <c r="G330" s="430">
        <f>LEN('Expected Auditing Outcomes'!$F330)</f>
        <v>40</v>
      </c>
      <c r="H330" s="430"/>
    </row>
    <row r="331" ht="15.75" hidden="1" customHeight="1">
      <c r="B331" s="146">
        <v>330.0</v>
      </c>
      <c r="C331" s="146">
        <f t="shared" si="1"/>
        <v>10330</v>
      </c>
      <c r="D331" s="146" t="s">
        <v>7</v>
      </c>
      <c r="E331" s="305" t="str">
        <f>VLOOKUP('Expected Auditing Outcomes'!$B331,'Master Sheet'!A332:G1051, 7, FALSE)</f>
        <v>#N/A</v>
      </c>
      <c r="F331" s="383" t="s">
        <v>613</v>
      </c>
      <c r="G331" s="430">
        <f>LEN('Expected Auditing Outcomes'!$F331)</f>
        <v>58</v>
      </c>
      <c r="H331" s="430"/>
    </row>
    <row r="332" ht="15.75" hidden="1" customHeight="1">
      <c r="B332" s="146">
        <v>331.0</v>
      </c>
      <c r="C332" s="146">
        <f t="shared" si="1"/>
        <v>10331</v>
      </c>
      <c r="D332" s="146" t="s">
        <v>7</v>
      </c>
      <c r="E332" s="305" t="str">
        <f>VLOOKUP('Expected Auditing Outcomes'!$B332,'Master Sheet'!A333:G1051, 7, FALSE)</f>
        <v>#N/A</v>
      </c>
      <c r="F332" s="383" t="s">
        <v>615</v>
      </c>
      <c r="G332" s="430">
        <f>LEN('Expected Auditing Outcomes'!$F332)</f>
        <v>43</v>
      </c>
      <c r="H332" s="430"/>
    </row>
    <row r="333" ht="15.75" hidden="1" customHeight="1">
      <c r="B333" s="146">
        <v>332.0</v>
      </c>
      <c r="C333" s="146">
        <f t="shared" si="1"/>
        <v>10332</v>
      </c>
      <c r="D333" s="146" t="s">
        <v>20</v>
      </c>
      <c r="E333" s="305" t="str">
        <f>VLOOKUP('Expected Auditing Outcomes'!$B333,'Master Sheet'!A334:G1051, 7, FALSE)</f>
        <v>#N/A</v>
      </c>
      <c r="F333" s="437" t="s">
        <v>617</v>
      </c>
      <c r="G333" s="430">
        <f>LEN('Expected Auditing Outcomes'!$F333)</f>
        <v>169</v>
      </c>
      <c r="H333" s="431">
        <v>45772.0</v>
      </c>
    </row>
    <row r="334" ht="15.75" hidden="1" customHeight="1">
      <c r="B334" s="146">
        <v>333.0</v>
      </c>
      <c r="C334" s="146">
        <f t="shared" si="1"/>
        <v>10333</v>
      </c>
      <c r="D334" s="146" t="s">
        <v>7</v>
      </c>
      <c r="E334" s="305" t="str">
        <f>VLOOKUP('Expected Auditing Outcomes'!$B334,'Master Sheet'!A335:G1051, 7, FALSE)</f>
        <v>#N/A</v>
      </c>
      <c r="F334" s="383" t="s">
        <v>619</v>
      </c>
      <c r="G334" s="430">
        <f>LEN('Expected Auditing Outcomes'!$F334)</f>
        <v>43</v>
      </c>
      <c r="H334" s="430"/>
    </row>
    <row r="335" ht="15.75" hidden="1" customHeight="1">
      <c r="B335" s="432">
        <v>334.0</v>
      </c>
      <c r="C335" s="432">
        <f t="shared" si="1"/>
        <v>10334</v>
      </c>
      <c r="D335" s="432" t="s">
        <v>34</v>
      </c>
      <c r="E335" s="305" t="str">
        <f>VLOOKUP('Expected Auditing Outcomes'!$B335,'Master Sheet'!A336:G1051, 7, FALSE)</f>
        <v>#N/A</v>
      </c>
      <c r="F335" s="383"/>
      <c r="G335" s="430">
        <f>LEN('Expected Auditing Outcomes'!$F335)</f>
        <v>0</v>
      </c>
      <c r="H335" s="430"/>
    </row>
    <row r="336" ht="15.75" hidden="1" customHeight="1">
      <c r="B336" s="146">
        <v>335.0</v>
      </c>
      <c r="C336" s="146">
        <f t="shared" si="1"/>
        <v>10335</v>
      </c>
      <c r="D336" s="146" t="s">
        <v>34</v>
      </c>
      <c r="E336" s="305" t="str">
        <f>VLOOKUP('Expected Auditing Outcomes'!$B336,'Master Sheet'!A337:G1051, 7, FALSE)</f>
        <v>#N/A</v>
      </c>
      <c r="F336" s="383" t="s">
        <v>622</v>
      </c>
      <c r="G336" s="430">
        <f>LEN('Expected Auditing Outcomes'!$F336)</f>
        <v>160</v>
      </c>
      <c r="H336" s="430"/>
    </row>
    <row r="337" ht="15.75" hidden="1" customHeight="1">
      <c r="B337" s="432">
        <v>336.0</v>
      </c>
      <c r="C337" s="432">
        <f t="shared" si="1"/>
        <v>10336</v>
      </c>
      <c r="D337" s="432" t="s">
        <v>34</v>
      </c>
      <c r="E337" s="305" t="str">
        <f>VLOOKUP('Expected Auditing Outcomes'!$B337,'Master Sheet'!A338:G1051, 7, FALSE)</f>
        <v>#N/A</v>
      </c>
      <c r="F337" s="383"/>
      <c r="G337" s="430">
        <f>LEN('Expected Auditing Outcomes'!$F337)</f>
        <v>0</v>
      </c>
      <c r="H337" s="430"/>
    </row>
    <row r="338" ht="15.75" hidden="1" customHeight="1">
      <c r="B338" s="146">
        <v>337.0</v>
      </c>
      <c r="C338" s="146">
        <f t="shared" si="1"/>
        <v>10337</v>
      </c>
      <c r="D338" s="146" t="s">
        <v>34</v>
      </c>
      <c r="E338" s="305" t="str">
        <f>VLOOKUP('Expected Auditing Outcomes'!$B338,'Master Sheet'!A339:G1051, 7, FALSE)</f>
        <v>#N/A</v>
      </c>
      <c r="F338" s="383" t="s">
        <v>625</v>
      </c>
      <c r="G338" s="430">
        <f>LEN('Expected Auditing Outcomes'!$F338)</f>
        <v>148</v>
      </c>
      <c r="H338" s="430"/>
    </row>
    <row r="339" ht="15.75" hidden="1" customHeight="1">
      <c r="B339" s="146">
        <v>338.0</v>
      </c>
      <c r="C339" s="146">
        <f t="shared" si="1"/>
        <v>10338</v>
      </c>
      <c r="D339" s="146" t="s">
        <v>7</v>
      </c>
      <c r="E339" s="305" t="str">
        <f>VLOOKUP('Expected Auditing Outcomes'!$B339,'Master Sheet'!A340:G1051, 7, FALSE)</f>
        <v>#N/A</v>
      </c>
      <c r="F339" s="383" t="s">
        <v>627</v>
      </c>
      <c r="G339" s="430">
        <f>LEN('Expected Auditing Outcomes'!$F339)</f>
        <v>43</v>
      </c>
      <c r="H339" s="430"/>
    </row>
    <row r="340" ht="15.75" hidden="1" customHeight="1">
      <c r="B340" s="146">
        <v>339.0</v>
      </c>
      <c r="C340" s="146">
        <f t="shared" si="1"/>
        <v>10339</v>
      </c>
      <c r="D340" s="146" t="s">
        <v>7</v>
      </c>
      <c r="E340" s="305" t="str">
        <f>VLOOKUP('Expected Auditing Outcomes'!$B340,'Master Sheet'!A341:G1051, 7, FALSE)</f>
        <v>#N/A</v>
      </c>
      <c r="F340" s="383" t="s">
        <v>629</v>
      </c>
      <c r="G340" s="430">
        <f>LEN('Expected Auditing Outcomes'!$F340)</f>
        <v>94</v>
      </c>
      <c r="H340" s="430"/>
    </row>
    <row r="341" ht="15.75" hidden="1" customHeight="1">
      <c r="B341" s="146">
        <v>340.0</v>
      </c>
      <c r="C341" s="146">
        <f t="shared" si="1"/>
        <v>10340</v>
      </c>
      <c r="D341" s="146" t="s">
        <v>7</v>
      </c>
      <c r="E341" s="305" t="str">
        <f>VLOOKUP('Expected Auditing Outcomes'!$B341,'Master Sheet'!A342:G1051, 7, FALSE)</f>
        <v>#N/A</v>
      </c>
      <c r="F341" s="383" t="s">
        <v>631</v>
      </c>
      <c r="G341" s="430">
        <f>LEN('Expected Auditing Outcomes'!$F341)</f>
        <v>62</v>
      </c>
      <c r="H341" s="430"/>
    </row>
    <row r="342" ht="15.75" hidden="1" customHeight="1">
      <c r="B342" s="146">
        <v>341.0</v>
      </c>
      <c r="C342" s="146">
        <f t="shared" si="1"/>
        <v>10341</v>
      </c>
      <c r="D342" s="146" t="s">
        <v>7</v>
      </c>
      <c r="E342" s="305" t="str">
        <f>VLOOKUP('Expected Auditing Outcomes'!$B342,'Master Sheet'!A343:G1051, 7, FALSE)</f>
        <v>#N/A</v>
      </c>
      <c r="F342" s="383" t="s">
        <v>633</v>
      </c>
      <c r="G342" s="430">
        <f>LEN('Expected Auditing Outcomes'!$F342)</f>
        <v>81</v>
      </c>
      <c r="H342" s="430"/>
    </row>
    <row r="343" ht="15.75" hidden="1" customHeight="1">
      <c r="B343" s="146">
        <v>342.0</v>
      </c>
      <c r="C343" s="146">
        <f t="shared" si="1"/>
        <v>10342</v>
      </c>
      <c r="D343" s="146" t="s">
        <v>34</v>
      </c>
      <c r="E343" s="305" t="str">
        <f>VLOOKUP('Expected Auditing Outcomes'!$B343,'Master Sheet'!A344:G1051, 7, FALSE)</f>
        <v>#N/A</v>
      </c>
      <c r="F343" s="437" t="s">
        <v>603</v>
      </c>
      <c r="G343" s="430">
        <f>LEN('Expected Auditing Outcomes'!$F343)</f>
        <v>231</v>
      </c>
      <c r="H343" s="430" t="s">
        <v>331</v>
      </c>
    </row>
    <row r="344" ht="15.75" hidden="1" customHeight="1">
      <c r="B344" s="146">
        <v>343.0</v>
      </c>
      <c r="C344" s="146">
        <f t="shared" si="1"/>
        <v>10343</v>
      </c>
      <c r="D344" s="146" t="s">
        <v>7</v>
      </c>
      <c r="E344" s="305" t="str">
        <f>VLOOKUP('Expected Auditing Outcomes'!$B344,'Master Sheet'!A345:G1051, 7, FALSE)</f>
        <v>#N/A</v>
      </c>
      <c r="F344" s="383" t="s">
        <v>636</v>
      </c>
      <c r="G344" s="430">
        <f>LEN('Expected Auditing Outcomes'!$F344)</f>
        <v>34</v>
      </c>
      <c r="H344" s="430"/>
    </row>
    <row r="345" ht="15.75" hidden="1" customHeight="1">
      <c r="B345" s="146">
        <v>344.0</v>
      </c>
      <c r="C345" s="146">
        <f t="shared" si="1"/>
        <v>10344</v>
      </c>
      <c r="D345" s="146" t="s">
        <v>7</v>
      </c>
      <c r="E345" s="305" t="str">
        <f>VLOOKUP('Expected Auditing Outcomes'!$B345,'Master Sheet'!A346:G1051, 7, FALSE)</f>
        <v>#N/A</v>
      </c>
      <c r="F345" s="383" t="s">
        <v>638</v>
      </c>
      <c r="G345" s="430">
        <f>LEN('Expected Auditing Outcomes'!$F345)</f>
        <v>50</v>
      </c>
      <c r="H345" s="430"/>
    </row>
    <row r="346" ht="15.75" hidden="1" customHeight="1">
      <c r="B346" s="146">
        <v>345.0</v>
      </c>
      <c r="C346" s="146">
        <f t="shared" si="1"/>
        <v>10345</v>
      </c>
      <c r="D346" s="146" t="s">
        <v>20</v>
      </c>
      <c r="E346" s="305" t="str">
        <f>VLOOKUP('Expected Auditing Outcomes'!$B346,'Master Sheet'!A347:G1051, 7, FALSE)</f>
        <v>#N/A</v>
      </c>
      <c r="F346" s="383" t="s">
        <v>640</v>
      </c>
      <c r="G346" s="430">
        <f>LEN('Expected Auditing Outcomes'!$F346)</f>
        <v>100</v>
      </c>
      <c r="H346" s="430"/>
    </row>
    <row r="347" ht="15.75" hidden="1" customHeight="1">
      <c r="B347" s="146">
        <v>346.0</v>
      </c>
      <c r="C347" s="146">
        <f t="shared" si="1"/>
        <v>10346</v>
      </c>
      <c r="D347" s="146" t="s">
        <v>20</v>
      </c>
      <c r="E347" s="305" t="str">
        <f>VLOOKUP('Expected Auditing Outcomes'!$B347,'Master Sheet'!A348:G1051, 7, FALSE)</f>
        <v>#N/A</v>
      </c>
      <c r="F347" s="383" t="s">
        <v>642</v>
      </c>
      <c r="G347" s="430">
        <f>LEN('Expected Auditing Outcomes'!$F347)</f>
        <v>76</v>
      </c>
      <c r="H347" s="430"/>
    </row>
    <row r="348" ht="15.75" hidden="1" customHeight="1">
      <c r="B348" s="146">
        <v>347.0</v>
      </c>
      <c r="C348" s="146">
        <f t="shared" si="1"/>
        <v>10347</v>
      </c>
      <c r="D348" s="146" t="s">
        <v>20</v>
      </c>
      <c r="E348" s="305" t="str">
        <f>VLOOKUP('Expected Auditing Outcomes'!$B348,'Master Sheet'!A349:G1051, 7, FALSE)</f>
        <v>#N/A</v>
      </c>
      <c r="F348" s="383" t="s">
        <v>644</v>
      </c>
      <c r="G348" s="430">
        <f>LEN('Expected Auditing Outcomes'!$F348)</f>
        <v>136</v>
      </c>
      <c r="H348" s="430"/>
    </row>
    <row r="349" ht="15.75" hidden="1" customHeight="1">
      <c r="B349" s="146">
        <v>348.0</v>
      </c>
      <c r="C349" s="146">
        <f t="shared" si="1"/>
        <v>10348</v>
      </c>
      <c r="D349" s="146" t="s">
        <v>34</v>
      </c>
      <c r="E349" s="305" t="str">
        <f>VLOOKUP('Expected Auditing Outcomes'!$B349,'Master Sheet'!A350:G1051, 7, FALSE)</f>
        <v>#N/A</v>
      </c>
      <c r="F349" s="383" t="s">
        <v>646</v>
      </c>
      <c r="G349" s="430">
        <f>LEN('Expected Auditing Outcomes'!$F349)</f>
        <v>142</v>
      </c>
      <c r="H349" s="430"/>
    </row>
    <row r="350" ht="15.75" hidden="1" customHeight="1">
      <c r="B350" s="146">
        <v>349.0</v>
      </c>
      <c r="C350" s="146">
        <f t="shared" si="1"/>
        <v>10349</v>
      </c>
      <c r="D350" s="146" t="s">
        <v>34</v>
      </c>
      <c r="E350" s="305" t="str">
        <f>VLOOKUP('Expected Auditing Outcomes'!$B350,'Master Sheet'!A351:G1051, 7, FALSE)</f>
        <v>#N/A</v>
      </c>
      <c r="F350" s="383" t="s">
        <v>646</v>
      </c>
      <c r="G350" s="430">
        <f>LEN('Expected Auditing Outcomes'!$F350)</f>
        <v>142</v>
      </c>
      <c r="H350" s="430"/>
    </row>
    <row r="351" ht="15.75" hidden="1" customHeight="1">
      <c r="B351" s="146">
        <v>350.0</v>
      </c>
      <c r="C351" s="146">
        <f t="shared" si="1"/>
        <v>10350</v>
      </c>
      <c r="D351" s="146" t="s">
        <v>7</v>
      </c>
      <c r="E351" s="305" t="str">
        <f>VLOOKUP('Expected Auditing Outcomes'!$B351,'Master Sheet'!A352:G1051, 7, FALSE)</f>
        <v>#N/A</v>
      </c>
      <c r="F351" s="383" t="s">
        <v>649</v>
      </c>
      <c r="G351" s="430">
        <f>LEN('Expected Auditing Outcomes'!$F351)</f>
        <v>89</v>
      </c>
      <c r="H351" s="430"/>
    </row>
    <row r="352" ht="15.75" hidden="1" customHeight="1">
      <c r="B352" s="146">
        <v>351.0</v>
      </c>
      <c r="C352" s="146">
        <f t="shared" si="1"/>
        <v>10351</v>
      </c>
      <c r="D352" s="146" t="s">
        <v>7</v>
      </c>
      <c r="E352" s="305" t="str">
        <f>VLOOKUP('Expected Auditing Outcomes'!$B352,'Master Sheet'!A353:G1051, 7, FALSE)</f>
        <v>#N/A</v>
      </c>
      <c r="F352" s="383" t="s">
        <v>651</v>
      </c>
      <c r="G352" s="430">
        <f>LEN('Expected Auditing Outcomes'!$F352)</f>
        <v>71</v>
      </c>
      <c r="H352" s="430"/>
    </row>
    <row r="353" ht="15.75" hidden="1" customHeight="1">
      <c r="B353" s="146">
        <v>352.0</v>
      </c>
      <c r="C353" s="146">
        <f t="shared" si="1"/>
        <v>10352</v>
      </c>
      <c r="D353" s="146" t="s">
        <v>7</v>
      </c>
      <c r="E353" s="305" t="str">
        <f>VLOOKUP('Expected Auditing Outcomes'!$B353,'Master Sheet'!A354:G1051, 7, FALSE)</f>
        <v>#N/A</v>
      </c>
      <c r="F353" s="383" t="s">
        <v>653</v>
      </c>
      <c r="G353" s="430">
        <f>LEN('Expected Auditing Outcomes'!$F353)</f>
        <v>82</v>
      </c>
      <c r="H353" s="430"/>
    </row>
    <row r="354" ht="15.75" hidden="1" customHeight="1">
      <c r="B354" s="146">
        <v>353.0</v>
      </c>
      <c r="C354" s="146">
        <f t="shared" si="1"/>
        <v>10353</v>
      </c>
      <c r="D354" s="146" t="s">
        <v>7</v>
      </c>
      <c r="E354" s="305" t="str">
        <f>VLOOKUP('Expected Auditing Outcomes'!$B354,'Master Sheet'!A355:G1051, 7, FALSE)</f>
        <v>#N/A</v>
      </c>
      <c r="F354" s="383" t="s">
        <v>655</v>
      </c>
      <c r="G354" s="430">
        <f>LEN('Expected Auditing Outcomes'!$F354)</f>
        <v>63</v>
      </c>
      <c r="H354" s="430"/>
    </row>
    <row r="355" ht="15.75" hidden="1" customHeight="1">
      <c r="B355" s="146">
        <v>354.0</v>
      </c>
      <c r="C355" s="146">
        <f t="shared" si="1"/>
        <v>10354</v>
      </c>
      <c r="D355" s="146" t="s">
        <v>7</v>
      </c>
      <c r="E355" s="305" t="str">
        <f>VLOOKUP('Expected Auditing Outcomes'!$B355,'Master Sheet'!A356:G1051, 7, FALSE)</f>
        <v>#N/A</v>
      </c>
      <c r="F355" s="383" t="s">
        <v>657</v>
      </c>
      <c r="G355" s="430">
        <f>LEN('Expected Auditing Outcomes'!$F355)</f>
        <v>44</v>
      </c>
      <c r="H355" s="430"/>
    </row>
    <row r="356" ht="15.75" hidden="1" customHeight="1">
      <c r="B356" s="146">
        <v>355.0</v>
      </c>
      <c r="C356" s="146">
        <f t="shared" si="1"/>
        <v>10355</v>
      </c>
      <c r="D356" s="146" t="s">
        <v>20</v>
      </c>
      <c r="E356" s="305" t="str">
        <f>VLOOKUP('Expected Auditing Outcomes'!$B356,'Master Sheet'!A357:G1051, 7, FALSE)</f>
        <v>#N/A</v>
      </c>
      <c r="F356" s="383" t="s">
        <v>659</v>
      </c>
      <c r="G356" s="430">
        <f>LEN('Expected Auditing Outcomes'!$F356)</f>
        <v>134</v>
      </c>
      <c r="H356" s="430"/>
    </row>
    <row r="357" ht="15.75" hidden="1" customHeight="1">
      <c r="B357" s="146">
        <v>356.0</v>
      </c>
      <c r="C357" s="146">
        <f t="shared" si="1"/>
        <v>10356</v>
      </c>
      <c r="D357" s="146" t="s">
        <v>7</v>
      </c>
      <c r="E357" s="305" t="str">
        <f>VLOOKUP('Expected Auditing Outcomes'!$B357,'Master Sheet'!A358:G1051, 7, FALSE)</f>
        <v>#N/A</v>
      </c>
      <c r="F357" s="383" t="s">
        <v>661</v>
      </c>
      <c r="G357" s="430">
        <f>LEN('Expected Auditing Outcomes'!$F357)</f>
        <v>40</v>
      </c>
      <c r="H357" s="430"/>
    </row>
    <row r="358" ht="15.75" hidden="1" customHeight="1">
      <c r="B358" s="146">
        <v>357.0</v>
      </c>
      <c r="C358" s="146">
        <f t="shared" si="1"/>
        <v>10357</v>
      </c>
      <c r="D358" s="146" t="s">
        <v>7</v>
      </c>
      <c r="E358" s="305" t="str">
        <f>VLOOKUP('Expected Auditing Outcomes'!$B358,'Master Sheet'!A359:G1051, 7, FALSE)</f>
        <v>#N/A</v>
      </c>
      <c r="F358" s="383" t="s">
        <v>663</v>
      </c>
      <c r="G358" s="430">
        <f>LEN('Expected Auditing Outcomes'!$F358)</f>
        <v>64</v>
      </c>
      <c r="H358" s="430"/>
    </row>
    <row r="359" ht="15.75" hidden="1" customHeight="1">
      <c r="B359" s="432">
        <v>358.0</v>
      </c>
      <c r="C359" s="432">
        <f t="shared" si="1"/>
        <v>10358</v>
      </c>
      <c r="D359" s="432" t="s">
        <v>34</v>
      </c>
      <c r="E359" s="305" t="str">
        <f>VLOOKUP('Expected Auditing Outcomes'!$B359,'Master Sheet'!A360:G1051, 7, FALSE)</f>
        <v>#N/A</v>
      </c>
      <c r="F359" s="383"/>
      <c r="G359" s="430">
        <f>LEN('Expected Auditing Outcomes'!$F359)</f>
        <v>0</v>
      </c>
      <c r="H359" s="430"/>
    </row>
    <row r="360" ht="15.75" hidden="1" customHeight="1">
      <c r="B360" s="432">
        <v>359.0</v>
      </c>
      <c r="C360" s="432">
        <f t="shared" si="1"/>
        <v>10359</v>
      </c>
      <c r="D360" s="432" t="s">
        <v>34</v>
      </c>
      <c r="E360" s="305" t="str">
        <f>VLOOKUP('Expected Auditing Outcomes'!$B360,'Master Sheet'!A361:G1051, 7, FALSE)</f>
        <v>#N/A</v>
      </c>
      <c r="F360" s="383"/>
      <c r="G360" s="430">
        <f>LEN('Expected Auditing Outcomes'!$F360)</f>
        <v>0</v>
      </c>
      <c r="H360" s="430"/>
    </row>
    <row r="361" ht="15.75" hidden="1" customHeight="1">
      <c r="B361" s="432">
        <v>360.0</v>
      </c>
      <c r="C361" s="432">
        <f t="shared" si="1"/>
        <v>10360</v>
      </c>
      <c r="D361" s="432" t="s">
        <v>34</v>
      </c>
      <c r="E361" s="305" t="str">
        <f>VLOOKUP('Expected Auditing Outcomes'!$B361,'Master Sheet'!A362:G1051, 7, FALSE)</f>
        <v>#N/A</v>
      </c>
      <c r="F361" s="466"/>
      <c r="G361" s="430">
        <f>LEN('Expected Auditing Outcomes'!$F361)</f>
        <v>0</v>
      </c>
      <c r="H361" s="430"/>
    </row>
    <row r="362" ht="15.75" hidden="1" customHeight="1">
      <c r="B362" s="432">
        <v>361.0</v>
      </c>
      <c r="C362" s="432">
        <f t="shared" si="1"/>
        <v>10361</v>
      </c>
      <c r="D362" s="432" t="s">
        <v>34</v>
      </c>
      <c r="E362" s="305" t="str">
        <f>VLOOKUP('Expected Auditing Outcomes'!$B362,'Master Sheet'!A363:G1051, 7, FALSE)</f>
        <v>#N/A</v>
      </c>
      <c r="F362" s="383"/>
      <c r="G362" s="430">
        <f>LEN('Expected Auditing Outcomes'!$F362)</f>
        <v>0</v>
      </c>
      <c r="H362" s="430"/>
    </row>
    <row r="363" ht="15.75" hidden="1" customHeight="1">
      <c r="B363" s="432">
        <v>362.0</v>
      </c>
      <c r="C363" s="432">
        <f t="shared" si="1"/>
        <v>10362</v>
      </c>
      <c r="D363" s="432" t="s">
        <v>34</v>
      </c>
      <c r="E363" s="305" t="str">
        <f>VLOOKUP('Expected Auditing Outcomes'!$B363,'Master Sheet'!A364:G1051, 7, FALSE)</f>
        <v>#N/A</v>
      </c>
      <c r="F363" s="383"/>
      <c r="G363" s="430">
        <f>LEN('Expected Auditing Outcomes'!$F363)</f>
        <v>0</v>
      </c>
      <c r="H363" s="430"/>
    </row>
    <row r="364" ht="15.75" hidden="1" customHeight="1">
      <c r="B364" s="146">
        <v>363.0</v>
      </c>
      <c r="C364" s="146">
        <f t="shared" si="1"/>
        <v>10363</v>
      </c>
      <c r="D364" s="146" t="s">
        <v>20</v>
      </c>
      <c r="E364" s="305" t="str">
        <f>VLOOKUP('Expected Auditing Outcomes'!$B364,'Master Sheet'!A365:G1051, 7, FALSE)</f>
        <v>#N/A</v>
      </c>
      <c r="F364" s="383" t="s">
        <v>669</v>
      </c>
      <c r="G364" s="430">
        <f>LEN('Expected Auditing Outcomes'!$F364)</f>
        <v>120</v>
      </c>
      <c r="H364" s="430"/>
    </row>
    <row r="365" ht="15.75" hidden="1" customHeight="1">
      <c r="B365" s="146">
        <v>364.0</v>
      </c>
      <c r="C365" s="146">
        <f t="shared" si="1"/>
        <v>10364</v>
      </c>
      <c r="D365" s="146" t="s">
        <v>20</v>
      </c>
      <c r="E365" s="305" t="str">
        <f>VLOOKUP('Expected Auditing Outcomes'!$B365,'Master Sheet'!A366:G1051, 7, FALSE)</f>
        <v>#N/A</v>
      </c>
      <c r="F365" s="383" t="s">
        <v>671</v>
      </c>
      <c r="G365" s="430">
        <f>LEN('Expected Auditing Outcomes'!$F365)</f>
        <v>181</v>
      </c>
      <c r="H365" s="431">
        <v>45770.0</v>
      </c>
    </row>
    <row r="366" ht="15.75" hidden="1" customHeight="1">
      <c r="B366" s="146">
        <v>365.0</v>
      </c>
      <c r="C366" s="146">
        <f t="shared" si="1"/>
        <v>10365</v>
      </c>
      <c r="D366" s="146" t="s">
        <v>7</v>
      </c>
      <c r="E366" s="305" t="str">
        <f>VLOOKUP('Expected Auditing Outcomes'!$B366,'Master Sheet'!A367:G1051, 7, FALSE)</f>
        <v>#N/A</v>
      </c>
      <c r="F366" s="383" t="s">
        <v>673</v>
      </c>
      <c r="G366" s="430">
        <f>LEN('Expected Auditing Outcomes'!$F366)</f>
        <v>48</v>
      </c>
      <c r="H366" s="430"/>
    </row>
    <row r="367" ht="15.75" hidden="1" customHeight="1">
      <c r="B367" s="146">
        <v>366.0</v>
      </c>
      <c r="C367" s="146">
        <f t="shared" si="1"/>
        <v>10366</v>
      </c>
      <c r="D367" s="146" t="s">
        <v>27</v>
      </c>
      <c r="E367" s="305" t="str">
        <f>VLOOKUP('Expected Auditing Outcomes'!$B367,'Master Sheet'!A368:G1051, 7, FALSE)</f>
        <v>#N/A</v>
      </c>
      <c r="F367" s="383" t="s">
        <v>675</v>
      </c>
      <c r="G367" s="430">
        <f>LEN('Expected Auditing Outcomes'!$F367)</f>
        <v>172</v>
      </c>
      <c r="H367" s="431">
        <v>45770.0</v>
      </c>
    </row>
    <row r="368" ht="15.75" hidden="1" customHeight="1">
      <c r="B368" s="146">
        <v>367.0</v>
      </c>
      <c r="C368" s="146">
        <f t="shared" si="1"/>
        <v>10367</v>
      </c>
      <c r="D368" s="146" t="s">
        <v>7</v>
      </c>
      <c r="E368" s="305" t="s">
        <v>676</v>
      </c>
      <c r="F368" s="383" t="s">
        <v>677</v>
      </c>
      <c r="G368" s="430">
        <f>LEN('Expected Auditing Outcomes'!$F368)</f>
        <v>67</v>
      </c>
      <c r="H368" s="430"/>
    </row>
    <row r="369" ht="15.75" hidden="1" customHeight="1">
      <c r="B369" s="146">
        <v>368.0</v>
      </c>
      <c r="C369" s="146">
        <f t="shared" si="1"/>
        <v>10368</v>
      </c>
      <c r="D369" s="146" t="s">
        <v>20</v>
      </c>
      <c r="E369" s="305" t="str">
        <f>VLOOKUP('Expected Auditing Outcomes'!$B369,'Master Sheet'!A370:G1051, 7, FALSE)</f>
        <v>#N/A</v>
      </c>
      <c r="F369" s="383" t="s">
        <v>679</v>
      </c>
      <c r="G369" s="430">
        <f>LEN('Expected Auditing Outcomes'!$F369)</f>
        <v>169</v>
      </c>
      <c r="H369" s="430"/>
    </row>
    <row r="370" ht="15.75" hidden="1" customHeight="1">
      <c r="B370" s="146">
        <v>369.0</v>
      </c>
      <c r="C370" s="146">
        <f t="shared" si="1"/>
        <v>10369</v>
      </c>
      <c r="D370" s="146" t="s">
        <v>7</v>
      </c>
      <c r="E370" s="305" t="str">
        <f>VLOOKUP('Expected Auditing Outcomes'!$B370,'Master Sheet'!A371:G1051, 7, FALSE)</f>
        <v>#N/A</v>
      </c>
      <c r="F370" s="383" t="s">
        <v>681</v>
      </c>
      <c r="G370" s="430">
        <f>LEN('Expected Auditing Outcomes'!$F370)</f>
        <v>67</v>
      </c>
      <c r="H370" s="430"/>
    </row>
    <row r="371" ht="15.75" hidden="1" customHeight="1">
      <c r="B371" s="146">
        <v>370.0</v>
      </c>
      <c r="C371" s="146">
        <f t="shared" si="1"/>
        <v>10370</v>
      </c>
      <c r="D371" s="146" t="s">
        <v>7</v>
      </c>
      <c r="E371" s="305" t="str">
        <f>VLOOKUP('Expected Auditing Outcomes'!$B371,'Master Sheet'!A372:G1051, 7, FALSE)</f>
        <v>#N/A</v>
      </c>
      <c r="F371" s="383" t="s">
        <v>682</v>
      </c>
      <c r="G371" s="430">
        <f>LEN('Expected Auditing Outcomes'!$F371)</f>
        <v>57</v>
      </c>
      <c r="H371" s="430"/>
    </row>
    <row r="372" ht="15.75" hidden="1" customHeight="1">
      <c r="B372" s="146">
        <v>371.0</v>
      </c>
      <c r="C372" s="146">
        <f t="shared" si="1"/>
        <v>10371</v>
      </c>
      <c r="D372" s="146" t="s">
        <v>27</v>
      </c>
      <c r="E372" s="305" t="str">
        <f>VLOOKUP('Expected Auditing Outcomes'!$B372,'Master Sheet'!A373:G1051, 7, FALSE)</f>
        <v>#N/A</v>
      </c>
      <c r="F372" s="383" t="s">
        <v>684</v>
      </c>
      <c r="G372" s="430">
        <f>LEN('Expected Auditing Outcomes'!$F372)</f>
        <v>158</v>
      </c>
      <c r="H372" s="431">
        <v>45770.0</v>
      </c>
    </row>
    <row r="373" ht="15.75" hidden="1" customHeight="1">
      <c r="B373" s="146">
        <v>372.0</v>
      </c>
      <c r="C373" s="146">
        <f t="shared" si="1"/>
        <v>10372</v>
      </c>
      <c r="D373" s="146" t="s">
        <v>7</v>
      </c>
      <c r="E373" s="305" t="str">
        <f>VLOOKUP('Expected Auditing Outcomes'!$B373,'Master Sheet'!A374:G1051, 7, FALSE)</f>
        <v>#N/A</v>
      </c>
      <c r="F373" s="383"/>
      <c r="G373" s="430">
        <f>LEN('Expected Auditing Outcomes'!$F373)</f>
        <v>0</v>
      </c>
      <c r="H373" s="430"/>
    </row>
    <row r="374" ht="15.75" hidden="1" customHeight="1">
      <c r="B374" s="432">
        <v>373.0</v>
      </c>
      <c r="C374" s="432">
        <f t="shared" si="1"/>
        <v>10373</v>
      </c>
      <c r="D374" s="432" t="s">
        <v>34</v>
      </c>
      <c r="E374" s="305" t="str">
        <f>VLOOKUP('Expected Auditing Outcomes'!$B374,'Master Sheet'!A375:G1051, 7, FALSE)</f>
        <v>#N/A</v>
      </c>
      <c r="F374" s="383"/>
      <c r="G374" s="430">
        <f>LEN('Expected Auditing Outcomes'!$F374)</f>
        <v>0</v>
      </c>
      <c r="H374" s="430"/>
    </row>
    <row r="375" ht="15.75" hidden="1" customHeight="1">
      <c r="B375" s="146">
        <v>374.0</v>
      </c>
      <c r="C375" s="146">
        <f t="shared" si="1"/>
        <v>10374</v>
      </c>
      <c r="D375" s="146" t="s">
        <v>20</v>
      </c>
      <c r="E375" s="305" t="str">
        <f>VLOOKUP('Expected Auditing Outcomes'!$B375,'Master Sheet'!A376:G1051, 7, FALSE)</f>
        <v>#N/A</v>
      </c>
      <c r="F375" s="383" t="s">
        <v>689</v>
      </c>
      <c r="G375" s="430">
        <f>LEN('Expected Auditing Outcomes'!$F375)</f>
        <v>105</v>
      </c>
      <c r="H375" s="430"/>
    </row>
    <row r="376" ht="15.75" hidden="1" customHeight="1">
      <c r="B376" s="146">
        <v>375.0</v>
      </c>
      <c r="C376" s="146">
        <f t="shared" si="1"/>
        <v>10375</v>
      </c>
      <c r="D376" s="146" t="s">
        <v>20</v>
      </c>
      <c r="E376" s="305" t="str">
        <f>VLOOKUP('Expected Auditing Outcomes'!$B376,'Master Sheet'!A377:G1051, 7, FALSE)</f>
        <v>#N/A</v>
      </c>
      <c r="F376" s="383" t="s">
        <v>691</v>
      </c>
      <c r="G376" s="430">
        <f>LEN('Expected Auditing Outcomes'!$F376)</f>
        <v>143</v>
      </c>
      <c r="H376" s="430"/>
    </row>
    <row r="377" ht="15.75" hidden="1" customHeight="1">
      <c r="B377" s="146">
        <v>376.0</v>
      </c>
      <c r="C377" s="146">
        <f t="shared" si="1"/>
        <v>10376</v>
      </c>
      <c r="D377" s="146" t="s">
        <v>20</v>
      </c>
      <c r="E377" s="305" t="str">
        <f>VLOOKUP('Expected Auditing Outcomes'!$B377,'Master Sheet'!A378:G1051, 7, FALSE)</f>
        <v>#N/A</v>
      </c>
      <c r="F377" s="383" t="s">
        <v>693</v>
      </c>
      <c r="G377" s="430">
        <f>LEN('Expected Auditing Outcomes'!$F377)</f>
        <v>140</v>
      </c>
      <c r="H377" s="430"/>
    </row>
    <row r="378" ht="15.75" hidden="1" customHeight="1">
      <c r="B378" s="146">
        <v>377.0</v>
      </c>
      <c r="C378" s="146">
        <f t="shared" si="1"/>
        <v>10377</v>
      </c>
      <c r="D378" s="146" t="s">
        <v>34</v>
      </c>
      <c r="E378" s="305" t="str">
        <f>VLOOKUP('Expected Auditing Outcomes'!$B378,'Master Sheet'!A379:G1051, 7, FALSE)</f>
        <v>#N/A</v>
      </c>
      <c r="F378" s="437" t="s">
        <v>695</v>
      </c>
      <c r="G378" s="430">
        <f>LEN('Expected Auditing Outcomes'!$F378)</f>
        <v>237</v>
      </c>
      <c r="H378" s="430" t="s">
        <v>331</v>
      </c>
    </row>
    <row r="379" ht="15.75" hidden="1" customHeight="1">
      <c r="B379" s="146">
        <v>378.0</v>
      </c>
      <c r="C379" s="146">
        <f t="shared" si="1"/>
        <v>10378</v>
      </c>
      <c r="D379" s="146" t="s">
        <v>20</v>
      </c>
      <c r="E379" s="305" t="str">
        <f>VLOOKUP('Expected Auditing Outcomes'!$B379,'Master Sheet'!A380:G1051, 7, FALSE)</f>
        <v>#N/A</v>
      </c>
      <c r="F379" s="383" t="s">
        <v>697</v>
      </c>
      <c r="G379" s="430">
        <f>LEN('Expected Auditing Outcomes'!$F379)</f>
        <v>169</v>
      </c>
      <c r="H379" s="431"/>
    </row>
    <row r="380" ht="15.75" hidden="1" customHeight="1">
      <c r="B380" s="467">
        <v>379.0</v>
      </c>
      <c r="C380" s="467">
        <f t="shared" si="1"/>
        <v>10379</v>
      </c>
      <c r="D380" s="146" t="s">
        <v>34</v>
      </c>
      <c r="E380" s="305" t="str">
        <f>VLOOKUP('Expected Auditing Outcomes'!$B380,'Master Sheet'!A381:G1051, 7, FALSE)</f>
        <v>#N/A</v>
      </c>
      <c r="F380" s="383" t="s">
        <v>699</v>
      </c>
      <c r="G380" s="430">
        <f>LEN('Expected Auditing Outcomes'!$F380)</f>
        <v>188</v>
      </c>
      <c r="H380" s="430"/>
    </row>
    <row r="381" ht="15.75" hidden="1" customHeight="1">
      <c r="B381" s="146">
        <v>380.0</v>
      </c>
      <c r="C381" s="146">
        <f t="shared" si="1"/>
        <v>10380</v>
      </c>
      <c r="D381" s="146" t="s">
        <v>7</v>
      </c>
      <c r="E381" s="305" t="str">
        <f>VLOOKUP('Expected Auditing Outcomes'!$B381,'Master Sheet'!A382:G1051, 7, FALSE)</f>
        <v>#N/A</v>
      </c>
      <c r="F381" s="383" t="s">
        <v>701</v>
      </c>
      <c r="G381" s="430">
        <f>LEN('Expected Auditing Outcomes'!$F381)</f>
        <v>63</v>
      </c>
      <c r="H381" s="430"/>
    </row>
    <row r="382" ht="15.75" hidden="1" customHeight="1">
      <c r="B382" s="146">
        <v>381.0</v>
      </c>
      <c r="C382" s="146">
        <f t="shared" si="1"/>
        <v>10381</v>
      </c>
      <c r="D382" s="146" t="s">
        <v>34</v>
      </c>
      <c r="E382" s="305" t="str">
        <f>VLOOKUP('Expected Auditing Outcomes'!$B382,'Master Sheet'!A383:G1051, 7, FALSE)</f>
        <v>#N/A</v>
      </c>
      <c r="F382" s="383" t="s">
        <v>703</v>
      </c>
      <c r="G382" s="430">
        <f>LEN('Expected Auditing Outcomes'!$F382)</f>
        <v>171</v>
      </c>
      <c r="H382" s="431">
        <v>45770.0</v>
      </c>
    </row>
    <row r="383" ht="15.75" hidden="1" customHeight="1">
      <c r="B383" s="146">
        <v>382.0</v>
      </c>
      <c r="C383" s="146">
        <f t="shared" si="1"/>
        <v>10382</v>
      </c>
      <c r="D383" s="146" t="s">
        <v>7</v>
      </c>
      <c r="E383" s="305" t="str">
        <f>VLOOKUP('Expected Auditing Outcomes'!$B383,'Master Sheet'!A384:G1051, 7, FALSE)</f>
        <v>#N/A</v>
      </c>
      <c r="F383" s="383" t="s">
        <v>705</v>
      </c>
      <c r="G383" s="430">
        <f>LEN('Expected Auditing Outcomes'!$F383)</f>
        <v>96</v>
      </c>
      <c r="H383" s="430"/>
    </row>
    <row r="384" ht="15.75" hidden="1" customHeight="1">
      <c r="B384" s="146">
        <v>383.0</v>
      </c>
      <c r="C384" s="146">
        <f t="shared" si="1"/>
        <v>10383</v>
      </c>
      <c r="D384" s="146" t="s">
        <v>7</v>
      </c>
      <c r="E384" s="305" t="str">
        <f>VLOOKUP('Expected Auditing Outcomes'!$B384,'Master Sheet'!A385:G1051, 7, FALSE)</f>
        <v>#N/A</v>
      </c>
      <c r="F384" s="383" t="s">
        <v>707</v>
      </c>
      <c r="G384" s="430">
        <f>LEN('Expected Auditing Outcomes'!$F384)</f>
        <v>100</v>
      </c>
      <c r="H384" s="430"/>
    </row>
    <row r="385" ht="15.75" hidden="1" customHeight="1">
      <c r="B385" s="146">
        <v>384.0</v>
      </c>
      <c r="C385" s="146">
        <f t="shared" si="1"/>
        <v>10384</v>
      </c>
      <c r="D385" s="146" t="s">
        <v>34</v>
      </c>
      <c r="E385" s="305" t="str">
        <f>VLOOKUP('Expected Auditing Outcomes'!$B385,'Master Sheet'!A386:G1051, 7, FALSE)</f>
        <v>#N/A</v>
      </c>
      <c r="F385" s="383" t="s">
        <v>3663</v>
      </c>
      <c r="G385" s="430">
        <f>LEN('Expected Auditing Outcomes'!$F385)</f>
        <v>177</v>
      </c>
      <c r="H385" s="431">
        <v>45770.0</v>
      </c>
    </row>
    <row r="386" ht="15.75" hidden="1" customHeight="1">
      <c r="B386" s="146">
        <v>385.0</v>
      </c>
      <c r="C386" s="146">
        <f t="shared" si="1"/>
        <v>10385</v>
      </c>
      <c r="D386" s="146" t="s">
        <v>34</v>
      </c>
      <c r="E386" s="305" t="str">
        <f>VLOOKUP('Expected Auditing Outcomes'!$B386,'Master Sheet'!A387:G1051, 7, FALSE)</f>
        <v>#N/A</v>
      </c>
      <c r="F386" s="383" t="s">
        <v>711</v>
      </c>
      <c r="G386" s="430">
        <f>LEN('Expected Auditing Outcomes'!$F386)</f>
        <v>178</v>
      </c>
      <c r="H386" s="431">
        <v>45770.0</v>
      </c>
    </row>
    <row r="387" ht="15.75" hidden="1" customHeight="1">
      <c r="B387" s="146">
        <v>386.0</v>
      </c>
      <c r="C387" s="146">
        <f t="shared" si="1"/>
        <v>10386</v>
      </c>
      <c r="D387" s="146" t="s">
        <v>34</v>
      </c>
      <c r="E387" s="305" t="str">
        <f>VLOOKUP('Expected Auditing Outcomes'!$B387,'Master Sheet'!A388:G1051, 7, FALSE)</f>
        <v>#N/A</v>
      </c>
      <c r="F387" s="383" t="s">
        <v>712</v>
      </c>
      <c r="G387" s="430">
        <f>LEN('Expected Auditing Outcomes'!$F387)</f>
        <v>174</v>
      </c>
      <c r="H387" s="431">
        <v>45770.0</v>
      </c>
    </row>
    <row r="388" ht="15.75" hidden="1" customHeight="1">
      <c r="B388" s="146">
        <v>387.0</v>
      </c>
      <c r="C388" s="146">
        <f t="shared" si="1"/>
        <v>10387</v>
      </c>
      <c r="D388" s="146" t="s">
        <v>34</v>
      </c>
      <c r="E388" s="305" t="str">
        <f>VLOOKUP('Expected Auditing Outcomes'!$B388,'Master Sheet'!A389:G1051, 7, FALSE)</f>
        <v>#N/A</v>
      </c>
      <c r="F388" s="383" t="s">
        <v>714</v>
      </c>
      <c r="G388" s="430">
        <f>LEN('Expected Auditing Outcomes'!$F388)</f>
        <v>183</v>
      </c>
      <c r="H388" s="431">
        <v>45770.0</v>
      </c>
    </row>
    <row r="389" ht="15.75" hidden="1" customHeight="1">
      <c r="B389" s="146">
        <v>388.0</v>
      </c>
      <c r="C389" s="146">
        <f t="shared" si="1"/>
        <v>10388</v>
      </c>
      <c r="D389" s="146" t="s">
        <v>34</v>
      </c>
      <c r="E389" s="305" t="str">
        <f>VLOOKUP('Expected Auditing Outcomes'!$B389,'Master Sheet'!A390:G1051, 7, FALSE)</f>
        <v>#N/A</v>
      </c>
      <c r="F389" s="383" t="s">
        <v>716</v>
      </c>
      <c r="G389" s="430">
        <f>LEN('Expected Auditing Outcomes'!$F389)</f>
        <v>172</v>
      </c>
      <c r="H389" s="431">
        <v>45770.0</v>
      </c>
    </row>
    <row r="390" ht="15.75" hidden="1" customHeight="1">
      <c r="B390" s="146">
        <v>389.0</v>
      </c>
      <c r="C390" s="146">
        <f t="shared" si="1"/>
        <v>10389</v>
      </c>
      <c r="D390" s="146" t="s">
        <v>34</v>
      </c>
      <c r="E390" s="305" t="str">
        <f>VLOOKUP('Expected Auditing Outcomes'!$B390,'Master Sheet'!A391:G1051, 7, FALSE)</f>
        <v>#N/A</v>
      </c>
      <c r="F390" s="383" t="s">
        <v>718</v>
      </c>
      <c r="G390" s="430">
        <f>LEN('Expected Auditing Outcomes'!$F390)</f>
        <v>178</v>
      </c>
      <c r="H390" s="431">
        <v>45770.0</v>
      </c>
    </row>
    <row r="391" ht="15.75" hidden="1" customHeight="1">
      <c r="B391" s="146">
        <v>390.0</v>
      </c>
      <c r="C391" s="146">
        <f t="shared" si="1"/>
        <v>10390</v>
      </c>
      <c r="D391" s="146" t="s">
        <v>34</v>
      </c>
      <c r="E391" s="305" t="str">
        <f>VLOOKUP('Expected Auditing Outcomes'!$B391,'Master Sheet'!A392:G1051, 7, FALSE)</f>
        <v>#N/A</v>
      </c>
      <c r="F391" s="383" t="s">
        <v>720</v>
      </c>
      <c r="G391" s="430">
        <f>LEN('Expected Auditing Outcomes'!$F391)</f>
        <v>183</v>
      </c>
      <c r="H391" s="431">
        <v>45770.0</v>
      </c>
    </row>
    <row r="392" ht="15.75" hidden="1" customHeight="1">
      <c r="B392" s="146">
        <v>391.0</v>
      </c>
      <c r="C392" s="146">
        <f t="shared" si="1"/>
        <v>10391</v>
      </c>
      <c r="D392" s="146" t="s">
        <v>34</v>
      </c>
      <c r="E392" s="305" t="str">
        <f>VLOOKUP('Expected Auditing Outcomes'!$B392,'Master Sheet'!A393:G1051, 7, FALSE)</f>
        <v>#N/A</v>
      </c>
      <c r="F392" s="383" t="s">
        <v>722</v>
      </c>
      <c r="G392" s="430">
        <f>LEN('Expected Auditing Outcomes'!$F392)</f>
        <v>112</v>
      </c>
      <c r="H392" s="430"/>
    </row>
    <row r="393" ht="42.0" hidden="1" customHeight="1">
      <c r="B393" s="146">
        <v>392.0</v>
      </c>
      <c r="C393" s="146">
        <f t="shared" si="1"/>
        <v>10392</v>
      </c>
      <c r="D393" s="146" t="s">
        <v>34</v>
      </c>
      <c r="E393" s="305" t="str">
        <f>VLOOKUP('Expected Auditing Outcomes'!$B393,'Master Sheet'!A394:G1051, 7, FALSE)</f>
        <v>#N/A</v>
      </c>
      <c r="F393" s="383" t="s">
        <v>724</v>
      </c>
      <c r="G393" s="430">
        <f>LEN('Expected Auditing Outcomes'!$F393)</f>
        <v>113</v>
      </c>
      <c r="H393" s="430"/>
    </row>
    <row r="394" ht="15.75" hidden="1" customHeight="1">
      <c r="B394" s="146">
        <v>393.0</v>
      </c>
      <c r="C394" s="146">
        <f t="shared" si="1"/>
        <v>10393</v>
      </c>
      <c r="D394" s="146" t="s">
        <v>34</v>
      </c>
      <c r="E394" s="305" t="str">
        <f>VLOOKUP('Expected Auditing Outcomes'!$B394,'Master Sheet'!A395:G1051, 7, FALSE)</f>
        <v>#N/A</v>
      </c>
      <c r="F394" s="383" t="s">
        <v>726</v>
      </c>
      <c r="G394" s="430">
        <f>LEN('Expected Auditing Outcomes'!$F394)</f>
        <v>138</v>
      </c>
      <c r="H394" s="430"/>
    </row>
    <row r="395" ht="15.75" hidden="1" customHeight="1">
      <c r="B395" s="146">
        <v>394.0</v>
      </c>
      <c r="C395" s="146">
        <f t="shared" si="1"/>
        <v>10394</v>
      </c>
      <c r="D395" s="146" t="s">
        <v>34</v>
      </c>
      <c r="E395" s="305" t="str">
        <f>VLOOKUP('Expected Auditing Outcomes'!$B395,'Master Sheet'!A396:G1051, 7, FALSE)</f>
        <v>#N/A</v>
      </c>
      <c r="F395" s="383" t="s">
        <v>728</v>
      </c>
      <c r="G395" s="430">
        <f>LEN('Expected Auditing Outcomes'!$F395)</f>
        <v>172</v>
      </c>
      <c r="H395" s="430"/>
    </row>
    <row r="396" ht="15.75" hidden="1" customHeight="1">
      <c r="B396" s="146">
        <v>395.0</v>
      </c>
      <c r="C396" s="146">
        <f t="shared" si="1"/>
        <v>10395</v>
      </c>
      <c r="D396" s="146" t="s">
        <v>34</v>
      </c>
      <c r="E396" s="305" t="str">
        <f>VLOOKUP('Expected Auditing Outcomes'!$B396,'Master Sheet'!A397:G1051, 7, FALSE)</f>
        <v>#N/A</v>
      </c>
      <c r="F396" s="383" t="s">
        <v>730</v>
      </c>
      <c r="G396" s="430">
        <f>LEN('Expected Auditing Outcomes'!$F396)</f>
        <v>117</v>
      </c>
      <c r="H396" s="430"/>
    </row>
    <row r="397" ht="15.75" hidden="1" customHeight="1">
      <c r="B397" s="146">
        <v>396.0</v>
      </c>
      <c r="C397" s="146">
        <f t="shared" si="1"/>
        <v>10396</v>
      </c>
      <c r="D397" s="146" t="s">
        <v>34</v>
      </c>
      <c r="E397" s="305" t="str">
        <f>VLOOKUP('Expected Auditing Outcomes'!$B397,'Master Sheet'!A398:G1051, 7, FALSE)</f>
        <v>#N/A</v>
      </c>
      <c r="F397" s="437" t="s">
        <v>732</v>
      </c>
      <c r="G397" s="430">
        <f>LEN('Expected Auditing Outcomes'!$F397)</f>
        <v>190</v>
      </c>
      <c r="H397" s="431">
        <v>45770.0</v>
      </c>
    </row>
    <row r="398" ht="15.75" hidden="1" customHeight="1">
      <c r="B398" s="146">
        <v>397.0</v>
      </c>
      <c r="C398" s="146">
        <f t="shared" si="1"/>
        <v>10397</v>
      </c>
      <c r="D398" s="146" t="s">
        <v>34</v>
      </c>
      <c r="E398" s="305" t="str">
        <f>VLOOKUP('Expected Auditing Outcomes'!$B398,'Master Sheet'!A399:G1051, 7, FALSE)</f>
        <v>#N/A</v>
      </c>
      <c r="F398" s="383" t="s">
        <v>734</v>
      </c>
      <c r="G398" s="430">
        <f>LEN('Expected Auditing Outcomes'!$F398)</f>
        <v>160</v>
      </c>
      <c r="H398" s="430"/>
    </row>
    <row r="399" ht="15.75" hidden="1" customHeight="1">
      <c r="B399" s="146">
        <v>398.0</v>
      </c>
      <c r="C399" s="146">
        <f t="shared" si="1"/>
        <v>10398</v>
      </c>
      <c r="D399" s="146" t="s">
        <v>34</v>
      </c>
      <c r="E399" s="305" t="str">
        <f>VLOOKUP('Expected Auditing Outcomes'!$B399,'Master Sheet'!A400:G1051, 7, FALSE)</f>
        <v>#N/A</v>
      </c>
      <c r="F399" s="383" t="s">
        <v>722</v>
      </c>
      <c r="G399" s="430">
        <f>LEN('Expected Auditing Outcomes'!$F399)</f>
        <v>112</v>
      </c>
      <c r="H399" s="430"/>
    </row>
    <row r="400" ht="15.75" hidden="1" customHeight="1">
      <c r="B400" s="146">
        <v>399.0</v>
      </c>
      <c r="C400" s="146">
        <f t="shared" si="1"/>
        <v>10399</v>
      </c>
      <c r="D400" s="146" t="s">
        <v>34</v>
      </c>
      <c r="E400" s="305" t="str">
        <f>VLOOKUP('Expected Auditing Outcomes'!$B400,'Master Sheet'!A401:G1051, 7, FALSE)</f>
        <v>#N/A</v>
      </c>
      <c r="F400" s="383" t="s">
        <v>737</v>
      </c>
      <c r="G400" s="430">
        <f>LEN('Expected Auditing Outcomes'!$F400)</f>
        <v>132</v>
      </c>
      <c r="H400" s="430"/>
    </row>
    <row r="401" ht="15.75" hidden="1" customHeight="1">
      <c r="B401" s="432">
        <v>400.0</v>
      </c>
      <c r="C401" s="432">
        <f t="shared" si="1"/>
        <v>10400</v>
      </c>
      <c r="D401" s="432" t="s">
        <v>34</v>
      </c>
      <c r="E401" s="305" t="str">
        <f>VLOOKUP('Expected Auditing Outcomes'!$B401,'Master Sheet'!A402:G1051, 7, FALSE)</f>
        <v>#N/A</v>
      </c>
      <c r="F401" s="383"/>
      <c r="G401" s="430">
        <f>LEN('Expected Auditing Outcomes'!$F401)</f>
        <v>0</v>
      </c>
      <c r="H401" s="430"/>
    </row>
    <row r="402" ht="15.75" hidden="1" customHeight="1">
      <c r="B402" s="146">
        <v>401.0</v>
      </c>
      <c r="C402" s="146">
        <f t="shared" si="1"/>
        <v>10401</v>
      </c>
      <c r="D402" s="146" t="s">
        <v>34</v>
      </c>
      <c r="E402" s="305" t="str">
        <f>VLOOKUP('Expected Auditing Outcomes'!$B402,'Master Sheet'!A403:G1051, 7, FALSE)</f>
        <v>#N/A</v>
      </c>
      <c r="F402" s="383" t="s">
        <v>740</v>
      </c>
      <c r="G402" s="430">
        <f>LEN('Expected Auditing Outcomes'!$F402)</f>
        <v>174</v>
      </c>
      <c r="H402" s="431">
        <v>45770.0</v>
      </c>
    </row>
    <row r="403" ht="15.75" hidden="1" customHeight="1">
      <c r="B403" s="146">
        <v>402.0</v>
      </c>
      <c r="C403" s="146">
        <f t="shared" si="1"/>
        <v>10402</v>
      </c>
      <c r="D403" s="146" t="s">
        <v>34</v>
      </c>
      <c r="E403" s="305" t="str">
        <f>VLOOKUP('Expected Auditing Outcomes'!$B403,'Master Sheet'!A404:G1051, 7, FALSE)</f>
        <v>#N/A</v>
      </c>
      <c r="F403" s="383" t="s">
        <v>742</v>
      </c>
      <c r="G403" s="430">
        <f>LEN('Expected Auditing Outcomes'!$F403)</f>
        <v>185</v>
      </c>
      <c r="H403" s="430"/>
    </row>
    <row r="404" ht="15.75" hidden="1" customHeight="1">
      <c r="B404" s="122">
        <v>403.0</v>
      </c>
      <c r="C404" s="122">
        <f t="shared" si="1"/>
        <v>10403</v>
      </c>
      <c r="D404" s="146" t="s">
        <v>34</v>
      </c>
      <c r="E404" s="305" t="str">
        <f>VLOOKUP('Expected Auditing Outcomes'!$B404,'Master Sheet'!A405:G1051, 7, FALSE)</f>
        <v>#N/A</v>
      </c>
      <c r="F404" s="383" t="s">
        <v>744</v>
      </c>
      <c r="G404" s="430">
        <f>LEN('Expected Auditing Outcomes'!$F404)</f>
        <v>131</v>
      </c>
      <c r="H404" s="430"/>
    </row>
    <row r="405" ht="15.75" hidden="1" customHeight="1">
      <c r="B405" s="146">
        <v>404.0</v>
      </c>
      <c r="C405" s="146">
        <f t="shared" si="1"/>
        <v>10404</v>
      </c>
      <c r="D405" s="146" t="s">
        <v>34</v>
      </c>
      <c r="E405" s="305" t="str">
        <f>VLOOKUP('Expected Auditing Outcomes'!$B405,'Master Sheet'!A406:G1051, 7, FALSE)</f>
        <v>#N/A</v>
      </c>
      <c r="F405" s="383" t="s">
        <v>746</v>
      </c>
      <c r="G405" s="430">
        <f>LEN('Expected Auditing Outcomes'!$F405)</f>
        <v>141</v>
      </c>
      <c r="H405" s="430"/>
    </row>
    <row r="406" ht="15.75" hidden="1" customHeight="1">
      <c r="B406" s="122">
        <v>405.0</v>
      </c>
      <c r="C406" s="122">
        <f t="shared" si="1"/>
        <v>10405</v>
      </c>
      <c r="D406" s="146" t="s">
        <v>34</v>
      </c>
      <c r="E406" s="305" t="str">
        <f>VLOOKUP('Expected Auditing Outcomes'!$B406,'Master Sheet'!A407:G1051, 7, FALSE)</f>
        <v>#N/A</v>
      </c>
      <c r="F406" s="383" t="s">
        <v>748</v>
      </c>
      <c r="G406" s="430">
        <f>LEN('Expected Auditing Outcomes'!$F406)</f>
        <v>120</v>
      </c>
      <c r="H406" s="430"/>
    </row>
    <row r="407" ht="15.75" hidden="1" customHeight="1">
      <c r="B407" s="146">
        <v>406.0</v>
      </c>
      <c r="C407" s="146">
        <f t="shared" si="1"/>
        <v>10406</v>
      </c>
      <c r="D407" s="146" t="s">
        <v>34</v>
      </c>
      <c r="E407" s="305" t="str">
        <f>VLOOKUP('Expected Auditing Outcomes'!$B407,'Master Sheet'!A408:G1051, 7, FALSE)</f>
        <v>#N/A</v>
      </c>
      <c r="F407" s="383" t="s">
        <v>750</v>
      </c>
      <c r="G407" s="430">
        <f>LEN('Expected Auditing Outcomes'!$F407)</f>
        <v>182</v>
      </c>
      <c r="H407" s="431">
        <v>45770.0</v>
      </c>
    </row>
    <row r="408" ht="15.75" hidden="1" customHeight="1">
      <c r="B408" s="146">
        <v>407.0</v>
      </c>
      <c r="C408" s="146">
        <f t="shared" si="1"/>
        <v>10407</v>
      </c>
      <c r="D408" s="146" t="s">
        <v>34</v>
      </c>
      <c r="E408" s="305" t="str">
        <f>VLOOKUP('Expected Auditing Outcomes'!$B408,'Master Sheet'!A409:G1051, 7, FALSE)</f>
        <v>#N/A</v>
      </c>
      <c r="F408" s="383" t="s">
        <v>746</v>
      </c>
      <c r="G408" s="430">
        <f>LEN('Expected Auditing Outcomes'!$F408)</f>
        <v>141</v>
      </c>
      <c r="H408" s="430"/>
    </row>
    <row r="409" ht="15.75" hidden="1" customHeight="1">
      <c r="B409" s="146">
        <v>408.0</v>
      </c>
      <c r="C409" s="146">
        <f t="shared" si="1"/>
        <v>10408</v>
      </c>
      <c r="D409" s="146" t="s">
        <v>34</v>
      </c>
      <c r="E409" s="305" t="str">
        <f>VLOOKUP('Expected Auditing Outcomes'!$B409,'Master Sheet'!A410:G1051, 7, FALSE)</f>
        <v>#N/A</v>
      </c>
      <c r="F409" s="383" t="s">
        <v>753</v>
      </c>
      <c r="G409" s="430">
        <f>LEN('Expected Auditing Outcomes'!$F409)</f>
        <v>187</v>
      </c>
      <c r="H409" s="431">
        <v>45770.0</v>
      </c>
    </row>
    <row r="410" ht="15.75" hidden="1" customHeight="1">
      <c r="B410" s="146">
        <v>409.0</v>
      </c>
      <c r="C410" s="146">
        <f t="shared" si="1"/>
        <v>10409</v>
      </c>
      <c r="D410" s="146" t="s">
        <v>34</v>
      </c>
      <c r="E410" s="305" t="str">
        <f>VLOOKUP('Expected Auditing Outcomes'!$B410,'Master Sheet'!A411:G1051, 7, FALSE)</f>
        <v>#N/A</v>
      </c>
      <c r="F410" s="383" t="s">
        <v>469</v>
      </c>
      <c r="G410" s="430">
        <f>LEN('Expected Auditing Outcomes'!$F410)</f>
        <v>115</v>
      </c>
      <c r="H410" s="430"/>
    </row>
    <row r="411" ht="15.75" hidden="1" customHeight="1">
      <c r="B411" s="146">
        <v>410.0</v>
      </c>
      <c r="C411" s="146">
        <f t="shared" si="1"/>
        <v>10410</v>
      </c>
      <c r="D411" s="146" t="s">
        <v>34</v>
      </c>
      <c r="E411" s="305" t="str">
        <f>VLOOKUP('Expected Auditing Outcomes'!$B411,'Master Sheet'!A412:G1051, 7, FALSE)</f>
        <v>#N/A</v>
      </c>
      <c r="F411" s="437" t="s">
        <v>756</v>
      </c>
      <c r="G411" s="430">
        <f>LEN('Expected Auditing Outcomes'!$F411)</f>
        <v>209</v>
      </c>
      <c r="H411" s="430" t="s">
        <v>331</v>
      </c>
    </row>
    <row r="412" ht="15.75" hidden="1" customHeight="1">
      <c r="B412" s="146">
        <v>411.0</v>
      </c>
      <c r="C412" s="146">
        <f t="shared" si="1"/>
        <v>10411</v>
      </c>
      <c r="D412" s="146" t="s">
        <v>34</v>
      </c>
      <c r="E412" s="305" t="str">
        <f>VLOOKUP('Expected Auditing Outcomes'!$B412,'Master Sheet'!A413:G1051, 7, FALSE)</f>
        <v>#N/A</v>
      </c>
      <c r="F412" s="383" t="s">
        <v>758</v>
      </c>
      <c r="G412" s="430">
        <f>LEN('Expected Auditing Outcomes'!$F412)</f>
        <v>123</v>
      </c>
      <c r="H412" s="431">
        <v>45770.0</v>
      </c>
    </row>
    <row r="413" ht="15.75" hidden="1" customHeight="1">
      <c r="B413" s="146">
        <v>412.0</v>
      </c>
      <c r="C413" s="146">
        <f t="shared" si="1"/>
        <v>10412</v>
      </c>
      <c r="D413" s="146" t="s">
        <v>34</v>
      </c>
      <c r="E413" s="305" t="str">
        <f>VLOOKUP('Expected Auditing Outcomes'!$B413,'Master Sheet'!A414:G1051, 7, FALSE)</f>
        <v>#N/A</v>
      </c>
      <c r="F413" s="383" t="s">
        <v>760</v>
      </c>
      <c r="G413" s="430">
        <f>LEN('Expected Auditing Outcomes'!$F413)</f>
        <v>178</v>
      </c>
      <c r="H413" s="431">
        <v>45770.0</v>
      </c>
    </row>
    <row r="414" ht="15.75" hidden="1" customHeight="1">
      <c r="B414" s="146">
        <v>413.0</v>
      </c>
      <c r="C414" s="146">
        <f t="shared" si="1"/>
        <v>10413</v>
      </c>
      <c r="D414" s="146" t="s">
        <v>34</v>
      </c>
      <c r="E414" s="305" t="str">
        <f>VLOOKUP('Expected Auditing Outcomes'!$B414,'Master Sheet'!A415:G1051, 7, FALSE)</f>
        <v>#N/A</v>
      </c>
      <c r="F414" s="383" t="s">
        <v>762</v>
      </c>
      <c r="G414" s="430">
        <f>LEN('Expected Auditing Outcomes'!$F414)</f>
        <v>171</v>
      </c>
      <c r="H414" s="430"/>
    </row>
    <row r="415" ht="15.75" hidden="1" customHeight="1">
      <c r="B415" s="146">
        <v>414.0</v>
      </c>
      <c r="C415" s="146">
        <f t="shared" si="1"/>
        <v>10414</v>
      </c>
      <c r="D415" s="146" t="s">
        <v>34</v>
      </c>
      <c r="E415" s="305" t="str">
        <f>VLOOKUP('Expected Auditing Outcomes'!$B415,'Master Sheet'!A416:G1051, 7, FALSE)</f>
        <v>#N/A</v>
      </c>
      <c r="F415" s="378" t="s">
        <v>764</v>
      </c>
      <c r="G415" s="430">
        <f>LEN('Expected Auditing Outcomes'!$F415)</f>
        <v>169</v>
      </c>
      <c r="H415" s="431">
        <v>45770.0</v>
      </c>
    </row>
    <row r="416" ht="15.75" hidden="1" customHeight="1">
      <c r="B416" s="146">
        <v>415.0</v>
      </c>
      <c r="C416" s="146">
        <f t="shared" si="1"/>
        <v>10415</v>
      </c>
      <c r="D416" s="146" t="s">
        <v>34</v>
      </c>
      <c r="E416" s="305" t="str">
        <f>VLOOKUP('Expected Auditing Outcomes'!$B416,'Master Sheet'!A417:G1051, 7, FALSE)</f>
        <v>#N/A</v>
      </c>
      <c r="F416" s="383" t="s">
        <v>766</v>
      </c>
      <c r="G416" s="430">
        <f>LEN('Expected Auditing Outcomes'!$F416)</f>
        <v>102</v>
      </c>
      <c r="H416" s="430"/>
    </row>
    <row r="417" ht="15.75" hidden="1" customHeight="1">
      <c r="B417" s="146">
        <v>416.0</v>
      </c>
      <c r="C417" s="146">
        <f t="shared" si="1"/>
        <v>10416</v>
      </c>
      <c r="D417" s="146" t="s">
        <v>34</v>
      </c>
      <c r="E417" s="305" t="str">
        <f>VLOOKUP('Expected Auditing Outcomes'!$B417,'Master Sheet'!A418:G1051, 7, FALSE)</f>
        <v>#N/A</v>
      </c>
      <c r="F417" s="378" t="s">
        <v>768</v>
      </c>
      <c r="G417" s="430">
        <f>LEN('Expected Auditing Outcomes'!$F417)</f>
        <v>152</v>
      </c>
      <c r="H417" s="431">
        <v>45770.0</v>
      </c>
    </row>
    <row r="418" ht="15.75" hidden="1" customHeight="1">
      <c r="B418" s="146">
        <v>417.0</v>
      </c>
      <c r="C418" s="146">
        <f t="shared" si="1"/>
        <v>10417</v>
      </c>
      <c r="D418" s="146" t="s">
        <v>7</v>
      </c>
      <c r="E418" s="305" t="str">
        <f>VLOOKUP('Expected Auditing Outcomes'!$B418,'Master Sheet'!A419:G1051, 7, FALSE)</f>
        <v>#N/A</v>
      </c>
      <c r="F418" s="383" t="s">
        <v>770</v>
      </c>
      <c r="G418" s="430">
        <f>LEN('Expected Auditing Outcomes'!$F418)</f>
        <v>62</v>
      </c>
      <c r="H418" s="430"/>
    </row>
    <row r="419" ht="15.75" hidden="1" customHeight="1">
      <c r="B419" s="146">
        <v>418.0</v>
      </c>
      <c r="C419" s="146">
        <f t="shared" si="1"/>
        <v>10418</v>
      </c>
      <c r="D419" s="146" t="s">
        <v>34</v>
      </c>
      <c r="E419" s="305" t="str">
        <f>VLOOKUP('Expected Auditing Outcomes'!$B419,'Master Sheet'!A420:G1051, 7, FALSE)</f>
        <v>#N/A</v>
      </c>
      <c r="F419" s="383" t="s">
        <v>772</v>
      </c>
      <c r="G419" s="430">
        <f>LEN('Expected Auditing Outcomes'!$F419)</f>
        <v>143</v>
      </c>
      <c r="H419" s="430"/>
    </row>
    <row r="420" ht="15.75" hidden="1" customHeight="1">
      <c r="B420" s="146">
        <v>419.0</v>
      </c>
      <c r="C420" s="146">
        <f t="shared" si="1"/>
        <v>10419</v>
      </c>
      <c r="D420" s="146" t="s">
        <v>34</v>
      </c>
      <c r="E420" s="305" t="str">
        <f>VLOOKUP('Expected Auditing Outcomes'!$B420,'Master Sheet'!A421:G1051, 7, FALSE)</f>
        <v>#N/A</v>
      </c>
      <c r="F420" s="437" t="s">
        <v>774</v>
      </c>
      <c r="G420" s="430">
        <f>LEN('Expected Auditing Outcomes'!$F420)</f>
        <v>222</v>
      </c>
      <c r="H420" s="430" t="s">
        <v>331</v>
      </c>
    </row>
    <row r="421" ht="15.75" hidden="1" customHeight="1">
      <c r="B421" s="146">
        <v>420.0</v>
      </c>
      <c r="C421" s="146">
        <f t="shared" si="1"/>
        <v>10420</v>
      </c>
      <c r="D421" s="146" t="s">
        <v>7</v>
      </c>
      <c r="E421" s="305" t="str">
        <f>VLOOKUP('Expected Auditing Outcomes'!$B421,'Master Sheet'!A422:G1051, 7, FALSE)</f>
        <v>#N/A</v>
      </c>
      <c r="F421" s="383" t="s">
        <v>776</v>
      </c>
      <c r="G421" s="430">
        <f>LEN('Expected Auditing Outcomes'!$F421)</f>
        <v>70</v>
      </c>
      <c r="H421" s="430"/>
    </row>
    <row r="422" ht="15.75" hidden="1" customHeight="1">
      <c r="B422" s="146">
        <v>421.0</v>
      </c>
      <c r="C422" s="146">
        <f t="shared" si="1"/>
        <v>10421</v>
      </c>
      <c r="D422" s="146" t="s">
        <v>27</v>
      </c>
      <c r="E422" s="127" t="s">
        <v>3296</v>
      </c>
      <c r="F422" s="383" t="s">
        <v>3664</v>
      </c>
      <c r="G422" s="430">
        <f>LEN('Expected Auditing Outcomes'!$F422)</f>
        <v>104</v>
      </c>
      <c r="H422" s="430"/>
    </row>
    <row r="423" ht="15.75" hidden="1" customHeight="1">
      <c r="B423" s="146">
        <v>422.0</v>
      </c>
      <c r="C423" s="146">
        <f t="shared" si="1"/>
        <v>10422</v>
      </c>
      <c r="D423" s="146" t="s">
        <v>7</v>
      </c>
      <c r="E423" s="305" t="str">
        <f>VLOOKUP('Expected Auditing Outcomes'!$B423,'Master Sheet'!A424:G1051, 7, FALSE)</f>
        <v>#N/A</v>
      </c>
      <c r="F423" s="383" t="s">
        <v>780</v>
      </c>
      <c r="G423" s="430">
        <f>LEN('Expected Auditing Outcomes'!$F423)</f>
        <v>50</v>
      </c>
      <c r="H423" s="430"/>
    </row>
    <row r="424" ht="15.75" hidden="1" customHeight="1">
      <c r="B424" s="146">
        <v>423.0</v>
      </c>
      <c r="C424" s="146">
        <f t="shared" si="1"/>
        <v>10423</v>
      </c>
      <c r="D424" s="146" t="s">
        <v>7</v>
      </c>
      <c r="E424" s="305" t="str">
        <f>VLOOKUP('Expected Auditing Outcomes'!$B424,'Master Sheet'!A425:G1051, 7, FALSE)</f>
        <v>#N/A</v>
      </c>
      <c r="F424" s="383" t="s">
        <v>782</v>
      </c>
      <c r="G424" s="430">
        <f>LEN('Expected Auditing Outcomes'!$F424)</f>
        <v>50</v>
      </c>
      <c r="H424" s="430"/>
    </row>
    <row r="425" ht="15.75" hidden="1" customHeight="1">
      <c r="B425" s="146">
        <v>424.0</v>
      </c>
      <c r="C425" s="146">
        <f t="shared" si="1"/>
        <v>10424</v>
      </c>
      <c r="D425" s="146" t="s">
        <v>20</v>
      </c>
      <c r="E425" s="305" t="str">
        <f>VLOOKUP('Expected Auditing Outcomes'!$B425,'Master Sheet'!A426:G1051, 7, FALSE)</f>
        <v>#N/A</v>
      </c>
      <c r="F425" s="383" t="s">
        <v>784</v>
      </c>
      <c r="G425" s="430">
        <f>LEN('Expected Auditing Outcomes'!$F425)</f>
        <v>153</v>
      </c>
      <c r="H425" s="430"/>
    </row>
    <row r="426" ht="15.75" hidden="1" customHeight="1">
      <c r="B426" s="146">
        <v>425.0</v>
      </c>
      <c r="C426" s="146">
        <f t="shared" si="1"/>
        <v>10425</v>
      </c>
      <c r="D426" s="146" t="s">
        <v>34</v>
      </c>
      <c r="E426" s="305" t="str">
        <f>VLOOKUP('Expected Auditing Outcomes'!$B426,'Master Sheet'!A427:G1051, 7, FALSE)</f>
        <v>#N/A</v>
      </c>
      <c r="F426" s="437" t="s">
        <v>786</v>
      </c>
      <c r="G426" s="430">
        <f>LEN('Expected Auditing Outcomes'!$F426)</f>
        <v>182</v>
      </c>
      <c r="H426" s="430" t="s">
        <v>331</v>
      </c>
    </row>
    <row r="427" ht="15.75" hidden="1" customHeight="1">
      <c r="B427" s="146">
        <v>426.0</v>
      </c>
      <c r="C427" s="146">
        <f t="shared" si="1"/>
        <v>10426</v>
      </c>
      <c r="D427" s="146" t="s">
        <v>34</v>
      </c>
      <c r="E427" s="305" t="str">
        <f>VLOOKUP('Expected Auditing Outcomes'!$B427,'Master Sheet'!A428:G1051, 7, FALSE)</f>
        <v>#N/A</v>
      </c>
      <c r="F427" s="437" t="s">
        <v>788</v>
      </c>
      <c r="G427" s="430">
        <f>LEN('Expected Auditing Outcomes'!$F427)</f>
        <v>197</v>
      </c>
      <c r="H427" s="430" t="s">
        <v>331</v>
      </c>
    </row>
    <row r="428" ht="15.75" hidden="1" customHeight="1">
      <c r="B428" s="146">
        <v>427.0</v>
      </c>
      <c r="C428" s="146">
        <f t="shared" si="1"/>
        <v>10427</v>
      </c>
      <c r="D428" s="146" t="s">
        <v>34</v>
      </c>
      <c r="E428" s="305" t="str">
        <f>VLOOKUP('Expected Auditing Outcomes'!$B428,'Master Sheet'!A429:G1051, 7, FALSE)</f>
        <v>#N/A</v>
      </c>
      <c r="F428" s="437" t="s">
        <v>790</v>
      </c>
      <c r="G428" s="430">
        <f>LEN('Expected Auditing Outcomes'!$F428)</f>
        <v>205</v>
      </c>
      <c r="H428" s="430" t="s">
        <v>331</v>
      </c>
    </row>
    <row r="429" ht="15.75" hidden="1" customHeight="1">
      <c r="B429" s="146">
        <v>428.0</v>
      </c>
      <c r="C429" s="146">
        <f t="shared" si="1"/>
        <v>10428</v>
      </c>
      <c r="D429" s="146" t="s">
        <v>7</v>
      </c>
      <c r="E429" s="305" t="str">
        <f>VLOOKUP('Expected Auditing Outcomes'!$B429,'Master Sheet'!A430:G1051, 7, FALSE)</f>
        <v>#N/A</v>
      </c>
      <c r="F429" s="383" t="s">
        <v>792</v>
      </c>
      <c r="G429" s="430">
        <f>LEN('Expected Auditing Outcomes'!$F429)</f>
        <v>46</v>
      </c>
      <c r="H429" s="430"/>
    </row>
    <row r="430" ht="15.75" hidden="1" customHeight="1">
      <c r="B430" s="146">
        <v>429.0</v>
      </c>
      <c r="C430" s="146">
        <f t="shared" si="1"/>
        <v>10429</v>
      </c>
      <c r="D430" s="146" t="s">
        <v>34</v>
      </c>
      <c r="E430" s="305" t="str">
        <f>VLOOKUP('Expected Auditing Outcomes'!$B430,'Master Sheet'!A431:G1051, 7, FALSE)</f>
        <v>#N/A</v>
      </c>
      <c r="F430" s="383" t="s">
        <v>794</v>
      </c>
      <c r="G430" s="430">
        <f>LEN('Expected Auditing Outcomes'!$F430)</f>
        <v>153</v>
      </c>
      <c r="H430" s="430"/>
    </row>
    <row r="431" ht="15.75" hidden="1" customHeight="1">
      <c r="B431" s="146">
        <v>430.0</v>
      </c>
      <c r="C431" s="146">
        <f t="shared" si="1"/>
        <v>10430</v>
      </c>
      <c r="D431" s="146" t="s">
        <v>34</v>
      </c>
      <c r="E431" s="305" t="str">
        <f>VLOOKUP('Expected Auditing Outcomes'!$B431,'Master Sheet'!A432:G1051, 7, FALSE)</f>
        <v>#N/A</v>
      </c>
      <c r="F431" s="383" t="s">
        <v>796</v>
      </c>
      <c r="G431" s="430">
        <f>LEN('Expected Auditing Outcomes'!$F431)</f>
        <v>185</v>
      </c>
      <c r="H431" s="431">
        <v>45770.0</v>
      </c>
    </row>
    <row r="432" ht="15.75" hidden="1" customHeight="1">
      <c r="B432" s="146">
        <v>431.0</v>
      </c>
      <c r="C432" s="146">
        <f t="shared" si="1"/>
        <v>10431</v>
      </c>
      <c r="D432" s="146" t="s">
        <v>34</v>
      </c>
      <c r="E432" s="305" t="str">
        <f>VLOOKUP('Expected Auditing Outcomes'!$B432,'Master Sheet'!A433:G1051, 7, FALSE)</f>
        <v>#N/A</v>
      </c>
      <c r="F432" s="383" t="s">
        <v>798</v>
      </c>
      <c r="G432" s="430">
        <f>LEN('Expected Auditing Outcomes'!$F432)</f>
        <v>152</v>
      </c>
      <c r="H432" s="430"/>
    </row>
    <row r="433" ht="15.75" hidden="1" customHeight="1">
      <c r="B433" s="146">
        <v>432.0</v>
      </c>
      <c r="C433" s="146">
        <f t="shared" si="1"/>
        <v>10432</v>
      </c>
      <c r="D433" s="146" t="s">
        <v>7</v>
      </c>
      <c r="E433" s="305" t="str">
        <f>VLOOKUP('Expected Auditing Outcomes'!$B433,'Master Sheet'!A434:G1051, 7, FALSE)</f>
        <v>#N/A</v>
      </c>
      <c r="F433" s="383" t="s">
        <v>800</v>
      </c>
      <c r="G433" s="430">
        <f>LEN('Expected Auditing Outcomes'!$F433)</f>
        <v>88</v>
      </c>
      <c r="H433" s="430"/>
    </row>
    <row r="434" ht="15.75" hidden="1" customHeight="1">
      <c r="B434" s="146">
        <v>433.0</v>
      </c>
      <c r="C434" s="146">
        <f t="shared" si="1"/>
        <v>10433</v>
      </c>
      <c r="D434" s="146" t="s">
        <v>7</v>
      </c>
      <c r="E434" s="305" t="str">
        <f>VLOOKUP('Expected Auditing Outcomes'!$B434,'Master Sheet'!A435:G1051, 7, FALSE)</f>
        <v>#N/A</v>
      </c>
      <c r="F434" s="383" t="s">
        <v>802</v>
      </c>
      <c r="G434" s="430">
        <f>LEN('Expected Auditing Outcomes'!$F434)</f>
        <v>93</v>
      </c>
      <c r="H434" s="430"/>
    </row>
    <row r="435" ht="15.75" hidden="1" customHeight="1">
      <c r="B435" s="146">
        <v>434.0</v>
      </c>
      <c r="C435" s="146">
        <f t="shared" si="1"/>
        <v>10434</v>
      </c>
      <c r="D435" s="146" t="s">
        <v>34</v>
      </c>
      <c r="E435" s="305" t="str">
        <f>VLOOKUP('Expected Auditing Outcomes'!$B435,'Master Sheet'!A436:G1051, 7, FALSE)</f>
        <v>#N/A</v>
      </c>
      <c r="F435" s="383" t="s">
        <v>804</v>
      </c>
      <c r="G435" s="430">
        <f>LEN('Expected Auditing Outcomes'!$F435)</f>
        <v>181</v>
      </c>
      <c r="H435" s="431">
        <v>45770.0</v>
      </c>
    </row>
    <row r="436" ht="15.75" hidden="1" customHeight="1">
      <c r="B436" s="146">
        <v>435.0</v>
      </c>
      <c r="C436" s="146">
        <f t="shared" si="1"/>
        <v>10435</v>
      </c>
      <c r="D436" s="146" t="s">
        <v>34</v>
      </c>
      <c r="E436" s="305" t="str">
        <f>VLOOKUP('Expected Auditing Outcomes'!$B436,'Master Sheet'!A437:G1051, 7, FALSE)</f>
        <v>#N/A</v>
      </c>
      <c r="F436" s="383" t="s">
        <v>806</v>
      </c>
      <c r="G436" s="430">
        <f>LEN('Expected Auditing Outcomes'!$F436)</f>
        <v>173</v>
      </c>
      <c r="H436" s="431">
        <v>45770.0</v>
      </c>
    </row>
    <row r="437" ht="15.75" hidden="1" customHeight="1">
      <c r="B437" s="146">
        <v>436.0</v>
      </c>
      <c r="C437" s="146">
        <f t="shared" si="1"/>
        <v>10436</v>
      </c>
      <c r="D437" s="146" t="s">
        <v>7</v>
      </c>
      <c r="E437" s="305" t="str">
        <f>VLOOKUP('Expected Auditing Outcomes'!$B437,'Master Sheet'!A438:G1051, 7, FALSE)</f>
        <v>#N/A</v>
      </c>
      <c r="F437" s="383" t="s">
        <v>808</v>
      </c>
      <c r="G437" s="430">
        <f>LEN('Expected Auditing Outcomes'!$F437)</f>
        <v>64</v>
      </c>
      <c r="H437" s="430"/>
    </row>
    <row r="438" ht="15.75" hidden="1" customHeight="1">
      <c r="B438" s="146">
        <v>437.0</v>
      </c>
      <c r="C438" s="146">
        <f t="shared" si="1"/>
        <v>10437</v>
      </c>
      <c r="D438" s="146" t="s">
        <v>34</v>
      </c>
      <c r="E438" s="305" t="str">
        <f>VLOOKUP('Expected Auditing Outcomes'!$B438,'Master Sheet'!A439:G1051, 7, FALSE)</f>
        <v>#N/A</v>
      </c>
      <c r="F438" s="383" t="s">
        <v>810</v>
      </c>
      <c r="G438" s="430">
        <f>LEN('Expected Auditing Outcomes'!$F438)</f>
        <v>180</v>
      </c>
      <c r="H438" s="431">
        <v>45770.0</v>
      </c>
    </row>
    <row r="439" ht="15.75" hidden="1" customHeight="1">
      <c r="B439" s="146">
        <v>438.0</v>
      </c>
      <c r="C439" s="146">
        <f t="shared" si="1"/>
        <v>10438</v>
      </c>
      <c r="D439" s="146" t="s">
        <v>20</v>
      </c>
      <c r="E439" s="305" t="str">
        <f>VLOOKUP('Expected Auditing Outcomes'!$B439,'Master Sheet'!A440:G1051, 7, FALSE)</f>
        <v>#N/A</v>
      </c>
      <c r="F439" s="383" t="s">
        <v>812</v>
      </c>
      <c r="G439" s="430">
        <f>LEN('Expected Auditing Outcomes'!$F439)</f>
        <v>99</v>
      </c>
      <c r="H439" s="430"/>
    </row>
    <row r="440" ht="15.75" hidden="1" customHeight="1">
      <c r="B440" s="146">
        <v>439.0</v>
      </c>
      <c r="C440" s="146">
        <f t="shared" si="1"/>
        <v>10439</v>
      </c>
      <c r="D440" s="146" t="s">
        <v>34</v>
      </c>
      <c r="E440" s="305" t="str">
        <f>VLOOKUP('Expected Auditing Outcomes'!$B440,'Master Sheet'!A441:G1051, 7, FALSE)</f>
        <v>#N/A</v>
      </c>
      <c r="F440" s="437" t="s">
        <v>814</v>
      </c>
      <c r="G440" s="430">
        <f>LEN('Expected Auditing Outcomes'!$F440)</f>
        <v>247</v>
      </c>
      <c r="H440" s="430" t="s">
        <v>331</v>
      </c>
    </row>
    <row r="441" ht="15.75" hidden="1" customHeight="1">
      <c r="B441" s="146">
        <v>440.0</v>
      </c>
      <c r="C441" s="146">
        <f t="shared" si="1"/>
        <v>10440</v>
      </c>
      <c r="D441" s="146" t="s">
        <v>7</v>
      </c>
      <c r="E441" s="305" t="str">
        <f>VLOOKUP('Expected Auditing Outcomes'!$B441,'Master Sheet'!A442:G1051, 7, FALSE)</f>
        <v>#N/A</v>
      </c>
      <c r="F441" s="383" t="s">
        <v>816</v>
      </c>
      <c r="G441" s="430">
        <f>LEN('Expected Auditing Outcomes'!$F441)</f>
        <v>68</v>
      </c>
      <c r="H441" s="430"/>
    </row>
    <row r="442" ht="15.75" hidden="1" customHeight="1">
      <c r="B442" s="146">
        <v>441.0</v>
      </c>
      <c r="C442" s="146">
        <f t="shared" si="1"/>
        <v>10441</v>
      </c>
      <c r="D442" s="146" t="s">
        <v>34</v>
      </c>
      <c r="E442" s="305" t="str">
        <f>VLOOKUP('Expected Auditing Outcomes'!$B442,'Master Sheet'!A443:G1051, 7, FALSE)</f>
        <v>#N/A</v>
      </c>
      <c r="F442" s="437" t="s">
        <v>818</v>
      </c>
      <c r="G442" s="430">
        <f>LEN('Expected Auditing Outcomes'!$F442)</f>
        <v>230</v>
      </c>
      <c r="H442" s="430" t="s">
        <v>331</v>
      </c>
    </row>
    <row r="443" ht="15.75" hidden="1" customHeight="1">
      <c r="B443" s="146">
        <v>442.0</v>
      </c>
      <c r="C443" s="146">
        <f t="shared" si="1"/>
        <v>10442</v>
      </c>
      <c r="D443" s="146" t="s">
        <v>34</v>
      </c>
      <c r="E443" s="305" t="str">
        <f>VLOOKUP('Expected Auditing Outcomes'!$B443,'Master Sheet'!A444:G1051, 7, FALSE)</f>
        <v>#N/A</v>
      </c>
      <c r="F443" s="437" t="s">
        <v>820</v>
      </c>
      <c r="G443" s="430">
        <f>LEN('Expected Auditing Outcomes'!$F443)</f>
        <v>220</v>
      </c>
      <c r="H443" s="430" t="s">
        <v>331</v>
      </c>
    </row>
    <row r="444" ht="15.75" hidden="1" customHeight="1">
      <c r="B444" s="146">
        <v>443.0</v>
      </c>
      <c r="C444" s="146">
        <f t="shared" si="1"/>
        <v>10443</v>
      </c>
      <c r="D444" s="146" t="s">
        <v>7</v>
      </c>
      <c r="E444" s="305" t="str">
        <f>VLOOKUP('Expected Auditing Outcomes'!$B444,'Master Sheet'!A445:G1051, 7, FALSE)</f>
        <v>#N/A</v>
      </c>
      <c r="F444" s="383" t="s">
        <v>822</v>
      </c>
      <c r="G444" s="430">
        <f>LEN('Expected Auditing Outcomes'!$F444)</f>
        <v>112</v>
      </c>
      <c r="H444" s="430"/>
    </row>
    <row r="445" ht="15.75" hidden="1" customHeight="1">
      <c r="B445" s="146">
        <v>444.0</v>
      </c>
      <c r="C445" s="146">
        <f t="shared" si="1"/>
        <v>10444</v>
      </c>
      <c r="D445" s="146" t="s">
        <v>7</v>
      </c>
      <c r="E445" s="305" t="str">
        <f>VLOOKUP('Expected Auditing Outcomes'!$B445,'Master Sheet'!A446:G1051, 7, FALSE)</f>
        <v>#N/A</v>
      </c>
      <c r="F445" s="383" t="s">
        <v>824</v>
      </c>
      <c r="G445" s="430">
        <f>LEN('Expected Auditing Outcomes'!$F445)</f>
        <v>73</v>
      </c>
      <c r="H445" s="430"/>
    </row>
    <row r="446" ht="15.75" hidden="1" customHeight="1">
      <c r="B446" s="146">
        <v>445.0</v>
      </c>
      <c r="C446" s="146">
        <f t="shared" si="1"/>
        <v>10445</v>
      </c>
      <c r="D446" s="146" t="s">
        <v>20</v>
      </c>
      <c r="E446" s="465" t="s">
        <v>825</v>
      </c>
      <c r="F446" s="465" t="s">
        <v>826</v>
      </c>
      <c r="G446" s="430">
        <f>LEN('Expected Auditing Outcomes'!$F446)</f>
        <v>169</v>
      </c>
      <c r="H446" s="430"/>
    </row>
    <row r="447" ht="15.75" hidden="1" customHeight="1">
      <c r="B447" s="146">
        <v>446.0</v>
      </c>
      <c r="C447" s="146">
        <f t="shared" si="1"/>
        <v>10446</v>
      </c>
      <c r="D447" s="146" t="s">
        <v>34</v>
      </c>
      <c r="E447" s="305" t="str">
        <f>VLOOKUP('Expected Auditing Outcomes'!$B447,'Master Sheet'!A447:G1051, 7, FALSE)</f>
        <v>INDIVIDUAL PROC denial due to FREQ with D-S INCL POS and D-S INCL PROV TYPE - Line Quantity (SAME DOS; XPROV)(QTY PER PROC, ADD LINE=N)</v>
      </c>
      <c r="F447" s="383" t="s">
        <v>828</v>
      </c>
      <c r="G447" s="430">
        <f>LEN('Expected Auditing Outcomes'!$F447)</f>
        <v>145</v>
      </c>
      <c r="H447" s="430"/>
    </row>
    <row r="448" ht="15.75" hidden="1" customHeight="1">
      <c r="B448" s="146">
        <v>447.0</v>
      </c>
      <c r="C448" s="146">
        <f t="shared" si="1"/>
        <v>10447</v>
      </c>
      <c r="D448" s="146" t="s">
        <v>7</v>
      </c>
      <c r="E448" s="305" t="str">
        <f>VLOOKUP('Expected Auditing Outcomes'!$B448,'Master Sheet'!A448:G1051, 7, FALSE)</f>
        <v>PROC denial due to NOT PRESENT PROVIDER TYPE and NOT PRESENT BILL TYPE</v>
      </c>
      <c r="F448" s="383" t="s">
        <v>830</v>
      </c>
      <c r="G448" s="430">
        <f>LEN('Expected Auditing Outcomes'!$F448)</f>
        <v>59</v>
      </c>
      <c r="H448" s="430"/>
    </row>
    <row r="449" ht="15.75" hidden="1" customHeight="1">
      <c r="B449" s="146">
        <v>448.0</v>
      </c>
      <c r="C449" s="146">
        <f t="shared" si="1"/>
        <v>10448</v>
      </c>
      <c r="D449" s="146" t="s">
        <v>7</v>
      </c>
      <c r="E449" s="269" t="s">
        <v>831</v>
      </c>
      <c r="F449" s="468"/>
      <c r="G449" s="430">
        <f>LEN('Expected Auditing Outcomes'!$F449)</f>
        <v>0</v>
      </c>
      <c r="H449" s="430"/>
    </row>
    <row r="450" ht="15.75" hidden="1" customHeight="1">
      <c r="B450" s="146">
        <v>449.0</v>
      </c>
      <c r="C450" s="146">
        <f t="shared" si="1"/>
        <v>10449</v>
      </c>
      <c r="D450" s="146" t="s">
        <v>27</v>
      </c>
      <c r="E450" s="305" t="s">
        <v>3665</v>
      </c>
      <c r="F450" s="383" t="s">
        <v>833</v>
      </c>
      <c r="G450" s="430">
        <f>LEN('Expected Auditing Outcomes'!$F450)</f>
        <v>156</v>
      </c>
      <c r="H450" s="431">
        <v>45770.0</v>
      </c>
    </row>
    <row r="451" ht="15.75" hidden="1" customHeight="1">
      <c r="B451" s="146">
        <v>450.0</v>
      </c>
      <c r="C451" s="146">
        <f t="shared" si="1"/>
        <v>10450</v>
      </c>
      <c r="D451" s="146" t="s">
        <v>20</v>
      </c>
      <c r="E451" s="305" t="s">
        <v>834</v>
      </c>
      <c r="F451" s="383" t="s">
        <v>835</v>
      </c>
      <c r="G451" s="430">
        <f>LEN('Expected Auditing Outcomes'!$F451)</f>
        <v>107</v>
      </c>
      <c r="H451" s="430"/>
    </row>
    <row r="452" ht="15.75" hidden="1" customHeight="1">
      <c r="B452" s="146">
        <v>451.0</v>
      </c>
      <c r="C452" s="146">
        <f t="shared" si="1"/>
        <v>10451</v>
      </c>
      <c r="D452" s="146" t="s">
        <v>34</v>
      </c>
      <c r="E452" s="305" t="s">
        <v>3666</v>
      </c>
      <c r="F452" s="437" t="s">
        <v>837</v>
      </c>
      <c r="G452" s="430">
        <f>LEN('Expected Auditing Outcomes'!$F452)</f>
        <v>221</v>
      </c>
      <c r="H452" s="430" t="s">
        <v>331</v>
      </c>
    </row>
    <row r="453" ht="15.75" hidden="1" customHeight="1">
      <c r="B453" s="146">
        <v>452.0</v>
      </c>
      <c r="C453" s="146">
        <f t="shared" si="1"/>
        <v>10452</v>
      </c>
      <c r="D453" s="146" t="s">
        <v>34</v>
      </c>
      <c r="E453" s="305" t="s">
        <v>3667</v>
      </c>
      <c r="F453" s="437" t="s">
        <v>839</v>
      </c>
      <c r="G453" s="430">
        <f>LEN('Expected Auditing Outcomes'!$F453)</f>
        <v>195</v>
      </c>
      <c r="H453" s="430" t="s">
        <v>331</v>
      </c>
    </row>
    <row r="454" ht="15.75" hidden="1" customHeight="1">
      <c r="B454" s="146">
        <v>453.0</v>
      </c>
      <c r="C454" s="146">
        <f t="shared" si="1"/>
        <v>10453</v>
      </c>
      <c r="D454" s="146" t="s">
        <v>7</v>
      </c>
      <c r="E454" s="305" t="s">
        <v>840</v>
      </c>
      <c r="F454" s="383" t="s">
        <v>841</v>
      </c>
      <c r="G454" s="430">
        <f>LEN('Expected Auditing Outcomes'!$F454)</f>
        <v>46</v>
      </c>
      <c r="H454" s="430"/>
    </row>
    <row r="455" ht="15.75" hidden="1" customHeight="1">
      <c r="B455" s="146">
        <v>454.0</v>
      </c>
      <c r="C455" s="146">
        <f t="shared" si="1"/>
        <v>10454</v>
      </c>
      <c r="D455" s="146" t="s">
        <v>7</v>
      </c>
      <c r="E455" s="305" t="s">
        <v>3668</v>
      </c>
      <c r="F455" s="383" t="s">
        <v>843</v>
      </c>
      <c r="G455" s="430">
        <f>LEN('Expected Auditing Outcomes'!$F455)</f>
        <v>88</v>
      </c>
      <c r="H455" s="430"/>
    </row>
    <row r="456" ht="15.75" hidden="1" customHeight="1">
      <c r="B456" s="146">
        <v>455.0</v>
      </c>
      <c r="C456" s="146">
        <f t="shared" si="1"/>
        <v>10455</v>
      </c>
      <c r="D456" s="146" t="s">
        <v>27</v>
      </c>
      <c r="E456" s="305" t="s">
        <v>844</v>
      </c>
      <c r="F456" s="383" t="s">
        <v>845</v>
      </c>
      <c r="G456" s="430">
        <f>LEN('Expected Auditing Outcomes'!$F456)</f>
        <v>89</v>
      </c>
      <c r="H456" s="430"/>
    </row>
    <row r="457" ht="15.75" hidden="1" customHeight="1">
      <c r="B457" s="146">
        <v>456.0</v>
      </c>
      <c r="C457" s="146">
        <f t="shared" si="1"/>
        <v>10456</v>
      </c>
      <c r="D457" s="146" t="s">
        <v>34</v>
      </c>
      <c r="E457" s="305" t="s">
        <v>3669</v>
      </c>
      <c r="F457" s="383" t="s">
        <v>847</v>
      </c>
      <c r="G457" s="430">
        <f>LEN('Expected Auditing Outcomes'!$F457)</f>
        <v>159</v>
      </c>
      <c r="H457" s="430"/>
    </row>
    <row r="458" ht="15.75" hidden="1" customHeight="1">
      <c r="B458" s="146">
        <v>457.0</v>
      </c>
      <c r="C458" s="146">
        <f t="shared" si="1"/>
        <v>10457</v>
      </c>
      <c r="D458" s="146" t="s">
        <v>20</v>
      </c>
      <c r="E458" s="305" t="s">
        <v>848</v>
      </c>
      <c r="F458" s="383" t="s">
        <v>849</v>
      </c>
      <c r="G458" s="430">
        <f>LEN('Expected Auditing Outcomes'!$F458)</f>
        <v>109</v>
      </c>
      <c r="H458" s="430"/>
    </row>
    <row r="459" ht="15.75" hidden="1" customHeight="1">
      <c r="B459" s="146">
        <v>458.0</v>
      </c>
      <c r="C459" s="146">
        <f t="shared" si="1"/>
        <v>10458</v>
      </c>
      <c r="D459" s="146" t="s">
        <v>20</v>
      </c>
      <c r="E459" s="305" t="s">
        <v>850</v>
      </c>
      <c r="F459" s="383" t="s">
        <v>851</v>
      </c>
      <c r="G459" s="430">
        <f>LEN('Expected Auditing Outcomes'!$F459)</f>
        <v>109</v>
      </c>
      <c r="H459" s="430"/>
    </row>
    <row r="460" ht="15.75" hidden="1" customHeight="1">
      <c r="B460" s="146">
        <v>459.0</v>
      </c>
      <c r="C460" s="146">
        <f t="shared" si="1"/>
        <v>10459</v>
      </c>
      <c r="D460" s="146" t="s">
        <v>20</v>
      </c>
      <c r="E460" s="378" t="s">
        <v>852</v>
      </c>
      <c r="F460" s="383" t="s">
        <v>853</v>
      </c>
      <c r="G460" s="430">
        <f>LEN('Expected Auditing Outcomes'!$F460)</f>
        <v>171</v>
      </c>
      <c r="H460" s="430"/>
    </row>
    <row r="461" ht="15.75" hidden="1" customHeight="1">
      <c r="B461" s="469">
        <v>460.0</v>
      </c>
      <c r="C461" s="469">
        <f t="shared" si="1"/>
        <v>10460</v>
      </c>
      <c r="D461" s="146" t="s">
        <v>34</v>
      </c>
      <c r="E461" s="305" t="s">
        <v>854</v>
      </c>
      <c r="F461" s="383" t="s">
        <v>855</v>
      </c>
      <c r="G461" s="430">
        <f>LEN('Expected Auditing Outcomes'!$F461)</f>
        <v>189</v>
      </c>
      <c r="H461" s="430"/>
    </row>
    <row r="462" ht="15.75" hidden="1" customHeight="1">
      <c r="B462" s="146">
        <v>461.0</v>
      </c>
      <c r="C462" s="146">
        <f t="shared" si="1"/>
        <v>10461</v>
      </c>
      <c r="D462" s="146" t="s">
        <v>34</v>
      </c>
      <c r="E462" s="229" t="s">
        <v>3670</v>
      </c>
      <c r="F462" s="383" t="s">
        <v>857</v>
      </c>
      <c r="G462" s="430">
        <f>LEN('Expected Auditing Outcomes'!$F462)</f>
        <v>188</v>
      </c>
      <c r="H462" s="430" t="s">
        <v>331</v>
      </c>
    </row>
    <row r="463" ht="15.75" hidden="1" customHeight="1">
      <c r="B463" s="146">
        <v>462.0</v>
      </c>
      <c r="C463" s="146">
        <f t="shared" si="1"/>
        <v>10462</v>
      </c>
      <c r="D463" s="146" t="s">
        <v>34</v>
      </c>
      <c r="E463" s="305" t="s">
        <v>3671</v>
      </c>
      <c r="F463" s="383" t="s">
        <v>859</v>
      </c>
      <c r="G463" s="430">
        <f>LEN('Expected Auditing Outcomes'!$F463)</f>
        <v>185</v>
      </c>
      <c r="H463" s="431">
        <v>45770.0</v>
      </c>
    </row>
    <row r="464" ht="15.75" hidden="1" customHeight="1">
      <c r="B464" s="146">
        <v>463.0</v>
      </c>
      <c r="C464" s="146">
        <f t="shared" si="1"/>
        <v>10463</v>
      </c>
      <c r="D464" s="146" t="s">
        <v>34</v>
      </c>
      <c r="E464" s="305" t="s">
        <v>3672</v>
      </c>
      <c r="F464" s="383" t="s">
        <v>861</v>
      </c>
      <c r="G464" s="430">
        <f>LEN('Expected Auditing Outcomes'!$F464)</f>
        <v>169</v>
      </c>
      <c r="H464" s="430"/>
    </row>
    <row r="465" ht="15.75" hidden="1" customHeight="1">
      <c r="B465" s="146">
        <v>464.0</v>
      </c>
      <c r="C465" s="146">
        <f t="shared" si="1"/>
        <v>10464</v>
      </c>
      <c r="D465" s="146" t="s">
        <v>7</v>
      </c>
      <c r="E465" s="470" t="s">
        <v>862</v>
      </c>
      <c r="F465" s="383" t="s">
        <v>863</v>
      </c>
      <c r="G465" s="430">
        <f>LEN('Expected Auditing Outcomes'!$F465)</f>
        <v>58</v>
      </c>
      <c r="H465" s="430"/>
    </row>
    <row r="466" ht="15.75" hidden="1" customHeight="1">
      <c r="B466" s="146">
        <v>465.0</v>
      </c>
      <c r="C466" s="146">
        <f t="shared" si="1"/>
        <v>10465</v>
      </c>
      <c r="D466" s="146" t="s">
        <v>34</v>
      </c>
      <c r="E466" s="305" t="s">
        <v>3673</v>
      </c>
      <c r="F466" s="383" t="s">
        <v>3674</v>
      </c>
      <c r="G466" s="430">
        <f>LEN('Expected Auditing Outcomes'!$F466)</f>
        <v>179</v>
      </c>
      <c r="H466" s="431">
        <v>45770.0</v>
      </c>
    </row>
    <row r="467" ht="15.75" hidden="1" customHeight="1">
      <c r="B467" s="146">
        <v>466.0</v>
      </c>
      <c r="C467" s="146">
        <f t="shared" si="1"/>
        <v>10466</v>
      </c>
      <c r="D467" s="146" t="s">
        <v>7</v>
      </c>
      <c r="E467" s="305" t="s">
        <v>3675</v>
      </c>
      <c r="F467" s="383" t="s">
        <v>867</v>
      </c>
      <c r="G467" s="430">
        <f>LEN('Expected Auditing Outcomes'!$F467)</f>
        <v>35</v>
      </c>
      <c r="H467" s="430"/>
    </row>
    <row r="468" ht="15.75" hidden="1" customHeight="1">
      <c r="B468" s="146">
        <v>467.0</v>
      </c>
      <c r="C468" s="146">
        <f t="shared" si="1"/>
        <v>10467</v>
      </c>
      <c r="D468" s="146" t="s">
        <v>27</v>
      </c>
      <c r="E468" s="305" t="s">
        <v>3676</v>
      </c>
      <c r="F468" s="383" t="s">
        <v>869</v>
      </c>
      <c r="G468" s="430">
        <f>LEN('Expected Auditing Outcomes'!$F468)</f>
        <v>131</v>
      </c>
      <c r="H468" s="430"/>
    </row>
    <row r="469" ht="15.75" hidden="1" customHeight="1">
      <c r="B469" s="146">
        <v>468.0</v>
      </c>
      <c r="C469" s="146">
        <f t="shared" si="1"/>
        <v>10468</v>
      </c>
      <c r="D469" s="471" t="s">
        <v>34</v>
      </c>
      <c r="E469" s="305" t="s">
        <v>3677</v>
      </c>
      <c r="F469" s="437" t="s">
        <v>871</v>
      </c>
      <c r="G469" s="430">
        <f>LEN('Expected Auditing Outcomes'!$F469)</f>
        <v>200</v>
      </c>
      <c r="H469" s="430" t="s">
        <v>331</v>
      </c>
    </row>
    <row r="470" ht="15.75" hidden="1" customHeight="1">
      <c r="B470" s="146">
        <v>469.0</v>
      </c>
      <c r="C470" s="146">
        <f t="shared" si="1"/>
        <v>10469</v>
      </c>
      <c r="D470" s="146" t="s">
        <v>27</v>
      </c>
      <c r="E470" s="229" t="s">
        <v>872</v>
      </c>
      <c r="F470" s="383" t="s">
        <v>873</v>
      </c>
      <c r="G470" s="430">
        <f>LEN('Expected Auditing Outcomes'!$F470)</f>
        <v>146</v>
      </c>
      <c r="H470" s="430"/>
    </row>
    <row r="471" ht="15.75" hidden="1" customHeight="1">
      <c r="B471" s="146">
        <v>470.0</v>
      </c>
      <c r="C471" s="146">
        <f t="shared" si="1"/>
        <v>10470</v>
      </c>
      <c r="D471" s="146" t="s">
        <v>7</v>
      </c>
      <c r="E471" s="305" t="s">
        <v>874</v>
      </c>
      <c r="F471" s="383" t="s">
        <v>875</v>
      </c>
      <c r="G471" s="430">
        <f>LEN('Expected Auditing Outcomes'!$F471)</f>
        <v>98</v>
      </c>
      <c r="H471" s="430"/>
    </row>
    <row r="472" ht="28.5" hidden="1" customHeight="1">
      <c r="B472" s="146">
        <v>471.0</v>
      </c>
      <c r="C472" s="146">
        <f t="shared" si="1"/>
        <v>10471</v>
      </c>
      <c r="D472" s="146" t="s">
        <v>34</v>
      </c>
      <c r="E472" s="383" t="s">
        <v>3678</v>
      </c>
      <c r="F472" s="383" t="s">
        <v>877</v>
      </c>
      <c r="G472" s="430">
        <f>LEN('Expected Auditing Outcomes'!$F472)</f>
        <v>166</v>
      </c>
      <c r="H472" s="430"/>
    </row>
    <row r="473" ht="15.75" hidden="1" customHeight="1">
      <c r="B473" s="146">
        <v>472.0</v>
      </c>
      <c r="C473" s="146">
        <f t="shared" si="1"/>
        <v>10472</v>
      </c>
      <c r="D473" s="146" t="s">
        <v>34</v>
      </c>
      <c r="E473" s="305" t="s">
        <v>3671</v>
      </c>
      <c r="F473" s="383" t="s">
        <v>879</v>
      </c>
      <c r="G473" s="430">
        <f>LEN('Expected Auditing Outcomes'!$F473)</f>
        <v>196</v>
      </c>
      <c r="H473" s="431">
        <v>45770.0</v>
      </c>
    </row>
    <row r="474" ht="15.75" hidden="1" customHeight="1">
      <c r="B474" s="146">
        <v>473.0</v>
      </c>
      <c r="C474" s="146">
        <f t="shared" si="1"/>
        <v>10473</v>
      </c>
      <c r="D474" s="146" t="s">
        <v>27</v>
      </c>
      <c r="E474" s="229" t="s">
        <v>872</v>
      </c>
      <c r="F474" s="383" t="s">
        <v>881</v>
      </c>
      <c r="G474" s="430">
        <f>LEN('Expected Auditing Outcomes'!$F474)</f>
        <v>169</v>
      </c>
      <c r="H474" s="431">
        <v>45770.0</v>
      </c>
    </row>
    <row r="475" ht="15.75" hidden="1" customHeight="1">
      <c r="B475" s="469">
        <v>474.0</v>
      </c>
      <c r="C475" s="469">
        <f t="shared" si="1"/>
        <v>10474</v>
      </c>
      <c r="D475" s="146" t="s">
        <v>34</v>
      </c>
      <c r="E475" s="305" t="s">
        <v>3679</v>
      </c>
      <c r="F475" s="437" t="s">
        <v>883</v>
      </c>
      <c r="G475" s="430">
        <f>LEN('Expected Auditing Outcomes'!$F475)</f>
        <v>207</v>
      </c>
      <c r="H475" s="430" t="s">
        <v>331</v>
      </c>
    </row>
    <row r="476" ht="15.75" hidden="1" customHeight="1">
      <c r="B476" s="146">
        <v>475.0</v>
      </c>
      <c r="C476" s="146">
        <f t="shared" si="1"/>
        <v>10475</v>
      </c>
      <c r="D476" s="146" t="s">
        <v>34</v>
      </c>
      <c r="E476" s="305" t="s">
        <v>3669</v>
      </c>
      <c r="F476" s="383" t="s">
        <v>847</v>
      </c>
      <c r="G476" s="430">
        <f>LEN('Expected Auditing Outcomes'!$F476)</f>
        <v>159</v>
      </c>
      <c r="H476" s="430"/>
    </row>
    <row r="477" ht="15.75" hidden="1" customHeight="1">
      <c r="B477" s="146">
        <v>476.0</v>
      </c>
      <c r="C477" s="146">
        <f t="shared" si="1"/>
        <v>10476</v>
      </c>
      <c r="D477" s="146" t="s">
        <v>27</v>
      </c>
      <c r="E477" s="360" t="s">
        <v>885</v>
      </c>
      <c r="F477" s="383" t="s">
        <v>886</v>
      </c>
      <c r="G477" s="430">
        <f>LEN('Expected Auditing Outcomes'!$F477)</f>
        <v>134</v>
      </c>
      <c r="H477" s="430"/>
    </row>
    <row r="478" ht="15.75" hidden="1" customHeight="1">
      <c r="B478" s="146">
        <v>477.0</v>
      </c>
      <c r="C478" s="146">
        <f t="shared" si="1"/>
        <v>10477</v>
      </c>
      <c r="D478" s="146" t="s">
        <v>20</v>
      </c>
      <c r="E478" s="465" t="s">
        <v>887</v>
      </c>
      <c r="F478" s="465" t="s">
        <v>3680</v>
      </c>
      <c r="G478" s="430">
        <f>LEN('Expected Auditing Outcomes'!$F478)</f>
        <v>154</v>
      </c>
      <c r="H478" s="430"/>
    </row>
    <row r="479" ht="15.75" hidden="1" customHeight="1">
      <c r="B479" s="146">
        <v>478.0</v>
      </c>
      <c r="C479" s="146">
        <f t="shared" si="1"/>
        <v>10478</v>
      </c>
      <c r="D479" s="146" t="s">
        <v>7</v>
      </c>
      <c r="E479" s="305" t="s">
        <v>889</v>
      </c>
      <c r="F479" s="383" t="s">
        <v>890</v>
      </c>
      <c r="G479" s="430">
        <f>LEN('Expected Auditing Outcomes'!$F479)</f>
        <v>66</v>
      </c>
      <c r="H479" s="430"/>
    </row>
    <row r="480" ht="15.75" hidden="1" customHeight="1">
      <c r="B480" s="146">
        <v>479.0</v>
      </c>
      <c r="C480" s="146">
        <f t="shared" si="1"/>
        <v>10479</v>
      </c>
      <c r="D480" s="146" t="s">
        <v>34</v>
      </c>
      <c r="E480" s="305" t="s">
        <v>3681</v>
      </c>
      <c r="F480" s="437" t="s">
        <v>892</v>
      </c>
      <c r="G480" s="430">
        <f>LEN('Expected Auditing Outcomes'!$F480)</f>
        <v>221</v>
      </c>
      <c r="H480" s="430" t="s">
        <v>331</v>
      </c>
    </row>
    <row r="481" ht="15.75" hidden="1" customHeight="1">
      <c r="B481" s="146">
        <v>480.0</v>
      </c>
      <c r="C481" s="146">
        <f t="shared" si="1"/>
        <v>10480</v>
      </c>
      <c r="D481" s="146" t="s">
        <v>34</v>
      </c>
      <c r="E481" s="305" t="s">
        <v>3682</v>
      </c>
      <c r="F481" s="437" t="s">
        <v>894</v>
      </c>
      <c r="G481" s="430">
        <f>LEN('Expected Auditing Outcomes'!$F481)</f>
        <v>217</v>
      </c>
      <c r="H481" s="430" t="s">
        <v>331</v>
      </c>
    </row>
    <row r="482" ht="15.75" hidden="1" customHeight="1">
      <c r="B482" s="146">
        <v>481.0</v>
      </c>
      <c r="C482" s="146">
        <f t="shared" si="1"/>
        <v>10481</v>
      </c>
      <c r="D482" s="146" t="s">
        <v>27</v>
      </c>
      <c r="E482" s="305" t="s">
        <v>895</v>
      </c>
      <c r="F482" s="383" t="s">
        <v>896</v>
      </c>
      <c r="G482" s="430">
        <f>LEN('Expected Auditing Outcomes'!$F482)</f>
        <v>156</v>
      </c>
      <c r="H482" s="431">
        <v>45770.0</v>
      </c>
    </row>
    <row r="483" ht="15.75" hidden="1" customHeight="1">
      <c r="B483" s="146">
        <v>482.0</v>
      </c>
      <c r="C483" s="146">
        <f t="shared" si="1"/>
        <v>10482</v>
      </c>
      <c r="D483" s="146" t="s">
        <v>34</v>
      </c>
      <c r="E483" s="305" t="s">
        <v>3683</v>
      </c>
      <c r="F483" s="383" t="s">
        <v>898</v>
      </c>
      <c r="G483" s="430">
        <f>LEN('Expected Auditing Outcomes'!$F483)</f>
        <v>186</v>
      </c>
      <c r="H483" s="431">
        <v>45770.0</v>
      </c>
    </row>
    <row r="484" ht="15.75" hidden="1" customHeight="1">
      <c r="B484" s="146">
        <v>483.0</v>
      </c>
      <c r="C484" s="146">
        <f t="shared" si="1"/>
        <v>10483</v>
      </c>
      <c r="D484" s="146" t="s">
        <v>7</v>
      </c>
      <c r="E484" s="305" t="s">
        <v>899</v>
      </c>
      <c r="F484" s="383" t="s">
        <v>69</v>
      </c>
      <c r="G484" s="430">
        <f>LEN('Expected Auditing Outcomes'!$F484)</f>
        <v>58</v>
      </c>
      <c r="H484" s="430"/>
    </row>
    <row r="485" ht="15.75" hidden="1" customHeight="1">
      <c r="B485" s="146">
        <v>484.0</v>
      </c>
      <c r="C485" s="146">
        <f t="shared" si="1"/>
        <v>10484</v>
      </c>
      <c r="D485" s="146" t="s">
        <v>20</v>
      </c>
      <c r="E485" s="269" t="s">
        <v>2609</v>
      </c>
      <c r="F485" s="383" t="s">
        <v>901</v>
      </c>
      <c r="G485" s="430">
        <f>LEN('Expected Auditing Outcomes'!$F485)</f>
        <v>127</v>
      </c>
      <c r="H485" s="430"/>
    </row>
    <row r="486" ht="15.75" hidden="1" customHeight="1">
      <c r="B486" s="146">
        <v>485.0</v>
      </c>
      <c r="C486" s="146">
        <f t="shared" si="1"/>
        <v>10485</v>
      </c>
      <c r="D486" s="146" t="s">
        <v>7</v>
      </c>
      <c r="E486" s="269" t="s">
        <v>902</v>
      </c>
      <c r="F486" s="383" t="s">
        <v>903</v>
      </c>
      <c r="G486" s="430">
        <f>LEN('Expected Auditing Outcomes'!$F486)</f>
        <v>77</v>
      </c>
      <c r="H486" s="430"/>
    </row>
    <row r="487" ht="15.75" hidden="1" customHeight="1">
      <c r="B487" s="146">
        <v>486.0</v>
      </c>
      <c r="C487" s="146">
        <f t="shared" si="1"/>
        <v>10486</v>
      </c>
      <c r="D487" s="146" t="s">
        <v>7</v>
      </c>
      <c r="E487" s="360" t="s">
        <v>904</v>
      </c>
      <c r="F487" s="383" t="s">
        <v>905</v>
      </c>
      <c r="G487" s="430">
        <f>LEN('Expected Auditing Outcomes'!$F487)</f>
        <v>70</v>
      </c>
      <c r="H487" s="430"/>
    </row>
    <row r="488" ht="15.75" hidden="1" customHeight="1">
      <c r="B488" s="146">
        <v>487.0</v>
      </c>
      <c r="C488" s="146">
        <f t="shared" si="1"/>
        <v>10487</v>
      </c>
      <c r="D488" s="146" t="s">
        <v>7</v>
      </c>
      <c r="E488" s="305" t="s">
        <v>906</v>
      </c>
      <c r="F488" s="383" t="s">
        <v>907</v>
      </c>
      <c r="G488" s="430">
        <f>LEN('Expected Auditing Outcomes'!$F488)</f>
        <v>76</v>
      </c>
      <c r="H488" s="430"/>
    </row>
    <row r="489" ht="15.75" hidden="1" customHeight="1">
      <c r="B489" s="146">
        <v>488.0</v>
      </c>
      <c r="C489" s="146">
        <f t="shared" si="1"/>
        <v>10488</v>
      </c>
      <c r="D489" s="146" t="s">
        <v>27</v>
      </c>
      <c r="E489" s="472" t="s">
        <v>3684</v>
      </c>
      <c r="F489" s="383" t="s">
        <v>909</v>
      </c>
      <c r="G489" s="430">
        <f>LEN('Expected Auditing Outcomes'!$F489)</f>
        <v>131</v>
      </c>
      <c r="H489" s="430"/>
    </row>
    <row r="490" ht="15.75" hidden="1" customHeight="1">
      <c r="B490" s="146">
        <v>489.0</v>
      </c>
      <c r="C490" s="146">
        <f t="shared" si="1"/>
        <v>10489</v>
      </c>
      <c r="D490" s="146" t="s">
        <v>7</v>
      </c>
      <c r="E490" s="472" t="s">
        <v>910</v>
      </c>
      <c r="F490" s="383" t="s">
        <v>911</v>
      </c>
      <c r="G490" s="430">
        <f>LEN('Expected Auditing Outcomes'!$F490)</f>
        <v>77</v>
      </c>
      <c r="H490" s="430"/>
    </row>
    <row r="491" ht="15.75" hidden="1" customHeight="1">
      <c r="B491" s="146">
        <v>490.0</v>
      </c>
      <c r="C491" s="146">
        <f t="shared" si="1"/>
        <v>10490</v>
      </c>
      <c r="D491" s="146" t="s">
        <v>7</v>
      </c>
      <c r="E491" s="472" t="s">
        <v>912</v>
      </c>
      <c r="F491" s="383" t="s">
        <v>913</v>
      </c>
      <c r="G491" s="430">
        <f>LEN('Expected Auditing Outcomes'!$F491)</f>
        <v>84</v>
      </c>
      <c r="H491" s="430"/>
    </row>
    <row r="492" ht="15.75" hidden="1" customHeight="1">
      <c r="B492" s="146">
        <v>491.0</v>
      </c>
      <c r="C492" s="146">
        <f t="shared" si="1"/>
        <v>10491</v>
      </c>
      <c r="D492" s="146" t="s">
        <v>34</v>
      </c>
      <c r="E492" s="305" t="s">
        <v>3685</v>
      </c>
      <c r="F492" s="383" t="s">
        <v>915</v>
      </c>
      <c r="G492" s="430">
        <f>LEN('Expected Auditing Outcomes'!$F492)</f>
        <v>145</v>
      </c>
      <c r="H492" s="430"/>
    </row>
    <row r="493" ht="15.75" hidden="1" customHeight="1">
      <c r="B493" s="146">
        <v>492.0</v>
      </c>
      <c r="C493" s="146">
        <f t="shared" si="1"/>
        <v>10492</v>
      </c>
      <c r="D493" s="146" t="s">
        <v>7</v>
      </c>
      <c r="E493" s="305" t="s">
        <v>916</v>
      </c>
      <c r="F493" s="383" t="s">
        <v>917</v>
      </c>
      <c r="G493" s="430">
        <f>LEN('Expected Auditing Outcomes'!$F493)</f>
        <v>68</v>
      </c>
      <c r="H493" s="430"/>
    </row>
    <row r="494" ht="15.75" hidden="1" customHeight="1">
      <c r="B494" s="146">
        <v>493.0</v>
      </c>
      <c r="C494" s="146">
        <f t="shared" si="1"/>
        <v>10493</v>
      </c>
      <c r="D494" s="146" t="s">
        <v>7</v>
      </c>
      <c r="E494" s="473" t="s">
        <v>918</v>
      </c>
      <c r="F494" s="383" t="s">
        <v>919</v>
      </c>
      <c r="G494" s="430">
        <f>LEN('Expected Auditing Outcomes'!$F494)</f>
        <v>74</v>
      </c>
      <c r="H494" s="430"/>
    </row>
    <row r="495" ht="15.75" hidden="1" customHeight="1">
      <c r="B495" s="146">
        <v>494.0</v>
      </c>
      <c r="C495" s="146">
        <f t="shared" si="1"/>
        <v>10494</v>
      </c>
      <c r="D495" s="146" t="s">
        <v>7</v>
      </c>
      <c r="E495" s="305" t="s">
        <v>920</v>
      </c>
      <c r="F495" s="383" t="s">
        <v>921</v>
      </c>
      <c r="G495" s="430">
        <f>LEN('Expected Auditing Outcomes'!$F495)</f>
        <v>76</v>
      </c>
      <c r="H495" s="430"/>
    </row>
    <row r="496" ht="15.75" hidden="1" customHeight="1">
      <c r="B496" s="146">
        <v>495.0</v>
      </c>
      <c r="C496" s="146">
        <f t="shared" si="1"/>
        <v>10495</v>
      </c>
      <c r="D496" s="146" t="s">
        <v>7</v>
      </c>
      <c r="E496" s="269" t="s">
        <v>922</v>
      </c>
      <c r="F496" s="383" t="s">
        <v>923</v>
      </c>
      <c r="G496" s="430">
        <f>LEN('Expected Auditing Outcomes'!$F496)</f>
        <v>79</v>
      </c>
      <c r="H496" s="430"/>
    </row>
    <row r="497" ht="15.75" hidden="1" customHeight="1">
      <c r="B497" s="146">
        <v>496.0</v>
      </c>
      <c r="C497" s="146">
        <f t="shared" si="1"/>
        <v>10496</v>
      </c>
      <c r="D497" s="146" t="s">
        <v>7</v>
      </c>
      <c r="E497" s="269" t="s">
        <v>924</v>
      </c>
      <c r="F497" s="383" t="s">
        <v>925</v>
      </c>
      <c r="G497" s="430">
        <f>LEN('Expected Auditing Outcomes'!$F497)</f>
        <v>92</v>
      </c>
      <c r="H497" s="430"/>
    </row>
    <row r="498" ht="15.75" hidden="1" customHeight="1">
      <c r="B498" s="146">
        <v>497.0</v>
      </c>
      <c r="C498" s="146">
        <f t="shared" si="1"/>
        <v>10497</v>
      </c>
      <c r="D498" s="146" t="s">
        <v>7</v>
      </c>
      <c r="E498" s="472" t="s">
        <v>926</v>
      </c>
      <c r="F498" s="383" t="s">
        <v>927</v>
      </c>
      <c r="G498" s="430">
        <f>LEN('Expected Auditing Outcomes'!$F498)</f>
        <v>85</v>
      </c>
      <c r="H498" s="430"/>
    </row>
    <row r="499" ht="15.75" hidden="1" customHeight="1">
      <c r="B499" s="146">
        <v>498.0</v>
      </c>
      <c r="C499" s="146">
        <f t="shared" si="1"/>
        <v>10498</v>
      </c>
      <c r="D499" s="146" t="s">
        <v>34</v>
      </c>
      <c r="E499" s="305" t="s">
        <v>3686</v>
      </c>
      <c r="F499" s="437" t="s">
        <v>929</v>
      </c>
      <c r="G499" s="430">
        <f>LEN('Expected Auditing Outcomes'!$F499)</f>
        <v>199</v>
      </c>
      <c r="H499" s="430" t="s">
        <v>331</v>
      </c>
    </row>
    <row r="500" ht="16.5" customHeight="1">
      <c r="B500" s="146">
        <v>499.0</v>
      </c>
      <c r="C500" s="146">
        <f t="shared" si="1"/>
        <v>10499</v>
      </c>
      <c r="D500" s="146" t="s">
        <v>20</v>
      </c>
      <c r="E500" s="305" t="s">
        <v>930</v>
      </c>
      <c r="F500" s="383" t="s">
        <v>931</v>
      </c>
      <c r="G500" s="430">
        <f>LEN('Expected Auditing Outcomes'!$F500)</f>
        <v>130</v>
      </c>
      <c r="H500" s="430"/>
    </row>
    <row r="501" ht="15.75" customHeight="1">
      <c r="B501" s="146">
        <v>500.0</v>
      </c>
      <c r="C501" s="146">
        <f t="shared" si="1"/>
        <v>10500</v>
      </c>
      <c r="D501" s="146" t="s">
        <v>34</v>
      </c>
      <c r="E501" s="305" t="s">
        <v>3686</v>
      </c>
      <c r="F501" s="383" t="s">
        <v>933</v>
      </c>
      <c r="G501" s="430">
        <f>LEN('Expected Auditing Outcomes'!$F501)</f>
        <v>186</v>
      </c>
      <c r="H501" s="431">
        <v>45770.0</v>
      </c>
    </row>
    <row r="502" ht="15.75" hidden="1" customHeight="1">
      <c r="B502" s="146">
        <v>501.0</v>
      </c>
      <c r="C502" s="146">
        <f t="shared" si="1"/>
        <v>10501</v>
      </c>
      <c r="D502" s="146" t="s">
        <v>7</v>
      </c>
      <c r="E502" s="360" t="s">
        <v>934</v>
      </c>
      <c r="F502" s="383" t="s">
        <v>935</v>
      </c>
      <c r="G502" s="430">
        <f>LEN('Expected Auditing Outcomes'!$F502)</f>
        <v>69</v>
      </c>
      <c r="H502" s="430"/>
    </row>
    <row r="503" ht="15.75" hidden="1" customHeight="1">
      <c r="B503" s="146">
        <v>502.0</v>
      </c>
      <c r="C503" s="146">
        <f t="shared" si="1"/>
        <v>10502</v>
      </c>
      <c r="D503" s="146" t="s">
        <v>7</v>
      </c>
      <c r="E503" s="360" t="s">
        <v>936</v>
      </c>
      <c r="F503" s="383" t="s">
        <v>937</v>
      </c>
      <c r="G503" s="430">
        <f>LEN('Expected Auditing Outcomes'!$F503)</f>
        <v>54</v>
      </c>
      <c r="H503" s="430"/>
    </row>
    <row r="504" ht="15.75" hidden="1" customHeight="1">
      <c r="B504" s="146">
        <v>503.0</v>
      </c>
      <c r="C504" s="146">
        <f t="shared" si="1"/>
        <v>10503</v>
      </c>
      <c r="D504" s="146" t="s">
        <v>34</v>
      </c>
      <c r="E504" s="353" t="s">
        <v>3687</v>
      </c>
      <c r="F504" s="474" t="s">
        <v>939</v>
      </c>
      <c r="G504" s="430">
        <f>LEN('Expected Auditing Outcomes'!$F504)</f>
        <v>192</v>
      </c>
      <c r="H504" s="431">
        <v>45770.0</v>
      </c>
    </row>
    <row r="505" ht="15.75" hidden="1" customHeight="1">
      <c r="B505" s="146">
        <v>504.0</v>
      </c>
      <c r="C505" s="146">
        <f t="shared" si="1"/>
        <v>10504</v>
      </c>
      <c r="D505" s="146" t="s">
        <v>34</v>
      </c>
      <c r="E505" s="360" t="s">
        <v>3688</v>
      </c>
      <c r="F505" s="474" t="s">
        <v>941</v>
      </c>
      <c r="G505" s="430">
        <f>LEN('Expected Auditing Outcomes'!$F505)</f>
        <v>235</v>
      </c>
      <c r="H505" s="430" t="s">
        <v>331</v>
      </c>
    </row>
    <row r="506" ht="15.75" hidden="1" customHeight="1">
      <c r="B506" s="146">
        <v>505.0</v>
      </c>
      <c r="C506" s="146">
        <f t="shared" si="1"/>
        <v>10505</v>
      </c>
      <c r="D506" s="146" t="s">
        <v>20</v>
      </c>
      <c r="E506" s="472" t="s">
        <v>942</v>
      </c>
      <c r="F506" s="383" t="s">
        <v>943</v>
      </c>
      <c r="G506" s="430">
        <f>LEN('Expected Auditing Outcomes'!$F506)</f>
        <v>165</v>
      </c>
      <c r="H506" s="430"/>
    </row>
    <row r="507" ht="15.75" hidden="1" customHeight="1">
      <c r="B507" s="146">
        <v>506.0</v>
      </c>
      <c r="C507" s="146">
        <f t="shared" si="1"/>
        <v>10506</v>
      </c>
      <c r="D507" s="146" t="s">
        <v>7</v>
      </c>
      <c r="E507" s="360" t="s">
        <v>2633</v>
      </c>
      <c r="F507" s="383" t="s">
        <v>945</v>
      </c>
      <c r="G507" s="430">
        <f>LEN('Expected Auditing Outcomes'!$F507)</f>
        <v>52</v>
      </c>
      <c r="H507" s="430"/>
    </row>
    <row r="508" ht="15.75" hidden="1" customHeight="1">
      <c r="B508" s="146">
        <v>507.0</v>
      </c>
      <c r="C508" s="146">
        <f t="shared" si="1"/>
        <v>10507</v>
      </c>
      <c r="D508" s="146" t="s">
        <v>34</v>
      </c>
      <c r="E508" s="472" t="s">
        <v>3689</v>
      </c>
      <c r="F508" s="437" t="s">
        <v>947</v>
      </c>
      <c r="G508" s="430">
        <f>LEN('Expected Auditing Outcomes'!$F508)</f>
        <v>197</v>
      </c>
      <c r="H508" s="430" t="s">
        <v>331</v>
      </c>
    </row>
    <row r="509" ht="15.75" hidden="1" customHeight="1">
      <c r="B509" s="146">
        <v>508.0</v>
      </c>
      <c r="C509" s="146">
        <f t="shared" si="1"/>
        <v>10508</v>
      </c>
      <c r="D509" s="146" t="s">
        <v>7</v>
      </c>
      <c r="E509" s="305" t="s">
        <v>3690</v>
      </c>
      <c r="F509" s="383" t="s">
        <v>949</v>
      </c>
      <c r="G509" s="430">
        <f>LEN('Expected Auditing Outcomes'!$F509)</f>
        <v>75</v>
      </c>
      <c r="H509" s="430"/>
    </row>
    <row r="510" ht="15.75" hidden="1" customHeight="1">
      <c r="B510" s="146">
        <v>509.0</v>
      </c>
      <c r="C510" s="146">
        <f t="shared" si="1"/>
        <v>10509</v>
      </c>
      <c r="D510" s="146" t="s">
        <v>7</v>
      </c>
      <c r="E510" s="269" t="s">
        <v>3691</v>
      </c>
      <c r="F510" s="383" t="s">
        <v>951</v>
      </c>
      <c r="G510" s="430">
        <f>LEN('Expected Auditing Outcomes'!$F510)</f>
        <v>78</v>
      </c>
      <c r="H510" s="430"/>
    </row>
    <row r="511" ht="15.75" hidden="1" customHeight="1">
      <c r="B511" s="146">
        <v>510.0</v>
      </c>
      <c r="C511" s="146">
        <f t="shared" si="1"/>
        <v>10510</v>
      </c>
      <c r="D511" s="146" t="s">
        <v>7</v>
      </c>
      <c r="E511" s="269" t="s">
        <v>952</v>
      </c>
      <c r="F511" s="383" t="s">
        <v>953</v>
      </c>
      <c r="G511" s="430">
        <f>LEN('Expected Auditing Outcomes'!$F511)</f>
        <v>89</v>
      </c>
      <c r="H511" s="430"/>
    </row>
    <row r="512" ht="15.75" hidden="1" customHeight="1">
      <c r="B512" s="146">
        <v>511.0</v>
      </c>
      <c r="C512" s="146">
        <f t="shared" si="1"/>
        <v>10511</v>
      </c>
      <c r="D512" s="146" t="s">
        <v>20</v>
      </c>
      <c r="E512" s="360" t="s">
        <v>954</v>
      </c>
      <c r="F512" s="383" t="s">
        <v>955</v>
      </c>
      <c r="G512" s="430">
        <f>LEN('Expected Auditing Outcomes'!$F512)</f>
        <v>192</v>
      </c>
      <c r="H512" s="431">
        <v>45770.0</v>
      </c>
    </row>
    <row r="513" ht="15.75" hidden="1" customHeight="1">
      <c r="B513" s="146">
        <v>512.0</v>
      </c>
      <c r="C513" s="146">
        <f t="shared" si="1"/>
        <v>10512</v>
      </c>
      <c r="D513" s="146" t="s">
        <v>20</v>
      </c>
      <c r="E513" s="360" t="s">
        <v>956</v>
      </c>
      <c r="F513" s="383" t="s">
        <v>957</v>
      </c>
      <c r="G513" s="430">
        <f>LEN('Expected Auditing Outcomes'!$F513)</f>
        <v>127</v>
      </c>
      <c r="H513" s="430"/>
    </row>
    <row r="514" ht="15.75" hidden="1" customHeight="1">
      <c r="B514" s="146">
        <v>513.0</v>
      </c>
      <c r="C514" s="146">
        <f t="shared" si="1"/>
        <v>10513</v>
      </c>
      <c r="D514" s="146" t="s">
        <v>20</v>
      </c>
      <c r="E514" s="269" t="s">
        <v>958</v>
      </c>
      <c r="F514" s="383" t="s">
        <v>959</v>
      </c>
      <c r="G514" s="430">
        <f>LEN('Expected Auditing Outcomes'!$F514)</f>
        <v>113</v>
      </c>
      <c r="H514" s="430"/>
    </row>
    <row r="515" ht="15.75" hidden="1" customHeight="1">
      <c r="B515" s="146">
        <v>514.0</v>
      </c>
      <c r="C515" s="146">
        <f t="shared" si="1"/>
        <v>10514</v>
      </c>
      <c r="D515" s="146" t="s">
        <v>34</v>
      </c>
      <c r="E515" s="269" t="s">
        <v>3692</v>
      </c>
      <c r="F515" s="437" t="s">
        <v>961</v>
      </c>
      <c r="G515" s="430">
        <f>LEN('Expected Auditing Outcomes'!$F515)</f>
        <v>245</v>
      </c>
      <c r="H515" s="430" t="s">
        <v>331</v>
      </c>
    </row>
    <row r="516" ht="15.75" hidden="1" customHeight="1">
      <c r="B516" s="146">
        <v>515.0</v>
      </c>
      <c r="C516" s="146">
        <f t="shared" si="1"/>
        <v>10515</v>
      </c>
      <c r="D516" s="146" t="s">
        <v>34</v>
      </c>
      <c r="E516" s="269" t="s">
        <v>3693</v>
      </c>
      <c r="F516" s="383" t="s">
        <v>963</v>
      </c>
      <c r="G516" s="430">
        <f>LEN('Expected Auditing Outcomes'!$F516)</f>
        <v>264</v>
      </c>
      <c r="H516" s="430" t="s">
        <v>331</v>
      </c>
    </row>
    <row r="517" ht="15.75" hidden="1" customHeight="1">
      <c r="B517" s="146">
        <v>516.0</v>
      </c>
      <c r="C517" s="146">
        <f t="shared" si="1"/>
        <v>10516</v>
      </c>
      <c r="D517" s="146" t="s">
        <v>20</v>
      </c>
      <c r="E517" s="475" t="s">
        <v>964</v>
      </c>
      <c r="F517" s="476" t="s">
        <v>965</v>
      </c>
      <c r="G517" s="430">
        <f>LEN('Expected Auditing Outcomes'!$F517)</f>
        <v>151</v>
      </c>
      <c r="H517" s="430"/>
    </row>
    <row r="518" ht="15.75" hidden="1" customHeight="1">
      <c r="B518" s="146">
        <v>517.0</v>
      </c>
      <c r="C518" s="146">
        <f t="shared" si="1"/>
        <v>10517</v>
      </c>
      <c r="D518" s="146" t="s">
        <v>7</v>
      </c>
      <c r="E518" s="305" t="s">
        <v>2650</v>
      </c>
      <c r="F518" s="474" t="s">
        <v>967</v>
      </c>
      <c r="G518" s="430">
        <f>LEN('Expected Auditing Outcomes'!$F518)</f>
        <v>202</v>
      </c>
      <c r="H518" s="430" t="s">
        <v>331</v>
      </c>
    </row>
    <row r="519" ht="15.75" hidden="1" customHeight="1">
      <c r="B519" s="146">
        <v>518.0</v>
      </c>
      <c r="C519" s="146">
        <f t="shared" si="1"/>
        <v>10518</v>
      </c>
      <c r="D519" s="146" t="s">
        <v>7</v>
      </c>
      <c r="E519" s="305" t="s">
        <v>3694</v>
      </c>
      <c r="F519" s="474" t="s">
        <v>969</v>
      </c>
      <c r="G519" s="430">
        <f>LEN('Expected Auditing Outcomes'!$F519)</f>
        <v>230</v>
      </c>
      <c r="H519" s="430" t="s">
        <v>331</v>
      </c>
    </row>
    <row r="520" ht="15.75" hidden="1" customHeight="1">
      <c r="B520" s="146">
        <v>519.0</v>
      </c>
      <c r="C520" s="146">
        <f t="shared" si="1"/>
        <v>10519</v>
      </c>
      <c r="D520" s="146" t="s">
        <v>34</v>
      </c>
      <c r="E520" s="305" t="s">
        <v>3695</v>
      </c>
      <c r="F520" s="437" t="s">
        <v>971</v>
      </c>
      <c r="G520" s="430">
        <f>LEN('Expected Auditing Outcomes'!$F520)</f>
        <v>257</v>
      </c>
      <c r="H520" s="430" t="s">
        <v>331</v>
      </c>
    </row>
    <row r="521" ht="15.75" hidden="1" customHeight="1">
      <c r="B521" s="146">
        <v>520.0</v>
      </c>
      <c r="C521" s="146">
        <f t="shared" si="1"/>
        <v>10520</v>
      </c>
      <c r="D521" s="146" t="s">
        <v>34</v>
      </c>
      <c r="E521" s="305" t="s">
        <v>3696</v>
      </c>
      <c r="F521" s="437" t="s">
        <v>973</v>
      </c>
      <c r="G521" s="430">
        <f>LEN('Expected Auditing Outcomes'!$F521)</f>
        <v>238</v>
      </c>
      <c r="H521" s="430" t="s">
        <v>331</v>
      </c>
    </row>
    <row r="522" ht="15.75" hidden="1" customHeight="1">
      <c r="B522" s="146">
        <v>521.0</v>
      </c>
      <c r="C522" s="146">
        <f t="shared" si="1"/>
        <v>10521</v>
      </c>
      <c r="D522" s="146" t="s">
        <v>20</v>
      </c>
      <c r="E522" s="269" t="s">
        <v>3697</v>
      </c>
      <c r="F522" s="383" t="s">
        <v>975</v>
      </c>
      <c r="G522" s="430">
        <f>LEN('Expected Auditing Outcomes'!$F522)</f>
        <v>142</v>
      </c>
      <c r="H522" s="430"/>
    </row>
    <row r="523" ht="15.75" hidden="1" customHeight="1">
      <c r="B523" s="146">
        <v>522.0</v>
      </c>
      <c r="C523" s="146">
        <f t="shared" si="1"/>
        <v>10522</v>
      </c>
      <c r="D523" s="146" t="s">
        <v>27</v>
      </c>
      <c r="E523" s="305" t="s">
        <v>976</v>
      </c>
      <c r="F523" s="477" t="s">
        <v>977</v>
      </c>
      <c r="G523" s="430">
        <f>LEN('Expected Auditing Outcomes'!$F523)</f>
        <v>127</v>
      </c>
      <c r="H523" s="430"/>
    </row>
    <row r="524" ht="15.75" hidden="1" customHeight="1">
      <c r="B524" s="146">
        <v>523.0</v>
      </c>
      <c r="C524" s="146">
        <f t="shared" si="1"/>
        <v>10523</v>
      </c>
      <c r="D524" s="146" t="s">
        <v>7</v>
      </c>
      <c r="E524" s="269" t="s">
        <v>2661</v>
      </c>
      <c r="F524" s="478" t="s">
        <v>979</v>
      </c>
      <c r="G524" s="430">
        <f>LEN('Expected Auditing Outcomes'!$F524)</f>
        <v>103</v>
      </c>
      <c r="H524" s="430"/>
    </row>
    <row r="525" ht="15.75" hidden="1" customHeight="1">
      <c r="B525" s="146">
        <v>524.0</v>
      </c>
      <c r="C525" s="146">
        <f t="shared" si="1"/>
        <v>10524</v>
      </c>
      <c r="D525" s="146" t="s">
        <v>7</v>
      </c>
      <c r="E525" s="269" t="s">
        <v>980</v>
      </c>
      <c r="F525" s="383" t="s">
        <v>981</v>
      </c>
      <c r="G525" s="430">
        <f>LEN('Expected Auditing Outcomes'!$F525)</f>
        <v>130</v>
      </c>
      <c r="H525" s="430"/>
    </row>
    <row r="526" ht="15.75" hidden="1" customHeight="1">
      <c r="B526" s="146">
        <v>525.0</v>
      </c>
      <c r="C526" s="146">
        <f t="shared" si="1"/>
        <v>10525</v>
      </c>
      <c r="D526" s="146" t="s">
        <v>34</v>
      </c>
      <c r="E526" s="305" t="s">
        <v>3698</v>
      </c>
      <c r="F526" s="437" t="s">
        <v>983</v>
      </c>
      <c r="G526" s="430">
        <f>LEN('Expected Auditing Outcomes'!$F526)</f>
        <v>200</v>
      </c>
      <c r="H526" s="430" t="s">
        <v>331</v>
      </c>
    </row>
    <row r="527" ht="15.75" hidden="1" customHeight="1">
      <c r="B527" s="146">
        <v>526.0</v>
      </c>
      <c r="C527" s="146">
        <f t="shared" si="1"/>
        <v>10526</v>
      </c>
      <c r="D527" s="146" t="s">
        <v>7</v>
      </c>
      <c r="E527" s="305" t="s">
        <v>2663</v>
      </c>
      <c r="F527" s="383" t="s">
        <v>985</v>
      </c>
      <c r="G527" s="430">
        <f>LEN('Expected Auditing Outcomes'!$F527)</f>
        <v>81</v>
      </c>
      <c r="H527" s="430"/>
    </row>
    <row r="528" ht="15.75" hidden="1" customHeight="1">
      <c r="B528" s="146">
        <v>527.0</v>
      </c>
      <c r="C528" s="146">
        <f t="shared" si="1"/>
        <v>10527</v>
      </c>
      <c r="D528" s="146" t="s">
        <v>7</v>
      </c>
      <c r="E528" s="305" t="s">
        <v>986</v>
      </c>
      <c r="F528" s="383" t="s">
        <v>987</v>
      </c>
      <c r="G528" s="430">
        <f>LEN('Expected Auditing Outcomes'!$F528)</f>
        <v>64</v>
      </c>
      <c r="H528" s="430"/>
    </row>
    <row r="529" ht="15.75" hidden="1" customHeight="1">
      <c r="B529" s="146">
        <v>528.0</v>
      </c>
      <c r="C529" s="146">
        <f t="shared" si="1"/>
        <v>10528</v>
      </c>
      <c r="D529" s="146" t="s">
        <v>20</v>
      </c>
      <c r="E529" s="353" t="s">
        <v>988</v>
      </c>
      <c r="F529" s="383" t="s">
        <v>989</v>
      </c>
      <c r="G529" s="430">
        <f>LEN('Expected Auditing Outcomes'!$F529)</f>
        <v>131</v>
      </c>
      <c r="H529" s="430"/>
    </row>
    <row r="530" ht="15.75" hidden="1" customHeight="1">
      <c r="B530" s="146">
        <v>529.0</v>
      </c>
      <c r="C530" s="146">
        <f t="shared" si="1"/>
        <v>10529</v>
      </c>
      <c r="D530" s="146" t="s">
        <v>20</v>
      </c>
      <c r="E530" s="305" t="s">
        <v>990</v>
      </c>
      <c r="F530" s="383" t="s">
        <v>991</v>
      </c>
      <c r="G530" s="430">
        <f>LEN('Expected Auditing Outcomes'!$F530)</f>
        <v>138</v>
      </c>
      <c r="H530" s="430"/>
    </row>
    <row r="531" ht="15.75" hidden="1" customHeight="1">
      <c r="B531" s="146">
        <v>530.0</v>
      </c>
      <c r="C531" s="146">
        <f t="shared" si="1"/>
        <v>10530</v>
      </c>
      <c r="D531" s="146" t="s">
        <v>27</v>
      </c>
      <c r="E531" s="305" t="s">
        <v>992</v>
      </c>
      <c r="F531" s="383" t="s">
        <v>993</v>
      </c>
      <c r="G531" s="430">
        <f>LEN('Expected Auditing Outcomes'!$F531)</f>
        <v>131</v>
      </c>
      <c r="H531" s="430"/>
    </row>
    <row r="532" ht="15.75" hidden="1" customHeight="1">
      <c r="B532" s="146">
        <v>531.0</v>
      </c>
      <c r="C532" s="146">
        <f t="shared" si="1"/>
        <v>10531</v>
      </c>
      <c r="D532" s="146" t="s">
        <v>34</v>
      </c>
      <c r="E532" s="305" t="s">
        <v>3699</v>
      </c>
      <c r="F532" s="383" t="s">
        <v>995</v>
      </c>
      <c r="G532" s="430">
        <f>LEN('Expected Auditing Outcomes'!$F532)</f>
        <v>118</v>
      </c>
      <c r="H532" s="430"/>
    </row>
    <row r="533" ht="15.75" hidden="1" customHeight="1">
      <c r="B533" s="146">
        <v>532.0</v>
      </c>
      <c r="C533" s="146">
        <f t="shared" si="1"/>
        <v>10532</v>
      </c>
      <c r="D533" s="146" t="s">
        <v>20</v>
      </c>
      <c r="E533" s="305" t="s">
        <v>996</v>
      </c>
      <c r="F533" s="383" t="s">
        <v>997</v>
      </c>
      <c r="G533" s="430">
        <f>LEN('Expected Auditing Outcomes'!$F533)</f>
        <v>123</v>
      </c>
      <c r="H533" s="430"/>
    </row>
    <row r="534" ht="15.75" hidden="1" customHeight="1">
      <c r="B534" s="146">
        <v>533.0</v>
      </c>
      <c r="C534" s="146">
        <f t="shared" si="1"/>
        <v>10533</v>
      </c>
      <c r="D534" s="146" t="s">
        <v>7</v>
      </c>
      <c r="E534" s="305" t="s">
        <v>998</v>
      </c>
      <c r="F534" s="383" t="s">
        <v>999</v>
      </c>
      <c r="G534" s="430">
        <f>LEN('Expected Auditing Outcomes'!$F534)</f>
        <v>71</v>
      </c>
      <c r="H534" s="430"/>
    </row>
    <row r="535" ht="15.75" hidden="1" customHeight="1">
      <c r="B535" s="146">
        <v>534.0</v>
      </c>
      <c r="C535" s="146">
        <f t="shared" si="1"/>
        <v>10534</v>
      </c>
      <c r="D535" s="146" t="s">
        <v>34</v>
      </c>
      <c r="E535" s="479" t="s">
        <v>3700</v>
      </c>
      <c r="F535" s="383" t="s">
        <v>1001</v>
      </c>
      <c r="G535" s="430">
        <f>LEN('Expected Auditing Outcomes'!$F535)</f>
        <v>142</v>
      </c>
      <c r="H535" s="430"/>
    </row>
    <row r="536" ht="15.75" hidden="1" customHeight="1">
      <c r="B536" s="146">
        <v>535.0</v>
      </c>
      <c r="C536" s="146">
        <f t="shared" si="1"/>
        <v>10535</v>
      </c>
      <c r="D536" s="146" t="s">
        <v>34</v>
      </c>
      <c r="E536" s="480" t="s">
        <v>3701</v>
      </c>
      <c r="F536" s="383" t="s">
        <v>1003</v>
      </c>
      <c r="G536" s="430">
        <f>LEN('Expected Auditing Outcomes'!$F536)</f>
        <v>174</v>
      </c>
      <c r="H536" s="430"/>
    </row>
    <row r="537" ht="15.75" hidden="1" customHeight="1">
      <c r="B537" s="146">
        <v>536.0</v>
      </c>
      <c r="C537" s="146">
        <f t="shared" si="1"/>
        <v>10536</v>
      </c>
      <c r="D537" s="146" t="s">
        <v>34</v>
      </c>
      <c r="E537" s="480" t="s">
        <v>3702</v>
      </c>
      <c r="F537" s="383" t="s">
        <v>3703</v>
      </c>
      <c r="G537" s="430">
        <f>LEN('Expected Auditing Outcomes'!$F537)</f>
        <v>200</v>
      </c>
      <c r="H537" s="430"/>
    </row>
    <row r="538" ht="15.75" hidden="1" customHeight="1">
      <c r="B538" s="146">
        <v>537.0</v>
      </c>
      <c r="C538" s="146">
        <f t="shared" si="1"/>
        <v>10537</v>
      </c>
      <c r="D538" s="146" t="s">
        <v>34</v>
      </c>
      <c r="E538" s="480" t="s">
        <v>3704</v>
      </c>
      <c r="F538" s="383" t="s">
        <v>3705</v>
      </c>
      <c r="G538" s="430">
        <f>LEN('Expected Auditing Outcomes'!$F538)</f>
        <v>195</v>
      </c>
      <c r="H538" s="430"/>
    </row>
    <row r="539" ht="15.75" hidden="1" customHeight="1">
      <c r="B539" s="146">
        <v>538.0</v>
      </c>
      <c r="C539" s="146">
        <f t="shared" si="1"/>
        <v>10538</v>
      </c>
      <c r="D539" s="146" t="s">
        <v>34</v>
      </c>
      <c r="E539" s="305" t="s">
        <v>3706</v>
      </c>
      <c r="F539" s="383" t="s">
        <v>3707</v>
      </c>
      <c r="G539" s="430">
        <f>LEN('Expected Auditing Outcomes'!$F539)</f>
        <v>196</v>
      </c>
      <c r="H539" s="430"/>
    </row>
    <row r="540" ht="15.75" hidden="1" customHeight="1">
      <c r="B540" s="146">
        <v>539.0</v>
      </c>
      <c r="C540" s="146">
        <f t="shared" si="1"/>
        <v>10539</v>
      </c>
      <c r="D540" s="146" t="s">
        <v>7</v>
      </c>
      <c r="E540" s="305" t="s">
        <v>3708</v>
      </c>
      <c r="F540" s="383" t="s">
        <v>3709</v>
      </c>
      <c r="G540" s="430">
        <f>LEN('Expected Auditing Outcomes'!$F540)</f>
        <v>83</v>
      </c>
      <c r="H540" s="430"/>
    </row>
    <row r="541" ht="15.75" hidden="1" customHeight="1">
      <c r="B541" s="146">
        <v>540.0</v>
      </c>
      <c r="C541" s="146">
        <f t="shared" si="1"/>
        <v>10540</v>
      </c>
      <c r="D541" s="146" t="s">
        <v>7</v>
      </c>
      <c r="E541" s="305" t="s">
        <v>1008</v>
      </c>
      <c r="F541" s="383" t="s">
        <v>1009</v>
      </c>
      <c r="G541" s="430">
        <f>LEN('Expected Auditing Outcomes'!$F541)</f>
        <v>74</v>
      </c>
      <c r="H541" s="430"/>
    </row>
    <row r="542" ht="15.75" hidden="1" customHeight="1">
      <c r="B542" s="146">
        <v>541.0</v>
      </c>
      <c r="C542" s="146">
        <f t="shared" si="1"/>
        <v>10541</v>
      </c>
      <c r="D542" s="146" t="s">
        <v>7</v>
      </c>
      <c r="E542" s="305" t="s">
        <v>1010</v>
      </c>
      <c r="F542" s="383" t="s">
        <v>1011</v>
      </c>
      <c r="G542" s="430">
        <f>LEN('Expected Auditing Outcomes'!$F542)</f>
        <v>80</v>
      </c>
      <c r="H542" s="430"/>
    </row>
    <row r="543" ht="15.75" hidden="1" customHeight="1">
      <c r="B543" s="146">
        <v>542.0</v>
      </c>
      <c r="C543" s="146">
        <f t="shared" si="1"/>
        <v>10542</v>
      </c>
      <c r="D543" s="146" t="s">
        <v>7</v>
      </c>
      <c r="E543" s="305" t="s">
        <v>1012</v>
      </c>
      <c r="F543" s="383" t="s">
        <v>1013</v>
      </c>
      <c r="G543" s="430">
        <f>LEN('Expected Auditing Outcomes'!$F543)</f>
        <v>63</v>
      </c>
      <c r="H543" s="430"/>
    </row>
    <row r="544" ht="15.75" hidden="1" customHeight="1">
      <c r="B544" s="146">
        <v>543.0</v>
      </c>
      <c r="C544" s="146">
        <f t="shared" si="1"/>
        <v>10543</v>
      </c>
      <c r="D544" s="146" t="s">
        <v>34</v>
      </c>
      <c r="E544" s="305" t="s">
        <v>3710</v>
      </c>
      <c r="F544" s="383" t="s">
        <v>3711</v>
      </c>
      <c r="G544" s="430">
        <f>LEN('Expected Auditing Outcomes'!$F544)</f>
        <v>160</v>
      </c>
      <c r="H544" s="430"/>
    </row>
    <row r="545" ht="15.75" hidden="1" customHeight="1">
      <c r="B545" s="146">
        <v>544.0</v>
      </c>
      <c r="C545" s="146">
        <f t="shared" si="1"/>
        <v>10544</v>
      </c>
      <c r="D545" s="146" t="s">
        <v>7</v>
      </c>
      <c r="E545" s="305" t="s">
        <v>1016</v>
      </c>
      <c r="F545" s="383" t="s">
        <v>1017</v>
      </c>
      <c r="G545" s="430">
        <f>LEN('Expected Auditing Outcomes'!$F545)</f>
        <v>61</v>
      </c>
      <c r="H545" s="430"/>
    </row>
    <row r="546" ht="15.75" hidden="1" customHeight="1">
      <c r="B546" s="146">
        <v>545.0</v>
      </c>
      <c r="C546" s="146">
        <f t="shared" si="1"/>
        <v>10545</v>
      </c>
      <c r="D546" s="146" t="s">
        <v>7</v>
      </c>
      <c r="E546" s="305" t="s">
        <v>1018</v>
      </c>
      <c r="F546" s="383" t="s">
        <v>1019</v>
      </c>
      <c r="G546" s="430">
        <f>LEN('Expected Auditing Outcomes'!$F546)</f>
        <v>87</v>
      </c>
      <c r="H546" s="430"/>
    </row>
    <row r="547" ht="15.75" hidden="1" customHeight="1">
      <c r="B547" s="146">
        <v>546.0</v>
      </c>
      <c r="C547" s="146">
        <f t="shared" si="1"/>
        <v>10546</v>
      </c>
      <c r="D547" s="146" t="s">
        <v>34</v>
      </c>
      <c r="E547" s="305" t="s">
        <v>3712</v>
      </c>
      <c r="F547" s="439" t="s">
        <v>1021</v>
      </c>
      <c r="G547" s="430">
        <f>LEN('Expected Auditing Outcomes'!$F547)</f>
        <v>167</v>
      </c>
      <c r="H547" s="430"/>
    </row>
    <row r="548" ht="15.75" hidden="1" customHeight="1">
      <c r="B548" s="146">
        <v>547.0</v>
      </c>
      <c r="C548" s="146">
        <f t="shared" si="1"/>
        <v>10547</v>
      </c>
      <c r="D548" s="146" t="s">
        <v>7</v>
      </c>
      <c r="E548" s="305" t="s">
        <v>1022</v>
      </c>
      <c r="F548" s="383" t="s">
        <v>1023</v>
      </c>
      <c r="G548" s="430">
        <f>LEN('Expected Auditing Outcomes'!$F548)</f>
        <v>79</v>
      </c>
      <c r="H548" s="430"/>
    </row>
    <row r="549" ht="15.75" hidden="1" customHeight="1">
      <c r="B549" s="146">
        <v>548.0</v>
      </c>
      <c r="C549" s="146">
        <f t="shared" si="1"/>
        <v>10548</v>
      </c>
      <c r="D549" s="146" t="s">
        <v>34</v>
      </c>
      <c r="E549" s="305" t="s">
        <v>3713</v>
      </c>
      <c r="F549" s="383" t="s">
        <v>1025</v>
      </c>
      <c r="G549" s="430">
        <f>LEN('Expected Auditing Outcomes'!$F549)</f>
        <v>131</v>
      </c>
      <c r="H549" s="430"/>
    </row>
    <row r="550" ht="15.75" hidden="1" customHeight="1">
      <c r="B550" s="146">
        <v>549.0</v>
      </c>
      <c r="C550" s="146">
        <f t="shared" si="1"/>
        <v>10549</v>
      </c>
      <c r="D550" s="146" t="s">
        <v>7</v>
      </c>
      <c r="E550" s="305" t="s">
        <v>1026</v>
      </c>
      <c r="F550" s="383" t="s">
        <v>1027</v>
      </c>
      <c r="G550" s="430">
        <f>LEN('Expected Auditing Outcomes'!$F550)</f>
        <v>58</v>
      </c>
      <c r="H550" s="430"/>
    </row>
    <row r="551" ht="15.75" hidden="1" customHeight="1">
      <c r="B551" s="146">
        <v>550.0</v>
      </c>
      <c r="C551" s="146">
        <f t="shared" si="1"/>
        <v>10550</v>
      </c>
      <c r="D551" s="146" t="s">
        <v>7</v>
      </c>
      <c r="E551" s="305" t="s">
        <v>2690</v>
      </c>
      <c r="F551" s="383" t="s">
        <v>1029</v>
      </c>
      <c r="G551" s="430">
        <f>LEN('Expected Auditing Outcomes'!$F551)</f>
        <v>91</v>
      </c>
      <c r="H551" s="430"/>
    </row>
    <row r="552" ht="15.75" hidden="1" customHeight="1">
      <c r="B552" s="146">
        <v>551.0</v>
      </c>
      <c r="C552" s="146">
        <f t="shared" si="1"/>
        <v>10551</v>
      </c>
      <c r="D552" s="146" t="s">
        <v>7</v>
      </c>
      <c r="E552" s="305" t="s">
        <v>1030</v>
      </c>
      <c r="F552" s="383" t="s">
        <v>3714</v>
      </c>
      <c r="G552" s="430">
        <f>LEN('Expected Auditing Outcomes'!$F552)</f>
        <v>57</v>
      </c>
      <c r="H552" s="430"/>
    </row>
    <row r="553" ht="15.75" hidden="1" customHeight="1">
      <c r="B553" s="146">
        <v>552.0</v>
      </c>
      <c r="C553" s="146">
        <f t="shared" si="1"/>
        <v>10552</v>
      </c>
      <c r="D553" s="146" t="s">
        <v>34</v>
      </c>
      <c r="E553" s="481" t="s">
        <v>1032</v>
      </c>
      <c r="F553" s="305" t="s">
        <v>1033</v>
      </c>
      <c r="G553" s="430">
        <f>LEN('Expected Auditing Outcomes'!$F553)</f>
        <v>195</v>
      </c>
      <c r="H553" s="430"/>
    </row>
    <row r="554" ht="15.75" hidden="1" customHeight="1">
      <c r="B554" s="146">
        <v>553.0</v>
      </c>
      <c r="C554" s="146">
        <f t="shared" si="1"/>
        <v>10553</v>
      </c>
      <c r="D554" s="146" t="s">
        <v>34</v>
      </c>
      <c r="E554" s="305" t="s">
        <v>3715</v>
      </c>
      <c r="F554" s="383" t="s">
        <v>1035</v>
      </c>
      <c r="G554" s="430">
        <f>LEN('Expected Auditing Outcomes'!$F554)</f>
        <v>124</v>
      </c>
      <c r="H554" s="430"/>
    </row>
    <row r="555" ht="15.75" hidden="1" customHeight="1">
      <c r="B555" s="146">
        <v>554.0</v>
      </c>
      <c r="C555" s="146">
        <f t="shared" si="1"/>
        <v>10554</v>
      </c>
      <c r="D555" s="146" t="s">
        <v>34</v>
      </c>
      <c r="E555" s="305" t="s">
        <v>3716</v>
      </c>
      <c r="F555" s="383" t="s">
        <v>1037</v>
      </c>
      <c r="G555" s="430">
        <f>LEN('Expected Auditing Outcomes'!$F555)</f>
        <v>162</v>
      </c>
      <c r="H555" s="430"/>
    </row>
    <row r="556" ht="15.75" hidden="1" customHeight="1">
      <c r="B556" s="146">
        <v>555.0</v>
      </c>
      <c r="C556" s="146">
        <f t="shared" si="1"/>
        <v>10555</v>
      </c>
      <c r="D556" s="146" t="s">
        <v>34</v>
      </c>
      <c r="E556" s="305" t="s">
        <v>3717</v>
      </c>
      <c r="F556" s="383" t="s">
        <v>1039</v>
      </c>
      <c r="G556" s="430">
        <f>LEN('Expected Auditing Outcomes'!$F556)</f>
        <v>168</v>
      </c>
      <c r="H556" s="430"/>
    </row>
    <row r="557" ht="15.75" hidden="1" customHeight="1">
      <c r="B557" s="146">
        <v>556.0</v>
      </c>
      <c r="C557" s="146">
        <f t="shared" si="1"/>
        <v>10556</v>
      </c>
      <c r="D557" s="146" t="s">
        <v>34</v>
      </c>
      <c r="E557" s="305" t="s">
        <v>3718</v>
      </c>
      <c r="F557" s="383" t="s">
        <v>1041</v>
      </c>
      <c r="G557" s="430">
        <f>LEN('Expected Auditing Outcomes'!$F557)</f>
        <v>169</v>
      </c>
      <c r="H557" s="430"/>
    </row>
    <row r="558" ht="15.75" hidden="1" customHeight="1">
      <c r="B558" s="146">
        <v>557.0</v>
      </c>
      <c r="C558" s="146">
        <f t="shared" si="1"/>
        <v>10557</v>
      </c>
      <c r="D558" s="146" t="s">
        <v>34</v>
      </c>
      <c r="E558" s="305" t="s">
        <v>3719</v>
      </c>
      <c r="F558" s="383" t="s">
        <v>1043</v>
      </c>
      <c r="G558" s="430">
        <f>LEN('Expected Auditing Outcomes'!$F558)</f>
        <v>165</v>
      </c>
      <c r="H558" s="430"/>
    </row>
    <row r="559" ht="15.75" hidden="1" customHeight="1">
      <c r="B559" s="146">
        <v>558.0</v>
      </c>
      <c r="C559" s="146">
        <f t="shared" si="1"/>
        <v>10558</v>
      </c>
      <c r="D559" s="146" t="s">
        <v>34</v>
      </c>
      <c r="E559" s="383" t="s">
        <v>3720</v>
      </c>
      <c r="F559" s="383" t="s">
        <v>1045</v>
      </c>
      <c r="G559" s="430">
        <f>LEN('Expected Auditing Outcomes'!$F559)</f>
        <v>137</v>
      </c>
      <c r="H559" s="430"/>
    </row>
    <row r="560" ht="15.75" hidden="1" customHeight="1">
      <c r="B560" s="146">
        <v>559.0</v>
      </c>
      <c r="C560" s="146">
        <f t="shared" si="1"/>
        <v>10559</v>
      </c>
      <c r="D560" s="146" t="s">
        <v>7</v>
      </c>
      <c r="E560" s="269" t="s">
        <v>1046</v>
      </c>
      <c r="F560" s="383" t="s">
        <v>1047</v>
      </c>
      <c r="G560" s="430">
        <f>LEN('Expected Auditing Outcomes'!$F560)</f>
        <v>81</v>
      </c>
      <c r="H560" s="430"/>
    </row>
    <row r="561" ht="15.75" hidden="1" customHeight="1">
      <c r="B561" s="146">
        <v>560.0</v>
      </c>
      <c r="C561" s="146">
        <f t="shared" si="1"/>
        <v>10560</v>
      </c>
      <c r="D561" s="146" t="s">
        <v>7</v>
      </c>
      <c r="E561" s="229" t="s">
        <v>1048</v>
      </c>
      <c r="F561" s="383" t="s">
        <v>1049</v>
      </c>
      <c r="G561" s="430">
        <f>LEN('Expected Auditing Outcomes'!$F561)</f>
        <v>66</v>
      </c>
      <c r="H561" s="430"/>
    </row>
    <row r="562" ht="15.75" hidden="1" customHeight="1">
      <c r="B562" s="146">
        <v>561.0</v>
      </c>
      <c r="C562" s="146">
        <f t="shared" si="1"/>
        <v>10561</v>
      </c>
      <c r="D562" s="146" t="s">
        <v>34</v>
      </c>
      <c r="E562" s="465" t="s">
        <v>1050</v>
      </c>
      <c r="F562" s="482" t="s">
        <v>1051</v>
      </c>
      <c r="G562" s="430">
        <f>LEN('Expected Auditing Outcomes'!$F562)</f>
        <v>152</v>
      </c>
      <c r="H562" s="430"/>
    </row>
    <row r="563" ht="15.75" hidden="1" customHeight="1">
      <c r="B563" s="146">
        <v>562.0</v>
      </c>
      <c r="C563" s="146">
        <f t="shared" si="1"/>
        <v>10562</v>
      </c>
      <c r="D563" s="146" t="s">
        <v>7</v>
      </c>
      <c r="E563" s="465" t="s">
        <v>1052</v>
      </c>
      <c r="F563" s="482" t="s">
        <v>1053</v>
      </c>
      <c r="G563" s="430">
        <f>LEN('Expected Auditing Outcomes'!$F563)</f>
        <v>90</v>
      </c>
      <c r="H563" s="430"/>
    </row>
    <row r="564" ht="15.75" hidden="1" customHeight="1">
      <c r="B564" s="146">
        <v>563.0</v>
      </c>
      <c r="C564" s="146">
        <f t="shared" si="1"/>
        <v>10563</v>
      </c>
      <c r="D564" s="146" t="s">
        <v>7</v>
      </c>
      <c r="E564" s="305" t="s">
        <v>3721</v>
      </c>
      <c r="F564" s="383" t="s">
        <v>1055</v>
      </c>
      <c r="G564" s="430">
        <f>LEN('Expected Auditing Outcomes'!$F564)</f>
        <v>74</v>
      </c>
      <c r="H564" s="430"/>
    </row>
    <row r="565" ht="15.75" hidden="1" customHeight="1">
      <c r="B565" s="146">
        <v>564.0</v>
      </c>
      <c r="C565" s="146">
        <f t="shared" si="1"/>
        <v>10564</v>
      </c>
      <c r="D565" s="146" t="s">
        <v>34</v>
      </c>
      <c r="E565" s="305" t="s">
        <v>3722</v>
      </c>
      <c r="F565" s="383" t="s">
        <v>1057</v>
      </c>
      <c r="G565" s="430">
        <f>LEN('Expected Auditing Outcomes'!$F565)</f>
        <v>140</v>
      </c>
      <c r="H565" s="430"/>
    </row>
    <row r="566" ht="15.75" hidden="1" customHeight="1">
      <c r="B566" s="146">
        <v>565.0</v>
      </c>
      <c r="C566" s="146">
        <f t="shared" si="1"/>
        <v>10565</v>
      </c>
      <c r="D566" s="146" t="s">
        <v>7</v>
      </c>
      <c r="E566" s="305" t="s">
        <v>3723</v>
      </c>
      <c r="F566" s="383" t="s">
        <v>1059</v>
      </c>
      <c r="G566" s="430">
        <f>LEN('Expected Auditing Outcomes'!$F566)</f>
        <v>81</v>
      </c>
      <c r="H566" s="430"/>
    </row>
    <row r="567" ht="15.75" hidden="1" customHeight="1">
      <c r="B567" s="146">
        <v>566.0</v>
      </c>
      <c r="C567" s="146">
        <f t="shared" si="1"/>
        <v>10566</v>
      </c>
      <c r="D567" s="146" t="s">
        <v>7</v>
      </c>
      <c r="E567" s="305" t="s">
        <v>1060</v>
      </c>
      <c r="F567" s="383" t="s">
        <v>1061</v>
      </c>
      <c r="G567" s="430">
        <f>LEN('Expected Auditing Outcomes'!$F567)</f>
        <v>91</v>
      </c>
      <c r="H567" s="430"/>
    </row>
    <row r="568" ht="15.75" hidden="1" customHeight="1">
      <c r="B568" s="146">
        <v>567.0</v>
      </c>
      <c r="C568" s="146">
        <f t="shared" si="1"/>
        <v>10567</v>
      </c>
      <c r="D568" s="146" t="s">
        <v>7</v>
      </c>
      <c r="E568" s="305" t="s">
        <v>1062</v>
      </c>
      <c r="F568" s="383" t="s">
        <v>1063</v>
      </c>
      <c r="G568" s="430">
        <f>LEN('Expected Auditing Outcomes'!$F568)</f>
        <v>99</v>
      </c>
      <c r="H568" s="430"/>
    </row>
    <row r="569" ht="15.75" hidden="1" customHeight="1">
      <c r="B569" s="146">
        <v>568.0</v>
      </c>
      <c r="C569" s="146">
        <f t="shared" si="1"/>
        <v>10568</v>
      </c>
      <c r="D569" s="146" t="s">
        <v>7</v>
      </c>
      <c r="E569" s="305" t="s">
        <v>3724</v>
      </c>
      <c r="F569" s="383" t="s">
        <v>1065</v>
      </c>
      <c r="G569" s="430">
        <f>LEN('Expected Auditing Outcomes'!$F569)</f>
        <v>72</v>
      </c>
      <c r="H569" s="430"/>
    </row>
    <row r="570" ht="15.75" hidden="1" customHeight="1">
      <c r="B570" s="146">
        <v>569.0</v>
      </c>
      <c r="C570" s="146">
        <f t="shared" si="1"/>
        <v>10569</v>
      </c>
      <c r="D570" s="146" t="s">
        <v>20</v>
      </c>
      <c r="E570" s="305" t="s">
        <v>1066</v>
      </c>
      <c r="F570" s="383" t="s">
        <v>1067</v>
      </c>
      <c r="G570" s="430">
        <f>LEN('Expected Auditing Outcomes'!$F570)</f>
        <v>131</v>
      </c>
      <c r="H570" s="430"/>
    </row>
    <row r="571" ht="15.75" hidden="1" customHeight="1">
      <c r="B571" s="146">
        <v>570.0</v>
      </c>
      <c r="C571" s="146">
        <f t="shared" si="1"/>
        <v>10570</v>
      </c>
      <c r="D571" s="146" t="s">
        <v>7</v>
      </c>
      <c r="E571" s="305" t="s">
        <v>1068</v>
      </c>
      <c r="F571" s="383" t="s">
        <v>1069</v>
      </c>
      <c r="G571" s="430">
        <f>LEN('Expected Auditing Outcomes'!$F571)</f>
        <v>90</v>
      </c>
      <c r="H571" s="430"/>
    </row>
    <row r="572" ht="15.75" hidden="1" customHeight="1">
      <c r="B572" s="146">
        <v>571.0</v>
      </c>
      <c r="C572" s="146">
        <f t="shared" si="1"/>
        <v>10571</v>
      </c>
      <c r="D572" s="146" t="s">
        <v>7</v>
      </c>
      <c r="E572" s="305" t="s">
        <v>1070</v>
      </c>
      <c r="F572" s="383" t="s">
        <v>1071</v>
      </c>
      <c r="G572" s="430">
        <f>LEN('Expected Auditing Outcomes'!$F572)</f>
        <v>98</v>
      </c>
      <c r="H572" s="430"/>
    </row>
    <row r="573" ht="15.75" hidden="1" customHeight="1">
      <c r="B573" s="146">
        <v>572.0</v>
      </c>
      <c r="C573" s="146">
        <f t="shared" si="1"/>
        <v>10572</v>
      </c>
      <c r="D573" s="146" t="s">
        <v>7</v>
      </c>
      <c r="E573" s="305" t="s">
        <v>1072</v>
      </c>
      <c r="F573" s="383" t="s">
        <v>1073</v>
      </c>
      <c r="G573" s="430">
        <f>LEN('Expected Auditing Outcomes'!$F573)</f>
        <v>114</v>
      </c>
      <c r="H573" s="430"/>
    </row>
    <row r="574" ht="15.75" hidden="1" customHeight="1">
      <c r="B574" s="146">
        <v>573.0</v>
      </c>
      <c r="C574" s="146">
        <f t="shared" si="1"/>
        <v>10573</v>
      </c>
      <c r="D574" s="146" t="s">
        <v>34</v>
      </c>
      <c r="E574" s="305" t="s">
        <v>3725</v>
      </c>
      <c r="F574" s="383" t="s">
        <v>1075</v>
      </c>
      <c r="G574" s="430">
        <f>LEN('Expected Auditing Outcomes'!$F574)</f>
        <v>141</v>
      </c>
      <c r="H574" s="430"/>
    </row>
    <row r="575" ht="15.75" hidden="1" customHeight="1">
      <c r="B575" s="146">
        <v>574.0</v>
      </c>
      <c r="C575" s="146">
        <f t="shared" si="1"/>
        <v>10574</v>
      </c>
      <c r="D575" s="146" t="s">
        <v>7</v>
      </c>
      <c r="E575" s="305" t="s">
        <v>3726</v>
      </c>
      <c r="F575" s="383" t="s">
        <v>1077</v>
      </c>
      <c r="G575" s="430">
        <f>LEN('Expected Auditing Outcomes'!$F575)</f>
        <v>103</v>
      </c>
      <c r="H575" s="430"/>
    </row>
    <row r="576" ht="15.75" hidden="1" customHeight="1">
      <c r="B576" s="146">
        <v>575.0</v>
      </c>
      <c r="C576" s="146">
        <f t="shared" si="1"/>
        <v>10575</v>
      </c>
      <c r="D576" s="146" t="s">
        <v>7</v>
      </c>
      <c r="E576" s="305" t="s">
        <v>2719</v>
      </c>
      <c r="F576" s="383" t="s">
        <v>1079</v>
      </c>
      <c r="G576" s="430">
        <f>LEN('Expected Auditing Outcomes'!$F576)</f>
        <v>69</v>
      </c>
      <c r="H576" s="430"/>
    </row>
    <row r="577" ht="15.75" hidden="1" customHeight="1">
      <c r="B577" s="146">
        <v>576.0</v>
      </c>
      <c r="C577" s="146">
        <f t="shared" si="1"/>
        <v>10576</v>
      </c>
      <c r="D577" s="146" t="s">
        <v>34</v>
      </c>
      <c r="E577" s="269" t="s">
        <v>3727</v>
      </c>
      <c r="F577" s="383" t="s">
        <v>1081</v>
      </c>
      <c r="G577" s="430">
        <f>LEN('Expected Auditing Outcomes'!$F577)</f>
        <v>195</v>
      </c>
      <c r="H577" s="430"/>
    </row>
    <row r="578" ht="15.75" hidden="1" customHeight="1">
      <c r="B578" s="146">
        <v>577.0</v>
      </c>
      <c r="C578" s="146">
        <f t="shared" si="1"/>
        <v>10577</v>
      </c>
      <c r="D578" s="146" t="s">
        <v>34</v>
      </c>
      <c r="E578" s="269" t="s">
        <v>3728</v>
      </c>
      <c r="F578" s="383" t="s">
        <v>1081</v>
      </c>
      <c r="G578" s="430">
        <f>LEN('Expected Auditing Outcomes'!$F578)</f>
        <v>195</v>
      </c>
      <c r="H578" s="430"/>
    </row>
    <row r="579" ht="15.75" hidden="1" customHeight="1">
      <c r="B579" s="146">
        <v>578.0</v>
      </c>
      <c r="C579" s="146">
        <f t="shared" si="1"/>
        <v>10578</v>
      </c>
      <c r="D579" s="146" t="s">
        <v>34</v>
      </c>
      <c r="E579" s="305" t="s">
        <v>3729</v>
      </c>
      <c r="F579" s="383" t="s">
        <v>1084</v>
      </c>
      <c r="G579" s="430">
        <f>LEN('Expected Auditing Outcomes'!$F579)</f>
        <v>146</v>
      </c>
      <c r="H579" s="430"/>
    </row>
    <row r="580" ht="15.75" hidden="1" customHeight="1">
      <c r="B580" s="146">
        <v>579.0</v>
      </c>
      <c r="C580" s="146">
        <f t="shared" si="1"/>
        <v>10579</v>
      </c>
      <c r="D580" s="146" t="s">
        <v>34</v>
      </c>
      <c r="E580" s="465" t="s">
        <v>1085</v>
      </c>
      <c r="F580" s="465" t="s">
        <v>1086</v>
      </c>
      <c r="G580" s="430">
        <f>LEN('Expected Auditing Outcomes'!$F580)</f>
        <v>158</v>
      </c>
      <c r="H580" s="430"/>
    </row>
    <row r="581" ht="15.75" hidden="1" customHeight="1">
      <c r="B581" s="146">
        <v>580.0</v>
      </c>
      <c r="C581" s="146">
        <f t="shared" si="1"/>
        <v>10580</v>
      </c>
      <c r="D581" s="146" t="s">
        <v>7</v>
      </c>
      <c r="E581" s="483" t="s">
        <v>1087</v>
      </c>
      <c r="F581" s="383" t="s">
        <v>1088</v>
      </c>
      <c r="G581" s="430">
        <f>LEN('Expected Auditing Outcomes'!$F581)</f>
        <v>107</v>
      </c>
      <c r="H581" s="430"/>
    </row>
    <row r="582" ht="15.75" hidden="1" customHeight="1">
      <c r="B582" s="146">
        <v>580.0</v>
      </c>
      <c r="C582" s="146">
        <f t="shared" si="1"/>
        <v>10580</v>
      </c>
      <c r="D582" s="146" t="s">
        <v>7</v>
      </c>
      <c r="E582" s="305" t="s">
        <v>3730</v>
      </c>
      <c r="F582" s="383" t="s">
        <v>3731</v>
      </c>
      <c r="G582" s="430">
        <f>LEN('Expected Auditing Outcomes'!$F582)</f>
        <v>141</v>
      </c>
      <c r="H582" s="430"/>
    </row>
    <row r="583" ht="15.75" hidden="1" customHeight="1">
      <c r="B583" s="146">
        <v>581.0</v>
      </c>
      <c r="C583" s="146">
        <f t="shared" si="1"/>
        <v>10581</v>
      </c>
      <c r="D583" s="146" t="s">
        <v>34</v>
      </c>
      <c r="E583" s="305" t="s">
        <v>3732</v>
      </c>
      <c r="F583" s="383" t="s">
        <v>1090</v>
      </c>
      <c r="G583" s="430">
        <f>LEN('Expected Auditing Outcomes'!$F583)</f>
        <v>145</v>
      </c>
      <c r="H583" s="430"/>
    </row>
    <row r="584" ht="15.75" hidden="1" customHeight="1">
      <c r="B584" s="146">
        <v>582.0</v>
      </c>
      <c r="C584" s="146">
        <f t="shared" si="1"/>
        <v>10582</v>
      </c>
      <c r="D584" s="146" t="s">
        <v>20</v>
      </c>
      <c r="E584" s="305" t="s">
        <v>1091</v>
      </c>
      <c r="F584" s="383" t="s">
        <v>1092</v>
      </c>
      <c r="G584" s="430">
        <f>LEN('Expected Auditing Outcomes'!$F584)</f>
        <v>157</v>
      </c>
      <c r="H584" s="430"/>
    </row>
    <row r="585" ht="15.75" hidden="1" customHeight="1">
      <c r="B585" s="146">
        <v>583.0</v>
      </c>
      <c r="C585" s="146">
        <f t="shared" si="1"/>
        <v>10583</v>
      </c>
      <c r="D585" s="146" t="s">
        <v>34</v>
      </c>
      <c r="E585" s="305" t="s">
        <v>3733</v>
      </c>
      <c r="F585" s="383" t="s">
        <v>1094</v>
      </c>
      <c r="G585" s="430">
        <f>LEN('Expected Auditing Outcomes'!$F585)</f>
        <v>176</v>
      </c>
      <c r="H585" s="430"/>
    </row>
    <row r="586" ht="15.75" hidden="1" customHeight="1">
      <c r="B586" s="146">
        <v>584.0</v>
      </c>
      <c r="C586" s="146">
        <f t="shared" si="1"/>
        <v>10584</v>
      </c>
      <c r="D586" s="146" t="s">
        <v>7</v>
      </c>
      <c r="E586" s="465" t="s">
        <v>1095</v>
      </c>
      <c r="F586" s="465" t="s">
        <v>1096</v>
      </c>
      <c r="G586" s="430">
        <f>LEN('Expected Auditing Outcomes'!$F586)</f>
        <v>68</v>
      </c>
      <c r="H586" s="430"/>
    </row>
    <row r="587" ht="15.75" hidden="1" customHeight="1">
      <c r="B587" s="146">
        <v>585.0</v>
      </c>
      <c r="C587" s="146">
        <f t="shared" si="1"/>
        <v>10585</v>
      </c>
      <c r="D587" s="146" t="s">
        <v>20</v>
      </c>
      <c r="E587" s="305" t="s">
        <v>1097</v>
      </c>
      <c r="F587" s="383" t="s">
        <v>1098</v>
      </c>
      <c r="G587" s="430">
        <f>LEN('Expected Auditing Outcomes'!$F587)</f>
        <v>93</v>
      </c>
      <c r="H587" s="430"/>
    </row>
    <row r="588" ht="15.75" hidden="1" customHeight="1">
      <c r="B588" s="146">
        <v>586.0</v>
      </c>
      <c r="C588" s="146">
        <f t="shared" si="1"/>
        <v>10586</v>
      </c>
      <c r="D588" s="146" t="s">
        <v>7</v>
      </c>
      <c r="E588" s="305" t="s">
        <v>1099</v>
      </c>
      <c r="F588" s="383" t="s">
        <v>1100</v>
      </c>
      <c r="G588" s="430">
        <f>LEN('Expected Auditing Outcomes'!$F588)</f>
        <v>81</v>
      </c>
      <c r="H588" s="430"/>
    </row>
    <row r="589" ht="15.75" hidden="1" customHeight="1">
      <c r="B589" s="146">
        <v>587.0</v>
      </c>
      <c r="C589" s="146">
        <f t="shared" si="1"/>
        <v>10587</v>
      </c>
      <c r="D589" s="146" t="s">
        <v>7</v>
      </c>
      <c r="E589" s="305" t="s">
        <v>1101</v>
      </c>
      <c r="F589" s="383" t="s">
        <v>1102</v>
      </c>
      <c r="G589" s="430">
        <f>LEN('Expected Auditing Outcomes'!$F589)</f>
        <v>71</v>
      </c>
      <c r="H589" s="430"/>
    </row>
    <row r="590" ht="15.75" hidden="1" customHeight="1">
      <c r="B590" s="146">
        <v>588.0</v>
      </c>
      <c r="C590" s="146">
        <f t="shared" si="1"/>
        <v>10588</v>
      </c>
      <c r="D590" s="146" t="s">
        <v>7</v>
      </c>
      <c r="E590" s="360" t="s">
        <v>2731</v>
      </c>
      <c r="F590" s="378" t="s">
        <v>1104</v>
      </c>
      <c r="G590" s="430">
        <f>LEN('Expected Auditing Outcomes'!$F590)</f>
        <v>84</v>
      </c>
      <c r="H590" s="430"/>
    </row>
    <row r="591" ht="15.75" hidden="1" customHeight="1">
      <c r="B591" s="146">
        <v>589.0</v>
      </c>
      <c r="C591" s="146">
        <f t="shared" si="1"/>
        <v>10589</v>
      </c>
      <c r="D591" s="146" t="s">
        <v>7</v>
      </c>
      <c r="E591" s="360" t="s">
        <v>1105</v>
      </c>
      <c r="F591" s="378" t="s">
        <v>1106</v>
      </c>
      <c r="G591" s="430">
        <f>LEN('Expected Auditing Outcomes'!$F591)</f>
        <v>57</v>
      </c>
      <c r="H591" s="430"/>
    </row>
    <row r="592" ht="15.75" hidden="1" customHeight="1">
      <c r="B592" s="146">
        <v>590.0</v>
      </c>
      <c r="C592" s="146">
        <f t="shared" si="1"/>
        <v>10590</v>
      </c>
      <c r="D592" s="146" t="s">
        <v>7</v>
      </c>
      <c r="E592" s="305" t="s">
        <v>2735</v>
      </c>
      <c r="F592" s="383" t="s">
        <v>1108</v>
      </c>
      <c r="G592" s="430">
        <f>LEN('Expected Auditing Outcomes'!$F592)</f>
        <v>70</v>
      </c>
      <c r="H592" s="430"/>
    </row>
    <row r="593" ht="15.75" hidden="1" customHeight="1">
      <c r="B593" s="146">
        <v>591.0</v>
      </c>
      <c r="C593" s="146">
        <f t="shared" si="1"/>
        <v>10591</v>
      </c>
      <c r="D593" s="146" t="s">
        <v>34</v>
      </c>
      <c r="E593" s="305" t="s">
        <v>3734</v>
      </c>
      <c r="F593" s="383" t="s">
        <v>1110</v>
      </c>
      <c r="G593" s="430">
        <f>LEN('Expected Auditing Outcomes'!$F593)</f>
        <v>125</v>
      </c>
      <c r="H593" s="430"/>
    </row>
    <row r="594" ht="15.75" hidden="1" customHeight="1">
      <c r="B594" s="146">
        <v>592.0</v>
      </c>
      <c r="C594" s="146">
        <f t="shared" si="1"/>
        <v>10592</v>
      </c>
      <c r="D594" s="146" t="s">
        <v>34</v>
      </c>
      <c r="E594" s="269" t="s">
        <v>1111</v>
      </c>
      <c r="F594" s="484" t="s">
        <v>1112</v>
      </c>
      <c r="G594" s="430">
        <f>LEN('Expected Auditing Outcomes'!$F594)</f>
        <v>142</v>
      </c>
      <c r="H594" s="430"/>
    </row>
    <row r="595" ht="15.75" hidden="1" customHeight="1">
      <c r="B595" s="146">
        <v>593.0</v>
      </c>
      <c r="C595" s="146">
        <f t="shared" si="1"/>
        <v>10593</v>
      </c>
      <c r="D595" s="146" t="s">
        <v>20</v>
      </c>
      <c r="E595" s="360" t="s">
        <v>3735</v>
      </c>
      <c r="F595" s="383" t="s">
        <v>1114</v>
      </c>
      <c r="G595" s="430">
        <f>LEN('Expected Auditing Outcomes'!$F595)</f>
        <v>100</v>
      </c>
      <c r="H595" s="430"/>
    </row>
    <row r="596" ht="15.75" hidden="1" customHeight="1">
      <c r="B596" s="146">
        <v>594.0</v>
      </c>
      <c r="C596" s="146">
        <f t="shared" si="1"/>
        <v>10594</v>
      </c>
      <c r="D596" s="146" t="s">
        <v>20</v>
      </c>
      <c r="E596" s="360" t="s">
        <v>3736</v>
      </c>
      <c r="F596" s="383" t="s">
        <v>1116</v>
      </c>
      <c r="G596" s="430">
        <f>LEN('Expected Auditing Outcomes'!$F596)</f>
        <v>108</v>
      </c>
      <c r="H596" s="430"/>
    </row>
    <row r="597" ht="15.75" hidden="1" customHeight="1">
      <c r="B597" s="146">
        <v>595.0</v>
      </c>
      <c r="C597" s="146">
        <f t="shared" si="1"/>
        <v>10595</v>
      </c>
      <c r="D597" s="146" t="s">
        <v>34</v>
      </c>
      <c r="E597" s="305" t="s">
        <v>3737</v>
      </c>
      <c r="F597" s="383" t="s">
        <v>1118</v>
      </c>
      <c r="G597" s="430">
        <f>LEN('Expected Auditing Outcomes'!$F597)</f>
        <v>129</v>
      </c>
      <c r="H597" s="430"/>
    </row>
    <row r="598" ht="15.75" hidden="1" customHeight="1">
      <c r="B598" s="146">
        <v>596.0</v>
      </c>
      <c r="C598" s="146">
        <f t="shared" si="1"/>
        <v>10596</v>
      </c>
      <c r="D598" s="146" t="s">
        <v>7</v>
      </c>
      <c r="E598" s="305" t="s">
        <v>1119</v>
      </c>
      <c r="F598" s="485" t="s">
        <v>1120</v>
      </c>
      <c r="G598" s="430">
        <f>LEN('Expected Auditing Outcomes'!$F598)</f>
        <v>97</v>
      </c>
      <c r="H598" s="430"/>
    </row>
    <row r="599" ht="15.75" hidden="1" customHeight="1">
      <c r="B599" s="146">
        <v>597.0</v>
      </c>
      <c r="C599" s="146">
        <f t="shared" si="1"/>
        <v>10597</v>
      </c>
      <c r="D599" s="146" t="s">
        <v>34</v>
      </c>
      <c r="E599" s="305" t="s">
        <v>3738</v>
      </c>
      <c r="F599" s="383" t="s">
        <v>1122</v>
      </c>
      <c r="G599" s="430">
        <f>LEN('Expected Auditing Outcomes'!$F599)</f>
        <v>147</v>
      </c>
      <c r="H599" s="430"/>
    </row>
    <row r="600" ht="15.75" hidden="1" customHeight="1">
      <c r="B600" s="146">
        <v>598.0</v>
      </c>
      <c r="C600" s="146">
        <f t="shared" si="1"/>
        <v>10598</v>
      </c>
      <c r="D600" s="146" t="s">
        <v>34</v>
      </c>
      <c r="E600" s="305" t="s">
        <v>3739</v>
      </c>
      <c r="F600" s="383" t="s">
        <v>1122</v>
      </c>
      <c r="G600" s="430">
        <f>LEN('Expected Auditing Outcomes'!$F600)</f>
        <v>147</v>
      </c>
      <c r="H600" s="430"/>
    </row>
    <row r="601" ht="15.75" hidden="1" customHeight="1">
      <c r="B601" s="146">
        <v>599.0</v>
      </c>
      <c r="C601" s="146">
        <f t="shared" si="1"/>
        <v>10599</v>
      </c>
      <c r="D601" s="146" t="s">
        <v>7</v>
      </c>
      <c r="E601" s="486" t="s">
        <v>1124</v>
      </c>
      <c r="F601" s="383" t="s">
        <v>1125</v>
      </c>
      <c r="G601" s="430">
        <f>LEN('Expected Auditing Outcomes'!$F601)</f>
        <v>77</v>
      </c>
      <c r="H601" s="431">
        <v>45763.0</v>
      </c>
    </row>
    <row r="602" ht="15.75" hidden="1" customHeight="1">
      <c r="B602" s="146">
        <v>600.0</v>
      </c>
      <c r="C602" s="146">
        <f t="shared" si="1"/>
        <v>10600</v>
      </c>
      <c r="D602" s="146" t="s">
        <v>7</v>
      </c>
      <c r="E602" s="305" t="s">
        <v>1126</v>
      </c>
      <c r="F602" s="383" t="s">
        <v>1127</v>
      </c>
      <c r="G602" s="430">
        <f>LEN('Expected Auditing Outcomes'!$F602)</f>
        <v>107</v>
      </c>
      <c r="H602" s="431">
        <v>45763.0</v>
      </c>
    </row>
    <row r="603" ht="15.75" hidden="1" customHeight="1">
      <c r="B603" s="146">
        <v>601.0</v>
      </c>
      <c r="C603" s="146">
        <f t="shared" si="1"/>
        <v>10601</v>
      </c>
      <c r="D603" s="146" t="s">
        <v>7</v>
      </c>
      <c r="E603" s="305" t="s">
        <v>1128</v>
      </c>
      <c r="F603" s="383" t="s">
        <v>1129</v>
      </c>
      <c r="G603" s="430">
        <f>LEN('Expected Auditing Outcomes'!$F603)</f>
        <v>79</v>
      </c>
      <c r="H603" s="431">
        <v>45763.0</v>
      </c>
    </row>
    <row r="604" ht="15.75" hidden="1" customHeight="1">
      <c r="B604" s="146">
        <v>602.0</v>
      </c>
      <c r="C604" s="146">
        <f t="shared" si="1"/>
        <v>10602</v>
      </c>
      <c r="D604" s="146" t="s">
        <v>34</v>
      </c>
      <c r="E604" s="305" t="s">
        <v>3740</v>
      </c>
      <c r="F604" s="439" t="s">
        <v>1131</v>
      </c>
      <c r="G604" s="430">
        <f>LEN('Expected Auditing Outcomes'!$F604)</f>
        <v>106</v>
      </c>
      <c r="H604" s="431">
        <v>45763.0</v>
      </c>
    </row>
    <row r="605" ht="15.75" hidden="1" customHeight="1">
      <c r="B605" s="146">
        <v>603.0</v>
      </c>
      <c r="C605" s="146">
        <f t="shared" si="1"/>
        <v>10603</v>
      </c>
      <c r="D605" s="146" t="s">
        <v>7</v>
      </c>
      <c r="E605" s="305" t="s">
        <v>3741</v>
      </c>
      <c r="F605" s="482" t="s">
        <v>3742</v>
      </c>
      <c r="G605" s="430">
        <f>LEN('Expected Auditing Outcomes'!$F605)</f>
        <v>126</v>
      </c>
      <c r="H605" s="430"/>
    </row>
    <row r="606" ht="15.75" hidden="1" customHeight="1">
      <c r="B606" s="146">
        <v>604.0</v>
      </c>
      <c r="C606" s="146">
        <f t="shared" si="1"/>
        <v>10604</v>
      </c>
      <c r="D606" s="146" t="s">
        <v>7</v>
      </c>
      <c r="E606" s="305" t="s">
        <v>3743</v>
      </c>
      <c r="F606" s="383" t="s">
        <v>1135</v>
      </c>
      <c r="G606" s="430">
        <f>LEN('Expected Auditing Outcomes'!$F606)</f>
        <v>65</v>
      </c>
      <c r="H606" s="431">
        <v>45763.0</v>
      </c>
    </row>
    <row r="607" ht="15.75" hidden="1" customHeight="1">
      <c r="B607" s="146">
        <v>605.0</v>
      </c>
      <c r="C607" s="146">
        <f t="shared" si="1"/>
        <v>10605</v>
      </c>
      <c r="D607" s="146" t="s">
        <v>7</v>
      </c>
      <c r="E607" s="305" t="s">
        <v>3744</v>
      </c>
      <c r="F607" s="482" t="s">
        <v>1137</v>
      </c>
      <c r="G607" s="430">
        <f>LEN('Expected Auditing Outcomes'!$F607)</f>
        <v>131</v>
      </c>
      <c r="H607" s="430"/>
    </row>
    <row r="608" ht="15.75" hidden="1" customHeight="1">
      <c r="B608" s="146">
        <v>606.0</v>
      </c>
      <c r="C608" s="146">
        <f t="shared" si="1"/>
        <v>10606</v>
      </c>
      <c r="D608" s="146" t="s">
        <v>7</v>
      </c>
      <c r="E608" s="305" t="s">
        <v>3745</v>
      </c>
      <c r="F608" s="476" t="s">
        <v>1139</v>
      </c>
      <c r="G608" s="430">
        <f>LEN('Expected Auditing Outcomes'!$F608)</f>
        <v>54</v>
      </c>
      <c r="H608" s="431">
        <v>45763.0</v>
      </c>
    </row>
    <row r="609" ht="15.75" hidden="1" customHeight="1">
      <c r="B609" s="146">
        <v>607.0</v>
      </c>
      <c r="C609" s="146">
        <f t="shared" si="1"/>
        <v>10607</v>
      </c>
      <c r="D609" s="146" t="s">
        <v>34</v>
      </c>
      <c r="E609" s="305" t="s">
        <v>3746</v>
      </c>
      <c r="F609" s="383" t="s">
        <v>1141</v>
      </c>
      <c r="G609" s="430">
        <f>LEN('Expected Auditing Outcomes'!$F609)</f>
        <v>109</v>
      </c>
      <c r="H609" s="431">
        <v>45763.0</v>
      </c>
    </row>
    <row r="610" ht="15.75" hidden="1" customHeight="1">
      <c r="B610" s="146">
        <v>608.0</v>
      </c>
      <c r="C610" s="146">
        <f t="shared" si="1"/>
        <v>10608</v>
      </c>
      <c r="D610" s="146" t="s">
        <v>27</v>
      </c>
      <c r="E610" s="305" t="s">
        <v>3747</v>
      </c>
      <c r="F610" s="383" t="s">
        <v>1143</v>
      </c>
      <c r="G610" s="430">
        <f>LEN('Expected Auditing Outcomes'!$F610)</f>
        <v>134</v>
      </c>
      <c r="H610" s="431">
        <v>45763.0</v>
      </c>
    </row>
    <row r="611" ht="15.75" hidden="1" customHeight="1">
      <c r="B611" s="146">
        <v>609.0</v>
      </c>
      <c r="C611" s="146">
        <f t="shared" si="1"/>
        <v>10609</v>
      </c>
      <c r="D611" s="146" t="s">
        <v>20</v>
      </c>
      <c r="E611" s="305" t="s">
        <v>3748</v>
      </c>
      <c r="F611" s="383" t="s">
        <v>1145</v>
      </c>
      <c r="G611" s="430">
        <f>LEN('Expected Auditing Outcomes'!$F611)</f>
        <v>131</v>
      </c>
      <c r="H611" s="431">
        <v>45763.0</v>
      </c>
    </row>
    <row r="612" ht="15.75" hidden="1" customHeight="1">
      <c r="B612" s="146">
        <v>610.0</v>
      </c>
      <c r="C612" s="146">
        <f t="shared" si="1"/>
        <v>10610</v>
      </c>
      <c r="D612" s="146" t="s">
        <v>34</v>
      </c>
      <c r="E612" s="465" t="s">
        <v>1140</v>
      </c>
      <c r="F612" s="465" t="s">
        <v>1146</v>
      </c>
      <c r="G612" s="430">
        <f>LEN('Expected Auditing Outcomes'!$F612)</f>
        <v>187</v>
      </c>
      <c r="H612" s="430"/>
    </row>
    <row r="613" ht="15.75" hidden="1" customHeight="1">
      <c r="B613" s="146">
        <v>611.0</v>
      </c>
      <c r="C613" s="146">
        <f t="shared" si="1"/>
        <v>10611</v>
      </c>
      <c r="D613" s="146" t="s">
        <v>34</v>
      </c>
      <c r="E613" s="465" t="s">
        <v>1147</v>
      </c>
      <c r="F613" s="465" t="s">
        <v>1148</v>
      </c>
      <c r="G613" s="430">
        <f>LEN('Expected Auditing Outcomes'!$F613)</f>
        <v>188</v>
      </c>
      <c r="H613" s="430"/>
    </row>
    <row r="614" ht="15.75" hidden="1" customHeight="1">
      <c r="B614" s="146">
        <v>612.0</v>
      </c>
      <c r="C614" s="146">
        <f t="shared" si="1"/>
        <v>10612</v>
      </c>
      <c r="D614" s="146" t="s">
        <v>34</v>
      </c>
      <c r="E614" s="269" t="s">
        <v>1149</v>
      </c>
      <c r="F614" s="383" t="s">
        <v>3749</v>
      </c>
      <c r="G614" s="430">
        <f>LEN('Expected Auditing Outcomes'!$F614)</f>
        <v>143</v>
      </c>
      <c r="H614" s="430"/>
    </row>
    <row r="615" ht="15.75" hidden="1" customHeight="1">
      <c r="B615" s="146">
        <v>613.0</v>
      </c>
      <c r="C615" s="146">
        <f t="shared" si="1"/>
        <v>10613</v>
      </c>
      <c r="D615" s="146" t="s">
        <v>7</v>
      </c>
      <c r="E615" s="465" t="s">
        <v>1151</v>
      </c>
      <c r="F615" s="465" t="s">
        <v>1152</v>
      </c>
      <c r="G615" s="430">
        <f>LEN('Expected Auditing Outcomes'!$F615)</f>
        <v>57</v>
      </c>
      <c r="H615" s="430"/>
    </row>
    <row r="616" ht="15.75" hidden="1" customHeight="1">
      <c r="B616" s="146">
        <v>614.0</v>
      </c>
      <c r="C616" s="146">
        <f t="shared" si="1"/>
        <v>10614</v>
      </c>
      <c r="D616" s="146" t="s">
        <v>34</v>
      </c>
      <c r="E616" s="465" t="s">
        <v>1153</v>
      </c>
      <c r="F616" s="482" t="s">
        <v>1154</v>
      </c>
      <c r="G616" s="430">
        <f>LEN('Expected Auditing Outcomes'!$F616)</f>
        <v>122</v>
      </c>
      <c r="H616" s="430"/>
    </row>
    <row r="617" ht="15.75" hidden="1" customHeight="1">
      <c r="B617" s="146">
        <v>615.0</v>
      </c>
      <c r="C617" s="146">
        <f t="shared" si="1"/>
        <v>10615</v>
      </c>
      <c r="D617" s="146" t="s">
        <v>7</v>
      </c>
      <c r="E617" s="305" t="s">
        <v>2765</v>
      </c>
      <c r="F617" s="305" t="s">
        <v>1156</v>
      </c>
      <c r="G617" s="430">
        <f>LEN('Expected Auditing Outcomes'!$F617)</f>
        <v>32</v>
      </c>
      <c r="H617" s="431">
        <v>45763.0</v>
      </c>
    </row>
    <row r="618" ht="15.75" hidden="1" customHeight="1">
      <c r="B618" s="146">
        <v>616.0</v>
      </c>
      <c r="C618" s="146">
        <f t="shared" si="1"/>
        <v>10616</v>
      </c>
      <c r="D618" s="146" t="s">
        <v>7</v>
      </c>
      <c r="E618" s="305" t="s">
        <v>3750</v>
      </c>
      <c r="F618" s="383" t="s">
        <v>1158</v>
      </c>
      <c r="G618" s="430">
        <f>LEN('Expected Auditing Outcomes'!$F618)</f>
        <v>61</v>
      </c>
      <c r="H618" s="430"/>
    </row>
    <row r="619" ht="15.75" hidden="1" customHeight="1">
      <c r="B619" s="146">
        <v>617.0</v>
      </c>
      <c r="C619" s="146">
        <f t="shared" si="1"/>
        <v>10617</v>
      </c>
      <c r="D619" s="146" t="s">
        <v>34</v>
      </c>
      <c r="E619" s="465" t="s">
        <v>1159</v>
      </c>
      <c r="F619" s="482" t="s">
        <v>1160</v>
      </c>
      <c r="G619" s="430">
        <f>LEN('Expected Auditing Outcomes'!$F619)</f>
        <v>173</v>
      </c>
      <c r="H619" s="430"/>
    </row>
    <row r="620" ht="15.75" hidden="1" customHeight="1">
      <c r="B620" s="146">
        <v>618.0</v>
      </c>
      <c r="C620" s="146">
        <f t="shared" si="1"/>
        <v>10618</v>
      </c>
      <c r="D620" s="146" t="s">
        <v>20</v>
      </c>
      <c r="E620" s="468" t="s">
        <v>1161</v>
      </c>
      <c r="F620" s="468" t="s">
        <v>1162</v>
      </c>
      <c r="G620" s="430">
        <f>LEN('Expected Auditing Outcomes'!$F620)</f>
        <v>170</v>
      </c>
      <c r="H620" s="430"/>
    </row>
    <row r="621" ht="15.75" hidden="1" customHeight="1">
      <c r="B621" s="146">
        <v>619.0</v>
      </c>
      <c r="C621" s="146">
        <f t="shared" si="1"/>
        <v>10619</v>
      </c>
      <c r="D621" s="146" t="s">
        <v>27</v>
      </c>
      <c r="E621" s="305" t="s">
        <v>3751</v>
      </c>
      <c r="F621" s="383" t="s">
        <v>1164</v>
      </c>
      <c r="G621" s="430">
        <f>LEN('Expected Auditing Outcomes'!$F621)</f>
        <v>158</v>
      </c>
      <c r="H621" s="431">
        <v>45763.0</v>
      </c>
    </row>
    <row r="622" ht="15.75" hidden="1" customHeight="1">
      <c r="B622" s="146">
        <v>623.0</v>
      </c>
      <c r="C622" s="146">
        <f t="shared" si="1"/>
        <v>10623</v>
      </c>
      <c r="D622" s="146" t="s">
        <v>7</v>
      </c>
      <c r="E622" s="387" t="s">
        <v>1169</v>
      </c>
      <c r="F622" s="383" t="s">
        <v>1170</v>
      </c>
      <c r="G622" s="430">
        <f>LEN('Expected Auditing Outcomes'!$F622)</f>
        <v>58</v>
      </c>
      <c r="H622" s="431">
        <v>45763.0</v>
      </c>
    </row>
    <row r="623" ht="15.75" hidden="1" customHeight="1">
      <c r="B623" s="146">
        <v>624.0</v>
      </c>
      <c r="C623" s="146">
        <f t="shared" si="1"/>
        <v>10624</v>
      </c>
      <c r="D623" s="146" t="s">
        <v>34</v>
      </c>
      <c r="E623" s="387" t="s">
        <v>3752</v>
      </c>
      <c r="F623" s="439" t="s">
        <v>1172</v>
      </c>
      <c r="G623" s="430">
        <f>LEN('Expected Auditing Outcomes'!$F623)</f>
        <v>86</v>
      </c>
      <c r="H623" s="431">
        <v>45763.0</v>
      </c>
    </row>
    <row r="624" ht="15.75" hidden="1" customHeight="1">
      <c r="B624" s="146">
        <v>625.0</v>
      </c>
      <c r="C624" s="146">
        <f t="shared" si="1"/>
        <v>10625</v>
      </c>
      <c r="D624" s="146" t="s">
        <v>7</v>
      </c>
      <c r="E624" s="468" t="s">
        <v>1173</v>
      </c>
      <c r="F624" s="468" t="s">
        <v>1174</v>
      </c>
      <c r="G624" s="430">
        <f>LEN('Expected Auditing Outcomes'!$F624)</f>
        <v>112</v>
      </c>
      <c r="H624" s="430"/>
    </row>
    <row r="625" ht="15.75" hidden="1" customHeight="1">
      <c r="B625" s="487">
        <v>626.0</v>
      </c>
      <c r="C625" s="487">
        <f t="shared" si="1"/>
        <v>10626</v>
      </c>
      <c r="D625" s="487" t="s">
        <v>7</v>
      </c>
      <c r="E625" s="488" t="s">
        <v>1175</v>
      </c>
      <c r="F625" s="477" t="s">
        <v>1176</v>
      </c>
      <c r="G625" s="489">
        <f>LEN('Expected Auditing Outcomes'!$F625)</f>
        <v>83</v>
      </c>
      <c r="H625" s="490">
        <v>45763.0</v>
      </c>
    </row>
    <row r="626" ht="15.75" hidden="1" customHeight="1">
      <c r="B626" s="146">
        <v>627.0</v>
      </c>
      <c r="C626" s="146">
        <f t="shared" si="1"/>
        <v>10627</v>
      </c>
      <c r="D626" s="146" t="s">
        <v>20</v>
      </c>
      <c r="E626" s="465" t="s">
        <v>2781</v>
      </c>
      <c r="F626" s="465" t="s">
        <v>3753</v>
      </c>
      <c r="G626" s="430">
        <f>LEN('Expected Auditing Outcomes'!$F626)</f>
        <v>144</v>
      </c>
      <c r="H626" s="430"/>
    </row>
    <row r="627" ht="15.75" hidden="1" customHeight="1">
      <c r="B627" s="487">
        <v>628.0</v>
      </c>
      <c r="C627" s="487">
        <f t="shared" si="1"/>
        <v>10628</v>
      </c>
      <c r="D627" s="487" t="s">
        <v>27</v>
      </c>
      <c r="E627" s="465" t="s">
        <v>1179</v>
      </c>
      <c r="F627" s="465" t="s">
        <v>1180</v>
      </c>
      <c r="G627" s="489">
        <f>LEN('Expected Auditing Outcomes'!$F627)</f>
        <v>187</v>
      </c>
      <c r="H627" s="489"/>
    </row>
    <row r="628" ht="15.75" hidden="1" customHeight="1">
      <c r="B628" s="146">
        <v>629.0</v>
      </c>
      <c r="C628" s="146">
        <f t="shared" si="1"/>
        <v>10629</v>
      </c>
      <c r="D628" s="146" t="s">
        <v>34</v>
      </c>
      <c r="E628" s="269" t="s">
        <v>827</v>
      </c>
      <c r="F628" s="383" t="s">
        <v>1181</v>
      </c>
      <c r="G628" s="430">
        <f>LEN('Expected Auditing Outcomes'!$F628)</f>
        <v>150</v>
      </c>
      <c r="H628" s="430"/>
    </row>
    <row r="629" ht="15.75" hidden="1" customHeight="1">
      <c r="B629" s="487">
        <v>630.0</v>
      </c>
      <c r="C629" s="487">
        <f t="shared" si="1"/>
        <v>10630</v>
      </c>
      <c r="D629" s="487" t="s">
        <v>27</v>
      </c>
      <c r="E629" s="465" t="s">
        <v>1182</v>
      </c>
      <c r="F629" s="465" t="s">
        <v>3754</v>
      </c>
      <c r="G629" s="489">
        <f>LEN('Expected Auditing Outcomes'!$F629)</f>
        <v>187</v>
      </c>
      <c r="H629" s="489"/>
    </row>
    <row r="630" ht="15.75" hidden="1" customHeight="1">
      <c r="B630" s="146">
        <v>631.0</v>
      </c>
      <c r="C630" s="146">
        <f t="shared" si="1"/>
        <v>10631</v>
      </c>
      <c r="D630" s="146" t="s">
        <v>7</v>
      </c>
      <c r="E630" s="465" t="s">
        <v>1184</v>
      </c>
      <c r="F630" s="465" t="s">
        <v>1185</v>
      </c>
      <c r="G630" s="430">
        <f>LEN('Expected Auditing Outcomes'!$F630)</f>
        <v>110</v>
      </c>
      <c r="H630" s="430"/>
    </row>
    <row r="631" ht="15.75" hidden="1" customHeight="1">
      <c r="B631" s="487">
        <v>632.0</v>
      </c>
      <c r="C631" s="487">
        <f t="shared" si="1"/>
        <v>10632</v>
      </c>
      <c r="D631" s="487" t="s">
        <v>7</v>
      </c>
      <c r="E631" s="465" t="s">
        <v>1186</v>
      </c>
      <c r="F631" s="465" t="s">
        <v>1187</v>
      </c>
      <c r="G631" s="489">
        <f>LEN('Expected Auditing Outcomes'!$F631)</f>
        <v>91</v>
      </c>
      <c r="H631" s="489"/>
    </row>
    <row r="632" ht="15.75" hidden="1" customHeight="1">
      <c r="B632" s="146">
        <v>633.0</v>
      </c>
      <c r="C632" s="146">
        <f t="shared" si="1"/>
        <v>10633</v>
      </c>
      <c r="D632" s="146" t="s">
        <v>34</v>
      </c>
      <c r="E632" s="465" t="s">
        <v>1188</v>
      </c>
      <c r="F632" s="482" t="s">
        <v>1189</v>
      </c>
      <c r="G632" s="430">
        <f>LEN('Expected Auditing Outcomes'!$F632)</f>
        <v>157</v>
      </c>
      <c r="H632" s="430"/>
    </row>
    <row r="633" ht="15.75" hidden="1" customHeight="1">
      <c r="B633" s="487">
        <v>634.0</v>
      </c>
      <c r="C633" s="487">
        <f t="shared" si="1"/>
        <v>10634</v>
      </c>
      <c r="D633" s="487" t="s">
        <v>7</v>
      </c>
      <c r="E633" s="269" t="s">
        <v>1190</v>
      </c>
      <c r="F633" s="477" t="s">
        <v>1191</v>
      </c>
      <c r="G633" s="489">
        <f>LEN('Expected Auditing Outcomes'!$F633)</f>
        <v>60</v>
      </c>
      <c r="H633" s="489"/>
    </row>
    <row r="634" ht="15.75" hidden="1" customHeight="1">
      <c r="B634" s="146">
        <v>635.0</v>
      </c>
      <c r="C634" s="146">
        <f t="shared" si="1"/>
        <v>10635</v>
      </c>
      <c r="D634" s="146" t="s">
        <v>7</v>
      </c>
      <c r="E634" s="465" t="s">
        <v>1192</v>
      </c>
      <c r="F634" s="465" t="s">
        <v>1185</v>
      </c>
      <c r="G634" s="430">
        <f>LEN('Expected Auditing Outcomes'!$F634)</f>
        <v>110</v>
      </c>
      <c r="H634" s="430"/>
    </row>
    <row r="635" ht="15.75" hidden="1" customHeight="1">
      <c r="B635" s="487">
        <v>636.0</v>
      </c>
      <c r="C635" s="487">
        <f t="shared" si="1"/>
        <v>10636</v>
      </c>
      <c r="D635" s="487" t="s">
        <v>34</v>
      </c>
      <c r="E635" s="269" t="s">
        <v>1193</v>
      </c>
      <c r="F635" s="477" t="s">
        <v>1194</v>
      </c>
      <c r="G635" s="489">
        <f>LEN('Expected Auditing Outcomes'!$F635)</f>
        <v>177</v>
      </c>
      <c r="H635" s="489"/>
    </row>
    <row r="636" ht="15.75" hidden="1" customHeight="1">
      <c r="B636" s="146">
        <v>637.0</v>
      </c>
      <c r="C636" s="146">
        <f t="shared" si="1"/>
        <v>10637</v>
      </c>
      <c r="D636" s="146" t="s">
        <v>34</v>
      </c>
      <c r="E636" s="269" t="s">
        <v>1195</v>
      </c>
      <c r="F636" s="468" t="s">
        <v>1196</v>
      </c>
      <c r="G636" s="430">
        <f>LEN('Expected Auditing Outcomes'!$F636)</f>
        <v>190</v>
      </c>
      <c r="H636" s="431"/>
    </row>
    <row r="637" ht="15.75" hidden="1" customHeight="1">
      <c r="B637" s="487">
        <v>638.0</v>
      </c>
      <c r="C637" s="487">
        <f t="shared" si="1"/>
        <v>10638</v>
      </c>
      <c r="D637" s="487" t="s">
        <v>20</v>
      </c>
      <c r="E637" s="269" t="s">
        <v>1197</v>
      </c>
      <c r="F637" s="465" t="s">
        <v>1198</v>
      </c>
      <c r="G637" s="489">
        <f>LEN('Expected Auditing Outcomes'!$F637)</f>
        <v>151</v>
      </c>
      <c r="H637" s="490"/>
    </row>
    <row r="638" ht="15.75" hidden="1" customHeight="1">
      <c r="B638" s="146">
        <v>639.0</v>
      </c>
      <c r="C638" s="146">
        <f t="shared" si="1"/>
        <v>10639</v>
      </c>
      <c r="D638" s="146" t="s">
        <v>20</v>
      </c>
      <c r="E638" s="269" t="s">
        <v>1199</v>
      </c>
      <c r="F638" s="465" t="s">
        <v>1200</v>
      </c>
      <c r="G638" s="430">
        <f>LEN('Expected Auditing Outcomes'!$F638)</f>
        <v>197</v>
      </c>
      <c r="H638" s="430"/>
    </row>
    <row r="639" ht="15.75" hidden="1" customHeight="1">
      <c r="B639" s="487">
        <v>640.0</v>
      </c>
      <c r="C639" s="487">
        <f t="shared" si="1"/>
        <v>10640</v>
      </c>
      <c r="D639" s="487" t="s">
        <v>7</v>
      </c>
      <c r="E639" s="488" t="s">
        <v>1201</v>
      </c>
      <c r="F639" s="477" t="s">
        <v>1202</v>
      </c>
      <c r="G639" s="489">
        <f>LEN('Expected Auditing Outcomes'!$F639)</f>
        <v>92</v>
      </c>
      <c r="H639" s="490">
        <v>45763.0</v>
      </c>
    </row>
    <row r="640" ht="15.75" hidden="1" customHeight="1">
      <c r="B640" s="146">
        <v>641.0</v>
      </c>
      <c r="C640" s="146">
        <f t="shared" si="1"/>
        <v>10641</v>
      </c>
      <c r="D640" s="146" t="s">
        <v>34</v>
      </c>
      <c r="E640" s="468" t="s">
        <v>1203</v>
      </c>
      <c r="F640" s="468" t="s">
        <v>1204</v>
      </c>
      <c r="G640" s="430">
        <f>LEN('Expected Auditing Outcomes'!$F640)</f>
        <v>198</v>
      </c>
      <c r="H640" s="430"/>
    </row>
    <row r="641" ht="15.75" hidden="1" customHeight="1">
      <c r="B641" s="146">
        <v>642.0</v>
      </c>
      <c r="C641" s="146">
        <f t="shared" si="1"/>
        <v>10642</v>
      </c>
      <c r="D641" s="146" t="s">
        <v>7</v>
      </c>
      <c r="E641" s="465" t="s">
        <v>1205</v>
      </c>
      <c r="F641" s="465" t="s">
        <v>1206</v>
      </c>
      <c r="G641" s="430">
        <f>LEN('Expected Auditing Outcomes'!$F641)</f>
        <v>200</v>
      </c>
      <c r="H641" s="430"/>
    </row>
    <row r="642" ht="15.75" hidden="1" customHeight="1">
      <c r="B642" s="146">
        <v>643.0</v>
      </c>
      <c r="C642" s="146">
        <f t="shared" si="1"/>
        <v>10643</v>
      </c>
      <c r="D642" s="146" t="s">
        <v>7</v>
      </c>
      <c r="E642" s="465" t="s">
        <v>1207</v>
      </c>
      <c r="F642" s="482" t="s">
        <v>1208</v>
      </c>
      <c r="G642" s="430">
        <f>LEN('Expected Auditing Outcomes'!$F642)</f>
        <v>83</v>
      </c>
      <c r="H642" s="430"/>
    </row>
    <row r="643" ht="15.75" hidden="1" customHeight="1">
      <c r="B643" s="146">
        <v>644.0</v>
      </c>
      <c r="C643" s="146">
        <f t="shared" si="1"/>
        <v>10644</v>
      </c>
      <c r="D643" s="146" t="s">
        <v>7</v>
      </c>
      <c r="E643" s="305" t="s">
        <v>3755</v>
      </c>
      <c r="F643" s="383" t="s">
        <v>1210</v>
      </c>
      <c r="G643" s="430">
        <f>LEN('Expected Auditing Outcomes'!$F643)</f>
        <v>72</v>
      </c>
      <c r="H643" s="431">
        <v>45763.0</v>
      </c>
    </row>
    <row r="644" ht="15.75" hidden="1" customHeight="1">
      <c r="B644" s="146">
        <v>645.0</v>
      </c>
      <c r="C644" s="146">
        <f t="shared" si="1"/>
        <v>10645</v>
      </c>
      <c r="D644" s="146" t="s">
        <v>7</v>
      </c>
      <c r="E644" s="305" t="s">
        <v>3756</v>
      </c>
      <c r="F644" s="383" t="s">
        <v>1212</v>
      </c>
      <c r="G644" s="430">
        <f>LEN('Expected Auditing Outcomes'!$F644)</f>
        <v>58</v>
      </c>
      <c r="H644" s="431">
        <v>45763.0</v>
      </c>
    </row>
    <row r="645" ht="15.75" hidden="1" customHeight="1">
      <c r="B645" s="146">
        <v>646.0</v>
      </c>
      <c r="C645" s="146">
        <f t="shared" si="1"/>
        <v>10646</v>
      </c>
      <c r="D645" s="146" t="s">
        <v>7</v>
      </c>
      <c r="E645" s="269" t="s">
        <v>1213</v>
      </c>
      <c r="F645" s="383" t="s">
        <v>1214</v>
      </c>
      <c r="G645" s="430">
        <f>LEN('Expected Auditing Outcomes'!$F645)</f>
        <v>86</v>
      </c>
      <c r="H645" s="430"/>
    </row>
    <row r="646" ht="15.75" hidden="1" customHeight="1">
      <c r="B646" s="146">
        <v>647.0</v>
      </c>
      <c r="C646" s="146">
        <f t="shared" si="1"/>
        <v>10647</v>
      </c>
      <c r="D646" s="146" t="s">
        <v>7</v>
      </c>
      <c r="E646" s="269" t="s">
        <v>1215</v>
      </c>
      <c r="F646" s="465" t="s">
        <v>1216</v>
      </c>
      <c r="G646" s="430">
        <f>LEN('Expected Auditing Outcomes'!$F646)</f>
        <v>114</v>
      </c>
      <c r="H646" s="430"/>
    </row>
    <row r="647" ht="15.75" hidden="1" customHeight="1">
      <c r="B647" s="146">
        <v>648.0</v>
      </c>
      <c r="C647" s="146">
        <f t="shared" si="1"/>
        <v>10648</v>
      </c>
      <c r="D647" s="146" t="s">
        <v>7</v>
      </c>
      <c r="E647" s="269" t="s">
        <v>1217</v>
      </c>
      <c r="F647" s="482" t="s">
        <v>1218</v>
      </c>
      <c r="G647" s="430">
        <f>LEN('Expected Auditing Outcomes'!$F647)</f>
        <v>107</v>
      </c>
      <c r="H647" s="430"/>
    </row>
    <row r="648" ht="15.75" hidden="1" customHeight="1">
      <c r="B648" s="146">
        <v>649.0</v>
      </c>
      <c r="C648" s="146">
        <f t="shared" si="1"/>
        <v>10649</v>
      </c>
      <c r="D648" s="146" t="s">
        <v>7</v>
      </c>
      <c r="E648" s="269" t="s">
        <v>1219</v>
      </c>
      <c r="F648" s="465" t="s">
        <v>1220</v>
      </c>
      <c r="G648" s="430">
        <f>LEN('Expected Auditing Outcomes'!$F648)</f>
        <v>91</v>
      </c>
      <c r="H648" s="430"/>
    </row>
    <row r="649" ht="15.75" hidden="1" customHeight="1">
      <c r="B649" s="146">
        <v>650.0</v>
      </c>
      <c r="C649" s="146">
        <f t="shared" si="1"/>
        <v>10650</v>
      </c>
      <c r="D649" s="146" t="s">
        <v>34</v>
      </c>
      <c r="E649" s="229" t="s">
        <v>1221</v>
      </c>
      <c r="F649" s="465" t="s">
        <v>1222</v>
      </c>
      <c r="G649" s="430">
        <f>LEN('Expected Auditing Outcomes'!$F649)</f>
        <v>189</v>
      </c>
      <c r="H649" s="430"/>
    </row>
    <row r="650" ht="15.75" hidden="1" customHeight="1">
      <c r="B650" s="146">
        <v>651.0</v>
      </c>
      <c r="C650" s="146">
        <f t="shared" si="1"/>
        <v>10651</v>
      </c>
      <c r="D650" s="146" t="s">
        <v>7</v>
      </c>
      <c r="E650" s="229" t="s">
        <v>3757</v>
      </c>
      <c r="F650" s="383" t="s">
        <v>1224</v>
      </c>
      <c r="G650" s="430">
        <f>LEN('Expected Auditing Outcomes'!$F650)</f>
        <v>64</v>
      </c>
      <c r="H650" s="430"/>
    </row>
    <row r="651" ht="15.75" hidden="1" customHeight="1">
      <c r="B651" s="146">
        <v>652.0</v>
      </c>
      <c r="C651" s="146">
        <f t="shared" si="1"/>
        <v>10652</v>
      </c>
      <c r="D651" s="146" t="s">
        <v>7</v>
      </c>
      <c r="E651" s="229" t="s">
        <v>1225</v>
      </c>
      <c r="F651" s="383" t="s">
        <v>1226</v>
      </c>
      <c r="G651" s="430">
        <f>LEN('Expected Auditing Outcomes'!$F651)</f>
        <v>83</v>
      </c>
      <c r="H651" s="430"/>
    </row>
    <row r="652" ht="15.75" hidden="1" customHeight="1">
      <c r="B652" s="146">
        <v>653.0</v>
      </c>
      <c r="C652" s="146">
        <f t="shared" si="1"/>
        <v>10653</v>
      </c>
      <c r="D652" s="146" t="s">
        <v>34</v>
      </c>
      <c r="E652" s="465" t="s">
        <v>1227</v>
      </c>
      <c r="F652" s="465" t="s">
        <v>1228</v>
      </c>
      <c r="G652" s="430">
        <f>LEN('Expected Auditing Outcomes'!$F652)</f>
        <v>191</v>
      </c>
      <c r="H652" s="430"/>
    </row>
    <row r="653" ht="15.75" hidden="1" customHeight="1">
      <c r="B653" s="146">
        <v>654.0</v>
      </c>
      <c r="C653" s="146">
        <f t="shared" si="1"/>
        <v>10654</v>
      </c>
      <c r="D653" s="146" t="s">
        <v>7</v>
      </c>
      <c r="E653" s="465" t="s">
        <v>1229</v>
      </c>
      <c r="F653" s="465" t="s">
        <v>1230</v>
      </c>
      <c r="G653" s="430">
        <f>LEN('Expected Auditing Outcomes'!$F653)</f>
        <v>102</v>
      </c>
      <c r="H653" s="430"/>
    </row>
    <row r="654" ht="15.75" hidden="1" customHeight="1">
      <c r="B654" s="146">
        <v>655.0</v>
      </c>
      <c r="C654" s="146">
        <f t="shared" si="1"/>
        <v>10655</v>
      </c>
      <c r="D654" s="146" t="s">
        <v>7</v>
      </c>
      <c r="E654" s="465" t="s">
        <v>1231</v>
      </c>
      <c r="F654" s="465" t="s">
        <v>1232</v>
      </c>
      <c r="G654" s="430">
        <f>LEN('Expected Auditing Outcomes'!$F654)</f>
        <v>96</v>
      </c>
      <c r="H654" s="430"/>
    </row>
    <row r="655" ht="15.75" hidden="1" customHeight="1">
      <c r="B655" s="146">
        <v>656.0</v>
      </c>
      <c r="C655" s="146">
        <f t="shared" si="1"/>
        <v>10656</v>
      </c>
      <c r="D655" s="146" t="s">
        <v>7</v>
      </c>
      <c r="E655" s="465" t="s">
        <v>1233</v>
      </c>
      <c r="F655" s="465" t="s">
        <v>1230</v>
      </c>
      <c r="G655" s="430">
        <f>LEN('Expected Auditing Outcomes'!$F655)</f>
        <v>102</v>
      </c>
      <c r="H655" s="430"/>
    </row>
    <row r="656" ht="15.75" hidden="1" customHeight="1">
      <c r="B656" s="146">
        <v>657.0</v>
      </c>
      <c r="C656" s="146">
        <f t="shared" si="1"/>
        <v>10657</v>
      </c>
      <c r="D656" s="146" t="s">
        <v>7</v>
      </c>
      <c r="E656" s="465" t="s">
        <v>1234</v>
      </c>
      <c r="F656" s="482" t="s">
        <v>1235</v>
      </c>
      <c r="G656" s="430">
        <f>LEN('Expected Auditing Outcomes'!$F656)</f>
        <v>79</v>
      </c>
      <c r="H656" s="430"/>
    </row>
    <row r="657" ht="15.75" hidden="1" customHeight="1">
      <c r="B657" s="146">
        <v>658.0</v>
      </c>
      <c r="C657" s="146">
        <f t="shared" si="1"/>
        <v>10658</v>
      </c>
      <c r="D657" s="146" t="s">
        <v>7</v>
      </c>
      <c r="E657" s="465" t="s">
        <v>1236</v>
      </c>
      <c r="F657" s="465" t="s">
        <v>1237</v>
      </c>
      <c r="G657" s="430">
        <f>LEN('Expected Auditing Outcomes'!$F657)</f>
        <v>106</v>
      </c>
      <c r="H657" s="430"/>
    </row>
    <row r="658" ht="15.75" hidden="1" customHeight="1">
      <c r="B658" s="146">
        <v>659.0</v>
      </c>
      <c r="C658" s="146">
        <f t="shared" si="1"/>
        <v>10659</v>
      </c>
      <c r="D658" s="146" t="s">
        <v>7</v>
      </c>
      <c r="E658" s="465" t="s">
        <v>1238</v>
      </c>
      <c r="F658" s="465" t="s">
        <v>1239</v>
      </c>
      <c r="G658" s="430">
        <f>LEN('Expected Auditing Outcomes'!$F658)</f>
        <v>138</v>
      </c>
      <c r="H658" s="430"/>
    </row>
    <row r="659" ht="15.75" hidden="1" customHeight="1">
      <c r="B659" s="146">
        <v>660.0</v>
      </c>
      <c r="C659" s="146">
        <f t="shared" si="1"/>
        <v>10660</v>
      </c>
      <c r="D659" s="146" t="s">
        <v>7</v>
      </c>
      <c r="E659" s="465" t="s">
        <v>1240</v>
      </c>
      <c r="F659" s="465" t="s">
        <v>1241</v>
      </c>
      <c r="G659" s="430">
        <f>LEN('Expected Auditing Outcomes'!$F659)</f>
        <v>126</v>
      </c>
      <c r="H659" s="430"/>
    </row>
    <row r="660" ht="15.75" hidden="1" customHeight="1">
      <c r="B660" s="146">
        <v>661.0</v>
      </c>
      <c r="C660" s="146">
        <f t="shared" si="1"/>
        <v>10661</v>
      </c>
      <c r="D660" s="146" t="s">
        <v>7</v>
      </c>
      <c r="E660" s="269" t="s">
        <v>1242</v>
      </c>
      <c r="F660" s="449" t="s">
        <v>1243</v>
      </c>
      <c r="G660" s="430">
        <f>LEN('Expected Auditing Outcomes'!$F660)</f>
        <v>95</v>
      </c>
      <c r="H660" s="430"/>
    </row>
    <row r="661" ht="15.75" hidden="1" customHeight="1">
      <c r="B661" s="146">
        <v>662.0</v>
      </c>
      <c r="C661" s="146">
        <f t="shared" si="1"/>
        <v>10662</v>
      </c>
      <c r="D661" s="146" t="s">
        <v>7</v>
      </c>
      <c r="E661" s="269" t="s">
        <v>1244</v>
      </c>
      <c r="F661" s="383" t="s">
        <v>1245</v>
      </c>
      <c r="G661" s="430">
        <f>LEN('Expected Auditing Outcomes'!$F661)</f>
        <v>80</v>
      </c>
      <c r="H661" s="430"/>
    </row>
    <row r="662" ht="15.75" hidden="1" customHeight="1">
      <c r="B662" s="146">
        <v>663.0</v>
      </c>
      <c r="C662" s="146">
        <f t="shared" si="1"/>
        <v>10663</v>
      </c>
      <c r="D662" s="146" t="s">
        <v>7</v>
      </c>
      <c r="E662" s="269" t="s">
        <v>1246</v>
      </c>
      <c r="F662" s="449" t="s">
        <v>1247</v>
      </c>
      <c r="G662" s="430">
        <f>LEN('Expected Auditing Outcomes'!$F662)</f>
        <v>67</v>
      </c>
      <c r="H662" s="430"/>
    </row>
    <row r="663" ht="15.75" hidden="1" customHeight="1">
      <c r="B663" s="146">
        <v>664.0</v>
      </c>
      <c r="C663" s="146">
        <f t="shared" si="1"/>
        <v>10664</v>
      </c>
      <c r="D663" s="146" t="s">
        <v>7</v>
      </c>
      <c r="E663" s="229" t="s">
        <v>3758</v>
      </c>
      <c r="F663" s="465" t="s">
        <v>1249</v>
      </c>
      <c r="G663" s="430">
        <f>LEN('Expected Auditing Outcomes'!$F663)</f>
        <v>131</v>
      </c>
      <c r="H663" s="430"/>
    </row>
    <row r="664" ht="15.75" hidden="1" customHeight="1">
      <c r="B664" s="146">
        <v>665.0</v>
      </c>
      <c r="C664" s="146">
        <f t="shared" si="1"/>
        <v>10665</v>
      </c>
      <c r="D664" s="146" t="s">
        <v>7</v>
      </c>
      <c r="E664" s="305" t="s">
        <v>1250</v>
      </c>
      <c r="F664" s="383" t="s">
        <v>1251</v>
      </c>
      <c r="G664" s="430">
        <f>LEN('Expected Auditing Outcomes'!$F664)</f>
        <v>115</v>
      </c>
      <c r="H664" s="431">
        <v>45763.0</v>
      </c>
    </row>
    <row r="665" ht="15.75" hidden="1" customHeight="1">
      <c r="B665" s="146">
        <v>666.0</v>
      </c>
      <c r="C665" s="146">
        <f t="shared" si="1"/>
        <v>10666</v>
      </c>
      <c r="D665" s="491" t="s">
        <v>7</v>
      </c>
      <c r="E665" s="465" t="s">
        <v>1252</v>
      </c>
      <c r="F665" s="465" t="s">
        <v>1253</v>
      </c>
      <c r="G665" s="430">
        <f>LEN('Expected Auditing Outcomes'!$F665)</f>
        <v>102</v>
      </c>
      <c r="H665" s="430"/>
    </row>
    <row r="666" ht="15.75" hidden="1" customHeight="1">
      <c r="B666" s="146">
        <v>667.0</v>
      </c>
      <c r="C666" s="146">
        <f t="shared" si="1"/>
        <v>10667</v>
      </c>
      <c r="D666" s="491" t="s">
        <v>34</v>
      </c>
      <c r="E666" s="465" t="s">
        <v>1254</v>
      </c>
      <c r="F666" s="465" t="s">
        <v>1255</v>
      </c>
      <c r="G666" s="430">
        <f>LEN('Expected Auditing Outcomes'!$F666)</f>
        <v>167</v>
      </c>
      <c r="H666" s="430"/>
    </row>
    <row r="667" ht="15.75" hidden="1" customHeight="1">
      <c r="B667" s="146">
        <v>668.0</v>
      </c>
      <c r="C667" s="146">
        <f t="shared" si="1"/>
        <v>10668</v>
      </c>
      <c r="D667" s="146" t="s">
        <v>7</v>
      </c>
      <c r="E667" s="492" t="s">
        <v>3759</v>
      </c>
      <c r="F667" s="476" t="s">
        <v>1257</v>
      </c>
      <c r="G667" s="430">
        <f>LEN('Expected Auditing Outcomes'!$F667)</f>
        <v>89</v>
      </c>
      <c r="H667" s="430"/>
    </row>
    <row r="668" ht="15.75" hidden="1" customHeight="1">
      <c r="B668" s="146">
        <v>669.0</v>
      </c>
      <c r="C668" s="146">
        <f t="shared" si="1"/>
        <v>10669</v>
      </c>
      <c r="D668" s="146" t="s">
        <v>34</v>
      </c>
      <c r="E668" s="305" t="s">
        <v>3760</v>
      </c>
      <c r="F668" s="383" t="s">
        <v>1259</v>
      </c>
      <c r="G668" s="430">
        <f>LEN('Expected Auditing Outcomes'!$F668)</f>
        <v>199</v>
      </c>
      <c r="H668" s="430"/>
    </row>
    <row r="669" ht="15.75" hidden="1" customHeight="1">
      <c r="B669" s="146">
        <v>670.0</v>
      </c>
      <c r="C669" s="146">
        <f t="shared" si="1"/>
        <v>10670</v>
      </c>
      <c r="D669" s="491" t="s">
        <v>34</v>
      </c>
      <c r="E669" s="229" t="s">
        <v>1260</v>
      </c>
      <c r="F669" s="383" t="s">
        <v>1261</v>
      </c>
      <c r="G669" s="430">
        <f>LEN('Expected Auditing Outcomes'!$F669)</f>
        <v>170</v>
      </c>
      <c r="H669" s="430"/>
    </row>
    <row r="670" ht="15.75" hidden="1" customHeight="1">
      <c r="B670" s="146">
        <v>671.0</v>
      </c>
      <c r="C670" s="146">
        <f t="shared" si="1"/>
        <v>10671</v>
      </c>
      <c r="D670" s="491" t="s">
        <v>7</v>
      </c>
      <c r="E670" s="493" t="s">
        <v>1262</v>
      </c>
      <c r="F670" s="383" t="s">
        <v>1263</v>
      </c>
      <c r="G670" s="430">
        <f>LEN('Expected Auditing Outcomes'!$F670)</f>
        <v>49</v>
      </c>
      <c r="H670" s="430"/>
    </row>
    <row r="671" ht="15.75" hidden="1" customHeight="1">
      <c r="B671" s="146">
        <v>672.0</v>
      </c>
      <c r="C671" s="146">
        <f t="shared" si="1"/>
        <v>10672</v>
      </c>
      <c r="D671" s="491" t="s">
        <v>7</v>
      </c>
      <c r="E671" s="229" t="s">
        <v>1264</v>
      </c>
      <c r="F671" s="383" t="s">
        <v>1265</v>
      </c>
      <c r="G671" s="430">
        <f>LEN('Expected Auditing Outcomes'!$F671)</f>
        <v>82</v>
      </c>
      <c r="H671" s="430"/>
    </row>
    <row r="672" ht="15.75" hidden="1" customHeight="1">
      <c r="B672" s="146">
        <v>673.0</v>
      </c>
      <c r="C672" s="146">
        <f t="shared" si="1"/>
        <v>10673</v>
      </c>
      <c r="D672" s="491" t="s">
        <v>7</v>
      </c>
      <c r="E672" s="465" t="s">
        <v>1266</v>
      </c>
      <c r="F672" s="465" t="s">
        <v>3761</v>
      </c>
      <c r="G672" s="430">
        <f>LEN('Expected Auditing Outcomes'!$F672)</f>
        <v>111</v>
      </c>
      <c r="H672" s="430"/>
    </row>
    <row r="673" ht="15.75" hidden="1" customHeight="1">
      <c r="B673" s="146">
        <v>674.0</v>
      </c>
      <c r="C673" s="146">
        <f t="shared" si="1"/>
        <v>10674</v>
      </c>
      <c r="D673" s="491" t="s">
        <v>34</v>
      </c>
      <c r="E673" s="229" t="s">
        <v>1268</v>
      </c>
      <c r="F673" s="229" t="s">
        <v>3762</v>
      </c>
      <c r="G673" s="430">
        <f>LEN('Expected Auditing Outcomes'!$F673)</f>
        <v>199</v>
      </c>
      <c r="H673" s="430"/>
    </row>
    <row r="674" ht="15.75" hidden="1" customHeight="1">
      <c r="B674" s="146">
        <v>675.0</v>
      </c>
      <c r="C674" s="146">
        <f t="shared" si="1"/>
        <v>10675</v>
      </c>
      <c r="D674" s="146" t="s">
        <v>7</v>
      </c>
      <c r="E674" s="457" t="s">
        <v>799</v>
      </c>
      <c r="F674" s="383" t="s">
        <v>1270</v>
      </c>
      <c r="G674" s="430">
        <f>LEN('Expected Auditing Outcomes'!$F674)</f>
        <v>65</v>
      </c>
      <c r="H674" s="431">
        <v>45763.0</v>
      </c>
    </row>
    <row r="675" ht="15.75" hidden="1" customHeight="1">
      <c r="B675" s="146">
        <v>676.0</v>
      </c>
      <c r="C675" s="146">
        <f t="shared" si="1"/>
        <v>10676</v>
      </c>
      <c r="D675" s="146" t="s">
        <v>7</v>
      </c>
      <c r="E675" s="269" t="s">
        <v>1271</v>
      </c>
      <c r="F675" s="383" t="s">
        <v>1272</v>
      </c>
      <c r="G675" s="430">
        <f>LEN('Expected Auditing Outcomes'!$F675)</f>
        <v>84</v>
      </c>
      <c r="H675" s="431">
        <v>45763.0</v>
      </c>
    </row>
    <row r="676" ht="15.75" hidden="1" customHeight="1">
      <c r="B676" s="146">
        <v>677.0</v>
      </c>
      <c r="C676" s="146">
        <f t="shared" si="1"/>
        <v>10677</v>
      </c>
      <c r="D676" s="146" t="s">
        <v>7</v>
      </c>
      <c r="E676" s="269" t="s">
        <v>630</v>
      </c>
      <c r="F676" s="383" t="s">
        <v>1274</v>
      </c>
      <c r="G676" s="430">
        <f>LEN('Expected Auditing Outcomes'!$F676)</f>
        <v>61</v>
      </c>
      <c r="H676" s="431">
        <v>45763.0</v>
      </c>
    </row>
    <row r="677" ht="15.75" hidden="1" customHeight="1">
      <c r="B677" s="146">
        <v>678.0</v>
      </c>
      <c r="C677" s="146">
        <f t="shared" si="1"/>
        <v>10678</v>
      </c>
      <c r="D677" s="146" t="s">
        <v>7</v>
      </c>
      <c r="E677" s="269" t="s">
        <v>1275</v>
      </c>
      <c r="F677" s="383" t="s">
        <v>1276</v>
      </c>
      <c r="G677" s="430">
        <f>LEN('Expected Auditing Outcomes'!$F677)</f>
        <v>95</v>
      </c>
      <c r="H677" s="431">
        <v>45763.0</v>
      </c>
    </row>
    <row r="678" ht="15.75" hidden="1" customHeight="1">
      <c r="B678" s="494">
        <v>679.0</v>
      </c>
      <c r="C678" s="494">
        <f t="shared" si="1"/>
        <v>10679</v>
      </c>
      <c r="D678" s="491" t="s">
        <v>20</v>
      </c>
      <c r="E678" s="465" t="s">
        <v>1277</v>
      </c>
      <c r="F678" s="465" t="s">
        <v>1278</v>
      </c>
      <c r="G678" s="430">
        <f>LEN('Expected Auditing Outcomes'!$F678)</f>
        <v>127</v>
      </c>
      <c r="H678" s="431"/>
    </row>
    <row r="679" ht="15.75" hidden="1" customHeight="1">
      <c r="B679" s="494">
        <v>680.0</v>
      </c>
      <c r="C679" s="494">
        <f t="shared" si="1"/>
        <v>10680</v>
      </c>
      <c r="D679" s="491" t="s">
        <v>27</v>
      </c>
      <c r="E679" s="465" t="s">
        <v>1279</v>
      </c>
      <c r="F679" s="465" t="s">
        <v>1280</v>
      </c>
      <c r="G679" s="430">
        <f>LEN('Expected Auditing Outcomes'!$F679)</f>
        <v>177</v>
      </c>
      <c r="H679" s="431"/>
    </row>
    <row r="680" ht="15.75" hidden="1" customHeight="1">
      <c r="B680" s="494">
        <v>681.0</v>
      </c>
      <c r="C680" s="494">
        <f t="shared" si="1"/>
        <v>10681</v>
      </c>
      <c r="D680" s="491" t="s">
        <v>7</v>
      </c>
      <c r="E680" s="465" t="s">
        <v>1281</v>
      </c>
      <c r="F680" s="482" t="s">
        <v>1282</v>
      </c>
      <c r="G680" s="430">
        <f>LEN('Expected Auditing Outcomes'!$F680)</f>
        <v>86</v>
      </c>
      <c r="H680" s="431"/>
    </row>
    <row r="681" ht="15.75" hidden="1" customHeight="1">
      <c r="B681" s="494">
        <v>682.0</v>
      </c>
      <c r="C681" s="494">
        <f t="shared" si="1"/>
        <v>10682</v>
      </c>
      <c r="D681" s="491" t="s">
        <v>27</v>
      </c>
      <c r="E681" s="468" t="s">
        <v>1283</v>
      </c>
      <c r="F681" s="468" t="s">
        <v>1284</v>
      </c>
      <c r="G681" s="430">
        <f>LEN('Expected Auditing Outcomes'!$F681)</f>
        <v>199</v>
      </c>
      <c r="H681" s="431"/>
    </row>
    <row r="682" ht="15.75" hidden="1" customHeight="1">
      <c r="B682" s="146">
        <v>683.0</v>
      </c>
      <c r="C682" s="146">
        <f t="shared" si="1"/>
        <v>10683</v>
      </c>
      <c r="D682" s="146" t="s">
        <v>34</v>
      </c>
      <c r="E682" s="271" t="s">
        <v>1285</v>
      </c>
      <c r="F682" s="383" t="s">
        <v>1286</v>
      </c>
      <c r="G682" s="430">
        <f>LEN('Expected Auditing Outcomes'!$F682)</f>
        <v>153</v>
      </c>
      <c r="H682" s="431"/>
    </row>
    <row r="683" ht="15.75" hidden="1" customHeight="1">
      <c r="B683" s="494">
        <v>684.0</v>
      </c>
      <c r="C683" s="494">
        <f t="shared" si="1"/>
        <v>10684</v>
      </c>
      <c r="D683" s="491" t="s">
        <v>34</v>
      </c>
      <c r="E683" s="468" t="s">
        <v>1287</v>
      </c>
      <c r="F683" s="468" t="s">
        <v>3763</v>
      </c>
      <c r="G683" s="430">
        <f>LEN('Expected Auditing Outcomes'!$F683)</f>
        <v>150</v>
      </c>
      <c r="H683" s="431"/>
    </row>
    <row r="684" ht="15.75" hidden="1" customHeight="1">
      <c r="B684" s="146">
        <v>691.0</v>
      </c>
      <c r="C684" s="146">
        <f t="shared" si="1"/>
        <v>10691</v>
      </c>
      <c r="D684" s="146" t="s">
        <v>20</v>
      </c>
      <c r="E684" s="269" t="s">
        <v>1296</v>
      </c>
      <c r="F684" s="383" t="s">
        <v>1297</v>
      </c>
      <c r="G684" s="430">
        <f>LEN('Expected Auditing Outcomes'!$F684)</f>
        <v>137</v>
      </c>
      <c r="H684" s="431"/>
    </row>
    <row r="685" ht="15.75" hidden="1" customHeight="1">
      <c r="B685" s="146">
        <v>719.0</v>
      </c>
      <c r="C685" s="146">
        <f t="shared" si="1"/>
        <v>10719</v>
      </c>
      <c r="D685" s="146" t="s">
        <v>20</v>
      </c>
      <c r="E685" s="271" t="s">
        <v>1328</v>
      </c>
      <c r="F685" s="383" t="s">
        <v>1329</v>
      </c>
      <c r="G685" s="430">
        <f>LEN('Expected Auditing Outcomes'!$F685)</f>
        <v>142</v>
      </c>
      <c r="H685" s="431"/>
    </row>
    <row r="686" ht="15.75" hidden="1" customHeight="1">
      <c r="B686" s="146">
        <v>727.0</v>
      </c>
      <c r="C686" s="146">
        <f t="shared" si="1"/>
        <v>10727</v>
      </c>
      <c r="D686" s="146" t="s">
        <v>20</v>
      </c>
      <c r="E686" s="305" t="s">
        <v>3764</v>
      </c>
      <c r="F686" s="383" t="s">
        <v>1338</v>
      </c>
      <c r="G686" s="430">
        <f>LEN('Expected Auditing Outcomes'!$F686)</f>
        <v>140</v>
      </c>
      <c r="H686" s="431">
        <v>45763.0</v>
      </c>
    </row>
    <row r="687" ht="15.75" hidden="1" customHeight="1">
      <c r="B687" s="146">
        <v>733.0</v>
      </c>
      <c r="C687" s="146">
        <f t="shared" si="1"/>
        <v>10733</v>
      </c>
      <c r="D687" s="146" t="s">
        <v>34</v>
      </c>
      <c r="E687" s="229" t="s">
        <v>3765</v>
      </c>
      <c r="F687" s="383" t="s">
        <v>1344</v>
      </c>
      <c r="G687" s="430">
        <f>LEN('Expected Auditing Outcomes'!$F687)</f>
        <v>135</v>
      </c>
      <c r="H687" s="431"/>
    </row>
    <row r="688" ht="15.75" hidden="1" customHeight="1">
      <c r="B688" s="146">
        <v>748.0</v>
      </c>
      <c r="C688" s="146">
        <f t="shared" si="1"/>
        <v>10748</v>
      </c>
      <c r="D688" s="146" t="s">
        <v>34</v>
      </c>
      <c r="E688" s="340" t="s">
        <v>1361</v>
      </c>
      <c r="F688" s="383" t="s">
        <v>1362</v>
      </c>
      <c r="G688" s="430">
        <f>LEN('Expected Auditing Outcomes'!$F688)</f>
        <v>142</v>
      </c>
      <c r="H688" s="431"/>
    </row>
    <row r="689" ht="39.0" hidden="1" customHeight="1">
      <c r="B689" s="495">
        <v>780.0</v>
      </c>
      <c r="C689" s="495">
        <v>10780.0</v>
      </c>
      <c r="D689" s="495" t="s">
        <v>20</v>
      </c>
      <c r="E689" s="496" t="s">
        <v>1397</v>
      </c>
      <c r="F689" s="383" t="s">
        <v>3766</v>
      </c>
      <c r="G689" s="495">
        <f>LEN('Expected Auditing Outcomes'!$F689)</f>
        <v>112</v>
      </c>
      <c r="H689" s="497">
        <v>46031.0</v>
      </c>
    </row>
    <row r="690" ht="15.75" hidden="1" customHeight="1">
      <c r="B690" s="146">
        <v>787.0</v>
      </c>
      <c r="C690" s="146">
        <f t="shared" ref="C690:C801" si="2">SUM($B690+10000)</f>
        <v>10787</v>
      </c>
      <c r="D690" s="146" t="s">
        <v>7</v>
      </c>
      <c r="E690" s="269" t="s">
        <v>1408</v>
      </c>
      <c r="F690" s="383" t="s">
        <v>1409</v>
      </c>
      <c r="G690" s="430">
        <f>LEN('Expected Auditing Outcomes'!$F690)</f>
        <v>44</v>
      </c>
      <c r="H690" s="431">
        <v>45875.0</v>
      </c>
    </row>
    <row r="691" ht="15.75" hidden="1" customHeight="1">
      <c r="B691" s="146">
        <v>828.0</v>
      </c>
      <c r="C691" s="146">
        <f t="shared" si="2"/>
        <v>10828</v>
      </c>
      <c r="D691" s="146" t="s">
        <v>34</v>
      </c>
      <c r="E691" s="269" t="s">
        <v>3767</v>
      </c>
      <c r="F691" s="498" t="s">
        <v>3768</v>
      </c>
      <c r="G691" s="430">
        <f>LEN('Expected Auditing Outcomes'!$F691)</f>
        <v>132</v>
      </c>
      <c r="H691" s="431"/>
    </row>
    <row r="692" ht="15.75" hidden="1" customHeight="1">
      <c r="B692" s="146">
        <v>891.0</v>
      </c>
      <c r="C692" s="146">
        <f t="shared" si="2"/>
        <v>10891</v>
      </c>
      <c r="D692" s="146" t="s">
        <v>34</v>
      </c>
      <c r="E692" s="269" t="s">
        <v>1515</v>
      </c>
      <c r="F692" s="383" t="s">
        <v>1516</v>
      </c>
      <c r="G692" s="430">
        <f>LEN('Expected Auditing Outcomes'!$F692)</f>
        <v>180</v>
      </c>
      <c r="H692" s="431"/>
    </row>
    <row r="693" ht="15.75" hidden="1" customHeight="1">
      <c r="B693" s="146">
        <v>933.0</v>
      </c>
      <c r="C693" s="146">
        <f t="shared" si="2"/>
        <v>10933</v>
      </c>
      <c r="D693" s="146" t="s">
        <v>7</v>
      </c>
      <c r="E693" s="269" t="s">
        <v>1557</v>
      </c>
      <c r="F693" s="383" t="s">
        <v>3769</v>
      </c>
      <c r="G693" s="430">
        <f>LEN('Expected Auditing Outcomes'!$F693)</f>
        <v>62</v>
      </c>
      <c r="H693" s="431">
        <v>46010.0</v>
      </c>
    </row>
    <row r="694" ht="15.75" hidden="1" customHeight="1">
      <c r="B694" s="146">
        <v>954.0</v>
      </c>
      <c r="C694" s="146">
        <f t="shared" si="2"/>
        <v>10954</v>
      </c>
      <c r="D694" s="146" t="s">
        <v>34</v>
      </c>
      <c r="E694" s="269" t="s">
        <v>1580</v>
      </c>
      <c r="F694" s="383" t="s">
        <v>1581</v>
      </c>
      <c r="G694" s="430">
        <f>LEN('Expected Auditing Outcomes'!$F694)</f>
        <v>170</v>
      </c>
      <c r="H694" s="431"/>
    </row>
    <row r="695" ht="14.25" hidden="1" customHeight="1">
      <c r="B695" s="146">
        <v>955.0</v>
      </c>
      <c r="C695" s="146">
        <f t="shared" si="2"/>
        <v>10955</v>
      </c>
      <c r="D695" s="146"/>
      <c r="E695" s="269"/>
      <c r="F695" s="383"/>
      <c r="G695" s="430">
        <f>LEN('Expected Auditing Outcomes'!$F695)</f>
        <v>0</v>
      </c>
      <c r="H695" s="431"/>
    </row>
    <row r="696" ht="15.75" hidden="1" customHeight="1">
      <c r="B696" s="146">
        <v>956.0</v>
      </c>
      <c r="C696" s="146">
        <f t="shared" si="2"/>
        <v>10956</v>
      </c>
      <c r="D696" s="122" t="s">
        <v>20</v>
      </c>
      <c r="E696" s="269" t="s">
        <v>1583</v>
      </c>
      <c r="F696" s="383" t="s">
        <v>1584</v>
      </c>
      <c r="G696" s="430">
        <f>LEN('Expected Auditing Outcomes'!$F696)</f>
        <v>137</v>
      </c>
      <c r="H696" s="431"/>
    </row>
    <row r="697" ht="15.75" hidden="1" customHeight="1">
      <c r="B697" s="146">
        <v>957.0</v>
      </c>
      <c r="C697" s="146">
        <f t="shared" si="2"/>
        <v>10957</v>
      </c>
      <c r="D697" s="122" t="s">
        <v>7</v>
      </c>
      <c r="E697" s="269"/>
      <c r="F697" s="466"/>
      <c r="G697" s="430">
        <f>LEN('Expected Auditing Outcomes'!$F697)</f>
        <v>0</v>
      </c>
      <c r="H697" s="431"/>
    </row>
    <row r="698" ht="15.75" hidden="1" customHeight="1">
      <c r="B698" s="146">
        <v>958.0</v>
      </c>
      <c r="C698" s="146">
        <f t="shared" si="2"/>
        <v>10958</v>
      </c>
      <c r="D698" s="122" t="s">
        <v>34</v>
      </c>
      <c r="E698" s="269"/>
      <c r="F698" s="383"/>
      <c r="G698" s="430">
        <f>LEN('Expected Auditing Outcomes'!$F698)</f>
        <v>0</v>
      </c>
      <c r="H698" s="431"/>
    </row>
    <row r="699" ht="15.75" hidden="1" customHeight="1">
      <c r="B699" s="146">
        <v>959.0</v>
      </c>
      <c r="C699" s="146">
        <f t="shared" si="2"/>
        <v>10959</v>
      </c>
      <c r="D699" s="146" t="s">
        <v>27</v>
      </c>
      <c r="E699" s="269" t="s">
        <v>1587</v>
      </c>
      <c r="F699" s="383" t="s">
        <v>1588</v>
      </c>
      <c r="G699" s="430">
        <f>LEN('Expected Auditing Outcomes'!$F699)</f>
        <v>136</v>
      </c>
      <c r="H699" s="431"/>
    </row>
    <row r="700" ht="15.75" hidden="1" customHeight="1">
      <c r="B700" s="146">
        <v>960.0</v>
      </c>
      <c r="C700" s="146">
        <f t="shared" si="2"/>
        <v>10960</v>
      </c>
      <c r="D700" s="146" t="s">
        <v>27</v>
      </c>
      <c r="E700" s="269" t="s">
        <v>1589</v>
      </c>
      <c r="F700" s="383" t="s">
        <v>1590</v>
      </c>
      <c r="G700" s="430">
        <f>LEN('Expected Auditing Outcomes'!$F700)</f>
        <v>130</v>
      </c>
      <c r="H700" s="431">
        <v>45943.0</v>
      </c>
    </row>
    <row r="701" ht="15.75" hidden="1" customHeight="1">
      <c r="B701" s="146">
        <v>961.0</v>
      </c>
      <c r="C701" s="146">
        <f t="shared" si="2"/>
        <v>10961</v>
      </c>
      <c r="D701" s="146" t="s">
        <v>34</v>
      </c>
      <c r="E701" s="499" t="s">
        <v>1591</v>
      </c>
      <c r="F701" s="477" t="s">
        <v>1592</v>
      </c>
      <c r="G701" s="430">
        <f>LEN('Expected Auditing Outcomes'!$F701)</f>
        <v>149</v>
      </c>
      <c r="H701" s="431">
        <v>45943.0</v>
      </c>
    </row>
    <row r="702" ht="15.75" hidden="1" customHeight="1">
      <c r="B702" s="146">
        <v>962.0</v>
      </c>
      <c r="C702" s="146">
        <f t="shared" si="2"/>
        <v>10962</v>
      </c>
      <c r="D702" s="146" t="s">
        <v>34</v>
      </c>
      <c r="E702" s="305" t="s">
        <v>1593</v>
      </c>
      <c r="F702" s="383" t="s">
        <v>1594</v>
      </c>
      <c r="G702" s="430">
        <f>LEN('Expected Auditing Outcomes'!$F702)</f>
        <v>139</v>
      </c>
      <c r="H702" s="431">
        <v>45943.0</v>
      </c>
    </row>
    <row r="703" ht="15.75" hidden="1" customHeight="1">
      <c r="B703" s="146">
        <v>964.0</v>
      </c>
      <c r="C703" s="146">
        <f t="shared" si="2"/>
        <v>10964</v>
      </c>
      <c r="D703" s="146" t="s">
        <v>34</v>
      </c>
      <c r="E703" s="500" t="s">
        <v>1596</v>
      </c>
      <c r="F703" s="477" t="s">
        <v>1597</v>
      </c>
      <c r="G703" s="430">
        <f>LEN('Expected Auditing Outcomes'!$F703)</f>
        <v>158</v>
      </c>
      <c r="H703" s="431">
        <v>45943.0</v>
      </c>
    </row>
    <row r="704" ht="15.75" hidden="1" customHeight="1">
      <c r="B704" s="146">
        <v>965.0</v>
      </c>
      <c r="C704" s="146">
        <f t="shared" si="2"/>
        <v>10965</v>
      </c>
      <c r="D704" s="146" t="s">
        <v>34</v>
      </c>
      <c r="E704" s="305" t="s">
        <v>1598</v>
      </c>
      <c r="F704" s="383" t="s">
        <v>1599</v>
      </c>
      <c r="G704" s="430">
        <f>LEN('Expected Auditing Outcomes'!$F704)</f>
        <v>167</v>
      </c>
      <c r="H704" s="431">
        <v>45943.0</v>
      </c>
    </row>
    <row r="705" ht="15.75" hidden="1" customHeight="1">
      <c r="B705" s="146">
        <v>966.0</v>
      </c>
      <c r="C705" s="146">
        <f t="shared" si="2"/>
        <v>10966</v>
      </c>
      <c r="D705" s="146" t="s">
        <v>27</v>
      </c>
      <c r="E705" s="477" t="s">
        <v>1600</v>
      </c>
      <c r="F705" s="477" t="s">
        <v>1601</v>
      </c>
      <c r="G705" s="430">
        <f>LEN('Expected Auditing Outcomes'!$F705)</f>
        <v>136</v>
      </c>
      <c r="H705" s="431"/>
    </row>
    <row r="706" ht="15.75" hidden="1" customHeight="1">
      <c r="B706" s="146">
        <v>967.0</v>
      </c>
      <c r="C706" s="146">
        <f t="shared" si="2"/>
        <v>10967</v>
      </c>
      <c r="D706" s="146" t="s">
        <v>34</v>
      </c>
      <c r="E706" s="305" t="s">
        <v>1602</v>
      </c>
      <c r="F706" s="305" t="s">
        <v>1603</v>
      </c>
      <c r="G706" s="430">
        <f>LEN('Expected Auditing Outcomes'!$F706)</f>
        <v>195</v>
      </c>
      <c r="H706" s="431">
        <v>45943.0</v>
      </c>
    </row>
    <row r="707" ht="15.75" hidden="1" customHeight="1">
      <c r="B707" s="146">
        <v>968.0</v>
      </c>
      <c r="C707" s="146">
        <f t="shared" si="2"/>
        <v>10968</v>
      </c>
      <c r="D707" s="146" t="s">
        <v>7</v>
      </c>
      <c r="E707" s="477" t="s">
        <v>1604</v>
      </c>
      <c r="F707" s="477" t="s">
        <v>1605</v>
      </c>
      <c r="G707" s="430">
        <f>LEN('Expected Auditing Outcomes'!$F707)</f>
        <v>189</v>
      </c>
      <c r="H707" s="431">
        <v>45943.0</v>
      </c>
    </row>
    <row r="708" ht="15.75" hidden="1" customHeight="1">
      <c r="B708" s="146">
        <v>969.0</v>
      </c>
      <c r="C708" s="146">
        <f t="shared" si="2"/>
        <v>10969</v>
      </c>
      <c r="D708" s="146" t="s">
        <v>20</v>
      </c>
      <c r="E708" s="305" t="s">
        <v>1606</v>
      </c>
      <c r="F708" s="305" t="s">
        <v>1607</v>
      </c>
      <c r="G708" s="430">
        <f>LEN('Expected Auditing Outcomes'!$F708)</f>
        <v>180</v>
      </c>
      <c r="H708" s="431">
        <v>45770.0</v>
      </c>
    </row>
    <row r="709" ht="15.75" hidden="1" customHeight="1">
      <c r="B709" s="146">
        <v>970.0</v>
      </c>
      <c r="C709" s="146">
        <f t="shared" si="2"/>
        <v>10970</v>
      </c>
      <c r="D709" s="122" t="s">
        <v>27</v>
      </c>
      <c r="E709" s="477" t="s">
        <v>3184</v>
      </c>
      <c r="F709" s="477" t="s">
        <v>1609</v>
      </c>
      <c r="G709" s="430">
        <f>LEN('Expected Auditing Outcomes'!$F709)</f>
        <v>163</v>
      </c>
      <c r="H709" s="431">
        <v>45799.0</v>
      </c>
    </row>
    <row r="710" ht="15.75" hidden="1" customHeight="1">
      <c r="B710" s="146">
        <v>971.0</v>
      </c>
      <c r="C710" s="146">
        <f t="shared" si="2"/>
        <v>10971</v>
      </c>
      <c r="D710" s="122" t="s">
        <v>20</v>
      </c>
      <c r="E710" s="305" t="s">
        <v>1610</v>
      </c>
      <c r="F710" s="305" t="s">
        <v>1611</v>
      </c>
      <c r="G710" s="430">
        <f>LEN('Expected Auditing Outcomes'!$F710)</f>
        <v>125</v>
      </c>
      <c r="H710" s="431">
        <v>45794.0</v>
      </c>
    </row>
    <row r="711" ht="15.75" hidden="1" customHeight="1">
      <c r="B711" s="146">
        <v>972.0</v>
      </c>
      <c r="C711" s="146">
        <f t="shared" si="2"/>
        <v>10972</v>
      </c>
      <c r="D711" s="122" t="s">
        <v>27</v>
      </c>
      <c r="E711" s="477" t="s">
        <v>1612</v>
      </c>
      <c r="F711" s="477" t="s">
        <v>1613</v>
      </c>
      <c r="G711" s="430">
        <f>LEN('Expected Auditing Outcomes'!$F711)</f>
        <v>124</v>
      </c>
      <c r="H711" s="431">
        <v>45799.0</v>
      </c>
    </row>
    <row r="712" ht="15.75" hidden="1" customHeight="1">
      <c r="B712" s="146">
        <v>973.0</v>
      </c>
      <c r="C712" s="146">
        <f t="shared" si="2"/>
        <v>10973</v>
      </c>
      <c r="D712" s="146" t="s">
        <v>34</v>
      </c>
      <c r="E712" s="305" t="s">
        <v>3770</v>
      </c>
      <c r="F712" s="305" t="s">
        <v>1615</v>
      </c>
      <c r="G712" s="430">
        <f>LEN('Expected Auditing Outcomes'!$F712)</f>
        <v>190</v>
      </c>
      <c r="H712" s="431">
        <v>45810.0</v>
      </c>
    </row>
    <row r="713" ht="15.75" hidden="1" customHeight="1">
      <c r="B713" s="146">
        <v>974.0</v>
      </c>
      <c r="C713" s="146">
        <f t="shared" si="2"/>
        <v>10974</v>
      </c>
      <c r="D713" s="146" t="s">
        <v>20</v>
      </c>
      <c r="E713" s="501" t="s">
        <v>1616</v>
      </c>
      <c r="F713" s="502" t="s">
        <v>1617</v>
      </c>
      <c r="G713" s="430">
        <f>LEN('Expected Auditing Outcomes'!$F713)</f>
        <v>109</v>
      </c>
      <c r="H713" s="431">
        <v>45810.0</v>
      </c>
    </row>
    <row r="714" ht="15.75" hidden="1" customHeight="1">
      <c r="B714" s="146">
        <v>975.0</v>
      </c>
      <c r="C714" s="146">
        <f t="shared" si="2"/>
        <v>10975</v>
      </c>
      <c r="D714" s="146"/>
      <c r="E714" s="305"/>
      <c r="F714" s="383"/>
      <c r="G714" s="430">
        <f>LEN('Expected Auditing Outcomes'!$F714)</f>
        <v>0</v>
      </c>
      <c r="H714" s="430"/>
    </row>
    <row r="715" ht="15.75" hidden="1" customHeight="1">
      <c r="B715" s="146">
        <v>976.0</v>
      </c>
      <c r="C715" s="146">
        <f t="shared" si="2"/>
        <v>10976</v>
      </c>
      <c r="D715" s="146" t="s">
        <v>34</v>
      </c>
      <c r="E715" s="269" t="s">
        <v>1619</v>
      </c>
      <c r="F715" s="383" t="s">
        <v>1620</v>
      </c>
      <c r="G715" s="430">
        <f>LEN('Expected Auditing Outcomes'!$F715)</f>
        <v>152</v>
      </c>
      <c r="H715" s="431">
        <v>45834.0</v>
      </c>
    </row>
    <row r="716" ht="15.75" hidden="1" customHeight="1">
      <c r="B716" s="146">
        <v>977.0</v>
      </c>
      <c r="C716" s="146">
        <f t="shared" si="2"/>
        <v>10977</v>
      </c>
      <c r="D716" s="146" t="s">
        <v>20</v>
      </c>
      <c r="E716" s="269" t="s">
        <v>3194</v>
      </c>
      <c r="F716" s="383" t="s">
        <v>1622</v>
      </c>
      <c r="G716" s="430">
        <f>LEN('Expected Auditing Outcomes'!$F716)</f>
        <v>109</v>
      </c>
      <c r="H716" s="430"/>
    </row>
    <row r="717" ht="15.75" hidden="1" customHeight="1">
      <c r="B717" s="146">
        <v>978.0</v>
      </c>
      <c r="C717" s="146">
        <f t="shared" si="2"/>
        <v>10978</v>
      </c>
      <c r="D717" s="146" t="s">
        <v>34</v>
      </c>
      <c r="E717" s="269" t="s">
        <v>1623</v>
      </c>
      <c r="F717" s="383" t="s">
        <v>1624</v>
      </c>
      <c r="G717" s="430">
        <f>LEN('Expected Auditing Outcomes'!$F717)</f>
        <v>191</v>
      </c>
      <c r="H717" s="430"/>
    </row>
    <row r="718" ht="15.75" hidden="1" customHeight="1">
      <c r="B718" s="146">
        <v>979.0</v>
      </c>
      <c r="C718" s="146">
        <f t="shared" si="2"/>
        <v>10979</v>
      </c>
      <c r="D718" s="146"/>
      <c r="E718" s="305"/>
      <c r="F718" s="383"/>
      <c r="G718" s="430">
        <f>LEN('Expected Auditing Outcomes'!$F718)</f>
        <v>0</v>
      </c>
      <c r="H718" s="430"/>
    </row>
    <row r="719" ht="15.75" hidden="1" customHeight="1">
      <c r="B719" s="146">
        <v>980.0</v>
      </c>
      <c r="C719" s="146">
        <f t="shared" si="2"/>
        <v>10980</v>
      </c>
      <c r="D719" s="146" t="s">
        <v>34</v>
      </c>
      <c r="E719" s="269" t="s">
        <v>3198</v>
      </c>
      <c r="F719" s="383" t="s">
        <v>1627</v>
      </c>
      <c r="G719" s="430">
        <f>LEN('Expected Auditing Outcomes'!$F719)</f>
        <v>188</v>
      </c>
      <c r="H719" s="430"/>
    </row>
    <row r="720" ht="15.75" hidden="1" customHeight="1">
      <c r="B720" s="146">
        <v>981.0</v>
      </c>
      <c r="C720" s="146">
        <f t="shared" si="2"/>
        <v>10981</v>
      </c>
      <c r="D720" s="146" t="s">
        <v>7</v>
      </c>
      <c r="E720" s="271" t="s">
        <v>1628</v>
      </c>
      <c r="F720" s="383" t="s">
        <v>1629</v>
      </c>
      <c r="G720" s="430">
        <f>LEN('Expected Auditing Outcomes'!$F720)</f>
        <v>70</v>
      </c>
      <c r="H720" s="430"/>
    </row>
    <row r="721" ht="15.75" hidden="1" customHeight="1">
      <c r="B721" s="146">
        <v>982.0</v>
      </c>
      <c r="C721" s="146">
        <f t="shared" si="2"/>
        <v>10982</v>
      </c>
      <c r="D721" s="146" t="s">
        <v>7</v>
      </c>
      <c r="E721" s="449" t="s">
        <v>1630</v>
      </c>
      <c r="F721" s="503" t="s">
        <v>1631</v>
      </c>
      <c r="G721" s="430">
        <f>LEN('Expected Auditing Outcomes'!$F721)</f>
        <v>29</v>
      </c>
      <c r="H721" s="430"/>
    </row>
    <row r="722" ht="15.75" hidden="1" customHeight="1">
      <c r="B722" s="146">
        <v>983.0</v>
      </c>
      <c r="C722" s="146">
        <f t="shared" si="2"/>
        <v>10983</v>
      </c>
      <c r="D722" s="146" t="s">
        <v>34</v>
      </c>
      <c r="E722" s="360" t="s">
        <v>3202</v>
      </c>
      <c r="F722" s="383" t="s">
        <v>1633</v>
      </c>
      <c r="G722" s="430">
        <f>LEN('Expected Auditing Outcomes'!$F722)</f>
        <v>163</v>
      </c>
      <c r="H722" s="430"/>
    </row>
    <row r="723" ht="15.75" hidden="1" customHeight="1">
      <c r="B723" s="146">
        <v>984.0</v>
      </c>
      <c r="C723" s="146">
        <f t="shared" si="2"/>
        <v>10984</v>
      </c>
      <c r="D723" s="146" t="s">
        <v>34</v>
      </c>
      <c r="E723" s="360" t="s">
        <v>3204</v>
      </c>
      <c r="F723" s="383" t="s">
        <v>1635</v>
      </c>
      <c r="G723" s="430">
        <f>LEN('Expected Auditing Outcomes'!$F723)</f>
        <v>191</v>
      </c>
      <c r="H723" s="430"/>
    </row>
    <row r="724" ht="15.75" hidden="1" customHeight="1">
      <c r="B724" s="146">
        <v>985.0</v>
      </c>
      <c r="C724" s="146">
        <f t="shared" si="2"/>
        <v>10985</v>
      </c>
      <c r="D724" s="146" t="s">
        <v>20</v>
      </c>
      <c r="E724" s="360" t="s">
        <v>3771</v>
      </c>
      <c r="F724" s="383" t="s">
        <v>1637</v>
      </c>
      <c r="G724" s="430">
        <f>LEN('Expected Auditing Outcomes'!$F724)</f>
        <v>123</v>
      </c>
      <c r="H724" s="430"/>
    </row>
    <row r="725" ht="15.75" hidden="1" customHeight="1">
      <c r="B725" s="146">
        <v>986.0</v>
      </c>
      <c r="C725" s="146">
        <f t="shared" si="2"/>
        <v>10986</v>
      </c>
      <c r="D725" s="146" t="s">
        <v>7</v>
      </c>
      <c r="E725" s="360" t="s">
        <v>1638</v>
      </c>
      <c r="F725" s="383" t="s">
        <v>51</v>
      </c>
      <c r="G725" s="430">
        <f>LEN('Expected Auditing Outcomes'!$F725)</f>
        <v>57</v>
      </c>
      <c r="H725" s="430"/>
    </row>
    <row r="726" ht="15.75" hidden="1" customHeight="1">
      <c r="B726" s="146">
        <v>987.0</v>
      </c>
      <c r="C726" s="146">
        <f t="shared" si="2"/>
        <v>10987</v>
      </c>
      <c r="D726" s="146" t="s">
        <v>7</v>
      </c>
      <c r="E726" s="360" t="s">
        <v>1639</v>
      </c>
      <c r="F726" s="383" t="s">
        <v>1640</v>
      </c>
      <c r="G726" s="430">
        <f>LEN('Expected Auditing Outcomes'!$F726)</f>
        <v>54</v>
      </c>
      <c r="H726" s="430"/>
    </row>
    <row r="727" ht="15.75" hidden="1" customHeight="1">
      <c r="B727" s="146">
        <v>988.0</v>
      </c>
      <c r="C727" s="146">
        <f t="shared" si="2"/>
        <v>10988</v>
      </c>
      <c r="D727" s="146" t="s">
        <v>7</v>
      </c>
      <c r="E727" s="360" t="s">
        <v>1641</v>
      </c>
      <c r="F727" s="269" t="s">
        <v>1642</v>
      </c>
      <c r="G727" s="430">
        <f>LEN('Expected Auditing Outcomes'!$F727)</f>
        <v>75</v>
      </c>
      <c r="H727" s="430"/>
    </row>
    <row r="728" ht="15.75" hidden="1" customHeight="1">
      <c r="B728" s="146">
        <v>989.0</v>
      </c>
      <c r="C728" s="146">
        <f t="shared" si="2"/>
        <v>10989</v>
      </c>
      <c r="D728" s="146" t="s">
        <v>7</v>
      </c>
      <c r="E728" s="360" t="s">
        <v>1643</v>
      </c>
      <c r="F728" s="269" t="s">
        <v>1644</v>
      </c>
      <c r="G728" s="430">
        <f>LEN('Expected Auditing Outcomes'!$F728)</f>
        <v>79</v>
      </c>
      <c r="H728" s="430"/>
    </row>
    <row r="729" ht="15.75" hidden="1" customHeight="1">
      <c r="B729" s="146">
        <v>990.0</v>
      </c>
      <c r="C729" s="146">
        <f t="shared" si="2"/>
        <v>10990</v>
      </c>
      <c r="D729" s="146" t="s">
        <v>7</v>
      </c>
      <c r="E729" s="269" t="s">
        <v>1645</v>
      </c>
      <c r="F729" s="383" t="s">
        <v>1646</v>
      </c>
      <c r="G729" s="430">
        <f>LEN('Expected Auditing Outcomes'!$F729)</f>
        <v>58</v>
      </c>
      <c r="H729" s="430"/>
    </row>
    <row r="730" ht="15.75" hidden="1" customHeight="1">
      <c r="B730" s="146">
        <v>991.0</v>
      </c>
      <c r="C730" s="146">
        <f t="shared" si="2"/>
        <v>10991</v>
      </c>
      <c r="D730" s="146" t="s">
        <v>34</v>
      </c>
      <c r="E730" s="269" t="s">
        <v>1647</v>
      </c>
      <c r="F730" s="383" t="s">
        <v>1648</v>
      </c>
      <c r="G730" s="430">
        <f>LEN('Expected Auditing Outcomes'!$F730)</f>
        <v>159</v>
      </c>
      <c r="H730" s="430"/>
    </row>
    <row r="731" ht="15.75" hidden="1" customHeight="1">
      <c r="B731" s="146">
        <v>992.0</v>
      </c>
      <c r="C731" s="146">
        <f t="shared" si="2"/>
        <v>10992</v>
      </c>
      <c r="D731" s="146" t="s">
        <v>34</v>
      </c>
      <c r="E731" s="360" t="s">
        <v>1649</v>
      </c>
      <c r="F731" s="383" t="s">
        <v>1650</v>
      </c>
      <c r="G731" s="430">
        <f>LEN('Expected Auditing Outcomes'!$F731)</f>
        <v>165</v>
      </c>
      <c r="H731" s="430"/>
    </row>
    <row r="732" ht="15.75" hidden="1" customHeight="1">
      <c r="B732" s="146">
        <v>993.0</v>
      </c>
      <c r="C732" s="146">
        <f t="shared" si="2"/>
        <v>10993</v>
      </c>
      <c r="D732" s="146" t="s">
        <v>34</v>
      </c>
      <c r="E732" s="360" t="s">
        <v>1651</v>
      </c>
      <c r="F732" s="383" t="s">
        <v>1652</v>
      </c>
      <c r="G732" s="430">
        <f>LEN('Expected Auditing Outcomes'!$F732)</f>
        <v>191</v>
      </c>
      <c r="H732" s="430"/>
    </row>
    <row r="733" ht="15.75" hidden="1" customHeight="1">
      <c r="B733" s="146">
        <v>994.0</v>
      </c>
      <c r="C733" s="146">
        <f t="shared" si="2"/>
        <v>10994</v>
      </c>
      <c r="D733" s="146" t="s">
        <v>7</v>
      </c>
      <c r="E733" s="360" t="s">
        <v>1653</v>
      </c>
      <c r="F733" s="383" t="s">
        <v>1654</v>
      </c>
      <c r="G733" s="430">
        <f>LEN('Expected Auditing Outcomes'!$F733)</f>
        <v>94</v>
      </c>
      <c r="H733" s="430"/>
    </row>
    <row r="734" ht="15.75" hidden="1" customHeight="1">
      <c r="B734" s="146">
        <v>995.0</v>
      </c>
      <c r="C734" s="146">
        <f t="shared" si="2"/>
        <v>10995</v>
      </c>
      <c r="D734" s="146" t="s">
        <v>34</v>
      </c>
      <c r="E734" s="360" t="s">
        <v>1655</v>
      </c>
      <c r="F734" s="383" t="s">
        <v>1656</v>
      </c>
      <c r="G734" s="430">
        <f>LEN('Expected Auditing Outcomes'!$F734)</f>
        <v>196</v>
      </c>
      <c r="H734" s="430"/>
    </row>
    <row r="735" ht="15.75" hidden="1" customHeight="1">
      <c r="B735" s="146">
        <v>996.0</v>
      </c>
      <c r="C735" s="146">
        <f t="shared" si="2"/>
        <v>10996</v>
      </c>
      <c r="D735" s="146" t="s">
        <v>20</v>
      </c>
      <c r="E735" s="305" t="s">
        <v>1657</v>
      </c>
      <c r="F735" s="383" t="s">
        <v>1658</v>
      </c>
      <c r="G735" s="430">
        <f>LEN('Expected Auditing Outcomes'!$F735)</f>
        <v>156</v>
      </c>
      <c r="H735" s="430"/>
    </row>
    <row r="736" ht="15.75" hidden="1" customHeight="1">
      <c r="B736" s="146">
        <v>997.0</v>
      </c>
      <c r="C736" s="146">
        <f t="shared" si="2"/>
        <v>10997</v>
      </c>
      <c r="D736" s="146" t="s">
        <v>7</v>
      </c>
      <c r="E736" s="305" t="s">
        <v>1105</v>
      </c>
      <c r="F736" s="383" t="s">
        <v>1660</v>
      </c>
      <c r="G736" s="430">
        <f>LEN('Expected Auditing Outcomes'!$F736)</f>
        <v>64</v>
      </c>
      <c r="H736" s="430"/>
    </row>
    <row r="737" ht="15.75" hidden="1" customHeight="1">
      <c r="B737" s="146">
        <v>998.0</v>
      </c>
      <c r="C737" s="146">
        <f t="shared" si="2"/>
        <v>10998</v>
      </c>
      <c r="D737" s="146" t="s">
        <v>34</v>
      </c>
      <c r="E737" s="305" t="s">
        <v>1661</v>
      </c>
      <c r="F737" s="383" t="s">
        <v>1662</v>
      </c>
      <c r="G737" s="430">
        <f>LEN('Expected Auditing Outcomes'!$F737)</f>
        <v>188</v>
      </c>
      <c r="H737" s="430"/>
    </row>
    <row r="738" ht="15.75" hidden="1" customHeight="1">
      <c r="B738" s="146">
        <v>999.0</v>
      </c>
      <c r="C738" s="146">
        <f t="shared" si="2"/>
        <v>10999</v>
      </c>
      <c r="D738" s="146" t="s">
        <v>7</v>
      </c>
      <c r="E738" s="305" t="s">
        <v>1663</v>
      </c>
      <c r="F738" s="383" t="s">
        <v>1664</v>
      </c>
      <c r="G738" s="430">
        <f>LEN('Expected Auditing Outcomes'!$F738)</f>
        <v>70</v>
      </c>
      <c r="H738" s="430"/>
    </row>
    <row r="739" ht="15.75" hidden="1" customHeight="1">
      <c r="B739" s="146">
        <v>1000.0</v>
      </c>
      <c r="C739" s="146">
        <f t="shared" si="2"/>
        <v>11000</v>
      </c>
      <c r="D739" s="146" t="s">
        <v>7</v>
      </c>
      <c r="E739" s="305" t="s">
        <v>1665</v>
      </c>
      <c r="F739" s="504" t="s">
        <v>1666</v>
      </c>
      <c r="G739" s="430">
        <f>LEN('Expected Auditing Outcomes'!$F739)</f>
        <v>61</v>
      </c>
      <c r="H739" s="430"/>
    </row>
    <row r="740" ht="15.75" hidden="1" customHeight="1">
      <c r="B740" s="146">
        <v>1001.0</v>
      </c>
      <c r="C740" s="146">
        <f t="shared" si="2"/>
        <v>11001</v>
      </c>
      <c r="D740" s="146" t="s">
        <v>34</v>
      </c>
      <c r="E740" s="305" t="s">
        <v>3224</v>
      </c>
      <c r="F740" s="383" t="s">
        <v>1668</v>
      </c>
      <c r="G740" s="430">
        <f>LEN('Expected Auditing Outcomes'!$F740)</f>
        <v>180</v>
      </c>
      <c r="H740" s="430"/>
    </row>
    <row r="741" ht="15.75" hidden="1" customHeight="1">
      <c r="B741" s="146">
        <v>1002.0</v>
      </c>
      <c r="C741" s="146">
        <f t="shared" si="2"/>
        <v>11002</v>
      </c>
      <c r="D741" s="146" t="s">
        <v>20</v>
      </c>
      <c r="E741" s="269" t="s">
        <v>3225</v>
      </c>
      <c r="F741" s="383" t="s">
        <v>1670</v>
      </c>
      <c r="G741" s="430">
        <f>LEN('Expected Auditing Outcomes'!$F741)</f>
        <v>127</v>
      </c>
      <c r="H741" s="430"/>
    </row>
    <row r="742" ht="15.75" hidden="1" customHeight="1">
      <c r="B742" s="146">
        <v>1003.0</v>
      </c>
      <c r="C742" s="146">
        <f t="shared" si="2"/>
        <v>11003</v>
      </c>
      <c r="D742" s="146" t="s">
        <v>20</v>
      </c>
      <c r="E742" s="305" t="s">
        <v>1671</v>
      </c>
      <c r="F742" s="305" t="s">
        <v>1672</v>
      </c>
      <c r="G742" s="430">
        <f>LEN('Expected Auditing Outcomes'!$F742)</f>
        <v>125</v>
      </c>
      <c r="H742" s="430"/>
    </row>
    <row r="743" ht="15.75" hidden="1" customHeight="1">
      <c r="B743" s="146">
        <v>1004.0</v>
      </c>
      <c r="C743" s="146">
        <f t="shared" si="2"/>
        <v>11004</v>
      </c>
      <c r="D743" s="146" t="s">
        <v>7</v>
      </c>
      <c r="E743" s="269" t="s">
        <v>3772</v>
      </c>
      <c r="F743" s="383" t="s">
        <v>1674</v>
      </c>
      <c r="G743" s="430">
        <f>LEN('Expected Auditing Outcomes'!$F743)</f>
        <v>71</v>
      </c>
      <c r="H743" s="430"/>
    </row>
    <row r="744" ht="15.75" hidden="1" customHeight="1">
      <c r="B744" s="146">
        <v>1005.0</v>
      </c>
      <c r="C744" s="146">
        <f t="shared" si="2"/>
        <v>11005</v>
      </c>
      <c r="D744" s="146" t="s">
        <v>34</v>
      </c>
      <c r="E744" s="269" t="s">
        <v>3773</v>
      </c>
      <c r="F744" s="383" t="s">
        <v>1676</v>
      </c>
      <c r="G744" s="430">
        <f>LEN('Expected Auditing Outcomes'!$F744)</f>
        <v>160</v>
      </c>
      <c r="H744" s="430"/>
    </row>
    <row r="745" ht="15.75" hidden="1" customHeight="1">
      <c r="B745" s="146">
        <v>1006.0</v>
      </c>
      <c r="C745" s="146">
        <f t="shared" si="2"/>
        <v>11006</v>
      </c>
      <c r="D745" s="146" t="s">
        <v>7</v>
      </c>
      <c r="E745" s="305" t="s">
        <v>3774</v>
      </c>
      <c r="F745" s="383" t="s">
        <v>1678</v>
      </c>
      <c r="G745" s="430">
        <f>LEN('Expected Auditing Outcomes'!$F745)</f>
        <v>83</v>
      </c>
      <c r="H745" s="430"/>
    </row>
    <row r="746" ht="15.75" hidden="1" customHeight="1">
      <c r="B746" s="146">
        <v>1007.0</v>
      </c>
      <c r="C746" s="146">
        <f t="shared" si="2"/>
        <v>11007</v>
      </c>
      <c r="D746" s="146" t="s">
        <v>34</v>
      </c>
      <c r="E746" s="269" t="s">
        <v>3775</v>
      </c>
      <c r="F746" s="383" t="s">
        <v>1680</v>
      </c>
      <c r="G746" s="430">
        <f>LEN('Expected Auditing Outcomes'!$F746)</f>
        <v>173</v>
      </c>
      <c r="H746" s="430"/>
    </row>
    <row r="747" ht="15.75" hidden="1" customHeight="1">
      <c r="B747" s="146">
        <v>1008.0</v>
      </c>
      <c r="C747" s="146">
        <f t="shared" si="2"/>
        <v>11008</v>
      </c>
      <c r="D747" s="146" t="s">
        <v>7</v>
      </c>
      <c r="E747" s="269" t="s">
        <v>3232</v>
      </c>
      <c r="F747" s="383" t="s">
        <v>1682</v>
      </c>
      <c r="G747" s="430">
        <f>LEN('Expected Auditing Outcomes'!$F747)</f>
        <v>78</v>
      </c>
      <c r="H747" s="430"/>
    </row>
    <row r="748" ht="15.75" hidden="1" customHeight="1">
      <c r="B748" s="146">
        <v>1009.0</v>
      </c>
      <c r="C748" s="146">
        <f t="shared" si="2"/>
        <v>11009</v>
      </c>
      <c r="D748" s="146" t="s">
        <v>7</v>
      </c>
      <c r="E748" s="305" t="s">
        <v>1683</v>
      </c>
      <c r="F748" s="383" t="s">
        <v>1684</v>
      </c>
      <c r="G748" s="430">
        <f>LEN('Expected Auditing Outcomes'!$F748)</f>
        <v>91</v>
      </c>
      <c r="H748" s="431">
        <v>45943.0</v>
      </c>
    </row>
    <row r="749" ht="15.75" hidden="1" customHeight="1">
      <c r="B749" s="146">
        <v>1010.0</v>
      </c>
      <c r="C749" s="146">
        <f t="shared" si="2"/>
        <v>11010</v>
      </c>
      <c r="D749" s="146" t="s">
        <v>7</v>
      </c>
      <c r="E749" s="269" t="s">
        <v>1685</v>
      </c>
      <c r="F749" s="383" t="s">
        <v>1686</v>
      </c>
      <c r="G749" s="430">
        <f>LEN('Expected Auditing Outcomes'!$F749)</f>
        <v>72</v>
      </c>
      <c r="H749" s="430"/>
    </row>
    <row r="750" ht="15.75" hidden="1" customHeight="1">
      <c r="B750" s="146">
        <v>1011.0</v>
      </c>
      <c r="C750" s="146">
        <f t="shared" si="2"/>
        <v>11011</v>
      </c>
      <c r="D750" s="146" t="s">
        <v>34</v>
      </c>
      <c r="E750" s="269" t="s">
        <v>3776</v>
      </c>
      <c r="F750" s="383" t="s">
        <v>1688</v>
      </c>
      <c r="G750" s="430">
        <f>LEN('Expected Auditing Outcomes'!$F750)</f>
        <v>156</v>
      </c>
      <c r="H750" s="430"/>
    </row>
    <row r="751" ht="15.75" hidden="1" customHeight="1">
      <c r="B751" s="146">
        <v>1012.0</v>
      </c>
      <c r="C751" s="146">
        <f t="shared" si="2"/>
        <v>11012</v>
      </c>
      <c r="D751" s="146" t="s">
        <v>34</v>
      </c>
      <c r="E751" s="269" t="s">
        <v>3237</v>
      </c>
      <c r="F751" s="383" t="s">
        <v>1690</v>
      </c>
      <c r="G751" s="430">
        <f>LEN('Expected Auditing Outcomes'!$F751)</f>
        <v>194</v>
      </c>
      <c r="H751" s="430"/>
    </row>
    <row r="752" ht="15.75" hidden="1" customHeight="1">
      <c r="B752" s="146">
        <v>1013.0</v>
      </c>
      <c r="C752" s="146">
        <f t="shared" si="2"/>
        <v>11013</v>
      </c>
      <c r="D752" s="146" t="s">
        <v>20</v>
      </c>
      <c r="E752" s="269" t="s">
        <v>1691</v>
      </c>
      <c r="F752" s="383" t="s">
        <v>1692</v>
      </c>
      <c r="G752" s="430">
        <f>LEN('Expected Auditing Outcomes'!$F752)</f>
        <v>169</v>
      </c>
      <c r="H752" s="430"/>
    </row>
    <row r="753" ht="15.75" hidden="1" customHeight="1">
      <c r="B753" s="146">
        <v>1014.0</v>
      </c>
      <c r="C753" s="146">
        <f t="shared" si="2"/>
        <v>11014</v>
      </c>
      <c r="D753" s="146" t="s">
        <v>20</v>
      </c>
      <c r="E753" s="269" t="s">
        <v>1693</v>
      </c>
      <c r="F753" s="383" t="s">
        <v>1694</v>
      </c>
      <c r="G753" s="430">
        <f>LEN('Expected Auditing Outcomes'!$F753)</f>
        <v>145</v>
      </c>
      <c r="H753" s="430"/>
    </row>
    <row r="754" ht="15.75" hidden="1" customHeight="1">
      <c r="B754" s="146">
        <v>1015.0</v>
      </c>
      <c r="C754" s="146">
        <f t="shared" si="2"/>
        <v>11015</v>
      </c>
      <c r="D754" s="146" t="s">
        <v>34</v>
      </c>
      <c r="E754" s="269" t="s">
        <v>1695</v>
      </c>
      <c r="F754" s="383" t="s">
        <v>1662</v>
      </c>
      <c r="G754" s="430">
        <f>LEN('Expected Auditing Outcomes'!$F754)</f>
        <v>188</v>
      </c>
      <c r="H754" s="430"/>
    </row>
    <row r="755" ht="15.75" hidden="1" customHeight="1">
      <c r="B755" s="122">
        <v>1016.0</v>
      </c>
      <c r="C755" s="122">
        <f t="shared" si="2"/>
        <v>11016</v>
      </c>
      <c r="D755" s="146" t="s">
        <v>34</v>
      </c>
      <c r="E755" s="269" t="s">
        <v>1696</v>
      </c>
      <c r="F755" s="269" t="s">
        <v>1697</v>
      </c>
      <c r="G755" s="430">
        <f>LEN('Expected Auditing Outcomes'!$F755)</f>
        <v>191</v>
      </c>
      <c r="H755" s="430"/>
    </row>
    <row r="756" ht="15.75" hidden="1" customHeight="1">
      <c r="B756" s="146">
        <v>1017.0</v>
      </c>
      <c r="C756" s="146">
        <f t="shared" si="2"/>
        <v>11017</v>
      </c>
      <c r="D756" s="146" t="s">
        <v>34</v>
      </c>
      <c r="E756" s="269" t="s">
        <v>1698</v>
      </c>
      <c r="F756" s="383" t="s">
        <v>1699</v>
      </c>
      <c r="G756" s="430">
        <f>LEN('Expected Auditing Outcomes'!$F756)</f>
        <v>195</v>
      </c>
      <c r="H756" s="430"/>
    </row>
    <row r="757" ht="15.75" hidden="1" customHeight="1">
      <c r="B757" s="146">
        <v>1018.0</v>
      </c>
      <c r="C757" s="146">
        <f t="shared" si="2"/>
        <v>11018</v>
      </c>
      <c r="D757" s="146" t="s">
        <v>27</v>
      </c>
      <c r="E757" s="269" t="s">
        <v>1700</v>
      </c>
      <c r="F757" s="383" t="s">
        <v>1701</v>
      </c>
      <c r="G757" s="430">
        <f>LEN('Expected Auditing Outcomes'!$F757)</f>
        <v>160</v>
      </c>
      <c r="H757" s="430"/>
    </row>
    <row r="758" ht="15.75" hidden="1" customHeight="1">
      <c r="B758" s="146">
        <v>1019.0</v>
      </c>
      <c r="C758" s="146">
        <f t="shared" si="2"/>
        <v>11019</v>
      </c>
      <c r="D758" s="146" t="s">
        <v>7</v>
      </c>
      <c r="E758" s="269" t="s">
        <v>1702</v>
      </c>
      <c r="F758" s="383" t="s">
        <v>1703</v>
      </c>
      <c r="G758" s="430">
        <f>LEN('Expected Auditing Outcomes'!$F758)</f>
        <v>72</v>
      </c>
      <c r="H758" s="430"/>
    </row>
    <row r="759" ht="15.75" hidden="1" customHeight="1">
      <c r="B759" s="146">
        <v>1020.0</v>
      </c>
      <c r="C759" s="146">
        <f t="shared" si="2"/>
        <v>11020</v>
      </c>
      <c r="D759" s="146" t="s">
        <v>7</v>
      </c>
      <c r="E759" s="305" t="s">
        <v>1704</v>
      </c>
      <c r="F759" s="383" t="s">
        <v>1705</v>
      </c>
      <c r="G759" s="430">
        <f>LEN('Expected Auditing Outcomes'!$F759)</f>
        <v>63</v>
      </c>
      <c r="H759" s="430"/>
    </row>
    <row r="760" ht="15.75" hidden="1" customHeight="1">
      <c r="B760" s="146">
        <v>1021.0</v>
      </c>
      <c r="C760" s="146">
        <f t="shared" si="2"/>
        <v>11021</v>
      </c>
      <c r="D760" s="146" t="s">
        <v>34</v>
      </c>
      <c r="E760" s="269" t="s">
        <v>1706</v>
      </c>
      <c r="F760" s="383" t="s">
        <v>1707</v>
      </c>
      <c r="G760" s="430">
        <f>LEN('Expected Auditing Outcomes'!$F760)</f>
        <v>190</v>
      </c>
      <c r="H760" s="430"/>
    </row>
    <row r="761" ht="15.75" hidden="1" customHeight="1">
      <c r="B761" s="146">
        <v>1022.0</v>
      </c>
      <c r="C761" s="146">
        <f t="shared" si="2"/>
        <v>11022</v>
      </c>
      <c r="D761" s="146" t="s">
        <v>7</v>
      </c>
      <c r="E761" s="269" t="s">
        <v>1708</v>
      </c>
      <c r="F761" s="383" t="s">
        <v>1709</v>
      </c>
      <c r="G761" s="430">
        <f>LEN('Expected Auditing Outcomes'!$F761)</f>
        <v>82</v>
      </c>
      <c r="H761" s="430"/>
    </row>
    <row r="762" ht="15.75" hidden="1" customHeight="1">
      <c r="B762" s="146">
        <v>1023.0</v>
      </c>
      <c r="C762" s="146">
        <f t="shared" si="2"/>
        <v>11023</v>
      </c>
      <c r="D762" s="146" t="s">
        <v>7</v>
      </c>
      <c r="E762" s="269" t="s">
        <v>1710</v>
      </c>
      <c r="F762" s="383" t="s">
        <v>1711</v>
      </c>
      <c r="G762" s="430">
        <f>LEN('Expected Auditing Outcomes'!$F762)</f>
        <v>84</v>
      </c>
      <c r="H762" s="430"/>
    </row>
    <row r="763" ht="15.75" hidden="1" customHeight="1">
      <c r="B763" s="146">
        <v>1024.0</v>
      </c>
      <c r="C763" s="146">
        <f t="shared" si="2"/>
        <v>11024</v>
      </c>
      <c r="D763" s="146" t="s">
        <v>7</v>
      </c>
      <c r="E763" s="269" t="s">
        <v>1712</v>
      </c>
      <c r="F763" s="383" t="s">
        <v>1713</v>
      </c>
      <c r="G763" s="430">
        <f>LEN('Expected Auditing Outcomes'!$F763)</f>
        <v>71</v>
      </c>
      <c r="H763" s="430"/>
    </row>
    <row r="764" ht="15.75" hidden="1" customHeight="1">
      <c r="B764" s="146">
        <v>1025.0</v>
      </c>
      <c r="C764" s="146">
        <f t="shared" si="2"/>
        <v>11025</v>
      </c>
      <c r="D764" s="146" t="s">
        <v>20</v>
      </c>
      <c r="E764" s="269" t="s">
        <v>1714</v>
      </c>
      <c r="F764" s="383" t="s">
        <v>1715</v>
      </c>
      <c r="G764" s="430">
        <f>LEN('Expected Auditing Outcomes'!$F764)</f>
        <v>140</v>
      </c>
      <c r="H764" s="430"/>
    </row>
    <row r="765" ht="15.75" hidden="1" customHeight="1">
      <c r="B765" s="146">
        <v>1026.0</v>
      </c>
      <c r="C765" s="146">
        <f t="shared" si="2"/>
        <v>11026</v>
      </c>
      <c r="D765" s="146" t="s">
        <v>7</v>
      </c>
      <c r="E765" s="269" t="s">
        <v>3777</v>
      </c>
      <c r="F765" s="383" t="s">
        <v>1717</v>
      </c>
      <c r="G765" s="430">
        <f>LEN('Expected Auditing Outcomes'!$F765)</f>
        <v>66</v>
      </c>
      <c r="H765" s="430"/>
    </row>
    <row r="766" ht="15.75" hidden="1" customHeight="1">
      <c r="B766" s="146">
        <v>1027.0</v>
      </c>
      <c r="C766" s="146">
        <f t="shared" si="2"/>
        <v>11027</v>
      </c>
      <c r="D766" s="146" t="s">
        <v>7</v>
      </c>
      <c r="E766" s="305" t="s">
        <v>1718</v>
      </c>
      <c r="F766" s="383" t="s">
        <v>1719</v>
      </c>
      <c r="G766" s="430">
        <f>LEN('Expected Auditing Outcomes'!$F766)</f>
        <v>39</v>
      </c>
      <c r="H766" s="430"/>
    </row>
    <row r="767" ht="15.75" hidden="1" customHeight="1">
      <c r="B767" s="146">
        <v>1028.0</v>
      </c>
      <c r="C767" s="146">
        <f t="shared" si="2"/>
        <v>11028</v>
      </c>
      <c r="D767" s="146" t="s">
        <v>27</v>
      </c>
      <c r="E767" s="269" t="s">
        <v>1720</v>
      </c>
      <c r="F767" s="378" t="s">
        <v>1721</v>
      </c>
      <c r="G767" s="430">
        <f>LEN('Expected Auditing Outcomes'!$F767)</f>
        <v>148</v>
      </c>
      <c r="H767" s="430"/>
    </row>
    <row r="768" ht="15.75" hidden="1" customHeight="1">
      <c r="B768" s="146">
        <v>1029.0</v>
      </c>
      <c r="C768" s="146">
        <f t="shared" si="2"/>
        <v>11029</v>
      </c>
      <c r="D768" s="146" t="s">
        <v>7</v>
      </c>
      <c r="E768" s="269" t="s">
        <v>3778</v>
      </c>
      <c r="F768" s="378" t="s">
        <v>1723</v>
      </c>
      <c r="G768" s="430">
        <f>LEN('Expected Auditing Outcomes'!$F768)</f>
        <v>44</v>
      </c>
      <c r="H768" s="430"/>
    </row>
    <row r="769" ht="15.75" hidden="1" customHeight="1">
      <c r="B769" s="146">
        <v>1030.0</v>
      </c>
      <c r="C769" s="146">
        <f t="shared" si="2"/>
        <v>11030</v>
      </c>
      <c r="D769" s="146" t="s">
        <v>27</v>
      </c>
      <c r="E769" s="269" t="s">
        <v>3779</v>
      </c>
      <c r="F769" s="378" t="s">
        <v>1725</v>
      </c>
      <c r="G769" s="430">
        <f>LEN('Expected Auditing Outcomes'!$F769)</f>
        <v>170</v>
      </c>
      <c r="H769" s="430"/>
    </row>
    <row r="770" ht="15.75" hidden="1" customHeight="1">
      <c r="B770" s="146">
        <v>1031.0</v>
      </c>
      <c r="C770" s="146">
        <f t="shared" si="2"/>
        <v>11031</v>
      </c>
      <c r="D770" s="146" t="s">
        <v>7</v>
      </c>
      <c r="E770" s="269" t="s">
        <v>1726</v>
      </c>
      <c r="F770" s="383" t="s">
        <v>1727</v>
      </c>
      <c r="G770" s="430">
        <f>LEN('Expected Auditing Outcomes'!$F770)</f>
        <v>44</v>
      </c>
      <c r="H770" s="430"/>
    </row>
    <row r="771" ht="15.75" hidden="1" customHeight="1">
      <c r="B771" s="146">
        <v>1032.0</v>
      </c>
      <c r="C771" s="146">
        <f t="shared" si="2"/>
        <v>11032</v>
      </c>
      <c r="D771" s="146" t="s">
        <v>34</v>
      </c>
      <c r="E771" s="269" t="s">
        <v>3780</v>
      </c>
      <c r="F771" s="383" t="s">
        <v>1729</v>
      </c>
      <c r="G771" s="430">
        <f>LEN('Expected Auditing Outcomes'!$F771)</f>
        <v>191</v>
      </c>
      <c r="H771" s="430"/>
    </row>
    <row r="772" ht="15.75" hidden="1" customHeight="1">
      <c r="B772" s="146">
        <v>1033.0</v>
      </c>
      <c r="C772" s="146">
        <f t="shared" si="2"/>
        <v>11033</v>
      </c>
      <c r="D772" s="146" t="s">
        <v>7</v>
      </c>
      <c r="E772" s="269" t="s">
        <v>1730</v>
      </c>
      <c r="F772" s="383" t="s">
        <v>1731</v>
      </c>
      <c r="G772" s="430">
        <f>LEN('Expected Auditing Outcomes'!$F772)</f>
        <v>89</v>
      </c>
      <c r="H772" s="430"/>
    </row>
    <row r="773" ht="15.75" hidden="1" customHeight="1">
      <c r="B773" s="146">
        <v>1034.0</v>
      </c>
      <c r="C773" s="146">
        <f t="shared" si="2"/>
        <v>11034</v>
      </c>
      <c r="D773" s="146" t="s">
        <v>27</v>
      </c>
      <c r="E773" s="383" t="s">
        <v>1732</v>
      </c>
      <c r="F773" s="378" t="s">
        <v>1733</v>
      </c>
      <c r="G773" s="430">
        <f>LEN('Expected Auditing Outcomes'!$F773)</f>
        <v>118</v>
      </c>
      <c r="H773" s="430"/>
    </row>
    <row r="774" ht="15.75" hidden="1" customHeight="1">
      <c r="B774" s="146">
        <v>1035.0</v>
      </c>
      <c r="C774" s="146">
        <f t="shared" si="2"/>
        <v>11035</v>
      </c>
      <c r="D774" s="146" t="s">
        <v>34</v>
      </c>
      <c r="E774" s="269" t="s">
        <v>1734</v>
      </c>
      <c r="F774" s="383" t="s">
        <v>1735</v>
      </c>
      <c r="G774" s="430">
        <f>LEN('Expected Auditing Outcomes'!$F774)</f>
        <v>176</v>
      </c>
      <c r="H774" s="430"/>
    </row>
    <row r="775" ht="15.75" hidden="1" customHeight="1">
      <c r="B775" s="146">
        <v>1036.0</v>
      </c>
      <c r="C775" s="146">
        <f t="shared" si="2"/>
        <v>11036</v>
      </c>
      <c r="D775" s="146" t="s">
        <v>34</v>
      </c>
      <c r="E775" s="269" t="s">
        <v>1736</v>
      </c>
      <c r="F775" s="383" t="s">
        <v>1737</v>
      </c>
      <c r="G775" s="430">
        <f>LEN('Expected Auditing Outcomes'!$F775)</f>
        <v>190</v>
      </c>
      <c r="H775" s="430"/>
    </row>
    <row r="776" ht="15.75" hidden="1" customHeight="1">
      <c r="B776" s="146">
        <v>1037.0</v>
      </c>
      <c r="C776" s="146">
        <f t="shared" si="2"/>
        <v>11037</v>
      </c>
      <c r="D776" s="146" t="s">
        <v>7</v>
      </c>
      <c r="E776" s="269" t="s">
        <v>1738</v>
      </c>
      <c r="F776" s="383" t="s">
        <v>1739</v>
      </c>
      <c r="G776" s="430">
        <f>LEN('Expected Auditing Outcomes'!$F776)</f>
        <v>73</v>
      </c>
      <c r="H776" s="430"/>
    </row>
    <row r="777" ht="15.75" hidden="1" customHeight="1">
      <c r="B777" s="146">
        <v>1038.0</v>
      </c>
      <c r="C777" s="146">
        <f t="shared" si="2"/>
        <v>11038</v>
      </c>
      <c r="D777" s="146" t="s">
        <v>7</v>
      </c>
      <c r="E777" s="269" t="s">
        <v>1740</v>
      </c>
      <c r="F777" s="383" t="s">
        <v>1741</v>
      </c>
      <c r="G777" s="430">
        <f>LEN('Expected Auditing Outcomes'!$F777)</f>
        <v>67</v>
      </c>
      <c r="H777" s="430"/>
    </row>
    <row r="778" ht="15.75" hidden="1" customHeight="1">
      <c r="B778" s="146">
        <v>1039.0</v>
      </c>
      <c r="C778" s="146">
        <f t="shared" si="2"/>
        <v>11039</v>
      </c>
      <c r="D778" s="146" t="s">
        <v>7</v>
      </c>
      <c r="E778" s="340" t="s">
        <v>1743</v>
      </c>
      <c r="F778" s="383" t="s">
        <v>1744</v>
      </c>
      <c r="G778" s="430">
        <f>LEN('Expected Auditing Outcomes'!$F778)</f>
        <v>31</v>
      </c>
      <c r="H778" s="430"/>
    </row>
    <row r="779" ht="15.75" hidden="1" customHeight="1">
      <c r="B779" s="146">
        <v>1040.0</v>
      </c>
      <c r="C779" s="146">
        <f t="shared" si="2"/>
        <v>11040</v>
      </c>
      <c r="D779" s="146" t="s">
        <v>34</v>
      </c>
      <c r="E779" s="269" t="s">
        <v>1745</v>
      </c>
      <c r="F779" s="383" t="s">
        <v>1746</v>
      </c>
      <c r="G779" s="430">
        <f>LEN('Expected Auditing Outcomes'!$F779)</f>
        <v>186</v>
      </c>
      <c r="H779" s="430"/>
    </row>
    <row r="780" ht="15.75" hidden="1" customHeight="1">
      <c r="B780" s="146">
        <v>1041.0</v>
      </c>
      <c r="C780" s="146">
        <f t="shared" si="2"/>
        <v>11041</v>
      </c>
      <c r="D780" s="146" t="s">
        <v>34</v>
      </c>
      <c r="E780" s="269" t="s">
        <v>1747</v>
      </c>
      <c r="F780" s="383" t="s">
        <v>1748</v>
      </c>
      <c r="G780" s="430">
        <f>LEN('Expected Auditing Outcomes'!$F780)</f>
        <v>143</v>
      </c>
      <c r="H780" s="430"/>
    </row>
    <row r="781" ht="15.75" hidden="1" customHeight="1">
      <c r="B781" s="146">
        <v>1042.0</v>
      </c>
      <c r="C781" s="146">
        <f t="shared" si="2"/>
        <v>11042</v>
      </c>
      <c r="D781" s="146" t="s">
        <v>7</v>
      </c>
      <c r="E781" s="232" t="s">
        <v>1749</v>
      </c>
      <c r="F781" s="383" t="s">
        <v>1750</v>
      </c>
      <c r="G781" s="430">
        <f>LEN('Expected Auditing Outcomes'!$F781)</f>
        <v>60</v>
      </c>
      <c r="H781" s="430"/>
    </row>
    <row r="782" ht="15.75" hidden="1" customHeight="1">
      <c r="B782" s="146">
        <v>1043.0</v>
      </c>
      <c r="C782" s="146">
        <f t="shared" si="2"/>
        <v>11043</v>
      </c>
      <c r="D782" s="146" t="s">
        <v>34</v>
      </c>
      <c r="E782" s="232" t="s">
        <v>1751</v>
      </c>
      <c r="F782" s="383" t="s">
        <v>3781</v>
      </c>
      <c r="G782" s="430">
        <f>LEN('Expected Auditing Outcomes'!$F782)</f>
        <v>185</v>
      </c>
      <c r="H782" s="430"/>
    </row>
    <row r="783" ht="15.75" hidden="1" customHeight="1">
      <c r="B783" s="146">
        <v>1044.0</v>
      </c>
      <c r="C783" s="146">
        <f t="shared" si="2"/>
        <v>11044</v>
      </c>
      <c r="D783" s="146" t="s">
        <v>7</v>
      </c>
      <c r="E783" s="505" t="s">
        <v>1753</v>
      </c>
      <c r="F783" s="383" t="s">
        <v>1754</v>
      </c>
      <c r="G783" s="430">
        <f>LEN('Expected Auditing Outcomes'!$F783)</f>
        <v>109</v>
      </c>
      <c r="H783" s="430"/>
    </row>
    <row r="784" ht="15.75" hidden="1" customHeight="1">
      <c r="B784" s="146">
        <v>1045.0</v>
      </c>
      <c r="C784" s="146">
        <f t="shared" si="2"/>
        <v>11045</v>
      </c>
      <c r="D784" s="146" t="s">
        <v>34</v>
      </c>
      <c r="E784" s="269" t="s">
        <v>3782</v>
      </c>
      <c r="F784" s="383" t="s">
        <v>1756</v>
      </c>
      <c r="G784" s="430">
        <f>LEN('Expected Auditing Outcomes'!$F784)</f>
        <v>144</v>
      </c>
      <c r="H784" s="430"/>
    </row>
    <row r="785" ht="15.75" hidden="1" customHeight="1">
      <c r="B785" s="146">
        <v>1046.0</v>
      </c>
      <c r="C785" s="146">
        <f t="shared" si="2"/>
        <v>11046</v>
      </c>
      <c r="D785" s="146" t="s">
        <v>7</v>
      </c>
      <c r="E785" s="506" t="s">
        <v>1757</v>
      </c>
      <c r="F785" s="383" t="s">
        <v>1758</v>
      </c>
      <c r="G785" s="430">
        <f>LEN('Expected Auditing Outcomes'!$F785)</f>
        <v>81</v>
      </c>
      <c r="H785" s="430"/>
    </row>
    <row r="786" ht="15.75" hidden="1" customHeight="1">
      <c r="B786" s="146">
        <v>1047.0</v>
      </c>
      <c r="C786" s="146">
        <f t="shared" si="2"/>
        <v>11047</v>
      </c>
      <c r="D786" s="146" t="s">
        <v>7</v>
      </c>
      <c r="E786" s="334" t="s">
        <v>1759</v>
      </c>
      <c r="F786" s="383" t="s">
        <v>1760</v>
      </c>
      <c r="G786" s="430">
        <f>LEN('Expected Auditing Outcomes'!$F786)</f>
        <v>64</v>
      </c>
      <c r="H786" s="430"/>
    </row>
    <row r="787" ht="15.75" hidden="1" customHeight="1">
      <c r="B787" s="146">
        <v>1048.0</v>
      </c>
      <c r="C787" s="146">
        <f t="shared" si="2"/>
        <v>11048</v>
      </c>
      <c r="D787" s="146" t="s">
        <v>34</v>
      </c>
      <c r="E787" s="506" t="s">
        <v>1761</v>
      </c>
      <c r="F787" s="383" t="s">
        <v>1762</v>
      </c>
      <c r="G787" s="430">
        <f>LEN('Expected Auditing Outcomes'!$F787)</f>
        <v>200</v>
      </c>
      <c r="H787" s="430"/>
    </row>
    <row r="788" ht="15.75" hidden="1" customHeight="1">
      <c r="B788" s="146">
        <v>1049.0</v>
      </c>
      <c r="C788" s="146">
        <f t="shared" si="2"/>
        <v>11049</v>
      </c>
      <c r="D788" s="146" t="s">
        <v>20</v>
      </c>
      <c r="E788" s="506" t="s">
        <v>1763</v>
      </c>
      <c r="F788" s="383" t="s">
        <v>1764</v>
      </c>
      <c r="G788" s="430">
        <f>LEN('Expected Auditing Outcomes'!$F788)</f>
        <v>143</v>
      </c>
      <c r="H788" s="430"/>
    </row>
    <row r="789" ht="15.75" hidden="1" customHeight="1">
      <c r="B789" s="146">
        <v>1050.0</v>
      </c>
      <c r="C789" s="146">
        <f t="shared" si="2"/>
        <v>11050</v>
      </c>
      <c r="D789" s="146" t="s">
        <v>34</v>
      </c>
      <c r="E789" s="507" t="s">
        <v>1765</v>
      </c>
      <c r="F789" s="383" t="s">
        <v>1766</v>
      </c>
      <c r="G789" s="430">
        <f>LEN('Expected Auditing Outcomes'!$F789)</f>
        <v>200</v>
      </c>
      <c r="H789" s="430"/>
    </row>
    <row r="790" ht="15.75" hidden="1" customHeight="1">
      <c r="B790" s="146">
        <v>1051.0</v>
      </c>
      <c r="C790" s="146">
        <f t="shared" si="2"/>
        <v>11051</v>
      </c>
      <c r="D790" s="146" t="s">
        <v>34</v>
      </c>
      <c r="E790" s="506" t="s">
        <v>1767</v>
      </c>
      <c r="F790" s="383" t="s">
        <v>3783</v>
      </c>
      <c r="G790" s="430">
        <f>LEN('Expected Auditing Outcomes'!$F790)</f>
        <v>180</v>
      </c>
      <c r="H790" s="430"/>
    </row>
    <row r="791" ht="15.75" hidden="1" customHeight="1">
      <c r="B791" s="146">
        <v>1052.0</v>
      </c>
      <c r="C791" s="146">
        <f t="shared" si="2"/>
        <v>11052</v>
      </c>
      <c r="D791" s="146" t="s">
        <v>34</v>
      </c>
      <c r="E791" s="334" t="s">
        <v>1769</v>
      </c>
      <c r="F791" s="383" t="s">
        <v>1770</v>
      </c>
      <c r="G791" s="430">
        <f>LEN('Expected Auditing Outcomes'!$F791)</f>
        <v>194</v>
      </c>
      <c r="H791" s="430"/>
    </row>
    <row r="792" ht="15.75" hidden="1" customHeight="1">
      <c r="B792" s="146">
        <v>1053.0</v>
      </c>
      <c r="C792" s="146">
        <f t="shared" si="2"/>
        <v>11053</v>
      </c>
      <c r="D792" s="146" t="s">
        <v>34</v>
      </c>
      <c r="E792" s="506" t="s">
        <v>1771</v>
      </c>
      <c r="F792" s="383" t="s">
        <v>3784</v>
      </c>
      <c r="G792" s="430">
        <f>LEN('Expected Auditing Outcomes'!$F792)</f>
        <v>200</v>
      </c>
      <c r="H792" s="430"/>
    </row>
    <row r="793" ht="15.75" hidden="1" customHeight="1">
      <c r="B793" s="146">
        <v>1054.0</v>
      </c>
      <c r="C793" s="146">
        <f t="shared" si="2"/>
        <v>11054</v>
      </c>
      <c r="D793" s="146" t="s">
        <v>7</v>
      </c>
      <c r="E793" s="334" t="s">
        <v>3785</v>
      </c>
      <c r="F793" s="383" t="s">
        <v>1774</v>
      </c>
      <c r="G793" s="430">
        <f>LEN('Expected Auditing Outcomes'!$F793)</f>
        <v>104</v>
      </c>
      <c r="H793" s="430"/>
    </row>
    <row r="794" ht="15.75" hidden="1" customHeight="1">
      <c r="B794" s="146">
        <v>1055.0</v>
      </c>
      <c r="C794" s="146">
        <f t="shared" si="2"/>
        <v>11055</v>
      </c>
      <c r="D794" s="146" t="s">
        <v>34</v>
      </c>
      <c r="E794" s="506" t="s">
        <v>1775</v>
      </c>
      <c r="F794" s="383" t="s">
        <v>3786</v>
      </c>
      <c r="G794" s="430">
        <f>LEN('Expected Auditing Outcomes'!$F794)</f>
        <v>199</v>
      </c>
      <c r="H794" s="430"/>
    </row>
    <row r="795" ht="15.75" hidden="1" customHeight="1">
      <c r="B795" s="146">
        <v>1056.0</v>
      </c>
      <c r="C795" s="146">
        <f t="shared" si="2"/>
        <v>11056</v>
      </c>
      <c r="D795" s="146" t="s">
        <v>7</v>
      </c>
      <c r="E795" s="508" t="s">
        <v>1777</v>
      </c>
      <c r="F795" s="383" t="s">
        <v>1778</v>
      </c>
      <c r="G795" s="430">
        <f>LEN('Expected Auditing Outcomes'!$F795)</f>
        <v>61</v>
      </c>
      <c r="H795" s="430"/>
    </row>
    <row r="796" ht="15.75" hidden="1" customHeight="1">
      <c r="B796" s="146">
        <v>1057.0</v>
      </c>
      <c r="C796" s="146">
        <f t="shared" si="2"/>
        <v>11057</v>
      </c>
      <c r="D796" s="146" t="s">
        <v>34</v>
      </c>
      <c r="E796" s="334" t="s">
        <v>1779</v>
      </c>
      <c r="F796" s="383" t="s">
        <v>3787</v>
      </c>
      <c r="G796" s="430">
        <f>LEN('Expected Auditing Outcomes'!$F796)</f>
        <v>196</v>
      </c>
      <c r="H796" s="430"/>
    </row>
    <row r="797" ht="15.75" hidden="1" customHeight="1">
      <c r="B797" s="146">
        <v>1058.0</v>
      </c>
      <c r="C797" s="146">
        <f t="shared" si="2"/>
        <v>11058</v>
      </c>
      <c r="D797" s="146" t="s">
        <v>7</v>
      </c>
      <c r="E797" s="334" t="s">
        <v>3788</v>
      </c>
      <c r="F797" s="383" t="s">
        <v>1782</v>
      </c>
      <c r="G797" s="430">
        <f>LEN('Expected Auditing Outcomes'!$F797)</f>
        <v>86</v>
      </c>
      <c r="H797" s="430"/>
    </row>
    <row r="798" ht="15.75" hidden="1" customHeight="1">
      <c r="B798" s="146">
        <v>1059.0</v>
      </c>
      <c r="C798" s="146">
        <f t="shared" si="2"/>
        <v>11059</v>
      </c>
      <c r="D798" s="146" t="s">
        <v>7</v>
      </c>
      <c r="E798" s="185" t="s">
        <v>1783</v>
      </c>
      <c r="F798" s="383" t="s">
        <v>1784</v>
      </c>
      <c r="G798" s="430">
        <f>LEN('Expected Auditing Outcomes'!$F798)</f>
        <v>83</v>
      </c>
      <c r="H798" s="430"/>
    </row>
    <row r="799" ht="15.75" hidden="1" customHeight="1">
      <c r="B799" s="146">
        <v>1060.0</v>
      </c>
      <c r="C799" s="146">
        <f t="shared" si="2"/>
        <v>11060</v>
      </c>
      <c r="D799" s="146" t="s">
        <v>20</v>
      </c>
      <c r="E799" s="185" t="s">
        <v>1785</v>
      </c>
      <c r="F799" s="439" t="s">
        <v>1786</v>
      </c>
      <c r="G799" s="430">
        <f>LEN('Expected Auditing Outcomes'!$F799)</f>
        <v>171</v>
      </c>
      <c r="H799" s="430"/>
    </row>
    <row r="800" ht="15.75" hidden="1" customHeight="1">
      <c r="B800" s="146">
        <v>1061.0</v>
      </c>
      <c r="C800" s="146">
        <f t="shared" si="2"/>
        <v>11061</v>
      </c>
      <c r="D800" s="146" t="s">
        <v>20</v>
      </c>
      <c r="E800" s="320" t="s">
        <v>1787</v>
      </c>
      <c r="F800" s="439" t="s">
        <v>1788</v>
      </c>
      <c r="G800" s="430">
        <f>LEN('Expected Auditing Outcomes'!$F800)</f>
        <v>160</v>
      </c>
      <c r="H800" s="430"/>
    </row>
    <row r="801" ht="15.75" hidden="1" customHeight="1">
      <c r="B801" s="146">
        <v>1062.0</v>
      </c>
      <c r="C801" s="146">
        <f t="shared" si="2"/>
        <v>11062</v>
      </c>
      <c r="D801" s="146" t="s">
        <v>7</v>
      </c>
      <c r="E801" s="127" t="s">
        <v>1789</v>
      </c>
      <c r="F801" s="383" t="s">
        <v>1790</v>
      </c>
      <c r="G801" s="430">
        <f>LEN('Expected Auditing Outcomes'!$F801)</f>
        <v>58</v>
      </c>
      <c r="H801" s="430"/>
    </row>
    <row r="802" ht="15.75" hidden="1" customHeight="1">
      <c r="B802" s="146">
        <v>1063.0</v>
      </c>
      <c r="C802" s="146">
        <v>11063.0</v>
      </c>
      <c r="D802" s="146" t="s">
        <v>20</v>
      </c>
      <c r="E802" s="271" t="s">
        <v>3789</v>
      </c>
      <c r="F802" s="383" t="s">
        <v>3790</v>
      </c>
      <c r="G802" s="430">
        <f>LEN('Expected Auditing Outcomes'!$F802)</f>
        <v>147</v>
      </c>
      <c r="H802" s="431">
        <v>46010.0</v>
      </c>
    </row>
    <row r="803" ht="15.75" hidden="1" customHeight="1">
      <c r="B803" s="146">
        <v>1064.0</v>
      </c>
      <c r="C803" s="146">
        <f t="shared" ref="C803:C821" si="3">SUM($B803+10000)</f>
        <v>11064</v>
      </c>
      <c r="D803" s="146" t="s">
        <v>7</v>
      </c>
      <c r="E803" s="127" t="s">
        <v>3294</v>
      </c>
      <c r="F803" s="383" t="s">
        <v>3791</v>
      </c>
      <c r="G803" s="430">
        <f>LEN('Expected Auditing Outcomes'!$F803)</f>
        <v>74</v>
      </c>
      <c r="H803" s="431">
        <v>46010.0</v>
      </c>
    </row>
    <row r="804" ht="15.75" hidden="1" customHeight="1">
      <c r="B804" s="146">
        <v>1065.0</v>
      </c>
      <c r="C804" s="146">
        <f t="shared" si="3"/>
        <v>11065</v>
      </c>
      <c r="D804" s="146" t="s">
        <v>27</v>
      </c>
      <c r="E804" s="127" t="s">
        <v>3296</v>
      </c>
      <c r="F804" s="383" t="s">
        <v>3664</v>
      </c>
      <c r="G804" s="430">
        <f>LEN('Expected Auditing Outcomes'!$F804)</f>
        <v>104</v>
      </c>
      <c r="H804" s="430"/>
    </row>
    <row r="805" ht="15.75" hidden="1" customHeight="1">
      <c r="B805" s="146">
        <v>1066.0</v>
      </c>
      <c r="C805" s="146">
        <f t="shared" si="3"/>
        <v>11066</v>
      </c>
      <c r="D805" s="146" t="s">
        <v>34</v>
      </c>
      <c r="E805" s="127" t="s">
        <v>3792</v>
      </c>
      <c r="F805" s="383" t="s">
        <v>3793</v>
      </c>
      <c r="G805" s="430">
        <f>LEN('Expected Auditing Outcomes'!$F805)</f>
        <v>195</v>
      </c>
      <c r="H805" s="431">
        <v>46014.0</v>
      </c>
    </row>
    <row r="806" ht="15.75" hidden="1" customHeight="1">
      <c r="B806" s="146">
        <v>1067.0</v>
      </c>
      <c r="C806" s="146">
        <f t="shared" si="3"/>
        <v>11067</v>
      </c>
      <c r="D806" s="146" t="s">
        <v>27</v>
      </c>
      <c r="E806" s="320" t="s">
        <v>3300</v>
      </c>
      <c r="F806" s="383" t="s">
        <v>3794</v>
      </c>
      <c r="G806" s="430">
        <f>LEN('Expected Auditing Outcomes'!$F806)</f>
        <v>98</v>
      </c>
      <c r="H806" s="430"/>
    </row>
    <row r="807" ht="15.75" hidden="1" customHeight="1">
      <c r="B807" s="146">
        <v>1068.0</v>
      </c>
      <c r="C807" s="146">
        <f t="shared" si="3"/>
        <v>11068</v>
      </c>
      <c r="D807" s="146" t="s">
        <v>7</v>
      </c>
      <c r="E807" s="127" t="s">
        <v>3302</v>
      </c>
      <c r="F807" s="383" t="s">
        <v>3795</v>
      </c>
      <c r="G807" s="430">
        <f>LEN('Expected Auditing Outcomes'!$F807)</f>
        <v>140</v>
      </c>
      <c r="H807" s="430"/>
    </row>
    <row r="808" ht="15.75" hidden="1" customHeight="1">
      <c r="B808" s="146">
        <v>1069.0</v>
      </c>
      <c r="C808" s="146">
        <f t="shared" si="3"/>
        <v>11069</v>
      </c>
      <c r="D808" s="146" t="s">
        <v>7</v>
      </c>
      <c r="E808" s="126" t="s">
        <v>3305</v>
      </c>
      <c r="F808" s="383" t="s">
        <v>3796</v>
      </c>
      <c r="G808" s="430">
        <f>LEN('Expected Auditing Outcomes'!$F808)</f>
        <v>43</v>
      </c>
      <c r="H808" s="430"/>
    </row>
    <row r="809" ht="15.75" hidden="1" customHeight="1">
      <c r="B809" s="146">
        <v>1070.0</v>
      </c>
      <c r="C809" s="146">
        <f t="shared" si="3"/>
        <v>11070</v>
      </c>
      <c r="D809" s="146" t="s">
        <v>20</v>
      </c>
      <c r="E809" s="305" t="s">
        <v>3797</v>
      </c>
      <c r="F809" s="383" t="s">
        <v>3798</v>
      </c>
      <c r="G809" s="430">
        <f>LEN('Expected Auditing Outcomes'!$F809)</f>
        <v>149</v>
      </c>
      <c r="H809" s="431">
        <v>46027.0</v>
      </c>
    </row>
    <row r="810" ht="15.75" hidden="1" customHeight="1">
      <c r="B810" s="146">
        <v>1071.0</v>
      </c>
      <c r="C810" s="146">
        <f t="shared" si="3"/>
        <v>11071</v>
      </c>
      <c r="D810" s="146" t="s">
        <v>7</v>
      </c>
      <c r="E810" s="127" t="s">
        <v>3310</v>
      </c>
      <c r="F810" s="383"/>
      <c r="G810" s="430">
        <f>LEN('Expected Auditing Outcomes'!$F810)</f>
        <v>0</v>
      </c>
      <c r="H810" s="430"/>
    </row>
    <row r="811" ht="15.75" hidden="1" customHeight="1">
      <c r="B811" s="146">
        <v>1072.0</v>
      </c>
      <c r="C811" s="146">
        <f t="shared" si="3"/>
        <v>11072</v>
      </c>
      <c r="D811" s="146" t="s">
        <v>7</v>
      </c>
      <c r="E811" s="126" t="s">
        <v>3312</v>
      </c>
      <c r="F811" s="383" t="s">
        <v>3799</v>
      </c>
      <c r="G811" s="430">
        <f>LEN('Expected Auditing Outcomes'!$F811)</f>
        <v>63</v>
      </c>
      <c r="H811" s="430"/>
    </row>
    <row r="812" ht="15.75" hidden="1" customHeight="1">
      <c r="B812" s="146">
        <v>1073.0</v>
      </c>
      <c r="C812" s="146">
        <f t="shared" si="3"/>
        <v>11073</v>
      </c>
      <c r="D812" s="146" t="s">
        <v>27</v>
      </c>
      <c r="E812" s="127" t="s">
        <v>3800</v>
      </c>
      <c r="F812" s="172" t="s">
        <v>3801</v>
      </c>
      <c r="G812" s="430">
        <f>LEN('Expected Auditing Outcomes'!$F812)</f>
        <v>114</v>
      </c>
      <c r="H812" s="430"/>
    </row>
    <row r="813" ht="15.75" hidden="1" customHeight="1">
      <c r="B813" s="146">
        <v>1074.0</v>
      </c>
      <c r="C813" s="146">
        <f t="shared" si="3"/>
        <v>11074</v>
      </c>
      <c r="D813" s="146" t="s">
        <v>34</v>
      </c>
      <c r="E813" s="221" t="s">
        <v>3316</v>
      </c>
      <c r="F813" s="383" t="s">
        <v>3802</v>
      </c>
      <c r="G813" s="430">
        <f>LEN('Expected Auditing Outcomes'!$F813)</f>
        <v>193</v>
      </c>
      <c r="H813" s="430"/>
    </row>
    <row r="814" ht="15.75" hidden="1" customHeight="1">
      <c r="B814" s="146">
        <v>1075.0</v>
      </c>
      <c r="C814" s="146">
        <f t="shared" si="3"/>
        <v>11075</v>
      </c>
      <c r="D814" s="146" t="s">
        <v>7</v>
      </c>
      <c r="E814" s="269" t="s">
        <v>3318</v>
      </c>
      <c r="F814" s="383" t="s">
        <v>3803</v>
      </c>
      <c r="G814" s="430">
        <f>LEN('Expected Auditing Outcomes'!$F814)</f>
        <v>81</v>
      </c>
      <c r="H814" s="430"/>
    </row>
    <row r="815" ht="15.75" hidden="1" customHeight="1">
      <c r="B815" s="146">
        <v>1076.0</v>
      </c>
      <c r="C815" s="146">
        <f t="shared" si="3"/>
        <v>11076</v>
      </c>
      <c r="D815" s="146" t="s">
        <v>20</v>
      </c>
      <c r="E815" s="221" t="s">
        <v>3320</v>
      </c>
      <c r="F815" s="383" t="s">
        <v>3804</v>
      </c>
      <c r="G815" s="430">
        <f>LEN('Expected Auditing Outcomes'!$F815)</f>
        <v>126</v>
      </c>
      <c r="H815" s="430"/>
    </row>
    <row r="816" ht="15.75" hidden="1" customHeight="1">
      <c r="B816" s="146">
        <v>1077.0</v>
      </c>
      <c r="C816" s="146">
        <f t="shared" si="3"/>
        <v>11077</v>
      </c>
      <c r="D816" s="146" t="s">
        <v>34</v>
      </c>
      <c r="E816" s="221" t="s">
        <v>3322</v>
      </c>
      <c r="F816" s="383" t="s">
        <v>3805</v>
      </c>
      <c r="G816" s="430">
        <f>LEN('Expected Auditing Outcomes'!$F816)</f>
        <v>170</v>
      </c>
      <c r="H816" s="430"/>
    </row>
    <row r="817" ht="15.75" hidden="1" customHeight="1">
      <c r="B817" s="146">
        <v>1078.0</v>
      </c>
      <c r="C817" s="146">
        <f t="shared" si="3"/>
        <v>11078</v>
      </c>
      <c r="D817" s="146" t="s">
        <v>34</v>
      </c>
      <c r="E817" s="269" t="s">
        <v>3324</v>
      </c>
      <c r="F817" s="383" t="s">
        <v>3806</v>
      </c>
      <c r="G817" s="430">
        <f>LEN('Expected Auditing Outcomes'!$F817)</f>
        <v>178</v>
      </c>
      <c r="H817" s="430"/>
    </row>
    <row r="818" ht="15.75" hidden="1" customHeight="1">
      <c r="B818" s="146">
        <v>1079.0</v>
      </c>
      <c r="C818" s="146">
        <f t="shared" si="3"/>
        <v>11079</v>
      </c>
      <c r="D818" s="146" t="s">
        <v>34</v>
      </c>
      <c r="E818" s="221" t="s">
        <v>3326</v>
      </c>
      <c r="F818" s="383" t="s">
        <v>3807</v>
      </c>
      <c r="G818" s="430">
        <f>LEN('Expected Auditing Outcomes'!$F818)</f>
        <v>199</v>
      </c>
      <c r="H818" s="430"/>
    </row>
    <row r="819" ht="15.75" hidden="1" customHeight="1">
      <c r="B819" s="146">
        <v>1080.0</v>
      </c>
      <c r="C819" s="146">
        <f t="shared" si="3"/>
        <v>11080</v>
      </c>
      <c r="D819" s="146" t="s">
        <v>7</v>
      </c>
      <c r="E819" s="221" t="s">
        <v>3328</v>
      </c>
      <c r="F819" s="383" t="s">
        <v>3808</v>
      </c>
      <c r="G819" s="430">
        <f>LEN('Expected Auditing Outcomes'!$F819)</f>
        <v>60</v>
      </c>
      <c r="H819" s="430"/>
    </row>
    <row r="820" ht="15.75" hidden="1" customHeight="1">
      <c r="B820" s="146">
        <v>1081.0</v>
      </c>
      <c r="C820" s="146">
        <f t="shared" si="3"/>
        <v>11081</v>
      </c>
      <c r="D820" s="146" t="s">
        <v>7</v>
      </c>
      <c r="E820" s="221" t="s">
        <v>3330</v>
      </c>
      <c r="F820" s="383" t="s">
        <v>3809</v>
      </c>
      <c r="G820" s="430">
        <f>LEN('Expected Auditing Outcomes'!$F820)</f>
        <v>85</v>
      </c>
      <c r="H820" s="430"/>
    </row>
    <row r="821" ht="15.75" hidden="1" customHeight="1">
      <c r="B821" s="146">
        <v>1082.0</v>
      </c>
      <c r="C821" s="146">
        <f t="shared" si="3"/>
        <v>11082</v>
      </c>
      <c r="D821" s="146" t="s">
        <v>34</v>
      </c>
      <c r="E821" s="221" t="s">
        <v>3332</v>
      </c>
      <c r="F821" s="383" t="s">
        <v>3810</v>
      </c>
      <c r="G821" s="430">
        <f>LEN('Expected Auditing Outcomes'!$F821)</f>
        <v>171</v>
      </c>
      <c r="H821" s="430"/>
    </row>
    <row r="822" ht="15.75" hidden="1" customHeight="1">
      <c r="B822" s="146">
        <v>1083.0</v>
      </c>
      <c r="C822" s="146" t="s">
        <v>1961</v>
      </c>
      <c r="D822" s="146" t="s">
        <v>34</v>
      </c>
      <c r="E822" s="509" t="s">
        <v>3334</v>
      </c>
      <c r="F822" s="383" t="s">
        <v>3811</v>
      </c>
      <c r="G822" s="430">
        <f>LEN('Expected Auditing Outcomes'!$F822)</f>
        <v>184</v>
      </c>
      <c r="H822" s="430"/>
    </row>
    <row r="823" ht="15.75" hidden="1" customHeight="1">
      <c r="B823" s="146">
        <v>1084.0</v>
      </c>
      <c r="C823" s="146">
        <f t="shared" ref="C823:C1031" si="4">SUM($B823+10000)</f>
        <v>11084</v>
      </c>
      <c r="D823" s="146"/>
      <c r="E823" s="126"/>
      <c r="F823" s="383"/>
      <c r="G823" s="430">
        <f>LEN('Expected Auditing Outcomes'!$F823)</f>
        <v>0</v>
      </c>
      <c r="H823" s="430"/>
    </row>
    <row r="824" ht="15.75" hidden="1" customHeight="1">
      <c r="B824" s="146">
        <v>1085.0</v>
      </c>
      <c r="C824" s="146">
        <f t="shared" si="4"/>
        <v>11085</v>
      </c>
      <c r="D824" s="146" t="s">
        <v>7</v>
      </c>
      <c r="E824" s="126" t="s">
        <v>3338</v>
      </c>
      <c r="F824" s="383" t="s">
        <v>3812</v>
      </c>
      <c r="G824" s="430">
        <f>LEN('Expected Auditing Outcomes'!$F824)</f>
        <v>90</v>
      </c>
      <c r="H824" s="430"/>
    </row>
    <row r="825" ht="15.75" hidden="1" customHeight="1">
      <c r="B825" s="146">
        <v>1086.0</v>
      </c>
      <c r="C825" s="146">
        <f t="shared" si="4"/>
        <v>11086</v>
      </c>
      <c r="D825" s="146" t="s">
        <v>7</v>
      </c>
      <c r="E825" s="126" t="s">
        <v>3340</v>
      </c>
      <c r="F825" s="383" t="s">
        <v>3813</v>
      </c>
      <c r="G825" s="430">
        <f>LEN('Expected Auditing Outcomes'!$F825)</f>
        <v>84</v>
      </c>
      <c r="H825" s="430"/>
    </row>
    <row r="826" ht="15.75" hidden="1" customHeight="1">
      <c r="B826" s="146">
        <v>1087.0</v>
      </c>
      <c r="C826" s="146">
        <f t="shared" si="4"/>
        <v>11087</v>
      </c>
      <c r="D826" s="146" t="s">
        <v>7</v>
      </c>
      <c r="E826" s="126" t="s">
        <v>3342</v>
      </c>
      <c r="F826" s="383" t="s">
        <v>3814</v>
      </c>
      <c r="G826" s="430">
        <f>LEN('Expected Auditing Outcomes'!$F826)</f>
        <v>200</v>
      </c>
      <c r="H826" s="430"/>
    </row>
    <row r="827" ht="15.75" hidden="1" customHeight="1">
      <c r="B827" s="146">
        <v>1088.0</v>
      </c>
      <c r="C827" s="146">
        <f t="shared" si="4"/>
        <v>11088</v>
      </c>
      <c r="D827" s="146"/>
      <c r="E827" s="305"/>
      <c r="F827" s="383"/>
      <c r="G827" s="430">
        <f>LEN('Expected Auditing Outcomes'!$F827)</f>
        <v>0</v>
      </c>
      <c r="H827" s="430"/>
    </row>
    <row r="828" ht="15.75" hidden="1" customHeight="1">
      <c r="B828" s="146">
        <v>1089.0</v>
      </c>
      <c r="C828" s="146">
        <f t="shared" si="4"/>
        <v>11089</v>
      </c>
      <c r="D828" s="146" t="s">
        <v>34</v>
      </c>
      <c r="E828" s="269" t="s">
        <v>3346</v>
      </c>
      <c r="F828" s="383" t="s">
        <v>3815</v>
      </c>
      <c r="G828" s="430">
        <f>LEN('Expected Auditing Outcomes'!$F828)</f>
        <v>191</v>
      </c>
      <c r="H828" s="430"/>
    </row>
    <row r="829" ht="15.75" hidden="1" customHeight="1">
      <c r="B829" s="146">
        <v>1090.0</v>
      </c>
      <c r="C829" s="146">
        <f t="shared" si="4"/>
        <v>11090</v>
      </c>
      <c r="D829" s="146"/>
      <c r="E829" s="305" t="str">
        <f>VLOOKUP('Expected Auditing Outcomes'!$B829,'Master Sheet'!$A$1028:$G$1028, 6, FALSE)</f>
        <v>#N/A</v>
      </c>
      <c r="F829" s="383"/>
      <c r="G829" s="430">
        <f>LEN('Expected Auditing Outcomes'!$F829)</f>
        <v>0</v>
      </c>
      <c r="H829" s="430"/>
    </row>
    <row r="830" ht="15.75" hidden="1" customHeight="1">
      <c r="B830" s="146">
        <v>1091.0</v>
      </c>
      <c r="C830" s="146">
        <f t="shared" si="4"/>
        <v>11091</v>
      </c>
      <c r="D830" s="146"/>
      <c r="E830" s="305" t="str">
        <f>VLOOKUP('Expected Auditing Outcomes'!$B830,'Master Sheet'!$A$1028:$G$1028, 6, FALSE)</f>
        <v>#N/A</v>
      </c>
      <c r="F830" s="383"/>
      <c r="G830" s="430">
        <f>LEN('Expected Auditing Outcomes'!$F830)</f>
        <v>0</v>
      </c>
      <c r="H830" s="430"/>
    </row>
    <row r="831" ht="15.75" hidden="1" customHeight="1">
      <c r="B831" s="146">
        <v>1092.0</v>
      </c>
      <c r="C831" s="146">
        <f t="shared" si="4"/>
        <v>11092</v>
      </c>
      <c r="D831" s="146"/>
      <c r="E831" s="305" t="str">
        <f>VLOOKUP('Expected Auditing Outcomes'!$B831,'Master Sheet'!$A$1028:$G$1028, 6, FALSE)</f>
        <v>#N/A</v>
      </c>
      <c r="F831" s="383"/>
      <c r="G831" s="430">
        <f>LEN('Expected Auditing Outcomes'!$F831)</f>
        <v>0</v>
      </c>
      <c r="H831" s="430"/>
    </row>
    <row r="832" ht="15.75" hidden="1" customHeight="1">
      <c r="B832" s="146">
        <v>1093.0</v>
      </c>
      <c r="C832" s="146">
        <f t="shared" si="4"/>
        <v>11093</v>
      </c>
      <c r="D832" s="146"/>
      <c r="E832" s="305" t="str">
        <f>VLOOKUP('Expected Auditing Outcomes'!$B832,'Master Sheet'!$A$1028:$G$1028, 6, FALSE)</f>
        <v>#N/A</v>
      </c>
      <c r="F832" s="383"/>
      <c r="G832" s="430">
        <f>LEN('Expected Auditing Outcomes'!$F832)</f>
        <v>0</v>
      </c>
      <c r="H832" s="430"/>
    </row>
    <row r="833" ht="15.75" hidden="1" customHeight="1">
      <c r="B833" s="146">
        <v>1094.0</v>
      </c>
      <c r="C833" s="146">
        <f t="shared" si="4"/>
        <v>11094</v>
      </c>
      <c r="D833" s="146"/>
      <c r="E833" s="305" t="str">
        <f>VLOOKUP('Expected Auditing Outcomes'!$B833,'Master Sheet'!$A$1028:$G$1028, 6, FALSE)</f>
        <v>#N/A</v>
      </c>
      <c r="F833" s="383"/>
      <c r="G833" s="430">
        <f>LEN('Expected Auditing Outcomes'!$F833)</f>
        <v>0</v>
      </c>
      <c r="H833" s="430"/>
    </row>
    <row r="834" ht="15.75" hidden="1" customHeight="1">
      <c r="B834" s="146">
        <v>1095.0</v>
      </c>
      <c r="C834" s="146">
        <f t="shared" si="4"/>
        <v>11095</v>
      </c>
      <c r="D834" s="146"/>
      <c r="E834" s="305" t="str">
        <f>VLOOKUP('Expected Auditing Outcomes'!$B834,'Master Sheet'!$A$1028:$G$1028, 6, FALSE)</f>
        <v>#N/A</v>
      </c>
      <c r="F834" s="383"/>
      <c r="G834" s="430">
        <f>LEN('Expected Auditing Outcomes'!$F834)</f>
        <v>0</v>
      </c>
      <c r="H834" s="430"/>
    </row>
    <row r="835" ht="15.75" hidden="1" customHeight="1">
      <c r="B835" s="146">
        <v>1096.0</v>
      </c>
      <c r="C835" s="146">
        <f t="shared" si="4"/>
        <v>11096</v>
      </c>
      <c r="D835" s="146"/>
      <c r="E835" s="305" t="str">
        <f>VLOOKUP('Expected Auditing Outcomes'!$B835,'Master Sheet'!$A$1028:$G$1028, 6, FALSE)</f>
        <v>#N/A</v>
      </c>
      <c r="F835" s="383"/>
      <c r="G835" s="430">
        <f>LEN('Expected Auditing Outcomes'!$F835)</f>
        <v>0</v>
      </c>
      <c r="H835" s="430"/>
    </row>
    <row r="836" ht="15.75" hidden="1" customHeight="1">
      <c r="B836" s="146">
        <v>1097.0</v>
      </c>
      <c r="C836" s="146">
        <f t="shared" si="4"/>
        <v>11097</v>
      </c>
      <c r="D836" s="146"/>
      <c r="E836" s="305" t="str">
        <f>VLOOKUP('Expected Auditing Outcomes'!$B836,'Master Sheet'!$A$1028:$G$1028, 6, FALSE)</f>
        <v>#N/A</v>
      </c>
      <c r="F836" s="383"/>
      <c r="G836" s="430">
        <f>LEN('Expected Auditing Outcomes'!$F836)</f>
        <v>0</v>
      </c>
      <c r="H836" s="430"/>
    </row>
    <row r="837" ht="15.75" hidden="1" customHeight="1">
      <c r="B837" s="146">
        <v>1098.0</v>
      </c>
      <c r="C837" s="146">
        <f t="shared" si="4"/>
        <v>11098</v>
      </c>
      <c r="D837" s="146"/>
      <c r="E837" s="305" t="str">
        <f>VLOOKUP('Expected Auditing Outcomes'!$B837,'Master Sheet'!$A$1028:$G$1028, 6, FALSE)</f>
        <v>#N/A</v>
      </c>
      <c r="F837" s="383"/>
      <c r="G837" s="430">
        <f>LEN('Expected Auditing Outcomes'!$F837)</f>
        <v>0</v>
      </c>
      <c r="H837" s="430"/>
    </row>
    <row r="838" ht="15.75" hidden="1" customHeight="1">
      <c r="B838" s="146">
        <v>1099.0</v>
      </c>
      <c r="C838" s="146">
        <f t="shared" si="4"/>
        <v>11099</v>
      </c>
      <c r="D838" s="146"/>
      <c r="E838" s="305" t="str">
        <f>VLOOKUP('Expected Auditing Outcomes'!$B838,'Master Sheet'!$A$1028:$G$1028, 6, FALSE)</f>
        <v>#N/A</v>
      </c>
      <c r="F838" s="383"/>
      <c r="G838" s="430">
        <f>LEN('Expected Auditing Outcomes'!$F838)</f>
        <v>0</v>
      </c>
      <c r="H838" s="430"/>
    </row>
    <row r="839" ht="15.75" hidden="1" customHeight="1">
      <c r="B839" s="146">
        <v>1100.0</v>
      </c>
      <c r="C839" s="146">
        <f t="shared" si="4"/>
        <v>11100</v>
      </c>
      <c r="D839" s="146"/>
      <c r="E839" s="305" t="str">
        <f>VLOOKUP('Expected Auditing Outcomes'!$B839,'Master Sheet'!$A$1028:$G$1028, 6, FALSE)</f>
        <v>#N/A</v>
      </c>
      <c r="F839" s="383"/>
      <c r="G839" s="430">
        <f>LEN('Expected Auditing Outcomes'!$F839)</f>
        <v>0</v>
      </c>
      <c r="H839" s="430"/>
    </row>
    <row r="840" ht="15.75" hidden="1" customHeight="1">
      <c r="B840" s="146">
        <v>1101.0</v>
      </c>
      <c r="C840" s="146">
        <f t="shared" si="4"/>
        <v>11101</v>
      </c>
      <c r="D840" s="146"/>
      <c r="E840" s="305" t="str">
        <f>VLOOKUP('Expected Auditing Outcomes'!$B840,'Master Sheet'!$A$1028:$G$1028, 6, FALSE)</f>
        <v>#N/A</v>
      </c>
      <c r="F840" s="383"/>
      <c r="G840" s="430">
        <f>LEN('Expected Auditing Outcomes'!$F840)</f>
        <v>0</v>
      </c>
      <c r="H840" s="430"/>
    </row>
    <row r="841" ht="15.75" hidden="1" customHeight="1">
      <c r="B841" s="146">
        <v>1102.0</v>
      </c>
      <c r="C841" s="146">
        <f t="shared" si="4"/>
        <v>11102</v>
      </c>
      <c r="D841" s="146"/>
      <c r="E841" s="305"/>
      <c r="F841" s="383"/>
      <c r="G841" s="430">
        <f>LEN('Expected Auditing Outcomes'!$F841)</f>
        <v>0</v>
      </c>
      <c r="H841" s="430"/>
    </row>
    <row r="842" ht="15.75" hidden="1" customHeight="1">
      <c r="B842" s="146">
        <v>1103.0</v>
      </c>
      <c r="C842" s="146">
        <f t="shared" si="4"/>
        <v>11103</v>
      </c>
      <c r="D842" s="146"/>
      <c r="E842" s="305"/>
      <c r="F842" s="383"/>
      <c r="G842" s="430">
        <f>LEN('Expected Auditing Outcomes'!$F842)</f>
        <v>0</v>
      </c>
      <c r="H842" s="430"/>
    </row>
    <row r="843" ht="15.75" hidden="1" customHeight="1">
      <c r="B843" s="146">
        <v>1104.0</v>
      </c>
      <c r="C843" s="146">
        <f t="shared" si="4"/>
        <v>11104</v>
      </c>
      <c r="D843" s="146"/>
      <c r="E843" s="305"/>
      <c r="F843" s="383"/>
      <c r="G843" s="430">
        <f>LEN('Expected Auditing Outcomes'!$F843)</f>
        <v>0</v>
      </c>
      <c r="H843" s="430"/>
    </row>
    <row r="844" ht="15.75" hidden="1" customHeight="1">
      <c r="B844" s="146">
        <v>1105.0</v>
      </c>
      <c r="C844" s="146">
        <f t="shared" si="4"/>
        <v>11105</v>
      </c>
      <c r="D844" s="146"/>
      <c r="E844" s="305"/>
      <c r="F844" s="383"/>
      <c r="G844" s="430">
        <f>LEN('Expected Auditing Outcomes'!$F844)</f>
        <v>0</v>
      </c>
      <c r="H844" s="430"/>
    </row>
    <row r="845" ht="15.75" hidden="1" customHeight="1">
      <c r="B845" s="146">
        <v>1106.0</v>
      </c>
      <c r="C845" s="146">
        <f t="shared" si="4"/>
        <v>11106</v>
      </c>
      <c r="D845" s="146"/>
      <c r="E845" s="305"/>
      <c r="F845" s="383"/>
      <c r="G845" s="430">
        <f>LEN('Expected Auditing Outcomes'!$F845)</f>
        <v>0</v>
      </c>
      <c r="H845" s="430"/>
    </row>
    <row r="846" ht="15.75" hidden="1" customHeight="1">
      <c r="B846" s="146">
        <v>1107.0</v>
      </c>
      <c r="C846" s="146">
        <f t="shared" si="4"/>
        <v>11107</v>
      </c>
      <c r="D846" s="146"/>
      <c r="E846" s="305"/>
      <c r="F846" s="383"/>
      <c r="G846" s="430">
        <f>LEN('Expected Auditing Outcomes'!$F846)</f>
        <v>0</v>
      </c>
      <c r="H846" s="430"/>
    </row>
    <row r="847" ht="15.75" hidden="1" customHeight="1">
      <c r="B847" s="146">
        <v>1108.0</v>
      </c>
      <c r="C847" s="146">
        <f t="shared" si="4"/>
        <v>11108</v>
      </c>
      <c r="D847" s="146"/>
      <c r="E847" s="305"/>
      <c r="F847" s="383"/>
      <c r="G847" s="430">
        <f>LEN('Expected Auditing Outcomes'!$F847)</f>
        <v>0</v>
      </c>
      <c r="H847" s="430"/>
    </row>
    <row r="848" ht="15.75" hidden="1" customHeight="1">
      <c r="B848" s="146">
        <v>1109.0</v>
      </c>
      <c r="C848" s="146">
        <f t="shared" si="4"/>
        <v>11109</v>
      </c>
      <c r="D848" s="146"/>
      <c r="E848" s="305"/>
      <c r="F848" s="383"/>
      <c r="G848" s="430">
        <f>LEN('Expected Auditing Outcomes'!$F848)</f>
        <v>0</v>
      </c>
      <c r="H848" s="430"/>
    </row>
    <row r="849" ht="15.75" hidden="1" customHeight="1">
      <c r="B849" s="146">
        <v>1110.0</v>
      </c>
      <c r="C849" s="146">
        <f t="shared" si="4"/>
        <v>11110</v>
      </c>
      <c r="D849" s="146"/>
      <c r="E849" s="305"/>
      <c r="F849" s="383"/>
      <c r="G849" s="430">
        <f>LEN('Expected Auditing Outcomes'!$F849)</f>
        <v>0</v>
      </c>
      <c r="H849" s="430"/>
    </row>
    <row r="850" ht="15.75" hidden="1" customHeight="1">
      <c r="B850" s="146">
        <v>1111.0</v>
      </c>
      <c r="C850" s="146">
        <f t="shared" si="4"/>
        <v>11111</v>
      </c>
      <c r="D850" s="146"/>
      <c r="E850" s="305"/>
      <c r="F850" s="383"/>
      <c r="G850" s="430">
        <f>LEN('Expected Auditing Outcomes'!$F850)</f>
        <v>0</v>
      </c>
      <c r="H850" s="430"/>
    </row>
    <row r="851" ht="15.75" hidden="1" customHeight="1">
      <c r="B851" s="146">
        <v>1112.0</v>
      </c>
      <c r="C851" s="146">
        <f t="shared" si="4"/>
        <v>11112</v>
      </c>
      <c r="D851" s="146"/>
      <c r="E851" s="305"/>
      <c r="F851" s="383"/>
      <c r="G851" s="430">
        <f>LEN('Expected Auditing Outcomes'!$F851)</f>
        <v>0</v>
      </c>
      <c r="H851" s="430"/>
    </row>
    <row r="852" ht="15.75" hidden="1" customHeight="1">
      <c r="B852" s="146">
        <v>1113.0</v>
      </c>
      <c r="C852" s="146">
        <f t="shared" si="4"/>
        <v>11113</v>
      </c>
      <c r="D852" s="146"/>
      <c r="E852" s="305"/>
      <c r="F852" s="383"/>
      <c r="G852" s="430">
        <f>LEN('Expected Auditing Outcomes'!$F852)</f>
        <v>0</v>
      </c>
      <c r="H852" s="430"/>
    </row>
    <row r="853" ht="15.75" hidden="1" customHeight="1">
      <c r="B853" s="146">
        <v>1114.0</v>
      </c>
      <c r="C853" s="146">
        <f t="shared" si="4"/>
        <v>11114</v>
      </c>
      <c r="D853" s="146"/>
      <c r="E853" s="305"/>
      <c r="F853" s="383"/>
      <c r="G853" s="430">
        <f>LEN('Expected Auditing Outcomes'!$F853)</f>
        <v>0</v>
      </c>
      <c r="H853" s="430"/>
    </row>
    <row r="854" ht="15.75" hidden="1" customHeight="1">
      <c r="B854" s="146">
        <v>1115.0</v>
      </c>
      <c r="C854" s="146">
        <f t="shared" si="4"/>
        <v>11115</v>
      </c>
      <c r="D854" s="146"/>
      <c r="E854" s="305"/>
      <c r="F854" s="383"/>
      <c r="G854" s="430">
        <f>LEN('Expected Auditing Outcomes'!$F854)</f>
        <v>0</v>
      </c>
      <c r="H854" s="430"/>
    </row>
    <row r="855" ht="15.75" hidden="1" customHeight="1">
      <c r="B855" s="146">
        <v>1116.0</v>
      </c>
      <c r="C855" s="146">
        <f t="shared" si="4"/>
        <v>11116</v>
      </c>
      <c r="D855" s="146"/>
      <c r="E855" s="305"/>
      <c r="F855" s="383"/>
      <c r="G855" s="430">
        <f>LEN('Expected Auditing Outcomes'!$F855)</f>
        <v>0</v>
      </c>
      <c r="H855" s="430"/>
    </row>
    <row r="856" ht="15.75" hidden="1" customHeight="1">
      <c r="B856" s="146">
        <v>1117.0</v>
      </c>
      <c r="C856" s="146">
        <f t="shared" si="4"/>
        <v>11117</v>
      </c>
      <c r="D856" s="146"/>
      <c r="E856" s="305"/>
      <c r="F856" s="383"/>
      <c r="G856" s="430">
        <f>LEN('Expected Auditing Outcomes'!$F856)</f>
        <v>0</v>
      </c>
      <c r="H856" s="430"/>
    </row>
    <row r="857" ht="15.75" hidden="1" customHeight="1">
      <c r="B857" s="146">
        <v>1118.0</v>
      </c>
      <c r="C857" s="146">
        <f t="shared" si="4"/>
        <v>11118</v>
      </c>
      <c r="D857" s="146"/>
      <c r="E857" s="305"/>
      <c r="F857" s="383"/>
      <c r="G857" s="430">
        <f>LEN('Expected Auditing Outcomes'!$F857)</f>
        <v>0</v>
      </c>
      <c r="H857" s="430"/>
    </row>
    <row r="858" ht="15.75" hidden="1" customHeight="1">
      <c r="B858" s="146">
        <v>1119.0</v>
      </c>
      <c r="C858" s="146">
        <f t="shared" si="4"/>
        <v>11119</v>
      </c>
      <c r="D858" s="146"/>
      <c r="E858" s="305"/>
      <c r="F858" s="383"/>
      <c r="G858" s="430">
        <f>LEN('Expected Auditing Outcomes'!$F858)</f>
        <v>0</v>
      </c>
      <c r="H858" s="430"/>
    </row>
    <row r="859" ht="15.75" hidden="1" customHeight="1">
      <c r="B859" s="146">
        <v>1120.0</v>
      </c>
      <c r="C859" s="146">
        <f t="shared" si="4"/>
        <v>11120</v>
      </c>
      <c r="D859" s="146"/>
      <c r="E859" s="305"/>
      <c r="F859" s="383"/>
      <c r="G859" s="430">
        <f>LEN('Expected Auditing Outcomes'!$F859)</f>
        <v>0</v>
      </c>
      <c r="H859" s="430"/>
    </row>
    <row r="860" ht="15.75" hidden="1" customHeight="1">
      <c r="B860" s="146">
        <v>1121.0</v>
      </c>
      <c r="C860" s="146">
        <f t="shared" si="4"/>
        <v>11121</v>
      </c>
      <c r="D860" s="146"/>
      <c r="E860" s="305"/>
      <c r="F860" s="383"/>
      <c r="G860" s="430">
        <f>LEN('Expected Auditing Outcomes'!$F860)</f>
        <v>0</v>
      </c>
      <c r="H860" s="430"/>
    </row>
    <row r="861" ht="15.75" hidden="1" customHeight="1">
      <c r="B861" s="146">
        <v>1122.0</v>
      </c>
      <c r="C861" s="146">
        <f t="shared" si="4"/>
        <v>11122</v>
      </c>
      <c r="D861" s="146"/>
      <c r="E861" s="305"/>
      <c r="F861" s="383"/>
      <c r="G861" s="430">
        <f>LEN('Expected Auditing Outcomes'!$F861)</f>
        <v>0</v>
      </c>
      <c r="H861" s="430"/>
    </row>
    <row r="862" ht="15.75" hidden="1" customHeight="1">
      <c r="B862" s="146">
        <v>1123.0</v>
      </c>
      <c r="C862" s="146">
        <f t="shared" si="4"/>
        <v>11123</v>
      </c>
      <c r="D862" s="146"/>
      <c r="E862" s="305"/>
      <c r="F862" s="383"/>
      <c r="G862" s="430">
        <f>LEN('Expected Auditing Outcomes'!$F862)</f>
        <v>0</v>
      </c>
      <c r="H862" s="430"/>
    </row>
    <row r="863" ht="15.75" hidden="1" customHeight="1">
      <c r="B863" s="146">
        <v>1124.0</v>
      </c>
      <c r="C863" s="146">
        <f t="shared" si="4"/>
        <v>11124</v>
      </c>
      <c r="D863" s="146"/>
      <c r="E863" s="305"/>
      <c r="F863" s="383"/>
      <c r="G863" s="430">
        <f>LEN('Expected Auditing Outcomes'!$F863)</f>
        <v>0</v>
      </c>
      <c r="H863" s="430"/>
    </row>
    <row r="864" ht="15.75" hidden="1" customHeight="1">
      <c r="B864" s="146">
        <v>1125.0</v>
      </c>
      <c r="C864" s="146">
        <f t="shared" si="4"/>
        <v>11125</v>
      </c>
      <c r="D864" s="146"/>
      <c r="E864" s="305"/>
      <c r="F864" s="383"/>
      <c r="G864" s="430">
        <f>LEN('Expected Auditing Outcomes'!$F864)</f>
        <v>0</v>
      </c>
      <c r="H864" s="430"/>
    </row>
    <row r="865" ht="15.75" hidden="1" customHeight="1">
      <c r="B865" s="146">
        <v>1126.0</v>
      </c>
      <c r="C865" s="146">
        <f t="shared" si="4"/>
        <v>11126</v>
      </c>
      <c r="D865" s="146"/>
      <c r="E865" s="305"/>
      <c r="F865" s="383"/>
      <c r="G865" s="430">
        <f>LEN('Expected Auditing Outcomes'!$F865)</f>
        <v>0</v>
      </c>
      <c r="H865" s="430"/>
    </row>
    <row r="866" ht="15.75" hidden="1" customHeight="1">
      <c r="B866" s="146">
        <v>1127.0</v>
      </c>
      <c r="C866" s="146">
        <f t="shared" si="4"/>
        <v>11127</v>
      </c>
      <c r="D866" s="146"/>
      <c r="E866" s="305"/>
      <c r="F866" s="383"/>
      <c r="G866" s="430">
        <f>LEN('Expected Auditing Outcomes'!$F866)</f>
        <v>0</v>
      </c>
      <c r="H866" s="430"/>
    </row>
    <row r="867" ht="15.75" hidden="1" customHeight="1">
      <c r="B867" s="146">
        <v>1128.0</v>
      </c>
      <c r="C867" s="146">
        <f t="shared" si="4"/>
        <v>11128</v>
      </c>
      <c r="D867" s="146"/>
      <c r="E867" s="305"/>
      <c r="F867" s="383"/>
      <c r="G867" s="430">
        <f>LEN('Expected Auditing Outcomes'!$F867)</f>
        <v>0</v>
      </c>
      <c r="H867" s="430"/>
    </row>
    <row r="868" ht="15.75" hidden="1" customHeight="1">
      <c r="B868" s="146">
        <v>1129.0</v>
      </c>
      <c r="C868" s="146">
        <f t="shared" si="4"/>
        <v>11129</v>
      </c>
      <c r="D868" s="146"/>
      <c r="E868" s="305"/>
      <c r="F868" s="383"/>
      <c r="G868" s="430">
        <f>LEN('Expected Auditing Outcomes'!$F868)</f>
        <v>0</v>
      </c>
      <c r="H868" s="430"/>
    </row>
    <row r="869" ht="15.75" hidden="1" customHeight="1">
      <c r="B869" s="146">
        <v>1130.0</v>
      </c>
      <c r="C869" s="146">
        <f t="shared" si="4"/>
        <v>11130</v>
      </c>
      <c r="D869" s="146"/>
      <c r="E869" s="305"/>
      <c r="F869" s="383"/>
      <c r="G869" s="430">
        <f>LEN('Expected Auditing Outcomes'!$F869)</f>
        <v>0</v>
      </c>
      <c r="H869" s="430"/>
    </row>
    <row r="870" ht="15.75" hidden="1" customHeight="1">
      <c r="B870" s="146">
        <v>1131.0</v>
      </c>
      <c r="C870" s="146">
        <f t="shared" si="4"/>
        <v>11131</v>
      </c>
      <c r="D870" s="146"/>
      <c r="E870" s="305"/>
      <c r="F870" s="383"/>
      <c r="G870" s="430">
        <f>LEN('Expected Auditing Outcomes'!$F870)</f>
        <v>0</v>
      </c>
      <c r="H870" s="430"/>
    </row>
    <row r="871" ht="15.75" hidden="1" customHeight="1">
      <c r="B871" s="146">
        <v>1132.0</v>
      </c>
      <c r="C871" s="146">
        <f t="shared" si="4"/>
        <v>11132</v>
      </c>
      <c r="D871" s="146"/>
      <c r="E871" s="305"/>
      <c r="F871" s="383"/>
      <c r="G871" s="430">
        <f>LEN('Expected Auditing Outcomes'!$F871)</f>
        <v>0</v>
      </c>
      <c r="H871" s="430"/>
    </row>
    <row r="872" ht="15.75" hidden="1" customHeight="1">
      <c r="B872" s="146">
        <v>1133.0</v>
      </c>
      <c r="C872" s="146">
        <f t="shared" si="4"/>
        <v>11133</v>
      </c>
      <c r="D872" s="146"/>
      <c r="E872" s="305"/>
      <c r="F872" s="383"/>
      <c r="G872" s="430">
        <f>LEN('Expected Auditing Outcomes'!$F872)</f>
        <v>0</v>
      </c>
      <c r="H872" s="430"/>
    </row>
    <row r="873" ht="15.75" hidden="1" customHeight="1">
      <c r="B873" s="146">
        <v>1134.0</v>
      </c>
      <c r="C873" s="146">
        <f t="shared" si="4"/>
        <v>11134</v>
      </c>
      <c r="D873" s="146"/>
      <c r="E873" s="305"/>
      <c r="F873" s="383"/>
      <c r="G873" s="430">
        <f>LEN('Expected Auditing Outcomes'!$F873)</f>
        <v>0</v>
      </c>
      <c r="H873" s="430"/>
    </row>
    <row r="874" ht="15.75" hidden="1" customHeight="1">
      <c r="B874" s="146">
        <v>1135.0</v>
      </c>
      <c r="C874" s="146">
        <f t="shared" si="4"/>
        <v>11135</v>
      </c>
      <c r="D874" s="146"/>
      <c r="E874" s="305"/>
      <c r="F874" s="383"/>
      <c r="G874" s="430">
        <f>LEN('Expected Auditing Outcomes'!$F874)</f>
        <v>0</v>
      </c>
      <c r="H874" s="430"/>
    </row>
    <row r="875" ht="15.75" hidden="1" customHeight="1">
      <c r="B875" s="146">
        <v>1136.0</v>
      </c>
      <c r="C875" s="146">
        <f t="shared" si="4"/>
        <v>11136</v>
      </c>
      <c r="D875" s="146"/>
      <c r="E875" s="305"/>
      <c r="F875" s="383"/>
      <c r="G875" s="430">
        <f>LEN('Expected Auditing Outcomes'!$F875)</f>
        <v>0</v>
      </c>
      <c r="H875" s="430"/>
    </row>
    <row r="876" ht="15.75" hidden="1" customHeight="1">
      <c r="B876" s="146">
        <v>1137.0</v>
      </c>
      <c r="C876" s="146">
        <f t="shared" si="4"/>
        <v>11137</v>
      </c>
      <c r="D876" s="146"/>
      <c r="E876" s="305"/>
      <c r="F876" s="383"/>
      <c r="G876" s="430">
        <f>LEN('Expected Auditing Outcomes'!$F876)</f>
        <v>0</v>
      </c>
      <c r="H876" s="430"/>
    </row>
    <row r="877" ht="15.75" hidden="1" customHeight="1">
      <c r="B877" s="146">
        <v>1138.0</v>
      </c>
      <c r="C877" s="146">
        <f t="shared" si="4"/>
        <v>11138</v>
      </c>
      <c r="D877" s="146"/>
      <c r="E877" s="305"/>
      <c r="F877" s="383"/>
      <c r="G877" s="430">
        <f>LEN('Expected Auditing Outcomes'!$F877)</f>
        <v>0</v>
      </c>
      <c r="H877" s="430"/>
    </row>
    <row r="878" ht="15.75" hidden="1" customHeight="1">
      <c r="B878" s="146">
        <v>1139.0</v>
      </c>
      <c r="C878" s="146">
        <f t="shared" si="4"/>
        <v>11139</v>
      </c>
      <c r="D878" s="146"/>
      <c r="E878" s="305"/>
      <c r="F878" s="383"/>
      <c r="G878" s="430">
        <f>LEN('Expected Auditing Outcomes'!$F878)</f>
        <v>0</v>
      </c>
      <c r="H878" s="430"/>
    </row>
    <row r="879" ht="15.75" hidden="1" customHeight="1">
      <c r="B879" s="146">
        <v>1140.0</v>
      </c>
      <c r="C879" s="146">
        <f t="shared" si="4"/>
        <v>11140</v>
      </c>
      <c r="D879" s="146"/>
      <c r="E879" s="305"/>
      <c r="F879" s="383"/>
      <c r="G879" s="430">
        <f>LEN('Expected Auditing Outcomes'!$F879)</f>
        <v>0</v>
      </c>
      <c r="H879" s="430"/>
    </row>
    <row r="880" ht="15.75" hidden="1" customHeight="1">
      <c r="B880" s="146">
        <v>1141.0</v>
      </c>
      <c r="C880" s="146">
        <f t="shared" si="4"/>
        <v>11141</v>
      </c>
      <c r="D880" s="146"/>
      <c r="E880" s="305"/>
      <c r="F880" s="383"/>
      <c r="G880" s="430">
        <f>LEN('Expected Auditing Outcomes'!$F880)</f>
        <v>0</v>
      </c>
      <c r="H880" s="430"/>
    </row>
    <row r="881" ht="15.75" hidden="1" customHeight="1">
      <c r="B881" s="146">
        <v>1142.0</v>
      </c>
      <c r="C881" s="146">
        <f t="shared" si="4"/>
        <v>11142</v>
      </c>
      <c r="D881" s="146"/>
      <c r="E881" s="305"/>
      <c r="F881" s="383"/>
      <c r="G881" s="430">
        <f>LEN('Expected Auditing Outcomes'!$F881)</f>
        <v>0</v>
      </c>
      <c r="H881" s="430"/>
    </row>
    <row r="882" ht="15.75" hidden="1" customHeight="1">
      <c r="B882" s="146">
        <v>1143.0</v>
      </c>
      <c r="C882" s="146">
        <f t="shared" si="4"/>
        <v>11143</v>
      </c>
      <c r="D882" s="146"/>
      <c r="E882" s="305"/>
      <c r="F882" s="383"/>
      <c r="G882" s="430">
        <f>LEN('Expected Auditing Outcomes'!$F882)</f>
        <v>0</v>
      </c>
      <c r="H882" s="430"/>
    </row>
    <row r="883" ht="15.75" hidden="1" customHeight="1">
      <c r="B883" s="146">
        <v>1144.0</v>
      </c>
      <c r="C883" s="146">
        <f t="shared" si="4"/>
        <v>11144</v>
      </c>
      <c r="D883" s="146"/>
      <c r="E883" s="305"/>
      <c r="F883" s="383"/>
      <c r="G883" s="430">
        <f>LEN('Expected Auditing Outcomes'!$F883)</f>
        <v>0</v>
      </c>
      <c r="H883" s="430"/>
    </row>
    <row r="884" ht="15.75" hidden="1" customHeight="1">
      <c r="B884" s="146">
        <v>1145.0</v>
      </c>
      <c r="C884" s="146">
        <f t="shared" si="4"/>
        <v>11145</v>
      </c>
      <c r="D884" s="146"/>
      <c r="E884" s="305"/>
      <c r="F884" s="383"/>
      <c r="G884" s="430">
        <f>LEN('Expected Auditing Outcomes'!$F884)</f>
        <v>0</v>
      </c>
      <c r="H884" s="430"/>
    </row>
    <row r="885" ht="15.75" hidden="1" customHeight="1">
      <c r="B885" s="146">
        <v>1146.0</v>
      </c>
      <c r="C885" s="146">
        <f t="shared" si="4"/>
        <v>11146</v>
      </c>
      <c r="D885" s="146"/>
      <c r="E885" s="305"/>
      <c r="F885" s="383"/>
      <c r="G885" s="430">
        <f>LEN('Expected Auditing Outcomes'!$F885)</f>
        <v>0</v>
      </c>
      <c r="H885" s="430"/>
    </row>
    <row r="886" ht="15.75" hidden="1" customHeight="1">
      <c r="B886" s="146">
        <v>1147.0</v>
      </c>
      <c r="C886" s="146">
        <f t="shared" si="4"/>
        <v>11147</v>
      </c>
      <c r="D886" s="146"/>
      <c r="E886" s="305"/>
      <c r="F886" s="383"/>
      <c r="G886" s="430">
        <f>LEN('Expected Auditing Outcomes'!$F886)</f>
        <v>0</v>
      </c>
      <c r="H886" s="430"/>
    </row>
    <row r="887" ht="15.75" hidden="1" customHeight="1">
      <c r="B887" s="146">
        <v>1148.0</v>
      </c>
      <c r="C887" s="146">
        <f t="shared" si="4"/>
        <v>11148</v>
      </c>
      <c r="D887" s="146"/>
      <c r="E887" s="305"/>
      <c r="F887" s="383"/>
      <c r="G887" s="430">
        <f>LEN('Expected Auditing Outcomes'!$F887)</f>
        <v>0</v>
      </c>
      <c r="H887" s="430"/>
    </row>
    <row r="888" ht="15.75" hidden="1" customHeight="1">
      <c r="B888" s="146">
        <v>1149.0</v>
      </c>
      <c r="C888" s="146">
        <f t="shared" si="4"/>
        <v>11149</v>
      </c>
      <c r="D888" s="146"/>
      <c r="E888" s="305"/>
      <c r="F888" s="383"/>
      <c r="G888" s="430">
        <f>LEN('Expected Auditing Outcomes'!$F888)</f>
        <v>0</v>
      </c>
      <c r="H888" s="430"/>
    </row>
    <row r="889" ht="15.75" hidden="1" customHeight="1">
      <c r="B889" s="146">
        <v>1150.0</v>
      </c>
      <c r="C889" s="146">
        <f t="shared" si="4"/>
        <v>11150</v>
      </c>
      <c r="D889" s="146"/>
      <c r="E889" s="305"/>
      <c r="F889" s="383"/>
      <c r="G889" s="430">
        <f>LEN('Expected Auditing Outcomes'!$F889)</f>
        <v>0</v>
      </c>
      <c r="H889" s="430"/>
    </row>
    <row r="890" ht="15.75" hidden="1" customHeight="1">
      <c r="B890" s="146">
        <v>1151.0</v>
      </c>
      <c r="C890" s="146">
        <f t="shared" si="4"/>
        <v>11151</v>
      </c>
      <c r="D890" s="146"/>
      <c r="E890" s="305"/>
      <c r="F890" s="383"/>
      <c r="G890" s="430">
        <f>LEN('Expected Auditing Outcomes'!$F890)</f>
        <v>0</v>
      </c>
      <c r="H890" s="430"/>
    </row>
    <row r="891" ht="15.75" hidden="1" customHeight="1">
      <c r="B891" s="146">
        <v>1152.0</v>
      </c>
      <c r="C891" s="146">
        <f t="shared" si="4"/>
        <v>11152</v>
      </c>
      <c r="D891" s="146"/>
      <c r="E891" s="305"/>
      <c r="F891" s="383"/>
      <c r="G891" s="430">
        <f>LEN('Expected Auditing Outcomes'!$F891)</f>
        <v>0</v>
      </c>
      <c r="H891" s="430"/>
    </row>
    <row r="892" ht="15.75" hidden="1" customHeight="1">
      <c r="B892" s="146">
        <v>1153.0</v>
      </c>
      <c r="C892" s="146">
        <f t="shared" si="4"/>
        <v>11153</v>
      </c>
      <c r="D892" s="146"/>
      <c r="E892" s="305"/>
      <c r="F892" s="383"/>
      <c r="G892" s="430">
        <f>LEN('Expected Auditing Outcomes'!$F892)</f>
        <v>0</v>
      </c>
      <c r="H892" s="430"/>
    </row>
    <row r="893" ht="15.75" hidden="1" customHeight="1">
      <c r="B893" s="146">
        <v>1154.0</v>
      </c>
      <c r="C893" s="146">
        <f t="shared" si="4"/>
        <v>11154</v>
      </c>
      <c r="D893" s="146"/>
      <c r="E893" s="305"/>
      <c r="F893" s="383"/>
      <c r="G893" s="430">
        <f>LEN('Expected Auditing Outcomes'!$F893)</f>
        <v>0</v>
      </c>
      <c r="H893" s="430"/>
    </row>
    <row r="894" ht="15.75" hidden="1" customHeight="1">
      <c r="B894" s="146">
        <v>1155.0</v>
      </c>
      <c r="C894" s="146">
        <f t="shared" si="4"/>
        <v>11155</v>
      </c>
      <c r="D894" s="146"/>
      <c r="E894" s="305"/>
      <c r="F894" s="383"/>
      <c r="G894" s="430">
        <f>LEN('Expected Auditing Outcomes'!$F894)</f>
        <v>0</v>
      </c>
      <c r="H894" s="430"/>
    </row>
    <row r="895" ht="15.75" hidden="1" customHeight="1">
      <c r="B895" s="146">
        <v>1156.0</v>
      </c>
      <c r="C895" s="146">
        <f t="shared" si="4"/>
        <v>11156</v>
      </c>
      <c r="D895" s="146"/>
      <c r="E895" s="305"/>
      <c r="F895" s="383"/>
      <c r="G895" s="430">
        <f>LEN('Expected Auditing Outcomes'!$F895)</f>
        <v>0</v>
      </c>
      <c r="H895" s="430"/>
    </row>
    <row r="896" ht="15.75" hidden="1" customHeight="1">
      <c r="B896" s="146">
        <v>1157.0</v>
      </c>
      <c r="C896" s="146">
        <f t="shared" si="4"/>
        <v>11157</v>
      </c>
      <c r="D896" s="146"/>
      <c r="E896" s="305"/>
      <c r="F896" s="383"/>
      <c r="G896" s="430">
        <f>LEN('Expected Auditing Outcomes'!$F896)</f>
        <v>0</v>
      </c>
      <c r="H896" s="430"/>
    </row>
    <row r="897" ht="15.75" hidden="1" customHeight="1">
      <c r="B897" s="146">
        <v>1158.0</v>
      </c>
      <c r="C897" s="146">
        <f t="shared" si="4"/>
        <v>11158</v>
      </c>
      <c r="D897" s="146"/>
      <c r="E897" s="305"/>
      <c r="F897" s="383"/>
      <c r="G897" s="430">
        <f>LEN('Expected Auditing Outcomes'!$F897)</f>
        <v>0</v>
      </c>
      <c r="H897" s="430"/>
    </row>
    <row r="898" ht="15.75" hidden="1" customHeight="1">
      <c r="B898" s="146">
        <v>1159.0</v>
      </c>
      <c r="C898" s="146">
        <f t="shared" si="4"/>
        <v>11159</v>
      </c>
      <c r="D898" s="146"/>
      <c r="E898" s="305"/>
      <c r="F898" s="383"/>
      <c r="G898" s="430">
        <f>LEN('Expected Auditing Outcomes'!$F898)</f>
        <v>0</v>
      </c>
      <c r="H898" s="430"/>
    </row>
    <row r="899" ht="15.75" hidden="1" customHeight="1">
      <c r="B899" s="146">
        <v>1160.0</v>
      </c>
      <c r="C899" s="146">
        <f t="shared" si="4"/>
        <v>11160</v>
      </c>
      <c r="D899" s="146"/>
      <c r="E899" s="305"/>
      <c r="F899" s="383"/>
      <c r="G899" s="430">
        <f>LEN('Expected Auditing Outcomes'!$F899)</f>
        <v>0</v>
      </c>
      <c r="H899" s="430"/>
    </row>
    <row r="900" ht="15.75" hidden="1" customHeight="1">
      <c r="B900" s="146">
        <v>1161.0</v>
      </c>
      <c r="C900" s="146">
        <f t="shared" si="4"/>
        <v>11161</v>
      </c>
      <c r="D900" s="146"/>
      <c r="E900" s="305"/>
      <c r="F900" s="383"/>
      <c r="G900" s="430">
        <f>LEN('Expected Auditing Outcomes'!$F900)</f>
        <v>0</v>
      </c>
      <c r="H900" s="430"/>
    </row>
    <row r="901" ht="15.75" hidden="1" customHeight="1">
      <c r="B901" s="146">
        <v>1162.0</v>
      </c>
      <c r="C901" s="146">
        <f t="shared" si="4"/>
        <v>11162</v>
      </c>
      <c r="D901" s="146"/>
      <c r="E901" s="305"/>
      <c r="F901" s="383"/>
      <c r="G901" s="430">
        <f>LEN('Expected Auditing Outcomes'!$F901)</f>
        <v>0</v>
      </c>
      <c r="H901" s="430"/>
    </row>
    <row r="902" ht="15.75" hidden="1" customHeight="1">
      <c r="B902" s="146">
        <v>1163.0</v>
      </c>
      <c r="C902" s="146">
        <f t="shared" si="4"/>
        <v>11163</v>
      </c>
      <c r="D902" s="146"/>
      <c r="E902" s="305"/>
      <c r="F902" s="383"/>
      <c r="G902" s="430">
        <f>LEN('Expected Auditing Outcomes'!$F902)</f>
        <v>0</v>
      </c>
      <c r="H902" s="430"/>
    </row>
    <row r="903" ht="15.75" hidden="1" customHeight="1">
      <c r="B903" s="146">
        <v>1164.0</v>
      </c>
      <c r="C903" s="146">
        <f t="shared" si="4"/>
        <v>11164</v>
      </c>
      <c r="D903" s="146"/>
      <c r="E903" s="305"/>
      <c r="F903" s="383"/>
      <c r="G903" s="430">
        <f>LEN('Expected Auditing Outcomes'!$F903)</f>
        <v>0</v>
      </c>
      <c r="H903" s="430"/>
    </row>
    <row r="904" ht="15.75" hidden="1" customHeight="1">
      <c r="B904" s="146">
        <v>1165.0</v>
      </c>
      <c r="C904" s="146">
        <f t="shared" si="4"/>
        <v>11165</v>
      </c>
      <c r="D904" s="146"/>
      <c r="E904" s="305"/>
      <c r="F904" s="383"/>
      <c r="G904" s="430">
        <f>LEN('Expected Auditing Outcomes'!$F904)</f>
        <v>0</v>
      </c>
      <c r="H904" s="430"/>
    </row>
    <row r="905" ht="15.75" hidden="1" customHeight="1">
      <c r="B905" s="146">
        <v>1166.0</v>
      </c>
      <c r="C905" s="146">
        <f t="shared" si="4"/>
        <v>11166</v>
      </c>
      <c r="D905" s="146"/>
      <c r="E905" s="305"/>
      <c r="F905" s="383"/>
      <c r="G905" s="430">
        <f>LEN('Expected Auditing Outcomes'!$F905)</f>
        <v>0</v>
      </c>
      <c r="H905" s="430"/>
    </row>
    <row r="906" ht="15.75" hidden="1" customHeight="1">
      <c r="B906" s="146">
        <v>1167.0</v>
      </c>
      <c r="C906" s="146">
        <f t="shared" si="4"/>
        <v>11167</v>
      </c>
      <c r="D906" s="146"/>
      <c r="E906" s="305"/>
      <c r="F906" s="383"/>
      <c r="G906" s="430">
        <f>LEN('Expected Auditing Outcomes'!$F906)</f>
        <v>0</v>
      </c>
      <c r="H906" s="430"/>
    </row>
    <row r="907" ht="15.75" hidden="1" customHeight="1">
      <c r="B907" s="146">
        <v>1168.0</v>
      </c>
      <c r="C907" s="146">
        <f t="shared" si="4"/>
        <v>11168</v>
      </c>
      <c r="D907" s="146"/>
      <c r="E907" s="305"/>
      <c r="F907" s="383"/>
      <c r="G907" s="430">
        <f>LEN('Expected Auditing Outcomes'!$F907)</f>
        <v>0</v>
      </c>
      <c r="H907" s="430"/>
    </row>
    <row r="908" ht="15.75" hidden="1" customHeight="1">
      <c r="B908" s="146">
        <v>1169.0</v>
      </c>
      <c r="C908" s="146">
        <f t="shared" si="4"/>
        <v>11169</v>
      </c>
      <c r="D908" s="146"/>
      <c r="E908" s="305"/>
      <c r="F908" s="383"/>
      <c r="G908" s="430">
        <f>LEN('Expected Auditing Outcomes'!$F908)</f>
        <v>0</v>
      </c>
      <c r="H908" s="430"/>
    </row>
    <row r="909" ht="15.75" hidden="1" customHeight="1">
      <c r="B909" s="146">
        <v>1170.0</v>
      </c>
      <c r="C909" s="146">
        <f t="shared" si="4"/>
        <v>11170</v>
      </c>
      <c r="D909" s="146"/>
      <c r="E909" s="305"/>
      <c r="F909" s="383"/>
      <c r="G909" s="430">
        <f>LEN('Expected Auditing Outcomes'!$F909)</f>
        <v>0</v>
      </c>
      <c r="H909" s="430"/>
    </row>
    <row r="910" ht="15.75" hidden="1" customHeight="1">
      <c r="B910" s="146">
        <v>1171.0</v>
      </c>
      <c r="C910" s="146">
        <f t="shared" si="4"/>
        <v>11171</v>
      </c>
      <c r="D910" s="146"/>
      <c r="E910" s="305"/>
      <c r="F910" s="383"/>
      <c r="G910" s="430">
        <f>LEN('Expected Auditing Outcomes'!$F910)</f>
        <v>0</v>
      </c>
      <c r="H910" s="430"/>
    </row>
    <row r="911" ht="15.75" hidden="1" customHeight="1">
      <c r="B911" s="146">
        <v>1172.0</v>
      </c>
      <c r="C911" s="146">
        <f t="shared" si="4"/>
        <v>11172</v>
      </c>
      <c r="D911" s="146"/>
      <c r="E911" s="305"/>
      <c r="F911" s="383"/>
      <c r="G911" s="430">
        <f>LEN('Expected Auditing Outcomes'!$F911)</f>
        <v>0</v>
      </c>
      <c r="H911" s="430"/>
    </row>
    <row r="912" ht="15.75" hidden="1" customHeight="1">
      <c r="B912" s="146">
        <v>1173.0</v>
      </c>
      <c r="C912" s="146">
        <f t="shared" si="4"/>
        <v>11173</v>
      </c>
      <c r="D912" s="146"/>
      <c r="E912" s="305"/>
      <c r="F912" s="383"/>
      <c r="G912" s="430">
        <f>LEN('Expected Auditing Outcomes'!$F912)</f>
        <v>0</v>
      </c>
      <c r="H912" s="430"/>
    </row>
    <row r="913" ht="15.75" hidden="1" customHeight="1">
      <c r="B913" s="146">
        <v>1174.0</v>
      </c>
      <c r="C913" s="146">
        <f t="shared" si="4"/>
        <v>11174</v>
      </c>
      <c r="D913" s="146"/>
      <c r="E913" s="305"/>
      <c r="F913" s="383"/>
      <c r="G913" s="430">
        <f>LEN('Expected Auditing Outcomes'!$F913)</f>
        <v>0</v>
      </c>
      <c r="H913" s="430"/>
    </row>
    <row r="914" ht="15.75" hidden="1" customHeight="1">
      <c r="B914" s="146">
        <v>1175.0</v>
      </c>
      <c r="C914" s="146">
        <f t="shared" si="4"/>
        <v>11175</v>
      </c>
      <c r="D914" s="146"/>
      <c r="E914" s="305"/>
      <c r="F914" s="383"/>
      <c r="G914" s="430">
        <f>LEN('Expected Auditing Outcomes'!$F914)</f>
        <v>0</v>
      </c>
      <c r="H914" s="430"/>
    </row>
    <row r="915" ht="15.75" hidden="1" customHeight="1">
      <c r="B915" s="146">
        <v>1176.0</v>
      </c>
      <c r="C915" s="146">
        <f t="shared" si="4"/>
        <v>11176</v>
      </c>
      <c r="D915" s="146"/>
      <c r="E915" s="305"/>
      <c r="F915" s="383"/>
      <c r="G915" s="430">
        <f>LEN('Expected Auditing Outcomes'!$F915)</f>
        <v>0</v>
      </c>
      <c r="H915" s="430"/>
    </row>
    <row r="916" ht="15.75" hidden="1" customHeight="1">
      <c r="B916" s="146">
        <v>1177.0</v>
      </c>
      <c r="C916" s="146">
        <f t="shared" si="4"/>
        <v>11177</v>
      </c>
      <c r="D916" s="146"/>
      <c r="E916" s="305"/>
      <c r="F916" s="383"/>
      <c r="G916" s="430">
        <f>LEN('Expected Auditing Outcomes'!$F916)</f>
        <v>0</v>
      </c>
      <c r="H916" s="430"/>
    </row>
    <row r="917" ht="15.75" hidden="1" customHeight="1">
      <c r="B917" s="146">
        <v>1178.0</v>
      </c>
      <c r="C917" s="146">
        <f t="shared" si="4"/>
        <v>11178</v>
      </c>
      <c r="D917" s="146"/>
      <c r="E917" s="305"/>
      <c r="F917" s="383"/>
      <c r="G917" s="430">
        <f>LEN('Expected Auditing Outcomes'!$F917)</f>
        <v>0</v>
      </c>
      <c r="H917" s="430"/>
    </row>
    <row r="918" ht="15.75" hidden="1" customHeight="1">
      <c r="B918" s="146">
        <v>1179.0</v>
      </c>
      <c r="C918" s="146">
        <f t="shared" si="4"/>
        <v>11179</v>
      </c>
      <c r="D918" s="146"/>
      <c r="E918" s="305"/>
      <c r="F918" s="383"/>
      <c r="G918" s="430">
        <f>LEN('Expected Auditing Outcomes'!$F918)</f>
        <v>0</v>
      </c>
      <c r="H918" s="430"/>
    </row>
    <row r="919" ht="15.75" hidden="1" customHeight="1">
      <c r="B919" s="146">
        <v>1180.0</v>
      </c>
      <c r="C919" s="146">
        <f t="shared" si="4"/>
        <v>11180</v>
      </c>
      <c r="D919" s="146"/>
      <c r="E919" s="305"/>
      <c r="F919" s="383"/>
      <c r="G919" s="430">
        <f>LEN('Expected Auditing Outcomes'!$F919)</f>
        <v>0</v>
      </c>
      <c r="H919" s="430"/>
    </row>
    <row r="920" ht="15.75" hidden="1" customHeight="1">
      <c r="B920" s="146">
        <v>1181.0</v>
      </c>
      <c r="C920" s="146">
        <f t="shared" si="4"/>
        <v>11181</v>
      </c>
      <c r="D920" s="146"/>
      <c r="E920" s="305"/>
      <c r="F920" s="383"/>
      <c r="G920" s="430">
        <f>LEN('Expected Auditing Outcomes'!$F920)</f>
        <v>0</v>
      </c>
      <c r="H920" s="430"/>
    </row>
    <row r="921" ht="15.75" hidden="1" customHeight="1">
      <c r="B921" s="146">
        <v>1182.0</v>
      </c>
      <c r="C921" s="146">
        <f t="shared" si="4"/>
        <v>11182</v>
      </c>
      <c r="D921" s="146"/>
      <c r="E921" s="305"/>
      <c r="F921" s="383"/>
      <c r="G921" s="430">
        <f>LEN('Expected Auditing Outcomes'!$F921)</f>
        <v>0</v>
      </c>
      <c r="H921" s="430"/>
    </row>
    <row r="922" ht="15.75" hidden="1" customHeight="1">
      <c r="B922" s="146">
        <v>1183.0</v>
      </c>
      <c r="C922" s="146">
        <f t="shared" si="4"/>
        <v>11183</v>
      </c>
      <c r="D922" s="146"/>
      <c r="E922" s="305"/>
      <c r="F922" s="383"/>
      <c r="G922" s="430">
        <f>LEN('Expected Auditing Outcomes'!$F922)</f>
        <v>0</v>
      </c>
      <c r="H922" s="430"/>
    </row>
    <row r="923" ht="15.75" hidden="1" customHeight="1">
      <c r="B923" s="146">
        <v>1184.0</v>
      </c>
      <c r="C923" s="146">
        <f t="shared" si="4"/>
        <v>11184</v>
      </c>
      <c r="D923" s="146"/>
      <c r="E923" s="305"/>
      <c r="F923" s="383"/>
      <c r="G923" s="430">
        <f>LEN('Expected Auditing Outcomes'!$F923)</f>
        <v>0</v>
      </c>
      <c r="H923" s="430"/>
    </row>
    <row r="924" ht="15.75" hidden="1" customHeight="1">
      <c r="B924" s="146">
        <v>1185.0</v>
      </c>
      <c r="C924" s="146">
        <f t="shared" si="4"/>
        <v>11185</v>
      </c>
      <c r="D924" s="146"/>
      <c r="E924" s="305"/>
      <c r="F924" s="383"/>
      <c r="G924" s="430">
        <f>LEN('Expected Auditing Outcomes'!$F924)</f>
        <v>0</v>
      </c>
      <c r="H924" s="430"/>
    </row>
    <row r="925" ht="15.75" hidden="1" customHeight="1">
      <c r="B925" s="146">
        <v>1186.0</v>
      </c>
      <c r="C925" s="146">
        <f t="shared" si="4"/>
        <v>11186</v>
      </c>
      <c r="D925" s="146"/>
      <c r="E925" s="305"/>
      <c r="F925" s="383"/>
      <c r="G925" s="430">
        <f>LEN('Expected Auditing Outcomes'!$F925)</f>
        <v>0</v>
      </c>
      <c r="H925" s="430"/>
    </row>
    <row r="926" ht="15.75" hidden="1" customHeight="1">
      <c r="B926" s="146">
        <v>1187.0</v>
      </c>
      <c r="C926" s="146">
        <f t="shared" si="4"/>
        <v>11187</v>
      </c>
      <c r="D926" s="146"/>
      <c r="E926" s="305"/>
      <c r="F926" s="383"/>
      <c r="G926" s="430">
        <f>LEN('Expected Auditing Outcomes'!$F926)</f>
        <v>0</v>
      </c>
      <c r="H926" s="430"/>
    </row>
    <row r="927" ht="15.75" hidden="1" customHeight="1">
      <c r="B927" s="146">
        <v>1188.0</v>
      </c>
      <c r="C927" s="146">
        <f t="shared" si="4"/>
        <v>11188</v>
      </c>
      <c r="D927" s="146"/>
      <c r="E927" s="305"/>
      <c r="F927" s="383"/>
      <c r="G927" s="430">
        <f>LEN('Expected Auditing Outcomes'!$F927)</f>
        <v>0</v>
      </c>
      <c r="H927" s="430"/>
    </row>
    <row r="928" ht="15.75" hidden="1" customHeight="1">
      <c r="B928" s="146">
        <v>1189.0</v>
      </c>
      <c r="C928" s="146">
        <f t="shared" si="4"/>
        <v>11189</v>
      </c>
      <c r="D928" s="146"/>
      <c r="E928" s="305"/>
      <c r="F928" s="383"/>
      <c r="G928" s="430">
        <f>LEN('Expected Auditing Outcomes'!$F928)</f>
        <v>0</v>
      </c>
      <c r="H928" s="430"/>
    </row>
    <row r="929" ht="15.75" hidden="1" customHeight="1">
      <c r="B929" s="146">
        <v>1190.0</v>
      </c>
      <c r="C929" s="146">
        <f t="shared" si="4"/>
        <v>11190</v>
      </c>
      <c r="D929" s="146"/>
      <c r="E929" s="305"/>
      <c r="F929" s="383"/>
      <c r="G929" s="430">
        <f>LEN('Expected Auditing Outcomes'!$F929)</f>
        <v>0</v>
      </c>
      <c r="H929" s="430"/>
    </row>
    <row r="930" ht="15.75" hidden="1" customHeight="1">
      <c r="B930" s="146">
        <v>1191.0</v>
      </c>
      <c r="C930" s="146">
        <f t="shared" si="4"/>
        <v>11191</v>
      </c>
      <c r="D930" s="146"/>
      <c r="E930" s="305"/>
      <c r="F930" s="383"/>
      <c r="G930" s="430">
        <f>LEN('Expected Auditing Outcomes'!$F930)</f>
        <v>0</v>
      </c>
      <c r="H930" s="430"/>
    </row>
    <row r="931" ht="15.75" hidden="1" customHeight="1">
      <c r="B931" s="146">
        <v>1192.0</v>
      </c>
      <c r="C931" s="146">
        <f t="shared" si="4"/>
        <v>11192</v>
      </c>
      <c r="D931" s="146"/>
      <c r="E931" s="305"/>
      <c r="F931" s="383"/>
      <c r="G931" s="430">
        <f>LEN('Expected Auditing Outcomes'!$F931)</f>
        <v>0</v>
      </c>
      <c r="H931" s="430"/>
    </row>
    <row r="932" ht="15.75" hidden="1" customHeight="1">
      <c r="B932" s="146">
        <v>1193.0</v>
      </c>
      <c r="C932" s="146">
        <f t="shared" si="4"/>
        <v>11193</v>
      </c>
      <c r="D932" s="146"/>
      <c r="E932" s="305"/>
      <c r="F932" s="383"/>
      <c r="G932" s="430">
        <f>LEN('Expected Auditing Outcomes'!$F932)</f>
        <v>0</v>
      </c>
      <c r="H932" s="430"/>
    </row>
    <row r="933" ht="15.75" hidden="1" customHeight="1">
      <c r="B933" s="146">
        <v>1194.0</v>
      </c>
      <c r="C933" s="146">
        <f t="shared" si="4"/>
        <v>11194</v>
      </c>
      <c r="D933" s="146"/>
      <c r="E933" s="305"/>
      <c r="F933" s="383"/>
      <c r="G933" s="430">
        <f>LEN('Expected Auditing Outcomes'!$F933)</f>
        <v>0</v>
      </c>
      <c r="H933" s="430"/>
    </row>
    <row r="934" ht="15.75" hidden="1" customHeight="1">
      <c r="B934" s="146">
        <v>1195.0</v>
      </c>
      <c r="C934" s="146">
        <f t="shared" si="4"/>
        <v>11195</v>
      </c>
      <c r="D934" s="146"/>
      <c r="E934" s="305"/>
      <c r="F934" s="383"/>
      <c r="G934" s="430">
        <f>LEN('Expected Auditing Outcomes'!$F934)</f>
        <v>0</v>
      </c>
      <c r="H934" s="430"/>
    </row>
    <row r="935" ht="15.75" hidden="1" customHeight="1">
      <c r="B935" s="146">
        <v>1196.0</v>
      </c>
      <c r="C935" s="146">
        <f t="shared" si="4"/>
        <v>11196</v>
      </c>
      <c r="D935" s="146"/>
      <c r="E935" s="305"/>
      <c r="F935" s="383"/>
      <c r="G935" s="430">
        <f>LEN('Expected Auditing Outcomes'!$F935)</f>
        <v>0</v>
      </c>
      <c r="H935" s="430"/>
    </row>
    <row r="936" ht="15.75" hidden="1" customHeight="1">
      <c r="B936" s="146">
        <v>1197.0</v>
      </c>
      <c r="C936" s="146">
        <f t="shared" si="4"/>
        <v>11197</v>
      </c>
      <c r="D936" s="146"/>
      <c r="E936" s="305"/>
      <c r="F936" s="383"/>
      <c r="G936" s="430">
        <f>LEN('Expected Auditing Outcomes'!$F936)</f>
        <v>0</v>
      </c>
      <c r="H936" s="430"/>
    </row>
    <row r="937" ht="15.75" hidden="1" customHeight="1">
      <c r="B937" s="146">
        <v>1198.0</v>
      </c>
      <c r="C937" s="146">
        <f t="shared" si="4"/>
        <v>11198</v>
      </c>
      <c r="D937" s="146"/>
      <c r="E937" s="305"/>
      <c r="F937" s="383"/>
      <c r="G937" s="430">
        <f>LEN('Expected Auditing Outcomes'!$F937)</f>
        <v>0</v>
      </c>
      <c r="H937" s="430"/>
    </row>
    <row r="938" ht="15.75" hidden="1" customHeight="1">
      <c r="B938" s="146">
        <v>1199.0</v>
      </c>
      <c r="C938" s="146">
        <f t="shared" si="4"/>
        <v>11199</v>
      </c>
      <c r="D938" s="146"/>
      <c r="E938" s="305"/>
      <c r="F938" s="383"/>
      <c r="G938" s="430">
        <f>LEN('Expected Auditing Outcomes'!$F938)</f>
        <v>0</v>
      </c>
      <c r="H938" s="430"/>
    </row>
    <row r="939" ht="15.75" hidden="1" customHeight="1">
      <c r="B939" s="146">
        <v>1200.0</v>
      </c>
      <c r="C939" s="146">
        <f t="shared" si="4"/>
        <v>11200</v>
      </c>
      <c r="D939" s="146"/>
      <c r="E939" s="305"/>
      <c r="F939" s="383"/>
      <c r="G939" s="430">
        <f>LEN('Expected Auditing Outcomes'!$F939)</f>
        <v>0</v>
      </c>
      <c r="H939" s="430"/>
    </row>
    <row r="940" ht="15.75" hidden="1" customHeight="1">
      <c r="B940" s="146">
        <v>1201.0</v>
      </c>
      <c r="C940" s="146">
        <f t="shared" si="4"/>
        <v>11201</v>
      </c>
      <c r="D940" s="146"/>
      <c r="E940" s="305"/>
      <c r="F940" s="383"/>
      <c r="G940" s="430">
        <f>LEN('Expected Auditing Outcomes'!$F940)</f>
        <v>0</v>
      </c>
      <c r="H940" s="430"/>
    </row>
    <row r="941" ht="15.75" hidden="1" customHeight="1">
      <c r="B941" s="146">
        <v>1202.0</v>
      </c>
      <c r="C941" s="146">
        <f t="shared" si="4"/>
        <v>11202</v>
      </c>
      <c r="D941" s="146"/>
      <c r="E941" s="305"/>
      <c r="F941" s="383"/>
      <c r="G941" s="430">
        <f>LEN('Expected Auditing Outcomes'!$F941)</f>
        <v>0</v>
      </c>
      <c r="H941" s="430"/>
    </row>
    <row r="942" ht="15.75" hidden="1" customHeight="1">
      <c r="B942" s="146">
        <v>1203.0</v>
      </c>
      <c r="C942" s="146">
        <f t="shared" si="4"/>
        <v>11203</v>
      </c>
      <c r="D942" s="146"/>
      <c r="E942" s="305"/>
      <c r="F942" s="383"/>
      <c r="G942" s="430">
        <f>LEN('Expected Auditing Outcomes'!$F942)</f>
        <v>0</v>
      </c>
      <c r="H942" s="430"/>
    </row>
    <row r="943" ht="15.75" hidden="1" customHeight="1">
      <c r="B943" s="146">
        <v>1204.0</v>
      </c>
      <c r="C943" s="146">
        <f t="shared" si="4"/>
        <v>11204</v>
      </c>
      <c r="D943" s="146"/>
      <c r="E943" s="305"/>
      <c r="F943" s="383"/>
      <c r="G943" s="430">
        <f>LEN('Expected Auditing Outcomes'!$F943)</f>
        <v>0</v>
      </c>
      <c r="H943" s="430"/>
    </row>
    <row r="944" ht="15.75" hidden="1" customHeight="1">
      <c r="B944" s="146">
        <v>1205.0</v>
      </c>
      <c r="C944" s="146">
        <f t="shared" si="4"/>
        <v>11205</v>
      </c>
      <c r="D944" s="146"/>
      <c r="E944" s="305"/>
      <c r="F944" s="383"/>
      <c r="G944" s="430">
        <f>LEN('Expected Auditing Outcomes'!$F944)</f>
        <v>0</v>
      </c>
      <c r="H944" s="430"/>
    </row>
    <row r="945" ht="15.75" hidden="1" customHeight="1">
      <c r="B945" s="146">
        <v>1206.0</v>
      </c>
      <c r="C945" s="146">
        <f t="shared" si="4"/>
        <v>11206</v>
      </c>
      <c r="D945" s="146"/>
      <c r="E945" s="305"/>
      <c r="F945" s="383"/>
      <c r="G945" s="430">
        <f>LEN('Expected Auditing Outcomes'!$F945)</f>
        <v>0</v>
      </c>
      <c r="H945" s="430"/>
    </row>
    <row r="946" ht="15.75" hidden="1" customHeight="1">
      <c r="B946" s="146">
        <v>1207.0</v>
      </c>
      <c r="C946" s="146">
        <f t="shared" si="4"/>
        <v>11207</v>
      </c>
      <c r="D946" s="146"/>
      <c r="E946" s="305"/>
      <c r="F946" s="383"/>
      <c r="G946" s="430">
        <f>LEN('Expected Auditing Outcomes'!$F946)</f>
        <v>0</v>
      </c>
      <c r="H946" s="430"/>
    </row>
    <row r="947" ht="15.75" hidden="1" customHeight="1">
      <c r="B947" s="146">
        <v>1208.0</v>
      </c>
      <c r="C947" s="146">
        <f t="shared" si="4"/>
        <v>11208</v>
      </c>
      <c r="D947" s="146"/>
      <c r="E947" s="305"/>
      <c r="F947" s="383"/>
      <c r="G947" s="430">
        <f>LEN('Expected Auditing Outcomes'!$F947)</f>
        <v>0</v>
      </c>
      <c r="H947" s="430"/>
    </row>
    <row r="948" ht="15.75" hidden="1" customHeight="1">
      <c r="B948" s="146">
        <v>1209.0</v>
      </c>
      <c r="C948" s="146">
        <f t="shared" si="4"/>
        <v>11209</v>
      </c>
      <c r="D948" s="146"/>
      <c r="E948" s="305"/>
      <c r="F948" s="383"/>
      <c r="G948" s="430">
        <f>LEN('Expected Auditing Outcomes'!$F948)</f>
        <v>0</v>
      </c>
      <c r="H948" s="430"/>
    </row>
    <row r="949" ht="15.75" hidden="1" customHeight="1">
      <c r="B949" s="146">
        <v>1210.0</v>
      </c>
      <c r="C949" s="146">
        <f t="shared" si="4"/>
        <v>11210</v>
      </c>
      <c r="D949" s="146"/>
      <c r="E949" s="305"/>
      <c r="F949" s="383"/>
      <c r="G949" s="430">
        <f>LEN('Expected Auditing Outcomes'!$F949)</f>
        <v>0</v>
      </c>
      <c r="H949" s="430"/>
    </row>
    <row r="950" ht="15.75" hidden="1" customHeight="1">
      <c r="B950" s="146">
        <v>1211.0</v>
      </c>
      <c r="C950" s="146">
        <f t="shared" si="4"/>
        <v>11211</v>
      </c>
      <c r="D950" s="146"/>
      <c r="E950" s="305"/>
      <c r="F950" s="383"/>
      <c r="G950" s="430">
        <f>LEN('Expected Auditing Outcomes'!$F950)</f>
        <v>0</v>
      </c>
      <c r="H950" s="430"/>
    </row>
    <row r="951" ht="15.75" hidden="1" customHeight="1">
      <c r="B951" s="146">
        <v>1212.0</v>
      </c>
      <c r="C951" s="146">
        <f t="shared" si="4"/>
        <v>11212</v>
      </c>
      <c r="D951" s="146"/>
      <c r="E951" s="305"/>
      <c r="F951" s="383"/>
      <c r="G951" s="430">
        <f>LEN('Expected Auditing Outcomes'!$F951)</f>
        <v>0</v>
      </c>
      <c r="H951" s="430"/>
    </row>
    <row r="952" ht="15.75" hidden="1" customHeight="1">
      <c r="B952" s="146">
        <v>1213.0</v>
      </c>
      <c r="C952" s="146">
        <f t="shared" si="4"/>
        <v>11213</v>
      </c>
      <c r="D952" s="146"/>
      <c r="E952" s="305"/>
      <c r="F952" s="383"/>
      <c r="G952" s="430">
        <f>LEN('Expected Auditing Outcomes'!$F952)</f>
        <v>0</v>
      </c>
      <c r="H952" s="430"/>
    </row>
    <row r="953" ht="15.75" hidden="1" customHeight="1">
      <c r="B953" s="146">
        <v>1214.0</v>
      </c>
      <c r="C953" s="146">
        <f t="shared" si="4"/>
        <v>11214</v>
      </c>
      <c r="D953" s="146"/>
      <c r="E953" s="305"/>
      <c r="F953" s="383"/>
      <c r="G953" s="430">
        <f>LEN('Expected Auditing Outcomes'!$F953)</f>
        <v>0</v>
      </c>
      <c r="H953" s="430"/>
    </row>
    <row r="954" ht="15.75" hidden="1" customHeight="1">
      <c r="B954" s="146">
        <v>1215.0</v>
      </c>
      <c r="C954" s="146">
        <f t="shared" si="4"/>
        <v>11215</v>
      </c>
      <c r="D954" s="146"/>
      <c r="E954" s="305"/>
      <c r="F954" s="383"/>
      <c r="G954" s="430">
        <f>LEN('Expected Auditing Outcomes'!$F954)</f>
        <v>0</v>
      </c>
      <c r="H954" s="430"/>
    </row>
    <row r="955" ht="15.75" hidden="1" customHeight="1">
      <c r="B955" s="146">
        <v>1216.0</v>
      </c>
      <c r="C955" s="146">
        <f t="shared" si="4"/>
        <v>11216</v>
      </c>
      <c r="D955" s="146"/>
      <c r="E955" s="305"/>
      <c r="F955" s="383"/>
      <c r="G955" s="430">
        <f>LEN('Expected Auditing Outcomes'!$F955)</f>
        <v>0</v>
      </c>
      <c r="H955" s="430"/>
    </row>
    <row r="956" ht="15.75" hidden="1" customHeight="1">
      <c r="B956" s="146">
        <v>1217.0</v>
      </c>
      <c r="C956" s="146">
        <f t="shared" si="4"/>
        <v>11217</v>
      </c>
      <c r="D956" s="146"/>
      <c r="E956" s="305"/>
      <c r="F956" s="383"/>
      <c r="G956" s="430">
        <f>LEN('Expected Auditing Outcomes'!$F956)</f>
        <v>0</v>
      </c>
      <c r="H956" s="430"/>
    </row>
    <row r="957" ht="15.75" hidden="1" customHeight="1">
      <c r="B957" s="146">
        <v>1218.0</v>
      </c>
      <c r="C957" s="146">
        <f t="shared" si="4"/>
        <v>11218</v>
      </c>
      <c r="D957" s="146"/>
      <c r="E957" s="305"/>
      <c r="F957" s="383"/>
      <c r="G957" s="430">
        <f>LEN('Expected Auditing Outcomes'!$F957)</f>
        <v>0</v>
      </c>
      <c r="H957" s="430"/>
    </row>
    <row r="958" ht="15.75" hidden="1" customHeight="1">
      <c r="B958" s="146">
        <v>1219.0</v>
      </c>
      <c r="C958" s="146">
        <f t="shared" si="4"/>
        <v>11219</v>
      </c>
      <c r="D958" s="146"/>
      <c r="E958" s="305"/>
      <c r="F958" s="383"/>
      <c r="G958" s="430">
        <f>LEN('Expected Auditing Outcomes'!$F958)</f>
        <v>0</v>
      </c>
      <c r="H958" s="430"/>
    </row>
    <row r="959" ht="15.75" hidden="1" customHeight="1">
      <c r="B959" s="146">
        <v>1220.0</v>
      </c>
      <c r="C959" s="146">
        <f t="shared" si="4"/>
        <v>11220</v>
      </c>
      <c r="D959" s="146"/>
      <c r="E959" s="305"/>
      <c r="F959" s="383"/>
      <c r="G959" s="430">
        <f>LEN('Expected Auditing Outcomes'!$F959)</f>
        <v>0</v>
      </c>
      <c r="H959" s="430"/>
    </row>
    <row r="960" ht="15.75" hidden="1" customHeight="1">
      <c r="B960" s="146">
        <v>1221.0</v>
      </c>
      <c r="C960" s="146">
        <f t="shared" si="4"/>
        <v>11221</v>
      </c>
      <c r="D960" s="146"/>
      <c r="E960" s="305"/>
      <c r="F960" s="383"/>
      <c r="G960" s="430">
        <f>LEN('Expected Auditing Outcomes'!$F960)</f>
        <v>0</v>
      </c>
      <c r="H960" s="430"/>
    </row>
    <row r="961" ht="15.75" hidden="1" customHeight="1">
      <c r="B961" s="146">
        <v>1222.0</v>
      </c>
      <c r="C961" s="146">
        <f t="shared" si="4"/>
        <v>11222</v>
      </c>
      <c r="D961" s="146"/>
      <c r="E961" s="305"/>
      <c r="F961" s="383"/>
      <c r="G961" s="430">
        <f>LEN('Expected Auditing Outcomes'!$F961)</f>
        <v>0</v>
      </c>
      <c r="H961" s="430"/>
    </row>
    <row r="962" ht="15.75" hidden="1" customHeight="1">
      <c r="B962" s="146">
        <v>1223.0</v>
      </c>
      <c r="C962" s="146">
        <f t="shared" si="4"/>
        <v>11223</v>
      </c>
      <c r="D962" s="146"/>
      <c r="E962" s="305"/>
      <c r="F962" s="383"/>
      <c r="G962" s="430">
        <f>LEN('Expected Auditing Outcomes'!$F962)</f>
        <v>0</v>
      </c>
      <c r="H962" s="430"/>
    </row>
    <row r="963" ht="15.75" hidden="1" customHeight="1">
      <c r="B963" s="146">
        <v>1224.0</v>
      </c>
      <c r="C963" s="146">
        <f t="shared" si="4"/>
        <v>11224</v>
      </c>
      <c r="D963" s="146"/>
      <c r="E963" s="305"/>
      <c r="F963" s="383"/>
      <c r="G963" s="430">
        <f>LEN('Expected Auditing Outcomes'!$F963)</f>
        <v>0</v>
      </c>
      <c r="H963" s="430"/>
    </row>
    <row r="964" ht="15.75" hidden="1" customHeight="1">
      <c r="B964" s="146">
        <v>1225.0</v>
      </c>
      <c r="C964" s="146">
        <f t="shared" si="4"/>
        <v>11225</v>
      </c>
      <c r="D964" s="146"/>
      <c r="E964" s="305"/>
      <c r="F964" s="383"/>
      <c r="G964" s="430">
        <f>LEN('Expected Auditing Outcomes'!$F964)</f>
        <v>0</v>
      </c>
      <c r="H964" s="430"/>
    </row>
    <row r="965" ht="15.75" hidden="1" customHeight="1">
      <c r="B965" s="146">
        <v>1226.0</v>
      </c>
      <c r="C965" s="146">
        <f t="shared" si="4"/>
        <v>11226</v>
      </c>
      <c r="D965" s="146"/>
      <c r="E965" s="305"/>
      <c r="F965" s="383"/>
      <c r="G965" s="430">
        <f>LEN('Expected Auditing Outcomes'!$F965)</f>
        <v>0</v>
      </c>
      <c r="H965" s="430"/>
    </row>
    <row r="966" ht="15.75" hidden="1" customHeight="1">
      <c r="B966" s="146">
        <v>1227.0</v>
      </c>
      <c r="C966" s="146">
        <f t="shared" si="4"/>
        <v>11227</v>
      </c>
      <c r="D966" s="146"/>
      <c r="E966" s="305"/>
      <c r="F966" s="383"/>
      <c r="G966" s="430">
        <f>LEN('Expected Auditing Outcomes'!$F966)</f>
        <v>0</v>
      </c>
      <c r="H966" s="430"/>
    </row>
    <row r="967" ht="15.75" hidden="1" customHeight="1">
      <c r="B967" s="146">
        <v>1228.0</v>
      </c>
      <c r="C967" s="146">
        <f t="shared" si="4"/>
        <v>11228</v>
      </c>
      <c r="D967" s="146"/>
      <c r="E967" s="305"/>
      <c r="F967" s="383"/>
      <c r="G967" s="430">
        <f>LEN('Expected Auditing Outcomes'!$F967)</f>
        <v>0</v>
      </c>
      <c r="H967" s="430"/>
    </row>
    <row r="968" ht="15.75" hidden="1" customHeight="1">
      <c r="B968" s="146">
        <v>1229.0</v>
      </c>
      <c r="C968" s="146">
        <f t="shared" si="4"/>
        <v>11229</v>
      </c>
      <c r="D968" s="146"/>
      <c r="E968" s="305"/>
      <c r="F968" s="383"/>
      <c r="G968" s="430">
        <f>LEN('Expected Auditing Outcomes'!$F968)</f>
        <v>0</v>
      </c>
      <c r="H968" s="430"/>
    </row>
    <row r="969" ht="15.75" hidden="1" customHeight="1">
      <c r="B969" s="146">
        <v>1230.0</v>
      </c>
      <c r="C969" s="146">
        <f t="shared" si="4"/>
        <v>11230</v>
      </c>
      <c r="D969" s="146"/>
      <c r="E969" s="305"/>
      <c r="F969" s="383"/>
      <c r="G969" s="430">
        <f>LEN('Expected Auditing Outcomes'!$F969)</f>
        <v>0</v>
      </c>
      <c r="H969" s="430"/>
    </row>
    <row r="970" ht="15.75" hidden="1" customHeight="1">
      <c r="B970" s="146">
        <v>1231.0</v>
      </c>
      <c r="C970" s="146">
        <f t="shared" si="4"/>
        <v>11231</v>
      </c>
      <c r="D970" s="146"/>
      <c r="E970" s="305"/>
      <c r="F970" s="383"/>
      <c r="G970" s="430">
        <f>LEN('Expected Auditing Outcomes'!$F970)</f>
        <v>0</v>
      </c>
      <c r="H970" s="430"/>
    </row>
    <row r="971" ht="15.75" hidden="1" customHeight="1">
      <c r="B971" s="146">
        <v>1232.0</v>
      </c>
      <c r="C971" s="146">
        <f t="shared" si="4"/>
        <v>11232</v>
      </c>
      <c r="D971" s="146"/>
      <c r="E971" s="305"/>
      <c r="F971" s="383"/>
      <c r="G971" s="430">
        <f>LEN('Expected Auditing Outcomes'!$F971)</f>
        <v>0</v>
      </c>
      <c r="H971" s="430"/>
    </row>
    <row r="972" ht="15.75" hidden="1" customHeight="1">
      <c r="B972" s="146">
        <v>1233.0</v>
      </c>
      <c r="C972" s="146">
        <f t="shared" si="4"/>
        <v>11233</v>
      </c>
      <c r="D972" s="146"/>
      <c r="E972" s="305"/>
      <c r="F972" s="383"/>
      <c r="G972" s="430">
        <f>LEN('Expected Auditing Outcomes'!$F972)</f>
        <v>0</v>
      </c>
      <c r="H972" s="430"/>
    </row>
    <row r="973" ht="15.75" hidden="1" customHeight="1">
      <c r="B973" s="146">
        <v>1234.0</v>
      </c>
      <c r="C973" s="146">
        <f t="shared" si="4"/>
        <v>11234</v>
      </c>
      <c r="D973" s="146"/>
      <c r="E973" s="305"/>
      <c r="F973" s="383"/>
      <c r="G973" s="430">
        <f>LEN('Expected Auditing Outcomes'!$F973)</f>
        <v>0</v>
      </c>
      <c r="H973" s="430"/>
    </row>
    <row r="974" ht="15.75" hidden="1" customHeight="1">
      <c r="B974" s="146">
        <v>1235.0</v>
      </c>
      <c r="C974" s="146">
        <f t="shared" si="4"/>
        <v>11235</v>
      </c>
      <c r="D974" s="146"/>
      <c r="E974" s="305"/>
      <c r="F974" s="383"/>
      <c r="G974" s="430">
        <f>LEN('Expected Auditing Outcomes'!$F974)</f>
        <v>0</v>
      </c>
      <c r="H974" s="430"/>
    </row>
    <row r="975" ht="15.75" hidden="1" customHeight="1">
      <c r="B975" s="146">
        <v>1236.0</v>
      </c>
      <c r="C975" s="146">
        <f t="shared" si="4"/>
        <v>11236</v>
      </c>
      <c r="D975" s="146"/>
      <c r="E975" s="305"/>
      <c r="F975" s="383"/>
      <c r="G975" s="430">
        <f>LEN('Expected Auditing Outcomes'!$F975)</f>
        <v>0</v>
      </c>
      <c r="H975" s="430"/>
    </row>
    <row r="976" ht="15.75" hidden="1" customHeight="1">
      <c r="B976" s="146">
        <v>1237.0</v>
      </c>
      <c r="C976" s="146">
        <f t="shared" si="4"/>
        <v>11237</v>
      </c>
      <c r="D976" s="146"/>
      <c r="E976" s="305"/>
      <c r="F976" s="383"/>
      <c r="G976" s="430">
        <f>LEN('Expected Auditing Outcomes'!$F976)</f>
        <v>0</v>
      </c>
      <c r="H976" s="430"/>
    </row>
    <row r="977" ht="15.75" hidden="1" customHeight="1">
      <c r="B977" s="146">
        <v>1238.0</v>
      </c>
      <c r="C977" s="146">
        <f t="shared" si="4"/>
        <v>11238</v>
      </c>
      <c r="D977" s="146"/>
      <c r="E977" s="305"/>
      <c r="F977" s="383"/>
      <c r="G977" s="430">
        <f>LEN('Expected Auditing Outcomes'!$F977)</f>
        <v>0</v>
      </c>
      <c r="H977" s="430"/>
    </row>
    <row r="978" ht="15.75" hidden="1" customHeight="1">
      <c r="B978" s="146">
        <v>1239.0</v>
      </c>
      <c r="C978" s="146">
        <f t="shared" si="4"/>
        <v>11239</v>
      </c>
      <c r="D978" s="146"/>
      <c r="E978" s="305"/>
      <c r="F978" s="383"/>
      <c r="G978" s="430">
        <f>LEN('Expected Auditing Outcomes'!$F978)</f>
        <v>0</v>
      </c>
      <c r="H978" s="430"/>
    </row>
    <row r="979" ht="15.75" hidden="1" customHeight="1">
      <c r="B979" s="146">
        <v>1240.0</v>
      </c>
      <c r="C979" s="146">
        <f t="shared" si="4"/>
        <v>11240</v>
      </c>
      <c r="D979" s="146"/>
      <c r="E979" s="305"/>
      <c r="F979" s="383"/>
      <c r="G979" s="430">
        <f>LEN('Expected Auditing Outcomes'!$F979)</f>
        <v>0</v>
      </c>
      <c r="H979" s="430"/>
    </row>
    <row r="980" ht="15.75" hidden="1" customHeight="1">
      <c r="B980" s="146">
        <v>1241.0</v>
      </c>
      <c r="C980" s="146">
        <f t="shared" si="4"/>
        <v>11241</v>
      </c>
      <c r="D980" s="146"/>
      <c r="E980" s="305"/>
      <c r="F980" s="383"/>
      <c r="G980" s="430">
        <f>LEN('Expected Auditing Outcomes'!$F980)</f>
        <v>0</v>
      </c>
      <c r="H980" s="430"/>
    </row>
    <row r="981" ht="15.75" hidden="1" customHeight="1">
      <c r="B981" s="146">
        <v>1242.0</v>
      </c>
      <c r="C981" s="146">
        <f t="shared" si="4"/>
        <v>11242</v>
      </c>
      <c r="D981" s="146"/>
      <c r="E981" s="305"/>
      <c r="F981" s="383"/>
      <c r="G981" s="430">
        <f>LEN('Expected Auditing Outcomes'!$F981)</f>
        <v>0</v>
      </c>
      <c r="H981" s="430"/>
    </row>
    <row r="982" ht="15.75" hidden="1" customHeight="1">
      <c r="B982" s="146">
        <v>1243.0</v>
      </c>
      <c r="C982" s="146">
        <f t="shared" si="4"/>
        <v>11243</v>
      </c>
      <c r="D982" s="146"/>
      <c r="E982" s="305"/>
      <c r="F982" s="383"/>
      <c r="G982" s="430">
        <f>LEN('Expected Auditing Outcomes'!$F982)</f>
        <v>0</v>
      </c>
      <c r="H982" s="430"/>
    </row>
    <row r="983" ht="15.75" hidden="1" customHeight="1">
      <c r="B983" s="146">
        <v>1244.0</v>
      </c>
      <c r="C983" s="146">
        <f t="shared" si="4"/>
        <v>11244</v>
      </c>
      <c r="D983" s="146"/>
      <c r="E983" s="305"/>
      <c r="F983" s="383"/>
      <c r="G983" s="430">
        <f>LEN('Expected Auditing Outcomes'!$F983)</f>
        <v>0</v>
      </c>
      <c r="H983" s="430"/>
    </row>
    <row r="984" ht="15.75" hidden="1" customHeight="1">
      <c r="B984" s="146">
        <v>1245.0</v>
      </c>
      <c r="C984" s="146">
        <f t="shared" si="4"/>
        <v>11245</v>
      </c>
      <c r="D984" s="146"/>
      <c r="E984" s="305"/>
      <c r="F984" s="383"/>
      <c r="G984" s="430">
        <f>LEN('Expected Auditing Outcomes'!$F984)</f>
        <v>0</v>
      </c>
      <c r="H984" s="430"/>
    </row>
    <row r="985" ht="15.75" hidden="1" customHeight="1">
      <c r="B985" s="146">
        <v>1246.0</v>
      </c>
      <c r="C985" s="146">
        <f t="shared" si="4"/>
        <v>11246</v>
      </c>
      <c r="D985" s="146"/>
      <c r="E985" s="305"/>
      <c r="F985" s="383"/>
      <c r="G985" s="430">
        <f>LEN('Expected Auditing Outcomes'!$F985)</f>
        <v>0</v>
      </c>
      <c r="H985" s="430"/>
    </row>
    <row r="986" ht="15.75" hidden="1" customHeight="1">
      <c r="B986" s="146">
        <v>1247.0</v>
      </c>
      <c r="C986" s="146">
        <f t="shared" si="4"/>
        <v>11247</v>
      </c>
      <c r="D986" s="146"/>
      <c r="E986" s="305"/>
      <c r="F986" s="383"/>
      <c r="G986" s="430">
        <f>LEN('Expected Auditing Outcomes'!$F986)</f>
        <v>0</v>
      </c>
      <c r="H986" s="430"/>
    </row>
    <row r="987" ht="15.75" hidden="1" customHeight="1">
      <c r="B987" s="146">
        <v>1248.0</v>
      </c>
      <c r="C987" s="146">
        <f t="shared" si="4"/>
        <v>11248</v>
      </c>
      <c r="D987" s="146"/>
      <c r="E987" s="305"/>
      <c r="F987" s="383"/>
      <c r="G987" s="430">
        <f>LEN('Expected Auditing Outcomes'!$F987)</f>
        <v>0</v>
      </c>
      <c r="H987" s="430"/>
    </row>
    <row r="988" ht="15.75" hidden="1" customHeight="1">
      <c r="B988" s="146">
        <v>1249.0</v>
      </c>
      <c r="C988" s="146">
        <f t="shared" si="4"/>
        <v>11249</v>
      </c>
      <c r="D988" s="146"/>
      <c r="E988" s="305"/>
      <c r="F988" s="383"/>
      <c r="G988" s="430">
        <f>LEN('Expected Auditing Outcomes'!$F988)</f>
        <v>0</v>
      </c>
      <c r="H988" s="430"/>
    </row>
    <row r="989" ht="15.75" hidden="1" customHeight="1">
      <c r="B989" s="146">
        <v>1250.0</v>
      </c>
      <c r="C989" s="146">
        <f t="shared" si="4"/>
        <v>11250</v>
      </c>
      <c r="D989" s="146"/>
      <c r="E989" s="305"/>
      <c r="F989" s="383"/>
      <c r="G989" s="430">
        <f>LEN('Expected Auditing Outcomes'!$F989)</f>
        <v>0</v>
      </c>
      <c r="H989" s="430"/>
    </row>
    <row r="990" ht="15.75" hidden="1" customHeight="1">
      <c r="B990" s="146">
        <v>1251.0</v>
      </c>
      <c r="C990" s="146">
        <f t="shared" si="4"/>
        <v>11251</v>
      </c>
      <c r="D990" s="146"/>
      <c r="E990" s="305"/>
      <c r="F990" s="383"/>
      <c r="G990" s="430">
        <f>LEN('Expected Auditing Outcomes'!$F990)</f>
        <v>0</v>
      </c>
      <c r="H990" s="430"/>
    </row>
    <row r="991" ht="15.75" hidden="1" customHeight="1">
      <c r="B991" s="146">
        <v>1252.0</v>
      </c>
      <c r="C991" s="146">
        <f t="shared" si="4"/>
        <v>11252</v>
      </c>
      <c r="D991" s="146"/>
      <c r="E991" s="305"/>
      <c r="F991" s="383"/>
      <c r="G991" s="430">
        <f>LEN('Expected Auditing Outcomes'!$F991)</f>
        <v>0</v>
      </c>
      <c r="H991" s="430"/>
    </row>
    <row r="992" ht="15.75" hidden="1" customHeight="1">
      <c r="B992" s="146">
        <v>1253.0</v>
      </c>
      <c r="C992" s="146">
        <f t="shared" si="4"/>
        <v>11253</v>
      </c>
      <c r="D992" s="146"/>
      <c r="E992" s="305"/>
      <c r="F992" s="383"/>
      <c r="G992" s="430">
        <f>LEN('Expected Auditing Outcomes'!$F992)</f>
        <v>0</v>
      </c>
      <c r="H992" s="430"/>
    </row>
    <row r="993" ht="15.75" hidden="1" customHeight="1">
      <c r="B993" s="146">
        <v>1254.0</v>
      </c>
      <c r="C993" s="146">
        <f t="shared" si="4"/>
        <v>11254</v>
      </c>
      <c r="D993" s="146"/>
      <c r="E993" s="305"/>
      <c r="F993" s="383"/>
      <c r="G993" s="430">
        <f>LEN('Expected Auditing Outcomes'!$F993)</f>
        <v>0</v>
      </c>
      <c r="H993" s="430"/>
    </row>
    <row r="994" ht="15.75" hidden="1" customHeight="1">
      <c r="B994" s="146">
        <v>1255.0</v>
      </c>
      <c r="C994" s="146">
        <f t="shared" si="4"/>
        <v>11255</v>
      </c>
      <c r="D994" s="146"/>
      <c r="E994" s="305"/>
      <c r="F994" s="383"/>
      <c r="G994" s="430">
        <f>LEN('Expected Auditing Outcomes'!$F994)</f>
        <v>0</v>
      </c>
      <c r="H994" s="430"/>
    </row>
    <row r="995" ht="15.75" hidden="1" customHeight="1">
      <c r="B995" s="146">
        <v>1256.0</v>
      </c>
      <c r="C995" s="146">
        <f t="shared" si="4"/>
        <v>11256</v>
      </c>
      <c r="D995" s="146"/>
      <c r="E995" s="305"/>
      <c r="F995" s="466"/>
      <c r="G995" s="430">
        <f>LEN('Expected Auditing Outcomes'!$F995)</f>
        <v>0</v>
      </c>
      <c r="H995" s="430"/>
    </row>
    <row r="996" ht="15.75" hidden="1" customHeight="1">
      <c r="B996" s="146">
        <v>1257.0</v>
      </c>
      <c r="C996" s="146">
        <f t="shared" si="4"/>
        <v>11257</v>
      </c>
      <c r="D996" s="146"/>
      <c r="E996" s="305"/>
      <c r="F996" s="383"/>
      <c r="G996" s="430">
        <f>LEN('Expected Auditing Outcomes'!$F996)</f>
        <v>0</v>
      </c>
      <c r="H996" s="430"/>
    </row>
    <row r="997" ht="15.75" hidden="1" customHeight="1">
      <c r="B997" s="146">
        <v>1258.0</v>
      </c>
      <c r="C997" s="146">
        <f t="shared" si="4"/>
        <v>11258</v>
      </c>
      <c r="D997" s="146"/>
      <c r="E997" s="305"/>
      <c r="F997" s="383"/>
      <c r="G997" s="430">
        <f>LEN('Expected Auditing Outcomes'!$F997)</f>
        <v>0</v>
      </c>
      <c r="H997" s="430"/>
    </row>
    <row r="998" ht="15.75" hidden="1" customHeight="1">
      <c r="B998" s="146">
        <v>1259.0</v>
      </c>
      <c r="C998" s="146">
        <f t="shared" si="4"/>
        <v>11259</v>
      </c>
      <c r="D998" s="146"/>
      <c r="E998" s="305"/>
      <c r="F998" s="383"/>
      <c r="G998" s="430">
        <f>LEN('Expected Auditing Outcomes'!$F998)</f>
        <v>0</v>
      </c>
      <c r="H998" s="430"/>
    </row>
    <row r="999" ht="15.75" hidden="1" customHeight="1">
      <c r="B999" s="146">
        <v>1260.0</v>
      </c>
      <c r="C999" s="146">
        <f t="shared" si="4"/>
        <v>11260</v>
      </c>
      <c r="D999" s="146"/>
      <c r="E999" s="305"/>
      <c r="F999" s="383"/>
      <c r="G999" s="430">
        <f>LEN('Expected Auditing Outcomes'!$F999)</f>
        <v>0</v>
      </c>
      <c r="H999" s="430"/>
    </row>
    <row r="1000" ht="15.75" hidden="1" customHeight="1">
      <c r="B1000" s="146">
        <v>1261.0</v>
      </c>
      <c r="C1000" s="146">
        <f t="shared" si="4"/>
        <v>11261</v>
      </c>
      <c r="D1000" s="146"/>
      <c r="E1000" s="305"/>
      <c r="F1000" s="383"/>
      <c r="G1000" s="430">
        <f>LEN('Expected Auditing Outcomes'!$F1000)</f>
        <v>0</v>
      </c>
      <c r="H1000" s="430"/>
    </row>
    <row r="1001" ht="15.75" hidden="1" customHeight="1">
      <c r="B1001" s="146">
        <v>1262.0</v>
      </c>
      <c r="C1001" s="146">
        <f t="shared" si="4"/>
        <v>11262</v>
      </c>
      <c r="D1001" s="146"/>
      <c r="E1001" s="305"/>
      <c r="F1001" s="383"/>
      <c r="G1001" s="430">
        <f>LEN('Expected Auditing Outcomes'!$F1001)</f>
        <v>0</v>
      </c>
      <c r="H1001" s="430"/>
    </row>
    <row r="1002" ht="15.75" hidden="1" customHeight="1">
      <c r="B1002" s="146">
        <v>1263.0</v>
      </c>
      <c r="C1002" s="146">
        <f t="shared" si="4"/>
        <v>11263</v>
      </c>
      <c r="D1002" s="146"/>
      <c r="E1002" s="305"/>
      <c r="F1002" s="383"/>
      <c r="G1002" s="430">
        <f>LEN('Expected Auditing Outcomes'!$F1002)</f>
        <v>0</v>
      </c>
      <c r="H1002" s="430"/>
    </row>
    <row r="1003" ht="15.75" hidden="1" customHeight="1">
      <c r="B1003" s="146">
        <v>1264.0</v>
      </c>
      <c r="C1003" s="146">
        <f t="shared" si="4"/>
        <v>11264</v>
      </c>
      <c r="D1003" s="146"/>
      <c r="E1003" s="305"/>
      <c r="F1003" s="383"/>
      <c r="G1003" s="430">
        <f>LEN('Expected Auditing Outcomes'!$F1003)</f>
        <v>0</v>
      </c>
      <c r="H1003" s="430"/>
    </row>
    <row r="1004" ht="15.75" hidden="1" customHeight="1">
      <c r="B1004" s="146">
        <v>1265.0</v>
      </c>
      <c r="C1004" s="146">
        <f t="shared" si="4"/>
        <v>11265</v>
      </c>
      <c r="D1004" s="146"/>
      <c r="E1004" s="305"/>
      <c r="F1004" s="383"/>
      <c r="G1004" s="430">
        <f>LEN('Expected Auditing Outcomes'!$F1004)</f>
        <v>0</v>
      </c>
      <c r="H1004" s="430"/>
    </row>
    <row r="1005" ht="15.75" hidden="1" customHeight="1">
      <c r="B1005" s="146">
        <v>1266.0</v>
      </c>
      <c r="C1005" s="146">
        <f t="shared" si="4"/>
        <v>11266</v>
      </c>
      <c r="D1005" s="146"/>
      <c r="E1005" s="305"/>
      <c r="F1005" s="383"/>
      <c r="G1005" s="430">
        <f>LEN('Expected Auditing Outcomes'!$F1005)</f>
        <v>0</v>
      </c>
      <c r="H1005" s="430"/>
    </row>
    <row r="1006" ht="15.75" hidden="1" customHeight="1">
      <c r="B1006" s="146">
        <v>1267.0</v>
      </c>
      <c r="C1006" s="146">
        <f t="shared" si="4"/>
        <v>11267</v>
      </c>
      <c r="D1006" s="146"/>
      <c r="E1006" s="305"/>
      <c r="F1006" s="383"/>
      <c r="G1006" s="430">
        <f>LEN('Expected Auditing Outcomes'!$F1006)</f>
        <v>0</v>
      </c>
      <c r="H1006" s="430"/>
    </row>
    <row r="1007" ht="15.75" hidden="1" customHeight="1">
      <c r="B1007" s="146">
        <v>1268.0</v>
      </c>
      <c r="C1007" s="146">
        <f t="shared" si="4"/>
        <v>11268</v>
      </c>
      <c r="D1007" s="146"/>
      <c r="E1007" s="305"/>
      <c r="F1007" s="383"/>
      <c r="G1007" s="430">
        <f>LEN('Expected Auditing Outcomes'!$F1007)</f>
        <v>0</v>
      </c>
      <c r="H1007" s="430"/>
    </row>
    <row r="1008" ht="15.75" hidden="1" customHeight="1">
      <c r="B1008" s="146">
        <v>1269.0</v>
      </c>
      <c r="C1008" s="146">
        <f t="shared" si="4"/>
        <v>11269</v>
      </c>
      <c r="D1008" s="146"/>
      <c r="E1008" s="305"/>
      <c r="F1008" s="383"/>
      <c r="G1008" s="430">
        <f>LEN('Expected Auditing Outcomes'!$F1008)</f>
        <v>0</v>
      </c>
      <c r="H1008" s="430"/>
    </row>
    <row r="1009" ht="15.75" hidden="1" customHeight="1">
      <c r="B1009" s="146">
        <v>1270.0</v>
      </c>
      <c r="C1009" s="146">
        <f t="shared" si="4"/>
        <v>11270</v>
      </c>
      <c r="D1009" s="146"/>
      <c r="E1009" s="305"/>
      <c r="F1009" s="383"/>
      <c r="G1009" s="430">
        <f>LEN('Expected Auditing Outcomes'!$F1009)</f>
        <v>0</v>
      </c>
      <c r="H1009" s="430"/>
    </row>
    <row r="1010" ht="15.75" hidden="1" customHeight="1">
      <c r="B1010" s="146">
        <v>1271.0</v>
      </c>
      <c r="C1010" s="146">
        <f t="shared" si="4"/>
        <v>11271</v>
      </c>
      <c r="D1010" s="146"/>
      <c r="E1010" s="305"/>
      <c r="F1010" s="383"/>
      <c r="G1010" s="430">
        <f>LEN('Expected Auditing Outcomes'!$F1010)</f>
        <v>0</v>
      </c>
      <c r="H1010" s="430"/>
    </row>
    <row r="1011" ht="15.75" hidden="1" customHeight="1">
      <c r="B1011" s="146">
        <v>1272.0</v>
      </c>
      <c r="C1011" s="146">
        <f t="shared" si="4"/>
        <v>11272</v>
      </c>
      <c r="D1011" s="146"/>
      <c r="E1011" s="305"/>
      <c r="F1011" s="383"/>
      <c r="G1011" s="430">
        <f>LEN('Expected Auditing Outcomes'!$F1011)</f>
        <v>0</v>
      </c>
      <c r="H1011" s="430"/>
    </row>
    <row r="1012" ht="15.75" hidden="1" customHeight="1">
      <c r="B1012" s="146">
        <v>1273.0</v>
      </c>
      <c r="C1012" s="146">
        <f t="shared" si="4"/>
        <v>11273</v>
      </c>
      <c r="D1012" s="146"/>
      <c r="E1012" s="305"/>
      <c r="F1012" s="383"/>
      <c r="G1012" s="430">
        <f>LEN('Expected Auditing Outcomes'!$F1012)</f>
        <v>0</v>
      </c>
      <c r="H1012" s="430"/>
    </row>
    <row r="1013" ht="15.75" hidden="1" customHeight="1">
      <c r="B1013" s="146">
        <v>1274.0</v>
      </c>
      <c r="C1013" s="146">
        <f t="shared" si="4"/>
        <v>11274</v>
      </c>
      <c r="D1013" s="146"/>
      <c r="E1013" s="305"/>
      <c r="F1013" s="383"/>
      <c r="G1013" s="430">
        <f>LEN('Expected Auditing Outcomes'!$F1013)</f>
        <v>0</v>
      </c>
      <c r="H1013" s="430"/>
    </row>
    <row r="1014" ht="15.75" hidden="1" customHeight="1">
      <c r="B1014" s="146">
        <v>1275.0</v>
      </c>
      <c r="C1014" s="146">
        <f t="shared" si="4"/>
        <v>11275</v>
      </c>
      <c r="D1014" s="146"/>
      <c r="E1014" s="305"/>
      <c r="F1014" s="383"/>
      <c r="G1014" s="430">
        <f>LEN('Expected Auditing Outcomes'!$F1014)</f>
        <v>0</v>
      </c>
      <c r="H1014" s="430"/>
    </row>
    <row r="1015" ht="15.75" hidden="1" customHeight="1">
      <c r="B1015" s="146">
        <v>1276.0</v>
      </c>
      <c r="C1015" s="146">
        <f t="shared" si="4"/>
        <v>11276</v>
      </c>
      <c r="D1015" s="146"/>
      <c r="E1015" s="305"/>
      <c r="F1015" s="383"/>
      <c r="G1015" s="430">
        <f>LEN('Expected Auditing Outcomes'!$F1015)</f>
        <v>0</v>
      </c>
      <c r="H1015" s="430"/>
    </row>
    <row r="1016" ht="15.75" hidden="1" customHeight="1">
      <c r="B1016" s="146">
        <v>1277.0</v>
      </c>
      <c r="C1016" s="146">
        <f t="shared" si="4"/>
        <v>11277</v>
      </c>
      <c r="D1016" s="146"/>
      <c r="E1016" s="305"/>
      <c r="F1016" s="383"/>
      <c r="G1016" s="430">
        <f>LEN('Expected Auditing Outcomes'!$F1016)</f>
        <v>0</v>
      </c>
      <c r="H1016" s="430"/>
    </row>
    <row r="1017" ht="15.75" hidden="1" customHeight="1">
      <c r="B1017" s="146">
        <v>1278.0</v>
      </c>
      <c r="C1017" s="146">
        <f t="shared" si="4"/>
        <v>11278</v>
      </c>
      <c r="D1017" s="146"/>
      <c r="E1017" s="305"/>
      <c r="F1017" s="383"/>
      <c r="G1017" s="430">
        <f>LEN('Expected Auditing Outcomes'!$F1017)</f>
        <v>0</v>
      </c>
      <c r="H1017" s="430"/>
    </row>
    <row r="1018" ht="15.75" hidden="1" customHeight="1">
      <c r="B1018" s="146">
        <v>1279.0</v>
      </c>
      <c r="C1018" s="146">
        <f t="shared" si="4"/>
        <v>11279</v>
      </c>
      <c r="D1018" s="146"/>
      <c r="E1018" s="305"/>
      <c r="F1018" s="383"/>
      <c r="G1018" s="430">
        <f>LEN('Expected Auditing Outcomes'!$F1018)</f>
        <v>0</v>
      </c>
      <c r="H1018" s="430"/>
    </row>
    <row r="1019" ht="15.75" hidden="1" customHeight="1">
      <c r="B1019" s="146">
        <v>1280.0</v>
      </c>
      <c r="C1019" s="146">
        <f t="shared" si="4"/>
        <v>11280</v>
      </c>
      <c r="D1019" s="146"/>
      <c r="E1019" s="305"/>
      <c r="F1019" s="383"/>
      <c r="G1019" s="430">
        <f>LEN('Expected Auditing Outcomes'!$F1019)</f>
        <v>0</v>
      </c>
      <c r="H1019" s="430"/>
    </row>
    <row r="1020" ht="15.75" hidden="1" customHeight="1">
      <c r="B1020" s="146">
        <v>1281.0</v>
      </c>
      <c r="C1020" s="146">
        <f t="shared" si="4"/>
        <v>11281</v>
      </c>
      <c r="D1020" s="146"/>
      <c r="E1020" s="305"/>
      <c r="F1020" s="383"/>
      <c r="G1020" s="430">
        <f>LEN('Expected Auditing Outcomes'!$F1020)</f>
        <v>0</v>
      </c>
      <c r="H1020" s="430"/>
    </row>
    <row r="1021" ht="15.75" hidden="1" customHeight="1">
      <c r="B1021" s="146">
        <v>1282.0</v>
      </c>
      <c r="C1021" s="146">
        <f t="shared" si="4"/>
        <v>11282</v>
      </c>
      <c r="D1021" s="146"/>
      <c r="E1021" s="305"/>
      <c r="F1021" s="383"/>
      <c r="G1021" s="430">
        <f>LEN('Expected Auditing Outcomes'!$F1021)</f>
        <v>0</v>
      </c>
      <c r="H1021" s="430"/>
    </row>
    <row r="1022" ht="15.75" hidden="1" customHeight="1">
      <c r="B1022" s="146">
        <v>1283.0</v>
      </c>
      <c r="C1022" s="146">
        <f t="shared" si="4"/>
        <v>11283</v>
      </c>
      <c r="D1022" s="146"/>
      <c r="E1022" s="305"/>
      <c r="F1022" s="383"/>
      <c r="G1022" s="430">
        <f>LEN('Expected Auditing Outcomes'!$F1022)</f>
        <v>0</v>
      </c>
      <c r="H1022" s="430"/>
    </row>
    <row r="1023" ht="15.75" hidden="1" customHeight="1">
      <c r="B1023" s="146">
        <v>1284.0</v>
      </c>
      <c r="C1023" s="146">
        <f t="shared" si="4"/>
        <v>11284</v>
      </c>
      <c r="D1023" s="146"/>
      <c r="E1023" s="305"/>
      <c r="F1023" s="383"/>
      <c r="G1023" s="430">
        <f>LEN('Expected Auditing Outcomes'!$F1023)</f>
        <v>0</v>
      </c>
      <c r="H1023" s="430"/>
    </row>
    <row r="1024" ht="15.75" hidden="1" customHeight="1">
      <c r="B1024" s="146">
        <v>1285.0</v>
      </c>
      <c r="C1024" s="146">
        <f t="shared" si="4"/>
        <v>11285</v>
      </c>
      <c r="D1024" s="146"/>
      <c r="E1024" s="305"/>
      <c r="F1024" s="383"/>
      <c r="G1024" s="430">
        <f>LEN('Expected Auditing Outcomes'!$F1024)</f>
        <v>0</v>
      </c>
      <c r="H1024" s="430"/>
    </row>
    <row r="1025" ht="15.75" hidden="1" customHeight="1">
      <c r="B1025" s="146">
        <v>1286.0</v>
      </c>
      <c r="C1025" s="146">
        <f t="shared" si="4"/>
        <v>11286</v>
      </c>
      <c r="D1025" s="146"/>
      <c r="E1025" s="305"/>
      <c r="F1025" s="383"/>
      <c r="G1025" s="430">
        <f>LEN('Expected Auditing Outcomes'!$F1025)</f>
        <v>0</v>
      </c>
      <c r="H1025" s="430"/>
    </row>
    <row r="1026" ht="15.75" hidden="1" customHeight="1">
      <c r="B1026" s="146">
        <v>1287.0</v>
      </c>
      <c r="C1026" s="146">
        <f t="shared" si="4"/>
        <v>11287</v>
      </c>
      <c r="D1026" s="146"/>
      <c r="E1026" s="305"/>
      <c r="F1026" s="383"/>
      <c r="G1026" s="430">
        <f>LEN('Expected Auditing Outcomes'!$F1026)</f>
        <v>0</v>
      </c>
      <c r="H1026" s="430"/>
    </row>
    <row r="1027" ht="15.75" hidden="1" customHeight="1">
      <c r="B1027" s="146">
        <v>1288.0</v>
      </c>
      <c r="C1027" s="146">
        <f t="shared" si="4"/>
        <v>11288</v>
      </c>
      <c r="D1027" s="146"/>
      <c r="E1027" s="305"/>
      <c r="F1027" s="383"/>
      <c r="G1027" s="430">
        <f>LEN('Expected Auditing Outcomes'!$F1027)</f>
        <v>0</v>
      </c>
      <c r="H1027" s="430"/>
    </row>
    <row r="1028" ht="15.75" hidden="1" customHeight="1">
      <c r="B1028" s="146">
        <v>1289.0</v>
      </c>
      <c r="C1028" s="146">
        <f t="shared" si="4"/>
        <v>11289</v>
      </c>
      <c r="D1028" s="146"/>
      <c r="E1028" s="305"/>
      <c r="F1028" s="383"/>
      <c r="G1028" s="430">
        <f>LEN('Expected Auditing Outcomes'!$F1028)</f>
        <v>0</v>
      </c>
      <c r="H1028" s="430"/>
    </row>
    <row r="1029" ht="15.75" hidden="1" customHeight="1">
      <c r="B1029" s="146">
        <v>1290.0</v>
      </c>
      <c r="C1029" s="146">
        <f t="shared" si="4"/>
        <v>11290</v>
      </c>
      <c r="D1029" s="146"/>
      <c r="E1029" s="305"/>
      <c r="F1029" s="383"/>
      <c r="G1029" s="430">
        <f>LEN('Expected Auditing Outcomes'!$F1029)</f>
        <v>0</v>
      </c>
      <c r="H1029" s="430"/>
    </row>
    <row r="1030" ht="15.75" hidden="1" customHeight="1">
      <c r="B1030" s="146">
        <v>1291.0</v>
      </c>
      <c r="C1030" s="146">
        <f t="shared" si="4"/>
        <v>11291</v>
      </c>
      <c r="D1030" s="146"/>
      <c r="E1030" s="305"/>
      <c r="F1030" s="383"/>
      <c r="G1030" s="430">
        <f>LEN('Expected Auditing Outcomes'!$F1030)</f>
        <v>0</v>
      </c>
      <c r="H1030" s="430"/>
    </row>
    <row r="1031" ht="15.75" hidden="1" customHeight="1">
      <c r="B1031" s="146">
        <v>1292.0</v>
      </c>
      <c r="C1031" s="146">
        <f t="shared" si="4"/>
        <v>11292</v>
      </c>
      <c r="D1031" s="146"/>
      <c r="E1031" s="305"/>
      <c r="F1031" s="383"/>
      <c r="G1031" s="430">
        <f>LEN('Expected Auditing Outcomes'!$F1031)</f>
        <v>0</v>
      </c>
      <c r="H1031" s="430"/>
    </row>
    <row r="1032" ht="15.0" customHeight="1">
      <c r="B1032" s="145" t="s">
        <v>3816</v>
      </c>
      <c r="C1032" s="145">
        <v>50001.0</v>
      </c>
      <c r="D1032" s="145" t="s">
        <v>7</v>
      </c>
      <c r="E1032" s="307" t="s">
        <v>3817</v>
      </c>
      <c r="F1032" s="383" t="s">
        <v>9</v>
      </c>
      <c r="G1032" s="510">
        <f>LEN('Expected Auditing Outcomes'!$F1032)</f>
        <v>41</v>
      </c>
      <c r="H1032" s="511">
        <v>46010.0</v>
      </c>
    </row>
    <row r="1033" ht="22.5" customHeight="1">
      <c r="B1033" s="146" t="s">
        <v>3816</v>
      </c>
      <c r="C1033" s="146">
        <v>50002.0</v>
      </c>
      <c r="D1033" s="146" t="s">
        <v>7</v>
      </c>
      <c r="E1033" s="305" t="s">
        <v>3818</v>
      </c>
      <c r="F1033" s="383" t="s">
        <v>31</v>
      </c>
      <c r="G1033" s="510">
        <f>LEN('Expected Auditing Outcomes'!$F1033)</f>
        <v>37</v>
      </c>
      <c r="H1033" s="511">
        <v>45665.0</v>
      </c>
    </row>
    <row r="1034" ht="15.0" customHeight="1">
      <c r="B1034" s="146" t="s">
        <v>3816</v>
      </c>
      <c r="C1034" s="146">
        <v>50003.0</v>
      </c>
      <c r="D1034" s="146" t="s">
        <v>7</v>
      </c>
      <c r="E1034" s="383" t="s">
        <v>3819</v>
      </c>
      <c r="F1034" s="439" t="s">
        <v>149</v>
      </c>
      <c r="G1034" s="510">
        <f>LEN('Expected Auditing Outcomes'!$F1034)</f>
        <v>67</v>
      </c>
      <c r="H1034" s="511">
        <v>46035.0</v>
      </c>
    </row>
    <row r="1035" ht="15.0" customHeight="1">
      <c r="B1035" s="146" t="s">
        <v>3816</v>
      </c>
      <c r="C1035" s="146">
        <v>50004.0</v>
      </c>
      <c r="D1035" s="146" t="s">
        <v>7</v>
      </c>
      <c r="E1035" s="383"/>
      <c r="F1035" s="439"/>
      <c r="G1035" s="510">
        <f>LEN('Expected Auditing Outcomes'!$F1035)</f>
        <v>0</v>
      </c>
      <c r="H1035" s="511"/>
    </row>
    <row r="1036" ht="15.0" customHeight="1">
      <c r="B1036" s="145" t="s">
        <v>3816</v>
      </c>
      <c r="C1036" s="145">
        <v>50005.0</v>
      </c>
      <c r="D1036" s="145" t="s">
        <v>7</v>
      </c>
      <c r="E1036" s="144" t="s">
        <v>3356</v>
      </c>
      <c r="F1036" s="507" t="s">
        <v>3820</v>
      </c>
      <c r="G1036" s="510">
        <f>LEN('Expected Auditing Outcomes'!$F1036)</f>
        <v>59</v>
      </c>
      <c r="H1036" s="154"/>
    </row>
    <row r="1037" ht="15.0" customHeight="1">
      <c r="B1037" s="146" t="s">
        <v>3816</v>
      </c>
      <c r="C1037" s="146">
        <v>50006.0</v>
      </c>
      <c r="D1037" s="145" t="s">
        <v>7</v>
      </c>
      <c r="E1037" s="305" t="s">
        <v>3358</v>
      </c>
      <c r="F1037" s="383" t="s">
        <v>15</v>
      </c>
      <c r="G1037" s="510">
        <f>LEN('Expected Auditing Outcomes'!$F1037)</f>
        <v>37</v>
      </c>
      <c r="H1037" s="154"/>
    </row>
    <row r="1038" ht="15.75" customHeight="1">
      <c r="B1038" s="146" t="s">
        <v>3816</v>
      </c>
      <c r="C1038" s="146">
        <v>50007.0</v>
      </c>
      <c r="D1038" s="146" t="s">
        <v>7</v>
      </c>
      <c r="E1038" s="305" t="s">
        <v>3821</v>
      </c>
      <c r="F1038" s="383" t="s">
        <v>3822</v>
      </c>
      <c r="G1038" s="510">
        <f>LEN('Expected Auditing Outcomes'!$F1038)</f>
        <v>75</v>
      </c>
      <c r="H1038" s="154"/>
    </row>
    <row r="1039" ht="15.0" customHeight="1">
      <c r="B1039" s="146" t="s">
        <v>3816</v>
      </c>
      <c r="C1039" s="146">
        <v>50008.0</v>
      </c>
      <c r="D1039" s="146" t="s">
        <v>7</v>
      </c>
      <c r="E1039" s="305" t="s">
        <v>3823</v>
      </c>
      <c r="F1039" s="383" t="s">
        <v>3824</v>
      </c>
      <c r="G1039" s="510">
        <f>LEN('Expected Auditing Outcomes'!$F1039)</f>
        <v>58</v>
      </c>
      <c r="H1039" s="154"/>
    </row>
    <row r="1040" ht="15.0" customHeight="1">
      <c r="B1040" s="146" t="s">
        <v>3816</v>
      </c>
      <c r="C1040" s="146">
        <v>50009.0</v>
      </c>
      <c r="D1040" s="146" t="s">
        <v>7</v>
      </c>
      <c r="E1040" s="127" t="s">
        <v>3825</v>
      </c>
      <c r="F1040" s="383" t="s">
        <v>507</v>
      </c>
      <c r="G1040" s="510">
        <f>LEN('Expected Auditing Outcomes'!$F1040)</f>
        <v>64</v>
      </c>
      <c r="H1040" s="154"/>
    </row>
    <row r="1041" ht="15.0" customHeight="1">
      <c r="B1041" s="146" t="s">
        <v>3816</v>
      </c>
      <c r="C1041" s="146">
        <v>50010.0</v>
      </c>
      <c r="D1041" s="146" t="s">
        <v>7</v>
      </c>
      <c r="E1041" s="512" t="s">
        <v>3826</v>
      </c>
      <c r="F1041" s="383" t="s">
        <v>3827</v>
      </c>
      <c r="G1041" s="510">
        <f>LEN('Expected Auditing Outcomes'!$F1041)</f>
        <v>61</v>
      </c>
      <c r="H1041" s="154"/>
    </row>
    <row r="1042" ht="15.0" customHeight="1">
      <c r="B1042" s="146" t="s">
        <v>3816</v>
      </c>
      <c r="C1042" s="513">
        <v>44456.0</v>
      </c>
      <c r="D1042" s="146" t="s">
        <v>7</v>
      </c>
      <c r="E1042" s="129" t="s">
        <v>3828</v>
      </c>
      <c r="F1042" s="383" t="s">
        <v>3829</v>
      </c>
      <c r="G1042" s="510">
        <f>LEN('Expected Auditing Outcomes'!$F1042)</f>
        <v>56</v>
      </c>
      <c r="H1042" s="154"/>
    </row>
    <row r="1043" ht="15.75" customHeight="1">
      <c r="B1043" s="514" t="s">
        <v>3816</v>
      </c>
      <c r="C1043" s="146">
        <v>50013.0</v>
      </c>
      <c r="D1043" s="146" t="s">
        <v>7</v>
      </c>
      <c r="E1043" s="305" t="s">
        <v>3830</v>
      </c>
      <c r="F1043" s="383" t="s">
        <v>3831</v>
      </c>
      <c r="G1043" s="154">
        <f>LEN('Expected Auditing Outcomes'!$F1043)</f>
        <v>80</v>
      </c>
      <c r="H1043" s="511">
        <v>46013.0</v>
      </c>
    </row>
    <row r="1044" ht="15.75" customHeight="1">
      <c r="B1044" s="146" t="s">
        <v>3816</v>
      </c>
      <c r="C1044" s="146">
        <v>50016.0</v>
      </c>
      <c r="D1044" s="146" t="s">
        <v>20</v>
      </c>
      <c r="E1044" s="127" t="s">
        <v>3832</v>
      </c>
      <c r="F1044" s="383" t="s">
        <v>3833</v>
      </c>
      <c r="G1044" s="154">
        <f>LEN('Expected Auditing Outcomes'!$F1044)</f>
        <v>128</v>
      </c>
      <c r="H1044" s="154"/>
    </row>
    <row r="1045" ht="15.75" customHeight="1">
      <c r="B1045" s="146" t="s">
        <v>3816</v>
      </c>
      <c r="C1045" s="146">
        <v>50017.0</v>
      </c>
      <c r="D1045" s="146" t="s">
        <v>7</v>
      </c>
      <c r="E1045" s="305" t="s">
        <v>3374</v>
      </c>
      <c r="F1045" s="383" t="s">
        <v>3834</v>
      </c>
      <c r="G1045" s="154">
        <f>LEN('Expected Auditing Outcomes'!$F1045)</f>
        <v>54</v>
      </c>
      <c r="H1045" s="154"/>
    </row>
    <row r="1046" ht="15.75" customHeight="1">
      <c r="B1046" s="146" t="s">
        <v>3816</v>
      </c>
      <c r="C1046" s="146">
        <v>50018.0</v>
      </c>
      <c r="D1046" s="146" t="s">
        <v>27</v>
      </c>
      <c r="E1046" s="127" t="s">
        <v>3376</v>
      </c>
      <c r="F1046" s="383" t="s">
        <v>3835</v>
      </c>
      <c r="G1046" s="154">
        <f>LEN('Expected Auditing Outcomes'!$F1046)</f>
        <v>132</v>
      </c>
      <c r="H1046" s="154"/>
    </row>
    <row r="1047" ht="15.75" customHeight="1">
      <c r="B1047" s="146" t="s">
        <v>3816</v>
      </c>
      <c r="C1047" s="146">
        <v>50030.0</v>
      </c>
      <c r="D1047" s="146" t="s">
        <v>20</v>
      </c>
      <c r="E1047" s="515" t="s">
        <v>3836</v>
      </c>
      <c r="F1047" s="383" t="s">
        <v>3837</v>
      </c>
      <c r="G1047" s="154">
        <f>LEN('Expected Auditing Outcomes'!$F1047)</f>
        <v>170</v>
      </c>
      <c r="H1047" s="511">
        <v>46021.0</v>
      </c>
    </row>
    <row r="1048" ht="15.75" customHeight="1">
      <c r="B1048" s="146" t="s">
        <v>3816</v>
      </c>
      <c r="C1048" s="146">
        <v>50032.0</v>
      </c>
      <c r="D1048" s="146" t="s">
        <v>7</v>
      </c>
      <c r="E1048" s="305" t="s">
        <v>3386</v>
      </c>
      <c r="F1048" s="383" t="s">
        <v>3838</v>
      </c>
      <c r="G1048" s="154">
        <f>LEN('Expected Auditing Outcomes'!$F1048)</f>
        <v>73</v>
      </c>
      <c r="H1048" s="154"/>
    </row>
    <row r="1049" ht="15.75" customHeight="1">
      <c r="B1049" s="146" t="s">
        <v>3816</v>
      </c>
      <c r="C1049" s="146">
        <v>50033.0</v>
      </c>
      <c r="D1049" s="146" t="s">
        <v>7</v>
      </c>
      <c r="E1049" s="305" t="s">
        <v>3388</v>
      </c>
      <c r="F1049" s="383" t="s">
        <v>3839</v>
      </c>
      <c r="G1049" s="154">
        <f>LEN('Expected Auditing Outcomes'!$F1049)</f>
        <v>69</v>
      </c>
      <c r="H1049" s="154"/>
    </row>
    <row r="1050" ht="15.75" hidden="1" customHeight="1">
      <c r="B1050" s="514" t="s">
        <v>3816</v>
      </c>
      <c r="C1050" s="514">
        <v>50328.0</v>
      </c>
      <c r="D1050" s="514" t="s">
        <v>7</v>
      </c>
      <c r="E1050" s="516" t="s">
        <v>3840</v>
      </c>
      <c r="F1050" s="383" t="s">
        <v>9</v>
      </c>
      <c r="G1050" s="154">
        <f>LEN('Expected Auditing Outcomes'!$F1050)</f>
        <v>41</v>
      </c>
      <c r="H1050" s="511">
        <v>46010.0</v>
      </c>
    </row>
    <row r="1051" ht="15.75" hidden="1" customHeight="1">
      <c r="B1051" s="146"/>
      <c r="C1051" s="146">
        <f t="shared" ref="C1051:C3017" si="5">SUM($B1051+10000)</f>
        <v>10000</v>
      </c>
      <c r="D1051" s="146"/>
      <c r="E1051" s="305"/>
      <c r="F1051" s="383"/>
      <c r="G1051" s="154">
        <f>LEN('Expected Auditing Outcomes'!$F1051)</f>
        <v>0</v>
      </c>
      <c r="H1051" s="154"/>
    </row>
    <row r="1052" ht="15.75" hidden="1" customHeight="1">
      <c r="B1052" s="146"/>
      <c r="C1052" s="146">
        <f t="shared" si="5"/>
        <v>10000</v>
      </c>
      <c r="D1052" s="146"/>
      <c r="E1052" s="305"/>
      <c r="F1052" s="383"/>
      <c r="G1052" s="154">
        <f>LEN('Expected Auditing Outcomes'!$F1052)</f>
        <v>0</v>
      </c>
      <c r="H1052" s="154"/>
    </row>
    <row r="1053" ht="15.75" hidden="1" customHeight="1">
      <c r="B1053" s="146"/>
      <c r="C1053" s="146">
        <f t="shared" si="5"/>
        <v>10000</v>
      </c>
      <c r="D1053" s="146"/>
      <c r="E1053" s="305"/>
      <c r="F1053" s="383"/>
      <c r="G1053" s="154">
        <f>LEN('Expected Auditing Outcomes'!$F1053)</f>
        <v>0</v>
      </c>
      <c r="H1053" s="154"/>
    </row>
    <row r="1054" ht="15.75" hidden="1" customHeight="1">
      <c r="B1054" s="146"/>
      <c r="C1054" s="146">
        <f t="shared" si="5"/>
        <v>10000</v>
      </c>
      <c r="D1054" s="146"/>
      <c r="E1054" s="305"/>
      <c r="F1054" s="383"/>
      <c r="G1054" s="154">
        <f>LEN('Expected Auditing Outcomes'!$F1054)</f>
        <v>0</v>
      </c>
      <c r="H1054" s="154"/>
    </row>
    <row r="1055" ht="15.75" hidden="1" customHeight="1">
      <c r="B1055" s="146"/>
      <c r="C1055" s="146">
        <f t="shared" si="5"/>
        <v>10000</v>
      </c>
      <c r="D1055" s="146"/>
      <c r="E1055" s="305"/>
      <c r="F1055" s="383"/>
      <c r="G1055" s="154">
        <f>LEN('Expected Auditing Outcomes'!$F1055)</f>
        <v>0</v>
      </c>
      <c r="H1055" s="154"/>
    </row>
    <row r="1056" ht="15.75" hidden="1" customHeight="1">
      <c r="B1056" s="146"/>
      <c r="C1056" s="146">
        <f t="shared" si="5"/>
        <v>10000</v>
      </c>
      <c r="D1056" s="146"/>
      <c r="E1056" s="305"/>
      <c r="F1056" s="383"/>
      <c r="G1056" s="154">
        <f>LEN('Expected Auditing Outcomes'!$F1056)</f>
        <v>0</v>
      </c>
      <c r="H1056" s="154"/>
    </row>
    <row r="1057" ht="15.75" hidden="1" customHeight="1">
      <c r="B1057" s="146"/>
      <c r="C1057" s="146">
        <f t="shared" si="5"/>
        <v>10000</v>
      </c>
      <c r="D1057" s="146"/>
      <c r="E1057" s="305"/>
      <c r="F1057" s="383"/>
      <c r="G1057" s="154">
        <f>LEN('Expected Auditing Outcomes'!$F1057)</f>
        <v>0</v>
      </c>
      <c r="H1057" s="154"/>
    </row>
    <row r="1058" ht="15.75" hidden="1" customHeight="1">
      <c r="B1058" s="146"/>
      <c r="C1058" s="146">
        <f t="shared" si="5"/>
        <v>10000</v>
      </c>
      <c r="D1058" s="146"/>
      <c r="E1058" s="305"/>
      <c r="F1058" s="383"/>
      <c r="G1058" s="154">
        <f>LEN('Expected Auditing Outcomes'!$F1058)</f>
        <v>0</v>
      </c>
      <c r="H1058" s="154"/>
    </row>
    <row r="1059" ht="15.75" hidden="1" customHeight="1">
      <c r="B1059" s="146"/>
      <c r="C1059" s="146">
        <f t="shared" si="5"/>
        <v>10000</v>
      </c>
      <c r="D1059" s="146"/>
      <c r="E1059" s="305"/>
      <c r="F1059" s="383"/>
      <c r="G1059" s="154">
        <f>LEN('Expected Auditing Outcomes'!$F1059)</f>
        <v>0</v>
      </c>
      <c r="H1059" s="154"/>
    </row>
    <row r="1060" ht="15.75" hidden="1" customHeight="1">
      <c r="B1060" s="146"/>
      <c r="C1060" s="146">
        <f t="shared" si="5"/>
        <v>10000</v>
      </c>
      <c r="D1060" s="146"/>
      <c r="E1060" s="305"/>
      <c r="F1060" s="383"/>
      <c r="G1060" s="154">
        <f>LEN('Expected Auditing Outcomes'!$F1060)</f>
        <v>0</v>
      </c>
      <c r="H1060" s="154"/>
    </row>
    <row r="1061" ht="15.75" hidden="1" customHeight="1">
      <c r="B1061" s="146"/>
      <c r="C1061" s="146">
        <f t="shared" si="5"/>
        <v>10000</v>
      </c>
      <c r="D1061" s="146"/>
      <c r="E1061" s="305"/>
      <c r="F1061" s="383"/>
      <c r="G1061" s="154">
        <f>LEN('Expected Auditing Outcomes'!$F1061)</f>
        <v>0</v>
      </c>
      <c r="H1061" s="154"/>
    </row>
    <row r="1062" ht="15.75" hidden="1" customHeight="1">
      <c r="B1062" s="146"/>
      <c r="C1062" s="146">
        <f t="shared" si="5"/>
        <v>10000</v>
      </c>
      <c r="D1062" s="146"/>
      <c r="E1062" s="305"/>
      <c r="F1062" s="383"/>
      <c r="G1062" s="154">
        <f>LEN('Expected Auditing Outcomes'!$F1062)</f>
        <v>0</v>
      </c>
      <c r="H1062" s="154"/>
    </row>
    <row r="1063" ht="15.75" hidden="1" customHeight="1">
      <c r="B1063" s="146"/>
      <c r="C1063" s="146">
        <f t="shared" si="5"/>
        <v>10000</v>
      </c>
      <c r="D1063" s="146"/>
      <c r="E1063" s="305"/>
      <c r="F1063" s="383"/>
      <c r="G1063" s="154">
        <f>LEN('Expected Auditing Outcomes'!$F1063)</f>
        <v>0</v>
      </c>
      <c r="H1063" s="154"/>
    </row>
    <row r="1064" ht="15.75" hidden="1" customHeight="1">
      <c r="B1064" s="146"/>
      <c r="C1064" s="146">
        <f t="shared" si="5"/>
        <v>10000</v>
      </c>
      <c r="D1064" s="146"/>
      <c r="E1064" s="305"/>
      <c r="F1064" s="383"/>
      <c r="G1064" s="154">
        <f>LEN('Expected Auditing Outcomes'!$F1064)</f>
        <v>0</v>
      </c>
      <c r="H1064" s="154"/>
    </row>
    <row r="1065" ht="15.75" hidden="1" customHeight="1">
      <c r="B1065" s="146"/>
      <c r="C1065" s="146">
        <f t="shared" si="5"/>
        <v>10000</v>
      </c>
      <c r="D1065" s="146"/>
      <c r="E1065" s="305"/>
      <c r="F1065" s="383"/>
      <c r="G1065" s="154">
        <f>LEN('Expected Auditing Outcomes'!$F1065)</f>
        <v>0</v>
      </c>
      <c r="H1065" s="154"/>
    </row>
    <row r="1066" ht="15.75" hidden="1" customHeight="1">
      <c r="B1066" s="146"/>
      <c r="C1066" s="146">
        <f t="shared" si="5"/>
        <v>10000</v>
      </c>
      <c r="D1066" s="146"/>
      <c r="E1066" s="305"/>
      <c r="F1066" s="383"/>
      <c r="G1066" s="154">
        <f>LEN('Expected Auditing Outcomes'!$F1066)</f>
        <v>0</v>
      </c>
      <c r="H1066" s="154"/>
    </row>
    <row r="1067" ht="15.75" hidden="1" customHeight="1">
      <c r="B1067" s="146"/>
      <c r="C1067" s="146">
        <f t="shared" si="5"/>
        <v>10000</v>
      </c>
      <c r="D1067" s="146"/>
      <c r="E1067" s="305"/>
      <c r="F1067" s="383"/>
      <c r="G1067" s="154">
        <f>LEN('Expected Auditing Outcomes'!$F1067)</f>
        <v>0</v>
      </c>
      <c r="H1067" s="154"/>
    </row>
    <row r="1068" ht="15.75" hidden="1" customHeight="1">
      <c r="B1068" s="146"/>
      <c r="C1068" s="146">
        <f t="shared" si="5"/>
        <v>10000</v>
      </c>
      <c r="D1068" s="146"/>
      <c r="E1068" s="305"/>
      <c r="F1068" s="383"/>
      <c r="G1068" s="154">
        <f>LEN('Expected Auditing Outcomes'!$F1068)</f>
        <v>0</v>
      </c>
      <c r="H1068" s="154"/>
    </row>
    <row r="1069" ht="15.75" hidden="1" customHeight="1">
      <c r="B1069" s="146"/>
      <c r="C1069" s="146">
        <f t="shared" si="5"/>
        <v>10000</v>
      </c>
      <c r="D1069" s="146"/>
      <c r="E1069" s="305"/>
      <c r="F1069" s="383"/>
      <c r="G1069" s="154">
        <f>LEN('Expected Auditing Outcomes'!$F1069)</f>
        <v>0</v>
      </c>
      <c r="H1069" s="154"/>
    </row>
    <row r="1070" ht="15.75" hidden="1" customHeight="1">
      <c r="B1070" s="146"/>
      <c r="C1070" s="146">
        <f t="shared" si="5"/>
        <v>10000</v>
      </c>
      <c r="D1070" s="146"/>
      <c r="E1070" s="305"/>
      <c r="F1070" s="383"/>
      <c r="G1070" s="154">
        <f>LEN('Expected Auditing Outcomes'!$F1070)</f>
        <v>0</v>
      </c>
      <c r="H1070" s="154"/>
    </row>
    <row r="1071" ht="15.75" hidden="1" customHeight="1">
      <c r="B1071" s="146"/>
      <c r="C1071" s="146">
        <f t="shared" si="5"/>
        <v>10000</v>
      </c>
      <c r="D1071" s="146"/>
      <c r="E1071" s="305"/>
      <c r="F1071" s="383"/>
      <c r="G1071" s="154">
        <f>LEN('Expected Auditing Outcomes'!$F1071)</f>
        <v>0</v>
      </c>
      <c r="H1071" s="154"/>
    </row>
    <row r="1072" ht="15.75" hidden="1" customHeight="1">
      <c r="B1072" s="146"/>
      <c r="C1072" s="146">
        <f t="shared" si="5"/>
        <v>10000</v>
      </c>
      <c r="D1072" s="146"/>
      <c r="E1072" s="305"/>
      <c r="F1072" s="383"/>
      <c r="G1072" s="154">
        <f>LEN('Expected Auditing Outcomes'!$F1072)</f>
        <v>0</v>
      </c>
      <c r="H1072" s="154"/>
    </row>
    <row r="1073" ht="15.75" hidden="1" customHeight="1">
      <c r="B1073" s="146"/>
      <c r="C1073" s="146">
        <f t="shared" si="5"/>
        <v>10000</v>
      </c>
      <c r="D1073" s="146"/>
      <c r="E1073" s="305"/>
      <c r="F1073" s="383"/>
      <c r="G1073" s="154">
        <f>LEN('Expected Auditing Outcomes'!$F1073)</f>
        <v>0</v>
      </c>
      <c r="H1073" s="154"/>
    </row>
    <row r="1074" ht="15.75" hidden="1" customHeight="1">
      <c r="B1074" s="146"/>
      <c r="C1074" s="146">
        <f t="shared" si="5"/>
        <v>10000</v>
      </c>
      <c r="D1074" s="146"/>
      <c r="E1074" s="305"/>
      <c r="F1074" s="383"/>
      <c r="G1074" s="154">
        <f>LEN('Expected Auditing Outcomes'!$F1074)</f>
        <v>0</v>
      </c>
      <c r="H1074" s="154"/>
    </row>
    <row r="1075" ht="15.75" hidden="1" customHeight="1">
      <c r="B1075" s="146"/>
      <c r="C1075" s="146">
        <f t="shared" si="5"/>
        <v>10000</v>
      </c>
      <c r="D1075" s="146"/>
      <c r="E1075" s="305"/>
      <c r="F1075" s="383"/>
      <c r="G1075" s="154">
        <f>LEN('Expected Auditing Outcomes'!$F1075)</f>
        <v>0</v>
      </c>
      <c r="H1075" s="154"/>
    </row>
    <row r="1076" ht="15.75" hidden="1" customHeight="1">
      <c r="B1076" s="146"/>
      <c r="C1076" s="146">
        <f t="shared" si="5"/>
        <v>10000</v>
      </c>
      <c r="D1076" s="146"/>
      <c r="E1076" s="305"/>
      <c r="F1076" s="383"/>
      <c r="G1076" s="154">
        <f>LEN('Expected Auditing Outcomes'!$F1076)</f>
        <v>0</v>
      </c>
      <c r="H1076" s="154"/>
    </row>
    <row r="1077" ht="15.75" hidden="1" customHeight="1">
      <c r="B1077" s="146"/>
      <c r="C1077" s="146">
        <f t="shared" si="5"/>
        <v>10000</v>
      </c>
      <c r="D1077" s="146"/>
      <c r="E1077" s="305"/>
      <c r="F1077" s="383"/>
      <c r="G1077" s="154">
        <f>LEN('Expected Auditing Outcomes'!$F1077)</f>
        <v>0</v>
      </c>
      <c r="H1077" s="154"/>
    </row>
    <row r="1078" ht="15.75" hidden="1" customHeight="1">
      <c r="B1078" s="146"/>
      <c r="C1078" s="146">
        <f t="shared" si="5"/>
        <v>10000</v>
      </c>
      <c r="D1078" s="146"/>
      <c r="E1078" s="305"/>
      <c r="F1078" s="383"/>
      <c r="G1078" s="154">
        <f>LEN('Expected Auditing Outcomes'!$F1078)</f>
        <v>0</v>
      </c>
      <c r="H1078" s="154"/>
    </row>
    <row r="1079" ht="15.75" hidden="1" customHeight="1">
      <c r="B1079" s="146"/>
      <c r="C1079" s="146">
        <f t="shared" si="5"/>
        <v>10000</v>
      </c>
      <c r="D1079" s="146"/>
      <c r="E1079" s="305"/>
      <c r="F1079" s="383"/>
      <c r="G1079" s="154">
        <f>LEN('Expected Auditing Outcomes'!$F1079)</f>
        <v>0</v>
      </c>
      <c r="H1079" s="154"/>
    </row>
    <row r="1080" ht="15.75" hidden="1" customHeight="1">
      <c r="B1080" s="146"/>
      <c r="C1080" s="146">
        <f t="shared" si="5"/>
        <v>10000</v>
      </c>
      <c r="D1080" s="146"/>
      <c r="E1080" s="305"/>
      <c r="F1080" s="383"/>
      <c r="G1080" s="154">
        <f>LEN('Expected Auditing Outcomes'!$F1080)</f>
        <v>0</v>
      </c>
      <c r="H1080" s="154"/>
    </row>
    <row r="1081" ht="15.75" hidden="1" customHeight="1">
      <c r="B1081" s="146"/>
      <c r="C1081" s="146">
        <f t="shared" si="5"/>
        <v>10000</v>
      </c>
      <c r="D1081" s="146"/>
      <c r="E1081" s="305"/>
      <c r="F1081" s="383"/>
      <c r="G1081" s="154">
        <f>LEN('Expected Auditing Outcomes'!$F1081)</f>
        <v>0</v>
      </c>
      <c r="H1081" s="154"/>
    </row>
    <row r="1082" ht="15.75" hidden="1" customHeight="1">
      <c r="B1082" s="146"/>
      <c r="C1082" s="146">
        <f t="shared" si="5"/>
        <v>10000</v>
      </c>
      <c r="D1082" s="146"/>
      <c r="E1082" s="305"/>
      <c r="F1082" s="383"/>
      <c r="G1082" s="154">
        <f>LEN('Expected Auditing Outcomes'!$F1082)</f>
        <v>0</v>
      </c>
      <c r="H1082" s="154"/>
    </row>
    <row r="1083" ht="15.75" hidden="1" customHeight="1">
      <c r="B1083" s="146"/>
      <c r="C1083" s="146">
        <f t="shared" si="5"/>
        <v>10000</v>
      </c>
      <c r="D1083" s="146"/>
      <c r="E1083" s="305"/>
      <c r="F1083" s="383"/>
      <c r="G1083" s="154">
        <f>LEN('Expected Auditing Outcomes'!$F1083)</f>
        <v>0</v>
      </c>
      <c r="H1083" s="154"/>
    </row>
    <row r="1084" ht="15.75" hidden="1" customHeight="1">
      <c r="B1084" s="146"/>
      <c r="C1084" s="146">
        <f t="shared" si="5"/>
        <v>10000</v>
      </c>
      <c r="D1084" s="146"/>
      <c r="E1084" s="305"/>
      <c r="F1084" s="383"/>
      <c r="G1084" s="154">
        <f>LEN('Expected Auditing Outcomes'!$F1084)</f>
        <v>0</v>
      </c>
      <c r="H1084" s="154"/>
    </row>
    <row r="1085" ht="15.75" hidden="1" customHeight="1">
      <c r="B1085" s="146"/>
      <c r="C1085" s="146">
        <f t="shared" si="5"/>
        <v>10000</v>
      </c>
      <c r="D1085" s="146"/>
      <c r="E1085" s="305"/>
      <c r="F1085" s="383"/>
      <c r="G1085" s="154">
        <f>LEN('Expected Auditing Outcomes'!$F1085)</f>
        <v>0</v>
      </c>
      <c r="H1085" s="154"/>
    </row>
    <row r="1086" ht="15.75" hidden="1" customHeight="1">
      <c r="B1086" s="146"/>
      <c r="C1086" s="146">
        <f t="shared" si="5"/>
        <v>10000</v>
      </c>
      <c r="D1086" s="146"/>
      <c r="E1086" s="305"/>
      <c r="F1086" s="383"/>
      <c r="G1086" s="154">
        <f>LEN('Expected Auditing Outcomes'!$F1086)</f>
        <v>0</v>
      </c>
      <c r="H1086" s="154"/>
    </row>
    <row r="1087" ht="15.75" hidden="1" customHeight="1">
      <c r="B1087" s="146"/>
      <c r="C1087" s="146">
        <f t="shared" si="5"/>
        <v>10000</v>
      </c>
      <c r="D1087" s="146"/>
      <c r="E1087" s="305"/>
      <c r="F1087" s="383"/>
      <c r="G1087" s="154">
        <f>LEN('Expected Auditing Outcomes'!$F1087)</f>
        <v>0</v>
      </c>
      <c r="H1087" s="154"/>
    </row>
    <row r="1088" ht="15.75" hidden="1" customHeight="1">
      <c r="B1088" s="146"/>
      <c r="C1088" s="146">
        <f t="shared" si="5"/>
        <v>10000</v>
      </c>
      <c r="D1088" s="146"/>
      <c r="E1088" s="305"/>
      <c r="F1088" s="383"/>
      <c r="G1088" s="154">
        <f>LEN('Expected Auditing Outcomes'!$F1088)</f>
        <v>0</v>
      </c>
      <c r="H1088" s="154"/>
    </row>
    <row r="1089" ht="15.75" hidden="1" customHeight="1">
      <c r="B1089" s="146"/>
      <c r="C1089" s="146">
        <f t="shared" si="5"/>
        <v>10000</v>
      </c>
      <c r="D1089" s="146"/>
      <c r="E1089" s="305"/>
      <c r="F1089" s="383"/>
      <c r="G1089" s="154">
        <f>LEN('Expected Auditing Outcomes'!$F1089)</f>
        <v>0</v>
      </c>
      <c r="H1089" s="154"/>
    </row>
    <row r="1090" ht="15.75" hidden="1" customHeight="1">
      <c r="B1090" s="146"/>
      <c r="C1090" s="146">
        <f t="shared" si="5"/>
        <v>10000</v>
      </c>
      <c r="D1090" s="146"/>
      <c r="E1090" s="305"/>
      <c r="F1090" s="383"/>
      <c r="G1090" s="154">
        <f>LEN('Expected Auditing Outcomes'!$F1090)</f>
        <v>0</v>
      </c>
      <c r="H1090" s="154"/>
    </row>
    <row r="1091" ht="15.75" hidden="1" customHeight="1">
      <c r="B1091" s="146"/>
      <c r="C1091" s="146">
        <f t="shared" si="5"/>
        <v>10000</v>
      </c>
      <c r="D1091" s="146"/>
      <c r="E1091" s="305"/>
      <c r="F1091" s="383"/>
      <c r="G1091" s="154">
        <f>LEN('Expected Auditing Outcomes'!$F1091)</f>
        <v>0</v>
      </c>
      <c r="H1091" s="154"/>
    </row>
    <row r="1092" ht="15.75" hidden="1" customHeight="1">
      <c r="B1092" s="146"/>
      <c r="C1092" s="146">
        <f t="shared" si="5"/>
        <v>10000</v>
      </c>
      <c r="D1092" s="146"/>
      <c r="E1092" s="305"/>
      <c r="F1092" s="383"/>
      <c r="G1092" s="154">
        <f>LEN('Expected Auditing Outcomes'!$F1092)</f>
        <v>0</v>
      </c>
      <c r="H1092" s="154"/>
    </row>
    <row r="1093" ht="15.75" hidden="1" customHeight="1">
      <c r="B1093" s="146"/>
      <c r="C1093" s="146">
        <f t="shared" si="5"/>
        <v>10000</v>
      </c>
      <c r="D1093" s="146"/>
      <c r="E1093" s="305"/>
      <c r="F1093" s="383"/>
      <c r="G1093" s="154">
        <f>LEN('Expected Auditing Outcomes'!$F1093)</f>
        <v>0</v>
      </c>
      <c r="H1093" s="154"/>
    </row>
    <row r="1094" ht="15.75" hidden="1" customHeight="1">
      <c r="B1094" s="146"/>
      <c r="C1094" s="146">
        <f t="shared" si="5"/>
        <v>10000</v>
      </c>
      <c r="D1094" s="146"/>
      <c r="E1094" s="305"/>
      <c r="F1094" s="383"/>
      <c r="G1094" s="154">
        <f>LEN('Expected Auditing Outcomes'!$F1094)</f>
        <v>0</v>
      </c>
      <c r="H1094" s="154"/>
    </row>
    <row r="1095" ht="15.75" hidden="1" customHeight="1">
      <c r="B1095" s="146"/>
      <c r="C1095" s="146">
        <f t="shared" si="5"/>
        <v>10000</v>
      </c>
      <c r="D1095" s="146"/>
      <c r="E1095" s="305"/>
      <c r="F1095" s="383"/>
      <c r="G1095" s="154">
        <f>LEN('Expected Auditing Outcomes'!$F1095)</f>
        <v>0</v>
      </c>
      <c r="H1095" s="154"/>
    </row>
    <row r="1096" ht="15.75" hidden="1" customHeight="1">
      <c r="B1096" s="146"/>
      <c r="C1096" s="146">
        <f t="shared" si="5"/>
        <v>10000</v>
      </c>
      <c r="D1096" s="146"/>
      <c r="E1096" s="305"/>
      <c r="F1096" s="383"/>
      <c r="G1096" s="154">
        <f>LEN('Expected Auditing Outcomes'!$F1096)</f>
        <v>0</v>
      </c>
      <c r="H1096" s="154"/>
    </row>
    <row r="1097" ht="15.75" hidden="1" customHeight="1">
      <c r="B1097" s="146"/>
      <c r="C1097" s="146">
        <f t="shared" si="5"/>
        <v>10000</v>
      </c>
      <c r="D1097" s="146"/>
      <c r="E1097" s="305"/>
      <c r="F1097" s="383"/>
      <c r="G1097" s="154">
        <f>LEN('Expected Auditing Outcomes'!$F1097)</f>
        <v>0</v>
      </c>
      <c r="H1097" s="154"/>
    </row>
    <row r="1098" ht="15.75" hidden="1" customHeight="1">
      <c r="B1098" s="146"/>
      <c r="C1098" s="146">
        <f t="shared" si="5"/>
        <v>10000</v>
      </c>
      <c r="D1098" s="146"/>
      <c r="E1098" s="305"/>
      <c r="F1098" s="383"/>
      <c r="G1098" s="154">
        <f>LEN('Expected Auditing Outcomes'!$F1098)</f>
        <v>0</v>
      </c>
      <c r="H1098" s="154"/>
    </row>
    <row r="1099" ht="15.75" hidden="1" customHeight="1">
      <c r="B1099" s="146"/>
      <c r="C1099" s="146">
        <f t="shared" si="5"/>
        <v>10000</v>
      </c>
      <c r="D1099" s="146"/>
      <c r="E1099" s="305"/>
      <c r="F1099" s="383"/>
      <c r="G1099" s="154">
        <f>LEN('Expected Auditing Outcomes'!$F1099)</f>
        <v>0</v>
      </c>
      <c r="H1099" s="154"/>
    </row>
    <row r="1100" ht="15.75" hidden="1" customHeight="1">
      <c r="B1100" s="146"/>
      <c r="C1100" s="146">
        <f t="shared" si="5"/>
        <v>10000</v>
      </c>
      <c r="D1100" s="146"/>
      <c r="E1100" s="305"/>
      <c r="F1100" s="383"/>
      <c r="G1100" s="154">
        <f>LEN('Expected Auditing Outcomes'!$F1100)</f>
        <v>0</v>
      </c>
      <c r="H1100" s="154"/>
    </row>
    <row r="1101" ht="15.75" hidden="1" customHeight="1">
      <c r="B1101" s="146"/>
      <c r="C1101" s="146">
        <f t="shared" si="5"/>
        <v>10000</v>
      </c>
      <c r="D1101" s="146"/>
      <c r="E1101" s="305"/>
      <c r="F1101" s="383"/>
      <c r="G1101" s="154">
        <f>LEN('Expected Auditing Outcomes'!$F1101)</f>
        <v>0</v>
      </c>
      <c r="H1101" s="154"/>
    </row>
    <row r="1102" ht="15.75" hidden="1" customHeight="1">
      <c r="B1102" s="146"/>
      <c r="C1102" s="146">
        <f t="shared" si="5"/>
        <v>10000</v>
      </c>
      <c r="D1102" s="146"/>
      <c r="E1102" s="305"/>
      <c r="F1102" s="383"/>
      <c r="G1102" s="154">
        <f>LEN('Expected Auditing Outcomes'!$F1102)</f>
        <v>0</v>
      </c>
      <c r="H1102" s="154"/>
    </row>
    <row r="1103" ht="15.75" hidden="1" customHeight="1">
      <c r="B1103" s="146"/>
      <c r="C1103" s="146">
        <f t="shared" si="5"/>
        <v>10000</v>
      </c>
      <c r="D1103" s="146"/>
      <c r="E1103" s="305"/>
      <c r="F1103" s="383"/>
      <c r="G1103" s="154">
        <f>LEN('Expected Auditing Outcomes'!$F1103)</f>
        <v>0</v>
      </c>
      <c r="H1103" s="154"/>
    </row>
    <row r="1104" ht="15.75" hidden="1" customHeight="1">
      <c r="B1104" s="146"/>
      <c r="C1104" s="146">
        <f t="shared" si="5"/>
        <v>10000</v>
      </c>
      <c r="D1104" s="146"/>
      <c r="E1104" s="305"/>
      <c r="F1104" s="383"/>
      <c r="G1104" s="154">
        <f>LEN('Expected Auditing Outcomes'!$F1104)</f>
        <v>0</v>
      </c>
      <c r="H1104" s="154"/>
    </row>
    <row r="1105" ht="15.75" hidden="1" customHeight="1">
      <c r="B1105" s="146"/>
      <c r="C1105" s="146">
        <f t="shared" si="5"/>
        <v>10000</v>
      </c>
      <c r="D1105" s="146"/>
      <c r="E1105" s="305"/>
      <c r="F1105" s="383"/>
      <c r="G1105" s="154">
        <f>LEN('Expected Auditing Outcomes'!$F1105)</f>
        <v>0</v>
      </c>
      <c r="H1105" s="154"/>
    </row>
    <row r="1106" ht="15.75" hidden="1" customHeight="1">
      <c r="B1106" s="146"/>
      <c r="C1106" s="146">
        <f t="shared" si="5"/>
        <v>10000</v>
      </c>
      <c r="D1106" s="146"/>
      <c r="E1106" s="305"/>
      <c r="F1106" s="383"/>
      <c r="G1106" s="154">
        <f>LEN('Expected Auditing Outcomes'!$F1106)</f>
        <v>0</v>
      </c>
      <c r="H1106" s="154"/>
    </row>
    <row r="1107" ht="15.75" hidden="1" customHeight="1">
      <c r="B1107" s="146"/>
      <c r="C1107" s="146">
        <f t="shared" si="5"/>
        <v>10000</v>
      </c>
      <c r="D1107" s="146"/>
      <c r="E1107" s="305"/>
      <c r="F1107" s="383"/>
      <c r="G1107" s="154">
        <f>LEN('Expected Auditing Outcomes'!$F1107)</f>
        <v>0</v>
      </c>
      <c r="H1107" s="154"/>
    </row>
    <row r="1108" ht="15.75" hidden="1" customHeight="1">
      <c r="B1108" s="146"/>
      <c r="C1108" s="146">
        <f t="shared" si="5"/>
        <v>10000</v>
      </c>
      <c r="D1108" s="146"/>
      <c r="E1108" s="305"/>
      <c r="F1108" s="383"/>
      <c r="G1108" s="154">
        <f>LEN('Expected Auditing Outcomes'!$F1108)</f>
        <v>0</v>
      </c>
      <c r="H1108" s="154"/>
    </row>
    <row r="1109" ht="15.75" hidden="1" customHeight="1">
      <c r="B1109" s="146"/>
      <c r="C1109" s="146">
        <f t="shared" si="5"/>
        <v>10000</v>
      </c>
      <c r="D1109" s="146"/>
      <c r="E1109" s="305"/>
      <c r="F1109" s="383"/>
      <c r="G1109" s="154">
        <f>LEN('Expected Auditing Outcomes'!$F1109)</f>
        <v>0</v>
      </c>
      <c r="H1109" s="154"/>
    </row>
    <row r="1110" ht="15.75" hidden="1" customHeight="1">
      <c r="B1110" s="146"/>
      <c r="C1110" s="146">
        <f t="shared" si="5"/>
        <v>10000</v>
      </c>
      <c r="D1110" s="146"/>
      <c r="E1110" s="305"/>
      <c r="F1110" s="383"/>
      <c r="G1110" s="154">
        <f>LEN('Expected Auditing Outcomes'!$F1110)</f>
        <v>0</v>
      </c>
      <c r="H1110" s="154"/>
    </row>
    <row r="1111" ht="15.75" hidden="1" customHeight="1">
      <c r="B1111" s="146"/>
      <c r="C1111" s="146">
        <f t="shared" si="5"/>
        <v>10000</v>
      </c>
      <c r="D1111" s="146"/>
      <c r="E1111" s="305"/>
      <c r="F1111" s="383"/>
      <c r="G1111" s="154">
        <f>LEN('Expected Auditing Outcomes'!$F1111)</f>
        <v>0</v>
      </c>
      <c r="H1111" s="154"/>
    </row>
    <row r="1112" ht="15.75" hidden="1" customHeight="1">
      <c r="B1112" s="146"/>
      <c r="C1112" s="146">
        <f t="shared" si="5"/>
        <v>10000</v>
      </c>
      <c r="D1112" s="146"/>
      <c r="E1112" s="305"/>
      <c r="F1112" s="383"/>
      <c r="G1112" s="154">
        <f>LEN('Expected Auditing Outcomes'!$F1112)</f>
        <v>0</v>
      </c>
      <c r="H1112" s="154"/>
    </row>
    <row r="1113" ht="15.75" hidden="1" customHeight="1">
      <c r="B1113" s="146"/>
      <c r="C1113" s="146">
        <f t="shared" si="5"/>
        <v>10000</v>
      </c>
      <c r="D1113" s="146"/>
      <c r="E1113" s="305"/>
      <c r="F1113" s="383"/>
      <c r="G1113" s="154">
        <f>LEN('Expected Auditing Outcomes'!$F1113)</f>
        <v>0</v>
      </c>
      <c r="H1113" s="154"/>
    </row>
    <row r="1114" ht="15.75" hidden="1" customHeight="1">
      <c r="B1114" s="146"/>
      <c r="C1114" s="146">
        <f t="shared" si="5"/>
        <v>10000</v>
      </c>
      <c r="D1114" s="146"/>
      <c r="E1114" s="305"/>
      <c r="F1114" s="383"/>
      <c r="G1114" s="154">
        <f>LEN('Expected Auditing Outcomes'!$F1114)</f>
        <v>0</v>
      </c>
      <c r="H1114" s="154"/>
    </row>
    <row r="1115" ht="15.75" hidden="1" customHeight="1">
      <c r="B1115" s="146"/>
      <c r="C1115" s="146">
        <f t="shared" si="5"/>
        <v>10000</v>
      </c>
      <c r="D1115" s="146"/>
      <c r="E1115" s="305"/>
      <c r="F1115" s="383"/>
      <c r="G1115" s="154">
        <f>LEN('Expected Auditing Outcomes'!$F1115)</f>
        <v>0</v>
      </c>
      <c r="H1115" s="154"/>
    </row>
    <row r="1116" ht="15.75" hidden="1" customHeight="1">
      <c r="B1116" s="146"/>
      <c r="C1116" s="146">
        <f t="shared" si="5"/>
        <v>10000</v>
      </c>
      <c r="D1116" s="146"/>
      <c r="E1116" s="305"/>
      <c r="F1116" s="383"/>
      <c r="G1116" s="154">
        <f>LEN('Expected Auditing Outcomes'!$F1116)</f>
        <v>0</v>
      </c>
      <c r="H1116" s="154"/>
    </row>
    <row r="1117" ht="15.75" hidden="1" customHeight="1">
      <c r="B1117" s="146"/>
      <c r="C1117" s="146">
        <f t="shared" si="5"/>
        <v>10000</v>
      </c>
      <c r="D1117" s="146"/>
      <c r="E1117" s="305"/>
      <c r="F1117" s="383"/>
      <c r="G1117" s="154">
        <f>LEN('Expected Auditing Outcomes'!$F1117)</f>
        <v>0</v>
      </c>
      <c r="H1117" s="154"/>
    </row>
    <row r="1118" ht="15.75" hidden="1" customHeight="1">
      <c r="B1118" s="146"/>
      <c r="C1118" s="146">
        <f t="shared" si="5"/>
        <v>10000</v>
      </c>
      <c r="D1118" s="146"/>
      <c r="E1118" s="305"/>
      <c r="F1118" s="383"/>
      <c r="G1118" s="154">
        <f>LEN('Expected Auditing Outcomes'!$F1118)</f>
        <v>0</v>
      </c>
      <c r="H1118" s="154"/>
    </row>
    <row r="1119" ht="15.75" hidden="1" customHeight="1">
      <c r="B1119" s="146"/>
      <c r="C1119" s="146">
        <f t="shared" si="5"/>
        <v>10000</v>
      </c>
      <c r="D1119" s="146"/>
      <c r="E1119" s="305"/>
      <c r="F1119" s="383"/>
      <c r="G1119" s="154">
        <f>LEN('Expected Auditing Outcomes'!$F1119)</f>
        <v>0</v>
      </c>
      <c r="H1119" s="154"/>
    </row>
    <row r="1120" ht="15.75" hidden="1" customHeight="1">
      <c r="B1120" s="146"/>
      <c r="C1120" s="146">
        <f t="shared" si="5"/>
        <v>10000</v>
      </c>
      <c r="D1120" s="146"/>
      <c r="E1120" s="305"/>
      <c r="F1120" s="383"/>
      <c r="G1120" s="154">
        <f>LEN('Expected Auditing Outcomes'!$F1120)</f>
        <v>0</v>
      </c>
      <c r="H1120" s="154"/>
    </row>
    <row r="1121" ht="15.75" hidden="1" customHeight="1">
      <c r="B1121" s="146"/>
      <c r="C1121" s="146">
        <f t="shared" si="5"/>
        <v>10000</v>
      </c>
      <c r="D1121" s="146"/>
      <c r="E1121" s="305"/>
      <c r="F1121" s="383"/>
      <c r="G1121" s="154">
        <f>LEN('Expected Auditing Outcomes'!$F1121)</f>
        <v>0</v>
      </c>
      <c r="H1121" s="154"/>
    </row>
    <row r="1122" ht="15.75" hidden="1" customHeight="1">
      <c r="B1122" s="146"/>
      <c r="C1122" s="146">
        <f t="shared" si="5"/>
        <v>10000</v>
      </c>
      <c r="D1122" s="146"/>
      <c r="E1122" s="305"/>
      <c r="F1122" s="383"/>
      <c r="G1122" s="154">
        <f>LEN('Expected Auditing Outcomes'!$F1122)</f>
        <v>0</v>
      </c>
      <c r="H1122" s="154"/>
    </row>
    <row r="1123" ht="15.75" hidden="1" customHeight="1">
      <c r="B1123" s="146"/>
      <c r="C1123" s="146">
        <f t="shared" si="5"/>
        <v>10000</v>
      </c>
      <c r="D1123" s="146"/>
      <c r="E1123" s="305"/>
      <c r="F1123" s="383"/>
      <c r="G1123" s="154">
        <f>LEN('Expected Auditing Outcomes'!$F1123)</f>
        <v>0</v>
      </c>
      <c r="H1123" s="154"/>
    </row>
    <row r="1124" ht="15.75" hidden="1" customHeight="1">
      <c r="B1124" s="146"/>
      <c r="C1124" s="146">
        <f t="shared" si="5"/>
        <v>10000</v>
      </c>
      <c r="D1124" s="146"/>
      <c r="E1124" s="305"/>
      <c r="F1124" s="383"/>
      <c r="G1124" s="154">
        <f>LEN('Expected Auditing Outcomes'!$F1124)</f>
        <v>0</v>
      </c>
      <c r="H1124" s="154"/>
    </row>
    <row r="1125" ht="15.75" hidden="1" customHeight="1">
      <c r="B1125" s="146"/>
      <c r="C1125" s="146">
        <f t="shared" si="5"/>
        <v>10000</v>
      </c>
      <c r="D1125" s="146"/>
      <c r="E1125" s="305"/>
      <c r="F1125" s="383"/>
      <c r="G1125" s="154">
        <f>LEN('Expected Auditing Outcomes'!$F1125)</f>
        <v>0</v>
      </c>
      <c r="H1125" s="154"/>
    </row>
    <row r="1126" ht="15.75" hidden="1" customHeight="1">
      <c r="B1126" s="146"/>
      <c r="C1126" s="146">
        <f t="shared" si="5"/>
        <v>10000</v>
      </c>
      <c r="D1126" s="146"/>
      <c r="E1126" s="305"/>
      <c r="F1126" s="383"/>
      <c r="G1126" s="154">
        <f>LEN('Expected Auditing Outcomes'!$F1126)</f>
        <v>0</v>
      </c>
      <c r="H1126" s="154"/>
    </row>
    <row r="1127" ht="15.75" hidden="1" customHeight="1">
      <c r="B1127" s="146"/>
      <c r="C1127" s="146">
        <f t="shared" si="5"/>
        <v>10000</v>
      </c>
      <c r="D1127" s="146"/>
      <c r="E1127" s="305"/>
      <c r="F1127" s="383"/>
      <c r="G1127" s="154">
        <f>LEN('Expected Auditing Outcomes'!$F1127)</f>
        <v>0</v>
      </c>
      <c r="H1127" s="154"/>
    </row>
    <row r="1128" ht="15.75" hidden="1" customHeight="1">
      <c r="B1128" s="146"/>
      <c r="C1128" s="146">
        <f t="shared" si="5"/>
        <v>10000</v>
      </c>
      <c r="D1128" s="146"/>
      <c r="E1128" s="305"/>
      <c r="F1128" s="383"/>
      <c r="G1128" s="154">
        <f>LEN('Expected Auditing Outcomes'!$F1128)</f>
        <v>0</v>
      </c>
      <c r="H1128" s="154"/>
    </row>
    <row r="1129" ht="15.75" hidden="1" customHeight="1">
      <c r="B1129" s="146"/>
      <c r="C1129" s="146">
        <f t="shared" si="5"/>
        <v>10000</v>
      </c>
      <c r="D1129" s="146"/>
      <c r="E1129" s="305"/>
      <c r="F1129" s="383"/>
      <c r="G1129" s="154">
        <f>LEN('Expected Auditing Outcomes'!$F1129)</f>
        <v>0</v>
      </c>
      <c r="H1129" s="154"/>
    </row>
    <row r="1130" ht="15.75" hidden="1" customHeight="1">
      <c r="B1130" s="146"/>
      <c r="C1130" s="146">
        <f t="shared" si="5"/>
        <v>10000</v>
      </c>
      <c r="D1130" s="146"/>
      <c r="E1130" s="305"/>
      <c r="F1130" s="383"/>
      <c r="G1130" s="154">
        <f>LEN('Expected Auditing Outcomes'!$F1130)</f>
        <v>0</v>
      </c>
      <c r="H1130" s="154"/>
    </row>
    <row r="1131" ht="15.75" hidden="1" customHeight="1">
      <c r="B1131" s="146"/>
      <c r="C1131" s="146">
        <f t="shared" si="5"/>
        <v>10000</v>
      </c>
      <c r="D1131" s="146"/>
      <c r="E1131" s="305"/>
      <c r="F1131" s="383"/>
      <c r="G1131" s="154">
        <f>LEN('Expected Auditing Outcomes'!$F1131)</f>
        <v>0</v>
      </c>
      <c r="H1131" s="154"/>
    </row>
    <row r="1132" ht="15.75" hidden="1" customHeight="1">
      <c r="B1132" s="146"/>
      <c r="C1132" s="146">
        <f t="shared" si="5"/>
        <v>10000</v>
      </c>
      <c r="D1132" s="146"/>
      <c r="E1132" s="305"/>
      <c r="F1132" s="383"/>
      <c r="G1132" s="154">
        <f>LEN('Expected Auditing Outcomes'!$F1132)</f>
        <v>0</v>
      </c>
      <c r="H1132" s="154"/>
    </row>
    <row r="1133" ht="15.75" hidden="1" customHeight="1">
      <c r="B1133" s="146"/>
      <c r="C1133" s="146">
        <f t="shared" si="5"/>
        <v>10000</v>
      </c>
      <c r="D1133" s="146"/>
      <c r="E1133" s="305"/>
      <c r="F1133" s="383"/>
      <c r="G1133" s="154">
        <f>LEN('Expected Auditing Outcomes'!$F1133)</f>
        <v>0</v>
      </c>
      <c r="H1133" s="154"/>
    </row>
    <row r="1134" ht="15.75" hidden="1" customHeight="1">
      <c r="B1134" s="146"/>
      <c r="C1134" s="146">
        <f t="shared" si="5"/>
        <v>10000</v>
      </c>
      <c r="D1134" s="146"/>
      <c r="E1134" s="305"/>
      <c r="F1134" s="383"/>
      <c r="G1134" s="154">
        <f>LEN('Expected Auditing Outcomes'!$F1134)</f>
        <v>0</v>
      </c>
      <c r="H1134" s="154"/>
    </row>
    <row r="1135" ht="15.75" hidden="1" customHeight="1">
      <c r="B1135" s="146"/>
      <c r="C1135" s="146">
        <f t="shared" si="5"/>
        <v>10000</v>
      </c>
      <c r="D1135" s="146"/>
      <c r="E1135" s="305"/>
      <c r="F1135" s="383"/>
      <c r="G1135" s="154">
        <f>LEN('Expected Auditing Outcomes'!$F1135)</f>
        <v>0</v>
      </c>
      <c r="H1135" s="154"/>
    </row>
    <row r="1136" ht="15.75" hidden="1" customHeight="1">
      <c r="B1136" s="146"/>
      <c r="C1136" s="146">
        <f t="shared" si="5"/>
        <v>10000</v>
      </c>
      <c r="D1136" s="146"/>
      <c r="E1136" s="305"/>
      <c r="F1136" s="383"/>
      <c r="G1136" s="154">
        <f>LEN('Expected Auditing Outcomes'!$F1136)</f>
        <v>0</v>
      </c>
      <c r="H1136" s="154"/>
    </row>
    <row r="1137" ht="15.75" hidden="1" customHeight="1">
      <c r="B1137" s="146"/>
      <c r="C1137" s="146">
        <f t="shared" si="5"/>
        <v>10000</v>
      </c>
      <c r="D1137" s="146"/>
      <c r="E1137" s="305"/>
      <c r="F1137" s="383"/>
      <c r="G1137" s="154">
        <f>LEN('Expected Auditing Outcomes'!$F1137)</f>
        <v>0</v>
      </c>
      <c r="H1137" s="154"/>
    </row>
    <row r="1138" ht="15.75" hidden="1" customHeight="1">
      <c r="B1138" s="146"/>
      <c r="C1138" s="146">
        <f t="shared" si="5"/>
        <v>10000</v>
      </c>
      <c r="D1138" s="146"/>
      <c r="E1138" s="305"/>
      <c r="F1138" s="383"/>
      <c r="G1138" s="154">
        <f>LEN('Expected Auditing Outcomes'!$F1138)</f>
        <v>0</v>
      </c>
      <c r="H1138" s="154"/>
    </row>
    <row r="1139" ht="15.75" hidden="1" customHeight="1">
      <c r="B1139" s="146"/>
      <c r="C1139" s="146">
        <f t="shared" si="5"/>
        <v>10000</v>
      </c>
      <c r="D1139" s="146"/>
      <c r="E1139" s="305"/>
      <c r="F1139" s="383"/>
      <c r="G1139" s="154">
        <f>LEN('Expected Auditing Outcomes'!$F1139)</f>
        <v>0</v>
      </c>
      <c r="H1139" s="154"/>
    </row>
    <row r="1140" ht="15.75" hidden="1" customHeight="1">
      <c r="B1140" s="146"/>
      <c r="C1140" s="146">
        <f t="shared" si="5"/>
        <v>10000</v>
      </c>
      <c r="D1140" s="146"/>
      <c r="E1140" s="305"/>
      <c r="F1140" s="383"/>
      <c r="G1140" s="154">
        <f>LEN('Expected Auditing Outcomes'!$F1140)</f>
        <v>0</v>
      </c>
      <c r="H1140" s="154"/>
    </row>
    <row r="1141" ht="15.75" hidden="1" customHeight="1">
      <c r="B1141" s="146"/>
      <c r="C1141" s="146">
        <f t="shared" si="5"/>
        <v>10000</v>
      </c>
      <c r="D1141" s="146"/>
      <c r="E1141" s="305"/>
      <c r="F1141" s="383"/>
      <c r="G1141" s="154">
        <f>LEN('Expected Auditing Outcomes'!$F1141)</f>
        <v>0</v>
      </c>
      <c r="H1141" s="154"/>
    </row>
    <row r="1142" ht="15.75" hidden="1" customHeight="1">
      <c r="B1142" s="146"/>
      <c r="C1142" s="146">
        <f t="shared" si="5"/>
        <v>10000</v>
      </c>
      <c r="D1142" s="146"/>
      <c r="E1142" s="305"/>
      <c r="F1142" s="383"/>
      <c r="G1142" s="154">
        <f>LEN('Expected Auditing Outcomes'!$F1142)</f>
        <v>0</v>
      </c>
      <c r="H1142" s="154"/>
    </row>
    <row r="1143" ht="15.75" hidden="1" customHeight="1">
      <c r="B1143" s="146"/>
      <c r="C1143" s="146">
        <f t="shared" si="5"/>
        <v>10000</v>
      </c>
      <c r="D1143" s="146"/>
      <c r="E1143" s="305"/>
      <c r="F1143" s="383"/>
      <c r="G1143" s="154">
        <f>LEN('Expected Auditing Outcomes'!$F1143)</f>
        <v>0</v>
      </c>
      <c r="H1143" s="154"/>
    </row>
    <row r="1144" ht="15.75" hidden="1" customHeight="1">
      <c r="B1144" s="146"/>
      <c r="C1144" s="146">
        <f t="shared" si="5"/>
        <v>10000</v>
      </c>
      <c r="D1144" s="146"/>
      <c r="E1144" s="305"/>
      <c r="F1144" s="383"/>
      <c r="G1144" s="154">
        <f>LEN('Expected Auditing Outcomes'!$F1144)</f>
        <v>0</v>
      </c>
      <c r="H1144" s="154"/>
    </row>
    <row r="1145" ht="15.75" hidden="1" customHeight="1">
      <c r="B1145" s="146"/>
      <c r="C1145" s="146">
        <f t="shared" si="5"/>
        <v>10000</v>
      </c>
      <c r="D1145" s="146"/>
      <c r="E1145" s="305"/>
      <c r="F1145" s="383"/>
      <c r="G1145" s="154">
        <f>LEN('Expected Auditing Outcomes'!$F1145)</f>
        <v>0</v>
      </c>
      <c r="H1145" s="154"/>
    </row>
    <row r="1146" ht="15.75" hidden="1" customHeight="1">
      <c r="B1146" s="146"/>
      <c r="C1146" s="146">
        <f t="shared" si="5"/>
        <v>10000</v>
      </c>
      <c r="D1146" s="146"/>
      <c r="E1146" s="305"/>
      <c r="F1146" s="383"/>
      <c r="G1146" s="154">
        <f>LEN('Expected Auditing Outcomes'!$F1146)</f>
        <v>0</v>
      </c>
      <c r="H1146" s="154"/>
    </row>
    <row r="1147" ht="15.75" hidden="1" customHeight="1">
      <c r="B1147" s="146"/>
      <c r="C1147" s="146">
        <f t="shared" si="5"/>
        <v>10000</v>
      </c>
      <c r="D1147" s="146"/>
      <c r="E1147" s="305"/>
      <c r="F1147" s="383"/>
      <c r="G1147" s="154">
        <f>LEN('Expected Auditing Outcomes'!$F1147)</f>
        <v>0</v>
      </c>
      <c r="H1147" s="154"/>
    </row>
    <row r="1148" ht="15.75" hidden="1" customHeight="1">
      <c r="B1148" s="146"/>
      <c r="C1148" s="146">
        <f t="shared" si="5"/>
        <v>10000</v>
      </c>
      <c r="D1148" s="146"/>
      <c r="E1148" s="305"/>
      <c r="F1148" s="383"/>
      <c r="G1148" s="154">
        <f>LEN('Expected Auditing Outcomes'!$F1148)</f>
        <v>0</v>
      </c>
      <c r="H1148" s="154"/>
    </row>
    <row r="1149" ht="15.75" hidden="1" customHeight="1">
      <c r="B1149" s="146"/>
      <c r="C1149" s="146">
        <f t="shared" si="5"/>
        <v>10000</v>
      </c>
      <c r="D1149" s="146"/>
      <c r="E1149" s="305"/>
      <c r="F1149" s="383"/>
      <c r="G1149" s="154">
        <f>LEN('Expected Auditing Outcomes'!$F1149)</f>
        <v>0</v>
      </c>
      <c r="H1149" s="154"/>
    </row>
    <row r="1150" ht="15.75" hidden="1" customHeight="1">
      <c r="B1150" s="146"/>
      <c r="C1150" s="146">
        <f t="shared" si="5"/>
        <v>10000</v>
      </c>
      <c r="D1150" s="146"/>
      <c r="E1150" s="305"/>
      <c r="F1150" s="383"/>
      <c r="G1150" s="154">
        <f>LEN('Expected Auditing Outcomes'!$F1150)</f>
        <v>0</v>
      </c>
      <c r="H1150" s="154"/>
    </row>
    <row r="1151" ht="15.75" hidden="1" customHeight="1">
      <c r="B1151" s="146"/>
      <c r="C1151" s="146">
        <f t="shared" si="5"/>
        <v>10000</v>
      </c>
      <c r="D1151" s="146"/>
      <c r="E1151" s="305"/>
      <c r="F1151" s="383"/>
      <c r="G1151" s="154">
        <f>LEN('Expected Auditing Outcomes'!$F1151)</f>
        <v>0</v>
      </c>
      <c r="H1151" s="154"/>
    </row>
    <row r="1152" ht="15.75" hidden="1" customHeight="1">
      <c r="B1152" s="146"/>
      <c r="C1152" s="146">
        <f t="shared" si="5"/>
        <v>10000</v>
      </c>
      <c r="D1152" s="146"/>
      <c r="E1152" s="305"/>
      <c r="F1152" s="383"/>
      <c r="G1152" s="154">
        <f>LEN('Expected Auditing Outcomes'!$F1152)</f>
        <v>0</v>
      </c>
      <c r="H1152" s="154"/>
    </row>
    <row r="1153" ht="15.75" hidden="1" customHeight="1">
      <c r="B1153" s="146"/>
      <c r="C1153" s="146">
        <f t="shared" si="5"/>
        <v>10000</v>
      </c>
      <c r="D1153" s="146"/>
      <c r="E1153" s="305"/>
      <c r="F1153" s="383"/>
      <c r="G1153" s="154">
        <f>LEN('Expected Auditing Outcomes'!$F1153)</f>
        <v>0</v>
      </c>
      <c r="H1153" s="154"/>
    </row>
    <row r="1154" ht="15.75" hidden="1" customHeight="1">
      <c r="B1154" s="146"/>
      <c r="C1154" s="146">
        <f t="shared" si="5"/>
        <v>10000</v>
      </c>
      <c r="D1154" s="146"/>
      <c r="E1154" s="305"/>
      <c r="F1154" s="383"/>
      <c r="G1154" s="154">
        <f>LEN('Expected Auditing Outcomes'!$F1154)</f>
        <v>0</v>
      </c>
      <c r="H1154" s="154"/>
    </row>
    <row r="1155" ht="15.75" hidden="1" customHeight="1">
      <c r="B1155" s="146"/>
      <c r="C1155" s="146">
        <f t="shared" si="5"/>
        <v>10000</v>
      </c>
      <c r="D1155" s="146"/>
      <c r="E1155" s="305"/>
      <c r="F1155" s="383"/>
      <c r="G1155" s="154">
        <f>LEN('Expected Auditing Outcomes'!$F1155)</f>
        <v>0</v>
      </c>
      <c r="H1155" s="154"/>
    </row>
    <row r="1156" ht="15.75" hidden="1" customHeight="1">
      <c r="B1156" s="146"/>
      <c r="C1156" s="146">
        <f t="shared" si="5"/>
        <v>10000</v>
      </c>
      <c r="D1156" s="146"/>
      <c r="E1156" s="305"/>
      <c r="F1156" s="383"/>
      <c r="G1156" s="154">
        <f>LEN('Expected Auditing Outcomes'!$F1156)</f>
        <v>0</v>
      </c>
      <c r="H1156" s="154"/>
    </row>
    <row r="1157" ht="15.75" hidden="1" customHeight="1">
      <c r="B1157" s="146"/>
      <c r="C1157" s="146">
        <f t="shared" si="5"/>
        <v>10000</v>
      </c>
      <c r="D1157" s="146"/>
      <c r="E1157" s="305"/>
      <c r="F1157" s="383"/>
      <c r="G1157" s="154">
        <f>LEN('Expected Auditing Outcomes'!$F1157)</f>
        <v>0</v>
      </c>
      <c r="H1157" s="154"/>
    </row>
    <row r="1158" ht="15.75" hidden="1" customHeight="1">
      <c r="B1158" s="146"/>
      <c r="C1158" s="146">
        <f t="shared" si="5"/>
        <v>10000</v>
      </c>
      <c r="D1158" s="146"/>
      <c r="E1158" s="305"/>
      <c r="F1158" s="383"/>
      <c r="G1158" s="154">
        <f>LEN('Expected Auditing Outcomes'!$F1158)</f>
        <v>0</v>
      </c>
      <c r="H1158" s="154"/>
    </row>
    <row r="1159" ht="15.75" hidden="1" customHeight="1">
      <c r="B1159" s="146"/>
      <c r="C1159" s="146">
        <f t="shared" si="5"/>
        <v>10000</v>
      </c>
      <c r="D1159" s="146"/>
      <c r="E1159" s="305"/>
      <c r="F1159" s="383"/>
      <c r="G1159" s="154">
        <f>LEN('Expected Auditing Outcomes'!$F1159)</f>
        <v>0</v>
      </c>
      <c r="H1159" s="154"/>
    </row>
    <row r="1160" ht="15.75" hidden="1" customHeight="1">
      <c r="B1160" s="146"/>
      <c r="C1160" s="146">
        <f t="shared" si="5"/>
        <v>10000</v>
      </c>
      <c r="D1160" s="146"/>
      <c r="E1160" s="305"/>
      <c r="F1160" s="383"/>
      <c r="G1160" s="154">
        <f>LEN('Expected Auditing Outcomes'!$F1160)</f>
        <v>0</v>
      </c>
      <c r="H1160" s="154"/>
    </row>
    <row r="1161" ht="15.75" hidden="1" customHeight="1">
      <c r="B1161" s="146"/>
      <c r="C1161" s="146">
        <f t="shared" si="5"/>
        <v>10000</v>
      </c>
      <c r="D1161" s="146"/>
      <c r="E1161" s="305"/>
      <c r="F1161" s="383"/>
      <c r="G1161" s="154">
        <f>LEN('Expected Auditing Outcomes'!$F1161)</f>
        <v>0</v>
      </c>
      <c r="H1161" s="154"/>
    </row>
    <row r="1162" ht="15.75" hidden="1" customHeight="1">
      <c r="B1162" s="146"/>
      <c r="C1162" s="146">
        <f t="shared" si="5"/>
        <v>10000</v>
      </c>
      <c r="D1162" s="146"/>
      <c r="E1162" s="305"/>
      <c r="F1162" s="383"/>
      <c r="G1162" s="154">
        <f>LEN('Expected Auditing Outcomes'!$F1162)</f>
        <v>0</v>
      </c>
      <c r="H1162" s="154"/>
    </row>
    <row r="1163" ht="15.75" hidden="1" customHeight="1">
      <c r="B1163" s="146"/>
      <c r="C1163" s="146">
        <f t="shared" si="5"/>
        <v>10000</v>
      </c>
      <c r="D1163" s="146"/>
      <c r="E1163" s="305"/>
      <c r="F1163" s="383"/>
      <c r="G1163" s="154">
        <f>LEN('Expected Auditing Outcomes'!$F1163)</f>
        <v>0</v>
      </c>
      <c r="H1163" s="154"/>
    </row>
    <row r="1164" ht="15.75" hidden="1" customHeight="1">
      <c r="B1164" s="146"/>
      <c r="C1164" s="146">
        <f t="shared" si="5"/>
        <v>10000</v>
      </c>
      <c r="D1164" s="146"/>
      <c r="E1164" s="305"/>
      <c r="F1164" s="383"/>
      <c r="G1164" s="154">
        <f>LEN('Expected Auditing Outcomes'!$F1164)</f>
        <v>0</v>
      </c>
      <c r="H1164" s="154"/>
    </row>
    <row r="1165" ht="15.75" hidden="1" customHeight="1">
      <c r="B1165" s="146"/>
      <c r="C1165" s="146">
        <f t="shared" si="5"/>
        <v>10000</v>
      </c>
      <c r="D1165" s="146"/>
      <c r="E1165" s="305"/>
      <c r="F1165" s="383"/>
      <c r="G1165" s="154">
        <f>LEN('Expected Auditing Outcomes'!$F1165)</f>
        <v>0</v>
      </c>
      <c r="H1165" s="154"/>
    </row>
    <row r="1166" ht="15.75" hidden="1" customHeight="1">
      <c r="B1166" s="146"/>
      <c r="C1166" s="146">
        <f t="shared" si="5"/>
        <v>10000</v>
      </c>
      <c r="D1166" s="146"/>
      <c r="E1166" s="305"/>
      <c r="F1166" s="383"/>
      <c r="G1166" s="154">
        <f>LEN('Expected Auditing Outcomes'!$F1166)</f>
        <v>0</v>
      </c>
      <c r="H1166" s="154"/>
    </row>
    <row r="1167" ht="15.75" hidden="1" customHeight="1">
      <c r="B1167" s="146"/>
      <c r="C1167" s="146">
        <f t="shared" si="5"/>
        <v>10000</v>
      </c>
      <c r="D1167" s="146"/>
      <c r="E1167" s="305"/>
      <c r="F1167" s="383"/>
      <c r="G1167" s="154">
        <f>LEN('Expected Auditing Outcomes'!$F1167)</f>
        <v>0</v>
      </c>
      <c r="H1167" s="154"/>
    </row>
    <row r="1168" ht="15.75" hidden="1" customHeight="1">
      <c r="B1168" s="146"/>
      <c r="C1168" s="146">
        <f t="shared" si="5"/>
        <v>10000</v>
      </c>
      <c r="D1168" s="146"/>
      <c r="E1168" s="305"/>
      <c r="F1168" s="383"/>
      <c r="G1168" s="154">
        <f>LEN('Expected Auditing Outcomes'!$F1168)</f>
        <v>0</v>
      </c>
      <c r="H1168" s="154"/>
    </row>
    <row r="1169" ht="15.75" hidden="1" customHeight="1">
      <c r="B1169" s="146"/>
      <c r="C1169" s="146">
        <f t="shared" si="5"/>
        <v>10000</v>
      </c>
      <c r="D1169" s="146"/>
      <c r="E1169" s="305"/>
      <c r="F1169" s="383"/>
      <c r="G1169" s="154">
        <f>LEN('Expected Auditing Outcomes'!$F1169)</f>
        <v>0</v>
      </c>
      <c r="H1169" s="154"/>
    </row>
    <row r="1170" ht="15.75" hidden="1" customHeight="1">
      <c r="B1170" s="146"/>
      <c r="C1170" s="146">
        <f t="shared" si="5"/>
        <v>10000</v>
      </c>
      <c r="D1170" s="146"/>
      <c r="E1170" s="305"/>
      <c r="F1170" s="383"/>
      <c r="G1170" s="154">
        <f>LEN('Expected Auditing Outcomes'!$F1170)</f>
        <v>0</v>
      </c>
      <c r="H1170" s="154"/>
    </row>
    <row r="1171" ht="15.75" hidden="1" customHeight="1">
      <c r="B1171" s="146"/>
      <c r="C1171" s="146">
        <f t="shared" si="5"/>
        <v>10000</v>
      </c>
      <c r="D1171" s="146"/>
      <c r="E1171" s="305"/>
      <c r="F1171" s="383"/>
      <c r="G1171" s="154">
        <f>LEN('Expected Auditing Outcomes'!$F1171)</f>
        <v>0</v>
      </c>
      <c r="H1171" s="154"/>
    </row>
    <row r="1172" ht="15.75" hidden="1" customHeight="1">
      <c r="B1172" s="146"/>
      <c r="C1172" s="146">
        <f t="shared" si="5"/>
        <v>10000</v>
      </c>
      <c r="D1172" s="146"/>
      <c r="E1172" s="305"/>
      <c r="F1172" s="383"/>
      <c r="G1172" s="154">
        <f>LEN('Expected Auditing Outcomes'!$F1172)</f>
        <v>0</v>
      </c>
      <c r="H1172" s="154"/>
    </row>
    <row r="1173" ht="15.75" hidden="1" customHeight="1">
      <c r="B1173" s="146"/>
      <c r="C1173" s="146">
        <f t="shared" si="5"/>
        <v>10000</v>
      </c>
      <c r="D1173" s="146"/>
      <c r="E1173" s="305"/>
      <c r="F1173" s="383"/>
      <c r="G1173" s="154">
        <f>LEN('Expected Auditing Outcomes'!$F1173)</f>
        <v>0</v>
      </c>
      <c r="H1173" s="154"/>
    </row>
    <row r="1174" ht="15.75" hidden="1" customHeight="1">
      <c r="B1174" s="146"/>
      <c r="C1174" s="146">
        <f t="shared" si="5"/>
        <v>10000</v>
      </c>
      <c r="D1174" s="146"/>
      <c r="E1174" s="305"/>
      <c r="F1174" s="383"/>
      <c r="G1174" s="154">
        <f>LEN('Expected Auditing Outcomes'!$F1174)</f>
        <v>0</v>
      </c>
      <c r="H1174" s="154"/>
    </row>
    <row r="1175" ht="15.75" hidden="1" customHeight="1">
      <c r="B1175" s="146"/>
      <c r="C1175" s="146">
        <f t="shared" si="5"/>
        <v>10000</v>
      </c>
      <c r="D1175" s="146"/>
      <c r="E1175" s="305"/>
      <c r="F1175" s="383"/>
      <c r="G1175" s="154">
        <f>LEN('Expected Auditing Outcomes'!$F1175)</f>
        <v>0</v>
      </c>
      <c r="H1175" s="154"/>
    </row>
    <row r="1176" ht="15.75" hidden="1" customHeight="1">
      <c r="B1176" s="146"/>
      <c r="C1176" s="146">
        <f t="shared" si="5"/>
        <v>10000</v>
      </c>
      <c r="D1176" s="146"/>
      <c r="E1176" s="305"/>
      <c r="F1176" s="383"/>
      <c r="G1176" s="154">
        <f>LEN('Expected Auditing Outcomes'!$F1176)</f>
        <v>0</v>
      </c>
      <c r="H1176" s="154"/>
    </row>
    <row r="1177" ht="15.75" hidden="1" customHeight="1">
      <c r="B1177" s="146"/>
      <c r="C1177" s="146">
        <f t="shared" si="5"/>
        <v>10000</v>
      </c>
      <c r="D1177" s="146"/>
      <c r="E1177" s="305"/>
      <c r="F1177" s="383"/>
      <c r="G1177" s="154">
        <f>LEN('Expected Auditing Outcomes'!$F1177)</f>
        <v>0</v>
      </c>
      <c r="H1177" s="154"/>
    </row>
    <row r="1178" ht="15.75" hidden="1" customHeight="1">
      <c r="B1178" s="146"/>
      <c r="C1178" s="146">
        <f t="shared" si="5"/>
        <v>10000</v>
      </c>
      <c r="D1178" s="146"/>
      <c r="E1178" s="305"/>
      <c r="F1178" s="383"/>
      <c r="G1178" s="154">
        <f>LEN('Expected Auditing Outcomes'!$F1178)</f>
        <v>0</v>
      </c>
      <c r="H1178" s="154"/>
    </row>
    <row r="1179" ht="15.75" hidden="1" customHeight="1">
      <c r="B1179" s="146"/>
      <c r="C1179" s="146">
        <f t="shared" si="5"/>
        <v>10000</v>
      </c>
      <c r="D1179" s="146"/>
      <c r="E1179" s="305"/>
      <c r="F1179" s="383"/>
      <c r="G1179" s="154">
        <f>LEN('Expected Auditing Outcomes'!$F1179)</f>
        <v>0</v>
      </c>
      <c r="H1179" s="154"/>
    </row>
    <row r="1180" ht="15.75" hidden="1" customHeight="1">
      <c r="B1180" s="146"/>
      <c r="C1180" s="146">
        <f t="shared" si="5"/>
        <v>10000</v>
      </c>
      <c r="D1180" s="146"/>
      <c r="E1180" s="305"/>
      <c r="F1180" s="383"/>
      <c r="G1180" s="154">
        <f>LEN('Expected Auditing Outcomes'!$F1180)</f>
        <v>0</v>
      </c>
      <c r="H1180" s="154"/>
    </row>
    <row r="1181" ht="15.75" hidden="1" customHeight="1">
      <c r="B1181" s="146"/>
      <c r="C1181" s="146">
        <f t="shared" si="5"/>
        <v>10000</v>
      </c>
      <c r="D1181" s="146"/>
      <c r="E1181" s="305"/>
      <c r="F1181" s="383"/>
      <c r="G1181" s="154">
        <f>LEN('Expected Auditing Outcomes'!$F1181)</f>
        <v>0</v>
      </c>
      <c r="H1181" s="154"/>
    </row>
    <row r="1182" ht="15.75" hidden="1" customHeight="1">
      <c r="B1182" s="146"/>
      <c r="C1182" s="146">
        <f t="shared" si="5"/>
        <v>10000</v>
      </c>
      <c r="D1182" s="146"/>
      <c r="E1182" s="305"/>
      <c r="F1182" s="383"/>
      <c r="G1182" s="154">
        <f>LEN('Expected Auditing Outcomes'!$F1182)</f>
        <v>0</v>
      </c>
      <c r="H1182" s="154"/>
    </row>
    <row r="1183" ht="15.75" hidden="1" customHeight="1">
      <c r="B1183" s="146"/>
      <c r="C1183" s="146">
        <f t="shared" si="5"/>
        <v>10000</v>
      </c>
      <c r="D1183" s="146"/>
      <c r="E1183" s="305"/>
      <c r="F1183" s="383"/>
      <c r="G1183" s="154">
        <f>LEN('Expected Auditing Outcomes'!$F1183)</f>
        <v>0</v>
      </c>
      <c r="H1183" s="154"/>
    </row>
    <row r="1184" ht="15.75" hidden="1" customHeight="1">
      <c r="B1184" s="146"/>
      <c r="C1184" s="146">
        <f t="shared" si="5"/>
        <v>10000</v>
      </c>
      <c r="D1184" s="146"/>
      <c r="E1184" s="305"/>
      <c r="F1184" s="383"/>
      <c r="G1184" s="154">
        <f>LEN('Expected Auditing Outcomes'!$F1184)</f>
        <v>0</v>
      </c>
      <c r="H1184" s="154"/>
    </row>
    <row r="1185" ht="15.75" hidden="1" customHeight="1">
      <c r="B1185" s="146"/>
      <c r="C1185" s="146">
        <f t="shared" si="5"/>
        <v>10000</v>
      </c>
      <c r="D1185" s="146"/>
      <c r="E1185" s="305"/>
      <c r="F1185" s="383"/>
      <c r="G1185" s="154">
        <f>LEN('Expected Auditing Outcomes'!$F1185)</f>
        <v>0</v>
      </c>
      <c r="H1185" s="154"/>
    </row>
    <row r="1186" ht="15.75" hidden="1" customHeight="1">
      <c r="B1186" s="146"/>
      <c r="C1186" s="146">
        <f t="shared" si="5"/>
        <v>10000</v>
      </c>
      <c r="D1186" s="146"/>
      <c r="E1186" s="305"/>
      <c r="F1186" s="383"/>
      <c r="G1186" s="154">
        <f>LEN('Expected Auditing Outcomes'!$F1186)</f>
        <v>0</v>
      </c>
      <c r="H1186" s="154"/>
    </row>
    <row r="1187" ht="15.75" hidden="1" customHeight="1">
      <c r="B1187" s="146"/>
      <c r="C1187" s="146">
        <f t="shared" si="5"/>
        <v>10000</v>
      </c>
      <c r="D1187" s="146"/>
      <c r="E1187" s="305"/>
      <c r="F1187" s="383"/>
      <c r="G1187" s="154">
        <f>LEN('Expected Auditing Outcomes'!$F1187)</f>
        <v>0</v>
      </c>
      <c r="H1187" s="154"/>
    </row>
    <row r="1188" ht="15.75" hidden="1" customHeight="1">
      <c r="B1188" s="146"/>
      <c r="C1188" s="146">
        <f t="shared" si="5"/>
        <v>10000</v>
      </c>
      <c r="D1188" s="146"/>
      <c r="E1188" s="305"/>
      <c r="F1188" s="383"/>
      <c r="G1188" s="154">
        <f>LEN('Expected Auditing Outcomes'!$F1188)</f>
        <v>0</v>
      </c>
      <c r="H1188" s="154"/>
    </row>
    <row r="1189" ht="15.75" hidden="1" customHeight="1">
      <c r="B1189" s="146"/>
      <c r="C1189" s="146">
        <f t="shared" si="5"/>
        <v>10000</v>
      </c>
      <c r="D1189" s="146"/>
      <c r="E1189" s="305"/>
      <c r="F1189" s="383"/>
      <c r="G1189" s="154">
        <f>LEN('Expected Auditing Outcomes'!$F1189)</f>
        <v>0</v>
      </c>
      <c r="H1189" s="154"/>
    </row>
    <row r="1190" ht="15.75" hidden="1" customHeight="1">
      <c r="B1190" s="146"/>
      <c r="C1190" s="146">
        <f t="shared" si="5"/>
        <v>10000</v>
      </c>
      <c r="D1190" s="146"/>
      <c r="E1190" s="305"/>
      <c r="F1190" s="383"/>
      <c r="G1190" s="154">
        <f>LEN('Expected Auditing Outcomes'!$F1190)</f>
        <v>0</v>
      </c>
      <c r="H1190" s="154"/>
    </row>
    <row r="1191" ht="15.75" hidden="1" customHeight="1">
      <c r="B1191" s="146"/>
      <c r="C1191" s="146">
        <f t="shared" si="5"/>
        <v>10000</v>
      </c>
      <c r="D1191" s="146"/>
      <c r="E1191" s="305"/>
      <c r="F1191" s="383"/>
      <c r="G1191" s="154">
        <f>LEN('Expected Auditing Outcomes'!$F1191)</f>
        <v>0</v>
      </c>
      <c r="H1191" s="154"/>
    </row>
    <row r="1192" ht="15.75" hidden="1" customHeight="1">
      <c r="B1192" s="146"/>
      <c r="C1192" s="146">
        <f t="shared" si="5"/>
        <v>10000</v>
      </c>
      <c r="D1192" s="146"/>
      <c r="E1192" s="305"/>
      <c r="F1192" s="383"/>
      <c r="G1192" s="154">
        <f>LEN('Expected Auditing Outcomes'!$F1192)</f>
        <v>0</v>
      </c>
      <c r="H1192" s="154"/>
    </row>
    <row r="1193" ht="15.75" hidden="1" customHeight="1">
      <c r="B1193" s="146"/>
      <c r="C1193" s="146">
        <f t="shared" si="5"/>
        <v>10000</v>
      </c>
      <c r="D1193" s="146"/>
      <c r="E1193" s="305"/>
      <c r="F1193" s="383"/>
      <c r="G1193" s="154">
        <f>LEN('Expected Auditing Outcomes'!$F1193)</f>
        <v>0</v>
      </c>
      <c r="H1193" s="154"/>
    </row>
    <row r="1194" ht="15.75" hidden="1" customHeight="1">
      <c r="B1194" s="146"/>
      <c r="C1194" s="146">
        <f t="shared" si="5"/>
        <v>10000</v>
      </c>
      <c r="D1194" s="146"/>
      <c r="E1194" s="305"/>
      <c r="F1194" s="383"/>
      <c r="G1194" s="154">
        <f>LEN('Expected Auditing Outcomes'!$F1194)</f>
        <v>0</v>
      </c>
      <c r="H1194" s="154"/>
    </row>
    <row r="1195" ht="15.75" hidden="1" customHeight="1">
      <c r="B1195" s="146"/>
      <c r="C1195" s="146">
        <f t="shared" si="5"/>
        <v>10000</v>
      </c>
      <c r="D1195" s="146"/>
      <c r="E1195" s="305"/>
      <c r="F1195" s="383"/>
      <c r="G1195" s="154">
        <f>LEN('Expected Auditing Outcomes'!$F1195)</f>
        <v>0</v>
      </c>
      <c r="H1195" s="154"/>
    </row>
    <row r="1196" ht="15.75" hidden="1" customHeight="1">
      <c r="B1196" s="146"/>
      <c r="C1196" s="146">
        <f t="shared" si="5"/>
        <v>10000</v>
      </c>
      <c r="D1196" s="146"/>
      <c r="E1196" s="305"/>
      <c r="F1196" s="383"/>
      <c r="G1196" s="154">
        <f>LEN('Expected Auditing Outcomes'!$F1196)</f>
        <v>0</v>
      </c>
      <c r="H1196" s="154"/>
    </row>
    <row r="1197" ht="15.75" hidden="1" customHeight="1">
      <c r="B1197" s="146"/>
      <c r="C1197" s="146">
        <f t="shared" si="5"/>
        <v>10000</v>
      </c>
      <c r="D1197" s="146"/>
      <c r="E1197" s="305"/>
      <c r="F1197" s="383"/>
      <c r="G1197" s="154">
        <f>LEN('Expected Auditing Outcomes'!$F1197)</f>
        <v>0</v>
      </c>
      <c r="H1197" s="154"/>
    </row>
    <row r="1198" ht="15.75" hidden="1" customHeight="1">
      <c r="B1198" s="146"/>
      <c r="C1198" s="146">
        <f t="shared" si="5"/>
        <v>10000</v>
      </c>
      <c r="D1198" s="146"/>
      <c r="E1198" s="305"/>
      <c r="F1198" s="383"/>
      <c r="G1198" s="154">
        <f>LEN('Expected Auditing Outcomes'!$F1198)</f>
        <v>0</v>
      </c>
      <c r="H1198" s="154"/>
    </row>
    <row r="1199" ht="15.75" hidden="1" customHeight="1">
      <c r="B1199" s="146"/>
      <c r="C1199" s="146">
        <f t="shared" si="5"/>
        <v>10000</v>
      </c>
      <c r="D1199" s="146"/>
      <c r="E1199" s="305"/>
      <c r="F1199" s="383"/>
      <c r="G1199" s="154">
        <f>LEN('Expected Auditing Outcomes'!$F1199)</f>
        <v>0</v>
      </c>
      <c r="H1199" s="154"/>
    </row>
    <row r="1200" ht="15.75" hidden="1" customHeight="1">
      <c r="B1200" s="146"/>
      <c r="C1200" s="146">
        <f t="shared" si="5"/>
        <v>10000</v>
      </c>
      <c r="D1200" s="146"/>
      <c r="E1200" s="305"/>
      <c r="F1200" s="383"/>
      <c r="G1200" s="154">
        <f>LEN('Expected Auditing Outcomes'!$F1200)</f>
        <v>0</v>
      </c>
      <c r="H1200" s="154"/>
    </row>
    <row r="1201" ht="15.75" hidden="1" customHeight="1">
      <c r="B1201" s="146"/>
      <c r="C1201" s="146">
        <f t="shared" si="5"/>
        <v>10000</v>
      </c>
      <c r="D1201" s="146"/>
      <c r="E1201" s="305"/>
      <c r="F1201" s="383"/>
      <c r="G1201" s="154">
        <f>LEN('Expected Auditing Outcomes'!$F1201)</f>
        <v>0</v>
      </c>
      <c r="H1201" s="154"/>
    </row>
    <row r="1202" ht="15.75" hidden="1" customHeight="1">
      <c r="B1202" s="146"/>
      <c r="C1202" s="146">
        <f t="shared" si="5"/>
        <v>10000</v>
      </c>
      <c r="D1202" s="146"/>
      <c r="E1202" s="305"/>
      <c r="F1202" s="383"/>
      <c r="G1202" s="154">
        <f>LEN('Expected Auditing Outcomes'!$F1202)</f>
        <v>0</v>
      </c>
      <c r="H1202" s="154"/>
    </row>
    <row r="1203" ht="15.75" hidden="1" customHeight="1">
      <c r="B1203" s="146"/>
      <c r="C1203" s="146">
        <f t="shared" si="5"/>
        <v>10000</v>
      </c>
      <c r="D1203" s="146"/>
      <c r="E1203" s="305"/>
      <c r="F1203" s="383"/>
      <c r="G1203" s="154">
        <f>LEN('Expected Auditing Outcomes'!$F1203)</f>
        <v>0</v>
      </c>
      <c r="H1203" s="154"/>
    </row>
    <row r="1204" ht="15.75" hidden="1" customHeight="1">
      <c r="B1204" s="146"/>
      <c r="C1204" s="146">
        <f t="shared" si="5"/>
        <v>10000</v>
      </c>
      <c r="D1204" s="146"/>
      <c r="E1204" s="305"/>
      <c r="F1204" s="383"/>
      <c r="G1204" s="154">
        <f>LEN('Expected Auditing Outcomes'!$F1204)</f>
        <v>0</v>
      </c>
      <c r="H1204" s="154"/>
    </row>
    <row r="1205" ht="15.75" hidden="1" customHeight="1">
      <c r="B1205" s="146"/>
      <c r="C1205" s="146">
        <f t="shared" si="5"/>
        <v>10000</v>
      </c>
      <c r="D1205" s="146"/>
      <c r="E1205" s="305"/>
      <c r="F1205" s="383"/>
      <c r="G1205" s="154">
        <f>LEN('Expected Auditing Outcomes'!$F1205)</f>
        <v>0</v>
      </c>
      <c r="H1205" s="154"/>
    </row>
    <row r="1206" ht="15.75" hidden="1" customHeight="1">
      <c r="B1206" s="146"/>
      <c r="C1206" s="146">
        <f t="shared" si="5"/>
        <v>10000</v>
      </c>
      <c r="D1206" s="146"/>
      <c r="E1206" s="305"/>
      <c r="F1206" s="383"/>
      <c r="G1206" s="154">
        <f>LEN('Expected Auditing Outcomes'!$F1206)</f>
        <v>0</v>
      </c>
      <c r="H1206" s="154"/>
    </row>
    <row r="1207" ht="15.75" hidden="1" customHeight="1">
      <c r="B1207" s="146"/>
      <c r="C1207" s="146">
        <f t="shared" si="5"/>
        <v>10000</v>
      </c>
      <c r="D1207" s="146"/>
      <c r="E1207" s="305"/>
      <c r="F1207" s="383"/>
      <c r="G1207" s="154">
        <f>LEN('Expected Auditing Outcomes'!$F1207)</f>
        <v>0</v>
      </c>
      <c r="H1207" s="154"/>
    </row>
    <row r="1208" ht="15.75" hidden="1" customHeight="1">
      <c r="B1208" s="146"/>
      <c r="C1208" s="146">
        <f t="shared" si="5"/>
        <v>10000</v>
      </c>
      <c r="D1208" s="146"/>
      <c r="E1208" s="305"/>
      <c r="F1208" s="383"/>
      <c r="G1208" s="154">
        <f>LEN('Expected Auditing Outcomes'!$F1208)</f>
        <v>0</v>
      </c>
      <c r="H1208" s="154"/>
    </row>
    <row r="1209" ht="15.75" hidden="1" customHeight="1">
      <c r="B1209" s="146"/>
      <c r="C1209" s="146">
        <f t="shared" si="5"/>
        <v>10000</v>
      </c>
      <c r="D1209" s="146"/>
      <c r="E1209" s="305"/>
      <c r="F1209" s="383"/>
      <c r="G1209" s="154">
        <f>LEN('Expected Auditing Outcomes'!$F1209)</f>
        <v>0</v>
      </c>
      <c r="H1209" s="154"/>
    </row>
    <row r="1210" ht="15.75" hidden="1" customHeight="1">
      <c r="B1210" s="146"/>
      <c r="C1210" s="146">
        <f t="shared" si="5"/>
        <v>10000</v>
      </c>
      <c r="D1210" s="146"/>
      <c r="E1210" s="305"/>
      <c r="F1210" s="383"/>
      <c r="G1210" s="154">
        <f>LEN('Expected Auditing Outcomes'!$F1210)</f>
        <v>0</v>
      </c>
      <c r="H1210" s="154"/>
    </row>
    <row r="1211" ht="15.75" hidden="1" customHeight="1">
      <c r="B1211" s="146"/>
      <c r="C1211" s="146">
        <f t="shared" si="5"/>
        <v>10000</v>
      </c>
      <c r="D1211" s="146"/>
      <c r="E1211" s="305"/>
      <c r="F1211" s="383"/>
      <c r="G1211" s="154">
        <f>LEN('Expected Auditing Outcomes'!$F1211)</f>
        <v>0</v>
      </c>
      <c r="H1211" s="154"/>
    </row>
    <row r="1212" ht="15.75" hidden="1" customHeight="1">
      <c r="B1212" s="146"/>
      <c r="C1212" s="146">
        <f t="shared" si="5"/>
        <v>10000</v>
      </c>
      <c r="D1212" s="146"/>
      <c r="E1212" s="305"/>
      <c r="F1212" s="383"/>
      <c r="G1212" s="154">
        <f>LEN('Expected Auditing Outcomes'!$F1212)</f>
        <v>0</v>
      </c>
      <c r="H1212" s="154"/>
    </row>
    <row r="1213" ht="15.75" hidden="1" customHeight="1">
      <c r="B1213" s="146"/>
      <c r="C1213" s="146">
        <f t="shared" si="5"/>
        <v>10000</v>
      </c>
      <c r="D1213" s="146"/>
      <c r="E1213" s="305"/>
      <c r="F1213" s="383"/>
      <c r="G1213" s="154">
        <f>LEN('Expected Auditing Outcomes'!$F1213)</f>
        <v>0</v>
      </c>
      <c r="H1213" s="154"/>
    </row>
    <row r="1214" ht="15.75" hidden="1" customHeight="1">
      <c r="B1214" s="146"/>
      <c r="C1214" s="146">
        <f t="shared" si="5"/>
        <v>10000</v>
      </c>
      <c r="D1214" s="146"/>
      <c r="E1214" s="305"/>
      <c r="F1214" s="383"/>
      <c r="G1214" s="154">
        <f>LEN('Expected Auditing Outcomes'!$F1214)</f>
        <v>0</v>
      </c>
      <c r="H1214" s="154"/>
    </row>
    <row r="1215" ht="15.75" hidden="1" customHeight="1">
      <c r="B1215" s="146"/>
      <c r="C1215" s="146">
        <f t="shared" si="5"/>
        <v>10000</v>
      </c>
      <c r="D1215" s="146"/>
      <c r="E1215" s="305"/>
      <c r="F1215" s="383"/>
      <c r="G1215" s="154">
        <f>LEN('Expected Auditing Outcomes'!$F1215)</f>
        <v>0</v>
      </c>
      <c r="H1215" s="154"/>
    </row>
    <row r="1216" ht="15.75" hidden="1" customHeight="1">
      <c r="B1216" s="146"/>
      <c r="C1216" s="146">
        <f t="shared" si="5"/>
        <v>10000</v>
      </c>
      <c r="D1216" s="146"/>
      <c r="E1216" s="305"/>
      <c r="F1216" s="383"/>
      <c r="G1216" s="154">
        <f>LEN('Expected Auditing Outcomes'!$F1216)</f>
        <v>0</v>
      </c>
      <c r="H1216" s="154"/>
    </row>
    <row r="1217" ht="15.75" hidden="1" customHeight="1">
      <c r="B1217" s="146"/>
      <c r="C1217" s="146">
        <f t="shared" si="5"/>
        <v>10000</v>
      </c>
      <c r="D1217" s="146"/>
      <c r="E1217" s="305"/>
      <c r="F1217" s="383"/>
      <c r="G1217" s="154">
        <f>LEN('Expected Auditing Outcomes'!$F1217)</f>
        <v>0</v>
      </c>
      <c r="H1217" s="154"/>
    </row>
    <row r="1218" ht="15.75" hidden="1" customHeight="1">
      <c r="B1218" s="146"/>
      <c r="C1218" s="146">
        <f t="shared" si="5"/>
        <v>10000</v>
      </c>
      <c r="D1218" s="146"/>
      <c r="E1218" s="305"/>
      <c r="F1218" s="383"/>
      <c r="G1218" s="154">
        <f>LEN('Expected Auditing Outcomes'!$F1218)</f>
        <v>0</v>
      </c>
      <c r="H1218" s="154"/>
    </row>
    <row r="1219" ht="15.75" hidden="1" customHeight="1">
      <c r="B1219" s="146"/>
      <c r="C1219" s="146">
        <f t="shared" si="5"/>
        <v>10000</v>
      </c>
      <c r="D1219" s="146"/>
      <c r="E1219" s="305"/>
      <c r="F1219" s="383"/>
      <c r="G1219" s="154">
        <f>LEN('Expected Auditing Outcomes'!$F1219)</f>
        <v>0</v>
      </c>
      <c r="H1219" s="154"/>
    </row>
    <row r="1220" ht="15.75" hidden="1" customHeight="1">
      <c r="B1220" s="146"/>
      <c r="C1220" s="146">
        <f t="shared" si="5"/>
        <v>10000</v>
      </c>
      <c r="D1220" s="146"/>
      <c r="E1220" s="305"/>
      <c r="F1220" s="383"/>
      <c r="G1220" s="154">
        <f>LEN('Expected Auditing Outcomes'!$F1220)</f>
        <v>0</v>
      </c>
      <c r="H1220" s="154"/>
    </row>
    <row r="1221" ht="15.75" hidden="1" customHeight="1">
      <c r="B1221" s="146"/>
      <c r="C1221" s="146">
        <f t="shared" si="5"/>
        <v>10000</v>
      </c>
      <c r="D1221" s="146"/>
      <c r="E1221" s="305"/>
      <c r="F1221" s="383"/>
      <c r="G1221" s="154">
        <f>LEN('Expected Auditing Outcomes'!$F1221)</f>
        <v>0</v>
      </c>
      <c r="H1221" s="154"/>
    </row>
    <row r="1222" ht="15.75" hidden="1" customHeight="1">
      <c r="B1222" s="146"/>
      <c r="C1222" s="146">
        <f t="shared" si="5"/>
        <v>10000</v>
      </c>
      <c r="D1222" s="146"/>
      <c r="E1222" s="305"/>
      <c r="F1222" s="383"/>
      <c r="G1222" s="154">
        <f>LEN('Expected Auditing Outcomes'!$F1222)</f>
        <v>0</v>
      </c>
      <c r="H1222" s="154"/>
    </row>
    <row r="1223" ht="15.75" hidden="1" customHeight="1">
      <c r="B1223" s="146"/>
      <c r="C1223" s="146">
        <f t="shared" si="5"/>
        <v>10000</v>
      </c>
      <c r="D1223" s="146"/>
      <c r="E1223" s="305"/>
      <c r="F1223" s="383"/>
      <c r="G1223" s="154">
        <f>LEN('Expected Auditing Outcomes'!$F1223)</f>
        <v>0</v>
      </c>
      <c r="H1223" s="154"/>
    </row>
    <row r="1224" ht="15.75" hidden="1" customHeight="1">
      <c r="B1224" s="146"/>
      <c r="C1224" s="146">
        <f t="shared" si="5"/>
        <v>10000</v>
      </c>
      <c r="D1224" s="146"/>
      <c r="E1224" s="305"/>
      <c r="F1224" s="383"/>
      <c r="G1224" s="154">
        <f>LEN('Expected Auditing Outcomes'!$F1224)</f>
        <v>0</v>
      </c>
      <c r="H1224" s="154"/>
    </row>
    <row r="1225" ht="15.75" hidden="1" customHeight="1">
      <c r="B1225" s="146"/>
      <c r="C1225" s="146">
        <f t="shared" si="5"/>
        <v>10000</v>
      </c>
      <c r="D1225" s="146"/>
      <c r="E1225" s="305"/>
      <c r="F1225" s="383"/>
      <c r="G1225" s="154">
        <f>LEN('Expected Auditing Outcomes'!$F1225)</f>
        <v>0</v>
      </c>
      <c r="H1225" s="154"/>
    </row>
    <row r="1226" ht="15.75" hidden="1" customHeight="1">
      <c r="B1226" s="146"/>
      <c r="C1226" s="146">
        <f t="shared" si="5"/>
        <v>10000</v>
      </c>
      <c r="D1226" s="146"/>
      <c r="E1226" s="305"/>
      <c r="F1226" s="383"/>
      <c r="G1226" s="154">
        <f>LEN('Expected Auditing Outcomes'!$F1226)</f>
        <v>0</v>
      </c>
      <c r="H1226" s="154"/>
    </row>
    <row r="1227" ht="15.75" hidden="1" customHeight="1">
      <c r="B1227" s="146"/>
      <c r="C1227" s="146">
        <f t="shared" si="5"/>
        <v>10000</v>
      </c>
      <c r="D1227" s="146"/>
      <c r="E1227" s="305"/>
      <c r="F1227" s="383"/>
      <c r="G1227" s="154">
        <f>LEN('Expected Auditing Outcomes'!$F1227)</f>
        <v>0</v>
      </c>
      <c r="H1227" s="154"/>
    </row>
    <row r="1228" ht="15.75" hidden="1" customHeight="1">
      <c r="B1228" s="146"/>
      <c r="C1228" s="146">
        <f t="shared" si="5"/>
        <v>10000</v>
      </c>
      <c r="D1228" s="146"/>
      <c r="E1228" s="305"/>
      <c r="F1228" s="383"/>
      <c r="G1228" s="154">
        <f>LEN('Expected Auditing Outcomes'!$F1228)</f>
        <v>0</v>
      </c>
      <c r="H1228" s="154"/>
    </row>
    <row r="1229" ht="15.75" hidden="1" customHeight="1">
      <c r="B1229" s="146"/>
      <c r="C1229" s="146">
        <f t="shared" si="5"/>
        <v>10000</v>
      </c>
      <c r="D1229" s="146"/>
      <c r="E1229" s="305"/>
      <c r="F1229" s="383"/>
      <c r="G1229" s="154">
        <f>LEN('Expected Auditing Outcomes'!$F1229)</f>
        <v>0</v>
      </c>
      <c r="H1229" s="154"/>
    </row>
    <row r="1230" ht="15.75" hidden="1" customHeight="1">
      <c r="B1230" s="146"/>
      <c r="C1230" s="146">
        <f t="shared" si="5"/>
        <v>10000</v>
      </c>
      <c r="D1230" s="146"/>
      <c r="E1230" s="305"/>
      <c r="F1230" s="383"/>
      <c r="G1230" s="154">
        <f>LEN('Expected Auditing Outcomes'!$F1230)</f>
        <v>0</v>
      </c>
      <c r="H1230" s="154"/>
    </row>
    <row r="1231" ht="15.75" hidden="1" customHeight="1">
      <c r="B1231" s="146"/>
      <c r="C1231" s="146">
        <f t="shared" si="5"/>
        <v>10000</v>
      </c>
      <c r="D1231" s="146"/>
      <c r="E1231" s="305"/>
      <c r="F1231" s="383"/>
      <c r="G1231" s="154">
        <f>LEN('Expected Auditing Outcomes'!$F1231)</f>
        <v>0</v>
      </c>
      <c r="H1231" s="154"/>
    </row>
    <row r="1232" ht="15.75" hidden="1" customHeight="1">
      <c r="B1232" s="146"/>
      <c r="C1232" s="146">
        <f t="shared" si="5"/>
        <v>10000</v>
      </c>
      <c r="D1232" s="146"/>
      <c r="E1232" s="305"/>
      <c r="F1232" s="383"/>
      <c r="G1232" s="154">
        <f>LEN('Expected Auditing Outcomes'!$F1232)</f>
        <v>0</v>
      </c>
      <c r="H1232" s="154"/>
    </row>
    <row r="1233" ht="15.75" hidden="1" customHeight="1">
      <c r="B1233" s="146"/>
      <c r="C1233" s="146">
        <f t="shared" si="5"/>
        <v>10000</v>
      </c>
      <c r="D1233" s="146"/>
      <c r="E1233" s="305"/>
      <c r="F1233" s="383"/>
      <c r="G1233" s="154">
        <f>LEN('Expected Auditing Outcomes'!$F1233)</f>
        <v>0</v>
      </c>
      <c r="H1233" s="154"/>
    </row>
    <row r="1234" ht="15.75" hidden="1" customHeight="1">
      <c r="B1234" s="146"/>
      <c r="C1234" s="146">
        <f t="shared" si="5"/>
        <v>10000</v>
      </c>
      <c r="D1234" s="146"/>
      <c r="E1234" s="305"/>
      <c r="F1234" s="383"/>
      <c r="G1234" s="154">
        <f>LEN('Expected Auditing Outcomes'!$F1234)</f>
        <v>0</v>
      </c>
      <c r="H1234" s="154"/>
    </row>
    <row r="1235" ht="15.75" hidden="1" customHeight="1">
      <c r="B1235" s="146"/>
      <c r="C1235" s="146">
        <f t="shared" si="5"/>
        <v>10000</v>
      </c>
      <c r="D1235" s="146"/>
      <c r="E1235" s="305"/>
      <c r="F1235" s="383"/>
      <c r="G1235" s="154">
        <f>LEN('Expected Auditing Outcomes'!$F1235)</f>
        <v>0</v>
      </c>
      <c r="H1235" s="154"/>
    </row>
    <row r="1236" ht="15.75" hidden="1" customHeight="1">
      <c r="B1236" s="146"/>
      <c r="C1236" s="146">
        <f t="shared" si="5"/>
        <v>10000</v>
      </c>
      <c r="D1236" s="146"/>
      <c r="E1236" s="305"/>
      <c r="F1236" s="383"/>
      <c r="G1236" s="154">
        <f>LEN('Expected Auditing Outcomes'!$F1236)</f>
        <v>0</v>
      </c>
      <c r="H1236" s="154"/>
    </row>
    <row r="1237" ht="15.75" hidden="1" customHeight="1">
      <c r="B1237" s="146"/>
      <c r="C1237" s="146">
        <f t="shared" si="5"/>
        <v>10000</v>
      </c>
      <c r="D1237" s="146"/>
      <c r="E1237" s="305"/>
      <c r="F1237" s="383"/>
      <c r="G1237" s="154">
        <f>LEN('Expected Auditing Outcomes'!$F1237)</f>
        <v>0</v>
      </c>
      <c r="H1237" s="154"/>
    </row>
    <row r="1238" ht="15.75" hidden="1" customHeight="1">
      <c r="B1238" s="146"/>
      <c r="C1238" s="146">
        <f t="shared" si="5"/>
        <v>10000</v>
      </c>
      <c r="D1238" s="146"/>
      <c r="E1238" s="305"/>
      <c r="F1238" s="383"/>
      <c r="G1238" s="154">
        <f>LEN('Expected Auditing Outcomes'!$F1238)</f>
        <v>0</v>
      </c>
      <c r="H1238" s="154"/>
    </row>
    <row r="1239" ht="15.75" hidden="1" customHeight="1">
      <c r="B1239" s="146"/>
      <c r="C1239" s="146">
        <f t="shared" si="5"/>
        <v>10000</v>
      </c>
      <c r="D1239" s="146"/>
      <c r="E1239" s="305"/>
      <c r="F1239" s="383"/>
      <c r="G1239" s="154">
        <f>LEN('Expected Auditing Outcomes'!$F1239)</f>
        <v>0</v>
      </c>
      <c r="H1239" s="154"/>
    </row>
    <row r="1240" ht="15.75" hidden="1" customHeight="1">
      <c r="B1240" s="146"/>
      <c r="C1240" s="146">
        <f t="shared" si="5"/>
        <v>10000</v>
      </c>
      <c r="D1240" s="146"/>
      <c r="E1240" s="305"/>
      <c r="F1240" s="383"/>
      <c r="G1240" s="154">
        <f>LEN('Expected Auditing Outcomes'!$F1240)</f>
        <v>0</v>
      </c>
      <c r="H1240" s="154"/>
    </row>
    <row r="1241" ht="15.75" hidden="1" customHeight="1">
      <c r="B1241" s="146"/>
      <c r="C1241" s="146">
        <f t="shared" si="5"/>
        <v>10000</v>
      </c>
      <c r="D1241" s="146"/>
      <c r="E1241" s="305"/>
      <c r="F1241" s="383"/>
      <c r="G1241" s="154">
        <f>LEN('Expected Auditing Outcomes'!$F1241)</f>
        <v>0</v>
      </c>
      <c r="H1241" s="154"/>
    </row>
    <row r="1242" ht="15.75" hidden="1" customHeight="1">
      <c r="B1242" s="146"/>
      <c r="C1242" s="146">
        <f t="shared" si="5"/>
        <v>10000</v>
      </c>
      <c r="D1242" s="146"/>
      <c r="E1242" s="305"/>
      <c r="F1242" s="383"/>
      <c r="G1242" s="154">
        <f>LEN('Expected Auditing Outcomes'!$F1242)</f>
        <v>0</v>
      </c>
      <c r="H1242" s="154"/>
    </row>
    <row r="1243" ht="15.75" hidden="1" customHeight="1">
      <c r="B1243" s="146"/>
      <c r="C1243" s="146">
        <f t="shared" si="5"/>
        <v>10000</v>
      </c>
      <c r="D1243" s="146"/>
      <c r="E1243" s="305"/>
      <c r="F1243" s="383"/>
      <c r="G1243" s="154">
        <f>LEN('Expected Auditing Outcomes'!$F1243)</f>
        <v>0</v>
      </c>
      <c r="H1243" s="154"/>
    </row>
    <row r="1244" ht="15.75" hidden="1" customHeight="1">
      <c r="B1244" s="146"/>
      <c r="C1244" s="146">
        <f t="shared" si="5"/>
        <v>10000</v>
      </c>
      <c r="D1244" s="146"/>
      <c r="E1244" s="305"/>
      <c r="F1244" s="383"/>
      <c r="G1244" s="154">
        <f>LEN('Expected Auditing Outcomes'!$F1244)</f>
        <v>0</v>
      </c>
      <c r="H1244" s="154"/>
    </row>
    <row r="1245" ht="15.75" hidden="1" customHeight="1">
      <c r="B1245" s="146"/>
      <c r="C1245" s="146">
        <f t="shared" si="5"/>
        <v>10000</v>
      </c>
      <c r="D1245" s="146"/>
      <c r="E1245" s="305"/>
      <c r="F1245" s="383"/>
      <c r="G1245" s="154">
        <f>LEN('Expected Auditing Outcomes'!$F1245)</f>
        <v>0</v>
      </c>
      <c r="H1245" s="154"/>
    </row>
    <row r="1246" ht="15.75" hidden="1" customHeight="1">
      <c r="B1246" s="146"/>
      <c r="C1246" s="146">
        <f t="shared" si="5"/>
        <v>10000</v>
      </c>
      <c r="D1246" s="146"/>
      <c r="E1246" s="305"/>
      <c r="F1246" s="383"/>
      <c r="G1246" s="154">
        <f>LEN('Expected Auditing Outcomes'!$F1246)</f>
        <v>0</v>
      </c>
      <c r="H1246" s="154"/>
    </row>
    <row r="1247" ht="15.75" hidden="1" customHeight="1">
      <c r="B1247" s="146"/>
      <c r="C1247" s="146">
        <f t="shared" si="5"/>
        <v>10000</v>
      </c>
      <c r="D1247" s="146"/>
      <c r="E1247" s="305"/>
      <c r="F1247" s="383"/>
      <c r="G1247" s="154">
        <f>LEN('Expected Auditing Outcomes'!$F1247)</f>
        <v>0</v>
      </c>
      <c r="H1247" s="154"/>
    </row>
    <row r="1248" ht="15.75" hidden="1" customHeight="1">
      <c r="B1248" s="146"/>
      <c r="C1248" s="146">
        <f t="shared" si="5"/>
        <v>10000</v>
      </c>
      <c r="D1248" s="146"/>
      <c r="E1248" s="305"/>
      <c r="F1248" s="383"/>
      <c r="G1248" s="154">
        <f>LEN('Expected Auditing Outcomes'!$F1248)</f>
        <v>0</v>
      </c>
      <c r="H1248" s="154"/>
    </row>
    <row r="1249" ht="15.75" hidden="1" customHeight="1">
      <c r="B1249" s="146"/>
      <c r="C1249" s="146">
        <f t="shared" si="5"/>
        <v>10000</v>
      </c>
      <c r="D1249" s="146"/>
      <c r="E1249" s="305"/>
      <c r="F1249" s="383"/>
      <c r="G1249" s="154">
        <f>LEN('Expected Auditing Outcomes'!$F1249)</f>
        <v>0</v>
      </c>
      <c r="H1249" s="154"/>
    </row>
    <row r="1250" ht="15.75" hidden="1" customHeight="1">
      <c r="B1250" s="146"/>
      <c r="C1250" s="146">
        <f t="shared" si="5"/>
        <v>10000</v>
      </c>
      <c r="D1250" s="146"/>
      <c r="E1250" s="305"/>
      <c r="F1250" s="383"/>
      <c r="G1250" s="154">
        <f>LEN('Expected Auditing Outcomes'!$F1250)</f>
        <v>0</v>
      </c>
      <c r="H1250" s="154"/>
    </row>
    <row r="1251" ht="15.75" hidden="1" customHeight="1">
      <c r="B1251" s="146"/>
      <c r="C1251" s="146">
        <f t="shared" si="5"/>
        <v>10000</v>
      </c>
      <c r="D1251" s="146"/>
      <c r="E1251" s="305"/>
      <c r="F1251" s="383"/>
      <c r="G1251" s="154">
        <f>LEN('Expected Auditing Outcomes'!$F1251)</f>
        <v>0</v>
      </c>
      <c r="H1251" s="154"/>
    </row>
    <row r="1252" ht="15.75" hidden="1" customHeight="1">
      <c r="B1252" s="146"/>
      <c r="C1252" s="146">
        <f t="shared" si="5"/>
        <v>10000</v>
      </c>
      <c r="D1252" s="146"/>
      <c r="E1252" s="305"/>
      <c r="F1252" s="383"/>
      <c r="G1252" s="154">
        <f>LEN('Expected Auditing Outcomes'!$F1252)</f>
        <v>0</v>
      </c>
      <c r="H1252" s="154"/>
    </row>
    <row r="1253" ht="15.75" hidden="1" customHeight="1">
      <c r="B1253" s="146"/>
      <c r="C1253" s="146">
        <f t="shared" si="5"/>
        <v>10000</v>
      </c>
      <c r="D1253" s="146"/>
      <c r="E1253" s="305"/>
      <c r="F1253" s="383"/>
      <c r="G1253" s="154">
        <f>LEN('Expected Auditing Outcomes'!$F1253)</f>
        <v>0</v>
      </c>
      <c r="H1253" s="154"/>
    </row>
    <row r="1254" ht="15.75" hidden="1" customHeight="1">
      <c r="B1254" s="146"/>
      <c r="C1254" s="146">
        <f t="shared" si="5"/>
        <v>10000</v>
      </c>
      <c r="D1254" s="146"/>
      <c r="E1254" s="305"/>
      <c r="F1254" s="383"/>
      <c r="G1254" s="154">
        <f>LEN('Expected Auditing Outcomes'!$F1254)</f>
        <v>0</v>
      </c>
      <c r="H1254" s="154"/>
    </row>
    <row r="1255" ht="15.75" hidden="1" customHeight="1">
      <c r="B1255" s="146"/>
      <c r="C1255" s="146">
        <f t="shared" si="5"/>
        <v>10000</v>
      </c>
      <c r="D1255" s="146"/>
      <c r="E1255" s="305"/>
      <c r="F1255" s="383"/>
      <c r="G1255" s="154">
        <f>LEN('Expected Auditing Outcomes'!$F1255)</f>
        <v>0</v>
      </c>
      <c r="H1255" s="154"/>
    </row>
    <row r="1256" ht="15.75" hidden="1" customHeight="1">
      <c r="B1256" s="146"/>
      <c r="C1256" s="146">
        <f t="shared" si="5"/>
        <v>10000</v>
      </c>
      <c r="D1256" s="146"/>
      <c r="E1256" s="305"/>
      <c r="F1256" s="383"/>
      <c r="G1256" s="154">
        <f>LEN('Expected Auditing Outcomes'!$F1256)</f>
        <v>0</v>
      </c>
      <c r="H1256" s="154"/>
    </row>
    <row r="1257" ht="15.75" hidden="1" customHeight="1">
      <c r="B1257" s="146"/>
      <c r="C1257" s="146">
        <f t="shared" si="5"/>
        <v>10000</v>
      </c>
      <c r="D1257" s="146"/>
      <c r="E1257" s="305"/>
      <c r="F1257" s="383"/>
      <c r="G1257" s="154">
        <f>LEN('Expected Auditing Outcomes'!$F1257)</f>
        <v>0</v>
      </c>
      <c r="H1257" s="154"/>
    </row>
    <row r="1258" ht="15.75" hidden="1" customHeight="1">
      <c r="B1258" s="146"/>
      <c r="C1258" s="146">
        <f t="shared" si="5"/>
        <v>10000</v>
      </c>
      <c r="D1258" s="146"/>
      <c r="E1258" s="305"/>
      <c r="F1258" s="383"/>
      <c r="G1258" s="154">
        <f>LEN('Expected Auditing Outcomes'!$F1258)</f>
        <v>0</v>
      </c>
      <c r="H1258" s="154"/>
    </row>
    <row r="1259" ht="15.75" hidden="1" customHeight="1">
      <c r="B1259" s="146"/>
      <c r="C1259" s="146">
        <f t="shared" si="5"/>
        <v>10000</v>
      </c>
      <c r="D1259" s="146"/>
      <c r="E1259" s="305"/>
      <c r="F1259" s="383"/>
      <c r="G1259" s="154">
        <f>LEN('Expected Auditing Outcomes'!$F1259)</f>
        <v>0</v>
      </c>
      <c r="H1259" s="154"/>
    </row>
    <row r="1260" ht="15.75" hidden="1" customHeight="1">
      <c r="B1260" s="146"/>
      <c r="C1260" s="146">
        <f t="shared" si="5"/>
        <v>10000</v>
      </c>
      <c r="D1260" s="146"/>
      <c r="E1260" s="305"/>
      <c r="F1260" s="383"/>
      <c r="G1260" s="154">
        <f>LEN('Expected Auditing Outcomes'!$F1260)</f>
        <v>0</v>
      </c>
      <c r="H1260" s="154"/>
    </row>
    <row r="1261" ht="15.75" hidden="1" customHeight="1">
      <c r="B1261" s="146"/>
      <c r="C1261" s="146">
        <f t="shared" si="5"/>
        <v>10000</v>
      </c>
      <c r="D1261" s="146"/>
      <c r="E1261" s="305"/>
      <c r="F1261" s="383"/>
      <c r="G1261" s="154">
        <f>LEN('Expected Auditing Outcomes'!$F1261)</f>
        <v>0</v>
      </c>
      <c r="H1261" s="154"/>
    </row>
    <row r="1262" ht="15.75" hidden="1" customHeight="1">
      <c r="B1262" s="146"/>
      <c r="C1262" s="146">
        <f t="shared" si="5"/>
        <v>10000</v>
      </c>
      <c r="D1262" s="146"/>
      <c r="E1262" s="305"/>
      <c r="F1262" s="383"/>
      <c r="G1262" s="154">
        <f>LEN('Expected Auditing Outcomes'!$F1262)</f>
        <v>0</v>
      </c>
      <c r="H1262" s="154"/>
    </row>
    <row r="1263" ht="15.75" hidden="1" customHeight="1">
      <c r="B1263" s="146"/>
      <c r="C1263" s="146">
        <f t="shared" si="5"/>
        <v>10000</v>
      </c>
      <c r="D1263" s="146"/>
      <c r="E1263" s="305"/>
      <c r="F1263" s="383"/>
      <c r="G1263" s="154">
        <f>LEN('Expected Auditing Outcomes'!$F1263)</f>
        <v>0</v>
      </c>
      <c r="H1263" s="154"/>
    </row>
    <row r="1264" ht="15.75" hidden="1" customHeight="1">
      <c r="B1264" s="146"/>
      <c r="C1264" s="146">
        <f t="shared" si="5"/>
        <v>10000</v>
      </c>
      <c r="D1264" s="146"/>
      <c r="E1264" s="305"/>
      <c r="F1264" s="383"/>
      <c r="G1264" s="154">
        <f>LEN('Expected Auditing Outcomes'!$F1264)</f>
        <v>0</v>
      </c>
      <c r="H1264" s="154"/>
    </row>
    <row r="1265" ht="15.75" hidden="1" customHeight="1">
      <c r="B1265" s="146"/>
      <c r="C1265" s="146">
        <f t="shared" si="5"/>
        <v>10000</v>
      </c>
      <c r="D1265" s="146"/>
      <c r="E1265" s="305"/>
      <c r="F1265" s="383"/>
      <c r="G1265" s="154">
        <f>LEN('Expected Auditing Outcomes'!$F1265)</f>
        <v>0</v>
      </c>
      <c r="H1265" s="154"/>
    </row>
    <row r="1266" ht="15.75" hidden="1" customHeight="1">
      <c r="B1266" s="146"/>
      <c r="C1266" s="146">
        <f t="shared" si="5"/>
        <v>10000</v>
      </c>
      <c r="D1266" s="146"/>
      <c r="E1266" s="305"/>
      <c r="F1266" s="383"/>
      <c r="G1266" s="154">
        <f>LEN('Expected Auditing Outcomes'!$F1266)</f>
        <v>0</v>
      </c>
      <c r="H1266" s="154"/>
    </row>
    <row r="1267" ht="15.75" hidden="1" customHeight="1">
      <c r="B1267" s="146"/>
      <c r="C1267" s="146">
        <f t="shared" si="5"/>
        <v>10000</v>
      </c>
      <c r="D1267" s="146"/>
      <c r="E1267" s="305"/>
      <c r="F1267" s="383"/>
      <c r="G1267" s="154">
        <f>LEN('Expected Auditing Outcomes'!$F1267)</f>
        <v>0</v>
      </c>
      <c r="H1267" s="154"/>
    </row>
    <row r="1268" ht="15.75" hidden="1" customHeight="1">
      <c r="B1268" s="146"/>
      <c r="C1268" s="146">
        <f t="shared" si="5"/>
        <v>10000</v>
      </c>
      <c r="D1268" s="146"/>
      <c r="E1268" s="305"/>
      <c r="F1268" s="383"/>
      <c r="G1268" s="154">
        <f>LEN('Expected Auditing Outcomes'!$F1268)</f>
        <v>0</v>
      </c>
      <c r="H1268" s="154"/>
    </row>
    <row r="1269" ht="15.75" hidden="1" customHeight="1">
      <c r="B1269" s="146"/>
      <c r="C1269" s="146">
        <f t="shared" si="5"/>
        <v>10000</v>
      </c>
      <c r="D1269" s="146"/>
      <c r="E1269" s="305"/>
      <c r="F1269" s="383"/>
      <c r="G1269" s="154">
        <f>LEN('Expected Auditing Outcomes'!$F1269)</f>
        <v>0</v>
      </c>
      <c r="H1269" s="154"/>
    </row>
    <row r="1270" ht="15.75" hidden="1" customHeight="1">
      <c r="B1270" s="146"/>
      <c r="C1270" s="146">
        <f t="shared" si="5"/>
        <v>10000</v>
      </c>
      <c r="D1270" s="146"/>
      <c r="E1270" s="305"/>
      <c r="F1270" s="383"/>
      <c r="G1270" s="154">
        <f>LEN('Expected Auditing Outcomes'!$F1270)</f>
        <v>0</v>
      </c>
      <c r="H1270" s="154"/>
    </row>
    <row r="1271" ht="15.75" hidden="1" customHeight="1">
      <c r="B1271" s="146"/>
      <c r="C1271" s="146">
        <f t="shared" si="5"/>
        <v>10000</v>
      </c>
      <c r="D1271" s="146"/>
      <c r="E1271" s="305"/>
      <c r="F1271" s="383"/>
      <c r="G1271" s="154">
        <f>LEN('Expected Auditing Outcomes'!$F1271)</f>
        <v>0</v>
      </c>
      <c r="H1271" s="154"/>
    </row>
    <row r="1272" ht="15.75" hidden="1" customHeight="1">
      <c r="B1272" s="146"/>
      <c r="C1272" s="146">
        <f t="shared" si="5"/>
        <v>10000</v>
      </c>
      <c r="D1272" s="146"/>
      <c r="E1272" s="305"/>
      <c r="F1272" s="383"/>
      <c r="G1272" s="154">
        <f>LEN('Expected Auditing Outcomes'!$F1272)</f>
        <v>0</v>
      </c>
      <c r="H1272" s="154"/>
    </row>
    <row r="1273" ht="15.75" hidden="1" customHeight="1">
      <c r="B1273" s="146"/>
      <c r="C1273" s="146">
        <f t="shared" si="5"/>
        <v>10000</v>
      </c>
      <c r="D1273" s="146"/>
      <c r="E1273" s="305"/>
      <c r="F1273" s="383"/>
      <c r="G1273" s="154">
        <f>LEN('Expected Auditing Outcomes'!$F1273)</f>
        <v>0</v>
      </c>
      <c r="H1273" s="154"/>
    </row>
    <row r="1274" ht="15.75" hidden="1" customHeight="1">
      <c r="B1274" s="146"/>
      <c r="C1274" s="146">
        <f t="shared" si="5"/>
        <v>10000</v>
      </c>
      <c r="D1274" s="146"/>
      <c r="E1274" s="305"/>
      <c r="F1274" s="383"/>
      <c r="G1274" s="154">
        <f>LEN('Expected Auditing Outcomes'!$F1274)</f>
        <v>0</v>
      </c>
      <c r="H1274" s="154"/>
    </row>
    <row r="1275" ht="15.75" hidden="1" customHeight="1">
      <c r="B1275" s="146"/>
      <c r="C1275" s="146">
        <f t="shared" si="5"/>
        <v>10000</v>
      </c>
      <c r="D1275" s="146"/>
      <c r="E1275" s="305"/>
      <c r="F1275" s="383"/>
      <c r="G1275" s="154">
        <f>LEN('Expected Auditing Outcomes'!$F1275)</f>
        <v>0</v>
      </c>
      <c r="H1275" s="154"/>
    </row>
    <row r="1276" ht="15.75" hidden="1" customHeight="1">
      <c r="B1276" s="146"/>
      <c r="C1276" s="146">
        <f t="shared" si="5"/>
        <v>10000</v>
      </c>
      <c r="D1276" s="146"/>
      <c r="E1276" s="305"/>
      <c r="F1276" s="383"/>
      <c r="G1276" s="154">
        <f>LEN('Expected Auditing Outcomes'!$F1276)</f>
        <v>0</v>
      </c>
      <c r="H1276" s="154"/>
    </row>
    <row r="1277" ht="15.75" hidden="1" customHeight="1">
      <c r="B1277" s="146"/>
      <c r="C1277" s="146">
        <f t="shared" si="5"/>
        <v>10000</v>
      </c>
      <c r="D1277" s="146"/>
      <c r="E1277" s="305"/>
      <c r="F1277" s="383"/>
      <c r="G1277" s="154">
        <f>LEN('Expected Auditing Outcomes'!$F1277)</f>
        <v>0</v>
      </c>
      <c r="H1277" s="154"/>
    </row>
    <row r="1278" ht="15.75" hidden="1" customHeight="1">
      <c r="B1278" s="146"/>
      <c r="C1278" s="146">
        <f t="shared" si="5"/>
        <v>10000</v>
      </c>
      <c r="D1278" s="146"/>
      <c r="E1278" s="305"/>
      <c r="F1278" s="383"/>
      <c r="G1278" s="154">
        <f>LEN('Expected Auditing Outcomes'!$F1278)</f>
        <v>0</v>
      </c>
      <c r="H1278" s="154"/>
    </row>
    <row r="1279" ht="15.75" hidden="1" customHeight="1">
      <c r="B1279" s="146"/>
      <c r="C1279" s="146">
        <f t="shared" si="5"/>
        <v>10000</v>
      </c>
      <c r="D1279" s="146"/>
      <c r="E1279" s="305"/>
      <c r="F1279" s="383"/>
      <c r="G1279" s="154">
        <f>LEN('Expected Auditing Outcomes'!$F1279)</f>
        <v>0</v>
      </c>
      <c r="H1279" s="154"/>
    </row>
    <row r="1280" ht="15.75" hidden="1" customHeight="1">
      <c r="B1280" s="146"/>
      <c r="C1280" s="146">
        <f t="shared" si="5"/>
        <v>10000</v>
      </c>
      <c r="D1280" s="146"/>
      <c r="E1280" s="305"/>
      <c r="F1280" s="383"/>
      <c r="G1280" s="154">
        <f>LEN('Expected Auditing Outcomes'!$F1280)</f>
        <v>0</v>
      </c>
      <c r="H1280" s="154"/>
    </row>
    <row r="1281" ht="15.75" hidden="1" customHeight="1">
      <c r="B1281" s="146"/>
      <c r="C1281" s="146">
        <f t="shared" si="5"/>
        <v>10000</v>
      </c>
      <c r="D1281" s="146"/>
      <c r="E1281" s="305"/>
      <c r="F1281" s="383"/>
      <c r="G1281" s="154">
        <f>LEN('Expected Auditing Outcomes'!$F1281)</f>
        <v>0</v>
      </c>
      <c r="H1281" s="154"/>
    </row>
    <row r="1282" ht="15.75" hidden="1" customHeight="1">
      <c r="B1282" s="146"/>
      <c r="C1282" s="146">
        <f t="shared" si="5"/>
        <v>10000</v>
      </c>
      <c r="D1282" s="146"/>
      <c r="E1282" s="305"/>
      <c r="F1282" s="383"/>
      <c r="G1282" s="154">
        <f>LEN('Expected Auditing Outcomes'!$F1282)</f>
        <v>0</v>
      </c>
      <c r="H1282" s="154"/>
    </row>
    <row r="1283" ht="15.75" hidden="1" customHeight="1">
      <c r="B1283" s="146"/>
      <c r="C1283" s="146">
        <f t="shared" si="5"/>
        <v>10000</v>
      </c>
      <c r="D1283" s="146"/>
      <c r="E1283" s="305"/>
      <c r="F1283" s="383"/>
      <c r="G1283" s="154">
        <f>LEN('Expected Auditing Outcomes'!$F1283)</f>
        <v>0</v>
      </c>
      <c r="H1283" s="154"/>
    </row>
    <row r="1284" ht="15.75" hidden="1" customHeight="1">
      <c r="B1284" s="146"/>
      <c r="C1284" s="146">
        <f t="shared" si="5"/>
        <v>10000</v>
      </c>
      <c r="D1284" s="146"/>
      <c r="E1284" s="305"/>
      <c r="F1284" s="383"/>
      <c r="G1284" s="154">
        <f>LEN('Expected Auditing Outcomes'!$F1284)</f>
        <v>0</v>
      </c>
      <c r="H1284" s="154"/>
    </row>
    <row r="1285" ht="15.75" hidden="1" customHeight="1">
      <c r="B1285" s="146"/>
      <c r="C1285" s="146">
        <f t="shared" si="5"/>
        <v>10000</v>
      </c>
      <c r="D1285" s="146"/>
      <c r="E1285" s="305"/>
      <c r="F1285" s="383"/>
      <c r="G1285" s="154">
        <f>LEN('Expected Auditing Outcomes'!$F1285)</f>
        <v>0</v>
      </c>
      <c r="H1285" s="154"/>
    </row>
    <row r="1286" ht="15.75" hidden="1" customHeight="1">
      <c r="B1286" s="146"/>
      <c r="C1286" s="146">
        <f t="shared" si="5"/>
        <v>10000</v>
      </c>
      <c r="D1286" s="146"/>
      <c r="E1286" s="305"/>
      <c r="F1286" s="383"/>
      <c r="G1286" s="154">
        <f>LEN('Expected Auditing Outcomes'!$F1286)</f>
        <v>0</v>
      </c>
      <c r="H1286" s="154"/>
    </row>
    <row r="1287" ht="15.75" hidden="1" customHeight="1">
      <c r="B1287" s="146"/>
      <c r="C1287" s="146">
        <f t="shared" si="5"/>
        <v>10000</v>
      </c>
      <c r="D1287" s="146"/>
      <c r="E1287" s="305"/>
      <c r="F1287" s="383"/>
      <c r="G1287" s="154">
        <f>LEN('Expected Auditing Outcomes'!$F1287)</f>
        <v>0</v>
      </c>
      <c r="H1287" s="154"/>
    </row>
    <row r="1288" ht="15.75" hidden="1" customHeight="1">
      <c r="B1288" s="146"/>
      <c r="C1288" s="146">
        <f t="shared" si="5"/>
        <v>10000</v>
      </c>
      <c r="D1288" s="146"/>
      <c r="E1288" s="305"/>
      <c r="F1288" s="383"/>
      <c r="G1288" s="154">
        <f>LEN('Expected Auditing Outcomes'!$F1288)</f>
        <v>0</v>
      </c>
      <c r="H1288" s="154"/>
    </row>
    <row r="1289" ht="15.75" hidden="1" customHeight="1">
      <c r="B1289" s="146"/>
      <c r="C1289" s="146">
        <f t="shared" si="5"/>
        <v>10000</v>
      </c>
      <c r="D1289" s="146"/>
      <c r="E1289" s="305"/>
      <c r="F1289" s="383"/>
      <c r="G1289" s="154">
        <f>LEN('Expected Auditing Outcomes'!$F1289)</f>
        <v>0</v>
      </c>
      <c r="H1289" s="154"/>
    </row>
    <row r="1290" ht="15.75" hidden="1" customHeight="1">
      <c r="B1290" s="146"/>
      <c r="C1290" s="146">
        <f t="shared" si="5"/>
        <v>10000</v>
      </c>
      <c r="D1290" s="146"/>
      <c r="E1290" s="305"/>
      <c r="F1290" s="383"/>
      <c r="G1290" s="154">
        <f>LEN('Expected Auditing Outcomes'!$F1290)</f>
        <v>0</v>
      </c>
      <c r="H1290" s="154"/>
    </row>
    <row r="1291" ht="15.75" hidden="1" customHeight="1">
      <c r="B1291" s="146"/>
      <c r="C1291" s="146">
        <f t="shared" si="5"/>
        <v>10000</v>
      </c>
      <c r="D1291" s="146"/>
      <c r="E1291" s="305"/>
      <c r="F1291" s="383"/>
      <c r="G1291" s="154">
        <f>LEN('Expected Auditing Outcomes'!$F1291)</f>
        <v>0</v>
      </c>
      <c r="H1291" s="154"/>
    </row>
    <row r="1292" ht="15.75" hidden="1" customHeight="1">
      <c r="B1292" s="146"/>
      <c r="C1292" s="146">
        <f t="shared" si="5"/>
        <v>10000</v>
      </c>
      <c r="D1292" s="146"/>
      <c r="E1292" s="305"/>
      <c r="F1292" s="383"/>
      <c r="G1292" s="154">
        <f>LEN('Expected Auditing Outcomes'!$F1292)</f>
        <v>0</v>
      </c>
      <c r="H1292" s="154"/>
    </row>
    <row r="1293" ht="15.75" hidden="1" customHeight="1">
      <c r="B1293" s="146"/>
      <c r="C1293" s="146">
        <f t="shared" si="5"/>
        <v>10000</v>
      </c>
      <c r="D1293" s="146"/>
      <c r="E1293" s="305"/>
      <c r="F1293" s="383"/>
      <c r="G1293" s="154">
        <f>LEN('Expected Auditing Outcomes'!$F1293)</f>
        <v>0</v>
      </c>
      <c r="H1293" s="154"/>
    </row>
    <row r="1294" ht="15.75" hidden="1" customHeight="1">
      <c r="B1294" s="146"/>
      <c r="C1294" s="146">
        <f t="shared" si="5"/>
        <v>10000</v>
      </c>
      <c r="D1294" s="146"/>
      <c r="E1294" s="305"/>
      <c r="F1294" s="383"/>
      <c r="G1294" s="154">
        <f>LEN('Expected Auditing Outcomes'!$F1294)</f>
        <v>0</v>
      </c>
      <c r="H1294" s="154"/>
    </row>
    <row r="1295" ht="15.75" hidden="1" customHeight="1">
      <c r="B1295" s="146"/>
      <c r="C1295" s="146">
        <f t="shared" si="5"/>
        <v>10000</v>
      </c>
      <c r="D1295" s="146"/>
      <c r="E1295" s="305"/>
      <c r="F1295" s="383"/>
      <c r="G1295" s="154">
        <f>LEN('Expected Auditing Outcomes'!$F1295)</f>
        <v>0</v>
      </c>
      <c r="H1295" s="154"/>
    </row>
    <row r="1296" ht="15.75" hidden="1" customHeight="1">
      <c r="B1296" s="146"/>
      <c r="C1296" s="146">
        <f t="shared" si="5"/>
        <v>10000</v>
      </c>
      <c r="D1296" s="146"/>
      <c r="E1296" s="305"/>
      <c r="F1296" s="383"/>
      <c r="G1296" s="154">
        <f>LEN('Expected Auditing Outcomes'!$F1296)</f>
        <v>0</v>
      </c>
      <c r="H1296" s="154"/>
    </row>
    <row r="1297" ht="15.75" hidden="1" customHeight="1">
      <c r="B1297" s="146"/>
      <c r="C1297" s="146">
        <f t="shared" si="5"/>
        <v>10000</v>
      </c>
      <c r="D1297" s="146"/>
      <c r="E1297" s="305"/>
      <c r="F1297" s="383"/>
      <c r="G1297" s="154">
        <f>LEN('Expected Auditing Outcomes'!$F1297)</f>
        <v>0</v>
      </c>
      <c r="H1297" s="154"/>
    </row>
    <row r="1298" ht="15.75" hidden="1" customHeight="1">
      <c r="B1298" s="146"/>
      <c r="C1298" s="146">
        <f t="shared" si="5"/>
        <v>10000</v>
      </c>
      <c r="D1298" s="146"/>
      <c r="E1298" s="305"/>
      <c r="F1298" s="383"/>
      <c r="G1298" s="154">
        <f>LEN('Expected Auditing Outcomes'!$F1298)</f>
        <v>0</v>
      </c>
      <c r="H1298" s="154"/>
    </row>
    <row r="1299" ht="15.75" hidden="1" customHeight="1">
      <c r="B1299" s="146"/>
      <c r="C1299" s="146">
        <f t="shared" si="5"/>
        <v>10000</v>
      </c>
      <c r="D1299" s="146"/>
      <c r="E1299" s="305"/>
      <c r="F1299" s="383"/>
      <c r="G1299" s="154">
        <f>LEN('Expected Auditing Outcomes'!$F1299)</f>
        <v>0</v>
      </c>
      <c r="H1299" s="154"/>
    </row>
    <row r="1300" ht="15.75" hidden="1" customHeight="1">
      <c r="B1300" s="146"/>
      <c r="C1300" s="146">
        <f t="shared" si="5"/>
        <v>10000</v>
      </c>
      <c r="D1300" s="146"/>
      <c r="E1300" s="305"/>
      <c r="F1300" s="383"/>
      <c r="G1300" s="154">
        <f>LEN('Expected Auditing Outcomes'!$F1300)</f>
        <v>0</v>
      </c>
      <c r="H1300" s="154"/>
    </row>
    <row r="1301" ht="15.75" hidden="1" customHeight="1">
      <c r="B1301" s="146"/>
      <c r="C1301" s="146">
        <f t="shared" si="5"/>
        <v>10000</v>
      </c>
      <c r="D1301" s="146"/>
      <c r="E1301" s="305"/>
      <c r="F1301" s="383"/>
      <c r="G1301" s="154">
        <f>LEN('Expected Auditing Outcomes'!$F1301)</f>
        <v>0</v>
      </c>
      <c r="H1301" s="154"/>
    </row>
    <row r="1302" ht="15.75" hidden="1" customHeight="1">
      <c r="B1302" s="146"/>
      <c r="C1302" s="146">
        <f t="shared" si="5"/>
        <v>10000</v>
      </c>
      <c r="D1302" s="146"/>
      <c r="E1302" s="305"/>
      <c r="F1302" s="383"/>
      <c r="G1302" s="154">
        <f>LEN('Expected Auditing Outcomes'!$F1302)</f>
        <v>0</v>
      </c>
      <c r="H1302" s="154"/>
    </row>
    <row r="1303" ht="15.75" hidden="1" customHeight="1">
      <c r="B1303" s="146"/>
      <c r="C1303" s="146">
        <f t="shared" si="5"/>
        <v>10000</v>
      </c>
      <c r="D1303" s="146"/>
      <c r="E1303" s="305"/>
      <c r="F1303" s="383"/>
      <c r="G1303" s="154">
        <f>LEN('Expected Auditing Outcomes'!$F1303)</f>
        <v>0</v>
      </c>
      <c r="H1303" s="154"/>
    </row>
    <row r="1304" ht="15.75" hidden="1" customHeight="1">
      <c r="B1304" s="146"/>
      <c r="C1304" s="146">
        <f t="shared" si="5"/>
        <v>10000</v>
      </c>
      <c r="D1304" s="146"/>
      <c r="E1304" s="305"/>
      <c r="F1304" s="383"/>
      <c r="G1304" s="154">
        <f>LEN('Expected Auditing Outcomes'!$F1304)</f>
        <v>0</v>
      </c>
      <c r="H1304" s="154"/>
    </row>
    <row r="1305" ht="15.75" hidden="1" customHeight="1">
      <c r="B1305" s="146"/>
      <c r="C1305" s="146">
        <f t="shared" si="5"/>
        <v>10000</v>
      </c>
      <c r="D1305" s="146"/>
      <c r="E1305" s="305"/>
      <c r="F1305" s="383"/>
      <c r="G1305" s="154">
        <f>LEN('Expected Auditing Outcomes'!$F1305)</f>
        <v>0</v>
      </c>
      <c r="H1305" s="154"/>
    </row>
    <row r="1306" ht="15.75" hidden="1" customHeight="1">
      <c r="B1306" s="146"/>
      <c r="C1306" s="146">
        <f t="shared" si="5"/>
        <v>10000</v>
      </c>
      <c r="D1306" s="146"/>
      <c r="E1306" s="305"/>
      <c r="F1306" s="383"/>
      <c r="G1306" s="154">
        <f>LEN('Expected Auditing Outcomes'!$F1306)</f>
        <v>0</v>
      </c>
      <c r="H1306" s="154"/>
    </row>
    <row r="1307" ht="15.75" hidden="1" customHeight="1">
      <c r="B1307" s="146"/>
      <c r="C1307" s="146">
        <f t="shared" si="5"/>
        <v>10000</v>
      </c>
      <c r="D1307" s="146"/>
      <c r="E1307" s="305"/>
      <c r="F1307" s="383"/>
      <c r="G1307" s="154">
        <f>LEN('Expected Auditing Outcomes'!$F1307)</f>
        <v>0</v>
      </c>
      <c r="H1307" s="154"/>
    </row>
    <row r="1308" ht="15.75" hidden="1" customHeight="1">
      <c r="B1308" s="146"/>
      <c r="C1308" s="146">
        <f t="shared" si="5"/>
        <v>10000</v>
      </c>
      <c r="D1308" s="146"/>
      <c r="E1308" s="305"/>
      <c r="F1308" s="383"/>
      <c r="G1308" s="154">
        <f>LEN('Expected Auditing Outcomes'!$F1308)</f>
        <v>0</v>
      </c>
      <c r="H1308" s="154"/>
    </row>
    <row r="1309" ht="15.75" hidden="1" customHeight="1">
      <c r="B1309" s="146"/>
      <c r="C1309" s="146">
        <f t="shared" si="5"/>
        <v>10000</v>
      </c>
      <c r="D1309" s="146"/>
      <c r="E1309" s="305"/>
      <c r="F1309" s="383"/>
      <c r="G1309" s="154">
        <f>LEN('Expected Auditing Outcomes'!$F1309)</f>
        <v>0</v>
      </c>
      <c r="H1309" s="154"/>
    </row>
    <row r="1310" ht="15.75" hidden="1" customHeight="1">
      <c r="B1310" s="146"/>
      <c r="C1310" s="146">
        <f t="shared" si="5"/>
        <v>10000</v>
      </c>
      <c r="D1310" s="146"/>
      <c r="E1310" s="305"/>
      <c r="F1310" s="383"/>
      <c r="G1310" s="154">
        <f>LEN('Expected Auditing Outcomes'!$F1310)</f>
        <v>0</v>
      </c>
      <c r="H1310" s="154"/>
    </row>
    <row r="1311" ht="15.75" hidden="1" customHeight="1">
      <c r="B1311" s="146"/>
      <c r="C1311" s="146">
        <f t="shared" si="5"/>
        <v>10000</v>
      </c>
      <c r="D1311" s="146"/>
      <c r="E1311" s="305"/>
      <c r="F1311" s="383"/>
      <c r="G1311" s="154">
        <f>LEN('Expected Auditing Outcomes'!$F1311)</f>
        <v>0</v>
      </c>
      <c r="H1311" s="154"/>
    </row>
    <row r="1312" ht="15.75" hidden="1" customHeight="1">
      <c r="B1312" s="146"/>
      <c r="C1312" s="146">
        <f t="shared" si="5"/>
        <v>10000</v>
      </c>
      <c r="D1312" s="146"/>
      <c r="E1312" s="305"/>
      <c r="F1312" s="383"/>
      <c r="G1312" s="154">
        <f>LEN('Expected Auditing Outcomes'!$F1312)</f>
        <v>0</v>
      </c>
      <c r="H1312" s="154"/>
    </row>
    <row r="1313" ht="15.75" hidden="1" customHeight="1">
      <c r="B1313" s="146"/>
      <c r="C1313" s="146">
        <f t="shared" si="5"/>
        <v>10000</v>
      </c>
      <c r="D1313" s="146"/>
      <c r="E1313" s="305"/>
      <c r="F1313" s="383"/>
      <c r="G1313" s="154">
        <f>LEN('Expected Auditing Outcomes'!$F1313)</f>
        <v>0</v>
      </c>
      <c r="H1313" s="154"/>
    </row>
    <row r="1314" ht="15.75" hidden="1" customHeight="1">
      <c r="B1314" s="146"/>
      <c r="C1314" s="146">
        <f t="shared" si="5"/>
        <v>10000</v>
      </c>
      <c r="D1314" s="146"/>
      <c r="E1314" s="305"/>
      <c r="F1314" s="383"/>
      <c r="G1314" s="154">
        <f>LEN('Expected Auditing Outcomes'!$F1314)</f>
        <v>0</v>
      </c>
      <c r="H1314" s="154"/>
    </row>
    <row r="1315" ht="15.75" hidden="1" customHeight="1">
      <c r="B1315" s="146"/>
      <c r="C1315" s="146">
        <f t="shared" si="5"/>
        <v>10000</v>
      </c>
      <c r="D1315" s="146"/>
      <c r="E1315" s="305"/>
      <c r="F1315" s="383"/>
      <c r="G1315" s="154">
        <f>LEN('Expected Auditing Outcomes'!$F1315)</f>
        <v>0</v>
      </c>
      <c r="H1315" s="154"/>
    </row>
    <row r="1316" ht="15.75" hidden="1" customHeight="1">
      <c r="B1316" s="146"/>
      <c r="C1316" s="146">
        <f t="shared" si="5"/>
        <v>10000</v>
      </c>
      <c r="D1316" s="146"/>
      <c r="E1316" s="305"/>
      <c r="F1316" s="383"/>
      <c r="G1316" s="154">
        <f>LEN('Expected Auditing Outcomes'!$F1316)</f>
        <v>0</v>
      </c>
      <c r="H1316" s="154"/>
    </row>
    <row r="1317" ht="15.75" hidden="1" customHeight="1">
      <c r="B1317" s="146"/>
      <c r="C1317" s="146">
        <f t="shared" si="5"/>
        <v>10000</v>
      </c>
      <c r="D1317" s="146"/>
      <c r="E1317" s="305"/>
      <c r="F1317" s="383"/>
      <c r="G1317" s="154">
        <f>LEN('Expected Auditing Outcomes'!$F1317)</f>
        <v>0</v>
      </c>
      <c r="H1317" s="154"/>
    </row>
    <row r="1318" ht="15.75" hidden="1" customHeight="1">
      <c r="B1318" s="146"/>
      <c r="C1318" s="146">
        <f t="shared" si="5"/>
        <v>10000</v>
      </c>
      <c r="D1318" s="146"/>
      <c r="E1318" s="305"/>
      <c r="F1318" s="383"/>
      <c r="G1318" s="154">
        <f>LEN('Expected Auditing Outcomes'!$F1318)</f>
        <v>0</v>
      </c>
      <c r="H1318" s="154"/>
    </row>
    <row r="1319" ht="15.75" hidden="1" customHeight="1">
      <c r="B1319" s="146"/>
      <c r="C1319" s="146">
        <f t="shared" si="5"/>
        <v>10000</v>
      </c>
      <c r="D1319" s="146"/>
      <c r="E1319" s="305"/>
      <c r="F1319" s="383"/>
      <c r="G1319" s="154">
        <f>LEN('Expected Auditing Outcomes'!$F1319)</f>
        <v>0</v>
      </c>
      <c r="H1319" s="154"/>
    </row>
    <row r="1320" ht="15.75" hidden="1" customHeight="1">
      <c r="B1320" s="146"/>
      <c r="C1320" s="146">
        <f t="shared" si="5"/>
        <v>10000</v>
      </c>
      <c r="D1320" s="146"/>
      <c r="E1320" s="305"/>
      <c r="F1320" s="383"/>
      <c r="G1320" s="154">
        <f>LEN('Expected Auditing Outcomes'!$F1320)</f>
        <v>0</v>
      </c>
      <c r="H1320" s="154"/>
    </row>
    <row r="1321" ht="15.75" hidden="1" customHeight="1">
      <c r="B1321" s="146"/>
      <c r="C1321" s="146">
        <f t="shared" si="5"/>
        <v>10000</v>
      </c>
      <c r="D1321" s="146"/>
      <c r="E1321" s="305"/>
      <c r="F1321" s="383"/>
      <c r="G1321" s="154">
        <f>LEN('Expected Auditing Outcomes'!$F1321)</f>
        <v>0</v>
      </c>
      <c r="H1321" s="154"/>
    </row>
    <row r="1322" ht="15.75" hidden="1" customHeight="1">
      <c r="B1322" s="146"/>
      <c r="C1322" s="146">
        <f t="shared" si="5"/>
        <v>10000</v>
      </c>
      <c r="D1322" s="146"/>
      <c r="E1322" s="305"/>
      <c r="F1322" s="383"/>
      <c r="G1322" s="154">
        <f>LEN('Expected Auditing Outcomes'!$F1322)</f>
        <v>0</v>
      </c>
      <c r="H1322" s="154"/>
    </row>
    <row r="1323" ht="15.75" hidden="1" customHeight="1">
      <c r="B1323" s="146"/>
      <c r="C1323" s="146">
        <f t="shared" si="5"/>
        <v>10000</v>
      </c>
      <c r="D1323" s="146"/>
      <c r="E1323" s="305"/>
      <c r="F1323" s="383"/>
      <c r="G1323" s="154">
        <f>LEN('Expected Auditing Outcomes'!$F1323)</f>
        <v>0</v>
      </c>
      <c r="H1323" s="154"/>
    </row>
    <row r="1324" ht="15.75" hidden="1" customHeight="1">
      <c r="B1324" s="146"/>
      <c r="C1324" s="146">
        <f t="shared" si="5"/>
        <v>10000</v>
      </c>
      <c r="D1324" s="146"/>
      <c r="E1324" s="305"/>
      <c r="F1324" s="383"/>
      <c r="G1324" s="154">
        <f>LEN('Expected Auditing Outcomes'!$F1324)</f>
        <v>0</v>
      </c>
      <c r="H1324" s="154"/>
    </row>
    <row r="1325" ht="15.75" hidden="1" customHeight="1">
      <c r="B1325" s="146"/>
      <c r="C1325" s="146">
        <f t="shared" si="5"/>
        <v>10000</v>
      </c>
      <c r="D1325" s="146"/>
      <c r="E1325" s="305"/>
      <c r="F1325" s="383"/>
      <c r="G1325" s="154">
        <f>LEN('Expected Auditing Outcomes'!$F1325)</f>
        <v>0</v>
      </c>
      <c r="H1325" s="154"/>
    </row>
    <row r="1326" ht="15.75" hidden="1" customHeight="1">
      <c r="B1326" s="146"/>
      <c r="C1326" s="146">
        <f t="shared" si="5"/>
        <v>10000</v>
      </c>
      <c r="D1326" s="146"/>
      <c r="E1326" s="305"/>
      <c r="F1326" s="383"/>
      <c r="G1326" s="154">
        <f>LEN('Expected Auditing Outcomes'!$F1326)</f>
        <v>0</v>
      </c>
      <c r="H1326" s="154"/>
    </row>
    <row r="1327" ht="15.75" hidden="1" customHeight="1">
      <c r="B1327" s="146"/>
      <c r="C1327" s="146">
        <f t="shared" si="5"/>
        <v>10000</v>
      </c>
      <c r="D1327" s="146"/>
      <c r="E1327" s="305"/>
      <c r="F1327" s="383"/>
      <c r="G1327" s="154">
        <f>LEN('Expected Auditing Outcomes'!$F1327)</f>
        <v>0</v>
      </c>
      <c r="H1327" s="154"/>
    </row>
    <row r="1328" ht="15.75" hidden="1" customHeight="1">
      <c r="B1328" s="146"/>
      <c r="C1328" s="146">
        <f t="shared" si="5"/>
        <v>10000</v>
      </c>
      <c r="D1328" s="146"/>
      <c r="E1328" s="305"/>
      <c r="F1328" s="383"/>
      <c r="G1328" s="154">
        <f>LEN('Expected Auditing Outcomes'!$F1328)</f>
        <v>0</v>
      </c>
      <c r="H1328" s="154"/>
    </row>
    <row r="1329" ht="15.75" hidden="1" customHeight="1">
      <c r="B1329" s="146"/>
      <c r="C1329" s="146">
        <f t="shared" si="5"/>
        <v>10000</v>
      </c>
      <c r="D1329" s="146"/>
      <c r="E1329" s="305"/>
      <c r="F1329" s="383"/>
      <c r="G1329" s="154">
        <f>LEN('Expected Auditing Outcomes'!$F1329)</f>
        <v>0</v>
      </c>
      <c r="H1329" s="154"/>
    </row>
    <row r="1330" ht="15.75" hidden="1" customHeight="1">
      <c r="B1330" s="146"/>
      <c r="C1330" s="146">
        <f t="shared" si="5"/>
        <v>10000</v>
      </c>
      <c r="D1330" s="146"/>
      <c r="E1330" s="305"/>
      <c r="F1330" s="383"/>
      <c r="G1330" s="154">
        <f>LEN('Expected Auditing Outcomes'!$F1330)</f>
        <v>0</v>
      </c>
      <c r="H1330" s="154"/>
    </row>
    <row r="1331" ht="15.75" hidden="1" customHeight="1">
      <c r="B1331" s="146"/>
      <c r="C1331" s="146">
        <f t="shared" si="5"/>
        <v>10000</v>
      </c>
      <c r="D1331" s="146"/>
      <c r="E1331" s="305"/>
      <c r="F1331" s="383"/>
      <c r="G1331" s="154">
        <f>LEN('Expected Auditing Outcomes'!$F1331)</f>
        <v>0</v>
      </c>
      <c r="H1331" s="154"/>
    </row>
    <row r="1332" ht="15.75" hidden="1" customHeight="1">
      <c r="B1332" s="146"/>
      <c r="C1332" s="146">
        <f t="shared" si="5"/>
        <v>10000</v>
      </c>
      <c r="D1332" s="146"/>
      <c r="E1332" s="305"/>
      <c r="F1332" s="383"/>
      <c r="G1332" s="154">
        <f>LEN('Expected Auditing Outcomes'!$F1332)</f>
        <v>0</v>
      </c>
      <c r="H1332" s="154"/>
    </row>
    <row r="1333" ht="15.75" hidden="1" customHeight="1">
      <c r="B1333" s="146"/>
      <c r="C1333" s="146">
        <f t="shared" si="5"/>
        <v>10000</v>
      </c>
      <c r="D1333" s="146"/>
      <c r="E1333" s="305"/>
      <c r="F1333" s="383"/>
      <c r="G1333" s="154">
        <f>LEN('Expected Auditing Outcomes'!$F1333)</f>
        <v>0</v>
      </c>
      <c r="H1333" s="154"/>
    </row>
    <row r="1334" ht="15.75" hidden="1" customHeight="1">
      <c r="B1334" s="146"/>
      <c r="C1334" s="146">
        <f t="shared" si="5"/>
        <v>10000</v>
      </c>
      <c r="D1334" s="146"/>
      <c r="E1334" s="305"/>
      <c r="F1334" s="383"/>
      <c r="G1334" s="154">
        <f>LEN('Expected Auditing Outcomes'!$F1334)</f>
        <v>0</v>
      </c>
      <c r="H1334" s="154"/>
    </row>
    <row r="1335" ht="15.75" hidden="1" customHeight="1">
      <c r="B1335" s="146"/>
      <c r="C1335" s="146">
        <f t="shared" si="5"/>
        <v>10000</v>
      </c>
      <c r="D1335" s="146"/>
      <c r="E1335" s="305"/>
      <c r="F1335" s="383"/>
      <c r="G1335" s="154">
        <f>LEN('Expected Auditing Outcomes'!$F1335)</f>
        <v>0</v>
      </c>
      <c r="H1335" s="154"/>
    </row>
    <row r="1336" ht="15.75" hidden="1" customHeight="1">
      <c r="B1336" s="146"/>
      <c r="C1336" s="146">
        <f t="shared" si="5"/>
        <v>10000</v>
      </c>
      <c r="D1336" s="146"/>
      <c r="E1336" s="305"/>
      <c r="F1336" s="383"/>
      <c r="G1336" s="154">
        <f>LEN('Expected Auditing Outcomes'!$F1336)</f>
        <v>0</v>
      </c>
      <c r="H1336" s="154"/>
    </row>
    <row r="1337" ht="15.75" hidden="1" customHeight="1">
      <c r="B1337" s="146"/>
      <c r="C1337" s="146">
        <f t="shared" si="5"/>
        <v>10000</v>
      </c>
      <c r="D1337" s="146"/>
      <c r="E1337" s="305"/>
      <c r="F1337" s="383"/>
      <c r="G1337" s="154">
        <f>LEN('Expected Auditing Outcomes'!$F1337)</f>
        <v>0</v>
      </c>
      <c r="H1337" s="154"/>
    </row>
    <row r="1338" ht="15.75" hidden="1" customHeight="1">
      <c r="B1338" s="146"/>
      <c r="C1338" s="146">
        <f t="shared" si="5"/>
        <v>10000</v>
      </c>
      <c r="D1338" s="146"/>
      <c r="E1338" s="305"/>
      <c r="F1338" s="383"/>
      <c r="G1338" s="154">
        <f>LEN('Expected Auditing Outcomes'!$F1338)</f>
        <v>0</v>
      </c>
      <c r="H1338" s="154"/>
    </row>
    <row r="1339" ht="15.75" hidden="1" customHeight="1">
      <c r="B1339" s="146"/>
      <c r="C1339" s="146">
        <f t="shared" si="5"/>
        <v>10000</v>
      </c>
      <c r="D1339" s="146"/>
      <c r="E1339" s="305"/>
      <c r="F1339" s="383"/>
      <c r="G1339" s="154">
        <f>LEN('Expected Auditing Outcomes'!$F1339)</f>
        <v>0</v>
      </c>
      <c r="H1339" s="154"/>
    </row>
    <row r="1340" ht="15.75" hidden="1" customHeight="1">
      <c r="B1340" s="146"/>
      <c r="C1340" s="146">
        <f t="shared" si="5"/>
        <v>10000</v>
      </c>
      <c r="D1340" s="146"/>
      <c r="E1340" s="305"/>
      <c r="F1340" s="383"/>
      <c r="G1340" s="154">
        <f>LEN('Expected Auditing Outcomes'!$F1340)</f>
        <v>0</v>
      </c>
      <c r="H1340" s="154"/>
    </row>
    <row r="1341" ht="15.75" hidden="1" customHeight="1">
      <c r="B1341" s="146"/>
      <c r="C1341" s="146">
        <f t="shared" si="5"/>
        <v>10000</v>
      </c>
      <c r="D1341" s="146"/>
      <c r="E1341" s="305"/>
      <c r="F1341" s="383"/>
      <c r="G1341" s="154">
        <f>LEN('Expected Auditing Outcomes'!$F1341)</f>
        <v>0</v>
      </c>
      <c r="H1341" s="154"/>
    </row>
    <row r="1342" ht="15.75" hidden="1" customHeight="1">
      <c r="B1342" s="146"/>
      <c r="C1342" s="146">
        <f t="shared" si="5"/>
        <v>10000</v>
      </c>
      <c r="D1342" s="146"/>
      <c r="E1342" s="305"/>
      <c r="F1342" s="383"/>
      <c r="G1342" s="154">
        <f>LEN('Expected Auditing Outcomes'!$F1342)</f>
        <v>0</v>
      </c>
      <c r="H1342" s="154"/>
    </row>
    <row r="1343" ht="15.75" hidden="1" customHeight="1">
      <c r="B1343" s="146"/>
      <c r="C1343" s="146">
        <f t="shared" si="5"/>
        <v>10000</v>
      </c>
      <c r="D1343" s="146"/>
      <c r="E1343" s="305"/>
      <c r="F1343" s="383"/>
      <c r="G1343" s="154">
        <f>LEN('Expected Auditing Outcomes'!$F1343)</f>
        <v>0</v>
      </c>
      <c r="H1343" s="154"/>
    </row>
    <row r="1344" ht="15.75" hidden="1" customHeight="1">
      <c r="B1344" s="146"/>
      <c r="C1344" s="146">
        <f t="shared" si="5"/>
        <v>10000</v>
      </c>
      <c r="D1344" s="146"/>
      <c r="E1344" s="305"/>
      <c r="F1344" s="383"/>
      <c r="G1344" s="154">
        <f>LEN('Expected Auditing Outcomes'!$F1344)</f>
        <v>0</v>
      </c>
      <c r="H1344" s="154"/>
    </row>
    <row r="1345" ht="15.75" hidden="1" customHeight="1">
      <c r="B1345" s="146"/>
      <c r="C1345" s="146">
        <f t="shared" si="5"/>
        <v>10000</v>
      </c>
      <c r="D1345" s="146"/>
      <c r="E1345" s="305"/>
      <c r="F1345" s="383"/>
      <c r="G1345" s="154">
        <f>LEN('Expected Auditing Outcomes'!$F1345)</f>
        <v>0</v>
      </c>
      <c r="H1345" s="154"/>
    </row>
    <row r="1346" ht="15.75" hidden="1" customHeight="1">
      <c r="B1346" s="146"/>
      <c r="C1346" s="146">
        <f t="shared" si="5"/>
        <v>10000</v>
      </c>
      <c r="D1346" s="146"/>
      <c r="E1346" s="305"/>
      <c r="F1346" s="383"/>
      <c r="G1346" s="154">
        <f>LEN('Expected Auditing Outcomes'!$F1346)</f>
        <v>0</v>
      </c>
      <c r="H1346" s="154"/>
    </row>
    <row r="1347" ht="15.75" hidden="1" customHeight="1">
      <c r="B1347" s="146"/>
      <c r="C1347" s="146">
        <f t="shared" si="5"/>
        <v>10000</v>
      </c>
      <c r="D1347" s="146"/>
      <c r="E1347" s="305"/>
      <c r="F1347" s="383"/>
      <c r="G1347" s="154">
        <f>LEN('Expected Auditing Outcomes'!$F1347)</f>
        <v>0</v>
      </c>
      <c r="H1347" s="154"/>
    </row>
    <row r="1348" ht="15.75" hidden="1" customHeight="1">
      <c r="B1348" s="146"/>
      <c r="C1348" s="146">
        <f t="shared" si="5"/>
        <v>10000</v>
      </c>
      <c r="D1348" s="146"/>
      <c r="E1348" s="305"/>
      <c r="F1348" s="383"/>
      <c r="G1348" s="154">
        <f>LEN('Expected Auditing Outcomes'!$F1348)</f>
        <v>0</v>
      </c>
      <c r="H1348" s="154"/>
    </row>
    <row r="1349" ht="15.75" hidden="1" customHeight="1">
      <c r="B1349" s="146"/>
      <c r="C1349" s="146">
        <f t="shared" si="5"/>
        <v>10000</v>
      </c>
      <c r="D1349" s="146"/>
      <c r="E1349" s="305"/>
      <c r="F1349" s="383"/>
      <c r="G1349" s="154">
        <f>LEN('Expected Auditing Outcomes'!$F1349)</f>
        <v>0</v>
      </c>
      <c r="H1349" s="154"/>
    </row>
    <row r="1350" ht="15.75" hidden="1" customHeight="1">
      <c r="B1350" s="146"/>
      <c r="C1350" s="146">
        <f t="shared" si="5"/>
        <v>10000</v>
      </c>
      <c r="D1350" s="146"/>
      <c r="E1350" s="305"/>
      <c r="F1350" s="383"/>
      <c r="G1350" s="154">
        <f>LEN('Expected Auditing Outcomes'!$F1350)</f>
        <v>0</v>
      </c>
      <c r="H1350" s="154"/>
    </row>
    <row r="1351" ht="15.75" hidden="1" customHeight="1">
      <c r="B1351" s="146"/>
      <c r="C1351" s="146">
        <f t="shared" si="5"/>
        <v>10000</v>
      </c>
      <c r="D1351" s="146"/>
      <c r="E1351" s="305"/>
      <c r="F1351" s="383"/>
      <c r="G1351" s="154">
        <f>LEN('Expected Auditing Outcomes'!$F1351)</f>
        <v>0</v>
      </c>
      <c r="H1351" s="154"/>
    </row>
    <row r="1352" ht="15.75" hidden="1" customHeight="1">
      <c r="B1352" s="146"/>
      <c r="C1352" s="146">
        <f t="shared" si="5"/>
        <v>10000</v>
      </c>
      <c r="D1352" s="146"/>
      <c r="E1352" s="305"/>
      <c r="F1352" s="383"/>
      <c r="G1352" s="154">
        <f>LEN('Expected Auditing Outcomes'!$F1352)</f>
        <v>0</v>
      </c>
      <c r="H1352" s="154"/>
    </row>
    <row r="1353" ht="15.75" hidden="1" customHeight="1">
      <c r="B1353" s="146"/>
      <c r="C1353" s="146">
        <f t="shared" si="5"/>
        <v>10000</v>
      </c>
      <c r="D1353" s="146"/>
      <c r="E1353" s="305"/>
      <c r="F1353" s="383"/>
      <c r="G1353" s="154">
        <f>LEN('Expected Auditing Outcomes'!$F1353)</f>
        <v>0</v>
      </c>
      <c r="H1353" s="154"/>
    </row>
    <row r="1354" ht="15.75" hidden="1" customHeight="1">
      <c r="B1354" s="146"/>
      <c r="C1354" s="146">
        <f t="shared" si="5"/>
        <v>10000</v>
      </c>
      <c r="D1354" s="146"/>
      <c r="E1354" s="305"/>
      <c r="F1354" s="383"/>
      <c r="G1354" s="154">
        <f>LEN('Expected Auditing Outcomes'!$F1354)</f>
        <v>0</v>
      </c>
      <c r="H1354" s="154"/>
    </row>
    <row r="1355" ht="15.75" hidden="1" customHeight="1">
      <c r="B1355" s="146"/>
      <c r="C1355" s="146">
        <f t="shared" si="5"/>
        <v>10000</v>
      </c>
      <c r="D1355" s="146"/>
      <c r="E1355" s="305"/>
      <c r="F1355" s="383"/>
      <c r="G1355" s="154">
        <f>LEN('Expected Auditing Outcomes'!$F1355)</f>
        <v>0</v>
      </c>
      <c r="H1355" s="154"/>
    </row>
    <row r="1356" ht="15.75" hidden="1" customHeight="1">
      <c r="B1356" s="146"/>
      <c r="C1356" s="146">
        <f t="shared" si="5"/>
        <v>10000</v>
      </c>
      <c r="D1356" s="146"/>
      <c r="E1356" s="305"/>
      <c r="F1356" s="383"/>
      <c r="G1356" s="154">
        <f>LEN('Expected Auditing Outcomes'!$F1356)</f>
        <v>0</v>
      </c>
      <c r="H1356" s="154"/>
    </row>
    <row r="1357" ht="15.75" hidden="1" customHeight="1">
      <c r="B1357" s="146"/>
      <c r="C1357" s="146">
        <f t="shared" si="5"/>
        <v>10000</v>
      </c>
      <c r="D1357" s="146"/>
      <c r="E1357" s="305"/>
      <c r="F1357" s="383"/>
      <c r="G1357" s="154">
        <f>LEN('Expected Auditing Outcomes'!$F1357)</f>
        <v>0</v>
      </c>
      <c r="H1357" s="154"/>
    </row>
    <row r="1358" ht="15.75" hidden="1" customHeight="1">
      <c r="B1358" s="146"/>
      <c r="C1358" s="146">
        <f t="shared" si="5"/>
        <v>10000</v>
      </c>
      <c r="D1358" s="146"/>
      <c r="E1358" s="305"/>
      <c r="F1358" s="383"/>
      <c r="G1358" s="154">
        <f>LEN('Expected Auditing Outcomes'!$F1358)</f>
        <v>0</v>
      </c>
      <c r="H1358" s="154"/>
    </row>
    <row r="1359" ht="15.75" hidden="1" customHeight="1">
      <c r="B1359" s="146"/>
      <c r="C1359" s="146">
        <f t="shared" si="5"/>
        <v>10000</v>
      </c>
      <c r="D1359" s="146"/>
      <c r="E1359" s="305"/>
      <c r="F1359" s="383"/>
      <c r="G1359" s="154">
        <f>LEN('Expected Auditing Outcomes'!$F1359)</f>
        <v>0</v>
      </c>
      <c r="H1359" s="154"/>
    </row>
    <row r="1360" ht="15.75" hidden="1" customHeight="1">
      <c r="B1360" s="146"/>
      <c r="C1360" s="146">
        <f t="shared" si="5"/>
        <v>10000</v>
      </c>
      <c r="D1360" s="146"/>
      <c r="E1360" s="305"/>
      <c r="F1360" s="383"/>
      <c r="G1360" s="154">
        <f>LEN('Expected Auditing Outcomes'!$F1360)</f>
        <v>0</v>
      </c>
      <c r="H1360" s="154"/>
    </row>
    <row r="1361" ht="15.75" hidden="1" customHeight="1">
      <c r="B1361" s="146"/>
      <c r="C1361" s="146">
        <f t="shared" si="5"/>
        <v>10000</v>
      </c>
      <c r="D1361" s="146"/>
      <c r="E1361" s="305"/>
      <c r="F1361" s="383"/>
      <c r="G1361" s="154">
        <f>LEN('Expected Auditing Outcomes'!$F1361)</f>
        <v>0</v>
      </c>
      <c r="H1361" s="154"/>
    </row>
    <row r="1362" ht="15.75" hidden="1" customHeight="1">
      <c r="B1362" s="146"/>
      <c r="C1362" s="146">
        <f t="shared" si="5"/>
        <v>10000</v>
      </c>
      <c r="D1362" s="146"/>
      <c r="E1362" s="305"/>
      <c r="F1362" s="383"/>
      <c r="G1362" s="154">
        <f>LEN('Expected Auditing Outcomes'!$F1362)</f>
        <v>0</v>
      </c>
      <c r="H1362" s="154"/>
    </row>
    <row r="1363" ht="15.75" hidden="1" customHeight="1">
      <c r="B1363" s="146"/>
      <c r="C1363" s="146">
        <f t="shared" si="5"/>
        <v>10000</v>
      </c>
      <c r="D1363" s="146"/>
      <c r="E1363" s="305"/>
      <c r="F1363" s="383"/>
      <c r="G1363" s="154">
        <f>LEN('Expected Auditing Outcomes'!$F1363)</f>
        <v>0</v>
      </c>
      <c r="H1363" s="154"/>
    </row>
    <row r="1364" ht="15.75" hidden="1" customHeight="1">
      <c r="B1364" s="146"/>
      <c r="C1364" s="146">
        <f t="shared" si="5"/>
        <v>10000</v>
      </c>
      <c r="D1364" s="146"/>
      <c r="E1364" s="305"/>
      <c r="F1364" s="383"/>
      <c r="G1364" s="154">
        <f>LEN('Expected Auditing Outcomes'!$F1364)</f>
        <v>0</v>
      </c>
      <c r="H1364" s="154"/>
    </row>
    <row r="1365" ht="15.75" hidden="1" customHeight="1">
      <c r="B1365" s="146"/>
      <c r="C1365" s="146">
        <f t="shared" si="5"/>
        <v>10000</v>
      </c>
      <c r="D1365" s="146"/>
      <c r="E1365" s="305"/>
      <c r="F1365" s="383"/>
      <c r="G1365" s="154">
        <f>LEN('Expected Auditing Outcomes'!$F1365)</f>
        <v>0</v>
      </c>
      <c r="H1365" s="154"/>
    </row>
    <row r="1366" ht="15.75" hidden="1" customHeight="1">
      <c r="B1366" s="146"/>
      <c r="C1366" s="146">
        <f t="shared" si="5"/>
        <v>10000</v>
      </c>
      <c r="D1366" s="146"/>
      <c r="E1366" s="305"/>
      <c r="F1366" s="383"/>
      <c r="G1366" s="154">
        <f>LEN('Expected Auditing Outcomes'!$F1366)</f>
        <v>0</v>
      </c>
      <c r="H1366" s="154"/>
    </row>
    <row r="1367" ht="15.75" hidden="1" customHeight="1">
      <c r="B1367" s="146"/>
      <c r="C1367" s="146">
        <f t="shared" si="5"/>
        <v>10000</v>
      </c>
      <c r="D1367" s="146"/>
      <c r="E1367" s="305"/>
      <c r="F1367" s="383"/>
      <c r="G1367" s="154">
        <f>LEN('Expected Auditing Outcomes'!$F1367)</f>
        <v>0</v>
      </c>
      <c r="H1367" s="154"/>
    </row>
    <row r="1368" ht="15.75" hidden="1" customHeight="1">
      <c r="B1368" s="146"/>
      <c r="C1368" s="146">
        <f t="shared" si="5"/>
        <v>10000</v>
      </c>
      <c r="D1368" s="146"/>
      <c r="E1368" s="305"/>
      <c r="F1368" s="383"/>
      <c r="G1368" s="154">
        <f>LEN('Expected Auditing Outcomes'!$F1368)</f>
        <v>0</v>
      </c>
      <c r="H1368" s="154"/>
    </row>
    <row r="1369" ht="15.75" hidden="1" customHeight="1">
      <c r="B1369" s="146"/>
      <c r="C1369" s="146">
        <f t="shared" si="5"/>
        <v>10000</v>
      </c>
      <c r="D1369" s="146"/>
      <c r="E1369" s="305"/>
      <c r="F1369" s="383"/>
      <c r="G1369" s="154">
        <f>LEN('Expected Auditing Outcomes'!$F1369)</f>
        <v>0</v>
      </c>
      <c r="H1369" s="154"/>
    </row>
    <row r="1370" ht="15.75" hidden="1" customHeight="1">
      <c r="B1370" s="146"/>
      <c r="C1370" s="146">
        <f t="shared" si="5"/>
        <v>10000</v>
      </c>
      <c r="D1370" s="146"/>
      <c r="E1370" s="305"/>
      <c r="F1370" s="383"/>
      <c r="G1370" s="154">
        <f>LEN('Expected Auditing Outcomes'!$F1370)</f>
        <v>0</v>
      </c>
      <c r="H1370" s="154"/>
    </row>
    <row r="1371" ht="15.75" hidden="1" customHeight="1">
      <c r="B1371" s="146"/>
      <c r="C1371" s="146">
        <f t="shared" si="5"/>
        <v>10000</v>
      </c>
      <c r="D1371" s="146"/>
      <c r="E1371" s="305"/>
      <c r="F1371" s="383"/>
      <c r="G1371" s="154">
        <f>LEN('Expected Auditing Outcomes'!$F1371)</f>
        <v>0</v>
      </c>
      <c r="H1371" s="154"/>
    </row>
    <row r="1372" ht="15.75" hidden="1" customHeight="1">
      <c r="B1372" s="146"/>
      <c r="C1372" s="146">
        <f t="shared" si="5"/>
        <v>10000</v>
      </c>
      <c r="D1372" s="146"/>
      <c r="E1372" s="305"/>
      <c r="F1372" s="383"/>
      <c r="G1372" s="154">
        <f>LEN('Expected Auditing Outcomes'!$F1372)</f>
        <v>0</v>
      </c>
      <c r="H1372" s="154"/>
    </row>
    <row r="1373" ht="15.75" hidden="1" customHeight="1">
      <c r="B1373" s="146"/>
      <c r="C1373" s="146">
        <f t="shared" si="5"/>
        <v>10000</v>
      </c>
      <c r="D1373" s="146"/>
      <c r="E1373" s="305"/>
      <c r="F1373" s="383"/>
      <c r="G1373" s="154">
        <f>LEN('Expected Auditing Outcomes'!$F1373)</f>
        <v>0</v>
      </c>
      <c r="H1373" s="154"/>
    </row>
    <row r="1374" ht="15.75" hidden="1" customHeight="1">
      <c r="B1374" s="146"/>
      <c r="C1374" s="146">
        <f t="shared" si="5"/>
        <v>10000</v>
      </c>
      <c r="D1374" s="146"/>
      <c r="E1374" s="305"/>
      <c r="F1374" s="383"/>
      <c r="G1374" s="154">
        <f>LEN('Expected Auditing Outcomes'!$F1374)</f>
        <v>0</v>
      </c>
      <c r="H1374" s="154"/>
    </row>
    <row r="1375" ht="15.75" hidden="1" customHeight="1">
      <c r="B1375" s="146"/>
      <c r="C1375" s="146">
        <f t="shared" si="5"/>
        <v>10000</v>
      </c>
      <c r="D1375" s="146"/>
      <c r="E1375" s="305"/>
      <c r="F1375" s="383"/>
      <c r="G1375" s="154">
        <f>LEN('Expected Auditing Outcomes'!$F1375)</f>
        <v>0</v>
      </c>
      <c r="H1375" s="154"/>
    </row>
    <row r="1376" ht="15.75" hidden="1" customHeight="1">
      <c r="B1376" s="146"/>
      <c r="C1376" s="146">
        <f t="shared" si="5"/>
        <v>10000</v>
      </c>
      <c r="D1376" s="146"/>
      <c r="E1376" s="305"/>
      <c r="F1376" s="383"/>
      <c r="G1376" s="154">
        <f>LEN('Expected Auditing Outcomes'!$F1376)</f>
        <v>0</v>
      </c>
      <c r="H1376" s="154"/>
    </row>
    <row r="1377" ht="15.75" hidden="1" customHeight="1">
      <c r="B1377" s="146"/>
      <c r="C1377" s="146">
        <f t="shared" si="5"/>
        <v>10000</v>
      </c>
      <c r="D1377" s="146"/>
      <c r="E1377" s="305"/>
      <c r="F1377" s="383"/>
      <c r="G1377" s="154">
        <f>LEN('Expected Auditing Outcomes'!$F1377)</f>
        <v>0</v>
      </c>
      <c r="H1377" s="154"/>
    </row>
    <row r="1378" ht="15.75" hidden="1" customHeight="1">
      <c r="B1378" s="146"/>
      <c r="C1378" s="146">
        <f t="shared" si="5"/>
        <v>10000</v>
      </c>
      <c r="D1378" s="146"/>
      <c r="E1378" s="305"/>
      <c r="F1378" s="383"/>
      <c r="G1378" s="154">
        <f>LEN('Expected Auditing Outcomes'!$F1378)</f>
        <v>0</v>
      </c>
      <c r="H1378" s="154"/>
    </row>
    <row r="1379" ht="15.75" hidden="1" customHeight="1">
      <c r="B1379" s="146"/>
      <c r="C1379" s="146">
        <f t="shared" si="5"/>
        <v>10000</v>
      </c>
      <c r="D1379" s="146"/>
      <c r="E1379" s="305"/>
      <c r="F1379" s="383"/>
      <c r="G1379" s="154">
        <f>LEN('Expected Auditing Outcomes'!$F1379)</f>
        <v>0</v>
      </c>
      <c r="H1379" s="154"/>
    </row>
    <row r="1380" ht="15.75" hidden="1" customHeight="1">
      <c r="B1380" s="146"/>
      <c r="C1380" s="146">
        <f t="shared" si="5"/>
        <v>10000</v>
      </c>
      <c r="D1380" s="146"/>
      <c r="E1380" s="305"/>
      <c r="F1380" s="383"/>
      <c r="G1380" s="154">
        <f>LEN('Expected Auditing Outcomes'!$F1380)</f>
        <v>0</v>
      </c>
      <c r="H1380" s="154"/>
    </row>
    <row r="1381" ht="15.75" hidden="1" customHeight="1">
      <c r="B1381" s="146"/>
      <c r="C1381" s="146">
        <f t="shared" si="5"/>
        <v>10000</v>
      </c>
      <c r="D1381" s="146"/>
      <c r="E1381" s="305"/>
      <c r="F1381" s="383"/>
      <c r="G1381" s="154">
        <f>LEN('Expected Auditing Outcomes'!$F1381)</f>
        <v>0</v>
      </c>
      <c r="H1381" s="154"/>
    </row>
    <row r="1382" ht="15.75" hidden="1" customHeight="1">
      <c r="B1382" s="146"/>
      <c r="C1382" s="146">
        <f t="shared" si="5"/>
        <v>10000</v>
      </c>
      <c r="D1382" s="146"/>
      <c r="E1382" s="305"/>
      <c r="F1382" s="383"/>
      <c r="G1382" s="154">
        <f>LEN('Expected Auditing Outcomes'!$F1382)</f>
        <v>0</v>
      </c>
      <c r="H1382" s="154"/>
    </row>
    <row r="1383" ht="15.75" hidden="1" customHeight="1">
      <c r="B1383" s="146"/>
      <c r="C1383" s="146">
        <f t="shared" si="5"/>
        <v>10000</v>
      </c>
      <c r="D1383" s="146"/>
      <c r="E1383" s="305"/>
      <c r="F1383" s="383"/>
      <c r="G1383" s="154">
        <f>LEN('Expected Auditing Outcomes'!$F1383)</f>
        <v>0</v>
      </c>
      <c r="H1383" s="154"/>
    </row>
    <row r="1384" ht="15.75" hidden="1" customHeight="1">
      <c r="B1384" s="146"/>
      <c r="C1384" s="146">
        <f t="shared" si="5"/>
        <v>10000</v>
      </c>
      <c r="D1384" s="146"/>
      <c r="E1384" s="305"/>
      <c r="F1384" s="383"/>
      <c r="G1384" s="154">
        <f>LEN('Expected Auditing Outcomes'!$F1384)</f>
        <v>0</v>
      </c>
      <c r="H1384" s="154"/>
    </row>
    <row r="1385" ht="15.75" hidden="1" customHeight="1">
      <c r="B1385" s="146"/>
      <c r="C1385" s="146">
        <f t="shared" si="5"/>
        <v>10000</v>
      </c>
      <c r="D1385" s="146"/>
      <c r="E1385" s="305"/>
      <c r="F1385" s="383"/>
      <c r="G1385" s="154">
        <f>LEN('Expected Auditing Outcomes'!$F1385)</f>
        <v>0</v>
      </c>
      <c r="H1385" s="154"/>
    </row>
    <row r="1386" ht="15.75" hidden="1" customHeight="1">
      <c r="B1386" s="146"/>
      <c r="C1386" s="146">
        <f t="shared" si="5"/>
        <v>10000</v>
      </c>
      <c r="D1386" s="146"/>
      <c r="E1386" s="305"/>
      <c r="F1386" s="383"/>
      <c r="G1386" s="154">
        <f>LEN('Expected Auditing Outcomes'!$F1386)</f>
        <v>0</v>
      </c>
      <c r="H1386" s="154"/>
    </row>
    <row r="1387" ht="15.75" hidden="1" customHeight="1">
      <c r="B1387" s="146"/>
      <c r="C1387" s="146">
        <f t="shared" si="5"/>
        <v>10000</v>
      </c>
      <c r="D1387" s="146"/>
      <c r="E1387" s="305"/>
      <c r="F1387" s="383"/>
      <c r="G1387" s="154">
        <f>LEN('Expected Auditing Outcomes'!$F1387)</f>
        <v>0</v>
      </c>
      <c r="H1387" s="154"/>
    </row>
    <row r="1388" ht="15.75" hidden="1" customHeight="1">
      <c r="B1388" s="146"/>
      <c r="C1388" s="146">
        <f t="shared" si="5"/>
        <v>10000</v>
      </c>
      <c r="D1388" s="146"/>
      <c r="E1388" s="305"/>
      <c r="F1388" s="383"/>
      <c r="G1388" s="154">
        <f>LEN('Expected Auditing Outcomes'!$F1388)</f>
        <v>0</v>
      </c>
      <c r="H1388" s="154"/>
    </row>
    <row r="1389" ht="15.75" hidden="1" customHeight="1">
      <c r="B1389" s="146"/>
      <c r="C1389" s="146">
        <f t="shared" si="5"/>
        <v>10000</v>
      </c>
      <c r="D1389" s="146"/>
      <c r="E1389" s="305"/>
      <c r="F1389" s="383"/>
      <c r="G1389" s="154">
        <f>LEN('Expected Auditing Outcomes'!$F1389)</f>
        <v>0</v>
      </c>
      <c r="H1389" s="154"/>
    </row>
    <row r="1390" ht="15.75" hidden="1" customHeight="1">
      <c r="B1390" s="146"/>
      <c r="C1390" s="146">
        <f t="shared" si="5"/>
        <v>10000</v>
      </c>
      <c r="D1390" s="146"/>
      <c r="E1390" s="305"/>
      <c r="F1390" s="383"/>
      <c r="G1390" s="154">
        <f>LEN('Expected Auditing Outcomes'!$F1390)</f>
        <v>0</v>
      </c>
      <c r="H1390" s="154"/>
    </row>
    <row r="1391" ht="15.75" hidden="1" customHeight="1">
      <c r="B1391" s="146"/>
      <c r="C1391" s="146">
        <f t="shared" si="5"/>
        <v>10000</v>
      </c>
      <c r="D1391" s="146"/>
      <c r="E1391" s="305"/>
      <c r="F1391" s="383"/>
      <c r="G1391" s="154">
        <f>LEN('Expected Auditing Outcomes'!$F1391)</f>
        <v>0</v>
      </c>
      <c r="H1391" s="154"/>
    </row>
    <row r="1392" ht="15.75" hidden="1" customHeight="1">
      <c r="B1392" s="146"/>
      <c r="C1392" s="146">
        <f t="shared" si="5"/>
        <v>10000</v>
      </c>
      <c r="D1392" s="146"/>
      <c r="E1392" s="305"/>
      <c r="F1392" s="383"/>
      <c r="G1392" s="154">
        <f>LEN('Expected Auditing Outcomes'!$F1392)</f>
        <v>0</v>
      </c>
      <c r="H1392" s="154"/>
    </row>
    <row r="1393" ht="15.75" hidden="1" customHeight="1">
      <c r="B1393" s="146"/>
      <c r="C1393" s="146">
        <f t="shared" si="5"/>
        <v>10000</v>
      </c>
      <c r="D1393" s="146"/>
      <c r="E1393" s="305"/>
      <c r="F1393" s="383"/>
      <c r="G1393" s="154">
        <f>LEN('Expected Auditing Outcomes'!$F1393)</f>
        <v>0</v>
      </c>
      <c r="H1393" s="154"/>
    </row>
    <row r="1394" ht="15.75" hidden="1" customHeight="1">
      <c r="B1394" s="146"/>
      <c r="C1394" s="146">
        <f t="shared" si="5"/>
        <v>10000</v>
      </c>
      <c r="D1394" s="146"/>
      <c r="E1394" s="305"/>
      <c r="F1394" s="383"/>
      <c r="G1394" s="154">
        <f>LEN('Expected Auditing Outcomes'!$F1394)</f>
        <v>0</v>
      </c>
      <c r="H1394" s="154"/>
    </row>
    <row r="1395" ht="15.75" hidden="1" customHeight="1">
      <c r="B1395" s="146"/>
      <c r="C1395" s="146">
        <f t="shared" si="5"/>
        <v>10000</v>
      </c>
      <c r="D1395" s="146"/>
      <c r="E1395" s="305"/>
      <c r="F1395" s="383"/>
      <c r="G1395" s="154">
        <f>LEN('Expected Auditing Outcomes'!$F1395)</f>
        <v>0</v>
      </c>
      <c r="H1395" s="154"/>
    </row>
    <row r="1396" ht="15.75" hidden="1" customHeight="1">
      <c r="B1396" s="146"/>
      <c r="C1396" s="146">
        <f t="shared" si="5"/>
        <v>10000</v>
      </c>
      <c r="D1396" s="146"/>
      <c r="E1396" s="305"/>
      <c r="F1396" s="383"/>
      <c r="G1396" s="154">
        <f>LEN('Expected Auditing Outcomes'!$F1396)</f>
        <v>0</v>
      </c>
      <c r="H1396" s="154"/>
    </row>
    <row r="1397" ht="15.75" hidden="1" customHeight="1">
      <c r="B1397" s="146"/>
      <c r="C1397" s="146">
        <f t="shared" si="5"/>
        <v>10000</v>
      </c>
      <c r="D1397" s="146"/>
      <c r="E1397" s="305"/>
      <c r="F1397" s="383"/>
      <c r="G1397" s="154">
        <f>LEN('Expected Auditing Outcomes'!$F1397)</f>
        <v>0</v>
      </c>
      <c r="H1397" s="154"/>
    </row>
    <row r="1398" ht="15.75" hidden="1" customHeight="1">
      <c r="B1398" s="146"/>
      <c r="C1398" s="146">
        <f t="shared" si="5"/>
        <v>10000</v>
      </c>
      <c r="D1398" s="146"/>
      <c r="E1398" s="305"/>
      <c r="F1398" s="383"/>
      <c r="G1398" s="154">
        <f>LEN('Expected Auditing Outcomes'!$F1398)</f>
        <v>0</v>
      </c>
      <c r="H1398" s="154"/>
    </row>
    <row r="1399" ht="15.75" hidden="1" customHeight="1">
      <c r="B1399" s="146"/>
      <c r="C1399" s="146">
        <f t="shared" si="5"/>
        <v>10000</v>
      </c>
      <c r="D1399" s="146"/>
      <c r="E1399" s="305"/>
      <c r="F1399" s="383"/>
      <c r="G1399" s="154">
        <f>LEN('Expected Auditing Outcomes'!$F1399)</f>
        <v>0</v>
      </c>
      <c r="H1399" s="154"/>
    </row>
    <row r="1400" ht="15.75" hidden="1" customHeight="1">
      <c r="B1400" s="146"/>
      <c r="C1400" s="146">
        <f t="shared" si="5"/>
        <v>10000</v>
      </c>
      <c r="D1400" s="146"/>
      <c r="E1400" s="305"/>
      <c r="F1400" s="383"/>
      <c r="G1400" s="154">
        <f>LEN('Expected Auditing Outcomes'!$F1400)</f>
        <v>0</v>
      </c>
      <c r="H1400" s="154"/>
    </row>
    <row r="1401" ht="15.75" hidden="1" customHeight="1">
      <c r="B1401" s="146"/>
      <c r="C1401" s="146">
        <f t="shared" si="5"/>
        <v>10000</v>
      </c>
      <c r="D1401" s="146"/>
      <c r="E1401" s="305"/>
      <c r="F1401" s="383"/>
      <c r="G1401" s="154">
        <f>LEN('Expected Auditing Outcomes'!$F1401)</f>
        <v>0</v>
      </c>
      <c r="H1401" s="154"/>
    </row>
    <row r="1402" ht="15.75" hidden="1" customHeight="1">
      <c r="B1402" s="146"/>
      <c r="C1402" s="146">
        <f t="shared" si="5"/>
        <v>10000</v>
      </c>
      <c r="D1402" s="146"/>
      <c r="E1402" s="305"/>
      <c r="F1402" s="383"/>
      <c r="G1402" s="154">
        <f>LEN('Expected Auditing Outcomes'!$F1402)</f>
        <v>0</v>
      </c>
      <c r="H1402" s="154"/>
    </row>
    <row r="1403" ht="15.75" hidden="1" customHeight="1">
      <c r="B1403" s="146"/>
      <c r="C1403" s="146">
        <f t="shared" si="5"/>
        <v>10000</v>
      </c>
      <c r="D1403" s="146"/>
      <c r="E1403" s="305"/>
      <c r="F1403" s="383"/>
      <c r="G1403" s="154">
        <f>LEN('Expected Auditing Outcomes'!$F1403)</f>
        <v>0</v>
      </c>
      <c r="H1403" s="154"/>
    </row>
    <row r="1404" ht="15.75" hidden="1" customHeight="1">
      <c r="B1404" s="146"/>
      <c r="C1404" s="146">
        <f t="shared" si="5"/>
        <v>10000</v>
      </c>
      <c r="D1404" s="146"/>
      <c r="E1404" s="305"/>
      <c r="F1404" s="383"/>
      <c r="G1404" s="154">
        <f>LEN('Expected Auditing Outcomes'!$F1404)</f>
        <v>0</v>
      </c>
      <c r="H1404" s="154"/>
    </row>
    <row r="1405" ht="15.75" hidden="1" customHeight="1">
      <c r="B1405" s="146"/>
      <c r="C1405" s="146">
        <f t="shared" si="5"/>
        <v>10000</v>
      </c>
      <c r="D1405" s="146"/>
      <c r="E1405" s="305"/>
      <c r="F1405" s="383"/>
      <c r="G1405" s="154">
        <f>LEN('Expected Auditing Outcomes'!$F1405)</f>
        <v>0</v>
      </c>
      <c r="H1405" s="154"/>
    </row>
    <row r="1406" ht="15.75" hidden="1" customHeight="1">
      <c r="B1406" s="146"/>
      <c r="C1406" s="146">
        <f t="shared" si="5"/>
        <v>10000</v>
      </c>
      <c r="D1406" s="146"/>
      <c r="E1406" s="305"/>
      <c r="F1406" s="383"/>
      <c r="G1406" s="154">
        <f>LEN('Expected Auditing Outcomes'!$F1406)</f>
        <v>0</v>
      </c>
      <c r="H1406" s="154"/>
    </row>
    <row r="1407" ht="15.75" hidden="1" customHeight="1">
      <c r="B1407" s="146"/>
      <c r="C1407" s="146">
        <f t="shared" si="5"/>
        <v>10000</v>
      </c>
      <c r="D1407" s="146"/>
      <c r="E1407" s="305"/>
      <c r="F1407" s="383"/>
      <c r="G1407" s="154">
        <f>LEN('Expected Auditing Outcomes'!$F1407)</f>
        <v>0</v>
      </c>
      <c r="H1407" s="154"/>
    </row>
    <row r="1408" ht="15.75" hidden="1" customHeight="1">
      <c r="B1408" s="146"/>
      <c r="C1408" s="146">
        <f t="shared" si="5"/>
        <v>10000</v>
      </c>
      <c r="D1408" s="146"/>
      <c r="E1408" s="305"/>
      <c r="F1408" s="383"/>
      <c r="G1408" s="154">
        <f>LEN('Expected Auditing Outcomes'!$F1408)</f>
        <v>0</v>
      </c>
      <c r="H1408" s="154"/>
    </row>
    <row r="1409" ht="15.75" hidden="1" customHeight="1">
      <c r="B1409" s="146"/>
      <c r="C1409" s="146">
        <f t="shared" si="5"/>
        <v>10000</v>
      </c>
      <c r="D1409" s="146"/>
      <c r="E1409" s="305"/>
      <c r="F1409" s="383"/>
      <c r="G1409" s="154">
        <f>LEN('Expected Auditing Outcomes'!$F1409)</f>
        <v>0</v>
      </c>
      <c r="H1409" s="154"/>
    </row>
    <row r="1410" ht="15.75" hidden="1" customHeight="1">
      <c r="B1410" s="146"/>
      <c r="C1410" s="146">
        <f t="shared" si="5"/>
        <v>10000</v>
      </c>
      <c r="D1410" s="146"/>
      <c r="E1410" s="305"/>
      <c r="F1410" s="383"/>
      <c r="G1410" s="154">
        <f>LEN('Expected Auditing Outcomes'!$F1410)</f>
        <v>0</v>
      </c>
      <c r="H1410" s="154"/>
    </row>
    <row r="1411" ht="15.75" hidden="1" customHeight="1">
      <c r="B1411" s="146"/>
      <c r="C1411" s="146">
        <f t="shared" si="5"/>
        <v>10000</v>
      </c>
      <c r="D1411" s="146"/>
      <c r="E1411" s="305"/>
      <c r="F1411" s="383"/>
      <c r="G1411" s="154">
        <f>LEN('Expected Auditing Outcomes'!$F1411)</f>
        <v>0</v>
      </c>
      <c r="H1411" s="154"/>
    </row>
    <row r="1412" ht="15.75" hidden="1" customHeight="1">
      <c r="B1412" s="146"/>
      <c r="C1412" s="146">
        <f t="shared" si="5"/>
        <v>10000</v>
      </c>
      <c r="D1412" s="146"/>
      <c r="E1412" s="305"/>
      <c r="F1412" s="383"/>
      <c r="G1412" s="154">
        <f>LEN('Expected Auditing Outcomes'!$F1412)</f>
        <v>0</v>
      </c>
      <c r="H1412" s="154"/>
    </row>
    <row r="1413" ht="15.75" hidden="1" customHeight="1">
      <c r="B1413" s="146"/>
      <c r="C1413" s="146">
        <f t="shared" si="5"/>
        <v>10000</v>
      </c>
      <c r="D1413" s="146"/>
      <c r="E1413" s="305"/>
      <c r="F1413" s="383"/>
      <c r="G1413" s="154">
        <f>LEN('Expected Auditing Outcomes'!$F1413)</f>
        <v>0</v>
      </c>
      <c r="H1413" s="154"/>
    </row>
    <row r="1414" ht="15.75" hidden="1" customHeight="1">
      <c r="B1414" s="146"/>
      <c r="C1414" s="146">
        <f t="shared" si="5"/>
        <v>10000</v>
      </c>
      <c r="D1414" s="146"/>
      <c r="E1414" s="305"/>
      <c r="F1414" s="383"/>
      <c r="G1414" s="154">
        <f>LEN('Expected Auditing Outcomes'!$F1414)</f>
        <v>0</v>
      </c>
      <c r="H1414" s="154"/>
    </row>
    <row r="1415" ht="15.75" hidden="1" customHeight="1">
      <c r="B1415" s="146"/>
      <c r="C1415" s="146">
        <f t="shared" si="5"/>
        <v>10000</v>
      </c>
      <c r="D1415" s="146"/>
      <c r="E1415" s="305"/>
      <c r="F1415" s="383"/>
      <c r="G1415" s="154">
        <f>LEN('Expected Auditing Outcomes'!$F1415)</f>
        <v>0</v>
      </c>
      <c r="H1415" s="154"/>
    </row>
    <row r="1416" ht="15.75" hidden="1" customHeight="1">
      <c r="B1416" s="146"/>
      <c r="C1416" s="146">
        <f t="shared" si="5"/>
        <v>10000</v>
      </c>
      <c r="D1416" s="146"/>
      <c r="E1416" s="305"/>
      <c r="F1416" s="383"/>
      <c r="G1416" s="154">
        <f>LEN('Expected Auditing Outcomes'!$F1416)</f>
        <v>0</v>
      </c>
      <c r="H1416" s="154"/>
    </row>
    <row r="1417" ht="15.75" hidden="1" customHeight="1">
      <c r="B1417" s="146"/>
      <c r="C1417" s="146">
        <f t="shared" si="5"/>
        <v>10000</v>
      </c>
      <c r="D1417" s="146"/>
      <c r="E1417" s="305"/>
      <c r="F1417" s="383"/>
      <c r="G1417" s="154">
        <f>LEN('Expected Auditing Outcomes'!$F1417)</f>
        <v>0</v>
      </c>
      <c r="H1417" s="154"/>
    </row>
    <row r="1418" ht="15.75" hidden="1" customHeight="1">
      <c r="B1418" s="146"/>
      <c r="C1418" s="146">
        <f t="shared" si="5"/>
        <v>10000</v>
      </c>
      <c r="D1418" s="146"/>
      <c r="E1418" s="305"/>
      <c r="F1418" s="383"/>
      <c r="G1418" s="154">
        <f>LEN('Expected Auditing Outcomes'!$F1418)</f>
        <v>0</v>
      </c>
      <c r="H1418" s="154"/>
    </row>
    <row r="1419" ht="15.75" hidden="1" customHeight="1">
      <c r="B1419" s="146"/>
      <c r="C1419" s="146">
        <f t="shared" si="5"/>
        <v>10000</v>
      </c>
      <c r="D1419" s="146"/>
      <c r="E1419" s="305"/>
      <c r="F1419" s="383"/>
      <c r="G1419" s="154">
        <f>LEN('Expected Auditing Outcomes'!$F1419)</f>
        <v>0</v>
      </c>
      <c r="H1419" s="154"/>
    </row>
    <row r="1420" ht="15.75" hidden="1" customHeight="1">
      <c r="B1420" s="146"/>
      <c r="C1420" s="146">
        <f t="shared" si="5"/>
        <v>10000</v>
      </c>
      <c r="D1420" s="146"/>
      <c r="E1420" s="305"/>
      <c r="F1420" s="383"/>
      <c r="G1420" s="154">
        <f>LEN('Expected Auditing Outcomes'!$F1420)</f>
        <v>0</v>
      </c>
      <c r="H1420" s="154"/>
    </row>
    <row r="1421" ht="15.75" hidden="1" customHeight="1">
      <c r="B1421" s="146"/>
      <c r="C1421" s="146">
        <f t="shared" si="5"/>
        <v>10000</v>
      </c>
      <c r="D1421" s="146"/>
      <c r="E1421" s="305"/>
      <c r="F1421" s="383"/>
      <c r="G1421" s="154">
        <f>LEN('Expected Auditing Outcomes'!$F1421)</f>
        <v>0</v>
      </c>
      <c r="H1421" s="154"/>
    </row>
    <row r="1422" ht="15.75" hidden="1" customHeight="1">
      <c r="B1422" s="146"/>
      <c r="C1422" s="146">
        <f t="shared" si="5"/>
        <v>10000</v>
      </c>
      <c r="D1422" s="146"/>
      <c r="E1422" s="305"/>
      <c r="F1422" s="383"/>
      <c r="G1422" s="154">
        <f>LEN('Expected Auditing Outcomes'!$F1422)</f>
        <v>0</v>
      </c>
      <c r="H1422" s="154"/>
    </row>
    <row r="1423" ht="15.75" hidden="1" customHeight="1">
      <c r="B1423" s="146"/>
      <c r="C1423" s="146">
        <f t="shared" si="5"/>
        <v>10000</v>
      </c>
      <c r="D1423" s="146"/>
      <c r="E1423" s="305"/>
      <c r="F1423" s="383"/>
      <c r="G1423" s="154">
        <f>LEN('Expected Auditing Outcomes'!$F1423)</f>
        <v>0</v>
      </c>
      <c r="H1423" s="154"/>
    </row>
    <row r="1424" ht="15.75" hidden="1" customHeight="1">
      <c r="B1424" s="146"/>
      <c r="C1424" s="146">
        <f t="shared" si="5"/>
        <v>10000</v>
      </c>
      <c r="D1424" s="146"/>
      <c r="E1424" s="305"/>
      <c r="F1424" s="383"/>
      <c r="G1424" s="154">
        <f>LEN('Expected Auditing Outcomes'!$F1424)</f>
        <v>0</v>
      </c>
      <c r="H1424" s="154"/>
    </row>
    <row r="1425" ht="15.75" hidden="1" customHeight="1">
      <c r="B1425" s="146"/>
      <c r="C1425" s="146">
        <f t="shared" si="5"/>
        <v>10000</v>
      </c>
      <c r="D1425" s="146"/>
      <c r="E1425" s="305"/>
      <c r="F1425" s="383"/>
      <c r="G1425" s="154">
        <f>LEN('Expected Auditing Outcomes'!$F1425)</f>
        <v>0</v>
      </c>
      <c r="H1425" s="154"/>
    </row>
    <row r="1426" ht="15.75" hidden="1" customHeight="1">
      <c r="B1426" s="146"/>
      <c r="C1426" s="146">
        <f t="shared" si="5"/>
        <v>10000</v>
      </c>
      <c r="D1426" s="146"/>
      <c r="E1426" s="305"/>
      <c r="F1426" s="383"/>
      <c r="G1426" s="154">
        <f>LEN('Expected Auditing Outcomes'!$F1426)</f>
        <v>0</v>
      </c>
      <c r="H1426" s="154"/>
    </row>
    <row r="1427" ht="15.75" hidden="1" customHeight="1">
      <c r="B1427" s="146"/>
      <c r="C1427" s="146">
        <f t="shared" si="5"/>
        <v>10000</v>
      </c>
      <c r="D1427" s="146"/>
      <c r="E1427" s="305"/>
      <c r="F1427" s="383"/>
      <c r="G1427" s="154">
        <f>LEN('Expected Auditing Outcomes'!$F1427)</f>
        <v>0</v>
      </c>
      <c r="H1427" s="154"/>
    </row>
    <row r="1428" ht="15.75" hidden="1" customHeight="1">
      <c r="B1428" s="146"/>
      <c r="C1428" s="146">
        <f t="shared" si="5"/>
        <v>10000</v>
      </c>
      <c r="D1428" s="146"/>
      <c r="E1428" s="305"/>
      <c r="F1428" s="383"/>
      <c r="G1428" s="154">
        <f>LEN('Expected Auditing Outcomes'!$F1428)</f>
        <v>0</v>
      </c>
      <c r="H1428" s="154"/>
    </row>
    <row r="1429" ht="15.75" hidden="1" customHeight="1">
      <c r="B1429" s="146"/>
      <c r="C1429" s="146">
        <f t="shared" si="5"/>
        <v>10000</v>
      </c>
      <c r="D1429" s="146"/>
      <c r="E1429" s="305"/>
      <c r="F1429" s="383"/>
      <c r="G1429" s="154">
        <f>LEN('Expected Auditing Outcomes'!$F1429)</f>
        <v>0</v>
      </c>
      <c r="H1429" s="154"/>
    </row>
    <row r="1430" ht="15.75" hidden="1" customHeight="1">
      <c r="B1430" s="146"/>
      <c r="C1430" s="146">
        <f t="shared" si="5"/>
        <v>10000</v>
      </c>
      <c r="D1430" s="146"/>
      <c r="E1430" s="305"/>
      <c r="F1430" s="383"/>
      <c r="G1430" s="154">
        <f>LEN('Expected Auditing Outcomes'!$F1430)</f>
        <v>0</v>
      </c>
      <c r="H1430" s="154"/>
    </row>
    <row r="1431" ht="15.75" hidden="1" customHeight="1">
      <c r="B1431" s="146"/>
      <c r="C1431" s="146">
        <f t="shared" si="5"/>
        <v>10000</v>
      </c>
      <c r="D1431" s="146"/>
      <c r="E1431" s="305"/>
      <c r="F1431" s="383"/>
      <c r="G1431" s="154">
        <f>LEN('Expected Auditing Outcomes'!$F1431)</f>
        <v>0</v>
      </c>
      <c r="H1431" s="154"/>
    </row>
    <row r="1432" ht="15.75" hidden="1" customHeight="1">
      <c r="B1432" s="146"/>
      <c r="C1432" s="146">
        <f t="shared" si="5"/>
        <v>10000</v>
      </c>
      <c r="D1432" s="146"/>
      <c r="E1432" s="305"/>
      <c r="F1432" s="383"/>
      <c r="G1432" s="154">
        <f>LEN('Expected Auditing Outcomes'!$F1432)</f>
        <v>0</v>
      </c>
      <c r="H1432" s="154"/>
    </row>
    <row r="1433" ht="15.75" hidden="1" customHeight="1">
      <c r="B1433" s="146"/>
      <c r="C1433" s="146">
        <f t="shared" si="5"/>
        <v>10000</v>
      </c>
      <c r="D1433" s="146"/>
      <c r="E1433" s="305"/>
      <c r="F1433" s="383"/>
      <c r="G1433" s="154">
        <f>LEN('Expected Auditing Outcomes'!$F1433)</f>
        <v>0</v>
      </c>
      <c r="H1433" s="154"/>
    </row>
    <row r="1434" ht="15.75" hidden="1" customHeight="1">
      <c r="B1434" s="146"/>
      <c r="C1434" s="146">
        <f t="shared" si="5"/>
        <v>10000</v>
      </c>
      <c r="D1434" s="146"/>
      <c r="E1434" s="305"/>
      <c r="F1434" s="383"/>
      <c r="G1434" s="154">
        <f>LEN('Expected Auditing Outcomes'!$F1434)</f>
        <v>0</v>
      </c>
      <c r="H1434" s="154"/>
    </row>
    <row r="1435" ht="15.75" hidden="1" customHeight="1">
      <c r="B1435" s="146"/>
      <c r="C1435" s="146">
        <f t="shared" si="5"/>
        <v>10000</v>
      </c>
      <c r="D1435" s="146"/>
      <c r="E1435" s="305"/>
      <c r="F1435" s="383"/>
      <c r="G1435" s="154">
        <f>LEN('Expected Auditing Outcomes'!$F1435)</f>
        <v>0</v>
      </c>
      <c r="H1435" s="154"/>
    </row>
    <row r="1436" ht="15.75" hidden="1" customHeight="1">
      <c r="B1436" s="146"/>
      <c r="C1436" s="146">
        <f t="shared" si="5"/>
        <v>10000</v>
      </c>
      <c r="D1436" s="146"/>
      <c r="E1436" s="305"/>
      <c r="F1436" s="383"/>
      <c r="G1436" s="154">
        <f>LEN('Expected Auditing Outcomes'!$F1436)</f>
        <v>0</v>
      </c>
      <c r="H1436" s="154"/>
    </row>
    <row r="1437" ht="15.75" hidden="1" customHeight="1">
      <c r="B1437" s="146"/>
      <c r="C1437" s="146">
        <f t="shared" si="5"/>
        <v>10000</v>
      </c>
      <c r="D1437" s="146"/>
      <c r="E1437" s="305"/>
      <c r="F1437" s="383"/>
      <c r="G1437" s="154">
        <f>LEN('Expected Auditing Outcomes'!$F1437)</f>
        <v>0</v>
      </c>
      <c r="H1437" s="154"/>
    </row>
    <row r="1438" ht="15.75" hidden="1" customHeight="1">
      <c r="B1438" s="146"/>
      <c r="C1438" s="146">
        <f t="shared" si="5"/>
        <v>10000</v>
      </c>
      <c r="D1438" s="146"/>
      <c r="E1438" s="305"/>
      <c r="F1438" s="383"/>
      <c r="G1438" s="154">
        <f>LEN('Expected Auditing Outcomes'!$F1438)</f>
        <v>0</v>
      </c>
      <c r="H1438" s="154"/>
    </row>
    <row r="1439" ht="15.75" hidden="1" customHeight="1">
      <c r="B1439" s="146"/>
      <c r="C1439" s="146">
        <f t="shared" si="5"/>
        <v>10000</v>
      </c>
      <c r="D1439" s="146"/>
      <c r="E1439" s="305"/>
      <c r="F1439" s="383"/>
      <c r="G1439" s="154">
        <f>LEN('Expected Auditing Outcomes'!$F1439)</f>
        <v>0</v>
      </c>
      <c r="H1439" s="154"/>
    </row>
    <row r="1440" ht="15.75" hidden="1" customHeight="1">
      <c r="B1440" s="146"/>
      <c r="C1440" s="146">
        <f t="shared" si="5"/>
        <v>10000</v>
      </c>
      <c r="D1440" s="146"/>
      <c r="E1440" s="305"/>
      <c r="F1440" s="383"/>
      <c r="G1440" s="154">
        <f>LEN('Expected Auditing Outcomes'!$F1440)</f>
        <v>0</v>
      </c>
      <c r="H1440" s="154"/>
    </row>
    <row r="1441" ht="15.75" hidden="1" customHeight="1">
      <c r="B1441" s="146"/>
      <c r="C1441" s="146">
        <f t="shared" si="5"/>
        <v>10000</v>
      </c>
      <c r="D1441" s="146"/>
      <c r="E1441" s="305"/>
      <c r="F1441" s="383"/>
      <c r="G1441" s="154">
        <f>LEN('Expected Auditing Outcomes'!$F1441)</f>
        <v>0</v>
      </c>
      <c r="H1441" s="154"/>
    </row>
    <row r="1442" ht="15.75" hidden="1" customHeight="1">
      <c r="B1442" s="146"/>
      <c r="C1442" s="146">
        <f t="shared" si="5"/>
        <v>10000</v>
      </c>
      <c r="D1442" s="146"/>
      <c r="E1442" s="305"/>
      <c r="F1442" s="383"/>
      <c r="G1442" s="154">
        <f>LEN('Expected Auditing Outcomes'!$F1442)</f>
        <v>0</v>
      </c>
      <c r="H1442" s="154"/>
    </row>
    <row r="1443" ht="15.75" hidden="1" customHeight="1">
      <c r="B1443" s="146"/>
      <c r="C1443" s="146">
        <f t="shared" si="5"/>
        <v>10000</v>
      </c>
      <c r="D1443" s="146"/>
      <c r="E1443" s="305"/>
      <c r="F1443" s="383"/>
      <c r="G1443" s="154">
        <f>LEN('Expected Auditing Outcomes'!$F1443)</f>
        <v>0</v>
      </c>
      <c r="H1443" s="154"/>
    </row>
    <row r="1444" ht="15.75" hidden="1" customHeight="1">
      <c r="B1444" s="146"/>
      <c r="C1444" s="146">
        <f t="shared" si="5"/>
        <v>10000</v>
      </c>
      <c r="D1444" s="146"/>
      <c r="E1444" s="305"/>
      <c r="F1444" s="383"/>
      <c r="G1444" s="154">
        <f>LEN('Expected Auditing Outcomes'!$F1444)</f>
        <v>0</v>
      </c>
      <c r="H1444" s="154"/>
    </row>
    <row r="1445" ht="15.75" hidden="1" customHeight="1">
      <c r="B1445" s="146"/>
      <c r="C1445" s="146">
        <f t="shared" si="5"/>
        <v>10000</v>
      </c>
      <c r="D1445" s="146"/>
      <c r="E1445" s="305"/>
      <c r="F1445" s="383"/>
      <c r="G1445" s="154">
        <f>LEN('Expected Auditing Outcomes'!$F1445)</f>
        <v>0</v>
      </c>
      <c r="H1445" s="154"/>
    </row>
    <row r="1446" ht="15.75" hidden="1" customHeight="1">
      <c r="B1446" s="146"/>
      <c r="C1446" s="146">
        <f t="shared" si="5"/>
        <v>10000</v>
      </c>
      <c r="D1446" s="146"/>
      <c r="E1446" s="305"/>
      <c r="F1446" s="383"/>
      <c r="G1446" s="154">
        <f>LEN('Expected Auditing Outcomes'!$F1446)</f>
        <v>0</v>
      </c>
      <c r="H1446" s="154"/>
    </row>
    <row r="1447" ht="15.75" hidden="1" customHeight="1">
      <c r="B1447" s="146"/>
      <c r="C1447" s="146">
        <f t="shared" si="5"/>
        <v>10000</v>
      </c>
      <c r="D1447" s="146"/>
      <c r="E1447" s="305"/>
      <c r="F1447" s="383"/>
      <c r="G1447" s="154">
        <f>LEN('Expected Auditing Outcomes'!$F1447)</f>
        <v>0</v>
      </c>
      <c r="H1447" s="154"/>
    </row>
    <row r="1448" ht="15.75" hidden="1" customHeight="1">
      <c r="B1448" s="146"/>
      <c r="C1448" s="146">
        <f t="shared" si="5"/>
        <v>10000</v>
      </c>
      <c r="D1448" s="146"/>
      <c r="E1448" s="305"/>
      <c r="F1448" s="383"/>
      <c r="G1448" s="154">
        <f>LEN('Expected Auditing Outcomes'!$F1448)</f>
        <v>0</v>
      </c>
      <c r="H1448" s="154"/>
    </row>
    <row r="1449" ht="15.75" hidden="1" customHeight="1">
      <c r="B1449" s="146"/>
      <c r="C1449" s="146">
        <f t="shared" si="5"/>
        <v>10000</v>
      </c>
      <c r="D1449" s="146"/>
      <c r="E1449" s="305"/>
      <c r="F1449" s="383"/>
      <c r="G1449" s="154">
        <f>LEN('Expected Auditing Outcomes'!$F1449)</f>
        <v>0</v>
      </c>
      <c r="H1449" s="154"/>
    </row>
    <row r="1450" ht="15.75" hidden="1" customHeight="1">
      <c r="B1450" s="146"/>
      <c r="C1450" s="146">
        <f t="shared" si="5"/>
        <v>10000</v>
      </c>
      <c r="D1450" s="146"/>
      <c r="E1450" s="305"/>
      <c r="F1450" s="383"/>
      <c r="G1450" s="154">
        <f>LEN('Expected Auditing Outcomes'!$F1450)</f>
        <v>0</v>
      </c>
      <c r="H1450" s="154"/>
    </row>
    <row r="1451" ht="15.75" hidden="1" customHeight="1">
      <c r="B1451" s="146"/>
      <c r="C1451" s="146">
        <f t="shared" si="5"/>
        <v>10000</v>
      </c>
      <c r="D1451" s="146"/>
      <c r="E1451" s="305"/>
      <c r="F1451" s="383"/>
      <c r="G1451" s="154">
        <f>LEN('Expected Auditing Outcomes'!$F1451)</f>
        <v>0</v>
      </c>
      <c r="H1451" s="154"/>
    </row>
    <row r="1452" ht="15.75" hidden="1" customHeight="1">
      <c r="B1452" s="146"/>
      <c r="C1452" s="146">
        <f t="shared" si="5"/>
        <v>10000</v>
      </c>
      <c r="D1452" s="146"/>
      <c r="E1452" s="305"/>
      <c r="F1452" s="383"/>
      <c r="G1452" s="154">
        <f>LEN('Expected Auditing Outcomes'!$F1452)</f>
        <v>0</v>
      </c>
      <c r="H1452" s="154"/>
    </row>
    <row r="1453" ht="15.75" hidden="1" customHeight="1">
      <c r="B1453" s="146"/>
      <c r="C1453" s="146">
        <f t="shared" si="5"/>
        <v>10000</v>
      </c>
      <c r="D1453" s="146"/>
      <c r="E1453" s="305"/>
      <c r="F1453" s="383"/>
      <c r="G1453" s="154">
        <f>LEN('Expected Auditing Outcomes'!$F1453)</f>
        <v>0</v>
      </c>
      <c r="H1453" s="154"/>
    </row>
    <row r="1454" ht="15.75" hidden="1" customHeight="1">
      <c r="B1454" s="146"/>
      <c r="C1454" s="146">
        <f t="shared" si="5"/>
        <v>10000</v>
      </c>
      <c r="D1454" s="146"/>
      <c r="E1454" s="305"/>
      <c r="F1454" s="383"/>
      <c r="G1454" s="154">
        <f>LEN('Expected Auditing Outcomes'!$F1454)</f>
        <v>0</v>
      </c>
      <c r="H1454" s="154"/>
    </row>
    <row r="1455" ht="15.75" hidden="1" customHeight="1">
      <c r="B1455" s="146"/>
      <c r="C1455" s="146">
        <f t="shared" si="5"/>
        <v>10000</v>
      </c>
      <c r="D1455" s="146"/>
      <c r="E1455" s="305"/>
      <c r="F1455" s="383"/>
      <c r="G1455" s="154">
        <f>LEN('Expected Auditing Outcomes'!$F1455)</f>
        <v>0</v>
      </c>
      <c r="H1455" s="154"/>
    </row>
    <row r="1456" ht="15.75" hidden="1" customHeight="1">
      <c r="B1456" s="146"/>
      <c r="C1456" s="146">
        <f t="shared" si="5"/>
        <v>10000</v>
      </c>
      <c r="D1456" s="146"/>
      <c r="E1456" s="305"/>
      <c r="F1456" s="383"/>
      <c r="G1456" s="154">
        <f>LEN('Expected Auditing Outcomes'!$F1456)</f>
        <v>0</v>
      </c>
      <c r="H1456" s="154"/>
    </row>
    <row r="1457" ht="15.75" hidden="1" customHeight="1">
      <c r="B1457" s="146"/>
      <c r="C1457" s="146">
        <f t="shared" si="5"/>
        <v>10000</v>
      </c>
      <c r="D1457" s="146"/>
      <c r="E1457" s="305"/>
      <c r="F1457" s="383"/>
      <c r="G1457" s="154">
        <f>LEN('Expected Auditing Outcomes'!$F1457)</f>
        <v>0</v>
      </c>
      <c r="H1457" s="154"/>
    </row>
    <row r="1458" ht="15.75" hidden="1" customHeight="1">
      <c r="B1458" s="146"/>
      <c r="C1458" s="146">
        <f t="shared" si="5"/>
        <v>10000</v>
      </c>
      <c r="D1458" s="146"/>
      <c r="E1458" s="305"/>
      <c r="F1458" s="383"/>
      <c r="G1458" s="154">
        <f>LEN('Expected Auditing Outcomes'!$F1458)</f>
        <v>0</v>
      </c>
      <c r="H1458" s="154"/>
    </row>
    <row r="1459" ht="15.75" hidden="1" customHeight="1">
      <c r="B1459" s="146"/>
      <c r="C1459" s="146">
        <f t="shared" si="5"/>
        <v>10000</v>
      </c>
      <c r="D1459" s="146"/>
      <c r="E1459" s="305"/>
      <c r="F1459" s="383"/>
      <c r="G1459" s="154">
        <f>LEN('Expected Auditing Outcomes'!$F1459)</f>
        <v>0</v>
      </c>
      <c r="H1459" s="154"/>
    </row>
    <row r="1460" ht="15.75" hidden="1" customHeight="1">
      <c r="B1460" s="146"/>
      <c r="C1460" s="146">
        <f t="shared" si="5"/>
        <v>10000</v>
      </c>
      <c r="D1460" s="146"/>
      <c r="E1460" s="305"/>
      <c r="F1460" s="383"/>
      <c r="G1460" s="154">
        <f>LEN('Expected Auditing Outcomes'!$F1460)</f>
        <v>0</v>
      </c>
      <c r="H1460" s="154"/>
    </row>
    <row r="1461" ht="15.75" hidden="1" customHeight="1">
      <c r="B1461" s="146"/>
      <c r="C1461" s="146">
        <f t="shared" si="5"/>
        <v>10000</v>
      </c>
      <c r="D1461" s="146"/>
      <c r="E1461" s="305"/>
      <c r="F1461" s="383"/>
      <c r="G1461" s="154">
        <f>LEN('Expected Auditing Outcomes'!$F1461)</f>
        <v>0</v>
      </c>
      <c r="H1461" s="154"/>
    </row>
    <row r="1462" ht="15.75" hidden="1" customHeight="1">
      <c r="B1462" s="146"/>
      <c r="C1462" s="146">
        <f t="shared" si="5"/>
        <v>10000</v>
      </c>
      <c r="D1462" s="146"/>
      <c r="E1462" s="305"/>
      <c r="F1462" s="383"/>
      <c r="G1462" s="154">
        <f>LEN('Expected Auditing Outcomes'!$F1462)</f>
        <v>0</v>
      </c>
      <c r="H1462" s="154"/>
    </row>
    <row r="1463" ht="15.75" hidden="1" customHeight="1">
      <c r="B1463" s="146"/>
      <c r="C1463" s="146">
        <f t="shared" si="5"/>
        <v>10000</v>
      </c>
      <c r="D1463" s="146"/>
      <c r="E1463" s="305"/>
      <c r="F1463" s="383"/>
      <c r="G1463" s="154">
        <f>LEN('Expected Auditing Outcomes'!$F1463)</f>
        <v>0</v>
      </c>
      <c r="H1463" s="154"/>
    </row>
    <row r="1464" ht="15.75" hidden="1" customHeight="1">
      <c r="B1464" s="146"/>
      <c r="C1464" s="146">
        <f t="shared" si="5"/>
        <v>10000</v>
      </c>
      <c r="D1464" s="146"/>
      <c r="E1464" s="305"/>
      <c r="F1464" s="383"/>
      <c r="G1464" s="154">
        <f>LEN('Expected Auditing Outcomes'!$F1464)</f>
        <v>0</v>
      </c>
      <c r="H1464" s="154"/>
    </row>
    <row r="1465" ht="15.75" hidden="1" customHeight="1">
      <c r="B1465" s="146"/>
      <c r="C1465" s="146">
        <f t="shared" si="5"/>
        <v>10000</v>
      </c>
      <c r="D1465" s="146"/>
      <c r="E1465" s="305"/>
      <c r="F1465" s="383"/>
      <c r="G1465" s="154">
        <f>LEN('Expected Auditing Outcomes'!$F1465)</f>
        <v>0</v>
      </c>
      <c r="H1465" s="154"/>
    </row>
    <row r="1466" ht="15.75" hidden="1" customHeight="1">
      <c r="B1466" s="146"/>
      <c r="C1466" s="146">
        <f t="shared" si="5"/>
        <v>10000</v>
      </c>
      <c r="D1466" s="146"/>
      <c r="E1466" s="305"/>
      <c r="F1466" s="383"/>
      <c r="G1466" s="154">
        <f>LEN('Expected Auditing Outcomes'!$F1466)</f>
        <v>0</v>
      </c>
      <c r="H1466" s="154"/>
    </row>
    <row r="1467" ht="15.75" hidden="1" customHeight="1">
      <c r="B1467" s="146"/>
      <c r="C1467" s="146">
        <f t="shared" si="5"/>
        <v>10000</v>
      </c>
      <c r="D1467" s="146"/>
      <c r="E1467" s="305"/>
      <c r="F1467" s="383"/>
      <c r="G1467" s="154">
        <f>LEN('Expected Auditing Outcomes'!$F1467)</f>
        <v>0</v>
      </c>
      <c r="H1467" s="154"/>
    </row>
    <row r="1468" ht="15.75" hidden="1" customHeight="1">
      <c r="B1468" s="146"/>
      <c r="C1468" s="146">
        <f t="shared" si="5"/>
        <v>10000</v>
      </c>
      <c r="D1468" s="146"/>
      <c r="E1468" s="305"/>
      <c r="F1468" s="383"/>
      <c r="G1468" s="154">
        <f>LEN('Expected Auditing Outcomes'!$F1468)</f>
        <v>0</v>
      </c>
      <c r="H1468" s="154"/>
    </row>
    <row r="1469" ht="15.75" hidden="1" customHeight="1">
      <c r="B1469" s="146"/>
      <c r="C1469" s="146">
        <f t="shared" si="5"/>
        <v>10000</v>
      </c>
      <c r="D1469" s="146"/>
      <c r="E1469" s="305"/>
      <c r="F1469" s="383"/>
      <c r="G1469" s="154">
        <f>LEN('Expected Auditing Outcomes'!$F1469)</f>
        <v>0</v>
      </c>
      <c r="H1469" s="154"/>
    </row>
    <row r="1470" ht="15.75" hidden="1" customHeight="1">
      <c r="B1470" s="146"/>
      <c r="C1470" s="146">
        <f t="shared" si="5"/>
        <v>10000</v>
      </c>
      <c r="D1470" s="146"/>
      <c r="E1470" s="305"/>
      <c r="F1470" s="383"/>
      <c r="G1470" s="154">
        <f>LEN('Expected Auditing Outcomes'!$F1470)</f>
        <v>0</v>
      </c>
      <c r="H1470" s="154"/>
    </row>
    <row r="1471" ht="15.75" hidden="1" customHeight="1">
      <c r="B1471" s="146"/>
      <c r="C1471" s="146">
        <f t="shared" si="5"/>
        <v>10000</v>
      </c>
      <c r="D1471" s="146"/>
      <c r="E1471" s="305"/>
      <c r="F1471" s="383"/>
      <c r="G1471" s="154">
        <f>LEN('Expected Auditing Outcomes'!$F1471)</f>
        <v>0</v>
      </c>
      <c r="H1471" s="154"/>
    </row>
    <row r="1472" ht="15.75" hidden="1" customHeight="1">
      <c r="B1472" s="146"/>
      <c r="C1472" s="146">
        <f t="shared" si="5"/>
        <v>10000</v>
      </c>
      <c r="D1472" s="146"/>
      <c r="E1472" s="305"/>
      <c r="F1472" s="383"/>
      <c r="G1472" s="154">
        <f>LEN('Expected Auditing Outcomes'!$F1472)</f>
        <v>0</v>
      </c>
      <c r="H1472" s="154"/>
    </row>
    <row r="1473" ht="15.75" hidden="1" customHeight="1">
      <c r="B1473" s="146"/>
      <c r="C1473" s="146">
        <f t="shared" si="5"/>
        <v>10000</v>
      </c>
      <c r="D1473" s="146"/>
      <c r="E1473" s="305"/>
      <c r="F1473" s="383"/>
      <c r="G1473" s="154">
        <f>LEN('Expected Auditing Outcomes'!$F1473)</f>
        <v>0</v>
      </c>
      <c r="H1473" s="154"/>
    </row>
    <row r="1474" ht="15.75" hidden="1" customHeight="1">
      <c r="B1474" s="146"/>
      <c r="C1474" s="146">
        <f t="shared" si="5"/>
        <v>10000</v>
      </c>
      <c r="D1474" s="146"/>
      <c r="E1474" s="305"/>
      <c r="F1474" s="383"/>
      <c r="G1474" s="154">
        <f>LEN('Expected Auditing Outcomes'!$F1474)</f>
        <v>0</v>
      </c>
      <c r="H1474" s="154"/>
    </row>
    <row r="1475" ht="15.75" hidden="1" customHeight="1">
      <c r="B1475" s="146"/>
      <c r="C1475" s="146">
        <f t="shared" si="5"/>
        <v>10000</v>
      </c>
      <c r="D1475" s="146"/>
      <c r="E1475" s="305"/>
      <c r="F1475" s="383"/>
      <c r="G1475" s="154">
        <f>LEN('Expected Auditing Outcomes'!$F1475)</f>
        <v>0</v>
      </c>
      <c r="H1475" s="154"/>
    </row>
    <row r="1476" ht="15.75" hidden="1" customHeight="1">
      <c r="B1476" s="146"/>
      <c r="C1476" s="146">
        <f t="shared" si="5"/>
        <v>10000</v>
      </c>
      <c r="D1476" s="146"/>
      <c r="E1476" s="305"/>
      <c r="F1476" s="383"/>
      <c r="G1476" s="154">
        <f>LEN('Expected Auditing Outcomes'!$F1476)</f>
        <v>0</v>
      </c>
      <c r="H1476" s="154"/>
    </row>
    <row r="1477" ht="15.75" hidden="1" customHeight="1">
      <c r="B1477" s="146"/>
      <c r="C1477" s="146">
        <f t="shared" si="5"/>
        <v>10000</v>
      </c>
      <c r="D1477" s="146"/>
      <c r="E1477" s="305"/>
      <c r="F1477" s="383"/>
      <c r="G1477" s="154">
        <f>LEN('Expected Auditing Outcomes'!$F1477)</f>
        <v>0</v>
      </c>
      <c r="H1477" s="154"/>
    </row>
    <row r="1478" ht="15.75" hidden="1" customHeight="1">
      <c r="B1478" s="146"/>
      <c r="C1478" s="146">
        <f t="shared" si="5"/>
        <v>10000</v>
      </c>
      <c r="D1478" s="146"/>
      <c r="E1478" s="305"/>
      <c r="F1478" s="383"/>
      <c r="G1478" s="154">
        <f>LEN('Expected Auditing Outcomes'!$F1478)</f>
        <v>0</v>
      </c>
      <c r="H1478" s="154"/>
    </row>
    <row r="1479" ht="15.75" hidden="1" customHeight="1">
      <c r="B1479" s="146"/>
      <c r="C1479" s="146">
        <f t="shared" si="5"/>
        <v>10000</v>
      </c>
      <c r="D1479" s="146"/>
      <c r="E1479" s="305"/>
      <c r="F1479" s="383"/>
      <c r="G1479" s="154">
        <f>LEN('Expected Auditing Outcomes'!$F1479)</f>
        <v>0</v>
      </c>
      <c r="H1479" s="154"/>
    </row>
    <row r="1480" ht="15.75" hidden="1" customHeight="1">
      <c r="B1480" s="146"/>
      <c r="C1480" s="146">
        <f t="shared" si="5"/>
        <v>10000</v>
      </c>
      <c r="D1480" s="146"/>
      <c r="E1480" s="305"/>
      <c r="F1480" s="383"/>
      <c r="G1480" s="154">
        <f>LEN('Expected Auditing Outcomes'!$F1480)</f>
        <v>0</v>
      </c>
      <c r="H1480" s="154"/>
    </row>
    <row r="1481" ht="15.75" hidden="1" customHeight="1">
      <c r="B1481" s="146"/>
      <c r="C1481" s="146">
        <f t="shared" si="5"/>
        <v>10000</v>
      </c>
      <c r="D1481" s="146"/>
      <c r="E1481" s="305"/>
      <c r="F1481" s="383"/>
      <c r="G1481" s="154">
        <f>LEN('Expected Auditing Outcomes'!$F1481)</f>
        <v>0</v>
      </c>
      <c r="H1481" s="154"/>
    </row>
    <row r="1482" ht="15.75" hidden="1" customHeight="1">
      <c r="B1482" s="146"/>
      <c r="C1482" s="146">
        <f t="shared" si="5"/>
        <v>10000</v>
      </c>
      <c r="D1482" s="146"/>
      <c r="E1482" s="305"/>
      <c r="F1482" s="383"/>
      <c r="G1482" s="154">
        <f>LEN('Expected Auditing Outcomes'!$F1482)</f>
        <v>0</v>
      </c>
      <c r="H1482" s="154"/>
    </row>
    <row r="1483" ht="15.75" hidden="1" customHeight="1">
      <c r="B1483" s="146"/>
      <c r="C1483" s="146">
        <f t="shared" si="5"/>
        <v>10000</v>
      </c>
      <c r="D1483" s="146"/>
      <c r="E1483" s="305"/>
      <c r="F1483" s="383"/>
      <c r="G1483" s="154">
        <f>LEN('Expected Auditing Outcomes'!$F1483)</f>
        <v>0</v>
      </c>
      <c r="H1483" s="154"/>
    </row>
    <row r="1484" ht="15.75" hidden="1" customHeight="1">
      <c r="B1484" s="146"/>
      <c r="C1484" s="146">
        <f t="shared" si="5"/>
        <v>10000</v>
      </c>
      <c r="D1484" s="146"/>
      <c r="E1484" s="305"/>
      <c r="F1484" s="383"/>
      <c r="G1484" s="154">
        <f>LEN('Expected Auditing Outcomes'!$F1484)</f>
        <v>0</v>
      </c>
      <c r="H1484" s="154"/>
    </row>
    <row r="1485" ht="15.75" hidden="1" customHeight="1">
      <c r="B1485" s="146"/>
      <c r="C1485" s="146">
        <f t="shared" si="5"/>
        <v>10000</v>
      </c>
      <c r="D1485" s="146"/>
      <c r="E1485" s="305"/>
      <c r="F1485" s="383"/>
      <c r="G1485" s="154">
        <f>LEN('Expected Auditing Outcomes'!$F1485)</f>
        <v>0</v>
      </c>
      <c r="H1485" s="154"/>
    </row>
    <row r="1486" ht="15.75" hidden="1" customHeight="1">
      <c r="B1486" s="146"/>
      <c r="C1486" s="146">
        <f t="shared" si="5"/>
        <v>10000</v>
      </c>
      <c r="D1486" s="146"/>
      <c r="E1486" s="305"/>
      <c r="F1486" s="383"/>
      <c r="G1486" s="154">
        <f>LEN('Expected Auditing Outcomes'!$F1486)</f>
        <v>0</v>
      </c>
      <c r="H1486" s="154"/>
    </row>
    <row r="1487" ht="15.75" hidden="1" customHeight="1">
      <c r="B1487" s="146"/>
      <c r="C1487" s="146">
        <f t="shared" si="5"/>
        <v>10000</v>
      </c>
      <c r="D1487" s="146"/>
      <c r="E1487" s="305"/>
      <c r="F1487" s="383"/>
      <c r="G1487" s="154">
        <f>LEN('Expected Auditing Outcomes'!$F1487)</f>
        <v>0</v>
      </c>
      <c r="H1487" s="154"/>
    </row>
    <row r="1488" ht="15.75" hidden="1" customHeight="1">
      <c r="B1488" s="146"/>
      <c r="C1488" s="146">
        <f t="shared" si="5"/>
        <v>10000</v>
      </c>
      <c r="D1488" s="146"/>
      <c r="E1488" s="305"/>
      <c r="F1488" s="383"/>
      <c r="G1488" s="154">
        <f>LEN('Expected Auditing Outcomes'!$F1488)</f>
        <v>0</v>
      </c>
      <c r="H1488" s="154"/>
    </row>
    <row r="1489" ht="15.75" hidden="1" customHeight="1">
      <c r="B1489" s="146"/>
      <c r="C1489" s="146">
        <f t="shared" si="5"/>
        <v>10000</v>
      </c>
      <c r="D1489" s="146"/>
      <c r="E1489" s="305"/>
      <c r="F1489" s="383"/>
      <c r="G1489" s="154">
        <f>LEN('Expected Auditing Outcomes'!$F1489)</f>
        <v>0</v>
      </c>
      <c r="H1489" s="154"/>
    </row>
    <row r="1490" ht="15.75" hidden="1" customHeight="1">
      <c r="B1490" s="146"/>
      <c r="C1490" s="146">
        <f t="shared" si="5"/>
        <v>10000</v>
      </c>
      <c r="D1490" s="146"/>
      <c r="E1490" s="305"/>
      <c r="F1490" s="383"/>
      <c r="G1490" s="154">
        <f>LEN('Expected Auditing Outcomes'!$F1490)</f>
        <v>0</v>
      </c>
      <c r="H1490" s="154"/>
    </row>
    <row r="1491" ht="15.75" hidden="1" customHeight="1">
      <c r="B1491" s="146"/>
      <c r="C1491" s="146">
        <f t="shared" si="5"/>
        <v>10000</v>
      </c>
      <c r="D1491" s="146"/>
      <c r="E1491" s="305"/>
      <c r="F1491" s="383"/>
      <c r="G1491" s="154">
        <f>LEN('Expected Auditing Outcomes'!$F1491)</f>
        <v>0</v>
      </c>
      <c r="H1491" s="154"/>
    </row>
    <row r="1492" ht="15.75" hidden="1" customHeight="1">
      <c r="B1492" s="146"/>
      <c r="C1492" s="146">
        <f t="shared" si="5"/>
        <v>10000</v>
      </c>
      <c r="D1492" s="146"/>
      <c r="E1492" s="305"/>
      <c r="F1492" s="383"/>
      <c r="G1492" s="154">
        <f>LEN('Expected Auditing Outcomes'!$F1492)</f>
        <v>0</v>
      </c>
      <c r="H1492" s="154"/>
    </row>
    <row r="1493" ht="15.75" hidden="1" customHeight="1">
      <c r="B1493" s="146"/>
      <c r="C1493" s="146">
        <f t="shared" si="5"/>
        <v>10000</v>
      </c>
      <c r="D1493" s="146"/>
      <c r="E1493" s="305"/>
      <c r="F1493" s="383"/>
      <c r="G1493" s="154">
        <f>LEN('Expected Auditing Outcomes'!$F1493)</f>
        <v>0</v>
      </c>
      <c r="H1493" s="154"/>
    </row>
    <row r="1494" ht="15.75" hidden="1" customHeight="1">
      <c r="B1494" s="146"/>
      <c r="C1494" s="146">
        <f t="shared" si="5"/>
        <v>10000</v>
      </c>
      <c r="D1494" s="146"/>
      <c r="E1494" s="305"/>
      <c r="F1494" s="383"/>
      <c r="G1494" s="154">
        <f>LEN('Expected Auditing Outcomes'!$F1494)</f>
        <v>0</v>
      </c>
      <c r="H1494" s="154"/>
    </row>
    <row r="1495" ht="15.75" hidden="1" customHeight="1">
      <c r="B1495" s="146"/>
      <c r="C1495" s="146">
        <f t="shared" si="5"/>
        <v>10000</v>
      </c>
      <c r="D1495" s="146"/>
      <c r="E1495" s="305"/>
      <c r="F1495" s="383"/>
      <c r="G1495" s="154">
        <f>LEN('Expected Auditing Outcomes'!$F1495)</f>
        <v>0</v>
      </c>
      <c r="H1495" s="154"/>
    </row>
    <row r="1496" ht="15.75" hidden="1" customHeight="1">
      <c r="B1496" s="146"/>
      <c r="C1496" s="146">
        <f t="shared" si="5"/>
        <v>10000</v>
      </c>
      <c r="D1496" s="146"/>
      <c r="E1496" s="305"/>
      <c r="F1496" s="383"/>
      <c r="G1496" s="154">
        <f>LEN('Expected Auditing Outcomes'!$F1496)</f>
        <v>0</v>
      </c>
      <c r="H1496" s="154"/>
    </row>
    <row r="1497" ht="15.75" hidden="1" customHeight="1">
      <c r="B1497" s="146"/>
      <c r="C1497" s="146">
        <f t="shared" si="5"/>
        <v>10000</v>
      </c>
      <c r="D1497" s="146"/>
      <c r="E1497" s="305"/>
      <c r="F1497" s="383"/>
      <c r="G1497" s="154">
        <f>LEN('Expected Auditing Outcomes'!$F1497)</f>
        <v>0</v>
      </c>
      <c r="H1497" s="154"/>
    </row>
    <row r="1498" ht="15.75" hidden="1" customHeight="1">
      <c r="B1498" s="146"/>
      <c r="C1498" s="146">
        <f t="shared" si="5"/>
        <v>10000</v>
      </c>
      <c r="D1498" s="146"/>
      <c r="E1498" s="305"/>
      <c r="F1498" s="383"/>
      <c r="G1498" s="154">
        <f>LEN('Expected Auditing Outcomes'!$F1498)</f>
        <v>0</v>
      </c>
      <c r="H1498" s="154"/>
    </row>
    <row r="1499" ht="15.75" hidden="1" customHeight="1">
      <c r="B1499" s="146"/>
      <c r="C1499" s="146">
        <f t="shared" si="5"/>
        <v>10000</v>
      </c>
      <c r="D1499" s="146"/>
      <c r="E1499" s="305"/>
      <c r="F1499" s="383"/>
      <c r="G1499" s="154">
        <f>LEN('Expected Auditing Outcomes'!$F1499)</f>
        <v>0</v>
      </c>
      <c r="H1499" s="154"/>
    </row>
    <row r="1500" ht="15.75" hidden="1" customHeight="1">
      <c r="B1500" s="146"/>
      <c r="C1500" s="146">
        <f t="shared" si="5"/>
        <v>10000</v>
      </c>
      <c r="D1500" s="146"/>
      <c r="E1500" s="305"/>
      <c r="F1500" s="383"/>
      <c r="G1500" s="154">
        <f>LEN('Expected Auditing Outcomes'!$F1500)</f>
        <v>0</v>
      </c>
      <c r="H1500" s="154"/>
    </row>
    <row r="1501" ht="15.75" hidden="1" customHeight="1">
      <c r="B1501" s="146"/>
      <c r="C1501" s="146">
        <f t="shared" si="5"/>
        <v>10000</v>
      </c>
      <c r="D1501" s="146"/>
      <c r="E1501" s="305"/>
      <c r="F1501" s="383"/>
      <c r="G1501" s="154">
        <f>LEN('Expected Auditing Outcomes'!$F1501)</f>
        <v>0</v>
      </c>
      <c r="H1501" s="154"/>
    </row>
    <row r="1502" ht="15.75" hidden="1" customHeight="1">
      <c r="B1502" s="146"/>
      <c r="C1502" s="146">
        <f t="shared" si="5"/>
        <v>10000</v>
      </c>
      <c r="D1502" s="146"/>
      <c r="E1502" s="305"/>
      <c r="F1502" s="383"/>
      <c r="G1502" s="154">
        <f>LEN('Expected Auditing Outcomes'!$F1502)</f>
        <v>0</v>
      </c>
      <c r="H1502" s="154"/>
    </row>
    <row r="1503" ht="15.75" hidden="1" customHeight="1">
      <c r="B1503" s="146"/>
      <c r="C1503" s="146">
        <f t="shared" si="5"/>
        <v>10000</v>
      </c>
      <c r="D1503" s="146"/>
      <c r="E1503" s="305"/>
      <c r="F1503" s="383"/>
      <c r="G1503" s="154">
        <f>LEN('Expected Auditing Outcomes'!$F1503)</f>
        <v>0</v>
      </c>
      <c r="H1503" s="154"/>
    </row>
    <row r="1504" ht="15.75" hidden="1" customHeight="1">
      <c r="B1504" s="146"/>
      <c r="C1504" s="146">
        <f t="shared" si="5"/>
        <v>10000</v>
      </c>
      <c r="D1504" s="146"/>
      <c r="E1504" s="305"/>
      <c r="F1504" s="383"/>
      <c r="G1504" s="154">
        <f>LEN('Expected Auditing Outcomes'!$F1504)</f>
        <v>0</v>
      </c>
      <c r="H1504" s="154"/>
    </row>
    <row r="1505" ht="15.75" hidden="1" customHeight="1">
      <c r="B1505" s="146"/>
      <c r="C1505" s="146">
        <f t="shared" si="5"/>
        <v>10000</v>
      </c>
      <c r="D1505" s="146"/>
      <c r="E1505" s="305"/>
      <c r="F1505" s="383"/>
      <c r="G1505" s="154">
        <f>LEN('Expected Auditing Outcomes'!$F1505)</f>
        <v>0</v>
      </c>
      <c r="H1505" s="154"/>
    </row>
    <row r="1506" ht="15.75" hidden="1" customHeight="1">
      <c r="B1506" s="146"/>
      <c r="C1506" s="146">
        <f t="shared" si="5"/>
        <v>10000</v>
      </c>
      <c r="D1506" s="146"/>
      <c r="E1506" s="305"/>
      <c r="F1506" s="383"/>
      <c r="G1506" s="154">
        <f>LEN('Expected Auditing Outcomes'!$F1506)</f>
        <v>0</v>
      </c>
      <c r="H1506" s="154"/>
    </row>
    <row r="1507" ht="15.75" hidden="1" customHeight="1">
      <c r="B1507" s="146"/>
      <c r="C1507" s="146">
        <f t="shared" si="5"/>
        <v>10000</v>
      </c>
      <c r="D1507" s="146"/>
      <c r="E1507" s="305"/>
      <c r="F1507" s="383"/>
      <c r="G1507" s="154">
        <f>LEN('Expected Auditing Outcomes'!$F1507)</f>
        <v>0</v>
      </c>
      <c r="H1507" s="154"/>
    </row>
    <row r="1508" ht="15.75" hidden="1" customHeight="1">
      <c r="B1508" s="146"/>
      <c r="C1508" s="146">
        <f t="shared" si="5"/>
        <v>10000</v>
      </c>
      <c r="D1508" s="146"/>
      <c r="E1508" s="305"/>
      <c r="F1508" s="383"/>
      <c r="G1508" s="154">
        <f>LEN('Expected Auditing Outcomes'!$F1508)</f>
        <v>0</v>
      </c>
      <c r="H1508" s="154"/>
    </row>
    <row r="1509" ht="15.75" hidden="1" customHeight="1">
      <c r="B1509" s="146"/>
      <c r="C1509" s="146">
        <f t="shared" si="5"/>
        <v>10000</v>
      </c>
      <c r="D1509" s="146"/>
      <c r="E1509" s="305"/>
      <c r="F1509" s="383"/>
      <c r="G1509" s="154">
        <f>LEN('Expected Auditing Outcomes'!$F1509)</f>
        <v>0</v>
      </c>
      <c r="H1509" s="154"/>
    </row>
    <row r="1510" ht="15.75" hidden="1" customHeight="1">
      <c r="B1510" s="146"/>
      <c r="C1510" s="146">
        <f t="shared" si="5"/>
        <v>10000</v>
      </c>
      <c r="D1510" s="146"/>
      <c r="E1510" s="305"/>
      <c r="F1510" s="383"/>
      <c r="G1510" s="154">
        <f>LEN('Expected Auditing Outcomes'!$F1510)</f>
        <v>0</v>
      </c>
      <c r="H1510" s="154"/>
    </row>
    <row r="1511" ht="15.75" hidden="1" customHeight="1">
      <c r="B1511" s="146"/>
      <c r="C1511" s="146">
        <f t="shared" si="5"/>
        <v>10000</v>
      </c>
      <c r="D1511" s="146"/>
      <c r="E1511" s="305"/>
      <c r="F1511" s="383"/>
      <c r="G1511" s="154">
        <f>LEN('Expected Auditing Outcomes'!$F1511)</f>
        <v>0</v>
      </c>
      <c r="H1511" s="154"/>
    </row>
    <row r="1512" ht="15.75" hidden="1" customHeight="1">
      <c r="B1512" s="146"/>
      <c r="C1512" s="146">
        <f t="shared" si="5"/>
        <v>10000</v>
      </c>
      <c r="D1512" s="146"/>
      <c r="E1512" s="305"/>
      <c r="F1512" s="383"/>
      <c r="G1512" s="154">
        <f>LEN('Expected Auditing Outcomes'!$F1512)</f>
        <v>0</v>
      </c>
      <c r="H1512" s="154"/>
    </row>
    <row r="1513" ht="15.75" hidden="1" customHeight="1">
      <c r="B1513" s="146"/>
      <c r="C1513" s="146">
        <f t="shared" si="5"/>
        <v>10000</v>
      </c>
      <c r="D1513" s="146"/>
      <c r="E1513" s="305"/>
      <c r="F1513" s="383"/>
      <c r="G1513" s="154">
        <f>LEN('Expected Auditing Outcomes'!$F1513)</f>
        <v>0</v>
      </c>
      <c r="H1513" s="154"/>
    </row>
    <row r="1514" ht="15.75" hidden="1" customHeight="1">
      <c r="B1514" s="146"/>
      <c r="C1514" s="146">
        <f t="shared" si="5"/>
        <v>10000</v>
      </c>
      <c r="D1514" s="146"/>
      <c r="E1514" s="305"/>
      <c r="F1514" s="383"/>
      <c r="G1514" s="154">
        <f>LEN('Expected Auditing Outcomes'!$F1514)</f>
        <v>0</v>
      </c>
      <c r="H1514" s="154"/>
    </row>
    <row r="1515" ht="15.75" hidden="1" customHeight="1">
      <c r="B1515" s="146"/>
      <c r="C1515" s="146">
        <f t="shared" si="5"/>
        <v>10000</v>
      </c>
      <c r="D1515" s="146"/>
      <c r="E1515" s="305"/>
      <c r="F1515" s="383"/>
      <c r="G1515" s="154">
        <f>LEN('Expected Auditing Outcomes'!$F1515)</f>
        <v>0</v>
      </c>
      <c r="H1515" s="154"/>
    </row>
    <row r="1516" ht="15.75" hidden="1" customHeight="1">
      <c r="B1516" s="146"/>
      <c r="C1516" s="146">
        <f t="shared" si="5"/>
        <v>10000</v>
      </c>
      <c r="D1516" s="146"/>
      <c r="E1516" s="305"/>
      <c r="F1516" s="383"/>
      <c r="G1516" s="154">
        <f>LEN('Expected Auditing Outcomes'!$F1516)</f>
        <v>0</v>
      </c>
      <c r="H1516" s="154"/>
    </row>
    <row r="1517" ht="15.75" hidden="1" customHeight="1">
      <c r="B1517" s="146"/>
      <c r="C1517" s="146">
        <f t="shared" si="5"/>
        <v>10000</v>
      </c>
      <c r="D1517" s="146"/>
      <c r="E1517" s="305"/>
      <c r="F1517" s="383"/>
      <c r="G1517" s="154">
        <f>LEN('Expected Auditing Outcomes'!$F1517)</f>
        <v>0</v>
      </c>
      <c r="H1517" s="154"/>
    </row>
    <row r="1518" ht="15.75" hidden="1" customHeight="1">
      <c r="B1518" s="146"/>
      <c r="C1518" s="146">
        <f t="shared" si="5"/>
        <v>10000</v>
      </c>
      <c r="D1518" s="146"/>
      <c r="E1518" s="305"/>
      <c r="F1518" s="383"/>
      <c r="G1518" s="154">
        <f>LEN('Expected Auditing Outcomes'!$F1518)</f>
        <v>0</v>
      </c>
      <c r="H1518" s="154"/>
    </row>
    <row r="1519" ht="15.75" hidden="1" customHeight="1">
      <c r="B1519" s="146"/>
      <c r="C1519" s="146">
        <f t="shared" si="5"/>
        <v>10000</v>
      </c>
      <c r="D1519" s="146"/>
      <c r="E1519" s="305"/>
      <c r="F1519" s="383"/>
      <c r="G1519" s="154">
        <f>LEN('Expected Auditing Outcomes'!$F1519)</f>
        <v>0</v>
      </c>
      <c r="H1519" s="154"/>
    </row>
    <row r="1520" ht="15.75" hidden="1" customHeight="1">
      <c r="B1520" s="146"/>
      <c r="C1520" s="146">
        <f t="shared" si="5"/>
        <v>10000</v>
      </c>
      <c r="D1520" s="146"/>
      <c r="E1520" s="305"/>
      <c r="F1520" s="383"/>
      <c r="G1520" s="154">
        <f>LEN('Expected Auditing Outcomes'!$F1520)</f>
        <v>0</v>
      </c>
      <c r="H1520" s="154"/>
    </row>
    <row r="1521" ht="15.75" hidden="1" customHeight="1">
      <c r="B1521" s="146"/>
      <c r="C1521" s="146">
        <f t="shared" si="5"/>
        <v>10000</v>
      </c>
      <c r="D1521" s="146"/>
      <c r="E1521" s="305"/>
      <c r="F1521" s="383"/>
      <c r="G1521" s="154">
        <f>LEN('Expected Auditing Outcomes'!$F1521)</f>
        <v>0</v>
      </c>
      <c r="H1521" s="154"/>
    </row>
    <row r="1522" ht="15.75" hidden="1" customHeight="1">
      <c r="B1522" s="146"/>
      <c r="C1522" s="146">
        <f t="shared" si="5"/>
        <v>10000</v>
      </c>
      <c r="D1522" s="146"/>
      <c r="E1522" s="305"/>
      <c r="F1522" s="383"/>
      <c r="G1522" s="154">
        <f>LEN('Expected Auditing Outcomes'!$F1522)</f>
        <v>0</v>
      </c>
      <c r="H1522" s="154"/>
    </row>
    <row r="1523" ht="15.75" hidden="1" customHeight="1">
      <c r="B1523" s="146"/>
      <c r="C1523" s="146">
        <f t="shared" si="5"/>
        <v>10000</v>
      </c>
      <c r="D1523" s="146"/>
      <c r="E1523" s="305"/>
      <c r="F1523" s="383"/>
      <c r="G1523" s="154">
        <f>LEN('Expected Auditing Outcomes'!$F1523)</f>
        <v>0</v>
      </c>
      <c r="H1523" s="154"/>
    </row>
    <row r="1524" ht="15.75" hidden="1" customHeight="1">
      <c r="B1524" s="146"/>
      <c r="C1524" s="146">
        <f t="shared" si="5"/>
        <v>10000</v>
      </c>
      <c r="D1524" s="146"/>
      <c r="E1524" s="305"/>
      <c r="F1524" s="383"/>
      <c r="G1524" s="154">
        <f>LEN('Expected Auditing Outcomes'!$F1524)</f>
        <v>0</v>
      </c>
      <c r="H1524" s="154"/>
    </row>
    <row r="1525" ht="15.75" hidden="1" customHeight="1">
      <c r="B1525" s="146"/>
      <c r="C1525" s="146">
        <f t="shared" si="5"/>
        <v>10000</v>
      </c>
      <c r="D1525" s="146"/>
      <c r="E1525" s="305"/>
      <c r="F1525" s="383"/>
      <c r="G1525" s="154">
        <f>LEN('Expected Auditing Outcomes'!$F1525)</f>
        <v>0</v>
      </c>
      <c r="H1525" s="154"/>
    </row>
    <row r="1526" ht="15.75" hidden="1" customHeight="1">
      <c r="B1526" s="146"/>
      <c r="C1526" s="146">
        <f t="shared" si="5"/>
        <v>10000</v>
      </c>
      <c r="D1526" s="146"/>
      <c r="E1526" s="305"/>
      <c r="F1526" s="383"/>
      <c r="G1526" s="154">
        <f>LEN('Expected Auditing Outcomes'!$F1526)</f>
        <v>0</v>
      </c>
      <c r="H1526" s="154"/>
    </row>
    <row r="1527" ht="15.75" hidden="1" customHeight="1">
      <c r="B1527" s="146"/>
      <c r="C1527" s="146">
        <f t="shared" si="5"/>
        <v>10000</v>
      </c>
      <c r="D1527" s="146"/>
      <c r="E1527" s="305"/>
      <c r="F1527" s="383"/>
      <c r="G1527" s="154">
        <f>LEN('Expected Auditing Outcomes'!$F1527)</f>
        <v>0</v>
      </c>
      <c r="H1527" s="154"/>
    </row>
    <row r="1528" ht="15.75" hidden="1" customHeight="1">
      <c r="B1528" s="146"/>
      <c r="C1528" s="146">
        <f t="shared" si="5"/>
        <v>10000</v>
      </c>
      <c r="D1528" s="146"/>
      <c r="E1528" s="305"/>
      <c r="F1528" s="383"/>
      <c r="G1528" s="154">
        <f>LEN('Expected Auditing Outcomes'!$F1528)</f>
        <v>0</v>
      </c>
      <c r="H1528" s="154"/>
    </row>
    <row r="1529" ht="15.75" hidden="1" customHeight="1">
      <c r="B1529" s="146"/>
      <c r="C1529" s="146">
        <f t="shared" si="5"/>
        <v>10000</v>
      </c>
      <c r="D1529" s="146"/>
      <c r="E1529" s="305"/>
      <c r="F1529" s="383"/>
      <c r="G1529" s="154">
        <f>LEN('Expected Auditing Outcomes'!$F1529)</f>
        <v>0</v>
      </c>
      <c r="H1529" s="154"/>
    </row>
    <row r="1530" ht="15.75" hidden="1" customHeight="1">
      <c r="B1530" s="146"/>
      <c r="C1530" s="146">
        <f t="shared" si="5"/>
        <v>10000</v>
      </c>
      <c r="D1530" s="146"/>
      <c r="E1530" s="305"/>
      <c r="F1530" s="383"/>
      <c r="G1530" s="154">
        <f>LEN('Expected Auditing Outcomes'!$F1530)</f>
        <v>0</v>
      </c>
      <c r="H1530" s="154"/>
    </row>
    <row r="1531" ht="15.75" hidden="1" customHeight="1">
      <c r="B1531" s="146"/>
      <c r="C1531" s="146">
        <f t="shared" si="5"/>
        <v>10000</v>
      </c>
      <c r="D1531" s="146"/>
      <c r="E1531" s="305"/>
      <c r="F1531" s="383"/>
      <c r="G1531" s="154">
        <f>LEN('Expected Auditing Outcomes'!$F1531)</f>
        <v>0</v>
      </c>
      <c r="H1531" s="154"/>
    </row>
    <row r="1532" ht="15.75" hidden="1" customHeight="1">
      <c r="B1532" s="146"/>
      <c r="C1532" s="146">
        <f t="shared" si="5"/>
        <v>10000</v>
      </c>
      <c r="D1532" s="146"/>
      <c r="E1532" s="305"/>
      <c r="F1532" s="383"/>
      <c r="G1532" s="154">
        <f>LEN('Expected Auditing Outcomes'!$F1532)</f>
        <v>0</v>
      </c>
      <c r="H1532" s="154"/>
    </row>
    <row r="1533" ht="15.75" hidden="1" customHeight="1">
      <c r="B1533" s="146"/>
      <c r="C1533" s="146">
        <f t="shared" si="5"/>
        <v>10000</v>
      </c>
      <c r="D1533" s="146"/>
      <c r="E1533" s="305"/>
      <c r="F1533" s="383"/>
      <c r="G1533" s="154">
        <f>LEN('Expected Auditing Outcomes'!$F1533)</f>
        <v>0</v>
      </c>
      <c r="H1533" s="154"/>
    </row>
    <row r="1534" ht="15.75" hidden="1" customHeight="1">
      <c r="B1534" s="146"/>
      <c r="C1534" s="146">
        <f t="shared" si="5"/>
        <v>10000</v>
      </c>
      <c r="D1534" s="146"/>
      <c r="E1534" s="305"/>
      <c r="F1534" s="383"/>
      <c r="G1534" s="154">
        <f>LEN('Expected Auditing Outcomes'!$F1534)</f>
        <v>0</v>
      </c>
      <c r="H1534" s="154"/>
    </row>
    <row r="1535" ht="15.75" hidden="1" customHeight="1">
      <c r="B1535" s="146"/>
      <c r="C1535" s="146">
        <f t="shared" si="5"/>
        <v>10000</v>
      </c>
      <c r="D1535" s="146"/>
      <c r="E1535" s="305"/>
      <c r="F1535" s="383"/>
      <c r="G1535" s="154">
        <f>LEN('Expected Auditing Outcomes'!$F1535)</f>
        <v>0</v>
      </c>
      <c r="H1535" s="154"/>
    </row>
    <row r="1536" ht="15.75" hidden="1" customHeight="1">
      <c r="B1536" s="146"/>
      <c r="C1536" s="146">
        <f t="shared" si="5"/>
        <v>10000</v>
      </c>
      <c r="D1536" s="146"/>
      <c r="E1536" s="305"/>
      <c r="F1536" s="383"/>
      <c r="G1536" s="154">
        <f>LEN('Expected Auditing Outcomes'!$F1536)</f>
        <v>0</v>
      </c>
      <c r="H1536" s="154"/>
    </row>
    <row r="1537" ht="15.75" hidden="1" customHeight="1">
      <c r="B1537" s="146"/>
      <c r="C1537" s="146">
        <f t="shared" si="5"/>
        <v>10000</v>
      </c>
      <c r="D1537" s="146"/>
      <c r="E1537" s="305"/>
      <c r="F1537" s="383"/>
      <c r="G1537" s="154">
        <f>LEN('Expected Auditing Outcomes'!$F1537)</f>
        <v>0</v>
      </c>
      <c r="H1537" s="154"/>
    </row>
    <row r="1538" ht="15.75" hidden="1" customHeight="1">
      <c r="B1538" s="146"/>
      <c r="C1538" s="146">
        <f t="shared" si="5"/>
        <v>10000</v>
      </c>
      <c r="D1538" s="146"/>
      <c r="E1538" s="305"/>
      <c r="F1538" s="383"/>
      <c r="G1538" s="154">
        <f>LEN('Expected Auditing Outcomes'!$F1538)</f>
        <v>0</v>
      </c>
      <c r="H1538" s="154"/>
    </row>
    <row r="1539" ht="15.75" hidden="1" customHeight="1">
      <c r="B1539" s="146"/>
      <c r="C1539" s="146">
        <f t="shared" si="5"/>
        <v>10000</v>
      </c>
      <c r="D1539" s="146"/>
      <c r="E1539" s="305"/>
      <c r="F1539" s="383"/>
      <c r="G1539" s="154">
        <f>LEN('Expected Auditing Outcomes'!$F1539)</f>
        <v>0</v>
      </c>
      <c r="H1539" s="154"/>
    </row>
    <row r="1540" ht="15.75" hidden="1" customHeight="1">
      <c r="B1540" s="146"/>
      <c r="C1540" s="146">
        <f t="shared" si="5"/>
        <v>10000</v>
      </c>
      <c r="D1540" s="146"/>
      <c r="E1540" s="305"/>
      <c r="F1540" s="383"/>
      <c r="G1540" s="154">
        <f>LEN('Expected Auditing Outcomes'!$F1540)</f>
        <v>0</v>
      </c>
      <c r="H1540" s="154"/>
    </row>
    <row r="1541" ht="15.75" hidden="1" customHeight="1">
      <c r="B1541" s="146"/>
      <c r="C1541" s="146">
        <f t="shared" si="5"/>
        <v>10000</v>
      </c>
      <c r="D1541" s="146"/>
      <c r="E1541" s="305"/>
      <c r="F1541" s="383"/>
      <c r="G1541" s="154">
        <f>LEN('Expected Auditing Outcomes'!$F1541)</f>
        <v>0</v>
      </c>
      <c r="H1541" s="154"/>
    </row>
    <row r="1542" ht="15.75" hidden="1" customHeight="1">
      <c r="B1542" s="146"/>
      <c r="C1542" s="146">
        <f t="shared" si="5"/>
        <v>10000</v>
      </c>
      <c r="D1542" s="146"/>
      <c r="E1542" s="305"/>
      <c r="F1542" s="383"/>
      <c r="G1542" s="154">
        <f>LEN('Expected Auditing Outcomes'!$F1542)</f>
        <v>0</v>
      </c>
      <c r="H1542" s="154"/>
    </row>
    <row r="1543" ht="15.75" hidden="1" customHeight="1">
      <c r="B1543" s="146"/>
      <c r="C1543" s="146">
        <f t="shared" si="5"/>
        <v>10000</v>
      </c>
      <c r="D1543" s="146"/>
      <c r="E1543" s="305"/>
      <c r="F1543" s="383"/>
      <c r="G1543" s="154">
        <f>LEN('Expected Auditing Outcomes'!$F1543)</f>
        <v>0</v>
      </c>
      <c r="H1543" s="154"/>
    </row>
    <row r="1544" ht="15.75" hidden="1" customHeight="1">
      <c r="B1544" s="146"/>
      <c r="C1544" s="146">
        <f t="shared" si="5"/>
        <v>10000</v>
      </c>
      <c r="D1544" s="146"/>
      <c r="E1544" s="305"/>
      <c r="F1544" s="383"/>
      <c r="G1544" s="154">
        <f>LEN('Expected Auditing Outcomes'!$F1544)</f>
        <v>0</v>
      </c>
      <c r="H1544" s="154"/>
    </row>
    <row r="1545" ht="15.75" hidden="1" customHeight="1">
      <c r="B1545" s="146"/>
      <c r="C1545" s="146">
        <f t="shared" si="5"/>
        <v>10000</v>
      </c>
      <c r="D1545" s="146"/>
      <c r="E1545" s="305"/>
      <c r="F1545" s="383"/>
      <c r="G1545" s="154">
        <f>LEN('Expected Auditing Outcomes'!$F1545)</f>
        <v>0</v>
      </c>
      <c r="H1545" s="154"/>
    </row>
    <row r="1546" ht="15.75" hidden="1" customHeight="1">
      <c r="B1546" s="146"/>
      <c r="C1546" s="146">
        <f t="shared" si="5"/>
        <v>10000</v>
      </c>
      <c r="D1546" s="146"/>
      <c r="E1546" s="305"/>
      <c r="F1546" s="383"/>
      <c r="G1546" s="154">
        <f>LEN('Expected Auditing Outcomes'!$F1546)</f>
        <v>0</v>
      </c>
      <c r="H1546" s="154"/>
    </row>
    <row r="1547" ht="15.75" hidden="1" customHeight="1">
      <c r="B1547" s="146"/>
      <c r="C1547" s="146">
        <f t="shared" si="5"/>
        <v>10000</v>
      </c>
      <c r="D1547" s="146"/>
      <c r="E1547" s="305"/>
      <c r="F1547" s="383"/>
      <c r="G1547" s="154">
        <f>LEN('Expected Auditing Outcomes'!$F1547)</f>
        <v>0</v>
      </c>
      <c r="H1547" s="154"/>
    </row>
    <row r="1548" ht="15.75" hidden="1" customHeight="1">
      <c r="B1548" s="146"/>
      <c r="C1548" s="146">
        <f t="shared" si="5"/>
        <v>10000</v>
      </c>
      <c r="D1548" s="146"/>
      <c r="E1548" s="305"/>
      <c r="F1548" s="383"/>
      <c r="G1548" s="154">
        <f>LEN('Expected Auditing Outcomes'!$F1548)</f>
        <v>0</v>
      </c>
      <c r="H1548" s="154"/>
    </row>
    <row r="1549" ht="15.75" hidden="1" customHeight="1">
      <c r="B1549" s="146"/>
      <c r="C1549" s="146">
        <f t="shared" si="5"/>
        <v>10000</v>
      </c>
      <c r="D1549" s="146"/>
      <c r="E1549" s="305"/>
      <c r="F1549" s="383"/>
      <c r="G1549" s="154">
        <f>LEN('Expected Auditing Outcomes'!$F1549)</f>
        <v>0</v>
      </c>
      <c r="H1549" s="154"/>
    </row>
    <row r="1550" ht="15.75" hidden="1" customHeight="1">
      <c r="B1550" s="146"/>
      <c r="C1550" s="146">
        <f t="shared" si="5"/>
        <v>10000</v>
      </c>
      <c r="D1550" s="146"/>
      <c r="E1550" s="305"/>
      <c r="F1550" s="383"/>
      <c r="G1550" s="154">
        <f>LEN('Expected Auditing Outcomes'!$F1550)</f>
        <v>0</v>
      </c>
      <c r="H1550" s="154"/>
    </row>
    <row r="1551" ht="15.75" hidden="1" customHeight="1">
      <c r="B1551" s="146"/>
      <c r="C1551" s="146">
        <f t="shared" si="5"/>
        <v>10000</v>
      </c>
      <c r="D1551" s="146"/>
      <c r="E1551" s="305"/>
      <c r="F1551" s="383"/>
      <c r="G1551" s="154">
        <f>LEN('Expected Auditing Outcomes'!$F1551)</f>
        <v>0</v>
      </c>
      <c r="H1551" s="154"/>
    </row>
    <row r="1552" ht="15.75" hidden="1" customHeight="1">
      <c r="B1552" s="146"/>
      <c r="C1552" s="146">
        <f t="shared" si="5"/>
        <v>10000</v>
      </c>
      <c r="D1552" s="146"/>
      <c r="E1552" s="305"/>
      <c r="F1552" s="383"/>
      <c r="G1552" s="154">
        <f>LEN('Expected Auditing Outcomes'!$F1552)</f>
        <v>0</v>
      </c>
      <c r="H1552" s="154"/>
    </row>
    <row r="1553" ht="15.75" hidden="1" customHeight="1">
      <c r="B1553" s="146"/>
      <c r="C1553" s="146">
        <f t="shared" si="5"/>
        <v>10000</v>
      </c>
      <c r="D1553" s="146"/>
      <c r="E1553" s="305"/>
      <c r="F1553" s="383"/>
      <c r="G1553" s="154">
        <f>LEN('Expected Auditing Outcomes'!$F1553)</f>
        <v>0</v>
      </c>
      <c r="H1553" s="154"/>
    </row>
    <row r="1554" ht="15.75" hidden="1" customHeight="1">
      <c r="B1554" s="146"/>
      <c r="C1554" s="146">
        <f t="shared" si="5"/>
        <v>10000</v>
      </c>
      <c r="D1554" s="146"/>
      <c r="E1554" s="305"/>
      <c r="F1554" s="383"/>
      <c r="G1554" s="154">
        <f>LEN('Expected Auditing Outcomes'!$F1554)</f>
        <v>0</v>
      </c>
      <c r="H1554" s="154"/>
    </row>
    <row r="1555" ht="15.75" hidden="1" customHeight="1">
      <c r="B1555" s="146"/>
      <c r="C1555" s="146">
        <f t="shared" si="5"/>
        <v>10000</v>
      </c>
      <c r="D1555" s="146"/>
      <c r="E1555" s="305"/>
      <c r="F1555" s="383"/>
      <c r="G1555" s="154">
        <f>LEN('Expected Auditing Outcomes'!$F1555)</f>
        <v>0</v>
      </c>
      <c r="H1555" s="154"/>
    </row>
    <row r="1556" ht="15.75" hidden="1" customHeight="1">
      <c r="B1556" s="146"/>
      <c r="C1556" s="146">
        <f t="shared" si="5"/>
        <v>10000</v>
      </c>
      <c r="D1556" s="146"/>
      <c r="E1556" s="305"/>
      <c r="F1556" s="383"/>
      <c r="G1556" s="154">
        <f>LEN('Expected Auditing Outcomes'!$F1556)</f>
        <v>0</v>
      </c>
      <c r="H1556" s="154"/>
    </row>
    <row r="1557" ht="15.75" hidden="1" customHeight="1">
      <c r="B1557" s="146"/>
      <c r="C1557" s="146">
        <f t="shared" si="5"/>
        <v>10000</v>
      </c>
      <c r="D1557" s="146"/>
      <c r="E1557" s="305"/>
      <c r="F1557" s="383"/>
      <c r="G1557" s="154">
        <f>LEN('Expected Auditing Outcomes'!$F1557)</f>
        <v>0</v>
      </c>
      <c r="H1557" s="154"/>
    </row>
    <row r="1558" ht="15.75" hidden="1" customHeight="1">
      <c r="B1558" s="146"/>
      <c r="C1558" s="146">
        <f t="shared" si="5"/>
        <v>10000</v>
      </c>
      <c r="D1558" s="146"/>
      <c r="E1558" s="305"/>
      <c r="F1558" s="383"/>
      <c r="G1558" s="154">
        <f>LEN('Expected Auditing Outcomes'!$F1558)</f>
        <v>0</v>
      </c>
      <c r="H1558" s="154"/>
    </row>
    <row r="1559" ht="15.75" hidden="1" customHeight="1">
      <c r="B1559" s="146"/>
      <c r="C1559" s="146">
        <f t="shared" si="5"/>
        <v>10000</v>
      </c>
      <c r="D1559" s="146"/>
      <c r="E1559" s="305"/>
      <c r="F1559" s="383"/>
      <c r="G1559" s="154">
        <f>LEN('Expected Auditing Outcomes'!$F1559)</f>
        <v>0</v>
      </c>
      <c r="H1559" s="154"/>
    </row>
    <row r="1560" ht="15.75" hidden="1" customHeight="1">
      <c r="B1560" s="146"/>
      <c r="C1560" s="146">
        <f t="shared" si="5"/>
        <v>10000</v>
      </c>
      <c r="D1560" s="146"/>
      <c r="E1560" s="305"/>
      <c r="F1560" s="383"/>
      <c r="G1560" s="154">
        <f>LEN('Expected Auditing Outcomes'!$F1560)</f>
        <v>0</v>
      </c>
      <c r="H1560" s="154"/>
    </row>
    <row r="1561" ht="15.75" hidden="1" customHeight="1">
      <c r="B1561" s="146"/>
      <c r="C1561" s="146">
        <f t="shared" si="5"/>
        <v>10000</v>
      </c>
      <c r="D1561" s="146"/>
      <c r="E1561" s="305"/>
      <c r="F1561" s="383"/>
      <c r="G1561" s="154">
        <f>LEN('Expected Auditing Outcomes'!$F1561)</f>
        <v>0</v>
      </c>
      <c r="H1561" s="154"/>
    </row>
    <row r="1562" ht="15.75" hidden="1" customHeight="1">
      <c r="B1562" s="146"/>
      <c r="C1562" s="146">
        <f t="shared" si="5"/>
        <v>10000</v>
      </c>
      <c r="D1562" s="146"/>
      <c r="E1562" s="305"/>
      <c r="F1562" s="383"/>
      <c r="G1562" s="154">
        <f>LEN('Expected Auditing Outcomes'!$F1562)</f>
        <v>0</v>
      </c>
      <c r="H1562" s="154"/>
    </row>
    <row r="1563" ht="15.75" hidden="1" customHeight="1">
      <c r="B1563" s="146"/>
      <c r="C1563" s="146">
        <f t="shared" si="5"/>
        <v>10000</v>
      </c>
      <c r="D1563" s="146"/>
      <c r="E1563" s="305"/>
      <c r="F1563" s="383"/>
      <c r="G1563" s="154">
        <f>LEN('Expected Auditing Outcomes'!$F1563)</f>
        <v>0</v>
      </c>
      <c r="H1563" s="154"/>
    </row>
    <row r="1564" ht="15.75" hidden="1" customHeight="1">
      <c r="B1564" s="146"/>
      <c r="C1564" s="146">
        <f t="shared" si="5"/>
        <v>10000</v>
      </c>
      <c r="D1564" s="146"/>
      <c r="E1564" s="305"/>
      <c r="F1564" s="383"/>
      <c r="G1564" s="154">
        <f>LEN('Expected Auditing Outcomes'!$F1564)</f>
        <v>0</v>
      </c>
      <c r="H1564" s="154"/>
    </row>
    <row r="1565" ht="15.75" hidden="1" customHeight="1">
      <c r="B1565" s="146"/>
      <c r="C1565" s="146">
        <f t="shared" si="5"/>
        <v>10000</v>
      </c>
      <c r="D1565" s="146"/>
      <c r="E1565" s="305"/>
      <c r="F1565" s="383"/>
      <c r="G1565" s="154">
        <f>LEN('Expected Auditing Outcomes'!$F1565)</f>
        <v>0</v>
      </c>
      <c r="H1565" s="154"/>
    </row>
    <row r="1566" ht="15.75" hidden="1" customHeight="1">
      <c r="B1566" s="146"/>
      <c r="C1566" s="146">
        <f t="shared" si="5"/>
        <v>10000</v>
      </c>
      <c r="D1566" s="146"/>
      <c r="E1566" s="305"/>
      <c r="F1566" s="383"/>
      <c r="G1566" s="154">
        <f>LEN('Expected Auditing Outcomes'!$F1566)</f>
        <v>0</v>
      </c>
      <c r="H1566" s="154"/>
    </row>
    <row r="1567" ht="15.75" hidden="1" customHeight="1">
      <c r="B1567" s="146"/>
      <c r="C1567" s="146">
        <f t="shared" si="5"/>
        <v>10000</v>
      </c>
      <c r="D1567" s="146"/>
      <c r="E1567" s="305"/>
      <c r="F1567" s="383"/>
      <c r="G1567" s="154">
        <f>LEN('Expected Auditing Outcomes'!$F1567)</f>
        <v>0</v>
      </c>
      <c r="H1567" s="154"/>
    </row>
    <row r="1568" ht="15.75" hidden="1" customHeight="1">
      <c r="B1568" s="146"/>
      <c r="C1568" s="146">
        <f t="shared" si="5"/>
        <v>10000</v>
      </c>
      <c r="D1568" s="146"/>
      <c r="E1568" s="305"/>
      <c r="F1568" s="383"/>
      <c r="G1568" s="154">
        <f>LEN('Expected Auditing Outcomes'!$F1568)</f>
        <v>0</v>
      </c>
      <c r="H1568" s="154"/>
    </row>
    <row r="1569" ht="15.75" hidden="1" customHeight="1">
      <c r="B1569" s="146"/>
      <c r="C1569" s="146">
        <f t="shared" si="5"/>
        <v>10000</v>
      </c>
      <c r="D1569" s="146"/>
      <c r="E1569" s="305"/>
      <c r="F1569" s="383"/>
      <c r="G1569" s="154">
        <f>LEN('Expected Auditing Outcomes'!$F1569)</f>
        <v>0</v>
      </c>
      <c r="H1569" s="154"/>
    </row>
    <row r="1570" ht="15.75" hidden="1" customHeight="1">
      <c r="B1570" s="146"/>
      <c r="C1570" s="146">
        <f t="shared" si="5"/>
        <v>10000</v>
      </c>
      <c r="D1570" s="146"/>
      <c r="E1570" s="305"/>
      <c r="F1570" s="383"/>
      <c r="G1570" s="154">
        <f>LEN('Expected Auditing Outcomes'!$F1570)</f>
        <v>0</v>
      </c>
      <c r="H1570" s="154"/>
    </row>
    <row r="1571" ht="15.75" hidden="1" customHeight="1">
      <c r="B1571" s="146"/>
      <c r="C1571" s="146">
        <f t="shared" si="5"/>
        <v>10000</v>
      </c>
      <c r="D1571" s="146"/>
      <c r="E1571" s="305"/>
      <c r="F1571" s="383"/>
      <c r="G1571" s="154">
        <f>LEN('Expected Auditing Outcomes'!$F1571)</f>
        <v>0</v>
      </c>
      <c r="H1571" s="154"/>
    </row>
    <row r="1572" ht="15.75" hidden="1" customHeight="1">
      <c r="B1572" s="146"/>
      <c r="C1572" s="146">
        <f t="shared" si="5"/>
        <v>10000</v>
      </c>
      <c r="D1572" s="146"/>
      <c r="E1572" s="305"/>
      <c r="F1572" s="383"/>
      <c r="G1572" s="154">
        <f>LEN('Expected Auditing Outcomes'!$F1572)</f>
        <v>0</v>
      </c>
      <c r="H1572" s="154"/>
    </row>
    <row r="1573" ht="15.75" hidden="1" customHeight="1">
      <c r="B1573" s="146"/>
      <c r="C1573" s="146">
        <f t="shared" si="5"/>
        <v>10000</v>
      </c>
      <c r="D1573" s="146"/>
      <c r="E1573" s="305"/>
      <c r="F1573" s="383"/>
      <c r="G1573" s="154">
        <f>LEN('Expected Auditing Outcomes'!$F1573)</f>
        <v>0</v>
      </c>
      <c r="H1573" s="154"/>
    </row>
    <row r="1574" ht="15.75" hidden="1" customHeight="1">
      <c r="B1574" s="146"/>
      <c r="C1574" s="146">
        <f t="shared" si="5"/>
        <v>10000</v>
      </c>
      <c r="D1574" s="146"/>
      <c r="E1574" s="305"/>
      <c r="F1574" s="383"/>
      <c r="G1574" s="154">
        <f>LEN('Expected Auditing Outcomes'!$F1574)</f>
        <v>0</v>
      </c>
      <c r="H1574" s="154"/>
    </row>
    <row r="1575" ht="15.75" hidden="1" customHeight="1">
      <c r="B1575" s="146"/>
      <c r="C1575" s="146">
        <f t="shared" si="5"/>
        <v>10000</v>
      </c>
      <c r="D1575" s="146"/>
      <c r="E1575" s="305"/>
      <c r="F1575" s="383"/>
      <c r="G1575" s="154">
        <f>LEN('Expected Auditing Outcomes'!$F1575)</f>
        <v>0</v>
      </c>
      <c r="H1575" s="154"/>
    </row>
    <row r="1576" ht="15.75" hidden="1" customHeight="1">
      <c r="B1576" s="146"/>
      <c r="C1576" s="146">
        <f t="shared" si="5"/>
        <v>10000</v>
      </c>
      <c r="D1576" s="146"/>
      <c r="E1576" s="305"/>
      <c r="F1576" s="383"/>
      <c r="G1576" s="154">
        <f>LEN('Expected Auditing Outcomes'!$F1576)</f>
        <v>0</v>
      </c>
      <c r="H1576" s="154"/>
    </row>
    <row r="1577" ht="15.75" hidden="1" customHeight="1">
      <c r="B1577" s="146"/>
      <c r="C1577" s="146">
        <f t="shared" si="5"/>
        <v>10000</v>
      </c>
      <c r="D1577" s="146"/>
      <c r="E1577" s="305"/>
      <c r="F1577" s="383"/>
      <c r="G1577" s="154">
        <f>LEN('Expected Auditing Outcomes'!$F1577)</f>
        <v>0</v>
      </c>
      <c r="H1577" s="154"/>
    </row>
    <row r="1578" ht="15.75" hidden="1" customHeight="1">
      <c r="B1578" s="146"/>
      <c r="C1578" s="146">
        <f t="shared" si="5"/>
        <v>10000</v>
      </c>
      <c r="D1578" s="146"/>
      <c r="E1578" s="305"/>
      <c r="F1578" s="383"/>
      <c r="G1578" s="154">
        <f>LEN('Expected Auditing Outcomes'!$F1578)</f>
        <v>0</v>
      </c>
      <c r="H1578" s="154"/>
    </row>
    <row r="1579" ht="15.75" hidden="1" customHeight="1">
      <c r="B1579" s="146"/>
      <c r="C1579" s="146">
        <f t="shared" si="5"/>
        <v>10000</v>
      </c>
      <c r="D1579" s="146"/>
      <c r="E1579" s="305"/>
      <c r="F1579" s="383"/>
      <c r="G1579" s="154">
        <f>LEN('Expected Auditing Outcomes'!$F1579)</f>
        <v>0</v>
      </c>
      <c r="H1579" s="154"/>
    </row>
    <row r="1580" ht="15.75" hidden="1" customHeight="1">
      <c r="B1580" s="146"/>
      <c r="C1580" s="146">
        <f t="shared" si="5"/>
        <v>10000</v>
      </c>
      <c r="D1580" s="146"/>
      <c r="E1580" s="305"/>
      <c r="F1580" s="383"/>
      <c r="G1580" s="154">
        <f>LEN('Expected Auditing Outcomes'!$F1580)</f>
        <v>0</v>
      </c>
      <c r="H1580" s="154"/>
    </row>
    <row r="1581" ht="15.75" hidden="1" customHeight="1">
      <c r="B1581" s="146"/>
      <c r="C1581" s="146">
        <f t="shared" si="5"/>
        <v>10000</v>
      </c>
      <c r="D1581" s="146"/>
      <c r="E1581" s="305"/>
      <c r="F1581" s="383"/>
      <c r="G1581" s="154">
        <f>LEN('Expected Auditing Outcomes'!$F1581)</f>
        <v>0</v>
      </c>
      <c r="H1581" s="154"/>
    </row>
    <row r="1582" ht="15.75" hidden="1" customHeight="1">
      <c r="B1582" s="146"/>
      <c r="C1582" s="146">
        <f t="shared" si="5"/>
        <v>10000</v>
      </c>
      <c r="D1582" s="146"/>
      <c r="E1582" s="305"/>
      <c r="F1582" s="383"/>
      <c r="G1582" s="154">
        <f>LEN('Expected Auditing Outcomes'!$F1582)</f>
        <v>0</v>
      </c>
      <c r="H1582" s="154"/>
    </row>
    <row r="1583" ht="15.75" hidden="1" customHeight="1">
      <c r="B1583" s="146"/>
      <c r="C1583" s="146">
        <f t="shared" si="5"/>
        <v>10000</v>
      </c>
      <c r="D1583" s="146"/>
      <c r="E1583" s="305"/>
      <c r="F1583" s="383"/>
      <c r="G1583" s="154">
        <f>LEN('Expected Auditing Outcomes'!$F1583)</f>
        <v>0</v>
      </c>
      <c r="H1583" s="154"/>
    </row>
    <row r="1584" ht="15.75" hidden="1" customHeight="1">
      <c r="B1584" s="146"/>
      <c r="C1584" s="146">
        <f t="shared" si="5"/>
        <v>10000</v>
      </c>
      <c r="D1584" s="146"/>
      <c r="E1584" s="305"/>
      <c r="F1584" s="383"/>
      <c r="G1584" s="154">
        <f>LEN('Expected Auditing Outcomes'!$F1584)</f>
        <v>0</v>
      </c>
      <c r="H1584" s="154"/>
    </row>
    <row r="1585" ht="15.75" hidden="1" customHeight="1">
      <c r="B1585" s="146"/>
      <c r="C1585" s="146">
        <f t="shared" si="5"/>
        <v>10000</v>
      </c>
      <c r="D1585" s="146"/>
      <c r="E1585" s="305"/>
      <c r="F1585" s="383"/>
      <c r="G1585" s="154">
        <f>LEN('Expected Auditing Outcomes'!$F1585)</f>
        <v>0</v>
      </c>
      <c r="H1585" s="154"/>
    </row>
    <row r="1586" ht="15.75" hidden="1" customHeight="1">
      <c r="B1586" s="146"/>
      <c r="C1586" s="146">
        <f t="shared" si="5"/>
        <v>10000</v>
      </c>
      <c r="D1586" s="146"/>
      <c r="E1586" s="305"/>
      <c r="F1586" s="383"/>
      <c r="G1586" s="154">
        <f>LEN('Expected Auditing Outcomes'!$F1586)</f>
        <v>0</v>
      </c>
      <c r="H1586" s="154"/>
    </row>
    <row r="1587" ht="15.75" hidden="1" customHeight="1">
      <c r="B1587" s="146"/>
      <c r="C1587" s="146">
        <f t="shared" si="5"/>
        <v>10000</v>
      </c>
      <c r="D1587" s="146"/>
      <c r="E1587" s="305"/>
      <c r="F1587" s="383"/>
      <c r="G1587" s="154">
        <f>LEN('Expected Auditing Outcomes'!$F1587)</f>
        <v>0</v>
      </c>
      <c r="H1587" s="154"/>
    </row>
    <row r="1588" ht="15.75" hidden="1" customHeight="1">
      <c r="B1588" s="146"/>
      <c r="C1588" s="146">
        <f t="shared" si="5"/>
        <v>10000</v>
      </c>
      <c r="D1588" s="146"/>
      <c r="E1588" s="305"/>
      <c r="F1588" s="383"/>
      <c r="G1588" s="154">
        <f>LEN('Expected Auditing Outcomes'!$F1588)</f>
        <v>0</v>
      </c>
      <c r="H1588" s="154"/>
    </row>
    <row r="1589" ht="15.75" hidden="1" customHeight="1">
      <c r="B1589" s="146"/>
      <c r="C1589" s="146">
        <f t="shared" si="5"/>
        <v>10000</v>
      </c>
      <c r="D1589" s="146"/>
      <c r="E1589" s="305"/>
      <c r="F1589" s="383"/>
      <c r="G1589" s="154">
        <f>LEN('Expected Auditing Outcomes'!$F1589)</f>
        <v>0</v>
      </c>
      <c r="H1589" s="154"/>
    </row>
    <row r="1590" ht="15.75" hidden="1" customHeight="1">
      <c r="B1590" s="146"/>
      <c r="C1590" s="146">
        <f t="shared" si="5"/>
        <v>10000</v>
      </c>
      <c r="D1590" s="146"/>
      <c r="E1590" s="305"/>
      <c r="F1590" s="383"/>
      <c r="G1590" s="154">
        <f>LEN('Expected Auditing Outcomes'!$F1590)</f>
        <v>0</v>
      </c>
      <c r="H1590" s="154"/>
    </row>
    <row r="1591" ht="15.75" hidden="1" customHeight="1">
      <c r="B1591" s="146"/>
      <c r="C1591" s="146">
        <f t="shared" si="5"/>
        <v>10000</v>
      </c>
      <c r="D1591" s="146"/>
      <c r="E1591" s="305"/>
      <c r="F1591" s="383"/>
      <c r="G1591" s="154">
        <f>LEN('Expected Auditing Outcomes'!$F1591)</f>
        <v>0</v>
      </c>
      <c r="H1591" s="154"/>
    </row>
    <row r="1592" ht="15.75" hidden="1" customHeight="1">
      <c r="B1592" s="146"/>
      <c r="C1592" s="146">
        <f t="shared" si="5"/>
        <v>10000</v>
      </c>
      <c r="D1592" s="146"/>
      <c r="E1592" s="305"/>
      <c r="F1592" s="383"/>
      <c r="G1592" s="154">
        <f>LEN('Expected Auditing Outcomes'!$F1592)</f>
        <v>0</v>
      </c>
      <c r="H1592" s="154"/>
    </row>
    <row r="1593" ht="15.75" hidden="1" customHeight="1">
      <c r="B1593" s="146"/>
      <c r="C1593" s="146">
        <f t="shared" si="5"/>
        <v>10000</v>
      </c>
      <c r="D1593" s="146"/>
      <c r="E1593" s="305"/>
      <c r="F1593" s="383"/>
      <c r="G1593" s="154">
        <f>LEN('Expected Auditing Outcomes'!$F1593)</f>
        <v>0</v>
      </c>
      <c r="H1593" s="154"/>
    </row>
    <row r="1594" ht="15.75" hidden="1" customHeight="1">
      <c r="B1594" s="146"/>
      <c r="C1594" s="146">
        <f t="shared" si="5"/>
        <v>10000</v>
      </c>
      <c r="D1594" s="146"/>
      <c r="E1594" s="305"/>
      <c r="F1594" s="383"/>
      <c r="G1594" s="154">
        <f>LEN('Expected Auditing Outcomes'!$F1594)</f>
        <v>0</v>
      </c>
      <c r="H1594" s="154"/>
    </row>
    <row r="1595" ht="15.75" hidden="1" customHeight="1">
      <c r="B1595" s="146"/>
      <c r="C1595" s="146">
        <f t="shared" si="5"/>
        <v>10000</v>
      </c>
      <c r="D1595" s="146"/>
      <c r="E1595" s="305"/>
      <c r="F1595" s="383"/>
      <c r="G1595" s="154">
        <f>LEN('Expected Auditing Outcomes'!$F1595)</f>
        <v>0</v>
      </c>
      <c r="H1595" s="154"/>
    </row>
    <row r="1596" ht="15.75" hidden="1" customHeight="1">
      <c r="B1596" s="146"/>
      <c r="C1596" s="146">
        <f t="shared" si="5"/>
        <v>10000</v>
      </c>
      <c r="D1596" s="146"/>
      <c r="E1596" s="305"/>
      <c r="F1596" s="383"/>
      <c r="G1596" s="154">
        <f>LEN('Expected Auditing Outcomes'!$F1596)</f>
        <v>0</v>
      </c>
      <c r="H1596" s="154"/>
    </row>
    <row r="1597" ht="15.75" hidden="1" customHeight="1">
      <c r="B1597" s="146"/>
      <c r="C1597" s="146">
        <f t="shared" si="5"/>
        <v>10000</v>
      </c>
      <c r="D1597" s="146"/>
      <c r="E1597" s="305"/>
      <c r="F1597" s="383"/>
      <c r="G1597" s="154">
        <f>LEN('Expected Auditing Outcomes'!$F1597)</f>
        <v>0</v>
      </c>
      <c r="H1597" s="154"/>
    </row>
    <row r="1598" ht="15.75" hidden="1" customHeight="1">
      <c r="B1598" s="146"/>
      <c r="C1598" s="146">
        <f t="shared" si="5"/>
        <v>10000</v>
      </c>
      <c r="D1598" s="146"/>
      <c r="E1598" s="305"/>
      <c r="F1598" s="383"/>
      <c r="G1598" s="154">
        <f>LEN('Expected Auditing Outcomes'!$F1598)</f>
        <v>0</v>
      </c>
      <c r="H1598" s="154"/>
    </row>
    <row r="1599" ht="15.75" hidden="1" customHeight="1">
      <c r="B1599" s="146"/>
      <c r="C1599" s="146">
        <f t="shared" si="5"/>
        <v>10000</v>
      </c>
      <c r="D1599" s="146"/>
      <c r="E1599" s="305"/>
      <c r="F1599" s="383"/>
      <c r="G1599" s="154">
        <f>LEN('Expected Auditing Outcomes'!$F1599)</f>
        <v>0</v>
      </c>
      <c r="H1599" s="154"/>
    </row>
    <row r="1600" ht="15.75" hidden="1" customHeight="1">
      <c r="B1600" s="146"/>
      <c r="C1600" s="146">
        <f t="shared" si="5"/>
        <v>10000</v>
      </c>
      <c r="D1600" s="146"/>
      <c r="E1600" s="305"/>
      <c r="F1600" s="383"/>
      <c r="G1600" s="154">
        <f>LEN('Expected Auditing Outcomes'!$F1600)</f>
        <v>0</v>
      </c>
      <c r="H1600" s="154"/>
    </row>
    <row r="1601" ht="15.75" hidden="1" customHeight="1">
      <c r="B1601" s="146"/>
      <c r="C1601" s="146">
        <f t="shared" si="5"/>
        <v>10000</v>
      </c>
      <c r="D1601" s="146"/>
      <c r="E1601" s="305"/>
      <c r="F1601" s="383"/>
      <c r="G1601" s="154">
        <f>LEN('Expected Auditing Outcomes'!$F1601)</f>
        <v>0</v>
      </c>
      <c r="H1601" s="154"/>
    </row>
    <row r="1602" ht="15.75" hidden="1" customHeight="1">
      <c r="B1602" s="146"/>
      <c r="C1602" s="146">
        <f t="shared" si="5"/>
        <v>10000</v>
      </c>
      <c r="D1602" s="146"/>
      <c r="E1602" s="305"/>
      <c r="F1602" s="383"/>
      <c r="G1602" s="154">
        <f>LEN('Expected Auditing Outcomes'!$F1602)</f>
        <v>0</v>
      </c>
      <c r="H1602" s="154"/>
    </row>
    <row r="1603" ht="15.75" hidden="1" customHeight="1">
      <c r="B1603" s="146"/>
      <c r="C1603" s="146">
        <f t="shared" si="5"/>
        <v>10000</v>
      </c>
      <c r="D1603" s="146"/>
      <c r="E1603" s="305"/>
      <c r="F1603" s="383"/>
      <c r="G1603" s="154">
        <f>LEN('Expected Auditing Outcomes'!$F1603)</f>
        <v>0</v>
      </c>
      <c r="H1603" s="154"/>
    </row>
    <row r="1604" ht="15.75" hidden="1" customHeight="1">
      <c r="B1604" s="146"/>
      <c r="C1604" s="146">
        <f t="shared" si="5"/>
        <v>10000</v>
      </c>
      <c r="D1604" s="146"/>
      <c r="E1604" s="305"/>
      <c r="F1604" s="383"/>
      <c r="G1604" s="154">
        <f>LEN('Expected Auditing Outcomes'!$F1604)</f>
        <v>0</v>
      </c>
      <c r="H1604" s="154"/>
    </row>
    <row r="1605" ht="15.75" hidden="1" customHeight="1">
      <c r="B1605" s="146"/>
      <c r="C1605" s="146">
        <f t="shared" si="5"/>
        <v>10000</v>
      </c>
      <c r="D1605" s="146"/>
      <c r="E1605" s="305"/>
      <c r="F1605" s="383"/>
      <c r="G1605" s="154">
        <f>LEN('Expected Auditing Outcomes'!$F1605)</f>
        <v>0</v>
      </c>
      <c r="H1605" s="154"/>
    </row>
    <row r="1606" ht="15.75" hidden="1" customHeight="1">
      <c r="B1606" s="146"/>
      <c r="C1606" s="146">
        <f t="shared" si="5"/>
        <v>10000</v>
      </c>
      <c r="D1606" s="146"/>
      <c r="E1606" s="305"/>
      <c r="F1606" s="383"/>
      <c r="G1606" s="154">
        <f>LEN('Expected Auditing Outcomes'!$F1606)</f>
        <v>0</v>
      </c>
      <c r="H1606" s="154"/>
    </row>
    <row r="1607" ht="15.75" hidden="1" customHeight="1">
      <c r="B1607" s="146"/>
      <c r="C1607" s="146">
        <f t="shared" si="5"/>
        <v>10000</v>
      </c>
      <c r="D1607" s="146"/>
      <c r="E1607" s="305"/>
      <c r="F1607" s="383"/>
      <c r="G1607" s="154">
        <f>LEN('Expected Auditing Outcomes'!$F1607)</f>
        <v>0</v>
      </c>
      <c r="H1607" s="154"/>
    </row>
    <row r="1608" ht="15.75" hidden="1" customHeight="1">
      <c r="B1608" s="146"/>
      <c r="C1608" s="146">
        <f t="shared" si="5"/>
        <v>10000</v>
      </c>
      <c r="D1608" s="146"/>
      <c r="E1608" s="305"/>
      <c r="F1608" s="383"/>
      <c r="G1608" s="154">
        <f>LEN('Expected Auditing Outcomes'!$F1608)</f>
        <v>0</v>
      </c>
      <c r="H1608" s="154"/>
    </row>
    <row r="1609" ht="15.75" hidden="1" customHeight="1">
      <c r="B1609" s="146"/>
      <c r="C1609" s="146">
        <f t="shared" si="5"/>
        <v>10000</v>
      </c>
      <c r="D1609" s="146"/>
      <c r="E1609" s="305"/>
      <c r="F1609" s="383"/>
      <c r="G1609" s="154">
        <f>LEN('Expected Auditing Outcomes'!$F1609)</f>
        <v>0</v>
      </c>
      <c r="H1609" s="154"/>
    </row>
    <row r="1610" ht="15.75" hidden="1" customHeight="1">
      <c r="B1610" s="146"/>
      <c r="C1610" s="146">
        <f t="shared" si="5"/>
        <v>10000</v>
      </c>
      <c r="D1610" s="146"/>
      <c r="E1610" s="305"/>
      <c r="F1610" s="383"/>
      <c r="G1610" s="154">
        <f>LEN('Expected Auditing Outcomes'!$F1610)</f>
        <v>0</v>
      </c>
      <c r="H1610" s="154"/>
    </row>
    <row r="1611" ht="15.75" hidden="1" customHeight="1">
      <c r="B1611" s="146"/>
      <c r="C1611" s="146">
        <f t="shared" si="5"/>
        <v>10000</v>
      </c>
      <c r="D1611" s="146"/>
      <c r="E1611" s="305"/>
      <c r="F1611" s="383"/>
      <c r="G1611" s="154">
        <f>LEN('Expected Auditing Outcomes'!$F1611)</f>
        <v>0</v>
      </c>
      <c r="H1611" s="154"/>
    </row>
    <row r="1612" ht="15.75" hidden="1" customHeight="1">
      <c r="B1612" s="146"/>
      <c r="C1612" s="146">
        <f t="shared" si="5"/>
        <v>10000</v>
      </c>
      <c r="D1612" s="146"/>
      <c r="E1612" s="305"/>
      <c r="F1612" s="383"/>
      <c r="G1612" s="154">
        <f>LEN('Expected Auditing Outcomes'!$F1612)</f>
        <v>0</v>
      </c>
      <c r="H1612" s="154"/>
    </row>
    <row r="1613" ht="15.75" hidden="1" customHeight="1">
      <c r="B1613" s="146"/>
      <c r="C1613" s="146">
        <f t="shared" si="5"/>
        <v>10000</v>
      </c>
      <c r="D1613" s="146"/>
      <c r="E1613" s="305"/>
      <c r="F1613" s="383"/>
      <c r="G1613" s="154">
        <f>LEN('Expected Auditing Outcomes'!$F1613)</f>
        <v>0</v>
      </c>
      <c r="H1613" s="154"/>
    </row>
    <row r="1614" ht="15.75" hidden="1" customHeight="1">
      <c r="B1614" s="146"/>
      <c r="C1614" s="146">
        <f t="shared" si="5"/>
        <v>10000</v>
      </c>
      <c r="D1614" s="146"/>
      <c r="E1614" s="305"/>
      <c r="F1614" s="383"/>
      <c r="G1614" s="154">
        <f>LEN('Expected Auditing Outcomes'!$F1614)</f>
        <v>0</v>
      </c>
      <c r="H1614" s="154"/>
    </row>
    <row r="1615" ht="15.75" hidden="1" customHeight="1">
      <c r="B1615" s="146"/>
      <c r="C1615" s="146">
        <f t="shared" si="5"/>
        <v>10000</v>
      </c>
      <c r="D1615" s="146"/>
      <c r="E1615" s="305"/>
      <c r="F1615" s="383"/>
      <c r="G1615" s="154">
        <f>LEN('Expected Auditing Outcomes'!$F1615)</f>
        <v>0</v>
      </c>
      <c r="H1615" s="154"/>
    </row>
    <row r="1616" ht="15.75" hidden="1" customHeight="1">
      <c r="B1616" s="146"/>
      <c r="C1616" s="146">
        <f t="shared" si="5"/>
        <v>10000</v>
      </c>
      <c r="D1616" s="146"/>
      <c r="E1616" s="305"/>
      <c r="F1616" s="383"/>
      <c r="G1616" s="154">
        <f>LEN('Expected Auditing Outcomes'!$F1616)</f>
        <v>0</v>
      </c>
      <c r="H1616" s="154"/>
    </row>
    <row r="1617" ht="15.75" hidden="1" customHeight="1">
      <c r="B1617" s="146"/>
      <c r="C1617" s="146">
        <f t="shared" si="5"/>
        <v>10000</v>
      </c>
      <c r="D1617" s="146"/>
      <c r="E1617" s="305"/>
      <c r="F1617" s="383"/>
      <c r="G1617" s="154">
        <f>LEN('Expected Auditing Outcomes'!$F1617)</f>
        <v>0</v>
      </c>
      <c r="H1617" s="154"/>
    </row>
    <row r="1618" ht="15.75" hidden="1" customHeight="1">
      <c r="B1618" s="146"/>
      <c r="C1618" s="146">
        <f t="shared" si="5"/>
        <v>10000</v>
      </c>
      <c r="D1618" s="146"/>
      <c r="E1618" s="305"/>
      <c r="F1618" s="383"/>
      <c r="G1618" s="154">
        <f>LEN('Expected Auditing Outcomes'!$F1618)</f>
        <v>0</v>
      </c>
      <c r="H1618" s="154"/>
    </row>
    <row r="1619" ht="15.75" hidden="1" customHeight="1">
      <c r="B1619" s="146"/>
      <c r="C1619" s="146">
        <f t="shared" si="5"/>
        <v>10000</v>
      </c>
      <c r="D1619" s="146"/>
      <c r="E1619" s="305"/>
      <c r="F1619" s="383"/>
      <c r="G1619" s="154">
        <f>LEN('Expected Auditing Outcomes'!$F1619)</f>
        <v>0</v>
      </c>
      <c r="H1619" s="154"/>
    </row>
    <row r="1620" ht="15.75" hidden="1" customHeight="1">
      <c r="B1620" s="146"/>
      <c r="C1620" s="146">
        <f t="shared" si="5"/>
        <v>10000</v>
      </c>
      <c r="D1620" s="146"/>
      <c r="E1620" s="305"/>
      <c r="F1620" s="383"/>
      <c r="G1620" s="154">
        <f>LEN('Expected Auditing Outcomes'!$F1620)</f>
        <v>0</v>
      </c>
      <c r="H1620" s="154"/>
    </row>
    <row r="1621" ht="15.75" hidden="1" customHeight="1">
      <c r="B1621" s="146"/>
      <c r="C1621" s="146">
        <f t="shared" si="5"/>
        <v>10000</v>
      </c>
      <c r="D1621" s="146"/>
      <c r="E1621" s="305"/>
      <c r="F1621" s="383"/>
      <c r="G1621" s="154">
        <f>LEN('Expected Auditing Outcomes'!$F1621)</f>
        <v>0</v>
      </c>
      <c r="H1621" s="154"/>
    </row>
    <row r="1622" ht="15.75" hidden="1" customHeight="1">
      <c r="B1622" s="146"/>
      <c r="C1622" s="146">
        <f t="shared" si="5"/>
        <v>10000</v>
      </c>
      <c r="D1622" s="146"/>
      <c r="E1622" s="305"/>
      <c r="F1622" s="383"/>
      <c r="G1622" s="154">
        <f>LEN('Expected Auditing Outcomes'!$F1622)</f>
        <v>0</v>
      </c>
      <c r="H1622" s="154"/>
    </row>
    <row r="1623" ht="15.75" hidden="1" customHeight="1">
      <c r="B1623" s="146"/>
      <c r="C1623" s="146">
        <f t="shared" si="5"/>
        <v>10000</v>
      </c>
      <c r="D1623" s="146"/>
      <c r="E1623" s="305"/>
      <c r="F1623" s="383"/>
      <c r="G1623" s="154">
        <f>LEN('Expected Auditing Outcomes'!$F1623)</f>
        <v>0</v>
      </c>
      <c r="H1623" s="154"/>
    </row>
    <row r="1624" ht="15.75" hidden="1" customHeight="1">
      <c r="B1624" s="146"/>
      <c r="C1624" s="146">
        <f t="shared" si="5"/>
        <v>10000</v>
      </c>
      <c r="D1624" s="146"/>
      <c r="E1624" s="305"/>
      <c r="F1624" s="383"/>
      <c r="G1624" s="154">
        <f>LEN('Expected Auditing Outcomes'!$F1624)</f>
        <v>0</v>
      </c>
      <c r="H1624" s="154"/>
    </row>
    <row r="1625" ht="15.75" hidden="1" customHeight="1">
      <c r="B1625" s="146"/>
      <c r="C1625" s="146">
        <f t="shared" si="5"/>
        <v>10000</v>
      </c>
      <c r="D1625" s="146"/>
      <c r="E1625" s="305"/>
      <c r="F1625" s="383"/>
      <c r="G1625" s="154">
        <f>LEN('Expected Auditing Outcomes'!$F1625)</f>
        <v>0</v>
      </c>
      <c r="H1625" s="154"/>
    </row>
    <row r="1626" ht="15.75" hidden="1" customHeight="1">
      <c r="B1626" s="146"/>
      <c r="C1626" s="146">
        <f t="shared" si="5"/>
        <v>10000</v>
      </c>
      <c r="D1626" s="146"/>
      <c r="E1626" s="305"/>
      <c r="F1626" s="383"/>
      <c r="G1626" s="154">
        <f>LEN('Expected Auditing Outcomes'!$F1626)</f>
        <v>0</v>
      </c>
      <c r="H1626" s="154"/>
    </row>
    <row r="1627" ht="15.75" hidden="1" customHeight="1">
      <c r="B1627" s="146"/>
      <c r="C1627" s="146">
        <f t="shared" si="5"/>
        <v>10000</v>
      </c>
      <c r="D1627" s="146"/>
      <c r="E1627" s="305"/>
      <c r="F1627" s="383"/>
      <c r="G1627" s="154">
        <f>LEN('Expected Auditing Outcomes'!$F1627)</f>
        <v>0</v>
      </c>
      <c r="H1627" s="154"/>
    </row>
    <row r="1628" ht="15.75" hidden="1" customHeight="1">
      <c r="B1628" s="146"/>
      <c r="C1628" s="146">
        <f t="shared" si="5"/>
        <v>10000</v>
      </c>
      <c r="D1628" s="146"/>
      <c r="E1628" s="305"/>
      <c r="F1628" s="383"/>
      <c r="G1628" s="154">
        <f>LEN('Expected Auditing Outcomes'!$F1628)</f>
        <v>0</v>
      </c>
      <c r="H1628" s="154"/>
    </row>
    <row r="1629" ht="15.75" hidden="1" customHeight="1">
      <c r="B1629" s="146"/>
      <c r="C1629" s="146">
        <f t="shared" si="5"/>
        <v>10000</v>
      </c>
      <c r="D1629" s="146"/>
      <c r="E1629" s="305"/>
      <c r="F1629" s="383"/>
      <c r="G1629" s="154">
        <f>LEN('Expected Auditing Outcomes'!$F1629)</f>
        <v>0</v>
      </c>
      <c r="H1629" s="154"/>
    </row>
    <row r="1630" ht="15.75" hidden="1" customHeight="1">
      <c r="B1630" s="146"/>
      <c r="C1630" s="146">
        <f t="shared" si="5"/>
        <v>10000</v>
      </c>
      <c r="D1630" s="146"/>
      <c r="E1630" s="305"/>
      <c r="F1630" s="383"/>
      <c r="G1630" s="154">
        <f>LEN('Expected Auditing Outcomes'!$F1630)</f>
        <v>0</v>
      </c>
      <c r="H1630" s="154"/>
    </row>
    <row r="1631" ht="15.75" hidden="1" customHeight="1">
      <c r="B1631" s="146"/>
      <c r="C1631" s="146">
        <f t="shared" si="5"/>
        <v>10000</v>
      </c>
      <c r="D1631" s="146"/>
      <c r="E1631" s="305"/>
      <c r="F1631" s="383"/>
      <c r="G1631" s="154">
        <f>LEN('Expected Auditing Outcomes'!$F1631)</f>
        <v>0</v>
      </c>
      <c r="H1631" s="154"/>
    </row>
    <row r="1632" ht="15.75" hidden="1" customHeight="1">
      <c r="B1632" s="146"/>
      <c r="C1632" s="146">
        <f t="shared" si="5"/>
        <v>10000</v>
      </c>
      <c r="D1632" s="146"/>
      <c r="E1632" s="305"/>
      <c r="F1632" s="383"/>
      <c r="G1632" s="154">
        <f>LEN('Expected Auditing Outcomes'!$F1632)</f>
        <v>0</v>
      </c>
      <c r="H1632" s="154"/>
    </row>
    <row r="1633" ht="15.75" hidden="1" customHeight="1">
      <c r="B1633" s="146"/>
      <c r="C1633" s="146">
        <f t="shared" si="5"/>
        <v>10000</v>
      </c>
      <c r="D1633" s="146"/>
      <c r="E1633" s="305"/>
      <c r="F1633" s="383"/>
      <c r="G1633" s="154">
        <f>LEN('Expected Auditing Outcomes'!$F1633)</f>
        <v>0</v>
      </c>
      <c r="H1633" s="154"/>
    </row>
    <row r="1634" ht="15.75" hidden="1" customHeight="1">
      <c r="B1634" s="146"/>
      <c r="C1634" s="146">
        <f t="shared" si="5"/>
        <v>10000</v>
      </c>
      <c r="D1634" s="146"/>
      <c r="E1634" s="305"/>
      <c r="F1634" s="383"/>
      <c r="G1634" s="154">
        <f>LEN('Expected Auditing Outcomes'!$F1634)</f>
        <v>0</v>
      </c>
      <c r="H1634" s="154"/>
    </row>
    <row r="1635" ht="15.75" hidden="1" customHeight="1">
      <c r="B1635" s="146"/>
      <c r="C1635" s="146">
        <f t="shared" si="5"/>
        <v>10000</v>
      </c>
      <c r="D1635" s="146"/>
      <c r="E1635" s="305"/>
      <c r="F1635" s="383"/>
      <c r="G1635" s="154">
        <f>LEN('Expected Auditing Outcomes'!$F1635)</f>
        <v>0</v>
      </c>
      <c r="H1635" s="154"/>
    </row>
    <row r="1636" ht="15.75" hidden="1" customHeight="1">
      <c r="B1636" s="146"/>
      <c r="C1636" s="146">
        <f t="shared" si="5"/>
        <v>10000</v>
      </c>
      <c r="D1636" s="146"/>
      <c r="E1636" s="305"/>
      <c r="F1636" s="383"/>
      <c r="G1636" s="154">
        <f>LEN('Expected Auditing Outcomes'!$F1636)</f>
        <v>0</v>
      </c>
      <c r="H1636" s="154"/>
    </row>
    <row r="1637" ht="15.75" hidden="1" customHeight="1">
      <c r="B1637" s="146"/>
      <c r="C1637" s="146">
        <f t="shared" si="5"/>
        <v>10000</v>
      </c>
      <c r="D1637" s="146"/>
      <c r="E1637" s="305"/>
      <c r="F1637" s="383"/>
      <c r="G1637" s="154">
        <f>LEN('Expected Auditing Outcomes'!$F1637)</f>
        <v>0</v>
      </c>
      <c r="H1637" s="154"/>
    </row>
    <row r="1638" ht="15.75" hidden="1" customHeight="1">
      <c r="B1638" s="146"/>
      <c r="C1638" s="146">
        <f t="shared" si="5"/>
        <v>10000</v>
      </c>
      <c r="D1638" s="146"/>
      <c r="E1638" s="305"/>
      <c r="F1638" s="383"/>
      <c r="G1638" s="154">
        <f>LEN('Expected Auditing Outcomes'!$F1638)</f>
        <v>0</v>
      </c>
      <c r="H1638" s="154"/>
    </row>
    <row r="1639" ht="15.75" hidden="1" customHeight="1">
      <c r="B1639" s="146"/>
      <c r="C1639" s="146">
        <f t="shared" si="5"/>
        <v>10000</v>
      </c>
      <c r="D1639" s="146"/>
      <c r="E1639" s="305"/>
      <c r="F1639" s="383"/>
      <c r="G1639" s="154">
        <f>LEN('Expected Auditing Outcomes'!$F1639)</f>
        <v>0</v>
      </c>
      <c r="H1639" s="154"/>
    </row>
    <row r="1640" ht="15.75" hidden="1" customHeight="1">
      <c r="B1640" s="146"/>
      <c r="C1640" s="146">
        <f t="shared" si="5"/>
        <v>10000</v>
      </c>
      <c r="D1640" s="146"/>
      <c r="E1640" s="305"/>
      <c r="F1640" s="383"/>
      <c r="G1640" s="154">
        <f>LEN('Expected Auditing Outcomes'!$F1640)</f>
        <v>0</v>
      </c>
      <c r="H1640" s="154"/>
    </row>
    <row r="1641" ht="15.75" hidden="1" customHeight="1">
      <c r="B1641" s="146"/>
      <c r="C1641" s="146">
        <f t="shared" si="5"/>
        <v>10000</v>
      </c>
      <c r="D1641" s="146"/>
      <c r="E1641" s="305"/>
      <c r="F1641" s="383"/>
      <c r="G1641" s="154">
        <f>LEN('Expected Auditing Outcomes'!$F1641)</f>
        <v>0</v>
      </c>
      <c r="H1641" s="154"/>
    </row>
    <row r="1642" ht="15.75" hidden="1" customHeight="1">
      <c r="B1642" s="146"/>
      <c r="C1642" s="146">
        <f t="shared" si="5"/>
        <v>10000</v>
      </c>
      <c r="D1642" s="146"/>
      <c r="E1642" s="305"/>
      <c r="F1642" s="383"/>
      <c r="G1642" s="154">
        <f>LEN('Expected Auditing Outcomes'!$F1642)</f>
        <v>0</v>
      </c>
      <c r="H1642" s="154"/>
    </row>
    <row r="1643" ht="15.75" hidden="1" customHeight="1">
      <c r="B1643" s="146"/>
      <c r="C1643" s="146">
        <f t="shared" si="5"/>
        <v>10000</v>
      </c>
      <c r="D1643" s="146"/>
      <c r="E1643" s="305"/>
      <c r="F1643" s="383"/>
      <c r="G1643" s="154">
        <f>LEN('Expected Auditing Outcomes'!$F1643)</f>
        <v>0</v>
      </c>
      <c r="H1643" s="154"/>
    </row>
    <row r="1644" ht="15.75" hidden="1" customHeight="1">
      <c r="B1644" s="146"/>
      <c r="C1644" s="146">
        <f t="shared" si="5"/>
        <v>10000</v>
      </c>
      <c r="D1644" s="146"/>
      <c r="E1644" s="305"/>
      <c r="F1644" s="383"/>
      <c r="G1644" s="154">
        <f>LEN('Expected Auditing Outcomes'!$F1644)</f>
        <v>0</v>
      </c>
      <c r="H1644" s="154"/>
    </row>
    <row r="1645" ht="15.75" hidden="1" customHeight="1">
      <c r="B1645" s="146"/>
      <c r="C1645" s="146">
        <f t="shared" si="5"/>
        <v>10000</v>
      </c>
      <c r="D1645" s="146"/>
      <c r="E1645" s="305"/>
      <c r="F1645" s="383"/>
      <c r="G1645" s="154">
        <f>LEN('Expected Auditing Outcomes'!$F1645)</f>
        <v>0</v>
      </c>
      <c r="H1645" s="154"/>
    </row>
    <row r="1646" ht="15.75" hidden="1" customHeight="1">
      <c r="B1646" s="146"/>
      <c r="C1646" s="146">
        <f t="shared" si="5"/>
        <v>10000</v>
      </c>
      <c r="D1646" s="146"/>
      <c r="E1646" s="305"/>
      <c r="F1646" s="383"/>
      <c r="G1646" s="154">
        <f>LEN('Expected Auditing Outcomes'!$F1646)</f>
        <v>0</v>
      </c>
      <c r="H1646" s="154"/>
    </row>
    <row r="1647" ht="15.75" hidden="1" customHeight="1">
      <c r="B1647" s="146"/>
      <c r="C1647" s="146">
        <f t="shared" si="5"/>
        <v>10000</v>
      </c>
      <c r="D1647" s="146"/>
      <c r="E1647" s="305"/>
      <c r="F1647" s="383"/>
      <c r="G1647" s="154">
        <f>LEN('Expected Auditing Outcomes'!$F1647)</f>
        <v>0</v>
      </c>
      <c r="H1647" s="154"/>
    </row>
    <row r="1648" ht="15.75" hidden="1" customHeight="1">
      <c r="B1648" s="146"/>
      <c r="C1648" s="146">
        <f t="shared" si="5"/>
        <v>10000</v>
      </c>
      <c r="D1648" s="146"/>
      <c r="E1648" s="305"/>
      <c r="F1648" s="383"/>
      <c r="G1648" s="154">
        <f>LEN('Expected Auditing Outcomes'!$F1648)</f>
        <v>0</v>
      </c>
      <c r="H1648" s="154"/>
    </row>
    <row r="1649" ht="15.75" hidden="1" customHeight="1">
      <c r="B1649" s="146"/>
      <c r="C1649" s="146">
        <f t="shared" si="5"/>
        <v>10000</v>
      </c>
      <c r="D1649" s="146"/>
      <c r="E1649" s="305"/>
      <c r="F1649" s="383"/>
      <c r="G1649" s="154">
        <f>LEN('Expected Auditing Outcomes'!$F1649)</f>
        <v>0</v>
      </c>
      <c r="H1649" s="154"/>
    </row>
    <row r="1650" ht="15.75" hidden="1" customHeight="1">
      <c r="B1650" s="146"/>
      <c r="C1650" s="146">
        <f t="shared" si="5"/>
        <v>10000</v>
      </c>
      <c r="D1650" s="146"/>
      <c r="E1650" s="305"/>
      <c r="F1650" s="383"/>
      <c r="G1650" s="154">
        <f>LEN('Expected Auditing Outcomes'!$F1650)</f>
        <v>0</v>
      </c>
      <c r="H1650" s="154"/>
    </row>
    <row r="1651" ht="15.75" hidden="1" customHeight="1">
      <c r="B1651" s="146"/>
      <c r="C1651" s="146">
        <f t="shared" si="5"/>
        <v>10000</v>
      </c>
      <c r="D1651" s="146"/>
      <c r="E1651" s="305"/>
      <c r="F1651" s="383"/>
      <c r="G1651" s="154">
        <f>LEN('Expected Auditing Outcomes'!$F1651)</f>
        <v>0</v>
      </c>
      <c r="H1651" s="154"/>
    </row>
    <row r="1652" ht="15.75" hidden="1" customHeight="1">
      <c r="B1652" s="146"/>
      <c r="C1652" s="146">
        <f t="shared" si="5"/>
        <v>10000</v>
      </c>
      <c r="D1652" s="146"/>
      <c r="E1652" s="305"/>
      <c r="F1652" s="383"/>
      <c r="G1652" s="154">
        <f>LEN('Expected Auditing Outcomes'!$F1652)</f>
        <v>0</v>
      </c>
      <c r="H1652" s="154"/>
    </row>
    <row r="1653" ht="15.75" hidden="1" customHeight="1">
      <c r="B1653" s="146"/>
      <c r="C1653" s="146">
        <f t="shared" si="5"/>
        <v>10000</v>
      </c>
      <c r="D1653" s="146"/>
      <c r="E1653" s="305"/>
      <c r="F1653" s="383"/>
      <c r="G1653" s="154">
        <f>LEN('Expected Auditing Outcomes'!$F1653)</f>
        <v>0</v>
      </c>
      <c r="H1653" s="154"/>
    </row>
    <row r="1654" ht="15.75" hidden="1" customHeight="1">
      <c r="B1654" s="146"/>
      <c r="C1654" s="146">
        <f t="shared" si="5"/>
        <v>10000</v>
      </c>
      <c r="D1654" s="146"/>
      <c r="E1654" s="305"/>
      <c r="F1654" s="383"/>
      <c r="G1654" s="154">
        <f>LEN('Expected Auditing Outcomes'!$F1654)</f>
        <v>0</v>
      </c>
      <c r="H1654" s="154"/>
    </row>
    <row r="1655" ht="15.75" hidden="1" customHeight="1">
      <c r="B1655" s="146"/>
      <c r="C1655" s="146">
        <f t="shared" si="5"/>
        <v>10000</v>
      </c>
      <c r="D1655" s="146"/>
      <c r="E1655" s="305"/>
      <c r="F1655" s="383"/>
      <c r="G1655" s="154">
        <f>LEN('Expected Auditing Outcomes'!$F1655)</f>
        <v>0</v>
      </c>
      <c r="H1655" s="154"/>
    </row>
    <row r="1656" ht="15.75" hidden="1" customHeight="1">
      <c r="B1656" s="146"/>
      <c r="C1656" s="146">
        <f t="shared" si="5"/>
        <v>10000</v>
      </c>
      <c r="D1656" s="146"/>
      <c r="E1656" s="305"/>
      <c r="F1656" s="383"/>
      <c r="G1656" s="154">
        <f>LEN('Expected Auditing Outcomes'!$F1656)</f>
        <v>0</v>
      </c>
      <c r="H1656" s="154"/>
    </row>
    <row r="1657" ht="15.75" hidden="1" customHeight="1">
      <c r="B1657" s="146"/>
      <c r="C1657" s="146">
        <f t="shared" si="5"/>
        <v>10000</v>
      </c>
      <c r="D1657" s="146"/>
      <c r="E1657" s="305"/>
      <c r="F1657" s="383"/>
      <c r="G1657" s="154">
        <f>LEN('Expected Auditing Outcomes'!$F1657)</f>
        <v>0</v>
      </c>
      <c r="H1657" s="154"/>
    </row>
    <row r="1658" ht="15.75" hidden="1" customHeight="1">
      <c r="B1658" s="146"/>
      <c r="C1658" s="146">
        <f t="shared" si="5"/>
        <v>10000</v>
      </c>
      <c r="D1658" s="146"/>
      <c r="E1658" s="305"/>
      <c r="F1658" s="383"/>
      <c r="G1658" s="154">
        <f>LEN('Expected Auditing Outcomes'!$F1658)</f>
        <v>0</v>
      </c>
      <c r="H1658" s="154"/>
    </row>
    <row r="1659" ht="15.75" hidden="1" customHeight="1">
      <c r="B1659" s="146"/>
      <c r="C1659" s="146">
        <f t="shared" si="5"/>
        <v>10000</v>
      </c>
      <c r="D1659" s="146"/>
      <c r="E1659" s="305"/>
      <c r="F1659" s="383"/>
      <c r="G1659" s="154">
        <f>LEN('Expected Auditing Outcomes'!$F1659)</f>
        <v>0</v>
      </c>
      <c r="H1659" s="154"/>
    </row>
    <row r="1660" ht="15.75" hidden="1" customHeight="1">
      <c r="B1660" s="146"/>
      <c r="C1660" s="146">
        <f t="shared" si="5"/>
        <v>10000</v>
      </c>
      <c r="D1660" s="146"/>
      <c r="E1660" s="305"/>
      <c r="F1660" s="383"/>
      <c r="G1660" s="154">
        <f>LEN('Expected Auditing Outcomes'!$F1660)</f>
        <v>0</v>
      </c>
      <c r="H1660" s="154"/>
    </row>
    <row r="1661" ht="15.75" hidden="1" customHeight="1">
      <c r="B1661" s="146"/>
      <c r="C1661" s="146">
        <f t="shared" si="5"/>
        <v>10000</v>
      </c>
      <c r="D1661" s="146"/>
      <c r="E1661" s="305"/>
      <c r="F1661" s="383"/>
      <c r="G1661" s="154">
        <f>LEN('Expected Auditing Outcomes'!$F1661)</f>
        <v>0</v>
      </c>
      <c r="H1661" s="154"/>
    </row>
    <row r="1662" ht="15.75" hidden="1" customHeight="1">
      <c r="B1662" s="146"/>
      <c r="C1662" s="146">
        <f t="shared" si="5"/>
        <v>10000</v>
      </c>
      <c r="D1662" s="146"/>
      <c r="E1662" s="305"/>
      <c r="F1662" s="383"/>
      <c r="G1662" s="154">
        <f>LEN('Expected Auditing Outcomes'!$F1662)</f>
        <v>0</v>
      </c>
      <c r="H1662" s="154"/>
    </row>
    <row r="1663" ht="15.75" hidden="1" customHeight="1">
      <c r="B1663" s="146"/>
      <c r="C1663" s="146">
        <f t="shared" si="5"/>
        <v>10000</v>
      </c>
      <c r="D1663" s="146"/>
      <c r="E1663" s="305"/>
      <c r="F1663" s="383"/>
      <c r="G1663" s="154">
        <f>LEN('Expected Auditing Outcomes'!$F1663)</f>
        <v>0</v>
      </c>
      <c r="H1663" s="154"/>
    </row>
    <row r="1664" ht="15.75" hidden="1" customHeight="1">
      <c r="B1664" s="146"/>
      <c r="C1664" s="146">
        <f t="shared" si="5"/>
        <v>10000</v>
      </c>
      <c r="D1664" s="146"/>
      <c r="E1664" s="305"/>
      <c r="F1664" s="383"/>
      <c r="G1664" s="154">
        <f>LEN('Expected Auditing Outcomes'!$F1664)</f>
        <v>0</v>
      </c>
      <c r="H1664" s="154"/>
    </row>
    <row r="1665" ht="15.75" hidden="1" customHeight="1">
      <c r="B1665" s="146"/>
      <c r="C1665" s="146">
        <f t="shared" si="5"/>
        <v>10000</v>
      </c>
      <c r="D1665" s="146"/>
      <c r="E1665" s="305"/>
      <c r="F1665" s="383"/>
      <c r="G1665" s="154">
        <f>LEN('Expected Auditing Outcomes'!$F1665)</f>
        <v>0</v>
      </c>
      <c r="H1665" s="154"/>
    </row>
    <row r="1666" ht="15.75" hidden="1" customHeight="1">
      <c r="B1666" s="146"/>
      <c r="C1666" s="146">
        <f t="shared" si="5"/>
        <v>10000</v>
      </c>
      <c r="D1666" s="146"/>
      <c r="E1666" s="305"/>
      <c r="F1666" s="383"/>
      <c r="G1666" s="154">
        <f>LEN('Expected Auditing Outcomes'!$F1666)</f>
        <v>0</v>
      </c>
      <c r="H1666" s="154"/>
    </row>
    <row r="1667" ht="15.75" hidden="1" customHeight="1">
      <c r="B1667" s="146"/>
      <c r="C1667" s="146">
        <f t="shared" si="5"/>
        <v>10000</v>
      </c>
      <c r="D1667" s="146"/>
      <c r="E1667" s="305"/>
      <c r="F1667" s="383"/>
      <c r="G1667" s="154">
        <f>LEN('Expected Auditing Outcomes'!$F1667)</f>
        <v>0</v>
      </c>
      <c r="H1667" s="154"/>
    </row>
    <row r="1668" ht="15.75" hidden="1" customHeight="1">
      <c r="B1668" s="146"/>
      <c r="C1668" s="146">
        <f t="shared" si="5"/>
        <v>10000</v>
      </c>
      <c r="D1668" s="146"/>
      <c r="E1668" s="305"/>
      <c r="F1668" s="383"/>
      <c r="G1668" s="154">
        <f>LEN('Expected Auditing Outcomes'!$F1668)</f>
        <v>0</v>
      </c>
      <c r="H1668" s="154"/>
    </row>
    <row r="1669" ht="15.75" hidden="1" customHeight="1">
      <c r="B1669" s="146"/>
      <c r="C1669" s="146">
        <f t="shared" si="5"/>
        <v>10000</v>
      </c>
      <c r="D1669" s="146"/>
      <c r="E1669" s="305"/>
      <c r="F1669" s="383"/>
      <c r="G1669" s="154">
        <f>LEN('Expected Auditing Outcomes'!$F1669)</f>
        <v>0</v>
      </c>
      <c r="H1669" s="154"/>
    </row>
    <row r="1670" ht="15.75" hidden="1" customHeight="1">
      <c r="B1670" s="146"/>
      <c r="C1670" s="146">
        <f t="shared" si="5"/>
        <v>10000</v>
      </c>
      <c r="D1670" s="146"/>
      <c r="E1670" s="305"/>
      <c r="F1670" s="383"/>
      <c r="G1670" s="154">
        <f>LEN('Expected Auditing Outcomes'!$F1670)</f>
        <v>0</v>
      </c>
      <c r="H1670" s="154"/>
    </row>
    <row r="1671" ht="15.75" hidden="1" customHeight="1">
      <c r="B1671" s="146"/>
      <c r="C1671" s="146">
        <f t="shared" si="5"/>
        <v>10000</v>
      </c>
      <c r="D1671" s="146"/>
      <c r="E1671" s="305"/>
      <c r="F1671" s="383"/>
      <c r="G1671" s="154">
        <f>LEN('Expected Auditing Outcomes'!$F1671)</f>
        <v>0</v>
      </c>
      <c r="H1671" s="154"/>
    </row>
    <row r="1672" ht="15.75" hidden="1" customHeight="1">
      <c r="B1672" s="146"/>
      <c r="C1672" s="146">
        <f t="shared" si="5"/>
        <v>10000</v>
      </c>
      <c r="D1672" s="146"/>
      <c r="E1672" s="305"/>
      <c r="F1672" s="383"/>
      <c r="G1672" s="154">
        <f>LEN('Expected Auditing Outcomes'!$F1672)</f>
        <v>0</v>
      </c>
      <c r="H1672" s="154"/>
    </row>
    <row r="1673" ht="15.75" hidden="1" customHeight="1">
      <c r="B1673" s="146"/>
      <c r="C1673" s="146">
        <f t="shared" si="5"/>
        <v>10000</v>
      </c>
      <c r="D1673" s="146"/>
      <c r="E1673" s="305"/>
      <c r="F1673" s="383"/>
      <c r="G1673" s="154">
        <f>LEN('Expected Auditing Outcomes'!$F1673)</f>
        <v>0</v>
      </c>
      <c r="H1673" s="154"/>
    </row>
    <row r="1674" ht="15.75" hidden="1" customHeight="1">
      <c r="B1674" s="146"/>
      <c r="C1674" s="146">
        <f t="shared" si="5"/>
        <v>10000</v>
      </c>
      <c r="D1674" s="146"/>
      <c r="E1674" s="305"/>
      <c r="F1674" s="383"/>
      <c r="G1674" s="154">
        <f>LEN('Expected Auditing Outcomes'!$F1674)</f>
        <v>0</v>
      </c>
      <c r="H1674" s="154"/>
    </row>
    <row r="1675" ht="15.75" hidden="1" customHeight="1">
      <c r="B1675" s="146"/>
      <c r="C1675" s="146">
        <f t="shared" si="5"/>
        <v>10000</v>
      </c>
      <c r="D1675" s="146"/>
      <c r="E1675" s="305"/>
      <c r="F1675" s="383"/>
      <c r="G1675" s="154">
        <f>LEN('Expected Auditing Outcomes'!$F1675)</f>
        <v>0</v>
      </c>
      <c r="H1675" s="154"/>
    </row>
    <row r="1676" ht="15.75" hidden="1" customHeight="1">
      <c r="B1676" s="146"/>
      <c r="C1676" s="146">
        <f t="shared" si="5"/>
        <v>10000</v>
      </c>
      <c r="D1676" s="146"/>
      <c r="E1676" s="305"/>
      <c r="F1676" s="383"/>
      <c r="G1676" s="154">
        <f>LEN('Expected Auditing Outcomes'!$F1676)</f>
        <v>0</v>
      </c>
      <c r="H1676" s="154"/>
    </row>
    <row r="1677" ht="15.75" hidden="1" customHeight="1">
      <c r="B1677" s="146"/>
      <c r="C1677" s="146">
        <f t="shared" si="5"/>
        <v>10000</v>
      </c>
      <c r="D1677" s="146"/>
      <c r="E1677" s="305"/>
      <c r="F1677" s="383"/>
      <c r="G1677" s="154">
        <f>LEN('Expected Auditing Outcomes'!$F1677)</f>
        <v>0</v>
      </c>
      <c r="H1677" s="154"/>
    </row>
    <row r="1678" ht="15.75" hidden="1" customHeight="1">
      <c r="B1678" s="146"/>
      <c r="C1678" s="146">
        <f t="shared" si="5"/>
        <v>10000</v>
      </c>
      <c r="D1678" s="146"/>
      <c r="E1678" s="305"/>
      <c r="F1678" s="383"/>
      <c r="G1678" s="154">
        <f>LEN('Expected Auditing Outcomes'!$F1678)</f>
        <v>0</v>
      </c>
      <c r="H1678" s="154"/>
    </row>
    <row r="1679" ht="15.75" hidden="1" customHeight="1">
      <c r="B1679" s="146"/>
      <c r="C1679" s="146">
        <f t="shared" si="5"/>
        <v>10000</v>
      </c>
      <c r="D1679" s="146"/>
      <c r="E1679" s="305"/>
      <c r="F1679" s="383"/>
      <c r="G1679" s="154">
        <f>LEN('Expected Auditing Outcomes'!$F1679)</f>
        <v>0</v>
      </c>
      <c r="H1679" s="154"/>
    </row>
    <row r="1680" ht="15.75" hidden="1" customHeight="1">
      <c r="B1680" s="146"/>
      <c r="C1680" s="146">
        <f t="shared" si="5"/>
        <v>10000</v>
      </c>
      <c r="D1680" s="146"/>
      <c r="E1680" s="305"/>
      <c r="F1680" s="383"/>
      <c r="G1680" s="154">
        <f>LEN('Expected Auditing Outcomes'!$F1680)</f>
        <v>0</v>
      </c>
      <c r="H1680" s="154"/>
    </row>
    <row r="1681" ht="15.75" hidden="1" customHeight="1">
      <c r="B1681" s="146"/>
      <c r="C1681" s="146">
        <f t="shared" si="5"/>
        <v>10000</v>
      </c>
      <c r="D1681" s="146"/>
      <c r="E1681" s="305"/>
      <c r="F1681" s="383"/>
      <c r="G1681" s="154">
        <f>LEN('Expected Auditing Outcomes'!$F1681)</f>
        <v>0</v>
      </c>
      <c r="H1681" s="154"/>
    </row>
    <row r="1682" ht="15.75" hidden="1" customHeight="1">
      <c r="B1682" s="146"/>
      <c r="C1682" s="146">
        <f t="shared" si="5"/>
        <v>10000</v>
      </c>
      <c r="D1682" s="146"/>
      <c r="E1682" s="305"/>
      <c r="F1682" s="383"/>
      <c r="G1682" s="154">
        <f>LEN('Expected Auditing Outcomes'!$F1682)</f>
        <v>0</v>
      </c>
      <c r="H1682" s="154"/>
    </row>
    <row r="1683" ht="15.75" hidden="1" customHeight="1">
      <c r="B1683" s="146"/>
      <c r="C1683" s="146">
        <f t="shared" si="5"/>
        <v>10000</v>
      </c>
      <c r="D1683" s="146"/>
      <c r="E1683" s="305"/>
      <c r="F1683" s="383"/>
      <c r="G1683" s="154">
        <f>LEN('Expected Auditing Outcomes'!$F1683)</f>
        <v>0</v>
      </c>
      <c r="H1683" s="154"/>
    </row>
    <row r="1684" ht="15.75" hidden="1" customHeight="1">
      <c r="B1684" s="146"/>
      <c r="C1684" s="146">
        <f t="shared" si="5"/>
        <v>10000</v>
      </c>
      <c r="D1684" s="146"/>
      <c r="E1684" s="305"/>
      <c r="F1684" s="383"/>
      <c r="G1684" s="154">
        <f>LEN('Expected Auditing Outcomes'!$F1684)</f>
        <v>0</v>
      </c>
      <c r="H1684" s="154"/>
    </row>
    <row r="1685" ht="15.75" hidden="1" customHeight="1">
      <c r="B1685" s="146"/>
      <c r="C1685" s="146">
        <f t="shared" si="5"/>
        <v>10000</v>
      </c>
      <c r="D1685" s="146"/>
      <c r="E1685" s="305"/>
      <c r="F1685" s="383"/>
      <c r="G1685" s="154">
        <f>LEN('Expected Auditing Outcomes'!$F1685)</f>
        <v>0</v>
      </c>
      <c r="H1685" s="154"/>
    </row>
    <row r="1686" ht="15.75" hidden="1" customHeight="1">
      <c r="B1686" s="146"/>
      <c r="C1686" s="146">
        <f t="shared" si="5"/>
        <v>10000</v>
      </c>
      <c r="D1686" s="146"/>
      <c r="E1686" s="305"/>
      <c r="F1686" s="383"/>
      <c r="G1686" s="154">
        <f>LEN('Expected Auditing Outcomes'!$F1686)</f>
        <v>0</v>
      </c>
      <c r="H1686" s="154"/>
    </row>
    <row r="1687" ht="15.75" hidden="1" customHeight="1">
      <c r="B1687" s="146"/>
      <c r="C1687" s="146">
        <f t="shared" si="5"/>
        <v>10000</v>
      </c>
      <c r="D1687" s="146"/>
      <c r="E1687" s="305"/>
      <c r="F1687" s="383"/>
      <c r="G1687" s="154">
        <f>LEN('Expected Auditing Outcomes'!$F1687)</f>
        <v>0</v>
      </c>
      <c r="H1687" s="154"/>
    </row>
    <row r="1688" ht="15.75" hidden="1" customHeight="1">
      <c r="B1688" s="146"/>
      <c r="C1688" s="146">
        <f t="shared" si="5"/>
        <v>10000</v>
      </c>
      <c r="D1688" s="146"/>
      <c r="E1688" s="305"/>
      <c r="F1688" s="383"/>
      <c r="G1688" s="154">
        <f>LEN('Expected Auditing Outcomes'!$F1688)</f>
        <v>0</v>
      </c>
      <c r="H1688" s="154"/>
    </row>
    <row r="1689" ht="15.75" hidden="1" customHeight="1">
      <c r="B1689" s="146"/>
      <c r="C1689" s="146">
        <f t="shared" si="5"/>
        <v>10000</v>
      </c>
      <c r="D1689" s="146"/>
      <c r="E1689" s="305"/>
      <c r="F1689" s="383"/>
      <c r="G1689" s="154">
        <f>LEN('Expected Auditing Outcomes'!$F1689)</f>
        <v>0</v>
      </c>
      <c r="H1689" s="154"/>
    </row>
    <row r="1690" ht="15.75" hidden="1" customHeight="1">
      <c r="B1690" s="146"/>
      <c r="C1690" s="146">
        <f t="shared" si="5"/>
        <v>10000</v>
      </c>
      <c r="D1690" s="146"/>
      <c r="E1690" s="305"/>
      <c r="F1690" s="383"/>
      <c r="G1690" s="154">
        <f>LEN('Expected Auditing Outcomes'!$F1690)</f>
        <v>0</v>
      </c>
      <c r="H1690" s="154"/>
    </row>
    <row r="1691" ht="15.75" hidden="1" customHeight="1">
      <c r="B1691" s="146"/>
      <c r="C1691" s="146">
        <f t="shared" si="5"/>
        <v>10000</v>
      </c>
      <c r="D1691" s="146"/>
      <c r="E1691" s="305"/>
      <c r="F1691" s="383"/>
      <c r="G1691" s="154">
        <f>LEN('Expected Auditing Outcomes'!$F1691)</f>
        <v>0</v>
      </c>
      <c r="H1691" s="154"/>
    </row>
    <row r="1692" ht="15.75" hidden="1" customHeight="1">
      <c r="B1692" s="146"/>
      <c r="C1692" s="146">
        <f t="shared" si="5"/>
        <v>10000</v>
      </c>
      <c r="D1692" s="146"/>
      <c r="E1692" s="305"/>
      <c r="F1692" s="383"/>
      <c r="G1692" s="154">
        <f>LEN('Expected Auditing Outcomes'!$F1692)</f>
        <v>0</v>
      </c>
      <c r="H1692" s="154"/>
    </row>
    <row r="1693" ht="15.75" hidden="1" customHeight="1">
      <c r="B1693" s="146"/>
      <c r="C1693" s="146">
        <f t="shared" si="5"/>
        <v>10000</v>
      </c>
      <c r="D1693" s="146"/>
      <c r="E1693" s="305"/>
      <c r="F1693" s="383"/>
      <c r="G1693" s="154">
        <f>LEN('Expected Auditing Outcomes'!$F1693)</f>
        <v>0</v>
      </c>
      <c r="H1693" s="154"/>
    </row>
    <row r="1694" ht="15.75" hidden="1" customHeight="1">
      <c r="B1694" s="146"/>
      <c r="C1694" s="146">
        <f t="shared" si="5"/>
        <v>10000</v>
      </c>
      <c r="D1694" s="146"/>
      <c r="E1694" s="305"/>
      <c r="F1694" s="383"/>
      <c r="G1694" s="154">
        <f>LEN('Expected Auditing Outcomes'!$F1694)</f>
        <v>0</v>
      </c>
      <c r="H1694" s="154"/>
    </row>
    <row r="1695" ht="15.75" hidden="1" customHeight="1">
      <c r="B1695" s="146"/>
      <c r="C1695" s="146">
        <f t="shared" si="5"/>
        <v>10000</v>
      </c>
      <c r="D1695" s="146"/>
      <c r="E1695" s="305"/>
      <c r="F1695" s="383"/>
      <c r="G1695" s="154">
        <f>LEN('Expected Auditing Outcomes'!$F1695)</f>
        <v>0</v>
      </c>
      <c r="H1695" s="154"/>
    </row>
    <row r="1696" ht="15.75" hidden="1" customHeight="1">
      <c r="B1696" s="146"/>
      <c r="C1696" s="146">
        <f t="shared" si="5"/>
        <v>10000</v>
      </c>
      <c r="D1696" s="146"/>
      <c r="E1696" s="305"/>
      <c r="F1696" s="383"/>
      <c r="G1696" s="154">
        <f>LEN('Expected Auditing Outcomes'!$F1696)</f>
        <v>0</v>
      </c>
      <c r="H1696" s="154"/>
    </row>
    <row r="1697" ht="15.75" hidden="1" customHeight="1">
      <c r="B1697" s="146"/>
      <c r="C1697" s="146">
        <f t="shared" si="5"/>
        <v>10000</v>
      </c>
      <c r="D1697" s="146"/>
      <c r="E1697" s="305"/>
      <c r="F1697" s="383"/>
      <c r="G1697" s="154">
        <f>LEN('Expected Auditing Outcomes'!$F1697)</f>
        <v>0</v>
      </c>
      <c r="H1697" s="154"/>
    </row>
    <row r="1698" ht="15.75" hidden="1" customHeight="1">
      <c r="B1698" s="146"/>
      <c r="C1698" s="146">
        <f t="shared" si="5"/>
        <v>10000</v>
      </c>
      <c r="D1698" s="146"/>
      <c r="E1698" s="305"/>
      <c r="F1698" s="383"/>
      <c r="G1698" s="154">
        <f>LEN('Expected Auditing Outcomes'!$F1698)</f>
        <v>0</v>
      </c>
      <c r="H1698" s="154"/>
    </row>
    <row r="1699" ht="15.75" hidden="1" customHeight="1">
      <c r="B1699" s="146"/>
      <c r="C1699" s="146">
        <f t="shared" si="5"/>
        <v>10000</v>
      </c>
      <c r="D1699" s="146"/>
      <c r="E1699" s="305"/>
      <c r="F1699" s="383"/>
      <c r="G1699" s="154">
        <f>LEN('Expected Auditing Outcomes'!$F1699)</f>
        <v>0</v>
      </c>
      <c r="H1699" s="154"/>
    </row>
    <row r="1700" ht="15.75" hidden="1" customHeight="1">
      <c r="B1700" s="146"/>
      <c r="C1700" s="146">
        <f t="shared" si="5"/>
        <v>10000</v>
      </c>
      <c r="D1700" s="146"/>
      <c r="E1700" s="305"/>
      <c r="F1700" s="383"/>
      <c r="G1700" s="154">
        <f>LEN('Expected Auditing Outcomes'!$F1700)</f>
        <v>0</v>
      </c>
      <c r="H1700" s="154"/>
    </row>
    <row r="1701" ht="15.75" hidden="1" customHeight="1">
      <c r="B1701" s="146"/>
      <c r="C1701" s="146">
        <f t="shared" si="5"/>
        <v>10000</v>
      </c>
      <c r="D1701" s="146"/>
      <c r="E1701" s="305"/>
      <c r="F1701" s="383"/>
      <c r="G1701" s="154">
        <f>LEN('Expected Auditing Outcomes'!$F1701)</f>
        <v>0</v>
      </c>
      <c r="H1701" s="154"/>
    </row>
    <row r="1702" ht="15.75" hidden="1" customHeight="1">
      <c r="B1702" s="146"/>
      <c r="C1702" s="146">
        <f t="shared" si="5"/>
        <v>10000</v>
      </c>
      <c r="D1702" s="146"/>
      <c r="E1702" s="305"/>
      <c r="F1702" s="383"/>
      <c r="G1702" s="154">
        <f>LEN('Expected Auditing Outcomes'!$F1702)</f>
        <v>0</v>
      </c>
      <c r="H1702" s="154"/>
    </row>
    <row r="1703" ht="15.75" hidden="1" customHeight="1">
      <c r="B1703" s="146"/>
      <c r="C1703" s="146">
        <f t="shared" si="5"/>
        <v>10000</v>
      </c>
      <c r="D1703" s="146"/>
      <c r="E1703" s="305"/>
      <c r="F1703" s="383"/>
      <c r="G1703" s="154">
        <f>LEN('Expected Auditing Outcomes'!$F1703)</f>
        <v>0</v>
      </c>
      <c r="H1703" s="154"/>
    </row>
    <row r="1704" ht="15.75" hidden="1" customHeight="1">
      <c r="B1704" s="146"/>
      <c r="C1704" s="146">
        <f t="shared" si="5"/>
        <v>10000</v>
      </c>
      <c r="D1704" s="146"/>
      <c r="E1704" s="305"/>
      <c r="F1704" s="383"/>
      <c r="G1704" s="154">
        <f>LEN('Expected Auditing Outcomes'!$F1704)</f>
        <v>0</v>
      </c>
      <c r="H1704" s="154"/>
    </row>
    <row r="1705" ht="15.75" hidden="1" customHeight="1">
      <c r="B1705" s="146"/>
      <c r="C1705" s="146">
        <f t="shared" si="5"/>
        <v>10000</v>
      </c>
      <c r="D1705" s="146"/>
      <c r="E1705" s="305"/>
      <c r="F1705" s="383"/>
      <c r="G1705" s="154">
        <f>LEN('Expected Auditing Outcomes'!$F1705)</f>
        <v>0</v>
      </c>
      <c r="H1705" s="154"/>
    </row>
    <row r="1706" ht="15.75" hidden="1" customHeight="1">
      <c r="B1706" s="146"/>
      <c r="C1706" s="146">
        <f t="shared" si="5"/>
        <v>10000</v>
      </c>
      <c r="D1706" s="146"/>
      <c r="E1706" s="305"/>
      <c r="F1706" s="383"/>
      <c r="G1706" s="154">
        <f>LEN('Expected Auditing Outcomes'!$F1706)</f>
        <v>0</v>
      </c>
      <c r="H1706" s="154"/>
    </row>
    <row r="1707" ht="15.75" hidden="1" customHeight="1">
      <c r="B1707" s="146"/>
      <c r="C1707" s="146">
        <f t="shared" si="5"/>
        <v>10000</v>
      </c>
      <c r="D1707" s="146"/>
      <c r="E1707" s="305"/>
      <c r="F1707" s="383"/>
      <c r="G1707" s="154">
        <f>LEN('Expected Auditing Outcomes'!$F1707)</f>
        <v>0</v>
      </c>
      <c r="H1707" s="154"/>
    </row>
    <row r="1708" ht="15.75" hidden="1" customHeight="1">
      <c r="B1708" s="146"/>
      <c r="C1708" s="146">
        <f t="shared" si="5"/>
        <v>10000</v>
      </c>
      <c r="D1708" s="146"/>
      <c r="E1708" s="305"/>
      <c r="F1708" s="383"/>
      <c r="G1708" s="154">
        <f>LEN('Expected Auditing Outcomes'!$F1708)</f>
        <v>0</v>
      </c>
      <c r="H1708" s="154"/>
    </row>
    <row r="1709" ht="15.75" hidden="1" customHeight="1">
      <c r="B1709" s="146"/>
      <c r="C1709" s="146">
        <f t="shared" si="5"/>
        <v>10000</v>
      </c>
      <c r="D1709" s="146"/>
      <c r="E1709" s="305"/>
      <c r="F1709" s="383"/>
      <c r="G1709" s="154">
        <f>LEN('Expected Auditing Outcomes'!$F1709)</f>
        <v>0</v>
      </c>
      <c r="H1709" s="154"/>
    </row>
    <row r="1710" ht="15.75" hidden="1" customHeight="1">
      <c r="B1710" s="146"/>
      <c r="C1710" s="146">
        <f t="shared" si="5"/>
        <v>10000</v>
      </c>
      <c r="D1710" s="146"/>
      <c r="E1710" s="305"/>
      <c r="F1710" s="383"/>
      <c r="G1710" s="154">
        <f>LEN('Expected Auditing Outcomes'!$F1710)</f>
        <v>0</v>
      </c>
      <c r="H1710" s="154"/>
    </row>
    <row r="1711" ht="15.75" hidden="1" customHeight="1">
      <c r="B1711" s="146"/>
      <c r="C1711" s="146">
        <f t="shared" si="5"/>
        <v>10000</v>
      </c>
      <c r="D1711" s="146"/>
      <c r="E1711" s="305"/>
      <c r="F1711" s="383"/>
      <c r="G1711" s="154">
        <f>LEN('Expected Auditing Outcomes'!$F1711)</f>
        <v>0</v>
      </c>
      <c r="H1711" s="154"/>
    </row>
    <row r="1712" ht="15.75" hidden="1" customHeight="1">
      <c r="B1712" s="146"/>
      <c r="C1712" s="146">
        <f t="shared" si="5"/>
        <v>10000</v>
      </c>
      <c r="D1712" s="146"/>
      <c r="E1712" s="305"/>
      <c r="F1712" s="383"/>
      <c r="G1712" s="154">
        <f>LEN('Expected Auditing Outcomes'!$F1712)</f>
        <v>0</v>
      </c>
      <c r="H1712" s="154"/>
    </row>
    <row r="1713" ht="15.75" hidden="1" customHeight="1">
      <c r="B1713" s="146"/>
      <c r="C1713" s="146">
        <f t="shared" si="5"/>
        <v>10000</v>
      </c>
      <c r="D1713" s="146"/>
      <c r="E1713" s="305"/>
      <c r="F1713" s="383"/>
      <c r="G1713" s="154">
        <f>LEN('Expected Auditing Outcomes'!$F1713)</f>
        <v>0</v>
      </c>
      <c r="H1713" s="154"/>
    </row>
    <row r="1714" ht="15.75" hidden="1" customHeight="1">
      <c r="B1714" s="146"/>
      <c r="C1714" s="146">
        <f t="shared" si="5"/>
        <v>10000</v>
      </c>
      <c r="D1714" s="146"/>
      <c r="E1714" s="305"/>
      <c r="F1714" s="383"/>
      <c r="G1714" s="154">
        <f>LEN('Expected Auditing Outcomes'!$F1714)</f>
        <v>0</v>
      </c>
      <c r="H1714" s="154"/>
    </row>
    <row r="1715" ht="15.75" hidden="1" customHeight="1">
      <c r="B1715" s="146"/>
      <c r="C1715" s="146">
        <f t="shared" si="5"/>
        <v>10000</v>
      </c>
      <c r="D1715" s="146"/>
      <c r="E1715" s="305"/>
      <c r="F1715" s="383"/>
      <c r="G1715" s="154">
        <f>LEN('Expected Auditing Outcomes'!$F1715)</f>
        <v>0</v>
      </c>
      <c r="H1715" s="154"/>
    </row>
    <row r="1716" ht="15.75" hidden="1" customHeight="1">
      <c r="B1716" s="146"/>
      <c r="C1716" s="146">
        <f t="shared" si="5"/>
        <v>10000</v>
      </c>
      <c r="D1716" s="146"/>
      <c r="E1716" s="305"/>
      <c r="F1716" s="383"/>
      <c r="G1716" s="154">
        <f>LEN('Expected Auditing Outcomes'!$F1716)</f>
        <v>0</v>
      </c>
      <c r="H1716" s="154"/>
    </row>
    <row r="1717" ht="15.75" hidden="1" customHeight="1">
      <c r="B1717" s="146"/>
      <c r="C1717" s="146">
        <f t="shared" si="5"/>
        <v>10000</v>
      </c>
      <c r="D1717" s="146"/>
      <c r="E1717" s="305"/>
      <c r="F1717" s="383"/>
      <c r="G1717" s="154">
        <f>LEN('Expected Auditing Outcomes'!$F1717)</f>
        <v>0</v>
      </c>
      <c r="H1717" s="154"/>
    </row>
    <row r="1718" ht="15.75" hidden="1" customHeight="1">
      <c r="B1718" s="146"/>
      <c r="C1718" s="146">
        <f t="shared" si="5"/>
        <v>10000</v>
      </c>
      <c r="D1718" s="146"/>
      <c r="E1718" s="305"/>
      <c r="F1718" s="383"/>
      <c r="G1718" s="154">
        <f>LEN('Expected Auditing Outcomes'!$F1718)</f>
        <v>0</v>
      </c>
      <c r="H1718" s="154"/>
    </row>
    <row r="1719" ht="15.75" hidden="1" customHeight="1">
      <c r="B1719" s="146"/>
      <c r="C1719" s="146">
        <f t="shared" si="5"/>
        <v>10000</v>
      </c>
      <c r="D1719" s="146"/>
      <c r="E1719" s="305"/>
      <c r="F1719" s="383"/>
      <c r="G1719" s="154">
        <f>LEN('Expected Auditing Outcomes'!$F1719)</f>
        <v>0</v>
      </c>
      <c r="H1719" s="154"/>
    </row>
    <row r="1720" ht="15.75" hidden="1" customHeight="1">
      <c r="B1720" s="146"/>
      <c r="C1720" s="146">
        <f t="shared" si="5"/>
        <v>10000</v>
      </c>
      <c r="D1720" s="146"/>
      <c r="E1720" s="305"/>
      <c r="F1720" s="383"/>
      <c r="G1720" s="154">
        <f>LEN('Expected Auditing Outcomes'!$F1720)</f>
        <v>0</v>
      </c>
      <c r="H1720" s="154"/>
    </row>
    <row r="1721" ht="15.75" hidden="1" customHeight="1">
      <c r="B1721" s="146"/>
      <c r="C1721" s="146">
        <f t="shared" si="5"/>
        <v>10000</v>
      </c>
      <c r="D1721" s="146"/>
      <c r="E1721" s="305"/>
      <c r="F1721" s="383"/>
      <c r="G1721" s="154">
        <f>LEN('Expected Auditing Outcomes'!$F1721)</f>
        <v>0</v>
      </c>
      <c r="H1721" s="154"/>
    </row>
    <row r="1722" ht="15.75" hidden="1" customHeight="1">
      <c r="B1722" s="146"/>
      <c r="C1722" s="146">
        <f t="shared" si="5"/>
        <v>10000</v>
      </c>
      <c r="D1722" s="146"/>
      <c r="E1722" s="305"/>
      <c r="F1722" s="383"/>
      <c r="G1722" s="154">
        <f>LEN('Expected Auditing Outcomes'!$F1722)</f>
        <v>0</v>
      </c>
      <c r="H1722" s="154"/>
    </row>
    <row r="1723" ht="15.75" hidden="1" customHeight="1">
      <c r="B1723" s="146"/>
      <c r="C1723" s="146">
        <f t="shared" si="5"/>
        <v>10000</v>
      </c>
      <c r="D1723" s="146"/>
      <c r="E1723" s="305"/>
      <c r="F1723" s="383"/>
      <c r="G1723" s="154">
        <f>LEN('Expected Auditing Outcomes'!$F1723)</f>
        <v>0</v>
      </c>
      <c r="H1723" s="154"/>
    </row>
    <row r="1724" ht="15.75" hidden="1" customHeight="1">
      <c r="B1724" s="146"/>
      <c r="C1724" s="146">
        <f t="shared" si="5"/>
        <v>10000</v>
      </c>
      <c r="D1724" s="146"/>
      <c r="E1724" s="305"/>
      <c r="F1724" s="383"/>
      <c r="G1724" s="154">
        <f>LEN('Expected Auditing Outcomes'!$F1724)</f>
        <v>0</v>
      </c>
      <c r="H1724" s="154"/>
    </row>
    <row r="1725" ht="15.75" hidden="1" customHeight="1">
      <c r="B1725" s="146"/>
      <c r="C1725" s="146">
        <f t="shared" si="5"/>
        <v>10000</v>
      </c>
      <c r="D1725" s="146"/>
      <c r="E1725" s="305"/>
      <c r="F1725" s="383"/>
      <c r="G1725" s="154">
        <f>LEN('Expected Auditing Outcomes'!$F1725)</f>
        <v>0</v>
      </c>
      <c r="H1725" s="154"/>
    </row>
    <row r="1726" ht="15.75" hidden="1" customHeight="1">
      <c r="B1726" s="146"/>
      <c r="C1726" s="146">
        <f t="shared" si="5"/>
        <v>10000</v>
      </c>
      <c r="D1726" s="146"/>
      <c r="E1726" s="305"/>
      <c r="F1726" s="383"/>
      <c r="G1726" s="154">
        <f>LEN('Expected Auditing Outcomes'!$F1726)</f>
        <v>0</v>
      </c>
      <c r="H1726" s="154"/>
    </row>
    <row r="1727" ht="15.75" hidden="1" customHeight="1">
      <c r="B1727" s="146"/>
      <c r="C1727" s="146">
        <f t="shared" si="5"/>
        <v>10000</v>
      </c>
      <c r="D1727" s="146"/>
      <c r="E1727" s="305"/>
      <c r="F1727" s="383"/>
      <c r="G1727" s="154">
        <f>LEN('Expected Auditing Outcomes'!$F1727)</f>
        <v>0</v>
      </c>
      <c r="H1727" s="154"/>
    </row>
    <row r="1728" ht="15.75" hidden="1" customHeight="1">
      <c r="B1728" s="146"/>
      <c r="C1728" s="146">
        <f t="shared" si="5"/>
        <v>10000</v>
      </c>
      <c r="D1728" s="146"/>
      <c r="E1728" s="305"/>
      <c r="F1728" s="383"/>
      <c r="G1728" s="154">
        <f>LEN('Expected Auditing Outcomes'!$F1728)</f>
        <v>0</v>
      </c>
      <c r="H1728" s="154"/>
    </row>
    <row r="1729" ht="15.75" hidden="1" customHeight="1">
      <c r="B1729" s="146"/>
      <c r="C1729" s="146">
        <f t="shared" si="5"/>
        <v>10000</v>
      </c>
      <c r="D1729" s="146"/>
      <c r="E1729" s="305"/>
      <c r="F1729" s="383"/>
      <c r="G1729" s="154">
        <f>LEN('Expected Auditing Outcomes'!$F1729)</f>
        <v>0</v>
      </c>
      <c r="H1729" s="154"/>
    </row>
    <row r="1730" ht="15.75" hidden="1" customHeight="1">
      <c r="B1730" s="146"/>
      <c r="C1730" s="146">
        <f t="shared" si="5"/>
        <v>10000</v>
      </c>
      <c r="D1730" s="146"/>
      <c r="E1730" s="305"/>
      <c r="F1730" s="383"/>
      <c r="G1730" s="154">
        <f>LEN('Expected Auditing Outcomes'!$F1730)</f>
        <v>0</v>
      </c>
      <c r="H1730" s="154"/>
    </row>
    <row r="1731" ht="15.75" hidden="1" customHeight="1">
      <c r="B1731" s="146"/>
      <c r="C1731" s="146">
        <f t="shared" si="5"/>
        <v>10000</v>
      </c>
      <c r="D1731" s="146"/>
      <c r="E1731" s="305"/>
      <c r="F1731" s="383"/>
      <c r="G1731" s="154">
        <f>LEN('Expected Auditing Outcomes'!$F1731)</f>
        <v>0</v>
      </c>
      <c r="H1731" s="154"/>
    </row>
    <row r="1732" ht="15.75" hidden="1" customHeight="1">
      <c r="B1732" s="146"/>
      <c r="C1732" s="146">
        <f t="shared" si="5"/>
        <v>10000</v>
      </c>
      <c r="D1732" s="146"/>
      <c r="E1732" s="305"/>
      <c r="F1732" s="383"/>
      <c r="G1732" s="154">
        <f>LEN('Expected Auditing Outcomes'!$F1732)</f>
        <v>0</v>
      </c>
      <c r="H1732" s="154"/>
    </row>
    <row r="1733" ht="15.75" hidden="1" customHeight="1">
      <c r="B1733" s="146"/>
      <c r="C1733" s="146">
        <f t="shared" si="5"/>
        <v>10000</v>
      </c>
      <c r="D1733" s="146"/>
      <c r="E1733" s="305"/>
      <c r="F1733" s="383"/>
      <c r="G1733" s="154">
        <f>LEN('Expected Auditing Outcomes'!$F1733)</f>
        <v>0</v>
      </c>
      <c r="H1733" s="154"/>
    </row>
    <row r="1734" ht="15.75" hidden="1" customHeight="1">
      <c r="B1734" s="146"/>
      <c r="C1734" s="146">
        <f t="shared" si="5"/>
        <v>10000</v>
      </c>
      <c r="D1734" s="146"/>
      <c r="E1734" s="305"/>
      <c r="F1734" s="383"/>
      <c r="G1734" s="154">
        <f>LEN('Expected Auditing Outcomes'!$F1734)</f>
        <v>0</v>
      </c>
      <c r="H1734" s="154"/>
    </row>
    <row r="1735" ht="15.75" hidden="1" customHeight="1">
      <c r="B1735" s="146"/>
      <c r="C1735" s="146">
        <f t="shared" si="5"/>
        <v>10000</v>
      </c>
      <c r="D1735" s="146"/>
      <c r="E1735" s="305"/>
      <c r="F1735" s="383"/>
      <c r="G1735" s="154">
        <f>LEN('Expected Auditing Outcomes'!$F1735)</f>
        <v>0</v>
      </c>
      <c r="H1735" s="154"/>
    </row>
    <row r="1736" ht="15.75" hidden="1" customHeight="1">
      <c r="B1736" s="146"/>
      <c r="C1736" s="146">
        <f t="shared" si="5"/>
        <v>10000</v>
      </c>
      <c r="D1736" s="146"/>
      <c r="E1736" s="305"/>
      <c r="F1736" s="383"/>
      <c r="G1736" s="154">
        <f>LEN('Expected Auditing Outcomes'!$F1736)</f>
        <v>0</v>
      </c>
      <c r="H1736" s="154"/>
    </row>
    <row r="1737" ht="15.75" hidden="1" customHeight="1">
      <c r="B1737" s="146"/>
      <c r="C1737" s="146">
        <f t="shared" si="5"/>
        <v>10000</v>
      </c>
      <c r="D1737" s="146"/>
      <c r="E1737" s="305"/>
      <c r="F1737" s="383"/>
      <c r="G1737" s="154">
        <f>LEN('Expected Auditing Outcomes'!$F1737)</f>
        <v>0</v>
      </c>
      <c r="H1737" s="154"/>
    </row>
    <row r="1738" ht="15.75" hidden="1" customHeight="1">
      <c r="B1738" s="146"/>
      <c r="C1738" s="146">
        <f t="shared" si="5"/>
        <v>10000</v>
      </c>
      <c r="D1738" s="146"/>
      <c r="E1738" s="305"/>
      <c r="F1738" s="383"/>
      <c r="G1738" s="154">
        <f>LEN('Expected Auditing Outcomes'!$F1738)</f>
        <v>0</v>
      </c>
      <c r="H1738" s="154"/>
    </row>
    <row r="1739" ht="15.75" hidden="1" customHeight="1">
      <c r="B1739" s="146"/>
      <c r="C1739" s="146">
        <f t="shared" si="5"/>
        <v>10000</v>
      </c>
      <c r="D1739" s="146"/>
      <c r="E1739" s="305"/>
      <c r="F1739" s="383"/>
      <c r="G1739" s="154">
        <f>LEN('Expected Auditing Outcomes'!$F1739)</f>
        <v>0</v>
      </c>
      <c r="H1739" s="154"/>
    </row>
    <row r="1740" ht="15.75" hidden="1" customHeight="1">
      <c r="B1740" s="146"/>
      <c r="C1740" s="146">
        <f t="shared" si="5"/>
        <v>10000</v>
      </c>
      <c r="D1740" s="146"/>
      <c r="E1740" s="305"/>
      <c r="F1740" s="383"/>
      <c r="G1740" s="154">
        <f>LEN('Expected Auditing Outcomes'!$F1740)</f>
        <v>0</v>
      </c>
      <c r="H1740" s="154"/>
    </row>
    <row r="1741" ht="15.75" hidden="1" customHeight="1">
      <c r="B1741" s="146"/>
      <c r="C1741" s="146">
        <f t="shared" si="5"/>
        <v>10000</v>
      </c>
      <c r="D1741" s="146"/>
      <c r="E1741" s="305"/>
      <c r="F1741" s="383"/>
      <c r="G1741" s="154">
        <f>LEN('Expected Auditing Outcomes'!$F1741)</f>
        <v>0</v>
      </c>
      <c r="H1741" s="154"/>
    </row>
    <row r="1742" ht="15.75" hidden="1" customHeight="1">
      <c r="B1742" s="146"/>
      <c r="C1742" s="146">
        <f t="shared" si="5"/>
        <v>10000</v>
      </c>
      <c r="D1742" s="146"/>
      <c r="E1742" s="305"/>
      <c r="F1742" s="383"/>
      <c r="G1742" s="154">
        <f>LEN('Expected Auditing Outcomes'!$F1742)</f>
        <v>0</v>
      </c>
      <c r="H1742" s="154"/>
    </row>
    <row r="1743" ht="15.75" hidden="1" customHeight="1">
      <c r="B1743" s="146"/>
      <c r="C1743" s="146">
        <f t="shared" si="5"/>
        <v>10000</v>
      </c>
      <c r="D1743" s="146"/>
      <c r="E1743" s="305"/>
      <c r="F1743" s="383"/>
      <c r="G1743" s="154">
        <f>LEN('Expected Auditing Outcomes'!$F1743)</f>
        <v>0</v>
      </c>
      <c r="H1743" s="154"/>
    </row>
    <row r="1744" ht="15.75" hidden="1" customHeight="1">
      <c r="B1744" s="146"/>
      <c r="C1744" s="146">
        <f t="shared" si="5"/>
        <v>10000</v>
      </c>
      <c r="D1744" s="146"/>
      <c r="E1744" s="305"/>
      <c r="F1744" s="383"/>
      <c r="G1744" s="154">
        <f>LEN('Expected Auditing Outcomes'!$F1744)</f>
        <v>0</v>
      </c>
      <c r="H1744" s="154"/>
    </row>
    <row r="1745" ht="15.75" hidden="1" customHeight="1">
      <c r="B1745" s="146"/>
      <c r="C1745" s="146">
        <f t="shared" si="5"/>
        <v>10000</v>
      </c>
      <c r="D1745" s="146"/>
      <c r="E1745" s="305"/>
      <c r="F1745" s="383"/>
      <c r="G1745" s="154">
        <f>LEN('Expected Auditing Outcomes'!$F1745)</f>
        <v>0</v>
      </c>
      <c r="H1745" s="154"/>
    </row>
    <row r="1746" ht="15.75" hidden="1" customHeight="1">
      <c r="B1746" s="146"/>
      <c r="C1746" s="146">
        <f t="shared" si="5"/>
        <v>10000</v>
      </c>
      <c r="D1746" s="146"/>
      <c r="E1746" s="305"/>
      <c r="F1746" s="383"/>
      <c r="G1746" s="154">
        <f>LEN('Expected Auditing Outcomes'!$F1746)</f>
        <v>0</v>
      </c>
      <c r="H1746" s="154"/>
    </row>
    <row r="1747" ht="15.75" hidden="1" customHeight="1">
      <c r="B1747" s="146"/>
      <c r="C1747" s="146">
        <f t="shared" si="5"/>
        <v>10000</v>
      </c>
      <c r="D1747" s="146"/>
      <c r="E1747" s="305"/>
      <c r="F1747" s="383"/>
      <c r="G1747" s="154">
        <f>LEN('Expected Auditing Outcomes'!$F1747)</f>
        <v>0</v>
      </c>
      <c r="H1747" s="154"/>
    </row>
    <row r="1748" ht="15.75" hidden="1" customHeight="1">
      <c r="B1748" s="146"/>
      <c r="C1748" s="146">
        <f t="shared" si="5"/>
        <v>10000</v>
      </c>
      <c r="D1748" s="146"/>
      <c r="E1748" s="305"/>
      <c r="F1748" s="383"/>
      <c r="G1748" s="154">
        <f>LEN('Expected Auditing Outcomes'!$F1748)</f>
        <v>0</v>
      </c>
      <c r="H1748" s="154"/>
    </row>
    <row r="1749" ht="15.75" hidden="1" customHeight="1">
      <c r="B1749" s="146"/>
      <c r="C1749" s="146">
        <f t="shared" si="5"/>
        <v>10000</v>
      </c>
      <c r="D1749" s="146"/>
      <c r="E1749" s="305"/>
      <c r="F1749" s="383"/>
      <c r="G1749" s="154">
        <f>LEN('Expected Auditing Outcomes'!$F1749)</f>
        <v>0</v>
      </c>
      <c r="H1749" s="154"/>
    </row>
    <row r="1750" ht="15.75" hidden="1" customHeight="1">
      <c r="B1750" s="146"/>
      <c r="C1750" s="146">
        <f t="shared" si="5"/>
        <v>10000</v>
      </c>
      <c r="D1750" s="146"/>
      <c r="E1750" s="305"/>
      <c r="F1750" s="383"/>
      <c r="G1750" s="154">
        <f>LEN('Expected Auditing Outcomes'!$F1750)</f>
        <v>0</v>
      </c>
      <c r="H1750" s="154"/>
    </row>
    <row r="1751" ht="15.75" hidden="1" customHeight="1">
      <c r="B1751" s="146"/>
      <c r="C1751" s="146">
        <f t="shared" si="5"/>
        <v>10000</v>
      </c>
      <c r="D1751" s="146"/>
      <c r="E1751" s="305"/>
      <c r="F1751" s="383"/>
      <c r="G1751" s="154">
        <f>LEN('Expected Auditing Outcomes'!$F1751)</f>
        <v>0</v>
      </c>
      <c r="H1751" s="154"/>
    </row>
    <row r="1752" ht="15.75" hidden="1" customHeight="1">
      <c r="B1752" s="146"/>
      <c r="C1752" s="146">
        <f t="shared" si="5"/>
        <v>10000</v>
      </c>
      <c r="D1752" s="146"/>
      <c r="E1752" s="305"/>
      <c r="F1752" s="383"/>
      <c r="G1752" s="154">
        <f>LEN('Expected Auditing Outcomes'!$F1752)</f>
        <v>0</v>
      </c>
      <c r="H1752" s="154"/>
    </row>
    <row r="1753" ht="15.75" hidden="1" customHeight="1">
      <c r="B1753" s="146"/>
      <c r="C1753" s="146">
        <f t="shared" si="5"/>
        <v>10000</v>
      </c>
      <c r="D1753" s="146"/>
      <c r="E1753" s="305"/>
      <c r="F1753" s="383"/>
      <c r="G1753" s="154">
        <f>LEN('Expected Auditing Outcomes'!$F1753)</f>
        <v>0</v>
      </c>
      <c r="H1753" s="154"/>
    </row>
    <row r="1754" ht="15.75" hidden="1" customHeight="1">
      <c r="B1754" s="146"/>
      <c r="C1754" s="146">
        <f t="shared" si="5"/>
        <v>10000</v>
      </c>
      <c r="D1754" s="146"/>
      <c r="E1754" s="305"/>
      <c r="F1754" s="383"/>
      <c r="G1754" s="154">
        <f>LEN('Expected Auditing Outcomes'!$F1754)</f>
        <v>0</v>
      </c>
      <c r="H1754" s="154"/>
    </row>
    <row r="1755" ht="15.75" hidden="1" customHeight="1">
      <c r="B1755" s="146"/>
      <c r="C1755" s="146">
        <f t="shared" si="5"/>
        <v>10000</v>
      </c>
      <c r="D1755" s="146"/>
      <c r="E1755" s="305"/>
      <c r="F1755" s="383"/>
      <c r="G1755" s="154">
        <f>LEN('Expected Auditing Outcomes'!$F1755)</f>
        <v>0</v>
      </c>
      <c r="H1755" s="154"/>
    </row>
    <row r="1756" ht="15.75" hidden="1" customHeight="1">
      <c r="B1756" s="146"/>
      <c r="C1756" s="146">
        <f t="shared" si="5"/>
        <v>10000</v>
      </c>
      <c r="D1756" s="146"/>
      <c r="E1756" s="305"/>
      <c r="F1756" s="383"/>
      <c r="G1756" s="154">
        <f>LEN('Expected Auditing Outcomes'!$F1756)</f>
        <v>0</v>
      </c>
      <c r="H1756" s="154"/>
    </row>
    <row r="1757" ht="15.75" hidden="1" customHeight="1">
      <c r="B1757" s="146"/>
      <c r="C1757" s="146">
        <f t="shared" si="5"/>
        <v>10000</v>
      </c>
      <c r="D1757" s="146"/>
      <c r="E1757" s="305"/>
      <c r="F1757" s="383"/>
      <c r="G1757" s="154">
        <f>LEN('Expected Auditing Outcomes'!$F1757)</f>
        <v>0</v>
      </c>
      <c r="H1757" s="154"/>
    </row>
    <row r="1758" ht="15.75" hidden="1" customHeight="1">
      <c r="B1758" s="146"/>
      <c r="C1758" s="146">
        <f t="shared" si="5"/>
        <v>10000</v>
      </c>
      <c r="D1758" s="146"/>
      <c r="E1758" s="305"/>
      <c r="F1758" s="383"/>
      <c r="G1758" s="154">
        <f>LEN('Expected Auditing Outcomes'!$F1758)</f>
        <v>0</v>
      </c>
      <c r="H1758" s="154"/>
    </row>
    <row r="1759" ht="15.75" hidden="1" customHeight="1">
      <c r="B1759" s="146"/>
      <c r="C1759" s="146">
        <f t="shared" si="5"/>
        <v>10000</v>
      </c>
      <c r="D1759" s="146"/>
      <c r="E1759" s="305"/>
      <c r="F1759" s="383"/>
      <c r="G1759" s="154">
        <f>LEN('Expected Auditing Outcomes'!$F1759)</f>
        <v>0</v>
      </c>
      <c r="H1759" s="154"/>
    </row>
    <row r="1760" ht="15.75" hidden="1" customHeight="1">
      <c r="B1760" s="146"/>
      <c r="C1760" s="146">
        <f t="shared" si="5"/>
        <v>10000</v>
      </c>
      <c r="D1760" s="146"/>
      <c r="E1760" s="305"/>
      <c r="F1760" s="383"/>
      <c r="G1760" s="154">
        <f>LEN('Expected Auditing Outcomes'!$F1760)</f>
        <v>0</v>
      </c>
      <c r="H1760" s="154"/>
    </row>
    <row r="1761" ht="15.75" hidden="1" customHeight="1">
      <c r="B1761" s="146"/>
      <c r="C1761" s="146">
        <f t="shared" si="5"/>
        <v>10000</v>
      </c>
      <c r="D1761" s="146"/>
      <c r="E1761" s="305"/>
      <c r="F1761" s="383"/>
      <c r="G1761" s="154">
        <f>LEN('Expected Auditing Outcomes'!$F1761)</f>
        <v>0</v>
      </c>
      <c r="H1761" s="154"/>
    </row>
    <row r="1762" ht="15.75" hidden="1" customHeight="1">
      <c r="B1762" s="146"/>
      <c r="C1762" s="146">
        <f t="shared" si="5"/>
        <v>10000</v>
      </c>
      <c r="D1762" s="146"/>
      <c r="E1762" s="305"/>
      <c r="F1762" s="383"/>
      <c r="G1762" s="154">
        <f>LEN('Expected Auditing Outcomes'!$F1762)</f>
        <v>0</v>
      </c>
      <c r="H1762" s="154"/>
    </row>
    <row r="1763" ht="15.75" hidden="1" customHeight="1">
      <c r="B1763" s="146"/>
      <c r="C1763" s="146">
        <f t="shared" si="5"/>
        <v>10000</v>
      </c>
      <c r="D1763" s="146"/>
      <c r="E1763" s="305"/>
      <c r="F1763" s="383"/>
      <c r="G1763" s="154">
        <f>LEN('Expected Auditing Outcomes'!$F1763)</f>
        <v>0</v>
      </c>
      <c r="H1763" s="154"/>
    </row>
    <row r="1764" ht="15.75" hidden="1" customHeight="1">
      <c r="B1764" s="146"/>
      <c r="C1764" s="146">
        <f t="shared" si="5"/>
        <v>10000</v>
      </c>
      <c r="D1764" s="146"/>
      <c r="E1764" s="305"/>
      <c r="F1764" s="383"/>
      <c r="G1764" s="154">
        <f>LEN('Expected Auditing Outcomes'!$F1764)</f>
        <v>0</v>
      </c>
      <c r="H1764" s="154"/>
    </row>
    <row r="1765" ht="15.75" hidden="1" customHeight="1">
      <c r="B1765" s="146"/>
      <c r="C1765" s="146">
        <f t="shared" si="5"/>
        <v>10000</v>
      </c>
      <c r="D1765" s="146"/>
      <c r="E1765" s="305"/>
      <c r="F1765" s="383"/>
      <c r="G1765" s="154">
        <f>LEN('Expected Auditing Outcomes'!$F1765)</f>
        <v>0</v>
      </c>
      <c r="H1765" s="154"/>
    </row>
    <row r="1766" ht="15.75" hidden="1" customHeight="1">
      <c r="B1766" s="146"/>
      <c r="C1766" s="146">
        <f t="shared" si="5"/>
        <v>10000</v>
      </c>
      <c r="D1766" s="146"/>
      <c r="E1766" s="305"/>
      <c r="F1766" s="383"/>
      <c r="G1766" s="154">
        <f>LEN('Expected Auditing Outcomes'!$F1766)</f>
        <v>0</v>
      </c>
      <c r="H1766" s="154"/>
    </row>
    <row r="1767" ht="15.75" hidden="1" customHeight="1">
      <c r="B1767" s="146"/>
      <c r="C1767" s="146">
        <f t="shared" si="5"/>
        <v>10000</v>
      </c>
      <c r="D1767" s="146"/>
      <c r="E1767" s="305"/>
      <c r="F1767" s="383"/>
      <c r="G1767" s="154">
        <f>LEN('Expected Auditing Outcomes'!$F1767)</f>
        <v>0</v>
      </c>
      <c r="H1767" s="154"/>
    </row>
    <row r="1768" ht="15.75" hidden="1" customHeight="1">
      <c r="B1768" s="146"/>
      <c r="C1768" s="146">
        <f t="shared" si="5"/>
        <v>10000</v>
      </c>
      <c r="D1768" s="146"/>
      <c r="E1768" s="305"/>
      <c r="F1768" s="383"/>
      <c r="G1768" s="154">
        <f>LEN('Expected Auditing Outcomes'!$F1768)</f>
        <v>0</v>
      </c>
      <c r="H1768" s="154"/>
    </row>
    <row r="1769" ht="15.75" hidden="1" customHeight="1">
      <c r="B1769" s="146"/>
      <c r="C1769" s="146">
        <f t="shared" si="5"/>
        <v>10000</v>
      </c>
      <c r="D1769" s="146"/>
      <c r="E1769" s="305"/>
      <c r="F1769" s="383"/>
      <c r="G1769" s="154">
        <f>LEN('Expected Auditing Outcomes'!$F1769)</f>
        <v>0</v>
      </c>
      <c r="H1769" s="154"/>
    </row>
    <row r="1770" ht="15.75" hidden="1" customHeight="1">
      <c r="B1770" s="146"/>
      <c r="C1770" s="146">
        <f t="shared" si="5"/>
        <v>10000</v>
      </c>
      <c r="D1770" s="146"/>
      <c r="E1770" s="305"/>
      <c r="F1770" s="383"/>
      <c r="G1770" s="154">
        <f>LEN('Expected Auditing Outcomes'!$F1770)</f>
        <v>0</v>
      </c>
      <c r="H1770" s="154"/>
    </row>
    <row r="1771" ht="15.75" hidden="1" customHeight="1">
      <c r="B1771" s="146"/>
      <c r="C1771" s="146">
        <f t="shared" si="5"/>
        <v>10000</v>
      </c>
      <c r="D1771" s="146"/>
      <c r="E1771" s="305"/>
      <c r="F1771" s="383"/>
      <c r="G1771" s="154">
        <f>LEN('Expected Auditing Outcomes'!$F1771)</f>
        <v>0</v>
      </c>
      <c r="H1771" s="154"/>
    </row>
    <row r="1772" ht="15.75" hidden="1" customHeight="1">
      <c r="B1772" s="146"/>
      <c r="C1772" s="146">
        <f t="shared" si="5"/>
        <v>10000</v>
      </c>
      <c r="D1772" s="146"/>
      <c r="E1772" s="305"/>
      <c r="F1772" s="383"/>
      <c r="G1772" s="154">
        <f>LEN('Expected Auditing Outcomes'!$F1772)</f>
        <v>0</v>
      </c>
      <c r="H1772" s="154"/>
    </row>
    <row r="1773" ht="15.75" hidden="1" customHeight="1">
      <c r="B1773" s="146"/>
      <c r="C1773" s="146">
        <f t="shared" si="5"/>
        <v>10000</v>
      </c>
      <c r="D1773" s="146"/>
      <c r="E1773" s="305"/>
      <c r="F1773" s="383"/>
      <c r="G1773" s="154">
        <f>LEN('Expected Auditing Outcomes'!$F1773)</f>
        <v>0</v>
      </c>
      <c r="H1773" s="154"/>
    </row>
    <row r="1774" ht="15.75" hidden="1" customHeight="1">
      <c r="B1774" s="146"/>
      <c r="C1774" s="146">
        <f t="shared" si="5"/>
        <v>10000</v>
      </c>
      <c r="D1774" s="146"/>
      <c r="E1774" s="305"/>
      <c r="F1774" s="383"/>
      <c r="G1774" s="154">
        <f>LEN('Expected Auditing Outcomes'!$F1774)</f>
        <v>0</v>
      </c>
      <c r="H1774" s="154"/>
    </row>
    <row r="1775" ht="15.75" hidden="1" customHeight="1">
      <c r="B1775" s="146"/>
      <c r="C1775" s="146">
        <f t="shared" si="5"/>
        <v>10000</v>
      </c>
      <c r="D1775" s="146"/>
      <c r="E1775" s="305"/>
      <c r="F1775" s="383"/>
      <c r="G1775" s="154">
        <f>LEN('Expected Auditing Outcomes'!$F1775)</f>
        <v>0</v>
      </c>
      <c r="H1775" s="154"/>
    </row>
    <row r="1776" ht="15.75" hidden="1" customHeight="1">
      <c r="B1776" s="146"/>
      <c r="C1776" s="146">
        <f t="shared" si="5"/>
        <v>10000</v>
      </c>
      <c r="D1776" s="146"/>
      <c r="E1776" s="305"/>
      <c r="F1776" s="383"/>
      <c r="G1776" s="154">
        <f>LEN('Expected Auditing Outcomes'!$F1776)</f>
        <v>0</v>
      </c>
      <c r="H1776" s="154"/>
    </row>
    <row r="1777" ht="15.75" hidden="1" customHeight="1">
      <c r="B1777" s="146"/>
      <c r="C1777" s="146">
        <f t="shared" si="5"/>
        <v>10000</v>
      </c>
      <c r="D1777" s="146"/>
      <c r="E1777" s="305"/>
      <c r="F1777" s="383"/>
      <c r="G1777" s="154">
        <f>LEN('Expected Auditing Outcomes'!$F1777)</f>
        <v>0</v>
      </c>
      <c r="H1777" s="154"/>
    </row>
    <row r="1778" ht="15.75" hidden="1" customHeight="1">
      <c r="B1778" s="146"/>
      <c r="C1778" s="146">
        <f t="shared" si="5"/>
        <v>10000</v>
      </c>
      <c r="D1778" s="146"/>
      <c r="E1778" s="305"/>
      <c r="F1778" s="383"/>
      <c r="G1778" s="154">
        <f>LEN('Expected Auditing Outcomes'!$F1778)</f>
        <v>0</v>
      </c>
      <c r="H1778" s="154"/>
    </row>
    <row r="1779" ht="15.75" hidden="1" customHeight="1">
      <c r="B1779" s="146"/>
      <c r="C1779" s="146">
        <f t="shared" si="5"/>
        <v>10000</v>
      </c>
      <c r="D1779" s="146"/>
      <c r="E1779" s="305"/>
      <c r="F1779" s="383"/>
      <c r="G1779" s="154">
        <f>LEN('Expected Auditing Outcomes'!$F1779)</f>
        <v>0</v>
      </c>
      <c r="H1779" s="154"/>
    </row>
    <row r="1780" ht="15.75" hidden="1" customHeight="1">
      <c r="B1780" s="146"/>
      <c r="C1780" s="146">
        <f t="shared" si="5"/>
        <v>10000</v>
      </c>
      <c r="D1780" s="146"/>
      <c r="E1780" s="305"/>
      <c r="F1780" s="383"/>
      <c r="G1780" s="154">
        <f>LEN('Expected Auditing Outcomes'!$F1780)</f>
        <v>0</v>
      </c>
      <c r="H1780" s="154"/>
    </row>
    <row r="1781" ht="15.75" hidden="1" customHeight="1">
      <c r="B1781" s="146"/>
      <c r="C1781" s="146">
        <f t="shared" si="5"/>
        <v>10000</v>
      </c>
      <c r="D1781" s="146"/>
      <c r="E1781" s="305"/>
      <c r="F1781" s="383"/>
      <c r="G1781" s="154">
        <f>LEN('Expected Auditing Outcomes'!$F1781)</f>
        <v>0</v>
      </c>
      <c r="H1781" s="154"/>
    </row>
    <row r="1782" ht="15.75" hidden="1" customHeight="1">
      <c r="B1782" s="146"/>
      <c r="C1782" s="146">
        <f t="shared" si="5"/>
        <v>10000</v>
      </c>
      <c r="D1782" s="146"/>
      <c r="E1782" s="305"/>
      <c r="F1782" s="383"/>
      <c r="G1782" s="154">
        <f>LEN('Expected Auditing Outcomes'!$F1782)</f>
        <v>0</v>
      </c>
      <c r="H1782" s="154"/>
    </row>
    <row r="1783" ht="15.75" hidden="1" customHeight="1">
      <c r="B1783" s="146"/>
      <c r="C1783" s="146">
        <f t="shared" si="5"/>
        <v>10000</v>
      </c>
      <c r="D1783" s="146"/>
      <c r="E1783" s="305"/>
      <c r="F1783" s="383"/>
      <c r="G1783" s="154">
        <f>LEN('Expected Auditing Outcomes'!$F1783)</f>
        <v>0</v>
      </c>
      <c r="H1783" s="154"/>
    </row>
    <row r="1784" ht="15.75" hidden="1" customHeight="1">
      <c r="B1784" s="146"/>
      <c r="C1784" s="146">
        <f t="shared" si="5"/>
        <v>10000</v>
      </c>
      <c r="D1784" s="146"/>
      <c r="E1784" s="305"/>
      <c r="F1784" s="383"/>
      <c r="G1784" s="154">
        <f>LEN('Expected Auditing Outcomes'!$F1784)</f>
        <v>0</v>
      </c>
      <c r="H1784" s="154"/>
    </row>
    <row r="1785" ht="15.75" hidden="1" customHeight="1">
      <c r="B1785" s="146"/>
      <c r="C1785" s="146">
        <f t="shared" si="5"/>
        <v>10000</v>
      </c>
      <c r="D1785" s="146"/>
      <c r="E1785" s="305"/>
      <c r="F1785" s="383"/>
      <c r="G1785" s="154">
        <f>LEN('Expected Auditing Outcomes'!$F1785)</f>
        <v>0</v>
      </c>
      <c r="H1785" s="154"/>
    </row>
    <row r="1786" ht="15.75" hidden="1" customHeight="1">
      <c r="B1786" s="146"/>
      <c r="C1786" s="146">
        <f t="shared" si="5"/>
        <v>10000</v>
      </c>
      <c r="D1786" s="146"/>
      <c r="E1786" s="305"/>
      <c r="F1786" s="383"/>
      <c r="G1786" s="154">
        <f>LEN('Expected Auditing Outcomes'!$F1786)</f>
        <v>0</v>
      </c>
      <c r="H1786" s="154"/>
    </row>
    <row r="1787" ht="15.75" hidden="1" customHeight="1">
      <c r="B1787" s="146"/>
      <c r="C1787" s="146">
        <f t="shared" si="5"/>
        <v>10000</v>
      </c>
      <c r="D1787" s="146"/>
      <c r="E1787" s="305"/>
      <c r="F1787" s="383"/>
      <c r="G1787" s="154">
        <f>LEN('Expected Auditing Outcomes'!$F1787)</f>
        <v>0</v>
      </c>
      <c r="H1787" s="154"/>
    </row>
    <row r="1788" ht="15.75" hidden="1" customHeight="1">
      <c r="B1788" s="146"/>
      <c r="C1788" s="146">
        <f t="shared" si="5"/>
        <v>10000</v>
      </c>
      <c r="D1788" s="146"/>
      <c r="E1788" s="305"/>
      <c r="F1788" s="383"/>
      <c r="G1788" s="154">
        <f>LEN('Expected Auditing Outcomes'!$F1788)</f>
        <v>0</v>
      </c>
      <c r="H1788" s="154"/>
    </row>
    <row r="1789" ht="15.75" hidden="1" customHeight="1">
      <c r="B1789" s="146"/>
      <c r="C1789" s="146">
        <f t="shared" si="5"/>
        <v>10000</v>
      </c>
      <c r="D1789" s="146"/>
      <c r="E1789" s="305"/>
      <c r="F1789" s="383"/>
      <c r="G1789" s="154">
        <f>LEN('Expected Auditing Outcomes'!$F1789)</f>
        <v>0</v>
      </c>
      <c r="H1789" s="154"/>
    </row>
    <row r="1790" ht="15.75" hidden="1" customHeight="1">
      <c r="B1790" s="146"/>
      <c r="C1790" s="146">
        <f t="shared" si="5"/>
        <v>10000</v>
      </c>
      <c r="D1790" s="146"/>
      <c r="E1790" s="305"/>
      <c r="F1790" s="383"/>
      <c r="G1790" s="154">
        <f>LEN('Expected Auditing Outcomes'!$F1790)</f>
        <v>0</v>
      </c>
      <c r="H1790" s="154"/>
    </row>
    <row r="1791" ht="15.75" hidden="1" customHeight="1">
      <c r="B1791" s="146"/>
      <c r="C1791" s="146">
        <f t="shared" si="5"/>
        <v>10000</v>
      </c>
      <c r="D1791" s="146"/>
      <c r="E1791" s="305"/>
      <c r="F1791" s="383"/>
      <c r="G1791" s="154">
        <f>LEN('Expected Auditing Outcomes'!$F1791)</f>
        <v>0</v>
      </c>
      <c r="H1791" s="154"/>
    </row>
    <row r="1792" ht="15.75" hidden="1" customHeight="1">
      <c r="B1792" s="146"/>
      <c r="C1792" s="146">
        <f t="shared" si="5"/>
        <v>10000</v>
      </c>
      <c r="D1792" s="146"/>
      <c r="E1792" s="305"/>
      <c r="F1792" s="383"/>
      <c r="G1792" s="154">
        <f>LEN('Expected Auditing Outcomes'!$F1792)</f>
        <v>0</v>
      </c>
      <c r="H1792" s="154"/>
    </row>
    <row r="1793" ht="15.75" hidden="1" customHeight="1">
      <c r="B1793" s="146"/>
      <c r="C1793" s="146">
        <f t="shared" si="5"/>
        <v>10000</v>
      </c>
      <c r="D1793" s="146"/>
      <c r="E1793" s="305"/>
      <c r="F1793" s="383"/>
      <c r="G1793" s="154">
        <f>LEN('Expected Auditing Outcomes'!$F1793)</f>
        <v>0</v>
      </c>
      <c r="H1793" s="154"/>
    </row>
    <row r="1794" ht="15.75" hidden="1" customHeight="1">
      <c r="B1794" s="146"/>
      <c r="C1794" s="146">
        <f t="shared" si="5"/>
        <v>10000</v>
      </c>
      <c r="D1794" s="146"/>
      <c r="E1794" s="305"/>
      <c r="F1794" s="383"/>
      <c r="G1794" s="154">
        <f>LEN('Expected Auditing Outcomes'!$F1794)</f>
        <v>0</v>
      </c>
      <c r="H1794" s="154"/>
    </row>
    <row r="1795" ht="15.75" hidden="1" customHeight="1">
      <c r="B1795" s="146"/>
      <c r="C1795" s="146">
        <f t="shared" si="5"/>
        <v>10000</v>
      </c>
      <c r="D1795" s="146"/>
      <c r="E1795" s="305"/>
      <c r="F1795" s="383"/>
      <c r="G1795" s="154">
        <f>LEN('Expected Auditing Outcomes'!$F1795)</f>
        <v>0</v>
      </c>
      <c r="H1795" s="154"/>
    </row>
    <row r="1796" ht="15.75" hidden="1" customHeight="1">
      <c r="B1796" s="146"/>
      <c r="C1796" s="146">
        <f t="shared" si="5"/>
        <v>10000</v>
      </c>
      <c r="D1796" s="146"/>
      <c r="E1796" s="305"/>
      <c r="F1796" s="383"/>
      <c r="G1796" s="154">
        <f>LEN('Expected Auditing Outcomes'!$F1796)</f>
        <v>0</v>
      </c>
      <c r="H1796" s="154"/>
    </row>
    <row r="1797" ht="15.75" hidden="1" customHeight="1">
      <c r="B1797" s="146"/>
      <c r="C1797" s="146">
        <f t="shared" si="5"/>
        <v>10000</v>
      </c>
      <c r="D1797" s="146"/>
      <c r="E1797" s="305"/>
      <c r="F1797" s="383"/>
      <c r="G1797" s="154">
        <f>LEN('Expected Auditing Outcomes'!$F1797)</f>
        <v>0</v>
      </c>
      <c r="H1797" s="154"/>
    </row>
    <row r="1798" ht="15.75" hidden="1" customHeight="1">
      <c r="B1798" s="146"/>
      <c r="C1798" s="146">
        <f t="shared" si="5"/>
        <v>10000</v>
      </c>
      <c r="D1798" s="146"/>
      <c r="E1798" s="305"/>
      <c r="F1798" s="383"/>
      <c r="G1798" s="154">
        <f>LEN('Expected Auditing Outcomes'!$F1798)</f>
        <v>0</v>
      </c>
      <c r="H1798" s="154"/>
    </row>
    <row r="1799" ht="15.75" hidden="1" customHeight="1">
      <c r="B1799" s="146"/>
      <c r="C1799" s="146">
        <f t="shared" si="5"/>
        <v>10000</v>
      </c>
      <c r="D1799" s="146"/>
      <c r="E1799" s="305"/>
      <c r="F1799" s="383"/>
      <c r="G1799" s="154">
        <f>LEN('Expected Auditing Outcomes'!$F1799)</f>
        <v>0</v>
      </c>
      <c r="H1799" s="154"/>
    </row>
    <row r="1800" ht="15.75" hidden="1" customHeight="1">
      <c r="B1800" s="146"/>
      <c r="C1800" s="146">
        <f t="shared" si="5"/>
        <v>10000</v>
      </c>
      <c r="D1800" s="146"/>
      <c r="E1800" s="305"/>
      <c r="F1800" s="383"/>
      <c r="G1800" s="154">
        <f>LEN('Expected Auditing Outcomes'!$F1800)</f>
        <v>0</v>
      </c>
      <c r="H1800" s="154"/>
    </row>
    <row r="1801" ht="15.75" hidden="1" customHeight="1">
      <c r="B1801" s="146"/>
      <c r="C1801" s="146">
        <f t="shared" si="5"/>
        <v>10000</v>
      </c>
      <c r="D1801" s="146"/>
      <c r="E1801" s="305"/>
      <c r="F1801" s="383"/>
      <c r="G1801" s="154">
        <f>LEN('Expected Auditing Outcomes'!$F1801)</f>
        <v>0</v>
      </c>
      <c r="H1801" s="154"/>
    </row>
    <row r="1802" ht="15.75" hidden="1" customHeight="1">
      <c r="B1802" s="146"/>
      <c r="C1802" s="146">
        <f t="shared" si="5"/>
        <v>10000</v>
      </c>
      <c r="D1802" s="146"/>
      <c r="E1802" s="305"/>
      <c r="F1802" s="383"/>
      <c r="G1802" s="154">
        <f>LEN('Expected Auditing Outcomes'!$F1802)</f>
        <v>0</v>
      </c>
      <c r="H1802" s="154"/>
    </row>
    <row r="1803" ht="15.75" hidden="1" customHeight="1">
      <c r="B1803" s="146"/>
      <c r="C1803" s="146">
        <f t="shared" si="5"/>
        <v>10000</v>
      </c>
      <c r="D1803" s="146"/>
      <c r="E1803" s="305"/>
      <c r="F1803" s="383"/>
      <c r="G1803" s="154">
        <f>LEN('Expected Auditing Outcomes'!$F1803)</f>
        <v>0</v>
      </c>
      <c r="H1803" s="154"/>
    </row>
    <row r="1804" ht="15.75" hidden="1" customHeight="1">
      <c r="B1804" s="146"/>
      <c r="C1804" s="146">
        <f t="shared" si="5"/>
        <v>10000</v>
      </c>
      <c r="D1804" s="146"/>
      <c r="E1804" s="305"/>
      <c r="F1804" s="383"/>
      <c r="G1804" s="154">
        <f>LEN('Expected Auditing Outcomes'!$F1804)</f>
        <v>0</v>
      </c>
      <c r="H1804" s="154"/>
    </row>
    <row r="1805" ht="15.75" hidden="1" customHeight="1">
      <c r="B1805" s="146"/>
      <c r="C1805" s="146">
        <f t="shared" si="5"/>
        <v>10000</v>
      </c>
      <c r="D1805" s="146"/>
      <c r="E1805" s="305"/>
      <c r="F1805" s="383"/>
      <c r="G1805" s="154">
        <f>LEN('Expected Auditing Outcomes'!$F1805)</f>
        <v>0</v>
      </c>
      <c r="H1805" s="154"/>
    </row>
    <row r="1806" ht="15.75" hidden="1" customHeight="1">
      <c r="B1806" s="146"/>
      <c r="C1806" s="146">
        <f t="shared" si="5"/>
        <v>10000</v>
      </c>
      <c r="D1806" s="146"/>
      <c r="E1806" s="305"/>
      <c r="F1806" s="383"/>
      <c r="G1806" s="154">
        <f>LEN('Expected Auditing Outcomes'!$F1806)</f>
        <v>0</v>
      </c>
      <c r="H1806" s="154"/>
    </row>
    <row r="1807" ht="15.75" hidden="1" customHeight="1">
      <c r="B1807" s="146"/>
      <c r="C1807" s="146">
        <f t="shared" si="5"/>
        <v>10000</v>
      </c>
      <c r="D1807" s="146"/>
      <c r="E1807" s="305"/>
      <c r="F1807" s="383"/>
      <c r="G1807" s="154">
        <f>LEN('Expected Auditing Outcomes'!$F1807)</f>
        <v>0</v>
      </c>
      <c r="H1807" s="154"/>
    </row>
    <row r="1808" ht="15.75" hidden="1" customHeight="1">
      <c r="B1808" s="146"/>
      <c r="C1808" s="146">
        <f t="shared" si="5"/>
        <v>10000</v>
      </c>
      <c r="D1808" s="146"/>
      <c r="E1808" s="305"/>
      <c r="F1808" s="383"/>
      <c r="G1808" s="154">
        <f>LEN('Expected Auditing Outcomes'!$F1808)</f>
        <v>0</v>
      </c>
      <c r="H1808" s="154"/>
    </row>
    <row r="1809" ht="15.75" hidden="1" customHeight="1">
      <c r="B1809" s="146"/>
      <c r="C1809" s="146">
        <f t="shared" si="5"/>
        <v>10000</v>
      </c>
      <c r="D1809" s="146"/>
      <c r="E1809" s="305"/>
      <c r="F1809" s="383"/>
      <c r="G1809" s="154">
        <f>LEN('Expected Auditing Outcomes'!$F1809)</f>
        <v>0</v>
      </c>
      <c r="H1809" s="154"/>
    </row>
    <row r="1810" ht="15.75" hidden="1" customHeight="1">
      <c r="B1810" s="146"/>
      <c r="C1810" s="146">
        <f t="shared" si="5"/>
        <v>10000</v>
      </c>
      <c r="D1810" s="146"/>
      <c r="E1810" s="305"/>
      <c r="F1810" s="383"/>
      <c r="G1810" s="154">
        <f>LEN('Expected Auditing Outcomes'!$F1810)</f>
        <v>0</v>
      </c>
      <c r="H1810" s="154"/>
    </row>
    <row r="1811" ht="15.75" hidden="1" customHeight="1">
      <c r="B1811" s="146"/>
      <c r="C1811" s="146">
        <f t="shared" si="5"/>
        <v>10000</v>
      </c>
      <c r="D1811" s="146"/>
      <c r="E1811" s="305"/>
      <c r="F1811" s="383"/>
      <c r="G1811" s="154">
        <f>LEN('Expected Auditing Outcomes'!$F1811)</f>
        <v>0</v>
      </c>
      <c r="H1811" s="154"/>
    </row>
    <row r="1812" ht="15.75" hidden="1" customHeight="1">
      <c r="B1812" s="146"/>
      <c r="C1812" s="146">
        <f t="shared" si="5"/>
        <v>10000</v>
      </c>
      <c r="D1812" s="146"/>
      <c r="E1812" s="305"/>
      <c r="F1812" s="383"/>
      <c r="G1812" s="154">
        <f>LEN('Expected Auditing Outcomes'!$F1812)</f>
        <v>0</v>
      </c>
      <c r="H1812" s="154"/>
    </row>
    <row r="1813" ht="15.75" hidden="1" customHeight="1">
      <c r="B1813" s="146"/>
      <c r="C1813" s="146">
        <f t="shared" si="5"/>
        <v>10000</v>
      </c>
      <c r="D1813" s="146"/>
      <c r="E1813" s="305"/>
      <c r="F1813" s="383"/>
      <c r="G1813" s="154">
        <f>LEN('Expected Auditing Outcomes'!$F1813)</f>
        <v>0</v>
      </c>
      <c r="H1813" s="154"/>
    </row>
    <row r="1814" ht="15.75" hidden="1" customHeight="1">
      <c r="B1814" s="146"/>
      <c r="C1814" s="146">
        <f t="shared" si="5"/>
        <v>10000</v>
      </c>
      <c r="D1814" s="146"/>
      <c r="E1814" s="305"/>
      <c r="F1814" s="383"/>
      <c r="G1814" s="154">
        <f>LEN('Expected Auditing Outcomes'!$F1814)</f>
        <v>0</v>
      </c>
      <c r="H1814" s="154"/>
    </row>
    <row r="1815" ht="15.75" hidden="1" customHeight="1">
      <c r="B1815" s="146"/>
      <c r="C1815" s="146">
        <f t="shared" si="5"/>
        <v>10000</v>
      </c>
      <c r="D1815" s="146"/>
      <c r="E1815" s="305"/>
      <c r="F1815" s="383"/>
      <c r="G1815" s="154">
        <f>LEN('Expected Auditing Outcomes'!$F1815)</f>
        <v>0</v>
      </c>
      <c r="H1815" s="154"/>
    </row>
    <row r="1816" ht="15.75" hidden="1" customHeight="1">
      <c r="B1816" s="146"/>
      <c r="C1816" s="146">
        <f t="shared" si="5"/>
        <v>10000</v>
      </c>
      <c r="D1816" s="146"/>
      <c r="E1816" s="305"/>
      <c r="F1816" s="383"/>
      <c r="G1816" s="154">
        <f>LEN('Expected Auditing Outcomes'!$F1816)</f>
        <v>0</v>
      </c>
      <c r="H1816" s="154"/>
    </row>
    <row r="1817" ht="15.75" hidden="1" customHeight="1">
      <c r="B1817" s="146"/>
      <c r="C1817" s="146">
        <f t="shared" si="5"/>
        <v>10000</v>
      </c>
      <c r="D1817" s="146"/>
      <c r="E1817" s="305"/>
      <c r="F1817" s="383"/>
      <c r="G1817" s="154">
        <f>LEN('Expected Auditing Outcomes'!$F1817)</f>
        <v>0</v>
      </c>
      <c r="H1817" s="154"/>
    </row>
    <row r="1818" ht="15.75" hidden="1" customHeight="1">
      <c r="B1818" s="146"/>
      <c r="C1818" s="146">
        <f t="shared" si="5"/>
        <v>10000</v>
      </c>
      <c r="D1818" s="146"/>
      <c r="E1818" s="305"/>
      <c r="F1818" s="383"/>
      <c r="G1818" s="154">
        <f>LEN('Expected Auditing Outcomes'!$F1818)</f>
        <v>0</v>
      </c>
      <c r="H1818" s="154"/>
    </row>
    <row r="1819" ht="15.75" hidden="1" customHeight="1">
      <c r="B1819" s="146"/>
      <c r="C1819" s="146">
        <f t="shared" si="5"/>
        <v>10000</v>
      </c>
      <c r="D1819" s="146"/>
      <c r="E1819" s="305"/>
      <c r="F1819" s="383"/>
      <c r="G1819" s="154">
        <f>LEN('Expected Auditing Outcomes'!$F1819)</f>
        <v>0</v>
      </c>
      <c r="H1819" s="154"/>
    </row>
    <row r="1820" ht="15.75" hidden="1" customHeight="1">
      <c r="B1820" s="146"/>
      <c r="C1820" s="146">
        <f t="shared" si="5"/>
        <v>10000</v>
      </c>
      <c r="D1820" s="146"/>
      <c r="E1820" s="305"/>
      <c r="F1820" s="383"/>
      <c r="G1820" s="154">
        <f>LEN('Expected Auditing Outcomes'!$F1820)</f>
        <v>0</v>
      </c>
      <c r="H1820" s="154"/>
    </row>
    <row r="1821" ht="15.75" hidden="1" customHeight="1">
      <c r="B1821" s="146"/>
      <c r="C1821" s="146">
        <f t="shared" si="5"/>
        <v>10000</v>
      </c>
      <c r="D1821" s="146"/>
      <c r="E1821" s="305"/>
      <c r="F1821" s="383"/>
      <c r="G1821" s="154">
        <f>LEN('Expected Auditing Outcomes'!$F1821)</f>
        <v>0</v>
      </c>
      <c r="H1821" s="154"/>
    </row>
    <row r="1822" ht="15.75" hidden="1" customHeight="1">
      <c r="B1822" s="146"/>
      <c r="C1822" s="146">
        <f t="shared" si="5"/>
        <v>10000</v>
      </c>
      <c r="D1822" s="146"/>
      <c r="E1822" s="305"/>
      <c r="F1822" s="383"/>
      <c r="G1822" s="154">
        <f>LEN('Expected Auditing Outcomes'!$F1822)</f>
        <v>0</v>
      </c>
      <c r="H1822" s="154"/>
    </row>
    <row r="1823" ht="15.75" hidden="1" customHeight="1">
      <c r="B1823" s="146"/>
      <c r="C1823" s="146">
        <f t="shared" si="5"/>
        <v>10000</v>
      </c>
      <c r="D1823" s="146"/>
      <c r="E1823" s="305"/>
      <c r="F1823" s="383"/>
      <c r="G1823" s="154">
        <f>LEN('Expected Auditing Outcomes'!$F1823)</f>
        <v>0</v>
      </c>
      <c r="H1823" s="154"/>
    </row>
    <row r="1824" ht="15.75" hidden="1" customHeight="1">
      <c r="B1824" s="146"/>
      <c r="C1824" s="146">
        <f t="shared" si="5"/>
        <v>10000</v>
      </c>
      <c r="D1824" s="146"/>
      <c r="E1824" s="305"/>
      <c r="F1824" s="383"/>
      <c r="G1824" s="154">
        <f>LEN('Expected Auditing Outcomes'!$F1824)</f>
        <v>0</v>
      </c>
      <c r="H1824" s="154"/>
    </row>
    <row r="1825" ht="15.75" hidden="1" customHeight="1">
      <c r="B1825" s="146"/>
      <c r="C1825" s="146">
        <f t="shared" si="5"/>
        <v>10000</v>
      </c>
      <c r="D1825" s="146"/>
      <c r="E1825" s="305"/>
      <c r="F1825" s="383"/>
      <c r="G1825" s="154">
        <f>LEN('Expected Auditing Outcomes'!$F1825)</f>
        <v>0</v>
      </c>
      <c r="H1825" s="154"/>
    </row>
    <row r="1826" ht="15.75" hidden="1" customHeight="1">
      <c r="B1826" s="146"/>
      <c r="C1826" s="146">
        <f t="shared" si="5"/>
        <v>10000</v>
      </c>
      <c r="D1826" s="146"/>
      <c r="E1826" s="305"/>
      <c r="F1826" s="383"/>
      <c r="G1826" s="154">
        <f>LEN('Expected Auditing Outcomes'!$F1826)</f>
        <v>0</v>
      </c>
      <c r="H1826" s="154"/>
    </row>
    <row r="1827" ht="15.75" hidden="1" customHeight="1">
      <c r="B1827" s="146"/>
      <c r="C1827" s="146">
        <f t="shared" si="5"/>
        <v>10000</v>
      </c>
      <c r="D1827" s="146"/>
      <c r="E1827" s="305"/>
      <c r="F1827" s="383"/>
      <c r="G1827" s="154">
        <f>LEN('Expected Auditing Outcomes'!$F1827)</f>
        <v>0</v>
      </c>
      <c r="H1827" s="154"/>
    </row>
    <row r="1828" ht="15.75" hidden="1" customHeight="1">
      <c r="B1828" s="146"/>
      <c r="C1828" s="146">
        <f t="shared" si="5"/>
        <v>10000</v>
      </c>
      <c r="D1828" s="146"/>
      <c r="E1828" s="305"/>
      <c r="F1828" s="383"/>
      <c r="G1828" s="154">
        <f>LEN('Expected Auditing Outcomes'!$F1828)</f>
        <v>0</v>
      </c>
      <c r="H1828" s="154"/>
    </row>
    <row r="1829" ht="15.75" hidden="1" customHeight="1">
      <c r="B1829" s="146"/>
      <c r="C1829" s="146">
        <f t="shared" si="5"/>
        <v>10000</v>
      </c>
      <c r="D1829" s="146"/>
      <c r="E1829" s="305"/>
      <c r="F1829" s="383"/>
      <c r="G1829" s="154">
        <f>LEN('Expected Auditing Outcomes'!$F1829)</f>
        <v>0</v>
      </c>
      <c r="H1829" s="154"/>
    </row>
    <row r="1830" ht="15.75" hidden="1" customHeight="1">
      <c r="B1830" s="146"/>
      <c r="C1830" s="146">
        <f t="shared" si="5"/>
        <v>10000</v>
      </c>
      <c r="D1830" s="146"/>
      <c r="E1830" s="305"/>
      <c r="F1830" s="383"/>
      <c r="G1830" s="154">
        <f>LEN('Expected Auditing Outcomes'!$F1830)</f>
        <v>0</v>
      </c>
      <c r="H1830" s="154"/>
    </row>
    <row r="1831" ht="15.75" hidden="1" customHeight="1">
      <c r="B1831" s="146"/>
      <c r="C1831" s="146">
        <f t="shared" si="5"/>
        <v>10000</v>
      </c>
      <c r="D1831" s="146"/>
      <c r="E1831" s="305"/>
      <c r="F1831" s="383"/>
      <c r="G1831" s="154">
        <f>LEN('Expected Auditing Outcomes'!$F1831)</f>
        <v>0</v>
      </c>
      <c r="H1831" s="154"/>
    </row>
    <row r="1832" ht="15.75" hidden="1" customHeight="1">
      <c r="B1832" s="146"/>
      <c r="C1832" s="146">
        <f t="shared" si="5"/>
        <v>10000</v>
      </c>
      <c r="D1832" s="146"/>
      <c r="E1832" s="305"/>
      <c r="F1832" s="383"/>
      <c r="G1832" s="154">
        <f>LEN('Expected Auditing Outcomes'!$F1832)</f>
        <v>0</v>
      </c>
      <c r="H1832" s="154"/>
    </row>
    <row r="1833" ht="15.75" hidden="1" customHeight="1">
      <c r="B1833" s="146"/>
      <c r="C1833" s="146">
        <f t="shared" si="5"/>
        <v>10000</v>
      </c>
      <c r="D1833" s="146"/>
      <c r="E1833" s="305"/>
      <c r="F1833" s="383"/>
      <c r="G1833" s="154">
        <f>LEN('Expected Auditing Outcomes'!$F1833)</f>
        <v>0</v>
      </c>
      <c r="H1833" s="154"/>
    </row>
    <row r="1834" ht="15.75" hidden="1" customHeight="1">
      <c r="B1834" s="146"/>
      <c r="C1834" s="146">
        <f t="shared" si="5"/>
        <v>10000</v>
      </c>
      <c r="D1834" s="146"/>
      <c r="E1834" s="305"/>
      <c r="F1834" s="383"/>
      <c r="G1834" s="154">
        <f>LEN('Expected Auditing Outcomes'!$F1834)</f>
        <v>0</v>
      </c>
      <c r="H1834" s="154"/>
    </row>
    <row r="1835" ht="15.75" hidden="1" customHeight="1">
      <c r="B1835" s="146"/>
      <c r="C1835" s="146">
        <f t="shared" si="5"/>
        <v>10000</v>
      </c>
      <c r="D1835" s="146"/>
      <c r="E1835" s="305"/>
      <c r="F1835" s="383"/>
      <c r="G1835" s="154">
        <f>LEN('Expected Auditing Outcomes'!$F1835)</f>
        <v>0</v>
      </c>
      <c r="H1835" s="154"/>
    </row>
    <row r="1836" ht="15.75" hidden="1" customHeight="1">
      <c r="B1836" s="146"/>
      <c r="C1836" s="146">
        <f t="shared" si="5"/>
        <v>10000</v>
      </c>
      <c r="D1836" s="146"/>
      <c r="E1836" s="305"/>
      <c r="F1836" s="383"/>
      <c r="G1836" s="154">
        <f>LEN('Expected Auditing Outcomes'!$F1836)</f>
        <v>0</v>
      </c>
      <c r="H1836" s="154"/>
    </row>
    <row r="1837" ht="15.75" hidden="1" customHeight="1">
      <c r="B1837" s="146"/>
      <c r="C1837" s="146">
        <f t="shared" si="5"/>
        <v>10000</v>
      </c>
      <c r="D1837" s="146"/>
      <c r="E1837" s="305"/>
      <c r="F1837" s="383"/>
      <c r="G1837" s="154">
        <f>LEN('Expected Auditing Outcomes'!$F1837)</f>
        <v>0</v>
      </c>
      <c r="H1837" s="154"/>
    </row>
    <row r="1838" ht="15.75" hidden="1" customHeight="1">
      <c r="B1838" s="146"/>
      <c r="C1838" s="146">
        <f t="shared" si="5"/>
        <v>10000</v>
      </c>
      <c r="D1838" s="146"/>
      <c r="E1838" s="305"/>
      <c r="F1838" s="383"/>
      <c r="G1838" s="154">
        <f>LEN('Expected Auditing Outcomes'!$F1838)</f>
        <v>0</v>
      </c>
      <c r="H1838" s="154"/>
    </row>
    <row r="1839" ht="15.75" hidden="1" customHeight="1">
      <c r="B1839" s="146"/>
      <c r="C1839" s="146">
        <f t="shared" si="5"/>
        <v>10000</v>
      </c>
      <c r="D1839" s="146"/>
      <c r="E1839" s="305"/>
      <c r="F1839" s="383"/>
      <c r="G1839" s="154">
        <f>LEN('Expected Auditing Outcomes'!$F1839)</f>
        <v>0</v>
      </c>
      <c r="H1839" s="154"/>
    </row>
    <row r="1840" ht="15.75" hidden="1" customHeight="1">
      <c r="B1840" s="146"/>
      <c r="C1840" s="146">
        <f t="shared" si="5"/>
        <v>10000</v>
      </c>
      <c r="D1840" s="146"/>
      <c r="E1840" s="305"/>
      <c r="F1840" s="383"/>
      <c r="G1840" s="154">
        <f>LEN('Expected Auditing Outcomes'!$F1840)</f>
        <v>0</v>
      </c>
      <c r="H1840" s="154"/>
    </row>
    <row r="1841" ht="15.75" hidden="1" customHeight="1">
      <c r="B1841" s="146"/>
      <c r="C1841" s="146">
        <f t="shared" si="5"/>
        <v>10000</v>
      </c>
      <c r="D1841" s="146"/>
      <c r="E1841" s="305"/>
      <c r="F1841" s="383"/>
      <c r="G1841" s="154">
        <f>LEN('Expected Auditing Outcomes'!$F1841)</f>
        <v>0</v>
      </c>
      <c r="H1841" s="154"/>
    </row>
    <row r="1842" ht="15.75" hidden="1" customHeight="1">
      <c r="B1842" s="146"/>
      <c r="C1842" s="146">
        <f t="shared" si="5"/>
        <v>10000</v>
      </c>
      <c r="D1842" s="146"/>
      <c r="E1842" s="305"/>
      <c r="F1842" s="383"/>
      <c r="G1842" s="154">
        <f>LEN('Expected Auditing Outcomes'!$F1842)</f>
        <v>0</v>
      </c>
      <c r="H1842" s="154"/>
    </row>
    <row r="1843" ht="15.75" hidden="1" customHeight="1">
      <c r="B1843" s="146"/>
      <c r="C1843" s="146">
        <f t="shared" si="5"/>
        <v>10000</v>
      </c>
      <c r="D1843" s="146"/>
      <c r="E1843" s="305"/>
      <c r="F1843" s="383"/>
      <c r="G1843" s="154">
        <f>LEN('Expected Auditing Outcomes'!$F1843)</f>
        <v>0</v>
      </c>
      <c r="H1843" s="154"/>
    </row>
    <row r="1844" ht="15.75" hidden="1" customHeight="1">
      <c r="B1844" s="146"/>
      <c r="C1844" s="146">
        <f t="shared" si="5"/>
        <v>10000</v>
      </c>
      <c r="D1844" s="146"/>
      <c r="E1844" s="305"/>
      <c r="F1844" s="383"/>
      <c r="G1844" s="154">
        <f>LEN('Expected Auditing Outcomes'!$F1844)</f>
        <v>0</v>
      </c>
      <c r="H1844" s="154"/>
    </row>
    <row r="1845" ht="15.75" hidden="1" customHeight="1">
      <c r="B1845" s="146"/>
      <c r="C1845" s="146">
        <f t="shared" si="5"/>
        <v>10000</v>
      </c>
      <c r="D1845" s="146"/>
      <c r="E1845" s="305"/>
      <c r="F1845" s="383"/>
      <c r="G1845" s="154">
        <f>LEN('Expected Auditing Outcomes'!$F1845)</f>
        <v>0</v>
      </c>
      <c r="H1845" s="154"/>
    </row>
    <row r="1846" ht="15.75" hidden="1" customHeight="1">
      <c r="B1846" s="146"/>
      <c r="C1846" s="146">
        <f t="shared" si="5"/>
        <v>10000</v>
      </c>
      <c r="D1846" s="146"/>
      <c r="E1846" s="305"/>
      <c r="F1846" s="383"/>
      <c r="G1846" s="154">
        <f>LEN('Expected Auditing Outcomes'!$F1846)</f>
        <v>0</v>
      </c>
      <c r="H1846" s="154"/>
    </row>
    <row r="1847" ht="15.75" hidden="1" customHeight="1">
      <c r="B1847" s="146"/>
      <c r="C1847" s="146">
        <f t="shared" si="5"/>
        <v>10000</v>
      </c>
      <c r="D1847" s="146"/>
      <c r="E1847" s="305"/>
      <c r="F1847" s="383"/>
      <c r="G1847" s="154">
        <f>LEN('Expected Auditing Outcomes'!$F1847)</f>
        <v>0</v>
      </c>
      <c r="H1847" s="154"/>
    </row>
    <row r="1848" ht="15.75" hidden="1" customHeight="1">
      <c r="B1848" s="146"/>
      <c r="C1848" s="146">
        <f t="shared" si="5"/>
        <v>10000</v>
      </c>
      <c r="D1848" s="146"/>
      <c r="E1848" s="305"/>
      <c r="F1848" s="383"/>
      <c r="G1848" s="154">
        <f>LEN('Expected Auditing Outcomes'!$F1848)</f>
        <v>0</v>
      </c>
      <c r="H1848" s="154"/>
    </row>
    <row r="1849" ht="15.75" hidden="1" customHeight="1">
      <c r="B1849" s="146"/>
      <c r="C1849" s="146">
        <f t="shared" si="5"/>
        <v>10000</v>
      </c>
      <c r="D1849" s="146"/>
      <c r="E1849" s="305"/>
      <c r="F1849" s="383"/>
      <c r="G1849" s="154">
        <f>LEN('Expected Auditing Outcomes'!$F1849)</f>
        <v>0</v>
      </c>
      <c r="H1849" s="154"/>
    </row>
    <row r="1850" ht="15.75" hidden="1" customHeight="1">
      <c r="B1850" s="146"/>
      <c r="C1850" s="146">
        <f t="shared" si="5"/>
        <v>10000</v>
      </c>
      <c r="D1850" s="146"/>
      <c r="E1850" s="305"/>
      <c r="F1850" s="383"/>
      <c r="G1850" s="154">
        <f>LEN('Expected Auditing Outcomes'!$F1850)</f>
        <v>0</v>
      </c>
      <c r="H1850" s="154"/>
    </row>
    <row r="1851" ht="15.75" hidden="1" customHeight="1">
      <c r="B1851" s="146"/>
      <c r="C1851" s="146">
        <f t="shared" si="5"/>
        <v>10000</v>
      </c>
      <c r="D1851" s="146"/>
      <c r="E1851" s="305"/>
      <c r="F1851" s="383"/>
      <c r="G1851" s="154">
        <f>LEN('Expected Auditing Outcomes'!$F1851)</f>
        <v>0</v>
      </c>
      <c r="H1851" s="154"/>
    </row>
    <row r="1852" ht="15.75" hidden="1" customHeight="1">
      <c r="B1852" s="146"/>
      <c r="C1852" s="146">
        <f t="shared" si="5"/>
        <v>10000</v>
      </c>
      <c r="D1852" s="146"/>
      <c r="E1852" s="305"/>
      <c r="F1852" s="383"/>
      <c r="G1852" s="154">
        <f>LEN('Expected Auditing Outcomes'!$F1852)</f>
        <v>0</v>
      </c>
      <c r="H1852" s="154"/>
    </row>
    <row r="1853" ht="15.75" hidden="1" customHeight="1">
      <c r="B1853" s="146"/>
      <c r="C1853" s="146">
        <f t="shared" si="5"/>
        <v>10000</v>
      </c>
      <c r="D1853" s="146"/>
      <c r="E1853" s="305"/>
      <c r="F1853" s="383"/>
      <c r="G1853" s="154">
        <f>LEN('Expected Auditing Outcomes'!$F1853)</f>
        <v>0</v>
      </c>
      <c r="H1853" s="154"/>
    </row>
    <row r="1854" ht="15.75" hidden="1" customHeight="1">
      <c r="B1854" s="146"/>
      <c r="C1854" s="146">
        <f t="shared" si="5"/>
        <v>10000</v>
      </c>
      <c r="D1854" s="146"/>
      <c r="E1854" s="305"/>
      <c r="F1854" s="383"/>
      <c r="G1854" s="154">
        <f>LEN('Expected Auditing Outcomes'!$F1854)</f>
        <v>0</v>
      </c>
      <c r="H1854" s="154"/>
    </row>
    <row r="1855" ht="15.75" hidden="1" customHeight="1">
      <c r="B1855" s="146"/>
      <c r="C1855" s="146">
        <f t="shared" si="5"/>
        <v>10000</v>
      </c>
      <c r="D1855" s="146"/>
      <c r="E1855" s="305"/>
      <c r="F1855" s="383"/>
      <c r="G1855" s="154">
        <f>LEN('Expected Auditing Outcomes'!$F1855)</f>
        <v>0</v>
      </c>
      <c r="H1855" s="154"/>
    </row>
    <row r="1856" ht="15.75" hidden="1" customHeight="1">
      <c r="B1856" s="146"/>
      <c r="C1856" s="146">
        <f t="shared" si="5"/>
        <v>10000</v>
      </c>
      <c r="D1856" s="146"/>
      <c r="E1856" s="305"/>
      <c r="F1856" s="383"/>
      <c r="G1856" s="154">
        <f>LEN('Expected Auditing Outcomes'!$F1856)</f>
        <v>0</v>
      </c>
      <c r="H1856" s="154"/>
    </row>
    <row r="1857" ht="15.75" hidden="1" customHeight="1">
      <c r="B1857" s="146"/>
      <c r="C1857" s="146">
        <f t="shared" si="5"/>
        <v>10000</v>
      </c>
      <c r="D1857" s="146"/>
      <c r="E1857" s="305"/>
      <c r="F1857" s="383"/>
      <c r="G1857" s="154">
        <f>LEN('Expected Auditing Outcomes'!$F1857)</f>
        <v>0</v>
      </c>
      <c r="H1857" s="154"/>
    </row>
    <row r="1858" ht="15.75" hidden="1" customHeight="1">
      <c r="B1858" s="146"/>
      <c r="C1858" s="146">
        <f t="shared" si="5"/>
        <v>10000</v>
      </c>
      <c r="D1858" s="146"/>
      <c r="E1858" s="305"/>
      <c r="F1858" s="383"/>
      <c r="G1858" s="154">
        <f>LEN('Expected Auditing Outcomes'!$F1858)</f>
        <v>0</v>
      </c>
      <c r="H1858" s="154"/>
    </row>
    <row r="1859" ht="15.75" hidden="1" customHeight="1">
      <c r="B1859" s="146"/>
      <c r="C1859" s="146">
        <f t="shared" si="5"/>
        <v>10000</v>
      </c>
      <c r="D1859" s="146"/>
      <c r="E1859" s="305"/>
      <c r="F1859" s="383"/>
      <c r="G1859" s="154">
        <f>LEN('Expected Auditing Outcomes'!$F1859)</f>
        <v>0</v>
      </c>
      <c r="H1859" s="154"/>
    </row>
    <row r="1860" ht="15.75" hidden="1" customHeight="1">
      <c r="B1860" s="146"/>
      <c r="C1860" s="146">
        <f t="shared" si="5"/>
        <v>10000</v>
      </c>
      <c r="D1860" s="146"/>
      <c r="E1860" s="305"/>
      <c r="F1860" s="383"/>
      <c r="G1860" s="154">
        <f>LEN('Expected Auditing Outcomes'!$F1860)</f>
        <v>0</v>
      </c>
      <c r="H1860" s="154"/>
    </row>
    <row r="1861" ht="15.75" hidden="1" customHeight="1">
      <c r="B1861" s="146"/>
      <c r="C1861" s="146">
        <f t="shared" si="5"/>
        <v>10000</v>
      </c>
      <c r="D1861" s="146"/>
      <c r="E1861" s="305"/>
      <c r="F1861" s="383"/>
      <c r="G1861" s="154">
        <f>LEN('Expected Auditing Outcomes'!$F1861)</f>
        <v>0</v>
      </c>
      <c r="H1861" s="154"/>
    </row>
    <row r="1862" ht="15.75" hidden="1" customHeight="1">
      <c r="B1862" s="146"/>
      <c r="C1862" s="146">
        <f t="shared" si="5"/>
        <v>10000</v>
      </c>
      <c r="D1862" s="146"/>
      <c r="E1862" s="305"/>
      <c r="F1862" s="383"/>
      <c r="G1862" s="154">
        <f>LEN('Expected Auditing Outcomes'!$F1862)</f>
        <v>0</v>
      </c>
      <c r="H1862" s="154"/>
    </row>
    <row r="1863" ht="15.75" hidden="1" customHeight="1">
      <c r="B1863" s="146"/>
      <c r="C1863" s="146">
        <f t="shared" si="5"/>
        <v>10000</v>
      </c>
      <c r="D1863" s="146"/>
      <c r="E1863" s="305"/>
      <c r="F1863" s="383"/>
      <c r="G1863" s="154">
        <f>LEN('Expected Auditing Outcomes'!$F1863)</f>
        <v>0</v>
      </c>
      <c r="H1863" s="154"/>
    </row>
    <row r="1864" ht="15.75" hidden="1" customHeight="1">
      <c r="B1864" s="146"/>
      <c r="C1864" s="146">
        <f t="shared" si="5"/>
        <v>10000</v>
      </c>
      <c r="D1864" s="146"/>
      <c r="E1864" s="305"/>
      <c r="F1864" s="383"/>
      <c r="G1864" s="154">
        <f>LEN('Expected Auditing Outcomes'!$F1864)</f>
        <v>0</v>
      </c>
      <c r="H1864" s="154"/>
    </row>
    <row r="1865" ht="15.75" hidden="1" customHeight="1">
      <c r="B1865" s="146"/>
      <c r="C1865" s="146">
        <f t="shared" si="5"/>
        <v>10000</v>
      </c>
      <c r="D1865" s="146"/>
      <c r="E1865" s="305"/>
      <c r="F1865" s="383"/>
      <c r="G1865" s="154">
        <f>LEN('Expected Auditing Outcomes'!$F1865)</f>
        <v>0</v>
      </c>
      <c r="H1865" s="154"/>
    </row>
    <row r="1866" ht="15.75" hidden="1" customHeight="1">
      <c r="B1866" s="146"/>
      <c r="C1866" s="146">
        <f t="shared" si="5"/>
        <v>10000</v>
      </c>
      <c r="D1866" s="146"/>
      <c r="E1866" s="305"/>
      <c r="F1866" s="383"/>
      <c r="G1866" s="154">
        <f>LEN('Expected Auditing Outcomes'!$F1866)</f>
        <v>0</v>
      </c>
      <c r="H1866" s="154"/>
    </row>
    <row r="1867" ht="15.75" hidden="1" customHeight="1">
      <c r="B1867" s="146"/>
      <c r="C1867" s="146">
        <f t="shared" si="5"/>
        <v>10000</v>
      </c>
      <c r="D1867" s="146"/>
      <c r="E1867" s="305"/>
      <c r="F1867" s="383"/>
      <c r="G1867" s="154">
        <f>LEN('Expected Auditing Outcomes'!$F1867)</f>
        <v>0</v>
      </c>
      <c r="H1867" s="154"/>
    </row>
    <row r="1868" ht="15.75" hidden="1" customHeight="1">
      <c r="B1868" s="146"/>
      <c r="C1868" s="146">
        <f t="shared" si="5"/>
        <v>10000</v>
      </c>
      <c r="D1868" s="146"/>
      <c r="E1868" s="305"/>
      <c r="F1868" s="383"/>
      <c r="G1868" s="154">
        <f>LEN('Expected Auditing Outcomes'!$F1868)</f>
        <v>0</v>
      </c>
      <c r="H1868" s="154"/>
    </row>
    <row r="1869" ht="15.75" hidden="1" customHeight="1">
      <c r="B1869" s="146"/>
      <c r="C1869" s="146">
        <f t="shared" si="5"/>
        <v>10000</v>
      </c>
      <c r="D1869" s="146"/>
      <c r="E1869" s="305"/>
      <c r="F1869" s="383"/>
      <c r="G1869" s="154">
        <f>LEN('Expected Auditing Outcomes'!$F1869)</f>
        <v>0</v>
      </c>
      <c r="H1869" s="154"/>
    </row>
    <row r="1870" ht="15.75" hidden="1" customHeight="1">
      <c r="B1870" s="146"/>
      <c r="C1870" s="146">
        <f t="shared" si="5"/>
        <v>10000</v>
      </c>
      <c r="D1870" s="146"/>
      <c r="E1870" s="305"/>
      <c r="F1870" s="383"/>
      <c r="G1870" s="154">
        <f>LEN('Expected Auditing Outcomes'!$F1870)</f>
        <v>0</v>
      </c>
      <c r="H1870" s="154"/>
    </row>
    <row r="1871" ht="15.75" hidden="1" customHeight="1">
      <c r="B1871" s="146"/>
      <c r="C1871" s="146">
        <f t="shared" si="5"/>
        <v>10000</v>
      </c>
      <c r="D1871" s="146"/>
      <c r="E1871" s="305"/>
      <c r="F1871" s="383"/>
      <c r="G1871" s="154">
        <f>LEN('Expected Auditing Outcomes'!$F1871)</f>
        <v>0</v>
      </c>
      <c r="H1871" s="154"/>
    </row>
    <row r="1872" ht="15.75" hidden="1" customHeight="1">
      <c r="B1872" s="146"/>
      <c r="C1872" s="146">
        <f t="shared" si="5"/>
        <v>10000</v>
      </c>
      <c r="D1872" s="146"/>
      <c r="E1872" s="305"/>
      <c r="F1872" s="383"/>
      <c r="G1872" s="154">
        <f>LEN('Expected Auditing Outcomes'!$F1872)</f>
        <v>0</v>
      </c>
      <c r="H1872" s="154"/>
    </row>
    <row r="1873" ht="15.75" hidden="1" customHeight="1">
      <c r="B1873" s="146"/>
      <c r="C1873" s="146">
        <f t="shared" si="5"/>
        <v>10000</v>
      </c>
      <c r="D1873" s="146"/>
      <c r="E1873" s="305"/>
      <c r="F1873" s="383"/>
      <c r="G1873" s="154">
        <f>LEN('Expected Auditing Outcomes'!$F1873)</f>
        <v>0</v>
      </c>
      <c r="H1873" s="154"/>
    </row>
    <row r="1874" ht="15.75" hidden="1" customHeight="1">
      <c r="B1874" s="146"/>
      <c r="C1874" s="146">
        <f t="shared" si="5"/>
        <v>10000</v>
      </c>
      <c r="D1874" s="146"/>
      <c r="E1874" s="305"/>
      <c r="F1874" s="383"/>
      <c r="G1874" s="154">
        <f>LEN('Expected Auditing Outcomes'!$F1874)</f>
        <v>0</v>
      </c>
      <c r="H1874" s="154"/>
    </row>
    <row r="1875" ht="15.75" hidden="1" customHeight="1">
      <c r="B1875" s="146"/>
      <c r="C1875" s="146">
        <f t="shared" si="5"/>
        <v>10000</v>
      </c>
      <c r="D1875" s="146"/>
      <c r="E1875" s="305"/>
      <c r="F1875" s="383"/>
      <c r="G1875" s="154">
        <f>LEN('Expected Auditing Outcomes'!$F1875)</f>
        <v>0</v>
      </c>
      <c r="H1875" s="154"/>
    </row>
    <row r="1876" ht="15.75" hidden="1" customHeight="1">
      <c r="B1876" s="146"/>
      <c r="C1876" s="146">
        <f t="shared" si="5"/>
        <v>10000</v>
      </c>
      <c r="D1876" s="146"/>
      <c r="E1876" s="305"/>
      <c r="F1876" s="383"/>
      <c r="G1876" s="154">
        <f>LEN('Expected Auditing Outcomes'!$F1876)</f>
        <v>0</v>
      </c>
      <c r="H1876" s="154"/>
    </row>
    <row r="1877" ht="15.75" hidden="1" customHeight="1">
      <c r="B1877" s="146"/>
      <c r="C1877" s="146">
        <f t="shared" si="5"/>
        <v>10000</v>
      </c>
      <c r="D1877" s="146"/>
      <c r="E1877" s="305"/>
      <c r="F1877" s="383"/>
      <c r="G1877" s="154">
        <f>LEN('Expected Auditing Outcomes'!$F1877)</f>
        <v>0</v>
      </c>
      <c r="H1877" s="154"/>
    </row>
    <row r="1878" ht="15.75" hidden="1" customHeight="1">
      <c r="B1878" s="146"/>
      <c r="C1878" s="146">
        <f t="shared" si="5"/>
        <v>10000</v>
      </c>
      <c r="D1878" s="146"/>
      <c r="E1878" s="305"/>
      <c r="F1878" s="383"/>
      <c r="G1878" s="154">
        <f>LEN('Expected Auditing Outcomes'!$F1878)</f>
        <v>0</v>
      </c>
      <c r="H1878" s="154"/>
    </row>
    <row r="1879" ht="15.75" hidden="1" customHeight="1">
      <c r="B1879" s="146"/>
      <c r="C1879" s="146">
        <f t="shared" si="5"/>
        <v>10000</v>
      </c>
      <c r="D1879" s="146"/>
      <c r="E1879" s="305"/>
      <c r="F1879" s="383"/>
      <c r="G1879" s="154">
        <f>LEN('Expected Auditing Outcomes'!$F1879)</f>
        <v>0</v>
      </c>
      <c r="H1879" s="154"/>
    </row>
    <row r="1880" ht="15.75" hidden="1" customHeight="1">
      <c r="B1880" s="146"/>
      <c r="C1880" s="146">
        <f t="shared" si="5"/>
        <v>10000</v>
      </c>
      <c r="D1880" s="146"/>
      <c r="E1880" s="305"/>
      <c r="F1880" s="383"/>
      <c r="G1880" s="154">
        <f>LEN('Expected Auditing Outcomes'!$F1880)</f>
        <v>0</v>
      </c>
      <c r="H1880" s="154"/>
    </row>
    <row r="1881" ht="15.75" hidden="1" customHeight="1">
      <c r="B1881" s="146"/>
      <c r="C1881" s="146">
        <f t="shared" si="5"/>
        <v>10000</v>
      </c>
      <c r="D1881" s="146"/>
      <c r="E1881" s="305"/>
      <c r="F1881" s="383"/>
      <c r="G1881" s="154">
        <f>LEN('Expected Auditing Outcomes'!$F1881)</f>
        <v>0</v>
      </c>
      <c r="H1881" s="154"/>
    </row>
    <row r="1882" ht="15.75" hidden="1" customHeight="1">
      <c r="B1882" s="146"/>
      <c r="C1882" s="146">
        <f t="shared" si="5"/>
        <v>10000</v>
      </c>
      <c r="D1882" s="146"/>
      <c r="E1882" s="305"/>
      <c r="F1882" s="383"/>
      <c r="G1882" s="154">
        <f>LEN('Expected Auditing Outcomes'!$F1882)</f>
        <v>0</v>
      </c>
      <c r="H1882" s="154"/>
    </row>
    <row r="1883" ht="15.75" hidden="1" customHeight="1">
      <c r="B1883" s="146"/>
      <c r="C1883" s="146">
        <f t="shared" si="5"/>
        <v>10000</v>
      </c>
      <c r="D1883" s="146"/>
      <c r="E1883" s="305"/>
      <c r="F1883" s="383"/>
      <c r="G1883" s="154">
        <f>LEN('Expected Auditing Outcomes'!$F1883)</f>
        <v>0</v>
      </c>
      <c r="H1883" s="154"/>
    </row>
    <row r="1884" ht="15.75" hidden="1" customHeight="1">
      <c r="B1884" s="146"/>
      <c r="C1884" s="146">
        <f t="shared" si="5"/>
        <v>10000</v>
      </c>
      <c r="D1884" s="146"/>
      <c r="E1884" s="305"/>
      <c r="F1884" s="383"/>
      <c r="G1884" s="154">
        <f>LEN('Expected Auditing Outcomes'!$F1884)</f>
        <v>0</v>
      </c>
      <c r="H1884" s="154"/>
    </row>
    <row r="1885" ht="15.75" hidden="1" customHeight="1">
      <c r="B1885" s="146"/>
      <c r="C1885" s="146">
        <f t="shared" si="5"/>
        <v>10000</v>
      </c>
      <c r="D1885" s="146"/>
      <c r="E1885" s="305"/>
      <c r="F1885" s="383"/>
      <c r="G1885" s="154">
        <f>LEN('Expected Auditing Outcomes'!$F1885)</f>
        <v>0</v>
      </c>
      <c r="H1885" s="154"/>
    </row>
    <row r="1886" ht="15.75" hidden="1" customHeight="1">
      <c r="B1886" s="146"/>
      <c r="C1886" s="146">
        <f t="shared" si="5"/>
        <v>10000</v>
      </c>
      <c r="D1886" s="146"/>
      <c r="E1886" s="305"/>
      <c r="F1886" s="383"/>
      <c r="G1886" s="154">
        <f>LEN('Expected Auditing Outcomes'!$F1886)</f>
        <v>0</v>
      </c>
      <c r="H1886" s="154"/>
    </row>
    <row r="1887" ht="15.75" hidden="1" customHeight="1">
      <c r="B1887" s="146"/>
      <c r="C1887" s="146">
        <f t="shared" si="5"/>
        <v>10000</v>
      </c>
      <c r="D1887" s="146"/>
      <c r="E1887" s="305"/>
      <c r="F1887" s="383"/>
      <c r="G1887" s="154">
        <f>LEN('Expected Auditing Outcomes'!$F1887)</f>
        <v>0</v>
      </c>
      <c r="H1887" s="154"/>
    </row>
    <row r="1888" ht="15.75" hidden="1" customHeight="1">
      <c r="B1888" s="146"/>
      <c r="C1888" s="146">
        <f t="shared" si="5"/>
        <v>10000</v>
      </c>
      <c r="D1888" s="146"/>
      <c r="E1888" s="305"/>
      <c r="F1888" s="383"/>
      <c r="G1888" s="154">
        <f>LEN('Expected Auditing Outcomes'!$F1888)</f>
        <v>0</v>
      </c>
      <c r="H1888" s="154"/>
    </row>
    <row r="1889" ht="15.75" hidden="1" customHeight="1">
      <c r="B1889" s="146"/>
      <c r="C1889" s="146">
        <f t="shared" si="5"/>
        <v>10000</v>
      </c>
      <c r="D1889" s="146"/>
      <c r="E1889" s="305"/>
      <c r="F1889" s="383"/>
      <c r="G1889" s="154">
        <f>LEN('Expected Auditing Outcomes'!$F1889)</f>
        <v>0</v>
      </c>
      <c r="H1889" s="154"/>
    </row>
    <row r="1890" ht="15.75" hidden="1" customHeight="1">
      <c r="B1890" s="146"/>
      <c r="C1890" s="146">
        <f t="shared" si="5"/>
        <v>10000</v>
      </c>
      <c r="D1890" s="146"/>
      <c r="E1890" s="305"/>
      <c r="F1890" s="383"/>
      <c r="G1890" s="154">
        <f>LEN('Expected Auditing Outcomes'!$F1890)</f>
        <v>0</v>
      </c>
      <c r="H1890" s="154"/>
    </row>
    <row r="1891" ht="15.75" hidden="1" customHeight="1">
      <c r="B1891" s="146"/>
      <c r="C1891" s="146">
        <f t="shared" si="5"/>
        <v>10000</v>
      </c>
      <c r="D1891" s="146"/>
      <c r="E1891" s="305"/>
      <c r="F1891" s="383"/>
      <c r="G1891" s="154">
        <f>LEN('Expected Auditing Outcomes'!$F1891)</f>
        <v>0</v>
      </c>
      <c r="H1891" s="154"/>
    </row>
    <row r="1892" ht="15.75" hidden="1" customHeight="1">
      <c r="B1892" s="146"/>
      <c r="C1892" s="146">
        <f t="shared" si="5"/>
        <v>10000</v>
      </c>
      <c r="D1892" s="146"/>
      <c r="E1892" s="305"/>
      <c r="F1892" s="383"/>
      <c r="G1892" s="154">
        <f>LEN('Expected Auditing Outcomes'!$F1892)</f>
        <v>0</v>
      </c>
      <c r="H1892" s="154"/>
    </row>
    <row r="1893" ht="15.75" hidden="1" customHeight="1">
      <c r="B1893" s="146"/>
      <c r="C1893" s="146">
        <f t="shared" si="5"/>
        <v>10000</v>
      </c>
      <c r="D1893" s="146"/>
      <c r="E1893" s="305"/>
      <c r="F1893" s="383"/>
      <c r="G1893" s="154">
        <f>LEN('Expected Auditing Outcomes'!$F1893)</f>
        <v>0</v>
      </c>
      <c r="H1893" s="154"/>
    </row>
    <row r="1894" ht="15.75" hidden="1" customHeight="1">
      <c r="B1894" s="146"/>
      <c r="C1894" s="146">
        <f t="shared" si="5"/>
        <v>10000</v>
      </c>
      <c r="D1894" s="146"/>
      <c r="E1894" s="305"/>
      <c r="F1894" s="383"/>
      <c r="G1894" s="154">
        <f>LEN('Expected Auditing Outcomes'!$F1894)</f>
        <v>0</v>
      </c>
      <c r="H1894" s="154"/>
    </row>
    <row r="1895" ht="15.75" hidden="1" customHeight="1">
      <c r="B1895" s="146"/>
      <c r="C1895" s="146">
        <f t="shared" si="5"/>
        <v>10000</v>
      </c>
      <c r="D1895" s="146"/>
      <c r="E1895" s="305"/>
      <c r="F1895" s="383"/>
      <c r="G1895" s="154">
        <f>LEN('Expected Auditing Outcomes'!$F1895)</f>
        <v>0</v>
      </c>
      <c r="H1895" s="154"/>
    </row>
    <row r="1896" ht="15.75" hidden="1" customHeight="1">
      <c r="B1896" s="146"/>
      <c r="C1896" s="146">
        <f t="shared" si="5"/>
        <v>10000</v>
      </c>
      <c r="D1896" s="146"/>
      <c r="E1896" s="305"/>
      <c r="F1896" s="383"/>
      <c r="G1896" s="154">
        <f>LEN('Expected Auditing Outcomes'!$F1896)</f>
        <v>0</v>
      </c>
      <c r="H1896" s="154"/>
    </row>
    <row r="1897" ht="15.75" hidden="1" customHeight="1">
      <c r="B1897" s="146"/>
      <c r="C1897" s="146">
        <f t="shared" si="5"/>
        <v>10000</v>
      </c>
      <c r="D1897" s="146"/>
      <c r="E1897" s="305"/>
      <c r="F1897" s="383"/>
      <c r="G1897" s="154">
        <f>LEN('Expected Auditing Outcomes'!$F1897)</f>
        <v>0</v>
      </c>
      <c r="H1897" s="154"/>
    </row>
    <row r="1898" ht="15.75" hidden="1" customHeight="1">
      <c r="B1898" s="146"/>
      <c r="C1898" s="146">
        <f t="shared" si="5"/>
        <v>10000</v>
      </c>
      <c r="D1898" s="146"/>
      <c r="E1898" s="305"/>
      <c r="F1898" s="383"/>
      <c r="G1898" s="154">
        <f>LEN('Expected Auditing Outcomes'!$F1898)</f>
        <v>0</v>
      </c>
      <c r="H1898" s="154"/>
    </row>
    <row r="1899" ht="15.75" hidden="1" customHeight="1">
      <c r="B1899" s="146"/>
      <c r="C1899" s="146">
        <f t="shared" si="5"/>
        <v>10000</v>
      </c>
      <c r="D1899" s="146"/>
      <c r="E1899" s="305"/>
      <c r="F1899" s="383"/>
      <c r="G1899" s="154">
        <f>LEN('Expected Auditing Outcomes'!$F1899)</f>
        <v>0</v>
      </c>
      <c r="H1899" s="154"/>
    </row>
    <row r="1900" ht="15.75" hidden="1" customHeight="1">
      <c r="B1900" s="146"/>
      <c r="C1900" s="146">
        <f t="shared" si="5"/>
        <v>10000</v>
      </c>
      <c r="D1900" s="146"/>
      <c r="E1900" s="305"/>
      <c r="F1900" s="383"/>
      <c r="G1900" s="154">
        <f>LEN('Expected Auditing Outcomes'!$F1900)</f>
        <v>0</v>
      </c>
      <c r="H1900" s="154"/>
    </row>
    <row r="1901" ht="15.75" hidden="1" customHeight="1">
      <c r="B1901" s="146"/>
      <c r="C1901" s="146">
        <f t="shared" si="5"/>
        <v>10000</v>
      </c>
      <c r="D1901" s="146"/>
      <c r="E1901" s="305"/>
      <c r="F1901" s="383"/>
      <c r="G1901" s="154">
        <f>LEN('Expected Auditing Outcomes'!$F1901)</f>
        <v>0</v>
      </c>
      <c r="H1901" s="154"/>
    </row>
    <row r="1902" ht="15.75" hidden="1" customHeight="1">
      <c r="B1902" s="146"/>
      <c r="C1902" s="146">
        <f t="shared" si="5"/>
        <v>10000</v>
      </c>
      <c r="D1902" s="146"/>
      <c r="E1902" s="305"/>
      <c r="F1902" s="383"/>
      <c r="G1902" s="154">
        <f>LEN('Expected Auditing Outcomes'!$F1902)</f>
        <v>0</v>
      </c>
      <c r="H1902" s="154"/>
    </row>
    <row r="1903" ht="15.75" hidden="1" customHeight="1">
      <c r="B1903" s="146"/>
      <c r="C1903" s="146">
        <f t="shared" si="5"/>
        <v>10000</v>
      </c>
      <c r="D1903" s="146"/>
      <c r="E1903" s="305"/>
      <c r="F1903" s="383"/>
      <c r="G1903" s="154">
        <f>LEN('Expected Auditing Outcomes'!$F1903)</f>
        <v>0</v>
      </c>
      <c r="H1903" s="154"/>
    </row>
    <row r="1904" ht="15.75" hidden="1" customHeight="1">
      <c r="B1904" s="146"/>
      <c r="C1904" s="146">
        <f t="shared" si="5"/>
        <v>10000</v>
      </c>
      <c r="D1904" s="146"/>
      <c r="E1904" s="305"/>
      <c r="F1904" s="383"/>
      <c r="G1904" s="154">
        <f>LEN('Expected Auditing Outcomes'!$F1904)</f>
        <v>0</v>
      </c>
      <c r="H1904" s="154"/>
    </row>
    <row r="1905" ht="15.75" hidden="1" customHeight="1">
      <c r="B1905" s="146"/>
      <c r="C1905" s="146">
        <f t="shared" si="5"/>
        <v>10000</v>
      </c>
      <c r="D1905" s="146"/>
      <c r="E1905" s="305"/>
      <c r="F1905" s="383"/>
      <c r="G1905" s="154">
        <f>LEN('Expected Auditing Outcomes'!$F1905)</f>
        <v>0</v>
      </c>
      <c r="H1905" s="154"/>
    </row>
    <row r="1906" ht="15.75" hidden="1" customHeight="1">
      <c r="B1906" s="146"/>
      <c r="C1906" s="146">
        <f t="shared" si="5"/>
        <v>10000</v>
      </c>
      <c r="D1906" s="146"/>
      <c r="E1906" s="305"/>
      <c r="F1906" s="383"/>
      <c r="G1906" s="154">
        <f>LEN('Expected Auditing Outcomes'!$F1906)</f>
        <v>0</v>
      </c>
      <c r="H1906" s="154"/>
    </row>
    <row r="1907" ht="15.75" hidden="1" customHeight="1">
      <c r="B1907" s="146"/>
      <c r="C1907" s="146">
        <f t="shared" si="5"/>
        <v>10000</v>
      </c>
      <c r="D1907" s="146"/>
      <c r="E1907" s="305"/>
      <c r="F1907" s="383"/>
      <c r="G1907" s="154">
        <f>LEN('Expected Auditing Outcomes'!$F1907)</f>
        <v>0</v>
      </c>
      <c r="H1907" s="154"/>
    </row>
    <row r="1908" ht="15.75" hidden="1" customHeight="1">
      <c r="B1908" s="146"/>
      <c r="C1908" s="146">
        <f t="shared" si="5"/>
        <v>10000</v>
      </c>
      <c r="D1908" s="146"/>
      <c r="E1908" s="305"/>
      <c r="F1908" s="383"/>
      <c r="G1908" s="154">
        <f>LEN('Expected Auditing Outcomes'!$F1908)</f>
        <v>0</v>
      </c>
      <c r="H1908" s="154"/>
    </row>
    <row r="1909" ht="15.75" hidden="1" customHeight="1">
      <c r="B1909" s="146"/>
      <c r="C1909" s="146">
        <f t="shared" si="5"/>
        <v>10000</v>
      </c>
      <c r="D1909" s="146"/>
      <c r="E1909" s="305"/>
      <c r="F1909" s="383"/>
      <c r="G1909" s="154">
        <f>LEN('Expected Auditing Outcomes'!$F1909)</f>
        <v>0</v>
      </c>
      <c r="H1909" s="154"/>
    </row>
    <row r="1910" ht="15.75" hidden="1" customHeight="1">
      <c r="B1910" s="146"/>
      <c r="C1910" s="146">
        <f t="shared" si="5"/>
        <v>10000</v>
      </c>
      <c r="D1910" s="146"/>
      <c r="E1910" s="305"/>
      <c r="F1910" s="383"/>
      <c r="G1910" s="154">
        <f>LEN('Expected Auditing Outcomes'!$F1910)</f>
        <v>0</v>
      </c>
      <c r="H1910" s="154"/>
    </row>
    <row r="1911" ht="15.75" hidden="1" customHeight="1">
      <c r="B1911" s="146"/>
      <c r="C1911" s="146">
        <f t="shared" si="5"/>
        <v>10000</v>
      </c>
      <c r="D1911" s="146"/>
      <c r="E1911" s="305"/>
      <c r="F1911" s="383"/>
      <c r="G1911" s="154">
        <f>LEN('Expected Auditing Outcomes'!$F1911)</f>
        <v>0</v>
      </c>
      <c r="H1911" s="154"/>
    </row>
    <row r="1912" ht="15.75" hidden="1" customHeight="1">
      <c r="B1912" s="146"/>
      <c r="C1912" s="146">
        <f t="shared" si="5"/>
        <v>10000</v>
      </c>
      <c r="D1912" s="146"/>
      <c r="E1912" s="305"/>
      <c r="F1912" s="383"/>
      <c r="G1912" s="154">
        <f>LEN('Expected Auditing Outcomes'!$F1912)</f>
        <v>0</v>
      </c>
      <c r="H1912" s="154"/>
    </row>
    <row r="1913" ht="15.75" hidden="1" customHeight="1">
      <c r="B1913" s="146"/>
      <c r="C1913" s="146">
        <f t="shared" si="5"/>
        <v>10000</v>
      </c>
      <c r="D1913" s="146"/>
      <c r="E1913" s="305"/>
      <c r="F1913" s="383"/>
      <c r="G1913" s="154">
        <f>LEN('Expected Auditing Outcomes'!$F1913)</f>
        <v>0</v>
      </c>
      <c r="H1913" s="154"/>
    </row>
    <row r="1914" ht="15.75" hidden="1" customHeight="1">
      <c r="B1914" s="146"/>
      <c r="C1914" s="146">
        <f t="shared" si="5"/>
        <v>10000</v>
      </c>
      <c r="D1914" s="146"/>
      <c r="E1914" s="305"/>
      <c r="F1914" s="383"/>
      <c r="G1914" s="154">
        <f>LEN('Expected Auditing Outcomes'!$F1914)</f>
        <v>0</v>
      </c>
      <c r="H1914" s="154"/>
    </row>
    <row r="1915" ht="15.75" hidden="1" customHeight="1">
      <c r="B1915" s="146"/>
      <c r="C1915" s="146">
        <f t="shared" si="5"/>
        <v>10000</v>
      </c>
      <c r="D1915" s="146"/>
      <c r="E1915" s="305"/>
      <c r="F1915" s="383"/>
      <c r="G1915" s="154">
        <f>LEN('Expected Auditing Outcomes'!$F1915)</f>
        <v>0</v>
      </c>
      <c r="H1915" s="154"/>
    </row>
    <row r="1916" ht="15.75" hidden="1" customHeight="1">
      <c r="B1916" s="146"/>
      <c r="C1916" s="146">
        <f t="shared" si="5"/>
        <v>10000</v>
      </c>
      <c r="D1916" s="146"/>
      <c r="E1916" s="305"/>
      <c r="F1916" s="383"/>
      <c r="G1916" s="154">
        <f>LEN('Expected Auditing Outcomes'!$F1916)</f>
        <v>0</v>
      </c>
      <c r="H1916" s="154"/>
    </row>
    <row r="1917" ht="15.75" hidden="1" customHeight="1">
      <c r="B1917" s="146"/>
      <c r="C1917" s="146">
        <f t="shared" si="5"/>
        <v>10000</v>
      </c>
      <c r="D1917" s="146"/>
      <c r="E1917" s="305"/>
      <c r="F1917" s="383"/>
      <c r="G1917" s="154">
        <f>LEN('Expected Auditing Outcomes'!$F1917)</f>
        <v>0</v>
      </c>
      <c r="H1917" s="154"/>
    </row>
    <row r="1918" ht="15.75" hidden="1" customHeight="1">
      <c r="B1918" s="146"/>
      <c r="C1918" s="146">
        <f t="shared" si="5"/>
        <v>10000</v>
      </c>
      <c r="D1918" s="146"/>
      <c r="E1918" s="305"/>
      <c r="F1918" s="383"/>
      <c r="G1918" s="154">
        <f>LEN('Expected Auditing Outcomes'!$F1918)</f>
        <v>0</v>
      </c>
      <c r="H1918" s="154"/>
    </row>
    <row r="1919" ht="15.75" hidden="1" customHeight="1">
      <c r="B1919" s="146"/>
      <c r="C1919" s="146">
        <f t="shared" si="5"/>
        <v>10000</v>
      </c>
      <c r="D1919" s="146"/>
      <c r="E1919" s="305"/>
      <c r="F1919" s="383"/>
      <c r="G1919" s="154">
        <f>LEN('Expected Auditing Outcomes'!$F1919)</f>
        <v>0</v>
      </c>
      <c r="H1919" s="154"/>
    </row>
    <row r="1920" ht="15.75" hidden="1" customHeight="1">
      <c r="B1920" s="146"/>
      <c r="C1920" s="146">
        <f t="shared" si="5"/>
        <v>10000</v>
      </c>
      <c r="D1920" s="146"/>
      <c r="E1920" s="305"/>
      <c r="F1920" s="383"/>
      <c r="G1920" s="154">
        <f>LEN('Expected Auditing Outcomes'!$F1920)</f>
        <v>0</v>
      </c>
      <c r="H1920" s="154"/>
    </row>
    <row r="1921" ht="15.75" hidden="1" customHeight="1">
      <c r="B1921" s="146"/>
      <c r="C1921" s="146">
        <f t="shared" si="5"/>
        <v>10000</v>
      </c>
      <c r="D1921" s="146"/>
      <c r="E1921" s="305"/>
      <c r="F1921" s="383"/>
      <c r="G1921" s="154">
        <f>LEN('Expected Auditing Outcomes'!$F1921)</f>
        <v>0</v>
      </c>
      <c r="H1921" s="154"/>
    </row>
    <row r="1922" ht="15.75" hidden="1" customHeight="1">
      <c r="B1922" s="146"/>
      <c r="C1922" s="146">
        <f t="shared" si="5"/>
        <v>10000</v>
      </c>
      <c r="D1922" s="146"/>
      <c r="E1922" s="305"/>
      <c r="F1922" s="383"/>
      <c r="G1922" s="154">
        <f>LEN('Expected Auditing Outcomes'!$F1922)</f>
        <v>0</v>
      </c>
      <c r="H1922" s="154"/>
    </row>
    <row r="1923" ht="15.75" hidden="1" customHeight="1">
      <c r="B1923" s="146"/>
      <c r="C1923" s="146">
        <f t="shared" si="5"/>
        <v>10000</v>
      </c>
      <c r="D1923" s="146"/>
      <c r="E1923" s="305"/>
      <c r="F1923" s="383"/>
      <c r="G1923" s="154">
        <f>LEN('Expected Auditing Outcomes'!$F1923)</f>
        <v>0</v>
      </c>
      <c r="H1923" s="154"/>
    </row>
    <row r="1924" ht="15.75" hidden="1" customHeight="1">
      <c r="B1924" s="146"/>
      <c r="C1924" s="146">
        <f t="shared" si="5"/>
        <v>10000</v>
      </c>
      <c r="D1924" s="146"/>
      <c r="E1924" s="305"/>
      <c r="F1924" s="383"/>
      <c r="G1924" s="154">
        <f>LEN('Expected Auditing Outcomes'!$F1924)</f>
        <v>0</v>
      </c>
      <c r="H1924" s="154"/>
    </row>
    <row r="1925" ht="15.75" hidden="1" customHeight="1">
      <c r="B1925" s="146"/>
      <c r="C1925" s="146">
        <f t="shared" si="5"/>
        <v>10000</v>
      </c>
      <c r="D1925" s="146"/>
      <c r="E1925" s="305"/>
      <c r="F1925" s="383"/>
      <c r="G1925" s="154">
        <f>LEN('Expected Auditing Outcomes'!$F1925)</f>
        <v>0</v>
      </c>
      <c r="H1925" s="154"/>
    </row>
    <row r="1926" ht="15.75" hidden="1" customHeight="1">
      <c r="B1926" s="146"/>
      <c r="C1926" s="146">
        <f t="shared" si="5"/>
        <v>10000</v>
      </c>
      <c r="D1926" s="146"/>
      <c r="E1926" s="305"/>
      <c r="F1926" s="383"/>
      <c r="G1926" s="154">
        <f>LEN('Expected Auditing Outcomes'!$F1926)</f>
        <v>0</v>
      </c>
      <c r="H1926" s="154"/>
    </row>
    <row r="1927" ht="15.75" hidden="1" customHeight="1">
      <c r="B1927" s="146"/>
      <c r="C1927" s="146">
        <f t="shared" si="5"/>
        <v>10000</v>
      </c>
      <c r="D1927" s="146"/>
      <c r="E1927" s="305"/>
      <c r="F1927" s="383"/>
      <c r="G1927" s="154">
        <f>LEN('Expected Auditing Outcomes'!$F1927)</f>
        <v>0</v>
      </c>
      <c r="H1927" s="154"/>
    </row>
    <row r="1928" ht="15.75" hidden="1" customHeight="1">
      <c r="B1928" s="146"/>
      <c r="C1928" s="146">
        <f t="shared" si="5"/>
        <v>10000</v>
      </c>
      <c r="D1928" s="146"/>
      <c r="E1928" s="305"/>
      <c r="F1928" s="383"/>
      <c r="G1928" s="154">
        <f>LEN('Expected Auditing Outcomes'!$F1928)</f>
        <v>0</v>
      </c>
      <c r="H1928" s="154"/>
    </row>
    <row r="1929" ht="15.75" hidden="1" customHeight="1">
      <c r="B1929" s="146"/>
      <c r="C1929" s="146">
        <f t="shared" si="5"/>
        <v>10000</v>
      </c>
      <c r="D1929" s="146"/>
      <c r="E1929" s="305"/>
      <c r="F1929" s="383"/>
      <c r="G1929" s="154">
        <f>LEN('Expected Auditing Outcomes'!$F1929)</f>
        <v>0</v>
      </c>
      <c r="H1929" s="154"/>
    </row>
    <row r="1930" ht="15.75" hidden="1" customHeight="1">
      <c r="B1930" s="146"/>
      <c r="C1930" s="146">
        <f t="shared" si="5"/>
        <v>10000</v>
      </c>
      <c r="D1930" s="146"/>
      <c r="E1930" s="305"/>
      <c r="F1930" s="383"/>
      <c r="G1930" s="154">
        <f>LEN('Expected Auditing Outcomes'!$F1930)</f>
        <v>0</v>
      </c>
      <c r="H1930" s="154"/>
    </row>
    <row r="1931" ht="15.75" hidden="1" customHeight="1">
      <c r="B1931" s="146"/>
      <c r="C1931" s="146">
        <f t="shared" si="5"/>
        <v>10000</v>
      </c>
      <c r="D1931" s="146"/>
      <c r="E1931" s="305"/>
      <c r="F1931" s="383"/>
      <c r="G1931" s="154">
        <f>LEN('Expected Auditing Outcomes'!$F1931)</f>
        <v>0</v>
      </c>
      <c r="H1931" s="154"/>
    </row>
    <row r="1932" ht="15.75" hidden="1" customHeight="1">
      <c r="B1932" s="146"/>
      <c r="C1932" s="146">
        <f t="shared" si="5"/>
        <v>10000</v>
      </c>
      <c r="D1932" s="146"/>
      <c r="E1932" s="305"/>
      <c r="F1932" s="383"/>
      <c r="G1932" s="154">
        <f>LEN('Expected Auditing Outcomes'!$F1932)</f>
        <v>0</v>
      </c>
      <c r="H1932" s="154"/>
    </row>
    <row r="1933" ht="15.75" hidden="1" customHeight="1">
      <c r="B1933" s="146"/>
      <c r="C1933" s="146">
        <f t="shared" si="5"/>
        <v>10000</v>
      </c>
      <c r="D1933" s="146"/>
      <c r="E1933" s="305"/>
      <c r="F1933" s="383"/>
      <c r="G1933" s="154">
        <f>LEN('Expected Auditing Outcomes'!$F1933)</f>
        <v>0</v>
      </c>
      <c r="H1933" s="154"/>
    </row>
    <row r="1934" ht="15.75" hidden="1" customHeight="1">
      <c r="B1934" s="146"/>
      <c r="C1934" s="146">
        <f t="shared" si="5"/>
        <v>10000</v>
      </c>
      <c r="D1934" s="146"/>
      <c r="E1934" s="305"/>
      <c r="F1934" s="383"/>
      <c r="G1934" s="154">
        <f>LEN('Expected Auditing Outcomes'!$F1934)</f>
        <v>0</v>
      </c>
      <c r="H1934" s="154"/>
    </row>
    <row r="1935" ht="15.75" hidden="1" customHeight="1">
      <c r="B1935" s="146"/>
      <c r="C1935" s="146">
        <f t="shared" si="5"/>
        <v>10000</v>
      </c>
      <c r="D1935" s="146"/>
      <c r="E1935" s="305"/>
      <c r="F1935" s="383"/>
      <c r="G1935" s="154">
        <f>LEN('Expected Auditing Outcomes'!$F1935)</f>
        <v>0</v>
      </c>
      <c r="H1935" s="154"/>
    </row>
    <row r="1936" ht="15.75" hidden="1" customHeight="1">
      <c r="B1936" s="146"/>
      <c r="C1936" s="146">
        <f t="shared" si="5"/>
        <v>10000</v>
      </c>
      <c r="D1936" s="146"/>
      <c r="E1936" s="305"/>
      <c r="F1936" s="383"/>
      <c r="G1936" s="154">
        <f>LEN('Expected Auditing Outcomes'!$F1936)</f>
        <v>0</v>
      </c>
      <c r="H1936" s="154"/>
    </row>
    <row r="1937" ht="15.75" hidden="1" customHeight="1">
      <c r="B1937" s="146"/>
      <c r="C1937" s="146">
        <f t="shared" si="5"/>
        <v>10000</v>
      </c>
      <c r="D1937" s="146"/>
      <c r="E1937" s="305"/>
      <c r="F1937" s="383"/>
      <c r="G1937" s="154">
        <f>LEN('Expected Auditing Outcomes'!$F1937)</f>
        <v>0</v>
      </c>
      <c r="H1937" s="154"/>
    </row>
    <row r="1938" ht="15.75" hidden="1" customHeight="1">
      <c r="B1938" s="146"/>
      <c r="C1938" s="146">
        <f t="shared" si="5"/>
        <v>10000</v>
      </c>
      <c r="D1938" s="146"/>
      <c r="E1938" s="305"/>
      <c r="F1938" s="383"/>
      <c r="G1938" s="154">
        <f>LEN('Expected Auditing Outcomes'!$F1938)</f>
        <v>0</v>
      </c>
      <c r="H1938" s="154"/>
    </row>
    <row r="1939" ht="15.75" hidden="1" customHeight="1">
      <c r="B1939" s="146"/>
      <c r="C1939" s="146">
        <f t="shared" si="5"/>
        <v>10000</v>
      </c>
      <c r="D1939" s="146"/>
      <c r="E1939" s="305"/>
      <c r="F1939" s="383"/>
      <c r="G1939" s="154">
        <f>LEN('Expected Auditing Outcomes'!$F1939)</f>
        <v>0</v>
      </c>
      <c r="H1939" s="154"/>
    </row>
    <row r="1940" ht="15.75" hidden="1" customHeight="1">
      <c r="B1940" s="146"/>
      <c r="C1940" s="146">
        <f t="shared" si="5"/>
        <v>10000</v>
      </c>
      <c r="D1940" s="146"/>
      <c r="E1940" s="305"/>
      <c r="F1940" s="383"/>
      <c r="G1940" s="154">
        <f>LEN('Expected Auditing Outcomes'!$F1940)</f>
        <v>0</v>
      </c>
      <c r="H1940" s="154"/>
    </row>
    <row r="1941" ht="15.75" hidden="1" customHeight="1">
      <c r="B1941" s="146"/>
      <c r="C1941" s="146">
        <f t="shared" si="5"/>
        <v>10000</v>
      </c>
      <c r="D1941" s="146"/>
      <c r="E1941" s="305"/>
      <c r="F1941" s="383"/>
      <c r="G1941" s="154">
        <f>LEN('Expected Auditing Outcomes'!$F1941)</f>
        <v>0</v>
      </c>
      <c r="H1941" s="154"/>
    </row>
    <row r="1942" ht="15.75" hidden="1" customHeight="1">
      <c r="B1942" s="146"/>
      <c r="C1942" s="146">
        <f t="shared" si="5"/>
        <v>10000</v>
      </c>
      <c r="D1942" s="146"/>
      <c r="E1942" s="305"/>
      <c r="F1942" s="383"/>
      <c r="G1942" s="154">
        <f>LEN('Expected Auditing Outcomes'!$F1942)</f>
        <v>0</v>
      </c>
      <c r="H1942" s="154"/>
    </row>
    <row r="1943" ht="15.75" hidden="1" customHeight="1">
      <c r="B1943" s="146"/>
      <c r="C1943" s="146">
        <f t="shared" si="5"/>
        <v>10000</v>
      </c>
      <c r="D1943" s="146"/>
      <c r="E1943" s="305"/>
      <c r="F1943" s="383"/>
      <c r="G1943" s="154">
        <f>LEN('Expected Auditing Outcomes'!$F1943)</f>
        <v>0</v>
      </c>
      <c r="H1943" s="154"/>
    </row>
    <row r="1944" ht="15.75" hidden="1" customHeight="1">
      <c r="B1944" s="146"/>
      <c r="C1944" s="146">
        <f t="shared" si="5"/>
        <v>10000</v>
      </c>
      <c r="D1944" s="146"/>
      <c r="E1944" s="305"/>
      <c r="F1944" s="383"/>
      <c r="G1944" s="154">
        <f>LEN('Expected Auditing Outcomes'!$F1944)</f>
        <v>0</v>
      </c>
      <c r="H1944" s="154"/>
    </row>
    <row r="1945" ht="15.75" hidden="1" customHeight="1">
      <c r="B1945" s="146"/>
      <c r="C1945" s="146">
        <f t="shared" si="5"/>
        <v>10000</v>
      </c>
      <c r="D1945" s="146"/>
      <c r="E1945" s="305"/>
      <c r="F1945" s="383"/>
      <c r="G1945" s="154">
        <f>LEN('Expected Auditing Outcomes'!$F1945)</f>
        <v>0</v>
      </c>
      <c r="H1945" s="154"/>
    </row>
    <row r="1946" ht="15.75" hidden="1" customHeight="1">
      <c r="B1946" s="146"/>
      <c r="C1946" s="146">
        <f t="shared" si="5"/>
        <v>10000</v>
      </c>
      <c r="D1946" s="146"/>
      <c r="E1946" s="305"/>
      <c r="F1946" s="383"/>
      <c r="G1946" s="154">
        <f>LEN('Expected Auditing Outcomes'!$F1946)</f>
        <v>0</v>
      </c>
      <c r="H1946" s="154"/>
    </row>
    <row r="1947" ht="15.75" hidden="1" customHeight="1">
      <c r="B1947" s="146"/>
      <c r="C1947" s="146">
        <f t="shared" si="5"/>
        <v>10000</v>
      </c>
      <c r="D1947" s="146"/>
      <c r="E1947" s="305"/>
      <c r="F1947" s="383"/>
      <c r="G1947" s="154">
        <f>LEN('Expected Auditing Outcomes'!$F1947)</f>
        <v>0</v>
      </c>
      <c r="H1947" s="154"/>
    </row>
    <row r="1948" ht="15.75" hidden="1" customHeight="1">
      <c r="B1948" s="146"/>
      <c r="C1948" s="146">
        <f t="shared" si="5"/>
        <v>10000</v>
      </c>
      <c r="D1948" s="146"/>
      <c r="E1948" s="305"/>
      <c r="F1948" s="383"/>
      <c r="G1948" s="154">
        <f>LEN('Expected Auditing Outcomes'!$F1948)</f>
        <v>0</v>
      </c>
      <c r="H1948" s="154"/>
    </row>
    <row r="1949" ht="15.75" hidden="1" customHeight="1">
      <c r="B1949" s="146"/>
      <c r="C1949" s="146">
        <f t="shared" si="5"/>
        <v>10000</v>
      </c>
      <c r="D1949" s="146"/>
      <c r="E1949" s="305"/>
      <c r="F1949" s="383"/>
      <c r="G1949" s="154">
        <f>LEN('Expected Auditing Outcomes'!$F1949)</f>
        <v>0</v>
      </c>
      <c r="H1949" s="154"/>
    </row>
    <row r="1950" ht="15.75" hidden="1" customHeight="1">
      <c r="B1950" s="146"/>
      <c r="C1950" s="146">
        <f t="shared" si="5"/>
        <v>10000</v>
      </c>
      <c r="D1950" s="146"/>
      <c r="E1950" s="305"/>
      <c r="F1950" s="383"/>
      <c r="G1950" s="154">
        <f>LEN('Expected Auditing Outcomes'!$F1950)</f>
        <v>0</v>
      </c>
      <c r="H1950" s="154"/>
    </row>
    <row r="1951" ht="15.75" hidden="1" customHeight="1">
      <c r="B1951" s="146"/>
      <c r="C1951" s="146">
        <f t="shared" si="5"/>
        <v>10000</v>
      </c>
      <c r="D1951" s="146"/>
      <c r="E1951" s="305"/>
      <c r="F1951" s="383"/>
      <c r="G1951" s="154">
        <f>LEN('Expected Auditing Outcomes'!$F1951)</f>
        <v>0</v>
      </c>
      <c r="H1951" s="154"/>
    </row>
    <row r="1952" ht="15.75" hidden="1" customHeight="1">
      <c r="B1952" s="146"/>
      <c r="C1952" s="146">
        <f t="shared" si="5"/>
        <v>10000</v>
      </c>
      <c r="D1952" s="146"/>
      <c r="E1952" s="305"/>
      <c r="F1952" s="383"/>
      <c r="G1952" s="154">
        <f>LEN('Expected Auditing Outcomes'!$F1952)</f>
        <v>0</v>
      </c>
      <c r="H1952" s="154"/>
    </row>
    <row r="1953" ht="15.75" hidden="1" customHeight="1">
      <c r="B1953" s="146"/>
      <c r="C1953" s="146">
        <f t="shared" si="5"/>
        <v>10000</v>
      </c>
      <c r="D1953" s="146"/>
      <c r="E1953" s="305"/>
      <c r="F1953" s="383"/>
      <c r="G1953" s="154">
        <f>LEN('Expected Auditing Outcomes'!$F1953)</f>
        <v>0</v>
      </c>
      <c r="H1953" s="154"/>
    </row>
    <row r="1954" ht="15.75" hidden="1" customHeight="1">
      <c r="B1954" s="146"/>
      <c r="C1954" s="146">
        <f t="shared" si="5"/>
        <v>10000</v>
      </c>
      <c r="D1954" s="146"/>
      <c r="E1954" s="305"/>
      <c r="F1954" s="383"/>
      <c r="G1954" s="154">
        <f>LEN('Expected Auditing Outcomes'!$F1954)</f>
        <v>0</v>
      </c>
      <c r="H1954" s="154"/>
    </row>
    <row r="1955" ht="15.75" hidden="1" customHeight="1">
      <c r="B1955" s="146"/>
      <c r="C1955" s="146">
        <f t="shared" si="5"/>
        <v>10000</v>
      </c>
      <c r="D1955" s="146"/>
      <c r="E1955" s="305"/>
      <c r="F1955" s="383"/>
      <c r="G1955" s="154">
        <f>LEN('Expected Auditing Outcomes'!$F1955)</f>
        <v>0</v>
      </c>
      <c r="H1955" s="154"/>
    </row>
    <row r="1956" ht="15.75" hidden="1" customHeight="1">
      <c r="B1956" s="146"/>
      <c r="C1956" s="146">
        <f t="shared" si="5"/>
        <v>10000</v>
      </c>
      <c r="D1956" s="146"/>
      <c r="E1956" s="305"/>
      <c r="F1956" s="383"/>
      <c r="G1956" s="154">
        <f>LEN('Expected Auditing Outcomes'!$F1956)</f>
        <v>0</v>
      </c>
      <c r="H1956" s="154"/>
    </row>
    <row r="1957" ht="15.75" hidden="1" customHeight="1">
      <c r="B1957" s="146"/>
      <c r="C1957" s="146">
        <f t="shared" si="5"/>
        <v>10000</v>
      </c>
      <c r="D1957" s="146"/>
      <c r="E1957" s="305"/>
      <c r="F1957" s="383"/>
      <c r="G1957" s="154">
        <f>LEN('Expected Auditing Outcomes'!$F1957)</f>
        <v>0</v>
      </c>
      <c r="H1957" s="154"/>
    </row>
    <row r="1958" ht="15.75" hidden="1" customHeight="1">
      <c r="B1958" s="146"/>
      <c r="C1958" s="146">
        <f t="shared" si="5"/>
        <v>10000</v>
      </c>
      <c r="D1958" s="146"/>
      <c r="E1958" s="305"/>
      <c r="F1958" s="383"/>
      <c r="G1958" s="154">
        <f>LEN('Expected Auditing Outcomes'!$F1958)</f>
        <v>0</v>
      </c>
      <c r="H1958" s="154"/>
    </row>
    <row r="1959" ht="15.75" hidden="1" customHeight="1">
      <c r="B1959" s="146"/>
      <c r="C1959" s="146">
        <f t="shared" si="5"/>
        <v>10000</v>
      </c>
      <c r="D1959" s="146"/>
      <c r="E1959" s="305"/>
      <c r="F1959" s="383"/>
      <c r="G1959" s="154">
        <f>LEN('Expected Auditing Outcomes'!$F1959)</f>
        <v>0</v>
      </c>
      <c r="H1959" s="154"/>
    </row>
    <row r="1960" ht="15.75" hidden="1" customHeight="1">
      <c r="B1960" s="146"/>
      <c r="C1960" s="146">
        <f t="shared" si="5"/>
        <v>10000</v>
      </c>
      <c r="D1960" s="146"/>
      <c r="E1960" s="305"/>
      <c r="F1960" s="383"/>
      <c r="G1960" s="154">
        <f>LEN('Expected Auditing Outcomes'!$F1960)</f>
        <v>0</v>
      </c>
      <c r="H1960" s="154"/>
    </row>
    <row r="1961" ht="15.75" hidden="1" customHeight="1">
      <c r="B1961" s="146"/>
      <c r="C1961" s="146">
        <f t="shared" si="5"/>
        <v>10000</v>
      </c>
      <c r="D1961" s="146"/>
      <c r="E1961" s="305"/>
      <c r="F1961" s="383"/>
      <c r="G1961" s="154">
        <f>LEN('Expected Auditing Outcomes'!$F1961)</f>
        <v>0</v>
      </c>
      <c r="H1961" s="154"/>
    </row>
    <row r="1962" ht="15.75" hidden="1" customHeight="1">
      <c r="B1962" s="146"/>
      <c r="C1962" s="146">
        <f t="shared" si="5"/>
        <v>10000</v>
      </c>
      <c r="D1962" s="146"/>
      <c r="E1962" s="305"/>
      <c r="F1962" s="383"/>
      <c r="G1962" s="154">
        <f>LEN('Expected Auditing Outcomes'!$F1962)</f>
        <v>0</v>
      </c>
      <c r="H1962" s="154"/>
    </row>
    <row r="1963" ht="15.75" hidden="1" customHeight="1">
      <c r="B1963" s="146"/>
      <c r="C1963" s="146">
        <f t="shared" si="5"/>
        <v>10000</v>
      </c>
      <c r="D1963" s="146"/>
      <c r="E1963" s="305"/>
      <c r="F1963" s="383"/>
      <c r="G1963" s="154">
        <f>LEN('Expected Auditing Outcomes'!$F1963)</f>
        <v>0</v>
      </c>
      <c r="H1963" s="154"/>
    </row>
    <row r="1964" ht="15.75" hidden="1" customHeight="1">
      <c r="B1964" s="146"/>
      <c r="C1964" s="146">
        <f t="shared" si="5"/>
        <v>10000</v>
      </c>
      <c r="D1964" s="146"/>
      <c r="E1964" s="305"/>
      <c r="F1964" s="383"/>
      <c r="G1964" s="154">
        <f>LEN('Expected Auditing Outcomes'!$F1964)</f>
        <v>0</v>
      </c>
      <c r="H1964" s="154"/>
    </row>
    <row r="1965" ht="15.75" hidden="1" customHeight="1">
      <c r="B1965" s="146"/>
      <c r="C1965" s="146">
        <f t="shared" si="5"/>
        <v>10000</v>
      </c>
      <c r="D1965" s="146"/>
      <c r="E1965" s="305"/>
      <c r="F1965" s="383"/>
      <c r="G1965" s="154">
        <f>LEN('Expected Auditing Outcomes'!$F1965)</f>
        <v>0</v>
      </c>
      <c r="H1965" s="154"/>
    </row>
    <row r="1966" ht="15.75" hidden="1" customHeight="1">
      <c r="B1966" s="146"/>
      <c r="C1966" s="146">
        <f t="shared" si="5"/>
        <v>10000</v>
      </c>
      <c r="D1966" s="146"/>
      <c r="E1966" s="305"/>
      <c r="F1966" s="383"/>
      <c r="G1966" s="154">
        <f>LEN('Expected Auditing Outcomes'!$F1966)</f>
        <v>0</v>
      </c>
      <c r="H1966" s="154"/>
    </row>
    <row r="1967" ht="15.75" hidden="1" customHeight="1">
      <c r="B1967" s="146"/>
      <c r="C1967" s="146">
        <f t="shared" si="5"/>
        <v>10000</v>
      </c>
      <c r="D1967" s="146"/>
      <c r="E1967" s="305"/>
      <c r="F1967" s="383"/>
      <c r="G1967" s="154">
        <f>LEN('Expected Auditing Outcomes'!$F1967)</f>
        <v>0</v>
      </c>
      <c r="H1967" s="154"/>
    </row>
    <row r="1968" ht="15.75" hidden="1" customHeight="1">
      <c r="B1968" s="146"/>
      <c r="C1968" s="146">
        <f t="shared" si="5"/>
        <v>10000</v>
      </c>
      <c r="D1968" s="146"/>
      <c r="E1968" s="305"/>
      <c r="F1968" s="383"/>
      <c r="G1968" s="154">
        <f>LEN('Expected Auditing Outcomes'!$F1968)</f>
        <v>0</v>
      </c>
      <c r="H1968" s="154"/>
    </row>
    <row r="1969" ht="15.75" hidden="1" customHeight="1">
      <c r="B1969" s="146"/>
      <c r="C1969" s="146">
        <f t="shared" si="5"/>
        <v>10000</v>
      </c>
      <c r="D1969" s="146"/>
      <c r="E1969" s="305"/>
      <c r="F1969" s="383"/>
      <c r="G1969" s="154">
        <f>LEN('Expected Auditing Outcomes'!$F1969)</f>
        <v>0</v>
      </c>
      <c r="H1969" s="154"/>
    </row>
    <row r="1970" ht="15.75" hidden="1" customHeight="1">
      <c r="B1970" s="146"/>
      <c r="C1970" s="146">
        <f t="shared" si="5"/>
        <v>10000</v>
      </c>
      <c r="D1970" s="146"/>
      <c r="E1970" s="305"/>
      <c r="F1970" s="383"/>
      <c r="G1970" s="154">
        <f>LEN('Expected Auditing Outcomes'!$F1970)</f>
        <v>0</v>
      </c>
      <c r="H1970" s="154"/>
    </row>
    <row r="1971" ht="15.75" hidden="1" customHeight="1">
      <c r="B1971" s="146"/>
      <c r="C1971" s="146">
        <f t="shared" si="5"/>
        <v>10000</v>
      </c>
      <c r="D1971" s="146"/>
      <c r="E1971" s="305"/>
      <c r="F1971" s="383"/>
      <c r="G1971" s="154">
        <f>LEN('Expected Auditing Outcomes'!$F1971)</f>
        <v>0</v>
      </c>
      <c r="H1971" s="154"/>
    </row>
    <row r="1972" ht="15.75" hidden="1" customHeight="1">
      <c r="B1972" s="146"/>
      <c r="C1972" s="146">
        <f t="shared" si="5"/>
        <v>10000</v>
      </c>
      <c r="D1972" s="146"/>
      <c r="E1972" s="305"/>
      <c r="F1972" s="383"/>
      <c r="G1972" s="154">
        <f>LEN('Expected Auditing Outcomes'!$F1972)</f>
        <v>0</v>
      </c>
      <c r="H1972" s="154"/>
    </row>
    <row r="1973" ht="15.75" hidden="1" customHeight="1">
      <c r="B1973" s="146"/>
      <c r="C1973" s="146">
        <f t="shared" si="5"/>
        <v>10000</v>
      </c>
      <c r="D1973" s="146"/>
      <c r="E1973" s="305"/>
      <c r="F1973" s="383"/>
      <c r="G1973" s="154">
        <f>LEN('Expected Auditing Outcomes'!$F1973)</f>
        <v>0</v>
      </c>
      <c r="H1973" s="154"/>
    </row>
    <row r="1974" ht="15.75" hidden="1" customHeight="1">
      <c r="B1974" s="146"/>
      <c r="C1974" s="146">
        <f t="shared" si="5"/>
        <v>10000</v>
      </c>
      <c r="D1974" s="146"/>
      <c r="E1974" s="305"/>
      <c r="F1974" s="383"/>
      <c r="G1974" s="154">
        <f>LEN('Expected Auditing Outcomes'!$F1974)</f>
        <v>0</v>
      </c>
      <c r="H1974" s="154"/>
    </row>
    <row r="1975" ht="15.75" hidden="1" customHeight="1">
      <c r="B1975" s="146"/>
      <c r="C1975" s="146">
        <f t="shared" si="5"/>
        <v>10000</v>
      </c>
      <c r="D1975" s="146"/>
      <c r="E1975" s="305"/>
      <c r="F1975" s="383"/>
      <c r="G1975" s="154">
        <f>LEN('Expected Auditing Outcomes'!$F1975)</f>
        <v>0</v>
      </c>
      <c r="H1975" s="154"/>
    </row>
    <row r="1976" ht="15.75" hidden="1" customHeight="1">
      <c r="B1976" s="146"/>
      <c r="C1976" s="146">
        <f t="shared" si="5"/>
        <v>10000</v>
      </c>
      <c r="D1976" s="146"/>
      <c r="E1976" s="305"/>
      <c r="F1976" s="383"/>
      <c r="G1976" s="154">
        <f>LEN('Expected Auditing Outcomes'!$F1976)</f>
        <v>0</v>
      </c>
      <c r="H1976" s="154"/>
    </row>
    <row r="1977" ht="15.75" hidden="1" customHeight="1">
      <c r="B1977" s="146"/>
      <c r="C1977" s="146">
        <f t="shared" si="5"/>
        <v>10000</v>
      </c>
      <c r="D1977" s="146"/>
      <c r="E1977" s="305"/>
      <c r="F1977" s="383"/>
      <c r="G1977" s="154">
        <f>LEN('Expected Auditing Outcomes'!$F1977)</f>
        <v>0</v>
      </c>
      <c r="H1977" s="154"/>
    </row>
    <row r="1978" ht="15.75" hidden="1" customHeight="1">
      <c r="B1978" s="146"/>
      <c r="C1978" s="146">
        <f t="shared" si="5"/>
        <v>10000</v>
      </c>
      <c r="D1978" s="146"/>
      <c r="E1978" s="305"/>
      <c r="F1978" s="383"/>
      <c r="G1978" s="154">
        <f>LEN('Expected Auditing Outcomes'!$F1978)</f>
        <v>0</v>
      </c>
      <c r="H1978" s="154"/>
    </row>
    <row r="1979" ht="15.75" hidden="1" customHeight="1">
      <c r="B1979" s="146"/>
      <c r="C1979" s="146">
        <f t="shared" si="5"/>
        <v>10000</v>
      </c>
      <c r="D1979" s="146"/>
      <c r="E1979" s="305"/>
      <c r="F1979" s="383"/>
      <c r="G1979" s="154">
        <f>LEN('Expected Auditing Outcomes'!$F1979)</f>
        <v>0</v>
      </c>
      <c r="H1979" s="154"/>
    </row>
    <row r="1980" ht="15.75" hidden="1" customHeight="1">
      <c r="B1980" s="146"/>
      <c r="C1980" s="146">
        <f t="shared" si="5"/>
        <v>10000</v>
      </c>
      <c r="D1980" s="146"/>
      <c r="E1980" s="305"/>
      <c r="F1980" s="383"/>
      <c r="G1980" s="154">
        <f>LEN('Expected Auditing Outcomes'!$F1980)</f>
        <v>0</v>
      </c>
      <c r="H1980" s="154"/>
    </row>
    <row r="1981" ht="15.75" hidden="1" customHeight="1">
      <c r="B1981" s="146"/>
      <c r="C1981" s="146">
        <f t="shared" si="5"/>
        <v>10000</v>
      </c>
      <c r="D1981" s="146"/>
      <c r="E1981" s="305"/>
      <c r="F1981" s="383"/>
      <c r="G1981" s="154">
        <f>LEN('Expected Auditing Outcomes'!$F1981)</f>
        <v>0</v>
      </c>
      <c r="H1981" s="154"/>
    </row>
    <row r="1982" ht="15.75" hidden="1" customHeight="1">
      <c r="B1982" s="146"/>
      <c r="C1982" s="146">
        <f t="shared" si="5"/>
        <v>10000</v>
      </c>
      <c r="D1982" s="146"/>
      <c r="E1982" s="305"/>
      <c r="F1982" s="383"/>
      <c r="G1982" s="154">
        <f>LEN('Expected Auditing Outcomes'!$F1982)</f>
        <v>0</v>
      </c>
      <c r="H1982" s="154"/>
    </row>
    <row r="1983" ht="15.75" hidden="1" customHeight="1">
      <c r="B1983" s="146"/>
      <c r="C1983" s="146">
        <f t="shared" si="5"/>
        <v>10000</v>
      </c>
      <c r="D1983" s="146"/>
      <c r="E1983" s="305"/>
      <c r="F1983" s="383"/>
      <c r="G1983" s="154">
        <f>LEN('Expected Auditing Outcomes'!$F1983)</f>
        <v>0</v>
      </c>
      <c r="H1983" s="154"/>
    </row>
    <row r="1984" ht="15.75" hidden="1" customHeight="1">
      <c r="B1984" s="146"/>
      <c r="C1984" s="146">
        <f t="shared" si="5"/>
        <v>10000</v>
      </c>
      <c r="D1984" s="146"/>
      <c r="E1984" s="305"/>
      <c r="F1984" s="383"/>
      <c r="G1984" s="154">
        <f>LEN('Expected Auditing Outcomes'!$F1984)</f>
        <v>0</v>
      </c>
      <c r="H1984" s="154"/>
    </row>
    <row r="1985" ht="15.75" hidden="1" customHeight="1">
      <c r="B1985" s="146"/>
      <c r="C1985" s="146">
        <f t="shared" si="5"/>
        <v>10000</v>
      </c>
      <c r="D1985" s="146"/>
      <c r="E1985" s="305"/>
      <c r="F1985" s="383"/>
      <c r="G1985" s="154">
        <f>LEN('Expected Auditing Outcomes'!$F1985)</f>
        <v>0</v>
      </c>
      <c r="H1985" s="154"/>
    </row>
    <row r="1986" ht="15.75" hidden="1" customHeight="1">
      <c r="B1986" s="146"/>
      <c r="C1986" s="146">
        <f t="shared" si="5"/>
        <v>10000</v>
      </c>
      <c r="D1986" s="146"/>
      <c r="E1986" s="305"/>
      <c r="F1986" s="383"/>
      <c r="G1986" s="154">
        <f>LEN('Expected Auditing Outcomes'!$F1986)</f>
        <v>0</v>
      </c>
      <c r="H1986" s="154"/>
    </row>
    <row r="1987" ht="15.75" hidden="1" customHeight="1">
      <c r="B1987" s="146"/>
      <c r="C1987" s="146">
        <f t="shared" si="5"/>
        <v>10000</v>
      </c>
      <c r="D1987" s="146"/>
      <c r="E1987" s="305"/>
      <c r="F1987" s="383"/>
      <c r="G1987" s="154">
        <f>LEN('Expected Auditing Outcomes'!$F1987)</f>
        <v>0</v>
      </c>
      <c r="H1987" s="154"/>
    </row>
    <row r="1988" ht="15.75" hidden="1" customHeight="1">
      <c r="B1988" s="146"/>
      <c r="C1988" s="146">
        <f t="shared" si="5"/>
        <v>10000</v>
      </c>
      <c r="D1988" s="146"/>
      <c r="E1988" s="305"/>
      <c r="F1988" s="383"/>
      <c r="G1988" s="154">
        <f>LEN('Expected Auditing Outcomes'!$F1988)</f>
        <v>0</v>
      </c>
      <c r="H1988" s="154"/>
    </row>
    <row r="1989" ht="15.75" hidden="1" customHeight="1">
      <c r="B1989" s="146"/>
      <c r="C1989" s="146">
        <f t="shared" si="5"/>
        <v>10000</v>
      </c>
      <c r="D1989" s="146"/>
      <c r="E1989" s="305"/>
      <c r="F1989" s="383"/>
      <c r="G1989" s="154">
        <f>LEN('Expected Auditing Outcomes'!$F1989)</f>
        <v>0</v>
      </c>
      <c r="H1989" s="154"/>
    </row>
    <row r="1990" ht="15.75" hidden="1" customHeight="1">
      <c r="B1990" s="146"/>
      <c r="C1990" s="146">
        <f t="shared" si="5"/>
        <v>10000</v>
      </c>
      <c r="D1990" s="146"/>
      <c r="E1990" s="305"/>
      <c r="F1990" s="383"/>
      <c r="G1990" s="154">
        <f>LEN('Expected Auditing Outcomes'!$F1990)</f>
        <v>0</v>
      </c>
      <c r="H1990" s="154"/>
    </row>
    <row r="1991" ht="15.75" hidden="1" customHeight="1">
      <c r="B1991" s="146"/>
      <c r="C1991" s="146">
        <f t="shared" si="5"/>
        <v>10000</v>
      </c>
      <c r="D1991" s="146"/>
      <c r="E1991" s="305"/>
      <c r="F1991" s="383"/>
      <c r="G1991" s="154">
        <f>LEN('Expected Auditing Outcomes'!$F1991)</f>
        <v>0</v>
      </c>
      <c r="H1991" s="154"/>
    </row>
    <row r="1992" ht="15.75" hidden="1" customHeight="1">
      <c r="B1992" s="146"/>
      <c r="C1992" s="146">
        <f t="shared" si="5"/>
        <v>10000</v>
      </c>
      <c r="D1992" s="146"/>
      <c r="E1992" s="305"/>
      <c r="F1992" s="383"/>
      <c r="G1992" s="154">
        <f>LEN('Expected Auditing Outcomes'!$F1992)</f>
        <v>0</v>
      </c>
      <c r="H1992" s="154"/>
    </row>
    <row r="1993" ht="15.75" hidden="1" customHeight="1">
      <c r="B1993" s="146"/>
      <c r="C1993" s="146">
        <f t="shared" si="5"/>
        <v>10000</v>
      </c>
      <c r="D1993" s="146"/>
      <c r="E1993" s="305"/>
      <c r="F1993" s="383"/>
      <c r="G1993" s="154">
        <f>LEN('Expected Auditing Outcomes'!$F1993)</f>
        <v>0</v>
      </c>
      <c r="H1993" s="154"/>
    </row>
    <row r="1994" ht="15.75" hidden="1" customHeight="1">
      <c r="B1994" s="146"/>
      <c r="C1994" s="146">
        <f t="shared" si="5"/>
        <v>10000</v>
      </c>
      <c r="D1994" s="146"/>
      <c r="E1994" s="305"/>
      <c r="F1994" s="383"/>
      <c r="G1994" s="154">
        <f>LEN('Expected Auditing Outcomes'!$F1994)</f>
        <v>0</v>
      </c>
      <c r="H1994" s="154"/>
    </row>
    <row r="1995" ht="15.75" hidden="1" customHeight="1">
      <c r="B1995" s="146"/>
      <c r="C1995" s="146">
        <f t="shared" si="5"/>
        <v>10000</v>
      </c>
      <c r="D1995" s="146"/>
      <c r="E1995" s="305"/>
      <c r="F1995" s="383"/>
      <c r="G1995" s="154">
        <f>LEN('Expected Auditing Outcomes'!$F1995)</f>
        <v>0</v>
      </c>
      <c r="H1995" s="154"/>
    </row>
    <row r="1996" ht="15.75" hidden="1" customHeight="1">
      <c r="B1996" s="146"/>
      <c r="C1996" s="146">
        <f t="shared" si="5"/>
        <v>10000</v>
      </c>
      <c r="D1996" s="146"/>
      <c r="E1996" s="305"/>
      <c r="F1996" s="383"/>
      <c r="G1996" s="154">
        <f>LEN('Expected Auditing Outcomes'!$F1996)</f>
        <v>0</v>
      </c>
      <c r="H1996" s="154"/>
    </row>
    <row r="1997" ht="15.75" hidden="1" customHeight="1">
      <c r="B1997" s="146"/>
      <c r="C1997" s="146">
        <f t="shared" si="5"/>
        <v>10000</v>
      </c>
      <c r="D1997" s="146"/>
      <c r="E1997" s="305"/>
      <c r="F1997" s="383"/>
      <c r="G1997" s="154">
        <f>LEN('Expected Auditing Outcomes'!$F1997)</f>
        <v>0</v>
      </c>
      <c r="H1997" s="154"/>
    </row>
    <row r="1998" ht="15.75" hidden="1" customHeight="1">
      <c r="B1998" s="146"/>
      <c r="C1998" s="146">
        <f t="shared" si="5"/>
        <v>10000</v>
      </c>
      <c r="D1998" s="146"/>
      <c r="E1998" s="305"/>
      <c r="F1998" s="383"/>
      <c r="G1998" s="154">
        <f>LEN('Expected Auditing Outcomes'!$F1998)</f>
        <v>0</v>
      </c>
      <c r="H1998" s="154"/>
    </row>
    <row r="1999" ht="15.75" hidden="1" customHeight="1">
      <c r="B1999" s="146"/>
      <c r="C1999" s="146">
        <f t="shared" si="5"/>
        <v>10000</v>
      </c>
      <c r="D1999" s="146"/>
      <c r="E1999" s="305"/>
      <c r="F1999" s="383"/>
      <c r="G1999" s="154">
        <f>LEN('Expected Auditing Outcomes'!$F1999)</f>
        <v>0</v>
      </c>
      <c r="H1999" s="154"/>
    </row>
    <row r="2000" ht="15.75" hidden="1" customHeight="1">
      <c r="B2000" s="146"/>
      <c r="C2000" s="146">
        <f t="shared" si="5"/>
        <v>10000</v>
      </c>
      <c r="D2000" s="146"/>
      <c r="E2000" s="305"/>
      <c r="F2000" s="383"/>
      <c r="G2000" s="154">
        <f>LEN('Expected Auditing Outcomes'!$F2000)</f>
        <v>0</v>
      </c>
      <c r="H2000" s="154"/>
    </row>
    <row r="2001" ht="15.75" hidden="1" customHeight="1">
      <c r="B2001" s="146"/>
      <c r="C2001" s="146">
        <f t="shared" si="5"/>
        <v>10000</v>
      </c>
      <c r="D2001" s="146"/>
      <c r="E2001" s="305"/>
      <c r="F2001" s="383"/>
      <c r="G2001" s="154">
        <f>LEN('Expected Auditing Outcomes'!$F2001)</f>
        <v>0</v>
      </c>
      <c r="H2001" s="154"/>
    </row>
    <row r="2002" ht="15.75" hidden="1" customHeight="1">
      <c r="B2002" s="146"/>
      <c r="C2002" s="146">
        <f t="shared" si="5"/>
        <v>10000</v>
      </c>
      <c r="D2002" s="146"/>
      <c r="E2002" s="305"/>
      <c r="F2002" s="383"/>
      <c r="G2002" s="154">
        <f>LEN('Expected Auditing Outcomes'!$F2002)</f>
        <v>0</v>
      </c>
      <c r="H2002" s="154"/>
    </row>
    <row r="2003" ht="15.75" hidden="1" customHeight="1">
      <c r="B2003" s="146"/>
      <c r="C2003" s="146">
        <f t="shared" si="5"/>
        <v>10000</v>
      </c>
      <c r="D2003" s="146"/>
      <c r="E2003" s="305"/>
      <c r="F2003" s="383"/>
      <c r="G2003" s="154">
        <f>LEN('Expected Auditing Outcomes'!$F2003)</f>
        <v>0</v>
      </c>
      <c r="H2003" s="154"/>
    </row>
    <row r="2004" ht="15.75" hidden="1" customHeight="1">
      <c r="B2004" s="146"/>
      <c r="C2004" s="146">
        <f t="shared" si="5"/>
        <v>10000</v>
      </c>
      <c r="D2004" s="146"/>
      <c r="E2004" s="305"/>
      <c r="F2004" s="383"/>
      <c r="G2004" s="154">
        <f>LEN('Expected Auditing Outcomes'!$F2004)</f>
        <v>0</v>
      </c>
      <c r="H2004" s="154"/>
    </row>
    <row r="2005" ht="15.75" hidden="1" customHeight="1">
      <c r="B2005" s="146"/>
      <c r="C2005" s="146">
        <f t="shared" si="5"/>
        <v>10000</v>
      </c>
      <c r="D2005" s="146"/>
      <c r="E2005" s="305"/>
      <c r="F2005" s="383"/>
      <c r="G2005" s="154">
        <f>LEN('Expected Auditing Outcomes'!$F2005)</f>
        <v>0</v>
      </c>
      <c r="H2005" s="154"/>
    </row>
    <row r="2006" ht="15.75" hidden="1" customHeight="1">
      <c r="B2006" s="146"/>
      <c r="C2006" s="146">
        <f t="shared" si="5"/>
        <v>10000</v>
      </c>
      <c r="D2006" s="146"/>
      <c r="E2006" s="305"/>
      <c r="F2006" s="383"/>
      <c r="G2006" s="154">
        <f>LEN('Expected Auditing Outcomes'!$F2006)</f>
        <v>0</v>
      </c>
      <c r="H2006" s="154"/>
    </row>
    <row r="2007" ht="15.75" hidden="1" customHeight="1">
      <c r="B2007" s="146"/>
      <c r="C2007" s="146">
        <f t="shared" si="5"/>
        <v>10000</v>
      </c>
      <c r="D2007" s="146"/>
      <c r="E2007" s="305"/>
      <c r="F2007" s="383"/>
      <c r="G2007" s="154">
        <f>LEN('Expected Auditing Outcomes'!$F2007)</f>
        <v>0</v>
      </c>
      <c r="H2007" s="154"/>
    </row>
    <row r="2008" ht="15.75" hidden="1" customHeight="1">
      <c r="B2008" s="146"/>
      <c r="C2008" s="146">
        <f t="shared" si="5"/>
        <v>10000</v>
      </c>
      <c r="D2008" s="146"/>
      <c r="E2008" s="305"/>
      <c r="F2008" s="383"/>
      <c r="G2008" s="154">
        <f>LEN('Expected Auditing Outcomes'!$F2008)</f>
        <v>0</v>
      </c>
      <c r="H2008" s="154"/>
    </row>
    <row r="2009" ht="15.75" hidden="1" customHeight="1">
      <c r="B2009" s="146"/>
      <c r="C2009" s="146">
        <f t="shared" si="5"/>
        <v>10000</v>
      </c>
      <c r="D2009" s="146"/>
      <c r="E2009" s="305"/>
      <c r="F2009" s="383"/>
      <c r="G2009" s="154">
        <f>LEN('Expected Auditing Outcomes'!$F2009)</f>
        <v>0</v>
      </c>
      <c r="H2009" s="154"/>
    </row>
    <row r="2010" ht="15.75" hidden="1" customHeight="1">
      <c r="B2010" s="146"/>
      <c r="C2010" s="146">
        <f t="shared" si="5"/>
        <v>10000</v>
      </c>
      <c r="D2010" s="146"/>
      <c r="E2010" s="305"/>
      <c r="F2010" s="383"/>
      <c r="G2010" s="154">
        <f>LEN('Expected Auditing Outcomes'!$F2010)</f>
        <v>0</v>
      </c>
      <c r="H2010" s="154"/>
    </row>
    <row r="2011" ht="15.75" hidden="1" customHeight="1">
      <c r="B2011" s="146"/>
      <c r="C2011" s="146">
        <f t="shared" si="5"/>
        <v>10000</v>
      </c>
      <c r="D2011" s="146"/>
      <c r="E2011" s="305"/>
      <c r="F2011" s="383"/>
      <c r="G2011" s="154">
        <f>LEN('Expected Auditing Outcomes'!$F2011)</f>
        <v>0</v>
      </c>
      <c r="H2011" s="154"/>
    </row>
    <row r="2012" ht="15.75" hidden="1" customHeight="1">
      <c r="B2012" s="146"/>
      <c r="C2012" s="146">
        <f t="shared" si="5"/>
        <v>10000</v>
      </c>
      <c r="D2012" s="146"/>
      <c r="E2012" s="305"/>
      <c r="F2012" s="383"/>
      <c r="G2012" s="154">
        <f>LEN('Expected Auditing Outcomes'!$F2012)</f>
        <v>0</v>
      </c>
      <c r="H2012" s="154"/>
    </row>
    <row r="2013" ht="15.75" hidden="1" customHeight="1">
      <c r="B2013" s="146"/>
      <c r="C2013" s="146">
        <f t="shared" si="5"/>
        <v>10000</v>
      </c>
      <c r="D2013" s="146"/>
      <c r="E2013" s="305"/>
      <c r="F2013" s="383"/>
      <c r="G2013" s="154">
        <f>LEN('Expected Auditing Outcomes'!$F2013)</f>
        <v>0</v>
      </c>
      <c r="H2013" s="154"/>
    </row>
    <row r="2014" ht="15.75" hidden="1" customHeight="1">
      <c r="B2014" s="146"/>
      <c r="C2014" s="146">
        <f t="shared" si="5"/>
        <v>10000</v>
      </c>
      <c r="D2014" s="146"/>
      <c r="E2014" s="305"/>
      <c r="F2014" s="383"/>
      <c r="G2014" s="154">
        <f>LEN('Expected Auditing Outcomes'!$F2014)</f>
        <v>0</v>
      </c>
      <c r="H2014" s="154"/>
    </row>
    <row r="2015" ht="15.75" hidden="1" customHeight="1">
      <c r="B2015" s="146"/>
      <c r="C2015" s="146">
        <f t="shared" si="5"/>
        <v>10000</v>
      </c>
      <c r="D2015" s="146"/>
      <c r="E2015" s="305"/>
      <c r="F2015" s="383"/>
      <c r="G2015" s="154">
        <f>LEN('Expected Auditing Outcomes'!$F2015)</f>
        <v>0</v>
      </c>
      <c r="H2015" s="154"/>
    </row>
    <row r="2016" ht="15.75" hidden="1" customHeight="1">
      <c r="B2016" s="146"/>
      <c r="C2016" s="146">
        <f t="shared" si="5"/>
        <v>10000</v>
      </c>
      <c r="D2016" s="146"/>
      <c r="E2016" s="305"/>
      <c r="F2016" s="383"/>
      <c r="G2016" s="154">
        <f>LEN('Expected Auditing Outcomes'!$F2016)</f>
        <v>0</v>
      </c>
      <c r="H2016" s="154"/>
    </row>
    <row r="2017" ht="15.75" hidden="1" customHeight="1">
      <c r="B2017" s="146"/>
      <c r="C2017" s="146">
        <f t="shared" si="5"/>
        <v>10000</v>
      </c>
      <c r="D2017" s="146"/>
      <c r="E2017" s="305"/>
      <c r="F2017" s="383"/>
      <c r="G2017" s="154">
        <f>LEN('Expected Auditing Outcomes'!$F2017)</f>
        <v>0</v>
      </c>
      <c r="H2017" s="154"/>
    </row>
    <row r="2018" ht="15.75" hidden="1" customHeight="1">
      <c r="B2018" s="146"/>
      <c r="C2018" s="146">
        <f t="shared" si="5"/>
        <v>10000</v>
      </c>
      <c r="D2018" s="146"/>
      <c r="E2018" s="305"/>
      <c r="F2018" s="383"/>
      <c r="G2018" s="154">
        <f>LEN('Expected Auditing Outcomes'!$F2018)</f>
        <v>0</v>
      </c>
      <c r="H2018" s="154"/>
    </row>
    <row r="2019" ht="15.75" hidden="1" customHeight="1">
      <c r="B2019" s="146"/>
      <c r="C2019" s="146">
        <f t="shared" si="5"/>
        <v>10000</v>
      </c>
      <c r="D2019" s="146"/>
      <c r="E2019" s="305"/>
      <c r="F2019" s="383"/>
      <c r="G2019" s="154">
        <f>LEN('Expected Auditing Outcomes'!$F2019)</f>
        <v>0</v>
      </c>
      <c r="H2019" s="154"/>
    </row>
    <row r="2020" ht="15.75" hidden="1" customHeight="1">
      <c r="B2020" s="146"/>
      <c r="C2020" s="146">
        <f t="shared" si="5"/>
        <v>10000</v>
      </c>
      <c r="D2020" s="146"/>
      <c r="E2020" s="305"/>
      <c r="F2020" s="383"/>
      <c r="G2020" s="154">
        <f>LEN('Expected Auditing Outcomes'!$F2020)</f>
        <v>0</v>
      </c>
      <c r="H2020" s="154"/>
    </row>
    <row r="2021" ht="15.75" hidden="1" customHeight="1">
      <c r="B2021" s="146"/>
      <c r="C2021" s="146">
        <f t="shared" si="5"/>
        <v>10000</v>
      </c>
      <c r="D2021" s="146"/>
      <c r="E2021" s="305"/>
      <c r="F2021" s="383"/>
      <c r="G2021" s="154">
        <f>LEN('Expected Auditing Outcomes'!$F2021)</f>
        <v>0</v>
      </c>
      <c r="H2021" s="154"/>
    </row>
    <row r="2022" ht="15.75" hidden="1" customHeight="1">
      <c r="B2022" s="146"/>
      <c r="C2022" s="146">
        <f t="shared" si="5"/>
        <v>10000</v>
      </c>
      <c r="D2022" s="146"/>
      <c r="E2022" s="305"/>
      <c r="F2022" s="383"/>
      <c r="G2022" s="154">
        <f>LEN('Expected Auditing Outcomes'!$F2022)</f>
        <v>0</v>
      </c>
      <c r="H2022" s="154"/>
    </row>
    <row r="2023" ht="15.75" hidden="1" customHeight="1">
      <c r="B2023" s="146"/>
      <c r="C2023" s="146">
        <f t="shared" si="5"/>
        <v>10000</v>
      </c>
      <c r="D2023" s="146"/>
      <c r="E2023" s="305"/>
      <c r="F2023" s="383"/>
      <c r="G2023" s="154">
        <f>LEN('Expected Auditing Outcomes'!$F2023)</f>
        <v>0</v>
      </c>
      <c r="H2023" s="154"/>
    </row>
    <row r="2024" ht="15.75" hidden="1" customHeight="1">
      <c r="B2024" s="146"/>
      <c r="C2024" s="146">
        <f t="shared" si="5"/>
        <v>10000</v>
      </c>
      <c r="D2024" s="146"/>
      <c r="E2024" s="305"/>
      <c r="F2024" s="383"/>
      <c r="G2024" s="154">
        <f>LEN('Expected Auditing Outcomes'!$F2024)</f>
        <v>0</v>
      </c>
      <c r="H2024" s="154"/>
    </row>
    <row r="2025" ht="15.75" hidden="1" customHeight="1">
      <c r="B2025" s="146"/>
      <c r="C2025" s="146">
        <f t="shared" si="5"/>
        <v>10000</v>
      </c>
      <c r="D2025" s="146"/>
      <c r="E2025" s="305"/>
      <c r="F2025" s="383"/>
      <c r="G2025" s="154">
        <f>LEN('Expected Auditing Outcomes'!$F2025)</f>
        <v>0</v>
      </c>
      <c r="H2025" s="154"/>
    </row>
    <row r="2026" ht="15.75" hidden="1" customHeight="1">
      <c r="B2026" s="146"/>
      <c r="C2026" s="146">
        <f t="shared" si="5"/>
        <v>10000</v>
      </c>
      <c r="D2026" s="146"/>
      <c r="E2026" s="305"/>
      <c r="F2026" s="383"/>
      <c r="G2026" s="154">
        <f>LEN('Expected Auditing Outcomes'!$F2026)</f>
        <v>0</v>
      </c>
      <c r="H2026" s="154"/>
    </row>
    <row r="2027" ht="15.75" hidden="1" customHeight="1">
      <c r="B2027" s="146"/>
      <c r="C2027" s="146">
        <f t="shared" si="5"/>
        <v>10000</v>
      </c>
      <c r="D2027" s="146"/>
      <c r="E2027" s="305"/>
      <c r="F2027" s="383"/>
      <c r="G2027" s="154">
        <f>LEN('Expected Auditing Outcomes'!$F2027)</f>
        <v>0</v>
      </c>
      <c r="H2027" s="154"/>
    </row>
    <row r="2028" ht="15.75" hidden="1" customHeight="1">
      <c r="B2028" s="146"/>
      <c r="C2028" s="146">
        <f t="shared" si="5"/>
        <v>10000</v>
      </c>
      <c r="D2028" s="146"/>
      <c r="E2028" s="305"/>
      <c r="F2028" s="383"/>
      <c r="G2028" s="154">
        <f>LEN('Expected Auditing Outcomes'!$F2028)</f>
        <v>0</v>
      </c>
      <c r="H2028" s="154"/>
    </row>
    <row r="2029" ht="15.75" hidden="1" customHeight="1">
      <c r="B2029" s="146"/>
      <c r="C2029" s="146">
        <f t="shared" si="5"/>
        <v>10000</v>
      </c>
      <c r="D2029" s="146"/>
      <c r="E2029" s="305"/>
      <c r="F2029" s="383"/>
      <c r="G2029" s="154">
        <f>LEN('Expected Auditing Outcomes'!$F2029)</f>
        <v>0</v>
      </c>
      <c r="H2029" s="154"/>
    </row>
    <row r="2030" ht="15.75" hidden="1" customHeight="1">
      <c r="B2030" s="146"/>
      <c r="C2030" s="146">
        <f t="shared" si="5"/>
        <v>10000</v>
      </c>
      <c r="D2030" s="146"/>
      <c r="E2030" s="305"/>
      <c r="F2030" s="383"/>
      <c r="G2030" s="154">
        <f>LEN('Expected Auditing Outcomes'!$F2030)</f>
        <v>0</v>
      </c>
      <c r="H2030" s="154"/>
    </row>
    <row r="2031" ht="15.75" hidden="1" customHeight="1">
      <c r="B2031" s="146"/>
      <c r="C2031" s="146">
        <f t="shared" si="5"/>
        <v>10000</v>
      </c>
      <c r="D2031" s="146"/>
      <c r="E2031" s="305"/>
      <c r="F2031" s="383"/>
      <c r="G2031" s="154">
        <f>LEN('Expected Auditing Outcomes'!$F2031)</f>
        <v>0</v>
      </c>
      <c r="H2031" s="154"/>
    </row>
    <row r="2032" ht="15.75" hidden="1" customHeight="1">
      <c r="B2032" s="146"/>
      <c r="C2032" s="146">
        <f t="shared" si="5"/>
        <v>10000</v>
      </c>
      <c r="D2032" s="146"/>
      <c r="E2032" s="305"/>
      <c r="F2032" s="383"/>
      <c r="G2032" s="154">
        <f>LEN('Expected Auditing Outcomes'!$F2032)</f>
        <v>0</v>
      </c>
      <c r="H2032" s="154"/>
    </row>
    <row r="2033" ht="15.75" hidden="1" customHeight="1">
      <c r="B2033" s="146"/>
      <c r="C2033" s="146">
        <f t="shared" si="5"/>
        <v>10000</v>
      </c>
      <c r="D2033" s="146"/>
      <c r="E2033" s="305"/>
      <c r="F2033" s="383"/>
      <c r="G2033" s="154">
        <f>LEN('Expected Auditing Outcomes'!$F2033)</f>
        <v>0</v>
      </c>
      <c r="H2033" s="154"/>
    </row>
    <row r="2034" ht="15.75" hidden="1" customHeight="1">
      <c r="B2034" s="146"/>
      <c r="C2034" s="146">
        <f t="shared" si="5"/>
        <v>10000</v>
      </c>
      <c r="D2034" s="146"/>
      <c r="E2034" s="305"/>
      <c r="F2034" s="383"/>
      <c r="G2034" s="154">
        <f>LEN('Expected Auditing Outcomes'!$F2034)</f>
        <v>0</v>
      </c>
      <c r="H2034" s="154"/>
    </row>
    <row r="2035" ht="15.75" hidden="1" customHeight="1">
      <c r="B2035" s="146"/>
      <c r="C2035" s="146">
        <f t="shared" si="5"/>
        <v>10000</v>
      </c>
      <c r="D2035" s="146"/>
      <c r="E2035" s="305"/>
      <c r="F2035" s="383"/>
      <c r="G2035" s="154">
        <f>LEN('Expected Auditing Outcomes'!$F2035)</f>
        <v>0</v>
      </c>
      <c r="H2035" s="154"/>
    </row>
    <row r="2036" ht="15.75" hidden="1" customHeight="1">
      <c r="B2036" s="146"/>
      <c r="C2036" s="146">
        <f t="shared" si="5"/>
        <v>10000</v>
      </c>
      <c r="D2036" s="146"/>
      <c r="E2036" s="305"/>
      <c r="F2036" s="383"/>
      <c r="G2036" s="154">
        <f>LEN('Expected Auditing Outcomes'!$F2036)</f>
        <v>0</v>
      </c>
      <c r="H2036" s="154"/>
    </row>
    <row r="2037" ht="15.75" hidden="1" customHeight="1">
      <c r="B2037" s="146"/>
      <c r="C2037" s="146">
        <f t="shared" si="5"/>
        <v>10000</v>
      </c>
      <c r="D2037" s="146"/>
      <c r="E2037" s="305"/>
      <c r="F2037" s="383"/>
      <c r="G2037" s="154">
        <f>LEN('Expected Auditing Outcomes'!$F2037)</f>
        <v>0</v>
      </c>
      <c r="H2037" s="154"/>
    </row>
    <row r="2038" ht="15.75" hidden="1" customHeight="1">
      <c r="B2038" s="146"/>
      <c r="C2038" s="146">
        <f t="shared" si="5"/>
        <v>10000</v>
      </c>
      <c r="D2038" s="146"/>
      <c r="E2038" s="305"/>
      <c r="F2038" s="383"/>
      <c r="G2038" s="154">
        <f>LEN('Expected Auditing Outcomes'!$F2038)</f>
        <v>0</v>
      </c>
      <c r="H2038" s="154"/>
    </row>
    <row r="2039" ht="15.75" hidden="1" customHeight="1">
      <c r="B2039" s="146"/>
      <c r="C2039" s="146">
        <f t="shared" si="5"/>
        <v>10000</v>
      </c>
      <c r="D2039" s="146"/>
      <c r="E2039" s="305"/>
      <c r="F2039" s="383"/>
      <c r="G2039" s="154">
        <f>LEN('Expected Auditing Outcomes'!$F2039)</f>
        <v>0</v>
      </c>
      <c r="H2039" s="154"/>
    </row>
    <row r="2040" ht="15.75" hidden="1" customHeight="1">
      <c r="B2040" s="146"/>
      <c r="C2040" s="146">
        <f t="shared" si="5"/>
        <v>10000</v>
      </c>
      <c r="D2040" s="146"/>
      <c r="E2040" s="305"/>
      <c r="F2040" s="383"/>
      <c r="G2040" s="154">
        <f>LEN('Expected Auditing Outcomes'!$F2040)</f>
        <v>0</v>
      </c>
      <c r="H2040" s="154"/>
    </row>
    <row r="2041" ht="15.75" hidden="1" customHeight="1">
      <c r="B2041" s="146"/>
      <c r="C2041" s="146">
        <f t="shared" si="5"/>
        <v>10000</v>
      </c>
      <c r="D2041" s="146"/>
      <c r="E2041" s="305"/>
      <c r="F2041" s="383"/>
      <c r="G2041" s="154">
        <f>LEN('Expected Auditing Outcomes'!$F2041)</f>
        <v>0</v>
      </c>
      <c r="H2041" s="154"/>
    </row>
    <row r="2042" ht="15.75" hidden="1" customHeight="1">
      <c r="B2042" s="146"/>
      <c r="C2042" s="146">
        <f t="shared" si="5"/>
        <v>10000</v>
      </c>
      <c r="D2042" s="146"/>
      <c r="E2042" s="305"/>
      <c r="F2042" s="383"/>
      <c r="G2042" s="154">
        <f>LEN('Expected Auditing Outcomes'!$F2042)</f>
        <v>0</v>
      </c>
      <c r="H2042" s="154"/>
    </row>
    <row r="2043" ht="15.75" hidden="1" customHeight="1">
      <c r="B2043" s="146"/>
      <c r="C2043" s="146">
        <f t="shared" si="5"/>
        <v>10000</v>
      </c>
      <c r="D2043" s="146"/>
      <c r="E2043" s="305"/>
      <c r="F2043" s="383"/>
      <c r="G2043" s="154">
        <f>LEN('Expected Auditing Outcomes'!$F2043)</f>
        <v>0</v>
      </c>
      <c r="H2043" s="154"/>
    </row>
    <row r="2044" ht="15.75" hidden="1" customHeight="1">
      <c r="B2044" s="146"/>
      <c r="C2044" s="146">
        <f t="shared" si="5"/>
        <v>10000</v>
      </c>
      <c r="D2044" s="146"/>
      <c r="E2044" s="305"/>
      <c r="F2044" s="383"/>
      <c r="G2044" s="154">
        <f>LEN('Expected Auditing Outcomes'!$F2044)</f>
        <v>0</v>
      </c>
      <c r="H2044" s="154"/>
    </row>
    <row r="2045" ht="15.75" hidden="1" customHeight="1">
      <c r="B2045" s="146"/>
      <c r="C2045" s="146">
        <f t="shared" si="5"/>
        <v>10000</v>
      </c>
      <c r="D2045" s="146"/>
      <c r="E2045" s="305"/>
      <c r="F2045" s="383"/>
      <c r="G2045" s="154">
        <f>LEN('Expected Auditing Outcomes'!$F2045)</f>
        <v>0</v>
      </c>
      <c r="H2045" s="154"/>
    </row>
    <row r="2046" ht="15.75" hidden="1" customHeight="1">
      <c r="B2046" s="146"/>
      <c r="C2046" s="146">
        <f t="shared" si="5"/>
        <v>10000</v>
      </c>
      <c r="D2046" s="146"/>
      <c r="E2046" s="305"/>
      <c r="F2046" s="383"/>
      <c r="G2046" s="154">
        <f>LEN('Expected Auditing Outcomes'!$F2046)</f>
        <v>0</v>
      </c>
      <c r="H2046" s="154"/>
    </row>
    <row r="2047" ht="15.75" hidden="1" customHeight="1">
      <c r="B2047" s="146"/>
      <c r="C2047" s="146">
        <f t="shared" si="5"/>
        <v>10000</v>
      </c>
      <c r="D2047" s="146"/>
      <c r="E2047" s="305"/>
      <c r="F2047" s="383"/>
      <c r="G2047" s="154">
        <f>LEN('Expected Auditing Outcomes'!$F2047)</f>
        <v>0</v>
      </c>
      <c r="H2047" s="154"/>
    </row>
    <row r="2048" ht="15.75" hidden="1" customHeight="1">
      <c r="B2048" s="146"/>
      <c r="C2048" s="146">
        <f t="shared" si="5"/>
        <v>10000</v>
      </c>
      <c r="D2048" s="146"/>
      <c r="E2048" s="305"/>
      <c r="F2048" s="383"/>
      <c r="G2048" s="154">
        <f>LEN('Expected Auditing Outcomes'!$F2048)</f>
        <v>0</v>
      </c>
      <c r="H2048" s="154"/>
    </row>
    <row r="2049" ht="15.75" hidden="1" customHeight="1">
      <c r="B2049" s="146"/>
      <c r="C2049" s="146">
        <f t="shared" si="5"/>
        <v>10000</v>
      </c>
      <c r="D2049" s="146"/>
      <c r="E2049" s="305"/>
      <c r="F2049" s="383"/>
      <c r="G2049" s="154">
        <f>LEN('Expected Auditing Outcomes'!$F2049)</f>
        <v>0</v>
      </c>
      <c r="H2049" s="154"/>
    </row>
    <row r="2050" ht="15.75" hidden="1" customHeight="1">
      <c r="B2050" s="146"/>
      <c r="C2050" s="146">
        <f t="shared" si="5"/>
        <v>10000</v>
      </c>
      <c r="D2050" s="146"/>
      <c r="E2050" s="305"/>
      <c r="F2050" s="383"/>
      <c r="G2050" s="154">
        <f>LEN('Expected Auditing Outcomes'!$F2050)</f>
        <v>0</v>
      </c>
      <c r="H2050" s="154"/>
    </row>
    <row r="2051" ht="15.75" hidden="1" customHeight="1">
      <c r="B2051" s="146"/>
      <c r="C2051" s="146">
        <f t="shared" si="5"/>
        <v>10000</v>
      </c>
      <c r="D2051" s="146"/>
      <c r="E2051" s="305"/>
      <c r="F2051" s="383"/>
      <c r="G2051" s="154">
        <f>LEN('Expected Auditing Outcomes'!$F2051)</f>
        <v>0</v>
      </c>
      <c r="H2051" s="154"/>
    </row>
    <row r="2052" ht="15.75" hidden="1" customHeight="1">
      <c r="B2052" s="146"/>
      <c r="C2052" s="146">
        <f t="shared" si="5"/>
        <v>10000</v>
      </c>
      <c r="D2052" s="146"/>
      <c r="E2052" s="305"/>
      <c r="F2052" s="383"/>
      <c r="G2052" s="154">
        <f>LEN('Expected Auditing Outcomes'!$F2052)</f>
        <v>0</v>
      </c>
      <c r="H2052" s="154"/>
    </row>
    <row r="2053" ht="15.75" hidden="1" customHeight="1">
      <c r="B2053" s="146"/>
      <c r="C2053" s="146">
        <f t="shared" si="5"/>
        <v>10000</v>
      </c>
      <c r="D2053" s="146"/>
      <c r="E2053" s="305"/>
      <c r="F2053" s="383"/>
      <c r="G2053" s="154">
        <f>LEN('Expected Auditing Outcomes'!$F2053)</f>
        <v>0</v>
      </c>
      <c r="H2053" s="154"/>
    </row>
    <row r="2054" ht="15.75" hidden="1" customHeight="1">
      <c r="B2054" s="146"/>
      <c r="C2054" s="146">
        <f t="shared" si="5"/>
        <v>10000</v>
      </c>
      <c r="D2054" s="146"/>
      <c r="E2054" s="305"/>
      <c r="F2054" s="383"/>
      <c r="G2054" s="154">
        <f>LEN('Expected Auditing Outcomes'!$F2054)</f>
        <v>0</v>
      </c>
      <c r="H2054" s="154"/>
    </row>
    <row r="2055" ht="15.75" hidden="1" customHeight="1">
      <c r="B2055" s="146"/>
      <c r="C2055" s="146">
        <f t="shared" si="5"/>
        <v>10000</v>
      </c>
      <c r="D2055" s="146"/>
      <c r="E2055" s="305"/>
      <c r="F2055" s="383"/>
      <c r="G2055" s="154">
        <f>LEN('Expected Auditing Outcomes'!$F2055)</f>
        <v>0</v>
      </c>
      <c r="H2055" s="154"/>
    </row>
    <row r="2056" ht="15.75" hidden="1" customHeight="1">
      <c r="B2056" s="146"/>
      <c r="C2056" s="146">
        <f t="shared" si="5"/>
        <v>10000</v>
      </c>
      <c r="D2056" s="146"/>
      <c r="E2056" s="305"/>
      <c r="F2056" s="383"/>
      <c r="G2056" s="154">
        <f>LEN('Expected Auditing Outcomes'!$F2056)</f>
        <v>0</v>
      </c>
      <c r="H2056" s="154"/>
    </row>
    <row r="2057" ht="15.75" hidden="1" customHeight="1">
      <c r="B2057" s="146"/>
      <c r="C2057" s="146">
        <f t="shared" si="5"/>
        <v>10000</v>
      </c>
      <c r="D2057" s="146"/>
      <c r="E2057" s="305"/>
      <c r="F2057" s="383"/>
      <c r="G2057" s="154">
        <f>LEN('Expected Auditing Outcomes'!$F2057)</f>
        <v>0</v>
      </c>
      <c r="H2057" s="154"/>
    </row>
    <row r="2058" ht="15.75" hidden="1" customHeight="1">
      <c r="B2058" s="146"/>
      <c r="C2058" s="146">
        <f t="shared" si="5"/>
        <v>10000</v>
      </c>
      <c r="D2058" s="146"/>
      <c r="E2058" s="305"/>
      <c r="F2058" s="383"/>
      <c r="G2058" s="154">
        <f>LEN('Expected Auditing Outcomes'!$F2058)</f>
        <v>0</v>
      </c>
      <c r="H2058" s="154"/>
    </row>
    <row r="2059" ht="15.75" hidden="1" customHeight="1">
      <c r="B2059" s="146"/>
      <c r="C2059" s="146">
        <f t="shared" si="5"/>
        <v>10000</v>
      </c>
      <c r="D2059" s="146"/>
      <c r="E2059" s="305"/>
      <c r="F2059" s="383"/>
      <c r="G2059" s="154">
        <f>LEN('Expected Auditing Outcomes'!$F2059)</f>
        <v>0</v>
      </c>
      <c r="H2059" s="154"/>
    </row>
    <row r="2060" ht="15.75" hidden="1" customHeight="1">
      <c r="B2060" s="146"/>
      <c r="C2060" s="146">
        <f t="shared" si="5"/>
        <v>10000</v>
      </c>
      <c r="D2060" s="146"/>
      <c r="E2060" s="305"/>
      <c r="F2060" s="383"/>
      <c r="G2060" s="154">
        <f>LEN('Expected Auditing Outcomes'!$F2060)</f>
        <v>0</v>
      </c>
      <c r="H2060" s="154"/>
    </row>
    <row r="2061" ht="15.75" hidden="1" customHeight="1">
      <c r="B2061" s="146"/>
      <c r="C2061" s="146">
        <f t="shared" si="5"/>
        <v>10000</v>
      </c>
      <c r="D2061" s="146"/>
      <c r="E2061" s="305"/>
      <c r="F2061" s="383"/>
      <c r="G2061" s="154">
        <f>LEN('Expected Auditing Outcomes'!$F2061)</f>
        <v>0</v>
      </c>
      <c r="H2061" s="154"/>
    </row>
    <row r="2062" ht="15.75" hidden="1" customHeight="1">
      <c r="B2062" s="146"/>
      <c r="C2062" s="146">
        <f t="shared" si="5"/>
        <v>10000</v>
      </c>
      <c r="D2062" s="146"/>
      <c r="E2062" s="305"/>
      <c r="F2062" s="383"/>
      <c r="G2062" s="154">
        <f>LEN('Expected Auditing Outcomes'!$F2062)</f>
        <v>0</v>
      </c>
      <c r="H2062" s="154"/>
    </row>
    <row r="2063" ht="15.75" hidden="1" customHeight="1">
      <c r="B2063" s="146"/>
      <c r="C2063" s="146">
        <f t="shared" si="5"/>
        <v>10000</v>
      </c>
      <c r="D2063" s="146"/>
      <c r="E2063" s="305"/>
      <c r="F2063" s="383"/>
      <c r="G2063" s="154">
        <f>LEN('Expected Auditing Outcomes'!$F2063)</f>
        <v>0</v>
      </c>
      <c r="H2063" s="154"/>
    </row>
    <row r="2064" ht="15.75" hidden="1" customHeight="1">
      <c r="B2064" s="146"/>
      <c r="C2064" s="146">
        <f t="shared" si="5"/>
        <v>10000</v>
      </c>
      <c r="D2064" s="146"/>
      <c r="E2064" s="305"/>
      <c r="F2064" s="383"/>
      <c r="G2064" s="154">
        <f>LEN('Expected Auditing Outcomes'!$F2064)</f>
        <v>0</v>
      </c>
      <c r="H2064" s="154"/>
    </row>
    <row r="2065" ht="15.75" hidden="1" customHeight="1">
      <c r="B2065" s="146"/>
      <c r="C2065" s="146">
        <f t="shared" si="5"/>
        <v>10000</v>
      </c>
      <c r="D2065" s="146"/>
      <c r="E2065" s="305"/>
      <c r="F2065" s="383"/>
      <c r="G2065" s="154">
        <f>LEN('Expected Auditing Outcomes'!$F2065)</f>
        <v>0</v>
      </c>
      <c r="H2065" s="154"/>
    </row>
    <row r="2066" ht="15.75" hidden="1" customHeight="1">
      <c r="B2066" s="146"/>
      <c r="C2066" s="146">
        <f t="shared" si="5"/>
        <v>10000</v>
      </c>
      <c r="D2066" s="146"/>
      <c r="E2066" s="305"/>
      <c r="F2066" s="383"/>
      <c r="G2066" s="154">
        <f>LEN('Expected Auditing Outcomes'!$F2066)</f>
        <v>0</v>
      </c>
      <c r="H2066" s="154"/>
    </row>
    <row r="2067" ht="15.75" hidden="1" customHeight="1">
      <c r="B2067" s="146"/>
      <c r="C2067" s="146">
        <f t="shared" si="5"/>
        <v>10000</v>
      </c>
      <c r="D2067" s="146"/>
      <c r="E2067" s="305"/>
      <c r="F2067" s="383"/>
      <c r="G2067" s="154">
        <f>LEN('Expected Auditing Outcomes'!$F2067)</f>
        <v>0</v>
      </c>
      <c r="H2067" s="154"/>
    </row>
    <row r="2068" ht="15.75" hidden="1" customHeight="1">
      <c r="B2068" s="146"/>
      <c r="C2068" s="146">
        <f t="shared" si="5"/>
        <v>10000</v>
      </c>
      <c r="D2068" s="146"/>
      <c r="E2068" s="305"/>
      <c r="F2068" s="383"/>
      <c r="G2068" s="154">
        <f>LEN('Expected Auditing Outcomes'!$F2068)</f>
        <v>0</v>
      </c>
      <c r="H2068" s="154"/>
    </row>
    <row r="2069" ht="15.75" hidden="1" customHeight="1">
      <c r="B2069" s="146"/>
      <c r="C2069" s="146">
        <f t="shared" si="5"/>
        <v>10000</v>
      </c>
      <c r="D2069" s="146"/>
      <c r="E2069" s="305"/>
      <c r="F2069" s="383"/>
      <c r="G2069" s="154">
        <f>LEN('Expected Auditing Outcomes'!$F2069)</f>
        <v>0</v>
      </c>
      <c r="H2069" s="154"/>
    </row>
    <row r="2070" ht="15.75" hidden="1" customHeight="1">
      <c r="B2070" s="146"/>
      <c r="C2070" s="146">
        <f t="shared" si="5"/>
        <v>10000</v>
      </c>
      <c r="D2070" s="146"/>
      <c r="E2070" s="305"/>
      <c r="F2070" s="383"/>
      <c r="G2070" s="154">
        <f>LEN('Expected Auditing Outcomes'!$F2070)</f>
        <v>0</v>
      </c>
      <c r="H2070" s="154"/>
    </row>
    <row r="2071" ht="15.75" hidden="1" customHeight="1">
      <c r="B2071" s="146"/>
      <c r="C2071" s="146">
        <f t="shared" si="5"/>
        <v>10000</v>
      </c>
      <c r="D2071" s="146"/>
      <c r="E2071" s="305"/>
      <c r="F2071" s="383"/>
      <c r="G2071" s="154">
        <f>LEN('Expected Auditing Outcomes'!$F2071)</f>
        <v>0</v>
      </c>
      <c r="H2071" s="154"/>
    </row>
    <row r="2072" ht="15.75" hidden="1" customHeight="1">
      <c r="B2072" s="146"/>
      <c r="C2072" s="146">
        <f t="shared" si="5"/>
        <v>10000</v>
      </c>
      <c r="D2072" s="146"/>
      <c r="E2072" s="305"/>
      <c r="F2072" s="383"/>
      <c r="G2072" s="154">
        <f>LEN('Expected Auditing Outcomes'!$F2072)</f>
        <v>0</v>
      </c>
      <c r="H2072" s="154"/>
    </row>
    <row r="2073" ht="15.75" hidden="1" customHeight="1">
      <c r="B2073" s="146"/>
      <c r="C2073" s="146">
        <f t="shared" si="5"/>
        <v>10000</v>
      </c>
      <c r="D2073" s="146"/>
      <c r="E2073" s="305"/>
      <c r="F2073" s="383"/>
      <c r="G2073" s="154">
        <f>LEN('Expected Auditing Outcomes'!$F2073)</f>
        <v>0</v>
      </c>
      <c r="H2073" s="154"/>
    </row>
    <row r="2074" ht="15.75" hidden="1" customHeight="1">
      <c r="B2074" s="146"/>
      <c r="C2074" s="146">
        <f t="shared" si="5"/>
        <v>10000</v>
      </c>
      <c r="D2074" s="146"/>
      <c r="E2074" s="305"/>
      <c r="F2074" s="383"/>
      <c r="G2074" s="154">
        <f>LEN('Expected Auditing Outcomes'!$F2074)</f>
        <v>0</v>
      </c>
      <c r="H2074" s="154"/>
    </row>
    <row r="2075" ht="15.75" hidden="1" customHeight="1">
      <c r="B2075" s="146"/>
      <c r="C2075" s="146">
        <f t="shared" si="5"/>
        <v>10000</v>
      </c>
      <c r="D2075" s="146"/>
      <c r="E2075" s="305"/>
      <c r="F2075" s="383"/>
      <c r="G2075" s="154">
        <f>LEN('Expected Auditing Outcomes'!$F2075)</f>
        <v>0</v>
      </c>
      <c r="H2075" s="154"/>
    </row>
    <row r="2076" ht="15.75" hidden="1" customHeight="1">
      <c r="B2076" s="146"/>
      <c r="C2076" s="146">
        <f t="shared" si="5"/>
        <v>10000</v>
      </c>
      <c r="D2076" s="146"/>
      <c r="E2076" s="305"/>
      <c r="F2076" s="383"/>
      <c r="G2076" s="154">
        <f>LEN('Expected Auditing Outcomes'!$F2076)</f>
        <v>0</v>
      </c>
      <c r="H2076" s="154"/>
    </row>
    <row r="2077" ht="15.75" hidden="1" customHeight="1">
      <c r="B2077" s="146"/>
      <c r="C2077" s="146">
        <f t="shared" si="5"/>
        <v>10000</v>
      </c>
      <c r="D2077" s="146"/>
      <c r="E2077" s="305"/>
      <c r="F2077" s="383"/>
      <c r="G2077" s="154">
        <f>LEN('Expected Auditing Outcomes'!$F2077)</f>
        <v>0</v>
      </c>
      <c r="H2077" s="154"/>
    </row>
    <row r="2078" ht="15.75" hidden="1" customHeight="1">
      <c r="B2078" s="146"/>
      <c r="C2078" s="146">
        <f t="shared" si="5"/>
        <v>10000</v>
      </c>
      <c r="D2078" s="146"/>
      <c r="E2078" s="305"/>
      <c r="F2078" s="383"/>
      <c r="G2078" s="154">
        <f>LEN('Expected Auditing Outcomes'!$F2078)</f>
        <v>0</v>
      </c>
      <c r="H2078" s="154"/>
    </row>
    <row r="2079" ht="15.75" hidden="1" customHeight="1">
      <c r="B2079" s="146"/>
      <c r="C2079" s="146">
        <f t="shared" si="5"/>
        <v>10000</v>
      </c>
      <c r="D2079" s="146"/>
      <c r="E2079" s="305"/>
      <c r="F2079" s="383"/>
      <c r="G2079" s="154">
        <f>LEN('Expected Auditing Outcomes'!$F2079)</f>
        <v>0</v>
      </c>
      <c r="H2079" s="154"/>
    </row>
    <row r="2080" ht="15.75" hidden="1" customHeight="1">
      <c r="B2080" s="146"/>
      <c r="C2080" s="146">
        <f t="shared" si="5"/>
        <v>10000</v>
      </c>
      <c r="D2080" s="146"/>
      <c r="E2080" s="305"/>
      <c r="F2080" s="383"/>
      <c r="G2080" s="154">
        <f>LEN('Expected Auditing Outcomes'!$F2080)</f>
        <v>0</v>
      </c>
      <c r="H2080" s="154"/>
    </row>
    <row r="2081" ht="15.75" hidden="1" customHeight="1">
      <c r="B2081" s="146"/>
      <c r="C2081" s="146">
        <f t="shared" si="5"/>
        <v>10000</v>
      </c>
      <c r="D2081" s="146"/>
      <c r="E2081" s="305"/>
      <c r="F2081" s="383"/>
      <c r="G2081" s="154">
        <f>LEN('Expected Auditing Outcomes'!$F2081)</f>
        <v>0</v>
      </c>
      <c r="H2081" s="154"/>
    </row>
    <row r="2082" ht="15.75" hidden="1" customHeight="1">
      <c r="B2082" s="146"/>
      <c r="C2082" s="146">
        <f t="shared" si="5"/>
        <v>10000</v>
      </c>
      <c r="D2082" s="146"/>
      <c r="E2082" s="305"/>
      <c r="F2082" s="383"/>
      <c r="G2082" s="154">
        <f>LEN('Expected Auditing Outcomes'!$F2082)</f>
        <v>0</v>
      </c>
      <c r="H2082" s="154"/>
    </row>
    <row r="2083" ht="15.75" hidden="1" customHeight="1">
      <c r="B2083" s="146"/>
      <c r="C2083" s="146">
        <f t="shared" si="5"/>
        <v>10000</v>
      </c>
      <c r="D2083" s="146"/>
      <c r="E2083" s="305"/>
      <c r="F2083" s="383"/>
      <c r="G2083" s="154">
        <f>LEN('Expected Auditing Outcomes'!$F2083)</f>
        <v>0</v>
      </c>
      <c r="H2083" s="154"/>
    </row>
    <row r="2084" ht="15.75" hidden="1" customHeight="1">
      <c r="B2084" s="146"/>
      <c r="C2084" s="146">
        <f t="shared" si="5"/>
        <v>10000</v>
      </c>
      <c r="D2084" s="146"/>
      <c r="E2084" s="305"/>
      <c r="F2084" s="383"/>
      <c r="G2084" s="154">
        <f>LEN('Expected Auditing Outcomes'!$F2084)</f>
        <v>0</v>
      </c>
      <c r="H2084" s="154"/>
    </row>
    <row r="2085" ht="15.75" hidden="1" customHeight="1">
      <c r="B2085" s="146"/>
      <c r="C2085" s="146">
        <f t="shared" si="5"/>
        <v>10000</v>
      </c>
      <c r="D2085" s="146"/>
      <c r="E2085" s="305"/>
      <c r="F2085" s="383"/>
      <c r="G2085" s="154">
        <f>LEN('Expected Auditing Outcomes'!$F2085)</f>
        <v>0</v>
      </c>
      <c r="H2085" s="154"/>
    </row>
    <row r="2086" ht="15.75" hidden="1" customHeight="1">
      <c r="B2086" s="146"/>
      <c r="C2086" s="146">
        <f t="shared" si="5"/>
        <v>10000</v>
      </c>
      <c r="D2086" s="146"/>
      <c r="E2086" s="305"/>
      <c r="F2086" s="383"/>
      <c r="G2086" s="154">
        <f>LEN('Expected Auditing Outcomes'!$F2086)</f>
        <v>0</v>
      </c>
      <c r="H2086" s="154"/>
    </row>
    <row r="2087" ht="15.75" hidden="1" customHeight="1">
      <c r="B2087" s="146"/>
      <c r="C2087" s="146">
        <f t="shared" si="5"/>
        <v>10000</v>
      </c>
      <c r="D2087" s="146"/>
      <c r="E2087" s="305"/>
      <c r="F2087" s="383"/>
      <c r="G2087" s="154">
        <f>LEN('Expected Auditing Outcomes'!$F2087)</f>
        <v>0</v>
      </c>
      <c r="H2087" s="154"/>
    </row>
    <row r="2088" ht="15.75" hidden="1" customHeight="1">
      <c r="B2088" s="146"/>
      <c r="C2088" s="146">
        <f t="shared" si="5"/>
        <v>10000</v>
      </c>
      <c r="D2088" s="146"/>
      <c r="E2088" s="305"/>
      <c r="F2088" s="383"/>
      <c r="G2088" s="154">
        <f>LEN('Expected Auditing Outcomes'!$F2088)</f>
        <v>0</v>
      </c>
      <c r="H2088" s="154"/>
    </row>
    <row r="2089" ht="15.75" hidden="1" customHeight="1">
      <c r="B2089" s="146"/>
      <c r="C2089" s="146">
        <f t="shared" si="5"/>
        <v>10000</v>
      </c>
      <c r="D2089" s="146"/>
      <c r="E2089" s="305"/>
      <c r="F2089" s="383"/>
      <c r="G2089" s="154">
        <f>LEN('Expected Auditing Outcomes'!$F2089)</f>
        <v>0</v>
      </c>
      <c r="H2089" s="154"/>
    </row>
    <row r="2090" ht="15.75" hidden="1" customHeight="1">
      <c r="B2090" s="146"/>
      <c r="C2090" s="146">
        <f t="shared" si="5"/>
        <v>10000</v>
      </c>
      <c r="D2090" s="146"/>
      <c r="E2090" s="305"/>
      <c r="F2090" s="383"/>
      <c r="G2090" s="154">
        <f>LEN('Expected Auditing Outcomes'!$F2090)</f>
        <v>0</v>
      </c>
      <c r="H2090" s="154"/>
    </row>
    <row r="2091" ht="15.75" hidden="1" customHeight="1">
      <c r="B2091" s="146"/>
      <c r="C2091" s="146">
        <f t="shared" si="5"/>
        <v>10000</v>
      </c>
      <c r="D2091" s="146"/>
      <c r="E2091" s="305"/>
      <c r="F2091" s="383"/>
      <c r="G2091" s="154">
        <f>LEN('Expected Auditing Outcomes'!$F2091)</f>
        <v>0</v>
      </c>
      <c r="H2091" s="154"/>
    </row>
    <row r="2092" ht="15.75" hidden="1" customHeight="1">
      <c r="B2092" s="146"/>
      <c r="C2092" s="146">
        <f t="shared" si="5"/>
        <v>10000</v>
      </c>
      <c r="D2092" s="146"/>
      <c r="E2092" s="305"/>
      <c r="F2092" s="383"/>
      <c r="G2092" s="154">
        <f>LEN('Expected Auditing Outcomes'!$F2092)</f>
        <v>0</v>
      </c>
      <c r="H2092" s="154"/>
    </row>
    <row r="2093" ht="15.75" hidden="1" customHeight="1">
      <c r="B2093" s="146"/>
      <c r="C2093" s="146">
        <f t="shared" si="5"/>
        <v>10000</v>
      </c>
      <c r="D2093" s="146"/>
      <c r="E2093" s="305"/>
      <c r="F2093" s="383"/>
      <c r="G2093" s="154">
        <f>LEN('Expected Auditing Outcomes'!$F2093)</f>
        <v>0</v>
      </c>
      <c r="H2093" s="154"/>
    </row>
    <row r="2094" ht="15.75" hidden="1" customHeight="1">
      <c r="B2094" s="146"/>
      <c r="C2094" s="146">
        <f t="shared" si="5"/>
        <v>10000</v>
      </c>
      <c r="D2094" s="146"/>
      <c r="E2094" s="305"/>
      <c r="F2094" s="383"/>
      <c r="G2094" s="154">
        <f>LEN('Expected Auditing Outcomes'!$F2094)</f>
        <v>0</v>
      </c>
      <c r="H2094" s="154"/>
    </row>
    <row r="2095" ht="15.75" hidden="1" customHeight="1">
      <c r="B2095" s="146"/>
      <c r="C2095" s="146">
        <f t="shared" si="5"/>
        <v>10000</v>
      </c>
      <c r="D2095" s="146"/>
      <c r="E2095" s="305"/>
      <c r="F2095" s="383"/>
      <c r="G2095" s="154">
        <f>LEN('Expected Auditing Outcomes'!$F2095)</f>
        <v>0</v>
      </c>
      <c r="H2095" s="154"/>
    </row>
    <row r="2096" ht="15.75" hidden="1" customHeight="1">
      <c r="B2096" s="146"/>
      <c r="C2096" s="146">
        <f t="shared" si="5"/>
        <v>10000</v>
      </c>
      <c r="D2096" s="146"/>
      <c r="E2096" s="305"/>
      <c r="F2096" s="383"/>
      <c r="G2096" s="154">
        <f>LEN('Expected Auditing Outcomes'!$F2096)</f>
        <v>0</v>
      </c>
      <c r="H2096" s="154"/>
    </row>
    <row r="2097" ht="15.75" hidden="1" customHeight="1">
      <c r="B2097" s="146"/>
      <c r="C2097" s="146">
        <f t="shared" si="5"/>
        <v>10000</v>
      </c>
      <c r="D2097" s="146"/>
      <c r="E2097" s="305"/>
      <c r="F2097" s="383"/>
      <c r="G2097" s="154">
        <f>LEN('Expected Auditing Outcomes'!$F2097)</f>
        <v>0</v>
      </c>
      <c r="H2097" s="154"/>
    </row>
    <row r="2098" ht="15.75" hidden="1" customHeight="1">
      <c r="B2098" s="146"/>
      <c r="C2098" s="146">
        <f t="shared" si="5"/>
        <v>10000</v>
      </c>
      <c r="D2098" s="146"/>
      <c r="E2098" s="305"/>
      <c r="F2098" s="383"/>
      <c r="G2098" s="154">
        <f>LEN('Expected Auditing Outcomes'!$F2098)</f>
        <v>0</v>
      </c>
      <c r="H2098" s="154"/>
    </row>
    <row r="2099" ht="15.75" hidden="1" customHeight="1">
      <c r="B2099" s="146"/>
      <c r="C2099" s="146">
        <f t="shared" si="5"/>
        <v>10000</v>
      </c>
      <c r="D2099" s="146"/>
      <c r="E2099" s="305"/>
      <c r="F2099" s="383"/>
      <c r="G2099" s="154">
        <f>LEN('Expected Auditing Outcomes'!$F2099)</f>
        <v>0</v>
      </c>
      <c r="H2099" s="154"/>
    </row>
    <row r="2100" ht="15.75" hidden="1" customHeight="1">
      <c r="B2100" s="146"/>
      <c r="C2100" s="146">
        <f t="shared" si="5"/>
        <v>10000</v>
      </c>
      <c r="D2100" s="146"/>
      <c r="E2100" s="305"/>
      <c r="F2100" s="383"/>
      <c r="G2100" s="154">
        <f>LEN('Expected Auditing Outcomes'!$F2100)</f>
        <v>0</v>
      </c>
      <c r="H2100" s="154"/>
    </row>
    <row r="2101" ht="15.75" hidden="1" customHeight="1">
      <c r="B2101" s="146"/>
      <c r="C2101" s="146">
        <f t="shared" si="5"/>
        <v>10000</v>
      </c>
      <c r="D2101" s="146"/>
      <c r="E2101" s="305"/>
      <c r="F2101" s="383"/>
      <c r="G2101" s="154">
        <f>LEN('Expected Auditing Outcomes'!$F2101)</f>
        <v>0</v>
      </c>
      <c r="H2101" s="154"/>
    </row>
    <row r="2102" ht="15.75" hidden="1" customHeight="1">
      <c r="B2102" s="146"/>
      <c r="C2102" s="146">
        <f t="shared" si="5"/>
        <v>10000</v>
      </c>
      <c r="D2102" s="146"/>
      <c r="E2102" s="305"/>
      <c r="F2102" s="383"/>
      <c r="G2102" s="154">
        <f>LEN('Expected Auditing Outcomes'!$F2102)</f>
        <v>0</v>
      </c>
      <c r="H2102" s="154"/>
    </row>
    <row r="2103" ht="15.75" hidden="1" customHeight="1">
      <c r="B2103" s="146"/>
      <c r="C2103" s="146">
        <f t="shared" si="5"/>
        <v>10000</v>
      </c>
      <c r="D2103" s="146"/>
      <c r="E2103" s="305"/>
      <c r="F2103" s="383"/>
      <c r="G2103" s="154">
        <f>LEN('Expected Auditing Outcomes'!$F2103)</f>
        <v>0</v>
      </c>
      <c r="H2103" s="154"/>
    </row>
    <row r="2104" ht="15.75" hidden="1" customHeight="1">
      <c r="B2104" s="146"/>
      <c r="C2104" s="146">
        <f t="shared" si="5"/>
        <v>10000</v>
      </c>
      <c r="D2104" s="146"/>
      <c r="E2104" s="305"/>
      <c r="F2104" s="383"/>
      <c r="G2104" s="154">
        <f>LEN('Expected Auditing Outcomes'!$F2104)</f>
        <v>0</v>
      </c>
      <c r="H2104" s="154"/>
    </row>
    <row r="2105" ht="15.75" hidden="1" customHeight="1">
      <c r="B2105" s="146"/>
      <c r="C2105" s="146">
        <f t="shared" si="5"/>
        <v>10000</v>
      </c>
      <c r="D2105" s="146"/>
      <c r="E2105" s="305"/>
      <c r="F2105" s="383"/>
      <c r="G2105" s="154">
        <f>LEN('Expected Auditing Outcomes'!$F2105)</f>
        <v>0</v>
      </c>
      <c r="H2105" s="154"/>
    </row>
    <row r="2106" ht="15.75" hidden="1" customHeight="1">
      <c r="B2106" s="146"/>
      <c r="C2106" s="146">
        <f t="shared" si="5"/>
        <v>10000</v>
      </c>
      <c r="D2106" s="146"/>
      <c r="E2106" s="305"/>
      <c r="F2106" s="383"/>
      <c r="G2106" s="154">
        <f>LEN('Expected Auditing Outcomes'!$F2106)</f>
        <v>0</v>
      </c>
      <c r="H2106" s="154"/>
    </row>
    <row r="2107" ht="15.75" hidden="1" customHeight="1">
      <c r="B2107" s="146"/>
      <c r="C2107" s="146">
        <f t="shared" si="5"/>
        <v>10000</v>
      </c>
      <c r="D2107" s="146"/>
      <c r="E2107" s="305"/>
      <c r="F2107" s="383"/>
      <c r="G2107" s="154">
        <f>LEN('Expected Auditing Outcomes'!$F2107)</f>
        <v>0</v>
      </c>
      <c r="H2107" s="154"/>
    </row>
    <row r="2108" ht="15.75" hidden="1" customHeight="1">
      <c r="B2108" s="146"/>
      <c r="C2108" s="146">
        <f t="shared" si="5"/>
        <v>10000</v>
      </c>
      <c r="D2108" s="146"/>
      <c r="E2108" s="305"/>
      <c r="F2108" s="383"/>
      <c r="G2108" s="154">
        <f>LEN('Expected Auditing Outcomes'!$F2108)</f>
        <v>0</v>
      </c>
      <c r="H2108" s="154"/>
    </row>
    <row r="2109" ht="15.75" hidden="1" customHeight="1">
      <c r="B2109" s="146"/>
      <c r="C2109" s="146">
        <f t="shared" si="5"/>
        <v>10000</v>
      </c>
      <c r="D2109" s="146"/>
      <c r="E2109" s="305"/>
      <c r="F2109" s="383"/>
      <c r="G2109" s="154">
        <f>LEN('Expected Auditing Outcomes'!$F2109)</f>
        <v>0</v>
      </c>
      <c r="H2109" s="154"/>
    </row>
    <row r="2110" ht="15.75" hidden="1" customHeight="1">
      <c r="B2110" s="146"/>
      <c r="C2110" s="146">
        <f t="shared" si="5"/>
        <v>10000</v>
      </c>
      <c r="D2110" s="146"/>
      <c r="E2110" s="305"/>
      <c r="F2110" s="383"/>
      <c r="G2110" s="154">
        <f>LEN('Expected Auditing Outcomes'!$F2110)</f>
        <v>0</v>
      </c>
      <c r="H2110" s="154"/>
    </row>
    <row r="2111" ht="15.75" hidden="1" customHeight="1">
      <c r="B2111" s="146"/>
      <c r="C2111" s="146">
        <f t="shared" si="5"/>
        <v>10000</v>
      </c>
      <c r="D2111" s="146"/>
      <c r="E2111" s="305"/>
      <c r="F2111" s="383"/>
      <c r="G2111" s="154">
        <f>LEN('Expected Auditing Outcomes'!$F2111)</f>
        <v>0</v>
      </c>
      <c r="H2111" s="154"/>
    </row>
    <row r="2112" ht="15.75" hidden="1" customHeight="1">
      <c r="B2112" s="146"/>
      <c r="C2112" s="146">
        <f t="shared" si="5"/>
        <v>10000</v>
      </c>
      <c r="D2112" s="146"/>
      <c r="E2112" s="305"/>
      <c r="F2112" s="383"/>
      <c r="G2112" s="154">
        <f>LEN('Expected Auditing Outcomes'!$F2112)</f>
        <v>0</v>
      </c>
      <c r="H2112" s="154"/>
    </row>
    <row r="2113" ht="15.75" hidden="1" customHeight="1">
      <c r="B2113" s="146"/>
      <c r="C2113" s="146">
        <f t="shared" si="5"/>
        <v>10000</v>
      </c>
      <c r="D2113" s="146"/>
      <c r="E2113" s="305"/>
      <c r="F2113" s="383"/>
      <c r="G2113" s="154">
        <f>LEN('Expected Auditing Outcomes'!$F2113)</f>
        <v>0</v>
      </c>
      <c r="H2113" s="154"/>
    </row>
    <row r="2114" ht="15.75" hidden="1" customHeight="1">
      <c r="B2114" s="146"/>
      <c r="C2114" s="146">
        <f t="shared" si="5"/>
        <v>10000</v>
      </c>
      <c r="D2114" s="146"/>
      <c r="E2114" s="305"/>
      <c r="F2114" s="383"/>
      <c r="G2114" s="154">
        <f>LEN('Expected Auditing Outcomes'!$F2114)</f>
        <v>0</v>
      </c>
      <c r="H2114" s="154"/>
    </row>
    <row r="2115" ht="15.75" hidden="1" customHeight="1">
      <c r="B2115" s="146"/>
      <c r="C2115" s="146">
        <f t="shared" si="5"/>
        <v>10000</v>
      </c>
      <c r="D2115" s="146"/>
      <c r="E2115" s="305"/>
      <c r="F2115" s="383"/>
      <c r="G2115" s="154">
        <f>LEN('Expected Auditing Outcomes'!$F2115)</f>
        <v>0</v>
      </c>
      <c r="H2115" s="154"/>
    </row>
    <row r="2116" ht="15.75" hidden="1" customHeight="1">
      <c r="B2116" s="146"/>
      <c r="C2116" s="146">
        <f t="shared" si="5"/>
        <v>10000</v>
      </c>
      <c r="D2116" s="146"/>
      <c r="E2116" s="305"/>
      <c r="F2116" s="383"/>
      <c r="G2116" s="154">
        <f>LEN('Expected Auditing Outcomes'!$F2116)</f>
        <v>0</v>
      </c>
      <c r="H2116" s="154"/>
    </row>
    <row r="2117" ht="15.75" hidden="1" customHeight="1">
      <c r="B2117" s="146"/>
      <c r="C2117" s="146">
        <f t="shared" si="5"/>
        <v>10000</v>
      </c>
      <c r="D2117" s="146"/>
      <c r="E2117" s="305"/>
      <c r="F2117" s="383"/>
      <c r="G2117" s="154">
        <f>LEN('Expected Auditing Outcomes'!$F2117)</f>
        <v>0</v>
      </c>
      <c r="H2117" s="154"/>
    </row>
    <row r="2118" ht="15.75" hidden="1" customHeight="1">
      <c r="B2118" s="146"/>
      <c r="C2118" s="146">
        <f t="shared" si="5"/>
        <v>10000</v>
      </c>
      <c r="D2118" s="146"/>
      <c r="E2118" s="305"/>
      <c r="F2118" s="383"/>
      <c r="G2118" s="154">
        <f>LEN('Expected Auditing Outcomes'!$F2118)</f>
        <v>0</v>
      </c>
      <c r="H2118" s="154"/>
    </row>
    <row r="2119" ht="15.75" hidden="1" customHeight="1">
      <c r="B2119" s="146"/>
      <c r="C2119" s="146">
        <f t="shared" si="5"/>
        <v>10000</v>
      </c>
      <c r="D2119" s="146"/>
      <c r="E2119" s="305"/>
      <c r="F2119" s="383"/>
      <c r="G2119" s="154">
        <f>LEN('Expected Auditing Outcomes'!$F2119)</f>
        <v>0</v>
      </c>
      <c r="H2119" s="154"/>
    </row>
    <row r="2120" ht="15.75" hidden="1" customHeight="1">
      <c r="B2120" s="146"/>
      <c r="C2120" s="146">
        <f t="shared" si="5"/>
        <v>10000</v>
      </c>
      <c r="D2120" s="146"/>
      <c r="E2120" s="305"/>
      <c r="F2120" s="383"/>
      <c r="G2120" s="154">
        <f>LEN('Expected Auditing Outcomes'!$F2120)</f>
        <v>0</v>
      </c>
      <c r="H2120" s="154"/>
    </row>
    <row r="2121" ht="15.75" hidden="1" customHeight="1">
      <c r="B2121" s="146"/>
      <c r="C2121" s="146">
        <f t="shared" si="5"/>
        <v>10000</v>
      </c>
      <c r="D2121" s="146"/>
      <c r="E2121" s="305"/>
      <c r="F2121" s="383"/>
      <c r="G2121" s="154">
        <f>LEN('Expected Auditing Outcomes'!$F2121)</f>
        <v>0</v>
      </c>
      <c r="H2121" s="154"/>
    </row>
    <row r="2122" ht="15.75" hidden="1" customHeight="1">
      <c r="B2122" s="146"/>
      <c r="C2122" s="146">
        <f t="shared" si="5"/>
        <v>10000</v>
      </c>
      <c r="D2122" s="146"/>
      <c r="E2122" s="305"/>
      <c r="F2122" s="383"/>
      <c r="G2122" s="154">
        <f>LEN('Expected Auditing Outcomes'!$F2122)</f>
        <v>0</v>
      </c>
      <c r="H2122" s="154"/>
    </row>
    <row r="2123" ht="15.75" hidden="1" customHeight="1">
      <c r="B2123" s="146"/>
      <c r="C2123" s="146">
        <f t="shared" si="5"/>
        <v>10000</v>
      </c>
      <c r="D2123" s="146"/>
      <c r="E2123" s="305"/>
      <c r="F2123" s="383"/>
      <c r="G2123" s="154">
        <f>LEN('Expected Auditing Outcomes'!$F2123)</f>
        <v>0</v>
      </c>
      <c r="H2123" s="154"/>
    </row>
    <row r="2124" ht="15.75" hidden="1" customHeight="1">
      <c r="B2124" s="146"/>
      <c r="C2124" s="146">
        <f t="shared" si="5"/>
        <v>10000</v>
      </c>
      <c r="D2124" s="146"/>
      <c r="E2124" s="305"/>
      <c r="F2124" s="383"/>
      <c r="G2124" s="154">
        <f>LEN('Expected Auditing Outcomes'!$F2124)</f>
        <v>0</v>
      </c>
      <c r="H2124" s="154"/>
    </row>
    <row r="2125" ht="15.75" hidden="1" customHeight="1">
      <c r="B2125" s="146"/>
      <c r="C2125" s="146">
        <f t="shared" si="5"/>
        <v>10000</v>
      </c>
      <c r="D2125" s="146"/>
      <c r="E2125" s="305"/>
      <c r="F2125" s="383"/>
      <c r="G2125" s="154">
        <f>LEN('Expected Auditing Outcomes'!$F2125)</f>
        <v>0</v>
      </c>
      <c r="H2125" s="154"/>
    </row>
    <row r="2126" ht="15.75" hidden="1" customHeight="1">
      <c r="B2126" s="146"/>
      <c r="C2126" s="146">
        <f t="shared" si="5"/>
        <v>10000</v>
      </c>
      <c r="D2126" s="146"/>
      <c r="E2126" s="305"/>
      <c r="F2126" s="383"/>
      <c r="G2126" s="154">
        <f>LEN('Expected Auditing Outcomes'!$F2126)</f>
        <v>0</v>
      </c>
      <c r="H2126" s="154"/>
    </row>
    <row r="2127" ht="15.75" hidden="1" customHeight="1">
      <c r="B2127" s="146"/>
      <c r="C2127" s="146">
        <f t="shared" si="5"/>
        <v>10000</v>
      </c>
      <c r="D2127" s="146"/>
      <c r="E2127" s="305"/>
      <c r="F2127" s="383"/>
      <c r="G2127" s="154">
        <f>LEN('Expected Auditing Outcomes'!$F2127)</f>
        <v>0</v>
      </c>
      <c r="H2127" s="154"/>
    </row>
    <row r="2128" ht="15.75" hidden="1" customHeight="1">
      <c r="B2128" s="146"/>
      <c r="C2128" s="146">
        <f t="shared" si="5"/>
        <v>10000</v>
      </c>
      <c r="D2128" s="146"/>
      <c r="E2128" s="305"/>
      <c r="F2128" s="383"/>
      <c r="G2128" s="154">
        <f>LEN('Expected Auditing Outcomes'!$F2128)</f>
        <v>0</v>
      </c>
      <c r="H2128" s="154"/>
    </row>
    <row r="2129" ht="15.75" hidden="1" customHeight="1">
      <c r="B2129" s="146"/>
      <c r="C2129" s="146">
        <f t="shared" si="5"/>
        <v>10000</v>
      </c>
      <c r="D2129" s="146"/>
      <c r="E2129" s="305"/>
      <c r="F2129" s="383"/>
      <c r="G2129" s="154">
        <f>LEN('Expected Auditing Outcomes'!$F2129)</f>
        <v>0</v>
      </c>
      <c r="H2129" s="154"/>
    </row>
    <row r="2130" ht="15.75" hidden="1" customHeight="1">
      <c r="B2130" s="146"/>
      <c r="C2130" s="146">
        <f t="shared" si="5"/>
        <v>10000</v>
      </c>
      <c r="D2130" s="146"/>
      <c r="E2130" s="305"/>
      <c r="F2130" s="383"/>
      <c r="G2130" s="154">
        <f>LEN('Expected Auditing Outcomes'!$F2130)</f>
        <v>0</v>
      </c>
      <c r="H2130" s="154"/>
    </row>
    <row r="2131" ht="15.75" hidden="1" customHeight="1">
      <c r="B2131" s="146"/>
      <c r="C2131" s="146">
        <f t="shared" si="5"/>
        <v>10000</v>
      </c>
      <c r="D2131" s="146"/>
      <c r="E2131" s="305"/>
      <c r="F2131" s="383"/>
      <c r="G2131" s="154">
        <f>LEN('Expected Auditing Outcomes'!$F2131)</f>
        <v>0</v>
      </c>
      <c r="H2131" s="154"/>
    </row>
    <row r="2132" ht="15.75" hidden="1" customHeight="1">
      <c r="B2132" s="146"/>
      <c r="C2132" s="146">
        <f t="shared" si="5"/>
        <v>10000</v>
      </c>
      <c r="D2132" s="146"/>
      <c r="E2132" s="305"/>
      <c r="F2132" s="383"/>
      <c r="G2132" s="154">
        <f>LEN('Expected Auditing Outcomes'!$F2132)</f>
        <v>0</v>
      </c>
      <c r="H2132" s="154"/>
    </row>
    <row r="2133" ht="15.75" hidden="1" customHeight="1">
      <c r="B2133" s="146"/>
      <c r="C2133" s="146">
        <f t="shared" si="5"/>
        <v>10000</v>
      </c>
      <c r="D2133" s="146"/>
      <c r="E2133" s="305"/>
      <c r="F2133" s="383"/>
      <c r="G2133" s="154">
        <f>LEN('Expected Auditing Outcomes'!$F2133)</f>
        <v>0</v>
      </c>
      <c r="H2133" s="154"/>
    </row>
    <row r="2134" ht="15.75" hidden="1" customHeight="1">
      <c r="B2134" s="146"/>
      <c r="C2134" s="146">
        <f t="shared" si="5"/>
        <v>10000</v>
      </c>
      <c r="D2134" s="146"/>
      <c r="E2134" s="305"/>
      <c r="F2134" s="383"/>
      <c r="G2134" s="154">
        <f>LEN('Expected Auditing Outcomes'!$F2134)</f>
        <v>0</v>
      </c>
      <c r="H2134" s="154"/>
    </row>
    <row r="2135" ht="15.75" hidden="1" customHeight="1">
      <c r="B2135" s="146"/>
      <c r="C2135" s="146">
        <f t="shared" si="5"/>
        <v>10000</v>
      </c>
      <c r="D2135" s="146"/>
      <c r="E2135" s="305"/>
      <c r="F2135" s="383"/>
      <c r="G2135" s="154">
        <f>LEN('Expected Auditing Outcomes'!$F2135)</f>
        <v>0</v>
      </c>
      <c r="H2135" s="154"/>
    </row>
    <row r="2136" ht="15.75" hidden="1" customHeight="1">
      <c r="B2136" s="146"/>
      <c r="C2136" s="146">
        <f t="shared" si="5"/>
        <v>10000</v>
      </c>
      <c r="D2136" s="146"/>
      <c r="E2136" s="305"/>
      <c r="F2136" s="383"/>
      <c r="G2136" s="154">
        <f>LEN('Expected Auditing Outcomes'!$F2136)</f>
        <v>0</v>
      </c>
      <c r="H2136" s="154"/>
    </row>
    <row r="2137" ht="15.75" hidden="1" customHeight="1">
      <c r="B2137" s="146"/>
      <c r="C2137" s="146">
        <f t="shared" si="5"/>
        <v>10000</v>
      </c>
      <c r="D2137" s="146"/>
      <c r="E2137" s="305"/>
      <c r="F2137" s="383"/>
      <c r="G2137" s="154">
        <f>LEN('Expected Auditing Outcomes'!$F2137)</f>
        <v>0</v>
      </c>
      <c r="H2137" s="154"/>
    </row>
    <row r="2138" ht="15.75" hidden="1" customHeight="1">
      <c r="B2138" s="146"/>
      <c r="C2138" s="146">
        <f t="shared" si="5"/>
        <v>10000</v>
      </c>
      <c r="D2138" s="146"/>
      <c r="E2138" s="305"/>
      <c r="F2138" s="383"/>
      <c r="G2138" s="154">
        <f>LEN('Expected Auditing Outcomes'!$F2138)</f>
        <v>0</v>
      </c>
      <c r="H2138" s="154"/>
    </row>
    <row r="2139" ht="15.75" hidden="1" customHeight="1">
      <c r="B2139" s="146"/>
      <c r="C2139" s="146">
        <f t="shared" si="5"/>
        <v>10000</v>
      </c>
      <c r="D2139" s="146"/>
      <c r="E2139" s="305"/>
      <c r="F2139" s="383"/>
      <c r="G2139" s="154">
        <f>LEN('Expected Auditing Outcomes'!$F2139)</f>
        <v>0</v>
      </c>
      <c r="H2139" s="154"/>
    </row>
    <row r="2140" ht="15.75" hidden="1" customHeight="1">
      <c r="B2140" s="146"/>
      <c r="C2140" s="146">
        <f t="shared" si="5"/>
        <v>10000</v>
      </c>
      <c r="D2140" s="146"/>
      <c r="E2140" s="305"/>
      <c r="F2140" s="383"/>
      <c r="G2140" s="154">
        <f>LEN('Expected Auditing Outcomes'!$F2140)</f>
        <v>0</v>
      </c>
      <c r="H2140" s="154"/>
    </row>
    <row r="2141" ht="15.75" hidden="1" customHeight="1">
      <c r="B2141" s="146"/>
      <c r="C2141" s="146">
        <f t="shared" si="5"/>
        <v>10000</v>
      </c>
      <c r="D2141" s="146"/>
      <c r="E2141" s="305"/>
      <c r="F2141" s="383"/>
      <c r="G2141" s="154">
        <f>LEN('Expected Auditing Outcomes'!$F2141)</f>
        <v>0</v>
      </c>
      <c r="H2141" s="154"/>
    </row>
    <row r="2142" ht="15.75" hidden="1" customHeight="1">
      <c r="B2142" s="146"/>
      <c r="C2142" s="146">
        <f t="shared" si="5"/>
        <v>10000</v>
      </c>
      <c r="D2142" s="146"/>
      <c r="E2142" s="305"/>
      <c r="F2142" s="383"/>
      <c r="G2142" s="154">
        <f>LEN('Expected Auditing Outcomes'!$F2142)</f>
        <v>0</v>
      </c>
      <c r="H2142" s="154"/>
    </row>
    <row r="2143" ht="15.75" hidden="1" customHeight="1">
      <c r="B2143" s="146"/>
      <c r="C2143" s="146">
        <f t="shared" si="5"/>
        <v>10000</v>
      </c>
      <c r="D2143" s="146"/>
      <c r="E2143" s="305"/>
      <c r="F2143" s="383"/>
      <c r="G2143" s="154">
        <f>LEN('Expected Auditing Outcomes'!$F2143)</f>
        <v>0</v>
      </c>
      <c r="H2143" s="154"/>
    </row>
    <row r="2144" ht="15.75" hidden="1" customHeight="1">
      <c r="B2144" s="146"/>
      <c r="C2144" s="146">
        <f t="shared" si="5"/>
        <v>10000</v>
      </c>
      <c r="D2144" s="146"/>
      <c r="E2144" s="305"/>
      <c r="F2144" s="383"/>
      <c r="G2144" s="154">
        <f>LEN('Expected Auditing Outcomes'!$F2144)</f>
        <v>0</v>
      </c>
      <c r="H2144" s="154"/>
    </row>
    <row r="2145" ht="15.75" hidden="1" customHeight="1">
      <c r="B2145" s="146"/>
      <c r="C2145" s="146">
        <f t="shared" si="5"/>
        <v>10000</v>
      </c>
      <c r="D2145" s="146"/>
      <c r="E2145" s="305"/>
      <c r="F2145" s="383"/>
      <c r="G2145" s="154">
        <f>LEN('Expected Auditing Outcomes'!$F2145)</f>
        <v>0</v>
      </c>
      <c r="H2145" s="154"/>
    </row>
    <row r="2146" ht="15.75" hidden="1" customHeight="1">
      <c r="B2146" s="146"/>
      <c r="C2146" s="146">
        <f t="shared" si="5"/>
        <v>10000</v>
      </c>
      <c r="D2146" s="146"/>
      <c r="E2146" s="305"/>
      <c r="F2146" s="383"/>
      <c r="G2146" s="154">
        <f>LEN('Expected Auditing Outcomes'!$F2146)</f>
        <v>0</v>
      </c>
      <c r="H2146" s="154"/>
    </row>
    <row r="2147" ht="15.75" hidden="1" customHeight="1">
      <c r="B2147" s="146"/>
      <c r="C2147" s="146">
        <f t="shared" si="5"/>
        <v>10000</v>
      </c>
      <c r="D2147" s="146"/>
      <c r="E2147" s="305"/>
      <c r="F2147" s="383"/>
      <c r="G2147" s="154">
        <f>LEN('Expected Auditing Outcomes'!$F2147)</f>
        <v>0</v>
      </c>
      <c r="H2147" s="154"/>
    </row>
    <row r="2148" ht="15.75" hidden="1" customHeight="1">
      <c r="B2148" s="146"/>
      <c r="C2148" s="146">
        <f t="shared" si="5"/>
        <v>10000</v>
      </c>
      <c r="D2148" s="146"/>
      <c r="E2148" s="305"/>
      <c r="F2148" s="383"/>
      <c r="G2148" s="154">
        <f>LEN('Expected Auditing Outcomes'!$F2148)</f>
        <v>0</v>
      </c>
      <c r="H2148" s="154"/>
    </row>
    <row r="2149" ht="15.75" hidden="1" customHeight="1">
      <c r="B2149" s="146"/>
      <c r="C2149" s="146">
        <f t="shared" si="5"/>
        <v>10000</v>
      </c>
      <c r="D2149" s="146"/>
      <c r="E2149" s="305"/>
      <c r="F2149" s="383"/>
      <c r="G2149" s="154">
        <f>LEN('Expected Auditing Outcomes'!$F2149)</f>
        <v>0</v>
      </c>
      <c r="H2149" s="154"/>
    </row>
    <row r="2150" ht="15.75" hidden="1" customHeight="1">
      <c r="B2150" s="146"/>
      <c r="C2150" s="146">
        <f t="shared" si="5"/>
        <v>10000</v>
      </c>
      <c r="D2150" s="146"/>
      <c r="E2150" s="305"/>
      <c r="F2150" s="383"/>
      <c r="G2150" s="154">
        <f>LEN('Expected Auditing Outcomes'!$F2150)</f>
        <v>0</v>
      </c>
      <c r="H2150" s="154"/>
    </row>
    <row r="2151" ht="15.75" hidden="1" customHeight="1">
      <c r="B2151" s="146"/>
      <c r="C2151" s="146">
        <f t="shared" si="5"/>
        <v>10000</v>
      </c>
      <c r="D2151" s="146"/>
      <c r="E2151" s="305"/>
      <c r="F2151" s="383"/>
      <c r="G2151" s="154">
        <f>LEN('Expected Auditing Outcomes'!$F2151)</f>
        <v>0</v>
      </c>
      <c r="H2151" s="154"/>
    </row>
    <row r="2152" ht="15.75" hidden="1" customHeight="1">
      <c r="B2152" s="146"/>
      <c r="C2152" s="146">
        <f t="shared" si="5"/>
        <v>10000</v>
      </c>
      <c r="D2152" s="146"/>
      <c r="E2152" s="305"/>
      <c r="F2152" s="383"/>
      <c r="G2152" s="154">
        <f>LEN('Expected Auditing Outcomes'!$F2152)</f>
        <v>0</v>
      </c>
      <c r="H2152" s="154"/>
    </row>
    <row r="2153" ht="15.75" hidden="1" customHeight="1">
      <c r="B2153" s="146"/>
      <c r="C2153" s="146">
        <f t="shared" si="5"/>
        <v>10000</v>
      </c>
      <c r="D2153" s="146"/>
      <c r="E2153" s="305"/>
      <c r="F2153" s="383"/>
      <c r="G2153" s="154">
        <f>LEN('Expected Auditing Outcomes'!$F2153)</f>
        <v>0</v>
      </c>
      <c r="H2153" s="154"/>
    </row>
    <row r="2154" ht="15.75" hidden="1" customHeight="1">
      <c r="B2154" s="146"/>
      <c r="C2154" s="146">
        <f t="shared" si="5"/>
        <v>10000</v>
      </c>
      <c r="D2154" s="146"/>
      <c r="E2154" s="305"/>
      <c r="F2154" s="383"/>
      <c r="G2154" s="154">
        <f>LEN('Expected Auditing Outcomes'!$F2154)</f>
        <v>0</v>
      </c>
      <c r="H2154" s="154"/>
    </row>
    <row r="2155" ht="15.75" hidden="1" customHeight="1">
      <c r="B2155" s="146"/>
      <c r="C2155" s="146">
        <f t="shared" si="5"/>
        <v>10000</v>
      </c>
      <c r="D2155" s="146"/>
      <c r="E2155" s="305"/>
      <c r="F2155" s="383"/>
      <c r="G2155" s="154">
        <f>LEN('Expected Auditing Outcomes'!$F2155)</f>
        <v>0</v>
      </c>
      <c r="H2155" s="154"/>
    </row>
    <row r="2156" ht="15.75" hidden="1" customHeight="1">
      <c r="B2156" s="146"/>
      <c r="C2156" s="146">
        <f t="shared" si="5"/>
        <v>10000</v>
      </c>
      <c r="D2156" s="146"/>
      <c r="E2156" s="305"/>
      <c r="F2156" s="383"/>
      <c r="G2156" s="154">
        <f>LEN('Expected Auditing Outcomes'!$F2156)</f>
        <v>0</v>
      </c>
      <c r="H2156" s="154"/>
    </row>
    <row r="2157" ht="15.75" hidden="1" customHeight="1">
      <c r="B2157" s="146"/>
      <c r="C2157" s="146">
        <f t="shared" si="5"/>
        <v>10000</v>
      </c>
      <c r="D2157" s="146"/>
      <c r="E2157" s="305"/>
      <c r="F2157" s="383"/>
      <c r="G2157" s="154">
        <f>LEN('Expected Auditing Outcomes'!$F2157)</f>
        <v>0</v>
      </c>
      <c r="H2157" s="154"/>
    </row>
    <row r="2158" ht="15.75" hidden="1" customHeight="1">
      <c r="B2158" s="146"/>
      <c r="C2158" s="146">
        <f t="shared" si="5"/>
        <v>10000</v>
      </c>
      <c r="D2158" s="146"/>
      <c r="E2158" s="305"/>
      <c r="F2158" s="383"/>
      <c r="G2158" s="154">
        <f>LEN('Expected Auditing Outcomes'!$F2158)</f>
        <v>0</v>
      </c>
      <c r="H2158" s="154"/>
    </row>
    <row r="2159" ht="15.75" hidden="1" customHeight="1">
      <c r="B2159" s="146"/>
      <c r="C2159" s="146">
        <f t="shared" si="5"/>
        <v>10000</v>
      </c>
      <c r="D2159" s="146"/>
      <c r="E2159" s="305"/>
      <c r="F2159" s="383"/>
      <c r="G2159" s="154">
        <f>LEN('Expected Auditing Outcomes'!$F2159)</f>
        <v>0</v>
      </c>
      <c r="H2159" s="154"/>
    </row>
    <row r="2160" ht="15.75" hidden="1" customHeight="1">
      <c r="B2160" s="146"/>
      <c r="C2160" s="146">
        <f t="shared" si="5"/>
        <v>10000</v>
      </c>
      <c r="D2160" s="146"/>
      <c r="E2160" s="305"/>
      <c r="F2160" s="383"/>
      <c r="G2160" s="154">
        <f>LEN('Expected Auditing Outcomes'!$F2160)</f>
        <v>0</v>
      </c>
      <c r="H2160" s="154"/>
    </row>
    <row r="2161" ht="15.75" hidden="1" customHeight="1">
      <c r="B2161" s="146"/>
      <c r="C2161" s="146">
        <f t="shared" si="5"/>
        <v>10000</v>
      </c>
      <c r="D2161" s="146"/>
      <c r="E2161" s="305"/>
      <c r="F2161" s="383"/>
      <c r="G2161" s="154">
        <f>LEN('Expected Auditing Outcomes'!$F2161)</f>
        <v>0</v>
      </c>
      <c r="H2161" s="154"/>
    </row>
    <row r="2162" ht="15.75" hidden="1" customHeight="1">
      <c r="B2162" s="146"/>
      <c r="C2162" s="146">
        <f t="shared" si="5"/>
        <v>10000</v>
      </c>
      <c r="D2162" s="146"/>
      <c r="E2162" s="305"/>
      <c r="F2162" s="383"/>
      <c r="G2162" s="154">
        <f>LEN('Expected Auditing Outcomes'!$F2162)</f>
        <v>0</v>
      </c>
      <c r="H2162" s="154"/>
    </row>
    <row r="2163" ht="15.75" hidden="1" customHeight="1">
      <c r="B2163" s="146"/>
      <c r="C2163" s="146">
        <f t="shared" si="5"/>
        <v>10000</v>
      </c>
      <c r="D2163" s="146"/>
      <c r="E2163" s="305"/>
      <c r="F2163" s="383"/>
      <c r="G2163" s="154">
        <f>LEN('Expected Auditing Outcomes'!$F2163)</f>
        <v>0</v>
      </c>
      <c r="H2163" s="154"/>
    </row>
    <row r="2164" ht="15.75" hidden="1" customHeight="1">
      <c r="B2164" s="146"/>
      <c r="C2164" s="146">
        <f t="shared" si="5"/>
        <v>10000</v>
      </c>
      <c r="D2164" s="146"/>
      <c r="E2164" s="305"/>
      <c r="F2164" s="383"/>
      <c r="G2164" s="154">
        <f>LEN('Expected Auditing Outcomes'!$F2164)</f>
        <v>0</v>
      </c>
      <c r="H2164" s="154"/>
    </row>
    <row r="2165" ht="15.75" hidden="1" customHeight="1">
      <c r="B2165" s="146"/>
      <c r="C2165" s="146">
        <f t="shared" si="5"/>
        <v>10000</v>
      </c>
      <c r="D2165" s="146"/>
      <c r="E2165" s="305"/>
      <c r="F2165" s="383"/>
      <c r="G2165" s="154">
        <f>LEN('Expected Auditing Outcomes'!$F2165)</f>
        <v>0</v>
      </c>
      <c r="H2165" s="154"/>
    </row>
    <row r="2166" ht="15.75" hidden="1" customHeight="1">
      <c r="B2166" s="146"/>
      <c r="C2166" s="146">
        <f t="shared" si="5"/>
        <v>10000</v>
      </c>
      <c r="D2166" s="146"/>
      <c r="E2166" s="305"/>
      <c r="F2166" s="383"/>
      <c r="G2166" s="154">
        <f>LEN('Expected Auditing Outcomes'!$F2166)</f>
        <v>0</v>
      </c>
      <c r="H2166" s="154"/>
    </row>
    <row r="2167" ht="15.75" hidden="1" customHeight="1">
      <c r="B2167" s="146"/>
      <c r="C2167" s="146">
        <f t="shared" si="5"/>
        <v>10000</v>
      </c>
      <c r="D2167" s="146"/>
      <c r="E2167" s="305"/>
      <c r="F2167" s="383"/>
      <c r="G2167" s="154">
        <f>LEN('Expected Auditing Outcomes'!$F2167)</f>
        <v>0</v>
      </c>
      <c r="H2167" s="154"/>
    </row>
    <row r="2168" ht="15.75" hidden="1" customHeight="1">
      <c r="B2168" s="146"/>
      <c r="C2168" s="146">
        <f t="shared" si="5"/>
        <v>10000</v>
      </c>
      <c r="D2168" s="146"/>
      <c r="E2168" s="305"/>
      <c r="F2168" s="383"/>
      <c r="G2168" s="154">
        <f>LEN('Expected Auditing Outcomes'!$F2168)</f>
        <v>0</v>
      </c>
      <c r="H2168" s="154"/>
    </row>
    <row r="2169" ht="15.75" hidden="1" customHeight="1">
      <c r="B2169" s="146"/>
      <c r="C2169" s="146">
        <f t="shared" si="5"/>
        <v>10000</v>
      </c>
      <c r="D2169" s="146"/>
      <c r="E2169" s="305"/>
      <c r="F2169" s="383"/>
      <c r="G2169" s="154">
        <f>LEN('Expected Auditing Outcomes'!$F2169)</f>
        <v>0</v>
      </c>
      <c r="H2169" s="154"/>
    </row>
    <row r="2170" ht="15.75" hidden="1" customHeight="1">
      <c r="B2170" s="146"/>
      <c r="C2170" s="146">
        <f t="shared" si="5"/>
        <v>10000</v>
      </c>
      <c r="D2170" s="146"/>
      <c r="E2170" s="305"/>
      <c r="F2170" s="383"/>
      <c r="G2170" s="154">
        <f>LEN('Expected Auditing Outcomes'!$F2170)</f>
        <v>0</v>
      </c>
      <c r="H2170" s="154"/>
    </row>
    <row r="2171" ht="15.75" hidden="1" customHeight="1">
      <c r="B2171" s="146"/>
      <c r="C2171" s="146">
        <f t="shared" si="5"/>
        <v>10000</v>
      </c>
      <c r="D2171" s="146"/>
      <c r="E2171" s="305"/>
      <c r="F2171" s="383"/>
      <c r="G2171" s="154">
        <f>LEN('Expected Auditing Outcomes'!$F2171)</f>
        <v>0</v>
      </c>
      <c r="H2171" s="154"/>
    </row>
    <row r="2172" ht="15.75" hidden="1" customHeight="1">
      <c r="B2172" s="146"/>
      <c r="C2172" s="146">
        <f t="shared" si="5"/>
        <v>10000</v>
      </c>
      <c r="D2172" s="146"/>
      <c r="E2172" s="305"/>
      <c r="F2172" s="383"/>
      <c r="G2172" s="154">
        <f>LEN('Expected Auditing Outcomes'!$F2172)</f>
        <v>0</v>
      </c>
      <c r="H2172" s="154"/>
    </row>
    <row r="2173" ht="15.75" hidden="1" customHeight="1">
      <c r="B2173" s="146"/>
      <c r="C2173" s="146">
        <f t="shared" si="5"/>
        <v>10000</v>
      </c>
      <c r="D2173" s="146"/>
      <c r="E2173" s="305"/>
      <c r="F2173" s="383"/>
      <c r="G2173" s="154">
        <f>LEN('Expected Auditing Outcomes'!$F2173)</f>
        <v>0</v>
      </c>
      <c r="H2173" s="154"/>
    </row>
    <row r="2174" ht="15.75" hidden="1" customHeight="1">
      <c r="B2174" s="146"/>
      <c r="C2174" s="146">
        <f t="shared" si="5"/>
        <v>10000</v>
      </c>
      <c r="D2174" s="146"/>
      <c r="E2174" s="305"/>
      <c r="F2174" s="383"/>
      <c r="G2174" s="154">
        <f>LEN('Expected Auditing Outcomes'!$F2174)</f>
        <v>0</v>
      </c>
      <c r="H2174" s="154"/>
    </row>
    <row r="2175" ht="15.75" hidden="1" customHeight="1">
      <c r="B2175" s="146"/>
      <c r="C2175" s="146">
        <f t="shared" si="5"/>
        <v>10000</v>
      </c>
      <c r="D2175" s="146"/>
      <c r="E2175" s="305"/>
      <c r="F2175" s="383"/>
      <c r="G2175" s="154">
        <f>LEN('Expected Auditing Outcomes'!$F2175)</f>
        <v>0</v>
      </c>
      <c r="H2175" s="154"/>
    </row>
    <row r="2176" ht="15.75" hidden="1" customHeight="1">
      <c r="B2176" s="146"/>
      <c r="C2176" s="146">
        <f t="shared" si="5"/>
        <v>10000</v>
      </c>
      <c r="D2176" s="146"/>
      <c r="E2176" s="305"/>
      <c r="F2176" s="383"/>
      <c r="G2176" s="154">
        <f>LEN('Expected Auditing Outcomes'!$F2176)</f>
        <v>0</v>
      </c>
      <c r="H2176" s="154"/>
    </row>
    <row r="2177" ht="15.75" hidden="1" customHeight="1">
      <c r="B2177" s="146"/>
      <c r="C2177" s="146">
        <f t="shared" si="5"/>
        <v>10000</v>
      </c>
      <c r="D2177" s="146"/>
      <c r="E2177" s="305"/>
      <c r="F2177" s="383"/>
      <c r="G2177" s="154">
        <f>LEN('Expected Auditing Outcomes'!$F2177)</f>
        <v>0</v>
      </c>
      <c r="H2177" s="154"/>
    </row>
    <row r="2178" ht="15.75" hidden="1" customHeight="1">
      <c r="B2178" s="146"/>
      <c r="C2178" s="146">
        <f t="shared" si="5"/>
        <v>10000</v>
      </c>
      <c r="D2178" s="146"/>
      <c r="E2178" s="305"/>
      <c r="F2178" s="383"/>
      <c r="G2178" s="154">
        <f>LEN('Expected Auditing Outcomes'!$F2178)</f>
        <v>0</v>
      </c>
      <c r="H2178" s="154"/>
    </row>
    <row r="2179" ht="15.75" hidden="1" customHeight="1">
      <c r="B2179" s="146"/>
      <c r="C2179" s="146">
        <f t="shared" si="5"/>
        <v>10000</v>
      </c>
      <c r="D2179" s="146"/>
      <c r="E2179" s="305"/>
      <c r="F2179" s="383"/>
      <c r="G2179" s="154">
        <f>LEN('Expected Auditing Outcomes'!$F2179)</f>
        <v>0</v>
      </c>
      <c r="H2179" s="154"/>
    </row>
    <row r="2180" ht="15.75" hidden="1" customHeight="1">
      <c r="B2180" s="146"/>
      <c r="C2180" s="146">
        <f t="shared" si="5"/>
        <v>10000</v>
      </c>
      <c r="D2180" s="146"/>
      <c r="E2180" s="305"/>
      <c r="F2180" s="383"/>
      <c r="G2180" s="154">
        <f>LEN('Expected Auditing Outcomes'!$F2180)</f>
        <v>0</v>
      </c>
      <c r="H2180" s="154"/>
    </row>
    <row r="2181" ht="15.75" hidden="1" customHeight="1">
      <c r="B2181" s="146"/>
      <c r="C2181" s="146">
        <f t="shared" si="5"/>
        <v>10000</v>
      </c>
      <c r="D2181" s="146"/>
      <c r="E2181" s="305"/>
      <c r="F2181" s="383"/>
      <c r="G2181" s="154">
        <f>LEN('Expected Auditing Outcomes'!$F2181)</f>
        <v>0</v>
      </c>
      <c r="H2181" s="154"/>
    </row>
    <row r="2182" ht="15.75" hidden="1" customHeight="1">
      <c r="B2182" s="146"/>
      <c r="C2182" s="146">
        <f t="shared" si="5"/>
        <v>10000</v>
      </c>
      <c r="D2182" s="146"/>
      <c r="E2182" s="305"/>
      <c r="F2182" s="383"/>
      <c r="G2182" s="154">
        <f>LEN('Expected Auditing Outcomes'!$F2182)</f>
        <v>0</v>
      </c>
      <c r="H2182" s="154"/>
    </row>
    <row r="2183" ht="15.75" hidden="1" customHeight="1">
      <c r="B2183" s="146"/>
      <c r="C2183" s="146">
        <f t="shared" si="5"/>
        <v>10000</v>
      </c>
      <c r="D2183" s="146"/>
      <c r="E2183" s="305"/>
      <c r="F2183" s="383"/>
      <c r="G2183" s="154">
        <f>LEN('Expected Auditing Outcomes'!$F2183)</f>
        <v>0</v>
      </c>
      <c r="H2183" s="154"/>
    </row>
    <row r="2184" ht="15.75" hidden="1" customHeight="1">
      <c r="B2184" s="146"/>
      <c r="C2184" s="146">
        <f t="shared" si="5"/>
        <v>10000</v>
      </c>
      <c r="D2184" s="146"/>
      <c r="E2184" s="305"/>
      <c r="F2184" s="383"/>
      <c r="G2184" s="154">
        <f>LEN('Expected Auditing Outcomes'!$F2184)</f>
        <v>0</v>
      </c>
      <c r="H2184" s="154"/>
    </row>
    <row r="2185" ht="15.75" hidden="1" customHeight="1">
      <c r="B2185" s="146"/>
      <c r="C2185" s="146">
        <f t="shared" si="5"/>
        <v>10000</v>
      </c>
      <c r="D2185" s="146"/>
      <c r="E2185" s="305"/>
      <c r="F2185" s="383"/>
      <c r="G2185" s="154">
        <f>LEN('Expected Auditing Outcomes'!$F2185)</f>
        <v>0</v>
      </c>
      <c r="H2185" s="154"/>
    </row>
    <row r="2186" ht="15.75" hidden="1" customHeight="1">
      <c r="B2186" s="146"/>
      <c r="C2186" s="146">
        <f t="shared" si="5"/>
        <v>10000</v>
      </c>
      <c r="D2186" s="146"/>
      <c r="E2186" s="305"/>
      <c r="F2186" s="383"/>
      <c r="G2186" s="154">
        <f>LEN('Expected Auditing Outcomes'!$F2186)</f>
        <v>0</v>
      </c>
      <c r="H2186" s="154"/>
    </row>
    <row r="2187" ht="15.75" hidden="1" customHeight="1">
      <c r="B2187" s="146"/>
      <c r="C2187" s="146">
        <f t="shared" si="5"/>
        <v>10000</v>
      </c>
      <c r="D2187" s="146"/>
      <c r="E2187" s="305"/>
      <c r="F2187" s="383"/>
      <c r="G2187" s="154">
        <f>LEN('Expected Auditing Outcomes'!$F2187)</f>
        <v>0</v>
      </c>
      <c r="H2187" s="154"/>
    </row>
    <row r="2188" ht="15.75" hidden="1" customHeight="1">
      <c r="B2188" s="146"/>
      <c r="C2188" s="146">
        <f t="shared" si="5"/>
        <v>10000</v>
      </c>
      <c r="D2188" s="146"/>
      <c r="E2188" s="305"/>
      <c r="F2188" s="383"/>
      <c r="G2188" s="154">
        <f>LEN('Expected Auditing Outcomes'!$F2188)</f>
        <v>0</v>
      </c>
      <c r="H2188" s="154"/>
    </row>
    <row r="2189" ht="15.75" hidden="1" customHeight="1">
      <c r="B2189" s="146"/>
      <c r="C2189" s="146">
        <f t="shared" si="5"/>
        <v>10000</v>
      </c>
      <c r="D2189" s="146"/>
      <c r="E2189" s="305"/>
      <c r="F2189" s="383"/>
      <c r="G2189" s="154">
        <f>LEN('Expected Auditing Outcomes'!$F2189)</f>
        <v>0</v>
      </c>
      <c r="H2189" s="154"/>
    </row>
    <row r="2190" ht="15.75" hidden="1" customHeight="1">
      <c r="B2190" s="146"/>
      <c r="C2190" s="146">
        <f t="shared" si="5"/>
        <v>10000</v>
      </c>
      <c r="D2190" s="146"/>
      <c r="E2190" s="305"/>
      <c r="F2190" s="383"/>
      <c r="G2190" s="154">
        <f>LEN('Expected Auditing Outcomes'!$F2190)</f>
        <v>0</v>
      </c>
      <c r="H2190" s="154"/>
    </row>
    <row r="2191" ht="15.75" hidden="1" customHeight="1">
      <c r="B2191" s="146"/>
      <c r="C2191" s="146">
        <f t="shared" si="5"/>
        <v>10000</v>
      </c>
      <c r="D2191" s="146"/>
      <c r="E2191" s="305"/>
      <c r="F2191" s="383"/>
      <c r="G2191" s="154">
        <f>LEN('Expected Auditing Outcomes'!$F2191)</f>
        <v>0</v>
      </c>
      <c r="H2191" s="154"/>
    </row>
    <row r="2192" ht="15.75" hidden="1" customHeight="1">
      <c r="B2192" s="146"/>
      <c r="C2192" s="146">
        <f t="shared" si="5"/>
        <v>10000</v>
      </c>
      <c r="D2192" s="146"/>
      <c r="E2192" s="305"/>
      <c r="F2192" s="383"/>
      <c r="G2192" s="154">
        <f>LEN('Expected Auditing Outcomes'!$F2192)</f>
        <v>0</v>
      </c>
      <c r="H2192" s="154"/>
    </row>
    <row r="2193" ht="15.75" hidden="1" customHeight="1">
      <c r="B2193" s="146"/>
      <c r="C2193" s="146">
        <f t="shared" si="5"/>
        <v>10000</v>
      </c>
      <c r="D2193" s="146"/>
      <c r="E2193" s="305"/>
      <c r="F2193" s="383"/>
      <c r="G2193" s="154">
        <f>LEN('Expected Auditing Outcomes'!$F2193)</f>
        <v>0</v>
      </c>
      <c r="H2193" s="154"/>
    </row>
    <row r="2194" ht="15.75" hidden="1" customHeight="1">
      <c r="B2194" s="146"/>
      <c r="C2194" s="146">
        <f t="shared" si="5"/>
        <v>10000</v>
      </c>
      <c r="D2194" s="146"/>
      <c r="E2194" s="305"/>
      <c r="F2194" s="383"/>
      <c r="G2194" s="154">
        <f>LEN('Expected Auditing Outcomes'!$F2194)</f>
        <v>0</v>
      </c>
      <c r="H2194" s="154"/>
    </row>
    <row r="2195" ht="15.75" hidden="1" customHeight="1">
      <c r="B2195" s="146"/>
      <c r="C2195" s="146">
        <f t="shared" si="5"/>
        <v>10000</v>
      </c>
      <c r="D2195" s="146"/>
      <c r="E2195" s="305"/>
      <c r="F2195" s="383"/>
      <c r="G2195" s="154">
        <f>LEN('Expected Auditing Outcomes'!$F2195)</f>
        <v>0</v>
      </c>
      <c r="H2195" s="154"/>
    </row>
    <row r="2196" ht="15.75" hidden="1" customHeight="1">
      <c r="B2196" s="146"/>
      <c r="C2196" s="146">
        <f t="shared" si="5"/>
        <v>10000</v>
      </c>
      <c r="D2196" s="146"/>
      <c r="E2196" s="305"/>
      <c r="F2196" s="383"/>
      <c r="G2196" s="154">
        <f>LEN('Expected Auditing Outcomes'!$F2196)</f>
        <v>0</v>
      </c>
      <c r="H2196" s="154"/>
    </row>
    <row r="2197" ht="15.75" hidden="1" customHeight="1">
      <c r="B2197" s="146"/>
      <c r="C2197" s="146">
        <f t="shared" si="5"/>
        <v>10000</v>
      </c>
      <c r="D2197" s="146"/>
      <c r="E2197" s="305"/>
      <c r="F2197" s="383"/>
      <c r="G2197" s="154">
        <f>LEN('Expected Auditing Outcomes'!$F2197)</f>
        <v>0</v>
      </c>
      <c r="H2197" s="154"/>
    </row>
    <row r="2198" ht="15.75" hidden="1" customHeight="1">
      <c r="B2198" s="146"/>
      <c r="C2198" s="146">
        <f t="shared" si="5"/>
        <v>10000</v>
      </c>
      <c r="D2198" s="146"/>
      <c r="E2198" s="305"/>
      <c r="F2198" s="383"/>
      <c r="G2198" s="154">
        <f>LEN('Expected Auditing Outcomes'!$F2198)</f>
        <v>0</v>
      </c>
      <c r="H2198" s="154"/>
    </row>
    <row r="2199" ht="15.75" hidden="1" customHeight="1">
      <c r="B2199" s="146"/>
      <c r="C2199" s="146">
        <f t="shared" si="5"/>
        <v>10000</v>
      </c>
      <c r="D2199" s="146"/>
      <c r="E2199" s="305"/>
      <c r="F2199" s="383"/>
      <c r="G2199" s="154">
        <f>LEN('Expected Auditing Outcomes'!$F2199)</f>
        <v>0</v>
      </c>
      <c r="H2199" s="154"/>
    </row>
    <row r="2200" ht="15.75" hidden="1" customHeight="1">
      <c r="B2200" s="146"/>
      <c r="C2200" s="146">
        <f t="shared" si="5"/>
        <v>10000</v>
      </c>
      <c r="D2200" s="146"/>
      <c r="E2200" s="305"/>
      <c r="F2200" s="383"/>
      <c r="G2200" s="154">
        <f>LEN('Expected Auditing Outcomes'!$F2200)</f>
        <v>0</v>
      </c>
      <c r="H2200" s="154"/>
    </row>
    <row r="2201" ht="15.75" hidden="1" customHeight="1">
      <c r="B2201" s="146"/>
      <c r="C2201" s="146">
        <f t="shared" si="5"/>
        <v>10000</v>
      </c>
      <c r="D2201" s="146"/>
      <c r="E2201" s="305"/>
      <c r="F2201" s="383"/>
      <c r="G2201" s="154">
        <f>LEN('Expected Auditing Outcomes'!$F2201)</f>
        <v>0</v>
      </c>
      <c r="H2201" s="154"/>
    </row>
    <row r="2202" ht="15.75" hidden="1" customHeight="1">
      <c r="B2202" s="146"/>
      <c r="C2202" s="146">
        <f t="shared" si="5"/>
        <v>10000</v>
      </c>
      <c r="D2202" s="146"/>
      <c r="E2202" s="305"/>
      <c r="F2202" s="383"/>
      <c r="G2202" s="154">
        <f>LEN('Expected Auditing Outcomes'!$F2202)</f>
        <v>0</v>
      </c>
      <c r="H2202" s="154"/>
    </row>
    <row r="2203" ht="15.75" hidden="1" customHeight="1">
      <c r="B2203" s="146"/>
      <c r="C2203" s="146">
        <f t="shared" si="5"/>
        <v>10000</v>
      </c>
      <c r="D2203" s="146"/>
      <c r="E2203" s="305"/>
      <c r="F2203" s="383"/>
      <c r="G2203" s="154">
        <f>LEN('Expected Auditing Outcomes'!$F2203)</f>
        <v>0</v>
      </c>
      <c r="H2203" s="154"/>
    </row>
    <row r="2204" ht="15.75" hidden="1" customHeight="1">
      <c r="B2204" s="146"/>
      <c r="C2204" s="146">
        <f t="shared" si="5"/>
        <v>10000</v>
      </c>
      <c r="D2204" s="146"/>
      <c r="E2204" s="305"/>
      <c r="F2204" s="383"/>
      <c r="G2204" s="154">
        <f>LEN('Expected Auditing Outcomes'!$F2204)</f>
        <v>0</v>
      </c>
      <c r="H2204" s="154"/>
    </row>
    <row r="2205" ht="15.75" hidden="1" customHeight="1">
      <c r="B2205" s="146"/>
      <c r="C2205" s="146">
        <f t="shared" si="5"/>
        <v>10000</v>
      </c>
      <c r="D2205" s="146"/>
      <c r="E2205" s="305"/>
      <c r="F2205" s="383"/>
      <c r="G2205" s="154">
        <f>LEN('Expected Auditing Outcomes'!$F2205)</f>
        <v>0</v>
      </c>
      <c r="H2205" s="154"/>
    </row>
    <row r="2206" ht="15.75" hidden="1" customHeight="1">
      <c r="B2206" s="146"/>
      <c r="C2206" s="146">
        <f t="shared" si="5"/>
        <v>10000</v>
      </c>
      <c r="D2206" s="146"/>
      <c r="E2206" s="305"/>
      <c r="F2206" s="383"/>
      <c r="G2206" s="154">
        <f>LEN('Expected Auditing Outcomes'!$F2206)</f>
        <v>0</v>
      </c>
      <c r="H2206" s="154"/>
    </row>
    <row r="2207" ht="15.75" hidden="1" customHeight="1">
      <c r="B2207" s="146"/>
      <c r="C2207" s="146">
        <f t="shared" si="5"/>
        <v>10000</v>
      </c>
      <c r="D2207" s="146"/>
      <c r="E2207" s="305"/>
      <c r="F2207" s="383"/>
      <c r="G2207" s="154">
        <f>LEN('Expected Auditing Outcomes'!$F2207)</f>
        <v>0</v>
      </c>
      <c r="H2207" s="154"/>
    </row>
    <row r="2208" ht="15.75" hidden="1" customHeight="1">
      <c r="B2208" s="146"/>
      <c r="C2208" s="146">
        <f t="shared" si="5"/>
        <v>10000</v>
      </c>
      <c r="D2208" s="146"/>
      <c r="E2208" s="305"/>
      <c r="F2208" s="383"/>
      <c r="G2208" s="154">
        <f>LEN('Expected Auditing Outcomes'!$F2208)</f>
        <v>0</v>
      </c>
      <c r="H2208" s="154"/>
    </row>
    <row r="2209" ht="15.75" hidden="1" customHeight="1">
      <c r="B2209" s="146"/>
      <c r="C2209" s="146">
        <f t="shared" si="5"/>
        <v>10000</v>
      </c>
      <c r="D2209" s="146"/>
      <c r="E2209" s="305"/>
      <c r="F2209" s="383"/>
      <c r="G2209" s="154">
        <f>LEN('Expected Auditing Outcomes'!$F2209)</f>
        <v>0</v>
      </c>
      <c r="H2209" s="154"/>
    </row>
    <row r="2210" ht="15.75" hidden="1" customHeight="1">
      <c r="B2210" s="146"/>
      <c r="C2210" s="146">
        <f t="shared" si="5"/>
        <v>10000</v>
      </c>
      <c r="D2210" s="146"/>
      <c r="E2210" s="305"/>
      <c r="F2210" s="383"/>
      <c r="G2210" s="154">
        <f>LEN('Expected Auditing Outcomes'!$F2210)</f>
        <v>0</v>
      </c>
      <c r="H2210" s="154"/>
    </row>
    <row r="2211" ht="15.75" hidden="1" customHeight="1">
      <c r="B2211" s="146"/>
      <c r="C2211" s="146">
        <f t="shared" si="5"/>
        <v>10000</v>
      </c>
      <c r="D2211" s="146"/>
      <c r="E2211" s="305"/>
      <c r="F2211" s="383"/>
      <c r="G2211" s="154">
        <f>LEN('Expected Auditing Outcomes'!$F2211)</f>
        <v>0</v>
      </c>
      <c r="H2211" s="154"/>
    </row>
    <row r="2212" ht="15.75" hidden="1" customHeight="1">
      <c r="B2212" s="146"/>
      <c r="C2212" s="146">
        <f t="shared" si="5"/>
        <v>10000</v>
      </c>
      <c r="D2212" s="146"/>
      <c r="E2212" s="305"/>
      <c r="F2212" s="383"/>
      <c r="G2212" s="154">
        <f>LEN('Expected Auditing Outcomes'!$F2212)</f>
        <v>0</v>
      </c>
      <c r="H2212" s="154"/>
    </row>
    <row r="2213" ht="15.75" hidden="1" customHeight="1">
      <c r="B2213" s="146"/>
      <c r="C2213" s="146">
        <f t="shared" si="5"/>
        <v>10000</v>
      </c>
      <c r="D2213" s="146"/>
      <c r="E2213" s="305"/>
      <c r="F2213" s="383"/>
      <c r="G2213" s="154">
        <f>LEN('Expected Auditing Outcomes'!$F2213)</f>
        <v>0</v>
      </c>
      <c r="H2213" s="154"/>
    </row>
    <row r="2214" ht="15.75" hidden="1" customHeight="1">
      <c r="B2214" s="146"/>
      <c r="C2214" s="146">
        <f t="shared" si="5"/>
        <v>10000</v>
      </c>
      <c r="D2214" s="146"/>
      <c r="E2214" s="305"/>
      <c r="F2214" s="383"/>
      <c r="G2214" s="154">
        <f>LEN('Expected Auditing Outcomes'!$F2214)</f>
        <v>0</v>
      </c>
      <c r="H2214" s="154"/>
    </row>
    <row r="2215" ht="15.75" hidden="1" customHeight="1">
      <c r="B2215" s="146"/>
      <c r="C2215" s="146">
        <f t="shared" si="5"/>
        <v>10000</v>
      </c>
      <c r="D2215" s="146"/>
      <c r="E2215" s="305"/>
      <c r="F2215" s="383"/>
      <c r="G2215" s="154">
        <f>LEN('Expected Auditing Outcomes'!$F2215)</f>
        <v>0</v>
      </c>
      <c r="H2215" s="154"/>
    </row>
    <row r="2216" ht="15.75" hidden="1" customHeight="1">
      <c r="B2216" s="146"/>
      <c r="C2216" s="146">
        <f t="shared" si="5"/>
        <v>10000</v>
      </c>
      <c r="D2216" s="146"/>
      <c r="E2216" s="305"/>
      <c r="F2216" s="383"/>
      <c r="G2216" s="154">
        <f>LEN('Expected Auditing Outcomes'!$F2216)</f>
        <v>0</v>
      </c>
      <c r="H2216" s="154"/>
    </row>
    <row r="2217" ht="15.75" hidden="1" customHeight="1">
      <c r="B2217" s="146"/>
      <c r="C2217" s="146">
        <f t="shared" si="5"/>
        <v>10000</v>
      </c>
      <c r="D2217" s="146"/>
      <c r="E2217" s="305"/>
      <c r="F2217" s="383"/>
      <c r="G2217" s="154">
        <f>LEN('Expected Auditing Outcomes'!$F2217)</f>
        <v>0</v>
      </c>
      <c r="H2217" s="154"/>
    </row>
    <row r="2218" ht="15.75" hidden="1" customHeight="1">
      <c r="B2218" s="146"/>
      <c r="C2218" s="146">
        <f t="shared" si="5"/>
        <v>10000</v>
      </c>
      <c r="D2218" s="146"/>
      <c r="E2218" s="305"/>
      <c r="F2218" s="383"/>
      <c r="G2218" s="154">
        <f>LEN('Expected Auditing Outcomes'!$F2218)</f>
        <v>0</v>
      </c>
      <c r="H2218" s="154"/>
    </row>
    <row r="2219" ht="15.75" hidden="1" customHeight="1">
      <c r="B2219" s="146"/>
      <c r="C2219" s="146">
        <f t="shared" si="5"/>
        <v>10000</v>
      </c>
      <c r="D2219" s="146"/>
      <c r="E2219" s="305"/>
      <c r="F2219" s="383"/>
      <c r="G2219" s="154">
        <f>LEN('Expected Auditing Outcomes'!$F2219)</f>
        <v>0</v>
      </c>
      <c r="H2219" s="154"/>
    </row>
    <row r="2220" ht="15.75" hidden="1" customHeight="1">
      <c r="B2220" s="146"/>
      <c r="C2220" s="146">
        <f t="shared" si="5"/>
        <v>10000</v>
      </c>
      <c r="D2220" s="146"/>
      <c r="E2220" s="305"/>
      <c r="F2220" s="383"/>
      <c r="G2220" s="154">
        <f>LEN('Expected Auditing Outcomes'!$F2220)</f>
        <v>0</v>
      </c>
      <c r="H2220" s="154"/>
    </row>
    <row r="2221" ht="15.75" hidden="1" customHeight="1">
      <c r="B2221" s="146"/>
      <c r="C2221" s="146">
        <f t="shared" si="5"/>
        <v>10000</v>
      </c>
      <c r="D2221" s="146"/>
      <c r="E2221" s="305"/>
      <c r="F2221" s="383"/>
      <c r="G2221" s="154">
        <f>LEN('Expected Auditing Outcomes'!$F2221)</f>
        <v>0</v>
      </c>
      <c r="H2221" s="154"/>
    </row>
    <row r="2222" ht="15.75" hidden="1" customHeight="1">
      <c r="B2222" s="146"/>
      <c r="C2222" s="146">
        <f t="shared" si="5"/>
        <v>10000</v>
      </c>
      <c r="D2222" s="146"/>
      <c r="E2222" s="305"/>
      <c r="F2222" s="383"/>
      <c r="G2222" s="154">
        <f>LEN('Expected Auditing Outcomes'!$F2222)</f>
        <v>0</v>
      </c>
      <c r="H2222" s="154"/>
    </row>
    <row r="2223" ht="15.75" hidden="1" customHeight="1">
      <c r="B2223" s="146"/>
      <c r="C2223" s="146">
        <f t="shared" si="5"/>
        <v>10000</v>
      </c>
      <c r="D2223" s="146"/>
      <c r="E2223" s="305"/>
      <c r="F2223" s="383"/>
      <c r="G2223" s="154">
        <f>LEN('Expected Auditing Outcomes'!$F2223)</f>
        <v>0</v>
      </c>
      <c r="H2223" s="154"/>
    </row>
    <row r="2224" ht="15.75" hidden="1" customHeight="1">
      <c r="B2224" s="146"/>
      <c r="C2224" s="146">
        <f t="shared" si="5"/>
        <v>10000</v>
      </c>
      <c r="D2224" s="146"/>
      <c r="E2224" s="305"/>
      <c r="F2224" s="383"/>
      <c r="G2224" s="154">
        <f>LEN('Expected Auditing Outcomes'!$F2224)</f>
        <v>0</v>
      </c>
      <c r="H2224" s="154"/>
    </row>
    <row r="2225" ht="15.75" hidden="1" customHeight="1">
      <c r="B2225" s="146"/>
      <c r="C2225" s="146">
        <f t="shared" si="5"/>
        <v>10000</v>
      </c>
      <c r="D2225" s="146"/>
      <c r="E2225" s="305"/>
      <c r="F2225" s="383"/>
      <c r="G2225" s="154">
        <f>LEN('Expected Auditing Outcomes'!$F2225)</f>
        <v>0</v>
      </c>
      <c r="H2225" s="154"/>
    </row>
    <row r="2226" ht="15.75" hidden="1" customHeight="1">
      <c r="B2226" s="146"/>
      <c r="C2226" s="146">
        <f t="shared" si="5"/>
        <v>10000</v>
      </c>
      <c r="D2226" s="146"/>
      <c r="E2226" s="305"/>
      <c r="F2226" s="383"/>
      <c r="G2226" s="154">
        <f>LEN('Expected Auditing Outcomes'!$F2226)</f>
        <v>0</v>
      </c>
      <c r="H2226" s="154"/>
    </row>
    <row r="2227" ht="15.75" hidden="1" customHeight="1">
      <c r="B2227" s="146"/>
      <c r="C2227" s="146">
        <f t="shared" si="5"/>
        <v>10000</v>
      </c>
      <c r="D2227" s="146"/>
      <c r="E2227" s="305"/>
      <c r="F2227" s="383"/>
      <c r="G2227" s="154">
        <f>LEN('Expected Auditing Outcomes'!$F2227)</f>
        <v>0</v>
      </c>
      <c r="H2227" s="154"/>
    </row>
    <row r="2228" ht="15.75" hidden="1" customHeight="1">
      <c r="B2228" s="146"/>
      <c r="C2228" s="146">
        <f t="shared" si="5"/>
        <v>10000</v>
      </c>
      <c r="D2228" s="146"/>
      <c r="E2228" s="305"/>
      <c r="F2228" s="383"/>
      <c r="G2228" s="154">
        <f>LEN('Expected Auditing Outcomes'!$F2228)</f>
        <v>0</v>
      </c>
      <c r="H2228" s="154"/>
    </row>
    <row r="2229" ht="15.75" hidden="1" customHeight="1">
      <c r="B2229" s="146"/>
      <c r="C2229" s="146">
        <f t="shared" si="5"/>
        <v>10000</v>
      </c>
      <c r="D2229" s="146"/>
      <c r="E2229" s="305"/>
      <c r="F2229" s="383"/>
      <c r="G2229" s="154">
        <f>LEN('Expected Auditing Outcomes'!$F2229)</f>
        <v>0</v>
      </c>
      <c r="H2229" s="154"/>
    </row>
    <row r="2230" ht="15.75" hidden="1" customHeight="1">
      <c r="B2230" s="146"/>
      <c r="C2230" s="146">
        <f t="shared" si="5"/>
        <v>10000</v>
      </c>
      <c r="D2230" s="146"/>
      <c r="E2230" s="305"/>
      <c r="F2230" s="383"/>
      <c r="G2230" s="154">
        <f>LEN('Expected Auditing Outcomes'!$F2230)</f>
        <v>0</v>
      </c>
      <c r="H2230" s="154"/>
    </row>
    <row r="2231" ht="15.75" hidden="1" customHeight="1">
      <c r="B2231" s="146"/>
      <c r="C2231" s="146">
        <f t="shared" si="5"/>
        <v>10000</v>
      </c>
      <c r="D2231" s="146"/>
      <c r="E2231" s="305"/>
      <c r="F2231" s="383"/>
      <c r="G2231" s="154">
        <f>LEN('Expected Auditing Outcomes'!$F2231)</f>
        <v>0</v>
      </c>
      <c r="H2231" s="154"/>
    </row>
    <row r="2232" ht="15.75" hidden="1" customHeight="1">
      <c r="B2232" s="146"/>
      <c r="C2232" s="146">
        <f t="shared" si="5"/>
        <v>10000</v>
      </c>
      <c r="D2232" s="146"/>
      <c r="E2232" s="305"/>
      <c r="F2232" s="383"/>
      <c r="G2232" s="154">
        <f>LEN('Expected Auditing Outcomes'!$F2232)</f>
        <v>0</v>
      </c>
      <c r="H2232" s="154"/>
    </row>
    <row r="2233" ht="15.75" hidden="1" customHeight="1">
      <c r="B2233" s="146"/>
      <c r="C2233" s="146">
        <f t="shared" si="5"/>
        <v>10000</v>
      </c>
      <c r="D2233" s="146"/>
      <c r="E2233" s="305"/>
      <c r="F2233" s="383"/>
      <c r="G2233" s="154">
        <f>LEN('Expected Auditing Outcomes'!$F2233)</f>
        <v>0</v>
      </c>
      <c r="H2233" s="154"/>
    </row>
    <row r="2234" ht="15.75" hidden="1" customHeight="1">
      <c r="B2234" s="146"/>
      <c r="C2234" s="146">
        <f t="shared" si="5"/>
        <v>10000</v>
      </c>
      <c r="D2234" s="146"/>
      <c r="E2234" s="305"/>
      <c r="F2234" s="383"/>
      <c r="G2234" s="154">
        <f>LEN('Expected Auditing Outcomes'!$F2234)</f>
        <v>0</v>
      </c>
      <c r="H2234" s="154"/>
    </row>
    <row r="2235" ht="15.75" hidden="1" customHeight="1">
      <c r="B2235" s="146"/>
      <c r="C2235" s="146">
        <f t="shared" si="5"/>
        <v>10000</v>
      </c>
      <c r="D2235" s="146"/>
      <c r="E2235" s="305"/>
      <c r="F2235" s="383"/>
      <c r="G2235" s="154">
        <f>LEN('Expected Auditing Outcomes'!$F2235)</f>
        <v>0</v>
      </c>
      <c r="H2235" s="154"/>
    </row>
    <row r="2236" ht="15.75" hidden="1" customHeight="1">
      <c r="B2236" s="146"/>
      <c r="C2236" s="146">
        <f t="shared" si="5"/>
        <v>10000</v>
      </c>
      <c r="D2236" s="146"/>
      <c r="E2236" s="305"/>
      <c r="F2236" s="383"/>
      <c r="G2236" s="154">
        <f>LEN('Expected Auditing Outcomes'!$F2236)</f>
        <v>0</v>
      </c>
      <c r="H2236" s="154"/>
    </row>
    <row r="2237" ht="15.75" hidden="1" customHeight="1">
      <c r="B2237" s="146"/>
      <c r="C2237" s="146">
        <f t="shared" si="5"/>
        <v>10000</v>
      </c>
      <c r="D2237" s="146"/>
      <c r="E2237" s="305"/>
      <c r="F2237" s="383"/>
      <c r="G2237" s="154">
        <f>LEN('Expected Auditing Outcomes'!$F2237)</f>
        <v>0</v>
      </c>
      <c r="H2237" s="154"/>
    </row>
    <row r="2238" ht="15.75" hidden="1" customHeight="1">
      <c r="B2238" s="146"/>
      <c r="C2238" s="146">
        <f t="shared" si="5"/>
        <v>10000</v>
      </c>
      <c r="D2238" s="146"/>
      <c r="E2238" s="305"/>
      <c r="F2238" s="383"/>
      <c r="G2238" s="154">
        <f>LEN('Expected Auditing Outcomes'!$F2238)</f>
        <v>0</v>
      </c>
      <c r="H2238" s="154"/>
    </row>
    <row r="2239" ht="15.75" hidden="1" customHeight="1">
      <c r="B2239" s="146"/>
      <c r="C2239" s="146">
        <f t="shared" si="5"/>
        <v>10000</v>
      </c>
      <c r="D2239" s="146"/>
      <c r="E2239" s="305"/>
      <c r="F2239" s="383"/>
      <c r="G2239" s="154">
        <f>LEN('Expected Auditing Outcomes'!$F2239)</f>
        <v>0</v>
      </c>
      <c r="H2239" s="154"/>
    </row>
    <row r="2240" ht="15.75" hidden="1" customHeight="1">
      <c r="B2240" s="146"/>
      <c r="C2240" s="146">
        <f t="shared" si="5"/>
        <v>10000</v>
      </c>
      <c r="D2240" s="146"/>
      <c r="E2240" s="305"/>
      <c r="F2240" s="383"/>
      <c r="G2240" s="154">
        <f>LEN('Expected Auditing Outcomes'!$F2240)</f>
        <v>0</v>
      </c>
      <c r="H2240" s="154"/>
    </row>
    <row r="2241" ht="15.75" hidden="1" customHeight="1">
      <c r="B2241" s="146"/>
      <c r="C2241" s="146">
        <f t="shared" si="5"/>
        <v>10000</v>
      </c>
      <c r="D2241" s="146"/>
      <c r="E2241" s="305"/>
      <c r="F2241" s="383"/>
      <c r="G2241" s="154">
        <f>LEN('Expected Auditing Outcomes'!$F2241)</f>
        <v>0</v>
      </c>
      <c r="H2241" s="154"/>
    </row>
    <row r="2242" ht="15.75" hidden="1" customHeight="1">
      <c r="B2242" s="146"/>
      <c r="C2242" s="146">
        <f t="shared" si="5"/>
        <v>10000</v>
      </c>
      <c r="D2242" s="146"/>
      <c r="E2242" s="305"/>
      <c r="F2242" s="383"/>
      <c r="G2242" s="154">
        <f>LEN('Expected Auditing Outcomes'!$F2242)</f>
        <v>0</v>
      </c>
      <c r="H2242" s="154"/>
    </row>
    <row r="2243" ht="15.75" hidden="1" customHeight="1">
      <c r="B2243" s="146"/>
      <c r="C2243" s="146">
        <f t="shared" si="5"/>
        <v>10000</v>
      </c>
      <c r="D2243" s="146"/>
      <c r="E2243" s="305"/>
      <c r="F2243" s="383"/>
      <c r="G2243" s="154">
        <f>LEN('Expected Auditing Outcomes'!$F2243)</f>
        <v>0</v>
      </c>
      <c r="H2243" s="154"/>
    </row>
    <row r="2244" ht="15.75" hidden="1" customHeight="1">
      <c r="B2244" s="146"/>
      <c r="C2244" s="146">
        <f t="shared" si="5"/>
        <v>10000</v>
      </c>
      <c r="D2244" s="146"/>
      <c r="E2244" s="305"/>
      <c r="F2244" s="383"/>
      <c r="G2244" s="154">
        <f>LEN('Expected Auditing Outcomes'!$F2244)</f>
        <v>0</v>
      </c>
      <c r="H2244" s="154"/>
    </row>
    <row r="2245" ht="15.75" hidden="1" customHeight="1">
      <c r="B2245" s="146"/>
      <c r="C2245" s="146">
        <f t="shared" si="5"/>
        <v>10000</v>
      </c>
      <c r="D2245" s="146"/>
      <c r="E2245" s="305"/>
      <c r="F2245" s="383"/>
      <c r="G2245" s="154">
        <f>LEN('Expected Auditing Outcomes'!$F2245)</f>
        <v>0</v>
      </c>
      <c r="H2245" s="154"/>
    </row>
    <row r="2246" ht="15.75" hidden="1" customHeight="1">
      <c r="B2246" s="146"/>
      <c r="C2246" s="146">
        <f t="shared" si="5"/>
        <v>10000</v>
      </c>
      <c r="D2246" s="146"/>
      <c r="E2246" s="305"/>
      <c r="F2246" s="383"/>
      <c r="G2246" s="154">
        <f>LEN('Expected Auditing Outcomes'!$F2246)</f>
        <v>0</v>
      </c>
      <c r="H2246" s="154"/>
    </row>
    <row r="2247" ht="15.75" hidden="1" customHeight="1">
      <c r="B2247" s="146"/>
      <c r="C2247" s="146">
        <f t="shared" si="5"/>
        <v>10000</v>
      </c>
      <c r="D2247" s="146"/>
      <c r="E2247" s="305"/>
      <c r="F2247" s="383"/>
      <c r="G2247" s="154">
        <f>LEN('Expected Auditing Outcomes'!$F2247)</f>
        <v>0</v>
      </c>
      <c r="H2247" s="154"/>
    </row>
    <row r="2248" ht="15.75" hidden="1" customHeight="1">
      <c r="B2248" s="146"/>
      <c r="C2248" s="146">
        <f t="shared" si="5"/>
        <v>10000</v>
      </c>
      <c r="D2248" s="146"/>
      <c r="E2248" s="305"/>
      <c r="F2248" s="383"/>
      <c r="G2248" s="154">
        <f>LEN('Expected Auditing Outcomes'!$F2248)</f>
        <v>0</v>
      </c>
      <c r="H2248" s="154"/>
    </row>
    <row r="2249" ht="15.75" hidden="1" customHeight="1">
      <c r="B2249" s="146"/>
      <c r="C2249" s="146">
        <f t="shared" si="5"/>
        <v>10000</v>
      </c>
      <c r="D2249" s="146"/>
      <c r="E2249" s="305"/>
      <c r="F2249" s="383"/>
      <c r="G2249" s="154">
        <f>LEN('Expected Auditing Outcomes'!$F2249)</f>
        <v>0</v>
      </c>
      <c r="H2249" s="154"/>
    </row>
    <row r="2250" ht="15.75" hidden="1" customHeight="1">
      <c r="B2250" s="146"/>
      <c r="C2250" s="146">
        <f t="shared" si="5"/>
        <v>10000</v>
      </c>
      <c r="D2250" s="146"/>
      <c r="E2250" s="305"/>
      <c r="F2250" s="383"/>
      <c r="G2250" s="154">
        <f>LEN('Expected Auditing Outcomes'!$F2250)</f>
        <v>0</v>
      </c>
      <c r="H2250" s="154"/>
    </row>
    <row r="2251" ht="15.75" hidden="1" customHeight="1">
      <c r="B2251" s="146"/>
      <c r="C2251" s="146">
        <f t="shared" si="5"/>
        <v>10000</v>
      </c>
      <c r="D2251" s="146"/>
      <c r="E2251" s="305"/>
      <c r="F2251" s="383"/>
      <c r="G2251" s="154">
        <f>LEN('Expected Auditing Outcomes'!$F2251)</f>
        <v>0</v>
      </c>
      <c r="H2251" s="154"/>
    </row>
    <row r="2252" ht="15.75" hidden="1" customHeight="1">
      <c r="B2252" s="146"/>
      <c r="C2252" s="146">
        <f t="shared" si="5"/>
        <v>10000</v>
      </c>
      <c r="D2252" s="146"/>
      <c r="E2252" s="305"/>
      <c r="F2252" s="383"/>
      <c r="G2252" s="154">
        <f>LEN('Expected Auditing Outcomes'!$F2252)</f>
        <v>0</v>
      </c>
      <c r="H2252" s="154"/>
    </row>
    <row r="2253" ht="15.75" hidden="1" customHeight="1">
      <c r="B2253" s="146"/>
      <c r="C2253" s="146">
        <f t="shared" si="5"/>
        <v>10000</v>
      </c>
      <c r="D2253" s="146"/>
      <c r="E2253" s="305"/>
      <c r="F2253" s="383"/>
      <c r="G2253" s="154">
        <f>LEN('Expected Auditing Outcomes'!$F2253)</f>
        <v>0</v>
      </c>
      <c r="H2253" s="154"/>
    </row>
    <row r="2254" ht="15.75" hidden="1" customHeight="1">
      <c r="B2254" s="146"/>
      <c r="C2254" s="146">
        <f t="shared" si="5"/>
        <v>10000</v>
      </c>
      <c r="D2254" s="146"/>
      <c r="E2254" s="305"/>
      <c r="F2254" s="383"/>
      <c r="G2254" s="154">
        <f>LEN('Expected Auditing Outcomes'!$F2254)</f>
        <v>0</v>
      </c>
      <c r="H2254" s="154"/>
    </row>
    <row r="2255" ht="15.75" hidden="1" customHeight="1">
      <c r="B2255" s="146"/>
      <c r="C2255" s="146">
        <f t="shared" si="5"/>
        <v>10000</v>
      </c>
      <c r="D2255" s="146"/>
      <c r="E2255" s="305"/>
      <c r="F2255" s="383"/>
      <c r="G2255" s="154">
        <f>LEN('Expected Auditing Outcomes'!$F2255)</f>
        <v>0</v>
      </c>
      <c r="H2255" s="154"/>
    </row>
    <row r="2256" ht="15.75" hidden="1" customHeight="1">
      <c r="B2256" s="146"/>
      <c r="C2256" s="146">
        <f t="shared" si="5"/>
        <v>10000</v>
      </c>
      <c r="D2256" s="146"/>
      <c r="E2256" s="305"/>
      <c r="F2256" s="383"/>
      <c r="G2256" s="154">
        <f>LEN('Expected Auditing Outcomes'!$F2256)</f>
        <v>0</v>
      </c>
      <c r="H2256" s="154"/>
    </row>
    <row r="2257" ht="15.75" hidden="1" customHeight="1">
      <c r="B2257" s="146"/>
      <c r="C2257" s="146">
        <f t="shared" si="5"/>
        <v>10000</v>
      </c>
      <c r="D2257" s="146"/>
      <c r="E2257" s="305"/>
      <c r="F2257" s="383"/>
      <c r="G2257" s="154">
        <f>LEN('Expected Auditing Outcomes'!$F2257)</f>
        <v>0</v>
      </c>
      <c r="H2257" s="154"/>
    </row>
    <row r="2258" ht="15.75" hidden="1" customHeight="1">
      <c r="B2258" s="146"/>
      <c r="C2258" s="146">
        <f t="shared" si="5"/>
        <v>10000</v>
      </c>
      <c r="D2258" s="146"/>
      <c r="E2258" s="305"/>
      <c r="F2258" s="383"/>
      <c r="G2258" s="154">
        <f>LEN('Expected Auditing Outcomes'!$F2258)</f>
        <v>0</v>
      </c>
      <c r="H2258" s="154"/>
    </row>
    <row r="2259" ht="15.75" hidden="1" customHeight="1">
      <c r="B2259" s="146"/>
      <c r="C2259" s="146">
        <f t="shared" si="5"/>
        <v>10000</v>
      </c>
      <c r="D2259" s="146"/>
      <c r="E2259" s="305"/>
      <c r="F2259" s="383"/>
      <c r="G2259" s="154">
        <f>LEN('Expected Auditing Outcomes'!$F2259)</f>
        <v>0</v>
      </c>
      <c r="H2259" s="154"/>
    </row>
    <row r="2260" ht="15.75" hidden="1" customHeight="1">
      <c r="B2260" s="146"/>
      <c r="C2260" s="146">
        <f t="shared" si="5"/>
        <v>10000</v>
      </c>
      <c r="D2260" s="146"/>
      <c r="E2260" s="305"/>
      <c r="F2260" s="383"/>
      <c r="G2260" s="154">
        <f>LEN('Expected Auditing Outcomes'!$F2260)</f>
        <v>0</v>
      </c>
      <c r="H2260" s="154"/>
    </row>
    <row r="2261" ht="15.75" hidden="1" customHeight="1">
      <c r="B2261" s="146"/>
      <c r="C2261" s="146">
        <f t="shared" si="5"/>
        <v>10000</v>
      </c>
      <c r="D2261" s="146"/>
      <c r="E2261" s="305"/>
      <c r="F2261" s="383"/>
      <c r="G2261" s="154">
        <f>LEN('Expected Auditing Outcomes'!$F2261)</f>
        <v>0</v>
      </c>
      <c r="H2261" s="154"/>
    </row>
    <row r="2262" ht="15.75" hidden="1" customHeight="1">
      <c r="B2262" s="146"/>
      <c r="C2262" s="146">
        <f t="shared" si="5"/>
        <v>10000</v>
      </c>
      <c r="D2262" s="146"/>
      <c r="E2262" s="305"/>
      <c r="F2262" s="383"/>
      <c r="G2262" s="154">
        <f>LEN('Expected Auditing Outcomes'!$F2262)</f>
        <v>0</v>
      </c>
      <c r="H2262" s="154"/>
    </row>
    <row r="2263" ht="15.75" hidden="1" customHeight="1">
      <c r="B2263" s="146"/>
      <c r="C2263" s="146">
        <f t="shared" si="5"/>
        <v>10000</v>
      </c>
      <c r="D2263" s="146"/>
      <c r="E2263" s="305"/>
      <c r="F2263" s="383"/>
      <c r="G2263" s="154">
        <f>LEN('Expected Auditing Outcomes'!$F2263)</f>
        <v>0</v>
      </c>
      <c r="H2263" s="154"/>
    </row>
    <row r="2264" ht="15.75" hidden="1" customHeight="1">
      <c r="B2264" s="146"/>
      <c r="C2264" s="146">
        <f t="shared" si="5"/>
        <v>10000</v>
      </c>
      <c r="D2264" s="146"/>
      <c r="E2264" s="305"/>
      <c r="F2264" s="383"/>
      <c r="G2264" s="154">
        <f>LEN('Expected Auditing Outcomes'!$F2264)</f>
        <v>0</v>
      </c>
      <c r="H2264" s="154"/>
    </row>
    <row r="2265" ht="15.75" hidden="1" customHeight="1">
      <c r="B2265" s="146"/>
      <c r="C2265" s="146">
        <f t="shared" si="5"/>
        <v>10000</v>
      </c>
      <c r="D2265" s="146"/>
      <c r="E2265" s="305"/>
      <c r="F2265" s="383"/>
      <c r="G2265" s="154">
        <f>LEN('Expected Auditing Outcomes'!$F2265)</f>
        <v>0</v>
      </c>
      <c r="H2265" s="154"/>
    </row>
    <row r="2266" ht="15.75" hidden="1" customHeight="1">
      <c r="B2266" s="146"/>
      <c r="C2266" s="146">
        <f t="shared" si="5"/>
        <v>10000</v>
      </c>
      <c r="D2266" s="146"/>
      <c r="E2266" s="305"/>
      <c r="F2266" s="383"/>
      <c r="G2266" s="154">
        <f>LEN('Expected Auditing Outcomes'!$F2266)</f>
        <v>0</v>
      </c>
      <c r="H2266" s="154"/>
    </row>
    <row r="2267" ht="15.75" hidden="1" customHeight="1">
      <c r="B2267" s="146"/>
      <c r="C2267" s="146">
        <f t="shared" si="5"/>
        <v>10000</v>
      </c>
      <c r="D2267" s="146"/>
      <c r="E2267" s="305"/>
      <c r="F2267" s="383"/>
      <c r="G2267" s="154">
        <f>LEN('Expected Auditing Outcomes'!$F2267)</f>
        <v>0</v>
      </c>
      <c r="H2267" s="154"/>
    </row>
    <row r="2268" ht="15.75" hidden="1" customHeight="1">
      <c r="B2268" s="146"/>
      <c r="C2268" s="146">
        <f t="shared" si="5"/>
        <v>10000</v>
      </c>
      <c r="D2268" s="146"/>
      <c r="E2268" s="305"/>
      <c r="F2268" s="383"/>
      <c r="G2268" s="154">
        <f>LEN('Expected Auditing Outcomes'!$F2268)</f>
        <v>0</v>
      </c>
      <c r="H2268" s="154"/>
    </row>
    <row r="2269" ht="15.75" hidden="1" customHeight="1">
      <c r="B2269" s="146"/>
      <c r="C2269" s="146">
        <f t="shared" si="5"/>
        <v>10000</v>
      </c>
      <c r="D2269" s="146"/>
      <c r="E2269" s="305"/>
      <c r="F2269" s="383"/>
      <c r="G2269" s="154">
        <f>LEN('Expected Auditing Outcomes'!$F2269)</f>
        <v>0</v>
      </c>
      <c r="H2269" s="154"/>
    </row>
    <row r="2270" ht="15.75" hidden="1" customHeight="1">
      <c r="B2270" s="146"/>
      <c r="C2270" s="146">
        <f t="shared" si="5"/>
        <v>10000</v>
      </c>
      <c r="D2270" s="146"/>
      <c r="E2270" s="305"/>
      <c r="F2270" s="383"/>
      <c r="G2270" s="154">
        <f>LEN('Expected Auditing Outcomes'!$F2270)</f>
        <v>0</v>
      </c>
      <c r="H2270" s="154"/>
    </row>
    <row r="2271" ht="15.75" hidden="1" customHeight="1">
      <c r="B2271" s="146"/>
      <c r="C2271" s="146">
        <f t="shared" si="5"/>
        <v>10000</v>
      </c>
      <c r="D2271" s="146"/>
      <c r="E2271" s="305"/>
      <c r="F2271" s="383"/>
      <c r="G2271" s="154">
        <f>LEN('Expected Auditing Outcomes'!$F2271)</f>
        <v>0</v>
      </c>
      <c r="H2271" s="154"/>
    </row>
    <row r="2272" ht="15.75" hidden="1" customHeight="1">
      <c r="B2272" s="146"/>
      <c r="C2272" s="146">
        <f t="shared" si="5"/>
        <v>10000</v>
      </c>
      <c r="D2272" s="146"/>
      <c r="E2272" s="305"/>
      <c r="F2272" s="383"/>
      <c r="G2272" s="154">
        <f>LEN('Expected Auditing Outcomes'!$F2272)</f>
        <v>0</v>
      </c>
      <c r="H2272" s="154"/>
    </row>
    <row r="2273" ht="15.75" hidden="1" customHeight="1">
      <c r="B2273" s="146"/>
      <c r="C2273" s="146">
        <f t="shared" si="5"/>
        <v>10000</v>
      </c>
      <c r="D2273" s="146"/>
      <c r="E2273" s="305"/>
      <c r="F2273" s="383"/>
      <c r="G2273" s="154">
        <f>LEN('Expected Auditing Outcomes'!$F2273)</f>
        <v>0</v>
      </c>
      <c r="H2273" s="154"/>
    </row>
    <row r="2274" ht="15.75" hidden="1" customHeight="1">
      <c r="B2274" s="146"/>
      <c r="C2274" s="146">
        <f t="shared" si="5"/>
        <v>10000</v>
      </c>
      <c r="D2274" s="146"/>
      <c r="E2274" s="305"/>
      <c r="F2274" s="383"/>
      <c r="G2274" s="154">
        <f>LEN('Expected Auditing Outcomes'!$F2274)</f>
        <v>0</v>
      </c>
      <c r="H2274" s="154"/>
    </row>
    <row r="2275" ht="15.75" hidden="1" customHeight="1">
      <c r="B2275" s="146"/>
      <c r="C2275" s="146">
        <f t="shared" si="5"/>
        <v>10000</v>
      </c>
      <c r="D2275" s="146"/>
      <c r="E2275" s="305"/>
      <c r="F2275" s="383"/>
      <c r="G2275" s="154">
        <f>LEN('Expected Auditing Outcomes'!$F2275)</f>
        <v>0</v>
      </c>
      <c r="H2275" s="154"/>
    </row>
    <row r="2276" ht="15.75" hidden="1" customHeight="1">
      <c r="B2276" s="146"/>
      <c r="C2276" s="146">
        <f t="shared" si="5"/>
        <v>10000</v>
      </c>
      <c r="D2276" s="146"/>
      <c r="E2276" s="305"/>
      <c r="F2276" s="383"/>
      <c r="G2276" s="154">
        <f>LEN('Expected Auditing Outcomes'!$F2276)</f>
        <v>0</v>
      </c>
      <c r="H2276" s="154"/>
    </row>
    <row r="2277" ht="15.75" hidden="1" customHeight="1">
      <c r="B2277" s="146"/>
      <c r="C2277" s="146">
        <f t="shared" si="5"/>
        <v>10000</v>
      </c>
      <c r="D2277" s="146"/>
      <c r="E2277" s="305"/>
      <c r="F2277" s="383"/>
      <c r="G2277" s="154">
        <f>LEN('Expected Auditing Outcomes'!$F2277)</f>
        <v>0</v>
      </c>
      <c r="H2277" s="154"/>
    </row>
    <row r="2278" ht="15.75" hidden="1" customHeight="1">
      <c r="B2278" s="146"/>
      <c r="C2278" s="146">
        <f t="shared" si="5"/>
        <v>10000</v>
      </c>
      <c r="D2278" s="146"/>
      <c r="E2278" s="305"/>
      <c r="F2278" s="383"/>
      <c r="G2278" s="154">
        <f>LEN('Expected Auditing Outcomes'!$F2278)</f>
        <v>0</v>
      </c>
      <c r="H2278" s="154"/>
    </row>
    <row r="2279" ht="15.75" hidden="1" customHeight="1">
      <c r="B2279" s="146"/>
      <c r="C2279" s="146">
        <f t="shared" si="5"/>
        <v>10000</v>
      </c>
      <c r="D2279" s="146"/>
      <c r="E2279" s="305"/>
      <c r="F2279" s="383"/>
      <c r="G2279" s="154">
        <f>LEN('Expected Auditing Outcomes'!$F2279)</f>
        <v>0</v>
      </c>
      <c r="H2279" s="154"/>
    </row>
    <row r="2280" ht="15.75" hidden="1" customHeight="1">
      <c r="B2280" s="146"/>
      <c r="C2280" s="146">
        <f t="shared" si="5"/>
        <v>10000</v>
      </c>
      <c r="D2280" s="146"/>
      <c r="E2280" s="305"/>
      <c r="F2280" s="383"/>
      <c r="G2280" s="154">
        <f>LEN('Expected Auditing Outcomes'!$F2280)</f>
        <v>0</v>
      </c>
      <c r="H2280" s="154"/>
    </row>
    <row r="2281" ht="15.75" hidden="1" customHeight="1">
      <c r="B2281" s="146"/>
      <c r="C2281" s="146">
        <f t="shared" si="5"/>
        <v>10000</v>
      </c>
      <c r="D2281" s="146"/>
      <c r="E2281" s="305"/>
      <c r="F2281" s="383"/>
      <c r="G2281" s="154">
        <f>LEN('Expected Auditing Outcomes'!$F2281)</f>
        <v>0</v>
      </c>
      <c r="H2281" s="154"/>
    </row>
    <row r="2282" ht="15.75" hidden="1" customHeight="1">
      <c r="B2282" s="146"/>
      <c r="C2282" s="146">
        <f t="shared" si="5"/>
        <v>10000</v>
      </c>
      <c r="D2282" s="146"/>
      <c r="E2282" s="305"/>
      <c r="F2282" s="383"/>
      <c r="G2282" s="154">
        <f>LEN('Expected Auditing Outcomes'!$F2282)</f>
        <v>0</v>
      </c>
      <c r="H2282" s="154"/>
    </row>
    <row r="2283" ht="15.75" hidden="1" customHeight="1">
      <c r="B2283" s="146"/>
      <c r="C2283" s="146">
        <f t="shared" si="5"/>
        <v>10000</v>
      </c>
      <c r="D2283" s="146"/>
      <c r="E2283" s="305"/>
      <c r="F2283" s="383"/>
      <c r="G2283" s="154">
        <f>LEN('Expected Auditing Outcomes'!$F2283)</f>
        <v>0</v>
      </c>
      <c r="H2283" s="154"/>
    </row>
    <row r="2284" ht="15.75" hidden="1" customHeight="1">
      <c r="B2284" s="146"/>
      <c r="C2284" s="146">
        <f t="shared" si="5"/>
        <v>10000</v>
      </c>
      <c r="D2284" s="146"/>
      <c r="E2284" s="305"/>
      <c r="F2284" s="383"/>
      <c r="G2284" s="154">
        <f>LEN('Expected Auditing Outcomes'!$F2284)</f>
        <v>0</v>
      </c>
      <c r="H2284" s="154"/>
    </row>
    <row r="2285" ht="15.75" hidden="1" customHeight="1">
      <c r="B2285" s="146"/>
      <c r="C2285" s="146">
        <f t="shared" si="5"/>
        <v>10000</v>
      </c>
      <c r="D2285" s="146"/>
      <c r="E2285" s="305"/>
      <c r="F2285" s="383"/>
      <c r="G2285" s="154">
        <f>LEN('Expected Auditing Outcomes'!$F2285)</f>
        <v>0</v>
      </c>
      <c r="H2285" s="154"/>
    </row>
    <row r="2286" ht="15.75" hidden="1" customHeight="1">
      <c r="B2286" s="146"/>
      <c r="C2286" s="146">
        <f t="shared" si="5"/>
        <v>10000</v>
      </c>
      <c r="D2286" s="146"/>
      <c r="E2286" s="305"/>
      <c r="F2286" s="383"/>
      <c r="G2286" s="154">
        <f>LEN('Expected Auditing Outcomes'!$F2286)</f>
        <v>0</v>
      </c>
      <c r="H2286" s="154"/>
    </row>
    <row r="2287" ht="15.75" hidden="1" customHeight="1">
      <c r="B2287" s="146"/>
      <c r="C2287" s="146">
        <f t="shared" si="5"/>
        <v>10000</v>
      </c>
      <c r="D2287" s="146"/>
      <c r="E2287" s="305"/>
      <c r="F2287" s="383"/>
      <c r="G2287" s="154">
        <f>LEN('Expected Auditing Outcomes'!$F2287)</f>
        <v>0</v>
      </c>
      <c r="H2287" s="154"/>
    </row>
    <row r="2288" ht="15.75" hidden="1" customHeight="1">
      <c r="B2288" s="146"/>
      <c r="C2288" s="146">
        <f t="shared" si="5"/>
        <v>10000</v>
      </c>
      <c r="D2288" s="146"/>
      <c r="E2288" s="305"/>
      <c r="F2288" s="383"/>
      <c r="G2288" s="154">
        <f>LEN('Expected Auditing Outcomes'!$F2288)</f>
        <v>0</v>
      </c>
      <c r="H2288" s="154"/>
    </row>
    <row r="2289" ht="15.75" hidden="1" customHeight="1">
      <c r="B2289" s="146"/>
      <c r="C2289" s="146">
        <f t="shared" si="5"/>
        <v>10000</v>
      </c>
      <c r="D2289" s="146"/>
      <c r="E2289" s="305"/>
      <c r="F2289" s="383"/>
      <c r="G2289" s="154">
        <f>LEN('Expected Auditing Outcomes'!$F2289)</f>
        <v>0</v>
      </c>
      <c r="H2289" s="154"/>
    </row>
    <row r="2290" ht="15.75" hidden="1" customHeight="1">
      <c r="B2290" s="146"/>
      <c r="C2290" s="146">
        <f t="shared" si="5"/>
        <v>10000</v>
      </c>
      <c r="D2290" s="146"/>
      <c r="E2290" s="305"/>
      <c r="F2290" s="383"/>
      <c r="G2290" s="154">
        <f>LEN('Expected Auditing Outcomes'!$F2290)</f>
        <v>0</v>
      </c>
      <c r="H2290" s="154"/>
    </row>
    <row r="2291" ht="15.75" hidden="1" customHeight="1">
      <c r="B2291" s="146"/>
      <c r="C2291" s="146">
        <f t="shared" si="5"/>
        <v>10000</v>
      </c>
      <c r="D2291" s="146"/>
      <c r="E2291" s="305"/>
      <c r="F2291" s="383"/>
      <c r="G2291" s="154">
        <f>LEN('Expected Auditing Outcomes'!$F2291)</f>
        <v>0</v>
      </c>
      <c r="H2291" s="154"/>
    </row>
    <row r="2292" ht="15.75" hidden="1" customHeight="1">
      <c r="B2292" s="146"/>
      <c r="C2292" s="146">
        <f t="shared" si="5"/>
        <v>10000</v>
      </c>
      <c r="D2292" s="146"/>
      <c r="E2292" s="305"/>
      <c r="F2292" s="383"/>
      <c r="G2292" s="154">
        <f>LEN('Expected Auditing Outcomes'!$F2292)</f>
        <v>0</v>
      </c>
      <c r="H2292" s="154"/>
    </row>
    <row r="2293" ht="15.75" hidden="1" customHeight="1">
      <c r="B2293" s="146"/>
      <c r="C2293" s="146">
        <f t="shared" si="5"/>
        <v>10000</v>
      </c>
      <c r="D2293" s="146"/>
      <c r="E2293" s="305"/>
      <c r="F2293" s="383"/>
      <c r="G2293" s="154">
        <f>LEN('Expected Auditing Outcomes'!$F2293)</f>
        <v>0</v>
      </c>
      <c r="H2293" s="154"/>
    </row>
    <row r="2294" ht="15.75" hidden="1" customHeight="1">
      <c r="B2294" s="146"/>
      <c r="C2294" s="146">
        <f t="shared" si="5"/>
        <v>10000</v>
      </c>
      <c r="D2294" s="146"/>
      <c r="E2294" s="305"/>
      <c r="F2294" s="383"/>
      <c r="G2294" s="154">
        <f>LEN('Expected Auditing Outcomes'!$F2294)</f>
        <v>0</v>
      </c>
      <c r="H2294" s="154"/>
    </row>
    <row r="2295" ht="15.75" hidden="1" customHeight="1">
      <c r="B2295" s="146"/>
      <c r="C2295" s="146">
        <f t="shared" si="5"/>
        <v>10000</v>
      </c>
      <c r="D2295" s="146"/>
      <c r="E2295" s="305"/>
      <c r="F2295" s="383"/>
      <c r="G2295" s="154">
        <f>LEN('Expected Auditing Outcomes'!$F2295)</f>
        <v>0</v>
      </c>
      <c r="H2295" s="154"/>
    </row>
    <row r="2296" ht="15.75" hidden="1" customHeight="1">
      <c r="B2296" s="146"/>
      <c r="C2296" s="146">
        <f t="shared" si="5"/>
        <v>10000</v>
      </c>
      <c r="D2296" s="146"/>
      <c r="E2296" s="305"/>
      <c r="F2296" s="383"/>
      <c r="G2296" s="154">
        <f>LEN('Expected Auditing Outcomes'!$F2296)</f>
        <v>0</v>
      </c>
      <c r="H2296" s="154"/>
    </row>
    <row r="2297" ht="15.75" hidden="1" customHeight="1">
      <c r="B2297" s="146"/>
      <c r="C2297" s="146">
        <f t="shared" si="5"/>
        <v>10000</v>
      </c>
      <c r="D2297" s="146"/>
      <c r="E2297" s="305"/>
      <c r="F2297" s="383"/>
      <c r="G2297" s="154">
        <f>LEN('Expected Auditing Outcomes'!$F2297)</f>
        <v>0</v>
      </c>
      <c r="H2297" s="154"/>
    </row>
    <row r="2298" ht="15.75" hidden="1" customHeight="1">
      <c r="B2298" s="146"/>
      <c r="C2298" s="146">
        <f t="shared" si="5"/>
        <v>10000</v>
      </c>
      <c r="D2298" s="146"/>
      <c r="E2298" s="305"/>
      <c r="F2298" s="383"/>
      <c r="G2298" s="154">
        <f>LEN('Expected Auditing Outcomes'!$F2298)</f>
        <v>0</v>
      </c>
      <c r="H2298" s="154"/>
    </row>
    <row r="2299" ht="15.75" hidden="1" customHeight="1">
      <c r="B2299" s="146"/>
      <c r="C2299" s="146">
        <f t="shared" si="5"/>
        <v>10000</v>
      </c>
      <c r="D2299" s="146"/>
      <c r="E2299" s="305"/>
      <c r="F2299" s="383"/>
      <c r="G2299" s="154">
        <f>LEN('Expected Auditing Outcomes'!$F2299)</f>
        <v>0</v>
      </c>
      <c r="H2299" s="154"/>
    </row>
    <row r="2300" ht="15.75" hidden="1" customHeight="1">
      <c r="B2300" s="146"/>
      <c r="C2300" s="146">
        <f t="shared" si="5"/>
        <v>10000</v>
      </c>
      <c r="D2300" s="146"/>
      <c r="E2300" s="305"/>
      <c r="F2300" s="383"/>
      <c r="G2300" s="154">
        <f>LEN('Expected Auditing Outcomes'!$F2300)</f>
        <v>0</v>
      </c>
      <c r="H2300" s="154"/>
    </row>
    <row r="2301" ht="15.75" hidden="1" customHeight="1">
      <c r="B2301" s="146"/>
      <c r="C2301" s="146">
        <f t="shared" si="5"/>
        <v>10000</v>
      </c>
      <c r="D2301" s="146"/>
      <c r="E2301" s="305"/>
      <c r="F2301" s="383"/>
      <c r="G2301" s="154">
        <f>LEN('Expected Auditing Outcomes'!$F2301)</f>
        <v>0</v>
      </c>
      <c r="H2301" s="154"/>
    </row>
    <row r="2302" ht="15.75" hidden="1" customHeight="1">
      <c r="B2302" s="146"/>
      <c r="C2302" s="146">
        <f t="shared" si="5"/>
        <v>10000</v>
      </c>
      <c r="D2302" s="146"/>
      <c r="E2302" s="305"/>
      <c r="F2302" s="383"/>
      <c r="G2302" s="154">
        <f>LEN('Expected Auditing Outcomes'!$F2302)</f>
        <v>0</v>
      </c>
      <c r="H2302" s="154"/>
    </row>
    <row r="2303" ht="15.75" hidden="1" customHeight="1">
      <c r="B2303" s="146"/>
      <c r="C2303" s="146">
        <f t="shared" si="5"/>
        <v>10000</v>
      </c>
      <c r="D2303" s="146"/>
      <c r="E2303" s="305"/>
      <c r="F2303" s="383"/>
      <c r="G2303" s="154">
        <f>LEN('Expected Auditing Outcomes'!$F2303)</f>
        <v>0</v>
      </c>
      <c r="H2303" s="154"/>
    </row>
    <row r="2304" ht="15.75" hidden="1" customHeight="1">
      <c r="B2304" s="146"/>
      <c r="C2304" s="146">
        <f t="shared" si="5"/>
        <v>10000</v>
      </c>
      <c r="D2304" s="146"/>
      <c r="E2304" s="305"/>
      <c r="F2304" s="383"/>
      <c r="G2304" s="154">
        <f>LEN('Expected Auditing Outcomes'!$F2304)</f>
        <v>0</v>
      </c>
      <c r="H2304" s="154"/>
    </row>
    <row r="2305" ht="15.75" hidden="1" customHeight="1">
      <c r="B2305" s="146"/>
      <c r="C2305" s="146">
        <f t="shared" si="5"/>
        <v>10000</v>
      </c>
      <c r="D2305" s="146"/>
      <c r="E2305" s="305"/>
      <c r="F2305" s="383"/>
      <c r="G2305" s="154">
        <f>LEN('Expected Auditing Outcomes'!$F2305)</f>
        <v>0</v>
      </c>
      <c r="H2305" s="154"/>
    </row>
    <row r="2306" ht="15.75" hidden="1" customHeight="1">
      <c r="B2306" s="146"/>
      <c r="C2306" s="146">
        <f t="shared" si="5"/>
        <v>10000</v>
      </c>
      <c r="D2306" s="146"/>
      <c r="E2306" s="305"/>
      <c r="F2306" s="383"/>
      <c r="G2306" s="154">
        <f>LEN('Expected Auditing Outcomes'!$F2306)</f>
        <v>0</v>
      </c>
      <c r="H2306" s="154"/>
    </row>
    <row r="2307" ht="15.75" hidden="1" customHeight="1">
      <c r="B2307" s="146"/>
      <c r="C2307" s="146">
        <f t="shared" si="5"/>
        <v>10000</v>
      </c>
      <c r="D2307" s="146"/>
      <c r="E2307" s="305"/>
      <c r="F2307" s="383"/>
      <c r="G2307" s="154">
        <f>LEN('Expected Auditing Outcomes'!$F2307)</f>
        <v>0</v>
      </c>
      <c r="H2307" s="154"/>
    </row>
    <row r="2308" ht="15.75" hidden="1" customHeight="1">
      <c r="B2308" s="146"/>
      <c r="C2308" s="146">
        <f t="shared" si="5"/>
        <v>10000</v>
      </c>
      <c r="D2308" s="146"/>
      <c r="E2308" s="305"/>
      <c r="F2308" s="383"/>
      <c r="G2308" s="154">
        <f>LEN('Expected Auditing Outcomes'!$F2308)</f>
        <v>0</v>
      </c>
      <c r="H2308" s="154"/>
    </row>
    <row r="2309" ht="15.75" hidden="1" customHeight="1">
      <c r="B2309" s="146"/>
      <c r="C2309" s="146">
        <f t="shared" si="5"/>
        <v>10000</v>
      </c>
      <c r="D2309" s="146"/>
      <c r="E2309" s="305"/>
      <c r="F2309" s="383"/>
      <c r="G2309" s="154">
        <f>LEN('Expected Auditing Outcomes'!$F2309)</f>
        <v>0</v>
      </c>
      <c r="H2309" s="154"/>
    </row>
    <row r="2310" ht="15.75" hidden="1" customHeight="1">
      <c r="B2310" s="146"/>
      <c r="C2310" s="146">
        <f t="shared" si="5"/>
        <v>10000</v>
      </c>
      <c r="D2310" s="146"/>
      <c r="E2310" s="305"/>
      <c r="F2310" s="383"/>
      <c r="G2310" s="154">
        <f>LEN('Expected Auditing Outcomes'!$F2310)</f>
        <v>0</v>
      </c>
      <c r="H2310" s="154"/>
    </row>
    <row r="2311" ht="15.75" hidden="1" customHeight="1">
      <c r="B2311" s="146"/>
      <c r="C2311" s="146">
        <f t="shared" si="5"/>
        <v>10000</v>
      </c>
      <c r="D2311" s="146"/>
      <c r="E2311" s="305"/>
      <c r="F2311" s="383"/>
      <c r="G2311" s="154">
        <f>LEN('Expected Auditing Outcomes'!$F2311)</f>
        <v>0</v>
      </c>
      <c r="H2311" s="154"/>
    </row>
    <row r="2312" ht="15.75" hidden="1" customHeight="1">
      <c r="B2312" s="146"/>
      <c r="C2312" s="146">
        <f t="shared" si="5"/>
        <v>10000</v>
      </c>
      <c r="D2312" s="146"/>
      <c r="E2312" s="305"/>
      <c r="F2312" s="383"/>
      <c r="G2312" s="154">
        <f>LEN('Expected Auditing Outcomes'!$F2312)</f>
        <v>0</v>
      </c>
      <c r="H2312" s="154"/>
    </row>
    <row r="2313" ht="15.75" hidden="1" customHeight="1">
      <c r="B2313" s="146"/>
      <c r="C2313" s="146">
        <f t="shared" si="5"/>
        <v>10000</v>
      </c>
      <c r="D2313" s="146"/>
      <c r="E2313" s="305"/>
      <c r="F2313" s="383"/>
      <c r="G2313" s="154">
        <f>LEN('Expected Auditing Outcomes'!$F2313)</f>
        <v>0</v>
      </c>
      <c r="H2313" s="154"/>
    </row>
    <row r="2314" ht="15.75" hidden="1" customHeight="1">
      <c r="B2314" s="146"/>
      <c r="C2314" s="146">
        <f t="shared" si="5"/>
        <v>10000</v>
      </c>
      <c r="D2314" s="146"/>
      <c r="E2314" s="305"/>
      <c r="F2314" s="383"/>
      <c r="G2314" s="154">
        <f>LEN('Expected Auditing Outcomes'!$F2314)</f>
        <v>0</v>
      </c>
      <c r="H2314" s="154"/>
    </row>
    <row r="2315" ht="15.75" hidden="1" customHeight="1">
      <c r="B2315" s="146"/>
      <c r="C2315" s="146">
        <f t="shared" si="5"/>
        <v>10000</v>
      </c>
      <c r="D2315" s="146"/>
      <c r="E2315" s="305"/>
      <c r="F2315" s="383"/>
      <c r="G2315" s="154">
        <f>LEN('Expected Auditing Outcomes'!$F2315)</f>
        <v>0</v>
      </c>
      <c r="H2315" s="154"/>
    </row>
    <row r="2316" ht="15.75" hidden="1" customHeight="1">
      <c r="B2316" s="146"/>
      <c r="C2316" s="146">
        <f t="shared" si="5"/>
        <v>10000</v>
      </c>
      <c r="D2316" s="146"/>
      <c r="E2316" s="305"/>
      <c r="F2316" s="383"/>
      <c r="G2316" s="154">
        <f>LEN('Expected Auditing Outcomes'!$F2316)</f>
        <v>0</v>
      </c>
      <c r="H2316" s="154"/>
    </row>
    <row r="2317" ht="15.75" hidden="1" customHeight="1">
      <c r="B2317" s="146"/>
      <c r="C2317" s="146">
        <f t="shared" si="5"/>
        <v>10000</v>
      </c>
      <c r="D2317" s="146"/>
      <c r="E2317" s="305"/>
      <c r="F2317" s="383"/>
      <c r="G2317" s="154">
        <f>LEN('Expected Auditing Outcomes'!$F2317)</f>
        <v>0</v>
      </c>
      <c r="H2317" s="154"/>
    </row>
    <row r="2318" ht="15.75" hidden="1" customHeight="1">
      <c r="B2318" s="146"/>
      <c r="C2318" s="146">
        <f t="shared" si="5"/>
        <v>10000</v>
      </c>
      <c r="D2318" s="146"/>
      <c r="E2318" s="305"/>
      <c r="F2318" s="383"/>
      <c r="G2318" s="154">
        <f>LEN('Expected Auditing Outcomes'!$F2318)</f>
        <v>0</v>
      </c>
      <c r="H2318" s="154"/>
    </row>
    <row r="2319" ht="15.75" hidden="1" customHeight="1">
      <c r="B2319" s="146"/>
      <c r="C2319" s="146">
        <f t="shared" si="5"/>
        <v>10000</v>
      </c>
      <c r="D2319" s="146"/>
      <c r="E2319" s="305"/>
      <c r="F2319" s="383"/>
      <c r="G2319" s="154">
        <f>LEN('Expected Auditing Outcomes'!$F2319)</f>
        <v>0</v>
      </c>
      <c r="H2319" s="154"/>
    </row>
    <row r="2320" ht="15.75" hidden="1" customHeight="1">
      <c r="B2320" s="146"/>
      <c r="C2320" s="146">
        <f t="shared" si="5"/>
        <v>10000</v>
      </c>
      <c r="D2320" s="146"/>
      <c r="E2320" s="305"/>
      <c r="F2320" s="383"/>
      <c r="G2320" s="154">
        <f>LEN('Expected Auditing Outcomes'!$F2320)</f>
        <v>0</v>
      </c>
      <c r="H2320" s="154"/>
    </row>
    <row r="2321" ht="15.75" hidden="1" customHeight="1">
      <c r="B2321" s="146"/>
      <c r="C2321" s="146">
        <f t="shared" si="5"/>
        <v>10000</v>
      </c>
      <c r="D2321" s="146"/>
      <c r="E2321" s="305"/>
      <c r="F2321" s="383"/>
      <c r="G2321" s="154">
        <f>LEN('Expected Auditing Outcomes'!$F2321)</f>
        <v>0</v>
      </c>
      <c r="H2321" s="154"/>
    </row>
    <row r="2322" ht="15.75" hidden="1" customHeight="1">
      <c r="B2322" s="146"/>
      <c r="C2322" s="146">
        <f t="shared" si="5"/>
        <v>10000</v>
      </c>
      <c r="D2322" s="146"/>
      <c r="E2322" s="305"/>
      <c r="F2322" s="383"/>
      <c r="G2322" s="154">
        <f>LEN('Expected Auditing Outcomes'!$F2322)</f>
        <v>0</v>
      </c>
      <c r="H2322" s="154"/>
    </row>
    <row r="2323" ht="15.75" hidden="1" customHeight="1">
      <c r="B2323" s="146"/>
      <c r="C2323" s="146">
        <f t="shared" si="5"/>
        <v>10000</v>
      </c>
      <c r="D2323" s="146"/>
      <c r="E2323" s="305"/>
      <c r="F2323" s="383"/>
      <c r="G2323" s="154">
        <f>LEN('Expected Auditing Outcomes'!$F2323)</f>
        <v>0</v>
      </c>
      <c r="H2323" s="154"/>
    </row>
    <row r="2324" ht="15.75" hidden="1" customHeight="1">
      <c r="B2324" s="146"/>
      <c r="C2324" s="146">
        <f t="shared" si="5"/>
        <v>10000</v>
      </c>
      <c r="D2324" s="146"/>
      <c r="E2324" s="305"/>
      <c r="F2324" s="383"/>
      <c r="G2324" s="154">
        <f>LEN('Expected Auditing Outcomes'!$F2324)</f>
        <v>0</v>
      </c>
      <c r="H2324" s="154"/>
    </row>
    <row r="2325" ht="15.75" hidden="1" customHeight="1">
      <c r="B2325" s="146"/>
      <c r="C2325" s="146">
        <f t="shared" si="5"/>
        <v>10000</v>
      </c>
      <c r="D2325" s="146"/>
      <c r="E2325" s="305"/>
      <c r="F2325" s="383"/>
      <c r="G2325" s="154">
        <f>LEN('Expected Auditing Outcomes'!$F2325)</f>
        <v>0</v>
      </c>
      <c r="H2325" s="154"/>
    </row>
    <row r="2326" ht="15.75" hidden="1" customHeight="1">
      <c r="B2326" s="146"/>
      <c r="C2326" s="146">
        <f t="shared" si="5"/>
        <v>10000</v>
      </c>
      <c r="D2326" s="146"/>
      <c r="E2326" s="305"/>
      <c r="F2326" s="383"/>
      <c r="G2326" s="154">
        <f>LEN('Expected Auditing Outcomes'!$F2326)</f>
        <v>0</v>
      </c>
      <c r="H2326" s="154"/>
    </row>
    <row r="2327" ht="15.75" hidden="1" customHeight="1">
      <c r="B2327" s="146"/>
      <c r="C2327" s="146">
        <f t="shared" si="5"/>
        <v>10000</v>
      </c>
      <c r="D2327" s="146"/>
      <c r="E2327" s="305"/>
      <c r="F2327" s="383"/>
      <c r="G2327" s="154">
        <f>LEN('Expected Auditing Outcomes'!$F2327)</f>
        <v>0</v>
      </c>
      <c r="H2327" s="154"/>
    </row>
    <row r="2328" ht="15.75" hidden="1" customHeight="1">
      <c r="B2328" s="146"/>
      <c r="C2328" s="146">
        <f t="shared" si="5"/>
        <v>10000</v>
      </c>
      <c r="D2328" s="146"/>
      <c r="E2328" s="305"/>
      <c r="F2328" s="383"/>
      <c r="G2328" s="154">
        <f>LEN('Expected Auditing Outcomes'!$F2328)</f>
        <v>0</v>
      </c>
      <c r="H2328" s="154"/>
    </row>
    <row r="2329" ht="15.75" hidden="1" customHeight="1">
      <c r="B2329" s="146"/>
      <c r="C2329" s="146">
        <f t="shared" si="5"/>
        <v>10000</v>
      </c>
      <c r="D2329" s="146"/>
      <c r="E2329" s="305"/>
      <c r="F2329" s="383"/>
      <c r="G2329" s="154">
        <f>LEN('Expected Auditing Outcomes'!$F2329)</f>
        <v>0</v>
      </c>
      <c r="H2329" s="154"/>
    </row>
    <row r="2330" ht="15.75" hidden="1" customHeight="1">
      <c r="B2330" s="146"/>
      <c r="C2330" s="146">
        <f t="shared" si="5"/>
        <v>10000</v>
      </c>
      <c r="D2330" s="146"/>
      <c r="E2330" s="305"/>
      <c r="F2330" s="383"/>
      <c r="G2330" s="154">
        <f>LEN('Expected Auditing Outcomes'!$F2330)</f>
        <v>0</v>
      </c>
      <c r="H2330" s="154"/>
    </row>
    <row r="2331" ht="15.75" hidden="1" customHeight="1">
      <c r="B2331" s="146"/>
      <c r="C2331" s="146">
        <f t="shared" si="5"/>
        <v>10000</v>
      </c>
      <c r="D2331" s="146"/>
      <c r="E2331" s="305"/>
      <c r="F2331" s="383"/>
      <c r="G2331" s="154">
        <f>LEN('Expected Auditing Outcomes'!$F2331)</f>
        <v>0</v>
      </c>
      <c r="H2331" s="154"/>
    </row>
    <row r="2332" ht="15.75" hidden="1" customHeight="1">
      <c r="B2332" s="146"/>
      <c r="C2332" s="146">
        <f t="shared" si="5"/>
        <v>10000</v>
      </c>
      <c r="D2332" s="146"/>
      <c r="E2332" s="305"/>
      <c r="F2332" s="383"/>
      <c r="G2332" s="154">
        <f>LEN('Expected Auditing Outcomes'!$F2332)</f>
        <v>0</v>
      </c>
      <c r="H2332" s="154"/>
    </row>
    <row r="2333" ht="15.75" hidden="1" customHeight="1">
      <c r="B2333" s="146"/>
      <c r="C2333" s="146">
        <f t="shared" si="5"/>
        <v>10000</v>
      </c>
      <c r="D2333" s="146"/>
      <c r="E2333" s="305"/>
      <c r="F2333" s="383"/>
      <c r="G2333" s="154">
        <f>LEN('Expected Auditing Outcomes'!$F2333)</f>
        <v>0</v>
      </c>
      <c r="H2333" s="154"/>
    </row>
    <row r="2334" ht="15.75" hidden="1" customHeight="1">
      <c r="B2334" s="146"/>
      <c r="C2334" s="146">
        <f t="shared" si="5"/>
        <v>10000</v>
      </c>
      <c r="D2334" s="146"/>
      <c r="E2334" s="305"/>
      <c r="F2334" s="383"/>
      <c r="G2334" s="154">
        <f>LEN('Expected Auditing Outcomes'!$F2334)</f>
        <v>0</v>
      </c>
      <c r="H2334" s="154"/>
    </row>
    <row r="2335" ht="15.75" hidden="1" customHeight="1">
      <c r="B2335" s="146"/>
      <c r="C2335" s="146">
        <f t="shared" si="5"/>
        <v>10000</v>
      </c>
      <c r="D2335" s="146"/>
      <c r="E2335" s="305"/>
      <c r="F2335" s="383"/>
      <c r="G2335" s="154">
        <f>LEN('Expected Auditing Outcomes'!$F2335)</f>
        <v>0</v>
      </c>
      <c r="H2335" s="154"/>
    </row>
    <row r="2336" ht="15.75" hidden="1" customHeight="1">
      <c r="B2336" s="146"/>
      <c r="C2336" s="146">
        <f t="shared" si="5"/>
        <v>10000</v>
      </c>
      <c r="D2336" s="146"/>
      <c r="E2336" s="305"/>
      <c r="F2336" s="383"/>
      <c r="G2336" s="154">
        <f>LEN('Expected Auditing Outcomes'!$F2336)</f>
        <v>0</v>
      </c>
      <c r="H2336" s="154"/>
    </row>
    <row r="2337" ht="15.75" hidden="1" customHeight="1">
      <c r="B2337" s="146"/>
      <c r="C2337" s="146">
        <f t="shared" si="5"/>
        <v>10000</v>
      </c>
      <c r="D2337" s="146"/>
      <c r="E2337" s="305"/>
      <c r="F2337" s="383"/>
      <c r="G2337" s="154">
        <f>LEN('Expected Auditing Outcomes'!$F2337)</f>
        <v>0</v>
      </c>
      <c r="H2337" s="154"/>
    </row>
    <row r="2338" ht="15.75" hidden="1" customHeight="1">
      <c r="B2338" s="146"/>
      <c r="C2338" s="146">
        <f t="shared" si="5"/>
        <v>10000</v>
      </c>
      <c r="D2338" s="146"/>
      <c r="E2338" s="305"/>
      <c r="F2338" s="383"/>
      <c r="G2338" s="154">
        <f>LEN('Expected Auditing Outcomes'!$F2338)</f>
        <v>0</v>
      </c>
      <c r="H2338" s="154"/>
    </row>
    <row r="2339" ht="15.75" hidden="1" customHeight="1">
      <c r="B2339" s="146"/>
      <c r="C2339" s="146">
        <f t="shared" si="5"/>
        <v>10000</v>
      </c>
      <c r="D2339" s="146"/>
      <c r="E2339" s="305"/>
      <c r="F2339" s="383"/>
      <c r="G2339" s="154">
        <f>LEN('Expected Auditing Outcomes'!$F2339)</f>
        <v>0</v>
      </c>
      <c r="H2339" s="154"/>
    </row>
    <row r="2340" ht="15.75" hidden="1" customHeight="1">
      <c r="B2340" s="146"/>
      <c r="C2340" s="146">
        <f t="shared" si="5"/>
        <v>10000</v>
      </c>
      <c r="D2340" s="146"/>
      <c r="E2340" s="305"/>
      <c r="F2340" s="383"/>
      <c r="G2340" s="154">
        <f>LEN('Expected Auditing Outcomes'!$F2340)</f>
        <v>0</v>
      </c>
      <c r="H2340" s="154"/>
    </row>
    <row r="2341" ht="15.75" hidden="1" customHeight="1">
      <c r="B2341" s="146"/>
      <c r="C2341" s="146">
        <f t="shared" si="5"/>
        <v>10000</v>
      </c>
      <c r="D2341" s="146"/>
      <c r="E2341" s="305"/>
      <c r="F2341" s="383"/>
      <c r="G2341" s="154">
        <f>LEN('Expected Auditing Outcomes'!$F2341)</f>
        <v>0</v>
      </c>
      <c r="H2341" s="154"/>
    </row>
    <row r="2342" ht="15.75" hidden="1" customHeight="1">
      <c r="B2342" s="146"/>
      <c r="C2342" s="146">
        <f t="shared" si="5"/>
        <v>10000</v>
      </c>
      <c r="D2342" s="146"/>
      <c r="E2342" s="305"/>
      <c r="F2342" s="383"/>
      <c r="G2342" s="154">
        <f>LEN('Expected Auditing Outcomes'!$F2342)</f>
        <v>0</v>
      </c>
      <c r="H2342" s="154"/>
    </row>
    <row r="2343" ht="15.75" hidden="1" customHeight="1">
      <c r="B2343" s="146"/>
      <c r="C2343" s="146">
        <f t="shared" si="5"/>
        <v>10000</v>
      </c>
      <c r="D2343" s="146"/>
      <c r="E2343" s="305"/>
      <c r="F2343" s="383"/>
      <c r="G2343" s="154">
        <f>LEN('Expected Auditing Outcomes'!$F2343)</f>
        <v>0</v>
      </c>
      <c r="H2343" s="154"/>
    </row>
    <row r="2344" ht="15.75" hidden="1" customHeight="1">
      <c r="B2344" s="146"/>
      <c r="C2344" s="146">
        <f t="shared" si="5"/>
        <v>10000</v>
      </c>
      <c r="D2344" s="146"/>
      <c r="E2344" s="305"/>
      <c r="F2344" s="383"/>
      <c r="G2344" s="154">
        <f>LEN('Expected Auditing Outcomes'!$F2344)</f>
        <v>0</v>
      </c>
      <c r="H2344" s="154"/>
    </row>
    <row r="2345" ht="15.75" hidden="1" customHeight="1">
      <c r="B2345" s="146"/>
      <c r="C2345" s="146">
        <f t="shared" si="5"/>
        <v>10000</v>
      </c>
      <c r="D2345" s="146"/>
      <c r="E2345" s="305"/>
      <c r="F2345" s="383"/>
      <c r="G2345" s="154">
        <f>LEN('Expected Auditing Outcomes'!$F2345)</f>
        <v>0</v>
      </c>
      <c r="H2345" s="154"/>
    </row>
    <row r="2346" ht="15.75" hidden="1" customHeight="1">
      <c r="B2346" s="146"/>
      <c r="C2346" s="146">
        <f t="shared" si="5"/>
        <v>10000</v>
      </c>
      <c r="D2346" s="146"/>
      <c r="E2346" s="305"/>
      <c r="F2346" s="383"/>
      <c r="G2346" s="154">
        <f>LEN('Expected Auditing Outcomes'!$F2346)</f>
        <v>0</v>
      </c>
      <c r="H2346" s="154"/>
    </row>
    <row r="2347" ht="15.75" hidden="1" customHeight="1">
      <c r="B2347" s="146"/>
      <c r="C2347" s="146">
        <f t="shared" si="5"/>
        <v>10000</v>
      </c>
      <c r="D2347" s="146"/>
      <c r="E2347" s="305"/>
      <c r="F2347" s="383"/>
      <c r="G2347" s="154">
        <f>LEN('Expected Auditing Outcomes'!$F2347)</f>
        <v>0</v>
      </c>
      <c r="H2347" s="154"/>
    </row>
    <row r="2348" ht="15.75" hidden="1" customHeight="1">
      <c r="B2348" s="146"/>
      <c r="C2348" s="146">
        <f t="shared" si="5"/>
        <v>10000</v>
      </c>
      <c r="D2348" s="146"/>
      <c r="E2348" s="305"/>
      <c r="F2348" s="383"/>
      <c r="G2348" s="154">
        <f>LEN('Expected Auditing Outcomes'!$F2348)</f>
        <v>0</v>
      </c>
      <c r="H2348" s="154"/>
    </row>
    <row r="2349" ht="15.75" hidden="1" customHeight="1">
      <c r="B2349" s="146"/>
      <c r="C2349" s="146">
        <f t="shared" si="5"/>
        <v>10000</v>
      </c>
      <c r="D2349" s="146"/>
      <c r="E2349" s="305"/>
      <c r="F2349" s="383"/>
      <c r="G2349" s="154">
        <f>LEN('Expected Auditing Outcomes'!$F2349)</f>
        <v>0</v>
      </c>
      <c r="H2349" s="154"/>
    </row>
    <row r="2350" ht="15.75" hidden="1" customHeight="1">
      <c r="B2350" s="146"/>
      <c r="C2350" s="146">
        <f t="shared" si="5"/>
        <v>10000</v>
      </c>
      <c r="D2350" s="146"/>
      <c r="E2350" s="305"/>
      <c r="F2350" s="383"/>
      <c r="G2350" s="154">
        <f>LEN('Expected Auditing Outcomes'!$F2350)</f>
        <v>0</v>
      </c>
      <c r="H2350" s="154"/>
    </row>
    <row r="2351" ht="15.75" hidden="1" customHeight="1">
      <c r="B2351" s="146"/>
      <c r="C2351" s="146">
        <f t="shared" si="5"/>
        <v>10000</v>
      </c>
      <c r="D2351" s="146"/>
      <c r="E2351" s="305"/>
      <c r="F2351" s="383"/>
      <c r="G2351" s="154">
        <f>LEN('Expected Auditing Outcomes'!$F2351)</f>
        <v>0</v>
      </c>
      <c r="H2351" s="154"/>
    </row>
    <row r="2352" ht="15.75" hidden="1" customHeight="1">
      <c r="B2352" s="146"/>
      <c r="C2352" s="146">
        <f t="shared" si="5"/>
        <v>10000</v>
      </c>
      <c r="D2352" s="146"/>
      <c r="E2352" s="305"/>
      <c r="F2352" s="383"/>
      <c r="G2352" s="154">
        <f>LEN('Expected Auditing Outcomes'!$F2352)</f>
        <v>0</v>
      </c>
      <c r="H2352" s="154"/>
    </row>
    <row r="2353" ht="15.75" hidden="1" customHeight="1">
      <c r="B2353" s="146"/>
      <c r="C2353" s="146">
        <f t="shared" si="5"/>
        <v>10000</v>
      </c>
      <c r="D2353" s="146"/>
      <c r="E2353" s="305"/>
      <c r="F2353" s="383"/>
      <c r="G2353" s="154">
        <f>LEN('Expected Auditing Outcomes'!$F2353)</f>
        <v>0</v>
      </c>
      <c r="H2353" s="154"/>
    </row>
    <row r="2354" ht="15.75" hidden="1" customHeight="1">
      <c r="B2354" s="146"/>
      <c r="C2354" s="146">
        <f t="shared" si="5"/>
        <v>10000</v>
      </c>
      <c r="D2354" s="146"/>
      <c r="E2354" s="305"/>
      <c r="F2354" s="383"/>
      <c r="G2354" s="154">
        <f>LEN('Expected Auditing Outcomes'!$F2354)</f>
        <v>0</v>
      </c>
      <c r="H2354" s="154"/>
    </row>
    <row r="2355" ht="15.75" hidden="1" customHeight="1">
      <c r="B2355" s="146"/>
      <c r="C2355" s="146">
        <f t="shared" si="5"/>
        <v>10000</v>
      </c>
      <c r="D2355" s="146"/>
      <c r="E2355" s="305"/>
      <c r="F2355" s="383"/>
      <c r="G2355" s="154">
        <f>LEN('Expected Auditing Outcomes'!$F2355)</f>
        <v>0</v>
      </c>
      <c r="H2355" s="154"/>
    </row>
    <row r="2356" ht="15.75" hidden="1" customHeight="1">
      <c r="B2356" s="146"/>
      <c r="C2356" s="146">
        <f t="shared" si="5"/>
        <v>10000</v>
      </c>
      <c r="D2356" s="146"/>
      <c r="E2356" s="305"/>
      <c r="F2356" s="383"/>
      <c r="G2356" s="154">
        <f>LEN('Expected Auditing Outcomes'!$F2356)</f>
        <v>0</v>
      </c>
      <c r="H2356" s="154"/>
    </row>
    <row r="2357" ht="15.75" hidden="1" customHeight="1">
      <c r="B2357" s="146"/>
      <c r="C2357" s="146">
        <f t="shared" si="5"/>
        <v>10000</v>
      </c>
      <c r="D2357" s="146"/>
      <c r="E2357" s="305"/>
      <c r="F2357" s="383"/>
      <c r="G2357" s="154">
        <f>LEN('Expected Auditing Outcomes'!$F2357)</f>
        <v>0</v>
      </c>
      <c r="H2357" s="154"/>
    </row>
    <row r="2358" ht="15.75" hidden="1" customHeight="1">
      <c r="B2358" s="146"/>
      <c r="C2358" s="146">
        <f t="shared" si="5"/>
        <v>10000</v>
      </c>
      <c r="D2358" s="146"/>
      <c r="E2358" s="305"/>
      <c r="F2358" s="383"/>
      <c r="G2358" s="154">
        <f>LEN('Expected Auditing Outcomes'!$F2358)</f>
        <v>0</v>
      </c>
      <c r="H2358" s="154"/>
    </row>
    <row r="2359" ht="15.75" hidden="1" customHeight="1">
      <c r="B2359" s="146"/>
      <c r="C2359" s="146">
        <f t="shared" si="5"/>
        <v>10000</v>
      </c>
      <c r="D2359" s="146"/>
      <c r="E2359" s="305"/>
      <c r="F2359" s="383"/>
      <c r="G2359" s="154">
        <f>LEN('Expected Auditing Outcomes'!$F2359)</f>
        <v>0</v>
      </c>
      <c r="H2359" s="154"/>
    </row>
    <row r="2360" ht="15.75" hidden="1" customHeight="1">
      <c r="B2360" s="146"/>
      <c r="C2360" s="146">
        <f t="shared" si="5"/>
        <v>10000</v>
      </c>
      <c r="D2360" s="146"/>
      <c r="E2360" s="305"/>
      <c r="F2360" s="383"/>
      <c r="G2360" s="154">
        <f>LEN('Expected Auditing Outcomes'!$F2360)</f>
        <v>0</v>
      </c>
      <c r="H2360" s="154"/>
    </row>
    <row r="2361" ht="15.75" hidden="1" customHeight="1">
      <c r="B2361" s="146"/>
      <c r="C2361" s="146">
        <f t="shared" si="5"/>
        <v>10000</v>
      </c>
      <c r="D2361" s="146"/>
      <c r="E2361" s="305"/>
      <c r="F2361" s="383"/>
      <c r="G2361" s="154">
        <f>LEN('Expected Auditing Outcomes'!$F2361)</f>
        <v>0</v>
      </c>
      <c r="H2361" s="154"/>
    </row>
    <row r="2362" ht="15.75" hidden="1" customHeight="1">
      <c r="B2362" s="146"/>
      <c r="C2362" s="146">
        <f t="shared" si="5"/>
        <v>10000</v>
      </c>
      <c r="D2362" s="146"/>
      <c r="E2362" s="305"/>
      <c r="F2362" s="383"/>
      <c r="G2362" s="154">
        <f>LEN('Expected Auditing Outcomes'!$F2362)</f>
        <v>0</v>
      </c>
      <c r="H2362" s="154"/>
    </row>
    <row r="2363" ht="15.75" hidden="1" customHeight="1">
      <c r="B2363" s="146"/>
      <c r="C2363" s="146">
        <f t="shared" si="5"/>
        <v>10000</v>
      </c>
      <c r="D2363" s="146"/>
      <c r="E2363" s="305"/>
      <c r="F2363" s="383"/>
      <c r="G2363" s="154">
        <f>LEN('Expected Auditing Outcomes'!$F2363)</f>
        <v>0</v>
      </c>
      <c r="H2363" s="154"/>
    </row>
    <row r="2364" ht="15.75" hidden="1" customHeight="1">
      <c r="B2364" s="146"/>
      <c r="C2364" s="146">
        <f t="shared" si="5"/>
        <v>10000</v>
      </c>
      <c r="D2364" s="146"/>
      <c r="E2364" s="305"/>
      <c r="F2364" s="383"/>
      <c r="G2364" s="154">
        <f>LEN('Expected Auditing Outcomes'!$F2364)</f>
        <v>0</v>
      </c>
      <c r="H2364" s="154"/>
    </row>
    <row r="2365" ht="15.75" hidden="1" customHeight="1">
      <c r="B2365" s="146"/>
      <c r="C2365" s="146">
        <f t="shared" si="5"/>
        <v>10000</v>
      </c>
      <c r="D2365" s="146"/>
      <c r="E2365" s="305"/>
      <c r="F2365" s="383"/>
      <c r="G2365" s="154">
        <f>LEN('Expected Auditing Outcomes'!$F2365)</f>
        <v>0</v>
      </c>
      <c r="H2365" s="154"/>
    </row>
    <row r="2366" ht="15.75" hidden="1" customHeight="1">
      <c r="B2366" s="146"/>
      <c r="C2366" s="146">
        <f t="shared" si="5"/>
        <v>10000</v>
      </c>
      <c r="D2366" s="146"/>
      <c r="E2366" s="305"/>
      <c r="F2366" s="383"/>
      <c r="G2366" s="154">
        <f>LEN('Expected Auditing Outcomes'!$F2366)</f>
        <v>0</v>
      </c>
      <c r="H2366" s="154"/>
    </row>
    <row r="2367" ht="15.75" hidden="1" customHeight="1">
      <c r="B2367" s="146"/>
      <c r="C2367" s="146">
        <f t="shared" si="5"/>
        <v>10000</v>
      </c>
      <c r="D2367" s="146"/>
      <c r="E2367" s="305"/>
      <c r="F2367" s="383"/>
      <c r="G2367" s="154">
        <f>LEN('Expected Auditing Outcomes'!$F2367)</f>
        <v>0</v>
      </c>
      <c r="H2367" s="154"/>
    </row>
    <row r="2368" ht="15.75" hidden="1" customHeight="1">
      <c r="B2368" s="146"/>
      <c r="C2368" s="146">
        <f t="shared" si="5"/>
        <v>10000</v>
      </c>
      <c r="D2368" s="146"/>
      <c r="E2368" s="305"/>
      <c r="F2368" s="383"/>
      <c r="G2368" s="154">
        <f>LEN('Expected Auditing Outcomes'!$F2368)</f>
        <v>0</v>
      </c>
      <c r="H2368" s="154"/>
    </row>
    <row r="2369" ht="15.75" hidden="1" customHeight="1">
      <c r="B2369" s="146"/>
      <c r="C2369" s="146">
        <f t="shared" si="5"/>
        <v>10000</v>
      </c>
      <c r="D2369" s="146"/>
      <c r="E2369" s="305"/>
      <c r="F2369" s="383"/>
      <c r="G2369" s="154">
        <f>LEN('Expected Auditing Outcomes'!$F2369)</f>
        <v>0</v>
      </c>
      <c r="H2369" s="154"/>
    </row>
    <row r="2370" ht="15.75" hidden="1" customHeight="1">
      <c r="B2370" s="146"/>
      <c r="C2370" s="146">
        <f t="shared" si="5"/>
        <v>10000</v>
      </c>
      <c r="D2370" s="146"/>
      <c r="E2370" s="305"/>
      <c r="F2370" s="383"/>
      <c r="G2370" s="154">
        <f>LEN('Expected Auditing Outcomes'!$F2370)</f>
        <v>0</v>
      </c>
      <c r="H2370" s="154"/>
    </row>
    <row r="2371" ht="15.75" hidden="1" customHeight="1">
      <c r="B2371" s="146"/>
      <c r="C2371" s="146">
        <f t="shared" si="5"/>
        <v>10000</v>
      </c>
      <c r="D2371" s="146"/>
      <c r="E2371" s="305"/>
      <c r="F2371" s="383"/>
      <c r="G2371" s="154">
        <f>LEN('Expected Auditing Outcomes'!$F2371)</f>
        <v>0</v>
      </c>
      <c r="H2371" s="154"/>
    </row>
    <row r="2372" ht="15.75" hidden="1" customHeight="1">
      <c r="B2372" s="146"/>
      <c r="C2372" s="146">
        <f t="shared" si="5"/>
        <v>10000</v>
      </c>
      <c r="D2372" s="146"/>
      <c r="E2372" s="305"/>
      <c r="F2372" s="383"/>
      <c r="G2372" s="154">
        <f>LEN('Expected Auditing Outcomes'!$F2372)</f>
        <v>0</v>
      </c>
      <c r="H2372" s="154"/>
    </row>
    <row r="2373" ht="15.75" hidden="1" customHeight="1">
      <c r="B2373" s="146"/>
      <c r="C2373" s="146">
        <f t="shared" si="5"/>
        <v>10000</v>
      </c>
      <c r="D2373" s="146"/>
      <c r="E2373" s="305"/>
      <c r="F2373" s="383"/>
      <c r="G2373" s="154">
        <f>LEN('Expected Auditing Outcomes'!$F2373)</f>
        <v>0</v>
      </c>
      <c r="H2373" s="154"/>
    </row>
    <row r="2374" ht="15.75" hidden="1" customHeight="1">
      <c r="B2374" s="146"/>
      <c r="C2374" s="146">
        <f t="shared" si="5"/>
        <v>10000</v>
      </c>
      <c r="D2374" s="146"/>
      <c r="E2374" s="305"/>
      <c r="F2374" s="383"/>
      <c r="G2374" s="154">
        <f>LEN('Expected Auditing Outcomes'!$F2374)</f>
        <v>0</v>
      </c>
      <c r="H2374" s="154"/>
    </row>
    <row r="2375" ht="15.75" hidden="1" customHeight="1">
      <c r="B2375" s="146"/>
      <c r="C2375" s="146">
        <f t="shared" si="5"/>
        <v>10000</v>
      </c>
      <c r="D2375" s="146"/>
      <c r="E2375" s="305"/>
      <c r="F2375" s="383"/>
      <c r="G2375" s="154">
        <f>LEN('Expected Auditing Outcomes'!$F2375)</f>
        <v>0</v>
      </c>
      <c r="H2375" s="154"/>
    </row>
    <row r="2376" ht="15.75" hidden="1" customHeight="1">
      <c r="B2376" s="146"/>
      <c r="C2376" s="146">
        <f t="shared" si="5"/>
        <v>10000</v>
      </c>
      <c r="D2376" s="146"/>
      <c r="E2376" s="305"/>
      <c r="F2376" s="383"/>
      <c r="G2376" s="154">
        <f>LEN('Expected Auditing Outcomes'!$F2376)</f>
        <v>0</v>
      </c>
      <c r="H2376" s="154"/>
    </row>
    <row r="2377" ht="15.75" hidden="1" customHeight="1">
      <c r="B2377" s="146"/>
      <c r="C2377" s="146">
        <f t="shared" si="5"/>
        <v>10000</v>
      </c>
      <c r="D2377" s="146"/>
      <c r="E2377" s="305"/>
      <c r="F2377" s="383"/>
      <c r="G2377" s="154">
        <f>LEN('Expected Auditing Outcomes'!$F2377)</f>
        <v>0</v>
      </c>
      <c r="H2377" s="154"/>
    </row>
    <row r="2378" ht="15.75" hidden="1" customHeight="1">
      <c r="B2378" s="146"/>
      <c r="C2378" s="146">
        <f t="shared" si="5"/>
        <v>10000</v>
      </c>
      <c r="D2378" s="146"/>
      <c r="E2378" s="305"/>
      <c r="F2378" s="383"/>
      <c r="G2378" s="154">
        <f>LEN('Expected Auditing Outcomes'!$F2378)</f>
        <v>0</v>
      </c>
      <c r="H2378" s="154"/>
    </row>
    <row r="2379" ht="15.75" hidden="1" customHeight="1">
      <c r="B2379" s="146"/>
      <c r="C2379" s="146">
        <f t="shared" si="5"/>
        <v>10000</v>
      </c>
      <c r="D2379" s="146"/>
      <c r="E2379" s="305"/>
      <c r="F2379" s="383"/>
      <c r="G2379" s="154">
        <f>LEN('Expected Auditing Outcomes'!$F2379)</f>
        <v>0</v>
      </c>
      <c r="H2379" s="154"/>
    </row>
    <row r="2380" ht="15.75" hidden="1" customHeight="1">
      <c r="B2380" s="146"/>
      <c r="C2380" s="146">
        <f t="shared" si="5"/>
        <v>10000</v>
      </c>
      <c r="D2380" s="146"/>
      <c r="E2380" s="305"/>
      <c r="F2380" s="383"/>
      <c r="G2380" s="154">
        <f>LEN('Expected Auditing Outcomes'!$F2380)</f>
        <v>0</v>
      </c>
      <c r="H2380" s="154"/>
    </row>
    <row r="2381" ht="15.75" hidden="1" customHeight="1">
      <c r="B2381" s="146"/>
      <c r="C2381" s="146">
        <f t="shared" si="5"/>
        <v>10000</v>
      </c>
      <c r="D2381" s="146"/>
      <c r="E2381" s="305"/>
      <c r="F2381" s="383"/>
      <c r="G2381" s="154">
        <f>LEN('Expected Auditing Outcomes'!$F2381)</f>
        <v>0</v>
      </c>
      <c r="H2381" s="154"/>
    </row>
    <row r="2382" ht="15.75" hidden="1" customHeight="1">
      <c r="B2382" s="146"/>
      <c r="C2382" s="146">
        <f t="shared" si="5"/>
        <v>10000</v>
      </c>
      <c r="D2382" s="146"/>
      <c r="E2382" s="305"/>
      <c r="F2382" s="383"/>
      <c r="G2382" s="154">
        <f>LEN('Expected Auditing Outcomes'!$F2382)</f>
        <v>0</v>
      </c>
      <c r="H2382" s="154"/>
    </row>
    <row r="2383" ht="15.75" hidden="1" customHeight="1">
      <c r="B2383" s="146"/>
      <c r="C2383" s="146">
        <f t="shared" si="5"/>
        <v>10000</v>
      </c>
      <c r="D2383" s="146"/>
      <c r="E2383" s="305"/>
      <c r="F2383" s="383"/>
      <c r="G2383" s="154">
        <f>LEN('Expected Auditing Outcomes'!$F2383)</f>
        <v>0</v>
      </c>
      <c r="H2383" s="154"/>
    </row>
    <row r="2384" ht="15.75" hidden="1" customHeight="1">
      <c r="B2384" s="146"/>
      <c r="C2384" s="146">
        <f t="shared" si="5"/>
        <v>10000</v>
      </c>
      <c r="D2384" s="146"/>
      <c r="E2384" s="305"/>
      <c r="F2384" s="383"/>
      <c r="G2384" s="154">
        <f>LEN('Expected Auditing Outcomes'!$F2384)</f>
        <v>0</v>
      </c>
      <c r="H2384" s="154"/>
    </row>
    <row r="2385" ht="15.75" hidden="1" customHeight="1">
      <c r="B2385" s="146"/>
      <c r="C2385" s="146">
        <f t="shared" si="5"/>
        <v>10000</v>
      </c>
      <c r="D2385" s="146"/>
      <c r="E2385" s="305"/>
      <c r="F2385" s="383"/>
      <c r="G2385" s="154">
        <f>LEN('Expected Auditing Outcomes'!$F2385)</f>
        <v>0</v>
      </c>
      <c r="H2385" s="154"/>
    </row>
    <row r="2386" ht="15.75" hidden="1" customHeight="1">
      <c r="B2386" s="146"/>
      <c r="C2386" s="146">
        <f t="shared" si="5"/>
        <v>10000</v>
      </c>
      <c r="D2386" s="146"/>
      <c r="E2386" s="305"/>
      <c r="F2386" s="383"/>
      <c r="G2386" s="154">
        <f>LEN('Expected Auditing Outcomes'!$F2386)</f>
        <v>0</v>
      </c>
      <c r="H2386" s="154"/>
    </row>
    <row r="2387" ht="15.75" hidden="1" customHeight="1">
      <c r="B2387" s="146"/>
      <c r="C2387" s="146">
        <f t="shared" si="5"/>
        <v>10000</v>
      </c>
      <c r="D2387" s="146"/>
      <c r="E2387" s="305"/>
      <c r="F2387" s="383"/>
      <c r="G2387" s="154">
        <f>LEN('Expected Auditing Outcomes'!$F2387)</f>
        <v>0</v>
      </c>
      <c r="H2387" s="154"/>
    </row>
    <row r="2388" ht="15.75" hidden="1" customHeight="1">
      <c r="B2388" s="146"/>
      <c r="C2388" s="146">
        <f t="shared" si="5"/>
        <v>10000</v>
      </c>
      <c r="D2388" s="146"/>
      <c r="E2388" s="305"/>
      <c r="F2388" s="383"/>
      <c r="G2388" s="154">
        <f>LEN('Expected Auditing Outcomes'!$F2388)</f>
        <v>0</v>
      </c>
      <c r="H2388" s="154"/>
    </row>
    <row r="2389" ht="15.75" hidden="1" customHeight="1">
      <c r="B2389" s="146"/>
      <c r="C2389" s="146">
        <f t="shared" si="5"/>
        <v>10000</v>
      </c>
      <c r="D2389" s="146"/>
      <c r="E2389" s="305"/>
      <c r="F2389" s="383"/>
      <c r="G2389" s="154">
        <f>LEN('Expected Auditing Outcomes'!$F2389)</f>
        <v>0</v>
      </c>
      <c r="H2389" s="154"/>
    </row>
    <row r="2390" ht="15.75" hidden="1" customHeight="1">
      <c r="B2390" s="146"/>
      <c r="C2390" s="146">
        <f t="shared" si="5"/>
        <v>10000</v>
      </c>
      <c r="D2390" s="146"/>
      <c r="E2390" s="305"/>
      <c r="F2390" s="383"/>
      <c r="G2390" s="154">
        <f>LEN('Expected Auditing Outcomes'!$F2390)</f>
        <v>0</v>
      </c>
      <c r="H2390" s="154"/>
    </row>
    <row r="2391" ht="15.75" hidden="1" customHeight="1">
      <c r="B2391" s="146"/>
      <c r="C2391" s="146">
        <f t="shared" si="5"/>
        <v>10000</v>
      </c>
      <c r="D2391" s="146"/>
      <c r="E2391" s="305"/>
      <c r="F2391" s="383"/>
      <c r="G2391" s="154">
        <f>LEN('Expected Auditing Outcomes'!$F2391)</f>
        <v>0</v>
      </c>
      <c r="H2391" s="154"/>
    </row>
    <row r="2392" ht="15.75" hidden="1" customHeight="1">
      <c r="B2392" s="146"/>
      <c r="C2392" s="146">
        <f t="shared" si="5"/>
        <v>10000</v>
      </c>
      <c r="D2392" s="146"/>
      <c r="E2392" s="305"/>
      <c r="F2392" s="383"/>
      <c r="G2392" s="154">
        <f>LEN('Expected Auditing Outcomes'!$F2392)</f>
        <v>0</v>
      </c>
      <c r="H2392" s="154"/>
    </row>
    <row r="2393" ht="15.75" hidden="1" customHeight="1">
      <c r="B2393" s="146"/>
      <c r="C2393" s="146">
        <f t="shared" si="5"/>
        <v>10000</v>
      </c>
      <c r="D2393" s="146"/>
      <c r="E2393" s="305"/>
      <c r="F2393" s="383"/>
      <c r="G2393" s="154">
        <f>LEN('Expected Auditing Outcomes'!$F2393)</f>
        <v>0</v>
      </c>
      <c r="H2393" s="154"/>
    </row>
    <row r="2394" ht="15.75" hidden="1" customHeight="1">
      <c r="B2394" s="146"/>
      <c r="C2394" s="146">
        <f t="shared" si="5"/>
        <v>10000</v>
      </c>
      <c r="D2394" s="146"/>
      <c r="E2394" s="305"/>
      <c r="F2394" s="383"/>
      <c r="G2394" s="154">
        <f>LEN('Expected Auditing Outcomes'!$F2394)</f>
        <v>0</v>
      </c>
      <c r="H2394" s="154"/>
    </row>
    <row r="2395" ht="15.75" hidden="1" customHeight="1">
      <c r="B2395" s="146"/>
      <c r="C2395" s="146">
        <f t="shared" si="5"/>
        <v>10000</v>
      </c>
      <c r="D2395" s="146"/>
      <c r="E2395" s="305"/>
      <c r="F2395" s="383"/>
      <c r="G2395" s="154">
        <f>LEN('Expected Auditing Outcomes'!$F2395)</f>
        <v>0</v>
      </c>
      <c r="H2395" s="154"/>
    </row>
    <row r="2396" ht="15.75" hidden="1" customHeight="1">
      <c r="B2396" s="146"/>
      <c r="C2396" s="146">
        <f t="shared" si="5"/>
        <v>10000</v>
      </c>
      <c r="D2396" s="146"/>
      <c r="E2396" s="305"/>
      <c r="F2396" s="383"/>
      <c r="G2396" s="154">
        <f>LEN('Expected Auditing Outcomes'!$F2396)</f>
        <v>0</v>
      </c>
      <c r="H2396" s="154"/>
    </row>
    <row r="2397" ht="15.75" hidden="1" customHeight="1">
      <c r="B2397" s="146"/>
      <c r="C2397" s="146">
        <f t="shared" si="5"/>
        <v>10000</v>
      </c>
      <c r="D2397" s="146"/>
      <c r="E2397" s="305"/>
      <c r="F2397" s="383"/>
      <c r="G2397" s="154">
        <f>LEN('Expected Auditing Outcomes'!$F2397)</f>
        <v>0</v>
      </c>
      <c r="H2397" s="154"/>
    </row>
    <row r="2398" ht="15.75" hidden="1" customHeight="1">
      <c r="B2398" s="146"/>
      <c r="C2398" s="146">
        <f t="shared" si="5"/>
        <v>10000</v>
      </c>
      <c r="D2398" s="146"/>
      <c r="E2398" s="305"/>
      <c r="F2398" s="383"/>
      <c r="G2398" s="154">
        <f>LEN('Expected Auditing Outcomes'!$F2398)</f>
        <v>0</v>
      </c>
      <c r="H2398" s="154"/>
    </row>
    <row r="2399" ht="15.75" hidden="1" customHeight="1">
      <c r="B2399" s="146"/>
      <c r="C2399" s="146">
        <f t="shared" si="5"/>
        <v>10000</v>
      </c>
      <c r="D2399" s="146"/>
      <c r="E2399" s="305"/>
      <c r="F2399" s="383"/>
      <c r="G2399" s="154">
        <f>LEN('Expected Auditing Outcomes'!$F2399)</f>
        <v>0</v>
      </c>
      <c r="H2399" s="154"/>
    </row>
    <row r="2400" ht="15.75" hidden="1" customHeight="1">
      <c r="B2400" s="146"/>
      <c r="C2400" s="146">
        <f t="shared" si="5"/>
        <v>10000</v>
      </c>
      <c r="D2400" s="146"/>
      <c r="E2400" s="305"/>
      <c r="F2400" s="383"/>
      <c r="G2400" s="154">
        <f>LEN('Expected Auditing Outcomes'!$F2400)</f>
        <v>0</v>
      </c>
      <c r="H2400" s="154"/>
    </row>
    <row r="2401" ht="15.75" hidden="1" customHeight="1">
      <c r="B2401" s="146"/>
      <c r="C2401" s="146">
        <f t="shared" si="5"/>
        <v>10000</v>
      </c>
      <c r="D2401" s="146"/>
      <c r="E2401" s="305"/>
      <c r="F2401" s="383"/>
      <c r="G2401" s="154">
        <f>LEN('Expected Auditing Outcomes'!$F2401)</f>
        <v>0</v>
      </c>
      <c r="H2401" s="154"/>
    </row>
    <row r="2402" ht="15.75" hidden="1" customHeight="1">
      <c r="B2402" s="146"/>
      <c r="C2402" s="146">
        <f t="shared" si="5"/>
        <v>10000</v>
      </c>
      <c r="D2402" s="146"/>
      <c r="E2402" s="305"/>
      <c r="F2402" s="383"/>
      <c r="G2402" s="154">
        <f>LEN('Expected Auditing Outcomes'!$F2402)</f>
        <v>0</v>
      </c>
      <c r="H2402" s="154"/>
    </row>
    <row r="2403" ht="15.75" hidden="1" customHeight="1">
      <c r="B2403" s="146"/>
      <c r="C2403" s="146">
        <f t="shared" si="5"/>
        <v>10000</v>
      </c>
      <c r="D2403" s="146"/>
      <c r="E2403" s="305"/>
      <c r="F2403" s="383"/>
      <c r="G2403" s="154">
        <f>LEN('Expected Auditing Outcomes'!$F2403)</f>
        <v>0</v>
      </c>
      <c r="H2403" s="154"/>
    </row>
    <row r="2404" ht="15.75" hidden="1" customHeight="1">
      <c r="B2404" s="146"/>
      <c r="C2404" s="146">
        <f t="shared" si="5"/>
        <v>10000</v>
      </c>
      <c r="D2404" s="146"/>
      <c r="E2404" s="305"/>
      <c r="F2404" s="383"/>
      <c r="G2404" s="154">
        <f>LEN('Expected Auditing Outcomes'!$F2404)</f>
        <v>0</v>
      </c>
      <c r="H2404" s="154"/>
    </row>
    <row r="2405" ht="15.75" hidden="1" customHeight="1">
      <c r="B2405" s="146"/>
      <c r="C2405" s="146">
        <f t="shared" si="5"/>
        <v>10000</v>
      </c>
      <c r="D2405" s="146"/>
      <c r="E2405" s="305"/>
      <c r="F2405" s="383"/>
      <c r="G2405" s="154">
        <f>LEN('Expected Auditing Outcomes'!$F2405)</f>
        <v>0</v>
      </c>
      <c r="H2405" s="154"/>
    </row>
    <row r="2406" ht="15.75" hidden="1" customHeight="1">
      <c r="B2406" s="146"/>
      <c r="C2406" s="146">
        <f t="shared" si="5"/>
        <v>10000</v>
      </c>
      <c r="D2406" s="146"/>
      <c r="E2406" s="305"/>
      <c r="F2406" s="383"/>
      <c r="G2406" s="154">
        <f>LEN('Expected Auditing Outcomes'!$F2406)</f>
        <v>0</v>
      </c>
      <c r="H2406" s="154"/>
    </row>
    <row r="2407" ht="15.75" hidden="1" customHeight="1">
      <c r="B2407" s="146"/>
      <c r="C2407" s="146">
        <f t="shared" si="5"/>
        <v>10000</v>
      </c>
      <c r="D2407" s="146"/>
      <c r="E2407" s="305"/>
      <c r="F2407" s="383"/>
      <c r="G2407" s="154">
        <f>LEN('Expected Auditing Outcomes'!$F2407)</f>
        <v>0</v>
      </c>
      <c r="H2407" s="154"/>
    </row>
    <row r="2408" ht="15.75" hidden="1" customHeight="1">
      <c r="B2408" s="146"/>
      <c r="C2408" s="146">
        <f t="shared" si="5"/>
        <v>10000</v>
      </c>
      <c r="D2408" s="146"/>
      <c r="E2408" s="305"/>
      <c r="F2408" s="383"/>
      <c r="G2408" s="154">
        <f>LEN('Expected Auditing Outcomes'!$F2408)</f>
        <v>0</v>
      </c>
      <c r="H2408" s="154"/>
    </row>
    <row r="2409" ht="15.75" hidden="1" customHeight="1">
      <c r="B2409" s="146"/>
      <c r="C2409" s="146">
        <f t="shared" si="5"/>
        <v>10000</v>
      </c>
      <c r="D2409" s="146"/>
      <c r="E2409" s="305"/>
      <c r="F2409" s="383"/>
      <c r="G2409" s="154">
        <f>LEN('Expected Auditing Outcomes'!$F2409)</f>
        <v>0</v>
      </c>
      <c r="H2409" s="154"/>
    </row>
    <row r="2410" ht="15.75" hidden="1" customHeight="1">
      <c r="B2410" s="146"/>
      <c r="C2410" s="146">
        <f t="shared" si="5"/>
        <v>10000</v>
      </c>
      <c r="D2410" s="146"/>
      <c r="E2410" s="305"/>
      <c r="F2410" s="383"/>
      <c r="G2410" s="154">
        <f>LEN('Expected Auditing Outcomes'!$F2410)</f>
        <v>0</v>
      </c>
      <c r="H2410" s="154"/>
    </row>
    <row r="2411" ht="15.75" hidden="1" customHeight="1">
      <c r="B2411" s="146"/>
      <c r="C2411" s="146">
        <f t="shared" si="5"/>
        <v>10000</v>
      </c>
      <c r="D2411" s="146"/>
      <c r="E2411" s="305"/>
      <c r="F2411" s="383"/>
      <c r="G2411" s="154">
        <f>LEN('Expected Auditing Outcomes'!$F2411)</f>
        <v>0</v>
      </c>
      <c r="H2411" s="154"/>
    </row>
    <row r="2412" ht="15.75" hidden="1" customHeight="1">
      <c r="B2412" s="146"/>
      <c r="C2412" s="146">
        <f t="shared" si="5"/>
        <v>10000</v>
      </c>
      <c r="D2412" s="146"/>
      <c r="E2412" s="305"/>
      <c r="F2412" s="383"/>
      <c r="G2412" s="154">
        <f>LEN('Expected Auditing Outcomes'!$F2412)</f>
        <v>0</v>
      </c>
      <c r="H2412" s="154"/>
    </row>
    <row r="2413" ht="15.75" hidden="1" customHeight="1">
      <c r="B2413" s="146"/>
      <c r="C2413" s="146">
        <f t="shared" si="5"/>
        <v>10000</v>
      </c>
      <c r="D2413" s="146"/>
      <c r="E2413" s="305"/>
      <c r="F2413" s="383"/>
      <c r="G2413" s="154">
        <f>LEN('Expected Auditing Outcomes'!$F2413)</f>
        <v>0</v>
      </c>
      <c r="H2413" s="154"/>
    </row>
    <row r="2414" ht="15.75" hidden="1" customHeight="1">
      <c r="B2414" s="146"/>
      <c r="C2414" s="146">
        <f t="shared" si="5"/>
        <v>10000</v>
      </c>
      <c r="D2414" s="146"/>
      <c r="E2414" s="305"/>
      <c r="F2414" s="383"/>
      <c r="G2414" s="154">
        <f>LEN('Expected Auditing Outcomes'!$F2414)</f>
        <v>0</v>
      </c>
      <c r="H2414" s="154"/>
    </row>
    <row r="2415" ht="15.75" hidden="1" customHeight="1">
      <c r="B2415" s="146"/>
      <c r="C2415" s="146">
        <f t="shared" si="5"/>
        <v>10000</v>
      </c>
      <c r="D2415" s="146"/>
      <c r="E2415" s="305"/>
      <c r="F2415" s="383"/>
      <c r="G2415" s="154">
        <f>LEN('Expected Auditing Outcomes'!$F2415)</f>
        <v>0</v>
      </c>
      <c r="H2415" s="154"/>
    </row>
    <row r="2416" ht="15.75" hidden="1" customHeight="1">
      <c r="B2416" s="146"/>
      <c r="C2416" s="146">
        <f t="shared" si="5"/>
        <v>10000</v>
      </c>
      <c r="D2416" s="146"/>
      <c r="E2416" s="305"/>
      <c r="F2416" s="383"/>
      <c r="G2416" s="154">
        <f>LEN('Expected Auditing Outcomes'!$F2416)</f>
        <v>0</v>
      </c>
      <c r="H2416" s="154"/>
    </row>
    <row r="2417" ht="15.75" hidden="1" customHeight="1">
      <c r="B2417" s="146"/>
      <c r="C2417" s="146">
        <f t="shared" si="5"/>
        <v>10000</v>
      </c>
      <c r="D2417" s="146"/>
      <c r="E2417" s="305"/>
      <c r="F2417" s="383"/>
      <c r="G2417" s="154">
        <f>LEN('Expected Auditing Outcomes'!$F2417)</f>
        <v>0</v>
      </c>
      <c r="H2417" s="154"/>
    </row>
    <row r="2418" ht="15.75" hidden="1" customHeight="1">
      <c r="B2418" s="146"/>
      <c r="C2418" s="146">
        <f t="shared" si="5"/>
        <v>10000</v>
      </c>
      <c r="D2418" s="146"/>
      <c r="E2418" s="305"/>
      <c r="F2418" s="383"/>
      <c r="G2418" s="154">
        <f>LEN('Expected Auditing Outcomes'!$F2418)</f>
        <v>0</v>
      </c>
      <c r="H2418" s="154"/>
    </row>
    <row r="2419" ht="15.75" hidden="1" customHeight="1">
      <c r="B2419" s="146"/>
      <c r="C2419" s="146">
        <f t="shared" si="5"/>
        <v>10000</v>
      </c>
      <c r="D2419" s="146"/>
      <c r="E2419" s="305"/>
      <c r="F2419" s="383"/>
      <c r="G2419" s="154">
        <f>LEN('Expected Auditing Outcomes'!$F2419)</f>
        <v>0</v>
      </c>
      <c r="H2419" s="154"/>
    </row>
    <row r="2420" ht="15.75" hidden="1" customHeight="1">
      <c r="B2420" s="146"/>
      <c r="C2420" s="146">
        <f t="shared" si="5"/>
        <v>10000</v>
      </c>
      <c r="D2420" s="146"/>
      <c r="E2420" s="305"/>
      <c r="F2420" s="383"/>
      <c r="G2420" s="154">
        <f>LEN('Expected Auditing Outcomes'!$F2420)</f>
        <v>0</v>
      </c>
      <c r="H2420" s="154"/>
    </row>
    <row r="2421" ht="15.75" hidden="1" customHeight="1">
      <c r="B2421" s="146"/>
      <c r="C2421" s="146">
        <f t="shared" si="5"/>
        <v>10000</v>
      </c>
      <c r="D2421" s="146"/>
      <c r="E2421" s="305"/>
      <c r="F2421" s="383"/>
      <c r="G2421" s="154">
        <f>LEN('Expected Auditing Outcomes'!$F2421)</f>
        <v>0</v>
      </c>
      <c r="H2421" s="154"/>
    </row>
    <row r="2422" ht="15.75" hidden="1" customHeight="1">
      <c r="B2422" s="146"/>
      <c r="C2422" s="146">
        <f t="shared" si="5"/>
        <v>10000</v>
      </c>
      <c r="D2422" s="146"/>
      <c r="E2422" s="305"/>
      <c r="F2422" s="383"/>
      <c r="G2422" s="154">
        <f>LEN('Expected Auditing Outcomes'!$F2422)</f>
        <v>0</v>
      </c>
      <c r="H2422" s="154"/>
    </row>
    <row r="2423" ht="15.75" hidden="1" customHeight="1">
      <c r="B2423" s="146"/>
      <c r="C2423" s="146">
        <f t="shared" si="5"/>
        <v>10000</v>
      </c>
      <c r="D2423" s="146"/>
      <c r="E2423" s="305"/>
      <c r="F2423" s="383"/>
      <c r="G2423" s="154">
        <f>LEN('Expected Auditing Outcomes'!$F2423)</f>
        <v>0</v>
      </c>
      <c r="H2423" s="154"/>
    </row>
    <row r="2424" ht="15.75" hidden="1" customHeight="1">
      <c r="B2424" s="146"/>
      <c r="C2424" s="146">
        <f t="shared" si="5"/>
        <v>10000</v>
      </c>
      <c r="D2424" s="146"/>
      <c r="E2424" s="305"/>
      <c r="F2424" s="383"/>
      <c r="G2424" s="154">
        <f>LEN('Expected Auditing Outcomes'!$F2424)</f>
        <v>0</v>
      </c>
      <c r="H2424" s="154"/>
    </row>
    <row r="2425" ht="15.75" hidden="1" customHeight="1">
      <c r="B2425" s="146"/>
      <c r="C2425" s="146">
        <f t="shared" si="5"/>
        <v>10000</v>
      </c>
      <c r="D2425" s="146"/>
      <c r="E2425" s="305"/>
      <c r="F2425" s="383"/>
      <c r="G2425" s="154">
        <f>LEN('Expected Auditing Outcomes'!$F2425)</f>
        <v>0</v>
      </c>
      <c r="H2425" s="154"/>
    </row>
    <row r="2426" ht="15.75" hidden="1" customHeight="1">
      <c r="B2426" s="146"/>
      <c r="C2426" s="146">
        <f t="shared" si="5"/>
        <v>10000</v>
      </c>
      <c r="D2426" s="146"/>
      <c r="E2426" s="305"/>
      <c r="F2426" s="383"/>
      <c r="G2426" s="154">
        <f>LEN('Expected Auditing Outcomes'!$F2426)</f>
        <v>0</v>
      </c>
      <c r="H2426" s="154"/>
    </row>
    <row r="2427" ht="15.75" hidden="1" customHeight="1">
      <c r="B2427" s="146"/>
      <c r="C2427" s="146">
        <f t="shared" si="5"/>
        <v>10000</v>
      </c>
      <c r="D2427" s="146"/>
      <c r="E2427" s="305"/>
      <c r="F2427" s="383"/>
      <c r="G2427" s="154">
        <f>LEN('Expected Auditing Outcomes'!$F2427)</f>
        <v>0</v>
      </c>
      <c r="H2427" s="154"/>
    </row>
    <row r="2428" ht="15.75" hidden="1" customHeight="1">
      <c r="B2428" s="146"/>
      <c r="C2428" s="146">
        <f t="shared" si="5"/>
        <v>10000</v>
      </c>
      <c r="D2428" s="146"/>
      <c r="E2428" s="305"/>
      <c r="F2428" s="383"/>
      <c r="G2428" s="154">
        <f>LEN('Expected Auditing Outcomes'!$F2428)</f>
        <v>0</v>
      </c>
      <c r="H2428" s="154"/>
    </row>
    <row r="2429" ht="15.75" hidden="1" customHeight="1">
      <c r="B2429" s="146"/>
      <c r="C2429" s="146">
        <f t="shared" si="5"/>
        <v>10000</v>
      </c>
      <c r="D2429" s="146"/>
      <c r="E2429" s="305"/>
      <c r="F2429" s="383"/>
      <c r="G2429" s="154">
        <f>LEN('Expected Auditing Outcomes'!$F2429)</f>
        <v>0</v>
      </c>
      <c r="H2429" s="154"/>
    </row>
    <row r="2430" ht="15.75" hidden="1" customHeight="1">
      <c r="B2430" s="146"/>
      <c r="C2430" s="146">
        <f t="shared" si="5"/>
        <v>10000</v>
      </c>
      <c r="D2430" s="146"/>
      <c r="E2430" s="305"/>
      <c r="F2430" s="383"/>
      <c r="G2430" s="154">
        <f>LEN('Expected Auditing Outcomes'!$F2430)</f>
        <v>0</v>
      </c>
      <c r="H2430" s="154"/>
    </row>
    <row r="2431" ht="15.75" hidden="1" customHeight="1">
      <c r="B2431" s="146"/>
      <c r="C2431" s="146">
        <f t="shared" si="5"/>
        <v>10000</v>
      </c>
      <c r="D2431" s="146"/>
      <c r="E2431" s="305"/>
      <c r="F2431" s="383"/>
      <c r="G2431" s="154">
        <f>LEN('Expected Auditing Outcomes'!$F2431)</f>
        <v>0</v>
      </c>
      <c r="H2431" s="154"/>
    </row>
    <row r="2432" ht="15.75" hidden="1" customHeight="1">
      <c r="B2432" s="146"/>
      <c r="C2432" s="146">
        <f t="shared" si="5"/>
        <v>10000</v>
      </c>
      <c r="D2432" s="146"/>
      <c r="E2432" s="305"/>
      <c r="F2432" s="383"/>
      <c r="G2432" s="154">
        <f>LEN('Expected Auditing Outcomes'!$F2432)</f>
        <v>0</v>
      </c>
      <c r="H2432" s="154"/>
    </row>
    <row r="2433" ht="15.75" hidden="1" customHeight="1">
      <c r="B2433" s="146"/>
      <c r="C2433" s="146">
        <f t="shared" si="5"/>
        <v>10000</v>
      </c>
      <c r="D2433" s="146"/>
      <c r="E2433" s="305"/>
      <c r="F2433" s="383"/>
      <c r="G2433" s="154">
        <f>LEN('Expected Auditing Outcomes'!$F2433)</f>
        <v>0</v>
      </c>
      <c r="H2433" s="154"/>
    </row>
    <row r="2434" ht="15.75" hidden="1" customHeight="1">
      <c r="B2434" s="146"/>
      <c r="C2434" s="146">
        <f t="shared" si="5"/>
        <v>10000</v>
      </c>
      <c r="D2434" s="146"/>
      <c r="E2434" s="305"/>
      <c r="F2434" s="383"/>
      <c r="G2434" s="154">
        <f>LEN('Expected Auditing Outcomes'!$F2434)</f>
        <v>0</v>
      </c>
      <c r="H2434" s="154"/>
    </row>
    <row r="2435" ht="15.75" hidden="1" customHeight="1">
      <c r="B2435" s="146"/>
      <c r="C2435" s="146">
        <f t="shared" si="5"/>
        <v>10000</v>
      </c>
      <c r="D2435" s="146"/>
      <c r="E2435" s="305"/>
      <c r="F2435" s="383"/>
      <c r="G2435" s="154">
        <f>LEN('Expected Auditing Outcomes'!$F2435)</f>
        <v>0</v>
      </c>
      <c r="H2435" s="154"/>
    </row>
    <row r="2436" ht="15.75" hidden="1" customHeight="1">
      <c r="B2436" s="146"/>
      <c r="C2436" s="146">
        <f t="shared" si="5"/>
        <v>10000</v>
      </c>
      <c r="D2436" s="146"/>
      <c r="E2436" s="305"/>
      <c r="F2436" s="383"/>
      <c r="G2436" s="154">
        <f>LEN('Expected Auditing Outcomes'!$F2436)</f>
        <v>0</v>
      </c>
      <c r="H2436" s="154"/>
    </row>
    <row r="2437" ht="15.75" hidden="1" customHeight="1">
      <c r="B2437" s="146"/>
      <c r="C2437" s="146">
        <f t="shared" si="5"/>
        <v>10000</v>
      </c>
      <c r="D2437" s="146"/>
      <c r="E2437" s="305"/>
      <c r="F2437" s="383"/>
      <c r="G2437" s="154">
        <f>LEN('Expected Auditing Outcomes'!$F2437)</f>
        <v>0</v>
      </c>
      <c r="H2437" s="154"/>
    </row>
    <row r="2438" ht="15.75" hidden="1" customHeight="1">
      <c r="B2438" s="146"/>
      <c r="C2438" s="146">
        <f t="shared" si="5"/>
        <v>10000</v>
      </c>
      <c r="D2438" s="146"/>
      <c r="E2438" s="305"/>
      <c r="F2438" s="383"/>
      <c r="G2438" s="154">
        <f>LEN('Expected Auditing Outcomes'!$F2438)</f>
        <v>0</v>
      </c>
      <c r="H2438" s="154"/>
    </row>
    <row r="2439" ht="15.75" hidden="1" customHeight="1">
      <c r="B2439" s="146"/>
      <c r="C2439" s="146">
        <f t="shared" si="5"/>
        <v>10000</v>
      </c>
      <c r="D2439" s="146"/>
      <c r="E2439" s="305"/>
      <c r="F2439" s="383"/>
      <c r="G2439" s="154">
        <f>LEN('Expected Auditing Outcomes'!$F2439)</f>
        <v>0</v>
      </c>
      <c r="H2439" s="154"/>
    </row>
    <row r="2440" ht="15.75" hidden="1" customHeight="1">
      <c r="B2440" s="146"/>
      <c r="C2440" s="146">
        <f t="shared" si="5"/>
        <v>10000</v>
      </c>
      <c r="D2440" s="146"/>
      <c r="E2440" s="305"/>
      <c r="F2440" s="383"/>
      <c r="G2440" s="154">
        <f>LEN('Expected Auditing Outcomes'!$F2440)</f>
        <v>0</v>
      </c>
      <c r="H2440" s="154"/>
    </row>
    <row r="2441" ht="15.75" hidden="1" customHeight="1">
      <c r="B2441" s="146"/>
      <c r="C2441" s="146">
        <f t="shared" si="5"/>
        <v>10000</v>
      </c>
      <c r="D2441" s="146"/>
      <c r="E2441" s="305"/>
      <c r="F2441" s="383"/>
      <c r="G2441" s="154">
        <f>LEN('Expected Auditing Outcomes'!$F2441)</f>
        <v>0</v>
      </c>
      <c r="H2441" s="154"/>
    </row>
    <row r="2442" ht="15.75" hidden="1" customHeight="1">
      <c r="B2442" s="146"/>
      <c r="C2442" s="146">
        <f t="shared" si="5"/>
        <v>10000</v>
      </c>
      <c r="D2442" s="146"/>
      <c r="E2442" s="305"/>
      <c r="F2442" s="383"/>
      <c r="G2442" s="154">
        <f>LEN('Expected Auditing Outcomes'!$F2442)</f>
        <v>0</v>
      </c>
      <c r="H2442" s="154"/>
    </row>
    <row r="2443" ht="15.75" hidden="1" customHeight="1">
      <c r="B2443" s="146"/>
      <c r="C2443" s="146">
        <f t="shared" si="5"/>
        <v>10000</v>
      </c>
      <c r="D2443" s="146"/>
      <c r="E2443" s="305"/>
      <c r="F2443" s="383"/>
      <c r="G2443" s="154">
        <f>LEN('Expected Auditing Outcomes'!$F2443)</f>
        <v>0</v>
      </c>
      <c r="H2443" s="154"/>
    </row>
    <row r="2444" ht="15.75" hidden="1" customHeight="1">
      <c r="B2444" s="146"/>
      <c r="C2444" s="146">
        <f t="shared" si="5"/>
        <v>10000</v>
      </c>
      <c r="D2444" s="146"/>
      <c r="E2444" s="305"/>
      <c r="F2444" s="383"/>
      <c r="G2444" s="154">
        <f>LEN('Expected Auditing Outcomes'!$F2444)</f>
        <v>0</v>
      </c>
      <c r="H2444" s="154"/>
    </row>
    <row r="2445" ht="15.75" hidden="1" customHeight="1">
      <c r="B2445" s="146"/>
      <c r="C2445" s="146">
        <f t="shared" si="5"/>
        <v>10000</v>
      </c>
      <c r="D2445" s="146"/>
      <c r="E2445" s="305"/>
      <c r="F2445" s="383"/>
      <c r="G2445" s="154">
        <f>LEN('Expected Auditing Outcomes'!$F2445)</f>
        <v>0</v>
      </c>
      <c r="H2445" s="154"/>
    </row>
    <row r="2446" ht="15.75" hidden="1" customHeight="1">
      <c r="B2446" s="146"/>
      <c r="C2446" s="146">
        <f t="shared" si="5"/>
        <v>10000</v>
      </c>
      <c r="D2446" s="146"/>
      <c r="E2446" s="305"/>
      <c r="F2446" s="383"/>
      <c r="G2446" s="154">
        <f>LEN('Expected Auditing Outcomes'!$F2446)</f>
        <v>0</v>
      </c>
      <c r="H2446" s="154"/>
    </row>
    <row r="2447" ht="15.75" hidden="1" customHeight="1">
      <c r="B2447" s="146"/>
      <c r="C2447" s="146">
        <f t="shared" si="5"/>
        <v>10000</v>
      </c>
      <c r="D2447" s="146"/>
      <c r="E2447" s="305"/>
      <c r="F2447" s="383"/>
      <c r="G2447" s="154">
        <f>LEN('Expected Auditing Outcomes'!$F2447)</f>
        <v>0</v>
      </c>
      <c r="H2447" s="154"/>
    </row>
    <row r="2448" ht="15.75" hidden="1" customHeight="1">
      <c r="B2448" s="146"/>
      <c r="C2448" s="146">
        <f t="shared" si="5"/>
        <v>10000</v>
      </c>
      <c r="D2448" s="146"/>
      <c r="E2448" s="305"/>
      <c r="F2448" s="383"/>
      <c r="G2448" s="154">
        <f>LEN('Expected Auditing Outcomes'!$F2448)</f>
        <v>0</v>
      </c>
      <c r="H2448" s="154"/>
    </row>
    <row r="2449" ht="15.75" hidden="1" customHeight="1">
      <c r="B2449" s="146"/>
      <c r="C2449" s="146">
        <f t="shared" si="5"/>
        <v>10000</v>
      </c>
      <c r="D2449" s="146"/>
      <c r="E2449" s="305"/>
      <c r="F2449" s="383"/>
      <c r="G2449" s="154">
        <f>LEN('Expected Auditing Outcomes'!$F2449)</f>
        <v>0</v>
      </c>
      <c r="H2449" s="154"/>
    </row>
    <row r="2450" ht="15.75" hidden="1" customHeight="1">
      <c r="B2450" s="146"/>
      <c r="C2450" s="146">
        <f t="shared" si="5"/>
        <v>10000</v>
      </c>
      <c r="D2450" s="146"/>
      <c r="E2450" s="305"/>
      <c r="F2450" s="383"/>
      <c r="G2450" s="154">
        <f>LEN('Expected Auditing Outcomes'!$F2450)</f>
        <v>0</v>
      </c>
      <c r="H2450" s="154"/>
    </row>
    <row r="2451" ht="15.75" hidden="1" customHeight="1">
      <c r="B2451" s="146"/>
      <c r="C2451" s="146">
        <f t="shared" si="5"/>
        <v>10000</v>
      </c>
      <c r="D2451" s="146"/>
      <c r="E2451" s="305"/>
      <c r="F2451" s="383"/>
      <c r="G2451" s="154">
        <f>LEN('Expected Auditing Outcomes'!$F2451)</f>
        <v>0</v>
      </c>
      <c r="H2451" s="154"/>
    </row>
    <row r="2452" ht="15.75" hidden="1" customHeight="1">
      <c r="B2452" s="146"/>
      <c r="C2452" s="146">
        <f t="shared" si="5"/>
        <v>10000</v>
      </c>
      <c r="D2452" s="146"/>
      <c r="E2452" s="305"/>
      <c r="F2452" s="383"/>
      <c r="G2452" s="154">
        <f>LEN('Expected Auditing Outcomes'!$F2452)</f>
        <v>0</v>
      </c>
      <c r="H2452" s="154"/>
    </row>
    <row r="2453" ht="15.75" hidden="1" customHeight="1">
      <c r="B2453" s="146"/>
      <c r="C2453" s="146">
        <f t="shared" si="5"/>
        <v>10000</v>
      </c>
      <c r="D2453" s="146"/>
      <c r="E2453" s="305"/>
      <c r="F2453" s="383"/>
      <c r="G2453" s="154">
        <f>LEN('Expected Auditing Outcomes'!$F2453)</f>
        <v>0</v>
      </c>
      <c r="H2453" s="154"/>
    </row>
    <row r="2454" ht="15.75" hidden="1" customHeight="1">
      <c r="B2454" s="146"/>
      <c r="C2454" s="146">
        <f t="shared" si="5"/>
        <v>10000</v>
      </c>
      <c r="D2454" s="146"/>
      <c r="E2454" s="305"/>
      <c r="F2454" s="383"/>
      <c r="G2454" s="154">
        <f>LEN('Expected Auditing Outcomes'!$F2454)</f>
        <v>0</v>
      </c>
      <c r="H2454" s="154"/>
    </row>
    <row r="2455" ht="15.75" hidden="1" customHeight="1">
      <c r="B2455" s="146"/>
      <c r="C2455" s="146">
        <f t="shared" si="5"/>
        <v>10000</v>
      </c>
      <c r="D2455" s="146"/>
      <c r="E2455" s="305"/>
      <c r="F2455" s="383"/>
      <c r="G2455" s="154">
        <f>LEN('Expected Auditing Outcomes'!$F2455)</f>
        <v>0</v>
      </c>
      <c r="H2455" s="154"/>
    </row>
    <row r="2456" ht="15.75" hidden="1" customHeight="1">
      <c r="B2456" s="146"/>
      <c r="C2456" s="146">
        <f t="shared" si="5"/>
        <v>10000</v>
      </c>
      <c r="D2456" s="146"/>
      <c r="E2456" s="305"/>
      <c r="F2456" s="383"/>
      <c r="G2456" s="154">
        <f>LEN('Expected Auditing Outcomes'!$F2456)</f>
        <v>0</v>
      </c>
      <c r="H2456" s="154"/>
    </row>
    <row r="2457" ht="15.75" hidden="1" customHeight="1">
      <c r="B2457" s="146"/>
      <c r="C2457" s="146">
        <f t="shared" si="5"/>
        <v>10000</v>
      </c>
      <c r="D2457" s="146"/>
      <c r="E2457" s="305"/>
      <c r="F2457" s="383"/>
      <c r="G2457" s="154">
        <f>LEN('Expected Auditing Outcomes'!$F2457)</f>
        <v>0</v>
      </c>
      <c r="H2457" s="154"/>
    </row>
    <row r="2458" ht="15.75" hidden="1" customHeight="1">
      <c r="B2458" s="146"/>
      <c r="C2458" s="146">
        <f t="shared" si="5"/>
        <v>10000</v>
      </c>
      <c r="D2458" s="146"/>
      <c r="E2458" s="305"/>
      <c r="F2458" s="383"/>
      <c r="G2458" s="154">
        <f>LEN('Expected Auditing Outcomes'!$F2458)</f>
        <v>0</v>
      </c>
      <c r="H2458" s="154"/>
    </row>
    <row r="2459" ht="15.75" hidden="1" customHeight="1">
      <c r="B2459" s="146"/>
      <c r="C2459" s="146">
        <f t="shared" si="5"/>
        <v>10000</v>
      </c>
      <c r="D2459" s="146"/>
      <c r="E2459" s="305"/>
      <c r="F2459" s="383"/>
      <c r="G2459" s="154">
        <f>LEN('Expected Auditing Outcomes'!$F2459)</f>
        <v>0</v>
      </c>
      <c r="H2459" s="154"/>
    </row>
    <row r="2460" ht="15.75" hidden="1" customHeight="1">
      <c r="B2460" s="146"/>
      <c r="C2460" s="146">
        <f t="shared" si="5"/>
        <v>10000</v>
      </c>
      <c r="D2460" s="146"/>
      <c r="E2460" s="305"/>
      <c r="F2460" s="383"/>
      <c r="G2460" s="154">
        <f>LEN('Expected Auditing Outcomes'!$F2460)</f>
        <v>0</v>
      </c>
      <c r="H2460" s="154"/>
    </row>
    <row r="2461" ht="15.75" hidden="1" customHeight="1">
      <c r="B2461" s="146"/>
      <c r="C2461" s="146">
        <f t="shared" si="5"/>
        <v>10000</v>
      </c>
      <c r="D2461" s="146"/>
      <c r="E2461" s="305"/>
      <c r="F2461" s="383"/>
      <c r="G2461" s="154">
        <f>LEN('Expected Auditing Outcomes'!$F2461)</f>
        <v>0</v>
      </c>
      <c r="H2461" s="154"/>
    </row>
    <row r="2462" ht="15.75" hidden="1" customHeight="1">
      <c r="B2462" s="146"/>
      <c r="C2462" s="146">
        <f t="shared" si="5"/>
        <v>10000</v>
      </c>
      <c r="D2462" s="146"/>
      <c r="E2462" s="305"/>
      <c r="F2462" s="383"/>
      <c r="G2462" s="154">
        <f>LEN('Expected Auditing Outcomes'!$F2462)</f>
        <v>0</v>
      </c>
      <c r="H2462" s="154"/>
    </row>
    <row r="2463" ht="15.75" hidden="1" customHeight="1">
      <c r="B2463" s="146"/>
      <c r="C2463" s="146">
        <f t="shared" si="5"/>
        <v>10000</v>
      </c>
      <c r="D2463" s="146"/>
      <c r="E2463" s="305"/>
      <c r="F2463" s="383"/>
      <c r="G2463" s="154">
        <f>LEN('Expected Auditing Outcomes'!$F2463)</f>
        <v>0</v>
      </c>
      <c r="H2463" s="154"/>
    </row>
    <row r="2464" ht="15.75" hidden="1" customHeight="1">
      <c r="B2464" s="146"/>
      <c r="C2464" s="146">
        <f t="shared" si="5"/>
        <v>10000</v>
      </c>
      <c r="D2464" s="146"/>
      <c r="E2464" s="305"/>
      <c r="F2464" s="383"/>
      <c r="G2464" s="154">
        <f>LEN('Expected Auditing Outcomes'!$F2464)</f>
        <v>0</v>
      </c>
      <c r="H2464" s="154"/>
    </row>
    <row r="2465" ht="15.75" hidden="1" customHeight="1">
      <c r="B2465" s="146"/>
      <c r="C2465" s="146">
        <f t="shared" si="5"/>
        <v>10000</v>
      </c>
      <c r="D2465" s="146"/>
      <c r="E2465" s="305"/>
      <c r="F2465" s="383"/>
      <c r="G2465" s="154">
        <f>LEN('Expected Auditing Outcomes'!$F2465)</f>
        <v>0</v>
      </c>
      <c r="H2465" s="154"/>
    </row>
    <row r="2466" ht="15.75" hidden="1" customHeight="1">
      <c r="B2466" s="146"/>
      <c r="C2466" s="146">
        <f t="shared" si="5"/>
        <v>10000</v>
      </c>
      <c r="D2466" s="146"/>
      <c r="E2466" s="305"/>
      <c r="F2466" s="383"/>
      <c r="G2466" s="154">
        <f>LEN('Expected Auditing Outcomes'!$F2466)</f>
        <v>0</v>
      </c>
      <c r="H2466" s="154"/>
    </row>
    <row r="2467" ht="15.75" hidden="1" customHeight="1">
      <c r="B2467" s="146"/>
      <c r="C2467" s="146">
        <f t="shared" si="5"/>
        <v>10000</v>
      </c>
      <c r="D2467" s="146"/>
      <c r="E2467" s="305"/>
      <c r="F2467" s="383"/>
      <c r="G2467" s="154">
        <f>LEN('Expected Auditing Outcomes'!$F2467)</f>
        <v>0</v>
      </c>
      <c r="H2467" s="154"/>
    </row>
    <row r="2468" ht="15.75" hidden="1" customHeight="1">
      <c r="B2468" s="146"/>
      <c r="C2468" s="146">
        <f t="shared" si="5"/>
        <v>10000</v>
      </c>
      <c r="D2468" s="146"/>
      <c r="E2468" s="305"/>
      <c r="F2468" s="383"/>
      <c r="G2468" s="154">
        <f>LEN('Expected Auditing Outcomes'!$F2468)</f>
        <v>0</v>
      </c>
      <c r="H2468" s="154"/>
    </row>
    <row r="2469" ht="15.75" hidden="1" customHeight="1">
      <c r="B2469" s="146"/>
      <c r="C2469" s="146">
        <f t="shared" si="5"/>
        <v>10000</v>
      </c>
      <c r="D2469" s="146"/>
      <c r="E2469" s="305"/>
      <c r="F2469" s="383"/>
      <c r="G2469" s="154">
        <f>LEN('Expected Auditing Outcomes'!$F2469)</f>
        <v>0</v>
      </c>
      <c r="H2469" s="154"/>
    </row>
    <row r="2470" ht="15.75" hidden="1" customHeight="1">
      <c r="B2470" s="146"/>
      <c r="C2470" s="146">
        <f t="shared" si="5"/>
        <v>10000</v>
      </c>
      <c r="D2470" s="146"/>
      <c r="E2470" s="305"/>
      <c r="F2470" s="383"/>
      <c r="G2470" s="154">
        <f>LEN('Expected Auditing Outcomes'!$F2470)</f>
        <v>0</v>
      </c>
      <c r="H2470" s="154"/>
    </row>
    <row r="2471" ht="15.75" hidden="1" customHeight="1">
      <c r="B2471" s="146"/>
      <c r="C2471" s="146">
        <f t="shared" si="5"/>
        <v>10000</v>
      </c>
      <c r="D2471" s="146"/>
      <c r="E2471" s="305"/>
      <c r="F2471" s="383"/>
      <c r="G2471" s="154">
        <f>LEN('Expected Auditing Outcomes'!$F2471)</f>
        <v>0</v>
      </c>
      <c r="H2471" s="154"/>
    </row>
    <row r="2472" ht="15.75" hidden="1" customHeight="1">
      <c r="B2472" s="146"/>
      <c r="C2472" s="146">
        <f t="shared" si="5"/>
        <v>10000</v>
      </c>
      <c r="D2472" s="146"/>
      <c r="E2472" s="305"/>
      <c r="F2472" s="383"/>
      <c r="G2472" s="154">
        <f>LEN('Expected Auditing Outcomes'!$F2472)</f>
        <v>0</v>
      </c>
      <c r="H2472" s="154"/>
    </row>
    <row r="2473" ht="15.75" hidden="1" customHeight="1">
      <c r="B2473" s="146"/>
      <c r="C2473" s="146">
        <f t="shared" si="5"/>
        <v>10000</v>
      </c>
      <c r="D2473" s="146"/>
      <c r="E2473" s="305"/>
      <c r="F2473" s="383"/>
      <c r="G2473" s="154">
        <f>LEN('Expected Auditing Outcomes'!$F2473)</f>
        <v>0</v>
      </c>
      <c r="H2473" s="154"/>
    </row>
    <row r="2474" ht="15.75" hidden="1" customHeight="1">
      <c r="B2474" s="146"/>
      <c r="C2474" s="146">
        <f t="shared" si="5"/>
        <v>10000</v>
      </c>
      <c r="D2474" s="146"/>
      <c r="E2474" s="305"/>
      <c r="F2474" s="383"/>
      <c r="G2474" s="154">
        <f>LEN('Expected Auditing Outcomes'!$F2474)</f>
        <v>0</v>
      </c>
      <c r="H2474" s="154"/>
    </row>
    <row r="2475" ht="15.75" hidden="1" customHeight="1">
      <c r="B2475" s="146"/>
      <c r="C2475" s="146">
        <f t="shared" si="5"/>
        <v>10000</v>
      </c>
      <c r="D2475" s="146"/>
      <c r="E2475" s="305"/>
      <c r="F2475" s="383"/>
      <c r="G2475" s="154">
        <f>LEN('Expected Auditing Outcomes'!$F2475)</f>
        <v>0</v>
      </c>
      <c r="H2475" s="154"/>
    </row>
    <row r="2476" ht="15.75" hidden="1" customHeight="1">
      <c r="B2476" s="146"/>
      <c r="C2476" s="146">
        <f t="shared" si="5"/>
        <v>10000</v>
      </c>
      <c r="D2476" s="146"/>
      <c r="E2476" s="305"/>
      <c r="F2476" s="383"/>
      <c r="G2476" s="154">
        <f>LEN('Expected Auditing Outcomes'!$F2476)</f>
        <v>0</v>
      </c>
      <c r="H2476" s="154"/>
    </row>
    <row r="2477" ht="15.75" hidden="1" customHeight="1">
      <c r="B2477" s="146"/>
      <c r="C2477" s="146">
        <f t="shared" si="5"/>
        <v>10000</v>
      </c>
      <c r="D2477" s="146"/>
      <c r="E2477" s="305"/>
      <c r="F2477" s="383"/>
      <c r="G2477" s="154">
        <f>LEN('Expected Auditing Outcomes'!$F2477)</f>
        <v>0</v>
      </c>
      <c r="H2477" s="154"/>
    </row>
    <row r="2478" ht="15.75" hidden="1" customHeight="1">
      <c r="B2478" s="146"/>
      <c r="C2478" s="146">
        <f t="shared" si="5"/>
        <v>10000</v>
      </c>
      <c r="D2478" s="146"/>
      <c r="E2478" s="305"/>
      <c r="F2478" s="383"/>
      <c r="G2478" s="154">
        <f>LEN('Expected Auditing Outcomes'!$F2478)</f>
        <v>0</v>
      </c>
      <c r="H2478" s="154"/>
    </row>
    <row r="2479" ht="15.75" hidden="1" customHeight="1">
      <c r="B2479" s="146"/>
      <c r="C2479" s="146">
        <f t="shared" si="5"/>
        <v>10000</v>
      </c>
      <c r="D2479" s="146"/>
      <c r="E2479" s="305"/>
      <c r="F2479" s="383"/>
      <c r="G2479" s="154">
        <f>LEN('Expected Auditing Outcomes'!$F2479)</f>
        <v>0</v>
      </c>
      <c r="H2479" s="154"/>
    </row>
    <row r="2480" ht="15.75" hidden="1" customHeight="1">
      <c r="B2480" s="146"/>
      <c r="C2480" s="146">
        <f t="shared" si="5"/>
        <v>10000</v>
      </c>
      <c r="D2480" s="146"/>
      <c r="E2480" s="305"/>
      <c r="F2480" s="383"/>
      <c r="G2480" s="154">
        <f>LEN('Expected Auditing Outcomes'!$F2480)</f>
        <v>0</v>
      </c>
      <c r="H2480" s="154"/>
    </row>
    <row r="2481" ht="15.75" hidden="1" customHeight="1">
      <c r="B2481" s="146"/>
      <c r="C2481" s="146">
        <f t="shared" si="5"/>
        <v>10000</v>
      </c>
      <c r="D2481" s="146"/>
      <c r="E2481" s="305"/>
      <c r="F2481" s="383"/>
      <c r="G2481" s="154">
        <f>LEN('Expected Auditing Outcomes'!$F2481)</f>
        <v>0</v>
      </c>
      <c r="H2481" s="154"/>
    </row>
    <row r="2482" ht="15.75" hidden="1" customHeight="1">
      <c r="B2482" s="146"/>
      <c r="C2482" s="146">
        <f t="shared" si="5"/>
        <v>10000</v>
      </c>
      <c r="D2482" s="146"/>
      <c r="E2482" s="305"/>
      <c r="F2482" s="383"/>
      <c r="G2482" s="154">
        <f>LEN('Expected Auditing Outcomes'!$F2482)</f>
        <v>0</v>
      </c>
      <c r="H2482" s="154"/>
    </row>
    <row r="2483" ht="15.75" hidden="1" customHeight="1">
      <c r="B2483" s="146"/>
      <c r="C2483" s="146">
        <f t="shared" si="5"/>
        <v>10000</v>
      </c>
      <c r="D2483" s="146"/>
      <c r="E2483" s="305"/>
      <c r="F2483" s="383"/>
      <c r="G2483" s="154">
        <f>LEN('Expected Auditing Outcomes'!$F2483)</f>
        <v>0</v>
      </c>
      <c r="H2483" s="154"/>
    </row>
    <row r="2484" ht="15.75" hidden="1" customHeight="1">
      <c r="B2484" s="146"/>
      <c r="C2484" s="146">
        <f t="shared" si="5"/>
        <v>10000</v>
      </c>
      <c r="D2484" s="146"/>
      <c r="E2484" s="305"/>
      <c r="F2484" s="383"/>
      <c r="G2484" s="154">
        <f>LEN('Expected Auditing Outcomes'!$F2484)</f>
        <v>0</v>
      </c>
      <c r="H2484" s="154"/>
    </row>
    <row r="2485" ht="15.75" hidden="1" customHeight="1">
      <c r="B2485" s="146"/>
      <c r="C2485" s="146">
        <f t="shared" si="5"/>
        <v>10000</v>
      </c>
      <c r="D2485" s="146"/>
      <c r="E2485" s="305"/>
      <c r="F2485" s="383"/>
      <c r="G2485" s="154">
        <f>LEN('Expected Auditing Outcomes'!$F2485)</f>
        <v>0</v>
      </c>
      <c r="H2485" s="154"/>
    </row>
    <row r="2486" ht="15.75" hidden="1" customHeight="1">
      <c r="B2486" s="146"/>
      <c r="C2486" s="146">
        <f t="shared" si="5"/>
        <v>10000</v>
      </c>
      <c r="D2486" s="146"/>
      <c r="E2486" s="305"/>
      <c r="F2486" s="383"/>
      <c r="G2486" s="154">
        <f>LEN('Expected Auditing Outcomes'!$F2486)</f>
        <v>0</v>
      </c>
      <c r="H2486" s="154"/>
    </row>
    <row r="2487" ht="15.75" hidden="1" customHeight="1">
      <c r="B2487" s="146"/>
      <c r="C2487" s="146">
        <f t="shared" si="5"/>
        <v>10000</v>
      </c>
      <c r="D2487" s="146"/>
      <c r="E2487" s="305"/>
      <c r="F2487" s="383"/>
      <c r="G2487" s="154">
        <f>LEN('Expected Auditing Outcomes'!$F2487)</f>
        <v>0</v>
      </c>
      <c r="H2487" s="154"/>
    </row>
    <row r="2488" ht="15.75" hidden="1" customHeight="1">
      <c r="B2488" s="146"/>
      <c r="C2488" s="146">
        <f t="shared" si="5"/>
        <v>10000</v>
      </c>
      <c r="D2488" s="146"/>
      <c r="E2488" s="305"/>
      <c r="F2488" s="383"/>
      <c r="G2488" s="154">
        <f>LEN('Expected Auditing Outcomes'!$F2488)</f>
        <v>0</v>
      </c>
      <c r="H2488" s="154"/>
    </row>
    <row r="2489" ht="15.75" hidden="1" customHeight="1">
      <c r="B2489" s="146"/>
      <c r="C2489" s="146">
        <f t="shared" si="5"/>
        <v>10000</v>
      </c>
      <c r="D2489" s="146"/>
      <c r="E2489" s="305"/>
      <c r="F2489" s="383"/>
      <c r="G2489" s="154">
        <f>LEN('Expected Auditing Outcomes'!$F2489)</f>
        <v>0</v>
      </c>
      <c r="H2489" s="154"/>
    </row>
    <row r="2490" ht="15.75" hidden="1" customHeight="1">
      <c r="B2490" s="146"/>
      <c r="C2490" s="146">
        <f t="shared" si="5"/>
        <v>10000</v>
      </c>
      <c r="D2490" s="146"/>
      <c r="E2490" s="305"/>
      <c r="F2490" s="383"/>
      <c r="G2490" s="154">
        <f>LEN('Expected Auditing Outcomes'!$F2490)</f>
        <v>0</v>
      </c>
      <c r="H2490" s="154"/>
    </row>
    <row r="2491" ht="15.75" hidden="1" customHeight="1">
      <c r="B2491" s="146"/>
      <c r="C2491" s="146">
        <f t="shared" si="5"/>
        <v>10000</v>
      </c>
      <c r="D2491" s="146"/>
      <c r="E2491" s="305"/>
      <c r="F2491" s="383"/>
      <c r="G2491" s="154">
        <f>LEN('Expected Auditing Outcomes'!$F2491)</f>
        <v>0</v>
      </c>
      <c r="H2491" s="154"/>
    </row>
    <row r="2492" ht="15.75" hidden="1" customHeight="1">
      <c r="B2492" s="146"/>
      <c r="C2492" s="146">
        <f t="shared" si="5"/>
        <v>10000</v>
      </c>
      <c r="D2492" s="146"/>
      <c r="E2492" s="305"/>
      <c r="F2492" s="383"/>
      <c r="G2492" s="154">
        <f>LEN('Expected Auditing Outcomes'!$F2492)</f>
        <v>0</v>
      </c>
      <c r="H2492" s="154"/>
    </row>
    <row r="2493" ht="15.75" hidden="1" customHeight="1">
      <c r="B2493" s="146"/>
      <c r="C2493" s="146">
        <f t="shared" si="5"/>
        <v>10000</v>
      </c>
      <c r="D2493" s="146"/>
      <c r="E2493" s="305"/>
      <c r="F2493" s="383"/>
      <c r="G2493" s="154">
        <f>LEN('Expected Auditing Outcomes'!$F2493)</f>
        <v>0</v>
      </c>
      <c r="H2493" s="154"/>
    </row>
    <row r="2494" ht="15.75" hidden="1" customHeight="1">
      <c r="B2494" s="146"/>
      <c r="C2494" s="146">
        <f t="shared" si="5"/>
        <v>10000</v>
      </c>
      <c r="D2494" s="146"/>
      <c r="E2494" s="305"/>
      <c r="F2494" s="383"/>
      <c r="G2494" s="154">
        <f>LEN('Expected Auditing Outcomes'!$F2494)</f>
        <v>0</v>
      </c>
      <c r="H2494" s="154"/>
    </row>
    <row r="2495" ht="15.75" hidden="1" customHeight="1">
      <c r="B2495" s="146"/>
      <c r="C2495" s="146">
        <f t="shared" si="5"/>
        <v>10000</v>
      </c>
      <c r="D2495" s="146"/>
      <c r="E2495" s="305"/>
      <c r="F2495" s="383"/>
      <c r="G2495" s="154">
        <f>LEN('Expected Auditing Outcomes'!$F2495)</f>
        <v>0</v>
      </c>
      <c r="H2495" s="154"/>
    </row>
    <row r="2496" ht="15.75" hidden="1" customHeight="1">
      <c r="B2496" s="146"/>
      <c r="C2496" s="146">
        <f t="shared" si="5"/>
        <v>10000</v>
      </c>
      <c r="D2496" s="146"/>
      <c r="E2496" s="305"/>
      <c r="F2496" s="383"/>
      <c r="G2496" s="154">
        <f>LEN('Expected Auditing Outcomes'!$F2496)</f>
        <v>0</v>
      </c>
      <c r="H2496" s="154"/>
    </row>
    <row r="2497" ht="15.75" hidden="1" customHeight="1">
      <c r="B2497" s="146"/>
      <c r="C2497" s="146">
        <f t="shared" si="5"/>
        <v>10000</v>
      </c>
      <c r="D2497" s="146"/>
      <c r="E2497" s="305"/>
      <c r="F2497" s="383"/>
      <c r="G2497" s="154">
        <f>LEN('Expected Auditing Outcomes'!$F2497)</f>
        <v>0</v>
      </c>
      <c r="H2497" s="154"/>
    </row>
    <row r="2498" ht="15.75" hidden="1" customHeight="1">
      <c r="B2498" s="146"/>
      <c r="C2498" s="146">
        <f t="shared" si="5"/>
        <v>10000</v>
      </c>
      <c r="D2498" s="146"/>
      <c r="E2498" s="305"/>
      <c r="F2498" s="383"/>
      <c r="G2498" s="154">
        <f>LEN('Expected Auditing Outcomes'!$F2498)</f>
        <v>0</v>
      </c>
      <c r="H2498" s="154"/>
    </row>
    <row r="2499" ht="15.75" hidden="1" customHeight="1">
      <c r="B2499" s="146"/>
      <c r="C2499" s="146">
        <f t="shared" si="5"/>
        <v>10000</v>
      </c>
      <c r="D2499" s="146"/>
      <c r="E2499" s="305"/>
      <c r="F2499" s="383"/>
      <c r="G2499" s="154">
        <f>LEN('Expected Auditing Outcomes'!$F2499)</f>
        <v>0</v>
      </c>
      <c r="H2499" s="154"/>
    </row>
    <row r="2500" ht="15.75" hidden="1" customHeight="1">
      <c r="B2500" s="146"/>
      <c r="C2500" s="146">
        <f t="shared" si="5"/>
        <v>10000</v>
      </c>
      <c r="D2500" s="146"/>
      <c r="E2500" s="305"/>
      <c r="F2500" s="383"/>
      <c r="G2500" s="154">
        <f>LEN('Expected Auditing Outcomes'!$F2500)</f>
        <v>0</v>
      </c>
      <c r="H2500" s="154"/>
    </row>
    <row r="2501" ht="15.75" hidden="1" customHeight="1">
      <c r="B2501" s="146"/>
      <c r="C2501" s="146">
        <f t="shared" si="5"/>
        <v>10000</v>
      </c>
      <c r="D2501" s="146"/>
      <c r="E2501" s="305"/>
      <c r="F2501" s="383"/>
      <c r="G2501" s="154">
        <f>LEN('Expected Auditing Outcomes'!$F2501)</f>
        <v>0</v>
      </c>
      <c r="H2501" s="154"/>
    </row>
    <row r="2502" ht="15.75" hidden="1" customHeight="1">
      <c r="B2502" s="146"/>
      <c r="C2502" s="146">
        <f t="shared" si="5"/>
        <v>10000</v>
      </c>
      <c r="D2502" s="146"/>
      <c r="E2502" s="305"/>
      <c r="F2502" s="383"/>
      <c r="G2502" s="154">
        <f>LEN('Expected Auditing Outcomes'!$F2502)</f>
        <v>0</v>
      </c>
      <c r="H2502" s="154"/>
    </row>
    <row r="2503" ht="15.75" hidden="1" customHeight="1">
      <c r="B2503" s="146"/>
      <c r="C2503" s="146">
        <f t="shared" si="5"/>
        <v>10000</v>
      </c>
      <c r="D2503" s="146"/>
      <c r="E2503" s="305"/>
      <c r="F2503" s="383"/>
      <c r="G2503" s="154">
        <f>LEN('Expected Auditing Outcomes'!$F2503)</f>
        <v>0</v>
      </c>
      <c r="H2503" s="154"/>
    </row>
    <row r="2504" ht="15.75" hidden="1" customHeight="1">
      <c r="B2504" s="146"/>
      <c r="C2504" s="146">
        <f t="shared" si="5"/>
        <v>10000</v>
      </c>
      <c r="D2504" s="146"/>
      <c r="E2504" s="305"/>
      <c r="F2504" s="383"/>
      <c r="G2504" s="154">
        <f>LEN('Expected Auditing Outcomes'!$F2504)</f>
        <v>0</v>
      </c>
      <c r="H2504" s="154"/>
    </row>
    <row r="2505" ht="15.75" hidden="1" customHeight="1">
      <c r="B2505" s="146"/>
      <c r="C2505" s="146">
        <f t="shared" si="5"/>
        <v>10000</v>
      </c>
      <c r="D2505" s="146"/>
      <c r="E2505" s="305"/>
      <c r="F2505" s="383"/>
      <c r="G2505" s="154">
        <f>LEN('Expected Auditing Outcomes'!$F2505)</f>
        <v>0</v>
      </c>
      <c r="H2505" s="154"/>
    </row>
    <row r="2506" ht="15.75" hidden="1" customHeight="1">
      <c r="B2506" s="146"/>
      <c r="C2506" s="146">
        <f t="shared" si="5"/>
        <v>10000</v>
      </c>
      <c r="D2506" s="146"/>
      <c r="E2506" s="305"/>
      <c r="F2506" s="383"/>
      <c r="G2506" s="154">
        <f>LEN('Expected Auditing Outcomes'!$F2506)</f>
        <v>0</v>
      </c>
      <c r="H2506" s="154"/>
    </row>
    <row r="2507" ht="15.75" hidden="1" customHeight="1">
      <c r="B2507" s="146"/>
      <c r="C2507" s="146">
        <f t="shared" si="5"/>
        <v>10000</v>
      </c>
      <c r="D2507" s="146"/>
      <c r="E2507" s="305"/>
      <c r="F2507" s="383"/>
      <c r="G2507" s="154">
        <f>LEN('Expected Auditing Outcomes'!$F2507)</f>
        <v>0</v>
      </c>
      <c r="H2507" s="154"/>
    </row>
    <row r="2508" ht="15.75" hidden="1" customHeight="1">
      <c r="B2508" s="146"/>
      <c r="C2508" s="146">
        <f t="shared" si="5"/>
        <v>10000</v>
      </c>
      <c r="D2508" s="146"/>
      <c r="E2508" s="305"/>
      <c r="F2508" s="383"/>
      <c r="G2508" s="154">
        <f>LEN('Expected Auditing Outcomes'!$F2508)</f>
        <v>0</v>
      </c>
      <c r="H2508" s="154"/>
    </row>
    <row r="2509" ht="15.75" hidden="1" customHeight="1">
      <c r="B2509" s="146"/>
      <c r="C2509" s="146">
        <f t="shared" si="5"/>
        <v>10000</v>
      </c>
      <c r="D2509" s="146"/>
      <c r="E2509" s="305"/>
      <c r="F2509" s="383"/>
      <c r="G2509" s="154">
        <f>LEN('Expected Auditing Outcomes'!$F2509)</f>
        <v>0</v>
      </c>
      <c r="H2509" s="154"/>
    </row>
    <row r="2510" ht="15.75" hidden="1" customHeight="1">
      <c r="B2510" s="146"/>
      <c r="C2510" s="146">
        <f t="shared" si="5"/>
        <v>10000</v>
      </c>
      <c r="D2510" s="146"/>
      <c r="E2510" s="305"/>
      <c r="F2510" s="383"/>
      <c r="G2510" s="154">
        <f>LEN('Expected Auditing Outcomes'!$F2510)</f>
        <v>0</v>
      </c>
      <c r="H2510" s="154"/>
    </row>
    <row r="2511" ht="15.75" hidden="1" customHeight="1">
      <c r="B2511" s="146"/>
      <c r="C2511" s="146">
        <f t="shared" si="5"/>
        <v>10000</v>
      </c>
      <c r="D2511" s="146"/>
      <c r="E2511" s="305"/>
      <c r="F2511" s="383"/>
      <c r="G2511" s="154">
        <f>LEN('Expected Auditing Outcomes'!$F2511)</f>
        <v>0</v>
      </c>
      <c r="H2511" s="154"/>
    </row>
    <row r="2512" ht="15.75" hidden="1" customHeight="1">
      <c r="B2512" s="146"/>
      <c r="C2512" s="146">
        <f t="shared" si="5"/>
        <v>10000</v>
      </c>
      <c r="D2512" s="146"/>
      <c r="E2512" s="305"/>
      <c r="F2512" s="383"/>
      <c r="G2512" s="154">
        <f>LEN('Expected Auditing Outcomes'!$F2512)</f>
        <v>0</v>
      </c>
      <c r="H2512" s="154"/>
    </row>
    <row r="2513" ht="15.75" hidden="1" customHeight="1">
      <c r="B2513" s="146"/>
      <c r="C2513" s="146">
        <f t="shared" si="5"/>
        <v>10000</v>
      </c>
      <c r="D2513" s="146"/>
      <c r="E2513" s="305"/>
      <c r="F2513" s="383"/>
      <c r="G2513" s="154">
        <f>LEN('Expected Auditing Outcomes'!$F2513)</f>
        <v>0</v>
      </c>
      <c r="H2513" s="154"/>
    </row>
    <row r="2514" ht="15.75" hidden="1" customHeight="1">
      <c r="B2514" s="146"/>
      <c r="C2514" s="146">
        <f t="shared" si="5"/>
        <v>10000</v>
      </c>
      <c r="D2514" s="146"/>
      <c r="E2514" s="305"/>
      <c r="F2514" s="383"/>
      <c r="G2514" s="154">
        <f>LEN('Expected Auditing Outcomes'!$F2514)</f>
        <v>0</v>
      </c>
      <c r="H2514" s="154"/>
    </row>
    <row r="2515" ht="15.75" hidden="1" customHeight="1">
      <c r="B2515" s="146"/>
      <c r="C2515" s="146">
        <f t="shared" si="5"/>
        <v>10000</v>
      </c>
      <c r="D2515" s="146"/>
      <c r="E2515" s="305"/>
      <c r="F2515" s="383"/>
      <c r="G2515" s="154">
        <f>LEN('Expected Auditing Outcomes'!$F2515)</f>
        <v>0</v>
      </c>
      <c r="H2515" s="154"/>
    </row>
    <row r="2516" ht="15.75" hidden="1" customHeight="1">
      <c r="B2516" s="146"/>
      <c r="C2516" s="146">
        <f t="shared" si="5"/>
        <v>10000</v>
      </c>
      <c r="D2516" s="146"/>
      <c r="E2516" s="305"/>
      <c r="F2516" s="383"/>
      <c r="G2516" s="154">
        <f>LEN('Expected Auditing Outcomes'!$F2516)</f>
        <v>0</v>
      </c>
      <c r="H2516" s="154"/>
    </row>
    <row r="2517" ht="15.75" hidden="1" customHeight="1">
      <c r="B2517" s="146"/>
      <c r="C2517" s="146">
        <f t="shared" si="5"/>
        <v>10000</v>
      </c>
      <c r="D2517" s="146"/>
      <c r="E2517" s="305"/>
      <c r="F2517" s="383"/>
      <c r="G2517" s="154">
        <f>LEN('Expected Auditing Outcomes'!$F2517)</f>
        <v>0</v>
      </c>
      <c r="H2517" s="154"/>
    </row>
    <row r="2518" ht="15.75" hidden="1" customHeight="1">
      <c r="B2518" s="146"/>
      <c r="C2518" s="146">
        <f t="shared" si="5"/>
        <v>10000</v>
      </c>
      <c r="D2518" s="146"/>
      <c r="E2518" s="305"/>
      <c r="F2518" s="383"/>
      <c r="G2518" s="154">
        <f>LEN('Expected Auditing Outcomes'!$F2518)</f>
        <v>0</v>
      </c>
      <c r="H2518" s="154"/>
    </row>
    <row r="2519" ht="15.75" hidden="1" customHeight="1">
      <c r="B2519" s="146"/>
      <c r="C2519" s="146">
        <f t="shared" si="5"/>
        <v>10000</v>
      </c>
      <c r="D2519" s="146"/>
      <c r="E2519" s="305"/>
      <c r="F2519" s="383"/>
      <c r="G2519" s="154">
        <f>LEN('Expected Auditing Outcomes'!$F2519)</f>
        <v>0</v>
      </c>
      <c r="H2519" s="154"/>
    </row>
    <row r="2520" ht="15.75" hidden="1" customHeight="1">
      <c r="B2520" s="146"/>
      <c r="C2520" s="146">
        <f t="shared" si="5"/>
        <v>10000</v>
      </c>
      <c r="D2520" s="146"/>
      <c r="E2520" s="305"/>
      <c r="F2520" s="383"/>
      <c r="G2520" s="154">
        <f>LEN('Expected Auditing Outcomes'!$F2520)</f>
        <v>0</v>
      </c>
      <c r="H2520" s="154"/>
    </row>
    <row r="2521" ht="15.75" hidden="1" customHeight="1">
      <c r="B2521" s="146"/>
      <c r="C2521" s="146">
        <f t="shared" si="5"/>
        <v>10000</v>
      </c>
      <c r="D2521" s="146"/>
      <c r="E2521" s="305"/>
      <c r="F2521" s="383"/>
      <c r="G2521" s="154">
        <f>LEN('Expected Auditing Outcomes'!$F2521)</f>
        <v>0</v>
      </c>
      <c r="H2521" s="154"/>
    </row>
    <row r="2522" ht="15.75" hidden="1" customHeight="1">
      <c r="B2522" s="146"/>
      <c r="C2522" s="146">
        <f t="shared" si="5"/>
        <v>10000</v>
      </c>
      <c r="D2522" s="146"/>
      <c r="E2522" s="305"/>
      <c r="F2522" s="383"/>
      <c r="G2522" s="154">
        <f>LEN('Expected Auditing Outcomes'!$F2522)</f>
        <v>0</v>
      </c>
      <c r="H2522" s="154"/>
    </row>
    <row r="2523" ht="15.75" hidden="1" customHeight="1">
      <c r="B2523" s="146"/>
      <c r="C2523" s="146">
        <f t="shared" si="5"/>
        <v>10000</v>
      </c>
      <c r="D2523" s="146"/>
      <c r="E2523" s="305"/>
      <c r="F2523" s="383"/>
      <c r="G2523" s="154">
        <f>LEN('Expected Auditing Outcomes'!$F2523)</f>
        <v>0</v>
      </c>
      <c r="H2523" s="154"/>
    </row>
    <row r="2524" ht="15.75" hidden="1" customHeight="1">
      <c r="B2524" s="146"/>
      <c r="C2524" s="146">
        <f t="shared" si="5"/>
        <v>10000</v>
      </c>
      <c r="D2524" s="146"/>
      <c r="E2524" s="305"/>
      <c r="F2524" s="383"/>
      <c r="G2524" s="154">
        <f>LEN('Expected Auditing Outcomes'!$F2524)</f>
        <v>0</v>
      </c>
      <c r="H2524" s="154"/>
    </row>
    <row r="2525" ht="15.75" hidden="1" customHeight="1">
      <c r="B2525" s="146"/>
      <c r="C2525" s="146">
        <f t="shared" si="5"/>
        <v>10000</v>
      </c>
      <c r="D2525" s="146"/>
      <c r="E2525" s="305"/>
      <c r="F2525" s="383"/>
      <c r="G2525" s="154">
        <f>LEN('Expected Auditing Outcomes'!$F2525)</f>
        <v>0</v>
      </c>
      <c r="H2525" s="154"/>
    </row>
    <row r="2526" ht="15.75" hidden="1" customHeight="1">
      <c r="B2526" s="146"/>
      <c r="C2526" s="146">
        <f t="shared" si="5"/>
        <v>10000</v>
      </c>
      <c r="D2526" s="146"/>
      <c r="E2526" s="305"/>
      <c r="F2526" s="383"/>
      <c r="G2526" s="154">
        <f>LEN('Expected Auditing Outcomes'!$F2526)</f>
        <v>0</v>
      </c>
      <c r="H2526" s="154"/>
    </row>
    <row r="2527" ht="15.75" hidden="1" customHeight="1">
      <c r="B2527" s="146"/>
      <c r="C2527" s="146">
        <f t="shared" si="5"/>
        <v>10000</v>
      </c>
      <c r="D2527" s="146"/>
      <c r="E2527" s="305"/>
      <c r="F2527" s="383"/>
      <c r="G2527" s="154">
        <f>LEN('Expected Auditing Outcomes'!$F2527)</f>
        <v>0</v>
      </c>
      <c r="H2527" s="154"/>
    </row>
    <row r="2528" ht="15.75" hidden="1" customHeight="1">
      <c r="B2528" s="146"/>
      <c r="C2528" s="146">
        <f t="shared" si="5"/>
        <v>10000</v>
      </c>
      <c r="D2528" s="146"/>
      <c r="E2528" s="305"/>
      <c r="F2528" s="383"/>
      <c r="G2528" s="154">
        <f>LEN('Expected Auditing Outcomes'!$F2528)</f>
        <v>0</v>
      </c>
      <c r="H2528" s="154"/>
    </row>
    <row r="2529" ht="15.75" hidden="1" customHeight="1">
      <c r="B2529" s="146"/>
      <c r="C2529" s="146">
        <f t="shared" si="5"/>
        <v>10000</v>
      </c>
      <c r="D2529" s="146"/>
      <c r="E2529" s="305"/>
      <c r="F2529" s="383"/>
      <c r="G2529" s="154">
        <f>LEN('Expected Auditing Outcomes'!$F2529)</f>
        <v>0</v>
      </c>
      <c r="H2529" s="154"/>
    </row>
    <row r="2530" ht="15.75" hidden="1" customHeight="1">
      <c r="B2530" s="146"/>
      <c r="C2530" s="146">
        <f t="shared" si="5"/>
        <v>10000</v>
      </c>
      <c r="D2530" s="146"/>
      <c r="E2530" s="305"/>
      <c r="F2530" s="383"/>
      <c r="G2530" s="154">
        <f>LEN('Expected Auditing Outcomes'!$F2530)</f>
        <v>0</v>
      </c>
      <c r="H2530" s="154"/>
    </row>
    <row r="2531" ht="15.75" hidden="1" customHeight="1">
      <c r="B2531" s="146"/>
      <c r="C2531" s="146">
        <f t="shared" si="5"/>
        <v>10000</v>
      </c>
      <c r="D2531" s="146"/>
      <c r="E2531" s="305"/>
      <c r="F2531" s="383"/>
      <c r="G2531" s="154">
        <f>LEN('Expected Auditing Outcomes'!$F2531)</f>
        <v>0</v>
      </c>
      <c r="H2531" s="154"/>
    </row>
    <row r="2532" ht="15.75" hidden="1" customHeight="1">
      <c r="B2532" s="146"/>
      <c r="C2532" s="146">
        <f t="shared" si="5"/>
        <v>10000</v>
      </c>
      <c r="D2532" s="146"/>
      <c r="E2532" s="305"/>
      <c r="F2532" s="383"/>
      <c r="G2532" s="154">
        <f>LEN('Expected Auditing Outcomes'!$F2532)</f>
        <v>0</v>
      </c>
      <c r="H2532" s="154"/>
    </row>
    <row r="2533" ht="15.75" hidden="1" customHeight="1">
      <c r="B2533" s="146"/>
      <c r="C2533" s="146">
        <f t="shared" si="5"/>
        <v>10000</v>
      </c>
      <c r="D2533" s="146"/>
      <c r="E2533" s="305"/>
      <c r="F2533" s="383"/>
      <c r="G2533" s="154">
        <f>LEN('Expected Auditing Outcomes'!$F2533)</f>
        <v>0</v>
      </c>
      <c r="H2533" s="154"/>
    </row>
    <row r="2534" ht="15.75" hidden="1" customHeight="1">
      <c r="B2534" s="146"/>
      <c r="C2534" s="146">
        <f t="shared" si="5"/>
        <v>10000</v>
      </c>
      <c r="D2534" s="146"/>
      <c r="E2534" s="305"/>
      <c r="F2534" s="383"/>
      <c r="G2534" s="154">
        <f>LEN('Expected Auditing Outcomes'!$F2534)</f>
        <v>0</v>
      </c>
      <c r="H2534" s="154"/>
    </row>
    <row r="2535" ht="15.75" hidden="1" customHeight="1">
      <c r="B2535" s="146"/>
      <c r="C2535" s="146">
        <f t="shared" si="5"/>
        <v>10000</v>
      </c>
      <c r="D2535" s="146"/>
      <c r="E2535" s="305"/>
      <c r="F2535" s="383"/>
      <c r="G2535" s="154">
        <f>LEN('Expected Auditing Outcomes'!$F2535)</f>
        <v>0</v>
      </c>
      <c r="H2535" s="154"/>
    </row>
    <row r="2536" ht="15.75" hidden="1" customHeight="1">
      <c r="B2536" s="146"/>
      <c r="C2536" s="146">
        <f t="shared" si="5"/>
        <v>10000</v>
      </c>
      <c r="D2536" s="146"/>
      <c r="E2536" s="305"/>
      <c r="F2536" s="383"/>
      <c r="G2536" s="154">
        <f>LEN('Expected Auditing Outcomes'!$F2536)</f>
        <v>0</v>
      </c>
      <c r="H2536" s="154"/>
    </row>
    <row r="2537" ht="15.75" hidden="1" customHeight="1">
      <c r="B2537" s="146"/>
      <c r="C2537" s="146">
        <f t="shared" si="5"/>
        <v>10000</v>
      </c>
      <c r="D2537" s="146"/>
      <c r="E2537" s="305"/>
      <c r="F2537" s="383"/>
      <c r="G2537" s="154">
        <f>LEN('Expected Auditing Outcomes'!$F2537)</f>
        <v>0</v>
      </c>
      <c r="H2537" s="154"/>
    </row>
    <row r="2538" ht="15.75" hidden="1" customHeight="1">
      <c r="B2538" s="146"/>
      <c r="C2538" s="146">
        <f t="shared" si="5"/>
        <v>10000</v>
      </c>
      <c r="D2538" s="146"/>
      <c r="E2538" s="305"/>
      <c r="F2538" s="383"/>
      <c r="G2538" s="154">
        <f>LEN('Expected Auditing Outcomes'!$F2538)</f>
        <v>0</v>
      </c>
      <c r="H2538" s="154"/>
    </row>
    <row r="2539" ht="15.75" hidden="1" customHeight="1">
      <c r="B2539" s="146"/>
      <c r="C2539" s="146">
        <f t="shared" si="5"/>
        <v>10000</v>
      </c>
      <c r="D2539" s="146"/>
      <c r="E2539" s="305"/>
      <c r="F2539" s="383"/>
      <c r="G2539" s="154">
        <f>LEN('Expected Auditing Outcomes'!$F2539)</f>
        <v>0</v>
      </c>
      <c r="H2539" s="154"/>
    </row>
    <row r="2540" ht="15.75" hidden="1" customHeight="1">
      <c r="B2540" s="146"/>
      <c r="C2540" s="146">
        <f t="shared" si="5"/>
        <v>10000</v>
      </c>
      <c r="D2540" s="146"/>
      <c r="E2540" s="305"/>
      <c r="F2540" s="383"/>
      <c r="G2540" s="154">
        <f>LEN('Expected Auditing Outcomes'!$F2540)</f>
        <v>0</v>
      </c>
      <c r="H2540" s="154"/>
    </row>
    <row r="2541" ht="15.75" hidden="1" customHeight="1">
      <c r="B2541" s="146"/>
      <c r="C2541" s="146">
        <f t="shared" si="5"/>
        <v>10000</v>
      </c>
      <c r="D2541" s="146"/>
      <c r="E2541" s="305"/>
      <c r="F2541" s="383"/>
      <c r="G2541" s="154">
        <f>LEN('Expected Auditing Outcomes'!$F2541)</f>
        <v>0</v>
      </c>
      <c r="H2541" s="154"/>
    </row>
    <row r="2542" ht="15.75" hidden="1" customHeight="1">
      <c r="B2542" s="146"/>
      <c r="C2542" s="146">
        <f t="shared" si="5"/>
        <v>10000</v>
      </c>
      <c r="D2542" s="146"/>
      <c r="E2542" s="305"/>
      <c r="F2542" s="383"/>
      <c r="G2542" s="154">
        <f>LEN('Expected Auditing Outcomes'!$F2542)</f>
        <v>0</v>
      </c>
      <c r="H2542" s="154"/>
    </row>
    <row r="2543" ht="15.75" hidden="1" customHeight="1">
      <c r="B2543" s="146"/>
      <c r="C2543" s="146">
        <f t="shared" si="5"/>
        <v>10000</v>
      </c>
      <c r="D2543" s="146"/>
      <c r="E2543" s="305"/>
      <c r="F2543" s="383"/>
      <c r="G2543" s="154">
        <f>LEN('Expected Auditing Outcomes'!$F2543)</f>
        <v>0</v>
      </c>
      <c r="H2543" s="154"/>
    </row>
    <row r="2544" ht="15.75" hidden="1" customHeight="1">
      <c r="B2544" s="146"/>
      <c r="C2544" s="146">
        <f t="shared" si="5"/>
        <v>10000</v>
      </c>
      <c r="D2544" s="146"/>
      <c r="E2544" s="305"/>
      <c r="F2544" s="383"/>
      <c r="G2544" s="154">
        <f>LEN('Expected Auditing Outcomes'!$F2544)</f>
        <v>0</v>
      </c>
      <c r="H2544" s="154"/>
    </row>
    <row r="2545" ht="15.75" hidden="1" customHeight="1">
      <c r="B2545" s="146"/>
      <c r="C2545" s="146">
        <f t="shared" si="5"/>
        <v>10000</v>
      </c>
      <c r="D2545" s="146"/>
      <c r="E2545" s="305"/>
      <c r="F2545" s="383"/>
      <c r="G2545" s="154">
        <f>LEN('Expected Auditing Outcomes'!$F2545)</f>
        <v>0</v>
      </c>
      <c r="H2545" s="154"/>
    </row>
    <row r="2546" ht="15.75" hidden="1" customHeight="1">
      <c r="B2546" s="146"/>
      <c r="C2546" s="146">
        <f t="shared" si="5"/>
        <v>10000</v>
      </c>
      <c r="D2546" s="146"/>
      <c r="E2546" s="305"/>
      <c r="F2546" s="383"/>
      <c r="G2546" s="154">
        <f>LEN('Expected Auditing Outcomes'!$F2546)</f>
        <v>0</v>
      </c>
      <c r="H2546" s="154"/>
    </row>
    <row r="2547" ht="15.75" hidden="1" customHeight="1">
      <c r="B2547" s="146"/>
      <c r="C2547" s="146">
        <f t="shared" si="5"/>
        <v>10000</v>
      </c>
      <c r="D2547" s="146"/>
      <c r="E2547" s="305"/>
      <c r="F2547" s="383"/>
      <c r="G2547" s="154">
        <f>LEN('Expected Auditing Outcomes'!$F2547)</f>
        <v>0</v>
      </c>
      <c r="H2547" s="154"/>
    </row>
    <row r="2548" ht="15.75" hidden="1" customHeight="1">
      <c r="B2548" s="146"/>
      <c r="C2548" s="146">
        <f t="shared" si="5"/>
        <v>10000</v>
      </c>
      <c r="D2548" s="146"/>
      <c r="E2548" s="305"/>
      <c r="F2548" s="383"/>
      <c r="G2548" s="154">
        <f>LEN('Expected Auditing Outcomes'!$F2548)</f>
        <v>0</v>
      </c>
      <c r="H2548" s="154"/>
    </row>
    <row r="2549" ht="15.75" hidden="1" customHeight="1">
      <c r="B2549" s="146"/>
      <c r="C2549" s="146">
        <f t="shared" si="5"/>
        <v>10000</v>
      </c>
      <c r="D2549" s="146"/>
      <c r="E2549" s="305"/>
      <c r="F2549" s="383"/>
      <c r="G2549" s="154">
        <f>LEN('Expected Auditing Outcomes'!$F2549)</f>
        <v>0</v>
      </c>
      <c r="H2549" s="154"/>
    </row>
    <row r="2550" ht="15.75" hidden="1" customHeight="1">
      <c r="B2550" s="146"/>
      <c r="C2550" s="146">
        <f t="shared" si="5"/>
        <v>10000</v>
      </c>
      <c r="D2550" s="146"/>
      <c r="E2550" s="305"/>
      <c r="F2550" s="383"/>
      <c r="G2550" s="154">
        <f>LEN('Expected Auditing Outcomes'!$F2550)</f>
        <v>0</v>
      </c>
      <c r="H2550" s="154"/>
    </row>
    <row r="2551" ht="15.75" hidden="1" customHeight="1">
      <c r="B2551" s="146"/>
      <c r="C2551" s="146">
        <f t="shared" si="5"/>
        <v>10000</v>
      </c>
      <c r="D2551" s="146"/>
      <c r="E2551" s="305"/>
      <c r="F2551" s="383"/>
      <c r="G2551" s="154">
        <f>LEN('Expected Auditing Outcomes'!$F2551)</f>
        <v>0</v>
      </c>
      <c r="H2551" s="154"/>
    </row>
    <row r="2552" ht="15.75" hidden="1" customHeight="1">
      <c r="B2552" s="146"/>
      <c r="C2552" s="146">
        <f t="shared" si="5"/>
        <v>10000</v>
      </c>
      <c r="D2552" s="146"/>
      <c r="E2552" s="305"/>
      <c r="F2552" s="383"/>
      <c r="G2552" s="154">
        <f>LEN('Expected Auditing Outcomes'!$F2552)</f>
        <v>0</v>
      </c>
      <c r="H2552" s="154"/>
    </row>
    <row r="2553" ht="15.75" hidden="1" customHeight="1">
      <c r="B2553" s="146"/>
      <c r="C2553" s="146">
        <f t="shared" si="5"/>
        <v>10000</v>
      </c>
      <c r="D2553" s="146"/>
      <c r="E2553" s="305"/>
      <c r="F2553" s="383"/>
      <c r="G2553" s="154">
        <f>LEN('Expected Auditing Outcomes'!$F2553)</f>
        <v>0</v>
      </c>
      <c r="H2553" s="154"/>
    </row>
    <row r="2554" ht="15.75" hidden="1" customHeight="1">
      <c r="B2554" s="146"/>
      <c r="C2554" s="146">
        <f t="shared" si="5"/>
        <v>10000</v>
      </c>
      <c r="D2554" s="146"/>
      <c r="E2554" s="305"/>
      <c r="F2554" s="383"/>
      <c r="G2554" s="154">
        <f>LEN('Expected Auditing Outcomes'!$F2554)</f>
        <v>0</v>
      </c>
      <c r="H2554" s="154"/>
    </row>
    <row r="2555" ht="15.75" hidden="1" customHeight="1">
      <c r="B2555" s="146"/>
      <c r="C2555" s="146">
        <f t="shared" si="5"/>
        <v>10000</v>
      </c>
      <c r="D2555" s="146"/>
      <c r="E2555" s="305"/>
      <c r="F2555" s="383"/>
      <c r="G2555" s="154">
        <f>LEN('Expected Auditing Outcomes'!$F2555)</f>
        <v>0</v>
      </c>
      <c r="H2555" s="154"/>
    </row>
    <row r="2556" ht="15.75" hidden="1" customHeight="1">
      <c r="B2556" s="146"/>
      <c r="C2556" s="146">
        <f t="shared" si="5"/>
        <v>10000</v>
      </c>
      <c r="D2556" s="146"/>
      <c r="E2556" s="305"/>
      <c r="F2556" s="383"/>
      <c r="G2556" s="154">
        <f>LEN('Expected Auditing Outcomes'!$F2556)</f>
        <v>0</v>
      </c>
      <c r="H2556" s="154"/>
    </row>
    <row r="2557" ht="15.75" hidden="1" customHeight="1">
      <c r="B2557" s="146"/>
      <c r="C2557" s="146">
        <f t="shared" si="5"/>
        <v>10000</v>
      </c>
      <c r="D2557" s="146"/>
      <c r="E2557" s="305"/>
      <c r="F2557" s="383"/>
      <c r="G2557" s="154">
        <f>LEN('Expected Auditing Outcomes'!$F2557)</f>
        <v>0</v>
      </c>
      <c r="H2557" s="154"/>
    </row>
    <row r="2558" ht="15.75" hidden="1" customHeight="1">
      <c r="B2558" s="146"/>
      <c r="C2558" s="146">
        <f t="shared" si="5"/>
        <v>10000</v>
      </c>
      <c r="D2558" s="146"/>
      <c r="E2558" s="305"/>
      <c r="F2558" s="383"/>
      <c r="G2558" s="154">
        <f>LEN('Expected Auditing Outcomes'!$F2558)</f>
        <v>0</v>
      </c>
      <c r="H2558" s="154"/>
    </row>
    <row r="2559" ht="15.75" hidden="1" customHeight="1">
      <c r="B2559" s="146"/>
      <c r="C2559" s="146">
        <f t="shared" si="5"/>
        <v>10000</v>
      </c>
      <c r="D2559" s="146"/>
      <c r="E2559" s="305"/>
      <c r="F2559" s="383"/>
      <c r="G2559" s="154">
        <f>LEN('Expected Auditing Outcomes'!$F2559)</f>
        <v>0</v>
      </c>
      <c r="H2559" s="154"/>
    </row>
    <row r="2560" ht="15.75" hidden="1" customHeight="1">
      <c r="B2560" s="146"/>
      <c r="C2560" s="146">
        <f t="shared" si="5"/>
        <v>10000</v>
      </c>
      <c r="D2560" s="146"/>
      <c r="E2560" s="305"/>
      <c r="F2560" s="383"/>
      <c r="G2560" s="154">
        <f>LEN('Expected Auditing Outcomes'!$F2560)</f>
        <v>0</v>
      </c>
      <c r="H2560" s="154"/>
    </row>
    <row r="2561" ht="15.75" hidden="1" customHeight="1">
      <c r="B2561" s="146"/>
      <c r="C2561" s="146">
        <f t="shared" si="5"/>
        <v>10000</v>
      </c>
      <c r="D2561" s="146"/>
      <c r="E2561" s="305"/>
      <c r="F2561" s="383"/>
      <c r="G2561" s="154">
        <f>LEN('Expected Auditing Outcomes'!$F2561)</f>
        <v>0</v>
      </c>
      <c r="H2561" s="154"/>
    </row>
    <row r="2562" ht="15.75" hidden="1" customHeight="1">
      <c r="B2562" s="146"/>
      <c r="C2562" s="146">
        <f t="shared" si="5"/>
        <v>10000</v>
      </c>
      <c r="D2562" s="146"/>
      <c r="E2562" s="305"/>
      <c r="F2562" s="383"/>
      <c r="G2562" s="154">
        <f>LEN('Expected Auditing Outcomes'!$F2562)</f>
        <v>0</v>
      </c>
      <c r="H2562" s="154"/>
    </row>
    <row r="2563" ht="15.75" hidden="1" customHeight="1">
      <c r="B2563" s="146"/>
      <c r="C2563" s="146">
        <f t="shared" si="5"/>
        <v>10000</v>
      </c>
      <c r="D2563" s="146"/>
      <c r="E2563" s="305"/>
      <c r="F2563" s="383"/>
      <c r="G2563" s="154">
        <f>LEN('Expected Auditing Outcomes'!$F2563)</f>
        <v>0</v>
      </c>
      <c r="H2563" s="154"/>
    </row>
    <row r="2564" ht="15.75" hidden="1" customHeight="1">
      <c r="B2564" s="146"/>
      <c r="C2564" s="146">
        <f t="shared" si="5"/>
        <v>10000</v>
      </c>
      <c r="D2564" s="146"/>
      <c r="E2564" s="305"/>
      <c r="F2564" s="383"/>
      <c r="G2564" s="154">
        <f>LEN('Expected Auditing Outcomes'!$F2564)</f>
        <v>0</v>
      </c>
      <c r="H2564" s="154"/>
    </row>
    <row r="2565" ht="15.75" hidden="1" customHeight="1">
      <c r="B2565" s="146"/>
      <c r="C2565" s="146">
        <f t="shared" si="5"/>
        <v>10000</v>
      </c>
      <c r="D2565" s="146"/>
      <c r="E2565" s="305"/>
      <c r="F2565" s="383"/>
      <c r="G2565" s="154">
        <f>LEN('Expected Auditing Outcomes'!$F2565)</f>
        <v>0</v>
      </c>
      <c r="H2565" s="154"/>
    </row>
    <row r="2566" ht="15.75" hidden="1" customHeight="1">
      <c r="B2566" s="146"/>
      <c r="C2566" s="146">
        <f t="shared" si="5"/>
        <v>10000</v>
      </c>
      <c r="D2566" s="146"/>
      <c r="E2566" s="305"/>
      <c r="F2566" s="383"/>
      <c r="G2566" s="154">
        <f>LEN('Expected Auditing Outcomes'!$F2566)</f>
        <v>0</v>
      </c>
      <c r="H2566" s="154"/>
    </row>
    <row r="2567" ht="15.75" hidden="1" customHeight="1">
      <c r="B2567" s="146"/>
      <c r="C2567" s="146">
        <f t="shared" si="5"/>
        <v>10000</v>
      </c>
      <c r="D2567" s="146"/>
      <c r="E2567" s="305"/>
      <c r="F2567" s="383"/>
      <c r="G2567" s="154">
        <f>LEN('Expected Auditing Outcomes'!$F2567)</f>
        <v>0</v>
      </c>
      <c r="H2567" s="154"/>
    </row>
    <row r="2568" ht="15.75" hidden="1" customHeight="1">
      <c r="B2568" s="146"/>
      <c r="C2568" s="146">
        <f t="shared" si="5"/>
        <v>10000</v>
      </c>
      <c r="D2568" s="146"/>
      <c r="E2568" s="305"/>
      <c r="F2568" s="383"/>
      <c r="G2568" s="154">
        <f>LEN('Expected Auditing Outcomes'!$F2568)</f>
        <v>0</v>
      </c>
      <c r="H2568" s="154"/>
    </row>
    <row r="2569" ht="15.75" hidden="1" customHeight="1">
      <c r="B2569" s="146"/>
      <c r="C2569" s="146">
        <f t="shared" si="5"/>
        <v>10000</v>
      </c>
      <c r="D2569" s="146"/>
      <c r="E2569" s="305"/>
      <c r="F2569" s="383"/>
      <c r="G2569" s="154">
        <f>LEN('Expected Auditing Outcomes'!$F2569)</f>
        <v>0</v>
      </c>
      <c r="H2569" s="154"/>
    </row>
    <row r="2570" ht="15.75" hidden="1" customHeight="1">
      <c r="B2570" s="146"/>
      <c r="C2570" s="146">
        <f t="shared" si="5"/>
        <v>10000</v>
      </c>
      <c r="D2570" s="146"/>
      <c r="E2570" s="305"/>
      <c r="F2570" s="383"/>
      <c r="G2570" s="154">
        <f>LEN('Expected Auditing Outcomes'!$F2570)</f>
        <v>0</v>
      </c>
      <c r="H2570" s="154"/>
    </row>
    <row r="2571" ht="15.75" hidden="1" customHeight="1">
      <c r="B2571" s="146"/>
      <c r="C2571" s="146">
        <f t="shared" si="5"/>
        <v>10000</v>
      </c>
      <c r="D2571" s="146"/>
      <c r="E2571" s="305"/>
      <c r="F2571" s="383"/>
      <c r="G2571" s="154">
        <f>LEN('Expected Auditing Outcomes'!$F2571)</f>
        <v>0</v>
      </c>
      <c r="H2571" s="154"/>
    </row>
    <row r="2572" ht="15.75" hidden="1" customHeight="1">
      <c r="B2572" s="146"/>
      <c r="C2572" s="146">
        <f t="shared" si="5"/>
        <v>10000</v>
      </c>
      <c r="D2572" s="146"/>
      <c r="E2572" s="305"/>
      <c r="F2572" s="383"/>
      <c r="G2572" s="154">
        <f>LEN('Expected Auditing Outcomes'!$F2572)</f>
        <v>0</v>
      </c>
      <c r="H2572" s="154"/>
    </row>
    <row r="2573" ht="15.75" hidden="1" customHeight="1">
      <c r="B2573" s="146"/>
      <c r="C2573" s="146">
        <f t="shared" si="5"/>
        <v>10000</v>
      </c>
      <c r="D2573" s="146"/>
      <c r="E2573" s="305"/>
      <c r="F2573" s="383"/>
      <c r="G2573" s="154">
        <f>LEN('Expected Auditing Outcomes'!$F2573)</f>
        <v>0</v>
      </c>
      <c r="H2573" s="154"/>
    </row>
    <row r="2574" ht="15.75" hidden="1" customHeight="1">
      <c r="B2574" s="146"/>
      <c r="C2574" s="146">
        <f t="shared" si="5"/>
        <v>10000</v>
      </c>
      <c r="D2574" s="146"/>
      <c r="E2574" s="305"/>
      <c r="F2574" s="383"/>
      <c r="G2574" s="154">
        <f>LEN('Expected Auditing Outcomes'!$F2574)</f>
        <v>0</v>
      </c>
      <c r="H2574" s="154"/>
    </row>
    <row r="2575" ht="15.75" hidden="1" customHeight="1">
      <c r="B2575" s="146"/>
      <c r="C2575" s="146">
        <f t="shared" si="5"/>
        <v>10000</v>
      </c>
      <c r="D2575" s="146"/>
      <c r="E2575" s="305"/>
      <c r="F2575" s="383"/>
      <c r="G2575" s="154">
        <f>LEN('Expected Auditing Outcomes'!$F2575)</f>
        <v>0</v>
      </c>
      <c r="H2575" s="154"/>
    </row>
    <row r="2576" ht="15.75" hidden="1" customHeight="1">
      <c r="B2576" s="146"/>
      <c r="C2576" s="146">
        <f t="shared" si="5"/>
        <v>10000</v>
      </c>
      <c r="D2576" s="146"/>
      <c r="E2576" s="305"/>
      <c r="F2576" s="383"/>
      <c r="G2576" s="154">
        <f>LEN('Expected Auditing Outcomes'!$F2576)</f>
        <v>0</v>
      </c>
      <c r="H2576" s="154"/>
    </row>
    <row r="2577" ht="15.75" hidden="1" customHeight="1">
      <c r="B2577" s="146"/>
      <c r="C2577" s="146">
        <f t="shared" si="5"/>
        <v>10000</v>
      </c>
      <c r="D2577" s="146"/>
      <c r="E2577" s="305"/>
      <c r="F2577" s="383"/>
      <c r="G2577" s="154">
        <f>LEN('Expected Auditing Outcomes'!$F2577)</f>
        <v>0</v>
      </c>
      <c r="H2577" s="154"/>
    </row>
    <row r="2578" ht="15.75" hidden="1" customHeight="1">
      <c r="B2578" s="146"/>
      <c r="C2578" s="146">
        <f t="shared" si="5"/>
        <v>10000</v>
      </c>
      <c r="D2578" s="146"/>
      <c r="E2578" s="305"/>
      <c r="F2578" s="383"/>
      <c r="G2578" s="154">
        <f>LEN('Expected Auditing Outcomes'!$F2578)</f>
        <v>0</v>
      </c>
      <c r="H2578" s="154"/>
    </row>
    <row r="2579" ht="15.75" hidden="1" customHeight="1">
      <c r="B2579" s="146"/>
      <c r="C2579" s="146">
        <f t="shared" si="5"/>
        <v>10000</v>
      </c>
      <c r="D2579" s="146"/>
      <c r="E2579" s="305"/>
      <c r="F2579" s="383"/>
      <c r="G2579" s="154">
        <f>LEN('Expected Auditing Outcomes'!$F2579)</f>
        <v>0</v>
      </c>
      <c r="H2579" s="154"/>
    </row>
    <row r="2580" ht="15.75" hidden="1" customHeight="1">
      <c r="B2580" s="146"/>
      <c r="C2580" s="146">
        <f t="shared" si="5"/>
        <v>10000</v>
      </c>
      <c r="D2580" s="146"/>
      <c r="E2580" s="305"/>
      <c r="F2580" s="383"/>
      <c r="G2580" s="154">
        <f>LEN('Expected Auditing Outcomes'!$F2580)</f>
        <v>0</v>
      </c>
      <c r="H2580" s="154"/>
    </row>
    <row r="2581" ht="15.75" hidden="1" customHeight="1">
      <c r="B2581" s="146"/>
      <c r="C2581" s="146">
        <f t="shared" si="5"/>
        <v>10000</v>
      </c>
      <c r="D2581" s="146"/>
      <c r="E2581" s="305"/>
      <c r="F2581" s="383"/>
      <c r="G2581" s="154">
        <f>LEN('Expected Auditing Outcomes'!$F2581)</f>
        <v>0</v>
      </c>
      <c r="H2581" s="154"/>
    </row>
    <row r="2582" ht="15.75" hidden="1" customHeight="1">
      <c r="B2582" s="146"/>
      <c r="C2582" s="146">
        <f t="shared" si="5"/>
        <v>10000</v>
      </c>
      <c r="D2582" s="146"/>
      <c r="E2582" s="305"/>
      <c r="F2582" s="383"/>
      <c r="G2582" s="154">
        <f>LEN('Expected Auditing Outcomes'!$F2582)</f>
        <v>0</v>
      </c>
      <c r="H2582" s="154"/>
    </row>
    <row r="2583" ht="15.75" hidden="1" customHeight="1">
      <c r="B2583" s="146"/>
      <c r="C2583" s="146">
        <f t="shared" si="5"/>
        <v>10000</v>
      </c>
      <c r="D2583" s="146"/>
      <c r="E2583" s="305"/>
      <c r="F2583" s="383"/>
      <c r="G2583" s="154">
        <f>LEN('Expected Auditing Outcomes'!$F2583)</f>
        <v>0</v>
      </c>
      <c r="H2583" s="154"/>
    </row>
    <row r="2584" ht="15.75" hidden="1" customHeight="1">
      <c r="B2584" s="146"/>
      <c r="C2584" s="146">
        <f t="shared" si="5"/>
        <v>10000</v>
      </c>
      <c r="D2584" s="146"/>
      <c r="E2584" s="305"/>
      <c r="F2584" s="383"/>
      <c r="G2584" s="154">
        <f>LEN('Expected Auditing Outcomes'!$F2584)</f>
        <v>0</v>
      </c>
      <c r="H2584" s="154"/>
    </row>
    <row r="2585" ht="15.75" hidden="1" customHeight="1">
      <c r="B2585" s="146"/>
      <c r="C2585" s="146">
        <f t="shared" si="5"/>
        <v>10000</v>
      </c>
      <c r="D2585" s="146"/>
      <c r="E2585" s="305"/>
      <c r="F2585" s="383"/>
      <c r="G2585" s="154">
        <f>LEN('Expected Auditing Outcomes'!$F2585)</f>
        <v>0</v>
      </c>
      <c r="H2585" s="154"/>
    </row>
    <row r="2586" ht="15.75" hidden="1" customHeight="1">
      <c r="B2586" s="146"/>
      <c r="C2586" s="146">
        <f t="shared" si="5"/>
        <v>10000</v>
      </c>
      <c r="D2586" s="146"/>
      <c r="E2586" s="305"/>
      <c r="F2586" s="383"/>
      <c r="G2586" s="154">
        <f>LEN('Expected Auditing Outcomes'!$F2586)</f>
        <v>0</v>
      </c>
      <c r="H2586" s="154"/>
    </row>
    <row r="2587" ht="15.75" hidden="1" customHeight="1">
      <c r="B2587" s="146"/>
      <c r="C2587" s="146">
        <f t="shared" si="5"/>
        <v>10000</v>
      </c>
      <c r="D2587" s="146"/>
      <c r="E2587" s="305"/>
      <c r="F2587" s="383"/>
      <c r="G2587" s="154">
        <f>LEN('Expected Auditing Outcomes'!$F2587)</f>
        <v>0</v>
      </c>
      <c r="H2587" s="154"/>
    </row>
    <row r="2588" ht="15.75" hidden="1" customHeight="1">
      <c r="B2588" s="146"/>
      <c r="C2588" s="146">
        <f t="shared" si="5"/>
        <v>10000</v>
      </c>
      <c r="D2588" s="146"/>
      <c r="E2588" s="305"/>
      <c r="F2588" s="383"/>
      <c r="G2588" s="154">
        <f>LEN('Expected Auditing Outcomes'!$F2588)</f>
        <v>0</v>
      </c>
      <c r="H2588" s="154"/>
    </row>
    <row r="2589" ht="15.75" hidden="1" customHeight="1">
      <c r="B2589" s="146"/>
      <c r="C2589" s="146">
        <f t="shared" si="5"/>
        <v>10000</v>
      </c>
      <c r="D2589" s="146"/>
      <c r="E2589" s="305"/>
      <c r="F2589" s="383"/>
      <c r="G2589" s="154">
        <f>LEN('Expected Auditing Outcomes'!$F2589)</f>
        <v>0</v>
      </c>
      <c r="H2589" s="154"/>
    </row>
    <row r="2590" ht="15.75" hidden="1" customHeight="1">
      <c r="B2590" s="146"/>
      <c r="C2590" s="146">
        <f t="shared" si="5"/>
        <v>10000</v>
      </c>
      <c r="D2590" s="146"/>
      <c r="E2590" s="305"/>
      <c r="F2590" s="383"/>
      <c r="G2590" s="154">
        <f>LEN('Expected Auditing Outcomes'!$F2590)</f>
        <v>0</v>
      </c>
      <c r="H2590" s="154"/>
    </row>
    <row r="2591" ht="15.75" hidden="1" customHeight="1">
      <c r="B2591" s="146"/>
      <c r="C2591" s="146">
        <f t="shared" si="5"/>
        <v>10000</v>
      </c>
      <c r="D2591" s="146"/>
      <c r="E2591" s="305"/>
      <c r="F2591" s="383"/>
      <c r="G2591" s="154">
        <f>LEN('Expected Auditing Outcomes'!$F2591)</f>
        <v>0</v>
      </c>
      <c r="H2591" s="154"/>
    </row>
    <row r="2592" ht="15.75" hidden="1" customHeight="1">
      <c r="B2592" s="146"/>
      <c r="C2592" s="146">
        <f t="shared" si="5"/>
        <v>10000</v>
      </c>
      <c r="D2592" s="146"/>
      <c r="E2592" s="305"/>
      <c r="F2592" s="383"/>
      <c r="G2592" s="154">
        <f>LEN('Expected Auditing Outcomes'!$F2592)</f>
        <v>0</v>
      </c>
      <c r="H2592" s="154"/>
    </row>
    <row r="2593" ht="15.75" hidden="1" customHeight="1">
      <c r="B2593" s="146"/>
      <c r="C2593" s="146">
        <f t="shared" si="5"/>
        <v>10000</v>
      </c>
      <c r="D2593" s="146"/>
      <c r="E2593" s="305"/>
      <c r="F2593" s="383"/>
      <c r="G2593" s="154">
        <f>LEN('Expected Auditing Outcomes'!$F2593)</f>
        <v>0</v>
      </c>
      <c r="H2593" s="154"/>
    </row>
    <row r="2594" ht="15.75" hidden="1" customHeight="1">
      <c r="B2594" s="146"/>
      <c r="C2594" s="146">
        <f t="shared" si="5"/>
        <v>10000</v>
      </c>
      <c r="D2594" s="146"/>
      <c r="E2594" s="305"/>
      <c r="F2594" s="383"/>
      <c r="G2594" s="154">
        <f>LEN('Expected Auditing Outcomes'!$F2594)</f>
        <v>0</v>
      </c>
      <c r="H2594" s="154"/>
    </row>
    <row r="2595" ht="15.75" hidden="1" customHeight="1">
      <c r="B2595" s="146"/>
      <c r="C2595" s="146">
        <f t="shared" si="5"/>
        <v>10000</v>
      </c>
      <c r="D2595" s="146"/>
      <c r="E2595" s="305"/>
      <c r="F2595" s="383"/>
      <c r="G2595" s="154">
        <f>LEN('Expected Auditing Outcomes'!$F2595)</f>
        <v>0</v>
      </c>
      <c r="H2595" s="154"/>
    </row>
    <row r="2596" ht="15.75" hidden="1" customHeight="1">
      <c r="B2596" s="146"/>
      <c r="C2596" s="146">
        <f t="shared" si="5"/>
        <v>10000</v>
      </c>
      <c r="D2596" s="146"/>
      <c r="E2596" s="305"/>
      <c r="F2596" s="383"/>
      <c r="G2596" s="154">
        <f>LEN('Expected Auditing Outcomes'!$F2596)</f>
        <v>0</v>
      </c>
      <c r="H2596" s="154"/>
    </row>
    <row r="2597" ht="15.75" hidden="1" customHeight="1">
      <c r="B2597" s="146"/>
      <c r="C2597" s="146">
        <f t="shared" si="5"/>
        <v>10000</v>
      </c>
      <c r="D2597" s="146"/>
      <c r="E2597" s="305"/>
      <c r="F2597" s="383"/>
      <c r="G2597" s="154">
        <f>LEN('Expected Auditing Outcomes'!$F2597)</f>
        <v>0</v>
      </c>
      <c r="H2597" s="154"/>
    </row>
    <row r="2598" ht="15.75" hidden="1" customHeight="1">
      <c r="B2598" s="146"/>
      <c r="C2598" s="146">
        <f t="shared" si="5"/>
        <v>10000</v>
      </c>
      <c r="D2598" s="146"/>
      <c r="E2598" s="305"/>
      <c r="F2598" s="383"/>
      <c r="G2598" s="154">
        <f>LEN('Expected Auditing Outcomes'!$F2598)</f>
        <v>0</v>
      </c>
      <c r="H2598" s="154"/>
    </row>
    <row r="2599" ht="15.75" hidden="1" customHeight="1">
      <c r="B2599" s="146"/>
      <c r="C2599" s="146">
        <f t="shared" si="5"/>
        <v>10000</v>
      </c>
      <c r="D2599" s="146"/>
      <c r="E2599" s="305"/>
      <c r="F2599" s="383"/>
      <c r="G2599" s="154">
        <f>LEN('Expected Auditing Outcomes'!$F2599)</f>
        <v>0</v>
      </c>
      <c r="H2599" s="154"/>
    </row>
    <row r="2600" ht="15.75" hidden="1" customHeight="1">
      <c r="B2600" s="146"/>
      <c r="C2600" s="146">
        <f t="shared" si="5"/>
        <v>10000</v>
      </c>
      <c r="D2600" s="146"/>
      <c r="E2600" s="305"/>
      <c r="F2600" s="383"/>
      <c r="G2600" s="154">
        <f>LEN('Expected Auditing Outcomes'!$F2600)</f>
        <v>0</v>
      </c>
      <c r="H2600" s="154"/>
    </row>
    <row r="2601" ht="15.75" hidden="1" customHeight="1">
      <c r="B2601" s="146"/>
      <c r="C2601" s="146">
        <f t="shared" si="5"/>
        <v>10000</v>
      </c>
      <c r="D2601" s="146"/>
      <c r="E2601" s="305"/>
      <c r="F2601" s="383"/>
      <c r="G2601" s="154">
        <f>LEN('Expected Auditing Outcomes'!$F2601)</f>
        <v>0</v>
      </c>
      <c r="H2601" s="154"/>
    </row>
    <row r="2602" ht="15.75" hidden="1" customHeight="1">
      <c r="B2602" s="146"/>
      <c r="C2602" s="146">
        <f t="shared" si="5"/>
        <v>10000</v>
      </c>
      <c r="D2602" s="146"/>
      <c r="E2602" s="305"/>
      <c r="F2602" s="383"/>
      <c r="G2602" s="154">
        <f>LEN('Expected Auditing Outcomes'!$F2602)</f>
        <v>0</v>
      </c>
      <c r="H2602" s="154"/>
    </row>
    <row r="2603" ht="15.75" hidden="1" customHeight="1">
      <c r="B2603" s="146"/>
      <c r="C2603" s="146">
        <f t="shared" si="5"/>
        <v>10000</v>
      </c>
      <c r="D2603" s="146"/>
      <c r="E2603" s="305"/>
      <c r="F2603" s="383"/>
      <c r="G2603" s="154">
        <f>LEN('Expected Auditing Outcomes'!$F2603)</f>
        <v>0</v>
      </c>
      <c r="H2603" s="154"/>
    </row>
    <row r="2604" ht="15.75" hidden="1" customHeight="1">
      <c r="B2604" s="146"/>
      <c r="C2604" s="146">
        <f t="shared" si="5"/>
        <v>10000</v>
      </c>
      <c r="D2604" s="146"/>
      <c r="E2604" s="305"/>
      <c r="F2604" s="383"/>
      <c r="G2604" s="154">
        <f>LEN('Expected Auditing Outcomes'!$F2604)</f>
        <v>0</v>
      </c>
      <c r="H2604" s="154"/>
    </row>
    <row r="2605" ht="15.75" hidden="1" customHeight="1">
      <c r="B2605" s="146"/>
      <c r="C2605" s="146">
        <f t="shared" si="5"/>
        <v>10000</v>
      </c>
      <c r="D2605" s="146"/>
      <c r="E2605" s="305"/>
      <c r="F2605" s="383"/>
      <c r="G2605" s="154">
        <f>LEN('Expected Auditing Outcomes'!$F2605)</f>
        <v>0</v>
      </c>
      <c r="H2605" s="154"/>
    </row>
    <row r="2606" ht="15.75" hidden="1" customHeight="1">
      <c r="B2606" s="146"/>
      <c r="C2606" s="146">
        <f t="shared" si="5"/>
        <v>10000</v>
      </c>
      <c r="D2606" s="146"/>
      <c r="E2606" s="305"/>
      <c r="F2606" s="383"/>
      <c r="G2606" s="154">
        <f>LEN('Expected Auditing Outcomes'!$F2606)</f>
        <v>0</v>
      </c>
      <c r="H2606" s="154"/>
    </row>
    <row r="2607" ht="15.75" hidden="1" customHeight="1">
      <c r="B2607" s="146"/>
      <c r="C2607" s="146">
        <f t="shared" si="5"/>
        <v>10000</v>
      </c>
      <c r="D2607" s="146"/>
      <c r="E2607" s="305"/>
      <c r="F2607" s="383"/>
      <c r="G2607" s="154">
        <f>LEN('Expected Auditing Outcomes'!$F2607)</f>
        <v>0</v>
      </c>
      <c r="H2607" s="154"/>
    </row>
    <row r="2608" ht="15.75" hidden="1" customHeight="1">
      <c r="B2608" s="146"/>
      <c r="C2608" s="146">
        <f t="shared" si="5"/>
        <v>10000</v>
      </c>
      <c r="D2608" s="146"/>
      <c r="E2608" s="305"/>
      <c r="F2608" s="383"/>
      <c r="G2608" s="154">
        <f>LEN('Expected Auditing Outcomes'!$F2608)</f>
        <v>0</v>
      </c>
      <c r="H2608" s="154"/>
    </row>
    <row r="2609" ht="15.75" hidden="1" customHeight="1">
      <c r="B2609" s="146"/>
      <c r="C2609" s="146">
        <f t="shared" si="5"/>
        <v>10000</v>
      </c>
      <c r="D2609" s="146"/>
      <c r="E2609" s="305"/>
      <c r="F2609" s="383"/>
      <c r="G2609" s="154">
        <f>LEN('Expected Auditing Outcomes'!$F2609)</f>
        <v>0</v>
      </c>
      <c r="H2609" s="154"/>
    </row>
    <row r="2610" ht="15.75" hidden="1" customHeight="1">
      <c r="B2610" s="146"/>
      <c r="C2610" s="146">
        <f t="shared" si="5"/>
        <v>10000</v>
      </c>
      <c r="D2610" s="146"/>
      <c r="E2610" s="305"/>
      <c r="F2610" s="383"/>
      <c r="G2610" s="154">
        <f>LEN('Expected Auditing Outcomes'!$F2610)</f>
        <v>0</v>
      </c>
      <c r="H2610" s="154"/>
    </row>
    <row r="2611" ht="15.75" hidden="1" customHeight="1">
      <c r="B2611" s="146"/>
      <c r="C2611" s="146">
        <f t="shared" si="5"/>
        <v>10000</v>
      </c>
      <c r="D2611" s="146"/>
      <c r="E2611" s="305"/>
      <c r="F2611" s="383"/>
      <c r="G2611" s="154">
        <f>LEN('Expected Auditing Outcomes'!$F2611)</f>
        <v>0</v>
      </c>
      <c r="H2611" s="154"/>
    </row>
    <row r="2612" ht="15.75" hidden="1" customHeight="1">
      <c r="B2612" s="146"/>
      <c r="C2612" s="146">
        <f t="shared" si="5"/>
        <v>10000</v>
      </c>
      <c r="D2612" s="146"/>
      <c r="E2612" s="305"/>
      <c r="F2612" s="383"/>
      <c r="G2612" s="154">
        <f>LEN('Expected Auditing Outcomes'!$F2612)</f>
        <v>0</v>
      </c>
      <c r="H2612" s="154"/>
    </row>
    <row r="2613" ht="15.75" hidden="1" customHeight="1">
      <c r="B2613" s="146"/>
      <c r="C2613" s="146">
        <f t="shared" si="5"/>
        <v>10000</v>
      </c>
      <c r="D2613" s="146"/>
      <c r="E2613" s="305"/>
      <c r="F2613" s="383"/>
      <c r="G2613" s="154">
        <f>LEN('Expected Auditing Outcomes'!$F2613)</f>
        <v>0</v>
      </c>
      <c r="H2613" s="154"/>
    </row>
    <row r="2614" ht="15.75" hidden="1" customHeight="1">
      <c r="B2614" s="146"/>
      <c r="C2614" s="146">
        <f t="shared" si="5"/>
        <v>10000</v>
      </c>
      <c r="D2614" s="146"/>
      <c r="E2614" s="305"/>
      <c r="F2614" s="383"/>
      <c r="G2614" s="154">
        <f>LEN('Expected Auditing Outcomes'!$F2614)</f>
        <v>0</v>
      </c>
      <c r="H2614" s="154"/>
    </row>
    <row r="2615" ht="15.75" hidden="1" customHeight="1">
      <c r="B2615" s="146"/>
      <c r="C2615" s="146">
        <f t="shared" si="5"/>
        <v>10000</v>
      </c>
      <c r="D2615" s="146"/>
      <c r="E2615" s="305"/>
      <c r="F2615" s="383"/>
      <c r="G2615" s="154">
        <f>LEN('Expected Auditing Outcomes'!$F2615)</f>
        <v>0</v>
      </c>
      <c r="H2615" s="154"/>
    </row>
    <row r="2616" ht="15.75" hidden="1" customHeight="1">
      <c r="B2616" s="146"/>
      <c r="C2616" s="146">
        <f t="shared" si="5"/>
        <v>10000</v>
      </c>
      <c r="D2616" s="146"/>
      <c r="E2616" s="305"/>
      <c r="F2616" s="383"/>
      <c r="G2616" s="154">
        <f>LEN('Expected Auditing Outcomes'!$F2616)</f>
        <v>0</v>
      </c>
      <c r="H2616" s="154"/>
    </row>
    <row r="2617" ht="15.75" hidden="1" customHeight="1">
      <c r="B2617" s="146"/>
      <c r="C2617" s="146">
        <f t="shared" si="5"/>
        <v>10000</v>
      </c>
      <c r="D2617" s="146"/>
      <c r="E2617" s="305"/>
      <c r="F2617" s="383"/>
      <c r="G2617" s="154">
        <f>LEN('Expected Auditing Outcomes'!$F2617)</f>
        <v>0</v>
      </c>
      <c r="H2617" s="154"/>
    </row>
    <row r="2618" ht="15.75" hidden="1" customHeight="1">
      <c r="B2618" s="146"/>
      <c r="C2618" s="146">
        <f t="shared" si="5"/>
        <v>10000</v>
      </c>
      <c r="D2618" s="146"/>
      <c r="E2618" s="305"/>
      <c r="F2618" s="383"/>
      <c r="G2618" s="154">
        <f>LEN('Expected Auditing Outcomes'!$F2618)</f>
        <v>0</v>
      </c>
      <c r="H2618" s="154"/>
    </row>
    <row r="2619" ht="15.75" hidden="1" customHeight="1">
      <c r="B2619" s="146"/>
      <c r="C2619" s="146">
        <f t="shared" si="5"/>
        <v>10000</v>
      </c>
      <c r="D2619" s="146"/>
      <c r="E2619" s="305"/>
      <c r="F2619" s="383"/>
      <c r="G2619" s="154">
        <f>LEN('Expected Auditing Outcomes'!$F2619)</f>
        <v>0</v>
      </c>
      <c r="H2619" s="154"/>
    </row>
    <row r="2620" ht="15.75" hidden="1" customHeight="1">
      <c r="B2620" s="146"/>
      <c r="C2620" s="146">
        <f t="shared" si="5"/>
        <v>10000</v>
      </c>
      <c r="D2620" s="146"/>
      <c r="E2620" s="305"/>
      <c r="F2620" s="383"/>
      <c r="G2620" s="154">
        <f>LEN('Expected Auditing Outcomes'!$F2620)</f>
        <v>0</v>
      </c>
      <c r="H2620" s="154"/>
    </row>
    <row r="2621" ht="15.75" hidden="1" customHeight="1">
      <c r="B2621" s="146"/>
      <c r="C2621" s="146">
        <f t="shared" si="5"/>
        <v>10000</v>
      </c>
      <c r="D2621" s="146"/>
      <c r="E2621" s="305"/>
      <c r="F2621" s="383"/>
      <c r="G2621" s="154">
        <f>LEN('Expected Auditing Outcomes'!$F2621)</f>
        <v>0</v>
      </c>
      <c r="H2621" s="154"/>
    </row>
    <row r="2622" ht="15.75" hidden="1" customHeight="1">
      <c r="B2622" s="146"/>
      <c r="C2622" s="146">
        <f t="shared" si="5"/>
        <v>10000</v>
      </c>
      <c r="D2622" s="146"/>
      <c r="E2622" s="305"/>
      <c r="F2622" s="383"/>
      <c r="G2622" s="154">
        <f>LEN('Expected Auditing Outcomes'!$F2622)</f>
        <v>0</v>
      </c>
      <c r="H2622" s="154"/>
    </row>
    <row r="2623" ht="15.75" hidden="1" customHeight="1">
      <c r="B2623" s="146"/>
      <c r="C2623" s="146">
        <f t="shared" si="5"/>
        <v>10000</v>
      </c>
      <c r="D2623" s="146"/>
      <c r="E2623" s="305"/>
      <c r="F2623" s="383"/>
      <c r="G2623" s="154">
        <f>LEN('Expected Auditing Outcomes'!$F2623)</f>
        <v>0</v>
      </c>
      <c r="H2623" s="154"/>
    </row>
    <row r="2624" ht="15.75" hidden="1" customHeight="1">
      <c r="B2624" s="146"/>
      <c r="C2624" s="146">
        <f t="shared" si="5"/>
        <v>10000</v>
      </c>
      <c r="D2624" s="146"/>
      <c r="E2624" s="305"/>
      <c r="F2624" s="383"/>
      <c r="G2624" s="154">
        <f>LEN('Expected Auditing Outcomes'!$F2624)</f>
        <v>0</v>
      </c>
      <c r="H2624" s="154"/>
    </row>
    <row r="2625" ht="15.75" hidden="1" customHeight="1">
      <c r="B2625" s="146"/>
      <c r="C2625" s="146">
        <f t="shared" si="5"/>
        <v>10000</v>
      </c>
      <c r="D2625" s="146"/>
      <c r="E2625" s="305"/>
      <c r="F2625" s="383"/>
      <c r="G2625" s="154">
        <f>LEN('Expected Auditing Outcomes'!$F2625)</f>
        <v>0</v>
      </c>
      <c r="H2625" s="154"/>
    </row>
    <row r="2626" ht="15.75" hidden="1" customHeight="1">
      <c r="B2626" s="146"/>
      <c r="C2626" s="146">
        <f t="shared" si="5"/>
        <v>10000</v>
      </c>
      <c r="D2626" s="146"/>
      <c r="E2626" s="305"/>
      <c r="F2626" s="383"/>
      <c r="G2626" s="154">
        <f>LEN('Expected Auditing Outcomes'!$F2626)</f>
        <v>0</v>
      </c>
      <c r="H2626" s="154"/>
    </row>
    <row r="2627" ht="15.75" hidden="1" customHeight="1">
      <c r="B2627" s="146"/>
      <c r="C2627" s="146">
        <f t="shared" si="5"/>
        <v>10000</v>
      </c>
      <c r="D2627" s="146"/>
      <c r="E2627" s="305"/>
      <c r="F2627" s="383"/>
      <c r="G2627" s="154">
        <f>LEN('Expected Auditing Outcomes'!$F2627)</f>
        <v>0</v>
      </c>
      <c r="H2627" s="154"/>
    </row>
    <row r="2628" ht="15.75" hidden="1" customHeight="1">
      <c r="B2628" s="146"/>
      <c r="C2628" s="146">
        <f t="shared" si="5"/>
        <v>10000</v>
      </c>
      <c r="D2628" s="146"/>
      <c r="E2628" s="305"/>
      <c r="F2628" s="383"/>
      <c r="G2628" s="154">
        <f>LEN('Expected Auditing Outcomes'!$F2628)</f>
        <v>0</v>
      </c>
      <c r="H2628" s="154"/>
    </row>
    <row r="2629" ht="15.75" hidden="1" customHeight="1">
      <c r="B2629" s="146"/>
      <c r="C2629" s="146">
        <f t="shared" si="5"/>
        <v>10000</v>
      </c>
      <c r="D2629" s="146"/>
      <c r="E2629" s="305"/>
      <c r="F2629" s="383"/>
      <c r="G2629" s="154">
        <f>LEN('Expected Auditing Outcomes'!$F2629)</f>
        <v>0</v>
      </c>
      <c r="H2629" s="154"/>
    </row>
    <row r="2630" ht="15.75" hidden="1" customHeight="1">
      <c r="B2630" s="146"/>
      <c r="C2630" s="146">
        <f t="shared" si="5"/>
        <v>10000</v>
      </c>
      <c r="D2630" s="146"/>
      <c r="E2630" s="305"/>
      <c r="F2630" s="383"/>
      <c r="G2630" s="154">
        <f>LEN('Expected Auditing Outcomes'!$F2630)</f>
        <v>0</v>
      </c>
      <c r="H2630" s="154"/>
    </row>
    <row r="2631" ht="15.75" hidden="1" customHeight="1">
      <c r="B2631" s="146"/>
      <c r="C2631" s="146">
        <f t="shared" si="5"/>
        <v>10000</v>
      </c>
      <c r="D2631" s="146"/>
      <c r="E2631" s="305"/>
      <c r="F2631" s="383"/>
      <c r="G2631" s="154">
        <f>LEN('Expected Auditing Outcomes'!$F2631)</f>
        <v>0</v>
      </c>
      <c r="H2631" s="154"/>
    </row>
    <row r="2632" ht="15.75" hidden="1" customHeight="1">
      <c r="B2632" s="146"/>
      <c r="C2632" s="146">
        <f t="shared" si="5"/>
        <v>10000</v>
      </c>
      <c r="D2632" s="146"/>
      <c r="E2632" s="305"/>
      <c r="F2632" s="383"/>
      <c r="G2632" s="154">
        <f>LEN('Expected Auditing Outcomes'!$F2632)</f>
        <v>0</v>
      </c>
      <c r="H2632" s="154"/>
    </row>
    <row r="2633" ht="15.75" hidden="1" customHeight="1">
      <c r="B2633" s="146"/>
      <c r="C2633" s="146">
        <f t="shared" si="5"/>
        <v>10000</v>
      </c>
      <c r="D2633" s="146"/>
      <c r="E2633" s="305"/>
      <c r="F2633" s="383"/>
      <c r="G2633" s="154">
        <f>LEN('Expected Auditing Outcomes'!$F2633)</f>
        <v>0</v>
      </c>
      <c r="H2633" s="154"/>
    </row>
    <row r="2634" ht="15.75" hidden="1" customHeight="1">
      <c r="B2634" s="146"/>
      <c r="C2634" s="146">
        <f t="shared" si="5"/>
        <v>10000</v>
      </c>
      <c r="D2634" s="146"/>
      <c r="E2634" s="305"/>
      <c r="F2634" s="383"/>
      <c r="G2634" s="154">
        <f>LEN('Expected Auditing Outcomes'!$F2634)</f>
        <v>0</v>
      </c>
      <c r="H2634" s="154"/>
    </row>
    <row r="2635" ht="15.75" hidden="1" customHeight="1">
      <c r="B2635" s="146"/>
      <c r="C2635" s="146">
        <f t="shared" si="5"/>
        <v>10000</v>
      </c>
      <c r="D2635" s="146"/>
      <c r="E2635" s="305"/>
      <c r="F2635" s="383"/>
      <c r="G2635" s="154">
        <f>LEN('Expected Auditing Outcomes'!$F2635)</f>
        <v>0</v>
      </c>
      <c r="H2635" s="154"/>
    </row>
    <row r="2636" ht="15.75" hidden="1" customHeight="1">
      <c r="B2636" s="146"/>
      <c r="C2636" s="146">
        <f t="shared" si="5"/>
        <v>10000</v>
      </c>
      <c r="D2636" s="146"/>
      <c r="E2636" s="305"/>
      <c r="F2636" s="383"/>
      <c r="G2636" s="154">
        <f>LEN('Expected Auditing Outcomes'!$F2636)</f>
        <v>0</v>
      </c>
      <c r="H2636" s="154"/>
    </row>
    <row r="2637" ht="15.75" hidden="1" customHeight="1">
      <c r="B2637" s="146"/>
      <c r="C2637" s="146">
        <f t="shared" si="5"/>
        <v>10000</v>
      </c>
      <c r="D2637" s="146"/>
      <c r="E2637" s="305"/>
      <c r="F2637" s="383"/>
      <c r="G2637" s="154">
        <f>LEN('Expected Auditing Outcomes'!$F2637)</f>
        <v>0</v>
      </c>
      <c r="H2637" s="154"/>
    </row>
    <row r="2638" ht="15.75" hidden="1" customHeight="1">
      <c r="B2638" s="146"/>
      <c r="C2638" s="146">
        <f t="shared" si="5"/>
        <v>10000</v>
      </c>
      <c r="D2638" s="146"/>
      <c r="E2638" s="305"/>
      <c r="F2638" s="383"/>
      <c r="G2638" s="154">
        <f>LEN('Expected Auditing Outcomes'!$F2638)</f>
        <v>0</v>
      </c>
      <c r="H2638" s="154"/>
    </row>
    <row r="2639" ht="15.75" hidden="1" customHeight="1">
      <c r="B2639" s="146"/>
      <c r="C2639" s="146">
        <f t="shared" si="5"/>
        <v>10000</v>
      </c>
      <c r="D2639" s="146"/>
      <c r="E2639" s="305"/>
      <c r="F2639" s="383"/>
      <c r="G2639" s="154">
        <f>LEN('Expected Auditing Outcomes'!$F2639)</f>
        <v>0</v>
      </c>
      <c r="H2639" s="154"/>
    </row>
    <row r="2640" ht="15.75" hidden="1" customHeight="1">
      <c r="B2640" s="146"/>
      <c r="C2640" s="146">
        <f t="shared" si="5"/>
        <v>10000</v>
      </c>
      <c r="D2640" s="146"/>
      <c r="E2640" s="305"/>
      <c r="F2640" s="383"/>
      <c r="G2640" s="154">
        <f>LEN('Expected Auditing Outcomes'!$F2640)</f>
        <v>0</v>
      </c>
      <c r="H2640" s="154"/>
    </row>
    <row r="2641" ht="15.75" hidden="1" customHeight="1">
      <c r="B2641" s="146"/>
      <c r="C2641" s="146">
        <f t="shared" si="5"/>
        <v>10000</v>
      </c>
      <c r="D2641" s="146"/>
      <c r="E2641" s="305"/>
      <c r="F2641" s="383"/>
      <c r="G2641" s="154">
        <f>LEN('Expected Auditing Outcomes'!$F2641)</f>
        <v>0</v>
      </c>
      <c r="H2641" s="154"/>
    </row>
    <row r="2642" ht="15.75" hidden="1" customHeight="1">
      <c r="B2642" s="146"/>
      <c r="C2642" s="146">
        <f t="shared" si="5"/>
        <v>10000</v>
      </c>
      <c r="D2642" s="146"/>
      <c r="E2642" s="305"/>
      <c r="F2642" s="383"/>
      <c r="G2642" s="154">
        <f>LEN('Expected Auditing Outcomes'!$F2642)</f>
        <v>0</v>
      </c>
      <c r="H2642" s="154"/>
    </row>
    <row r="2643" ht="15.75" hidden="1" customHeight="1">
      <c r="B2643" s="146"/>
      <c r="C2643" s="146">
        <f t="shared" si="5"/>
        <v>10000</v>
      </c>
      <c r="D2643" s="146"/>
      <c r="E2643" s="305"/>
      <c r="F2643" s="383"/>
      <c r="G2643" s="154">
        <f>LEN('Expected Auditing Outcomes'!$F2643)</f>
        <v>0</v>
      </c>
      <c r="H2643" s="154"/>
    </row>
    <row r="2644" ht="15.75" hidden="1" customHeight="1">
      <c r="B2644" s="146"/>
      <c r="C2644" s="146">
        <f t="shared" si="5"/>
        <v>10000</v>
      </c>
      <c r="D2644" s="146"/>
      <c r="E2644" s="305"/>
      <c r="F2644" s="383"/>
      <c r="G2644" s="154">
        <f>LEN('Expected Auditing Outcomes'!$F2644)</f>
        <v>0</v>
      </c>
      <c r="H2644" s="154"/>
    </row>
    <row r="2645" ht="15.75" hidden="1" customHeight="1">
      <c r="B2645" s="146"/>
      <c r="C2645" s="146">
        <f t="shared" si="5"/>
        <v>10000</v>
      </c>
      <c r="D2645" s="146"/>
      <c r="E2645" s="305"/>
      <c r="F2645" s="383"/>
      <c r="G2645" s="154">
        <f>LEN('Expected Auditing Outcomes'!$F2645)</f>
        <v>0</v>
      </c>
      <c r="H2645" s="154"/>
    </row>
    <row r="2646" ht="15.75" hidden="1" customHeight="1">
      <c r="B2646" s="146"/>
      <c r="C2646" s="146">
        <f t="shared" si="5"/>
        <v>10000</v>
      </c>
      <c r="D2646" s="146"/>
      <c r="E2646" s="305"/>
      <c r="F2646" s="383"/>
      <c r="G2646" s="154">
        <f>LEN('Expected Auditing Outcomes'!$F2646)</f>
        <v>0</v>
      </c>
      <c r="H2646" s="154"/>
    </row>
    <row r="2647" ht="15.75" hidden="1" customHeight="1">
      <c r="B2647" s="146"/>
      <c r="C2647" s="146">
        <f t="shared" si="5"/>
        <v>10000</v>
      </c>
      <c r="D2647" s="146"/>
      <c r="E2647" s="305"/>
      <c r="F2647" s="383"/>
      <c r="G2647" s="154">
        <f>LEN('Expected Auditing Outcomes'!$F2647)</f>
        <v>0</v>
      </c>
      <c r="H2647" s="154"/>
    </row>
    <row r="2648" ht="15.75" hidden="1" customHeight="1">
      <c r="B2648" s="146"/>
      <c r="C2648" s="146">
        <f t="shared" si="5"/>
        <v>10000</v>
      </c>
      <c r="D2648" s="146"/>
      <c r="E2648" s="305"/>
      <c r="F2648" s="383"/>
      <c r="G2648" s="154">
        <f>LEN('Expected Auditing Outcomes'!$F2648)</f>
        <v>0</v>
      </c>
      <c r="H2648" s="154"/>
    </row>
    <row r="2649" ht="15.75" hidden="1" customHeight="1">
      <c r="B2649" s="146"/>
      <c r="C2649" s="146">
        <f t="shared" si="5"/>
        <v>10000</v>
      </c>
      <c r="D2649" s="146"/>
      <c r="E2649" s="305"/>
      <c r="F2649" s="383"/>
      <c r="G2649" s="154">
        <f>LEN('Expected Auditing Outcomes'!$F2649)</f>
        <v>0</v>
      </c>
      <c r="H2649" s="154"/>
    </row>
    <row r="2650" ht="15.75" hidden="1" customHeight="1">
      <c r="B2650" s="146"/>
      <c r="C2650" s="146">
        <f t="shared" si="5"/>
        <v>10000</v>
      </c>
      <c r="D2650" s="146"/>
      <c r="E2650" s="305"/>
      <c r="F2650" s="383"/>
      <c r="G2650" s="154">
        <f>LEN('Expected Auditing Outcomes'!$F2650)</f>
        <v>0</v>
      </c>
      <c r="H2650" s="154"/>
    </row>
    <row r="2651" ht="15.75" hidden="1" customHeight="1">
      <c r="B2651" s="146"/>
      <c r="C2651" s="146">
        <f t="shared" si="5"/>
        <v>10000</v>
      </c>
      <c r="D2651" s="146"/>
      <c r="E2651" s="305"/>
      <c r="F2651" s="383"/>
      <c r="G2651" s="154">
        <f>LEN('Expected Auditing Outcomes'!$F2651)</f>
        <v>0</v>
      </c>
      <c r="H2651" s="154"/>
    </row>
    <row r="2652" ht="15.75" hidden="1" customHeight="1">
      <c r="B2652" s="146"/>
      <c r="C2652" s="146">
        <f t="shared" si="5"/>
        <v>10000</v>
      </c>
      <c r="D2652" s="146"/>
      <c r="E2652" s="305"/>
      <c r="F2652" s="383"/>
      <c r="G2652" s="154">
        <f>LEN('Expected Auditing Outcomes'!$F2652)</f>
        <v>0</v>
      </c>
      <c r="H2652" s="154"/>
    </row>
    <row r="2653" ht="15.75" hidden="1" customHeight="1">
      <c r="B2653" s="146"/>
      <c r="C2653" s="146">
        <f t="shared" si="5"/>
        <v>10000</v>
      </c>
      <c r="D2653" s="146"/>
      <c r="E2653" s="305"/>
      <c r="F2653" s="383"/>
      <c r="G2653" s="154">
        <f>LEN('Expected Auditing Outcomes'!$F2653)</f>
        <v>0</v>
      </c>
      <c r="H2653" s="154"/>
    </row>
    <row r="2654" ht="15.75" hidden="1" customHeight="1">
      <c r="B2654" s="146"/>
      <c r="C2654" s="146">
        <f t="shared" si="5"/>
        <v>10000</v>
      </c>
      <c r="D2654" s="146"/>
      <c r="E2654" s="305"/>
      <c r="F2654" s="383"/>
      <c r="G2654" s="154">
        <f>LEN('Expected Auditing Outcomes'!$F2654)</f>
        <v>0</v>
      </c>
      <c r="H2654" s="154"/>
    </row>
    <row r="2655" ht="15.75" hidden="1" customHeight="1">
      <c r="B2655" s="146"/>
      <c r="C2655" s="146">
        <f t="shared" si="5"/>
        <v>10000</v>
      </c>
      <c r="D2655" s="146"/>
      <c r="E2655" s="305"/>
      <c r="F2655" s="383"/>
      <c r="G2655" s="154">
        <f>LEN('Expected Auditing Outcomes'!$F2655)</f>
        <v>0</v>
      </c>
      <c r="H2655" s="154"/>
    </row>
    <row r="2656" ht="15.75" hidden="1" customHeight="1">
      <c r="B2656" s="146"/>
      <c r="C2656" s="146">
        <f t="shared" si="5"/>
        <v>10000</v>
      </c>
      <c r="D2656" s="146"/>
      <c r="E2656" s="305"/>
      <c r="F2656" s="383"/>
      <c r="G2656" s="154">
        <f>LEN('Expected Auditing Outcomes'!$F2656)</f>
        <v>0</v>
      </c>
      <c r="H2656" s="154"/>
    </row>
    <row r="2657" ht="15.75" hidden="1" customHeight="1">
      <c r="B2657" s="146"/>
      <c r="C2657" s="146">
        <f t="shared" si="5"/>
        <v>10000</v>
      </c>
      <c r="D2657" s="146"/>
      <c r="E2657" s="305"/>
      <c r="F2657" s="383"/>
      <c r="G2657" s="154">
        <f>LEN('Expected Auditing Outcomes'!$F2657)</f>
        <v>0</v>
      </c>
      <c r="H2657" s="154"/>
    </row>
    <row r="2658" ht="15.75" hidden="1" customHeight="1">
      <c r="B2658" s="146"/>
      <c r="C2658" s="146">
        <f t="shared" si="5"/>
        <v>10000</v>
      </c>
      <c r="D2658" s="146"/>
      <c r="E2658" s="305"/>
      <c r="F2658" s="383"/>
      <c r="G2658" s="154">
        <f>LEN('Expected Auditing Outcomes'!$F2658)</f>
        <v>0</v>
      </c>
      <c r="H2658" s="154"/>
    </row>
    <row r="2659" ht="15.75" hidden="1" customHeight="1">
      <c r="B2659" s="146"/>
      <c r="C2659" s="146">
        <f t="shared" si="5"/>
        <v>10000</v>
      </c>
      <c r="D2659" s="146"/>
      <c r="E2659" s="305"/>
      <c r="F2659" s="383"/>
      <c r="G2659" s="154">
        <f>LEN('Expected Auditing Outcomes'!$F2659)</f>
        <v>0</v>
      </c>
      <c r="H2659" s="154"/>
    </row>
    <row r="2660" ht="15.75" hidden="1" customHeight="1">
      <c r="B2660" s="146"/>
      <c r="C2660" s="146">
        <f t="shared" si="5"/>
        <v>10000</v>
      </c>
      <c r="D2660" s="146"/>
      <c r="E2660" s="305"/>
      <c r="F2660" s="383"/>
      <c r="G2660" s="154">
        <f>LEN('Expected Auditing Outcomes'!$F2660)</f>
        <v>0</v>
      </c>
      <c r="H2660" s="154"/>
    </row>
    <row r="2661" ht="15.75" hidden="1" customHeight="1">
      <c r="B2661" s="146"/>
      <c r="C2661" s="146">
        <f t="shared" si="5"/>
        <v>10000</v>
      </c>
      <c r="D2661" s="146"/>
      <c r="E2661" s="305"/>
      <c r="F2661" s="383"/>
      <c r="G2661" s="154">
        <f>LEN('Expected Auditing Outcomes'!$F2661)</f>
        <v>0</v>
      </c>
      <c r="H2661" s="154"/>
    </row>
    <row r="2662" ht="15.75" hidden="1" customHeight="1">
      <c r="B2662" s="146"/>
      <c r="C2662" s="146">
        <f t="shared" si="5"/>
        <v>10000</v>
      </c>
      <c r="D2662" s="146"/>
      <c r="E2662" s="305"/>
      <c r="F2662" s="383"/>
      <c r="G2662" s="154">
        <f>LEN('Expected Auditing Outcomes'!$F2662)</f>
        <v>0</v>
      </c>
      <c r="H2662" s="154"/>
    </row>
    <row r="2663" ht="15.75" hidden="1" customHeight="1">
      <c r="B2663" s="146"/>
      <c r="C2663" s="146">
        <f t="shared" si="5"/>
        <v>10000</v>
      </c>
      <c r="D2663" s="146"/>
      <c r="E2663" s="305"/>
      <c r="F2663" s="383"/>
      <c r="G2663" s="154">
        <f>LEN('Expected Auditing Outcomes'!$F2663)</f>
        <v>0</v>
      </c>
      <c r="H2663" s="154"/>
    </row>
    <row r="2664" ht="15.75" hidden="1" customHeight="1">
      <c r="B2664" s="146"/>
      <c r="C2664" s="146">
        <f t="shared" si="5"/>
        <v>10000</v>
      </c>
      <c r="D2664" s="146"/>
      <c r="E2664" s="305"/>
      <c r="F2664" s="383"/>
      <c r="G2664" s="154">
        <f>LEN('Expected Auditing Outcomes'!$F2664)</f>
        <v>0</v>
      </c>
      <c r="H2664" s="154"/>
    </row>
    <row r="2665" ht="15.75" hidden="1" customHeight="1">
      <c r="B2665" s="146"/>
      <c r="C2665" s="146">
        <f t="shared" si="5"/>
        <v>10000</v>
      </c>
      <c r="D2665" s="146"/>
      <c r="E2665" s="305"/>
      <c r="F2665" s="383"/>
      <c r="G2665" s="154">
        <f>LEN('Expected Auditing Outcomes'!$F2665)</f>
        <v>0</v>
      </c>
      <c r="H2665" s="154"/>
    </row>
    <row r="2666" ht="15.75" hidden="1" customHeight="1">
      <c r="B2666" s="146"/>
      <c r="C2666" s="146">
        <f t="shared" si="5"/>
        <v>10000</v>
      </c>
      <c r="D2666" s="146"/>
      <c r="E2666" s="305"/>
      <c r="F2666" s="383"/>
      <c r="G2666" s="154">
        <f>LEN('Expected Auditing Outcomes'!$F2666)</f>
        <v>0</v>
      </c>
      <c r="H2666" s="154"/>
    </row>
    <row r="2667" ht="15.75" hidden="1" customHeight="1">
      <c r="B2667" s="146"/>
      <c r="C2667" s="146">
        <f t="shared" si="5"/>
        <v>10000</v>
      </c>
      <c r="D2667" s="146"/>
      <c r="E2667" s="305"/>
      <c r="F2667" s="383"/>
      <c r="G2667" s="154">
        <f>LEN('Expected Auditing Outcomes'!$F2667)</f>
        <v>0</v>
      </c>
      <c r="H2667" s="154"/>
    </row>
    <row r="2668" ht="15.75" hidden="1" customHeight="1">
      <c r="B2668" s="146"/>
      <c r="C2668" s="146">
        <f t="shared" si="5"/>
        <v>10000</v>
      </c>
      <c r="D2668" s="146"/>
      <c r="E2668" s="305"/>
      <c r="F2668" s="383"/>
      <c r="G2668" s="154">
        <f>LEN('Expected Auditing Outcomes'!$F2668)</f>
        <v>0</v>
      </c>
      <c r="H2668" s="154"/>
    </row>
    <row r="2669" ht="15.75" hidden="1" customHeight="1">
      <c r="B2669" s="146"/>
      <c r="C2669" s="146">
        <f t="shared" si="5"/>
        <v>10000</v>
      </c>
      <c r="D2669" s="146"/>
      <c r="E2669" s="305"/>
      <c r="F2669" s="383"/>
      <c r="G2669" s="154">
        <f>LEN('Expected Auditing Outcomes'!$F2669)</f>
        <v>0</v>
      </c>
      <c r="H2669" s="154"/>
    </row>
    <row r="2670" ht="15.75" hidden="1" customHeight="1">
      <c r="B2670" s="146"/>
      <c r="C2670" s="146">
        <f t="shared" si="5"/>
        <v>10000</v>
      </c>
      <c r="D2670" s="146"/>
      <c r="E2670" s="305"/>
      <c r="F2670" s="383"/>
      <c r="G2670" s="154">
        <f>LEN('Expected Auditing Outcomes'!$F2670)</f>
        <v>0</v>
      </c>
      <c r="H2670" s="154"/>
    </row>
    <row r="2671" ht="15.75" hidden="1" customHeight="1">
      <c r="B2671" s="146"/>
      <c r="C2671" s="146">
        <f t="shared" si="5"/>
        <v>10000</v>
      </c>
      <c r="D2671" s="146"/>
      <c r="E2671" s="305"/>
      <c r="F2671" s="383"/>
      <c r="G2671" s="154">
        <f>LEN('Expected Auditing Outcomes'!$F2671)</f>
        <v>0</v>
      </c>
      <c r="H2671" s="154"/>
    </row>
    <row r="2672" ht="15.75" hidden="1" customHeight="1">
      <c r="B2672" s="146"/>
      <c r="C2672" s="146">
        <f t="shared" si="5"/>
        <v>10000</v>
      </c>
      <c r="D2672" s="146"/>
      <c r="E2672" s="305"/>
      <c r="F2672" s="383"/>
      <c r="G2672" s="154">
        <f>LEN('Expected Auditing Outcomes'!$F2672)</f>
        <v>0</v>
      </c>
      <c r="H2672" s="154"/>
    </row>
    <row r="2673" ht="15.75" hidden="1" customHeight="1">
      <c r="B2673" s="146"/>
      <c r="C2673" s="146">
        <f t="shared" si="5"/>
        <v>10000</v>
      </c>
      <c r="D2673" s="146"/>
      <c r="E2673" s="305"/>
      <c r="F2673" s="383"/>
      <c r="G2673" s="154">
        <f>LEN('Expected Auditing Outcomes'!$F2673)</f>
        <v>0</v>
      </c>
      <c r="H2673" s="154"/>
    </row>
    <row r="2674" ht="15.75" hidden="1" customHeight="1">
      <c r="B2674" s="146"/>
      <c r="C2674" s="146">
        <f t="shared" si="5"/>
        <v>10000</v>
      </c>
      <c r="D2674" s="146"/>
      <c r="E2674" s="305"/>
      <c r="F2674" s="383"/>
      <c r="G2674" s="154">
        <f>LEN('Expected Auditing Outcomes'!$F2674)</f>
        <v>0</v>
      </c>
      <c r="H2674" s="154"/>
    </row>
    <row r="2675" ht="15.75" hidden="1" customHeight="1">
      <c r="B2675" s="146"/>
      <c r="C2675" s="146">
        <f t="shared" si="5"/>
        <v>10000</v>
      </c>
      <c r="D2675" s="146"/>
      <c r="E2675" s="305"/>
      <c r="F2675" s="383"/>
      <c r="G2675" s="154">
        <f>LEN('Expected Auditing Outcomes'!$F2675)</f>
        <v>0</v>
      </c>
      <c r="H2675" s="154"/>
    </row>
    <row r="2676" ht="15.75" hidden="1" customHeight="1">
      <c r="B2676" s="146"/>
      <c r="C2676" s="146">
        <f t="shared" si="5"/>
        <v>10000</v>
      </c>
      <c r="D2676" s="146"/>
      <c r="E2676" s="305"/>
      <c r="F2676" s="383"/>
      <c r="G2676" s="154">
        <f>LEN('Expected Auditing Outcomes'!$F2676)</f>
        <v>0</v>
      </c>
      <c r="H2676" s="154"/>
    </row>
    <row r="2677" ht="15.75" hidden="1" customHeight="1">
      <c r="B2677" s="146"/>
      <c r="C2677" s="146">
        <f t="shared" si="5"/>
        <v>10000</v>
      </c>
      <c r="D2677" s="146"/>
      <c r="E2677" s="305"/>
      <c r="F2677" s="383"/>
      <c r="G2677" s="154">
        <f>LEN('Expected Auditing Outcomes'!$F2677)</f>
        <v>0</v>
      </c>
      <c r="H2677" s="154"/>
    </row>
    <row r="2678" ht="15.75" hidden="1" customHeight="1">
      <c r="B2678" s="146"/>
      <c r="C2678" s="146">
        <f t="shared" si="5"/>
        <v>10000</v>
      </c>
      <c r="D2678" s="146"/>
      <c r="E2678" s="305"/>
      <c r="F2678" s="383"/>
      <c r="G2678" s="154">
        <f>LEN('Expected Auditing Outcomes'!$F2678)</f>
        <v>0</v>
      </c>
      <c r="H2678" s="154"/>
    </row>
    <row r="2679" ht="15.75" hidden="1" customHeight="1">
      <c r="B2679" s="146"/>
      <c r="C2679" s="146">
        <f t="shared" si="5"/>
        <v>10000</v>
      </c>
      <c r="D2679" s="146"/>
      <c r="E2679" s="305"/>
      <c r="F2679" s="383"/>
      <c r="G2679" s="154">
        <f>LEN('Expected Auditing Outcomes'!$F2679)</f>
        <v>0</v>
      </c>
      <c r="H2679" s="154"/>
    </row>
    <row r="2680" ht="15.75" hidden="1" customHeight="1">
      <c r="B2680" s="146"/>
      <c r="C2680" s="146">
        <f t="shared" si="5"/>
        <v>10000</v>
      </c>
      <c r="D2680" s="146"/>
      <c r="E2680" s="305"/>
      <c r="F2680" s="383"/>
      <c r="G2680" s="154">
        <f>LEN('Expected Auditing Outcomes'!$F2680)</f>
        <v>0</v>
      </c>
      <c r="H2680" s="154"/>
    </row>
    <row r="2681" ht="15.75" hidden="1" customHeight="1">
      <c r="B2681" s="146"/>
      <c r="C2681" s="146">
        <f t="shared" si="5"/>
        <v>10000</v>
      </c>
      <c r="D2681" s="146"/>
      <c r="E2681" s="305"/>
      <c r="F2681" s="383"/>
      <c r="G2681" s="154">
        <f>LEN('Expected Auditing Outcomes'!$F2681)</f>
        <v>0</v>
      </c>
      <c r="H2681" s="154"/>
    </row>
    <row r="2682" ht="15.75" hidden="1" customHeight="1">
      <c r="B2682" s="146"/>
      <c r="C2682" s="146">
        <f t="shared" si="5"/>
        <v>10000</v>
      </c>
      <c r="D2682" s="146"/>
      <c r="E2682" s="305"/>
      <c r="F2682" s="383"/>
      <c r="G2682" s="154">
        <f>LEN('Expected Auditing Outcomes'!$F2682)</f>
        <v>0</v>
      </c>
      <c r="H2682" s="154"/>
    </row>
    <row r="2683" ht="15.75" hidden="1" customHeight="1">
      <c r="B2683" s="146"/>
      <c r="C2683" s="146">
        <f t="shared" si="5"/>
        <v>10000</v>
      </c>
      <c r="D2683" s="146"/>
      <c r="E2683" s="305"/>
      <c r="F2683" s="383"/>
      <c r="G2683" s="154">
        <f>LEN('Expected Auditing Outcomes'!$F2683)</f>
        <v>0</v>
      </c>
      <c r="H2683" s="154"/>
    </row>
    <row r="2684" ht="15.75" hidden="1" customHeight="1">
      <c r="B2684" s="146"/>
      <c r="C2684" s="146">
        <f t="shared" si="5"/>
        <v>10000</v>
      </c>
      <c r="D2684" s="146"/>
      <c r="E2684" s="305"/>
      <c r="F2684" s="383"/>
      <c r="G2684" s="154">
        <f>LEN('Expected Auditing Outcomes'!$F2684)</f>
        <v>0</v>
      </c>
      <c r="H2684" s="154"/>
    </row>
    <row r="2685" ht="15.75" hidden="1" customHeight="1">
      <c r="B2685" s="146"/>
      <c r="C2685" s="146">
        <f t="shared" si="5"/>
        <v>10000</v>
      </c>
      <c r="D2685" s="146"/>
      <c r="E2685" s="305"/>
      <c r="F2685" s="383"/>
      <c r="G2685" s="154">
        <f>LEN('Expected Auditing Outcomes'!$F2685)</f>
        <v>0</v>
      </c>
      <c r="H2685" s="154"/>
    </row>
    <row r="2686" ht="15.75" hidden="1" customHeight="1">
      <c r="B2686" s="146"/>
      <c r="C2686" s="146">
        <f t="shared" si="5"/>
        <v>10000</v>
      </c>
      <c r="D2686" s="146"/>
      <c r="E2686" s="305"/>
      <c r="F2686" s="383"/>
      <c r="G2686" s="154">
        <f>LEN('Expected Auditing Outcomes'!$F2686)</f>
        <v>0</v>
      </c>
      <c r="H2686" s="154"/>
    </row>
    <row r="2687" ht="15.75" hidden="1" customHeight="1">
      <c r="B2687" s="146"/>
      <c r="C2687" s="146">
        <f t="shared" si="5"/>
        <v>10000</v>
      </c>
      <c r="D2687" s="146"/>
      <c r="E2687" s="305"/>
      <c r="F2687" s="383"/>
      <c r="G2687" s="154">
        <f>LEN('Expected Auditing Outcomes'!$F2687)</f>
        <v>0</v>
      </c>
      <c r="H2687" s="154"/>
    </row>
    <row r="2688" ht="15.75" hidden="1" customHeight="1">
      <c r="B2688" s="146"/>
      <c r="C2688" s="146">
        <f t="shared" si="5"/>
        <v>10000</v>
      </c>
      <c r="D2688" s="146"/>
      <c r="E2688" s="305"/>
      <c r="F2688" s="383"/>
      <c r="G2688" s="154">
        <f>LEN('Expected Auditing Outcomes'!$F2688)</f>
        <v>0</v>
      </c>
      <c r="H2688" s="154"/>
    </row>
    <row r="2689" ht="15.75" hidden="1" customHeight="1">
      <c r="B2689" s="146"/>
      <c r="C2689" s="146">
        <f t="shared" si="5"/>
        <v>10000</v>
      </c>
      <c r="D2689" s="146"/>
      <c r="E2689" s="305"/>
      <c r="F2689" s="383"/>
      <c r="G2689" s="154">
        <f>LEN('Expected Auditing Outcomes'!$F2689)</f>
        <v>0</v>
      </c>
      <c r="H2689" s="154"/>
    </row>
    <row r="2690" ht="15.75" hidden="1" customHeight="1">
      <c r="B2690" s="146"/>
      <c r="C2690" s="146">
        <f t="shared" si="5"/>
        <v>10000</v>
      </c>
      <c r="D2690" s="146"/>
      <c r="E2690" s="305"/>
      <c r="F2690" s="383"/>
      <c r="G2690" s="154">
        <f>LEN('Expected Auditing Outcomes'!$F2690)</f>
        <v>0</v>
      </c>
      <c r="H2690" s="154"/>
    </row>
    <row r="2691" ht="15.75" hidden="1" customHeight="1">
      <c r="B2691" s="146"/>
      <c r="C2691" s="146">
        <f t="shared" si="5"/>
        <v>10000</v>
      </c>
      <c r="D2691" s="146"/>
      <c r="E2691" s="305"/>
      <c r="F2691" s="383"/>
      <c r="G2691" s="154">
        <f>LEN('Expected Auditing Outcomes'!$F2691)</f>
        <v>0</v>
      </c>
      <c r="H2691" s="154"/>
    </row>
    <row r="2692" ht="15.75" hidden="1" customHeight="1">
      <c r="B2692" s="146"/>
      <c r="C2692" s="146">
        <f t="shared" si="5"/>
        <v>10000</v>
      </c>
      <c r="D2692" s="146"/>
      <c r="E2692" s="305"/>
      <c r="F2692" s="383"/>
      <c r="G2692" s="154">
        <f>LEN('Expected Auditing Outcomes'!$F2692)</f>
        <v>0</v>
      </c>
      <c r="H2692" s="154"/>
    </row>
    <row r="2693" ht="15.75" hidden="1" customHeight="1">
      <c r="B2693" s="146"/>
      <c r="C2693" s="146">
        <f t="shared" si="5"/>
        <v>10000</v>
      </c>
      <c r="D2693" s="146"/>
      <c r="E2693" s="305"/>
      <c r="F2693" s="383"/>
      <c r="G2693" s="154">
        <f>LEN('Expected Auditing Outcomes'!$F2693)</f>
        <v>0</v>
      </c>
      <c r="H2693" s="154"/>
    </row>
    <row r="2694" ht="15.75" hidden="1" customHeight="1">
      <c r="B2694" s="146"/>
      <c r="C2694" s="146">
        <f t="shared" si="5"/>
        <v>10000</v>
      </c>
      <c r="D2694" s="146"/>
      <c r="E2694" s="305"/>
      <c r="F2694" s="383"/>
      <c r="G2694" s="154">
        <f>LEN('Expected Auditing Outcomes'!$F2694)</f>
        <v>0</v>
      </c>
      <c r="H2694" s="154"/>
    </row>
    <row r="2695" ht="15.75" hidden="1" customHeight="1">
      <c r="B2695" s="146"/>
      <c r="C2695" s="146">
        <f t="shared" si="5"/>
        <v>10000</v>
      </c>
      <c r="D2695" s="146"/>
      <c r="E2695" s="305"/>
      <c r="F2695" s="383"/>
      <c r="G2695" s="154">
        <f>LEN('Expected Auditing Outcomes'!$F2695)</f>
        <v>0</v>
      </c>
      <c r="H2695" s="154"/>
    </row>
    <row r="2696" ht="15.75" hidden="1" customHeight="1">
      <c r="B2696" s="146"/>
      <c r="C2696" s="146">
        <f t="shared" si="5"/>
        <v>10000</v>
      </c>
      <c r="D2696" s="146"/>
      <c r="E2696" s="305"/>
      <c r="F2696" s="383"/>
      <c r="G2696" s="154">
        <f>LEN('Expected Auditing Outcomes'!$F2696)</f>
        <v>0</v>
      </c>
      <c r="H2696" s="154"/>
    </row>
    <row r="2697" ht="15.75" hidden="1" customHeight="1">
      <c r="B2697" s="146"/>
      <c r="C2697" s="146">
        <f t="shared" si="5"/>
        <v>10000</v>
      </c>
      <c r="D2697" s="146"/>
      <c r="E2697" s="305"/>
      <c r="F2697" s="383"/>
      <c r="G2697" s="154">
        <f>LEN('Expected Auditing Outcomes'!$F2697)</f>
        <v>0</v>
      </c>
      <c r="H2697" s="154"/>
    </row>
    <row r="2698" ht="15.75" hidden="1" customHeight="1">
      <c r="B2698" s="146"/>
      <c r="C2698" s="146">
        <f t="shared" si="5"/>
        <v>10000</v>
      </c>
      <c r="D2698" s="146"/>
      <c r="E2698" s="305"/>
      <c r="F2698" s="383"/>
      <c r="G2698" s="154">
        <f>LEN('Expected Auditing Outcomes'!$F2698)</f>
        <v>0</v>
      </c>
      <c r="H2698" s="154"/>
    </row>
    <row r="2699" ht="15.75" hidden="1" customHeight="1">
      <c r="B2699" s="146"/>
      <c r="C2699" s="146">
        <f t="shared" si="5"/>
        <v>10000</v>
      </c>
      <c r="D2699" s="146"/>
      <c r="E2699" s="305"/>
      <c r="F2699" s="383"/>
      <c r="G2699" s="154">
        <f>LEN('Expected Auditing Outcomes'!$F2699)</f>
        <v>0</v>
      </c>
      <c r="H2699" s="154"/>
    </row>
    <row r="2700" ht="15.75" hidden="1" customHeight="1">
      <c r="B2700" s="146"/>
      <c r="C2700" s="146">
        <f t="shared" si="5"/>
        <v>10000</v>
      </c>
      <c r="D2700" s="146"/>
      <c r="E2700" s="305"/>
      <c r="F2700" s="383"/>
      <c r="G2700" s="154">
        <f>LEN('Expected Auditing Outcomes'!$F2700)</f>
        <v>0</v>
      </c>
      <c r="H2700" s="154"/>
    </row>
    <row r="2701" ht="15.75" hidden="1" customHeight="1">
      <c r="B2701" s="146"/>
      <c r="C2701" s="146">
        <f t="shared" si="5"/>
        <v>10000</v>
      </c>
      <c r="D2701" s="146"/>
      <c r="E2701" s="305"/>
      <c r="F2701" s="383"/>
      <c r="G2701" s="154">
        <f>LEN('Expected Auditing Outcomes'!$F2701)</f>
        <v>0</v>
      </c>
      <c r="H2701" s="154"/>
    </row>
    <row r="2702" ht="15.75" hidden="1" customHeight="1">
      <c r="B2702" s="146"/>
      <c r="C2702" s="146">
        <f t="shared" si="5"/>
        <v>10000</v>
      </c>
      <c r="D2702" s="146"/>
      <c r="E2702" s="305"/>
      <c r="F2702" s="383"/>
      <c r="G2702" s="154">
        <f>LEN('Expected Auditing Outcomes'!$F2702)</f>
        <v>0</v>
      </c>
      <c r="H2702" s="154"/>
    </row>
    <row r="2703" ht="15.75" hidden="1" customHeight="1">
      <c r="B2703" s="146"/>
      <c r="C2703" s="146">
        <f t="shared" si="5"/>
        <v>10000</v>
      </c>
      <c r="D2703" s="146"/>
      <c r="E2703" s="305"/>
      <c r="F2703" s="383"/>
      <c r="G2703" s="154">
        <f>LEN('Expected Auditing Outcomes'!$F2703)</f>
        <v>0</v>
      </c>
      <c r="H2703" s="154"/>
    </row>
    <row r="2704" ht="15.75" hidden="1" customHeight="1">
      <c r="B2704" s="146"/>
      <c r="C2704" s="146">
        <f t="shared" si="5"/>
        <v>10000</v>
      </c>
      <c r="D2704" s="146"/>
      <c r="E2704" s="305"/>
      <c r="F2704" s="383"/>
      <c r="G2704" s="154">
        <f>LEN('Expected Auditing Outcomes'!$F2704)</f>
        <v>0</v>
      </c>
      <c r="H2704" s="154"/>
    </row>
    <row r="2705" ht="15.75" hidden="1" customHeight="1">
      <c r="B2705" s="146"/>
      <c r="C2705" s="146">
        <f t="shared" si="5"/>
        <v>10000</v>
      </c>
      <c r="D2705" s="146"/>
      <c r="E2705" s="305"/>
      <c r="F2705" s="383"/>
      <c r="G2705" s="154">
        <f>LEN('Expected Auditing Outcomes'!$F2705)</f>
        <v>0</v>
      </c>
      <c r="H2705" s="154"/>
    </row>
    <row r="2706" ht="15.75" hidden="1" customHeight="1">
      <c r="B2706" s="146"/>
      <c r="C2706" s="146">
        <f t="shared" si="5"/>
        <v>10000</v>
      </c>
      <c r="D2706" s="146"/>
      <c r="E2706" s="305"/>
      <c r="F2706" s="383"/>
      <c r="G2706" s="154">
        <f>LEN('Expected Auditing Outcomes'!$F2706)</f>
        <v>0</v>
      </c>
      <c r="H2706" s="154"/>
    </row>
    <row r="2707" ht="15.75" hidden="1" customHeight="1">
      <c r="B2707" s="146"/>
      <c r="C2707" s="146">
        <f t="shared" si="5"/>
        <v>10000</v>
      </c>
      <c r="D2707" s="146"/>
      <c r="E2707" s="305"/>
      <c r="F2707" s="383"/>
      <c r="G2707" s="154">
        <f>LEN('Expected Auditing Outcomes'!$F2707)</f>
        <v>0</v>
      </c>
      <c r="H2707" s="154"/>
    </row>
    <row r="2708" ht="15.75" hidden="1" customHeight="1">
      <c r="B2708" s="146"/>
      <c r="C2708" s="146">
        <f t="shared" si="5"/>
        <v>10000</v>
      </c>
      <c r="D2708" s="146"/>
      <c r="E2708" s="305"/>
      <c r="F2708" s="383"/>
      <c r="G2708" s="154">
        <f>LEN('Expected Auditing Outcomes'!$F2708)</f>
        <v>0</v>
      </c>
      <c r="H2708" s="154"/>
    </row>
    <row r="2709" ht="15.75" hidden="1" customHeight="1">
      <c r="B2709" s="146"/>
      <c r="C2709" s="146">
        <f t="shared" si="5"/>
        <v>10000</v>
      </c>
      <c r="D2709" s="146"/>
      <c r="E2709" s="305"/>
      <c r="F2709" s="383"/>
      <c r="G2709" s="154">
        <f>LEN('Expected Auditing Outcomes'!$F2709)</f>
        <v>0</v>
      </c>
      <c r="H2709" s="154"/>
    </row>
    <row r="2710" ht="15.75" hidden="1" customHeight="1">
      <c r="B2710" s="146"/>
      <c r="C2710" s="146">
        <f t="shared" si="5"/>
        <v>10000</v>
      </c>
      <c r="D2710" s="146"/>
      <c r="E2710" s="305"/>
      <c r="F2710" s="383"/>
      <c r="G2710" s="154">
        <f>LEN('Expected Auditing Outcomes'!$F2710)</f>
        <v>0</v>
      </c>
      <c r="H2710" s="154"/>
    </row>
    <row r="2711" ht="15.75" hidden="1" customHeight="1">
      <c r="B2711" s="146"/>
      <c r="C2711" s="146">
        <f t="shared" si="5"/>
        <v>10000</v>
      </c>
      <c r="D2711" s="146"/>
      <c r="E2711" s="305"/>
      <c r="F2711" s="383"/>
      <c r="G2711" s="154">
        <f>LEN('Expected Auditing Outcomes'!$F2711)</f>
        <v>0</v>
      </c>
      <c r="H2711" s="154"/>
    </row>
    <row r="2712" ht="15.75" hidden="1" customHeight="1">
      <c r="B2712" s="146"/>
      <c r="C2712" s="146">
        <f t="shared" si="5"/>
        <v>10000</v>
      </c>
      <c r="D2712" s="146"/>
      <c r="E2712" s="305"/>
      <c r="F2712" s="383"/>
      <c r="G2712" s="154">
        <f>LEN('Expected Auditing Outcomes'!$F2712)</f>
        <v>0</v>
      </c>
      <c r="H2712" s="154"/>
    </row>
    <row r="2713" ht="15.75" hidden="1" customHeight="1">
      <c r="B2713" s="146"/>
      <c r="C2713" s="146">
        <f t="shared" si="5"/>
        <v>10000</v>
      </c>
      <c r="D2713" s="146"/>
      <c r="E2713" s="305"/>
      <c r="F2713" s="383"/>
      <c r="G2713" s="154">
        <f>LEN('Expected Auditing Outcomes'!$F2713)</f>
        <v>0</v>
      </c>
      <c r="H2713" s="154"/>
    </row>
    <row r="2714" ht="15.75" hidden="1" customHeight="1">
      <c r="B2714" s="146"/>
      <c r="C2714" s="146">
        <f t="shared" si="5"/>
        <v>10000</v>
      </c>
      <c r="D2714" s="146"/>
      <c r="E2714" s="305"/>
      <c r="F2714" s="383"/>
      <c r="G2714" s="154">
        <f>LEN('Expected Auditing Outcomes'!$F2714)</f>
        <v>0</v>
      </c>
      <c r="H2714" s="154"/>
    </row>
    <row r="2715" ht="15.75" hidden="1" customHeight="1">
      <c r="B2715" s="146"/>
      <c r="C2715" s="146">
        <f t="shared" si="5"/>
        <v>10000</v>
      </c>
      <c r="D2715" s="146"/>
      <c r="E2715" s="305"/>
      <c r="F2715" s="383"/>
      <c r="G2715" s="154">
        <f>LEN('Expected Auditing Outcomes'!$F2715)</f>
        <v>0</v>
      </c>
      <c r="H2715" s="154"/>
    </row>
    <row r="2716" ht="15.75" hidden="1" customHeight="1">
      <c r="B2716" s="146"/>
      <c r="C2716" s="146">
        <f t="shared" si="5"/>
        <v>10000</v>
      </c>
      <c r="D2716" s="146"/>
      <c r="E2716" s="305"/>
      <c r="F2716" s="383"/>
      <c r="G2716" s="154">
        <f>LEN('Expected Auditing Outcomes'!$F2716)</f>
        <v>0</v>
      </c>
      <c r="H2716" s="154"/>
    </row>
    <row r="2717" ht="15.75" hidden="1" customHeight="1">
      <c r="B2717" s="146"/>
      <c r="C2717" s="146">
        <f t="shared" si="5"/>
        <v>10000</v>
      </c>
      <c r="D2717" s="146"/>
      <c r="E2717" s="305"/>
      <c r="F2717" s="383"/>
      <c r="G2717" s="154">
        <f>LEN('Expected Auditing Outcomes'!$F2717)</f>
        <v>0</v>
      </c>
      <c r="H2717" s="154"/>
    </row>
    <row r="2718" ht="15.75" hidden="1" customHeight="1">
      <c r="B2718" s="146"/>
      <c r="C2718" s="146">
        <f t="shared" si="5"/>
        <v>10000</v>
      </c>
      <c r="D2718" s="146"/>
      <c r="E2718" s="305"/>
      <c r="F2718" s="383"/>
      <c r="G2718" s="154">
        <f>LEN('Expected Auditing Outcomes'!$F2718)</f>
        <v>0</v>
      </c>
      <c r="H2718" s="154"/>
    </row>
    <row r="2719" ht="15.75" hidden="1" customHeight="1">
      <c r="B2719" s="146"/>
      <c r="C2719" s="146">
        <f t="shared" si="5"/>
        <v>10000</v>
      </c>
      <c r="D2719" s="146"/>
      <c r="E2719" s="305"/>
      <c r="F2719" s="383"/>
      <c r="G2719" s="154">
        <f>LEN('Expected Auditing Outcomes'!$F2719)</f>
        <v>0</v>
      </c>
      <c r="H2719" s="154"/>
    </row>
    <row r="2720" ht="15.75" hidden="1" customHeight="1">
      <c r="B2720" s="146"/>
      <c r="C2720" s="146">
        <f t="shared" si="5"/>
        <v>10000</v>
      </c>
      <c r="D2720" s="146"/>
      <c r="E2720" s="305"/>
      <c r="F2720" s="383"/>
      <c r="G2720" s="154">
        <f>LEN('Expected Auditing Outcomes'!$F2720)</f>
        <v>0</v>
      </c>
      <c r="H2720" s="154"/>
    </row>
    <row r="2721" ht="15.75" hidden="1" customHeight="1">
      <c r="B2721" s="146"/>
      <c r="C2721" s="146">
        <f t="shared" si="5"/>
        <v>10000</v>
      </c>
      <c r="D2721" s="146"/>
      <c r="E2721" s="305"/>
      <c r="F2721" s="383"/>
      <c r="G2721" s="154">
        <f>LEN('Expected Auditing Outcomes'!$F2721)</f>
        <v>0</v>
      </c>
      <c r="H2721" s="154"/>
    </row>
    <row r="2722" ht="15.75" hidden="1" customHeight="1">
      <c r="B2722" s="146"/>
      <c r="C2722" s="146">
        <f t="shared" si="5"/>
        <v>10000</v>
      </c>
      <c r="D2722" s="146"/>
      <c r="E2722" s="305"/>
      <c r="F2722" s="383"/>
      <c r="G2722" s="154">
        <f>LEN('Expected Auditing Outcomes'!$F2722)</f>
        <v>0</v>
      </c>
      <c r="H2722" s="154"/>
    </row>
    <row r="2723" ht="15.75" hidden="1" customHeight="1">
      <c r="B2723" s="146"/>
      <c r="C2723" s="146">
        <f t="shared" si="5"/>
        <v>10000</v>
      </c>
      <c r="D2723" s="146"/>
      <c r="E2723" s="305"/>
      <c r="F2723" s="383"/>
      <c r="G2723" s="154">
        <f>LEN('Expected Auditing Outcomes'!$F2723)</f>
        <v>0</v>
      </c>
      <c r="H2723" s="154"/>
    </row>
    <row r="2724" ht="15.75" hidden="1" customHeight="1">
      <c r="B2724" s="146"/>
      <c r="C2724" s="146">
        <f t="shared" si="5"/>
        <v>10000</v>
      </c>
      <c r="D2724" s="146"/>
      <c r="E2724" s="305"/>
      <c r="F2724" s="383"/>
      <c r="G2724" s="154">
        <f>LEN('Expected Auditing Outcomes'!$F2724)</f>
        <v>0</v>
      </c>
      <c r="H2724" s="154"/>
    </row>
    <row r="2725" ht="15.75" hidden="1" customHeight="1">
      <c r="B2725" s="146"/>
      <c r="C2725" s="146">
        <f t="shared" si="5"/>
        <v>10000</v>
      </c>
      <c r="D2725" s="146"/>
      <c r="E2725" s="305"/>
      <c r="F2725" s="383"/>
      <c r="G2725" s="154">
        <f>LEN('Expected Auditing Outcomes'!$F2725)</f>
        <v>0</v>
      </c>
      <c r="H2725" s="154"/>
    </row>
    <row r="2726" ht="15.75" hidden="1" customHeight="1">
      <c r="B2726" s="146"/>
      <c r="C2726" s="146">
        <f t="shared" si="5"/>
        <v>10000</v>
      </c>
      <c r="D2726" s="146"/>
      <c r="E2726" s="305"/>
      <c r="F2726" s="383"/>
      <c r="G2726" s="154">
        <f>LEN('Expected Auditing Outcomes'!$F2726)</f>
        <v>0</v>
      </c>
      <c r="H2726" s="154"/>
    </row>
    <row r="2727" ht="15.75" hidden="1" customHeight="1">
      <c r="B2727" s="146"/>
      <c r="C2727" s="146">
        <f t="shared" si="5"/>
        <v>10000</v>
      </c>
      <c r="D2727" s="146"/>
      <c r="E2727" s="305"/>
      <c r="F2727" s="383"/>
      <c r="G2727" s="154">
        <f>LEN('Expected Auditing Outcomes'!$F2727)</f>
        <v>0</v>
      </c>
      <c r="H2727" s="154"/>
    </row>
    <row r="2728" ht="15.75" hidden="1" customHeight="1">
      <c r="B2728" s="146"/>
      <c r="C2728" s="146">
        <f t="shared" si="5"/>
        <v>10000</v>
      </c>
      <c r="D2728" s="146"/>
      <c r="E2728" s="305"/>
      <c r="F2728" s="383"/>
      <c r="G2728" s="154">
        <f>LEN('Expected Auditing Outcomes'!$F2728)</f>
        <v>0</v>
      </c>
      <c r="H2728" s="154"/>
    </row>
    <row r="2729" ht="15.75" hidden="1" customHeight="1">
      <c r="B2729" s="146"/>
      <c r="C2729" s="146">
        <f t="shared" si="5"/>
        <v>10000</v>
      </c>
      <c r="D2729" s="146"/>
      <c r="E2729" s="305"/>
      <c r="F2729" s="383"/>
      <c r="G2729" s="154">
        <f>LEN('Expected Auditing Outcomes'!$F2729)</f>
        <v>0</v>
      </c>
      <c r="H2729" s="154"/>
    </row>
    <row r="2730" ht="15.75" hidden="1" customHeight="1">
      <c r="B2730" s="146"/>
      <c r="C2730" s="146">
        <f t="shared" si="5"/>
        <v>10000</v>
      </c>
      <c r="D2730" s="146"/>
      <c r="E2730" s="305"/>
      <c r="F2730" s="383"/>
      <c r="G2730" s="154">
        <f>LEN('Expected Auditing Outcomes'!$F2730)</f>
        <v>0</v>
      </c>
      <c r="H2730" s="154"/>
    </row>
    <row r="2731" ht="15.75" hidden="1" customHeight="1">
      <c r="B2731" s="146"/>
      <c r="C2731" s="146">
        <f t="shared" si="5"/>
        <v>10000</v>
      </c>
      <c r="D2731" s="146"/>
      <c r="E2731" s="305"/>
      <c r="F2731" s="383"/>
      <c r="G2731" s="154">
        <f>LEN('Expected Auditing Outcomes'!$F2731)</f>
        <v>0</v>
      </c>
      <c r="H2731" s="154"/>
    </row>
    <row r="2732" ht="15.75" hidden="1" customHeight="1">
      <c r="B2732" s="146"/>
      <c r="C2732" s="146">
        <f t="shared" si="5"/>
        <v>10000</v>
      </c>
      <c r="D2732" s="146"/>
      <c r="E2732" s="305"/>
      <c r="F2732" s="383"/>
      <c r="G2732" s="154">
        <f>LEN('Expected Auditing Outcomes'!$F2732)</f>
        <v>0</v>
      </c>
      <c r="H2732" s="154"/>
    </row>
    <row r="2733" ht="15.75" hidden="1" customHeight="1">
      <c r="B2733" s="146"/>
      <c r="C2733" s="146">
        <f t="shared" si="5"/>
        <v>10000</v>
      </c>
      <c r="D2733" s="146"/>
      <c r="E2733" s="305"/>
      <c r="F2733" s="383"/>
      <c r="G2733" s="154">
        <f>LEN('Expected Auditing Outcomes'!$F2733)</f>
        <v>0</v>
      </c>
      <c r="H2733" s="154"/>
    </row>
    <row r="2734" ht="15.75" hidden="1" customHeight="1">
      <c r="B2734" s="146"/>
      <c r="C2734" s="146">
        <f t="shared" si="5"/>
        <v>10000</v>
      </c>
      <c r="D2734" s="146"/>
      <c r="E2734" s="305"/>
      <c r="F2734" s="383"/>
      <c r="G2734" s="154">
        <f>LEN('Expected Auditing Outcomes'!$F2734)</f>
        <v>0</v>
      </c>
      <c r="H2734" s="154"/>
    </row>
    <row r="2735" ht="15.75" hidden="1" customHeight="1">
      <c r="B2735" s="146"/>
      <c r="C2735" s="146">
        <f t="shared" si="5"/>
        <v>10000</v>
      </c>
      <c r="D2735" s="146"/>
      <c r="E2735" s="305"/>
      <c r="F2735" s="383"/>
      <c r="G2735" s="154">
        <f>LEN('Expected Auditing Outcomes'!$F2735)</f>
        <v>0</v>
      </c>
      <c r="H2735" s="154"/>
    </row>
    <row r="2736" ht="15.75" hidden="1" customHeight="1">
      <c r="B2736" s="146"/>
      <c r="C2736" s="146">
        <f t="shared" si="5"/>
        <v>10000</v>
      </c>
      <c r="D2736" s="146"/>
      <c r="E2736" s="305"/>
      <c r="F2736" s="383"/>
      <c r="G2736" s="154">
        <f>LEN('Expected Auditing Outcomes'!$F2736)</f>
        <v>0</v>
      </c>
      <c r="H2736" s="154"/>
    </row>
    <row r="2737" ht="15.75" hidden="1" customHeight="1">
      <c r="B2737" s="146"/>
      <c r="C2737" s="146">
        <f t="shared" si="5"/>
        <v>10000</v>
      </c>
      <c r="D2737" s="146"/>
      <c r="E2737" s="305"/>
      <c r="F2737" s="383"/>
      <c r="G2737" s="154">
        <f>LEN('Expected Auditing Outcomes'!$F2737)</f>
        <v>0</v>
      </c>
      <c r="H2737" s="154"/>
    </row>
    <row r="2738" ht="15.75" hidden="1" customHeight="1">
      <c r="B2738" s="146"/>
      <c r="C2738" s="146">
        <f t="shared" si="5"/>
        <v>10000</v>
      </c>
      <c r="D2738" s="146"/>
      <c r="E2738" s="305"/>
      <c r="F2738" s="383"/>
      <c r="G2738" s="154">
        <f>LEN('Expected Auditing Outcomes'!$F2738)</f>
        <v>0</v>
      </c>
      <c r="H2738" s="154"/>
    </row>
    <row r="2739" ht="15.75" hidden="1" customHeight="1">
      <c r="B2739" s="146"/>
      <c r="C2739" s="146">
        <f t="shared" si="5"/>
        <v>10000</v>
      </c>
      <c r="D2739" s="146"/>
      <c r="E2739" s="305"/>
      <c r="F2739" s="383"/>
      <c r="G2739" s="154">
        <f>LEN('Expected Auditing Outcomes'!$F2739)</f>
        <v>0</v>
      </c>
      <c r="H2739" s="154"/>
    </row>
    <row r="2740" ht="15.75" hidden="1" customHeight="1">
      <c r="B2740" s="146"/>
      <c r="C2740" s="146">
        <f t="shared" si="5"/>
        <v>10000</v>
      </c>
      <c r="D2740" s="146"/>
      <c r="E2740" s="305"/>
      <c r="F2740" s="383"/>
      <c r="G2740" s="154">
        <f>LEN('Expected Auditing Outcomes'!$F2740)</f>
        <v>0</v>
      </c>
      <c r="H2740" s="154"/>
    </row>
    <row r="2741" ht="15.75" hidden="1" customHeight="1">
      <c r="B2741" s="146"/>
      <c r="C2741" s="146">
        <f t="shared" si="5"/>
        <v>10000</v>
      </c>
      <c r="D2741" s="146"/>
      <c r="E2741" s="305"/>
      <c r="F2741" s="383"/>
      <c r="G2741" s="154">
        <f>LEN('Expected Auditing Outcomes'!$F2741)</f>
        <v>0</v>
      </c>
      <c r="H2741" s="154"/>
    </row>
    <row r="2742" ht="15.75" hidden="1" customHeight="1">
      <c r="B2742" s="146"/>
      <c r="C2742" s="146">
        <f t="shared" si="5"/>
        <v>10000</v>
      </c>
      <c r="D2742" s="146"/>
      <c r="E2742" s="305"/>
      <c r="F2742" s="383"/>
      <c r="G2742" s="154">
        <f>LEN('Expected Auditing Outcomes'!$F2742)</f>
        <v>0</v>
      </c>
      <c r="H2742" s="154"/>
    </row>
    <row r="2743" ht="15.75" hidden="1" customHeight="1">
      <c r="B2743" s="146"/>
      <c r="C2743" s="146">
        <f t="shared" si="5"/>
        <v>10000</v>
      </c>
      <c r="D2743" s="146"/>
      <c r="E2743" s="305"/>
      <c r="F2743" s="383"/>
      <c r="G2743" s="154">
        <f>LEN('Expected Auditing Outcomes'!$F2743)</f>
        <v>0</v>
      </c>
      <c r="H2743" s="154"/>
    </row>
    <row r="2744" ht="15.75" hidden="1" customHeight="1">
      <c r="B2744" s="146"/>
      <c r="C2744" s="146">
        <f t="shared" si="5"/>
        <v>10000</v>
      </c>
      <c r="D2744" s="146"/>
      <c r="E2744" s="305"/>
      <c r="F2744" s="383"/>
      <c r="G2744" s="154">
        <f>LEN('Expected Auditing Outcomes'!$F2744)</f>
        <v>0</v>
      </c>
      <c r="H2744" s="154"/>
    </row>
    <row r="2745" ht="15.75" hidden="1" customHeight="1">
      <c r="B2745" s="146"/>
      <c r="C2745" s="146">
        <f t="shared" si="5"/>
        <v>10000</v>
      </c>
      <c r="D2745" s="146"/>
      <c r="E2745" s="305"/>
      <c r="F2745" s="383"/>
      <c r="G2745" s="154">
        <f>LEN('Expected Auditing Outcomes'!$F2745)</f>
        <v>0</v>
      </c>
      <c r="H2745" s="154"/>
    </row>
    <row r="2746" ht="15.75" hidden="1" customHeight="1">
      <c r="B2746" s="146"/>
      <c r="C2746" s="146">
        <f t="shared" si="5"/>
        <v>10000</v>
      </c>
      <c r="D2746" s="146"/>
      <c r="E2746" s="305"/>
      <c r="F2746" s="383"/>
      <c r="G2746" s="154">
        <f>LEN('Expected Auditing Outcomes'!$F2746)</f>
        <v>0</v>
      </c>
      <c r="H2746" s="154"/>
    </row>
    <row r="2747" ht="15.75" hidden="1" customHeight="1">
      <c r="B2747" s="146"/>
      <c r="C2747" s="146">
        <f t="shared" si="5"/>
        <v>10000</v>
      </c>
      <c r="D2747" s="146"/>
      <c r="E2747" s="305"/>
      <c r="F2747" s="383"/>
      <c r="G2747" s="154">
        <f>LEN('Expected Auditing Outcomes'!$F2747)</f>
        <v>0</v>
      </c>
      <c r="H2747" s="154"/>
    </row>
    <row r="2748" ht="15.75" hidden="1" customHeight="1">
      <c r="B2748" s="146"/>
      <c r="C2748" s="146">
        <f t="shared" si="5"/>
        <v>10000</v>
      </c>
      <c r="D2748" s="146"/>
      <c r="E2748" s="305"/>
      <c r="F2748" s="383"/>
      <c r="G2748" s="154">
        <f>LEN('Expected Auditing Outcomes'!$F2748)</f>
        <v>0</v>
      </c>
      <c r="H2748" s="154"/>
    </row>
    <row r="2749" ht="15.75" hidden="1" customHeight="1">
      <c r="B2749" s="146"/>
      <c r="C2749" s="146">
        <f t="shared" si="5"/>
        <v>10000</v>
      </c>
      <c r="D2749" s="146"/>
      <c r="E2749" s="305"/>
      <c r="F2749" s="383"/>
      <c r="G2749" s="154">
        <f>LEN('Expected Auditing Outcomes'!$F2749)</f>
        <v>0</v>
      </c>
      <c r="H2749" s="154"/>
    </row>
    <row r="2750" ht="15.75" hidden="1" customHeight="1">
      <c r="B2750" s="146"/>
      <c r="C2750" s="146">
        <f t="shared" si="5"/>
        <v>10000</v>
      </c>
      <c r="D2750" s="146"/>
      <c r="E2750" s="305"/>
      <c r="F2750" s="383"/>
      <c r="G2750" s="154">
        <f>LEN('Expected Auditing Outcomes'!$F2750)</f>
        <v>0</v>
      </c>
      <c r="H2750" s="154"/>
    </row>
    <row r="2751" ht="15.75" hidden="1" customHeight="1">
      <c r="B2751" s="146"/>
      <c r="C2751" s="146">
        <f t="shared" si="5"/>
        <v>10000</v>
      </c>
      <c r="D2751" s="146"/>
      <c r="E2751" s="305"/>
      <c r="F2751" s="383"/>
      <c r="G2751" s="154">
        <f>LEN('Expected Auditing Outcomes'!$F2751)</f>
        <v>0</v>
      </c>
      <c r="H2751" s="154"/>
    </row>
    <row r="2752" ht="15.75" hidden="1" customHeight="1">
      <c r="B2752" s="146"/>
      <c r="C2752" s="146">
        <f t="shared" si="5"/>
        <v>10000</v>
      </c>
      <c r="D2752" s="146"/>
      <c r="E2752" s="305"/>
      <c r="F2752" s="383"/>
      <c r="G2752" s="154">
        <f>LEN('Expected Auditing Outcomes'!$F2752)</f>
        <v>0</v>
      </c>
      <c r="H2752" s="154"/>
    </row>
    <row r="2753" ht="15.75" hidden="1" customHeight="1">
      <c r="B2753" s="146"/>
      <c r="C2753" s="146">
        <f t="shared" si="5"/>
        <v>10000</v>
      </c>
      <c r="D2753" s="146"/>
      <c r="E2753" s="305"/>
      <c r="F2753" s="383"/>
      <c r="G2753" s="154">
        <f>LEN('Expected Auditing Outcomes'!$F2753)</f>
        <v>0</v>
      </c>
      <c r="H2753" s="154"/>
    </row>
    <row r="2754" ht="15.75" hidden="1" customHeight="1">
      <c r="B2754" s="146"/>
      <c r="C2754" s="146">
        <f t="shared" si="5"/>
        <v>10000</v>
      </c>
      <c r="D2754" s="146"/>
      <c r="E2754" s="305"/>
      <c r="F2754" s="383"/>
      <c r="G2754" s="154">
        <f>LEN('Expected Auditing Outcomes'!$F2754)</f>
        <v>0</v>
      </c>
      <c r="H2754" s="154"/>
    </row>
    <row r="2755" ht="15.75" hidden="1" customHeight="1">
      <c r="B2755" s="146"/>
      <c r="C2755" s="146">
        <f t="shared" si="5"/>
        <v>10000</v>
      </c>
      <c r="D2755" s="146"/>
      <c r="E2755" s="305"/>
      <c r="F2755" s="383"/>
      <c r="G2755" s="154">
        <f>LEN('Expected Auditing Outcomes'!$F2755)</f>
        <v>0</v>
      </c>
      <c r="H2755" s="154"/>
    </row>
    <row r="2756" ht="15.75" hidden="1" customHeight="1">
      <c r="B2756" s="146"/>
      <c r="C2756" s="146">
        <f t="shared" si="5"/>
        <v>10000</v>
      </c>
      <c r="D2756" s="146"/>
      <c r="E2756" s="305"/>
      <c r="F2756" s="383"/>
      <c r="G2756" s="154">
        <f>LEN('Expected Auditing Outcomes'!$F2756)</f>
        <v>0</v>
      </c>
      <c r="H2756" s="154"/>
    </row>
    <row r="2757" ht="15.75" hidden="1" customHeight="1">
      <c r="B2757" s="146"/>
      <c r="C2757" s="146">
        <f t="shared" si="5"/>
        <v>10000</v>
      </c>
      <c r="D2757" s="146"/>
      <c r="E2757" s="305"/>
      <c r="F2757" s="383"/>
      <c r="G2757" s="154">
        <f>LEN('Expected Auditing Outcomes'!$F2757)</f>
        <v>0</v>
      </c>
      <c r="H2757" s="154"/>
    </row>
    <row r="2758" ht="15.75" hidden="1" customHeight="1">
      <c r="B2758" s="146"/>
      <c r="C2758" s="146">
        <f t="shared" si="5"/>
        <v>10000</v>
      </c>
      <c r="D2758" s="146"/>
      <c r="E2758" s="305"/>
      <c r="F2758" s="383"/>
      <c r="G2758" s="154">
        <f>LEN('Expected Auditing Outcomes'!$F2758)</f>
        <v>0</v>
      </c>
      <c r="H2758" s="154"/>
    </row>
    <row r="2759" ht="15.75" hidden="1" customHeight="1">
      <c r="B2759" s="146"/>
      <c r="C2759" s="146">
        <f t="shared" si="5"/>
        <v>10000</v>
      </c>
      <c r="D2759" s="146"/>
      <c r="E2759" s="305"/>
      <c r="F2759" s="383"/>
      <c r="G2759" s="154">
        <f>LEN('Expected Auditing Outcomes'!$F2759)</f>
        <v>0</v>
      </c>
      <c r="H2759" s="154"/>
    </row>
    <row r="2760" ht="15.75" hidden="1" customHeight="1">
      <c r="B2760" s="146"/>
      <c r="C2760" s="146">
        <f t="shared" si="5"/>
        <v>10000</v>
      </c>
      <c r="D2760" s="146"/>
      <c r="E2760" s="305"/>
      <c r="F2760" s="383"/>
      <c r="G2760" s="154">
        <f>LEN('Expected Auditing Outcomes'!$F2760)</f>
        <v>0</v>
      </c>
      <c r="H2760" s="154"/>
    </row>
    <row r="2761" ht="15.75" hidden="1" customHeight="1">
      <c r="B2761" s="146"/>
      <c r="C2761" s="146">
        <f t="shared" si="5"/>
        <v>10000</v>
      </c>
      <c r="D2761" s="146"/>
      <c r="E2761" s="305"/>
      <c r="F2761" s="383"/>
      <c r="G2761" s="154">
        <f>LEN('Expected Auditing Outcomes'!$F2761)</f>
        <v>0</v>
      </c>
      <c r="H2761" s="154"/>
    </row>
    <row r="2762" ht="15.75" hidden="1" customHeight="1">
      <c r="B2762" s="146"/>
      <c r="C2762" s="146">
        <f t="shared" si="5"/>
        <v>10000</v>
      </c>
      <c r="D2762" s="146"/>
      <c r="E2762" s="305"/>
      <c r="F2762" s="383"/>
      <c r="G2762" s="154">
        <f>LEN('Expected Auditing Outcomes'!$F2762)</f>
        <v>0</v>
      </c>
      <c r="H2762" s="154"/>
    </row>
    <row r="2763" ht="15.75" hidden="1" customHeight="1">
      <c r="B2763" s="146"/>
      <c r="C2763" s="146">
        <f t="shared" si="5"/>
        <v>10000</v>
      </c>
      <c r="D2763" s="146"/>
      <c r="E2763" s="305"/>
      <c r="F2763" s="383"/>
      <c r="G2763" s="154">
        <f>LEN('Expected Auditing Outcomes'!$F2763)</f>
        <v>0</v>
      </c>
      <c r="H2763" s="154"/>
    </row>
    <row r="2764" ht="15.75" hidden="1" customHeight="1">
      <c r="B2764" s="146"/>
      <c r="C2764" s="146">
        <f t="shared" si="5"/>
        <v>10000</v>
      </c>
      <c r="D2764" s="146"/>
      <c r="E2764" s="305"/>
      <c r="F2764" s="383"/>
      <c r="G2764" s="154">
        <f>LEN('Expected Auditing Outcomes'!$F2764)</f>
        <v>0</v>
      </c>
      <c r="H2764" s="154"/>
    </row>
    <row r="2765" ht="15.75" hidden="1" customHeight="1">
      <c r="B2765" s="146"/>
      <c r="C2765" s="146">
        <f t="shared" si="5"/>
        <v>10000</v>
      </c>
      <c r="D2765" s="146"/>
      <c r="E2765" s="305"/>
      <c r="F2765" s="383"/>
      <c r="G2765" s="154">
        <f>LEN('Expected Auditing Outcomes'!$F2765)</f>
        <v>0</v>
      </c>
      <c r="H2765" s="154"/>
    </row>
    <row r="2766" ht="15.75" hidden="1" customHeight="1">
      <c r="B2766" s="146"/>
      <c r="C2766" s="146">
        <f t="shared" si="5"/>
        <v>10000</v>
      </c>
      <c r="D2766" s="146"/>
      <c r="E2766" s="305"/>
      <c r="F2766" s="383"/>
      <c r="G2766" s="154">
        <f>LEN('Expected Auditing Outcomes'!$F2766)</f>
        <v>0</v>
      </c>
      <c r="H2766" s="154"/>
    </row>
    <row r="2767" ht="15.75" hidden="1" customHeight="1">
      <c r="B2767" s="146"/>
      <c r="C2767" s="146">
        <f t="shared" si="5"/>
        <v>10000</v>
      </c>
      <c r="D2767" s="146"/>
      <c r="E2767" s="305"/>
      <c r="F2767" s="383"/>
      <c r="G2767" s="154">
        <f>LEN('Expected Auditing Outcomes'!$F2767)</f>
        <v>0</v>
      </c>
      <c r="H2767" s="154"/>
    </row>
    <row r="2768" ht="15.75" hidden="1" customHeight="1">
      <c r="B2768" s="146"/>
      <c r="C2768" s="146">
        <f t="shared" si="5"/>
        <v>10000</v>
      </c>
      <c r="D2768" s="146"/>
      <c r="E2768" s="305"/>
      <c r="F2768" s="383"/>
      <c r="G2768" s="154">
        <f>LEN('Expected Auditing Outcomes'!$F2768)</f>
        <v>0</v>
      </c>
      <c r="H2768" s="154"/>
    </row>
    <row r="2769" ht="15.75" hidden="1" customHeight="1">
      <c r="B2769" s="146"/>
      <c r="C2769" s="146">
        <f t="shared" si="5"/>
        <v>10000</v>
      </c>
      <c r="D2769" s="146"/>
      <c r="E2769" s="305"/>
      <c r="F2769" s="383"/>
      <c r="G2769" s="154">
        <f>LEN('Expected Auditing Outcomes'!$F2769)</f>
        <v>0</v>
      </c>
      <c r="H2769" s="154"/>
    </row>
    <row r="2770" ht="15.75" hidden="1" customHeight="1">
      <c r="B2770" s="146"/>
      <c r="C2770" s="146">
        <f t="shared" si="5"/>
        <v>10000</v>
      </c>
      <c r="D2770" s="146"/>
      <c r="E2770" s="305"/>
      <c r="F2770" s="383"/>
      <c r="G2770" s="154">
        <f>LEN('Expected Auditing Outcomes'!$F2770)</f>
        <v>0</v>
      </c>
      <c r="H2770" s="154"/>
    </row>
    <row r="2771" ht="15.75" hidden="1" customHeight="1">
      <c r="B2771" s="146"/>
      <c r="C2771" s="146">
        <f t="shared" si="5"/>
        <v>10000</v>
      </c>
      <c r="D2771" s="146"/>
      <c r="E2771" s="305"/>
      <c r="F2771" s="383"/>
      <c r="G2771" s="154">
        <f>LEN('Expected Auditing Outcomes'!$F2771)</f>
        <v>0</v>
      </c>
      <c r="H2771" s="154"/>
    </row>
    <row r="2772" ht="15.75" hidden="1" customHeight="1">
      <c r="B2772" s="146"/>
      <c r="C2772" s="146">
        <f t="shared" si="5"/>
        <v>10000</v>
      </c>
      <c r="D2772" s="146"/>
      <c r="E2772" s="305"/>
      <c r="F2772" s="383"/>
      <c r="G2772" s="154">
        <f>LEN('Expected Auditing Outcomes'!$F2772)</f>
        <v>0</v>
      </c>
      <c r="H2772" s="154"/>
    </row>
    <row r="2773" ht="15.75" hidden="1" customHeight="1">
      <c r="B2773" s="146"/>
      <c r="C2773" s="146">
        <f t="shared" si="5"/>
        <v>10000</v>
      </c>
      <c r="D2773" s="146"/>
      <c r="E2773" s="305"/>
      <c r="F2773" s="383"/>
      <c r="G2773" s="154">
        <f>LEN('Expected Auditing Outcomes'!$F2773)</f>
        <v>0</v>
      </c>
      <c r="H2773" s="154"/>
    </row>
    <row r="2774" ht="15.75" hidden="1" customHeight="1">
      <c r="B2774" s="146"/>
      <c r="C2774" s="146">
        <f t="shared" si="5"/>
        <v>10000</v>
      </c>
      <c r="D2774" s="146"/>
      <c r="E2774" s="305"/>
      <c r="F2774" s="383"/>
      <c r="G2774" s="154">
        <f>LEN('Expected Auditing Outcomes'!$F2774)</f>
        <v>0</v>
      </c>
      <c r="H2774" s="154"/>
    </row>
    <row r="2775" ht="15.75" hidden="1" customHeight="1">
      <c r="B2775" s="146"/>
      <c r="C2775" s="146">
        <f t="shared" si="5"/>
        <v>10000</v>
      </c>
      <c r="D2775" s="146"/>
      <c r="E2775" s="305"/>
      <c r="F2775" s="383"/>
      <c r="G2775" s="154">
        <f>LEN('Expected Auditing Outcomes'!$F2775)</f>
        <v>0</v>
      </c>
      <c r="H2775" s="154"/>
    </row>
    <row r="2776" ht="15.75" hidden="1" customHeight="1">
      <c r="B2776" s="146"/>
      <c r="C2776" s="146">
        <f t="shared" si="5"/>
        <v>10000</v>
      </c>
      <c r="D2776" s="146"/>
      <c r="E2776" s="305"/>
      <c r="F2776" s="383"/>
      <c r="G2776" s="154">
        <f>LEN('Expected Auditing Outcomes'!$F2776)</f>
        <v>0</v>
      </c>
      <c r="H2776" s="154"/>
    </row>
    <row r="2777" ht="15.75" hidden="1" customHeight="1">
      <c r="B2777" s="146"/>
      <c r="C2777" s="146">
        <f t="shared" si="5"/>
        <v>10000</v>
      </c>
      <c r="D2777" s="146"/>
      <c r="E2777" s="305"/>
      <c r="F2777" s="383"/>
      <c r="G2777" s="154">
        <f>LEN('Expected Auditing Outcomes'!$F2777)</f>
        <v>0</v>
      </c>
      <c r="H2777" s="154"/>
    </row>
    <row r="2778" ht="15.75" hidden="1" customHeight="1">
      <c r="B2778" s="146"/>
      <c r="C2778" s="146">
        <f t="shared" si="5"/>
        <v>10000</v>
      </c>
      <c r="D2778" s="146"/>
      <c r="E2778" s="305"/>
      <c r="F2778" s="383"/>
      <c r="G2778" s="154">
        <f>LEN('Expected Auditing Outcomes'!$F2778)</f>
        <v>0</v>
      </c>
      <c r="H2778" s="154"/>
    </row>
    <row r="2779" ht="15.75" hidden="1" customHeight="1">
      <c r="B2779" s="146"/>
      <c r="C2779" s="146">
        <f t="shared" si="5"/>
        <v>10000</v>
      </c>
      <c r="D2779" s="146"/>
      <c r="E2779" s="305"/>
      <c r="F2779" s="383"/>
      <c r="G2779" s="154">
        <f>LEN('Expected Auditing Outcomes'!$F2779)</f>
        <v>0</v>
      </c>
      <c r="H2779" s="154"/>
    </row>
    <row r="2780" ht="15.75" hidden="1" customHeight="1">
      <c r="B2780" s="146"/>
      <c r="C2780" s="146">
        <f t="shared" si="5"/>
        <v>10000</v>
      </c>
      <c r="D2780" s="146"/>
      <c r="E2780" s="305"/>
      <c r="F2780" s="383"/>
      <c r="G2780" s="154">
        <f>LEN('Expected Auditing Outcomes'!$F2780)</f>
        <v>0</v>
      </c>
      <c r="H2780" s="154"/>
    </row>
    <row r="2781" ht="15.75" hidden="1" customHeight="1">
      <c r="B2781" s="146"/>
      <c r="C2781" s="146">
        <f t="shared" si="5"/>
        <v>10000</v>
      </c>
      <c r="D2781" s="146"/>
      <c r="E2781" s="305"/>
      <c r="F2781" s="383"/>
      <c r="G2781" s="154">
        <f>LEN('Expected Auditing Outcomes'!$F2781)</f>
        <v>0</v>
      </c>
      <c r="H2781" s="154"/>
    </row>
    <row r="2782" ht="15.75" hidden="1" customHeight="1">
      <c r="B2782" s="146"/>
      <c r="C2782" s="146">
        <f t="shared" si="5"/>
        <v>10000</v>
      </c>
      <c r="D2782" s="146"/>
      <c r="E2782" s="305"/>
      <c r="F2782" s="383"/>
      <c r="G2782" s="154">
        <f>LEN('Expected Auditing Outcomes'!$F2782)</f>
        <v>0</v>
      </c>
      <c r="H2782" s="154"/>
    </row>
    <row r="2783" ht="15.75" hidden="1" customHeight="1">
      <c r="B2783" s="146"/>
      <c r="C2783" s="146">
        <f t="shared" si="5"/>
        <v>10000</v>
      </c>
      <c r="D2783" s="146"/>
      <c r="E2783" s="305"/>
      <c r="F2783" s="383"/>
      <c r="G2783" s="154">
        <f>LEN('Expected Auditing Outcomes'!$F2783)</f>
        <v>0</v>
      </c>
      <c r="H2783" s="154"/>
    </row>
    <row r="2784" ht="15.75" hidden="1" customHeight="1">
      <c r="B2784" s="146"/>
      <c r="C2784" s="146">
        <f t="shared" si="5"/>
        <v>10000</v>
      </c>
      <c r="D2784" s="146"/>
      <c r="E2784" s="305"/>
      <c r="F2784" s="383"/>
      <c r="G2784" s="154">
        <f>LEN('Expected Auditing Outcomes'!$F2784)</f>
        <v>0</v>
      </c>
      <c r="H2784" s="154"/>
    </row>
    <row r="2785" ht="15.75" hidden="1" customHeight="1">
      <c r="B2785" s="146"/>
      <c r="C2785" s="146">
        <f t="shared" si="5"/>
        <v>10000</v>
      </c>
      <c r="D2785" s="146"/>
      <c r="E2785" s="305"/>
      <c r="F2785" s="383"/>
      <c r="G2785" s="154">
        <f>LEN('Expected Auditing Outcomes'!$F2785)</f>
        <v>0</v>
      </c>
      <c r="H2785" s="154"/>
    </row>
    <row r="2786" ht="15.75" hidden="1" customHeight="1">
      <c r="B2786" s="146"/>
      <c r="C2786" s="146">
        <f t="shared" si="5"/>
        <v>10000</v>
      </c>
      <c r="D2786" s="146"/>
      <c r="E2786" s="305"/>
      <c r="F2786" s="383"/>
      <c r="G2786" s="154">
        <f>LEN('Expected Auditing Outcomes'!$F2786)</f>
        <v>0</v>
      </c>
      <c r="H2786" s="154"/>
    </row>
    <row r="2787" ht="15.75" hidden="1" customHeight="1">
      <c r="B2787" s="146"/>
      <c r="C2787" s="146">
        <f t="shared" si="5"/>
        <v>10000</v>
      </c>
      <c r="D2787" s="146"/>
      <c r="E2787" s="305"/>
      <c r="F2787" s="383"/>
      <c r="G2787" s="154">
        <f>LEN('Expected Auditing Outcomes'!$F2787)</f>
        <v>0</v>
      </c>
      <c r="H2787" s="154"/>
    </row>
    <row r="2788" ht="15.75" hidden="1" customHeight="1">
      <c r="B2788" s="146"/>
      <c r="C2788" s="146">
        <f t="shared" si="5"/>
        <v>10000</v>
      </c>
      <c r="D2788" s="146"/>
      <c r="E2788" s="305"/>
      <c r="F2788" s="383"/>
      <c r="G2788" s="154">
        <f>LEN('Expected Auditing Outcomes'!$F2788)</f>
        <v>0</v>
      </c>
      <c r="H2788" s="154"/>
    </row>
    <row r="2789" ht="15.75" hidden="1" customHeight="1">
      <c r="B2789" s="146"/>
      <c r="C2789" s="146">
        <f t="shared" si="5"/>
        <v>10000</v>
      </c>
      <c r="D2789" s="146"/>
      <c r="E2789" s="305"/>
      <c r="F2789" s="383"/>
      <c r="G2789" s="154">
        <f>LEN('Expected Auditing Outcomes'!$F2789)</f>
        <v>0</v>
      </c>
      <c r="H2789" s="154"/>
    </row>
    <row r="2790" ht="15.75" hidden="1" customHeight="1">
      <c r="B2790" s="146"/>
      <c r="C2790" s="146">
        <f t="shared" si="5"/>
        <v>10000</v>
      </c>
      <c r="D2790" s="146"/>
      <c r="E2790" s="305"/>
      <c r="F2790" s="383"/>
      <c r="G2790" s="154">
        <f>LEN('Expected Auditing Outcomes'!$F2790)</f>
        <v>0</v>
      </c>
      <c r="H2790" s="154"/>
    </row>
    <row r="2791" ht="15.75" hidden="1" customHeight="1">
      <c r="B2791" s="146"/>
      <c r="C2791" s="146">
        <f t="shared" si="5"/>
        <v>10000</v>
      </c>
      <c r="D2791" s="146"/>
      <c r="E2791" s="305"/>
      <c r="F2791" s="383"/>
      <c r="G2791" s="154">
        <f>LEN('Expected Auditing Outcomes'!$F2791)</f>
        <v>0</v>
      </c>
      <c r="H2791" s="154"/>
    </row>
    <row r="2792" ht="15.75" hidden="1" customHeight="1">
      <c r="B2792" s="146"/>
      <c r="C2792" s="146">
        <f t="shared" si="5"/>
        <v>10000</v>
      </c>
      <c r="D2792" s="146"/>
      <c r="E2792" s="305"/>
      <c r="F2792" s="383"/>
      <c r="G2792" s="154">
        <f>LEN('Expected Auditing Outcomes'!$F2792)</f>
        <v>0</v>
      </c>
      <c r="H2792" s="154"/>
    </row>
    <row r="2793" ht="15.75" hidden="1" customHeight="1">
      <c r="B2793" s="146"/>
      <c r="C2793" s="146">
        <f t="shared" si="5"/>
        <v>10000</v>
      </c>
      <c r="D2793" s="146"/>
      <c r="E2793" s="305"/>
      <c r="F2793" s="383"/>
      <c r="G2793" s="154">
        <f>LEN('Expected Auditing Outcomes'!$F2793)</f>
        <v>0</v>
      </c>
      <c r="H2793" s="154"/>
    </row>
    <row r="2794" ht="15.75" hidden="1" customHeight="1">
      <c r="B2794" s="146"/>
      <c r="C2794" s="146">
        <f t="shared" si="5"/>
        <v>10000</v>
      </c>
      <c r="D2794" s="146"/>
      <c r="E2794" s="305"/>
      <c r="F2794" s="383"/>
      <c r="G2794" s="154">
        <f>LEN('Expected Auditing Outcomes'!$F2794)</f>
        <v>0</v>
      </c>
      <c r="H2794" s="154"/>
    </row>
    <row r="2795" ht="15.75" hidden="1" customHeight="1">
      <c r="B2795" s="146"/>
      <c r="C2795" s="146">
        <f t="shared" si="5"/>
        <v>10000</v>
      </c>
      <c r="D2795" s="146"/>
      <c r="E2795" s="305"/>
      <c r="F2795" s="383"/>
      <c r="G2795" s="154">
        <f>LEN('Expected Auditing Outcomes'!$F2795)</f>
        <v>0</v>
      </c>
      <c r="H2795" s="154"/>
    </row>
    <row r="2796" ht="15.75" hidden="1" customHeight="1">
      <c r="B2796" s="146"/>
      <c r="C2796" s="146">
        <f t="shared" si="5"/>
        <v>10000</v>
      </c>
      <c r="D2796" s="146"/>
      <c r="E2796" s="305"/>
      <c r="F2796" s="383"/>
      <c r="G2796" s="154">
        <f>LEN('Expected Auditing Outcomes'!$F2796)</f>
        <v>0</v>
      </c>
      <c r="H2796" s="154"/>
    </row>
    <row r="2797" ht="15.75" hidden="1" customHeight="1">
      <c r="B2797" s="146"/>
      <c r="C2797" s="146">
        <f t="shared" si="5"/>
        <v>10000</v>
      </c>
      <c r="D2797" s="146"/>
      <c r="E2797" s="305"/>
      <c r="F2797" s="383"/>
      <c r="G2797" s="154">
        <f>LEN('Expected Auditing Outcomes'!$F2797)</f>
        <v>0</v>
      </c>
      <c r="H2797" s="154"/>
    </row>
    <row r="2798" ht="15.75" hidden="1" customHeight="1">
      <c r="B2798" s="146"/>
      <c r="C2798" s="146">
        <f t="shared" si="5"/>
        <v>10000</v>
      </c>
      <c r="D2798" s="146"/>
      <c r="E2798" s="305"/>
      <c r="F2798" s="383"/>
      <c r="G2798" s="154">
        <f>LEN('Expected Auditing Outcomes'!$F2798)</f>
        <v>0</v>
      </c>
      <c r="H2798" s="154"/>
    </row>
    <row r="2799" ht="15.75" hidden="1" customHeight="1">
      <c r="B2799" s="146"/>
      <c r="C2799" s="146">
        <f t="shared" si="5"/>
        <v>10000</v>
      </c>
      <c r="D2799" s="146"/>
      <c r="E2799" s="305"/>
      <c r="F2799" s="383"/>
      <c r="G2799" s="154">
        <f>LEN('Expected Auditing Outcomes'!$F2799)</f>
        <v>0</v>
      </c>
      <c r="H2799" s="154"/>
    </row>
    <row r="2800" ht="15.75" hidden="1" customHeight="1">
      <c r="B2800" s="146"/>
      <c r="C2800" s="146">
        <f t="shared" si="5"/>
        <v>10000</v>
      </c>
      <c r="D2800" s="146"/>
      <c r="E2800" s="305"/>
      <c r="F2800" s="383"/>
      <c r="G2800" s="154">
        <f>LEN('Expected Auditing Outcomes'!$F2800)</f>
        <v>0</v>
      </c>
      <c r="H2800" s="154"/>
    </row>
    <row r="2801" ht="15.75" hidden="1" customHeight="1">
      <c r="B2801" s="146"/>
      <c r="C2801" s="146">
        <f t="shared" si="5"/>
        <v>10000</v>
      </c>
      <c r="D2801" s="146"/>
      <c r="E2801" s="305"/>
      <c r="F2801" s="383"/>
      <c r="G2801" s="154">
        <f>LEN('Expected Auditing Outcomes'!$F2801)</f>
        <v>0</v>
      </c>
      <c r="H2801" s="154"/>
    </row>
    <row r="2802" ht="15.75" hidden="1" customHeight="1">
      <c r="B2802" s="146"/>
      <c r="C2802" s="146">
        <f t="shared" si="5"/>
        <v>10000</v>
      </c>
      <c r="D2802" s="146"/>
      <c r="E2802" s="305"/>
      <c r="F2802" s="383"/>
      <c r="G2802" s="154">
        <f>LEN('Expected Auditing Outcomes'!$F2802)</f>
        <v>0</v>
      </c>
      <c r="H2802" s="154"/>
    </row>
    <row r="2803" ht="15.75" hidden="1" customHeight="1">
      <c r="B2803" s="146"/>
      <c r="C2803" s="146">
        <f t="shared" si="5"/>
        <v>10000</v>
      </c>
      <c r="D2803" s="146"/>
      <c r="E2803" s="305"/>
      <c r="F2803" s="383"/>
      <c r="G2803" s="154">
        <f>LEN('Expected Auditing Outcomes'!$F2803)</f>
        <v>0</v>
      </c>
      <c r="H2803" s="154"/>
    </row>
    <row r="2804" ht="15.75" hidden="1" customHeight="1">
      <c r="B2804" s="146"/>
      <c r="C2804" s="146">
        <f t="shared" si="5"/>
        <v>10000</v>
      </c>
      <c r="D2804" s="146"/>
      <c r="E2804" s="305"/>
      <c r="F2804" s="383"/>
      <c r="G2804" s="154">
        <f>LEN('Expected Auditing Outcomes'!$F2804)</f>
        <v>0</v>
      </c>
      <c r="H2804" s="154"/>
    </row>
    <row r="2805" ht="15.75" hidden="1" customHeight="1">
      <c r="B2805" s="146"/>
      <c r="C2805" s="146">
        <f t="shared" si="5"/>
        <v>10000</v>
      </c>
      <c r="D2805" s="146"/>
      <c r="E2805" s="305"/>
      <c r="F2805" s="383"/>
      <c r="G2805" s="154">
        <f>LEN('Expected Auditing Outcomes'!$F2805)</f>
        <v>0</v>
      </c>
      <c r="H2805" s="154"/>
    </row>
    <row r="2806" ht="15.75" hidden="1" customHeight="1">
      <c r="B2806" s="146"/>
      <c r="C2806" s="146">
        <f t="shared" si="5"/>
        <v>10000</v>
      </c>
      <c r="D2806" s="146"/>
      <c r="E2806" s="305"/>
      <c r="F2806" s="383"/>
      <c r="G2806" s="154">
        <f>LEN('Expected Auditing Outcomes'!$F2806)</f>
        <v>0</v>
      </c>
      <c r="H2806" s="154"/>
    </row>
    <row r="2807" ht="15.75" hidden="1" customHeight="1">
      <c r="B2807" s="146"/>
      <c r="C2807" s="146">
        <f t="shared" si="5"/>
        <v>10000</v>
      </c>
      <c r="D2807" s="146"/>
      <c r="E2807" s="305"/>
      <c r="F2807" s="383"/>
      <c r="G2807" s="154">
        <f>LEN('Expected Auditing Outcomes'!$F2807)</f>
        <v>0</v>
      </c>
      <c r="H2807" s="154"/>
    </row>
    <row r="2808" ht="15.75" hidden="1" customHeight="1">
      <c r="B2808" s="146"/>
      <c r="C2808" s="146">
        <f t="shared" si="5"/>
        <v>10000</v>
      </c>
      <c r="D2808" s="146"/>
      <c r="E2808" s="305"/>
      <c r="F2808" s="383"/>
      <c r="G2808" s="154">
        <f>LEN('Expected Auditing Outcomes'!$F2808)</f>
        <v>0</v>
      </c>
      <c r="H2808" s="154"/>
    </row>
    <row r="2809" ht="15.75" hidden="1" customHeight="1">
      <c r="B2809" s="146"/>
      <c r="C2809" s="146">
        <f t="shared" si="5"/>
        <v>10000</v>
      </c>
      <c r="D2809" s="146"/>
      <c r="E2809" s="305"/>
      <c r="F2809" s="383"/>
      <c r="G2809" s="154">
        <f>LEN('Expected Auditing Outcomes'!$F2809)</f>
        <v>0</v>
      </c>
      <c r="H2809" s="154"/>
    </row>
    <row r="2810" ht="15.75" hidden="1" customHeight="1">
      <c r="B2810" s="146"/>
      <c r="C2810" s="146">
        <f t="shared" si="5"/>
        <v>10000</v>
      </c>
      <c r="D2810" s="146"/>
      <c r="E2810" s="305"/>
      <c r="F2810" s="383"/>
      <c r="G2810" s="154">
        <f>LEN('Expected Auditing Outcomes'!$F2810)</f>
        <v>0</v>
      </c>
      <c r="H2810" s="154"/>
    </row>
    <row r="2811" ht="15.75" hidden="1" customHeight="1">
      <c r="B2811" s="146"/>
      <c r="C2811" s="146">
        <f t="shared" si="5"/>
        <v>10000</v>
      </c>
      <c r="D2811" s="146"/>
      <c r="E2811" s="305"/>
      <c r="F2811" s="383"/>
      <c r="G2811" s="154">
        <f>LEN('Expected Auditing Outcomes'!$F2811)</f>
        <v>0</v>
      </c>
      <c r="H2811" s="154"/>
    </row>
    <row r="2812" ht="15.75" hidden="1" customHeight="1">
      <c r="B2812" s="146"/>
      <c r="C2812" s="146">
        <f t="shared" si="5"/>
        <v>10000</v>
      </c>
      <c r="D2812" s="146"/>
      <c r="E2812" s="305"/>
      <c r="F2812" s="383"/>
      <c r="G2812" s="154">
        <f>LEN('Expected Auditing Outcomes'!$F2812)</f>
        <v>0</v>
      </c>
      <c r="H2812" s="154"/>
    </row>
    <row r="2813" ht="15.75" hidden="1" customHeight="1">
      <c r="B2813" s="146"/>
      <c r="C2813" s="146">
        <f t="shared" si="5"/>
        <v>10000</v>
      </c>
      <c r="D2813" s="146"/>
      <c r="E2813" s="305"/>
      <c r="F2813" s="383"/>
      <c r="G2813" s="154">
        <f>LEN('Expected Auditing Outcomes'!$F2813)</f>
        <v>0</v>
      </c>
      <c r="H2813" s="154"/>
    </row>
    <row r="2814" ht="15.75" hidden="1" customHeight="1">
      <c r="B2814" s="146"/>
      <c r="C2814" s="146">
        <f t="shared" si="5"/>
        <v>10000</v>
      </c>
      <c r="D2814" s="146"/>
      <c r="E2814" s="305"/>
      <c r="F2814" s="383"/>
      <c r="G2814" s="154">
        <f>LEN('Expected Auditing Outcomes'!$F2814)</f>
        <v>0</v>
      </c>
      <c r="H2814" s="154"/>
    </row>
    <row r="2815" ht="15.75" hidden="1" customHeight="1">
      <c r="B2815" s="146"/>
      <c r="C2815" s="146">
        <f t="shared" si="5"/>
        <v>10000</v>
      </c>
      <c r="D2815" s="146"/>
      <c r="E2815" s="305"/>
      <c r="F2815" s="383"/>
      <c r="G2815" s="154">
        <f>LEN('Expected Auditing Outcomes'!$F2815)</f>
        <v>0</v>
      </c>
      <c r="H2815" s="154"/>
    </row>
    <row r="2816" ht="15.75" hidden="1" customHeight="1">
      <c r="B2816" s="146"/>
      <c r="C2816" s="146">
        <f t="shared" si="5"/>
        <v>10000</v>
      </c>
      <c r="D2816" s="146"/>
      <c r="E2816" s="305"/>
      <c r="F2816" s="383"/>
      <c r="G2816" s="154">
        <f>LEN('Expected Auditing Outcomes'!$F2816)</f>
        <v>0</v>
      </c>
      <c r="H2816" s="154"/>
    </row>
    <row r="2817" ht="15.75" hidden="1" customHeight="1">
      <c r="B2817" s="146"/>
      <c r="C2817" s="146">
        <f t="shared" si="5"/>
        <v>10000</v>
      </c>
      <c r="D2817" s="146"/>
      <c r="E2817" s="305"/>
      <c r="F2817" s="383"/>
      <c r="G2817" s="154">
        <f>LEN('Expected Auditing Outcomes'!$F2817)</f>
        <v>0</v>
      </c>
      <c r="H2817" s="154"/>
    </row>
    <row r="2818" ht="15.75" hidden="1" customHeight="1">
      <c r="B2818" s="146"/>
      <c r="C2818" s="146">
        <f t="shared" si="5"/>
        <v>10000</v>
      </c>
      <c r="D2818" s="146"/>
      <c r="E2818" s="305"/>
      <c r="F2818" s="383"/>
      <c r="G2818" s="154">
        <f>LEN('Expected Auditing Outcomes'!$F2818)</f>
        <v>0</v>
      </c>
      <c r="H2818" s="154"/>
    </row>
    <row r="2819" ht="15.75" hidden="1" customHeight="1">
      <c r="B2819" s="146"/>
      <c r="C2819" s="146">
        <f t="shared" si="5"/>
        <v>10000</v>
      </c>
      <c r="D2819" s="146"/>
      <c r="E2819" s="305"/>
      <c r="F2819" s="383"/>
      <c r="G2819" s="154">
        <f>LEN('Expected Auditing Outcomes'!$F2819)</f>
        <v>0</v>
      </c>
      <c r="H2819" s="154"/>
    </row>
    <row r="2820" ht="15.75" hidden="1" customHeight="1">
      <c r="B2820" s="146"/>
      <c r="C2820" s="146">
        <f t="shared" si="5"/>
        <v>10000</v>
      </c>
      <c r="D2820" s="146"/>
      <c r="E2820" s="305"/>
      <c r="F2820" s="383"/>
      <c r="G2820" s="154">
        <f>LEN('Expected Auditing Outcomes'!$F2820)</f>
        <v>0</v>
      </c>
      <c r="H2820" s="154"/>
    </row>
    <row r="2821" ht="15.75" hidden="1" customHeight="1">
      <c r="B2821" s="146"/>
      <c r="C2821" s="146">
        <f t="shared" si="5"/>
        <v>10000</v>
      </c>
      <c r="D2821" s="146"/>
      <c r="E2821" s="305"/>
      <c r="F2821" s="383"/>
      <c r="G2821" s="154">
        <f>LEN('Expected Auditing Outcomes'!$F2821)</f>
        <v>0</v>
      </c>
      <c r="H2821" s="154"/>
    </row>
    <row r="2822" ht="15.75" hidden="1" customHeight="1">
      <c r="B2822" s="146"/>
      <c r="C2822" s="146">
        <f t="shared" si="5"/>
        <v>10000</v>
      </c>
      <c r="D2822" s="146"/>
      <c r="E2822" s="305"/>
      <c r="F2822" s="383"/>
      <c r="G2822" s="154">
        <f>LEN('Expected Auditing Outcomes'!$F2822)</f>
        <v>0</v>
      </c>
      <c r="H2822" s="154"/>
    </row>
    <row r="2823" ht="15.75" hidden="1" customHeight="1">
      <c r="B2823" s="146"/>
      <c r="C2823" s="146">
        <f t="shared" si="5"/>
        <v>10000</v>
      </c>
      <c r="D2823" s="146"/>
      <c r="E2823" s="305"/>
      <c r="F2823" s="383"/>
      <c r="G2823" s="154">
        <f>LEN('Expected Auditing Outcomes'!$F2823)</f>
        <v>0</v>
      </c>
      <c r="H2823" s="154"/>
    </row>
    <row r="2824" ht="15.75" hidden="1" customHeight="1">
      <c r="B2824" s="146"/>
      <c r="C2824" s="146">
        <f t="shared" si="5"/>
        <v>10000</v>
      </c>
      <c r="D2824" s="146"/>
      <c r="E2824" s="305"/>
      <c r="F2824" s="383"/>
      <c r="G2824" s="154">
        <f>LEN('Expected Auditing Outcomes'!$F2824)</f>
        <v>0</v>
      </c>
      <c r="H2824" s="154"/>
    </row>
    <row r="2825" ht="15.75" hidden="1" customHeight="1">
      <c r="B2825" s="146"/>
      <c r="C2825" s="146">
        <f t="shared" si="5"/>
        <v>10000</v>
      </c>
      <c r="D2825" s="146"/>
      <c r="E2825" s="305"/>
      <c r="F2825" s="383"/>
      <c r="G2825" s="154">
        <f>LEN('Expected Auditing Outcomes'!$F2825)</f>
        <v>0</v>
      </c>
      <c r="H2825" s="154"/>
    </row>
    <row r="2826" ht="15.75" hidden="1" customHeight="1">
      <c r="B2826" s="146"/>
      <c r="C2826" s="146">
        <f t="shared" si="5"/>
        <v>10000</v>
      </c>
      <c r="D2826" s="146"/>
      <c r="E2826" s="305"/>
      <c r="F2826" s="383"/>
      <c r="G2826" s="154">
        <f>LEN('Expected Auditing Outcomes'!$F2826)</f>
        <v>0</v>
      </c>
      <c r="H2826" s="154"/>
    </row>
    <row r="2827" ht="15.75" hidden="1" customHeight="1">
      <c r="B2827" s="146"/>
      <c r="C2827" s="146">
        <f t="shared" si="5"/>
        <v>10000</v>
      </c>
      <c r="D2827" s="146"/>
      <c r="E2827" s="305"/>
      <c r="F2827" s="383"/>
      <c r="G2827" s="154">
        <f>LEN('Expected Auditing Outcomes'!$F2827)</f>
        <v>0</v>
      </c>
      <c r="H2827" s="154"/>
    </row>
    <row r="2828" ht="15.75" hidden="1" customHeight="1">
      <c r="B2828" s="146"/>
      <c r="C2828" s="146">
        <f t="shared" si="5"/>
        <v>10000</v>
      </c>
      <c r="D2828" s="146"/>
      <c r="E2828" s="305"/>
      <c r="F2828" s="383"/>
      <c r="G2828" s="154">
        <f>LEN('Expected Auditing Outcomes'!$F2828)</f>
        <v>0</v>
      </c>
      <c r="H2828" s="154"/>
    </row>
    <row r="2829" ht="15.75" hidden="1" customHeight="1">
      <c r="B2829" s="146"/>
      <c r="C2829" s="146">
        <f t="shared" si="5"/>
        <v>10000</v>
      </c>
      <c r="D2829" s="146"/>
      <c r="E2829" s="305"/>
      <c r="F2829" s="383"/>
      <c r="G2829" s="154">
        <f>LEN('Expected Auditing Outcomes'!$F2829)</f>
        <v>0</v>
      </c>
      <c r="H2829" s="154"/>
    </row>
    <row r="2830" ht="15.75" hidden="1" customHeight="1">
      <c r="B2830" s="146"/>
      <c r="C2830" s="146">
        <f t="shared" si="5"/>
        <v>10000</v>
      </c>
      <c r="D2830" s="146"/>
      <c r="E2830" s="305"/>
      <c r="F2830" s="383"/>
      <c r="G2830" s="154">
        <f>LEN('Expected Auditing Outcomes'!$F2830)</f>
        <v>0</v>
      </c>
      <c r="H2830" s="154"/>
    </row>
    <row r="2831" ht="15.75" hidden="1" customHeight="1">
      <c r="B2831" s="146"/>
      <c r="C2831" s="146">
        <f t="shared" si="5"/>
        <v>10000</v>
      </c>
      <c r="D2831" s="146"/>
      <c r="E2831" s="305"/>
      <c r="F2831" s="383"/>
      <c r="G2831" s="154">
        <f>LEN('Expected Auditing Outcomes'!$F2831)</f>
        <v>0</v>
      </c>
      <c r="H2831" s="154"/>
    </row>
    <row r="2832" ht="15.75" hidden="1" customHeight="1">
      <c r="B2832" s="146"/>
      <c r="C2832" s="146">
        <f t="shared" si="5"/>
        <v>10000</v>
      </c>
      <c r="D2832" s="146"/>
      <c r="E2832" s="305"/>
      <c r="F2832" s="383"/>
      <c r="G2832" s="154">
        <f>LEN('Expected Auditing Outcomes'!$F2832)</f>
        <v>0</v>
      </c>
      <c r="H2832" s="154"/>
    </row>
    <row r="2833" ht="15.75" hidden="1" customHeight="1">
      <c r="B2833" s="146"/>
      <c r="C2833" s="146">
        <f t="shared" si="5"/>
        <v>10000</v>
      </c>
      <c r="D2833" s="146"/>
      <c r="E2833" s="305"/>
      <c r="F2833" s="383"/>
      <c r="G2833" s="154">
        <f>LEN('Expected Auditing Outcomes'!$F2833)</f>
        <v>0</v>
      </c>
      <c r="H2833" s="154"/>
    </row>
    <row r="2834" ht="15.75" hidden="1" customHeight="1">
      <c r="B2834" s="146"/>
      <c r="C2834" s="146">
        <f t="shared" si="5"/>
        <v>10000</v>
      </c>
      <c r="D2834" s="146"/>
      <c r="E2834" s="305"/>
      <c r="F2834" s="383"/>
      <c r="G2834" s="154">
        <f>LEN('Expected Auditing Outcomes'!$F2834)</f>
        <v>0</v>
      </c>
      <c r="H2834" s="154"/>
    </row>
    <row r="2835" ht="15.75" hidden="1" customHeight="1">
      <c r="B2835" s="146"/>
      <c r="C2835" s="146">
        <f t="shared" si="5"/>
        <v>10000</v>
      </c>
      <c r="D2835" s="146"/>
      <c r="E2835" s="305"/>
      <c r="F2835" s="383"/>
      <c r="G2835" s="154">
        <f>LEN('Expected Auditing Outcomes'!$F2835)</f>
        <v>0</v>
      </c>
      <c r="H2835" s="154"/>
    </row>
    <row r="2836" ht="15.75" hidden="1" customHeight="1">
      <c r="B2836" s="146"/>
      <c r="C2836" s="146">
        <f t="shared" si="5"/>
        <v>10000</v>
      </c>
      <c r="D2836" s="146"/>
      <c r="E2836" s="305"/>
      <c r="F2836" s="383"/>
      <c r="G2836" s="154">
        <f>LEN('Expected Auditing Outcomes'!$F2836)</f>
        <v>0</v>
      </c>
      <c r="H2836" s="154"/>
    </row>
    <row r="2837" ht="15.75" hidden="1" customHeight="1">
      <c r="B2837" s="146"/>
      <c r="C2837" s="146">
        <f t="shared" si="5"/>
        <v>10000</v>
      </c>
      <c r="D2837" s="146"/>
      <c r="E2837" s="305"/>
      <c r="F2837" s="383"/>
      <c r="G2837" s="154">
        <f>LEN('Expected Auditing Outcomes'!$F2837)</f>
        <v>0</v>
      </c>
      <c r="H2837" s="154"/>
    </row>
    <row r="2838" ht="15.75" hidden="1" customHeight="1">
      <c r="B2838" s="146"/>
      <c r="C2838" s="146">
        <f t="shared" si="5"/>
        <v>10000</v>
      </c>
      <c r="D2838" s="146"/>
      <c r="E2838" s="305"/>
      <c r="F2838" s="383"/>
      <c r="G2838" s="154">
        <f>LEN('Expected Auditing Outcomes'!$F2838)</f>
        <v>0</v>
      </c>
      <c r="H2838" s="154"/>
    </row>
    <row r="2839" ht="15.75" hidden="1" customHeight="1">
      <c r="B2839" s="146"/>
      <c r="C2839" s="146">
        <f t="shared" si="5"/>
        <v>10000</v>
      </c>
      <c r="D2839" s="146"/>
      <c r="E2839" s="305"/>
      <c r="F2839" s="383"/>
      <c r="G2839" s="154">
        <f>LEN('Expected Auditing Outcomes'!$F2839)</f>
        <v>0</v>
      </c>
      <c r="H2839" s="154"/>
    </row>
    <row r="2840" ht="15.75" hidden="1" customHeight="1">
      <c r="B2840" s="146"/>
      <c r="C2840" s="146">
        <f t="shared" si="5"/>
        <v>10000</v>
      </c>
      <c r="D2840" s="146"/>
      <c r="E2840" s="305"/>
      <c r="F2840" s="383"/>
      <c r="G2840" s="154">
        <f>LEN('Expected Auditing Outcomes'!$F2840)</f>
        <v>0</v>
      </c>
      <c r="H2840" s="154"/>
    </row>
    <row r="2841" ht="15.75" hidden="1" customHeight="1">
      <c r="B2841" s="146"/>
      <c r="C2841" s="146">
        <f t="shared" si="5"/>
        <v>10000</v>
      </c>
      <c r="D2841" s="146"/>
      <c r="E2841" s="305"/>
      <c r="F2841" s="383"/>
      <c r="G2841" s="154">
        <f>LEN('Expected Auditing Outcomes'!$F2841)</f>
        <v>0</v>
      </c>
      <c r="H2841" s="154"/>
    </row>
    <row r="2842" ht="15.75" hidden="1" customHeight="1">
      <c r="B2842" s="146"/>
      <c r="C2842" s="146">
        <f t="shared" si="5"/>
        <v>10000</v>
      </c>
      <c r="D2842" s="146"/>
      <c r="E2842" s="305"/>
      <c r="F2842" s="383"/>
      <c r="G2842" s="154">
        <f>LEN('Expected Auditing Outcomes'!$F2842)</f>
        <v>0</v>
      </c>
      <c r="H2842" s="154"/>
    </row>
    <row r="2843" ht="15.75" hidden="1" customHeight="1">
      <c r="B2843" s="146"/>
      <c r="C2843" s="146">
        <f t="shared" si="5"/>
        <v>10000</v>
      </c>
      <c r="D2843" s="146"/>
      <c r="E2843" s="305"/>
      <c r="F2843" s="383"/>
      <c r="G2843" s="154">
        <f>LEN('Expected Auditing Outcomes'!$F2843)</f>
        <v>0</v>
      </c>
      <c r="H2843" s="154"/>
    </row>
    <row r="2844" ht="15.75" hidden="1" customHeight="1">
      <c r="B2844" s="146"/>
      <c r="C2844" s="146">
        <f t="shared" si="5"/>
        <v>10000</v>
      </c>
      <c r="D2844" s="146"/>
      <c r="E2844" s="305"/>
      <c r="F2844" s="383"/>
      <c r="G2844" s="154">
        <f>LEN('Expected Auditing Outcomes'!$F2844)</f>
        <v>0</v>
      </c>
      <c r="H2844" s="154"/>
    </row>
    <row r="2845" ht="15.75" hidden="1" customHeight="1">
      <c r="B2845" s="146"/>
      <c r="C2845" s="146">
        <f t="shared" si="5"/>
        <v>10000</v>
      </c>
      <c r="D2845" s="146"/>
      <c r="E2845" s="305"/>
      <c r="F2845" s="383"/>
      <c r="G2845" s="154">
        <f>LEN('Expected Auditing Outcomes'!$F2845)</f>
        <v>0</v>
      </c>
      <c r="H2845" s="154"/>
    </row>
    <row r="2846" ht="15.75" hidden="1" customHeight="1">
      <c r="B2846" s="146"/>
      <c r="C2846" s="146">
        <f t="shared" si="5"/>
        <v>10000</v>
      </c>
      <c r="D2846" s="146"/>
      <c r="E2846" s="305"/>
      <c r="F2846" s="383"/>
      <c r="G2846" s="154">
        <f>LEN('Expected Auditing Outcomes'!$F2846)</f>
        <v>0</v>
      </c>
      <c r="H2846" s="154"/>
    </row>
    <row r="2847" ht="15.75" hidden="1" customHeight="1">
      <c r="B2847" s="146"/>
      <c r="C2847" s="146">
        <f t="shared" si="5"/>
        <v>10000</v>
      </c>
      <c r="D2847" s="146"/>
      <c r="E2847" s="305"/>
      <c r="F2847" s="383"/>
      <c r="G2847" s="154">
        <f>LEN('Expected Auditing Outcomes'!$F2847)</f>
        <v>0</v>
      </c>
      <c r="H2847" s="154"/>
    </row>
    <row r="2848" ht="15.75" hidden="1" customHeight="1">
      <c r="B2848" s="146"/>
      <c r="C2848" s="146">
        <f t="shared" si="5"/>
        <v>10000</v>
      </c>
      <c r="D2848" s="146"/>
      <c r="E2848" s="305"/>
      <c r="F2848" s="383"/>
      <c r="G2848" s="154">
        <f>LEN('Expected Auditing Outcomes'!$F2848)</f>
        <v>0</v>
      </c>
      <c r="H2848" s="154"/>
    </row>
    <row r="2849" ht="15.75" hidden="1" customHeight="1">
      <c r="B2849" s="146"/>
      <c r="C2849" s="146">
        <f t="shared" si="5"/>
        <v>10000</v>
      </c>
      <c r="D2849" s="146"/>
      <c r="E2849" s="305"/>
      <c r="F2849" s="383"/>
      <c r="G2849" s="154">
        <f>LEN('Expected Auditing Outcomes'!$F2849)</f>
        <v>0</v>
      </c>
      <c r="H2849" s="154"/>
    </row>
    <row r="2850" ht="15.75" hidden="1" customHeight="1">
      <c r="B2850" s="146"/>
      <c r="C2850" s="146">
        <f t="shared" si="5"/>
        <v>10000</v>
      </c>
      <c r="D2850" s="146"/>
      <c r="E2850" s="305"/>
      <c r="F2850" s="383"/>
      <c r="G2850" s="154">
        <f>LEN('Expected Auditing Outcomes'!$F2850)</f>
        <v>0</v>
      </c>
      <c r="H2850" s="154"/>
    </row>
    <row r="2851" ht="15.75" hidden="1" customHeight="1">
      <c r="B2851" s="146"/>
      <c r="C2851" s="146">
        <f t="shared" si="5"/>
        <v>10000</v>
      </c>
      <c r="D2851" s="146"/>
      <c r="E2851" s="305"/>
      <c r="F2851" s="383"/>
      <c r="G2851" s="154">
        <f>LEN('Expected Auditing Outcomes'!$F2851)</f>
        <v>0</v>
      </c>
      <c r="H2851" s="154"/>
    </row>
    <row r="2852" ht="15.75" hidden="1" customHeight="1">
      <c r="B2852" s="146"/>
      <c r="C2852" s="146">
        <f t="shared" si="5"/>
        <v>10000</v>
      </c>
      <c r="D2852" s="146"/>
      <c r="E2852" s="305"/>
      <c r="F2852" s="383"/>
      <c r="G2852" s="154">
        <f>LEN('Expected Auditing Outcomes'!$F2852)</f>
        <v>0</v>
      </c>
      <c r="H2852" s="154"/>
    </row>
    <row r="2853" ht="15.75" hidden="1" customHeight="1">
      <c r="B2853" s="146"/>
      <c r="C2853" s="146">
        <f t="shared" si="5"/>
        <v>10000</v>
      </c>
      <c r="D2853" s="146"/>
      <c r="E2853" s="305"/>
      <c r="F2853" s="383"/>
      <c r="G2853" s="154">
        <f>LEN('Expected Auditing Outcomes'!$F2853)</f>
        <v>0</v>
      </c>
      <c r="H2853" s="154"/>
    </row>
    <row r="2854" ht="15.75" hidden="1" customHeight="1">
      <c r="B2854" s="146"/>
      <c r="C2854" s="146">
        <f t="shared" si="5"/>
        <v>10000</v>
      </c>
      <c r="D2854" s="146"/>
      <c r="E2854" s="305"/>
      <c r="F2854" s="383"/>
      <c r="G2854" s="154">
        <f>LEN('Expected Auditing Outcomes'!$F2854)</f>
        <v>0</v>
      </c>
      <c r="H2854" s="154"/>
    </row>
    <row r="2855" ht="15.75" hidden="1" customHeight="1">
      <c r="B2855" s="146"/>
      <c r="C2855" s="146">
        <f t="shared" si="5"/>
        <v>10000</v>
      </c>
      <c r="D2855" s="146"/>
      <c r="E2855" s="305"/>
      <c r="F2855" s="383"/>
      <c r="G2855" s="154">
        <f>LEN('Expected Auditing Outcomes'!$F2855)</f>
        <v>0</v>
      </c>
      <c r="H2855" s="154"/>
    </row>
    <row r="2856" ht="15.75" hidden="1" customHeight="1">
      <c r="B2856" s="146"/>
      <c r="C2856" s="146">
        <f t="shared" si="5"/>
        <v>10000</v>
      </c>
      <c r="D2856" s="146"/>
      <c r="E2856" s="305"/>
      <c r="F2856" s="383"/>
      <c r="G2856" s="154">
        <f>LEN('Expected Auditing Outcomes'!$F2856)</f>
        <v>0</v>
      </c>
      <c r="H2856" s="154"/>
    </row>
    <row r="2857" ht="15.75" hidden="1" customHeight="1">
      <c r="B2857" s="146"/>
      <c r="C2857" s="146">
        <f t="shared" si="5"/>
        <v>10000</v>
      </c>
      <c r="D2857" s="146"/>
      <c r="E2857" s="305"/>
      <c r="F2857" s="383"/>
      <c r="G2857" s="154">
        <f>LEN('Expected Auditing Outcomes'!$F2857)</f>
        <v>0</v>
      </c>
      <c r="H2857" s="154"/>
    </row>
    <row r="2858" ht="15.75" hidden="1" customHeight="1">
      <c r="B2858" s="146"/>
      <c r="C2858" s="146">
        <f t="shared" si="5"/>
        <v>10000</v>
      </c>
      <c r="D2858" s="146"/>
      <c r="E2858" s="305"/>
      <c r="F2858" s="383"/>
      <c r="G2858" s="154">
        <f>LEN('Expected Auditing Outcomes'!$F2858)</f>
        <v>0</v>
      </c>
      <c r="H2858" s="154"/>
    </row>
    <row r="2859" ht="15.75" hidden="1" customHeight="1">
      <c r="B2859" s="146"/>
      <c r="C2859" s="146">
        <f t="shared" si="5"/>
        <v>10000</v>
      </c>
      <c r="D2859" s="146"/>
      <c r="E2859" s="305"/>
      <c r="F2859" s="383"/>
      <c r="G2859" s="154">
        <f>LEN('Expected Auditing Outcomes'!$F2859)</f>
        <v>0</v>
      </c>
      <c r="H2859" s="154"/>
    </row>
    <row r="2860" ht="15.75" hidden="1" customHeight="1">
      <c r="B2860" s="146"/>
      <c r="C2860" s="146">
        <f t="shared" si="5"/>
        <v>10000</v>
      </c>
      <c r="D2860" s="146"/>
      <c r="E2860" s="305"/>
      <c r="F2860" s="383"/>
      <c r="G2860" s="154">
        <f>LEN('Expected Auditing Outcomes'!$F2860)</f>
        <v>0</v>
      </c>
      <c r="H2860" s="154"/>
    </row>
    <row r="2861" ht="15.75" hidden="1" customHeight="1">
      <c r="B2861" s="146"/>
      <c r="C2861" s="146">
        <f t="shared" si="5"/>
        <v>10000</v>
      </c>
      <c r="D2861" s="146"/>
      <c r="E2861" s="305"/>
      <c r="F2861" s="383"/>
      <c r="G2861" s="154">
        <f>LEN('Expected Auditing Outcomes'!$F2861)</f>
        <v>0</v>
      </c>
      <c r="H2861" s="154"/>
    </row>
    <row r="2862" ht="15.75" hidden="1" customHeight="1">
      <c r="B2862" s="146"/>
      <c r="C2862" s="146">
        <f t="shared" si="5"/>
        <v>10000</v>
      </c>
      <c r="D2862" s="146"/>
      <c r="E2862" s="305"/>
      <c r="F2862" s="383"/>
      <c r="G2862" s="154">
        <f>LEN('Expected Auditing Outcomes'!$F2862)</f>
        <v>0</v>
      </c>
      <c r="H2862" s="154"/>
    </row>
    <row r="2863" ht="15.75" hidden="1" customHeight="1">
      <c r="B2863" s="146"/>
      <c r="C2863" s="146">
        <f t="shared" si="5"/>
        <v>10000</v>
      </c>
      <c r="D2863" s="146"/>
      <c r="E2863" s="305"/>
      <c r="F2863" s="383"/>
      <c r="G2863" s="154">
        <f>LEN('Expected Auditing Outcomes'!$F2863)</f>
        <v>0</v>
      </c>
      <c r="H2863" s="154"/>
    </row>
    <row r="2864" ht="15.75" hidden="1" customHeight="1">
      <c r="B2864" s="146"/>
      <c r="C2864" s="146">
        <f t="shared" si="5"/>
        <v>10000</v>
      </c>
      <c r="D2864" s="146"/>
      <c r="E2864" s="305"/>
      <c r="F2864" s="383"/>
      <c r="G2864" s="154">
        <f>LEN('Expected Auditing Outcomes'!$F2864)</f>
        <v>0</v>
      </c>
      <c r="H2864" s="154"/>
    </row>
    <row r="2865" ht="15.75" hidden="1" customHeight="1">
      <c r="B2865" s="146"/>
      <c r="C2865" s="146">
        <f t="shared" si="5"/>
        <v>10000</v>
      </c>
      <c r="D2865" s="146"/>
      <c r="E2865" s="305"/>
      <c r="F2865" s="383"/>
      <c r="G2865" s="154">
        <f>LEN('Expected Auditing Outcomes'!$F2865)</f>
        <v>0</v>
      </c>
      <c r="H2865" s="154"/>
    </row>
    <row r="2866" ht="15.75" hidden="1" customHeight="1">
      <c r="B2866" s="146"/>
      <c r="C2866" s="146">
        <f t="shared" si="5"/>
        <v>10000</v>
      </c>
      <c r="D2866" s="146"/>
      <c r="E2866" s="305"/>
      <c r="F2866" s="383"/>
      <c r="G2866" s="154">
        <f>LEN('Expected Auditing Outcomes'!$F2866)</f>
        <v>0</v>
      </c>
      <c r="H2866" s="154"/>
    </row>
    <row r="2867" ht="15.75" hidden="1" customHeight="1">
      <c r="B2867" s="146"/>
      <c r="C2867" s="146">
        <f t="shared" si="5"/>
        <v>10000</v>
      </c>
      <c r="D2867" s="146"/>
      <c r="E2867" s="305"/>
      <c r="F2867" s="383"/>
      <c r="G2867" s="154">
        <f>LEN('Expected Auditing Outcomes'!$F2867)</f>
        <v>0</v>
      </c>
      <c r="H2867" s="154"/>
    </row>
    <row r="2868" ht="15.75" hidden="1" customHeight="1">
      <c r="B2868" s="146"/>
      <c r="C2868" s="146">
        <f t="shared" si="5"/>
        <v>10000</v>
      </c>
      <c r="D2868" s="146"/>
      <c r="E2868" s="305"/>
      <c r="F2868" s="383"/>
      <c r="G2868" s="154">
        <f>LEN('Expected Auditing Outcomes'!$F2868)</f>
        <v>0</v>
      </c>
      <c r="H2868" s="154"/>
    </row>
    <row r="2869" ht="15.75" hidden="1" customHeight="1">
      <c r="B2869" s="146"/>
      <c r="C2869" s="146">
        <f t="shared" si="5"/>
        <v>10000</v>
      </c>
      <c r="D2869" s="146"/>
      <c r="E2869" s="305"/>
      <c r="F2869" s="383"/>
      <c r="G2869" s="154">
        <f>LEN('Expected Auditing Outcomes'!$F2869)</f>
        <v>0</v>
      </c>
      <c r="H2869" s="154"/>
    </row>
    <row r="2870" ht="15.75" hidden="1" customHeight="1">
      <c r="B2870" s="146"/>
      <c r="C2870" s="146">
        <f t="shared" si="5"/>
        <v>10000</v>
      </c>
      <c r="D2870" s="146"/>
      <c r="E2870" s="305"/>
      <c r="F2870" s="383"/>
      <c r="G2870" s="154">
        <f>LEN('Expected Auditing Outcomes'!$F2870)</f>
        <v>0</v>
      </c>
      <c r="H2870" s="154"/>
    </row>
    <row r="2871" ht="15.75" hidden="1" customHeight="1">
      <c r="B2871" s="146"/>
      <c r="C2871" s="146">
        <f t="shared" si="5"/>
        <v>10000</v>
      </c>
      <c r="D2871" s="146"/>
      <c r="E2871" s="305"/>
      <c r="F2871" s="383"/>
      <c r="G2871" s="154">
        <f>LEN('Expected Auditing Outcomes'!$F2871)</f>
        <v>0</v>
      </c>
      <c r="H2871" s="154"/>
    </row>
    <row r="2872" ht="15.75" hidden="1" customHeight="1">
      <c r="B2872" s="146"/>
      <c r="C2872" s="146">
        <f t="shared" si="5"/>
        <v>10000</v>
      </c>
      <c r="D2872" s="146"/>
      <c r="E2872" s="305"/>
      <c r="F2872" s="383"/>
      <c r="G2872" s="154">
        <f>LEN('Expected Auditing Outcomes'!$F2872)</f>
        <v>0</v>
      </c>
      <c r="H2872" s="154"/>
    </row>
    <row r="2873" ht="15.75" hidden="1" customHeight="1">
      <c r="B2873" s="146"/>
      <c r="C2873" s="146">
        <f t="shared" si="5"/>
        <v>10000</v>
      </c>
      <c r="D2873" s="146"/>
      <c r="E2873" s="305"/>
      <c r="F2873" s="383"/>
      <c r="G2873" s="154">
        <f>LEN('Expected Auditing Outcomes'!$F2873)</f>
        <v>0</v>
      </c>
      <c r="H2873" s="154"/>
    </row>
    <row r="2874" ht="15.75" hidden="1" customHeight="1">
      <c r="B2874" s="146"/>
      <c r="C2874" s="146">
        <f t="shared" si="5"/>
        <v>10000</v>
      </c>
      <c r="D2874" s="146"/>
      <c r="E2874" s="305"/>
      <c r="F2874" s="383"/>
      <c r="G2874" s="154">
        <f>LEN('Expected Auditing Outcomes'!$F2874)</f>
        <v>0</v>
      </c>
      <c r="H2874" s="154"/>
    </row>
    <row r="2875" ht="15.75" hidden="1" customHeight="1">
      <c r="B2875" s="146"/>
      <c r="C2875" s="146">
        <f t="shared" si="5"/>
        <v>10000</v>
      </c>
      <c r="D2875" s="146"/>
      <c r="E2875" s="305"/>
      <c r="F2875" s="383"/>
      <c r="G2875" s="154">
        <f>LEN('Expected Auditing Outcomes'!$F2875)</f>
        <v>0</v>
      </c>
      <c r="H2875" s="154"/>
    </row>
    <row r="2876" ht="15.75" hidden="1" customHeight="1">
      <c r="B2876" s="146"/>
      <c r="C2876" s="146">
        <f t="shared" si="5"/>
        <v>10000</v>
      </c>
      <c r="D2876" s="146"/>
      <c r="E2876" s="305"/>
      <c r="F2876" s="383"/>
      <c r="G2876" s="154">
        <f>LEN('Expected Auditing Outcomes'!$F2876)</f>
        <v>0</v>
      </c>
      <c r="H2876" s="154"/>
    </row>
    <row r="2877" ht="15.75" hidden="1" customHeight="1">
      <c r="B2877" s="146"/>
      <c r="C2877" s="146">
        <f t="shared" si="5"/>
        <v>10000</v>
      </c>
      <c r="D2877" s="146"/>
      <c r="E2877" s="305"/>
      <c r="F2877" s="383"/>
      <c r="G2877" s="154">
        <f>LEN('Expected Auditing Outcomes'!$F2877)</f>
        <v>0</v>
      </c>
      <c r="H2877" s="154"/>
    </row>
    <row r="2878" ht="15.75" hidden="1" customHeight="1">
      <c r="B2878" s="146"/>
      <c r="C2878" s="146">
        <f t="shared" si="5"/>
        <v>10000</v>
      </c>
      <c r="D2878" s="146"/>
      <c r="E2878" s="305"/>
      <c r="F2878" s="383"/>
      <c r="G2878" s="154">
        <f>LEN('Expected Auditing Outcomes'!$F2878)</f>
        <v>0</v>
      </c>
      <c r="H2878" s="154"/>
    </row>
    <row r="2879" ht="15.75" hidden="1" customHeight="1">
      <c r="B2879" s="146"/>
      <c r="C2879" s="146">
        <f t="shared" si="5"/>
        <v>10000</v>
      </c>
      <c r="D2879" s="146"/>
      <c r="E2879" s="305"/>
      <c r="F2879" s="383"/>
      <c r="G2879" s="154">
        <f>LEN('Expected Auditing Outcomes'!$F2879)</f>
        <v>0</v>
      </c>
      <c r="H2879" s="154"/>
    </row>
    <row r="2880" ht="15.75" hidden="1" customHeight="1">
      <c r="B2880" s="146"/>
      <c r="C2880" s="146">
        <f t="shared" si="5"/>
        <v>10000</v>
      </c>
      <c r="D2880" s="146"/>
      <c r="E2880" s="305"/>
      <c r="F2880" s="383"/>
      <c r="G2880" s="154">
        <f>LEN('Expected Auditing Outcomes'!$F2880)</f>
        <v>0</v>
      </c>
      <c r="H2880" s="154"/>
    </row>
    <row r="2881" ht="15.75" hidden="1" customHeight="1">
      <c r="B2881" s="146"/>
      <c r="C2881" s="146">
        <f t="shared" si="5"/>
        <v>10000</v>
      </c>
      <c r="D2881" s="146"/>
      <c r="E2881" s="305"/>
      <c r="F2881" s="383"/>
      <c r="G2881" s="154">
        <f>LEN('Expected Auditing Outcomes'!$F2881)</f>
        <v>0</v>
      </c>
      <c r="H2881" s="154"/>
    </row>
    <row r="2882" ht="15.75" hidden="1" customHeight="1">
      <c r="B2882" s="146"/>
      <c r="C2882" s="146">
        <f t="shared" si="5"/>
        <v>10000</v>
      </c>
      <c r="D2882" s="146"/>
      <c r="E2882" s="305"/>
      <c r="F2882" s="383"/>
      <c r="G2882" s="154">
        <f>LEN('Expected Auditing Outcomes'!$F2882)</f>
        <v>0</v>
      </c>
      <c r="H2882" s="154"/>
    </row>
    <row r="2883" ht="15.75" hidden="1" customHeight="1">
      <c r="B2883" s="146"/>
      <c r="C2883" s="146">
        <f t="shared" si="5"/>
        <v>10000</v>
      </c>
      <c r="D2883" s="146"/>
      <c r="E2883" s="305"/>
      <c r="F2883" s="383"/>
      <c r="G2883" s="154">
        <f>LEN('Expected Auditing Outcomes'!$F2883)</f>
        <v>0</v>
      </c>
      <c r="H2883" s="154"/>
    </row>
    <row r="2884" ht="15.75" hidden="1" customHeight="1">
      <c r="B2884" s="146"/>
      <c r="C2884" s="146">
        <f t="shared" si="5"/>
        <v>10000</v>
      </c>
      <c r="D2884" s="146"/>
      <c r="E2884" s="305"/>
      <c r="F2884" s="383"/>
      <c r="G2884" s="154">
        <f>LEN('Expected Auditing Outcomes'!$F2884)</f>
        <v>0</v>
      </c>
      <c r="H2884" s="154"/>
    </row>
    <row r="2885" ht="15.75" hidden="1" customHeight="1">
      <c r="B2885" s="146"/>
      <c r="C2885" s="146">
        <f t="shared" si="5"/>
        <v>10000</v>
      </c>
      <c r="D2885" s="146"/>
      <c r="E2885" s="305"/>
      <c r="F2885" s="383"/>
      <c r="G2885" s="154">
        <f>LEN('Expected Auditing Outcomes'!$F2885)</f>
        <v>0</v>
      </c>
      <c r="H2885" s="154"/>
    </row>
    <row r="2886" ht="15.75" hidden="1" customHeight="1">
      <c r="B2886" s="146"/>
      <c r="C2886" s="146">
        <f t="shared" si="5"/>
        <v>10000</v>
      </c>
      <c r="D2886" s="146"/>
      <c r="E2886" s="305"/>
      <c r="F2886" s="383"/>
      <c r="G2886" s="154">
        <f>LEN('Expected Auditing Outcomes'!$F2886)</f>
        <v>0</v>
      </c>
      <c r="H2886" s="154"/>
    </row>
    <row r="2887" ht="15.75" hidden="1" customHeight="1">
      <c r="B2887" s="146"/>
      <c r="C2887" s="146">
        <f t="shared" si="5"/>
        <v>10000</v>
      </c>
      <c r="D2887" s="146"/>
      <c r="E2887" s="305"/>
      <c r="F2887" s="383"/>
      <c r="G2887" s="154">
        <f>LEN('Expected Auditing Outcomes'!$F2887)</f>
        <v>0</v>
      </c>
      <c r="H2887" s="154"/>
    </row>
    <row r="2888" ht="15.75" hidden="1" customHeight="1">
      <c r="B2888" s="146"/>
      <c r="C2888" s="146">
        <f t="shared" si="5"/>
        <v>10000</v>
      </c>
      <c r="D2888" s="146"/>
      <c r="E2888" s="305"/>
      <c r="F2888" s="383"/>
      <c r="G2888" s="154">
        <f>LEN('Expected Auditing Outcomes'!$F2888)</f>
        <v>0</v>
      </c>
      <c r="H2888" s="154"/>
    </row>
    <row r="2889" ht="15.75" hidden="1" customHeight="1">
      <c r="B2889" s="146"/>
      <c r="C2889" s="146">
        <f t="shared" si="5"/>
        <v>10000</v>
      </c>
      <c r="D2889" s="146"/>
      <c r="E2889" s="305"/>
      <c r="F2889" s="383"/>
      <c r="G2889" s="154">
        <f>LEN('Expected Auditing Outcomes'!$F2889)</f>
        <v>0</v>
      </c>
      <c r="H2889" s="154"/>
    </row>
    <row r="2890" ht="15.75" hidden="1" customHeight="1">
      <c r="B2890" s="146"/>
      <c r="C2890" s="146">
        <f t="shared" si="5"/>
        <v>10000</v>
      </c>
      <c r="D2890" s="146"/>
      <c r="E2890" s="305"/>
      <c r="F2890" s="383"/>
      <c r="G2890" s="154">
        <f>LEN('Expected Auditing Outcomes'!$F2890)</f>
        <v>0</v>
      </c>
      <c r="H2890" s="154"/>
    </row>
    <row r="2891" ht="15.75" hidden="1" customHeight="1">
      <c r="B2891" s="146"/>
      <c r="C2891" s="146">
        <f t="shared" si="5"/>
        <v>10000</v>
      </c>
      <c r="D2891" s="146"/>
      <c r="E2891" s="305"/>
      <c r="F2891" s="383"/>
      <c r="G2891" s="154">
        <f>LEN('Expected Auditing Outcomes'!$F2891)</f>
        <v>0</v>
      </c>
      <c r="H2891" s="154"/>
    </row>
    <row r="2892" ht="15.75" hidden="1" customHeight="1">
      <c r="B2892" s="146"/>
      <c r="C2892" s="146">
        <f t="shared" si="5"/>
        <v>10000</v>
      </c>
      <c r="D2892" s="146"/>
      <c r="E2892" s="305"/>
      <c r="F2892" s="383"/>
      <c r="G2892" s="154">
        <f>LEN('Expected Auditing Outcomes'!$F2892)</f>
        <v>0</v>
      </c>
      <c r="H2892" s="154"/>
    </row>
    <row r="2893" ht="15.75" hidden="1" customHeight="1">
      <c r="B2893" s="146"/>
      <c r="C2893" s="146">
        <f t="shared" si="5"/>
        <v>10000</v>
      </c>
      <c r="D2893" s="146"/>
      <c r="E2893" s="305"/>
      <c r="F2893" s="383"/>
      <c r="G2893" s="154">
        <f>LEN('Expected Auditing Outcomes'!$F2893)</f>
        <v>0</v>
      </c>
      <c r="H2893" s="154"/>
    </row>
    <row r="2894" ht="15.75" hidden="1" customHeight="1">
      <c r="B2894" s="146"/>
      <c r="C2894" s="146">
        <f t="shared" si="5"/>
        <v>10000</v>
      </c>
      <c r="D2894" s="146"/>
      <c r="E2894" s="305"/>
      <c r="F2894" s="383"/>
      <c r="G2894" s="154">
        <f>LEN('Expected Auditing Outcomes'!$F2894)</f>
        <v>0</v>
      </c>
      <c r="H2894" s="154"/>
    </row>
    <row r="2895" ht="15.75" hidden="1" customHeight="1">
      <c r="B2895" s="146"/>
      <c r="C2895" s="146">
        <f t="shared" si="5"/>
        <v>10000</v>
      </c>
      <c r="D2895" s="146"/>
      <c r="E2895" s="305"/>
      <c r="F2895" s="383"/>
      <c r="G2895" s="154">
        <f>LEN('Expected Auditing Outcomes'!$F2895)</f>
        <v>0</v>
      </c>
      <c r="H2895" s="154"/>
    </row>
    <row r="2896" ht="15.75" hidden="1" customHeight="1">
      <c r="B2896" s="146"/>
      <c r="C2896" s="146">
        <f t="shared" si="5"/>
        <v>10000</v>
      </c>
      <c r="D2896" s="146"/>
      <c r="E2896" s="305"/>
      <c r="F2896" s="383"/>
      <c r="G2896" s="154">
        <f>LEN('Expected Auditing Outcomes'!$F2896)</f>
        <v>0</v>
      </c>
      <c r="H2896" s="154"/>
    </row>
    <row r="2897" ht="15.75" hidden="1" customHeight="1">
      <c r="B2897" s="146"/>
      <c r="C2897" s="146">
        <f t="shared" si="5"/>
        <v>10000</v>
      </c>
      <c r="D2897" s="146"/>
      <c r="E2897" s="305"/>
      <c r="F2897" s="383"/>
      <c r="G2897" s="154">
        <f>LEN('Expected Auditing Outcomes'!$F2897)</f>
        <v>0</v>
      </c>
      <c r="H2897" s="154"/>
    </row>
    <row r="2898" ht="15.75" hidden="1" customHeight="1">
      <c r="B2898" s="146"/>
      <c r="C2898" s="146">
        <f t="shared" si="5"/>
        <v>10000</v>
      </c>
      <c r="D2898" s="146"/>
      <c r="E2898" s="305"/>
      <c r="F2898" s="383"/>
      <c r="G2898" s="154">
        <f>LEN('Expected Auditing Outcomes'!$F2898)</f>
        <v>0</v>
      </c>
      <c r="H2898" s="154"/>
    </row>
    <row r="2899" ht="15.75" hidden="1" customHeight="1">
      <c r="B2899" s="146"/>
      <c r="C2899" s="146">
        <f t="shared" si="5"/>
        <v>10000</v>
      </c>
      <c r="D2899" s="146"/>
      <c r="E2899" s="305"/>
      <c r="F2899" s="383"/>
      <c r="G2899" s="154">
        <f>LEN('Expected Auditing Outcomes'!$F2899)</f>
        <v>0</v>
      </c>
      <c r="H2899" s="154"/>
    </row>
    <row r="2900" ht="15.75" hidden="1" customHeight="1">
      <c r="B2900" s="146"/>
      <c r="C2900" s="146">
        <f t="shared" si="5"/>
        <v>10000</v>
      </c>
      <c r="D2900" s="146"/>
      <c r="E2900" s="305"/>
      <c r="F2900" s="383"/>
      <c r="G2900" s="154">
        <f>LEN('Expected Auditing Outcomes'!$F2900)</f>
        <v>0</v>
      </c>
      <c r="H2900" s="154"/>
    </row>
    <row r="2901" ht="15.75" hidden="1" customHeight="1">
      <c r="B2901" s="146"/>
      <c r="C2901" s="146">
        <f t="shared" si="5"/>
        <v>10000</v>
      </c>
      <c r="D2901" s="146"/>
      <c r="E2901" s="305"/>
      <c r="F2901" s="383"/>
      <c r="G2901" s="154">
        <f>LEN('Expected Auditing Outcomes'!$F2901)</f>
        <v>0</v>
      </c>
      <c r="H2901" s="154"/>
    </row>
    <row r="2902" ht="15.75" hidden="1" customHeight="1">
      <c r="B2902" s="146"/>
      <c r="C2902" s="146">
        <f t="shared" si="5"/>
        <v>10000</v>
      </c>
      <c r="D2902" s="146"/>
      <c r="E2902" s="305"/>
      <c r="F2902" s="383"/>
      <c r="G2902" s="154">
        <f>LEN('Expected Auditing Outcomes'!$F2902)</f>
        <v>0</v>
      </c>
      <c r="H2902" s="154"/>
    </row>
    <row r="2903" ht="15.75" hidden="1" customHeight="1">
      <c r="B2903" s="146"/>
      <c r="C2903" s="146">
        <f t="shared" si="5"/>
        <v>10000</v>
      </c>
      <c r="D2903" s="146"/>
      <c r="E2903" s="305"/>
      <c r="F2903" s="383"/>
      <c r="G2903" s="154">
        <f>LEN('Expected Auditing Outcomes'!$F2903)</f>
        <v>0</v>
      </c>
      <c r="H2903" s="154"/>
    </row>
    <row r="2904" ht="15.75" hidden="1" customHeight="1">
      <c r="B2904" s="146"/>
      <c r="C2904" s="146">
        <f t="shared" si="5"/>
        <v>10000</v>
      </c>
      <c r="D2904" s="146"/>
      <c r="E2904" s="305"/>
      <c r="F2904" s="383"/>
      <c r="G2904" s="154">
        <f>LEN('Expected Auditing Outcomes'!$F2904)</f>
        <v>0</v>
      </c>
      <c r="H2904" s="154"/>
    </row>
    <row r="2905" ht="15.75" hidden="1" customHeight="1">
      <c r="B2905" s="146"/>
      <c r="C2905" s="146">
        <f t="shared" si="5"/>
        <v>10000</v>
      </c>
      <c r="D2905" s="146"/>
      <c r="E2905" s="305"/>
      <c r="F2905" s="383"/>
      <c r="G2905" s="154">
        <f>LEN('Expected Auditing Outcomes'!$F2905)</f>
        <v>0</v>
      </c>
      <c r="H2905" s="154"/>
    </row>
    <row r="2906" ht="15.75" hidden="1" customHeight="1">
      <c r="B2906" s="146"/>
      <c r="C2906" s="146">
        <f t="shared" si="5"/>
        <v>10000</v>
      </c>
      <c r="D2906" s="146"/>
      <c r="E2906" s="305"/>
      <c r="F2906" s="383"/>
      <c r="G2906" s="154">
        <f>LEN('Expected Auditing Outcomes'!$F2906)</f>
        <v>0</v>
      </c>
      <c r="H2906" s="154"/>
    </row>
    <row r="2907" ht="15.75" hidden="1" customHeight="1">
      <c r="B2907" s="146"/>
      <c r="C2907" s="146">
        <f t="shared" si="5"/>
        <v>10000</v>
      </c>
      <c r="D2907" s="146"/>
      <c r="E2907" s="305"/>
      <c r="F2907" s="383"/>
      <c r="G2907" s="154">
        <f>LEN('Expected Auditing Outcomes'!$F2907)</f>
        <v>0</v>
      </c>
      <c r="H2907" s="154"/>
    </row>
    <row r="2908" ht="15.75" hidden="1" customHeight="1">
      <c r="B2908" s="146"/>
      <c r="C2908" s="146">
        <f t="shared" si="5"/>
        <v>10000</v>
      </c>
      <c r="D2908" s="146"/>
      <c r="E2908" s="305"/>
      <c r="F2908" s="383"/>
      <c r="G2908" s="154">
        <f>LEN('Expected Auditing Outcomes'!$F2908)</f>
        <v>0</v>
      </c>
      <c r="H2908" s="154"/>
    </row>
    <row r="2909" ht="15.75" hidden="1" customHeight="1">
      <c r="B2909" s="146"/>
      <c r="C2909" s="146">
        <f t="shared" si="5"/>
        <v>10000</v>
      </c>
      <c r="D2909" s="146"/>
      <c r="E2909" s="305"/>
      <c r="F2909" s="383"/>
      <c r="G2909" s="154">
        <f>LEN('Expected Auditing Outcomes'!$F2909)</f>
        <v>0</v>
      </c>
      <c r="H2909" s="154"/>
    </row>
    <row r="2910" ht="15.75" hidden="1" customHeight="1">
      <c r="B2910" s="146"/>
      <c r="C2910" s="146">
        <f t="shared" si="5"/>
        <v>10000</v>
      </c>
      <c r="D2910" s="146"/>
      <c r="E2910" s="305"/>
      <c r="F2910" s="383"/>
      <c r="G2910" s="154">
        <f>LEN('Expected Auditing Outcomes'!$F2910)</f>
        <v>0</v>
      </c>
      <c r="H2910" s="154"/>
    </row>
    <row r="2911" ht="15.75" hidden="1" customHeight="1">
      <c r="B2911" s="146"/>
      <c r="C2911" s="146">
        <f t="shared" si="5"/>
        <v>10000</v>
      </c>
      <c r="D2911" s="146"/>
      <c r="E2911" s="305"/>
      <c r="F2911" s="383"/>
      <c r="G2911" s="154">
        <f>LEN('Expected Auditing Outcomes'!$F2911)</f>
        <v>0</v>
      </c>
      <c r="H2911" s="154"/>
    </row>
    <row r="2912" ht="15.75" hidden="1" customHeight="1">
      <c r="B2912" s="146"/>
      <c r="C2912" s="146">
        <f t="shared" si="5"/>
        <v>10000</v>
      </c>
      <c r="D2912" s="146"/>
      <c r="E2912" s="305"/>
      <c r="F2912" s="383"/>
      <c r="G2912" s="154">
        <f>LEN('Expected Auditing Outcomes'!$F2912)</f>
        <v>0</v>
      </c>
      <c r="H2912" s="154"/>
    </row>
    <row r="2913" ht="15.75" hidden="1" customHeight="1">
      <c r="B2913" s="146"/>
      <c r="C2913" s="146">
        <f t="shared" si="5"/>
        <v>10000</v>
      </c>
      <c r="D2913" s="146"/>
      <c r="E2913" s="305"/>
      <c r="F2913" s="383"/>
      <c r="G2913" s="154">
        <f>LEN('Expected Auditing Outcomes'!$F2913)</f>
        <v>0</v>
      </c>
      <c r="H2913" s="154"/>
    </row>
    <row r="2914" ht="15.75" hidden="1" customHeight="1">
      <c r="B2914" s="146"/>
      <c r="C2914" s="146">
        <f t="shared" si="5"/>
        <v>10000</v>
      </c>
      <c r="D2914" s="146"/>
      <c r="E2914" s="305"/>
      <c r="F2914" s="383"/>
      <c r="G2914" s="154">
        <f>LEN('Expected Auditing Outcomes'!$F2914)</f>
        <v>0</v>
      </c>
      <c r="H2914" s="154"/>
    </row>
    <row r="2915" ht="15.75" hidden="1" customHeight="1">
      <c r="B2915" s="146"/>
      <c r="C2915" s="146">
        <f t="shared" si="5"/>
        <v>10000</v>
      </c>
      <c r="D2915" s="146"/>
      <c r="E2915" s="305"/>
      <c r="F2915" s="383"/>
      <c r="G2915" s="154">
        <f>LEN('Expected Auditing Outcomes'!$F2915)</f>
        <v>0</v>
      </c>
      <c r="H2915" s="154"/>
    </row>
    <row r="2916" ht="15.75" hidden="1" customHeight="1">
      <c r="B2916" s="146"/>
      <c r="C2916" s="146">
        <f t="shared" si="5"/>
        <v>10000</v>
      </c>
      <c r="D2916" s="146"/>
      <c r="E2916" s="305"/>
      <c r="F2916" s="383"/>
      <c r="G2916" s="154">
        <f>LEN('Expected Auditing Outcomes'!$F2916)</f>
        <v>0</v>
      </c>
      <c r="H2916" s="154"/>
    </row>
    <row r="2917" ht="15.75" hidden="1" customHeight="1">
      <c r="B2917" s="146"/>
      <c r="C2917" s="146">
        <f t="shared" si="5"/>
        <v>10000</v>
      </c>
      <c r="D2917" s="146"/>
      <c r="E2917" s="305"/>
      <c r="F2917" s="383"/>
      <c r="G2917" s="154">
        <f>LEN('Expected Auditing Outcomes'!$F2917)</f>
        <v>0</v>
      </c>
      <c r="H2917" s="154"/>
    </row>
    <row r="2918" ht="15.75" hidden="1" customHeight="1">
      <c r="B2918" s="146"/>
      <c r="C2918" s="146">
        <f t="shared" si="5"/>
        <v>10000</v>
      </c>
      <c r="D2918" s="146"/>
      <c r="E2918" s="305"/>
      <c r="F2918" s="383"/>
      <c r="G2918" s="154">
        <f>LEN('Expected Auditing Outcomes'!$F2918)</f>
        <v>0</v>
      </c>
      <c r="H2918" s="154"/>
    </row>
    <row r="2919" ht="15.75" hidden="1" customHeight="1">
      <c r="B2919" s="146"/>
      <c r="C2919" s="146">
        <f t="shared" si="5"/>
        <v>10000</v>
      </c>
      <c r="D2919" s="146"/>
      <c r="E2919" s="305"/>
      <c r="F2919" s="383"/>
      <c r="G2919" s="154">
        <f>LEN('Expected Auditing Outcomes'!$F2919)</f>
        <v>0</v>
      </c>
      <c r="H2919" s="154"/>
    </row>
    <row r="2920" ht="15.75" hidden="1" customHeight="1">
      <c r="B2920" s="146"/>
      <c r="C2920" s="146">
        <f t="shared" si="5"/>
        <v>10000</v>
      </c>
      <c r="D2920" s="146"/>
      <c r="E2920" s="305"/>
      <c r="F2920" s="383"/>
      <c r="G2920" s="154">
        <f>LEN('Expected Auditing Outcomes'!$F2920)</f>
        <v>0</v>
      </c>
      <c r="H2920" s="154"/>
    </row>
    <row r="2921" ht="15.75" hidden="1" customHeight="1">
      <c r="B2921" s="146"/>
      <c r="C2921" s="146">
        <f t="shared" si="5"/>
        <v>10000</v>
      </c>
      <c r="D2921" s="146"/>
      <c r="E2921" s="305"/>
      <c r="F2921" s="383"/>
      <c r="G2921" s="154">
        <f>LEN('Expected Auditing Outcomes'!$F2921)</f>
        <v>0</v>
      </c>
      <c r="H2921" s="154"/>
    </row>
    <row r="2922" ht="15.75" hidden="1" customHeight="1">
      <c r="B2922" s="146"/>
      <c r="C2922" s="146">
        <f t="shared" si="5"/>
        <v>10000</v>
      </c>
      <c r="D2922" s="146"/>
      <c r="E2922" s="305"/>
      <c r="F2922" s="383"/>
      <c r="G2922" s="154">
        <f>LEN('Expected Auditing Outcomes'!$F2922)</f>
        <v>0</v>
      </c>
      <c r="H2922" s="154"/>
    </row>
    <row r="2923" ht="15.75" hidden="1" customHeight="1">
      <c r="B2923" s="146"/>
      <c r="C2923" s="146">
        <f t="shared" si="5"/>
        <v>10000</v>
      </c>
      <c r="D2923" s="146"/>
      <c r="E2923" s="305"/>
      <c r="F2923" s="383"/>
      <c r="G2923" s="154">
        <f>LEN('Expected Auditing Outcomes'!$F2923)</f>
        <v>0</v>
      </c>
      <c r="H2923" s="154"/>
    </row>
    <row r="2924" ht="15.75" hidden="1" customHeight="1">
      <c r="B2924" s="146"/>
      <c r="C2924" s="146">
        <f t="shared" si="5"/>
        <v>10000</v>
      </c>
      <c r="D2924" s="146"/>
      <c r="E2924" s="305"/>
      <c r="F2924" s="383"/>
      <c r="G2924" s="154">
        <f>LEN('Expected Auditing Outcomes'!$F2924)</f>
        <v>0</v>
      </c>
      <c r="H2924" s="154"/>
    </row>
    <row r="2925" ht="15.75" hidden="1" customHeight="1">
      <c r="B2925" s="146"/>
      <c r="C2925" s="146">
        <f t="shared" si="5"/>
        <v>10000</v>
      </c>
      <c r="D2925" s="146"/>
      <c r="E2925" s="305"/>
      <c r="F2925" s="383"/>
      <c r="G2925" s="154">
        <f>LEN('Expected Auditing Outcomes'!$F2925)</f>
        <v>0</v>
      </c>
      <c r="H2925" s="154"/>
    </row>
    <row r="2926" ht="15.75" hidden="1" customHeight="1">
      <c r="B2926" s="146"/>
      <c r="C2926" s="146">
        <f t="shared" si="5"/>
        <v>10000</v>
      </c>
      <c r="D2926" s="146"/>
      <c r="E2926" s="305"/>
      <c r="F2926" s="383"/>
      <c r="G2926" s="154">
        <f>LEN('Expected Auditing Outcomes'!$F2926)</f>
        <v>0</v>
      </c>
      <c r="H2926" s="154"/>
    </row>
    <row r="2927" ht="15.75" hidden="1" customHeight="1">
      <c r="B2927" s="146"/>
      <c r="C2927" s="146">
        <f t="shared" si="5"/>
        <v>10000</v>
      </c>
      <c r="D2927" s="146"/>
      <c r="E2927" s="305"/>
      <c r="F2927" s="383"/>
      <c r="G2927" s="154">
        <f>LEN('Expected Auditing Outcomes'!$F2927)</f>
        <v>0</v>
      </c>
      <c r="H2927" s="154"/>
    </row>
    <row r="2928" ht="15.75" hidden="1" customHeight="1">
      <c r="B2928" s="146"/>
      <c r="C2928" s="146">
        <f t="shared" si="5"/>
        <v>10000</v>
      </c>
      <c r="D2928" s="146"/>
      <c r="E2928" s="305"/>
      <c r="F2928" s="383"/>
      <c r="G2928" s="154">
        <f>LEN('Expected Auditing Outcomes'!$F2928)</f>
        <v>0</v>
      </c>
      <c r="H2928" s="154"/>
    </row>
    <row r="2929" ht="15.75" hidden="1" customHeight="1">
      <c r="B2929" s="146"/>
      <c r="C2929" s="146">
        <f t="shared" si="5"/>
        <v>10000</v>
      </c>
      <c r="D2929" s="146"/>
      <c r="E2929" s="305"/>
      <c r="F2929" s="383"/>
      <c r="G2929" s="154">
        <f>LEN('Expected Auditing Outcomes'!$F2929)</f>
        <v>0</v>
      </c>
      <c r="H2929" s="154"/>
    </row>
    <row r="2930" ht="15.75" hidden="1" customHeight="1">
      <c r="B2930" s="146"/>
      <c r="C2930" s="146">
        <f t="shared" si="5"/>
        <v>10000</v>
      </c>
      <c r="D2930" s="146"/>
      <c r="E2930" s="305"/>
      <c r="F2930" s="383"/>
      <c r="G2930" s="154">
        <f>LEN('Expected Auditing Outcomes'!$F2930)</f>
        <v>0</v>
      </c>
      <c r="H2930" s="154"/>
    </row>
    <row r="2931" ht="15.75" hidden="1" customHeight="1">
      <c r="B2931" s="146"/>
      <c r="C2931" s="146">
        <f t="shared" si="5"/>
        <v>10000</v>
      </c>
      <c r="D2931" s="146"/>
      <c r="E2931" s="305"/>
      <c r="F2931" s="383"/>
      <c r="G2931" s="154">
        <f>LEN('Expected Auditing Outcomes'!$F2931)</f>
        <v>0</v>
      </c>
      <c r="H2931" s="154"/>
    </row>
    <row r="2932" ht="15.75" hidden="1" customHeight="1">
      <c r="B2932" s="146"/>
      <c r="C2932" s="146">
        <f t="shared" si="5"/>
        <v>10000</v>
      </c>
      <c r="D2932" s="146"/>
      <c r="E2932" s="305"/>
      <c r="F2932" s="383"/>
      <c r="G2932" s="154">
        <f>LEN('Expected Auditing Outcomes'!$F2932)</f>
        <v>0</v>
      </c>
      <c r="H2932" s="154"/>
    </row>
    <row r="2933" ht="15.75" hidden="1" customHeight="1">
      <c r="B2933" s="146"/>
      <c r="C2933" s="146">
        <f t="shared" si="5"/>
        <v>10000</v>
      </c>
      <c r="D2933" s="146"/>
      <c r="E2933" s="305"/>
      <c r="F2933" s="383"/>
      <c r="G2933" s="154">
        <f>LEN('Expected Auditing Outcomes'!$F2933)</f>
        <v>0</v>
      </c>
      <c r="H2933" s="154"/>
    </row>
    <row r="2934" ht="15.75" hidden="1" customHeight="1">
      <c r="B2934" s="146"/>
      <c r="C2934" s="146">
        <f t="shared" si="5"/>
        <v>10000</v>
      </c>
      <c r="D2934" s="146"/>
      <c r="E2934" s="305"/>
      <c r="F2934" s="383"/>
      <c r="G2934" s="154">
        <f>LEN('Expected Auditing Outcomes'!$F2934)</f>
        <v>0</v>
      </c>
      <c r="H2934" s="154"/>
    </row>
    <row r="2935" ht="15.75" hidden="1" customHeight="1">
      <c r="B2935" s="146"/>
      <c r="C2935" s="146">
        <f t="shared" si="5"/>
        <v>10000</v>
      </c>
      <c r="D2935" s="146"/>
      <c r="E2935" s="305"/>
      <c r="F2935" s="383"/>
      <c r="G2935" s="154">
        <f>LEN('Expected Auditing Outcomes'!$F2935)</f>
        <v>0</v>
      </c>
      <c r="H2935" s="154"/>
    </row>
    <row r="2936" ht="15.75" hidden="1" customHeight="1">
      <c r="B2936" s="146"/>
      <c r="C2936" s="146">
        <f t="shared" si="5"/>
        <v>10000</v>
      </c>
      <c r="D2936" s="146"/>
      <c r="E2936" s="305"/>
      <c r="F2936" s="383"/>
      <c r="G2936" s="154">
        <f>LEN('Expected Auditing Outcomes'!$F2936)</f>
        <v>0</v>
      </c>
      <c r="H2936" s="154"/>
    </row>
    <row r="2937" ht="15.75" hidden="1" customHeight="1">
      <c r="B2937" s="146"/>
      <c r="C2937" s="146">
        <f t="shared" si="5"/>
        <v>10000</v>
      </c>
      <c r="D2937" s="146"/>
      <c r="E2937" s="305"/>
      <c r="F2937" s="383"/>
      <c r="G2937" s="154">
        <f>LEN('Expected Auditing Outcomes'!$F2937)</f>
        <v>0</v>
      </c>
      <c r="H2937" s="154"/>
    </row>
    <row r="2938" ht="15.75" hidden="1" customHeight="1">
      <c r="B2938" s="146"/>
      <c r="C2938" s="146">
        <f t="shared" si="5"/>
        <v>10000</v>
      </c>
      <c r="D2938" s="146"/>
      <c r="E2938" s="305"/>
      <c r="F2938" s="383"/>
      <c r="G2938" s="154">
        <f>LEN('Expected Auditing Outcomes'!$F2938)</f>
        <v>0</v>
      </c>
      <c r="H2938" s="154"/>
    </row>
    <row r="2939" ht="15.75" hidden="1" customHeight="1">
      <c r="B2939" s="146"/>
      <c r="C2939" s="146">
        <f t="shared" si="5"/>
        <v>10000</v>
      </c>
      <c r="D2939" s="146"/>
      <c r="E2939" s="305"/>
      <c r="F2939" s="383"/>
      <c r="G2939" s="154">
        <f>LEN('Expected Auditing Outcomes'!$F2939)</f>
        <v>0</v>
      </c>
      <c r="H2939" s="154"/>
    </row>
    <row r="2940" ht="15.75" hidden="1" customHeight="1">
      <c r="B2940" s="146"/>
      <c r="C2940" s="146">
        <f t="shared" si="5"/>
        <v>10000</v>
      </c>
      <c r="D2940" s="146"/>
      <c r="E2940" s="305"/>
      <c r="F2940" s="383"/>
      <c r="G2940" s="154">
        <f>LEN('Expected Auditing Outcomes'!$F2940)</f>
        <v>0</v>
      </c>
      <c r="H2940" s="154"/>
    </row>
    <row r="2941" ht="15.75" hidden="1" customHeight="1">
      <c r="B2941" s="146"/>
      <c r="C2941" s="146">
        <f t="shared" si="5"/>
        <v>10000</v>
      </c>
      <c r="D2941" s="146"/>
      <c r="E2941" s="305"/>
      <c r="F2941" s="383"/>
      <c r="G2941" s="154">
        <f>LEN('Expected Auditing Outcomes'!$F2941)</f>
        <v>0</v>
      </c>
      <c r="H2941" s="154"/>
    </row>
    <row r="2942" ht="15.75" hidden="1" customHeight="1">
      <c r="B2942" s="146"/>
      <c r="C2942" s="146">
        <f t="shared" si="5"/>
        <v>10000</v>
      </c>
      <c r="D2942" s="146"/>
      <c r="E2942" s="305"/>
      <c r="F2942" s="383"/>
      <c r="G2942" s="154">
        <f>LEN('Expected Auditing Outcomes'!$F2942)</f>
        <v>0</v>
      </c>
      <c r="H2942" s="154"/>
    </row>
    <row r="2943" ht="15.75" hidden="1" customHeight="1">
      <c r="B2943" s="146"/>
      <c r="C2943" s="146">
        <f t="shared" si="5"/>
        <v>10000</v>
      </c>
      <c r="D2943" s="146"/>
      <c r="E2943" s="305"/>
      <c r="F2943" s="383"/>
      <c r="G2943" s="154">
        <f>LEN('Expected Auditing Outcomes'!$F2943)</f>
        <v>0</v>
      </c>
      <c r="H2943" s="154"/>
    </row>
    <row r="2944" ht="15.75" hidden="1" customHeight="1">
      <c r="B2944" s="146"/>
      <c r="C2944" s="146">
        <f t="shared" si="5"/>
        <v>10000</v>
      </c>
      <c r="D2944" s="146"/>
      <c r="E2944" s="305"/>
      <c r="F2944" s="383"/>
      <c r="G2944" s="154">
        <f>LEN('Expected Auditing Outcomes'!$F2944)</f>
        <v>0</v>
      </c>
      <c r="H2944" s="154"/>
    </row>
    <row r="2945" ht="15.75" hidden="1" customHeight="1">
      <c r="B2945" s="146"/>
      <c r="C2945" s="146">
        <f t="shared" si="5"/>
        <v>10000</v>
      </c>
      <c r="D2945" s="146"/>
      <c r="E2945" s="305"/>
      <c r="F2945" s="383"/>
      <c r="G2945" s="154">
        <f>LEN('Expected Auditing Outcomes'!$F2945)</f>
        <v>0</v>
      </c>
      <c r="H2945" s="154"/>
    </row>
    <row r="2946" ht="15.75" hidden="1" customHeight="1">
      <c r="B2946" s="146"/>
      <c r="C2946" s="146">
        <f t="shared" si="5"/>
        <v>10000</v>
      </c>
      <c r="D2946" s="146"/>
      <c r="E2946" s="305"/>
      <c r="F2946" s="383"/>
      <c r="G2946" s="154">
        <f>LEN('Expected Auditing Outcomes'!$F2946)</f>
        <v>0</v>
      </c>
      <c r="H2946" s="154"/>
    </row>
    <row r="2947" ht="15.75" hidden="1" customHeight="1">
      <c r="B2947" s="146"/>
      <c r="C2947" s="146">
        <f t="shared" si="5"/>
        <v>10000</v>
      </c>
      <c r="D2947" s="146"/>
      <c r="E2947" s="305"/>
      <c r="F2947" s="383"/>
      <c r="G2947" s="154">
        <f>LEN('Expected Auditing Outcomes'!$F2947)</f>
        <v>0</v>
      </c>
      <c r="H2947" s="154"/>
    </row>
    <row r="2948" ht="15.75" hidden="1" customHeight="1">
      <c r="B2948" s="146"/>
      <c r="C2948" s="146">
        <f t="shared" si="5"/>
        <v>10000</v>
      </c>
      <c r="D2948" s="146"/>
      <c r="E2948" s="305"/>
      <c r="F2948" s="383"/>
      <c r="G2948" s="154">
        <f>LEN('Expected Auditing Outcomes'!$F2948)</f>
        <v>0</v>
      </c>
      <c r="H2948" s="154"/>
    </row>
    <row r="2949" ht="15.75" hidden="1" customHeight="1">
      <c r="B2949" s="146"/>
      <c r="C2949" s="146">
        <f t="shared" si="5"/>
        <v>10000</v>
      </c>
      <c r="D2949" s="146"/>
      <c r="E2949" s="305"/>
      <c r="F2949" s="383"/>
      <c r="G2949" s="154">
        <f>LEN('Expected Auditing Outcomes'!$F2949)</f>
        <v>0</v>
      </c>
      <c r="H2949" s="154"/>
    </row>
    <row r="2950" ht="15.75" hidden="1" customHeight="1">
      <c r="B2950" s="146"/>
      <c r="C2950" s="146">
        <f t="shared" si="5"/>
        <v>10000</v>
      </c>
      <c r="D2950" s="146"/>
      <c r="E2950" s="305"/>
      <c r="F2950" s="383"/>
      <c r="G2950" s="154">
        <f>LEN('Expected Auditing Outcomes'!$F2950)</f>
        <v>0</v>
      </c>
      <c r="H2950" s="154"/>
    </row>
    <row r="2951" ht="15.75" hidden="1" customHeight="1">
      <c r="B2951" s="146"/>
      <c r="C2951" s="146">
        <f t="shared" si="5"/>
        <v>10000</v>
      </c>
      <c r="D2951" s="146"/>
      <c r="E2951" s="305"/>
      <c r="F2951" s="383"/>
      <c r="G2951" s="154">
        <f>LEN('Expected Auditing Outcomes'!$F2951)</f>
        <v>0</v>
      </c>
      <c r="H2951" s="154"/>
    </row>
    <row r="2952" ht="15.75" hidden="1" customHeight="1">
      <c r="B2952" s="146"/>
      <c r="C2952" s="146">
        <f t="shared" si="5"/>
        <v>10000</v>
      </c>
      <c r="D2952" s="146"/>
      <c r="E2952" s="305"/>
      <c r="F2952" s="383"/>
      <c r="G2952" s="154">
        <f>LEN('Expected Auditing Outcomes'!$F2952)</f>
        <v>0</v>
      </c>
      <c r="H2952" s="154"/>
    </row>
    <row r="2953" ht="15.75" hidden="1" customHeight="1">
      <c r="B2953" s="146"/>
      <c r="C2953" s="146">
        <f t="shared" si="5"/>
        <v>10000</v>
      </c>
      <c r="D2953" s="146"/>
      <c r="E2953" s="305"/>
      <c r="F2953" s="383"/>
      <c r="G2953" s="154">
        <f>LEN('Expected Auditing Outcomes'!$F2953)</f>
        <v>0</v>
      </c>
      <c r="H2953" s="154"/>
    </row>
    <row r="2954" ht="15.75" hidden="1" customHeight="1">
      <c r="B2954" s="146"/>
      <c r="C2954" s="146">
        <f t="shared" si="5"/>
        <v>10000</v>
      </c>
      <c r="D2954" s="146"/>
      <c r="E2954" s="305"/>
      <c r="F2954" s="383"/>
      <c r="G2954" s="154">
        <f>LEN('Expected Auditing Outcomes'!$F2954)</f>
        <v>0</v>
      </c>
      <c r="H2954" s="154"/>
    </row>
    <row r="2955" ht="15.75" hidden="1" customHeight="1">
      <c r="B2955" s="146"/>
      <c r="C2955" s="146">
        <f t="shared" si="5"/>
        <v>10000</v>
      </c>
      <c r="D2955" s="146"/>
      <c r="E2955" s="305"/>
      <c r="F2955" s="383"/>
      <c r="G2955" s="154">
        <f>LEN('Expected Auditing Outcomes'!$F2955)</f>
        <v>0</v>
      </c>
      <c r="H2955" s="154"/>
    </row>
    <row r="2956" ht="15.75" hidden="1" customHeight="1">
      <c r="B2956" s="146"/>
      <c r="C2956" s="146">
        <f t="shared" si="5"/>
        <v>10000</v>
      </c>
      <c r="D2956" s="146"/>
      <c r="E2956" s="305"/>
      <c r="F2956" s="383"/>
      <c r="G2956" s="154">
        <f>LEN('Expected Auditing Outcomes'!$F2956)</f>
        <v>0</v>
      </c>
      <c r="H2956" s="154"/>
    </row>
    <row r="2957" ht="15.75" hidden="1" customHeight="1">
      <c r="B2957" s="146"/>
      <c r="C2957" s="146">
        <f t="shared" si="5"/>
        <v>10000</v>
      </c>
      <c r="D2957" s="146"/>
      <c r="E2957" s="305"/>
      <c r="F2957" s="383"/>
      <c r="G2957" s="154">
        <f>LEN('Expected Auditing Outcomes'!$F2957)</f>
        <v>0</v>
      </c>
      <c r="H2957" s="154"/>
    </row>
    <row r="2958" ht="15.75" hidden="1" customHeight="1">
      <c r="B2958" s="146"/>
      <c r="C2958" s="146">
        <f t="shared" si="5"/>
        <v>10000</v>
      </c>
      <c r="D2958" s="146"/>
      <c r="E2958" s="305"/>
      <c r="F2958" s="383"/>
      <c r="G2958" s="154">
        <f>LEN('Expected Auditing Outcomes'!$F2958)</f>
        <v>0</v>
      </c>
      <c r="H2958" s="154"/>
    </row>
    <row r="2959" ht="15.75" hidden="1" customHeight="1">
      <c r="B2959" s="146"/>
      <c r="C2959" s="146">
        <f t="shared" si="5"/>
        <v>10000</v>
      </c>
      <c r="D2959" s="146"/>
      <c r="E2959" s="305"/>
      <c r="F2959" s="383"/>
      <c r="G2959" s="154">
        <f>LEN('Expected Auditing Outcomes'!$F2959)</f>
        <v>0</v>
      </c>
      <c r="H2959" s="154"/>
    </row>
    <row r="2960" ht="15.75" hidden="1" customHeight="1">
      <c r="B2960" s="146"/>
      <c r="C2960" s="146">
        <f t="shared" si="5"/>
        <v>10000</v>
      </c>
      <c r="D2960" s="146"/>
      <c r="E2960" s="305"/>
      <c r="F2960" s="383"/>
      <c r="G2960" s="154">
        <f>LEN('Expected Auditing Outcomes'!$F2960)</f>
        <v>0</v>
      </c>
      <c r="H2960" s="154"/>
    </row>
    <row r="2961" ht="15.75" hidden="1" customHeight="1">
      <c r="B2961" s="146"/>
      <c r="C2961" s="146">
        <f t="shared" si="5"/>
        <v>10000</v>
      </c>
      <c r="D2961" s="146"/>
      <c r="E2961" s="305"/>
      <c r="F2961" s="383"/>
      <c r="G2961" s="154">
        <f>LEN('Expected Auditing Outcomes'!$F2961)</f>
        <v>0</v>
      </c>
      <c r="H2961" s="154"/>
    </row>
    <row r="2962" ht="15.75" hidden="1" customHeight="1">
      <c r="B2962" s="146"/>
      <c r="C2962" s="146">
        <f t="shared" si="5"/>
        <v>10000</v>
      </c>
      <c r="D2962" s="146"/>
      <c r="E2962" s="305"/>
      <c r="F2962" s="383"/>
      <c r="G2962" s="154">
        <f>LEN('Expected Auditing Outcomes'!$F2962)</f>
        <v>0</v>
      </c>
      <c r="H2962" s="154"/>
    </row>
    <row r="2963" ht="15.75" hidden="1" customHeight="1">
      <c r="B2963" s="146"/>
      <c r="C2963" s="146">
        <f t="shared" si="5"/>
        <v>10000</v>
      </c>
      <c r="D2963" s="146"/>
      <c r="E2963" s="305"/>
      <c r="F2963" s="383"/>
      <c r="G2963" s="154">
        <f>LEN('Expected Auditing Outcomes'!$F2963)</f>
        <v>0</v>
      </c>
      <c r="H2963" s="154"/>
    </row>
    <row r="2964" ht="15.75" hidden="1" customHeight="1">
      <c r="B2964" s="146"/>
      <c r="C2964" s="146">
        <f t="shared" si="5"/>
        <v>10000</v>
      </c>
      <c r="D2964" s="146"/>
      <c r="E2964" s="305"/>
      <c r="F2964" s="383"/>
      <c r="G2964" s="154">
        <f>LEN('Expected Auditing Outcomes'!$F2964)</f>
        <v>0</v>
      </c>
      <c r="H2964" s="154"/>
    </row>
    <row r="2965" ht="15.75" hidden="1" customHeight="1">
      <c r="B2965" s="146"/>
      <c r="C2965" s="146">
        <f t="shared" si="5"/>
        <v>10000</v>
      </c>
      <c r="D2965" s="146"/>
      <c r="E2965" s="305"/>
      <c r="F2965" s="383"/>
      <c r="G2965" s="154">
        <f>LEN('Expected Auditing Outcomes'!$F2965)</f>
        <v>0</v>
      </c>
      <c r="H2965" s="154"/>
    </row>
    <row r="2966" ht="15.75" hidden="1" customHeight="1">
      <c r="B2966" s="146"/>
      <c r="C2966" s="146">
        <f t="shared" si="5"/>
        <v>10000</v>
      </c>
      <c r="D2966" s="146"/>
      <c r="E2966" s="305"/>
      <c r="F2966" s="383"/>
      <c r="G2966" s="154">
        <f>LEN('Expected Auditing Outcomes'!$F2966)</f>
        <v>0</v>
      </c>
      <c r="H2966" s="154"/>
    </row>
    <row r="2967" ht="15.75" hidden="1" customHeight="1">
      <c r="B2967" s="146"/>
      <c r="C2967" s="146">
        <f t="shared" si="5"/>
        <v>10000</v>
      </c>
      <c r="D2967" s="146"/>
      <c r="E2967" s="305"/>
      <c r="F2967" s="383"/>
      <c r="G2967" s="154">
        <f>LEN('Expected Auditing Outcomes'!$F2967)</f>
        <v>0</v>
      </c>
      <c r="H2967" s="154"/>
    </row>
    <row r="2968" ht="15.75" hidden="1" customHeight="1">
      <c r="B2968" s="146"/>
      <c r="C2968" s="146">
        <f t="shared" si="5"/>
        <v>10000</v>
      </c>
      <c r="D2968" s="146"/>
      <c r="E2968" s="305"/>
      <c r="F2968" s="383"/>
      <c r="G2968" s="154">
        <f>LEN('Expected Auditing Outcomes'!$F2968)</f>
        <v>0</v>
      </c>
      <c r="H2968" s="154"/>
    </row>
    <row r="2969" ht="15.75" hidden="1" customHeight="1">
      <c r="B2969" s="146"/>
      <c r="C2969" s="146">
        <f t="shared" si="5"/>
        <v>10000</v>
      </c>
      <c r="D2969" s="146"/>
      <c r="E2969" s="305"/>
      <c r="F2969" s="383"/>
      <c r="G2969" s="154">
        <f>LEN('Expected Auditing Outcomes'!$F2969)</f>
        <v>0</v>
      </c>
      <c r="H2969" s="154"/>
    </row>
    <row r="2970" ht="15.75" hidden="1" customHeight="1">
      <c r="B2970" s="146"/>
      <c r="C2970" s="146">
        <f t="shared" si="5"/>
        <v>10000</v>
      </c>
      <c r="D2970" s="146"/>
      <c r="E2970" s="305"/>
      <c r="F2970" s="383"/>
      <c r="G2970" s="154">
        <f>LEN('Expected Auditing Outcomes'!$F2970)</f>
        <v>0</v>
      </c>
      <c r="H2970" s="154"/>
    </row>
    <row r="2971" ht="15.75" hidden="1" customHeight="1">
      <c r="B2971" s="146"/>
      <c r="C2971" s="146">
        <f t="shared" si="5"/>
        <v>10000</v>
      </c>
      <c r="D2971" s="146"/>
      <c r="E2971" s="305"/>
      <c r="F2971" s="383"/>
      <c r="G2971" s="154">
        <f>LEN('Expected Auditing Outcomes'!$F2971)</f>
        <v>0</v>
      </c>
      <c r="H2971" s="154"/>
    </row>
    <row r="2972" ht="15.75" hidden="1" customHeight="1">
      <c r="B2972" s="146"/>
      <c r="C2972" s="146">
        <f t="shared" si="5"/>
        <v>10000</v>
      </c>
      <c r="D2972" s="146"/>
      <c r="E2972" s="305"/>
      <c r="F2972" s="383"/>
      <c r="G2972" s="154">
        <f>LEN('Expected Auditing Outcomes'!$F2972)</f>
        <v>0</v>
      </c>
      <c r="H2972" s="154"/>
    </row>
    <row r="2973" ht="15.75" hidden="1" customHeight="1">
      <c r="B2973" s="146"/>
      <c r="C2973" s="146">
        <f t="shared" si="5"/>
        <v>10000</v>
      </c>
      <c r="D2973" s="146"/>
      <c r="E2973" s="305"/>
      <c r="F2973" s="383"/>
      <c r="G2973" s="154">
        <f>LEN('Expected Auditing Outcomes'!$F2973)</f>
        <v>0</v>
      </c>
      <c r="H2973" s="154"/>
    </row>
    <row r="2974" ht="15.75" hidden="1" customHeight="1">
      <c r="B2974" s="146"/>
      <c r="C2974" s="146">
        <f t="shared" si="5"/>
        <v>10000</v>
      </c>
      <c r="D2974" s="146"/>
      <c r="E2974" s="305"/>
      <c r="F2974" s="383"/>
      <c r="G2974" s="154">
        <f>LEN('Expected Auditing Outcomes'!$F2974)</f>
        <v>0</v>
      </c>
      <c r="H2974" s="154"/>
    </row>
    <row r="2975" ht="15.75" hidden="1" customHeight="1">
      <c r="B2975" s="146"/>
      <c r="C2975" s="146">
        <f t="shared" si="5"/>
        <v>10000</v>
      </c>
      <c r="D2975" s="146"/>
      <c r="E2975" s="305"/>
      <c r="F2975" s="383"/>
      <c r="G2975" s="154">
        <f>LEN('Expected Auditing Outcomes'!$F2975)</f>
        <v>0</v>
      </c>
      <c r="H2975" s="154"/>
    </row>
    <row r="2976" ht="15.75" hidden="1" customHeight="1">
      <c r="B2976" s="146"/>
      <c r="C2976" s="146">
        <f t="shared" si="5"/>
        <v>10000</v>
      </c>
      <c r="D2976" s="146"/>
      <c r="E2976" s="305"/>
      <c r="F2976" s="383"/>
      <c r="G2976" s="154">
        <f>LEN('Expected Auditing Outcomes'!$F2976)</f>
        <v>0</v>
      </c>
      <c r="H2976" s="154"/>
    </row>
    <row r="2977" ht="15.75" hidden="1" customHeight="1">
      <c r="B2977" s="146"/>
      <c r="C2977" s="146">
        <f t="shared" si="5"/>
        <v>10000</v>
      </c>
      <c r="D2977" s="146"/>
      <c r="E2977" s="305"/>
      <c r="F2977" s="383"/>
      <c r="G2977" s="154">
        <f>LEN('Expected Auditing Outcomes'!$F2977)</f>
        <v>0</v>
      </c>
      <c r="H2977" s="154"/>
    </row>
    <row r="2978" ht="15.75" hidden="1" customHeight="1">
      <c r="B2978" s="146"/>
      <c r="C2978" s="146">
        <f t="shared" si="5"/>
        <v>10000</v>
      </c>
      <c r="D2978" s="146"/>
      <c r="E2978" s="305"/>
      <c r="F2978" s="383"/>
      <c r="G2978" s="154">
        <f>LEN('Expected Auditing Outcomes'!$F2978)</f>
        <v>0</v>
      </c>
      <c r="H2978" s="154"/>
    </row>
    <row r="2979" ht="15.75" hidden="1" customHeight="1">
      <c r="B2979" s="146"/>
      <c r="C2979" s="146">
        <f t="shared" si="5"/>
        <v>10000</v>
      </c>
      <c r="D2979" s="146"/>
      <c r="E2979" s="305"/>
      <c r="F2979" s="383"/>
      <c r="G2979" s="154">
        <f>LEN('Expected Auditing Outcomes'!$F2979)</f>
        <v>0</v>
      </c>
      <c r="H2979" s="154"/>
    </row>
    <row r="2980" ht="15.75" hidden="1" customHeight="1">
      <c r="B2980" s="146"/>
      <c r="C2980" s="146">
        <f t="shared" si="5"/>
        <v>10000</v>
      </c>
      <c r="D2980" s="146"/>
      <c r="E2980" s="305"/>
      <c r="F2980" s="383"/>
      <c r="G2980" s="154">
        <f>LEN('Expected Auditing Outcomes'!$F2980)</f>
        <v>0</v>
      </c>
      <c r="H2980" s="154"/>
    </row>
    <row r="2981" ht="15.75" hidden="1" customHeight="1">
      <c r="B2981" s="146"/>
      <c r="C2981" s="146">
        <f t="shared" si="5"/>
        <v>10000</v>
      </c>
      <c r="D2981" s="146"/>
      <c r="E2981" s="305"/>
      <c r="F2981" s="383"/>
      <c r="G2981" s="154">
        <f>LEN('Expected Auditing Outcomes'!$F2981)</f>
        <v>0</v>
      </c>
      <c r="H2981" s="154"/>
    </row>
    <row r="2982" ht="15.75" hidden="1" customHeight="1">
      <c r="B2982" s="146"/>
      <c r="C2982" s="146">
        <f t="shared" si="5"/>
        <v>10000</v>
      </c>
      <c r="D2982" s="146"/>
      <c r="E2982" s="305"/>
      <c r="F2982" s="383"/>
      <c r="G2982" s="154">
        <f>LEN('Expected Auditing Outcomes'!$F2982)</f>
        <v>0</v>
      </c>
      <c r="H2982" s="154"/>
    </row>
    <row r="2983" ht="15.75" hidden="1" customHeight="1">
      <c r="B2983" s="146"/>
      <c r="C2983" s="146">
        <f t="shared" si="5"/>
        <v>10000</v>
      </c>
      <c r="D2983" s="146"/>
      <c r="E2983" s="305"/>
      <c r="F2983" s="383"/>
      <c r="G2983" s="154">
        <f>LEN('Expected Auditing Outcomes'!$F2983)</f>
        <v>0</v>
      </c>
      <c r="H2983" s="154"/>
    </row>
    <row r="2984" ht="15.75" hidden="1" customHeight="1">
      <c r="B2984" s="146"/>
      <c r="C2984" s="146">
        <f t="shared" si="5"/>
        <v>10000</v>
      </c>
      <c r="D2984" s="146"/>
      <c r="E2984" s="305"/>
      <c r="F2984" s="383"/>
      <c r="G2984" s="154">
        <f>LEN('Expected Auditing Outcomes'!$F2984)</f>
        <v>0</v>
      </c>
      <c r="H2984" s="154"/>
    </row>
    <row r="2985" ht="15.75" hidden="1" customHeight="1">
      <c r="B2985" s="146"/>
      <c r="C2985" s="146">
        <f t="shared" si="5"/>
        <v>10000</v>
      </c>
      <c r="D2985" s="146"/>
      <c r="E2985" s="305"/>
      <c r="F2985" s="383"/>
      <c r="G2985" s="154">
        <f>LEN('Expected Auditing Outcomes'!$F2985)</f>
        <v>0</v>
      </c>
      <c r="H2985" s="154"/>
    </row>
    <row r="2986" ht="15.75" hidden="1" customHeight="1">
      <c r="B2986" s="146"/>
      <c r="C2986" s="146">
        <f t="shared" si="5"/>
        <v>10000</v>
      </c>
      <c r="D2986" s="146"/>
      <c r="E2986" s="305"/>
      <c r="F2986" s="383"/>
      <c r="G2986" s="154">
        <f>LEN('Expected Auditing Outcomes'!$F2986)</f>
        <v>0</v>
      </c>
      <c r="H2986" s="154"/>
    </row>
    <row r="2987" ht="15.75" hidden="1" customHeight="1">
      <c r="B2987" s="146"/>
      <c r="C2987" s="146">
        <f t="shared" si="5"/>
        <v>10000</v>
      </c>
      <c r="D2987" s="146"/>
      <c r="E2987" s="305"/>
      <c r="F2987" s="383"/>
      <c r="G2987" s="154">
        <f>LEN('Expected Auditing Outcomes'!$F2987)</f>
        <v>0</v>
      </c>
      <c r="H2987" s="154"/>
    </row>
    <row r="2988" ht="15.75" hidden="1" customHeight="1">
      <c r="B2988" s="146"/>
      <c r="C2988" s="146">
        <f t="shared" si="5"/>
        <v>10000</v>
      </c>
      <c r="D2988" s="146"/>
      <c r="E2988" s="305"/>
      <c r="F2988" s="383"/>
      <c r="G2988" s="154">
        <f>LEN('Expected Auditing Outcomes'!$F2988)</f>
        <v>0</v>
      </c>
      <c r="H2988" s="154"/>
    </row>
    <row r="2989" ht="15.75" hidden="1" customHeight="1">
      <c r="B2989" s="146"/>
      <c r="C2989" s="146">
        <f t="shared" si="5"/>
        <v>10000</v>
      </c>
      <c r="D2989" s="146"/>
      <c r="E2989" s="305"/>
      <c r="F2989" s="383"/>
      <c r="G2989" s="154">
        <f>LEN('Expected Auditing Outcomes'!$F2989)</f>
        <v>0</v>
      </c>
      <c r="H2989" s="154"/>
    </row>
    <row r="2990" ht="15.75" hidden="1" customHeight="1">
      <c r="B2990" s="146"/>
      <c r="C2990" s="146">
        <f t="shared" si="5"/>
        <v>10000</v>
      </c>
      <c r="D2990" s="146"/>
      <c r="E2990" s="305"/>
      <c r="F2990" s="383"/>
      <c r="G2990" s="154">
        <f>LEN('Expected Auditing Outcomes'!$F2990)</f>
        <v>0</v>
      </c>
      <c r="H2990" s="154"/>
    </row>
    <row r="2991" ht="15.75" hidden="1" customHeight="1">
      <c r="B2991" s="146"/>
      <c r="C2991" s="146">
        <f t="shared" si="5"/>
        <v>10000</v>
      </c>
      <c r="D2991" s="146"/>
      <c r="E2991" s="305"/>
      <c r="F2991" s="383"/>
      <c r="G2991" s="154">
        <f>LEN('Expected Auditing Outcomes'!$F2991)</f>
        <v>0</v>
      </c>
      <c r="H2991" s="154"/>
    </row>
    <row r="2992" ht="15.75" hidden="1" customHeight="1">
      <c r="B2992" s="146"/>
      <c r="C2992" s="146">
        <f t="shared" si="5"/>
        <v>10000</v>
      </c>
      <c r="D2992" s="146"/>
      <c r="E2992" s="305"/>
      <c r="F2992" s="383"/>
      <c r="G2992" s="154">
        <f>LEN('Expected Auditing Outcomes'!$F2992)</f>
        <v>0</v>
      </c>
      <c r="H2992" s="154"/>
    </row>
    <row r="2993" ht="15.75" hidden="1" customHeight="1">
      <c r="B2993" s="146"/>
      <c r="C2993" s="146">
        <f t="shared" si="5"/>
        <v>10000</v>
      </c>
      <c r="D2993" s="146"/>
      <c r="E2993" s="305"/>
      <c r="F2993" s="383"/>
      <c r="G2993" s="154">
        <f>LEN('Expected Auditing Outcomes'!$F2993)</f>
        <v>0</v>
      </c>
      <c r="H2993" s="154"/>
    </row>
    <row r="2994" ht="15.75" hidden="1" customHeight="1">
      <c r="B2994" s="146"/>
      <c r="C2994" s="146">
        <f t="shared" si="5"/>
        <v>10000</v>
      </c>
      <c r="D2994" s="146"/>
      <c r="E2994" s="305"/>
      <c r="F2994" s="383"/>
      <c r="G2994" s="154">
        <f>LEN('Expected Auditing Outcomes'!$F2994)</f>
        <v>0</v>
      </c>
      <c r="H2994" s="154"/>
    </row>
    <row r="2995" ht="15.75" hidden="1" customHeight="1">
      <c r="B2995" s="146"/>
      <c r="C2995" s="146">
        <f t="shared" si="5"/>
        <v>10000</v>
      </c>
      <c r="D2995" s="146"/>
      <c r="E2995" s="305"/>
      <c r="F2995" s="383"/>
      <c r="G2995" s="154">
        <f>LEN('Expected Auditing Outcomes'!$F2995)</f>
        <v>0</v>
      </c>
      <c r="H2995" s="154"/>
    </row>
    <row r="2996" ht="15.75" hidden="1" customHeight="1">
      <c r="B2996" s="146"/>
      <c r="C2996" s="146">
        <f t="shared" si="5"/>
        <v>10000</v>
      </c>
      <c r="D2996" s="146"/>
      <c r="E2996" s="305"/>
      <c r="F2996" s="383"/>
      <c r="G2996" s="154">
        <f>LEN('Expected Auditing Outcomes'!$F2996)</f>
        <v>0</v>
      </c>
      <c r="H2996" s="154"/>
    </row>
    <row r="2997" ht="15.75" hidden="1" customHeight="1">
      <c r="B2997" s="146"/>
      <c r="C2997" s="146">
        <f t="shared" si="5"/>
        <v>10000</v>
      </c>
      <c r="D2997" s="146"/>
      <c r="E2997" s="305"/>
      <c r="F2997" s="383"/>
      <c r="G2997" s="154">
        <f>LEN('Expected Auditing Outcomes'!$F2997)</f>
        <v>0</v>
      </c>
      <c r="H2997" s="154"/>
    </row>
    <row r="2998" ht="15.75" hidden="1" customHeight="1">
      <c r="B2998" s="146"/>
      <c r="C2998" s="146">
        <f t="shared" si="5"/>
        <v>10000</v>
      </c>
      <c r="D2998" s="146"/>
      <c r="E2998" s="305"/>
      <c r="F2998" s="383"/>
      <c r="G2998" s="154">
        <f>LEN('Expected Auditing Outcomes'!$F2998)</f>
        <v>0</v>
      </c>
      <c r="H2998" s="154"/>
    </row>
    <row r="2999" ht="15.75" hidden="1" customHeight="1">
      <c r="B2999" s="146"/>
      <c r="C2999" s="146">
        <f t="shared" si="5"/>
        <v>10000</v>
      </c>
      <c r="D2999" s="146"/>
      <c r="E2999" s="305"/>
      <c r="F2999" s="383"/>
      <c r="G2999" s="154">
        <f>LEN('Expected Auditing Outcomes'!$F2999)</f>
        <v>0</v>
      </c>
      <c r="H2999" s="154"/>
    </row>
    <row r="3000" ht="15.75" hidden="1" customHeight="1">
      <c r="B3000" s="146"/>
      <c r="C3000" s="146">
        <f t="shared" si="5"/>
        <v>10000</v>
      </c>
      <c r="D3000" s="146"/>
      <c r="E3000" s="305"/>
      <c r="F3000" s="383"/>
      <c r="G3000" s="154">
        <f>LEN('Expected Auditing Outcomes'!$F3000)</f>
        <v>0</v>
      </c>
      <c r="H3000" s="154"/>
    </row>
    <row r="3001" ht="15.75" hidden="1" customHeight="1">
      <c r="B3001" s="146"/>
      <c r="C3001" s="146">
        <f t="shared" si="5"/>
        <v>10000</v>
      </c>
      <c r="D3001" s="146"/>
      <c r="E3001" s="305"/>
      <c r="F3001" s="383"/>
      <c r="G3001" s="154">
        <f>LEN('Expected Auditing Outcomes'!$F3001)</f>
        <v>0</v>
      </c>
      <c r="H3001" s="154"/>
    </row>
    <row r="3002" ht="15.75" hidden="1" customHeight="1">
      <c r="B3002" s="146"/>
      <c r="C3002" s="146">
        <f t="shared" si="5"/>
        <v>10000</v>
      </c>
      <c r="D3002" s="146"/>
      <c r="E3002" s="305"/>
      <c r="F3002" s="383"/>
      <c r="G3002" s="154">
        <f>LEN('Expected Auditing Outcomes'!$F3002)</f>
        <v>0</v>
      </c>
      <c r="H3002" s="154"/>
    </row>
    <row r="3003" ht="15.75" hidden="1" customHeight="1">
      <c r="B3003" s="146"/>
      <c r="C3003" s="146">
        <f t="shared" si="5"/>
        <v>10000</v>
      </c>
      <c r="D3003" s="146"/>
      <c r="E3003" s="305"/>
      <c r="F3003" s="383"/>
      <c r="G3003" s="154">
        <f>LEN('Expected Auditing Outcomes'!$F3003)</f>
        <v>0</v>
      </c>
      <c r="H3003" s="154"/>
    </row>
    <row r="3004" ht="15.75" hidden="1" customHeight="1">
      <c r="B3004" s="146"/>
      <c r="C3004" s="146">
        <f t="shared" si="5"/>
        <v>10000</v>
      </c>
      <c r="D3004" s="146"/>
      <c r="E3004" s="305"/>
      <c r="F3004" s="383"/>
      <c r="G3004" s="154">
        <f>LEN('Expected Auditing Outcomes'!$F3004)</f>
        <v>0</v>
      </c>
      <c r="H3004" s="154"/>
    </row>
    <row r="3005" ht="15.75" hidden="1" customHeight="1">
      <c r="B3005" s="146"/>
      <c r="C3005" s="146">
        <f t="shared" si="5"/>
        <v>10000</v>
      </c>
      <c r="D3005" s="146"/>
      <c r="E3005" s="305"/>
      <c r="F3005" s="383"/>
      <c r="G3005" s="154">
        <f>LEN('Expected Auditing Outcomes'!$F3005)</f>
        <v>0</v>
      </c>
      <c r="H3005" s="154"/>
    </row>
    <row r="3006" ht="15.75" hidden="1" customHeight="1">
      <c r="B3006" s="146"/>
      <c r="C3006" s="146">
        <f t="shared" si="5"/>
        <v>10000</v>
      </c>
      <c r="D3006" s="146"/>
      <c r="E3006" s="305"/>
      <c r="F3006" s="383"/>
      <c r="G3006" s="154">
        <f>LEN('Expected Auditing Outcomes'!$F3006)</f>
        <v>0</v>
      </c>
      <c r="H3006" s="154"/>
    </row>
    <row r="3007" ht="15.75" hidden="1" customHeight="1">
      <c r="B3007" s="146"/>
      <c r="C3007" s="146">
        <f t="shared" si="5"/>
        <v>10000</v>
      </c>
      <c r="D3007" s="146"/>
      <c r="E3007" s="305"/>
      <c r="F3007" s="383"/>
      <c r="G3007" s="154">
        <f>LEN('Expected Auditing Outcomes'!$F3007)</f>
        <v>0</v>
      </c>
      <c r="H3007" s="154"/>
    </row>
    <row r="3008" ht="15.75" hidden="1" customHeight="1">
      <c r="B3008" s="146"/>
      <c r="C3008" s="146">
        <f t="shared" si="5"/>
        <v>10000</v>
      </c>
      <c r="D3008" s="146"/>
      <c r="E3008" s="305"/>
      <c r="F3008" s="383"/>
      <c r="G3008" s="154">
        <f>LEN('Expected Auditing Outcomes'!$F3008)</f>
        <v>0</v>
      </c>
      <c r="H3008" s="154"/>
    </row>
    <row r="3009" ht="15.75" hidden="1" customHeight="1">
      <c r="B3009" s="146"/>
      <c r="C3009" s="146">
        <f t="shared" si="5"/>
        <v>10000</v>
      </c>
      <c r="D3009" s="146"/>
      <c r="E3009" s="305"/>
      <c r="F3009" s="383"/>
      <c r="G3009" s="154">
        <f>LEN('Expected Auditing Outcomes'!$F3009)</f>
        <v>0</v>
      </c>
      <c r="H3009" s="154"/>
    </row>
    <row r="3010" ht="15.75" hidden="1" customHeight="1">
      <c r="B3010" s="146"/>
      <c r="C3010" s="146">
        <f t="shared" si="5"/>
        <v>10000</v>
      </c>
      <c r="D3010" s="146"/>
      <c r="E3010" s="305"/>
      <c r="F3010" s="383"/>
      <c r="G3010" s="154">
        <f>LEN('Expected Auditing Outcomes'!$F3010)</f>
        <v>0</v>
      </c>
      <c r="H3010" s="154"/>
    </row>
    <row r="3011" ht="15.75" hidden="1" customHeight="1">
      <c r="B3011" s="146"/>
      <c r="C3011" s="146">
        <f t="shared" si="5"/>
        <v>10000</v>
      </c>
      <c r="D3011" s="146"/>
      <c r="E3011" s="305"/>
      <c r="F3011" s="383"/>
      <c r="G3011" s="154">
        <f>LEN('Expected Auditing Outcomes'!$F3011)</f>
        <v>0</v>
      </c>
      <c r="H3011" s="154"/>
    </row>
    <row r="3012" ht="15.75" hidden="1" customHeight="1">
      <c r="B3012" s="146"/>
      <c r="C3012" s="146">
        <f t="shared" si="5"/>
        <v>10000</v>
      </c>
      <c r="D3012" s="146"/>
      <c r="E3012" s="305"/>
      <c r="F3012" s="383"/>
      <c r="G3012" s="154">
        <f>LEN('Expected Auditing Outcomes'!$F3012)</f>
        <v>0</v>
      </c>
      <c r="H3012" s="154"/>
    </row>
    <row r="3013" ht="15.75" hidden="1" customHeight="1">
      <c r="B3013" s="146"/>
      <c r="C3013" s="146">
        <f t="shared" si="5"/>
        <v>10000</v>
      </c>
      <c r="D3013" s="146"/>
      <c r="E3013" s="305"/>
      <c r="F3013" s="383"/>
      <c r="G3013" s="154">
        <f>LEN('Expected Auditing Outcomes'!$F3013)</f>
        <v>0</v>
      </c>
      <c r="H3013" s="154"/>
    </row>
    <row r="3014" ht="15.75" hidden="1" customHeight="1">
      <c r="B3014" s="146"/>
      <c r="C3014" s="146">
        <f t="shared" si="5"/>
        <v>10000</v>
      </c>
      <c r="D3014" s="146"/>
      <c r="E3014" s="305"/>
      <c r="F3014" s="383"/>
      <c r="G3014" s="154">
        <f>LEN('Expected Auditing Outcomes'!$F3014)</f>
        <v>0</v>
      </c>
      <c r="H3014" s="154"/>
    </row>
    <row r="3015" ht="15.75" hidden="1" customHeight="1">
      <c r="B3015" s="146"/>
      <c r="C3015" s="146">
        <f t="shared" si="5"/>
        <v>10000</v>
      </c>
      <c r="D3015" s="146"/>
      <c r="E3015" s="305"/>
      <c r="F3015" s="383"/>
      <c r="G3015" s="154">
        <f>LEN('Expected Auditing Outcomes'!$F3015)</f>
        <v>0</v>
      </c>
      <c r="H3015" s="154"/>
    </row>
    <row r="3016" ht="15.75" hidden="1" customHeight="1">
      <c r="B3016" s="146"/>
      <c r="C3016" s="146">
        <f t="shared" si="5"/>
        <v>10000</v>
      </c>
      <c r="D3016" s="146"/>
      <c r="E3016" s="305"/>
      <c r="F3016" s="383"/>
      <c r="G3016" s="154">
        <f>LEN('Expected Auditing Outcomes'!$F3016)</f>
        <v>0</v>
      </c>
      <c r="H3016" s="154"/>
    </row>
    <row r="3017" ht="15.75" hidden="1" customHeight="1">
      <c r="B3017" s="146"/>
      <c r="C3017" s="146">
        <f t="shared" si="5"/>
        <v>10000</v>
      </c>
      <c r="D3017" s="146"/>
      <c r="E3017" s="305"/>
      <c r="F3017" s="383"/>
      <c r="G3017" s="154">
        <f>LEN('Expected Auditing Outcomes'!$F3017)</f>
        <v>0</v>
      </c>
      <c r="H3017" s="154"/>
    </row>
  </sheetData>
  <dataValidations>
    <dataValidation type="custom" allowBlank="1" showInputMessage="1" showErrorMessage="1" prompt="Max 30 Characters - Maximum character limit of 30 has been exceeded." sqref="L19 J36">
      <formula1>LT(LEN(J19),(31))</formula1>
    </dataValidation>
  </dataValidations>
  <printOptions/>
  <pageMargins bottom="0.75" footer="0.0" header="0.0" left="0.7" right="0.7" top="0.75"/>
  <pageSetup orientation="portrait"/>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41.57"/>
    <col customWidth="1" min="3" max="3" width="21.86"/>
    <col customWidth="1" min="4" max="26" width="8.71"/>
  </cols>
  <sheetData>
    <row r="1">
      <c r="A1" s="517" t="s">
        <v>1803</v>
      </c>
      <c r="B1" s="518" t="s">
        <v>3841</v>
      </c>
      <c r="C1" s="519" t="s">
        <v>3842</v>
      </c>
    </row>
    <row r="2">
      <c r="A2" s="520">
        <v>13.0</v>
      </c>
      <c r="B2" s="472" t="s">
        <v>3843</v>
      </c>
      <c r="C2" s="521">
        <v>1.0</v>
      </c>
    </row>
    <row r="3">
      <c r="A3" s="522">
        <v>16.0</v>
      </c>
      <c r="B3" s="472" t="s">
        <v>3843</v>
      </c>
      <c r="C3" s="521">
        <v>1.0</v>
      </c>
    </row>
    <row r="4">
      <c r="A4" s="522">
        <v>17.0</v>
      </c>
      <c r="B4" s="472" t="s">
        <v>3843</v>
      </c>
      <c r="C4" s="521">
        <v>1.0</v>
      </c>
    </row>
    <row r="5">
      <c r="A5" s="522">
        <v>18.0</v>
      </c>
      <c r="B5" s="472" t="s">
        <v>3843</v>
      </c>
      <c r="C5" s="521">
        <v>1.0</v>
      </c>
    </row>
    <row r="6">
      <c r="A6" s="522">
        <v>25.0</v>
      </c>
      <c r="B6" s="472" t="s">
        <v>3843</v>
      </c>
      <c r="C6" s="521">
        <v>1.0</v>
      </c>
    </row>
    <row r="7">
      <c r="A7" s="522">
        <v>27.0</v>
      </c>
      <c r="B7" s="472" t="s">
        <v>3843</v>
      </c>
      <c r="C7" s="521">
        <v>1.0</v>
      </c>
    </row>
    <row r="8">
      <c r="A8" s="522">
        <v>28.0</v>
      </c>
      <c r="B8" s="472" t="s">
        <v>3843</v>
      </c>
      <c r="C8" s="521">
        <v>1.0</v>
      </c>
    </row>
    <row r="9">
      <c r="A9" s="522">
        <v>29.0</v>
      </c>
      <c r="B9" s="472" t="s">
        <v>3843</v>
      </c>
      <c r="C9" s="521">
        <v>1.0</v>
      </c>
    </row>
    <row r="10">
      <c r="A10" s="522">
        <v>30.0</v>
      </c>
      <c r="B10" s="472" t="s">
        <v>3843</v>
      </c>
      <c r="C10" s="521">
        <v>1.0</v>
      </c>
    </row>
    <row r="11">
      <c r="A11" s="522">
        <v>32.0</v>
      </c>
      <c r="B11" s="472" t="s">
        <v>3843</v>
      </c>
      <c r="C11" s="521">
        <v>1.0</v>
      </c>
    </row>
    <row r="12">
      <c r="A12" s="522">
        <v>33.0</v>
      </c>
      <c r="B12" s="472" t="s">
        <v>3843</v>
      </c>
      <c r="C12" s="521">
        <v>1.0</v>
      </c>
    </row>
    <row r="13">
      <c r="A13" s="522">
        <v>36.0</v>
      </c>
      <c r="B13" s="472" t="s">
        <v>3843</v>
      </c>
      <c r="C13" s="521">
        <v>1.0</v>
      </c>
    </row>
    <row r="14">
      <c r="A14" s="522">
        <v>45.0</v>
      </c>
      <c r="B14" s="472" t="s">
        <v>3843</v>
      </c>
      <c r="C14" s="521">
        <v>1.0</v>
      </c>
    </row>
    <row r="15">
      <c r="A15" s="522">
        <v>54.0</v>
      </c>
      <c r="B15" s="472" t="s">
        <v>3843</v>
      </c>
      <c r="C15" s="521">
        <v>1.0</v>
      </c>
    </row>
    <row r="16">
      <c r="A16" s="522">
        <v>55.0</v>
      </c>
      <c r="B16" s="472" t="s">
        <v>3843</v>
      </c>
      <c r="C16" s="521">
        <v>1.0</v>
      </c>
    </row>
    <row r="17">
      <c r="A17" s="522">
        <v>57.0</v>
      </c>
      <c r="B17" s="472" t="s">
        <v>3843</v>
      </c>
      <c r="C17" s="521">
        <v>1.0</v>
      </c>
    </row>
    <row r="18">
      <c r="A18" s="522">
        <v>59.0</v>
      </c>
      <c r="B18" s="472" t="s">
        <v>3843</v>
      </c>
      <c r="C18" s="521">
        <v>1.0</v>
      </c>
    </row>
    <row r="19">
      <c r="A19" s="522">
        <v>60.0</v>
      </c>
      <c r="B19" s="472" t="s">
        <v>3843</v>
      </c>
      <c r="C19" s="521">
        <v>1.0</v>
      </c>
    </row>
    <row r="20">
      <c r="A20" s="522">
        <v>61.0</v>
      </c>
      <c r="B20" s="472" t="s">
        <v>3843</v>
      </c>
      <c r="C20" s="521">
        <v>1.0</v>
      </c>
    </row>
    <row r="21" ht="15.75" customHeight="1">
      <c r="A21" s="522">
        <v>62.0</v>
      </c>
      <c r="B21" s="472" t="s">
        <v>3843</v>
      </c>
      <c r="C21" s="521">
        <v>1.0</v>
      </c>
    </row>
    <row r="22" ht="15.75" customHeight="1">
      <c r="A22" s="522">
        <v>63.0</v>
      </c>
      <c r="B22" s="472" t="s">
        <v>3843</v>
      </c>
      <c r="C22" s="521">
        <v>1.0</v>
      </c>
    </row>
    <row r="23" ht="15.75" customHeight="1">
      <c r="A23" s="522">
        <v>65.0</v>
      </c>
      <c r="B23" s="472" t="s">
        <v>3843</v>
      </c>
      <c r="C23" s="521">
        <v>1.0</v>
      </c>
    </row>
    <row r="24" ht="15.75" customHeight="1">
      <c r="A24" s="522">
        <v>66.0</v>
      </c>
      <c r="B24" s="472" t="s">
        <v>3843</v>
      </c>
      <c r="C24" s="521">
        <v>1.0</v>
      </c>
    </row>
    <row r="25" ht="15.75" customHeight="1">
      <c r="A25" s="522">
        <v>68.0</v>
      </c>
      <c r="B25" s="472" t="s">
        <v>3843</v>
      </c>
      <c r="C25" s="521">
        <v>1.0</v>
      </c>
    </row>
    <row r="26" ht="15.75" customHeight="1">
      <c r="A26" s="522">
        <v>80.0</v>
      </c>
      <c r="B26" s="472" t="s">
        <v>3843</v>
      </c>
      <c r="C26" s="521">
        <v>1.0</v>
      </c>
    </row>
    <row r="27" ht="15.75" customHeight="1">
      <c r="A27" s="522">
        <v>94.0</v>
      </c>
      <c r="B27" s="472" t="s">
        <v>3843</v>
      </c>
      <c r="C27" s="521">
        <v>1.0</v>
      </c>
    </row>
    <row r="28" ht="15.75" customHeight="1">
      <c r="A28" s="522">
        <v>97.0</v>
      </c>
      <c r="B28" s="472" t="s">
        <v>3843</v>
      </c>
      <c r="C28" s="521">
        <v>1.0</v>
      </c>
    </row>
    <row r="29" ht="15.75" customHeight="1">
      <c r="A29" s="522">
        <v>108.0</v>
      </c>
      <c r="B29" s="472" t="s">
        <v>3843</v>
      </c>
      <c r="C29" s="521">
        <v>1.0</v>
      </c>
    </row>
    <row r="30" ht="15.75" customHeight="1">
      <c r="A30" s="522">
        <v>130.0</v>
      </c>
      <c r="B30" s="472" t="s">
        <v>3843</v>
      </c>
      <c r="C30" s="521">
        <v>1.0</v>
      </c>
    </row>
    <row r="31" ht="15.75" customHeight="1">
      <c r="A31" s="522">
        <v>134.0</v>
      </c>
      <c r="B31" s="472" t="s">
        <v>3843</v>
      </c>
      <c r="C31" s="521">
        <v>1.0</v>
      </c>
    </row>
    <row r="32" ht="15.75" customHeight="1">
      <c r="A32" s="522">
        <v>142.0</v>
      </c>
      <c r="B32" s="472" t="s">
        <v>3843</v>
      </c>
      <c r="C32" s="521">
        <v>1.0</v>
      </c>
    </row>
    <row r="33" ht="15.75" customHeight="1">
      <c r="A33" s="522">
        <v>143.0</v>
      </c>
      <c r="B33" s="472" t="s">
        <v>3843</v>
      </c>
      <c r="C33" s="521">
        <v>1.0</v>
      </c>
    </row>
    <row r="34" ht="15.75" customHeight="1">
      <c r="A34" s="522">
        <v>144.0</v>
      </c>
      <c r="B34" s="472" t="s">
        <v>3843</v>
      </c>
      <c r="C34" s="521">
        <v>1.0</v>
      </c>
    </row>
    <row r="35" ht="15.75" customHeight="1">
      <c r="A35" s="522">
        <v>162.0</v>
      </c>
      <c r="B35" s="472" t="s">
        <v>3843</v>
      </c>
      <c r="C35" s="521">
        <v>1.0</v>
      </c>
    </row>
    <row r="36" ht="15.75" customHeight="1">
      <c r="A36" s="522">
        <v>165.0</v>
      </c>
      <c r="B36" s="472" t="s">
        <v>3843</v>
      </c>
      <c r="C36" s="521">
        <v>1.0</v>
      </c>
    </row>
    <row r="37" ht="15.75" customHeight="1">
      <c r="A37" s="522">
        <v>180.0</v>
      </c>
      <c r="B37" s="472" t="s">
        <v>3843</v>
      </c>
      <c r="C37" s="521">
        <v>1.0</v>
      </c>
    </row>
    <row r="38" ht="15.75" customHeight="1">
      <c r="A38" s="522">
        <v>184.0</v>
      </c>
      <c r="B38" s="472" t="s">
        <v>3843</v>
      </c>
      <c r="C38" s="521">
        <v>1.0</v>
      </c>
    </row>
    <row r="39" ht="15.75" customHeight="1">
      <c r="A39" s="522">
        <v>201.0</v>
      </c>
      <c r="B39" s="472" t="s">
        <v>3843</v>
      </c>
      <c r="C39" s="521">
        <v>1.0</v>
      </c>
    </row>
    <row r="40" ht="15.75" customHeight="1">
      <c r="A40" s="522">
        <v>205.0</v>
      </c>
      <c r="B40" s="472" t="s">
        <v>3843</v>
      </c>
      <c r="C40" s="521">
        <v>1.0</v>
      </c>
    </row>
    <row r="41" ht="15.75" customHeight="1">
      <c r="A41" s="522">
        <v>211.0</v>
      </c>
      <c r="B41" s="472" t="s">
        <v>3843</v>
      </c>
      <c r="C41" s="521">
        <v>1.0</v>
      </c>
    </row>
    <row r="42" ht="15.75" customHeight="1">
      <c r="A42" s="522">
        <v>225.0</v>
      </c>
      <c r="B42" s="472" t="s">
        <v>3843</v>
      </c>
      <c r="C42" s="521">
        <v>1.0</v>
      </c>
    </row>
    <row r="43" ht="15.75" customHeight="1">
      <c r="A43" s="522">
        <v>228.0</v>
      </c>
      <c r="B43" s="472" t="s">
        <v>3843</v>
      </c>
      <c r="C43" s="521">
        <v>1.0</v>
      </c>
    </row>
    <row r="44" ht="15.75" customHeight="1">
      <c r="A44" s="522">
        <v>234.0</v>
      </c>
      <c r="B44" s="472" t="s">
        <v>3843</v>
      </c>
      <c r="C44" s="521">
        <v>1.0</v>
      </c>
    </row>
    <row r="45" ht="15.75" customHeight="1">
      <c r="A45" s="522">
        <v>248.0</v>
      </c>
      <c r="B45" s="472" t="s">
        <v>3843</v>
      </c>
      <c r="C45" s="521">
        <v>1.0</v>
      </c>
    </row>
    <row r="46" ht="15.75" customHeight="1">
      <c r="A46" s="522">
        <v>259.0</v>
      </c>
      <c r="B46" s="472" t="s">
        <v>3843</v>
      </c>
      <c r="C46" s="521">
        <v>1.0</v>
      </c>
    </row>
    <row r="47" ht="15.75" customHeight="1">
      <c r="A47" s="522">
        <v>262.0</v>
      </c>
      <c r="B47" s="472" t="s">
        <v>3843</v>
      </c>
      <c r="C47" s="521">
        <v>1.0</v>
      </c>
    </row>
    <row r="48" ht="15.75" customHeight="1">
      <c r="A48" s="522">
        <v>266.0</v>
      </c>
      <c r="B48" s="472" t="s">
        <v>3843</v>
      </c>
      <c r="C48" s="521">
        <v>1.0</v>
      </c>
    </row>
    <row r="49" ht="15.75" customHeight="1">
      <c r="A49" s="522">
        <v>273.0</v>
      </c>
      <c r="B49" s="472" t="s">
        <v>3843</v>
      </c>
      <c r="C49" s="521">
        <v>1.0</v>
      </c>
    </row>
    <row r="50" ht="15.75" customHeight="1">
      <c r="A50" s="522">
        <v>274.0</v>
      </c>
      <c r="B50" s="472" t="s">
        <v>3843</v>
      </c>
      <c r="C50" s="521">
        <v>1.0</v>
      </c>
    </row>
    <row r="51" ht="15.75" customHeight="1">
      <c r="A51" s="522">
        <v>281.0</v>
      </c>
      <c r="B51" s="472" t="s">
        <v>3843</v>
      </c>
      <c r="C51" s="521">
        <v>1.0</v>
      </c>
    </row>
    <row r="52" ht="15.75" customHeight="1">
      <c r="A52" s="522">
        <v>282.0</v>
      </c>
      <c r="B52" s="472" t="s">
        <v>3843</v>
      </c>
      <c r="C52" s="521">
        <v>1.0</v>
      </c>
    </row>
    <row r="53" ht="15.75" customHeight="1">
      <c r="A53" s="522">
        <v>294.0</v>
      </c>
      <c r="B53" s="472" t="s">
        <v>3843</v>
      </c>
      <c r="C53" s="521">
        <v>1.0</v>
      </c>
    </row>
    <row r="54" ht="15.75" customHeight="1">
      <c r="A54" s="522">
        <v>295.0</v>
      </c>
      <c r="B54" s="472" t="s">
        <v>3843</v>
      </c>
      <c r="C54" s="521">
        <v>1.0</v>
      </c>
    </row>
    <row r="55" ht="15.75" customHeight="1">
      <c r="A55" s="522">
        <v>296.0</v>
      </c>
      <c r="B55" s="472" t="s">
        <v>3843</v>
      </c>
      <c r="C55" s="521">
        <v>1.0</v>
      </c>
    </row>
    <row r="56" ht="15.75" customHeight="1">
      <c r="A56" s="522">
        <v>297.0</v>
      </c>
      <c r="B56" s="472" t="s">
        <v>3843</v>
      </c>
      <c r="C56" s="521">
        <v>1.0</v>
      </c>
    </row>
    <row r="57" ht="15.75" customHeight="1">
      <c r="A57" s="522">
        <v>298.0</v>
      </c>
      <c r="B57" s="472" t="s">
        <v>3843</v>
      </c>
      <c r="C57" s="521">
        <v>1.0</v>
      </c>
    </row>
    <row r="58" ht="15.75" customHeight="1">
      <c r="A58" s="522">
        <v>299.0</v>
      </c>
      <c r="B58" s="472" t="s">
        <v>3843</v>
      </c>
      <c r="C58" s="521">
        <v>1.0</v>
      </c>
    </row>
    <row r="59" ht="15.75" customHeight="1">
      <c r="A59" s="522">
        <v>302.0</v>
      </c>
      <c r="B59" s="472" t="s">
        <v>3843</v>
      </c>
      <c r="C59" s="521">
        <v>1.0</v>
      </c>
    </row>
    <row r="60" ht="15.75" customHeight="1">
      <c r="A60" s="522">
        <v>303.0</v>
      </c>
      <c r="B60" s="472" t="s">
        <v>3843</v>
      </c>
      <c r="C60" s="521">
        <v>1.0</v>
      </c>
    </row>
    <row r="61" ht="15.75" customHeight="1">
      <c r="A61" s="522">
        <v>309.0</v>
      </c>
      <c r="B61" s="472" t="s">
        <v>3843</v>
      </c>
      <c r="C61" s="521">
        <v>1.0</v>
      </c>
    </row>
    <row r="62" ht="15.75" customHeight="1">
      <c r="A62" s="522">
        <v>334.0</v>
      </c>
      <c r="B62" s="472" t="s">
        <v>3843</v>
      </c>
      <c r="C62" s="521">
        <v>1.0</v>
      </c>
    </row>
    <row r="63" ht="15.75" customHeight="1">
      <c r="A63" s="522">
        <v>336.0</v>
      </c>
      <c r="B63" s="472" t="s">
        <v>3843</v>
      </c>
      <c r="C63" s="521">
        <v>1.0</v>
      </c>
    </row>
    <row r="64" ht="15.75" customHeight="1">
      <c r="A64" s="522">
        <v>358.0</v>
      </c>
      <c r="B64" s="472" t="s">
        <v>3843</v>
      </c>
      <c r="C64" s="521">
        <v>1.0</v>
      </c>
    </row>
    <row r="65" ht="15.75" customHeight="1">
      <c r="A65" s="522">
        <v>359.0</v>
      </c>
      <c r="B65" s="472" t="s">
        <v>3843</v>
      </c>
      <c r="C65" s="521">
        <v>1.0</v>
      </c>
    </row>
    <row r="66" ht="15.75" customHeight="1">
      <c r="A66" s="522">
        <v>361.0</v>
      </c>
      <c r="B66" s="472" t="s">
        <v>3843</v>
      </c>
      <c r="C66" s="521">
        <v>1.0</v>
      </c>
    </row>
    <row r="67" ht="15.75" customHeight="1">
      <c r="A67" s="522">
        <v>362.0</v>
      </c>
      <c r="B67" s="472" t="s">
        <v>3843</v>
      </c>
      <c r="C67" s="521">
        <v>1.0</v>
      </c>
    </row>
    <row r="68" ht="15.75" customHeight="1">
      <c r="A68" s="522">
        <v>373.0</v>
      </c>
      <c r="B68" s="472" t="s">
        <v>3843</v>
      </c>
      <c r="C68" s="521">
        <v>1.0</v>
      </c>
    </row>
    <row r="69" ht="15.75" customHeight="1">
      <c r="A69" s="522" t="s">
        <v>3844</v>
      </c>
      <c r="B69" s="472" t="s">
        <v>3843</v>
      </c>
      <c r="C69" s="521">
        <v>1.0</v>
      </c>
    </row>
    <row r="70" ht="15.75" customHeight="1">
      <c r="A70" s="522">
        <v>285.0</v>
      </c>
      <c r="B70" s="523" t="s">
        <v>3845</v>
      </c>
      <c r="C70" s="521">
        <v>1.0</v>
      </c>
    </row>
    <row r="71" ht="15.75" customHeight="1">
      <c r="A71" s="522">
        <v>360.0</v>
      </c>
      <c r="B71" s="523" t="s">
        <v>3845</v>
      </c>
      <c r="C71" s="521">
        <v>1.0</v>
      </c>
    </row>
    <row r="72" ht="15.75" customHeight="1">
      <c r="A72" s="522">
        <v>361.0</v>
      </c>
      <c r="B72" s="523" t="s">
        <v>3845</v>
      </c>
      <c r="C72" s="521">
        <v>1.0</v>
      </c>
    </row>
    <row r="73" ht="15.75" customHeight="1">
      <c r="A73" s="522">
        <v>362.0</v>
      </c>
      <c r="B73" s="523" t="s">
        <v>3845</v>
      </c>
      <c r="C73" s="521">
        <v>1.0</v>
      </c>
    </row>
    <row r="74" ht="15.75" customHeight="1">
      <c r="A74" s="522">
        <v>400.0</v>
      </c>
      <c r="B74" s="523" t="s">
        <v>3845</v>
      </c>
      <c r="C74" s="521">
        <v>1.0</v>
      </c>
    </row>
    <row r="75" ht="15.75" customHeight="1">
      <c r="A75" s="522">
        <v>485.0</v>
      </c>
      <c r="B75" s="472" t="s">
        <v>3846</v>
      </c>
      <c r="C75" s="521">
        <v>2.0</v>
      </c>
    </row>
    <row r="76" ht="15.75" customHeight="1">
      <c r="A76" s="522">
        <v>486.0</v>
      </c>
      <c r="B76" s="472" t="s">
        <v>3846</v>
      </c>
      <c r="C76" s="521">
        <v>2.0</v>
      </c>
    </row>
    <row r="77" ht="15.75" customHeight="1">
      <c r="A77" s="522">
        <v>487.0</v>
      </c>
      <c r="B77" s="472" t="s">
        <v>3846</v>
      </c>
      <c r="C77" s="521">
        <v>2.0</v>
      </c>
    </row>
    <row r="78" ht="15.75" customHeight="1">
      <c r="A78" s="522">
        <v>488.0</v>
      </c>
      <c r="B78" s="472" t="s">
        <v>3846</v>
      </c>
      <c r="C78" s="521">
        <v>2.0</v>
      </c>
    </row>
    <row r="79" ht="15.75" customHeight="1">
      <c r="A79" s="522">
        <v>489.0</v>
      </c>
      <c r="B79" s="472" t="s">
        <v>3846</v>
      </c>
      <c r="C79" s="521">
        <v>2.0</v>
      </c>
    </row>
    <row r="80" ht="15.75" customHeight="1">
      <c r="A80" s="522">
        <v>490.0</v>
      </c>
      <c r="B80" s="472" t="s">
        <v>3846</v>
      </c>
      <c r="C80" s="521">
        <v>2.0</v>
      </c>
    </row>
    <row r="81" ht="15.75" customHeight="1">
      <c r="A81" s="522">
        <v>491.0</v>
      </c>
      <c r="B81" s="472" t="s">
        <v>3846</v>
      </c>
      <c r="C81" s="521">
        <v>2.0</v>
      </c>
    </row>
    <row r="82" ht="15.75" customHeight="1">
      <c r="A82" s="522">
        <v>492.0</v>
      </c>
      <c r="B82" s="472" t="s">
        <v>3846</v>
      </c>
      <c r="C82" s="521">
        <v>2.0</v>
      </c>
    </row>
    <row r="83" ht="15.75" customHeight="1">
      <c r="A83" s="522">
        <v>493.0</v>
      </c>
      <c r="B83" s="472" t="s">
        <v>3846</v>
      </c>
      <c r="C83" s="521">
        <v>2.0</v>
      </c>
    </row>
    <row r="84" ht="15.75" customHeight="1">
      <c r="A84" s="522">
        <v>494.0</v>
      </c>
      <c r="B84" s="472" t="s">
        <v>3846</v>
      </c>
      <c r="C84" s="521">
        <v>2.0</v>
      </c>
    </row>
    <row r="85" ht="15.75" customHeight="1">
      <c r="A85" s="522">
        <v>495.0</v>
      </c>
      <c r="B85" s="472" t="s">
        <v>3846</v>
      </c>
      <c r="C85" s="521">
        <v>2.0</v>
      </c>
    </row>
    <row r="86" ht="15.75" customHeight="1">
      <c r="A86" s="522">
        <v>496.0</v>
      </c>
      <c r="B86" s="472" t="s">
        <v>3846</v>
      </c>
      <c r="C86" s="521">
        <v>2.0</v>
      </c>
    </row>
    <row r="87" ht="15.75" customHeight="1">
      <c r="A87" s="522">
        <v>497.0</v>
      </c>
      <c r="B87" s="472" t="s">
        <v>3846</v>
      </c>
      <c r="C87" s="521">
        <v>2.0</v>
      </c>
    </row>
    <row r="88" ht="15.75" customHeight="1">
      <c r="A88" s="522">
        <v>498.0</v>
      </c>
      <c r="B88" s="472" t="s">
        <v>3846</v>
      </c>
      <c r="C88" s="521">
        <v>2.0</v>
      </c>
    </row>
    <row r="89" ht="15.75" customHeight="1">
      <c r="A89" s="522">
        <v>500.0</v>
      </c>
      <c r="B89" s="472" t="s">
        <v>3846</v>
      </c>
      <c r="C89" s="521">
        <v>2.0</v>
      </c>
    </row>
    <row r="90" ht="15.75" customHeight="1">
      <c r="A90" s="522">
        <v>501.0</v>
      </c>
      <c r="B90" s="472" t="s">
        <v>3846</v>
      </c>
      <c r="C90" s="521">
        <v>2.0</v>
      </c>
    </row>
    <row r="91" ht="15.75" customHeight="1">
      <c r="A91" s="522">
        <v>502.0</v>
      </c>
      <c r="B91" s="472" t="s">
        <v>3846</v>
      </c>
      <c r="C91" s="521">
        <v>2.0</v>
      </c>
    </row>
    <row r="92" ht="15.75" customHeight="1">
      <c r="A92" s="522">
        <v>503.0</v>
      </c>
      <c r="B92" s="472" t="s">
        <v>3846</v>
      </c>
      <c r="C92" s="521">
        <v>2.0</v>
      </c>
    </row>
    <row r="93" ht="15.75" customHeight="1">
      <c r="A93" s="522">
        <v>504.0</v>
      </c>
      <c r="B93" s="472" t="s">
        <v>3846</v>
      </c>
      <c r="C93" s="521">
        <v>2.0</v>
      </c>
    </row>
    <row r="94" ht="15.75" customHeight="1">
      <c r="A94" s="522">
        <v>505.0</v>
      </c>
      <c r="B94" s="472" t="s">
        <v>3846</v>
      </c>
      <c r="C94" s="521">
        <v>2.0</v>
      </c>
    </row>
    <row r="95" ht="15.75" customHeight="1">
      <c r="A95" s="522">
        <v>506.0</v>
      </c>
      <c r="B95" s="472" t="s">
        <v>3846</v>
      </c>
      <c r="C95" s="521">
        <v>2.0</v>
      </c>
    </row>
    <row r="96" ht="15.75" customHeight="1">
      <c r="A96" s="522">
        <v>507.0</v>
      </c>
      <c r="B96" s="472" t="s">
        <v>3846</v>
      </c>
      <c r="C96" s="521">
        <v>2.0</v>
      </c>
    </row>
    <row r="97" ht="15.75" customHeight="1">
      <c r="A97" s="522">
        <v>508.0</v>
      </c>
      <c r="B97" s="472" t="s">
        <v>3846</v>
      </c>
      <c r="C97" s="521">
        <v>2.0</v>
      </c>
    </row>
    <row r="98" ht="15.75" customHeight="1">
      <c r="A98" s="522">
        <v>509.0</v>
      </c>
      <c r="B98" s="472" t="s">
        <v>3846</v>
      </c>
      <c r="C98" s="521">
        <v>2.0</v>
      </c>
    </row>
    <row r="99" ht="15.75" customHeight="1">
      <c r="A99" s="522">
        <v>511.0</v>
      </c>
      <c r="B99" s="472" t="s">
        <v>3846</v>
      </c>
      <c r="C99" s="521">
        <v>2.0</v>
      </c>
    </row>
    <row r="100" ht="15.75" customHeight="1">
      <c r="A100" s="522">
        <v>512.0</v>
      </c>
      <c r="B100" s="472" t="s">
        <v>3846</v>
      </c>
      <c r="C100" s="521">
        <v>2.0</v>
      </c>
    </row>
    <row r="101" ht="15.75" customHeight="1">
      <c r="A101" s="522">
        <v>523.0</v>
      </c>
      <c r="B101" s="472" t="s">
        <v>3846</v>
      </c>
      <c r="C101" s="521">
        <v>2.0</v>
      </c>
    </row>
    <row r="102" ht="15.75" customHeight="1">
      <c r="A102" s="522">
        <v>521.0</v>
      </c>
      <c r="B102" s="472" t="s">
        <v>3846</v>
      </c>
      <c r="C102" s="521">
        <v>2.0</v>
      </c>
    </row>
    <row r="103" ht="15.75" customHeight="1">
      <c r="A103" s="524">
        <v>741.0</v>
      </c>
      <c r="B103" s="472" t="s">
        <v>3847</v>
      </c>
      <c r="C103" s="521">
        <v>2.0</v>
      </c>
    </row>
    <row r="104" ht="15.75" customHeight="1">
      <c r="A104" s="495">
        <v>745.0</v>
      </c>
      <c r="B104" s="472" t="s">
        <v>3847</v>
      </c>
      <c r="C104" s="521">
        <v>2.0</v>
      </c>
    </row>
    <row r="105" ht="15.75" customHeight="1">
      <c r="A105" s="524">
        <v>755.0</v>
      </c>
      <c r="B105" s="472" t="s">
        <v>3847</v>
      </c>
      <c r="C105" s="521">
        <v>2.0</v>
      </c>
    </row>
    <row r="106" ht="15.75" customHeight="1">
      <c r="A106" s="524">
        <v>774.0</v>
      </c>
      <c r="B106" s="472" t="s">
        <v>3847</v>
      </c>
      <c r="C106" s="521">
        <v>2.0</v>
      </c>
    </row>
    <row r="107" ht="15.75" customHeight="1">
      <c r="A107" s="495">
        <v>776.0</v>
      </c>
      <c r="B107" s="472" t="s">
        <v>3847</v>
      </c>
      <c r="C107" s="521">
        <v>2.0</v>
      </c>
    </row>
    <row r="108" ht="15.75" customHeight="1">
      <c r="A108" s="524">
        <v>777.0</v>
      </c>
      <c r="B108" s="472" t="s">
        <v>3847</v>
      </c>
      <c r="C108" s="521">
        <v>2.0</v>
      </c>
    </row>
    <row r="109" ht="15.75" customHeight="1">
      <c r="A109" s="524">
        <v>779.0</v>
      </c>
      <c r="B109" s="472" t="s">
        <v>3847</v>
      </c>
      <c r="C109" s="521">
        <v>2.0</v>
      </c>
    </row>
    <row r="110" ht="15.75" customHeight="1">
      <c r="A110" s="495">
        <v>790.0</v>
      </c>
      <c r="B110" s="472" t="s">
        <v>3847</v>
      </c>
      <c r="C110" s="521">
        <v>2.0</v>
      </c>
    </row>
    <row r="111" ht="15.75" customHeight="1">
      <c r="A111" s="495">
        <v>792.0</v>
      </c>
      <c r="B111" s="472" t="s">
        <v>3847</v>
      </c>
      <c r="C111" s="521">
        <v>2.0</v>
      </c>
    </row>
    <row r="112" ht="15.75" customHeight="1">
      <c r="A112" s="495">
        <v>793.0</v>
      </c>
      <c r="B112" s="472" t="s">
        <v>3847</v>
      </c>
      <c r="C112" s="521">
        <v>2.0</v>
      </c>
    </row>
    <row r="113" ht="15.75" customHeight="1">
      <c r="A113" s="495">
        <v>794.0</v>
      </c>
      <c r="B113" s="472" t="s">
        <v>3847</v>
      </c>
      <c r="C113" s="521">
        <v>2.0</v>
      </c>
    </row>
    <row r="114" ht="15.75" customHeight="1">
      <c r="A114" s="495">
        <v>795.0</v>
      </c>
      <c r="B114" s="472" t="s">
        <v>3847</v>
      </c>
      <c r="C114" s="521">
        <v>2.0</v>
      </c>
    </row>
    <row r="115" ht="15.75" customHeight="1">
      <c r="A115" s="495">
        <v>797.0</v>
      </c>
      <c r="B115" s="472" t="s">
        <v>3847</v>
      </c>
      <c r="C115" s="521">
        <v>2.0</v>
      </c>
    </row>
    <row r="116" ht="15.75" customHeight="1">
      <c r="A116" s="495">
        <v>799.0</v>
      </c>
      <c r="B116" s="472" t="s">
        <v>3847</v>
      </c>
      <c r="C116" s="521">
        <v>2.0</v>
      </c>
    </row>
    <row r="117" ht="15.75" customHeight="1">
      <c r="A117" s="525">
        <v>823.0</v>
      </c>
      <c r="B117" s="472" t="s">
        <v>3847</v>
      </c>
      <c r="C117" s="521">
        <v>2.0</v>
      </c>
    </row>
    <row r="118" ht="15.75" customHeight="1">
      <c r="A118" s="525">
        <v>824.0</v>
      </c>
      <c r="B118" s="472" t="s">
        <v>3847</v>
      </c>
      <c r="C118" s="521">
        <v>2.0</v>
      </c>
    </row>
    <row r="119" ht="15.75" customHeight="1">
      <c r="A119" s="495">
        <v>826.0</v>
      </c>
      <c r="B119" s="472" t="s">
        <v>3847</v>
      </c>
      <c r="C119" s="521">
        <v>2.0</v>
      </c>
    </row>
    <row r="120" ht="15.75" customHeight="1">
      <c r="A120" s="524">
        <v>829.0</v>
      </c>
      <c r="B120" s="472" t="s">
        <v>3847</v>
      </c>
      <c r="C120" s="521">
        <v>2.0</v>
      </c>
    </row>
    <row r="121" ht="15.75" customHeight="1">
      <c r="A121" s="524">
        <v>830.0</v>
      </c>
      <c r="B121" s="472" t="s">
        <v>3847</v>
      </c>
      <c r="C121" s="521">
        <v>2.0</v>
      </c>
    </row>
    <row r="122" ht="15.75" customHeight="1">
      <c r="A122" s="495">
        <v>836.0</v>
      </c>
      <c r="B122" s="472" t="s">
        <v>3847</v>
      </c>
      <c r="C122" s="521">
        <v>2.0</v>
      </c>
    </row>
    <row r="123" ht="15.75" customHeight="1">
      <c r="A123" s="495">
        <v>837.0</v>
      </c>
      <c r="B123" s="472" t="s">
        <v>3847</v>
      </c>
      <c r="C123" s="521">
        <v>2.0</v>
      </c>
    </row>
    <row r="124" ht="15.75" customHeight="1">
      <c r="A124" s="495">
        <v>838.0</v>
      </c>
      <c r="B124" s="472" t="s">
        <v>3847</v>
      </c>
      <c r="C124" s="521">
        <v>2.0</v>
      </c>
    </row>
    <row r="125" ht="15.75" customHeight="1">
      <c r="A125" s="495">
        <v>850.0</v>
      </c>
      <c r="B125" s="472" t="s">
        <v>3847</v>
      </c>
      <c r="C125" s="521">
        <v>2.0</v>
      </c>
    </row>
    <row r="126" ht="15.75" customHeight="1">
      <c r="A126" s="495">
        <v>851.0</v>
      </c>
      <c r="B126" s="472" t="s">
        <v>3847</v>
      </c>
      <c r="C126" s="521">
        <v>2.0</v>
      </c>
    </row>
    <row r="127" ht="15.75" customHeight="1">
      <c r="A127" s="495">
        <v>852.0</v>
      </c>
      <c r="B127" s="472" t="s">
        <v>3847</v>
      </c>
      <c r="C127" s="521">
        <v>2.0</v>
      </c>
    </row>
    <row r="128" ht="15.75" customHeight="1">
      <c r="A128" s="524">
        <v>856.0</v>
      </c>
      <c r="B128" s="472" t="s">
        <v>3847</v>
      </c>
      <c r="C128" s="521">
        <v>2.0</v>
      </c>
    </row>
    <row r="129" ht="15.75" customHeight="1">
      <c r="A129" s="524">
        <v>857.0</v>
      </c>
      <c r="B129" s="472" t="s">
        <v>3847</v>
      </c>
      <c r="C129" s="521">
        <v>2.0</v>
      </c>
    </row>
    <row r="130" ht="15.75" customHeight="1">
      <c r="A130" s="525">
        <v>858.0</v>
      </c>
      <c r="B130" s="472" t="s">
        <v>3847</v>
      </c>
      <c r="C130" s="521">
        <v>2.0</v>
      </c>
    </row>
    <row r="131" ht="15.75" customHeight="1">
      <c r="A131" s="525">
        <v>860.0</v>
      </c>
      <c r="B131" s="472" t="s">
        <v>3847</v>
      </c>
      <c r="C131" s="521">
        <v>2.0</v>
      </c>
    </row>
    <row r="132" ht="15.75" customHeight="1">
      <c r="A132" s="524">
        <v>871.0</v>
      </c>
      <c r="B132" s="472" t="s">
        <v>3847</v>
      </c>
      <c r="C132" s="521">
        <v>2.0</v>
      </c>
    </row>
    <row r="133" ht="15.75" customHeight="1">
      <c r="A133" s="524">
        <v>874.0</v>
      </c>
      <c r="B133" s="472" t="s">
        <v>3847</v>
      </c>
      <c r="C133" s="521">
        <v>2.0</v>
      </c>
    </row>
    <row r="134" ht="15.75" customHeight="1">
      <c r="A134" s="525">
        <v>875.0</v>
      </c>
      <c r="B134" s="472" t="s">
        <v>3847</v>
      </c>
      <c r="C134" s="521">
        <v>2.0</v>
      </c>
    </row>
    <row r="135" ht="15.75" customHeight="1">
      <c r="A135" s="524">
        <v>877.0</v>
      </c>
      <c r="B135" s="472" t="s">
        <v>3847</v>
      </c>
      <c r="C135" s="521">
        <v>2.0</v>
      </c>
    </row>
    <row r="136" ht="15.75" customHeight="1">
      <c r="A136" s="495">
        <v>881.0</v>
      </c>
      <c r="B136" s="472" t="s">
        <v>3847</v>
      </c>
      <c r="C136" s="521">
        <v>2.0</v>
      </c>
    </row>
    <row r="137" ht="15.75" customHeight="1">
      <c r="A137" s="495">
        <v>883.0</v>
      </c>
      <c r="B137" s="472" t="s">
        <v>3847</v>
      </c>
      <c r="C137" s="521">
        <v>2.0</v>
      </c>
    </row>
    <row r="138" ht="15.75" customHeight="1">
      <c r="A138" s="525">
        <v>889.0</v>
      </c>
      <c r="B138" s="472" t="s">
        <v>3847</v>
      </c>
      <c r="C138" s="521">
        <v>2.0</v>
      </c>
    </row>
    <row r="139" ht="15.75" customHeight="1">
      <c r="A139" s="525">
        <v>893.0</v>
      </c>
      <c r="B139" s="472" t="s">
        <v>3847</v>
      </c>
      <c r="C139" s="521">
        <v>2.0</v>
      </c>
    </row>
    <row r="140" ht="15.75" customHeight="1">
      <c r="A140" s="525">
        <v>895.0</v>
      </c>
      <c r="B140" s="472" t="s">
        <v>3847</v>
      </c>
      <c r="C140" s="521">
        <v>2.0</v>
      </c>
    </row>
    <row r="141" ht="15.75" customHeight="1">
      <c r="A141" s="525">
        <v>896.0</v>
      </c>
      <c r="B141" s="472" t="s">
        <v>3847</v>
      </c>
      <c r="C141" s="521">
        <v>2.0</v>
      </c>
    </row>
    <row r="142" ht="15.75" customHeight="1">
      <c r="A142" s="525">
        <v>901.0</v>
      </c>
      <c r="B142" s="472" t="s">
        <v>3847</v>
      </c>
      <c r="C142" s="521">
        <v>2.0</v>
      </c>
    </row>
    <row r="143" ht="15.75" customHeight="1">
      <c r="A143" s="525">
        <v>909.0</v>
      </c>
      <c r="B143" s="472" t="s">
        <v>3847</v>
      </c>
      <c r="C143" s="521">
        <v>2.0</v>
      </c>
    </row>
    <row r="144" ht="15.75" customHeight="1">
      <c r="A144" s="525">
        <v>910.0</v>
      </c>
      <c r="B144" s="472" t="s">
        <v>3847</v>
      </c>
      <c r="C144" s="521">
        <v>2.0</v>
      </c>
    </row>
    <row r="145" ht="15.75" customHeight="1">
      <c r="A145" s="525">
        <v>914.0</v>
      </c>
      <c r="B145" s="472" t="s">
        <v>3847</v>
      </c>
      <c r="C145" s="521">
        <v>2.0</v>
      </c>
    </row>
    <row r="146" ht="15.75" customHeight="1">
      <c r="A146" s="525">
        <v>927.0</v>
      </c>
      <c r="B146" s="472" t="s">
        <v>3847</v>
      </c>
      <c r="C146" s="521">
        <v>2.0</v>
      </c>
    </row>
    <row r="147" ht="15.75" customHeight="1">
      <c r="A147" s="525">
        <v>929.0</v>
      </c>
      <c r="B147" s="472" t="s">
        <v>3847</v>
      </c>
      <c r="C147" s="521">
        <v>2.0</v>
      </c>
    </row>
    <row r="148" ht="15.75" customHeight="1">
      <c r="A148" s="525">
        <v>930.0</v>
      </c>
      <c r="B148" s="472" t="s">
        <v>3847</v>
      </c>
      <c r="C148" s="521">
        <v>2.0</v>
      </c>
    </row>
    <row r="149" ht="15.75" customHeight="1">
      <c r="A149" s="525">
        <v>935.0</v>
      </c>
      <c r="B149" s="472" t="s">
        <v>3847</v>
      </c>
      <c r="C149" s="521">
        <v>2.0</v>
      </c>
    </row>
    <row r="150" ht="15.75" customHeight="1">
      <c r="A150" s="525">
        <v>936.0</v>
      </c>
      <c r="B150" s="472" t="s">
        <v>3847</v>
      </c>
      <c r="C150" s="521">
        <v>2.0</v>
      </c>
    </row>
    <row r="151" ht="15.75" customHeight="1">
      <c r="A151" s="525">
        <v>937.0</v>
      </c>
      <c r="B151" s="472" t="s">
        <v>3847</v>
      </c>
      <c r="C151" s="521">
        <v>2.0</v>
      </c>
    </row>
    <row r="152" ht="15.75" customHeight="1">
      <c r="A152" s="525">
        <v>940.0</v>
      </c>
      <c r="B152" s="472" t="s">
        <v>3847</v>
      </c>
      <c r="C152" s="521">
        <v>2.0</v>
      </c>
    </row>
    <row r="153" ht="15.75" customHeight="1">
      <c r="A153" s="525">
        <v>943.0</v>
      </c>
      <c r="B153" s="472" t="s">
        <v>3847</v>
      </c>
      <c r="C153" s="521">
        <v>2.0</v>
      </c>
    </row>
    <row r="154" ht="15.75" customHeight="1">
      <c r="A154" s="525">
        <v>946.0</v>
      </c>
      <c r="B154" s="472" t="s">
        <v>3847</v>
      </c>
      <c r="C154" s="521">
        <v>2.0</v>
      </c>
    </row>
    <row r="155" ht="15.75" customHeight="1">
      <c r="A155" s="525">
        <v>947.0</v>
      </c>
      <c r="B155" s="472" t="s">
        <v>3847</v>
      </c>
      <c r="C155" s="521">
        <v>2.0</v>
      </c>
    </row>
    <row r="156" ht="15.75" customHeight="1">
      <c r="A156" s="525">
        <v>948.0</v>
      </c>
      <c r="B156" s="472" t="s">
        <v>3847</v>
      </c>
      <c r="C156" s="521">
        <v>2.0</v>
      </c>
    </row>
    <row r="157" ht="15.75" customHeight="1">
      <c r="A157" s="526">
        <v>949.0</v>
      </c>
      <c r="B157" s="472" t="s">
        <v>3847</v>
      </c>
      <c r="C157" s="521">
        <v>2.0</v>
      </c>
    </row>
    <row r="158" ht="15.75" customHeight="1">
      <c r="A158" s="527">
        <v>386.0</v>
      </c>
      <c r="B158" s="528" t="s">
        <v>3848</v>
      </c>
      <c r="C158" s="529">
        <v>1.0</v>
      </c>
    </row>
    <row r="159" ht="15.75" customHeight="1">
      <c r="A159" s="530"/>
      <c r="B159" s="531"/>
      <c r="C159" s="531"/>
    </row>
    <row r="160" ht="15.75" customHeight="1">
      <c r="A160" s="530"/>
      <c r="B160" s="531"/>
      <c r="C160" s="531"/>
    </row>
    <row r="161" ht="15.75" customHeight="1">
      <c r="A161" s="530"/>
      <c r="B161" s="531"/>
      <c r="C161" s="531"/>
    </row>
    <row r="162" ht="15.75" customHeight="1">
      <c r="A162" s="530"/>
      <c r="B162" s="531"/>
      <c r="C162" s="531"/>
    </row>
    <row r="163" ht="15.75" customHeight="1">
      <c r="A163" s="530"/>
      <c r="B163" s="531"/>
      <c r="C163" s="531"/>
    </row>
    <row r="164" ht="15.75" customHeight="1">
      <c r="A164" s="530"/>
      <c r="B164" s="531"/>
      <c r="C164" s="531"/>
    </row>
    <row r="165" ht="15.75" customHeight="1">
      <c r="A165" s="530"/>
      <c r="B165" s="531"/>
      <c r="C165" s="531"/>
    </row>
    <row r="166" ht="15.75" customHeight="1">
      <c r="A166" s="530"/>
      <c r="B166" s="531"/>
      <c r="C166" s="531"/>
    </row>
    <row r="167" ht="15.75" customHeight="1">
      <c r="A167" s="530"/>
      <c r="B167" s="531"/>
      <c r="C167" s="531"/>
    </row>
    <row r="168" ht="15.75" customHeight="1">
      <c r="A168" s="530"/>
      <c r="B168" s="531"/>
      <c r="C168" s="531"/>
    </row>
    <row r="169" ht="15.75" customHeight="1">
      <c r="A169" s="530"/>
      <c r="B169" s="531"/>
      <c r="C169" s="531"/>
    </row>
    <row r="170" ht="15.75" customHeight="1">
      <c r="A170" s="530"/>
      <c r="B170" s="531"/>
      <c r="C170" s="531"/>
    </row>
    <row r="171" ht="15.75" customHeight="1">
      <c r="A171" s="530"/>
      <c r="B171" s="531"/>
      <c r="C171" s="531"/>
    </row>
    <row r="172" ht="15.75" customHeight="1">
      <c r="A172" s="530"/>
      <c r="B172" s="531"/>
      <c r="C172" s="531"/>
    </row>
    <row r="173" ht="15.75" customHeight="1">
      <c r="A173" s="530"/>
      <c r="B173" s="531"/>
      <c r="C173" s="531"/>
    </row>
    <row r="174" ht="15.75" customHeight="1">
      <c r="A174" s="530"/>
      <c r="B174" s="531"/>
      <c r="C174" s="531"/>
    </row>
    <row r="175" ht="15.75" customHeight="1">
      <c r="A175" s="530"/>
      <c r="B175" s="531"/>
      <c r="C175" s="531"/>
    </row>
    <row r="176" ht="15.75" customHeight="1">
      <c r="A176" s="530"/>
      <c r="B176" s="531"/>
      <c r="C176" s="531"/>
    </row>
    <row r="177" ht="15.75" customHeight="1">
      <c r="A177" s="530"/>
      <c r="B177" s="531"/>
      <c r="C177" s="531"/>
    </row>
    <row r="178" ht="15.75" customHeight="1">
      <c r="A178" s="530"/>
      <c r="B178" s="531"/>
      <c r="C178" s="531"/>
    </row>
    <row r="179" ht="15.75" customHeight="1">
      <c r="A179" s="530"/>
      <c r="B179" s="531"/>
      <c r="C179" s="531"/>
    </row>
    <row r="180" ht="15.75" customHeight="1">
      <c r="A180" s="530"/>
      <c r="B180" s="531"/>
      <c r="C180" s="531"/>
    </row>
    <row r="181" ht="15.75" customHeight="1">
      <c r="A181" s="530"/>
      <c r="B181" s="531"/>
      <c r="C181" s="531"/>
    </row>
    <row r="182" ht="15.75" customHeight="1">
      <c r="A182" s="530"/>
      <c r="B182" s="531"/>
      <c r="C182" s="531"/>
    </row>
    <row r="183" ht="15.75" customHeight="1">
      <c r="A183" s="530"/>
      <c r="B183" s="531"/>
      <c r="C183" s="531"/>
    </row>
    <row r="184" ht="15.75" customHeight="1">
      <c r="A184" s="530"/>
      <c r="B184" s="531"/>
      <c r="C184" s="531"/>
    </row>
    <row r="185" ht="15.75" customHeight="1">
      <c r="A185" s="530"/>
      <c r="B185" s="531"/>
      <c r="C185" s="531"/>
    </row>
    <row r="186" ht="15.75" customHeight="1">
      <c r="A186" s="530"/>
      <c r="B186" s="531"/>
      <c r="C186" s="531"/>
    </row>
    <row r="187" ht="15.75" customHeight="1">
      <c r="A187" s="530"/>
      <c r="B187" s="531"/>
      <c r="C187" s="531"/>
    </row>
    <row r="188" ht="15.75" customHeight="1">
      <c r="A188" s="530"/>
      <c r="B188" s="531"/>
      <c r="C188" s="531"/>
    </row>
    <row r="189" ht="15.75" customHeight="1">
      <c r="A189" s="530"/>
      <c r="B189" s="531"/>
      <c r="C189" s="531"/>
    </row>
    <row r="190" ht="15.75" customHeight="1">
      <c r="A190" s="530"/>
      <c r="B190" s="531"/>
      <c r="C190" s="531"/>
    </row>
    <row r="191" ht="15.75" customHeight="1">
      <c r="A191" s="530"/>
      <c r="B191" s="531"/>
      <c r="C191" s="531"/>
    </row>
    <row r="192" ht="15.75" customHeight="1">
      <c r="A192" s="530"/>
      <c r="B192" s="531"/>
      <c r="C192" s="531"/>
    </row>
    <row r="193" ht="15.75" customHeight="1">
      <c r="A193" s="530"/>
      <c r="B193" s="531"/>
      <c r="C193" s="531"/>
    </row>
    <row r="194" ht="15.75" customHeight="1">
      <c r="A194" s="530"/>
      <c r="B194" s="531"/>
      <c r="C194" s="531"/>
    </row>
    <row r="195" ht="15.75" customHeight="1">
      <c r="A195" s="530"/>
      <c r="B195" s="531"/>
      <c r="C195" s="531"/>
    </row>
    <row r="196" ht="15.75" customHeight="1">
      <c r="A196" s="530"/>
      <c r="B196" s="531"/>
      <c r="C196" s="531"/>
    </row>
    <row r="197" ht="15.75" customHeight="1">
      <c r="A197" s="530"/>
      <c r="B197" s="531"/>
      <c r="C197" s="531"/>
    </row>
    <row r="198" ht="15.75" customHeight="1">
      <c r="A198" s="530"/>
      <c r="B198" s="531"/>
      <c r="C198" s="531"/>
    </row>
    <row r="199" ht="15.75" customHeight="1">
      <c r="A199" s="530"/>
      <c r="B199" s="531"/>
      <c r="C199" s="531"/>
    </row>
    <row r="200" ht="15.75" customHeight="1">
      <c r="A200" s="530"/>
      <c r="B200" s="531"/>
      <c r="C200" s="531"/>
    </row>
    <row r="201" ht="15.75" customHeight="1">
      <c r="A201" s="530"/>
      <c r="B201" s="531"/>
      <c r="C201" s="531"/>
    </row>
    <row r="202" ht="15.75" customHeight="1">
      <c r="A202" s="530"/>
      <c r="B202" s="531"/>
      <c r="C202" s="531"/>
    </row>
    <row r="203" ht="15.75" customHeight="1">
      <c r="A203" s="530"/>
      <c r="B203" s="531"/>
      <c r="C203" s="531"/>
    </row>
    <row r="204" ht="15.75" customHeight="1">
      <c r="A204" s="530"/>
      <c r="B204" s="531"/>
      <c r="C204" s="531"/>
    </row>
    <row r="205" ht="15.75" customHeight="1">
      <c r="A205" s="530"/>
      <c r="B205" s="531"/>
      <c r="C205" s="531"/>
    </row>
    <row r="206" ht="15.75" customHeight="1">
      <c r="A206" s="530"/>
      <c r="B206" s="531"/>
      <c r="C206" s="531"/>
    </row>
    <row r="207" ht="15.75" customHeight="1">
      <c r="A207" s="530"/>
      <c r="B207" s="531"/>
      <c r="C207" s="531"/>
    </row>
    <row r="208" ht="15.75" customHeight="1">
      <c r="A208" s="530"/>
      <c r="B208" s="531"/>
      <c r="C208" s="531"/>
    </row>
    <row r="209" ht="15.75" customHeight="1">
      <c r="A209" s="530"/>
      <c r="B209" s="531"/>
      <c r="C209" s="531"/>
    </row>
    <row r="210" ht="15.75" customHeight="1">
      <c r="A210" s="530"/>
      <c r="B210" s="531"/>
      <c r="C210" s="531"/>
    </row>
    <row r="211" ht="15.75" customHeight="1">
      <c r="A211" s="530"/>
      <c r="B211" s="531"/>
      <c r="C211" s="531"/>
    </row>
    <row r="212" ht="15.75" customHeight="1">
      <c r="A212" s="530"/>
      <c r="B212" s="531"/>
      <c r="C212" s="531"/>
    </row>
    <row r="213" ht="15.75" customHeight="1">
      <c r="A213" s="530"/>
      <c r="B213" s="531"/>
      <c r="C213" s="531"/>
    </row>
    <row r="214" ht="15.75" customHeight="1">
      <c r="A214" s="530"/>
      <c r="B214" s="531"/>
      <c r="C214" s="531"/>
    </row>
    <row r="215" ht="15.75" customHeight="1">
      <c r="A215" s="530"/>
      <c r="B215" s="531"/>
      <c r="C215" s="531"/>
    </row>
    <row r="216" ht="15.75" customHeight="1">
      <c r="A216" s="530"/>
      <c r="B216" s="531"/>
      <c r="C216" s="531"/>
    </row>
    <row r="217" ht="15.75" customHeight="1">
      <c r="A217" s="530"/>
      <c r="B217" s="531"/>
      <c r="C217" s="531"/>
    </row>
    <row r="218" ht="15.75" customHeight="1">
      <c r="A218" s="530"/>
      <c r="B218" s="531"/>
      <c r="C218" s="531"/>
    </row>
    <row r="219" ht="15.75" customHeight="1">
      <c r="A219" s="530"/>
      <c r="B219" s="531"/>
      <c r="C219" s="531"/>
    </row>
    <row r="220" ht="15.75" customHeight="1">
      <c r="A220" s="530"/>
      <c r="B220" s="531"/>
      <c r="C220" s="531"/>
    </row>
    <row r="221" ht="15.75" customHeight="1">
      <c r="A221" s="530"/>
      <c r="B221" s="531"/>
      <c r="C221" s="531"/>
    </row>
    <row r="222" ht="15.75" customHeight="1">
      <c r="A222" s="530"/>
      <c r="B222" s="531"/>
      <c r="C222" s="531"/>
    </row>
    <row r="223" ht="15.75" customHeight="1">
      <c r="A223" s="530"/>
      <c r="B223" s="531"/>
      <c r="C223" s="531"/>
    </row>
    <row r="224" ht="15.75" customHeight="1">
      <c r="A224" s="530"/>
      <c r="B224" s="531"/>
      <c r="C224" s="531"/>
    </row>
    <row r="225" ht="15.75" customHeight="1">
      <c r="A225" s="530"/>
      <c r="B225" s="531"/>
      <c r="C225" s="531"/>
    </row>
    <row r="226" ht="15.75" customHeight="1">
      <c r="A226" s="530"/>
      <c r="B226" s="531"/>
      <c r="C226" s="531"/>
    </row>
    <row r="227" ht="15.75" customHeight="1">
      <c r="A227" s="530"/>
      <c r="B227" s="531"/>
      <c r="C227" s="531"/>
    </row>
    <row r="228" ht="15.75" customHeight="1">
      <c r="A228" s="530"/>
      <c r="B228" s="531"/>
      <c r="C228" s="531"/>
    </row>
    <row r="229" ht="15.75" customHeight="1">
      <c r="A229" s="530"/>
      <c r="B229" s="531"/>
      <c r="C229" s="531"/>
    </row>
    <row r="230" ht="15.75" customHeight="1">
      <c r="A230" s="530"/>
      <c r="B230" s="531"/>
      <c r="C230" s="531"/>
    </row>
    <row r="231" ht="15.75" customHeight="1">
      <c r="A231" s="530"/>
      <c r="B231" s="531"/>
      <c r="C231" s="531"/>
    </row>
    <row r="232" ht="15.75" customHeight="1">
      <c r="A232" s="530"/>
      <c r="B232" s="531"/>
      <c r="C232" s="531"/>
    </row>
    <row r="233" ht="15.75" customHeight="1">
      <c r="A233" s="530"/>
      <c r="B233" s="531"/>
      <c r="C233" s="531"/>
    </row>
    <row r="234" ht="15.75" customHeight="1">
      <c r="A234" s="530"/>
      <c r="B234" s="531"/>
      <c r="C234" s="531"/>
    </row>
    <row r="235" ht="15.75" customHeight="1">
      <c r="A235" s="530"/>
      <c r="B235" s="531"/>
      <c r="C235" s="531"/>
    </row>
    <row r="236" ht="15.75" customHeight="1">
      <c r="A236" s="530"/>
      <c r="B236" s="531"/>
      <c r="C236" s="531"/>
    </row>
    <row r="237" ht="15.75" customHeight="1">
      <c r="A237" s="530"/>
      <c r="B237" s="531"/>
      <c r="C237" s="531"/>
    </row>
    <row r="238" ht="15.75" customHeight="1">
      <c r="A238" s="530"/>
      <c r="B238" s="531"/>
      <c r="C238" s="531"/>
    </row>
    <row r="239" ht="15.75" customHeight="1">
      <c r="A239" s="530"/>
      <c r="B239" s="531"/>
      <c r="C239" s="531"/>
    </row>
    <row r="240" ht="15.75" customHeight="1">
      <c r="A240" s="530"/>
      <c r="B240" s="531"/>
      <c r="C240" s="531"/>
    </row>
    <row r="241" ht="15.75" customHeight="1">
      <c r="A241" s="530"/>
      <c r="B241" s="531"/>
      <c r="C241" s="531"/>
    </row>
    <row r="242" ht="15.75" customHeight="1">
      <c r="A242" s="530"/>
      <c r="B242" s="531"/>
      <c r="C242" s="531"/>
    </row>
    <row r="243" ht="15.75" customHeight="1">
      <c r="A243" s="530"/>
      <c r="B243" s="531"/>
      <c r="C243" s="531"/>
    </row>
    <row r="244" ht="15.75" customHeight="1">
      <c r="A244" s="530"/>
      <c r="B244" s="531"/>
      <c r="C244" s="531"/>
    </row>
    <row r="245" ht="15.75" customHeight="1">
      <c r="A245" s="530"/>
      <c r="B245" s="531"/>
      <c r="C245" s="531"/>
    </row>
    <row r="246" ht="15.75" customHeight="1">
      <c r="A246" s="530"/>
      <c r="B246" s="531"/>
      <c r="C246" s="531"/>
    </row>
    <row r="247" ht="15.75" customHeight="1">
      <c r="A247" s="530"/>
      <c r="B247" s="531"/>
      <c r="C247" s="531"/>
    </row>
    <row r="248" ht="15.75" customHeight="1">
      <c r="A248" s="530"/>
      <c r="B248" s="531"/>
      <c r="C248" s="531"/>
    </row>
    <row r="249" ht="15.75" customHeight="1">
      <c r="A249" s="530"/>
      <c r="B249" s="531"/>
      <c r="C249" s="531"/>
    </row>
    <row r="250" ht="15.75" customHeight="1">
      <c r="A250" s="530"/>
      <c r="B250" s="531"/>
      <c r="C250" s="531"/>
    </row>
    <row r="251" ht="15.75" customHeight="1">
      <c r="A251" s="530"/>
      <c r="B251" s="531"/>
      <c r="C251" s="531"/>
    </row>
    <row r="252" ht="15.75" customHeight="1">
      <c r="A252" s="530"/>
      <c r="B252" s="531"/>
      <c r="C252" s="531"/>
    </row>
    <row r="253" ht="15.75" customHeight="1">
      <c r="A253" s="530"/>
      <c r="B253" s="531"/>
      <c r="C253" s="531"/>
    </row>
    <row r="254" ht="15.75" customHeight="1">
      <c r="A254" s="530"/>
      <c r="B254" s="531"/>
      <c r="C254" s="531"/>
    </row>
    <row r="255" ht="15.75" customHeight="1">
      <c r="A255" s="530"/>
      <c r="B255" s="531"/>
      <c r="C255" s="531"/>
    </row>
    <row r="256" ht="15.75" customHeight="1">
      <c r="A256" s="530"/>
      <c r="B256" s="531"/>
      <c r="C256" s="531"/>
    </row>
    <row r="257" ht="15.75" customHeight="1">
      <c r="A257" s="530"/>
      <c r="B257" s="531"/>
      <c r="C257" s="531"/>
    </row>
    <row r="258" ht="15.75" customHeight="1">
      <c r="A258" s="530"/>
      <c r="B258" s="531"/>
      <c r="C258" s="531"/>
    </row>
    <row r="259" ht="15.75" customHeight="1">
      <c r="A259" s="530"/>
      <c r="B259" s="531"/>
      <c r="C259" s="531"/>
    </row>
    <row r="260" ht="15.75" customHeight="1">
      <c r="A260" s="530"/>
      <c r="B260" s="531"/>
      <c r="C260" s="531"/>
    </row>
    <row r="261" ht="15.75" customHeight="1">
      <c r="A261" s="530"/>
      <c r="B261" s="531"/>
      <c r="C261" s="531"/>
    </row>
    <row r="262" ht="15.75" customHeight="1">
      <c r="A262" s="530"/>
      <c r="B262" s="531"/>
      <c r="C262" s="531"/>
    </row>
    <row r="263" ht="15.75" customHeight="1">
      <c r="A263" s="530"/>
      <c r="B263" s="531"/>
      <c r="C263" s="531"/>
    </row>
    <row r="264" ht="15.75" customHeight="1">
      <c r="A264" s="530"/>
      <c r="B264" s="531"/>
      <c r="C264" s="531"/>
    </row>
    <row r="265" ht="15.75" customHeight="1">
      <c r="A265" s="530"/>
      <c r="B265" s="531"/>
      <c r="C265" s="531"/>
    </row>
    <row r="266" ht="15.75" customHeight="1">
      <c r="A266" s="530"/>
      <c r="B266" s="531"/>
      <c r="C266" s="531"/>
    </row>
    <row r="267" ht="15.75" customHeight="1">
      <c r="A267" s="530"/>
      <c r="B267" s="531"/>
      <c r="C267" s="531"/>
    </row>
    <row r="268" ht="15.75" customHeight="1">
      <c r="A268" s="530"/>
      <c r="B268" s="531"/>
      <c r="C268" s="531"/>
    </row>
    <row r="269" ht="15.75" customHeight="1">
      <c r="A269" s="530"/>
      <c r="B269" s="531"/>
      <c r="C269" s="531"/>
    </row>
    <row r="270" ht="15.75" customHeight="1">
      <c r="A270" s="530"/>
      <c r="B270" s="531"/>
      <c r="C270" s="531"/>
    </row>
    <row r="271" ht="15.75" customHeight="1">
      <c r="A271" s="530"/>
      <c r="B271" s="531"/>
      <c r="C271" s="531"/>
    </row>
    <row r="272" ht="15.75" customHeight="1">
      <c r="A272" s="530"/>
      <c r="B272" s="531"/>
      <c r="C272" s="531"/>
    </row>
    <row r="273" ht="15.75" customHeight="1">
      <c r="A273" s="530"/>
      <c r="B273" s="531"/>
      <c r="C273" s="531"/>
    </row>
    <row r="274" ht="15.75" customHeight="1">
      <c r="A274" s="530"/>
      <c r="B274" s="531"/>
      <c r="C274" s="531"/>
    </row>
    <row r="275" ht="15.75" customHeight="1">
      <c r="A275" s="530"/>
      <c r="B275" s="531"/>
      <c r="C275" s="531"/>
    </row>
    <row r="276" ht="15.75" customHeight="1">
      <c r="A276" s="530"/>
      <c r="B276" s="531"/>
      <c r="C276" s="531"/>
    </row>
    <row r="277" ht="15.75" customHeight="1">
      <c r="A277" s="530"/>
      <c r="B277" s="531"/>
      <c r="C277" s="531"/>
    </row>
    <row r="278" ht="15.75" customHeight="1">
      <c r="A278" s="530"/>
      <c r="B278" s="531"/>
      <c r="C278" s="531"/>
    </row>
    <row r="279" ht="15.75" customHeight="1">
      <c r="A279" s="530"/>
      <c r="B279" s="531"/>
      <c r="C279" s="531"/>
    </row>
    <row r="280" ht="15.75" customHeight="1">
      <c r="A280" s="530"/>
      <c r="B280" s="531"/>
      <c r="C280" s="531"/>
    </row>
    <row r="281" ht="15.75" customHeight="1">
      <c r="A281" s="530"/>
      <c r="B281" s="531"/>
      <c r="C281" s="531"/>
    </row>
    <row r="282" ht="15.75" customHeight="1">
      <c r="A282" s="530"/>
      <c r="B282" s="531"/>
      <c r="C282" s="531"/>
    </row>
    <row r="283" ht="15.75" customHeight="1">
      <c r="A283" s="530"/>
      <c r="B283" s="531"/>
      <c r="C283" s="531"/>
    </row>
    <row r="284" ht="15.75" customHeight="1">
      <c r="A284" s="530"/>
      <c r="B284" s="531"/>
      <c r="C284" s="531"/>
    </row>
    <row r="285" ht="15.75" customHeight="1">
      <c r="A285" s="530"/>
      <c r="B285" s="531"/>
      <c r="C285" s="531"/>
    </row>
    <row r="286" ht="15.75" customHeight="1">
      <c r="A286" s="530"/>
      <c r="B286" s="531"/>
      <c r="C286" s="531"/>
    </row>
    <row r="287" ht="15.75" customHeight="1">
      <c r="A287" s="530"/>
      <c r="B287" s="531"/>
      <c r="C287" s="531"/>
    </row>
    <row r="288" ht="15.75" customHeight="1">
      <c r="A288" s="530"/>
      <c r="B288" s="531"/>
      <c r="C288" s="531"/>
    </row>
    <row r="289" ht="15.75" customHeight="1">
      <c r="A289" s="530"/>
      <c r="B289" s="531"/>
      <c r="C289" s="531"/>
    </row>
    <row r="290" ht="15.75" customHeight="1">
      <c r="A290" s="530"/>
      <c r="B290" s="531"/>
      <c r="C290" s="531"/>
    </row>
    <row r="291" ht="15.75" customHeight="1">
      <c r="A291" s="530"/>
      <c r="B291" s="531"/>
      <c r="C291" s="531"/>
    </row>
    <row r="292" ht="15.75" customHeight="1">
      <c r="A292" s="530"/>
      <c r="B292" s="531"/>
      <c r="C292" s="531"/>
    </row>
    <row r="293" ht="15.75" customHeight="1">
      <c r="A293" s="530"/>
      <c r="B293" s="531"/>
      <c r="C293" s="531"/>
    </row>
    <row r="294" ht="15.75" customHeight="1">
      <c r="A294" s="530"/>
      <c r="B294" s="531"/>
      <c r="C294" s="531"/>
    </row>
    <row r="295" ht="15.75" customHeight="1">
      <c r="A295" s="530"/>
      <c r="B295" s="531"/>
      <c r="C295" s="531"/>
    </row>
    <row r="296" ht="15.75" customHeight="1">
      <c r="A296" s="530"/>
      <c r="B296" s="531"/>
      <c r="C296" s="531"/>
    </row>
    <row r="297" ht="15.75" customHeight="1">
      <c r="A297" s="530"/>
      <c r="B297" s="531"/>
      <c r="C297" s="531"/>
    </row>
    <row r="298" ht="15.75" customHeight="1">
      <c r="A298" s="530"/>
      <c r="B298" s="531"/>
      <c r="C298" s="531"/>
    </row>
    <row r="299" ht="15.75" customHeight="1">
      <c r="A299" s="530"/>
      <c r="B299" s="531"/>
      <c r="C299" s="531"/>
    </row>
    <row r="300" ht="15.75" customHeight="1">
      <c r="A300" s="530"/>
      <c r="B300" s="531"/>
      <c r="C300" s="531"/>
    </row>
    <row r="301" ht="15.75" customHeight="1">
      <c r="A301" s="530"/>
      <c r="B301" s="531"/>
      <c r="C301" s="531"/>
    </row>
    <row r="302" ht="15.75" customHeight="1">
      <c r="A302" s="530"/>
      <c r="B302" s="531"/>
      <c r="C302" s="531"/>
    </row>
    <row r="303" ht="15.75" customHeight="1">
      <c r="A303" s="530"/>
      <c r="B303" s="531"/>
      <c r="C303" s="531"/>
    </row>
    <row r="304" ht="15.75" customHeight="1">
      <c r="A304" s="530"/>
      <c r="B304" s="531"/>
      <c r="C304" s="531"/>
    </row>
    <row r="305" ht="15.75" customHeight="1">
      <c r="A305" s="530"/>
      <c r="B305" s="531"/>
      <c r="C305" s="531"/>
    </row>
    <row r="306" ht="15.75" customHeight="1">
      <c r="A306" s="530"/>
      <c r="B306" s="531"/>
      <c r="C306" s="531"/>
    </row>
    <row r="307" ht="15.75" customHeight="1">
      <c r="A307" s="530"/>
      <c r="B307" s="531"/>
      <c r="C307" s="531"/>
    </row>
    <row r="308" ht="15.75" customHeight="1">
      <c r="A308" s="530"/>
      <c r="B308" s="531"/>
      <c r="C308" s="531"/>
    </row>
    <row r="309" ht="15.75" customHeight="1">
      <c r="A309" s="530"/>
      <c r="B309" s="531"/>
      <c r="C309" s="531"/>
    </row>
    <row r="310" ht="15.75" customHeight="1">
      <c r="A310" s="530"/>
      <c r="B310" s="531"/>
      <c r="C310" s="531"/>
    </row>
    <row r="311" ht="15.75" customHeight="1">
      <c r="A311" s="530"/>
      <c r="B311" s="531"/>
      <c r="C311" s="531"/>
    </row>
    <row r="312" ht="15.75" customHeight="1">
      <c r="A312" s="530"/>
      <c r="B312" s="531"/>
      <c r="C312" s="531"/>
    </row>
    <row r="313" ht="15.75" customHeight="1">
      <c r="A313" s="530"/>
      <c r="B313" s="531"/>
      <c r="C313" s="531"/>
    </row>
    <row r="314" ht="15.75" customHeight="1">
      <c r="A314" s="530"/>
      <c r="B314" s="531"/>
      <c r="C314" s="531"/>
    </row>
    <row r="315" ht="15.75" customHeight="1">
      <c r="A315" s="530"/>
      <c r="B315" s="531"/>
      <c r="C315" s="531"/>
    </row>
    <row r="316" ht="15.75" customHeight="1">
      <c r="A316" s="530"/>
      <c r="B316" s="531"/>
      <c r="C316" s="531"/>
    </row>
    <row r="317" ht="15.75" customHeight="1">
      <c r="A317" s="530"/>
      <c r="B317" s="531"/>
      <c r="C317" s="531"/>
    </row>
    <row r="318" ht="15.75" customHeight="1">
      <c r="A318" s="530"/>
      <c r="B318" s="531"/>
      <c r="C318" s="531"/>
    </row>
    <row r="319" ht="15.75" customHeight="1">
      <c r="A319" s="530"/>
      <c r="B319" s="531"/>
      <c r="C319" s="531"/>
    </row>
    <row r="320" ht="15.75" customHeight="1">
      <c r="A320" s="530"/>
      <c r="B320" s="531"/>
      <c r="C320" s="531"/>
    </row>
    <row r="321" ht="15.75" customHeight="1">
      <c r="A321" s="530"/>
      <c r="B321" s="531"/>
      <c r="C321" s="531"/>
    </row>
    <row r="322" ht="15.75" customHeight="1">
      <c r="A322" s="530"/>
      <c r="B322" s="531"/>
      <c r="C322" s="531"/>
    </row>
    <row r="323" ht="15.75" customHeight="1">
      <c r="A323" s="530"/>
      <c r="B323" s="531"/>
      <c r="C323" s="531"/>
    </row>
    <row r="324" ht="15.75" customHeight="1">
      <c r="A324" s="530"/>
      <c r="B324" s="531"/>
      <c r="C324" s="531"/>
    </row>
    <row r="325" ht="15.75" customHeight="1">
      <c r="A325" s="530"/>
      <c r="B325" s="531"/>
      <c r="C325" s="531"/>
    </row>
    <row r="326" ht="15.75" customHeight="1">
      <c r="A326" s="530"/>
      <c r="B326" s="531"/>
      <c r="C326" s="531"/>
    </row>
    <row r="327" ht="15.75" customHeight="1">
      <c r="A327" s="530"/>
      <c r="B327" s="531"/>
      <c r="C327" s="531"/>
    </row>
    <row r="328" ht="15.75" customHeight="1">
      <c r="A328" s="530"/>
      <c r="B328" s="531"/>
      <c r="C328" s="531"/>
    </row>
    <row r="329" ht="15.75" customHeight="1">
      <c r="A329" s="530"/>
      <c r="B329" s="531"/>
      <c r="C329" s="531"/>
    </row>
    <row r="330" ht="15.75" customHeight="1">
      <c r="A330" s="530"/>
      <c r="B330" s="531"/>
      <c r="C330" s="531"/>
    </row>
    <row r="331" ht="15.75" customHeight="1">
      <c r="A331" s="530"/>
      <c r="B331" s="531"/>
      <c r="C331" s="531"/>
    </row>
    <row r="332" ht="15.75" customHeight="1">
      <c r="A332" s="530"/>
      <c r="B332" s="531"/>
      <c r="C332" s="531"/>
    </row>
    <row r="333" ht="15.75" customHeight="1">
      <c r="A333" s="530"/>
      <c r="B333" s="531"/>
      <c r="C333" s="531"/>
    </row>
    <row r="334" ht="15.75" customHeight="1">
      <c r="A334" s="530"/>
      <c r="B334" s="531"/>
      <c r="C334" s="531"/>
    </row>
    <row r="335" ht="15.75" customHeight="1">
      <c r="A335" s="530"/>
      <c r="B335" s="531"/>
      <c r="C335" s="531"/>
    </row>
    <row r="336" ht="15.75" customHeight="1">
      <c r="A336" s="530"/>
      <c r="B336" s="531"/>
      <c r="C336" s="531"/>
    </row>
    <row r="337" ht="15.75" customHeight="1">
      <c r="A337" s="530"/>
      <c r="B337" s="531"/>
      <c r="C337" s="531"/>
    </row>
    <row r="338" ht="15.75" customHeight="1">
      <c r="A338" s="530"/>
      <c r="B338" s="531"/>
      <c r="C338" s="531"/>
    </row>
    <row r="339" ht="15.75" customHeight="1">
      <c r="A339" s="530"/>
      <c r="B339" s="531"/>
      <c r="C339" s="531"/>
    </row>
    <row r="340" ht="15.75" customHeight="1">
      <c r="A340" s="530"/>
      <c r="B340" s="531"/>
      <c r="C340" s="531"/>
    </row>
    <row r="341" ht="15.75" customHeight="1">
      <c r="A341" s="530"/>
      <c r="B341" s="531"/>
      <c r="C341" s="531"/>
    </row>
    <row r="342" ht="15.75" customHeight="1">
      <c r="A342" s="530"/>
      <c r="B342" s="531"/>
      <c r="C342" s="531"/>
    </row>
    <row r="343" ht="15.75" customHeight="1">
      <c r="A343" s="530"/>
      <c r="B343" s="531"/>
      <c r="C343" s="531"/>
    </row>
    <row r="344" ht="15.75" customHeight="1">
      <c r="A344" s="530"/>
      <c r="B344" s="531"/>
      <c r="C344" s="531"/>
    </row>
    <row r="345" ht="15.75" customHeight="1">
      <c r="A345" s="530"/>
      <c r="B345" s="531"/>
      <c r="C345" s="531"/>
    </row>
    <row r="346" ht="15.75" customHeight="1">
      <c r="A346" s="530"/>
      <c r="B346" s="531"/>
      <c r="C346" s="531"/>
    </row>
    <row r="347" ht="15.75" customHeight="1">
      <c r="A347" s="530"/>
      <c r="B347" s="531"/>
      <c r="C347" s="531"/>
    </row>
    <row r="348" ht="15.75" customHeight="1">
      <c r="A348" s="530"/>
      <c r="B348" s="531"/>
      <c r="C348" s="531"/>
    </row>
    <row r="349" ht="15.75" customHeight="1">
      <c r="A349" s="530"/>
      <c r="B349" s="531"/>
      <c r="C349" s="531"/>
    </row>
    <row r="350" ht="15.75" customHeight="1">
      <c r="A350" s="530"/>
      <c r="B350" s="531"/>
      <c r="C350" s="531"/>
    </row>
    <row r="351" ht="15.75" customHeight="1">
      <c r="A351" s="530"/>
      <c r="B351" s="531"/>
      <c r="C351" s="531"/>
    </row>
    <row r="352" ht="15.75" customHeight="1">
      <c r="A352" s="530"/>
      <c r="B352" s="531"/>
      <c r="C352" s="531"/>
    </row>
    <row r="353" ht="15.75" customHeight="1">
      <c r="A353" s="530"/>
      <c r="B353" s="531"/>
      <c r="C353" s="531"/>
    </row>
    <row r="354" ht="15.75" customHeight="1">
      <c r="A354" s="530"/>
      <c r="B354" s="531"/>
      <c r="C354" s="531"/>
    </row>
    <row r="355" ht="15.75" customHeight="1">
      <c r="A355" s="530"/>
      <c r="B355" s="531"/>
      <c r="C355" s="531"/>
    </row>
    <row r="356" ht="15.75" customHeight="1">
      <c r="A356" s="530"/>
      <c r="B356" s="531"/>
      <c r="C356" s="531"/>
    </row>
    <row r="357" ht="15.75" customHeight="1">
      <c r="A357" s="530"/>
      <c r="B357" s="531"/>
      <c r="C357" s="531"/>
    </row>
    <row r="358" ht="15.75" customHeight="1">
      <c r="A358" s="530"/>
      <c r="B358" s="531"/>
      <c r="C358" s="531"/>
    </row>
    <row r="359" ht="15.75" customHeight="1">
      <c r="A359" s="530"/>
      <c r="B359" s="531"/>
      <c r="C359" s="531"/>
    </row>
    <row r="360" ht="15.75" customHeight="1">
      <c r="A360" s="530"/>
      <c r="B360" s="531"/>
      <c r="C360" s="531"/>
    </row>
    <row r="361" ht="15.75" customHeight="1">
      <c r="A361" s="530"/>
      <c r="B361" s="531"/>
      <c r="C361" s="531"/>
    </row>
    <row r="362" ht="15.75" customHeight="1">
      <c r="A362" s="530"/>
      <c r="B362" s="531"/>
      <c r="C362" s="531"/>
    </row>
    <row r="363" ht="15.75" customHeight="1">
      <c r="A363" s="530"/>
      <c r="B363" s="531"/>
      <c r="C363" s="531"/>
    </row>
    <row r="364" ht="15.75" customHeight="1">
      <c r="A364" s="530"/>
      <c r="B364" s="531"/>
      <c r="C364" s="531"/>
    </row>
    <row r="365" ht="15.75" customHeight="1">
      <c r="A365" s="530"/>
      <c r="B365" s="531"/>
      <c r="C365" s="531"/>
    </row>
    <row r="366" ht="15.75" customHeight="1">
      <c r="A366" s="530"/>
      <c r="B366" s="531"/>
      <c r="C366" s="531"/>
    </row>
    <row r="367" ht="15.75" customHeight="1">
      <c r="A367" s="530"/>
      <c r="B367" s="531"/>
      <c r="C367" s="531"/>
    </row>
    <row r="368" ht="15.75" customHeight="1">
      <c r="A368" s="530"/>
      <c r="B368" s="531"/>
      <c r="C368" s="531"/>
    </row>
    <row r="369" ht="15.75" customHeight="1">
      <c r="A369" s="530"/>
      <c r="B369" s="531"/>
      <c r="C369" s="531"/>
    </row>
    <row r="370" ht="15.75" customHeight="1">
      <c r="A370" s="530"/>
      <c r="B370" s="531"/>
      <c r="C370" s="531"/>
    </row>
    <row r="371" ht="15.75" customHeight="1">
      <c r="A371" s="530"/>
      <c r="B371" s="531"/>
      <c r="C371" s="531"/>
    </row>
    <row r="372" ht="15.75" customHeight="1">
      <c r="A372" s="530"/>
      <c r="B372" s="531"/>
      <c r="C372" s="531"/>
    </row>
    <row r="373" ht="15.75" customHeight="1">
      <c r="A373" s="530"/>
      <c r="B373" s="531"/>
      <c r="C373" s="531"/>
    </row>
    <row r="374" ht="15.75" customHeight="1">
      <c r="A374" s="530"/>
      <c r="B374" s="531"/>
      <c r="C374" s="531"/>
    </row>
    <row r="375" ht="15.75" customHeight="1">
      <c r="A375" s="530"/>
      <c r="B375" s="531"/>
      <c r="C375" s="531"/>
    </row>
    <row r="376" ht="15.75" customHeight="1">
      <c r="A376" s="530"/>
      <c r="B376" s="531"/>
      <c r="C376" s="531"/>
    </row>
    <row r="377" ht="15.75" customHeight="1">
      <c r="A377" s="530"/>
      <c r="B377" s="531"/>
      <c r="C377" s="531"/>
    </row>
    <row r="378" ht="15.75" customHeight="1">
      <c r="A378" s="530"/>
      <c r="B378" s="531"/>
      <c r="C378" s="531"/>
    </row>
    <row r="379" ht="15.75" customHeight="1">
      <c r="A379" s="530"/>
      <c r="B379" s="531"/>
      <c r="C379" s="531"/>
    </row>
    <row r="380" ht="15.75" customHeight="1">
      <c r="A380" s="530"/>
      <c r="B380" s="531"/>
      <c r="C380" s="531"/>
    </row>
    <row r="381" ht="15.75" customHeight="1">
      <c r="A381" s="530"/>
      <c r="B381" s="531"/>
      <c r="C381" s="531"/>
    </row>
    <row r="382" ht="15.75" customHeight="1">
      <c r="A382" s="530"/>
      <c r="B382" s="531"/>
      <c r="C382" s="531"/>
    </row>
    <row r="383" ht="15.75" customHeight="1">
      <c r="A383" s="530"/>
      <c r="B383" s="531"/>
      <c r="C383" s="531"/>
    </row>
    <row r="384" ht="15.75" customHeight="1">
      <c r="A384" s="530"/>
      <c r="B384" s="531"/>
      <c r="C384" s="531"/>
    </row>
    <row r="385" ht="15.75" customHeight="1">
      <c r="A385" s="530"/>
      <c r="B385" s="531"/>
      <c r="C385" s="531"/>
    </row>
    <row r="386" ht="15.75" customHeight="1">
      <c r="A386" s="530"/>
      <c r="B386" s="531"/>
      <c r="C386" s="531"/>
    </row>
    <row r="387" ht="15.75" customHeight="1">
      <c r="A387" s="530"/>
      <c r="B387" s="531"/>
      <c r="C387" s="531"/>
    </row>
    <row r="388" ht="15.75" customHeight="1">
      <c r="A388" s="530"/>
      <c r="B388" s="531"/>
      <c r="C388" s="531"/>
    </row>
    <row r="389" ht="15.75" customHeight="1">
      <c r="A389" s="530"/>
      <c r="B389" s="531"/>
      <c r="C389" s="531"/>
    </row>
    <row r="390" ht="15.75" customHeight="1">
      <c r="A390" s="530"/>
      <c r="B390" s="531"/>
      <c r="C390" s="531"/>
    </row>
    <row r="391" ht="15.75" customHeight="1">
      <c r="A391" s="530"/>
      <c r="B391" s="531"/>
      <c r="C391" s="531"/>
    </row>
    <row r="392" ht="15.75" customHeight="1">
      <c r="A392" s="530"/>
      <c r="B392" s="531"/>
      <c r="C392" s="531"/>
    </row>
    <row r="393" ht="15.75" customHeight="1">
      <c r="A393" s="530"/>
      <c r="B393" s="531"/>
      <c r="C393" s="531"/>
    </row>
    <row r="394" ht="15.75" customHeight="1">
      <c r="A394" s="530"/>
      <c r="B394" s="531"/>
      <c r="C394" s="531"/>
    </row>
    <row r="395" ht="15.75" customHeight="1">
      <c r="A395" s="530"/>
      <c r="B395" s="531"/>
      <c r="C395" s="531"/>
    </row>
    <row r="396" ht="15.75" customHeight="1">
      <c r="A396" s="530"/>
      <c r="B396" s="531"/>
      <c r="C396" s="531"/>
    </row>
    <row r="397" ht="15.75" customHeight="1">
      <c r="A397" s="530"/>
      <c r="B397" s="531"/>
      <c r="C397" s="531"/>
    </row>
    <row r="398" ht="15.75" customHeight="1">
      <c r="A398" s="530"/>
      <c r="B398" s="531"/>
      <c r="C398" s="531"/>
    </row>
    <row r="399" ht="15.75" customHeight="1">
      <c r="A399" s="530"/>
      <c r="B399" s="531"/>
      <c r="C399" s="531"/>
    </row>
    <row r="400" ht="15.75" customHeight="1">
      <c r="A400" s="530"/>
      <c r="B400" s="531"/>
      <c r="C400" s="531"/>
    </row>
    <row r="401" ht="15.75" customHeight="1">
      <c r="A401" s="530"/>
      <c r="B401" s="531"/>
      <c r="C401" s="531"/>
    </row>
    <row r="402" ht="15.75" customHeight="1">
      <c r="A402" s="530"/>
      <c r="B402" s="531"/>
      <c r="C402" s="531"/>
    </row>
    <row r="403" ht="15.75" customHeight="1">
      <c r="A403" s="530"/>
      <c r="B403" s="531"/>
      <c r="C403" s="531"/>
    </row>
    <row r="404" ht="15.75" customHeight="1">
      <c r="A404" s="530"/>
      <c r="B404" s="531"/>
      <c r="C404" s="531"/>
    </row>
    <row r="405" ht="15.75" customHeight="1">
      <c r="A405" s="530"/>
      <c r="B405" s="531"/>
      <c r="C405" s="531"/>
    </row>
    <row r="406" ht="15.75" customHeight="1">
      <c r="A406" s="530"/>
      <c r="B406" s="531"/>
      <c r="C406" s="531"/>
    </row>
    <row r="407" ht="15.75" customHeight="1">
      <c r="A407" s="530"/>
      <c r="B407" s="531"/>
      <c r="C407" s="531"/>
    </row>
    <row r="408" ht="15.75" customHeight="1">
      <c r="A408" s="530"/>
      <c r="B408" s="531"/>
      <c r="C408" s="531"/>
    </row>
    <row r="409" ht="15.75" customHeight="1">
      <c r="A409" s="530"/>
      <c r="B409" s="531"/>
      <c r="C409" s="531"/>
    </row>
    <row r="410" ht="15.75" customHeight="1">
      <c r="A410" s="530"/>
      <c r="B410" s="531"/>
      <c r="C410" s="531"/>
    </row>
    <row r="411" ht="15.75" customHeight="1">
      <c r="A411" s="530"/>
      <c r="B411" s="531"/>
      <c r="C411" s="531"/>
    </row>
    <row r="412" ht="15.75" customHeight="1">
      <c r="A412" s="530"/>
      <c r="B412" s="531"/>
      <c r="C412" s="531"/>
    </row>
    <row r="413" ht="15.75" customHeight="1">
      <c r="A413" s="530"/>
      <c r="B413" s="531"/>
      <c r="C413" s="531"/>
    </row>
    <row r="414" ht="15.75" customHeight="1">
      <c r="A414" s="530"/>
      <c r="B414" s="531"/>
      <c r="C414" s="531"/>
    </row>
    <row r="415" ht="15.75" customHeight="1">
      <c r="A415" s="530"/>
      <c r="B415" s="531"/>
      <c r="C415" s="531"/>
    </row>
    <row r="416" ht="15.75" customHeight="1">
      <c r="A416" s="530"/>
      <c r="B416" s="531"/>
      <c r="C416" s="531"/>
    </row>
    <row r="417" ht="15.75" customHeight="1">
      <c r="A417" s="530"/>
      <c r="B417" s="531"/>
      <c r="C417" s="531"/>
    </row>
    <row r="418" ht="15.75" customHeight="1">
      <c r="A418" s="530"/>
      <c r="B418" s="531"/>
      <c r="C418" s="531"/>
    </row>
    <row r="419" ht="15.75" customHeight="1">
      <c r="A419" s="530"/>
      <c r="B419" s="531"/>
      <c r="C419" s="531"/>
    </row>
    <row r="420" ht="15.75" customHeight="1">
      <c r="A420" s="530"/>
      <c r="B420" s="531"/>
      <c r="C420" s="531"/>
    </row>
    <row r="421" ht="15.75" customHeight="1">
      <c r="A421" s="530"/>
      <c r="B421" s="531"/>
      <c r="C421" s="531"/>
    </row>
    <row r="422" ht="15.75" customHeight="1">
      <c r="A422" s="530"/>
      <c r="B422" s="531"/>
      <c r="C422" s="531"/>
    </row>
    <row r="423" ht="15.75" customHeight="1">
      <c r="A423" s="530"/>
      <c r="B423" s="531"/>
      <c r="C423" s="531"/>
    </row>
    <row r="424" ht="15.75" customHeight="1">
      <c r="A424" s="530"/>
      <c r="B424" s="531"/>
      <c r="C424" s="531"/>
    </row>
    <row r="425" ht="15.75" customHeight="1">
      <c r="A425" s="530"/>
      <c r="B425" s="531"/>
      <c r="C425" s="531"/>
    </row>
    <row r="426" ht="15.75" customHeight="1">
      <c r="A426" s="530"/>
      <c r="B426" s="531"/>
      <c r="C426" s="531"/>
    </row>
    <row r="427" ht="15.75" customHeight="1">
      <c r="A427" s="530"/>
      <c r="B427" s="531"/>
      <c r="C427" s="531"/>
    </row>
    <row r="428" ht="15.75" customHeight="1">
      <c r="A428" s="530"/>
      <c r="B428" s="531"/>
      <c r="C428" s="531"/>
    </row>
    <row r="429" ht="15.75" customHeight="1">
      <c r="A429" s="530"/>
      <c r="B429" s="531"/>
      <c r="C429" s="531"/>
    </row>
    <row r="430" ht="15.75" customHeight="1">
      <c r="A430" s="530"/>
      <c r="B430" s="531"/>
      <c r="C430" s="531"/>
    </row>
    <row r="431" ht="15.75" customHeight="1">
      <c r="A431" s="530"/>
      <c r="B431" s="531"/>
      <c r="C431" s="531"/>
    </row>
    <row r="432" ht="15.75" customHeight="1">
      <c r="A432" s="530"/>
      <c r="B432" s="531"/>
      <c r="C432" s="531"/>
    </row>
    <row r="433" ht="15.75" customHeight="1">
      <c r="A433" s="530"/>
      <c r="B433" s="531"/>
      <c r="C433" s="531"/>
    </row>
    <row r="434" ht="15.75" customHeight="1">
      <c r="A434" s="530"/>
      <c r="B434" s="531"/>
      <c r="C434" s="531"/>
    </row>
    <row r="435" ht="15.75" customHeight="1">
      <c r="A435" s="530"/>
      <c r="B435" s="531"/>
      <c r="C435" s="531"/>
    </row>
    <row r="436" ht="15.75" customHeight="1">
      <c r="A436" s="530"/>
      <c r="B436" s="531"/>
      <c r="C436" s="531"/>
    </row>
    <row r="437" ht="15.75" customHeight="1">
      <c r="A437" s="530"/>
      <c r="B437" s="531"/>
      <c r="C437" s="531"/>
    </row>
    <row r="438" ht="15.75" customHeight="1">
      <c r="A438" s="530"/>
      <c r="B438" s="531"/>
      <c r="C438" s="531"/>
    </row>
    <row r="439" ht="15.75" customHeight="1">
      <c r="A439" s="530"/>
      <c r="B439" s="531"/>
      <c r="C439" s="531"/>
    </row>
    <row r="440" ht="15.75" customHeight="1">
      <c r="A440" s="530"/>
      <c r="B440" s="531"/>
      <c r="C440" s="531"/>
    </row>
    <row r="441" ht="15.75" customHeight="1">
      <c r="A441" s="530"/>
      <c r="B441" s="531"/>
      <c r="C441" s="531"/>
    </row>
    <row r="442" ht="15.75" customHeight="1">
      <c r="A442" s="530"/>
      <c r="B442" s="531"/>
      <c r="C442" s="531"/>
    </row>
    <row r="443" ht="15.75" customHeight="1">
      <c r="A443" s="530"/>
      <c r="B443" s="531"/>
      <c r="C443" s="531"/>
    </row>
    <row r="444" ht="15.75" customHeight="1">
      <c r="A444" s="530"/>
      <c r="B444" s="531"/>
      <c r="C444" s="531"/>
    </row>
    <row r="445" ht="15.75" customHeight="1">
      <c r="A445" s="530"/>
      <c r="B445" s="531"/>
      <c r="C445" s="531"/>
    </row>
    <row r="446" ht="15.75" customHeight="1">
      <c r="A446" s="530"/>
      <c r="B446" s="531"/>
      <c r="C446" s="531"/>
    </row>
    <row r="447" ht="15.75" customHeight="1">
      <c r="A447" s="530"/>
      <c r="B447" s="531"/>
      <c r="C447" s="531"/>
    </row>
    <row r="448" ht="15.75" customHeight="1">
      <c r="A448" s="530"/>
      <c r="B448" s="531"/>
      <c r="C448" s="531"/>
    </row>
    <row r="449" ht="15.75" customHeight="1">
      <c r="A449" s="530"/>
      <c r="B449" s="531"/>
      <c r="C449" s="531"/>
    </row>
    <row r="450" ht="15.75" customHeight="1">
      <c r="A450" s="530"/>
      <c r="B450" s="531"/>
      <c r="C450" s="531"/>
    </row>
    <row r="451" ht="15.75" customHeight="1">
      <c r="A451" s="530"/>
      <c r="B451" s="531"/>
      <c r="C451" s="531"/>
    </row>
    <row r="452" ht="15.75" customHeight="1">
      <c r="A452" s="530"/>
      <c r="B452" s="531"/>
      <c r="C452" s="531"/>
    </row>
    <row r="453" ht="15.75" customHeight="1">
      <c r="A453" s="530"/>
      <c r="B453" s="531"/>
      <c r="C453" s="531"/>
    </row>
    <row r="454" ht="15.75" customHeight="1">
      <c r="A454" s="530"/>
      <c r="B454" s="531"/>
      <c r="C454" s="531"/>
    </row>
    <row r="455" ht="15.75" customHeight="1">
      <c r="A455" s="530"/>
      <c r="B455" s="531"/>
      <c r="C455" s="531"/>
    </row>
    <row r="456" ht="15.75" customHeight="1">
      <c r="A456" s="530"/>
      <c r="B456" s="531"/>
      <c r="C456" s="531"/>
    </row>
    <row r="457" ht="15.75" customHeight="1">
      <c r="A457" s="530"/>
      <c r="B457" s="531"/>
      <c r="C457" s="531"/>
    </row>
    <row r="458" ht="15.75" customHeight="1">
      <c r="A458" s="530"/>
      <c r="B458" s="531"/>
      <c r="C458" s="531"/>
    </row>
    <row r="459" ht="15.75" customHeight="1">
      <c r="A459" s="530"/>
      <c r="B459" s="531"/>
      <c r="C459" s="531"/>
    </row>
    <row r="460" ht="15.75" customHeight="1">
      <c r="A460" s="530"/>
      <c r="B460" s="531"/>
      <c r="C460" s="531"/>
    </row>
    <row r="461" ht="15.75" customHeight="1">
      <c r="A461" s="530"/>
      <c r="B461" s="531"/>
      <c r="C461" s="531"/>
    </row>
    <row r="462" ht="15.75" customHeight="1">
      <c r="A462" s="530"/>
      <c r="B462" s="531"/>
      <c r="C462" s="531"/>
    </row>
    <row r="463" ht="15.75" customHeight="1">
      <c r="A463" s="530"/>
      <c r="B463" s="531"/>
      <c r="C463" s="531"/>
    </row>
    <row r="464" ht="15.75" customHeight="1">
      <c r="A464" s="530"/>
      <c r="B464" s="531"/>
      <c r="C464" s="531"/>
    </row>
    <row r="465" ht="15.75" customHeight="1">
      <c r="A465" s="530"/>
      <c r="B465" s="531"/>
      <c r="C465" s="531"/>
    </row>
    <row r="466" ht="15.75" customHeight="1">
      <c r="A466" s="530"/>
      <c r="B466" s="531"/>
      <c r="C466" s="531"/>
    </row>
    <row r="467" ht="15.75" customHeight="1">
      <c r="A467" s="530"/>
      <c r="B467" s="531"/>
      <c r="C467" s="531"/>
    </row>
    <row r="468" ht="15.75" customHeight="1">
      <c r="A468" s="530"/>
      <c r="B468" s="531"/>
      <c r="C468" s="531"/>
    </row>
    <row r="469" ht="15.75" customHeight="1">
      <c r="A469" s="530"/>
      <c r="B469" s="531"/>
      <c r="C469" s="531"/>
    </row>
    <row r="470" ht="15.75" customHeight="1">
      <c r="A470" s="530"/>
      <c r="B470" s="531"/>
      <c r="C470" s="531"/>
    </row>
    <row r="471" ht="15.75" customHeight="1">
      <c r="A471" s="530"/>
      <c r="B471" s="531"/>
      <c r="C471" s="531"/>
    </row>
    <row r="472" ht="15.75" customHeight="1">
      <c r="A472" s="530"/>
      <c r="B472" s="531"/>
      <c r="C472" s="531"/>
    </row>
    <row r="473" ht="15.75" customHeight="1">
      <c r="A473" s="530"/>
      <c r="B473" s="531"/>
      <c r="C473" s="531"/>
    </row>
    <row r="474" ht="15.75" customHeight="1">
      <c r="A474" s="530"/>
      <c r="B474" s="531"/>
      <c r="C474" s="531"/>
    </row>
    <row r="475" ht="15.75" customHeight="1">
      <c r="A475" s="530"/>
      <c r="B475" s="531"/>
      <c r="C475" s="531"/>
    </row>
    <row r="476" ht="15.75" customHeight="1">
      <c r="A476" s="530"/>
      <c r="B476" s="531"/>
      <c r="C476" s="531"/>
    </row>
    <row r="477" ht="15.75" customHeight="1">
      <c r="A477" s="530"/>
      <c r="B477" s="531"/>
      <c r="C477" s="531"/>
    </row>
    <row r="478" ht="15.75" customHeight="1">
      <c r="A478" s="530"/>
      <c r="B478" s="531"/>
      <c r="C478" s="531"/>
    </row>
    <row r="479" ht="15.75" customHeight="1">
      <c r="A479" s="530"/>
      <c r="B479" s="531"/>
      <c r="C479" s="531"/>
    </row>
    <row r="480" ht="15.75" customHeight="1">
      <c r="A480" s="530"/>
      <c r="B480" s="531"/>
      <c r="C480" s="531"/>
    </row>
    <row r="481" ht="15.75" customHeight="1">
      <c r="A481" s="530"/>
      <c r="B481" s="531"/>
      <c r="C481" s="531"/>
    </row>
    <row r="482" ht="15.75" customHeight="1">
      <c r="A482" s="530"/>
      <c r="B482" s="531"/>
      <c r="C482" s="531"/>
    </row>
    <row r="483" ht="15.75" customHeight="1">
      <c r="A483" s="530"/>
      <c r="B483" s="531"/>
      <c r="C483" s="531"/>
    </row>
    <row r="484" ht="15.75" customHeight="1">
      <c r="A484" s="530"/>
      <c r="B484" s="531"/>
      <c r="C484" s="531"/>
    </row>
    <row r="485" ht="15.75" customHeight="1">
      <c r="A485" s="530"/>
      <c r="B485" s="531"/>
      <c r="C485" s="531"/>
    </row>
    <row r="486" ht="15.75" customHeight="1">
      <c r="A486" s="530"/>
      <c r="B486" s="531"/>
      <c r="C486" s="531"/>
    </row>
    <row r="487" ht="15.75" customHeight="1">
      <c r="A487" s="530"/>
      <c r="B487" s="531"/>
      <c r="C487" s="531"/>
    </row>
    <row r="488" ht="15.75" customHeight="1">
      <c r="A488" s="530"/>
      <c r="B488" s="531"/>
      <c r="C488" s="531"/>
    </row>
    <row r="489" ht="15.75" customHeight="1">
      <c r="A489" s="530"/>
      <c r="B489" s="531"/>
      <c r="C489" s="531"/>
    </row>
    <row r="490" ht="15.75" customHeight="1">
      <c r="A490" s="530"/>
      <c r="B490" s="531"/>
      <c r="C490" s="531"/>
    </row>
    <row r="491" ht="15.75" customHeight="1">
      <c r="A491" s="530"/>
      <c r="B491" s="531"/>
      <c r="C491" s="531"/>
    </row>
    <row r="492" ht="15.75" customHeight="1">
      <c r="A492" s="530"/>
      <c r="B492" s="531"/>
      <c r="C492" s="531"/>
    </row>
    <row r="493" ht="15.75" customHeight="1">
      <c r="A493" s="530"/>
      <c r="B493" s="531"/>
      <c r="C493" s="531"/>
    </row>
    <row r="494" ht="15.75" customHeight="1">
      <c r="A494" s="530"/>
      <c r="B494" s="531"/>
      <c r="C494" s="531"/>
    </row>
    <row r="495" ht="15.75" customHeight="1">
      <c r="A495" s="530"/>
      <c r="B495" s="531"/>
      <c r="C495" s="531"/>
    </row>
    <row r="496" ht="15.75" customHeight="1">
      <c r="A496" s="530"/>
      <c r="B496" s="531"/>
      <c r="C496" s="531"/>
    </row>
    <row r="497" ht="15.75" customHeight="1">
      <c r="A497" s="530"/>
      <c r="B497" s="531"/>
      <c r="C497" s="531"/>
    </row>
    <row r="498" ht="15.75" customHeight="1">
      <c r="A498" s="530"/>
      <c r="B498" s="531"/>
      <c r="C498" s="531"/>
    </row>
    <row r="499" ht="15.75" customHeight="1">
      <c r="A499" s="530"/>
      <c r="B499" s="531"/>
      <c r="C499" s="531"/>
    </row>
    <row r="500" ht="15.75" customHeight="1">
      <c r="A500" s="530"/>
      <c r="B500" s="531"/>
      <c r="C500" s="531"/>
    </row>
    <row r="501" ht="15.75" customHeight="1">
      <c r="A501" s="530"/>
      <c r="B501" s="531"/>
      <c r="C501" s="531"/>
    </row>
    <row r="502" ht="15.75" customHeight="1">
      <c r="A502" s="530"/>
      <c r="B502" s="531"/>
      <c r="C502" s="531"/>
    </row>
    <row r="503" ht="15.75" customHeight="1">
      <c r="A503" s="530"/>
      <c r="B503" s="531"/>
      <c r="C503" s="531"/>
    </row>
    <row r="504" ht="15.75" customHeight="1">
      <c r="A504" s="530"/>
      <c r="B504" s="531"/>
      <c r="C504" s="531"/>
    </row>
    <row r="505" ht="15.75" customHeight="1">
      <c r="A505" s="530"/>
      <c r="B505" s="531"/>
      <c r="C505" s="531"/>
    </row>
    <row r="506" ht="15.75" customHeight="1">
      <c r="A506" s="530"/>
      <c r="B506" s="531"/>
      <c r="C506" s="531"/>
    </row>
    <row r="507" ht="15.75" customHeight="1">
      <c r="A507" s="530"/>
      <c r="B507" s="531"/>
      <c r="C507" s="531"/>
    </row>
    <row r="508" ht="15.75" customHeight="1">
      <c r="A508" s="530"/>
      <c r="B508" s="531"/>
      <c r="C508" s="531"/>
    </row>
    <row r="509" ht="15.75" customHeight="1">
      <c r="A509" s="530"/>
      <c r="B509" s="531"/>
      <c r="C509" s="531"/>
    </row>
    <row r="510" ht="15.75" customHeight="1">
      <c r="A510" s="530"/>
      <c r="B510" s="531"/>
      <c r="C510" s="531"/>
    </row>
    <row r="511" ht="15.75" customHeight="1">
      <c r="A511" s="530"/>
      <c r="B511" s="531"/>
      <c r="C511" s="531"/>
    </row>
    <row r="512" ht="15.75" customHeight="1">
      <c r="A512" s="530"/>
      <c r="B512" s="531"/>
      <c r="C512" s="531"/>
    </row>
    <row r="513" ht="15.75" customHeight="1">
      <c r="A513" s="530"/>
      <c r="B513" s="531"/>
      <c r="C513" s="531"/>
    </row>
    <row r="514" ht="15.75" customHeight="1">
      <c r="A514" s="530"/>
      <c r="B514" s="531"/>
      <c r="C514" s="531"/>
    </row>
    <row r="515" ht="15.75" customHeight="1">
      <c r="A515" s="530"/>
      <c r="B515" s="531"/>
      <c r="C515" s="531"/>
    </row>
    <row r="516" ht="15.75" customHeight="1">
      <c r="A516" s="530"/>
      <c r="B516" s="531"/>
      <c r="C516" s="531"/>
    </row>
    <row r="517" ht="15.75" customHeight="1">
      <c r="A517" s="530"/>
      <c r="B517" s="531"/>
      <c r="C517" s="531"/>
    </row>
    <row r="518" ht="15.75" customHeight="1">
      <c r="A518" s="530"/>
      <c r="B518" s="531"/>
      <c r="C518" s="531"/>
    </row>
    <row r="519" ht="15.75" customHeight="1">
      <c r="A519" s="530"/>
      <c r="B519" s="531"/>
      <c r="C519" s="531"/>
    </row>
    <row r="520" ht="15.75" customHeight="1">
      <c r="A520" s="530"/>
      <c r="B520" s="531"/>
      <c r="C520" s="531"/>
    </row>
    <row r="521" ht="15.75" customHeight="1">
      <c r="A521" s="530"/>
      <c r="B521" s="531"/>
      <c r="C521" s="531"/>
    </row>
    <row r="522" ht="15.75" customHeight="1">
      <c r="A522" s="530"/>
      <c r="B522" s="531"/>
      <c r="C522" s="531"/>
    </row>
    <row r="523" ht="15.75" customHeight="1">
      <c r="A523" s="530"/>
      <c r="B523" s="531"/>
      <c r="C523" s="531"/>
    </row>
    <row r="524" ht="15.75" customHeight="1">
      <c r="A524" s="530"/>
      <c r="B524" s="531"/>
      <c r="C524" s="531"/>
    </row>
    <row r="525" ht="15.75" customHeight="1">
      <c r="A525" s="530"/>
      <c r="B525" s="531"/>
      <c r="C525" s="531"/>
    </row>
    <row r="526" ht="15.75" customHeight="1">
      <c r="A526" s="530"/>
      <c r="B526" s="531"/>
      <c r="C526" s="531"/>
    </row>
    <row r="527" ht="15.75" customHeight="1">
      <c r="A527" s="530"/>
      <c r="B527" s="531"/>
      <c r="C527" s="531"/>
    </row>
    <row r="528" ht="15.75" customHeight="1">
      <c r="A528" s="530"/>
      <c r="B528" s="531"/>
      <c r="C528" s="531"/>
    </row>
    <row r="529" ht="15.75" customHeight="1">
      <c r="A529" s="530"/>
      <c r="B529" s="531"/>
      <c r="C529" s="531"/>
    </row>
    <row r="530" ht="15.75" customHeight="1">
      <c r="A530" s="530"/>
      <c r="B530" s="531"/>
      <c r="C530" s="531"/>
    </row>
    <row r="531" ht="15.75" customHeight="1">
      <c r="A531" s="530"/>
      <c r="B531" s="531"/>
      <c r="C531" s="531"/>
    </row>
    <row r="532" ht="15.75" customHeight="1">
      <c r="A532" s="530"/>
      <c r="B532" s="531"/>
      <c r="C532" s="531"/>
    </row>
    <row r="533" ht="15.75" customHeight="1">
      <c r="A533" s="530"/>
      <c r="B533" s="531"/>
      <c r="C533" s="531"/>
    </row>
    <row r="534" ht="15.75" customHeight="1">
      <c r="A534" s="530"/>
      <c r="B534" s="531"/>
      <c r="C534" s="531"/>
    </row>
    <row r="535" ht="15.75" customHeight="1">
      <c r="A535" s="530"/>
      <c r="B535" s="531"/>
      <c r="C535" s="531"/>
    </row>
    <row r="536" ht="15.75" customHeight="1">
      <c r="A536" s="530"/>
      <c r="B536" s="531"/>
      <c r="C536" s="531"/>
    </row>
    <row r="537" ht="15.75" customHeight="1">
      <c r="A537" s="530"/>
      <c r="B537" s="531"/>
      <c r="C537" s="531"/>
    </row>
    <row r="538" ht="15.75" customHeight="1">
      <c r="A538" s="530"/>
      <c r="B538" s="531"/>
      <c r="C538" s="531"/>
    </row>
    <row r="539" ht="15.75" customHeight="1">
      <c r="A539" s="530"/>
      <c r="B539" s="531"/>
      <c r="C539" s="531"/>
    </row>
    <row r="540" ht="15.75" customHeight="1">
      <c r="A540" s="530"/>
      <c r="B540" s="531"/>
      <c r="C540" s="531"/>
    </row>
    <row r="541" ht="15.75" customHeight="1">
      <c r="A541" s="530"/>
      <c r="B541" s="531"/>
      <c r="C541" s="531"/>
    </row>
    <row r="542" ht="15.75" customHeight="1">
      <c r="A542" s="530"/>
      <c r="B542" s="531"/>
      <c r="C542" s="531"/>
    </row>
    <row r="543" ht="15.75" customHeight="1">
      <c r="A543" s="530"/>
      <c r="B543" s="531"/>
      <c r="C543" s="531"/>
    </row>
    <row r="544" ht="15.75" customHeight="1">
      <c r="A544" s="530"/>
      <c r="B544" s="531"/>
      <c r="C544" s="531"/>
    </row>
    <row r="545" ht="15.75" customHeight="1">
      <c r="A545" s="530"/>
      <c r="B545" s="531"/>
      <c r="C545" s="531"/>
    </row>
    <row r="546" ht="15.75" customHeight="1">
      <c r="A546" s="530"/>
      <c r="B546" s="531"/>
      <c r="C546" s="531"/>
    </row>
    <row r="547" ht="15.75" customHeight="1">
      <c r="A547" s="530"/>
      <c r="B547" s="531"/>
      <c r="C547" s="531"/>
    </row>
    <row r="548" ht="15.75" customHeight="1">
      <c r="A548" s="530"/>
      <c r="B548" s="531"/>
      <c r="C548" s="531"/>
    </row>
    <row r="549" ht="15.75" customHeight="1">
      <c r="A549" s="530"/>
      <c r="B549" s="531"/>
      <c r="C549" s="531"/>
    </row>
    <row r="550" ht="15.75" customHeight="1">
      <c r="A550" s="530"/>
      <c r="B550" s="531"/>
      <c r="C550" s="531"/>
    </row>
    <row r="551" ht="15.75" customHeight="1">
      <c r="A551" s="530"/>
      <c r="B551" s="531"/>
      <c r="C551" s="531"/>
    </row>
    <row r="552" ht="15.75" customHeight="1">
      <c r="A552" s="530"/>
      <c r="B552" s="531"/>
      <c r="C552" s="531"/>
    </row>
    <row r="553" ht="15.75" customHeight="1">
      <c r="A553" s="530"/>
      <c r="B553" s="531"/>
      <c r="C553" s="531"/>
    </row>
    <row r="554" ht="15.75" customHeight="1">
      <c r="A554" s="530"/>
      <c r="B554" s="531"/>
      <c r="C554" s="531"/>
    </row>
    <row r="555" ht="15.75" customHeight="1">
      <c r="A555" s="530"/>
      <c r="B555" s="531"/>
      <c r="C555" s="531"/>
    </row>
    <row r="556" ht="15.75" customHeight="1">
      <c r="A556" s="530"/>
      <c r="B556" s="531"/>
      <c r="C556" s="531"/>
    </row>
    <row r="557" ht="15.75" customHeight="1">
      <c r="A557" s="530"/>
      <c r="B557" s="531"/>
      <c r="C557" s="531"/>
    </row>
    <row r="558" ht="15.75" customHeight="1">
      <c r="A558" s="530"/>
      <c r="B558" s="531"/>
      <c r="C558" s="531"/>
    </row>
    <row r="559" ht="15.75" customHeight="1">
      <c r="A559" s="530"/>
      <c r="B559" s="531"/>
      <c r="C559" s="531"/>
    </row>
    <row r="560" ht="15.75" customHeight="1">
      <c r="A560" s="530"/>
      <c r="B560" s="531"/>
      <c r="C560" s="531"/>
    </row>
    <row r="561" ht="15.75" customHeight="1">
      <c r="A561" s="530"/>
      <c r="B561" s="531"/>
      <c r="C561" s="531"/>
    </row>
    <row r="562" ht="15.75" customHeight="1">
      <c r="A562" s="530"/>
      <c r="B562" s="531"/>
      <c r="C562" s="531"/>
    </row>
    <row r="563" ht="15.75" customHeight="1">
      <c r="A563" s="530"/>
      <c r="B563" s="531"/>
      <c r="C563" s="531"/>
    </row>
    <row r="564" ht="15.75" customHeight="1">
      <c r="A564" s="530"/>
      <c r="B564" s="531"/>
      <c r="C564" s="531"/>
    </row>
    <row r="565" ht="15.75" customHeight="1">
      <c r="A565" s="530"/>
      <c r="B565" s="531"/>
      <c r="C565" s="531"/>
    </row>
    <row r="566" ht="15.75" customHeight="1">
      <c r="A566" s="530"/>
      <c r="B566" s="531"/>
      <c r="C566" s="531"/>
    </row>
    <row r="567" ht="15.75" customHeight="1">
      <c r="A567" s="530"/>
      <c r="B567" s="531"/>
      <c r="C567" s="531"/>
    </row>
    <row r="568" ht="15.75" customHeight="1">
      <c r="A568" s="530"/>
      <c r="B568" s="531"/>
      <c r="C568" s="531"/>
    </row>
    <row r="569" ht="15.75" customHeight="1">
      <c r="A569" s="530"/>
      <c r="B569" s="531"/>
      <c r="C569" s="531"/>
    </row>
    <row r="570" ht="15.75" customHeight="1">
      <c r="A570" s="530"/>
      <c r="B570" s="531"/>
      <c r="C570" s="531"/>
    </row>
    <row r="571" ht="15.75" customHeight="1">
      <c r="A571" s="530"/>
      <c r="B571" s="531"/>
      <c r="C571" s="531"/>
    </row>
    <row r="572" ht="15.75" customHeight="1">
      <c r="A572" s="530"/>
      <c r="B572" s="531"/>
      <c r="C572" s="531"/>
    </row>
    <row r="573" ht="15.75" customHeight="1">
      <c r="A573" s="530"/>
      <c r="B573" s="531"/>
      <c r="C573" s="531"/>
    </row>
    <row r="574" ht="15.75" customHeight="1">
      <c r="A574" s="530"/>
      <c r="B574" s="531"/>
      <c r="C574" s="531"/>
    </row>
    <row r="575" ht="15.75" customHeight="1">
      <c r="A575" s="530"/>
      <c r="B575" s="531"/>
      <c r="C575" s="531"/>
    </row>
    <row r="576" ht="15.75" customHeight="1">
      <c r="A576" s="530"/>
      <c r="B576" s="531"/>
      <c r="C576" s="531"/>
    </row>
    <row r="577" ht="15.75" customHeight="1">
      <c r="A577" s="530"/>
      <c r="B577" s="531"/>
      <c r="C577" s="531"/>
    </row>
    <row r="578" ht="15.75" customHeight="1">
      <c r="A578" s="530"/>
      <c r="B578" s="531"/>
      <c r="C578" s="531"/>
    </row>
    <row r="579" ht="15.75" customHeight="1">
      <c r="A579" s="530"/>
      <c r="B579" s="531"/>
      <c r="C579" s="531"/>
    </row>
    <row r="580" ht="15.75" customHeight="1">
      <c r="A580" s="530"/>
      <c r="B580" s="531"/>
      <c r="C580" s="531"/>
    </row>
    <row r="581" ht="15.75" customHeight="1">
      <c r="A581" s="530"/>
      <c r="B581" s="531"/>
      <c r="C581" s="531"/>
    </row>
    <row r="582" ht="15.75" customHeight="1">
      <c r="A582" s="530"/>
      <c r="B582" s="531"/>
      <c r="C582" s="531"/>
    </row>
    <row r="583" ht="15.75" customHeight="1">
      <c r="A583" s="530"/>
      <c r="B583" s="531"/>
      <c r="C583" s="531"/>
    </row>
    <row r="584" ht="15.75" customHeight="1">
      <c r="A584" s="530"/>
      <c r="B584" s="531"/>
      <c r="C584" s="531"/>
    </row>
    <row r="585" ht="15.75" customHeight="1">
      <c r="A585" s="530"/>
      <c r="B585" s="531"/>
      <c r="C585" s="531"/>
    </row>
    <row r="586" ht="15.75" customHeight="1">
      <c r="A586" s="530"/>
      <c r="B586" s="531"/>
      <c r="C586" s="531"/>
    </row>
    <row r="587" ht="15.75" customHeight="1">
      <c r="A587" s="530"/>
      <c r="B587" s="531"/>
      <c r="C587" s="531"/>
    </row>
    <row r="588" ht="15.75" customHeight="1">
      <c r="A588" s="530"/>
      <c r="B588" s="531"/>
      <c r="C588" s="531"/>
    </row>
    <row r="589" ht="15.75" customHeight="1">
      <c r="A589" s="530"/>
      <c r="B589" s="531"/>
      <c r="C589" s="531"/>
    </row>
    <row r="590" ht="15.75" customHeight="1">
      <c r="A590" s="530"/>
      <c r="B590" s="531"/>
      <c r="C590" s="531"/>
    </row>
    <row r="591" ht="15.75" customHeight="1">
      <c r="A591" s="530"/>
      <c r="B591" s="531"/>
      <c r="C591" s="531"/>
    </row>
    <row r="592" ht="15.75" customHeight="1">
      <c r="A592" s="530"/>
      <c r="B592" s="531"/>
      <c r="C592" s="531"/>
    </row>
    <row r="593" ht="15.75" customHeight="1">
      <c r="A593" s="530"/>
      <c r="B593" s="531"/>
      <c r="C593" s="531"/>
    </row>
    <row r="594" ht="15.75" customHeight="1">
      <c r="A594" s="530"/>
      <c r="B594" s="531"/>
      <c r="C594" s="531"/>
    </row>
    <row r="595" ht="15.75" customHeight="1">
      <c r="A595" s="530"/>
      <c r="B595" s="531"/>
      <c r="C595" s="531"/>
    </row>
    <row r="596" ht="15.75" customHeight="1">
      <c r="A596" s="530"/>
      <c r="B596" s="531"/>
      <c r="C596" s="531"/>
    </row>
    <row r="597" ht="15.75" customHeight="1">
      <c r="A597" s="530"/>
      <c r="B597" s="531"/>
      <c r="C597" s="531"/>
    </row>
    <row r="598" ht="15.75" customHeight="1">
      <c r="A598" s="530"/>
      <c r="B598" s="531"/>
      <c r="C598" s="531"/>
    </row>
    <row r="599" ht="15.75" customHeight="1">
      <c r="A599" s="530"/>
      <c r="B599" s="531"/>
      <c r="C599" s="531"/>
    </row>
    <row r="600" ht="15.75" customHeight="1">
      <c r="A600" s="530"/>
      <c r="B600" s="531"/>
      <c r="C600" s="531"/>
    </row>
    <row r="601" ht="15.75" customHeight="1">
      <c r="A601" s="530"/>
      <c r="B601" s="531"/>
      <c r="C601" s="531"/>
    </row>
    <row r="602" ht="15.75" customHeight="1">
      <c r="A602" s="530"/>
      <c r="B602" s="531"/>
      <c r="C602" s="531"/>
    </row>
    <row r="603" ht="15.75" customHeight="1">
      <c r="A603" s="530"/>
      <c r="B603" s="531"/>
      <c r="C603" s="531"/>
    </row>
    <row r="604" ht="15.75" customHeight="1">
      <c r="A604" s="530"/>
      <c r="B604" s="531"/>
      <c r="C604" s="531"/>
    </row>
    <row r="605" ht="15.75" customHeight="1">
      <c r="A605" s="530"/>
      <c r="B605" s="531"/>
      <c r="C605" s="531"/>
    </row>
    <row r="606" ht="15.75" customHeight="1">
      <c r="A606" s="530"/>
      <c r="B606" s="531"/>
      <c r="C606" s="531"/>
    </row>
    <row r="607" ht="15.75" customHeight="1">
      <c r="A607" s="530"/>
      <c r="B607" s="531"/>
      <c r="C607" s="531"/>
    </row>
    <row r="608" ht="15.75" customHeight="1">
      <c r="A608" s="530"/>
      <c r="B608" s="531"/>
      <c r="C608" s="531"/>
    </row>
    <row r="609" ht="15.75" customHeight="1">
      <c r="A609" s="530"/>
      <c r="B609" s="531"/>
      <c r="C609" s="531"/>
    </row>
    <row r="610" ht="15.75" customHeight="1">
      <c r="A610" s="530"/>
      <c r="B610" s="531"/>
      <c r="C610" s="531"/>
    </row>
    <row r="611" ht="15.75" customHeight="1">
      <c r="A611" s="530"/>
      <c r="B611" s="531"/>
      <c r="C611" s="531"/>
    </row>
    <row r="612" ht="15.75" customHeight="1">
      <c r="A612" s="530"/>
      <c r="B612" s="531"/>
      <c r="C612" s="531"/>
    </row>
    <row r="613" ht="15.75" customHeight="1">
      <c r="A613" s="530"/>
      <c r="B613" s="531"/>
      <c r="C613" s="531"/>
    </row>
    <row r="614" ht="15.75" customHeight="1">
      <c r="A614" s="530"/>
      <c r="B614" s="531"/>
      <c r="C614" s="531"/>
    </row>
    <row r="615" ht="15.75" customHeight="1">
      <c r="A615" s="530"/>
      <c r="B615" s="531"/>
      <c r="C615" s="531"/>
    </row>
    <row r="616" ht="15.75" customHeight="1">
      <c r="A616" s="530"/>
      <c r="B616" s="531"/>
      <c r="C616" s="531"/>
    </row>
    <row r="617" ht="15.75" customHeight="1">
      <c r="A617" s="530"/>
      <c r="B617" s="531"/>
      <c r="C617" s="531"/>
    </row>
    <row r="618" ht="15.75" customHeight="1">
      <c r="A618" s="530"/>
      <c r="B618" s="531"/>
      <c r="C618" s="531"/>
    </row>
    <row r="619" ht="15.75" customHeight="1">
      <c r="A619" s="530"/>
      <c r="B619" s="531"/>
      <c r="C619" s="531"/>
    </row>
    <row r="620" ht="15.75" customHeight="1">
      <c r="A620" s="530"/>
      <c r="B620" s="531"/>
      <c r="C620" s="531"/>
    </row>
    <row r="621" ht="15.75" customHeight="1">
      <c r="A621" s="530"/>
      <c r="B621" s="531"/>
      <c r="C621" s="531"/>
    </row>
    <row r="622" ht="15.75" customHeight="1">
      <c r="A622" s="530"/>
      <c r="B622" s="531"/>
      <c r="C622" s="531"/>
    </row>
    <row r="623" ht="15.75" customHeight="1">
      <c r="A623" s="530"/>
      <c r="B623" s="531"/>
      <c r="C623" s="531"/>
    </row>
    <row r="624" ht="15.75" customHeight="1">
      <c r="A624" s="530"/>
      <c r="B624" s="531"/>
      <c r="C624" s="531"/>
    </row>
    <row r="625" ht="15.75" customHeight="1">
      <c r="A625" s="530"/>
      <c r="B625" s="531"/>
      <c r="C625" s="531"/>
    </row>
    <row r="626" ht="15.75" customHeight="1">
      <c r="A626" s="530"/>
      <c r="B626" s="531"/>
      <c r="C626" s="531"/>
    </row>
    <row r="627" ht="15.75" customHeight="1">
      <c r="A627" s="530"/>
      <c r="B627" s="531"/>
      <c r="C627" s="531"/>
    </row>
    <row r="628" ht="15.75" customHeight="1">
      <c r="A628" s="530"/>
      <c r="B628" s="531"/>
      <c r="C628" s="531"/>
    </row>
    <row r="629" ht="15.75" customHeight="1">
      <c r="A629" s="530"/>
      <c r="B629" s="531"/>
      <c r="C629" s="531"/>
    </row>
    <row r="630" ht="15.75" customHeight="1">
      <c r="A630" s="530"/>
      <c r="B630" s="531"/>
      <c r="C630" s="531"/>
    </row>
    <row r="631" ht="15.75" customHeight="1">
      <c r="A631" s="530"/>
      <c r="B631" s="531"/>
      <c r="C631" s="531"/>
    </row>
    <row r="632" ht="15.75" customHeight="1">
      <c r="A632" s="530"/>
      <c r="B632" s="531"/>
      <c r="C632" s="531"/>
    </row>
    <row r="633" ht="15.75" customHeight="1">
      <c r="A633" s="530"/>
      <c r="B633" s="531"/>
      <c r="C633" s="531"/>
    </row>
    <row r="634" ht="15.75" customHeight="1">
      <c r="A634" s="530"/>
      <c r="B634" s="531"/>
      <c r="C634" s="531"/>
    </row>
    <row r="635" ht="15.75" customHeight="1">
      <c r="A635" s="530"/>
      <c r="B635" s="531"/>
      <c r="C635" s="531"/>
    </row>
    <row r="636" ht="15.75" customHeight="1">
      <c r="A636" s="530"/>
      <c r="B636" s="531"/>
      <c r="C636" s="531"/>
    </row>
    <row r="637" ht="15.75" customHeight="1">
      <c r="A637" s="530"/>
      <c r="B637" s="531"/>
      <c r="C637" s="531"/>
    </row>
    <row r="638" ht="15.75" customHeight="1">
      <c r="A638" s="530"/>
      <c r="B638" s="531"/>
      <c r="C638" s="531"/>
    </row>
    <row r="639" ht="15.75" customHeight="1">
      <c r="A639" s="530"/>
      <c r="B639" s="531"/>
      <c r="C639" s="531"/>
    </row>
    <row r="640" ht="15.75" customHeight="1">
      <c r="A640" s="530"/>
      <c r="B640" s="531"/>
      <c r="C640" s="531"/>
    </row>
    <row r="641" ht="15.75" customHeight="1">
      <c r="A641" s="530"/>
      <c r="B641" s="531"/>
      <c r="C641" s="531"/>
    </row>
    <row r="642" ht="15.75" customHeight="1">
      <c r="A642" s="530"/>
      <c r="B642" s="531"/>
      <c r="C642" s="531"/>
    </row>
    <row r="643" ht="15.75" customHeight="1">
      <c r="A643" s="530"/>
      <c r="B643" s="531"/>
      <c r="C643" s="531"/>
    </row>
    <row r="644" ht="15.75" customHeight="1">
      <c r="A644" s="530"/>
      <c r="B644" s="531"/>
      <c r="C644" s="531"/>
    </row>
    <row r="645" ht="15.75" customHeight="1">
      <c r="A645" s="530"/>
      <c r="B645" s="531"/>
      <c r="C645" s="531"/>
    </row>
    <row r="646" ht="15.75" customHeight="1">
      <c r="A646" s="530"/>
      <c r="B646" s="531"/>
      <c r="C646" s="531"/>
    </row>
    <row r="647" ht="15.75" customHeight="1">
      <c r="A647" s="530"/>
      <c r="B647" s="531"/>
      <c r="C647" s="531"/>
    </row>
    <row r="648" ht="15.75" customHeight="1">
      <c r="A648" s="530"/>
      <c r="B648" s="531"/>
      <c r="C648" s="531"/>
    </row>
    <row r="649" ht="15.75" customHeight="1">
      <c r="A649" s="530"/>
      <c r="B649" s="531"/>
      <c r="C649" s="531"/>
    </row>
    <row r="650" ht="15.75" customHeight="1">
      <c r="A650" s="530"/>
      <c r="B650" s="531"/>
      <c r="C650" s="531"/>
    </row>
    <row r="651" ht="15.75" customHeight="1">
      <c r="A651" s="530"/>
      <c r="B651" s="531"/>
      <c r="C651" s="531"/>
    </row>
    <row r="652" ht="15.75" customHeight="1">
      <c r="A652" s="530"/>
      <c r="B652" s="531"/>
      <c r="C652" s="531"/>
    </row>
    <row r="653" ht="15.75" customHeight="1">
      <c r="A653" s="530"/>
      <c r="B653" s="531"/>
      <c r="C653" s="531"/>
    </row>
    <row r="654" ht="15.75" customHeight="1">
      <c r="A654" s="530"/>
      <c r="B654" s="531"/>
      <c r="C654" s="531"/>
    </row>
    <row r="655" ht="15.75" customHeight="1">
      <c r="A655" s="530"/>
      <c r="B655" s="531"/>
      <c r="C655" s="531"/>
    </row>
    <row r="656" ht="15.75" customHeight="1">
      <c r="A656" s="530"/>
      <c r="B656" s="531"/>
      <c r="C656" s="531"/>
    </row>
    <row r="657" ht="15.75" customHeight="1">
      <c r="A657" s="530"/>
      <c r="B657" s="531"/>
      <c r="C657" s="531"/>
    </row>
    <row r="658" ht="15.75" customHeight="1">
      <c r="A658" s="530"/>
      <c r="B658" s="531"/>
      <c r="C658" s="531"/>
    </row>
    <row r="659" ht="15.75" customHeight="1">
      <c r="A659" s="530"/>
      <c r="B659" s="531"/>
      <c r="C659" s="531"/>
    </row>
    <row r="660" ht="15.75" customHeight="1">
      <c r="A660" s="530"/>
      <c r="B660" s="531"/>
      <c r="C660" s="531"/>
    </row>
    <row r="661" ht="15.75" customHeight="1">
      <c r="A661" s="530"/>
      <c r="B661" s="531"/>
      <c r="C661" s="531"/>
    </row>
    <row r="662" ht="15.75" customHeight="1">
      <c r="A662" s="530"/>
      <c r="B662" s="531"/>
      <c r="C662" s="531"/>
    </row>
    <row r="663" ht="15.75" customHeight="1">
      <c r="A663" s="530"/>
      <c r="B663" s="531"/>
      <c r="C663" s="531"/>
    </row>
    <row r="664" ht="15.75" customHeight="1">
      <c r="A664" s="530"/>
      <c r="B664" s="531"/>
      <c r="C664" s="531"/>
    </row>
    <row r="665" ht="15.75" customHeight="1">
      <c r="A665" s="530"/>
      <c r="B665" s="531"/>
      <c r="C665" s="531"/>
    </row>
    <row r="666" ht="15.75" customHeight="1">
      <c r="A666" s="530"/>
      <c r="B666" s="531"/>
      <c r="C666" s="531"/>
    </row>
    <row r="667" ht="15.75" customHeight="1">
      <c r="A667" s="530"/>
      <c r="B667" s="531"/>
      <c r="C667" s="531"/>
    </row>
    <row r="668" ht="15.75" customHeight="1">
      <c r="A668" s="530"/>
      <c r="B668" s="531"/>
      <c r="C668" s="531"/>
    </row>
    <row r="669" ht="15.75" customHeight="1">
      <c r="A669" s="530"/>
      <c r="B669" s="531"/>
      <c r="C669" s="531"/>
    </row>
    <row r="670" ht="15.75" customHeight="1">
      <c r="A670" s="530"/>
      <c r="B670" s="531"/>
      <c r="C670" s="531"/>
    </row>
    <row r="671" ht="15.75" customHeight="1">
      <c r="A671" s="530"/>
      <c r="B671" s="531"/>
      <c r="C671" s="531"/>
    </row>
    <row r="672" ht="15.75" customHeight="1">
      <c r="A672" s="530"/>
      <c r="B672" s="531"/>
      <c r="C672" s="531"/>
    </row>
    <row r="673" ht="15.75" customHeight="1">
      <c r="A673" s="530"/>
      <c r="B673" s="531"/>
      <c r="C673" s="531"/>
    </row>
    <row r="674" ht="15.75" customHeight="1">
      <c r="A674" s="530"/>
      <c r="B674" s="531"/>
      <c r="C674" s="531"/>
    </row>
    <row r="675" ht="15.75" customHeight="1">
      <c r="A675" s="530"/>
      <c r="B675" s="531"/>
      <c r="C675" s="531"/>
    </row>
    <row r="676" ht="15.75" customHeight="1">
      <c r="A676" s="530"/>
      <c r="B676" s="531"/>
      <c r="C676" s="531"/>
    </row>
    <row r="677" ht="15.75" customHeight="1">
      <c r="A677" s="530"/>
      <c r="B677" s="531"/>
      <c r="C677" s="531"/>
    </row>
    <row r="678" ht="15.75" customHeight="1">
      <c r="A678" s="530"/>
      <c r="B678" s="531"/>
      <c r="C678" s="531"/>
    </row>
    <row r="679" ht="15.75" customHeight="1">
      <c r="A679" s="530"/>
      <c r="B679" s="531"/>
      <c r="C679" s="531"/>
    </row>
    <row r="680" ht="15.75" customHeight="1">
      <c r="A680" s="530"/>
      <c r="B680" s="531"/>
      <c r="C680" s="531"/>
    </row>
    <row r="681" ht="15.75" customHeight="1">
      <c r="A681" s="530"/>
      <c r="B681" s="531"/>
      <c r="C681" s="531"/>
    </row>
    <row r="682" ht="15.75" customHeight="1">
      <c r="A682" s="530"/>
      <c r="B682" s="531"/>
      <c r="C682" s="531"/>
    </row>
    <row r="683" ht="15.75" customHeight="1">
      <c r="A683" s="530"/>
      <c r="B683" s="531"/>
      <c r="C683" s="531"/>
    </row>
    <row r="684" ht="15.75" customHeight="1">
      <c r="A684" s="530"/>
      <c r="B684" s="531"/>
      <c r="C684" s="531"/>
    </row>
    <row r="685" ht="15.75" customHeight="1">
      <c r="A685" s="530"/>
      <c r="B685" s="531"/>
      <c r="C685" s="531"/>
    </row>
    <row r="686" ht="15.75" customHeight="1">
      <c r="A686" s="530"/>
      <c r="B686" s="531"/>
      <c r="C686" s="531"/>
    </row>
    <row r="687" ht="15.75" customHeight="1">
      <c r="A687" s="530"/>
      <c r="B687" s="531"/>
      <c r="C687" s="531"/>
    </row>
    <row r="688" ht="15.75" customHeight="1">
      <c r="A688" s="530"/>
      <c r="B688" s="531"/>
      <c r="C688" s="531"/>
    </row>
    <row r="689" ht="15.75" customHeight="1">
      <c r="A689" s="530"/>
      <c r="B689" s="531"/>
      <c r="C689" s="531"/>
    </row>
    <row r="690" ht="15.75" customHeight="1">
      <c r="A690" s="530"/>
      <c r="B690" s="531"/>
      <c r="C690" s="531"/>
    </row>
    <row r="691" ht="15.75" customHeight="1">
      <c r="A691" s="530"/>
      <c r="B691" s="531"/>
      <c r="C691" s="531"/>
    </row>
    <row r="692" ht="15.75" customHeight="1">
      <c r="A692" s="530"/>
      <c r="B692" s="531"/>
      <c r="C692" s="531"/>
    </row>
    <row r="693" ht="15.75" customHeight="1">
      <c r="A693" s="530"/>
      <c r="B693" s="531"/>
      <c r="C693" s="531"/>
    </row>
    <row r="694" ht="15.75" customHeight="1">
      <c r="A694" s="530"/>
      <c r="B694" s="531"/>
      <c r="C694" s="531"/>
    </row>
    <row r="695" ht="15.75" customHeight="1">
      <c r="A695" s="530"/>
      <c r="B695" s="531"/>
      <c r="C695" s="531"/>
    </row>
    <row r="696" ht="15.75" customHeight="1">
      <c r="A696" s="530"/>
      <c r="B696" s="531"/>
      <c r="C696" s="531"/>
    </row>
    <row r="697" ht="15.75" customHeight="1">
      <c r="A697" s="530"/>
      <c r="B697" s="531"/>
      <c r="C697" s="531"/>
    </row>
    <row r="698" ht="15.75" customHeight="1">
      <c r="A698" s="530"/>
      <c r="B698" s="531"/>
      <c r="C698" s="531"/>
    </row>
    <row r="699" ht="15.75" customHeight="1">
      <c r="A699" s="530"/>
      <c r="B699" s="531"/>
      <c r="C699" s="531"/>
    </row>
    <row r="700" ht="15.75" customHeight="1">
      <c r="A700" s="530"/>
      <c r="B700" s="531"/>
      <c r="C700" s="531"/>
    </row>
    <row r="701" ht="15.75" customHeight="1">
      <c r="A701" s="530"/>
      <c r="B701" s="531"/>
      <c r="C701" s="531"/>
    </row>
    <row r="702" ht="15.75" customHeight="1">
      <c r="A702" s="530"/>
      <c r="B702" s="531"/>
      <c r="C702" s="531"/>
    </row>
    <row r="703" ht="15.75" customHeight="1">
      <c r="A703" s="530"/>
      <c r="B703" s="531"/>
      <c r="C703" s="531"/>
    </row>
    <row r="704" ht="15.75" customHeight="1">
      <c r="A704" s="530"/>
      <c r="B704" s="531"/>
      <c r="C704" s="531"/>
    </row>
    <row r="705" ht="15.75" customHeight="1">
      <c r="A705" s="530"/>
      <c r="B705" s="531"/>
      <c r="C705" s="531"/>
    </row>
    <row r="706" ht="15.75" customHeight="1">
      <c r="A706" s="530"/>
      <c r="B706" s="531"/>
      <c r="C706" s="531"/>
    </row>
    <row r="707" ht="15.75" customHeight="1">
      <c r="A707" s="530"/>
      <c r="B707" s="531"/>
      <c r="C707" s="531"/>
    </row>
    <row r="708" ht="15.75" customHeight="1">
      <c r="A708" s="530"/>
      <c r="B708" s="531"/>
      <c r="C708" s="531"/>
    </row>
    <row r="709" ht="15.75" customHeight="1">
      <c r="A709" s="530"/>
      <c r="B709" s="531"/>
      <c r="C709" s="531"/>
    </row>
    <row r="710" ht="15.75" customHeight="1">
      <c r="A710" s="530"/>
      <c r="B710" s="531"/>
      <c r="C710" s="531"/>
    </row>
    <row r="711" ht="15.75" customHeight="1">
      <c r="A711" s="530"/>
      <c r="B711" s="531"/>
      <c r="C711" s="531"/>
    </row>
    <row r="712" ht="15.75" customHeight="1">
      <c r="A712" s="530"/>
      <c r="B712" s="531"/>
      <c r="C712" s="531"/>
    </row>
    <row r="713" ht="15.75" customHeight="1">
      <c r="A713" s="530"/>
      <c r="B713" s="531"/>
      <c r="C713" s="531"/>
    </row>
    <row r="714" ht="15.75" customHeight="1">
      <c r="A714" s="530"/>
      <c r="B714" s="531"/>
      <c r="C714" s="531"/>
    </row>
    <row r="715" ht="15.75" customHeight="1">
      <c r="A715" s="530"/>
      <c r="B715" s="531"/>
      <c r="C715" s="531"/>
    </row>
    <row r="716" ht="15.75" customHeight="1">
      <c r="A716" s="530"/>
      <c r="B716" s="531"/>
      <c r="C716" s="531"/>
    </row>
    <row r="717" ht="15.75" customHeight="1">
      <c r="A717" s="530"/>
      <c r="B717" s="531"/>
      <c r="C717" s="531"/>
    </row>
    <row r="718" ht="15.75" customHeight="1">
      <c r="A718" s="530"/>
      <c r="B718" s="531"/>
      <c r="C718" s="531"/>
    </row>
    <row r="719" ht="15.75" customHeight="1">
      <c r="A719" s="530"/>
      <c r="B719" s="531"/>
      <c r="C719" s="531"/>
    </row>
    <row r="720" ht="15.75" customHeight="1">
      <c r="A720" s="530"/>
      <c r="B720" s="531"/>
      <c r="C720" s="531"/>
    </row>
    <row r="721" ht="15.75" customHeight="1">
      <c r="A721" s="530"/>
      <c r="B721" s="531"/>
      <c r="C721" s="531"/>
    </row>
    <row r="722" ht="15.75" customHeight="1">
      <c r="A722" s="530"/>
      <c r="B722" s="531"/>
      <c r="C722" s="531"/>
    </row>
    <row r="723" ht="15.75" customHeight="1">
      <c r="A723" s="530"/>
      <c r="B723" s="531"/>
      <c r="C723" s="531"/>
    </row>
    <row r="724" ht="15.75" customHeight="1">
      <c r="A724" s="530"/>
      <c r="B724" s="531"/>
      <c r="C724" s="531"/>
    </row>
    <row r="725" ht="15.75" customHeight="1">
      <c r="A725" s="530"/>
      <c r="B725" s="531"/>
      <c r="C725" s="531"/>
    </row>
    <row r="726" ht="15.75" customHeight="1">
      <c r="A726" s="530"/>
      <c r="B726" s="531"/>
      <c r="C726" s="531"/>
    </row>
    <row r="727" ht="15.75" customHeight="1">
      <c r="A727" s="530"/>
      <c r="B727" s="531"/>
      <c r="C727" s="531"/>
    </row>
    <row r="728" ht="15.75" customHeight="1">
      <c r="A728" s="530"/>
      <c r="B728" s="531"/>
      <c r="C728" s="531"/>
    </row>
    <row r="729" ht="15.75" customHeight="1">
      <c r="A729" s="530"/>
      <c r="B729" s="531"/>
      <c r="C729" s="531"/>
    </row>
    <row r="730" ht="15.75" customHeight="1">
      <c r="A730" s="530"/>
      <c r="B730" s="531"/>
      <c r="C730" s="531"/>
    </row>
    <row r="731" ht="15.75" customHeight="1">
      <c r="A731" s="530"/>
      <c r="B731" s="531"/>
      <c r="C731" s="531"/>
    </row>
    <row r="732" ht="15.75" customHeight="1">
      <c r="A732" s="530"/>
      <c r="B732" s="531"/>
      <c r="C732" s="531"/>
    </row>
    <row r="733" ht="15.75" customHeight="1">
      <c r="A733" s="530"/>
      <c r="B733" s="531"/>
      <c r="C733" s="531"/>
    </row>
    <row r="734" ht="15.75" customHeight="1">
      <c r="A734" s="530"/>
      <c r="B734" s="531"/>
      <c r="C734" s="531"/>
    </row>
    <row r="735" ht="15.75" customHeight="1">
      <c r="A735" s="530"/>
      <c r="B735" s="531"/>
      <c r="C735" s="531"/>
    </row>
    <row r="736" ht="15.75" customHeight="1">
      <c r="A736" s="530"/>
      <c r="B736" s="531"/>
      <c r="C736" s="531"/>
    </row>
    <row r="737" ht="15.75" customHeight="1">
      <c r="A737" s="530"/>
      <c r="B737" s="531"/>
      <c r="C737" s="531"/>
    </row>
    <row r="738" ht="15.75" customHeight="1">
      <c r="A738" s="530"/>
      <c r="B738" s="531"/>
      <c r="C738" s="531"/>
    </row>
    <row r="739" ht="15.75" customHeight="1">
      <c r="A739" s="530"/>
      <c r="B739" s="531"/>
      <c r="C739" s="531"/>
    </row>
    <row r="740" ht="15.75" customHeight="1">
      <c r="A740" s="530"/>
      <c r="B740" s="531"/>
      <c r="C740" s="531"/>
    </row>
    <row r="741" ht="15.75" customHeight="1">
      <c r="A741" s="530"/>
      <c r="B741" s="531"/>
      <c r="C741" s="531"/>
    </row>
    <row r="742" ht="15.75" customHeight="1">
      <c r="A742" s="530"/>
      <c r="B742" s="531"/>
      <c r="C742" s="531"/>
    </row>
    <row r="743" ht="15.75" customHeight="1">
      <c r="A743" s="530"/>
      <c r="B743" s="531"/>
      <c r="C743" s="531"/>
    </row>
    <row r="744" ht="15.75" customHeight="1">
      <c r="A744" s="530"/>
      <c r="B744" s="531"/>
      <c r="C744" s="531"/>
    </row>
    <row r="745" ht="15.75" customHeight="1">
      <c r="A745" s="530"/>
      <c r="B745" s="531"/>
      <c r="C745" s="531"/>
    </row>
    <row r="746" ht="15.75" customHeight="1">
      <c r="A746" s="530"/>
      <c r="B746" s="531"/>
      <c r="C746" s="531"/>
    </row>
    <row r="747" ht="15.75" customHeight="1">
      <c r="A747" s="530"/>
      <c r="B747" s="531"/>
      <c r="C747" s="531"/>
    </row>
    <row r="748" ht="15.75" customHeight="1">
      <c r="A748" s="530"/>
      <c r="B748" s="531"/>
      <c r="C748" s="531"/>
    </row>
    <row r="749" ht="15.75" customHeight="1">
      <c r="A749" s="530"/>
      <c r="B749" s="531"/>
      <c r="C749" s="531"/>
    </row>
    <row r="750" ht="15.75" customHeight="1">
      <c r="A750" s="530"/>
      <c r="B750" s="531"/>
      <c r="C750" s="531"/>
    </row>
    <row r="751" ht="15.75" customHeight="1">
      <c r="A751" s="530"/>
      <c r="B751" s="531"/>
      <c r="C751" s="531"/>
    </row>
    <row r="752" ht="15.75" customHeight="1">
      <c r="A752" s="530"/>
      <c r="B752" s="531"/>
      <c r="C752" s="531"/>
    </row>
    <row r="753" ht="15.75" customHeight="1">
      <c r="A753" s="530"/>
      <c r="B753" s="531"/>
      <c r="C753" s="531"/>
    </row>
    <row r="754" ht="15.75" customHeight="1">
      <c r="A754" s="530"/>
      <c r="B754" s="531"/>
      <c r="C754" s="531"/>
    </row>
    <row r="755" ht="15.75" customHeight="1">
      <c r="A755" s="530"/>
      <c r="B755" s="531"/>
      <c r="C755" s="531"/>
    </row>
    <row r="756" ht="15.75" customHeight="1">
      <c r="A756" s="530"/>
      <c r="B756" s="531"/>
      <c r="C756" s="531"/>
    </row>
    <row r="757" ht="15.75" customHeight="1">
      <c r="A757" s="530"/>
      <c r="B757" s="531"/>
      <c r="C757" s="531"/>
    </row>
    <row r="758" ht="15.75" customHeight="1">
      <c r="A758" s="530"/>
      <c r="B758" s="531"/>
      <c r="C758" s="531"/>
    </row>
    <row r="759" ht="15.75" customHeight="1">
      <c r="A759" s="530"/>
      <c r="B759" s="531"/>
      <c r="C759" s="531"/>
    </row>
    <row r="760" ht="15.75" customHeight="1">
      <c r="A760" s="530"/>
      <c r="B760" s="531"/>
      <c r="C760" s="531"/>
    </row>
    <row r="761" ht="15.75" customHeight="1">
      <c r="A761" s="530"/>
      <c r="B761" s="531"/>
      <c r="C761" s="531"/>
    </row>
    <row r="762" ht="15.75" customHeight="1">
      <c r="A762" s="530"/>
      <c r="B762" s="531"/>
      <c r="C762" s="531"/>
    </row>
    <row r="763" ht="15.75" customHeight="1">
      <c r="A763" s="530"/>
      <c r="B763" s="531"/>
      <c r="C763" s="531"/>
    </row>
    <row r="764" ht="15.75" customHeight="1">
      <c r="A764" s="530"/>
      <c r="B764" s="531"/>
      <c r="C764" s="531"/>
    </row>
    <row r="765" ht="15.75" customHeight="1">
      <c r="A765" s="530"/>
      <c r="B765" s="531"/>
      <c r="C765" s="531"/>
    </row>
    <row r="766" ht="15.75" customHeight="1">
      <c r="A766" s="530"/>
      <c r="B766" s="531"/>
      <c r="C766" s="531"/>
    </row>
    <row r="767" ht="15.75" customHeight="1">
      <c r="A767" s="530"/>
      <c r="B767" s="531"/>
      <c r="C767" s="531"/>
    </row>
    <row r="768" ht="15.75" customHeight="1">
      <c r="A768" s="530"/>
      <c r="B768" s="531"/>
      <c r="C768" s="531"/>
    </row>
    <row r="769" ht="15.75" customHeight="1">
      <c r="A769" s="530"/>
      <c r="B769" s="531"/>
      <c r="C769" s="531"/>
    </row>
    <row r="770" ht="15.75" customHeight="1">
      <c r="A770" s="530"/>
      <c r="B770" s="531"/>
      <c r="C770" s="531"/>
    </row>
    <row r="771" ht="15.75" customHeight="1">
      <c r="A771" s="530"/>
      <c r="B771" s="531"/>
      <c r="C771" s="531"/>
    </row>
    <row r="772" ht="15.75" customHeight="1">
      <c r="A772" s="530"/>
      <c r="B772" s="531"/>
      <c r="C772" s="531"/>
    </row>
    <row r="773" ht="15.75" customHeight="1">
      <c r="A773" s="530"/>
      <c r="B773" s="531"/>
      <c r="C773" s="531"/>
    </row>
    <row r="774" ht="15.75" customHeight="1">
      <c r="A774" s="530"/>
      <c r="B774" s="531"/>
      <c r="C774" s="531"/>
    </row>
    <row r="775" ht="15.75" customHeight="1">
      <c r="A775" s="530"/>
      <c r="B775" s="531"/>
      <c r="C775" s="531"/>
    </row>
    <row r="776" ht="15.75" customHeight="1">
      <c r="A776" s="530"/>
      <c r="B776" s="531"/>
      <c r="C776" s="531"/>
    </row>
    <row r="777" ht="15.75" customHeight="1">
      <c r="A777" s="530"/>
      <c r="B777" s="531"/>
      <c r="C777" s="531"/>
    </row>
    <row r="778" ht="15.75" customHeight="1">
      <c r="A778" s="530"/>
      <c r="B778" s="531"/>
      <c r="C778" s="531"/>
    </row>
    <row r="779" ht="15.75" customHeight="1">
      <c r="A779" s="530"/>
      <c r="B779" s="531"/>
      <c r="C779" s="531"/>
    </row>
    <row r="780" ht="15.75" customHeight="1">
      <c r="A780" s="530"/>
      <c r="B780" s="531"/>
      <c r="C780" s="531"/>
    </row>
    <row r="781" ht="15.75" customHeight="1">
      <c r="A781" s="530"/>
      <c r="B781" s="531"/>
      <c r="C781" s="531"/>
    </row>
    <row r="782" ht="15.75" customHeight="1">
      <c r="A782" s="530"/>
      <c r="B782" s="531"/>
      <c r="C782" s="531"/>
    </row>
    <row r="783" ht="15.75" customHeight="1">
      <c r="A783" s="530"/>
      <c r="B783" s="531"/>
      <c r="C783" s="531"/>
    </row>
    <row r="784" ht="15.75" customHeight="1">
      <c r="A784" s="530"/>
      <c r="B784" s="531"/>
      <c r="C784" s="531"/>
    </row>
    <row r="785" ht="15.75" customHeight="1">
      <c r="A785" s="530"/>
      <c r="B785" s="531"/>
      <c r="C785" s="531"/>
    </row>
    <row r="786" ht="15.75" customHeight="1">
      <c r="A786" s="530"/>
      <c r="B786" s="531"/>
      <c r="C786" s="531"/>
    </row>
    <row r="787" ht="15.75" customHeight="1">
      <c r="A787" s="530"/>
      <c r="B787" s="531"/>
      <c r="C787" s="531"/>
    </row>
    <row r="788" ht="15.75" customHeight="1">
      <c r="A788" s="530"/>
      <c r="B788" s="531"/>
      <c r="C788" s="531"/>
    </row>
    <row r="789" ht="15.75" customHeight="1">
      <c r="A789" s="530"/>
      <c r="B789" s="531"/>
      <c r="C789" s="531"/>
    </row>
    <row r="790" ht="15.75" customHeight="1">
      <c r="A790" s="530"/>
      <c r="B790" s="531"/>
      <c r="C790" s="531"/>
    </row>
    <row r="791" ht="15.75" customHeight="1">
      <c r="A791" s="530"/>
      <c r="B791" s="531"/>
      <c r="C791" s="531"/>
    </row>
    <row r="792" ht="15.75" customHeight="1">
      <c r="A792" s="530"/>
      <c r="B792" s="531"/>
      <c r="C792" s="531"/>
    </row>
    <row r="793" ht="15.75" customHeight="1">
      <c r="A793" s="530"/>
      <c r="B793" s="531"/>
      <c r="C793" s="531"/>
    </row>
    <row r="794" ht="15.75" customHeight="1">
      <c r="A794" s="530"/>
      <c r="B794" s="531"/>
      <c r="C794" s="531"/>
    </row>
    <row r="795" ht="15.75" customHeight="1">
      <c r="A795" s="530"/>
      <c r="B795" s="531"/>
      <c r="C795" s="531"/>
    </row>
    <row r="796" ht="15.75" customHeight="1">
      <c r="A796" s="530"/>
      <c r="B796" s="531"/>
      <c r="C796" s="531"/>
    </row>
    <row r="797" ht="15.75" customHeight="1">
      <c r="A797" s="530"/>
      <c r="B797" s="531"/>
      <c r="C797" s="531"/>
    </row>
    <row r="798" ht="15.75" customHeight="1">
      <c r="A798" s="530"/>
      <c r="B798" s="531"/>
      <c r="C798" s="531"/>
    </row>
    <row r="799" ht="15.75" customHeight="1">
      <c r="A799" s="530"/>
      <c r="B799" s="531"/>
      <c r="C799" s="531"/>
    </row>
    <row r="800" ht="15.75" customHeight="1">
      <c r="A800" s="530"/>
      <c r="B800" s="531"/>
      <c r="C800" s="531"/>
    </row>
    <row r="801" ht="15.75" customHeight="1">
      <c r="A801" s="530"/>
      <c r="B801" s="531"/>
      <c r="C801" s="531"/>
    </row>
    <row r="802" ht="15.75" customHeight="1">
      <c r="A802" s="530"/>
      <c r="B802" s="531"/>
      <c r="C802" s="531"/>
    </row>
    <row r="803" ht="15.75" customHeight="1">
      <c r="A803" s="530"/>
      <c r="B803" s="531"/>
      <c r="C803" s="531"/>
    </row>
    <row r="804" ht="15.75" customHeight="1">
      <c r="A804" s="530"/>
      <c r="B804" s="531"/>
      <c r="C804" s="531"/>
    </row>
    <row r="805" ht="15.75" customHeight="1">
      <c r="A805" s="530"/>
      <c r="B805" s="531"/>
      <c r="C805" s="531"/>
    </row>
    <row r="806" ht="15.75" customHeight="1">
      <c r="A806" s="530"/>
      <c r="B806" s="531"/>
      <c r="C806" s="531"/>
    </row>
    <row r="807" ht="15.75" customHeight="1">
      <c r="A807" s="530"/>
      <c r="B807" s="531"/>
      <c r="C807" s="531"/>
    </row>
    <row r="808" ht="15.75" customHeight="1">
      <c r="A808" s="530"/>
      <c r="B808" s="531"/>
      <c r="C808" s="531"/>
    </row>
    <row r="809" ht="15.75" customHeight="1">
      <c r="A809" s="530"/>
      <c r="B809" s="531"/>
      <c r="C809" s="531"/>
    </row>
    <row r="810" ht="15.75" customHeight="1">
      <c r="A810" s="530"/>
      <c r="B810" s="531"/>
      <c r="C810" s="531"/>
    </row>
    <row r="811" ht="15.75" customHeight="1">
      <c r="A811" s="530"/>
      <c r="B811" s="531"/>
      <c r="C811" s="531"/>
    </row>
    <row r="812" ht="15.75" customHeight="1">
      <c r="A812" s="530"/>
      <c r="B812" s="531"/>
      <c r="C812" s="531"/>
    </row>
    <row r="813" ht="15.75" customHeight="1">
      <c r="A813" s="530"/>
      <c r="B813" s="531"/>
      <c r="C813" s="531"/>
    </row>
    <row r="814" ht="15.75" customHeight="1">
      <c r="A814" s="530"/>
      <c r="B814" s="531"/>
      <c r="C814" s="531"/>
    </row>
    <row r="815" ht="15.75" customHeight="1">
      <c r="A815" s="530"/>
      <c r="B815" s="531"/>
      <c r="C815" s="531"/>
    </row>
    <row r="816" ht="15.75" customHeight="1">
      <c r="A816" s="530"/>
      <c r="B816" s="531"/>
      <c r="C816" s="531"/>
    </row>
    <row r="817" ht="15.75" customHeight="1">
      <c r="A817" s="530"/>
      <c r="B817" s="531"/>
      <c r="C817" s="531"/>
    </row>
    <row r="818" ht="15.75" customHeight="1">
      <c r="A818" s="530"/>
      <c r="B818" s="531"/>
      <c r="C818" s="531"/>
    </row>
    <row r="819" ht="15.75" customHeight="1">
      <c r="A819" s="530"/>
      <c r="B819" s="531"/>
      <c r="C819" s="531"/>
    </row>
    <row r="820" ht="15.75" customHeight="1">
      <c r="A820" s="530"/>
      <c r="B820" s="531"/>
      <c r="C820" s="531"/>
    </row>
    <row r="821" ht="15.75" customHeight="1">
      <c r="A821" s="530"/>
      <c r="B821" s="531"/>
      <c r="C821" s="531"/>
    </row>
    <row r="822" ht="15.75" customHeight="1">
      <c r="A822" s="530"/>
      <c r="B822" s="531"/>
      <c r="C822" s="531"/>
    </row>
    <row r="823" ht="15.75" customHeight="1">
      <c r="A823" s="530"/>
      <c r="B823" s="531"/>
      <c r="C823" s="531"/>
    </row>
    <row r="824" ht="15.75" customHeight="1">
      <c r="A824" s="530"/>
      <c r="B824" s="531"/>
      <c r="C824" s="531"/>
    </row>
    <row r="825" ht="15.75" customHeight="1">
      <c r="A825" s="530"/>
      <c r="B825" s="531"/>
      <c r="C825" s="531"/>
    </row>
    <row r="826" ht="15.75" customHeight="1">
      <c r="A826" s="530"/>
      <c r="B826" s="531"/>
      <c r="C826" s="531"/>
    </row>
    <row r="827" ht="15.75" customHeight="1">
      <c r="A827" s="530"/>
      <c r="B827" s="531"/>
      <c r="C827" s="531"/>
    </row>
    <row r="828" ht="15.75" customHeight="1">
      <c r="A828" s="530"/>
      <c r="B828" s="531"/>
      <c r="C828" s="531"/>
    </row>
    <row r="829" ht="15.75" customHeight="1">
      <c r="A829" s="530"/>
      <c r="B829" s="531"/>
      <c r="C829" s="531"/>
    </row>
    <row r="830" ht="15.75" customHeight="1">
      <c r="A830" s="530"/>
      <c r="B830" s="531"/>
      <c r="C830" s="531"/>
    </row>
    <row r="831" ht="15.75" customHeight="1">
      <c r="A831" s="530"/>
      <c r="B831" s="531"/>
      <c r="C831" s="531"/>
    </row>
    <row r="832" ht="15.75" customHeight="1">
      <c r="A832" s="530"/>
      <c r="B832" s="531"/>
      <c r="C832" s="531"/>
    </row>
    <row r="833" ht="15.75" customHeight="1">
      <c r="A833" s="530"/>
      <c r="B833" s="531"/>
      <c r="C833" s="531"/>
    </row>
    <row r="834" ht="15.75" customHeight="1">
      <c r="A834" s="530"/>
      <c r="B834" s="531"/>
      <c r="C834" s="531"/>
    </row>
    <row r="835" ht="15.75" customHeight="1">
      <c r="A835" s="530"/>
      <c r="B835" s="531"/>
      <c r="C835" s="531"/>
    </row>
    <row r="836" ht="15.75" customHeight="1">
      <c r="A836" s="530"/>
      <c r="B836" s="531"/>
      <c r="C836" s="531"/>
    </row>
    <row r="837" ht="15.75" customHeight="1">
      <c r="A837" s="530"/>
      <c r="B837" s="531"/>
      <c r="C837" s="531"/>
    </row>
    <row r="838" ht="15.75" customHeight="1">
      <c r="A838" s="530"/>
      <c r="B838" s="531"/>
      <c r="C838" s="531"/>
    </row>
    <row r="839" ht="15.75" customHeight="1">
      <c r="A839" s="530"/>
      <c r="B839" s="531"/>
      <c r="C839" s="531"/>
    </row>
    <row r="840" ht="15.75" customHeight="1">
      <c r="A840" s="530"/>
      <c r="B840" s="531"/>
      <c r="C840" s="531"/>
    </row>
    <row r="841" ht="15.75" customHeight="1">
      <c r="A841" s="530"/>
      <c r="B841" s="531"/>
      <c r="C841" s="531"/>
    </row>
    <row r="842" ht="15.75" customHeight="1">
      <c r="A842" s="530"/>
      <c r="B842" s="531"/>
      <c r="C842" s="531"/>
    </row>
    <row r="843" ht="15.75" customHeight="1">
      <c r="A843" s="530"/>
      <c r="B843" s="531"/>
      <c r="C843" s="531"/>
    </row>
    <row r="844" ht="15.75" customHeight="1">
      <c r="A844" s="530"/>
      <c r="B844" s="531"/>
      <c r="C844" s="531"/>
    </row>
    <row r="845" ht="15.75" customHeight="1">
      <c r="A845" s="530"/>
      <c r="B845" s="531"/>
      <c r="C845" s="531"/>
    </row>
    <row r="846" ht="15.75" customHeight="1">
      <c r="A846" s="530"/>
      <c r="B846" s="531"/>
      <c r="C846" s="531"/>
    </row>
    <row r="847" ht="15.75" customHeight="1">
      <c r="A847" s="530"/>
      <c r="B847" s="531"/>
      <c r="C847" s="531"/>
    </row>
    <row r="848" ht="15.75" customHeight="1">
      <c r="A848" s="530"/>
      <c r="B848" s="531"/>
      <c r="C848" s="531"/>
    </row>
    <row r="849" ht="15.75" customHeight="1">
      <c r="A849" s="530"/>
      <c r="B849" s="531"/>
      <c r="C849" s="531"/>
    </row>
    <row r="850" ht="15.75" customHeight="1">
      <c r="A850" s="530"/>
      <c r="B850" s="531"/>
      <c r="C850" s="531"/>
    </row>
    <row r="851" ht="15.75" customHeight="1">
      <c r="A851" s="530"/>
      <c r="B851" s="531"/>
      <c r="C851" s="531"/>
    </row>
    <row r="852" ht="15.75" customHeight="1">
      <c r="A852" s="530"/>
      <c r="B852" s="531"/>
      <c r="C852" s="531"/>
    </row>
    <row r="853" ht="15.75" customHeight="1">
      <c r="A853" s="530"/>
      <c r="B853" s="531"/>
      <c r="C853" s="531"/>
    </row>
    <row r="854" ht="15.75" customHeight="1">
      <c r="A854" s="530"/>
      <c r="B854" s="531"/>
      <c r="C854" s="531"/>
    </row>
    <row r="855" ht="15.75" customHeight="1">
      <c r="A855" s="530"/>
      <c r="B855" s="531"/>
      <c r="C855" s="531"/>
    </row>
    <row r="856" ht="15.75" customHeight="1">
      <c r="A856" s="530"/>
      <c r="B856" s="531"/>
      <c r="C856" s="531"/>
    </row>
    <row r="857" ht="15.75" customHeight="1">
      <c r="A857" s="530"/>
      <c r="B857" s="531"/>
      <c r="C857" s="531"/>
    </row>
    <row r="858" ht="15.75" customHeight="1">
      <c r="A858" s="530"/>
      <c r="B858" s="531"/>
      <c r="C858" s="531"/>
    </row>
    <row r="859" ht="15.75" customHeight="1">
      <c r="A859" s="530"/>
      <c r="B859" s="531"/>
      <c r="C859" s="531"/>
    </row>
    <row r="860" ht="15.75" customHeight="1">
      <c r="A860" s="530"/>
      <c r="B860" s="531"/>
      <c r="C860" s="531"/>
    </row>
    <row r="861" ht="15.75" customHeight="1">
      <c r="A861" s="530"/>
      <c r="B861" s="531"/>
      <c r="C861" s="531"/>
    </row>
    <row r="862" ht="15.75" customHeight="1">
      <c r="A862" s="530"/>
      <c r="B862" s="531"/>
      <c r="C862" s="531"/>
    </row>
    <row r="863" ht="15.75" customHeight="1">
      <c r="A863" s="530"/>
      <c r="B863" s="531"/>
      <c r="C863" s="531"/>
    </row>
    <row r="864" ht="15.75" customHeight="1">
      <c r="A864" s="530"/>
      <c r="B864" s="531"/>
      <c r="C864" s="531"/>
    </row>
    <row r="865" ht="15.75" customHeight="1">
      <c r="A865" s="530"/>
      <c r="B865" s="531"/>
      <c r="C865" s="531"/>
    </row>
    <row r="866" ht="15.75" customHeight="1">
      <c r="A866" s="530"/>
      <c r="B866" s="531"/>
      <c r="C866" s="531"/>
    </row>
    <row r="867" ht="15.75" customHeight="1">
      <c r="A867" s="530"/>
      <c r="B867" s="531"/>
      <c r="C867" s="531"/>
    </row>
    <row r="868" ht="15.75" customHeight="1">
      <c r="A868" s="530"/>
      <c r="B868" s="531"/>
      <c r="C868" s="531"/>
    </row>
    <row r="869" ht="15.75" customHeight="1">
      <c r="A869" s="530"/>
      <c r="B869" s="531"/>
      <c r="C869" s="531"/>
    </row>
    <row r="870" ht="15.75" customHeight="1">
      <c r="A870" s="530"/>
      <c r="B870" s="531"/>
      <c r="C870" s="531"/>
    </row>
    <row r="871" ht="15.75" customHeight="1">
      <c r="A871" s="530"/>
      <c r="B871" s="531"/>
      <c r="C871" s="531"/>
    </row>
    <row r="872" ht="15.75" customHeight="1">
      <c r="A872" s="530"/>
      <c r="B872" s="531"/>
      <c r="C872" s="531"/>
    </row>
    <row r="873" ht="15.75" customHeight="1">
      <c r="A873" s="530"/>
      <c r="B873" s="531"/>
      <c r="C873" s="531"/>
    </row>
    <row r="874" ht="15.75" customHeight="1">
      <c r="A874" s="530"/>
      <c r="B874" s="531"/>
      <c r="C874" s="531"/>
    </row>
    <row r="875" ht="15.75" customHeight="1">
      <c r="A875" s="530"/>
      <c r="B875" s="531"/>
      <c r="C875" s="531"/>
    </row>
    <row r="876" ht="15.75" customHeight="1">
      <c r="A876" s="530"/>
      <c r="B876" s="531"/>
      <c r="C876" s="531"/>
    </row>
    <row r="877" ht="15.75" customHeight="1">
      <c r="A877" s="530"/>
      <c r="B877" s="531"/>
      <c r="C877" s="531"/>
    </row>
    <row r="878" ht="15.75" customHeight="1">
      <c r="A878" s="530"/>
      <c r="B878" s="531"/>
      <c r="C878" s="531"/>
    </row>
    <row r="879" ht="15.75" customHeight="1">
      <c r="A879" s="530"/>
      <c r="B879" s="531"/>
      <c r="C879" s="531"/>
    </row>
    <row r="880" ht="15.75" customHeight="1">
      <c r="A880" s="530"/>
      <c r="B880" s="531"/>
      <c r="C880" s="531"/>
    </row>
    <row r="881" ht="15.75" customHeight="1">
      <c r="A881" s="530"/>
      <c r="B881" s="531"/>
      <c r="C881" s="531"/>
    </row>
    <row r="882" ht="15.75" customHeight="1">
      <c r="A882" s="530"/>
      <c r="B882" s="531"/>
      <c r="C882" s="531"/>
    </row>
    <row r="883" ht="15.75" customHeight="1">
      <c r="A883" s="530"/>
      <c r="B883" s="531"/>
      <c r="C883" s="531"/>
    </row>
    <row r="884" ht="15.75" customHeight="1">
      <c r="A884" s="530"/>
      <c r="B884" s="531"/>
      <c r="C884" s="531"/>
    </row>
    <row r="885" ht="15.75" customHeight="1">
      <c r="A885" s="530"/>
      <c r="B885" s="531"/>
      <c r="C885" s="531"/>
    </row>
    <row r="886" ht="15.75" customHeight="1">
      <c r="A886" s="530"/>
      <c r="B886" s="531"/>
      <c r="C886" s="531"/>
    </row>
    <row r="887" ht="15.75" customHeight="1">
      <c r="A887" s="530"/>
      <c r="B887" s="531"/>
      <c r="C887" s="531"/>
    </row>
    <row r="888" ht="15.75" customHeight="1">
      <c r="A888" s="530"/>
      <c r="B888" s="531"/>
      <c r="C888" s="531"/>
    </row>
    <row r="889" ht="15.75" customHeight="1">
      <c r="A889" s="530"/>
      <c r="B889" s="531"/>
      <c r="C889" s="531"/>
    </row>
    <row r="890" ht="15.75" customHeight="1">
      <c r="A890" s="530"/>
      <c r="B890" s="531"/>
      <c r="C890" s="531"/>
    </row>
    <row r="891" ht="15.75" customHeight="1">
      <c r="A891" s="530"/>
      <c r="B891" s="531"/>
      <c r="C891" s="531"/>
    </row>
    <row r="892" ht="15.75" customHeight="1">
      <c r="A892" s="530"/>
      <c r="B892" s="531"/>
      <c r="C892" s="531"/>
    </row>
    <row r="893" ht="15.75" customHeight="1">
      <c r="A893" s="530"/>
      <c r="B893" s="531"/>
      <c r="C893" s="531"/>
    </row>
    <row r="894" ht="15.75" customHeight="1">
      <c r="A894" s="530"/>
      <c r="B894" s="531"/>
      <c r="C894" s="531"/>
    </row>
    <row r="895" ht="15.75" customHeight="1">
      <c r="A895" s="530"/>
      <c r="B895" s="531"/>
      <c r="C895" s="531"/>
    </row>
    <row r="896" ht="15.75" customHeight="1">
      <c r="A896" s="530"/>
      <c r="B896" s="531"/>
      <c r="C896" s="531"/>
    </row>
    <row r="897" ht="15.75" customHeight="1">
      <c r="A897" s="530"/>
      <c r="B897" s="531"/>
      <c r="C897" s="531"/>
    </row>
    <row r="898" ht="15.75" customHeight="1">
      <c r="A898" s="530"/>
      <c r="B898" s="531"/>
      <c r="C898" s="531"/>
    </row>
    <row r="899" ht="15.75" customHeight="1">
      <c r="A899" s="530"/>
      <c r="B899" s="531"/>
      <c r="C899" s="531"/>
    </row>
    <row r="900" ht="15.75" customHeight="1">
      <c r="A900" s="530"/>
      <c r="B900" s="531"/>
      <c r="C900" s="531"/>
    </row>
    <row r="901" ht="15.75" customHeight="1">
      <c r="A901" s="530"/>
      <c r="B901" s="531"/>
      <c r="C901" s="531"/>
    </row>
    <row r="902" ht="15.75" customHeight="1">
      <c r="A902" s="530"/>
      <c r="B902" s="531"/>
      <c r="C902" s="531"/>
    </row>
    <row r="903" ht="15.75" customHeight="1">
      <c r="A903" s="530"/>
      <c r="B903" s="531"/>
      <c r="C903" s="531"/>
    </row>
    <row r="904" ht="15.75" customHeight="1">
      <c r="A904" s="530"/>
      <c r="B904" s="531"/>
      <c r="C904" s="531"/>
    </row>
    <row r="905" ht="15.75" customHeight="1">
      <c r="A905" s="530"/>
      <c r="B905" s="531"/>
      <c r="C905" s="531"/>
    </row>
    <row r="906" ht="15.75" customHeight="1">
      <c r="A906" s="530"/>
      <c r="B906" s="531"/>
      <c r="C906" s="531"/>
    </row>
    <row r="907" ht="15.75" customHeight="1">
      <c r="A907" s="530"/>
      <c r="B907" s="531"/>
      <c r="C907" s="531"/>
    </row>
    <row r="908" ht="15.75" customHeight="1">
      <c r="A908" s="530"/>
      <c r="B908" s="531"/>
      <c r="C908" s="531"/>
    </row>
    <row r="909" ht="15.75" customHeight="1">
      <c r="A909" s="530"/>
      <c r="B909" s="531"/>
      <c r="C909" s="531"/>
    </row>
    <row r="910" ht="15.75" customHeight="1">
      <c r="A910" s="530"/>
      <c r="B910" s="531"/>
      <c r="C910" s="531"/>
    </row>
    <row r="911" ht="15.75" customHeight="1">
      <c r="A911" s="530"/>
      <c r="B911" s="531"/>
      <c r="C911" s="531"/>
    </row>
    <row r="912" ht="15.75" customHeight="1">
      <c r="A912" s="530"/>
      <c r="B912" s="531"/>
      <c r="C912" s="531"/>
    </row>
    <row r="913" ht="15.75" customHeight="1">
      <c r="A913" s="530"/>
      <c r="B913" s="531"/>
      <c r="C913" s="531"/>
    </row>
    <row r="914" ht="15.75" customHeight="1">
      <c r="A914" s="530"/>
      <c r="B914" s="531"/>
      <c r="C914" s="531"/>
    </row>
    <row r="915" ht="15.75" customHeight="1">
      <c r="A915" s="530"/>
      <c r="B915" s="531"/>
      <c r="C915" s="531"/>
    </row>
    <row r="916" ht="15.75" customHeight="1">
      <c r="A916" s="530"/>
      <c r="B916" s="531"/>
      <c r="C916" s="531"/>
    </row>
    <row r="917" ht="15.75" customHeight="1">
      <c r="A917" s="530"/>
      <c r="B917" s="531"/>
      <c r="C917" s="531"/>
    </row>
    <row r="918" ht="15.75" customHeight="1">
      <c r="A918" s="530"/>
      <c r="B918" s="531"/>
      <c r="C918" s="531"/>
    </row>
    <row r="919" ht="15.75" customHeight="1">
      <c r="A919" s="530"/>
      <c r="B919" s="531"/>
      <c r="C919" s="531"/>
    </row>
    <row r="920" ht="15.75" customHeight="1">
      <c r="A920" s="530"/>
      <c r="B920" s="531"/>
      <c r="C920" s="531"/>
    </row>
    <row r="921" ht="15.75" customHeight="1">
      <c r="A921" s="530"/>
      <c r="B921" s="531"/>
      <c r="C921" s="531"/>
    </row>
    <row r="922" ht="15.75" customHeight="1">
      <c r="A922" s="530"/>
      <c r="B922" s="531"/>
      <c r="C922" s="531"/>
    </row>
    <row r="923" ht="15.75" customHeight="1">
      <c r="A923" s="530"/>
      <c r="B923" s="531"/>
      <c r="C923" s="531"/>
    </row>
    <row r="924" ht="15.75" customHeight="1">
      <c r="A924" s="530"/>
      <c r="B924" s="531"/>
      <c r="C924" s="531"/>
    </row>
    <row r="925" ht="15.75" customHeight="1">
      <c r="A925" s="530"/>
      <c r="B925" s="531"/>
      <c r="C925" s="531"/>
    </row>
    <row r="926" ht="15.75" customHeight="1">
      <c r="A926" s="530"/>
      <c r="B926" s="531"/>
      <c r="C926" s="531"/>
    </row>
    <row r="927" ht="15.75" customHeight="1">
      <c r="A927" s="530"/>
      <c r="B927" s="531"/>
      <c r="C927" s="531"/>
    </row>
    <row r="928" ht="15.75" customHeight="1">
      <c r="A928" s="530"/>
      <c r="B928" s="531"/>
      <c r="C928" s="531"/>
    </row>
    <row r="929" ht="15.75" customHeight="1">
      <c r="A929" s="530"/>
      <c r="B929" s="531"/>
      <c r="C929" s="531"/>
    </row>
    <row r="930" ht="15.75" customHeight="1">
      <c r="A930" s="530"/>
      <c r="B930" s="531"/>
      <c r="C930" s="531"/>
    </row>
    <row r="931" ht="15.75" customHeight="1">
      <c r="A931" s="530"/>
      <c r="B931" s="531"/>
      <c r="C931" s="531"/>
    </row>
    <row r="932" ht="15.75" customHeight="1">
      <c r="A932" s="530"/>
      <c r="B932" s="531"/>
      <c r="C932" s="531"/>
    </row>
    <row r="933" ht="15.75" customHeight="1">
      <c r="A933" s="530"/>
      <c r="B933" s="531"/>
      <c r="C933" s="531"/>
    </row>
    <row r="934" ht="15.75" customHeight="1">
      <c r="A934" s="530"/>
      <c r="B934" s="531"/>
      <c r="C934" s="531"/>
    </row>
    <row r="935" ht="15.75" customHeight="1">
      <c r="A935" s="530"/>
      <c r="B935" s="531"/>
      <c r="C935" s="531"/>
    </row>
    <row r="936" ht="15.75" customHeight="1">
      <c r="A936" s="530"/>
      <c r="B936" s="531"/>
      <c r="C936" s="531"/>
    </row>
    <row r="937" ht="15.75" customHeight="1">
      <c r="A937" s="530"/>
      <c r="B937" s="531"/>
      <c r="C937" s="531"/>
    </row>
    <row r="938" ht="15.75" customHeight="1">
      <c r="A938" s="530"/>
      <c r="B938" s="531"/>
      <c r="C938" s="531"/>
    </row>
    <row r="939" ht="15.75" customHeight="1">
      <c r="A939" s="530"/>
      <c r="B939" s="531"/>
      <c r="C939" s="531"/>
    </row>
    <row r="940" ht="15.75" customHeight="1">
      <c r="A940" s="530"/>
      <c r="B940" s="531"/>
      <c r="C940" s="531"/>
    </row>
    <row r="941" ht="15.75" customHeight="1">
      <c r="A941" s="530"/>
      <c r="B941" s="531"/>
      <c r="C941" s="531"/>
    </row>
    <row r="942" ht="15.75" customHeight="1">
      <c r="A942" s="530"/>
      <c r="B942" s="531"/>
      <c r="C942" s="531"/>
    </row>
    <row r="943" ht="15.75" customHeight="1">
      <c r="A943" s="530"/>
      <c r="B943" s="531"/>
      <c r="C943" s="531"/>
    </row>
    <row r="944" ht="15.75" customHeight="1">
      <c r="A944" s="530"/>
      <c r="B944" s="531"/>
      <c r="C944" s="531"/>
    </row>
    <row r="945" ht="15.75" customHeight="1">
      <c r="A945" s="530"/>
      <c r="B945" s="531"/>
      <c r="C945" s="531"/>
    </row>
    <row r="946" ht="15.75" customHeight="1">
      <c r="A946" s="530"/>
      <c r="B946" s="531"/>
      <c r="C946" s="531"/>
    </row>
    <row r="947" ht="15.75" customHeight="1">
      <c r="A947" s="530"/>
      <c r="B947" s="531"/>
      <c r="C947" s="531"/>
    </row>
    <row r="948" ht="15.75" customHeight="1">
      <c r="A948" s="530"/>
      <c r="B948" s="531"/>
      <c r="C948" s="531"/>
    </row>
    <row r="949" ht="15.75" customHeight="1">
      <c r="A949" s="530"/>
      <c r="B949" s="531"/>
      <c r="C949" s="531"/>
    </row>
    <row r="950" ht="15.75" customHeight="1">
      <c r="A950" s="530"/>
      <c r="B950" s="531"/>
      <c r="C950" s="531"/>
    </row>
    <row r="951" ht="15.75" customHeight="1">
      <c r="A951" s="530"/>
      <c r="B951" s="531"/>
      <c r="C951" s="531"/>
    </row>
    <row r="952" ht="15.75" customHeight="1">
      <c r="A952" s="530"/>
      <c r="B952" s="531"/>
      <c r="C952" s="531"/>
    </row>
    <row r="953" ht="15.75" customHeight="1">
      <c r="A953" s="530"/>
      <c r="B953" s="531"/>
      <c r="C953" s="531"/>
    </row>
    <row r="954" ht="15.75" customHeight="1">
      <c r="A954" s="530"/>
      <c r="B954" s="531"/>
      <c r="C954" s="531"/>
    </row>
    <row r="955" ht="15.75" customHeight="1">
      <c r="A955" s="530"/>
      <c r="B955" s="531"/>
      <c r="C955" s="531"/>
    </row>
    <row r="956" ht="15.75" customHeight="1">
      <c r="A956" s="530"/>
      <c r="B956" s="531"/>
      <c r="C956" s="531"/>
    </row>
    <row r="957" ht="15.75" customHeight="1">
      <c r="A957" s="530"/>
      <c r="B957" s="531"/>
      <c r="C957" s="531"/>
    </row>
    <row r="958" ht="15.75" customHeight="1">
      <c r="A958" s="530"/>
      <c r="B958" s="531"/>
      <c r="C958" s="531"/>
    </row>
    <row r="959" ht="15.75" customHeight="1">
      <c r="A959" s="530"/>
      <c r="B959" s="531"/>
      <c r="C959" s="531"/>
    </row>
    <row r="960" ht="15.75" customHeight="1">
      <c r="A960" s="530"/>
      <c r="B960" s="531"/>
      <c r="C960" s="531"/>
    </row>
    <row r="961" ht="15.75" customHeight="1">
      <c r="A961" s="530"/>
      <c r="B961" s="531"/>
      <c r="C961" s="531"/>
    </row>
    <row r="962" ht="15.75" customHeight="1">
      <c r="A962" s="530"/>
      <c r="B962" s="531"/>
      <c r="C962" s="531"/>
    </row>
    <row r="963" ht="15.75" customHeight="1">
      <c r="A963" s="530"/>
      <c r="B963" s="531"/>
      <c r="C963" s="531"/>
    </row>
    <row r="964" ht="15.75" customHeight="1">
      <c r="A964" s="530"/>
      <c r="B964" s="531"/>
      <c r="C964" s="531"/>
    </row>
    <row r="965" ht="15.75" customHeight="1">
      <c r="A965" s="530"/>
      <c r="B965" s="531"/>
      <c r="C965" s="531"/>
    </row>
    <row r="966" ht="15.75" customHeight="1">
      <c r="A966" s="530"/>
      <c r="B966" s="531"/>
      <c r="C966" s="531"/>
    </row>
    <row r="967" ht="15.75" customHeight="1">
      <c r="A967" s="530"/>
      <c r="B967" s="531"/>
      <c r="C967" s="531"/>
    </row>
    <row r="968" ht="15.75" customHeight="1">
      <c r="A968" s="530"/>
      <c r="B968" s="531"/>
      <c r="C968" s="531"/>
    </row>
    <row r="969" ht="15.75" customHeight="1">
      <c r="A969" s="530"/>
      <c r="B969" s="531"/>
      <c r="C969" s="531"/>
    </row>
    <row r="970" ht="15.75" customHeight="1">
      <c r="A970" s="530"/>
      <c r="B970" s="531"/>
      <c r="C970" s="531"/>
    </row>
    <row r="971" ht="15.75" customHeight="1">
      <c r="A971" s="530"/>
      <c r="B971" s="531"/>
      <c r="C971" s="531"/>
    </row>
    <row r="972" ht="15.75" customHeight="1">
      <c r="A972" s="530"/>
      <c r="B972" s="531"/>
      <c r="C972" s="531"/>
    </row>
    <row r="973" ht="15.75" customHeight="1">
      <c r="A973" s="530"/>
      <c r="B973" s="531"/>
      <c r="C973" s="531"/>
    </row>
    <row r="974" ht="15.75" customHeight="1">
      <c r="A974" s="530"/>
      <c r="B974" s="531"/>
      <c r="C974" s="531"/>
    </row>
    <row r="975" ht="15.75" customHeight="1">
      <c r="A975" s="530"/>
      <c r="B975" s="531"/>
      <c r="C975" s="531"/>
    </row>
    <row r="976" ht="15.75" customHeight="1">
      <c r="A976" s="530"/>
      <c r="B976" s="531"/>
      <c r="C976" s="531"/>
    </row>
    <row r="977" ht="15.75" customHeight="1">
      <c r="A977" s="530"/>
      <c r="B977" s="531"/>
      <c r="C977" s="531"/>
    </row>
    <row r="978" ht="15.75" customHeight="1">
      <c r="A978" s="530"/>
      <c r="B978" s="531"/>
      <c r="C978" s="531"/>
    </row>
    <row r="979" ht="15.75" customHeight="1">
      <c r="A979" s="530"/>
      <c r="B979" s="531"/>
      <c r="C979" s="531"/>
    </row>
    <row r="980" ht="15.75" customHeight="1">
      <c r="A980" s="530"/>
      <c r="B980" s="531"/>
      <c r="C980" s="531"/>
    </row>
    <row r="981" ht="15.75" customHeight="1">
      <c r="A981" s="530"/>
      <c r="B981" s="531"/>
      <c r="C981" s="531"/>
    </row>
    <row r="982" ht="15.75" customHeight="1">
      <c r="A982" s="530"/>
      <c r="B982" s="531"/>
      <c r="C982" s="531"/>
    </row>
    <row r="983" ht="15.75" customHeight="1">
      <c r="A983" s="530"/>
      <c r="B983" s="531"/>
      <c r="C983" s="531"/>
    </row>
    <row r="984" ht="15.75" customHeight="1">
      <c r="A984" s="530"/>
      <c r="B984" s="531"/>
      <c r="C984" s="531"/>
    </row>
    <row r="985" ht="15.75" customHeight="1">
      <c r="A985" s="530"/>
      <c r="B985" s="531"/>
      <c r="C985" s="531"/>
    </row>
    <row r="986" ht="15.75" customHeight="1">
      <c r="A986" s="530"/>
      <c r="B986" s="531"/>
      <c r="C986" s="531"/>
    </row>
    <row r="987" ht="15.75" customHeight="1">
      <c r="A987" s="530"/>
      <c r="B987" s="531"/>
      <c r="C987" s="531"/>
    </row>
    <row r="988" ht="15.75" customHeight="1">
      <c r="A988" s="530"/>
      <c r="B988" s="531"/>
      <c r="C988" s="531"/>
    </row>
    <row r="989" ht="15.75" customHeight="1">
      <c r="A989" s="530"/>
      <c r="B989" s="531"/>
      <c r="C989" s="531"/>
    </row>
    <row r="990" ht="15.75" customHeight="1">
      <c r="A990" s="530"/>
      <c r="B990" s="531"/>
      <c r="C990" s="531"/>
    </row>
    <row r="991" ht="15.75" customHeight="1">
      <c r="A991" s="530"/>
      <c r="B991" s="531"/>
      <c r="C991" s="531"/>
    </row>
    <row r="992" ht="15.75" customHeight="1">
      <c r="A992" s="530"/>
      <c r="B992" s="531"/>
      <c r="C992" s="531"/>
    </row>
    <row r="993" ht="15.75" customHeight="1">
      <c r="A993" s="530"/>
      <c r="B993" s="531"/>
      <c r="C993" s="531"/>
    </row>
    <row r="994" ht="15.75" customHeight="1">
      <c r="A994" s="530"/>
      <c r="B994" s="531"/>
      <c r="C994" s="531"/>
    </row>
    <row r="995" ht="15.75" customHeight="1">
      <c r="A995" s="530"/>
      <c r="B995" s="531"/>
      <c r="C995" s="531"/>
    </row>
    <row r="996" ht="15.75" customHeight="1">
      <c r="A996" s="530"/>
      <c r="B996" s="531"/>
      <c r="C996" s="531"/>
    </row>
    <row r="997" ht="15.75" customHeight="1">
      <c r="A997" s="530"/>
      <c r="B997" s="531"/>
      <c r="C997" s="531"/>
    </row>
    <row r="998" ht="15.75" customHeight="1">
      <c r="A998" s="530"/>
      <c r="B998" s="531"/>
      <c r="C998" s="531"/>
    </row>
    <row r="999" ht="15.75" customHeight="1">
      <c r="A999" s="530"/>
      <c r="B999" s="531"/>
      <c r="C999" s="531"/>
    </row>
    <row r="1000" ht="15.75" customHeight="1">
      <c r="A1000" s="530"/>
      <c r="B1000" s="531"/>
      <c r="C1000" s="531"/>
    </row>
  </sheetData>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EC492"/>
    <pageSetUpPr/>
  </sheetPr>
  <sheetViews>
    <sheetView workbookViewId="0"/>
  </sheetViews>
  <sheetFormatPr customHeight="1" defaultColWidth="14.43" defaultRowHeight="15.0"/>
  <cols>
    <col customWidth="1" min="1" max="1" width="24.0"/>
    <col customWidth="1" min="2" max="2" width="23.14"/>
    <col customWidth="1" min="3" max="3" width="16.14"/>
    <col customWidth="1" min="4" max="4" width="28.0"/>
    <col customWidth="1" min="5" max="26" width="8.71"/>
  </cols>
  <sheetData>
    <row r="1">
      <c r="A1" s="532" t="s">
        <v>3849</v>
      </c>
      <c r="B1" s="533" t="s">
        <v>3850</v>
      </c>
      <c r="C1" s="534" t="s">
        <v>3851</v>
      </c>
      <c r="D1" s="535" t="s">
        <v>3852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CDEE"/>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29"/>
    <col customWidth="1" min="2" max="2" width="7.14"/>
    <col customWidth="1" min="3" max="3" width="21.86"/>
    <col customWidth="1" min="4" max="4" width="72.57"/>
    <col customWidth="1" min="5" max="5" width="9.14"/>
    <col customWidth="1" min="6" max="6" width="18.86"/>
    <col customWidth="1" min="7" max="7" width="13.29"/>
    <col customWidth="1" min="8" max="26" width="8.71"/>
  </cols>
  <sheetData>
    <row r="1">
      <c r="A1" s="536" t="s">
        <v>3849</v>
      </c>
      <c r="B1" s="537" t="s">
        <v>3853</v>
      </c>
      <c r="C1" s="537" t="s">
        <v>3852</v>
      </c>
      <c r="D1" s="538" t="s">
        <v>3850</v>
      </c>
      <c r="E1" s="436"/>
      <c r="F1" s="436"/>
      <c r="G1" s="436"/>
      <c r="H1" s="436"/>
      <c r="I1" s="436"/>
      <c r="J1" s="436"/>
      <c r="K1" s="436"/>
      <c r="L1" s="436"/>
      <c r="M1" s="436"/>
      <c r="N1" s="436"/>
      <c r="O1" s="436"/>
      <c r="P1" s="436"/>
      <c r="Q1" s="436"/>
      <c r="R1" s="436"/>
      <c r="S1" s="436"/>
      <c r="T1" s="436"/>
      <c r="U1" s="436"/>
      <c r="V1" s="436"/>
      <c r="W1" s="436"/>
      <c r="X1" s="436"/>
      <c r="Y1" s="436"/>
      <c r="Z1" s="436"/>
    </row>
    <row r="2">
      <c r="A2" s="539">
        <v>1.0</v>
      </c>
      <c r="B2" s="540" t="s">
        <v>2099</v>
      </c>
      <c r="C2" s="541" t="s">
        <v>3854</v>
      </c>
      <c r="D2" s="542" t="s">
        <v>3855</v>
      </c>
      <c r="E2" s="436"/>
      <c r="F2" s="543" t="s">
        <v>3852</v>
      </c>
      <c r="G2" s="543" t="s">
        <v>3856</v>
      </c>
      <c r="H2" s="436"/>
      <c r="I2" s="436"/>
      <c r="J2" s="436"/>
      <c r="K2" s="436"/>
      <c r="L2" s="436"/>
      <c r="M2" s="436"/>
      <c r="N2" s="436"/>
      <c r="O2" s="436"/>
      <c r="P2" s="436"/>
      <c r="Q2" s="436"/>
      <c r="R2" s="436"/>
      <c r="S2" s="436"/>
      <c r="T2" s="436"/>
      <c r="U2" s="436"/>
      <c r="V2" s="436"/>
      <c r="W2" s="436"/>
      <c r="X2" s="436"/>
      <c r="Y2" s="436"/>
      <c r="Z2" s="436"/>
    </row>
    <row r="3">
      <c r="A3" s="544">
        <v>2.0</v>
      </c>
      <c r="B3" s="544" t="s">
        <v>1841</v>
      </c>
      <c r="C3" s="541" t="s">
        <v>3854</v>
      </c>
      <c r="D3" s="544" t="s">
        <v>3857</v>
      </c>
      <c r="E3" s="436"/>
      <c r="F3" s="541" t="s">
        <v>3854</v>
      </c>
      <c r="G3" s="544" t="s">
        <v>3858</v>
      </c>
      <c r="H3" s="436"/>
      <c r="I3" s="436"/>
      <c r="J3" s="436"/>
      <c r="K3" s="436"/>
      <c r="L3" s="436"/>
      <c r="M3" s="436"/>
      <c r="N3" s="436"/>
      <c r="O3" s="436"/>
      <c r="P3" s="436"/>
      <c r="Q3" s="436"/>
      <c r="R3" s="436"/>
      <c r="S3" s="436"/>
      <c r="T3" s="436"/>
      <c r="U3" s="436"/>
      <c r="V3" s="436"/>
      <c r="W3" s="436"/>
      <c r="X3" s="436"/>
      <c r="Y3" s="436"/>
      <c r="Z3" s="436"/>
    </row>
    <row r="4">
      <c r="A4" s="540">
        <v>3.0</v>
      </c>
      <c r="B4" s="540" t="s">
        <v>2069</v>
      </c>
      <c r="C4" s="545" t="s">
        <v>3854</v>
      </c>
      <c r="D4" s="540" t="s">
        <v>3859</v>
      </c>
      <c r="E4" s="436"/>
      <c r="F4" s="546" t="s">
        <v>3860</v>
      </c>
      <c r="G4" s="544" t="s">
        <v>3861</v>
      </c>
      <c r="H4" s="436"/>
      <c r="I4" s="436"/>
      <c r="J4" s="436"/>
      <c r="K4" s="436"/>
      <c r="L4" s="436"/>
      <c r="M4" s="436"/>
      <c r="N4" s="436"/>
      <c r="O4" s="436"/>
      <c r="P4" s="436"/>
      <c r="Q4" s="436"/>
      <c r="R4" s="436"/>
      <c r="S4" s="436"/>
      <c r="T4" s="436"/>
      <c r="U4" s="436"/>
      <c r="V4" s="436"/>
      <c r="W4" s="436"/>
      <c r="X4" s="436"/>
      <c r="Y4" s="436"/>
      <c r="Z4" s="436"/>
    </row>
    <row r="5">
      <c r="A5" s="540">
        <v>4.0</v>
      </c>
      <c r="B5" s="540" t="s">
        <v>1841</v>
      </c>
      <c r="C5" s="545" t="s">
        <v>3854</v>
      </c>
      <c r="D5" s="540" t="s">
        <v>3862</v>
      </c>
      <c r="E5" s="436"/>
      <c r="F5" s="436"/>
      <c r="G5" s="436"/>
      <c r="H5" s="436"/>
      <c r="I5" s="436"/>
      <c r="J5" s="436"/>
      <c r="K5" s="436"/>
      <c r="L5" s="436"/>
      <c r="M5" s="436"/>
      <c r="N5" s="436"/>
      <c r="O5" s="436"/>
      <c r="P5" s="436"/>
      <c r="Q5" s="436"/>
      <c r="R5" s="436"/>
      <c r="S5" s="436"/>
      <c r="T5" s="436"/>
      <c r="U5" s="436"/>
      <c r="V5" s="436"/>
      <c r="W5" s="436"/>
      <c r="X5" s="436"/>
      <c r="Y5" s="436"/>
      <c r="Z5" s="436"/>
    </row>
    <row r="6">
      <c r="A6" s="544">
        <v>5.0</v>
      </c>
      <c r="B6" s="544" t="s">
        <v>1841</v>
      </c>
      <c r="C6" s="545" t="s">
        <v>3854</v>
      </c>
      <c r="D6" s="544" t="s">
        <v>3863</v>
      </c>
      <c r="E6" s="436"/>
      <c r="F6" s="436"/>
      <c r="G6" s="436"/>
      <c r="H6" s="436"/>
      <c r="I6" s="436"/>
      <c r="J6" s="436"/>
      <c r="K6" s="436"/>
      <c r="L6" s="436"/>
      <c r="M6" s="436"/>
      <c r="N6" s="436"/>
      <c r="O6" s="436"/>
      <c r="P6" s="436"/>
      <c r="Q6" s="436"/>
      <c r="R6" s="436"/>
      <c r="S6" s="436"/>
      <c r="T6" s="436"/>
      <c r="U6" s="436"/>
      <c r="V6" s="436"/>
      <c r="W6" s="436"/>
      <c r="X6" s="436"/>
      <c r="Y6" s="436"/>
      <c r="Z6" s="436"/>
    </row>
    <row r="7">
      <c r="A7" s="544">
        <v>6.0</v>
      </c>
      <c r="B7" s="544" t="s">
        <v>1841</v>
      </c>
      <c r="C7" s="545" t="s">
        <v>3854</v>
      </c>
      <c r="D7" s="544" t="s">
        <v>3864</v>
      </c>
      <c r="E7" s="436"/>
      <c r="F7" s="436"/>
      <c r="G7" s="436"/>
      <c r="H7" s="436"/>
      <c r="I7" s="436"/>
      <c r="J7" s="436"/>
      <c r="K7" s="436"/>
      <c r="L7" s="436"/>
      <c r="M7" s="436"/>
      <c r="N7" s="436"/>
      <c r="O7" s="436"/>
      <c r="P7" s="436"/>
      <c r="Q7" s="436"/>
      <c r="R7" s="436"/>
      <c r="S7" s="436"/>
      <c r="T7" s="436"/>
      <c r="U7" s="436"/>
      <c r="V7" s="436"/>
      <c r="W7" s="436"/>
      <c r="X7" s="436"/>
      <c r="Y7" s="436"/>
      <c r="Z7" s="436"/>
    </row>
    <row r="8">
      <c r="A8" s="544">
        <v>7.0</v>
      </c>
      <c r="B8" s="544" t="s">
        <v>1841</v>
      </c>
      <c r="C8" s="545" t="s">
        <v>3854</v>
      </c>
      <c r="D8" s="544" t="s">
        <v>3865</v>
      </c>
      <c r="E8" s="436"/>
      <c r="F8" s="436"/>
      <c r="G8" s="436"/>
      <c r="H8" s="436"/>
      <c r="I8" s="436"/>
      <c r="J8" s="436"/>
      <c r="K8" s="436"/>
      <c r="L8" s="436"/>
      <c r="M8" s="436"/>
      <c r="N8" s="436"/>
      <c r="O8" s="436"/>
      <c r="P8" s="436"/>
      <c r="Q8" s="436"/>
      <c r="R8" s="436"/>
      <c r="S8" s="436"/>
      <c r="T8" s="436"/>
      <c r="U8" s="436"/>
      <c r="V8" s="436"/>
      <c r="W8" s="436"/>
      <c r="X8" s="436"/>
      <c r="Y8" s="436"/>
      <c r="Z8" s="436"/>
    </row>
    <row r="9">
      <c r="A9" s="540">
        <v>8.0</v>
      </c>
      <c r="B9" s="540" t="s">
        <v>1841</v>
      </c>
      <c r="C9" s="545" t="s">
        <v>3854</v>
      </c>
      <c r="D9" s="540" t="s">
        <v>3866</v>
      </c>
      <c r="E9" s="436"/>
      <c r="F9" s="436"/>
      <c r="G9" s="436"/>
      <c r="H9" s="436"/>
      <c r="I9" s="436"/>
      <c r="J9" s="436"/>
      <c r="K9" s="436"/>
      <c r="L9" s="436"/>
      <c r="M9" s="436"/>
      <c r="N9" s="436"/>
      <c r="O9" s="436"/>
      <c r="P9" s="436"/>
      <c r="Q9" s="436"/>
      <c r="R9" s="436"/>
      <c r="S9" s="436"/>
      <c r="T9" s="436"/>
      <c r="U9" s="436"/>
      <c r="V9" s="436"/>
      <c r="W9" s="436"/>
      <c r="X9" s="436"/>
      <c r="Y9" s="436"/>
      <c r="Z9" s="436"/>
    </row>
    <row r="10">
      <c r="A10" s="544">
        <v>9.0</v>
      </c>
      <c r="B10" s="544" t="s">
        <v>1841</v>
      </c>
      <c r="C10" s="545" t="s">
        <v>3854</v>
      </c>
      <c r="D10" s="544" t="s">
        <v>3867</v>
      </c>
      <c r="E10" s="436"/>
      <c r="F10" s="436"/>
      <c r="G10" s="436"/>
      <c r="H10" s="436"/>
      <c r="I10" s="436"/>
      <c r="J10" s="436"/>
      <c r="K10" s="436"/>
      <c r="L10" s="436"/>
      <c r="M10" s="436"/>
      <c r="N10" s="436"/>
      <c r="O10" s="436"/>
      <c r="P10" s="436"/>
      <c r="Q10" s="436"/>
      <c r="R10" s="436"/>
      <c r="S10" s="436"/>
      <c r="T10" s="436"/>
      <c r="U10" s="436"/>
      <c r="V10" s="436"/>
      <c r="W10" s="436"/>
      <c r="X10" s="436"/>
      <c r="Y10" s="436"/>
      <c r="Z10" s="436"/>
    </row>
    <row r="11">
      <c r="A11" s="540">
        <v>10.0</v>
      </c>
      <c r="B11" s="540" t="s">
        <v>1841</v>
      </c>
      <c r="C11" s="545" t="s">
        <v>3854</v>
      </c>
      <c r="D11" s="540" t="s">
        <v>3868</v>
      </c>
      <c r="E11" s="436"/>
      <c r="F11" s="436"/>
      <c r="G11" s="436"/>
      <c r="H11" s="436"/>
      <c r="I11" s="436"/>
      <c r="J11" s="436"/>
      <c r="K11" s="436"/>
      <c r="L11" s="436"/>
      <c r="M11" s="436"/>
      <c r="N11" s="436"/>
      <c r="O11" s="436"/>
      <c r="P11" s="436"/>
      <c r="Q11" s="436"/>
      <c r="R11" s="436"/>
      <c r="S11" s="436"/>
      <c r="T11" s="436"/>
      <c r="U11" s="436"/>
      <c r="V11" s="436"/>
      <c r="W11" s="436"/>
      <c r="X11" s="436"/>
      <c r="Y11" s="436"/>
      <c r="Z11" s="436"/>
    </row>
    <row r="12">
      <c r="A12" s="544">
        <v>11.0</v>
      </c>
      <c r="B12" s="544" t="s">
        <v>2019</v>
      </c>
      <c r="C12" s="545" t="s">
        <v>3854</v>
      </c>
      <c r="D12" s="544" t="s">
        <v>3869</v>
      </c>
      <c r="E12" s="436"/>
      <c r="F12" s="436"/>
      <c r="G12" s="436"/>
      <c r="H12" s="436"/>
      <c r="I12" s="436"/>
      <c r="J12" s="436"/>
      <c r="K12" s="436"/>
      <c r="L12" s="436"/>
      <c r="M12" s="436"/>
      <c r="N12" s="436"/>
      <c r="O12" s="436"/>
      <c r="P12" s="436"/>
      <c r="Q12" s="436"/>
      <c r="R12" s="436"/>
      <c r="S12" s="436"/>
      <c r="T12" s="436"/>
      <c r="U12" s="436"/>
      <c r="V12" s="436"/>
      <c r="W12" s="436"/>
      <c r="X12" s="436"/>
      <c r="Y12" s="436"/>
      <c r="Z12" s="436"/>
    </row>
    <row r="13">
      <c r="A13" s="540">
        <v>12.0</v>
      </c>
      <c r="B13" s="540" t="s">
        <v>1841</v>
      </c>
      <c r="C13" s="545" t="s">
        <v>3854</v>
      </c>
      <c r="D13" s="540" t="s">
        <v>3870</v>
      </c>
      <c r="E13" s="436"/>
      <c r="F13" s="436"/>
      <c r="G13" s="436"/>
      <c r="H13" s="436"/>
      <c r="I13" s="436"/>
      <c r="J13" s="436"/>
      <c r="K13" s="436"/>
      <c r="L13" s="436"/>
      <c r="M13" s="436"/>
      <c r="N13" s="436"/>
      <c r="O13" s="436"/>
      <c r="P13" s="436"/>
      <c r="Q13" s="436"/>
      <c r="R13" s="436"/>
      <c r="S13" s="436"/>
      <c r="T13" s="436"/>
      <c r="U13" s="436"/>
      <c r="V13" s="436"/>
      <c r="W13" s="436"/>
      <c r="X13" s="436"/>
      <c r="Y13" s="436"/>
      <c r="Z13" s="436"/>
    </row>
    <row r="14">
      <c r="A14" s="544">
        <v>13.0</v>
      </c>
      <c r="B14" s="547" t="s">
        <v>1849</v>
      </c>
      <c r="C14" s="546" t="s">
        <v>3860</v>
      </c>
      <c r="D14" s="548" t="s">
        <v>3871</v>
      </c>
      <c r="E14" s="436"/>
      <c r="F14" s="436"/>
      <c r="G14" s="436"/>
      <c r="H14" s="436"/>
      <c r="I14" s="436"/>
      <c r="J14" s="436"/>
      <c r="K14" s="436"/>
      <c r="L14" s="436"/>
      <c r="M14" s="436"/>
      <c r="N14" s="436"/>
      <c r="O14" s="436"/>
      <c r="P14" s="436"/>
      <c r="Q14" s="436"/>
      <c r="R14" s="436"/>
      <c r="S14" s="436"/>
      <c r="T14" s="436"/>
      <c r="U14" s="436"/>
      <c r="V14" s="436"/>
      <c r="W14" s="436"/>
      <c r="X14" s="436"/>
      <c r="Y14" s="436"/>
      <c r="Z14" s="436"/>
    </row>
    <row r="15">
      <c r="A15" s="544">
        <v>14.0</v>
      </c>
      <c r="B15" s="544" t="s">
        <v>1841</v>
      </c>
      <c r="C15" s="541" t="s">
        <v>3854</v>
      </c>
      <c r="D15" s="544" t="s">
        <v>3872</v>
      </c>
      <c r="E15" s="436"/>
      <c r="F15" s="436"/>
      <c r="G15" s="436"/>
      <c r="H15" s="436"/>
      <c r="I15" s="436"/>
      <c r="J15" s="436"/>
      <c r="K15" s="436"/>
      <c r="L15" s="436"/>
      <c r="M15" s="436"/>
      <c r="N15" s="436"/>
      <c r="O15" s="436"/>
      <c r="P15" s="436"/>
      <c r="Q15" s="436"/>
      <c r="R15" s="436"/>
      <c r="S15" s="436"/>
      <c r="T15" s="436"/>
      <c r="U15" s="436"/>
      <c r="V15" s="436"/>
      <c r="W15" s="436"/>
      <c r="X15" s="436"/>
      <c r="Y15" s="436"/>
      <c r="Z15" s="436"/>
    </row>
    <row r="16">
      <c r="A16" s="544">
        <v>15.0</v>
      </c>
      <c r="B16" s="544" t="s">
        <v>2692</v>
      </c>
      <c r="C16" s="541" t="s">
        <v>3854</v>
      </c>
      <c r="D16" s="544" t="s">
        <v>3873</v>
      </c>
      <c r="E16" s="436"/>
      <c r="F16" s="436"/>
      <c r="G16" s="436"/>
      <c r="H16" s="436"/>
      <c r="I16" s="436"/>
      <c r="J16" s="436"/>
      <c r="K16" s="436"/>
      <c r="L16" s="436"/>
      <c r="M16" s="436"/>
      <c r="N16" s="436"/>
      <c r="O16" s="436"/>
      <c r="P16" s="436"/>
      <c r="Q16" s="436"/>
      <c r="R16" s="436"/>
      <c r="S16" s="436"/>
      <c r="T16" s="436"/>
      <c r="U16" s="436"/>
      <c r="V16" s="436"/>
      <c r="W16" s="436"/>
      <c r="X16" s="436"/>
      <c r="Y16" s="436"/>
      <c r="Z16" s="436"/>
    </row>
    <row r="17">
      <c r="A17" s="544">
        <v>16.0</v>
      </c>
      <c r="B17" s="544" t="s">
        <v>2692</v>
      </c>
      <c r="C17" s="541" t="s">
        <v>3854</v>
      </c>
      <c r="D17" s="544" t="s">
        <v>3874</v>
      </c>
      <c r="E17" s="436"/>
      <c r="F17" s="436"/>
      <c r="G17" s="436"/>
      <c r="H17" s="436"/>
      <c r="I17" s="436"/>
      <c r="J17" s="436"/>
      <c r="K17" s="436"/>
      <c r="L17" s="436"/>
      <c r="M17" s="436"/>
      <c r="N17" s="436"/>
      <c r="O17" s="436"/>
      <c r="P17" s="436"/>
      <c r="Q17" s="436"/>
      <c r="R17" s="436"/>
      <c r="S17" s="436"/>
      <c r="T17" s="436"/>
      <c r="U17" s="436"/>
      <c r="V17" s="436"/>
      <c r="W17" s="436"/>
      <c r="X17" s="436"/>
      <c r="Y17" s="436"/>
      <c r="Z17" s="436"/>
    </row>
    <row r="18">
      <c r="A18" s="544">
        <v>17.0</v>
      </c>
      <c r="B18" s="544" t="s">
        <v>2692</v>
      </c>
      <c r="C18" s="541" t="s">
        <v>3854</v>
      </c>
      <c r="D18" s="544" t="s">
        <v>3875</v>
      </c>
      <c r="E18" s="436"/>
      <c r="F18" s="436"/>
      <c r="G18" s="436"/>
      <c r="H18" s="436"/>
      <c r="I18" s="436"/>
      <c r="J18" s="436"/>
      <c r="K18" s="436"/>
      <c r="L18" s="436"/>
      <c r="M18" s="436"/>
      <c r="N18" s="436"/>
      <c r="O18" s="436"/>
      <c r="P18" s="436"/>
      <c r="Q18" s="436"/>
      <c r="R18" s="436"/>
      <c r="S18" s="436"/>
      <c r="T18" s="436"/>
      <c r="U18" s="436"/>
      <c r="V18" s="436"/>
      <c r="W18" s="436"/>
      <c r="X18" s="436"/>
      <c r="Y18" s="436"/>
      <c r="Z18" s="436"/>
    </row>
    <row r="19">
      <c r="A19" s="544">
        <v>18.0</v>
      </c>
      <c r="B19" s="544" t="s">
        <v>2692</v>
      </c>
      <c r="C19" s="541" t="s">
        <v>3854</v>
      </c>
      <c r="D19" s="544" t="s">
        <v>3876</v>
      </c>
      <c r="E19" s="436"/>
      <c r="F19" s="436"/>
      <c r="G19" s="436"/>
      <c r="H19" s="436"/>
      <c r="I19" s="436"/>
      <c r="J19" s="436"/>
      <c r="K19" s="436"/>
      <c r="L19" s="436"/>
      <c r="M19" s="436"/>
      <c r="N19" s="436"/>
      <c r="O19" s="436"/>
      <c r="P19" s="436"/>
      <c r="Q19" s="436"/>
      <c r="R19" s="436"/>
      <c r="S19" s="436"/>
      <c r="T19" s="436"/>
      <c r="U19" s="436"/>
      <c r="V19" s="436"/>
      <c r="W19" s="436"/>
      <c r="X19" s="436"/>
      <c r="Y19" s="436"/>
      <c r="Z19" s="436"/>
    </row>
    <row r="20">
      <c r="A20" s="544">
        <v>19.0</v>
      </c>
      <c r="B20" s="544" t="s">
        <v>2692</v>
      </c>
      <c r="C20" s="541" t="s">
        <v>3854</v>
      </c>
      <c r="D20" s="544" t="s">
        <v>3877</v>
      </c>
      <c r="E20" s="436"/>
      <c r="F20" s="436"/>
      <c r="G20" s="436"/>
      <c r="H20" s="436"/>
      <c r="I20" s="436"/>
      <c r="J20" s="436"/>
      <c r="K20" s="436"/>
      <c r="L20" s="436"/>
      <c r="M20" s="436"/>
      <c r="N20" s="436"/>
      <c r="O20" s="436"/>
      <c r="P20" s="436"/>
      <c r="Q20" s="436"/>
      <c r="R20" s="436"/>
      <c r="S20" s="436"/>
      <c r="T20" s="436"/>
      <c r="U20" s="436"/>
      <c r="V20" s="436"/>
      <c r="W20" s="436"/>
      <c r="X20" s="436"/>
      <c r="Y20" s="436"/>
      <c r="Z20" s="436"/>
    </row>
    <row r="21" ht="15.75" customHeight="1">
      <c r="A21" s="544">
        <v>20.0</v>
      </c>
      <c r="B21" s="544" t="s">
        <v>2692</v>
      </c>
      <c r="C21" s="541" t="s">
        <v>3854</v>
      </c>
      <c r="D21" s="544" t="s">
        <v>3878</v>
      </c>
      <c r="E21" s="436"/>
      <c r="F21" s="436"/>
      <c r="G21" s="436"/>
      <c r="H21" s="436"/>
      <c r="I21" s="436"/>
      <c r="J21" s="436"/>
      <c r="K21" s="436"/>
      <c r="L21" s="436"/>
      <c r="M21" s="436"/>
      <c r="N21" s="436"/>
      <c r="O21" s="436"/>
      <c r="P21" s="436"/>
      <c r="Q21" s="436"/>
      <c r="R21" s="436"/>
      <c r="S21" s="436"/>
      <c r="T21" s="436"/>
      <c r="U21" s="436"/>
      <c r="V21" s="436"/>
      <c r="W21" s="436"/>
      <c r="X21" s="436"/>
      <c r="Y21" s="436"/>
      <c r="Z21" s="436"/>
    </row>
    <row r="22" ht="15.75" customHeight="1">
      <c r="A22" s="544">
        <v>21.0</v>
      </c>
      <c r="B22" s="544" t="s">
        <v>2692</v>
      </c>
      <c r="C22" s="541" t="s">
        <v>3854</v>
      </c>
      <c r="D22" s="544" t="s">
        <v>3879</v>
      </c>
      <c r="E22" s="436"/>
      <c r="F22" s="436"/>
      <c r="G22" s="436"/>
      <c r="H22" s="436"/>
      <c r="I22" s="436"/>
      <c r="J22" s="436"/>
      <c r="K22" s="436"/>
      <c r="L22" s="436"/>
      <c r="M22" s="436"/>
      <c r="N22" s="436"/>
      <c r="O22" s="436"/>
      <c r="P22" s="436"/>
      <c r="Q22" s="436"/>
      <c r="R22" s="436"/>
      <c r="S22" s="436"/>
      <c r="T22" s="436"/>
      <c r="U22" s="436"/>
      <c r="V22" s="436"/>
      <c r="W22" s="436"/>
      <c r="X22" s="436"/>
      <c r="Y22" s="436"/>
      <c r="Z22" s="436"/>
    </row>
    <row r="23" ht="15.75" customHeight="1">
      <c r="A23" s="544">
        <v>22.0</v>
      </c>
      <c r="B23" s="544" t="s">
        <v>2692</v>
      </c>
      <c r="C23" s="541" t="s">
        <v>3854</v>
      </c>
      <c r="D23" s="544" t="s">
        <v>3880</v>
      </c>
      <c r="E23" s="436"/>
      <c r="F23" s="436"/>
      <c r="G23" s="436"/>
      <c r="H23" s="436"/>
      <c r="I23" s="436"/>
      <c r="J23" s="436"/>
      <c r="K23" s="436"/>
      <c r="L23" s="436"/>
      <c r="M23" s="436"/>
      <c r="N23" s="436"/>
      <c r="O23" s="436"/>
      <c r="P23" s="436"/>
      <c r="Q23" s="436"/>
      <c r="R23" s="436"/>
      <c r="S23" s="436"/>
      <c r="T23" s="436"/>
      <c r="U23" s="436"/>
      <c r="V23" s="436"/>
      <c r="W23" s="436"/>
      <c r="X23" s="436"/>
      <c r="Y23" s="436"/>
      <c r="Z23" s="436"/>
    </row>
    <row r="24" ht="15.75" customHeight="1">
      <c r="A24" s="544">
        <v>23.0</v>
      </c>
      <c r="B24" s="544" t="s">
        <v>2434</v>
      </c>
      <c r="C24" s="541" t="s">
        <v>3854</v>
      </c>
      <c r="D24" s="544" t="s">
        <v>3881</v>
      </c>
      <c r="E24" s="436"/>
      <c r="F24" s="436"/>
      <c r="G24" s="436"/>
      <c r="H24" s="436"/>
      <c r="I24" s="436"/>
      <c r="J24" s="436"/>
      <c r="K24" s="436"/>
      <c r="L24" s="436"/>
      <c r="M24" s="436"/>
      <c r="N24" s="436"/>
      <c r="O24" s="436"/>
      <c r="P24" s="436"/>
      <c r="Q24" s="436"/>
      <c r="R24" s="436"/>
      <c r="S24" s="436"/>
      <c r="T24" s="436"/>
      <c r="U24" s="436"/>
      <c r="V24" s="436"/>
      <c r="W24" s="436"/>
      <c r="X24" s="436"/>
      <c r="Y24" s="436"/>
      <c r="Z24" s="436"/>
    </row>
    <row r="25" ht="15.75" customHeight="1">
      <c r="A25" s="544">
        <v>24.0</v>
      </c>
      <c r="B25" s="544" t="s">
        <v>2692</v>
      </c>
      <c r="C25" s="541" t="s">
        <v>3854</v>
      </c>
      <c r="D25" s="544" t="s">
        <v>3882</v>
      </c>
      <c r="E25" s="436"/>
      <c r="F25" s="436"/>
      <c r="G25" s="436"/>
      <c r="H25" s="436"/>
      <c r="I25" s="436"/>
      <c r="J25" s="436"/>
      <c r="K25" s="436"/>
      <c r="L25" s="436"/>
      <c r="M25" s="436"/>
      <c r="N25" s="436"/>
      <c r="O25" s="436"/>
      <c r="P25" s="436"/>
      <c r="Q25" s="436"/>
      <c r="R25" s="436"/>
      <c r="S25" s="436"/>
      <c r="T25" s="436"/>
      <c r="U25" s="436"/>
      <c r="V25" s="436"/>
      <c r="W25" s="436"/>
      <c r="X25" s="436"/>
      <c r="Y25" s="436"/>
      <c r="Z25" s="436"/>
    </row>
    <row r="26" ht="15.75" customHeight="1">
      <c r="A26" s="544">
        <v>25.0</v>
      </c>
      <c r="B26" s="544" t="s">
        <v>2692</v>
      </c>
      <c r="C26" s="541" t="s">
        <v>3854</v>
      </c>
      <c r="D26" s="544" t="s">
        <v>3883</v>
      </c>
      <c r="E26" s="436"/>
      <c r="F26" s="436"/>
      <c r="G26" s="436"/>
      <c r="H26" s="436"/>
      <c r="I26" s="436"/>
      <c r="J26" s="436"/>
      <c r="K26" s="436"/>
      <c r="L26" s="436"/>
      <c r="M26" s="436"/>
      <c r="N26" s="436"/>
      <c r="O26" s="436"/>
      <c r="P26" s="436"/>
      <c r="Q26" s="436"/>
      <c r="R26" s="436"/>
      <c r="S26" s="436"/>
      <c r="T26" s="436"/>
      <c r="U26" s="436"/>
      <c r="V26" s="436"/>
      <c r="W26" s="436"/>
      <c r="X26" s="436"/>
      <c r="Y26" s="436"/>
      <c r="Z26" s="436"/>
    </row>
    <row r="27" ht="15.75" customHeight="1">
      <c r="A27" s="544">
        <v>26.0</v>
      </c>
      <c r="B27" s="544" t="s">
        <v>2692</v>
      </c>
      <c r="C27" s="541" t="s">
        <v>3854</v>
      </c>
      <c r="D27" s="544" t="s">
        <v>3884</v>
      </c>
      <c r="E27" s="436"/>
      <c r="F27" s="436"/>
      <c r="G27" s="436"/>
      <c r="H27" s="436"/>
      <c r="I27" s="436"/>
      <c r="J27" s="436"/>
      <c r="K27" s="436"/>
      <c r="L27" s="436"/>
      <c r="M27" s="436"/>
      <c r="N27" s="436"/>
      <c r="O27" s="436"/>
      <c r="P27" s="436"/>
      <c r="Q27" s="436"/>
      <c r="R27" s="436"/>
      <c r="S27" s="436"/>
      <c r="T27" s="436"/>
      <c r="U27" s="436"/>
      <c r="V27" s="436"/>
      <c r="W27" s="436"/>
      <c r="X27" s="436"/>
      <c r="Y27" s="436"/>
      <c r="Z27" s="436"/>
    </row>
    <row r="28" ht="15.75" customHeight="1">
      <c r="A28" s="544">
        <v>27.0</v>
      </c>
      <c r="B28" s="544" t="s">
        <v>2692</v>
      </c>
      <c r="C28" s="541" t="s">
        <v>3854</v>
      </c>
      <c r="D28" s="544" t="s">
        <v>3885</v>
      </c>
      <c r="E28" s="436"/>
      <c r="F28" s="436"/>
      <c r="G28" s="436"/>
      <c r="H28" s="436"/>
      <c r="I28" s="436"/>
      <c r="J28" s="436"/>
      <c r="K28" s="436"/>
      <c r="L28" s="436"/>
      <c r="M28" s="436"/>
      <c r="N28" s="436"/>
      <c r="O28" s="436"/>
      <c r="P28" s="436"/>
      <c r="Q28" s="436"/>
      <c r="R28" s="436"/>
      <c r="S28" s="436"/>
      <c r="T28" s="436"/>
      <c r="U28" s="436"/>
      <c r="V28" s="436"/>
      <c r="W28" s="436"/>
      <c r="X28" s="436"/>
      <c r="Y28" s="436"/>
      <c r="Z28" s="436"/>
    </row>
    <row r="29" ht="15.75" customHeight="1">
      <c r="A29" s="544">
        <v>28.0</v>
      </c>
      <c r="B29" s="544" t="s">
        <v>2692</v>
      </c>
      <c r="C29" s="541" t="s">
        <v>3854</v>
      </c>
      <c r="D29" s="544" t="s">
        <v>3886</v>
      </c>
      <c r="E29" s="436"/>
      <c r="F29" s="436"/>
      <c r="G29" s="436"/>
      <c r="H29" s="436"/>
      <c r="I29" s="436"/>
      <c r="J29" s="436"/>
      <c r="K29" s="436"/>
      <c r="L29" s="436"/>
      <c r="M29" s="436"/>
      <c r="N29" s="436"/>
      <c r="O29" s="436"/>
      <c r="P29" s="436"/>
      <c r="Q29" s="436"/>
      <c r="R29" s="436"/>
      <c r="S29" s="436"/>
      <c r="T29" s="436"/>
      <c r="U29" s="436"/>
      <c r="V29" s="436"/>
      <c r="W29" s="436"/>
      <c r="X29" s="436"/>
      <c r="Y29" s="436"/>
      <c r="Z29" s="436"/>
    </row>
    <row r="30" ht="15.75" customHeight="1">
      <c r="A30" s="544">
        <v>29.0</v>
      </c>
      <c r="B30" s="544" t="s">
        <v>2692</v>
      </c>
      <c r="C30" s="541" t="s">
        <v>3854</v>
      </c>
      <c r="D30" s="544" t="s">
        <v>3887</v>
      </c>
      <c r="E30" s="436"/>
      <c r="F30" s="436"/>
      <c r="G30" s="436"/>
      <c r="H30" s="436"/>
      <c r="I30" s="436"/>
      <c r="J30" s="436"/>
      <c r="K30" s="436"/>
      <c r="L30" s="436"/>
      <c r="M30" s="436"/>
      <c r="N30" s="436"/>
      <c r="O30" s="436"/>
      <c r="P30" s="436"/>
      <c r="Q30" s="436"/>
      <c r="R30" s="436"/>
      <c r="S30" s="436"/>
      <c r="T30" s="436"/>
      <c r="U30" s="436"/>
      <c r="V30" s="436"/>
      <c r="W30" s="436"/>
      <c r="X30" s="436"/>
      <c r="Y30" s="436"/>
      <c r="Z30" s="436"/>
    </row>
    <row r="31" ht="15.75" customHeight="1">
      <c r="A31" s="544">
        <v>30.0</v>
      </c>
      <c r="B31" s="544" t="s">
        <v>2692</v>
      </c>
      <c r="C31" s="541" t="s">
        <v>3854</v>
      </c>
      <c r="D31" s="544" t="s">
        <v>3888</v>
      </c>
      <c r="E31" s="436"/>
      <c r="F31" s="436"/>
      <c r="G31" s="436"/>
      <c r="H31" s="436"/>
      <c r="I31" s="436"/>
      <c r="J31" s="436"/>
      <c r="K31" s="436"/>
      <c r="L31" s="436"/>
      <c r="M31" s="436"/>
      <c r="N31" s="436"/>
      <c r="O31" s="436"/>
      <c r="P31" s="436"/>
      <c r="Q31" s="436"/>
      <c r="R31" s="436"/>
      <c r="S31" s="436"/>
      <c r="T31" s="436"/>
      <c r="U31" s="436"/>
      <c r="V31" s="436"/>
      <c r="W31" s="436"/>
      <c r="X31" s="436"/>
      <c r="Y31" s="436"/>
      <c r="Z31" s="436"/>
    </row>
    <row r="32" ht="15.75" customHeight="1">
      <c r="A32" s="544">
        <v>31.0</v>
      </c>
      <c r="B32" s="544" t="s">
        <v>2692</v>
      </c>
      <c r="C32" s="541" t="s">
        <v>3854</v>
      </c>
      <c r="D32" s="544" t="s">
        <v>3889</v>
      </c>
      <c r="E32" s="436"/>
      <c r="F32" s="436"/>
      <c r="G32" s="436"/>
      <c r="H32" s="436"/>
      <c r="I32" s="436"/>
      <c r="J32" s="436"/>
      <c r="K32" s="436"/>
      <c r="L32" s="436"/>
      <c r="M32" s="436"/>
      <c r="N32" s="436"/>
      <c r="O32" s="436"/>
      <c r="P32" s="436"/>
      <c r="Q32" s="436"/>
      <c r="R32" s="436"/>
      <c r="S32" s="436"/>
      <c r="T32" s="436"/>
      <c r="U32" s="436"/>
      <c r="V32" s="436"/>
      <c r="W32" s="436"/>
      <c r="X32" s="436"/>
      <c r="Y32" s="436"/>
      <c r="Z32" s="436"/>
    </row>
    <row r="33" ht="15.75" customHeight="1">
      <c r="A33" s="544">
        <v>32.0</v>
      </c>
      <c r="B33" s="544" t="s">
        <v>2434</v>
      </c>
      <c r="C33" s="541" t="s">
        <v>3854</v>
      </c>
      <c r="D33" s="544" t="s">
        <v>3890</v>
      </c>
      <c r="E33" s="436"/>
      <c r="F33" s="436"/>
      <c r="G33" s="436"/>
      <c r="H33" s="436"/>
      <c r="I33" s="436"/>
      <c r="J33" s="436"/>
      <c r="K33" s="436"/>
      <c r="L33" s="436"/>
      <c r="M33" s="436"/>
      <c r="N33" s="436"/>
      <c r="O33" s="436"/>
      <c r="P33" s="436"/>
      <c r="Q33" s="436"/>
      <c r="R33" s="436"/>
      <c r="S33" s="436"/>
      <c r="T33" s="436"/>
      <c r="U33" s="436"/>
      <c r="V33" s="436"/>
      <c r="W33" s="436"/>
      <c r="X33" s="436"/>
      <c r="Y33" s="436"/>
      <c r="Z33" s="436"/>
    </row>
    <row r="34" ht="15.75" customHeight="1">
      <c r="A34" s="544">
        <v>33.0</v>
      </c>
      <c r="B34" s="544" t="s">
        <v>2434</v>
      </c>
      <c r="C34" s="541" t="s">
        <v>3854</v>
      </c>
      <c r="D34" s="544" t="s">
        <v>3891</v>
      </c>
      <c r="E34" s="436"/>
      <c r="F34" s="436"/>
      <c r="G34" s="436"/>
      <c r="H34" s="436"/>
      <c r="I34" s="436"/>
      <c r="J34" s="436"/>
      <c r="K34" s="436"/>
      <c r="L34" s="436"/>
      <c r="M34" s="436"/>
      <c r="N34" s="436"/>
      <c r="O34" s="436"/>
      <c r="P34" s="436"/>
      <c r="Q34" s="436"/>
      <c r="R34" s="436"/>
      <c r="S34" s="436"/>
      <c r="T34" s="436"/>
      <c r="U34" s="436"/>
      <c r="V34" s="436"/>
      <c r="W34" s="436"/>
      <c r="X34" s="436"/>
      <c r="Y34" s="436"/>
      <c r="Z34" s="436"/>
    </row>
    <row r="35" ht="15.75" customHeight="1">
      <c r="A35" s="544">
        <v>34.0</v>
      </c>
      <c r="B35" s="544" t="s">
        <v>2434</v>
      </c>
      <c r="C35" s="541" t="s">
        <v>3854</v>
      </c>
      <c r="D35" s="544" t="s">
        <v>3892</v>
      </c>
      <c r="E35" s="436"/>
      <c r="F35" s="436"/>
      <c r="G35" s="436"/>
      <c r="H35" s="436"/>
      <c r="I35" s="436"/>
      <c r="J35" s="436"/>
      <c r="K35" s="436"/>
      <c r="L35" s="436"/>
      <c r="M35" s="436"/>
      <c r="N35" s="436"/>
      <c r="O35" s="436"/>
      <c r="P35" s="436"/>
      <c r="Q35" s="436"/>
      <c r="R35" s="436"/>
      <c r="S35" s="436"/>
      <c r="T35" s="436"/>
      <c r="U35" s="436"/>
      <c r="V35" s="436"/>
      <c r="W35" s="436"/>
      <c r="X35" s="436"/>
      <c r="Y35" s="436"/>
      <c r="Z35" s="436"/>
    </row>
    <row r="36" ht="15.75" customHeight="1">
      <c r="A36" s="544">
        <v>35.0</v>
      </c>
      <c r="B36" s="544" t="s">
        <v>2692</v>
      </c>
      <c r="C36" s="541" t="s">
        <v>3854</v>
      </c>
      <c r="D36" s="544" t="s">
        <v>3893</v>
      </c>
      <c r="E36" s="436"/>
      <c r="F36" s="436"/>
      <c r="G36" s="436"/>
      <c r="H36" s="436"/>
      <c r="I36" s="436"/>
      <c r="J36" s="436"/>
      <c r="K36" s="436"/>
      <c r="L36" s="436"/>
      <c r="M36" s="436"/>
      <c r="N36" s="436"/>
      <c r="O36" s="436"/>
      <c r="P36" s="436"/>
      <c r="Q36" s="436"/>
      <c r="R36" s="436"/>
      <c r="S36" s="436"/>
      <c r="T36" s="436"/>
      <c r="U36" s="436"/>
      <c r="V36" s="436"/>
      <c r="W36" s="436"/>
      <c r="X36" s="436"/>
      <c r="Y36" s="436"/>
      <c r="Z36" s="436"/>
    </row>
    <row r="37" ht="15.75" customHeight="1">
      <c r="A37" s="544">
        <v>36.0</v>
      </c>
      <c r="B37" s="544" t="s">
        <v>2692</v>
      </c>
      <c r="C37" s="541" t="s">
        <v>3854</v>
      </c>
      <c r="D37" s="544" t="s">
        <v>3894</v>
      </c>
      <c r="E37" s="436"/>
      <c r="F37" s="436"/>
      <c r="G37" s="436"/>
      <c r="H37" s="436"/>
      <c r="I37" s="436"/>
      <c r="J37" s="436"/>
      <c r="K37" s="436"/>
      <c r="L37" s="436"/>
      <c r="M37" s="436"/>
      <c r="N37" s="436"/>
      <c r="O37" s="436"/>
      <c r="P37" s="436"/>
      <c r="Q37" s="436"/>
      <c r="R37" s="436"/>
      <c r="S37" s="436"/>
      <c r="T37" s="436"/>
      <c r="U37" s="436"/>
      <c r="V37" s="436"/>
      <c r="W37" s="436"/>
      <c r="X37" s="436"/>
      <c r="Y37" s="436"/>
      <c r="Z37" s="436"/>
    </row>
    <row r="38" ht="15.75" customHeight="1">
      <c r="A38" s="544">
        <v>37.0</v>
      </c>
      <c r="B38" s="544" t="s">
        <v>2692</v>
      </c>
      <c r="C38" s="541" t="s">
        <v>3854</v>
      </c>
      <c r="D38" s="544" t="s">
        <v>3895</v>
      </c>
      <c r="E38" s="436"/>
      <c r="F38" s="436"/>
      <c r="G38" s="436"/>
      <c r="H38" s="436"/>
      <c r="I38" s="436"/>
      <c r="J38" s="436"/>
      <c r="K38" s="436"/>
      <c r="L38" s="436"/>
      <c r="M38" s="436"/>
      <c r="N38" s="436"/>
      <c r="O38" s="436"/>
      <c r="P38" s="436"/>
      <c r="Q38" s="436"/>
      <c r="R38" s="436"/>
      <c r="S38" s="436"/>
      <c r="T38" s="436"/>
      <c r="U38" s="436"/>
      <c r="V38" s="436"/>
      <c r="W38" s="436"/>
      <c r="X38" s="436"/>
      <c r="Y38" s="436"/>
      <c r="Z38" s="436"/>
    </row>
    <row r="39" ht="15.75" customHeight="1">
      <c r="A39" s="544">
        <v>38.0</v>
      </c>
      <c r="B39" s="544" t="s">
        <v>2434</v>
      </c>
      <c r="C39" s="541" t="s">
        <v>3854</v>
      </c>
      <c r="D39" s="544" t="s">
        <v>3896</v>
      </c>
      <c r="E39" s="436"/>
      <c r="F39" s="436"/>
      <c r="G39" s="436"/>
      <c r="H39" s="436"/>
      <c r="I39" s="436"/>
      <c r="J39" s="436"/>
      <c r="K39" s="436"/>
      <c r="L39" s="436"/>
      <c r="M39" s="436"/>
      <c r="N39" s="436"/>
      <c r="O39" s="436"/>
      <c r="P39" s="436"/>
      <c r="Q39" s="436"/>
      <c r="R39" s="436"/>
      <c r="S39" s="436"/>
      <c r="T39" s="436"/>
      <c r="U39" s="436"/>
      <c r="V39" s="436"/>
      <c r="W39" s="436"/>
      <c r="X39" s="436"/>
      <c r="Y39" s="436"/>
      <c r="Z39" s="436"/>
    </row>
    <row r="40" ht="15.75" customHeight="1">
      <c r="A40" s="549">
        <v>39.0</v>
      </c>
      <c r="B40" s="549" t="s">
        <v>2581</v>
      </c>
      <c r="C40" s="549" t="s">
        <v>3860</v>
      </c>
      <c r="D40" s="549" t="s">
        <v>3897</v>
      </c>
      <c r="E40" s="436"/>
      <c r="F40" s="436"/>
      <c r="G40" s="436"/>
      <c r="H40" s="436"/>
      <c r="I40" s="436"/>
      <c r="J40" s="436"/>
      <c r="K40" s="436"/>
      <c r="L40" s="436"/>
      <c r="M40" s="436"/>
      <c r="N40" s="436"/>
      <c r="O40" s="436"/>
      <c r="P40" s="436"/>
      <c r="Q40" s="436"/>
      <c r="R40" s="436"/>
      <c r="S40" s="436"/>
      <c r="T40" s="436"/>
      <c r="U40" s="436"/>
      <c r="V40" s="436"/>
      <c r="W40" s="436"/>
      <c r="X40" s="436"/>
      <c r="Y40" s="436"/>
      <c r="Z40" s="436"/>
    </row>
    <row r="41" ht="15.75" customHeight="1">
      <c r="A41" s="549">
        <v>40.0</v>
      </c>
      <c r="B41" s="549" t="s">
        <v>2434</v>
      </c>
      <c r="C41" s="549" t="s">
        <v>3860</v>
      </c>
      <c r="D41" s="549" t="s">
        <v>3898</v>
      </c>
      <c r="E41" s="436"/>
      <c r="F41" s="436"/>
      <c r="G41" s="436"/>
      <c r="H41" s="436"/>
      <c r="I41" s="436"/>
      <c r="J41" s="436"/>
      <c r="K41" s="436"/>
      <c r="L41" s="436"/>
      <c r="M41" s="436"/>
      <c r="N41" s="436"/>
      <c r="O41" s="436"/>
      <c r="P41" s="436"/>
      <c r="Q41" s="436"/>
      <c r="R41" s="436"/>
      <c r="S41" s="436"/>
      <c r="T41" s="436"/>
      <c r="U41" s="436"/>
      <c r="V41" s="436"/>
      <c r="W41" s="436"/>
      <c r="X41" s="436"/>
      <c r="Y41" s="436"/>
      <c r="Z41" s="436"/>
    </row>
    <row r="42" ht="15.75" customHeight="1">
      <c r="A42" s="544">
        <v>41.0</v>
      </c>
      <c r="B42" s="544" t="s">
        <v>2434</v>
      </c>
      <c r="C42" s="541" t="s">
        <v>3854</v>
      </c>
      <c r="D42" s="544" t="s">
        <v>3899</v>
      </c>
      <c r="E42" s="436"/>
      <c r="F42" s="436"/>
      <c r="G42" s="436"/>
      <c r="H42" s="436"/>
      <c r="I42" s="436"/>
      <c r="J42" s="436"/>
      <c r="K42" s="436"/>
      <c r="L42" s="436"/>
      <c r="M42" s="436"/>
      <c r="N42" s="436"/>
      <c r="O42" s="436"/>
      <c r="P42" s="436"/>
      <c r="Q42" s="436"/>
      <c r="R42" s="436"/>
      <c r="S42" s="436"/>
      <c r="T42" s="436"/>
      <c r="U42" s="436"/>
      <c r="V42" s="436"/>
      <c r="W42" s="436"/>
      <c r="X42" s="436"/>
      <c r="Y42" s="436"/>
      <c r="Z42" s="436"/>
    </row>
    <row r="43" ht="15.75" customHeight="1">
      <c r="A43" s="549">
        <v>42.0</v>
      </c>
      <c r="B43" s="549" t="s">
        <v>2434</v>
      </c>
      <c r="C43" s="549" t="s">
        <v>3860</v>
      </c>
      <c r="D43" s="549" t="s">
        <v>3900</v>
      </c>
      <c r="E43" s="436"/>
      <c r="F43" s="436"/>
      <c r="G43" s="436"/>
      <c r="H43" s="436"/>
      <c r="I43" s="436"/>
      <c r="J43" s="436"/>
      <c r="K43" s="436"/>
      <c r="L43" s="436"/>
      <c r="M43" s="436"/>
      <c r="N43" s="436"/>
      <c r="O43" s="436"/>
      <c r="P43" s="436"/>
      <c r="Q43" s="436"/>
      <c r="R43" s="436"/>
      <c r="S43" s="436"/>
      <c r="T43" s="436"/>
      <c r="U43" s="436"/>
      <c r="V43" s="436"/>
      <c r="W43" s="436"/>
      <c r="X43" s="436"/>
      <c r="Y43" s="436"/>
      <c r="Z43" s="436"/>
    </row>
    <row r="44" ht="15.75" customHeight="1">
      <c r="A44" s="544">
        <v>43.0</v>
      </c>
      <c r="B44" s="544" t="s">
        <v>2434</v>
      </c>
      <c r="C44" s="541" t="s">
        <v>3854</v>
      </c>
      <c r="D44" s="544" t="s">
        <v>3901</v>
      </c>
      <c r="E44" s="436"/>
      <c r="F44" s="436"/>
      <c r="G44" s="436"/>
      <c r="H44" s="436"/>
      <c r="I44" s="436"/>
      <c r="J44" s="436"/>
      <c r="K44" s="436"/>
      <c r="L44" s="436"/>
      <c r="M44" s="436"/>
      <c r="N44" s="436"/>
      <c r="O44" s="436"/>
      <c r="P44" s="436"/>
      <c r="Q44" s="436"/>
      <c r="R44" s="436"/>
      <c r="S44" s="436"/>
      <c r="T44" s="436"/>
      <c r="U44" s="436"/>
      <c r="V44" s="436"/>
      <c r="W44" s="436"/>
      <c r="X44" s="436"/>
      <c r="Y44" s="436"/>
      <c r="Z44" s="436"/>
    </row>
    <row r="45" ht="15.75" customHeight="1">
      <c r="A45" s="544">
        <v>44.0</v>
      </c>
      <c r="B45" s="544" t="s">
        <v>2434</v>
      </c>
      <c r="C45" s="541" t="s">
        <v>3854</v>
      </c>
      <c r="D45" s="544" t="s">
        <v>3902</v>
      </c>
      <c r="E45" s="436"/>
      <c r="F45" s="436"/>
      <c r="G45" s="436"/>
      <c r="H45" s="436"/>
      <c r="I45" s="436"/>
      <c r="J45" s="436"/>
      <c r="K45" s="436"/>
      <c r="L45" s="436"/>
      <c r="M45" s="436"/>
      <c r="N45" s="436"/>
      <c r="O45" s="436"/>
      <c r="P45" s="436"/>
      <c r="Q45" s="436"/>
      <c r="R45" s="436"/>
      <c r="S45" s="436"/>
      <c r="T45" s="436"/>
      <c r="U45" s="436"/>
      <c r="V45" s="436"/>
      <c r="W45" s="436"/>
      <c r="X45" s="436"/>
      <c r="Y45" s="436"/>
      <c r="Z45" s="436"/>
    </row>
    <row r="46" ht="15.75" customHeight="1">
      <c r="A46" s="544">
        <v>45.0</v>
      </c>
      <c r="B46" s="544" t="s">
        <v>2434</v>
      </c>
      <c r="C46" s="546" t="s">
        <v>3860</v>
      </c>
      <c r="D46" s="544" t="s">
        <v>3903</v>
      </c>
      <c r="E46" s="436"/>
      <c r="F46" s="436"/>
      <c r="G46" s="436"/>
      <c r="H46" s="436"/>
      <c r="I46" s="436"/>
      <c r="J46" s="436"/>
      <c r="K46" s="436"/>
      <c r="L46" s="436"/>
      <c r="M46" s="436"/>
      <c r="N46" s="436"/>
      <c r="O46" s="436"/>
      <c r="P46" s="436"/>
      <c r="Q46" s="436"/>
      <c r="R46" s="436"/>
      <c r="S46" s="436"/>
      <c r="T46" s="436"/>
      <c r="U46" s="436"/>
      <c r="V46" s="436"/>
      <c r="W46" s="436"/>
      <c r="X46" s="436"/>
      <c r="Y46" s="436"/>
      <c r="Z46" s="436"/>
    </row>
    <row r="47" ht="15.75" customHeight="1">
      <c r="A47" s="544">
        <v>46.0</v>
      </c>
      <c r="B47" s="544" t="s">
        <v>2692</v>
      </c>
      <c r="C47" s="546" t="s">
        <v>3860</v>
      </c>
      <c r="D47" s="544" t="s">
        <v>3904</v>
      </c>
      <c r="E47" s="436"/>
      <c r="F47" s="436"/>
      <c r="G47" s="436"/>
      <c r="H47" s="436"/>
      <c r="I47" s="436"/>
      <c r="J47" s="436"/>
      <c r="K47" s="436"/>
      <c r="L47" s="436"/>
      <c r="M47" s="436"/>
      <c r="N47" s="436"/>
      <c r="O47" s="436"/>
      <c r="P47" s="436"/>
      <c r="Q47" s="436"/>
      <c r="R47" s="436"/>
      <c r="S47" s="436"/>
      <c r="T47" s="436"/>
      <c r="U47" s="436"/>
      <c r="V47" s="436"/>
      <c r="W47" s="436"/>
      <c r="X47" s="436"/>
      <c r="Y47" s="436"/>
      <c r="Z47" s="436"/>
    </row>
    <row r="48" ht="15.75" customHeight="1">
      <c r="A48" s="544">
        <v>47.0</v>
      </c>
      <c r="B48" s="544" t="s">
        <v>2404</v>
      </c>
      <c r="C48" s="546" t="s">
        <v>3860</v>
      </c>
      <c r="D48" s="544" t="s">
        <v>3905</v>
      </c>
      <c r="E48" s="436"/>
      <c r="F48" s="436"/>
      <c r="G48" s="436"/>
      <c r="H48" s="436"/>
      <c r="I48" s="436"/>
      <c r="J48" s="436"/>
      <c r="K48" s="436"/>
      <c r="L48" s="436"/>
      <c r="M48" s="436"/>
      <c r="N48" s="436"/>
      <c r="O48" s="436"/>
      <c r="P48" s="436"/>
      <c r="Q48" s="436"/>
      <c r="R48" s="436"/>
      <c r="S48" s="436"/>
      <c r="T48" s="436"/>
      <c r="U48" s="436"/>
      <c r="V48" s="436"/>
      <c r="W48" s="436"/>
      <c r="X48" s="436"/>
      <c r="Y48" s="436"/>
      <c r="Z48" s="436"/>
    </row>
    <row r="49" ht="15.75" customHeight="1">
      <c r="A49" s="544">
        <v>48.0</v>
      </c>
      <c r="B49" s="544" t="s">
        <v>1841</v>
      </c>
      <c r="C49" s="541" t="s">
        <v>3854</v>
      </c>
      <c r="D49" s="544" t="s">
        <v>3906</v>
      </c>
      <c r="E49" s="436"/>
      <c r="F49" s="436"/>
      <c r="G49" s="436"/>
      <c r="H49" s="436"/>
      <c r="I49" s="436"/>
      <c r="J49" s="436"/>
      <c r="K49" s="436"/>
      <c r="L49" s="436"/>
      <c r="M49" s="436"/>
      <c r="N49" s="436"/>
      <c r="O49" s="436"/>
      <c r="P49" s="436"/>
      <c r="Q49" s="436"/>
      <c r="R49" s="436"/>
      <c r="S49" s="436"/>
      <c r="T49" s="436"/>
      <c r="U49" s="436"/>
      <c r="V49" s="436"/>
      <c r="W49" s="436"/>
      <c r="X49" s="436"/>
      <c r="Y49" s="436"/>
      <c r="Z49" s="436"/>
    </row>
    <row r="50" ht="15.75" customHeight="1">
      <c r="A50" s="544">
        <v>49.0</v>
      </c>
      <c r="B50" s="544" t="s">
        <v>2462</v>
      </c>
      <c r="C50" s="541" t="s">
        <v>3854</v>
      </c>
      <c r="D50" s="544" t="s">
        <v>3907</v>
      </c>
      <c r="E50" s="436"/>
      <c r="F50" s="436"/>
      <c r="G50" s="436"/>
      <c r="H50" s="436"/>
      <c r="I50" s="436"/>
      <c r="J50" s="436"/>
      <c r="K50" s="436"/>
      <c r="L50" s="436"/>
      <c r="M50" s="436"/>
      <c r="N50" s="436"/>
      <c r="O50" s="436"/>
      <c r="P50" s="436"/>
      <c r="Q50" s="436"/>
      <c r="R50" s="436"/>
      <c r="S50" s="436"/>
      <c r="T50" s="436"/>
      <c r="U50" s="436"/>
      <c r="V50" s="436"/>
      <c r="W50" s="436"/>
      <c r="X50" s="436"/>
      <c r="Y50" s="436"/>
      <c r="Z50" s="436"/>
    </row>
    <row r="51" ht="15.75" customHeight="1">
      <c r="A51" s="544">
        <v>50.0</v>
      </c>
      <c r="B51" s="544" t="s">
        <v>2379</v>
      </c>
      <c r="C51" s="541" t="s">
        <v>3854</v>
      </c>
      <c r="D51" s="544" t="s">
        <v>3908</v>
      </c>
      <c r="E51" s="436"/>
      <c r="F51" s="436"/>
      <c r="G51" s="436"/>
      <c r="H51" s="436"/>
      <c r="I51" s="436"/>
      <c r="J51" s="436"/>
      <c r="K51" s="436"/>
      <c r="L51" s="436"/>
      <c r="M51" s="436"/>
      <c r="N51" s="436"/>
      <c r="O51" s="436"/>
      <c r="P51" s="436"/>
      <c r="Q51" s="436"/>
      <c r="R51" s="436"/>
      <c r="S51" s="436"/>
      <c r="T51" s="436"/>
      <c r="U51" s="436"/>
      <c r="V51" s="436"/>
      <c r="W51" s="436"/>
      <c r="X51" s="436"/>
      <c r="Y51" s="436"/>
      <c r="Z51" s="436"/>
    </row>
    <row r="52" ht="15.75" customHeight="1">
      <c r="A52" s="540">
        <v>51.0</v>
      </c>
      <c r="B52" s="540" t="s">
        <v>1849</v>
      </c>
      <c r="C52" s="545" t="s">
        <v>3854</v>
      </c>
      <c r="D52" s="550" t="s">
        <v>3909</v>
      </c>
      <c r="E52" s="436"/>
      <c r="F52" s="436"/>
      <c r="G52" s="436"/>
      <c r="H52" s="436"/>
      <c r="I52" s="436"/>
      <c r="J52" s="436"/>
      <c r="K52" s="436"/>
      <c r="L52" s="436"/>
      <c r="M52" s="436"/>
      <c r="N52" s="436"/>
      <c r="O52" s="436"/>
      <c r="P52" s="436"/>
      <c r="Q52" s="436"/>
      <c r="R52" s="436"/>
      <c r="S52" s="436"/>
      <c r="T52" s="436"/>
      <c r="U52" s="436"/>
      <c r="V52" s="436"/>
      <c r="W52" s="436"/>
      <c r="X52" s="436"/>
      <c r="Y52" s="436"/>
      <c r="Z52" s="436"/>
    </row>
    <row r="53" ht="15.75" customHeight="1">
      <c r="A53" s="540">
        <v>52.0</v>
      </c>
      <c r="B53" s="540" t="s">
        <v>1849</v>
      </c>
      <c r="C53" s="545" t="s">
        <v>3854</v>
      </c>
      <c r="D53" s="540" t="s">
        <v>3910</v>
      </c>
      <c r="E53" s="436"/>
      <c r="F53" s="436"/>
      <c r="G53" s="436"/>
      <c r="H53" s="436"/>
      <c r="I53" s="436"/>
      <c r="J53" s="436"/>
      <c r="K53" s="436"/>
      <c r="L53" s="436"/>
      <c r="M53" s="436"/>
      <c r="N53" s="436"/>
      <c r="O53" s="436"/>
      <c r="P53" s="436"/>
      <c r="Q53" s="436"/>
      <c r="R53" s="436"/>
      <c r="S53" s="436"/>
      <c r="T53" s="436"/>
      <c r="U53" s="436"/>
      <c r="V53" s="436"/>
      <c r="W53" s="436"/>
      <c r="X53" s="436"/>
      <c r="Y53" s="436"/>
      <c r="Z53" s="436"/>
    </row>
    <row r="54" ht="15.75" customHeight="1">
      <c r="A54" s="540">
        <v>53.0</v>
      </c>
      <c r="B54" s="540" t="s">
        <v>1849</v>
      </c>
      <c r="C54" s="545" t="s">
        <v>3854</v>
      </c>
      <c r="D54" s="540" t="s">
        <v>3911</v>
      </c>
      <c r="E54" s="436"/>
      <c r="F54" s="436"/>
      <c r="G54" s="436"/>
      <c r="H54" s="436"/>
      <c r="I54" s="436"/>
      <c r="J54" s="436"/>
      <c r="K54" s="436"/>
      <c r="L54" s="436"/>
      <c r="M54" s="436"/>
      <c r="N54" s="436"/>
      <c r="O54" s="436"/>
      <c r="P54" s="436"/>
      <c r="Q54" s="436"/>
      <c r="R54" s="436"/>
      <c r="S54" s="436"/>
      <c r="T54" s="436"/>
      <c r="U54" s="436"/>
      <c r="V54" s="436"/>
      <c r="W54" s="436"/>
      <c r="X54" s="436"/>
      <c r="Y54" s="436"/>
      <c r="Z54" s="436"/>
    </row>
    <row r="55" ht="15.75" customHeight="1">
      <c r="A55" s="544">
        <v>54.0</v>
      </c>
      <c r="B55" s="544" t="s">
        <v>1849</v>
      </c>
      <c r="C55" s="541" t="s">
        <v>3854</v>
      </c>
      <c r="D55" s="544" t="s">
        <v>3912</v>
      </c>
      <c r="E55" s="436"/>
      <c r="F55" s="436"/>
      <c r="G55" s="436"/>
      <c r="H55" s="436"/>
      <c r="I55" s="436"/>
      <c r="J55" s="436"/>
      <c r="K55" s="436"/>
      <c r="L55" s="436"/>
      <c r="M55" s="436"/>
      <c r="N55" s="436"/>
      <c r="O55" s="436"/>
      <c r="P55" s="436"/>
      <c r="Q55" s="436"/>
      <c r="R55" s="436"/>
      <c r="S55" s="436"/>
      <c r="T55" s="436"/>
      <c r="U55" s="436"/>
      <c r="V55" s="436"/>
      <c r="W55" s="436"/>
      <c r="X55" s="436"/>
      <c r="Y55" s="436"/>
      <c r="Z55" s="436"/>
    </row>
    <row r="56" ht="15.75" customHeight="1">
      <c r="A56" s="544">
        <v>55.0</v>
      </c>
      <c r="B56" s="544" t="s">
        <v>2552</v>
      </c>
      <c r="C56" s="546" t="s">
        <v>3860</v>
      </c>
      <c r="D56" s="544" t="s">
        <v>3913</v>
      </c>
      <c r="E56" s="436"/>
      <c r="F56" s="436"/>
      <c r="G56" s="436"/>
      <c r="H56" s="436"/>
      <c r="I56" s="436"/>
      <c r="J56" s="436"/>
      <c r="K56" s="436"/>
      <c r="L56" s="436"/>
      <c r="M56" s="436"/>
      <c r="N56" s="436"/>
      <c r="O56" s="436"/>
      <c r="P56" s="436"/>
      <c r="Q56" s="436"/>
      <c r="R56" s="436"/>
      <c r="S56" s="436"/>
      <c r="T56" s="436"/>
      <c r="U56" s="436"/>
      <c r="V56" s="436"/>
      <c r="W56" s="436"/>
      <c r="X56" s="436"/>
      <c r="Y56" s="436"/>
      <c r="Z56" s="436"/>
    </row>
    <row r="57" ht="15.75" customHeight="1">
      <c r="A57" s="544">
        <v>56.0</v>
      </c>
      <c r="B57" s="544" t="s">
        <v>2552</v>
      </c>
      <c r="C57" s="546" t="s">
        <v>3860</v>
      </c>
      <c r="D57" s="544" t="s">
        <v>3914</v>
      </c>
      <c r="E57" s="436"/>
      <c r="F57" s="436"/>
      <c r="G57" s="436"/>
      <c r="H57" s="436"/>
      <c r="I57" s="436"/>
      <c r="J57" s="436"/>
      <c r="K57" s="436"/>
      <c r="L57" s="436"/>
      <c r="M57" s="436"/>
      <c r="N57" s="436"/>
      <c r="O57" s="436"/>
      <c r="P57" s="436"/>
      <c r="Q57" s="436"/>
      <c r="R57" s="436"/>
      <c r="S57" s="436"/>
      <c r="T57" s="436"/>
      <c r="U57" s="436"/>
      <c r="V57" s="436"/>
      <c r="W57" s="436"/>
      <c r="X57" s="436"/>
      <c r="Y57" s="436"/>
      <c r="Z57" s="436"/>
    </row>
    <row r="58" ht="15.75" customHeight="1">
      <c r="A58" s="540">
        <v>57.0</v>
      </c>
      <c r="B58" s="540" t="s">
        <v>2552</v>
      </c>
      <c r="C58" s="551" t="s">
        <v>3860</v>
      </c>
      <c r="D58" s="540" t="s">
        <v>3915</v>
      </c>
      <c r="E58" s="436"/>
      <c r="F58" s="436"/>
      <c r="G58" s="436"/>
      <c r="H58" s="436"/>
      <c r="I58" s="436"/>
      <c r="J58" s="436"/>
      <c r="K58" s="436"/>
      <c r="L58" s="436"/>
      <c r="M58" s="436"/>
      <c r="N58" s="436"/>
      <c r="O58" s="436"/>
      <c r="P58" s="436"/>
      <c r="Q58" s="436"/>
      <c r="R58" s="436"/>
      <c r="S58" s="436"/>
      <c r="T58" s="436"/>
      <c r="U58" s="436"/>
      <c r="V58" s="436"/>
      <c r="W58" s="436"/>
      <c r="X58" s="436"/>
      <c r="Y58" s="436"/>
      <c r="Z58" s="436"/>
    </row>
    <row r="59" ht="15.75" customHeight="1">
      <c r="A59" s="544">
        <v>58.0</v>
      </c>
      <c r="B59" s="544" t="s">
        <v>2404</v>
      </c>
      <c r="C59" s="546" t="s">
        <v>3860</v>
      </c>
      <c r="D59" s="544" t="s">
        <v>3916</v>
      </c>
      <c r="E59" s="436"/>
      <c r="F59" s="436"/>
      <c r="G59" s="436"/>
      <c r="H59" s="436"/>
      <c r="I59" s="436"/>
      <c r="J59" s="436"/>
      <c r="K59" s="436"/>
      <c r="L59" s="436"/>
      <c r="M59" s="436"/>
      <c r="N59" s="436"/>
      <c r="O59" s="436"/>
      <c r="P59" s="436"/>
      <c r="Q59" s="436"/>
      <c r="R59" s="436"/>
      <c r="S59" s="436"/>
      <c r="T59" s="436"/>
      <c r="U59" s="436"/>
      <c r="V59" s="436"/>
      <c r="W59" s="436"/>
      <c r="X59" s="436"/>
      <c r="Y59" s="436"/>
      <c r="Z59" s="436"/>
    </row>
    <row r="60" ht="15.75" customHeight="1">
      <c r="A60" s="544">
        <v>59.0</v>
      </c>
      <c r="B60" s="544" t="s">
        <v>2692</v>
      </c>
      <c r="C60" s="541" t="s">
        <v>3854</v>
      </c>
      <c r="D60" s="544" t="s">
        <v>3917</v>
      </c>
      <c r="E60" s="436"/>
      <c r="F60" s="436"/>
      <c r="G60" s="436"/>
      <c r="H60" s="436"/>
      <c r="I60" s="436"/>
      <c r="J60" s="436"/>
      <c r="K60" s="436"/>
      <c r="L60" s="436"/>
      <c r="M60" s="436"/>
      <c r="N60" s="436"/>
      <c r="O60" s="436"/>
      <c r="P60" s="436"/>
      <c r="Q60" s="436"/>
      <c r="R60" s="436"/>
      <c r="S60" s="436"/>
      <c r="T60" s="436"/>
      <c r="U60" s="436"/>
      <c r="V60" s="436"/>
      <c r="W60" s="436"/>
      <c r="X60" s="436"/>
      <c r="Y60" s="436"/>
      <c r="Z60" s="436"/>
    </row>
    <row r="61" ht="15.75" customHeight="1">
      <c r="A61" s="544">
        <v>60.0</v>
      </c>
      <c r="B61" s="544" t="s">
        <v>2692</v>
      </c>
      <c r="C61" s="541" t="s">
        <v>3854</v>
      </c>
      <c r="D61" s="544" t="s">
        <v>3918</v>
      </c>
      <c r="E61" s="436"/>
      <c r="F61" s="436"/>
      <c r="G61" s="436"/>
      <c r="H61" s="436"/>
      <c r="I61" s="436"/>
      <c r="J61" s="436"/>
      <c r="K61" s="436"/>
      <c r="L61" s="436"/>
      <c r="M61" s="436"/>
      <c r="N61" s="436"/>
      <c r="O61" s="436"/>
      <c r="P61" s="436"/>
      <c r="Q61" s="436"/>
      <c r="R61" s="436"/>
      <c r="S61" s="436"/>
      <c r="T61" s="436"/>
      <c r="U61" s="436"/>
      <c r="V61" s="436"/>
      <c r="W61" s="436"/>
      <c r="X61" s="436"/>
      <c r="Y61" s="436"/>
      <c r="Z61" s="436"/>
    </row>
    <row r="62" ht="15.75" customHeight="1">
      <c r="A62" s="544">
        <v>61.0</v>
      </c>
      <c r="B62" s="544" t="s">
        <v>2692</v>
      </c>
      <c r="C62" s="541" t="s">
        <v>3854</v>
      </c>
      <c r="D62" s="544" t="s">
        <v>3919</v>
      </c>
      <c r="E62" s="436"/>
      <c r="F62" s="436"/>
      <c r="G62" s="436"/>
      <c r="H62" s="436"/>
      <c r="I62" s="436"/>
      <c r="J62" s="436"/>
      <c r="K62" s="436"/>
      <c r="L62" s="436"/>
      <c r="M62" s="436"/>
      <c r="N62" s="436"/>
      <c r="O62" s="436"/>
      <c r="P62" s="436"/>
      <c r="Q62" s="436"/>
      <c r="R62" s="436"/>
      <c r="S62" s="436"/>
      <c r="T62" s="436"/>
      <c r="U62" s="436"/>
      <c r="V62" s="436"/>
      <c r="W62" s="436"/>
      <c r="X62" s="436"/>
      <c r="Y62" s="436"/>
      <c r="Z62" s="436"/>
    </row>
    <row r="63" ht="15.75" customHeight="1">
      <c r="A63" s="544">
        <v>62.0</v>
      </c>
      <c r="B63" s="544" t="s">
        <v>2581</v>
      </c>
      <c r="C63" s="541" t="s">
        <v>3854</v>
      </c>
      <c r="D63" s="544" t="s">
        <v>3920</v>
      </c>
      <c r="E63" s="436"/>
      <c r="F63" s="436"/>
      <c r="G63" s="436"/>
      <c r="H63" s="436"/>
      <c r="I63" s="436"/>
      <c r="J63" s="436"/>
      <c r="K63" s="436"/>
      <c r="L63" s="436"/>
      <c r="M63" s="436"/>
      <c r="N63" s="436"/>
      <c r="O63" s="436"/>
      <c r="P63" s="436"/>
      <c r="Q63" s="436"/>
      <c r="R63" s="436"/>
      <c r="S63" s="436"/>
      <c r="T63" s="436"/>
      <c r="U63" s="436"/>
      <c r="V63" s="436"/>
      <c r="W63" s="436"/>
      <c r="X63" s="436"/>
      <c r="Y63" s="436"/>
      <c r="Z63" s="436"/>
    </row>
    <row r="64" ht="15.75" customHeight="1">
      <c r="A64" s="544">
        <v>63.0</v>
      </c>
      <c r="B64" s="544" t="s">
        <v>2069</v>
      </c>
      <c r="C64" s="541" t="s">
        <v>3854</v>
      </c>
      <c r="D64" s="544" t="s">
        <v>3921</v>
      </c>
      <c r="E64" s="436"/>
      <c r="F64" s="436"/>
      <c r="G64" s="436"/>
      <c r="H64" s="436"/>
      <c r="I64" s="436"/>
      <c r="J64" s="436"/>
      <c r="K64" s="436"/>
      <c r="L64" s="436"/>
      <c r="M64" s="436"/>
      <c r="N64" s="436"/>
      <c r="O64" s="436"/>
      <c r="P64" s="436"/>
      <c r="Q64" s="436"/>
      <c r="R64" s="436"/>
      <c r="S64" s="436"/>
      <c r="T64" s="436"/>
      <c r="U64" s="436"/>
      <c r="V64" s="436"/>
      <c r="W64" s="436"/>
      <c r="X64" s="436"/>
      <c r="Y64" s="436"/>
      <c r="Z64" s="436"/>
    </row>
    <row r="65" ht="15.75" customHeight="1">
      <c r="A65" s="544">
        <v>64.0</v>
      </c>
      <c r="B65" s="544" t="s">
        <v>2692</v>
      </c>
      <c r="C65" s="541" t="s">
        <v>3854</v>
      </c>
      <c r="D65" s="544" t="s">
        <v>3922</v>
      </c>
      <c r="E65" s="436"/>
      <c r="F65" s="436"/>
      <c r="G65" s="436"/>
      <c r="H65" s="436"/>
      <c r="I65" s="436"/>
      <c r="J65" s="436"/>
      <c r="K65" s="436"/>
      <c r="L65" s="436"/>
      <c r="M65" s="436"/>
      <c r="N65" s="436"/>
      <c r="O65" s="436"/>
      <c r="P65" s="436"/>
      <c r="Q65" s="436"/>
      <c r="R65" s="436"/>
      <c r="S65" s="436"/>
      <c r="T65" s="436"/>
      <c r="U65" s="436"/>
      <c r="V65" s="436"/>
      <c r="W65" s="436"/>
      <c r="X65" s="436"/>
      <c r="Y65" s="436"/>
      <c r="Z65" s="436"/>
    </row>
    <row r="66" ht="15.75" customHeight="1">
      <c r="A66" s="544">
        <v>65.0</v>
      </c>
      <c r="B66" s="544" t="s">
        <v>2677</v>
      </c>
      <c r="C66" s="546" t="s">
        <v>3860</v>
      </c>
      <c r="D66" s="544" t="s">
        <v>3923</v>
      </c>
      <c r="E66" s="436"/>
      <c r="F66" s="436"/>
      <c r="G66" s="436"/>
      <c r="H66" s="436"/>
      <c r="I66" s="436"/>
      <c r="J66" s="436"/>
      <c r="K66" s="436"/>
      <c r="L66" s="436"/>
      <c r="M66" s="436"/>
      <c r="N66" s="436"/>
      <c r="O66" s="436"/>
      <c r="P66" s="436"/>
      <c r="Q66" s="436"/>
      <c r="R66" s="436"/>
      <c r="S66" s="436"/>
      <c r="T66" s="436"/>
      <c r="U66" s="436"/>
      <c r="V66" s="436"/>
      <c r="W66" s="436"/>
      <c r="X66" s="436"/>
      <c r="Y66" s="436"/>
      <c r="Z66" s="436"/>
    </row>
    <row r="67" ht="15.75" customHeight="1">
      <c r="A67" s="544">
        <v>66.0</v>
      </c>
      <c r="B67" s="544" t="s">
        <v>2677</v>
      </c>
      <c r="C67" s="546" t="s">
        <v>3860</v>
      </c>
      <c r="D67" s="544" t="s">
        <v>3924</v>
      </c>
      <c r="E67" s="436"/>
      <c r="F67" s="436"/>
      <c r="G67" s="436"/>
      <c r="H67" s="436"/>
      <c r="I67" s="436"/>
      <c r="J67" s="436"/>
      <c r="K67" s="436"/>
      <c r="L67" s="436"/>
      <c r="M67" s="436"/>
      <c r="N67" s="436"/>
      <c r="O67" s="436"/>
      <c r="P67" s="436"/>
      <c r="Q67" s="436"/>
      <c r="R67" s="436"/>
      <c r="S67" s="436"/>
      <c r="T67" s="436"/>
      <c r="U67" s="436"/>
      <c r="V67" s="436"/>
      <c r="W67" s="436"/>
      <c r="X67" s="436"/>
      <c r="Y67" s="436"/>
      <c r="Z67" s="436"/>
    </row>
    <row r="68" ht="15.75" customHeight="1">
      <c r="A68" s="544">
        <v>67.0</v>
      </c>
      <c r="B68" s="544" t="s">
        <v>2677</v>
      </c>
      <c r="C68" s="546" t="s">
        <v>3860</v>
      </c>
      <c r="D68" s="544" t="s">
        <v>3925</v>
      </c>
      <c r="E68" s="436"/>
      <c r="F68" s="436"/>
      <c r="G68" s="436"/>
      <c r="H68" s="436"/>
      <c r="I68" s="436"/>
      <c r="J68" s="436"/>
      <c r="K68" s="436"/>
      <c r="L68" s="436"/>
      <c r="M68" s="436"/>
      <c r="N68" s="436"/>
      <c r="O68" s="436"/>
      <c r="P68" s="436"/>
      <c r="Q68" s="436"/>
      <c r="R68" s="436"/>
      <c r="S68" s="436"/>
      <c r="T68" s="436"/>
      <c r="U68" s="436"/>
      <c r="V68" s="436"/>
      <c r="W68" s="436"/>
      <c r="X68" s="436"/>
      <c r="Y68" s="436"/>
      <c r="Z68" s="436"/>
    </row>
    <row r="69" ht="15.75" customHeight="1">
      <c r="A69" s="544">
        <v>68.0</v>
      </c>
      <c r="B69" s="544" t="s">
        <v>2490</v>
      </c>
      <c r="C69" s="541" t="s">
        <v>3854</v>
      </c>
      <c r="D69" s="544" t="s">
        <v>3926</v>
      </c>
      <c r="E69" s="436"/>
      <c r="F69" s="436"/>
      <c r="G69" s="436"/>
      <c r="H69" s="436"/>
      <c r="I69" s="436"/>
      <c r="J69" s="436"/>
      <c r="K69" s="436"/>
      <c r="L69" s="436"/>
      <c r="M69" s="436"/>
      <c r="N69" s="436"/>
      <c r="O69" s="436"/>
      <c r="P69" s="436"/>
      <c r="Q69" s="436"/>
      <c r="R69" s="436"/>
      <c r="S69" s="436"/>
      <c r="T69" s="436"/>
      <c r="U69" s="436"/>
      <c r="V69" s="436"/>
      <c r="W69" s="436"/>
      <c r="X69" s="436"/>
      <c r="Y69" s="436"/>
      <c r="Z69" s="436"/>
    </row>
    <row r="70" ht="15.75" customHeight="1">
      <c r="A70" s="544">
        <v>69.0</v>
      </c>
      <c r="B70" s="436" t="s">
        <v>2677</v>
      </c>
      <c r="C70" s="541" t="s">
        <v>3854</v>
      </c>
      <c r="D70" s="436" t="s">
        <v>3927</v>
      </c>
      <c r="E70" s="436"/>
      <c r="F70" s="436"/>
      <c r="G70" s="436"/>
      <c r="H70" s="436"/>
      <c r="I70" s="436"/>
      <c r="J70" s="436"/>
      <c r="K70" s="436"/>
      <c r="L70" s="436"/>
      <c r="M70" s="436"/>
      <c r="N70" s="436"/>
      <c r="O70" s="436"/>
      <c r="P70" s="436"/>
      <c r="Q70" s="436"/>
      <c r="R70" s="436"/>
      <c r="S70" s="436"/>
      <c r="T70" s="436"/>
      <c r="U70" s="436"/>
      <c r="V70" s="436"/>
      <c r="W70" s="436"/>
      <c r="X70" s="436"/>
      <c r="Y70" s="436"/>
      <c r="Z70" s="436"/>
    </row>
    <row r="71" ht="15.75" customHeight="1">
      <c r="A71" s="544">
        <v>70.0</v>
      </c>
      <c r="B71" s="544" t="s">
        <v>1849</v>
      </c>
      <c r="C71" s="546" t="s">
        <v>3860</v>
      </c>
      <c r="D71" s="544" t="s">
        <v>3928</v>
      </c>
      <c r="E71" s="436"/>
      <c r="F71" s="436"/>
      <c r="G71" s="436"/>
      <c r="H71" s="436"/>
      <c r="I71" s="436"/>
      <c r="J71" s="436"/>
      <c r="K71" s="436"/>
      <c r="L71" s="436"/>
      <c r="M71" s="436"/>
      <c r="N71" s="436"/>
      <c r="O71" s="436"/>
      <c r="P71" s="436"/>
      <c r="Q71" s="436"/>
      <c r="R71" s="436"/>
      <c r="S71" s="436"/>
      <c r="T71" s="436"/>
      <c r="U71" s="436"/>
      <c r="V71" s="436"/>
      <c r="W71" s="436"/>
      <c r="X71" s="436"/>
      <c r="Y71" s="436"/>
      <c r="Z71" s="436"/>
    </row>
    <row r="72" ht="15.75" customHeight="1">
      <c r="A72" s="544">
        <v>71.0</v>
      </c>
      <c r="B72" s="544" t="s">
        <v>1849</v>
      </c>
      <c r="C72" s="546" t="s">
        <v>3860</v>
      </c>
      <c r="D72" s="544" t="s">
        <v>3929</v>
      </c>
      <c r="E72" s="436"/>
      <c r="F72" s="436"/>
      <c r="G72" s="436"/>
      <c r="H72" s="436"/>
      <c r="I72" s="436"/>
      <c r="J72" s="436"/>
      <c r="K72" s="436"/>
      <c r="L72" s="436"/>
      <c r="M72" s="436"/>
      <c r="N72" s="436"/>
      <c r="O72" s="436"/>
      <c r="P72" s="436"/>
      <c r="Q72" s="436"/>
      <c r="R72" s="436"/>
      <c r="S72" s="436"/>
      <c r="T72" s="436"/>
      <c r="U72" s="436"/>
      <c r="V72" s="436"/>
      <c r="W72" s="436"/>
      <c r="X72" s="436"/>
      <c r="Y72" s="436"/>
      <c r="Z72" s="436"/>
    </row>
    <row r="73" ht="15.75" customHeight="1">
      <c r="A73" s="544">
        <v>72.0</v>
      </c>
      <c r="B73" s="544" t="s">
        <v>1849</v>
      </c>
      <c r="C73" s="546" t="s">
        <v>3860</v>
      </c>
      <c r="D73" s="544" t="s">
        <v>3930</v>
      </c>
      <c r="E73" s="436"/>
      <c r="F73" s="436"/>
      <c r="G73" s="436"/>
      <c r="H73" s="436"/>
      <c r="I73" s="436"/>
      <c r="J73" s="436"/>
      <c r="K73" s="436"/>
      <c r="L73" s="436"/>
      <c r="M73" s="436"/>
      <c r="N73" s="436"/>
      <c r="O73" s="436"/>
      <c r="P73" s="436"/>
      <c r="Q73" s="436"/>
      <c r="R73" s="436"/>
      <c r="S73" s="436"/>
      <c r="T73" s="436"/>
      <c r="U73" s="436"/>
      <c r="V73" s="436"/>
      <c r="W73" s="436"/>
      <c r="X73" s="436"/>
      <c r="Y73" s="436"/>
      <c r="Z73" s="436"/>
    </row>
    <row r="74" ht="15.75" customHeight="1">
      <c r="A74" s="544">
        <v>73.0</v>
      </c>
      <c r="B74" s="544" t="s">
        <v>1841</v>
      </c>
      <c r="C74" s="541" t="s">
        <v>3854</v>
      </c>
      <c r="D74" s="544" t="s">
        <v>3931</v>
      </c>
      <c r="E74" s="436"/>
      <c r="F74" s="436"/>
      <c r="G74" s="436"/>
      <c r="H74" s="436"/>
      <c r="I74" s="436"/>
      <c r="J74" s="436"/>
      <c r="K74" s="436"/>
      <c r="L74" s="436"/>
      <c r="M74" s="436"/>
      <c r="N74" s="436"/>
      <c r="O74" s="436"/>
      <c r="P74" s="436"/>
      <c r="Q74" s="436"/>
      <c r="R74" s="436"/>
      <c r="S74" s="436"/>
      <c r="T74" s="436"/>
      <c r="U74" s="436"/>
      <c r="V74" s="436"/>
      <c r="W74" s="436"/>
      <c r="X74" s="436"/>
      <c r="Y74" s="436"/>
      <c r="Z74" s="436"/>
    </row>
    <row r="75" ht="15.75" customHeight="1">
      <c r="A75" s="544">
        <v>74.0</v>
      </c>
      <c r="B75" s="544" t="s">
        <v>1841</v>
      </c>
      <c r="C75" s="541" t="s">
        <v>3854</v>
      </c>
      <c r="D75" s="544" t="s">
        <v>3932</v>
      </c>
      <c r="E75" s="436"/>
      <c r="F75" s="436"/>
      <c r="G75" s="436"/>
      <c r="H75" s="436"/>
      <c r="I75" s="436"/>
      <c r="J75" s="436"/>
      <c r="K75" s="436"/>
      <c r="L75" s="436"/>
      <c r="M75" s="436"/>
      <c r="N75" s="436"/>
      <c r="O75" s="436"/>
      <c r="P75" s="436"/>
      <c r="Q75" s="436"/>
      <c r="R75" s="436"/>
      <c r="S75" s="436"/>
      <c r="T75" s="436"/>
      <c r="U75" s="436"/>
      <c r="V75" s="436"/>
      <c r="W75" s="436"/>
      <c r="X75" s="436"/>
      <c r="Y75" s="436"/>
      <c r="Z75" s="436"/>
    </row>
    <row r="76" ht="15.75" customHeight="1">
      <c r="A76" s="544">
        <v>75.0</v>
      </c>
      <c r="B76" s="544" t="s">
        <v>1841</v>
      </c>
      <c r="C76" s="541" t="s">
        <v>3854</v>
      </c>
      <c r="D76" s="544" t="s">
        <v>3933</v>
      </c>
      <c r="E76" s="436"/>
      <c r="F76" s="436"/>
      <c r="G76" s="436"/>
      <c r="H76" s="436"/>
      <c r="I76" s="436"/>
      <c r="J76" s="436"/>
      <c r="K76" s="436"/>
      <c r="L76" s="436"/>
      <c r="M76" s="436"/>
      <c r="N76" s="436"/>
      <c r="O76" s="436"/>
      <c r="P76" s="436"/>
      <c r="Q76" s="436"/>
      <c r="R76" s="436"/>
      <c r="S76" s="436"/>
      <c r="T76" s="436"/>
      <c r="U76" s="436"/>
      <c r="V76" s="436"/>
      <c r="W76" s="436"/>
      <c r="X76" s="436"/>
      <c r="Y76" s="436"/>
      <c r="Z76" s="436"/>
    </row>
    <row r="77" ht="15.75" customHeight="1">
      <c r="A77" s="540">
        <v>76.0</v>
      </c>
      <c r="B77" s="540" t="s">
        <v>2692</v>
      </c>
      <c r="C77" s="551" t="s">
        <v>3860</v>
      </c>
      <c r="D77" s="540" t="s">
        <v>3934</v>
      </c>
      <c r="E77" s="436"/>
      <c r="F77" s="436"/>
      <c r="G77" s="436"/>
      <c r="H77" s="436"/>
      <c r="I77" s="436"/>
      <c r="J77" s="436"/>
      <c r="K77" s="436"/>
      <c r="L77" s="436"/>
      <c r="M77" s="436"/>
      <c r="N77" s="436"/>
      <c r="O77" s="436"/>
      <c r="P77" s="436"/>
      <c r="Q77" s="436"/>
      <c r="R77" s="436"/>
      <c r="S77" s="436"/>
      <c r="T77" s="436"/>
      <c r="U77" s="436"/>
      <c r="V77" s="436"/>
      <c r="W77" s="436"/>
      <c r="X77" s="436"/>
      <c r="Y77" s="436"/>
      <c r="Z77" s="436"/>
    </row>
    <row r="78" ht="15.75" customHeight="1">
      <c r="A78" s="544">
        <v>77.0</v>
      </c>
      <c r="B78" s="544" t="s">
        <v>1841</v>
      </c>
      <c r="C78" s="541" t="s">
        <v>3854</v>
      </c>
      <c r="D78" s="544" t="s">
        <v>3935</v>
      </c>
      <c r="E78" s="436"/>
      <c r="F78" s="436"/>
      <c r="G78" s="436"/>
      <c r="H78" s="436"/>
      <c r="I78" s="436"/>
      <c r="J78" s="436"/>
      <c r="K78" s="436"/>
      <c r="L78" s="436"/>
      <c r="M78" s="436"/>
      <c r="N78" s="436"/>
      <c r="O78" s="436"/>
      <c r="P78" s="436"/>
      <c r="Q78" s="436"/>
      <c r="R78" s="436"/>
      <c r="S78" s="436"/>
      <c r="T78" s="436"/>
      <c r="U78" s="436"/>
      <c r="V78" s="436"/>
      <c r="W78" s="436"/>
      <c r="X78" s="436"/>
      <c r="Y78" s="436"/>
      <c r="Z78" s="436"/>
    </row>
    <row r="79" ht="15.75" customHeight="1">
      <c r="A79" s="544">
        <v>78.0</v>
      </c>
      <c r="B79" s="544" t="s">
        <v>1841</v>
      </c>
      <c r="C79" s="541" t="s">
        <v>3854</v>
      </c>
      <c r="D79" s="544" t="s">
        <v>3936</v>
      </c>
      <c r="E79" s="436"/>
      <c r="F79" s="436"/>
      <c r="G79" s="436"/>
      <c r="H79" s="436"/>
      <c r="I79" s="436"/>
      <c r="J79" s="436"/>
      <c r="K79" s="436"/>
      <c r="L79" s="436"/>
      <c r="M79" s="436"/>
      <c r="N79" s="436"/>
      <c r="O79" s="436"/>
      <c r="P79" s="436"/>
      <c r="Q79" s="436"/>
      <c r="R79" s="436"/>
      <c r="S79" s="436"/>
      <c r="T79" s="436"/>
      <c r="U79" s="436"/>
      <c r="V79" s="436"/>
      <c r="W79" s="436"/>
      <c r="X79" s="436"/>
      <c r="Y79" s="436"/>
      <c r="Z79" s="436"/>
    </row>
    <row r="80" ht="15.75" customHeight="1">
      <c r="A80" s="544">
        <v>79.0</v>
      </c>
      <c r="B80" s="544" t="s">
        <v>1841</v>
      </c>
      <c r="C80" s="541" t="s">
        <v>3854</v>
      </c>
      <c r="D80" s="544" t="s">
        <v>3937</v>
      </c>
      <c r="E80" s="436"/>
      <c r="F80" s="436"/>
      <c r="G80" s="436"/>
      <c r="H80" s="436"/>
      <c r="I80" s="436"/>
      <c r="J80" s="436"/>
      <c r="K80" s="436"/>
      <c r="L80" s="436"/>
      <c r="M80" s="436"/>
      <c r="N80" s="436"/>
      <c r="O80" s="436"/>
      <c r="P80" s="436"/>
      <c r="Q80" s="436"/>
      <c r="R80" s="436"/>
      <c r="S80" s="436"/>
      <c r="T80" s="436"/>
      <c r="U80" s="436"/>
      <c r="V80" s="436"/>
      <c r="W80" s="436"/>
      <c r="X80" s="436"/>
      <c r="Y80" s="436"/>
      <c r="Z80" s="436"/>
    </row>
    <row r="81" ht="15.75" customHeight="1">
      <c r="A81" s="544">
        <v>80.0</v>
      </c>
      <c r="B81" s="544" t="s">
        <v>1841</v>
      </c>
      <c r="C81" s="541" t="s">
        <v>3854</v>
      </c>
      <c r="D81" s="544" t="s">
        <v>3938</v>
      </c>
      <c r="E81" s="436"/>
      <c r="F81" s="436"/>
      <c r="G81" s="436"/>
      <c r="H81" s="436"/>
      <c r="I81" s="436"/>
      <c r="J81" s="436"/>
      <c r="K81" s="436"/>
      <c r="L81" s="436"/>
      <c r="M81" s="436"/>
      <c r="N81" s="436"/>
      <c r="O81" s="436"/>
      <c r="P81" s="436"/>
      <c r="Q81" s="436"/>
      <c r="R81" s="436"/>
      <c r="S81" s="436"/>
      <c r="T81" s="436"/>
      <c r="U81" s="436"/>
      <c r="V81" s="436"/>
      <c r="W81" s="436"/>
      <c r="X81" s="436"/>
      <c r="Y81" s="436"/>
      <c r="Z81" s="436"/>
    </row>
    <row r="82" ht="15.75" customHeight="1">
      <c r="A82" s="544">
        <v>81.0</v>
      </c>
      <c r="B82" s="544" t="s">
        <v>1841</v>
      </c>
      <c r="C82" s="541" t="s">
        <v>3854</v>
      </c>
      <c r="D82" s="544" t="s">
        <v>3939</v>
      </c>
      <c r="E82" s="436"/>
      <c r="F82" s="436"/>
      <c r="G82" s="436"/>
      <c r="H82" s="436"/>
      <c r="I82" s="436"/>
      <c r="J82" s="436"/>
      <c r="K82" s="436"/>
      <c r="L82" s="436"/>
      <c r="M82" s="436"/>
      <c r="N82" s="436"/>
      <c r="O82" s="436"/>
      <c r="P82" s="436"/>
      <c r="Q82" s="436"/>
      <c r="R82" s="436"/>
      <c r="S82" s="436"/>
      <c r="T82" s="436"/>
      <c r="U82" s="436"/>
      <c r="V82" s="436"/>
      <c r="W82" s="436"/>
      <c r="X82" s="436"/>
      <c r="Y82" s="436"/>
      <c r="Z82" s="436"/>
    </row>
    <row r="83" ht="15.75" customHeight="1">
      <c r="A83" s="540">
        <v>82.0</v>
      </c>
      <c r="B83" s="540" t="s">
        <v>1841</v>
      </c>
      <c r="C83" s="545" t="s">
        <v>3854</v>
      </c>
      <c r="D83" s="540" t="s">
        <v>3940</v>
      </c>
      <c r="E83" s="436"/>
      <c r="F83" s="436"/>
      <c r="G83" s="436"/>
      <c r="H83" s="436"/>
      <c r="I83" s="436"/>
      <c r="J83" s="436"/>
      <c r="K83" s="436"/>
      <c r="L83" s="436"/>
      <c r="M83" s="436"/>
      <c r="N83" s="436"/>
      <c r="O83" s="436"/>
      <c r="P83" s="436"/>
      <c r="Q83" s="436"/>
      <c r="R83" s="436"/>
      <c r="S83" s="436"/>
      <c r="T83" s="436"/>
      <c r="U83" s="436"/>
      <c r="V83" s="436"/>
      <c r="W83" s="436"/>
      <c r="X83" s="436"/>
      <c r="Y83" s="436"/>
      <c r="Z83" s="436"/>
    </row>
    <row r="84" ht="15.75" customHeight="1">
      <c r="A84" s="540">
        <v>83.0</v>
      </c>
      <c r="B84" s="540" t="s">
        <v>2692</v>
      </c>
      <c r="C84" s="551" t="s">
        <v>3860</v>
      </c>
      <c r="D84" s="540" t="s">
        <v>3941</v>
      </c>
      <c r="E84" s="436"/>
      <c r="F84" s="436"/>
      <c r="G84" s="436"/>
      <c r="H84" s="436"/>
      <c r="I84" s="436"/>
      <c r="J84" s="436"/>
      <c r="K84" s="436"/>
      <c r="L84" s="436"/>
      <c r="M84" s="436"/>
      <c r="N84" s="436"/>
      <c r="O84" s="436"/>
      <c r="P84" s="436"/>
      <c r="Q84" s="436"/>
      <c r="R84" s="436"/>
      <c r="S84" s="436"/>
      <c r="T84" s="436"/>
      <c r="U84" s="436"/>
      <c r="V84" s="436"/>
      <c r="W84" s="436"/>
      <c r="X84" s="436"/>
      <c r="Y84" s="436"/>
      <c r="Z84" s="436"/>
    </row>
    <row r="85" ht="15.75" customHeight="1">
      <c r="A85" s="544">
        <v>84.0</v>
      </c>
      <c r="B85" s="544" t="s">
        <v>1849</v>
      </c>
      <c r="C85" s="541" t="s">
        <v>3854</v>
      </c>
      <c r="D85" s="544" t="s">
        <v>3942</v>
      </c>
      <c r="E85" s="436"/>
      <c r="F85" s="436"/>
      <c r="G85" s="436"/>
      <c r="H85" s="436"/>
      <c r="I85" s="436"/>
      <c r="J85" s="436"/>
      <c r="K85" s="436"/>
      <c r="L85" s="436"/>
      <c r="M85" s="436"/>
      <c r="N85" s="436"/>
      <c r="O85" s="436"/>
      <c r="P85" s="436"/>
      <c r="Q85" s="436"/>
      <c r="R85" s="436"/>
      <c r="S85" s="436"/>
      <c r="T85" s="436"/>
      <c r="U85" s="436"/>
      <c r="V85" s="436"/>
      <c r="W85" s="436"/>
      <c r="X85" s="436"/>
      <c r="Y85" s="436"/>
      <c r="Z85" s="436"/>
    </row>
    <row r="86" ht="15.75" customHeight="1">
      <c r="A86" s="544">
        <v>85.0</v>
      </c>
      <c r="B86" s="544" t="s">
        <v>2125</v>
      </c>
      <c r="C86" s="544" t="s">
        <v>3854</v>
      </c>
      <c r="D86" s="544" t="s">
        <v>3943</v>
      </c>
      <c r="E86" s="436"/>
      <c r="F86" s="436"/>
      <c r="G86" s="436"/>
      <c r="H86" s="436"/>
      <c r="I86" s="436"/>
      <c r="J86" s="436"/>
      <c r="K86" s="436"/>
      <c r="L86" s="436"/>
      <c r="M86" s="436"/>
      <c r="N86" s="436"/>
      <c r="O86" s="436"/>
      <c r="P86" s="436"/>
      <c r="Q86" s="436"/>
      <c r="R86" s="436"/>
      <c r="S86" s="436"/>
      <c r="T86" s="436"/>
      <c r="U86" s="436"/>
      <c r="V86" s="436"/>
      <c r="W86" s="436"/>
      <c r="X86" s="436"/>
      <c r="Y86" s="436"/>
      <c r="Z86" s="436"/>
    </row>
    <row r="87" ht="15.75" customHeight="1">
      <c r="A87" s="544">
        <v>89.0</v>
      </c>
      <c r="B87" s="544" t="s">
        <v>1846</v>
      </c>
      <c r="C87" s="541" t="s">
        <v>3854</v>
      </c>
      <c r="D87" s="544" t="s">
        <v>3944</v>
      </c>
      <c r="E87" s="436"/>
      <c r="F87" s="436"/>
      <c r="G87" s="436"/>
      <c r="H87" s="436"/>
      <c r="I87" s="436"/>
      <c r="J87" s="436"/>
      <c r="K87" s="436"/>
      <c r="L87" s="436"/>
      <c r="M87" s="436"/>
      <c r="N87" s="436"/>
      <c r="O87" s="436"/>
      <c r="P87" s="436"/>
      <c r="Q87" s="436"/>
      <c r="R87" s="436"/>
      <c r="S87" s="436"/>
      <c r="T87" s="436"/>
      <c r="U87" s="436"/>
      <c r="V87" s="436"/>
      <c r="W87" s="436"/>
      <c r="X87" s="436"/>
      <c r="Y87" s="436"/>
      <c r="Z87" s="436"/>
    </row>
    <row r="88" ht="15.75" customHeight="1">
      <c r="A88" s="544">
        <v>90.0</v>
      </c>
      <c r="B88" s="544" t="s">
        <v>1846</v>
      </c>
      <c r="C88" s="541" t="s">
        <v>3854</v>
      </c>
      <c r="D88" s="544" t="s">
        <v>3945</v>
      </c>
      <c r="E88" s="436"/>
      <c r="F88" s="436"/>
      <c r="G88" s="436"/>
      <c r="H88" s="436"/>
      <c r="I88" s="436"/>
      <c r="J88" s="436"/>
      <c r="K88" s="436"/>
      <c r="L88" s="436"/>
      <c r="M88" s="436"/>
      <c r="N88" s="436"/>
      <c r="O88" s="436"/>
      <c r="P88" s="436"/>
      <c r="Q88" s="436"/>
      <c r="R88" s="436"/>
      <c r="S88" s="436"/>
      <c r="T88" s="436"/>
      <c r="U88" s="436"/>
      <c r="V88" s="436"/>
      <c r="W88" s="436"/>
      <c r="X88" s="436"/>
      <c r="Y88" s="436"/>
      <c r="Z88" s="436"/>
    </row>
    <row r="89" ht="15.75" customHeight="1">
      <c r="A89" s="544">
        <v>91.0</v>
      </c>
      <c r="B89" s="544" t="s">
        <v>1841</v>
      </c>
      <c r="C89" s="541" t="s">
        <v>3854</v>
      </c>
      <c r="D89" s="544" t="s">
        <v>3946</v>
      </c>
      <c r="E89" s="436"/>
      <c r="F89" s="436"/>
      <c r="G89" s="436"/>
      <c r="H89" s="436"/>
      <c r="I89" s="436"/>
      <c r="J89" s="436"/>
      <c r="K89" s="436"/>
      <c r="L89" s="436"/>
      <c r="M89" s="436"/>
      <c r="N89" s="436"/>
      <c r="O89" s="436"/>
      <c r="P89" s="436"/>
      <c r="Q89" s="436"/>
      <c r="R89" s="436"/>
      <c r="S89" s="436"/>
      <c r="T89" s="436"/>
      <c r="U89" s="436"/>
      <c r="V89" s="436"/>
      <c r="W89" s="436"/>
      <c r="X89" s="436"/>
      <c r="Y89" s="436"/>
      <c r="Z89" s="436"/>
    </row>
    <row r="90" ht="15.75" customHeight="1">
      <c r="A90" s="544">
        <v>92.0</v>
      </c>
      <c r="B90" s="544" t="s">
        <v>2692</v>
      </c>
      <c r="C90" s="546" t="s">
        <v>3860</v>
      </c>
      <c r="D90" s="544" t="s">
        <v>3947</v>
      </c>
      <c r="E90" s="436"/>
      <c r="F90" s="436"/>
      <c r="G90" s="436"/>
      <c r="H90" s="436"/>
      <c r="I90" s="436"/>
      <c r="J90" s="436"/>
      <c r="K90" s="436"/>
      <c r="L90" s="436"/>
      <c r="M90" s="436"/>
      <c r="N90" s="436"/>
      <c r="O90" s="436"/>
      <c r="P90" s="436"/>
      <c r="Q90" s="436"/>
      <c r="R90" s="436"/>
      <c r="S90" s="436"/>
      <c r="T90" s="436"/>
      <c r="U90" s="436"/>
      <c r="V90" s="436"/>
      <c r="W90" s="436"/>
      <c r="X90" s="436"/>
      <c r="Y90" s="436"/>
      <c r="Z90" s="436"/>
    </row>
    <row r="91" ht="15.75" customHeight="1">
      <c r="A91" s="544">
        <v>93.0</v>
      </c>
      <c r="B91" s="544" t="s">
        <v>2692</v>
      </c>
      <c r="C91" s="546" t="s">
        <v>3860</v>
      </c>
      <c r="D91" s="544" t="s">
        <v>3948</v>
      </c>
      <c r="E91" s="436"/>
      <c r="F91" s="436"/>
      <c r="G91" s="436"/>
      <c r="H91" s="436"/>
      <c r="I91" s="436"/>
      <c r="J91" s="436"/>
      <c r="K91" s="436"/>
      <c r="L91" s="436"/>
      <c r="M91" s="436"/>
      <c r="N91" s="436"/>
      <c r="O91" s="436"/>
      <c r="P91" s="436"/>
      <c r="Q91" s="436"/>
      <c r="R91" s="436"/>
      <c r="S91" s="436"/>
      <c r="T91" s="436"/>
      <c r="U91" s="436"/>
      <c r="V91" s="436"/>
      <c r="W91" s="436"/>
      <c r="X91" s="436"/>
      <c r="Y91" s="436"/>
      <c r="Z91" s="436"/>
    </row>
    <row r="92" ht="15.75" customHeight="1">
      <c r="A92" s="544">
        <v>94.0</v>
      </c>
      <c r="B92" s="544" t="s">
        <v>1841</v>
      </c>
      <c r="C92" s="546" t="s">
        <v>3860</v>
      </c>
      <c r="D92" s="544" t="s">
        <v>3949</v>
      </c>
      <c r="E92" s="436"/>
      <c r="F92" s="436"/>
      <c r="G92" s="436"/>
      <c r="H92" s="436"/>
      <c r="I92" s="436"/>
      <c r="J92" s="436"/>
      <c r="K92" s="436"/>
      <c r="L92" s="436"/>
      <c r="M92" s="436"/>
      <c r="N92" s="436"/>
      <c r="O92" s="436"/>
      <c r="P92" s="436"/>
      <c r="Q92" s="436"/>
      <c r="R92" s="436"/>
      <c r="S92" s="436"/>
      <c r="T92" s="436"/>
      <c r="U92" s="436"/>
      <c r="V92" s="436"/>
      <c r="W92" s="436"/>
      <c r="X92" s="436"/>
      <c r="Y92" s="436"/>
      <c r="Z92" s="436"/>
    </row>
    <row r="93" ht="15.75" customHeight="1">
      <c r="A93" s="544">
        <v>95.0</v>
      </c>
      <c r="B93" s="544" t="s">
        <v>1841</v>
      </c>
      <c r="C93" s="546" t="s">
        <v>3860</v>
      </c>
      <c r="D93" s="544" t="s">
        <v>3950</v>
      </c>
      <c r="E93" s="436"/>
      <c r="F93" s="436"/>
      <c r="G93" s="436"/>
      <c r="H93" s="436"/>
      <c r="I93" s="436"/>
      <c r="J93" s="436"/>
      <c r="K93" s="436"/>
      <c r="L93" s="436"/>
      <c r="M93" s="436"/>
      <c r="N93" s="436"/>
      <c r="O93" s="436"/>
      <c r="P93" s="436"/>
      <c r="Q93" s="436"/>
      <c r="R93" s="436"/>
      <c r="S93" s="436"/>
      <c r="T93" s="436"/>
      <c r="U93" s="436"/>
      <c r="V93" s="436"/>
      <c r="W93" s="436"/>
      <c r="X93" s="436"/>
      <c r="Y93" s="436"/>
      <c r="Z93" s="436"/>
    </row>
    <row r="94" ht="15.75" customHeight="1">
      <c r="A94" s="544">
        <v>96.0</v>
      </c>
      <c r="B94" s="544" t="s">
        <v>2692</v>
      </c>
      <c r="C94" s="546" t="s">
        <v>3860</v>
      </c>
      <c r="D94" s="544" t="s">
        <v>3951</v>
      </c>
      <c r="E94" s="436"/>
      <c r="F94" s="436"/>
      <c r="G94" s="436"/>
      <c r="H94" s="436"/>
      <c r="I94" s="436"/>
      <c r="J94" s="436"/>
      <c r="K94" s="436"/>
      <c r="L94" s="436"/>
      <c r="M94" s="436"/>
      <c r="N94" s="436"/>
      <c r="O94" s="436"/>
      <c r="P94" s="436"/>
      <c r="Q94" s="436"/>
      <c r="R94" s="436"/>
      <c r="S94" s="436"/>
      <c r="T94" s="436"/>
      <c r="U94" s="436"/>
      <c r="V94" s="436"/>
      <c r="W94" s="436"/>
      <c r="X94" s="436"/>
      <c r="Y94" s="436"/>
      <c r="Z94" s="436"/>
    </row>
    <row r="95" ht="15.75" customHeight="1">
      <c r="A95" s="544">
        <v>97.0</v>
      </c>
      <c r="B95" s="544" t="s">
        <v>2692</v>
      </c>
      <c r="C95" s="546" t="s">
        <v>3860</v>
      </c>
      <c r="D95" s="544" t="s">
        <v>3952</v>
      </c>
      <c r="E95" s="436"/>
      <c r="F95" s="436"/>
      <c r="G95" s="436"/>
      <c r="H95" s="436"/>
      <c r="I95" s="436"/>
      <c r="J95" s="436"/>
      <c r="K95" s="436"/>
      <c r="L95" s="436"/>
      <c r="M95" s="436"/>
      <c r="N95" s="436"/>
      <c r="O95" s="436"/>
      <c r="P95" s="436"/>
      <c r="Q95" s="436"/>
      <c r="R95" s="436"/>
      <c r="S95" s="436"/>
      <c r="T95" s="436"/>
      <c r="U95" s="436"/>
      <c r="V95" s="436"/>
      <c r="W95" s="436"/>
      <c r="X95" s="436"/>
      <c r="Y95" s="436"/>
      <c r="Z95" s="436"/>
    </row>
    <row r="96" ht="15.75" customHeight="1">
      <c r="A96" s="544">
        <v>98.0</v>
      </c>
      <c r="B96" s="544" t="s">
        <v>2692</v>
      </c>
      <c r="C96" s="546" t="s">
        <v>3860</v>
      </c>
      <c r="D96" s="544" t="s">
        <v>3953</v>
      </c>
      <c r="E96" s="436"/>
      <c r="F96" s="436"/>
      <c r="G96" s="436"/>
      <c r="H96" s="436"/>
      <c r="I96" s="436"/>
      <c r="J96" s="436"/>
      <c r="K96" s="436"/>
      <c r="L96" s="436"/>
      <c r="M96" s="436"/>
      <c r="N96" s="436"/>
      <c r="O96" s="436"/>
      <c r="P96" s="436"/>
      <c r="Q96" s="436"/>
      <c r="R96" s="436"/>
      <c r="S96" s="436"/>
      <c r="T96" s="436"/>
      <c r="U96" s="436"/>
      <c r="V96" s="436"/>
      <c r="W96" s="436"/>
      <c r="X96" s="436"/>
      <c r="Y96" s="436"/>
      <c r="Z96" s="436"/>
    </row>
    <row r="97" ht="15.75" customHeight="1">
      <c r="A97" s="544">
        <v>99.0</v>
      </c>
      <c r="B97" s="544" t="s">
        <v>2692</v>
      </c>
      <c r="C97" s="546" t="s">
        <v>3860</v>
      </c>
      <c r="D97" s="544" t="s">
        <v>3954</v>
      </c>
      <c r="E97" s="436"/>
      <c r="F97" s="436"/>
      <c r="G97" s="436"/>
      <c r="H97" s="436"/>
      <c r="I97" s="436"/>
      <c r="J97" s="436"/>
      <c r="K97" s="436"/>
      <c r="L97" s="436"/>
      <c r="M97" s="436"/>
      <c r="N97" s="436"/>
      <c r="O97" s="436"/>
      <c r="P97" s="436"/>
      <c r="Q97" s="436"/>
      <c r="R97" s="436"/>
      <c r="S97" s="436"/>
      <c r="T97" s="436"/>
      <c r="U97" s="436"/>
      <c r="V97" s="436"/>
      <c r="W97" s="436"/>
      <c r="X97" s="436"/>
      <c r="Y97" s="436"/>
      <c r="Z97" s="436"/>
    </row>
    <row r="98" ht="15.75" customHeight="1">
      <c r="A98" s="544">
        <v>100.0</v>
      </c>
      <c r="B98" s="544" t="s">
        <v>2692</v>
      </c>
      <c r="C98" s="546" t="s">
        <v>3860</v>
      </c>
      <c r="D98" s="544" t="s">
        <v>3955</v>
      </c>
      <c r="E98" s="436"/>
      <c r="F98" s="436"/>
      <c r="G98" s="436"/>
      <c r="H98" s="436"/>
      <c r="I98" s="436"/>
      <c r="J98" s="436"/>
      <c r="K98" s="436"/>
      <c r="L98" s="436"/>
      <c r="M98" s="436"/>
      <c r="N98" s="436"/>
      <c r="O98" s="436"/>
      <c r="P98" s="436"/>
      <c r="Q98" s="436"/>
      <c r="R98" s="436"/>
      <c r="S98" s="436"/>
      <c r="T98" s="436"/>
      <c r="U98" s="436"/>
      <c r="V98" s="436"/>
      <c r="W98" s="436"/>
      <c r="X98" s="436"/>
      <c r="Y98" s="436"/>
      <c r="Z98" s="436"/>
    </row>
    <row r="99" ht="15.75" customHeight="1">
      <c r="A99" s="544">
        <v>101.0</v>
      </c>
      <c r="B99" s="544" t="s">
        <v>2692</v>
      </c>
      <c r="C99" s="546" t="s">
        <v>3860</v>
      </c>
      <c r="D99" s="544" t="s">
        <v>3956</v>
      </c>
      <c r="E99" s="436"/>
      <c r="F99" s="436"/>
      <c r="G99" s="436"/>
      <c r="H99" s="436"/>
      <c r="I99" s="436"/>
      <c r="J99" s="436"/>
      <c r="K99" s="436"/>
      <c r="L99" s="436"/>
      <c r="M99" s="436"/>
      <c r="N99" s="436"/>
      <c r="O99" s="436"/>
      <c r="P99" s="436"/>
      <c r="Q99" s="436"/>
      <c r="R99" s="436"/>
      <c r="S99" s="436"/>
      <c r="T99" s="436"/>
      <c r="U99" s="436"/>
      <c r="V99" s="436"/>
      <c r="W99" s="436"/>
      <c r="X99" s="436"/>
      <c r="Y99" s="436"/>
      <c r="Z99" s="436"/>
    </row>
    <row r="100" ht="15.75" customHeight="1">
      <c r="A100" s="544">
        <v>102.0</v>
      </c>
      <c r="B100" s="544" t="s">
        <v>2462</v>
      </c>
      <c r="C100" s="546" t="s">
        <v>3860</v>
      </c>
      <c r="D100" s="544" t="s">
        <v>3957</v>
      </c>
      <c r="E100" s="436"/>
      <c r="F100" s="436"/>
      <c r="G100" s="436"/>
      <c r="H100" s="436"/>
      <c r="I100" s="436"/>
      <c r="J100" s="436"/>
      <c r="K100" s="436"/>
      <c r="L100" s="436"/>
      <c r="M100" s="436"/>
      <c r="N100" s="436"/>
      <c r="O100" s="436"/>
      <c r="P100" s="436"/>
      <c r="Q100" s="436"/>
      <c r="R100" s="436"/>
      <c r="S100" s="436"/>
      <c r="T100" s="436"/>
      <c r="U100" s="436"/>
      <c r="V100" s="436"/>
      <c r="W100" s="436"/>
      <c r="X100" s="436"/>
      <c r="Y100" s="436"/>
      <c r="Z100" s="436"/>
    </row>
    <row r="101" ht="15.75" customHeight="1">
      <c r="A101" s="544">
        <v>103.0</v>
      </c>
      <c r="B101" s="544" t="s">
        <v>1841</v>
      </c>
      <c r="C101" s="546" t="s">
        <v>3860</v>
      </c>
      <c r="D101" s="544" t="s">
        <v>3958</v>
      </c>
      <c r="E101" s="436"/>
      <c r="F101" s="436"/>
      <c r="G101" s="436"/>
      <c r="H101" s="436"/>
      <c r="I101" s="436"/>
      <c r="J101" s="436"/>
      <c r="K101" s="436"/>
      <c r="L101" s="436"/>
      <c r="M101" s="436"/>
      <c r="N101" s="436"/>
      <c r="O101" s="436"/>
      <c r="P101" s="436"/>
      <c r="Q101" s="436"/>
      <c r="R101" s="436"/>
      <c r="S101" s="436"/>
      <c r="T101" s="436"/>
      <c r="U101" s="436"/>
      <c r="V101" s="436"/>
      <c r="W101" s="436"/>
      <c r="X101" s="436"/>
      <c r="Y101" s="436"/>
      <c r="Z101" s="436"/>
    </row>
    <row r="102" ht="15.75" customHeight="1">
      <c r="A102" s="544">
        <v>104.0</v>
      </c>
      <c r="B102" s="544" t="s">
        <v>2692</v>
      </c>
      <c r="C102" s="546" t="s">
        <v>3860</v>
      </c>
      <c r="D102" s="544" t="s">
        <v>3959</v>
      </c>
      <c r="E102" s="436"/>
      <c r="F102" s="436"/>
      <c r="G102" s="436"/>
      <c r="H102" s="436"/>
      <c r="I102" s="436"/>
      <c r="J102" s="436"/>
      <c r="K102" s="436"/>
      <c r="L102" s="436"/>
      <c r="M102" s="436"/>
      <c r="N102" s="436"/>
      <c r="O102" s="436"/>
      <c r="P102" s="436"/>
      <c r="Q102" s="436"/>
      <c r="R102" s="436"/>
      <c r="S102" s="436"/>
      <c r="T102" s="436"/>
      <c r="U102" s="436"/>
      <c r="V102" s="436"/>
      <c r="W102" s="436"/>
      <c r="X102" s="436"/>
      <c r="Y102" s="436"/>
      <c r="Z102" s="436"/>
    </row>
    <row r="103" ht="15.75" customHeight="1">
      <c r="A103" s="544">
        <v>105.0</v>
      </c>
      <c r="B103" s="544" t="s">
        <v>2462</v>
      </c>
      <c r="C103" s="546" t="s">
        <v>3860</v>
      </c>
      <c r="D103" s="544" t="s">
        <v>3960</v>
      </c>
      <c r="E103" s="436"/>
      <c r="F103" s="436"/>
      <c r="G103" s="436"/>
      <c r="H103" s="436"/>
      <c r="I103" s="436"/>
      <c r="J103" s="436"/>
      <c r="K103" s="436"/>
      <c r="L103" s="436"/>
      <c r="M103" s="436"/>
      <c r="N103" s="436"/>
      <c r="O103" s="436"/>
      <c r="P103" s="436"/>
      <c r="Q103" s="436"/>
      <c r="R103" s="436"/>
      <c r="S103" s="436"/>
      <c r="T103" s="436"/>
      <c r="U103" s="436"/>
      <c r="V103" s="436"/>
      <c r="W103" s="436"/>
      <c r="X103" s="436"/>
      <c r="Y103" s="436"/>
      <c r="Z103" s="436"/>
    </row>
    <row r="104" ht="15.75" customHeight="1">
      <c r="A104" s="544">
        <v>106.0</v>
      </c>
      <c r="B104" s="544" t="s">
        <v>2692</v>
      </c>
      <c r="C104" s="546" t="s">
        <v>3860</v>
      </c>
      <c r="D104" s="544" t="s">
        <v>3961</v>
      </c>
      <c r="E104" s="436"/>
      <c r="F104" s="436"/>
      <c r="G104" s="436"/>
      <c r="H104" s="436"/>
      <c r="I104" s="436"/>
      <c r="J104" s="436"/>
      <c r="K104" s="436"/>
      <c r="L104" s="436"/>
      <c r="M104" s="436"/>
      <c r="N104" s="436"/>
      <c r="O104" s="436"/>
      <c r="P104" s="436"/>
      <c r="Q104" s="436"/>
      <c r="R104" s="436"/>
      <c r="S104" s="436"/>
      <c r="T104" s="436"/>
      <c r="U104" s="436"/>
      <c r="V104" s="436"/>
      <c r="W104" s="436"/>
      <c r="X104" s="436"/>
      <c r="Y104" s="436"/>
      <c r="Z104" s="436"/>
    </row>
    <row r="105" ht="15.75" customHeight="1">
      <c r="A105" s="544">
        <v>107.0</v>
      </c>
      <c r="B105" s="544" t="s">
        <v>2692</v>
      </c>
      <c r="C105" s="546" t="s">
        <v>3860</v>
      </c>
      <c r="D105" s="544" t="s">
        <v>3962</v>
      </c>
      <c r="E105" s="436"/>
      <c r="F105" s="436"/>
      <c r="G105" s="436"/>
      <c r="H105" s="436"/>
      <c r="I105" s="436"/>
      <c r="J105" s="436"/>
      <c r="K105" s="436"/>
      <c r="L105" s="436"/>
      <c r="M105" s="436"/>
      <c r="N105" s="436"/>
      <c r="O105" s="436"/>
      <c r="P105" s="436"/>
      <c r="Q105" s="436"/>
      <c r="R105" s="436"/>
      <c r="S105" s="436"/>
      <c r="T105" s="436"/>
      <c r="U105" s="436"/>
      <c r="V105" s="436"/>
      <c r="W105" s="436"/>
      <c r="X105" s="436"/>
      <c r="Y105" s="436"/>
      <c r="Z105" s="436"/>
    </row>
    <row r="106" ht="15.75" customHeight="1">
      <c r="A106" s="544">
        <v>108.0</v>
      </c>
      <c r="B106" s="544" t="s">
        <v>2692</v>
      </c>
      <c r="C106" s="546" t="s">
        <v>3860</v>
      </c>
      <c r="D106" s="544" t="s">
        <v>3963</v>
      </c>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row>
    <row r="107" ht="15.75" customHeight="1">
      <c r="A107" s="436">
        <v>109.0</v>
      </c>
      <c r="B107" s="544" t="s">
        <v>2692</v>
      </c>
      <c r="C107" s="546" t="s">
        <v>3860</v>
      </c>
      <c r="D107" s="436" t="s">
        <v>3964</v>
      </c>
      <c r="E107" s="436"/>
      <c r="F107" s="436"/>
      <c r="G107" s="436"/>
      <c r="H107" s="436"/>
      <c r="I107" s="436"/>
      <c r="J107" s="436"/>
      <c r="K107" s="436"/>
      <c r="L107" s="436"/>
      <c r="M107" s="436"/>
      <c r="N107" s="436"/>
      <c r="O107" s="436"/>
      <c r="P107" s="436"/>
      <c r="Q107" s="436"/>
      <c r="R107" s="436"/>
      <c r="S107" s="436"/>
      <c r="T107" s="436"/>
      <c r="U107" s="436"/>
      <c r="V107" s="436"/>
      <c r="W107" s="436"/>
      <c r="X107" s="436"/>
      <c r="Y107" s="436"/>
      <c r="Z107" s="436"/>
    </row>
    <row r="108" ht="15.75" customHeight="1">
      <c r="A108" s="436">
        <v>110.0</v>
      </c>
      <c r="B108" s="436" t="s">
        <v>1846</v>
      </c>
      <c r="C108" s="546" t="s">
        <v>3860</v>
      </c>
      <c r="D108" s="436" t="s">
        <v>3965</v>
      </c>
      <c r="E108" s="436"/>
      <c r="F108" s="436"/>
      <c r="G108" s="436"/>
      <c r="H108" s="436"/>
      <c r="I108" s="436"/>
      <c r="J108" s="436"/>
      <c r="K108" s="436"/>
      <c r="L108" s="436"/>
      <c r="M108" s="436"/>
      <c r="N108" s="436"/>
      <c r="O108" s="436"/>
      <c r="P108" s="436"/>
      <c r="Q108" s="436"/>
      <c r="R108" s="436"/>
      <c r="S108" s="436"/>
      <c r="T108" s="436"/>
      <c r="U108" s="436"/>
      <c r="V108" s="436"/>
      <c r="W108" s="436"/>
      <c r="X108" s="436"/>
      <c r="Y108" s="436"/>
      <c r="Z108" s="436"/>
    </row>
    <row r="109" ht="15.75" customHeight="1">
      <c r="A109" s="436">
        <v>111.0</v>
      </c>
      <c r="B109" s="544" t="s">
        <v>2692</v>
      </c>
      <c r="C109" s="541" t="s">
        <v>3854</v>
      </c>
      <c r="D109" s="436" t="s">
        <v>3966</v>
      </c>
      <c r="E109" s="436"/>
      <c r="F109" s="436"/>
      <c r="G109" s="436"/>
      <c r="H109" s="436"/>
      <c r="I109" s="436"/>
      <c r="J109" s="436"/>
      <c r="K109" s="436"/>
      <c r="L109" s="436"/>
      <c r="M109" s="436"/>
      <c r="N109" s="436"/>
      <c r="O109" s="436"/>
      <c r="P109" s="436"/>
      <c r="Q109" s="436"/>
      <c r="R109" s="436"/>
      <c r="S109" s="436"/>
      <c r="T109" s="436"/>
      <c r="U109" s="436"/>
      <c r="V109" s="436"/>
      <c r="W109" s="436"/>
      <c r="X109" s="436"/>
      <c r="Y109" s="436"/>
      <c r="Z109" s="436"/>
    </row>
    <row r="110" ht="15.75" customHeight="1">
      <c r="A110" s="436">
        <v>112.0</v>
      </c>
      <c r="B110" s="544" t="s">
        <v>2692</v>
      </c>
      <c r="C110" s="541" t="s">
        <v>3854</v>
      </c>
      <c r="D110" s="436" t="s">
        <v>3967</v>
      </c>
      <c r="E110" s="436"/>
      <c r="F110" s="436"/>
      <c r="G110" s="436"/>
      <c r="H110" s="436"/>
      <c r="I110" s="436"/>
      <c r="J110" s="436"/>
      <c r="K110" s="436"/>
      <c r="L110" s="436"/>
      <c r="M110" s="436"/>
      <c r="N110" s="436"/>
      <c r="O110" s="436"/>
      <c r="P110" s="436"/>
      <c r="Q110" s="436"/>
      <c r="R110" s="436"/>
      <c r="S110" s="436"/>
      <c r="T110" s="436"/>
      <c r="U110" s="436"/>
      <c r="V110" s="436"/>
      <c r="W110" s="436"/>
      <c r="X110" s="436"/>
      <c r="Y110" s="436"/>
      <c r="Z110" s="436"/>
    </row>
    <row r="111" ht="15.75" customHeight="1">
      <c r="A111" s="436">
        <v>113.0</v>
      </c>
      <c r="B111" s="544" t="s">
        <v>2692</v>
      </c>
      <c r="C111" s="541" t="s">
        <v>3854</v>
      </c>
      <c r="D111" s="436" t="s">
        <v>3968</v>
      </c>
      <c r="E111" s="436"/>
      <c r="F111" s="436"/>
      <c r="G111" s="436"/>
      <c r="H111" s="436"/>
      <c r="I111" s="436"/>
      <c r="J111" s="436"/>
      <c r="K111" s="436"/>
      <c r="L111" s="436"/>
      <c r="M111" s="436"/>
      <c r="N111" s="436"/>
      <c r="O111" s="436"/>
      <c r="P111" s="436"/>
      <c r="Q111" s="436"/>
      <c r="R111" s="436"/>
      <c r="S111" s="436"/>
      <c r="T111" s="436"/>
      <c r="U111" s="436"/>
      <c r="V111" s="436"/>
      <c r="W111" s="436"/>
      <c r="X111" s="436"/>
      <c r="Y111" s="436"/>
      <c r="Z111" s="436"/>
    </row>
    <row r="112" ht="15.75" customHeight="1">
      <c r="A112" s="544">
        <v>114.0</v>
      </c>
      <c r="B112" s="548" t="s">
        <v>2125</v>
      </c>
      <c r="C112" s="552" t="s">
        <v>3860</v>
      </c>
      <c r="D112" s="544" t="s">
        <v>3969</v>
      </c>
      <c r="E112" s="436"/>
      <c r="F112" s="436"/>
      <c r="G112" s="436"/>
      <c r="H112" s="436"/>
      <c r="I112" s="436"/>
      <c r="J112" s="436"/>
      <c r="K112" s="436"/>
      <c r="L112" s="436"/>
      <c r="M112" s="436"/>
      <c r="N112" s="436"/>
      <c r="O112" s="436"/>
      <c r="P112" s="436"/>
      <c r="Q112" s="436"/>
      <c r="R112" s="436"/>
      <c r="S112" s="436"/>
      <c r="T112" s="436"/>
      <c r="U112" s="436"/>
      <c r="V112" s="436"/>
      <c r="W112" s="436"/>
      <c r="X112" s="436"/>
      <c r="Y112" s="436"/>
      <c r="Z112" s="436"/>
    </row>
    <row r="113" ht="15.75" customHeight="1">
      <c r="A113" s="553">
        <v>115.0</v>
      </c>
      <c r="B113" s="544" t="s">
        <v>1841</v>
      </c>
      <c r="C113" s="541" t="s">
        <v>3854</v>
      </c>
      <c r="D113" s="544" t="s">
        <v>3970</v>
      </c>
      <c r="E113" s="436"/>
      <c r="F113" s="436"/>
      <c r="G113" s="436"/>
      <c r="H113" s="436"/>
      <c r="I113" s="436"/>
      <c r="J113" s="436"/>
      <c r="K113" s="436"/>
      <c r="L113" s="436"/>
      <c r="M113" s="436"/>
      <c r="N113" s="436"/>
      <c r="O113" s="436"/>
      <c r="P113" s="436"/>
      <c r="Q113" s="436"/>
      <c r="R113" s="436"/>
      <c r="S113" s="436"/>
      <c r="T113" s="436"/>
      <c r="U113" s="436"/>
      <c r="V113" s="436"/>
      <c r="W113" s="436"/>
      <c r="X113" s="436"/>
      <c r="Y113" s="436"/>
      <c r="Z113" s="436"/>
    </row>
    <row r="114" ht="15.75" customHeight="1">
      <c r="A114" s="544">
        <v>116.0</v>
      </c>
      <c r="B114" s="544" t="s">
        <v>1841</v>
      </c>
      <c r="C114" s="546" t="s">
        <v>3860</v>
      </c>
      <c r="D114" s="544" t="s">
        <v>3971</v>
      </c>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row>
    <row r="115" ht="15.75" customHeight="1">
      <c r="A115" s="544">
        <v>117.0</v>
      </c>
      <c r="B115" s="544" t="s">
        <v>2490</v>
      </c>
      <c r="C115" s="546" t="s">
        <v>3860</v>
      </c>
      <c r="D115" s="544" t="s">
        <v>3972</v>
      </c>
      <c r="E115" s="436"/>
      <c r="F115" s="436"/>
      <c r="G115" s="436"/>
      <c r="H115" s="436"/>
      <c r="I115" s="436"/>
      <c r="J115" s="436"/>
      <c r="K115" s="436"/>
      <c r="L115" s="436"/>
      <c r="M115" s="436"/>
      <c r="N115" s="436"/>
      <c r="O115" s="436"/>
      <c r="P115" s="436"/>
      <c r="Q115" s="436"/>
      <c r="R115" s="436"/>
      <c r="S115" s="436"/>
      <c r="T115" s="436"/>
      <c r="U115" s="436"/>
      <c r="V115" s="436"/>
      <c r="W115" s="436"/>
      <c r="X115" s="436"/>
      <c r="Y115" s="436"/>
      <c r="Z115" s="436"/>
    </row>
    <row r="116" ht="15.75" customHeight="1">
      <c r="A116" s="436">
        <v>118.0</v>
      </c>
      <c r="B116" s="436" t="s">
        <v>2019</v>
      </c>
      <c r="C116" s="546" t="s">
        <v>3860</v>
      </c>
      <c r="D116" s="436" t="s">
        <v>3973</v>
      </c>
      <c r="E116" s="436"/>
      <c r="F116" s="436"/>
      <c r="G116" s="436"/>
      <c r="H116" s="436"/>
      <c r="I116" s="436"/>
      <c r="J116" s="436"/>
      <c r="K116" s="436"/>
      <c r="L116" s="436"/>
      <c r="M116" s="436"/>
      <c r="N116" s="436"/>
      <c r="O116" s="436"/>
      <c r="P116" s="436"/>
      <c r="Q116" s="436"/>
      <c r="R116" s="436"/>
      <c r="S116" s="436"/>
      <c r="T116" s="436"/>
      <c r="U116" s="436"/>
      <c r="V116" s="436"/>
      <c r="W116" s="436"/>
      <c r="X116" s="436"/>
      <c r="Y116" s="436"/>
      <c r="Z116" s="436"/>
    </row>
    <row r="117" ht="15.75" customHeight="1">
      <c r="A117" s="436">
        <v>119.0</v>
      </c>
      <c r="B117" s="436" t="s">
        <v>1841</v>
      </c>
      <c r="C117" s="541" t="s">
        <v>3854</v>
      </c>
      <c r="D117" s="436" t="s">
        <v>3974</v>
      </c>
      <c r="E117" s="436"/>
      <c r="F117" s="436"/>
      <c r="G117" s="436"/>
      <c r="H117" s="436"/>
      <c r="I117" s="436"/>
      <c r="J117" s="436"/>
      <c r="K117" s="436"/>
      <c r="L117" s="436"/>
      <c r="M117" s="436"/>
      <c r="N117" s="436"/>
      <c r="O117" s="436"/>
      <c r="P117" s="436"/>
      <c r="Q117" s="436"/>
      <c r="R117" s="436"/>
      <c r="S117" s="436"/>
      <c r="T117" s="436"/>
      <c r="U117" s="436"/>
      <c r="V117" s="436"/>
      <c r="W117" s="436"/>
      <c r="X117" s="436"/>
      <c r="Y117" s="436"/>
      <c r="Z117" s="436"/>
    </row>
    <row r="118" ht="15.75" customHeight="1">
      <c r="A118" s="436">
        <v>120.0</v>
      </c>
      <c r="B118" s="436" t="s">
        <v>2692</v>
      </c>
      <c r="C118" s="546" t="s">
        <v>3860</v>
      </c>
      <c r="D118" s="436" t="s">
        <v>3975</v>
      </c>
      <c r="E118" s="436"/>
      <c r="F118" s="436"/>
      <c r="G118" s="436"/>
      <c r="H118" s="436"/>
      <c r="I118" s="436"/>
      <c r="J118" s="436"/>
      <c r="K118" s="436"/>
      <c r="L118" s="436"/>
      <c r="M118" s="436"/>
      <c r="N118" s="436"/>
      <c r="O118" s="436"/>
      <c r="P118" s="436"/>
      <c r="Q118" s="436"/>
      <c r="R118" s="436"/>
      <c r="S118" s="436"/>
      <c r="T118" s="436"/>
      <c r="U118" s="436"/>
      <c r="V118" s="436"/>
      <c r="W118" s="436"/>
      <c r="X118" s="436"/>
      <c r="Y118" s="436"/>
      <c r="Z118" s="436"/>
    </row>
    <row r="119" ht="15.75" customHeight="1">
      <c r="A119" s="436">
        <v>121.0</v>
      </c>
      <c r="B119" s="436" t="s">
        <v>1841</v>
      </c>
      <c r="C119" s="541" t="s">
        <v>3854</v>
      </c>
      <c r="D119" s="436" t="s">
        <v>3976</v>
      </c>
      <c r="E119" s="436"/>
      <c r="F119" s="436"/>
      <c r="G119" s="436"/>
      <c r="H119" s="436"/>
      <c r="I119" s="436"/>
      <c r="J119" s="436"/>
      <c r="K119" s="436"/>
      <c r="L119" s="436"/>
      <c r="M119" s="436"/>
      <c r="N119" s="436"/>
      <c r="O119" s="436"/>
      <c r="P119" s="436"/>
      <c r="Q119" s="436"/>
      <c r="R119" s="436"/>
      <c r="S119" s="436"/>
      <c r="T119" s="436"/>
      <c r="U119" s="436"/>
      <c r="V119" s="436"/>
      <c r="W119" s="436"/>
      <c r="X119" s="436"/>
      <c r="Y119" s="436"/>
      <c r="Z119" s="436"/>
    </row>
    <row r="120" ht="15.75" customHeight="1">
      <c r="A120" s="436">
        <v>122.0</v>
      </c>
      <c r="B120" s="436" t="s">
        <v>1841</v>
      </c>
      <c r="C120" s="541" t="s">
        <v>3854</v>
      </c>
      <c r="D120" s="436" t="s">
        <v>3977</v>
      </c>
      <c r="E120" s="436"/>
      <c r="F120" s="436"/>
      <c r="G120" s="436"/>
      <c r="H120" s="436"/>
      <c r="I120" s="436"/>
      <c r="J120" s="436"/>
      <c r="K120" s="436"/>
      <c r="L120" s="436"/>
      <c r="M120" s="436"/>
      <c r="N120" s="436"/>
      <c r="O120" s="436"/>
      <c r="P120" s="436"/>
      <c r="Q120" s="436"/>
      <c r="R120" s="436"/>
      <c r="S120" s="436"/>
      <c r="T120" s="436"/>
      <c r="U120" s="436"/>
      <c r="V120" s="436"/>
      <c r="W120" s="436"/>
      <c r="X120" s="436"/>
      <c r="Y120" s="436"/>
      <c r="Z120" s="436"/>
    </row>
    <row r="121" ht="15.75" customHeight="1">
      <c r="A121" s="544">
        <v>123.0</v>
      </c>
      <c r="B121" s="544" t="s">
        <v>2462</v>
      </c>
      <c r="C121" s="546" t="s">
        <v>3860</v>
      </c>
      <c r="D121" s="544" t="s">
        <v>3978</v>
      </c>
      <c r="E121" s="436"/>
      <c r="F121" s="436"/>
      <c r="G121" s="436"/>
      <c r="H121" s="436"/>
      <c r="I121" s="436"/>
      <c r="J121" s="436"/>
      <c r="K121" s="436"/>
      <c r="L121" s="436"/>
      <c r="M121" s="436"/>
      <c r="N121" s="436"/>
      <c r="O121" s="436"/>
      <c r="P121" s="436"/>
      <c r="Q121" s="436"/>
      <c r="R121" s="436"/>
      <c r="S121" s="436"/>
      <c r="T121" s="436"/>
      <c r="U121" s="436"/>
      <c r="V121" s="436"/>
      <c r="W121" s="436"/>
      <c r="X121" s="436"/>
      <c r="Y121" s="436"/>
      <c r="Z121" s="436"/>
    </row>
    <row r="122" ht="15.75" customHeight="1">
      <c r="A122" s="436">
        <v>124.0</v>
      </c>
      <c r="B122" s="436" t="s">
        <v>1841</v>
      </c>
      <c r="C122" s="546" t="s">
        <v>3860</v>
      </c>
      <c r="D122" s="436" t="s">
        <v>3979</v>
      </c>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row>
    <row r="123" ht="15.75" customHeight="1">
      <c r="A123" s="436">
        <v>125.0</v>
      </c>
      <c r="B123" s="436" t="s">
        <v>1841</v>
      </c>
      <c r="C123" s="546" t="s">
        <v>3860</v>
      </c>
      <c r="D123" s="436" t="s">
        <v>3980</v>
      </c>
      <c r="E123" s="436"/>
      <c r="F123" s="436"/>
      <c r="G123" s="436"/>
      <c r="H123" s="436"/>
      <c r="I123" s="436"/>
      <c r="J123" s="436"/>
      <c r="K123" s="436"/>
      <c r="L123" s="436"/>
      <c r="M123" s="436"/>
      <c r="N123" s="436"/>
      <c r="O123" s="436"/>
      <c r="P123" s="436"/>
      <c r="Q123" s="436"/>
      <c r="R123" s="436"/>
      <c r="S123" s="436"/>
      <c r="T123" s="436"/>
      <c r="U123" s="436"/>
      <c r="V123" s="436"/>
      <c r="W123" s="436"/>
      <c r="X123" s="436"/>
      <c r="Y123" s="436"/>
      <c r="Z123" s="436"/>
    </row>
    <row r="124" ht="15.75" customHeight="1">
      <c r="A124" s="436">
        <v>126.0</v>
      </c>
      <c r="B124" s="436" t="s">
        <v>1841</v>
      </c>
      <c r="C124" s="546" t="s">
        <v>3860</v>
      </c>
      <c r="D124" s="554" t="s">
        <v>3981</v>
      </c>
      <c r="E124" s="436"/>
      <c r="F124" s="436"/>
      <c r="G124" s="436"/>
      <c r="H124" s="436"/>
      <c r="I124" s="436"/>
      <c r="J124" s="436"/>
      <c r="K124" s="436"/>
      <c r="L124" s="436"/>
      <c r="M124" s="436"/>
      <c r="N124" s="436"/>
      <c r="O124" s="436"/>
      <c r="P124" s="436"/>
      <c r="Q124" s="436"/>
      <c r="R124" s="436"/>
      <c r="S124" s="436"/>
      <c r="T124" s="436"/>
      <c r="U124" s="436"/>
      <c r="V124" s="436"/>
      <c r="W124" s="436"/>
      <c r="X124" s="436"/>
      <c r="Y124" s="436"/>
      <c r="Z124" s="436"/>
    </row>
    <row r="125" ht="15.75" customHeight="1">
      <c r="A125" s="436">
        <v>127.0</v>
      </c>
      <c r="B125" s="436" t="s">
        <v>1841</v>
      </c>
      <c r="C125" s="546" t="s">
        <v>3860</v>
      </c>
      <c r="D125" s="436" t="s">
        <v>3982</v>
      </c>
      <c r="E125" s="436"/>
      <c r="F125" s="436"/>
      <c r="G125" s="436"/>
      <c r="H125" s="436"/>
      <c r="I125" s="436"/>
      <c r="J125" s="436"/>
      <c r="K125" s="436"/>
      <c r="L125" s="436"/>
      <c r="M125" s="436"/>
      <c r="N125" s="436"/>
      <c r="O125" s="436"/>
      <c r="P125" s="436"/>
      <c r="Q125" s="436"/>
      <c r="R125" s="436"/>
      <c r="S125" s="436"/>
      <c r="T125" s="436"/>
      <c r="U125" s="436"/>
      <c r="V125" s="436"/>
      <c r="W125" s="436"/>
      <c r="X125" s="436"/>
      <c r="Y125" s="436"/>
      <c r="Z125" s="436"/>
    </row>
    <row r="126" ht="15.75" customHeight="1">
      <c r="A126" s="436">
        <v>128.0</v>
      </c>
      <c r="B126" s="436" t="s">
        <v>1841</v>
      </c>
      <c r="C126" s="546" t="s">
        <v>3860</v>
      </c>
      <c r="D126" s="436" t="s">
        <v>3983</v>
      </c>
      <c r="E126" s="436"/>
      <c r="F126" s="436"/>
      <c r="G126" s="436"/>
      <c r="H126" s="436"/>
      <c r="I126" s="436"/>
      <c r="J126" s="436"/>
      <c r="K126" s="436"/>
      <c r="L126" s="436"/>
      <c r="M126" s="436"/>
      <c r="N126" s="436"/>
      <c r="O126" s="436"/>
      <c r="P126" s="436"/>
      <c r="Q126" s="436"/>
      <c r="R126" s="436"/>
      <c r="S126" s="436"/>
      <c r="T126" s="436"/>
      <c r="U126" s="436"/>
      <c r="V126" s="436"/>
      <c r="W126" s="436"/>
      <c r="X126" s="436"/>
      <c r="Y126" s="436"/>
      <c r="Z126" s="436"/>
    </row>
    <row r="127" ht="15.75" customHeight="1">
      <c r="A127" s="436">
        <v>129.0</v>
      </c>
      <c r="B127" s="436" t="s">
        <v>2692</v>
      </c>
      <c r="C127" s="546" t="s">
        <v>3860</v>
      </c>
      <c r="D127" s="436" t="s">
        <v>3984</v>
      </c>
      <c r="E127" s="436"/>
      <c r="F127" s="436"/>
      <c r="G127" s="436"/>
      <c r="H127" s="436"/>
      <c r="I127" s="436"/>
      <c r="J127" s="436"/>
      <c r="K127" s="436"/>
      <c r="L127" s="436"/>
      <c r="M127" s="436"/>
      <c r="N127" s="436"/>
      <c r="O127" s="436"/>
      <c r="P127" s="436"/>
      <c r="Q127" s="436"/>
      <c r="R127" s="436"/>
      <c r="S127" s="436"/>
      <c r="T127" s="436"/>
      <c r="U127" s="436"/>
      <c r="V127" s="436"/>
      <c r="W127" s="436"/>
      <c r="X127" s="436"/>
      <c r="Y127" s="436"/>
      <c r="Z127" s="436"/>
    </row>
    <row r="128" ht="15.75" customHeight="1">
      <c r="A128" s="436">
        <v>130.0</v>
      </c>
      <c r="B128" s="436" t="s">
        <v>1841</v>
      </c>
      <c r="C128" s="546" t="s">
        <v>3860</v>
      </c>
      <c r="D128" s="436" t="s">
        <v>3985</v>
      </c>
      <c r="E128" s="436"/>
      <c r="F128" s="436"/>
      <c r="G128" s="436"/>
      <c r="H128" s="436"/>
      <c r="I128" s="436"/>
      <c r="J128" s="436"/>
      <c r="K128" s="436"/>
      <c r="L128" s="436"/>
      <c r="M128" s="436"/>
      <c r="N128" s="436"/>
      <c r="O128" s="436"/>
      <c r="P128" s="436"/>
      <c r="Q128" s="436"/>
      <c r="R128" s="436"/>
      <c r="S128" s="436"/>
      <c r="T128" s="436"/>
      <c r="U128" s="436"/>
      <c r="V128" s="436"/>
      <c r="W128" s="436"/>
      <c r="X128" s="436"/>
      <c r="Y128" s="436"/>
      <c r="Z128" s="436"/>
    </row>
    <row r="129" ht="15.75" customHeight="1">
      <c r="A129" s="436">
        <v>131.0</v>
      </c>
      <c r="B129" s="436" t="s">
        <v>1841</v>
      </c>
      <c r="C129" s="546" t="s">
        <v>3860</v>
      </c>
      <c r="D129" s="436" t="s">
        <v>3986</v>
      </c>
      <c r="E129" s="436"/>
      <c r="F129" s="436"/>
      <c r="G129" s="436"/>
      <c r="H129" s="436"/>
      <c r="I129" s="436"/>
      <c r="J129" s="436"/>
      <c r="K129" s="436"/>
      <c r="L129" s="436"/>
      <c r="M129" s="436"/>
      <c r="N129" s="436"/>
      <c r="O129" s="436"/>
      <c r="P129" s="436"/>
      <c r="Q129" s="436"/>
      <c r="R129" s="436"/>
      <c r="S129" s="436"/>
      <c r="T129" s="436"/>
      <c r="U129" s="436"/>
      <c r="V129" s="436"/>
      <c r="W129" s="436"/>
      <c r="X129" s="436"/>
      <c r="Y129" s="436"/>
      <c r="Z129" s="436"/>
    </row>
    <row r="130" ht="15.75" customHeight="1">
      <c r="A130" s="436">
        <v>132.0</v>
      </c>
      <c r="B130" s="436" t="s">
        <v>1841</v>
      </c>
      <c r="C130" s="541" t="s">
        <v>3854</v>
      </c>
      <c r="D130" s="436" t="s">
        <v>3987</v>
      </c>
      <c r="E130" s="436"/>
      <c r="F130" s="436"/>
      <c r="G130" s="436"/>
      <c r="H130" s="436"/>
      <c r="I130" s="436"/>
      <c r="J130" s="436"/>
      <c r="K130" s="436"/>
      <c r="L130" s="436"/>
      <c r="M130" s="436"/>
      <c r="N130" s="436"/>
      <c r="O130" s="436"/>
      <c r="P130" s="436"/>
      <c r="Q130" s="436"/>
      <c r="R130" s="436"/>
      <c r="S130" s="436"/>
      <c r="T130" s="436"/>
      <c r="U130" s="436"/>
      <c r="V130" s="436"/>
      <c r="W130" s="436"/>
      <c r="X130" s="436"/>
      <c r="Y130" s="436"/>
      <c r="Z130" s="436"/>
    </row>
    <row r="131" ht="15.75" customHeight="1">
      <c r="A131" s="436">
        <v>133.0</v>
      </c>
      <c r="B131" s="436" t="s">
        <v>1841</v>
      </c>
      <c r="C131" s="541" t="s">
        <v>3854</v>
      </c>
      <c r="D131" s="436" t="s">
        <v>3988</v>
      </c>
      <c r="E131" s="436"/>
      <c r="F131" s="436"/>
      <c r="G131" s="436"/>
      <c r="H131" s="436"/>
      <c r="I131" s="436"/>
      <c r="J131" s="436"/>
      <c r="K131" s="436"/>
      <c r="L131" s="436"/>
      <c r="M131" s="436"/>
      <c r="N131" s="436"/>
      <c r="O131" s="436"/>
      <c r="P131" s="436"/>
      <c r="Q131" s="436"/>
      <c r="R131" s="436"/>
      <c r="S131" s="436"/>
      <c r="T131" s="436"/>
      <c r="U131" s="436"/>
      <c r="V131" s="436"/>
      <c r="W131" s="436"/>
      <c r="X131" s="436"/>
      <c r="Y131" s="436"/>
      <c r="Z131" s="436"/>
    </row>
    <row r="132" ht="15.75" customHeight="1">
      <c r="A132" s="436">
        <v>134.0</v>
      </c>
      <c r="B132" s="436" t="s">
        <v>2677</v>
      </c>
      <c r="C132" s="546" t="s">
        <v>3860</v>
      </c>
      <c r="D132" s="436" t="s">
        <v>3989</v>
      </c>
      <c r="E132" s="436"/>
      <c r="F132" s="436"/>
      <c r="G132" s="436"/>
      <c r="H132" s="436"/>
      <c r="I132" s="436"/>
      <c r="J132" s="436"/>
      <c r="K132" s="436"/>
      <c r="L132" s="436"/>
      <c r="M132" s="436"/>
      <c r="N132" s="436"/>
      <c r="O132" s="436"/>
      <c r="P132" s="436"/>
      <c r="Q132" s="436"/>
      <c r="R132" s="436"/>
      <c r="S132" s="436"/>
      <c r="T132" s="436"/>
      <c r="U132" s="436"/>
      <c r="V132" s="436"/>
      <c r="W132" s="436"/>
      <c r="X132" s="436"/>
      <c r="Y132" s="436"/>
      <c r="Z132" s="436"/>
    </row>
    <row r="133" ht="15.75" customHeight="1">
      <c r="A133" s="436">
        <v>135.0</v>
      </c>
      <c r="B133" s="436" t="s">
        <v>2677</v>
      </c>
      <c r="C133" s="546" t="s">
        <v>3860</v>
      </c>
      <c r="D133" s="436" t="s">
        <v>3990</v>
      </c>
      <c r="E133" s="436"/>
      <c r="F133" s="436"/>
      <c r="G133" s="436"/>
      <c r="H133" s="436"/>
      <c r="I133" s="436"/>
      <c r="J133" s="436"/>
      <c r="K133" s="436"/>
      <c r="L133" s="436"/>
      <c r="M133" s="436"/>
      <c r="N133" s="436"/>
      <c r="O133" s="436"/>
      <c r="P133" s="436"/>
      <c r="Q133" s="436"/>
      <c r="R133" s="436"/>
      <c r="S133" s="436"/>
      <c r="T133" s="436"/>
      <c r="U133" s="436"/>
      <c r="V133" s="436"/>
      <c r="W133" s="436"/>
      <c r="X133" s="436"/>
      <c r="Y133" s="436"/>
      <c r="Z133" s="436"/>
    </row>
    <row r="134" ht="15.75" customHeight="1">
      <c r="A134" s="436">
        <v>136.0</v>
      </c>
      <c r="B134" s="436" t="s">
        <v>2677</v>
      </c>
      <c r="C134" s="546" t="s">
        <v>3860</v>
      </c>
      <c r="D134" s="436" t="s">
        <v>3991</v>
      </c>
      <c r="E134" s="436"/>
      <c r="F134" s="436"/>
      <c r="G134" s="436"/>
      <c r="H134" s="436"/>
      <c r="I134" s="436"/>
      <c r="J134" s="436"/>
      <c r="K134" s="436"/>
      <c r="L134" s="436"/>
      <c r="M134" s="436"/>
      <c r="N134" s="436"/>
      <c r="O134" s="436"/>
      <c r="P134" s="436"/>
      <c r="Q134" s="436"/>
      <c r="R134" s="436"/>
      <c r="S134" s="436"/>
      <c r="T134" s="436"/>
      <c r="U134" s="436"/>
      <c r="V134" s="436"/>
      <c r="W134" s="436"/>
      <c r="X134" s="436"/>
      <c r="Y134" s="436"/>
      <c r="Z134" s="436"/>
    </row>
    <row r="135" ht="15.75" customHeight="1">
      <c r="A135" s="436">
        <v>137.0</v>
      </c>
      <c r="B135" s="436" t="s">
        <v>1841</v>
      </c>
      <c r="C135" s="546" t="s">
        <v>3860</v>
      </c>
      <c r="D135" s="436" t="s">
        <v>3992</v>
      </c>
      <c r="E135" s="436"/>
      <c r="F135" s="436"/>
      <c r="G135" s="436"/>
      <c r="H135" s="436"/>
      <c r="I135" s="436"/>
      <c r="J135" s="436"/>
      <c r="K135" s="436"/>
      <c r="L135" s="436"/>
      <c r="M135" s="436"/>
      <c r="N135" s="436"/>
      <c r="O135" s="436"/>
      <c r="P135" s="436"/>
      <c r="Q135" s="436"/>
      <c r="R135" s="436"/>
      <c r="S135" s="436"/>
      <c r="T135" s="436"/>
      <c r="U135" s="436"/>
      <c r="V135" s="436"/>
      <c r="W135" s="436"/>
      <c r="X135" s="436"/>
      <c r="Y135" s="436"/>
      <c r="Z135" s="436"/>
    </row>
    <row r="136" ht="15.75" customHeight="1">
      <c r="A136" s="436">
        <v>138.0</v>
      </c>
      <c r="B136" s="436" t="s">
        <v>1841</v>
      </c>
      <c r="C136" s="541" t="s">
        <v>3854</v>
      </c>
      <c r="D136" s="436" t="s">
        <v>3993</v>
      </c>
      <c r="E136" s="436"/>
      <c r="F136" s="436"/>
      <c r="G136" s="436"/>
      <c r="H136" s="436"/>
      <c r="I136" s="436"/>
      <c r="J136" s="436"/>
      <c r="K136" s="436"/>
      <c r="L136" s="436"/>
      <c r="M136" s="436"/>
      <c r="N136" s="436"/>
      <c r="O136" s="436"/>
      <c r="P136" s="436"/>
      <c r="Q136" s="436"/>
      <c r="R136" s="436"/>
      <c r="S136" s="436"/>
      <c r="T136" s="436"/>
      <c r="U136" s="436"/>
      <c r="V136" s="436"/>
      <c r="W136" s="436"/>
      <c r="X136" s="436"/>
      <c r="Y136" s="436"/>
      <c r="Z136" s="436"/>
    </row>
    <row r="137" ht="15.75" customHeight="1">
      <c r="A137" s="436">
        <v>139.0</v>
      </c>
      <c r="B137" s="436" t="s">
        <v>2125</v>
      </c>
      <c r="C137" s="546" t="s">
        <v>3860</v>
      </c>
      <c r="D137" s="436" t="s">
        <v>3994</v>
      </c>
      <c r="E137" s="436"/>
      <c r="F137" s="436"/>
      <c r="G137" s="436"/>
      <c r="H137" s="436"/>
      <c r="I137" s="436"/>
      <c r="J137" s="436"/>
      <c r="K137" s="436"/>
      <c r="L137" s="436"/>
      <c r="M137" s="436"/>
      <c r="N137" s="436"/>
      <c r="O137" s="436"/>
      <c r="P137" s="436"/>
      <c r="Q137" s="436"/>
      <c r="R137" s="436"/>
      <c r="S137" s="436"/>
      <c r="T137" s="436"/>
      <c r="U137" s="436"/>
      <c r="V137" s="436"/>
      <c r="W137" s="436"/>
      <c r="X137" s="436"/>
      <c r="Y137" s="436"/>
      <c r="Z137" s="436"/>
    </row>
    <row r="138" ht="15.75" customHeight="1">
      <c r="A138" s="436">
        <v>140.0</v>
      </c>
      <c r="B138" s="436" t="s">
        <v>2125</v>
      </c>
      <c r="C138" s="546" t="s">
        <v>3860</v>
      </c>
      <c r="D138" s="436" t="s">
        <v>3995</v>
      </c>
      <c r="E138" s="436"/>
      <c r="F138" s="436"/>
      <c r="G138" s="436"/>
      <c r="H138" s="436"/>
      <c r="I138" s="436"/>
      <c r="J138" s="436"/>
      <c r="K138" s="436"/>
      <c r="L138" s="436"/>
      <c r="M138" s="436"/>
      <c r="N138" s="436"/>
      <c r="O138" s="436"/>
      <c r="P138" s="436"/>
      <c r="Q138" s="436"/>
      <c r="R138" s="436"/>
      <c r="S138" s="436"/>
      <c r="T138" s="436"/>
      <c r="U138" s="436"/>
      <c r="V138" s="436"/>
      <c r="W138" s="436"/>
      <c r="X138" s="436"/>
      <c r="Y138" s="436"/>
      <c r="Z138" s="436"/>
    </row>
    <row r="139" ht="15.75" customHeight="1">
      <c r="A139" s="436">
        <v>141.0</v>
      </c>
      <c r="B139" s="436" t="s">
        <v>2434</v>
      </c>
      <c r="C139" s="546" t="s">
        <v>3860</v>
      </c>
      <c r="D139" s="436" t="s">
        <v>3901</v>
      </c>
      <c r="E139" s="436"/>
      <c r="F139" s="436"/>
      <c r="G139" s="436"/>
      <c r="H139" s="436"/>
      <c r="I139" s="436"/>
      <c r="J139" s="436"/>
      <c r="K139" s="436"/>
      <c r="L139" s="436"/>
      <c r="M139" s="436"/>
      <c r="N139" s="436"/>
      <c r="O139" s="436"/>
      <c r="P139" s="436"/>
      <c r="Q139" s="436"/>
      <c r="R139" s="436"/>
      <c r="S139" s="436"/>
      <c r="T139" s="436"/>
      <c r="U139" s="436"/>
      <c r="V139" s="436"/>
      <c r="W139" s="436"/>
      <c r="X139" s="436"/>
      <c r="Y139" s="436"/>
      <c r="Z139" s="436"/>
    </row>
    <row r="140" ht="15.75" customHeight="1">
      <c r="A140" s="436">
        <v>142.0</v>
      </c>
      <c r="B140" s="436" t="s">
        <v>2434</v>
      </c>
      <c r="C140" s="546" t="s">
        <v>3860</v>
      </c>
      <c r="D140" s="436" t="s">
        <v>3996</v>
      </c>
      <c r="E140" s="436"/>
      <c r="F140" s="436"/>
      <c r="G140" s="436"/>
      <c r="H140" s="436"/>
      <c r="I140" s="436"/>
      <c r="J140" s="436"/>
      <c r="K140" s="436"/>
      <c r="L140" s="436"/>
      <c r="M140" s="436"/>
      <c r="N140" s="436"/>
      <c r="O140" s="436"/>
      <c r="P140" s="436"/>
      <c r="Q140" s="436"/>
      <c r="R140" s="436"/>
      <c r="S140" s="436"/>
      <c r="T140" s="436"/>
      <c r="U140" s="436"/>
      <c r="V140" s="436"/>
      <c r="W140" s="436"/>
      <c r="X140" s="436"/>
      <c r="Y140" s="436"/>
      <c r="Z140" s="436"/>
    </row>
    <row r="141" ht="15.75" customHeight="1">
      <c r="A141" s="436">
        <v>143.0</v>
      </c>
      <c r="B141" s="436" t="s">
        <v>2434</v>
      </c>
      <c r="C141" s="546" t="s">
        <v>3860</v>
      </c>
      <c r="D141" s="436" t="s">
        <v>3997</v>
      </c>
      <c r="E141" s="436"/>
      <c r="F141" s="436"/>
      <c r="G141" s="436"/>
      <c r="H141" s="436"/>
      <c r="I141" s="436"/>
      <c r="J141" s="436"/>
      <c r="K141" s="436"/>
      <c r="L141" s="436"/>
      <c r="M141" s="436"/>
      <c r="N141" s="436"/>
      <c r="O141" s="436"/>
      <c r="P141" s="436"/>
      <c r="Q141" s="436"/>
      <c r="R141" s="436"/>
      <c r="S141" s="436"/>
      <c r="T141" s="436"/>
      <c r="U141" s="436"/>
      <c r="V141" s="436"/>
      <c r="W141" s="436"/>
      <c r="X141" s="436"/>
      <c r="Y141" s="436"/>
      <c r="Z141" s="436"/>
    </row>
    <row r="142" ht="15.75" customHeight="1">
      <c r="A142" s="436">
        <v>144.0</v>
      </c>
      <c r="B142" s="436" t="s">
        <v>2434</v>
      </c>
      <c r="C142" s="546" t="s">
        <v>3860</v>
      </c>
      <c r="D142" s="436" t="s">
        <v>3899</v>
      </c>
      <c r="E142" s="436"/>
      <c r="F142" s="436"/>
      <c r="G142" s="436"/>
      <c r="H142" s="436"/>
      <c r="I142" s="436"/>
      <c r="J142" s="436"/>
      <c r="K142" s="436"/>
      <c r="L142" s="436"/>
      <c r="M142" s="436"/>
      <c r="N142" s="436"/>
      <c r="O142" s="436"/>
      <c r="P142" s="436"/>
      <c r="Q142" s="436"/>
      <c r="R142" s="436"/>
      <c r="S142" s="436"/>
      <c r="T142" s="436"/>
      <c r="U142" s="436"/>
      <c r="V142" s="436"/>
      <c r="W142" s="436"/>
      <c r="X142" s="436"/>
      <c r="Y142" s="436"/>
      <c r="Z142" s="436"/>
    </row>
    <row r="143" ht="15.75" customHeight="1">
      <c r="A143" s="436">
        <v>145.0</v>
      </c>
      <c r="B143" s="436" t="s">
        <v>2434</v>
      </c>
      <c r="C143" s="546" t="s">
        <v>3860</v>
      </c>
      <c r="D143" s="436" t="s">
        <v>3998</v>
      </c>
      <c r="E143" s="436"/>
      <c r="F143" s="436"/>
      <c r="G143" s="436"/>
      <c r="H143" s="436"/>
      <c r="I143" s="436"/>
      <c r="J143" s="436"/>
      <c r="K143" s="436"/>
      <c r="L143" s="436"/>
      <c r="M143" s="436"/>
      <c r="N143" s="436"/>
      <c r="O143" s="436"/>
      <c r="P143" s="436"/>
      <c r="Q143" s="436"/>
      <c r="R143" s="436"/>
      <c r="S143" s="436"/>
      <c r="T143" s="436"/>
      <c r="U143" s="436"/>
      <c r="V143" s="436"/>
      <c r="W143" s="436"/>
      <c r="X143" s="436"/>
      <c r="Y143" s="436"/>
      <c r="Z143" s="436"/>
    </row>
    <row r="144" ht="15.75" customHeight="1">
      <c r="A144" s="436">
        <v>146.0</v>
      </c>
      <c r="B144" s="436" t="s">
        <v>2434</v>
      </c>
      <c r="C144" s="546" t="s">
        <v>3860</v>
      </c>
      <c r="D144" s="436" t="s">
        <v>3901</v>
      </c>
      <c r="E144" s="436"/>
      <c r="F144" s="436"/>
      <c r="G144" s="436"/>
      <c r="H144" s="436"/>
      <c r="I144" s="436"/>
      <c r="J144" s="436"/>
      <c r="K144" s="436"/>
      <c r="L144" s="436"/>
      <c r="M144" s="436"/>
      <c r="N144" s="436"/>
      <c r="O144" s="436"/>
      <c r="P144" s="436"/>
      <c r="Q144" s="436"/>
      <c r="R144" s="436"/>
      <c r="S144" s="436"/>
      <c r="T144" s="436"/>
      <c r="U144" s="436"/>
      <c r="V144" s="436"/>
      <c r="W144" s="436"/>
      <c r="X144" s="436"/>
      <c r="Y144" s="436"/>
      <c r="Z144" s="436"/>
    </row>
    <row r="145" ht="15.75" customHeight="1">
      <c r="A145" s="436">
        <v>147.0</v>
      </c>
      <c r="B145" s="436" t="s">
        <v>1841</v>
      </c>
      <c r="C145" s="541" t="s">
        <v>3854</v>
      </c>
      <c r="D145" s="436" t="s">
        <v>3999</v>
      </c>
      <c r="E145" s="436"/>
      <c r="F145" s="436"/>
      <c r="G145" s="436"/>
      <c r="H145" s="436"/>
      <c r="I145" s="436"/>
      <c r="J145" s="436"/>
      <c r="K145" s="436"/>
      <c r="L145" s="436"/>
      <c r="M145" s="436"/>
      <c r="N145" s="436"/>
      <c r="O145" s="436"/>
      <c r="P145" s="436"/>
      <c r="Q145" s="436"/>
      <c r="R145" s="436"/>
      <c r="S145" s="436"/>
      <c r="T145" s="436"/>
      <c r="U145" s="436"/>
      <c r="V145" s="436"/>
      <c r="W145" s="436"/>
      <c r="X145" s="436"/>
      <c r="Y145" s="436"/>
      <c r="Z145" s="436"/>
    </row>
    <row r="146" ht="15.75" customHeight="1">
      <c r="A146" s="436">
        <v>148.0</v>
      </c>
      <c r="B146" s="436" t="s">
        <v>1841</v>
      </c>
      <c r="C146" s="541" t="s">
        <v>3854</v>
      </c>
      <c r="D146" s="436" t="s">
        <v>4000</v>
      </c>
      <c r="E146" s="436"/>
      <c r="F146" s="436"/>
      <c r="G146" s="436"/>
      <c r="H146" s="436"/>
      <c r="I146" s="436"/>
      <c r="J146" s="436"/>
      <c r="K146" s="436"/>
      <c r="L146" s="436"/>
      <c r="M146" s="436"/>
      <c r="N146" s="436"/>
      <c r="O146" s="436"/>
      <c r="P146" s="436"/>
      <c r="Q146" s="436"/>
      <c r="R146" s="436"/>
      <c r="S146" s="436"/>
      <c r="T146" s="436"/>
      <c r="U146" s="436"/>
      <c r="V146" s="436"/>
      <c r="W146" s="436"/>
      <c r="X146" s="436"/>
      <c r="Y146" s="436"/>
      <c r="Z146" s="436"/>
    </row>
    <row r="147" ht="15.75" customHeight="1">
      <c r="A147" s="436">
        <v>149.0</v>
      </c>
      <c r="B147" s="436" t="s">
        <v>1841</v>
      </c>
      <c r="C147" s="541" t="s">
        <v>3854</v>
      </c>
      <c r="D147" s="436" t="s">
        <v>4001</v>
      </c>
      <c r="E147" s="436"/>
      <c r="F147" s="436"/>
      <c r="G147" s="436"/>
      <c r="H147" s="436"/>
      <c r="I147" s="436"/>
      <c r="J147" s="436"/>
      <c r="K147" s="436"/>
      <c r="L147" s="436"/>
      <c r="M147" s="436"/>
      <c r="N147" s="436"/>
      <c r="O147" s="436"/>
      <c r="P147" s="436"/>
      <c r="Q147" s="436"/>
      <c r="R147" s="436"/>
      <c r="S147" s="436"/>
      <c r="T147" s="436"/>
      <c r="U147" s="436"/>
      <c r="V147" s="436"/>
      <c r="W147" s="436"/>
      <c r="X147" s="436"/>
      <c r="Y147" s="436"/>
      <c r="Z147" s="436"/>
    </row>
    <row r="148" ht="15.75" customHeight="1">
      <c r="A148" s="436">
        <v>150.0</v>
      </c>
      <c r="B148" s="436" t="s">
        <v>1841</v>
      </c>
      <c r="C148" s="541" t="s">
        <v>3854</v>
      </c>
      <c r="D148" s="436" t="s">
        <v>4002</v>
      </c>
      <c r="E148" s="436"/>
      <c r="F148" s="436"/>
      <c r="G148" s="436"/>
      <c r="H148" s="436"/>
      <c r="I148" s="436"/>
      <c r="J148" s="436"/>
      <c r="K148" s="436"/>
      <c r="L148" s="436"/>
      <c r="M148" s="436"/>
      <c r="N148" s="436"/>
      <c r="O148" s="436"/>
      <c r="P148" s="436"/>
      <c r="Q148" s="436"/>
      <c r="R148" s="436"/>
      <c r="S148" s="436"/>
      <c r="T148" s="436"/>
      <c r="U148" s="436"/>
      <c r="V148" s="436"/>
      <c r="W148" s="436"/>
      <c r="X148" s="436"/>
      <c r="Y148" s="436"/>
      <c r="Z148" s="436"/>
    </row>
    <row r="149" ht="15.75" customHeight="1">
      <c r="A149" s="436">
        <v>151.0</v>
      </c>
      <c r="B149" s="436" t="s">
        <v>1841</v>
      </c>
      <c r="C149" s="541" t="s">
        <v>3854</v>
      </c>
      <c r="D149" s="436" t="s">
        <v>4003</v>
      </c>
      <c r="E149" s="436"/>
      <c r="F149" s="436"/>
      <c r="G149" s="436"/>
      <c r="H149" s="436"/>
      <c r="I149" s="436"/>
      <c r="J149" s="436"/>
      <c r="K149" s="436"/>
      <c r="L149" s="436"/>
      <c r="M149" s="436"/>
      <c r="N149" s="436"/>
      <c r="O149" s="436"/>
      <c r="P149" s="436"/>
      <c r="Q149" s="436"/>
      <c r="R149" s="436"/>
      <c r="S149" s="436"/>
      <c r="T149" s="436"/>
      <c r="U149" s="436"/>
      <c r="V149" s="436"/>
      <c r="W149" s="436"/>
      <c r="X149" s="436"/>
      <c r="Y149" s="436"/>
      <c r="Z149" s="436"/>
    </row>
    <row r="150" ht="15.75" customHeight="1">
      <c r="A150" s="436">
        <v>152.0</v>
      </c>
      <c r="B150" s="436" t="s">
        <v>1841</v>
      </c>
      <c r="C150" s="541" t="s">
        <v>3854</v>
      </c>
      <c r="D150" s="436" t="s">
        <v>4004</v>
      </c>
      <c r="E150" s="436"/>
      <c r="F150" s="436"/>
      <c r="G150" s="436"/>
      <c r="H150" s="436"/>
      <c r="I150" s="436"/>
      <c r="J150" s="436"/>
      <c r="K150" s="436"/>
      <c r="L150" s="436"/>
      <c r="M150" s="436"/>
      <c r="N150" s="436"/>
      <c r="O150" s="436"/>
      <c r="P150" s="436"/>
      <c r="Q150" s="436"/>
      <c r="R150" s="436"/>
      <c r="S150" s="436"/>
      <c r="T150" s="436"/>
      <c r="U150" s="436"/>
      <c r="V150" s="436"/>
      <c r="W150" s="436"/>
      <c r="X150" s="436"/>
      <c r="Y150" s="436"/>
      <c r="Z150" s="436"/>
    </row>
    <row r="151" ht="15.75" customHeight="1">
      <c r="A151" s="436">
        <v>153.0</v>
      </c>
      <c r="B151" s="436" t="s">
        <v>2677</v>
      </c>
      <c r="C151" s="546" t="s">
        <v>3860</v>
      </c>
      <c r="D151" s="436" t="s">
        <v>4005</v>
      </c>
      <c r="E151" s="436"/>
      <c r="F151" s="436"/>
      <c r="G151" s="436"/>
      <c r="H151" s="436"/>
      <c r="I151" s="436"/>
      <c r="J151" s="436"/>
      <c r="K151" s="436"/>
      <c r="L151" s="436"/>
      <c r="M151" s="436"/>
      <c r="N151" s="436"/>
      <c r="O151" s="436"/>
      <c r="P151" s="436"/>
      <c r="Q151" s="436"/>
      <c r="R151" s="436"/>
      <c r="S151" s="436"/>
      <c r="T151" s="436"/>
      <c r="U151" s="436"/>
      <c r="V151" s="436"/>
      <c r="W151" s="436"/>
      <c r="X151" s="436"/>
      <c r="Y151" s="436"/>
      <c r="Z151" s="436"/>
    </row>
    <row r="152" ht="15.75" customHeight="1">
      <c r="A152" s="436">
        <v>154.0</v>
      </c>
      <c r="B152" s="436" t="s">
        <v>2125</v>
      </c>
      <c r="C152" s="546" t="s">
        <v>3860</v>
      </c>
      <c r="D152" s="436" t="s">
        <v>4006</v>
      </c>
      <c r="E152" s="436"/>
      <c r="F152" s="436"/>
      <c r="G152" s="436"/>
      <c r="H152" s="436"/>
      <c r="I152" s="436"/>
      <c r="J152" s="436"/>
      <c r="K152" s="436"/>
      <c r="L152" s="436"/>
      <c r="M152" s="436"/>
      <c r="N152" s="436"/>
      <c r="O152" s="436"/>
      <c r="P152" s="436"/>
      <c r="Q152" s="436"/>
      <c r="R152" s="436"/>
      <c r="S152" s="436"/>
      <c r="T152" s="436"/>
      <c r="U152" s="436"/>
      <c r="V152" s="436"/>
      <c r="W152" s="436"/>
      <c r="X152" s="436"/>
      <c r="Y152" s="436"/>
      <c r="Z152" s="436"/>
    </row>
    <row r="153" ht="15.75" customHeight="1">
      <c r="A153" s="436">
        <v>155.0</v>
      </c>
      <c r="B153" s="436" t="s">
        <v>1841</v>
      </c>
      <c r="C153" s="546" t="s">
        <v>3860</v>
      </c>
      <c r="D153" s="436" t="s">
        <v>4007</v>
      </c>
      <c r="E153" s="436"/>
      <c r="F153" s="436"/>
      <c r="G153" s="436"/>
      <c r="H153" s="436"/>
      <c r="I153" s="436"/>
      <c r="J153" s="436"/>
      <c r="K153" s="436"/>
      <c r="L153" s="436"/>
      <c r="M153" s="436"/>
      <c r="N153" s="436"/>
      <c r="O153" s="436"/>
      <c r="P153" s="436"/>
      <c r="Q153" s="436"/>
      <c r="R153" s="436"/>
      <c r="S153" s="436"/>
      <c r="T153" s="436"/>
      <c r="U153" s="436"/>
      <c r="V153" s="436"/>
      <c r="W153" s="436"/>
      <c r="X153" s="436"/>
      <c r="Y153" s="436"/>
      <c r="Z153" s="436"/>
    </row>
    <row r="154" ht="15.75" customHeight="1">
      <c r="A154" s="436">
        <v>156.0</v>
      </c>
      <c r="B154" s="436" t="s">
        <v>1841</v>
      </c>
      <c r="C154" s="546" t="s">
        <v>3860</v>
      </c>
      <c r="D154" s="436" t="s">
        <v>4008</v>
      </c>
      <c r="E154" s="436"/>
      <c r="F154" s="436"/>
      <c r="G154" s="436"/>
      <c r="H154" s="436"/>
      <c r="I154" s="436"/>
      <c r="J154" s="436"/>
      <c r="K154" s="436"/>
      <c r="L154" s="436"/>
      <c r="M154" s="436"/>
      <c r="N154" s="436"/>
      <c r="O154" s="436"/>
      <c r="P154" s="436"/>
      <c r="Q154" s="436"/>
      <c r="R154" s="436"/>
      <c r="S154" s="436"/>
      <c r="T154" s="436"/>
      <c r="U154" s="436"/>
      <c r="V154" s="436"/>
      <c r="W154" s="436"/>
      <c r="X154" s="436"/>
      <c r="Y154" s="436"/>
      <c r="Z154" s="436"/>
    </row>
    <row r="155" ht="15.75" customHeight="1">
      <c r="A155" s="436">
        <v>157.0</v>
      </c>
      <c r="B155" s="436" t="s">
        <v>1841</v>
      </c>
      <c r="C155" s="546" t="s">
        <v>3860</v>
      </c>
      <c r="D155" s="436" t="s">
        <v>4009</v>
      </c>
      <c r="E155" s="436"/>
      <c r="F155" s="436"/>
      <c r="G155" s="436"/>
      <c r="H155" s="436"/>
      <c r="I155" s="436"/>
      <c r="J155" s="436"/>
      <c r="K155" s="436"/>
      <c r="L155" s="436"/>
      <c r="M155" s="436"/>
      <c r="N155" s="436"/>
      <c r="O155" s="436"/>
      <c r="P155" s="436"/>
      <c r="Q155" s="436"/>
      <c r="R155" s="436"/>
      <c r="S155" s="436"/>
      <c r="T155" s="436"/>
      <c r="U155" s="436"/>
      <c r="V155" s="436"/>
      <c r="W155" s="436"/>
      <c r="X155" s="436"/>
      <c r="Y155" s="436"/>
      <c r="Z155" s="436"/>
    </row>
    <row r="156" ht="15.75" customHeight="1">
      <c r="A156" s="436">
        <v>158.0</v>
      </c>
      <c r="B156" s="436"/>
      <c r="C156" s="546"/>
      <c r="D156" s="436"/>
      <c r="E156" s="436"/>
      <c r="F156" s="436"/>
      <c r="G156" s="436"/>
      <c r="H156" s="436"/>
      <c r="I156" s="436"/>
      <c r="J156" s="436"/>
      <c r="K156" s="436"/>
      <c r="L156" s="436"/>
      <c r="M156" s="436"/>
      <c r="N156" s="436"/>
      <c r="O156" s="436"/>
      <c r="P156" s="436"/>
      <c r="Q156" s="436"/>
      <c r="R156" s="436"/>
      <c r="S156" s="436"/>
      <c r="T156" s="436"/>
      <c r="U156" s="436"/>
      <c r="V156" s="436"/>
      <c r="W156" s="436"/>
      <c r="X156" s="436"/>
      <c r="Y156" s="436"/>
      <c r="Z156" s="436"/>
    </row>
    <row r="157" ht="15.75" customHeight="1">
      <c r="A157" s="436">
        <v>159.0</v>
      </c>
      <c r="B157" s="436" t="s">
        <v>1841</v>
      </c>
      <c r="C157" s="546" t="s">
        <v>3860</v>
      </c>
      <c r="D157" s="436" t="s">
        <v>4010</v>
      </c>
      <c r="E157" s="436"/>
      <c r="F157" s="436"/>
      <c r="G157" s="436"/>
      <c r="H157" s="436"/>
      <c r="I157" s="436"/>
      <c r="J157" s="436"/>
      <c r="K157" s="436"/>
      <c r="L157" s="436"/>
      <c r="M157" s="436"/>
      <c r="N157" s="436"/>
      <c r="O157" s="436"/>
      <c r="P157" s="436"/>
      <c r="Q157" s="436"/>
      <c r="R157" s="436"/>
      <c r="S157" s="436"/>
      <c r="T157" s="436"/>
      <c r="U157" s="436"/>
      <c r="V157" s="436"/>
      <c r="W157" s="436"/>
      <c r="X157" s="436"/>
      <c r="Y157" s="436"/>
      <c r="Z157" s="436"/>
    </row>
    <row r="158" ht="15.75" customHeight="1">
      <c r="A158" s="436">
        <v>160.0</v>
      </c>
      <c r="B158" s="436" t="s">
        <v>1841</v>
      </c>
      <c r="C158" s="546" t="s">
        <v>3860</v>
      </c>
      <c r="D158" s="436" t="s">
        <v>4011</v>
      </c>
      <c r="E158" s="436"/>
      <c r="F158" s="436"/>
      <c r="G158" s="436"/>
      <c r="H158" s="436"/>
      <c r="I158" s="436"/>
      <c r="J158" s="436"/>
      <c r="K158" s="436"/>
      <c r="L158" s="436"/>
      <c r="M158" s="436"/>
      <c r="N158" s="436"/>
      <c r="O158" s="436"/>
      <c r="P158" s="436"/>
      <c r="Q158" s="436"/>
      <c r="R158" s="436"/>
      <c r="S158" s="436"/>
      <c r="T158" s="436"/>
      <c r="U158" s="436"/>
      <c r="V158" s="436"/>
      <c r="W158" s="436"/>
      <c r="X158" s="436"/>
      <c r="Y158" s="436"/>
      <c r="Z158" s="436"/>
    </row>
    <row r="159" ht="15.75" customHeight="1">
      <c r="A159" s="436">
        <v>161.0</v>
      </c>
      <c r="B159" s="436" t="s">
        <v>1841</v>
      </c>
      <c r="C159" s="541" t="s">
        <v>3854</v>
      </c>
      <c r="D159" s="436" t="s">
        <v>4012</v>
      </c>
      <c r="E159" s="436"/>
      <c r="F159" s="436"/>
      <c r="G159" s="436"/>
      <c r="H159" s="436"/>
      <c r="I159" s="436"/>
      <c r="J159" s="436"/>
      <c r="K159" s="436"/>
      <c r="L159" s="436"/>
      <c r="M159" s="436"/>
      <c r="N159" s="436"/>
      <c r="O159" s="436"/>
      <c r="P159" s="436"/>
      <c r="Q159" s="436"/>
      <c r="R159" s="436"/>
      <c r="S159" s="436"/>
      <c r="T159" s="436"/>
      <c r="U159" s="436"/>
      <c r="V159" s="436"/>
      <c r="W159" s="436"/>
      <c r="X159" s="436"/>
      <c r="Y159" s="436"/>
      <c r="Z159" s="436"/>
    </row>
    <row r="160" ht="15.75" customHeight="1">
      <c r="A160" s="436">
        <v>162.0</v>
      </c>
      <c r="B160" s="436" t="s">
        <v>2125</v>
      </c>
      <c r="C160" s="546" t="s">
        <v>3860</v>
      </c>
      <c r="D160" s="436" t="s">
        <v>4013</v>
      </c>
      <c r="E160" s="436"/>
      <c r="F160" s="436"/>
      <c r="G160" s="436"/>
      <c r="H160" s="436"/>
      <c r="I160" s="436"/>
      <c r="J160" s="436"/>
      <c r="K160" s="436"/>
      <c r="L160" s="436"/>
      <c r="M160" s="436"/>
      <c r="N160" s="436"/>
      <c r="O160" s="436"/>
      <c r="P160" s="436"/>
      <c r="Q160" s="436"/>
      <c r="R160" s="436"/>
      <c r="S160" s="436"/>
      <c r="T160" s="436"/>
      <c r="U160" s="436"/>
      <c r="V160" s="436"/>
      <c r="W160" s="436"/>
      <c r="X160" s="436"/>
      <c r="Y160" s="436"/>
      <c r="Z160" s="436"/>
    </row>
    <row r="161" ht="15.75" customHeight="1">
      <c r="A161" s="436">
        <v>163.0</v>
      </c>
      <c r="B161" s="436" t="s">
        <v>1841</v>
      </c>
      <c r="C161" s="546" t="s">
        <v>3860</v>
      </c>
      <c r="D161" s="436" t="s">
        <v>4014</v>
      </c>
      <c r="E161" s="436"/>
      <c r="F161" s="436"/>
      <c r="G161" s="436"/>
      <c r="H161" s="436"/>
      <c r="I161" s="436"/>
      <c r="J161" s="436"/>
      <c r="K161" s="436"/>
      <c r="L161" s="436"/>
      <c r="M161" s="436"/>
      <c r="N161" s="436"/>
      <c r="O161" s="436"/>
      <c r="P161" s="436"/>
      <c r="Q161" s="436"/>
      <c r="R161" s="436"/>
      <c r="S161" s="436"/>
      <c r="T161" s="436"/>
      <c r="U161" s="436"/>
      <c r="V161" s="436"/>
      <c r="W161" s="436"/>
      <c r="X161" s="436"/>
      <c r="Y161" s="436"/>
      <c r="Z161" s="436"/>
    </row>
    <row r="162" ht="15.75" customHeight="1">
      <c r="A162" s="436">
        <v>164.0</v>
      </c>
      <c r="B162" s="436" t="s">
        <v>2099</v>
      </c>
      <c r="C162" s="546" t="s">
        <v>3860</v>
      </c>
      <c r="D162" s="436" t="s">
        <v>4015</v>
      </c>
      <c r="E162" s="436"/>
      <c r="F162" s="436"/>
      <c r="G162" s="436"/>
      <c r="H162" s="436"/>
      <c r="I162" s="436"/>
      <c r="J162" s="436"/>
      <c r="K162" s="436"/>
      <c r="L162" s="436"/>
      <c r="M162" s="436"/>
      <c r="N162" s="436"/>
      <c r="O162" s="436"/>
      <c r="P162" s="436"/>
      <c r="Q162" s="436"/>
      <c r="R162" s="436"/>
      <c r="S162" s="436"/>
      <c r="T162" s="436"/>
      <c r="U162" s="436"/>
      <c r="V162" s="436"/>
      <c r="W162" s="436"/>
      <c r="X162" s="436"/>
      <c r="Y162" s="436"/>
      <c r="Z162" s="436"/>
    </row>
    <row r="163" ht="15.75" customHeight="1">
      <c r="A163" s="436">
        <v>165.0</v>
      </c>
      <c r="B163" s="436" t="s">
        <v>2099</v>
      </c>
      <c r="C163" s="546" t="s">
        <v>3860</v>
      </c>
      <c r="D163" s="436" t="s">
        <v>4016</v>
      </c>
      <c r="E163" s="436"/>
      <c r="F163" s="436"/>
      <c r="G163" s="436"/>
      <c r="H163" s="436"/>
      <c r="I163" s="436"/>
      <c r="J163" s="436"/>
      <c r="K163" s="436"/>
      <c r="L163" s="436"/>
      <c r="M163" s="436"/>
      <c r="N163" s="436"/>
      <c r="O163" s="436"/>
      <c r="P163" s="436"/>
      <c r="Q163" s="436"/>
      <c r="R163" s="436"/>
      <c r="S163" s="436"/>
      <c r="T163" s="436"/>
      <c r="U163" s="436"/>
      <c r="V163" s="436"/>
      <c r="W163" s="436"/>
      <c r="X163" s="436"/>
      <c r="Y163" s="436"/>
      <c r="Z163" s="436"/>
    </row>
    <row r="164" ht="15.75" customHeight="1">
      <c r="A164" s="436">
        <v>166.0</v>
      </c>
      <c r="B164" s="436" t="s">
        <v>2099</v>
      </c>
      <c r="C164" s="546" t="s">
        <v>3860</v>
      </c>
      <c r="D164" s="436" t="s">
        <v>4017</v>
      </c>
      <c r="E164" s="436"/>
      <c r="F164" s="436"/>
      <c r="G164" s="436"/>
      <c r="H164" s="436"/>
      <c r="I164" s="436"/>
      <c r="J164" s="436"/>
      <c r="K164" s="436"/>
      <c r="L164" s="436"/>
      <c r="M164" s="436"/>
      <c r="N164" s="436"/>
      <c r="O164" s="436"/>
      <c r="P164" s="436"/>
      <c r="Q164" s="436"/>
      <c r="R164" s="436"/>
      <c r="S164" s="436"/>
      <c r="T164" s="436"/>
      <c r="U164" s="436"/>
      <c r="V164" s="436"/>
      <c r="W164" s="436"/>
      <c r="X164" s="436"/>
      <c r="Y164" s="436"/>
      <c r="Z164" s="436"/>
    </row>
    <row r="165" ht="15.75" customHeight="1">
      <c r="A165" s="436">
        <v>167.0</v>
      </c>
      <c r="B165" s="436" t="s">
        <v>2125</v>
      </c>
      <c r="C165" s="546" t="s">
        <v>3860</v>
      </c>
      <c r="D165" s="436" t="s">
        <v>4018</v>
      </c>
      <c r="E165" s="436"/>
      <c r="F165" s="436"/>
      <c r="G165" s="436"/>
      <c r="H165" s="436"/>
      <c r="I165" s="436"/>
      <c r="J165" s="436"/>
      <c r="K165" s="436"/>
      <c r="L165" s="436"/>
      <c r="M165" s="436"/>
      <c r="N165" s="436"/>
      <c r="O165" s="436"/>
      <c r="P165" s="436"/>
      <c r="Q165" s="436"/>
      <c r="R165" s="436"/>
      <c r="S165" s="436"/>
      <c r="T165" s="436"/>
      <c r="U165" s="436"/>
      <c r="V165" s="436"/>
      <c r="W165" s="436"/>
      <c r="X165" s="436"/>
      <c r="Y165" s="436"/>
      <c r="Z165" s="436"/>
    </row>
    <row r="166" ht="15.75" customHeight="1">
      <c r="A166" s="436">
        <v>168.0</v>
      </c>
      <c r="B166" s="436" t="s">
        <v>2462</v>
      </c>
      <c r="C166" s="541" t="s">
        <v>3854</v>
      </c>
      <c r="D166" s="436" t="s">
        <v>4019</v>
      </c>
      <c r="E166" s="436"/>
      <c r="F166" s="436"/>
      <c r="G166" s="436"/>
      <c r="H166" s="436"/>
      <c r="I166" s="436"/>
      <c r="J166" s="436"/>
      <c r="K166" s="436"/>
      <c r="L166" s="436"/>
      <c r="M166" s="436"/>
      <c r="N166" s="436"/>
      <c r="O166" s="436"/>
      <c r="P166" s="436"/>
      <c r="Q166" s="436"/>
      <c r="R166" s="436"/>
      <c r="S166" s="436"/>
      <c r="T166" s="436"/>
      <c r="U166" s="436"/>
      <c r="V166" s="436"/>
      <c r="W166" s="436"/>
      <c r="X166" s="436"/>
      <c r="Y166" s="436"/>
      <c r="Z166" s="436"/>
    </row>
    <row r="167" ht="15.75" customHeight="1">
      <c r="A167" s="436">
        <v>169.0</v>
      </c>
      <c r="B167" s="436" t="s">
        <v>2462</v>
      </c>
      <c r="C167" s="546"/>
      <c r="D167" s="436" t="s">
        <v>4020</v>
      </c>
      <c r="E167" s="436"/>
      <c r="F167" s="436"/>
      <c r="G167" s="436"/>
      <c r="H167" s="436"/>
      <c r="I167" s="436"/>
      <c r="J167" s="436"/>
      <c r="K167" s="436"/>
      <c r="L167" s="436"/>
      <c r="M167" s="436"/>
      <c r="N167" s="436"/>
      <c r="O167" s="436"/>
      <c r="P167" s="436"/>
      <c r="Q167" s="436"/>
      <c r="R167" s="436"/>
      <c r="S167" s="436"/>
      <c r="T167" s="436"/>
      <c r="U167" s="436"/>
      <c r="V167" s="436"/>
      <c r="W167" s="436"/>
      <c r="X167" s="436"/>
      <c r="Y167" s="436"/>
      <c r="Z167" s="436"/>
    </row>
    <row r="168" ht="15.75" customHeight="1">
      <c r="A168" s="436">
        <v>170.0</v>
      </c>
      <c r="B168" s="436" t="s">
        <v>2462</v>
      </c>
      <c r="C168" s="546"/>
      <c r="D168" s="436" t="s">
        <v>4021</v>
      </c>
      <c r="E168" s="436"/>
      <c r="F168" s="436"/>
      <c r="G168" s="436"/>
      <c r="H168" s="436"/>
      <c r="I168" s="436"/>
      <c r="J168" s="436"/>
      <c r="K168" s="436"/>
      <c r="L168" s="436"/>
      <c r="M168" s="436"/>
      <c r="N168" s="436"/>
      <c r="O168" s="436"/>
      <c r="P168" s="436"/>
      <c r="Q168" s="436"/>
      <c r="R168" s="436"/>
      <c r="S168" s="436"/>
      <c r="T168" s="436"/>
      <c r="U168" s="436"/>
      <c r="V168" s="436"/>
      <c r="W168" s="436"/>
      <c r="X168" s="436"/>
      <c r="Y168" s="436"/>
      <c r="Z168" s="436"/>
    </row>
    <row r="169" ht="15.75" customHeight="1">
      <c r="A169" s="436">
        <v>171.0</v>
      </c>
      <c r="B169" s="436" t="s">
        <v>2462</v>
      </c>
      <c r="C169" s="546"/>
      <c r="D169" s="436" t="s">
        <v>4022</v>
      </c>
      <c r="E169" s="436"/>
      <c r="F169" s="436"/>
      <c r="G169" s="436"/>
      <c r="H169" s="436"/>
      <c r="I169" s="436"/>
      <c r="J169" s="436"/>
      <c r="K169" s="436"/>
      <c r="L169" s="436"/>
      <c r="M169" s="436"/>
      <c r="N169" s="436"/>
      <c r="O169" s="436"/>
      <c r="P169" s="436"/>
      <c r="Q169" s="436"/>
      <c r="R169" s="436"/>
      <c r="S169" s="436"/>
      <c r="T169" s="436"/>
      <c r="U169" s="436"/>
      <c r="V169" s="436"/>
      <c r="W169" s="436"/>
      <c r="X169" s="436"/>
      <c r="Y169" s="436"/>
      <c r="Z169" s="436"/>
    </row>
    <row r="170" ht="15.75" customHeight="1">
      <c r="A170" s="436">
        <v>172.0</v>
      </c>
      <c r="B170" s="436" t="s">
        <v>2462</v>
      </c>
      <c r="C170" s="546"/>
      <c r="D170" s="436" t="s">
        <v>4023</v>
      </c>
      <c r="E170" s="436"/>
      <c r="F170" s="436"/>
      <c r="G170" s="436"/>
      <c r="H170" s="436"/>
      <c r="I170" s="436"/>
      <c r="J170" s="436"/>
      <c r="K170" s="436"/>
      <c r="L170" s="436"/>
      <c r="M170" s="436"/>
      <c r="N170" s="436"/>
      <c r="O170" s="436"/>
      <c r="P170" s="436"/>
      <c r="Q170" s="436"/>
      <c r="R170" s="436"/>
      <c r="S170" s="436"/>
      <c r="T170" s="436"/>
      <c r="U170" s="436"/>
      <c r="V170" s="436"/>
      <c r="W170" s="436"/>
      <c r="X170" s="436"/>
      <c r="Y170" s="436"/>
      <c r="Z170" s="436"/>
    </row>
    <row r="171" ht="15.75" customHeight="1">
      <c r="A171" s="436">
        <v>173.0</v>
      </c>
      <c r="B171" s="436" t="s">
        <v>1849</v>
      </c>
      <c r="C171" s="546"/>
      <c r="D171" s="436" t="s">
        <v>4024</v>
      </c>
      <c r="E171" s="436"/>
      <c r="F171" s="436"/>
      <c r="G171" s="436"/>
      <c r="H171" s="436"/>
      <c r="I171" s="436"/>
      <c r="J171" s="436"/>
      <c r="K171" s="436"/>
      <c r="L171" s="436"/>
      <c r="M171" s="436"/>
      <c r="N171" s="436"/>
      <c r="O171" s="436"/>
      <c r="P171" s="436"/>
      <c r="Q171" s="436"/>
      <c r="R171" s="436"/>
      <c r="S171" s="436"/>
      <c r="T171" s="436"/>
      <c r="U171" s="436"/>
      <c r="V171" s="436"/>
      <c r="W171" s="436"/>
      <c r="X171" s="436"/>
      <c r="Y171" s="436"/>
      <c r="Z171" s="436"/>
    </row>
    <row r="172" ht="15.75" customHeight="1">
      <c r="A172" s="436">
        <v>174.0</v>
      </c>
      <c r="B172" s="436" t="s">
        <v>2462</v>
      </c>
      <c r="C172" s="546" t="s">
        <v>3860</v>
      </c>
      <c r="D172" s="436" t="s">
        <v>4025</v>
      </c>
      <c r="E172" s="436"/>
      <c r="F172" s="436"/>
      <c r="G172" s="436"/>
      <c r="H172" s="436"/>
      <c r="I172" s="436"/>
      <c r="J172" s="436"/>
      <c r="K172" s="436"/>
      <c r="L172" s="436"/>
      <c r="M172" s="436"/>
      <c r="N172" s="436"/>
      <c r="O172" s="436"/>
      <c r="P172" s="436"/>
      <c r="Q172" s="436"/>
      <c r="R172" s="436"/>
      <c r="S172" s="436"/>
      <c r="T172" s="436"/>
      <c r="U172" s="436"/>
      <c r="V172" s="436"/>
      <c r="W172" s="436"/>
      <c r="X172" s="436"/>
      <c r="Y172" s="436"/>
      <c r="Z172" s="436"/>
    </row>
    <row r="173" ht="15.75" customHeight="1">
      <c r="A173" s="436">
        <v>175.0</v>
      </c>
      <c r="B173" s="436" t="s">
        <v>2462</v>
      </c>
      <c r="C173" s="546" t="s">
        <v>3860</v>
      </c>
      <c r="D173" s="436" t="s">
        <v>4026</v>
      </c>
      <c r="E173" s="436"/>
      <c r="F173" s="436"/>
      <c r="G173" s="436"/>
      <c r="H173" s="436"/>
      <c r="I173" s="436"/>
      <c r="J173" s="436"/>
      <c r="K173" s="436"/>
      <c r="L173" s="436"/>
      <c r="M173" s="436"/>
      <c r="N173" s="436"/>
      <c r="O173" s="436"/>
      <c r="P173" s="436"/>
      <c r="Q173" s="436"/>
      <c r="R173" s="436"/>
      <c r="S173" s="436"/>
      <c r="T173" s="436"/>
      <c r="U173" s="436"/>
      <c r="V173" s="436"/>
      <c r="W173" s="436"/>
      <c r="X173" s="436"/>
      <c r="Y173" s="436"/>
      <c r="Z173" s="436"/>
    </row>
    <row r="174" ht="15.75" customHeight="1">
      <c r="A174" s="436">
        <v>176.0</v>
      </c>
      <c r="B174" s="436" t="s">
        <v>2462</v>
      </c>
      <c r="C174" s="546" t="s">
        <v>3860</v>
      </c>
      <c r="D174" s="436" t="s">
        <v>4027</v>
      </c>
      <c r="E174" s="436"/>
      <c r="F174" s="436"/>
      <c r="G174" s="436"/>
      <c r="H174" s="436"/>
      <c r="I174" s="436"/>
      <c r="J174" s="436"/>
      <c r="K174" s="436"/>
      <c r="L174" s="436"/>
      <c r="M174" s="436"/>
      <c r="N174" s="436"/>
      <c r="O174" s="436"/>
      <c r="P174" s="436"/>
      <c r="Q174" s="436"/>
      <c r="R174" s="436"/>
      <c r="S174" s="436"/>
      <c r="T174" s="436"/>
      <c r="U174" s="436"/>
      <c r="V174" s="436"/>
      <c r="W174" s="436"/>
      <c r="X174" s="436"/>
      <c r="Y174" s="436"/>
      <c r="Z174" s="436"/>
    </row>
    <row r="175" ht="15.75" customHeight="1">
      <c r="A175" s="436">
        <v>177.0</v>
      </c>
      <c r="B175" s="436" t="s">
        <v>2462</v>
      </c>
      <c r="C175" s="541" t="s">
        <v>3854</v>
      </c>
      <c r="D175" s="436" t="s">
        <v>4028</v>
      </c>
      <c r="E175" s="436"/>
      <c r="F175" s="436"/>
      <c r="G175" s="436"/>
      <c r="H175" s="436"/>
      <c r="I175" s="436"/>
      <c r="J175" s="436"/>
      <c r="K175" s="436"/>
      <c r="L175" s="436"/>
      <c r="M175" s="436"/>
      <c r="N175" s="436"/>
      <c r="O175" s="436"/>
      <c r="P175" s="436"/>
      <c r="Q175" s="436"/>
      <c r="R175" s="436"/>
      <c r="S175" s="436"/>
      <c r="T175" s="436"/>
      <c r="U175" s="436"/>
      <c r="V175" s="436"/>
      <c r="W175" s="436"/>
      <c r="X175" s="436"/>
      <c r="Y175" s="436"/>
      <c r="Z175" s="436"/>
    </row>
    <row r="176" ht="15.75" customHeight="1">
      <c r="A176" s="436">
        <v>178.0</v>
      </c>
      <c r="B176" s="436" t="s">
        <v>2462</v>
      </c>
      <c r="C176" s="546"/>
      <c r="D176" s="436" t="s">
        <v>4029</v>
      </c>
      <c r="E176" s="436"/>
      <c r="F176" s="436"/>
      <c r="G176" s="436"/>
      <c r="H176" s="436"/>
      <c r="I176" s="436"/>
      <c r="J176" s="436"/>
      <c r="K176" s="436"/>
      <c r="L176" s="436"/>
      <c r="M176" s="436"/>
      <c r="N176" s="436"/>
      <c r="O176" s="436"/>
      <c r="P176" s="436"/>
      <c r="Q176" s="436"/>
      <c r="R176" s="436"/>
      <c r="S176" s="436"/>
      <c r="T176" s="436"/>
      <c r="U176" s="436"/>
      <c r="V176" s="436"/>
      <c r="W176" s="436"/>
      <c r="X176" s="436"/>
      <c r="Y176" s="436"/>
      <c r="Z176" s="436"/>
    </row>
    <row r="177" ht="15.75" customHeight="1">
      <c r="A177" s="436">
        <v>179.0</v>
      </c>
      <c r="B177" s="436" t="s">
        <v>2125</v>
      </c>
      <c r="C177" s="546"/>
      <c r="D177" s="436" t="s">
        <v>4030</v>
      </c>
      <c r="E177" s="436"/>
      <c r="F177" s="436"/>
      <c r="G177" s="436"/>
      <c r="H177" s="436"/>
      <c r="I177" s="436"/>
      <c r="J177" s="436"/>
      <c r="K177" s="436"/>
      <c r="L177" s="436"/>
      <c r="M177" s="436"/>
      <c r="N177" s="436"/>
      <c r="O177" s="436"/>
      <c r="P177" s="436"/>
      <c r="Q177" s="436"/>
      <c r="R177" s="436"/>
      <c r="S177" s="436"/>
      <c r="T177" s="436"/>
      <c r="U177" s="436"/>
      <c r="V177" s="436"/>
      <c r="W177" s="436"/>
      <c r="X177" s="436"/>
      <c r="Y177" s="436"/>
      <c r="Z177" s="436"/>
    </row>
    <row r="178" ht="15.75" customHeight="1">
      <c r="A178" s="436">
        <v>180.0</v>
      </c>
      <c r="B178" s="436" t="s">
        <v>2125</v>
      </c>
      <c r="C178" s="546"/>
      <c r="D178" s="436" t="s">
        <v>4031</v>
      </c>
      <c r="E178" s="436"/>
      <c r="F178" s="436"/>
      <c r="G178" s="436"/>
      <c r="H178" s="436"/>
      <c r="I178" s="436"/>
      <c r="J178" s="436"/>
      <c r="K178" s="436"/>
      <c r="L178" s="436"/>
      <c r="M178" s="436"/>
      <c r="N178" s="436"/>
      <c r="O178" s="436"/>
      <c r="P178" s="436"/>
      <c r="Q178" s="436"/>
      <c r="R178" s="436"/>
      <c r="S178" s="436"/>
      <c r="T178" s="436"/>
      <c r="U178" s="436"/>
      <c r="V178" s="436"/>
      <c r="W178" s="436"/>
      <c r="X178" s="436"/>
      <c r="Y178" s="436"/>
      <c r="Z178" s="436"/>
    </row>
    <row r="179" ht="15.75" customHeight="1">
      <c r="A179" s="436">
        <f t="shared" ref="A179:A188" si="1">A178+1</f>
        <v>181</v>
      </c>
      <c r="B179" s="436" t="s">
        <v>1849</v>
      </c>
      <c r="C179" s="546" t="s">
        <v>3860</v>
      </c>
      <c r="D179" s="436" t="s">
        <v>4032</v>
      </c>
      <c r="E179" s="436"/>
      <c r="F179" s="436"/>
      <c r="G179" s="436"/>
      <c r="H179" s="436"/>
      <c r="I179" s="436"/>
      <c r="J179" s="436"/>
      <c r="K179" s="436"/>
      <c r="L179" s="436"/>
      <c r="M179" s="436"/>
      <c r="N179" s="436"/>
      <c r="O179" s="436"/>
      <c r="P179" s="436"/>
      <c r="Q179" s="436"/>
      <c r="R179" s="436"/>
      <c r="S179" s="436"/>
      <c r="T179" s="436"/>
      <c r="U179" s="436"/>
      <c r="V179" s="436"/>
      <c r="W179" s="436"/>
      <c r="X179" s="436"/>
      <c r="Y179" s="436"/>
      <c r="Z179" s="436"/>
    </row>
    <row r="180" ht="15.75" customHeight="1">
      <c r="A180" s="436">
        <f t="shared" si="1"/>
        <v>182</v>
      </c>
      <c r="B180" s="436" t="s">
        <v>1849</v>
      </c>
      <c r="C180" s="546" t="s">
        <v>3860</v>
      </c>
      <c r="D180" s="436" t="s">
        <v>4033</v>
      </c>
      <c r="E180" s="436"/>
      <c r="F180" s="436"/>
      <c r="G180" s="436"/>
      <c r="H180" s="436"/>
      <c r="I180" s="436"/>
      <c r="J180" s="436"/>
      <c r="K180" s="436"/>
      <c r="L180" s="436"/>
      <c r="M180" s="436"/>
      <c r="N180" s="436"/>
      <c r="O180" s="436"/>
      <c r="P180" s="436"/>
      <c r="Q180" s="436"/>
      <c r="R180" s="436"/>
      <c r="S180" s="436"/>
      <c r="T180" s="436"/>
      <c r="U180" s="436"/>
      <c r="V180" s="436"/>
      <c r="W180" s="436"/>
      <c r="X180" s="436"/>
      <c r="Y180" s="436"/>
      <c r="Z180" s="436"/>
    </row>
    <row r="181" ht="15.75" customHeight="1">
      <c r="A181" s="436">
        <f t="shared" si="1"/>
        <v>183</v>
      </c>
      <c r="B181" s="436" t="s">
        <v>1849</v>
      </c>
      <c r="C181" s="546" t="s">
        <v>3860</v>
      </c>
      <c r="D181" s="436" t="s">
        <v>4034</v>
      </c>
      <c r="E181" s="436"/>
      <c r="F181" s="436"/>
      <c r="G181" s="436"/>
      <c r="H181" s="436"/>
      <c r="I181" s="436"/>
      <c r="J181" s="436"/>
      <c r="K181" s="436"/>
      <c r="L181" s="436"/>
      <c r="M181" s="436"/>
      <c r="N181" s="436"/>
      <c r="O181" s="436"/>
      <c r="P181" s="436"/>
      <c r="Q181" s="436"/>
      <c r="R181" s="436"/>
      <c r="S181" s="436"/>
      <c r="T181" s="436"/>
      <c r="U181" s="436"/>
      <c r="V181" s="436"/>
      <c r="W181" s="436"/>
      <c r="X181" s="436"/>
      <c r="Y181" s="436"/>
      <c r="Z181" s="436"/>
    </row>
    <row r="182" ht="15.75" customHeight="1">
      <c r="A182" s="436">
        <f t="shared" si="1"/>
        <v>184</v>
      </c>
      <c r="B182" s="436" t="s">
        <v>1849</v>
      </c>
      <c r="C182" s="546" t="s">
        <v>3860</v>
      </c>
      <c r="D182" s="436" t="s">
        <v>4035</v>
      </c>
      <c r="E182" s="436"/>
      <c r="F182" s="436"/>
      <c r="G182" s="436"/>
      <c r="H182" s="436"/>
      <c r="I182" s="436"/>
      <c r="J182" s="436"/>
      <c r="K182" s="436"/>
      <c r="L182" s="436"/>
      <c r="M182" s="436"/>
      <c r="N182" s="436"/>
      <c r="O182" s="436"/>
      <c r="P182" s="436"/>
      <c r="Q182" s="436"/>
      <c r="R182" s="436"/>
      <c r="S182" s="436"/>
      <c r="T182" s="436"/>
      <c r="U182" s="436"/>
      <c r="V182" s="436"/>
      <c r="W182" s="436"/>
      <c r="X182" s="436"/>
      <c r="Y182" s="436"/>
      <c r="Z182" s="436"/>
    </row>
    <row r="183" ht="15.75" customHeight="1">
      <c r="A183" s="436">
        <f t="shared" si="1"/>
        <v>185</v>
      </c>
      <c r="B183" s="436" t="s">
        <v>2462</v>
      </c>
      <c r="C183" s="541" t="s">
        <v>3854</v>
      </c>
      <c r="D183" s="436" t="s">
        <v>4036</v>
      </c>
      <c r="E183" s="436"/>
      <c r="F183" s="436"/>
      <c r="G183" s="436"/>
      <c r="H183" s="436"/>
      <c r="I183" s="436"/>
      <c r="J183" s="436"/>
      <c r="K183" s="436"/>
      <c r="L183" s="436"/>
      <c r="M183" s="436"/>
      <c r="N183" s="436"/>
      <c r="O183" s="436"/>
      <c r="P183" s="436"/>
      <c r="Q183" s="436"/>
      <c r="R183" s="436"/>
      <c r="S183" s="436"/>
      <c r="T183" s="436"/>
      <c r="U183" s="436"/>
      <c r="V183" s="436"/>
      <c r="W183" s="436"/>
      <c r="X183" s="436"/>
      <c r="Y183" s="436"/>
      <c r="Z183" s="436"/>
    </row>
    <row r="184" ht="15.75" customHeight="1">
      <c r="A184" s="436">
        <f t="shared" si="1"/>
        <v>186</v>
      </c>
      <c r="B184" s="436" t="s">
        <v>1849</v>
      </c>
      <c r="C184" s="546" t="s">
        <v>3860</v>
      </c>
      <c r="D184" s="436" t="s">
        <v>4037</v>
      </c>
      <c r="E184" s="436"/>
      <c r="F184" s="436"/>
      <c r="G184" s="436"/>
      <c r="H184" s="436"/>
      <c r="I184" s="436"/>
      <c r="J184" s="436"/>
      <c r="K184" s="436"/>
      <c r="L184" s="436"/>
      <c r="M184" s="436"/>
      <c r="N184" s="436"/>
      <c r="O184" s="436"/>
      <c r="P184" s="436"/>
      <c r="Q184" s="436"/>
      <c r="R184" s="436"/>
      <c r="S184" s="436"/>
      <c r="T184" s="436"/>
      <c r="U184" s="436"/>
      <c r="V184" s="436"/>
      <c r="W184" s="436"/>
      <c r="X184" s="436"/>
      <c r="Y184" s="436"/>
      <c r="Z184" s="436"/>
    </row>
    <row r="185" ht="15.75" customHeight="1">
      <c r="A185" s="436">
        <f t="shared" si="1"/>
        <v>187</v>
      </c>
      <c r="B185" s="436" t="s">
        <v>2677</v>
      </c>
      <c r="C185" s="546" t="s">
        <v>3860</v>
      </c>
      <c r="D185" s="436" t="s">
        <v>4038</v>
      </c>
      <c r="E185" s="436"/>
      <c r="F185" s="436"/>
      <c r="G185" s="436"/>
      <c r="H185" s="436"/>
      <c r="I185" s="436"/>
      <c r="J185" s="436"/>
      <c r="K185" s="436"/>
      <c r="L185" s="436"/>
      <c r="M185" s="436"/>
      <c r="N185" s="436"/>
      <c r="O185" s="436"/>
      <c r="P185" s="436"/>
      <c r="Q185" s="436"/>
      <c r="R185" s="436"/>
      <c r="S185" s="436"/>
      <c r="T185" s="436"/>
      <c r="U185" s="436"/>
      <c r="V185" s="436"/>
      <c r="W185" s="436"/>
      <c r="X185" s="436"/>
      <c r="Y185" s="436"/>
      <c r="Z185" s="436"/>
    </row>
    <row r="186" ht="15.75" customHeight="1">
      <c r="A186" s="436">
        <f t="shared" si="1"/>
        <v>188</v>
      </c>
      <c r="B186" s="436" t="s">
        <v>2677</v>
      </c>
      <c r="C186" s="546" t="s">
        <v>3860</v>
      </c>
      <c r="D186" s="436" t="s">
        <v>4039</v>
      </c>
      <c r="E186" s="436"/>
      <c r="F186" s="436"/>
      <c r="G186" s="436"/>
      <c r="H186" s="436"/>
      <c r="I186" s="436"/>
      <c r="J186" s="436"/>
      <c r="K186" s="436"/>
      <c r="L186" s="436"/>
      <c r="M186" s="436"/>
      <c r="N186" s="436"/>
      <c r="O186" s="436"/>
      <c r="P186" s="436"/>
      <c r="Q186" s="436"/>
      <c r="R186" s="436"/>
      <c r="S186" s="436"/>
      <c r="T186" s="436"/>
      <c r="U186" s="436"/>
      <c r="V186" s="436"/>
      <c r="W186" s="436"/>
      <c r="X186" s="436"/>
      <c r="Y186" s="436"/>
      <c r="Z186" s="436"/>
    </row>
    <row r="187" ht="15.75" customHeight="1">
      <c r="A187" s="436">
        <f t="shared" si="1"/>
        <v>189</v>
      </c>
      <c r="B187" s="436" t="s">
        <v>2677</v>
      </c>
      <c r="C187" s="546" t="s">
        <v>3860</v>
      </c>
      <c r="D187" s="436" t="s">
        <v>4040</v>
      </c>
      <c r="E187" s="436"/>
      <c r="F187" s="436"/>
      <c r="G187" s="436"/>
      <c r="H187" s="436"/>
      <c r="I187" s="436"/>
      <c r="J187" s="436"/>
      <c r="K187" s="436"/>
      <c r="L187" s="436"/>
      <c r="M187" s="436"/>
      <c r="N187" s="436"/>
      <c r="O187" s="436"/>
      <c r="P187" s="436"/>
      <c r="Q187" s="436"/>
      <c r="R187" s="436"/>
      <c r="S187" s="436"/>
      <c r="T187" s="436"/>
      <c r="U187" s="436"/>
      <c r="V187" s="436"/>
      <c r="W187" s="436"/>
      <c r="X187" s="436"/>
      <c r="Y187" s="436"/>
      <c r="Z187" s="436"/>
    </row>
    <row r="188" ht="15.75" customHeight="1">
      <c r="A188" s="436">
        <f t="shared" si="1"/>
        <v>190</v>
      </c>
      <c r="B188" s="436" t="s">
        <v>1849</v>
      </c>
      <c r="C188" s="541" t="s">
        <v>3854</v>
      </c>
      <c r="D188" s="436" t="s">
        <v>4041</v>
      </c>
      <c r="E188" s="436"/>
      <c r="F188" s="436"/>
      <c r="G188" s="436"/>
      <c r="H188" s="436"/>
      <c r="I188" s="436"/>
      <c r="J188" s="436"/>
      <c r="K188" s="436"/>
      <c r="L188" s="436"/>
      <c r="M188" s="436"/>
      <c r="N188" s="436"/>
      <c r="O188" s="436"/>
      <c r="P188" s="436"/>
      <c r="Q188" s="436"/>
      <c r="R188" s="436"/>
      <c r="S188" s="436"/>
      <c r="T188" s="436"/>
      <c r="U188" s="436"/>
      <c r="V188" s="436"/>
      <c r="W188" s="436"/>
      <c r="X188" s="436"/>
      <c r="Y188" s="436"/>
      <c r="Z188" s="436"/>
    </row>
    <row r="189" ht="15.75" customHeight="1">
      <c r="A189" s="436">
        <v>191.0</v>
      </c>
      <c r="B189" s="436" t="s">
        <v>1849</v>
      </c>
      <c r="C189" s="546" t="s">
        <v>3860</v>
      </c>
      <c r="D189" s="436" t="s">
        <v>4042</v>
      </c>
      <c r="E189" s="436"/>
      <c r="F189" s="436"/>
      <c r="G189" s="436"/>
      <c r="H189" s="436"/>
      <c r="I189" s="436"/>
      <c r="J189" s="436"/>
      <c r="K189" s="436"/>
      <c r="L189" s="436"/>
      <c r="M189" s="436"/>
      <c r="N189" s="436"/>
      <c r="O189" s="436"/>
      <c r="P189" s="436"/>
      <c r="Q189" s="436"/>
      <c r="R189" s="436"/>
      <c r="S189" s="436"/>
      <c r="T189" s="436"/>
      <c r="U189" s="436"/>
      <c r="V189" s="436"/>
      <c r="W189" s="436"/>
      <c r="X189" s="436"/>
      <c r="Y189" s="436"/>
      <c r="Z189" s="436"/>
    </row>
    <row r="190" ht="15.75" customHeight="1">
      <c r="A190" s="436">
        <v>192.0</v>
      </c>
      <c r="B190" s="436" t="s">
        <v>1849</v>
      </c>
      <c r="C190" s="546" t="s">
        <v>3860</v>
      </c>
      <c r="D190" s="436" t="s">
        <v>4043</v>
      </c>
      <c r="E190" s="436"/>
      <c r="F190" s="436"/>
      <c r="G190" s="436"/>
      <c r="H190" s="436"/>
      <c r="I190" s="436"/>
      <c r="J190" s="436"/>
      <c r="K190" s="436"/>
      <c r="L190" s="436"/>
      <c r="M190" s="436"/>
      <c r="N190" s="436"/>
      <c r="O190" s="436"/>
      <c r="P190" s="436"/>
      <c r="Q190" s="436"/>
      <c r="R190" s="436"/>
      <c r="S190" s="436"/>
      <c r="T190" s="436"/>
      <c r="U190" s="436"/>
      <c r="V190" s="436"/>
      <c r="W190" s="436"/>
      <c r="X190" s="436"/>
      <c r="Y190" s="436"/>
      <c r="Z190" s="436"/>
    </row>
    <row r="191" ht="15.75" customHeight="1">
      <c r="A191" s="436">
        <v>193.0</v>
      </c>
      <c r="B191" s="436" t="s">
        <v>1849</v>
      </c>
      <c r="C191" s="546" t="s">
        <v>3860</v>
      </c>
      <c r="D191" s="436" t="s">
        <v>4044</v>
      </c>
      <c r="E191" s="436"/>
      <c r="F191" s="436"/>
      <c r="G191" s="436"/>
      <c r="H191" s="436"/>
      <c r="I191" s="436"/>
      <c r="J191" s="436"/>
      <c r="K191" s="436"/>
      <c r="L191" s="436"/>
      <c r="M191" s="436"/>
      <c r="N191" s="436"/>
      <c r="O191" s="436"/>
      <c r="P191" s="436"/>
      <c r="Q191" s="436"/>
      <c r="R191" s="436"/>
      <c r="S191" s="436"/>
      <c r="T191" s="436"/>
      <c r="U191" s="436"/>
      <c r="V191" s="436"/>
      <c r="W191" s="436"/>
      <c r="X191" s="436"/>
      <c r="Y191" s="436"/>
      <c r="Z191" s="436"/>
    </row>
    <row r="192" ht="15.75" customHeight="1">
      <c r="A192" s="436">
        <v>194.0</v>
      </c>
      <c r="B192" s="436" t="s">
        <v>1849</v>
      </c>
      <c r="C192" s="546" t="s">
        <v>3860</v>
      </c>
      <c r="D192" s="436" t="s">
        <v>4045</v>
      </c>
      <c r="E192" s="436"/>
      <c r="F192" s="436"/>
      <c r="G192" s="436"/>
      <c r="H192" s="436"/>
      <c r="I192" s="436"/>
      <c r="J192" s="436"/>
      <c r="K192" s="436"/>
      <c r="L192" s="436"/>
      <c r="M192" s="436"/>
      <c r="N192" s="436"/>
      <c r="O192" s="436"/>
      <c r="P192" s="436"/>
      <c r="Q192" s="436"/>
      <c r="R192" s="436"/>
      <c r="S192" s="436"/>
      <c r="T192" s="436"/>
      <c r="U192" s="436"/>
      <c r="V192" s="436"/>
      <c r="W192" s="436"/>
      <c r="X192" s="436"/>
      <c r="Y192" s="436"/>
      <c r="Z192" s="436"/>
    </row>
    <row r="193" ht="15.75" customHeight="1">
      <c r="A193" s="436">
        <v>195.0</v>
      </c>
      <c r="B193" s="436" t="s">
        <v>1849</v>
      </c>
      <c r="C193" s="546" t="s">
        <v>3860</v>
      </c>
      <c r="D193" s="436" t="s">
        <v>4046</v>
      </c>
      <c r="E193" s="436"/>
      <c r="F193" s="436"/>
      <c r="G193" s="436"/>
      <c r="H193" s="436"/>
      <c r="I193" s="436"/>
      <c r="J193" s="436"/>
      <c r="K193" s="436"/>
      <c r="L193" s="436"/>
      <c r="M193" s="436"/>
      <c r="N193" s="436"/>
      <c r="O193" s="436"/>
      <c r="P193" s="436"/>
      <c r="Q193" s="436"/>
      <c r="R193" s="436"/>
      <c r="S193" s="436"/>
      <c r="T193" s="436"/>
      <c r="U193" s="436"/>
      <c r="V193" s="436"/>
      <c r="W193" s="436"/>
      <c r="X193" s="436"/>
      <c r="Y193" s="436"/>
      <c r="Z193" s="436"/>
    </row>
    <row r="194" ht="15.75" customHeight="1">
      <c r="A194" s="436">
        <v>196.0</v>
      </c>
      <c r="B194" s="436" t="s">
        <v>2581</v>
      </c>
      <c r="C194" s="541" t="s">
        <v>3854</v>
      </c>
      <c r="D194" s="436" t="s">
        <v>4047</v>
      </c>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row>
    <row r="195" ht="15.75" customHeight="1">
      <c r="A195" s="436">
        <v>197.0</v>
      </c>
      <c r="B195" s="436" t="s">
        <v>1849</v>
      </c>
      <c r="C195" s="546" t="s">
        <v>3860</v>
      </c>
      <c r="D195" s="436" t="s">
        <v>4048</v>
      </c>
      <c r="E195" s="436"/>
      <c r="F195" s="436"/>
      <c r="G195" s="436"/>
      <c r="H195" s="436"/>
      <c r="I195" s="436"/>
      <c r="J195" s="436"/>
      <c r="K195" s="436"/>
      <c r="L195" s="436"/>
      <c r="M195" s="436"/>
      <c r="N195" s="436"/>
      <c r="O195" s="436"/>
      <c r="P195" s="436"/>
      <c r="Q195" s="436"/>
      <c r="R195" s="436"/>
      <c r="S195" s="436"/>
      <c r="T195" s="436"/>
      <c r="U195" s="436"/>
      <c r="V195" s="436"/>
      <c r="W195" s="436"/>
      <c r="X195" s="436"/>
      <c r="Y195" s="436"/>
      <c r="Z195" s="436"/>
    </row>
    <row r="196" ht="15.75" customHeight="1">
      <c r="A196" s="436">
        <v>198.0</v>
      </c>
      <c r="B196" s="436" t="s">
        <v>2677</v>
      </c>
      <c r="C196" s="546" t="s">
        <v>3860</v>
      </c>
      <c r="D196" s="436" t="s">
        <v>4049</v>
      </c>
      <c r="E196" s="436"/>
      <c r="F196" s="436"/>
      <c r="G196" s="436"/>
      <c r="H196" s="436"/>
      <c r="I196" s="436"/>
      <c r="J196" s="436"/>
      <c r="K196" s="436"/>
      <c r="L196" s="436"/>
      <c r="M196" s="436"/>
      <c r="N196" s="436"/>
      <c r="O196" s="436"/>
      <c r="P196" s="436"/>
      <c r="Q196" s="436"/>
      <c r="R196" s="436"/>
      <c r="S196" s="436"/>
      <c r="T196" s="436"/>
      <c r="U196" s="436"/>
      <c r="V196" s="436"/>
      <c r="W196" s="436"/>
      <c r="X196" s="436"/>
      <c r="Y196" s="436"/>
      <c r="Z196" s="436"/>
    </row>
    <row r="197" ht="15.75" customHeight="1">
      <c r="A197" s="436">
        <v>199.0</v>
      </c>
      <c r="B197" s="436" t="s">
        <v>2677</v>
      </c>
      <c r="C197" s="546" t="s">
        <v>3860</v>
      </c>
      <c r="D197" s="436" t="s">
        <v>4050</v>
      </c>
      <c r="E197" s="436"/>
      <c r="F197" s="436"/>
      <c r="G197" s="436"/>
      <c r="H197" s="436"/>
      <c r="I197" s="436"/>
      <c r="J197" s="436"/>
      <c r="K197" s="436"/>
      <c r="L197" s="436"/>
      <c r="M197" s="436"/>
      <c r="N197" s="436"/>
      <c r="O197" s="436"/>
      <c r="P197" s="436"/>
      <c r="Q197" s="436"/>
      <c r="R197" s="436"/>
      <c r="S197" s="436"/>
      <c r="T197" s="436"/>
      <c r="U197" s="436"/>
      <c r="V197" s="436"/>
      <c r="W197" s="436"/>
      <c r="X197" s="436"/>
      <c r="Y197" s="436"/>
      <c r="Z197" s="436"/>
    </row>
    <row r="198" ht="15.75" customHeight="1">
      <c r="A198" s="436">
        <v>200.0</v>
      </c>
      <c r="B198" s="436" t="s">
        <v>2677</v>
      </c>
      <c r="C198" s="546" t="s">
        <v>3860</v>
      </c>
      <c r="D198" s="436" t="s">
        <v>4051</v>
      </c>
      <c r="E198" s="436"/>
      <c r="F198" s="436"/>
      <c r="G198" s="436"/>
      <c r="H198" s="436"/>
      <c r="I198" s="436"/>
      <c r="J198" s="436"/>
      <c r="K198" s="436"/>
      <c r="L198" s="436"/>
      <c r="M198" s="436"/>
      <c r="N198" s="436"/>
      <c r="O198" s="436"/>
      <c r="P198" s="436"/>
      <c r="Q198" s="436"/>
      <c r="R198" s="436"/>
      <c r="S198" s="436"/>
      <c r="T198" s="436"/>
      <c r="U198" s="436"/>
      <c r="V198" s="436"/>
      <c r="W198" s="436"/>
      <c r="X198" s="436"/>
      <c r="Y198" s="436"/>
      <c r="Z198" s="436"/>
    </row>
    <row r="199" ht="15.75" customHeight="1">
      <c r="A199" s="436">
        <v>201.0</v>
      </c>
      <c r="B199" s="436" t="s">
        <v>2379</v>
      </c>
      <c r="C199" s="546" t="s">
        <v>3860</v>
      </c>
      <c r="D199" s="436" t="s">
        <v>4052</v>
      </c>
      <c r="E199" s="436"/>
      <c r="F199" s="436"/>
      <c r="G199" s="436"/>
      <c r="H199" s="436"/>
      <c r="I199" s="436"/>
      <c r="J199" s="436"/>
      <c r="K199" s="436"/>
      <c r="L199" s="436"/>
      <c r="M199" s="436"/>
      <c r="N199" s="436"/>
      <c r="O199" s="436"/>
      <c r="P199" s="436"/>
      <c r="Q199" s="436"/>
      <c r="R199" s="436"/>
      <c r="S199" s="436"/>
      <c r="T199" s="436"/>
      <c r="U199" s="436"/>
      <c r="V199" s="436"/>
      <c r="W199" s="436"/>
      <c r="X199" s="436"/>
      <c r="Y199" s="436"/>
      <c r="Z199" s="436"/>
    </row>
    <row r="200" ht="15.75" customHeight="1">
      <c r="A200" s="436">
        <v>202.0</v>
      </c>
      <c r="B200" s="436" t="s">
        <v>2379</v>
      </c>
      <c r="C200" s="546" t="s">
        <v>3860</v>
      </c>
      <c r="D200" s="436" t="s">
        <v>4053</v>
      </c>
      <c r="E200" s="436"/>
      <c r="F200" s="436"/>
      <c r="G200" s="436"/>
      <c r="H200" s="436"/>
      <c r="I200" s="436"/>
      <c r="J200" s="436"/>
      <c r="K200" s="436"/>
      <c r="L200" s="436"/>
      <c r="M200" s="436"/>
      <c r="N200" s="436"/>
      <c r="O200" s="436"/>
      <c r="P200" s="436"/>
      <c r="Q200" s="436"/>
      <c r="R200" s="436"/>
      <c r="S200" s="436"/>
      <c r="T200" s="436"/>
      <c r="U200" s="436"/>
      <c r="V200" s="436"/>
      <c r="W200" s="436"/>
      <c r="X200" s="436"/>
      <c r="Y200" s="436"/>
      <c r="Z200" s="436"/>
    </row>
    <row r="201" ht="15.75" customHeight="1">
      <c r="A201" s="436">
        <v>203.0</v>
      </c>
      <c r="B201" s="436" t="s">
        <v>2379</v>
      </c>
      <c r="C201" s="546" t="s">
        <v>3860</v>
      </c>
      <c r="D201" s="436" t="s">
        <v>4054</v>
      </c>
      <c r="E201" s="436"/>
      <c r="F201" s="436"/>
      <c r="G201" s="436"/>
      <c r="H201" s="436"/>
      <c r="I201" s="436"/>
      <c r="J201" s="436"/>
      <c r="K201" s="436"/>
      <c r="L201" s="436"/>
      <c r="M201" s="436"/>
      <c r="N201" s="436"/>
      <c r="O201" s="436"/>
      <c r="P201" s="436"/>
      <c r="Q201" s="436"/>
      <c r="R201" s="436"/>
      <c r="S201" s="436"/>
      <c r="T201" s="436"/>
      <c r="U201" s="436"/>
      <c r="V201" s="436"/>
      <c r="W201" s="436"/>
      <c r="X201" s="436"/>
      <c r="Y201" s="436"/>
      <c r="Z201" s="436"/>
    </row>
    <row r="202" ht="15.75" customHeight="1">
      <c r="A202" s="436">
        <v>204.0</v>
      </c>
      <c r="B202" s="436" t="s">
        <v>2677</v>
      </c>
      <c r="C202" s="546" t="s">
        <v>3860</v>
      </c>
      <c r="D202" s="436" t="s">
        <v>4055</v>
      </c>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row>
    <row r="203" ht="15.75" customHeight="1">
      <c r="A203" s="436">
        <v>205.0</v>
      </c>
      <c r="B203" s="436" t="s">
        <v>2379</v>
      </c>
      <c r="C203" s="546" t="s">
        <v>3860</v>
      </c>
      <c r="D203" s="436" t="s">
        <v>4056</v>
      </c>
      <c r="E203" s="436"/>
      <c r="F203" s="436"/>
      <c r="G203" s="436"/>
      <c r="H203" s="436"/>
      <c r="I203" s="436"/>
      <c r="J203" s="436"/>
      <c r="K203" s="436"/>
      <c r="L203" s="436"/>
      <c r="M203" s="436"/>
      <c r="N203" s="436"/>
      <c r="O203" s="436"/>
      <c r="P203" s="436"/>
      <c r="Q203" s="436"/>
      <c r="R203" s="436"/>
      <c r="S203" s="436"/>
      <c r="T203" s="436"/>
      <c r="U203" s="436"/>
      <c r="V203" s="436"/>
      <c r="W203" s="436"/>
      <c r="X203" s="436"/>
      <c r="Y203" s="436"/>
      <c r="Z203" s="436"/>
    </row>
    <row r="204" ht="15.75" customHeight="1">
      <c r="A204" s="436">
        <v>206.0</v>
      </c>
      <c r="B204" s="436" t="s">
        <v>2379</v>
      </c>
      <c r="C204" s="541" t="s">
        <v>3854</v>
      </c>
      <c r="D204" s="436" t="s">
        <v>4057</v>
      </c>
      <c r="E204" s="436"/>
      <c r="F204" s="436"/>
      <c r="G204" s="436"/>
      <c r="H204" s="436"/>
      <c r="I204" s="436"/>
      <c r="J204" s="436"/>
      <c r="K204" s="436"/>
      <c r="L204" s="436"/>
      <c r="M204" s="436"/>
      <c r="N204" s="436"/>
      <c r="O204" s="436"/>
      <c r="P204" s="436"/>
      <c r="Q204" s="436"/>
      <c r="R204" s="436"/>
      <c r="S204" s="436"/>
      <c r="T204" s="436"/>
      <c r="U204" s="436"/>
      <c r="V204" s="436"/>
      <c r="W204" s="436"/>
      <c r="X204" s="436"/>
      <c r="Y204" s="436"/>
      <c r="Z204" s="436"/>
    </row>
    <row r="205" ht="15.75" customHeight="1">
      <c r="A205" s="436">
        <v>207.0</v>
      </c>
      <c r="B205" s="436" t="s">
        <v>2677</v>
      </c>
      <c r="C205" s="541" t="s">
        <v>3854</v>
      </c>
      <c r="D205" s="436" t="s">
        <v>4058</v>
      </c>
      <c r="E205" s="436"/>
      <c r="F205" s="436"/>
      <c r="G205" s="436"/>
      <c r="H205" s="436"/>
      <c r="I205" s="436"/>
      <c r="J205" s="436"/>
      <c r="K205" s="436"/>
      <c r="L205" s="436"/>
      <c r="M205" s="436"/>
      <c r="N205" s="436"/>
      <c r="O205" s="436"/>
      <c r="P205" s="436"/>
      <c r="Q205" s="436"/>
      <c r="R205" s="436"/>
      <c r="S205" s="436"/>
      <c r="T205" s="436"/>
      <c r="U205" s="436"/>
      <c r="V205" s="436"/>
      <c r="W205" s="436"/>
      <c r="X205" s="436"/>
      <c r="Y205" s="436"/>
      <c r="Z205" s="436"/>
    </row>
    <row r="206" ht="15.75" customHeight="1">
      <c r="A206" s="436">
        <v>208.0</v>
      </c>
      <c r="B206" s="436" t="s">
        <v>2677</v>
      </c>
      <c r="C206" s="541" t="s">
        <v>3854</v>
      </c>
      <c r="D206" s="436" t="s">
        <v>4059</v>
      </c>
      <c r="E206" s="436"/>
      <c r="F206" s="436"/>
      <c r="G206" s="436"/>
      <c r="H206" s="436"/>
      <c r="I206" s="436"/>
      <c r="J206" s="436"/>
      <c r="K206" s="436"/>
      <c r="L206" s="436"/>
      <c r="M206" s="436"/>
      <c r="N206" s="436"/>
      <c r="O206" s="436"/>
      <c r="P206" s="436"/>
      <c r="Q206" s="436"/>
      <c r="R206" s="436"/>
      <c r="S206" s="436"/>
      <c r="T206" s="436"/>
      <c r="U206" s="436"/>
      <c r="V206" s="436"/>
      <c r="W206" s="436"/>
      <c r="X206" s="436"/>
      <c r="Y206" s="436"/>
      <c r="Z206" s="436"/>
    </row>
    <row r="207" ht="15.75" customHeight="1">
      <c r="A207" s="436">
        <v>209.0</v>
      </c>
      <c r="B207" s="436" t="s">
        <v>2677</v>
      </c>
      <c r="C207" s="541" t="s">
        <v>3854</v>
      </c>
      <c r="D207" s="436" t="s">
        <v>4060</v>
      </c>
      <c r="E207" s="436"/>
      <c r="F207" s="436"/>
      <c r="G207" s="436"/>
      <c r="H207" s="436"/>
      <c r="I207" s="436"/>
      <c r="J207" s="436"/>
      <c r="K207" s="436"/>
      <c r="L207" s="436"/>
      <c r="M207" s="436"/>
      <c r="N207" s="436"/>
      <c r="O207" s="436"/>
      <c r="P207" s="436"/>
      <c r="Q207" s="436"/>
      <c r="R207" s="436"/>
      <c r="S207" s="436"/>
      <c r="T207" s="436"/>
      <c r="U207" s="436"/>
      <c r="V207" s="436"/>
      <c r="W207" s="436"/>
      <c r="X207" s="436"/>
      <c r="Y207" s="436"/>
      <c r="Z207" s="436"/>
    </row>
    <row r="208" ht="15.75" customHeight="1">
      <c r="A208" s="436">
        <v>210.0</v>
      </c>
      <c r="B208" s="436" t="s">
        <v>2677</v>
      </c>
      <c r="C208" s="541" t="s">
        <v>3854</v>
      </c>
      <c r="D208" s="436" t="s">
        <v>4061</v>
      </c>
      <c r="E208" s="436"/>
      <c r="F208" s="436"/>
      <c r="G208" s="436"/>
      <c r="H208" s="436"/>
      <c r="I208" s="436"/>
      <c r="J208" s="436"/>
      <c r="K208" s="436"/>
      <c r="L208" s="436"/>
      <c r="M208" s="436"/>
      <c r="N208" s="436"/>
      <c r="O208" s="436"/>
      <c r="P208" s="436"/>
      <c r="Q208" s="436"/>
      <c r="R208" s="436"/>
      <c r="S208" s="436"/>
      <c r="T208" s="436"/>
      <c r="U208" s="436"/>
      <c r="V208" s="436"/>
      <c r="W208" s="436"/>
      <c r="X208" s="436"/>
      <c r="Y208" s="436"/>
      <c r="Z208" s="436"/>
    </row>
    <row r="209" ht="15.75" customHeight="1">
      <c r="A209" s="436">
        <v>211.0</v>
      </c>
      <c r="B209" s="436" t="s">
        <v>2892</v>
      </c>
      <c r="C209" s="546" t="s">
        <v>3860</v>
      </c>
      <c r="D209" s="436" t="s">
        <v>4062</v>
      </c>
      <c r="E209" s="436"/>
      <c r="F209" s="436"/>
      <c r="G209" s="436"/>
      <c r="H209" s="436"/>
      <c r="I209" s="436"/>
      <c r="J209" s="436"/>
      <c r="K209" s="436"/>
      <c r="L209" s="436"/>
      <c r="M209" s="436"/>
      <c r="N209" s="436"/>
      <c r="O209" s="436"/>
      <c r="P209" s="436"/>
      <c r="Q209" s="436"/>
      <c r="R209" s="436"/>
      <c r="S209" s="436"/>
      <c r="T209" s="436"/>
      <c r="U209" s="436"/>
      <c r="V209" s="436"/>
      <c r="W209" s="436"/>
      <c r="X209" s="436"/>
      <c r="Y209" s="436"/>
      <c r="Z209" s="436"/>
    </row>
    <row r="210" ht="15.75" customHeight="1">
      <c r="A210" s="436">
        <v>212.0</v>
      </c>
      <c r="B210" s="436" t="s">
        <v>2892</v>
      </c>
      <c r="C210" s="546" t="s">
        <v>3860</v>
      </c>
      <c r="D210" s="436" t="s">
        <v>4063</v>
      </c>
      <c r="E210" s="436"/>
      <c r="F210" s="436"/>
      <c r="G210" s="436"/>
      <c r="H210" s="436"/>
      <c r="I210" s="436"/>
      <c r="J210" s="436"/>
      <c r="K210" s="436"/>
      <c r="L210" s="436"/>
      <c r="M210" s="436"/>
      <c r="N210" s="436"/>
      <c r="O210" s="436"/>
      <c r="P210" s="436"/>
      <c r="Q210" s="436"/>
      <c r="R210" s="436"/>
      <c r="S210" s="436"/>
      <c r="T210" s="436"/>
      <c r="U210" s="436"/>
      <c r="V210" s="436"/>
      <c r="W210" s="436"/>
      <c r="X210" s="436"/>
      <c r="Y210" s="436"/>
      <c r="Z210" s="436"/>
    </row>
    <row r="211" ht="15.75" customHeight="1">
      <c r="A211" s="436">
        <v>213.0</v>
      </c>
      <c r="B211" s="436" t="s">
        <v>1849</v>
      </c>
      <c r="C211" s="546" t="s">
        <v>3860</v>
      </c>
      <c r="D211" s="436" t="s">
        <v>4064</v>
      </c>
      <c r="E211" s="436"/>
      <c r="F211" s="436"/>
      <c r="G211" s="436"/>
      <c r="H211" s="436"/>
      <c r="I211" s="436"/>
      <c r="J211" s="436"/>
      <c r="K211" s="436"/>
      <c r="L211" s="436"/>
      <c r="M211" s="436"/>
      <c r="N211" s="436"/>
      <c r="O211" s="436"/>
      <c r="P211" s="436"/>
      <c r="Q211" s="436"/>
      <c r="R211" s="436"/>
      <c r="S211" s="436"/>
      <c r="T211" s="436"/>
      <c r="U211" s="436"/>
      <c r="V211" s="436"/>
      <c r="W211" s="436"/>
      <c r="X211" s="436"/>
      <c r="Y211" s="436"/>
      <c r="Z211" s="436"/>
    </row>
    <row r="212" ht="15.75" customHeight="1">
      <c r="A212" s="436">
        <v>214.0</v>
      </c>
      <c r="B212" s="436" t="s">
        <v>2892</v>
      </c>
      <c r="C212" s="541" t="s">
        <v>3854</v>
      </c>
      <c r="D212" s="436" t="s">
        <v>4065</v>
      </c>
      <c r="E212" s="436"/>
      <c r="F212" s="436"/>
      <c r="G212" s="436"/>
      <c r="H212" s="436"/>
      <c r="I212" s="436"/>
      <c r="J212" s="436"/>
      <c r="K212" s="436"/>
      <c r="L212" s="436"/>
      <c r="M212" s="436"/>
      <c r="N212" s="436"/>
      <c r="O212" s="436"/>
      <c r="P212" s="436"/>
      <c r="Q212" s="436"/>
      <c r="R212" s="436"/>
      <c r="S212" s="436"/>
      <c r="T212" s="436"/>
      <c r="U212" s="436"/>
      <c r="V212" s="436"/>
      <c r="W212" s="436"/>
      <c r="X212" s="436"/>
      <c r="Y212" s="436"/>
      <c r="Z212" s="436"/>
    </row>
    <row r="213" ht="15.75" customHeight="1">
      <c r="A213" s="436">
        <v>215.0</v>
      </c>
      <c r="B213" s="436" t="s">
        <v>2892</v>
      </c>
      <c r="C213" s="541" t="s">
        <v>3854</v>
      </c>
      <c r="D213" s="436" t="s">
        <v>4066</v>
      </c>
      <c r="E213" s="436"/>
      <c r="F213" s="436"/>
      <c r="G213" s="436"/>
      <c r="H213" s="436"/>
      <c r="I213" s="436"/>
      <c r="J213" s="436"/>
      <c r="K213" s="436"/>
      <c r="L213" s="436"/>
      <c r="M213" s="436"/>
      <c r="N213" s="436"/>
      <c r="O213" s="436"/>
      <c r="P213" s="436"/>
      <c r="Q213" s="436"/>
      <c r="R213" s="436"/>
      <c r="S213" s="436"/>
      <c r="T213" s="436"/>
      <c r="U213" s="436"/>
      <c r="V213" s="436"/>
      <c r="W213" s="436"/>
      <c r="X213" s="436"/>
      <c r="Y213" s="436"/>
      <c r="Z213" s="436"/>
    </row>
    <row r="214" ht="15.75" customHeight="1">
      <c r="A214" s="436">
        <v>216.0</v>
      </c>
      <c r="B214" s="436" t="s">
        <v>2892</v>
      </c>
      <c r="C214" s="546" t="s">
        <v>3860</v>
      </c>
      <c r="D214" s="436" t="s">
        <v>4067</v>
      </c>
      <c r="E214" s="436"/>
      <c r="F214" s="436"/>
      <c r="G214" s="436"/>
      <c r="H214" s="436"/>
      <c r="I214" s="436"/>
      <c r="J214" s="436"/>
      <c r="K214" s="436"/>
      <c r="L214" s="436"/>
      <c r="M214" s="436"/>
      <c r="N214" s="436"/>
      <c r="O214" s="436"/>
      <c r="P214" s="436"/>
      <c r="Q214" s="436"/>
      <c r="R214" s="436"/>
      <c r="S214" s="436"/>
      <c r="T214" s="436"/>
      <c r="U214" s="436"/>
      <c r="V214" s="436"/>
      <c r="W214" s="436"/>
      <c r="X214" s="436"/>
      <c r="Y214" s="436"/>
      <c r="Z214" s="436"/>
    </row>
    <row r="215" ht="15.75" customHeight="1">
      <c r="A215" s="436">
        <v>217.0</v>
      </c>
      <c r="B215" s="436" t="s">
        <v>2892</v>
      </c>
      <c r="C215" s="541" t="s">
        <v>3854</v>
      </c>
      <c r="D215" s="436" t="s">
        <v>4068</v>
      </c>
      <c r="E215" s="436"/>
      <c r="F215" s="436"/>
      <c r="G215" s="436"/>
      <c r="H215" s="436"/>
      <c r="I215" s="436"/>
      <c r="J215" s="436"/>
      <c r="K215" s="436"/>
      <c r="L215" s="436"/>
      <c r="M215" s="436"/>
      <c r="N215" s="436"/>
      <c r="O215" s="436"/>
      <c r="P215" s="436"/>
      <c r="Q215" s="436"/>
      <c r="R215" s="436"/>
      <c r="S215" s="436"/>
      <c r="T215" s="436"/>
      <c r="U215" s="436"/>
      <c r="V215" s="436"/>
      <c r="W215" s="436"/>
      <c r="X215" s="436"/>
      <c r="Y215" s="436"/>
      <c r="Z215" s="436"/>
    </row>
    <row r="216" ht="15.75" customHeight="1">
      <c r="A216" s="436">
        <v>218.0</v>
      </c>
      <c r="B216" s="436" t="s">
        <v>2892</v>
      </c>
      <c r="C216" s="541" t="s">
        <v>3854</v>
      </c>
      <c r="D216" s="436" t="s">
        <v>4069</v>
      </c>
      <c r="E216" s="436"/>
      <c r="F216" s="436"/>
      <c r="G216" s="436"/>
      <c r="H216" s="436"/>
      <c r="I216" s="436"/>
      <c r="J216" s="436"/>
      <c r="K216" s="436"/>
      <c r="L216" s="436"/>
      <c r="M216" s="436"/>
      <c r="N216" s="436"/>
      <c r="O216" s="436"/>
      <c r="P216" s="436"/>
      <c r="Q216" s="436"/>
      <c r="R216" s="436"/>
      <c r="S216" s="436"/>
      <c r="T216" s="436"/>
      <c r="U216" s="436"/>
      <c r="V216" s="436"/>
      <c r="W216" s="436"/>
      <c r="X216" s="436"/>
      <c r="Y216" s="436"/>
      <c r="Z216" s="436"/>
    </row>
    <row r="217" ht="15.75" customHeight="1">
      <c r="A217" s="436">
        <v>219.0</v>
      </c>
      <c r="B217" s="436" t="s">
        <v>2892</v>
      </c>
      <c r="C217" s="546" t="s">
        <v>3860</v>
      </c>
      <c r="D217" s="436" t="s">
        <v>4070</v>
      </c>
      <c r="E217" s="436"/>
      <c r="F217" s="436"/>
      <c r="G217" s="436"/>
      <c r="H217" s="436"/>
      <c r="I217" s="436"/>
      <c r="J217" s="436"/>
      <c r="K217" s="436"/>
      <c r="L217" s="436"/>
      <c r="M217" s="436"/>
      <c r="N217" s="436"/>
      <c r="O217" s="436"/>
      <c r="P217" s="436"/>
      <c r="Q217" s="436"/>
      <c r="R217" s="436"/>
      <c r="S217" s="436"/>
      <c r="T217" s="436"/>
      <c r="U217" s="436"/>
      <c r="V217" s="436"/>
      <c r="W217" s="436"/>
      <c r="X217" s="436"/>
      <c r="Y217" s="436"/>
      <c r="Z217" s="436"/>
    </row>
    <row r="218" ht="15.75" customHeight="1">
      <c r="A218" s="436">
        <v>220.0</v>
      </c>
      <c r="B218" s="436" t="s">
        <v>2892</v>
      </c>
      <c r="C218" s="541" t="s">
        <v>3854</v>
      </c>
      <c r="D218" s="436" t="s">
        <v>4071</v>
      </c>
      <c r="E218" s="436"/>
      <c r="F218" s="436"/>
      <c r="G218" s="436"/>
      <c r="H218" s="436"/>
      <c r="I218" s="436"/>
      <c r="J218" s="436"/>
      <c r="K218" s="436"/>
      <c r="L218" s="436"/>
      <c r="M218" s="436"/>
      <c r="N218" s="436"/>
      <c r="O218" s="436"/>
      <c r="P218" s="436"/>
      <c r="Q218" s="436"/>
      <c r="R218" s="436"/>
      <c r="S218" s="436"/>
      <c r="T218" s="436"/>
      <c r="U218" s="436"/>
      <c r="V218" s="436"/>
      <c r="W218" s="436"/>
      <c r="X218" s="436"/>
      <c r="Y218" s="436"/>
      <c r="Z218" s="436"/>
    </row>
    <row r="219" ht="15.75" customHeight="1">
      <c r="A219" s="436">
        <v>221.0</v>
      </c>
      <c r="B219" s="436" t="s">
        <v>2892</v>
      </c>
      <c r="C219" s="541" t="s">
        <v>3854</v>
      </c>
      <c r="D219" s="436" t="s">
        <v>4072</v>
      </c>
      <c r="E219" s="436"/>
      <c r="F219" s="436"/>
      <c r="G219" s="436"/>
      <c r="H219" s="436"/>
      <c r="I219" s="436"/>
      <c r="J219" s="436"/>
      <c r="K219" s="436"/>
      <c r="L219" s="436"/>
      <c r="M219" s="436"/>
      <c r="N219" s="436"/>
      <c r="O219" s="436"/>
      <c r="P219" s="436"/>
      <c r="Q219" s="436"/>
      <c r="R219" s="436"/>
      <c r="S219" s="436"/>
      <c r="T219" s="436"/>
      <c r="U219" s="436"/>
      <c r="V219" s="436"/>
      <c r="W219" s="436"/>
      <c r="X219" s="436"/>
      <c r="Y219" s="436"/>
      <c r="Z219" s="436"/>
    </row>
    <row r="220" ht="15.75" customHeight="1">
      <c r="A220" s="436">
        <v>222.0</v>
      </c>
      <c r="B220" s="436" t="s">
        <v>2892</v>
      </c>
      <c r="C220" s="541" t="s">
        <v>3854</v>
      </c>
      <c r="D220" s="436" t="s">
        <v>4073</v>
      </c>
      <c r="E220" s="436"/>
      <c r="F220" s="436"/>
      <c r="G220" s="436"/>
      <c r="H220" s="436"/>
      <c r="I220" s="436"/>
      <c r="J220" s="436"/>
      <c r="K220" s="436"/>
      <c r="L220" s="436"/>
      <c r="M220" s="436"/>
      <c r="N220" s="436"/>
      <c r="O220" s="436"/>
      <c r="P220" s="436"/>
      <c r="Q220" s="436"/>
      <c r="R220" s="436"/>
      <c r="S220" s="436"/>
      <c r="T220" s="436"/>
      <c r="U220" s="436"/>
      <c r="V220" s="436"/>
      <c r="W220" s="436"/>
      <c r="X220" s="436"/>
      <c r="Y220" s="436"/>
      <c r="Z220" s="436"/>
    </row>
    <row r="221" ht="15.75" customHeight="1">
      <c r="A221" s="436">
        <v>223.0</v>
      </c>
      <c r="B221" s="436" t="s">
        <v>2892</v>
      </c>
      <c r="C221" s="541" t="s">
        <v>3854</v>
      </c>
      <c r="D221" s="436" t="s">
        <v>4074</v>
      </c>
      <c r="E221" s="436"/>
      <c r="F221" s="436"/>
      <c r="G221" s="436"/>
      <c r="H221" s="436"/>
      <c r="I221" s="436"/>
      <c r="J221" s="436"/>
      <c r="K221" s="436"/>
      <c r="L221" s="436"/>
      <c r="M221" s="436"/>
      <c r="N221" s="436"/>
      <c r="O221" s="436"/>
      <c r="P221" s="436"/>
      <c r="Q221" s="436"/>
      <c r="R221" s="436"/>
      <c r="S221" s="436"/>
      <c r="T221" s="436"/>
      <c r="U221" s="436"/>
      <c r="V221" s="436"/>
      <c r="W221" s="436"/>
      <c r="X221" s="436"/>
      <c r="Y221" s="436"/>
      <c r="Z221" s="436"/>
    </row>
    <row r="222" ht="15.75" customHeight="1">
      <c r="A222" s="436">
        <v>224.0</v>
      </c>
      <c r="B222" s="436" t="s">
        <v>2892</v>
      </c>
      <c r="C222" s="541" t="s">
        <v>3854</v>
      </c>
      <c r="D222" s="436" t="s">
        <v>4075</v>
      </c>
      <c r="E222" s="436"/>
      <c r="F222" s="436"/>
      <c r="G222" s="436"/>
      <c r="H222" s="436"/>
      <c r="I222" s="436"/>
      <c r="J222" s="436"/>
      <c r="K222" s="436"/>
      <c r="L222" s="436"/>
      <c r="M222" s="436"/>
      <c r="N222" s="436"/>
      <c r="O222" s="436"/>
      <c r="P222" s="436"/>
      <c r="Q222" s="436"/>
      <c r="R222" s="436"/>
      <c r="S222" s="436"/>
      <c r="T222" s="436"/>
      <c r="U222" s="436"/>
      <c r="V222" s="436"/>
      <c r="W222" s="436"/>
      <c r="X222" s="436"/>
      <c r="Y222" s="436"/>
      <c r="Z222" s="436"/>
    </row>
    <row r="223" ht="15.75" customHeight="1">
      <c r="A223" s="436">
        <v>225.0</v>
      </c>
      <c r="B223" s="436" t="s">
        <v>2892</v>
      </c>
      <c r="C223" s="541" t="s">
        <v>3854</v>
      </c>
      <c r="D223" s="436" t="s">
        <v>4076</v>
      </c>
      <c r="E223" s="436"/>
      <c r="F223" s="436"/>
      <c r="G223" s="436"/>
      <c r="H223" s="436"/>
      <c r="I223" s="436"/>
      <c r="J223" s="436"/>
      <c r="K223" s="436"/>
      <c r="L223" s="436"/>
      <c r="M223" s="436"/>
      <c r="N223" s="436"/>
      <c r="O223" s="436"/>
      <c r="P223" s="436"/>
      <c r="Q223" s="436"/>
      <c r="R223" s="436"/>
      <c r="S223" s="436"/>
      <c r="T223" s="436"/>
      <c r="U223" s="436"/>
      <c r="V223" s="436"/>
      <c r="W223" s="436"/>
      <c r="X223" s="436"/>
      <c r="Y223" s="436"/>
      <c r="Z223" s="436"/>
    </row>
    <row r="224" ht="15.75" customHeight="1">
      <c r="A224" s="436">
        <v>226.0</v>
      </c>
      <c r="B224" s="436" t="s">
        <v>1849</v>
      </c>
      <c r="C224" s="546" t="s">
        <v>3860</v>
      </c>
      <c r="D224" s="436" t="s">
        <v>4077</v>
      </c>
      <c r="E224" s="436"/>
      <c r="F224" s="436"/>
      <c r="G224" s="436"/>
      <c r="H224" s="436"/>
      <c r="I224" s="436"/>
      <c r="J224" s="436"/>
      <c r="K224" s="436"/>
      <c r="L224" s="436"/>
      <c r="M224" s="436"/>
      <c r="N224" s="436"/>
      <c r="O224" s="436"/>
      <c r="P224" s="436"/>
      <c r="Q224" s="436"/>
      <c r="R224" s="436"/>
      <c r="S224" s="436"/>
      <c r="T224" s="436"/>
      <c r="U224" s="436"/>
      <c r="V224" s="436"/>
      <c r="W224" s="436"/>
      <c r="X224" s="436"/>
      <c r="Y224" s="436"/>
      <c r="Z224" s="436"/>
    </row>
    <row r="225" ht="15.75" customHeight="1">
      <c r="A225" s="436">
        <v>227.0</v>
      </c>
      <c r="B225" s="436" t="s">
        <v>2892</v>
      </c>
      <c r="C225" s="546" t="s">
        <v>3860</v>
      </c>
      <c r="D225" s="436" t="s">
        <v>4078</v>
      </c>
      <c r="E225" s="436"/>
      <c r="F225" s="436"/>
      <c r="G225" s="436"/>
      <c r="H225" s="436"/>
      <c r="I225" s="436"/>
      <c r="J225" s="436"/>
      <c r="K225" s="436"/>
      <c r="L225" s="436"/>
      <c r="M225" s="436"/>
      <c r="N225" s="436"/>
      <c r="O225" s="436"/>
      <c r="P225" s="436"/>
      <c r="Q225" s="436"/>
      <c r="R225" s="436"/>
      <c r="S225" s="436"/>
      <c r="T225" s="436"/>
      <c r="U225" s="436"/>
      <c r="V225" s="436"/>
      <c r="W225" s="436"/>
      <c r="X225" s="436"/>
      <c r="Y225" s="436"/>
      <c r="Z225" s="436"/>
    </row>
    <row r="226" ht="15.75" customHeight="1">
      <c r="A226" s="436">
        <v>228.0</v>
      </c>
      <c r="B226" s="436" t="s">
        <v>2892</v>
      </c>
      <c r="C226" s="551" t="s">
        <v>3860</v>
      </c>
      <c r="D226" s="436" t="s">
        <v>4079</v>
      </c>
      <c r="E226" s="436"/>
      <c r="F226" s="436"/>
      <c r="G226" s="436"/>
      <c r="H226" s="436"/>
      <c r="I226" s="436"/>
      <c r="J226" s="436"/>
      <c r="K226" s="436"/>
      <c r="L226" s="436"/>
      <c r="M226" s="436"/>
      <c r="N226" s="436"/>
      <c r="O226" s="436"/>
      <c r="P226" s="436"/>
      <c r="Q226" s="436"/>
      <c r="R226" s="436"/>
      <c r="S226" s="436"/>
      <c r="T226" s="436"/>
      <c r="U226" s="436"/>
      <c r="V226" s="436"/>
      <c r="W226" s="436"/>
      <c r="X226" s="436"/>
      <c r="Y226" s="436"/>
      <c r="Z226" s="436"/>
    </row>
    <row r="227" ht="15.75" customHeight="1">
      <c r="A227" s="436">
        <v>229.0</v>
      </c>
      <c r="B227" s="436" t="s">
        <v>2892</v>
      </c>
      <c r="C227" s="551" t="s">
        <v>3860</v>
      </c>
      <c r="D227" s="436" t="s">
        <v>4080</v>
      </c>
      <c r="E227" s="436"/>
      <c r="F227" s="436"/>
      <c r="G227" s="436"/>
      <c r="H227" s="436"/>
      <c r="I227" s="436"/>
      <c r="J227" s="436"/>
      <c r="K227" s="436"/>
      <c r="L227" s="436"/>
      <c r="M227" s="436"/>
      <c r="N227" s="436"/>
      <c r="O227" s="436"/>
      <c r="P227" s="436"/>
      <c r="Q227" s="436"/>
      <c r="R227" s="436"/>
      <c r="S227" s="436"/>
      <c r="T227" s="436"/>
      <c r="U227" s="436"/>
      <c r="V227" s="436"/>
      <c r="W227" s="436"/>
      <c r="X227" s="436"/>
      <c r="Y227" s="436"/>
      <c r="Z227" s="436"/>
    </row>
    <row r="228" ht="15.75" customHeight="1">
      <c r="A228" s="436">
        <v>230.0</v>
      </c>
      <c r="B228" s="436" t="s">
        <v>2919</v>
      </c>
      <c r="C228" s="551" t="s">
        <v>3860</v>
      </c>
      <c r="D228" s="436" t="s">
        <v>4081</v>
      </c>
      <c r="E228" s="436"/>
      <c r="F228" s="436"/>
      <c r="G228" s="436"/>
      <c r="H228" s="436"/>
      <c r="I228" s="436"/>
      <c r="J228" s="436"/>
      <c r="K228" s="436"/>
      <c r="L228" s="436"/>
      <c r="M228" s="436"/>
      <c r="N228" s="436"/>
      <c r="O228" s="436"/>
      <c r="P228" s="436"/>
      <c r="Q228" s="436"/>
      <c r="R228" s="436"/>
      <c r="S228" s="436"/>
      <c r="T228" s="436"/>
      <c r="U228" s="436"/>
      <c r="V228" s="436"/>
      <c r="W228" s="436"/>
      <c r="X228" s="436"/>
      <c r="Y228" s="436"/>
      <c r="Z228" s="436"/>
    </row>
    <row r="229" ht="15.75" customHeight="1">
      <c r="A229" s="436">
        <v>231.0</v>
      </c>
      <c r="B229" s="436" t="s">
        <v>2919</v>
      </c>
      <c r="C229" s="551" t="s">
        <v>3860</v>
      </c>
      <c r="D229" s="436" t="s">
        <v>4082</v>
      </c>
      <c r="E229" s="436"/>
      <c r="F229" s="436"/>
      <c r="G229" s="436"/>
      <c r="H229" s="436"/>
      <c r="I229" s="436"/>
      <c r="J229" s="436"/>
      <c r="K229" s="436"/>
      <c r="L229" s="436"/>
      <c r="M229" s="436"/>
      <c r="N229" s="436"/>
      <c r="O229" s="436"/>
      <c r="P229" s="436"/>
      <c r="Q229" s="436"/>
      <c r="R229" s="436"/>
      <c r="S229" s="436"/>
      <c r="T229" s="436"/>
      <c r="U229" s="436"/>
      <c r="V229" s="436"/>
      <c r="W229" s="436"/>
      <c r="X229" s="436"/>
      <c r="Y229" s="436"/>
      <c r="Z229" s="436"/>
    </row>
    <row r="230" ht="15.75" customHeight="1">
      <c r="A230" s="436">
        <v>232.0</v>
      </c>
      <c r="B230" s="436" t="s">
        <v>2434</v>
      </c>
      <c r="C230" s="551" t="s">
        <v>3860</v>
      </c>
      <c r="D230" s="436" t="s">
        <v>4083</v>
      </c>
      <c r="E230" s="436"/>
      <c r="F230" s="436"/>
      <c r="G230" s="436"/>
      <c r="H230" s="436"/>
      <c r="I230" s="436"/>
      <c r="J230" s="436"/>
      <c r="K230" s="436"/>
      <c r="L230" s="436"/>
      <c r="M230" s="436"/>
      <c r="N230" s="436"/>
      <c r="O230" s="436"/>
      <c r="P230" s="436"/>
      <c r="Q230" s="436"/>
      <c r="R230" s="436"/>
      <c r="S230" s="436"/>
      <c r="T230" s="436"/>
      <c r="U230" s="436"/>
      <c r="V230" s="436"/>
      <c r="W230" s="436"/>
      <c r="X230" s="436"/>
      <c r="Y230" s="436"/>
      <c r="Z230" s="436"/>
    </row>
    <row r="231" ht="15.75" customHeight="1">
      <c r="A231" s="436">
        <v>233.0</v>
      </c>
      <c r="B231" s="436" t="s">
        <v>2919</v>
      </c>
      <c r="C231" s="551" t="s">
        <v>3860</v>
      </c>
      <c r="D231" s="436" t="s">
        <v>4084</v>
      </c>
      <c r="E231" s="436"/>
      <c r="F231" s="436"/>
      <c r="G231" s="436"/>
      <c r="H231" s="436"/>
      <c r="I231" s="436"/>
      <c r="J231" s="436"/>
      <c r="K231" s="436"/>
      <c r="L231" s="436"/>
      <c r="M231" s="436"/>
      <c r="N231" s="436"/>
      <c r="O231" s="436"/>
      <c r="P231" s="436"/>
      <c r="Q231" s="436"/>
      <c r="R231" s="436"/>
      <c r="S231" s="436"/>
      <c r="T231" s="436"/>
      <c r="U231" s="436"/>
      <c r="V231" s="436"/>
      <c r="W231" s="436"/>
      <c r="X231" s="436"/>
      <c r="Y231" s="436"/>
      <c r="Z231" s="436"/>
    </row>
    <row r="232" ht="15.75" customHeight="1">
      <c r="A232" s="436">
        <v>234.0</v>
      </c>
      <c r="B232" s="436" t="s">
        <v>2892</v>
      </c>
      <c r="C232" s="551" t="s">
        <v>3860</v>
      </c>
      <c r="D232" s="436" t="s">
        <v>4085</v>
      </c>
      <c r="E232" s="436"/>
      <c r="F232" s="436"/>
      <c r="G232" s="436"/>
      <c r="H232" s="436"/>
      <c r="I232" s="436"/>
      <c r="J232" s="436"/>
      <c r="K232" s="436"/>
      <c r="L232" s="436"/>
      <c r="M232" s="436"/>
      <c r="N232" s="436"/>
      <c r="O232" s="436"/>
      <c r="P232" s="436"/>
      <c r="Q232" s="436"/>
      <c r="R232" s="436"/>
      <c r="S232" s="436"/>
      <c r="T232" s="436"/>
      <c r="U232" s="436"/>
      <c r="V232" s="436"/>
      <c r="W232" s="436"/>
      <c r="X232" s="436"/>
      <c r="Y232" s="436"/>
      <c r="Z232" s="436"/>
    </row>
    <row r="233" ht="15.75" customHeight="1">
      <c r="A233" s="436">
        <v>235.0</v>
      </c>
      <c r="B233" s="436" t="s">
        <v>2892</v>
      </c>
      <c r="C233" s="551" t="s">
        <v>3860</v>
      </c>
      <c r="D233" s="436" t="s">
        <v>4086</v>
      </c>
      <c r="E233" s="436"/>
      <c r="F233" s="436"/>
      <c r="G233" s="436"/>
      <c r="H233" s="436"/>
      <c r="I233" s="436"/>
      <c r="J233" s="436"/>
      <c r="K233" s="436"/>
      <c r="L233" s="436"/>
      <c r="M233" s="436"/>
      <c r="N233" s="436"/>
      <c r="O233" s="436"/>
      <c r="P233" s="436"/>
      <c r="Q233" s="436"/>
      <c r="R233" s="436"/>
      <c r="S233" s="436"/>
      <c r="T233" s="436"/>
      <c r="U233" s="436"/>
      <c r="V233" s="436"/>
      <c r="W233" s="436"/>
      <c r="X233" s="436"/>
      <c r="Y233" s="436"/>
      <c r="Z233" s="436"/>
    </row>
    <row r="234" ht="15.75" customHeight="1">
      <c r="A234" s="436">
        <v>236.0</v>
      </c>
      <c r="B234" s="436" t="s">
        <v>2919</v>
      </c>
      <c r="C234" s="551" t="s">
        <v>3860</v>
      </c>
      <c r="D234" s="436" t="s">
        <v>4087</v>
      </c>
      <c r="E234" s="436"/>
      <c r="F234" s="436"/>
      <c r="G234" s="436"/>
      <c r="H234" s="436"/>
      <c r="I234" s="436"/>
      <c r="J234" s="436"/>
      <c r="K234" s="436"/>
      <c r="L234" s="436"/>
      <c r="M234" s="436"/>
      <c r="N234" s="436"/>
      <c r="O234" s="436"/>
      <c r="P234" s="436"/>
      <c r="Q234" s="436"/>
      <c r="R234" s="436"/>
      <c r="S234" s="436"/>
      <c r="T234" s="436"/>
      <c r="U234" s="436"/>
      <c r="V234" s="436"/>
      <c r="W234" s="436"/>
      <c r="X234" s="436"/>
      <c r="Y234" s="436"/>
      <c r="Z234" s="436"/>
    </row>
    <row r="235" ht="15.75" customHeight="1">
      <c r="A235" s="436">
        <v>237.0</v>
      </c>
      <c r="B235" s="436" t="s">
        <v>2919</v>
      </c>
      <c r="C235" s="551" t="s">
        <v>3860</v>
      </c>
      <c r="D235" s="436" t="s">
        <v>4088</v>
      </c>
      <c r="E235" s="436"/>
      <c r="F235" s="436"/>
      <c r="G235" s="436"/>
      <c r="H235" s="436"/>
      <c r="I235" s="436"/>
      <c r="J235" s="436"/>
      <c r="K235" s="436"/>
      <c r="L235" s="436"/>
      <c r="M235" s="436"/>
      <c r="N235" s="436"/>
      <c r="O235" s="436"/>
      <c r="P235" s="436"/>
      <c r="Q235" s="436"/>
      <c r="R235" s="436"/>
      <c r="S235" s="436"/>
      <c r="T235" s="436"/>
      <c r="U235" s="436"/>
      <c r="V235" s="436"/>
      <c r="W235" s="436"/>
      <c r="X235" s="436"/>
      <c r="Y235" s="436"/>
      <c r="Z235" s="436"/>
    </row>
    <row r="236" ht="15.75" customHeight="1">
      <c r="A236" s="436">
        <v>238.0</v>
      </c>
      <c r="B236" s="436" t="s">
        <v>2919</v>
      </c>
      <c r="C236" s="541" t="s">
        <v>3854</v>
      </c>
      <c r="D236" s="436" t="s">
        <v>4089</v>
      </c>
      <c r="E236" s="436"/>
      <c r="F236" s="436"/>
      <c r="G236" s="436"/>
      <c r="H236" s="436"/>
      <c r="I236" s="436"/>
      <c r="J236" s="436"/>
      <c r="K236" s="436"/>
      <c r="L236" s="436"/>
      <c r="M236" s="436"/>
      <c r="N236" s="436"/>
      <c r="O236" s="436"/>
      <c r="P236" s="436"/>
      <c r="Q236" s="436"/>
      <c r="R236" s="436"/>
      <c r="S236" s="436"/>
      <c r="T236" s="436"/>
      <c r="U236" s="436"/>
      <c r="V236" s="436"/>
      <c r="W236" s="436"/>
      <c r="X236" s="436"/>
      <c r="Y236" s="436"/>
      <c r="Z236" s="436"/>
    </row>
    <row r="237" ht="15.75" customHeight="1">
      <c r="A237" s="436">
        <v>239.0</v>
      </c>
      <c r="B237" s="436" t="s">
        <v>2919</v>
      </c>
      <c r="C237" s="541" t="s">
        <v>3854</v>
      </c>
      <c r="D237" s="436" t="s">
        <v>4090</v>
      </c>
      <c r="E237" s="436"/>
      <c r="F237" s="436"/>
      <c r="G237" s="436"/>
      <c r="H237" s="436"/>
      <c r="I237" s="436"/>
      <c r="J237" s="436"/>
      <c r="K237" s="436"/>
      <c r="L237" s="436"/>
      <c r="M237" s="436"/>
      <c r="N237" s="436"/>
      <c r="O237" s="436"/>
      <c r="P237" s="436"/>
      <c r="Q237" s="436"/>
      <c r="R237" s="436"/>
      <c r="S237" s="436"/>
      <c r="T237" s="436"/>
      <c r="U237" s="436"/>
      <c r="V237" s="436"/>
      <c r="W237" s="436"/>
      <c r="X237" s="436"/>
      <c r="Y237" s="436"/>
      <c r="Z237" s="436"/>
    </row>
    <row r="238" ht="15.75" customHeight="1">
      <c r="A238" s="436">
        <v>240.0</v>
      </c>
      <c r="B238" s="436" t="s">
        <v>2919</v>
      </c>
      <c r="C238" s="541" t="s">
        <v>3854</v>
      </c>
      <c r="D238" s="436" t="s">
        <v>4091</v>
      </c>
      <c r="E238" s="436"/>
      <c r="F238" s="436"/>
      <c r="G238" s="436"/>
      <c r="H238" s="436"/>
      <c r="I238" s="436"/>
      <c r="J238" s="436"/>
      <c r="K238" s="436"/>
      <c r="L238" s="436"/>
      <c r="M238" s="436"/>
      <c r="N238" s="436"/>
      <c r="O238" s="436"/>
      <c r="P238" s="436"/>
      <c r="Q238" s="436"/>
      <c r="R238" s="436"/>
      <c r="S238" s="436"/>
      <c r="T238" s="436"/>
      <c r="U238" s="436"/>
      <c r="V238" s="436"/>
      <c r="W238" s="436"/>
      <c r="X238" s="436"/>
      <c r="Y238" s="436"/>
      <c r="Z238" s="436"/>
    </row>
    <row r="239" ht="15.75" customHeight="1">
      <c r="A239" s="436">
        <v>241.0</v>
      </c>
      <c r="B239" s="436" t="s">
        <v>2919</v>
      </c>
      <c r="C239" s="541" t="s">
        <v>3854</v>
      </c>
      <c r="D239" s="436" t="s">
        <v>4092</v>
      </c>
      <c r="E239" s="436"/>
      <c r="F239" s="436"/>
      <c r="G239" s="436"/>
      <c r="H239" s="436"/>
      <c r="I239" s="436"/>
      <c r="J239" s="436"/>
      <c r="K239" s="436"/>
      <c r="L239" s="436"/>
      <c r="M239" s="436"/>
      <c r="N239" s="436"/>
      <c r="O239" s="436"/>
      <c r="P239" s="436"/>
      <c r="Q239" s="436"/>
      <c r="R239" s="436"/>
      <c r="S239" s="436"/>
      <c r="T239" s="436"/>
      <c r="U239" s="436"/>
      <c r="V239" s="436"/>
      <c r="W239" s="436"/>
      <c r="X239" s="436"/>
      <c r="Y239" s="436"/>
      <c r="Z239" s="436"/>
    </row>
    <row r="240" ht="15.75" customHeight="1">
      <c r="A240" s="436">
        <v>242.0</v>
      </c>
      <c r="B240" s="436" t="s">
        <v>2919</v>
      </c>
      <c r="C240" s="551" t="s">
        <v>3860</v>
      </c>
      <c r="D240" s="436" t="s">
        <v>4093</v>
      </c>
      <c r="E240" s="436"/>
      <c r="F240" s="436"/>
      <c r="G240" s="436"/>
      <c r="H240" s="436"/>
      <c r="I240" s="436"/>
      <c r="J240" s="436"/>
      <c r="K240" s="436"/>
      <c r="L240" s="436"/>
      <c r="M240" s="436"/>
      <c r="N240" s="436"/>
      <c r="O240" s="436"/>
      <c r="P240" s="436"/>
      <c r="Q240" s="436"/>
      <c r="R240" s="436"/>
      <c r="S240" s="436"/>
      <c r="T240" s="436"/>
      <c r="U240" s="436"/>
      <c r="V240" s="436"/>
      <c r="W240" s="436"/>
      <c r="X240" s="436"/>
      <c r="Y240" s="436"/>
      <c r="Z240" s="436"/>
    </row>
    <row r="241" ht="15.75" customHeight="1">
      <c r="A241" s="436">
        <v>243.0</v>
      </c>
      <c r="B241" s="436" t="s">
        <v>2919</v>
      </c>
      <c r="C241" s="541" t="s">
        <v>3854</v>
      </c>
      <c r="D241" s="436" t="s">
        <v>4094</v>
      </c>
      <c r="E241" s="436"/>
      <c r="F241" s="436"/>
      <c r="G241" s="436"/>
      <c r="H241" s="436"/>
      <c r="I241" s="436"/>
      <c r="J241" s="436"/>
      <c r="K241" s="436"/>
      <c r="L241" s="436"/>
      <c r="M241" s="436"/>
      <c r="N241" s="436"/>
      <c r="O241" s="436"/>
      <c r="P241" s="436"/>
      <c r="Q241" s="436"/>
      <c r="R241" s="436"/>
      <c r="S241" s="436"/>
      <c r="T241" s="436"/>
      <c r="U241" s="436"/>
      <c r="V241" s="436"/>
      <c r="W241" s="436"/>
      <c r="X241" s="436"/>
      <c r="Y241" s="436"/>
      <c r="Z241" s="436"/>
    </row>
    <row r="242" ht="15.75" customHeight="1">
      <c r="A242" s="436">
        <v>244.0</v>
      </c>
      <c r="B242" s="436" t="s">
        <v>2919</v>
      </c>
      <c r="C242" s="551" t="s">
        <v>3860</v>
      </c>
      <c r="D242" s="436" t="s">
        <v>4095</v>
      </c>
      <c r="E242" s="436"/>
      <c r="F242" s="436"/>
      <c r="G242" s="436"/>
      <c r="H242" s="436"/>
      <c r="I242" s="436"/>
      <c r="J242" s="436"/>
      <c r="K242" s="436"/>
      <c r="L242" s="436"/>
      <c r="M242" s="436"/>
      <c r="N242" s="436"/>
      <c r="O242" s="436"/>
      <c r="P242" s="436"/>
      <c r="Q242" s="436"/>
      <c r="R242" s="436"/>
      <c r="S242" s="436"/>
      <c r="T242" s="436"/>
      <c r="U242" s="436"/>
      <c r="V242" s="436"/>
      <c r="W242" s="436"/>
      <c r="X242" s="436"/>
      <c r="Y242" s="436"/>
      <c r="Z242" s="436"/>
    </row>
    <row r="243" ht="15.75" customHeight="1">
      <c r="A243" s="436">
        <v>245.0</v>
      </c>
      <c r="B243" s="436" t="s">
        <v>2919</v>
      </c>
      <c r="C243" s="551" t="s">
        <v>3860</v>
      </c>
      <c r="D243" s="436" t="s">
        <v>4096</v>
      </c>
      <c r="E243" s="436"/>
      <c r="F243" s="436"/>
      <c r="G243" s="436"/>
      <c r="H243" s="436"/>
      <c r="I243" s="436"/>
      <c r="J243" s="436"/>
      <c r="K243" s="436"/>
      <c r="L243" s="436"/>
      <c r="M243" s="436"/>
      <c r="N243" s="436"/>
      <c r="O243" s="436"/>
      <c r="P243" s="436"/>
      <c r="Q243" s="436"/>
      <c r="R243" s="436"/>
      <c r="S243" s="436"/>
      <c r="T243" s="436"/>
      <c r="U243" s="436"/>
      <c r="V243" s="436"/>
      <c r="W243" s="436"/>
      <c r="X243" s="436"/>
      <c r="Y243" s="436"/>
      <c r="Z243" s="436"/>
    </row>
    <row r="244" ht="15.75" customHeight="1">
      <c r="A244" s="436">
        <v>246.0</v>
      </c>
      <c r="B244" s="436" t="s">
        <v>2919</v>
      </c>
      <c r="C244" s="541" t="s">
        <v>3854</v>
      </c>
      <c r="D244" s="436" t="s">
        <v>4097</v>
      </c>
      <c r="E244" s="436"/>
      <c r="F244" s="436"/>
      <c r="G244" s="436"/>
      <c r="H244" s="436"/>
      <c r="I244" s="436"/>
      <c r="J244" s="436"/>
      <c r="K244" s="436"/>
      <c r="L244" s="436"/>
      <c r="M244" s="436"/>
      <c r="N244" s="436"/>
      <c r="O244" s="436"/>
      <c r="P244" s="436"/>
      <c r="Q244" s="436"/>
      <c r="R244" s="436"/>
      <c r="S244" s="436"/>
      <c r="T244" s="436"/>
      <c r="U244" s="436"/>
      <c r="V244" s="436"/>
      <c r="W244" s="436"/>
      <c r="X244" s="436"/>
      <c r="Y244" s="436"/>
      <c r="Z244" s="436"/>
    </row>
    <row r="245" ht="15.75" customHeight="1">
      <c r="A245" s="436">
        <v>247.0</v>
      </c>
      <c r="B245" s="436" t="s">
        <v>2919</v>
      </c>
      <c r="C245" s="541" t="s">
        <v>3854</v>
      </c>
      <c r="D245" s="436" t="s">
        <v>4098</v>
      </c>
      <c r="E245" s="436"/>
      <c r="F245" s="436"/>
      <c r="G245" s="436"/>
      <c r="H245" s="436"/>
      <c r="I245" s="436"/>
      <c r="J245" s="436"/>
      <c r="K245" s="436"/>
      <c r="L245" s="436"/>
      <c r="M245" s="436"/>
      <c r="N245" s="436"/>
      <c r="O245" s="436"/>
      <c r="P245" s="436"/>
      <c r="Q245" s="436"/>
      <c r="R245" s="436"/>
      <c r="S245" s="436"/>
      <c r="T245" s="436"/>
      <c r="U245" s="436"/>
      <c r="V245" s="436"/>
      <c r="W245" s="436"/>
      <c r="X245" s="436"/>
      <c r="Y245" s="436"/>
      <c r="Z245" s="436"/>
    </row>
    <row r="246" ht="15.75" customHeight="1">
      <c r="A246" s="436">
        <v>248.0</v>
      </c>
      <c r="B246" s="436" t="s">
        <v>2919</v>
      </c>
      <c r="C246" s="541" t="s">
        <v>3854</v>
      </c>
      <c r="D246" s="436" t="s">
        <v>4099</v>
      </c>
      <c r="E246" s="436"/>
      <c r="F246" s="436"/>
      <c r="G246" s="436"/>
      <c r="H246" s="436"/>
      <c r="I246" s="436"/>
      <c r="J246" s="436"/>
      <c r="K246" s="436"/>
      <c r="L246" s="436"/>
      <c r="M246" s="436"/>
      <c r="N246" s="436"/>
      <c r="O246" s="436"/>
      <c r="P246" s="436"/>
      <c r="Q246" s="436"/>
      <c r="R246" s="436"/>
      <c r="S246" s="436"/>
      <c r="T246" s="436"/>
      <c r="U246" s="436"/>
      <c r="V246" s="436"/>
      <c r="W246" s="436"/>
      <c r="X246" s="436"/>
      <c r="Y246" s="436"/>
      <c r="Z246" s="436"/>
    </row>
    <row r="247" ht="15.75" customHeight="1">
      <c r="A247" s="436">
        <v>249.0</v>
      </c>
      <c r="B247" s="436" t="s">
        <v>2892</v>
      </c>
      <c r="C247" s="551" t="s">
        <v>3860</v>
      </c>
      <c r="D247" s="436" t="s">
        <v>4100</v>
      </c>
      <c r="E247" s="436"/>
      <c r="F247" s="436"/>
      <c r="G247" s="436"/>
      <c r="H247" s="436"/>
      <c r="I247" s="436"/>
      <c r="J247" s="436"/>
      <c r="K247" s="436"/>
      <c r="L247" s="436"/>
      <c r="M247" s="436"/>
      <c r="N247" s="436"/>
      <c r="O247" s="436"/>
      <c r="P247" s="436"/>
      <c r="Q247" s="436"/>
      <c r="R247" s="436"/>
      <c r="S247" s="436"/>
      <c r="T247" s="436"/>
      <c r="U247" s="436"/>
      <c r="V247" s="436"/>
      <c r="W247" s="436"/>
      <c r="X247" s="436"/>
      <c r="Y247" s="436"/>
      <c r="Z247" s="436"/>
    </row>
    <row r="248" ht="15.75" customHeight="1">
      <c r="A248" s="436">
        <v>250.0</v>
      </c>
      <c r="B248" s="436" t="s">
        <v>2892</v>
      </c>
      <c r="C248" s="541" t="s">
        <v>3854</v>
      </c>
      <c r="D248" s="436" t="s">
        <v>4101</v>
      </c>
      <c r="E248" s="436"/>
      <c r="F248" s="436"/>
      <c r="G248" s="436"/>
      <c r="H248" s="436"/>
      <c r="I248" s="436"/>
      <c r="J248" s="436"/>
      <c r="K248" s="436"/>
      <c r="L248" s="436"/>
      <c r="M248" s="436"/>
      <c r="N248" s="436"/>
      <c r="O248" s="436"/>
      <c r="P248" s="436"/>
      <c r="Q248" s="436"/>
      <c r="R248" s="436"/>
      <c r="S248" s="436"/>
      <c r="T248" s="436"/>
      <c r="U248" s="436"/>
      <c r="V248" s="436"/>
      <c r="W248" s="436"/>
      <c r="X248" s="436"/>
      <c r="Y248" s="436"/>
      <c r="Z248" s="436"/>
    </row>
    <row r="249" ht="15.75" customHeight="1">
      <c r="A249" s="436">
        <v>251.0</v>
      </c>
      <c r="B249" s="436" t="s">
        <v>2892</v>
      </c>
      <c r="C249" s="541" t="s">
        <v>3854</v>
      </c>
      <c r="D249" s="436" t="s">
        <v>4102</v>
      </c>
      <c r="E249" s="436"/>
      <c r="F249" s="436"/>
      <c r="G249" s="436"/>
      <c r="H249" s="436"/>
      <c r="I249" s="436"/>
      <c r="J249" s="436"/>
      <c r="K249" s="436"/>
      <c r="L249" s="436"/>
      <c r="M249" s="436"/>
      <c r="N249" s="436"/>
      <c r="O249" s="436"/>
      <c r="P249" s="436"/>
      <c r="Q249" s="436"/>
      <c r="R249" s="436"/>
      <c r="S249" s="436"/>
      <c r="T249" s="436"/>
      <c r="U249" s="436"/>
      <c r="V249" s="436"/>
      <c r="W249" s="436"/>
      <c r="X249" s="436"/>
      <c r="Y249" s="436"/>
      <c r="Z249" s="436"/>
    </row>
    <row r="250" ht="15.75" customHeight="1">
      <c r="A250" s="436">
        <v>252.0</v>
      </c>
      <c r="B250" s="436" t="s">
        <v>2892</v>
      </c>
      <c r="C250" s="541" t="s">
        <v>3854</v>
      </c>
      <c r="D250" s="436" t="s">
        <v>4103</v>
      </c>
      <c r="E250" s="436"/>
      <c r="F250" s="436"/>
      <c r="G250" s="436"/>
      <c r="H250" s="436"/>
      <c r="I250" s="436"/>
      <c r="J250" s="436"/>
      <c r="K250" s="436"/>
      <c r="L250" s="436"/>
      <c r="M250" s="436"/>
      <c r="N250" s="436"/>
      <c r="O250" s="436"/>
      <c r="P250" s="436"/>
      <c r="Q250" s="436"/>
      <c r="R250" s="436"/>
      <c r="S250" s="436"/>
      <c r="T250" s="436"/>
      <c r="U250" s="436"/>
      <c r="V250" s="436"/>
      <c r="W250" s="436"/>
      <c r="X250" s="436"/>
      <c r="Y250" s="436"/>
      <c r="Z250" s="436"/>
    </row>
    <row r="251" ht="15.75" customHeight="1">
      <c r="A251" s="436">
        <v>253.0</v>
      </c>
      <c r="B251" s="436" t="s">
        <v>2892</v>
      </c>
      <c r="C251" s="541" t="s">
        <v>3854</v>
      </c>
      <c r="D251" s="436" t="s">
        <v>4104</v>
      </c>
      <c r="E251" s="436"/>
      <c r="F251" s="436"/>
      <c r="G251" s="436"/>
      <c r="H251" s="436"/>
      <c r="I251" s="436"/>
      <c r="J251" s="436"/>
      <c r="K251" s="436"/>
      <c r="L251" s="436"/>
      <c r="M251" s="436"/>
      <c r="N251" s="436"/>
      <c r="O251" s="436"/>
      <c r="P251" s="436"/>
      <c r="Q251" s="436"/>
      <c r="R251" s="436"/>
      <c r="S251" s="436"/>
      <c r="T251" s="436"/>
      <c r="U251" s="436"/>
      <c r="V251" s="436"/>
      <c r="W251" s="436"/>
      <c r="X251" s="436"/>
      <c r="Y251" s="436"/>
      <c r="Z251" s="436"/>
    </row>
    <row r="252" ht="15.75" customHeight="1">
      <c r="A252" s="436">
        <v>254.0</v>
      </c>
      <c r="B252" s="436" t="s">
        <v>2892</v>
      </c>
      <c r="C252" s="551" t="s">
        <v>3860</v>
      </c>
      <c r="D252" s="436" t="s">
        <v>4105</v>
      </c>
      <c r="E252" s="436"/>
      <c r="F252" s="436"/>
      <c r="G252" s="436"/>
      <c r="H252" s="436"/>
      <c r="I252" s="436"/>
      <c r="J252" s="436"/>
      <c r="K252" s="436"/>
      <c r="L252" s="436"/>
      <c r="M252" s="436"/>
      <c r="N252" s="436"/>
      <c r="O252" s="436"/>
      <c r="P252" s="436"/>
      <c r="Q252" s="436"/>
      <c r="R252" s="436"/>
      <c r="S252" s="436"/>
      <c r="T252" s="436"/>
      <c r="U252" s="436"/>
      <c r="V252" s="436"/>
      <c r="W252" s="436"/>
      <c r="X252" s="436"/>
      <c r="Y252" s="436"/>
      <c r="Z252" s="436"/>
    </row>
    <row r="253" ht="15.75" customHeight="1">
      <c r="A253" s="436">
        <v>255.0</v>
      </c>
      <c r="B253" s="436" t="s">
        <v>2892</v>
      </c>
      <c r="C253" s="551" t="s">
        <v>3860</v>
      </c>
      <c r="D253" s="436" t="s">
        <v>4106</v>
      </c>
      <c r="E253" s="436"/>
      <c r="F253" s="436"/>
      <c r="G253" s="436"/>
      <c r="H253" s="436"/>
      <c r="I253" s="436"/>
      <c r="J253" s="436"/>
      <c r="K253" s="436"/>
      <c r="L253" s="436"/>
      <c r="M253" s="436"/>
      <c r="N253" s="436"/>
      <c r="O253" s="436"/>
      <c r="P253" s="436"/>
      <c r="Q253" s="436"/>
      <c r="R253" s="436"/>
      <c r="S253" s="436"/>
      <c r="T253" s="436"/>
      <c r="U253" s="436"/>
      <c r="V253" s="436"/>
      <c r="W253" s="436"/>
      <c r="X253" s="436"/>
      <c r="Y253" s="436"/>
      <c r="Z253" s="436"/>
    </row>
    <row r="254" ht="15.75" customHeight="1">
      <c r="A254" s="436">
        <v>256.0</v>
      </c>
      <c r="B254" s="436" t="s">
        <v>2892</v>
      </c>
      <c r="C254" s="541" t="s">
        <v>3854</v>
      </c>
      <c r="D254" s="436" t="s">
        <v>4107</v>
      </c>
      <c r="E254" s="436"/>
      <c r="F254" s="436"/>
      <c r="G254" s="436"/>
      <c r="H254" s="436"/>
      <c r="I254" s="436"/>
      <c r="J254" s="436"/>
      <c r="K254" s="436"/>
      <c r="L254" s="436"/>
      <c r="M254" s="436"/>
      <c r="N254" s="436"/>
      <c r="O254" s="436"/>
      <c r="P254" s="436"/>
      <c r="Q254" s="436"/>
      <c r="R254" s="436"/>
      <c r="S254" s="436"/>
      <c r="T254" s="436"/>
      <c r="U254" s="436"/>
      <c r="V254" s="436"/>
      <c r="W254" s="436"/>
      <c r="X254" s="436"/>
      <c r="Y254" s="436"/>
      <c r="Z254" s="436"/>
    </row>
    <row r="255" ht="15.75" customHeight="1">
      <c r="A255" s="436">
        <v>257.0</v>
      </c>
      <c r="B255" s="436" t="s">
        <v>2892</v>
      </c>
      <c r="C255" s="551" t="s">
        <v>3860</v>
      </c>
      <c r="D255" s="436" t="s">
        <v>4108</v>
      </c>
      <c r="E255" s="436"/>
      <c r="F255" s="436"/>
      <c r="G255" s="436"/>
      <c r="H255" s="436"/>
      <c r="I255" s="436"/>
      <c r="J255" s="436"/>
      <c r="K255" s="436"/>
      <c r="L255" s="436"/>
      <c r="M255" s="436"/>
      <c r="N255" s="436"/>
      <c r="O255" s="436"/>
      <c r="P255" s="436"/>
      <c r="Q255" s="436"/>
      <c r="R255" s="436"/>
      <c r="S255" s="436"/>
      <c r="T255" s="436"/>
      <c r="U255" s="436"/>
      <c r="V255" s="436"/>
      <c r="W255" s="436"/>
      <c r="X255" s="436"/>
      <c r="Y255" s="436"/>
      <c r="Z255" s="436"/>
    </row>
    <row r="256" ht="15.75" customHeight="1">
      <c r="A256" s="436">
        <v>258.0</v>
      </c>
      <c r="B256" s="436" t="s">
        <v>2692</v>
      </c>
      <c r="C256" s="541" t="s">
        <v>3854</v>
      </c>
      <c r="D256" s="436" t="s">
        <v>4109</v>
      </c>
      <c r="E256" s="436"/>
      <c r="F256" s="436"/>
      <c r="G256" s="436"/>
      <c r="H256" s="436"/>
      <c r="I256" s="436"/>
      <c r="J256" s="436"/>
      <c r="K256" s="436"/>
      <c r="L256" s="436"/>
      <c r="M256" s="436"/>
      <c r="N256" s="436"/>
      <c r="O256" s="436"/>
      <c r="P256" s="436"/>
      <c r="Q256" s="436"/>
      <c r="R256" s="436"/>
      <c r="S256" s="436"/>
      <c r="T256" s="436"/>
      <c r="U256" s="436"/>
      <c r="V256" s="436"/>
      <c r="W256" s="436"/>
      <c r="X256" s="436"/>
      <c r="Y256" s="436"/>
      <c r="Z256" s="436"/>
    </row>
    <row r="257" ht="15.75" customHeight="1">
      <c r="A257" s="436">
        <v>259.0</v>
      </c>
      <c r="B257" s="436" t="s">
        <v>2892</v>
      </c>
      <c r="C257" s="541" t="s">
        <v>3854</v>
      </c>
      <c r="D257" s="436" t="s">
        <v>4110</v>
      </c>
      <c r="E257" s="436"/>
      <c r="F257" s="436"/>
      <c r="G257" s="436"/>
      <c r="H257" s="436"/>
      <c r="I257" s="436"/>
      <c r="J257" s="436"/>
      <c r="K257" s="436"/>
      <c r="L257" s="436"/>
      <c r="M257" s="436"/>
      <c r="N257" s="436"/>
      <c r="O257" s="436"/>
      <c r="P257" s="436"/>
      <c r="Q257" s="436"/>
      <c r="R257" s="436"/>
      <c r="S257" s="436"/>
      <c r="T257" s="436"/>
      <c r="U257" s="436"/>
      <c r="V257" s="436"/>
      <c r="W257" s="436"/>
      <c r="X257" s="436"/>
      <c r="Y257" s="436"/>
      <c r="Z257" s="436"/>
    </row>
    <row r="258" ht="15.75" customHeight="1">
      <c r="A258" s="436">
        <v>260.0</v>
      </c>
      <c r="B258" s="436" t="s">
        <v>2892</v>
      </c>
      <c r="C258" s="541" t="s">
        <v>3854</v>
      </c>
      <c r="D258" s="436" t="s">
        <v>4111</v>
      </c>
      <c r="E258" s="436"/>
      <c r="F258" s="436"/>
      <c r="G258" s="436"/>
      <c r="H258" s="436"/>
      <c r="I258" s="436"/>
      <c r="J258" s="436"/>
      <c r="K258" s="436"/>
      <c r="L258" s="436"/>
      <c r="M258" s="436"/>
      <c r="N258" s="436"/>
      <c r="O258" s="436"/>
      <c r="P258" s="436"/>
      <c r="Q258" s="436"/>
      <c r="R258" s="436"/>
      <c r="S258" s="436"/>
      <c r="T258" s="436"/>
      <c r="U258" s="436"/>
      <c r="V258" s="436"/>
      <c r="W258" s="436"/>
      <c r="X258" s="436"/>
      <c r="Y258" s="436"/>
      <c r="Z258" s="436"/>
    </row>
    <row r="259" ht="15.75" customHeight="1">
      <c r="A259" s="436">
        <v>261.0</v>
      </c>
      <c r="B259" s="436" t="s">
        <v>2892</v>
      </c>
      <c r="C259" s="541" t="s">
        <v>3854</v>
      </c>
      <c r="D259" s="436" t="s">
        <v>4112</v>
      </c>
      <c r="E259" s="436"/>
      <c r="F259" s="436"/>
      <c r="G259" s="436"/>
      <c r="H259" s="436"/>
      <c r="I259" s="436"/>
      <c r="J259" s="436"/>
      <c r="K259" s="436"/>
      <c r="L259" s="436"/>
      <c r="M259" s="436"/>
      <c r="N259" s="436"/>
      <c r="O259" s="436"/>
      <c r="P259" s="436"/>
      <c r="Q259" s="436"/>
      <c r="R259" s="436"/>
      <c r="S259" s="436"/>
      <c r="T259" s="436"/>
      <c r="U259" s="436"/>
      <c r="V259" s="436"/>
      <c r="W259" s="436"/>
      <c r="X259" s="436"/>
      <c r="Y259" s="436"/>
      <c r="Z259" s="436"/>
    </row>
    <row r="260" ht="15.75" customHeight="1">
      <c r="A260" s="436">
        <v>262.0</v>
      </c>
      <c r="B260" s="436" t="s">
        <v>2892</v>
      </c>
      <c r="C260" s="541" t="s">
        <v>3854</v>
      </c>
      <c r="D260" s="436" t="s">
        <v>4113</v>
      </c>
      <c r="E260" s="436"/>
      <c r="F260" s="436"/>
      <c r="G260" s="436"/>
      <c r="H260" s="436"/>
      <c r="I260" s="436"/>
      <c r="J260" s="436"/>
      <c r="K260" s="436"/>
      <c r="L260" s="436"/>
      <c r="M260" s="436"/>
      <c r="N260" s="436"/>
      <c r="O260" s="436"/>
      <c r="P260" s="436"/>
      <c r="Q260" s="436"/>
      <c r="R260" s="436"/>
      <c r="S260" s="436"/>
      <c r="T260" s="436"/>
      <c r="U260" s="436"/>
      <c r="V260" s="436"/>
      <c r="W260" s="436"/>
      <c r="X260" s="436"/>
      <c r="Y260" s="436"/>
      <c r="Z260" s="436"/>
    </row>
    <row r="261" ht="15.75" customHeight="1">
      <c r="A261" s="436">
        <v>263.0</v>
      </c>
      <c r="B261" s="436" t="s">
        <v>2892</v>
      </c>
      <c r="C261" s="541" t="s">
        <v>3854</v>
      </c>
      <c r="D261" s="436" t="s">
        <v>4114</v>
      </c>
      <c r="E261" s="436"/>
      <c r="F261" s="436"/>
      <c r="G261" s="436"/>
      <c r="H261" s="436"/>
      <c r="I261" s="436"/>
      <c r="J261" s="436"/>
      <c r="K261" s="436"/>
      <c r="L261" s="436"/>
      <c r="M261" s="436"/>
      <c r="N261" s="436"/>
      <c r="O261" s="436"/>
      <c r="P261" s="436"/>
      <c r="Q261" s="436"/>
      <c r="R261" s="436"/>
      <c r="S261" s="436"/>
      <c r="T261" s="436"/>
      <c r="U261" s="436"/>
      <c r="V261" s="436"/>
      <c r="W261" s="436"/>
      <c r="X261" s="436"/>
      <c r="Y261" s="436"/>
      <c r="Z261" s="436"/>
    </row>
    <row r="262" ht="15.75" customHeight="1">
      <c r="A262" s="436">
        <v>264.0</v>
      </c>
      <c r="B262" s="436" t="s">
        <v>2892</v>
      </c>
      <c r="C262" s="541" t="s">
        <v>3854</v>
      </c>
      <c r="D262" s="436" t="s">
        <v>4115</v>
      </c>
      <c r="E262" s="436"/>
      <c r="F262" s="436"/>
      <c r="G262" s="436"/>
      <c r="H262" s="436"/>
      <c r="I262" s="436"/>
      <c r="J262" s="436"/>
      <c r="K262" s="436"/>
      <c r="L262" s="436"/>
      <c r="M262" s="436"/>
      <c r="N262" s="436"/>
      <c r="O262" s="436"/>
      <c r="P262" s="436"/>
      <c r="Q262" s="436"/>
      <c r="R262" s="436"/>
      <c r="S262" s="436"/>
      <c r="T262" s="436"/>
      <c r="U262" s="436"/>
      <c r="V262" s="436"/>
      <c r="W262" s="436"/>
      <c r="X262" s="436"/>
      <c r="Y262" s="436"/>
      <c r="Z262" s="436"/>
    </row>
    <row r="263" ht="15.75" customHeight="1">
      <c r="A263" s="436">
        <v>265.0</v>
      </c>
      <c r="B263" s="436" t="s">
        <v>2892</v>
      </c>
      <c r="C263" s="551" t="s">
        <v>3860</v>
      </c>
      <c r="D263" s="436" t="s">
        <v>4116</v>
      </c>
      <c r="E263" s="436"/>
      <c r="F263" s="436"/>
      <c r="G263" s="436"/>
      <c r="H263" s="436"/>
      <c r="I263" s="436"/>
      <c r="J263" s="436"/>
      <c r="K263" s="436"/>
      <c r="L263" s="436"/>
      <c r="M263" s="436"/>
      <c r="N263" s="436"/>
      <c r="O263" s="436"/>
      <c r="P263" s="436"/>
      <c r="Q263" s="436"/>
      <c r="R263" s="436"/>
      <c r="S263" s="436"/>
      <c r="T263" s="436"/>
      <c r="U263" s="436"/>
      <c r="V263" s="436"/>
      <c r="W263" s="436"/>
      <c r="X263" s="436"/>
      <c r="Y263" s="436"/>
      <c r="Z263" s="436"/>
    </row>
    <row r="264" ht="15.75" customHeight="1">
      <c r="A264" s="436">
        <v>266.0</v>
      </c>
      <c r="B264" s="436" t="s">
        <v>2434</v>
      </c>
      <c r="C264" s="551" t="s">
        <v>3860</v>
      </c>
      <c r="D264" s="436" t="s">
        <v>4117</v>
      </c>
      <c r="E264" s="436"/>
      <c r="F264" s="436"/>
      <c r="G264" s="436"/>
      <c r="H264" s="436"/>
      <c r="I264" s="436"/>
      <c r="J264" s="436"/>
      <c r="K264" s="436"/>
      <c r="L264" s="436"/>
      <c r="M264" s="436"/>
      <c r="N264" s="436"/>
      <c r="O264" s="436"/>
      <c r="P264" s="436"/>
      <c r="Q264" s="436"/>
      <c r="R264" s="436"/>
      <c r="S264" s="436"/>
      <c r="T264" s="436"/>
      <c r="U264" s="436"/>
      <c r="V264" s="436"/>
      <c r="W264" s="436"/>
      <c r="X264" s="436"/>
      <c r="Y264" s="436"/>
      <c r="Z264" s="436"/>
    </row>
    <row r="265" ht="15.75" customHeight="1">
      <c r="A265" s="436">
        <v>267.0</v>
      </c>
      <c r="B265" s="436" t="s">
        <v>2677</v>
      </c>
      <c r="C265" s="541" t="s">
        <v>3854</v>
      </c>
      <c r="D265" s="436" t="s">
        <v>4118</v>
      </c>
      <c r="E265" s="436"/>
      <c r="F265" s="436"/>
      <c r="G265" s="436"/>
      <c r="H265" s="436"/>
      <c r="I265" s="436"/>
      <c r="J265" s="436"/>
      <c r="K265" s="436"/>
      <c r="L265" s="436"/>
      <c r="M265" s="436"/>
      <c r="N265" s="436"/>
      <c r="O265" s="436"/>
      <c r="P265" s="436"/>
      <c r="Q265" s="436"/>
      <c r="R265" s="436"/>
      <c r="S265" s="436"/>
      <c r="T265" s="436"/>
      <c r="U265" s="436"/>
      <c r="V265" s="436"/>
      <c r="W265" s="436"/>
      <c r="X265" s="436"/>
      <c r="Y265" s="436"/>
      <c r="Z265" s="436"/>
    </row>
    <row r="266" ht="15.75" customHeight="1">
      <c r="A266" s="436">
        <v>268.0</v>
      </c>
      <c r="B266" s="436" t="s">
        <v>2892</v>
      </c>
      <c r="C266" s="541" t="s">
        <v>3854</v>
      </c>
      <c r="D266" s="436" t="s">
        <v>4119</v>
      </c>
      <c r="E266" s="436"/>
      <c r="F266" s="436"/>
      <c r="G266" s="436"/>
      <c r="H266" s="436"/>
      <c r="I266" s="436"/>
      <c r="J266" s="436"/>
      <c r="K266" s="436"/>
      <c r="L266" s="436"/>
      <c r="M266" s="436"/>
      <c r="N266" s="436"/>
      <c r="O266" s="436"/>
      <c r="P266" s="436"/>
      <c r="Q266" s="436"/>
      <c r="R266" s="436"/>
      <c r="S266" s="436"/>
      <c r="T266" s="436"/>
      <c r="U266" s="436"/>
      <c r="V266" s="436"/>
      <c r="W266" s="436"/>
      <c r="X266" s="436"/>
      <c r="Y266" s="436"/>
      <c r="Z266" s="436"/>
    </row>
    <row r="267" ht="15.75" customHeight="1">
      <c r="A267" s="436">
        <v>269.0</v>
      </c>
      <c r="B267" s="436" t="s">
        <v>2892</v>
      </c>
      <c r="C267" s="541" t="s">
        <v>3854</v>
      </c>
      <c r="D267" s="436" t="s">
        <v>4120</v>
      </c>
      <c r="E267" s="436"/>
      <c r="F267" s="436"/>
      <c r="G267" s="436"/>
      <c r="H267" s="436"/>
      <c r="I267" s="436"/>
      <c r="J267" s="436"/>
      <c r="K267" s="436"/>
      <c r="L267" s="436"/>
      <c r="M267" s="436"/>
      <c r="N267" s="436"/>
      <c r="O267" s="436"/>
      <c r="P267" s="436"/>
      <c r="Q267" s="436"/>
      <c r="R267" s="436"/>
      <c r="S267" s="436"/>
      <c r="T267" s="436"/>
      <c r="U267" s="436"/>
      <c r="V267" s="436"/>
      <c r="W267" s="436"/>
      <c r="X267" s="436"/>
      <c r="Y267" s="436"/>
      <c r="Z267" s="436"/>
    </row>
    <row r="268" ht="15.75" customHeight="1">
      <c r="A268" s="436">
        <v>270.0</v>
      </c>
      <c r="B268" s="436" t="s">
        <v>2892</v>
      </c>
      <c r="C268" s="541" t="s">
        <v>3854</v>
      </c>
      <c r="D268" s="436" t="s">
        <v>4121</v>
      </c>
      <c r="E268" s="436"/>
      <c r="F268" s="436"/>
      <c r="G268" s="436"/>
      <c r="H268" s="436"/>
      <c r="I268" s="436"/>
      <c r="J268" s="436"/>
      <c r="K268" s="436"/>
      <c r="L268" s="436"/>
      <c r="M268" s="436"/>
      <c r="N268" s="436"/>
      <c r="O268" s="436"/>
      <c r="P268" s="436"/>
      <c r="Q268" s="436"/>
      <c r="R268" s="436"/>
      <c r="S268" s="436"/>
      <c r="T268" s="436"/>
      <c r="U268" s="436"/>
      <c r="V268" s="436"/>
      <c r="W268" s="436"/>
      <c r="X268" s="436"/>
      <c r="Y268" s="436"/>
      <c r="Z268" s="436"/>
    </row>
    <row r="269" ht="15.75" customHeight="1">
      <c r="A269" s="436">
        <v>271.0</v>
      </c>
      <c r="B269" s="436" t="s">
        <v>2892</v>
      </c>
      <c r="C269" s="541" t="s">
        <v>3854</v>
      </c>
      <c r="D269" s="436" t="s">
        <v>4122</v>
      </c>
      <c r="E269" s="436"/>
      <c r="F269" s="436"/>
      <c r="G269" s="436"/>
      <c r="H269" s="436"/>
      <c r="I269" s="436"/>
      <c r="J269" s="436"/>
      <c r="K269" s="436"/>
      <c r="L269" s="436"/>
      <c r="M269" s="436"/>
      <c r="N269" s="436"/>
      <c r="O269" s="436"/>
      <c r="P269" s="436"/>
      <c r="Q269" s="436"/>
      <c r="R269" s="436"/>
      <c r="S269" s="436"/>
      <c r="T269" s="436"/>
      <c r="U269" s="436"/>
      <c r="V269" s="436"/>
      <c r="W269" s="436"/>
      <c r="X269" s="436"/>
      <c r="Y269" s="436"/>
      <c r="Z269" s="436"/>
    </row>
    <row r="270" ht="15.75" customHeight="1">
      <c r="A270" s="436">
        <v>272.0</v>
      </c>
      <c r="B270" s="436" t="s">
        <v>1849</v>
      </c>
      <c r="C270" s="551" t="s">
        <v>3860</v>
      </c>
      <c r="D270" s="436" t="s">
        <v>4123</v>
      </c>
      <c r="E270" s="436"/>
      <c r="F270" s="436"/>
      <c r="G270" s="436"/>
      <c r="H270" s="436"/>
      <c r="I270" s="436"/>
      <c r="J270" s="436"/>
      <c r="K270" s="436"/>
      <c r="L270" s="436"/>
      <c r="M270" s="436"/>
      <c r="N270" s="436"/>
      <c r="O270" s="436"/>
      <c r="P270" s="436"/>
      <c r="Q270" s="436"/>
      <c r="R270" s="436"/>
      <c r="S270" s="436"/>
      <c r="T270" s="436"/>
      <c r="U270" s="436"/>
      <c r="V270" s="436"/>
      <c r="W270" s="436"/>
      <c r="X270" s="436"/>
      <c r="Y270" s="436"/>
      <c r="Z270" s="436"/>
    </row>
    <row r="271" ht="15.75" customHeight="1">
      <c r="A271" s="436">
        <v>273.0</v>
      </c>
      <c r="B271" s="436" t="s">
        <v>2892</v>
      </c>
      <c r="C271" s="551" t="s">
        <v>3860</v>
      </c>
      <c r="D271" s="436" t="s">
        <v>4124</v>
      </c>
      <c r="E271" s="436"/>
      <c r="F271" s="436"/>
      <c r="G271" s="436"/>
      <c r="H271" s="436"/>
      <c r="I271" s="436"/>
      <c r="J271" s="436"/>
      <c r="K271" s="436"/>
      <c r="L271" s="436"/>
      <c r="M271" s="436"/>
      <c r="N271" s="436"/>
      <c r="O271" s="436"/>
      <c r="P271" s="436"/>
      <c r="Q271" s="436"/>
      <c r="R271" s="436"/>
      <c r="S271" s="436"/>
      <c r="T271" s="436"/>
      <c r="U271" s="436"/>
      <c r="V271" s="436"/>
      <c r="W271" s="436"/>
      <c r="X271" s="436"/>
      <c r="Y271" s="436"/>
      <c r="Z271" s="436"/>
    </row>
    <row r="272" ht="17.25" customHeight="1">
      <c r="A272" s="436">
        <v>274.0</v>
      </c>
      <c r="B272" s="436" t="s">
        <v>2892</v>
      </c>
      <c r="C272" s="551" t="s">
        <v>3860</v>
      </c>
      <c r="D272" s="436" t="s">
        <v>4125</v>
      </c>
      <c r="E272" s="436"/>
      <c r="F272" s="436"/>
      <c r="G272" s="436"/>
      <c r="H272" s="436"/>
      <c r="I272" s="436"/>
      <c r="J272" s="436"/>
      <c r="K272" s="436"/>
      <c r="L272" s="436"/>
      <c r="M272" s="436"/>
      <c r="N272" s="436"/>
      <c r="O272" s="436"/>
      <c r="P272" s="436"/>
      <c r="Q272" s="436"/>
      <c r="R272" s="436"/>
      <c r="S272" s="436"/>
      <c r="T272" s="436"/>
      <c r="U272" s="436"/>
      <c r="V272" s="436"/>
      <c r="W272" s="436"/>
      <c r="X272" s="436"/>
      <c r="Y272" s="436"/>
      <c r="Z272" s="436"/>
    </row>
    <row r="273" ht="15.75" customHeight="1">
      <c r="A273" s="436">
        <v>275.0</v>
      </c>
      <c r="B273" s="436" t="s">
        <v>2212</v>
      </c>
      <c r="C273" s="551" t="s">
        <v>3860</v>
      </c>
      <c r="D273" s="436" t="s">
        <v>4126</v>
      </c>
      <c r="E273" s="436"/>
      <c r="F273" s="436"/>
      <c r="G273" s="436"/>
      <c r="H273" s="436"/>
      <c r="I273" s="436"/>
      <c r="J273" s="436"/>
      <c r="K273" s="436"/>
      <c r="L273" s="436"/>
      <c r="M273" s="436"/>
      <c r="N273" s="436"/>
      <c r="O273" s="436"/>
      <c r="P273" s="436"/>
      <c r="Q273" s="436"/>
      <c r="R273" s="436"/>
      <c r="S273" s="436"/>
      <c r="T273" s="436"/>
      <c r="U273" s="436"/>
      <c r="V273" s="436"/>
      <c r="W273" s="436"/>
      <c r="X273" s="436"/>
      <c r="Y273" s="436"/>
      <c r="Z273" s="436"/>
    </row>
    <row r="274" ht="15.75" customHeight="1">
      <c r="A274" s="436">
        <v>276.0</v>
      </c>
      <c r="B274" s="436" t="s">
        <v>1841</v>
      </c>
      <c r="C274" s="551" t="s">
        <v>3860</v>
      </c>
      <c r="D274" s="436" t="s">
        <v>4127</v>
      </c>
      <c r="E274" s="436"/>
      <c r="F274" s="436"/>
      <c r="G274" s="436"/>
      <c r="H274" s="436"/>
      <c r="I274" s="436"/>
      <c r="J274" s="436"/>
      <c r="K274" s="436"/>
      <c r="L274" s="436"/>
      <c r="M274" s="436"/>
      <c r="N274" s="436"/>
      <c r="O274" s="436"/>
      <c r="P274" s="436"/>
      <c r="Q274" s="436"/>
      <c r="R274" s="436"/>
      <c r="S274" s="436"/>
      <c r="T274" s="436"/>
      <c r="U274" s="436"/>
      <c r="V274" s="436"/>
      <c r="W274" s="436"/>
      <c r="X274" s="436"/>
      <c r="Y274" s="436"/>
      <c r="Z274" s="436"/>
    </row>
    <row r="275" ht="15.75" customHeight="1">
      <c r="A275" s="436">
        <v>277.0</v>
      </c>
      <c r="B275" s="436" t="s">
        <v>1841</v>
      </c>
      <c r="C275" s="551" t="s">
        <v>3860</v>
      </c>
      <c r="D275" s="436" t="s">
        <v>4128</v>
      </c>
      <c r="E275" s="436"/>
      <c r="F275" s="436"/>
      <c r="G275" s="436"/>
      <c r="H275" s="436"/>
      <c r="I275" s="436"/>
      <c r="J275" s="436"/>
      <c r="K275" s="436"/>
      <c r="L275" s="436"/>
      <c r="M275" s="436"/>
      <c r="N275" s="436"/>
      <c r="O275" s="436"/>
      <c r="P275" s="436"/>
      <c r="Q275" s="436"/>
      <c r="R275" s="436"/>
      <c r="S275" s="436"/>
      <c r="T275" s="436"/>
      <c r="U275" s="436"/>
      <c r="V275" s="436"/>
      <c r="W275" s="436"/>
      <c r="X275" s="436"/>
      <c r="Y275" s="436"/>
      <c r="Z275" s="436"/>
    </row>
    <row r="276" ht="15.75" customHeight="1">
      <c r="A276" s="436">
        <v>278.0</v>
      </c>
      <c r="B276" s="436" t="s">
        <v>2892</v>
      </c>
      <c r="C276" s="541" t="s">
        <v>3854</v>
      </c>
      <c r="D276" s="436" t="s">
        <v>4129</v>
      </c>
      <c r="E276" s="436"/>
      <c r="F276" s="436"/>
      <c r="G276" s="436"/>
      <c r="H276" s="436"/>
      <c r="I276" s="436"/>
      <c r="J276" s="436"/>
      <c r="K276" s="436"/>
      <c r="L276" s="436"/>
      <c r="M276" s="436"/>
      <c r="N276" s="436"/>
      <c r="O276" s="436"/>
      <c r="P276" s="436"/>
      <c r="Q276" s="436"/>
      <c r="R276" s="436"/>
      <c r="S276" s="436"/>
      <c r="T276" s="436"/>
      <c r="U276" s="436"/>
      <c r="V276" s="436"/>
      <c r="W276" s="436"/>
      <c r="X276" s="436"/>
      <c r="Y276" s="436"/>
      <c r="Z276" s="436"/>
    </row>
    <row r="277" ht="15.75" customHeight="1">
      <c r="A277" s="436">
        <v>279.0</v>
      </c>
      <c r="B277" s="436" t="s">
        <v>2581</v>
      </c>
      <c r="C277" s="551" t="s">
        <v>3860</v>
      </c>
      <c r="D277" s="544" t="s">
        <v>4130</v>
      </c>
      <c r="E277" s="436"/>
      <c r="F277" s="436"/>
      <c r="G277" s="436"/>
      <c r="H277" s="436"/>
      <c r="I277" s="436"/>
      <c r="J277" s="436"/>
      <c r="K277" s="436"/>
      <c r="L277" s="436"/>
      <c r="M277" s="436"/>
      <c r="N277" s="436"/>
      <c r="O277" s="436"/>
      <c r="P277" s="436"/>
      <c r="Q277" s="436"/>
      <c r="R277" s="436"/>
      <c r="S277" s="436"/>
      <c r="T277" s="436"/>
      <c r="U277" s="436"/>
      <c r="V277" s="436"/>
      <c r="W277" s="436"/>
      <c r="X277" s="436"/>
      <c r="Y277" s="436"/>
      <c r="Z277" s="436"/>
    </row>
    <row r="278" ht="15.75" customHeight="1">
      <c r="A278" s="436">
        <v>280.0</v>
      </c>
      <c r="B278" s="436" t="s">
        <v>2581</v>
      </c>
      <c r="C278" s="551" t="s">
        <v>3860</v>
      </c>
      <c r="D278" s="436" t="s">
        <v>4131</v>
      </c>
      <c r="E278" s="436"/>
      <c r="F278" s="436"/>
      <c r="G278" s="436"/>
      <c r="H278" s="436"/>
      <c r="I278" s="436"/>
      <c r="J278" s="436"/>
      <c r="K278" s="436"/>
      <c r="L278" s="436"/>
      <c r="M278" s="436"/>
      <c r="N278" s="436"/>
      <c r="O278" s="436"/>
      <c r="P278" s="436"/>
      <c r="Q278" s="436"/>
      <c r="R278" s="436"/>
      <c r="S278" s="436"/>
      <c r="T278" s="436"/>
      <c r="U278" s="436"/>
      <c r="V278" s="436"/>
      <c r="W278" s="436"/>
      <c r="X278" s="436"/>
      <c r="Y278" s="436"/>
      <c r="Z278" s="436"/>
    </row>
    <row r="279" ht="15.75" customHeight="1">
      <c r="A279" s="436">
        <v>281.0</v>
      </c>
      <c r="B279" s="436" t="s">
        <v>2692</v>
      </c>
      <c r="C279" s="551" t="s">
        <v>3860</v>
      </c>
      <c r="D279" s="436" t="s">
        <v>4132</v>
      </c>
      <c r="E279" s="436"/>
      <c r="F279" s="436"/>
      <c r="G279" s="436"/>
      <c r="H279" s="436"/>
      <c r="I279" s="436"/>
      <c r="J279" s="436"/>
      <c r="K279" s="436"/>
      <c r="L279" s="436"/>
      <c r="M279" s="436"/>
      <c r="N279" s="436"/>
      <c r="O279" s="436"/>
      <c r="P279" s="436"/>
      <c r="Q279" s="436"/>
      <c r="R279" s="436"/>
      <c r="S279" s="436"/>
      <c r="T279" s="436"/>
      <c r="U279" s="436"/>
      <c r="V279" s="436"/>
      <c r="W279" s="436"/>
      <c r="X279" s="436"/>
      <c r="Y279" s="436"/>
      <c r="Z279" s="436"/>
    </row>
    <row r="280" ht="15.75" customHeight="1">
      <c r="A280" s="436">
        <v>282.0</v>
      </c>
      <c r="B280" s="436" t="s">
        <v>2892</v>
      </c>
      <c r="C280" s="551" t="s">
        <v>3860</v>
      </c>
      <c r="D280" s="436" t="s">
        <v>4133</v>
      </c>
      <c r="E280" s="436"/>
      <c r="F280" s="436"/>
      <c r="G280" s="436"/>
      <c r="H280" s="436"/>
      <c r="I280" s="436"/>
      <c r="J280" s="436"/>
      <c r="K280" s="436"/>
      <c r="L280" s="436"/>
      <c r="M280" s="436"/>
      <c r="N280" s="436"/>
      <c r="O280" s="436"/>
      <c r="P280" s="436"/>
      <c r="Q280" s="436"/>
      <c r="R280" s="436"/>
      <c r="S280" s="436"/>
      <c r="T280" s="436"/>
      <c r="U280" s="436"/>
      <c r="V280" s="436"/>
      <c r="W280" s="436"/>
      <c r="X280" s="436"/>
      <c r="Y280" s="436"/>
      <c r="Z280" s="436"/>
    </row>
    <row r="281" ht="15.75" customHeight="1">
      <c r="A281" s="436">
        <v>283.0</v>
      </c>
      <c r="B281" s="436" t="s">
        <v>2892</v>
      </c>
      <c r="C281" s="551" t="s">
        <v>3860</v>
      </c>
      <c r="D281" s="436" t="s">
        <v>4134</v>
      </c>
      <c r="E281" s="436"/>
      <c r="F281" s="436"/>
      <c r="G281" s="436"/>
      <c r="H281" s="436"/>
      <c r="I281" s="436"/>
      <c r="J281" s="436"/>
      <c r="K281" s="436"/>
      <c r="L281" s="436"/>
      <c r="M281" s="436"/>
      <c r="N281" s="436"/>
      <c r="O281" s="436"/>
      <c r="P281" s="436"/>
      <c r="Q281" s="436"/>
      <c r="R281" s="436"/>
      <c r="S281" s="436"/>
      <c r="T281" s="436"/>
      <c r="U281" s="436"/>
      <c r="V281" s="436"/>
      <c r="W281" s="436"/>
      <c r="X281" s="436"/>
      <c r="Y281" s="436"/>
      <c r="Z281" s="436"/>
    </row>
    <row r="282" ht="15.75" customHeight="1">
      <c r="A282" s="436">
        <v>284.0</v>
      </c>
      <c r="B282" s="436" t="s">
        <v>2892</v>
      </c>
      <c r="C282" s="551" t="s">
        <v>3860</v>
      </c>
      <c r="D282" s="436" t="s">
        <v>4135</v>
      </c>
      <c r="E282" s="436"/>
      <c r="F282" s="436"/>
      <c r="G282" s="436"/>
      <c r="H282" s="436"/>
      <c r="I282" s="436"/>
      <c r="J282" s="436"/>
      <c r="K282" s="436"/>
      <c r="L282" s="436"/>
      <c r="M282" s="436"/>
      <c r="N282" s="436"/>
      <c r="O282" s="436"/>
      <c r="P282" s="436"/>
      <c r="Q282" s="436"/>
      <c r="R282" s="436"/>
      <c r="S282" s="436"/>
      <c r="T282" s="436"/>
      <c r="U282" s="436"/>
      <c r="V282" s="436"/>
      <c r="W282" s="436"/>
      <c r="X282" s="436"/>
      <c r="Y282" s="436"/>
      <c r="Z282" s="436"/>
    </row>
    <row r="283" ht="15.75" customHeight="1">
      <c r="A283" s="436">
        <v>285.0</v>
      </c>
      <c r="B283" s="436" t="s">
        <v>2892</v>
      </c>
      <c r="C283" s="551" t="s">
        <v>3860</v>
      </c>
      <c r="D283" s="436" t="s">
        <v>4136</v>
      </c>
      <c r="E283" s="436"/>
      <c r="F283" s="436"/>
      <c r="G283" s="436"/>
      <c r="H283" s="436"/>
      <c r="I283" s="436"/>
      <c r="J283" s="436"/>
      <c r="K283" s="436"/>
      <c r="L283" s="436"/>
      <c r="M283" s="436"/>
      <c r="N283" s="436"/>
      <c r="O283" s="436"/>
      <c r="P283" s="436"/>
      <c r="Q283" s="436"/>
      <c r="R283" s="436"/>
      <c r="S283" s="436"/>
      <c r="T283" s="436"/>
      <c r="U283" s="436"/>
      <c r="V283" s="436"/>
      <c r="W283" s="436"/>
      <c r="X283" s="436"/>
      <c r="Y283" s="436"/>
      <c r="Z283" s="436"/>
    </row>
    <row r="284" ht="15.75" customHeight="1">
      <c r="A284" s="436">
        <v>286.0</v>
      </c>
      <c r="B284" s="436" t="s">
        <v>2892</v>
      </c>
      <c r="C284" s="551" t="s">
        <v>3860</v>
      </c>
      <c r="D284" s="436" t="s">
        <v>4137</v>
      </c>
      <c r="E284" s="436"/>
      <c r="F284" s="436"/>
      <c r="G284" s="436"/>
      <c r="H284" s="436"/>
      <c r="I284" s="436"/>
      <c r="J284" s="436"/>
      <c r="K284" s="436"/>
      <c r="L284" s="436"/>
      <c r="M284" s="436"/>
      <c r="N284" s="436"/>
      <c r="O284" s="436"/>
      <c r="P284" s="436"/>
      <c r="Q284" s="436"/>
      <c r="R284" s="436"/>
      <c r="S284" s="436"/>
      <c r="T284" s="436"/>
      <c r="U284" s="436"/>
      <c r="V284" s="436"/>
      <c r="W284" s="436"/>
      <c r="X284" s="436"/>
      <c r="Y284" s="436"/>
      <c r="Z284" s="436"/>
    </row>
    <row r="285" ht="15.75" customHeight="1">
      <c r="A285" s="436">
        <v>287.0</v>
      </c>
      <c r="B285" s="436" t="s">
        <v>2892</v>
      </c>
      <c r="C285" s="551" t="s">
        <v>3860</v>
      </c>
      <c r="D285" s="436" t="s">
        <v>4138</v>
      </c>
      <c r="E285" s="436"/>
      <c r="F285" s="436"/>
      <c r="G285" s="436"/>
      <c r="H285" s="436"/>
      <c r="I285" s="436"/>
      <c r="J285" s="436"/>
      <c r="K285" s="436"/>
      <c r="L285" s="436"/>
      <c r="M285" s="436"/>
      <c r="N285" s="436"/>
      <c r="O285" s="436"/>
      <c r="P285" s="436"/>
      <c r="Q285" s="436"/>
      <c r="R285" s="436"/>
      <c r="S285" s="436"/>
      <c r="T285" s="436"/>
      <c r="U285" s="436"/>
      <c r="V285" s="436"/>
      <c r="W285" s="436"/>
      <c r="X285" s="436"/>
      <c r="Y285" s="436"/>
      <c r="Z285" s="436"/>
    </row>
    <row r="286" ht="15.75" customHeight="1">
      <c r="A286" s="436">
        <v>288.0</v>
      </c>
      <c r="B286" s="436" t="s">
        <v>2434</v>
      </c>
      <c r="C286" s="541" t="s">
        <v>3854</v>
      </c>
      <c r="D286" s="436" t="s">
        <v>4139</v>
      </c>
      <c r="E286" s="436"/>
      <c r="F286" s="436"/>
      <c r="G286" s="436"/>
      <c r="H286" s="436"/>
      <c r="I286" s="436"/>
      <c r="J286" s="436"/>
      <c r="K286" s="436"/>
      <c r="L286" s="436"/>
      <c r="M286" s="436"/>
      <c r="N286" s="436"/>
      <c r="O286" s="436"/>
      <c r="P286" s="436"/>
      <c r="Q286" s="436"/>
      <c r="R286" s="436"/>
      <c r="S286" s="436"/>
      <c r="T286" s="436"/>
      <c r="U286" s="436"/>
      <c r="V286" s="436"/>
      <c r="W286" s="436"/>
      <c r="X286" s="436"/>
      <c r="Y286" s="436"/>
      <c r="Z286" s="436"/>
    </row>
    <row r="287" ht="15.75" customHeight="1">
      <c r="A287" s="436">
        <v>289.0</v>
      </c>
      <c r="B287" s="436" t="s">
        <v>2892</v>
      </c>
      <c r="C287" s="436" t="s">
        <v>3860</v>
      </c>
      <c r="D287" s="436" t="s">
        <v>4140</v>
      </c>
      <c r="E287" s="436"/>
      <c r="F287" s="436"/>
      <c r="G287" s="436"/>
      <c r="H287" s="436"/>
      <c r="I287" s="436"/>
      <c r="J287" s="436"/>
      <c r="K287" s="436"/>
      <c r="L287" s="436"/>
      <c r="M287" s="436"/>
      <c r="N287" s="436"/>
      <c r="O287" s="436"/>
      <c r="P287" s="436"/>
      <c r="Q287" s="436"/>
      <c r="R287" s="436"/>
      <c r="S287" s="436"/>
      <c r="T287" s="436"/>
      <c r="U287" s="436"/>
      <c r="V287" s="436"/>
      <c r="W287" s="436"/>
      <c r="X287" s="436"/>
      <c r="Y287" s="436"/>
      <c r="Z287" s="436"/>
    </row>
    <row r="288" ht="15.75" customHeight="1">
      <c r="A288" s="436">
        <v>290.0</v>
      </c>
      <c r="B288" s="436" t="s">
        <v>2892</v>
      </c>
      <c r="C288" s="436" t="s">
        <v>3860</v>
      </c>
      <c r="D288" s="436" t="s">
        <v>4141</v>
      </c>
      <c r="E288" s="436"/>
      <c r="F288" s="436"/>
      <c r="G288" s="436"/>
      <c r="H288" s="436"/>
      <c r="I288" s="436"/>
      <c r="J288" s="436"/>
      <c r="K288" s="436"/>
      <c r="L288" s="436"/>
      <c r="M288" s="436"/>
      <c r="N288" s="436"/>
      <c r="O288" s="436"/>
      <c r="P288" s="436"/>
      <c r="Q288" s="436"/>
      <c r="R288" s="436"/>
      <c r="S288" s="436"/>
      <c r="T288" s="436"/>
      <c r="U288" s="436"/>
      <c r="V288" s="436"/>
      <c r="W288" s="436"/>
      <c r="X288" s="436"/>
      <c r="Y288" s="436"/>
      <c r="Z288" s="436"/>
    </row>
    <row r="289" ht="15.75" customHeight="1">
      <c r="A289" s="436">
        <v>291.0</v>
      </c>
      <c r="B289" s="436" t="s">
        <v>2892</v>
      </c>
      <c r="C289" s="436" t="s">
        <v>3860</v>
      </c>
      <c r="D289" s="436" t="s">
        <v>4142</v>
      </c>
      <c r="E289" s="436"/>
      <c r="F289" s="436"/>
      <c r="G289" s="436"/>
      <c r="H289" s="436"/>
      <c r="I289" s="436"/>
      <c r="J289" s="436"/>
      <c r="K289" s="436"/>
      <c r="L289" s="436"/>
      <c r="M289" s="436"/>
      <c r="N289" s="436"/>
      <c r="O289" s="436"/>
      <c r="P289" s="436"/>
      <c r="Q289" s="436"/>
      <c r="R289" s="436"/>
      <c r="S289" s="436"/>
      <c r="T289" s="436"/>
      <c r="U289" s="436"/>
      <c r="V289" s="436"/>
      <c r="W289" s="436"/>
      <c r="X289" s="436"/>
      <c r="Y289" s="436"/>
      <c r="Z289" s="436"/>
    </row>
    <row r="290" ht="15.75" customHeight="1">
      <c r="A290" s="436">
        <v>292.0</v>
      </c>
      <c r="B290" s="436" t="s">
        <v>2892</v>
      </c>
      <c r="C290" s="436" t="s">
        <v>3860</v>
      </c>
      <c r="D290" s="436" t="s">
        <v>4143</v>
      </c>
      <c r="E290" s="436"/>
      <c r="F290" s="436"/>
      <c r="G290" s="436"/>
      <c r="H290" s="436"/>
      <c r="I290" s="436"/>
      <c r="J290" s="436"/>
      <c r="K290" s="436"/>
      <c r="L290" s="436"/>
      <c r="M290" s="436"/>
      <c r="N290" s="436"/>
      <c r="O290" s="436"/>
      <c r="P290" s="436"/>
      <c r="Q290" s="436"/>
      <c r="R290" s="436"/>
      <c r="S290" s="436"/>
      <c r="T290" s="436"/>
      <c r="U290" s="436"/>
      <c r="V290" s="436"/>
      <c r="W290" s="436"/>
      <c r="X290" s="436"/>
      <c r="Y290" s="436"/>
      <c r="Z290" s="436"/>
    </row>
    <row r="291" ht="15.75" customHeight="1">
      <c r="A291" s="436">
        <v>293.0</v>
      </c>
      <c r="B291" s="436" t="s">
        <v>2892</v>
      </c>
      <c r="C291" s="436" t="s">
        <v>3860</v>
      </c>
      <c r="D291" s="544" t="s">
        <v>4144</v>
      </c>
      <c r="E291" s="436"/>
      <c r="F291" s="436"/>
      <c r="G291" s="436"/>
      <c r="H291" s="436"/>
      <c r="I291" s="436"/>
      <c r="J291" s="436"/>
      <c r="K291" s="436"/>
      <c r="L291" s="436"/>
      <c r="M291" s="436"/>
      <c r="N291" s="436"/>
      <c r="O291" s="436"/>
      <c r="P291" s="436"/>
      <c r="Q291" s="436"/>
      <c r="R291" s="436"/>
      <c r="S291" s="436"/>
      <c r="T291" s="436"/>
      <c r="U291" s="436"/>
      <c r="V291" s="436"/>
      <c r="W291" s="436"/>
      <c r="X291" s="436"/>
      <c r="Y291" s="436"/>
      <c r="Z291" s="436"/>
    </row>
    <row r="292" ht="15.75" customHeight="1">
      <c r="A292" s="436">
        <v>294.0</v>
      </c>
      <c r="B292" s="436" t="s">
        <v>2892</v>
      </c>
      <c r="C292" s="541" t="s">
        <v>3854</v>
      </c>
      <c r="D292" s="436" t="s">
        <v>4145</v>
      </c>
      <c r="E292" s="436"/>
      <c r="F292" s="436"/>
      <c r="G292" s="436"/>
      <c r="H292" s="436"/>
      <c r="I292" s="436"/>
      <c r="J292" s="436"/>
      <c r="K292" s="436"/>
      <c r="L292" s="436"/>
      <c r="M292" s="436"/>
      <c r="N292" s="436"/>
      <c r="O292" s="436"/>
      <c r="P292" s="436"/>
      <c r="Q292" s="436"/>
      <c r="R292" s="436"/>
      <c r="S292" s="436"/>
      <c r="T292" s="436"/>
      <c r="U292" s="436"/>
      <c r="V292" s="436"/>
      <c r="W292" s="436"/>
      <c r="X292" s="436"/>
      <c r="Y292" s="436"/>
      <c r="Z292" s="436"/>
    </row>
    <row r="293" ht="15.75" customHeight="1">
      <c r="A293" s="436">
        <v>295.0</v>
      </c>
      <c r="B293" s="436" t="s">
        <v>2892</v>
      </c>
      <c r="C293" s="436" t="s">
        <v>3860</v>
      </c>
      <c r="D293" s="436" t="s">
        <v>4146</v>
      </c>
      <c r="E293" s="436"/>
      <c r="F293" s="436"/>
      <c r="G293" s="436"/>
      <c r="H293" s="436"/>
      <c r="I293" s="436"/>
      <c r="J293" s="436"/>
      <c r="K293" s="436"/>
      <c r="L293" s="436"/>
      <c r="M293" s="436"/>
      <c r="N293" s="436"/>
      <c r="O293" s="436"/>
      <c r="P293" s="436"/>
      <c r="Q293" s="436"/>
      <c r="R293" s="436"/>
      <c r="S293" s="436"/>
      <c r="T293" s="436"/>
      <c r="U293" s="436"/>
      <c r="V293" s="436"/>
      <c r="W293" s="436"/>
      <c r="X293" s="436"/>
      <c r="Y293" s="436"/>
      <c r="Z293" s="436"/>
    </row>
    <row r="294" ht="39.75" customHeight="1">
      <c r="A294" s="436">
        <v>296.0</v>
      </c>
      <c r="B294" s="436" t="s">
        <v>2892</v>
      </c>
      <c r="C294" s="436" t="s">
        <v>3860</v>
      </c>
      <c r="D294" s="436" t="s">
        <v>4147</v>
      </c>
      <c r="E294" s="436"/>
      <c r="F294" s="436"/>
      <c r="G294" s="436"/>
      <c r="H294" s="436"/>
      <c r="I294" s="436"/>
      <c r="J294" s="436"/>
      <c r="K294" s="436"/>
      <c r="L294" s="436"/>
      <c r="M294" s="436"/>
      <c r="N294" s="436"/>
      <c r="O294" s="436"/>
      <c r="P294" s="436"/>
      <c r="Q294" s="436"/>
      <c r="R294" s="436"/>
      <c r="S294" s="436"/>
      <c r="T294" s="436"/>
      <c r="U294" s="436"/>
      <c r="V294" s="436"/>
      <c r="W294" s="436"/>
      <c r="X294" s="436"/>
      <c r="Y294" s="436"/>
      <c r="Z294" s="436"/>
    </row>
    <row r="295" ht="15.75" customHeight="1">
      <c r="A295" s="436">
        <v>297.0</v>
      </c>
      <c r="B295" s="436" t="s">
        <v>2892</v>
      </c>
      <c r="C295" s="436" t="s">
        <v>3860</v>
      </c>
      <c r="D295" s="436" t="s">
        <v>4148</v>
      </c>
      <c r="E295" s="436"/>
      <c r="F295" s="436"/>
      <c r="G295" s="436"/>
      <c r="H295" s="436"/>
      <c r="I295" s="436"/>
      <c r="J295" s="436"/>
      <c r="K295" s="436"/>
      <c r="L295" s="436"/>
      <c r="M295" s="436"/>
      <c r="N295" s="436"/>
      <c r="O295" s="436"/>
      <c r="P295" s="436"/>
      <c r="Q295" s="436"/>
      <c r="R295" s="436"/>
      <c r="S295" s="436"/>
      <c r="T295" s="436"/>
      <c r="U295" s="436"/>
      <c r="V295" s="436"/>
      <c r="W295" s="436"/>
      <c r="X295" s="436"/>
      <c r="Y295" s="436"/>
      <c r="Z295" s="436"/>
    </row>
    <row r="296" ht="15.75" customHeight="1">
      <c r="A296" s="436">
        <v>298.0</v>
      </c>
      <c r="B296" s="436" t="s">
        <v>2892</v>
      </c>
      <c r="C296" s="436" t="s">
        <v>3860</v>
      </c>
      <c r="D296" s="436" t="s">
        <v>4149</v>
      </c>
      <c r="E296" s="436"/>
      <c r="F296" s="436"/>
      <c r="G296" s="436"/>
      <c r="H296" s="436"/>
      <c r="I296" s="436"/>
      <c r="J296" s="436"/>
      <c r="K296" s="436"/>
      <c r="L296" s="436"/>
      <c r="M296" s="436"/>
      <c r="N296" s="436"/>
      <c r="O296" s="436"/>
      <c r="P296" s="436"/>
      <c r="Q296" s="436"/>
      <c r="R296" s="436"/>
      <c r="S296" s="436"/>
      <c r="T296" s="436"/>
      <c r="U296" s="436"/>
      <c r="V296" s="436"/>
      <c r="W296" s="436"/>
      <c r="X296" s="436"/>
      <c r="Y296" s="436"/>
      <c r="Z296" s="436"/>
    </row>
    <row r="297" ht="15.75" customHeight="1">
      <c r="A297" s="436">
        <v>299.0</v>
      </c>
      <c r="B297" s="436"/>
      <c r="C297" s="436"/>
      <c r="D297" s="436"/>
      <c r="E297" s="436"/>
      <c r="F297" s="436"/>
      <c r="G297" s="436"/>
      <c r="H297" s="436"/>
      <c r="I297" s="436"/>
      <c r="J297" s="436"/>
      <c r="K297" s="436"/>
      <c r="L297" s="436"/>
      <c r="M297" s="436"/>
      <c r="N297" s="436"/>
      <c r="O297" s="436"/>
      <c r="P297" s="436"/>
      <c r="Q297" s="436"/>
      <c r="R297" s="436"/>
      <c r="S297" s="436"/>
      <c r="T297" s="436"/>
      <c r="U297" s="436"/>
      <c r="V297" s="436"/>
      <c r="W297" s="436"/>
      <c r="X297" s="436"/>
      <c r="Y297" s="436"/>
      <c r="Z297" s="436"/>
    </row>
    <row r="298" ht="15.75" customHeight="1">
      <c r="A298" s="436">
        <v>300.0</v>
      </c>
      <c r="B298" s="436" t="s">
        <v>2892</v>
      </c>
      <c r="C298" s="436" t="s">
        <v>3860</v>
      </c>
      <c r="D298" s="436" t="s">
        <v>4150</v>
      </c>
      <c r="E298" s="436"/>
      <c r="F298" s="436"/>
      <c r="G298" s="436"/>
      <c r="H298" s="436"/>
      <c r="I298" s="436"/>
      <c r="J298" s="436"/>
      <c r="K298" s="436"/>
      <c r="L298" s="436"/>
      <c r="M298" s="436"/>
      <c r="N298" s="436"/>
      <c r="O298" s="436"/>
      <c r="P298" s="436"/>
      <c r="Q298" s="436"/>
      <c r="R298" s="436"/>
      <c r="S298" s="436"/>
      <c r="T298" s="436"/>
      <c r="U298" s="436"/>
      <c r="V298" s="436"/>
      <c r="W298" s="436"/>
      <c r="X298" s="436"/>
      <c r="Y298" s="436"/>
      <c r="Z298" s="436"/>
    </row>
    <row r="299" ht="15.75" customHeight="1">
      <c r="A299" s="436">
        <v>301.0</v>
      </c>
      <c r="B299" s="436" t="s">
        <v>2892</v>
      </c>
      <c r="C299" s="436" t="s">
        <v>3860</v>
      </c>
      <c r="D299" s="436" t="s">
        <v>4151</v>
      </c>
      <c r="E299" s="436"/>
      <c r="F299" s="436"/>
      <c r="G299" s="436"/>
      <c r="H299" s="436"/>
      <c r="I299" s="436"/>
      <c r="J299" s="436"/>
      <c r="K299" s="436"/>
      <c r="L299" s="436"/>
      <c r="M299" s="436"/>
      <c r="N299" s="436"/>
      <c r="O299" s="436"/>
      <c r="P299" s="436"/>
      <c r="Q299" s="436"/>
      <c r="R299" s="436"/>
      <c r="S299" s="436"/>
      <c r="T299" s="436"/>
      <c r="U299" s="436"/>
      <c r="V299" s="436"/>
      <c r="W299" s="436"/>
      <c r="X299" s="436"/>
      <c r="Y299" s="436"/>
      <c r="Z299" s="436"/>
    </row>
    <row r="300" ht="15.75" customHeight="1">
      <c r="A300" s="436">
        <v>302.0</v>
      </c>
      <c r="B300" s="436" t="s">
        <v>2892</v>
      </c>
      <c r="C300" s="436" t="s">
        <v>3860</v>
      </c>
      <c r="D300" s="436" t="s">
        <v>4152</v>
      </c>
      <c r="E300" s="436"/>
      <c r="F300" s="436"/>
      <c r="G300" s="436"/>
      <c r="H300" s="436"/>
      <c r="I300" s="436"/>
      <c r="J300" s="436"/>
      <c r="K300" s="436"/>
      <c r="L300" s="436"/>
      <c r="M300" s="436"/>
      <c r="N300" s="436"/>
      <c r="O300" s="436"/>
      <c r="P300" s="436"/>
      <c r="Q300" s="436"/>
      <c r="R300" s="436"/>
      <c r="S300" s="436"/>
      <c r="T300" s="436"/>
      <c r="U300" s="436"/>
      <c r="V300" s="436"/>
      <c r="W300" s="436"/>
      <c r="X300" s="436"/>
      <c r="Y300" s="436"/>
      <c r="Z300" s="436"/>
    </row>
    <row r="301" ht="15.75" customHeight="1">
      <c r="A301" s="436">
        <v>303.0</v>
      </c>
      <c r="B301" s="436" t="s">
        <v>2892</v>
      </c>
      <c r="C301" s="436" t="s">
        <v>3860</v>
      </c>
      <c r="D301" s="436" t="s">
        <v>4153</v>
      </c>
      <c r="E301" s="436"/>
      <c r="F301" s="436"/>
      <c r="G301" s="436"/>
      <c r="H301" s="436"/>
      <c r="I301" s="436"/>
      <c r="J301" s="436"/>
      <c r="K301" s="436"/>
      <c r="L301" s="436"/>
      <c r="M301" s="436"/>
      <c r="N301" s="436"/>
      <c r="O301" s="436"/>
      <c r="P301" s="436"/>
      <c r="Q301" s="436"/>
      <c r="R301" s="436"/>
      <c r="S301" s="436"/>
      <c r="T301" s="436"/>
      <c r="U301" s="436"/>
      <c r="V301" s="436"/>
      <c r="W301" s="436"/>
      <c r="X301" s="436"/>
      <c r="Y301" s="436"/>
      <c r="Z301" s="436"/>
    </row>
    <row r="302" ht="15.75" customHeight="1">
      <c r="A302" s="436">
        <v>304.0</v>
      </c>
      <c r="B302" s="436" t="s">
        <v>2892</v>
      </c>
      <c r="C302" s="436" t="s">
        <v>3860</v>
      </c>
      <c r="D302" s="436" t="s">
        <v>4154</v>
      </c>
      <c r="E302" s="436"/>
      <c r="F302" s="436"/>
      <c r="G302" s="436"/>
      <c r="H302" s="436"/>
      <c r="I302" s="436"/>
      <c r="J302" s="436"/>
      <c r="K302" s="436"/>
      <c r="L302" s="436"/>
      <c r="M302" s="436"/>
      <c r="N302" s="436"/>
      <c r="O302" s="436"/>
      <c r="P302" s="436"/>
      <c r="Q302" s="436"/>
      <c r="R302" s="436"/>
      <c r="S302" s="436"/>
      <c r="T302" s="436"/>
      <c r="U302" s="436"/>
      <c r="V302" s="436"/>
      <c r="W302" s="436"/>
      <c r="X302" s="436"/>
      <c r="Y302" s="436"/>
      <c r="Z302" s="436"/>
    </row>
    <row r="303" ht="15.75" customHeight="1">
      <c r="A303" s="436">
        <v>305.0</v>
      </c>
      <c r="B303" s="436" t="s">
        <v>2892</v>
      </c>
      <c r="C303" s="436" t="s">
        <v>3860</v>
      </c>
      <c r="D303" s="436" t="s">
        <v>4155</v>
      </c>
      <c r="E303" s="436"/>
      <c r="F303" s="436"/>
      <c r="G303" s="436"/>
      <c r="H303" s="436"/>
      <c r="I303" s="436"/>
      <c r="J303" s="436"/>
      <c r="K303" s="436"/>
      <c r="L303" s="436"/>
      <c r="M303" s="436"/>
      <c r="N303" s="436"/>
      <c r="O303" s="436"/>
      <c r="P303" s="436"/>
      <c r="Q303" s="436"/>
      <c r="R303" s="436"/>
      <c r="S303" s="436"/>
      <c r="T303" s="436"/>
      <c r="U303" s="436"/>
      <c r="V303" s="436"/>
      <c r="W303" s="436"/>
      <c r="X303" s="436"/>
      <c r="Y303" s="436"/>
      <c r="Z303" s="436"/>
    </row>
    <row r="304" ht="15.75" customHeight="1">
      <c r="A304" s="436">
        <v>306.0</v>
      </c>
      <c r="B304" s="436" t="s">
        <v>2892</v>
      </c>
      <c r="C304" s="546" t="s">
        <v>3860</v>
      </c>
      <c r="D304" s="436" t="s">
        <v>4156</v>
      </c>
      <c r="E304" s="436"/>
      <c r="F304" s="436"/>
      <c r="G304" s="436"/>
      <c r="H304" s="436"/>
      <c r="I304" s="436"/>
      <c r="J304" s="436"/>
      <c r="K304" s="436"/>
      <c r="L304" s="436"/>
      <c r="M304" s="436"/>
      <c r="N304" s="436"/>
      <c r="O304" s="436"/>
      <c r="P304" s="436"/>
      <c r="Q304" s="436"/>
      <c r="R304" s="436"/>
      <c r="S304" s="436"/>
      <c r="T304" s="436"/>
      <c r="U304" s="436"/>
      <c r="V304" s="436"/>
      <c r="W304" s="436"/>
      <c r="X304" s="436"/>
      <c r="Y304" s="436"/>
      <c r="Z304" s="436"/>
    </row>
    <row r="305" ht="15.75" customHeight="1">
      <c r="A305" s="436">
        <v>307.0</v>
      </c>
      <c r="B305" s="436" t="s">
        <v>2892</v>
      </c>
      <c r="C305" s="436" t="s">
        <v>3860</v>
      </c>
      <c r="D305" s="436" t="s">
        <v>4157</v>
      </c>
      <c r="E305" s="436"/>
      <c r="F305" s="436"/>
      <c r="G305" s="436"/>
      <c r="H305" s="436"/>
      <c r="I305" s="436"/>
      <c r="J305" s="436"/>
      <c r="K305" s="436"/>
      <c r="L305" s="436"/>
      <c r="M305" s="436"/>
      <c r="N305" s="436"/>
      <c r="O305" s="436"/>
      <c r="P305" s="436"/>
      <c r="Q305" s="436"/>
      <c r="R305" s="436"/>
      <c r="S305" s="436"/>
      <c r="T305" s="436"/>
      <c r="U305" s="436"/>
      <c r="V305" s="436"/>
      <c r="W305" s="436"/>
      <c r="X305" s="436"/>
      <c r="Y305" s="436"/>
      <c r="Z305" s="436"/>
    </row>
    <row r="306" ht="15.75" customHeight="1">
      <c r="A306" s="436">
        <v>308.0</v>
      </c>
      <c r="B306" s="436" t="s">
        <v>2892</v>
      </c>
      <c r="C306" s="436" t="s">
        <v>3860</v>
      </c>
      <c r="D306" s="436" t="s">
        <v>4158</v>
      </c>
      <c r="E306" s="436"/>
      <c r="F306" s="436"/>
      <c r="G306" s="436"/>
      <c r="H306" s="436"/>
      <c r="I306" s="436"/>
      <c r="J306" s="436"/>
      <c r="K306" s="436"/>
      <c r="L306" s="436"/>
      <c r="M306" s="436"/>
      <c r="N306" s="436"/>
      <c r="O306" s="436"/>
      <c r="P306" s="436"/>
      <c r="Q306" s="436"/>
      <c r="R306" s="436"/>
      <c r="S306" s="436"/>
      <c r="T306" s="436"/>
      <c r="U306" s="436"/>
      <c r="V306" s="436"/>
      <c r="W306" s="436"/>
      <c r="X306" s="436"/>
      <c r="Y306" s="436"/>
      <c r="Z306" s="436"/>
    </row>
    <row r="307" ht="15.75" customHeight="1">
      <c r="A307" s="555">
        <v>309.0</v>
      </c>
      <c r="B307" s="555" t="s">
        <v>2892</v>
      </c>
      <c r="C307" s="555" t="s">
        <v>3860</v>
      </c>
      <c r="D307" s="555" t="s">
        <v>4159</v>
      </c>
      <c r="E307" s="436"/>
      <c r="F307" s="436"/>
      <c r="G307" s="436"/>
      <c r="H307" s="436"/>
      <c r="I307" s="436"/>
      <c r="J307" s="436"/>
      <c r="K307" s="436"/>
      <c r="L307" s="436"/>
      <c r="M307" s="436"/>
      <c r="N307" s="436"/>
      <c r="O307" s="436"/>
      <c r="P307" s="436"/>
      <c r="Q307" s="436"/>
      <c r="R307" s="436"/>
      <c r="S307" s="436"/>
      <c r="T307" s="436"/>
      <c r="U307" s="436"/>
      <c r="V307" s="436"/>
      <c r="W307" s="436"/>
      <c r="X307" s="436"/>
      <c r="Y307" s="436"/>
      <c r="Z307" s="436"/>
    </row>
    <row r="308" ht="15.75" customHeight="1">
      <c r="A308" s="436">
        <v>310.0</v>
      </c>
      <c r="B308" s="436" t="s">
        <v>2892</v>
      </c>
      <c r="C308" s="436" t="s">
        <v>3860</v>
      </c>
      <c r="D308" s="436" t="s">
        <v>4160</v>
      </c>
      <c r="E308" s="436"/>
      <c r="F308" s="436"/>
      <c r="G308" s="436"/>
      <c r="H308" s="436"/>
      <c r="I308" s="436"/>
      <c r="J308" s="436"/>
      <c r="K308" s="436"/>
      <c r="L308" s="436"/>
      <c r="M308" s="436"/>
      <c r="N308" s="436"/>
      <c r="O308" s="436"/>
      <c r="P308" s="436"/>
      <c r="Q308" s="436"/>
      <c r="R308" s="436"/>
      <c r="S308" s="436"/>
      <c r="T308" s="436"/>
      <c r="U308" s="436"/>
      <c r="V308" s="436"/>
      <c r="W308" s="436"/>
      <c r="X308" s="436"/>
      <c r="Y308" s="436"/>
      <c r="Z308" s="436"/>
    </row>
    <row r="309" ht="15.75" customHeight="1">
      <c r="A309" s="436">
        <v>311.0</v>
      </c>
      <c r="B309" s="436" t="s">
        <v>2892</v>
      </c>
      <c r="C309" s="436" t="s">
        <v>3860</v>
      </c>
      <c r="D309" s="436" t="s">
        <v>4161</v>
      </c>
      <c r="E309" s="436"/>
      <c r="F309" s="436"/>
      <c r="G309" s="436"/>
      <c r="H309" s="436"/>
      <c r="I309" s="436"/>
      <c r="J309" s="436"/>
      <c r="K309" s="436"/>
      <c r="L309" s="436"/>
      <c r="M309" s="436"/>
      <c r="N309" s="436"/>
      <c r="O309" s="436"/>
      <c r="P309" s="436"/>
      <c r="Q309" s="436"/>
      <c r="R309" s="436"/>
      <c r="S309" s="436"/>
      <c r="T309" s="436"/>
      <c r="U309" s="436"/>
      <c r="V309" s="436"/>
      <c r="W309" s="436"/>
      <c r="X309" s="436"/>
      <c r="Y309" s="436"/>
      <c r="Z309" s="436"/>
    </row>
    <row r="310" ht="15.75" customHeight="1">
      <c r="A310" s="436">
        <v>312.0</v>
      </c>
      <c r="B310" s="436" t="s">
        <v>2892</v>
      </c>
      <c r="C310" s="436" t="s">
        <v>3860</v>
      </c>
      <c r="D310" s="436" t="s">
        <v>4162</v>
      </c>
      <c r="E310" s="436"/>
      <c r="F310" s="436"/>
      <c r="G310" s="436"/>
      <c r="H310" s="436"/>
      <c r="I310" s="436"/>
      <c r="J310" s="436"/>
      <c r="K310" s="436"/>
      <c r="L310" s="436"/>
      <c r="M310" s="436"/>
      <c r="N310" s="436"/>
      <c r="O310" s="436"/>
      <c r="P310" s="436"/>
      <c r="Q310" s="436"/>
      <c r="R310" s="436"/>
      <c r="S310" s="436"/>
      <c r="T310" s="436"/>
      <c r="U310" s="436"/>
      <c r="V310" s="436"/>
      <c r="W310" s="436"/>
      <c r="X310" s="436"/>
      <c r="Y310" s="436"/>
      <c r="Z310" s="436"/>
    </row>
    <row r="311" ht="15.75" customHeight="1">
      <c r="A311" s="436">
        <v>313.0</v>
      </c>
      <c r="B311" s="436" t="s">
        <v>2892</v>
      </c>
      <c r="C311" s="436" t="s">
        <v>3860</v>
      </c>
      <c r="D311" s="436" t="s">
        <v>4163</v>
      </c>
      <c r="E311" s="436"/>
      <c r="F311" s="436"/>
      <c r="G311" s="436"/>
      <c r="H311" s="436"/>
      <c r="I311" s="436"/>
      <c r="J311" s="436"/>
      <c r="K311" s="436"/>
      <c r="L311" s="436"/>
      <c r="M311" s="436"/>
      <c r="N311" s="436"/>
      <c r="O311" s="436"/>
      <c r="P311" s="436"/>
      <c r="Q311" s="436"/>
      <c r="R311" s="436"/>
      <c r="S311" s="436"/>
      <c r="T311" s="436"/>
      <c r="U311" s="436"/>
      <c r="V311" s="436"/>
      <c r="W311" s="436"/>
      <c r="X311" s="436"/>
      <c r="Y311" s="436"/>
      <c r="Z311" s="436"/>
    </row>
    <row r="312" ht="15.75" customHeight="1">
      <c r="A312" s="436">
        <v>314.0</v>
      </c>
      <c r="B312" s="436" t="s">
        <v>2892</v>
      </c>
      <c r="C312" s="436" t="s">
        <v>3860</v>
      </c>
      <c r="D312" s="436" t="s">
        <v>4164</v>
      </c>
      <c r="E312" s="436"/>
      <c r="F312" s="436"/>
      <c r="G312" s="436"/>
      <c r="H312" s="436"/>
      <c r="I312" s="436"/>
      <c r="J312" s="436"/>
      <c r="K312" s="436"/>
      <c r="L312" s="436"/>
      <c r="M312" s="436"/>
      <c r="N312" s="436"/>
      <c r="O312" s="436"/>
      <c r="P312" s="436"/>
      <c r="Q312" s="436"/>
      <c r="R312" s="436"/>
      <c r="S312" s="436"/>
      <c r="T312" s="436"/>
      <c r="U312" s="436"/>
      <c r="V312" s="436"/>
      <c r="W312" s="436"/>
      <c r="X312" s="436"/>
      <c r="Y312" s="436"/>
      <c r="Z312" s="436"/>
    </row>
    <row r="313" ht="15.75" customHeight="1">
      <c r="A313" s="436">
        <v>315.0</v>
      </c>
      <c r="B313" s="436" t="s">
        <v>2892</v>
      </c>
      <c r="C313" s="436" t="s">
        <v>3854</v>
      </c>
      <c r="D313" s="436" t="s">
        <v>4165</v>
      </c>
      <c r="E313" s="436"/>
      <c r="F313" s="436"/>
      <c r="G313" s="436"/>
      <c r="H313" s="436"/>
      <c r="I313" s="436"/>
      <c r="J313" s="436"/>
      <c r="K313" s="436"/>
      <c r="L313" s="436"/>
      <c r="M313" s="436"/>
      <c r="N313" s="436"/>
      <c r="O313" s="436"/>
      <c r="P313" s="436"/>
      <c r="Q313" s="436"/>
      <c r="R313" s="436"/>
      <c r="S313" s="436"/>
      <c r="T313" s="436"/>
      <c r="U313" s="436"/>
      <c r="V313" s="436"/>
      <c r="W313" s="436"/>
      <c r="X313" s="436"/>
      <c r="Y313" s="436"/>
      <c r="Z313" s="436"/>
    </row>
    <row r="314" ht="15.75" customHeight="1">
      <c r="A314" s="436">
        <v>316.0</v>
      </c>
      <c r="B314" s="436" t="s">
        <v>2892</v>
      </c>
      <c r="C314" s="436" t="s">
        <v>3860</v>
      </c>
      <c r="D314" s="436" t="s">
        <v>4166</v>
      </c>
      <c r="E314" s="436"/>
      <c r="F314" s="436"/>
      <c r="G314" s="436"/>
      <c r="H314" s="436"/>
      <c r="I314" s="436"/>
      <c r="J314" s="436"/>
      <c r="K314" s="436"/>
      <c r="L314" s="436"/>
      <c r="M314" s="436"/>
      <c r="N314" s="436"/>
      <c r="O314" s="436"/>
      <c r="P314" s="436"/>
      <c r="Q314" s="436"/>
      <c r="R314" s="436"/>
      <c r="S314" s="436"/>
      <c r="T314" s="436"/>
      <c r="U314" s="436"/>
      <c r="V314" s="436"/>
      <c r="W314" s="436"/>
      <c r="X314" s="436"/>
      <c r="Y314" s="436"/>
      <c r="Z314" s="436"/>
    </row>
    <row r="315" ht="15.75" customHeight="1">
      <c r="A315" s="436">
        <v>317.0</v>
      </c>
      <c r="B315" s="436" t="s">
        <v>2892</v>
      </c>
      <c r="C315" s="436" t="s">
        <v>3860</v>
      </c>
      <c r="D315" s="436" t="s">
        <v>4167</v>
      </c>
      <c r="E315" s="436"/>
      <c r="F315" s="436"/>
      <c r="G315" s="436"/>
      <c r="H315" s="436"/>
      <c r="I315" s="436"/>
      <c r="J315" s="436"/>
      <c r="K315" s="436"/>
      <c r="L315" s="436"/>
      <c r="M315" s="436"/>
      <c r="N315" s="436"/>
      <c r="O315" s="436"/>
      <c r="P315" s="436"/>
      <c r="Q315" s="436"/>
      <c r="R315" s="436"/>
      <c r="S315" s="436"/>
      <c r="T315" s="436"/>
      <c r="U315" s="436"/>
      <c r="V315" s="436"/>
      <c r="W315" s="436"/>
      <c r="X315" s="436"/>
      <c r="Y315" s="436"/>
      <c r="Z315" s="436"/>
    </row>
    <row r="316" ht="15.75" customHeight="1">
      <c r="A316" s="436">
        <v>318.0</v>
      </c>
      <c r="B316" s="436" t="s">
        <v>2892</v>
      </c>
      <c r="C316" s="436" t="s">
        <v>3860</v>
      </c>
      <c r="D316" s="436" t="s">
        <v>4168</v>
      </c>
      <c r="E316" s="436"/>
      <c r="F316" s="436"/>
      <c r="G316" s="436"/>
      <c r="H316" s="436"/>
      <c r="I316" s="436"/>
      <c r="J316" s="436"/>
      <c r="K316" s="436"/>
      <c r="L316" s="436"/>
      <c r="M316" s="436"/>
      <c r="N316" s="436"/>
      <c r="O316" s="436"/>
      <c r="P316" s="436"/>
      <c r="Q316" s="436"/>
      <c r="R316" s="436"/>
      <c r="S316" s="436"/>
      <c r="T316" s="436"/>
      <c r="U316" s="436"/>
      <c r="V316" s="436"/>
      <c r="W316" s="436"/>
      <c r="X316" s="436"/>
      <c r="Y316" s="436"/>
      <c r="Z316" s="436"/>
    </row>
    <row r="317" ht="15.75" customHeight="1">
      <c r="A317" s="436">
        <v>319.0</v>
      </c>
      <c r="B317" s="436" t="s">
        <v>2892</v>
      </c>
      <c r="C317" s="436" t="s">
        <v>3860</v>
      </c>
      <c r="D317" s="436" t="s">
        <v>4169</v>
      </c>
      <c r="E317" s="436"/>
      <c r="F317" s="436"/>
      <c r="G317" s="436"/>
      <c r="H317" s="436"/>
      <c r="I317" s="436"/>
      <c r="J317" s="436"/>
      <c r="K317" s="436"/>
      <c r="L317" s="436"/>
      <c r="M317" s="436"/>
      <c r="N317" s="436"/>
      <c r="O317" s="436"/>
      <c r="P317" s="436"/>
      <c r="Q317" s="436"/>
      <c r="R317" s="436"/>
      <c r="S317" s="436"/>
      <c r="T317" s="436"/>
      <c r="U317" s="436"/>
      <c r="V317" s="436"/>
      <c r="W317" s="436"/>
      <c r="X317" s="436"/>
      <c r="Y317" s="436"/>
      <c r="Z317" s="436"/>
    </row>
    <row r="318" ht="15.75" customHeight="1">
      <c r="A318" s="436">
        <v>320.0</v>
      </c>
      <c r="B318" s="436" t="s">
        <v>1846</v>
      </c>
      <c r="C318" s="436" t="s">
        <v>3860</v>
      </c>
      <c r="D318" s="436" t="s">
        <v>4170</v>
      </c>
      <c r="E318" s="436"/>
      <c r="F318" s="436"/>
      <c r="G318" s="436"/>
      <c r="H318" s="436"/>
      <c r="I318" s="436"/>
      <c r="J318" s="436"/>
      <c r="K318" s="436"/>
      <c r="L318" s="436"/>
      <c r="M318" s="436"/>
      <c r="N318" s="436"/>
      <c r="O318" s="436"/>
      <c r="P318" s="436"/>
      <c r="Q318" s="436"/>
      <c r="R318" s="436"/>
      <c r="S318" s="436"/>
      <c r="T318" s="436"/>
      <c r="U318" s="436"/>
      <c r="V318" s="436"/>
      <c r="W318" s="436"/>
      <c r="X318" s="436"/>
      <c r="Y318" s="436"/>
      <c r="Z318" s="436"/>
    </row>
    <row r="319" ht="15.75" customHeight="1">
      <c r="A319" s="436">
        <v>321.0</v>
      </c>
      <c r="B319" s="436" t="s">
        <v>2892</v>
      </c>
      <c r="C319" s="436" t="s">
        <v>3860</v>
      </c>
      <c r="D319" s="436" t="s">
        <v>4171</v>
      </c>
      <c r="E319" s="436"/>
      <c r="F319" s="436"/>
      <c r="G319" s="436"/>
      <c r="H319" s="436"/>
      <c r="I319" s="436"/>
      <c r="J319" s="436"/>
      <c r="K319" s="436"/>
      <c r="L319" s="436"/>
      <c r="M319" s="436"/>
      <c r="N319" s="436"/>
      <c r="O319" s="436"/>
      <c r="P319" s="436"/>
      <c r="Q319" s="436"/>
      <c r="R319" s="436"/>
      <c r="S319" s="436"/>
      <c r="T319" s="436"/>
      <c r="U319" s="436"/>
      <c r="V319" s="436"/>
      <c r="W319" s="436"/>
      <c r="X319" s="436"/>
      <c r="Y319" s="436"/>
      <c r="Z319" s="436"/>
    </row>
    <row r="320" ht="15.75" customHeight="1">
      <c r="A320" s="436">
        <v>322.0</v>
      </c>
      <c r="B320" s="436" t="s">
        <v>2892</v>
      </c>
      <c r="C320" s="436" t="s">
        <v>3860</v>
      </c>
      <c r="D320" s="436" t="s">
        <v>4172</v>
      </c>
      <c r="E320" s="436"/>
      <c r="F320" s="436"/>
      <c r="G320" s="436"/>
      <c r="H320" s="436"/>
      <c r="I320" s="436"/>
      <c r="J320" s="436"/>
      <c r="K320" s="436"/>
      <c r="L320" s="436"/>
      <c r="M320" s="436"/>
      <c r="N320" s="436"/>
      <c r="O320" s="436"/>
      <c r="P320" s="436"/>
      <c r="Q320" s="436"/>
      <c r="R320" s="436"/>
      <c r="S320" s="436"/>
      <c r="T320" s="436"/>
      <c r="U320" s="436"/>
      <c r="V320" s="436"/>
      <c r="W320" s="436"/>
      <c r="X320" s="436"/>
      <c r="Y320" s="436"/>
      <c r="Z320" s="436"/>
    </row>
    <row r="321" ht="15.75" customHeight="1">
      <c r="A321" s="436">
        <v>323.0</v>
      </c>
      <c r="B321" s="436" t="s">
        <v>2892</v>
      </c>
      <c r="C321" s="436" t="s">
        <v>3860</v>
      </c>
      <c r="D321" s="436" t="s">
        <v>4173</v>
      </c>
      <c r="E321" s="436"/>
      <c r="F321" s="436"/>
      <c r="G321" s="436"/>
      <c r="H321" s="436"/>
      <c r="I321" s="436"/>
      <c r="J321" s="436"/>
      <c r="K321" s="436"/>
      <c r="L321" s="436"/>
      <c r="M321" s="436"/>
      <c r="N321" s="436"/>
      <c r="O321" s="436"/>
      <c r="P321" s="436"/>
      <c r="Q321" s="436"/>
      <c r="R321" s="436"/>
      <c r="S321" s="436"/>
      <c r="T321" s="436"/>
      <c r="U321" s="436"/>
      <c r="V321" s="436"/>
      <c r="W321" s="436"/>
      <c r="X321" s="436"/>
      <c r="Y321" s="436"/>
      <c r="Z321" s="436"/>
    </row>
    <row r="322" ht="15.75" customHeight="1">
      <c r="A322" s="436">
        <v>323.0</v>
      </c>
      <c r="B322" s="436" t="s">
        <v>2892</v>
      </c>
      <c r="C322" s="436" t="s">
        <v>3860</v>
      </c>
      <c r="D322" s="436" t="s">
        <v>4174</v>
      </c>
      <c r="E322" s="436"/>
      <c r="F322" s="436"/>
      <c r="G322" s="436"/>
      <c r="H322" s="436"/>
      <c r="I322" s="436"/>
      <c r="J322" s="436"/>
      <c r="K322" s="436"/>
      <c r="L322" s="436"/>
      <c r="M322" s="436"/>
      <c r="N322" s="436"/>
      <c r="O322" s="436"/>
      <c r="P322" s="436"/>
      <c r="Q322" s="436"/>
      <c r="R322" s="436"/>
      <c r="S322" s="436"/>
      <c r="T322" s="436"/>
      <c r="U322" s="436"/>
      <c r="V322" s="436"/>
      <c r="W322" s="436"/>
      <c r="X322" s="436"/>
      <c r="Y322" s="436"/>
      <c r="Z322" s="436"/>
    </row>
    <row r="323" ht="15.75" customHeight="1">
      <c r="A323" s="436">
        <v>324.0</v>
      </c>
      <c r="B323" s="436" t="s">
        <v>2892</v>
      </c>
      <c r="C323" s="436" t="s">
        <v>3860</v>
      </c>
      <c r="D323" s="436" t="s">
        <v>4175</v>
      </c>
      <c r="E323" s="436"/>
      <c r="F323" s="436"/>
      <c r="G323" s="436"/>
      <c r="H323" s="436"/>
      <c r="I323" s="436"/>
      <c r="J323" s="436"/>
      <c r="K323" s="436"/>
      <c r="L323" s="436"/>
      <c r="M323" s="436"/>
      <c r="N323" s="436"/>
      <c r="O323" s="436"/>
      <c r="P323" s="436"/>
      <c r="Q323" s="436"/>
      <c r="R323" s="436"/>
      <c r="S323" s="436"/>
      <c r="T323" s="436"/>
      <c r="U323" s="436"/>
      <c r="V323" s="436"/>
      <c r="W323" s="436"/>
      <c r="X323" s="436"/>
      <c r="Y323" s="436"/>
      <c r="Z323" s="436"/>
    </row>
    <row r="324" ht="15.75" customHeight="1">
      <c r="A324" s="436">
        <v>325.0</v>
      </c>
      <c r="B324" s="436" t="s">
        <v>2892</v>
      </c>
      <c r="C324" s="436" t="s">
        <v>3860</v>
      </c>
      <c r="D324" s="436" t="s">
        <v>4176</v>
      </c>
      <c r="E324" s="436"/>
      <c r="F324" s="436"/>
      <c r="G324" s="436"/>
      <c r="H324" s="436"/>
      <c r="I324" s="436"/>
      <c r="J324" s="436"/>
      <c r="K324" s="436"/>
      <c r="L324" s="436"/>
      <c r="M324" s="436"/>
      <c r="N324" s="436"/>
      <c r="O324" s="436"/>
      <c r="P324" s="436"/>
      <c r="Q324" s="436"/>
      <c r="R324" s="436"/>
      <c r="S324" s="436"/>
      <c r="T324" s="436"/>
      <c r="U324" s="436"/>
      <c r="V324" s="436"/>
      <c r="W324" s="436"/>
      <c r="X324" s="436"/>
      <c r="Y324" s="436"/>
      <c r="Z324" s="436"/>
    </row>
    <row r="325" ht="15.75" customHeight="1">
      <c r="A325" s="436">
        <v>326.0</v>
      </c>
      <c r="B325" s="436" t="s">
        <v>2892</v>
      </c>
      <c r="C325" s="436" t="s">
        <v>3860</v>
      </c>
      <c r="D325" s="436" t="s">
        <v>4177</v>
      </c>
      <c r="E325" s="436"/>
      <c r="F325" s="436"/>
      <c r="G325" s="436"/>
      <c r="H325" s="436"/>
      <c r="I325" s="436"/>
      <c r="J325" s="436"/>
      <c r="K325" s="436"/>
      <c r="L325" s="436"/>
      <c r="M325" s="436"/>
      <c r="N325" s="436"/>
      <c r="O325" s="436"/>
      <c r="P325" s="436"/>
      <c r="Q325" s="436"/>
      <c r="R325" s="436"/>
      <c r="S325" s="436"/>
      <c r="T325" s="436"/>
      <c r="U325" s="436"/>
      <c r="V325" s="436"/>
      <c r="W325" s="436"/>
      <c r="X325" s="436"/>
      <c r="Y325" s="436"/>
      <c r="Z325" s="436"/>
    </row>
    <row r="326" ht="15.75" customHeight="1">
      <c r="A326" s="436">
        <v>327.0</v>
      </c>
      <c r="B326" s="436" t="s">
        <v>2892</v>
      </c>
      <c r="C326" s="436" t="s">
        <v>3860</v>
      </c>
      <c r="D326" s="436" t="s">
        <v>4178</v>
      </c>
      <c r="E326" s="436"/>
      <c r="F326" s="436"/>
      <c r="G326" s="436"/>
      <c r="H326" s="436"/>
      <c r="I326" s="436"/>
      <c r="J326" s="436"/>
      <c r="K326" s="436"/>
      <c r="L326" s="436"/>
      <c r="M326" s="436"/>
      <c r="N326" s="436"/>
      <c r="O326" s="436"/>
      <c r="P326" s="436"/>
      <c r="Q326" s="436"/>
      <c r="R326" s="436"/>
      <c r="S326" s="436"/>
      <c r="T326" s="436"/>
      <c r="U326" s="436"/>
      <c r="V326" s="436"/>
      <c r="W326" s="436"/>
      <c r="X326" s="436"/>
      <c r="Y326" s="436"/>
      <c r="Z326" s="436"/>
    </row>
    <row r="327" ht="15.75" customHeight="1">
      <c r="A327" s="436">
        <v>328.0</v>
      </c>
      <c r="B327" s="436" t="s">
        <v>2677</v>
      </c>
      <c r="C327" s="436" t="s">
        <v>3854</v>
      </c>
      <c r="D327" s="436" t="s">
        <v>4179</v>
      </c>
      <c r="E327" s="436"/>
      <c r="F327" s="436"/>
      <c r="G327" s="436"/>
      <c r="H327" s="436"/>
      <c r="I327" s="436"/>
      <c r="J327" s="436"/>
      <c r="K327" s="436"/>
      <c r="L327" s="436"/>
      <c r="M327" s="436"/>
      <c r="N327" s="436"/>
      <c r="O327" s="436"/>
      <c r="P327" s="436"/>
      <c r="Q327" s="436"/>
      <c r="R327" s="436"/>
      <c r="S327" s="436"/>
      <c r="T327" s="436"/>
      <c r="U327" s="436"/>
      <c r="V327" s="436"/>
      <c r="W327" s="436"/>
      <c r="X327" s="436"/>
      <c r="Y327" s="436"/>
      <c r="Z327" s="436"/>
    </row>
    <row r="328" ht="15.75" customHeight="1">
      <c r="A328" s="436">
        <v>329.0</v>
      </c>
      <c r="B328" s="436" t="s">
        <v>2677</v>
      </c>
      <c r="C328" s="436" t="s">
        <v>3860</v>
      </c>
      <c r="D328" s="436" t="s">
        <v>4180</v>
      </c>
      <c r="E328" s="436"/>
      <c r="F328" s="436"/>
      <c r="G328" s="436"/>
      <c r="H328" s="436"/>
      <c r="I328" s="436"/>
      <c r="J328" s="436"/>
      <c r="K328" s="436"/>
      <c r="L328" s="436"/>
      <c r="M328" s="436"/>
      <c r="N328" s="436"/>
      <c r="O328" s="436"/>
      <c r="P328" s="436"/>
      <c r="Q328" s="436"/>
      <c r="R328" s="436"/>
      <c r="S328" s="436"/>
      <c r="T328" s="436"/>
      <c r="U328" s="436"/>
      <c r="V328" s="436"/>
      <c r="W328" s="436"/>
      <c r="X328" s="436"/>
      <c r="Y328" s="436"/>
      <c r="Z328" s="436"/>
    </row>
    <row r="329" ht="15.75" customHeight="1">
      <c r="A329" s="436">
        <v>330.0</v>
      </c>
      <c r="B329" s="436" t="s">
        <v>2677</v>
      </c>
      <c r="C329" s="436" t="s">
        <v>3860</v>
      </c>
      <c r="D329" s="436" t="s">
        <v>4181</v>
      </c>
      <c r="E329" s="436" t="s">
        <v>4182</v>
      </c>
      <c r="F329" s="436"/>
      <c r="G329" s="436"/>
      <c r="H329" s="436"/>
      <c r="I329" s="436"/>
      <c r="J329" s="436"/>
      <c r="K329" s="436"/>
      <c r="L329" s="436"/>
      <c r="M329" s="436"/>
      <c r="N329" s="436"/>
      <c r="O329" s="436"/>
      <c r="P329" s="436"/>
      <c r="Q329" s="436"/>
      <c r="R329" s="436"/>
      <c r="S329" s="436"/>
      <c r="T329" s="436"/>
      <c r="U329" s="436"/>
      <c r="V329" s="436"/>
      <c r="W329" s="436"/>
      <c r="X329" s="436"/>
      <c r="Y329" s="436"/>
      <c r="Z329" s="436"/>
    </row>
    <row r="330" ht="15.75" customHeight="1">
      <c r="A330" s="436">
        <v>331.0</v>
      </c>
      <c r="B330" s="436" t="s">
        <v>2892</v>
      </c>
      <c r="C330" s="436" t="s">
        <v>3860</v>
      </c>
      <c r="D330" s="436" t="s">
        <v>4183</v>
      </c>
      <c r="E330" s="436"/>
      <c r="F330" s="436"/>
      <c r="G330" s="436"/>
      <c r="H330" s="436"/>
      <c r="I330" s="436"/>
      <c r="J330" s="436"/>
      <c r="K330" s="436"/>
      <c r="L330" s="436"/>
      <c r="M330" s="436"/>
      <c r="N330" s="436"/>
      <c r="O330" s="436"/>
      <c r="P330" s="436"/>
      <c r="Q330" s="436"/>
      <c r="R330" s="436"/>
      <c r="S330" s="436"/>
      <c r="T330" s="436"/>
      <c r="U330" s="436"/>
      <c r="V330" s="436"/>
      <c r="W330" s="436"/>
      <c r="X330" s="436"/>
      <c r="Y330" s="436"/>
      <c r="Z330" s="436"/>
    </row>
    <row r="331" ht="15.75" customHeight="1">
      <c r="A331" s="436">
        <v>332.0</v>
      </c>
      <c r="B331" s="436" t="s">
        <v>2892</v>
      </c>
      <c r="C331" s="436" t="s">
        <v>3860</v>
      </c>
      <c r="D331" s="436" t="s">
        <v>4184</v>
      </c>
      <c r="E331" s="436"/>
      <c r="F331" s="436"/>
      <c r="G331" s="436"/>
      <c r="H331" s="436"/>
      <c r="I331" s="436"/>
      <c r="J331" s="436"/>
      <c r="K331" s="436"/>
      <c r="L331" s="436"/>
      <c r="M331" s="436"/>
      <c r="N331" s="436"/>
      <c r="O331" s="436"/>
      <c r="P331" s="436"/>
      <c r="Q331" s="436"/>
      <c r="R331" s="436"/>
      <c r="S331" s="436"/>
      <c r="T331" s="436"/>
      <c r="U331" s="436"/>
      <c r="V331" s="436"/>
      <c r="W331" s="436"/>
      <c r="X331" s="436"/>
      <c r="Y331" s="436"/>
      <c r="Z331" s="436"/>
    </row>
    <row r="332" ht="15.75" customHeight="1">
      <c r="A332" s="436">
        <v>333.0</v>
      </c>
      <c r="B332" s="436" t="s">
        <v>2892</v>
      </c>
      <c r="C332" s="436" t="s">
        <v>3860</v>
      </c>
      <c r="D332" s="436" t="s">
        <v>4185</v>
      </c>
      <c r="E332" s="436"/>
      <c r="F332" s="436"/>
      <c r="G332" s="436"/>
      <c r="H332" s="436"/>
      <c r="I332" s="436"/>
      <c r="J332" s="436"/>
      <c r="K332" s="436"/>
      <c r="L332" s="436"/>
      <c r="M332" s="436"/>
      <c r="N332" s="436"/>
      <c r="O332" s="436"/>
      <c r="P332" s="436"/>
      <c r="Q332" s="436"/>
      <c r="R332" s="436"/>
      <c r="S332" s="436"/>
      <c r="T332" s="436"/>
      <c r="U332" s="436"/>
      <c r="V332" s="436"/>
      <c r="W332" s="436"/>
      <c r="X332" s="436"/>
      <c r="Y332" s="436"/>
      <c r="Z332" s="436"/>
    </row>
    <row r="333" ht="15.75" customHeight="1">
      <c r="A333" s="436">
        <v>334.0</v>
      </c>
      <c r="B333" s="436" t="s">
        <v>2892</v>
      </c>
      <c r="C333" s="436" t="s">
        <v>3860</v>
      </c>
      <c r="D333" s="436" t="s">
        <v>4186</v>
      </c>
      <c r="E333" s="436"/>
      <c r="F333" s="436"/>
      <c r="G333" s="436"/>
      <c r="H333" s="436"/>
      <c r="I333" s="436"/>
      <c r="J333" s="436"/>
      <c r="K333" s="436"/>
      <c r="L333" s="436"/>
      <c r="M333" s="436"/>
      <c r="N333" s="436"/>
      <c r="O333" s="436"/>
      <c r="P333" s="436"/>
      <c r="Q333" s="436"/>
      <c r="R333" s="436"/>
      <c r="S333" s="436"/>
      <c r="T333" s="436"/>
      <c r="U333" s="436"/>
      <c r="V333" s="436"/>
      <c r="W333" s="436"/>
      <c r="X333" s="436"/>
      <c r="Y333" s="436"/>
      <c r="Z333" s="436"/>
    </row>
    <row r="334" ht="15.75" customHeight="1">
      <c r="A334" s="436">
        <v>335.0</v>
      </c>
      <c r="B334" s="436" t="s">
        <v>2892</v>
      </c>
      <c r="C334" s="436" t="s">
        <v>3860</v>
      </c>
      <c r="D334" s="436" t="s">
        <v>4187</v>
      </c>
      <c r="E334" s="436"/>
      <c r="F334" s="436"/>
      <c r="G334" s="436"/>
      <c r="H334" s="436"/>
      <c r="I334" s="436"/>
      <c r="J334" s="436"/>
      <c r="K334" s="436"/>
      <c r="L334" s="436"/>
      <c r="M334" s="436"/>
      <c r="N334" s="436"/>
      <c r="O334" s="436"/>
      <c r="P334" s="436"/>
      <c r="Q334" s="436"/>
      <c r="R334" s="436"/>
      <c r="S334" s="436"/>
      <c r="T334" s="436"/>
      <c r="U334" s="436"/>
      <c r="V334" s="436"/>
      <c r="W334" s="436"/>
      <c r="X334" s="436"/>
      <c r="Y334" s="436"/>
      <c r="Z334" s="436"/>
    </row>
    <row r="335" ht="15.75" customHeight="1">
      <c r="A335" s="436">
        <v>336.0</v>
      </c>
      <c r="B335" s="436" t="s">
        <v>2892</v>
      </c>
      <c r="C335" s="436" t="s">
        <v>3860</v>
      </c>
      <c r="D335" s="436" t="s">
        <v>4188</v>
      </c>
      <c r="E335" s="436"/>
      <c r="F335" s="436"/>
      <c r="G335" s="436"/>
      <c r="H335" s="436"/>
      <c r="I335" s="436"/>
      <c r="J335" s="436"/>
      <c r="K335" s="436"/>
      <c r="L335" s="436"/>
      <c r="M335" s="436"/>
      <c r="N335" s="436"/>
      <c r="O335" s="436"/>
      <c r="P335" s="436"/>
      <c r="Q335" s="436"/>
      <c r="R335" s="436"/>
      <c r="S335" s="436"/>
      <c r="T335" s="436"/>
      <c r="U335" s="436"/>
      <c r="V335" s="436"/>
      <c r="W335" s="436"/>
      <c r="X335" s="436"/>
      <c r="Y335" s="436"/>
      <c r="Z335" s="436"/>
    </row>
    <row r="336" ht="15.75" customHeight="1">
      <c r="A336" s="436">
        <v>337.0</v>
      </c>
      <c r="B336" s="436" t="s">
        <v>2892</v>
      </c>
      <c r="C336" s="436" t="s">
        <v>3860</v>
      </c>
      <c r="D336" s="436" t="s">
        <v>4189</v>
      </c>
      <c r="E336" s="436"/>
      <c r="F336" s="436"/>
      <c r="G336" s="436"/>
      <c r="H336" s="436"/>
      <c r="I336" s="436"/>
      <c r="J336" s="436"/>
      <c r="K336" s="436"/>
      <c r="L336" s="436"/>
      <c r="M336" s="436"/>
      <c r="N336" s="436"/>
      <c r="O336" s="436"/>
      <c r="P336" s="436"/>
      <c r="Q336" s="436"/>
      <c r="R336" s="436"/>
      <c r="S336" s="436"/>
      <c r="T336" s="436"/>
      <c r="U336" s="436"/>
      <c r="V336" s="436"/>
      <c r="W336" s="436"/>
      <c r="X336" s="436"/>
      <c r="Y336" s="436"/>
      <c r="Z336" s="436"/>
    </row>
    <row r="337" ht="15.75" customHeight="1">
      <c r="A337" s="436">
        <v>338.0</v>
      </c>
      <c r="B337" s="436" t="s">
        <v>2892</v>
      </c>
      <c r="C337" s="436" t="s">
        <v>3860</v>
      </c>
      <c r="D337" s="436" t="s">
        <v>4190</v>
      </c>
      <c r="E337" s="436"/>
      <c r="F337" s="436"/>
      <c r="G337" s="436"/>
      <c r="H337" s="436"/>
      <c r="I337" s="436"/>
      <c r="J337" s="436"/>
      <c r="K337" s="436"/>
      <c r="L337" s="436"/>
      <c r="M337" s="436"/>
      <c r="N337" s="436"/>
      <c r="O337" s="436"/>
      <c r="P337" s="436"/>
      <c r="Q337" s="436"/>
      <c r="R337" s="436"/>
      <c r="S337" s="436"/>
      <c r="T337" s="436"/>
      <c r="U337" s="436"/>
      <c r="V337" s="436"/>
      <c r="W337" s="436"/>
      <c r="X337" s="436"/>
      <c r="Y337" s="436"/>
      <c r="Z337" s="436"/>
    </row>
    <row r="338" ht="15.75" customHeight="1">
      <c r="A338" s="436">
        <v>339.0</v>
      </c>
      <c r="B338" s="436" t="s">
        <v>2892</v>
      </c>
      <c r="C338" s="436" t="s">
        <v>3860</v>
      </c>
      <c r="D338" s="436" t="s">
        <v>4191</v>
      </c>
      <c r="E338" s="436"/>
      <c r="F338" s="436"/>
      <c r="G338" s="436"/>
      <c r="H338" s="436"/>
      <c r="I338" s="436"/>
      <c r="J338" s="436"/>
      <c r="K338" s="436"/>
      <c r="L338" s="436"/>
      <c r="M338" s="436"/>
      <c r="N338" s="436"/>
      <c r="O338" s="436"/>
      <c r="P338" s="436"/>
      <c r="Q338" s="436"/>
      <c r="R338" s="436"/>
      <c r="S338" s="436"/>
      <c r="T338" s="436"/>
      <c r="U338" s="436"/>
      <c r="V338" s="436"/>
      <c r="W338" s="436"/>
      <c r="X338" s="436"/>
      <c r="Y338" s="436"/>
      <c r="Z338" s="436"/>
    </row>
    <row r="339" ht="15.75" customHeight="1">
      <c r="A339" s="436">
        <v>340.0</v>
      </c>
      <c r="B339" s="436" t="s">
        <v>2892</v>
      </c>
      <c r="C339" s="436" t="s">
        <v>3860</v>
      </c>
      <c r="D339" s="436" t="s">
        <v>4192</v>
      </c>
      <c r="E339" s="436"/>
      <c r="F339" s="436"/>
      <c r="G339" s="436"/>
      <c r="H339" s="436"/>
      <c r="I339" s="436"/>
      <c r="J339" s="436"/>
      <c r="K339" s="436"/>
      <c r="L339" s="436"/>
      <c r="M339" s="436"/>
      <c r="N339" s="436"/>
      <c r="O339" s="436"/>
      <c r="P339" s="436"/>
      <c r="Q339" s="436"/>
      <c r="R339" s="436"/>
      <c r="S339" s="436"/>
      <c r="T339" s="436"/>
      <c r="U339" s="436"/>
      <c r="V339" s="436"/>
      <c r="W339" s="436"/>
      <c r="X339" s="436"/>
      <c r="Y339" s="436"/>
      <c r="Z339" s="436"/>
    </row>
    <row r="340" ht="15.75" customHeight="1">
      <c r="A340" s="436">
        <v>341.0</v>
      </c>
      <c r="B340" s="436" t="s">
        <v>2892</v>
      </c>
      <c r="C340" s="436" t="s">
        <v>3860</v>
      </c>
      <c r="D340" s="436" t="s">
        <v>4193</v>
      </c>
      <c r="E340" s="436"/>
      <c r="F340" s="436"/>
      <c r="G340" s="436"/>
      <c r="H340" s="436"/>
      <c r="I340" s="436"/>
      <c r="J340" s="436"/>
      <c r="K340" s="436"/>
      <c r="L340" s="436"/>
      <c r="M340" s="436"/>
      <c r="N340" s="436"/>
      <c r="O340" s="436"/>
      <c r="P340" s="436"/>
      <c r="Q340" s="436"/>
      <c r="R340" s="436"/>
      <c r="S340" s="436"/>
      <c r="T340" s="436"/>
      <c r="U340" s="436"/>
      <c r="V340" s="436"/>
      <c r="W340" s="436"/>
      <c r="X340" s="436"/>
      <c r="Y340" s="436"/>
      <c r="Z340" s="436"/>
    </row>
    <row r="341" ht="15.75" customHeight="1">
      <c r="A341" s="436">
        <v>342.0</v>
      </c>
      <c r="B341" s="436" t="s">
        <v>2892</v>
      </c>
      <c r="C341" s="436" t="s">
        <v>3860</v>
      </c>
      <c r="D341" s="436" t="s">
        <v>4194</v>
      </c>
      <c r="E341" s="436"/>
      <c r="F341" s="436"/>
      <c r="G341" s="436"/>
      <c r="H341" s="436"/>
      <c r="I341" s="436"/>
      <c r="J341" s="436"/>
      <c r="K341" s="436"/>
      <c r="L341" s="436"/>
      <c r="M341" s="436"/>
      <c r="N341" s="436"/>
      <c r="O341" s="436"/>
      <c r="P341" s="436"/>
      <c r="Q341" s="436"/>
      <c r="R341" s="436"/>
      <c r="S341" s="436"/>
      <c r="T341" s="436"/>
      <c r="U341" s="436"/>
      <c r="V341" s="436"/>
      <c r="W341" s="436"/>
      <c r="X341" s="436"/>
      <c r="Y341" s="436"/>
      <c r="Z341" s="436"/>
    </row>
    <row r="342" ht="15.75" customHeight="1">
      <c r="A342" s="436">
        <v>343.0</v>
      </c>
      <c r="B342" s="436" t="s">
        <v>2552</v>
      </c>
      <c r="C342" s="436" t="s">
        <v>3860</v>
      </c>
      <c r="D342" s="436" t="s">
        <v>4195</v>
      </c>
      <c r="E342" s="436"/>
      <c r="F342" s="436"/>
      <c r="G342" s="436"/>
      <c r="H342" s="436"/>
      <c r="I342" s="436"/>
      <c r="J342" s="436"/>
      <c r="K342" s="436"/>
      <c r="L342" s="436"/>
      <c r="M342" s="436"/>
      <c r="N342" s="436"/>
      <c r="O342" s="436"/>
      <c r="P342" s="436"/>
      <c r="Q342" s="436"/>
      <c r="R342" s="436"/>
      <c r="S342" s="436"/>
      <c r="T342" s="436"/>
      <c r="U342" s="436"/>
      <c r="V342" s="436"/>
      <c r="W342" s="436"/>
      <c r="X342" s="436"/>
      <c r="Y342" s="436"/>
      <c r="Z342" s="436"/>
    </row>
    <row r="343" ht="15.75" customHeight="1">
      <c r="A343" s="436">
        <v>344.0</v>
      </c>
      <c r="B343" s="436" t="s">
        <v>2892</v>
      </c>
      <c r="C343" s="436" t="s">
        <v>3860</v>
      </c>
      <c r="D343" s="436" t="s">
        <v>4196</v>
      </c>
      <c r="E343" s="436"/>
      <c r="F343" s="436"/>
      <c r="G343" s="436"/>
      <c r="H343" s="436"/>
      <c r="I343" s="436"/>
      <c r="J343" s="436"/>
      <c r="K343" s="436"/>
      <c r="L343" s="436"/>
      <c r="M343" s="436"/>
      <c r="N343" s="436"/>
      <c r="O343" s="436"/>
      <c r="P343" s="436"/>
      <c r="Q343" s="436"/>
      <c r="R343" s="436"/>
      <c r="S343" s="436"/>
      <c r="T343" s="436"/>
      <c r="U343" s="436"/>
      <c r="V343" s="436"/>
      <c r="W343" s="436"/>
      <c r="X343" s="436"/>
      <c r="Y343" s="436"/>
      <c r="Z343" s="436"/>
    </row>
    <row r="344" ht="15.75" customHeight="1">
      <c r="A344" s="436">
        <v>345.0</v>
      </c>
      <c r="B344" s="436" t="s">
        <v>2892</v>
      </c>
      <c r="C344" s="436" t="s">
        <v>3860</v>
      </c>
      <c r="D344" s="436" t="s">
        <v>4197</v>
      </c>
      <c r="E344" s="436"/>
      <c r="F344" s="436"/>
      <c r="G344" s="436"/>
      <c r="H344" s="436"/>
      <c r="I344" s="436"/>
      <c r="J344" s="436"/>
      <c r="K344" s="436"/>
      <c r="L344" s="436"/>
      <c r="M344" s="436"/>
      <c r="N344" s="436"/>
      <c r="O344" s="436"/>
      <c r="P344" s="436"/>
      <c r="Q344" s="436"/>
      <c r="R344" s="436"/>
      <c r="S344" s="436"/>
      <c r="T344" s="436"/>
      <c r="U344" s="436"/>
      <c r="V344" s="436"/>
      <c r="W344" s="436"/>
      <c r="X344" s="436"/>
      <c r="Y344" s="436"/>
      <c r="Z344" s="436"/>
    </row>
    <row r="345" ht="15.75" customHeight="1">
      <c r="A345" s="436">
        <v>346.0</v>
      </c>
      <c r="B345" s="436" t="s">
        <v>1849</v>
      </c>
      <c r="C345" s="436" t="s">
        <v>3860</v>
      </c>
      <c r="D345" s="436" t="s">
        <v>4198</v>
      </c>
      <c r="E345" s="436"/>
      <c r="F345" s="436"/>
      <c r="G345" s="436"/>
      <c r="H345" s="436"/>
      <c r="I345" s="436"/>
      <c r="J345" s="436"/>
      <c r="K345" s="436"/>
      <c r="L345" s="436"/>
      <c r="M345" s="436"/>
      <c r="N345" s="436"/>
      <c r="O345" s="436"/>
      <c r="P345" s="436"/>
      <c r="Q345" s="436"/>
      <c r="R345" s="436"/>
      <c r="S345" s="436"/>
      <c r="T345" s="436"/>
      <c r="U345" s="436"/>
      <c r="V345" s="436"/>
      <c r="W345" s="436"/>
      <c r="X345" s="436"/>
      <c r="Y345" s="436"/>
      <c r="Z345" s="436"/>
    </row>
    <row r="346" ht="15.75" customHeight="1">
      <c r="A346" s="436">
        <v>347.0</v>
      </c>
      <c r="B346" s="436" t="s">
        <v>1846</v>
      </c>
      <c r="C346" s="436" t="s">
        <v>3860</v>
      </c>
      <c r="D346" s="436" t="s">
        <v>4199</v>
      </c>
      <c r="E346" s="436"/>
      <c r="F346" s="436"/>
      <c r="G346" s="436"/>
      <c r="H346" s="436"/>
      <c r="I346" s="436"/>
      <c r="J346" s="436"/>
      <c r="K346" s="436"/>
      <c r="L346" s="436"/>
      <c r="M346" s="436"/>
      <c r="N346" s="436"/>
      <c r="O346" s="436"/>
      <c r="P346" s="436"/>
      <c r="Q346" s="436"/>
      <c r="R346" s="436"/>
      <c r="S346" s="436"/>
      <c r="T346" s="436"/>
      <c r="U346" s="436"/>
      <c r="V346" s="436"/>
      <c r="W346" s="436"/>
      <c r="X346" s="436"/>
      <c r="Y346" s="436"/>
      <c r="Z346" s="436"/>
    </row>
    <row r="347" ht="15.75" customHeight="1">
      <c r="A347" s="436">
        <v>348.0</v>
      </c>
      <c r="B347" s="436" t="s">
        <v>1846</v>
      </c>
      <c r="C347" s="436" t="s">
        <v>3860</v>
      </c>
      <c r="D347" s="436" t="s">
        <v>4200</v>
      </c>
      <c r="E347" s="436"/>
      <c r="F347" s="436"/>
      <c r="G347" s="436"/>
      <c r="H347" s="436"/>
      <c r="I347" s="436"/>
      <c r="J347" s="436"/>
      <c r="K347" s="436"/>
      <c r="L347" s="436"/>
      <c r="M347" s="436"/>
      <c r="N347" s="436"/>
      <c r="O347" s="436"/>
      <c r="P347" s="436"/>
      <c r="Q347" s="436"/>
      <c r="R347" s="436"/>
      <c r="S347" s="436"/>
      <c r="T347" s="436"/>
      <c r="U347" s="436"/>
      <c r="V347" s="436"/>
      <c r="W347" s="436"/>
      <c r="X347" s="436"/>
      <c r="Y347" s="436"/>
      <c r="Z347" s="436"/>
    </row>
    <row r="348" ht="15.75" customHeight="1">
      <c r="A348" s="436">
        <v>349.0</v>
      </c>
      <c r="B348" s="436" t="s">
        <v>1846</v>
      </c>
      <c r="C348" s="436" t="s">
        <v>3860</v>
      </c>
      <c r="D348" s="436" t="s">
        <v>4201</v>
      </c>
      <c r="E348" s="436"/>
      <c r="F348" s="436"/>
      <c r="G348" s="436"/>
      <c r="H348" s="436"/>
      <c r="I348" s="436"/>
      <c r="J348" s="436"/>
      <c r="K348" s="436"/>
      <c r="L348" s="436"/>
      <c r="M348" s="436"/>
      <c r="N348" s="436"/>
      <c r="O348" s="436"/>
      <c r="P348" s="436"/>
      <c r="Q348" s="436"/>
      <c r="R348" s="436"/>
      <c r="S348" s="436"/>
      <c r="T348" s="436"/>
      <c r="U348" s="436"/>
      <c r="V348" s="436"/>
      <c r="W348" s="436"/>
      <c r="X348" s="436"/>
      <c r="Y348" s="436"/>
      <c r="Z348" s="436"/>
    </row>
    <row r="349" ht="15.75" customHeight="1">
      <c r="A349" s="436">
        <v>350.0</v>
      </c>
      <c r="B349" s="436" t="s">
        <v>1846</v>
      </c>
      <c r="C349" s="436" t="s">
        <v>3860</v>
      </c>
      <c r="D349" s="436" t="s">
        <v>4202</v>
      </c>
      <c r="E349" s="436"/>
      <c r="F349" s="436"/>
      <c r="G349" s="436"/>
      <c r="H349" s="436"/>
      <c r="I349" s="436"/>
      <c r="J349" s="436"/>
      <c r="K349" s="436"/>
      <c r="L349" s="436"/>
      <c r="M349" s="436"/>
      <c r="N349" s="436"/>
      <c r="O349" s="436"/>
      <c r="P349" s="436"/>
      <c r="Q349" s="436"/>
      <c r="R349" s="436"/>
      <c r="S349" s="436"/>
      <c r="T349" s="436"/>
      <c r="U349" s="436"/>
      <c r="V349" s="436"/>
      <c r="W349" s="436"/>
      <c r="X349" s="436"/>
      <c r="Y349" s="436"/>
      <c r="Z349" s="436"/>
    </row>
    <row r="350" ht="15.75" customHeight="1">
      <c r="A350" s="436">
        <v>351.0</v>
      </c>
      <c r="B350" s="436" t="s">
        <v>1849</v>
      </c>
      <c r="C350" s="436" t="s">
        <v>3860</v>
      </c>
      <c r="D350" s="436" t="s">
        <v>4203</v>
      </c>
      <c r="E350" s="436"/>
      <c r="F350" s="436"/>
      <c r="G350" s="436"/>
      <c r="H350" s="436"/>
      <c r="I350" s="436"/>
      <c r="J350" s="436"/>
      <c r="K350" s="436"/>
      <c r="L350" s="436"/>
      <c r="M350" s="436"/>
      <c r="N350" s="436"/>
      <c r="O350" s="436"/>
      <c r="P350" s="436"/>
      <c r="Q350" s="436"/>
      <c r="R350" s="436"/>
      <c r="S350" s="436"/>
      <c r="T350" s="436"/>
      <c r="U350" s="436"/>
      <c r="V350" s="436"/>
      <c r="W350" s="436"/>
      <c r="X350" s="436"/>
      <c r="Y350" s="436"/>
      <c r="Z350" s="436"/>
    </row>
    <row r="351" ht="15.75" customHeight="1">
      <c r="A351" s="436">
        <v>352.0</v>
      </c>
      <c r="B351" s="436" t="s">
        <v>2692</v>
      </c>
      <c r="C351" s="436" t="s">
        <v>3860</v>
      </c>
      <c r="D351" s="436" t="s">
        <v>3922</v>
      </c>
      <c r="E351" s="436"/>
      <c r="F351" s="436"/>
      <c r="G351" s="436"/>
      <c r="H351" s="436"/>
      <c r="I351" s="436"/>
      <c r="J351" s="436"/>
      <c r="K351" s="436"/>
      <c r="L351" s="436"/>
      <c r="M351" s="436"/>
      <c r="N351" s="436"/>
      <c r="O351" s="436"/>
      <c r="P351" s="436"/>
      <c r="Q351" s="436"/>
      <c r="R351" s="436"/>
      <c r="S351" s="436"/>
      <c r="T351" s="436"/>
      <c r="U351" s="436"/>
      <c r="V351" s="436"/>
      <c r="W351" s="436"/>
      <c r="X351" s="436"/>
      <c r="Y351" s="436"/>
      <c r="Z351" s="436"/>
    </row>
    <row r="352" ht="15.75" customHeight="1">
      <c r="A352" s="436">
        <v>353.0</v>
      </c>
      <c r="B352" s="436" t="s">
        <v>2125</v>
      </c>
      <c r="C352" s="436" t="s">
        <v>3860</v>
      </c>
      <c r="D352" s="436" t="s">
        <v>4204</v>
      </c>
      <c r="E352" s="436"/>
      <c r="F352" s="436"/>
      <c r="G352" s="436"/>
      <c r="H352" s="436"/>
      <c r="I352" s="436"/>
      <c r="J352" s="436"/>
      <c r="K352" s="436"/>
      <c r="L352" s="436"/>
      <c r="M352" s="436"/>
      <c r="N352" s="436"/>
      <c r="O352" s="436"/>
      <c r="P352" s="436"/>
      <c r="Q352" s="436"/>
      <c r="R352" s="436"/>
      <c r="S352" s="436"/>
      <c r="T352" s="436"/>
      <c r="U352" s="436"/>
      <c r="V352" s="436"/>
      <c r="W352" s="436"/>
      <c r="X352" s="436"/>
      <c r="Y352" s="436"/>
      <c r="Z352" s="436"/>
    </row>
    <row r="353" ht="15.75" customHeight="1">
      <c r="A353" s="436">
        <v>354.0</v>
      </c>
      <c r="B353" s="436" t="s">
        <v>1849</v>
      </c>
      <c r="C353" s="436" t="s">
        <v>3860</v>
      </c>
      <c r="D353" s="436" t="s">
        <v>4205</v>
      </c>
      <c r="E353" s="436"/>
      <c r="F353" s="436"/>
      <c r="G353" s="436"/>
      <c r="H353" s="436"/>
      <c r="I353" s="436"/>
      <c r="J353" s="436"/>
      <c r="K353" s="436"/>
      <c r="L353" s="436"/>
      <c r="M353" s="436"/>
      <c r="N353" s="436"/>
      <c r="O353" s="436"/>
      <c r="P353" s="436"/>
      <c r="Q353" s="436"/>
      <c r="R353" s="436"/>
      <c r="S353" s="436"/>
      <c r="T353" s="436"/>
      <c r="U353" s="436"/>
      <c r="V353" s="436"/>
      <c r="W353" s="436"/>
      <c r="X353" s="436"/>
      <c r="Y353" s="436"/>
      <c r="Z353" s="436"/>
    </row>
    <row r="354" ht="15.75" customHeight="1">
      <c r="A354" s="436">
        <v>355.0</v>
      </c>
      <c r="B354" s="436" t="s">
        <v>2125</v>
      </c>
      <c r="C354" s="436" t="s">
        <v>3860</v>
      </c>
      <c r="D354" s="436" t="s">
        <v>4206</v>
      </c>
      <c r="E354" s="436"/>
      <c r="F354" s="436"/>
      <c r="G354" s="436"/>
      <c r="H354" s="436"/>
      <c r="I354" s="436"/>
      <c r="J354" s="436"/>
      <c r="K354" s="436"/>
      <c r="L354" s="436"/>
      <c r="M354" s="436"/>
      <c r="N354" s="436"/>
      <c r="O354" s="436"/>
      <c r="P354" s="436"/>
      <c r="Q354" s="436"/>
      <c r="R354" s="436"/>
      <c r="S354" s="436"/>
      <c r="T354" s="436"/>
      <c r="U354" s="436"/>
      <c r="V354" s="436"/>
      <c r="W354" s="436"/>
      <c r="X354" s="436"/>
      <c r="Y354" s="436"/>
      <c r="Z354" s="436"/>
    </row>
    <row r="355" ht="15.75" customHeight="1">
      <c r="A355" s="436">
        <v>356.0</v>
      </c>
      <c r="B355" s="436" t="s">
        <v>2692</v>
      </c>
      <c r="C355" s="436" t="s">
        <v>3860</v>
      </c>
      <c r="D355" s="436" t="s">
        <v>4207</v>
      </c>
      <c r="E355" s="436"/>
      <c r="F355" s="436"/>
      <c r="G355" s="436"/>
      <c r="H355" s="436"/>
      <c r="I355" s="436"/>
      <c r="J355" s="436"/>
      <c r="K355" s="436"/>
      <c r="L355" s="436"/>
      <c r="M355" s="436"/>
      <c r="N355" s="436"/>
      <c r="O355" s="436"/>
      <c r="P355" s="436"/>
      <c r="Q355" s="436"/>
      <c r="R355" s="436"/>
      <c r="S355" s="436"/>
      <c r="T355" s="436"/>
      <c r="U355" s="436"/>
      <c r="V355" s="436"/>
      <c r="W355" s="436"/>
      <c r="X355" s="436"/>
      <c r="Y355" s="436"/>
      <c r="Z355" s="436"/>
    </row>
    <row r="356" ht="15.75" customHeight="1">
      <c r="A356" s="436">
        <v>357.0</v>
      </c>
      <c r="B356" s="436" t="s">
        <v>3182</v>
      </c>
      <c r="C356" s="436" t="s">
        <v>3860</v>
      </c>
      <c r="D356" s="436" t="s">
        <v>4208</v>
      </c>
      <c r="E356" s="436"/>
      <c r="F356" s="436"/>
      <c r="G356" s="436"/>
      <c r="H356" s="436"/>
      <c r="I356" s="436"/>
      <c r="J356" s="436"/>
      <c r="K356" s="436"/>
      <c r="L356" s="436"/>
      <c r="M356" s="436"/>
      <c r="N356" s="436"/>
      <c r="O356" s="436"/>
      <c r="P356" s="436"/>
      <c r="Q356" s="436"/>
      <c r="R356" s="436"/>
      <c r="S356" s="436"/>
      <c r="T356" s="436"/>
      <c r="U356" s="436"/>
      <c r="V356" s="436"/>
      <c r="W356" s="436"/>
      <c r="X356" s="436"/>
      <c r="Y356" s="436"/>
      <c r="Z356" s="436"/>
    </row>
    <row r="357" ht="15.75" customHeight="1">
      <c r="A357" s="436">
        <v>358.0</v>
      </c>
      <c r="B357" s="436" t="s">
        <v>1841</v>
      </c>
      <c r="C357" s="436" t="s">
        <v>3860</v>
      </c>
      <c r="D357" s="436" t="s">
        <v>4209</v>
      </c>
      <c r="E357" s="436"/>
      <c r="F357" s="436"/>
      <c r="G357" s="436"/>
      <c r="H357" s="436"/>
      <c r="I357" s="436"/>
      <c r="J357" s="436"/>
      <c r="K357" s="436"/>
      <c r="L357" s="436"/>
      <c r="M357" s="436"/>
      <c r="N357" s="436"/>
      <c r="O357" s="436"/>
      <c r="P357" s="436"/>
      <c r="Q357" s="436"/>
      <c r="R357" s="436"/>
      <c r="S357" s="436"/>
      <c r="T357" s="436"/>
      <c r="U357" s="436"/>
      <c r="V357" s="436"/>
      <c r="W357" s="436"/>
      <c r="X357" s="436"/>
      <c r="Y357" s="436"/>
      <c r="Z357" s="436"/>
    </row>
    <row r="358" ht="15.75" customHeight="1">
      <c r="A358" s="436">
        <v>359.0</v>
      </c>
      <c r="B358" s="436" t="s">
        <v>1841</v>
      </c>
      <c r="C358" s="436" t="s">
        <v>3860</v>
      </c>
      <c r="D358" s="436" t="s">
        <v>4210</v>
      </c>
      <c r="E358" s="436"/>
      <c r="F358" s="436"/>
      <c r="G358" s="436"/>
      <c r="H358" s="436"/>
      <c r="I358" s="436"/>
      <c r="J358" s="436"/>
      <c r="K358" s="436"/>
      <c r="L358" s="436"/>
      <c r="M358" s="436"/>
      <c r="N358" s="436"/>
      <c r="O358" s="436"/>
      <c r="P358" s="436"/>
      <c r="Q358" s="436"/>
      <c r="R358" s="436"/>
      <c r="S358" s="436"/>
      <c r="T358" s="436"/>
      <c r="U358" s="436"/>
      <c r="V358" s="436"/>
      <c r="W358" s="436"/>
      <c r="X358" s="436"/>
      <c r="Y358" s="436"/>
      <c r="Z358" s="436"/>
    </row>
    <row r="359" ht="15.75" customHeight="1">
      <c r="A359" s="436">
        <v>360.0</v>
      </c>
      <c r="B359" s="436" t="s">
        <v>3182</v>
      </c>
      <c r="C359" s="436" t="s">
        <v>3860</v>
      </c>
      <c r="D359" s="436" t="s">
        <v>4211</v>
      </c>
      <c r="E359" s="436"/>
      <c r="F359" s="436"/>
      <c r="G359" s="436"/>
      <c r="H359" s="436"/>
      <c r="I359" s="436"/>
      <c r="J359" s="436"/>
      <c r="K359" s="436"/>
      <c r="L359" s="436"/>
      <c r="M359" s="436"/>
      <c r="N359" s="436"/>
      <c r="O359" s="436"/>
      <c r="P359" s="436"/>
      <c r="Q359" s="436"/>
      <c r="R359" s="436"/>
      <c r="S359" s="436"/>
      <c r="T359" s="436"/>
      <c r="U359" s="436"/>
      <c r="V359" s="436"/>
      <c r="W359" s="436"/>
      <c r="X359" s="436"/>
      <c r="Y359" s="436"/>
      <c r="Z359" s="436"/>
    </row>
    <row r="360" ht="15.75" customHeight="1">
      <c r="A360" s="436">
        <v>361.0</v>
      </c>
      <c r="B360" s="436" t="s">
        <v>2019</v>
      </c>
      <c r="C360" s="436" t="s">
        <v>2193</v>
      </c>
      <c r="D360" s="436" t="s">
        <v>4212</v>
      </c>
      <c r="E360" s="436"/>
      <c r="F360" s="436"/>
      <c r="G360" s="436"/>
      <c r="H360" s="436"/>
      <c r="I360" s="436"/>
      <c r="J360" s="436"/>
      <c r="K360" s="436"/>
      <c r="L360" s="436"/>
      <c r="M360" s="436"/>
      <c r="N360" s="436"/>
      <c r="O360" s="436"/>
      <c r="P360" s="436"/>
      <c r="Q360" s="436"/>
      <c r="R360" s="436"/>
      <c r="S360" s="436"/>
      <c r="T360" s="436"/>
      <c r="U360" s="436"/>
      <c r="V360" s="436"/>
      <c r="W360" s="436"/>
      <c r="X360" s="436"/>
      <c r="Y360" s="436"/>
      <c r="Z360" s="436"/>
    </row>
    <row r="361" ht="15.75" customHeight="1">
      <c r="A361" s="436">
        <v>362.0</v>
      </c>
      <c r="B361" s="436" t="s">
        <v>1849</v>
      </c>
      <c r="C361" s="436" t="s">
        <v>3860</v>
      </c>
      <c r="D361" s="436" t="s">
        <v>4213</v>
      </c>
      <c r="E361" s="436"/>
      <c r="F361" s="436"/>
      <c r="G361" s="436"/>
      <c r="H361" s="436"/>
      <c r="I361" s="436"/>
      <c r="J361" s="436"/>
      <c r="K361" s="436"/>
      <c r="L361" s="436"/>
      <c r="M361" s="436"/>
      <c r="N361" s="436"/>
      <c r="O361" s="436"/>
      <c r="P361" s="436"/>
      <c r="Q361" s="436"/>
      <c r="R361" s="436"/>
      <c r="S361" s="436"/>
      <c r="T361" s="436"/>
      <c r="U361" s="436"/>
      <c r="V361" s="436"/>
      <c r="W361" s="436"/>
      <c r="X361" s="436"/>
      <c r="Y361" s="436"/>
      <c r="Z361" s="436"/>
    </row>
    <row r="362" ht="15.75" customHeight="1">
      <c r="A362" s="436">
        <v>363.0</v>
      </c>
      <c r="B362" s="436" t="s">
        <v>3182</v>
      </c>
      <c r="C362" s="436" t="s">
        <v>3860</v>
      </c>
      <c r="D362" s="436" t="s">
        <v>4214</v>
      </c>
      <c r="E362" s="436"/>
      <c r="F362" s="436"/>
      <c r="G362" s="436"/>
      <c r="H362" s="436"/>
      <c r="I362" s="436"/>
      <c r="J362" s="436"/>
      <c r="K362" s="436"/>
      <c r="L362" s="436"/>
      <c r="M362" s="436"/>
      <c r="N362" s="436"/>
      <c r="O362" s="436"/>
      <c r="P362" s="436"/>
      <c r="Q362" s="436"/>
      <c r="R362" s="436"/>
      <c r="S362" s="436"/>
      <c r="T362" s="436"/>
      <c r="U362" s="436"/>
      <c r="V362" s="436"/>
      <c r="W362" s="436"/>
      <c r="X362" s="436"/>
      <c r="Y362" s="436"/>
      <c r="Z362" s="436"/>
    </row>
    <row r="363" ht="15.75" customHeight="1">
      <c r="A363" s="436">
        <v>364.0</v>
      </c>
      <c r="B363" s="436" t="s">
        <v>3182</v>
      </c>
      <c r="C363" s="436" t="s">
        <v>3860</v>
      </c>
      <c r="D363" s="436" t="s">
        <v>4215</v>
      </c>
      <c r="E363" s="436"/>
      <c r="F363" s="436"/>
      <c r="G363" s="436"/>
      <c r="H363" s="436"/>
      <c r="I363" s="436"/>
      <c r="J363" s="436"/>
      <c r="K363" s="436"/>
      <c r="L363" s="436"/>
      <c r="M363" s="436"/>
      <c r="N363" s="436"/>
      <c r="O363" s="436"/>
      <c r="P363" s="436"/>
      <c r="Q363" s="436"/>
      <c r="R363" s="436"/>
      <c r="S363" s="436"/>
      <c r="T363" s="436"/>
      <c r="U363" s="436"/>
      <c r="V363" s="436"/>
      <c r="W363" s="436"/>
      <c r="X363" s="436"/>
      <c r="Y363" s="436"/>
      <c r="Z363" s="436"/>
    </row>
    <row r="364" ht="15.75" customHeight="1">
      <c r="A364" s="436">
        <v>365.0</v>
      </c>
      <c r="B364" s="436" t="s">
        <v>3182</v>
      </c>
      <c r="C364" s="436" t="s">
        <v>3860</v>
      </c>
      <c r="D364" s="436" t="s">
        <v>4216</v>
      </c>
      <c r="E364" s="436"/>
      <c r="F364" s="436"/>
      <c r="G364" s="436"/>
      <c r="H364" s="436"/>
      <c r="I364" s="436"/>
      <c r="J364" s="436"/>
      <c r="K364" s="436"/>
      <c r="L364" s="436"/>
      <c r="M364" s="436"/>
      <c r="N364" s="436"/>
      <c r="O364" s="436"/>
      <c r="P364" s="436"/>
      <c r="Q364" s="436"/>
      <c r="R364" s="436"/>
      <c r="S364" s="436"/>
      <c r="T364" s="436"/>
      <c r="U364" s="436"/>
      <c r="V364" s="436"/>
      <c r="W364" s="436"/>
      <c r="X364" s="436"/>
      <c r="Y364" s="436"/>
      <c r="Z364" s="436"/>
    </row>
    <row r="365" ht="15.75" customHeight="1">
      <c r="A365" s="436">
        <v>366.0</v>
      </c>
      <c r="B365" s="436" t="s">
        <v>3182</v>
      </c>
      <c r="C365" s="436" t="s">
        <v>3860</v>
      </c>
      <c r="D365" s="436" t="s">
        <v>4217</v>
      </c>
      <c r="E365" s="436"/>
      <c r="F365" s="436"/>
      <c r="G365" s="436"/>
      <c r="H365" s="436"/>
      <c r="I365" s="436"/>
      <c r="J365" s="436"/>
      <c r="K365" s="436"/>
      <c r="L365" s="436"/>
      <c r="M365" s="436"/>
      <c r="N365" s="436"/>
      <c r="O365" s="436"/>
      <c r="P365" s="436"/>
      <c r="Q365" s="436"/>
      <c r="R365" s="436"/>
      <c r="S365" s="436"/>
      <c r="T365" s="436"/>
      <c r="U365" s="436"/>
      <c r="V365" s="436"/>
      <c r="W365" s="436"/>
      <c r="X365" s="436"/>
      <c r="Y365" s="436"/>
      <c r="Z365" s="436"/>
    </row>
    <row r="366" ht="15.75" customHeight="1">
      <c r="A366" s="436">
        <v>367.0</v>
      </c>
      <c r="B366" s="436" t="s">
        <v>3182</v>
      </c>
      <c r="C366" s="436" t="s">
        <v>3854</v>
      </c>
      <c r="D366" s="436" t="s">
        <v>4218</v>
      </c>
      <c r="E366" s="436"/>
      <c r="F366" s="436"/>
      <c r="G366" s="436"/>
      <c r="H366" s="436"/>
      <c r="I366" s="436"/>
      <c r="J366" s="436"/>
      <c r="K366" s="436"/>
      <c r="L366" s="436"/>
      <c r="M366" s="436"/>
      <c r="N366" s="436"/>
      <c r="O366" s="436"/>
      <c r="P366" s="436"/>
      <c r="Q366" s="436"/>
      <c r="R366" s="436"/>
      <c r="S366" s="436"/>
      <c r="T366" s="436"/>
      <c r="U366" s="436"/>
      <c r="V366" s="436"/>
      <c r="W366" s="436"/>
      <c r="X366" s="436"/>
      <c r="Y366" s="436"/>
      <c r="Z366" s="436"/>
    </row>
    <row r="367" ht="15.75" customHeight="1">
      <c r="A367" s="436">
        <v>368.0</v>
      </c>
      <c r="B367" s="436" t="s">
        <v>2125</v>
      </c>
      <c r="C367" s="436" t="s">
        <v>3854</v>
      </c>
      <c r="D367" s="436" t="s">
        <v>4219</v>
      </c>
      <c r="E367" s="436"/>
      <c r="F367" s="436"/>
      <c r="G367" s="436"/>
      <c r="H367" s="436"/>
      <c r="I367" s="436"/>
      <c r="J367" s="436"/>
      <c r="K367" s="436"/>
      <c r="L367" s="436"/>
      <c r="M367" s="436"/>
      <c r="N367" s="436"/>
      <c r="O367" s="436"/>
      <c r="P367" s="436"/>
      <c r="Q367" s="436"/>
      <c r="R367" s="436"/>
      <c r="S367" s="436"/>
      <c r="T367" s="436"/>
      <c r="U367" s="436"/>
      <c r="V367" s="436"/>
      <c r="W367" s="436"/>
      <c r="X367" s="436"/>
      <c r="Y367" s="436"/>
      <c r="Z367" s="436"/>
    </row>
    <row r="368" ht="15.75" customHeight="1">
      <c r="A368" s="436">
        <v>369.0</v>
      </c>
      <c r="B368" s="436" t="s">
        <v>1841</v>
      </c>
      <c r="C368" s="436" t="s">
        <v>3854</v>
      </c>
      <c r="D368" s="436" t="s">
        <v>4220</v>
      </c>
      <c r="E368" s="436"/>
      <c r="F368" s="436"/>
      <c r="G368" s="436"/>
      <c r="H368" s="436"/>
      <c r="I368" s="436"/>
      <c r="J368" s="436"/>
      <c r="K368" s="436"/>
      <c r="L368" s="436"/>
      <c r="M368" s="436"/>
      <c r="N368" s="436"/>
      <c r="O368" s="436"/>
      <c r="P368" s="436"/>
      <c r="Q368" s="436"/>
      <c r="R368" s="436"/>
      <c r="S368" s="436"/>
      <c r="T368" s="436"/>
      <c r="U368" s="436"/>
      <c r="V368" s="436"/>
      <c r="W368" s="436"/>
      <c r="X368" s="436"/>
      <c r="Y368" s="436"/>
      <c r="Z368" s="436"/>
    </row>
    <row r="369" ht="15.75" customHeight="1">
      <c r="A369" s="436">
        <v>370.0</v>
      </c>
      <c r="B369" s="436" t="s">
        <v>1841</v>
      </c>
      <c r="C369" s="436" t="s">
        <v>3854</v>
      </c>
      <c r="D369" s="436" t="s">
        <v>4221</v>
      </c>
      <c r="E369" s="436"/>
      <c r="F369" s="436"/>
      <c r="G369" s="436"/>
      <c r="H369" s="436"/>
      <c r="I369" s="436"/>
      <c r="J369" s="436"/>
      <c r="K369" s="436"/>
      <c r="L369" s="436"/>
      <c r="M369" s="436"/>
      <c r="N369" s="436"/>
      <c r="O369" s="436"/>
      <c r="P369" s="436"/>
      <c r="Q369" s="436"/>
      <c r="R369" s="436"/>
      <c r="S369" s="436"/>
      <c r="T369" s="436"/>
      <c r="U369" s="436"/>
      <c r="V369" s="436"/>
      <c r="W369" s="436"/>
      <c r="X369" s="436"/>
      <c r="Y369" s="436"/>
      <c r="Z369" s="436"/>
    </row>
    <row r="370" ht="15.75" customHeight="1">
      <c r="A370" s="436">
        <v>371.0</v>
      </c>
      <c r="B370" s="436" t="s">
        <v>1841</v>
      </c>
      <c r="C370" s="436" t="s">
        <v>3854</v>
      </c>
      <c r="D370" s="436" t="s">
        <v>4222</v>
      </c>
      <c r="E370" s="436"/>
      <c r="F370" s="436"/>
      <c r="G370" s="436"/>
      <c r="H370" s="436"/>
      <c r="I370" s="436"/>
      <c r="J370" s="436"/>
      <c r="K370" s="436"/>
      <c r="L370" s="436"/>
      <c r="M370" s="436"/>
      <c r="N370" s="436"/>
      <c r="O370" s="436"/>
      <c r="P370" s="436"/>
      <c r="Q370" s="436"/>
      <c r="R370" s="436"/>
      <c r="S370" s="436"/>
      <c r="T370" s="436"/>
      <c r="U370" s="436"/>
      <c r="V370" s="436"/>
      <c r="W370" s="436"/>
      <c r="X370" s="436"/>
      <c r="Y370" s="436"/>
      <c r="Z370" s="436"/>
    </row>
    <row r="371" ht="15.75" customHeight="1">
      <c r="A371" s="436">
        <v>372.0</v>
      </c>
      <c r="B371" s="436" t="s">
        <v>2125</v>
      </c>
      <c r="C371" s="436" t="s">
        <v>3854</v>
      </c>
      <c r="D371" s="436" t="s">
        <v>4223</v>
      </c>
      <c r="E371" s="436"/>
      <c r="F371" s="436"/>
      <c r="G371" s="436"/>
      <c r="H371" s="436"/>
      <c r="I371" s="436"/>
      <c r="J371" s="436"/>
      <c r="K371" s="436"/>
      <c r="L371" s="436"/>
      <c r="M371" s="436"/>
      <c r="N371" s="436"/>
      <c r="O371" s="436"/>
      <c r="P371" s="436"/>
      <c r="Q371" s="436"/>
      <c r="R371" s="436"/>
      <c r="S371" s="436"/>
      <c r="T371" s="436"/>
      <c r="U371" s="436"/>
      <c r="V371" s="436"/>
      <c r="W371" s="436"/>
      <c r="X371" s="436"/>
      <c r="Y371" s="436"/>
      <c r="Z371" s="436"/>
    </row>
    <row r="372" ht="15.75" customHeight="1">
      <c r="A372" s="436">
        <v>373.0</v>
      </c>
      <c r="B372" s="436" t="s">
        <v>1841</v>
      </c>
      <c r="C372" s="436" t="s">
        <v>3854</v>
      </c>
      <c r="D372" s="436" t="s">
        <v>4224</v>
      </c>
      <c r="E372" s="436"/>
      <c r="F372" s="436"/>
      <c r="G372" s="436"/>
      <c r="H372" s="436"/>
      <c r="I372" s="436"/>
      <c r="J372" s="436"/>
      <c r="K372" s="436"/>
      <c r="L372" s="436"/>
      <c r="M372" s="436"/>
      <c r="N372" s="436"/>
      <c r="O372" s="436"/>
      <c r="P372" s="436"/>
      <c r="Q372" s="436"/>
      <c r="R372" s="436"/>
      <c r="S372" s="436"/>
      <c r="T372" s="436"/>
      <c r="U372" s="436"/>
      <c r="V372" s="436"/>
      <c r="W372" s="436"/>
      <c r="X372" s="436"/>
      <c r="Y372" s="436"/>
      <c r="Z372" s="436"/>
    </row>
    <row r="373" ht="15.75" customHeight="1">
      <c r="A373" s="436">
        <v>374.0</v>
      </c>
      <c r="B373" s="436" t="s">
        <v>3182</v>
      </c>
      <c r="C373" s="436" t="s">
        <v>3860</v>
      </c>
      <c r="D373" s="436" t="s">
        <v>4225</v>
      </c>
      <c r="E373" s="436"/>
      <c r="F373" s="436"/>
      <c r="G373" s="436"/>
      <c r="H373" s="436"/>
      <c r="I373" s="436"/>
      <c r="J373" s="436"/>
      <c r="K373" s="436"/>
      <c r="L373" s="436"/>
      <c r="M373" s="436"/>
      <c r="N373" s="436"/>
      <c r="O373" s="436"/>
      <c r="P373" s="436"/>
      <c r="Q373" s="436"/>
      <c r="R373" s="436"/>
      <c r="S373" s="436"/>
      <c r="T373" s="436"/>
      <c r="U373" s="436"/>
      <c r="V373" s="436"/>
      <c r="W373" s="436"/>
      <c r="X373" s="436"/>
      <c r="Y373" s="436"/>
      <c r="Z373" s="436"/>
    </row>
    <row r="374" ht="15.75" customHeight="1">
      <c r="A374" s="436">
        <v>375.0</v>
      </c>
      <c r="B374" s="436" t="s">
        <v>3182</v>
      </c>
      <c r="C374" s="436" t="s">
        <v>3860</v>
      </c>
      <c r="D374" s="436" t="s">
        <v>4226</v>
      </c>
      <c r="E374" s="436"/>
      <c r="F374" s="436"/>
      <c r="G374" s="436"/>
      <c r="H374" s="436"/>
      <c r="I374" s="436"/>
      <c r="J374" s="436"/>
      <c r="K374" s="436"/>
      <c r="L374" s="436"/>
      <c r="M374" s="436"/>
      <c r="N374" s="436"/>
      <c r="O374" s="436"/>
      <c r="P374" s="436"/>
      <c r="Q374" s="436"/>
      <c r="R374" s="436"/>
      <c r="S374" s="436"/>
      <c r="T374" s="436"/>
      <c r="U374" s="436"/>
      <c r="V374" s="436"/>
      <c r="W374" s="436"/>
      <c r="X374" s="436"/>
      <c r="Y374" s="436"/>
      <c r="Z374" s="436"/>
    </row>
    <row r="375" ht="15.75" customHeight="1">
      <c r="A375" s="436">
        <v>376.0</v>
      </c>
      <c r="B375" s="436" t="s">
        <v>3182</v>
      </c>
      <c r="C375" s="436" t="s">
        <v>3860</v>
      </c>
      <c r="D375" s="436" t="s">
        <v>4227</v>
      </c>
      <c r="E375" s="436"/>
      <c r="F375" s="436"/>
      <c r="G375" s="436"/>
      <c r="H375" s="436"/>
      <c r="I375" s="436"/>
      <c r="J375" s="436"/>
      <c r="K375" s="436"/>
      <c r="L375" s="436"/>
      <c r="M375" s="436"/>
      <c r="N375" s="436"/>
      <c r="O375" s="436"/>
      <c r="P375" s="436"/>
      <c r="Q375" s="436"/>
      <c r="R375" s="436"/>
      <c r="S375" s="436"/>
      <c r="T375" s="436"/>
      <c r="U375" s="436"/>
      <c r="V375" s="436"/>
      <c r="W375" s="436"/>
      <c r="X375" s="436"/>
      <c r="Y375" s="436"/>
      <c r="Z375" s="436"/>
    </row>
    <row r="376" ht="15.75" customHeight="1">
      <c r="A376" s="436">
        <v>377.0</v>
      </c>
      <c r="B376" s="436" t="s">
        <v>3182</v>
      </c>
      <c r="C376" s="436" t="s">
        <v>3860</v>
      </c>
      <c r="D376" s="436" t="s">
        <v>4228</v>
      </c>
      <c r="E376" s="436"/>
      <c r="F376" s="436"/>
      <c r="G376" s="436"/>
      <c r="H376" s="436"/>
      <c r="I376" s="436"/>
      <c r="J376" s="436"/>
      <c r="K376" s="436"/>
      <c r="L376" s="436"/>
      <c r="M376" s="436"/>
      <c r="N376" s="436"/>
      <c r="O376" s="436"/>
      <c r="P376" s="436"/>
      <c r="Q376" s="436"/>
      <c r="R376" s="436"/>
      <c r="S376" s="436"/>
      <c r="T376" s="436"/>
      <c r="U376" s="436"/>
      <c r="V376" s="436"/>
      <c r="W376" s="436"/>
      <c r="X376" s="436"/>
      <c r="Y376" s="436"/>
      <c r="Z376" s="436"/>
    </row>
    <row r="377" ht="15.75" customHeight="1">
      <c r="A377" s="436">
        <v>378.0</v>
      </c>
      <c r="B377" s="436" t="s">
        <v>1841</v>
      </c>
      <c r="C377" s="436" t="s">
        <v>2193</v>
      </c>
      <c r="D377" s="436" t="s">
        <v>4229</v>
      </c>
      <c r="E377" s="436"/>
      <c r="F377" s="436"/>
      <c r="G377" s="436"/>
      <c r="H377" s="436"/>
      <c r="I377" s="436"/>
      <c r="J377" s="436"/>
      <c r="K377" s="436"/>
      <c r="L377" s="436"/>
      <c r="M377" s="436"/>
      <c r="N377" s="436"/>
      <c r="O377" s="436"/>
      <c r="P377" s="436"/>
      <c r="Q377" s="436"/>
      <c r="R377" s="436"/>
      <c r="S377" s="436"/>
      <c r="T377" s="436"/>
      <c r="U377" s="436"/>
      <c r="V377" s="436"/>
      <c r="W377" s="436"/>
      <c r="X377" s="436"/>
      <c r="Y377" s="436"/>
      <c r="Z377" s="436"/>
    </row>
    <row r="378" ht="15.75" customHeight="1">
      <c r="A378" s="436">
        <v>379.0</v>
      </c>
      <c r="B378" s="436" t="s">
        <v>2892</v>
      </c>
      <c r="C378" s="436" t="s">
        <v>3860</v>
      </c>
      <c r="D378" s="436" t="s">
        <v>4230</v>
      </c>
      <c r="E378" s="436"/>
      <c r="F378" s="436"/>
      <c r="G378" s="436"/>
      <c r="H378" s="436"/>
      <c r="I378" s="436"/>
      <c r="J378" s="436"/>
      <c r="K378" s="436"/>
      <c r="L378" s="436"/>
      <c r="M378" s="436"/>
      <c r="N378" s="436"/>
      <c r="O378" s="436"/>
      <c r="P378" s="436"/>
      <c r="Q378" s="436"/>
      <c r="R378" s="436"/>
      <c r="S378" s="436"/>
      <c r="T378" s="436"/>
      <c r="U378" s="436"/>
      <c r="V378" s="436"/>
      <c r="W378" s="436"/>
      <c r="X378" s="436"/>
      <c r="Y378" s="436"/>
      <c r="Z378" s="436"/>
    </row>
    <row r="379" ht="15.75" customHeight="1">
      <c r="A379" s="436">
        <v>380.0</v>
      </c>
      <c r="B379" s="436" t="s">
        <v>3182</v>
      </c>
      <c r="C379" s="436" t="s">
        <v>3860</v>
      </c>
      <c r="D379" s="436" t="s">
        <v>4231</v>
      </c>
      <c r="E379" s="436"/>
      <c r="F379" s="436"/>
      <c r="G379" s="436"/>
      <c r="H379" s="436"/>
      <c r="I379" s="436"/>
      <c r="J379" s="436"/>
      <c r="K379" s="436"/>
      <c r="L379" s="436"/>
      <c r="M379" s="436"/>
      <c r="N379" s="436"/>
      <c r="O379" s="436"/>
      <c r="P379" s="436"/>
      <c r="Q379" s="436"/>
      <c r="R379" s="436"/>
      <c r="S379" s="436"/>
      <c r="T379" s="436"/>
      <c r="U379" s="436"/>
      <c r="V379" s="436"/>
      <c r="W379" s="436"/>
      <c r="X379" s="436"/>
      <c r="Y379" s="436"/>
      <c r="Z379" s="436"/>
    </row>
    <row r="380" ht="15.75" customHeight="1">
      <c r="A380" s="436">
        <v>381.0</v>
      </c>
      <c r="B380" s="436" t="s">
        <v>3182</v>
      </c>
      <c r="C380" s="436" t="s">
        <v>3860</v>
      </c>
      <c r="D380" s="436" t="s">
        <v>4232</v>
      </c>
      <c r="E380" s="436"/>
      <c r="F380" s="436"/>
      <c r="G380" s="436"/>
      <c r="H380" s="436"/>
      <c r="I380" s="436"/>
      <c r="J380" s="436"/>
      <c r="K380" s="436"/>
      <c r="L380" s="436"/>
      <c r="M380" s="436"/>
      <c r="N380" s="436"/>
      <c r="O380" s="436"/>
      <c r="P380" s="436"/>
      <c r="Q380" s="436"/>
      <c r="R380" s="436"/>
      <c r="S380" s="436"/>
      <c r="T380" s="436"/>
      <c r="U380" s="436"/>
      <c r="V380" s="436"/>
      <c r="W380" s="436"/>
      <c r="X380" s="436"/>
      <c r="Y380" s="436"/>
      <c r="Z380" s="436"/>
    </row>
    <row r="381" ht="15.75" customHeight="1">
      <c r="A381" s="436">
        <v>382.0</v>
      </c>
      <c r="B381" s="436" t="s">
        <v>3182</v>
      </c>
      <c r="C381" s="436" t="s">
        <v>3860</v>
      </c>
      <c r="D381" s="436" t="s">
        <v>4233</v>
      </c>
      <c r="E381" s="436"/>
      <c r="F381" s="436"/>
      <c r="G381" s="436"/>
      <c r="H381" s="436"/>
      <c r="I381" s="436"/>
      <c r="J381" s="436"/>
      <c r="K381" s="436"/>
      <c r="L381" s="436"/>
      <c r="M381" s="436"/>
      <c r="N381" s="436"/>
      <c r="O381" s="436"/>
      <c r="P381" s="436"/>
      <c r="Q381" s="436"/>
      <c r="R381" s="436"/>
      <c r="S381" s="436"/>
      <c r="T381" s="436"/>
      <c r="U381" s="436"/>
      <c r="V381" s="436"/>
      <c r="W381" s="436"/>
      <c r="X381" s="436"/>
      <c r="Y381" s="436"/>
      <c r="Z381" s="436"/>
    </row>
    <row r="382" ht="15.75" customHeight="1">
      <c r="A382" s="436">
        <v>383.0</v>
      </c>
      <c r="B382" s="436" t="s">
        <v>2892</v>
      </c>
      <c r="C382" s="436" t="s">
        <v>2193</v>
      </c>
      <c r="D382" s="436" t="s">
        <v>4234</v>
      </c>
      <c r="E382" s="436"/>
      <c r="F382" s="436"/>
      <c r="G382" s="436"/>
      <c r="H382" s="436"/>
      <c r="I382" s="436"/>
      <c r="J382" s="436"/>
      <c r="K382" s="436"/>
      <c r="L382" s="436"/>
      <c r="M382" s="436"/>
      <c r="N382" s="436"/>
      <c r="O382" s="436"/>
      <c r="P382" s="436"/>
      <c r="Q382" s="436"/>
      <c r="R382" s="436"/>
      <c r="S382" s="436"/>
      <c r="T382" s="436"/>
      <c r="U382" s="436"/>
      <c r="V382" s="436"/>
      <c r="W382" s="436"/>
      <c r="X382" s="436"/>
      <c r="Y382" s="436"/>
      <c r="Z382" s="436"/>
    </row>
    <row r="383" ht="15.75" customHeight="1">
      <c r="A383" s="436">
        <v>384.0</v>
      </c>
      <c r="B383" s="436" t="s">
        <v>2019</v>
      </c>
      <c r="C383" s="436" t="s">
        <v>3860</v>
      </c>
      <c r="D383" s="436" t="s">
        <v>4235</v>
      </c>
      <c r="E383" s="436"/>
      <c r="F383" s="436"/>
      <c r="G383" s="436"/>
      <c r="H383" s="436"/>
      <c r="I383" s="436"/>
      <c r="J383" s="436"/>
      <c r="K383" s="436"/>
      <c r="L383" s="436"/>
      <c r="M383" s="436"/>
      <c r="N383" s="436"/>
      <c r="O383" s="436"/>
      <c r="P383" s="436"/>
      <c r="Q383" s="436"/>
      <c r="R383" s="436"/>
      <c r="S383" s="436"/>
      <c r="T383" s="436"/>
      <c r="U383" s="436"/>
      <c r="V383" s="436"/>
      <c r="W383" s="436"/>
      <c r="X383" s="436"/>
      <c r="Y383" s="436"/>
      <c r="Z383" s="436"/>
    </row>
    <row r="384" ht="15.75" customHeight="1">
      <c r="A384" s="436">
        <v>385.0</v>
      </c>
      <c r="B384" s="436" t="s">
        <v>1849</v>
      </c>
      <c r="C384" s="436" t="s">
        <v>3860</v>
      </c>
      <c r="D384" s="436" t="s">
        <v>4236</v>
      </c>
      <c r="E384" s="436"/>
      <c r="F384" s="436"/>
      <c r="G384" s="436"/>
      <c r="H384" s="436"/>
      <c r="I384" s="436"/>
      <c r="J384" s="436"/>
      <c r="K384" s="436"/>
      <c r="L384" s="436"/>
      <c r="M384" s="436"/>
      <c r="N384" s="436"/>
      <c r="O384" s="436"/>
      <c r="P384" s="436"/>
      <c r="Q384" s="436"/>
      <c r="R384" s="436"/>
      <c r="S384" s="436"/>
      <c r="T384" s="436"/>
      <c r="U384" s="436"/>
      <c r="V384" s="436"/>
      <c r="W384" s="436"/>
      <c r="X384" s="436"/>
      <c r="Y384" s="436"/>
      <c r="Z384" s="436"/>
    </row>
    <row r="385" ht="15.75" customHeight="1">
      <c r="A385" s="436">
        <v>386.0</v>
      </c>
      <c r="B385" s="436" t="s">
        <v>3182</v>
      </c>
      <c r="C385" s="436" t="s">
        <v>3860</v>
      </c>
      <c r="D385" s="436" t="s">
        <v>4237</v>
      </c>
      <c r="E385" s="436"/>
      <c r="F385" s="436"/>
      <c r="G385" s="436"/>
      <c r="H385" s="436"/>
      <c r="I385" s="436"/>
      <c r="J385" s="436"/>
      <c r="K385" s="436"/>
      <c r="L385" s="436"/>
      <c r="M385" s="436"/>
      <c r="N385" s="436"/>
      <c r="O385" s="436"/>
      <c r="P385" s="436"/>
      <c r="Q385" s="436"/>
      <c r="R385" s="436"/>
      <c r="S385" s="436"/>
      <c r="T385" s="436"/>
      <c r="U385" s="436"/>
      <c r="V385" s="436"/>
      <c r="W385" s="436"/>
      <c r="X385" s="436"/>
      <c r="Y385" s="436"/>
      <c r="Z385" s="436"/>
    </row>
    <row r="386" ht="15.75" customHeight="1">
      <c r="A386" s="436">
        <v>387.0</v>
      </c>
      <c r="B386" s="436" t="s">
        <v>3182</v>
      </c>
      <c r="C386" s="436" t="s">
        <v>3860</v>
      </c>
      <c r="D386" s="436" t="s">
        <v>4238</v>
      </c>
      <c r="E386" s="436"/>
      <c r="F386" s="436"/>
      <c r="G386" s="436"/>
      <c r="H386" s="436"/>
      <c r="I386" s="436"/>
      <c r="J386" s="436"/>
      <c r="K386" s="436"/>
      <c r="L386" s="436"/>
      <c r="M386" s="436"/>
      <c r="N386" s="436"/>
      <c r="O386" s="436"/>
      <c r="P386" s="436"/>
      <c r="Q386" s="436"/>
      <c r="R386" s="436"/>
      <c r="S386" s="436"/>
      <c r="T386" s="436"/>
      <c r="U386" s="436"/>
      <c r="V386" s="436"/>
      <c r="W386" s="436"/>
      <c r="X386" s="436"/>
      <c r="Y386" s="436"/>
      <c r="Z386" s="436"/>
    </row>
    <row r="387" ht="15.75" customHeight="1">
      <c r="A387" s="436">
        <v>388.0</v>
      </c>
      <c r="B387" s="436" t="s">
        <v>2019</v>
      </c>
      <c r="C387" s="436" t="s">
        <v>3860</v>
      </c>
      <c r="D387" s="436" t="s">
        <v>4239</v>
      </c>
      <c r="E387" s="436"/>
      <c r="F387" s="436"/>
      <c r="G387" s="436"/>
      <c r="H387" s="436"/>
      <c r="I387" s="436"/>
      <c r="J387" s="436"/>
      <c r="K387" s="436"/>
      <c r="L387" s="436"/>
      <c r="M387" s="436"/>
      <c r="N387" s="436"/>
      <c r="O387" s="436"/>
      <c r="P387" s="436"/>
      <c r="Q387" s="436"/>
      <c r="R387" s="436"/>
      <c r="S387" s="436"/>
      <c r="T387" s="436"/>
      <c r="U387" s="436"/>
      <c r="V387" s="436"/>
      <c r="W387" s="436"/>
      <c r="X387" s="436"/>
      <c r="Y387" s="436"/>
      <c r="Z387" s="436"/>
    </row>
    <row r="388" ht="15.75" customHeight="1">
      <c r="A388" s="436">
        <v>389.0</v>
      </c>
      <c r="B388" s="436" t="s">
        <v>2019</v>
      </c>
      <c r="C388" s="436" t="s">
        <v>3860</v>
      </c>
      <c r="D388" s="436" t="s">
        <v>4240</v>
      </c>
      <c r="E388" s="436"/>
      <c r="F388" s="436"/>
      <c r="G388" s="436"/>
      <c r="H388" s="436"/>
      <c r="I388" s="436"/>
      <c r="J388" s="436"/>
      <c r="K388" s="436"/>
      <c r="L388" s="436"/>
      <c r="M388" s="436"/>
      <c r="N388" s="436"/>
      <c r="O388" s="436"/>
      <c r="P388" s="436"/>
      <c r="Q388" s="436"/>
      <c r="R388" s="436"/>
      <c r="S388" s="436"/>
      <c r="T388" s="436"/>
      <c r="U388" s="436"/>
      <c r="V388" s="436"/>
      <c r="W388" s="436"/>
      <c r="X388" s="436"/>
      <c r="Y388" s="436"/>
      <c r="Z388" s="436"/>
    </row>
    <row r="389" ht="15.75" customHeight="1">
      <c r="A389" s="436">
        <v>390.0</v>
      </c>
      <c r="B389" s="436" t="s">
        <v>1849</v>
      </c>
      <c r="C389" s="436" t="s">
        <v>3860</v>
      </c>
      <c r="D389" s="436" t="s">
        <v>4241</v>
      </c>
      <c r="E389" s="436"/>
      <c r="F389" s="436"/>
      <c r="G389" s="436"/>
      <c r="H389" s="436"/>
      <c r="I389" s="436"/>
      <c r="J389" s="436"/>
      <c r="K389" s="436"/>
      <c r="L389" s="436"/>
      <c r="M389" s="436"/>
      <c r="N389" s="436"/>
      <c r="O389" s="436"/>
      <c r="P389" s="436"/>
      <c r="Q389" s="436"/>
      <c r="R389" s="436"/>
      <c r="S389" s="436"/>
      <c r="T389" s="436"/>
      <c r="U389" s="436"/>
      <c r="V389" s="436"/>
      <c r="W389" s="436"/>
      <c r="X389" s="436"/>
      <c r="Y389" s="436"/>
      <c r="Z389" s="436"/>
    </row>
    <row r="390" ht="15.75" customHeight="1">
      <c r="A390" s="436">
        <v>391.0</v>
      </c>
      <c r="B390" s="436" t="s">
        <v>1849</v>
      </c>
      <c r="C390" s="436" t="s">
        <v>3860</v>
      </c>
      <c r="D390" s="436" t="s">
        <v>4242</v>
      </c>
      <c r="E390" s="436"/>
      <c r="F390" s="436"/>
      <c r="G390" s="436"/>
      <c r="H390" s="436"/>
      <c r="I390" s="436"/>
      <c r="J390" s="436"/>
      <c r="K390" s="436"/>
      <c r="L390" s="436"/>
      <c r="M390" s="436"/>
      <c r="N390" s="436"/>
      <c r="O390" s="436"/>
      <c r="P390" s="436"/>
      <c r="Q390" s="436"/>
      <c r="R390" s="436"/>
      <c r="S390" s="436"/>
      <c r="T390" s="436"/>
      <c r="U390" s="436"/>
      <c r="V390" s="436"/>
      <c r="W390" s="436"/>
      <c r="X390" s="436"/>
      <c r="Y390" s="436"/>
      <c r="Z390" s="436"/>
    </row>
    <row r="391" ht="15.75" customHeight="1">
      <c r="A391" s="436">
        <v>392.0</v>
      </c>
      <c r="B391" s="436" t="s">
        <v>2677</v>
      </c>
      <c r="C391" s="436" t="s">
        <v>3860</v>
      </c>
      <c r="D391" s="436" t="s">
        <v>4243</v>
      </c>
      <c r="E391" s="436"/>
      <c r="F391" s="436"/>
      <c r="G391" s="436"/>
      <c r="H391" s="436"/>
      <c r="I391" s="436"/>
      <c r="J391" s="436"/>
      <c r="K391" s="436"/>
      <c r="L391" s="436"/>
      <c r="M391" s="436"/>
      <c r="N391" s="436"/>
      <c r="O391" s="436"/>
      <c r="P391" s="436"/>
      <c r="Q391" s="436"/>
      <c r="R391" s="436"/>
      <c r="S391" s="436"/>
      <c r="T391" s="436"/>
      <c r="U391" s="436"/>
      <c r="V391" s="436"/>
      <c r="W391" s="436"/>
      <c r="X391" s="436"/>
      <c r="Y391" s="436"/>
      <c r="Z391" s="436"/>
    </row>
    <row r="392" ht="15.75" customHeight="1">
      <c r="A392" s="436">
        <v>393.0</v>
      </c>
      <c r="B392" s="436" t="s">
        <v>2677</v>
      </c>
      <c r="C392" s="436" t="s">
        <v>3860</v>
      </c>
      <c r="D392" s="436" t="s">
        <v>4244</v>
      </c>
      <c r="E392" s="436"/>
      <c r="F392" s="436"/>
      <c r="G392" s="436"/>
      <c r="H392" s="436"/>
      <c r="I392" s="436"/>
      <c r="J392" s="436"/>
      <c r="K392" s="436"/>
      <c r="L392" s="436"/>
      <c r="M392" s="436"/>
      <c r="N392" s="436"/>
      <c r="O392" s="436"/>
      <c r="P392" s="436"/>
      <c r="Q392" s="436"/>
      <c r="R392" s="436"/>
      <c r="S392" s="436"/>
      <c r="T392" s="436"/>
      <c r="U392" s="436"/>
      <c r="V392" s="436"/>
      <c r="W392" s="436"/>
      <c r="X392" s="436"/>
      <c r="Y392" s="436"/>
      <c r="Z392" s="436"/>
    </row>
    <row r="393" ht="15.75" customHeight="1">
      <c r="A393" s="436">
        <v>394.0</v>
      </c>
      <c r="B393" s="436" t="s">
        <v>2892</v>
      </c>
      <c r="C393" s="436" t="s">
        <v>3860</v>
      </c>
      <c r="D393" s="436" t="s">
        <v>4245</v>
      </c>
      <c r="E393" s="436"/>
      <c r="F393" s="436"/>
      <c r="G393" s="436"/>
      <c r="H393" s="436"/>
      <c r="I393" s="436"/>
      <c r="J393" s="436"/>
      <c r="K393" s="436"/>
      <c r="L393" s="436"/>
      <c r="M393" s="436"/>
      <c r="N393" s="436"/>
      <c r="O393" s="436"/>
      <c r="P393" s="436"/>
      <c r="Q393" s="436"/>
      <c r="R393" s="436"/>
      <c r="S393" s="436"/>
      <c r="T393" s="436"/>
      <c r="U393" s="436"/>
      <c r="V393" s="436"/>
      <c r="W393" s="436"/>
      <c r="X393" s="436"/>
      <c r="Y393" s="436"/>
      <c r="Z393" s="436"/>
    </row>
    <row r="394" ht="15.75" customHeight="1">
      <c r="A394" s="436">
        <v>395.0</v>
      </c>
      <c r="B394" s="436" t="s">
        <v>3182</v>
      </c>
      <c r="C394" s="436" t="s">
        <v>3860</v>
      </c>
      <c r="D394" s="436" t="s">
        <v>4246</v>
      </c>
      <c r="E394" s="436"/>
      <c r="F394" s="436"/>
      <c r="G394" s="436"/>
      <c r="H394" s="436"/>
      <c r="I394" s="436"/>
      <c r="J394" s="436"/>
      <c r="K394" s="436"/>
      <c r="L394" s="436"/>
      <c r="M394" s="436"/>
      <c r="N394" s="436"/>
      <c r="O394" s="436"/>
      <c r="P394" s="436"/>
      <c r="Q394" s="436"/>
      <c r="R394" s="436"/>
      <c r="S394" s="436"/>
      <c r="T394" s="436"/>
      <c r="U394" s="436"/>
      <c r="V394" s="436"/>
      <c r="W394" s="436"/>
      <c r="X394" s="436"/>
      <c r="Y394" s="436"/>
      <c r="Z394" s="436"/>
    </row>
    <row r="395" ht="15.75" customHeight="1">
      <c r="A395" s="436">
        <v>396.0</v>
      </c>
      <c r="B395" s="436" t="s">
        <v>2892</v>
      </c>
      <c r="C395" s="436" t="s">
        <v>3860</v>
      </c>
      <c r="D395" s="436" t="s">
        <v>4247</v>
      </c>
      <c r="E395" s="436"/>
      <c r="F395" s="436"/>
      <c r="G395" s="436"/>
      <c r="H395" s="436"/>
      <c r="I395" s="436"/>
      <c r="J395" s="436"/>
      <c r="K395" s="436"/>
      <c r="L395" s="436"/>
      <c r="M395" s="436"/>
      <c r="N395" s="436"/>
      <c r="O395" s="436"/>
      <c r="P395" s="436"/>
      <c r="Q395" s="436"/>
      <c r="R395" s="436"/>
      <c r="S395" s="436"/>
      <c r="T395" s="436"/>
      <c r="U395" s="436"/>
      <c r="V395" s="436"/>
      <c r="W395" s="436"/>
      <c r="X395" s="436"/>
      <c r="Y395" s="436"/>
      <c r="Z395" s="436"/>
    </row>
    <row r="396" ht="15.75" customHeight="1">
      <c r="A396" s="436">
        <v>397.0</v>
      </c>
      <c r="B396" s="436" t="s">
        <v>2677</v>
      </c>
      <c r="C396" s="436" t="s">
        <v>3860</v>
      </c>
      <c r="D396" s="436" t="s">
        <v>4248</v>
      </c>
      <c r="E396" s="436"/>
      <c r="F396" s="436"/>
      <c r="G396" s="436"/>
      <c r="H396" s="436"/>
      <c r="I396" s="436"/>
      <c r="J396" s="436"/>
      <c r="K396" s="436"/>
      <c r="L396" s="436"/>
      <c r="M396" s="436"/>
      <c r="N396" s="436"/>
      <c r="O396" s="436"/>
      <c r="P396" s="436"/>
      <c r="Q396" s="436"/>
      <c r="R396" s="436"/>
      <c r="S396" s="436"/>
      <c r="T396" s="436"/>
      <c r="U396" s="436"/>
      <c r="V396" s="436"/>
      <c r="W396" s="436"/>
      <c r="X396" s="436"/>
      <c r="Y396" s="436"/>
      <c r="Z396" s="436"/>
    </row>
    <row r="397" ht="15.75" customHeight="1">
      <c r="A397" s="436">
        <v>398.0</v>
      </c>
      <c r="B397" s="436" t="s">
        <v>3192</v>
      </c>
      <c r="C397" s="436" t="s">
        <v>3860</v>
      </c>
      <c r="D397" s="436" t="s">
        <v>4249</v>
      </c>
      <c r="E397" s="436"/>
      <c r="F397" s="436"/>
      <c r="G397" s="436"/>
      <c r="H397" s="436"/>
      <c r="I397" s="436"/>
      <c r="J397" s="436"/>
      <c r="K397" s="436"/>
      <c r="L397" s="436"/>
      <c r="M397" s="436"/>
      <c r="N397" s="436"/>
      <c r="O397" s="436"/>
      <c r="P397" s="436"/>
      <c r="Q397" s="436"/>
      <c r="R397" s="436"/>
      <c r="S397" s="436"/>
      <c r="T397" s="436"/>
      <c r="U397" s="436"/>
      <c r="V397" s="436"/>
      <c r="W397" s="436"/>
      <c r="X397" s="436"/>
      <c r="Y397" s="436"/>
      <c r="Z397" s="436"/>
    </row>
    <row r="398" ht="15.75" customHeight="1">
      <c r="A398" s="436">
        <v>399.0</v>
      </c>
      <c r="B398" s="436" t="s">
        <v>3192</v>
      </c>
      <c r="C398" s="436" t="s">
        <v>3860</v>
      </c>
      <c r="D398" s="436" t="s">
        <v>4250</v>
      </c>
      <c r="E398" s="436"/>
      <c r="F398" s="436"/>
      <c r="G398" s="436"/>
      <c r="H398" s="436"/>
      <c r="I398" s="436"/>
      <c r="J398" s="436"/>
      <c r="K398" s="436"/>
      <c r="L398" s="436"/>
      <c r="M398" s="436"/>
      <c r="N398" s="436"/>
      <c r="O398" s="436"/>
      <c r="P398" s="436"/>
      <c r="Q398" s="436"/>
      <c r="R398" s="436"/>
      <c r="S398" s="436"/>
      <c r="T398" s="436"/>
      <c r="U398" s="436"/>
      <c r="V398" s="436"/>
      <c r="W398" s="436"/>
      <c r="X398" s="436"/>
      <c r="Y398" s="436"/>
      <c r="Z398" s="436"/>
    </row>
    <row r="399" ht="15.75" customHeight="1">
      <c r="A399" s="436">
        <v>400.0</v>
      </c>
      <c r="B399" s="436" t="s">
        <v>3192</v>
      </c>
      <c r="C399" s="436" t="s">
        <v>3860</v>
      </c>
      <c r="D399" s="436" t="s">
        <v>4251</v>
      </c>
      <c r="E399" s="436"/>
      <c r="F399" s="436"/>
      <c r="G399" s="436"/>
      <c r="H399" s="436"/>
      <c r="I399" s="436"/>
      <c r="J399" s="436"/>
      <c r="K399" s="436"/>
      <c r="L399" s="436"/>
      <c r="M399" s="436"/>
      <c r="N399" s="436"/>
      <c r="O399" s="436"/>
      <c r="P399" s="436"/>
      <c r="Q399" s="436"/>
      <c r="R399" s="436"/>
      <c r="S399" s="436"/>
      <c r="T399" s="436"/>
      <c r="U399" s="436"/>
      <c r="V399" s="436"/>
      <c r="W399" s="436"/>
      <c r="X399" s="436"/>
      <c r="Y399" s="436"/>
      <c r="Z399" s="436"/>
    </row>
    <row r="400" ht="15.75" customHeight="1">
      <c r="A400" s="436">
        <v>401.0</v>
      </c>
      <c r="B400" s="436" t="s">
        <v>1841</v>
      </c>
      <c r="C400" s="436" t="s">
        <v>3860</v>
      </c>
      <c r="D400" s="436" t="s">
        <v>4252</v>
      </c>
      <c r="E400" s="436"/>
      <c r="F400" s="436"/>
      <c r="G400" s="436"/>
      <c r="H400" s="436"/>
      <c r="I400" s="436"/>
      <c r="J400" s="436"/>
      <c r="K400" s="436"/>
      <c r="L400" s="436"/>
      <c r="M400" s="436"/>
      <c r="N400" s="436"/>
      <c r="O400" s="436"/>
      <c r="P400" s="436"/>
      <c r="Q400" s="436"/>
      <c r="R400" s="436"/>
      <c r="S400" s="436"/>
      <c r="T400" s="436"/>
      <c r="U400" s="436"/>
      <c r="V400" s="436"/>
      <c r="W400" s="436"/>
      <c r="X400" s="436"/>
      <c r="Y400" s="436"/>
      <c r="Z400" s="436"/>
    </row>
    <row r="401" ht="15.75" customHeight="1">
      <c r="A401" s="436">
        <v>402.0</v>
      </c>
      <c r="B401" s="436" t="s">
        <v>3192</v>
      </c>
      <c r="C401" s="436" t="s">
        <v>3860</v>
      </c>
      <c r="D401" s="436" t="s">
        <v>4253</v>
      </c>
      <c r="E401" s="436"/>
      <c r="F401" s="436"/>
      <c r="G401" s="436"/>
      <c r="H401" s="436"/>
      <c r="I401" s="436"/>
      <c r="J401" s="436"/>
      <c r="K401" s="436"/>
      <c r="L401" s="436"/>
      <c r="M401" s="436"/>
      <c r="N401" s="436"/>
      <c r="O401" s="436"/>
      <c r="P401" s="436"/>
      <c r="Q401" s="436"/>
      <c r="R401" s="436"/>
      <c r="S401" s="436"/>
      <c r="T401" s="436"/>
      <c r="U401" s="436"/>
      <c r="V401" s="436"/>
      <c r="W401" s="436"/>
      <c r="X401" s="436"/>
      <c r="Y401" s="436"/>
      <c r="Z401" s="436"/>
    </row>
    <row r="402" ht="15.75" customHeight="1">
      <c r="A402" s="436">
        <v>403.0</v>
      </c>
      <c r="B402" s="436" t="s">
        <v>2677</v>
      </c>
      <c r="C402" s="436" t="s">
        <v>3860</v>
      </c>
      <c r="D402" s="436" t="s">
        <v>4254</v>
      </c>
      <c r="E402" s="436"/>
      <c r="F402" s="436"/>
      <c r="G402" s="436"/>
      <c r="H402" s="436"/>
      <c r="I402" s="436"/>
      <c r="J402" s="436"/>
      <c r="K402" s="436"/>
      <c r="L402" s="436"/>
      <c r="M402" s="436"/>
      <c r="N402" s="436"/>
      <c r="O402" s="436"/>
      <c r="P402" s="436"/>
      <c r="Q402" s="436"/>
      <c r="R402" s="436"/>
      <c r="S402" s="436"/>
      <c r="T402" s="436"/>
      <c r="U402" s="436"/>
      <c r="V402" s="436"/>
      <c r="W402" s="436"/>
      <c r="X402" s="436"/>
      <c r="Y402" s="436"/>
      <c r="Z402" s="436"/>
    </row>
    <row r="403" ht="15.75" customHeight="1">
      <c r="A403" s="436">
        <v>404.0</v>
      </c>
      <c r="B403" s="436" t="s">
        <v>3192</v>
      </c>
      <c r="C403" s="436" t="s">
        <v>3860</v>
      </c>
      <c r="D403" s="436" t="s">
        <v>4255</v>
      </c>
      <c r="E403" s="436"/>
      <c r="F403" s="436"/>
      <c r="G403" s="436"/>
      <c r="H403" s="436"/>
      <c r="I403" s="436"/>
      <c r="J403" s="436"/>
      <c r="K403" s="436"/>
      <c r="L403" s="436"/>
      <c r="M403" s="436"/>
      <c r="N403" s="436"/>
      <c r="O403" s="436"/>
      <c r="P403" s="436"/>
      <c r="Q403" s="436"/>
      <c r="R403" s="436"/>
      <c r="S403" s="436"/>
      <c r="T403" s="436"/>
      <c r="U403" s="436"/>
      <c r="V403" s="436"/>
      <c r="W403" s="436"/>
      <c r="X403" s="436"/>
      <c r="Y403" s="436"/>
      <c r="Z403" s="436"/>
    </row>
    <row r="404" ht="15.75" customHeight="1">
      <c r="A404" s="436">
        <v>405.0</v>
      </c>
      <c r="B404" s="436" t="s">
        <v>1846</v>
      </c>
      <c r="C404" s="436" t="s">
        <v>3860</v>
      </c>
      <c r="D404" s="436" t="s">
        <v>4256</v>
      </c>
      <c r="E404" s="436"/>
      <c r="F404" s="436"/>
      <c r="G404" s="436"/>
      <c r="H404" s="436"/>
      <c r="I404" s="436"/>
      <c r="J404" s="436"/>
      <c r="K404" s="436"/>
      <c r="L404" s="436"/>
      <c r="M404" s="436"/>
      <c r="N404" s="436"/>
      <c r="O404" s="436"/>
      <c r="P404" s="436"/>
      <c r="Q404" s="436"/>
      <c r="R404" s="436"/>
      <c r="S404" s="436"/>
      <c r="T404" s="436"/>
      <c r="U404" s="436"/>
      <c r="V404" s="436"/>
      <c r="W404" s="436"/>
      <c r="X404" s="436"/>
      <c r="Y404" s="436"/>
      <c r="Z404" s="436"/>
    </row>
    <row r="405" ht="15.75" customHeight="1">
      <c r="A405" s="436">
        <v>406.0</v>
      </c>
      <c r="B405" s="436" t="s">
        <v>2677</v>
      </c>
      <c r="C405" s="546" t="s">
        <v>3860</v>
      </c>
      <c r="D405" s="556" t="s">
        <v>4257</v>
      </c>
      <c r="E405" s="436"/>
      <c r="F405" s="436"/>
      <c r="G405" s="436"/>
      <c r="H405" s="436"/>
      <c r="I405" s="436"/>
      <c r="J405" s="436"/>
      <c r="K405" s="436"/>
      <c r="L405" s="436"/>
      <c r="M405" s="436"/>
      <c r="N405" s="436"/>
      <c r="O405" s="436"/>
      <c r="P405" s="436"/>
      <c r="Q405" s="436"/>
      <c r="R405" s="436"/>
      <c r="S405" s="436"/>
      <c r="T405" s="436"/>
      <c r="U405" s="436"/>
      <c r="V405" s="436"/>
      <c r="W405" s="436"/>
      <c r="X405" s="436"/>
      <c r="Y405" s="436"/>
      <c r="Z405" s="436"/>
    </row>
    <row r="406" ht="15.75" customHeight="1">
      <c r="A406" s="436">
        <v>407.0</v>
      </c>
      <c r="B406" s="436" t="s">
        <v>2677</v>
      </c>
      <c r="C406" s="546" t="s">
        <v>3860</v>
      </c>
      <c r="D406" s="436" t="s">
        <v>4258</v>
      </c>
      <c r="E406" s="436"/>
      <c r="F406" s="436"/>
      <c r="G406" s="436"/>
      <c r="H406" s="436"/>
      <c r="I406" s="436"/>
      <c r="J406" s="436"/>
      <c r="K406" s="436"/>
      <c r="L406" s="436"/>
      <c r="M406" s="436"/>
      <c r="N406" s="436"/>
      <c r="O406" s="436"/>
      <c r="P406" s="436"/>
      <c r="Q406" s="436"/>
      <c r="R406" s="436"/>
      <c r="S406" s="436"/>
      <c r="T406" s="436"/>
      <c r="U406" s="436"/>
      <c r="V406" s="436"/>
      <c r="W406" s="436"/>
      <c r="X406" s="436"/>
      <c r="Y406" s="436"/>
      <c r="Z406" s="436"/>
    </row>
    <row r="407" ht="15.75" customHeight="1">
      <c r="A407" s="436">
        <v>408.0</v>
      </c>
      <c r="B407" s="436" t="s">
        <v>2677</v>
      </c>
      <c r="C407" s="546" t="s">
        <v>3860</v>
      </c>
      <c r="D407" s="436" t="s">
        <v>4259</v>
      </c>
      <c r="E407" s="436"/>
      <c r="F407" s="436"/>
      <c r="G407" s="436"/>
      <c r="H407" s="436"/>
      <c r="I407" s="436"/>
      <c r="J407" s="436"/>
      <c r="K407" s="436"/>
      <c r="L407" s="436"/>
      <c r="M407" s="436"/>
      <c r="N407" s="436"/>
      <c r="O407" s="436"/>
      <c r="P407" s="436"/>
      <c r="Q407" s="436"/>
      <c r="R407" s="436"/>
      <c r="S407" s="436"/>
      <c r="T407" s="436"/>
      <c r="U407" s="436"/>
      <c r="V407" s="436"/>
      <c r="W407" s="436"/>
      <c r="X407" s="436"/>
      <c r="Y407" s="436"/>
      <c r="Z407" s="436"/>
    </row>
    <row r="408" ht="15.75" customHeight="1">
      <c r="A408" s="436">
        <v>409.0</v>
      </c>
      <c r="B408" s="436" t="s">
        <v>2677</v>
      </c>
      <c r="C408" s="546" t="s">
        <v>3860</v>
      </c>
      <c r="D408" s="436" t="s">
        <v>4260</v>
      </c>
      <c r="E408" s="436"/>
      <c r="F408" s="436"/>
      <c r="G408" s="436"/>
      <c r="H408" s="436"/>
      <c r="I408" s="436"/>
      <c r="J408" s="436"/>
      <c r="K408" s="436"/>
      <c r="L408" s="436"/>
      <c r="M408" s="436"/>
      <c r="N408" s="436"/>
      <c r="O408" s="436"/>
      <c r="P408" s="436"/>
      <c r="Q408" s="436"/>
      <c r="R408" s="436"/>
      <c r="S408" s="436"/>
      <c r="T408" s="436"/>
      <c r="U408" s="436"/>
      <c r="V408" s="436"/>
      <c r="W408" s="436"/>
      <c r="X408" s="436"/>
      <c r="Y408" s="436"/>
      <c r="Z408" s="436"/>
    </row>
    <row r="409" ht="15.75" customHeight="1">
      <c r="A409" s="436">
        <v>410.0</v>
      </c>
      <c r="B409" s="436" t="s">
        <v>2677</v>
      </c>
      <c r="C409" s="546" t="s">
        <v>3860</v>
      </c>
      <c r="D409" s="436" t="s">
        <v>4261</v>
      </c>
      <c r="E409" s="436"/>
      <c r="F409" s="436"/>
      <c r="G409" s="436"/>
      <c r="H409" s="436"/>
      <c r="I409" s="436"/>
      <c r="J409" s="436"/>
      <c r="K409" s="436"/>
      <c r="L409" s="436"/>
      <c r="M409" s="436"/>
      <c r="N409" s="436"/>
      <c r="O409" s="436"/>
      <c r="P409" s="436"/>
      <c r="Q409" s="436"/>
      <c r="R409" s="436"/>
      <c r="S409" s="436"/>
      <c r="T409" s="436"/>
      <c r="U409" s="436"/>
      <c r="V409" s="436"/>
      <c r="W409" s="436"/>
      <c r="X409" s="436"/>
      <c r="Y409" s="436"/>
      <c r="Z409" s="436"/>
    </row>
    <row r="410" ht="15.75" customHeight="1">
      <c r="A410" s="436">
        <v>411.0</v>
      </c>
      <c r="B410" s="436" t="s">
        <v>2892</v>
      </c>
      <c r="C410" s="436" t="s">
        <v>3860</v>
      </c>
      <c r="D410" s="436" t="s">
        <v>4262</v>
      </c>
      <c r="E410" s="436"/>
      <c r="F410" s="436"/>
      <c r="G410" s="436"/>
      <c r="H410" s="436"/>
      <c r="I410" s="436"/>
      <c r="J410" s="436"/>
      <c r="K410" s="436"/>
      <c r="L410" s="436"/>
      <c r="M410" s="436"/>
      <c r="N410" s="436"/>
      <c r="O410" s="436"/>
      <c r="P410" s="436"/>
      <c r="Q410" s="436"/>
      <c r="R410" s="436"/>
      <c r="S410" s="436"/>
      <c r="T410" s="436"/>
      <c r="U410" s="436"/>
      <c r="V410" s="436"/>
      <c r="W410" s="436"/>
      <c r="X410" s="436"/>
      <c r="Y410" s="436"/>
      <c r="Z410" s="436"/>
    </row>
    <row r="411" ht="15.75" customHeight="1">
      <c r="A411" s="436">
        <v>412.0</v>
      </c>
      <c r="B411" s="436" t="s">
        <v>1841</v>
      </c>
      <c r="C411" s="436" t="s">
        <v>3860</v>
      </c>
      <c r="D411" s="436" t="s">
        <v>4263</v>
      </c>
      <c r="E411" s="436"/>
      <c r="F411" s="436"/>
      <c r="G411" s="436"/>
      <c r="H411" s="436"/>
      <c r="I411" s="436"/>
      <c r="J411" s="436"/>
      <c r="K411" s="436"/>
      <c r="L411" s="436"/>
      <c r="M411" s="436"/>
      <c r="N411" s="436"/>
      <c r="O411" s="436"/>
      <c r="P411" s="436"/>
      <c r="Q411" s="436"/>
      <c r="R411" s="436"/>
      <c r="S411" s="436"/>
      <c r="T411" s="436"/>
      <c r="U411" s="436"/>
      <c r="V411" s="436"/>
      <c r="W411" s="436"/>
      <c r="X411" s="436"/>
      <c r="Y411" s="436"/>
      <c r="Z411" s="436"/>
    </row>
    <row r="412" ht="15.75" customHeight="1">
      <c r="A412" s="436">
        <v>413.0</v>
      </c>
      <c r="B412" s="436" t="s">
        <v>1841</v>
      </c>
      <c r="C412" s="436" t="s">
        <v>3860</v>
      </c>
      <c r="D412" s="436" t="s">
        <v>4264</v>
      </c>
      <c r="E412" s="436"/>
      <c r="F412" s="436"/>
      <c r="G412" s="436"/>
      <c r="H412" s="436"/>
      <c r="I412" s="436"/>
      <c r="J412" s="436"/>
      <c r="K412" s="436"/>
      <c r="L412" s="436"/>
      <c r="M412" s="436"/>
      <c r="N412" s="436"/>
      <c r="O412" s="436"/>
      <c r="P412" s="436"/>
      <c r="Q412" s="436"/>
      <c r="R412" s="436"/>
      <c r="S412" s="436"/>
      <c r="T412" s="436"/>
      <c r="U412" s="436"/>
      <c r="V412" s="436"/>
      <c r="W412" s="436"/>
      <c r="X412" s="436"/>
      <c r="Y412" s="436"/>
      <c r="Z412" s="436"/>
    </row>
    <row r="413" ht="15.75" customHeight="1">
      <c r="A413" s="436">
        <v>414.0</v>
      </c>
      <c r="B413" s="436" t="s">
        <v>1841</v>
      </c>
      <c r="C413" s="436" t="s">
        <v>3860</v>
      </c>
      <c r="D413" s="436" t="s">
        <v>4265</v>
      </c>
      <c r="E413" s="436"/>
      <c r="F413" s="436"/>
      <c r="G413" s="436"/>
      <c r="H413" s="436"/>
      <c r="I413" s="436"/>
      <c r="J413" s="436"/>
      <c r="K413" s="436"/>
      <c r="L413" s="436"/>
      <c r="M413" s="436"/>
      <c r="N413" s="436"/>
      <c r="O413" s="436"/>
      <c r="P413" s="436"/>
      <c r="Q413" s="436"/>
      <c r="R413" s="436"/>
      <c r="S413" s="436"/>
      <c r="T413" s="436"/>
      <c r="U413" s="436"/>
      <c r="V413" s="436"/>
      <c r="W413" s="436"/>
      <c r="X413" s="436"/>
      <c r="Y413" s="436"/>
      <c r="Z413" s="436"/>
    </row>
    <row r="414" ht="15.75" customHeight="1">
      <c r="A414" s="436">
        <v>415.0</v>
      </c>
      <c r="B414" s="436" t="s">
        <v>2125</v>
      </c>
      <c r="C414" s="436" t="s">
        <v>3860</v>
      </c>
      <c r="D414" s="436" t="s">
        <v>4266</v>
      </c>
      <c r="E414" s="436"/>
      <c r="F414" s="436"/>
      <c r="G414" s="436"/>
      <c r="H414" s="436"/>
      <c r="I414" s="436"/>
      <c r="J414" s="436"/>
      <c r="K414" s="436"/>
      <c r="L414" s="436"/>
      <c r="M414" s="436"/>
      <c r="N414" s="436"/>
      <c r="O414" s="436"/>
      <c r="P414" s="436"/>
      <c r="Q414" s="436"/>
      <c r="R414" s="436"/>
      <c r="S414" s="436"/>
      <c r="T414" s="436"/>
      <c r="U414" s="436"/>
      <c r="V414" s="436"/>
      <c r="W414" s="436"/>
      <c r="X414" s="436"/>
      <c r="Y414" s="436"/>
      <c r="Z414" s="436"/>
    </row>
    <row r="415" ht="15.75" customHeight="1">
      <c r="A415" s="436">
        <v>416.0</v>
      </c>
      <c r="B415" s="436" t="s">
        <v>2125</v>
      </c>
      <c r="C415" s="436" t="s">
        <v>4267</v>
      </c>
      <c r="D415" s="436" t="s">
        <v>4268</v>
      </c>
      <c r="E415" s="436"/>
      <c r="F415" s="436"/>
      <c r="G415" s="436"/>
      <c r="H415" s="436"/>
      <c r="I415" s="436"/>
      <c r="J415" s="436"/>
      <c r="K415" s="436"/>
      <c r="L415" s="436"/>
      <c r="M415" s="436"/>
      <c r="N415" s="436"/>
      <c r="O415" s="436"/>
      <c r="P415" s="436"/>
      <c r="Q415" s="436"/>
      <c r="R415" s="436"/>
      <c r="S415" s="436"/>
      <c r="T415" s="436"/>
      <c r="U415" s="436"/>
      <c r="V415" s="436"/>
      <c r="W415" s="436"/>
      <c r="X415" s="436"/>
      <c r="Y415" s="436"/>
      <c r="Z415" s="436"/>
    </row>
    <row r="416" ht="15.75" customHeight="1">
      <c r="A416" s="436">
        <v>417.0</v>
      </c>
      <c r="B416" s="436" t="s">
        <v>2892</v>
      </c>
      <c r="C416" s="436" t="s">
        <v>3860</v>
      </c>
      <c r="D416" s="436" t="s">
        <v>4269</v>
      </c>
      <c r="E416" s="436"/>
      <c r="F416" s="436"/>
      <c r="G416" s="436"/>
      <c r="H416" s="436"/>
      <c r="I416" s="436"/>
      <c r="J416" s="436"/>
      <c r="K416" s="436"/>
      <c r="L416" s="436"/>
      <c r="M416" s="436"/>
      <c r="N416" s="436"/>
      <c r="O416" s="436"/>
      <c r="P416" s="436"/>
      <c r="Q416" s="436"/>
      <c r="R416" s="436"/>
      <c r="S416" s="436"/>
      <c r="T416" s="436"/>
      <c r="U416" s="436"/>
      <c r="V416" s="436"/>
      <c r="W416" s="436"/>
      <c r="X416" s="436"/>
      <c r="Y416" s="436"/>
      <c r="Z416" s="436"/>
    </row>
    <row r="417" ht="15.75" customHeight="1">
      <c r="A417" s="436">
        <v>418.0</v>
      </c>
      <c r="B417" s="436" t="s">
        <v>2404</v>
      </c>
      <c r="C417" s="436" t="s">
        <v>2193</v>
      </c>
      <c r="D417" s="436" t="s">
        <v>4270</v>
      </c>
      <c r="E417" s="436"/>
      <c r="F417" s="436"/>
      <c r="G417" s="436"/>
      <c r="H417" s="436"/>
      <c r="I417" s="436"/>
      <c r="J417" s="436"/>
      <c r="K417" s="436"/>
      <c r="L417" s="436"/>
      <c r="M417" s="436"/>
      <c r="N417" s="436"/>
      <c r="O417" s="436"/>
      <c r="P417" s="436"/>
      <c r="Q417" s="436"/>
      <c r="R417" s="436"/>
      <c r="S417" s="436"/>
      <c r="T417" s="436"/>
      <c r="U417" s="436"/>
      <c r="V417" s="436"/>
      <c r="W417" s="436"/>
      <c r="X417" s="436"/>
      <c r="Y417" s="436"/>
      <c r="Z417" s="436"/>
    </row>
    <row r="418" ht="15.75" customHeight="1">
      <c r="A418" s="436">
        <v>419.0</v>
      </c>
      <c r="B418" s="436" t="s">
        <v>2404</v>
      </c>
      <c r="C418" s="436" t="s">
        <v>2193</v>
      </c>
      <c r="D418" s="436" t="s">
        <v>4271</v>
      </c>
      <c r="E418" s="436"/>
      <c r="F418" s="436"/>
      <c r="G418" s="436"/>
      <c r="H418" s="436"/>
      <c r="I418" s="436"/>
      <c r="J418" s="436"/>
      <c r="K418" s="436"/>
      <c r="L418" s="436"/>
      <c r="M418" s="436"/>
      <c r="N418" s="436"/>
      <c r="O418" s="436"/>
      <c r="P418" s="436"/>
      <c r="Q418" s="436"/>
      <c r="R418" s="436"/>
      <c r="S418" s="436"/>
      <c r="T418" s="436"/>
      <c r="U418" s="436"/>
      <c r="V418" s="436"/>
      <c r="W418" s="436"/>
      <c r="X418" s="436"/>
      <c r="Y418" s="436"/>
      <c r="Z418" s="436"/>
    </row>
    <row r="419" ht="15.75" customHeight="1">
      <c r="A419" s="436">
        <v>420.0</v>
      </c>
      <c r="B419" s="436" t="s">
        <v>2404</v>
      </c>
      <c r="C419" s="436" t="s">
        <v>2193</v>
      </c>
      <c r="D419" s="436" t="s">
        <v>4272</v>
      </c>
      <c r="E419" s="436"/>
      <c r="F419" s="436"/>
      <c r="G419" s="436"/>
      <c r="H419" s="436"/>
      <c r="I419" s="436"/>
      <c r="J419" s="436"/>
      <c r="K419" s="436"/>
      <c r="L419" s="436"/>
      <c r="M419" s="436"/>
      <c r="N419" s="436"/>
      <c r="O419" s="436"/>
      <c r="P419" s="436"/>
      <c r="Q419" s="436"/>
      <c r="R419" s="436"/>
      <c r="S419" s="436"/>
      <c r="T419" s="436"/>
      <c r="U419" s="436"/>
      <c r="V419" s="436"/>
      <c r="W419" s="436"/>
      <c r="X419" s="436"/>
      <c r="Y419" s="436"/>
      <c r="Z419" s="436"/>
    </row>
    <row r="420" ht="15.75" customHeight="1">
      <c r="A420" s="436">
        <v>421.0</v>
      </c>
      <c r="B420" s="436" t="s">
        <v>2404</v>
      </c>
      <c r="C420" s="436" t="s">
        <v>2193</v>
      </c>
      <c r="D420" s="436" t="s">
        <v>4273</v>
      </c>
      <c r="E420" s="436"/>
      <c r="F420" s="436"/>
      <c r="G420" s="436"/>
      <c r="H420" s="436"/>
      <c r="I420" s="436"/>
      <c r="J420" s="436"/>
      <c r="K420" s="436"/>
      <c r="L420" s="436"/>
      <c r="M420" s="436"/>
      <c r="N420" s="436"/>
      <c r="O420" s="436"/>
      <c r="P420" s="436"/>
      <c r="Q420" s="436"/>
      <c r="R420" s="436"/>
      <c r="S420" s="436"/>
      <c r="T420" s="436"/>
      <c r="U420" s="436"/>
      <c r="V420" s="436"/>
      <c r="W420" s="436"/>
      <c r="X420" s="436"/>
      <c r="Y420" s="436"/>
      <c r="Z420" s="436"/>
    </row>
    <row r="421" ht="15.75" customHeight="1">
      <c r="A421" s="436">
        <v>422.0</v>
      </c>
      <c r="B421" s="436" t="s">
        <v>2404</v>
      </c>
      <c r="C421" s="436" t="s">
        <v>2193</v>
      </c>
      <c r="D421" s="436" t="s">
        <v>4274</v>
      </c>
      <c r="E421" s="436"/>
      <c r="F421" s="436"/>
      <c r="G421" s="436"/>
      <c r="H421" s="436"/>
      <c r="I421" s="436"/>
      <c r="J421" s="436"/>
      <c r="K421" s="436"/>
      <c r="L421" s="436"/>
      <c r="M421" s="436"/>
      <c r="N421" s="436"/>
      <c r="O421" s="436"/>
      <c r="P421" s="436"/>
      <c r="Q421" s="436"/>
      <c r="R421" s="436"/>
      <c r="S421" s="436"/>
      <c r="T421" s="436"/>
      <c r="U421" s="436"/>
      <c r="V421" s="436"/>
      <c r="W421" s="436"/>
      <c r="X421" s="436"/>
      <c r="Y421" s="436"/>
      <c r="Z421" s="436"/>
    </row>
    <row r="422" ht="15.75" customHeight="1">
      <c r="A422" s="436">
        <v>423.0</v>
      </c>
      <c r="B422" s="436" t="s">
        <v>2404</v>
      </c>
      <c r="C422" s="436" t="s">
        <v>2193</v>
      </c>
      <c r="D422" s="436" t="s">
        <v>4275</v>
      </c>
      <c r="E422" s="436"/>
      <c r="F422" s="436"/>
      <c r="G422" s="436"/>
      <c r="H422" s="436"/>
      <c r="I422" s="436"/>
      <c r="J422" s="436"/>
      <c r="K422" s="436"/>
      <c r="L422" s="436"/>
      <c r="M422" s="436"/>
      <c r="N422" s="436"/>
      <c r="O422" s="436"/>
      <c r="P422" s="436"/>
      <c r="Q422" s="436"/>
      <c r="R422" s="436"/>
      <c r="S422" s="436"/>
      <c r="T422" s="436"/>
      <c r="U422" s="436"/>
      <c r="V422" s="436"/>
      <c r="W422" s="436"/>
      <c r="X422" s="436"/>
      <c r="Y422" s="436"/>
      <c r="Z422" s="436"/>
    </row>
    <row r="423" ht="15.75" customHeight="1">
      <c r="A423" s="436">
        <v>424.0</v>
      </c>
      <c r="B423" s="436" t="s">
        <v>2404</v>
      </c>
      <c r="C423" s="436" t="s">
        <v>2193</v>
      </c>
      <c r="D423" s="436" t="s">
        <v>4276</v>
      </c>
      <c r="E423" s="436"/>
      <c r="F423" s="436"/>
      <c r="G423" s="436"/>
      <c r="H423" s="436"/>
      <c r="I423" s="436"/>
      <c r="J423" s="436"/>
      <c r="K423" s="436"/>
      <c r="L423" s="436"/>
      <c r="M423" s="436"/>
      <c r="N423" s="436"/>
      <c r="O423" s="436"/>
      <c r="P423" s="436"/>
      <c r="Q423" s="436"/>
      <c r="R423" s="436"/>
      <c r="S423" s="436"/>
      <c r="T423" s="436"/>
      <c r="U423" s="436"/>
      <c r="V423" s="436"/>
      <c r="W423" s="436"/>
      <c r="X423" s="436"/>
      <c r="Y423" s="436"/>
      <c r="Z423" s="436"/>
    </row>
    <row r="424" ht="15.75" customHeight="1">
      <c r="A424" s="436">
        <v>425.0</v>
      </c>
      <c r="B424" s="436" t="s">
        <v>2892</v>
      </c>
      <c r="C424" s="436" t="s">
        <v>3860</v>
      </c>
      <c r="D424" s="436" t="s">
        <v>4277</v>
      </c>
      <c r="E424" s="436"/>
      <c r="F424" s="436"/>
      <c r="G424" s="436"/>
      <c r="H424" s="436"/>
      <c r="I424" s="436"/>
      <c r="J424" s="436"/>
      <c r="K424" s="436"/>
      <c r="L424" s="436"/>
      <c r="M424" s="436"/>
      <c r="N424" s="436"/>
      <c r="O424" s="436"/>
      <c r="P424" s="436"/>
      <c r="Q424" s="436"/>
      <c r="R424" s="436"/>
      <c r="S424" s="436"/>
      <c r="T424" s="436"/>
      <c r="U424" s="436"/>
      <c r="V424" s="436"/>
      <c r="W424" s="436"/>
      <c r="X424" s="436"/>
      <c r="Y424" s="436"/>
      <c r="Z424" s="436"/>
    </row>
    <row r="425" ht="15.75" customHeight="1">
      <c r="A425" s="436">
        <v>426.0</v>
      </c>
      <c r="B425" s="436" t="s">
        <v>2892</v>
      </c>
      <c r="C425" s="436" t="s">
        <v>3860</v>
      </c>
      <c r="D425" s="436" t="s">
        <v>4278</v>
      </c>
      <c r="E425" s="436"/>
      <c r="F425" s="436"/>
      <c r="G425" s="436"/>
      <c r="H425" s="436"/>
      <c r="I425" s="436"/>
      <c r="J425" s="436"/>
      <c r="K425" s="436"/>
      <c r="L425" s="436"/>
      <c r="M425" s="436"/>
      <c r="N425" s="436"/>
      <c r="O425" s="436"/>
      <c r="P425" s="436"/>
      <c r="Q425" s="436"/>
      <c r="R425" s="436"/>
      <c r="S425" s="436"/>
      <c r="T425" s="436"/>
      <c r="U425" s="436"/>
      <c r="V425" s="436"/>
      <c r="W425" s="436"/>
      <c r="X425" s="436"/>
      <c r="Y425" s="436"/>
      <c r="Z425" s="436"/>
    </row>
    <row r="426" ht="15.75" customHeight="1">
      <c r="A426" s="436">
        <v>427.0</v>
      </c>
      <c r="B426" s="436" t="s">
        <v>2892</v>
      </c>
      <c r="C426" s="436" t="s">
        <v>3860</v>
      </c>
      <c r="D426" s="436" t="s">
        <v>4279</v>
      </c>
      <c r="E426" s="436"/>
      <c r="F426" s="436"/>
      <c r="G426" s="436"/>
      <c r="H426" s="436"/>
      <c r="I426" s="436"/>
      <c r="J426" s="436"/>
      <c r="K426" s="436"/>
      <c r="L426" s="436"/>
      <c r="M426" s="436"/>
      <c r="N426" s="436"/>
      <c r="O426" s="436"/>
      <c r="P426" s="436"/>
      <c r="Q426" s="436"/>
      <c r="R426" s="436"/>
      <c r="S426" s="436"/>
      <c r="T426" s="436"/>
      <c r="U426" s="436"/>
      <c r="V426" s="436"/>
      <c r="W426" s="436"/>
      <c r="X426" s="436"/>
      <c r="Y426" s="436"/>
      <c r="Z426" s="436"/>
    </row>
    <row r="427" ht="15.75" customHeight="1">
      <c r="A427" s="436">
        <v>428.0</v>
      </c>
      <c r="B427" s="436" t="s">
        <v>3192</v>
      </c>
      <c r="C427" s="436" t="s">
        <v>3860</v>
      </c>
      <c r="D427" s="436" t="s">
        <v>4280</v>
      </c>
      <c r="E427" s="436"/>
      <c r="F427" s="436"/>
      <c r="G427" s="436"/>
      <c r="H427" s="436"/>
      <c r="I427" s="436"/>
      <c r="J427" s="436"/>
      <c r="K427" s="436"/>
      <c r="L427" s="436"/>
      <c r="M427" s="436"/>
      <c r="N427" s="436"/>
      <c r="O427" s="436"/>
      <c r="P427" s="436"/>
      <c r="Q427" s="436"/>
      <c r="R427" s="436"/>
      <c r="S427" s="436"/>
      <c r="T427" s="436"/>
      <c r="U427" s="436"/>
      <c r="V427" s="436"/>
      <c r="W427" s="436"/>
      <c r="X427" s="436"/>
      <c r="Y427" s="436"/>
      <c r="Z427" s="436"/>
    </row>
    <row r="428" ht="15.75" customHeight="1">
      <c r="A428" s="436">
        <v>429.0</v>
      </c>
      <c r="B428" s="436" t="s">
        <v>2892</v>
      </c>
      <c r="C428" s="436" t="s">
        <v>3860</v>
      </c>
      <c r="D428" s="436" t="s">
        <v>4281</v>
      </c>
      <c r="E428" s="436"/>
      <c r="F428" s="436"/>
      <c r="G428" s="436"/>
      <c r="H428" s="436"/>
      <c r="I428" s="436"/>
      <c r="J428" s="436"/>
      <c r="K428" s="436"/>
      <c r="L428" s="436"/>
      <c r="M428" s="436"/>
      <c r="N428" s="436"/>
      <c r="O428" s="436"/>
      <c r="P428" s="436"/>
      <c r="Q428" s="436"/>
      <c r="R428" s="436"/>
      <c r="S428" s="436"/>
      <c r="T428" s="436"/>
      <c r="U428" s="436"/>
      <c r="V428" s="436"/>
      <c r="W428" s="436"/>
      <c r="X428" s="436"/>
      <c r="Y428" s="436"/>
      <c r="Z428" s="436"/>
    </row>
    <row r="429" ht="15.75" customHeight="1">
      <c r="A429" s="436">
        <v>430.0</v>
      </c>
      <c r="B429" s="436" t="s">
        <v>3192</v>
      </c>
      <c r="C429" s="436" t="s">
        <v>3860</v>
      </c>
      <c r="D429" s="436" t="s">
        <v>4282</v>
      </c>
      <c r="E429" s="436"/>
      <c r="F429" s="436"/>
      <c r="G429" s="436"/>
      <c r="H429" s="436"/>
      <c r="I429" s="436"/>
      <c r="J429" s="436"/>
      <c r="K429" s="436"/>
      <c r="L429" s="436"/>
      <c r="M429" s="436"/>
      <c r="N429" s="436"/>
      <c r="O429" s="436"/>
      <c r="P429" s="436"/>
      <c r="Q429" s="436"/>
      <c r="R429" s="436"/>
      <c r="S429" s="436"/>
      <c r="T429" s="436"/>
      <c r="U429" s="436"/>
      <c r="V429" s="436"/>
      <c r="W429" s="436"/>
      <c r="X429" s="436"/>
      <c r="Y429" s="436"/>
      <c r="Z429" s="436"/>
    </row>
    <row r="430" ht="15.75" customHeight="1">
      <c r="A430" s="436">
        <v>431.0</v>
      </c>
      <c r="B430" s="436" t="s">
        <v>2462</v>
      </c>
      <c r="C430" s="436" t="s">
        <v>3860</v>
      </c>
      <c r="D430" s="436" t="s">
        <v>4283</v>
      </c>
      <c r="E430" s="436"/>
      <c r="F430" s="436"/>
      <c r="G430" s="436"/>
      <c r="H430" s="436"/>
      <c r="I430" s="436"/>
      <c r="J430" s="436"/>
      <c r="K430" s="436"/>
      <c r="L430" s="436"/>
      <c r="M430" s="436"/>
      <c r="N430" s="436"/>
      <c r="O430" s="436"/>
      <c r="P430" s="436"/>
      <c r="Q430" s="436"/>
      <c r="R430" s="436"/>
      <c r="S430" s="436"/>
      <c r="T430" s="436"/>
      <c r="U430" s="436"/>
      <c r="V430" s="436"/>
      <c r="W430" s="436"/>
      <c r="X430" s="436"/>
      <c r="Y430" s="436"/>
      <c r="Z430" s="436"/>
    </row>
    <row r="431" ht="15.75" customHeight="1">
      <c r="A431" s="436">
        <v>432.0</v>
      </c>
      <c r="B431" s="436" t="s">
        <v>2892</v>
      </c>
      <c r="C431" s="436" t="s">
        <v>3860</v>
      </c>
      <c r="D431" s="436" t="s">
        <v>4284</v>
      </c>
      <c r="E431" s="436"/>
      <c r="F431" s="436"/>
      <c r="G431" s="436"/>
      <c r="H431" s="436"/>
      <c r="I431" s="436"/>
      <c r="J431" s="436"/>
      <c r="K431" s="436"/>
      <c r="L431" s="436"/>
      <c r="M431" s="436"/>
      <c r="N431" s="436"/>
      <c r="O431" s="436"/>
      <c r="P431" s="436"/>
      <c r="Q431" s="436"/>
      <c r="R431" s="436"/>
      <c r="S431" s="436"/>
      <c r="T431" s="436"/>
      <c r="U431" s="436"/>
      <c r="V431" s="436"/>
      <c r="W431" s="436"/>
      <c r="X431" s="436"/>
      <c r="Y431" s="436"/>
      <c r="Z431" s="436"/>
    </row>
    <row r="432" ht="15.75" customHeight="1">
      <c r="A432" s="436">
        <v>433.0</v>
      </c>
      <c r="B432" s="436" t="s">
        <v>2581</v>
      </c>
      <c r="C432" s="436" t="s">
        <v>2193</v>
      </c>
      <c r="D432" s="436" t="s">
        <v>4285</v>
      </c>
      <c r="E432" s="436"/>
      <c r="F432" s="436"/>
      <c r="G432" s="436"/>
      <c r="H432" s="436"/>
      <c r="I432" s="436"/>
      <c r="J432" s="436"/>
      <c r="K432" s="436"/>
      <c r="L432" s="436"/>
      <c r="M432" s="436"/>
      <c r="N432" s="436"/>
      <c r="O432" s="436"/>
      <c r="P432" s="436"/>
      <c r="Q432" s="436"/>
      <c r="R432" s="436"/>
      <c r="S432" s="436"/>
      <c r="T432" s="436"/>
      <c r="U432" s="436"/>
      <c r="V432" s="436"/>
      <c r="W432" s="436"/>
      <c r="X432" s="436"/>
      <c r="Y432" s="436"/>
      <c r="Z432" s="436"/>
    </row>
    <row r="433" ht="15.75" customHeight="1">
      <c r="A433" s="436">
        <v>434.0</v>
      </c>
      <c r="B433" s="436" t="s">
        <v>3192</v>
      </c>
      <c r="C433" s="436" t="s">
        <v>3860</v>
      </c>
      <c r="D433" s="436" t="s">
        <v>4286</v>
      </c>
      <c r="E433" s="436"/>
      <c r="F433" s="436"/>
      <c r="G433" s="436"/>
      <c r="H433" s="436"/>
      <c r="I433" s="436"/>
      <c r="J433" s="436"/>
      <c r="K433" s="436"/>
      <c r="L433" s="436"/>
      <c r="M433" s="436"/>
      <c r="N433" s="436"/>
      <c r="O433" s="436"/>
      <c r="P433" s="436"/>
      <c r="Q433" s="436"/>
      <c r="R433" s="436"/>
      <c r="S433" s="436"/>
      <c r="T433" s="436"/>
      <c r="U433" s="436"/>
      <c r="V433" s="436"/>
      <c r="W433" s="436"/>
      <c r="X433" s="436"/>
      <c r="Y433" s="436"/>
      <c r="Z433" s="436"/>
    </row>
    <row r="434" ht="15.75" customHeight="1">
      <c r="A434" s="436">
        <v>435.0</v>
      </c>
      <c r="B434" s="436" t="s">
        <v>2019</v>
      </c>
      <c r="C434" s="436" t="s">
        <v>3860</v>
      </c>
      <c r="D434" s="436" t="s">
        <v>4240</v>
      </c>
      <c r="E434" s="436"/>
      <c r="F434" s="436"/>
      <c r="G434" s="436"/>
      <c r="H434" s="436"/>
      <c r="I434" s="436"/>
      <c r="J434" s="436"/>
      <c r="K434" s="436"/>
      <c r="L434" s="436"/>
      <c r="M434" s="436"/>
      <c r="N434" s="436"/>
      <c r="O434" s="436"/>
      <c r="P434" s="436"/>
      <c r="Q434" s="436"/>
      <c r="R434" s="436"/>
      <c r="S434" s="436"/>
      <c r="T434" s="436"/>
      <c r="U434" s="436"/>
      <c r="V434" s="436"/>
      <c r="W434" s="436"/>
      <c r="X434" s="436"/>
      <c r="Y434" s="436"/>
      <c r="Z434" s="436"/>
    </row>
    <row r="435" ht="15.75" customHeight="1">
      <c r="A435" s="436">
        <v>436.0</v>
      </c>
      <c r="B435" s="436" t="s">
        <v>3192</v>
      </c>
      <c r="C435" s="436" t="s">
        <v>3860</v>
      </c>
      <c r="D435" s="436" t="s">
        <v>4287</v>
      </c>
      <c r="E435" s="436"/>
      <c r="F435" s="436"/>
      <c r="G435" s="436"/>
      <c r="H435" s="436"/>
      <c r="I435" s="436"/>
      <c r="J435" s="436"/>
      <c r="K435" s="436"/>
      <c r="L435" s="436"/>
      <c r="M435" s="436"/>
      <c r="N435" s="436"/>
      <c r="O435" s="436"/>
      <c r="P435" s="436"/>
      <c r="Q435" s="436"/>
      <c r="R435" s="436"/>
      <c r="S435" s="436"/>
      <c r="T435" s="436"/>
      <c r="U435" s="436"/>
      <c r="V435" s="436"/>
      <c r="W435" s="436"/>
      <c r="X435" s="436"/>
      <c r="Y435" s="436"/>
      <c r="Z435" s="436"/>
    </row>
    <row r="436" ht="15.75" customHeight="1">
      <c r="A436" s="436">
        <v>437.0</v>
      </c>
      <c r="B436" s="436" t="s">
        <v>3192</v>
      </c>
      <c r="C436" s="436" t="s">
        <v>3860</v>
      </c>
      <c r="D436" s="436" t="s">
        <v>4288</v>
      </c>
      <c r="E436" s="436"/>
      <c r="F436" s="436"/>
      <c r="G436" s="436"/>
      <c r="H436" s="436"/>
      <c r="I436" s="436"/>
      <c r="J436" s="436"/>
      <c r="K436" s="436"/>
      <c r="L436" s="436"/>
      <c r="M436" s="436"/>
      <c r="N436" s="436"/>
      <c r="O436" s="436"/>
      <c r="P436" s="436"/>
      <c r="Q436" s="436"/>
      <c r="R436" s="436"/>
      <c r="S436" s="436"/>
      <c r="T436" s="436"/>
      <c r="U436" s="436"/>
      <c r="V436" s="436"/>
      <c r="W436" s="436"/>
      <c r="X436" s="436"/>
      <c r="Y436" s="436"/>
      <c r="Z436" s="436"/>
    </row>
    <row r="437" ht="15.75" customHeight="1">
      <c r="A437" s="436">
        <v>438.0</v>
      </c>
      <c r="B437" s="436" t="s">
        <v>2462</v>
      </c>
      <c r="C437" s="436" t="s">
        <v>3860</v>
      </c>
      <c r="D437" s="436" t="s">
        <v>4289</v>
      </c>
      <c r="E437" s="436"/>
      <c r="F437" s="436"/>
      <c r="G437" s="436"/>
      <c r="H437" s="436"/>
      <c r="I437" s="436"/>
      <c r="J437" s="436"/>
      <c r="K437" s="436"/>
      <c r="L437" s="436"/>
      <c r="M437" s="436"/>
      <c r="N437" s="436"/>
      <c r="O437" s="436"/>
      <c r="P437" s="436"/>
      <c r="Q437" s="436"/>
      <c r="R437" s="436"/>
      <c r="S437" s="436"/>
      <c r="T437" s="436"/>
      <c r="U437" s="436"/>
      <c r="V437" s="436"/>
      <c r="W437" s="436"/>
      <c r="X437" s="436"/>
      <c r="Y437" s="436"/>
      <c r="Z437" s="436"/>
    </row>
    <row r="438" ht="15.75" customHeight="1">
      <c r="A438" s="436">
        <v>439.0</v>
      </c>
      <c r="B438" s="436" t="s">
        <v>2462</v>
      </c>
      <c r="C438" s="436" t="s">
        <v>3860</v>
      </c>
      <c r="D438" s="436" t="s">
        <v>4290</v>
      </c>
      <c r="E438" s="436"/>
      <c r="F438" s="436"/>
      <c r="G438" s="436"/>
      <c r="H438" s="436"/>
      <c r="I438" s="436"/>
      <c r="J438" s="436"/>
      <c r="K438" s="436"/>
      <c r="L438" s="436"/>
      <c r="M438" s="436"/>
      <c r="N438" s="436"/>
      <c r="O438" s="436"/>
      <c r="P438" s="436"/>
      <c r="Q438" s="436"/>
      <c r="R438" s="436"/>
      <c r="S438" s="436"/>
      <c r="T438" s="436"/>
      <c r="U438" s="436"/>
      <c r="V438" s="436"/>
      <c r="W438" s="436"/>
      <c r="X438" s="436"/>
      <c r="Y438" s="436"/>
      <c r="Z438" s="436"/>
    </row>
    <row r="439" ht="15.75" customHeight="1">
      <c r="A439" s="436">
        <v>440.0</v>
      </c>
      <c r="B439" s="436" t="s">
        <v>2462</v>
      </c>
      <c r="C439" s="436" t="s">
        <v>3860</v>
      </c>
      <c r="D439" s="436" t="s">
        <v>4291</v>
      </c>
      <c r="E439" s="436"/>
      <c r="F439" s="436"/>
      <c r="G439" s="436"/>
      <c r="H439" s="436"/>
      <c r="I439" s="436"/>
      <c r="J439" s="436"/>
      <c r="K439" s="436"/>
      <c r="L439" s="436"/>
      <c r="M439" s="436"/>
      <c r="N439" s="436"/>
      <c r="O439" s="436"/>
      <c r="P439" s="436"/>
      <c r="Q439" s="436"/>
      <c r="R439" s="436"/>
      <c r="S439" s="436"/>
      <c r="T439" s="436"/>
      <c r="U439" s="436"/>
      <c r="V439" s="436"/>
      <c r="W439" s="436"/>
      <c r="X439" s="436"/>
      <c r="Y439" s="436"/>
      <c r="Z439" s="436"/>
    </row>
    <row r="440" ht="15.75" customHeight="1">
      <c r="A440" s="436">
        <v>441.0</v>
      </c>
      <c r="B440" s="436" t="s">
        <v>2462</v>
      </c>
      <c r="C440" s="436" t="s">
        <v>3860</v>
      </c>
      <c r="D440" s="436" t="s">
        <v>4292</v>
      </c>
      <c r="E440" s="436"/>
      <c r="F440" s="436"/>
      <c r="G440" s="436"/>
      <c r="H440" s="436"/>
      <c r="I440" s="436"/>
      <c r="J440" s="436"/>
      <c r="K440" s="436"/>
      <c r="L440" s="436"/>
      <c r="M440" s="436"/>
      <c r="N440" s="436"/>
      <c r="O440" s="436"/>
      <c r="P440" s="436"/>
      <c r="Q440" s="436"/>
      <c r="R440" s="436"/>
      <c r="S440" s="436"/>
      <c r="T440" s="436"/>
      <c r="U440" s="436"/>
      <c r="V440" s="436"/>
      <c r="W440" s="436"/>
      <c r="X440" s="436"/>
      <c r="Y440" s="436"/>
      <c r="Z440" s="436"/>
    </row>
    <row r="441" ht="15.75" customHeight="1">
      <c r="A441" s="436">
        <v>442.0</v>
      </c>
      <c r="B441" s="436" t="s">
        <v>2462</v>
      </c>
      <c r="C441" s="436" t="s">
        <v>3860</v>
      </c>
      <c r="D441" s="436" t="s">
        <v>4293</v>
      </c>
      <c r="E441" s="436"/>
      <c r="F441" s="436"/>
      <c r="G441" s="436"/>
      <c r="H441" s="436"/>
      <c r="I441" s="436"/>
      <c r="J441" s="436"/>
      <c r="K441" s="436"/>
      <c r="L441" s="436"/>
      <c r="M441" s="436"/>
      <c r="N441" s="436"/>
      <c r="O441" s="436"/>
      <c r="P441" s="436"/>
      <c r="Q441" s="436"/>
      <c r="R441" s="436"/>
      <c r="S441" s="436"/>
      <c r="T441" s="436"/>
      <c r="U441" s="436"/>
      <c r="V441" s="436"/>
      <c r="W441" s="436"/>
      <c r="X441" s="436"/>
      <c r="Y441" s="436"/>
      <c r="Z441" s="436"/>
    </row>
    <row r="442" ht="15.75" customHeight="1">
      <c r="A442" s="436">
        <v>443.0</v>
      </c>
      <c r="B442" s="436" t="s">
        <v>2462</v>
      </c>
      <c r="C442" s="436" t="s">
        <v>3860</v>
      </c>
      <c r="D442" s="436" t="s">
        <v>4294</v>
      </c>
      <c r="E442" s="436"/>
      <c r="F442" s="436"/>
      <c r="G442" s="436"/>
      <c r="H442" s="436"/>
      <c r="I442" s="436"/>
      <c r="J442" s="436"/>
      <c r="K442" s="436"/>
      <c r="L442" s="436"/>
      <c r="M442" s="436"/>
      <c r="N442" s="436"/>
      <c r="O442" s="436"/>
      <c r="P442" s="436"/>
      <c r="Q442" s="436"/>
      <c r="R442" s="436"/>
      <c r="S442" s="436"/>
      <c r="T442" s="436"/>
      <c r="U442" s="436"/>
      <c r="V442" s="436"/>
      <c r="W442" s="436"/>
      <c r="X442" s="436"/>
      <c r="Y442" s="436"/>
      <c r="Z442" s="436"/>
    </row>
    <row r="443" ht="15.75" customHeight="1">
      <c r="A443" s="436">
        <v>444.0</v>
      </c>
      <c r="B443" s="436" t="s">
        <v>3209</v>
      </c>
      <c r="C443" s="436" t="s">
        <v>3860</v>
      </c>
      <c r="D443" s="557" t="s">
        <v>4295</v>
      </c>
      <c r="E443" s="436"/>
      <c r="F443" s="436"/>
      <c r="G443" s="436"/>
      <c r="H443" s="436"/>
      <c r="I443" s="436"/>
      <c r="J443" s="436"/>
      <c r="K443" s="436"/>
      <c r="L443" s="436"/>
      <c r="M443" s="436"/>
      <c r="N443" s="436"/>
      <c r="O443" s="436"/>
      <c r="P443" s="436"/>
      <c r="Q443" s="436"/>
      <c r="R443" s="436"/>
      <c r="S443" s="436"/>
      <c r="T443" s="436"/>
      <c r="U443" s="436"/>
      <c r="V443" s="436"/>
      <c r="W443" s="436"/>
      <c r="X443" s="436"/>
      <c r="Y443" s="436"/>
      <c r="Z443" s="436"/>
    </row>
    <row r="444" ht="15.75" customHeight="1">
      <c r="A444" s="436">
        <v>445.0</v>
      </c>
      <c r="B444" s="436" t="s">
        <v>3209</v>
      </c>
      <c r="C444" s="436" t="s">
        <v>3860</v>
      </c>
      <c r="D444" s="557" t="s">
        <v>4296</v>
      </c>
      <c r="E444" s="436"/>
      <c r="F444" s="436"/>
      <c r="G444" s="436"/>
      <c r="H444" s="436"/>
      <c r="I444" s="436"/>
      <c r="J444" s="436"/>
      <c r="K444" s="436"/>
      <c r="L444" s="436"/>
      <c r="M444" s="436"/>
      <c r="N444" s="436"/>
      <c r="O444" s="436"/>
      <c r="P444" s="436"/>
      <c r="Q444" s="436"/>
      <c r="R444" s="436"/>
      <c r="S444" s="436"/>
      <c r="T444" s="436"/>
      <c r="U444" s="436"/>
      <c r="V444" s="436"/>
      <c r="W444" s="436"/>
      <c r="X444" s="436"/>
      <c r="Y444" s="436"/>
      <c r="Z444" s="436"/>
    </row>
    <row r="445" ht="15.75" customHeight="1">
      <c r="A445" s="436">
        <v>446.0</v>
      </c>
      <c r="B445" s="436" t="s">
        <v>3209</v>
      </c>
      <c r="C445" s="436" t="s">
        <v>3860</v>
      </c>
      <c r="D445" s="557" t="s">
        <v>4297</v>
      </c>
      <c r="E445" s="436"/>
      <c r="F445" s="436"/>
      <c r="G445" s="436"/>
      <c r="H445" s="436"/>
      <c r="I445" s="436"/>
      <c r="J445" s="436"/>
      <c r="K445" s="436"/>
      <c r="L445" s="436"/>
      <c r="M445" s="436"/>
      <c r="N445" s="436"/>
      <c r="O445" s="436"/>
      <c r="P445" s="436"/>
      <c r="Q445" s="436"/>
      <c r="R445" s="436"/>
      <c r="S445" s="436"/>
      <c r="T445" s="436"/>
      <c r="U445" s="436"/>
      <c r="V445" s="436"/>
      <c r="W445" s="436"/>
      <c r="X445" s="436"/>
      <c r="Y445" s="436"/>
      <c r="Z445" s="436"/>
    </row>
    <row r="446" ht="15.75" customHeight="1">
      <c r="A446" s="436">
        <v>447.0</v>
      </c>
      <c r="B446" s="436" t="s">
        <v>3209</v>
      </c>
      <c r="C446" s="436" t="s">
        <v>3860</v>
      </c>
      <c r="D446" s="557" t="s">
        <v>4298</v>
      </c>
      <c r="E446" s="436"/>
      <c r="F446" s="436"/>
      <c r="G446" s="436"/>
      <c r="H446" s="436"/>
      <c r="I446" s="436"/>
      <c r="J446" s="436"/>
      <c r="K446" s="436"/>
      <c r="L446" s="436"/>
      <c r="M446" s="436"/>
      <c r="N446" s="436"/>
      <c r="O446" s="436"/>
      <c r="P446" s="436"/>
      <c r="Q446" s="436"/>
      <c r="R446" s="436"/>
      <c r="S446" s="436"/>
      <c r="T446" s="436"/>
      <c r="U446" s="436"/>
      <c r="V446" s="436"/>
      <c r="W446" s="436"/>
      <c r="X446" s="436"/>
      <c r="Y446" s="436"/>
      <c r="Z446" s="436"/>
    </row>
    <row r="447" ht="15.75" customHeight="1">
      <c r="A447" s="436">
        <v>448.0</v>
      </c>
      <c r="B447" s="436" t="s">
        <v>3209</v>
      </c>
      <c r="C447" s="436" t="s">
        <v>3860</v>
      </c>
      <c r="D447" s="558" t="s">
        <v>4299</v>
      </c>
      <c r="E447" s="436"/>
      <c r="F447" s="436"/>
      <c r="G447" s="436"/>
      <c r="H447" s="436"/>
      <c r="I447" s="436"/>
      <c r="J447" s="436"/>
      <c r="K447" s="436"/>
      <c r="L447" s="436"/>
      <c r="M447" s="436"/>
      <c r="N447" s="436"/>
      <c r="O447" s="436"/>
      <c r="P447" s="436"/>
      <c r="Q447" s="436"/>
      <c r="R447" s="436"/>
      <c r="S447" s="436"/>
      <c r="T447" s="436"/>
      <c r="U447" s="436"/>
      <c r="V447" s="436"/>
      <c r="W447" s="436"/>
      <c r="X447" s="436"/>
      <c r="Y447" s="436"/>
      <c r="Z447" s="436"/>
    </row>
    <row r="448" ht="15.75" customHeight="1">
      <c r="A448" s="436">
        <v>449.0</v>
      </c>
      <c r="B448" s="436" t="s">
        <v>3209</v>
      </c>
      <c r="C448" s="436" t="s">
        <v>3860</v>
      </c>
      <c r="D448" s="558" t="s">
        <v>4300</v>
      </c>
      <c r="E448" s="436"/>
      <c r="F448" s="436"/>
      <c r="G448" s="436"/>
      <c r="H448" s="436"/>
      <c r="I448" s="436"/>
      <c r="J448" s="436"/>
      <c r="K448" s="436"/>
      <c r="L448" s="436"/>
      <c r="M448" s="436"/>
      <c r="N448" s="436"/>
      <c r="O448" s="436"/>
      <c r="P448" s="436"/>
      <c r="Q448" s="436"/>
      <c r="R448" s="436"/>
      <c r="S448" s="436"/>
      <c r="T448" s="436"/>
      <c r="U448" s="436"/>
      <c r="V448" s="436"/>
      <c r="W448" s="436"/>
      <c r="X448" s="436"/>
      <c r="Y448" s="436"/>
      <c r="Z448" s="436"/>
    </row>
    <row r="449" ht="15.75" customHeight="1">
      <c r="A449" s="436">
        <v>450.0</v>
      </c>
      <c r="B449" s="436" t="s">
        <v>3209</v>
      </c>
      <c r="C449" s="436" t="s">
        <v>3860</v>
      </c>
      <c r="D449" s="558" t="s">
        <v>4301</v>
      </c>
      <c r="E449" s="436"/>
      <c r="F449" s="436"/>
      <c r="G449" s="436"/>
      <c r="H449" s="436"/>
      <c r="I449" s="436"/>
      <c r="J449" s="436"/>
      <c r="K449" s="436"/>
      <c r="L449" s="436"/>
      <c r="M449" s="436"/>
      <c r="N449" s="436"/>
      <c r="O449" s="436"/>
      <c r="P449" s="436"/>
      <c r="Q449" s="436"/>
      <c r="R449" s="436"/>
      <c r="S449" s="436"/>
      <c r="T449" s="436"/>
      <c r="U449" s="436"/>
      <c r="V449" s="436"/>
      <c r="W449" s="436"/>
      <c r="X449" s="436"/>
      <c r="Y449" s="436"/>
      <c r="Z449" s="436"/>
    </row>
    <row r="450" ht="15.75" customHeight="1">
      <c r="A450" s="436">
        <v>451.0</v>
      </c>
      <c r="B450" s="436" t="s">
        <v>2677</v>
      </c>
      <c r="C450" s="436" t="s">
        <v>3860</v>
      </c>
      <c r="D450" s="436" t="s">
        <v>4302</v>
      </c>
      <c r="E450" s="436"/>
      <c r="F450" s="436"/>
      <c r="G450" s="436"/>
      <c r="H450" s="436"/>
      <c r="I450" s="436"/>
      <c r="J450" s="436"/>
      <c r="K450" s="436"/>
      <c r="L450" s="436"/>
      <c r="M450" s="436"/>
      <c r="N450" s="436"/>
      <c r="O450" s="436"/>
      <c r="P450" s="436"/>
      <c r="Q450" s="436"/>
      <c r="R450" s="436"/>
      <c r="S450" s="436"/>
      <c r="T450" s="436"/>
      <c r="U450" s="436"/>
      <c r="V450" s="436"/>
      <c r="W450" s="436"/>
      <c r="X450" s="436"/>
      <c r="Y450" s="436"/>
      <c r="Z450" s="436"/>
    </row>
    <row r="451" ht="15.75" customHeight="1">
      <c r="A451" s="436">
        <v>452.0</v>
      </c>
      <c r="B451" s="436" t="s">
        <v>3192</v>
      </c>
      <c r="C451" s="436" t="s">
        <v>3860</v>
      </c>
      <c r="D451" s="436" t="s">
        <v>4303</v>
      </c>
      <c r="E451" s="436"/>
      <c r="F451" s="436"/>
      <c r="G451" s="436"/>
      <c r="H451" s="436"/>
      <c r="I451" s="436"/>
      <c r="J451" s="436"/>
      <c r="K451" s="436"/>
      <c r="L451" s="436"/>
      <c r="M451" s="436"/>
      <c r="N451" s="436"/>
      <c r="O451" s="436"/>
      <c r="P451" s="436"/>
      <c r="Q451" s="436"/>
      <c r="R451" s="436"/>
      <c r="S451" s="436"/>
      <c r="T451" s="436"/>
      <c r="U451" s="436"/>
      <c r="V451" s="436"/>
      <c r="W451" s="436"/>
      <c r="X451" s="436"/>
      <c r="Y451" s="436"/>
      <c r="Z451" s="436"/>
    </row>
    <row r="452" ht="15.75" customHeight="1">
      <c r="A452" s="436">
        <v>453.0</v>
      </c>
      <c r="B452" s="436" t="s">
        <v>3209</v>
      </c>
      <c r="C452" s="436" t="s">
        <v>3860</v>
      </c>
      <c r="D452" s="436" t="s">
        <v>4304</v>
      </c>
      <c r="E452" s="436"/>
      <c r="F452" s="436"/>
      <c r="G452" s="436"/>
      <c r="H452" s="436"/>
      <c r="I452" s="436"/>
      <c r="J452" s="436"/>
      <c r="K452" s="436"/>
      <c r="L452" s="436"/>
      <c r="M452" s="436"/>
      <c r="N452" s="436"/>
      <c r="O452" s="436"/>
      <c r="P452" s="436"/>
      <c r="Q452" s="436"/>
      <c r="R452" s="436"/>
      <c r="S452" s="436"/>
      <c r="T452" s="436"/>
      <c r="U452" s="436"/>
      <c r="V452" s="436"/>
      <c r="W452" s="436"/>
      <c r="X452" s="436"/>
      <c r="Y452" s="436"/>
      <c r="Z452" s="436"/>
    </row>
    <row r="453" ht="15.75" customHeight="1">
      <c r="A453" s="436">
        <v>454.0</v>
      </c>
      <c r="B453" s="436" t="s">
        <v>2019</v>
      </c>
      <c r="C453" s="436" t="s">
        <v>3860</v>
      </c>
      <c r="D453" s="436" t="s">
        <v>4305</v>
      </c>
      <c r="E453" s="436"/>
      <c r="F453" s="436"/>
      <c r="G453" s="436"/>
      <c r="H453" s="436"/>
      <c r="I453" s="436"/>
      <c r="J453" s="436"/>
      <c r="K453" s="436"/>
      <c r="L453" s="436"/>
      <c r="M453" s="436"/>
      <c r="N453" s="436"/>
      <c r="O453" s="436"/>
      <c r="P453" s="436"/>
      <c r="Q453" s="436"/>
      <c r="R453" s="436"/>
      <c r="S453" s="436"/>
      <c r="T453" s="436"/>
      <c r="U453" s="436"/>
      <c r="V453" s="436"/>
      <c r="W453" s="436"/>
      <c r="X453" s="436"/>
      <c r="Y453" s="436"/>
      <c r="Z453" s="436"/>
    </row>
    <row r="454" ht="15.75" customHeight="1">
      <c r="A454" s="436">
        <v>455.0</v>
      </c>
      <c r="B454" s="436" t="s">
        <v>3209</v>
      </c>
      <c r="C454" s="436" t="s">
        <v>3860</v>
      </c>
      <c r="D454" s="436" t="s">
        <v>4306</v>
      </c>
      <c r="E454" s="436"/>
      <c r="F454" s="436"/>
      <c r="G454" s="436"/>
      <c r="H454" s="436"/>
      <c r="I454" s="436"/>
      <c r="J454" s="436"/>
      <c r="K454" s="436"/>
      <c r="L454" s="436"/>
      <c r="M454" s="436"/>
      <c r="N454" s="436"/>
      <c r="O454" s="436"/>
      <c r="P454" s="436"/>
      <c r="Q454" s="436"/>
      <c r="R454" s="436"/>
      <c r="S454" s="436"/>
      <c r="T454" s="436"/>
      <c r="U454" s="436"/>
      <c r="V454" s="436"/>
      <c r="W454" s="436"/>
      <c r="X454" s="436"/>
      <c r="Y454" s="436"/>
      <c r="Z454" s="436"/>
    </row>
    <row r="455" ht="15.75" customHeight="1">
      <c r="A455" s="436">
        <v>456.0</v>
      </c>
      <c r="B455" s="436" t="s">
        <v>3209</v>
      </c>
      <c r="C455" s="436" t="s">
        <v>3860</v>
      </c>
      <c r="D455" s="436" t="s">
        <v>4307</v>
      </c>
      <c r="E455" s="436"/>
      <c r="F455" s="436"/>
      <c r="G455" s="436"/>
      <c r="H455" s="436"/>
      <c r="I455" s="436"/>
      <c r="J455" s="436"/>
      <c r="K455" s="436"/>
      <c r="L455" s="436"/>
      <c r="M455" s="436"/>
      <c r="N455" s="436"/>
      <c r="O455" s="436"/>
      <c r="P455" s="436"/>
      <c r="Q455" s="436"/>
      <c r="R455" s="436"/>
      <c r="S455" s="436"/>
      <c r="T455" s="436"/>
      <c r="U455" s="436"/>
      <c r="V455" s="436"/>
      <c r="W455" s="436"/>
      <c r="X455" s="436"/>
      <c r="Y455" s="436"/>
      <c r="Z455" s="436"/>
    </row>
    <row r="456" ht="15.75" customHeight="1">
      <c r="A456" s="436">
        <v>457.0</v>
      </c>
      <c r="B456" s="436" t="s">
        <v>3209</v>
      </c>
      <c r="C456" s="436" t="s">
        <v>3860</v>
      </c>
      <c r="D456" s="436" t="s">
        <v>4308</v>
      </c>
      <c r="E456" s="436"/>
      <c r="F456" s="436"/>
      <c r="G456" s="436"/>
      <c r="H456" s="436"/>
      <c r="I456" s="436"/>
      <c r="J456" s="436"/>
      <c r="K456" s="436"/>
      <c r="L456" s="436"/>
      <c r="M456" s="436"/>
      <c r="N456" s="436"/>
      <c r="O456" s="436"/>
      <c r="P456" s="436"/>
      <c r="Q456" s="436"/>
      <c r="R456" s="436"/>
      <c r="S456" s="436"/>
      <c r="T456" s="436"/>
      <c r="U456" s="436"/>
      <c r="V456" s="436"/>
      <c r="W456" s="436"/>
      <c r="X456" s="436"/>
      <c r="Y456" s="436"/>
      <c r="Z456" s="436"/>
    </row>
    <row r="457" ht="15.75" customHeight="1">
      <c r="A457" s="436">
        <v>458.0</v>
      </c>
      <c r="B457" s="436" t="s">
        <v>3209</v>
      </c>
      <c r="C457" s="436" t="s">
        <v>3860</v>
      </c>
      <c r="D457" s="436" t="s">
        <v>4309</v>
      </c>
      <c r="E457" s="436"/>
      <c r="F457" s="436"/>
      <c r="G457" s="436"/>
      <c r="H457" s="436"/>
      <c r="I457" s="436"/>
      <c r="J457" s="436"/>
      <c r="K457" s="436"/>
      <c r="L457" s="436"/>
      <c r="M457" s="436"/>
      <c r="N457" s="436"/>
      <c r="O457" s="436"/>
      <c r="P457" s="436"/>
      <c r="Q457" s="436"/>
      <c r="R457" s="436"/>
      <c r="S457" s="436"/>
      <c r="T457" s="436"/>
      <c r="U457" s="436"/>
      <c r="V457" s="436"/>
      <c r="W457" s="436"/>
      <c r="X457" s="436"/>
      <c r="Y457" s="436"/>
      <c r="Z457" s="436"/>
    </row>
    <row r="458" ht="15.75" customHeight="1">
      <c r="A458" s="436">
        <v>459.0</v>
      </c>
      <c r="B458" s="436" t="s">
        <v>3209</v>
      </c>
      <c r="C458" s="436" t="s">
        <v>3860</v>
      </c>
      <c r="D458" s="436" t="s">
        <v>4310</v>
      </c>
      <c r="E458" s="436"/>
      <c r="F458" s="436"/>
      <c r="G458" s="436"/>
      <c r="H458" s="436"/>
      <c r="I458" s="436"/>
      <c r="J458" s="436"/>
      <c r="K458" s="436"/>
      <c r="L458" s="436"/>
      <c r="M458" s="436"/>
      <c r="N458" s="436"/>
      <c r="O458" s="436"/>
      <c r="P458" s="436"/>
      <c r="Q458" s="436"/>
      <c r="R458" s="436"/>
      <c r="S458" s="436"/>
      <c r="T458" s="436"/>
      <c r="U458" s="436"/>
      <c r="V458" s="436"/>
      <c r="W458" s="436"/>
      <c r="X458" s="436"/>
      <c r="Y458" s="436"/>
      <c r="Z458" s="436"/>
    </row>
    <row r="459" ht="15.75" customHeight="1">
      <c r="A459" s="436">
        <v>460.0</v>
      </c>
      <c r="B459" s="436" t="s">
        <v>3192</v>
      </c>
      <c r="C459" s="436" t="s">
        <v>3860</v>
      </c>
      <c r="D459" s="436" t="s">
        <v>4311</v>
      </c>
      <c r="E459" s="436"/>
      <c r="F459" s="436"/>
      <c r="G459" s="436"/>
      <c r="H459" s="436"/>
      <c r="I459" s="436"/>
      <c r="J459" s="436"/>
      <c r="K459" s="436"/>
      <c r="L459" s="436"/>
      <c r="M459" s="436"/>
      <c r="N459" s="436"/>
      <c r="O459" s="436"/>
      <c r="P459" s="436"/>
      <c r="Q459" s="436"/>
      <c r="R459" s="436"/>
      <c r="S459" s="436"/>
      <c r="T459" s="436"/>
      <c r="U459" s="436"/>
      <c r="V459" s="436"/>
      <c r="W459" s="436"/>
      <c r="X459" s="436"/>
      <c r="Y459" s="436"/>
      <c r="Z459" s="436"/>
    </row>
    <row r="460" ht="15.75" customHeight="1">
      <c r="A460" s="436">
        <v>461.0</v>
      </c>
      <c r="B460" s="436" t="s">
        <v>1849</v>
      </c>
      <c r="C460" s="436" t="s">
        <v>3860</v>
      </c>
      <c r="D460" s="436" t="s">
        <v>4312</v>
      </c>
      <c r="E460" s="436"/>
      <c r="F460" s="436"/>
      <c r="G460" s="436"/>
      <c r="H460" s="436"/>
      <c r="I460" s="436"/>
      <c r="J460" s="436"/>
      <c r="K460" s="436"/>
      <c r="L460" s="436"/>
      <c r="M460" s="436"/>
      <c r="N460" s="436"/>
      <c r="O460" s="436"/>
      <c r="P460" s="436"/>
      <c r="Q460" s="436"/>
      <c r="R460" s="436"/>
      <c r="S460" s="436"/>
      <c r="T460" s="436"/>
      <c r="U460" s="436"/>
      <c r="V460" s="436"/>
      <c r="W460" s="436"/>
      <c r="X460" s="436"/>
      <c r="Y460" s="436"/>
      <c r="Z460" s="436"/>
    </row>
    <row r="461" ht="15.75" customHeight="1">
      <c r="A461" s="436">
        <v>462.0</v>
      </c>
      <c r="B461" s="436" t="s">
        <v>1849</v>
      </c>
      <c r="C461" s="436" t="s">
        <v>3860</v>
      </c>
      <c r="D461" s="436" t="s">
        <v>4313</v>
      </c>
      <c r="E461" s="436"/>
      <c r="F461" s="436"/>
      <c r="G461" s="436"/>
      <c r="H461" s="436"/>
      <c r="I461" s="436"/>
      <c r="J461" s="436"/>
      <c r="K461" s="436"/>
      <c r="L461" s="436"/>
      <c r="M461" s="436"/>
      <c r="N461" s="436"/>
      <c r="O461" s="436"/>
      <c r="P461" s="436"/>
      <c r="Q461" s="436"/>
      <c r="R461" s="436"/>
      <c r="S461" s="436"/>
      <c r="T461" s="436"/>
      <c r="U461" s="436"/>
      <c r="V461" s="436"/>
      <c r="W461" s="436"/>
      <c r="X461" s="436"/>
      <c r="Y461" s="436"/>
      <c r="Z461" s="436"/>
    </row>
    <row r="462" ht="15.75" customHeight="1">
      <c r="A462" s="436">
        <v>463.0</v>
      </c>
      <c r="B462" s="436" t="s">
        <v>3192</v>
      </c>
      <c r="C462" s="436" t="s">
        <v>3860</v>
      </c>
      <c r="D462" s="436" t="s">
        <v>4314</v>
      </c>
      <c r="E462" s="436"/>
      <c r="F462" s="436"/>
      <c r="G462" s="436"/>
      <c r="H462" s="436"/>
      <c r="I462" s="436"/>
      <c r="J462" s="436"/>
      <c r="K462" s="436"/>
      <c r="L462" s="436"/>
      <c r="M462" s="436"/>
      <c r="N462" s="436"/>
      <c r="O462" s="436"/>
      <c r="P462" s="436"/>
      <c r="Q462" s="436"/>
      <c r="R462" s="436"/>
      <c r="S462" s="436"/>
      <c r="T462" s="436"/>
      <c r="U462" s="436"/>
      <c r="V462" s="436"/>
      <c r="W462" s="436"/>
      <c r="X462" s="436"/>
      <c r="Y462" s="436"/>
      <c r="Z462" s="436"/>
    </row>
    <row r="463" ht="15.75" customHeight="1">
      <c r="A463" s="436">
        <v>464.0</v>
      </c>
      <c r="B463" s="436" t="s">
        <v>3192</v>
      </c>
      <c r="C463" s="436" t="s">
        <v>3860</v>
      </c>
      <c r="D463" s="436" t="s">
        <v>4315</v>
      </c>
      <c r="E463" s="436"/>
      <c r="F463" s="436"/>
      <c r="G463" s="436"/>
      <c r="H463" s="436"/>
      <c r="I463" s="436"/>
      <c r="J463" s="436"/>
      <c r="K463" s="436"/>
      <c r="L463" s="436"/>
      <c r="M463" s="436"/>
      <c r="N463" s="436"/>
      <c r="O463" s="436"/>
      <c r="P463" s="436"/>
      <c r="Q463" s="436"/>
      <c r="R463" s="436"/>
      <c r="S463" s="436"/>
      <c r="T463" s="436"/>
      <c r="U463" s="436"/>
      <c r="V463" s="436"/>
      <c r="W463" s="436"/>
      <c r="X463" s="436"/>
      <c r="Y463" s="436"/>
      <c r="Z463" s="436"/>
    </row>
    <row r="464" ht="15.75" customHeight="1">
      <c r="A464" s="436">
        <v>465.0</v>
      </c>
      <c r="B464" s="436" t="s">
        <v>3192</v>
      </c>
      <c r="C464" s="436" t="s">
        <v>3860</v>
      </c>
      <c r="D464" s="436" t="s">
        <v>4316</v>
      </c>
      <c r="E464" s="436"/>
      <c r="F464" s="436"/>
      <c r="G464" s="436"/>
      <c r="H464" s="436"/>
      <c r="I464" s="436"/>
      <c r="J464" s="436"/>
      <c r="K464" s="436"/>
      <c r="L464" s="436"/>
      <c r="M464" s="436"/>
      <c r="N464" s="436"/>
      <c r="O464" s="436"/>
      <c r="P464" s="436"/>
      <c r="Q464" s="436"/>
      <c r="R464" s="436"/>
      <c r="S464" s="436"/>
      <c r="T464" s="436"/>
      <c r="U464" s="436"/>
      <c r="V464" s="436"/>
      <c r="W464" s="436"/>
      <c r="X464" s="436"/>
      <c r="Y464" s="436"/>
      <c r="Z464" s="436"/>
    </row>
    <row r="465" ht="15.75" customHeight="1">
      <c r="A465" s="436">
        <v>466.0</v>
      </c>
      <c r="B465" s="436" t="s">
        <v>3241</v>
      </c>
      <c r="C465" s="436" t="s">
        <v>3860</v>
      </c>
      <c r="D465" s="436" t="s">
        <v>4317</v>
      </c>
      <c r="E465" s="436"/>
      <c r="F465" s="436"/>
      <c r="G465" s="436"/>
      <c r="H465" s="436"/>
      <c r="I465" s="436"/>
      <c r="J465" s="436"/>
      <c r="K465" s="436"/>
      <c r="L465" s="436"/>
      <c r="M465" s="436"/>
      <c r="N465" s="436"/>
      <c r="O465" s="436"/>
      <c r="P465" s="436"/>
      <c r="Q465" s="436"/>
      <c r="R465" s="436"/>
      <c r="S465" s="436"/>
      <c r="T465" s="436"/>
      <c r="U465" s="436"/>
      <c r="V465" s="436"/>
      <c r="W465" s="436"/>
      <c r="X465" s="436"/>
      <c r="Y465" s="436"/>
      <c r="Z465" s="436"/>
    </row>
    <row r="466" ht="15.75" customHeight="1">
      <c r="A466" s="436">
        <v>467.0</v>
      </c>
      <c r="B466" s="436" t="s">
        <v>3241</v>
      </c>
      <c r="C466" s="436" t="s">
        <v>3860</v>
      </c>
      <c r="D466" s="436" t="s">
        <v>4318</v>
      </c>
      <c r="E466" s="436"/>
      <c r="F466" s="436"/>
      <c r="G466" s="436"/>
      <c r="H466" s="436"/>
      <c r="I466" s="436"/>
      <c r="J466" s="436"/>
      <c r="K466" s="436"/>
      <c r="L466" s="436"/>
      <c r="M466" s="436"/>
      <c r="N466" s="436"/>
      <c r="O466" s="436"/>
      <c r="P466" s="436"/>
      <c r="Q466" s="436"/>
      <c r="R466" s="436"/>
      <c r="S466" s="436"/>
      <c r="T466" s="436"/>
      <c r="U466" s="436"/>
      <c r="V466" s="436"/>
      <c r="W466" s="436"/>
      <c r="X466" s="436"/>
      <c r="Y466" s="436"/>
      <c r="Z466" s="436"/>
    </row>
    <row r="467" ht="15.75" customHeight="1">
      <c r="A467" s="436">
        <v>468.0</v>
      </c>
      <c r="B467" s="436" t="s">
        <v>3209</v>
      </c>
      <c r="C467" s="436" t="s">
        <v>3860</v>
      </c>
      <c r="D467" s="436" t="s">
        <v>4319</v>
      </c>
      <c r="E467" s="436"/>
      <c r="F467" s="436"/>
      <c r="G467" s="436"/>
      <c r="H467" s="436"/>
      <c r="I467" s="436"/>
      <c r="J467" s="436"/>
      <c r="K467" s="436"/>
      <c r="L467" s="436"/>
      <c r="M467" s="436"/>
      <c r="N467" s="436"/>
      <c r="O467" s="436"/>
      <c r="P467" s="436"/>
      <c r="Q467" s="436"/>
      <c r="R467" s="436"/>
      <c r="S467" s="436"/>
      <c r="T467" s="436"/>
      <c r="U467" s="436"/>
      <c r="V467" s="436"/>
      <c r="W467" s="436"/>
      <c r="X467" s="436"/>
      <c r="Y467" s="436"/>
      <c r="Z467" s="436"/>
    </row>
    <row r="468" ht="15.75" customHeight="1">
      <c r="A468" s="436">
        <v>469.0</v>
      </c>
      <c r="B468" s="436" t="s">
        <v>3241</v>
      </c>
      <c r="C468" s="436" t="s">
        <v>3860</v>
      </c>
      <c r="D468" s="436" t="s">
        <v>4320</v>
      </c>
      <c r="E468" s="436"/>
      <c r="F468" s="436"/>
      <c r="G468" s="436"/>
      <c r="H468" s="436"/>
      <c r="I468" s="436"/>
      <c r="J468" s="436"/>
      <c r="K468" s="436"/>
      <c r="L468" s="436"/>
      <c r="M468" s="436"/>
      <c r="N468" s="436"/>
      <c r="O468" s="436"/>
      <c r="P468" s="436"/>
      <c r="Q468" s="436"/>
      <c r="R468" s="436"/>
      <c r="S468" s="436"/>
      <c r="T468" s="436"/>
      <c r="U468" s="436"/>
      <c r="V468" s="436"/>
      <c r="W468" s="436"/>
      <c r="X468" s="436"/>
      <c r="Y468" s="436"/>
      <c r="Z468" s="436"/>
    </row>
    <row r="469" ht="15.75" customHeight="1">
      <c r="A469" s="436">
        <v>470.0</v>
      </c>
      <c r="B469" s="436" t="s">
        <v>2019</v>
      </c>
      <c r="C469" s="436" t="s">
        <v>3860</v>
      </c>
      <c r="D469" s="436" t="s">
        <v>4321</v>
      </c>
      <c r="E469" s="436"/>
      <c r="F469" s="436"/>
      <c r="G469" s="436"/>
      <c r="H469" s="436"/>
      <c r="I469" s="436"/>
      <c r="J469" s="436"/>
      <c r="K469" s="436"/>
      <c r="L469" s="436"/>
      <c r="M469" s="436"/>
      <c r="N469" s="436"/>
      <c r="O469" s="436"/>
      <c r="P469" s="436"/>
      <c r="Q469" s="436"/>
      <c r="R469" s="436"/>
      <c r="S469" s="436"/>
      <c r="T469" s="436"/>
      <c r="U469" s="436"/>
      <c r="V469" s="436"/>
      <c r="W469" s="436"/>
      <c r="X469" s="436"/>
      <c r="Y469" s="436"/>
      <c r="Z469" s="436"/>
    </row>
    <row r="470" ht="15.75" customHeight="1">
      <c r="A470" s="436">
        <v>471.0</v>
      </c>
      <c r="B470" s="436" t="s">
        <v>1846</v>
      </c>
      <c r="C470" s="436" t="s">
        <v>3860</v>
      </c>
      <c r="D470" s="436" t="s">
        <v>4322</v>
      </c>
      <c r="E470" s="436"/>
      <c r="F470" s="436"/>
      <c r="G470" s="436"/>
      <c r="H470" s="436"/>
      <c r="I470" s="436"/>
      <c r="J470" s="436"/>
      <c r="K470" s="436"/>
      <c r="L470" s="436"/>
      <c r="M470" s="436"/>
      <c r="N470" s="436"/>
      <c r="O470" s="436"/>
      <c r="P470" s="436"/>
      <c r="Q470" s="436"/>
      <c r="R470" s="436"/>
      <c r="S470" s="436"/>
      <c r="T470" s="436"/>
      <c r="U470" s="436"/>
      <c r="V470" s="436"/>
      <c r="W470" s="436"/>
      <c r="X470" s="436"/>
      <c r="Y470" s="436"/>
      <c r="Z470" s="436"/>
    </row>
    <row r="471" ht="15.75" customHeight="1">
      <c r="A471" s="436">
        <v>472.0</v>
      </c>
      <c r="B471" s="436" t="s">
        <v>3241</v>
      </c>
      <c r="C471" s="436" t="s">
        <v>3860</v>
      </c>
      <c r="D471" s="436" t="s">
        <v>4323</v>
      </c>
      <c r="E471" s="436"/>
      <c r="F471" s="436"/>
      <c r="G471" s="436"/>
      <c r="H471" s="436"/>
      <c r="I471" s="436"/>
      <c r="J471" s="436"/>
      <c r="K471" s="436"/>
      <c r="L471" s="436"/>
      <c r="M471" s="436"/>
      <c r="N471" s="436"/>
      <c r="O471" s="436"/>
      <c r="P471" s="436"/>
      <c r="Q471" s="436"/>
      <c r="R471" s="436"/>
      <c r="S471" s="436"/>
      <c r="T471" s="436"/>
      <c r="U471" s="436"/>
      <c r="V471" s="436"/>
      <c r="W471" s="436"/>
      <c r="X471" s="436"/>
      <c r="Y471" s="436"/>
      <c r="Z471" s="436"/>
    </row>
    <row r="472" ht="15.75" customHeight="1">
      <c r="A472" s="436">
        <v>473.0</v>
      </c>
      <c r="B472" s="436" t="s">
        <v>2490</v>
      </c>
      <c r="C472" s="436" t="s">
        <v>3860</v>
      </c>
      <c r="D472" s="436" t="s">
        <v>4324</v>
      </c>
      <c r="E472" s="436"/>
      <c r="F472" s="436"/>
      <c r="G472" s="436"/>
      <c r="H472" s="436"/>
      <c r="I472" s="436"/>
      <c r="J472" s="436"/>
      <c r="K472" s="436"/>
      <c r="L472" s="436"/>
      <c r="M472" s="436"/>
      <c r="N472" s="436"/>
      <c r="O472" s="436"/>
      <c r="P472" s="436"/>
      <c r="Q472" s="436"/>
      <c r="R472" s="436"/>
      <c r="S472" s="436"/>
      <c r="T472" s="436"/>
      <c r="U472" s="436"/>
      <c r="V472" s="436"/>
      <c r="W472" s="436"/>
      <c r="X472" s="436"/>
      <c r="Y472" s="436"/>
      <c r="Z472" s="436"/>
    </row>
    <row r="473" ht="15.75" customHeight="1">
      <c r="A473" s="436">
        <v>474.0</v>
      </c>
      <c r="B473" s="436" t="s">
        <v>3241</v>
      </c>
      <c r="C473" s="436" t="s">
        <v>3860</v>
      </c>
      <c r="D473" s="436" t="s">
        <v>4325</v>
      </c>
      <c r="E473" s="436"/>
      <c r="F473" s="436"/>
      <c r="G473" s="436"/>
      <c r="H473" s="436"/>
      <c r="I473" s="436"/>
      <c r="J473" s="436"/>
      <c r="K473" s="436"/>
      <c r="L473" s="436"/>
      <c r="M473" s="436"/>
      <c r="N473" s="436"/>
      <c r="O473" s="436"/>
      <c r="P473" s="436"/>
      <c r="Q473" s="436"/>
      <c r="R473" s="436"/>
      <c r="S473" s="436"/>
      <c r="T473" s="436"/>
      <c r="U473" s="436"/>
      <c r="V473" s="436"/>
      <c r="W473" s="436"/>
      <c r="X473" s="436"/>
      <c r="Y473" s="436"/>
      <c r="Z473" s="436"/>
    </row>
    <row r="474" ht="15.75" customHeight="1">
      <c r="A474" s="436">
        <v>475.0</v>
      </c>
      <c r="B474" s="436" t="s">
        <v>3209</v>
      </c>
      <c r="C474" s="436" t="s">
        <v>3860</v>
      </c>
      <c r="D474" s="436" t="s">
        <v>4326</v>
      </c>
      <c r="E474" s="436"/>
      <c r="F474" s="436"/>
      <c r="G474" s="436"/>
      <c r="H474" s="436"/>
      <c r="I474" s="436"/>
      <c r="J474" s="436"/>
      <c r="K474" s="436"/>
      <c r="L474" s="436"/>
      <c r="M474" s="436"/>
      <c r="N474" s="436"/>
      <c r="O474" s="436"/>
      <c r="P474" s="436"/>
      <c r="Q474" s="436"/>
      <c r="R474" s="436"/>
      <c r="S474" s="436"/>
      <c r="T474" s="436"/>
      <c r="U474" s="436"/>
      <c r="V474" s="436"/>
      <c r="W474" s="436"/>
      <c r="X474" s="436"/>
      <c r="Y474" s="436"/>
      <c r="Z474" s="436"/>
    </row>
    <row r="475" ht="15.75" customHeight="1">
      <c r="A475" s="436">
        <v>476.0</v>
      </c>
      <c r="B475" s="436" t="s">
        <v>3241</v>
      </c>
      <c r="C475" s="436" t="s">
        <v>3860</v>
      </c>
      <c r="D475" s="436" t="s">
        <v>4327</v>
      </c>
      <c r="E475" s="436"/>
      <c r="F475" s="436"/>
      <c r="G475" s="436"/>
      <c r="H475" s="436"/>
      <c r="I475" s="436"/>
      <c r="J475" s="436"/>
      <c r="K475" s="436"/>
      <c r="L475" s="436"/>
      <c r="M475" s="436"/>
      <c r="N475" s="436"/>
      <c r="O475" s="436"/>
      <c r="P475" s="436"/>
      <c r="Q475" s="436"/>
      <c r="R475" s="436"/>
      <c r="S475" s="436"/>
      <c r="T475" s="436"/>
      <c r="U475" s="436"/>
      <c r="V475" s="436"/>
      <c r="W475" s="436"/>
      <c r="X475" s="436"/>
      <c r="Y475" s="436"/>
      <c r="Z475" s="436"/>
    </row>
    <row r="476" ht="15.75" customHeight="1">
      <c r="A476" s="436">
        <v>477.0</v>
      </c>
      <c r="B476" s="436" t="s">
        <v>3241</v>
      </c>
      <c r="C476" s="436" t="s">
        <v>3860</v>
      </c>
      <c r="D476" s="436" t="s">
        <v>4328</v>
      </c>
      <c r="E476" s="436"/>
      <c r="F476" s="436"/>
      <c r="G476" s="436"/>
      <c r="H476" s="436"/>
      <c r="I476" s="436"/>
      <c r="J476" s="436"/>
      <c r="K476" s="436"/>
      <c r="L476" s="436"/>
      <c r="M476" s="436"/>
      <c r="N476" s="436"/>
      <c r="O476" s="436"/>
      <c r="P476" s="436"/>
      <c r="Q476" s="436"/>
      <c r="R476" s="436"/>
      <c r="S476" s="436"/>
      <c r="T476" s="436"/>
      <c r="U476" s="436"/>
      <c r="V476" s="436"/>
      <c r="W476" s="436"/>
      <c r="X476" s="436"/>
      <c r="Y476" s="436"/>
      <c r="Z476" s="436"/>
    </row>
    <row r="477" ht="15.75" customHeight="1">
      <c r="A477" s="436">
        <v>478.0</v>
      </c>
      <c r="B477" s="436" t="s">
        <v>3241</v>
      </c>
      <c r="C477" s="436" t="s">
        <v>3860</v>
      </c>
      <c r="D477" s="436" t="s">
        <v>4329</v>
      </c>
      <c r="E477" s="436"/>
      <c r="F477" s="436"/>
      <c r="G477" s="436"/>
      <c r="H477" s="436"/>
      <c r="I477" s="436"/>
      <c r="J477" s="436"/>
      <c r="K477" s="436"/>
      <c r="L477" s="436"/>
      <c r="M477" s="436"/>
      <c r="N477" s="436"/>
      <c r="O477" s="436"/>
      <c r="P477" s="436"/>
      <c r="Q477" s="436"/>
      <c r="R477" s="436"/>
      <c r="S477" s="436"/>
      <c r="T477" s="436"/>
      <c r="U477" s="436"/>
      <c r="V477" s="436"/>
      <c r="W477" s="436"/>
      <c r="X477" s="436"/>
      <c r="Y477" s="436"/>
      <c r="Z477" s="436"/>
    </row>
    <row r="478" ht="15.75" customHeight="1">
      <c r="A478" s="436">
        <v>479.0</v>
      </c>
      <c r="B478" s="436" t="s">
        <v>3241</v>
      </c>
      <c r="C478" s="436" t="s">
        <v>3860</v>
      </c>
      <c r="D478" s="436" t="s">
        <v>4330</v>
      </c>
      <c r="E478" s="436"/>
      <c r="F478" s="436"/>
      <c r="G478" s="436"/>
      <c r="H478" s="436"/>
      <c r="I478" s="436"/>
      <c r="J478" s="436"/>
      <c r="K478" s="436"/>
      <c r="L478" s="436"/>
      <c r="M478" s="436"/>
      <c r="N478" s="436"/>
      <c r="O478" s="436"/>
      <c r="P478" s="436"/>
      <c r="Q478" s="436"/>
      <c r="R478" s="436"/>
      <c r="S478" s="436"/>
      <c r="T478" s="436"/>
      <c r="U478" s="436"/>
      <c r="V478" s="436"/>
      <c r="W478" s="436"/>
      <c r="X478" s="436"/>
      <c r="Y478" s="436"/>
      <c r="Z478" s="436"/>
    </row>
    <row r="479" ht="15.75" customHeight="1">
      <c r="A479" s="436">
        <v>480.0</v>
      </c>
      <c r="B479" s="436" t="s">
        <v>3241</v>
      </c>
      <c r="C479" s="436" t="s">
        <v>3860</v>
      </c>
      <c r="D479" s="436" t="s">
        <v>4331</v>
      </c>
      <c r="E479" s="436"/>
      <c r="F479" s="436"/>
      <c r="G479" s="436"/>
      <c r="H479" s="436"/>
      <c r="I479" s="436"/>
      <c r="J479" s="436"/>
      <c r="K479" s="436"/>
      <c r="L479" s="436"/>
      <c r="M479" s="436"/>
      <c r="N479" s="436"/>
      <c r="O479" s="436"/>
      <c r="P479" s="436"/>
      <c r="Q479" s="436"/>
      <c r="R479" s="436"/>
      <c r="S479" s="436"/>
      <c r="T479" s="436"/>
      <c r="U479" s="436"/>
      <c r="V479" s="436"/>
      <c r="W479" s="436"/>
      <c r="X479" s="436"/>
      <c r="Y479" s="436"/>
      <c r="Z479" s="436"/>
    </row>
    <row r="480" ht="15.75" customHeight="1">
      <c r="A480" s="436">
        <v>481.0</v>
      </c>
      <c r="B480" s="436" t="s">
        <v>3241</v>
      </c>
      <c r="C480" s="436" t="s">
        <v>3860</v>
      </c>
      <c r="D480" s="436" t="s">
        <v>4332</v>
      </c>
      <c r="E480" s="436"/>
      <c r="F480" s="436"/>
      <c r="G480" s="436"/>
      <c r="H480" s="436"/>
      <c r="I480" s="436"/>
      <c r="J480" s="436"/>
      <c r="K480" s="436"/>
      <c r="L480" s="436"/>
      <c r="M480" s="436"/>
      <c r="N480" s="436"/>
      <c r="O480" s="436"/>
      <c r="P480" s="436"/>
      <c r="Q480" s="436"/>
      <c r="R480" s="436"/>
      <c r="S480" s="436"/>
      <c r="T480" s="436"/>
      <c r="U480" s="436"/>
      <c r="V480" s="436"/>
      <c r="W480" s="436"/>
      <c r="X480" s="436"/>
      <c r="Y480" s="436"/>
      <c r="Z480" s="436"/>
    </row>
    <row r="481" ht="15.75" customHeight="1">
      <c r="A481" s="436">
        <v>482.0</v>
      </c>
      <c r="B481" s="436" t="s">
        <v>3241</v>
      </c>
      <c r="C481" s="436" t="s">
        <v>3860</v>
      </c>
      <c r="D481" s="436" t="s">
        <v>4333</v>
      </c>
      <c r="E481" s="436"/>
      <c r="F481" s="436"/>
      <c r="G481" s="436"/>
      <c r="H481" s="436"/>
      <c r="I481" s="436"/>
      <c r="J481" s="436"/>
      <c r="K481" s="436"/>
      <c r="L481" s="436"/>
      <c r="M481" s="436"/>
      <c r="N481" s="436"/>
      <c r="O481" s="436"/>
      <c r="P481" s="436"/>
      <c r="Q481" s="436"/>
      <c r="R481" s="436"/>
      <c r="S481" s="436"/>
      <c r="T481" s="436"/>
      <c r="U481" s="436"/>
      <c r="V481" s="436"/>
      <c r="W481" s="436"/>
      <c r="X481" s="436"/>
      <c r="Y481" s="436"/>
      <c r="Z481" s="436"/>
    </row>
    <row r="482" ht="15.75" customHeight="1">
      <c r="A482" s="436">
        <v>483.0</v>
      </c>
      <c r="B482" s="436" t="s">
        <v>3241</v>
      </c>
      <c r="C482" s="436" t="s">
        <v>3860</v>
      </c>
      <c r="D482" s="436" t="s">
        <v>4334</v>
      </c>
      <c r="E482" s="436"/>
      <c r="F482" s="436"/>
      <c r="G482" s="436"/>
      <c r="H482" s="436"/>
      <c r="I482" s="436"/>
      <c r="J482" s="436"/>
      <c r="K482" s="436"/>
      <c r="L482" s="436"/>
      <c r="M482" s="436"/>
      <c r="N482" s="436"/>
      <c r="O482" s="436"/>
      <c r="P482" s="436"/>
      <c r="Q482" s="436"/>
      <c r="R482" s="436"/>
      <c r="S482" s="436"/>
      <c r="T482" s="436"/>
      <c r="U482" s="436"/>
      <c r="V482" s="436"/>
      <c r="W482" s="436"/>
      <c r="X482" s="436"/>
      <c r="Y482" s="436"/>
      <c r="Z482" s="436"/>
    </row>
    <row r="483" ht="15.75" customHeight="1">
      <c r="A483" s="436">
        <v>484.0</v>
      </c>
      <c r="B483" s="436" t="s">
        <v>3241</v>
      </c>
      <c r="C483" s="436" t="s">
        <v>3860</v>
      </c>
      <c r="D483" s="436" t="s">
        <v>4335</v>
      </c>
      <c r="E483" s="436"/>
      <c r="F483" s="436"/>
      <c r="G483" s="436"/>
      <c r="H483" s="436"/>
      <c r="I483" s="436"/>
      <c r="J483" s="436"/>
      <c r="K483" s="436"/>
      <c r="L483" s="436"/>
      <c r="M483" s="436"/>
      <c r="N483" s="436"/>
      <c r="O483" s="436"/>
      <c r="P483" s="436"/>
      <c r="Q483" s="436"/>
      <c r="R483" s="436"/>
      <c r="S483" s="436"/>
      <c r="T483" s="436"/>
      <c r="U483" s="436"/>
      <c r="V483" s="436"/>
      <c r="W483" s="436"/>
      <c r="X483" s="436"/>
      <c r="Y483" s="436"/>
      <c r="Z483" s="436"/>
    </row>
    <row r="484" ht="15.75" customHeight="1">
      <c r="A484" s="436">
        <v>485.0</v>
      </c>
      <c r="B484" s="436" t="s">
        <v>3241</v>
      </c>
      <c r="C484" s="436" t="s">
        <v>3860</v>
      </c>
      <c r="D484" s="436" t="s">
        <v>4336</v>
      </c>
      <c r="E484" s="436"/>
      <c r="F484" s="436"/>
      <c r="G484" s="436"/>
      <c r="H484" s="436"/>
      <c r="I484" s="436"/>
      <c r="J484" s="436"/>
      <c r="K484" s="436"/>
      <c r="L484" s="436"/>
      <c r="M484" s="436"/>
      <c r="N484" s="436"/>
      <c r="O484" s="436"/>
      <c r="P484" s="436"/>
      <c r="Q484" s="436"/>
      <c r="R484" s="436"/>
      <c r="S484" s="436"/>
      <c r="T484" s="436"/>
      <c r="U484" s="436"/>
      <c r="V484" s="436"/>
      <c r="W484" s="436"/>
      <c r="X484" s="436"/>
      <c r="Y484" s="436"/>
      <c r="Z484" s="436"/>
    </row>
    <row r="485" ht="15.75" customHeight="1">
      <c r="A485" s="436">
        <v>486.0</v>
      </c>
      <c r="B485" s="436" t="s">
        <v>3241</v>
      </c>
      <c r="C485" s="436" t="s">
        <v>3860</v>
      </c>
      <c r="D485" s="436" t="s">
        <v>4337</v>
      </c>
      <c r="E485" s="436"/>
      <c r="F485" s="436"/>
      <c r="G485" s="436"/>
      <c r="H485" s="436"/>
      <c r="I485" s="436"/>
      <c r="J485" s="436"/>
      <c r="K485" s="436"/>
      <c r="L485" s="436"/>
      <c r="M485" s="436"/>
      <c r="N485" s="436"/>
      <c r="O485" s="436"/>
      <c r="P485" s="436"/>
      <c r="Q485" s="436"/>
      <c r="R485" s="436"/>
      <c r="S485" s="436"/>
      <c r="T485" s="436"/>
      <c r="U485" s="436"/>
      <c r="V485" s="436"/>
      <c r="W485" s="436"/>
      <c r="X485" s="436"/>
      <c r="Y485" s="436"/>
      <c r="Z485" s="436"/>
    </row>
    <row r="486" ht="15.75" customHeight="1">
      <c r="A486" s="436">
        <v>487.0</v>
      </c>
      <c r="B486" s="436" t="s">
        <v>3241</v>
      </c>
      <c r="C486" s="436" t="s">
        <v>3860</v>
      </c>
      <c r="D486" s="436" t="s">
        <v>4338</v>
      </c>
      <c r="E486" s="436"/>
      <c r="F486" s="436"/>
      <c r="G486" s="436"/>
      <c r="H486" s="436"/>
      <c r="I486" s="436"/>
      <c r="J486" s="436"/>
      <c r="K486" s="436"/>
      <c r="L486" s="436"/>
      <c r="M486" s="436"/>
      <c r="N486" s="436"/>
      <c r="O486" s="436"/>
      <c r="P486" s="436"/>
      <c r="Q486" s="436"/>
      <c r="R486" s="436"/>
      <c r="S486" s="436"/>
      <c r="T486" s="436"/>
      <c r="U486" s="436"/>
      <c r="V486" s="436"/>
      <c r="W486" s="436"/>
      <c r="X486" s="436"/>
      <c r="Y486" s="436"/>
      <c r="Z486" s="436"/>
    </row>
    <row r="487" ht="15.75" customHeight="1">
      <c r="A487" s="436">
        <v>488.0</v>
      </c>
      <c r="B487" s="436" t="s">
        <v>3241</v>
      </c>
      <c r="C487" s="436" t="s">
        <v>3860</v>
      </c>
      <c r="D487" s="436" t="s">
        <v>4339</v>
      </c>
      <c r="E487" s="436"/>
      <c r="F487" s="436"/>
      <c r="G487" s="436"/>
      <c r="H487" s="436"/>
      <c r="I487" s="436"/>
      <c r="J487" s="436"/>
      <c r="K487" s="436"/>
      <c r="L487" s="436"/>
      <c r="M487" s="436"/>
      <c r="N487" s="436"/>
      <c r="O487" s="436"/>
      <c r="P487" s="436"/>
      <c r="Q487" s="436"/>
      <c r="R487" s="436"/>
      <c r="S487" s="436"/>
      <c r="T487" s="436"/>
      <c r="U487" s="436"/>
      <c r="V487" s="436"/>
      <c r="W487" s="436"/>
      <c r="X487" s="436"/>
      <c r="Y487" s="436"/>
      <c r="Z487" s="436"/>
    </row>
    <row r="488" ht="15.75" customHeight="1">
      <c r="A488" s="436">
        <v>489.0</v>
      </c>
      <c r="B488" s="436" t="s">
        <v>3241</v>
      </c>
      <c r="C488" s="436" t="s">
        <v>3860</v>
      </c>
      <c r="D488" s="436" t="s">
        <v>4340</v>
      </c>
      <c r="E488" s="436"/>
      <c r="F488" s="436"/>
      <c r="G488" s="436"/>
      <c r="H488" s="436"/>
      <c r="I488" s="436"/>
      <c r="J488" s="436"/>
      <c r="K488" s="436"/>
      <c r="L488" s="436"/>
      <c r="M488" s="436"/>
      <c r="N488" s="436"/>
      <c r="O488" s="436"/>
      <c r="P488" s="436"/>
      <c r="Q488" s="436"/>
      <c r="R488" s="436"/>
      <c r="S488" s="436"/>
      <c r="T488" s="436"/>
      <c r="U488" s="436"/>
      <c r="V488" s="436"/>
      <c r="W488" s="436"/>
      <c r="X488" s="436"/>
      <c r="Y488" s="436"/>
      <c r="Z488" s="436"/>
    </row>
    <row r="489" ht="15.75" customHeight="1">
      <c r="A489" s="436">
        <v>490.0</v>
      </c>
      <c r="B489" s="436" t="s">
        <v>1849</v>
      </c>
      <c r="C489" s="436" t="s">
        <v>3860</v>
      </c>
      <c r="D489" s="436" t="s">
        <v>4341</v>
      </c>
      <c r="E489" s="436"/>
      <c r="F489" s="436"/>
      <c r="G489" s="436"/>
      <c r="H489" s="436"/>
      <c r="I489" s="436"/>
      <c r="J489" s="436"/>
      <c r="K489" s="436"/>
      <c r="L489" s="436"/>
      <c r="M489" s="436"/>
      <c r="N489" s="436"/>
      <c r="O489" s="436"/>
      <c r="P489" s="436"/>
      <c r="Q489" s="436"/>
      <c r="R489" s="436"/>
      <c r="S489" s="436"/>
      <c r="T489" s="436"/>
      <c r="U489" s="436"/>
      <c r="V489" s="436"/>
      <c r="W489" s="436"/>
      <c r="X489" s="436"/>
      <c r="Y489" s="436"/>
      <c r="Z489" s="436"/>
    </row>
    <row r="490" ht="15.75" customHeight="1">
      <c r="A490" s="436">
        <v>491.0</v>
      </c>
      <c r="B490" s="436" t="s">
        <v>3264</v>
      </c>
      <c r="C490" s="436" t="s">
        <v>3860</v>
      </c>
      <c r="D490" s="436" t="s">
        <v>4342</v>
      </c>
      <c r="E490" s="436"/>
      <c r="F490" s="436"/>
      <c r="G490" s="436"/>
      <c r="H490" s="436"/>
      <c r="I490" s="436"/>
      <c r="J490" s="436"/>
      <c r="K490" s="436"/>
      <c r="L490" s="436"/>
      <c r="M490" s="436"/>
      <c r="N490" s="436"/>
      <c r="O490" s="436"/>
      <c r="P490" s="436"/>
      <c r="Q490" s="436"/>
      <c r="R490" s="436"/>
      <c r="S490" s="436"/>
      <c r="T490" s="436"/>
      <c r="U490" s="436"/>
      <c r="V490" s="436"/>
      <c r="W490" s="436"/>
      <c r="X490" s="436"/>
      <c r="Y490" s="436"/>
      <c r="Z490" s="436"/>
    </row>
    <row r="491" ht="15.75" customHeight="1">
      <c r="A491" s="436">
        <v>492.0</v>
      </c>
      <c r="B491" s="436" t="s">
        <v>3241</v>
      </c>
      <c r="C491" s="436" t="s">
        <v>3860</v>
      </c>
      <c r="D491" s="436" t="s">
        <v>4343</v>
      </c>
      <c r="E491" s="436"/>
      <c r="F491" s="436"/>
      <c r="G491" s="436"/>
      <c r="H491" s="436"/>
      <c r="I491" s="436"/>
      <c r="J491" s="436"/>
      <c r="K491" s="436"/>
      <c r="L491" s="436"/>
      <c r="M491" s="436"/>
      <c r="N491" s="436"/>
      <c r="O491" s="436"/>
      <c r="P491" s="436"/>
      <c r="Q491" s="436"/>
      <c r="R491" s="436"/>
      <c r="S491" s="436"/>
      <c r="T491" s="436"/>
      <c r="U491" s="436"/>
      <c r="V491" s="436"/>
      <c r="W491" s="436"/>
      <c r="X491" s="436"/>
      <c r="Y491" s="436"/>
      <c r="Z491" s="436"/>
    </row>
    <row r="492" ht="15.75" customHeight="1">
      <c r="A492" s="436">
        <v>493.0</v>
      </c>
      <c r="B492" s="436" t="s">
        <v>3264</v>
      </c>
      <c r="C492" s="436" t="s">
        <v>3860</v>
      </c>
      <c r="D492" s="436" t="s">
        <v>4344</v>
      </c>
      <c r="E492" s="436"/>
      <c r="F492" s="436"/>
      <c r="G492" s="436"/>
      <c r="H492" s="436"/>
      <c r="I492" s="436"/>
      <c r="J492" s="436"/>
      <c r="K492" s="436"/>
      <c r="L492" s="436"/>
      <c r="M492" s="436"/>
      <c r="N492" s="436"/>
      <c r="O492" s="436"/>
      <c r="P492" s="436"/>
      <c r="Q492" s="436"/>
      <c r="R492" s="436"/>
      <c r="S492" s="436"/>
      <c r="T492" s="436"/>
      <c r="U492" s="436"/>
      <c r="V492" s="436"/>
      <c r="W492" s="436"/>
      <c r="X492" s="436"/>
      <c r="Y492" s="436"/>
      <c r="Z492" s="436"/>
    </row>
    <row r="493" ht="15.75" customHeight="1">
      <c r="A493" s="436">
        <v>494.0</v>
      </c>
      <c r="B493" s="436" t="s">
        <v>3264</v>
      </c>
      <c r="C493" s="436" t="s">
        <v>3860</v>
      </c>
      <c r="D493" s="436" t="s">
        <v>4345</v>
      </c>
      <c r="E493" s="436"/>
      <c r="F493" s="436"/>
      <c r="G493" s="436"/>
      <c r="H493" s="436"/>
      <c r="I493" s="436"/>
      <c r="J493" s="436"/>
      <c r="K493" s="436"/>
      <c r="L493" s="436"/>
      <c r="M493" s="436"/>
      <c r="N493" s="436"/>
      <c r="O493" s="436"/>
      <c r="P493" s="436"/>
      <c r="Q493" s="436"/>
      <c r="R493" s="436"/>
      <c r="S493" s="436"/>
      <c r="T493" s="436"/>
      <c r="U493" s="436"/>
      <c r="V493" s="436"/>
      <c r="W493" s="436"/>
      <c r="X493" s="436"/>
      <c r="Y493" s="436"/>
      <c r="Z493" s="436"/>
    </row>
    <row r="494" ht="15.75" customHeight="1">
      <c r="A494" s="436">
        <v>495.0</v>
      </c>
      <c r="B494" s="436" t="s">
        <v>3241</v>
      </c>
      <c r="C494" s="436" t="s">
        <v>3860</v>
      </c>
      <c r="D494" s="436" t="s">
        <v>4346</v>
      </c>
      <c r="E494" s="436"/>
      <c r="F494" s="436"/>
      <c r="G494" s="436"/>
      <c r="H494" s="436"/>
      <c r="I494" s="436"/>
      <c r="J494" s="436"/>
      <c r="K494" s="436"/>
      <c r="L494" s="436"/>
      <c r="M494" s="436"/>
      <c r="N494" s="436"/>
      <c r="O494" s="436"/>
      <c r="P494" s="436"/>
      <c r="Q494" s="436"/>
      <c r="R494" s="436"/>
      <c r="S494" s="436"/>
      <c r="T494" s="436"/>
      <c r="U494" s="436"/>
      <c r="V494" s="436"/>
      <c r="W494" s="436"/>
      <c r="X494" s="436"/>
      <c r="Y494" s="436"/>
      <c r="Z494" s="436"/>
    </row>
    <row r="495" ht="15.75" customHeight="1">
      <c r="A495" s="436">
        <v>496.0</v>
      </c>
      <c r="B495" s="436" t="s">
        <v>3241</v>
      </c>
      <c r="C495" s="436" t="s">
        <v>3860</v>
      </c>
      <c r="D495" s="436" t="s">
        <v>4347</v>
      </c>
      <c r="E495" s="436"/>
      <c r="F495" s="436"/>
      <c r="G495" s="436"/>
      <c r="H495" s="436"/>
      <c r="I495" s="436"/>
      <c r="J495" s="436"/>
      <c r="K495" s="436"/>
      <c r="L495" s="436"/>
      <c r="M495" s="436"/>
      <c r="N495" s="436"/>
      <c r="O495" s="436"/>
      <c r="P495" s="436"/>
      <c r="Q495" s="436"/>
      <c r="R495" s="436"/>
      <c r="S495" s="436"/>
      <c r="T495" s="436"/>
      <c r="U495" s="436"/>
      <c r="V495" s="436"/>
      <c r="W495" s="436"/>
      <c r="X495" s="436"/>
      <c r="Y495" s="436"/>
      <c r="Z495" s="436"/>
    </row>
    <row r="496" ht="15.75" customHeight="1">
      <c r="A496" s="436">
        <v>497.0</v>
      </c>
      <c r="B496" s="436" t="s">
        <v>1849</v>
      </c>
      <c r="C496" s="436" t="s">
        <v>3860</v>
      </c>
      <c r="D496" s="436" t="s">
        <v>4348</v>
      </c>
      <c r="E496" s="436"/>
      <c r="F496" s="436"/>
      <c r="G496" s="436"/>
      <c r="H496" s="436"/>
      <c r="I496" s="436"/>
      <c r="J496" s="436"/>
      <c r="K496" s="436"/>
      <c r="L496" s="436"/>
      <c r="M496" s="436"/>
      <c r="N496" s="436"/>
      <c r="O496" s="436"/>
      <c r="P496" s="436"/>
      <c r="Q496" s="436"/>
      <c r="R496" s="436"/>
      <c r="S496" s="436"/>
      <c r="T496" s="436"/>
      <c r="U496" s="436"/>
      <c r="V496" s="436"/>
      <c r="W496" s="436"/>
      <c r="X496" s="436"/>
      <c r="Y496" s="436"/>
      <c r="Z496" s="436"/>
    </row>
    <row r="497" ht="15.0" customHeight="1">
      <c r="A497" s="436">
        <v>498.0</v>
      </c>
      <c r="B497" s="436" t="s">
        <v>3264</v>
      </c>
      <c r="C497" s="436" t="s">
        <v>3860</v>
      </c>
      <c r="D497" s="559" t="s">
        <v>4349</v>
      </c>
      <c r="E497" s="436"/>
      <c r="F497" s="436"/>
      <c r="G497" s="436"/>
      <c r="H497" s="436"/>
      <c r="I497" s="436"/>
      <c r="J497" s="436"/>
      <c r="K497" s="436"/>
      <c r="L497" s="436"/>
      <c r="M497" s="436"/>
      <c r="N497" s="436"/>
      <c r="O497" s="436"/>
      <c r="P497" s="436"/>
      <c r="Q497" s="436"/>
      <c r="R497" s="436"/>
      <c r="S497" s="436"/>
      <c r="T497" s="436"/>
      <c r="U497" s="436"/>
      <c r="V497" s="436"/>
      <c r="W497" s="436"/>
      <c r="X497" s="436"/>
      <c r="Y497" s="436"/>
      <c r="Z497" s="436"/>
    </row>
    <row r="498" ht="15.0" customHeight="1">
      <c r="A498" s="436">
        <v>499.0</v>
      </c>
      <c r="B498" s="436" t="s">
        <v>3264</v>
      </c>
      <c r="C498" s="436" t="s">
        <v>3860</v>
      </c>
      <c r="D498" s="559" t="s">
        <v>4350</v>
      </c>
      <c r="E498" s="436"/>
      <c r="F498" s="436"/>
      <c r="G498" s="436"/>
      <c r="H498" s="436"/>
      <c r="I498" s="436"/>
      <c r="J498" s="436"/>
      <c r="K498" s="436"/>
      <c r="L498" s="436"/>
      <c r="M498" s="436"/>
      <c r="N498" s="436"/>
      <c r="O498" s="436"/>
      <c r="P498" s="436"/>
      <c r="Q498" s="436"/>
      <c r="R498" s="436"/>
      <c r="S498" s="436"/>
      <c r="T498" s="436"/>
      <c r="U498" s="436"/>
      <c r="V498" s="436"/>
      <c r="W498" s="436"/>
      <c r="X498" s="436"/>
      <c r="Y498" s="436"/>
      <c r="Z498" s="436"/>
    </row>
    <row r="499" ht="15.0" customHeight="1">
      <c r="A499" s="436">
        <v>500.0</v>
      </c>
      <c r="B499" s="436" t="s">
        <v>3264</v>
      </c>
      <c r="C499" s="436" t="s">
        <v>3860</v>
      </c>
      <c r="D499" s="559" t="s">
        <v>4351</v>
      </c>
      <c r="E499" s="436"/>
      <c r="F499" s="436"/>
      <c r="G499" s="436"/>
      <c r="H499" s="436"/>
      <c r="I499" s="436"/>
      <c r="J499" s="436"/>
      <c r="K499" s="436"/>
      <c r="L499" s="436"/>
      <c r="M499" s="436"/>
      <c r="N499" s="436"/>
      <c r="O499" s="436"/>
      <c r="P499" s="436"/>
      <c r="Q499" s="436"/>
      <c r="R499" s="436"/>
      <c r="S499" s="436"/>
      <c r="T499" s="436"/>
      <c r="U499" s="436"/>
      <c r="V499" s="436"/>
      <c r="W499" s="436"/>
      <c r="X499" s="436"/>
      <c r="Y499" s="436"/>
      <c r="Z499" s="436"/>
    </row>
    <row r="500" ht="15.0" customHeight="1">
      <c r="A500" s="436">
        <v>501.0</v>
      </c>
      <c r="B500" s="436" t="s">
        <v>3264</v>
      </c>
      <c r="C500" s="436" t="s">
        <v>3860</v>
      </c>
      <c r="D500" s="559" t="s">
        <v>4352</v>
      </c>
      <c r="E500" s="436"/>
      <c r="F500" s="436"/>
      <c r="G500" s="436"/>
      <c r="H500" s="436"/>
      <c r="I500" s="436"/>
      <c r="J500" s="436"/>
      <c r="K500" s="436"/>
      <c r="L500" s="436"/>
      <c r="M500" s="436"/>
      <c r="N500" s="436"/>
      <c r="O500" s="436"/>
      <c r="P500" s="436"/>
      <c r="Q500" s="436"/>
      <c r="R500" s="436"/>
      <c r="S500" s="436"/>
      <c r="T500" s="436"/>
      <c r="U500" s="436"/>
      <c r="V500" s="436"/>
      <c r="W500" s="436"/>
      <c r="X500" s="436"/>
      <c r="Y500" s="436"/>
      <c r="Z500" s="436"/>
    </row>
    <row r="501" ht="15.0" customHeight="1">
      <c r="A501" s="436">
        <v>502.0</v>
      </c>
      <c r="B501" s="436" t="s">
        <v>3264</v>
      </c>
      <c r="C501" s="436" t="s">
        <v>3860</v>
      </c>
      <c r="D501" s="559" t="s">
        <v>4353</v>
      </c>
      <c r="E501" s="436"/>
      <c r="F501" s="436"/>
      <c r="G501" s="436"/>
      <c r="H501" s="436"/>
      <c r="I501" s="436"/>
      <c r="J501" s="436"/>
      <c r="K501" s="436"/>
      <c r="L501" s="436"/>
      <c r="M501" s="436"/>
      <c r="N501" s="436"/>
      <c r="O501" s="436"/>
      <c r="P501" s="436"/>
      <c r="Q501" s="436"/>
      <c r="R501" s="436"/>
      <c r="S501" s="436"/>
      <c r="T501" s="436"/>
      <c r="U501" s="436"/>
      <c r="V501" s="436"/>
      <c r="W501" s="436"/>
      <c r="X501" s="436"/>
      <c r="Y501" s="436"/>
      <c r="Z501" s="436"/>
    </row>
    <row r="502" ht="15.0" customHeight="1">
      <c r="A502" s="436">
        <v>503.0</v>
      </c>
      <c r="B502" s="436" t="s">
        <v>3264</v>
      </c>
      <c r="C502" s="436" t="s">
        <v>3860</v>
      </c>
      <c r="D502" s="559" t="s">
        <v>4354</v>
      </c>
      <c r="E502" s="436"/>
      <c r="F502" s="436"/>
      <c r="G502" s="436"/>
      <c r="H502" s="436"/>
      <c r="I502" s="436"/>
      <c r="J502" s="436"/>
      <c r="K502" s="436"/>
      <c r="L502" s="436"/>
      <c r="M502" s="436"/>
      <c r="N502" s="436"/>
      <c r="O502" s="436"/>
      <c r="P502" s="436"/>
      <c r="Q502" s="436"/>
      <c r="R502" s="436"/>
      <c r="S502" s="436"/>
      <c r="T502" s="436"/>
      <c r="U502" s="436"/>
      <c r="V502" s="436"/>
      <c r="W502" s="436"/>
      <c r="X502" s="436"/>
      <c r="Y502" s="436"/>
      <c r="Z502" s="436"/>
    </row>
    <row r="503" ht="15.0" customHeight="1">
      <c r="A503" s="436">
        <v>504.0</v>
      </c>
      <c r="B503" s="436" t="s">
        <v>3264</v>
      </c>
      <c r="C503" s="436" t="s">
        <v>3860</v>
      </c>
      <c r="D503" s="559" t="s">
        <v>4355</v>
      </c>
      <c r="E503" s="436"/>
      <c r="F503" s="436"/>
      <c r="G503" s="436"/>
      <c r="H503" s="436"/>
      <c r="I503" s="436"/>
      <c r="J503" s="436"/>
      <c r="K503" s="436"/>
      <c r="L503" s="436"/>
      <c r="M503" s="436"/>
      <c r="N503" s="436"/>
      <c r="O503" s="436"/>
      <c r="P503" s="436"/>
      <c r="Q503" s="436"/>
      <c r="R503" s="436"/>
      <c r="S503" s="436"/>
      <c r="T503" s="436"/>
      <c r="U503" s="436"/>
      <c r="V503" s="436"/>
      <c r="W503" s="436"/>
      <c r="X503" s="436"/>
      <c r="Y503" s="436"/>
      <c r="Z503" s="436"/>
    </row>
    <row r="504" ht="15.0" customHeight="1">
      <c r="A504" s="436">
        <v>505.0</v>
      </c>
      <c r="B504" s="436" t="s">
        <v>3264</v>
      </c>
      <c r="C504" s="436" t="s">
        <v>3860</v>
      </c>
      <c r="D504" s="559" t="s">
        <v>4356</v>
      </c>
      <c r="E504" s="436"/>
      <c r="F504" s="436"/>
      <c r="G504" s="436"/>
      <c r="H504" s="436"/>
      <c r="I504" s="436"/>
      <c r="J504" s="436"/>
      <c r="K504" s="436"/>
      <c r="L504" s="436"/>
      <c r="M504" s="436"/>
      <c r="N504" s="436"/>
      <c r="O504" s="436"/>
      <c r="P504" s="436"/>
      <c r="Q504" s="436"/>
      <c r="R504" s="436"/>
      <c r="S504" s="436"/>
      <c r="T504" s="436"/>
      <c r="U504" s="436"/>
      <c r="V504" s="436"/>
      <c r="W504" s="436"/>
      <c r="X504" s="436"/>
      <c r="Y504" s="436"/>
      <c r="Z504" s="436"/>
    </row>
    <row r="505" ht="15.0" customHeight="1">
      <c r="A505" s="436">
        <v>506.0</v>
      </c>
      <c r="B505" s="436" t="s">
        <v>3264</v>
      </c>
      <c r="C505" s="436" t="s">
        <v>3860</v>
      </c>
      <c r="D505" s="559" t="s">
        <v>4357</v>
      </c>
      <c r="E505" s="436"/>
      <c r="F505" s="436"/>
      <c r="G505" s="436"/>
      <c r="H505" s="436"/>
      <c r="I505" s="436"/>
      <c r="J505" s="436"/>
      <c r="K505" s="436"/>
      <c r="L505" s="436"/>
      <c r="M505" s="436"/>
      <c r="N505" s="436"/>
      <c r="O505" s="436"/>
      <c r="P505" s="436"/>
      <c r="Q505" s="436"/>
      <c r="R505" s="436"/>
      <c r="S505" s="436"/>
      <c r="T505" s="436"/>
      <c r="U505" s="436"/>
      <c r="V505" s="436"/>
      <c r="W505" s="436"/>
      <c r="X505" s="436"/>
      <c r="Y505" s="436"/>
      <c r="Z505" s="436"/>
    </row>
    <row r="506" ht="15.0" customHeight="1">
      <c r="A506" s="436">
        <v>507.0</v>
      </c>
      <c r="B506" s="436" t="s">
        <v>3264</v>
      </c>
      <c r="C506" s="436" t="s">
        <v>3860</v>
      </c>
      <c r="D506" s="559" t="s">
        <v>4358</v>
      </c>
      <c r="E506" s="436"/>
      <c r="F506" s="436"/>
      <c r="G506" s="436"/>
      <c r="H506" s="436"/>
      <c r="I506" s="436"/>
      <c r="J506" s="436"/>
      <c r="K506" s="436"/>
      <c r="L506" s="436"/>
      <c r="M506" s="436"/>
      <c r="N506" s="436"/>
      <c r="O506" s="436"/>
      <c r="P506" s="436"/>
      <c r="Q506" s="436"/>
      <c r="R506" s="436"/>
      <c r="S506" s="436"/>
      <c r="T506" s="436"/>
      <c r="U506" s="436"/>
      <c r="V506" s="436"/>
      <c r="W506" s="436"/>
      <c r="X506" s="436"/>
      <c r="Y506" s="436"/>
      <c r="Z506" s="436"/>
    </row>
    <row r="507" ht="15.0" customHeight="1">
      <c r="A507" s="436">
        <v>508.0</v>
      </c>
      <c r="B507" s="436" t="s">
        <v>3264</v>
      </c>
      <c r="C507" s="436" t="s">
        <v>3860</v>
      </c>
      <c r="D507" s="559" t="s">
        <v>4359</v>
      </c>
      <c r="E507" s="436"/>
      <c r="F507" s="436"/>
      <c r="G507" s="436"/>
      <c r="H507" s="436"/>
      <c r="I507" s="436"/>
      <c r="J507" s="436"/>
      <c r="K507" s="436"/>
      <c r="L507" s="436"/>
      <c r="M507" s="436"/>
      <c r="N507" s="436"/>
      <c r="O507" s="436"/>
      <c r="P507" s="436"/>
      <c r="Q507" s="436"/>
      <c r="R507" s="436"/>
      <c r="S507" s="436"/>
      <c r="T507" s="436"/>
      <c r="U507" s="436"/>
      <c r="V507" s="436"/>
      <c r="W507" s="436"/>
      <c r="X507" s="436"/>
      <c r="Y507" s="436"/>
      <c r="Z507" s="436"/>
    </row>
    <row r="508" ht="15.75" customHeight="1">
      <c r="A508" s="436">
        <v>509.0</v>
      </c>
      <c r="B508" s="436" t="s">
        <v>3264</v>
      </c>
      <c r="C508" s="436" t="s">
        <v>3860</v>
      </c>
      <c r="D508" s="560" t="s">
        <v>4360</v>
      </c>
      <c r="E508" s="436"/>
      <c r="F508" s="436"/>
      <c r="G508" s="436"/>
      <c r="H508" s="436"/>
      <c r="I508" s="436"/>
      <c r="J508" s="436"/>
      <c r="K508" s="436"/>
      <c r="L508" s="436"/>
      <c r="M508" s="436"/>
      <c r="N508" s="436"/>
      <c r="O508" s="436"/>
      <c r="P508" s="436"/>
      <c r="Q508" s="436"/>
      <c r="R508" s="436"/>
      <c r="S508" s="436"/>
      <c r="T508" s="436"/>
      <c r="U508" s="436"/>
      <c r="V508" s="436"/>
      <c r="W508" s="436"/>
      <c r="X508" s="436"/>
      <c r="Y508" s="436"/>
      <c r="Z508" s="436"/>
    </row>
    <row r="509" ht="15.75" customHeight="1">
      <c r="A509" s="436">
        <v>510.0</v>
      </c>
      <c r="B509" s="436" t="s">
        <v>3264</v>
      </c>
      <c r="C509" s="436" t="s">
        <v>3860</v>
      </c>
      <c r="D509" s="560" t="s">
        <v>4361</v>
      </c>
      <c r="E509" s="436"/>
      <c r="F509" s="436"/>
      <c r="G509" s="436"/>
      <c r="H509" s="436"/>
      <c r="I509" s="436"/>
      <c r="J509" s="436"/>
      <c r="K509" s="436"/>
      <c r="L509" s="436"/>
      <c r="M509" s="436"/>
      <c r="N509" s="436"/>
      <c r="O509" s="436"/>
      <c r="P509" s="436"/>
      <c r="Q509" s="436"/>
      <c r="R509" s="436"/>
      <c r="S509" s="436"/>
      <c r="T509" s="436"/>
      <c r="U509" s="436"/>
      <c r="V509" s="436"/>
      <c r="W509" s="436"/>
      <c r="X509" s="436"/>
      <c r="Y509" s="436"/>
      <c r="Z509" s="436"/>
    </row>
    <row r="510" ht="15.75" customHeight="1">
      <c r="A510" s="436">
        <v>511.0</v>
      </c>
      <c r="B510" s="436" t="s">
        <v>3264</v>
      </c>
      <c r="C510" s="436" t="s">
        <v>3860</v>
      </c>
      <c r="D510" s="436" t="s">
        <v>4362</v>
      </c>
      <c r="E510" s="436"/>
      <c r="F510" s="436"/>
      <c r="G510" s="436"/>
      <c r="H510" s="436"/>
      <c r="I510" s="436"/>
      <c r="J510" s="436"/>
      <c r="K510" s="436"/>
      <c r="L510" s="436"/>
      <c r="M510" s="436"/>
      <c r="N510" s="436"/>
      <c r="O510" s="436"/>
      <c r="P510" s="436"/>
      <c r="Q510" s="436"/>
      <c r="R510" s="436"/>
      <c r="S510" s="436"/>
      <c r="T510" s="436"/>
      <c r="U510" s="436"/>
      <c r="V510" s="436"/>
      <c r="W510" s="436"/>
      <c r="X510" s="436"/>
      <c r="Y510" s="436"/>
      <c r="Z510" s="436"/>
    </row>
    <row r="511" ht="15.75" customHeight="1">
      <c r="A511" s="436">
        <v>512.0</v>
      </c>
      <c r="B511" s="436" t="s">
        <v>3264</v>
      </c>
      <c r="C511" s="436" t="s">
        <v>3860</v>
      </c>
      <c r="D511" s="436" t="s">
        <v>4363</v>
      </c>
      <c r="E511" s="436"/>
      <c r="F511" s="436"/>
      <c r="G511" s="436"/>
      <c r="H511" s="436"/>
      <c r="I511" s="436"/>
      <c r="J511" s="436"/>
      <c r="K511" s="436"/>
      <c r="L511" s="436"/>
      <c r="M511" s="436"/>
      <c r="N511" s="436"/>
      <c r="O511" s="436"/>
      <c r="P511" s="436"/>
      <c r="Q511" s="436"/>
      <c r="R511" s="436"/>
      <c r="S511" s="436"/>
      <c r="T511" s="436"/>
      <c r="U511" s="436"/>
      <c r="V511" s="436"/>
      <c r="W511" s="436"/>
      <c r="X511" s="436"/>
      <c r="Y511" s="436"/>
      <c r="Z511" s="436"/>
    </row>
    <row r="512" ht="15.75" customHeight="1">
      <c r="A512" s="436">
        <v>513.0</v>
      </c>
      <c r="B512" s="436" t="s">
        <v>3264</v>
      </c>
      <c r="C512" s="436" t="s">
        <v>3860</v>
      </c>
      <c r="D512" s="436" t="s">
        <v>4364</v>
      </c>
      <c r="E512" s="436"/>
      <c r="F512" s="436"/>
      <c r="G512" s="436"/>
      <c r="H512" s="436"/>
      <c r="I512" s="436"/>
      <c r="J512" s="436"/>
      <c r="K512" s="436"/>
      <c r="L512" s="436"/>
      <c r="M512" s="436"/>
      <c r="N512" s="436"/>
      <c r="O512" s="436"/>
      <c r="P512" s="436"/>
      <c r="Q512" s="436"/>
      <c r="R512" s="436"/>
      <c r="S512" s="436"/>
      <c r="T512" s="436"/>
      <c r="U512" s="436"/>
      <c r="V512" s="436"/>
      <c r="W512" s="436"/>
      <c r="X512" s="436"/>
      <c r="Y512" s="436"/>
      <c r="Z512" s="436"/>
    </row>
    <row r="513" ht="15.75" customHeight="1">
      <c r="A513" s="436">
        <v>514.0</v>
      </c>
      <c r="B513" s="436" t="s">
        <v>3264</v>
      </c>
      <c r="C513" s="436" t="s">
        <v>3860</v>
      </c>
      <c r="D513" s="436" t="s">
        <v>4365</v>
      </c>
      <c r="E513" s="436"/>
      <c r="F513" s="436"/>
      <c r="G513" s="436"/>
      <c r="H513" s="436"/>
      <c r="I513" s="436"/>
      <c r="J513" s="436"/>
      <c r="K513" s="436"/>
      <c r="L513" s="436"/>
      <c r="M513" s="436"/>
      <c r="N513" s="436"/>
      <c r="O513" s="436"/>
      <c r="P513" s="436"/>
      <c r="Q513" s="436"/>
      <c r="R513" s="436"/>
      <c r="S513" s="436"/>
      <c r="T513" s="436"/>
      <c r="U513" s="436"/>
      <c r="V513" s="436"/>
      <c r="W513" s="436"/>
      <c r="X513" s="436"/>
      <c r="Y513" s="436"/>
      <c r="Z513" s="436"/>
    </row>
    <row r="514" ht="15.75" customHeight="1">
      <c r="A514" s="436">
        <v>515.0</v>
      </c>
      <c r="B514" s="436" t="s">
        <v>3264</v>
      </c>
      <c r="C514" s="436" t="s">
        <v>3860</v>
      </c>
      <c r="D514" s="436" t="s">
        <v>4366</v>
      </c>
      <c r="E514" s="436"/>
      <c r="F514" s="436"/>
      <c r="G514" s="436"/>
      <c r="H514" s="436"/>
      <c r="I514" s="436"/>
      <c r="J514" s="436"/>
      <c r="K514" s="436"/>
      <c r="L514" s="436"/>
      <c r="M514" s="436"/>
      <c r="N514" s="436"/>
      <c r="O514" s="436"/>
      <c r="P514" s="436"/>
      <c r="Q514" s="436"/>
      <c r="R514" s="436"/>
      <c r="S514" s="436"/>
      <c r="T514" s="436"/>
      <c r="U514" s="436"/>
      <c r="V514" s="436"/>
      <c r="W514" s="436"/>
      <c r="X514" s="436"/>
      <c r="Y514" s="436"/>
      <c r="Z514" s="436"/>
    </row>
    <row r="515" ht="15.75" customHeight="1">
      <c r="A515" s="436">
        <v>516.0</v>
      </c>
      <c r="B515" s="436" t="s">
        <v>3264</v>
      </c>
      <c r="C515" s="436" t="s">
        <v>3860</v>
      </c>
      <c r="D515" s="436" t="s">
        <v>4367</v>
      </c>
      <c r="E515" s="436"/>
      <c r="F515" s="436"/>
      <c r="G515" s="436"/>
      <c r="H515" s="436"/>
      <c r="I515" s="436"/>
      <c r="J515" s="436"/>
      <c r="K515" s="436"/>
      <c r="L515" s="436"/>
      <c r="M515" s="436"/>
      <c r="N515" s="436"/>
      <c r="O515" s="436"/>
      <c r="P515" s="436"/>
      <c r="Q515" s="436"/>
      <c r="R515" s="436"/>
      <c r="S515" s="436"/>
      <c r="T515" s="436"/>
      <c r="U515" s="436"/>
      <c r="V515" s="436"/>
      <c r="W515" s="436"/>
      <c r="X515" s="436"/>
      <c r="Y515" s="436"/>
      <c r="Z515" s="436"/>
    </row>
    <row r="516" ht="15.75" customHeight="1">
      <c r="A516" s="436">
        <v>517.0</v>
      </c>
      <c r="B516" s="436" t="s">
        <v>3264</v>
      </c>
      <c r="C516" s="436" t="s">
        <v>3860</v>
      </c>
      <c r="D516" s="436" t="s">
        <v>4368</v>
      </c>
      <c r="E516" s="436"/>
      <c r="F516" s="436"/>
      <c r="G516" s="436"/>
      <c r="H516" s="436"/>
      <c r="I516" s="436"/>
      <c r="J516" s="436"/>
      <c r="K516" s="436"/>
      <c r="L516" s="436"/>
      <c r="M516" s="436"/>
      <c r="N516" s="436"/>
      <c r="O516" s="436"/>
      <c r="P516" s="436"/>
      <c r="Q516" s="436"/>
      <c r="R516" s="436"/>
      <c r="S516" s="436"/>
      <c r="T516" s="436"/>
      <c r="U516" s="436"/>
      <c r="V516" s="436"/>
      <c r="W516" s="436"/>
      <c r="X516" s="436"/>
      <c r="Y516" s="436"/>
      <c r="Z516" s="436"/>
    </row>
    <row r="517" ht="15.75" customHeight="1">
      <c r="A517" s="436">
        <v>518.0</v>
      </c>
      <c r="B517" s="436" t="s">
        <v>3264</v>
      </c>
      <c r="C517" s="436" t="s">
        <v>3860</v>
      </c>
      <c r="D517" s="556" t="s">
        <v>4369</v>
      </c>
      <c r="E517" s="436"/>
      <c r="F517" s="436"/>
      <c r="G517" s="436"/>
      <c r="H517" s="436"/>
      <c r="I517" s="436"/>
      <c r="J517" s="436"/>
      <c r="K517" s="436"/>
      <c r="L517" s="436"/>
      <c r="M517" s="436"/>
      <c r="N517" s="436"/>
      <c r="O517" s="436"/>
      <c r="P517" s="436"/>
      <c r="Q517" s="436"/>
      <c r="R517" s="436"/>
      <c r="S517" s="436"/>
      <c r="T517" s="436"/>
      <c r="U517" s="436"/>
      <c r="V517" s="436"/>
      <c r="W517" s="436"/>
      <c r="X517" s="436"/>
      <c r="Y517" s="436"/>
      <c r="Z517" s="436"/>
    </row>
    <row r="518" ht="15.75" customHeight="1">
      <c r="A518" s="436">
        <v>519.0</v>
      </c>
      <c r="B518" s="436" t="s">
        <v>3264</v>
      </c>
      <c r="C518" s="436" t="s">
        <v>3860</v>
      </c>
      <c r="D518" s="556" t="s">
        <v>4370</v>
      </c>
      <c r="E518" s="436"/>
      <c r="F518" s="436"/>
      <c r="G518" s="436"/>
      <c r="H518" s="436"/>
      <c r="I518" s="436"/>
      <c r="J518" s="436"/>
      <c r="K518" s="436"/>
      <c r="L518" s="436"/>
      <c r="M518" s="436"/>
      <c r="N518" s="436"/>
      <c r="O518" s="436"/>
      <c r="P518" s="436"/>
      <c r="Q518" s="436"/>
      <c r="R518" s="436"/>
      <c r="S518" s="436"/>
      <c r="T518" s="436"/>
      <c r="U518" s="436"/>
      <c r="V518" s="436"/>
      <c r="W518" s="436"/>
      <c r="X518" s="436"/>
      <c r="Y518" s="436"/>
      <c r="Z518" s="436"/>
    </row>
    <row r="519" ht="15.75" customHeight="1">
      <c r="A519" s="436">
        <v>520.0</v>
      </c>
      <c r="B519" s="436" t="s">
        <v>3264</v>
      </c>
      <c r="C519" s="436" t="s">
        <v>3860</v>
      </c>
      <c r="D519" s="556" t="s">
        <v>4371</v>
      </c>
      <c r="E519" s="436"/>
      <c r="F519" s="436"/>
      <c r="G519" s="436"/>
      <c r="H519" s="436"/>
      <c r="I519" s="436"/>
      <c r="J519" s="436"/>
      <c r="K519" s="436"/>
      <c r="L519" s="436"/>
      <c r="M519" s="436"/>
      <c r="N519" s="436"/>
      <c r="O519" s="436"/>
      <c r="P519" s="436"/>
      <c r="Q519" s="436"/>
      <c r="R519" s="436"/>
      <c r="S519" s="436"/>
      <c r="T519" s="436"/>
      <c r="U519" s="436"/>
      <c r="V519" s="436"/>
      <c r="W519" s="436"/>
      <c r="X519" s="436"/>
      <c r="Y519" s="436"/>
      <c r="Z519" s="436"/>
    </row>
    <row r="520" ht="15.75" customHeight="1">
      <c r="A520" s="436">
        <v>521.0</v>
      </c>
      <c r="B520" s="436" t="s">
        <v>3264</v>
      </c>
      <c r="C520" s="436" t="s">
        <v>3860</v>
      </c>
      <c r="D520" s="556" t="s">
        <v>4372</v>
      </c>
      <c r="E520" s="436"/>
      <c r="F520" s="436"/>
      <c r="G520" s="436"/>
      <c r="H520" s="436"/>
      <c r="I520" s="436"/>
      <c r="J520" s="436"/>
      <c r="K520" s="436"/>
      <c r="L520" s="436"/>
      <c r="M520" s="436"/>
      <c r="N520" s="436"/>
      <c r="O520" s="436"/>
      <c r="P520" s="436"/>
      <c r="Q520" s="436"/>
      <c r="R520" s="436"/>
      <c r="S520" s="436"/>
      <c r="T520" s="436"/>
      <c r="U520" s="436"/>
      <c r="V520" s="436"/>
      <c r="W520" s="436"/>
      <c r="X520" s="436"/>
      <c r="Y520" s="436"/>
      <c r="Z520" s="436"/>
    </row>
    <row r="521" ht="15.75" customHeight="1">
      <c r="A521" s="436">
        <v>522.0</v>
      </c>
      <c r="B521" s="436" t="s">
        <v>3264</v>
      </c>
      <c r="C521" s="436" t="s">
        <v>3860</v>
      </c>
      <c r="D521" s="436" t="s">
        <v>4373</v>
      </c>
      <c r="E521" s="436"/>
      <c r="F521" s="436"/>
      <c r="G521" s="436"/>
      <c r="H521" s="436"/>
      <c r="I521" s="436"/>
      <c r="J521" s="436"/>
      <c r="K521" s="436"/>
      <c r="L521" s="436"/>
      <c r="M521" s="436"/>
      <c r="N521" s="436"/>
      <c r="O521" s="436"/>
      <c r="P521" s="436"/>
      <c r="Q521" s="436"/>
      <c r="R521" s="436"/>
      <c r="S521" s="436"/>
      <c r="T521" s="436"/>
      <c r="U521" s="436"/>
      <c r="V521" s="436"/>
      <c r="W521" s="436"/>
      <c r="X521" s="436"/>
      <c r="Y521" s="436"/>
      <c r="Z521" s="436"/>
    </row>
    <row r="522" ht="15.75" customHeight="1">
      <c r="A522" s="436">
        <v>523.0</v>
      </c>
      <c r="B522" s="436" t="s">
        <v>3264</v>
      </c>
      <c r="C522" s="436" t="s">
        <v>3860</v>
      </c>
      <c r="D522" s="561" t="s">
        <v>4374</v>
      </c>
      <c r="E522" s="436"/>
      <c r="F522" s="436"/>
      <c r="G522" s="436"/>
      <c r="H522" s="436"/>
      <c r="I522" s="436"/>
      <c r="J522" s="436"/>
      <c r="K522" s="436"/>
      <c r="L522" s="436"/>
      <c r="M522" s="436"/>
      <c r="N522" s="436"/>
      <c r="O522" s="436"/>
      <c r="P522" s="436"/>
      <c r="Q522" s="436"/>
      <c r="R522" s="436"/>
      <c r="S522" s="436"/>
      <c r="T522" s="436"/>
      <c r="U522" s="436"/>
      <c r="V522" s="436"/>
      <c r="W522" s="436"/>
      <c r="X522" s="436"/>
      <c r="Y522" s="436"/>
      <c r="Z522" s="436"/>
    </row>
    <row r="523" ht="15.75" customHeight="1">
      <c r="A523" s="436">
        <v>524.0</v>
      </c>
      <c r="B523" s="436" t="s">
        <v>3209</v>
      </c>
      <c r="C523" s="436" t="s">
        <v>3860</v>
      </c>
      <c r="D523" s="562" t="s">
        <v>4375</v>
      </c>
      <c r="E523" s="436"/>
      <c r="F523" s="436"/>
      <c r="G523" s="436"/>
      <c r="H523" s="436"/>
      <c r="I523" s="436"/>
      <c r="J523" s="436"/>
      <c r="K523" s="436"/>
      <c r="L523" s="436"/>
      <c r="M523" s="436"/>
      <c r="N523" s="436"/>
      <c r="O523" s="436"/>
      <c r="P523" s="436"/>
      <c r="Q523" s="436"/>
      <c r="R523" s="436"/>
      <c r="S523" s="436"/>
      <c r="T523" s="436"/>
      <c r="U523" s="436"/>
      <c r="V523" s="436"/>
      <c r="W523" s="436"/>
      <c r="X523" s="436"/>
      <c r="Y523" s="436"/>
      <c r="Z523" s="436"/>
    </row>
    <row r="524" ht="15.75" customHeight="1">
      <c r="A524" s="436">
        <v>525.0</v>
      </c>
      <c r="B524" s="436" t="s">
        <v>3241</v>
      </c>
      <c r="C524" s="436" t="s">
        <v>3860</v>
      </c>
      <c r="D524" s="562" t="s">
        <v>4376</v>
      </c>
      <c r="E524" s="436"/>
      <c r="F524" s="436"/>
      <c r="G524" s="436"/>
      <c r="H524" s="436"/>
      <c r="I524" s="436"/>
      <c r="J524" s="436"/>
      <c r="K524" s="436"/>
      <c r="L524" s="436"/>
      <c r="M524" s="436"/>
      <c r="N524" s="436"/>
      <c r="O524" s="436"/>
      <c r="P524" s="436"/>
      <c r="Q524" s="436"/>
      <c r="R524" s="436"/>
      <c r="S524" s="436"/>
      <c r="T524" s="436"/>
      <c r="U524" s="436"/>
      <c r="V524" s="436"/>
      <c r="W524" s="436"/>
      <c r="X524" s="436"/>
      <c r="Y524" s="436"/>
      <c r="Z524" s="436"/>
    </row>
    <row r="525" ht="15.75" customHeight="1">
      <c r="A525" s="436">
        <v>526.0</v>
      </c>
      <c r="B525" s="436" t="s">
        <v>3264</v>
      </c>
      <c r="C525" s="436" t="s">
        <v>3860</v>
      </c>
      <c r="D525" s="436" t="s">
        <v>4377</v>
      </c>
      <c r="E525" s="436"/>
      <c r="F525" s="436"/>
      <c r="G525" s="436"/>
      <c r="H525" s="436"/>
      <c r="I525" s="436"/>
      <c r="J525" s="436"/>
      <c r="K525" s="436"/>
      <c r="L525" s="436"/>
      <c r="M525" s="436"/>
      <c r="N525" s="436"/>
      <c r="O525" s="436"/>
      <c r="P525" s="436"/>
      <c r="Q525" s="436"/>
      <c r="R525" s="436"/>
      <c r="S525" s="436"/>
      <c r="T525" s="436"/>
      <c r="U525" s="436"/>
      <c r="V525" s="436"/>
      <c r="W525" s="436"/>
      <c r="X525" s="436"/>
      <c r="Y525" s="436"/>
      <c r="Z525" s="436"/>
    </row>
    <row r="526" ht="15.75" customHeight="1">
      <c r="A526" s="436">
        <v>527.0</v>
      </c>
      <c r="B526" s="436" t="s">
        <v>3264</v>
      </c>
      <c r="C526" s="436" t="s">
        <v>3860</v>
      </c>
      <c r="D526" s="436" t="s">
        <v>4378</v>
      </c>
      <c r="E526" s="436"/>
      <c r="F526" s="436"/>
      <c r="G526" s="436"/>
      <c r="H526" s="436"/>
      <c r="I526" s="436"/>
      <c r="J526" s="436"/>
      <c r="K526" s="436"/>
      <c r="L526" s="436"/>
      <c r="M526" s="436"/>
      <c r="N526" s="436"/>
      <c r="O526" s="436"/>
      <c r="P526" s="436"/>
      <c r="Q526" s="436"/>
      <c r="R526" s="436"/>
      <c r="S526" s="436"/>
      <c r="T526" s="436"/>
      <c r="U526" s="436"/>
      <c r="V526" s="436"/>
      <c r="W526" s="436"/>
      <c r="X526" s="436"/>
      <c r="Y526" s="436"/>
      <c r="Z526" s="436"/>
    </row>
    <row r="527" ht="15.75" customHeight="1">
      <c r="A527" s="436">
        <v>528.0</v>
      </c>
      <c r="B527" s="436" t="s">
        <v>3264</v>
      </c>
      <c r="C527" s="436" t="s">
        <v>3860</v>
      </c>
      <c r="D527" s="436" t="s">
        <v>4379</v>
      </c>
      <c r="E527" s="436"/>
      <c r="F527" s="436"/>
      <c r="G527" s="436"/>
      <c r="H527" s="436"/>
      <c r="I527" s="436"/>
      <c r="J527" s="436"/>
      <c r="K527" s="436"/>
      <c r="L527" s="436"/>
      <c r="M527" s="436"/>
      <c r="N527" s="436"/>
      <c r="O527" s="436"/>
      <c r="P527" s="436"/>
      <c r="Q527" s="436"/>
      <c r="R527" s="436"/>
      <c r="S527" s="436"/>
      <c r="T527" s="436"/>
      <c r="U527" s="436"/>
      <c r="V527" s="436"/>
      <c r="W527" s="436"/>
      <c r="X527" s="436"/>
      <c r="Y527" s="436"/>
      <c r="Z527" s="436"/>
    </row>
    <row r="528" ht="15.75" customHeight="1">
      <c r="A528" s="436">
        <v>529.0</v>
      </c>
      <c r="B528" s="436" t="s">
        <v>3264</v>
      </c>
      <c r="C528" s="436" t="s">
        <v>3860</v>
      </c>
      <c r="D528" s="436" t="s">
        <v>4380</v>
      </c>
      <c r="E528" s="436"/>
      <c r="F528" s="436"/>
      <c r="G528" s="436"/>
      <c r="H528" s="436"/>
      <c r="I528" s="436"/>
      <c r="J528" s="436"/>
      <c r="K528" s="436"/>
      <c r="L528" s="436"/>
      <c r="M528" s="436"/>
      <c r="N528" s="436"/>
      <c r="O528" s="436"/>
      <c r="P528" s="436"/>
      <c r="Q528" s="436"/>
      <c r="R528" s="436"/>
      <c r="S528" s="436"/>
      <c r="T528" s="436"/>
      <c r="U528" s="436"/>
      <c r="V528" s="436"/>
      <c r="W528" s="436"/>
      <c r="X528" s="436"/>
      <c r="Y528" s="436"/>
      <c r="Z528" s="436"/>
    </row>
    <row r="529" ht="15.75" customHeight="1">
      <c r="A529" s="436">
        <v>530.0</v>
      </c>
      <c r="B529" s="436" t="s">
        <v>3264</v>
      </c>
      <c r="C529" s="436" t="s">
        <v>3860</v>
      </c>
      <c r="D529" s="436" t="s">
        <v>4381</v>
      </c>
      <c r="E529" s="436"/>
      <c r="F529" s="436"/>
      <c r="G529" s="436"/>
      <c r="H529" s="436"/>
      <c r="I529" s="436"/>
      <c r="J529" s="436"/>
      <c r="K529" s="436"/>
      <c r="L529" s="436"/>
      <c r="M529" s="436"/>
      <c r="N529" s="436"/>
      <c r="O529" s="436"/>
      <c r="P529" s="436"/>
      <c r="Q529" s="436"/>
      <c r="R529" s="436"/>
      <c r="S529" s="436"/>
      <c r="T529" s="436"/>
      <c r="U529" s="436"/>
      <c r="V529" s="436"/>
      <c r="W529" s="436"/>
      <c r="X529" s="436"/>
      <c r="Y529" s="436"/>
      <c r="Z529" s="436"/>
    </row>
    <row r="530" ht="15.75" customHeight="1">
      <c r="A530" s="436">
        <v>531.0</v>
      </c>
      <c r="B530" s="436" t="s">
        <v>3264</v>
      </c>
      <c r="C530" s="436" t="s">
        <v>3860</v>
      </c>
      <c r="D530" s="436" t="s">
        <v>4382</v>
      </c>
      <c r="E530" s="436"/>
      <c r="F530" s="436"/>
      <c r="G530" s="436"/>
      <c r="H530" s="436"/>
      <c r="I530" s="436"/>
      <c r="J530" s="436"/>
      <c r="K530" s="436"/>
      <c r="L530" s="436"/>
      <c r="M530" s="436"/>
      <c r="N530" s="436"/>
      <c r="O530" s="436"/>
      <c r="P530" s="436"/>
      <c r="Q530" s="436"/>
      <c r="R530" s="436"/>
      <c r="S530" s="436"/>
      <c r="T530" s="436"/>
      <c r="U530" s="436"/>
      <c r="V530" s="436"/>
      <c r="W530" s="436"/>
      <c r="X530" s="436"/>
      <c r="Y530" s="436"/>
      <c r="Z530" s="436"/>
    </row>
    <row r="531" ht="15.75" customHeight="1">
      <c r="A531" s="436">
        <v>532.0</v>
      </c>
      <c r="B531" s="436" t="s">
        <v>3264</v>
      </c>
      <c r="C531" s="436" t="s">
        <v>3860</v>
      </c>
      <c r="D531" s="436" t="s">
        <v>4383</v>
      </c>
      <c r="E531" s="436"/>
      <c r="F531" s="436"/>
      <c r="G531" s="436"/>
      <c r="H531" s="436"/>
      <c r="I531" s="436"/>
      <c r="J531" s="436"/>
      <c r="K531" s="436"/>
      <c r="L531" s="436"/>
      <c r="M531" s="436"/>
      <c r="N531" s="436"/>
      <c r="O531" s="436"/>
      <c r="P531" s="436"/>
      <c r="Q531" s="436"/>
      <c r="R531" s="436"/>
      <c r="S531" s="436"/>
      <c r="T531" s="436"/>
      <c r="U531" s="436"/>
      <c r="V531" s="436"/>
      <c r="W531" s="436"/>
      <c r="X531" s="436"/>
      <c r="Y531" s="436"/>
      <c r="Z531" s="436"/>
    </row>
    <row r="532" ht="15.75" customHeight="1">
      <c r="A532" s="436">
        <v>533.0</v>
      </c>
      <c r="B532" s="436" t="s">
        <v>3264</v>
      </c>
      <c r="C532" s="436" t="s">
        <v>3860</v>
      </c>
      <c r="D532" s="436" t="s">
        <v>4384</v>
      </c>
      <c r="E532" s="436"/>
      <c r="F532" s="436"/>
      <c r="G532" s="436"/>
      <c r="H532" s="436"/>
      <c r="I532" s="436"/>
      <c r="J532" s="436"/>
      <c r="K532" s="436"/>
      <c r="L532" s="436"/>
      <c r="M532" s="436"/>
      <c r="N532" s="436"/>
      <c r="O532" s="436"/>
      <c r="P532" s="436"/>
      <c r="Q532" s="436"/>
      <c r="R532" s="436"/>
      <c r="S532" s="436"/>
      <c r="T532" s="436"/>
      <c r="U532" s="436"/>
      <c r="V532" s="436"/>
      <c r="W532" s="436"/>
      <c r="X532" s="436"/>
      <c r="Y532" s="436"/>
      <c r="Z532" s="436"/>
    </row>
    <row r="533" ht="15.75" customHeight="1">
      <c r="A533" s="436">
        <v>534.0</v>
      </c>
      <c r="B533" s="436" t="s">
        <v>3264</v>
      </c>
      <c r="C533" s="436" t="s">
        <v>3860</v>
      </c>
      <c r="D533" s="563" t="s">
        <v>4385</v>
      </c>
      <c r="E533" s="436"/>
      <c r="F533" s="436"/>
      <c r="G533" s="436"/>
      <c r="H533" s="436"/>
      <c r="I533" s="436"/>
      <c r="J533" s="436"/>
      <c r="K533" s="436"/>
      <c r="L533" s="436"/>
      <c r="M533" s="436"/>
      <c r="N533" s="436"/>
      <c r="O533" s="436"/>
      <c r="P533" s="436"/>
      <c r="Q533" s="436"/>
      <c r="R533" s="436"/>
      <c r="S533" s="436"/>
      <c r="T533" s="436"/>
      <c r="U533" s="436"/>
      <c r="V533" s="436"/>
      <c r="W533" s="436"/>
      <c r="X533" s="436"/>
      <c r="Y533" s="436"/>
      <c r="Z533" s="436"/>
    </row>
    <row r="534" ht="15.75" customHeight="1">
      <c r="A534" s="436">
        <v>535.0</v>
      </c>
      <c r="B534" s="436" t="s">
        <v>3264</v>
      </c>
      <c r="C534" s="436" t="s">
        <v>3860</v>
      </c>
      <c r="D534" s="436" t="s">
        <v>4386</v>
      </c>
      <c r="E534" s="436"/>
      <c r="F534" s="436"/>
      <c r="G534" s="436"/>
      <c r="H534" s="436"/>
      <c r="I534" s="436"/>
      <c r="J534" s="436"/>
      <c r="K534" s="436"/>
      <c r="L534" s="436"/>
      <c r="M534" s="436"/>
      <c r="N534" s="436"/>
      <c r="O534" s="436"/>
      <c r="P534" s="436"/>
      <c r="Q534" s="436"/>
      <c r="R534" s="436"/>
      <c r="S534" s="436"/>
      <c r="T534" s="436"/>
      <c r="U534" s="436"/>
      <c r="V534" s="436"/>
      <c r="W534" s="436"/>
      <c r="X534" s="436"/>
      <c r="Y534" s="436"/>
      <c r="Z534" s="436"/>
    </row>
    <row r="535" ht="15.75" customHeight="1">
      <c r="A535" s="436">
        <v>536.0</v>
      </c>
      <c r="B535" s="436" t="s">
        <v>3264</v>
      </c>
      <c r="C535" s="436" t="s">
        <v>3860</v>
      </c>
      <c r="D535" s="436" t="s">
        <v>4387</v>
      </c>
      <c r="E535" s="436"/>
      <c r="F535" s="436"/>
      <c r="G535" s="436"/>
      <c r="H535" s="436"/>
      <c r="I535" s="436"/>
      <c r="J535" s="436"/>
      <c r="K535" s="436"/>
      <c r="L535" s="436"/>
      <c r="M535" s="436"/>
      <c r="N535" s="436"/>
      <c r="O535" s="436"/>
      <c r="P535" s="436"/>
      <c r="Q535" s="436"/>
      <c r="R535" s="436"/>
      <c r="S535" s="436"/>
      <c r="T535" s="436"/>
      <c r="U535" s="436"/>
      <c r="V535" s="436"/>
      <c r="W535" s="436"/>
      <c r="X535" s="436"/>
      <c r="Y535" s="436"/>
      <c r="Z535" s="436"/>
    </row>
    <row r="536" ht="15.75" customHeight="1">
      <c r="A536" s="436">
        <v>537.0</v>
      </c>
      <c r="B536" s="436" t="s">
        <v>3264</v>
      </c>
      <c r="C536" s="436" t="s">
        <v>3860</v>
      </c>
      <c r="D536" s="436" t="s">
        <v>4388</v>
      </c>
      <c r="E536" s="436"/>
      <c r="F536" s="436"/>
      <c r="G536" s="436"/>
      <c r="H536" s="436"/>
      <c r="I536" s="436"/>
      <c r="J536" s="436"/>
      <c r="K536" s="436"/>
      <c r="L536" s="436"/>
      <c r="M536" s="436"/>
      <c r="N536" s="436"/>
      <c r="O536" s="436"/>
      <c r="P536" s="436"/>
      <c r="Q536" s="436"/>
      <c r="R536" s="436"/>
      <c r="S536" s="436"/>
      <c r="T536" s="436"/>
      <c r="U536" s="436"/>
      <c r="V536" s="436"/>
      <c r="W536" s="436"/>
      <c r="X536" s="436"/>
      <c r="Y536" s="436"/>
      <c r="Z536" s="436"/>
    </row>
    <row r="537" ht="15.75" customHeight="1">
      <c r="A537" s="436">
        <v>538.0</v>
      </c>
      <c r="B537" s="436" t="s">
        <v>3264</v>
      </c>
      <c r="C537" s="436" t="s">
        <v>3860</v>
      </c>
      <c r="D537" s="564" t="s">
        <v>4389</v>
      </c>
      <c r="E537" s="436"/>
      <c r="F537" s="436"/>
      <c r="G537" s="436"/>
      <c r="H537" s="436"/>
      <c r="I537" s="436"/>
      <c r="J537" s="436"/>
      <c r="K537" s="436"/>
      <c r="L537" s="436"/>
      <c r="M537" s="436"/>
      <c r="N537" s="436"/>
      <c r="O537" s="436"/>
      <c r="P537" s="436"/>
      <c r="Q537" s="436"/>
      <c r="R537" s="436"/>
      <c r="S537" s="436"/>
      <c r="T537" s="436"/>
      <c r="U537" s="436"/>
      <c r="V537" s="436"/>
      <c r="W537" s="436"/>
      <c r="X537" s="436"/>
      <c r="Y537" s="436"/>
      <c r="Z537" s="436"/>
    </row>
    <row r="538" ht="15.75" customHeight="1">
      <c r="A538" s="436">
        <v>539.0</v>
      </c>
      <c r="B538" s="436" t="s">
        <v>3264</v>
      </c>
      <c r="C538" s="436" t="s">
        <v>3860</v>
      </c>
      <c r="D538" s="436" t="s">
        <v>4390</v>
      </c>
      <c r="E538" s="436"/>
      <c r="F538" s="436"/>
      <c r="G538" s="436"/>
      <c r="H538" s="436"/>
      <c r="I538" s="436"/>
      <c r="J538" s="436"/>
      <c r="K538" s="436"/>
      <c r="L538" s="436"/>
      <c r="M538" s="436"/>
      <c r="N538" s="436"/>
      <c r="O538" s="436"/>
      <c r="P538" s="436"/>
      <c r="Q538" s="436"/>
      <c r="R538" s="436"/>
      <c r="S538" s="436"/>
      <c r="T538" s="436"/>
      <c r="U538" s="436"/>
      <c r="V538" s="436"/>
      <c r="W538" s="436"/>
      <c r="X538" s="436"/>
      <c r="Y538" s="436"/>
      <c r="Z538" s="436"/>
    </row>
    <row r="539" ht="15.75" customHeight="1">
      <c r="A539" s="436">
        <v>540.0</v>
      </c>
      <c r="B539" s="436" t="s">
        <v>3264</v>
      </c>
      <c r="C539" s="436" t="s">
        <v>3860</v>
      </c>
      <c r="D539" s="436" t="s">
        <v>4391</v>
      </c>
      <c r="E539" s="436"/>
      <c r="F539" s="436"/>
      <c r="G539" s="436"/>
      <c r="H539" s="436"/>
      <c r="I539" s="436"/>
      <c r="J539" s="436"/>
      <c r="K539" s="436"/>
      <c r="L539" s="436"/>
      <c r="M539" s="436"/>
      <c r="N539" s="436"/>
      <c r="O539" s="436"/>
      <c r="P539" s="436"/>
      <c r="Q539" s="436"/>
      <c r="R539" s="436"/>
      <c r="S539" s="436"/>
      <c r="T539" s="436"/>
      <c r="U539" s="436"/>
      <c r="V539" s="436"/>
      <c r="W539" s="436"/>
      <c r="X539" s="436"/>
      <c r="Y539" s="436"/>
      <c r="Z539" s="436"/>
    </row>
    <row r="540" ht="15.75" customHeight="1">
      <c r="A540" s="436">
        <v>541.0</v>
      </c>
      <c r="B540" s="436" t="s">
        <v>3264</v>
      </c>
      <c r="C540" s="436" t="s">
        <v>3860</v>
      </c>
      <c r="D540" s="436" t="s">
        <v>4392</v>
      </c>
      <c r="E540" s="436"/>
      <c r="F540" s="436"/>
      <c r="G540" s="436"/>
      <c r="H540" s="436"/>
      <c r="I540" s="436"/>
      <c r="J540" s="436"/>
      <c r="K540" s="436"/>
      <c r="L540" s="436"/>
      <c r="M540" s="436"/>
      <c r="N540" s="436"/>
      <c r="O540" s="436"/>
      <c r="P540" s="436"/>
      <c r="Q540" s="436"/>
      <c r="R540" s="436"/>
      <c r="S540" s="436"/>
      <c r="T540" s="436"/>
      <c r="U540" s="436"/>
      <c r="V540" s="436"/>
      <c r="W540" s="436"/>
      <c r="X540" s="436"/>
      <c r="Y540" s="436"/>
      <c r="Z540" s="436"/>
    </row>
    <row r="541" ht="15.75" customHeight="1">
      <c r="A541" s="436">
        <v>542.0</v>
      </c>
      <c r="B541" s="436" t="s">
        <v>3264</v>
      </c>
      <c r="C541" s="436" t="s">
        <v>3860</v>
      </c>
      <c r="D541" s="436" t="s">
        <v>4393</v>
      </c>
      <c r="E541" s="436"/>
      <c r="F541" s="436"/>
      <c r="G541" s="436"/>
      <c r="H541" s="436"/>
      <c r="I541" s="436"/>
      <c r="J541" s="436"/>
      <c r="K541" s="436"/>
      <c r="L541" s="436"/>
      <c r="M541" s="436"/>
      <c r="N541" s="436"/>
      <c r="O541" s="436"/>
      <c r="P541" s="436"/>
      <c r="Q541" s="436"/>
      <c r="R541" s="436"/>
      <c r="S541" s="436"/>
      <c r="T541" s="436"/>
      <c r="U541" s="436"/>
      <c r="V541" s="436"/>
      <c r="W541" s="436"/>
      <c r="X541" s="436"/>
      <c r="Y541" s="436"/>
      <c r="Z541" s="436"/>
    </row>
    <row r="542" ht="15.75" customHeight="1">
      <c r="A542" s="436">
        <v>543.0</v>
      </c>
      <c r="B542" s="436" t="s">
        <v>3264</v>
      </c>
      <c r="C542" s="436" t="s">
        <v>3860</v>
      </c>
      <c r="D542" s="436" t="s">
        <v>4394</v>
      </c>
      <c r="E542" s="436"/>
      <c r="F542" s="436"/>
      <c r="G542" s="436"/>
      <c r="H542" s="436"/>
      <c r="I542" s="436"/>
      <c r="J542" s="436"/>
      <c r="K542" s="436"/>
      <c r="L542" s="436"/>
      <c r="M542" s="436"/>
      <c r="N542" s="436"/>
      <c r="O542" s="436"/>
      <c r="P542" s="436"/>
      <c r="Q542" s="436"/>
      <c r="R542" s="436"/>
      <c r="S542" s="436"/>
      <c r="T542" s="436"/>
      <c r="U542" s="436"/>
      <c r="V542" s="436"/>
      <c r="W542" s="436"/>
      <c r="X542" s="436"/>
      <c r="Y542" s="436"/>
      <c r="Z542" s="436"/>
    </row>
    <row r="543" ht="15.75" customHeight="1">
      <c r="A543" s="436">
        <v>544.0</v>
      </c>
      <c r="B543" s="436" t="s">
        <v>3264</v>
      </c>
      <c r="C543" s="436" t="s">
        <v>3860</v>
      </c>
      <c r="D543" s="436" t="s">
        <v>4395</v>
      </c>
      <c r="E543" s="436"/>
      <c r="F543" s="436"/>
      <c r="G543" s="436"/>
      <c r="H543" s="436"/>
      <c r="I543" s="436"/>
      <c r="J543" s="436"/>
      <c r="K543" s="436"/>
      <c r="L543" s="436"/>
      <c r="M543" s="436"/>
      <c r="N543" s="436"/>
      <c r="O543" s="436"/>
      <c r="P543" s="436"/>
      <c r="Q543" s="436"/>
      <c r="R543" s="436"/>
      <c r="S543" s="436"/>
      <c r="T543" s="436"/>
      <c r="U543" s="436"/>
      <c r="V543" s="436"/>
      <c r="W543" s="436"/>
      <c r="X543" s="436"/>
      <c r="Y543" s="436"/>
      <c r="Z543" s="436"/>
    </row>
    <row r="544" ht="15.75" customHeight="1">
      <c r="A544" s="436">
        <v>545.0</v>
      </c>
      <c r="B544" s="436" t="s">
        <v>3264</v>
      </c>
      <c r="C544" s="436" t="s">
        <v>3860</v>
      </c>
      <c r="D544" s="436" t="s">
        <v>4396</v>
      </c>
      <c r="E544" s="436"/>
      <c r="F544" s="436"/>
      <c r="G544" s="436"/>
      <c r="H544" s="436"/>
      <c r="I544" s="436"/>
      <c r="J544" s="436"/>
      <c r="K544" s="436"/>
      <c r="L544" s="436"/>
      <c r="M544" s="436"/>
      <c r="N544" s="436"/>
      <c r="O544" s="436"/>
      <c r="P544" s="436"/>
      <c r="Q544" s="436"/>
      <c r="R544" s="436"/>
      <c r="S544" s="436"/>
      <c r="T544" s="436"/>
      <c r="U544" s="436"/>
      <c r="V544" s="436"/>
      <c r="W544" s="436"/>
      <c r="X544" s="436"/>
      <c r="Y544" s="436"/>
      <c r="Z544" s="436"/>
    </row>
    <row r="545" ht="15.75" customHeight="1">
      <c r="A545" s="436">
        <v>546.0</v>
      </c>
      <c r="B545" s="436" t="s">
        <v>3264</v>
      </c>
      <c r="C545" s="436" t="s">
        <v>3860</v>
      </c>
      <c r="D545" s="436" t="s">
        <v>4397</v>
      </c>
      <c r="E545" s="436"/>
      <c r="F545" s="436"/>
      <c r="G545" s="436"/>
      <c r="H545" s="436"/>
      <c r="I545" s="436"/>
      <c r="J545" s="436"/>
      <c r="K545" s="436"/>
      <c r="L545" s="436"/>
      <c r="M545" s="436"/>
      <c r="N545" s="436"/>
      <c r="O545" s="436"/>
      <c r="P545" s="436"/>
      <c r="Q545" s="436"/>
      <c r="R545" s="436"/>
      <c r="S545" s="436"/>
      <c r="T545" s="436"/>
      <c r="U545" s="436"/>
      <c r="V545" s="436"/>
      <c r="W545" s="436"/>
      <c r="X545" s="436"/>
      <c r="Y545" s="436"/>
      <c r="Z545" s="436"/>
    </row>
    <row r="546" ht="15.75" customHeight="1">
      <c r="A546" s="436">
        <v>547.0</v>
      </c>
      <c r="B546" s="436" t="s">
        <v>3264</v>
      </c>
      <c r="C546" s="436" t="s">
        <v>3860</v>
      </c>
      <c r="D546" s="436" t="s">
        <v>4398</v>
      </c>
      <c r="E546" s="436"/>
      <c r="F546" s="436"/>
      <c r="G546" s="436"/>
      <c r="H546" s="436"/>
      <c r="I546" s="436"/>
      <c r="J546" s="436"/>
      <c r="K546" s="436"/>
      <c r="L546" s="436"/>
      <c r="M546" s="436"/>
      <c r="N546" s="436"/>
      <c r="O546" s="436"/>
      <c r="P546" s="436"/>
      <c r="Q546" s="436"/>
      <c r="R546" s="436"/>
      <c r="S546" s="436"/>
      <c r="T546" s="436"/>
      <c r="U546" s="436"/>
      <c r="V546" s="436"/>
      <c r="W546" s="436"/>
      <c r="X546" s="436"/>
      <c r="Y546" s="436"/>
      <c r="Z546" s="436"/>
    </row>
    <row r="547" ht="15.75" customHeight="1">
      <c r="A547" s="436">
        <v>548.0</v>
      </c>
      <c r="B547" s="436" t="s">
        <v>3241</v>
      </c>
      <c r="C547" s="436" t="s">
        <v>3860</v>
      </c>
      <c r="D547" s="436" t="s">
        <v>4399</v>
      </c>
      <c r="E547" s="436"/>
      <c r="F547" s="436"/>
      <c r="G547" s="436"/>
      <c r="H547" s="436"/>
      <c r="I547" s="436"/>
      <c r="J547" s="436"/>
      <c r="K547" s="436"/>
      <c r="L547" s="436"/>
      <c r="M547" s="436"/>
      <c r="N547" s="436"/>
      <c r="O547" s="436"/>
      <c r="P547" s="436"/>
      <c r="Q547" s="436"/>
      <c r="R547" s="436"/>
      <c r="S547" s="436"/>
      <c r="T547" s="436"/>
      <c r="U547" s="436"/>
      <c r="V547" s="436"/>
      <c r="W547" s="436"/>
      <c r="X547" s="436"/>
      <c r="Y547" s="436"/>
      <c r="Z547" s="436"/>
    </row>
    <row r="548" ht="15.75" customHeight="1">
      <c r="A548" s="436">
        <v>549.0</v>
      </c>
      <c r="B548" s="436" t="s">
        <v>3241</v>
      </c>
      <c r="C548" s="436" t="s">
        <v>3860</v>
      </c>
      <c r="D548" s="436" t="s">
        <v>4400</v>
      </c>
      <c r="E548" s="436"/>
      <c r="F548" s="436"/>
      <c r="G548" s="436"/>
      <c r="H548" s="436"/>
      <c r="I548" s="436"/>
      <c r="J548" s="436"/>
      <c r="K548" s="436"/>
      <c r="L548" s="436"/>
      <c r="M548" s="436"/>
      <c r="N548" s="436"/>
      <c r="O548" s="436"/>
      <c r="P548" s="436"/>
      <c r="Q548" s="436"/>
      <c r="R548" s="436"/>
      <c r="S548" s="436"/>
      <c r="T548" s="436"/>
      <c r="U548" s="436"/>
      <c r="V548" s="436"/>
      <c r="W548" s="436"/>
      <c r="X548" s="436"/>
      <c r="Y548" s="436"/>
      <c r="Z548" s="436"/>
    </row>
    <row r="549" ht="15.75" customHeight="1">
      <c r="A549" s="436">
        <v>550.0</v>
      </c>
      <c r="B549" s="436" t="s">
        <v>3209</v>
      </c>
      <c r="C549" s="436" t="s">
        <v>3860</v>
      </c>
      <c r="D549" s="562" t="s">
        <v>4401</v>
      </c>
      <c r="E549" s="436"/>
      <c r="F549" s="436"/>
      <c r="G549" s="436"/>
      <c r="H549" s="436"/>
      <c r="I549" s="436"/>
      <c r="J549" s="436"/>
      <c r="K549" s="436"/>
      <c r="L549" s="436"/>
      <c r="M549" s="436"/>
      <c r="N549" s="436"/>
      <c r="O549" s="436"/>
      <c r="P549" s="436"/>
      <c r="Q549" s="436"/>
      <c r="R549" s="436"/>
      <c r="S549" s="436"/>
      <c r="T549" s="436"/>
      <c r="U549" s="436"/>
      <c r="V549" s="436"/>
      <c r="W549" s="436"/>
      <c r="X549" s="436"/>
      <c r="Y549" s="436"/>
      <c r="Z549" s="436"/>
    </row>
    <row r="550" ht="15.75" customHeight="1">
      <c r="A550" s="436">
        <v>551.0</v>
      </c>
      <c r="B550" s="436" t="s">
        <v>3241</v>
      </c>
      <c r="C550" s="436" t="s">
        <v>3860</v>
      </c>
      <c r="D550" s="436" t="s">
        <v>4402</v>
      </c>
      <c r="E550" s="436"/>
      <c r="F550" s="436"/>
      <c r="G550" s="436"/>
      <c r="H550" s="436"/>
      <c r="I550" s="436"/>
      <c r="J550" s="436"/>
      <c r="K550" s="436"/>
      <c r="L550" s="436"/>
      <c r="M550" s="436"/>
      <c r="N550" s="436"/>
      <c r="O550" s="436"/>
      <c r="P550" s="436"/>
      <c r="Q550" s="436"/>
      <c r="R550" s="436"/>
      <c r="S550" s="436"/>
      <c r="T550" s="436"/>
      <c r="U550" s="436"/>
      <c r="V550" s="436"/>
      <c r="W550" s="436"/>
      <c r="X550" s="436"/>
      <c r="Y550" s="436"/>
      <c r="Z550" s="436"/>
    </row>
    <row r="551" ht="15.75" customHeight="1">
      <c r="A551" s="436">
        <v>552.0</v>
      </c>
      <c r="B551" s="436" t="s">
        <v>3209</v>
      </c>
      <c r="C551" s="436" t="s">
        <v>3860</v>
      </c>
      <c r="D551" s="436" t="s">
        <v>4403</v>
      </c>
      <c r="E551" s="436"/>
      <c r="F551" s="436"/>
      <c r="G551" s="436"/>
      <c r="H551" s="436"/>
      <c r="I551" s="436"/>
      <c r="J551" s="436"/>
      <c r="K551" s="436"/>
      <c r="L551" s="436"/>
      <c r="M551" s="436"/>
      <c r="N551" s="436"/>
      <c r="O551" s="436"/>
      <c r="P551" s="436"/>
      <c r="Q551" s="436"/>
      <c r="R551" s="436"/>
      <c r="S551" s="436"/>
      <c r="T551" s="436"/>
      <c r="U551" s="436"/>
      <c r="V551" s="436"/>
      <c r="W551" s="436"/>
      <c r="X551" s="436"/>
      <c r="Y551" s="436"/>
      <c r="Z551" s="436"/>
    </row>
    <row r="552" ht="15.75" customHeight="1">
      <c r="A552" s="436">
        <v>553.0</v>
      </c>
      <c r="B552" s="436" t="s">
        <v>3241</v>
      </c>
      <c r="C552" s="436" t="s">
        <v>3860</v>
      </c>
      <c r="D552" s="436" t="s">
        <v>4404</v>
      </c>
      <c r="E552" s="436"/>
      <c r="F552" s="436"/>
      <c r="G552" s="436"/>
      <c r="H552" s="436"/>
      <c r="I552" s="436"/>
      <c r="J552" s="436"/>
      <c r="K552" s="436"/>
      <c r="L552" s="436"/>
      <c r="M552" s="436"/>
      <c r="N552" s="436"/>
      <c r="O552" s="436"/>
      <c r="P552" s="436"/>
      <c r="Q552" s="436"/>
      <c r="R552" s="436"/>
      <c r="S552" s="436"/>
      <c r="T552" s="436"/>
      <c r="U552" s="436"/>
      <c r="V552" s="436"/>
      <c r="W552" s="436"/>
      <c r="X552" s="436"/>
      <c r="Y552" s="436"/>
      <c r="Z552" s="436"/>
    </row>
    <row r="553" ht="15.75" customHeight="1">
      <c r="A553" s="436">
        <v>554.0</v>
      </c>
      <c r="B553" s="436" t="s">
        <v>3241</v>
      </c>
      <c r="C553" s="436" t="s">
        <v>3860</v>
      </c>
      <c r="D553" s="436" t="s">
        <v>4405</v>
      </c>
      <c r="E553" s="436"/>
      <c r="F553" s="436"/>
      <c r="G553" s="436"/>
      <c r="H553" s="436"/>
      <c r="I553" s="436"/>
      <c r="J553" s="436"/>
      <c r="K553" s="436"/>
      <c r="L553" s="436"/>
      <c r="M553" s="436"/>
      <c r="N553" s="436"/>
      <c r="O553" s="436"/>
      <c r="P553" s="436"/>
      <c r="Q553" s="436"/>
      <c r="R553" s="436"/>
      <c r="S553" s="436"/>
      <c r="T553" s="436"/>
      <c r="U553" s="436"/>
      <c r="V553" s="436"/>
      <c r="W553" s="436"/>
      <c r="X553" s="436"/>
      <c r="Y553" s="436"/>
      <c r="Z553" s="436"/>
    </row>
    <row r="554" ht="15.75" customHeight="1">
      <c r="A554" s="436">
        <v>556.0</v>
      </c>
      <c r="B554" s="436" t="s">
        <v>3241</v>
      </c>
      <c r="C554" s="436" t="s">
        <v>3860</v>
      </c>
      <c r="D554" s="436" t="s">
        <v>4406</v>
      </c>
      <c r="E554" s="436"/>
      <c r="F554" s="436"/>
      <c r="G554" s="436"/>
      <c r="H554" s="436"/>
      <c r="I554" s="436"/>
      <c r="J554" s="436"/>
      <c r="K554" s="436"/>
      <c r="L554" s="436"/>
      <c r="M554" s="436"/>
      <c r="N554" s="436"/>
      <c r="O554" s="436"/>
      <c r="P554" s="436"/>
      <c r="Q554" s="436"/>
      <c r="R554" s="436"/>
      <c r="S554" s="436"/>
      <c r="T554" s="436"/>
      <c r="U554" s="436"/>
      <c r="V554" s="436"/>
      <c r="W554" s="436"/>
      <c r="X554" s="436"/>
      <c r="Y554" s="436"/>
      <c r="Z554" s="436"/>
    </row>
    <row r="555" ht="15.75" customHeight="1">
      <c r="A555" s="436">
        <v>557.0</v>
      </c>
      <c r="B555" s="436" t="s">
        <v>3241</v>
      </c>
      <c r="C555" s="436" t="s">
        <v>3860</v>
      </c>
      <c r="D555" s="436" t="s">
        <v>4407</v>
      </c>
      <c r="E555" s="436"/>
      <c r="F555" s="436"/>
      <c r="G555" s="436"/>
      <c r="H555" s="436"/>
      <c r="I555" s="436"/>
      <c r="J555" s="436"/>
      <c r="K555" s="436"/>
      <c r="L555" s="436"/>
      <c r="M555" s="436"/>
      <c r="N555" s="436"/>
      <c r="O555" s="436"/>
      <c r="P555" s="436"/>
      <c r="Q555" s="436"/>
      <c r="R555" s="436"/>
      <c r="S555" s="436"/>
      <c r="T555" s="436"/>
      <c r="U555" s="436"/>
      <c r="V555" s="436"/>
      <c r="W555" s="436"/>
      <c r="X555" s="436"/>
      <c r="Y555" s="436"/>
      <c r="Z555" s="436"/>
    </row>
    <row r="556" ht="15.75" customHeight="1">
      <c r="A556" s="436">
        <v>558.0</v>
      </c>
      <c r="B556" s="436" t="s">
        <v>3241</v>
      </c>
      <c r="C556" s="436" t="s">
        <v>3860</v>
      </c>
      <c r="D556" s="436" t="s">
        <v>4408</v>
      </c>
      <c r="E556" s="436"/>
      <c r="F556" s="436"/>
      <c r="G556" s="436"/>
      <c r="H556" s="436"/>
      <c r="I556" s="436"/>
      <c r="J556" s="436"/>
      <c r="K556" s="436"/>
      <c r="L556" s="436"/>
      <c r="M556" s="436"/>
      <c r="N556" s="436"/>
      <c r="O556" s="436"/>
      <c r="P556" s="436"/>
      <c r="Q556" s="436"/>
      <c r="R556" s="436"/>
      <c r="S556" s="436"/>
      <c r="T556" s="436"/>
      <c r="U556" s="436"/>
      <c r="V556" s="436"/>
      <c r="W556" s="436"/>
      <c r="X556" s="436"/>
      <c r="Y556" s="436"/>
      <c r="Z556" s="436"/>
    </row>
    <row r="557" ht="15.75" customHeight="1">
      <c r="A557" s="436">
        <v>559.0</v>
      </c>
      <c r="B557" s="436" t="s">
        <v>3241</v>
      </c>
      <c r="C557" s="436" t="s">
        <v>3860</v>
      </c>
      <c r="D557" s="436" t="s">
        <v>4409</v>
      </c>
      <c r="E557" s="436"/>
      <c r="F557" s="436"/>
      <c r="G557" s="436"/>
      <c r="H557" s="436"/>
      <c r="I557" s="436"/>
      <c r="J557" s="436"/>
      <c r="K557" s="436"/>
      <c r="L557" s="436"/>
      <c r="M557" s="436"/>
      <c r="N557" s="436"/>
      <c r="O557" s="436"/>
      <c r="P557" s="436"/>
      <c r="Q557" s="436"/>
      <c r="R557" s="436"/>
      <c r="S557" s="436"/>
      <c r="T557" s="436"/>
      <c r="U557" s="436"/>
      <c r="V557" s="436"/>
      <c r="W557" s="436"/>
      <c r="X557" s="436"/>
      <c r="Y557" s="436"/>
      <c r="Z557" s="436"/>
    </row>
    <row r="558" ht="15.75" customHeight="1">
      <c r="A558" s="436">
        <v>560.0</v>
      </c>
      <c r="B558" s="436" t="s">
        <v>3241</v>
      </c>
      <c r="C558" s="436" t="s">
        <v>3860</v>
      </c>
      <c r="D558" s="436" t="s">
        <v>4410</v>
      </c>
      <c r="E558" s="436"/>
      <c r="F558" s="436"/>
      <c r="G558" s="436"/>
      <c r="H558" s="436"/>
      <c r="I558" s="436"/>
      <c r="J558" s="436"/>
      <c r="K558" s="436"/>
      <c r="L558" s="436"/>
      <c r="M558" s="436"/>
      <c r="N558" s="436"/>
      <c r="O558" s="436"/>
      <c r="P558" s="436"/>
      <c r="Q558" s="436"/>
      <c r="R558" s="436"/>
      <c r="S558" s="436"/>
      <c r="T558" s="436"/>
      <c r="U558" s="436"/>
      <c r="V558" s="436"/>
      <c r="W558" s="436"/>
      <c r="X558" s="436"/>
      <c r="Y558" s="436"/>
      <c r="Z558" s="436"/>
    </row>
    <row r="559" ht="15.75" customHeight="1">
      <c r="A559" s="436">
        <v>561.0</v>
      </c>
      <c r="B559" s="436" t="s">
        <v>3241</v>
      </c>
      <c r="C559" s="436" t="s">
        <v>3860</v>
      </c>
      <c r="D559" s="436" t="s">
        <v>4411</v>
      </c>
      <c r="E559" s="436"/>
      <c r="F559" s="436"/>
      <c r="G559" s="436"/>
      <c r="H559" s="436"/>
      <c r="I559" s="436"/>
      <c r="J559" s="436"/>
      <c r="K559" s="436"/>
      <c r="L559" s="436"/>
      <c r="M559" s="436"/>
      <c r="N559" s="436"/>
      <c r="O559" s="436"/>
      <c r="P559" s="436"/>
      <c r="Q559" s="436"/>
      <c r="R559" s="436"/>
      <c r="S559" s="436"/>
      <c r="T559" s="436"/>
      <c r="U559" s="436"/>
      <c r="V559" s="436"/>
      <c r="W559" s="436"/>
      <c r="X559" s="436"/>
      <c r="Y559" s="436"/>
      <c r="Z559" s="436"/>
    </row>
    <row r="560" ht="15.75" customHeight="1">
      <c r="A560" s="436">
        <v>562.0</v>
      </c>
      <c r="B560" s="436" t="s">
        <v>3241</v>
      </c>
      <c r="C560" s="436" t="s">
        <v>3860</v>
      </c>
      <c r="D560" s="436" t="s">
        <v>4412</v>
      </c>
      <c r="E560" s="436"/>
      <c r="F560" s="436"/>
      <c r="G560" s="436"/>
      <c r="H560" s="436"/>
      <c r="I560" s="436"/>
      <c r="J560" s="436"/>
      <c r="K560" s="436"/>
      <c r="L560" s="436"/>
      <c r="M560" s="436"/>
      <c r="N560" s="436"/>
      <c r="O560" s="436"/>
      <c r="P560" s="436"/>
      <c r="Q560" s="436"/>
      <c r="R560" s="436"/>
      <c r="S560" s="436"/>
      <c r="T560" s="436"/>
      <c r="U560" s="436"/>
      <c r="V560" s="436"/>
      <c r="W560" s="436"/>
      <c r="X560" s="436"/>
      <c r="Y560" s="436"/>
      <c r="Z560" s="436"/>
    </row>
    <row r="561" ht="15.75" customHeight="1">
      <c r="A561" s="436">
        <v>563.0</v>
      </c>
      <c r="B561" s="436" t="s">
        <v>3241</v>
      </c>
      <c r="C561" s="436" t="s">
        <v>3860</v>
      </c>
      <c r="D561" s="436" t="s">
        <v>4413</v>
      </c>
      <c r="E561" s="436"/>
      <c r="F561" s="436"/>
      <c r="G561" s="436"/>
      <c r="H561" s="436"/>
      <c r="I561" s="436"/>
      <c r="J561" s="436"/>
      <c r="K561" s="436"/>
      <c r="L561" s="436"/>
      <c r="M561" s="436"/>
      <c r="N561" s="436"/>
      <c r="O561" s="436"/>
      <c r="P561" s="436"/>
      <c r="Q561" s="436"/>
      <c r="R561" s="436"/>
      <c r="S561" s="436"/>
      <c r="T561" s="436"/>
      <c r="U561" s="436"/>
      <c r="V561" s="436"/>
      <c r="W561" s="436"/>
      <c r="X561" s="436"/>
      <c r="Y561" s="436"/>
      <c r="Z561" s="436"/>
    </row>
    <row r="562" ht="15.75" customHeight="1">
      <c r="A562" s="436">
        <v>564.0</v>
      </c>
      <c r="B562" s="436" t="s">
        <v>3241</v>
      </c>
      <c r="C562" s="436" t="s">
        <v>3860</v>
      </c>
      <c r="D562" s="436" t="s">
        <v>4414</v>
      </c>
      <c r="E562" s="436"/>
      <c r="F562" s="436"/>
      <c r="G562" s="436"/>
      <c r="H562" s="436"/>
      <c r="I562" s="436"/>
      <c r="J562" s="436"/>
      <c r="K562" s="436"/>
      <c r="L562" s="436"/>
      <c r="M562" s="436"/>
      <c r="N562" s="436"/>
      <c r="O562" s="436"/>
      <c r="P562" s="436"/>
      <c r="Q562" s="436"/>
      <c r="R562" s="436"/>
      <c r="S562" s="436"/>
      <c r="T562" s="436"/>
      <c r="U562" s="436"/>
      <c r="V562" s="436"/>
      <c r="W562" s="436"/>
      <c r="X562" s="436"/>
      <c r="Y562" s="436"/>
      <c r="Z562" s="436"/>
    </row>
    <row r="563" ht="15.75" customHeight="1">
      <c r="A563" s="436">
        <v>565.0</v>
      </c>
      <c r="B563" s="436" t="s">
        <v>3303</v>
      </c>
      <c r="C563" s="436" t="s">
        <v>3860</v>
      </c>
      <c r="D563" s="436" t="s">
        <v>4415</v>
      </c>
      <c r="E563" s="436"/>
      <c r="F563" s="436"/>
      <c r="G563" s="436"/>
      <c r="H563" s="436"/>
      <c r="I563" s="436"/>
      <c r="J563" s="436"/>
      <c r="K563" s="436"/>
      <c r="L563" s="436"/>
      <c r="M563" s="436"/>
      <c r="N563" s="436"/>
      <c r="O563" s="436"/>
      <c r="P563" s="436"/>
      <c r="Q563" s="436"/>
      <c r="R563" s="436"/>
      <c r="S563" s="436"/>
      <c r="T563" s="436"/>
      <c r="U563" s="436"/>
      <c r="V563" s="436"/>
      <c r="W563" s="436"/>
      <c r="X563" s="436"/>
      <c r="Y563" s="436"/>
      <c r="Z563" s="436"/>
    </row>
    <row r="564" ht="15.75" customHeight="1">
      <c r="A564" s="436">
        <v>566.0</v>
      </c>
      <c r="B564" s="436" t="s">
        <v>3303</v>
      </c>
      <c r="C564" s="436" t="s">
        <v>3860</v>
      </c>
      <c r="D564" s="436" t="s">
        <v>4416</v>
      </c>
      <c r="E564" s="436"/>
      <c r="F564" s="436"/>
      <c r="G564" s="436"/>
      <c r="H564" s="436"/>
      <c r="I564" s="436"/>
      <c r="J564" s="436"/>
      <c r="K564" s="436"/>
      <c r="L564" s="436"/>
      <c r="M564" s="436"/>
      <c r="N564" s="436"/>
      <c r="O564" s="436"/>
      <c r="P564" s="436"/>
      <c r="Q564" s="436"/>
      <c r="R564" s="436"/>
      <c r="S564" s="436"/>
      <c r="T564" s="436"/>
      <c r="U564" s="436"/>
      <c r="V564" s="436"/>
      <c r="W564" s="436"/>
      <c r="X564" s="436"/>
      <c r="Y564" s="436"/>
      <c r="Z564" s="436"/>
    </row>
    <row r="565" ht="15.75" customHeight="1">
      <c r="A565" s="436">
        <v>567.0</v>
      </c>
      <c r="B565" s="436" t="s">
        <v>3308</v>
      </c>
      <c r="C565" s="436" t="s">
        <v>3860</v>
      </c>
      <c r="D565" s="436" t="s">
        <v>4417</v>
      </c>
      <c r="E565" s="436"/>
      <c r="F565" s="436"/>
      <c r="G565" s="436"/>
      <c r="H565" s="436"/>
      <c r="I565" s="436"/>
      <c r="J565" s="436"/>
      <c r="K565" s="436"/>
      <c r="L565" s="436"/>
      <c r="M565" s="436"/>
      <c r="N565" s="436"/>
      <c r="O565" s="436"/>
      <c r="P565" s="436"/>
      <c r="Q565" s="436"/>
      <c r="R565" s="436"/>
      <c r="S565" s="436"/>
      <c r="T565" s="436"/>
      <c r="U565" s="436"/>
      <c r="V565" s="436"/>
      <c r="W565" s="436"/>
      <c r="X565" s="436"/>
      <c r="Y565" s="436"/>
      <c r="Z565" s="436"/>
    </row>
    <row r="566" ht="15.75" customHeight="1">
      <c r="A566" s="436">
        <v>568.0</v>
      </c>
      <c r="B566" s="436" t="s">
        <v>3308</v>
      </c>
      <c r="C566" s="436" t="s">
        <v>3860</v>
      </c>
      <c r="D566" s="565" t="s">
        <v>4418</v>
      </c>
      <c r="E566" s="436"/>
      <c r="F566" s="436"/>
      <c r="G566" s="436"/>
      <c r="H566" s="436"/>
      <c r="I566" s="436"/>
      <c r="J566" s="436"/>
      <c r="K566" s="436"/>
      <c r="L566" s="436"/>
      <c r="M566" s="436"/>
      <c r="N566" s="436"/>
      <c r="O566" s="436"/>
      <c r="P566" s="436"/>
      <c r="Q566" s="436"/>
      <c r="R566" s="436"/>
      <c r="S566" s="436"/>
      <c r="T566" s="436"/>
      <c r="U566" s="436"/>
      <c r="V566" s="436"/>
      <c r="W566" s="436"/>
      <c r="X566" s="436"/>
      <c r="Y566" s="436"/>
      <c r="Z566" s="436"/>
    </row>
    <row r="567" ht="15.75" customHeight="1">
      <c r="A567" s="436">
        <v>569.0</v>
      </c>
      <c r="B567" s="436" t="s">
        <v>3209</v>
      </c>
      <c r="C567" s="436" t="s">
        <v>3860</v>
      </c>
      <c r="D567" s="436" t="s">
        <v>4419</v>
      </c>
      <c r="E567" s="436"/>
      <c r="F567" s="436"/>
      <c r="G567" s="436"/>
      <c r="H567" s="436"/>
      <c r="I567" s="436"/>
      <c r="J567" s="436"/>
      <c r="K567" s="436"/>
      <c r="L567" s="436"/>
      <c r="M567" s="436"/>
      <c r="N567" s="436"/>
      <c r="O567" s="436"/>
      <c r="P567" s="436"/>
      <c r="Q567" s="436"/>
      <c r="R567" s="436"/>
      <c r="S567" s="436"/>
      <c r="T567" s="436"/>
      <c r="U567" s="436"/>
      <c r="V567" s="436"/>
      <c r="W567" s="436"/>
      <c r="X567" s="436"/>
      <c r="Y567" s="436"/>
      <c r="Z567" s="436"/>
    </row>
    <row r="568" ht="15.75" customHeight="1">
      <c r="A568" s="436">
        <v>570.0</v>
      </c>
      <c r="B568" s="436" t="s">
        <v>3241</v>
      </c>
      <c r="C568" s="436" t="s">
        <v>3860</v>
      </c>
      <c r="D568" s="436" t="s">
        <v>4420</v>
      </c>
      <c r="E568" s="436"/>
      <c r="F568" s="436"/>
      <c r="G568" s="436"/>
      <c r="H568" s="436"/>
      <c r="I568" s="436"/>
      <c r="J568" s="436"/>
      <c r="K568" s="436"/>
      <c r="L568" s="436"/>
      <c r="M568" s="436"/>
      <c r="N568" s="436"/>
      <c r="O568" s="436"/>
      <c r="P568" s="436"/>
      <c r="Q568" s="436"/>
      <c r="R568" s="436"/>
      <c r="S568" s="436"/>
      <c r="T568" s="436"/>
      <c r="U568" s="436"/>
      <c r="V568" s="436"/>
      <c r="W568" s="436"/>
      <c r="X568" s="436"/>
      <c r="Y568" s="436"/>
      <c r="Z568" s="436"/>
    </row>
    <row r="569" ht="15.75" customHeight="1">
      <c r="A569" s="436">
        <v>571.0</v>
      </c>
      <c r="B569" s="436" t="s">
        <v>3264</v>
      </c>
      <c r="C569" s="436" t="s">
        <v>3860</v>
      </c>
      <c r="D569" s="436" t="s">
        <v>4421</v>
      </c>
      <c r="E569" s="436"/>
      <c r="F569" s="436"/>
      <c r="G569" s="436"/>
      <c r="H569" s="436"/>
      <c r="I569" s="436"/>
      <c r="J569" s="436"/>
      <c r="K569" s="436"/>
      <c r="L569" s="436"/>
      <c r="M569" s="436"/>
      <c r="N569" s="436"/>
      <c r="O569" s="436"/>
      <c r="P569" s="436"/>
      <c r="Q569" s="436"/>
      <c r="R569" s="436"/>
      <c r="S569" s="436"/>
      <c r="T569" s="436"/>
      <c r="U569" s="436"/>
      <c r="V569" s="436"/>
      <c r="W569" s="436"/>
      <c r="X569" s="436"/>
      <c r="Y569" s="436"/>
      <c r="Z569" s="436"/>
    </row>
    <row r="570" ht="15.75" customHeight="1">
      <c r="A570" s="436">
        <v>572.0</v>
      </c>
      <c r="B570" s="436" t="s">
        <v>3264</v>
      </c>
      <c r="C570" s="436" t="s">
        <v>3860</v>
      </c>
      <c r="D570" s="436" t="s">
        <v>4422</v>
      </c>
      <c r="E570" s="436"/>
      <c r="F570" s="436"/>
      <c r="G570" s="436"/>
      <c r="H570" s="436"/>
      <c r="I570" s="436"/>
      <c r="J570" s="436"/>
      <c r="K570" s="436"/>
      <c r="L570" s="436"/>
      <c r="M570" s="436"/>
      <c r="N570" s="436"/>
      <c r="O570" s="436"/>
      <c r="P570" s="436"/>
      <c r="Q570" s="436"/>
      <c r="R570" s="436"/>
      <c r="S570" s="436"/>
      <c r="T570" s="436"/>
      <c r="U570" s="436"/>
      <c r="V570" s="436"/>
      <c r="W570" s="436"/>
      <c r="X570" s="436"/>
      <c r="Y570" s="436"/>
      <c r="Z570" s="436"/>
    </row>
    <row r="571" ht="15.75" customHeight="1">
      <c r="A571" s="436">
        <v>573.0</v>
      </c>
      <c r="B571" s="436" t="s">
        <v>3264</v>
      </c>
      <c r="C571" s="436" t="s">
        <v>3860</v>
      </c>
      <c r="D571" s="436" t="s">
        <v>4423</v>
      </c>
      <c r="E571" s="436"/>
      <c r="F571" s="436"/>
      <c r="G571" s="436"/>
      <c r="H571" s="436"/>
      <c r="I571" s="436"/>
      <c r="J571" s="436"/>
      <c r="K571" s="436"/>
      <c r="L571" s="436"/>
      <c r="M571" s="436"/>
      <c r="N571" s="436"/>
      <c r="O571" s="436"/>
      <c r="P571" s="436"/>
      <c r="Q571" s="436"/>
      <c r="R571" s="436"/>
      <c r="S571" s="436"/>
      <c r="T571" s="436"/>
      <c r="U571" s="436"/>
      <c r="V571" s="436"/>
      <c r="W571" s="436"/>
      <c r="X571" s="436"/>
      <c r="Y571" s="436"/>
      <c r="Z571" s="436"/>
    </row>
    <row r="572" ht="15.75" customHeight="1">
      <c r="A572" s="436">
        <v>574.0</v>
      </c>
      <c r="B572" s="436" t="s">
        <v>3264</v>
      </c>
      <c r="C572" s="436" t="s">
        <v>3860</v>
      </c>
      <c r="D572" s="436" t="s">
        <v>4424</v>
      </c>
      <c r="E572" s="436"/>
      <c r="F572" s="436"/>
      <c r="G572" s="436"/>
      <c r="H572" s="436"/>
      <c r="I572" s="436"/>
      <c r="J572" s="436"/>
      <c r="K572" s="436"/>
      <c r="L572" s="436"/>
      <c r="M572" s="436"/>
      <c r="N572" s="436"/>
      <c r="O572" s="436"/>
      <c r="P572" s="436"/>
      <c r="Q572" s="436"/>
      <c r="R572" s="436"/>
      <c r="S572" s="436"/>
      <c r="T572" s="436"/>
      <c r="U572" s="436"/>
      <c r="V572" s="436"/>
      <c r="W572" s="436"/>
      <c r="X572" s="436"/>
      <c r="Y572" s="436"/>
      <c r="Z572" s="436"/>
    </row>
    <row r="573" ht="15.75" customHeight="1">
      <c r="A573" s="436">
        <v>575.0</v>
      </c>
      <c r="B573" s="436" t="s">
        <v>3303</v>
      </c>
      <c r="C573" s="436" t="s">
        <v>3860</v>
      </c>
      <c r="D573" s="436" t="s">
        <v>4425</v>
      </c>
      <c r="E573" s="436"/>
      <c r="F573" s="436"/>
      <c r="G573" s="436"/>
      <c r="H573" s="436"/>
      <c r="I573" s="436"/>
      <c r="J573" s="436"/>
      <c r="K573" s="436"/>
      <c r="L573" s="436"/>
      <c r="M573" s="436"/>
      <c r="N573" s="436"/>
      <c r="O573" s="436"/>
      <c r="P573" s="436"/>
      <c r="Q573" s="436"/>
      <c r="R573" s="436"/>
      <c r="S573" s="436"/>
      <c r="T573" s="436"/>
      <c r="U573" s="436"/>
      <c r="V573" s="436"/>
      <c r="W573" s="436"/>
      <c r="X573" s="436"/>
      <c r="Y573" s="436"/>
      <c r="Z573" s="436"/>
    </row>
    <row r="574" ht="15.75" customHeight="1">
      <c r="A574" s="436">
        <v>576.0</v>
      </c>
      <c r="B574" s="436" t="s">
        <v>3264</v>
      </c>
      <c r="C574" s="436" t="s">
        <v>3860</v>
      </c>
      <c r="D574" s="436" t="s">
        <v>4426</v>
      </c>
      <c r="E574" s="436"/>
      <c r="F574" s="436"/>
      <c r="G574" s="436"/>
      <c r="H574" s="436"/>
      <c r="I574" s="436"/>
      <c r="J574" s="436"/>
      <c r="K574" s="436"/>
      <c r="L574" s="436"/>
      <c r="M574" s="436"/>
      <c r="N574" s="436"/>
      <c r="O574" s="436"/>
      <c r="P574" s="436"/>
      <c r="Q574" s="436"/>
      <c r="R574" s="436"/>
      <c r="S574" s="436"/>
      <c r="T574" s="436"/>
      <c r="U574" s="436"/>
      <c r="V574" s="436"/>
      <c r="W574" s="436"/>
      <c r="X574" s="436"/>
      <c r="Y574" s="436"/>
      <c r="Z574" s="436"/>
    </row>
    <row r="575" ht="15.75" customHeight="1">
      <c r="A575" s="436">
        <v>577.0</v>
      </c>
      <c r="B575" s="436" t="s">
        <v>2892</v>
      </c>
      <c r="C575" s="436" t="s">
        <v>3860</v>
      </c>
      <c r="D575" s="566" t="s">
        <v>4427</v>
      </c>
      <c r="E575" s="436"/>
      <c r="F575" s="436"/>
      <c r="G575" s="436"/>
      <c r="H575" s="436"/>
      <c r="I575" s="436"/>
      <c r="J575" s="436"/>
      <c r="K575" s="436"/>
      <c r="L575" s="436"/>
      <c r="M575" s="436"/>
      <c r="N575" s="436"/>
      <c r="O575" s="436"/>
      <c r="P575" s="436"/>
      <c r="Q575" s="436"/>
      <c r="R575" s="436"/>
      <c r="S575" s="436"/>
      <c r="T575" s="436"/>
      <c r="U575" s="436"/>
      <c r="V575" s="436"/>
      <c r="W575" s="436"/>
      <c r="X575" s="436"/>
      <c r="Y575" s="436"/>
      <c r="Z575" s="436"/>
    </row>
    <row r="576" ht="15.75" customHeight="1">
      <c r="A576" s="436">
        <v>578.0</v>
      </c>
      <c r="B576" s="436" t="s">
        <v>3241</v>
      </c>
      <c r="C576" s="436" t="s">
        <v>3860</v>
      </c>
      <c r="D576" s="567" t="s">
        <v>4428</v>
      </c>
      <c r="E576" s="436"/>
      <c r="F576" s="436"/>
      <c r="G576" s="436"/>
      <c r="H576" s="436"/>
      <c r="I576" s="436"/>
      <c r="J576" s="436"/>
      <c r="K576" s="436"/>
      <c r="L576" s="436"/>
      <c r="M576" s="436"/>
      <c r="N576" s="436"/>
      <c r="O576" s="436"/>
      <c r="P576" s="436"/>
      <c r="Q576" s="436"/>
      <c r="R576" s="436"/>
      <c r="S576" s="436"/>
      <c r="T576" s="436"/>
      <c r="U576" s="436"/>
      <c r="V576" s="436"/>
      <c r="W576" s="436"/>
      <c r="X576" s="436"/>
      <c r="Y576" s="436"/>
      <c r="Z576" s="436"/>
    </row>
    <row r="577" ht="15.75" customHeight="1">
      <c r="A577" s="436">
        <v>579.0</v>
      </c>
      <c r="B577" s="436" t="s">
        <v>1849</v>
      </c>
      <c r="C577" s="436" t="s">
        <v>3860</v>
      </c>
      <c r="D577" s="436" t="s">
        <v>4429</v>
      </c>
      <c r="E577" s="436"/>
      <c r="F577" s="436"/>
      <c r="G577" s="436"/>
      <c r="H577" s="436"/>
      <c r="I577" s="436"/>
      <c r="J577" s="436"/>
      <c r="K577" s="436"/>
      <c r="L577" s="436"/>
      <c r="M577" s="436"/>
      <c r="N577" s="436"/>
      <c r="O577" s="436"/>
      <c r="P577" s="436"/>
      <c r="Q577" s="436"/>
      <c r="R577" s="436"/>
      <c r="S577" s="436"/>
      <c r="T577" s="436"/>
      <c r="U577" s="436"/>
      <c r="V577" s="436"/>
      <c r="W577" s="436"/>
      <c r="X577" s="436"/>
      <c r="Y577" s="436"/>
      <c r="Z577" s="436"/>
    </row>
    <row r="578" ht="15.75" customHeight="1">
      <c r="A578" s="436">
        <v>580.0</v>
      </c>
      <c r="B578" s="436" t="s">
        <v>3264</v>
      </c>
      <c r="C578" s="436" t="s">
        <v>3860</v>
      </c>
      <c r="D578" s="436" t="s">
        <v>4430</v>
      </c>
      <c r="E578" s="436"/>
      <c r="F578" s="436"/>
      <c r="G578" s="436"/>
      <c r="H578" s="436"/>
      <c r="I578" s="436"/>
      <c r="J578" s="436"/>
      <c r="K578" s="436"/>
      <c r="L578" s="436"/>
      <c r="M578" s="436"/>
      <c r="N578" s="436"/>
      <c r="O578" s="436"/>
      <c r="P578" s="436"/>
      <c r="Q578" s="436"/>
      <c r="R578" s="436"/>
      <c r="S578" s="436"/>
      <c r="T578" s="436"/>
      <c r="U578" s="436"/>
      <c r="V578" s="436"/>
      <c r="W578" s="436"/>
      <c r="X578" s="436"/>
      <c r="Y578" s="436"/>
      <c r="Z578" s="436"/>
    </row>
    <row r="579" ht="15.75" customHeight="1">
      <c r="A579" s="436">
        <v>581.0</v>
      </c>
      <c r="B579" s="436" t="s">
        <v>3264</v>
      </c>
      <c r="C579" s="436" t="s">
        <v>3860</v>
      </c>
      <c r="D579" s="568" t="s">
        <v>4431</v>
      </c>
      <c r="E579" s="436"/>
      <c r="F579" s="436"/>
      <c r="G579" s="436"/>
      <c r="H579" s="436"/>
      <c r="I579" s="436"/>
      <c r="J579" s="436"/>
      <c r="K579" s="436"/>
      <c r="L579" s="436"/>
      <c r="M579" s="436"/>
      <c r="N579" s="436"/>
      <c r="O579" s="436"/>
      <c r="P579" s="436"/>
      <c r="Q579" s="436"/>
      <c r="R579" s="436"/>
      <c r="S579" s="436"/>
      <c r="T579" s="436"/>
      <c r="U579" s="436"/>
      <c r="V579" s="436"/>
      <c r="W579" s="436"/>
      <c r="X579" s="436"/>
      <c r="Y579" s="436"/>
      <c r="Z579" s="436"/>
    </row>
    <row r="580" ht="15.75" customHeight="1">
      <c r="A580" s="436">
        <v>582.0</v>
      </c>
      <c r="B580" s="436" t="s">
        <v>3209</v>
      </c>
      <c r="C580" s="436" t="s">
        <v>3860</v>
      </c>
      <c r="D580" s="568" t="s">
        <v>4432</v>
      </c>
      <c r="E580" s="436"/>
      <c r="F580" s="436"/>
      <c r="G580" s="436"/>
      <c r="H580" s="436"/>
      <c r="I580" s="436"/>
      <c r="J580" s="436"/>
      <c r="K580" s="436"/>
      <c r="L580" s="436"/>
      <c r="M580" s="436"/>
      <c r="N580" s="436"/>
      <c r="O580" s="436"/>
      <c r="P580" s="436"/>
      <c r="Q580" s="436"/>
      <c r="R580" s="436"/>
      <c r="S580" s="436"/>
      <c r="T580" s="436"/>
      <c r="U580" s="436"/>
      <c r="V580" s="436"/>
      <c r="W580" s="436"/>
      <c r="X580" s="436"/>
      <c r="Y580" s="436"/>
      <c r="Z580" s="436"/>
    </row>
    <row r="581" ht="15.75" customHeight="1">
      <c r="A581" s="436">
        <v>583.0</v>
      </c>
      <c r="B581" s="436" t="s">
        <v>3303</v>
      </c>
      <c r="C581" s="436" t="s">
        <v>3860</v>
      </c>
      <c r="D581" s="436" t="s">
        <v>4433</v>
      </c>
      <c r="E581" s="436"/>
      <c r="F581" s="436"/>
      <c r="G581" s="436"/>
      <c r="H581" s="436"/>
      <c r="I581" s="436"/>
      <c r="J581" s="436"/>
      <c r="K581" s="436"/>
      <c r="L581" s="436"/>
      <c r="M581" s="436"/>
      <c r="N581" s="436"/>
      <c r="O581" s="436"/>
      <c r="P581" s="436"/>
      <c r="Q581" s="436"/>
      <c r="R581" s="436"/>
      <c r="S581" s="436"/>
      <c r="T581" s="436"/>
      <c r="U581" s="436"/>
      <c r="V581" s="436"/>
      <c r="W581" s="436"/>
      <c r="X581" s="436"/>
      <c r="Y581" s="436"/>
      <c r="Z581" s="436"/>
    </row>
    <row r="582" ht="15.75" customHeight="1">
      <c r="A582" s="436">
        <v>584.0</v>
      </c>
      <c r="B582" s="436" t="s">
        <v>3308</v>
      </c>
      <c r="C582" s="436" t="s">
        <v>3860</v>
      </c>
      <c r="D582" s="566" t="s">
        <v>4434</v>
      </c>
      <c r="E582" s="436"/>
      <c r="F582" s="436"/>
      <c r="G582" s="436"/>
      <c r="H582" s="436"/>
      <c r="I582" s="436"/>
      <c r="J582" s="436"/>
      <c r="K582" s="436"/>
      <c r="L582" s="436"/>
      <c r="M582" s="436"/>
      <c r="N582" s="436"/>
      <c r="O582" s="436"/>
      <c r="P582" s="436"/>
      <c r="Q582" s="436"/>
      <c r="R582" s="436"/>
      <c r="S582" s="436"/>
      <c r="T582" s="436"/>
      <c r="U582" s="436"/>
      <c r="V582" s="436"/>
      <c r="W582" s="436"/>
      <c r="X582" s="436"/>
      <c r="Y582" s="436"/>
      <c r="Z582" s="436"/>
    </row>
    <row r="583" ht="15.75" customHeight="1">
      <c r="A583" s="436">
        <v>585.0</v>
      </c>
      <c r="B583" s="436" t="s">
        <v>3308</v>
      </c>
      <c r="C583" s="436" t="s">
        <v>3860</v>
      </c>
      <c r="D583" s="436" t="s">
        <v>4435</v>
      </c>
      <c r="E583" s="436"/>
      <c r="F583" s="436"/>
      <c r="G583" s="436"/>
      <c r="H583" s="436"/>
      <c r="I583" s="436"/>
      <c r="J583" s="436"/>
      <c r="K583" s="436"/>
      <c r="L583" s="436"/>
      <c r="M583" s="436"/>
      <c r="N583" s="436"/>
      <c r="O583" s="436"/>
      <c r="P583" s="436"/>
      <c r="Q583" s="436"/>
      <c r="R583" s="436"/>
      <c r="S583" s="436"/>
      <c r="T583" s="436"/>
      <c r="U583" s="436"/>
      <c r="V583" s="436"/>
      <c r="W583" s="436"/>
      <c r="X583" s="436"/>
      <c r="Y583" s="436"/>
      <c r="Z583" s="436"/>
    </row>
    <row r="584" ht="15.75" customHeight="1">
      <c r="A584" s="436">
        <v>586.0</v>
      </c>
      <c r="B584" s="436" t="s">
        <v>4436</v>
      </c>
      <c r="C584" s="436" t="s">
        <v>3860</v>
      </c>
      <c r="D584" s="568" t="s">
        <v>4437</v>
      </c>
      <c r="E584" s="436"/>
      <c r="F584" s="436"/>
      <c r="G584" s="436"/>
      <c r="H584" s="436"/>
      <c r="I584" s="436"/>
      <c r="J584" s="436"/>
      <c r="K584" s="436"/>
      <c r="L584" s="436"/>
      <c r="M584" s="436"/>
      <c r="N584" s="436"/>
      <c r="O584" s="436"/>
      <c r="P584" s="436"/>
      <c r="Q584" s="436"/>
      <c r="R584" s="436"/>
      <c r="S584" s="436"/>
      <c r="T584" s="436"/>
      <c r="U584" s="436"/>
      <c r="V584" s="436"/>
      <c r="W584" s="436"/>
      <c r="X584" s="436"/>
      <c r="Y584" s="436"/>
      <c r="Z584" s="436"/>
    </row>
    <row r="585" ht="15.75" customHeight="1">
      <c r="A585" s="436">
        <v>587.0</v>
      </c>
      <c r="B585" s="436" t="s">
        <v>4436</v>
      </c>
      <c r="C585" s="436" t="s">
        <v>3860</v>
      </c>
      <c r="D585" s="436" t="s">
        <v>4438</v>
      </c>
      <c r="E585" s="436"/>
      <c r="F585" s="436"/>
      <c r="G585" s="436"/>
      <c r="H585" s="436"/>
      <c r="I585" s="436"/>
      <c r="J585" s="436"/>
      <c r="K585" s="436"/>
      <c r="L585" s="436"/>
      <c r="M585" s="436"/>
      <c r="N585" s="436"/>
      <c r="O585" s="436"/>
      <c r="P585" s="436"/>
      <c r="Q585" s="436"/>
      <c r="R585" s="436"/>
      <c r="S585" s="436"/>
      <c r="T585" s="436"/>
      <c r="U585" s="436"/>
      <c r="V585" s="436"/>
      <c r="W585" s="436"/>
      <c r="X585" s="436"/>
      <c r="Y585" s="436"/>
      <c r="Z585" s="436"/>
    </row>
    <row r="586" ht="15.75" customHeight="1">
      <c r="A586" s="436">
        <v>588.0</v>
      </c>
      <c r="B586" s="436" t="s">
        <v>4436</v>
      </c>
      <c r="C586" s="436" t="s">
        <v>3860</v>
      </c>
      <c r="D586" s="436" t="s">
        <v>4439</v>
      </c>
      <c r="E586" s="436"/>
      <c r="F586" s="436"/>
      <c r="G586" s="436"/>
      <c r="H586" s="436"/>
      <c r="I586" s="436"/>
      <c r="J586" s="436"/>
      <c r="K586" s="436"/>
      <c r="L586" s="436"/>
      <c r="M586" s="436"/>
      <c r="N586" s="436"/>
      <c r="O586" s="436"/>
      <c r="P586" s="436"/>
      <c r="Q586" s="436"/>
      <c r="R586" s="436"/>
      <c r="S586" s="436"/>
      <c r="T586" s="436"/>
      <c r="U586" s="436"/>
      <c r="V586" s="436"/>
      <c r="W586" s="436"/>
      <c r="X586" s="436"/>
      <c r="Y586" s="436"/>
      <c r="Z586" s="436"/>
    </row>
    <row r="587" ht="15.75" customHeight="1">
      <c r="A587" s="436">
        <v>589.0</v>
      </c>
      <c r="B587" s="436" t="s">
        <v>3209</v>
      </c>
      <c r="C587" s="436" t="s">
        <v>3860</v>
      </c>
      <c r="D587" s="436" t="s">
        <v>4440</v>
      </c>
      <c r="E587" s="436"/>
      <c r="F587" s="436"/>
      <c r="G587" s="436"/>
      <c r="H587" s="436"/>
      <c r="I587" s="436"/>
      <c r="J587" s="436"/>
      <c r="K587" s="436"/>
      <c r="L587" s="436"/>
      <c r="M587" s="436"/>
      <c r="N587" s="436"/>
      <c r="O587" s="436"/>
      <c r="P587" s="436"/>
      <c r="Q587" s="436"/>
      <c r="R587" s="436"/>
      <c r="S587" s="436"/>
      <c r="T587" s="436"/>
      <c r="U587" s="436"/>
      <c r="V587" s="436"/>
      <c r="W587" s="436"/>
      <c r="X587" s="436"/>
      <c r="Y587" s="436"/>
      <c r="Z587" s="436"/>
    </row>
    <row r="588" ht="15.75" customHeight="1">
      <c r="A588" s="436">
        <v>590.0</v>
      </c>
      <c r="B588" s="436" t="s">
        <v>2099</v>
      </c>
      <c r="C588" s="436" t="s">
        <v>3860</v>
      </c>
      <c r="D588" s="436" t="s">
        <v>4441</v>
      </c>
      <c r="E588" s="436"/>
      <c r="F588" s="436"/>
      <c r="G588" s="436"/>
      <c r="H588" s="436"/>
      <c r="I588" s="436"/>
      <c r="J588" s="436"/>
      <c r="K588" s="436"/>
      <c r="L588" s="436"/>
      <c r="M588" s="436"/>
      <c r="N588" s="436"/>
      <c r="O588" s="436"/>
      <c r="P588" s="436"/>
      <c r="Q588" s="436"/>
      <c r="R588" s="436"/>
      <c r="S588" s="436"/>
      <c r="T588" s="436"/>
      <c r="U588" s="436"/>
      <c r="V588" s="436"/>
      <c r="W588" s="436"/>
      <c r="X588" s="436"/>
      <c r="Y588" s="436"/>
      <c r="Z588" s="436"/>
    </row>
    <row r="589" ht="15.75" customHeight="1">
      <c r="A589" s="436">
        <v>591.0</v>
      </c>
      <c r="B589" s="436" t="s">
        <v>2099</v>
      </c>
      <c r="C589" s="436" t="s">
        <v>3860</v>
      </c>
      <c r="D589" s="436" t="s">
        <v>4442</v>
      </c>
      <c r="E589" s="436"/>
      <c r="F589" s="436"/>
      <c r="G589" s="436"/>
      <c r="H589" s="436"/>
      <c r="I589" s="436"/>
      <c r="J589" s="436"/>
      <c r="K589" s="436"/>
      <c r="L589" s="436"/>
      <c r="M589" s="436"/>
      <c r="N589" s="436"/>
      <c r="O589" s="436"/>
      <c r="P589" s="436"/>
      <c r="Q589" s="436"/>
      <c r="R589" s="436"/>
      <c r="S589" s="436"/>
      <c r="T589" s="436"/>
      <c r="U589" s="436"/>
      <c r="V589" s="436"/>
      <c r="W589" s="436"/>
      <c r="X589" s="436"/>
      <c r="Y589" s="436"/>
      <c r="Z589" s="436"/>
    </row>
    <row r="590" ht="15.75" customHeight="1">
      <c r="A590" s="436">
        <v>592.0</v>
      </c>
      <c r="B590" s="436" t="s">
        <v>3303</v>
      </c>
      <c r="C590" s="436" t="s">
        <v>3860</v>
      </c>
      <c r="D590" s="436" t="s">
        <v>4443</v>
      </c>
      <c r="E590" s="436"/>
      <c r="F590" s="436"/>
      <c r="G590" s="436"/>
      <c r="H590" s="436"/>
      <c r="I590" s="436"/>
      <c r="J590" s="436"/>
      <c r="K590" s="436"/>
      <c r="L590" s="436"/>
      <c r="M590" s="436"/>
      <c r="N590" s="436"/>
      <c r="O590" s="436"/>
      <c r="P590" s="436"/>
      <c r="Q590" s="436"/>
      <c r="R590" s="436"/>
      <c r="S590" s="436"/>
      <c r="T590" s="436"/>
      <c r="U590" s="436"/>
      <c r="V590" s="436"/>
      <c r="W590" s="436"/>
      <c r="X590" s="436"/>
      <c r="Y590" s="436"/>
      <c r="Z590" s="436"/>
    </row>
    <row r="591" ht="15.75" customHeight="1">
      <c r="A591" s="436">
        <v>593.0</v>
      </c>
      <c r="B591" s="436" t="s">
        <v>3264</v>
      </c>
      <c r="C591" s="436" t="s">
        <v>3860</v>
      </c>
      <c r="D591" s="436" t="s">
        <v>4444</v>
      </c>
      <c r="E591" s="436"/>
      <c r="F591" s="436"/>
      <c r="G591" s="436"/>
      <c r="H591" s="436"/>
      <c r="I591" s="436"/>
      <c r="J591" s="436"/>
      <c r="K591" s="436"/>
      <c r="L591" s="436"/>
      <c r="M591" s="436"/>
      <c r="N591" s="436"/>
      <c r="O591" s="436"/>
      <c r="P591" s="436"/>
      <c r="Q591" s="436"/>
      <c r="R591" s="436"/>
      <c r="S591" s="436"/>
      <c r="T591" s="436"/>
      <c r="U591" s="436"/>
      <c r="V591" s="436"/>
      <c r="W591" s="436"/>
      <c r="X591" s="436"/>
      <c r="Y591" s="436"/>
      <c r="Z591" s="436"/>
    </row>
    <row r="592" ht="15.75" customHeight="1">
      <c r="A592" s="436">
        <v>594.0</v>
      </c>
      <c r="B592" s="436" t="s">
        <v>3264</v>
      </c>
      <c r="C592" s="436" t="s">
        <v>3860</v>
      </c>
      <c r="D592" s="436" t="s">
        <v>4445</v>
      </c>
      <c r="E592" s="436"/>
      <c r="F592" s="436"/>
      <c r="G592" s="436"/>
      <c r="H592" s="436"/>
      <c r="I592" s="436"/>
      <c r="J592" s="436"/>
      <c r="K592" s="436"/>
      <c r="L592" s="436"/>
      <c r="M592" s="436"/>
      <c r="N592" s="436"/>
      <c r="O592" s="436"/>
      <c r="P592" s="436"/>
      <c r="Q592" s="436"/>
      <c r="R592" s="436"/>
      <c r="S592" s="436"/>
      <c r="T592" s="436"/>
      <c r="U592" s="436"/>
      <c r="V592" s="436"/>
      <c r="W592" s="436"/>
      <c r="X592" s="436"/>
      <c r="Y592" s="436"/>
      <c r="Z592" s="436"/>
    </row>
    <row r="593" ht="15.75" customHeight="1">
      <c r="A593" s="436">
        <v>595.0</v>
      </c>
      <c r="B593" s="436" t="s">
        <v>1849</v>
      </c>
      <c r="C593" s="436" t="s">
        <v>3860</v>
      </c>
      <c r="D593" s="436"/>
      <c r="E593" s="436"/>
      <c r="F593" s="436"/>
      <c r="G593" s="436"/>
      <c r="H593" s="436"/>
      <c r="I593" s="436"/>
      <c r="J593" s="436"/>
      <c r="K593" s="436"/>
      <c r="L593" s="436"/>
      <c r="M593" s="436"/>
      <c r="N593" s="436"/>
      <c r="O593" s="436"/>
      <c r="P593" s="436"/>
      <c r="Q593" s="436"/>
      <c r="R593" s="436"/>
      <c r="S593" s="436"/>
      <c r="T593" s="436"/>
      <c r="U593" s="436"/>
      <c r="V593" s="436"/>
      <c r="W593" s="436"/>
      <c r="X593" s="436"/>
      <c r="Y593" s="436"/>
      <c r="Z593" s="436"/>
    </row>
    <row r="594" ht="15.75" customHeight="1">
      <c r="A594" s="436">
        <v>596.0</v>
      </c>
      <c r="B594" s="436" t="s">
        <v>3264</v>
      </c>
      <c r="C594" s="436" t="s">
        <v>3860</v>
      </c>
      <c r="D594" s="562" t="s">
        <v>4446</v>
      </c>
      <c r="E594" s="436"/>
      <c r="F594" s="436"/>
      <c r="G594" s="436"/>
      <c r="H594" s="436"/>
      <c r="I594" s="436"/>
      <c r="J594" s="436"/>
      <c r="K594" s="436"/>
      <c r="L594" s="436"/>
      <c r="M594" s="436"/>
      <c r="N594" s="436"/>
      <c r="O594" s="436"/>
      <c r="P594" s="436"/>
      <c r="Q594" s="436"/>
      <c r="R594" s="436"/>
      <c r="S594" s="436"/>
      <c r="T594" s="436"/>
      <c r="U594" s="436"/>
      <c r="V594" s="436"/>
      <c r="W594" s="436"/>
      <c r="X594" s="436"/>
      <c r="Y594" s="436"/>
      <c r="Z594" s="436"/>
    </row>
    <row r="595" ht="15.75" customHeight="1">
      <c r="A595" s="436">
        <v>597.0</v>
      </c>
      <c r="B595" s="436" t="s">
        <v>3264</v>
      </c>
      <c r="C595" s="436" t="s">
        <v>3860</v>
      </c>
      <c r="D595" s="436" t="s">
        <v>4447</v>
      </c>
      <c r="E595" s="436"/>
      <c r="F595" s="436"/>
      <c r="G595" s="436"/>
      <c r="H595" s="436"/>
      <c r="I595" s="436"/>
      <c r="J595" s="436"/>
      <c r="K595" s="436"/>
      <c r="L595" s="436"/>
      <c r="M595" s="436"/>
      <c r="N595" s="436"/>
      <c r="O595" s="436"/>
      <c r="P595" s="436"/>
      <c r="Q595" s="436"/>
      <c r="R595" s="436"/>
      <c r="S595" s="436"/>
      <c r="T595" s="436"/>
      <c r="U595" s="436"/>
      <c r="V595" s="436"/>
      <c r="W595" s="436"/>
      <c r="X595" s="436"/>
      <c r="Y595" s="436"/>
      <c r="Z595" s="436"/>
    </row>
    <row r="596" ht="15.75" customHeight="1">
      <c r="A596" s="436">
        <v>598.0</v>
      </c>
      <c r="B596" s="436" t="s">
        <v>3303</v>
      </c>
      <c r="C596" s="436" t="s">
        <v>3860</v>
      </c>
      <c r="D596" s="436" t="s">
        <v>4448</v>
      </c>
      <c r="E596" s="436"/>
      <c r="F596" s="436"/>
      <c r="G596" s="436"/>
      <c r="H596" s="436"/>
      <c r="I596" s="436"/>
      <c r="J596" s="436"/>
      <c r="K596" s="436"/>
      <c r="L596" s="436"/>
      <c r="M596" s="436"/>
      <c r="N596" s="436"/>
      <c r="O596" s="436"/>
      <c r="P596" s="436"/>
      <c r="Q596" s="436"/>
      <c r="R596" s="436"/>
      <c r="S596" s="436"/>
      <c r="T596" s="436"/>
      <c r="U596" s="436"/>
      <c r="V596" s="436"/>
      <c r="W596" s="436"/>
      <c r="X596" s="436"/>
      <c r="Y596" s="436"/>
      <c r="Z596" s="436"/>
    </row>
    <row r="597" ht="15.75" customHeight="1">
      <c r="A597" s="436">
        <v>599.0</v>
      </c>
      <c r="B597" s="436" t="s">
        <v>3241</v>
      </c>
      <c r="C597" s="436" t="s">
        <v>3860</v>
      </c>
      <c r="D597" s="436" t="s">
        <v>4449</v>
      </c>
      <c r="E597" s="436"/>
      <c r="F597" s="436"/>
      <c r="G597" s="436"/>
      <c r="H597" s="436"/>
      <c r="I597" s="436"/>
      <c r="J597" s="436"/>
      <c r="K597" s="436"/>
      <c r="L597" s="436"/>
      <c r="M597" s="436"/>
      <c r="N597" s="436"/>
      <c r="O597" s="436"/>
      <c r="P597" s="436"/>
      <c r="Q597" s="436"/>
      <c r="R597" s="436"/>
      <c r="S597" s="436"/>
      <c r="T597" s="436"/>
      <c r="U597" s="436"/>
      <c r="V597" s="436"/>
      <c r="W597" s="436"/>
      <c r="X597" s="436"/>
      <c r="Y597" s="436"/>
      <c r="Z597" s="436"/>
    </row>
    <row r="598" ht="15.75" customHeight="1">
      <c r="A598" s="436">
        <v>600.0</v>
      </c>
      <c r="B598" s="436" t="s">
        <v>3209</v>
      </c>
      <c r="C598" s="436" t="s">
        <v>3860</v>
      </c>
      <c r="D598" s="436"/>
      <c r="E598" s="436"/>
      <c r="F598" s="436"/>
      <c r="G598" s="436"/>
      <c r="H598" s="436"/>
      <c r="I598" s="436"/>
      <c r="J598" s="436"/>
      <c r="K598" s="436"/>
      <c r="L598" s="436"/>
      <c r="M598" s="436"/>
      <c r="N598" s="436"/>
      <c r="O598" s="436"/>
      <c r="P598" s="436"/>
      <c r="Q598" s="436"/>
      <c r="R598" s="436"/>
      <c r="S598" s="436"/>
      <c r="T598" s="436"/>
      <c r="U598" s="436"/>
      <c r="V598" s="436"/>
      <c r="W598" s="436"/>
      <c r="X598" s="436"/>
      <c r="Y598" s="436"/>
      <c r="Z598" s="436"/>
    </row>
    <row r="599" ht="15.75" customHeight="1">
      <c r="A599" s="436">
        <v>601.0</v>
      </c>
      <c r="B599" s="436" t="s">
        <v>3264</v>
      </c>
      <c r="C599" s="436" t="s">
        <v>3860</v>
      </c>
      <c r="D599" s="436" t="s">
        <v>4450</v>
      </c>
      <c r="E599" s="436"/>
      <c r="F599" s="436"/>
      <c r="G599" s="436"/>
      <c r="H599" s="436"/>
      <c r="I599" s="436"/>
      <c r="J599" s="436"/>
      <c r="K599" s="436"/>
      <c r="L599" s="436"/>
      <c r="M599" s="436"/>
      <c r="N599" s="436"/>
      <c r="O599" s="436"/>
      <c r="P599" s="436"/>
      <c r="Q599" s="436"/>
      <c r="R599" s="436"/>
      <c r="S599" s="436"/>
      <c r="T599" s="436"/>
      <c r="U599" s="436"/>
      <c r="V599" s="436"/>
      <c r="W599" s="436"/>
      <c r="X599" s="436"/>
      <c r="Y599" s="436"/>
      <c r="Z599" s="436"/>
    </row>
    <row r="600" ht="15.75" customHeight="1">
      <c r="A600" s="436">
        <v>602.0</v>
      </c>
      <c r="B600" s="436" t="s">
        <v>3264</v>
      </c>
      <c r="C600" s="436" t="s">
        <v>3860</v>
      </c>
      <c r="D600" s="569" t="s">
        <v>4451</v>
      </c>
      <c r="E600" s="436"/>
      <c r="F600" s="436"/>
      <c r="G600" s="436"/>
      <c r="H600" s="436"/>
      <c r="I600" s="436"/>
      <c r="J600" s="436"/>
      <c r="K600" s="436"/>
      <c r="L600" s="436"/>
      <c r="M600" s="436"/>
      <c r="N600" s="436"/>
      <c r="O600" s="436"/>
      <c r="P600" s="436"/>
      <c r="Q600" s="436"/>
      <c r="R600" s="436"/>
      <c r="S600" s="436"/>
      <c r="T600" s="436"/>
      <c r="U600" s="436"/>
      <c r="V600" s="436"/>
      <c r="W600" s="436"/>
      <c r="X600" s="436"/>
      <c r="Y600" s="436"/>
      <c r="Z600" s="436"/>
    </row>
    <row r="601" ht="15.75" customHeight="1">
      <c r="A601" s="436">
        <v>603.0</v>
      </c>
      <c r="B601" s="436" t="s">
        <v>3264</v>
      </c>
      <c r="C601" s="436" t="s">
        <v>3860</v>
      </c>
      <c r="D601" s="436" t="s">
        <v>4452</v>
      </c>
      <c r="E601" s="436"/>
      <c r="F601" s="436"/>
      <c r="G601" s="436"/>
      <c r="H601" s="436"/>
      <c r="I601" s="436"/>
      <c r="J601" s="436"/>
      <c r="K601" s="436"/>
      <c r="L601" s="436"/>
      <c r="M601" s="436"/>
      <c r="N601" s="436"/>
      <c r="O601" s="436"/>
      <c r="P601" s="436"/>
      <c r="Q601" s="436"/>
      <c r="R601" s="436"/>
      <c r="S601" s="436"/>
      <c r="T601" s="436"/>
      <c r="U601" s="436"/>
      <c r="V601" s="436"/>
      <c r="W601" s="436"/>
      <c r="X601" s="436"/>
      <c r="Y601" s="436"/>
      <c r="Z601" s="436"/>
    </row>
    <row r="602" ht="15.75" customHeight="1">
      <c r="A602" s="436">
        <v>604.0</v>
      </c>
      <c r="B602" s="436" t="s">
        <v>3264</v>
      </c>
      <c r="C602" s="436" t="s">
        <v>3860</v>
      </c>
      <c r="D602" s="568" t="s">
        <v>4453</v>
      </c>
      <c r="E602" s="436"/>
      <c r="F602" s="436"/>
      <c r="G602" s="436"/>
      <c r="H602" s="436"/>
      <c r="I602" s="436"/>
      <c r="J602" s="436"/>
      <c r="K602" s="436"/>
      <c r="L602" s="436"/>
      <c r="M602" s="436"/>
      <c r="N602" s="436"/>
      <c r="O602" s="436"/>
      <c r="P602" s="436"/>
      <c r="Q602" s="436"/>
      <c r="R602" s="436"/>
      <c r="S602" s="436"/>
      <c r="T602" s="436"/>
      <c r="U602" s="436"/>
      <c r="V602" s="436"/>
      <c r="W602" s="436"/>
      <c r="X602" s="436"/>
      <c r="Y602" s="436"/>
      <c r="Z602" s="436"/>
    </row>
    <row r="603" ht="15.75" customHeight="1">
      <c r="A603" s="436">
        <v>605.0</v>
      </c>
      <c r="B603" s="436" t="s">
        <v>3264</v>
      </c>
      <c r="C603" s="436" t="s">
        <v>3860</v>
      </c>
      <c r="D603" s="556" t="s">
        <v>4454</v>
      </c>
      <c r="E603" s="436"/>
      <c r="F603" s="436"/>
      <c r="G603" s="436"/>
      <c r="H603" s="436"/>
      <c r="I603" s="436"/>
      <c r="J603" s="436"/>
      <c r="K603" s="436"/>
      <c r="L603" s="436"/>
      <c r="M603" s="436"/>
      <c r="N603" s="436"/>
      <c r="O603" s="436"/>
      <c r="P603" s="436"/>
      <c r="Q603" s="436"/>
      <c r="R603" s="436"/>
      <c r="S603" s="436"/>
      <c r="T603" s="436"/>
      <c r="U603" s="436"/>
      <c r="V603" s="436"/>
      <c r="W603" s="436"/>
      <c r="X603" s="436"/>
      <c r="Y603" s="436"/>
      <c r="Z603" s="436"/>
    </row>
    <row r="604" ht="15.75" customHeight="1">
      <c r="A604" s="436">
        <v>606.0</v>
      </c>
      <c r="B604" s="436" t="s">
        <v>3264</v>
      </c>
      <c r="C604" s="436" t="s">
        <v>3860</v>
      </c>
      <c r="D604" s="556" t="s">
        <v>4455</v>
      </c>
      <c r="E604" s="436"/>
      <c r="F604" s="436"/>
      <c r="G604" s="436"/>
      <c r="H604" s="436"/>
      <c r="I604" s="436"/>
      <c r="J604" s="436"/>
      <c r="K604" s="436"/>
      <c r="L604" s="436"/>
      <c r="M604" s="436"/>
      <c r="N604" s="436"/>
      <c r="O604" s="436"/>
      <c r="P604" s="436"/>
      <c r="Q604" s="436"/>
      <c r="R604" s="436"/>
      <c r="S604" s="436"/>
      <c r="T604" s="436"/>
      <c r="U604" s="436"/>
      <c r="V604" s="436"/>
      <c r="W604" s="436"/>
      <c r="X604" s="436"/>
      <c r="Y604" s="436"/>
      <c r="Z604" s="436"/>
    </row>
    <row r="605" ht="15.75" customHeight="1">
      <c r="A605" s="436">
        <v>607.0</v>
      </c>
      <c r="B605" s="436" t="s">
        <v>3264</v>
      </c>
      <c r="C605" s="436" t="s">
        <v>3860</v>
      </c>
      <c r="D605" s="568" t="s">
        <v>4456</v>
      </c>
      <c r="E605" s="436"/>
      <c r="F605" s="436"/>
      <c r="G605" s="436"/>
      <c r="H605" s="436"/>
      <c r="I605" s="436"/>
      <c r="J605" s="436"/>
      <c r="K605" s="436"/>
      <c r="L605" s="436"/>
      <c r="M605" s="436"/>
      <c r="N605" s="436"/>
      <c r="O605" s="436"/>
      <c r="P605" s="436"/>
      <c r="Q605" s="436"/>
      <c r="R605" s="436"/>
      <c r="S605" s="436"/>
      <c r="T605" s="436"/>
      <c r="U605" s="436"/>
      <c r="V605" s="436"/>
      <c r="W605" s="436"/>
      <c r="X605" s="436"/>
      <c r="Y605" s="436"/>
      <c r="Z605" s="436"/>
    </row>
    <row r="606" ht="15.75" customHeight="1">
      <c r="A606" s="436">
        <v>608.0</v>
      </c>
      <c r="B606" s="436" t="s">
        <v>3264</v>
      </c>
      <c r="C606" s="436" t="s">
        <v>3860</v>
      </c>
      <c r="D606" s="568" t="s">
        <v>4457</v>
      </c>
      <c r="E606" s="436"/>
      <c r="F606" s="436"/>
      <c r="G606" s="436"/>
      <c r="H606" s="436"/>
      <c r="I606" s="436"/>
      <c r="J606" s="436"/>
      <c r="K606" s="436"/>
      <c r="L606" s="436"/>
      <c r="M606" s="436"/>
      <c r="N606" s="436"/>
      <c r="O606" s="436"/>
      <c r="P606" s="436"/>
      <c r="Q606" s="436"/>
      <c r="R606" s="436"/>
      <c r="S606" s="436"/>
      <c r="T606" s="436"/>
      <c r="U606" s="436"/>
      <c r="V606" s="436"/>
      <c r="W606" s="436"/>
      <c r="X606" s="436"/>
      <c r="Y606" s="436"/>
      <c r="Z606" s="436"/>
    </row>
    <row r="607" ht="15.75" customHeight="1">
      <c r="A607" s="436">
        <v>609.0</v>
      </c>
      <c r="B607" s="436" t="s">
        <v>3264</v>
      </c>
      <c r="C607" s="436" t="s">
        <v>3860</v>
      </c>
      <c r="D607" s="436" t="s">
        <v>4458</v>
      </c>
      <c r="E607" s="436"/>
      <c r="F607" s="436"/>
      <c r="G607" s="436"/>
      <c r="H607" s="436"/>
      <c r="I607" s="436"/>
      <c r="J607" s="436"/>
      <c r="K607" s="436"/>
      <c r="L607" s="436"/>
      <c r="M607" s="436"/>
      <c r="N607" s="436"/>
      <c r="O607" s="436"/>
      <c r="P607" s="436"/>
      <c r="Q607" s="436"/>
      <c r="R607" s="436"/>
      <c r="S607" s="436"/>
      <c r="T607" s="436"/>
      <c r="U607" s="436"/>
      <c r="V607" s="436"/>
      <c r="W607" s="436"/>
      <c r="X607" s="436"/>
      <c r="Y607" s="436"/>
      <c r="Z607" s="436"/>
    </row>
    <row r="608" ht="15.75" customHeight="1">
      <c r="A608" s="436">
        <v>610.0</v>
      </c>
      <c r="B608" s="436" t="s">
        <v>1849</v>
      </c>
      <c r="C608" s="436" t="s">
        <v>3860</v>
      </c>
      <c r="D608" s="436" t="s">
        <v>4459</v>
      </c>
      <c r="E608" s="436"/>
      <c r="F608" s="436"/>
      <c r="G608" s="436"/>
      <c r="H608" s="436"/>
      <c r="I608" s="436"/>
      <c r="J608" s="436"/>
      <c r="K608" s="436"/>
      <c r="L608" s="436"/>
      <c r="M608" s="436"/>
      <c r="N608" s="436"/>
      <c r="O608" s="436"/>
      <c r="P608" s="436"/>
      <c r="Q608" s="436"/>
      <c r="R608" s="436"/>
      <c r="S608" s="436"/>
      <c r="T608" s="436"/>
      <c r="U608" s="436"/>
      <c r="V608" s="436"/>
      <c r="W608" s="436"/>
      <c r="X608" s="436"/>
      <c r="Y608" s="436"/>
      <c r="Z608" s="436"/>
    </row>
    <row r="609" ht="15.75" customHeight="1">
      <c r="A609" s="436">
        <v>611.0</v>
      </c>
      <c r="B609" s="436" t="s">
        <v>3264</v>
      </c>
      <c r="C609" s="436" t="s">
        <v>3860</v>
      </c>
      <c r="D609" s="559" t="s">
        <v>4460</v>
      </c>
      <c r="E609" s="436"/>
      <c r="F609" s="436"/>
      <c r="G609" s="436"/>
      <c r="H609" s="436"/>
      <c r="I609" s="436"/>
      <c r="J609" s="436"/>
      <c r="K609" s="436"/>
      <c r="L609" s="436"/>
      <c r="M609" s="436"/>
      <c r="N609" s="436"/>
      <c r="O609" s="436"/>
      <c r="P609" s="436"/>
      <c r="Q609" s="436"/>
      <c r="R609" s="436"/>
      <c r="S609" s="436"/>
      <c r="T609" s="436"/>
      <c r="U609" s="436"/>
      <c r="V609" s="436"/>
      <c r="W609" s="436"/>
      <c r="X609" s="436"/>
      <c r="Y609" s="436"/>
      <c r="Z609" s="436"/>
    </row>
    <row r="610" ht="15.75" customHeight="1">
      <c r="A610" s="436">
        <v>612.0</v>
      </c>
      <c r="B610" s="436" t="s">
        <v>3264</v>
      </c>
      <c r="C610" s="436" t="s">
        <v>3860</v>
      </c>
      <c r="D610" s="436" t="s">
        <v>4461</v>
      </c>
      <c r="E610" s="436"/>
      <c r="F610" s="436"/>
      <c r="G610" s="436"/>
      <c r="H610" s="436"/>
      <c r="I610" s="436"/>
      <c r="J610" s="436"/>
      <c r="K610" s="436"/>
      <c r="L610" s="436"/>
      <c r="M610" s="436"/>
      <c r="N610" s="436"/>
      <c r="O610" s="436"/>
      <c r="P610" s="436"/>
      <c r="Q610" s="436"/>
      <c r="R610" s="436"/>
      <c r="S610" s="436"/>
      <c r="T610" s="436"/>
      <c r="U610" s="436"/>
      <c r="V610" s="436"/>
      <c r="W610" s="436"/>
      <c r="X610" s="436"/>
      <c r="Y610" s="436"/>
      <c r="Z610" s="436"/>
    </row>
    <row r="611" ht="15.75" customHeight="1">
      <c r="A611" s="436">
        <v>613.0</v>
      </c>
      <c r="B611" s="436" t="s">
        <v>3264</v>
      </c>
      <c r="C611" s="436" t="s">
        <v>3860</v>
      </c>
      <c r="D611" s="436" t="s">
        <v>4462</v>
      </c>
      <c r="E611" s="436"/>
      <c r="F611" s="436"/>
      <c r="G611" s="436"/>
      <c r="H611" s="436"/>
      <c r="I611" s="436"/>
      <c r="J611" s="436"/>
      <c r="K611" s="436"/>
      <c r="L611" s="436"/>
      <c r="M611" s="436"/>
      <c r="N611" s="436"/>
      <c r="O611" s="436"/>
      <c r="P611" s="436"/>
      <c r="Q611" s="436"/>
      <c r="R611" s="436"/>
      <c r="S611" s="436"/>
      <c r="T611" s="436"/>
      <c r="U611" s="436"/>
      <c r="V611" s="436"/>
      <c r="W611" s="436"/>
      <c r="X611" s="436"/>
      <c r="Y611" s="436"/>
      <c r="Z611" s="436"/>
    </row>
    <row r="612" ht="15.75" customHeight="1">
      <c r="A612" s="436">
        <v>614.0</v>
      </c>
      <c r="B612" s="436" t="s">
        <v>3264</v>
      </c>
      <c r="C612" s="436" t="s">
        <v>3860</v>
      </c>
      <c r="D612" s="436" t="s">
        <v>4463</v>
      </c>
      <c r="E612" s="436"/>
      <c r="F612" s="436"/>
      <c r="G612" s="436"/>
      <c r="H612" s="436"/>
      <c r="I612" s="436"/>
      <c r="J612" s="436"/>
      <c r="K612" s="436"/>
      <c r="L612" s="436"/>
      <c r="M612" s="436"/>
      <c r="N612" s="436"/>
      <c r="O612" s="436"/>
      <c r="P612" s="436"/>
      <c r="Q612" s="436"/>
      <c r="R612" s="436"/>
      <c r="S612" s="436"/>
      <c r="T612" s="436"/>
      <c r="U612" s="436"/>
      <c r="V612" s="436"/>
      <c r="W612" s="436"/>
      <c r="X612" s="436"/>
      <c r="Y612" s="436"/>
      <c r="Z612" s="436"/>
    </row>
    <row r="613" ht="15.75" customHeight="1">
      <c r="A613" s="436">
        <v>615.0</v>
      </c>
      <c r="B613" s="436" t="s">
        <v>3264</v>
      </c>
      <c r="C613" s="436" t="s">
        <v>3860</v>
      </c>
      <c r="D613" s="436" t="s">
        <v>4464</v>
      </c>
      <c r="E613" s="436"/>
      <c r="F613" s="436"/>
      <c r="G613" s="436"/>
      <c r="H613" s="436"/>
      <c r="I613" s="436"/>
      <c r="J613" s="436"/>
      <c r="K613" s="436"/>
      <c r="L613" s="436"/>
      <c r="M613" s="436"/>
      <c r="N613" s="436"/>
      <c r="O613" s="436"/>
      <c r="P613" s="436"/>
      <c r="Q613" s="436"/>
      <c r="R613" s="436"/>
      <c r="S613" s="436"/>
      <c r="T613" s="436"/>
      <c r="U613" s="436"/>
      <c r="V613" s="436"/>
      <c r="W613" s="436"/>
      <c r="X613" s="436"/>
      <c r="Y613" s="436"/>
      <c r="Z613" s="436"/>
    </row>
    <row r="614" ht="15.75" customHeight="1">
      <c r="A614" s="436">
        <v>616.0</v>
      </c>
      <c r="B614" s="436" t="s">
        <v>3264</v>
      </c>
      <c r="C614" s="436" t="s">
        <v>3860</v>
      </c>
      <c r="D614" s="568" t="s">
        <v>4465</v>
      </c>
      <c r="E614" s="436"/>
      <c r="F614" s="436"/>
      <c r="G614" s="436"/>
      <c r="H614" s="436"/>
      <c r="I614" s="436"/>
      <c r="J614" s="436"/>
      <c r="K614" s="436"/>
      <c r="L614" s="436"/>
      <c r="M614" s="436"/>
      <c r="N614" s="436"/>
      <c r="O614" s="436"/>
      <c r="P614" s="436"/>
      <c r="Q614" s="436"/>
      <c r="R614" s="436"/>
      <c r="S614" s="436"/>
      <c r="T614" s="436"/>
      <c r="U614" s="436"/>
      <c r="V614" s="436"/>
      <c r="W614" s="436"/>
      <c r="X614" s="436"/>
      <c r="Y614" s="436"/>
      <c r="Z614" s="436"/>
    </row>
    <row r="615" ht="15.75" customHeight="1">
      <c r="A615" s="436"/>
      <c r="B615" s="436"/>
      <c r="C615" s="436"/>
      <c r="D615" s="436"/>
      <c r="E615" s="436"/>
      <c r="F615" s="436"/>
      <c r="G615" s="436"/>
      <c r="H615" s="436"/>
      <c r="I615" s="436"/>
      <c r="J615" s="436"/>
      <c r="K615" s="436"/>
      <c r="L615" s="436"/>
      <c r="M615" s="436"/>
      <c r="N615" s="436"/>
      <c r="O615" s="436"/>
      <c r="P615" s="436"/>
      <c r="Q615" s="436"/>
      <c r="R615" s="436"/>
      <c r="S615" s="436"/>
      <c r="T615" s="436"/>
      <c r="U615" s="436"/>
      <c r="V615" s="436"/>
      <c r="W615" s="436"/>
      <c r="X615" s="436"/>
      <c r="Y615" s="436"/>
      <c r="Z615" s="436"/>
    </row>
    <row r="616" ht="15.75" customHeight="1">
      <c r="A616" s="436"/>
      <c r="B616" s="436"/>
      <c r="C616" s="436"/>
      <c r="D616" s="436"/>
      <c r="E616" s="436"/>
      <c r="F616" s="436"/>
      <c r="G616" s="436"/>
      <c r="H616" s="436"/>
      <c r="I616" s="436"/>
      <c r="J616" s="436"/>
      <c r="K616" s="436"/>
      <c r="L616" s="436"/>
      <c r="M616" s="436"/>
      <c r="N616" s="436"/>
      <c r="O616" s="436"/>
      <c r="P616" s="436"/>
      <c r="Q616" s="436"/>
      <c r="R616" s="436"/>
      <c r="S616" s="436"/>
      <c r="T616" s="436"/>
      <c r="U616" s="436"/>
      <c r="V616" s="436"/>
      <c r="W616" s="436"/>
      <c r="X616" s="436"/>
      <c r="Y616" s="436"/>
      <c r="Z616" s="436"/>
    </row>
    <row r="617" ht="15.75" customHeight="1">
      <c r="A617" s="436"/>
      <c r="B617" s="436"/>
      <c r="C617" s="436"/>
      <c r="D617" s="436"/>
      <c r="E617" s="436"/>
      <c r="F617" s="436"/>
      <c r="G617" s="436"/>
      <c r="H617" s="436"/>
      <c r="I617" s="436"/>
      <c r="J617" s="436"/>
      <c r="K617" s="436"/>
      <c r="L617" s="436"/>
      <c r="M617" s="436"/>
      <c r="N617" s="436"/>
      <c r="O617" s="436"/>
      <c r="P617" s="436"/>
      <c r="Q617" s="436"/>
      <c r="R617" s="436"/>
      <c r="S617" s="436"/>
      <c r="T617" s="436"/>
      <c r="U617" s="436"/>
      <c r="V617" s="436"/>
      <c r="W617" s="436"/>
      <c r="X617" s="436"/>
      <c r="Y617" s="436"/>
      <c r="Z617" s="436"/>
    </row>
    <row r="618" ht="15.75" customHeight="1">
      <c r="A618" s="436"/>
      <c r="B618" s="436"/>
      <c r="C618" s="436"/>
      <c r="D618" s="436"/>
      <c r="E618" s="436"/>
      <c r="F618" s="436"/>
      <c r="G618" s="436"/>
      <c r="H618" s="436"/>
      <c r="I618" s="436"/>
      <c r="J618" s="436"/>
      <c r="K618" s="436"/>
      <c r="L618" s="436"/>
      <c r="M618" s="436"/>
      <c r="N618" s="436"/>
      <c r="O618" s="436"/>
      <c r="P618" s="436"/>
      <c r="Q618" s="436"/>
      <c r="R618" s="436"/>
      <c r="S618" s="436"/>
      <c r="T618" s="436"/>
      <c r="U618" s="436"/>
      <c r="V618" s="436"/>
      <c r="W618" s="436"/>
      <c r="X618" s="436"/>
      <c r="Y618" s="436"/>
      <c r="Z618" s="436"/>
    </row>
    <row r="619" ht="15.75" customHeight="1">
      <c r="A619" s="436"/>
      <c r="B619" s="436"/>
      <c r="C619" s="436"/>
      <c r="D619" s="436"/>
      <c r="E619" s="436"/>
      <c r="F619" s="436"/>
      <c r="G619" s="436"/>
      <c r="H619" s="436"/>
      <c r="I619" s="436"/>
      <c r="J619" s="436"/>
      <c r="K619" s="436"/>
      <c r="L619" s="436"/>
      <c r="M619" s="436"/>
      <c r="N619" s="436"/>
      <c r="O619" s="436"/>
      <c r="P619" s="436"/>
      <c r="Q619" s="436"/>
      <c r="R619" s="436"/>
      <c r="S619" s="436"/>
      <c r="T619" s="436"/>
      <c r="U619" s="436"/>
      <c r="V619" s="436"/>
      <c r="W619" s="436"/>
      <c r="X619" s="436"/>
      <c r="Y619" s="436"/>
      <c r="Z619" s="436"/>
    </row>
    <row r="620" ht="15.75" customHeight="1">
      <c r="A620" s="436"/>
      <c r="B620" s="436"/>
      <c r="C620" s="436"/>
      <c r="D620" s="436"/>
      <c r="E620" s="436"/>
      <c r="F620" s="436"/>
      <c r="G620" s="436"/>
      <c r="H620" s="436"/>
      <c r="I620" s="436"/>
      <c r="J620" s="436"/>
      <c r="K620" s="436"/>
      <c r="L620" s="436"/>
      <c r="M620" s="436"/>
      <c r="N620" s="436"/>
      <c r="O620" s="436"/>
      <c r="P620" s="436"/>
      <c r="Q620" s="436"/>
      <c r="R620" s="436"/>
      <c r="S620" s="436"/>
      <c r="T620" s="436"/>
      <c r="U620" s="436"/>
      <c r="V620" s="436"/>
      <c r="W620" s="436"/>
      <c r="X620" s="436"/>
      <c r="Y620" s="436"/>
      <c r="Z620" s="436"/>
    </row>
    <row r="621" ht="15.75" customHeight="1">
      <c r="A621" s="436"/>
      <c r="B621" s="436"/>
      <c r="C621" s="436"/>
      <c r="D621" s="436"/>
      <c r="E621" s="436"/>
      <c r="F621" s="436"/>
      <c r="G621" s="436"/>
      <c r="H621" s="436"/>
      <c r="I621" s="436"/>
      <c r="J621" s="436"/>
      <c r="K621" s="436"/>
      <c r="L621" s="436"/>
      <c r="M621" s="436"/>
      <c r="N621" s="436"/>
      <c r="O621" s="436"/>
      <c r="P621" s="436"/>
      <c r="Q621" s="436"/>
      <c r="R621" s="436"/>
      <c r="S621" s="436"/>
      <c r="T621" s="436"/>
      <c r="U621" s="436"/>
      <c r="V621" s="436"/>
      <c r="W621" s="436"/>
      <c r="X621" s="436"/>
      <c r="Y621" s="436"/>
      <c r="Z621" s="436"/>
    </row>
    <row r="622" ht="15.75" customHeight="1">
      <c r="A622" s="436"/>
      <c r="B622" s="436"/>
      <c r="C622" s="436"/>
      <c r="D622" s="436"/>
      <c r="E622" s="436"/>
      <c r="F622" s="436"/>
      <c r="G622" s="436"/>
      <c r="H622" s="436"/>
      <c r="I622" s="436"/>
      <c r="J622" s="436"/>
      <c r="K622" s="436"/>
      <c r="L622" s="436"/>
      <c r="M622" s="436"/>
      <c r="N622" s="436"/>
      <c r="O622" s="436"/>
      <c r="P622" s="436"/>
      <c r="Q622" s="436"/>
      <c r="R622" s="436"/>
      <c r="S622" s="436"/>
      <c r="T622" s="436"/>
      <c r="U622" s="436"/>
      <c r="V622" s="436"/>
      <c r="W622" s="436"/>
      <c r="X622" s="436"/>
      <c r="Y622" s="436"/>
      <c r="Z622" s="436"/>
    </row>
    <row r="623" ht="15.75" customHeight="1">
      <c r="A623" s="436"/>
      <c r="B623" s="436"/>
      <c r="C623" s="436"/>
      <c r="D623" s="436"/>
      <c r="E623" s="436"/>
      <c r="F623" s="436"/>
      <c r="G623" s="436"/>
      <c r="H623" s="436"/>
      <c r="I623" s="436"/>
      <c r="J623" s="436"/>
      <c r="K623" s="436"/>
      <c r="L623" s="436"/>
      <c r="M623" s="436"/>
      <c r="N623" s="436"/>
      <c r="O623" s="436"/>
      <c r="P623" s="436"/>
      <c r="Q623" s="436"/>
      <c r="R623" s="436"/>
      <c r="S623" s="436"/>
      <c r="T623" s="436"/>
      <c r="U623" s="436"/>
      <c r="V623" s="436"/>
      <c r="W623" s="436"/>
      <c r="X623" s="436"/>
      <c r="Y623" s="436"/>
      <c r="Z623" s="436"/>
    </row>
    <row r="624" ht="15.75" customHeight="1">
      <c r="A624" s="436"/>
      <c r="B624" s="436"/>
      <c r="C624" s="436"/>
      <c r="D624" s="436"/>
      <c r="E624" s="436"/>
      <c r="F624" s="436"/>
      <c r="G624" s="436"/>
      <c r="H624" s="436"/>
      <c r="I624" s="436"/>
      <c r="J624" s="436"/>
      <c r="K624" s="436"/>
      <c r="L624" s="436"/>
      <c r="M624" s="436"/>
      <c r="N624" s="436"/>
      <c r="O624" s="436"/>
      <c r="P624" s="436"/>
      <c r="Q624" s="436"/>
      <c r="R624" s="436"/>
      <c r="S624" s="436"/>
      <c r="T624" s="436"/>
      <c r="U624" s="436"/>
      <c r="V624" s="436"/>
      <c r="W624" s="436"/>
      <c r="X624" s="436"/>
      <c r="Y624" s="436"/>
      <c r="Z624" s="436"/>
    </row>
    <row r="625" ht="15.75" customHeight="1">
      <c r="A625" s="436"/>
      <c r="B625" s="436"/>
      <c r="C625" s="436"/>
      <c r="D625" s="436"/>
      <c r="E625" s="436"/>
      <c r="F625" s="436"/>
      <c r="G625" s="436"/>
      <c r="H625" s="436"/>
      <c r="I625" s="436"/>
      <c r="J625" s="436"/>
      <c r="K625" s="436"/>
      <c r="L625" s="436"/>
      <c r="M625" s="436"/>
      <c r="N625" s="436"/>
      <c r="O625" s="436"/>
      <c r="P625" s="436"/>
      <c r="Q625" s="436"/>
      <c r="R625" s="436"/>
      <c r="S625" s="436"/>
      <c r="T625" s="436"/>
      <c r="U625" s="436"/>
      <c r="V625" s="436"/>
      <c r="W625" s="436"/>
      <c r="X625" s="436"/>
      <c r="Y625" s="436"/>
      <c r="Z625" s="436"/>
    </row>
    <row r="626" ht="15.75" customHeight="1">
      <c r="A626" s="436"/>
      <c r="B626" s="436"/>
      <c r="C626" s="436"/>
      <c r="D626" s="436"/>
      <c r="E626" s="436"/>
      <c r="F626" s="436"/>
      <c r="G626" s="436"/>
      <c r="H626" s="436"/>
      <c r="I626" s="436"/>
      <c r="J626" s="436"/>
      <c r="K626" s="436"/>
      <c r="L626" s="436"/>
      <c r="M626" s="436"/>
      <c r="N626" s="436"/>
      <c r="O626" s="436"/>
      <c r="P626" s="436"/>
      <c r="Q626" s="436"/>
      <c r="R626" s="436"/>
      <c r="S626" s="436"/>
      <c r="T626" s="436"/>
      <c r="U626" s="436"/>
      <c r="V626" s="436"/>
      <c r="W626" s="436"/>
      <c r="X626" s="436"/>
      <c r="Y626" s="436"/>
      <c r="Z626" s="436"/>
    </row>
    <row r="627" ht="15.75" customHeight="1">
      <c r="A627" s="436"/>
      <c r="B627" s="436"/>
      <c r="C627" s="436"/>
      <c r="D627" s="436"/>
      <c r="E627" s="436"/>
      <c r="F627" s="436"/>
      <c r="G627" s="436"/>
      <c r="H627" s="436"/>
      <c r="I627" s="436"/>
      <c r="J627" s="436"/>
      <c r="K627" s="436"/>
      <c r="L627" s="436"/>
      <c r="M627" s="436"/>
      <c r="N627" s="436"/>
      <c r="O627" s="436"/>
      <c r="P627" s="436"/>
      <c r="Q627" s="436"/>
      <c r="R627" s="436"/>
      <c r="S627" s="436"/>
      <c r="T627" s="436"/>
      <c r="U627" s="436"/>
      <c r="V627" s="436"/>
      <c r="W627" s="436"/>
      <c r="X627" s="436"/>
      <c r="Y627" s="436"/>
      <c r="Z627" s="436"/>
    </row>
    <row r="628" ht="15.75" customHeight="1">
      <c r="A628" s="436"/>
      <c r="B628" s="436"/>
      <c r="C628" s="436"/>
      <c r="D628" s="436"/>
      <c r="E628" s="436"/>
      <c r="F628" s="436"/>
      <c r="G628" s="436"/>
      <c r="H628" s="436"/>
      <c r="I628" s="436"/>
      <c r="J628" s="436"/>
      <c r="K628" s="436"/>
      <c r="L628" s="436"/>
      <c r="M628" s="436"/>
      <c r="N628" s="436"/>
      <c r="O628" s="436"/>
      <c r="P628" s="436"/>
      <c r="Q628" s="436"/>
      <c r="R628" s="436"/>
      <c r="S628" s="436"/>
      <c r="T628" s="436"/>
      <c r="U628" s="436"/>
      <c r="V628" s="436"/>
      <c r="W628" s="436"/>
      <c r="X628" s="436"/>
      <c r="Y628" s="436"/>
      <c r="Z628" s="436"/>
    </row>
    <row r="629" ht="15.75" customHeight="1">
      <c r="A629" s="436"/>
      <c r="B629" s="436"/>
      <c r="C629" s="436"/>
      <c r="D629" s="436"/>
      <c r="E629" s="436"/>
      <c r="F629" s="436"/>
      <c r="G629" s="436"/>
      <c r="H629" s="436"/>
      <c r="I629" s="436"/>
      <c r="J629" s="436"/>
      <c r="K629" s="436"/>
      <c r="L629" s="436"/>
      <c r="M629" s="436"/>
      <c r="N629" s="436"/>
      <c r="O629" s="436"/>
      <c r="P629" s="436"/>
      <c r="Q629" s="436"/>
      <c r="R629" s="436"/>
      <c r="S629" s="436"/>
      <c r="T629" s="436"/>
      <c r="U629" s="436"/>
      <c r="V629" s="436"/>
      <c r="W629" s="436"/>
      <c r="X629" s="436"/>
      <c r="Y629" s="436"/>
      <c r="Z629" s="436"/>
    </row>
    <row r="630" ht="15.75" customHeight="1">
      <c r="A630" s="436"/>
      <c r="B630" s="436"/>
      <c r="C630" s="436"/>
      <c r="D630" s="436"/>
      <c r="E630" s="436"/>
      <c r="F630" s="436"/>
      <c r="G630" s="436"/>
      <c r="H630" s="436"/>
      <c r="I630" s="436"/>
      <c r="J630" s="436"/>
      <c r="K630" s="436"/>
      <c r="L630" s="436"/>
      <c r="M630" s="436"/>
      <c r="N630" s="436"/>
      <c r="O630" s="436"/>
      <c r="P630" s="436"/>
      <c r="Q630" s="436"/>
      <c r="R630" s="436"/>
      <c r="S630" s="436"/>
      <c r="T630" s="436"/>
      <c r="U630" s="436"/>
      <c r="V630" s="436"/>
      <c r="W630" s="436"/>
      <c r="X630" s="436"/>
      <c r="Y630" s="436"/>
      <c r="Z630" s="436"/>
    </row>
    <row r="631" ht="15.75" customHeight="1">
      <c r="A631" s="436"/>
      <c r="B631" s="436"/>
      <c r="C631" s="436"/>
      <c r="D631" s="436"/>
      <c r="E631" s="436"/>
      <c r="F631" s="436"/>
      <c r="G631" s="436"/>
      <c r="H631" s="436"/>
      <c r="I631" s="436"/>
      <c r="J631" s="436"/>
      <c r="K631" s="436"/>
      <c r="L631" s="436"/>
      <c r="M631" s="436"/>
      <c r="N631" s="436"/>
      <c r="O631" s="436"/>
      <c r="P631" s="436"/>
      <c r="Q631" s="436"/>
      <c r="R631" s="436"/>
      <c r="S631" s="436"/>
      <c r="T631" s="436"/>
      <c r="U631" s="436"/>
      <c r="V631" s="436"/>
      <c r="W631" s="436"/>
      <c r="X631" s="436"/>
      <c r="Y631" s="436"/>
      <c r="Z631" s="436"/>
    </row>
    <row r="632" ht="15.75" customHeight="1">
      <c r="A632" s="436"/>
      <c r="B632" s="436"/>
      <c r="C632" s="436"/>
      <c r="D632" s="436"/>
      <c r="E632" s="436"/>
      <c r="F632" s="436"/>
      <c r="G632" s="436"/>
      <c r="H632" s="436"/>
      <c r="I632" s="436"/>
      <c r="J632" s="436"/>
      <c r="K632" s="436"/>
      <c r="L632" s="436"/>
      <c r="M632" s="436"/>
      <c r="N632" s="436"/>
      <c r="O632" s="436"/>
      <c r="P632" s="436"/>
      <c r="Q632" s="436"/>
      <c r="R632" s="436"/>
      <c r="S632" s="436"/>
      <c r="T632" s="436"/>
      <c r="U632" s="436"/>
      <c r="V632" s="436"/>
      <c r="W632" s="436"/>
      <c r="X632" s="436"/>
      <c r="Y632" s="436"/>
      <c r="Z632" s="436"/>
    </row>
    <row r="633" ht="15.75" customHeight="1">
      <c r="A633" s="436"/>
      <c r="B633" s="436"/>
      <c r="C633" s="436"/>
      <c r="D633" s="436"/>
      <c r="E633" s="436"/>
      <c r="F633" s="436"/>
      <c r="G633" s="436"/>
      <c r="H633" s="436"/>
      <c r="I633" s="436"/>
      <c r="J633" s="436"/>
      <c r="K633" s="436"/>
      <c r="L633" s="436"/>
      <c r="M633" s="436"/>
      <c r="N633" s="436"/>
      <c r="O633" s="436"/>
      <c r="P633" s="436"/>
      <c r="Q633" s="436"/>
      <c r="R633" s="436"/>
      <c r="S633" s="436"/>
      <c r="T633" s="436"/>
      <c r="U633" s="436"/>
      <c r="V633" s="436"/>
      <c r="W633" s="436"/>
      <c r="X633" s="436"/>
      <c r="Y633" s="436"/>
      <c r="Z633" s="436"/>
    </row>
    <row r="634" ht="15.75" customHeight="1">
      <c r="A634" s="436"/>
      <c r="B634" s="436"/>
      <c r="C634" s="436"/>
      <c r="D634" s="436"/>
      <c r="E634" s="436"/>
      <c r="F634" s="436"/>
      <c r="G634" s="436"/>
      <c r="H634" s="436"/>
      <c r="I634" s="436"/>
      <c r="J634" s="436"/>
      <c r="K634" s="436"/>
      <c r="L634" s="436"/>
      <c r="M634" s="436"/>
      <c r="N634" s="436"/>
      <c r="O634" s="436"/>
      <c r="P634" s="436"/>
      <c r="Q634" s="436"/>
      <c r="R634" s="436"/>
      <c r="S634" s="436"/>
      <c r="T634" s="436"/>
      <c r="U634" s="436"/>
      <c r="V634" s="436"/>
      <c r="W634" s="436"/>
      <c r="X634" s="436"/>
      <c r="Y634" s="436"/>
      <c r="Z634" s="436"/>
    </row>
    <row r="635" ht="15.75" customHeight="1">
      <c r="A635" s="436"/>
      <c r="B635" s="436"/>
      <c r="C635" s="436"/>
      <c r="D635" s="436"/>
      <c r="E635" s="436"/>
      <c r="F635" s="436"/>
      <c r="G635" s="436"/>
      <c r="H635" s="436"/>
      <c r="I635" s="436"/>
      <c r="J635" s="436"/>
      <c r="K635" s="436"/>
      <c r="L635" s="436"/>
      <c r="M635" s="436"/>
      <c r="N635" s="436"/>
      <c r="O635" s="436"/>
      <c r="P635" s="436"/>
      <c r="Q635" s="436"/>
      <c r="R635" s="436"/>
      <c r="S635" s="436"/>
      <c r="T635" s="436"/>
      <c r="U635" s="436"/>
      <c r="V635" s="436"/>
      <c r="W635" s="436"/>
      <c r="X635" s="436"/>
      <c r="Y635" s="436"/>
      <c r="Z635" s="436"/>
    </row>
    <row r="636" ht="15.75" customHeight="1">
      <c r="A636" s="436"/>
      <c r="B636" s="436"/>
      <c r="C636" s="436"/>
      <c r="D636" s="436"/>
      <c r="E636" s="436"/>
      <c r="F636" s="436"/>
      <c r="G636" s="436"/>
      <c r="H636" s="436"/>
      <c r="I636" s="436"/>
      <c r="J636" s="436"/>
      <c r="K636" s="436"/>
      <c r="L636" s="436"/>
      <c r="M636" s="436"/>
      <c r="N636" s="436"/>
      <c r="O636" s="436"/>
      <c r="P636" s="436"/>
      <c r="Q636" s="436"/>
      <c r="R636" s="436"/>
      <c r="S636" s="436"/>
      <c r="T636" s="436"/>
      <c r="U636" s="436"/>
      <c r="V636" s="436"/>
      <c r="W636" s="436"/>
      <c r="X636" s="436"/>
      <c r="Y636" s="436"/>
      <c r="Z636" s="436"/>
    </row>
    <row r="637" ht="15.75" customHeight="1">
      <c r="A637" s="436"/>
      <c r="B637" s="436"/>
      <c r="C637" s="436"/>
      <c r="D637" s="436"/>
      <c r="E637" s="436"/>
      <c r="F637" s="436"/>
      <c r="G637" s="436"/>
      <c r="H637" s="436"/>
      <c r="I637" s="436"/>
      <c r="J637" s="436"/>
      <c r="K637" s="436"/>
      <c r="L637" s="436"/>
      <c r="M637" s="436"/>
      <c r="N637" s="436"/>
      <c r="O637" s="436"/>
      <c r="P637" s="436"/>
      <c r="Q637" s="436"/>
      <c r="R637" s="436"/>
      <c r="S637" s="436"/>
      <c r="T637" s="436"/>
      <c r="U637" s="436"/>
      <c r="V637" s="436"/>
      <c r="W637" s="436"/>
      <c r="X637" s="436"/>
      <c r="Y637" s="436"/>
      <c r="Z637" s="436"/>
    </row>
    <row r="638" ht="15.75" customHeight="1">
      <c r="A638" s="436"/>
      <c r="B638" s="436"/>
      <c r="C638" s="436"/>
      <c r="D638" s="436"/>
      <c r="E638" s="436"/>
      <c r="F638" s="436"/>
      <c r="G638" s="436"/>
      <c r="H638" s="436"/>
      <c r="I638" s="436"/>
      <c r="J638" s="436"/>
      <c r="K638" s="436"/>
      <c r="L638" s="436"/>
      <c r="M638" s="436"/>
      <c r="N638" s="436"/>
      <c r="O638" s="436"/>
      <c r="P638" s="436"/>
      <c r="Q638" s="436"/>
      <c r="R638" s="436"/>
      <c r="S638" s="436"/>
      <c r="T638" s="436"/>
      <c r="U638" s="436"/>
      <c r="V638" s="436"/>
      <c r="W638" s="436"/>
      <c r="X638" s="436"/>
      <c r="Y638" s="436"/>
      <c r="Z638" s="436"/>
    </row>
    <row r="639" ht="15.75" customHeight="1">
      <c r="A639" s="436"/>
      <c r="B639" s="436"/>
      <c r="C639" s="436"/>
      <c r="D639" s="436"/>
      <c r="E639" s="436"/>
      <c r="F639" s="436"/>
      <c r="G639" s="436"/>
      <c r="H639" s="436"/>
      <c r="I639" s="436"/>
      <c r="J639" s="436"/>
      <c r="K639" s="436"/>
      <c r="L639" s="436"/>
      <c r="M639" s="436"/>
      <c r="N639" s="436"/>
      <c r="O639" s="436"/>
      <c r="P639" s="436"/>
      <c r="Q639" s="436"/>
      <c r="R639" s="436"/>
      <c r="S639" s="436"/>
      <c r="T639" s="436"/>
      <c r="U639" s="436"/>
      <c r="V639" s="436"/>
      <c r="W639" s="436"/>
      <c r="X639" s="436"/>
      <c r="Y639" s="436"/>
      <c r="Z639" s="436"/>
    </row>
    <row r="640" ht="15.75" customHeight="1">
      <c r="A640" s="436"/>
      <c r="B640" s="436"/>
      <c r="C640" s="436"/>
      <c r="D640" s="436"/>
      <c r="E640" s="436"/>
      <c r="F640" s="436"/>
      <c r="G640" s="436"/>
      <c r="H640" s="436"/>
      <c r="I640" s="436"/>
      <c r="J640" s="436"/>
      <c r="K640" s="436"/>
      <c r="L640" s="436"/>
      <c r="M640" s="436"/>
      <c r="N640" s="436"/>
      <c r="O640" s="436"/>
      <c r="P640" s="436"/>
      <c r="Q640" s="436"/>
      <c r="R640" s="436"/>
      <c r="S640" s="436"/>
      <c r="T640" s="436"/>
      <c r="U640" s="436"/>
      <c r="V640" s="436"/>
      <c r="W640" s="436"/>
      <c r="X640" s="436"/>
      <c r="Y640" s="436"/>
      <c r="Z640" s="436"/>
    </row>
    <row r="641" ht="15.75" customHeight="1">
      <c r="A641" s="436"/>
      <c r="B641" s="436"/>
      <c r="C641" s="436"/>
      <c r="D641" s="436"/>
      <c r="E641" s="436"/>
      <c r="F641" s="436"/>
      <c r="G641" s="436"/>
      <c r="H641" s="436"/>
      <c r="I641" s="436"/>
      <c r="J641" s="436"/>
      <c r="K641" s="436"/>
      <c r="L641" s="436"/>
      <c r="M641" s="436"/>
      <c r="N641" s="436"/>
      <c r="O641" s="436"/>
      <c r="P641" s="436"/>
      <c r="Q641" s="436"/>
      <c r="R641" s="436"/>
      <c r="S641" s="436"/>
      <c r="T641" s="436"/>
      <c r="U641" s="436"/>
      <c r="V641" s="436"/>
      <c r="W641" s="436"/>
      <c r="X641" s="436"/>
      <c r="Y641" s="436"/>
      <c r="Z641" s="436"/>
    </row>
    <row r="642" ht="15.75" customHeight="1">
      <c r="A642" s="436"/>
      <c r="B642" s="436"/>
      <c r="C642" s="436"/>
      <c r="D642" s="436"/>
      <c r="E642" s="436"/>
      <c r="F642" s="436"/>
      <c r="G642" s="436"/>
      <c r="H642" s="436"/>
      <c r="I642" s="436"/>
      <c r="J642" s="436"/>
      <c r="K642" s="436"/>
      <c r="L642" s="436"/>
      <c r="M642" s="436"/>
      <c r="N642" s="436"/>
      <c r="O642" s="436"/>
      <c r="P642" s="436"/>
      <c r="Q642" s="436"/>
      <c r="R642" s="436"/>
      <c r="S642" s="436"/>
      <c r="T642" s="436"/>
      <c r="U642" s="436"/>
      <c r="V642" s="436"/>
      <c r="W642" s="436"/>
      <c r="X642" s="436"/>
      <c r="Y642" s="436"/>
      <c r="Z642" s="436"/>
    </row>
    <row r="643" ht="15.75" customHeight="1">
      <c r="A643" s="436"/>
      <c r="B643" s="436"/>
      <c r="C643" s="436"/>
      <c r="D643" s="436"/>
      <c r="E643" s="436"/>
      <c r="F643" s="436"/>
      <c r="G643" s="436"/>
      <c r="H643" s="436"/>
      <c r="I643" s="436"/>
      <c r="J643" s="436"/>
      <c r="K643" s="436"/>
      <c r="L643" s="436"/>
      <c r="M643" s="436"/>
      <c r="N643" s="436"/>
      <c r="O643" s="436"/>
      <c r="P643" s="436"/>
      <c r="Q643" s="436"/>
      <c r="R643" s="436"/>
      <c r="S643" s="436"/>
      <c r="T643" s="436"/>
      <c r="U643" s="436"/>
      <c r="V643" s="436"/>
      <c r="W643" s="436"/>
      <c r="X643" s="436"/>
      <c r="Y643" s="436"/>
      <c r="Z643" s="436"/>
    </row>
    <row r="644" ht="15.75" customHeight="1">
      <c r="A644" s="436"/>
      <c r="B644" s="436"/>
      <c r="C644" s="436"/>
      <c r="D644" s="436"/>
      <c r="E644" s="436"/>
      <c r="F644" s="436"/>
      <c r="G644" s="436"/>
      <c r="H644" s="436"/>
      <c r="I644" s="436"/>
      <c r="J644" s="436"/>
      <c r="K644" s="436"/>
      <c r="L644" s="436"/>
      <c r="M644" s="436"/>
      <c r="N644" s="436"/>
      <c r="O644" s="436"/>
      <c r="P644" s="436"/>
      <c r="Q644" s="436"/>
      <c r="R644" s="436"/>
      <c r="S644" s="436"/>
      <c r="T644" s="436"/>
      <c r="U644" s="436"/>
      <c r="V644" s="436"/>
      <c r="W644" s="436"/>
      <c r="X644" s="436"/>
      <c r="Y644" s="436"/>
      <c r="Z644" s="436"/>
    </row>
    <row r="645" ht="15.75" customHeight="1">
      <c r="A645" s="436"/>
      <c r="B645" s="436"/>
      <c r="C645" s="436"/>
      <c r="D645" s="436"/>
      <c r="E645" s="436"/>
      <c r="F645" s="436"/>
      <c r="G645" s="436"/>
      <c r="H645" s="436"/>
      <c r="I645" s="436"/>
      <c r="J645" s="436"/>
      <c r="K645" s="436"/>
      <c r="L645" s="436"/>
      <c r="M645" s="436"/>
      <c r="N645" s="436"/>
      <c r="O645" s="436"/>
      <c r="P645" s="436"/>
      <c r="Q645" s="436"/>
      <c r="R645" s="436"/>
      <c r="S645" s="436"/>
      <c r="T645" s="436"/>
      <c r="U645" s="436"/>
      <c r="V645" s="436"/>
      <c r="W645" s="436"/>
      <c r="X645" s="436"/>
      <c r="Y645" s="436"/>
      <c r="Z645" s="436"/>
    </row>
    <row r="646" ht="15.75" customHeight="1">
      <c r="A646" s="436"/>
      <c r="B646" s="436"/>
      <c r="C646" s="436"/>
      <c r="D646" s="436"/>
      <c r="E646" s="436"/>
      <c r="F646" s="436"/>
      <c r="G646" s="436"/>
      <c r="H646" s="436"/>
      <c r="I646" s="436"/>
      <c r="J646" s="436"/>
      <c r="K646" s="436"/>
      <c r="L646" s="436"/>
      <c r="M646" s="436"/>
      <c r="N646" s="436"/>
      <c r="O646" s="436"/>
      <c r="P646" s="436"/>
      <c r="Q646" s="436"/>
      <c r="R646" s="436"/>
      <c r="S646" s="436"/>
      <c r="T646" s="436"/>
      <c r="U646" s="436"/>
      <c r="V646" s="436"/>
      <c r="W646" s="436"/>
      <c r="X646" s="436"/>
      <c r="Y646" s="436"/>
      <c r="Z646" s="436"/>
    </row>
    <row r="647" ht="15.75" customHeight="1">
      <c r="A647" s="436"/>
      <c r="B647" s="436"/>
      <c r="C647" s="436"/>
      <c r="D647" s="436"/>
      <c r="E647" s="436"/>
      <c r="F647" s="436"/>
      <c r="G647" s="436"/>
      <c r="H647" s="436"/>
      <c r="I647" s="436"/>
      <c r="J647" s="436"/>
      <c r="K647" s="436"/>
      <c r="L647" s="436"/>
      <c r="M647" s="436"/>
      <c r="N647" s="436"/>
      <c r="O647" s="436"/>
      <c r="P647" s="436"/>
      <c r="Q647" s="436"/>
      <c r="R647" s="436"/>
      <c r="S647" s="436"/>
      <c r="T647" s="436"/>
      <c r="U647" s="436"/>
      <c r="V647" s="436"/>
      <c r="W647" s="436"/>
      <c r="X647" s="436"/>
      <c r="Y647" s="436"/>
      <c r="Z647" s="436"/>
    </row>
    <row r="648" ht="15.75" customHeight="1">
      <c r="A648" s="436"/>
      <c r="B648" s="436"/>
      <c r="C648" s="436"/>
      <c r="D648" s="436"/>
      <c r="E648" s="436"/>
      <c r="F648" s="436"/>
      <c r="G648" s="436"/>
      <c r="H648" s="436"/>
      <c r="I648" s="436"/>
      <c r="J648" s="436"/>
      <c r="K648" s="436"/>
      <c r="L648" s="436"/>
      <c r="M648" s="436"/>
      <c r="N648" s="436"/>
      <c r="O648" s="436"/>
      <c r="P648" s="436"/>
      <c r="Q648" s="436"/>
      <c r="R648" s="436"/>
      <c r="S648" s="436"/>
      <c r="T648" s="436"/>
      <c r="U648" s="436"/>
      <c r="V648" s="436"/>
      <c r="W648" s="436"/>
      <c r="X648" s="436"/>
      <c r="Y648" s="436"/>
      <c r="Z648" s="436"/>
    </row>
    <row r="649" ht="15.75" customHeight="1">
      <c r="A649" s="436"/>
      <c r="B649" s="436"/>
      <c r="C649" s="436"/>
      <c r="D649" s="436"/>
      <c r="E649" s="436"/>
      <c r="F649" s="436"/>
      <c r="G649" s="436"/>
      <c r="H649" s="436"/>
      <c r="I649" s="436"/>
      <c r="J649" s="436"/>
      <c r="K649" s="436"/>
      <c r="L649" s="436"/>
      <c r="M649" s="436"/>
      <c r="N649" s="436"/>
      <c r="O649" s="436"/>
      <c r="P649" s="436"/>
      <c r="Q649" s="436"/>
      <c r="R649" s="436"/>
      <c r="S649" s="436"/>
      <c r="T649" s="436"/>
      <c r="U649" s="436"/>
      <c r="V649" s="436"/>
      <c r="W649" s="436"/>
      <c r="X649" s="436"/>
      <c r="Y649" s="436"/>
      <c r="Z649" s="436"/>
    </row>
    <row r="650" ht="15.75" customHeight="1">
      <c r="A650" s="436"/>
      <c r="B650" s="436"/>
      <c r="C650" s="436"/>
      <c r="D650" s="436"/>
      <c r="E650" s="436"/>
      <c r="F650" s="436"/>
      <c r="G650" s="436"/>
      <c r="H650" s="436"/>
      <c r="I650" s="436"/>
      <c r="J650" s="436"/>
      <c r="K650" s="436"/>
      <c r="L650" s="436"/>
      <c r="M650" s="436"/>
      <c r="N650" s="436"/>
      <c r="O650" s="436"/>
      <c r="P650" s="436"/>
      <c r="Q650" s="436"/>
      <c r="R650" s="436"/>
      <c r="S650" s="436"/>
      <c r="T650" s="436"/>
      <c r="U650" s="436"/>
      <c r="V650" s="436"/>
      <c r="W650" s="436"/>
      <c r="X650" s="436"/>
      <c r="Y650" s="436"/>
      <c r="Z650" s="436"/>
    </row>
    <row r="651" ht="15.75" customHeight="1">
      <c r="A651" s="436"/>
      <c r="B651" s="436"/>
      <c r="C651" s="436"/>
      <c r="D651" s="436"/>
      <c r="E651" s="436"/>
      <c r="F651" s="436"/>
      <c r="G651" s="436"/>
      <c r="H651" s="436"/>
      <c r="I651" s="436"/>
      <c r="J651" s="436"/>
      <c r="K651" s="436"/>
      <c r="L651" s="436"/>
      <c r="M651" s="436"/>
      <c r="N651" s="436"/>
      <c r="O651" s="436"/>
      <c r="P651" s="436"/>
      <c r="Q651" s="436"/>
      <c r="R651" s="436"/>
      <c r="S651" s="436"/>
      <c r="T651" s="436"/>
      <c r="U651" s="436"/>
      <c r="V651" s="436"/>
      <c r="W651" s="436"/>
      <c r="X651" s="436"/>
      <c r="Y651" s="436"/>
      <c r="Z651" s="436"/>
    </row>
    <row r="652" ht="15.75" customHeight="1">
      <c r="A652" s="436"/>
      <c r="B652" s="436"/>
      <c r="C652" s="436"/>
      <c r="D652" s="436"/>
      <c r="E652" s="436"/>
      <c r="F652" s="436"/>
      <c r="G652" s="436"/>
      <c r="H652" s="436"/>
      <c r="I652" s="436"/>
      <c r="J652" s="436"/>
      <c r="K652" s="436"/>
      <c r="L652" s="436"/>
      <c r="M652" s="436"/>
      <c r="N652" s="436"/>
      <c r="O652" s="436"/>
      <c r="P652" s="436"/>
      <c r="Q652" s="436"/>
      <c r="R652" s="436"/>
      <c r="S652" s="436"/>
      <c r="T652" s="436"/>
      <c r="U652" s="436"/>
      <c r="V652" s="436"/>
      <c r="W652" s="436"/>
      <c r="X652" s="436"/>
      <c r="Y652" s="436"/>
      <c r="Z652" s="436"/>
    </row>
    <row r="653" ht="15.75" customHeight="1">
      <c r="A653" s="436"/>
      <c r="B653" s="436"/>
      <c r="C653" s="436"/>
      <c r="D653" s="436"/>
      <c r="E653" s="436"/>
      <c r="F653" s="436"/>
      <c r="G653" s="436"/>
      <c r="H653" s="436"/>
      <c r="I653" s="436"/>
      <c r="J653" s="436"/>
      <c r="K653" s="436"/>
      <c r="L653" s="436"/>
      <c r="M653" s="436"/>
      <c r="N653" s="436"/>
      <c r="O653" s="436"/>
      <c r="P653" s="436"/>
      <c r="Q653" s="436"/>
      <c r="R653" s="436"/>
      <c r="S653" s="436"/>
      <c r="T653" s="436"/>
      <c r="U653" s="436"/>
      <c r="V653" s="436"/>
      <c r="W653" s="436"/>
      <c r="X653" s="436"/>
      <c r="Y653" s="436"/>
      <c r="Z653" s="436"/>
    </row>
    <row r="654" ht="15.75" customHeight="1">
      <c r="A654" s="436"/>
      <c r="B654" s="436"/>
      <c r="C654" s="436"/>
      <c r="D654" s="436"/>
      <c r="E654" s="436"/>
      <c r="F654" s="436"/>
      <c r="G654" s="436"/>
      <c r="H654" s="436"/>
      <c r="I654" s="436"/>
      <c r="J654" s="436"/>
      <c r="K654" s="436"/>
      <c r="L654" s="436"/>
      <c r="M654" s="436"/>
      <c r="N654" s="436"/>
      <c r="O654" s="436"/>
      <c r="P654" s="436"/>
      <c r="Q654" s="436"/>
      <c r="R654" s="436"/>
      <c r="S654" s="436"/>
      <c r="T654" s="436"/>
      <c r="U654" s="436"/>
      <c r="V654" s="436"/>
      <c r="W654" s="436"/>
      <c r="X654" s="436"/>
      <c r="Y654" s="436"/>
      <c r="Z654" s="436"/>
    </row>
    <row r="655" ht="15.75" customHeight="1">
      <c r="A655" s="436"/>
      <c r="B655" s="436"/>
      <c r="C655" s="436"/>
      <c r="D655" s="436"/>
      <c r="E655" s="436"/>
      <c r="F655" s="436"/>
      <c r="G655" s="436"/>
      <c r="H655" s="436"/>
      <c r="I655" s="436"/>
      <c r="J655" s="436"/>
      <c r="K655" s="436"/>
      <c r="L655" s="436"/>
      <c r="M655" s="436"/>
      <c r="N655" s="436"/>
      <c r="O655" s="436"/>
      <c r="P655" s="436"/>
      <c r="Q655" s="436"/>
      <c r="R655" s="436"/>
      <c r="S655" s="436"/>
      <c r="T655" s="436"/>
      <c r="U655" s="436"/>
      <c r="V655" s="436"/>
      <c r="W655" s="436"/>
      <c r="X655" s="436"/>
      <c r="Y655" s="436"/>
      <c r="Z655" s="436"/>
    </row>
    <row r="656" ht="15.75" customHeight="1">
      <c r="A656" s="436"/>
      <c r="B656" s="436"/>
      <c r="C656" s="436"/>
      <c r="D656" s="436"/>
      <c r="E656" s="436"/>
      <c r="F656" s="436"/>
      <c r="G656" s="436"/>
      <c r="H656" s="436"/>
      <c r="I656" s="436"/>
      <c r="J656" s="436"/>
      <c r="K656" s="436"/>
      <c r="L656" s="436"/>
      <c r="M656" s="436"/>
      <c r="N656" s="436"/>
      <c r="O656" s="436"/>
      <c r="P656" s="436"/>
      <c r="Q656" s="436"/>
      <c r="R656" s="436"/>
      <c r="S656" s="436"/>
      <c r="T656" s="436"/>
      <c r="U656" s="436"/>
      <c r="V656" s="436"/>
      <c r="W656" s="436"/>
      <c r="X656" s="436"/>
      <c r="Y656" s="436"/>
      <c r="Z656" s="436"/>
    </row>
    <row r="657" ht="15.75" customHeight="1">
      <c r="A657" s="436"/>
      <c r="B657" s="436"/>
      <c r="C657" s="436"/>
      <c r="D657" s="436"/>
      <c r="E657" s="436"/>
      <c r="F657" s="436"/>
      <c r="G657" s="436"/>
      <c r="H657" s="436"/>
      <c r="I657" s="436"/>
      <c r="J657" s="436"/>
      <c r="K657" s="436"/>
      <c r="L657" s="436"/>
      <c r="M657" s="436"/>
      <c r="N657" s="436"/>
      <c r="O657" s="436"/>
      <c r="P657" s="436"/>
      <c r="Q657" s="436"/>
      <c r="R657" s="436"/>
      <c r="S657" s="436"/>
      <c r="T657" s="436"/>
      <c r="U657" s="436"/>
      <c r="V657" s="436"/>
      <c r="W657" s="436"/>
      <c r="X657" s="436"/>
      <c r="Y657" s="436"/>
      <c r="Z657" s="436"/>
    </row>
    <row r="658" ht="15.75" customHeight="1">
      <c r="A658" s="436"/>
      <c r="B658" s="436"/>
      <c r="C658" s="436"/>
      <c r="D658" s="436"/>
      <c r="E658" s="436"/>
      <c r="F658" s="436"/>
      <c r="G658" s="436"/>
      <c r="H658" s="436"/>
      <c r="I658" s="436"/>
      <c r="J658" s="436"/>
      <c r="K658" s="436"/>
      <c r="L658" s="436"/>
      <c r="M658" s="436"/>
      <c r="N658" s="436"/>
      <c r="O658" s="436"/>
      <c r="P658" s="436"/>
      <c r="Q658" s="436"/>
      <c r="R658" s="436"/>
      <c r="S658" s="436"/>
      <c r="T658" s="436"/>
      <c r="U658" s="436"/>
      <c r="V658" s="436"/>
      <c r="W658" s="436"/>
      <c r="X658" s="436"/>
      <c r="Y658" s="436"/>
      <c r="Z658" s="436"/>
    </row>
    <row r="659" ht="15.75" customHeight="1">
      <c r="A659" s="436"/>
      <c r="B659" s="436"/>
      <c r="C659" s="436"/>
      <c r="D659" s="436"/>
      <c r="E659" s="436"/>
      <c r="F659" s="436"/>
      <c r="G659" s="436"/>
      <c r="H659" s="436"/>
      <c r="I659" s="436"/>
      <c r="J659" s="436"/>
      <c r="K659" s="436"/>
      <c r="L659" s="436"/>
      <c r="M659" s="436"/>
      <c r="N659" s="436"/>
      <c r="O659" s="436"/>
      <c r="P659" s="436"/>
      <c r="Q659" s="436"/>
      <c r="R659" s="436"/>
      <c r="S659" s="436"/>
      <c r="T659" s="436"/>
      <c r="U659" s="436"/>
      <c r="V659" s="436"/>
      <c r="W659" s="436"/>
      <c r="X659" s="436"/>
      <c r="Y659" s="436"/>
      <c r="Z659" s="436"/>
    </row>
    <row r="660" ht="15.75" customHeight="1">
      <c r="A660" s="436"/>
      <c r="B660" s="436"/>
      <c r="C660" s="436"/>
      <c r="D660" s="436"/>
      <c r="E660" s="436"/>
      <c r="F660" s="436"/>
      <c r="G660" s="436"/>
      <c r="H660" s="436"/>
      <c r="I660" s="436"/>
      <c r="J660" s="436"/>
      <c r="K660" s="436"/>
      <c r="L660" s="436"/>
      <c r="M660" s="436"/>
      <c r="N660" s="436"/>
      <c r="O660" s="436"/>
      <c r="P660" s="436"/>
      <c r="Q660" s="436"/>
      <c r="R660" s="436"/>
      <c r="S660" s="436"/>
      <c r="T660" s="436"/>
      <c r="U660" s="436"/>
      <c r="V660" s="436"/>
      <c r="W660" s="436"/>
      <c r="X660" s="436"/>
      <c r="Y660" s="436"/>
      <c r="Z660" s="436"/>
    </row>
    <row r="661" ht="15.75" customHeight="1">
      <c r="A661" s="436"/>
      <c r="B661" s="436"/>
      <c r="C661" s="436"/>
      <c r="D661" s="436"/>
      <c r="E661" s="436"/>
      <c r="F661" s="436"/>
      <c r="G661" s="436"/>
      <c r="H661" s="436"/>
      <c r="I661" s="436"/>
      <c r="J661" s="436"/>
      <c r="K661" s="436"/>
      <c r="L661" s="436"/>
      <c r="M661" s="436"/>
      <c r="N661" s="436"/>
      <c r="O661" s="436"/>
      <c r="P661" s="436"/>
      <c r="Q661" s="436"/>
      <c r="R661" s="436"/>
      <c r="S661" s="436"/>
      <c r="T661" s="436"/>
      <c r="U661" s="436"/>
      <c r="V661" s="436"/>
      <c r="W661" s="436"/>
      <c r="X661" s="436"/>
      <c r="Y661" s="436"/>
      <c r="Z661" s="436"/>
    </row>
    <row r="662" ht="15.75" customHeight="1">
      <c r="A662" s="436"/>
      <c r="B662" s="436"/>
      <c r="C662" s="436"/>
      <c r="D662" s="436"/>
      <c r="E662" s="436"/>
      <c r="F662" s="436"/>
      <c r="G662" s="436"/>
      <c r="H662" s="436"/>
      <c r="I662" s="436"/>
      <c r="J662" s="436"/>
      <c r="K662" s="436"/>
      <c r="L662" s="436"/>
      <c r="M662" s="436"/>
      <c r="N662" s="436"/>
      <c r="O662" s="436"/>
      <c r="P662" s="436"/>
      <c r="Q662" s="436"/>
      <c r="R662" s="436"/>
      <c r="S662" s="436"/>
      <c r="T662" s="436"/>
      <c r="U662" s="436"/>
      <c r="V662" s="436"/>
      <c r="W662" s="436"/>
      <c r="X662" s="436"/>
      <c r="Y662" s="436"/>
      <c r="Z662" s="436"/>
    </row>
    <row r="663" ht="15.75" customHeight="1">
      <c r="A663" s="436"/>
      <c r="B663" s="436"/>
      <c r="C663" s="436"/>
      <c r="D663" s="436"/>
      <c r="E663" s="436"/>
      <c r="F663" s="436"/>
      <c r="G663" s="436"/>
      <c r="H663" s="436"/>
      <c r="I663" s="436"/>
      <c r="J663" s="436"/>
      <c r="K663" s="436"/>
      <c r="L663" s="436"/>
      <c r="M663" s="436"/>
      <c r="N663" s="436"/>
      <c r="O663" s="436"/>
      <c r="P663" s="436"/>
      <c r="Q663" s="436"/>
      <c r="R663" s="436"/>
      <c r="S663" s="436"/>
      <c r="T663" s="436"/>
      <c r="U663" s="436"/>
      <c r="V663" s="436"/>
      <c r="W663" s="436"/>
      <c r="X663" s="436"/>
      <c r="Y663" s="436"/>
      <c r="Z663" s="436"/>
    </row>
    <row r="664" ht="15.75" customHeight="1">
      <c r="A664" s="436"/>
      <c r="B664" s="436"/>
      <c r="C664" s="436"/>
      <c r="D664" s="436"/>
      <c r="E664" s="436"/>
      <c r="F664" s="436"/>
      <c r="G664" s="436"/>
      <c r="H664" s="436"/>
      <c r="I664" s="436"/>
      <c r="J664" s="436"/>
      <c r="K664" s="436"/>
      <c r="L664" s="436"/>
      <c r="M664" s="436"/>
      <c r="N664" s="436"/>
      <c r="O664" s="436"/>
      <c r="P664" s="436"/>
      <c r="Q664" s="436"/>
      <c r="R664" s="436"/>
      <c r="S664" s="436"/>
      <c r="T664" s="436"/>
      <c r="U664" s="436"/>
      <c r="V664" s="436"/>
      <c r="W664" s="436"/>
      <c r="X664" s="436"/>
      <c r="Y664" s="436"/>
      <c r="Z664" s="436"/>
    </row>
    <row r="665" ht="15.75" customHeight="1">
      <c r="A665" s="436"/>
      <c r="B665" s="436"/>
      <c r="C665" s="436"/>
      <c r="D665" s="436"/>
      <c r="E665" s="436"/>
      <c r="F665" s="436"/>
      <c r="G665" s="436"/>
      <c r="H665" s="436"/>
      <c r="I665" s="436"/>
      <c r="J665" s="436"/>
      <c r="K665" s="436"/>
      <c r="L665" s="436"/>
      <c r="M665" s="436"/>
      <c r="N665" s="436"/>
      <c r="O665" s="436"/>
      <c r="P665" s="436"/>
      <c r="Q665" s="436"/>
      <c r="R665" s="436"/>
      <c r="S665" s="436"/>
      <c r="T665" s="436"/>
      <c r="U665" s="436"/>
      <c r="V665" s="436"/>
      <c r="W665" s="436"/>
      <c r="X665" s="436"/>
      <c r="Y665" s="436"/>
      <c r="Z665" s="436"/>
    </row>
    <row r="666" ht="15.75" customHeight="1">
      <c r="A666" s="436"/>
      <c r="B666" s="436"/>
      <c r="C666" s="436"/>
      <c r="D666" s="436"/>
      <c r="E666" s="436"/>
      <c r="F666" s="436"/>
      <c r="G666" s="436"/>
      <c r="H666" s="436"/>
      <c r="I666" s="436"/>
      <c r="J666" s="436"/>
      <c r="K666" s="436"/>
      <c r="L666" s="436"/>
      <c r="M666" s="436"/>
      <c r="N666" s="436"/>
      <c r="O666" s="436"/>
      <c r="P666" s="436"/>
      <c r="Q666" s="436"/>
      <c r="R666" s="436"/>
      <c r="S666" s="436"/>
      <c r="T666" s="436"/>
      <c r="U666" s="436"/>
      <c r="V666" s="436"/>
      <c r="W666" s="436"/>
      <c r="X666" s="436"/>
      <c r="Y666" s="436"/>
      <c r="Z666" s="436"/>
    </row>
    <row r="667" ht="15.75" customHeight="1">
      <c r="A667" s="436"/>
      <c r="B667" s="436"/>
      <c r="C667" s="436"/>
      <c r="D667" s="436"/>
      <c r="E667" s="436"/>
      <c r="F667" s="436"/>
      <c r="G667" s="436"/>
      <c r="H667" s="436"/>
      <c r="I667" s="436"/>
      <c r="J667" s="436"/>
      <c r="K667" s="436"/>
      <c r="L667" s="436"/>
      <c r="M667" s="436"/>
      <c r="N667" s="436"/>
      <c r="O667" s="436"/>
      <c r="P667" s="436"/>
      <c r="Q667" s="436"/>
      <c r="R667" s="436"/>
      <c r="S667" s="436"/>
      <c r="T667" s="436"/>
      <c r="U667" s="436"/>
      <c r="V667" s="436"/>
      <c r="W667" s="436"/>
      <c r="X667" s="436"/>
      <c r="Y667" s="436"/>
      <c r="Z667" s="436"/>
    </row>
    <row r="668" ht="15.75" customHeight="1">
      <c r="A668" s="436"/>
      <c r="B668" s="436"/>
      <c r="C668" s="436"/>
      <c r="D668" s="436"/>
      <c r="E668" s="436"/>
      <c r="F668" s="436"/>
      <c r="G668" s="436"/>
      <c r="H668" s="436"/>
      <c r="I668" s="436"/>
      <c r="J668" s="436"/>
      <c r="K668" s="436"/>
      <c r="L668" s="436"/>
      <c r="M668" s="436"/>
      <c r="N668" s="436"/>
      <c r="O668" s="436"/>
      <c r="P668" s="436"/>
      <c r="Q668" s="436"/>
      <c r="R668" s="436"/>
      <c r="S668" s="436"/>
      <c r="T668" s="436"/>
      <c r="U668" s="436"/>
      <c r="V668" s="436"/>
      <c r="W668" s="436"/>
      <c r="X668" s="436"/>
      <c r="Y668" s="436"/>
      <c r="Z668" s="436"/>
    </row>
    <row r="669" ht="15.75" customHeight="1">
      <c r="A669" s="436"/>
      <c r="B669" s="436"/>
      <c r="C669" s="436"/>
      <c r="D669" s="436"/>
      <c r="E669" s="436"/>
      <c r="F669" s="436"/>
      <c r="G669" s="436"/>
      <c r="H669" s="436"/>
      <c r="I669" s="436"/>
      <c r="J669" s="436"/>
      <c r="K669" s="436"/>
      <c r="L669" s="436"/>
      <c r="M669" s="436"/>
      <c r="N669" s="436"/>
      <c r="O669" s="436"/>
      <c r="P669" s="436"/>
      <c r="Q669" s="436"/>
      <c r="R669" s="436"/>
      <c r="S669" s="436"/>
      <c r="T669" s="436"/>
      <c r="U669" s="436"/>
      <c r="V669" s="436"/>
      <c r="W669" s="436"/>
      <c r="X669" s="436"/>
      <c r="Y669" s="436"/>
      <c r="Z669" s="436"/>
    </row>
    <row r="670" ht="15.75" customHeight="1">
      <c r="A670" s="436"/>
      <c r="B670" s="436"/>
      <c r="C670" s="436"/>
      <c r="D670" s="436"/>
      <c r="E670" s="436"/>
      <c r="F670" s="436"/>
      <c r="G670" s="436"/>
      <c r="H670" s="436"/>
      <c r="I670" s="436"/>
      <c r="J670" s="436"/>
      <c r="K670" s="436"/>
      <c r="L670" s="436"/>
      <c r="M670" s="436"/>
      <c r="N670" s="436"/>
      <c r="O670" s="436"/>
      <c r="P670" s="436"/>
      <c r="Q670" s="436"/>
      <c r="R670" s="436"/>
      <c r="S670" s="436"/>
      <c r="T670" s="436"/>
      <c r="U670" s="436"/>
      <c r="V670" s="436"/>
      <c r="W670" s="436"/>
      <c r="X670" s="436"/>
      <c r="Y670" s="436"/>
      <c r="Z670" s="436"/>
    </row>
    <row r="671" ht="15.75" customHeight="1">
      <c r="A671" s="436"/>
      <c r="B671" s="436"/>
      <c r="C671" s="436"/>
      <c r="D671" s="436"/>
      <c r="E671" s="436"/>
      <c r="F671" s="436"/>
      <c r="G671" s="436"/>
      <c r="H671" s="436"/>
      <c r="I671" s="436"/>
      <c r="J671" s="436"/>
      <c r="K671" s="436"/>
      <c r="L671" s="436"/>
      <c r="M671" s="436"/>
      <c r="N671" s="436"/>
      <c r="O671" s="436"/>
      <c r="P671" s="436"/>
      <c r="Q671" s="436"/>
      <c r="R671" s="436"/>
      <c r="S671" s="436"/>
      <c r="T671" s="436"/>
      <c r="U671" s="436"/>
      <c r="V671" s="436"/>
      <c r="W671" s="436"/>
      <c r="X671" s="436"/>
      <c r="Y671" s="436"/>
      <c r="Z671" s="436"/>
    </row>
    <row r="672" ht="15.75" customHeight="1">
      <c r="A672" s="436"/>
      <c r="B672" s="436"/>
      <c r="C672" s="436"/>
      <c r="D672" s="436"/>
      <c r="E672" s="436"/>
      <c r="F672" s="436"/>
      <c r="G672" s="436"/>
      <c r="H672" s="436"/>
      <c r="I672" s="436"/>
      <c r="J672" s="436"/>
      <c r="K672" s="436"/>
      <c r="L672" s="436"/>
      <c r="M672" s="436"/>
      <c r="N672" s="436"/>
      <c r="O672" s="436"/>
      <c r="P672" s="436"/>
      <c r="Q672" s="436"/>
      <c r="R672" s="436"/>
      <c r="S672" s="436"/>
      <c r="T672" s="436"/>
      <c r="U672" s="436"/>
      <c r="V672" s="436"/>
      <c r="W672" s="436"/>
      <c r="X672" s="436"/>
      <c r="Y672" s="436"/>
      <c r="Z672" s="436"/>
    </row>
    <row r="673" ht="15.75" customHeight="1">
      <c r="A673" s="436"/>
      <c r="B673" s="436"/>
      <c r="C673" s="436"/>
      <c r="D673" s="436"/>
      <c r="E673" s="436"/>
      <c r="F673" s="436"/>
      <c r="G673" s="436"/>
      <c r="H673" s="436"/>
      <c r="I673" s="436"/>
      <c r="J673" s="436"/>
      <c r="K673" s="436"/>
      <c r="L673" s="436"/>
      <c r="M673" s="436"/>
      <c r="N673" s="436"/>
      <c r="O673" s="436"/>
      <c r="P673" s="436"/>
      <c r="Q673" s="436"/>
      <c r="R673" s="436"/>
      <c r="S673" s="436"/>
      <c r="T673" s="436"/>
      <c r="U673" s="436"/>
      <c r="V673" s="436"/>
      <c r="W673" s="436"/>
      <c r="X673" s="436"/>
      <c r="Y673" s="436"/>
      <c r="Z673" s="436"/>
    </row>
    <row r="674" ht="15.75" customHeight="1">
      <c r="A674" s="436"/>
      <c r="B674" s="436"/>
      <c r="C674" s="436"/>
      <c r="D674" s="436"/>
      <c r="E674" s="436"/>
      <c r="F674" s="436"/>
      <c r="G674" s="436"/>
      <c r="H674" s="436"/>
      <c r="I674" s="436"/>
      <c r="J674" s="436"/>
      <c r="K674" s="436"/>
      <c r="L674" s="436"/>
      <c r="M674" s="436"/>
      <c r="N674" s="436"/>
      <c r="O674" s="436"/>
      <c r="P674" s="436"/>
      <c r="Q674" s="436"/>
      <c r="R674" s="436"/>
      <c r="S674" s="436"/>
      <c r="T674" s="436"/>
      <c r="U674" s="436"/>
      <c r="V674" s="436"/>
      <c r="W674" s="436"/>
      <c r="X674" s="436"/>
      <c r="Y674" s="436"/>
      <c r="Z674" s="436"/>
    </row>
    <row r="675" ht="15.75" customHeight="1">
      <c r="A675" s="436"/>
      <c r="B675" s="436"/>
      <c r="C675" s="436"/>
      <c r="D675" s="436"/>
      <c r="E675" s="436"/>
      <c r="F675" s="436"/>
      <c r="G675" s="436"/>
      <c r="H675" s="436"/>
      <c r="I675" s="436"/>
      <c r="J675" s="436"/>
      <c r="K675" s="436"/>
      <c r="L675" s="436"/>
      <c r="M675" s="436"/>
      <c r="N675" s="436"/>
      <c r="O675" s="436"/>
      <c r="P675" s="436"/>
      <c r="Q675" s="436"/>
      <c r="R675" s="436"/>
      <c r="S675" s="436"/>
      <c r="T675" s="436"/>
      <c r="U675" s="436"/>
      <c r="V675" s="436"/>
      <c r="W675" s="436"/>
      <c r="X675" s="436"/>
      <c r="Y675" s="436"/>
      <c r="Z675" s="436"/>
    </row>
    <row r="676" ht="15.75" customHeight="1">
      <c r="A676" s="436"/>
      <c r="B676" s="436"/>
      <c r="C676" s="436"/>
      <c r="D676" s="436"/>
      <c r="E676" s="436"/>
      <c r="F676" s="436"/>
      <c r="G676" s="436"/>
      <c r="H676" s="436"/>
      <c r="I676" s="436"/>
      <c r="J676" s="436"/>
      <c r="K676" s="436"/>
      <c r="L676" s="436"/>
      <c r="M676" s="436"/>
      <c r="N676" s="436"/>
      <c r="O676" s="436"/>
      <c r="P676" s="436"/>
      <c r="Q676" s="436"/>
      <c r="R676" s="436"/>
      <c r="S676" s="436"/>
      <c r="T676" s="436"/>
      <c r="U676" s="436"/>
      <c r="V676" s="436"/>
      <c r="W676" s="436"/>
      <c r="X676" s="436"/>
      <c r="Y676" s="436"/>
      <c r="Z676" s="436"/>
    </row>
    <row r="677" ht="15.75" customHeight="1">
      <c r="A677" s="436"/>
      <c r="B677" s="436"/>
      <c r="C677" s="436"/>
      <c r="D677" s="436"/>
      <c r="E677" s="436"/>
      <c r="F677" s="436"/>
      <c r="G677" s="436"/>
      <c r="H677" s="436"/>
      <c r="I677" s="436"/>
      <c r="J677" s="436"/>
      <c r="K677" s="436"/>
      <c r="L677" s="436"/>
      <c r="M677" s="436"/>
      <c r="N677" s="436"/>
      <c r="O677" s="436"/>
      <c r="P677" s="436"/>
      <c r="Q677" s="436"/>
      <c r="R677" s="436"/>
      <c r="S677" s="436"/>
      <c r="T677" s="436"/>
      <c r="U677" s="436"/>
      <c r="V677" s="436"/>
      <c r="W677" s="436"/>
      <c r="X677" s="436"/>
      <c r="Y677" s="436"/>
      <c r="Z677" s="436"/>
    </row>
    <row r="678" ht="15.75" customHeight="1">
      <c r="A678" s="436"/>
      <c r="B678" s="436"/>
      <c r="C678" s="436"/>
      <c r="D678" s="436"/>
      <c r="E678" s="436"/>
      <c r="F678" s="436"/>
      <c r="G678" s="436"/>
      <c r="H678" s="436"/>
      <c r="I678" s="436"/>
      <c r="J678" s="436"/>
      <c r="K678" s="436"/>
      <c r="L678" s="436"/>
      <c r="M678" s="436"/>
      <c r="N678" s="436"/>
      <c r="O678" s="436"/>
      <c r="P678" s="436"/>
      <c r="Q678" s="436"/>
      <c r="R678" s="436"/>
      <c r="S678" s="436"/>
      <c r="T678" s="436"/>
      <c r="U678" s="436"/>
      <c r="V678" s="436"/>
      <c r="W678" s="436"/>
      <c r="X678" s="436"/>
      <c r="Y678" s="436"/>
      <c r="Z678" s="436"/>
    </row>
    <row r="679" ht="15.75" customHeight="1">
      <c r="A679" s="436"/>
      <c r="B679" s="436"/>
      <c r="C679" s="436"/>
      <c r="D679" s="436"/>
      <c r="E679" s="436"/>
      <c r="F679" s="436"/>
      <c r="G679" s="436"/>
      <c r="H679" s="436"/>
      <c r="I679" s="436"/>
      <c r="J679" s="436"/>
      <c r="K679" s="436"/>
      <c r="L679" s="436"/>
      <c r="M679" s="436"/>
      <c r="N679" s="436"/>
      <c r="O679" s="436"/>
      <c r="P679" s="436"/>
      <c r="Q679" s="436"/>
      <c r="R679" s="436"/>
      <c r="S679" s="436"/>
      <c r="T679" s="436"/>
      <c r="U679" s="436"/>
      <c r="V679" s="436"/>
      <c r="W679" s="436"/>
      <c r="X679" s="436"/>
      <c r="Y679" s="436"/>
      <c r="Z679" s="436"/>
    </row>
    <row r="680" ht="15.75" customHeight="1">
      <c r="A680" s="436"/>
      <c r="B680" s="436"/>
      <c r="C680" s="436"/>
      <c r="D680" s="436"/>
      <c r="E680" s="436"/>
      <c r="F680" s="436"/>
      <c r="G680" s="436"/>
      <c r="H680" s="436"/>
      <c r="I680" s="436"/>
      <c r="J680" s="436"/>
      <c r="K680" s="436"/>
      <c r="L680" s="436"/>
      <c r="M680" s="436"/>
      <c r="N680" s="436"/>
      <c r="O680" s="436"/>
      <c r="P680" s="436"/>
      <c r="Q680" s="436"/>
      <c r="R680" s="436"/>
      <c r="S680" s="436"/>
      <c r="T680" s="436"/>
      <c r="U680" s="436"/>
      <c r="V680" s="436"/>
      <c r="W680" s="436"/>
      <c r="X680" s="436"/>
      <c r="Y680" s="436"/>
      <c r="Z680" s="436"/>
    </row>
    <row r="681" ht="15.75" customHeight="1">
      <c r="A681" s="436"/>
      <c r="B681" s="436"/>
      <c r="C681" s="436"/>
      <c r="D681" s="436"/>
      <c r="E681" s="436"/>
      <c r="F681" s="436"/>
      <c r="G681" s="436"/>
      <c r="H681" s="436"/>
      <c r="I681" s="436"/>
      <c r="J681" s="436"/>
      <c r="K681" s="436"/>
      <c r="L681" s="436"/>
      <c r="M681" s="436"/>
      <c r="N681" s="436"/>
      <c r="O681" s="436"/>
      <c r="P681" s="436"/>
      <c r="Q681" s="436"/>
      <c r="R681" s="436"/>
      <c r="S681" s="436"/>
      <c r="T681" s="436"/>
      <c r="U681" s="436"/>
      <c r="V681" s="436"/>
      <c r="W681" s="436"/>
      <c r="X681" s="436"/>
      <c r="Y681" s="436"/>
      <c r="Z681" s="436"/>
    </row>
    <row r="682" ht="15.75" customHeight="1">
      <c r="A682" s="436"/>
      <c r="B682" s="436"/>
      <c r="C682" s="436"/>
      <c r="D682" s="436"/>
      <c r="E682" s="436"/>
      <c r="F682" s="436"/>
      <c r="G682" s="436"/>
      <c r="H682" s="436"/>
      <c r="I682" s="436"/>
      <c r="J682" s="436"/>
      <c r="K682" s="436"/>
      <c r="L682" s="436"/>
      <c r="M682" s="436"/>
      <c r="N682" s="436"/>
      <c r="O682" s="436"/>
      <c r="P682" s="436"/>
      <c r="Q682" s="436"/>
      <c r="R682" s="436"/>
      <c r="S682" s="436"/>
      <c r="T682" s="436"/>
      <c r="U682" s="436"/>
      <c r="V682" s="436"/>
      <c r="W682" s="436"/>
      <c r="X682" s="436"/>
      <c r="Y682" s="436"/>
      <c r="Z682" s="436"/>
    </row>
    <row r="683" ht="15.75" customHeight="1">
      <c r="A683" s="436"/>
      <c r="B683" s="436"/>
      <c r="C683" s="436"/>
      <c r="D683" s="436"/>
      <c r="E683" s="436"/>
      <c r="F683" s="436"/>
      <c r="G683" s="436"/>
      <c r="H683" s="436"/>
      <c r="I683" s="436"/>
      <c r="J683" s="436"/>
      <c r="K683" s="436"/>
      <c r="L683" s="436"/>
      <c r="M683" s="436"/>
      <c r="N683" s="436"/>
      <c r="O683" s="436"/>
      <c r="P683" s="436"/>
      <c r="Q683" s="436"/>
      <c r="R683" s="436"/>
      <c r="S683" s="436"/>
      <c r="T683" s="436"/>
      <c r="U683" s="436"/>
      <c r="V683" s="436"/>
      <c r="W683" s="436"/>
      <c r="X683" s="436"/>
      <c r="Y683" s="436"/>
      <c r="Z683" s="436"/>
    </row>
    <row r="684" ht="15.75" customHeight="1">
      <c r="A684" s="436"/>
      <c r="B684" s="436"/>
      <c r="C684" s="436"/>
      <c r="D684" s="436"/>
      <c r="E684" s="436"/>
      <c r="F684" s="436"/>
      <c r="G684" s="436"/>
      <c r="H684" s="436"/>
      <c r="I684" s="436"/>
      <c r="J684" s="436"/>
      <c r="K684" s="436"/>
      <c r="L684" s="436"/>
      <c r="M684" s="436"/>
      <c r="N684" s="436"/>
      <c r="O684" s="436"/>
      <c r="P684" s="436"/>
      <c r="Q684" s="436"/>
      <c r="R684" s="436"/>
      <c r="S684" s="436"/>
      <c r="T684" s="436"/>
      <c r="U684" s="436"/>
      <c r="V684" s="436"/>
      <c r="W684" s="436"/>
      <c r="X684" s="436"/>
      <c r="Y684" s="436"/>
      <c r="Z684" s="436"/>
    </row>
    <row r="685" ht="15.75" customHeight="1">
      <c r="A685" s="436"/>
      <c r="B685" s="436"/>
      <c r="C685" s="436"/>
      <c r="D685" s="436"/>
      <c r="E685" s="436"/>
      <c r="F685" s="436"/>
      <c r="G685" s="436"/>
      <c r="H685" s="436"/>
      <c r="I685" s="436"/>
      <c r="J685" s="436"/>
      <c r="K685" s="436"/>
      <c r="L685" s="436"/>
      <c r="M685" s="436"/>
      <c r="N685" s="436"/>
      <c r="O685" s="436"/>
      <c r="P685" s="436"/>
      <c r="Q685" s="436"/>
      <c r="R685" s="436"/>
      <c r="S685" s="436"/>
      <c r="T685" s="436"/>
      <c r="U685" s="436"/>
      <c r="V685" s="436"/>
      <c r="W685" s="436"/>
      <c r="X685" s="436"/>
      <c r="Y685" s="436"/>
      <c r="Z685" s="436"/>
    </row>
    <row r="686" ht="15.75" customHeight="1">
      <c r="A686" s="436"/>
      <c r="B686" s="436"/>
      <c r="C686" s="436"/>
      <c r="D686" s="436"/>
      <c r="E686" s="436"/>
      <c r="F686" s="436"/>
      <c r="G686" s="436"/>
      <c r="H686" s="436"/>
      <c r="I686" s="436"/>
      <c r="J686" s="436"/>
      <c r="K686" s="436"/>
      <c r="L686" s="436"/>
      <c r="M686" s="436"/>
      <c r="N686" s="436"/>
      <c r="O686" s="436"/>
      <c r="P686" s="436"/>
      <c r="Q686" s="436"/>
      <c r="R686" s="436"/>
      <c r="S686" s="436"/>
      <c r="T686" s="436"/>
      <c r="U686" s="436"/>
      <c r="V686" s="436"/>
      <c r="W686" s="436"/>
      <c r="X686" s="436"/>
      <c r="Y686" s="436"/>
      <c r="Z686" s="436"/>
    </row>
    <row r="687" ht="15.75" customHeight="1">
      <c r="A687" s="436"/>
      <c r="B687" s="436"/>
      <c r="C687" s="436"/>
      <c r="D687" s="436"/>
      <c r="E687" s="436"/>
      <c r="F687" s="436"/>
      <c r="G687" s="436"/>
      <c r="H687" s="436"/>
      <c r="I687" s="436"/>
      <c r="J687" s="436"/>
      <c r="K687" s="436"/>
      <c r="L687" s="436"/>
      <c r="M687" s="436"/>
      <c r="N687" s="436"/>
      <c r="O687" s="436"/>
      <c r="P687" s="436"/>
      <c r="Q687" s="436"/>
      <c r="R687" s="436"/>
      <c r="S687" s="436"/>
      <c r="T687" s="436"/>
      <c r="U687" s="436"/>
      <c r="V687" s="436"/>
      <c r="W687" s="436"/>
      <c r="X687" s="436"/>
      <c r="Y687" s="436"/>
      <c r="Z687" s="436"/>
    </row>
    <row r="688" ht="15.75" customHeight="1">
      <c r="A688" s="436"/>
      <c r="B688" s="436"/>
      <c r="C688" s="436"/>
      <c r="D688" s="436"/>
      <c r="E688" s="436"/>
      <c r="F688" s="436"/>
      <c r="G688" s="436"/>
      <c r="H688" s="436"/>
      <c r="I688" s="436"/>
      <c r="J688" s="436"/>
      <c r="K688" s="436"/>
      <c r="L688" s="436"/>
      <c r="M688" s="436"/>
      <c r="N688" s="436"/>
      <c r="O688" s="436"/>
      <c r="P688" s="436"/>
      <c r="Q688" s="436"/>
      <c r="R688" s="436"/>
      <c r="S688" s="436"/>
      <c r="T688" s="436"/>
      <c r="U688" s="436"/>
      <c r="V688" s="436"/>
      <c r="W688" s="436"/>
      <c r="X688" s="436"/>
      <c r="Y688" s="436"/>
      <c r="Z688" s="436"/>
    </row>
    <row r="689" ht="15.75" customHeight="1">
      <c r="A689" s="436"/>
      <c r="B689" s="436"/>
      <c r="C689" s="436"/>
      <c r="D689" s="436"/>
      <c r="E689" s="436"/>
      <c r="F689" s="436"/>
      <c r="G689" s="436"/>
      <c r="H689" s="436"/>
      <c r="I689" s="436"/>
      <c r="J689" s="436"/>
      <c r="K689" s="436"/>
      <c r="L689" s="436"/>
      <c r="M689" s="436"/>
      <c r="N689" s="436"/>
      <c r="O689" s="436"/>
      <c r="P689" s="436"/>
      <c r="Q689" s="436"/>
      <c r="R689" s="436"/>
      <c r="S689" s="436"/>
      <c r="T689" s="436"/>
      <c r="U689" s="436"/>
      <c r="V689" s="436"/>
      <c r="W689" s="436"/>
      <c r="X689" s="436"/>
      <c r="Y689" s="436"/>
      <c r="Z689" s="436"/>
    </row>
    <row r="690" ht="15.75" customHeight="1">
      <c r="A690" s="436"/>
      <c r="B690" s="436"/>
      <c r="C690" s="436"/>
      <c r="D690" s="436"/>
      <c r="E690" s="436"/>
      <c r="F690" s="436"/>
      <c r="G690" s="436"/>
      <c r="H690" s="436"/>
      <c r="I690" s="436"/>
      <c r="J690" s="436"/>
      <c r="K690" s="436"/>
      <c r="L690" s="436"/>
      <c r="M690" s="436"/>
      <c r="N690" s="436"/>
      <c r="O690" s="436"/>
      <c r="P690" s="436"/>
      <c r="Q690" s="436"/>
      <c r="R690" s="436"/>
      <c r="S690" s="436"/>
      <c r="T690" s="436"/>
      <c r="U690" s="436"/>
      <c r="V690" s="436"/>
      <c r="W690" s="436"/>
      <c r="X690" s="436"/>
      <c r="Y690" s="436"/>
      <c r="Z690" s="436"/>
    </row>
    <row r="691" ht="15.75" customHeight="1">
      <c r="A691" s="436"/>
      <c r="B691" s="436"/>
      <c r="C691" s="436"/>
      <c r="D691" s="436"/>
      <c r="E691" s="436"/>
      <c r="F691" s="436"/>
      <c r="G691" s="436"/>
      <c r="H691" s="436"/>
      <c r="I691" s="436"/>
      <c r="J691" s="436"/>
      <c r="K691" s="436"/>
      <c r="L691" s="436"/>
      <c r="M691" s="436"/>
      <c r="N691" s="436"/>
      <c r="O691" s="436"/>
      <c r="P691" s="436"/>
      <c r="Q691" s="436"/>
      <c r="R691" s="436"/>
      <c r="S691" s="436"/>
      <c r="T691" s="436"/>
      <c r="U691" s="436"/>
      <c r="V691" s="436"/>
      <c r="W691" s="436"/>
      <c r="X691" s="436"/>
      <c r="Y691" s="436"/>
      <c r="Z691" s="436"/>
    </row>
    <row r="692" ht="15.75" customHeight="1">
      <c r="A692" s="436"/>
      <c r="B692" s="436"/>
      <c r="C692" s="436"/>
      <c r="D692" s="436"/>
      <c r="E692" s="436"/>
      <c r="F692" s="436"/>
      <c r="G692" s="436"/>
      <c r="H692" s="436"/>
      <c r="I692" s="436"/>
      <c r="J692" s="436"/>
      <c r="K692" s="436"/>
      <c r="L692" s="436"/>
      <c r="M692" s="436"/>
      <c r="N692" s="436"/>
      <c r="O692" s="436"/>
      <c r="P692" s="436"/>
      <c r="Q692" s="436"/>
      <c r="R692" s="436"/>
      <c r="S692" s="436"/>
      <c r="T692" s="436"/>
      <c r="U692" s="436"/>
      <c r="V692" s="436"/>
      <c r="W692" s="436"/>
      <c r="X692" s="436"/>
      <c r="Y692" s="436"/>
      <c r="Z692" s="436"/>
    </row>
    <row r="693" ht="15.75" customHeight="1">
      <c r="A693" s="436"/>
      <c r="B693" s="436"/>
      <c r="C693" s="436"/>
      <c r="D693" s="436"/>
      <c r="E693" s="436"/>
      <c r="F693" s="436"/>
      <c r="G693" s="436"/>
      <c r="H693" s="436"/>
      <c r="I693" s="436"/>
      <c r="J693" s="436"/>
      <c r="K693" s="436"/>
      <c r="L693" s="436"/>
      <c r="M693" s="436"/>
      <c r="N693" s="436"/>
      <c r="O693" s="436"/>
      <c r="P693" s="436"/>
      <c r="Q693" s="436"/>
      <c r="R693" s="436"/>
      <c r="S693" s="436"/>
      <c r="T693" s="436"/>
      <c r="U693" s="436"/>
      <c r="V693" s="436"/>
      <c r="W693" s="436"/>
      <c r="X693" s="436"/>
      <c r="Y693" s="436"/>
      <c r="Z693" s="436"/>
    </row>
    <row r="694" ht="15.75" customHeight="1">
      <c r="A694" s="436"/>
      <c r="B694" s="436"/>
      <c r="C694" s="436"/>
      <c r="D694" s="436"/>
      <c r="E694" s="436"/>
      <c r="F694" s="436"/>
      <c r="G694" s="436"/>
      <c r="H694" s="436"/>
      <c r="I694" s="436"/>
      <c r="J694" s="436"/>
      <c r="K694" s="436"/>
      <c r="L694" s="436"/>
      <c r="M694" s="436"/>
      <c r="N694" s="436"/>
      <c r="O694" s="436"/>
      <c r="P694" s="436"/>
      <c r="Q694" s="436"/>
      <c r="R694" s="436"/>
      <c r="S694" s="436"/>
      <c r="T694" s="436"/>
      <c r="U694" s="436"/>
      <c r="V694" s="436"/>
      <c r="W694" s="436"/>
      <c r="X694" s="436"/>
      <c r="Y694" s="436"/>
      <c r="Z694" s="436"/>
    </row>
    <row r="695" ht="15.75" customHeight="1">
      <c r="A695" s="436"/>
      <c r="B695" s="436"/>
      <c r="C695" s="436"/>
      <c r="D695" s="436"/>
      <c r="E695" s="436"/>
      <c r="F695" s="436"/>
      <c r="G695" s="436"/>
      <c r="H695" s="436"/>
      <c r="I695" s="436"/>
      <c r="J695" s="436"/>
      <c r="K695" s="436"/>
      <c r="L695" s="436"/>
      <c r="M695" s="436"/>
      <c r="N695" s="436"/>
      <c r="O695" s="436"/>
      <c r="P695" s="436"/>
      <c r="Q695" s="436"/>
      <c r="R695" s="436"/>
      <c r="S695" s="436"/>
      <c r="T695" s="436"/>
      <c r="U695" s="436"/>
      <c r="V695" s="436"/>
      <c r="W695" s="436"/>
      <c r="X695" s="436"/>
      <c r="Y695" s="436"/>
      <c r="Z695" s="436"/>
    </row>
    <row r="696" ht="15.75" customHeight="1">
      <c r="A696" s="436"/>
      <c r="B696" s="436"/>
      <c r="C696" s="436"/>
      <c r="D696" s="436"/>
      <c r="E696" s="436"/>
      <c r="F696" s="436"/>
      <c r="G696" s="436"/>
      <c r="H696" s="436"/>
      <c r="I696" s="436"/>
      <c r="J696" s="436"/>
      <c r="K696" s="436"/>
      <c r="L696" s="436"/>
      <c r="M696" s="436"/>
      <c r="N696" s="436"/>
      <c r="O696" s="436"/>
      <c r="P696" s="436"/>
      <c r="Q696" s="436"/>
      <c r="R696" s="436"/>
      <c r="S696" s="436"/>
      <c r="T696" s="436"/>
      <c r="U696" s="436"/>
      <c r="V696" s="436"/>
      <c r="W696" s="436"/>
      <c r="X696" s="436"/>
      <c r="Y696" s="436"/>
      <c r="Z696" s="436"/>
    </row>
    <row r="697" ht="15.75" customHeight="1">
      <c r="A697" s="436"/>
      <c r="B697" s="436"/>
      <c r="C697" s="436"/>
      <c r="D697" s="436"/>
      <c r="E697" s="436"/>
      <c r="F697" s="436"/>
      <c r="G697" s="436"/>
      <c r="H697" s="436"/>
      <c r="I697" s="436"/>
      <c r="J697" s="436"/>
      <c r="K697" s="436"/>
      <c r="L697" s="436"/>
      <c r="M697" s="436"/>
      <c r="N697" s="436"/>
      <c r="O697" s="436"/>
      <c r="P697" s="436"/>
      <c r="Q697" s="436"/>
      <c r="R697" s="436"/>
      <c r="S697" s="436"/>
      <c r="T697" s="436"/>
      <c r="U697" s="436"/>
      <c r="V697" s="436"/>
      <c r="W697" s="436"/>
      <c r="X697" s="436"/>
      <c r="Y697" s="436"/>
      <c r="Z697" s="436"/>
    </row>
    <row r="698" ht="15.75" customHeight="1">
      <c r="A698" s="436"/>
      <c r="B698" s="436"/>
      <c r="C698" s="436"/>
      <c r="D698" s="436"/>
      <c r="E698" s="436"/>
      <c r="F698" s="436"/>
      <c r="G698" s="436"/>
      <c r="H698" s="436"/>
      <c r="I698" s="436"/>
      <c r="J698" s="436"/>
      <c r="K698" s="436"/>
      <c r="L698" s="436"/>
      <c r="M698" s="436"/>
      <c r="N698" s="436"/>
      <c r="O698" s="436"/>
      <c r="P698" s="436"/>
      <c r="Q698" s="436"/>
      <c r="R698" s="436"/>
      <c r="S698" s="436"/>
      <c r="T698" s="436"/>
      <c r="U698" s="436"/>
      <c r="V698" s="436"/>
      <c r="W698" s="436"/>
      <c r="X698" s="436"/>
      <c r="Y698" s="436"/>
      <c r="Z698" s="436"/>
    </row>
    <row r="699" ht="15.75" customHeight="1">
      <c r="A699" s="436"/>
      <c r="B699" s="436"/>
      <c r="C699" s="436"/>
      <c r="D699" s="436"/>
      <c r="E699" s="436"/>
      <c r="F699" s="436"/>
      <c r="G699" s="436"/>
      <c r="H699" s="436"/>
      <c r="I699" s="436"/>
      <c r="J699" s="436"/>
      <c r="K699" s="436"/>
      <c r="L699" s="436"/>
      <c r="M699" s="436"/>
      <c r="N699" s="436"/>
      <c r="O699" s="436"/>
      <c r="P699" s="436"/>
      <c r="Q699" s="436"/>
      <c r="R699" s="436"/>
      <c r="S699" s="436"/>
      <c r="T699" s="436"/>
      <c r="U699" s="436"/>
      <c r="V699" s="436"/>
      <c r="W699" s="436"/>
      <c r="X699" s="436"/>
      <c r="Y699" s="436"/>
      <c r="Z699" s="436"/>
    </row>
    <row r="700" ht="15.75" customHeight="1">
      <c r="A700" s="436"/>
      <c r="B700" s="436"/>
      <c r="C700" s="436"/>
      <c r="D700" s="436"/>
      <c r="E700" s="436"/>
      <c r="F700" s="436"/>
      <c r="G700" s="436"/>
      <c r="H700" s="436"/>
      <c r="I700" s="436"/>
      <c r="J700" s="436"/>
      <c r="K700" s="436"/>
      <c r="L700" s="436"/>
      <c r="M700" s="436"/>
      <c r="N700" s="436"/>
      <c r="O700" s="436"/>
      <c r="P700" s="436"/>
      <c r="Q700" s="436"/>
      <c r="R700" s="436"/>
      <c r="S700" s="436"/>
      <c r="T700" s="436"/>
      <c r="U700" s="436"/>
      <c r="V700" s="436"/>
      <c r="W700" s="436"/>
      <c r="X700" s="436"/>
      <c r="Y700" s="436"/>
      <c r="Z700" s="436"/>
    </row>
    <row r="701" ht="15.75" customHeight="1">
      <c r="A701" s="436"/>
      <c r="B701" s="436"/>
      <c r="C701" s="436"/>
      <c r="D701" s="436"/>
      <c r="E701" s="436"/>
      <c r="F701" s="436"/>
      <c r="G701" s="436"/>
      <c r="H701" s="436"/>
      <c r="I701" s="436"/>
      <c r="J701" s="436"/>
      <c r="K701" s="436"/>
      <c r="L701" s="436"/>
      <c r="M701" s="436"/>
      <c r="N701" s="436"/>
      <c r="O701" s="436"/>
      <c r="P701" s="436"/>
      <c r="Q701" s="436"/>
      <c r="R701" s="436"/>
      <c r="S701" s="436"/>
      <c r="T701" s="436"/>
      <c r="U701" s="436"/>
      <c r="V701" s="436"/>
      <c r="W701" s="436"/>
      <c r="X701" s="436"/>
      <c r="Y701" s="436"/>
      <c r="Z701" s="436"/>
    </row>
    <row r="702" ht="15.75" customHeight="1">
      <c r="A702" s="436"/>
      <c r="B702" s="436"/>
      <c r="C702" s="436"/>
      <c r="D702" s="436"/>
      <c r="E702" s="436"/>
      <c r="F702" s="436"/>
      <c r="G702" s="436"/>
      <c r="H702" s="436"/>
      <c r="I702" s="436"/>
      <c r="J702" s="436"/>
      <c r="K702" s="436"/>
      <c r="L702" s="436"/>
      <c r="M702" s="436"/>
      <c r="N702" s="436"/>
      <c r="O702" s="436"/>
      <c r="P702" s="436"/>
      <c r="Q702" s="436"/>
      <c r="R702" s="436"/>
      <c r="S702" s="436"/>
      <c r="T702" s="436"/>
      <c r="U702" s="436"/>
      <c r="V702" s="436"/>
      <c r="W702" s="436"/>
      <c r="X702" s="436"/>
      <c r="Y702" s="436"/>
      <c r="Z702" s="436"/>
    </row>
    <row r="703" ht="15.75" customHeight="1">
      <c r="A703" s="436"/>
      <c r="B703" s="436"/>
      <c r="C703" s="436"/>
      <c r="D703" s="436"/>
      <c r="E703" s="436"/>
      <c r="F703" s="436"/>
      <c r="G703" s="436"/>
      <c r="H703" s="436"/>
      <c r="I703" s="436"/>
      <c r="J703" s="436"/>
      <c r="K703" s="436"/>
      <c r="L703" s="436"/>
      <c r="M703" s="436"/>
      <c r="N703" s="436"/>
      <c r="O703" s="436"/>
      <c r="P703" s="436"/>
      <c r="Q703" s="436"/>
      <c r="R703" s="436"/>
      <c r="S703" s="436"/>
      <c r="T703" s="436"/>
      <c r="U703" s="436"/>
      <c r="V703" s="436"/>
      <c r="W703" s="436"/>
      <c r="X703" s="436"/>
      <c r="Y703" s="436"/>
      <c r="Z703" s="436"/>
    </row>
    <row r="704" ht="15.75" customHeight="1">
      <c r="A704" s="436"/>
      <c r="B704" s="436"/>
      <c r="C704" s="436"/>
      <c r="D704" s="436"/>
      <c r="E704" s="436"/>
      <c r="F704" s="436"/>
      <c r="G704" s="436"/>
      <c r="H704" s="436"/>
      <c r="I704" s="436"/>
      <c r="J704" s="436"/>
      <c r="K704" s="436"/>
      <c r="L704" s="436"/>
      <c r="M704" s="436"/>
      <c r="N704" s="436"/>
      <c r="O704" s="436"/>
      <c r="P704" s="436"/>
      <c r="Q704" s="436"/>
      <c r="R704" s="436"/>
      <c r="S704" s="436"/>
      <c r="T704" s="436"/>
      <c r="U704" s="436"/>
      <c r="V704" s="436"/>
      <c r="W704" s="436"/>
      <c r="X704" s="436"/>
      <c r="Y704" s="436"/>
      <c r="Z704" s="436"/>
    </row>
    <row r="705" ht="15.75" customHeight="1">
      <c r="A705" s="436"/>
      <c r="B705" s="436"/>
      <c r="C705" s="436"/>
      <c r="D705" s="436"/>
      <c r="E705" s="436"/>
      <c r="F705" s="436"/>
      <c r="G705" s="436"/>
      <c r="H705" s="436"/>
      <c r="I705" s="436"/>
      <c r="J705" s="436"/>
      <c r="K705" s="436"/>
      <c r="L705" s="436"/>
      <c r="M705" s="436"/>
      <c r="N705" s="436"/>
      <c r="O705" s="436"/>
      <c r="P705" s="436"/>
      <c r="Q705" s="436"/>
      <c r="R705" s="436"/>
      <c r="S705" s="436"/>
      <c r="T705" s="436"/>
      <c r="U705" s="436"/>
      <c r="V705" s="436"/>
      <c r="W705" s="436"/>
      <c r="X705" s="436"/>
      <c r="Y705" s="436"/>
      <c r="Z705" s="436"/>
    </row>
    <row r="706" ht="15.75" customHeight="1">
      <c r="A706" s="436"/>
      <c r="B706" s="436"/>
      <c r="C706" s="436"/>
      <c r="D706" s="436"/>
      <c r="E706" s="436"/>
      <c r="F706" s="436"/>
      <c r="G706" s="436"/>
      <c r="H706" s="436"/>
      <c r="I706" s="436"/>
      <c r="J706" s="436"/>
      <c r="K706" s="436"/>
      <c r="L706" s="436"/>
      <c r="M706" s="436"/>
      <c r="N706" s="436"/>
      <c r="O706" s="436"/>
      <c r="P706" s="436"/>
      <c r="Q706" s="436"/>
      <c r="R706" s="436"/>
      <c r="S706" s="436"/>
      <c r="T706" s="436"/>
      <c r="U706" s="436"/>
      <c r="V706" s="436"/>
      <c r="W706" s="436"/>
      <c r="X706" s="436"/>
      <c r="Y706" s="436"/>
      <c r="Z706" s="436"/>
    </row>
    <row r="707" ht="15.75" customHeight="1">
      <c r="A707" s="436"/>
      <c r="B707" s="436"/>
      <c r="C707" s="436"/>
      <c r="D707" s="436"/>
      <c r="E707" s="436"/>
      <c r="F707" s="436"/>
      <c r="G707" s="436"/>
      <c r="H707" s="436"/>
      <c r="I707" s="436"/>
      <c r="J707" s="436"/>
      <c r="K707" s="436"/>
      <c r="L707" s="436"/>
      <c r="M707" s="436"/>
      <c r="N707" s="436"/>
      <c r="O707" s="436"/>
      <c r="P707" s="436"/>
      <c r="Q707" s="436"/>
      <c r="R707" s="436"/>
      <c r="S707" s="436"/>
      <c r="T707" s="436"/>
      <c r="U707" s="436"/>
      <c r="V707" s="436"/>
      <c r="W707" s="436"/>
      <c r="X707" s="436"/>
      <c r="Y707" s="436"/>
      <c r="Z707" s="436"/>
    </row>
    <row r="708" ht="15.75" customHeight="1">
      <c r="A708" s="436"/>
      <c r="B708" s="436"/>
      <c r="C708" s="436"/>
      <c r="D708" s="436"/>
      <c r="E708" s="436"/>
      <c r="F708" s="436"/>
      <c r="G708" s="436"/>
      <c r="H708" s="436"/>
      <c r="I708" s="436"/>
      <c r="J708" s="436"/>
      <c r="K708" s="436"/>
      <c r="L708" s="436"/>
      <c r="M708" s="436"/>
      <c r="N708" s="436"/>
      <c r="O708" s="436"/>
      <c r="P708" s="436"/>
      <c r="Q708" s="436"/>
      <c r="R708" s="436"/>
      <c r="S708" s="436"/>
      <c r="T708" s="436"/>
      <c r="U708" s="436"/>
      <c r="V708" s="436"/>
      <c r="W708" s="436"/>
      <c r="X708" s="436"/>
      <c r="Y708" s="436"/>
      <c r="Z708" s="436"/>
    </row>
    <row r="709" ht="15.75" customHeight="1">
      <c r="A709" s="436"/>
      <c r="B709" s="436"/>
      <c r="C709" s="436"/>
      <c r="D709" s="436"/>
      <c r="E709" s="436"/>
      <c r="F709" s="436"/>
      <c r="G709" s="436"/>
      <c r="H709" s="436"/>
      <c r="I709" s="436"/>
      <c r="J709" s="436"/>
      <c r="K709" s="436"/>
      <c r="L709" s="436"/>
      <c r="M709" s="436"/>
      <c r="N709" s="436"/>
      <c r="O709" s="436"/>
      <c r="P709" s="436"/>
      <c r="Q709" s="436"/>
      <c r="R709" s="436"/>
      <c r="S709" s="436"/>
      <c r="T709" s="436"/>
      <c r="U709" s="436"/>
      <c r="V709" s="436"/>
      <c r="W709" s="436"/>
      <c r="X709" s="436"/>
      <c r="Y709" s="436"/>
      <c r="Z709" s="436"/>
    </row>
    <row r="710" ht="15.75" customHeight="1">
      <c r="A710" s="436"/>
      <c r="B710" s="436"/>
      <c r="C710" s="436"/>
      <c r="D710" s="436"/>
      <c r="E710" s="436"/>
      <c r="F710" s="436"/>
      <c r="G710" s="436"/>
      <c r="H710" s="436"/>
      <c r="I710" s="436"/>
      <c r="J710" s="436"/>
      <c r="K710" s="436"/>
      <c r="L710" s="436"/>
      <c r="M710" s="436"/>
      <c r="N710" s="436"/>
      <c r="O710" s="436"/>
      <c r="P710" s="436"/>
      <c r="Q710" s="436"/>
      <c r="R710" s="436"/>
      <c r="S710" s="436"/>
      <c r="T710" s="436"/>
      <c r="U710" s="436"/>
      <c r="V710" s="436"/>
      <c r="W710" s="436"/>
      <c r="X710" s="436"/>
      <c r="Y710" s="436"/>
      <c r="Z710" s="436"/>
    </row>
    <row r="711" ht="15.75" customHeight="1">
      <c r="A711" s="436"/>
      <c r="B711" s="436"/>
      <c r="C711" s="436"/>
      <c r="D711" s="436"/>
      <c r="E711" s="436"/>
      <c r="F711" s="436"/>
      <c r="G711" s="436"/>
      <c r="H711" s="436"/>
      <c r="I711" s="436"/>
      <c r="J711" s="436"/>
      <c r="K711" s="436"/>
      <c r="L711" s="436"/>
      <c r="M711" s="436"/>
      <c r="N711" s="436"/>
      <c r="O711" s="436"/>
      <c r="P711" s="436"/>
      <c r="Q711" s="436"/>
      <c r="R711" s="436"/>
      <c r="S711" s="436"/>
      <c r="T711" s="436"/>
      <c r="U711" s="436"/>
      <c r="V711" s="436"/>
      <c r="W711" s="436"/>
      <c r="X711" s="436"/>
      <c r="Y711" s="436"/>
      <c r="Z711" s="436"/>
    </row>
    <row r="712" ht="15.75" customHeight="1">
      <c r="A712" s="436"/>
      <c r="B712" s="436"/>
      <c r="C712" s="436"/>
      <c r="D712" s="436"/>
      <c r="E712" s="436"/>
      <c r="F712" s="436"/>
      <c r="G712" s="436"/>
      <c r="H712" s="436"/>
      <c r="I712" s="436"/>
      <c r="J712" s="436"/>
      <c r="K712" s="436"/>
      <c r="L712" s="436"/>
      <c r="M712" s="436"/>
      <c r="N712" s="436"/>
      <c r="O712" s="436"/>
      <c r="P712" s="436"/>
      <c r="Q712" s="436"/>
      <c r="R712" s="436"/>
      <c r="S712" s="436"/>
      <c r="T712" s="436"/>
      <c r="U712" s="436"/>
      <c r="V712" s="436"/>
      <c r="W712" s="436"/>
      <c r="X712" s="436"/>
      <c r="Y712" s="436"/>
      <c r="Z712" s="436"/>
    </row>
    <row r="713" ht="15.75" customHeight="1">
      <c r="A713" s="436"/>
      <c r="B713" s="436"/>
      <c r="C713" s="436"/>
      <c r="D713" s="436"/>
      <c r="E713" s="436"/>
      <c r="F713" s="436"/>
      <c r="G713" s="436"/>
      <c r="H713" s="436"/>
      <c r="I713" s="436"/>
      <c r="J713" s="436"/>
      <c r="K713" s="436"/>
      <c r="L713" s="436"/>
      <c r="M713" s="436"/>
      <c r="N713" s="436"/>
      <c r="O713" s="436"/>
      <c r="P713" s="436"/>
      <c r="Q713" s="436"/>
      <c r="R713" s="436"/>
      <c r="S713" s="436"/>
      <c r="T713" s="436"/>
      <c r="U713" s="436"/>
      <c r="V713" s="436"/>
      <c r="W713" s="436"/>
      <c r="X713" s="436"/>
      <c r="Y713" s="436"/>
      <c r="Z713" s="436"/>
    </row>
    <row r="714" ht="15.75" customHeight="1">
      <c r="A714" s="436"/>
      <c r="B714" s="436"/>
      <c r="C714" s="436"/>
      <c r="D714" s="436"/>
      <c r="E714" s="436"/>
      <c r="F714" s="436"/>
      <c r="G714" s="436"/>
      <c r="H714" s="436"/>
      <c r="I714" s="436"/>
      <c r="J714" s="436"/>
      <c r="K714" s="436"/>
      <c r="L714" s="436"/>
      <c r="M714" s="436"/>
      <c r="N714" s="436"/>
      <c r="O714" s="436"/>
      <c r="P714" s="436"/>
      <c r="Q714" s="436"/>
      <c r="R714" s="436"/>
      <c r="S714" s="436"/>
      <c r="T714" s="436"/>
      <c r="U714" s="436"/>
      <c r="V714" s="436"/>
      <c r="W714" s="436"/>
      <c r="X714" s="436"/>
      <c r="Y714" s="436"/>
      <c r="Z714" s="436"/>
    </row>
    <row r="715" ht="15.75" customHeight="1">
      <c r="A715" s="436"/>
      <c r="B715" s="436"/>
      <c r="C715" s="436"/>
      <c r="D715" s="436"/>
      <c r="E715" s="436"/>
      <c r="F715" s="436"/>
      <c r="G715" s="436"/>
      <c r="H715" s="436"/>
      <c r="I715" s="436"/>
      <c r="J715" s="436"/>
      <c r="K715" s="436"/>
      <c r="L715" s="436"/>
      <c r="M715" s="436"/>
      <c r="N715" s="436"/>
      <c r="O715" s="436"/>
      <c r="P715" s="436"/>
      <c r="Q715" s="436"/>
      <c r="R715" s="436"/>
      <c r="S715" s="436"/>
      <c r="T715" s="436"/>
      <c r="U715" s="436"/>
      <c r="V715" s="436"/>
      <c r="W715" s="436"/>
      <c r="X715" s="436"/>
      <c r="Y715" s="436"/>
      <c r="Z715" s="436"/>
    </row>
    <row r="716" ht="15.75" customHeight="1">
      <c r="A716" s="436"/>
      <c r="B716" s="436"/>
      <c r="C716" s="436"/>
      <c r="D716" s="436"/>
      <c r="E716" s="436"/>
      <c r="F716" s="436"/>
      <c r="G716" s="436"/>
      <c r="H716" s="436"/>
      <c r="I716" s="436"/>
      <c r="J716" s="436"/>
      <c r="K716" s="436"/>
      <c r="L716" s="436"/>
      <c r="M716" s="436"/>
      <c r="N716" s="436"/>
      <c r="O716" s="436"/>
      <c r="P716" s="436"/>
      <c r="Q716" s="436"/>
      <c r="R716" s="436"/>
      <c r="S716" s="436"/>
      <c r="T716" s="436"/>
      <c r="U716" s="436"/>
      <c r="V716" s="436"/>
      <c r="W716" s="436"/>
      <c r="X716" s="436"/>
      <c r="Y716" s="436"/>
      <c r="Z716" s="436"/>
    </row>
    <row r="717" ht="15.75" customHeight="1">
      <c r="A717" s="436"/>
      <c r="B717" s="436"/>
      <c r="C717" s="436"/>
      <c r="D717" s="436"/>
      <c r="E717" s="436"/>
      <c r="F717" s="436"/>
      <c r="G717" s="436"/>
      <c r="H717" s="436"/>
      <c r="I717" s="436"/>
      <c r="J717" s="436"/>
      <c r="K717" s="436"/>
      <c r="L717" s="436"/>
      <c r="M717" s="436"/>
      <c r="N717" s="436"/>
      <c r="O717" s="436"/>
      <c r="P717" s="436"/>
      <c r="Q717" s="436"/>
      <c r="R717" s="436"/>
      <c r="S717" s="436"/>
      <c r="T717" s="436"/>
      <c r="U717" s="436"/>
      <c r="V717" s="436"/>
      <c r="W717" s="436"/>
      <c r="X717" s="436"/>
      <c r="Y717" s="436"/>
      <c r="Z717" s="436"/>
    </row>
    <row r="718" ht="15.75" customHeight="1">
      <c r="A718" s="436"/>
      <c r="B718" s="436"/>
      <c r="C718" s="436"/>
      <c r="D718" s="436"/>
      <c r="E718" s="436"/>
      <c r="F718" s="436"/>
      <c r="G718" s="436"/>
      <c r="H718" s="436"/>
      <c r="I718" s="436"/>
      <c r="J718" s="436"/>
      <c r="K718" s="436"/>
      <c r="L718" s="436"/>
      <c r="M718" s="436"/>
      <c r="N718" s="436"/>
      <c r="O718" s="436"/>
      <c r="P718" s="436"/>
      <c r="Q718" s="436"/>
      <c r="R718" s="436"/>
      <c r="S718" s="436"/>
      <c r="T718" s="436"/>
      <c r="U718" s="436"/>
      <c r="V718" s="436"/>
      <c r="W718" s="436"/>
      <c r="X718" s="436"/>
      <c r="Y718" s="436"/>
      <c r="Z718" s="436"/>
    </row>
    <row r="719" ht="15.75" customHeight="1">
      <c r="A719" s="436"/>
      <c r="B719" s="436"/>
      <c r="C719" s="436"/>
      <c r="D719" s="436"/>
      <c r="E719" s="436"/>
      <c r="F719" s="436"/>
      <c r="G719" s="436"/>
      <c r="H719" s="436"/>
      <c r="I719" s="436"/>
      <c r="J719" s="436"/>
      <c r="K719" s="436"/>
      <c r="L719" s="436"/>
      <c r="M719" s="436"/>
      <c r="N719" s="436"/>
      <c r="O719" s="436"/>
      <c r="P719" s="436"/>
      <c r="Q719" s="436"/>
      <c r="R719" s="436"/>
      <c r="S719" s="436"/>
      <c r="T719" s="436"/>
      <c r="U719" s="436"/>
      <c r="V719" s="436"/>
      <c r="W719" s="436"/>
      <c r="X719" s="436"/>
      <c r="Y719" s="436"/>
      <c r="Z719" s="436"/>
    </row>
    <row r="720" ht="15.75" customHeight="1">
      <c r="A720" s="436"/>
      <c r="B720" s="436"/>
      <c r="C720" s="436"/>
      <c r="D720" s="436"/>
      <c r="E720" s="436"/>
      <c r="F720" s="436"/>
      <c r="G720" s="436"/>
      <c r="H720" s="436"/>
      <c r="I720" s="436"/>
      <c r="J720" s="436"/>
      <c r="K720" s="436"/>
      <c r="L720" s="436"/>
      <c r="M720" s="436"/>
      <c r="N720" s="436"/>
      <c r="O720" s="436"/>
      <c r="P720" s="436"/>
      <c r="Q720" s="436"/>
      <c r="R720" s="436"/>
      <c r="S720" s="436"/>
      <c r="T720" s="436"/>
      <c r="U720" s="436"/>
      <c r="V720" s="436"/>
      <c r="W720" s="436"/>
      <c r="X720" s="436"/>
      <c r="Y720" s="436"/>
      <c r="Z720" s="436"/>
    </row>
    <row r="721" ht="15.75" customHeight="1">
      <c r="A721" s="436"/>
      <c r="B721" s="436"/>
      <c r="C721" s="436"/>
      <c r="D721" s="436"/>
      <c r="E721" s="436"/>
      <c r="F721" s="436"/>
      <c r="G721" s="436"/>
      <c r="H721" s="436"/>
      <c r="I721" s="436"/>
      <c r="J721" s="436"/>
      <c r="K721" s="436"/>
      <c r="L721" s="436"/>
      <c r="M721" s="436"/>
      <c r="N721" s="436"/>
      <c r="O721" s="436"/>
      <c r="P721" s="436"/>
      <c r="Q721" s="436"/>
      <c r="R721" s="436"/>
      <c r="S721" s="436"/>
      <c r="T721" s="436"/>
      <c r="U721" s="436"/>
      <c r="V721" s="436"/>
      <c r="W721" s="436"/>
      <c r="X721" s="436"/>
      <c r="Y721" s="436"/>
      <c r="Z721" s="436"/>
    </row>
    <row r="722" ht="15.75" customHeight="1">
      <c r="A722" s="436"/>
      <c r="B722" s="436"/>
      <c r="C722" s="436"/>
      <c r="D722" s="436"/>
      <c r="E722" s="436"/>
      <c r="F722" s="436"/>
      <c r="G722" s="436"/>
      <c r="H722" s="436"/>
      <c r="I722" s="436"/>
      <c r="J722" s="436"/>
      <c r="K722" s="436"/>
      <c r="L722" s="436"/>
      <c r="M722" s="436"/>
      <c r="N722" s="436"/>
      <c r="O722" s="436"/>
      <c r="P722" s="436"/>
      <c r="Q722" s="436"/>
      <c r="R722" s="436"/>
      <c r="S722" s="436"/>
      <c r="T722" s="436"/>
      <c r="U722" s="436"/>
      <c r="V722" s="436"/>
      <c r="W722" s="436"/>
      <c r="X722" s="436"/>
      <c r="Y722" s="436"/>
      <c r="Z722" s="436"/>
    </row>
    <row r="723" ht="15.75" customHeight="1">
      <c r="A723" s="436"/>
      <c r="B723" s="436"/>
      <c r="C723" s="436"/>
      <c r="D723" s="436"/>
      <c r="E723" s="436"/>
      <c r="F723" s="436"/>
      <c r="G723" s="436"/>
      <c r="H723" s="436"/>
      <c r="I723" s="436"/>
      <c r="J723" s="436"/>
      <c r="K723" s="436"/>
      <c r="L723" s="436"/>
      <c r="M723" s="436"/>
      <c r="N723" s="436"/>
      <c r="O723" s="436"/>
      <c r="P723" s="436"/>
      <c r="Q723" s="436"/>
      <c r="R723" s="436"/>
      <c r="S723" s="436"/>
      <c r="T723" s="436"/>
      <c r="U723" s="436"/>
      <c r="V723" s="436"/>
      <c r="W723" s="436"/>
      <c r="X723" s="436"/>
      <c r="Y723" s="436"/>
      <c r="Z723" s="436"/>
    </row>
    <row r="724" ht="15.75" customHeight="1">
      <c r="A724" s="436"/>
      <c r="B724" s="436"/>
      <c r="C724" s="436"/>
      <c r="D724" s="436"/>
      <c r="E724" s="436"/>
      <c r="F724" s="436"/>
      <c r="G724" s="436"/>
      <c r="H724" s="436"/>
      <c r="I724" s="436"/>
      <c r="J724" s="436"/>
      <c r="K724" s="436"/>
      <c r="L724" s="436"/>
      <c r="M724" s="436"/>
      <c r="N724" s="436"/>
      <c r="O724" s="436"/>
      <c r="P724" s="436"/>
      <c r="Q724" s="436"/>
      <c r="R724" s="436"/>
      <c r="S724" s="436"/>
      <c r="T724" s="436"/>
      <c r="U724" s="436"/>
      <c r="V724" s="436"/>
      <c r="W724" s="436"/>
      <c r="X724" s="436"/>
      <c r="Y724" s="436"/>
      <c r="Z724" s="436"/>
    </row>
    <row r="725" ht="15.75" customHeight="1">
      <c r="A725" s="436"/>
      <c r="B725" s="436"/>
      <c r="C725" s="436"/>
      <c r="D725" s="436"/>
      <c r="E725" s="436"/>
      <c r="F725" s="436"/>
      <c r="G725" s="436"/>
      <c r="H725" s="436"/>
      <c r="I725" s="436"/>
      <c r="J725" s="436"/>
      <c r="K725" s="436"/>
      <c r="L725" s="436"/>
      <c r="M725" s="436"/>
      <c r="N725" s="436"/>
      <c r="O725" s="436"/>
      <c r="P725" s="436"/>
      <c r="Q725" s="436"/>
      <c r="R725" s="436"/>
      <c r="S725" s="436"/>
      <c r="T725" s="436"/>
      <c r="U725" s="436"/>
      <c r="V725" s="436"/>
      <c r="W725" s="436"/>
      <c r="X725" s="436"/>
      <c r="Y725" s="436"/>
      <c r="Z725" s="436"/>
    </row>
    <row r="726" ht="15.75" customHeight="1">
      <c r="A726" s="436"/>
      <c r="B726" s="436"/>
      <c r="C726" s="436"/>
      <c r="D726" s="436"/>
      <c r="E726" s="436"/>
      <c r="F726" s="436"/>
      <c r="G726" s="436"/>
      <c r="H726" s="436"/>
      <c r="I726" s="436"/>
      <c r="J726" s="436"/>
      <c r="K726" s="436"/>
      <c r="L726" s="436"/>
      <c r="M726" s="436"/>
      <c r="N726" s="436"/>
      <c r="O726" s="436"/>
      <c r="P726" s="436"/>
      <c r="Q726" s="436"/>
      <c r="R726" s="436"/>
      <c r="S726" s="436"/>
      <c r="T726" s="436"/>
      <c r="U726" s="436"/>
      <c r="V726" s="436"/>
      <c r="W726" s="436"/>
      <c r="X726" s="436"/>
      <c r="Y726" s="436"/>
      <c r="Z726" s="436"/>
    </row>
    <row r="727" ht="15.75" customHeight="1">
      <c r="A727" s="436"/>
      <c r="B727" s="436"/>
      <c r="C727" s="436"/>
      <c r="D727" s="436"/>
      <c r="E727" s="436"/>
      <c r="F727" s="436"/>
      <c r="G727" s="436"/>
      <c r="H727" s="436"/>
      <c r="I727" s="436"/>
      <c r="J727" s="436"/>
      <c r="K727" s="436"/>
      <c r="L727" s="436"/>
      <c r="M727" s="436"/>
      <c r="N727" s="436"/>
      <c r="O727" s="436"/>
      <c r="P727" s="436"/>
      <c r="Q727" s="436"/>
      <c r="R727" s="436"/>
      <c r="S727" s="436"/>
      <c r="T727" s="436"/>
      <c r="U727" s="436"/>
      <c r="V727" s="436"/>
      <c r="W727" s="436"/>
      <c r="X727" s="436"/>
      <c r="Y727" s="436"/>
      <c r="Z727" s="436"/>
    </row>
    <row r="728" ht="15.75" customHeight="1">
      <c r="A728" s="436"/>
      <c r="B728" s="436"/>
      <c r="C728" s="436"/>
      <c r="D728" s="436"/>
      <c r="E728" s="436"/>
      <c r="F728" s="436"/>
      <c r="G728" s="436"/>
      <c r="H728" s="436"/>
      <c r="I728" s="436"/>
      <c r="J728" s="436"/>
      <c r="K728" s="436"/>
      <c r="L728" s="436"/>
      <c r="M728" s="436"/>
      <c r="N728" s="436"/>
      <c r="O728" s="436"/>
      <c r="P728" s="436"/>
      <c r="Q728" s="436"/>
      <c r="R728" s="436"/>
      <c r="S728" s="436"/>
      <c r="T728" s="436"/>
      <c r="U728" s="436"/>
      <c r="V728" s="436"/>
      <c r="W728" s="436"/>
      <c r="X728" s="436"/>
      <c r="Y728" s="436"/>
      <c r="Z728" s="436"/>
    </row>
    <row r="729" ht="15.75" customHeight="1">
      <c r="A729" s="436"/>
      <c r="B729" s="436"/>
      <c r="C729" s="436"/>
      <c r="D729" s="436"/>
      <c r="E729" s="436"/>
      <c r="F729" s="436"/>
      <c r="G729" s="436"/>
      <c r="H729" s="436"/>
      <c r="I729" s="436"/>
      <c r="J729" s="436"/>
      <c r="K729" s="436"/>
      <c r="L729" s="436"/>
      <c r="M729" s="436"/>
      <c r="N729" s="436"/>
      <c r="O729" s="436"/>
      <c r="P729" s="436"/>
      <c r="Q729" s="436"/>
      <c r="R729" s="436"/>
      <c r="S729" s="436"/>
      <c r="T729" s="436"/>
      <c r="U729" s="436"/>
      <c r="V729" s="436"/>
      <c r="W729" s="436"/>
      <c r="X729" s="436"/>
      <c r="Y729" s="436"/>
      <c r="Z729" s="436"/>
    </row>
    <row r="730" ht="15.75" customHeight="1">
      <c r="A730" s="436"/>
      <c r="B730" s="436"/>
      <c r="C730" s="436"/>
      <c r="D730" s="436"/>
      <c r="E730" s="436"/>
      <c r="F730" s="436"/>
      <c r="G730" s="436"/>
      <c r="H730" s="436"/>
      <c r="I730" s="436"/>
      <c r="J730" s="436"/>
      <c r="K730" s="436"/>
      <c r="L730" s="436"/>
      <c r="M730" s="436"/>
      <c r="N730" s="436"/>
      <c r="O730" s="436"/>
      <c r="P730" s="436"/>
      <c r="Q730" s="436"/>
      <c r="R730" s="436"/>
      <c r="S730" s="436"/>
      <c r="T730" s="436"/>
      <c r="U730" s="436"/>
      <c r="V730" s="436"/>
      <c r="W730" s="436"/>
      <c r="X730" s="436"/>
      <c r="Y730" s="436"/>
      <c r="Z730" s="436"/>
    </row>
    <row r="731" ht="15.75" customHeight="1">
      <c r="A731" s="436"/>
      <c r="B731" s="436"/>
      <c r="C731" s="436"/>
      <c r="D731" s="436"/>
      <c r="E731" s="436"/>
      <c r="F731" s="436"/>
      <c r="G731" s="436"/>
      <c r="H731" s="436"/>
      <c r="I731" s="436"/>
      <c r="J731" s="436"/>
      <c r="K731" s="436"/>
      <c r="L731" s="436"/>
      <c r="M731" s="436"/>
      <c r="N731" s="436"/>
      <c r="O731" s="436"/>
      <c r="P731" s="436"/>
      <c r="Q731" s="436"/>
      <c r="R731" s="436"/>
      <c r="S731" s="436"/>
      <c r="T731" s="436"/>
      <c r="U731" s="436"/>
      <c r="V731" s="436"/>
      <c r="W731" s="436"/>
      <c r="X731" s="436"/>
      <c r="Y731" s="436"/>
      <c r="Z731" s="436"/>
    </row>
    <row r="732" ht="15.75" customHeight="1">
      <c r="A732" s="436"/>
      <c r="B732" s="436"/>
      <c r="C732" s="436"/>
      <c r="D732" s="436"/>
      <c r="E732" s="436"/>
      <c r="F732" s="436"/>
      <c r="G732" s="436"/>
      <c r="H732" s="436"/>
      <c r="I732" s="436"/>
      <c r="J732" s="436"/>
      <c r="K732" s="436"/>
      <c r="L732" s="436"/>
      <c r="M732" s="436"/>
      <c r="N732" s="436"/>
      <c r="O732" s="436"/>
      <c r="P732" s="436"/>
      <c r="Q732" s="436"/>
      <c r="R732" s="436"/>
      <c r="S732" s="436"/>
      <c r="T732" s="436"/>
      <c r="U732" s="436"/>
      <c r="V732" s="436"/>
      <c r="W732" s="436"/>
      <c r="X732" s="436"/>
      <c r="Y732" s="436"/>
      <c r="Z732" s="436"/>
    </row>
    <row r="733" ht="15.75" customHeight="1">
      <c r="A733" s="436"/>
      <c r="B733" s="436"/>
      <c r="C733" s="436"/>
      <c r="D733" s="436"/>
      <c r="E733" s="436"/>
      <c r="F733" s="436"/>
      <c r="G733" s="436"/>
      <c r="H733" s="436"/>
      <c r="I733" s="436"/>
      <c r="J733" s="436"/>
      <c r="K733" s="436"/>
      <c r="L733" s="436"/>
      <c r="M733" s="436"/>
      <c r="N733" s="436"/>
      <c r="O733" s="436"/>
      <c r="P733" s="436"/>
      <c r="Q733" s="436"/>
      <c r="R733" s="436"/>
      <c r="S733" s="436"/>
      <c r="T733" s="436"/>
      <c r="U733" s="436"/>
      <c r="V733" s="436"/>
      <c r="W733" s="436"/>
      <c r="X733" s="436"/>
      <c r="Y733" s="436"/>
      <c r="Z733" s="436"/>
    </row>
    <row r="734" ht="15.75" customHeight="1">
      <c r="A734" s="436"/>
      <c r="B734" s="436"/>
      <c r="C734" s="436"/>
      <c r="D734" s="436"/>
      <c r="E734" s="436"/>
      <c r="F734" s="436"/>
      <c r="G734" s="436"/>
      <c r="H734" s="436"/>
      <c r="I734" s="436"/>
      <c r="J734" s="436"/>
      <c r="K734" s="436"/>
      <c r="L734" s="436"/>
      <c r="M734" s="436"/>
      <c r="N734" s="436"/>
      <c r="O734" s="436"/>
      <c r="P734" s="436"/>
      <c r="Q734" s="436"/>
      <c r="R734" s="436"/>
      <c r="S734" s="436"/>
      <c r="T734" s="436"/>
      <c r="U734" s="436"/>
      <c r="V734" s="436"/>
      <c r="W734" s="436"/>
      <c r="X734" s="436"/>
      <c r="Y734" s="436"/>
      <c r="Z734" s="436"/>
    </row>
    <row r="735" ht="15.75" customHeight="1">
      <c r="A735" s="436"/>
      <c r="B735" s="436"/>
      <c r="C735" s="436"/>
      <c r="D735" s="436"/>
      <c r="E735" s="436"/>
      <c r="F735" s="436"/>
      <c r="G735" s="436"/>
      <c r="H735" s="436"/>
      <c r="I735" s="436"/>
      <c r="J735" s="436"/>
      <c r="K735" s="436"/>
      <c r="L735" s="436"/>
      <c r="M735" s="436"/>
      <c r="N735" s="436"/>
      <c r="O735" s="436"/>
      <c r="P735" s="436"/>
      <c r="Q735" s="436"/>
      <c r="R735" s="436"/>
      <c r="S735" s="436"/>
      <c r="T735" s="436"/>
      <c r="U735" s="436"/>
      <c r="V735" s="436"/>
      <c r="W735" s="436"/>
      <c r="X735" s="436"/>
      <c r="Y735" s="436"/>
      <c r="Z735" s="436"/>
    </row>
    <row r="736" ht="15.75" customHeight="1">
      <c r="A736" s="436"/>
      <c r="B736" s="436"/>
      <c r="C736" s="436"/>
      <c r="D736" s="436"/>
      <c r="E736" s="436"/>
      <c r="F736" s="436"/>
      <c r="G736" s="436"/>
      <c r="H736" s="436"/>
      <c r="I736" s="436"/>
      <c r="J736" s="436"/>
      <c r="K736" s="436"/>
      <c r="L736" s="436"/>
      <c r="M736" s="436"/>
      <c r="N736" s="436"/>
      <c r="O736" s="436"/>
      <c r="P736" s="436"/>
      <c r="Q736" s="436"/>
      <c r="R736" s="436"/>
      <c r="S736" s="436"/>
      <c r="T736" s="436"/>
      <c r="U736" s="436"/>
      <c r="V736" s="436"/>
      <c r="W736" s="436"/>
      <c r="X736" s="436"/>
      <c r="Y736" s="436"/>
      <c r="Z736" s="436"/>
    </row>
    <row r="737" ht="15.75" customHeight="1">
      <c r="A737" s="436"/>
      <c r="B737" s="436"/>
      <c r="C737" s="436"/>
      <c r="D737" s="436"/>
      <c r="E737" s="436"/>
      <c r="F737" s="436"/>
      <c r="G737" s="436"/>
      <c r="H737" s="436"/>
      <c r="I737" s="436"/>
      <c r="J737" s="436"/>
      <c r="K737" s="436"/>
      <c r="L737" s="436"/>
      <c r="M737" s="436"/>
      <c r="N737" s="436"/>
      <c r="O737" s="436"/>
      <c r="P737" s="436"/>
      <c r="Q737" s="436"/>
      <c r="R737" s="436"/>
      <c r="S737" s="436"/>
      <c r="T737" s="436"/>
      <c r="U737" s="436"/>
      <c r="V737" s="436"/>
      <c r="W737" s="436"/>
      <c r="X737" s="436"/>
      <c r="Y737" s="436"/>
      <c r="Z737" s="436"/>
    </row>
    <row r="738" ht="15.75" customHeight="1">
      <c r="A738" s="436"/>
      <c r="B738" s="436"/>
      <c r="C738" s="436"/>
      <c r="D738" s="436"/>
      <c r="E738" s="436"/>
      <c r="F738" s="436"/>
      <c r="G738" s="436"/>
      <c r="H738" s="436"/>
      <c r="I738" s="436"/>
      <c r="J738" s="436"/>
      <c r="K738" s="436"/>
      <c r="L738" s="436"/>
      <c r="M738" s="436"/>
      <c r="N738" s="436"/>
      <c r="O738" s="436"/>
      <c r="P738" s="436"/>
      <c r="Q738" s="436"/>
      <c r="R738" s="436"/>
      <c r="S738" s="436"/>
      <c r="T738" s="436"/>
      <c r="U738" s="436"/>
      <c r="V738" s="436"/>
      <c r="W738" s="436"/>
      <c r="X738" s="436"/>
      <c r="Y738" s="436"/>
      <c r="Z738" s="436"/>
    </row>
    <row r="739" ht="15.75" customHeight="1">
      <c r="A739" s="436"/>
      <c r="B739" s="436"/>
      <c r="C739" s="436"/>
      <c r="D739" s="436"/>
      <c r="E739" s="436"/>
      <c r="F739" s="436"/>
      <c r="G739" s="436"/>
      <c r="H739" s="436"/>
      <c r="I739" s="436"/>
      <c r="J739" s="436"/>
      <c r="K739" s="436"/>
      <c r="L739" s="436"/>
      <c r="M739" s="436"/>
      <c r="N739" s="436"/>
      <c r="O739" s="436"/>
      <c r="P739" s="436"/>
      <c r="Q739" s="436"/>
      <c r="R739" s="436"/>
      <c r="S739" s="436"/>
      <c r="T739" s="436"/>
      <c r="U739" s="436"/>
      <c r="V739" s="436"/>
      <c r="W739" s="436"/>
      <c r="X739" s="436"/>
      <c r="Y739" s="436"/>
      <c r="Z739" s="436"/>
    </row>
    <row r="740" ht="15.75" customHeight="1">
      <c r="A740" s="436"/>
      <c r="B740" s="436"/>
      <c r="C740" s="436"/>
      <c r="D740" s="436"/>
      <c r="E740" s="436"/>
      <c r="F740" s="436"/>
      <c r="G740" s="436"/>
      <c r="H740" s="436"/>
      <c r="I740" s="436"/>
      <c r="J740" s="436"/>
      <c r="K740" s="436"/>
      <c r="L740" s="436"/>
      <c r="M740" s="436"/>
      <c r="N740" s="436"/>
      <c r="O740" s="436"/>
      <c r="P740" s="436"/>
      <c r="Q740" s="436"/>
      <c r="R740" s="436"/>
      <c r="S740" s="436"/>
      <c r="T740" s="436"/>
      <c r="U740" s="436"/>
      <c r="V740" s="436"/>
      <c r="W740" s="436"/>
      <c r="X740" s="436"/>
      <c r="Y740" s="436"/>
      <c r="Z740" s="436"/>
    </row>
    <row r="741" ht="15.75" customHeight="1">
      <c r="A741" s="436"/>
      <c r="B741" s="436"/>
      <c r="C741" s="436"/>
      <c r="D741" s="436"/>
      <c r="E741" s="436"/>
      <c r="F741" s="436"/>
      <c r="G741" s="436"/>
      <c r="H741" s="436"/>
      <c r="I741" s="436"/>
      <c r="J741" s="436"/>
      <c r="K741" s="436"/>
      <c r="L741" s="436"/>
      <c r="M741" s="436"/>
      <c r="N741" s="436"/>
      <c r="O741" s="436"/>
      <c r="P741" s="436"/>
      <c r="Q741" s="436"/>
      <c r="R741" s="436"/>
      <c r="S741" s="436"/>
      <c r="T741" s="436"/>
      <c r="U741" s="436"/>
      <c r="V741" s="436"/>
      <c r="W741" s="436"/>
      <c r="X741" s="436"/>
      <c r="Y741" s="436"/>
      <c r="Z741" s="436"/>
    </row>
    <row r="742" ht="15.75" customHeight="1">
      <c r="A742" s="436"/>
      <c r="B742" s="436"/>
      <c r="C742" s="436"/>
      <c r="D742" s="436"/>
      <c r="E742" s="436"/>
      <c r="F742" s="436"/>
      <c r="G742" s="436"/>
      <c r="H742" s="436"/>
      <c r="I742" s="436"/>
      <c r="J742" s="436"/>
      <c r="K742" s="436"/>
      <c r="L742" s="436"/>
      <c r="M742" s="436"/>
      <c r="N742" s="436"/>
      <c r="O742" s="436"/>
      <c r="P742" s="436"/>
      <c r="Q742" s="436"/>
      <c r="R742" s="436"/>
      <c r="S742" s="436"/>
      <c r="T742" s="436"/>
      <c r="U742" s="436"/>
      <c r="V742" s="436"/>
      <c r="W742" s="436"/>
      <c r="X742" s="436"/>
      <c r="Y742" s="436"/>
      <c r="Z742" s="436"/>
    </row>
    <row r="743" ht="15.75" customHeight="1">
      <c r="A743" s="436"/>
      <c r="B743" s="436"/>
      <c r="C743" s="436"/>
      <c r="D743" s="436"/>
      <c r="E743" s="436"/>
      <c r="F743" s="436"/>
      <c r="G743" s="436"/>
      <c r="H743" s="436"/>
      <c r="I743" s="436"/>
      <c r="J743" s="436"/>
      <c r="K743" s="436"/>
      <c r="L743" s="436"/>
      <c r="M743" s="436"/>
      <c r="N743" s="436"/>
      <c r="O743" s="436"/>
      <c r="P743" s="436"/>
      <c r="Q743" s="436"/>
      <c r="R743" s="436"/>
      <c r="S743" s="436"/>
      <c r="T743" s="436"/>
      <c r="U743" s="436"/>
      <c r="V743" s="436"/>
      <c r="W743" s="436"/>
      <c r="X743" s="436"/>
      <c r="Y743" s="436"/>
      <c r="Z743" s="436"/>
    </row>
    <row r="744" ht="15.75" customHeight="1">
      <c r="A744" s="436"/>
      <c r="B744" s="436"/>
      <c r="C744" s="436"/>
      <c r="D744" s="436"/>
      <c r="E744" s="436"/>
      <c r="F744" s="436"/>
      <c r="G744" s="436"/>
      <c r="H744" s="436"/>
      <c r="I744" s="436"/>
      <c r="J744" s="436"/>
      <c r="K744" s="436"/>
      <c r="L744" s="436"/>
      <c r="M744" s="436"/>
      <c r="N744" s="436"/>
      <c r="O744" s="436"/>
      <c r="P744" s="436"/>
      <c r="Q744" s="436"/>
      <c r="R744" s="436"/>
      <c r="S744" s="436"/>
      <c r="T744" s="436"/>
      <c r="U744" s="436"/>
      <c r="V744" s="436"/>
      <c r="W744" s="436"/>
      <c r="X744" s="436"/>
      <c r="Y744" s="436"/>
      <c r="Z744" s="436"/>
    </row>
    <row r="745" ht="15.75" customHeight="1">
      <c r="A745" s="436"/>
      <c r="B745" s="436"/>
      <c r="C745" s="436"/>
      <c r="D745" s="436"/>
      <c r="E745" s="436"/>
      <c r="F745" s="436"/>
      <c r="G745" s="436"/>
      <c r="H745" s="436"/>
      <c r="I745" s="436"/>
      <c r="J745" s="436"/>
      <c r="K745" s="436"/>
      <c r="L745" s="436"/>
      <c r="M745" s="436"/>
      <c r="N745" s="436"/>
      <c r="O745" s="436"/>
      <c r="P745" s="436"/>
      <c r="Q745" s="436"/>
      <c r="R745" s="436"/>
      <c r="S745" s="436"/>
      <c r="T745" s="436"/>
      <c r="U745" s="436"/>
      <c r="V745" s="436"/>
      <c r="W745" s="436"/>
      <c r="X745" s="436"/>
      <c r="Y745" s="436"/>
      <c r="Z745" s="436"/>
    </row>
    <row r="746" ht="15.75" customHeight="1">
      <c r="A746" s="436"/>
      <c r="B746" s="436"/>
      <c r="C746" s="436"/>
      <c r="D746" s="436"/>
      <c r="E746" s="436"/>
      <c r="F746" s="436"/>
      <c r="G746" s="436"/>
      <c r="H746" s="436"/>
      <c r="I746" s="436"/>
      <c r="J746" s="436"/>
      <c r="K746" s="436"/>
      <c r="L746" s="436"/>
      <c r="M746" s="436"/>
      <c r="N746" s="436"/>
      <c r="O746" s="436"/>
      <c r="P746" s="436"/>
      <c r="Q746" s="436"/>
      <c r="R746" s="436"/>
      <c r="S746" s="436"/>
      <c r="T746" s="436"/>
      <c r="U746" s="436"/>
      <c r="V746" s="436"/>
      <c r="W746" s="436"/>
      <c r="X746" s="436"/>
      <c r="Y746" s="436"/>
      <c r="Z746" s="436"/>
    </row>
    <row r="747" ht="15.75" customHeight="1">
      <c r="A747" s="436"/>
      <c r="B747" s="436"/>
      <c r="C747" s="436"/>
      <c r="D747" s="436"/>
      <c r="E747" s="436"/>
      <c r="F747" s="436"/>
      <c r="G747" s="436"/>
      <c r="H747" s="436"/>
      <c r="I747" s="436"/>
      <c r="J747" s="436"/>
      <c r="K747" s="436"/>
      <c r="L747" s="436"/>
      <c r="M747" s="436"/>
      <c r="N747" s="436"/>
      <c r="O747" s="436"/>
      <c r="P747" s="436"/>
      <c r="Q747" s="436"/>
      <c r="R747" s="436"/>
      <c r="S747" s="436"/>
      <c r="T747" s="436"/>
      <c r="U747" s="436"/>
      <c r="V747" s="436"/>
      <c r="W747" s="436"/>
      <c r="X747" s="436"/>
      <c r="Y747" s="436"/>
      <c r="Z747" s="436"/>
    </row>
    <row r="748" ht="15.75" customHeight="1">
      <c r="A748" s="436"/>
      <c r="B748" s="436"/>
      <c r="C748" s="436"/>
      <c r="D748" s="436"/>
      <c r="E748" s="436"/>
      <c r="F748" s="436"/>
      <c r="G748" s="436"/>
      <c r="H748" s="436"/>
      <c r="I748" s="436"/>
      <c r="J748" s="436"/>
      <c r="K748" s="436"/>
      <c r="L748" s="436"/>
      <c r="M748" s="436"/>
      <c r="N748" s="436"/>
      <c r="O748" s="436"/>
      <c r="P748" s="436"/>
      <c r="Q748" s="436"/>
      <c r="R748" s="436"/>
      <c r="S748" s="436"/>
      <c r="T748" s="436"/>
      <c r="U748" s="436"/>
      <c r="V748" s="436"/>
      <c r="W748" s="436"/>
      <c r="X748" s="436"/>
      <c r="Y748" s="436"/>
      <c r="Z748" s="436"/>
    </row>
    <row r="749" ht="15.75" customHeight="1">
      <c r="A749" s="436"/>
      <c r="B749" s="436"/>
      <c r="C749" s="436"/>
      <c r="D749" s="436"/>
      <c r="E749" s="436"/>
      <c r="F749" s="436"/>
      <c r="G749" s="436"/>
      <c r="H749" s="436"/>
      <c r="I749" s="436"/>
      <c r="J749" s="436"/>
      <c r="K749" s="436"/>
      <c r="L749" s="436"/>
      <c r="M749" s="436"/>
      <c r="N749" s="436"/>
      <c r="O749" s="436"/>
      <c r="P749" s="436"/>
      <c r="Q749" s="436"/>
      <c r="R749" s="436"/>
      <c r="S749" s="436"/>
      <c r="T749" s="436"/>
      <c r="U749" s="436"/>
      <c r="V749" s="436"/>
      <c r="W749" s="436"/>
      <c r="X749" s="436"/>
      <c r="Y749" s="436"/>
      <c r="Z749" s="436"/>
    </row>
    <row r="750" ht="15.75" customHeight="1">
      <c r="A750" s="436"/>
      <c r="B750" s="436"/>
      <c r="C750" s="436"/>
      <c r="D750" s="436"/>
      <c r="E750" s="436"/>
      <c r="F750" s="436"/>
      <c r="G750" s="436"/>
      <c r="H750" s="436"/>
      <c r="I750" s="436"/>
      <c r="J750" s="436"/>
      <c r="K750" s="436"/>
      <c r="L750" s="436"/>
      <c r="M750" s="436"/>
      <c r="N750" s="436"/>
      <c r="O750" s="436"/>
      <c r="P750" s="436"/>
      <c r="Q750" s="436"/>
      <c r="R750" s="436"/>
      <c r="S750" s="436"/>
      <c r="T750" s="436"/>
      <c r="U750" s="436"/>
      <c r="V750" s="436"/>
      <c r="W750" s="436"/>
      <c r="X750" s="436"/>
      <c r="Y750" s="436"/>
      <c r="Z750" s="436"/>
    </row>
    <row r="751" ht="15.75" customHeight="1">
      <c r="A751" s="436"/>
      <c r="B751" s="436"/>
      <c r="C751" s="436"/>
      <c r="D751" s="436"/>
      <c r="E751" s="436"/>
      <c r="F751" s="436"/>
      <c r="G751" s="436"/>
      <c r="H751" s="436"/>
      <c r="I751" s="436"/>
      <c r="J751" s="436"/>
      <c r="K751" s="436"/>
      <c r="L751" s="436"/>
      <c r="M751" s="436"/>
      <c r="N751" s="436"/>
      <c r="O751" s="436"/>
      <c r="P751" s="436"/>
      <c r="Q751" s="436"/>
      <c r="R751" s="436"/>
      <c r="S751" s="436"/>
      <c r="T751" s="436"/>
      <c r="U751" s="436"/>
      <c r="V751" s="436"/>
      <c r="W751" s="436"/>
      <c r="X751" s="436"/>
      <c r="Y751" s="436"/>
      <c r="Z751" s="436"/>
    </row>
    <row r="752" ht="15.75" customHeight="1">
      <c r="A752" s="436"/>
      <c r="B752" s="436"/>
      <c r="C752" s="436"/>
      <c r="D752" s="436"/>
      <c r="E752" s="436"/>
      <c r="F752" s="436"/>
      <c r="G752" s="436"/>
      <c r="H752" s="436"/>
      <c r="I752" s="436"/>
      <c r="J752" s="436"/>
      <c r="K752" s="436"/>
      <c r="L752" s="436"/>
      <c r="M752" s="436"/>
      <c r="N752" s="436"/>
      <c r="O752" s="436"/>
      <c r="P752" s="436"/>
      <c r="Q752" s="436"/>
      <c r="R752" s="436"/>
      <c r="S752" s="436"/>
      <c r="T752" s="436"/>
      <c r="U752" s="436"/>
      <c r="V752" s="436"/>
      <c r="W752" s="436"/>
      <c r="X752" s="436"/>
      <c r="Y752" s="436"/>
      <c r="Z752" s="436"/>
    </row>
    <row r="753" ht="15.75" customHeight="1">
      <c r="A753" s="436"/>
      <c r="B753" s="436"/>
      <c r="C753" s="436"/>
      <c r="D753" s="436"/>
      <c r="E753" s="436"/>
      <c r="F753" s="436"/>
      <c r="G753" s="436"/>
      <c r="H753" s="436"/>
      <c r="I753" s="436"/>
      <c r="J753" s="436"/>
      <c r="K753" s="436"/>
      <c r="L753" s="436"/>
      <c r="M753" s="436"/>
      <c r="N753" s="436"/>
      <c r="O753" s="436"/>
      <c r="P753" s="436"/>
      <c r="Q753" s="436"/>
      <c r="R753" s="436"/>
      <c r="S753" s="436"/>
      <c r="T753" s="436"/>
      <c r="U753" s="436"/>
      <c r="V753" s="436"/>
      <c r="W753" s="436"/>
      <c r="X753" s="436"/>
      <c r="Y753" s="436"/>
      <c r="Z753" s="436"/>
    </row>
    <row r="754" ht="15.75" customHeight="1">
      <c r="A754" s="436"/>
      <c r="B754" s="436"/>
      <c r="C754" s="436"/>
      <c r="D754" s="436"/>
      <c r="E754" s="436"/>
      <c r="F754" s="436"/>
      <c r="G754" s="436"/>
      <c r="H754" s="436"/>
      <c r="I754" s="436"/>
      <c r="J754" s="436"/>
      <c r="K754" s="436"/>
      <c r="L754" s="436"/>
      <c r="M754" s="436"/>
      <c r="N754" s="436"/>
      <c r="O754" s="436"/>
      <c r="P754" s="436"/>
      <c r="Q754" s="436"/>
      <c r="R754" s="436"/>
      <c r="S754" s="436"/>
      <c r="T754" s="436"/>
      <c r="U754" s="436"/>
      <c r="V754" s="436"/>
      <c r="W754" s="436"/>
      <c r="X754" s="436"/>
      <c r="Y754" s="436"/>
      <c r="Z754" s="436"/>
    </row>
    <row r="755" ht="15.75" customHeight="1">
      <c r="A755" s="436"/>
      <c r="B755" s="436"/>
      <c r="C755" s="436"/>
      <c r="D755" s="436"/>
      <c r="E755" s="436"/>
      <c r="F755" s="436"/>
      <c r="G755" s="436"/>
      <c r="H755" s="436"/>
      <c r="I755" s="436"/>
      <c r="J755" s="436"/>
      <c r="K755" s="436"/>
      <c r="L755" s="436"/>
      <c r="M755" s="436"/>
      <c r="N755" s="436"/>
      <c r="O755" s="436"/>
      <c r="P755" s="436"/>
      <c r="Q755" s="436"/>
      <c r="R755" s="436"/>
      <c r="S755" s="436"/>
      <c r="T755" s="436"/>
      <c r="U755" s="436"/>
      <c r="V755" s="436"/>
      <c r="W755" s="436"/>
      <c r="X755" s="436"/>
      <c r="Y755" s="436"/>
      <c r="Z755" s="436"/>
    </row>
    <row r="756" ht="15.75" customHeight="1">
      <c r="A756" s="436"/>
      <c r="B756" s="436"/>
      <c r="C756" s="436"/>
      <c r="D756" s="436"/>
      <c r="E756" s="436"/>
      <c r="F756" s="436"/>
      <c r="G756" s="436"/>
      <c r="H756" s="436"/>
      <c r="I756" s="436"/>
      <c r="J756" s="436"/>
      <c r="K756" s="436"/>
      <c r="L756" s="436"/>
      <c r="M756" s="436"/>
      <c r="N756" s="436"/>
      <c r="O756" s="436"/>
      <c r="P756" s="436"/>
      <c r="Q756" s="436"/>
      <c r="R756" s="436"/>
      <c r="S756" s="436"/>
      <c r="T756" s="436"/>
      <c r="U756" s="436"/>
      <c r="V756" s="436"/>
      <c r="W756" s="436"/>
      <c r="X756" s="436"/>
      <c r="Y756" s="436"/>
      <c r="Z756" s="436"/>
    </row>
    <row r="757" ht="15.75" customHeight="1">
      <c r="A757" s="436"/>
      <c r="B757" s="436"/>
      <c r="C757" s="436"/>
      <c r="D757" s="436"/>
      <c r="E757" s="436"/>
      <c r="F757" s="436"/>
      <c r="G757" s="436"/>
      <c r="H757" s="436"/>
      <c r="I757" s="436"/>
      <c r="J757" s="436"/>
      <c r="K757" s="436"/>
      <c r="L757" s="436"/>
      <c r="M757" s="436"/>
      <c r="N757" s="436"/>
      <c r="O757" s="436"/>
      <c r="P757" s="436"/>
      <c r="Q757" s="436"/>
      <c r="R757" s="436"/>
      <c r="S757" s="436"/>
      <c r="T757" s="436"/>
      <c r="U757" s="436"/>
      <c r="V757" s="436"/>
      <c r="W757" s="436"/>
      <c r="X757" s="436"/>
      <c r="Y757" s="436"/>
      <c r="Z757" s="436"/>
    </row>
    <row r="758" ht="15.75" customHeight="1">
      <c r="A758" s="436"/>
      <c r="B758" s="436"/>
      <c r="C758" s="436"/>
      <c r="D758" s="436"/>
      <c r="E758" s="436"/>
      <c r="F758" s="436"/>
      <c r="G758" s="436"/>
      <c r="H758" s="436"/>
      <c r="I758" s="436"/>
      <c r="J758" s="436"/>
      <c r="K758" s="436"/>
      <c r="L758" s="436"/>
      <c r="M758" s="436"/>
      <c r="N758" s="436"/>
      <c r="O758" s="436"/>
      <c r="P758" s="436"/>
      <c r="Q758" s="436"/>
      <c r="R758" s="436"/>
      <c r="S758" s="436"/>
      <c r="T758" s="436"/>
      <c r="U758" s="436"/>
      <c r="V758" s="436"/>
      <c r="W758" s="436"/>
      <c r="X758" s="436"/>
      <c r="Y758" s="436"/>
      <c r="Z758" s="436"/>
    </row>
    <row r="759" ht="15.75" customHeight="1">
      <c r="A759" s="436"/>
      <c r="B759" s="436"/>
      <c r="C759" s="436"/>
      <c r="D759" s="436"/>
      <c r="E759" s="436"/>
      <c r="F759" s="436"/>
      <c r="G759" s="436"/>
      <c r="H759" s="436"/>
      <c r="I759" s="436"/>
      <c r="J759" s="436"/>
      <c r="K759" s="436"/>
      <c r="L759" s="436"/>
      <c r="M759" s="436"/>
      <c r="N759" s="436"/>
      <c r="O759" s="436"/>
      <c r="P759" s="436"/>
      <c r="Q759" s="436"/>
      <c r="R759" s="436"/>
      <c r="S759" s="436"/>
      <c r="T759" s="436"/>
      <c r="U759" s="436"/>
      <c r="V759" s="436"/>
      <c r="W759" s="436"/>
      <c r="X759" s="436"/>
      <c r="Y759" s="436"/>
      <c r="Z759" s="436"/>
    </row>
    <row r="760" ht="15.75" customHeight="1">
      <c r="A760" s="436"/>
      <c r="B760" s="436"/>
      <c r="C760" s="436"/>
      <c r="D760" s="436"/>
      <c r="E760" s="436"/>
      <c r="F760" s="436"/>
      <c r="G760" s="436"/>
      <c r="H760" s="436"/>
      <c r="I760" s="436"/>
      <c r="J760" s="436"/>
      <c r="K760" s="436"/>
      <c r="L760" s="436"/>
      <c r="M760" s="436"/>
      <c r="N760" s="436"/>
      <c r="O760" s="436"/>
      <c r="P760" s="436"/>
      <c r="Q760" s="436"/>
      <c r="R760" s="436"/>
      <c r="S760" s="436"/>
      <c r="T760" s="436"/>
      <c r="U760" s="436"/>
      <c r="V760" s="436"/>
      <c r="W760" s="436"/>
      <c r="X760" s="436"/>
      <c r="Y760" s="436"/>
      <c r="Z760" s="436"/>
    </row>
    <row r="761" ht="15.75" customHeight="1">
      <c r="A761" s="436"/>
      <c r="B761" s="436"/>
      <c r="C761" s="436"/>
      <c r="D761" s="436"/>
      <c r="E761" s="436"/>
      <c r="F761" s="436"/>
      <c r="G761" s="436"/>
      <c r="H761" s="436"/>
      <c r="I761" s="436"/>
      <c r="J761" s="436"/>
      <c r="K761" s="436"/>
      <c r="L761" s="436"/>
      <c r="M761" s="436"/>
      <c r="N761" s="436"/>
      <c r="O761" s="436"/>
      <c r="P761" s="436"/>
      <c r="Q761" s="436"/>
      <c r="R761" s="436"/>
      <c r="S761" s="436"/>
      <c r="T761" s="436"/>
      <c r="U761" s="436"/>
      <c r="V761" s="436"/>
      <c r="W761" s="436"/>
      <c r="X761" s="436"/>
      <c r="Y761" s="436"/>
      <c r="Z761" s="436"/>
    </row>
    <row r="762" ht="15.75" customHeight="1">
      <c r="A762" s="436"/>
      <c r="B762" s="436"/>
      <c r="C762" s="436"/>
      <c r="D762" s="436"/>
      <c r="E762" s="436"/>
      <c r="F762" s="436"/>
      <c r="G762" s="436"/>
      <c r="H762" s="436"/>
      <c r="I762" s="436"/>
      <c r="J762" s="436"/>
      <c r="K762" s="436"/>
      <c r="L762" s="436"/>
      <c r="M762" s="436"/>
      <c r="N762" s="436"/>
      <c r="O762" s="436"/>
      <c r="P762" s="436"/>
      <c r="Q762" s="436"/>
      <c r="R762" s="436"/>
      <c r="S762" s="436"/>
      <c r="T762" s="436"/>
      <c r="U762" s="436"/>
      <c r="V762" s="436"/>
      <c r="W762" s="436"/>
      <c r="X762" s="436"/>
      <c r="Y762" s="436"/>
      <c r="Z762" s="436"/>
    </row>
    <row r="763" ht="15.75" customHeight="1">
      <c r="A763" s="436"/>
      <c r="B763" s="436"/>
      <c r="C763" s="436"/>
      <c r="D763" s="436"/>
      <c r="E763" s="436"/>
      <c r="F763" s="436"/>
      <c r="G763" s="436"/>
      <c r="H763" s="436"/>
      <c r="I763" s="436"/>
      <c r="J763" s="436"/>
      <c r="K763" s="436"/>
      <c r="L763" s="436"/>
      <c r="M763" s="436"/>
      <c r="N763" s="436"/>
      <c r="O763" s="436"/>
      <c r="P763" s="436"/>
      <c r="Q763" s="436"/>
      <c r="R763" s="436"/>
      <c r="S763" s="436"/>
      <c r="T763" s="436"/>
      <c r="U763" s="436"/>
      <c r="V763" s="436"/>
      <c r="W763" s="436"/>
      <c r="X763" s="436"/>
      <c r="Y763" s="436"/>
      <c r="Z763" s="436"/>
    </row>
    <row r="764" ht="15.75" customHeight="1">
      <c r="A764" s="436"/>
      <c r="B764" s="436"/>
      <c r="C764" s="436"/>
      <c r="D764" s="436"/>
      <c r="E764" s="436"/>
      <c r="F764" s="436"/>
      <c r="G764" s="436"/>
      <c r="H764" s="436"/>
      <c r="I764" s="436"/>
      <c r="J764" s="436"/>
      <c r="K764" s="436"/>
      <c r="L764" s="436"/>
      <c r="M764" s="436"/>
      <c r="N764" s="436"/>
      <c r="O764" s="436"/>
      <c r="P764" s="436"/>
      <c r="Q764" s="436"/>
      <c r="R764" s="436"/>
      <c r="S764" s="436"/>
      <c r="T764" s="436"/>
      <c r="U764" s="436"/>
      <c r="V764" s="436"/>
      <c r="W764" s="436"/>
      <c r="X764" s="436"/>
      <c r="Y764" s="436"/>
      <c r="Z764" s="436"/>
    </row>
    <row r="765" ht="15.75" customHeight="1">
      <c r="A765" s="436"/>
      <c r="B765" s="436"/>
      <c r="C765" s="436"/>
      <c r="D765" s="436"/>
      <c r="E765" s="436"/>
      <c r="F765" s="436"/>
      <c r="G765" s="436"/>
      <c r="H765" s="436"/>
      <c r="I765" s="436"/>
      <c r="J765" s="436"/>
      <c r="K765" s="436"/>
      <c r="L765" s="436"/>
      <c r="M765" s="436"/>
      <c r="N765" s="436"/>
      <c r="O765" s="436"/>
      <c r="P765" s="436"/>
      <c r="Q765" s="436"/>
      <c r="R765" s="436"/>
      <c r="S765" s="436"/>
      <c r="T765" s="436"/>
      <c r="U765" s="436"/>
      <c r="V765" s="436"/>
      <c r="W765" s="436"/>
      <c r="X765" s="436"/>
      <c r="Y765" s="436"/>
      <c r="Z765" s="436"/>
    </row>
    <row r="766" ht="15.75" customHeight="1">
      <c r="A766" s="436"/>
      <c r="B766" s="436"/>
      <c r="C766" s="436"/>
      <c r="D766" s="436"/>
      <c r="E766" s="436"/>
      <c r="F766" s="436"/>
      <c r="G766" s="436"/>
      <c r="H766" s="436"/>
      <c r="I766" s="436"/>
      <c r="J766" s="436"/>
      <c r="K766" s="436"/>
      <c r="L766" s="436"/>
      <c r="M766" s="436"/>
      <c r="N766" s="436"/>
      <c r="O766" s="436"/>
      <c r="P766" s="436"/>
      <c r="Q766" s="436"/>
      <c r="R766" s="436"/>
      <c r="S766" s="436"/>
      <c r="T766" s="436"/>
      <c r="U766" s="436"/>
      <c r="V766" s="436"/>
      <c r="W766" s="436"/>
      <c r="X766" s="436"/>
      <c r="Y766" s="436"/>
      <c r="Z766" s="436"/>
    </row>
    <row r="767" ht="15.75" customHeight="1">
      <c r="A767" s="436"/>
      <c r="B767" s="436"/>
      <c r="C767" s="436"/>
      <c r="D767" s="436"/>
      <c r="E767" s="436"/>
      <c r="F767" s="436"/>
      <c r="G767" s="436"/>
      <c r="H767" s="436"/>
      <c r="I767" s="436"/>
      <c r="J767" s="436"/>
      <c r="K767" s="436"/>
      <c r="L767" s="436"/>
      <c r="M767" s="436"/>
      <c r="N767" s="436"/>
      <c r="O767" s="436"/>
      <c r="P767" s="436"/>
      <c r="Q767" s="436"/>
      <c r="R767" s="436"/>
      <c r="S767" s="436"/>
      <c r="T767" s="436"/>
      <c r="U767" s="436"/>
      <c r="V767" s="436"/>
      <c r="W767" s="436"/>
      <c r="X767" s="436"/>
      <c r="Y767" s="436"/>
      <c r="Z767" s="436"/>
    </row>
    <row r="768" ht="15.75" customHeight="1">
      <c r="A768" s="436"/>
      <c r="B768" s="436"/>
      <c r="C768" s="436"/>
      <c r="D768" s="436"/>
      <c r="E768" s="436"/>
      <c r="F768" s="436"/>
      <c r="G768" s="436"/>
      <c r="H768" s="436"/>
      <c r="I768" s="436"/>
      <c r="J768" s="436"/>
      <c r="K768" s="436"/>
      <c r="L768" s="436"/>
      <c r="M768" s="436"/>
      <c r="N768" s="436"/>
      <c r="O768" s="436"/>
      <c r="P768" s="436"/>
      <c r="Q768" s="436"/>
      <c r="R768" s="436"/>
      <c r="S768" s="436"/>
      <c r="T768" s="436"/>
      <c r="U768" s="436"/>
      <c r="V768" s="436"/>
      <c r="W768" s="436"/>
      <c r="X768" s="436"/>
      <c r="Y768" s="436"/>
      <c r="Z768" s="436"/>
    </row>
    <row r="769" ht="15.75" customHeight="1">
      <c r="A769" s="436"/>
      <c r="B769" s="436"/>
      <c r="C769" s="436"/>
      <c r="D769" s="436"/>
      <c r="E769" s="436"/>
      <c r="F769" s="436"/>
      <c r="G769" s="436"/>
      <c r="H769" s="436"/>
      <c r="I769" s="436"/>
      <c r="J769" s="436"/>
      <c r="K769" s="436"/>
      <c r="L769" s="436"/>
      <c r="M769" s="436"/>
      <c r="N769" s="436"/>
      <c r="O769" s="436"/>
      <c r="P769" s="436"/>
      <c r="Q769" s="436"/>
      <c r="R769" s="436"/>
      <c r="S769" s="436"/>
      <c r="T769" s="436"/>
      <c r="U769" s="436"/>
      <c r="V769" s="436"/>
      <c r="W769" s="436"/>
      <c r="X769" s="436"/>
      <c r="Y769" s="436"/>
      <c r="Z769" s="436"/>
    </row>
    <row r="770" ht="15.75" customHeight="1">
      <c r="A770" s="436"/>
      <c r="B770" s="436"/>
      <c r="C770" s="436"/>
      <c r="D770" s="436"/>
      <c r="E770" s="436"/>
      <c r="F770" s="436"/>
      <c r="G770" s="436"/>
      <c r="H770" s="436"/>
      <c r="I770" s="436"/>
      <c r="J770" s="436"/>
      <c r="K770" s="436"/>
      <c r="L770" s="436"/>
      <c r="M770" s="436"/>
      <c r="N770" s="436"/>
      <c r="O770" s="436"/>
      <c r="P770" s="436"/>
      <c r="Q770" s="436"/>
      <c r="R770" s="436"/>
      <c r="S770" s="436"/>
      <c r="T770" s="436"/>
      <c r="U770" s="436"/>
      <c r="V770" s="436"/>
      <c r="W770" s="436"/>
      <c r="X770" s="436"/>
      <c r="Y770" s="436"/>
      <c r="Z770" s="436"/>
    </row>
    <row r="771" ht="15.75" customHeight="1">
      <c r="A771" s="436"/>
      <c r="B771" s="436"/>
      <c r="C771" s="436"/>
      <c r="D771" s="436"/>
      <c r="E771" s="436"/>
      <c r="F771" s="436"/>
      <c r="G771" s="436"/>
      <c r="H771" s="436"/>
      <c r="I771" s="436"/>
      <c r="J771" s="436"/>
      <c r="K771" s="436"/>
      <c r="L771" s="436"/>
      <c r="M771" s="436"/>
      <c r="N771" s="436"/>
      <c r="O771" s="436"/>
      <c r="P771" s="436"/>
      <c r="Q771" s="436"/>
      <c r="R771" s="436"/>
      <c r="S771" s="436"/>
      <c r="T771" s="436"/>
      <c r="U771" s="436"/>
      <c r="V771" s="436"/>
      <c r="W771" s="436"/>
      <c r="X771" s="436"/>
      <c r="Y771" s="436"/>
      <c r="Z771" s="436"/>
    </row>
    <row r="772" ht="15.75" customHeight="1">
      <c r="A772" s="436"/>
      <c r="B772" s="436"/>
      <c r="C772" s="436"/>
      <c r="D772" s="436"/>
      <c r="E772" s="436"/>
      <c r="F772" s="436"/>
      <c r="G772" s="436"/>
      <c r="H772" s="436"/>
      <c r="I772" s="436"/>
      <c r="J772" s="436"/>
      <c r="K772" s="436"/>
      <c r="L772" s="436"/>
      <c r="M772" s="436"/>
      <c r="N772" s="436"/>
      <c r="O772" s="436"/>
      <c r="P772" s="436"/>
      <c r="Q772" s="436"/>
      <c r="R772" s="436"/>
      <c r="S772" s="436"/>
      <c r="T772" s="436"/>
      <c r="U772" s="436"/>
      <c r="V772" s="436"/>
      <c r="W772" s="436"/>
      <c r="X772" s="436"/>
      <c r="Y772" s="436"/>
      <c r="Z772" s="436"/>
    </row>
    <row r="773" ht="15.75" customHeight="1">
      <c r="A773" s="436"/>
      <c r="B773" s="436"/>
      <c r="C773" s="436"/>
      <c r="D773" s="436"/>
      <c r="E773" s="436"/>
      <c r="F773" s="436"/>
      <c r="G773" s="436"/>
      <c r="H773" s="436"/>
      <c r="I773" s="436"/>
      <c r="J773" s="436"/>
      <c r="K773" s="436"/>
      <c r="L773" s="436"/>
      <c r="M773" s="436"/>
      <c r="N773" s="436"/>
      <c r="O773" s="436"/>
      <c r="P773" s="436"/>
      <c r="Q773" s="436"/>
      <c r="R773" s="436"/>
      <c r="S773" s="436"/>
      <c r="T773" s="436"/>
      <c r="U773" s="436"/>
      <c r="V773" s="436"/>
      <c r="W773" s="436"/>
      <c r="X773" s="436"/>
      <c r="Y773" s="436"/>
      <c r="Z773" s="436"/>
    </row>
    <row r="774" ht="15.75" customHeight="1">
      <c r="A774" s="436"/>
      <c r="B774" s="436"/>
      <c r="C774" s="436"/>
      <c r="D774" s="436"/>
      <c r="E774" s="436"/>
      <c r="F774" s="436"/>
      <c r="G774" s="436"/>
      <c r="H774" s="436"/>
      <c r="I774" s="436"/>
      <c r="J774" s="436"/>
      <c r="K774" s="436"/>
      <c r="L774" s="436"/>
      <c r="M774" s="436"/>
      <c r="N774" s="436"/>
      <c r="O774" s="436"/>
      <c r="P774" s="436"/>
      <c r="Q774" s="436"/>
      <c r="R774" s="436"/>
      <c r="S774" s="436"/>
      <c r="T774" s="436"/>
      <c r="U774" s="436"/>
      <c r="V774" s="436"/>
      <c r="W774" s="436"/>
      <c r="X774" s="436"/>
      <c r="Y774" s="436"/>
      <c r="Z774" s="436"/>
    </row>
    <row r="775" ht="15.75" customHeight="1">
      <c r="A775" s="436"/>
      <c r="B775" s="436"/>
      <c r="C775" s="436"/>
      <c r="D775" s="436"/>
      <c r="E775" s="436"/>
      <c r="F775" s="436"/>
      <c r="G775" s="436"/>
      <c r="H775" s="436"/>
      <c r="I775" s="436"/>
      <c r="J775" s="436"/>
      <c r="K775" s="436"/>
      <c r="L775" s="436"/>
      <c r="M775" s="436"/>
      <c r="N775" s="436"/>
      <c r="O775" s="436"/>
      <c r="P775" s="436"/>
      <c r="Q775" s="436"/>
      <c r="R775" s="436"/>
      <c r="S775" s="436"/>
      <c r="T775" s="436"/>
      <c r="U775" s="436"/>
      <c r="V775" s="436"/>
      <c r="W775" s="436"/>
      <c r="X775" s="436"/>
      <c r="Y775" s="436"/>
      <c r="Z775" s="436"/>
    </row>
    <row r="776" ht="15.75" customHeight="1">
      <c r="A776" s="436"/>
      <c r="B776" s="436"/>
      <c r="C776" s="436"/>
      <c r="D776" s="436"/>
      <c r="E776" s="436"/>
      <c r="F776" s="436"/>
      <c r="G776" s="436"/>
      <c r="H776" s="436"/>
      <c r="I776" s="436"/>
      <c r="J776" s="436"/>
      <c r="K776" s="436"/>
      <c r="L776" s="436"/>
      <c r="M776" s="436"/>
      <c r="N776" s="436"/>
      <c r="O776" s="436"/>
      <c r="P776" s="436"/>
      <c r="Q776" s="436"/>
      <c r="R776" s="436"/>
      <c r="S776" s="436"/>
      <c r="T776" s="436"/>
      <c r="U776" s="436"/>
      <c r="V776" s="436"/>
      <c r="W776" s="436"/>
      <c r="X776" s="436"/>
      <c r="Y776" s="436"/>
      <c r="Z776" s="436"/>
    </row>
    <row r="777" ht="15.75" customHeight="1">
      <c r="A777" s="436"/>
      <c r="B777" s="436"/>
      <c r="C777" s="436"/>
      <c r="D777" s="436"/>
      <c r="E777" s="436"/>
      <c r="F777" s="436"/>
      <c r="G777" s="436"/>
      <c r="H777" s="436"/>
      <c r="I777" s="436"/>
      <c r="J777" s="436"/>
      <c r="K777" s="436"/>
      <c r="L777" s="436"/>
      <c r="M777" s="436"/>
      <c r="N777" s="436"/>
      <c r="O777" s="436"/>
      <c r="P777" s="436"/>
      <c r="Q777" s="436"/>
      <c r="R777" s="436"/>
      <c r="S777" s="436"/>
      <c r="T777" s="436"/>
      <c r="U777" s="436"/>
      <c r="V777" s="436"/>
      <c r="W777" s="436"/>
      <c r="X777" s="436"/>
      <c r="Y777" s="436"/>
      <c r="Z777" s="436"/>
    </row>
    <row r="778" ht="15.75" customHeight="1">
      <c r="A778" s="436"/>
      <c r="B778" s="436"/>
      <c r="C778" s="436"/>
      <c r="D778" s="436"/>
      <c r="E778" s="436"/>
      <c r="F778" s="436"/>
      <c r="G778" s="436"/>
      <c r="H778" s="436"/>
      <c r="I778" s="436"/>
      <c r="J778" s="436"/>
      <c r="K778" s="436"/>
      <c r="L778" s="436"/>
      <c r="M778" s="436"/>
      <c r="N778" s="436"/>
      <c r="O778" s="436"/>
      <c r="P778" s="436"/>
      <c r="Q778" s="436"/>
      <c r="R778" s="436"/>
      <c r="S778" s="436"/>
      <c r="T778" s="436"/>
      <c r="U778" s="436"/>
      <c r="V778" s="436"/>
      <c r="W778" s="436"/>
      <c r="X778" s="436"/>
      <c r="Y778" s="436"/>
      <c r="Z778" s="436"/>
    </row>
    <row r="779" ht="15.75" customHeight="1">
      <c r="A779" s="436"/>
      <c r="B779" s="436"/>
      <c r="C779" s="436"/>
      <c r="D779" s="436"/>
      <c r="E779" s="436"/>
      <c r="F779" s="436"/>
      <c r="G779" s="436"/>
      <c r="H779" s="436"/>
      <c r="I779" s="436"/>
      <c r="J779" s="436"/>
      <c r="K779" s="436"/>
      <c r="L779" s="436"/>
      <c r="M779" s="436"/>
      <c r="N779" s="436"/>
      <c r="O779" s="436"/>
      <c r="P779" s="436"/>
      <c r="Q779" s="436"/>
      <c r="R779" s="436"/>
      <c r="S779" s="436"/>
      <c r="T779" s="436"/>
      <c r="U779" s="436"/>
      <c r="V779" s="436"/>
      <c r="W779" s="436"/>
      <c r="X779" s="436"/>
      <c r="Y779" s="436"/>
      <c r="Z779" s="436"/>
    </row>
    <row r="780" ht="15.75" customHeight="1">
      <c r="A780" s="436"/>
      <c r="B780" s="436"/>
      <c r="C780" s="436"/>
      <c r="D780" s="436"/>
      <c r="E780" s="436"/>
      <c r="F780" s="436"/>
      <c r="G780" s="436"/>
      <c r="H780" s="436"/>
      <c r="I780" s="436"/>
      <c r="J780" s="436"/>
      <c r="K780" s="436"/>
      <c r="L780" s="436"/>
      <c r="M780" s="436"/>
      <c r="N780" s="436"/>
      <c r="O780" s="436"/>
      <c r="P780" s="436"/>
      <c r="Q780" s="436"/>
      <c r="R780" s="436"/>
      <c r="S780" s="436"/>
      <c r="T780" s="436"/>
      <c r="U780" s="436"/>
      <c r="V780" s="436"/>
      <c r="W780" s="436"/>
      <c r="X780" s="436"/>
      <c r="Y780" s="436"/>
      <c r="Z780" s="436"/>
    </row>
    <row r="781" ht="15.75" customHeight="1">
      <c r="A781" s="436"/>
      <c r="B781" s="436"/>
      <c r="C781" s="436"/>
      <c r="D781" s="436"/>
      <c r="E781" s="436"/>
      <c r="F781" s="436"/>
      <c r="G781" s="436"/>
      <c r="H781" s="436"/>
      <c r="I781" s="436"/>
      <c r="J781" s="436"/>
      <c r="K781" s="436"/>
      <c r="L781" s="436"/>
      <c r="M781" s="436"/>
      <c r="N781" s="436"/>
      <c r="O781" s="436"/>
      <c r="P781" s="436"/>
      <c r="Q781" s="436"/>
      <c r="R781" s="436"/>
      <c r="S781" s="436"/>
      <c r="T781" s="436"/>
      <c r="U781" s="436"/>
      <c r="V781" s="436"/>
      <c r="W781" s="436"/>
      <c r="X781" s="436"/>
      <c r="Y781" s="436"/>
      <c r="Z781" s="436"/>
    </row>
    <row r="782" ht="15.75" customHeight="1">
      <c r="A782" s="436"/>
      <c r="B782" s="436"/>
      <c r="C782" s="436"/>
      <c r="D782" s="436"/>
      <c r="E782" s="436"/>
      <c r="F782" s="436"/>
      <c r="G782" s="436"/>
      <c r="H782" s="436"/>
      <c r="I782" s="436"/>
      <c r="J782" s="436"/>
      <c r="K782" s="436"/>
      <c r="L782" s="436"/>
      <c r="M782" s="436"/>
      <c r="N782" s="436"/>
      <c r="O782" s="436"/>
      <c r="P782" s="436"/>
      <c r="Q782" s="436"/>
      <c r="R782" s="436"/>
      <c r="S782" s="436"/>
      <c r="T782" s="436"/>
      <c r="U782" s="436"/>
      <c r="V782" s="436"/>
      <c r="W782" s="436"/>
      <c r="X782" s="436"/>
      <c r="Y782" s="436"/>
      <c r="Z782" s="436"/>
    </row>
    <row r="783" ht="15.75" customHeight="1">
      <c r="A783" s="436"/>
      <c r="B783" s="436"/>
      <c r="C783" s="436"/>
      <c r="D783" s="436"/>
      <c r="E783" s="436"/>
      <c r="F783" s="436"/>
      <c r="G783" s="436"/>
      <c r="H783" s="436"/>
      <c r="I783" s="436"/>
      <c r="J783" s="436"/>
      <c r="K783" s="436"/>
      <c r="L783" s="436"/>
      <c r="M783" s="436"/>
      <c r="N783" s="436"/>
      <c r="O783" s="436"/>
      <c r="P783" s="436"/>
      <c r="Q783" s="436"/>
      <c r="R783" s="436"/>
      <c r="S783" s="436"/>
      <c r="T783" s="436"/>
      <c r="U783" s="436"/>
      <c r="V783" s="436"/>
      <c r="W783" s="436"/>
      <c r="X783" s="436"/>
      <c r="Y783" s="436"/>
      <c r="Z783" s="436"/>
    </row>
    <row r="784" ht="15.75" customHeight="1">
      <c r="A784" s="436"/>
      <c r="B784" s="436"/>
      <c r="C784" s="436"/>
      <c r="D784" s="436"/>
      <c r="E784" s="436"/>
      <c r="F784" s="436"/>
      <c r="G784" s="436"/>
      <c r="H784" s="436"/>
      <c r="I784" s="436"/>
      <c r="J784" s="436"/>
      <c r="K784" s="436"/>
      <c r="L784" s="436"/>
      <c r="M784" s="436"/>
      <c r="N784" s="436"/>
      <c r="O784" s="436"/>
      <c r="P784" s="436"/>
      <c r="Q784" s="436"/>
      <c r="R784" s="436"/>
      <c r="S784" s="436"/>
      <c r="T784" s="436"/>
      <c r="U784" s="436"/>
      <c r="V784" s="436"/>
      <c r="W784" s="436"/>
      <c r="X784" s="436"/>
      <c r="Y784" s="436"/>
      <c r="Z784" s="436"/>
    </row>
    <row r="785" ht="15.75" customHeight="1">
      <c r="A785" s="436"/>
      <c r="B785" s="436"/>
      <c r="C785" s="436"/>
      <c r="D785" s="436"/>
      <c r="E785" s="436"/>
      <c r="F785" s="436"/>
      <c r="G785" s="436"/>
      <c r="H785" s="436"/>
      <c r="I785" s="436"/>
      <c r="J785" s="436"/>
      <c r="K785" s="436"/>
      <c r="L785" s="436"/>
      <c r="M785" s="436"/>
      <c r="N785" s="436"/>
      <c r="O785" s="436"/>
      <c r="P785" s="436"/>
      <c r="Q785" s="436"/>
      <c r="R785" s="436"/>
      <c r="S785" s="436"/>
      <c r="T785" s="436"/>
      <c r="U785" s="436"/>
      <c r="V785" s="436"/>
      <c r="W785" s="436"/>
      <c r="X785" s="436"/>
      <c r="Y785" s="436"/>
      <c r="Z785" s="436"/>
    </row>
    <row r="786" ht="15.75" customHeight="1">
      <c r="A786" s="436"/>
      <c r="B786" s="436"/>
      <c r="C786" s="436"/>
      <c r="D786" s="436"/>
      <c r="E786" s="436"/>
      <c r="F786" s="436"/>
      <c r="G786" s="436"/>
      <c r="H786" s="436"/>
      <c r="I786" s="436"/>
      <c r="J786" s="436"/>
      <c r="K786" s="436"/>
      <c r="L786" s="436"/>
      <c r="M786" s="436"/>
      <c r="N786" s="436"/>
      <c r="O786" s="436"/>
      <c r="P786" s="436"/>
      <c r="Q786" s="436"/>
      <c r="R786" s="436"/>
      <c r="S786" s="436"/>
      <c r="T786" s="436"/>
      <c r="U786" s="436"/>
      <c r="V786" s="436"/>
      <c r="W786" s="436"/>
      <c r="X786" s="436"/>
      <c r="Y786" s="436"/>
      <c r="Z786" s="436"/>
    </row>
    <row r="787" ht="15.75" customHeight="1">
      <c r="A787" s="436"/>
      <c r="B787" s="436"/>
      <c r="C787" s="436"/>
      <c r="D787" s="436"/>
      <c r="E787" s="436"/>
      <c r="F787" s="436"/>
      <c r="G787" s="436"/>
      <c r="H787" s="436"/>
      <c r="I787" s="436"/>
      <c r="J787" s="436"/>
      <c r="K787" s="436"/>
      <c r="L787" s="436"/>
      <c r="M787" s="436"/>
      <c r="N787" s="436"/>
      <c r="O787" s="436"/>
      <c r="P787" s="436"/>
      <c r="Q787" s="436"/>
      <c r="R787" s="436"/>
      <c r="S787" s="436"/>
      <c r="T787" s="436"/>
      <c r="U787" s="436"/>
      <c r="V787" s="436"/>
      <c r="W787" s="436"/>
      <c r="X787" s="436"/>
      <c r="Y787" s="436"/>
      <c r="Z787" s="436"/>
    </row>
    <row r="788" ht="15.75" customHeight="1">
      <c r="A788" s="436"/>
      <c r="B788" s="436"/>
      <c r="C788" s="436"/>
      <c r="D788" s="436"/>
      <c r="E788" s="436"/>
      <c r="F788" s="436"/>
      <c r="G788" s="436"/>
      <c r="H788" s="436"/>
      <c r="I788" s="436"/>
      <c r="J788" s="436"/>
      <c r="K788" s="436"/>
      <c r="L788" s="436"/>
      <c r="M788" s="436"/>
      <c r="N788" s="436"/>
      <c r="O788" s="436"/>
      <c r="P788" s="436"/>
      <c r="Q788" s="436"/>
      <c r="R788" s="436"/>
      <c r="S788" s="436"/>
      <c r="T788" s="436"/>
      <c r="U788" s="436"/>
      <c r="V788" s="436"/>
      <c r="W788" s="436"/>
      <c r="X788" s="436"/>
      <c r="Y788" s="436"/>
      <c r="Z788" s="436"/>
    </row>
    <row r="789" ht="15.75" customHeight="1">
      <c r="A789" s="436"/>
      <c r="B789" s="436"/>
      <c r="C789" s="436"/>
      <c r="D789" s="436"/>
      <c r="E789" s="436"/>
      <c r="F789" s="436"/>
      <c r="G789" s="436"/>
      <c r="H789" s="436"/>
      <c r="I789" s="436"/>
      <c r="J789" s="436"/>
      <c r="K789" s="436"/>
      <c r="L789" s="436"/>
      <c r="M789" s="436"/>
      <c r="N789" s="436"/>
      <c r="O789" s="436"/>
      <c r="P789" s="436"/>
      <c r="Q789" s="436"/>
      <c r="R789" s="436"/>
      <c r="S789" s="436"/>
      <c r="T789" s="436"/>
      <c r="U789" s="436"/>
      <c r="V789" s="436"/>
      <c r="W789" s="436"/>
      <c r="X789" s="436"/>
      <c r="Y789" s="436"/>
      <c r="Z789" s="436"/>
    </row>
    <row r="790" ht="15.75" customHeight="1">
      <c r="A790" s="436"/>
      <c r="B790" s="436"/>
      <c r="C790" s="436"/>
      <c r="D790" s="436"/>
      <c r="E790" s="436"/>
      <c r="F790" s="436"/>
      <c r="G790" s="436"/>
      <c r="H790" s="436"/>
      <c r="I790" s="436"/>
      <c r="J790" s="436"/>
      <c r="K790" s="436"/>
      <c r="L790" s="436"/>
      <c r="M790" s="436"/>
      <c r="N790" s="436"/>
      <c r="O790" s="436"/>
      <c r="P790" s="436"/>
      <c r="Q790" s="436"/>
      <c r="R790" s="436"/>
      <c r="S790" s="436"/>
      <c r="T790" s="436"/>
      <c r="U790" s="436"/>
      <c r="V790" s="436"/>
      <c r="W790" s="436"/>
      <c r="X790" s="436"/>
      <c r="Y790" s="436"/>
      <c r="Z790" s="436"/>
    </row>
    <row r="791" ht="15.75" customHeight="1">
      <c r="A791" s="436"/>
      <c r="B791" s="436"/>
      <c r="C791" s="436"/>
      <c r="D791" s="436"/>
      <c r="E791" s="436"/>
      <c r="F791" s="436"/>
      <c r="G791" s="436"/>
      <c r="H791" s="436"/>
      <c r="I791" s="436"/>
      <c r="J791" s="436"/>
      <c r="K791" s="436"/>
      <c r="L791" s="436"/>
      <c r="M791" s="436"/>
      <c r="N791" s="436"/>
      <c r="O791" s="436"/>
      <c r="P791" s="436"/>
      <c r="Q791" s="436"/>
      <c r="R791" s="436"/>
      <c r="S791" s="436"/>
      <c r="T791" s="436"/>
      <c r="U791" s="436"/>
      <c r="V791" s="436"/>
      <c r="W791" s="436"/>
      <c r="X791" s="436"/>
      <c r="Y791" s="436"/>
      <c r="Z791" s="436"/>
    </row>
    <row r="792" ht="15.75" customHeight="1">
      <c r="A792" s="436"/>
      <c r="B792" s="436"/>
      <c r="C792" s="436"/>
      <c r="D792" s="436"/>
      <c r="E792" s="436"/>
      <c r="F792" s="436"/>
      <c r="G792" s="436"/>
      <c r="H792" s="436"/>
      <c r="I792" s="436"/>
      <c r="J792" s="436"/>
      <c r="K792" s="436"/>
      <c r="L792" s="436"/>
      <c r="M792" s="436"/>
      <c r="N792" s="436"/>
      <c r="O792" s="436"/>
      <c r="P792" s="436"/>
      <c r="Q792" s="436"/>
      <c r="R792" s="436"/>
      <c r="S792" s="436"/>
      <c r="T792" s="436"/>
      <c r="U792" s="436"/>
      <c r="V792" s="436"/>
      <c r="W792" s="436"/>
      <c r="X792" s="436"/>
      <c r="Y792" s="436"/>
      <c r="Z792" s="436"/>
    </row>
    <row r="793" ht="15.75" customHeight="1">
      <c r="A793" s="436"/>
      <c r="B793" s="436"/>
      <c r="C793" s="436"/>
      <c r="D793" s="436"/>
      <c r="E793" s="436"/>
      <c r="F793" s="436"/>
      <c r="G793" s="436"/>
      <c r="H793" s="436"/>
      <c r="I793" s="436"/>
      <c r="J793" s="436"/>
      <c r="K793" s="436"/>
      <c r="L793" s="436"/>
      <c r="M793" s="436"/>
      <c r="N793" s="436"/>
      <c r="O793" s="436"/>
      <c r="P793" s="436"/>
      <c r="Q793" s="436"/>
      <c r="R793" s="436"/>
      <c r="S793" s="436"/>
      <c r="T793" s="436"/>
      <c r="U793" s="436"/>
      <c r="V793" s="436"/>
      <c r="W793" s="436"/>
      <c r="X793" s="436"/>
      <c r="Y793" s="436"/>
      <c r="Z793" s="436"/>
    </row>
    <row r="794" ht="15.75" customHeight="1">
      <c r="A794" s="436"/>
      <c r="B794" s="436"/>
      <c r="C794" s="436"/>
      <c r="D794" s="436"/>
      <c r="E794" s="436"/>
      <c r="F794" s="436"/>
      <c r="G794" s="436"/>
      <c r="H794" s="436"/>
      <c r="I794" s="436"/>
      <c r="J794" s="436"/>
      <c r="K794" s="436"/>
      <c r="L794" s="436"/>
      <c r="M794" s="436"/>
      <c r="N794" s="436"/>
      <c r="O794" s="436"/>
      <c r="P794" s="436"/>
      <c r="Q794" s="436"/>
      <c r="R794" s="436"/>
      <c r="S794" s="436"/>
      <c r="T794" s="436"/>
      <c r="U794" s="436"/>
      <c r="V794" s="436"/>
      <c r="W794" s="436"/>
      <c r="X794" s="436"/>
      <c r="Y794" s="436"/>
      <c r="Z794" s="436"/>
    </row>
    <row r="795" ht="15.75" customHeight="1">
      <c r="A795" s="436"/>
      <c r="B795" s="436"/>
      <c r="C795" s="436"/>
      <c r="D795" s="436"/>
      <c r="E795" s="436"/>
      <c r="F795" s="436"/>
      <c r="G795" s="436"/>
      <c r="H795" s="436"/>
      <c r="I795" s="436"/>
      <c r="J795" s="436"/>
      <c r="K795" s="436"/>
      <c r="L795" s="436"/>
      <c r="M795" s="436"/>
      <c r="N795" s="436"/>
      <c r="O795" s="436"/>
      <c r="P795" s="436"/>
      <c r="Q795" s="436"/>
      <c r="R795" s="436"/>
      <c r="S795" s="436"/>
      <c r="T795" s="436"/>
      <c r="U795" s="436"/>
      <c r="V795" s="436"/>
      <c r="W795" s="436"/>
      <c r="X795" s="436"/>
      <c r="Y795" s="436"/>
      <c r="Z795" s="436"/>
    </row>
    <row r="796" ht="15.75" customHeight="1">
      <c r="A796" s="436"/>
      <c r="B796" s="436"/>
      <c r="C796" s="436"/>
      <c r="D796" s="436"/>
      <c r="E796" s="436"/>
      <c r="F796" s="436"/>
      <c r="G796" s="436"/>
      <c r="H796" s="436"/>
      <c r="I796" s="436"/>
      <c r="J796" s="436"/>
      <c r="K796" s="436"/>
      <c r="L796" s="436"/>
      <c r="M796" s="436"/>
      <c r="N796" s="436"/>
      <c r="O796" s="436"/>
      <c r="P796" s="436"/>
      <c r="Q796" s="436"/>
      <c r="R796" s="436"/>
      <c r="S796" s="436"/>
      <c r="T796" s="436"/>
      <c r="U796" s="436"/>
      <c r="V796" s="436"/>
      <c r="W796" s="436"/>
      <c r="X796" s="436"/>
      <c r="Y796" s="436"/>
      <c r="Z796" s="436"/>
    </row>
    <row r="797" ht="15.75" customHeight="1">
      <c r="A797" s="436"/>
      <c r="B797" s="436"/>
      <c r="C797" s="436"/>
      <c r="D797" s="436"/>
      <c r="E797" s="436"/>
      <c r="F797" s="436"/>
      <c r="G797" s="436"/>
      <c r="H797" s="436"/>
      <c r="I797" s="436"/>
      <c r="J797" s="436"/>
      <c r="K797" s="436"/>
      <c r="L797" s="436"/>
      <c r="M797" s="436"/>
      <c r="N797" s="436"/>
      <c r="O797" s="436"/>
      <c r="P797" s="436"/>
      <c r="Q797" s="436"/>
      <c r="R797" s="436"/>
      <c r="S797" s="436"/>
      <c r="T797" s="436"/>
      <c r="U797" s="436"/>
      <c r="V797" s="436"/>
      <c r="W797" s="436"/>
      <c r="X797" s="436"/>
      <c r="Y797" s="436"/>
      <c r="Z797" s="436"/>
    </row>
    <row r="798" ht="15.75" customHeight="1">
      <c r="A798" s="436"/>
      <c r="B798" s="436"/>
      <c r="C798" s="436"/>
      <c r="D798" s="436"/>
      <c r="E798" s="436"/>
      <c r="F798" s="436"/>
      <c r="G798" s="436"/>
      <c r="H798" s="436"/>
      <c r="I798" s="436"/>
      <c r="J798" s="436"/>
      <c r="K798" s="436"/>
      <c r="L798" s="436"/>
      <c r="M798" s="436"/>
      <c r="N798" s="436"/>
      <c r="O798" s="436"/>
      <c r="P798" s="436"/>
      <c r="Q798" s="436"/>
      <c r="R798" s="436"/>
      <c r="S798" s="436"/>
      <c r="T798" s="436"/>
      <c r="U798" s="436"/>
      <c r="V798" s="436"/>
      <c r="W798" s="436"/>
      <c r="X798" s="436"/>
      <c r="Y798" s="436"/>
      <c r="Z798" s="436"/>
    </row>
    <row r="799" ht="15.75" customHeight="1">
      <c r="A799" s="436"/>
      <c r="B799" s="436"/>
      <c r="C799" s="436"/>
      <c r="D799" s="436"/>
      <c r="E799" s="436"/>
      <c r="F799" s="436"/>
      <c r="G799" s="436"/>
      <c r="H799" s="436"/>
      <c r="I799" s="436"/>
      <c r="J799" s="436"/>
      <c r="K799" s="436"/>
      <c r="L799" s="436"/>
      <c r="M799" s="436"/>
      <c r="N799" s="436"/>
      <c r="O799" s="436"/>
      <c r="P799" s="436"/>
      <c r="Q799" s="436"/>
      <c r="R799" s="436"/>
      <c r="S799" s="436"/>
      <c r="T799" s="436"/>
      <c r="U799" s="436"/>
      <c r="V799" s="436"/>
      <c r="W799" s="436"/>
      <c r="X799" s="436"/>
      <c r="Y799" s="436"/>
      <c r="Z799" s="436"/>
    </row>
    <row r="800" ht="15.75" customHeight="1">
      <c r="A800" s="436"/>
      <c r="B800" s="436"/>
      <c r="C800" s="436"/>
      <c r="D800" s="436"/>
      <c r="E800" s="436"/>
      <c r="F800" s="436"/>
      <c r="G800" s="436"/>
      <c r="H800" s="436"/>
      <c r="I800" s="436"/>
      <c r="J800" s="436"/>
      <c r="K800" s="436"/>
      <c r="L800" s="436"/>
      <c r="M800" s="436"/>
      <c r="N800" s="436"/>
      <c r="O800" s="436"/>
      <c r="P800" s="436"/>
      <c r="Q800" s="436"/>
      <c r="R800" s="436"/>
      <c r="S800" s="436"/>
      <c r="T800" s="436"/>
      <c r="U800" s="436"/>
      <c r="V800" s="436"/>
      <c r="W800" s="436"/>
      <c r="X800" s="436"/>
      <c r="Y800" s="436"/>
      <c r="Z800" s="436"/>
    </row>
    <row r="801" ht="15.75" customHeight="1">
      <c r="A801" s="436"/>
      <c r="B801" s="436"/>
      <c r="C801" s="436"/>
      <c r="D801" s="436"/>
      <c r="E801" s="436"/>
      <c r="F801" s="436"/>
      <c r="G801" s="436"/>
      <c r="H801" s="436"/>
      <c r="I801" s="436"/>
      <c r="J801" s="436"/>
      <c r="K801" s="436"/>
      <c r="L801" s="436"/>
      <c r="M801" s="436"/>
      <c r="N801" s="436"/>
      <c r="O801" s="436"/>
      <c r="P801" s="436"/>
      <c r="Q801" s="436"/>
      <c r="R801" s="436"/>
      <c r="S801" s="436"/>
      <c r="T801" s="436"/>
      <c r="U801" s="436"/>
      <c r="V801" s="436"/>
      <c r="W801" s="436"/>
      <c r="X801" s="436"/>
      <c r="Y801" s="436"/>
      <c r="Z801" s="436"/>
    </row>
    <row r="802" ht="15.75" customHeight="1">
      <c r="A802" s="436"/>
      <c r="B802" s="436"/>
      <c r="C802" s="436"/>
      <c r="D802" s="436"/>
      <c r="E802" s="436"/>
      <c r="F802" s="436"/>
      <c r="G802" s="436"/>
      <c r="H802" s="436"/>
      <c r="I802" s="436"/>
      <c r="J802" s="436"/>
      <c r="K802" s="436"/>
      <c r="L802" s="436"/>
      <c r="M802" s="436"/>
      <c r="N802" s="436"/>
      <c r="O802" s="436"/>
      <c r="P802" s="436"/>
      <c r="Q802" s="436"/>
      <c r="R802" s="436"/>
      <c r="S802" s="436"/>
      <c r="T802" s="436"/>
      <c r="U802" s="436"/>
      <c r="V802" s="436"/>
      <c r="W802" s="436"/>
      <c r="X802" s="436"/>
      <c r="Y802" s="436"/>
      <c r="Z802" s="436"/>
    </row>
    <row r="803" ht="15.75" customHeight="1">
      <c r="A803" s="436"/>
      <c r="B803" s="436"/>
      <c r="C803" s="436"/>
      <c r="D803" s="436"/>
      <c r="E803" s="436"/>
      <c r="F803" s="436"/>
      <c r="G803" s="436"/>
      <c r="H803" s="436"/>
      <c r="I803" s="436"/>
      <c r="J803" s="436"/>
      <c r="K803" s="436"/>
      <c r="L803" s="436"/>
      <c r="M803" s="436"/>
      <c r="N803" s="436"/>
      <c r="O803" s="436"/>
      <c r="P803" s="436"/>
      <c r="Q803" s="436"/>
      <c r="R803" s="436"/>
      <c r="S803" s="436"/>
      <c r="T803" s="436"/>
      <c r="U803" s="436"/>
      <c r="V803" s="436"/>
      <c r="W803" s="436"/>
      <c r="X803" s="436"/>
      <c r="Y803" s="436"/>
      <c r="Z803" s="436"/>
    </row>
    <row r="804" ht="15.75" customHeight="1">
      <c r="A804" s="436"/>
      <c r="B804" s="436"/>
      <c r="C804" s="436"/>
      <c r="D804" s="436"/>
      <c r="E804" s="436"/>
      <c r="F804" s="436"/>
      <c r="G804" s="436"/>
      <c r="H804" s="436"/>
      <c r="I804" s="436"/>
      <c r="J804" s="436"/>
      <c r="K804" s="436"/>
      <c r="L804" s="436"/>
      <c r="M804" s="436"/>
      <c r="N804" s="436"/>
      <c r="O804" s="436"/>
      <c r="P804" s="436"/>
      <c r="Q804" s="436"/>
      <c r="R804" s="436"/>
      <c r="S804" s="436"/>
      <c r="T804" s="436"/>
      <c r="U804" s="436"/>
      <c r="V804" s="436"/>
      <c r="W804" s="436"/>
      <c r="X804" s="436"/>
      <c r="Y804" s="436"/>
      <c r="Z804" s="436"/>
    </row>
    <row r="805" ht="15.75" customHeight="1">
      <c r="A805" s="436"/>
      <c r="B805" s="436"/>
      <c r="C805" s="436"/>
      <c r="D805" s="436"/>
      <c r="E805" s="436"/>
      <c r="F805" s="436"/>
      <c r="G805" s="436"/>
      <c r="H805" s="436"/>
      <c r="I805" s="436"/>
      <c r="J805" s="436"/>
      <c r="K805" s="436"/>
      <c r="L805" s="436"/>
      <c r="M805" s="436"/>
      <c r="N805" s="436"/>
      <c r="O805" s="436"/>
      <c r="P805" s="436"/>
      <c r="Q805" s="436"/>
      <c r="R805" s="436"/>
      <c r="S805" s="436"/>
      <c r="T805" s="436"/>
      <c r="U805" s="436"/>
      <c r="V805" s="436"/>
      <c r="W805" s="436"/>
      <c r="X805" s="436"/>
      <c r="Y805" s="436"/>
      <c r="Z805" s="436"/>
    </row>
    <row r="806" ht="15.75" customHeight="1">
      <c r="A806" s="436"/>
      <c r="B806" s="436"/>
      <c r="C806" s="436"/>
      <c r="D806" s="436"/>
      <c r="E806" s="436"/>
      <c r="F806" s="436"/>
      <c r="G806" s="436"/>
      <c r="H806" s="436"/>
      <c r="I806" s="436"/>
      <c r="J806" s="436"/>
      <c r="K806" s="436"/>
      <c r="L806" s="436"/>
      <c r="M806" s="436"/>
      <c r="N806" s="436"/>
      <c r="O806" s="436"/>
      <c r="P806" s="436"/>
      <c r="Q806" s="436"/>
      <c r="R806" s="436"/>
      <c r="S806" s="436"/>
      <c r="T806" s="436"/>
      <c r="U806" s="436"/>
      <c r="V806" s="436"/>
      <c r="W806" s="436"/>
      <c r="X806" s="436"/>
      <c r="Y806" s="436"/>
      <c r="Z806" s="436"/>
    </row>
    <row r="807" ht="15.75" customHeight="1">
      <c r="A807" s="436"/>
      <c r="B807" s="436"/>
      <c r="C807" s="436"/>
      <c r="D807" s="436"/>
      <c r="E807" s="436"/>
      <c r="F807" s="436"/>
      <c r="G807" s="436"/>
      <c r="H807" s="436"/>
      <c r="I807" s="436"/>
      <c r="J807" s="436"/>
      <c r="K807" s="436"/>
      <c r="L807" s="436"/>
      <c r="M807" s="436"/>
      <c r="N807" s="436"/>
      <c r="O807" s="436"/>
      <c r="P807" s="436"/>
      <c r="Q807" s="436"/>
      <c r="R807" s="436"/>
      <c r="S807" s="436"/>
      <c r="T807" s="436"/>
      <c r="U807" s="436"/>
      <c r="V807" s="436"/>
      <c r="W807" s="436"/>
      <c r="X807" s="436"/>
      <c r="Y807" s="436"/>
      <c r="Z807" s="436"/>
    </row>
    <row r="808" ht="15.75" customHeight="1">
      <c r="A808" s="436"/>
      <c r="B808" s="436"/>
      <c r="C808" s="436"/>
      <c r="D808" s="436"/>
      <c r="E808" s="436"/>
      <c r="F808" s="436"/>
      <c r="G808" s="436"/>
      <c r="H808" s="436"/>
      <c r="I808" s="436"/>
      <c r="J808" s="436"/>
      <c r="K808" s="436"/>
      <c r="L808" s="436"/>
      <c r="M808" s="436"/>
      <c r="N808" s="436"/>
      <c r="O808" s="436"/>
      <c r="P808" s="436"/>
      <c r="Q808" s="436"/>
      <c r="R808" s="436"/>
      <c r="S808" s="436"/>
      <c r="T808" s="436"/>
      <c r="U808" s="436"/>
      <c r="V808" s="436"/>
      <c r="W808" s="436"/>
      <c r="X808" s="436"/>
      <c r="Y808" s="436"/>
      <c r="Z808" s="436"/>
    </row>
    <row r="809" ht="15.75" customHeight="1">
      <c r="A809" s="436"/>
      <c r="B809" s="436"/>
      <c r="C809" s="436"/>
      <c r="D809" s="436"/>
      <c r="E809" s="436"/>
      <c r="F809" s="436"/>
      <c r="G809" s="436"/>
      <c r="H809" s="436"/>
      <c r="I809" s="436"/>
      <c r="J809" s="436"/>
      <c r="K809" s="436"/>
      <c r="L809" s="436"/>
      <c r="M809" s="436"/>
      <c r="N809" s="436"/>
      <c r="O809" s="436"/>
      <c r="P809" s="436"/>
      <c r="Q809" s="436"/>
      <c r="R809" s="436"/>
      <c r="S809" s="436"/>
      <c r="T809" s="436"/>
      <c r="U809" s="436"/>
      <c r="V809" s="436"/>
      <c r="W809" s="436"/>
      <c r="X809" s="436"/>
      <c r="Y809" s="436"/>
      <c r="Z809" s="436"/>
    </row>
    <row r="810" ht="15.75" customHeight="1">
      <c r="A810" s="436"/>
      <c r="B810" s="436"/>
      <c r="C810" s="436"/>
      <c r="D810" s="436"/>
      <c r="E810" s="436"/>
      <c r="F810" s="436"/>
      <c r="G810" s="436"/>
      <c r="H810" s="436"/>
      <c r="I810" s="436"/>
      <c r="J810" s="436"/>
      <c r="K810" s="436"/>
      <c r="L810" s="436"/>
      <c r="M810" s="436"/>
      <c r="N810" s="436"/>
      <c r="O810" s="436"/>
      <c r="P810" s="436"/>
      <c r="Q810" s="436"/>
      <c r="R810" s="436"/>
      <c r="S810" s="436"/>
      <c r="T810" s="436"/>
      <c r="U810" s="436"/>
      <c r="V810" s="436"/>
      <c r="W810" s="436"/>
      <c r="X810" s="436"/>
      <c r="Y810" s="436"/>
      <c r="Z810" s="436"/>
    </row>
    <row r="811" ht="15.75" customHeight="1">
      <c r="A811" s="436"/>
      <c r="B811" s="436"/>
      <c r="C811" s="436"/>
      <c r="D811" s="436"/>
      <c r="E811" s="436"/>
      <c r="F811" s="436"/>
      <c r="G811" s="436"/>
      <c r="H811" s="436"/>
      <c r="I811" s="436"/>
      <c r="J811" s="436"/>
      <c r="K811" s="436"/>
      <c r="L811" s="436"/>
      <c r="M811" s="436"/>
      <c r="N811" s="436"/>
      <c r="O811" s="436"/>
      <c r="P811" s="436"/>
      <c r="Q811" s="436"/>
      <c r="R811" s="436"/>
      <c r="S811" s="436"/>
      <c r="T811" s="436"/>
      <c r="U811" s="436"/>
      <c r="V811" s="436"/>
      <c r="W811" s="436"/>
      <c r="X811" s="436"/>
      <c r="Y811" s="436"/>
      <c r="Z811" s="436"/>
    </row>
    <row r="812" ht="15.75" customHeight="1">
      <c r="A812" s="436"/>
      <c r="B812" s="436"/>
      <c r="C812" s="436"/>
      <c r="D812" s="436"/>
      <c r="E812" s="436"/>
      <c r="F812" s="436"/>
      <c r="G812" s="436"/>
      <c r="H812" s="436"/>
      <c r="I812" s="436"/>
      <c r="J812" s="436"/>
      <c r="K812" s="436"/>
      <c r="L812" s="436"/>
      <c r="M812" s="436"/>
      <c r="N812" s="436"/>
      <c r="O812" s="436"/>
      <c r="P812" s="436"/>
      <c r="Q812" s="436"/>
      <c r="R812" s="436"/>
      <c r="S812" s="436"/>
      <c r="T812" s="436"/>
      <c r="U812" s="436"/>
      <c r="V812" s="436"/>
      <c r="W812" s="436"/>
      <c r="X812" s="436"/>
      <c r="Y812" s="436"/>
      <c r="Z812" s="436"/>
    </row>
    <row r="813" ht="15.75" customHeight="1">
      <c r="A813" s="436"/>
      <c r="B813" s="436"/>
      <c r="C813" s="436"/>
      <c r="D813" s="436"/>
      <c r="E813" s="436"/>
      <c r="F813" s="436"/>
      <c r="G813" s="436"/>
      <c r="H813" s="436"/>
      <c r="I813" s="436"/>
      <c r="J813" s="436"/>
      <c r="K813" s="436"/>
      <c r="L813" s="436"/>
      <c r="M813" s="436"/>
      <c r="N813" s="436"/>
      <c r="O813" s="436"/>
      <c r="P813" s="436"/>
      <c r="Q813" s="436"/>
      <c r="R813" s="436"/>
      <c r="S813" s="436"/>
      <c r="T813" s="436"/>
      <c r="U813" s="436"/>
      <c r="V813" s="436"/>
      <c r="W813" s="436"/>
      <c r="X813" s="436"/>
      <c r="Y813" s="436"/>
      <c r="Z813" s="436"/>
    </row>
    <row r="814" ht="15.75" customHeight="1">
      <c r="A814" s="436"/>
      <c r="B814" s="436"/>
      <c r="C814" s="436"/>
      <c r="D814" s="436"/>
      <c r="E814" s="436"/>
      <c r="F814" s="436"/>
      <c r="G814" s="436"/>
      <c r="H814" s="436"/>
      <c r="I814" s="436"/>
      <c r="J814" s="436"/>
      <c r="K814" s="436"/>
      <c r="L814" s="436"/>
      <c r="M814" s="436"/>
      <c r="N814" s="436"/>
      <c r="O814" s="436"/>
      <c r="P814" s="436"/>
      <c r="Q814" s="436"/>
      <c r="R814" s="436"/>
      <c r="S814" s="436"/>
      <c r="T814" s="436"/>
      <c r="U814" s="436"/>
      <c r="V814" s="436"/>
      <c r="W814" s="436"/>
      <c r="X814" s="436"/>
      <c r="Y814" s="436"/>
      <c r="Z814" s="436"/>
    </row>
    <row r="815" ht="15.75" customHeight="1">
      <c r="A815" s="436"/>
      <c r="B815" s="436"/>
      <c r="C815" s="436"/>
      <c r="D815" s="436"/>
      <c r="E815" s="436"/>
      <c r="F815" s="436"/>
      <c r="G815" s="436"/>
      <c r="H815" s="436"/>
      <c r="I815" s="436"/>
      <c r="J815" s="436"/>
      <c r="K815" s="436"/>
      <c r="L815" s="436"/>
      <c r="M815" s="436"/>
      <c r="N815" s="436"/>
      <c r="O815" s="436"/>
      <c r="P815" s="436"/>
      <c r="Q815" s="436"/>
      <c r="R815" s="436"/>
      <c r="S815" s="436"/>
      <c r="T815" s="436"/>
      <c r="U815" s="436"/>
      <c r="V815" s="436"/>
      <c r="W815" s="436"/>
      <c r="X815" s="436"/>
      <c r="Y815" s="436"/>
      <c r="Z815" s="436"/>
    </row>
    <row r="816" ht="15.75" customHeight="1">
      <c r="A816" s="436"/>
      <c r="B816" s="436"/>
      <c r="C816" s="436"/>
      <c r="D816" s="436"/>
      <c r="E816" s="436"/>
      <c r="F816" s="436"/>
      <c r="G816" s="436"/>
      <c r="H816" s="436"/>
      <c r="I816" s="436"/>
      <c r="J816" s="436"/>
      <c r="K816" s="436"/>
      <c r="L816" s="436"/>
      <c r="M816" s="436"/>
      <c r="N816" s="436"/>
      <c r="O816" s="436"/>
      <c r="P816" s="436"/>
      <c r="Q816" s="436"/>
      <c r="R816" s="436"/>
      <c r="S816" s="436"/>
      <c r="T816" s="436"/>
      <c r="U816" s="436"/>
      <c r="V816" s="436"/>
      <c r="W816" s="436"/>
      <c r="X816" s="436"/>
      <c r="Y816" s="436"/>
      <c r="Z816" s="436"/>
    </row>
    <row r="817" ht="15.75" customHeight="1">
      <c r="A817" s="436"/>
      <c r="B817" s="436"/>
      <c r="C817" s="436"/>
      <c r="D817" s="436"/>
      <c r="E817" s="436"/>
      <c r="F817" s="436"/>
      <c r="G817" s="436"/>
      <c r="H817" s="436"/>
      <c r="I817" s="436"/>
      <c r="J817" s="436"/>
      <c r="K817" s="436"/>
      <c r="L817" s="436"/>
      <c r="M817" s="436"/>
      <c r="N817" s="436"/>
      <c r="O817" s="436"/>
      <c r="P817" s="436"/>
      <c r="Q817" s="436"/>
      <c r="R817" s="436"/>
      <c r="S817" s="436"/>
      <c r="T817" s="436"/>
      <c r="U817" s="436"/>
      <c r="V817" s="436"/>
      <c r="W817" s="436"/>
      <c r="X817" s="436"/>
      <c r="Y817" s="436"/>
      <c r="Z817" s="436"/>
    </row>
    <row r="818" ht="15.75" customHeight="1">
      <c r="A818" s="436"/>
      <c r="B818" s="436"/>
      <c r="C818" s="436"/>
      <c r="D818" s="436"/>
      <c r="E818" s="436"/>
      <c r="F818" s="436"/>
      <c r="G818" s="436"/>
      <c r="H818" s="436"/>
      <c r="I818" s="436"/>
      <c r="J818" s="436"/>
      <c r="K818" s="436"/>
      <c r="L818" s="436"/>
      <c r="M818" s="436"/>
      <c r="N818" s="436"/>
      <c r="O818" s="436"/>
      <c r="P818" s="436"/>
      <c r="Q818" s="436"/>
      <c r="R818" s="436"/>
      <c r="S818" s="436"/>
      <c r="T818" s="436"/>
      <c r="U818" s="436"/>
      <c r="V818" s="436"/>
      <c r="W818" s="436"/>
      <c r="X818" s="436"/>
      <c r="Y818" s="436"/>
      <c r="Z818" s="436"/>
    </row>
    <row r="819" ht="15.75" customHeight="1">
      <c r="A819" s="436"/>
      <c r="B819" s="436"/>
      <c r="C819" s="436"/>
      <c r="D819" s="436"/>
      <c r="E819" s="436"/>
      <c r="F819" s="436"/>
      <c r="G819" s="436"/>
      <c r="H819" s="436"/>
      <c r="I819" s="436"/>
      <c r="J819" s="436"/>
      <c r="K819" s="436"/>
      <c r="L819" s="436"/>
      <c r="M819" s="436"/>
      <c r="N819" s="436"/>
      <c r="O819" s="436"/>
      <c r="P819" s="436"/>
      <c r="Q819" s="436"/>
      <c r="R819" s="436"/>
      <c r="S819" s="436"/>
      <c r="T819" s="436"/>
      <c r="U819" s="436"/>
      <c r="V819" s="436"/>
      <c r="W819" s="436"/>
      <c r="X819" s="436"/>
      <c r="Y819" s="436"/>
      <c r="Z819" s="436"/>
    </row>
    <row r="820" ht="15.75" customHeight="1">
      <c r="A820" s="436"/>
      <c r="B820" s="436"/>
      <c r="C820" s="436"/>
      <c r="D820" s="436"/>
      <c r="E820" s="436"/>
      <c r="F820" s="436"/>
      <c r="G820" s="436"/>
      <c r="H820" s="436"/>
      <c r="I820" s="436"/>
      <c r="J820" s="436"/>
      <c r="K820" s="436"/>
      <c r="L820" s="436"/>
      <c r="M820" s="436"/>
      <c r="N820" s="436"/>
      <c r="O820" s="436"/>
      <c r="P820" s="436"/>
      <c r="Q820" s="436"/>
      <c r="R820" s="436"/>
      <c r="S820" s="436"/>
      <c r="T820" s="436"/>
      <c r="U820" s="436"/>
      <c r="V820" s="436"/>
      <c r="W820" s="436"/>
      <c r="X820" s="436"/>
      <c r="Y820" s="436"/>
      <c r="Z820" s="436"/>
    </row>
    <row r="821" ht="15.75" customHeight="1">
      <c r="A821" s="436"/>
      <c r="B821" s="436"/>
      <c r="C821" s="436"/>
      <c r="D821" s="436"/>
      <c r="E821" s="436"/>
      <c r="F821" s="436"/>
      <c r="G821" s="436"/>
      <c r="H821" s="436"/>
      <c r="I821" s="436"/>
      <c r="J821" s="436"/>
      <c r="K821" s="436"/>
      <c r="L821" s="436"/>
      <c r="M821" s="436"/>
      <c r="N821" s="436"/>
      <c r="O821" s="436"/>
      <c r="P821" s="436"/>
      <c r="Q821" s="436"/>
      <c r="R821" s="436"/>
      <c r="S821" s="436"/>
      <c r="T821" s="436"/>
      <c r="U821" s="436"/>
      <c r="V821" s="436"/>
      <c r="W821" s="436"/>
      <c r="X821" s="436"/>
      <c r="Y821" s="436"/>
      <c r="Z821" s="436"/>
    </row>
    <row r="822" ht="15.75" customHeight="1">
      <c r="A822" s="436"/>
      <c r="B822" s="436"/>
      <c r="C822" s="436"/>
      <c r="D822" s="436"/>
      <c r="E822" s="436"/>
      <c r="F822" s="436"/>
      <c r="G822" s="436"/>
      <c r="H822" s="436"/>
      <c r="I822" s="436"/>
      <c r="J822" s="436"/>
      <c r="K822" s="436"/>
      <c r="L822" s="436"/>
      <c r="M822" s="436"/>
      <c r="N822" s="436"/>
      <c r="O822" s="436"/>
      <c r="P822" s="436"/>
      <c r="Q822" s="436"/>
      <c r="R822" s="436"/>
      <c r="S822" s="436"/>
      <c r="T822" s="436"/>
      <c r="U822" s="436"/>
      <c r="V822" s="436"/>
      <c r="W822" s="436"/>
      <c r="X822" s="436"/>
      <c r="Y822" s="436"/>
      <c r="Z822" s="436"/>
    </row>
    <row r="823" ht="15.75" customHeight="1">
      <c r="A823" s="436"/>
      <c r="B823" s="436"/>
      <c r="C823" s="436"/>
      <c r="D823" s="436"/>
      <c r="E823" s="436"/>
      <c r="F823" s="436"/>
      <c r="G823" s="436"/>
      <c r="H823" s="436"/>
      <c r="I823" s="436"/>
      <c r="J823" s="436"/>
      <c r="K823" s="436"/>
      <c r="L823" s="436"/>
      <c r="M823" s="436"/>
      <c r="N823" s="436"/>
      <c r="O823" s="436"/>
      <c r="P823" s="436"/>
      <c r="Q823" s="436"/>
      <c r="R823" s="436"/>
      <c r="S823" s="436"/>
      <c r="T823" s="436"/>
      <c r="U823" s="436"/>
      <c r="V823" s="436"/>
      <c r="W823" s="436"/>
      <c r="X823" s="436"/>
      <c r="Y823" s="436"/>
      <c r="Z823" s="436"/>
    </row>
    <row r="824" ht="15.75" customHeight="1">
      <c r="A824" s="436"/>
      <c r="B824" s="436"/>
      <c r="C824" s="436"/>
      <c r="D824" s="436"/>
      <c r="E824" s="436"/>
      <c r="F824" s="436"/>
      <c r="G824" s="436"/>
      <c r="H824" s="436"/>
      <c r="I824" s="436"/>
      <c r="J824" s="436"/>
      <c r="K824" s="436"/>
      <c r="L824" s="436"/>
      <c r="M824" s="436"/>
      <c r="N824" s="436"/>
      <c r="O824" s="436"/>
      <c r="P824" s="436"/>
      <c r="Q824" s="436"/>
      <c r="R824" s="436"/>
      <c r="S824" s="436"/>
      <c r="T824" s="436"/>
      <c r="U824" s="436"/>
      <c r="V824" s="436"/>
      <c r="W824" s="436"/>
      <c r="X824" s="436"/>
      <c r="Y824" s="436"/>
      <c r="Z824" s="436"/>
    </row>
    <row r="825" ht="15.75" customHeight="1">
      <c r="A825" s="436"/>
      <c r="B825" s="436"/>
      <c r="C825" s="436"/>
      <c r="D825" s="436"/>
      <c r="E825" s="436"/>
      <c r="F825" s="436"/>
      <c r="G825" s="436"/>
      <c r="H825" s="436"/>
      <c r="I825" s="436"/>
      <c r="J825" s="436"/>
      <c r="K825" s="436"/>
      <c r="L825" s="436"/>
      <c r="M825" s="436"/>
      <c r="N825" s="436"/>
      <c r="O825" s="436"/>
      <c r="P825" s="436"/>
      <c r="Q825" s="436"/>
      <c r="R825" s="436"/>
      <c r="S825" s="436"/>
      <c r="T825" s="436"/>
      <c r="U825" s="436"/>
      <c r="V825" s="436"/>
      <c r="W825" s="436"/>
      <c r="X825" s="436"/>
      <c r="Y825" s="436"/>
      <c r="Z825" s="436"/>
    </row>
    <row r="826" ht="15.75" customHeight="1">
      <c r="A826" s="436"/>
      <c r="B826" s="436"/>
      <c r="C826" s="436"/>
      <c r="D826" s="436"/>
      <c r="E826" s="436"/>
      <c r="F826" s="436"/>
      <c r="G826" s="436"/>
      <c r="H826" s="436"/>
      <c r="I826" s="436"/>
      <c r="J826" s="436"/>
      <c r="K826" s="436"/>
      <c r="L826" s="436"/>
      <c r="M826" s="436"/>
      <c r="N826" s="436"/>
      <c r="O826" s="436"/>
      <c r="P826" s="436"/>
      <c r="Q826" s="436"/>
      <c r="R826" s="436"/>
      <c r="S826" s="436"/>
      <c r="T826" s="436"/>
      <c r="U826" s="436"/>
      <c r="V826" s="436"/>
      <c r="W826" s="436"/>
      <c r="X826" s="436"/>
      <c r="Y826" s="436"/>
      <c r="Z826" s="436"/>
    </row>
    <row r="827" ht="15.75" customHeight="1">
      <c r="A827" s="436"/>
      <c r="B827" s="436"/>
      <c r="C827" s="436"/>
      <c r="D827" s="436"/>
      <c r="E827" s="436"/>
      <c r="F827" s="436"/>
      <c r="G827" s="436"/>
      <c r="H827" s="436"/>
      <c r="I827" s="436"/>
      <c r="J827" s="436"/>
      <c r="K827" s="436"/>
      <c r="L827" s="436"/>
      <c r="M827" s="436"/>
      <c r="N827" s="436"/>
      <c r="O827" s="436"/>
      <c r="P827" s="436"/>
      <c r="Q827" s="436"/>
      <c r="R827" s="436"/>
      <c r="S827" s="436"/>
      <c r="T827" s="436"/>
      <c r="U827" s="436"/>
      <c r="V827" s="436"/>
      <c r="W827" s="436"/>
      <c r="X827" s="436"/>
      <c r="Y827" s="436"/>
      <c r="Z827" s="436"/>
    </row>
    <row r="828" ht="15.75" customHeight="1">
      <c r="A828" s="436"/>
      <c r="B828" s="436"/>
      <c r="C828" s="436"/>
      <c r="D828" s="436"/>
      <c r="E828" s="436"/>
      <c r="F828" s="436"/>
      <c r="G828" s="436"/>
      <c r="H828" s="436"/>
      <c r="I828" s="436"/>
      <c r="J828" s="436"/>
      <c r="K828" s="436"/>
      <c r="L828" s="436"/>
      <c r="M828" s="436"/>
      <c r="N828" s="436"/>
      <c r="O828" s="436"/>
      <c r="P828" s="436"/>
      <c r="Q828" s="436"/>
      <c r="R828" s="436"/>
      <c r="S828" s="436"/>
      <c r="T828" s="436"/>
      <c r="U828" s="436"/>
      <c r="V828" s="436"/>
      <c r="W828" s="436"/>
      <c r="X828" s="436"/>
      <c r="Y828" s="436"/>
      <c r="Z828" s="436"/>
    </row>
    <row r="829" ht="15.75" customHeight="1">
      <c r="A829" s="436"/>
      <c r="B829" s="436"/>
      <c r="C829" s="436"/>
      <c r="D829" s="436"/>
      <c r="E829" s="436"/>
      <c r="F829" s="436"/>
      <c r="G829" s="436"/>
      <c r="H829" s="436"/>
      <c r="I829" s="436"/>
      <c r="J829" s="436"/>
      <c r="K829" s="436"/>
      <c r="L829" s="436"/>
      <c r="M829" s="436"/>
      <c r="N829" s="436"/>
      <c r="O829" s="436"/>
      <c r="P829" s="436"/>
      <c r="Q829" s="436"/>
      <c r="R829" s="436"/>
      <c r="S829" s="436"/>
      <c r="T829" s="436"/>
      <c r="U829" s="436"/>
      <c r="V829" s="436"/>
      <c r="W829" s="436"/>
      <c r="X829" s="436"/>
      <c r="Y829" s="436"/>
      <c r="Z829" s="436"/>
    </row>
    <row r="830" ht="15.75" customHeight="1">
      <c r="A830" s="436"/>
      <c r="B830" s="436"/>
      <c r="C830" s="436"/>
      <c r="D830" s="436"/>
      <c r="E830" s="436"/>
      <c r="F830" s="436"/>
      <c r="G830" s="436"/>
      <c r="H830" s="436"/>
      <c r="I830" s="436"/>
      <c r="J830" s="436"/>
      <c r="K830" s="436"/>
      <c r="L830" s="436"/>
      <c r="M830" s="436"/>
      <c r="N830" s="436"/>
      <c r="O830" s="436"/>
      <c r="P830" s="436"/>
      <c r="Q830" s="436"/>
      <c r="R830" s="436"/>
      <c r="S830" s="436"/>
      <c r="T830" s="436"/>
      <c r="U830" s="436"/>
      <c r="V830" s="436"/>
      <c r="W830" s="436"/>
      <c r="X830" s="436"/>
      <c r="Y830" s="436"/>
      <c r="Z830" s="436"/>
    </row>
    <row r="831" ht="15.75" customHeight="1">
      <c r="A831" s="436"/>
      <c r="B831" s="436"/>
      <c r="C831" s="436"/>
      <c r="D831" s="436"/>
      <c r="E831" s="436"/>
      <c r="F831" s="436"/>
      <c r="G831" s="436"/>
      <c r="H831" s="436"/>
      <c r="I831" s="436"/>
      <c r="J831" s="436"/>
      <c r="K831" s="436"/>
      <c r="L831" s="436"/>
      <c r="M831" s="436"/>
      <c r="N831" s="436"/>
      <c r="O831" s="436"/>
      <c r="P831" s="436"/>
      <c r="Q831" s="436"/>
      <c r="R831" s="436"/>
      <c r="S831" s="436"/>
      <c r="T831" s="436"/>
      <c r="U831" s="436"/>
      <c r="V831" s="436"/>
      <c r="W831" s="436"/>
      <c r="X831" s="436"/>
      <c r="Y831" s="436"/>
      <c r="Z831" s="436"/>
    </row>
    <row r="832" ht="15.75" customHeight="1">
      <c r="A832" s="436"/>
      <c r="B832" s="436"/>
      <c r="C832" s="436"/>
      <c r="D832" s="436"/>
      <c r="E832" s="436"/>
      <c r="F832" s="436"/>
      <c r="G832" s="436"/>
      <c r="H832" s="436"/>
      <c r="I832" s="436"/>
      <c r="J832" s="436"/>
      <c r="K832" s="436"/>
      <c r="L832" s="436"/>
      <c r="M832" s="436"/>
      <c r="N832" s="436"/>
      <c r="O832" s="436"/>
      <c r="P832" s="436"/>
      <c r="Q832" s="436"/>
      <c r="R832" s="436"/>
      <c r="S832" s="436"/>
      <c r="T832" s="436"/>
      <c r="U832" s="436"/>
      <c r="V832" s="436"/>
      <c r="W832" s="436"/>
      <c r="X832" s="436"/>
      <c r="Y832" s="436"/>
      <c r="Z832" s="436"/>
    </row>
    <row r="833" ht="15.75" customHeight="1">
      <c r="A833" s="436"/>
      <c r="B833" s="436"/>
      <c r="C833" s="436"/>
      <c r="D833" s="436"/>
      <c r="E833" s="436"/>
      <c r="F833" s="436"/>
      <c r="G833" s="436"/>
      <c r="H833" s="436"/>
      <c r="I833" s="436"/>
      <c r="J833" s="436"/>
      <c r="K833" s="436"/>
      <c r="L833" s="436"/>
      <c r="M833" s="436"/>
      <c r="N833" s="436"/>
      <c r="O833" s="436"/>
      <c r="P833" s="436"/>
      <c r="Q833" s="436"/>
      <c r="R833" s="436"/>
      <c r="S833" s="436"/>
      <c r="T833" s="436"/>
      <c r="U833" s="436"/>
      <c r="V833" s="436"/>
      <c r="W833" s="436"/>
      <c r="X833" s="436"/>
      <c r="Y833" s="436"/>
      <c r="Z833" s="436"/>
    </row>
    <row r="834" ht="15.75" customHeight="1">
      <c r="A834" s="436"/>
      <c r="B834" s="436"/>
      <c r="C834" s="436"/>
      <c r="D834" s="436"/>
      <c r="E834" s="436"/>
      <c r="F834" s="436"/>
      <c r="G834" s="436"/>
      <c r="H834" s="436"/>
      <c r="I834" s="436"/>
      <c r="J834" s="436"/>
      <c r="K834" s="436"/>
      <c r="L834" s="436"/>
      <c r="M834" s="436"/>
      <c r="N834" s="436"/>
      <c r="O834" s="436"/>
      <c r="P834" s="436"/>
      <c r="Q834" s="436"/>
      <c r="R834" s="436"/>
      <c r="S834" s="436"/>
      <c r="T834" s="436"/>
      <c r="U834" s="436"/>
      <c r="V834" s="436"/>
      <c r="W834" s="436"/>
      <c r="X834" s="436"/>
      <c r="Y834" s="436"/>
      <c r="Z834" s="436"/>
    </row>
    <row r="835" ht="15.75" customHeight="1">
      <c r="A835" s="436"/>
      <c r="B835" s="436"/>
      <c r="C835" s="436"/>
      <c r="D835" s="436"/>
      <c r="E835" s="436"/>
      <c r="F835" s="436"/>
      <c r="G835" s="436"/>
      <c r="H835" s="436"/>
      <c r="I835" s="436"/>
      <c r="J835" s="436"/>
      <c r="K835" s="436"/>
      <c r="L835" s="436"/>
      <c r="M835" s="436"/>
      <c r="N835" s="436"/>
      <c r="O835" s="436"/>
      <c r="P835" s="436"/>
      <c r="Q835" s="436"/>
      <c r="R835" s="436"/>
      <c r="S835" s="436"/>
      <c r="T835" s="436"/>
      <c r="U835" s="436"/>
      <c r="V835" s="436"/>
      <c r="W835" s="436"/>
      <c r="X835" s="436"/>
      <c r="Y835" s="436"/>
      <c r="Z835" s="436"/>
    </row>
    <row r="836" ht="15.75" customHeight="1">
      <c r="A836" s="436"/>
      <c r="B836" s="436"/>
      <c r="C836" s="436"/>
      <c r="D836" s="436"/>
      <c r="E836" s="436"/>
      <c r="F836" s="436"/>
      <c r="G836" s="436"/>
      <c r="H836" s="436"/>
      <c r="I836" s="436"/>
      <c r="J836" s="436"/>
      <c r="K836" s="436"/>
      <c r="L836" s="436"/>
      <c r="M836" s="436"/>
      <c r="N836" s="436"/>
      <c r="O836" s="436"/>
      <c r="P836" s="436"/>
      <c r="Q836" s="436"/>
      <c r="R836" s="436"/>
      <c r="S836" s="436"/>
      <c r="T836" s="436"/>
      <c r="U836" s="436"/>
      <c r="V836" s="436"/>
      <c r="W836" s="436"/>
      <c r="X836" s="436"/>
      <c r="Y836" s="436"/>
      <c r="Z836" s="436"/>
    </row>
    <row r="837" ht="15.75" customHeight="1">
      <c r="A837" s="436"/>
      <c r="B837" s="436"/>
      <c r="C837" s="436"/>
      <c r="D837" s="436"/>
      <c r="E837" s="436"/>
      <c r="F837" s="436"/>
      <c r="G837" s="436"/>
      <c r="H837" s="436"/>
      <c r="I837" s="436"/>
      <c r="J837" s="436"/>
      <c r="K837" s="436"/>
      <c r="L837" s="436"/>
      <c r="M837" s="436"/>
      <c r="N837" s="436"/>
      <c r="O837" s="436"/>
      <c r="P837" s="436"/>
      <c r="Q837" s="436"/>
      <c r="R837" s="436"/>
      <c r="S837" s="436"/>
      <c r="T837" s="436"/>
      <c r="U837" s="436"/>
      <c r="V837" s="436"/>
      <c r="W837" s="436"/>
      <c r="X837" s="436"/>
      <c r="Y837" s="436"/>
      <c r="Z837" s="436"/>
    </row>
    <row r="838" ht="15.75" customHeight="1">
      <c r="A838" s="436"/>
      <c r="B838" s="436"/>
      <c r="C838" s="436"/>
      <c r="D838" s="436"/>
      <c r="E838" s="436"/>
      <c r="F838" s="436"/>
      <c r="G838" s="436"/>
      <c r="H838" s="436"/>
      <c r="I838" s="436"/>
      <c r="J838" s="436"/>
      <c r="K838" s="436"/>
      <c r="L838" s="436"/>
      <c r="M838" s="436"/>
      <c r="N838" s="436"/>
      <c r="O838" s="436"/>
      <c r="P838" s="436"/>
      <c r="Q838" s="436"/>
      <c r="R838" s="436"/>
      <c r="S838" s="436"/>
      <c r="T838" s="436"/>
      <c r="U838" s="436"/>
      <c r="V838" s="436"/>
      <c r="W838" s="436"/>
      <c r="X838" s="436"/>
      <c r="Y838" s="436"/>
      <c r="Z838" s="436"/>
    </row>
    <row r="839" ht="15.75" customHeight="1">
      <c r="A839" s="436"/>
      <c r="B839" s="436"/>
      <c r="C839" s="436"/>
      <c r="D839" s="436"/>
      <c r="E839" s="436"/>
      <c r="F839" s="436"/>
      <c r="G839" s="436"/>
      <c r="H839" s="436"/>
      <c r="I839" s="436"/>
      <c r="J839" s="436"/>
      <c r="K839" s="436"/>
      <c r="L839" s="436"/>
      <c r="M839" s="436"/>
      <c r="N839" s="436"/>
      <c r="O839" s="436"/>
      <c r="P839" s="436"/>
      <c r="Q839" s="436"/>
      <c r="R839" s="436"/>
      <c r="S839" s="436"/>
      <c r="T839" s="436"/>
      <c r="U839" s="436"/>
      <c r="V839" s="436"/>
      <c r="W839" s="436"/>
      <c r="X839" s="436"/>
      <c r="Y839" s="436"/>
      <c r="Z839" s="436"/>
    </row>
    <row r="840" ht="15.75" customHeight="1">
      <c r="A840" s="436"/>
      <c r="B840" s="436"/>
      <c r="C840" s="436"/>
      <c r="D840" s="436"/>
      <c r="E840" s="436"/>
      <c r="F840" s="436"/>
      <c r="G840" s="436"/>
      <c r="H840" s="436"/>
      <c r="I840" s="436"/>
      <c r="J840" s="436"/>
      <c r="K840" s="436"/>
      <c r="L840" s="436"/>
      <c r="M840" s="436"/>
      <c r="N840" s="436"/>
      <c r="O840" s="436"/>
      <c r="P840" s="436"/>
      <c r="Q840" s="436"/>
      <c r="R840" s="436"/>
      <c r="S840" s="436"/>
      <c r="T840" s="436"/>
      <c r="U840" s="436"/>
      <c r="V840" s="436"/>
      <c r="W840" s="436"/>
      <c r="X840" s="436"/>
      <c r="Y840" s="436"/>
      <c r="Z840" s="436"/>
    </row>
    <row r="841" ht="15.75" customHeight="1">
      <c r="A841" s="436"/>
      <c r="B841" s="436"/>
      <c r="C841" s="436"/>
      <c r="D841" s="436"/>
      <c r="E841" s="436"/>
      <c r="F841" s="436"/>
      <c r="G841" s="436"/>
      <c r="H841" s="436"/>
      <c r="I841" s="436"/>
      <c r="J841" s="436"/>
      <c r="K841" s="436"/>
      <c r="L841" s="436"/>
      <c r="M841" s="436"/>
      <c r="N841" s="436"/>
      <c r="O841" s="436"/>
      <c r="P841" s="436"/>
      <c r="Q841" s="436"/>
      <c r="R841" s="436"/>
      <c r="S841" s="436"/>
      <c r="T841" s="436"/>
      <c r="U841" s="436"/>
      <c r="V841" s="436"/>
      <c r="W841" s="436"/>
      <c r="X841" s="436"/>
      <c r="Y841" s="436"/>
      <c r="Z841" s="436"/>
    </row>
    <row r="842" ht="15.75" customHeight="1">
      <c r="A842" s="436"/>
      <c r="B842" s="436"/>
      <c r="C842" s="436"/>
      <c r="D842" s="436"/>
      <c r="E842" s="436"/>
      <c r="F842" s="436"/>
      <c r="G842" s="436"/>
      <c r="H842" s="436"/>
      <c r="I842" s="436"/>
      <c r="J842" s="436"/>
      <c r="K842" s="436"/>
      <c r="L842" s="436"/>
      <c r="M842" s="436"/>
      <c r="N842" s="436"/>
      <c r="O842" s="436"/>
      <c r="P842" s="436"/>
      <c r="Q842" s="436"/>
      <c r="R842" s="436"/>
      <c r="S842" s="436"/>
      <c r="T842" s="436"/>
      <c r="U842" s="436"/>
      <c r="V842" s="436"/>
      <c r="W842" s="436"/>
      <c r="X842" s="436"/>
      <c r="Y842" s="436"/>
      <c r="Z842" s="436"/>
    </row>
    <row r="843" ht="15.75" customHeight="1">
      <c r="A843" s="436"/>
      <c r="B843" s="436"/>
      <c r="C843" s="436"/>
      <c r="D843" s="436"/>
      <c r="E843" s="436"/>
      <c r="F843" s="436"/>
      <c r="G843" s="436"/>
      <c r="H843" s="436"/>
      <c r="I843" s="436"/>
      <c r="J843" s="436"/>
      <c r="K843" s="436"/>
      <c r="L843" s="436"/>
      <c r="M843" s="436"/>
      <c r="N843" s="436"/>
      <c r="O843" s="436"/>
      <c r="P843" s="436"/>
      <c r="Q843" s="436"/>
      <c r="R843" s="436"/>
      <c r="S843" s="436"/>
      <c r="T843" s="436"/>
      <c r="U843" s="436"/>
      <c r="V843" s="436"/>
      <c r="W843" s="436"/>
      <c r="X843" s="436"/>
      <c r="Y843" s="436"/>
      <c r="Z843" s="436"/>
    </row>
    <row r="844" ht="15.75" customHeight="1">
      <c r="A844" s="436"/>
      <c r="B844" s="436"/>
      <c r="C844" s="436"/>
      <c r="D844" s="436"/>
      <c r="E844" s="436"/>
      <c r="F844" s="436"/>
      <c r="G844" s="436"/>
      <c r="H844" s="436"/>
      <c r="I844" s="436"/>
      <c r="J844" s="436"/>
      <c r="K844" s="436"/>
      <c r="L844" s="436"/>
      <c r="M844" s="436"/>
      <c r="N844" s="436"/>
      <c r="O844" s="436"/>
      <c r="P844" s="436"/>
      <c r="Q844" s="436"/>
      <c r="R844" s="436"/>
      <c r="S844" s="436"/>
      <c r="T844" s="436"/>
      <c r="U844" s="436"/>
      <c r="V844" s="436"/>
      <c r="W844" s="436"/>
      <c r="X844" s="436"/>
      <c r="Y844" s="436"/>
      <c r="Z844" s="436"/>
    </row>
    <row r="845" ht="15.75" customHeight="1">
      <c r="A845" s="436"/>
      <c r="B845" s="436"/>
      <c r="C845" s="436"/>
      <c r="D845" s="436"/>
      <c r="E845" s="436"/>
      <c r="F845" s="436"/>
      <c r="G845" s="436"/>
      <c r="H845" s="436"/>
      <c r="I845" s="436"/>
      <c r="J845" s="436"/>
      <c r="K845" s="436"/>
      <c r="L845" s="436"/>
      <c r="M845" s="436"/>
      <c r="N845" s="436"/>
      <c r="O845" s="436"/>
      <c r="P845" s="436"/>
      <c r="Q845" s="436"/>
      <c r="R845" s="436"/>
      <c r="S845" s="436"/>
      <c r="T845" s="436"/>
      <c r="U845" s="436"/>
      <c r="V845" s="436"/>
      <c r="W845" s="436"/>
      <c r="X845" s="436"/>
      <c r="Y845" s="436"/>
      <c r="Z845" s="436"/>
    </row>
    <row r="846" ht="15.75" customHeight="1">
      <c r="A846" s="436"/>
      <c r="B846" s="436"/>
      <c r="C846" s="436"/>
      <c r="D846" s="436"/>
      <c r="E846" s="436"/>
      <c r="F846" s="436"/>
      <c r="G846" s="436"/>
      <c r="H846" s="436"/>
      <c r="I846" s="436"/>
      <c r="J846" s="436"/>
      <c r="K846" s="436"/>
      <c r="L846" s="436"/>
      <c r="M846" s="436"/>
      <c r="N846" s="436"/>
      <c r="O846" s="436"/>
      <c r="P846" s="436"/>
      <c r="Q846" s="436"/>
      <c r="R846" s="436"/>
      <c r="S846" s="436"/>
      <c r="T846" s="436"/>
      <c r="U846" s="436"/>
      <c r="V846" s="436"/>
      <c r="W846" s="436"/>
      <c r="X846" s="436"/>
      <c r="Y846" s="436"/>
      <c r="Z846" s="436"/>
    </row>
    <row r="847" ht="15.75" customHeight="1">
      <c r="A847" s="436"/>
      <c r="B847" s="436"/>
      <c r="C847" s="436"/>
      <c r="D847" s="436"/>
      <c r="E847" s="436"/>
      <c r="F847" s="436"/>
      <c r="G847" s="436"/>
      <c r="H847" s="436"/>
      <c r="I847" s="436"/>
      <c r="J847" s="436"/>
      <c r="K847" s="436"/>
      <c r="L847" s="436"/>
      <c r="M847" s="436"/>
      <c r="N847" s="436"/>
      <c r="O847" s="436"/>
      <c r="P847" s="436"/>
      <c r="Q847" s="436"/>
      <c r="R847" s="436"/>
      <c r="S847" s="436"/>
      <c r="T847" s="436"/>
      <c r="U847" s="436"/>
      <c r="V847" s="436"/>
      <c r="W847" s="436"/>
      <c r="X847" s="436"/>
      <c r="Y847" s="436"/>
      <c r="Z847" s="436"/>
    </row>
    <row r="848" ht="15.75" customHeight="1">
      <c r="A848" s="436"/>
      <c r="B848" s="436"/>
      <c r="C848" s="436"/>
      <c r="D848" s="436"/>
      <c r="E848" s="436"/>
      <c r="F848" s="436"/>
      <c r="G848" s="436"/>
      <c r="H848" s="436"/>
      <c r="I848" s="436"/>
      <c r="J848" s="436"/>
      <c r="K848" s="436"/>
      <c r="L848" s="436"/>
      <c r="M848" s="436"/>
      <c r="N848" s="436"/>
      <c r="O848" s="436"/>
      <c r="P848" s="436"/>
      <c r="Q848" s="436"/>
      <c r="R848" s="436"/>
      <c r="S848" s="436"/>
      <c r="T848" s="436"/>
      <c r="U848" s="436"/>
      <c r="V848" s="436"/>
      <c r="W848" s="436"/>
      <c r="X848" s="436"/>
      <c r="Y848" s="436"/>
      <c r="Z848" s="436"/>
    </row>
    <row r="849" ht="15.75" customHeight="1">
      <c r="A849" s="436"/>
      <c r="B849" s="436"/>
      <c r="C849" s="436"/>
      <c r="D849" s="436"/>
      <c r="E849" s="436"/>
      <c r="F849" s="436"/>
      <c r="G849" s="436"/>
      <c r="H849" s="436"/>
      <c r="I849" s="436"/>
      <c r="J849" s="436"/>
      <c r="K849" s="436"/>
      <c r="L849" s="436"/>
      <c r="M849" s="436"/>
      <c r="N849" s="436"/>
      <c r="O849" s="436"/>
      <c r="P849" s="436"/>
      <c r="Q849" s="436"/>
      <c r="R849" s="436"/>
      <c r="S849" s="436"/>
      <c r="T849" s="436"/>
      <c r="U849" s="436"/>
      <c r="V849" s="436"/>
      <c r="W849" s="436"/>
      <c r="X849" s="436"/>
      <c r="Y849" s="436"/>
      <c r="Z849" s="436"/>
    </row>
    <row r="850" ht="15.75" customHeight="1">
      <c r="A850" s="436"/>
      <c r="B850" s="436"/>
      <c r="C850" s="436"/>
      <c r="D850" s="436"/>
      <c r="E850" s="436"/>
      <c r="F850" s="436"/>
      <c r="G850" s="436"/>
      <c r="H850" s="436"/>
      <c r="I850" s="436"/>
      <c r="J850" s="436"/>
      <c r="K850" s="436"/>
      <c r="L850" s="436"/>
      <c r="M850" s="436"/>
      <c r="N850" s="436"/>
      <c r="O850" s="436"/>
      <c r="P850" s="436"/>
      <c r="Q850" s="436"/>
      <c r="R850" s="436"/>
      <c r="S850" s="436"/>
      <c r="T850" s="436"/>
      <c r="U850" s="436"/>
      <c r="V850" s="436"/>
      <c r="W850" s="436"/>
      <c r="X850" s="436"/>
      <c r="Y850" s="436"/>
      <c r="Z850" s="436"/>
    </row>
    <row r="851" ht="15.75" customHeight="1">
      <c r="A851" s="436"/>
      <c r="B851" s="436"/>
      <c r="C851" s="436"/>
      <c r="D851" s="436"/>
      <c r="E851" s="436"/>
      <c r="F851" s="436"/>
      <c r="G851" s="436"/>
      <c r="H851" s="436"/>
      <c r="I851" s="436"/>
      <c r="J851" s="436"/>
      <c r="K851" s="436"/>
      <c r="L851" s="436"/>
      <c r="M851" s="436"/>
      <c r="N851" s="436"/>
      <c r="O851" s="436"/>
      <c r="P851" s="436"/>
      <c r="Q851" s="436"/>
      <c r="R851" s="436"/>
      <c r="S851" s="436"/>
      <c r="T851" s="436"/>
      <c r="U851" s="436"/>
      <c r="V851" s="436"/>
      <c r="W851" s="436"/>
      <c r="X851" s="436"/>
      <c r="Y851" s="436"/>
      <c r="Z851" s="436"/>
    </row>
    <row r="852" ht="15.75" customHeight="1">
      <c r="A852" s="436"/>
      <c r="B852" s="436"/>
      <c r="C852" s="436"/>
      <c r="D852" s="436"/>
      <c r="E852" s="436"/>
      <c r="F852" s="436"/>
      <c r="G852" s="436"/>
      <c r="H852" s="436"/>
      <c r="I852" s="436"/>
      <c r="J852" s="436"/>
      <c r="K852" s="436"/>
      <c r="L852" s="436"/>
      <c r="M852" s="436"/>
      <c r="N852" s="436"/>
      <c r="O852" s="436"/>
      <c r="P852" s="436"/>
      <c r="Q852" s="436"/>
      <c r="R852" s="436"/>
      <c r="S852" s="436"/>
      <c r="T852" s="436"/>
      <c r="U852" s="436"/>
      <c r="V852" s="436"/>
      <c r="W852" s="436"/>
      <c r="X852" s="436"/>
      <c r="Y852" s="436"/>
      <c r="Z852" s="436"/>
    </row>
    <row r="853" ht="15.75" customHeight="1">
      <c r="A853" s="436"/>
      <c r="B853" s="436"/>
      <c r="C853" s="436"/>
      <c r="D853" s="436"/>
      <c r="E853" s="436"/>
      <c r="F853" s="436"/>
      <c r="G853" s="436"/>
      <c r="H853" s="436"/>
      <c r="I853" s="436"/>
      <c r="J853" s="436"/>
      <c r="K853" s="436"/>
      <c r="L853" s="436"/>
      <c r="M853" s="436"/>
      <c r="N853" s="436"/>
      <c r="O853" s="436"/>
      <c r="P853" s="436"/>
      <c r="Q853" s="436"/>
      <c r="R853" s="436"/>
      <c r="S853" s="436"/>
      <c r="T853" s="436"/>
      <c r="U853" s="436"/>
      <c r="V853" s="436"/>
      <c r="W853" s="436"/>
      <c r="X853" s="436"/>
      <c r="Y853" s="436"/>
      <c r="Z853" s="436"/>
    </row>
    <row r="854" ht="15.75" customHeight="1">
      <c r="A854" s="436"/>
      <c r="B854" s="436"/>
      <c r="C854" s="436"/>
      <c r="D854" s="436"/>
      <c r="E854" s="436"/>
      <c r="F854" s="436"/>
      <c r="G854" s="436"/>
      <c r="H854" s="436"/>
      <c r="I854" s="436"/>
      <c r="J854" s="436"/>
      <c r="K854" s="436"/>
      <c r="L854" s="436"/>
      <c r="M854" s="436"/>
      <c r="N854" s="436"/>
      <c r="O854" s="436"/>
      <c r="P854" s="436"/>
      <c r="Q854" s="436"/>
      <c r="R854" s="436"/>
      <c r="S854" s="436"/>
      <c r="T854" s="436"/>
      <c r="U854" s="436"/>
      <c r="V854" s="436"/>
      <c r="W854" s="436"/>
      <c r="X854" s="436"/>
      <c r="Y854" s="436"/>
      <c r="Z854" s="436"/>
    </row>
    <row r="855" ht="15.75" customHeight="1">
      <c r="A855" s="436"/>
      <c r="B855" s="436"/>
      <c r="C855" s="436"/>
      <c r="D855" s="436"/>
      <c r="E855" s="436"/>
      <c r="F855" s="436"/>
      <c r="G855" s="436"/>
      <c r="H855" s="436"/>
      <c r="I855" s="436"/>
      <c r="J855" s="436"/>
      <c r="K855" s="436"/>
      <c r="L855" s="436"/>
      <c r="M855" s="436"/>
      <c r="N855" s="436"/>
      <c r="O855" s="436"/>
      <c r="P855" s="436"/>
      <c r="Q855" s="436"/>
      <c r="R855" s="436"/>
      <c r="S855" s="436"/>
      <c r="T855" s="436"/>
      <c r="U855" s="436"/>
      <c r="V855" s="436"/>
      <c r="W855" s="436"/>
      <c r="X855" s="436"/>
      <c r="Y855" s="436"/>
      <c r="Z855" s="436"/>
    </row>
    <row r="856" ht="15.75" customHeight="1">
      <c r="A856" s="436"/>
      <c r="B856" s="436"/>
      <c r="C856" s="436"/>
      <c r="D856" s="436"/>
      <c r="E856" s="436"/>
      <c r="F856" s="436"/>
      <c r="G856" s="436"/>
      <c r="H856" s="436"/>
      <c r="I856" s="436"/>
      <c r="J856" s="436"/>
      <c r="K856" s="436"/>
      <c r="L856" s="436"/>
      <c r="M856" s="436"/>
      <c r="N856" s="436"/>
      <c r="O856" s="436"/>
      <c r="P856" s="436"/>
      <c r="Q856" s="436"/>
      <c r="R856" s="436"/>
      <c r="S856" s="436"/>
      <c r="T856" s="436"/>
      <c r="U856" s="436"/>
      <c r="V856" s="436"/>
      <c r="W856" s="436"/>
      <c r="X856" s="436"/>
      <c r="Y856" s="436"/>
      <c r="Z856" s="436"/>
    </row>
    <row r="857" ht="15.75" customHeight="1">
      <c r="A857" s="436"/>
      <c r="B857" s="436"/>
      <c r="C857" s="436"/>
      <c r="D857" s="436"/>
      <c r="E857" s="436"/>
      <c r="F857" s="436"/>
      <c r="G857" s="436"/>
      <c r="H857" s="436"/>
      <c r="I857" s="436"/>
      <c r="J857" s="436"/>
      <c r="K857" s="436"/>
      <c r="L857" s="436"/>
      <c r="M857" s="436"/>
      <c r="N857" s="436"/>
      <c r="O857" s="436"/>
      <c r="P857" s="436"/>
      <c r="Q857" s="436"/>
      <c r="R857" s="436"/>
      <c r="S857" s="436"/>
      <c r="T857" s="436"/>
      <c r="U857" s="436"/>
      <c r="V857" s="436"/>
      <c r="W857" s="436"/>
      <c r="X857" s="436"/>
      <c r="Y857" s="436"/>
      <c r="Z857" s="436"/>
    </row>
    <row r="858" ht="15.75" customHeight="1">
      <c r="A858" s="436"/>
      <c r="B858" s="436"/>
      <c r="C858" s="436"/>
      <c r="D858" s="436"/>
      <c r="E858" s="436"/>
      <c r="F858" s="436"/>
      <c r="G858" s="436"/>
      <c r="H858" s="436"/>
      <c r="I858" s="436"/>
      <c r="J858" s="436"/>
      <c r="K858" s="436"/>
      <c r="L858" s="436"/>
      <c r="M858" s="436"/>
      <c r="N858" s="436"/>
      <c r="O858" s="436"/>
      <c r="P858" s="436"/>
      <c r="Q858" s="436"/>
      <c r="R858" s="436"/>
      <c r="S858" s="436"/>
      <c r="T858" s="436"/>
      <c r="U858" s="436"/>
      <c r="V858" s="436"/>
      <c r="W858" s="436"/>
      <c r="X858" s="436"/>
      <c r="Y858" s="436"/>
      <c r="Z858" s="436"/>
    </row>
    <row r="859" ht="15.75" customHeight="1">
      <c r="A859" s="436"/>
      <c r="B859" s="436"/>
      <c r="C859" s="436"/>
      <c r="D859" s="436"/>
      <c r="E859" s="436"/>
      <c r="F859" s="436"/>
      <c r="G859" s="436"/>
      <c r="H859" s="436"/>
      <c r="I859" s="436"/>
      <c r="J859" s="436"/>
      <c r="K859" s="436"/>
      <c r="L859" s="436"/>
      <c r="M859" s="436"/>
      <c r="N859" s="436"/>
      <c r="O859" s="436"/>
      <c r="P859" s="436"/>
      <c r="Q859" s="436"/>
      <c r="R859" s="436"/>
      <c r="S859" s="436"/>
      <c r="T859" s="436"/>
      <c r="U859" s="436"/>
      <c r="V859" s="436"/>
      <c r="W859" s="436"/>
      <c r="X859" s="436"/>
      <c r="Y859" s="436"/>
      <c r="Z859" s="436"/>
    </row>
    <row r="860" ht="15.75" customHeight="1">
      <c r="A860" s="436"/>
      <c r="B860" s="436"/>
      <c r="C860" s="436"/>
      <c r="D860" s="436"/>
      <c r="E860" s="436"/>
      <c r="F860" s="436"/>
      <c r="G860" s="436"/>
      <c r="H860" s="436"/>
      <c r="I860" s="436"/>
      <c r="J860" s="436"/>
      <c r="K860" s="436"/>
      <c r="L860" s="436"/>
      <c r="M860" s="436"/>
      <c r="N860" s="436"/>
      <c r="O860" s="436"/>
      <c r="P860" s="436"/>
      <c r="Q860" s="436"/>
      <c r="R860" s="436"/>
      <c r="S860" s="436"/>
      <c r="T860" s="436"/>
      <c r="U860" s="436"/>
      <c r="V860" s="436"/>
      <c r="W860" s="436"/>
      <c r="X860" s="436"/>
      <c r="Y860" s="436"/>
      <c r="Z860" s="436"/>
    </row>
    <row r="861" ht="15.75" customHeight="1">
      <c r="A861" s="436"/>
      <c r="B861" s="436"/>
      <c r="C861" s="436"/>
      <c r="D861" s="436"/>
      <c r="E861" s="436"/>
      <c r="F861" s="436"/>
      <c r="G861" s="436"/>
      <c r="H861" s="436"/>
      <c r="I861" s="436"/>
      <c r="J861" s="436"/>
      <c r="K861" s="436"/>
      <c r="L861" s="436"/>
      <c r="M861" s="436"/>
      <c r="N861" s="436"/>
      <c r="O861" s="436"/>
      <c r="P861" s="436"/>
      <c r="Q861" s="436"/>
      <c r="R861" s="436"/>
      <c r="S861" s="436"/>
      <c r="T861" s="436"/>
      <c r="U861" s="436"/>
      <c r="V861" s="436"/>
      <c r="W861" s="436"/>
      <c r="X861" s="436"/>
      <c r="Y861" s="436"/>
      <c r="Z861" s="436"/>
    </row>
    <row r="862" ht="15.75" customHeight="1">
      <c r="A862" s="436"/>
      <c r="B862" s="436"/>
      <c r="C862" s="436"/>
      <c r="D862" s="436"/>
      <c r="E862" s="436"/>
      <c r="F862" s="436"/>
      <c r="G862" s="436"/>
      <c r="H862" s="436"/>
      <c r="I862" s="436"/>
      <c r="J862" s="436"/>
      <c r="K862" s="436"/>
      <c r="L862" s="436"/>
      <c r="M862" s="436"/>
      <c r="N862" s="436"/>
      <c r="O862" s="436"/>
      <c r="P862" s="436"/>
      <c r="Q862" s="436"/>
      <c r="R862" s="436"/>
      <c r="S862" s="436"/>
      <c r="T862" s="436"/>
      <c r="U862" s="436"/>
      <c r="V862" s="436"/>
      <c r="W862" s="436"/>
      <c r="X862" s="436"/>
      <c r="Y862" s="436"/>
      <c r="Z862" s="436"/>
    </row>
    <row r="863" ht="15.75" customHeight="1">
      <c r="A863" s="436"/>
      <c r="B863" s="436"/>
      <c r="C863" s="436"/>
      <c r="D863" s="436"/>
      <c r="E863" s="436"/>
      <c r="F863" s="436"/>
      <c r="G863" s="436"/>
      <c r="H863" s="436"/>
      <c r="I863" s="436"/>
      <c r="J863" s="436"/>
      <c r="K863" s="436"/>
      <c r="L863" s="436"/>
      <c r="M863" s="436"/>
      <c r="N863" s="436"/>
      <c r="O863" s="436"/>
      <c r="P863" s="436"/>
      <c r="Q863" s="436"/>
      <c r="R863" s="436"/>
      <c r="S863" s="436"/>
      <c r="T863" s="436"/>
      <c r="U863" s="436"/>
      <c r="V863" s="436"/>
      <c r="W863" s="436"/>
      <c r="X863" s="436"/>
      <c r="Y863" s="436"/>
      <c r="Z863" s="436"/>
    </row>
    <row r="864" ht="15.75" customHeight="1">
      <c r="A864" s="436"/>
      <c r="B864" s="436"/>
      <c r="C864" s="436"/>
      <c r="D864" s="436"/>
      <c r="E864" s="436"/>
      <c r="F864" s="436"/>
      <c r="G864" s="436"/>
      <c r="H864" s="436"/>
      <c r="I864" s="436"/>
      <c r="J864" s="436"/>
      <c r="K864" s="436"/>
      <c r="L864" s="436"/>
      <c r="M864" s="436"/>
      <c r="N864" s="436"/>
      <c r="O864" s="436"/>
      <c r="P864" s="436"/>
      <c r="Q864" s="436"/>
      <c r="R864" s="436"/>
      <c r="S864" s="436"/>
      <c r="T864" s="436"/>
      <c r="U864" s="436"/>
      <c r="V864" s="436"/>
      <c r="W864" s="436"/>
      <c r="X864" s="436"/>
      <c r="Y864" s="436"/>
      <c r="Z864" s="436"/>
    </row>
    <row r="865" ht="15.75" customHeight="1">
      <c r="A865" s="436"/>
      <c r="B865" s="436"/>
      <c r="C865" s="436"/>
      <c r="D865" s="436"/>
      <c r="E865" s="436"/>
      <c r="F865" s="436"/>
      <c r="G865" s="436"/>
      <c r="H865" s="436"/>
      <c r="I865" s="436"/>
      <c r="J865" s="436"/>
      <c r="K865" s="436"/>
      <c r="L865" s="436"/>
      <c r="M865" s="436"/>
      <c r="N865" s="436"/>
      <c r="O865" s="436"/>
      <c r="P865" s="436"/>
      <c r="Q865" s="436"/>
      <c r="R865" s="436"/>
      <c r="S865" s="436"/>
      <c r="T865" s="436"/>
      <c r="U865" s="436"/>
      <c r="V865" s="436"/>
      <c r="W865" s="436"/>
      <c r="X865" s="436"/>
      <c r="Y865" s="436"/>
      <c r="Z865" s="436"/>
    </row>
    <row r="866" ht="15.75" customHeight="1">
      <c r="A866" s="436"/>
      <c r="B866" s="436"/>
      <c r="C866" s="436"/>
      <c r="D866" s="436"/>
      <c r="E866" s="436"/>
      <c r="F866" s="436"/>
      <c r="G866" s="436"/>
      <c r="H866" s="436"/>
      <c r="I866" s="436"/>
      <c r="J866" s="436"/>
      <c r="K866" s="436"/>
      <c r="L866" s="436"/>
      <c r="M866" s="436"/>
      <c r="N866" s="436"/>
      <c r="O866" s="436"/>
      <c r="P866" s="436"/>
      <c r="Q866" s="436"/>
      <c r="R866" s="436"/>
      <c r="S866" s="436"/>
      <c r="T866" s="436"/>
      <c r="U866" s="436"/>
      <c r="V866" s="436"/>
      <c r="W866" s="436"/>
      <c r="X866" s="436"/>
      <c r="Y866" s="436"/>
      <c r="Z866" s="436"/>
    </row>
    <row r="867" ht="15.75" customHeight="1">
      <c r="A867" s="436"/>
      <c r="B867" s="436"/>
      <c r="C867" s="436"/>
      <c r="D867" s="436"/>
      <c r="E867" s="436"/>
      <c r="F867" s="436"/>
      <c r="G867" s="436"/>
      <c r="H867" s="436"/>
      <c r="I867" s="436"/>
      <c r="J867" s="436"/>
      <c r="K867" s="436"/>
      <c r="L867" s="436"/>
      <c r="M867" s="436"/>
      <c r="N867" s="436"/>
      <c r="O867" s="436"/>
      <c r="P867" s="436"/>
      <c r="Q867" s="436"/>
      <c r="R867" s="436"/>
      <c r="S867" s="436"/>
      <c r="T867" s="436"/>
      <c r="U867" s="436"/>
      <c r="V867" s="436"/>
      <c r="W867" s="436"/>
      <c r="X867" s="436"/>
      <c r="Y867" s="436"/>
      <c r="Z867" s="436"/>
    </row>
    <row r="868" ht="15.75" customHeight="1">
      <c r="A868" s="436"/>
      <c r="B868" s="436"/>
      <c r="C868" s="436"/>
      <c r="D868" s="436"/>
      <c r="E868" s="436"/>
      <c r="F868" s="436"/>
      <c r="G868" s="436"/>
      <c r="H868" s="436"/>
      <c r="I868" s="436"/>
      <c r="J868" s="436"/>
      <c r="K868" s="436"/>
      <c r="L868" s="436"/>
      <c r="M868" s="436"/>
      <c r="N868" s="436"/>
      <c r="O868" s="436"/>
      <c r="P868" s="436"/>
      <c r="Q868" s="436"/>
      <c r="R868" s="436"/>
      <c r="S868" s="436"/>
      <c r="T868" s="436"/>
      <c r="U868" s="436"/>
      <c r="V868" s="436"/>
      <c r="W868" s="436"/>
      <c r="X868" s="436"/>
      <c r="Y868" s="436"/>
      <c r="Z868" s="436"/>
    </row>
    <row r="869" ht="15.75" customHeight="1">
      <c r="A869" s="436"/>
      <c r="B869" s="436"/>
      <c r="C869" s="436"/>
      <c r="D869" s="436"/>
      <c r="E869" s="436"/>
      <c r="F869" s="436"/>
      <c r="G869" s="436"/>
      <c r="H869" s="436"/>
      <c r="I869" s="436"/>
      <c r="J869" s="436"/>
      <c r="K869" s="436"/>
      <c r="L869" s="436"/>
      <c r="M869" s="436"/>
      <c r="N869" s="436"/>
      <c r="O869" s="436"/>
      <c r="P869" s="436"/>
      <c r="Q869" s="436"/>
      <c r="R869" s="436"/>
      <c r="S869" s="436"/>
      <c r="T869" s="436"/>
      <c r="U869" s="436"/>
      <c r="V869" s="436"/>
      <c r="W869" s="436"/>
      <c r="X869" s="436"/>
      <c r="Y869" s="436"/>
      <c r="Z869" s="436"/>
    </row>
    <row r="870" ht="15.75" customHeight="1">
      <c r="A870" s="436"/>
      <c r="B870" s="436"/>
      <c r="C870" s="436"/>
      <c r="D870" s="436"/>
      <c r="E870" s="436"/>
      <c r="F870" s="436"/>
      <c r="G870" s="436"/>
      <c r="H870" s="436"/>
      <c r="I870" s="436"/>
      <c r="J870" s="436"/>
      <c r="K870" s="436"/>
      <c r="L870" s="436"/>
      <c r="M870" s="436"/>
      <c r="N870" s="436"/>
      <c r="O870" s="436"/>
      <c r="P870" s="436"/>
      <c r="Q870" s="436"/>
      <c r="R870" s="436"/>
      <c r="S870" s="436"/>
      <c r="T870" s="436"/>
      <c r="U870" s="436"/>
      <c r="V870" s="436"/>
      <c r="W870" s="436"/>
      <c r="X870" s="436"/>
      <c r="Y870" s="436"/>
      <c r="Z870" s="436"/>
    </row>
    <row r="871" ht="15.75" customHeight="1">
      <c r="A871" s="436"/>
      <c r="B871" s="436"/>
      <c r="C871" s="436"/>
      <c r="D871" s="436"/>
      <c r="E871" s="436"/>
      <c r="F871" s="436"/>
      <c r="G871" s="436"/>
      <c r="H871" s="436"/>
      <c r="I871" s="436"/>
      <c r="J871" s="436"/>
      <c r="K871" s="436"/>
      <c r="L871" s="436"/>
      <c r="M871" s="436"/>
      <c r="N871" s="436"/>
      <c r="O871" s="436"/>
      <c r="P871" s="436"/>
      <c r="Q871" s="436"/>
      <c r="R871" s="436"/>
      <c r="S871" s="436"/>
      <c r="T871" s="436"/>
      <c r="U871" s="436"/>
      <c r="V871" s="436"/>
      <c r="W871" s="436"/>
      <c r="X871" s="436"/>
      <c r="Y871" s="436"/>
      <c r="Z871" s="436"/>
    </row>
    <row r="872" ht="15.75" customHeight="1">
      <c r="A872" s="436"/>
      <c r="B872" s="436"/>
      <c r="C872" s="436"/>
      <c r="D872" s="436"/>
      <c r="E872" s="436"/>
      <c r="F872" s="436"/>
      <c r="G872" s="436"/>
      <c r="H872" s="436"/>
      <c r="I872" s="436"/>
      <c r="J872" s="436"/>
      <c r="K872" s="436"/>
      <c r="L872" s="436"/>
      <c r="M872" s="436"/>
      <c r="N872" s="436"/>
      <c r="O872" s="436"/>
      <c r="P872" s="436"/>
      <c r="Q872" s="436"/>
      <c r="R872" s="436"/>
      <c r="S872" s="436"/>
      <c r="T872" s="436"/>
      <c r="U872" s="436"/>
      <c r="V872" s="436"/>
      <c r="W872" s="436"/>
      <c r="X872" s="436"/>
      <c r="Y872" s="436"/>
      <c r="Z872" s="436"/>
    </row>
    <row r="873" ht="15.75" customHeight="1">
      <c r="A873" s="436"/>
      <c r="B873" s="436"/>
      <c r="C873" s="436"/>
      <c r="D873" s="436"/>
      <c r="E873" s="436"/>
      <c r="F873" s="436"/>
      <c r="G873" s="436"/>
      <c r="H873" s="436"/>
      <c r="I873" s="436"/>
      <c r="J873" s="436"/>
      <c r="K873" s="436"/>
      <c r="L873" s="436"/>
      <c r="M873" s="436"/>
      <c r="N873" s="436"/>
      <c r="O873" s="436"/>
      <c r="P873" s="436"/>
      <c r="Q873" s="436"/>
      <c r="R873" s="436"/>
      <c r="S873" s="436"/>
      <c r="T873" s="436"/>
      <c r="U873" s="436"/>
      <c r="V873" s="436"/>
      <c r="W873" s="436"/>
      <c r="X873" s="436"/>
      <c r="Y873" s="436"/>
      <c r="Z873" s="436"/>
    </row>
    <row r="874" ht="15.75" customHeight="1">
      <c r="A874" s="436"/>
      <c r="B874" s="436"/>
      <c r="C874" s="436"/>
      <c r="D874" s="436"/>
      <c r="E874" s="436"/>
      <c r="F874" s="436"/>
      <c r="G874" s="436"/>
      <c r="H874" s="436"/>
      <c r="I874" s="436"/>
      <c r="J874" s="436"/>
      <c r="K874" s="436"/>
      <c r="L874" s="436"/>
      <c r="M874" s="436"/>
      <c r="N874" s="436"/>
      <c r="O874" s="436"/>
      <c r="P874" s="436"/>
      <c r="Q874" s="436"/>
      <c r="R874" s="436"/>
      <c r="S874" s="436"/>
      <c r="T874" s="436"/>
      <c r="U874" s="436"/>
      <c r="V874" s="436"/>
      <c r="W874" s="436"/>
      <c r="X874" s="436"/>
      <c r="Y874" s="436"/>
      <c r="Z874" s="436"/>
    </row>
    <row r="875" ht="15.75" customHeight="1">
      <c r="A875" s="436"/>
      <c r="B875" s="436"/>
      <c r="C875" s="436"/>
      <c r="D875" s="436"/>
      <c r="E875" s="436"/>
      <c r="F875" s="436"/>
      <c r="G875" s="436"/>
      <c r="H875" s="436"/>
      <c r="I875" s="436"/>
      <c r="J875" s="436"/>
      <c r="K875" s="436"/>
      <c r="L875" s="436"/>
      <c r="M875" s="436"/>
      <c r="N875" s="436"/>
      <c r="O875" s="436"/>
      <c r="P875" s="436"/>
      <c r="Q875" s="436"/>
      <c r="R875" s="436"/>
      <c r="S875" s="436"/>
      <c r="T875" s="436"/>
      <c r="U875" s="436"/>
      <c r="V875" s="436"/>
      <c r="W875" s="436"/>
      <c r="X875" s="436"/>
      <c r="Y875" s="436"/>
      <c r="Z875" s="436"/>
    </row>
    <row r="876" ht="15.75" customHeight="1">
      <c r="A876" s="436"/>
      <c r="B876" s="436"/>
      <c r="C876" s="436"/>
      <c r="D876" s="436"/>
      <c r="E876" s="436"/>
      <c r="F876" s="436"/>
      <c r="G876" s="436"/>
      <c r="H876" s="436"/>
      <c r="I876" s="436"/>
      <c r="J876" s="436"/>
      <c r="K876" s="436"/>
      <c r="L876" s="436"/>
      <c r="M876" s="436"/>
      <c r="N876" s="436"/>
      <c r="O876" s="436"/>
      <c r="P876" s="436"/>
      <c r="Q876" s="436"/>
      <c r="R876" s="436"/>
      <c r="S876" s="436"/>
      <c r="T876" s="436"/>
      <c r="U876" s="436"/>
      <c r="V876" s="436"/>
      <c r="W876" s="436"/>
      <c r="X876" s="436"/>
      <c r="Y876" s="436"/>
      <c r="Z876" s="436"/>
    </row>
    <row r="877" ht="15.75" customHeight="1">
      <c r="A877" s="436"/>
      <c r="B877" s="436"/>
      <c r="C877" s="436"/>
      <c r="D877" s="436"/>
      <c r="E877" s="436"/>
      <c r="F877" s="436"/>
      <c r="G877" s="436"/>
      <c r="H877" s="436"/>
      <c r="I877" s="436"/>
      <c r="J877" s="436"/>
      <c r="K877" s="436"/>
      <c r="L877" s="436"/>
      <c r="M877" s="436"/>
      <c r="N877" s="436"/>
      <c r="O877" s="436"/>
      <c r="P877" s="436"/>
      <c r="Q877" s="436"/>
      <c r="R877" s="436"/>
      <c r="S877" s="436"/>
      <c r="T877" s="436"/>
      <c r="U877" s="436"/>
      <c r="V877" s="436"/>
      <c r="W877" s="436"/>
      <c r="X877" s="436"/>
      <c r="Y877" s="436"/>
      <c r="Z877" s="436"/>
    </row>
    <row r="878" ht="15.75" customHeight="1">
      <c r="A878" s="436"/>
      <c r="B878" s="436"/>
      <c r="C878" s="436"/>
      <c r="D878" s="436"/>
      <c r="E878" s="436"/>
      <c r="F878" s="436"/>
      <c r="G878" s="436"/>
      <c r="H878" s="436"/>
      <c r="I878" s="436"/>
      <c r="J878" s="436"/>
      <c r="K878" s="436"/>
      <c r="L878" s="436"/>
      <c r="M878" s="436"/>
      <c r="N878" s="436"/>
      <c r="O878" s="436"/>
      <c r="P878" s="436"/>
      <c r="Q878" s="436"/>
      <c r="R878" s="436"/>
      <c r="S878" s="436"/>
      <c r="T878" s="436"/>
      <c r="U878" s="436"/>
      <c r="V878" s="436"/>
      <c r="W878" s="436"/>
      <c r="X878" s="436"/>
      <c r="Y878" s="436"/>
      <c r="Z878" s="436"/>
    </row>
    <row r="879" ht="15.75" customHeight="1">
      <c r="A879" s="436"/>
      <c r="B879" s="436"/>
      <c r="C879" s="436"/>
      <c r="D879" s="436"/>
      <c r="E879" s="436"/>
      <c r="F879" s="436"/>
      <c r="G879" s="436"/>
      <c r="H879" s="436"/>
      <c r="I879" s="436"/>
      <c r="J879" s="436"/>
      <c r="K879" s="436"/>
      <c r="L879" s="436"/>
      <c r="M879" s="436"/>
      <c r="N879" s="436"/>
      <c r="O879" s="436"/>
      <c r="P879" s="436"/>
      <c r="Q879" s="436"/>
      <c r="R879" s="436"/>
      <c r="S879" s="436"/>
      <c r="T879" s="436"/>
      <c r="U879" s="436"/>
      <c r="V879" s="436"/>
      <c r="W879" s="436"/>
      <c r="X879" s="436"/>
      <c r="Y879" s="436"/>
      <c r="Z879" s="436"/>
    </row>
    <row r="880" ht="15.75" customHeight="1">
      <c r="A880" s="436"/>
      <c r="B880" s="436"/>
      <c r="C880" s="436"/>
      <c r="D880" s="436"/>
      <c r="E880" s="436"/>
      <c r="F880" s="436"/>
      <c r="G880" s="436"/>
      <c r="H880" s="436"/>
      <c r="I880" s="436"/>
      <c r="J880" s="436"/>
      <c r="K880" s="436"/>
      <c r="L880" s="436"/>
      <c r="M880" s="436"/>
      <c r="N880" s="436"/>
      <c r="O880" s="436"/>
      <c r="P880" s="436"/>
      <c r="Q880" s="436"/>
      <c r="R880" s="436"/>
      <c r="S880" s="436"/>
      <c r="T880" s="436"/>
      <c r="U880" s="436"/>
      <c r="V880" s="436"/>
      <c r="W880" s="436"/>
      <c r="X880" s="436"/>
      <c r="Y880" s="436"/>
      <c r="Z880" s="436"/>
    </row>
    <row r="881" ht="15.75" customHeight="1">
      <c r="A881" s="436"/>
      <c r="B881" s="436"/>
      <c r="C881" s="436"/>
      <c r="D881" s="436"/>
      <c r="E881" s="436"/>
      <c r="F881" s="436"/>
      <c r="G881" s="436"/>
      <c r="H881" s="436"/>
      <c r="I881" s="436"/>
      <c r="J881" s="436"/>
      <c r="K881" s="436"/>
      <c r="L881" s="436"/>
      <c r="M881" s="436"/>
      <c r="N881" s="436"/>
      <c r="O881" s="436"/>
      <c r="P881" s="436"/>
      <c r="Q881" s="436"/>
      <c r="R881" s="436"/>
      <c r="S881" s="436"/>
      <c r="T881" s="436"/>
      <c r="U881" s="436"/>
      <c r="V881" s="436"/>
      <c r="W881" s="436"/>
      <c r="X881" s="436"/>
      <c r="Y881" s="436"/>
      <c r="Z881" s="436"/>
    </row>
    <row r="882" ht="15.75" customHeight="1">
      <c r="A882" s="436"/>
      <c r="B882" s="436"/>
      <c r="C882" s="436"/>
      <c r="D882" s="436"/>
      <c r="E882" s="436"/>
      <c r="F882" s="436"/>
      <c r="G882" s="436"/>
      <c r="H882" s="436"/>
      <c r="I882" s="436"/>
      <c r="J882" s="436"/>
      <c r="K882" s="436"/>
      <c r="L882" s="436"/>
      <c r="M882" s="436"/>
      <c r="N882" s="436"/>
      <c r="O882" s="436"/>
      <c r="P882" s="436"/>
      <c r="Q882" s="436"/>
      <c r="R882" s="436"/>
      <c r="S882" s="436"/>
      <c r="T882" s="436"/>
      <c r="U882" s="436"/>
      <c r="V882" s="436"/>
      <c r="W882" s="436"/>
      <c r="X882" s="436"/>
      <c r="Y882" s="436"/>
      <c r="Z882" s="436"/>
    </row>
    <row r="883" ht="15.75" customHeight="1">
      <c r="A883" s="436"/>
      <c r="B883" s="436"/>
      <c r="C883" s="436"/>
      <c r="D883" s="436"/>
      <c r="E883" s="436"/>
      <c r="F883" s="436"/>
      <c r="G883" s="436"/>
      <c r="H883" s="436"/>
      <c r="I883" s="436"/>
      <c r="J883" s="436"/>
      <c r="K883" s="436"/>
      <c r="L883" s="436"/>
      <c r="M883" s="436"/>
      <c r="N883" s="436"/>
      <c r="O883" s="436"/>
      <c r="P883" s="436"/>
      <c r="Q883" s="436"/>
      <c r="R883" s="436"/>
      <c r="S883" s="436"/>
      <c r="T883" s="436"/>
      <c r="U883" s="436"/>
      <c r="V883" s="436"/>
      <c r="W883" s="436"/>
      <c r="X883" s="436"/>
      <c r="Y883" s="436"/>
      <c r="Z883" s="436"/>
    </row>
    <row r="884" ht="15.75" customHeight="1">
      <c r="A884" s="436"/>
      <c r="B884" s="436"/>
      <c r="C884" s="436"/>
      <c r="D884" s="436"/>
      <c r="E884" s="436"/>
      <c r="F884" s="436"/>
      <c r="G884" s="436"/>
      <c r="H884" s="436"/>
      <c r="I884" s="436"/>
      <c r="J884" s="436"/>
      <c r="K884" s="436"/>
      <c r="L884" s="436"/>
      <c r="M884" s="436"/>
      <c r="N884" s="436"/>
      <c r="O884" s="436"/>
      <c r="P884" s="436"/>
      <c r="Q884" s="436"/>
      <c r="R884" s="436"/>
      <c r="S884" s="436"/>
      <c r="T884" s="436"/>
      <c r="U884" s="436"/>
      <c r="V884" s="436"/>
      <c r="W884" s="436"/>
      <c r="X884" s="436"/>
      <c r="Y884" s="436"/>
      <c r="Z884" s="436"/>
    </row>
    <row r="885" ht="15.75" customHeight="1">
      <c r="A885" s="436"/>
      <c r="B885" s="436"/>
      <c r="C885" s="436"/>
      <c r="D885" s="436"/>
      <c r="E885" s="436"/>
      <c r="F885" s="436"/>
      <c r="G885" s="436"/>
      <c r="H885" s="436"/>
      <c r="I885" s="436"/>
      <c r="J885" s="436"/>
      <c r="K885" s="436"/>
      <c r="L885" s="436"/>
      <c r="M885" s="436"/>
      <c r="N885" s="436"/>
      <c r="O885" s="436"/>
      <c r="P885" s="436"/>
      <c r="Q885" s="436"/>
      <c r="R885" s="436"/>
      <c r="S885" s="436"/>
      <c r="T885" s="436"/>
      <c r="U885" s="436"/>
      <c r="V885" s="436"/>
      <c r="W885" s="436"/>
      <c r="X885" s="436"/>
      <c r="Y885" s="436"/>
      <c r="Z885" s="436"/>
    </row>
    <row r="886" ht="15.75" customHeight="1">
      <c r="A886" s="436"/>
      <c r="B886" s="436"/>
      <c r="C886" s="436"/>
      <c r="D886" s="436"/>
      <c r="E886" s="436"/>
      <c r="F886" s="436"/>
      <c r="G886" s="436"/>
      <c r="H886" s="436"/>
      <c r="I886" s="436"/>
      <c r="J886" s="436"/>
      <c r="K886" s="436"/>
      <c r="L886" s="436"/>
      <c r="M886" s="436"/>
      <c r="N886" s="436"/>
      <c r="O886" s="436"/>
      <c r="P886" s="436"/>
      <c r="Q886" s="436"/>
      <c r="R886" s="436"/>
      <c r="S886" s="436"/>
      <c r="T886" s="436"/>
      <c r="U886" s="436"/>
      <c r="V886" s="436"/>
      <c r="W886" s="436"/>
      <c r="X886" s="436"/>
      <c r="Y886" s="436"/>
      <c r="Z886" s="436"/>
    </row>
    <row r="887" ht="15.75" customHeight="1">
      <c r="A887" s="436"/>
      <c r="B887" s="436"/>
      <c r="C887" s="436"/>
      <c r="D887" s="436"/>
      <c r="E887" s="436"/>
      <c r="F887" s="436"/>
      <c r="G887" s="436"/>
      <c r="H887" s="436"/>
      <c r="I887" s="436"/>
      <c r="J887" s="436"/>
      <c r="K887" s="436"/>
      <c r="L887" s="436"/>
      <c r="M887" s="436"/>
      <c r="N887" s="436"/>
      <c r="O887" s="436"/>
      <c r="P887" s="436"/>
      <c r="Q887" s="436"/>
      <c r="R887" s="436"/>
      <c r="S887" s="436"/>
      <c r="T887" s="436"/>
      <c r="U887" s="436"/>
      <c r="V887" s="436"/>
      <c r="W887" s="436"/>
      <c r="X887" s="436"/>
      <c r="Y887" s="436"/>
      <c r="Z887" s="436"/>
    </row>
    <row r="888" ht="15.75" customHeight="1">
      <c r="A888" s="436"/>
      <c r="B888" s="436"/>
      <c r="C888" s="436"/>
      <c r="D888" s="436"/>
      <c r="E888" s="436"/>
      <c r="F888" s="436"/>
      <c r="G888" s="436"/>
      <c r="H888" s="436"/>
      <c r="I888" s="436"/>
      <c r="J888" s="436"/>
      <c r="K888" s="436"/>
      <c r="L888" s="436"/>
      <c r="M888" s="436"/>
      <c r="N888" s="436"/>
      <c r="O888" s="436"/>
      <c r="P888" s="436"/>
      <c r="Q888" s="436"/>
      <c r="R888" s="436"/>
      <c r="S888" s="436"/>
      <c r="T888" s="436"/>
      <c r="U888" s="436"/>
      <c r="V888" s="436"/>
      <c r="W888" s="436"/>
      <c r="X888" s="436"/>
      <c r="Y888" s="436"/>
      <c r="Z888" s="436"/>
    </row>
    <row r="889" ht="15.75" customHeight="1">
      <c r="A889" s="436"/>
      <c r="B889" s="436"/>
      <c r="C889" s="436"/>
      <c r="D889" s="436"/>
      <c r="E889" s="436"/>
      <c r="F889" s="436"/>
      <c r="G889" s="436"/>
      <c r="H889" s="436"/>
      <c r="I889" s="436"/>
      <c r="J889" s="436"/>
      <c r="K889" s="436"/>
      <c r="L889" s="436"/>
      <c r="M889" s="436"/>
      <c r="N889" s="436"/>
      <c r="O889" s="436"/>
      <c r="P889" s="436"/>
      <c r="Q889" s="436"/>
      <c r="R889" s="436"/>
      <c r="S889" s="436"/>
      <c r="T889" s="436"/>
      <c r="U889" s="436"/>
      <c r="V889" s="436"/>
      <c r="W889" s="436"/>
      <c r="X889" s="436"/>
      <c r="Y889" s="436"/>
      <c r="Z889" s="436"/>
    </row>
    <row r="890" ht="15.75" customHeight="1">
      <c r="A890" s="436"/>
      <c r="B890" s="436"/>
      <c r="C890" s="436"/>
      <c r="D890" s="436"/>
      <c r="E890" s="436"/>
      <c r="F890" s="436"/>
      <c r="G890" s="436"/>
      <c r="H890" s="436"/>
      <c r="I890" s="436"/>
      <c r="J890" s="436"/>
      <c r="K890" s="436"/>
      <c r="L890" s="436"/>
      <c r="M890" s="436"/>
      <c r="N890" s="436"/>
      <c r="O890" s="436"/>
      <c r="P890" s="436"/>
      <c r="Q890" s="436"/>
      <c r="R890" s="436"/>
      <c r="S890" s="436"/>
      <c r="T890" s="436"/>
      <c r="U890" s="436"/>
      <c r="V890" s="436"/>
      <c r="W890" s="436"/>
      <c r="X890" s="436"/>
      <c r="Y890" s="436"/>
      <c r="Z890" s="436"/>
    </row>
    <row r="891" ht="15.75" customHeight="1">
      <c r="A891" s="436"/>
      <c r="B891" s="436"/>
      <c r="C891" s="436"/>
      <c r="D891" s="436"/>
      <c r="E891" s="436"/>
      <c r="F891" s="436"/>
      <c r="G891" s="436"/>
      <c r="H891" s="436"/>
      <c r="I891" s="436"/>
      <c r="J891" s="436"/>
      <c r="K891" s="436"/>
      <c r="L891" s="436"/>
      <c r="M891" s="436"/>
      <c r="N891" s="436"/>
      <c r="O891" s="436"/>
      <c r="P891" s="436"/>
      <c r="Q891" s="436"/>
      <c r="R891" s="436"/>
      <c r="S891" s="436"/>
      <c r="T891" s="436"/>
      <c r="U891" s="436"/>
      <c r="V891" s="436"/>
      <c r="W891" s="436"/>
      <c r="X891" s="436"/>
      <c r="Y891" s="436"/>
      <c r="Z891" s="436"/>
    </row>
    <row r="892" ht="15.75" customHeight="1">
      <c r="A892" s="436"/>
      <c r="B892" s="436"/>
      <c r="C892" s="436"/>
      <c r="D892" s="436"/>
      <c r="E892" s="436"/>
      <c r="F892" s="436"/>
      <c r="G892" s="436"/>
      <c r="H892" s="436"/>
      <c r="I892" s="436"/>
      <c r="J892" s="436"/>
      <c r="K892" s="436"/>
      <c r="L892" s="436"/>
      <c r="M892" s="436"/>
      <c r="N892" s="436"/>
      <c r="O892" s="436"/>
      <c r="P892" s="436"/>
      <c r="Q892" s="436"/>
      <c r="R892" s="436"/>
      <c r="S892" s="436"/>
      <c r="T892" s="436"/>
      <c r="U892" s="436"/>
      <c r="V892" s="436"/>
      <c r="W892" s="436"/>
      <c r="X892" s="436"/>
      <c r="Y892" s="436"/>
      <c r="Z892" s="436"/>
    </row>
    <row r="893" ht="15.75" customHeight="1">
      <c r="A893" s="436"/>
      <c r="B893" s="436"/>
      <c r="C893" s="436"/>
      <c r="D893" s="436"/>
      <c r="E893" s="436"/>
      <c r="F893" s="436"/>
      <c r="G893" s="436"/>
      <c r="H893" s="436"/>
      <c r="I893" s="436"/>
      <c r="J893" s="436"/>
      <c r="K893" s="436"/>
      <c r="L893" s="436"/>
      <c r="M893" s="436"/>
      <c r="N893" s="436"/>
      <c r="O893" s="436"/>
      <c r="P893" s="436"/>
      <c r="Q893" s="436"/>
      <c r="R893" s="436"/>
      <c r="S893" s="436"/>
      <c r="T893" s="436"/>
      <c r="U893" s="436"/>
      <c r="V893" s="436"/>
      <c r="W893" s="436"/>
      <c r="X893" s="436"/>
      <c r="Y893" s="436"/>
      <c r="Z893" s="436"/>
    </row>
    <row r="894" ht="15.75" customHeight="1">
      <c r="A894" s="436"/>
      <c r="B894" s="436"/>
      <c r="C894" s="436"/>
      <c r="D894" s="436"/>
      <c r="E894" s="436"/>
      <c r="F894" s="436"/>
      <c r="G894" s="436"/>
      <c r="H894" s="436"/>
      <c r="I894" s="436"/>
      <c r="J894" s="436"/>
      <c r="K894" s="436"/>
      <c r="L894" s="436"/>
      <c r="M894" s="436"/>
      <c r="N894" s="436"/>
      <c r="O894" s="436"/>
      <c r="P894" s="436"/>
      <c r="Q894" s="436"/>
      <c r="R894" s="436"/>
      <c r="S894" s="436"/>
      <c r="T894" s="436"/>
      <c r="U894" s="436"/>
      <c r="V894" s="436"/>
      <c r="W894" s="436"/>
      <c r="X894" s="436"/>
      <c r="Y894" s="436"/>
      <c r="Z894" s="436"/>
    </row>
    <row r="895" ht="15.75" customHeight="1">
      <c r="A895" s="436"/>
      <c r="B895" s="436"/>
      <c r="C895" s="436"/>
      <c r="D895" s="436"/>
      <c r="E895" s="436"/>
      <c r="F895" s="436"/>
      <c r="G895" s="436"/>
      <c r="H895" s="436"/>
      <c r="I895" s="436"/>
      <c r="J895" s="436"/>
      <c r="K895" s="436"/>
      <c r="L895" s="436"/>
      <c r="M895" s="436"/>
      <c r="N895" s="436"/>
      <c r="O895" s="436"/>
      <c r="P895" s="436"/>
      <c r="Q895" s="436"/>
      <c r="R895" s="436"/>
      <c r="S895" s="436"/>
      <c r="T895" s="436"/>
      <c r="U895" s="436"/>
      <c r="V895" s="436"/>
      <c r="W895" s="436"/>
      <c r="X895" s="436"/>
      <c r="Y895" s="436"/>
      <c r="Z895" s="436"/>
    </row>
    <row r="896" ht="15.75" customHeight="1">
      <c r="A896" s="436"/>
      <c r="B896" s="436"/>
      <c r="C896" s="436"/>
      <c r="D896" s="436"/>
      <c r="E896" s="436"/>
      <c r="F896" s="436"/>
      <c r="G896" s="436"/>
      <c r="H896" s="436"/>
      <c r="I896" s="436"/>
      <c r="J896" s="436"/>
      <c r="K896" s="436"/>
      <c r="L896" s="436"/>
      <c r="M896" s="436"/>
      <c r="N896" s="436"/>
      <c r="O896" s="436"/>
      <c r="P896" s="436"/>
      <c r="Q896" s="436"/>
      <c r="R896" s="436"/>
      <c r="S896" s="436"/>
      <c r="T896" s="436"/>
      <c r="U896" s="436"/>
      <c r="V896" s="436"/>
      <c r="W896" s="436"/>
      <c r="X896" s="436"/>
      <c r="Y896" s="436"/>
      <c r="Z896" s="436"/>
    </row>
    <row r="897" ht="15.75" customHeight="1">
      <c r="A897" s="436"/>
      <c r="B897" s="436"/>
      <c r="C897" s="436"/>
      <c r="D897" s="436"/>
      <c r="E897" s="436"/>
      <c r="F897" s="436"/>
      <c r="G897" s="436"/>
      <c r="H897" s="436"/>
      <c r="I897" s="436"/>
      <c r="J897" s="436"/>
      <c r="K897" s="436"/>
      <c r="L897" s="436"/>
      <c r="M897" s="436"/>
      <c r="N897" s="436"/>
      <c r="O897" s="436"/>
      <c r="P897" s="436"/>
      <c r="Q897" s="436"/>
      <c r="R897" s="436"/>
      <c r="S897" s="436"/>
      <c r="T897" s="436"/>
      <c r="U897" s="436"/>
      <c r="V897" s="436"/>
      <c r="W897" s="436"/>
      <c r="X897" s="436"/>
      <c r="Y897" s="436"/>
      <c r="Z897" s="436"/>
    </row>
    <row r="898" ht="15.75" customHeight="1">
      <c r="A898" s="436"/>
      <c r="B898" s="436"/>
      <c r="C898" s="436"/>
      <c r="D898" s="436"/>
      <c r="E898" s="436"/>
      <c r="F898" s="436"/>
      <c r="G898" s="436"/>
      <c r="H898" s="436"/>
      <c r="I898" s="436"/>
      <c r="J898" s="436"/>
      <c r="K898" s="436"/>
      <c r="L898" s="436"/>
      <c r="M898" s="436"/>
      <c r="N898" s="436"/>
      <c r="O898" s="436"/>
      <c r="P898" s="436"/>
      <c r="Q898" s="436"/>
      <c r="R898" s="436"/>
      <c r="S898" s="436"/>
      <c r="T898" s="436"/>
      <c r="U898" s="436"/>
      <c r="V898" s="436"/>
      <c r="W898" s="436"/>
      <c r="X898" s="436"/>
      <c r="Y898" s="436"/>
      <c r="Z898" s="436"/>
    </row>
    <row r="899" ht="15.75" customHeight="1">
      <c r="A899" s="436"/>
      <c r="B899" s="436"/>
      <c r="C899" s="436"/>
      <c r="D899" s="436"/>
      <c r="E899" s="436"/>
      <c r="F899" s="436"/>
      <c r="G899" s="436"/>
      <c r="H899" s="436"/>
      <c r="I899" s="436"/>
      <c r="J899" s="436"/>
      <c r="K899" s="436"/>
      <c r="L899" s="436"/>
      <c r="M899" s="436"/>
      <c r="N899" s="436"/>
      <c r="O899" s="436"/>
      <c r="P899" s="436"/>
      <c r="Q899" s="436"/>
      <c r="R899" s="436"/>
      <c r="S899" s="436"/>
      <c r="T899" s="436"/>
      <c r="U899" s="436"/>
      <c r="V899" s="436"/>
      <c r="W899" s="436"/>
      <c r="X899" s="436"/>
      <c r="Y899" s="436"/>
      <c r="Z899" s="436"/>
    </row>
    <row r="900" ht="15.75" customHeight="1">
      <c r="A900" s="436"/>
      <c r="B900" s="436"/>
      <c r="C900" s="436"/>
      <c r="D900" s="436"/>
      <c r="E900" s="436"/>
      <c r="F900" s="436"/>
      <c r="G900" s="436"/>
      <c r="H900" s="436"/>
      <c r="I900" s="436"/>
      <c r="J900" s="436"/>
      <c r="K900" s="436"/>
      <c r="L900" s="436"/>
      <c r="M900" s="436"/>
      <c r="N900" s="436"/>
      <c r="O900" s="436"/>
      <c r="P900" s="436"/>
      <c r="Q900" s="436"/>
      <c r="R900" s="436"/>
      <c r="S900" s="436"/>
      <c r="T900" s="436"/>
      <c r="U900" s="436"/>
      <c r="V900" s="436"/>
      <c r="W900" s="436"/>
      <c r="X900" s="436"/>
      <c r="Y900" s="436"/>
      <c r="Z900" s="436"/>
    </row>
    <row r="901" ht="15.75" customHeight="1">
      <c r="A901" s="436"/>
      <c r="B901" s="436"/>
      <c r="C901" s="436"/>
      <c r="D901" s="436"/>
      <c r="E901" s="436"/>
      <c r="F901" s="436"/>
      <c r="G901" s="436"/>
      <c r="H901" s="436"/>
      <c r="I901" s="436"/>
      <c r="J901" s="436"/>
      <c r="K901" s="436"/>
      <c r="L901" s="436"/>
      <c r="M901" s="436"/>
      <c r="N901" s="436"/>
      <c r="O901" s="436"/>
      <c r="P901" s="436"/>
      <c r="Q901" s="436"/>
      <c r="R901" s="436"/>
      <c r="S901" s="436"/>
      <c r="T901" s="436"/>
      <c r="U901" s="436"/>
      <c r="V901" s="436"/>
      <c r="W901" s="436"/>
      <c r="X901" s="436"/>
      <c r="Y901" s="436"/>
      <c r="Z901" s="436"/>
    </row>
    <row r="902" ht="15.75" customHeight="1">
      <c r="A902" s="436"/>
      <c r="B902" s="436"/>
      <c r="C902" s="436"/>
      <c r="D902" s="436"/>
      <c r="E902" s="436"/>
      <c r="F902" s="436"/>
      <c r="G902" s="436"/>
      <c r="H902" s="436"/>
      <c r="I902" s="436"/>
      <c r="J902" s="436"/>
      <c r="K902" s="436"/>
      <c r="L902" s="436"/>
      <c r="M902" s="436"/>
      <c r="N902" s="436"/>
      <c r="O902" s="436"/>
      <c r="P902" s="436"/>
      <c r="Q902" s="436"/>
      <c r="R902" s="436"/>
      <c r="S902" s="436"/>
      <c r="T902" s="436"/>
      <c r="U902" s="436"/>
      <c r="V902" s="436"/>
      <c r="W902" s="436"/>
      <c r="X902" s="436"/>
      <c r="Y902" s="436"/>
      <c r="Z902" s="436"/>
    </row>
    <row r="903" ht="15.75" customHeight="1">
      <c r="A903" s="436"/>
      <c r="B903" s="436"/>
      <c r="C903" s="436"/>
      <c r="D903" s="436"/>
      <c r="E903" s="436"/>
      <c r="F903" s="436"/>
      <c r="G903" s="436"/>
      <c r="H903" s="436"/>
      <c r="I903" s="436"/>
      <c r="J903" s="436"/>
      <c r="K903" s="436"/>
      <c r="L903" s="436"/>
      <c r="M903" s="436"/>
      <c r="N903" s="436"/>
      <c r="O903" s="436"/>
      <c r="P903" s="436"/>
      <c r="Q903" s="436"/>
      <c r="R903" s="436"/>
      <c r="S903" s="436"/>
      <c r="T903" s="436"/>
      <c r="U903" s="436"/>
      <c r="V903" s="436"/>
      <c r="W903" s="436"/>
      <c r="X903" s="436"/>
      <c r="Y903" s="436"/>
      <c r="Z903" s="436"/>
    </row>
    <row r="904" ht="15.75" customHeight="1">
      <c r="A904" s="436"/>
      <c r="B904" s="436"/>
      <c r="C904" s="436"/>
      <c r="D904" s="436"/>
      <c r="E904" s="436"/>
      <c r="F904" s="436"/>
      <c r="G904" s="436"/>
      <c r="H904" s="436"/>
      <c r="I904" s="436"/>
      <c r="J904" s="436"/>
      <c r="K904" s="436"/>
      <c r="L904" s="436"/>
      <c r="M904" s="436"/>
      <c r="N904" s="436"/>
      <c r="O904" s="436"/>
      <c r="P904" s="436"/>
      <c r="Q904" s="436"/>
      <c r="R904" s="436"/>
      <c r="S904" s="436"/>
      <c r="T904" s="436"/>
      <c r="U904" s="436"/>
      <c r="V904" s="436"/>
      <c r="W904" s="436"/>
      <c r="X904" s="436"/>
      <c r="Y904" s="436"/>
      <c r="Z904" s="436"/>
    </row>
    <row r="905" ht="15.75" customHeight="1">
      <c r="A905" s="436"/>
      <c r="B905" s="436"/>
      <c r="C905" s="436"/>
      <c r="D905" s="436"/>
      <c r="E905" s="436"/>
      <c r="F905" s="436"/>
      <c r="G905" s="436"/>
      <c r="H905" s="436"/>
      <c r="I905" s="436"/>
      <c r="J905" s="436"/>
      <c r="K905" s="436"/>
      <c r="L905" s="436"/>
      <c r="M905" s="436"/>
      <c r="N905" s="436"/>
      <c r="O905" s="436"/>
      <c r="P905" s="436"/>
      <c r="Q905" s="436"/>
      <c r="R905" s="436"/>
      <c r="S905" s="436"/>
      <c r="T905" s="436"/>
      <c r="U905" s="436"/>
      <c r="V905" s="436"/>
      <c r="W905" s="436"/>
      <c r="X905" s="436"/>
      <c r="Y905" s="436"/>
      <c r="Z905" s="436"/>
    </row>
    <row r="906" ht="15.75" customHeight="1">
      <c r="A906" s="436"/>
      <c r="B906" s="436"/>
      <c r="C906" s="436"/>
      <c r="D906" s="436"/>
      <c r="E906" s="436"/>
      <c r="F906" s="436"/>
      <c r="G906" s="436"/>
      <c r="H906" s="436"/>
      <c r="I906" s="436"/>
      <c r="J906" s="436"/>
      <c r="K906" s="436"/>
      <c r="L906" s="436"/>
      <c r="M906" s="436"/>
      <c r="N906" s="436"/>
      <c r="O906" s="436"/>
      <c r="P906" s="436"/>
      <c r="Q906" s="436"/>
      <c r="R906" s="436"/>
      <c r="S906" s="436"/>
      <c r="T906" s="436"/>
      <c r="U906" s="436"/>
      <c r="V906" s="436"/>
      <c r="W906" s="436"/>
      <c r="X906" s="436"/>
      <c r="Y906" s="436"/>
      <c r="Z906" s="436"/>
    </row>
    <row r="907" ht="15.75" customHeight="1">
      <c r="A907" s="436"/>
      <c r="B907" s="436"/>
      <c r="C907" s="436"/>
      <c r="D907" s="436"/>
      <c r="E907" s="436"/>
      <c r="F907" s="436"/>
      <c r="G907" s="436"/>
      <c r="H907" s="436"/>
      <c r="I907" s="436"/>
      <c r="J907" s="436"/>
      <c r="K907" s="436"/>
      <c r="L907" s="436"/>
      <c r="M907" s="436"/>
      <c r="N907" s="436"/>
      <c r="O907" s="436"/>
      <c r="P907" s="436"/>
      <c r="Q907" s="436"/>
      <c r="R907" s="436"/>
      <c r="S907" s="436"/>
      <c r="T907" s="436"/>
      <c r="U907" s="436"/>
      <c r="V907" s="436"/>
      <c r="W907" s="436"/>
      <c r="X907" s="436"/>
      <c r="Y907" s="436"/>
      <c r="Z907" s="436"/>
    </row>
    <row r="908" ht="15.75" customHeight="1">
      <c r="A908" s="436"/>
      <c r="B908" s="436"/>
      <c r="C908" s="436"/>
      <c r="D908" s="436"/>
      <c r="E908" s="436"/>
      <c r="F908" s="436"/>
      <c r="G908" s="436"/>
      <c r="H908" s="436"/>
      <c r="I908" s="436"/>
      <c r="J908" s="436"/>
      <c r="K908" s="436"/>
      <c r="L908" s="436"/>
      <c r="M908" s="436"/>
      <c r="N908" s="436"/>
      <c r="O908" s="436"/>
      <c r="P908" s="436"/>
      <c r="Q908" s="436"/>
      <c r="R908" s="436"/>
      <c r="S908" s="436"/>
      <c r="T908" s="436"/>
      <c r="U908" s="436"/>
      <c r="V908" s="436"/>
      <c r="W908" s="436"/>
      <c r="X908" s="436"/>
      <c r="Y908" s="436"/>
      <c r="Z908" s="436"/>
    </row>
    <row r="909" ht="15.75" customHeight="1">
      <c r="A909" s="436"/>
      <c r="B909" s="436"/>
      <c r="C909" s="436"/>
      <c r="D909" s="436"/>
      <c r="E909" s="436"/>
      <c r="F909" s="436"/>
      <c r="G909" s="436"/>
      <c r="H909" s="436"/>
      <c r="I909" s="436"/>
      <c r="J909" s="436"/>
      <c r="K909" s="436"/>
      <c r="L909" s="436"/>
      <c r="M909" s="436"/>
      <c r="N909" s="436"/>
      <c r="O909" s="436"/>
      <c r="P909" s="436"/>
      <c r="Q909" s="436"/>
      <c r="R909" s="436"/>
      <c r="S909" s="436"/>
      <c r="T909" s="436"/>
      <c r="U909" s="436"/>
      <c r="V909" s="436"/>
      <c r="W909" s="436"/>
      <c r="X909" s="436"/>
      <c r="Y909" s="436"/>
      <c r="Z909" s="436"/>
    </row>
    <row r="910" ht="15.75" customHeight="1">
      <c r="A910" s="436"/>
      <c r="B910" s="436"/>
      <c r="C910" s="436"/>
      <c r="D910" s="436"/>
      <c r="E910" s="436"/>
      <c r="F910" s="436"/>
      <c r="G910" s="436"/>
      <c r="H910" s="436"/>
      <c r="I910" s="436"/>
      <c r="J910" s="436"/>
      <c r="K910" s="436"/>
      <c r="L910" s="436"/>
      <c r="M910" s="436"/>
      <c r="N910" s="436"/>
      <c r="O910" s="436"/>
      <c r="P910" s="436"/>
      <c r="Q910" s="436"/>
      <c r="R910" s="436"/>
      <c r="S910" s="436"/>
      <c r="T910" s="436"/>
      <c r="U910" s="436"/>
      <c r="V910" s="436"/>
      <c r="W910" s="436"/>
      <c r="X910" s="436"/>
      <c r="Y910" s="436"/>
      <c r="Z910" s="436"/>
    </row>
    <row r="911" ht="15.75" customHeight="1">
      <c r="A911" s="436"/>
      <c r="B911" s="436"/>
      <c r="C911" s="436"/>
      <c r="D911" s="436"/>
      <c r="E911" s="436"/>
      <c r="F911" s="436"/>
      <c r="G911" s="436"/>
      <c r="H911" s="436"/>
      <c r="I911" s="436"/>
      <c r="J911" s="436"/>
      <c r="K911" s="436"/>
      <c r="L911" s="436"/>
      <c r="M911" s="436"/>
      <c r="N911" s="436"/>
      <c r="O911" s="436"/>
      <c r="P911" s="436"/>
      <c r="Q911" s="436"/>
      <c r="R911" s="436"/>
      <c r="S911" s="436"/>
      <c r="T911" s="436"/>
      <c r="U911" s="436"/>
      <c r="V911" s="436"/>
      <c r="W911" s="436"/>
      <c r="X911" s="436"/>
      <c r="Y911" s="436"/>
      <c r="Z911" s="436"/>
    </row>
    <row r="912" ht="15.75" customHeight="1">
      <c r="A912" s="436"/>
      <c r="B912" s="436"/>
      <c r="C912" s="436"/>
      <c r="D912" s="436"/>
      <c r="E912" s="436"/>
      <c r="F912" s="436"/>
      <c r="G912" s="436"/>
      <c r="H912" s="436"/>
      <c r="I912" s="436"/>
      <c r="J912" s="436"/>
      <c r="K912" s="436"/>
      <c r="L912" s="436"/>
      <c r="M912" s="436"/>
      <c r="N912" s="436"/>
      <c r="O912" s="436"/>
      <c r="P912" s="436"/>
      <c r="Q912" s="436"/>
      <c r="R912" s="436"/>
      <c r="S912" s="436"/>
      <c r="T912" s="436"/>
      <c r="U912" s="436"/>
      <c r="V912" s="436"/>
      <c r="W912" s="436"/>
      <c r="X912" s="436"/>
      <c r="Y912" s="436"/>
      <c r="Z912" s="436"/>
    </row>
    <row r="913" ht="15.75" customHeight="1">
      <c r="A913" s="436"/>
      <c r="B913" s="436"/>
      <c r="C913" s="436"/>
      <c r="D913" s="436"/>
      <c r="E913" s="436"/>
      <c r="F913" s="436"/>
      <c r="G913" s="436"/>
      <c r="H913" s="436"/>
      <c r="I913" s="436"/>
      <c r="J913" s="436"/>
      <c r="K913" s="436"/>
      <c r="L913" s="436"/>
      <c r="M913" s="436"/>
      <c r="N913" s="436"/>
      <c r="O913" s="436"/>
      <c r="P913" s="436"/>
      <c r="Q913" s="436"/>
      <c r="R913" s="436"/>
      <c r="S913" s="436"/>
      <c r="T913" s="436"/>
      <c r="U913" s="436"/>
      <c r="V913" s="436"/>
      <c r="W913" s="436"/>
      <c r="X913" s="436"/>
      <c r="Y913" s="436"/>
      <c r="Z913" s="436"/>
    </row>
    <row r="914" ht="15.75" customHeight="1">
      <c r="A914" s="436"/>
      <c r="B914" s="436"/>
      <c r="C914" s="436"/>
      <c r="D914" s="436"/>
      <c r="E914" s="436"/>
      <c r="F914" s="436"/>
      <c r="G914" s="436"/>
      <c r="H914" s="436"/>
      <c r="I914" s="436"/>
      <c r="J914" s="436"/>
      <c r="K914" s="436"/>
      <c r="L914" s="436"/>
      <c r="M914" s="436"/>
      <c r="N914" s="436"/>
      <c r="O914" s="436"/>
      <c r="P914" s="436"/>
      <c r="Q914" s="436"/>
      <c r="R914" s="436"/>
      <c r="S914" s="436"/>
      <c r="T914" s="436"/>
      <c r="U914" s="436"/>
      <c r="V914" s="436"/>
      <c r="W914" s="436"/>
      <c r="X914" s="436"/>
      <c r="Y914" s="436"/>
      <c r="Z914" s="436"/>
    </row>
    <row r="915" ht="15.75" customHeight="1">
      <c r="A915" s="436"/>
      <c r="B915" s="436"/>
      <c r="C915" s="436"/>
      <c r="D915" s="436"/>
      <c r="E915" s="436"/>
      <c r="F915" s="436"/>
      <c r="G915" s="436"/>
      <c r="H915" s="436"/>
      <c r="I915" s="436"/>
      <c r="J915" s="436"/>
      <c r="K915" s="436"/>
      <c r="L915" s="436"/>
      <c r="M915" s="436"/>
      <c r="N915" s="436"/>
      <c r="O915" s="436"/>
      <c r="P915" s="436"/>
      <c r="Q915" s="436"/>
      <c r="R915" s="436"/>
      <c r="S915" s="436"/>
      <c r="T915" s="436"/>
      <c r="U915" s="436"/>
      <c r="V915" s="436"/>
      <c r="W915" s="436"/>
      <c r="X915" s="436"/>
      <c r="Y915" s="436"/>
      <c r="Z915" s="436"/>
    </row>
    <row r="916" ht="15.75" customHeight="1">
      <c r="A916" s="436"/>
      <c r="B916" s="436"/>
      <c r="C916" s="436"/>
      <c r="D916" s="436"/>
      <c r="E916" s="436"/>
      <c r="F916" s="436"/>
      <c r="G916" s="436"/>
      <c r="H916" s="436"/>
      <c r="I916" s="436"/>
      <c r="J916" s="436"/>
      <c r="K916" s="436"/>
      <c r="L916" s="436"/>
      <c r="M916" s="436"/>
      <c r="N916" s="436"/>
      <c r="O916" s="436"/>
      <c r="P916" s="436"/>
      <c r="Q916" s="436"/>
      <c r="R916" s="436"/>
      <c r="S916" s="436"/>
      <c r="T916" s="436"/>
      <c r="U916" s="436"/>
      <c r="V916" s="436"/>
      <c r="W916" s="436"/>
      <c r="X916" s="436"/>
      <c r="Y916" s="436"/>
      <c r="Z916" s="436"/>
    </row>
    <row r="917" ht="15.75" customHeight="1">
      <c r="A917" s="436"/>
      <c r="B917" s="436"/>
      <c r="C917" s="436"/>
      <c r="D917" s="436"/>
      <c r="E917" s="436"/>
      <c r="F917" s="436"/>
      <c r="G917" s="436"/>
      <c r="H917" s="436"/>
      <c r="I917" s="436"/>
      <c r="J917" s="436"/>
      <c r="K917" s="436"/>
      <c r="L917" s="436"/>
      <c r="M917" s="436"/>
      <c r="N917" s="436"/>
      <c r="O917" s="436"/>
      <c r="P917" s="436"/>
      <c r="Q917" s="436"/>
      <c r="R917" s="436"/>
      <c r="S917" s="436"/>
      <c r="T917" s="436"/>
      <c r="U917" s="436"/>
      <c r="V917" s="436"/>
      <c r="W917" s="436"/>
      <c r="X917" s="436"/>
      <c r="Y917" s="436"/>
      <c r="Z917" s="436"/>
    </row>
    <row r="918" ht="15.75" customHeight="1">
      <c r="A918" s="436"/>
      <c r="B918" s="436"/>
      <c r="C918" s="436"/>
      <c r="D918" s="436"/>
      <c r="E918" s="436"/>
      <c r="F918" s="436"/>
      <c r="G918" s="436"/>
      <c r="H918" s="436"/>
      <c r="I918" s="436"/>
      <c r="J918" s="436"/>
      <c r="K918" s="436"/>
      <c r="L918" s="436"/>
      <c r="M918" s="436"/>
      <c r="N918" s="436"/>
      <c r="O918" s="436"/>
      <c r="P918" s="436"/>
      <c r="Q918" s="436"/>
      <c r="R918" s="436"/>
      <c r="S918" s="436"/>
      <c r="T918" s="436"/>
      <c r="U918" s="436"/>
      <c r="V918" s="436"/>
      <c r="W918" s="436"/>
      <c r="X918" s="436"/>
      <c r="Y918" s="436"/>
      <c r="Z918" s="436"/>
    </row>
    <row r="919" ht="15.75" customHeight="1">
      <c r="A919" s="436"/>
      <c r="B919" s="436"/>
      <c r="C919" s="436"/>
      <c r="D919" s="436"/>
      <c r="E919" s="436"/>
      <c r="F919" s="436"/>
      <c r="G919" s="436"/>
      <c r="H919" s="436"/>
      <c r="I919" s="436"/>
      <c r="J919" s="436"/>
      <c r="K919" s="436"/>
      <c r="L919" s="436"/>
      <c r="M919" s="436"/>
      <c r="N919" s="436"/>
      <c r="O919" s="436"/>
      <c r="P919" s="436"/>
      <c r="Q919" s="436"/>
      <c r="R919" s="436"/>
      <c r="S919" s="436"/>
      <c r="T919" s="436"/>
      <c r="U919" s="436"/>
      <c r="V919" s="436"/>
      <c r="W919" s="436"/>
      <c r="X919" s="436"/>
      <c r="Y919" s="436"/>
      <c r="Z919" s="436"/>
    </row>
    <row r="920" ht="15.75" customHeight="1">
      <c r="A920" s="436"/>
      <c r="B920" s="436"/>
      <c r="C920" s="436"/>
      <c r="D920" s="436"/>
      <c r="E920" s="436"/>
      <c r="F920" s="436"/>
      <c r="G920" s="436"/>
      <c r="H920" s="436"/>
      <c r="I920" s="436"/>
      <c r="J920" s="436"/>
      <c r="K920" s="436"/>
      <c r="L920" s="436"/>
      <c r="M920" s="436"/>
      <c r="N920" s="436"/>
      <c r="O920" s="436"/>
      <c r="P920" s="436"/>
      <c r="Q920" s="436"/>
      <c r="R920" s="436"/>
      <c r="S920" s="436"/>
      <c r="T920" s="436"/>
      <c r="U920" s="436"/>
      <c r="V920" s="436"/>
      <c r="W920" s="436"/>
      <c r="X920" s="436"/>
      <c r="Y920" s="436"/>
      <c r="Z920" s="436"/>
    </row>
    <row r="921" ht="15.75" customHeight="1">
      <c r="A921" s="436"/>
      <c r="B921" s="436"/>
      <c r="C921" s="436"/>
      <c r="D921" s="436"/>
      <c r="E921" s="436"/>
      <c r="F921" s="436"/>
      <c r="G921" s="436"/>
      <c r="H921" s="436"/>
      <c r="I921" s="436"/>
      <c r="J921" s="436"/>
      <c r="K921" s="436"/>
      <c r="L921" s="436"/>
      <c r="M921" s="436"/>
      <c r="N921" s="436"/>
      <c r="O921" s="436"/>
      <c r="P921" s="436"/>
      <c r="Q921" s="436"/>
      <c r="R921" s="436"/>
      <c r="S921" s="436"/>
      <c r="T921" s="436"/>
      <c r="U921" s="436"/>
      <c r="V921" s="436"/>
      <c r="W921" s="436"/>
      <c r="X921" s="436"/>
      <c r="Y921" s="436"/>
      <c r="Z921" s="436"/>
    </row>
    <row r="922" ht="15.75" customHeight="1">
      <c r="A922" s="436"/>
      <c r="B922" s="436"/>
      <c r="C922" s="436"/>
      <c r="D922" s="436"/>
      <c r="E922" s="436"/>
      <c r="F922" s="436"/>
      <c r="G922" s="436"/>
      <c r="H922" s="436"/>
      <c r="I922" s="436"/>
      <c r="J922" s="436"/>
      <c r="K922" s="436"/>
      <c r="L922" s="436"/>
      <c r="M922" s="436"/>
      <c r="N922" s="436"/>
      <c r="O922" s="436"/>
      <c r="P922" s="436"/>
      <c r="Q922" s="436"/>
      <c r="R922" s="436"/>
      <c r="S922" s="436"/>
      <c r="T922" s="436"/>
      <c r="U922" s="436"/>
      <c r="V922" s="436"/>
      <c r="W922" s="436"/>
      <c r="X922" s="436"/>
      <c r="Y922" s="436"/>
      <c r="Z922" s="436"/>
    </row>
    <row r="923" ht="15.75" customHeight="1">
      <c r="A923" s="436"/>
      <c r="B923" s="436"/>
      <c r="C923" s="436"/>
      <c r="D923" s="436"/>
      <c r="E923" s="436"/>
      <c r="F923" s="436"/>
      <c r="G923" s="436"/>
      <c r="H923" s="436"/>
      <c r="I923" s="436"/>
      <c r="J923" s="436"/>
      <c r="K923" s="436"/>
      <c r="L923" s="436"/>
      <c r="M923" s="436"/>
      <c r="N923" s="436"/>
      <c r="O923" s="436"/>
      <c r="P923" s="436"/>
      <c r="Q923" s="436"/>
      <c r="R923" s="436"/>
      <c r="S923" s="436"/>
      <c r="T923" s="436"/>
      <c r="U923" s="436"/>
      <c r="V923" s="436"/>
      <c r="W923" s="436"/>
      <c r="X923" s="436"/>
      <c r="Y923" s="436"/>
      <c r="Z923" s="436"/>
    </row>
    <row r="924" ht="15.75" customHeight="1">
      <c r="A924" s="436"/>
      <c r="B924" s="436"/>
      <c r="C924" s="436"/>
      <c r="D924" s="436"/>
      <c r="E924" s="436"/>
      <c r="F924" s="436"/>
      <c r="G924" s="436"/>
      <c r="H924" s="436"/>
      <c r="I924" s="436"/>
      <c r="J924" s="436"/>
      <c r="K924" s="436"/>
      <c r="L924" s="436"/>
      <c r="M924" s="436"/>
      <c r="N924" s="436"/>
      <c r="O924" s="436"/>
      <c r="P924" s="436"/>
      <c r="Q924" s="436"/>
      <c r="R924" s="436"/>
      <c r="S924" s="436"/>
      <c r="T924" s="436"/>
      <c r="U924" s="436"/>
      <c r="V924" s="436"/>
      <c r="W924" s="436"/>
      <c r="X924" s="436"/>
      <c r="Y924" s="436"/>
      <c r="Z924" s="436"/>
    </row>
    <row r="925" ht="15.75" customHeight="1">
      <c r="A925" s="436"/>
      <c r="B925" s="436"/>
      <c r="C925" s="436"/>
      <c r="D925" s="436"/>
      <c r="E925" s="436"/>
      <c r="F925" s="436"/>
      <c r="G925" s="436"/>
      <c r="H925" s="436"/>
      <c r="I925" s="436"/>
      <c r="J925" s="436"/>
      <c r="K925" s="436"/>
      <c r="L925" s="436"/>
      <c r="M925" s="436"/>
      <c r="N925" s="436"/>
      <c r="O925" s="436"/>
      <c r="P925" s="436"/>
      <c r="Q925" s="436"/>
      <c r="R925" s="436"/>
      <c r="S925" s="436"/>
      <c r="T925" s="436"/>
      <c r="U925" s="436"/>
      <c r="V925" s="436"/>
      <c r="W925" s="436"/>
      <c r="X925" s="436"/>
      <c r="Y925" s="436"/>
      <c r="Z925" s="436"/>
    </row>
    <row r="926" ht="15.75" customHeight="1">
      <c r="A926" s="436"/>
      <c r="B926" s="436"/>
      <c r="C926" s="436"/>
      <c r="D926" s="436"/>
      <c r="E926" s="436"/>
      <c r="F926" s="436"/>
      <c r="G926" s="436"/>
      <c r="H926" s="436"/>
      <c r="I926" s="436"/>
      <c r="J926" s="436"/>
      <c r="K926" s="436"/>
      <c r="L926" s="436"/>
      <c r="M926" s="436"/>
      <c r="N926" s="436"/>
      <c r="O926" s="436"/>
      <c r="P926" s="436"/>
      <c r="Q926" s="436"/>
      <c r="R926" s="436"/>
      <c r="S926" s="436"/>
      <c r="T926" s="436"/>
      <c r="U926" s="436"/>
      <c r="V926" s="436"/>
      <c r="W926" s="436"/>
      <c r="X926" s="436"/>
      <c r="Y926" s="436"/>
      <c r="Z926" s="436"/>
    </row>
    <row r="927" ht="15.75" customHeight="1">
      <c r="A927" s="436"/>
      <c r="B927" s="436"/>
      <c r="C927" s="436"/>
      <c r="D927" s="436"/>
      <c r="E927" s="436"/>
      <c r="F927" s="436"/>
      <c r="G927" s="436"/>
      <c r="H927" s="436"/>
      <c r="I927" s="436"/>
      <c r="J927" s="436"/>
      <c r="K927" s="436"/>
      <c r="L927" s="436"/>
      <c r="M927" s="436"/>
      <c r="N927" s="436"/>
      <c r="O927" s="436"/>
      <c r="P927" s="436"/>
      <c r="Q927" s="436"/>
      <c r="R927" s="436"/>
      <c r="S927" s="436"/>
      <c r="T927" s="436"/>
      <c r="U927" s="436"/>
      <c r="V927" s="436"/>
      <c r="W927" s="436"/>
      <c r="X927" s="436"/>
      <c r="Y927" s="436"/>
      <c r="Z927" s="436"/>
    </row>
    <row r="928" ht="15.75" customHeight="1">
      <c r="A928" s="436"/>
      <c r="B928" s="436"/>
      <c r="C928" s="436"/>
      <c r="D928" s="436"/>
      <c r="E928" s="436"/>
      <c r="F928" s="436"/>
      <c r="G928" s="436"/>
      <c r="H928" s="436"/>
      <c r="I928" s="436"/>
      <c r="J928" s="436"/>
      <c r="K928" s="436"/>
      <c r="L928" s="436"/>
      <c r="M928" s="436"/>
      <c r="N928" s="436"/>
      <c r="O928" s="436"/>
      <c r="P928" s="436"/>
      <c r="Q928" s="436"/>
      <c r="R928" s="436"/>
      <c r="S928" s="436"/>
      <c r="T928" s="436"/>
      <c r="U928" s="436"/>
      <c r="V928" s="436"/>
      <c r="W928" s="436"/>
      <c r="X928" s="436"/>
      <c r="Y928" s="436"/>
      <c r="Z928" s="436"/>
    </row>
    <row r="929" ht="15.75" customHeight="1">
      <c r="A929" s="436"/>
      <c r="B929" s="436"/>
      <c r="C929" s="436"/>
      <c r="D929" s="436"/>
      <c r="E929" s="436"/>
      <c r="F929" s="436"/>
      <c r="G929" s="436"/>
      <c r="H929" s="436"/>
      <c r="I929" s="436"/>
      <c r="J929" s="436"/>
      <c r="K929" s="436"/>
      <c r="L929" s="436"/>
      <c r="M929" s="436"/>
      <c r="N929" s="436"/>
      <c r="O929" s="436"/>
      <c r="P929" s="436"/>
      <c r="Q929" s="436"/>
      <c r="R929" s="436"/>
      <c r="S929" s="436"/>
      <c r="T929" s="436"/>
      <c r="U929" s="436"/>
      <c r="V929" s="436"/>
      <c r="W929" s="436"/>
      <c r="X929" s="436"/>
      <c r="Y929" s="436"/>
      <c r="Z929" s="436"/>
    </row>
    <row r="930" ht="15.75" customHeight="1">
      <c r="A930" s="436"/>
      <c r="B930" s="436"/>
      <c r="C930" s="436"/>
      <c r="D930" s="436"/>
      <c r="E930" s="436"/>
      <c r="F930" s="436"/>
      <c r="G930" s="436"/>
      <c r="H930" s="436"/>
      <c r="I930" s="436"/>
      <c r="J930" s="436"/>
      <c r="K930" s="436"/>
      <c r="L930" s="436"/>
      <c r="M930" s="436"/>
      <c r="N930" s="436"/>
      <c r="O930" s="436"/>
      <c r="P930" s="436"/>
      <c r="Q930" s="436"/>
      <c r="R930" s="436"/>
      <c r="S930" s="436"/>
      <c r="T930" s="436"/>
      <c r="U930" s="436"/>
      <c r="V930" s="436"/>
      <c r="W930" s="436"/>
      <c r="X930" s="436"/>
      <c r="Y930" s="436"/>
      <c r="Z930" s="436"/>
    </row>
    <row r="931" ht="15.75" customHeight="1">
      <c r="A931" s="436"/>
      <c r="B931" s="436"/>
      <c r="C931" s="436"/>
      <c r="D931" s="436"/>
      <c r="E931" s="436"/>
      <c r="F931" s="436"/>
      <c r="G931" s="436"/>
      <c r="H931" s="436"/>
      <c r="I931" s="436"/>
      <c r="J931" s="436"/>
      <c r="K931" s="436"/>
      <c r="L931" s="436"/>
      <c r="M931" s="436"/>
      <c r="N931" s="436"/>
      <c r="O931" s="436"/>
      <c r="P931" s="436"/>
      <c r="Q931" s="436"/>
      <c r="R931" s="436"/>
      <c r="S931" s="436"/>
      <c r="T931" s="436"/>
      <c r="U931" s="436"/>
      <c r="V931" s="436"/>
      <c r="W931" s="436"/>
      <c r="X931" s="436"/>
      <c r="Y931" s="436"/>
      <c r="Z931" s="436"/>
    </row>
    <row r="932" ht="15.75" customHeight="1">
      <c r="A932" s="436"/>
      <c r="B932" s="436"/>
      <c r="C932" s="436"/>
      <c r="D932" s="436"/>
      <c r="E932" s="436"/>
      <c r="F932" s="436"/>
      <c r="G932" s="436"/>
      <c r="H932" s="436"/>
      <c r="I932" s="436"/>
      <c r="J932" s="436"/>
      <c r="K932" s="436"/>
      <c r="L932" s="436"/>
      <c r="M932" s="436"/>
      <c r="N932" s="436"/>
      <c r="O932" s="436"/>
      <c r="P932" s="436"/>
      <c r="Q932" s="436"/>
      <c r="R932" s="436"/>
      <c r="S932" s="436"/>
      <c r="T932" s="436"/>
      <c r="U932" s="436"/>
      <c r="V932" s="436"/>
      <c r="W932" s="436"/>
      <c r="X932" s="436"/>
      <c r="Y932" s="436"/>
      <c r="Z932" s="436"/>
    </row>
    <row r="933" ht="15.75" customHeight="1">
      <c r="A933" s="436"/>
      <c r="B933" s="436"/>
      <c r="C933" s="436"/>
      <c r="D933" s="436"/>
      <c r="E933" s="436"/>
      <c r="F933" s="436"/>
      <c r="G933" s="436"/>
      <c r="H933" s="436"/>
      <c r="I933" s="436"/>
      <c r="J933" s="436"/>
      <c r="K933" s="436"/>
      <c r="L933" s="436"/>
      <c r="M933" s="436"/>
      <c r="N933" s="436"/>
      <c r="O933" s="436"/>
      <c r="P933" s="436"/>
      <c r="Q933" s="436"/>
      <c r="R933" s="436"/>
      <c r="S933" s="436"/>
      <c r="T933" s="436"/>
      <c r="U933" s="436"/>
      <c r="V933" s="436"/>
      <c r="W933" s="436"/>
      <c r="X933" s="436"/>
      <c r="Y933" s="436"/>
      <c r="Z933" s="436"/>
    </row>
    <row r="934" ht="15.75" customHeight="1">
      <c r="A934" s="436"/>
      <c r="B934" s="436"/>
      <c r="C934" s="436"/>
      <c r="D934" s="436"/>
      <c r="E934" s="436"/>
      <c r="F934" s="436"/>
      <c r="G934" s="436"/>
      <c r="H934" s="436"/>
      <c r="I934" s="436"/>
      <c r="J934" s="436"/>
      <c r="K934" s="436"/>
      <c r="L934" s="436"/>
      <c r="M934" s="436"/>
      <c r="N934" s="436"/>
      <c r="O934" s="436"/>
      <c r="P934" s="436"/>
      <c r="Q934" s="436"/>
      <c r="R934" s="436"/>
      <c r="S934" s="436"/>
      <c r="T934" s="436"/>
      <c r="U934" s="436"/>
      <c r="V934" s="436"/>
      <c r="W934" s="436"/>
      <c r="X934" s="436"/>
      <c r="Y934" s="436"/>
      <c r="Z934" s="436"/>
    </row>
    <row r="935" ht="15.75" customHeight="1">
      <c r="A935" s="436"/>
      <c r="B935" s="436"/>
      <c r="C935" s="436"/>
      <c r="D935" s="436"/>
      <c r="E935" s="436"/>
      <c r="F935" s="436"/>
      <c r="G935" s="436"/>
      <c r="H935" s="436"/>
      <c r="I935" s="436"/>
      <c r="J935" s="436"/>
      <c r="K935" s="436"/>
      <c r="L935" s="436"/>
      <c r="M935" s="436"/>
      <c r="N935" s="436"/>
      <c r="O935" s="436"/>
      <c r="P935" s="436"/>
      <c r="Q935" s="436"/>
      <c r="R935" s="436"/>
      <c r="S935" s="436"/>
      <c r="T935" s="436"/>
      <c r="U935" s="436"/>
      <c r="V935" s="436"/>
      <c r="W935" s="436"/>
      <c r="X935" s="436"/>
      <c r="Y935" s="436"/>
      <c r="Z935" s="436"/>
    </row>
    <row r="936" ht="15.75" customHeight="1">
      <c r="A936" s="436"/>
      <c r="B936" s="436"/>
      <c r="C936" s="436"/>
      <c r="D936" s="436"/>
      <c r="E936" s="436"/>
      <c r="F936" s="436"/>
      <c r="G936" s="436"/>
      <c r="H936" s="436"/>
      <c r="I936" s="436"/>
      <c r="J936" s="436"/>
      <c r="K936" s="436"/>
      <c r="L936" s="436"/>
      <c r="M936" s="436"/>
      <c r="N936" s="436"/>
      <c r="O936" s="436"/>
      <c r="P936" s="436"/>
      <c r="Q936" s="436"/>
      <c r="R936" s="436"/>
      <c r="S936" s="436"/>
      <c r="T936" s="436"/>
      <c r="U936" s="436"/>
      <c r="V936" s="436"/>
      <c r="W936" s="436"/>
      <c r="X936" s="436"/>
      <c r="Y936" s="436"/>
      <c r="Z936" s="436"/>
    </row>
    <row r="937" ht="15.75" customHeight="1">
      <c r="A937" s="436"/>
      <c r="B937" s="436"/>
      <c r="C937" s="436"/>
      <c r="D937" s="436"/>
      <c r="E937" s="436"/>
      <c r="F937" s="436"/>
      <c r="G937" s="436"/>
      <c r="H937" s="436"/>
      <c r="I937" s="436"/>
      <c r="J937" s="436"/>
      <c r="K937" s="436"/>
      <c r="L937" s="436"/>
      <c r="M937" s="436"/>
      <c r="N937" s="436"/>
      <c r="O937" s="436"/>
      <c r="P937" s="436"/>
      <c r="Q937" s="436"/>
      <c r="R937" s="436"/>
      <c r="S937" s="436"/>
      <c r="T937" s="436"/>
      <c r="U937" s="436"/>
      <c r="V937" s="436"/>
      <c r="W937" s="436"/>
      <c r="X937" s="436"/>
      <c r="Y937" s="436"/>
      <c r="Z937" s="436"/>
    </row>
    <row r="938" ht="15.75" customHeight="1">
      <c r="A938" s="436"/>
      <c r="B938" s="436"/>
      <c r="C938" s="436"/>
      <c r="D938" s="436"/>
      <c r="E938" s="436"/>
      <c r="F938" s="436"/>
      <c r="G938" s="436"/>
      <c r="H938" s="436"/>
      <c r="I938" s="436"/>
      <c r="J938" s="436"/>
      <c r="K938" s="436"/>
      <c r="L938" s="436"/>
      <c r="M938" s="436"/>
      <c r="N938" s="436"/>
      <c r="O938" s="436"/>
      <c r="P938" s="436"/>
      <c r="Q938" s="436"/>
      <c r="R938" s="436"/>
      <c r="S938" s="436"/>
      <c r="T938" s="436"/>
      <c r="U938" s="436"/>
      <c r="V938" s="436"/>
      <c r="W938" s="436"/>
      <c r="X938" s="436"/>
      <c r="Y938" s="436"/>
      <c r="Z938" s="436"/>
    </row>
    <row r="939" ht="15.75" customHeight="1">
      <c r="A939" s="436"/>
      <c r="B939" s="436"/>
      <c r="C939" s="436"/>
      <c r="D939" s="436"/>
      <c r="E939" s="436"/>
      <c r="F939" s="436"/>
      <c r="G939" s="436"/>
      <c r="H939" s="436"/>
      <c r="I939" s="436"/>
      <c r="J939" s="436"/>
      <c r="K939" s="436"/>
      <c r="L939" s="436"/>
      <c r="M939" s="436"/>
      <c r="N939" s="436"/>
      <c r="O939" s="436"/>
      <c r="P939" s="436"/>
      <c r="Q939" s="436"/>
      <c r="R939" s="436"/>
      <c r="S939" s="436"/>
      <c r="T939" s="436"/>
      <c r="U939" s="436"/>
      <c r="V939" s="436"/>
      <c r="W939" s="436"/>
      <c r="X939" s="436"/>
      <c r="Y939" s="436"/>
      <c r="Z939" s="436"/>
    </row>
    <row r="940" ht="15.75" customHeight="1">
      <c r="A940" s="436"/>
      <c r="B940" s="436"/>
      <c r="C940" s="436"/>
      <c r="D940" s="436"/>
      <c r="E940" s="436"/>
      <c r="F940" s="436"/>
      <c r="G940" s="436"/>
      <c r="H940" s="436"/>
      <c r="I940" s="436"/>
      <c r="J940" s="436"/>
      <c r="K940" s="436"/>
      <c r="L940" s="436"/>
      <c r="M940" s="436"/>
      <c r="N940" s="436"/>
      <c r="O940" s="436"/>
      <c r="P940" s="436"/>
      <c r="Q940" s="436"/>
      <c r="R940" s="436"/>
      <c r="S940" s="436"/>
      <c r="T940" s="436"/>
      <c r="U940" s="436"/>
      <c r="V940" s="436"/>
      <c r="W940" s="436"/>
      <c r="X940" s="436"/>
      <c r="Y940" s="436"/>
      <c r="Z940" s="436"/>
    </row>
    <row r="941" ht="15.75" customHeight="1">
      <c r="A941" s="436"/>
      <c r="B941" s="436"/>
      <c r="C941" s="436"/>
      <c r="D941" s="436"/>
      <c r="E941" s="436"/>
      <c r="F941" s="436"/>
      <c r="G941" s="436"/>
      <c r="H941" s="436"/>
      <c r="I941" s="436"/>
      <c r="J941" s="436"/>
      <c r="K941" s="436"/>
      <c r="L941" s="436"/>
      <c r="M941" s="436"/>
      <c r="N941" s="436"/>
      <c r="O941" s="436"/>
      <c r="P941" s="436"/>
      <c r="Q941" s="436"/>
      <c r="R941" s="436"/>
      <c r="S941" s="436"/>
      <c r="T941" s="436"/>
      <c r="U941" s="436"/>
      <c r="V941" s="436"/>
      <c r="W941" s="436"/>
      <c r="X941" s="436"/>
      <c r="Y941" s="436"/>
      <c r="Z941" s="436"/>
    </row>
    <row r="942" ht="15.75" customHeight="1">
      <c r="A942" s="436"/>
      <c r="B942" s="436"/>
      <c r="C942" s="436"/>
      <c r="D942" s="436"/>
      <c r="E942" s="436"/>
      <c r="F942" s="436"/>
      <c r="G942" s="436"/>
      <c r="H942" s="436"/>
      <c r="I942" s="436"/>
      <c r="J942" s="436"/>
      <c r="K942" s="436"/>
      <c r="L942" s="436"/>
      <c r="M942" s="436"/>
      <c r="N942" s="436"/>
      <c r="O942" s="436"/>
      <c r="P942" s="436"/>
      <c r="Q942" s="436"/>
      <c r="R942" s="436"/>
      <c r="S942" s="436"/>
      <c r="T942" s="436"/>
      <c r="U942" s="436"/>
      <c r="V942" s="436"/>
      <c r="W942" s="436"/>
      <c r="X942" s="436"/>
      <c r="Y942" s="436"/>
      <c r="Z942" s="436"/>
    </row>
    <row r="943" ht="15.75" customHeight="1">
      <c r="A943" s="436"/>
      <c r="B943" s="436"/>
      <c r="C943" s="436"/>
      <c r="D943" s="436"/>
      <c r="E943" s="436"/>
      <c r="F943" s="436"/>
      <c r="G943" s="436"/>
      <c r="H943" s="436"/>
      <c r="I943" s="436"/>
      <c r="J943" s="436"/>
      <c r="K943" s="436"/>
      <c r="L943" s="436"/>
      <c r="M943" s="436"/>
      <c r="N943" s="436"/>
      <c r="O943" s="436"/>
      <c r="P943" s="436"/>
      <c r="Q943" s="436"/>
      <c r="R943" s="436"/>
      <c r="S943" s="436"/>
      <c r="T943" s="436"/>
      <c r="U943" s="436"/>
      <c r="V943" s="436"/>
      <c r="W943" s="436"/>
      <c r="X943" s="436"/>
      <c r="Y943" s="436"/>
      <c r="Z943" s="436"/>
    </row>
    <row r="944" ht="15.75" customHeight="1">
      <c r="A944" s="436"/>
      <c r="B944" s="436"/>
      <c r="C944" s="436"/>
      <c r="D944" s="436"/>
      <c r="E944" s="436"/>
      <c r="F944" s="436"/>
      <c r="G944" s="436"/>
      <c r="H944" s="436"/>
      <c r="I944" s="436"/>
      <c r="J944" s="436"/>
      <c r="K944" s="436"/>
      <c r="L944" s="436"/>
      <c r="M944" s="436"/>
      <c r="N944" s="436"/>
      <c r="O944" s="436"/>
      <c r="P944" s="436"/>
      <c r="Q944" s="436"/>
      <c r="R944" s="436"/>
      <c r="S944" s="436"/>
      <c r="T944" s="436"/>
      <c r="U944" s="436"/>
      <c r="V944" s="436"/>
      <c r="W944" s="436"/>
      <c r="X944" s="436"/>
      <c r="Y944" s="436"/>
      <c r="Z944" s="436"/>
    </row>
    <row r="945" ht="15.75" customHeight="1">
      <c r="A945" s="436"/>
      <c r="B945" s="436"/>
      <c r="C945" s="436"/>
      <c r="D945" s="436"/>
      <c r="E945" s="436"/>
      <c r="F945" s="436"/>
      <c r="G945" s="436"/>
      <c r="H945" s="436"/>
      <c r="I945" s="436"/>
      <c r="J945" s="436"/>
      <c r="K945" s="436"/>
      <c r="L945" s="436"/>
      <c r="M945" s="436"/>
      <c r="N945" s="436"/>
      <c r="O945" s="436"/>
      <c r="P945" s="436"/>
      <c r="Q945" s="436"/>
      <c r="R945" s="436"/>
      <c r="S945" s="436"/>
      <c r="T945" s="436"/>
      <c r="U945" s="436"/>
      <c r="V945" s="436"/>
      <c r="W945" s="436"/>
      <c r="X945" s="436"/>
      <c r="Y945" s="436"/>
      <c r="Z945" s="436"/>
    </row>
    <row r="946" ht="15.75" customHeight="1">
      <c r="A946" s="436"/>
      <c r="B946" s="436"/>
      <c r="C946" s="436"/>
      <c r="D946" s="436"/>
      <c r="E946" s="436"/>
      <c r="F946" s="436"/>
      <c r="G946" s="436"/>
      <c r="H946" s="436"/>
      <c r="I946" s="436"/>
      <c r="J946" s="436"/>
      <c r="K946" s="436"/>
      <c r="L946" s="436"/>
      <c r="M946" s="436"/>
      <c r="N946" s="436"/>
      <c r="O946" s="436"/>
      <c r="P946" s="436"/>
      <c r="Q946" s="436"/>
      <c r="R946" s="436"/>
      <c r="S946" s="436"/>
      <c r="T946" s="436"/>
      <c r="U946" s="436"/>
      <c r="V946" s="436"/>
      <c r="W946" s="436"/>
      <c r="X946" s="436"/>
      <c r="Y946" s="436"/>
      <c r="Z946" s="436"/>
    </row>
    <row r="947" ht="15.75" customHeight="1">
      <c r="A947" s="436"/>
      <c r="B947" s="436"/>
      <c r="C947" s="436"/>
      <c r="D947" s="436"/>
      <c r="E947" s="436"/>
      <c r="F947" s="436"/>
      <c r="G947" s="436"/>
      <c r="H947" s="436"/>
      <c r="I947" s="436"/>
      <c r="J947" s="436"/>
      <c r="K947" s="436"/>
      <c r="L947" s="436"/>
      <c r="M947" s="436"/>
      <c r="N947" s="436"/>
      <c r="O947" s="436"/>
      <c r="P947" s="436"/>
      <c r="Q947" s="436"/>
      <c r="R947" s="436"/>
      <c r="S947" s="436"/>
      <c r="T947" s="436"/>
      <c r="U947" s="436"/>
      <c r="V947" s="436"/>
      <c r="W947" s="436"/>
      <c r="X947" s="436"/>
      <c r="Y947" s="436"/>
      <c r="Z947" s="436"/>
    </row>
    <row r="948" ht="15.75" customHeight="1">
      <c r="A948" s="436"/>
      <c r="B948" s="436"/>
      <c r="C948" s="436"/>
      <c r="D948" s="436"/>
      <c r="E948" s="436"/>
      <c r="F948" s="436"/>
      <c r="G948" s="436"/>
      <c r="H948" s="436"/>
      <c r="I948" s="436"/>
      <c r="J948" s="436"/>
      <c r="K948" s="436"/>
      <c r="L948" s="436"/>
      <c r="M948" s="436"/>
      <c r="N948" s="436"/>
      <c r="O948" s="436"/>
      <c r="P948" s="436"/>
      <c r="Q948" s="436"/>
      <c r="R948" s="436"/>
      <c r="S948" s="436"/>
      <c r="T948" s="436"/>
      <c r="U948" s="436"/>
      <c r="V948" s="436"/>
      <c r="W948" s="436"/>
      <c r="X948" s="436"/>
      <c r="Y948" s="436"/>
      <c r="Z948" s="436"/>
    </row>
    <row r="949" ht="15.75" customHeight="1">
      <c r="A949" s="436"/>
      <c r="B949" s="436"/>
      <c r="C949" s="436"/>
      <c r="D949" s="436"/>
      <c r="E949" s="436"/>
      <c r="F949" s="436"/>
      <c r="G949" s="436"/>
      <c r="H949" s="436"/>
      <c r="I949" s="436"/>
      <c r="J949" s="436"/>
      <c r="K949" s="436"/>
      <c r="L949" s="436"/>
      <c r="M949" s="436"/>
      <c r="N949" s="436"/>
      <c r="O949" s="436"/>
      <c r="P949" s="436"/>
      <c r="Q949" s="436"/>
      <c r="R949" s="436"/>
      <c r="S949" s="436"/>
      <c r="T949" s="436"/>
      <c r="U949" s="436"/>
      <c r="V949" s="436"/>
      <c r="W949" s="436"/>
      <c r="X949" s="436"/>
      <c r="Y949" s="436"/>
      <c r="Z949" s="436"/>
    </row>
    <row r="950" ht="15.75" customHeight="1">
      <c r="A950" s="436"/>
      <c r="B950" s="436"/>
      <c r="C950" s="436"/>
      <c r="D950" s="436"/>
      <c r="E950" s="436"/>
      <c r="F950" s="436"/>
      <c r="G950" s="436"/>
      <c r="H950" s="436"/>
      <c r="I950" s="436"/>
      <c r="J950" s="436"/>
      <c r="K950" s="436"/>
      <c r="L950" s="436"/>
      <c r="M950" s="436"/>
      <c r="N950" s="436"/>
      <c r="O950" s="436"/>
      <c r="P950" s="436"/>
      <c r="Q950" s="436"/>
      <c r="R950" s="436"/>
      <c r="S950" s="436"/>
      <c r="T950" s="436"/>
      <c r="U950" s="436"/>
      <c r="V950" s="436"/>
      <c r="W950" s="436"/>
      <c r="X950" s="436"/>
      <c r="Y950" s="436"/>
      <c r="Z950" s="436"/>
    </row>
    <row r="951" ht="15.75" customHeight="1">
      <c r="A951" s="436"/>
      <c r="B951" s="436"/>
      <c r="C951" s="436"/>
      <c r="D951" s="436"/>
      <c r="E951" s="436"/>
      <c r="F951" s="436"/>
      <c r="G951" s="436"/>
      <c r="H951" s="436"/>
      <c r="I951" s="436"/>
      <c r="J951" s="436"/>
      <c r="K951" s="436"/>
      <c r="L951" s="436"/>
      <c r="M951" s="436"/>
      <c r="N951" s="436"/>
      <c r="O951" s="436"/>
      <c r="P951" s="436"/>
      <c r="Q951" s="436"/>
      <c r="R951" s="436"/>
      <c r="S951" s="436"/>
      <c r="T951" s="436"/>
      <c r="U951" s="436"/>
      <c r="V951" s="436"/>
      <c r="W951" s="436"/>
      <c r="X951" s="436"/>
      <c r="Y951" s="436"/>
      <c r="Z951" s="436"/>
    </row>
    <row r="952" ht="15.75" customHeight="1">
      <c r="A952" s="436"/>
      <c r="B952" s="436"/>
      <c r="C952" s="436"/>
      <c r="D952" s="436"/>
      <c r="E952" s="436"/>
      <c r="F952" s="436"/>
      <c r="G952" s="436"/>
      <c r="H952" s="436"/>
      <c r="I952" s="436"/>
      <c r="J952" s="436"/>
      <c r="K952" s="436"/>
      <c r="L952" s="436"/>
      <c r="M952" s="436"/>
      <c r="N952" s="436"/>
      <c r="O952" s="436"/>
      <c r="P952" s="436"/>
      <c r="Q952" s="436"/>
      <c r="R952" s="436"/>
      <c r="S952" s="436"/>
      <c r="T952" s="436"/>
      <c r="U952" s="436"/>
      <c r="V952" s="436"/>
      <c r="W952" s="436"/>
      <c r="X952" s="436"/>
      <c r="Y952" s="436"/>
      <c r="Z952" s="436"/>
    </row>
    <row r="953" ht="15.75" customHeight="1">
      <c r="A953" s="436"/>
      <c r="B953" s="436"/>
      <c r="C953" s="436"/>
      <c r="D953" s="436"/>
      <c r="E953" s="436"/>
      <c r="F953" s="436"/>
      <c r="G953" s="436"/>
      <c r="H953" s="436"/>
      <c r="I953" s="436"/>
      <c r="J953" s="436"/>
      <c r="K953" s="436"/>
      <c r="L953" s="436"/>
      <c r="M953" s="436"/>
      <c r="N953" s="436"/>
      <c r="O953" s="436"/>
      <c r="P953" s="436"/>
      <c r="Q953" s="436"/>
      <c r="R953" s="436"/>
      <c r="S953" s="436"/>
      <c r="T953" s="436"/>
      <c r="U953" s="436"/>
      <c r="V953" s="436"/>
      <c r="W953" s="436"/>
      <c r="X953" s="436"/>
      <c r="Y953" s="436"/>
      <c r="Z953" s="436"/>
    </row>
    <row r="954" ht="15.75" customHeight="1">
      <c r="A954" s="436"/>
      <c r="B954" s="436"/>
      <c r="C954" s="436"/>
      <c r="D954" s="436"/>
      <c r="E954" s="436"/>
      <c r="F954" s="436"/>
      <c r="G954" s="436"/>
      <c r="H954" s="436"/>
      <c r="I954" s="436"/>
      <c r="J954" s="436"/>
      <c r="K954" s="436"/>
      <c r="L954" s="436"/>
      <c r="M954" s="436"/>
      <c r="N954" s="436"/>
      <c r="O954" s="436"/>
      <c r="P954" s="436"/>
      <c r="Q954" s="436"/>
      <c r="R954" s="436"/>
      <c r="S954" s="436"/>
      <c r="T954" s="436"/>
      <c r="U954" s="436"/>
      <c r="V954" s="436"/>
      <c r="W954" s="436"/>
      <c r="X954" s="436"/>
      <c r="Y954" s="436"/>
      <c r="Z954" s="436"/>
    </row>
    <row r="955" ht="15.75" customHeight="1">
      <c r="A955" s="436"/>
      <c r="B955" s="436"/>
      <c r="C955" s="436"/>
      <c r="D955" s="436"/>
      <c r="E955" s="436"/>
      <c r="F955" s="436"/>
      <c r="G955" s="436"/>
      <c r="H955" s="436"/>
      <c r="I955" s="436"/>
      <c r="J955" s="436"/>
      <c r="K955" s="436"/>
      <c r="L955" s="436"/>
      <c r="M955" s="436"/>
      <c r="N955" s="436"/>
      <c r="O955" s="436"/>
      <c r="P955" s="436"/>
      <c r="Q955" s="436"/>
      <c r="R955" s="436"/>
      <c r="S955" s="436"/>
      <c r="T955" s="436"/>
      <c r="U955" s="436"/>
      <c r="V955" s="436"/>
      <c r="W955" s="436"/>
      <c r="X955" s="436"/>
      <c r="Y955" s="436"/>
      <c r="Z955" s="436"/>
    </row>
    <row r="956" ht="15.75" customHeight="1">
      <c r="A956" s="436"/>
      <c r="B956" s="436"/>
      <c r="C956" s="436"/>
      <c r="D956" s="436"/>
      <c r="E956" s="436"/>
      <c r="F956" s="436"/>
      <c r="G956" s="436"/>
      <c r="H956" s="436"/>
      <c r="I956" s="436"/>
      <c r="J956" s="436"/>
      <c r="K956" s="436"/>
      <c r="L956" s="436"/>
      <c r="M956" s="436"/>
      <c r="N956" s="436"/>
      <c r="O956" s="436"/>
      <c r="P956" s="436"/>
      <c r="Q956" s="436"/>
      <c r="R956" s="436"/>
      <c r="S956" s="436"/>
      <c r="T956" s="436"/>
      <c r="U956" s="436"/>
      <c r="V956" s="436"/>
      <c r="W956" s="436"/>
      <c r="X956" s="436"/>
      <c r="Y956" s="436"/>
      <c r="Z956" s="436"/>
    </row>
    <row r="957" ht="15.75" customHeight="1">
      <c r="A957" s="436"/>
      <c r="B957" s="436"/>
      <c r="C957" s="436"/>
      <c r="D957" s="436"/>
      <c r="E957" s="436"/>
      <c r="F957" s="436"/>
      <c r="G957" s="436"/>
      <c r="H957" s="436"/>
      <c r="I957" s="436"/>
      <c r="J957" s="436"/>
      <c r="K957" s="436"/>
      <c r="L957" s="436"/>
      <c r="M957" s="436"/>
      <c r="N957" s="436"/>
      <c r="O957" s="436"/>
      <c r="P957" s="436"/>
      <c r="Q957" s="436"/>
      <c r="R957" s="436"/>
      <c r="S957" s="436"/>
      <c r="T957" s="436"/>
      <c r="U957" s="436"/>
      <c r="V957" s="436"/>
      <c r="W957" s="436"/>
      <c r="X957" s="436"/>
      <c r="Y957" s="436"/>
      <c r="Z957" s="436"/>
    </row>
    <row r="958" ht="15.75" customHeight="1">
      <c r="A958" s="436"/>
      <c r="B958" s="436"/>
      <c r="C958" s="436"/>
      <c r="D958" s="436"/>
      <c r="E958" s="436"/>
      <c r="F958" s="436"/>
      <c r="G958" s="436"/>
      <c r="H958" s="436"/>
      <c r="I958" s="436"/>
      <c r="J958" s="436"/>
      <c r="K958" s="436"/>
      <c r="L958" s="436"/>
      <c r="M958" s="436"/>
      <c r="N958" s="436"/>
      <c r="O958" s="436"/>
      <c r="P958" s="436"/>
      <c r="Q958" s="436"/>
      <c r="R958" s="436"/>
      <c r="S958" s="436"/>
      <c r="T958" s="436"/>
      <c r="U958" s="436"/>
      <c r="V958" s="436"/>
      <c r="W958" s="436"/>
      <c r="X958" s="436"/>
      <c r="Y958" s="436"/>
      <c r="Z958" s="436"/>
    </row>
    <row r="959" ht="15.75" customHeight="1">
      <c r="A959" s="436"/>
      <c r="B959" s="436"/>
      <c r="C959" s="436"/>
      <c r="D959" s="436"/>
      <c r="E959" s="436"/>
      <c r="F959" s="436"/>
      <c r="G959" s="436"/>
      <c r="H959" s="436"/>
      <c r="I959" s="436"/>
      <c r="J959" s="436"/>
      <c r="K959" s="436"/>
      <c r="L959" s="436"/>
      <c r="M959" s="436"/>
      <c r="N959" s="436"/>
      <c r="O959" s="436"/>
      <c r="P959" s="436"/>
      <c r="Q959" s="436"/>
      <c r="R959" s="436"/>
      <c r="S959" s="436"/>
      <c r="T959" s="436"/>
      <c r="U959" s="436"/>
      <c r="V959" s="436"/>
      <c r="W959" s="436"/>
      <c r="X959" s="436"/>
      <c r="Y959" s="436"/>
      <c r="Z959" s="436"/>
    </row>
    <row r="960" ht="15.75" customHeight="1">
      <c r="A960" s="436"/>
      <c r="B960" s="436"/>
      <c r="C960" s="436"/>
      <c r="D960" s="436"/>
      <c r="E960" s="436"/>
      <c r="F960" s="436"/>
      <c r="G960" s="436"/>
      <c r="H960" s="436"/>
      <c r="I960" s="436"/>
      <c r="J960" s="436"/>
      <c r="K960" s="436"/>
      <c r="L960" s="436"/>
      <c r="M960" s="436"/>
      <c r="N960" s="436"/>
      <c r="O960" s="436"/>
      <c r="P960" s="436"/>
      <c r="Q960" s="436"/>
      <c r="R960" s="436"/>
      <c r="S960" s="436"/>
      <c r="T960" s="436"/>
      <c r="U960" s="436"/>
      <c r="V960" s="436"/>
      <c r="W960" s="436"/>
      <c r="X960" s="436"/>
      <c r="Y960" s="436"/>
      <c r="Z960" s="436"/>
    </row>
    <row r="961" ht="15.75" customHeight="1">
      <c r="A961" s="436"/>
      <c r="B961" s="436"/>
      <c r="C961" s="436"/>
      <c r="D961" s="436"/>
      <c r="E961" s="436"/>
      <c r="F961" s="436"/>
      <c r="G961" s="436"/>
      <c r="H961" s="436"/>
      <c r="I961" s="436"/>
      <c r="J961" s="436"/>
      <c r="K961" s="436"/>
      <c r="L961" s="436"/>
      <c r="M961" s="436"/>
      <c r="N961" s="436"/>
      <c r="O961" s="436"/>
      <c r="P961" s="436"/>
      <c r="Q961" s="436"/>
      <c r="R961" s="436"/>
      <c r="S961" s="436"/>
      <c r="T961" s="436"/>
      <c r="U961" s="436"/>
      <c r="V961" s="436"/>
      <c r="W961" s="436"/>
      <c r="X961" s="436"/>
      <c r="Y961" s="436"/>
      <c r="Z961" s="436"/>
    </row>
    <row r="962" ht="15.75" customHeight="1">
      <c r="A962" s="436"/>
      <c r="B962" s="436"/>
      <c r="C962" s="436"/>
      <c r="D962" s="436"/>
      <c r="E962" s="436"/>
      <c r="F962" s="436"/>
      <c r="G962" s="436"/>
      <c r="H962" s="436"/>
      <c r="I962" s="436"/>
      <c r="J962" s="436"/>
      <c r="K962" s="436"/>
      <c r="L962" s="436"/>
      <c r="M962" s="436"/>
      <c r="N962" s="436"/>
      <c r="O962" s="436"/>
      <c r="P962" s="436"/>
      <c r="Q962" s="436"/>
      <c r="R962" s="436"/>
      <c r="S962" s="436"/>
      <c r="T962" s="436"/>
      <c r="U962" s="436"/>
      <c r="V962" s="436"/>
      <c r="W962" s="436"/>
      <c r="X962" s="436"/>
      <c r="Y962" s="436"/>
      <c r="Z962" s="436"/>
    </row>
    <row r="963" ht="15.75" customHeight="1">
      <c r="A963" s="436"/>
      <c r="B963" s="436"/>
      <c r="C963" s="436"/>
      <c r="D963" s="436"/>
      <c r="E963" s="436"/>
      <c r="F963" s="436"/>
      <c r="G963" s="436"/>
      <c r="H963" s="436"/>
      <c r="I963" s="436"/>
      <c r="J963" s="436"/>
      <c r="K963" s="436"/>
      <c r="L963" s="436"/>
      <c r="M963" s="436"/>
      <c r="N963" s="436"/>
      <c r="O963" s="436"/>
      <c r="P963" s="436"/>
      <c r="Q963" s="436"/>
      <c r="R963" s="436"/>
      <c r="S963" s="436"/>
      <c r="T963" s="436"/>
      <c r="U963" s="436"/>
      <c r="V963" s="436"/>
      <c r="W963" s="436"/>
      <c r="X963" s="436"/>
      <c r="Y963" s="436"/>
      <c r="Z963" s="436"/>
    </row>
    <row r="964" ht="15.75" customHeight="1">
      <c r="A964" s="436"/>
      <c r="B964" s="436"/>
      <c r="C964" s="436"/>
      <c r="D964" s="436"/>
      <c r="E964" s="436"/>
      <c r="F964" s="436"/>
      <c r="G964" s="436"/>
      <c r="H964" s="436"/>
      <c r="I964" s="436"/>
      <c r="J964" s="436"/>
      <c r="K964" s="436"/>
      <c r="L964" s="436"/>
      <c r="M964" s="436"/>
      <c r="N964" s="436"/>
      <c r="O964" s="436"/>
      <c r="P964" s="436"/>
      <c r="Q964" s="436"/>
      <c r="R964" s="436"/>
      <c r="S964" s="436"/>
      <c r="T964" s="436"/>
      <c r="U964" s="436"/>
      <c r="V964" s="436"/>
      <c r="W964" s="436"/>
      <c r="X964" s="436"/>
      <c r="Y964" s="436"/>
      <c r="Z964" s="436"/>
    </row>
    <row r="965" ht="15.75" customHeight="1">
      <c r="A965" s="436"/>
      <c r="B965" s="436"/>
      <c r="C965" s="436"/>
      <c r="D965" s="436"/>
      <c r="E965" s="436"/>
      <c r="F965" s="436"/>
      <c r="G965" s="436"/>
      <c r="H965" s="436"/>
      <c r="I965" s="436"/>
      <c r="J965" s="436"/>
      <c r="K965" s="436"/>
      <c r="L965" s="436"/>
      <c r="M965" s="436"/>
      <c r="N965" s="436"/>
      <c r="O965" s="436"/>
      <c r="P965" s="436"/>
      <c r="Q965" s="436"/>
      <c r="R965" s="436"/>
      <c r="S965" s="436"/>
      <c r="T965" s="436"/>
      <c r="U965" s="436"/>
      <c r="V965" s="436"/>
      <c r="W965" s="436"/>
      <c r="X965" s="436"/>
      <c r="Y965" s="436"/>
      <c r="Z965" s="436"/>
    </row>
    <row r="966" ht="15.75" customHeight="1">
      <c r="A966" s="436"/>
      <c r="B966" s="436"/>
      <c r="C966" s="436"/>
      <c r="D966" s="436"/>
      <c r="E966" s="436"/>
      <c r="F966" s="436"/>
      <c r="G966" s="436"/>
      <c r="H966" s="436"/>
      <c r="I966" s="436"/>
      <c r="J966" s="436"/>
      <c r="K966" s="436"/>
      <c r="L966" s="436"/>
      <c r="M966" s="436"/>
      <c r="N966" s="436"/>
      <c r="O966" s="436"/>
      <c r="P966" s="436"/>
      <c r="Q966" s="436"/>
      <c r="R966" s="436"/>
      <c r="S966" s="436"/>
      <c r="T966" s="436"/>
      <c r="U966" s="436"/>
      <c r="V966" s="436"/>
      <c r="W966" s="436"/>
      <c r="X966" s="436"/>
      <c r="Y966" s="436"/>
      <c r="Z966" s="436"/>
    </row>
    <row r="967" ht="15.75" customHeight="1">
      <c r="A967" s="436"/>
      <c r="B967" s="436"/>
      <c r="C967" s="436"/>
      <c r="D967" s="436"/>
      <c r="E967" s="436"/>
      <c r="F967" s="436"/>
      <c r="G967" s="436"/>
      <c r="H967" s="436"/>
      <c r="I967" s="436"/>
      <c r="J967" s="436"/>
      <c r="K967" s="436"/>
      <c r="L967" s="436"/>
      <c r="M967" s="436"/>
      <c r="N967" s="436"/>
      <c r="O967" s="436"/>
      <c r="P967" s="436"/>
      <c r="Q967" s="436"/>
      <c r="R967" s="436"/>
      <c r="S967" s="436"/>
      <c r="T967" s="436"/>
      <c r="U967" s="436"/>
      <c r="V967" s="436"/>
      <c r="W967" s="436"/>
      <c r="X967" s="436"/>
      <c r="Y967" s="436"/>
      <c r="Z967" s="436"/>
    </row>
    <row r="968" ht="15.75" customHeight="1">
      <c r="A968" s="436"/>
      <c r="B968" s="436"/>
      <c r="C968" s="436"/>
      <c r="D968" s="436"/>
      <c r="E968" s="436"/>
      <c r="F968" s="436"/>
      <c r="G968" s="436"/>
      <c r="H968" s="436"/>
      <c r="I968" s="436"/>
      <c r="J968" s="436"/>
      <c r="K968" s="436"/>
      <c r="L968" s="436"/>
      <c r="M968" s="436"/>
      <c r="N968" s="436"/>
      <c r="O968" s="436"/>
      <c r="P968" s="436"/>
      <c r="Q968" s="436"/>
      <c r="R968" s="436"/>
      <c r="S968" s="436"/>
      <c r="T968" s="436"/>
      <c r="U968" s="436"/>
      <c r="V968" s="436"/>
      <c r="W968" s="436"/>
      <c r="X968" s="436"/>
      <c r="Y968" s="436"/>
      <c r="Z968" s="436"/>
    </row>
    <row r="969" ht="15.75" customHeight="1">
      <c r="A969" s="436"/>
      <c r="B969" s="436"/>
      <c r="C969" s="436"/>
      <c r="D969" s="436"/>
      <c r="E969" s="436"/>
      <c r="F969" s="436"/>
      <c r="G969" s="436"/>
      <c r="H969" s="436"/>
      <c r="I969" s="436"/>
      <c r="J969" s="436"/>
      <c r="K969" s="436"/>
      <c r="L969" s="436"/>
      <c r="M969" s="436"/>
      <c r="N969" s="436"/>
      <c r="O969" s="436"/>
      <c r="P969" s="436"/>
      <c r="Q969" s="436"/>
      <c r="R969" s="436"/>
      <c r="S969" s="436"/>
      <c r="T969" s="436"/>
      <c r="U969" s="436"/>
      <c r="V969" s="436"/>
      <c r="W969" s="436"/>
      <c r="X969" s="436"/>
      <c r="Y969" s="436"/>
      <c r="Z969" s="436"/>
    </row>
    <row r="970" ht="15.75" customHeight="1">
      <c r="A970" s="436"/>
      <c r="B970" s="436"/>
      <c r="C970" s="436"/>
      <c r="D970" s="436"/>
      <c r="E970" s="436"/>
      <c r="F970" s="436"/>
      <c r="G970" s="436"/>
      <c r="H970" s="436"/>
      <c r="I970" s="436"/>
      <c r="J970" s="436"/>
      <c r="K970" s="436"/>
      <c r="L970" s="436"/>
      <c r="M970" s="436"/>
      <c r="N970" s="436"/>
      <c r="O970" s="436"/>
      <c r="P970" s="436"/>
      <c r="Q970" s="436"/>
      <c r="R970" s="436"/>
      <c r="S970" s="436"/>
      <c r="T970" s="436"/>
      <c r="U970" s="436"/>
      <c r="V970" s="436"/>
      <c r="W970" s="436"/>
      <c r="X970" s="436"/>
      <c r="Y970" s="436"/>
      <c r="Z970" s="436"/>
    </row>
    <row r="971" ht="15.75" customHeight="1">
      <c r="A971" s="436"/>
      <c r="B971" s="436"/>
      <c r="C971" s="436"/>
      <c r="D971" s="436"/>
      <c r="E971" s="436"/>
      <c r="F971" s="436"/>
      <c r="G971" s="436"/>
      <c r="H971" s="436"/>
      <c r="I971" s="436"/>
      <c r="J971" s="436"/>
      <c r="K971" s="436"/>
      <c r="L971" s="436"/>
      <c r="M971" s="436"/>
      <c r="N971" s="436"/>
      <c r="O971" s="436"/>
      <c r="P971" s="436"/>
      <c r="Q971" s="436"/>
      <c r="R971" s="436"/>
      <c r="S971" s="436"/>
      <c r="T971" s="436"/>
      <c r="U971" s="436"/>
      <c r="V971" s="436"/>
      <c r="W971" s="436"/>
      <c r="X971" s="436"/>
      <c r="Y971" s="436"/>
      <c r="Z971" s="436"/>
    </row>
    <row r="972" ht="15.75" customHeight="1">
      <c r="A972" s="436"/>
      <c r="B972" s="436"/>
      <c r="C972" s="436"/>
      <c r="D972" s="436"/>
      <c r="E972" s="436"/>
      <c r="F972" s="436"/>
      <c r="G972" s="436"/>
      <c r="H972" s="436"/>
      <c r="I972" s="436"/>
      <c r="J972" s="436"/>
      <c r="K972" s="436"/>
      <c r="L972" s="436"/>
      <c r="M972" s="436"/>
      <c r="N972" s="436"/>
      <c r="O972" s="436"/>
      <c r="P972" s="436"/>
      <c r="Q972" s="436"/>
      <c r="R972" s="436"/>
      <c r="S972" s="436"/>
      <c r="T972" s="436"/>
      <c r="U972" s="436"/>
      <c r="V972" s="436"/>
      <c r="W972" s="436"/>
      <c r="X972" s="436"/>
      <c r="Y972" s="436"/>
      <c r="Z972" s="436"/>
    </row>
    <row r="973" ht="15.75" customHeight="1">
      <c r="A973" s="436"/>
      <c r="B973" s="436"/>
      <c r="C973" s="436"/>
      <c r="D973" s="436"/>
      <c r="E973" s="436"/>
      <c r="F973" s="436"/>
      <c r="G973" s="436"/>
      <c r="H973" s="436"/>
      <c r="I973" s="436"/>
      <c r="J973" s="436"/>
      <c r="K973" s="436"/>
      <c r="L973" s="436"/>
      <c r="M973" s="436"/>
      <c r="N973" s="436"/>
      <c r="O973" s="436"/>
      <c r="P973" s="436"/>
      <c r="Q973" s="436"/>
      <c r="R973" s="436"/>
      <c r="S973" s="436"/>
      <c r="T973" s="436"/>
      <c r="U973" s="436"/>
      <c r="V973" s="436"/>
      <c r="W973" s="436"/>
      <c r="X973" s="436"/>
      <c r="Y973" s="436"/>
      <c r="Z973" s="436"/>
    </row>
    <row r="974" ht="15.75" customHeight="1">
      <c r="A974" s="436"/>
      <c r="B974" s="436"/>
      <c r="C974" s="436"/>
      <c r="D974" s="436"/>
      <c r="E974" s="436"/>
      <c r="F974" s="436"/>
      <c r="G974" s="436"/>
      <c r="H974" s="436"/>
      <c r="I974" s="436"/>
      <c r="J974" s="436"/>
      <c r="K974" s="436"/>
      <c r="L974" s="436"/>
      <c r="M974" s="436"/>
      <c r="N974" s="436"/>
      <c r="O974" s="436"/>
      <c r="P974" s="436"/>
      <c r="Q974" s="436"/>
      <c r="R974" s="436"/>
      <c r="S974" s="436"/>
      <c r="T974" s="436"/>
      <c r="U974" s="436"/>
      <c r="V974" s="436"/>
      <c r="W974" s="436"/>
      <c r="X974" s="436"/>
      <c r="Y974" s="436"/>
      <c r="Z974" s="436"/>
    </row>
    <row r="975" ht="15.75" customHeight="1">
      <c r="A975" s="436"/>
      <c r="B975" s="436"/>
      <c r="C975" s="436"/>
      <c r="D975" s="436"/>
      <c r="E975" s="436"/>
      <c r="F975" s="436"/>
      <c r="G975" s="436"/>
      <c r="H975" s="436"/>
      <c r="I975" s="436"/>
      <c r="J975" s="436"/>
      <c r="K975" s="436"/>
      <c r="L975" s="436"/>
      <c r="M975" s="436"/>
      <c r="N975" s="436"/>
      <c r="O975" s="436"/>
      <c r="P975" s="436"/>
      <c r="Q975" s="436"/>
      <c r="R975" s="436"/>
      <c r="S975" s="436"/>
      <c r="T975" s="436"/>
      <c r="U975" s="436"/>
      <c r="V975" s="436"/>
      <c r="W975" s="436"/>
      <c r="X975" s="436"/>
      <c r="Y975" s="436"/>
      <c r="Z975" s="436"/>
    </row>
    <row r="976" ht="15.75" customHeight="1">
      <c r="A976" s="436"/>
      <c r="B976" s="436"/>
      <c r="C976" s="436"/>
      <c r="D976" s="436"/>
      <c r="E976" s="436"/>
      <c r="F976" s="436"/>
      <c r="G976" s="436"/>
      <c r="H976" s="436"/>
      <c r="I976" s="436"/>
      <c r="J976" s="436"/>
      <c r="K976" s="436"/>
      <c r="L976" s="436"/>
      <c r="M976" s="436"/>
      <c r="N976" s="436"/>
      <c r="O976" s="436"/>
      <c r="P976" s="436"/>
      <c r="Q976" s="436"/>
      <c r="R976" s="436"/>
      <c r="S976" s="436"/>
      <c r="T976" s="436"/>
      <c r="U976" s="436"/>
      <c r="V976" s="436"/>
      <c r="W976" s="436"/>
      <c r="X976" s="436"/>
      <c r="Y976" s="436"/>
      <c r="Z976" s="436"/>
    </row>
    <row r="977" ht="15.75" customHeight="1">
      <c r="A977" s="436"/>
      <c r="B977" s="436"/>
      <c r="C977" s="436"/>
      <c r="D977" s="436"/>
      <c r="E977" s="436"/>
      <c r="F977" s="436"/>
      <c r="G977" s="436"/>
      <c r="H977" s="436"/>
      <c r="I977" s="436"/>
      <c r="J977" s="436"/>
      <c r="K977" s="436"/>
      <c r="L977" s="436"/>
      <c r="M977" s="436"/>
      <c r="N977" s="436"/>
      <c r="O977" s="436"/>
      <c r="P977" s="436"/>
      <c r="Q977" s="436"/>
      <c r="R977" s="436"/>
      <c r="S977" s="436"/>
      <c r="T977" s="436"/>
      <c r="U977" s="436"/>
      <c r="V977" s="436"/>
      <c r="W977" s="436"/>
      <c r="X977" s="436"/>
      <c r="Y977" s="436"/>
      <c r="Z977" s="436"/>
    </row>
    <row r="978" ht="15.75" customHeight="1">
      <c r="A978" s="436"/>
      <c r="B978" s="436"/>
      <c r="C978" s="436"/>
      <c r="D978" s="436"/>
      <c r="E978" s="436"/>
      <c r="F978" s="436"/>
      <c r="G978" s="436"/>
      <c r="H978" s="436"/>
      <c r="I978" s="436"/>
      <c r="J978" s="436"/>
      <c r="K978" s="436"/>
      <c r="L978" s="436"/>
      <c r="M978" s="436"/>
      <c r="N978" s="436"/>
      <c r="O978" s="436"/>
      <c r="P978" s="436"/>
      <c r="Q978" s="436"/>
      <c r="R978" s="436"/>
      <c r="S978" s="436"/>
      <c r="T978" s="436"/>
      <c r="U978" s="436"/>
      <c r="V978" s="436"/>
      <c r="W978" s="436"/>
      <c r="X978" s="436"/>
      <c r="Y978" s="436"/>
      <c r="Z978" s="436"/>
    </row>
    <row r="979" ht="15.75" customHeight="1">
      <c r="A979" s="436"/>
      <c r="B979" s="436"/>
      <c r="C979" s="436"/>
      <c r="D979" s="436"/>
      <c r="E979" s="436"/>
      <c r="F979" s="436"/>
      <c r="G979" s="436"/>
      <c r="H979" s="436"/>
      <c r="I979" s="436"/>
      <c r="J979" s="436"/>
      <c r="K979" s="436"/>
      <c r="L979" s="436"/>
      <c r="M979" s="436"/>
      <c r="N979" s="436"/>
      <c r="O979" s="436"/>
      <c r="P979" s="436"/>
      <c r="Q979" s="436"/>
      <c r="R979" s="436"/>
      <c r="S979" s="436"/>
      <c r="T979" s="436"/>
      <c r="U979" s="436"/>
      <c r="V979" s="436"/>
      <c r="W979" s="436"/>
      <c r="X979" s="436"/>
      <c r="Y979" s="436"/>
      <c r="Z979" s="436"/>
    </row>
    <row r="980" ht="15.75" customHeight="1">
      <c r="A980" s="436"/>
      <c r="B980" s="436"/>
      <c r="C980" s="436"/>
      <c r="D980" s="436"/>
      <c r="E980" s="436"/>
      <c r="F980" s="436"/>
      <c r="G980" s="436"/>
      <c r="H980" s="436"/>
      <c r="I980" s="436"/>
      <c r="J980" s="436"/>
      <c r="K980" s="436"/>
      <c r="L980" s="436"/>
      <c r="M980" s="436"/>
      <c r="N980" s="436"/>
      <c r="O980" s="436"/>
      <c r="P980" s="436"/>
      <c r="Q980" s="436"/>
      <c r="R980" s="436"/>
      <c r="S980" s="436"/>
      <c r="T980" s="436"/>
      <c r="U980" s="436"/>
      <c r="V980" s="436"/>
      <c r="W980" s="436"/>
      <c r="X980" s="436"/>
      <c r="Y980" s="436"/>
      <c r="Z980" s="436"/>
    </row>
    <row r="981" ht="15.75" customHeight="1">
      <c r="A981" s="436"/>
      <c r="B981" s="436"/>
      <c r="C981" s="436"/>
      <c r="D981" s="436"/>
      <c r="E981" s="436"/>
      <c r="F981" s="436"/>
      <c r="G981" s="436"/>
      <c r="H981" s="436"/>
      <c r="I981" s="436"/>
      <c r="J981" s="436"/>
      <c r="K981" s="436"/>
      <c r="L981" s="436"/>
      <c r="M981" s="436"/>
      <c r="N981" s="436"/>
      <c r="O981" s="436"/>
      <c r="P981" s="436"/>
      <c r="Q981" s="436"/>
      <c r="R981" s="436"/>
      <c r="S981" s="436"/>
      <c r="T981" s="436"/>
      <c r="U981" s="436"/>
      <c r="V981" s="436"/>
      <c r="W981" s="436"/>
      <c r="X981" s="436"/>
      <c r="Y981" s="436"/>
      <c r="Z981" s="436"/>
    </row>
    <row r="982" ht="15.75" customHeight="1">
      <c r="A982" s="436"/>
      <c r="B982" s="436"/>
      <c r="C982" s="436"/>
      <c r="D982" s="436"/>
      <c r="E982" s="436"/>
      <c r="F982" s="436"/>
      <c r="G982" s="436"/>
      <c r="H982" s="436"/>
      <c r="I982" s="436"/>
      <c r="J982" s="436"/>
      <c r="K982" s="436"/>
      <c r="L982" s="436"/>
      <c r="M982" s="436"/>
      <c r="N982" s="436"/>
      <c r="O982" s="436"/>
      <c r="P982" s="436"/>
      <c r="Q982" s="436"/>
      <c r="R982" s="436"/>
      <c r="S982" s="436"/>
      <c r="T982" s="436"/>
      <c r="U982" s="436"/>
      <c r="V982" s="436"/>
      <c r="W982" s="436"/>
      <c r="X982" s="436"/>
      <c r="Y982" s="436"/>
      <c r="Z982" s="436"/>
    </row>
    <row r="983" ht="15.75" customHeight="1">
      <c r="A983" s="436"/>
      <c r="B983" s="436"/>
      <c r="C983" s="436"/>
      <c r="D983" s="436"/>
      <c r="E983" s="436"/>
      <c r="F983" s="436"/>
      <c r="G983" s="436"/>
      <c r="H983" s="436"/>
      <c r="I983" s="436"/>
      <c r="J983" s="436"/>
      <c r="K983" s="436"/>
      <c r="L983" s="436"/>
      <c r="M983" s="436"/>
      <c r="N983" s="436"/>
      <c r="O983" s="436"/>
      <c r="P983" s="436"/>
      <c r="Q983" s="436"/>
      <c r="R983" s="436"/>
      <c r="S983" s="436"/>
      <c r="T983" s="436"/>
      <c r="U983" s="436"/>
      <c r="V983" s="436"/>
      <c r="W983" s="436"/>
      <c r="X983" s="436"/>
      <c r="Y983" s="436"/>
      <c r="Z983" s="436"/>
    </row>
    <row r="984" ht="15.75" customHeight="1">
      <c r="A984" s="436"/>
      <c r="B984" s="436"/>
      <c r="C984" s="436"/>
      <c r="D984" s="436"/>
      <c r="E984" s="436"/>
      <c r="F984" s="436"/>
      <c r="G984" s="436"/>
      <c r="H984" s="436"/>
      <c r="I984" s="436"/>
      <c r="J984" s="436"/>
      <c r="K984" s="436"/>
      <c r="L984" s="436"/>
      <c r="M984" s="436"/>
      <c r="N984" s="436"/>
      <c r="O984" s="436"/>
      <c r="P984" s="436"/>
      <c r="Q984" s="436"/>
      <c r="R984" s="436"/>
      <c r="S984" s="436"/>
      <c r="T984" s="436"/>
      <c r="U984" s="436"/>
      <c r="V984" s="436"/>
      <c r="W984" s="436"/>
      <c r="X984" s="436"/>
      <c r="Y984" s="436"/>
      <c r="Z984" s="436"/>
    </row>
    <row r="985" ht="15.75" customHeight="1">
      <c r="A985" s="436"/>
      <c r="B985" s="436"/>
      <c r="C985" s="436"/>
      <c r="D985" s="436"/>
      <c r="E985" s="436"/>
      <c r="F985" s="436"/>
      <c r="G985" s="436"/>
      <c r="H985" s="436"/>
      <c r="I985" s="436"/>
      <c r="J985" s="436"/>
      <c r="K985" s="436"/>
      <c r="L985" s="436"/>
      <c r="M985" s="436"/>
      <c r="N985" s="436"/>
      <c r="O985" s="436"/>
      <c r="P985" s="436"/>
      <c r="Q985" s="436"/>
      <c r="R985" s="436"/>
      <c r="S985" s="436"/>
      <c r="T985" s="436"/>
      <c r="U985" s="436"/>
      <c r="V985" s="436"/>
      <c r="W985" s="436"/>
      <c r="X985" s="436"/>
      <c r="Y985" s="436"/>
      <c r="Z985" s="436"/>
    </row>
    <row r="986" ht="15.75" customHeight="1">
      <c r="A986" s="436"/>
      <c r="B986" s="436"/>
      <c r="C986" s="436"/>
      <c r="D986" s="436"/>
      <c r="E986" s="436"/>
      <c r="F986" s="436"/>
      <c r="G986" s="436"/>
      <c r="H986" s="436"/>
      <c r="I986" s="436"/>
      <c r="J986" s="436"/>
      <c r="K986" s="436"/>
      <c r="L986" s="436"/>
      <c r="M986" s="436"/>
      <c r="N986" s="436"/>
      <c r="O986" s="436"/>
      <c r="P986" s="436"/>
      <c r="Q986" s="436"/>
      <c r="R986" s="436"/>
      <c r="S986" s="436"/>
      <c r="T986" s="436"/>
      <c r="U986" s="436"/>
      <c r="V986" s="436"/>
      <c r="W986" s="436"/>
      <c r="X986" s="436"/>
      <c r="Y986" s="436"/>
      <c r="Z986" s="436"/>
    </row>
    <row r="987" ht="15.75" customHeight="1">
      <c r="A987" s="436"/>
      <c r="B987" s="436"/>
      <c r="C987" s="436"/>
      <c r="D987" s="436"/>
      <c r="E987" s="436"/>
      <c r="F987" s="436"/>
      <c r="G987" s="436"/>
      <c r="H987" s="436"/>
      <c r="I987" s="436"/>
      <c r="J987" s="436"/>
      <c r="K987" s="436"/>
      <c r="L987" s="436"/>
      <c r="M987" s="436"/>
      <c r="N987" s="436"/>
      <c r="O987" s="436"/>
      <c r="P987" s="436"/>
      <c r="Q987" s="436"/>
      <c r="R987" s="436"/>
      <c r="S987" s="436"/>
      <c r="T987" s="436"/>
      <c r="U987" s="436"/>
      <c r="V987" s="436"/>
      <c r="W987" s="436"/>
      <c r="X987" s="436"/>
      <c r="Y987" s="436"/>
      <c r="Z987" s="436"/>
    </row>
    <row r="988" ht="15.75" customHeight="1">
      <c r="A988" s="436"/>
      <c r="B988" s="436"/>
      <c r="C988" s="436"/>
      <c r="D988" s="436"/>
      <c r="E988" s="436"/>
      <c r="F988" s="436"/>
      <c r="G988" s="436"/>
      <c r="H988" s="436"/>
      <c r="I988" s="436"/>
      <c r="J988" s="436"/>
      <c r="K988" s="436"/>
      <c r="L988" s="436"/>
      <c r="M988" s="436"/>
      <c r="N988" s="436"/>
      <c r="O988" s="436"/>
      <c r="P988" s="436"/>
      <c r="Q988" s="436"/>
      <c r="R988" s="436"/>
      <c r="S988" s="436"/>
      <c r="T988" s="436"/>
      <c r="U988" s="436"/>
      <c r="V988" s="436"/>
      <c r="W988" s="436"/>
      <c r="X988" s="436"/>
      <c r="Y988" s="436"/>
      <c r="Z988" s="436"/>
    </row>
    <row r="989" ht="15.75" customHeight="1">
      <c r="A989" s="436"/>
      <c r="B989" s="436"/>
      <c r="C989" s="436"/>
      <c r="D989" s="436"/>
      <c r="E989" s="436"/>
      <c r="F989" s="436"/>
      <c r="G989" s="436"/>
      <c r="H989" s="436"/>
      <c r="I989" s="436"/>
      <c r="J989" s="436"/>
      <c r="K989" s="436"/>
      <c r="L989" s="436"/>
      <c r="M989" s="436"/>
      <c r="N989" s="436"/>
      <c r="O989" s="436"/>
      <c r="P989" s="436"/>
      <c r="Q989" s="436"/>
      <c r="R989" s="436"/>
      <c r="S989" s="436"/>
      <c r="T989" s="436"/>
      <c r="U989" s="436"/>
      <c r="V989" s="436"/>
      <c r="W989" s="436"/>
      <c r="X989" s="436"/>
      <c r="Y989" s="436"/>
      <c r="Z989" s="436"/>
    </row>
    <row r="990" ht="15.75" customHeight="1">
      <c r="A990" s="436"/>
      <c r="B990" s="436"/>
      <c r="C990" s="436"/>
      <c r="D990" s="436"/>
      <c r="E990" s="436"/>
      <c r="F990" s="436"/>
      <c r="G990" s="436"/>
      <c r="H990" s="436"/>
      <c r="I990" s="436"/>
      <c r="J990" s="436"/>
      <c r="K990" s="436"/>
      <c r="L990" s="436"/>
      <c r="M990" s="436"/>
      <c r="N990" s="436"/>
      <c r="O990" s="436"/>
      <c r="P990" s="436"/>
      <c r="Q990" s="436"/>
      <c r="R990" s="436"/>
      <c r="S990" s="436"/>
      <c r="T990" s="436"/>
      <c r="U990" s="436"/>
      <c r="V990" s="436"/>
      <c r="W990" s="436"/>
      <c r="X990" s="436"/>
      <c r="Y990" s="436"/>
      <c r="Z990" s="436"/>
    </row>
    <row r="991" ht="15.75" customHeight="1">
      <c r="A991" s="436"/>
      <c r="B991" s="436"/>
      <c r="C991" s="436"/>
      <c r="D991" s="436"/>
      <c r="E991" s="436"/>
      <c r="F991" s="436"/>
      <c r="G991" s="436"/>
      <c r="H991" s="436"/>
      <c r="I991" s="436"/>
      <c r="J991" s="436"/>
      <c r="K991" s="436"/>
      <c r="L991" s="436"/>
      <c r="M991" s="436"/>
      <c r="N991" s="436"/>
      <c r="O991" s="436"/>
      <c r="P991" s="436"/>
      <c r="Q991" s="436"/>
      <c r="R991" s="436"/>
      <c r="S991" s="436"/>
      <c r="T991" s="436"/>
      <c r="U991" s="436"/>
      <c r="V991" s="436"/>
      <c r="W991" s="436"/>
      <c r="X991" s="436"/>
      <c r="Y991" s="436"/>
      <c r="Z991" s="436"/>
    </row>
    <row r="992" ht="15.75" customHeight="1">
      <c r="A992" s="436"/>
      <c r="B992" s="436"/>
      <c r="C992" s="436"/>
      <c r="D992" s="436"/>
      <c r="E992" s="436"/>
      <c r="F992" s="436"/>
      <c r="G992" s="436"/>
      <c r="H992" s="436"/>
      <c r="I992" s="436"/>
      <c r="J992" s="436"/>
      <c r="K992" s="436"/>
      <c r="L992" s="436"/>
      <c r="M992" s="436"/>
      <c r="N992" s="436"/>
      <c r="O992" s="436"/>
      <c r="P992" s="436"/>
      <c r="Q992" s="436"/>
      <c r="R992" s="436"/>
      <c r="S992" s="436"/>
      <c r="T992" s="436"/>
      <c r="U992" s="436"/>
      <c r="V992" s="436"/>
      <c r="W992" s="436"/>
      <c r="X992" s="436"/>
      <c r="Y992" s="436"/>
      <c r="Z992" s="436"/>
    </row>
    <row r="993" ht="15.75" customHeight="1">
      <c r="A993" s="436"/>
      <c r="B993" s="436"/>
      <c r="C993" s="436"/>
      <c r="D993" s="436"/>
      <c r="E993" s="436"/>
      <c r="F993" s="436"/>
      <c r="G993" s="436"/>
      <c r="H993" s="436"/>
      <c r="I993" s="436"/>
      <c r="J993" s="436"/>
      <c r="K993" s="436"/>
      <c r="L993" s="436"/>
      <c r="M993" s="436"/>
      <c r="N993" s="436"/>
      <c r="O993" s="436"/>
      <c r="P993" s="436"/>
      <c r="Q993" s="436"/>
      <c r="R993" s="436"/>
      <c r="S993" s="436"/>
      <c r="T993" s="436"/>
      <c r="U993" s="436"/>
      <c r="V993" s="436"/>
      <c r="W993" s="436"/>
      <c r="X993" s="436"/>
      <c r="Y993" s="436"/>
      <c r="Z993" s="436"/>
    </row>
    <row r="994" ht="15.75" customHeight="1">
      <c r="A994" s="436"/>
      <c r="B994" s="436"/>
      <c r="C994" s="436"/>
      <c r="D994" s="436"/>
      <c r="E994" s="436"/>
      <c r="F994" s="436"/>
      <c r="G994" s="436"/>
      <c r="H994" s="436"/>
      <c r="I994" s="436"/>
      <c r="J994" s="436"/>
      <c r="K994" s="436"/>
      <c r="L994" s="436"/>
      <c r="M994" s="436"/>
      <c r="N994" s="436"/>
      <c r="O994" s="436"/>
      <c r="P994" s="436"/>
      <c r="Q994" s="436"/>
      <c r="R994" s="436"/>
      <c r="S994" s="436"/>
      <c r="T994" s="436"/>
      <c r="U994" s="436"/>
      <c r="V994" s="436"/>
      <c r="W994" s="436"/>
      <c r="X994" s="436"/>
      <c r="Y994" s="436"/>
      <c r="Z994" s="436"/>
    </row>
    <row r="995" ht="15.75" customHeight="1">
      <c r="A995" s="436"/>
      <c r="B995" s="436"/>
      <c r="C995" s="436"/>
      <c r="D995" s="436"/>
      <c r="E995" s="436"/>
      <c r="F995" s="436"/>
      <c r="G995" s="436"/>
      <c r="H995" s="436"/>
      <c r="I995" s="436"/>
      <c r="J995" s="436"/>
      <c r="K995" s="436"/>
      <c r="L995" s="436"/>
      <c r="M995" s="436"/>
      <c r="N995" s="436"/>
      <c r="O995" s="436"/>
      <c r="P995" s="436"/>
      <c r="Q995" s="436"/>
      <c r="R995" s="436"/>
      <c r="S995" s="436"/>
      <c r="T995" s="436"/>
      <c r="U995" s="436"/>
      <c r="V995" s="436"/>
      <c r="W995" s="436"/>
      <c r="X995" s="436"/>
      <c r="Y995" s="436"/>
      <c r="Z995" s="436"/>
    </row>
    <row r="996" ht="15.75" customHeight="1">
      <c r="A996" s="436"/>
      <c r="B996" s="436"/>
      <c r="C996" s="436"/>
      <c r="D996" s="436"/>
      <c r="E996" s="436"/>
      <c r="F996" s="436"/>
      <c r="G996" s="436"/>
      <c r="H996" s="436"/>
      <c r="I996" s="436"/>
      <c r="J996" s="436"/>
      <c r="K996" s="436"/>
      <c r="L996" s="436"/>
      <c r="M996" s="436"/>
      <c r="N996" s="436"/>
      <c r="O996" s="436"/>
      <c r="P996" s="436"/>
      <c r="Q996" s="436"/>
      <c r="R996" s="436"/>
      <c r="S996" s="436"/>
      <c r="T996" s="436"/>
      <c r="U996" s="436"/>
      <c r="V996" s="436"/>
      <c r="W996" s="436"/>
      <c r="X996" s="436"/>
      <c r="Y996" s="436"/>
      <c r="Z996" s="436"/>
    </row>
    <row r="997" ht="15.75" customHeight="1">
      <c r="A997" s="436"/>
      <c r="B997" s="436"/>
      <c r="C997" s="436"/>
      <c r="D997" s="436"/>
      <c r="E997" s="436"/>
      <c r="F997" s="436"/>
      <c r="G997" s="436"/>
      <c r="H997" s="436"/>
      <c r="I997" s="436"/>
      <c r="J997" s="436"/>
      <c r="K997" s="436"/>
      <c r="L997" s="436"/>
      <c r="M997" s="436"/>
      <c r="N997" s="436"/>
      <c r="O997" s="436"/>
      <c r="P997" s="436"/>
      <c r="Q997" s="436"/>
      <c r="R997" s="436"/>
      <c r="S997" s="436"/>
      <c r="T997" s="436"/>
      <c r="U997" s="436"/>
      <c r="V997" s="436"/>
      <c r="W997" s="436"/>
      <c r="X997" s="436"/>
      <c r="Y997" s="436"/>
      <c r="Z997" s="436"/>
    </row>
    <row r="998" ht="15.75" customHeight="1">
      <c r="A998" s="436"/>
      <c r="B998" s="436"/>
      <c r="C998" s="436"/>
      <c r="D998" s="436"/>
      <c r="E998" s="436"/>
      <c r="F998" s="436"/>
      <c r="G998" s="436"/>
      <c r="H998" s="436"/>
      <c r="I998" s="436"/>
      <c r="J998" s="436"/>
      <c r="K998" s="436"/>
      <c r="L998" s="436"/>
      <c r="M998" s="436"/>
      <c r="N998" s="436"/>
      <c r="O998" s="436"/>
      <c r="P998" s="436"/>
      <c r="Q998" s="436"/>
      <c r="R998" s="436"/>
      <c r="S998" s="436"/>
      <c r="T998" s="436"/>
      <c r="U998" s="436"/>
      <c r="V998" s="436"/>
      <c r="W998" s="436"/>
      <c r="X998" s="436"/>
      <c r="Y998" s="436"/>
      <c r="Z998" s="436"/>
    </row>
    <row r="999" ht="15.75" customHeight="1">
      <c r="A999" s="436"/>
      <c r="B999" s="436"/>
      <c r="C999" s="436"/>
      <c r="D999" s="436"/>
      <c r="E999" s="436"/>
      <c r="F999" s="436"/>
      <c r="G999" s="436"/>
      <c r="H999" s="436"/>
      <c r="I999" s="436"/>
      <c r="J999" s="436"/>
      <c r="K999" s="436"/>
      <c r="L999" s="436"/>
      <c r="M999" s="436"/>
      <c r="N999" s="436"/>
      <c r="O999" s="436"/>
      <c r="P999" s="436"/>
      <c r="Q999" s="436"/>
      <c r="R999" s="436"/>
      <c r="S999" s="436"/>
      <c r="T999" s="436"/>
      <c r="U999" s="436"/>
      <c r="V999" s="436"/>
      <c r="W999" s="436"/>
      <c r="X999" s="436"/>
      <c r="Y999" s="436"/>
      <c r="Z999" s="436"/>
    </row>
    <row r="1000" ht="15.75" customHeight="1">
      <c r="A1000" s="436"/>
      <c r="B1000" s="436"/>
      <c r="C1000" s="436"/>
      <c r="D1000" s="436"/>
      <c r="E1000" s="436"/>
      <c r="F1000" s="436"/>
      <c r="G1000" s="436"/>
      <c r="H1000" s="436"/>
      <c r="I1000" s="436"/>
      <c r="J1000" s="436"/>
      <c r="K1000" s="436"/>
      <c r="L1000" s="436"/>
      <c r="M1000" s="436"/>
      <c r="N1000" s="436"/>
      <c r="O1000" s="436"/>
      <c r="P1000" s="436"/>
      <c r="Q1000" s="436"/>
      <c r="R1000" s="436"/>
      <c r="S1000" s="436"/>
      <c r="T1000" s="436"/>
      <c r="U1000" s="436"/>
      <c r="V1000" s="436"/>
      <c r="W1000" s="436"/>
      <c r="X1000" s="436"/>
      <c r="Y1000" s="436"/>
      <c r="Z1000" s="436"/>
    </row>
  </sheetData>
  <dataValidations>
    <dataValidation type="custom" allowBlank="1" showInputMessage="1" showErrorMessage="1" prompt="Max 30 Characters - Maximum character limit of 30 has been exceeded." sqref="D247 H578 A583">
      <formula1>LT(LEN(A247),(31))</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EC492"/>
    <pageSetUpPr/>
  </sheetPr>
  <sheetViews>
    <sheetView workbookViewId="0"/>
  </sheetViews>
  <sheetFormatPr customHeight="1" defaultColWidth="14.43" defaultRowHeight="15.0"/>
  <cols>
    <col customWidth="1" min="1" max="1" width="25.71"/>
    <col customWidth="1" min="2" max="4" width="17.14"/>
    <col customWidth="1" min="5" max="26" width="8.71"/>
  </cols>
  <sheetData>
    <row r="1">
      <c r="A1" s="570" t="s">
        <v>1807</v>
      </c>
      <c r="B1" s="571" t="s">
        <v>4466</v>
      </c>
      <c r="C1" s="572" t="s">
        <v>4467</v>
      </c>
      <c r="D1" s="572" t="s">
        <v>4468</v>
      </c>
    </row>
    <row r="2">
      <c r="A2" s="573" t="s">
        <v>7</v>
      </c>
      <c r="B2" s="574" t="s">
        <v>4469</v>
      </c>
      <c r="C2" s="574" t="s">
        <v>4470</v>
      </c>
      <c r="D2" s="574" t="s">
        <v>4471</v>
      </c>
    </row>
    <row r="3">
      <c r="A3" s="573" t="s">
        <v>20</v>
      </c>
      <c r="B3" s="574" t="s">
        <v>4472</v>
      </c>
      <c r="C3" s="574" t="s">
        <v>4473</v>
      </c>
      <c r="D3" s="574" t="s">
        <v>4474</v>
      </c>
    </row>
    <row r="4">
      <c r="A4" s="573" t="s">
        <v>27</v>
      </c>
      <c r="B4" s="574" t="s">
        <v>4475</v>
      </c>
      <c r="C4" s="574" t="s">
        <v>4476</v>
      </c>
      <c r="D4" s="574" t="s">
        <v>4477</v>
      </c>
    </row>
    <row r="5">
      <c r="A5" s="573" t="s">
        <v>34</v>
      </c>
      <c r="B5" s="574" t="s">
        <v>4478</v>
      </c>
      <c r="C5" s="574" t="s">
        <v>4479</v>
      </c>
      <c r="D5" s="574" t="s">
        <v>4480</v>
      </c>
    </row>
    <row r="6">
      <c r="A6" s="573" t="s">
        <v>4481</v>
      </c>
      <c r="B6" s="574" t="s">
        <v>4482</v>
      </c>
      <c r="C6" s="574" t="s">
        <v>4483</v>
      </c>
      <c r="D6" s="574" t="s">
        <v>4484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CDEE"/>
    <pageSetUpPr/>
  </sheetPr>
  <sheetViews>
    <sheetView workbookViewId="0"/>
  </sheetViews>
  <sheetFormatPr customHeight="1" defaultColWidth="14.43" defaultRowHeight="15.0"/>
  <cols>
    <col customWidth="1" min="1" max="1" width="20.43"/>
    <col customWidth="1" min="2" max="2" width="18.57"/>
    <col customWidth="1" min="3" max="3" width="15.57"/>
    <col customWidth="1" min="4" max="4" width="17.43"/>
    <col customWidth="1" min="5" max="7" width="17.14"/>
    <col customWidth="1" min="8" max="8" width="18.57"/>
    <col customWidth="1" min="9" max="13" width="15.57"/>
    <col customWidth="1" min="14" max="14" width="14.43"/>
    <col customWidth="1" min="15" max="28" width="15.57"/>
    <col customWidth="1" min="29" max="29" width="16.57"/>
    <col customWidth="1" min="30" max="30" width="22.43"/>
    <col customWidth="1" min="31" max="32" width="37.43"/>
  </cols>
  <sheetData>
    <row r="1" ht="12.75" customHeight="1">
      <c r="A1" s="575" t="s">
        <v>4485</v>
      </c>
      <c r="B1" s="576"/>
      <c r="C1" s="576"/>
      <c r="D1" s="576"/>
      <c r="E1" s="576"/>
      <c r="F1" s="576"/>
      <c r="G1" s="576"/>
      <c r="H1" s="576"/>
      <c r="I1" s="576"/>
      <c r="J1" s="577"/>
      <c r="K1" s="577"/>
      <c r="L1" s="577"/>
      <c r="M1" s="577"/>
      <c r="N1" s="577"/>
      <c r="O1" s="577"/>
      <c r="P1" s="577"/>
      <c r="Q1" s="577"/>
      <c r="R1" s="577"/>
      <c r="S1" s="577"/>
      <c r="T1" s="577"/>
      <c r="U1" s="577"/>
      <c r="V1" s="577"/>
      <c r="W1" s="577"/>
      <c r="X1" s="577"/>
      <c r="Y1" s="577"/>
      <c r="Z1" s="577"/>
      <c r="AA1" s="577"/>
      <c r="AB1" s="577"/>
      <c r="AC1" s="577"/>
      <c r="AD1" s="577"/>
      <c r="AE1" s="577"/>
      <c r="AF1" s="6"/>
    </row>
    <row r="2" ht="12.75" customHeight="1">
      <c r="A2" s="578" t="s">
        <v>1807</v>
      </c>
      <c r="B2" s="579" t="s">
        <v>4486</v>
      </c>
      <c r="C2" s="579" t="s">
        <v>4487</v>
      </c>
      <c r="D2" s="579" t="s">
        <v>4488</v>
      </c>
      <c r="E2" s="580" t="s">
        <v>4489</v>
      </c>
      <c r="F2" s="581" t="s">
        <v>4436</v>
      </c>
      <c r="G2" s="582" t="s">
        <v>3241</v>
      </c>
      <c r="H2" s="579" t="s">
        <v>4490</v>
      </c>
      <c r="I2" s="579" t="s">
        <v>4491</v>
      </c>
      <c r="J2" s="579" t="s">
        <v>4492</v>
      </c>
      <c r="K2" s="579" t="s">
        <v>4493</v>
      </c>
      <c r="L2" s="579" t="s">
        <v>4494</v>
      </c>
      <c r="M2" s="579" t="s">
        <v>4495</v>
      </c>
      <c r="N2" s="579" t="s">
        <v>4496</v>
      </c>
      <c r="O2" s="579" t="s">
        <v>4497</v>
      </c>
      <c r="P2" s="579" t="s">
        <v>4498</v>
      </c>
      <c r="Q2" s="579" t="s">
        <v>4499</v>
      </c>
      <c r="R2" s="579" t="s">
        <v>4500</v>
      </c>
      <c r="S2" s="579" t="s">
        <v>4501</v>
      </c>
      <c r="T2" s="579" t="s">
        <v>4502</v>
      </c>
      <c r="U2" s="583" t="s">
        <v>4503</v>
      </c>
      <c r="V2" s="579" t="s">
        <v>4504</v>
      </c>
      <c r="W2" s="579" t="s">
        <v>4505</v>
      </c>
      <c r="X2" s="579" t="s">
        <v>4506</v>
      </c>
      <c r="Y2" s="579" t="s">
        <v>4507</v>
      </c>
      <c r="Z2" s="583" t="s">
        <v>4508</v>
      </c>
      <c r="AA2" s="579" t="s">
        <v>4509</v>
      </c>
      <c r="AB2" s="579" t="s">
        <v>4510</v>
      </c>
      <c r="AC2" s="583" t="s">
        <v>4511</v>
      </c>
      <c r="AD2" s="579" t="s">
        <v>4512</v>
      </c>
      <c r="AE2" s="583" t="s">
        <v>4513</v>
      </c>
      <c r="AF2" s="583" t="s">
        <v>4514</v>
      </c>
    </row>
    <row r="3" ht="12.75" customHeight="1">
      <c r="A3" s="584" t="s">
        <v>7</v>
      </c>
      <c r="B3" s="585" t="s">
        <v>4515</v>
      </c>
      <c r="C3" s="585" t="s">
        <v>4516</v>
      </c>
      <c r="D3" s="585" t="s">
        <v>4517</v>
      </c>
      <c r="E3" s="586" t="s">
        <v>4518</v>
      </c>
      <c r="F3" s="587" t="s">
        <v>4519</v>
      </c>
      <c r="G3" s="588" t="s">
        <v>4520</v>
      </c>
      <c r="H3" s="585" t="s">
        <v>4521</v>
      </c>
      <c r="I3" s="585" t="s">
        <v>4522</v>
      </c>
      <c r="J3" s="585" t="s">
        <v>4523</v>
      </c>
      <c r="K3" s="585" t="s">
        <v>4524</v>
      </c>
      <c r="L3" s="585" t="s">
        <v>4525</v>
      </c>
      <c r="M3" s="585" t="s">
        <v>4526</v>
      </c>
      <c r="N3" s="585" t="s">
        <v>4527</v>
      </c>
      <c r="O3" s="585" t="s">
        <v>4528</v>
      </c>
      <c r="P3" s="585" t="s">
        <v>4529</v>
      </c>
      <c r="Q3" s="585" t="s">
        <v>4530</v>
      </c>
      <c r="R3" s="585" t="s">
        <v>4531</v>
      </c>
      <c r="S3" s="585" t="s">
        <v>4532</v>
      </c>
      <c r="T3" s="585" t="s">
        <v>4533</v>
      </c>
      <c r="U3" s="585" t="s">
        <v>4534</v>
      </c>
      <c r="V3" s="585" t="s">
        <v>4535</v>
      </c>
      <c r="W3" s="585" t="s">
        <v>4536</v>
      </c>
      <c r="X3" s="585" t="s">
        <v>4537</v>
      </c>
      <c r="Y3" s="589" t="s">
        <v>4538</v>
      </c>
      <c r="Z3" s="585" t="s">
        <v>4539</v>
      </c>
      <c r="AA3" s="585" t="s">
        <v>4540</v>
      </c>
      <c r="AB3" s="585" t="s">
        <v>4541</v>
      </c>
      <c r="AC3" s="585" t="s">
        <v>4542</v>
      </c>
      <c r="AD3" s="585" t="s">
        <v>7</v>
      </c>
      <c r="AE3" s="590">
        <v>1.0</v>
      </c>
      <c r="AF3" s="591" t="s">
        <v>2036</v>
      </c>
    </row>
    <row r="4" ht="12.75" customHeight="1">
      <c r="A4" s="584" t="s">
        <v>20</v>
      </c>
      <c r="B4" s="585" t="s">
        <v>4543</v>
      </c>
      <c r="C4" s="585" t="s">
        <v>4544</v>
      </c>
      <c r="D4" s="585" t="s">
        <v>4545</v>
      </c>
      <c r="E4" s="586" t="s">
        <v>4546</v>
      </c>
      <c r="F4" s="587" t="s">
        <v>4547</v>
      </c>
      <c r="G4" s="588" t="s">
        <v>4548</v>
      </c>
      <c r="H4" s="585" t="s">
        <v>4549</v>
      </c>
      <c r="I4" s="585" t="s">
        <v>4550</v>
      </c>
      <c r="J4" s="585" t="s">
        <v>4551</v>
      </c>
      <c r="K4" s="585" t="s">
        <v>4552</v>
      </c>
      <c r="L4" s="585" t="s">
        <v>4553</v>
      </c>
      <c r="M4" s="585" t="s">
        <v>4554</v>
      </c>
      <c r="N4" s="585" t="s">
        <v>4555</v>
      </c>
      <c r="O4" s="585" t="s">
        <v>4556</v>
      </c>
      <c r="P4" s="585" t="s">
        <v>4557</v>
      </c>
      <c r="Q4" s="585" t="s">
        <v>4558</v>
      </c>
      <c r="R4" s="585" t="s">
        <v>4559</v>
      </c>
      <c r="S4" s="585" t="s">
        <v>4560</v>
      </c>
      <c r="T4" s="585" t="s">
        <v>4561</v>
      </c>
      <c r="U4" s="585" t="s">
        <v>4562</v>
      </c>
      <c r="V4" s="585" t="s">
        <v>4563</v>
      </c>
      <c r="W4" s="585" t="s">
        <v>4564</v>
      </c>
      <c r="X4" s="585" t="s">
        <v>4565</v>
      </c>
      <c r="Y4" s="589" t="s">
        <v>4566</v>
      </c>
      <c r="Z4" s="585" t="s">
        <v>4567</v>
      </c>
      <c r="AA4" s="585" t="s">
        <v>4568</v>
      </c>
      <c r="AB4" s="585" t="s">
        <v>4569</v>
      </c>
      <c r="AC4" s="585" t="s">
        <v>4570</v>
      </c>
      <c r="AD4" s="585" t="s">
        <v>4571</v>
      </c>
      <c r="AE4" s="592">
        <v>2.0</v>
      </c>
      <c r="AF4" s="593" t="s">
        <v>4572</v>
      </c>
    </row>
    <row r="5" ht="12.75" customHeight="1">
      <c r="A5" s="584" t="s">
        <v>27</v>
      </c>
      <c r="B5" s="585" t="s">
        <v>4573</v>
      </c>
      <c r="C5" s="585" t="s">
        <v>4574</v>
      </c>
      <c r="D5" s="585" t="s">
        <v>4575</v>
      </c>
      <c r="E5" s="586" t="s">
        <v>4576</v>
      </c>
      <c r="F5" s="587" t="s">
        <v>4577</v>
      </c>
      <c r="G5" s="588" t="s">
        <v>4578</v>
      </c>
      <c r="H5" s="585" t="s">
        <v>4579</v>
      </c>
      <c r="I5" s="585" t="s">
        <v>4580</v>
      </c>
      <c r="J5" s="585" t="s">
        <v>4581</v>
      </c>
      <c r="K5" s="585" t="s">
        <v>4582</v>
      </c>
      <c r="L5" s="585" t="s">
        <v>4583</v>
      </c>
      <c r="M5" s="585" t="s">
        <v>4584</v>
      </c>
      <c r="N5" s="585" t="s">
        <v>4585</v>
      </c>
      <c r="O5" s="585" t="s">
        <v>4586</v>
      </c>
      <c r="P5" s="585" t="s">
        <v>4587</v>
      </c>
      <c r="Q5" s="585" t="s">
        <v>4588</v>
      </c>
      <c r="R5" s="585" t="s">
        <v>4589</v>
      </c>
      <c r="S5" s="585" t="s">
        <v>4590</v>
      </c>
      <c r="T5" s="585" t="s">
        <v>4591</v>
      </c>
      <c r="U5" s="585" t="s">
        <v>4592</v>
      </c>
      <c r="V5" s="585" t="s">
        <v>4593</v>
      </c>
      <c r="W5" s="585" t="s">
        <v>4594</v>
      </c>
      <c r="X5" s="585" t="s">
        <v>4595</v>
      </c>
      <c r="Y5" s="589" t="s">
        <v>4596</v>
      </c>
      <c r="Z5" s="585" t="s">
        <v>4597</v>
      </c>
      <c r="AA5" s="585" t="s">
        <v>4598</v>
      </c>
      <c r="AB5" s="585" t="s">
        <v>4599</v>
      </c>
      <c r="AC5" s="585" t="s">
        <v>4600</v>
      </c>
      <c r="AD5" s="585" t="s">
        <v>4571</v>
      </c>
      <c r="AE5" s="592">
        <v>3.0</v>
      </c>
      <c r="AF5" s="594" t="s">
        <v>4572</v>
      </c>
    </row>
    <row r="6" ht="12.75" customHeight="1">
      <c r="A6" s="584" t="s">
        <v>34</v>
      </c>
      <c r="B6" s="585" t="s">
        <v>4601</v>
      </c>
      <c r="C6" s="585" t="s">
        <v>4602</v>
      </c>
      <c r="D6" s="585" t="s">
        <v>4603</v>
      </c>
      <c r="E6" s="586" t="s">
        <v>4604</v>
      </c>
      <c r="F6" s="587" t="s">
        <v>4605</v>
      </c>
      <c r="G6" s="588" t="s">
        <v>4606</v>
      </c>
      <c r="H6" s="585" t="s">
        <v>4607</v>
      </c>
      <c r="I6" s="585" t="s">
        <v>4608</v>
      </c>
      <c r="J6" s="585" t="s">
        <v>4609</v>
      </c>
      <c r="K6" s="585" t="s">
        <v>4610</v>
      </c>
      <c r="L6" s="585" t="s">
        <v>4611</v>
      </c>
      <c r="M6" s="585" t="s">
        <v>4612</v>
      </c>
      <c r="N6" s="585" t="s">
        <v>4613</v>
      </c>
      <c r="O6" s="585" t="s">
        <v>4614</v>
      </c>
      <c r="P6" s="585" t="s">
        <v>4615</v>
      </c>
      <c r="Q6" s="585" t="s">
        <v>4616</v>
      </c>
      <c r="R6" s="585" t="s">
        <v>4617</v>
      </c>
      <c r="S6" s="585" t="s">
        <v>4618</v>
      </c>
      <c r="T6" s="585" t="s">
        <v>4619</v>
      </c>
      <c r="U6" s="585" t="s">
        <v>4620</v>
      </c>
      <c r="V6" s="585" t="s">
        <v>4621</v>
      </c>
      <c r="W6" s="585" t="s">
        <v>4622</v>
      </c>
      <c r="X6" s="585" t="s">
        <v>4623</v>
      </c>
      <c r="Y6" s="589" t="s">
        <v>4624</v>
      </c>
      <c r="Z6" s="585" t="s">
        <v>4625</v>
      </c>
      <c r="AA6" s="585" t="s">
        <v>4626</v>
      </c>
      <c r="AB6" s="585" t="s">
        <v>4627</v>
      </c>
      <c r="AC6" s="585" t="s">
        <v>4628</v>
      </c>
      <c r="AD6" s="585" t="s">
        <v>4571</v>
      </c>
      <c r="AE6" s="592">
        <v>4.0</v>
      </c>
      <c r="AF6" s="594" t="s">
        <v>4572</v>
      </c>
    </row>
    <row r="7" ht="12.75" customHeight="1">
      <c r="A7" s="584" t="s">
        <v>4481</v>
      </c>
      <c r="B7" s="585" t="s">
        <v>4629</v>
      </c>
      <c r="C7" s="585" t="s">
        <v>4630</v>
      </c>
      <c r="D7" s="585" t="s">
        <v>4631</v>
      </c>
      <c r="E7" s="586" t="s">
        <v>4632</v>
      </c>
      <c r="F7" s="587" t="s">
        <v>4633</v>
      </c>
      <c r="G7" s="588" t="s">
        <v>4634</v>
      </c>
      <c r="H7" s="585" t="s">
        <v>4635</v>
      </c>
      <c r="I7" s="585" t="s">
        <v>4636</v>
      </c>
      <c r="J7" s="585" t="s">
        <v>4637</v>
      </c>
      <c r="K7" s="585" t="s">
        <v>4638</v>
      </c>
      <c r="L7" s="585" t="s">
        <v>4639</v>
      </c>
      <c r="M7" s="585" t="s">
        <v>4640</v>
      </c>
      <c r="N7" s="585" t="s">
        <v>4641</v>
      </c>
      <c r="O7" s="585" t="s">
        <v>4642</v>
      </c>
      <c r="P7" s="585" t="s">
        <v>4643</v>
      </c>
      <c r="Q7" s="585" t="s">
        <v>4644</v>
      </c>
      <c r="R7" s="585" t="s">
        <v>4645</v>
      </c>
      <c r="S7" s="585" t="s">
        <v>4646</v>
      </c>
      <c r="T7" s="585" t="s">
        <v>4647</v>
      </c>
      <c r="U7" s="585" t="s">
        <v>4648</v>
      </c>
      <c r="V7" s="585" t="s">
        <v>4649</v>
      </c>
      <c r="W7" s="585" t="s">
        <v>4650</v>
      </c>
      <c r="X7" s="585" t="s">
        <v>4651</v>
      </c>
      <c r="Y7" s="589" t="s">
        <v>4652</v>
      </c>
      <c r="Z7" s="585" t="s">
        <v>4653</v>
      </c>
      <c r="AA7" s="585" t="s">
        <v>4654</v>
      </c>
      <c r="AB7" s="585" t="s">
        <v>4655</v>
      </c>
      <c r="AC7" s="585" t="s">
        <v>4656</v>
      </c>
      <c r="AD7" s="585" t="s">
        <v>4571</v>
      </c>
      <c r="AE7" s="592">
        <v>5.0</v>
      </c>
      <c r="AF7" s="594" t="s">
        <v>4657</v>
      </c>
    </row>
    <row r="8" ht="12.75" customHeight="1">
      <c r="A8" s="595"/>
      <c r="B8" s="596"/>
      <c r="C8" s="596"/>
      <c r="D8" s="596"/>
      <c r="E8" s="596"/>
      <c r="F8" s="596"/>
      <c r="G8" s="596"/>
      <c r="H8" s="596"/>
      <c r="I8" s="596"/>
      <c r="J8" s="577"/>
      <c r="K8" s="577"/>
      <c r="L8" s="577"/>
      <c r="M8" s="577"/>
      <c r="N8" s="577"/>
      <c r="O8" s="577"/>
      <c r="P8" s="577"/>
      <c r="Q8" s="577"/>
      <c r="R8" s="577"/>
      <c r="S8" s="577"/>
      <c r="T8" s="577"/>
      <c r="U8" s="577"/>
      <c r="V8" s="577"/>
      <c r="W8" s="577"/>
      <c r="X8" s="577"/>
      <c r="Y8" s="577"/>
      <c r="Z8" s="577"/>
      <c r="AA8" s="577"/>
      <c r="AB8" s="577"/>
      <c r="AC8" s="577"/>
      <c r="AD8" s="577"/>
      <c r="AE8" s="577"/>
      <c r="AF8" s="6"/>
    </row>
    <row r="9" ht="12.75" customHeight="1">
      <c r="A9" s="575" t="s">
        <v>4658</v>
      </c>
      <c r="B9" s="576"/>
      <c r="C9" s="576"/>
      <c r="D9" s="576"/>
      <c r="E9" s="576"/>
      <c r="F9" s="576"/>
      <c r="G9" s="576"/>
      <c r="H9" s="576"/>
      <c r="I9" s="576"/>
      <c r="J9" s="577"/>
      <c r="K9" s="577"/>
      <c r="L9" s="577"/>
      <c r="M9" s="577"/>
      <c r="N9" s="577"/>
      <c r="O9" s="577"/>
      <c r="P9" s="577"/>
      <c r="Q9" s="577"/>
      <c r="R9" s="577"/>
      <c r="S9" s="577"/>
      <c r="T9" s="577"/>
      <c r="U9" s="577"/>
      <c r="V9" s="577"/>
      <c r="W9" s="577"/>
      <c r="X9" s="577"/>
      <c r="Y9" s="577"/>
      <c r="Z9" s="577"/>
      <c r="AA9" s="577"/>
      <c r="AB9" s="577"/>
      <c r="AC9" s="577"/>
      <c r="AD9" s="577"/>
      <c r="AE9" s="577"/>
      <c r="AF9" s="6"/>
    </row>
    <row r="10" ht="12.75" customHeight="1">
      <c r="A10" s="597" t="s">
        <v>3853</v>
      </c>
      <c r="B10" s="598" t="s">
        <v>7</v>
      </c>
      <c r="C10" s="598" t="s">
        <v>20</v>
      </c>
      <c r="D10" s="599" t="s">
        <v>27</v>
      </c>
      <c r="E10" s="598" t="s">
        <v>34</v>
      </c>
      <c r="F10" s="598" t="s">
        <v>4481</v>
      </c>
      <c r="G10" s="596"/>
      <c r="H10" s="596"/>
      <c r="I10" s="596"/>
      <c r="J10" s="577"/>
      <c r="K10" s="577"/>
      <c r="L10" s="577"/>
      <c r="M10" s="577"/>
      <c r="N10" s="577"/>
      <c r="O10" s="577"/>
      <c r="P10" s="577"/>
      <c r="Q10" s="577"/>
      <c r="R10" s="577"/>
      <c r="S10" s="577"/>
      <c r="T10" s="577"/>
      <c r="U10" s="577"/>
      <c r="V10" s="577"/>
      <c r="W10" s="577"/>
      <c r="X10" s="577"/>
      <c r="Y10" s="577"/>
      <c r="Z10" s="577"/>
      <c r="AA10" s="577"/>
      <c r="AB10" s="577"/>
      <c r="AC10" s="577"/>
      <c r="AD10" s="577"/>
      <c r="AE10" s="577"/>
      <c r="AF10" s="6"/>
    </row>
    <row r="11" ht="12.75" customHeight="1">
      <c r="A11" s="600" t="s">
        <v>2462</v>
      </c>
      <c r="B11" s="589" t="s">
        <v>4515</v>
      </c>
      <c r="C11" s="589" t="s">
        <v>4543</v>
      </c>
      <c r="D11" s="589" t="s">
        <v>4573</v>
      </c>
      <c r="E11" s="589" t="s">
        <v>4601</v>
      </c>
      <c r="F11" s="589" t="s">
        <v>4629</v>
      </c>
      <c r="G11" s="596"/>
      <c r="H11" s="596"/>
      <c r="I11" s="601"/>
      <c r="J11" s="601"/>
      <c r="K11" s="601"/>
      <c r="L11" s="577"/>
      <c r="M11" s="577"/>
      <c r="N11" s="577"/>
      <c r="O11" s="577"/>
      <c r="P11" s="577"/>
      <c r="Q11" s="577"/>
      <c r="R11" s="577"/>
      <c r="S11" s="577"/>
      <c r="T11" s="577"/>
      <c r="U11" s="577"/>
      <c r="V11" s="577"/>
      <c r="W11" s="577"/>
      <c r="X11" s="577"/>
      <c r="Y11" s="577"/>
      <c r="Z11" s="577"/>
      <c r="AA11" s="577"/>
      <c r="AB11" s="577"/>
      <c r="AC11" s="577"/>
      <c r="AD11" s="577"/>
      <c r="AE11" s="577"/>
      <c r="AF11" s="6"/>
    </row>
    <row r="12" ht="12.75" customHeight="1">
      <c r="A12" s="600" t="s">
        <v>1841</v>
      </c>
      <c r="B12" s="589" t="s">
        <v>4516</v>
      </c>
      <c r="C12" s="589" t="s">
        <v>4544</v>
      </c>
      <c r="D12" s="589" t="s">
        <v>4574</v>
      </c>
      <c r="E12" s="589" t="s">
        <v>4602</v>
      </c>
      <c r="F12" s="589" t="s">
        <v>4630</v>
      </c>
      <c r="G12" s="596"/>
      <c r="H12" s="596"/>
      <c r="I12" s="601"/>
      <c r="J12" s="601"/>
      <c r="K12" s="601"/>
      <c r="L12" s="577"/>
      <c r="M12" s="577"/>
      <c r="N12" s="577"/>
      <c r="O12" s="577"/>
      <c r="P12" s="577"/>
      <c r="Q12" s="577"/>
      <c r="R12" s="577"/>
      <c r="S12" s="577"/>
      <c r="T12" s="577"/>
      <c r="U12" s="577"/>
      <c r="V12" s="577"/>
      <c r="W12" s="577"/>
      <c r="X12" s="577"/>
      <c r="Y12" s="577"/>
      <c r="Z12" s="577"/>
      <c r="AA12" s="577"/>
      <c r="AB12" s="577"/>
      <c r="AC12" s="577"/>
      <c r="AD12" s="577"/>
      <c r="AE12" s="577"/>
      <c r="AF12" s="6"/>
    </row>
    <row r="13" ht="12.75" customHeight="1">
      <c r="A13" s="600" t="s">
        <v>2581</v>
      </c>
      <c r="B13" s="589" t="s">
        <v>4517</v>
      </c>
      <c r="C13" s="589" t="s">
        <v>4545</v>
      </c>
      <c r="D13" s="589" t="s">
        <v>4575</v>
      </c>
      <c r="E13" s="589" t="s">
        <v>4603</v>
      </c>
      <c r="F13" s="589" t="s">
        <v>4631</v>
      </c>
      <c r="G13" s="596"/>
      <c r="H13" s="596"/>
      <c r="I13" s="577"/>
      <c r="J13" s="577"/>
      <c r="K13" s="577"/>
      <c r="L13" s="577"/>
      <c r="M13" s="577"/>
      <c r="N13" s="577"/>
      <c r="O13" s="577"/>
      <c r="P13" s="577"/>
      <c r="Q13" s="577"/>
      <c r="R13" s="577"/>
      <c r="S13" s="577"/>
      <c r="T13" s="577"/>
      <c r="U13" s="577"/>
      <c r="V13" s="577"/>
      <c r="W13" s="577"/>
      <c r="X13" s="577"/>
      <c r="Y13" s="577"/>
      <c r="Z13" s="577"/>
      <c r="AA13" s="577"/>
      <c r="AB13" s="577"/>
      <c r="AC13" s="577"/>
      <c r="AD13" s="577"/>
      <c r="AE13" s="577"/>
      <c r="AF13" s="6"/>
    </row>
    <row r="14" ht="12.75" customHeight="1">
      <c r="A14" s="600" t="s">
        <v>2692</v>
      </c>
      <c r="B14" s="589" t="s">
        <v>4518</v>
      </c>
      <c r="C14" s="589" t="s">
        <v>4546</v>
      </c>
      <c r="D14" s="589" t="s">
        <v>4576</v>
      </c>
      <c r="E14" s="589" t="s">
        <v>4604</v>
      </c>
      <c r="F14" s="589" t="s">
        <v>4632</v>
      </c>
      <c r="G14" s="596"/>
      <c r="H14" s="596"/>
      <c r="I14" s="577"/>
      <c r="J14" s="577"/>
      <c r="K14" s="577"/>
      <c r="L14" s="577"/>
      <c r="M14" s="577"/>
      <c r="N14" s="577"/>
      <c r="O14" s="577"/>
      <c r="P14" s="577"/>
      <c r="Q14" s="577"/>
      <c r="R14" s="577"/>
      <c r="S14" s="577"/>
      <c r="T14" s="577"/>
      <c r="U14" s="577"/>
      <c r="V14" s="577"/>
      <c r="W14" s="577"/>
      <c r="X14" s="577"/>
      <c r="Y14" s="577"/>
      <c r="Z14" s="577"/>
      <c r="AA14" s="577"/>
      <c r="AB14" s="577"/>
      <c r="AC14" s="577"/>
      <c r="AD14" s="577"/>
      <c r="AE14" s="577"/>
      <c r="AF14" s="6"/>
    </row>
    <row r="15" ht="12.75" customHeight="1">
      <c r="A15" s="602" t="s">
        <v>4436</v>
      </c>
      <c r="B15" s="603" t="s">
        <v>4519</v>
      </c>
      <c r="C15" s="603" t="s">
        <v>4547</v>
      </c>
      <c r="D15" s="603" t="s">
        <v>4577</v>
      </c>
      <c r="E15" s="603" t="s">
        <v>4605</v>
      </c>
      <c r="F15" s="603" t="s">
        <v>4633</v>
      </c>
      <c r="G15" s="596"/>
      <c r="H15" s="596"/>
      <c r="I15" s="577"/>
      <c r="J15" s="577"/>
      <c r="K15" s="577"/>
      <c r="L15" s="577"/>
      <c r="M15" s="577"/>
      <c r="N15" s="577"/>
      <c r="O15" s="577"/>
      <c r="P15" s="577"/>
      <c r="Q15" s="577"/>
      <c r="R15" s="577"/>
      <c r="S15" s="577"/>
      <c r="T15" s="577"/>
      <c r="U15" s="577"/>
      <c r="V15" s="577"/>
      <c r="W15" s="577"/>
      <c r="X15" s="577"/>
      <c r="Y15" s="577"/>
      <c r="Z15" s="577"/>
      <c r="AA15" s="577"/>
      <c r="AB15" s="577"/>
      <c r="AC15" s="577"/>
      <c r="AD15" s="577"/>
      <c r="AE15" s="577"/>
      <c r="AF15" s="6"/>
    </row>
    <row r="16" ht="12.75" customHeight="1">
      <c r="A16" s="600" t="s">
        <v>3241</v>
      </c>
      <c r="B16" s="589" t="s">
        <v>4520</v>
      </c>
      <c r="C16" s="589" t="s">
        <v>4548</v>
      </c>
      <c r="D16" s="589" t="s">
        <v>4578</v>
      </c>
      <c r="E16" s="589" t="s">
        <v>4606</v>
      </c>
      <c r="F16" s="589" t="s">
        <v>4634</v>
      </c>
      <c r="G16" s="596"/>
      <c r="H16" s="596"/>
      <c r="I16" s="577"/>
      <c r="J16" s="577"/>
      <c r="K16" s="577"/>
      <c r="L16" s="577"/>
      <c r="M16" s="577"/>
      <c r="N16" s="577"/>
      <c r="O16" s="577"/>
      <c r="P16" s="577"/>
      <c r="Q16" s="577"/>
      <c r="R16" s="577"/>
      <c r="S16" s="577"/>
      <c r="T16" s="577"/>
      <c r="U16" s="577"/>
      <c r="V16" s="577"/>
      <c r="W16" s="577"/>
      <c r="X16" s="577"/>
      <c r="Y16" s="577"/>
      <c r="Z16" s="577"/>
      <c r="AA16" s="577"/>
      <c r="AB16" s="577"/>
      <c r="AC16" s="577"/>
      <c r="AD16" s="577"/>
      <c r="AE16" s="577"/>
      <c r="AF16" s="6"/>
    </row>
    <row r="17" ht="14.25" customHeight="1">
      <c r="A17" s="604" t="s">
        <v>2212</v>
      </c>
      <c r="B17" s="589" t="s">
        <v>4521</v>
      </c>
      <c r="C17" s="589" t="s">
        <v>4549</v>
      </c>
      <c r="D17" s="589" t="s">
        <v>4579</v>
      </c>
      <c r="E17" s="589" t="s">
        <v>4607</v>
      </c>
      <c r="F17" s="589" t="s">
        <v>4635</v>
      </c>
      <c r="G17" s="596"/>
      <c r="H17" s="596"/>
      <c r="I17" s="577"/>
      <c r="J17" s="577"/>
      <c r="K17" s="577"/>
      <c r="L17" s="577"/>
      <c r="M17" s="577"/>
      <c r="N17" s="577"/>
      <c r="O17" s="577"/>
      <c r="P17" s="577"/>
      <c r="Q17" s="577"/>
      <c r="R17" s="577"/>
      <c r="S17" s="577"/>
      <c r="T17" s="577"/>
      <c r="U17" s="577"/>
      <c r="V17" s="577"/>
      <c r="W17" s="577"/>
      <c r="X17" s="577"/>
      <c r="Y17" s="577"/>
      <c r="Z17" s="577"/>
      <c r="AA17" s="577"/>
      <c r="AB17" s="577"/>
      <c r="AC17" s="577"/>
      <c r="AD17" s="577"/>
      <c r="AE17" s="577"/>
      <c r="AF17" s="6"/>
    </row>
    <row r="18" ht="12.75" customHeight="1">
      <c r="A18" s="604" t="s">
        <v>2125</v>
      </c>
      <c r="B18" s="589" t="s">
        <v>4522</v>
      </c>
      <c r="C18" s="589" t="s">
        <v>4550</v>
      </c>
      <c r="D18" s="589" t="s">
        <v>4580</v>
      </c>
      <c r="E18" s="589" t="s">
        <v>4608</v>
      </c>
      <c r="F18" s="589" t="s">
        <v>4636</v>
      </c>
      <c r="G18" s="596"/>
      <c r="H18" s="596"/>
      <c r="I18" s="596"/>
      <c r="J18" s="577"/>
      <c r="K18" s="577"/>
      <c r="L18" s="577"/>
      <c r="M18" s="577"/>
      <c r="N18" s="577"/>
      <c r="O18" s="577"/>
      <c r="P18" s="577"/>
      <c r="Q18" s="577"/>
      <c r="R18" s="577"/>
      <c r="S18" s="577"/>
      <c r="T18" s="577"/>
      <c r="U18" s="577"/>
      <c r="V18" s="577"/>
      <c r="W18" s="577"/>
      <c r="X18" s="577"/>
      <c r="Y18" s="577"/>
      <c r="Z18" s="577"/>
      <c r="AA18" s="577"/>
      <c r="AB18" s="577"/>
      <c r="AC18" s="577"/>
      <c r="AD18" s="577"/>
      <c r="AE18" s="577"/>
      <c r="AF18" s="6"/>
    </row>
    <row r="19" ht="12.75" customHeight="1">
      <c r="A19" s="600" t="s">
        <v>2490</v>
      </c>
      <c r="B19" s="589" t="s">
        <v>4523</v>
      </c>
      <c r="C19" s="589" t="s">
        <v>4551</v>
      </c>
      <c r="D19" s="589" t="s">
        <v>4581</v>
      </c>
      <c r="E19" s="589" t="s">
        <v>4609</v>
      </c>
      <c r="F19" s="589" t="s">
        <v>4637</v>
      </c>
      <c r="G19" s="596"/>
      <c r="H19" s="596"/>
      <c r="I19" s="596"/>
      <c r="J19" s="577"/>
      <c r="K19" s="577"/>
      <c r="L19" s="577"/>
      <c r="M19" s="577"/>
      <c r="N19" s="577"/>
      <c r="O19" s="577"/>
      <c r="P19" s="577"/>
      <c r="Q19" s="577"/>
      <c r="R19" s="577"/>
      <c r="S19" s="577"/>
      <c r="T19" s="577"/>
      <c r="U19" s="577"/>
      <c r="V19" s="577"/>
      <c r="W19" s="577"/>
      <c r="X19" s="577"/>
      <c r="Y19" s="577"/>
      <c r="Z19" s="577"/>
      <c r="AA19" s="577"/>
      <c r="AB19" s="577"/>
      <c r="AC19" s="577"/>
      <c r="AD19" s="577"/>
      <c r="AE19" s="577"/>
      <c r="AF19" s="6"/>
    </row>
    <row r="20" ht="12.75" customHeight="1">
      <c r="A20" s="600" t="s">
        <v>2019</v>
      </c>
      <c r="B20" s="589" t="s">
        <v>4524</v>
      </c>
      <c r="C20" s="589" t="s">
        <v>4552</v>
      </c>
      <c r="D20" s="589" t="s">
        <v>4582</v>
      </c>
      <c r="E20" s="589" t="s">
        <v>4610</v>
      </c>
      <c r="F20" s="589" t="s">
        <v>4638</v>
      </c>
      <c r="G20" s="596"/>
      <c r="H20" s="596"/>
      <c r="I20" s="596"/>
      <c r="J20" s="577"/>
      <c r="K20" s="577"/>
      <c r="L20" s="577"/>
      <c r="M20" s="577"/>
      <c r="N20" s="577"/>
      <c r="O20" s="577"/>
      <c r="P20" s="577"/>
      <c r="Q20" s="577"/>
      <c r="R20" s="577"/>
      <c r="S20" s="577"/>
      <c r="T20" s="577"/>
      <c r="U20" s="577"/>
      <c r="V20" s="577"/>
      <c r="W20" s="577"/>
      <c r="X20" s="577"/>
      <c r="Y20" s="577"/>
      <c r="Z20" s="577"/>
      <c r="AA20" s="577"/>
      <c r="AB20" s="577"/>
      <c r="AC20" s="577"/>
      <c r="AD20" s="577"/>
      <c r="AE20" s="577"/>
      <c r="AF20" s="6"/>
    </row>
    <row r="21" ht="25.5" customHeight="1">
      <c r="A21" s="604" t="s">
        <v>2099</v>
      </c>
      <c r="B21" s="589" t="s">
        <v>4525</v>
      </c>
      <c r="C21" s="589" t="s">
        <v>4553</v>
      </c>
      <c r="D21" s="589" t="s">
        <v>4583</v>
      </c>
      <c r="E21" s="589" t="s">
        <v>4611</v>
      </c>
      <c r="F21" s="589" t="s">
        <v>4639</v>
      </c>
      <c r="G21" s="596"/>
      <c r="H21" s="596"/>
      <c r="I21" s="596"/>
      <c r="J21" s="577"/>
      <c r="K21" s="577"/>
      <c r="L21" s="577"/>
      <c r="M21" s="577"/>
      <c r="N21" s="577"/>
      <c r="O21" s="577"/>
      <c r="P21" s="577"/>
      <c r="Q21" s="577"/>
      <c r="R21" s="577"/>
      <c r="S21" s="577"/>
      <c r="T21" s="577"/>
      <c r="U21" s="577"/>
      <c r="V21" s="577"/>
      <c r="W21" s="577"/>
      <c r="X21" s="577"/>
      <c r="Y21" s="577"/>
      <c r="Z21" s="577"/>
      <c r="AA21" s="577"/>
      <c r="AB21" s="577"/>
      <c r="AC21" s="577"/>
      <c r="AD21" s="577"/>
      <c r="AE21" s="577"/>
      <c r="AF21" s="6"/>
    </row>
    <row r="22" ht="12.75" customHeight="1">
      <c r="A22" s="600" t="s">
        <v>2545</v>
      </c>
      <c r="B22" s="589" t="s">
        <v>4526</v>
      </c>
      <c r="C22" s="589" t="s">
        <v>4554</v>
      </c>
      <c r="D22" s="589" t="s">
        <v>4584</v>
      </c>
      <c r="E22" s="589" t="s">
        <v>4612</v>
      </c>
      <c r="F22" s="589" t="s">
        <v>4640</v>
      </c>
      <c r="G22" s="596"/>
      <c r="H22" s="596"/>
      <c r="I22" s="596"/>
      <c r="J22" s="577"/>
      <c r="K22" s="577"/>
      <c r="L22" s="577"/>
      <c r="M22" s="577"/>
      <c r="N22" s="577"/>
      <c r="O22" s="577"/>
      <c r="P22" s="577"/>
      <c r="Q22" s="577"/>
      <c r="R22" s="577"/>
      <c r="S22" s="577"/>
      <c r="T22" s="577"/>
      <c r="U22" s="577"/>
      <c r="V22" s="577"/>
      <c r="W22" s="577"/>
      <c r="X22" s="577"/>
      <c r="Y22" s="577"/>
      <c r="Z22" s="577"/>
      <c r="AA22" s="577"/>
      <c r="AB22" s="577"/>
      <c r="AC22" s="577"/>
      <c r="AD22" s="577"/>
      <c r="AE22" s="577"/>
      <c r="AF22" s="6"/>
    </row>
    <row r="23" ht="12.0" customHeight="1">
      <c r="A23" s="600" t="s">
        <v>2552</v>
      </c>
      <c r="B23" s="589" t="s">
        <v>4527</v>
      </c>
      <c r="C23" s="589" t="s">
        <v>4555</v>
      </c>
      <c r="D23" s="589" t="s">
        <v>4585</v>
      </c>
      <c r="E23" s="589" t="s">
        <v>4613</v>
      </c>
      <c r="F23" s="589" t="s">
        <v>4641</v>
      </c>
      <c r="G23" s="596"/>
      <c r="H23" s="596"/>
      <c r="I23" s="596"/>
      <c r="J23" s="577"/>
      <c r="K23" s="577"/>
      <c r="L23" s="577"/>
      <c r="M23" s="577"/>
      <c r="N23" s="577"/>
      <c r="O23" s="577"/>
      <c r="P23" s="577"/>
      <c r="Q23" s="577"/>
      <c r="R23" s="577"/>
      <c r="S23" s="577"/>
      <c r="T23" s="577"/>
      <c r="U23" s="577"/>
      <c r="V23" s="577"/>
      <c r="W23" s="577"/>
      <c r="X23" s="577"/>
      <c r="Y23" s="577"/>
      <c r="Z23" s="577"/>
      <c r="AA23" s="577"/>
      <c r="AB23" s="577"/>
      <c r="AC23" s="577"/>
      <c r="AD23" s="577"/>
      <c r="AE23" s="577"/>
      <c r="AF23" s="6"/>
    </row>
    <row r="24" ht="12.75" customHeight="1">
      <c r="A24" s="604" t="s">
        <v>3182</v>
      </c>
      <c r="B24" s="589" t="s">
        <v>4528</v>
      </c>
      <c r="C24" s="589" t="s">
        <v>4556</v>
      </c>
      <c r="D24" s="589" t="s">
        <v>4586</v>
      </c>
      <c r="E24" s="589" t="s">
        <v>4614</v>
      </c>
      <c r="F24" s="589" t="s">
        <v>4642</v>
      </c>
      <c r="G24" s="596"/>
      <c r="H24" s="596"/>
      <c r="I24" s="596"/>
      <c r="J24" s="577"/>
      <c r="K24" s="577"/>
      <c r="L24" s="577"/>
      <c r="M24" s="577"/>
      <c r="N24" s="577"/>
      <c r="O24" s="577"/>
      <c r="P24" s="577"/>
      <c r="Q24" s="577"/>
      <c r="R24" s="577"/>
      <c r="S24" s="577"/>
      <c r="T24" s="577"/>
      <c r="U24" s="577"/>
      <c r="V24" s="577"/>
      <c r="W24" s="577"/>
      <c r="X24" s="577"/>
      <c r="Y24" s="577"/>
      <c r="Z24" s="577"/>
      <c r="AA24" s="577"/>
      <c r="AB24" s="577"/>
      <c r="AC24" s="577"/>
      <c r="AD24" s="577"/>
      <c r="AE24" s="577"/>
      <c r="AF24" s="6"/>
    </row>
    <row r="25" ht="12.75" customHeight="1">
      <c r="A25" s="604" t="s">
        <v>3308</v>
      </c>
      <c r="B25" s="589" t="s">
        <v>4529</v>
      </c>
      <c r="C25" s="589" t="s">
        <v>4557</v>
      </c>
      <c r="D25" s="589" t="s">
        <v>4587</v>
      </c>
      <c r="E25" s="589" t="s">
        <v>4615</v>
      </c>
      <c r="F25" s="589" t="s">
        <v>4643</v>
      </c>
      <c r="G25" s="596"/>
      <c r="H25" s="596"/>
      <c r="I25" s="596"/>
      <c r="J25" s="577"/>
      <c r="K25" s="577"/>
      <c r="L25" s="577"/>
      <c r="M25" s="577"/>
      <c r="N25" s="577"/>
      <c r="O25" s="577"/>
      <c r="P25" s="577"/>
      <c r="Q25" s="577"/>
      <c r="R25" s="577"/>
      <c r="S25" s="577"/>
      <c r="T25" s="577"/>
      <c r="U25" s="577"/>
      <c r="V25" s="577"/>
      <c r="W25" s="577"/>
      <c r="X25" s="577"/>
      <c r="Y25" s="577"/>
      <c r="Z25" s="577"/>
      <c r="AA25" s="577"/>
      <c r="AB25" s="577"/>
      <c r="AC25" s="577"/>
      <c r="AD25" s="577"/>
      <c r="AE25" s="577"/>
      <c r="AF25" s="6"/>
    </row>
    <row r="26" ht="12.75" customHeight="1">
      <c r="A26" s="600" t="s">
        <v>2069</v>
      </c>
      <c r="B26" s="589" t="s">
        <v>4530</v>
      </c>
      <c r="C26" s="589" t="s">
        <v>4558</v>
      </c>
      <c r="D26" s="589" t="s">
        <v>4588</v>
      </c>
      <c r="E26" s="589" t="s">
        <v>4616</v>
      </c>
      <c r="F26" s="589" t="s">
        <v>4644</v>
      </c>
      <c r="G26" s="596"/>
      <c r="H26" s="596"/>
      <c r="I26" s="596"/>
      <c r="J26" s="577"/>
      <c r="K26" s="577"/>
      <c r="L26" s="577"/>
      <c r="M26" s="577"/>
      <c r="N26" s="577"/>
      <c r="O26" s="577"/>
      <c r="P26" s="577"/>
      <c r="Q26" s="577"/>
      <c r="R26" s="577"/>
      <c r="S26" s="577"/>
      <c r="T26" s="577"/>
      <c r="U26" s="577"/>
      <c r="V26" s="577"/>
      <c r="W26" s="577"/>
      <c r="X26" s="577"/>
      <c r="Y26" s="577"/>
      <c r="Z26" s="577"/>
      <c r="AA26" s="577"/>
      <c r="AB26" s="577"/>
      <c r="AC26" s="577"/>
      <c r="AD26" s="577"/>
      <c r="AE26" s="577"/>
      <c r="AF26" s="6"/>
    </row>
    <row r="27" ht="12.75" customHeight="1">
      <c r="A27" s="600" t="s">
        <v>3303</v>
      </c>
      <c r="B27" s="589" t="s">
        <v>4531</v>
      </c>
      <c r="C27" s="589" t="s">
        <v>4559</v>
      </c>
      <c r="D27" s="589" t="s">
        <v>4589</v>
      </c>
      <c r="E27" s="589" t="s">
        <v>4617</v>
      </c>
      <c r="F27" s="589" t="s">
        <v>4645</v>
      </c>
      <c r="G27" s="596"/>
      <c r="H27" s="596"/>
      <c r="I27" s="596"/>
      <c r="J27" s="577"/>
      <c r="K27" s="577"/>
      <c r="L27" s="577"/>
      <c r="M27" s="577"/>
      <c r="N27" s="577"/>
      <c r="O27" s="577"/>
      <c r="P27" s="577"/>
      <c r="Q27" s="577"/>
      <c r="R27" s="577"/>
      <c r="S27" s="577"/>
      <c r="T27" s="577"/>
      <c r="U27" s="577"/>
      <c r="V27" s="577"/>
      <c r="W27" s="577"/>
      <c r="X27" s="577"/>
      <c r="Y27" s="577"/>
      <c r="Z27" s="577"/>
      <c r="AA27" s="577"/>
      <c r="AB27" s="577"/>
      <c r="AC27" s="577"/>
      <c r="AD27" s="577"/>
      <c r="AE27" s="577"/>
      <c r="AF27" s="6"/>
    </row>
    <row r="28" ht="12.75" customHeight="1">
      <c r="A28" s="600" t="s">
        <v>3209</v>
      </c>
      <c r="B28" s="589" t="s">
        <v>4532</v>
      </c>
      <c r="C28" s="589" t="s">
        <v>4560</v>
      </c>
      <c r="D28" s="589" t="s">
        <v>4590</v>
      </c>
      <c r="E28" s="589" t="s">
        <v>4618</v>
      </c>
      <c r="F28" s="589" t="s">
        <v>4646</v>
      </c>
      <c r="G28" s="596"/>
      <c r="H28" s="596"/>
      <c r="I28" s="596"/>
      <c r="J28" s="577"/>
      <c r="K28" s="577"/>
      <c r="L28" s="577"/>
      <c r="M28" s="577"/>
      <c r="N28" s="577"/>
      <c r="O28" s="577"/>
      <c r="P28" s="577"/>
      <c r="Q28" s="577"/>
      <c r="R28" s="577"/>
      <c r="S28" s="577"/>
      <c r="T28" s="577"/>
      <c r="U28" s="577"/>
      <c r="V28" s="577"/>
      <c r="W28" s="577"/>
      <c r="X28" s="577"/>
      <c r="Y28" s="577"/>
      <c r="Z28" s="577"/>
      <c r="AA28" s="577"/>
      <c r="AB28" s="577"/>
      <c r="AC28" s="577"/>
      <c r="AD28" s="577"/>
      <c r="AE28" s="577"/>
      <c r="AF28" s="6"/>
    </row>
    <row r="29" ht="12.75" customHeight="1">
      <c r="A29" s="600" t="s">
        <v>1846</v>
      </c>
      <c r="B29" s="589" t="s">
        <v>4533</v>
      </c>
      <c r="C29" s="589" t="s">
        <v>4561</v>
      </c>
      <c r="D29" s="589" t="s">
        <v>4591</v>
      </c>
      <c r="E29" s="589" t="s">
        <v>4619</v>
      </c>
      <c r="F29" s="589" t="s">
        <v>4647</v>
      </c>
      <c r="G29" s="596"/>
      <c r="H29" s="596"/>
      <c r="I29" s="596"/>
      <c r="J29" s="577"/>
      <c r="K29" s="577"/>
      <c r="L29" s="577"/>
      <c r="M29" s="577"/>
      <c r="N29" s="577"/>
      <c r="O29" s="577"/>
      <c r="P29" s="577"/>
      <c r="Q29" s="577"/>
      <c r="R29" s="577"/>
      <c r="S29" s="577"/>
      <c r="T29" s="577"/>
      <c r="U29" s="577"/>
      <c r="V29" s="577"/>
      <c r="W29" s="577"/>
      <c r="X29" s="577"/>
      <c r="Y29" s="577"/>
      <c r="Z29" s="577"/>
      <c r="AA29" s="577"/>
      <c r="AB29" s="577"/>
      <c r="AC29" s="577"/>
      <c r="AD29" s="577"/>
      <c r="AE29" s="577"/>
      <c r="AF29" s="6"/>
    </row>
    <row r="30" ht="12.75" customHeight="1">
      <c r="A30" s="604" t="s">
        <v>2434</v>
      </c>
      <c r="B30" s="589" t="s">
        <v>4534</v>
      </c>
      <c r="C30" s="589" t="s">
        <v>4562</v>
      </c>
      <c r="D30" s="589" t="s">
        <v>4592</v>
      </c>
      <c r="E30" s="589" t="s">
        <v>4620</v>
      </c>
      <c r="F30" s="589" t="s">
        <v>4648</v>
      </c>
      <c r="G30" s="596"/>
      <c r="H30" s="596"/>
      <c r="I30" s="596"/>
      <c r="J30" s="577"/>
      <c r="K30" s="577"/>
      <c r="L30" s="577"/>
      <c r="M30" s="577"/>
      <c r="N30" s="577"/>
      <c r="O30" s="577"/>
      <c r="P30" s="577"/>
      <c r="Q30" s="577"/>
      <c r="R30" s="577"/>
      <c r="S30" s="577"/>
      <c r="T30" s="577"/>
      <c r="U30" s="577"/>
      <c r="V30" s="577"/>
      <c r="W30" s="577"/>
      <c r="X30" s="577"/>
      <c r="Y30" s="577"/>
      <c r="Z30" s="577"/>
      <c r="AA30" s="577"/>
      <c r="AB30" s="577"/>
      <c r="AC30" s="577"/>
      <c r="AD30" s="577"/>
      <c r="AE30" s="577"/>
      <c r="AF30" s="6"/>
    </row>
    <row r="31" ht="12.75" customHeight="1">
      <c r="A31" s="600" t="s">
        <v>2677</v>
      </c>
      <c r="B31" s="589" t="s">
        <v>4535</v>
      </c>
      <c r="C31" s="589" t="s">
        <v>4563</v>
      </c>
      <c r="D31" s="589" t="s">
        <v>4593</v>
      </c>
      <c r="E31" s="589" t="s">
        <v>4621</v>
      </c>
      <c r="F31" s="589" t="s">
        <v>4649</v>
      </c>
      <c r="G31" s="596"/>
      <c r="H31" s="596"/>
      <c r="I31" s="596"/>
      <c r="J31" s="577"/>
      <c r="K31" s="577"/>
      <c r="L31" s="577"/>
      <c r="M31" s="577"/>
      <c r="N31" s="577"/>
      <c r="O31" s="577"/>
      <c r="P31" s="577"/>
      <c r="Q31" s="577"/>
      <c r="R31" s="577"/>
      <c r="S31" s="577"/>
      <c r="T31" s="577"/>
      <c r="U31" s="577"/>
      <c r="V31" s="577"/>
      <c r="W31" s="577"/>
      <c r="X31" s="577"/>
      <c r="Y31" s="577"/>
      <c r="Z31" s="577"/>
      <c r="AA31" s="577"/>
      <c r="AB31" s="577"/>
      <c r="AC31" s="577"/>
      <c r="AD31" s="577"/>
      <c r="AE31" s="577"/>
      <c r="AF31" s="6"/>
    </row>
    <row r="32" ht="12.75" customHeight="1">
      <c r="A32" s="600" t="s">
        <v>2919</v>
      </c>
      <c r="B32" s="589" t="s">
        <v>4536</v>
      </c>
      <c r="C32" s="589" t="s">
        <v>4564</v>
      </c>
      <c r="D32" s="589" t="s">
        <v>4594</v>
      </c>
      <c r="E32" s="589" t="s">
        <v>4622</v>
      </c>
      <c r="F32" s="589" t="s">
        <v>4650</v>
      </c>
      <c r="G32" s="596"/>
      <c r="H32" s="596"/>
      <c r="I32" s="596"/>
      <c r="J32" s="577"/>
      <c r="K32" s="577"/>
      <c r="L32" s="577"/>
      <c r="M32" s="577"/>
      <c r="N32" s="577"/>
      <c r="O32" s="577"/>
      <c r="P32" s="577"/>
      <c r="Q32" s="577"/>
      <c r="R32" s="577"/>
      <c r="S32" s="577"/>
      <c r="T32" s="577"/>
      <c r="U32" s="577"/>
      <c r="V32" s="577"/>
      <c r="W32" s="577"/>
      <c r="X32" s="577"/>
      <c r="Y32" s="577"/>
      <c r="Z32" s="577"/>
      <c r="AA32" s="577"/>
      <c r="AB32" s="577"/>
      <c r="AC32" s="577"/>
      <c r="AD32" s="577"/>
      <c r="AE32" s="577"/>
      <c r="AF32" s="6"/>
    </row>
    <row r="33" ht="12.75" customHeight="1">
      <c r="A33" s="600" t="s">
        <v>1849</v>
      </c>
      <c r="B33" s="589" t="s">
        <v>4537</v>
      </c>
      <c r="C33" s="589" t="s">
        <v>4565</v>
      </c>
      <c r="D33" s="589" t="s">
        <v>4595</v>
      </c>
      <c r="E33" s="589" t="s">
        <v>4623</v>
      </c>
      <c r="F33" s="589" t="s">
        <v>4651</v>
      </c>
      <c r="G33" s="596"/>
      <c r="H33" s="596"/>
      <c r="I33" s="596"/>
      <c r="J33" s="577"/>
      <c r="K33" s="577"/>
      <c r="L33" s="577"/>
      <c r="M33" s="577"/>
      <c r="N33" s="577"/>
      <c r="O33" s="577"/>
      <c r="P33" s="577"/>
      <c r="Q33" s="577"/>
      <c r="R33" s="577"/>
      <c r="S33" s="577"/>
      <c r="T33" s="577"/>
      <c r="U33" s="577"/>
      <c r="V33" s="577"/>
      <c r="W33" s="577"/>
      <c r="X33" s="577"/>
      <c r="Y33" s="577"/>
      <c r="Z33" s="577"/>
      <c r="AA33" s="577"/>
      <c r="AB33" s="577"/>
      <c r="AC33" s="577"/>
      <c r="AD33" s="577"/>
      <c r="AE33" s="577"/>
      <c r="AF33" s="6"/>
    </row>
    <row r="34" ht="12.75" customHeight="1">
      <c r="A34" s="600" t="s">
        <v>3192</v>
      </c>
      <c r="B34" s="589" t="s">
        <v>4538</v>
      </c>
      <c r="C34" s="589" t="s">
        <v>4566</v>
      </c>
      <c r="D34" s="589" t="s">
        <v>4596</v>
      </c>
      <c r="E34" s="589" t="s">
        <v>4624</v>
      </c>
      <c r="F34" s="589" t="s">
        <v>4652</v>
      </c>
      <c r="G34" s="596"/>
      <c r="H34" s="596"/>
      <c r="I34" s="596"/>
      <c r="J34" s="577"/>
      <c r="K34" s="577"/>
      <c r="L34" s="577"/>
      <c r="M34" s="577"/>
      <c r="N34" s="577"/>
      <c r="O34" s="577"/>
      <c r="P34" s="577"/>
      <c r="Q34" s="577"/>
      <c r="R34" s="577"/>
      <c r="S34" s="577"/>
      <c r="T34" s="577"/>
      <c r="U34" s="577"/>
      <c r="V34" s="577"/>
      <c r="W34" s="577"/>
      <c r="X34" s="577"/>
      <c r="Y34" s="577"/>
      <c r="Z34" s="577"/>
      <c r="AA34" s="577"/>
      <c r="AB34" s="577"/>
      <c r="AC34" s="577"/>
      <c r="AD34" s="577"/>
      <c r="AE34" s="577"/>
      <c r="AF34" s="6"/>
    </row>
    <row r="35" ht="12.75" customHeight="1">
      <c r="A35" s="604" t="s">
        <v>2379</v>
      </c>
      <c r="B35" s="589" t="s">
        <v>4539</v>
      </c>
      <c r="C35" s="589" t="s">
        <v>4567</v>
      </c>
      <c r="D35" s="589" t="s">
        <v>4597</v>
      </c>
      <c r="E35" s="589" t="s">
        <v>4625</v>
      </c>
      <c r="F35" s="589" t="s">
        <v>4653</v>
      </c>
      <c r="G35" s="596"/>
      <c r="H35" s="596"/>
      <c r="I35" s="596"/>
      <c r="J35" s="577"/>
      <c r="K35" s="577"/>
      <c r="L35" s="577"/>
      <c r="M35" s="577"/>
      <c r="N35" s="577"/>
      <c r="O35" s="577"/>
      <c r="P35" s="577"/>
      <c r="Q35" s="577"/>
      <c r="R35" s="577"/>
      <c r="S35" s="577"/>
      <c r="T35" s="577"/>
      <c r="U35" s="577"/>
      <c r="V35" s="577"/>
      <c r="W35" s="577"/>
      <c r="X35" s="577"/>
      <c r="Y35" s="577"/>
      <c r="Z35" s="577"/>
      <c r="AA35" s="577"/>
      <c r="AB35" s="577"/>
      <c r="AC35" s="577"/>
      <c r="AD35" s="577"/>
      <c r="AE35" s="577"/>
      <c r="AF35" s="6"/>
    </row>
    <row r="36" ht="12.75" customHeight="1">
      <c r="A36" s="600" t="s">
        <v>2892</v>
      </c>
      <c r="B36" s="589" t="s">
        <v>4540</v>
      </c>
      <c r="C36" s="589" t="s">
        <v>4568</v>
      </c>
      <c r="D36" s="589" t="s">
        <v>4598</v>
      </c>
      <c r="E36" s="589" t="s">
        <v>4626</v>
      </c>
      <c r="F36" s="589" t="s">
        <v>4654</v>
      </c>
      <c r="G36" s="596"/>
      <c r="H36" s="596"/>
      <c r="I36" s="596"/>
      <c r="J36" s="577"/>
      <c r="K36" s="577"/>
      <c r="L36" s="577"/>
      <c r="M36" s="577"/>
      <c r="N36" s="577"/>
      <c r="O36" s="577"/>
      <c r="P36" s="577"/>
      <c r="Q36" s="577"/>
      <c r="R36" s="577"/>
      <c r="S36" s="577"/>
      <c r="T36" s="577"/>
      <c r="U36" s="577"/>
      <c r="V36" s="577"/>
      <c r="W36" s="577"/>
      <c r="X36" s="577"/>
      <c r="Y36" s="577"/>
      <c r="Z36" s="577"/>
      <c r="AA36" s="577"/>
      <c r="AB36" s="577"/>
      <c r="AC36" s="577"/>
      <c r="AD36" s="577"/>
      <c r="AE36" s="577"/>
      <c r="AF36" s="6"/>
    </row>
    <row r="37" ht="12.75" customHeight="1">
      <c r="A37" s="600" t="s">
        <v>3264</v>
      </c>
      <c r="B37" s="589" t="s">
        <v>4541</v>
      </c>
      <c r="C37" s="589" t="s">
        <v>4569</v>
      </c>
      <c r="D37" s="589" t="s">
        <v>4599</v>
      </c>
      <c r="E37" s="589" t="s">
        <v>4627</v>
      </c>
      <c r="F37" s="589" t="s">
        <v>4655</v>
      </c>
      <c r="G37" s="596"/>
      <c r="H37" s="596"/>
      <c r="I37" s="596"/>
      <c r="J37" s="577"/>
      <c r="K37" s="577"/>
      <c r="L37" s="577"/>
      <c r="M37" s="577"/>
      <c r="N37" s="577"/>
      <c r="O37" s="577"/>
      <c r="P37" s="577"/>
      <c r="Q37" s="577"/>
      <c r="R37" s="577"/>
      <c r="S37" s="577"/>
      <c r="T37" s="577"/>
      <c r="U37" s="577"/>
      <c r="V37" s="577"/>
      <c r="W37" s="577"/>
      <c r="X37" s="577"/>
      <c r="Y37" s="577"/>
      <c r="Z37" s="577"/>
      <c r="AA37" s="577"/>
      <c r="AB37" s="577"/>
      <c r="AC37" s="577"/>
      <c r="AD37" s="577"/>
      <c r="AE37" s="577"/>
      <c r="AF37" s="6"/>
    </row>
    <row r="38" ht="12.75" customHeight="1">
      <c r="A38" s="604" t="s">
        <v>4659</v>
      </c>
      <c r="B38" s="589" t="s">
        <v>4542</v>
      </c>
      <c r="C38" s="589" t="s">
        <v>4570</v>
      </c>
      <c r="D38" s="589" t="s">
        <v>4600</v>
      </c>
      <c r="E38" s="589" t="s">
        <v>4628</v>
      </c>
      <c r="F38" s="589" t="s">
        <v>4656</v>
      </c>
      <c r="G38" s="596"/>
      <c r="H38" s="596"/>
      <c r="I38" s="596"/>
      <c r="J38" s="577"/>
      <c r="K38" s="577"/>
      <c r="L38" s="577"/>
      <c r="M38" s="577"/>
      <c r="N38" s="577"/>
      <c r="O38" s="577"/>
      <c r="P38" s="577"/>
      <c r="Q38" s="577"/>
      <c r="R38" s="577"/>
      <c r="S38" s="577"/>
      <c r="T38" s="577"/>
      <c r="U38" s="577"/>
      <c r="V38" s="577"/>
      <c r="W38" s="577"/>
      <c r="X38" s="577"/>
      <c r="Y38" s="577"/>
      <c r="Z38" s="577"/>
      <c r="AA38" s="577"/>
      <c r="AB38" s="577"/>
      <c r="AC38" s="577"/>
      <c r="AD38" s="577"/>
      <c r="AE38" s="577"/>
      <c r="AF38" s="6"/>
    </row>
    <row r="39" ht="25.5" customHeight="1">
      <c r="A39" s="600" t="s">
        <v>4512</v>
      </c>
      <c r="B39" s="589" t="s">
        <v>7</v>
      </c>
      <c r="C39" s="589" t="s">
        <v>4571</v>
      </c>
      <c r="D39" s="589" t="s">
        <v>4571</v>
      </c>
      <c r="E39" s="589" t="s">
        <v>4571</v>
      </c>
      <c r="F39" s="589" t="s">
        <v>4571</v>
      </c>
      <c r="G39" s="596"/>
      <c r="H39" s="596"/>
      <c r="I39" s="596"/>
      <c r="J39" s="577"/>
      <c r="K39" s="577"/>
      <c r="L39" s="577"/>
      <c r="M39" s="577"/>
      <c r="N39" s="577"/>
      <c r="O39" s="577"/>
      <c r="P39" s="577"/>
      <c r="Q39" s="577"/>
      <c r="R39" s="577"/>
      <c r="S39" s="577"/>
      <c r="T39" s="577"/>
      <c r="U39" s="577"/>
      <c r="V39" s="577"/>
      <c r="W39" s="577"/>
      <c r="X39" s="577"/>
      <c r="Y39" s="577"/>
      <c r="Z39" s="577"/>
      <c r="AA39" s="577"/>
      <c r="AB39" s="577"/>
      <c r="AC39" s="577"/>
      <c r="AD39" s="577"/>
      <c r="AE39" s="577"/>
      <c r="AF39" s="6"/>
    </row>
    <row r="40" ht="72.0" customHeight="1">
      <c r="A40" s="600" t="s">
        <v>4513</v>
      </c>
      <c r="B40" s="589">
        <v>1.0</v>
      </c>
      <c r="C40" s="589">
        <v>2.0</v>
      </c>
      <c r="D40" s="589">
        <v>3.0</v>
      </c>
      <c r="E40" s="589">
        <v>4.0</v>
      </c>
      <c r="F40" s="589">
        <v>5.0</v>
      </c>
      <c r="G40" s="596"/>
      <c r="H40" s="596"/>
      <c r="I40" s="596"/>
      <c r="J40" s="577"/>
      <c r="K40" s="577"/>
      <c r="L40" s="577"/>
      <c r="M40" s="577"/>
      <c r="N40" s="577"/>
      <c r="O40" s="577"/>
      <c r="P40" s="577"/>
      <c r="Q40" s="577"/>
      <c r="R40" s="577"/>
      <c r="S40" s="577"/>
      <c r="T40" s="577"/>
      <c r="U40" s="577"/>
      <c r="V40" s="577"/>
      <c r="W40" s="577"/>
      <c r="X40" s="577"/>
      <c r="Y40" s="577"/>
      <c r="Z40" s="577"/>
      <c r="AA40" s="577"/>
      <c r="AB40" s="577"/>
      <c r="AC40" s="577"/>
      <c r="AD40" s="577"/>
      <c r="AE40" s="577"/>
      <c r="AF40" s="6"/>
    </row>
    <row r="41" ht="12.75" customHeight="1">
      <c r="A41" s="595"/>
      <c r="B41" s="596"/>
      <c r="C41" s="596"/>
      <c r="D41" s="596"/>
      <c r="E41" s="596"/>
      <c r="F41" s="596"/>
      <c r="G41" s="596"/>
      <c r="H41" s="596"/>
      <c r="I41" s="596"/>
      <c r="J41" s="577"/>
      <c r="K41" s="577"/>
      <c r="L41" s="577"/>
      <c r="M41" s="577"/>
      <c r="N41" s="577"/>
      <c r="O41" s="577"/>
      <c r="P41" s="577"/>
      <c r="Q41" s="577"/>
      <c r="R41" s="577"/>
      <c r="S41" s="577"/>
      <c r="T41" s="577"/>
      <c r="U41" s="577"/>
      <c r="V41" s="577"/>
      <c r="W41" s="577"/>
      <c r="X41" s="577"/>
      <c r="Y41" s="577"/>
      <c r="Z41" s="577"/>
      <c r="AA41" s="577"/>
      <c r="AB41" s="577"/>
      <c r="AC41" s="577"/>
      <c r="AD41" s="577"/>
      <c r="AE41" s="577"/>
      <c r="AF41" s="6"/>
    </row>
    <row r="42" ht="12.75" customHeight="1">
      <c r="A42" s="595"/>
      <c r="B42" s="596"/>
      <c r="C42" s="596"/>
      <c r="D42" s="596"/>
      <c r="E42" s="596"/>
      <c r="F42" s="596"/>
      <c r="G42" s="596"/>
      <c r="H42" s="596"/>
      <c r="I42" s="596"/>
      <c r="J42" s="577"/>
      <c r="K42" s="577"/>
      <c r="L42" s="577"/>
      <c r="M42" s="577"/>
      <c r="N42" s="577"/>
      <c r="O42" s="577"/>
      <c r="P42" s="577"/>
      <c r="Q42" s="577"/>
      <c r="R42" s="577"/>
      <c r="S42" s="577"/>
      <c r="T42" s="577"/>
      <c r="U42" s="577"/>
      <c r="V42" s="577"/>
      <c r="W42" s="577"/>
      <c r="X42" s="577"/>
      <c r="Y42" s="577"/>
      <c r="Z42" s="577"/>
      <c r="AA42" s="577"/>
      <c r="AB42" s="577"/>
      <c r="AC42" s="577"/>
      <c r="AD42" s="577"/>
      <c r="AE42" s="577"/>
      <c r="AF42" s="6"/>
    </row>
    <row r="43" ht="12.75" customHeight="1">
      <c r="A43" s="595"/>
      <c r="B43" s="596"/>
      <c r="C43" s="596"/>
      <c r="D43" s="596"/>
      <c r="E43" s="596"/>
      <c r="F43" s="596"/>
      <c r="G43" s="596"/>
      <c r="H43" s="596"/>
      <c r="I43" s="596"/>
      <c r="J43" s="577"/>
      <c r="K43" s="577"/>
      <c r="L43" s="577"/>
      <c r="M43" s="577"/>
      <c r="N43" s="577"/>
      <c r="O43" s="577"/>
      <c r="P43" s="577"/>
      <c r="Q43" s="577"/>
      <c r="R43" s="577"/>
      <c r="S43" s="577"/>
      <c r="T43" s="577"/>
      <c r="U43" s="577"/>
      <c r="V43" s="577"/>
      <c r="W43" s="577"/>
      <c r="X43" s="577"/>
      <c r="Y43" s="577"/>
      <c r="Z43" s="577"/>
      <c r="AA43" s="577"/>
      <c r="AB43" s="577"/>
      <c r="AC43" s="577"/>
      <c r="AD43" s="577"/>
      <c r="AE43" s="577"/>
      <c r="AF43" s="6"/>
    </row>
    <row r="44" ht="12.75" customHeight="1">
      <c r="A44" s="595"/>
      <c r="B44" s="596"/>
      <c r="C44" s="596"/>
      <c r="D44" s="596"/>
      <c r="E44" s="596"/>
      <c r="F44" s="596"/>
      <c r="G44" s="596"/>
      <c r="H44" s="596"/>
      <c r="I44" s="596"/>
      <c r="J44" s="577"/>
      <c r="K44" s="577"/>
      <c r="L44" s="577"/>
      <c r="M44" s="577"/>
      <c r="N44" s="577"/>
      <c r="O44" s="577"/>
      <c r="P44" s="577"/>
      <c r="Q44" s="577"/>
      <c r="R44" s="577"/>
      <c r="S44" s="577"/>
      <c r="T44" s="577"/>
      <c r="U44" s="577"/>
      <c r="V44" s="577"/>
      <c r="W44" s="577"/>
      <c r="X44" s="577"/>
      <c r="Y44" s="577"/>
      <c r="Z44" s="577"/>
      <c r="AA44" s="577"/>
      <c r="AB44" s="577"/>
      <c r="AC44" s="577"/>
      <c r="AD44" s="577"/>
      <c r="AE44" s="577"/>
      <c r="AF44" s="6"/>
    </row>
    <row r="45" ht="12.75" customHeight="1">
      <c r="A45" s="595"/>
      <c r="B45" s="596"/>
      <c r="C45" s="596"/>
      <c r="D45" s="596"/>
      <c r="E45" s="596"/>
      <c r="F45" s="596"/>
      <c r="G45" s="596"/>
      <c r="H45" s="596"/>
      <c r="I45" s="596"/>
      <c r="J45" s="577"/>
      <c r="K45" s="577"/>
      <c r="L45" s="577"/>
      <c r="M45" s="577"/>
      <c r="N45" s="577"/>
      <c r="O45" s="577"/>
      <c r="P45" s="577"/>
      <c r="Q45" s="577"/>
      <c r="R45" s="577"/>
      <c r="S45" s="577"/>
      <c r="T45" s="577"/>
      <c r="U45" s="577"/>
      <c r="V45" s="577"/>
      <c r="W45" s="577"/>
      <c r="X45" s="577"/>
      <c r="Y45" s="577"/>
      <c r="Z45" s="577"/>
      <c r="AA45" s="577"/>
      <c r="AB45" s="577"/>
      <c r="AC45" s="577"/>
      <c r="AD45" s="577"/>
      <c r="AE45" s="577"/>
      <c r="AF45" s="6"/>
    </row>
    <row r="46" ht="12.75" customHeight="1">
      <c r="A46" s="595"/>
      <c r="B46" s="596"/>
      <c r="C46" s="596"/>
      <c r="D46" s="596"/>
      <c r="E46" s="596"/>
      <c r="F46" s="596"/>
      <c r="G46" s="596"/>
      <c r="H46" s="596"/>
      <c r="I46" s="596"/>
      <c r="J46" s="577"/>
      <c r="K46" s="577"/>
      <c r="L46" s="577"/>
      <c r="M46" s="577"/>
      <c r="N46" s="577"/>
      <c r="O46" s="577"/>
      <c r="P46" s="577"/>
      <c r="Q46" s="577"/>
      <c r="R46" s="577"/>
      <c r="S46" s="577"/>
      <c r="T46" s="577"/>
      <c r="U46" s="577"/>
      <c r="V46" s="577"/>
      <c r="W46" s="577"/>
      <c r="X46" s="577"/>
      <c r="Y46" s="577"/>
      <c r="Z46" s="577"/>
      <c r="AA46" s="577"/>
      <c r="AB46" s="577"/>
      <c r="AC46" s="577"/>
      <c r="AD46" s="577"/>
      <c r="AE46" s="577"/>
      <c r="AF46" s="6"/>
    </row>
    <row r="47" ht="12.75" customHeight="1">
      <c r="A47" s="595"/>
      <c r="B47" s="596"/>
      <c r="C47" s="596"/>
      <c r="D47" s="596"/>
      <c r="E47" s="596"/>
      <c r="F47" s="596"/>
      <c r="G47" s="596"/>
      <c r="H47" s="596"/>
      <c r="I47" s="596"/>
      <c r="J47" s="577"/>
      <c r="K47" s="577"/>
      <c r="L47" s="577"/>
      <c r="M47" s="577"/>
      <c r="N47" s="577"/>
      <c r="O47" s="577"/>
      <c r="P47" s="577"/>
      <c r="Q47" s="577"/>
      <c r="R47" s="577"/>
      <c r="S47" s="577"/>
      <c r="T47" s="577"/>
      <c r="U47" s="577"/>
      <c r="V47" s="577"/>
      <c r="W47" s="577"/>
      <c r="X47" s="577"/>
      <c r="Y47" s="577"/>
      <c r="Z47" s="577"/>
      <c r="AA47" s="577"/>
      <c r="AB47" s="577"/>
      <c r="AC47" s="577"/>
      <c r="AD47" s="577"/>
      <c r="AE47" s="577"/>
      <c r="AF47" s="6"/>
    </row>
    <row r="48" ht="12.75" customHeight="1">
      <c r="A48" s="595"/>
      <c r="B48" s="596"/>
      <c r="C48" s="596"/>
      <c r="D48" s="596"/>
      <c r="E48" s="596"/>
      <c r="F48" s="596"/>
      <c r="G48" s="596"/>
      <c r="H48" s="596"/>
      <c r="I48" s="596"/>
      <c r="J48" s="577"/>
      <c r="K48" s="577"/>
      <c r="L48" s="577"/>
      <c r="M48" s="577"/>
      <c r="N48" s="577"/>
      <c r="O48" s="577"/>
      <c r="P48" s="577"/>
      <c r="Q48" s="577"/>
      <c r="R48" s="577"/>
      <c r="S48" s="577"/>
      <c r="T48" s="577"/>
      <c r="U48" s="577"/>
      <c r="V48" s="577"/>
      <c r="W48" s="577"/>
      <c r="X48" s="577"/>
      <c r="Y48" s="577"/>
      <c r="Z48" s="577"/>
      <c r="AA48" s="577"/>
      <c r="AB48" s="577"/>
      <c r="AC48" s="577"/>
      <c r="AD48" s="577"/>
      <c r="AE48" s="577"/>
      <c r="AF48" s="6"/>
    </row>
    <row r="49" ht="12.75" customHeight="1">
      <c r="A49" s="595"/>
      <c r="B49" s="596"/>
      <c r="C49" s="596"/>
      <c r="D49" s="596"/>
      <c r="E49" s="596"/>
      <c r="F49" s="596"/>
      <c r="G49" s="596"/>
      <c r="H49" s="596"/>
      <c r="I49" s="596"/>
      <c r="J49" s="577"/>
      <c r="K49" s="577"/>
      <c r="L49" s="577"/>
      <c r="M49" s="577"/>
      <c r="N49" s="577"/>
      <c r="O49" s="577"/>
      <c r="P49" s="577"/>
      <c r="Q49" s="577"/>
      <c r="R49" s="577"/>
      <c r="S49" s="577"/>
      <c r="T49" s="577"/>
      <c r="U49" s="577"/>
      <c r="V49" s="577"/>
      <c r="W49" s="577"/>
      <c r="X49" s="577"/>
      <c r="Y49" s="577"/>
      <c r="Z49" s="577"/>
      <c r="AA49" s="577"/>
      <c r="AB49" s="577"/>
      <c r="AC49" s="577"/>
      <c r="AD49" s="577"/>
      <c r="AE49" s="577"/>
      <c r="AF49" s="6"/>
    </row>
    <row r="50" ht="12.75" customHeight="1">
      <c r="A50" s="595"/>
      <c r="B50" s="596"/>
      <c r="C50" s="596"/>
      <c r="D50" s="596"/>
      <c r="E50" s="596"/>
      <c r="F50" s="596"/>
      <c r="G50" s="596"/>
      <c r="H50" s="596"/>
      <c r="I50" s="596"/>
      <c r="J50" s="577"/>
      <c r="K50" s="577"/>
      <c r="L50" s="577"/>
      <c r="M50" s="577"/>
      <c r="N50" s="577"/>
      <c r="O50" s="577"/>
      <c r="P50" s="577"/>
      <c r="Q50" s="577"/>
      <c r="R50" s="577"/>
      <c r="S50" s="577"/>
      <c r="T50" s="577"/>
      <c r="U50" s="577"/>
      <c r="V50" s="577"/>
      <c r="W50" s="577"/>
      <c r="X50" s="577"/>
      <c r="Y50" s="577"/>
      <c r="Z50" s="577"/>
      <c r="AA50" s="577"/>
      <c r="AB50" s="577"/>
      <c r="AC50" s="577"/>
      <c r="AD50" s="577"/>
      <c r="AE50" s="577"/>
      <c r="AF50" s="6"/>
    </row>
    <row r="51" ht="12.75" customHeight="1">
      <c r="A51" s="595"/>
      <c r="B51" s="596"/>
      <c r="C51" s="596"/>
      <c r="D51" s="596"/>
      <c r="E51" s="596"/>
      <c r="F51" s="596"/>
      <c r="G51" s="596"/>
      <c r="H51" s="596"/>
      <c r="I51" s="596"/>
      <c r="J51" s="577"/>
      <c r="K51" s="577"/>
      <c r="L51" s="577"/>
      <c r="M51" s="577"/>
      <c r="N51" s="577"/>
      <c r="O51" s="577"/>
      <c r="P51" s="577"/>
      <c r="Q51" s="577"/>
      <c r="R51" s="577"/>
      <c r="S51" s="577"/>
      <c r="T51" s="577"/>
      <c r="U51" s="577"/>
      <c r="V51" s="577"/>
      <c r="W51" s="577"/>
      <c r="X51" s="577"/>
      <c r="Y51" s="577"/>
      <c r="Z51" s="577"/>
      <c r="AA51" s="577"/>
      <c r="AB51" s="577"/>
      <c r="AC51" s="577"/>
      <c r="AD51" s="577"/>
      <c r="AE51" s="577"/>
      <c r="AF51" s="6"/>
    </row>
    <row r="52" ht="12.75" customHeight="1">
      <c r="A52" s="595"/>
      <c r="B52" s="596"/>
      <c r="C52" s="596"/>
      <c r="D52" s="596"/>
      <c r="E52" s="596"/>
      <c r="F52" s="596"/>
      <c r="G52" s="596"/>
      <c r="H52" s="596"/>
      <c r="I52" s="596"/>
      <c r="J52" s="577"/>
      <c r="K52" s="577"/>
      <c r="L52" s="577"/>
      <c r="M52" s="577"/>
      <c r="N52" s="577"/>
      <c r="O52" s="577"/>
      <c r="P52" s="577"/>
      <c r="Q52" s="577"/>
      <c r="R52" s="577"/>
      <c r="S52" s="577"/>
      <c r="T52" s="577"/>
      <c r="U52" s="577"/>
      <c r="V52" s="577"/>
      <c r="W52" s="577"/>
      <c r="X52" s="577"/>
      <c r="Y52" s="577"/>
      <c r="Z52" s="577"/>
      <c r="AA52" s="577"/>
      <c r="AB52" s="577"/>
      <c r="AC52" s="577"/>
      <c r="AD52" s="577"/>
      <c r="AE52" s="577"/>
      <c r="AF52" s="6"/>
    </row>
    <row r="53" ht="12.75" customHeight="1">
      <c r="A53" s="595"/>
      <c r="B53" s="596"/>
      <c r="C53" s="596"/>
      <c r="D53" s="596"/>
      <c r="E53" s="596"/>
      <c r="F53" s="596"/>
      <c r="G53" s="596"/>
      <c r="H53" s="596"/>
      <c r="I53" s="596"/>
      <c r="J53" s="577"/>
      <c r="K53" s="577"/>
      <c r="L53" s="577"/>
      <c r="M53" s="577"/>
      <c r="N53" s="577"/>
      <c r="O53" s="577"/>
      <c r="P53" s="577"/>
      <c r="Q53" s="577"/>
      <c r="R53" s="577"/>
      <c r="S53" s="577"/>
      <c r="T53" s="577"/>
      <c r="U53" s="577"/>
      <c r="V53" s="577"/>
      <c r="W53" s="577"/>
      <c r="X53" s="577"/>
      <c r="Y53" s="577"/>
      <c r="Z53" s="577"/>
      <c r="AA53" s="577"/>
      <c r="AB53" s="577"/>
      <c r="AC53" s="577"/>
      <c r="AD53" s="577"/>
      <c r="AE53" s="577"/>
      <c r="AF53" s="6"/>
    </row>
    <row r="54" ht="12.75" customHeight="1">
      <c r="A54" s="595"/>
      <c r="B54" s="596"/>
      <c r="C54" s="596"/>
      <c r="D54" s="596"/>
      <c r="E54" s="596"/>
      <c r="F54" s="596"/>
      <c r="G54" s="596"/>
      <c r="H54" s="596"/>
      <c r="I54" s="596"/>
      <c r="J54" s="577"/>
      <c r="K54" s="577"/>
      <c r="L54" s="577"/>
      <c r="M54" s="577"/>
      <c r="N54" s="577"/>
      <c r="O54" s="577"/>
      <c r="P54" s="577"/>
      <c r="Q54" s="577"/>
      <c r="R54" s="577"/>
      <c r="S54" s="577"/>
      <c r="T54" s="577"/>
      <c r="U54" s="577"/>
      <c r="V54" s="577"/>
      <c r="W54" s="577"/>
      <c r="X54" s="577"/>
      <c r="Y54" s="577"/>
      <c r="Z54" s="577"/>
      <c r="AA54" s="577"/>
      <c r="AB54" s="577"/>
      <c r="AC54" s="577"/>
      <c r="AD54" s="577"/>
      <c r="AE54" s="577"/>
      <c r="AF54" s="6"/>
    </row>
    <row r="55" ht="12.75" customHeight="1">
      <c r="A55" s="595"/>
      <c r="B55" s="596"/>
      <c r="C55" s="596"/>
      <c r="D55" s="596"/>
      <c r="E55" s="596"/>
      <c r="F55" s="596"/>
      <c r="G55" s="596"/>
      <c r="H55" s="596"/>
      <c r="I55" s="596"/>
      <c r="J55" s="577"/>
      <c r="K55" s="577"/>
      <c r="L55" s="577"/>
      <c r="M55" s="577"/>
      <c r="N55" s="577"/>
      <c r="O55" s="577"/>
      <c r="P55" s="577"/>
      <c r="Q55" s="577"/>
      <c r="R55" s="577"/>
      <c r="S55" s="577"/>
      <c r="T55" s="577"/>
      <c r="U55" s="577"/>
      <c r="V55" s="577"/>
      <c r="W55" s="577"/>
      <c r="X55" s="577"/>
      <c r="Y55" s="577"/>
      <c r="Z55" s="577"/>
      <c r="AA55" s="577"/>
      <c r="AB55" s="577"/>
      <c r="AC55" s="577"/>
      <c r="AD55" s="577"/>
      <c r="AE55" s="577"/>
      <c r="AF55" s="6"/>
    </row>
    <row r="56" ht="12.75" customHeight="1">
      <c r="A56" s="595"/>
      <c r="B56" s="596"/>
      <c r="C56" s="596"/>
      <c r="D56" s="596"/>
      <c r="E56" s="596"/>
      <c r="F56" s="596"/>
      <c r="G56" s="596"/>
      <c r="H56" s="596"/>
      <c r="I56" s="596"/>
      <c r="J56" s="577"/>
      <c r="K56" s="577"/>
      <c r="L56" s="577"/>
      <c r="M56" s="577"/>
      <c r="N56" s="577"/>
      <c r="O56" s="577"/>
      <c r="P56" s="577"/>
      <c r="Q56" s="577"/>
      <c r="R56" s="577"/>
      <c r="S56" s="577"/>
      <c r="T56" s="577"/>
      <c r="U56" s="577"/>
      <c r="V56" s="577"/>
      <c r="W56" s="577"/>
      <c r="X56" s="577"/>
      <c r="Y56" s="577"/>
      <c r="Z56" s="577"/>
      <c r="AA56" s="577"/>
      <c r="AB56" s="577"/>
      <c r="AC56" s="577"/>
      <c r="AD56" s="577"/>
      <c r="AE56" s="577"/>
      <c r="AF56" s="6"/>
    </row>
    <row r="57" ht="12.75" customHeight="1">
      <c r="A57" s="595"/>
      <c r="B57" s="596"/>
      <c r="C57" s="596"/>
      <c r="D57" s="596"/>
      <c r="E57" s="596"/>
      <c r="F57" s="596"/>
      <c r="G57" s="596"/>
      <c r="H57" s="596"/>
      <c r="I57" s="596"/>
      <c r="J57" s="577"/>
      <c r="K57" s="577"/>
      <c r="L57" s="577"/>
      <c r="M57" s="577"/>
      <c r="N57" s="577"/>
      <c r="O57" s="577"/>
      <c r="P57" s="577"/>
      <c r="Q57" s="577"/>
      <c r="R57" s="577"/>
      <c r="S57" s="577"/>
      <c r="T57" s="577"/>
      <c r="U57" s="577"/>
      <c r="V57" s="577"/>
      <c r="W57" s="577"/>
      <c r="X57" s="577"/>
      <c r="Y57" s="577"/>
      <c r="Z57" s="577"/>
      <c r="AA57" s="577"/>
      <c r="AB57" s="577"/>
      <c r="AC57" s="577"/>
      <c r="AD57" s="577"/>
      <c r="AE57" s="577"/>
      <c r="AF57" s="6"/>
    </row>
    <row r="58" ht="12.75" customHeight="1">
      <c r="A58" s="595"/>
      <c r="B58" s="596"/>
      <c r="C58" s="596"/>
      <c r="D58" s="596"/>
      <c r="E58" s="596"/>
      <c r="F58" s="596"/>
      <c r="G58" s="596"/>
      <c r="H58" s="596"/>
      <c r="I58" s="596"/>
      <c r="J58" s="577"/>
      <c r="K58" s="577"/>
      <c r="L58" s="577"/>
      <c r="M58" s="577"/>
      <c r="N58" s="577"/>
      <c r="O58" s="577"/>
      <c r="P58" s="577"/>
      <c r="Q58" s="577"/>
      <c r="R58" s="577"/>
      <c r="S58" s="577"/>
      <c r="T58" s="577"/>
      <c r="U58" s="577"/>
      <c r="V58" s="577"/>
      <c r="W58" s="577"/>
      <c r="X58" s="577"/>
      <c r="Y58" s="577"/>
      <c r="Z58" s="577"/>
      <c r="AA58" s="577"/>
      <c r="AB58" s="577"/>
      <c r="AC58" s="577"/>
      <c r="AD58" s="577"/>
      <c r="AE58" s="577"/>
      <c r="AF58" s="6"/>
    </row>
    <row r="59" ht="12.75" customHeight="1">
      <c r="A59" s="595"/>
      <c r="B59" s="596"/>
      <c r="C59" s="596"/>
      <c r="D59" s="596"/>
      <c r="E59" s="596"/>
      <c r="F59" s="596"/>
      <c r="G59" s="596"/>
      <c r="H59" s="596"/>
      <c r="I59" s="596"/>
      <c r="J59" s="577"/>
      <c r="K59" s="577"/>
      <c r="L59" s="577"/>
      <c r="M59" s="577"/>
      <c r="N59" s="577"/>
      <c r="O59" s="577"/>
      <c r="P59" s="577"/>
      <c r="Q59" s="577"/>
      <c r="R59" s="577"/>
      <c r="S59" s="577"/>
      <c r="T59" s="577"/>
      <c r="U59" s="577"/>
      <c r="V59" s="577"/>
      <c r="W59" s="577"/>
      <c r="X59" s="577"/>
      <c r="Y59" s="577"/>
      <c r="Z59" s="577"/>
      <c r="AA59" s="577"/>
      <c r="AB59" s="577"/>
      <c r="AC59" s="577"/>
      <c r="AD59" s="577"/>
      <c r="AE59" s="577"/>
      <c r="AF59" s="6"/>
    </row>
    <row r="60" ht="12.75" customHeight="1">
      <c r="A60" s="595"/>
      <c r="B60" s="596"/>
      <c r="C60" s="596"/>
      <c r="D60" s="596"/>
      <c r="E60" s="596"/>
      <c r="F60" s="596"/>
      <c r="G60" s="596"/>
      <c r="H60" s="596"/>
      <c r="I60" s="596"/>
      <c r="J60" s="577"/>
      <c r="K60" s="577"/>
      <c r="L60" s="577"/>
      <c r="M60" s="577"/>
      <c r="N60" s="577"/>
      <c r="O60" s="577"/>
      <c r="P60" s="577"/>
      <c r="Q60" s="577"/>
      <c r="R60" s="577"/>
      <c r="S60" s="577"/>
      <c r="T60" s="577"/>
      <c r="U60" s="577"/>
      <c r="V60" s="577"/>
      <c r="W60" s="577"/>
      <c r="X60" s="577"/>
      <c r="Y60" s="577"/>
      <c r="Z60" s="577"/>
      <c r="AA60" s="577"/>
      <c r="AB60" s="577"/>
      <c r="AC60" s="577"/>
      <c r="AD60" s="577"/>
      <c r="AE60" s="577"/>
      <c r="AF60" s="6"/>
    </row>
    <row r="61" ht="12.75" customHeight="1">
      <c r="A61" s="595"/>
      <c r="B61" s="596"/>
      <c r="C61" s="596"/>
      <c r="D61" s="596"/>
      <c r="E61" s="596"/>
      <c r="F61" s="596"/>
      <c r="G61" s="596"/>
      <c r="H61" s="596"/>
      <c r="I61" s="596"/>
      <c r="J61" s="577"/>
      <c r="K61" s="577"/>
      <c r="L61" s="577"/>
      <c r="M61" s="577"/>
      <c r="N61" s="577"/>
      <c r="O61" s="577"/>
      <c r="P61" s="577"/>
      <c r="Q61" s="577"/>
      <c r="R61" s="577"/>
      <c r="S61" s="577"/>
      <c r="T61" s="577"/>
      <c r="U61" s="577"/>
      <c r="V61" s="577"/>
      <c r="W61" s="577"/>
      <c r="X61" s="577"/>
      <c r="Y61" s="577"/>
      <c r="Z61" s="577"/>
      <c r="AA61" s="577"/>
      <c r="AB61" s="577"/>
      <c r="AC61" s="577"/>
      <c r="AD61" s="577"/>
      <c r="AE61" s="577"/>
      <c r="AF61" s="6"/>
    </row>
    <row r="62" ht="12.75" customHeight="1">
      <c r="A62" s="595"/>
      <c r="B62" s="596"/>
      <c r="C62" s="596"/>
      <c r="D62" s="596"/>
      <c r="E62" s="596"/>
      <c r="F62" s="596"/>
      <c r="G62" s="596"/>
      <c r="H62" s="596"/>
      <c r="I62" s="596"/>
      <c r="J62" s="577"/>
      <c r="K62" s="577"/>
      <c r="L62" s="577"/>
      <c r="M62" s="577"/>
      <c r="N62" s="577"/>
      <c r="O62" s="577"/>
      <c r="P62" s="577"/>
      <c r="Q62" s="577"/>
      <c r="R62" s="577"/>
      <c r="S62" s="577"/>
      <c r="T62" s="577"/>
      <c r="U62" s="577"/>
      <c r="V62" s="577"/>
      <c r="W62" s="577"/>
      <c r="X62" s="577"/>
      <c r="Y62" s="577"/>
      <c r="Z62" s="577"/>
      <c r="AA62" s="577"/>
      <c r="AB62" s="577"/>
      <c r="AC62" s="577"/>
      <c r="AD62" s="577"/>
      <c r="AE62" s="577"/>
      <c r="AF62" s="6"/>
    </row>
    <row r="63" ht="12.75" customHeight="1">
      <c r="A63" s="595"/>
      <c r="B63" s="596"/>
      <c r="C63" s="596"/>
      <c r="D63" s="596"/>
      <c r="E63" s="596"/>
      <c r="F63" s="596"/>
      <c r="G63" s="596"/>
      <c r="H63" s="596"/>
      <c r="I63" s="596"/>
      <c r="J63" s="577"/>
      <c r="K63" s="577"/>
      <c r="L63" s="577"/>
      <c r="M63" s="577"/>
      <c r="N63" s="577"/>
      <c r="O63" s="577"/>
      <c r="P63" s="577"/>
      <c r="Q63" s="577"/>
      <c r="R63" s="577"/>
      <c r="S63" s="577"/>
      <c r="T63" s="577"/>
      <c r="U63" s="577"/>
      <c r="V63" s="577"/>
      <c r="W63" s="577"/>
      <c r="X63" s="577"/>
      <c r="Y63" s="577"/>
      <c r="Z63" s="577"/>
      <c r="AA63" s="577"/>
      <c r="AB63" s="577"/>
      <c r="AC63" s="577"/>
      <c r="AD63" s="577"/>
      <c r="AE63" s="577"/>
      <c r="AF63" s="6"/>
    </row>
    <row r="64" ht="12.75" customHeight="1">
      <c r="A64" s="595"/>
      <c r="B64" s="596"/>
      <c r="C64" s="596"/>
      <c r="D64" s="596"/>
      <c r="E64" s="596"/>
      <c r="F64" s="596"/>
      <c r="G64" s="596"/>
      <c r="H64" s="596"/>
      <c r="I64" s="596"/>
      <c r="J64" s="577"/>
      <c r="K64" s="577"/>
      <c r="L64" s="577"/>
      <c r="M64" s="577"/>
      <c r="N64" s="577"/>
      <c r="O64" s="577"/>
      <c r="P64" s="577"/>
      <c r="Q64" s="577"/>
      <c r="R64" s="577"/>
      <c r="S64" s="577"/>
      <c r="T64" s="577"/>
      <c r="U64" s="577"/>
      <c r="V64" s="577"/>
      <c r="W64" s="577"/>
      <c r="X64" s="577"/>
      <c r="Y64" s="577"/>
      <c r="Z64" s="577"/>
      <c r="AA64" s="577"/>
      <c r="AB64" s="577"/>
      <c r="AC64" s="577"/>
      <c r="AD64" s="577"/>
      <c r="AE64" s="577"/>
      <c r="AF64" s="6"/>
    </row>
    <row r="65" ht="12.75" customHeight="1">
      <c r="A65" s="595"/>
      <c r="B65" s="596"/>
      <c r="C65" s="596"/>
      <c r="D65" s="596"/>
      <c r="E65" s="596"/>
      <c r="F65" s="596"/>
      <c r="G65" s="596"/>
      <c r="H65" s="596"/>
      <c r="I65" s="596"/>
      <c r="J65" s="577"/>
      <c r="K65" s="577"/>
      <c r="L65" s="577"/>
      <c r="M65" s="577"/>
      <c r="N65" s="577"/>
      <c r="O65" s="577"/>
      <c r="P65" s="577"/>
      <c r="Q65" s="577"/>
      <c r="R65" s="577"/>
      <c r="S65" s="577"/>
      <c r="T65" s="577"/>
      <c r="U65" s="577"/>
      <c r="V65" s="577"/>
      <c r="W65" s="577"/>
      <c r="X65" s="577"/>
      <c r="Y65" s="577"/>
      <c r="Z65" s="577"/>
      <c r="AA65" s="577"/>
      <c r="AB65" s="577"/>
      <c r="AC65" s="577"/>
      <c r="AD65" s="577"/>
      <c r="AE65" s="577"/>
      <c r="AF65" s="6"/>
    </row>
    <row r="66" ht="12.75" customHeight="1">
      <c r="A66" s="595"/>
      <c r="B66" s="596"/>
      <c r="C66" s="596"/>
      <c r="D66" s="596"/>
      <c r="E66" s="596"/>
      <c r="F66" s="596"/>
      <c r="G66" s="596"/>
      <c r="H66" s="596"/>
      <c r="I66" s="596"/>
      <c r="J66" s="577"/>
      <c r="K66" s="577"/>
      <c r="L66" s="577"/>
      <c r="M66" s="577"/>
      <c r="N66" s="577"/>
      <c r="O66" s="577"/>
      <c r="P66" s="577"/>
      <c r="Q66" s="577"/>
      <c r="R66" s="577"/>
      <c r="S66" s="577"/>
      <c r="T66" s="577"/>
      <c r="U66" s="577"/>
      <c r="V66" s="577"/>
      <c r="W66" s="577"/>
      <c r="X66" s="577"/>
      <c r="Y66" s="577"/>
      <c r="Z66" s="577"/>
      <c r="AA66" s="577"/>
      <c r="AB66" s="577"/>
      <c r="AC66" s="577"/>
      <c r="AD66" s="577"/>
      <c r="AE66" s="577"/>
      <c r="AF66" s="6"/>
    </row>
    <row r="67" ht="12.75" customHeight="1">
      <c r="A67" s="595"/>
      <c r="B67" s="596"/>
      <c r="C67" s="596"/>
      <c r="D67" s="596"/>
      <c r="E67" s="596"/>
      <c r="F67" s="596"/>
      <c r="G67" s="596"/>
      <c r="H67" s="596"/>
      <c r="I67" s="596"/>
      <c r="J67" s="577"/>
      <c r="K67" s="577"/>
      <c r="L67" s="577"/>
      <c r="M67" s="577"/>
      <c r="N67" s="577"/>
      <c r="O67" s="577"/>
      <c r="P67" s="577"/>
      <c r="Q67" s="577"/>
      <c r="R67" s="577"/>
      <c r="S67" s="577"/>
      <c r="T67" s="577"/>
      <c r="U67" s="577"/>
      <c r="V67" s="577"/>
      <c r="W67" s="577"/>
      <c r="X67" s="577"/>
      <c r="Y67" s="577"/>
      <c r="Z67" s="577"/>
      <c r="AA67" s="577"/>
      <c r="AB67" s="577"/>
      <c r="AC67" s="577"/>
      <c r="AD67" s="577"/>
      <c r="AE67" s="577"/>
      <c r="AF67" s="6"/>
    </row>
    <row r="68" ht="12.75" customHeight="1">
      <c r="A68" s="595"/>
      <c r="B68" s="596"/>
      <c r="C68" s="596"/>
      <c r="D68" s="596"/>
      <c r="E68" s="596"/>
      <c r="F68" s="596"/>
      <c r="G68" s="596"/>
      <c r="H68" s="596"/>
      <c r="I68" s="596"/>
      <c r="J68" s="577"/>
      <c r="K68" s="577"/>
      <c r="L68" s="577"/>
      <c r="M68" s="577"/>
      <c r="N68" s="577"/>
      <c r="O68" s="577"/>
      <c r="P68" s="577"/>
      <c r="Q68" s="577"/>
      <c r="R68" s="577"/>
      <c r="S68" s="577"/>
      <c r="T68" s="577"/>
      <c r="U68" s="577"/>
      <c r="V68" s="577"/>
      <c r="W68" s="577"/>
      <c r="X68" s="577"/>
      <c r="Y68" s="577"/>
      <c r="Z68" s="577"/>
      <c r="AA68" s="577"/>
      <c r="AB68" s="577"/>
      <c r="AC68" s="577"/>
      <c r="AD68" s="577"/>
      <c r="AE68" s="577"/>
      <c r="AF68" s="6"/>
    </row>
    <row r="69" ht="12.75" customHeight="1">
      <c r="A69" s="595"/>
      <c r="B69" s="596"/>
      <c r="C69" s="596"/>
      <c r="D69" s="596"/>
      <c r="E69" s="596"/>
      <c r="F69" s="596"/>
      <c r="G69" s="596"/>
      <c r="H69" s="596"/>
      <c r="I69" s="596"/>
      <c r="J69" s="577"/>
      <c r="K69" s="577"/>
      <c r="L69" s="577"/>
      <c r="M69" s="577"/>
      <c r="N69" s="577"/>
      <c r="O69" s="577"/>
      <c r="P69" s="577"/>
      <c r="Q69" s="577"/>
      <c r="R69" s="577"/>
      <c r="S69" s="577"/>
      <c r="T69" s="577"/>
      <c r="U69" s="577"/>
      <c r="V69" s="577"/>
      <c r="W69" s="577"/>
      <c r="X69" s="577"/>
      <c r="Y69" s="577"/>
      <c r="Z69" s="577"/>
      <c r="AA69" s="577"/>
      <c r="AB69" s="577"/>
      <c r="AC69" s="577"/>
      <c r="AD69" s="577"/>
      <c r="AE69" s="577"/>
      <c r="AF69" s="6"/>
    </row>
    <row r="70" ht="12.75" customHeight="1">
      <c r="A70" s="595"/>
      <c r="B70" s="596"/>
      <c r="C70" s="596"/>
      <c r="D70" s="596"/>
      <c r="E70" s="596"/>
      <c r="F70" s="596"/>
      <c r="G70" s="596"/>
      <c r="H70" s="596"/>
      <c r="I70" s="596"/>
      <c r="J70" s="577"/>
      <c r="K70" s="577"/>
      <c r="L70" s="577"/>
      <c r="M70" s="577"/>
      <c r="N70" s="577"/>
      <c r="O70" s="577"/>
      <c r="P70" s="577"/>
      <c r="Q70" s="577"/>
      <c r="R70" s="577"/>
      <c r="S70" s="577"/>
      <c r="T70" s="577"/>
      <c r="U70" s="577"/>
      <c r="V70" s="577"/>
      <c r="W70" s="577"/>
      <c r="X70" s="577"/>
      <c r="Y70" s="577"/>
      <c r="Z70" s="577"/>
      <c r="AA70" s="577"/>
      <c r="AB70" s="577"/>
      <c r="AC70" s="577"/>
      <c r="AD70" s="577"/>
      <c r="AE70" s="577"/>
      <c r="AF70" s="6"/>
    </row>
    <row r="71" ht="12.75" customHeight="1">
      <c r="A71" s="595"/>
      <c r="B71" s="596"/>
      <c r="C71" s="596"/>
      <c r="D71" s="596"/>
      <c r="E71" s="596"/>
      <c r="F71" s="596"/>
      <c r="G71" s="596"/>
      <c r="H71" s="596"/>
      <c r="I71" s="596"/>
      <c r="J71" s="577"/>
      <c r="K71" s="577"/>
      <c r="L71" s="577"/>
      <c r="M71" s="577"/>
      <c r="N71" s="577"/>
      <c r="O71" s="577"/>
      <c r="P71" s="577"/>
      <c r="Q71" s="577"/>
      <c r="R71" s="577"/>
      <c r="S71" s="577"/>
      <c r="T71" s="577"/>
      <c r="U71" s="577"/>
      <c r="V71" s="577"/>
      <c r="W71" s="577"/>
      <c r="X71" s="577"/>
      <c r="Y71" s="577"/>
      <c r="Z71" s="577"/>
      <c r="AA71" s="577"/>
      <c r="AB71" s="577"/>
      <c r="AC71" s="577"/>
      <c r="AD71" s="577"/>
      <c r="AE71" s="577"/>
      <c r="AF71" s="6"/>
    </row>
    <row r="72" ht="12.75" customHeight="1">
      <c r="A72" s="595"/>
      <c r="B72" s="596"/>
      <c r="C72" s="596"/>
      <c r="D72" s="596"/>
      <c r="E72" s="596"/>
      <c r="F72" s="596"/>
      <c r="G72" s="596"/>
      <c r="H72" s="596"/>
      <c r="I72" s="596"/>
      <c r="J72" s="577"/>
      <c r="K72" s="577"/>
      <c r="L72" s="577"/>
      <c r="M72" s="577"/>
      <c r="N72" s="577"/>
      <c r="O72" s="577"/>
      <c r="P72" s="577"/>
      <c r="Q72" s="577"/>
      <c r="R72" s="577"/>
      <c r="S72" s="577"/>
      <c r="T72" s="577"/>
      <c r="U72" s="577"/>
      <c r="V72" s="577"/>
      <c r="W72" s="577"/>
      <c r="X72" s="577"/>
      <c r="Y72" s="577"/>
      <c r="Z72" s="577"/>
      <c r="AA72" s="577"/>
      <c r="AB72" s="577"/>
      <c r="AC72" s="577"/>
      <c r="AD72" s="577"/>
      <c r="AE72" s="577"/>
      <c r="AF72" s="6"/>
    </row>
    <row r="73" ht="12.75" customHeight="1">
      <c r="A73" s="595"/>
      <c r="B73" s="596"/>
      <c r="C73" s="596"/>
      <c r="D73" s="596"/>
      <c r="E73" s="596"/>
      <c r="F73" s="596"/>
      <c r="G73" s="596"/>
      <c r="H73" s="596"/>
      <c r="I73" s="596"/>
      <c r="J73" s="577"/>
      <c r="K73" s="577"/>
      <c r="L73" s="577"/>
      <c r="M73" s="577"/>
      <c r="N73" s="577"/>
      <c r="O73" s="577"/>
      <c r="P73" s="577"/>
      <c r="Q73" s="577"/>
      <c r="R73" s="577"/>
      <c r="S73" s="577"/>
      <c r="T73" s="577"/>
      <c r="U73" s="577"/>
      <c r="V73" s="577"/>
      <c r="W73" s="577"/>
      <c r="X73" s="577"/>
      <c r="Y73" s="577"/>
      <c r="Z73" s="577"/>
      <c r="AA73" s="577"/>
      <c r="AB73" s="577"/>
      <c r="AC73" s="577"/>
      <c r="AD73" s="577"/>
      <c r="AE73" s="577"/>
      <c r="AF73" s="6"/>
    </row>
    <row r="74" ht="12.75" customHeight="1">
      <c r="A74" s="595"/>
      <c r="B74" s="596"/>
      <c r="C74" s="596"/>
      <c r="D74" s="596"/>
      <c r="E74" s="596"/>
      <c r="F74" s="596"/>
      <c r="G74" s="596"/>
      <c r="H74" s="596"/>
      <c r="I74" s="596"/>
      <c r="J74" s="577"/>
      <c r="K74" s="577"/>
      <c r="L74" s="577"/>
      <c r="M74" s="577"/>
      <c r="N74" s="577"/>
      <c r="O74" s="577"/>
      <c r="P74" s="577"/>
      <c r="Q74" s="577"/>
      <c r="R74" s="577"/>
      <c r="S74" s="577"/>
      <c r="T74" s="577"/>
      <c r="U74" s="577"/>
      <c r="V74" s="577"/>
      <c r="W74" s="577"/>
      <c r="X74" s="577"/>
      <c r="Y74" s="577"/>
      <c r="Z74" s="577"/>
      <c r="AA74" s="577"/>
      <c r="AB74" s="577"/>
      <c r="AC74" s="577"/>
      <c r="AD74" s="577"/>
      <c r="AE74" s="577"/>
      <c r="AF74" s="6"/>
    </row>
    <row r="75" ht="12.75" customHeight="1">
      <c r="A75" s="595"/>
      <c r="B75" s="596"/>
      <c r="C75" s="596"/>
      <c r="D75" s="596"/>
      <c r="E75" s="596"/>
      <c r="F75" s="596"/>
      <c r="G75" s="596"/>
      <c r="H75" s="596"/>
      <c r="I75" s="596"/>
      <c r="J75" s="577"/>
      <c r="K75" s="577"/>
      <c r="L75" s="577"/>
      <c r="M75" s="577"/>
      <c r="N75" s="577"/>
      <c r="O75" s="577"/>
      <c r="P75" s="577"/>
      <c r="Q75" s="577"/>
      <c r="R75" s="577"/>
      <c r="S75" s="577"/>
      <c r="T75" s="577"/>
      <c r="U75" s="577"/>
      <c r="V75" s="577"/>
      <c r="W75" s="577"/>
      <c r="X75" s="577"/>
      <c r="Y75" s="577"/>
      <c r="Z75" s="577"/>
      <c r="AA75" s="577"/>
      <c r="AB75" s="577"/>
      <c r="AC75" s="577"/>
      <c r="AD75" s="577"/>
      <c r="AE75" s="577"/>
      <c r="AF75" s="6"/>
    </row>
    <row r="76" ht="12.75" customHeight="1">
      <c r="A76" s="595"/>
      <c r="B76" s="596"/>
      <c r="C76" s="596"/>
      <c r="D76" s="596"/>
      <c r="E76" s="596"/>
      <c r="F76" s="596"/>
      <c r="G76" s="596"/>
      <c r="H76" s="596"/>
      <c r="I76" s="596"/>
      <c r="J76" s="577"/>
      <c r="K76" s="577"/>
      <c r="L76" s="577"/>
      <c r="M76" s="577"/>
      <c r="N76" s="577"/>
      <c r="O76" s="577"/>
      <c r="P76" s="577"/>
      <c r="Q76" s="577"/>
      <c r="R76" s="577"/>
      <c r="S76" s="577"/>
      <c r="T76" s="577"/>
      <c r="U76" s="577"/>
      <c r="V76" s="577"/>
      <c r="W76" s="577"/>
      <c r="X76" s="577"/>
      <c r="Y76" s="577"/>
      <c r="Z76" s="577"/>
      <c r="AA76" s="577"/>
      <c r="AB76" s="577"/>
      <c r="AC76" s="577"/>
      <c r="AD76" s="577"/>
      <c r="AE76" s="577"/>
      <c r="AF76" s="6"/>
    </row>
    <row r="77" ht="12.75" customHeight="1">
      <c r="A77" s="595"/>
      <c r="B77" s="596"/>
      <c r="C77" s="596"/>
      <c r="D77" s="596"/>
      <c r="E77" s="596"/>
      <c r="F77" s="596"/>
      <c r="G77" s="596"/>
      <c r="H77" s="596"/>
      <c r="I77" s="596"/>
      <c r="J77" s="577"/>
      <c r="K77" s="577"/>
      <c r="L77" s="577"/>
      <c r="M77" s="577"/>
      <c r="N77" s="577"/>
      <c r="O77" s="577"/>
      <c r="P77" s="577"/>
      <c r="Q77" s="577"/>
      <c r="R77" s="577"/>
      <c r="S77" s="577"/>
      <c r="T77" s="577"/>
      <c r="U77" s="577"/>
      <c r="V77" s="577"/>
      <c r="W77" s="577"/>
      <c r="X77" s="577"/>
      <c r="Y77" s="577"/>
      <c r="Z77" s="577"/>
      <c r="AA77" s="577"/>
      <c r="AB77" s="577"/>
      <c r="AC77" s="577"/>
      <c r="AD77" s="577"/>
      <c r="AE77" s="577"/>
      <c r="AF77" s="6"/>
    </row>
    <row r="78" ht="12.75" customHeight="1">
      <c r="A78" s="595"/>
      <c r="B78" s="596"/>
      <c r="C78" s="596"/>
      <c r="D78" s="596"/>
      <c r="E78" s="596"/>
      <c r="F78" s="596"/>
      <c r="G78" s="596"/>
      <c r="H78" s="596"/>
      <c r="I78" s="596"/>
      <c r="J78" s="577"/>
      <c r="K78" s="577"/>
      <c r="L78" s="577"/>
      <c r="M78" s="577"/>
      <c r="N78" s="577"/>
      <c r="O78" s="577"/>
      <c r="P78" s="577"/>
      <c r="Q78" s="577"/>
      <c r="R78" s="577"/>
      <c r="S78" s="577"/>
      <c r="T78" s="577"/>
      <c r="U78" s="577"/>
      <c r="V78" s="577"/>
      <c r="W78" s="577"/>
      <c r="X78" s="577"/>
      <c r="Y78" s="577"/>
      <c r="Z78" s="577"/>
      <c r="AA78" s="577"/>
      <c r="AB78" s="577"/>
      <c r="AC78" s="577"/>
      <c r="AD78" s="577"/>
      <c r="AE78" s="577"/>
      <c r="AF78" s="6"/>
    </row>
    <row r="79" ht="12.75" customHeight="1">
      <c r="A79" s="595"/>
      <c r="B79" s="596"/>
      <c r="C79" s="596"/>
      <c r="D79" s="596"/>
      <c r="E79" s="596"/>
      <c r="F79" s="596"/>
      <c r="G79" s="596"/>
      <c r="H79" s="596"/>
      <c r="I79" s="596"/>
      <c r="J79" s="577"/>
      <c r="K79" s="577"/>
      <c r="L79" s="577"/>
      <c r="M79" s="577"/>
      <c r="N79" s="577"/>
      <c r="O79" s="577"/>
      <c r="P79" s="577"/>
      <c r="Q79" s="577"/>
      <c r="R79" s="577"/>
      <c r="S79" s="577"/>
      <c r="T79" s="577"/>
      <c r="U79" s="577"/>
      <c r="V79" s="577"/>
      <c r="W79" s="577"/>
      <c r="X79" s="577"/>
      <c r="Y79" s="577"/>
      <c r="Z79" s="577"/>
      <c r="AA79" s="577"/>
      <c r="AB79" s="577"/>
      <c r="AC79" s="577"/>
      <c r="AD79" s="577"/>
      <c r="AE79" s="577"/>
      <c r="AF79" s="6"/>
    </row>
    <row r="80" ht="12.75" customHeight="1">
      <c r="A80" s="595"/>
      <c r="B80" s="596"/>
      <c r="C80" s="596"/>
      <c r="D80" s="596"/>
      <c r="E80" s="596"/>
      <c r="F80" s="596"/>
      <c r="G80" s="596"/>
      <c r="H80" s="596"/>
      <c r="I80" s="596"/>
      <c r="J80" s="577"/>
      <c r="K80" s="577"/>
      <c r="L80" s="577"/>
      <c r="M80" s="577"/>
      <c r="N80" s="577"/>
      <c r="O80" s="577"/>
      <c r="P80" s="577"/>
      <c r="Q80" s="577"/>
      <c r="R80" s="577"/>
      <c r="S80" s="577"/>
      <c r="T80" s="577"/>
      <c r="U80" s="577"/>
      <c r="V80" s="577"/>
      <c r="W80" s="577"/>
      <c r="X80" s="577"/>
      <c r="Y80" s="577"/>
      <c r="Z80" s="577"/>
      <c r="AA80" s="577"/>
      <c r="AB80" s="577"/>
      <c r="AC80" s="577"/>
      <c r="AD80" s="577"/>
      <c r="AE80" s="577"/>
      <c r="AF80" s="6"/>
    </row>
    <row r="81" ht="12.75" customHeight="1">
      <c r="A81" s="595"/>
      <c r="B81" s="596"/>
      <c r="C81" s="596"/>
      <c r="D81" s="596"/>
      <c r="E81" s="596"/>
      <c r="F81" s="596"/>
      <c r="G81" s="596"/>
      <c r="H81" s="596"/>
      <c r="I81" s="596"/>
      <c r="J81" s="577"/>
      <c r="K81" s="577"/>
      <c r="L81" s="577"/>
      <c r="M81" s="577"/>
      <c r="N81" s="577"/>
      <c r="O81" s="577"/>
      <c r="P81" s="577"/>
      <c r="Q81" s="577"/>
      <c r="R81" s="577"/>
      <c r="S81" s="577"/>
      <c r="T81" s="577"/>
      <c r="U81" s="577"/>
      <c r="V81" s="577"/>
      <c r="W81" s="577"/>
      <c r="X81" s="577"/>
      <c r="Y81" s="577"/>
      <c r="Z81" s="577"/>
      <c r="AA81" s="577"/>
      <c r="AB81" s="577"/>
      <c r="AC81" s="577"/>
      <c r="AD81" s="577"/>
      <c r="AE81" s="577"/>
      <c r="AF81" s="6"/>
    </row>
    <row r="82" ht="12.75" customHeight="1">
      <c r="A82" s="595"/>
      <c r="B82" s="596"/>
      <c r="C82" s="596"/>
      <c r="D82" s="596"/>
      <c r="E82" s="596"/>
      <c r="F82" s="596"/>
      <c r="G82" s="596"/>
      <c r="H82" s="596"/>
      <c r="I82" s="596"/>
      <c r="J82" s="577"/>
      <c r="K82" s="577"/>
      <c r="L82" s="577"/>
      <c r="M82" s="577"/>
      <c r="N82" s="577"/>
      <c r="O82" s="577"/>
      <c r="P82" s="577"/>
      <c r="Q82" s="577"/>
      <c r="R82" s="577"/>
      <c r="S82" s="577"/>
      <c r="T82" s="577"/>
      <c r="U82" s="577"/>
      <c r="V82" s="577"/>
      <c r="W82" s="577"/>
      <c r="X82" s="577"/>
      <c r="Y82" s="577"/>
      <c r="Z82" s="577"/>
      <c r="AA82" s="577"/>
      <c r="AB82" s="577"/>
      <c r="AC82" s="577"/>
      <c r="AD82" s="577"/>
      <c r="AE82" s="577"/>
      <c r="AF82" s="6"/>
    </row>
    <row r="83" ht="12.75" customHeight="1">
      <c r="A83" s="595"/>
      <c r="B83" s="596"/>
      <c r="C83" s="596"/>
      <c r="D83" s="596"/>
      <c r="E83" s="596"/>
      <c r="F83" s="596"/>
      <c r="G83" s="596"/>
      <c r="H83" s="596"/>
      <c r="I83" s="596"/>
      <c r="J83" s="577"/>
      <c r="K83" s="577"/>
      <c r="L83" s="577"/>
      <c r="M83" s="577"/>
      <c r="N83" s="577"/>
      <c r="O83" s="577"/>
      <c r="P83" s="577"/>
      <c r="Q83" s="577"/>
      <c r="R83" s="577"/>
      <c r="S83" s="577"/>
      <c r="T83" s="577"/>
      <c r="U83" s="577"/>
      <c r="V83" s="577"/>
      <c r="W83" s="577"/>
      <c r="X83" s="577"/>
      <c r="Y83" s="577"/>
      <c r="Z83" s="577"/>
      <c r="AA83" s="577"/>
      <c r="AB83" s="577"/>
      <c r="AC83" s="577"/>
      <c r="AD83" s="577"/>
      <c r="AE83" s="577"/>
      <c r="AF83" s="6"/>
    </row>
    <row r="84" ht="12.75" customHeight="1">
      <c r="A84" s="595"/>
      <c r="B84" s="596"/>
      <c r="C84" s="596"/>
      <c r="D84" s="596"/>
      <c r="E84" s="596"/>
      <c r="F84" s="596"/>
      <c r="G84" s="596"/>
      <c r="H84" s="596"/>
      <c r="I84" s="596"/>
      <c r="J84" s="577"/>
      <c r="K84" s="577"/>
      <c r="L84" s="577"/>
      <c r="M84" s="577"/>
      <c r="N84" s="577"/>
      <c r="O84" s="577"/>
      <c r="P84" s="577"/>
      <c r="Q84" s="577"/>
      <c r="R84" s="577"/>
      <c r="S84" s="577"/>
      <c r="T84" s="577"/>
      <c r="U84" s="577"/>
      <c r="V84" s="577"/>
      <c r="W84" s="577"/>
      <c r="X84" s="577"/>
      <c r="Y84" s="577"/>
      <c r="Z84" s="577"/>
      <c r="AA84" s="577"/>
      <c r="AB84" s="577"/>
      <c r="AC84" s="577"/>
      <c r="AD84" s="577"/>
      <c r="AE84" s="577"/>
      <c r="AF84" s="6"/>
    </row>
    <row r="85" ht="12.75" customHeight="1">
      <c r="A85" s="595"/>
      <c r="B85" s="596"/>
      <c r="C85" s="596"/>
      <c r="D85" s="596"/>
      <c r="E85" s="596"/>
      <c r="F85" s="596"/>
      <c r="G85" s="596"/>
      <c r="H85" s="596"/>
      <c r="I85" s="596"/>
      <c r="J85" s="577"/>
      <c r="K85" s="577"/>
      <c r="L85" s="577"/>
      <c r="M85" s="577"/>
      <c r="N85" s="577"/>
      <c r="O85" s="577"/>
      <c r="P85" s="577"/>
      <c r="Q85" s="577"/>
      <c r="R85" s="577"/>
      <c r="S85" s="577"/>
      <c r="T85" s="577"/>
      <c r="U85" s="577"/>
      <c r="V85" s="577"/>
      <c r="W85" s="577"/>
      <c r="X85" s="577"/>
      <c r="Y85" s="577"/>
      <c r="Z85" s="577"/>
      <c r="AA85" s="577"/>
      <c r="AB85" s="577"/>
      <c r="AC85" s="577"/>
      <c r="AD85" s="577"/>
      <c r="AE85" s="577"/>
      <c r="AF85" s="6"/>
    </row>
    <row r="86" ht="12.75" customHeight="1">
      <c r="A86" s="595"/>
      <c r="B86" s="596"/>
      <c r="C86" s="596"/>
      <c r="D86" s="596"/>
      <c r="E86" s="596"/>
      <c r="F86" s="596"/>
      <c r="G86" s="596"/>
      <c r="H86" s="596"/>
      <c r="I86" s="596"/>
      <c r="J86" s="577"/>
      <c r="K86" s="577"/>
      <c r="L86" s="577"/>
      <c r="M86" s="577"/>
      <c r="N86" s="577"/>
      <c r="O86" s="577"/>
      <c r="P86" s="577"/>
      <c r="Q86" s="577"/>
      <c r="R86" s="577"/>
      <c r="S86" s="577"/>
      <c r="T86" s="577"/>
      <c r="U86" s="577"/>
      <c r="V86" s="577"/>
      <c r="W86" s="577"/>
      <c r="X86" s="577"/>
      <c r="Y86" s="577"/>
      <c r="Z86" s="577"/>
      <c r="AA86" s="577"/>
      <c r="AB86" s="577"/>
      <c r="AC86" s="577"/>
      <c r="AD86" s="577"/>
      <c r="AE86" s="577"/>
      <c r="AF86" s="6"/>
    </row>
    <row r="87" ht="12.75" customHeight="1">
      <c r="A87" s="595"/>
      <c r="B87" s="596"/>
      <c r="C87" s="596"/>
      <c r="D87" s="596"/>
      <c r="E87" s="596"/>
      <c r="F87" s="596"/>
      <c r="G87" s="596"/>
      <c r="H87" s="596"/>
      <c r="I87" s="596"/>
      <c r="J87" s="577"/>
      <c r="K87" s="577"/>
      <c r="L87" s="577"/>
      <c r="M87" s="577"/>
      <c r="N87" s="577"/>
      <c r="O87" s="577"/>
      <c r="P87" s="577"/>
      <c r="Q87" s="577"/>
      <c r="R87" s="577"/>
      <c r="S87" s="577"/>
      <c r="T87" s="577"/>
      <c r="U87" s="577"/>
      <c r="V87" s="577"/>
      <c r="W87" s="577"/>
      <c r="X87" s="577"/>
      <c r="Y87" s="577"/>
      <c r="Z87" s="577"/>
      <c r="AA87" s="577"/>
      <c r="AB87" s="577"/>
      <c r="AC87" s="577"/>
      <c r="AD87" s="577"/>
      <c r="AE87" s="577"/>
      <c r="AF87" s="6"/>
    </row>
    <row r="88" ht="12.75" customHeight="1">
      <c r="A88" s="595"/>
      <c r="B88" s="596"/>
      <c r="C88" s="596"/>
      <c r="D88" s="596"/>
      <c r="E88" s="596"/>
      <c r="F88" s="596"/>
      <c r="G88" s="596"/>
      <c r="H88" s="596"/>
      <c r="I88" s="596"/>
      <c r="J88" s="577"/>
      <c r="K88" s="577"/>
      <c r="L88" s="577"/>
      <c r="M88" s="577"/>
      <c r="N88" s="577"/>
      <c r="O88" s="577"/>
      <c r="P88" s="577"/>
      <c r="Q88" s="577"/>
      <c r="R88" s="577"/>
      <c r="S88" s="577"/>
      <c r="T88" s="577"/>
      <c r="U88" s="577"/>
      <c r="V88" s="577"/>
      <c r="W88" s="577"/>
      <c r="X88" s="577"/>
      <c r="Y88" s="577"/>
      <c r="Z88" s="577"/>
      <c r="AA88" s="577"/>
      <c r="AB88" s="577"/>
      <c r="AC88" s="577"/>
      <c r="AD88" s="577"/>
      <c r="AE88" s="577"/>
      <c r="AF88" s="6"/>
    </row>
    <row r="89" ht="12.75" customHeight="1">
      <c r="A89" s="595"/>
      <c r="B89" s="596"/>
      <c r="C89" s="596"/>
      <c r="D89" s="596"/>
      <c r="E89" s="596"/>
      <c r="F89" s="596"/>
      <c r="G89" s="596"/>
      <c r="H89" s="596"/>
      <c r="I89" s="596"/>
      <c r="J89" s="577"/>
      <c r="K89" s="577"/>
      <c r="L89" s="577"/>
      <c r="M89" s="577"/>
      <c r="N89" s="577"/>
      <c r="O89" s="577"/>
      <c r="P89" s="577"/>
      <c r="Q89" s="577"/>
      <c r="R89" s="577"/>
      <c r="S89" s="577"/>
      <c r="T89" s="577"/>
      <c r="U89" s="577"/>
      <c r="V89" s="577"/>
      <c r="W89" s="577"/>
      <c r="X89" s="577"/>
      <c r="Y89" s="577"/>
      <c r="Z89" s="577"/>
      <c r="AA89" s="577"/>
      <c r="AB89" s="577"/>
      <c r="AC89" s="577"/>
      <c r="AD89" s="577"/>
      <c r="AE89" s="577"/>
      <c r="AF89" s="6"/>
    </row>
    <row r="90" ht="12.75" customHeight="1">
      <c r="A90" s="595"/>
      <c r="B90" s="596"/>
      <c r="C90" s="596"/>
      <c r="D90" s="596"/>
      <c r="E90" s="596"/>
      <c r="F90" s="596"/>
      <c r="G90" s="596"/>
      <c r="H90" s="596"/>
      <c r="I90" s="596"/>
      <c r="J90" s="577"/>
      <c r="K90" s="577"/>
      <c r="L90" s="577"/>
      <c r="M90" s="577"/>
      <c r="N90" s="577"/>
      <c r="O90" s="577"/>
      <c r="P90" s="577"/>
      <c r="Q90" s="577"/>
      <c r="R90" s="577"/>
      <c r="S90" s="577"/>
      <c r="T90" s="577"/>
      <c r="U90" s="577"/>
      <c r="V90" s="577"/>
      <c r="W90" s="577"/>
      <c r="X90" s="577"/>
      <c r="Y90" s="577"/>
      <c r="Z90" s="577"/>
      <c r="AA90" s="577"/>
      <c r="AB90" s="577"/>
      <c r="AC90" s="577"/>
      <c r="AD90" s="577"/>
      <c r="AE90" s="577"/>
      <c r="AF90" s="6"/>
    </row>
    <row r="91" ht="12.75" customHeight="1">
      <c r="A91" s="595"/>
      <c r="B91" s="596"/>
      <c r="C91" s="596"/>
      <c r="D91" s="596"/>
      <c r="E91" s="596"/>
      <c r="F91" s="596"/>
      <c r="G91" s="596"/>
      <c r="H91" s="596"/>
      <c r="I91" s="596"/>
      <c r="J91" s="577"/>
      <c r="K91" s="577"/>
      <c r="L91" s="577"/>
      <c r="M91" s="577"/>
      <c r="N91" s="577"/>
      <c r="O91" s="577"/>
      <c r="P91" s="577"/>
      <c r="Q91" s="577"/>
      <c r="R91" s="577"/>
      <c r="S91" s="577"/>
      <c r="T91" s="577"/>
      <c r="U91" s="577"/>
      <c r="V91" s="577"/>
      <c r="W91" s="577"/>
      <c r="X91" s="577"/>
      <c r="Y91" s="577"/>
      <c r="Z91" s="577"/>
      <c r="AA91" s="577"/>
      <c r="AB91" s="577"/>
      <c r="AC91" s="577"/>
      <c r="AD91" s="577"/>
      <c r="AE91" s="577"/>
      <c r="AF91" s="6"/>
    </row>
    <row r="92" ht="12.75" customHeight="1">
      <c r="A92" s="595"/>
      <c r="B92" s="596"/>
      <c r="C92" s="596"/>
      <c r="D92" s="596"/>
      <c r="E92" s="596"/>
      <c r="F92" s="596"/>
      <c r="G92" s="596"/>
      <c r="H92" s="596"/>
      <c r="I92" s="596"/>
      <c r="J92" s="577"/>
      <c r="K92" s="577"/>
      <c r="L92" s="577"/>
      <c r="M92" s="577"/>
      <c r="N92" s="577"/>
      <c r="O92" s="577"/>
      <c r="P92" s="577"/>
      <c r="Q92" s="577"/>
      <c r="R92" s="577"/>
      <c r="S92" s="577"/>
      <c r="T92" s="577"/>
      <c r="U92" s="577"/>
      <c r="V92" s="577"/>
      <c r="W92" s="577"/>
      <c r="X92" s="577"/>
      <c r="Y92" s="577"/>
      <c r="Z92" s="577"/>
      <c r="AA92" s="577"/>
      <c r="AB92" s="577"/>
      <c r="AC92" s="577"/>
      <c r="AD92" s="577"/>
      <c r="AE92" s="577"/>
      <c r="AF92" s="6"/>
    </row>
    <row r="93" ht="12.75" customHeight="1">
      <c r="A93" s="595"/>
      <c r="B93" s="596"/>
      <c r="C93" s="596"/>
      <c r="D93" s="596"/>
      <c r="E93" s="596"/>
      <c r="F93" s="596"/>
      <c r="G93" s="596"/>
      <c r="H93" s="596"/>
      <c r="I93" s="596"/>
      <c r="J93" s="577"/>
      <c r="K93" s="577"/>
      <c r="L93" s="577"/>
      <c r="M93" s="577"/>
      <c r="N93" s="577"/>
      <c r="O93" s="577"/>
      <c r="P93" s="577"/>
      <c r="Q93" s="577"/>
      <c r="R93" s="577"/>
      <c r="S93" s="577"/>
      <c r="T93" s="577"/>
      <c r="U93" s="577"/>
      <c r="V93" s="577"/>
      <c r="W93" s="577"/>
      <c r="X93" s="577"/>
      <c r="Y93" s="577"/>
      <c r="Z93" s="577"/>
      <c r="AA93" s="577"/>
      <c r="AB93" s="577"/>
      <c r="AC93" s="577"/>
      <c r="AD93" s="577"/>
      <c r="AE93" s="577"/>
      <c r="AF93" s="6"/>
    </row>
    <row r="94" ht="12.75" customHeight="1">
      <c r="A94" s="595"/>
      <c r="B94" s="596"/>
      <c r="C94" s="596"/>
      <c r="D94" s="596"/>
      <c r="E94" s="596"/>
      <c r="F94" s="596"/>
      <c r="G94" s="596"/>
      <c r="H94" s="596"/>
      <c r="I94" s="596"/>
      <c r="J94" s="577"/>
      <c r="K94" s="577"/>
      <c r="L94" s="577"/>
      <c r="M94" s="577"/>
      <c r="N94" s="577"/>
      <c r="O94" s="577"/>
      <c r="P94" s="577"/>
      <c r="Q94" s="577"/>
      <c r="R94" s="577"/>
      <c r="S94" s="577"/>
      <c r="T94" s="577"/>
      <c r="U94" s="577"/>
      <c r="V94" s="577"/>
      <c r="W94" s="577"/>
      <c r="X94" s="577"/>
      <c r="Y94" s="577"/>
      <c r="Z94" s="577"/>
      <c r="AA94" s="577"/>
      <c r="AB94" s="577"/>
      <c r="AC94" s="577"/>
      <c r="AD94" s="577"/>
      <c r="AE94" s="577"/>
      <c r="AF94" s="6"/>
    </row>
    <row r="95" ht="12.75" customHeight="1">
      <c r="A95" s="595"/>
      <c r="B95" s="596"/>
      <c r="C95" s="596"/>
      <c r="D95" s="596"/>
      <c r="E95" s="596"/>
      <c r="F95" s="596"/>
      <c r="G95" s="596"/>
      <c r="H95" s="596"/>
      <c r="I95" s="596"/>
      <c r="J95" s="577"/>
      <c r="K95" s="577"/>
      <c r="L95" s="577"/>
      <c r="M95" s="577"/>
      <c r="N95" s="577"/>
      <c r="O95" s="577"/>
      <c r="P95" s="577"/>
      <c r="Q95" s="577"/>
      <c r="R95" s="577"/>
      <c r="S95" s="577"/>
      <c r="T95" s="577"/>
      <c r="U95" s="577"/>
      <c r="V95" s="577"/>
      <c r="W95" s="577"/>
      <c r="X95" s="577"/>
      <c r="Y95" s="577"/>
      <c r="Z95" s="577"/>
      <c r="AA95" s="577"/>
      <c r="AB95" s="577"/>
      <c r="AC95" s="577"/>
      <c r="AD95" s="577"/>
      <c r="AE95" s="577"/>
      <c r="AF95" s="6"/>
    </row>
    <row r="96" ht="12.75" customHeight="1">
      <c r="A96" s="595"/>
      <c r="B96" s="596"/>
      <c r="C96" s="596"/>
      <c r="D96" s="596"/>
      <c r="E96" s="596"/>
      <c r="F96" s="596"/>
      <c r="G96" s="596"/>
      <c r="H96" s="596"/>
      <c r="I96" s="596"/>
      <c r="J96" s="577"/>
      <c r="K96" s="577"/>
      <c r="L96" s="577"/>
      <c r="M96" s="577"/>
      <c r="N96" s="577"/>
      <c r="O96" s="577"/>
      <c r="P96" s="577"/>
      <c r="Q96" s="577"/>
      <c r="R96" s="577"/>
      <c r="S96" s="577"/>
      <c r="T96" s="577"/>
      <c r="U96" s="577"/>
      <c r="V96" s="577"/>
      <c r="W96" s="577"/>
      <c r="X96" s="577"/>
      <c r="Y96" s="577"/>
      <c r="Z96" s="577"/>
      <c r="AA96" s="577"/>
      <c r="AB96" s="577"/>
      <c r="AC96" s="577"/>
      <c r="AD96" s="577"/>
      <c r="AE96" s="577"/>
      <c r="AF96" s="6"/>
    </row>
    <row r="97" ht="12.75" customHeight="1">
      <c r="A97" s="595"/>
      <c r="B97" s="596"/>
      <c r="C97" s="596"/>
      <c r="D97" s="596"/>
      <c r="E97" s="596"/>
      <c r="F97" s="596"/>
      <c r="G97" s="596"/>
      <c r="H97" s="596"/>
      <c r="I97" s="596"/>
      <c r="J97" s="577"/>
      <c r="K97" s="577"/>
      <c r="L97" s="577"/>
      <c r="M97" s="577"/>
      <c r="N97" s="577"/>
      <c r="O97" s="577"/>
      <c r="P97" s="577"/>
      <c r="Q97" s="577"/>
      <c r="R97" s="577"/>
      <c r="S97" s="577"/>
      <c r="T97" s="577"/>
      <c r="U97" s="577"/>
      <c r="V97" s="577"/>
      <c r="W97" s="577"/>
      <c r="X97" s="577"/>
      <c r="Y97" s="577"/>
      <c r="Z97" s="577"/>
      <c r="AA97" s="577"/>
      <c r="AB97" s="577"/>
      <c r="AC97" s="577"/>
      <c r="AD97" s="577"/>
      <c r="AE97" s="577"/>
      <c r="AF97" s="6"/>
    </row>
    <row r="98" ht="12.75" customHeight="1">
      <c r="A98" s="595"/>
      <c r="B98" s="596"/>
      <c r="C98" s="596"/>
      <c r="D98" s="596"/>
      <c r="E98" s="596"/>
      <c r="F98" s="596"/>
      <c r="G98" s="596"/>
      <c r="H98" s="596"/>
      <c r="I98" s="596"/>
      <c r="J98" s="577"/>
      <c r="K98" s="577"/>
      <c r="L98" s="577"/>
      <c r="M98" s="577"/>
      <c r="N98" s="577"/>
      <c r="O98" s="577"/>
      <c r="P98" s="577"/>
      <c r="Q98" s="577"/>
      <c r="R98" s="577"/>
      <c r="S98" s="577"/>
      <c r="T98" s="577"/>
      <c r="U98" s="577"/>
      <c r="V98" s="577"/>
      <c r="W98" s="577"/>
      <c r="X98" s="577"/>
      <c r="Y98" s="577"/>
      <c r="Z98" s="577"/>
      <c r="AA98" s="577"/>
      <c r="AB98" s="577"/>
      <c r="AC98" s="577"/>
      <c r="AD98" s="577"/>
      <c r="AE98" s="577"/>
      <c r="AF98" s="6"/>
    </row>
    <row r="99" ht="12.75" customHeight="1">
      <c r="A99" s="595"/>
      <c r="B99" s="596"/>
      <c r="C99" s="596"/>
      <c r="D99" s="596"/>
      <c r="E99" s="596"/>
      <c r="F99" s="596"/>
      <c r="G99" s="596"/>
      <c r="H99" s="596"/>
      <c r="I99" s="596"/>
      <c r="J99" s="577"/>
      <c r="K99" s="577"/>
      <c r="L99" s="577"/>
      <c r="M99" s="577"/>
      <c r="N99" s="577"/>
      <c r="O99" s="577"/>
      <c r="P99" s="577"/>
      <c r="Q99" s="577"/>
      <c r="R99" s="577"/>
      <c r="S99" s="577"/>
      <c r="T99" s="577"/>
      <c r="U99" s="577"/>
      <c r="V99" s="577"/>
      <c r="W99" s="577"/>
      <c r="X99" s="577"/>
      <c r="Y99" s="577"/>
      <c r="Z99" s="577"/>
      <c r="AA99" s="577"/>
      <c r="AB99" s="577"/>
      <c r="AC99" s="577"/>
      <c r="AD99" s="577"/>
      <c r="AE99" s="577"/>
      <c r="AF99" s="6"/>
    </row>
    <row r="100" ht="12.75" customHeight="1">
      <c r="A100" s="595"/>
      <c r="B100" s="596"/>
      <c r="C100" s="596"/>
      <c r="D100" s="596"/>
      <c r="E100" s="596"/>
      <c r="F100" s="596"/>
      <c r="G100" s="596"/>
      <c r="H100" s="596"/>
      <c r="I100" s="596"/>
      <c r="J100" s="577"/>
      <c r="K100" s="577"/>
      <c r="L100" s="577"/>
      <c r="M100" s="577"/>
      <c r="N100" s="577"/>
      <c r="O100" s="577"/>
      <c r="P100" s="577"/>
      <c r="Q100" s="577"/>
      <c r="R100" s="577"/>
      <c r="S100" s="577"/>
      <c r="T100" s="577"/>
      <c r="U100" s="577"/>
      <c r="V100" s="577"/>
      <c r="W100" s="577"/>
      <c r="X100" s="577"/>
      <c r="Y100" s="577"/>
      <c r="Z100" s="577"/>
      <c r="AA100" s="577"/>
      <c r="AB100" s="577"/>
      <c r="AC100" s="577"/>
      <c r="AD100" s="577"/>
      <c r="AE100" s="577"/>
      <c r="AF100" s="6"/>
    </row>
    <row r="101" ht="12.75" customHeight="1">
      <c r="A101" s="595"/>
      <c r="B101" s="596"/>
      <c r="C101" s="596"/>
      <c r="D101" s="596"/>
      <c r="E101" s="596"/>
      <c r="F101" s="596"/>
      <c r="G101" s="596"/>
      <c r="H101" s="596"/>
      <c r="I101" s="596"/>
      <c r="J101" s="577"/>
      <c r="K101" s="577"/>
      <c r="L101" s="577"/>
      <c r="M101" s="577"/>
      <c r="N101" s="577"/>
      <c r="O101" s="577"/>
      <c r="P101" s="577"/>
      <c r="Q101" s="577"/>
      <c r="R101" s="577"/>
      <c r="S101" s="577"/>
      <c r="T101" s="577"/>
      <c r="U101" s="577"/>
      <c r="V101" s="577"/>
      <c r="W101" s="577"/>
      <c r="X101" s="577"/>
      <c r="Y101" s="577"/>
      <c r="Z101" s="577"/>
      <c r="AA101" s="577"/>
      <c r="AB101" s="577"/>
      <c r="AC101" s="577"/>
      <c r="AD101" s="577"/>
      <c r="AE101" s="577"/>
      <c r="AF101" s="6"/>
    </row>
    <row r="102" ht="12.75" customHeight="1">
      <c r="A102" s="595"/>
      <c r="B102" s="596"/>
      <c r="C102" s="596"/>
      <c r="D102" s="596"/>
      <c r="E102" s="596"/>
      <c r="F102" s="596"/>
      <c r="G102" s="596"/>
      <c r="H102" s="596"/>
      <c r="I102" s="596"/>
      <c r="J102" s="577"/>
      <c r="K102" s="577"/>
      <c r="L102" s="577"/>
      <c r="M102" s="577"/>
      <c r="N102" s="577"/>
      <c r="O102" s="577"/>
      <c r="P102" s="577"/>
      <c r="Q102" s="577"/>
      <c r="R102" s="577"/>
      <c r="S102" s="577"/>
      <c r="T102" s="577"/>
      <c r="U102" s="577"/>
      <c r="V102" s="577"/>
      <c r="W102" s="577"/>
      <c r="X102" s="577"/>
      <c r="Y102" s="577"/>
      <c r="Z102" s="577"/>
      <c r="AA102" s="577"/>
      <c r="AB102" s="577"/>
      <c r="AC102" s="577"/>
      <c r="AD102" s="577"/>
      <c r="AE102" s="577"/>
      <c r="AF102" s="6"/>
    </row>
    <row r="103" ht="12.75" customHeight="1">
      <c r="A103" s="595"/>
      <c r="B103" s="596"/>
      <c r="C103" s="596"/>
      <c r="D103" s="596"/>
      <c r="E103" s="596"/>
      <c r="F103" s="596"/>
      <c r="G103" s="596"/>
      <c r="H103" s="596"/>
      <c r="I103" s="596"/>
      <c r="J103" s="577"/>
      <c r="K103" s="577"/>
      <c r="L103" s="577"/>
      <c r="M103" s="577"/>
      <c r="N103" s="577"/>
      <c r="O103" s="577"/>
      <c r="P103" s="577"/>
      <c r="Q103" s="577"/>
      <c r="R103" s="577"/>
      <c r="S103" s="577"/>
      <c r="T103" s="577"/>
      <c r="U103" s="577"/>
      <c r="V103" s="577"/>
      <c r="W103" s="577"/>
      <c r="X103" s="577"/>
      <c r="Y103" s="577"/>
      <c r="Z103" s="577"/>
      <c r="AA103" s="577"/>
      <c r="AB103" s="577"/>
      <c r="AC103" s="577"/>
      <c r="AD103" s="577"/>
      <c r="AE103" s="577"/>
      <c r="AF103" s="6"/>
    </row>
    <row r="104" ht="12.75" customHeight="1">
      <c r="A104" s="595"/>
      <c r="B104" s="596"/>
      <c r="C104" s="596"/>
      <c r="D104" s="596"/>
      <c r="E104" s="596"/>
      <c r="F104" s="596"/>
      <c r="G104" s="596"/>
      <c r="H104" s="596"/>
      <c r="I104" s="596"/>
      <c r="J104" s="577"/>
      <c r="K104" s="577"/>
      <c r="L104" s="577"/>
      <c r="M104" s="577"/>
      <c r="N104" s="577"/>
      <c r="O104" s="577"/>
      <c r="P104" s="577"/>
      <c r="Q104" s="577"/>
      <c r="R104" s="577"/>
      <c r="S104" s="577"/>
      <c r="T104" s="577"/>
      <c r="U104" s="577"/>
      <c r="V104" s="577"/>
      <c r="W104" s="577"/>
      <c r="X104" s="577"/>
      <c r="Y104" s="577"/>
      <c r="Z104" s="577"/>
      <c r="AA104" s="577"/>
      <c r="AB104" s="577"/>
      <c r="AC104" s="577"/>
      <c r="AD104" s="577"/>
      <c r="AE104" s="577"/>
      <c r="AF104" s="6"/>
    </row>
    <row r="105" ht="12.75" customHeight="1">
      <c r="A105" s="595"/>
      <c r="B105" s="596"/>
      <c r="C105" s="596"/>
      <c r="D105" s="596"/>
      <c r="E105" s="596"/>
      <c r="F105" s="596"/>
      <c r="G105" s="596"/>
      <c r="H105" s="596"/>
      <c r="I105" s="596"/>
      <c r="J105" s="577"/>
      <c r="K105" s="577"/>
      <c r="L105" s="577"/>
      <c r="M105" s="577"/>
      <c r="N105" s="577"/>
      <c r="O105" s="577"/>
      <c r="P105" s="577"/>
      <c r="Q105" s="577"/>
      <c r="R105" s="577"/>
      <c r="S105" s="577"/>
      <c r="T105" s="577"/>
      <c r="U105" s="577"/>
      <c r="V105" s="577"/>
      <c r="W105" s="577"/>
      <c r="X105" s="577"/>
      <c r="Y105" s="577"/>
      <c r="Z105" s="577"/>
      <c r="AA105" s="577"/>
      <c r="AB105" s="577"/>
      <c r="AC105" s="577"/>
      <c r="AD105" s="577"/>
      <c r="AE105" s="577"/>
      <c r="AF105" s="6"/>
    </row>
    <row r="106" ht="12.75" customHeight="1">
      <c r="A106" s="595"/>
      <c r="B106" s="596"/>
      <c r="C106" s="596"/>
      <c r="D106" s="596"/>
      <c r="E106" s="596"/>
      <c r="F106" s="596"/>
      <c r="G106" s="596"/>
      <c r="H106" s="596"/>
      <c r="I106" s="596"/>
      <c r="J106" s="577"/>
      <c r="K106" s="577"/>
      <c r="L106" s="577"/>
      <c r="M106" s="577"/>
      <c r="N106" s="577"/>
      <c r="O106" s="577"/>
      <c r="P106" s="577"/>
      <c r="Q106" s="577"/>
      <c r="R106" s="577"/>
      <c r="S106" s="577"/>
      <c r="T106" s="577"/>
      <c r="U106" s="577"/>
      <c r="V106" s="577"/>
      <c r="W106" s="577"/>
      <c r="X106" s="577"/>
      <c r="Y106" s="577"/>
      <c r="Z106" s="577"/>
      <c r="AA106" s="577"/>
      <c r="AB106" s="577"/>
      <c r="AC106" s="577"/>
      <c r="AD106" s="577"/>
      <c r="AE106" s="577"/>
      <c r="AF106" s="6"/>
    </row>
    <row r="107" ht="12.75" customHeight="1">
      <c r="A107" s="595"/>
      <c r="B107" s="596"/>
      <c r="C107" s="596"/>
      <c r="D107" s="596"/>
      <c r="E107" s="596"/>
      <c r="F107" s="596"/>
      <c r="G107" s="596"/>
      <c r="H107" s="596"/>
      <c r="I107" s="596"/>
      <c r="J107" s="577"/>
      <c r="K107" s="577"/>
      <c r="L107" s="577"/>
      <c r="M107" s="577"/>
      <c r="N107" s="577"/>
      <c r="O107" s="577"/>
      <c r="P107" s="577"/>
      <c r="Q107" s="577"/>
      <c r="R107" s="577"/>
      <c r="S107" s="577"/>
      <c r="T107" s="577"/>
      <c r="U107" s="577"/>
      <c r="V107" s="577"/>
      <c r="W107" s="577"/>
      <c r="X107" s="577"/>
      <c r="Y107" s="577"/>
      <c r="Z107" s="577"/>
      <c r="AA107" s="577"/>
      <c r="AB107" s="577"/>
      <c r="AC107" s="577"/>
      <c r="AD107" s="577"/>
      <c r="AE107" s="577"/>
      <c r="AF107" s="6"/>
    </row>
    <row r="108" ht="12.75" customHeight="1">
      <c r="A108" s="595"/>
      <c r="B108" s="596"/>
      <c r="C108" s="596"/>
      <c r="D108" s="596"/>
      <c r="E108" s="596"/>
      <c r="F108" s="596"/>
      <c r="G108" s="596"/>
      <c r="H108" s="596"/>
      <c r="I108" s="596"/>
      <c r="J108" s="577"/>
      <c r="K108" s="577"/>
      <c r="L108" s="577"/>
      <c r="M108" s="577"/>
      <c r="N108" s="577"/>
      <c r="O108" s="577"/>
      <c r="P108" s="577"/>
      <c r="Q108" s="577"/>
      <c r="R108" s="577"/>
      <c r="S108" s="577"/>
      <c r="T108" s="577"/>
      <c r="U108" s="577"/>
      <c r="V108" s="577"/>
      <c r="W108" s="577"/>
      <c r="X108" s="577"/>
      <c r="Y108" s="577"/>
      <c r="Z108" s="577"/>
      <c r="AA108" s="577"/>
      <c r="AB108" s="577"/>
      <c r="AC108" s="577"/>
      <c r="AD108" s="577"/>
      <c r="AE108" s="577"/>
      <c r="AF108" s="6"/>
    </row>
    <row r="109" ht="12.75" customHeight="1">
      <c r="A109" s="595"/>
      <c r="B109" s="596"/>
      <c r="C109" s="596"/>
      <c r="D109" s="596"/>
      <c r="E109" s="596"/>
      <c r="F109" s="596"/>
      <c r="G109" s="596"/>
      <c r="H109" s="596"/>
      <c r="I109" s="596"/>
      <c r="J109" s="577"/>
      <c r="K109" s="577"/>
      <c r="L109" s="577"/>
      <c r="M109" s="577"/>
      <c r="N109" s="577"/>
      <c r="O109" s="577"/>
      <c r="P109" s="577"/>
      <c r="Q109" s="577"/>
      <c r="R109" s="577"/>
      <c r="S109" s="577"/>
      <c r="T109" s="577"/>
      <c r="U109" s="577"/>
      <c r="V109" s="577"/>
      <c r="W109" s="577"/>
      <c r="X109" s="577"/>
      <c r="Y109" s="577"/>
      <c r="Z109" s="577"/>
      <c r="AA109" s="577"/>
      <c r="AB109" s="577"/>
      <c r="AC109" s="577"/>
      <c r="AD109" s="577"/>
      <c r="AE109" s="577"/>
      <c r="AF109" s="6"/>
    </row>
    <row r="110" ht="12.75" customHeight="1">
      <c r="A110" s="595"/>
      <c r="B110" s="596"/>
      <c r="C110" s="596"/>
      <c r="D110" s="596"/>
      <c r="E110" s="596"/>
      <c r="F110" s="596"/>
      <c r="G110" s="596"/>
      <c r="H110" s="596"/>
      <c r="I110" s="596"/>
      <c r="J110" s="577"/>
      <c r="K110" s="577"/>
      <c r="L110" s="577"/>
      <c r="M110" s="577"/>
      <c r="N110" s="577"/>
      <c r="O110" s="577"/>
      <c r="P110" s="577"/>
      <c r="Q110" s="577"/>
      <c r="R110" s="577"/>
      <c r="S110" s="577"/>
      <c r="T110" s="577"/>
      <c r="U110" s="577"/>
      <c r="V110" s="577"/>
      <c r="W110" s="577"/>
      <c r="X110" s="577"/>
      <c r="Y110" s="577"/>
      <c r="Z110" s="577"/>
      <c r="AA110" s="577"/>
      <c r="AB110" s="577"/>
      <c r="AC110" s="577"/>
      <c r="AD110" s="577"/>
      <c r="AE110" s="577"/>
      <c r="AF110" s="6"/>
    </row>
    <row r="111" ht="12.75" customHeight="1">
      <c r="A111" s="595"/>
      <c r="B111" s="596"/>
      <c r="C111" s="596"/>
      <c r="D111" s="596"/>
      <c r="E111" s="596"/>
      <c r="F111" s="596"/>
      <c r="G111" s="596"/>
      <c r="H111" s="596"/>
      <c r="I111" s="596"/>
      <c r="J111" s="577"/>
      <c r="K111" s="577"/>
      <c r="L111" s="577"/>
      <c r="M111" s="577"/>
      <c r="N111" s="577"/>
      <c r="O111" s="577"/>
      <c r="P111" s="577"/>
      <c r="Q111" s="577"/>
      <c r="R111" s="577"/>
      <c r="S111" s="577"/>
      <c r="T111" s="577"/>
      <c r="U111" s="577"/>
      <c r="V111" s="577"/>
      <c r="W111" s="577"/>
      <c r="X111" s="577"/>
      <c r="Y111" s="577"/>
      <c r="Z111" s="577"/>
      <c r="AA111" s="577"/>
      <c r="AB111" s="577"/>
      <c r="AC111" s="577"/>
      <c r="AD111" s="577"/>
      <c r="AE111" s="577"/>
      <c r="AF111" s="6"/>
    </row>
    <row r="112" ht="12.75" customHeight="1">
      <c r="A112" s="595"/>
      <c r="B112" s="596"/>
      <c r="C112" s="596"/>
      <c r="D112" s="596"/>
      <c r="E112" s="596"/>
      <c r="F112" s="596"/>
      <c r="G112" s="596"/>
      <c r="H112" s="596"/>
      <c r="I112" s="596"/>
      <c r="J112" s="577"/>
      <c r="K112" s="577"/>
      <c r="L112" s="577"/>
      <c r="M112" s="577"/>
      <c r="N112" s="577"/>
      <c r="O112" s="577"/>
      <c r="P112" s="577"/>
      <c r="Q112" s="577"/>
      <c r="R112" s="577"/>
      <c r="S112" s="577"/>
      <c r="T112" s="577"/>
      <c r="U112" s="577"/>
      <c r="V112" s="577"/>
      <c r="W112" s="577"/>
      <c r="X112" s="577"/>
      <c r="Y112" s="577"/>
      <c r="Z112" s="577"/>
      <c r="AA112" s="577"/>
      <c r="AB112" s="577"/>
      <c r="AC112" s="577"/>
      <c r="AD112" s="577"/>
      <c r="AE112" s="577"/>
      <c r="AF112" s="6"/>
    </row>
    <row r="113" ht="12.75" customHeight="1">
      <c r="A113" s="595"/>
      <c r="B113" s="596"/>
      <c r="C113" s="596"/>
      <c r="D113" s="596"/>
      <c r="E113" s="596"/>
      <c r="F113" s="596"/>
      <c r="G113" s="596"/>
      <c r="H113" s="596"/>
      <c r="I113" s="596"/>
      <c r="J113" s="577"/>
      <c r="K113" s="577"/>
      <c r="L113" s="577"/>
      <c r="M113" s="577"/>
      <c r="N113" s="577"/>
      <c r="O113" s="577"/>
      <c r="P113" s="577"/>
      <c r="Q113" s="577"/>
      <c r="R113" s="577"/>
      <c r="S113" s="577"/>
      <c r="T113" s="577"/>
      <c r="U113" s="577"/>
      <c r="V113" s="577"/>
      <c r="W113" s="577"/>
      <c r="X113" s="577"/>
      <c r="Y113" s="577"/>
      <c r="Z113" s="577"/>
      <c r="AA113" s="577"/>
      <c r="AB113" s="577"/>
      <c r="AC113" s="577"/>
      <c r="AD113" s="577"/>
      <c r="AE113" s="577"/>
      <c r="AF113" s="6"/>
    </row>
    <row r="114" ht="12.75" customHeight="1">
      <c r="A114" s="595"/>
      <c r="B114" s="596"/>
      <c r="C114" s="596"/>
      <c r="D114" s="596"/>
      <c r="E114" s="596"/>
      <c r="F114" s="596"/>
      <c r="G114" s="596"/>
      <c r="H114" s="596"/>
      <c r="I114" s="596"/>
      <c r="J114" s="577"/>
      <c r="K114" s="577"/>
      <c r="L114" s="577"/>
      <c r="M114" s="577"/>
      <c r="N114" s="577"/>
      <c r="O114" s="577"/>
      <c r="P114" s="577"/>
      <c r="Q114" s="577"/>
      <c r="R114" s="577"/>
      <c r="S114" s="577"/>
      <c r="T114" s="577"/>
      <c r="U114" s="577"/>
      <c r="V114" s="577"/>
      <c r="W114" s="577"/>
      <c r="X114" s="577"/>
      <c r="Y114" s="577"/>
      <c r="Z114" s="577"/>
      <c r="AA114" s="577"/>
      <c r="AB114" s="577"/>
      <c r="AC114" s="577"/>
      <c r="AD114" s="577"/>
      <c r="AE114" s="577"/>
      <c r="AF114" s="6"/>
    </row>
    <row r="115" ht="12.75" customHeight="1">
      <c r="A115" s="595"/>
      <c r="B115" s="596"/>
      <c r="C115" s="596"/>
      <c r="D115" s="596"/>
      <c r="E115" s="596"/>
      <c r="F115" s="596"/>
      <c r="G115" s="596"/>
      <c r="H115" s="596"/>
      <c r="I115" s="596"/>
      <c r="J115" s="577"/>
      <c r="K115" s="577"/>
      <c r="L115" s="577"/>
      <c r="M115" s="577"/>
      <c r="N115" s="577"/>
      <c r="O115" s="577"/>
      <c r="P115" s="577"/>
      <c r="Q115" s="577"/>
      <c r="R115" s="577"/>
      <c r="S115" s="577"/>
      <c r="T115" s="577"/>
      <c r="U115" s="577"/>
      <c r="V115" s="577"/>
      <c r="W115" s="577"/>
      <c r="X115" s="577"/>
      <c r="Y115" s="577"/>
      <c r="Z115" s="577"/>
      <c r="AA115" s="577"/>
      <c r="AB115" s="577"/>
      <c r="AC115" s="577"/>
      <c r="AD115" s="577"/>
      <c r="AE115" s="577"/>
      <c r="AF115" s="6"/>
    </row>
    <row r="116" ht="12.75" customHeight="1">
      <c r="A116" s="595"/>
      <c r="B116" s="596"/>
      <c r="C116" s="596"/>
      <c r="D116" s="596"/>
      <c r="E116" s="596"/>
      <c r="F116" s="596"/>
      <c r="G116" s="596"/>
      <c r="H116" s="596"/>
      <c r="I116" s="596"/>
      <c r="J116" s="577"/>
      <c r="K116" s="577"/>
      <c r="L116" s="577"/>
      <c r="M116" s="577"/>
      <c r="N116" s="577"/>
      <c r="O116" s="577"/>
      <c r="P116" s="577"/>
      <c r="Q116" s="577"/>
      <c r="R116" s="577"/>
      <c r="S116" s="577"/>
      <c r="T116" s="577"/>
      <c r="U116" s="577"/>
      <c r="V116" s="577"/>
      <c r="W116" s="577"/>
      <c r="X116" s="577"/>
      <c r="Y116" s="577"/>
      <c r="Z116" s="577"/>
      <c r="AA116" s="577"/>
      <c r="AB116" s="577"/>
      <c r="AC116" s="577"/>
      <c r="AD116" s="577"/>
      <c r="AE116" s="577"/>
      <c r="AF116" s="6"/>
    </row>
    <row r="117" ht="12.75" customHeight="1">
      <c r="A117" s="595"/>
      <c r="B117" s="596"/>
      <c r="C117" s="596"/>
      <c r="D117" s="596"/>
      <c r="E117" s="596"/>
      <c r="F117" s="596"/>
      <c r="G117" s="596"/>
      <c r="H117" s="596"/>
      <c r="I117" s="596"/>
      <c r="J117" s="577"/>
      <c r="K117" s="577"/>
      <c r="L117" s="577"/>
      <c r="M117" s="577"/>
      <c r="N117" s="577"/>
      <c r="O117" s="577"/>
      <c r="P117" s="577"/>
      <c r="Q117" s="577"/>
      <c r="R117" s="577"/>
      <c r="S117" s="577"/>
      <c r="T117" s="577"/>
      <c r="U117" s="577"/>
      <c r="V117" s="577"/>
      <c r="W117" s="577"/>
      <c r="X117" s="577"/>
      <c r="Y117" s="577"/>
      <c r="Z117" s="577"/>
      <c r="AA117" s="577"/>
      <c r="AB117" s="577"/>
      <c r="AC117" s="577"/>
      <c r="AD117" s="577"/>
      <c r="AE117" s="577"/>
      <c r="AF117" s="6"/>
    </row>
    <row r="118" ht="12.75" customHeight="1">
      <c r="A118" s="595"/>
      <c r="B118" s="596"/>
      <c r="C118" s="596"/>
      <c r="D118" s="596"/>
      <c r="E118" s="596"/>
      <c r="F118" s="596"/>
      <c r="G118" s="596"/>
      <c r="H118" s="596"/>
      <c r="I118" s="596"/>
      <c r="J118" s="577"/>
      <c r="K118" s="577"/>
      <c r="L118" s="577"/>
      <c r="M118" s="577"/>
      <c r="N118" s="577"/>
      <c r="O118" s="577"/>
      <c r="P118" s="577"/>
      <c r="Q118" s="577"/>
      <c r="R118" s="577"/>
      <c r="S118" s="577"/>
      <c r="T118" s="577"/>
      <c r="U118" s="577"/>
      <c r="V118" s="577"/>
      <c r="W118" s="577"/>
      <c r="X118" s="577"/>
      <c r="Y118" s="577"/>
      <c r="Z118" s="577"/>
      <c r="AA118" s="577"/>
      <c r="AB118" s="577"/>
      <c r="AC118" s="577"/>
      <c r="AD118" s="577"/>
      <c r="AE118" s="577"/>
      <c r="AF118" s="6"/>
    </row>
    <row r="119" ht="12.75" customHeight="1">
      <c r="A119" s="595"/>
      <c r="B119" s="596"/>
      <c r="C119" s="596"/>
      <c r="D119" s="596"/>
      <c r="E119" s="596"/>
      <c r="F119" s="596"/>
      <c r="G119" s="596"/>
      <c r="H119" s="596"/>
      <c r="I119" s="596"/>
      <c r="J119" s="577"/>
      <c r="K119" s="577"/>
      <c r="L119" s="577"/>
      <c r="M119" s="577"/>
      <c r="N119" s="577"/>
      <c r="O119" s="577"/>
      <c r="P119" s="577"/>
      <c r="Q119" s="577"/>
      <c r="R119" s="577"/>
      <c r="S119" s="577"/>
      <c r="T119" s="577"/>
      <c r="U119" s="577"/>
      <c r="V119" s="577"/>
      <c r="W119" s="577"/>
      <c r="X119" s="577"/>
      <c r="Y119" s="577"/>
      <c r="Z119" s="577"/>
      <c r="AA119" s="577"/>
      <c r="AB119" s="577"/>
      <c r="AC119" s="577"/>
      <c r="AD119" s="577"/>
      <c r="AE119" s="577"/>
      <c r="AF119" s="6"/>
    </row>
    <row r="120" ht="12.75" customHeight="1">
      <c r="A120" s="595"/>
      <c r="B120" s="596"/>
      <c r="C120" s="596"/>
      <c r="D120" s="596"/>
      <c r="E120" s="596"/>
      <c r="F120" s="596"/>
      <c r="G120" s="596"/>
      <c r="H120" s="596"/>
      <c r="I120" s="596"/>
      <c r="J120" s="577"/>
      <c r="K120" s="577"/>
      <c r="L120" s="577"/>
      <c r="M120" s="577"/>
      <c r="N120" s="577"/>
      <c r="O120" s="577"/>
      <c r="P120" s="577"/>
      <c r="Q120" s="577"/>
      <c r="R120" s="577"/>
      <c r="S120" s="577"/>
      <c r="T120" s="577"/>
      <c r="U120" s="577"/>
      <c r="V120" s="577"/>
      <c r="W120" s="577"/>
      <c r="X120" s="577"/>
      <c r="Y120" s="577"/>
      <c r="Z120" s="577"/>
      <c r="AA120" s="577"/>
      <c r="AB120" s="577"/>
      <c r="AC120" s="577"/>
      <c r="AD120" s="577"/>
      <c r="AE120" s="577"/>
      <c r="AF120" s="6"/>
    </row>
    <row r="121" ht="12.75" customHeight="1">
      <c r="A121" s="595"/>
      <c r="B121" s="596"/>
      <c r="C121" s="596"/>
      <c r="D121" s="596"/>
      <c r="E121" s="596"/>
      <c r="F121" s="596"/>
      <c r="G121" s="596"/>
      <c r="H121" s="596"/>
      <c r="I121" s="596"/>
      <c r="J121" s="577"/>
      <c r="K121" s="577"/>
      <c r="L121" s="577"/>
      <c r="M121" s="577"/>
      <c r="N121" s="577"/>
      <c r="O121" s="577"/>
      <c r="P121" s="577"/>
      <c r="Q121" s="577"/>
      <c r="R121" s="577"/>
      <c r="S121" s="577"/>
      <c r="T121" s="577"/>
      <c r="U121" s="577"/>
      <c r="V121" s="577"/>
      <c r="W121" s="577"/>
      <c r="X121" s="577"/>
      <c r="Y121" s="577"/>
      <c r="Z121" s="577"/>
      <c r="AA121" s="577"/>
      <c r="AB121" s="577"/>
      <c r="AC121" s="577"/>
      <c r="AD121" s="577"/>
      <c r="AE121" s="577"/>
      <c r="AF121" s="6"/>
    </row>
    <row r="122" ht="12.75" customHeight="1">
      <c r="A122" s="595"/>
      <c r="B122" s="596"/>
      <c r="C122" s="596"/>
      <c r="D122" s="596"/>
      <c r="E122" s="596"/>
      <c r="F122" s="596"/>
      <c r="G122" s="596"/>
      <c r="H122" s="596"/>
      <c r="I122" s="596"/>
      <c r="J122" s="577"/>
      <c r="K122" s="577"/>
      <c r="L122" s="577"/>
      <c r="M122" s="577"/>
      <c r="N122" s="577"/>
      <c r="O122" s="577"/>
      <c r="P122" s="577"/>
      <c r="Q122" s="577"/>
      <c r="R122" s="577"/>
      <c r="S122" s="577"/>
      <c r="T122" s="577"/>
      <c r="U122" s="577"/>
      <c r="V122" s="577"/>
      <c r="W122" s="577"/>
      <c r="X122" s="577"/>
      <c r="Y122" s="577"/>
      <c r="Z122" s="577"/>
      <c r="AA122" s="577"/>
      <c r="AB122" s="577"/>
      <c r="AC122" s="577"/>
      <c r="AD122" s="577"/>
      <c r="AE122" s="577"/>
      <c r="AF122" s="6"/>
    </row>
    <row r="123" ht="12.75" customHeight="1">
      <c r="A123" s="595"/>
      <c r="B123" s="596"/>
      <c r="C123" s="596"/>
      <c r="D123" s="596"/>
      <c r="E123" s="596"/>
      <c r="F123" s="596"/>
      <c r="G123" s="596"/>
      <c r="H123" s="596"/>
      <c r="I123" s="596"/>
      <c r="J123" s="577"/>
      <c r="K123" s="577"/>
      <c r="L123" s="577"/>
      <c r="M123" s="577"/>
      <c r="N123" s="577"/>
      <c r="O123" s="577"/>
      <c r="P123" s="577"/>
      <c r="Q123" s="577"/>
      <c r="R123" s="577"/>
      <c r="S123" s="577"/>
      <c r="T123" s="577"/>
      <c r="U123" s="577"/>
      <c r="V123" s="577"/>
      <c r="W123" s="577"/>
      <c r="X123" s="577"/>
      <c r="Y123" s="577"/>
      <c r="Z123" s="577"/>
      <c r="AA123" s="577"/>
      <c r="AB123" s="577"/>
      <c r="AC123" s="577"/>
      <c r="AD123" s="577"/>
      <c r="AE123" s="577"/>
      <c r="AF123" s="6"/>
    </row>
    <row r="124" ht="12.75" customHeight="1">
      <c r="A124" s="595"/>
      <c r="B124" s="596"/>
      <c r="C124" s="596"/>
      <c r="D124" s="596"/>
      <c r="E124" s="596"/>
      <c r="F124" s="596"/>
      <c r="G124" s="596"/>
      <c r="H124" s="596"/>
      <c r="I124" s="596"/>
      <c r="J124" s="577"/>
      <c r="K124" s="577"/>
      <c r="L124" s="577"/>
      <c r="M124" s="577"/>
      <c r="N124" s="577"/>
      <c r="O124" s="577"/>
      <c r="P124" s="577"/>
      <c r="Q124" s="577"/>
      <c r="R124" s="577"/>
      <c r="S124" s="577"/>
      <c r="T124" s="577"/>
      <c r="U124" s="577"/>
      <c r="V124" s="577"/>
      <c r="W124" s="577"/>
      <c r="X124" s="577"/>
      <c r="Y124" s="577"/>
      <c r="Z124" s="577"/>
      <c r="AA124" s="577"/>
      <c r="AB124" s="577"/>
      <c r="AC124" s="577"/>
      <c r="AD124" s="577"/>
      <c r="AE124" s="577"/>
      <c r="AF124" s="6"/>
    </row>
    <row r="125" ht="12.75" customHeight="1">
      <c r="A125" s="595"/>
      <c r="B125" s="596"/>
      <c r="C125" s="596"/>
      <c r="D125" s="596"/>
      <c r="E125" s="596"/>
      <c r="F125" s="596"/>
      <c r="G125" s="596"/>
      <c r="H125" s="596"/>
      <c r="I125" s="596"/>
      <c r="J125" s="577"/>
      <c r="K125" s="577"/>
      <c r="L125" s="577"/>
      <c r="M125" s="577"/>
      <c r="N125" s="577"/>
      <c r="O125" s="577"/>
      <c r="P125" s="577"/>
      <c r="Q125" s="577"/>
      <c r="R125" s="577"/>
      <c r="S125" s="577"/>
      <c r="T125" s="577"/>
      <c r="U125" s="577"/>
      <c r="V125" s="577"/>
      <c r="W125" s="577"/>
      <c r="X125" s="577"/>
      <c r="Y125" s="577"/>
      <c r="Z125" s="577"/>
      <c r="AA125" s="577"/>
      <c r="AB125" s="577"/>
      <c r="AC125" s="577"/>
      <c r="AD125" s="577"/>
      <c r="AE125" s="577"/>
      <c r="AF125" s="6"/>
    </row>
    <row r="126" ht="12.75" customHeight="1">
      <c r="A126" s="595"/>
      <c r="B126" s="596"/>
      <c r="C126" s="596"/>
      <c r="D126" s="596"/>
      <c r="E126" s="596"/>
      <c r="F126" s="596"/>
      <c r="G126" s="596"/>
      <c r="H126" s="596"/>
      <c r="I126" s="596"/>
      <c r="J126" s="577"/>
      <c r="K126" s="577"/>
      <c r="L126" s="577"/>
      <c r="M126" s="577"/>
      <c r="N126" s="577"/>
      <c r="O126" s="577"/>
      <c r="P126" s="577"/>
      <c r="Q126" s="577"/>
      <c r="R126" s="577"/>
      <c r="S126" s="577"/>
      <c r="T126" s="577"/>
      <c r="U126" s="577"/>
      <c r="V126" s="577"/>
      <c r="W126" s="577"/>
      <c r="X126" s="577"/>
      <c r="Y126" s="577"/>
      <c r="Z126" s="577"/>
      <c r="AA126" s="577"/>
      <c r="AB126" s="577"/>
      <c r="AC126" s="577"/>
      <c r="AD126" s="577"/>
      <c r="AE126" s="577"/>
      <c r="AF126" s="6"/>
    </row>
    <row r="127" ht="12.75" customHeight="1">
      <c r="A127" s="595"/>
      <c r="B127" s="596"/>
      <c r="C127" s="596"/>
      <c r="D127" s="596"/>
      <c r="E127" s="596"/>
      <c r="F127" s="596"/>
      <c r="G127" s="596"/>
      <c r="H127" s="596"/>
      <c r="I127" s="596"/>
      <c r="J127" s="577"/>
      <c r="K127" s="577"/>
      <c r="L127" s="577"/>
      <c r="M127" s="577"/>
      <c r="N127" s="577"/>
      <c r="O127" s="577"/>
      <c r="P127" s="577"/>
      <c r="Q127" s="577"/>
      <c r="R127" s="577"/>
      <c r="S127" s="577"/>
      <c r="T127" s="577"/>
      <c r="U127" s="577"/>
      <c r="V127" s="577"/>
      <c r="W127" s="577"/>
      <c r="X127" s="577"/>
      <c r="Y127" s="577"/>
      <c r="Z127" s="577"/>
      <c r="AA127" s="577"/>
      <c r="AB127" s="577"/>
      <c r="AC127" s="577"/>
      <c r="AD127" s="577"/>
      <c r="AE127" s="577"/>
      <c r="AF127" s="6"/>
    </row>
    <row r="128" ht="12.75" customHeight="1">
      <c r="A128" s="595"/>
      <c r="B128" s="596"/>
      <c r="C128" s="596"/>
      <c r="D128" s="596"/>
      <c r="E128" s="596"/>
      <c r="F128" s="596"/>
      <c r="G128" s="596"/>
      <c r="H128" s="596"/>
      <c r="I128" s="596"/>
      <c r="J128" s="577"/>
      <c r="K128" s="577"/>
      <c r="L128" s="577"/>
      <c r="M128" s="577"/>
      <c r="N128" s="577"/>
      <c r="O128" s="577"/>
      <c r="P128" s="577"/>
      <c r="Q128" s="577"/>
      <c r="R128" s="577"/>
      <c r="S128" s="577"/>
      <c r="T128" s="577"/>
      <c r="U128" s="577"/>
      <c r="V128" s="577"/>
      <c r="W128" s="577"/>
      <c r="X128" s="577"/>
      <c r="Y128" s="577"/>
      <c r="Z128" s="577"/>
      <c r="AA128" s="577"/>
      <c r="AB128" s="577"/>
      <c r="AC128" s="577"/>
      <c r="AD128" s="577"/>
      <c r="AE128" s="577"/>
      <c r="AF128" s="6"/>
    </row>
    <row r="129" ht="12.75" customHeight="1">
      <c r="A129" s="595"/>
      <c r="B129" s="596"/>
      <c r="C129" s="596"/>
      <c r="D129" s="596"/>
      <c r="E129" s="596"/>
      <c r="F129" s="596"/>
      <c r="G129" s="596"/>
      <c r="H129" s="596"/>
      <c r="I129" s="596"/>
      <c r="J129" s="577"/>
      <c r="K129" s="577"/>
      <c r="L129" s="577"/>
      <c r="M129" s="577"/>
      <c r="N129" s="577"/>
      <c r="O129" s="577"/>
      <c r="P129" s="577"/>
      <c r="Q129" s="577"/>
      <c r="R129" s="577"/>
      <c r="S129" s="577"/>
      <c r="T129" s="577"/>
      <c r="U129" s="577"/>
      <c r="V129" s="577"/>
      <c r="W129" s="577"/>
      <c r="X129" s="577"/>
      <c r="Y129" s="577"/>
      <c r="Z129" s="577"/>
      <c r="AA129" s="577"/>
      <c r="AB129" s="577"/>
      <c r="AC129" s="577"/>
      <c r="AD129" s="577"/>
      <c r="AE129" s="577"/>
      <c r="AF129" s="6"/>
    </row>
    <row r="130" ht="12.75" customHeight="1">
      <c r="A130" s="595"/>
      <c r="B130" s="596"/>
      <c r="C130" s="596"/>
      <c r="D130" s="596"/>
      <c r="E130" s="596"/>
      <c r="F130" s="596"/>
      <c r="G130" s="596"/>
      <c r="H130" s="596"/>
      <c r="I130" s="596"/>
      <c r="J130" s="577"/>
      <c r="K130" s="577"/>
      <c r="L130" s="577"/>
      <c r="M130" s="577"/>
      <c r="N130" s="577"/>
      <c r="O130" s="577"/>
      <c r="P130" s="577"/>
      <c r="Q130" s="577"/>
      <c r="R130" s="577"/>
      <c r="S130" s="577"/>
      <c r="T130" s="577"/>
      <c r="U130" s="577"/>
      <c r="V130" s="577"/>
      <c r="W130" s="577"/>
      <c r="X130" s="577"/>
      <c r="Y130" s="577"/>
      <c r="Z130" s="577"/>
      <c r="AA130" s="577"/>
      <c r="AB130" s="577"/>
      <c r="AC130" s="577"/>
      <c r="AD130" s="577"/>
      <c r="AE130" s="577"/>
      <c r="AF130" s="6"/>
    </row>
    <row r="131" ht="12.75" customHeight="1">
      <c r="A131" s="595"/>
      <c r="B131" s="596"/>
      <c r="C131" s="596"/>
      <c r="D131" s="596"/>
      <c r="E131" s="596"/>
      <c r="F131" s="596"/>
      <c r="G131" s="596"/>
      <c r="H131" s="596"/>
      <c r="I131" s="596"/>
      <c r="J131" s="577"/>
      <c r="K131" s="577"/>
      <c r="L131" s="577"/>
      <c r="M131" s="577"/>
      <c r="N131" s="577"/>
      <c r="O131" s="577"/>
      <c r="P131" s="577"/>
      <c r="Q131" s="577"/>
      <c r="R131" s="577"/>
      <c r="S131" s="577"/>
      <c r="T131" s="577"/>
      <c r="U131" s="577"/>
      <c r="V131" s="577"/>
      <c r="W131" s="577"/>
      <c r="X131" s="577"/>
      <c r="Y131" s="577"/>
      <c r="Z131" s="577"/>
      <c r="AA131" s="577"/>
      <c r="AB131" s="577"/>
      <c r="AC131" s="577"/>
      <c r="AD131" s="577"/>
      <c r="AE131" s="577"/>
      <c r="AF131" s="6"/>
    </row>
    <row r="132" ht="12.75" customHeight="1">
      <c r="A132" s="595"/>
      <c r="B132" s="596"/>
      <c r="C132" s="596"/>
      <c r="D132" s="596"/>
      <c r="E132" s="596"/>
      <c r="F132" s="596"/>
      <c r="G132" s="596"/>
      <c r="H132" s="596"/>
      <c r="I132" s="596"/>
      <c r="J132" s="577"/>
      <c r="K132" s="577"/>
      <c r="L132" s="577"/>
      <c r="M132" s="577"/>
      <c r="N132" s="577"/>
      <c r="O132" s="577"/>
      <c r="P132" s="577"/>
      <c r="Q132" s="577"/>
      <c r="R132" s="577"/>
      <c r="S132" s="577"/>
      <c r="T132" s="577"/>
      <c r="U132" s="577"/>
      <c r="V132" s="577"/>
      <c r="W132" s="577"/>
      <c r="X132" s="577"/>
      <c r="Y132" s="577"/>
      <c r="Z132" s="577"/>
      <c r="AA132" s="577"/>
      <c r="AB132" s="577"/>
      <c r="AC132" s="577"/>
      <c r="AD132" s="577"/>
      <c r="AE132" s="577"/>
      <c r="AF132" s="6"/>
    </row>
    <row r="133" ht="12.75" customHeight="1">
      <c r="A133" s="595"/>
      <c r="B133" s="596"/>
      <c r="C133" s="596"/>
      <c r="D133" s="596"/>
      <c r="E133" s="596"/>
      <c r="F133" s="596"/>
      <c r="G133" s="596"/>
      <c r="H133" s="596"/>
      <c r="I133" s="596"/>
      <c r="J133" s="577"/>
      <c r="K133" s="577"/>
      <c r="L133" s="577"/>
      <c r="M133" s="577"/>
      <c r="N133" s="577"/>
      <c r="O133" s="577"/>
      <c r="P133" s="577"/>
      <c r="Q133" s="577"/>
      <c r="R133" s="577"/>
      <c r="S133" s="577"/>
      <c r="T133" s="577"/>
      <c r="U133" s="577"/>
      <c r="V133" s="577"/>
      <c r="W133" s="577"/>
      <c r="X133" s="577"/>
      <c r="Y133" s="577"/>
      <c r="Z133" s="577"/>
      <c r="AA133" s="577"/>
      <c r="AB133" s="577"/>
      <c r="AC133" s="577"/>
      <c r="AD133" s="577"/>
      <c r="AE133" s="577"/>
      <c r="AF133" s="6"/>
    </row>
    <row r="134" ht="12.75" customHeight="1">
      <c r="A134" s="595"/>
      <c r="B134" s="596"/>
      <c r="C134" s="596"/>
      <c r="D134" s="596"/>
      <c r="E134" s="596"/>
      <c r="F134" s="596"/>
      <c r="G134" s="596"/>
      <c r="H134" s="596"/>
      <c r="I134" s="596"/>
      <c r="J134" s="577"/>
      <c r="K134" s="577"/>
      <c r="L134" s="577"/>
      <c r="M134" s="577"/>
      <c r="N134" s="577"/>
      <c r="O134" s="577"/>
      <c r="P134" s="577"/>
      <c r="Q134" s="577"/>
      <c r="R134" s="577"/>
      <c r="S134" s="577"/>
      <c r="T134" s="577"/>
      <c r="U134" s="577"/>
      <c r="V134" s="577"/>
      <c r="W134" s="577"/>
      <c r="X134" s="577"/>
      <c r="Y134" s="577"/>
      <c r="Z134" s="577"/>
      <c r="AA134" s="577"/>
      <c r="AB134" s="577"/>
      <c r="AC134" s="577"/>
      <c r="AD134" s="577"/>
      <c r="AE134" s="577"/>
      <c r="AF134" s="6"/>
    </row>
    <row r="135" ht="12.75" customHeight="1">
      <c r="A135" s="595"/>
      <c r="B135" s="596"/>
      <c r="C135" s="596"/>
      <c r="D135" s="596"/>
      <c r="E135" s="596"/>
      <c r="F135" s="596"/>
      <c r="G135" s="596"/>
      <c r="H135" s="596"/>
      <c r="I135" s="596"/>
      <c r="J135" s="577"/>
      <c r="K135" s="577"/>
      <c r="L135" s="577"/>
      <c r="M135" s="577"/>
      <c r="N135" s="577"/>
      <c r="O135" s="577"/>
      <c r="P135" s="577"/>
      <c r="Q135" s="577"/>
      <c r="R135" s="577"/>
      <c r="S135" s="577"/>
      <c r="T135" s="577"/>
      <c r="U135" s="577"/>
      <c r="V135" s="577"/>
      <c r="W135" s="577"/>
      <c r="X135" s="577"/>
      <c r="Y135" s="577"/>
      <c r="Z135" s="577"/>
      <c r="AA135" s="577"/>
      <c r="AB135" s="577"/>
      <c r="AC135" s="577"/>
      <c r="AD135" s="577"/>
      <c r="AE135" s="577"/>
      <c r="AF135" s="6"/>
    </row>
    <row r="136" ht="12.75" customHeight="1">
      <c r="A136" s="595"/>
      <c r="B136" s="596"/>
      <c r="C136" s="596"/>
      <c r="D136" s="596"/>
      <c r="E136" s="596"/>
      <c r="F136" s="596"/>
      <c r="G136" s="596"/>
      <c r="H136" s="596"/>
      <c r="I136" s="596"/>
      <c r="J136" s="577"/>
      <c r="K136" s="577"/>
      <c r="L136" s="577"/>
      <c r="M136" s="577"/>
      <c r="N136" s="577"/>
      <c r="O136" s="577"/>
      <c r="P136" s="577"/>
      <c r="Q136" s="577"/>
      <c r="R136" s="577"/>
      <c r="S136" s="577"/>
      <c r="T136" s="577"/>
      <c r="U136" s="577"/>
      <c r="V136" s="577"/>
      <c r="W136" s="577"/>
      <c r="X136" s="577"/>
      <c r="Y136" s="577"/>
      <c r="Z136" s="577"/>
      <c r="AA136" s="577"/>
      <c r="AB136" s="577"/>
      <c r="AC136" s="577"/>
      <c r="AD136" s="577"/>
      <c r="AE136" s="577"/>
      <c r="AF136" s="6"/>
    </row>
    <row r="137" ht="12.75" customHeight="1">
      <c r="A137" s="595"/>
      <c r="B137" s="596"/>
      <c r="C137" s="596"/>
      <c r="D137" s="596"/>
      <c r="E137" s="596"/>
      <c r="F137" s="596"/>
      <c r="G137" s="596"/>
      <c r="H137" s="596"/>
      <c r="I137" s="596"/>
      <c r="J137" s="577"/>
      <c r="K137" s="577"/>
      <c r="L137" s="577"/>
      <c r="M137" s="577"/>
      <c r="N137" s="577"/>
      <c r="O137" s="577"/>
      <c r="P137" s="577"/>
      <c r="Q137" s="577"/>
      <c r="R137" s="577"/>
      <c r="S137" s="577"/>
      <c r="T137" s="577"/>
      <c r="U137" s="577"/>
      <c r="V137" s="577"/>
      <c r="W137" s="577"/>
      <c r="X137" s="577"/>
      <c r="Y137" s="577"/>
      <c r="Z137" s="577"/>
      <c r="AA137" s="577"/>
      <c r="AB137" s="577"/>
      <c r="AC137" s="577"/>
      <c r="AD137" s="577"/>
      <c r="AE137" s="577"/>
      <c r="AF137" s="6"/>
    </row>
    <row r="138" ht="12.75" customHeight="1">
      <c r="A138" s="595"/>
      <c r="B138" s="596"/>
      <c r="C138" s="596"/>
      <c r="D138" s="596"/>
      <c r="E138" s="596"/>
      <c r="F138" s="596"/>
      <c r="G138" s="596"/>
      <c r="H138" s="596"/>
      <c r="I138" s="596"/>
      <c r="J138" s="577"/>
      <c r="K138" s="577"/>
      <c r="L138" s="577"/>
      <c r="M138" s="577"/>
      <c r="N138" s="577"/>
      <c r="O138" s="577"/>
      <c r="P138" s="577"/>
      <c r="Q138" s="577"/>
      <c r="R138" s="577"/>
      <c r="S138" s="577"/>
      <c r="T138" s="577"/>
      <c r="U138" s="577"/>
      <c r="V138" s="577"/>
      <c r="W138" s="577"/>
      <c r="X138" s="577"/>
      <c r="Y138" s="577"/>
      <c r="Z138" s="577"/>
      <c r="AA138" s="577"/>
      <c r="AB138" s="577"/>
      <c r="AC138" s="577"/>
      <c r="AD138" s="577"/>
      <c r="AE138" s="577"/>
      <c r="AF138" s="6"/>
    </row>
    <row r="139" ht="12.75" customHeight="1">
      <c r="A139" s="595"/>
      <c r="B139" s="596"/>
      <c r="C139" s="596"/>
      <c r="D139" s="596"/>
      <c r="E139" s="596"/>
      <c r="F139" s="596"/>
      <c r="G139" s="596"/>
      <c r="H139" s="596"/>
      <c r="I139" s="596"/>
      <c r="J139" s="577"/>
      <c r="K139" s="577"/>
      <c r="L139" s="577"/>
      <c r="M139" s="577"/>
      <c r="N139" s="577"/>
      <c r="O139" s="577"/>
      <c r="P139" s="577"/>
      <c r="Q139" s="577"/>
      <c r="R139" s="577"/>
      <c r="S139" s="577"/>
      <c r="T139" s="577"/>
      <c r="U139" s="577"/>
      <c r="V139" s="577"/>
      <c r="W139" s="577"/>
      <c r="X139" s="577"/>
      <c r="Y139" s="577"/>
      <c r="Z139" s="577"/>
      <c r="AA139" s="577"/>
      <c r="AB139" s="577"/>
      <c r="AC139" s="577"/>
      <c r="AD139" s="577"/>
      <c r="AE139" s="577"/>
      <c r="AF139" s="6"/>
    </row>
    <row r="140" ht="12.75" customHeight="1">
      <c r="A140" s="595"/>
      <c r="B140" s="596"/>
      <c r="C140" s="596"/>
      <c r="D140" s="596"/>
      <c r="E140" s="596"/>
      <c r="F140" s="596"/>
      <c r="G140" s="596"/>
      <c r="H140" s="596"/>
      <c r="I140" s="596"/>
      <c r="J140" s="577"/>
      <c r="K140" s="577"/>
      <c r="L140" s="577"/>
      <c r="M140" s="577"/>
      <c r="N140" s="577"/>
      <c r="O140" s="577"/>
      <c r="P140" s="577"/>
      <c r="Q140" s="577"/>
      <c r="R140" s="577"/>
      <c r="S140" s="577"/>
      <c r="T140" s="577"/>
      <c r="U140" s="577"/>
      <c r="V140" s="577"/>
      <c r="W140" s="577"/>
      <c r="X140" s="577"/>
      <c r="Y140" s="577"/>
      <c r="Z140" s="577"/>
      <c r="AA140" s="577"/>
      <c r="AB140" s="577"/>
      <c r="AC140" s="577"/>
      <c r="AD140" s="577"/>
      <c r="AE140" s="577"/>
      <c r="AF140" s="6"/>
    </row>
    <row r="141" ht="12.75" customHeight="1">
      <c r="A141" s="595"/>
      <c r="B141" s="596"/>
      <c r="C141" s="596"/>
      <c r="D141" s="596"/>
      <c r="E141" s="596"/>
      <c r="F141" s="596"/>
      <c r="G141" s="596"/>
      <c r="H141" s="596"/>
      <c r="I141" s="596"/>
      <c r="J141" s="577"/>
      <c r="K141" s="577"/>
      <c r="L141" s="577"/>
      <c r="M141" s="577"/>
      <c r="N141" s="577"/>
      <c r="O141" s="577"/>
      <c r="P141" s="577"/>
      <c r="Q141" s="577"/>
      <c r="R141" s="577"/>
      <c r="S141" s="577"/>
      <c r="T141" s="577"/>
      <c r="U141" s="577"/>
      <c r="V141" s="577"/>
      <c r="W141" s="577"/>
      <c r="X141" s="577"/>
      <c r="Y141" s="577"/>
      <c r="Z141" s="577"/>
      <c r="AA141" s="577"/>
      <c r="AB141" s="577"/>
      <c r="AC141" s="577"/>
      <c r="AD141" s="577"/>
      <c r="AE141" s="577"/>
      <c r="AF141" s="6"/>
    </row>
    <row r="142" ht="12.75" customHeight="1">
      <c r="A142" s="595"/>
      <c r="B142" s="596"/>
      <c r="C142" s="596"/>
      <c r="D142" s="596"/>
      <c r="E142" s="596"/>
      <c r="F142" s="596"/>
      <c r="G142" s="596"/>
      <c r="H142" s="596"/>
      <c r="I142" s="596"/>
      <c r="J142" s="577"/>
      <c r="K142" s="577"/>
      <c r="L142" s="577"/>
      <c r="M142" s="577"/>
      <c r="N142" s="577"/>
      <c r="O142" s="577"/>
      <c r="P142" s="577"/>
      <c r="Q142" s="577"/>
      <c r="R142" s="577"/>
      <c r="S142" s="577"/>
      <c r="T142" s="577"/>
      <c r="U142" s="577"/>
      <c r="V142" s="577"/>
      <c r="W142" s="577"/>
      <c r="X142" s="577"/>
      <c r="Y142" s="577"/>
      <c r="Z142" s="577"/>
      <c r="AA142" s="577"/>
      <c r="AB142" s="577"/>
      <c r="AC142" s="577"/>
      <c r="AD142" s="577"/>
      <c r="AE142" s="577"/>
      <c r="AF142" s="6"/>
    </row>
    <row r="143" ht="12.75" customHeight="1">
      <c r="A143" s="595"/>
      <c r="B143" s="596"/>
      <c r="C143" s="596"/>
      <c r="D143" s="596"/>
      <c r="E143" s="596"/>
      <c r="F143" s="596"/>
      <c r="G143" s="596"/>
      <c r="H143" s="596"/>
      <c r="I143" s="596"/>
      <c r="J143" s="577"/>
      <c r="K143" s="577"/>
      <c r="L143" s="577"/>
      <c r="M143" s="577"/>
      <c r="N143" s="577"/>
      <c r="O143" s="577"/>
      <c r="P143" s="577"/>
      <c r="Q143" s="577"/>
      <c r="R143" s="577"/>
      <c r="S143" s="577"/>
      <c r="T143" s="577"/>
      <c r="U143" s="577"/>
      <c r="V143" s="577"/>
      <c r="W143" s="577"/>
      <c r="X143" s="577"/>
      <c r="Y143" s="577"/>
      <c r="Z143" s="577"/>
      <c r="AA143" s="577"/>
      <c r="AB143" s="577"/>
      <c r="AC143" s="577"/>
      <c r="AD143" s="577"/>
      <c r="AE143" s="577"/>
      <c r="AF143" s="6"/>
    </row>
    <row r="144" ht="12.75" customHeight="1">
      <c r="A144" s="595"/>
      <c r="B144" s="596"/>
      <c r="C144" s="596"/>
      <c r="D144" s="596"/>
      <c r="E144" s="596"/>
      <c r="F144" s="596"/>
      <c r="G144" s="596"/>
      <c r="H144" s="596"/>
      <c r="I144" s="596"/>
      <c r="J144" s="577"/>
      <c r="K144" s="577"/>
      <c r="L144" s="577"/>
      <c r="M144" s="577"/>
      <c r="N144" s="577"/>
      <c r="O144" s="577"/>
      <c r="P144" s="577"/>
      <c r="Q144" s="577"/>
      <c r="R144" s="577"/>
      <c r="S144" s="577"/>
      <c r="T144" s="577"/>
      <c r="U144" s="577"/>
      <c r="V144" s="577"/>
      <c r="W144" s="577"/>
      <c r="X144" s="577"/>
      <c r="Y144" s="577"/>
      <c r="Z144" s="577"/>
      <c r="AA144" s="577"/>
      <c r="AB144" s="577"/>
      <c r="AC144" s="577"/>
      <c r="AD144" s="577"/>
      <c r="AE144" s="577"/>
      <c r="AF144" s="6"/>
    </row>
    <row r="145" ht="12.75" customHeight="1">
      <c r="A145" s="595"/>
      <c r="B145" s="596"/>
      <c r="C145" s="596"/>
      <c r="D145" s="596"/>
      <c r="E145" s="596"/>
      <c r="F145" s="596"/>
      <c r="G145" s="596"/>
      <c r="H145" s="596"/>
      <c r="I145" s="596"/>
      <c r="J145" s="577"/>
      <c r="K145" s="577"/>
      <c r="L145" s="577"/>
      <c r="M145" s="577"/>
      <c r="N145" s="577"/>
      <c r="O145" s="577"/>
      <c r="P145" s="577"/>
      <c r="Q145" s="577"/>
      <c r="R145" s="577"/>
      <c r="S145" s="577"/>
      <c r="T145" s="577"/>
      <c r="U145" s="577"/>
      <c r="V145" s="577"/>
      <c r="W145" s="577"/>
      <c r="X145" s="577"/>
      <c r="Y145" s="577"/>
      <c r="Z145" s="577"/>
      <c r="AA145" s="577"/>
      <c r="AB145" s="577"/>
      <c r="AC145" s="577"/>
      <c r="AD145" s="577"/>
      <c r="AE145" s="577"/>
      <c r="AF145" s="6"/>
    </row>
    <row r="146" ht="12.75" customHeight="1">
      <c r="A146" s="595"/>
      <c r="B146" s="596"/>
      <c r="C146" s="596"/>
      <c r="D146" s="596"/>
      <c r="E146" s="596"/>
      <c r="F146" s="596"/>
      <c r="G146" s="596"/>
      <c r="H146" s="596"/>
      <c r="I146" s="596"/>
      <c r="J146" s="577"/>
      <c r="K146" s="577"/>
      <c r="L146" s="577"/>
      <c r="M146" s="577"/>
      <c r="N146" s="577"/>
      <c r="O146" s="577"/>
      <c r="P146" s="577"/>
      <c r="Q146" s="577"/>
      <c r="R146" s="577"/>
      <c r="S146" s="577"/>
      <c r="T146" s="577"/>
      <c r="U146" s="577"/>
      <c r="V146" s="577"/>
      <c r="W146" s="577"/>
      <c r="X146" s="577"/>
      <c r="Y146" s="577"/>
      <c r="Z146" s="577"/>
      <c r="AA146" s="577"/>
      <c r="AB146" s="577"/>
      <c r="AC146" s="577"/>
      <c r="AD146" s="577"/>
      <c r="AE146" s="577"/>
      <c r="AF146" s="6"/>
    </row>
    <row r="147" ht="12.75" customHeight="1">
      <c r="A147" s="595"/>
      <c r="B147" s="596"/>
      <c r="C147" s="596"/>
      <c r="D147" s="596"/>
      <c r="E147" s="596"/>
      <c r="F147" s="596"/>
      <c r="G147" s="596"/>
      <c r="H147" s="596"/>
      <c r="I147" s="596"/>
      <c r="J147" s="577"/>
      <c r="K147" s="577"/>
      <c r="L147" s="577"/>
      <c r="M147" s="577"/>
      <c r="N147" s="577"/>
      <c r="O147" s="577"/>
      <c r="P147" s="577"/>
      <c r="Q147" s="577"/>
      <c r="R147" s="577"/>
      <c r="S147" s="577"/>
      <c r="T147" s="577"/>
      <c r="U147" s="577"/>
      <c r="V147" s="577"/>
      <c r="W147" s="577"/>
      <c r="X147" s="577"/>
      <c r="Y147" s="577"/>
      <c r="Z147" s="577"/>
      <c r="AA147" s="577"/>
      <c r="AB147" s="577"/>
      <c r="AC147" s="577"/>
      <c r="AD147" s="577"/>
      <c r="AE147" s="577"/>
      <c r="AF147" s="6"/>
    </row>
    <row r="148" ht="12.75" customHeight="1">
      <c r="A148" s="595"/>
      <c r="B148" s="596"/>
      <c r="C148" s="596"/>
      <c r="D148" s="596"/>
      <c r="E148" s="596"/>
      <c r="F148" s="596"/>
      <c r="G148" s="596"/>
      <c r="H148" s="596"/>
      <c r="I148" s="596"/>
      <c r="J148" s="577"/>
      <c r="K148" s="577"/>
      <c r="L148" s="577"/>
      <c r="M148" s="577"/>
      <c r="N148" s="577"/>
      <c r="O148" s="577"/>
      <c r="P148" s="577"/>
      <c r="Q148" s="577"/>
      <c r="R148" s="577"/>
      <c r="S148" s="577"/>
      <c r="T148" s="577"/>
      <c r="U148" s="577"/>
      <c r="V148" s="577"/>
      <c r="W148" s="577"/>
      <c r="X148" s="577"/>
      <c r="Y148" s="577"/>
      <c r="Z148" s="577"/>
      <c r="AA148" s="577"/>
      <c r="AB148" s="577"/>
      <c r="AC148" s="577"/>
      <c r="AD148" s="577"/>
      <c r="AE148" s="577"/>
      <c r="AF148" s="6"/>
    </row>
    <row r="149" ht="12.75" customHeight="1">
      <c r="A149" s="595"/>
      <c r="B149" s="596"/>
      <c r="C149" s="596"/>
      <c r="D149" s="596"/>
      <c r="E149" s="596"/>
      <c r="F149" s="596"/>
      <c r="G149" s="596"/>
      <c r="H149" s="596"/>
      <c r="I149" s="596"/>
      <c r="J149" s="577"/>
      <c r="K149" s="577"/>
      <c r="L149" s="577"/>
      <c r="M149" s="577"/>
      <c r="N149" s="577"/>
      <c r="O149" s="577"/>
      <c r="P149" s="577"/>
      <c r="Q149" s="577"/>
      <c r="R149" s="577"/>
      <c r="S149" s="577"/>
      <c r="T149" s="577"/>
      <c r="U149" s="577"/>
      <c r="V149" s="577"/>
      <c r="W149" s="577"/>
      <c r="X149" s="577"/>
      <c r="Y149" s="577"/>
      <c r="Z149" s="577"/>
      <c r="AA149" s="577"/>
      <c r="AB149" s="577"/>
      <c r="AC149" s="577"/>
      <c r="AD149" s="577"/>
      <c r="AE149" s="577"/>
      <c r="AF149" s="6"/>
    </row>
    <row r="150" ht="12.75" customHeight="1">
      <c r="A150" s="595"/>
      <c r="B150" s="596"/>
      <c r="C150" s="596"/>
      <c r="D150" s="596"/>
      <c r="E150" s="596"/>
      <c r="F150" s="596"/>
      <c r="G150" s="596"/>
      <c r="H150" s="596"/>
      <c r="I150" s="596"/>
      <c r="J150" s="577"/>
      <c r="K150" s="577"/>
      <c r="L150" s="577"/>
      <c r="M150" s="577"/>
      <c r="N150" s="577"/>
      <c r="O150" s="577"/>
      <c r="P150" s="577"/>
      <c r="Q150" s="577"/>
      <c r="R150" s="577"/>
      <c r="S150" s="577"/>
      <c r="T150" s="577"/>
      <c r="U150" s="577"/>
      <c r="V150" s="577"/>
      <c r="W150" s="577"/>
      <c r="X150" s="577"/>
      <c r="Y150" s="577"/>
      <c r="Z150" s="577"/>
      <c r="AA150" s="577"/>
      <c r="AB150" s="577"/>
      <c r="AC150" s="577"/>
      <c r="AD150" s="577"/>
      <c r="AE150" s="577"/>
      <c r="AF150" s="6"/>
    </row>
    <row r="151" ht="12.75" customHeight="1">
      <c r="A151" s="595"/>
      <c r="B151" s="596"/>
      <c r="C151" s="596"/>
      <c r="D151" s="596"/>
      <c r="E151" s="596"/>
      <c r="F151" s="596"/>
      <c r="G151" s="596"/>
      <c r="H151" s="596"/>
      <c r="I151" s="596"/>
      <c r="J151" s="577"/>
      <c r="K151" s="577"/>
      <c r="L151" s="577"/>
      <c r="M151" s="577"/>
      <c r="N151" s="577"/>
      <c r="O151" s="577"/>
      <c r="P151" s="577"/>
      <c r="Q151" s="577"/>
      <c r="R151" s="577"/>
      <c r="S151" s="577"/>
      <c r="T151" s="577"/>
      <c r="U151" s="577"/>
      <c r="V151" s="577"/>
      <c r="W151" s="577"/>
      <c r="X151" s="577"/>
      <c r="Y151" s="577"/>
      <c r="Z151" s="577"/>
      <c r="AA151" s="577"/>
      <c r="AB151" s="577"/>
      <c r="AC151" s="577"/>
      <c r="AD151" s="577"/>
      <c r="AE151" s="577"/>
      <c r="AF151" s="6"/>
    </row>
    <row r="152" ht="12.75" customHeight="1">
      <c r="A152" s="595"/>
      <c r="B152" s="596"/>
      <c r="C152" s="596"/>
      <c r="D152" s="596"/>
      <c r="E152" s="596"/>
      <c r="F152" s="596"/>
      <c r="G152" s="596"/>
      <c r="H152" s="596"/>
      <c r="I152" s="596"/>
      <c r="J152" s="577"/>
      <c r="K152" s="577"/>
      <c r="L152" s="577"/>
      <c r="M152" s="577"/>
      <c r="N152" s="577"/>
      <c r="O152" s="577"/>
      <c r="P152" s="577"/>
      <c r="Q152" s="577"/>
      <c r="R152" s="577"/>
      <c r="S152" s="577"/>
      <c r="T152" s="577"/>
      <c r="U152" s="577"/>
      <c r="V152" s="577"/>
      <c r="W152" s="577"/>
      <c r="X152" s="577"/>
      <c r="Y152" s="577"/>
      <c r="Z152" s="577"/>
      <c r="AA152" s="577"/>
      <c r="AB152" s="577"/>
      <c r="AC152" s="577"/>
      <c r="AD152" s="577"/>
      <c r="AE152" s="577"/>
      <c r="AF152" s="6"/>
    </row>
    <row r="153" ht="12.75" customHeight="1">
      <c r="A153" s="595"/>
      <c r="B153" s="596"/>
      <c r="C153" s="596"/>
      <c r="D153" s="596"/>
      <c r="E153" s="596"/>
      <c r="F153" s="596"/>
      <c r="G153" s="596"/>
      <c r="H153" s="596"/>
      <c r="I153" s="596"/>
      <c r="J153" s="577"/>
      <c r="K153" s="577"/>
      <c r="L153" s="577"/>
      <c r="M153" s="577"/>
      <c r="N153" s="577"/>
      <c r="O153" s="577"/>
      <c r="P153" s="577"/>
      <c r="Q153" s="577"/>
      <c r="R153" s="577"/>
      <c r="S153" s="577"/>
      <c r="T153" s="577"/>
      <c r="U153" s="577"/>
      <c r="V153" s="577"/>
      <c r="W153" s="577"/>
      <c r="X153" s="577"/>
      <c r="Y153" s="577"/>
      <c r="Z153" s="577"/>
      <c r="AA153" s="577"/>
      <c r="AB153" s="577"/>
      <c r="AC153" s="577"/>
      <c r="AD153" s="577"/>
      <c r="AE153" s="577"/>
      <c r="AF153" s="6"/>
    </row>
    <row r="154" ht="12.75" customHeight="1">
      <c r="A154" s="595"/>
      <c r="B154" s="596"/>
      <c r="C154" s="596"/>
      <c r="D154" s="596"/>
      <c r="E154" s="596"/>
      <c r="F154" s="596"/>
      <c r="G154" s="596"/>
      <c r="H154" s="596"/>
      <c r="I154" s="596"/>
      <c r="J154" s="577"/>
      <c r="K154" s="577"/>
      <c r="L154" s="577"/>
      <c r="M154" s="577"/>
      <c r="N154" s="577"/>
      <c r="O154" s="577"/>
      <c r="P154" s="577"/>
      <c r="Q154" s="577"/>
      <c r="R154" s="577"/>
      <c r="S154" s="577"/>
      <c r="T154" s="577"/>
      <c r="U154" s="577"/>
      <c r="V154" s="577"/>
      <c r="W154" s="577"/>
      <c r="X154" s="577"/>
      <c r="Y154" s="577"/>
      <c r="Z154" s="577"/>
      <c r="AA154" s="577"/>
      <c r="AB154" s="577"/>
      <c r="AC154" s="577"/>
      <c r="AD154" s="577"/>
      <c r="AE154" s="577"/>
      <c r="AF154" s="6"/>
    </row>
    <row r="155" ht="12.75" customHeight="1">
      <c r="A155" s="595"/>
      <c r="B155" s="596"/>
      <c r="C155" s="596"/>
      <c r="D155" s="596"/>
      <c r="E155" s="596"/>
      <c r="F155" s="596"/>
      <c r="G155" s="596"/>
      <c r="H155" s="596"/>
      <c r="I155" s="596"/>
      <c r="J155" s="577"/>
      <c r="K155" s="577"/>
      <c r="L155" s="577"/>
      <c r="M155" s="577"/>
      <c r="N155" s="577"/>
      <c r="O155" s="577"/>
      <c r="P155" s="577"/>
      <c r="Q155" s="577"/>
      <c r="R155" s="577"/>
      <c r="S155" s="577"/>
      <c r="T155" s="577"/>
      <c r="U155" s="577"/>
      <c r="V155" s="577"/>
      <c r="W155" s="577"/>
      <c r="X155" s="577"/>
      <c r="Y155" s="577"/>
      <c r="Z155" s="577"/>
      <c r="AA155" s="577"/>
      <c r="AB155" s="577"/>
      <c r="AC155" s="577"/>
      <c r="AD155" s="577"/>
      <c r="AE155" s="577"/>
      <c r="AF155" s="6"/>
    </row>
    <row r="156" ht="12.75" customHeight="1">
      <c r="A156" s="595"/>
      <c r="B156" s="596"/>
      <c r="C156" s="596"/>
      <c r="D156" s="596"/>
      <c r="E156" s="596"/>
      <c r="F156" s="596"/>
      <c r="G156" s="596"/>
      <c r="H156" s="596"/>
      <c r="I156" s="596"/>
      <c r="J156" s="577"/>
      <c r="K156" s="577"/>
      <c r="L156" s="577"/>
      <c r="M156" s="577"/>
      <c r="N156" s="577"/>
      <c r="O156" s="577"/>
      <c r="P156" s="577"/>
      <c r="Q156" s="577"/>
      <c r="R156" s="577"/>
      <c r="S156" s="577"/>
      <c r="T156" s="577"/>
      <c r="U156" s="577"/>
      <c r="V156" s="577"/>
      <c r="W156" s="577"/>
      <c r="X156" s="577"/>
      <c r="Y156" s="577"/>
      <c r="Z156" s="577"/>
      <c r="AA156" s="577"/>
      <c r="AB156" s="577"/>
      <c r="AC156" s="577"/>
      <c r="AD156" s="577"/>
      <c r="AE156" s="577"/>
      <c r="AF156" s="6"/>
    </row>
    <row r="157" ht="12.75" customHeight="1">
      <c r="A157" s="595"/>
      <c r="B157" s="596"/>
      <c r="C157" s="596"/>
      <c r="D157" s="596"/>
      <c r="E157" s="596"/>
      <c r="F157" s="596"/>
      <c r="G157" s="596"/>
      <c r="H157" s="596"/>
      <c r="I157" s="596"/>
      <c r="J157" s="577"/>
      <c r="K157" s="577"/>
      <c r="L157" s="577"/>
      <c r="M157" s="577"/>
      <c r="N157" s="577"/>
      <c r="O157" s="577"/>
      <c r="P157" s="577"/>
      <c r="Q157" s="577"/>
      <c r="R157" s="577"/>
      <c r="S157" s="577"/>
      <c r="T157" s="577"/>
      <c r="U157" s="577"/>
      <c r="V157" s="577"/>
      <c r="W157" s="577"/>
      <c r="X157" s="577"/>
      <c r="Y157" s="577"/>
      <c r="Z157" s="577"/>
      <c r="AA157" s="577"/>
      <c r="AB157" s="577"/>
      <c r="AC157" s="577"/>
      <c r="AD157" s="577"/>
      <c r="AE157" s="577"/>
      <c r="AF157" s="6"/>
    </row>
    <row r="158" ht="12.75" customHeight="1">
      <c r="A158" s="595"/>
      <c r="B158" s="596"/>
      <c r="C158" s="596"/>
      <c r="D158" s="596"/>
      <c r="E158" s="596"/>
      <c r="F158" s="596"/>
      <c r="G158" s="596"/>
      <c r="H158" s="596"/>
      <c r="I158" s="596"/>
      <c r="J158" s="577"/>
      <c r="K158" s="577"/>
      <c r="L158" s="577"/>
      <c r="M158" s="577"/>
      <c r="N158" s="577"/>
      <c r="O158" s="577"/>
      <c r="P158" s="577"/>
      <c r="Q158" s="577"/>
      <c r="R158" s="577"/>
      <c r="S158" s="577"/>
      <c r="T158" s="577"/>
      <c r="U158" s="577"/>
      <c r="V158" s="577"/>
      <c r="W158" s="577"/>
      <c r="X158" s="577"/>
      <c r="Y158" s="577"/>
      <c r="Z158" s="577"/>
      <c r="AA158" s="577"/>
      <c r="AB158" s="577"/>
      <c r="AC158" s="577"/>
      <c r="AD158" s="577"/>
      <c r="AE158" s="577"/>
      <c r="AF158" s="6"/>
    </row>
    <row r="159" ht="12.75" customHeight="1">
      <c r="A159" s="595"/>
      <c r="B159" s="596"/>
      <c r="C159" s="596"/>
      <c r="D159" s="596"/>
      <c r="E159" s="596"/>
      <c r="F159" s="596"/>
      <c r="G159" s="596"/>
      <c r="H159" s="596"/>
      <c r="I159" s="596"/>
      <c r="J159" s="577"/>
      <c r="K159" s="577"/>
      <c r="L159" s="577"/>
      <c r="M159" s="577"/>
      <c r="N159" s="577"/>
      <c r="O159" s="577"/>
      <c r="P159" s="577"/>
      <c r="Q159" s="577"/>
      <c r="R159" s="577"/>
      <c r="S159" s="577"/>
      <c r="T159" s="577"/>
      <c r="U159" s="577"/>
      <c r="V159" s="577"/>
      <c r="W159" s="577"/>
      <c r="X159" s="577"/>
      <c r="Y159" s="577"/>
      <c r="Z159" s="577"/>
      <c r="AA159" s="577"/>
      <c r="AB159" s="577"/>
      <c r="AC159" s="577"/>
      <c r="AD159" s="577"/>
      <c r="AE159" s="577"/>
      <c r="AF159" s="6"/>
    </row>
    <row r="160" ht="12.75" customHeight="1">
      <c r="A160" s="595"/>
      <c r="B160" s="596"/>
      <c r="C160" s="596"/>
      <c r="D160" s="596"/>
      <c r="E160" s="596"/>
      <c r="F160" s="596"/>
      <c r="G160" s="596"/>
      <c r="H160" s="596"/>
      <c r="I160" s="596"/>
      <c r="J160" s="577"/>
      <c r="K160" s="577"/>
      <c r="L160" s="577"/>
      <c r="M160" s="577"/>
      <c r="N160" s="577"/>
      <c r="O160" s="577"/>
      <c r="P160" s="577"/>
      <c r="Q160" s="577"/>
      <c r="R160" s="577"/>
      <c r="S160" s="577"/>
      <c r="T160" s="577"/>
      <c r="U160" s="577"/>
      <c r="V160" s="577"/>
      <c r="W160" s="577"/>
      <c r="X160" s="577"/>
      <c r="Y160" s="577"/>
      <c r="Z160" s="577"/>
      <c r="AA160" s="577"/>
      <c r="AB160" s="577"/>
      <c r="AC160" s="577"/>
      <c r="AD160" s="577"/>
      <c r="AE160" s="577"/>
      <c r="AF160" s="6"/>
    </row>
    <row r="161" ht="12.75" customHeight="1">
      <c r="A161" s="595"/>
      <c r="B161" s="596"/>
      <c r="C161" s="596"/>
      <c r="D161" s="596"/>
      <c r="E161" s="596"/>
      <c r="F161" s="596"/>
      <c r="G161" s="596"/>
      <c r="H161" s="596"/>
      <c r="I161" s="596"/>
      <c r="J161" s="577"/>
      <c r="K161" s="577"/>
      <c r="L161" s="577"/>
      <c r="M161" s="577"/>
      <c r="N161" s="577"/>
      <c r="O161" s="577"/>
      <c r="P161" s="577"/>
      <c r="Q161" s="577"/>
      <c r="R161" s="577"/>
      <c r="S161" s="577"/>
      <c r="T161" s="577"/>
      <c r="U161" s="577"/>
      <c r="V161" s="577"/>
      <c r="W161" s="577"/>
      <c r="X161" s="577"/>
      <c r="Y161" s="577"/>
      <c r="Z161" s="577"/>
      <c r="AA161" s="577"/>
      <c r="AB161" s="577"/>
      <c r="AC161" s="577"/>
      <c r="AD161" s="577"/>
      <c r="AE161" s="577"/>
      <c r="AF161" s="6"/>
    </row>
    <row r="162" ht="12.75" customHeight="1">
      <c r="A162" s="595"/>
      <c r="B162" s="596"/>
      <c r="C162" s="596"/>
      <c r="D162" s="596"/>
      <c r="E162" s="596"/>
      <c r="F162" s="596"/>
      <c r="G162" s="596"/>
      <c r="H162" s="596"/>
      <c r="I162" s="596"/>
      <c r="J162" s="577"/>
      <c r="K162" s="577"/>
      <c r="L162" s="577"/>
      <c r="M162" s="577"/>
      <c r="N162" s="577"/>
      <c r="O162" s="577"/>
      <c r="P162" s="577"/>
      <c r="Q162" s="577"/>
      <c r="R162" s="577"/>
      <c r="S162" s="577"/>
      <c r="T162" s="577"/>
      <c r="U162" s="577"/>
      <c r="V162" s="577"/>
      <c r="W162" s="577"/>
      <c r="X162" s="577"/>
      <c r="Y162" s="577"/>
      <c r="Z162" s="577"/>
      <c r="AA162" s="577"/>
      <c r="AB162" s="577"/>
      <c r="AC162" s="577"/>
      <c r="AD162" s="577"/>
      <c r="AE162" s="577"/>
      <c r="AF162" s="6"/>
    </row>
    <row r="163" ht="12.75" customHeight="1">
      <c r="A163" s="595"/>
      <c r="B163" s="596"/>
      <c r="C163" s="596"/>
      <c r="D163" s="596"/>
      <c r="E163" s="596"/>
      <c r="F163" s="596"/>
      <c r="G163" s="596"/>
      <c r="H163" s="596"/>
      <c r="I163" s="596"/>
      <c r="J163" s="577"/>
      <c r="K163" s="577"/>
      <c r="L163" s="577"/>
      <c r="M163" s="577"/>
      <c r="N163" s="577"/>
      <c r="O163" s="577"/>
      <c r="P163" s="577"/>
      <c r="Q163" s="577"/>
      <c r="R163" s="577"/>
      <c r="S163" s="577"/>
      <c r="T163" s="577"/>
      <c r="U163" s="577"/>
      <c r="V163" s="577"/>
      <c r="W163" s="577"/>
      <c r="X163" s="577"/>
      <c r="Y163" s="577"/>
      <c r="Z163" s="577"/>
      <c r="AA163" s="577"/>
      <c r="AB163" s="577"/>
      <c r="AC163" s="577"/>
      <c r="AD163" s="577"/>
      <c r="AE163" s="577"/>
      <c r="AF163" s="6"/>
    </row>
    <row r="164" ht="12.75" customHeight="1">
      <c r="A164" s="595"/>
      <c r="B164" s="596"/>
      <c r="C164" s="596"/>
      <c r="D164" s="596"/>
      <c r="E164" s="596"/>
      <c r="F164" s="596"/>
      <c r="G164" s="596"/>
      <c r="H164" s="596"/>
      <c r="I164" s="596"/>
      <c r="J164" s="577"/>
      <c r="K164" s="577"/>
      <c r="L164" s="577"/>
      <c r="M164" s="577"/>
      <c r="N164" s="577"/>
      <c r="O164" s="577"/>
      <c r="P164" s="577"/>
      <c r="Q164" s="577"/>
      <c r="R164" s="577"/>
      <c r="S164" s="577"/>
      <c r="T164" s="577"/>
      <c r="U164" s="577"/>
      <c r="V164" s="577"/>
      <c r="W164" s="577"/>
      <c r="X164" s="577"/>
      <c r="Y164" s="577"/>
      <c r="Z164" s="577"/>
      <c r="AA164" s="577"/>
      <c r="AB164" s="577"/>
      <c r="AC164" s="577"/>
      <c r="AD164" s="577"/>
      <c r="AE164" s="577"/>
      <c r="AF164" s="6"/>
    </row>
    <row r="165" ht="12.75" customHeight="1">
      <c r="A165" s="595"/>
      <c r="B165" s="596"/>
      <c r="C165" s="596"/>
      <c r="D165" s="596"/>
      <c r="E165" s="596"/>
      <c r="F165" s="596"/>
      <c r="G165" s="596"/>
      <c r="H165" s="596"/>
      <c r="I165" s="596"/>
      <c r="J165" s="577"/>
      <c r="K165" s="577"/>
      <c r="L165" s="577"/>
      <c r="M165" s="577"/>
      <c r="N165" s="577"/>
      <c r="O165" s="577"/>
      <c r="P165" s="577"/>
      <c r="Q165" s="577"/>
      <c r="R165" s="577"/>
      <c r="S165" s="577"/>
      <c r="T165" s="577"/>
      <c r="U165" s="577"/>
      <c r="V165" s="577"/>
      <c r="W165" s="577"/>
      <c r="X165" s="577"/>
      <c r="Y165" s="577"/>
      <c r="Z165" s="577"/>
      <c r="AA165" s="577"/>
      <c r="AB165" s="577"/>
      <c r="AC165" s="577"/>
      <c r="AD165" s="577"/>
      <c r="AE165" s="577"/>
      <c r="AF165" s="6"/>
    </row>
    <row r="166" ht="12.75" customHeight="1">
      <c r="A166" s="595"/>
      <c r="B166" s="596"/>
      <c r="C166" s="596"/>
      <c r="D166" s="596"/>
      <c r="E166" s="596"/>
      <c r="F166" s="596"/>
      <c r="G166" s="596"/>
      <c r="H166" s="596"/>
      <c r="I166" s="596"/>
      <c r="J166" s="577"/>
      <c r="K166" s="577"/>
      <c r="L166" s="577"/>
      <c r="M166" s="577"/>
      <c r="N166" s="577"/>
      <c r="O166" s="577"/>
      <c r="P166" s="577"/>
      <c r="Q166" s="577"/>
      <c r="R166" s="577"/>
      <c r="S166" s="577"/>
      <c r="T166" s="577"/>
      <c r="U166" s="577"/>
      <c r="V166" s="577"/>
      <c r="W166" s="577"/>
      <c r="X166" s="577"/>
      <c r="Y166" s="577"/>
      <c r="Z166" s="577"/>
      <c r="AA166" s="577"/>
      <c r="AB166" s="577"/>
      <c r="AC166" s="577"/>
      <c r="AD166" s="577"/>
      <c r="AE166" s="577"/>
      <c r="AF166" s="6"/>
    </row>
    <row r="167" ht="12.75" customHeight="1">
      <c r="A167" s="595"/>
      <c r="B167" s="596"/>
      <c r="C167" s="596"/>
      <c r="D167" s="596"/>
      <c r="E167" s="596"/>
      <c r="F167" s="596"/>
      <c r="G167" s="596"/>
      <c r="H167" s="596"/>
      <c r="I167" s="596"/>
      <c r="J167" s="577"/>
      <c r="K167" s="577"/>
      <c r="L167" s="577"/>
      <c r="M167" s="577"/>
      <c r="N167" s="577"/>
      <c r="O167" s="577"/>
      <c r="P167" s="577"/>
      <c r="Q167" s="577"/>
      <c r="R167" s="577"/>
      <c r="S167" s="577"/>
      <c r="T167" s="577"/>
      <c r="U167" s="577"/>
      <c r="V167" s="577"/>
      <c r="W167" s="577"/>
      <c r="X167" s="577"/>
      <c r="Y167" s="577"/>
      <c r="Z167" s="577"/>
      <c r="AA167" s="577"/>
      <c r="AB167" s="577"/>
      <c r="AC167" s="577"/>
      <c r="AD167" s="577"/>
      <c r="AE167" s="577"/>
      <c r="AF167" s="6"/>
    </row>
    <row r="168" ht="12.75" customHeight="1">
      <c r="A168" s="595"/>
      <c r="B168" s="596"/>
      <c r="C168" s="596"/>
      <c r="D168" s="596"/>
      <c r="E168" s="596"/>
      <c r="F168" s="596"/>
      <c r="G168" s="596"/>
      <c r="H168" s="596"/>
      <c r="I168" s="596"/>
      <c r="J168" s="577"/>
      <c r="K168" s="577"/>
      <c r="L168" s="577"/>
      <c r="M168" s="577"/>
      <c r="N168" s="577"/>
      <c r="O168" s="577"/>
      <c r="P168" s="577"/>
      <c r="Q168" s="577"/>
      <c r="R168" s="577"/>
      <c r="S168" s="577"/>
      <c r="T168" s="577"/>
      <c r="U168" s="577"/>
      <c r="V168" s="577"/>
      <c r="W168" s="577"/>
      <c r="X168" s="577"/>
      <c r="Y168" s="577"/>
      <c r="Z168" s="577"/>
      <c r="AA168" s="577"/>
      <c r="AB168" s="577"/>
      <c r="AC168" s="577"/>
      <c r="AD168" s="577"/>
      <c r="AE168" s="577"/>
      <c r="AF168" s="6"/>
    </row>
    <row r="169" ht="12.75" customHeight="1">
      <c r="A169" s="595"/>
      <c r="B169" s="596"/>
      <c r="C169" s="596"/>
      <c r="D169" s="596"/>
      <c r="E169" s="596"/>
      <c r="F169" s="596"/>
      <c r="G169" s="596"/>
      <c r="H169" s="596"/>
      <c r="I169" s="596"/>
      <c r="J169" s="577"/>
      <c r="K169" s="577"/>
      <c r="L169" s="577"/>
      <c r="M169" s="577"/>
      <c r="N169" s="577"/>
      <c r="O169" s="577"/>
      <c r="P169" s="577"/>
      <c r="Q169" s="577"/>
      <c r="R169" s="577"/>
      <c r="S169" s="577"/>
      <c r="T169" s="577"/>
      <c r="U169" s="577"/>
      <c r="V169" s="577"/>
      <c r="W169" s="577"/>
      <c r="X169" s="577"/>
      <c r="Y169" s="577"/>
      <c r="Z169" s="577"/>
      <c r="AA169" s="577"/>
      <c r="AB169" s="577"/>
      <c r="AC169" s="577"/>
      <c r="AD169" s="577"/>
      <c r="AE169" s="577"/>
      <c r="AF169" s="6"/>
    </row>
    <row r="170" ht="12.75" customHeight="1">
      <c r="A170" s="595"/>
      <c r="B170" s="596"/>
      <c r="C170" s="596"/>
      <c r="D170" s="596"/>
      <c r="E170" s="596"/>
      <c r="F170" s="596"/>
      <c r="G170" s="596"/>
      <c r="H170" s="596"/>
      <c r="I170" s="596"/>
      <c r="J170" s="577"/>
      <c r="K170" s="577"/>
      <c r="L170" s="577"/>
      <c r="M170" s="577"/>
      <c r="N170" s="577"/>
      <c r="O170" s="577"/>
      <c r="P170" s="577"/>
      <c r="Q170" s="577"/>
      <c r="R170" s="577"/>
      <c r="S170" s="577"/>
      <c r="T170" s="577"/>
      <c r="U170" s="577"/>
      <c r="V170" s="577"/>
      <c r="W170" s="577"/>
      <c r="X170" s="577"/>
      <c r="Y170" s="577"/>
      <c r="Z170" s="577"/>
      <c r="AA170" s="577"/>
      <c r="AB170" s="577"/>
      <c r="AC170" s="577"/>
      <c r="AD170" s="577"/>
      <c r="AE170" s="577"/>
      <c r="AF170" s="6"/>
    </row>
    <row r="171" ht="12.75" customHeight="1">
      <c r="A171" s="595"/>
      <c r="B171" s="596"/>
      <c r="C171" s="596"/>
      <c r="D171" s="596"/>
      <c r="E171" s="596"/>
      <c r="F171" s="596"/>
      <c r="G171" s="596"/>
      <c r="H171" s="596"/>
      <c r="I171" s="596"/>
      <c r="J171" s="577"/>
      <c r="K171" s="577"/>
      <c r="L171" s="577"/>
      <c r="M171" s="577"/>
      <c r="N171" s="577"/>
      <c r="O171" s="577"/>
      <c r="P171" s="577"/>
      <c r="Q171" s="577"/>
      <c r="R171" s="577"/>
      <c r="S171" s="577"/>
      <c r="T171" s="577"/>
      <c r="U171" s="577"/>
      <c r="V171" s="577"/>
      <c r="W171" s="577"/>
      <c r="X171" s="577"/>
      <c r="Y171" s="577"/>
      <c r="Z171" s="577"/>
      <c r="AA171" s="577"/>
      <c r="AB171" s="577"/>
      <c r="AC171" s="577"/>
      <c r="AD171" s="577"/>
      <c r="AE171" s="577"/>
      <c r="AF171" s="6"/>
    </row>
    <row r="172" ht="12.75" customHeight="1">
      <c r="A172" s="595"/>
      <c r="B172" s="596"/>
      <c r="C172" s="596"/>
      <c r="D172" s="596"/>
      <c r="E172" s="596"/>
      <c r="F172" s="596"/>
      <c r="G172" s="596"/>
      <c r="H172" s="596"/>
      <c r="I172" s="596"/>
      <c r="J172" s="577"/>
      <c r="K172" s="577"/>
      <c r="L172" s="577"/>
      <c r="M172" s="577"/>
      <c r="N172" s="577"/>
      <c r="O172" s="577"/>
      <c r="P172" s="577"/>
      <c r="Q172" s="577"/>
      <c r="R172" s="577"/>
      <c r="S172" s="577"/>
      <c r="T172" s="577"/>
      <c r="U172" s="577"/>
      <c r="V172" s="577"/>
      <c r="W172" s="577"/>
      <c r="X172" s="577"/>
      <c r="Y172" s="577"/>
      <c r="Z172" s="577"/>
      <c r="AA172" s="577"/>
      <c r="AB172" s="577"/>
      <c r="AC172" s="577"/>
      <c r="AD172" s="577"/>
      <c r="AE172" s="577"/>
      <c r="AF172" s="6"/>
    </row>
    <row r="173" ht="12.75" customHeight="1">
      <c r="A173" s="595"/>
      <c r="B173" s="596"/>
      <c r="C173" s="596"/>
      <c r="D173" s="596"/>
      <c r="E173" s="596"/>
      <c r="F173" s="596"/>
      <c r="G173" s="596"/>
      <c r="H173" s="596"/>
      <c r="I173" s="596"/>
      <c r="J173" s="577"/>
      <c r="K173" s="577"/>
      <c r="L173" s="577"/>
      <c r="M173" s="577"/>
      <c r="N173" s="577"/>
      <c r="O173" s="577"/>
      <c r="P173" s="577"/>
      <c r="Q173" s="577"/>
      <c r="R173" s="577"/>
      <c r="S173" s="577"/>
      <c r="T173" s="577"/>
      <c r="U173" s="577"/>
      <c r="V173" s="577"/>
      <c r="W173" s="577"/>
      <c r="X173" s="577"/>
      <c r="Y173" s="577"/>
      <c r="Z173" s="577"/>
      <c r="AA173" s="577"/>
      <c r="AB173" s="577"/>
      <c r="AC173" s="577"/>
      <c r="AD173" s="577"/>
      <c r="AE173" s="577"/>
      <c r="AF173" s="6"/>
    </row>
    <row r="174" ht="12.75" customHeight="1">
      <c r="A174" s="595"/>
      <c r="B174" s="596"/>
      <c r="C174" s="596"/>
      <c r="D174" s="596"/>
      <c r="E174" s="596"/>
      <c r="F174" s="596"/>
      <c r="G174" s="596"/>
      <c r="H174" s="596"/>
      <c r="I174" s="596"/>
      <c r="J174" s="577"/>
      <c r="K174" s="577"/>
      <c r="L174" s="577"/>
      <c r="M174" s="577"/>
      <c r="N174" s="577"/>
      <c r="O174" s="577"/>
      <c r="P174" s="577"/>
      <c r="Q174" s="577"/>
      <c r="R174" s="577"/>
      <c r="S174" s="577"/>
      <c r="T174" s="577"/>
      <c r="U174" s="577"/>
      <c r="V174" s="577"/>
      <c r="W174" s="577"/>
      <c r="X174" s="577"/>
      <c r="Y174" s="577"/>
      <c r="Z174" s="577"/>
      <c r="AA174" s="577"/>
      <c r="AB174" s="577"/>
      <c r="AC174" s="577"/>
      <c r="AD174" s="577"/>
      <c r="AE174" s="577"/>
      <c r="AF174" s="6"/>
    </row>
    <row r="175" ht="12.75" customHeight="1">
      <c r="A175" s="595"/>
      <c r="B175" s="596"/>
      <c r="C175" s="596"/>
      <c r="D175" s="596"/>
      <c r="E175" s="596"/>
      <c r="F175" s="596"/>
      <c r="G175" s="596"/>
      <c r="H175" s="596"/>
      <c r="I175" s="596"/>
      <c r="J175" s="577"/>
      <c r="K175" s="577"/>
      <c r="L175" s="577"/>
      <c r="M175" s="577"/>
      <c r="N175" s="577"/>
      <c r="O175" s="577"/>
      <c r="P175" s="577"/>
      <c r="Q175" s="577"/>
      <c r="R175" s="577"/>
      <c r="S175" s="577"/>
      <c r="T175" s="577"/>
      <c r="U175" s="577"/>
      <c r="V175" s="577"/>
      <c r="W175" s="577"/>
      <c r="X175" s="577"/>
      <c r="Y175" s="577"/>
      <c r="Z175" s="577"/>
      <c r="AA175" s="577"/>
      <c r="AB175" s="577"/>
      <c r="AC175" s="577"/>
      <c r="AD175" s="577"/>
      <c r="AE175" s="577"/>
      <c r="AF175" s="6"/>
    </row>
    <row r="176" ht="12.75" customHeight="1">
      <c r="A176" s="595"/>
      <c r="B176" s="596"/>
      <c r="C176" s="596"/>
      <c r="D176" s="596"/>
      <c r="E176" s="596"/>
      <c r="F176" s="596"/>
      <c r="G176" s="596"/>
      <c r="H176" s="596"/>
      <c r="I176" s="596"/>
      <c r="J176" s="577"/>
      <c r="K176" s="577"/>
      <c r="L176" s="577"/>
      <c r="M176" s="577"/>
      <c r="N176" s="577"/>
      <c r="O176" s="577"/>
      <c r="P176" s="577"/>
      <c r="Q176" s="577"/>
      <c r="R176" s="577"/>
      <c r="S176" s="577"/>
      <c r="T176" s="577"/>
      <c r="U176" s="577"/>
      <c r="V176" s="577"/>
      <c r="W176" s="577"/>
      <c r="X176" s="577"/>
      <c r="Y176" s="577"/>
      <c r="Z176" s="577"/>
      <c r="AA176" s="577"/>
      <c r="AB176" s="577"/>
      <c r="AC176" s="577"/>
      <c r="AD176" s="577"/>
      <c r="AE176" s="577"/>
      <c r="AF176" s="6"/>
    </row>
    <row r="177" ht="12.75" customHeight="1">
      <c r="A177" s="595"/>
      <c r="B177" s="596"/>
      <c r="C177" s="596"/>
      <c r="D177" s="596"/>
      <c r="E177" s="596"/>
      <c r="F177" s="596"/>
      <c r="G177" s="596"/>
      <c r="H177" s="596"/>
      <c r="I177" s="596"/>
      <c r="J177" s="577"/>
      <c r="K177" s="577"/>
      <c r="L177" s="577"/>
      <c r="M177" s="577"/>
      <c r="N177" s="577"/>
      <c r="O177" s="577"/>
      <c r="P177" s="577"/>
      <c r="Q177" s="577"/>
      <c r="R177" s="577"/>
      <c r="S177" s="577"/>
      <c r="T177" s="577"/>
      <c r="U177" s="577"/>
      <c r="V177" s="577"/>
      <c r="W177" s="577"/>
      <c r="X177" s="577"/>
      <c r="Y177" s="577"/>
      <c r="Z177" s="577"/>
      <c r="AA177" s="577"/>
      <c r="AB177" s="577"/>
      <c r="AC177" s="577"/>
      <c r="AD177" s="577"/>
      <c r="AE177" s="577"/>
      <c r="AF177" s="6"/>
    </row>
    <row r="178" ht="12.75" customHeight="1">
      <c r="A178" s="595"/>
      <c r="B178" s="596"/>
      <c r="C178" s="596"/>
      <c r="D178" s="596"/>
      <c r="E178" s="596"/>
      <c r="F178" s="596"/>
      <c r="G178" s="596"/>
      <c r="H178" s="596"/>
      <c r="I178" s="596"/>
      <c r="J178" s="577"/>
      <c r="K178" s="577"/>
      <c r="L178" s="577"/>
      <c r="M178" s="577"/>
      <c r="N178" s="577"/>
      <c r="O178" s="577"/>
      <c r="P178" s="577"/>
      <c r="Q178" s="577"/>
      <c r="R178" s="577"/>
      <c r="S178" s="577"/>
      <c r="T178" s="577"/>
      <c r="U178" s="577"/>
      <c r="V178" s="577"/>
      <c r="W178" s="577"/>
      <c r="X178" s="577"/>
      <c r="Y178" s="577"/>
      <c r="Z178" s="577"/>
      <c r="AA178" s="577"/>
      <c r="AB178" s="577"/>
      <c r="AC178" s="577"/>
      <c r="AD178" s="577"/>
      <c r="AE178" s="577"/>
      <c r="AF178" s="6"/>
    </row>
    <row r="179" ht="12.75" customHeight="1">
      <c r="A179" s="595"/>
      <c r="B179" s="596"/>
      <c r="C179" s="596"/>
      <c r="D179" s="596"/>
      <c r="E179" s="596"/>
      <c r="F179" s="596"/>
      <c r="G179" s="596"/>
      <c r="H179" s="596"/>
      <c r="I179" s="596"/>
      <c r="J179" s="577"/>
      <c r="K179" s="577"/>
      <c r="L179" s="577"/>
      <c r="M179" s="577"/>
      <c r="N179" s="577"/>
      <c r="O179" s="577"/>
      <c r="P179" s="577"/>
      <c r="Q179" s="577"/>
      <c r="R179" s="577"/>
      <c r="S179" s="577"/>
      <c r="T179" s="577"/>
      <c r="U179" s="577"/>
      <c r="V179" s="577"/>
      <c r="W179" s="577"/>
      <c r="X179" s="577"/>
      <c r="Y179" s="577"/>
      <c r="Z179" s="577"/>
      <c r="AA179" s="577"/>
      <c r="AB179" s="577"/>
      <c r="AC179" s="577"/>
      <c r="AD179" s="577"/>
      <c r="AE179" s="577"/>
      <c r="AF179" s="6"/>
    </row>
    <row r="180" ht="12.75" customHeight="1">
      <c r="A180" s="595"/>
      <c r="B180" s="596"/>
      <c r="C180" s="596"/>
      <c r="D180" s="596"/>
      <c r="E180" s="596"/>
      <c r="F180" s="596"/>
      <c r="G180" s="596"/>
      <c r="H180" s="596"/>
      <c r="I180" s="596"/>
      <c r="J180" s="577"/>
      <c r="K180" s="577"/>
      <c r="L180" s="577"/>
      <c r="M180" s="577"/>
      <c r="N180" s="577"/>
      <c r="O180" s="577"/>
      <c r="P180" s="577"/>
      <c r="Q180" s="577"/>
      <c r="R180" s="577"/>
      <c r="S180" s="577"/>
      <c r="T180" s="577"/>
      <c r="U180" s="577"/>
      <c r="V180" s="577"/>
      <c r="W180" s="577"/>
      <c r="X180" s="577"/>
      <c r="Y180" s="577"/>
      <c r="Z180" s="577"/>
      <c r="AA180" s="577"/>
      <c r="AB180" s="577"/>
      <c r="AC180" s="577"/>
      <c r="AD180" s="577"/>
      <c r="AE180" s="577"/>
      <c r="AF180" s="6"/>
    </row>
    <row r="181" ht="12.75" customHeight="1">
      <c r="A181" s="595"/>
      <c r="B181" s="596"/>
      <c r="C181" s="596"/>
      <c r="D181" s="596"/>
      <c r="E181" s="596"/>
      <c r="F181" s="596"/>
      <c r="G181" s="596"/>
      <c r="H181" s="596"/>
      <c r="I181" s="596"/>
      <c r="J181" s="577"/>
      <c r="K181" s="577"/>
      <c r="L181" s="577"/>
      <c r="M181" s="577"/>
      <c r="N181" s="577"/>
      <c r="O181" s="577"/>
      <c r="P181" s="577"/>
      <c r="Q181" s="577"/>
      <c r="R181" s="577"/>
      <c r="S181" s="577"/>
      <c r="T181" s="577"/>
      <c r="U181" s="577"/>
      <c r="V181" s="577"/>
      <c r="W181" s="577"/>
      <c r="X181" s="577"/>
      <c r="Y181" s="577"/>
      <c r="Z181" s="577"/>
      <c r="AA181" s="577"/>
      <c r="AB181" s="577"/>
      <c r="AC181" s="577"/>
      <c r="AD181" s="577"/>
      <c r="AE181" s="577"/>
      <c r="AF181" s="6"/>
    </row>
    <row r="182" ht="12.75" customHeight="1">
      <c r="A182" s="595"/>
      <c r="B182" s="596"/>
      <c r="C182" s="596"/>
      <c r="D182" s="596"/>
      <c r="E182" s="596"/>
      <c r="F182" s="596"/>
      <c r="G182" s="596"/>
      <c r="H182" s="596"/>
      <c r="I182" s="596"/>
      <c r="J182" s="577"/>
      <c r="K182" s="577"/>
      <c r="L182" s="577"/>
      <c r="M182" s="577"/>
      <c r="N182" s="577"/>
      <c r="O182" s="577"/>
      <c r="P182" s="577"/>
      <c r="Q182" s="577"/>
      <c r="R182" s="577"/>
      <c r="S182" s="577"/>
      <c r="T182" s="577"/>
      <c r="U182" s="577"/>
      <c r="V182" s="577"/>
      <c r="W182" s="577"/>
      <c r="X182" s="577"/>
      <c r="Y182" s="577"/>
      <c r="Z182" s="577"/>
      <c r="AA182" s="577"/>
      <c r="AB182" s="577"/>
      <c r="AC182" s="577"/>
      <c r="AD182" s="577"/>
      <c r="AE182" s="577"/>
      <c r="AF182" s="6"/>
    </row>
    <row r="183" ht="12.75" customHeight="1">
      <c r="A183" s="595"/>
      <c r="B183" s="596"/>
      <c r="C183" s="596"/>
      <c r="D183" s="596"/>
      <c r="E183" s="596"/>
      <c r="F183" s="596"/>
      <c r="G183" s="596"/>
      <c r="H183" s="596"/>
      <c r="I183" s="596"/>
      <c r="J183" s="577"/>
      <c r="K183" s="577"/>
      <c r="L183" s="577"/>
      <c r="M183" s="577"/>
      <c r="N183" s="577"/>
      <c r="O183" s="577"/>
      <c r="P183" s="577"/>
      <c r="Q183" s="577"/>
      <c r="R183" s="577"/>
      <c r="S183" s="577"/>
      <c r="T183" s="577"/>
      <c r="U183" s="577"/>
      <c r="V183" s="577"/>
      <c r="W183" s="577"/>
      <c r="X183" s="577"/>
      <c r="Y183" s="577"/>
      <c r="Z183" s="577"/>
      <c r="AA183" s="577"/>
      <c r="AB183" s="577"/>
      <c r="AC183" s="577"/>
      <c r="AD183" s="577"/>
      <c r="AE183" s="577"/>
      <c r="AF183" s="6"/>
    </row>
    <row r="184" ht="12.75" customHeight="1">
      <c r="A184" s="595"/>
      <c r="B184" s="596"/>
      <c r="C184" s="596"/>
      <c r="D184" s="596"/>
      <c r="E184" s="596"/>
      <c r="F184" s="596"/>
      <c r="G184" s="596"/>
      <c r="H184" s="596"/>
      <c r="I184" s="596"/>
      <c r="J184" s="577"/>
      <c r="K184" s="577"/>
      <c r="L184" s="577"/>
      <c r="M184" s="577"/>
      <c r="N184" s="577"/>
      <c r="O184" s="577"/>
      <c r="P184" s="577"/>
      <c r="Q184" s="577"/>
      <c r="R184" s="577"/>
      <c r="S184" s="577"/>
      <c r="T184" s="577"/>
      <c r="U184" s="577"/>
      <c r="V184" s="577"/>
      <c r="W184" s="577"/>
      <c r="X184" s="577"/>
      <c r="Y184" s="577"/>
      <c r="Z184" s="577"/>
      <c r="AA184" s="577"/>
      <c r="AB184" s="577"/>
      <c r="AC184" s="577"/>
      <c r="AD184" s="577"/>
      <c r="AE184" s="577"/>
      <c r="AF184" s="6"/>
    </row>
    <row r="185" ht="12.75" customHeight="1">
      <c r="A185" s="595"/>
      <c r="B185" s="596"/>
      <c r="C185" s="596"/>
      <c r="D185" s="596"/>
      <c r="E185" s="596"/>
      <c r="F185" s="596"/>
      <c r="G185" s="596"/>
      <c r="H185" s="596"/>
      <c r="I185" s="596"/>
      <c r="J185" s="577"/>
      <c r="K185" s="577"/>
      <c r="L185" s="577"/>
      <c r="M185" s="577"/>
      <c r="N185" s="577"/>
      <c r="O185" s="577"/>
      <c r="P185" s="577"/>
      <c r="Q185" s="577"/>
      <c r="R185" s="577"/>
      <c r="S185" s="577"/>
      <c r="T185" s="577"/>
      <c r="U185" s="577"/>
      <c r="V185" s="577"/>
      <c r="W185" s="577"/>
      <c r="X185" s="577"/>
      <c r="Y185" s="577"/>
      <c r="Z185" s="577"/>
      <c r="AA185" s="577"/>
      <c r="AB185" s="577"/>
      <c r="AC185" s="577"/>
      <c r="AD185" s="577"/>
      <c r="AE185" s="577"/>
      <c r="AF185" s="6"/>
    </row>
    <row r="186" ht="12.75" customHeight="1">
      <c r="A186" s="595"/>
      <c r="B186" s="596"/>
      <c r="C186" s="596"/>
      <c r="D186" s="596"/>
      <c r="E186" s="596"/>
      <c r="F186" s="596"/>
      <c r="G186" s="596"/>
      <c r="H186" s="596"/>
      <c r="I186" s="596"/>
      <c r="J186" s="577"/>
      <c r="K186" s="577"/>
      <c r="L186" s="577"/>
      <c r="M186" s="577"/>
      <c r="N186" s="577"/>
      <c r="O186" s="577"/>
      <c r="P186" s="577"/>
      <c r="Q186" s="577"/>
      <c r="R186" s="577"/>
      <c r="S186" s="577"/>
      <c r="T186" s="577"/>
      <c r="U186" s="577"/>
      <c r="V186" s="577"/>
      <c r="W186" s="577"/>
      <c r="X186" s="577"/>
      <c r="Y186" s="577"/>
      <c r="Z186" s="577"/>
      <c r="AA186" s="577"/>
      <c r="AB186" s="577"/>
      <c r="AC186" s="577"/>
      <c r="AD186" s="577"/>
      <c r="AE186" s="577"/>
      <c r="AF186" s="6"/>
    </row>
    <row r="187" ht="12.75" customHeight="1">
      <c r="A187" s="595"/>
      <c r="B187" s="596"/>
      <c r="C187" s="596"/>
      <c r="D187" s="596"/>
      <c r="E187" s="596"/>
      <c r="F187" s="596"/>
      <c r="G187" s="596"/>
      <c r="H187" s="596"/>
      <c r="I187" s="596"/>
      <c r="J187" s="577"/>
      <c r="K187" s="577"/>
      <c r="L187" s="577"/>
      <c r="M187" s="577"/>
      <c r="N187" s="577"/>
      <c r="O187" s="577"/>
      <c r="P187" s="577"/>
      <c r="Q187" s="577"/>
      <c r="R187" s="577"/>
      <c r="S187" s="577"/>
      <c r="T187" s="577"/>
      <c r="U187" s="577"/>
      <c r="V187" s="577"/>
      <c r="W187" s="577"/>
      <c r="X187" s="577"/>
      <c r="Y187" s="577"/>
      <c r="Z187" s="577"/>
      <c r="AA187" s="577"/>
      <c r="AB187" s="577"/>
      <c r="AC187" s="577"/>
      <c r="AD187" s="577"/>
      <c r="AE187" s="577"/>
      <c r="AF187" s="6"/>
    </row>
    <row r="188" ht="12.75" customHeight="1">
      <c r="A188" s="595"/>
      <c r="B188" s="596"/>
      <c r="C188" s="596"/>
      <c r="D188" s="596"/>
      <c r="E188" s="596"/>
      <c r="F188" s="596"/>
      <c r="G188" s="596"/>
      <c r="H188" s="596"/>
      <c r="I188" s="596"/>
      <c r="J188" s="577"/>
      <c r="K188" s="577"/>
      <c r="L188" s="577"/>
      <c r="M188" s="577"/>
      <c r="N188" s="577"/>
      <c r="O188" s="577"/>
      <c r="P188" s="577"/>
      <c r="Q188" s="577"/>
      <c r="R188" s="577"/>
      <c r="S188" s="577"/>
      <c r="T188" s="577"/>
      <c r="U188" s="577"/>
      <c r="V188" s="577"/>
      <c r="W188" s="577"/>
      <c r="X188" s="577"/>
      <c r="Y188" s="577"/>
      <c r="Z188" s="577"/>
      <c r="AA188" s="577"/>
      <c r="AB188" s="577"/>
      <c r="AC188" s="577"/>
      <c r="AD188" s="577"/>
      <c r="AE188" s="577"/>
      <c r="AF188" s="6"/>
    </row>
    <row r="189" ht="12.75" customHeight="1">
      <c r="A189" s="595"/>
      <c r="B189" s="596"/>
      <c r="C189" s="596"/>
      <c r="D189" s="596"/>
      <c r="E189" s="596"/>
      <c r="F189" s="596"/>
      <c r="G189" s="596"/>
      <c r="H189" s="596"/>
      <c r="I189" s="596"/>
      <c r="J189" s="577"/>
      <c r="K189" s="577"/>
      <c r="L189" s="577"/>
      <c r="M189" s="577"/>
      <c r="N189" s="577"/>
      <c r="O189" s="577"/>
      <c r="P189" s="577"/>
      <c r="Q189" s="577"/>
      <c r="R189" s="577"/>
      <c r="S189" s="577"/>
      <c r="T189" s="577"/>
      <c r="U189" s="577"/>
      <c r="V189" s="577"/>
      <c r="W189" s="577"/>
      <c r="X189" s="577"/>
      <c r="Y189" s="577"/>
      <c r="Z189" s="577"/>
      <c r="AA189" s="577"/>
      <c r="AB189" s="577"/>
      <c r="AC189" s="577"/>
      <c r="AD189" s="577"/>
      <c r="AE189" s="577"/>
      <c r="AF189" s="6"/>
    </row>
    <row r="190" ht="12.75" customHeight="1">
      <c r="A190" s="595"/>
      <c r="B190" s="596"/>
      <c r="C190" s="596"/>
      <c r="D190" s="596"/>
      <c r="E190" s="596"/>
      <c r="F190" s="596"/>
      <c r="G190" s="596"/>
      <c r="H190" s="596"/>
      <c r="I190" s="596"/>
      <c r="J190" s="577"/>
      <c r="K190" s="577"/>
      <c r="L190" s="577"/>
      <c r="M190" s="577"/>
      <c r="N190" s="577"/>
      <c r="O190" s="577"/>
      <c r="P190" s="577"/>
      <c r="Q190" s="577"/>
      <c r="R190" s="577"/>
      <c r="S190" s="577"/>
      <c r="T190" s="577"/>
      <c r="U190" s="577"/>
      <c r="V190" s="577"/>
      <c r="W190" s="577"/>
      <c r="X190" s="577"/>
      <c r="Y190" s="577"/>
      <c r="Z190" s="577"/>
      <c r="AA190" s="577"/>
      <c r="AB190" s="577"/>
      <c r="AC190" s="577"/>
      <c r="AD190" s="577"/>
      <c r="AE190" s="577"/>
      <c r="AF190" s="6"/>
    </row>
    <row r="191" ht="12.75" customHeight="1">
      <c r="A191" s="595"/>
      <c r="B191" s="596"/>
      <c r="C191" s="596"/>
      <c r="D191" s="596"/>
      <c r="E191" s="596"/>
      <c r="F191" s="596"/>
      <c r="G191" s="596"/>
      <c r="H191" s="596"/>
      <c r="I191" s="596"/>
      <c r="J191" s="577"/>
      <c r="K191" s="577"/>
      <c r="L191" s="577"/>
      <c r="M191" s="577"/>
      <c r="N191" s="577"/>
      <c r="O191" s="577"/>
      <c r="P191" s="577"/>
      <c r="Q191" s="577"/>
      <c r="R191" s="577"/>
      <c r="S191" s="577"/>
      <c r="T191" s="577"/>
      <c r="U191" s="577"/>
      <c r="V191" s="577"/>
      <c r="W191" s="577"/>
      <c r="X191" s="577"/>
      <c r="Y191" s="577"/>
      <c r="Z191" s="577"/>
      <c r="AA191" s="577"/>
      <c r="AB191" s="577"/>
      <c r="AC191" s="577"/>
      <c r="AD191" s="577"/>
      <c r="AE191" s="577"/>
      <c r="AF191" s="6"/>
    </row>
    <row r="192" ht="12.75" customHeight="1">
      <c r="A192" s="595"/>
      <c r="B192" s="596"/>
      <c r="C192" s="596"/>
      <c r="D192" s="596"/>
      <c r="E192" s="596"/>
      <c r="F192" s="596"/>
      <c r="G192" s="596"/>
      <c r="H192" s="596"/>
      <c r="I192" s="596"/>
      <c r="J192" s="577"/>
      <c r="K192" s="577"/>
      <c r="L192" s="577"/>
      <c r="M192" s="577"/>
      <c r="N192" s="577"/>
      <c r="O192" s="577"/>
      <c r="P192" s="577"/>
      <c r="Q192" s="577"/>
      <c r="R192" s="577"/>
      <c r="S192" s="577"/>
      <c r="T192" s="577"/>
      <c r="U192" s="577"/>
      <c r="V192" s="577"/>
      <c r="W192" s="577"/>
      <c r="X192" s="577"/>
      <c r="Y192" s="577"/>
      <c r="Z192" s="577"/>
      <c r="AA192" s="577"/>
      <c r="AB192" s="577"/>
      <c r="AC192" s="577"/>
      <c r="AD192" s="577"/>
      <c r="AE192" s="577"/>
      <c r="AF192" s="6"/>
    </row>
    <row r="193" ht="12.75" customHeight="1">
      <c r="A193" s="595"/>
      <c r="B193" s="596"/>
      <c r="C193" s="596"/>
      <c r="D193" s="596"/>
      <c r="E193" s="596"/>
      <c r="F193" s="596"/>
      <c r="G193" s="596"/>
      <c r="H193" s="596"/>
      <c r="I193" s="596"/>
      <c r="J193" s="577"/>
      <c r="K193" s="577"/>
      <c r="L193" s="577"/>
      <c r="M193" s="577"/>
      <c r="N193" s="577"/>
      <c r="O193" s="577"/>
      <c r="P193" s="577"/>
      <c r="Q193" s="577"/>
      <c r="R193" s="577"/>
      <c r="S193" s="577"/>
      <c r="T193" s="577"/>
      <c r="U193" s="577"/>
      <c r="V193" s="577"/>
      <c r="W193" s="577"/>
      <c r="X193" s="577"/>
      <c r="Y193" s="577"/>
      <c r="Z193" s="577"/>
      <c r="AA193" s="577"/>
      <c r="AB193" s="577"/>
      <c r="AC193" s="577"/>
      <c r="AD193" s="577"/>
      <c r="AE193" s="577"/>
      <c r="AF193" s="6"/>
    </row>
    <row r="194" ht="12.75" customHeight="1">
      <c r="A194" s="595"/>
      <c r="B194" s="596"/>
      <c r="C194" s="596"/>
      <c r="D194" s="596"/>
      <c r="E194" s="596"/>
      <c r="F194" s="596"/>
      <c r="G194" s="596"/>
      <c r="H194" s="596"/>
      <c r="I194" s="596"/>
      <c r="J194" s="577"/>
      <c r="K194" s="577"/>
      <c r="L194" s="577"/>
      <c r="M194" s="577"/>
      <c r="N194" s="577"/>
      <c r="O194" s="577"/>
      <c r="P194" s="577"/>
      <c r="Q194" s="577"/>
      <c r="R194" s="577"/>
      <c r="S194" s="577"/>
      <c r="T194" s="577"/>
      <c r="U194" s="577"/>
      <c r="V194" s="577"/>
      <c r="W194" s="577"/>
      <c r="X194" s="577"/>
      <c r="Y194" s="577"/>
      <c r="Z194" s="577"/>
      <c r="AA194" s="577"/>
      <c r="AB194" s="577"/>
      <c r="AC194" s="577"/>
      <c r="AD194" s="577"/>
      <c r="AE194" s="577"/>
      <c r="AF194" s="6"/>
    </row>
    <row r="195" ht="12.75" customHeight="1">
      <c r="A195" s="595"/>
      <c r="B195" s="596"/>
      <c r="C195" s="596"/>
      <c r="D195" s="596"/>
      <c r="E195" s="596"/>
      <c r="F195" s="596"/>
      <c r="G195" s="596"/>
      <c r="H195" s="596"/>
      <c r="I195" s="596"/>
      <c r="J195" s="577"/>
      <c r="K195" s="577"/>
      <c r="L195" s="577"/>
      <c r="M195" s="577"/>
      <c r="N195" s="577"/>
      <c r="O195" s="577"/>
      <c r="P195" s="577"/>
      <c r="Q195" s="577"/>
      <c r="R195" s="577"/>
      <c r="S195" s="577"/>
      <c r="T195" s="577"/>
      <c r="U195" s="577"/>
      <c r="V195" s="577"/>
      <c r="W195" s="577"/>
      <c r="X195" s="577"/>
      <c r="Y195" s="577"/>
      <c r="Z195" s="577"/>
      <c r="AA195" s="577"/>
      <c r="AB195" s="577"/>
      <c r="AC195" s="577"/>
      <c r="AD195" s="577"/>
      <c r="AE195" s="577"/>
      <c r="AF195" s="6"/>
    </row>
    <row r="196" ht="12.75" customHeight="1">
      <c r="A196" s="595"/>
      <c r="B196" s="596"/>
      <c r="C196" s="596"/>
      <c r="D196" s="596"/>
      <c r="E196" s="596"/>
      <c r="F196" s="596"/>
      <c r="G196" s="596"/>
      <c r="H196" s="596"/>
      <c r="I196" s="596"/>
      <c r="J196" s="577"/>
      <c r="K196" s="577"/>
      <c r="L196" s="577"/>
      <c r="M196" s="577"/>
      <c r="N196" s="577"/>
      <c r="O196" s="577"/>
      <c r="P196" s="577"/>
      <c r="Q196" s="577"/>
      <c r="R196" s="577"/>
      <c r="S196" s="577"/>
      <c r="T196" s="577"/>
      <c r="U196" s="577"/>
      <c r="V196" s="577"/>
      <c r="W196" s="577"/>
      <c r="X196" s="577"/>
      <c r="Y196" s="577"/>
      <c r="Z196" s="577"/>
      <c r="AA196" s="577"/>
      <c r="AB196" s="577"/>
      <c r="AC196" s="577"/>
      <c r="AD196" s="577"/>
      <c r="AE196" s="577"/>
      <c r="AF196" s="6"/>
    </row>
    <row r="197" ht="12.75" customHeight="1">
      <c r="A197" s="595"/>
      <c r="B197" s="596"/>
      <c r="C197" s="596"/>
      <c r="D197" s="596"/>
      <c r="E197" s="596"/>
      <c r="F197" s="596"/>
      <c r="G197" s="596"/>
      <c r="H197" s="596"/>
      <c r="I197" s="596"/>
      <c r="J197" s="577"/>
      <c r="K197" s="577"/>
      <c r="L197" s="577"/>
      <c r="M197" s="577"/>
      <c r="N197" s="577"/>
      <c r="O197" s="577"/>
      <c r="P197" s="577"/>
      <c r="Q197" s="577"/>
      <c r="R197" s="577"/>
      <c r="S197" s="577"/>
      <c r="T197" s="577"/>
      <c r="U197" s="577"/>
      <c r="V197" s="577"/>
      <c r="W197" s="577"/>
      <c r="X197" s="577"/>
      <c r="Y197" s="577"/>
      <c r="Z197" s="577"/>
      <c r="AA197" s="577"/>
      <c r="AB197" s="577"/>
      <c r="AC197" s="577"/>
      <c r="AD197" s="577"/>
      <c r="AE197" s="577"/>
      <c r="AF197" s="6"/>
    </row>
    <row r="198" ht="12.75" customHeight="1">
      <c r="A198" s="595"/>
      <c r="B198" s="596"/>
      <c r="C198" s="596"/>
      <c r="D198" s="596"/>
      <c r="E198" s="596"/>
      <c r="F198" s="596"/>
      <c r="G198" s="596"/>
      <c r="H198" s="596"/>
      <c r="I198" s="596"/>
      <c r="J198" s="577"/>
      <c r="K198" s="577"/>
      <c r="L198" s="577"/>
      <c r="M198" s="577"/>
      <c r="N198" s="577"/>
      <c r="O198" s="577"/>
      <c r="P198" s="577"/>
      <c r="Q198" s="577"/>
      <c r="R198" s="577"/>
      <c r="S198" s="577"/>
      <c r="T198" s="577"/>
      <c r="U198" s="577"/>
      <c r="V198" s="577"/>
      <c r="W198" s="577"/>
      <c r="X198" s="577"/>
      <c r="Y198" s="577"/>
      <c r="Z198" s="577"/>
      <c r="AA198" s="577"/>
      <c r="AB198" s="577"/>
      <c r="AC198" s="577"/>
      <c r="AD198" s="577"/>
      <c r="AE198" s="577"/>
      <c r="AF198" s="6"/>
    </row>
    <row r="199" ht="12.75" customHeight="1">
      <c r="A199" s="595"/>
      <c r="B199" s="596"/>
      <c r="C199" s="596"/>
      <c r="D199" s="596"/>
      <c r="E199" s="596"/>
      <c r="F199" s="596"/>
      <c r="G199" s="596"/>
      <c r="H199" s="596"/>
      <c r="I199" s="596"/>
      <c r="J199" s="577"/>
      <c r="K199" s="577"/>
      <c r="L199" s="577"/>
      <c r="M199" s="577"/>
      <c r="N199" s="577"/>
      <c r="O199" s="577"/>
      <c r="P199" s="577"/>
      <c r="Q199" s="577"/>
      <c r="R199" s="577"/>
      <c r="S199" s="577"/>
      <c r="T199" s="577"/>
      <c r="U199" s="577"/>
      <c r="V199" s="577"/>
      <c r="W199" s="577"/>
      <c r="X199" s="577"/>
      <c r="Y199" s="577"/>
      <c r="Z199" s="577"/>
      <c r="AA199" s="577"/>
      <c r="AB199" s="577"/>
      <c r="AC199" s="577"/>
      <c r="AD199" s="577"/>
      <c r="AE199" s="577"/>
      <c r="AF199" s="6"/>
    </row>
    <row r="200" ht="12.75" customHeight="1">
      <c r="A200" s="595"/>
      <c r="B200" s="596"/>
      <c r="C200" s="596"/>
      <c r="D200" s="596"/>
      <c r="E200" s="596"/>
      <c r="F200" s="596"/>
      <c r="G200" s="596"/>
      <c r="H200" s="596"/>
      <c r="I200" s="596"/>
      <c r="J200" s="577"/>
      <c r="K200" s="577"/>
      <c r="L200" s="577"/>
      <c r="M200" s="577"/>
      <c r="N200" s="577"/>
      <c r="O200" s="577"/>
      <c r="P200" s="577"/>
      <c r="Q200" s="577"/>
      <c r="R200" s="577"/>
      <c r="S200" s="577"/>
      <c r="T200" s="577"/>
      <c r="U200" s="577"/>
      <c r="V200" s="577"/>
      <c r="W200" s="577"/>
      <c r="X200" s="577"/>
      <c r="Y200" s="577"/>
      <c r="Z200" s="577"/>
      <c r="AA200" s="577"/>
      <c r="AB200" s="577"/>
      <c r="AC200" s="577"/>
      <c r="AD200" s="577"/>
      <c r="AE200" s="577"/>
      <c r="AF200" s="6"/>
    </row>
    <row r="201" ht="12.75" customHeight="1">
      <c r="A201" s="595"/>
      <c r="B201" s="596"/>
      <c r="C201" s="596"/>
      <c r="D201" s="596"/>
      <c r="E201" s="596"/>
      <c r="F201" s="596"/>
      <c r="G201" s="596"/>
      <c r="H201" s="596"/>
      <c r="I201" s="596"/>
      <c r="J201" s="577"/>
      <c r="K201" s="577"/>
      <c r="L201" s="577"/>
      <c r="M201" s="577"/>
      <c r="N201" s="577"/>
      <c r="O201" s="577"/>
      <c r="P201" s="577"/>
      <c r="Q201" s="577"/>
      <c r="R201" s="577"/>
      <c r="S201" s="577"/>
      <c r="T201" s="577"/>
      <c r="U201" s="577"/>
      <c r="V201" s="577"/>
      <c r="W201" s="577"/>
      <c r="X201" s="577"/>
      <c r="Y201" s="577"/>
      <c r="Z201" s="577"/>
      <c r="AA201" s="577"/>
      <c r="AB201" s="577"/>
      <c r="AC201" s="577"/>
      <c r="AD201" s="577"/>
      <c r="AE201" s="577"/>
      <c r="AF201" s="6"/>
    </row>
    <row r="202" ht="12.75" customHeight="1">
      <c r="A202" s="595"/>
      <c r="B202" s="596"/>
      <c r="C202" s="596"/>
      <c r="D202" s="596"/>
      <c r="E202" s="596"/>
      <c r="F202" s="596"/>
      <c r="G202" s="596"/>
      <c r="H202" s="596"/>
      <c r="I202" s="596"/>
      <c r="J202" s="577"/>
      <c r="K202" s="577"/>
      <c r="L202" s="577"/>
      <c r="M202" s="577"/>
      <c r="N202" s="577"/>
      <c r="O202" s="577"/>
      <c r="P202" s="577"/>
      <c r="Q202" s="577"/>
      <c r="R202" s="577"/>
      <c r="S202" s="577"/>
      <c r="T202" s="577"/>
      <c r="U202" s="577"/>
      <c r="V202" s="577"/>
      <c r="W202" s="577"/>
      <c r="X202" s="577"/>
      <c r="Y202" s="577"/>
      <c r="Z202" s="577"/>
      <c r="AA202" s="577"/>
      <c r="AB202" s="577"/>
      <c r="AC202" s="577"/>
      <c r="AD202" s="577"/>
      <c r="AE202" s="577"/>
      <c r="AF202" s="6"/>
    </row>
    <row r="203" ht="12.75" customHeight="1">
      <c r="A203" s="595"/>
      <c r="B203" s="596"/>
      <c r="C203" s="596"/>
      <c r="D203" s="596"/>
      <c r="E203" s="596"/>
      <c r="F203" s="596"/>
      <c r="G203" s="596"/>
      <c r="H203" s="596"/>
      <c r="I203" s="596"/>
      <c r="J203" s="577"/>
      <c r="K203" s="577"/>
      <c r="L203" s="577"/>
      <c r="M203" s="577"/>
      <c r="N203" s="577"/>
      <c r="O203" s="577"/>
      <c r="P203" s="577"/>
      <c r="Q203" s="577"/>
      <c r="R203" s="577"/>
      <c r="S203" s="577"/>
      <c r="T203" s="577"/>
      <c r="U203" s="577"/>
      <c r="V203" s="577"/>
      <c r="W203" s="577"/>
      <c r="X203" s="577"/>
      <c r="Y203" s="577"/>
      <c r="Z203" s="577"/>
      <c r="AA203" s="577"/>
      <c r="AB203" s="577"/>
      <c r="AC203" s="577"/>
      <c r="AD203" s="577"/>
      <c r="AE203" s="577"/>
      <c r="AF203" s="6"/>
    </row>
    <row r="204" ht="12.75" customHeight="1">
      <c r="A204" s="595"/>
      <c r="B204" s="596"/>
      <c r="C204" s="596"/>
      <c r="D204" s="596"/>
      <c r="E204" s="596"/>
      <c r="F204" s="596"/>
      <c r="G204" s="596"/>
      <c r="H204" s="596"/>
      <c r="I204" s="596"/>
      <c r="J204" s="577"/>
      <c r="K204" s="577"/>
      <c r="L204" s="577"/>
      <c r="M204" s="577"/>
      <c r="N204" s="577"/>
      <c r="O204" s="577"/>
      <c r="P204" s="577"/>
      <c r="Q204" s="577"/>
      <c r="R204" s="577"/>
      <c r="S204" s="577"/>
      <c r="T204" s="577"/>
      <c r="U204" s="577"/>
      <c r="V204" s="577"/>
      <c r="W204" s="577"/>
      <c r="X204" s="577"/>
      <c r="Y204" s="577"/>
      <c r="Z204" s="577"/>
      <c r="AA204" s="577"/>
      <c r="AB204" s="577"/>
      <c r="AC204" s="577"/>
      <c r="AD204" s="577"/>
      <c r="AE204" s="577"/>
      <c r="AF204" s="6"/>
    </row>
    <row r="205" ht="12.75" customHeight="1">
      <c r="A205" s="595"/>
      <c r="B205" s="596"/>
      <c r="C205" s="596"/>
      <c r="D205" s="596"/>
      <c r="E205" s="596"/>
      <c r="F205" s="596"/>
      <c r="G205" s="596"/>
      <c r="H205" s="596"/>
      <c r="I205" s="596"/>
      <c r="J205" s="577"/>
      <c r="K205" s="577"/>
      <c r="L205" s="577"/>
      <c r="M205" s="577"/>
      <c r="N205" s="577"/>
      <c r="O205" s="577"/>
      <c r="P205" s="577"/>
      <c r="Q205" s="577"/>
      <c r="R205" s="577"/>
      <c r="S205" s="577"/>
      <c r="T205" s="577"/>
      <c r="U205" s="577"/>
      <c r="V205" s="577"/>
      <c r="W205" s="577"/>
      <c r="X205" s="577"/>
      <c r="Y205" s="577"/>
      <c r="Z205" s="577"/>
      <c r="AA205" s="577"/>
      <c r="AB205" s="577"/>
      <c r="AC205" s="577"/>
      <c r="AD205" s="577"/>
      <c r="AE205" s="577"/>
      <c r="AF205" s="6"/>
    </row>
    <row r="206" ht="12.75" customHeight="1">
      <c r="A206" s="595"/>
      <c r="B206" s="596"/>
      <c r="C206" s="596"/>
      <c r="D206" s="596"/>
      <c r="E206" s="596"/>
      <c r="F206" s="596"/>
      <c r="G206" s="596"/>
      <c r="H206" s="596"/>
      <c r="I206" s="596"/>
      <c r="J206" s="577"/>
      <c r="K206" s="577"/>
      <c r="L206" s="577"/>
      <c r="M206" s="577"/>
      <c r="N206" s="577"/>
      <c r="O206" s="577"/>
      <c r="P206" s="577"/>
      <c r="Q206" s="577"/>
      <c r="R206" s="577"/>
      <c r="S206" s="577"/>
      <c r="T206" s="577"/>
      <c r="U206" s="577"/>
      <c r="V206" s="577"/>
      <c r="W206" s="577"/>
      <c r="X206" s="577"/>
      <c r="Y206" s="577"/>
      <c r="Z206" s="577"/>
      <c r="AA206" s="577"/>
      <c r="AB206" s="577"/>
      <c r="AC206" s="577"/>
      <c r="AD206" s="577"/>
      <c r="AE206" s="577"/>
      <c r="AF206" s="6"/>
    </row>
    <row r="207" ht="12.75" customHeight="1">
      <c r="A207" s="595"/>
      <c r="B207" s="596"/>
      <c r="C207" s="596"/>
      <c r="D207" s="596"/>
      <c r="E207" s="596"/>
      <c r="F207" s="596"/>
      <c r="G207" s="596"/>
      <c r="H207" s="596"/>
      <c r="I207" s="596"/>
      <c r="J207" s="577"/>
      <c r="K207" s="577"/>
      <c r="L207" s="577"/>
      <c r="M207" s="577"/>
      <c r="N207" s="577"/>
      <c r="O207" s="577"/>
      <c r="P207" s="577"/>
      <c r="Q207" s="577"/>
      <c r="R207" s="577"/>
      <c r="S207" s="577"/>
      <c r="T207" s="577"/>
      <c r="U207" s="577"/>
      <c r="V207" s="577"/>
      <c r="W207" s="577"/>
      <c r="X207" s="577"/>
      <c r="Y207" s="577"/>
      <c r="Z207" s="577"/>
      <c r="AA207" s="577"/>
      <c r="AB207" s="577"/>
      <c r="AC207" s="577"/>
      <c r="AD207" s="577"/>
      <c r="AE207" s="577"/>
      <c r="AF207" s="6"/>
    </row>
    <row r="208" ht="12.75" customHeight="1">
      <c r="A208" s="595"/>
      <c r="B208" s="596"/>
      <c r="C208" s="596"/>
      <c r="D208" s="596"/>
      <c r="E208" s="596"/>
      <c r="F208" s="596"/>
      <c r="G208" s="596"/>
      <c r="H208" s="596"/>
      <c r="I208" s="596"/>
      <c r="J208" s="577"/>
      <c r="K208" s="577"/>
      <c r="L208" s="577"/>
      <c r="M208" s="577"/>
      <c r="N208" s="577"/>
      <c r="O208" s="577"/>
      <c r="P208" s="577"/>
      <c r="Q208" s="577"/>
      <c r="R208" s="577"/>
      <c r="S208" s="577"/>
      <c r="T208" s="577"/>
      <c r="U208" s="577"/>
      <c r="V208" s="577"/>
      <c r="W208" s="577"/>
      <c r="X208" s="577"/>
      <c r="Y208" s="577"/>
      <c r="Z208" s="577"/>
      <c r="AA208" s="577"/>
      <c r="AB208" s="577"/>
      <c r="AC208" s="577"/>
      <c r="AD208" s="577"/>
      <c r="AE208" s="577"/>
      <c r="AF208" s="6"/>
    </row>
    <row r="209" ht="12.75" customHeight="1">
      <c r="A209" s="595"/>
      <c r="B209" s="596"/>
      <c r="C209" s="596"/>
      <c r="D209" s="596"/>
      <c r="E209" s="596"/>
      <c r="F209" s="596"/>
      <c r="G209" s="596"/>
      <c r="H209" s="596"/>
      <c r="I209" s="596"/>
      <c r="J209" s="577"/>
      <c r="K209" s="577"/>
      <c r="L209" s="577"/>
      <c r="M209" s="577"/>
      <c r="N209" s="577"/>
      <c r="O209" s="577"/>
      <c r="P209" s="577"/>
      <c r="Q209" s="577"/>
      <c r="R209" s="577"/>
      <c r="S209" s="577"/>
      <c r="T209" s="577"/>
      <c r="U209" s="577"/>
      <c r="V209" s="577"/>
      <c r="W209" s="577"/>
      <c r="X209" s="577"/>
      <c r="Y209" s="577"/>
      <c r="Z209" s="577"/>
      <c r="AA209" s="577"/>
      <c r="AB209" s="577"/>
      <c r="AC209" s="577"/>
      <c r="AD209" s="577"/>
      <c r="AE209" s="577"/>
      <c r="AF209" s="6"/>
    </row>
    <row r="210" ht="12.75" customHeight="1">
      <c r="A210" s="595"/>
      <c r="B210" s="596"/>
      <c r="C210" s="596"/>
      <c r="D210" s="596"/>
      <c r="E210" s="596"/>
      <c r="F210" s="596"/>
      <c r="G210" s="596"/>
      <c r="H210" s="596"/>
      <c r="I210" s="596"/>
      <c r="J210" s="577"/>
      <c r="K210" s="577"/>
      <c r="L210" s="577"/>
      <c r="M210" s="577"/>
      <c r="N210" s="577"/>
      <c r="O210" s="577"/>
      <c r="P210" s="577"/>
      <c r="Q210" s="577"/>
      <c r="R210" s="577"/>
      <c r="S210" s="577"/>
      <c r="T210" s="577"/>
      <c r="U210" s="577"/>
      <c r="V210" s="577"/>
      <c r="W210" s="577"/>
      <c r="X210" s="577"/>
      <c r="Y210" s="577"/>
      <c r="Z210" s="577"/>
      <c r="AA210" s="577"/>
      <c r="AB210" s="577"/>
      <c r="AC210" s="577"/>
      <c r="AD210" s="577"/>
      <c r="AE210" s="577"/>
      <c r="AF210" s="6"/>
    </row>
    <row r="211" ht="12.75" customHeight="1">
      <c r="A211" s="595"/>
      <c r="B211" s="596"/>
      <c r="C211" s="596"/>
      <c r="D211" s="596"/>
      <c r="E211" s="596"/>
      <c r="F211" s="596"/>
      <c r="G211" s="596"/>
      <c r="H211" s="596"/>
      <c r="I211" s="596"/>
      <c r="J211" s="577"/>
      <c r="K211" s="577"/>
      <c r="L211" s="577"/>
      <c r="M211" s="577"/>
      <c r="N211" s="577"/>
      <c r="O211" s="577"/>
      <c r="P211" s="577"/>
      <c r="Q211" s="577"/>
      <c r="R211" s="577"/>
      <c r="S211" s="577"/>
      <c r="T211" s="577"/>
      <c r="U211" s="577"/>
      <c r="V211" s="577"/>
      <c r="W211" s="577"/>
      <c r="X211" s="577"/>
      <c r="Y211" s="577"/>
      <c r="Z211" s="577"/>
      <c r="AA211" s="577"/>
      <c r="AB211" s="577"/>
      <c r="AC211" s="577"/>
      <c r="AD211" s="577"/>
      <c r="AE211" s="577"/>
      <c r="AF211" s="6"/>
    </row>
    <row r="212" ht="12.75" customHeight="1">
      <c r="A212" s="595"/>
      <c r="B212" s="596"/>
      <c r="C212" s="596"/>
      <c r="D212" s="596"/>
      <c r="E212" s="596"/>
      <c r="F212" s="596"/>
      <c r="G212" s="596"/>
      <c r="H212" s="596"/>
      <c r="I212" s="596"/>
      <c r="J212" s="577"/>
      <c r="K212" s="577"/>
      <c r="L212" s="577"/>
      <c r="M212" s="577"/>
      <c r="N212" s="577"/>
      <c r="O212" s="577"/>
      <c r="P212" s="577"/>
      <c r="Q212" s="577"/>
      <c r="R212" s="577"/>
      <c r="S212" s="577"/>
      <c r="T212" s="577"/>
      <c r="U212" s="577"/>
      <c r="V212" s="577"/>
      <c r="W212" s="577"/>
      <c r="X212" s="577"/>
      <c r="Y212" s="577"/>
      <c r="Z212" s="577"/>
      <c r="AA212" s="577"/>
      <c r="AB212" s="577"/>
      <c r="AC212" s="577"/>
      <c r="AD212" s="577"/>
      <c r="AE212" s="577"/>
      <c r="AF212" s="6"/>
    </row>
    <row r="213" ht="12.75" customHeight="1">
      <c r="A213" s="595"/>
      <c r="B213" s="596"/>
      <c r="C213" s="596"/>
      <c r="D213" s="596"/>
      <c r="E213" s="596"/>
      <c r="F213" s="596"/>
      <c r="G213" s="596"/>
      <c r="H213" s="596"/>
      <c r="I213" s="596"/>
      <c r="J213" s="577"/>
      <c r="K213" s="577"/>
      <c r="L213" s="577"/>
      <c r="M213" s="577"/>
      <c r="N213" s="577"/>
      <c r="O213" s="577"/>
      <c r="P213" s="577"/>
      <c r="Q213" s="577"/>
      <c r="R213" s="577"/>
      <c r="S213" s="577"/>
      <c r="T213" s="577"/>
      <c r="U213" s="577"/>
      <c r="V213" s="577"/>
      <c r="W213" s="577"/>
      <c r="X213" s="577"/>
      <c r="Y213" s="577"/>
      <c r="Z213" s="577"/>
      <c r="AA213" s="577"/>
      <c r="AB213" s="577"/>
      <c r="AC213" s="577"/>
      <c r="AD213" s="577"/>
      <c r="AE213" s="577"/>
      <c r="AF213" s="6"/>
    </row>
    <row r="214" ht="12.75" customHeight="1">
      <c r="A214" s="595"/>
      <c r="B214" s="596"/>
      <c r="C214" s="596"/>
      <c r="D214" s="596"/>
      <c r="E214" s="596"/>
      <c r="F214" s="596"/>
      <c r="G214" s="596"/>
      <c r="H214" s="596"/>
      <c r="I214" s="596"/>
      <c r="J214" s="577"/>
      <c r="K214" s="577"/>
      <c r="L214" s="577"/>
      <c r="M214" s="577"/>
      <c r="N214" s="577"/>
      <c r="O214" s="577"/>
      <c r="P214" s="577"/>
      <c r="Q214" s="577"/>
      <c r="R214" s="577"/>
      <c r="S214" s="577"/>
      <c r="T214" s="577"/>
      <c r="U214" s="577"/>
      <c r="V214" s="577"/>
      <c r="W214" s="577"/>
      <c r="X214" s="577"/>
      <c r="Y214" s="577"/>
      <c r="Z214" s="577"/>
      <c r="AA214" s="577"/>
      <c r="AB214" s="577"/>
      <c r="AC214" s="577"/>
      <c r="AD214" s="577"/>
      <c r="AE214" s="577"/>
      <c r="AF214" s="6"/>
    </row>
    <row r="215" ht="12.75" customHeight="1">
      <c r="A215" s="595"/>
      <c r="B215" s="596"/>
      <c r="C215" s="596"/>
      <c r="D215" s="596"/>
      <c r="E215" s="596"/>
      <c r="F215" s="596"/>
      <c r="G215" s="596"/>
      <c r="H215" s="596"/>
      <c r="I215" s="596"/>
      <c r="J215" s="577"/>
      <c r="K215" s="577"/>
      <c r="L215" s="577"/>
      <c r="M215" s="577"/>
      <c r="N215" s="577"/>
      <c r="O215" s="577"/>
      <c r="P215" s="577"/>
      <c r="Q215" s="577"/>
      <c r="R215" s="577"/>
      <c r="S215" s="577"/>
      <c r="T215" s="577"/>
      <c r="U215" s="577"/>
      <c r="V215" s="577"/>
      <c r="W215" s="577"/>
      <c r="X215" s="577"/>
      <c r="Y215" s="577"/>
      <c r="Z215" s="577"/>
      <c r="AA215" s="577"/>
      <c r="AB215" s="577"/>
      <c r="AC215" s="577"/>
      <c r="AD215" s="577"/>
      <c r="AE215" s="577"/>
      <c r="AF215" s="6"/>
    </row>
    <row r="216" ht="12.75" customHeight="1">
      <c r="A216" s="595"/>
      <c r="B216" s="596"/>
      <c r="C216" s="596"/>
      <c r="D216" s="596"/>
      <c r="E216" s="596"/>
      <c r="F216" s="596"/>
      <c r="G216" s="596"/>
      <c r="H216" s="596"/>
      <c r="I216" s="596"/>
      <c r="J216" s="577"/>
      <c r="K216" s="577"/>
      <c r="L216" s="577"/>
      <c r="M216" s="577"/>
      <c r="N216" s="577"/>
      <c r="O216" s="577"/>
      <c r="P216" s="577"/>
      <c r="Q216" s="577"/>
      <c r="R216" s="577"/>
      <c r="S216" s="577"/>
      <c r="T216" s="577"/>
      <c r="U216" s="577"/>
      <c r="V216" s="577"/>
      <c r="W216" s="577"/>
      <c r="X216" s="577"/>
      <c r="Y216" s="577"/>
      <c r="Z216" s="577"/>
      <c r="AA216" s="577"/>
      <c r="AB216" s="577"/>
      <c r="AC216" s="577"/>
      <c r="AD216" s="577"/>
      <c r="AE216" s="577"/>
      <c r="AF216" s="6"/>
    </row>
    <row r="217" ht="12.75" customHeight="1">
      <c r="A217" s="595"/>
      <c r="B217" s="596"/>
      <c r="C217" s="596"/>
      <c r="D217" s="596"/>
      <c r="E217" s="596"/>
      <c r="F217" s="596"/>
      <c r="G217" s="596"/>
      <c r="H217" s="596"/>
      <c r="I217" s="596"/>
      <c r="J217" s="577"/>
      <c r="K217" s="577"/>
      <c r="L217" s="577"/>
      <c r="M217" s="577"/>
      <c r="N217" s="577"/>
      <c r="O217" s="577"/>
      <c r="P217" s="577"/>
      <c r="Q217" s="577"/>
      <c r="R217" s="577"/>
      <c r="S217" s="577"/>
      <c r="T217" s="577"/>
      <c r="U217" s="577"/>
      <c r="V217" s="577"/>
      <c r="W217" s="577"/>
      <c r="X217" s="577"/>
      <c r="Y217" s="577"/>
      <c r="Z217" s="577"/>
      <c r="AA217" s="577"/>
      <c r="AB217" s="577"/>
      <c r="AC217" s="577"/>
      <c r="AD217" s="577"/>
      <c r="AE217" s="577"/>
      <c r="AF217" s="6"/>
    </row>
    <row r="218" ht="12.75" customHeight="1">
      <c r="A218" s="595"/>
      <c r="B218" s="596"/>
      <c r="C218" s="596"/>
      <c r="D218" s="596"/>
      <c r="E218" s="596"/>
      <c r="F218" s="596"/>
      <c r="G218" s="596"/>
      <c r="H218" s="596"/>
      <c r="I218" s="596"/>
      <c r="J218" s="577"/>
      <c r="K218" s="577"/>
      <c r="L218" s="577"/>
      <c r="M218" s="577"/>
      <c r="N218" s="577"/>
      <c r="O218" s="577"/>
      <c r="P218" s="577"/>
      <c r="Q218" s="577"/>
      <c r="R218" s="577"/>
      <c r="S218" s="577"/>
      <c r="T218" s="577"/>
      <c r="U218" s="577"/>
      <c r="V218" s="577"/>
      <c r="W218" s="577"/>
      <c r="X218" s="577"/>
      <c r="Y218" s="577"/>
      <c r="Z218" s="577"/>
      <c r="AA218" s="577"/>
      <c r="AB218" s="577"/>
      <c r="AC218" s="577"/>
      <c r="AD218" s="577"/>
      <c r="AE218" s="577"/>
      <c r="AF218" s="6"/>
    </row>
    <row r="219" ht="12.75" customHeight="1">
      <c r="A219" s="595"/>
      <c r="B219" s="596"/>
      <c r="C219" s="596"/>
      <c r="D219" s="596"/>
      <c r="E219" s="596"/>
      <c r="F219" s="596"/>
      <c r="G219" s="596"/>
      <c r="H219" s="596"/>
      <c r="I219" s="596"/>
      <c r="J219" s="577"/>
      <c r="K219" s="577"/>
      <c r="L219" s="577"/>
      <c r="M219" s="577"/>
      <c r="N219" s="577"/>
      <c r="O219" s="577"/>
      <c r="P219" s="577"/>
      <c r="Q219" s="577"/>
      <c r="R219" s="577"/>
      <c r="S219" s="577"/>
      <c r="T219" s="577"/>
      <c r="U219" s="577"/>
      <c r="V219" s="577"/>
      <c r="W219" s="577"/>
      <c r="X219" s="577"/>
      <c r="Y219" s="577"/>
      <c r="Z219" s="577"/>
      <c r="AA219" s="577"/>
      <c r="AB219" s="577"/>
      <c r="AC219" s="577"/>
      <c r="AD219" s="577"/>
      <c r="AE219" s="577"/>
      <c r="AF219" s="6"/>
    </row>
    <row r="220" ht="12.75" customHeight="1">
      <c r="A220" s="595"/>
      <c r="B220" s="596"/>
      <c r="C220" s="596"/>
      <c r="D220" s="596"/>
      <c r="E220" s="596"/>
      <c r="F220" s="596"/>
      <c r="G220" s="596"/>
      <c r="H220" s="596"/>
      <c r="I220" s="596"/>
      <c r="J220" s="577"/>
      <c r="K220" s="577"/>
      <c r="L220" s="577"/>
      <c r="M220" s="577"/>
      <c r="N220" s="577"/>
      <c r="O220" s="577"/>
      <c r="P220" s="577"/>
      <c r="Q220" s="577"/>
      <c r="R220" s="577"/>
      <c r="S220" s="577"/>
      <c r="T220" s="577"/>
      <c r="U220" s="577"/>
      <c r="V220" s="577"/>
      <c r="W220" s="577"/>
      <c r="X220" s="577"/>
      <c r="Y220" s="577"/>
      <c r="Z220" s="577"/>
      <c r="AA220" s="577"/>
      <c r="AB220" s="577"/>
      <c r="AC220" s="577"/>
      <c r="AD220" s="577"/>
      <c r="AE220" s="577"/>
      <c r="AF220" s="6"/>
    </row>
    <row r="221" ht="12.75" customHeight="1">
      <c r="A221" s="595"/>
      <c r="B221" s="596"/>
      <c r="C221" s="596"/>
      <c r="D221" s="596"/>
      <c r="E221" s="596"/>
      <c r="F221" s="596"/>
      <c r="G221" s="596"/>
      <c r="H221" s="596"/>
      <c r="I221" s="596"/>
      <c r="J221" s="577"/>
      <c r="K221" s="577"/>
      <c r="L221" s="577"/>
      <c r="M221" s="577"/>
      <c r="N221" s="577"/>
      <c r="O221" s="577"/>
      <c r="P221" s="577"/>
      <c r="Q221" s="577"/>
      <c r="R221" s="577"/>
      <c r="S221" s="577"/>
      <c r="T221" s="577"/>
      <c r="U221" s="577"/>
      <c r="V221" s="577"/>
      <c r="W221" s="577"/>
      <c r="X221" s="577"/>
      <c r="Y221" s="577"/>
      <c r="Z221" s="577"/>
      <c r="AA221" s="577"/>
      <c r="AB221" s="577"/>
      <c r="AC221" s="577"/>
      <c r="AD221" s="577"/>
      <c r="AE221" s="577"/>
      <c r="AF221" s="6"/>
    </row>
    <row r="222" ht="12.75" customHeight="1">
      <c r="A222" s="595"/>
      <c r="B222" s="596"/>
      <c r="C222" s="596"/>
      <c r="D222" s="596"/>
      <c r="E222" s="596"/>
      <c r="F222" s="596"/>
      <c r="G222" s="596"/>
      <c r="H222" s="596"/>
      <c r="I222" s="596"/>
      <c r="J222" s="577"/>
      <c r="K222" s="577"/>
      <c r="L222" s="577"/>
      <c r="M222" s="577"/>
      <c r="N222" s="577"/>
      <c r="O222" s="577"/>
      <c r="P222" s="577"/>
      <c r="Q222" s="577"/>
      <c r="R222" s="577"/>
      <c r="S222" s="577"/>
      <c r="T222" s="577"/>
      <c r="U222" s="577"/>
      <c r="V222" s="577"/>
      <c r="W222" s="577"/>
      <c r="X222" s="577"/>
      <c r="Y222" s="577"/>
      <c r="Z222" s="577"/>
      <c r="AA222" s="577"/>
      <c r="AB222" s="577"/>
      <c r="AC222" s="577"/>
      <c r="AD222" s="577"/>
      <c r="AE222" s="577"/>
      <c r="AF222" s="6"/>
    </row>
    <row r="223" ht="12.75" customHeight="1">
      <c r="A223" s="595"/>
      <c r="B223" s="596"/>
      <c r="C223" s="596"/>
      <c r="D223" s="596"/>
      <c r="E223" s="596"/>
      <c r="F223" s="596"/>
      <c r="G223" s="596"/>
      <c r="H223" s="596"/>
      <c r="I223" s="596"/>
      <c r="J223" s="577"/>
      <c r="K223" s="577"/>
      <c r="L223" s="577"/>
      <c r="M223" s="577"/>
      <c r="N223" s="577"/>
      <c r="O223" s="577"/>
      <c r="P223" s="577"/>
      <c r="Q223" s="577"/>
      <c r="R223" s="577"/>
      <c r="S223" s="577"/>
      <c r="T223" s="577"/>
      <c r="U223" s="577"/>
      <c r="V223" s="577"/>
      <c r="W223" s="577"/>
      <c r="X223" s="577"/>
      <c r="Y223" s="577"/>
      <c r="Z223" s="577"/>
      <c r="AA223" s="577"/>
      <c r="AB223" s="577"/>
      <c r="AC223" s="577"/>
      <c r="AD223" s="577"/>
      <c r="AE223" s="577"/>
      <c r="AF223" s="6"/>
    </row>
    <row r="224" ht="12.75" customHeight="1">
      <c r="A224" s="595"/>
      <c r="B224" s="596"/>
      <c r="C224" s="596"/>
      <c r="D224" s="596"/>
      <c r="E224" s="596"/>
      <c r="F224" s="596"/>
      <c r="G224" s="596"/>
      <c r="H224" s="596"/>
      <c r="I224" s="596"/>
      <c r="J224" s="577"/>
      <c r="K224" s="577"/>
      <c r="L224" s="577"/>
      <c r="M224" s="577"/>
      <c r="N224" s="577"/>
      <c r="O224" s="577"/>
      <c r="P224" s="577"/>
      <c r="Q224" s="577"/>
      <c r="R224" s="577"/>
      <c r="S224" s="577"/>
      <c r="T224" s="577"/>
      <c r="U224" s="577"/>
      <c r="V224" s="577"/>
      <c r="W224" s="577"/>
      <c r="X224" s="577"/>
      <c r="Y224" s="577"/>
      <c r="Z224" s="577"/>
      <c r="AA224" s="577"/>
      <c r="AB224" s="577"/>
      <c r="AC224" s="577"/>
      <c r="AD224" s="577"/>
      <c r="AE224" s="577"/>
      <c r="AF224" s="6"/>
    </row>
    <row r="225" ht="12.75" customHeight="1">
      <c r="A225" s="595"/>
      <c r="B225" s="596"/>
      <c r="C225" s="596"/>
      <c r="D225" s="596"/>
      <c r="E225" s="596"/>
      <c r="F225" s="596"/>
      <c r="G225" s="596"/>
      <c r="H225" s="596"/>
      <c r="I225" s="596"/>
      <c r="J225" s="577"/>
      <c r="K225" s="577"/>
      <c r="L225" s="577"/>
      <c r="M225" s="577"/>
      <c r="N225" s="577"/>
      <c r="O225" s="577"/>
      <c r="P225" s="577"/>
      <c r="Q225" s="577"/>
      <c r="R225" s="577"/>
      <c r="S225" s="577"/>
      <c r="T225" s="577"/>
      <c r="U225" s="577"/>
      <c r="V225" s="577"/>
      <c r="W225" s="577"/>
      <c r="X225" s="577"/>
      <c r="Y225" s="577"/>
      <c r="Z225" s="577"/>
      <c r="AA225" s="577"/>
      <c r="AB225" s="577"/>
      <c r="AC225" s="577"/>
      <c r="AD225" s="577"/>
      <c r="AE225" s="577"/>
      <c r="AF225" s="6"/>
    </row>
    <row r="226" ht="12.75" customHeight="1">
      <c r="A226" s="595"/>
      <c r="B226" s="596"/>
      <c r="C226" s="596"/>
      <c r="D226" s="596"/>
      <c r="E226" s="596"/>
      <c r="F226" s="596"/>
      <c r="G226" s="596"/>
      <c r="H226" s="596"/>
      <c r="I226" s="596"/>
      <c r="J226" s="577"/>
      <c r="K226" s="577"/>
      <c r="L226" s="577"/>
      <c r="M226" s="577"/>
      <c r="N226" s="577"/>
      <c r="O226" s="577"/>
      <c r="P226" s="577"/>
      <c r="Q226" s="577"/>
      <c r="R226" s="577"/>
      <c r="S226" s="577"/>
      <c r="T226" s="577"/>
      <c r="U226" s="577"/>
      <c r="V226" s="577"/>
      <c r="W226" s="577"/>
      <c r="X226" s="577"/>
      <c r="Y226" s="577"/>
      <c r="Z226" s="577"/>
      <c r="AA226" s="577"/>
      <c r="AB226" s="577"/>
      <c r="AC226" s="577"/>
      <c r="AD226" s="577"/>
      <c r="AE226" s="577"/>
      <c r="AF226" s="6"/>
    </row>
    <row r="227" ht="12.75" customHeight="1">
      <c r="A227" s="595"/>
      <c r="B227" s="596"/>
      <c r="C227" s="596"/>
      <c r="D227" s="596"/>
      <c r="E227" s="596"/>
      <c r="F227" s="596"/>
      <c r="G227" s="596"/>
      <c r="H227" s="596"/>
      <c r="I227" s="596"/>
      <c r="J227" s="577"/>
      <c r="K227" s="577"/>
      <c r="L227" s="577"/>
      <c r="M227" s="577"/>
      <c r="N227" s="577"/>
      <c r="O227" s="577"/>
      <c r="P227" s="577"/>
      <c r="Q227" s="577"/>
      <c r="R227" s="577"/>
      <c r="S227" s="577"/>
      <c r="T227" s="577"/>
      <c r="U227" s="577"/>
      <c r="V227" s="577"/>
      <c r="W227" s="577"/>
      <c r="X227" s="577"/>
      <c r="Y227" s="577"/>
      <c r="Z227" s="577"/>
      <c r="AA227" s="577"/>
      <c r="AB227" s="577"/>
      <c r="AC227" s="577"/>
      <c r="AD227" s="577"/>
      <c r="AE227" s="577"/>
      <c r="AF227" s="6"/>
    </row>
    <row r="228" ht="12.75" customHeight="1">
      <c r="A228" s="595"/>
      <c r="B228" s="596"/>
      <c r="C228" s="596"/>
      <c r="D228" s="596"/>
      <c r="E228" s="596"/>
      <c r="F228" s="596"/>
      <c r="G228" s="596"/>
      <c r="H228" s="596"/>
      <c r="I228" s="596"/>
      <c r="J228" s="577"/>
      <c r="K228" s="577"/>
      <c r="L228" s="577"/>
      <c r="M228" s="577"/>
      <c r="N228" s="577"/>
      <c r="O228" s="577"/>
      <c r="P228" s="577"/>
      <c r="Q228" s="577"/>
      <c r="R228" s="577"/>
      <c r="S228" s="577"/>
      <c r="T228" s="577"/>
      <c r="U228" s="577"/>
      <c r="V228" s="577"/>
      <c r="W228" s="577"/>
      <c r="X228" s="577"/>
      <c r="Y228" s="577"/>
      <c r="Z228" s="577"/>
      <c r="AA228" s="577"/>
      <c r="AB228" s="577"/>
      <c r="AC228" s="577"/>
      <c r="AD228" s="577"/>
      <c r="AE228" s="577"/>
      <c r="AF228" s="6"/>
    </row>
    <row r="229" ht="12.75" customHeight="1">
      <c r="A229" s="595"/>
      <c r="B229" s="596"/>
      <c r="C229" s="596"/>
      <c r="D229" s="596"/>
      <c r="E229" s="596"/>
      <c r="F229" s="596"/>
      <c r="G229" s="596"/>
      <c r="H229" s="596"/>
      <c r="I229" s="596"/>
      <c r="J229" s="577"/>
      <c r="K229" s="577"/>
      <c r="L229" s="577"/>
      <c r="M229" s="577"/>
      <c r="N229" s="577"/>
      <c r="O229" s="577"/>
      <c r="P229" s="577"/>
      <c r="Q229" s="577"/>
      <c r="R229" s="577"/>
      <c r="S229" s="577"/>
      <c r="T229" s="577"/>
      <c r="U229" s="577"/>
      <c r="V229" s="577"/>
      <c r="W229" s="577"/>
      <c r="X229" s="577"/>
      <c r="Y229" s="577"/>
      <c r="Z229" s="577"/>
      <c r="AA229" s="577"/>
      <c r="AB229" s="577"/>
      <c r="AC229" s="577"/>
      <c r="AD229" s="577"/>
      <c r="AE229" s="577"/>
      <c r="AF229" s="6"/>
    </row>
    <row r="230" ht="12.75" customHeight="1">
      <c r="A230" s="595"/>
      <c r="B230" s="596"/>
      <c r="C230" s="596"/>
      <c r="D230" s="596"/>
      <c r="E230" s="596"/>
      <c r="F230" s="596"/>
      <c r="G230" s="596"/>
      <c r="H230" s="596"/>
      <c r="I230" s="596"/>
      <c r="J230" s="577"/>
      <c r="K230" s="577"/>
      <c r="L230" s="577"/>
      <c r="M230" s="577"/>
      <c r="N230" s="577"/>
      <c r="O230" s="577"/>
      <c r="P230" s="577"/>
      <c r="Q230" s="577"/>
      <c r="R230" s="577"/>
      <c r="S230" s="577"/>
      <c r="T230" s="577"/>
      <c r="U230" s="577"/>
      <c r="V230" s="577"/>
      <c r="W230" s="577"/>
      <c r="X230" s="577"/>
      <c r="Y230" s="577"/>
      <c r="Z230" s="577"/>
      <c r="AA230" s="577"/>
      <c r="AB230" s="577"/>
      <c r="AC230" s="577"/>
      <c r="AD230" s="577"/>
      <c r="AE230" s="577"/>
      <c r="AF230" s="6"/>
    </row>
    <row r="231" ht="12.75" customHeight="1">
      <c r="A231" s="595"/>
      <c r="B231" s="596"/>
      <c r="C231" s="596"/>
      <c r="D231" s="596"/>
      <c r="E231" s="596"/>
      <c r="F231" s="596"/>
      <c r="G231" s="596"/>
      <c r="H231" s="596"/>
      <c r="I231" s="596"/>
      <c r="J231" s="577"/>
      <c r="K231" s="577"/>
      <c r="L231" s="577"/>
      <c r="M231" s="577"/>
      <c r="N231" s="577"/>
      <c r="O231" s="577"/>
      <c r="P231" s="577"/>
      <c r="Q231" s="577"/>
      <c r="R231" s="577"/>
      <c r="S231" s="577"/>
      <c r="T231" s="577"/>
      <c r="U231" s="577"/>
      <c r="V231" s="577"/>
      <c r="W231" s="577"/>
      <c r="X231" s="577"/>
      <c r="Y231" s="577"/>
      <c r="Z231" s="577"/>
      <c r="AA231" s="577"/>
      <c r="AB231" s="577"/>
      <c r="AC231" s="577"/>
      <c r="AD231" s="577"/>
      <c r="AE231" s="577"/>
      <c r="AF231" s="6"/>
    </row>
    <row r="232" ht="12.75" customHeight="1">
      <c r="A232" s="595"/>
      <c r="B232" s="596"/>
      <c r="C232" s="596"/>
      <c r="D232" s="596"/>
      <c r="E232" s="596"/>
      <c r="F232" s="596"/>
      <c r="G232" s="596"/>
      <c r="H232" s="596"/>
      <c r="I232" s="596"/>
      <c r="J232" s="577"/>
      <c r="K232" s="577"/>
      <c r="L232" s="577"/>
      <c r="M232" s="577"/>
      <c r="N232" s="577"/>
      <c r="O232" s="577"/>
      <c r="P232" s="577"/>
      <c r="Q232" s="577"/>
      <c r="R232" s="577"/>
      <c r="S232" s="577"/>
      <c r="T232" s="577"/>
      <c r="U232" s="577"/>
      <c r="V232" s="577"/>
      <c r="W232" s="577"/>
      <c r="X232" s="577"/>
      <c r="Y232" s="577"/>
      <c r="Z232" s="577"/>
      <c r="AA232" s="577"/>
      <c r="AB232" s="577"/>
      <c r="AC232" s="577"/>
      <c r="AD232" s="577"/>
      <c r="AE232" s="577"/>
      <c r="AF232" s="6"/>
    </row>
    <row r="233" ht="12.75" customHeight="1">
      <c r="A233" s="595"/>
      <c r="B233" s="596"/>
      <c r="C233" s="596"/>
      <c r="D233" s="596"/>
      <c r="E233" s="596"/>
      <c r="F233" s="596"/>
      <c r="G233" s="596"/>
      <c r="H233" s="596"/>
      <c r="I233" s="596"/>
      <c r="J233" s="577"/>
      <c r="K233" s="577"/>
      <c r="L233" s="577"/>
      <c r="M233" s="577"/>
      <c r="N233" s="577"/>
      <c r="O233" s="577"/>
      <c r="P233" s="577"/>
      <c r="Q233" s="577"/>
      <c r="R233" s="577"/>
      <c r="S233" s="577"/>
      <c r="T233" s="577"/>
      <c r="U233" s="577"/>
      <c r="V233" s="577"/>
      <c r="W233" s="577"/>
      <c r="X233" s="577"/>
      <c r="Y233" s="577"/>
      <c r="Z233" s="577"/>
      <c r="AA233" s="577"/>
      <c r="AB233" s="577"/>
      <c r="AC233" s="577"/>
      <c r="AD233" s="577"/>
      <c r="AE233" s="577"/>
      <c r="AF233" s="6"/>
    </row>
    <row r="234" ht="12.75" customHeight="1">
      <c r="A234" s="595"/>
      <c r="B234" s="596"/>
      <c r="C234" s="596"/>
      <c r="D234" s="596"/>
      <c r="E234" s="596"/>
      <c r="F234" s="596"/>
      <c r="G234" s="596"/>
      <c r="H234" s="596"/>
      <c r="I234" s="596"/>
      <c r="J234" s="577"/>
      <c r="K234" s="577"/>
      <c r="L234" s="577"/>
      <c r="M234" s="577"/>
      <c r="N234" s="577"/>
      <c r="O234" s="577"/>
      <c r="P234" s="577"/>
      <c r="Q234" s="577"/>
      <c r="R234" s="577"/>
      <c r="S234" s="577"/>
      <c r="T234" s="577"/>
      <c r="U234" s="577"/>
      <c r="V234" s="577"/>
      <c r="W234" s="577"/>
      <c r="X234" s="577"/>
      <c r="Y234" s="577"/>
      <c r="Z234" s="577"/>
      <c r="AA234" s="577"/>
      <c r="AB234" s="577"/>
      <c r="AC234" s="577"/>
      <c r="AD234" s="577"/>
      <c r="AE234" s="577"/>
      <c r="AF234" s="6"/>
    </row>
    <row r="235" ht="12.75" customHeight="1">
      <c r="A235" s="595"/>
      <c r="B235" s="596"/>
      <c r="C235" s="596"/>
      <c r="D235" s="596"/>
      <c r="E235" s="596"/>
      <c r="F235" s="596"/>
      <c r="G235" s="596"/>
      <c r="H235" s="596"/>
      <c r="I235" s="596"/>
      <c r="J235" s="577"/>
      <c r="K235" s="577"/>
      <c r="L235" s="577"/>
      <c r="M235" s="577"/>
      <c r="N235" s="577"/>
      <c r="O235" s="577"/>
      <c r="P235" s="577"/>
      <c r="Q235" s="577"/>
      <c r="R235" s="577"/>
      <c r="S235" s="577"/>
      <c r="T235" s="577"/>
      <c r="U235" s="577"/>
      <c r="V235" s="577"/>
      <c r="W235" s="577"/>
      <c r="X235" s="577"/>
      <c r="Y235" s="577"/>
      <c r="Z235" s="577"/>
      <c r="AA235" s="577"/>
      <c r="AB235" s="577"/>
      <c r="AC235" s="577"/>
      <c r="AD235" s="577"/>
      <c r="AE235" s="577"/>
      <c r="AF235" s="6"/>
    </row>
    <row r="236" ht="12.75" customHeight="1">
      <c r="A236" s="595"/>
      <c r="B236" s="596"/>
      <c r="C236" s="596"/>
      <c r="D236" s="596"/>
      <c r="E236" s="596"/>
      <c r="F236" s="596"/>
      <c r="G236" s="596"/>
      <c r="H236" s="596"/>
      <c r="I236" s="596"/>
      <c r="J236" s="577"/>
      <c r="K236" s="577"/>
      <c r="L236" s="577"/>
      <c r="M236" s="577"/>
      <c r="N236" s="577"/>
      <c r="O236" s="577"/>
      <c r="P236" s="577"/>
      <c r="Q236" s="577"/>
      <c r="R236" s="577"/>
      <c r="S236" s="577"/>
      <c r="T236" s="577"/>
      <c r="U236" s="577"/>
      <c r="V236" s="577"/>
      <c r="W236" s="577"/>
      <c r="X236" s="577"/>
      <c r="Y236" s="577"/>
      <c r="Z236" s="577"/>
      <c r="AA236" s="577"/>
      <c r="AB236" s="577"/>
      <c r="AC236" s="577"/>
      <c r="AD236" s="577"/>
      <c r="AE236" s="577"/>
      <c r="AF236" s="6"/>
    </row>
    <row r="237" ht="12.75" customHeight="1">
      <c r="A237" s="595"/>
      <c r="B237" s="596"/>
      <c r="C237" s="596"/>
      <c r="D237" s="596"/>
      <c r="E237" s="596"/>
      <c r="F237" s="596"/>
      <c r="G237" s="596"/>
      <c r="H237" s="596"/>
      <c r="I237" s="596"/>
      <c r="J237" s="577"/>
      <c r="K237" s="577"/>
      <c r="L237" s="577"/>
      <c r="M237" s="577"/>
      <c r="N237" s="577"/>
      <c r="O237" s="577"/>
      <c r="P237" s="577"/>
      <c r="Q237" s="577"/>
      <c r="R237" s="577"/>
      <c r="S237" s="577"/>
      <c r="T237" s="577"/>
      <c r="U237" s="577"/>
      <c r="V237" s="577"/>
      <c r="W237" s="577"/>
      <c r="X237" s="577"/>
      <c r="Y237" s="577"/>
      <c r="Z237" s="577"/>
      <c r="AA237" s="577"/>
      <c r="AB237" s="577"/>
      <c r="AC237" s="577"/>
      <c r="AD237" s="577"/>
      <c r="AE237" s="577"/>
      <c r="AF237" s="6"/>
    </row>
    <row r="238" ht="12.75" customHeight="1">
      <c r="A238" s="595"/>
      <c r="B238" s="596"/>
      <c r="C238" s="596"/>
      <c r="D238" s="596"/>
      <c r="E238" s="596"/>
      <c r="F238" s="596"/>
      <c r="G238" s="596"/>
      <c r="H238" s="596"/>
      <c r="I238" s="596"/>
      <c r="J238" s="577"/>
      <c r="K238" s="577"/>
      <c r="L238" s="577"/>
      <c r="M238" s="577"/>
      <c r="N238" s="577"/>
      <c r="O238" s="577"/>
      <c r="P238" s="577"/>
      <c r="Q238" s="577"/>
      <c r="R238" s="577"/>
      <c r="S238" s="577"/>
      <c r="T238" s="577"/>
      <c r="U238" s="577"/>
      <c r="V238" s="577"/>
      <c r="W238" s="577"/>
      <c r="X238" s="577"/>
      <c r="Y238" s="577"/>
      <c r="Z238" s="577"/>
      <c r="AA238" s="577"/>
      <c r="AB238" s="577"/>
      <c r="AC238" s="577"/>
      <c r="AD238" s="577"/>
      <c r="AE238" s="577"/>
      <c r="AF238" s="6"/>
    </row>
    <row r="239" ht="12.75" customHeight="1">
      <c r="A239" s="595"/>
      <c r="B239" s="596"/>
      <c r="C239" s="596"/>
      <c r="D239" s="596"/>
      <c r="E239" s="596"/>
      <c r="F239" s="596"/>
      <c r="G239" s="596"/>
      <c r="H239" s="596"/>
      <c r="I239" s="596"/>
      <c r="J239" s="577"/>
      <c r="K239" s="577"/>
      <c r="L239" s="577"/>
      <c r="M239" s="577"/>
      <c r="N239" s="577"/>
      <c r="O239" s="577"/>
      <c r="P239" s="577"/>
      <c r="Q239" s="577"/>
      <c r="R239" s="577"/>
      <c r="S239" s="577"/>
      <c r="T239" s="577"/>
      <c r="U239" s="577"/>
      <c r="V239" s="577"/>
      <c r="W239" s="577"/>
      <c r="X239" s="577"/>
      <c r="Y239" s="577"/>
      <c r="Z239" s="577"/>
      <c r="AA239" s="577"/>
      <c r="AB239" s="577"/>
      <c r="AC239" s="577"/>
      <c r="AD239" s="577"/>
      <c r="AE239" s="577"/>
      <c r="AF239" s="6"/>
    </row>
    <row r="240" ht="12.75" customHeight="1">
      <c r="A240" s="595"/>
      <c r="B240" s="596"/>
      <c r="C240" s="596"/>
      <c r="D240" s="596"/>
      <c r="E240" s="596"/>
      <c r="F240" s="596"/>
      <c r="G240" s="596"/>
      <c r="H240" s="596"/>
      <c r="I240" s="596"/>
      <c r="J240" s="577"/>
      <c r="K240" s="577"/>
      <c r="L240" s="577"/>
      <c r="M240" s="577"/>
      <c r="N240" s="577"/>
      <c r="O240" s="577"/>
      <c r="P240" s="577"/>
      <c r="Q240" s="577"/>
      <c r="R240" s="577"/>
      <c r="S240" s="577"/>
      <c r="T240" s="577"/>
      <c r="U240" s="577"/>
      <c r="V240" s="577"/>
      <c r="W240" s="577"/>
      <c r="X240" s="577"/>
      <c r="Y240" s="577"/>
      <c r="Z240" s="577"/>
      <c r="AA240" s="577"/>
      <c r="AB240" s="577"/>
      <c r="AC240" s="577"/>
      <c r="AD240" s="577"/>
      <c r="AE240" s="577"/>
      <c r="AF240" s="6"/>
    </row>
    <row r="241" ht="12.75" customHeight="1">
      <c r="A241" s="595"/>
      <c r="B241" s="596"/>
      <c r="C241" s="596"/>
      <c r="D241" s="596"/>
      <c r="E241" s="596"/>
      <c r="F241" s="596"/>
      <c r="G241" s="596"/>
      <c r="H241" s="596"/>
      <c r="I241" s="596"/>
      <c r="J241" s="577"/>
      <c r="K241" s="577"/>
      <c r="L241" s="577"/>
      <c r="M241" s="577"/>
      <c r="N241" s="577"/>
      <c r="O241" s="577"/>
      <c r="P241" s="577"/>
      <c r="Q241" s="577"/>
      <c r="R241" s="577"/>
      <c r="S241" s="577"/>
      <c r="T241" s="577"/>
      <c r="U241" s="577"/>
      <c r="V241" s="577"/>
      <c r="W241" s="577"/>
      <c r="X241" s="577"/>
      <c r="Y241" s="577"/>
      <c r="Z241" s="577"/>
      <c r="AA241" s="577"/>
      <c r="AB241" s="577"/>
      <c r="AC241" s="577"/>
      <c r="AD241" s="577"/>
      <c r="AE241" s="577"/>
      <c r="AF241" s="6"/>
    </row>
    <row r="242" ht="12.75" customHeight="1">
      <c r="A242" s="595"/>
      <c r="B242" s="596"/>
      <c r="C242" s="596"/>
      <c r="D242" s="596"/>
      <c r="E242" s="596"/>
      <c r="F242" s="596"/>
      <c r="G242" s="596"/>
      <c r="H242" s="596"/>
      <c r="I242" s="596"/>
      <c r="J242" s="577"/>
      <c r="K242" s="577"/>
      <c r="L242" s="577"/>
      <c r="M242" s="577"/>
      <c r="N242" s="577"/>
      <c r="O242" s="577"/>
      <c r="P242" s="577"/>
      <c r="Q242" s="577"/>
      <c r="R242" s="577"/>
      <c r="S242" s="577"/>
      <c r="T242" s="577"/>
      <c r="U242" s="577"/>
      <c r="V242" s="577"/>
      <c r="W242" s="577"/>
      <c r="X242" s="577"/>
      <c r="Y242" s="577"/>
      <c r="Z242" s="577"/>
      <c r="AA242" s="577"/>
      <c r="AB242" s="577"/>
      <c r="AC242" s="577"/>
      <c r="AD242" s="577"/>
      <c r="AE242" s="577"/>
      <c r="AF242" s="6"/>
    </row>
    <row r="243" ht="12.75" customHeight="1">
      <c r="A243" s="595"/>
      <c r="B243" s="596"/>
      <c r="C243" s="596"/>
      <c r="D243" s="596"/>
      <c r="E243" s="596"/>
      <c r="F243" s="596"/>
      <c r="G243" s="596"/>
      <c r="H243" s="596"/>
      <c r="I243" s="596"/>
      <c r="J243" s="577"/>
      <c r="K243" s="577"/>
      <c r="L243" s="577"/>
      <c r="M243" s="577"/>
      <c r="N243" s="577"/>
      <c r="O243" s="577"/>
      <c r="P243" s="577"/>
      <c r="Q243" s="577"/>
      <c r="R243" s="577"/>
      <c r="S243" s="577"/>
      <c r="T243" s="577"/>
      <c r="U243" s="577"/>
      <c r="V243" s="577"/>
      <c r="W243" s="577"/>
      <c r="X243" s="577"/>
      <c r="Y243" s="577"/>
      <c r="Z243" s="577"/>
      <c r="AA243" s="577"/>
      <c r="AB243" s="577"/>
      <c r="AC243" s="577"/>
      <c r="AD243" s="577"/>
      <c r="AE243" s="577"/>
      <c r="AF243" s="6"/>
    </row>
    <row r="244" ht="12.75" customHeight="1">
      <c r="A244" s="595"/>
      <c r="B244" s="596"/>
      <c r="C244" s="596"/>
      <c r="D244" s="596"/>
      <c r="E244" s="596"/>
      <c r="F244" s="596"/>
      <c r="G244" s="596"/>
      <c r="H244" s="596"/>
      <c r="I244" s="596"/>
      <c r="J244" s="577"/>
      <c r="K244" s="577"/>
      <c r="L244" s="577"/>
      <c r="M244" s="577"/>
      <c r="N244" s="577"/>
      <c r="O244" s="577"/>
      <c r="P244" s="577"/>
      <c r="Q244" s="577"/>
      <c r="R244" s="577"/>
      <c r="S244" s="577"/>
      <c r="T244" s="577"/>
      <c r="U244" s="577"/>
      <c r="V244" s="577"/>
      <c r="W244" s="577"/>
      <c r="X244" s="577"/>
      <c r="Y244" s="577"/>
      <c r="Z244" s="577"/>
      <c r="AA244" s="577"/>
      <c r="AB244" s="577"/>
      <c r="AC244" s="577"/>
      <c r="AD244" s="577"/>
      <c r="AE244" s="577"/>
      <c r="AF244" s="6"/>
    </row>
    <row r="245" ht="12.75" customHeight="1">
      <c r="A245" s="595"/>
      <c r="B245" s="596"/>
      <c r="C245" s="596"/>
      <c r="D245" s="596"/>
      <c r="E245" s="596"/>
      <c r="F245" s="596"/>
      <c r="G245" s="596"/>
      <c r="H245" s="596"/>
      <c r="I245" s="596"/>
      <c r="J245" s="577"/>
      <c r="K245" s="577"/>
      <c r="L245" s="577"/>
      <c r="M245" s="577"/>
      <c r="N245" s="577"/>
      <c r="O245" s="577"/>
      <c r="P245" s="577"/>
      <c r="Q245" s="577"/>
      <c r="R245" s="577"/>
      <c r="S245" s="577"/>
      <c r="T245" s="577"/>
      <c r="U245" s="577"/>
      <c r="V245" s="577"/>
      <c r="W245" s="577"/>
      <c r="X245" s="577"/>
      <c r="Y245" s="577"/>
      <c r="Z245" s="577"/>
      <c r="AA245" s="577"/>
      <c r="AB245" s="577"/>
      <c r="AC245" s="577"/>
      <c r="AD245" s="577"/>
      <c r="AE245" s="577"/>
      <c r="AF245" s="6"/>
    </row>
    <row r="246" ht="12.75" customHeight="1">
      <c r="A246" s="595"/>
      <c r="B246" s="596"/>
      <c r="C246" s="596"/>
      <c r="D246" s="596"/>
      <c r="E246" s="596"/>
      <c r="F246" s="596"/>
      <c r="G246" s="596"/>
      <c r="H246" s="596"/>
      <c r="I246" s="596"/>
      <c r="J246" s="577"/>
      <c r="K246" s="577"/>
      <c r="L246" s="577"/>
      <c r="M246" s="577"/>
      <c r="N246" s="577"/>
      <c r="O246" s="577"/>
      <c r="P246" s="577"/>
      <c r="Q246" s="577"/>
      <c r="R246" s="577"/>
      <c r="S246" s="577"/>
      <c r="T246" s="577"/>
      <c r="U246" s="577"/>
      <c r="V246" s="577"/>
      <c r="W246" s="577"/>
      <c r="X246" s="577"/>
      <c r="Y246" s="577"/>
      <c r="Z246" s="577"/>
      <c r="AA246" s="577"/>
      <c r="AB246" s="577"/>
      <c r="AC246" s="577"/>
      <c r="AD246" s="577"/>
      <c r="AE246" s="577"/>
      <c r="AF246" s="6"/>
    </row>
    <row r="247" ht="12.75" customHeight="1">
      <c r="A247" s="595"/>
      <c r="B247" s="596"/>
      <c r="C247" s="596"/>
      <c r="D247" s="596"/>
      <c r="E247" s="596"/>
      <c r="F247" s="596"/>
      <c r="G247" s="596"/>
      <c r="H247" s="596"/>
      <c r="I247" s="596"/>
      <c r="J247" s="577"/>
      <c r="K247" s="577"/>
      <c r="L247" s="577"/>
      <c r="M247" s="577"/>
      <c r="N247" s="577"/>
      <c r="O247" s="577"/>
      <c r="P247" s="577"/>
      <c r="Q247" s="577"/>
      <c r="R247" s="577"/>
      <c r="S247" s="577"/>
      <c r="T247" s="577"/>
      <c r="U247" s="577"/>
      <c r="V247" s="577"/>
      <c r="W247" s="577"/>
      <c r="X247" s="577"/>
      <c r="Y247" s="577"/>
      <c r="Z247" s="577"/>
      <c r="AA247" s="577"/>
      <c r="AB247" s="577"/>
      <c r="AC247" s="577"/>
      <c r="AD247" s="577"/>
      <c r="AE247" s="577"/>
      <c r="AF247" s="6"/>
    </row>
    <row r="248" ht="12.75" customHeight="1">
      <c r="A248" s="595"/>
      <c r="B248" s="596"/>
      <c r="C248" s="596"/>
      <c r="D248" s="596"/>
      <c r="E248" s="596"/>
      <c r="F248" s="596"/>
      <c r="G248" s="596"/>
      <c r="H248" s="596"/>
      <c r="I248" s="596"/>
      <c r="J248" s="577"/>
      <c r="K248" s="577"/>
      <c r="L248" s="577"/>
      <c r="M248" s="577"/>
      <c r="N248" s="577"/>
      <c r="O248" s="577"/>
      <c r="P248" s="577"/>
      <c r="Q248" s="577"/>
      <c r="R248" s="577"/>
      <c r="S248" s="577"/>
      <c r="T248" s="577"/>
      <c r="U248" s="577"/>
      <c r="V248" s="577"/>
      <c r="W248" s="577"/>
      <c r="X248" s="577"/>
      <c r="Y248" s="577"/>
      <c r="Z248" s="577"/>
      <c r="AA248" s="577"/>
      <c r="AB248" s="577"/>
      <c r="AC248" s="577"/>
      <c r="AD248" s="577"/>
      <c r="AE248" s="577"/>
      <c r="AF248" s="6"/>
    </row>
    <row r="249" ht="12.75" customHeight="1">
      <c r="A249" s="595"/>
      <c r="B249" s="596"/>
      <c r="C249" s="596"/>
      <c r="D249" s="596"/>
      <c r="E249" s="596"/>
      <c r="F249" s="596"/>
      <c r="G249" s="596"/>
      <c r="H249" s="596"/>
      <c r="I249" s="596"/>
      <c r="J249" s="577"/>
      <c r="K249" s="577"/>
      <c r="L249" s="577"/>
      <c r="M249" s="577"/>
      <c r="N249" s="577"/>
      <c r="O249" s="577"/>
      <c r="P249" s="577"/>
      <c r="Q249" s="577"/>
      <c r="R249" s="577"/>
      <c r="S249" s="577"/>
      <c r="T249" s="577"/>
      <c r="U249" s="577"/>
      <c r="V249" s="577"/>
      <c r="W249" s="577"/>
      <c r="X249" s="577"/>
      <c r="Y249" s="577"/>
      <c r="Z249" s="577"/>
      <c r="AA249" s="577"/>
      <c r="AB249" s="577"/>
      <c r="AC249" s="577"/>
      <c r="AD249" s="577"/>
      <c r="AE249" s="577"/>
      <c r="AF249" s="6"/>
    </row>
    <row r="250" ht="12.75" customHeight="1">
      <c r="A250" s="595"/>
      <c r="B250" s="596"/>
      <c r="C250" s="596"/>
      <c r="D250" s="596"/>
      <c r="E250" s="596"/>
      <c r="F250" s="596"/>
      <c r="G250" s="596"/>
      <c r="H250" s="596"/>
      <c r="I250" s="596"/>
      <c r="J250" s="577"/>
      <c r="K250" s="577"/>
      <c r="L250" s="577"/>
      <c r="M250" s="577"/>
      <c r="N250" s="577"/>
      <c r="O250" s="577"/>
      <c r="P250" s="577"/>
      <c r="Q250" s="577"/>
      <c r="R250" s="577"/>
      <c r="S250" s="577"/>
      <c r="T250" s="577"/>
      <c r="U250" s="577"/>
      <c r="V250" s="577"/>
      <c r="W250" s="577"/>
      <c r="X250" s="577"/>
      <c r="Y250" s="577"/>
      <c r="Z250" s="577"/>
      <c r="AA250" s="577"/>
      <c r="AB250" s="577"/>
      <c r="AC250" s="577"/>
      <c r="AD250" s="577"/>
      <c r="AE250" s="577"/>
      <c r="AF250" s="6"/>
    </row>
    <row r="251" ht="12.75" customHeight="1">
      <c r="A251" s="595"/>
      <c r="B251" s="596"/>
      <c r="C251" s="596"/>
      <c r="D251" s="596"/>
      <c r="E251" s="596"/>
      <c r="F251" s="596"/>
      <c r="G251" s="596"/>
      <c r="H251" s="596"/>
      <c r="I251" s="596"/>
      <c r="J251" s="577"/>
      <c r="K251" s="577"/>
      <c r="L251" s="577"/>
      <c r="M251" s="577"/>
      <c r="N251" s="577"/>
      <c r="O251" s="577"/>
      <c r="P251" s="577"/>
      <c r="Q251" s="577"/>
      <c r="R251" s="577"/>
      <c r="S251" s="577"/>
      <c r="T251" s="577"/>
      <c r="U251" s="577"/>
      <c r="V251" s="577"/>
      <c r="W251" s="577"/>
      <c r="X251" s="577"/>
      <c r="Y251" s="577"/>
      <c r="Z251" s="577"/>
      <c r="AA251" s="577"/>
      <c r="AB251" s="577"/>
      <c r="AC251" s="577"/>
      <c r="AD251" s="577"/>
      <c r="AE251" s="577"/>
      <c r="AF251" s="6"/>
    </row>
    <row r="252" ht="12.75" customHeight="1">
      <c r="A252" s="595"/>
      <c r="B252" s="596"/>
      <c r="C252" s="596"/>
      <c r="D252" s="596"/>
      <c r="E252" s="596"/>
      <c r="F252" s="596"/>
      <c r="G252" s="596"/>
      <c r="H252" s="596"/>
      <c r="I252" s="596"/>
      <c r="J252" s="577"/>
      <c r="K252" s="577"/>
      <c r="L252" s="577"/>
      <c r="M252" s="577"/>
      <c r="N252" s="577"/>
      <c r="O252" s="577"/>
      <c r="P252" s="577"/>
      <c r="Q252" s="577"/>
      <c r="R252" s="577"/>
      <c r="S252" s="577"/>
      <c r="T252" s="577"/>
      <c r="U252" s="577"/>
      <c r="V252" s="577"/>
      <c r="W252" s="577"/>
      <c r="X252" s="577"/>
      <c r="Y252" s="577"/>
      <c r="Z252" s="577"/>
      <c r="AA252" s="577"/>
      <c r="AB252" s="577"/>
      <c r="AC252" s="577"/>
      <c r="AD252" s="577"/>
      <c r="AE252" s="577"/>
      <c r="AF252" s="6"/>
    </row>
    <row r="253" ht="12.75" customHeight="1">
      <c r="A253" s="595"/>
      <c r="B253" s="596"/>
      <c r="C253" s="596"/>
      <c r="D253" s="596"/>
      <c r="E253" s="596"/>
      <c r="F253" s="596"/>
      <c r="G253" s="596"/>
      <c r="H253" s="596"/>
      <c r="I253" s="596"/>
      <c r="J253" s="577"/>
      <c r="K253" s="577"/>
      <c r="L253" s="577"/>
      <c r="M253" s="577"/>
      <c r="N253" s="577"/>
      <c r="O253" s="577"/>
      <c r="P253" s="577"/>
      <c r="Q253" s="577"/>
      <c r="R253" s="577"/>
      <c r="S253" s="577"/>
      <c r="T253" s="577"/>
      <c r="U253" s="577"/>
      <c r="V253" s="577"/>
      <c r="W253" s="577"/>
      <c r="X253" s="577"/>
      <c r="Y253" s="577"/>
      <c r="Z253" s="577"/>
      <c r="AA253" s="577"/>
      <c r="AB253" s="577"/>
      <c r="AC253" s="577"/>
      <c r="AD253" s="577"/>
      <c r="AE253" s="577"/>
      <c r="AF253" s="6"/>
    </row>
    <row r="254" ht="12.75" customHeight="1">
      <c r="A254" s="595"/>
      <c r="B254" s="596"/>
      <c r="C254" s="596"/>
      <c r="D254" s="596"/>
      <c r="E254" s="596"/>
      <c r="F254" s="596"/>
      <c r="G254" s="596"/>
      <c r="H254" s="596"/>
      <c r="I254" s="596"/>
      <c r="J254" s="577"/>
      <c r="K254" s="577"/>
      <c r="L254" s="577"/>
      <c r="M254" s="577"/>
      <c r="N254" s="577"/>
      <c r="O254" s="577"/>
      <c r="P254" s="577"/>
      <c r="Q254" s="577"/>
      <c r="R254" s="577"/>
      <c r="S254" s="577"/>
      <c r="T254" s="577"/>
      <c r="U254" s="577"/>
      <c r="V254" s="577"/>
      <c r="W254" s="577"/>
      <c r="X254" s="577"/>
      <c r="Y254" s="577"/>
      <c r="Z254" s="577"/>
      <c r="AA254" s="577"/>
      <c r="AB254" s="577"/>
      <c r="AC254" s="577"/>
      <c r="AD254" s="577"/>
      <c r="AE254" s="577"/>
      <c r="AF254" s="6"/>
    </row>
    <row r="255" ht="12.75" customHeight="1">
      <c r="A255" s="595"/>
      <c r="B255" s="596"/>
      <c r="C255" s="596"/>
      <c r="D255" s="596"/>
      <c r="E255" s="596"/>
      <c r="F255" s="596"/>
      <c r="G255" s="596"/>
      <c r="H255" s="596"/>
      <c r="I255" s="596"/>
      <c r="J255" s="577"/>
      <c r="K255" s="577"/>
      <c r="L255" s="577"/>
      <c r="M255" s="577"/>
      <c r="N255" s="577"/>
      <c r="O255" s="577"/>
      <c r="P255" s="577"/>
      <c r="Q255" s="577"/>
      <c r="R255" s="577"/>
      <c r="S255" s="577"/>
      <c r="T255" s="577"/>
      <c r="U255" s="577"/>
      <c r="V255" s="577"/>
      <c r="W255" s="577"/>
      <c r="X255" s="577"/>
      <c r="Y255" s="577"/>
      <c r="Z255" s="577"/>
      <c r="AA255" s="577"/>
      <c r="AB255" s="577"/>
      <c r="AC255" s="577"/>
      <c r="AD255" s="577"/>
      <c r="AE255" s="577"/>
      <c r="AF255" s="6"/>
    </row>
    <row r="256" ht="12.75" customHeight="1">
      <c r="A256" s="595"/>
      <c r="B256" s="596"/>
      <c r="C256" s="596"/>
      <c r="D256" s="596"/>
      <c r="E256" s="596"/>
      <c r="F256" s="596"/>
      <c r="G256" s="596"/>
      <c r="H256" s="596"/>
      <c r="I256" s="596"/>
      <c r="J256" s="577"/>
      <c r="K256" s="577"/>
      <c r="L256" s="577"/>
      <c r="M256" s="577"/>
      <c r="N256" s="577"/>
      <c r="O256" s="577"/>
      <c r="P256" s="577"/>
      <c r="Q256" s="577"/>
      <c r="R256" s="577"/>
      <c r="S256" s="577"/>
      <c r="T256" s="577"/>
      <c r="U256" s="577"/>
      <c r="V256" s="577"/>
      <c r="W256" s="577"/>
      <c r="X256" s="577"/>
      <c r="Y256" s="577"/>
      <c r="Z256" s="577"/>
      <c r="AA256" s="577"/>
      <c r="AB256" s="577"/>
      <c r="AC256" s="577"/>
      <c r="AD256" s="577"/>
      <c r="AE256" s="577"/>
      <c r="AF256" s="6"/>
    </row>
    <row r="257" ht="12.75" customHeight="1">
      <c r="A257" s="595"/>
      <c r="B257" s="596"/>
      <c r="C257" s="596"/>
      <c r="D257" s="596"/>
      <c r="E257" s="596"/>
      <c r="F257" s="596"/>
      <c r="G257" s="596"/>
      <c r="H257" s="596"/>
      <c r="I257" s="596"/>
      <c r="J257" s="577"/>
      <c r="K257" s="577"/>
      <c r="L257" s="577"/>
      <c r="M257" s="577"/>
      <c r="N257" s="577"/>
      <c r="O257" s="577"/>
      <c r="P257" s="577"/>
      <c r="Q257" s="577"/>
      <c r="R257" s="577"/>
      <c r="S257" s="577"/>
      <c r="T257" s="577"/>
      <c r="U257" s="577"/>
      <c r="V257" s="577"/>
      <c r="W257" s="577"/>
      <c r="X257" s="577"/>
      <c r="Y257" s="577"/>
      <c r="Z257" s="577"/>
      <c r="AA257" s="577"/>
      <c r="AB257" s="577"/>
      <c r="AC257" s="577"/>
      <c r="AD257" s="577"/>
      <c r="AE257" s="577"/>
      <c r="AF257" s="6"/>
    </row>
    <row r="258" ht="12.75" customHeight="1">
      <c r="A258" s="595"/>
      <c r="B258" s="596"/>
      <c r="C258" s="596"/>
      <c r="D258" s="596"/>
      <c r="E258" s="596"/>
      <c r="F258" s="596"/>
      <c r="G258" s="596"/>
      <c r="H258" s="596"/>
      <c r="I258" s="596"/>
      <c r="J258" s="577"/>
      <c r="K258" s="577"/>
      <c r="L258" s="577"/>
      <c r="M258" s="577"/>
      <c r="N258" s="577"/>
      <c r="O258" s="577"/>
      <c r="P258" s="577"/>
      <c r="Q258" s="577"/>
      <c r="R258" s="577"/>
      <c r="S258" s="577"/>
      <c r="T258" s="577"/>
      <c r="U258" s="577"/>
      <c r="V258" s="577"/>
      <c r="W258" s="577"/>
      <c r="X258" s="577"/>
      <c r="Y258" s="577"/>
      <c r="Z258" s="577"/>
      <c r="AA258" s="577"/>
      <c r="AB258" s="577"/>
      <c r="AC258" s="577"/>
      <c r="AD258" s="577"/>
      <c r="AE258" s="577"/>
      <c r="AF258" s="6"/>
    </row>
    <row r="259" ht="12.75" customHeight="1">
      <c r="A259" s="595"/>
      <c r="B259" s="596"/>
      <c r="C259" s="596"/>
      <c r="D259" s="596"/>
      <c r="E259" s="596"/>
      <c r="F259" s="596"/>
      <c r="G259" s="596"/>
      <c r="H259" s="596"/>
      <c r="I259" s="596"/>
      <c r="J259" s="577"/>
      <c r="K259" s="577"/>
      <c r="L259" s="577"/>
      <c r="M259" s="577"/>
      <c r="N259" s="577"/>
      <c r="O259" s="577"/>
      <c r="P259" s="577"/>
      <c r="Q259" s="577"/>
      <c r="R259" s="577"/>
      <c r="S259" s="577"/>
      <c r="T259" s="577"/>
      <c r="U259" s="577"/>
      <c r="V259" s="577"/>
      <c r="W259" s="577"/>
      <c r="X259" s="577"/>
      <c r="Y259" s="577"/>
      <c r="Z259" s="577"/>
      <c r="AA259" s="577"/>
      <c r="AB259" s="577"/>
      <c r="AC259" s="577"/>
      <c r="AD259" s="577"/>
      <c r="AE259" s="577"/>
      <c r="AF259" s="6"/>
    </row>
    <row r="260" ht="12.75" customHeight="1">
      <c r="A260" s="595"/>
      <c r="B260" s="596"/>
      <c r="C260" s="596"/>
      <c r="D260" s="596"/>
      <c r="E260" s="596"/>
      <c r="F260" s="596"/>
      <c r="G260" s="596"/>
      <c r="H260" s="596"/>
      <c r="I260" s="596"/>
      <c r="J260" s="577"/>
      <c r="K260" s="577"/>
      <c r="L260" s="577"/>
      <c r="M260" s="577"/>
      <c r="N260" s="577"/>
      <c r="O260" s="577"/>
      <c r="P260" s="577"/>
      <c r="Q260" s="577"/>
      <c r="R260" s="577"/>
      <c r="S260" s="577"/>
      <c r="T260" s="577"/>
      <c r="U260" s="577"/>
      <c r="V260" s="577"/>
      <c r="W260" s="577"/>
      <c r="X260" s="577"/>
      <c r="Y260" s="577"/>
      <c r="Z260" s="577"/>
      <c r="AA260" s="577"/>
      <c r="AB260" s="577"/>
      <c r="AC260" s="577"/>
      <c r="AD260" s="577"/>
      <c r="AE260" s="577"/>
      <c r="AF260" s="6"/>
    </row>
    <row r="261" ht="12.75" customHeight="1">
      <c r="A261" s="595"/>
      <c r="B261" s="596"/>
      <c r="C261" s="596"/>
      <c r="D261" s="596"/>
      <c r="E261" s="596"/>
      <c r="F261" s="596"/>
      <c r="G261" s="596"/>
      <c r="H261" s="596"/>
      <c r="I261" s="596"/>
      <c r="J261" s="577"/>
      <c r="K261" s="577"/>
      <c r="L261" s="577"/>
      <c r="M261" s="577"/>
      <c r="N261" s="577"/>
      <c r="O261" s="577"/>
      <c r="P261" s="577"/>
      <c r="Q261" s="577"/>
      <c r="R261" s="577"/>
      <c r="S261" s="577"/>
      <c r="T261" s="577"/>
      <c r="U261" s="577"/>
      <c r="V261" s="577"/>
      <c r="W261" s="577"/>
      <c r="X261" s="577"/>
      <c r="Y261" s="577"/>
      <c r="Z261" s="577"/>
      <c r="AA261" s="577"/>
      <c r="AB261" s="577"/>
      <c r="AC261" s="577"/>
      <c r="AD261" s="577"/>
      <c r="AE261" s="577"/>
      <c r="AF261" s="6"/>
    </row>
    <row r="262" ht="12.75" customHeight="1">
      <c r="A262" s="595"/>
      <c r="B262" s="596"/>
      <c r="C262" s="596"/>
      <c r="D262" s="596"/>
      <c r="E262" s="596"/>
      <c r="F262" s="596"/>
      <c r="G262" s="596"/>
      <c r="H262" s="596"/>
      <c r="I262" s="596"/>
      <c r="J262" s="577"/>
      <c r="K262" s="577"/>
      <c r="L262" s="577"/>
      <c r="M262" s="577"/>
      <c r="N262" s="577"/>
      <c r="O262" s="577"/>
      <c r="P262" s="577"/>
      <c r="Q262" s="577"/>
      <c r="R262" s="577"/>
      <c r="S262" s="577"/>
      <c r="T262" s="577"/>
      <c r="U262" s="577"/>
      <c r="V262" s="577"/>
      <c r="W262" s="577"/>
      <c r="X262" s="577"/>
      <c r="Y262" s="577"/>
      <c r="Z262" s="577"/>
      <c r="AA262" s="577"/>
      <c r="AB262" s="577"/>
      <c r="AC262" s="577"/>
      <c r="AD262" s="577"/>
      <c r="AE262" s="577"/>
      <c r="AF262" s="6"/>
    </row>
    <row r="263" ht="12.75" customHeight="1">
      <c r="A263" s="595"/>
      <c r="B263" s="596"/>
      <c r="C263" s="596"/>
      <c r="D263" s="596"/>
      <c r="E263" s="596"/>
      <c r="F263" s="596"/>
      <c r="G263" s="596"/>
      <c r="H263" s="596"/>
      <c r="I263" s="596"/>
      <c r="J263" s="577"/>
      <c r="K263" s="577"/>
      <c r="L263" s="577"/>
      <c r="M263" s="577"/>
      <c r="N263" s="577"/>
      <c r="O263" s="577"/>
      <c r="P263" s="577"/>
      <c r="Q263" s="577"/>
      <c r="R263" s="577"/>
      <c r="S263" s="577"/>
      <c r="T263" s="577"/>
      <c r="U263" s="577"/>
      <c r="V263" s="577"/>
      <c r="W263" s="577"/>
      <c r="X263" s="577"/>
      <c r="Y263" s="577"/>
      <c r="Z263" s="577"/>
      <c r="AA263" s="577"/>
      <c r="AB263" s="577"/>
      <c r="AC263" s="577"/>
      <c r="AD263" s="577"/>
      <c r="AE263" s="577"/>
      <c r="AF263" s="6"/>
    </row>
    <row r="264" ht="12.75" customHeight="1">
      <c r="A264" s="595"/>
      <c r="B264" s="596"/>
      <c r="C264" s="596"/>
      <c r="D264" s="596"/>
      <c r="E264" s="596"/>
      <c r="F264" s="596"/>
      <c r="G264" s="596"/>
      <c r="H264" s="596"/>
      <c r="I264" s="596"/>
      <c r="J264" s="577"/>
      <c r="K264" s="577"/>
      <c r="L264" s="577"/>
      <c r="M264" s="577"/>
      <c r="N264" s="577"/>
      <c r="O264" s="577"/>
      <c r="P264" s="577"/>
      <c r="Q264" s="577"/>
      <c r="R264" s="577"/>
      <c r="S264" s="577"/>
      <c r="T264" s="577"/>
      <c r="U264" s="577"/>
      <c r="V264" s="577"/>
      <c r="W264" s="577"/>
      <c r="X264" s="577"/>
      <c r="Y264" s="577"/>
      <c r="Z264" s="577"/>
      <c r="AA264" s="577"/>
      <c r="AB264" s="577"/>
      <c r="AC264" s="577"/>
      <c r="AD264" s="577"/>
      <c r="AE264" s="577"/>
      <c r="AF264" s="6"/>
    </row>
    <row r="265" ht="12.75" customHeight="1">
      <c r="A265" s="595"/>
      <c r="B265" s="596"/>
      <c r="C265" s="596"/>
      <c r="D265" s="596"/>
      <c r="E265" s="596"/>
      <c r="F265" s="596"/>
      <c r="G265" s="596"/>
      <c r="H265" s="596"/>
      <c r="I265" s="596"/>
      <c r="J265" s="577"/>
      <c r="K265" s="577"/>
      <c r="L265" s="577"/>
      <c r="M265" s="577"/>
      <c r="N265" s="577"/>
      <c r="O265" s="577"/>
      <c r="P265" s="577"/>
      <c r="Q265" s="577"/>
      <c r="R265" s="577"/>
      <c r="S265" s="577"/>
      <c r="T265" s="577"/>
      <c r="U265" s="577"/>
      <c r="V265" s="577"/>
      <c r="W265" s="577"/>
      <c r="X265" s="577"/>
      <c r="Y265" s="577"/>
      <c r="Z265" s="577"/>
      <c r="AA265" s="577"/>
      <c r="AB265" s="577"/>
      <c r="AC265" s="577"/>
      <c r="AD265" s="577"/>
      <c r="AE265" s="577"/>
      <c r="AF265" s="6"/>
    </row>
    <row r="266" ht="12.75" customHeight="1">
      <c r="A266" s="595"/>
      <c r="B266" s="596"/>
      <c r="C266" s="596"/>
      <c r="D266" s="596"/>
      <c r="E266" s="596"/>
      <c r="F266" s="596"/>
      <c r="G266" s="596"/>
      <c r="H266" s="596"/>
      <c r="I266" s="596"/>
      <c r="J266" s="577"/>
      <c r="K266" s="577"/>
      <c r="L266" s="577"/>
      <c r="M266" s="577"/>
      <c r="N266" s="577"/>
      <c r="O266" s="577"/>
      <c r="P266" s="577"/>
      <c r="Q266" s="577"/>
      <c r="R266" s="577"/>
      <c r="S266" s="577"/>
      <c r="T266" s="577"/>
      <c r="U266" s="577"/>
      <c r="V266" s="577"/>
      <c r="W266" s="577"/>
      <c r="X266" s="577"/>
      <c r="Y266" s="577"/>
      <c r="Z266" s="577"/>
      <c r="AA266" s="577"/>
      <c r="AB266" s="577"/>
      <c r="AC266" s="577"/>
      <c r="AD266" s="577"/>
      <c r="AE266" s="577"/>
      <c r="AF266" s="6"/>
    </row>
    <row r="267" ht="12.75" customHeight="1">
      <c r="A267" s="595"/>
      <c r="B267" s="596"/>
      <c r="C267" s="596"/>
      <c r="D267" s="596"/>
      <c r="E267" s="596"/>
      <c r="F267" s="596"/>
      <c r="G267" s="596"/>
      <c r="H267" s="596"/>
      <c r="I267" s="596"/>
      <c r="J267" s="577"/>
      <c r="K267" s="577"/>
      <c r="L267" s="577"/>
      <c r="M267" s="577"/>
      <c r="N267" s="577"/>
      <c r="O267" s="577"/>
      <c r="P267" s="577"/>
      <c r="Q267" s="577"/>
      <c r="R267" s="577"/>
      <c r="S267" s="577"/>
      <c r="T267" s="577"/>
      <c r="U267" s="577"/>
      <c r="V267" s="577"/>
      <c r="W267" s="577"/>
      <c r="X267" s="577"/>
      <c r="Y267" s="577"/>
      <c r="Z267" s="577"/>
      <c r="AA267" s="577"/>
      <c r="AB267" s="577"/>
      <c r="AC267" s="577"/>
      <c r="AD267" s="577"/>
      <c r="AE267" s="577"/>
      <c r="AF267" s="6"/>
    </row>
    <row r="268" ht="12.75" customHeight="1">
      <c r="A268" s="595"/>
      <c r="B268" s="596"/>
      <c r="C268" s="596"/>
      <c r="D268" s="596"/>
      <c r="E268" s="596"/>
      <c r="F268" s="596"/>
      <c r="G268" s="596"/>
      <c r="H268" s="596"/>
      <c r="I268" s="596"/>
      <c r="J268" s="577"/>
      <c r="K268" s="577"/>
      <c r="L268" s="577"/>
      <c r="M268" s="577"/>
      <c r="N268" s="577"/>
      <c r="O268" s="577"/>
      <c r="P268" s="577"/>
      <c r="Q268" s="577"/>
      <c r="R268" s="577"/>
      <c r="S268" s="577"/>
      <c r="T268" s="577"/>
      <c r="U268" s="577"/>
      <c r="V268" s="577"/>
      <c r="W268" s="577"/>
      <c r="X268" s="577"/>
      <c r="Y268" s="577"/>
      <c r="Z268" s="577"/>
      <c r="AA268" s="577"/>
      <c r="AB268" s="577"/>
      <c r="AC268" s="577"/>
      <c r="AD268" s="577"/>
      <c r="AE268" s="577"/>
      <c r="AF268" s="6"/>
    </row>
    <row r="269" ht="12.75" customHeight="1">
      <c r="A269" s="595"/>
      <c r="B269" s="596"/>
      <c r="C269" s="596"/>
      <c r="D269" s="596"/>
      <c r="E269" s="596"/>
      <c r="F269" s="596"/>
      <c r="G269" s="596"/>
      <c r="H269" s="596"/>
      <c r="I269" s="596"/>
      <c r="J269" s="577"/>
      <c r="K269" s="577"/>
      <c r="L269" s="577"/>
      <c r="M269" s="577"/>
      <c r="N269" s="577"/>
      <c r="O269" s="577"/>
      <c r="P269" s="577"/>
      <c r="Q269" s="577"/>
      <c r="R269" s="577"/>
      <c r="S269" s="577"/>
      <c r="T269" s="577"/>
      <c r="U269" s="577"/>
      <c r="V269" s="577"/>
      <c r="W269" s="577"/>
      <c r="X269" s="577"/>
      <c r="Y269" s="577"/>
      <c r="Z269" s="577"/>
      <c r="AA269" s="577"/>
      <c r="AB269" s="577"/>
      <c r="AC269" s="577"/>
      <c r="AD269" s="577"/>
      <c r="AE269" s="577"/>
      <c r="AF269" s="6"/>
    </row>
    <row r="270" ht="12.75" customHeight="1">
      <c r="A270" s="595"/>
      <c r="B270" s="596"/>
      <c r="C270" s="596"/>
      <c r="D270" s="596"/>
      <c r="E270" s="596"/>
      <c r="F270" s="596"/>
      <c r="G270" s="596"/>
      <c r="H270" s="596"/>
      <c r="I270" s="596"/>
      <c r="J270" s="577"/>
      <c r="K270" s="577"/>
      <c r="L270" s="577"/>
      <c r="M270" s="577"/>
      <c r="N270" s="577"/>
      <c r="O270" s="577"/>
      <c r="P270" s="577"/>
      <c r="Q270" s="577"/>
      <c r="R270" s="577"/>
      <c r="S270" s="577"/>
      <c r="T270" s="577"/>
      <c r="U270" s="577"/>
      <c r="V270" s="577"/>
      <c r="W270" s="577"/>
      <c r="X270" s="577"/>
      <c r="Y270" s="577"/>
      <c r="Z270" s="577"/>
      <c r="AA270" s="577"/>
      <c r="AB270" s="577"/>
      <c r="AC270" s="577"/>
      <c r="AD270" s="577"/>
      <c r="AE270" s="577"/>
      <c r="AF270" s="6"/>
    </row>
    <row r="271" ht="12.75" customHeight="1">
      <c r="A271" s="595"/>
      <c r="B271" s="596"/>
      <c r="C271" s="596"/>
      <c r="D271" s="596"/>
      <c r="E271" s="596"/>
      <c r="F271" s="596"/>
      <c r="G271" s="596"/>
      <c r="H271" s="596"/>
      <c r="I271" s="596"/>
      <c r="J271" s="577"/>
      <c r="K271" s="577"/>
      <c r="L271" s="577"/>
      <c r="M271" s="577"/>
      <c r="N271" s="577"/>
      <c r="O271" s="577"/>
      <c r="P271" s="577"/>
      <c r="Q271" s="577"/>
      <c r="R271" s="577"/>
      <c r="S271" s="577"/>
      <c r="T271" s="577"/>
      <c r="U271" s="577"/>
      <c r="V271" s="577"/>
      <c r="W271" s="577"/>
      <c r="X271" s="577"/>
      <c r="Y271" s="577"/>
      <c r="Z271" s="577"/>
      <c r="AA271" s="577"/>
      <c r="AB271" s="577"/>
      <c r="AC271" s="577"/>
      <c r="AD271" s="577"/>
      <c r="AE271" s="577"/>
      <c r="AF271" s="6"/>
    </row>
    <row r="272" ht="12.75" customHeight="1">
      <c r="A272" s="595"/>
      <c r="B272" s="596"/>
      <c r="C272" s="596"/>
      <c r="D272" s="596"/>
      <c r="E272" s="596"/>
      <c r="F272" s="596"/>
      <c r="G272" s="596"/>
      <c r="H272" s="596"/>
      <c r="I272" s="596"/>
      <c r="J272" s="577"/>
      <c r="K272" s="577"/>
      <c r="L272" s="577"/>
      <c r="M272" s="577"/>
      <c r="N272" s="577"/>
      <c r="O272" s="577"/>
      <c r="P272" s="577"/>
      <c r="Q272" s="577"/>
      <c r="R272" s="577"/>
      <c r="S272" s="577"/>
      <c r="T272" s="577"/>
      <c r="U272" s="577"/>
      <c r="V272" s="577"/>
      <c r="W272" s="577"/>
      <c r="X272" s="577"/>
      <c r="Y272" s="577"/>
      <c r="Z272" s="577"/>
      <c r="AA272" s="577"/>
      <c r="AB272" s="577"/>
      <c r="AC272" s="577"/>
      <c r="AD272" s="577"/>
      <c r="AE272" s="577"/>
      <c r="AF272" s="6"/>
    </row>
    <row r="273" ht="12.75" customHeight="1">
      <c r="A273" s="595"/>
      <c r="B273" s="596"/>
      <c r="C273" s="596"/>
      <c r="D273" s="596"/>
      <c r="E273" s="596"/>
      <c r="F273" s="596"/>
      <c r="G273" s="596"/>
      <c r="H273" s="596"/>
      <c r="I273" s="596"/>
      <c r="J273" s="577"/>
      <c r="K273" s="577"/>
      <c r="L273" s="577"/>
      <c r="M273" s="577"/>
      <c r="N273" s="577"/>
      <c r="O273" s="577"/>
      <c r="P273" s="577"/>
      <c r="Q273" s="577"/>
      <c r="R273" s="577"/>
      <c r="S273" s="577"/>
      <c r="T273" s="577"/>
      <c r="U273" s="577"/>
      <c r="V273" s="577"/>
      <c r="W273" s="577"/>
      <c r="X273" s="577"/>
      <c r="Y273" s="577"/>
      <c r="Z273" s="577"/>
      <c r="AA273" s="577"/>
      <c r="AB273" s="577"/>
      <c r="AC273" s="577"/>
      <c r="AD273" s="577"/>
      <c r="AE273" s="577"/>
      <c r="AF273" s="6"/>
    </row>
    <row r="274" ht="12.75" customHeight="1">
      <c r="A274" s="595"/>
      <c r="B274" s="596"/>
      <c r="C274" s="596"/>
      <c r="D274" s="596"/>
      <c r="E274" s="596"/>
      <c r="F274" s="596"/>
      <c r="G274" s="596"/>
      <c r="H274" s="596"/>
      <c r="I274" s="596"/>
      <c r="J274" s="577"/>
      <c r="K274" s="577"/>
      <c r="L274" s="577"/>
      <c r="M274" s="577"/>
      <c r="N274" s="577"/>
      <c r="O274" s="577"/>
      <c r="P274" s="577"/>
      <c r="Q274" s="577"/>
      <c r="R274" s="577"/>
      <c r="S274" s="577"/>
      <c r="T274" s="577"/>
      <c r="U274" s="577"/>
      <c r="V274" s="577"/>
      <c r="W274" s="577"/>
      <c r="X274" s="577"/>
      <c r="Y274" s="577"/>
      <c r="Z274" s="577"/>
      <c r="AA274" s="577"/>
      <c r="AB274" s="577"/>
      <c r="AC274" s="577"/>
      <c r="AD274" s="577"/>
      <c r="AE274" s="577"/>
      <c r="AF274" s="6"/>
    </row>
    <row r="275" ht="12.75" customHeight="1">
      <c r="A275" s="595"/>
      <c r="B275" s="596"/>
      <c r="C275" s="596"/>
      <c r="D275" s="596"/>
      <c r="E275" s="596"/>
      <c r="F275" s="596"/>
      <c r="G275" s="596"/>
      <c r="H275" s="596"/>
      <c r="I275" s="596"/>
      <c r="J275" s="577"/>
      <c r="K275" s="577"/>
      <c r="L275" s="577"/>
      <c r="M275" s="577"/>
      <c r="N275" s="577"/>
      <c r="O275" s="577"/>
      <c r="P275" s="577"/>
      <c r="Q275" s="577"/>
      <c r="R275" s="577"/>
      <c r="S275" s="577"/>
      <c r="T275" s="577"/>
      <c r="U275" s="577"/>
      <c r="V275" s="577"/>
      <c r="W275" s="577"/>
      <c r="X275" s="577"/>
      <c r="Y275" s="577"/>
      <c r="Z275" s="577"/>
      <c r="AA275" s="577"/>
      <c r="AB275" s="577"/>
      <c r="AC275" s="577"/>
      <c r="AD275" s="577"/>
      <c r="AE275" s="577"/>
      <c r="AF275" s="6"/>
    </row>
    <row r="276" ht="12.75" customHeight="1">
      <c r="A276" s="595"/>
      <c r="B276" s="596"/>
      <c r="C276" s="596"/>
      <c r="D276" s="596"/>
      <c r="E276" s="596"/>
      <c r="F276" s="596"/>
      <c r="G276" s="596"/>
      <c r="H276" s="596"/>
      <c r="I276" s="596"/>
      <c r="J276" s="577"/>
      <c r="K276" s="577"/>
      <c r="L276" s="577"/>
      <c r="M276" s="577"/>
      <c r="N276" s="577"/>
      <c r="O276" s="577"/>
      <c r="P276" s="577"/>
      <c r="Q276" s="577"/>
      <c r="R276" s="577"/>
      <c r="S276" s="577"/>
      <c r="T276" s="577"/>
      <c r="U276" s="577"/>
      <c r="V276" s="577"/>
      <c r="W276" s="577"/>
      <c r="X276" s="577"/>
      <c r="Y276" s="577"/>
      <c r="Z276" s="577"/>
      <c r="AA276" s="577"/>
      <c r="AB276" s="577"/>
      <c r="AC276" s="577"/>
      <c r="AD276" s="577"/>
      <c r="AE276" s="577"/>
      <c r="AF276" s="6"/>
    </row>
    <row r="277" ht="12.75" customHeight="1">
      <c r="A277" s="595"/>
      <c r="B277" s="596"/>
      <c r="C277" s="596"/>
      <c r="D277" s="596"/>
      <c r="E277" s="596"/>
      <c r="F277" s="596"/>
      <c r="G277" s="596"/>
      <c r="H277" s="596"/>
      <c r="I277" s="596"/>
      <c r="J277" s="577"/>
      <c r="K277" s="577"/>
      <c r="L277" s="577"/>
      <c r="M277" s="577"/>
      <c r="N277" s="577"/>
      <c r="O277" s="577"/>
      <c r="P277" s="577"/>
      <c r="Q277" s="577"/>
      <c r="R277" s="577"/>
      <c r="S277" s="577"/>
      <c r="T277" s="577"/>
      <c r="U277" s="577"/>
      <c r="V277" s="577"/>
      <c r="W277" s="577"/>
      <c r="X277" s="577"/>
      <c r="Y277" s="577"/>
      <c r="Z277" s="577"/>
      <c r="AA277" s="577"/>
      <c r="AB277" s="577"/>
      <c r="AC277" s="577"/>
      <c r="AD277" s="577"/>
      <c r="AE277" s="577"/>
      <c r="AF277" s="6"/>
    </row>
    <row r="278" ht="12.75" customHeight="1">
      <c r="A278" s="595"/>
      <c r="B278" s="596"/>
      <c r="C278" s="596"/>
      <c r="D278" s="596"/>
      <c r="E278" s="596"/>
      <c r="F278" s="596"/>
      <c r="G278" s="596"/>
      <c r="H278" s="596"/>
      <c r="I278" s="596"/>
      <c r="J278" s="577"/>
      <c r="K278" s="577"/>
      <c r="L278" s="577"/>
      <c r="M278" s="577"/>
      <c r="N278" s="577"/>
      <c r="O278" s="577"/>
      <c r="P278" s="577"/>
      <c r="Q278" s="577"/>
      <c r="R278" s="577"/>
      <c r="S278" s="577"/>
      <c r="T278" s="577"/>
      <c r="U278" s="577"/>
      <c r="V278" s="577"/>
      <c r="W278" s="577"/>
      <c r="X278" s="577"/>
      <c r="Y278" s="577"/>
      <c r="Z278" s="577"/>
      <c r="AA278" s="577"/>
      <c r="AB278" s="577"/>
      <c r="AC278" s="577"/>
      <c r="AD278" s="577"/>
      <c r="AE278" s="577"/>
      <c r="AF278" s="6"/>
    </row>
    <row r="279" ht="12.75" customHeight="1">
      <c r="A279" s="595"/>
      <c r="B279" s="596"/>
      <c r="C279" s="596"/>
      <c r="D279" s="596"/>
      <c r="E279" s="596"/>
      <c r="F279" s="596"/>
      <c r="G279" s="596"/>
      <c r="H279" s="596"/>
      <c r="I279" s="596"/>
      <c r="J279" s="577"/>
      <c r="K279" s="577"/>
      <c r="L279" s="577"/>
      <c r="M279" s="577"/>
      <c r="N279" s="577"/>
      <c r="O279" s="577"/>
      <c r="P279" s="577"/>
      <c r="Q279" s="577"/>
      <c r="R279" s="577"/>
      <c r="S279" s="577"/>
      <c r="T279" s="577"/>
      <c r="U279" s="577"/>
      <c r="V279" s="577"/>
      <c r="W279" s="577"/>
      <c r="X279" s="577"/>
      <c r="Y279" s="577"/>
      <c r="Z279" s="577"/>
      <c r="AA279" s="577"/>
      <c r="AB279" s="577"/>
      <c r="AC279" s="577"/>
      <c r="AD279" s="577"/>
      <c r="AE279" s="577"/>
      <c r="AF279" s="6"/>
    </row>
    <row r="280" ht="12.75" customHeight="1">
      <c r="A280" s="595"/>
      <c r="B280" s="596"/>
      <c r="C280" s="596"/>
      <c r="D280" s="596"/>
      <c r="E280" s="596"/>
      <c r="F280" s="596"/>
      <c r="G280" s="596"/>
      <c r="H280" s="596"/>
      <c r="I280" s="596"/>
      <c r="J280" s="577"/>
      <c r="K280" s="577"/>
      <c r="L280" s="577"/>
      <c r="M280" s="577"/>
      <c r="N280" s="577"/>
      <c r="O280" s="577"/>
      <c r="P280" s="577"/>
      <c r="Q280" s="577"/>
      <c r="R280" s="577"/>
      <c r="S280" s="577"/>
      <c r="T280" s="577"/>
      <c r="U280" s="577"/>
      <c r="V280" s="577"/>
      <c r="W280" s="577"/>
      <c r="X280" s="577"/>
      <c r="Y280" s="577"/>
      <c r="Z280" s="577"/>
      <c r="AA280" s="577"/>
      <c r="AB280" s="577"/>
      <c r="AC280" s="577"/>
      <c r="AD280" s="577"/>
      <c r="AE280" s="577"/>
      <c r="AF280" s="6"/>
    </row>
    <row r="281" ht="12.75" customHeight="1">
      <c r="A281" s="595"/>
      <c r="B281" s="596"/>
      <c r="C281" s="596"/>
      <c r="D281" s="596"/>
      <c r="E281" s="596"/>
      <c r="F281" s="596"/>
      <c r="G281" s="596"/>
      <c r="H281" s="596"/>
      <c r="I281" s="596"/>
      <c r="J281" s="577"/>
      <c r="K281" s="577"/>
      <c r="L281" s="577"/>
      <c r="M281" s="577"/>
      <c r="N281" s="577"/>
      <c r="O281" s="577"/>
      <c r="P281" s="577"/>
      <c r="Q281" s="577"/>
      <c r="R281" s="577"/>
      <c r="S281" s="577"/>
      <c r="T281" s="577"/>
      <c r="U281" s="577"/>
      <c r="V281" s="577"/>
      <c r="W281" s="577"/>
      <c r="X281" s="577"/>
      <c r="Y281" s="577"/>
      <c r="Z281" s="577"/>
      <c r="AA281" s="577"/>
      <c r="AB281" s="577"/>
      <c r="AC281" s="577"/>
      <c r="AD281" s="577"/>
      <c r="AE281" s="577"/>
      <c r="AF281" s="6"/>
    </row>
    <row r="282" ht="12.75" customHeight="1">
      <c r="A282" s="595"/>
      <c r="B282" s="596"/>
      <c r="C282" s="596"/>
      <c r="D282" s="596"/>
      <c r="E282" s="596"/>
      <c r="F282" s="596"/>
      <c r="G282" s="596"/>
      <c r="H282" s="596"/>
      <c r="I282" s="596"/>
      <c r="J282" s="577"/>
      <c r="K282" s="577"/>
      <c r="L282" s="577"/>
      <c r="M282" s="577"/>
      <c r="N282" s="577"/>
      <c r="O282" s="577"/>
      <c r="P282" s="577"/>
      <c r="Q282" s="577"/>
      <c r="R282" s="577"/>
      <c r="S282" s="577"/>
      <c r="T282" s="577"/>
      <c r="U282" s="577"/>
      <c r="V282" s="577"/>
      <c r="W282" s="577"/>
      <c r="X282" s="577"/>
      <c r="Y282" s="577"/>
      <c r="Z282" s="577"/>
      <c r="AA282" s="577"/>
      <c r="AB282" s="577"/>
      <c r="AC282" s="577"/>
      <c r="AD282" s="577"/>
      <c r="AE282" s="577"/>
      <c r="AF282" s="6"/>
    </row>
    <row r="283" ht="12.75" customHeight="1">
      <c r="A283" s="595"/>
      <c r="B283" s="596"/>
      <c r="C283" s="596"/>
      <c r="D283" s="596"/>
      <c r="E283" s="596"/>
      <c r="F283" s="596"/>
      <c r="G283" s="596"/>
      <c r="H283" s="596"/>
      <c r="I283" s="596"/>
      <c r="J283" s="577"/>
      <c r="K283" s="577"/>
      <c r="L283" s="577"/>
      <c r="M283" s="577"/>
      <c r="N283" s="577"/>
      <c r="O283" s="577"/>
      <c r="P283" s="577"/>
      <c r="Q283" s="577"/>
      <c r="R283" s="577"/>
      <c r="S283" s="577"/>
      <c r="T283" s="577"/>
      <c r="U283" s="577"/>
      <c r="V283" s="577"/>
      <c r="W283" s="577"/>
      <c r="X283" s="577"/>
      <c r="Y283" s="577"/>
      <c r="Z283" s="577"/>
      <c r="AA283" s="577"/>
      <c r="AB283" s="577"/>
      <c r="AC283" s="577"/>
      <c r="AD283" s="577"/>
      <c r="AE283" s="577"/>
      <c r="AF283" s="6"/>
    </row>
    <row r="284" ht="12.75" customHeight="1">
      <c r="A284" s="595"/>
      <c r="B284" s="596"/>
      <c r="C284" s="596"/>
      <c r="D284" s="596"/>
      <c r="E284" s="596"/>
      <c r="F284" s="596"/>
      <c r="G284" s="596"/>
      <c r="H284" s="596"/>
      <c r="I284" s="596"/>
      <c r="J284" s="577"/>
      <c r="K284" s="577"/>
      <c r="L284" s="577"/>
      <c r="M284" s="577"/>
      <c r="N284" s="577"/>
      <c r="O284" s="577"/>
      <c r="P284" s="577"/>
      <c r="Q284" s="577"/>
      <c r="R284" s="577"/>
      <c r="S284" s="577"/>
      <c r="T284" s="577"/>
      <c r="U284" s="577"/>
      <c r="V284" s="577"/>
      <c r="W284" s="577"/>
      <c r="X284" s="577"/>
      <c r="Y284" s="577"/>
      <c r="Z284" s="577"/>
      <c r="AA284" s="577"/>
      <c r="AB284" s="577"/>
      <c r="AC284" s="577"/>
      <c r="AD284" s="577"/>
      <c r="AE284" s="577"/>
      <c r="AF284" s="6"/>
    </row>
    <row r="285" ht="12.75" customHeight="1">
      <c r="A285" s="595"/>
      <c r="B285" s="596"/>
      <c r="C285" s="596"/>
      <c r="D285" s="596"/>
      <c r="E285" s="596"/>
      <c r="F285" s="596"/>
      <c r="G285" s="596"/>
      <c r="H285" s="596"/>
      <c r="I285" s="596"/>
      <c r="J285" s="577"/>
      <c r="K285" s="577"/>
      <c r="L285" s="577"/>
      <c r="M285" s="577"/>
      <c r="N285" s="577"/>
      <c r="O285" s="577"/>
      <c r="P285" s="577"/>
      <c r="Q285" s="577"/>
      <c r="R285" s="577"/>
      <c r="S285" s="577"/>
      <c r="T285" s="577"/>
      <c r="U285" s="577"/>
      <c r="V285" s="577"/>
      <c r="W285" s="577"/>
      <c r="X285" s="577"/>
      <c r="Y285" s="577"/>
      <c r="Z285" s="577"/>
      <c r="AA285" s="577"/>
      <c r="AB285" s="577"/>
      <c r="AC285" s="577"/>
      <c r="AD285" s="577"/>
      <c r="AE285" s="577"/>
      <c r="AF285" s="6"/>
    </row>
    <row r="286" ht="12.75" customHeight="1">
      <c r="A286" s="595"/>
      <c r="B286" s="596"/>
      <c r="C286" s="596"/>
      <c r="D286" s="596"/>
      <c r="E286" s="596"/>
      <c r="F286" s="596"/>
      <c r="G286" s="596"/>
      <c r="H286" s="596"/>
      <c r="I286" s="596"/>
      <c r="J286" s="577"/>
      <c r="K286" s="577"/>
      <c r="L286" s="577"/>
      <c r="M286" s="577"/>
      <c r="N286" s="577"/>
      <c r="O286" s="577"/>
      <c r="P286" s="577"/>
      <c r="Q286" s="577"/>
      <c r="R286" s="577"/>
      <c r="S286" s="577"/>
      <c r="T286" s="577"/>
      <c r="U286" s="577"/>
      <c r="V286" s="577"/>
      <c r="W286" s="577"/>
      <c r="X286" s="577"/>
      <c r="Y286" s="577"/>
      <c r="Z286" s="577"/>
      <c r="AA286" s="577"/>
      <c r="AB286" s="577"/>
      <c r="AC286" s="577"/>
      <c r="AD286" s="577"/>
      <c r="AE286" s="577"/>
      <c r="AF286" s="6"/>
    </row>
    <row r="287" ht="12.75" customHeight="1">
      <c r="A287" s="595"/>
      <c r="B287" s="596"/>
      <c r="C287" s="596"/>
      <c r="D287" s="596"/>
      <c r="E287" s="596"/>
      <c r="F287" s="596"/>
      <c r="G287" s="596"/>
      <c r="H287" s="596"/>
      <c r="I287" s="596"/>
      <c r="J287" s="577"/>
      <c r="K287" s="577"/>
      <c r="L287" s="577"/>
      <c r="M287" s="577"/>
      <c r="N287" s="577"/>
      <c r="O287" s="577"/>
      <c r="P287" s="577"/>
      <c r="Q287" s="577"/>
      <c r="R287" s="577"/>
      <c r="S287" s="577"/>
      <c r="T287" s="577"/>
      <c r="U287" s="577"/>
      <c r="V287" s="577"/>
      <c r="W287" s="577"/>
      <c r="X287" s="577"/>
      <c r="Y287" s="577"/>
      <c r="Z287" s="577"/>
      <c r="AA287" s="577"/>
      <c r="AB287" s="577"/>
      <c r="AC287" s="577"/>
      <c r="AD287" s="577"/>
      <c r="AE287" s="577"/>
      <c r="AF287" s="6"/>
    </row>
    <row r="288" ht="12.75" customHeight="1">
      <c r="A288" s="595"/>
      <c r="B288" s="596"/>
      <c r="C288" s="596"/>
      <c r="D288" s="596"/>
      <c r="E288" s="596"/>
      <c r="F288" s="596"/>
      <c r="G288" s="596"/>
      <c r="H288" s="596"/>
      <c r="I288" s="596"/>
      <c r="J288" s="577"/>
      <c r="K288" s="577"/>
      <c r="L288" s="577"/>
      <c r="M288" s="577"/>
      <c r="N288" s="577"/>
      <c r="O288" s="577"/>
      <c r="P288" s="577"/>
      <c r="Q288" s="577"/>
      <c r="R288" s="577"/>
      <c r="S288" s="577"/>
      <c r="T288" s="577"/>
      <c r="U288" s="577"/>
      <c r="V288" s="577"/>
      <c r="W288" s="577"/>
      <c r="X288" s="577"/>
      <c r="Y288" s="577"/>
      <c r="Z288" s="577"/>
      <c r="AA288" s="577"/>
      <c r="AB288" s="577"/>
      <c r="AC288" s="577"/>
      <c r="AD288" s="577"/>
      <c r="AE288" s="577"/>
      <c r="AF288" s="6"/>
    </row>
    <row r="289" ht="12.75" customHeight="1">
      <c r="A289" s="595"/>
      <c r="B289" s="596"/>
      <c r="C289" s="596"/>
      <c r="D289" s="596"/>
      <c r="E289" s="596"/>
      <c r="F289" s="596"/>
      <c r="G289" s="596"/>
      <c r="H289" s="596"/>
      <c r="I289" s="596"/>
      <c r="J289" s="577"/>
      <c r="K289" s="577"/>
      <c r="L289" s="577"/>
      <c r="M289" s="577"/>
      <c r="N289" s="577"/>
      <c r="O289" s="577"/>
      <c r="P289" s="577"/>
      <c r="Q289" s="577"/>
      <c r="R289" s="577"/>
      <c r="S289" s="577"/>
      <c r="T289" s="577"/>
      <c r="U289" s="577"/>
      <c r="V289" s="577"/>
      <c r="W289" s="577"/>
      <c r="X289" s="577"/>
      <c r="Y289" s="577"/>
      <c r="Z289" s="577"/>
      <c r="AA289" s="577"/>
      <c r="AB289" s="577"/>
      <c r="AC289" s="577"/>
      <c r="AD289" s="577"/>
      <c r="AE289" s="577"/>
      <c r="AF289" s="6"/>
    </row>
    <row r="290" ht="12.75" customHeight="1">
      <c r="A290" s="595"/>
      <c r="B290" s="596"/>
      <c r="C290" s="596"/>
      <c r="D290" s="596"/>
      <c r="E290" s="596"/>
      <c r="F290" s="596"/>
      <c r="G290" s="596"/>
      <c r="H290" s="596"/>
      <c r="I290" s="596"/>
      <c r="J290" s="577"/>
      <c r="K290" s="577"/>
      <c r="L290" s="577"/>
      <c r="M290" s="577"/>
      <c r="N290" s="577"/>
      <c r="O290" s="577"/>
      <c r="P290" s="577"/>
      <c r="Q290" s="577"/>
      <c r="R290" s="577"/>
      <c r="S290" s="577"/>
      <c r="T290" s="577"/>
      <c r="U290" s="577"/>
      <c r="V290" s="577"/>
      <c r="W290" s="577"/>
      <c r="X290" s="577"/>
      <c r="Y290" s="577"/>
      <c r="Z290" s="577"/>
      <c r="AA290" s="577"/>
      <c r="AB290" s="577"/>
      <c r="AC290" s="577"/>
      <c r="AD290" s="577"/>
      <c r="AE290" s="577"/>
      <c r="AF290" s="6"/>
    </row>
    <row r="291" ht="12.75" customHeight="1">
      <c r="A291" s="595"/>
      <c r="B291" s="596"/>
      <c r="C291" s="596"/>
      <c r="D291" s="596"/>
      <c r="E291" s="596"/>
      <c r="F291" s="596"/>
      <c r="G291" s="596"/>
      <c r="H291" s="596"/>
      <c r="I291" s="596"/>
      <c r="J291" s="577"/>
      <c r="K291" s="577"/>
      <c r="L291" s="577"/>
      <c r="M291" s="577"/>
      <c r="N291" s="577"/>
      <c r="O291" s="577"/>
      <c r="P291" s="577"/>
      <c r="Q291" s="577"/>
      <c r="R291" s="577"/>
      <c r="S291" s="577"/>
      <c r="T291" s="577"/>
      <c r="U291" s="577"/>
      <c r="V291" s="577"/>
      <c r="W291" s="577"/>
      <c r="X291" s="577"/>
      <c r="Y291" s="577"/>
      <c r="Z291" s="577"/>
      <c r="AA291" s="577"/>
      <c r="AB291" s="577"/>
      <c r="AC291" s="577"/>
      <c r="AD291" s="577"/>
      <c r="AE291" s="577"/>
      <c r="AF291" s="6"/>
    </row>
    <row r="292" ht="12.75" customHeight="1">
      <c r="A292" s="595"/>
      <c r="B292" s="596"/>
      <c r="C292" s="596"/>
      <c r="D292" s="596"/>
      <c r="E292" s="596"/>
      <c r="F292" s="596"/>
      <c r="G292" s="596"/>
      <c r="H292" s="596"/>
      <c r="I292" s="596"/>
      <c r="J292" s="577"/>
      <c r="K292" s="577"/>
      <c r="L292" s="577"/>
      <c r="M292" s="577"/>
      <c r="N292" s="577"/>
      <c r="O292" s="577"/>
      <c r="P292" s="577"/>
      <c r="Q292" s="577"/>
      <c r="R292" s="577"/>
      <c r="S292" s="577"/>
      <c r="T292" s="577"/>
      <c r="U292" s="577"/>
      <c r="V292" s="577"/>
      <c r="W292" s="577"/>
      <c r="X292" s="577"/>
      <c r="Y292" s="577"/>
      <c r="Z292" s="577"/>
      <c r="AA292" s="577"/>
      <c r="AB292" s="577"/>
      <c r="AC292" s="577"/>
      <c r="AD292" s="577"/>
      <c r="AE292" s="577"/>
      <c r="AF292" s="6"/>
    </row>
    <row r="293" ht="12.75" customHeight="1">
      <c r="A293" s="595"/>
      <c r="B293" s="596"/>
      <c r="C293" s="596"/>
      <c r="D293" s="596"/>
      <c r="E293" s="596"/>
      <c r="F293" s="596"/>
      <c r="G293" s="596"/>
      <c r="H293" s="596"/>
      <c r="I293" s="596"/>
      <c r="J293" s="577"/>
      <c r="K293" s="577"/>
      <c r="L293" s="577"/>
      <c r="M293" s="577"/>
      <c r="N293" s="577"/>
      <c r="O293" s="577"/>
      <c r="P293" s="577"/>
      <c r="Q293" s="577"/>
      <c r="R293" s="577"/>
      <c r="S293" s="577"/>
      <c r="T293" s="577"/>
      <c r="U293" s="577"/>
      <c r="V293" s="577"/>
      <c r="W293" s="577"/>
      <c r="X293" s="577"/>
      <c r="Y293" s="577"/>
      <c r="Z293" s="577"/>
      <c r="AA293" s="577"/>
      <c r="AB293" s="577"/>
      <c r="AC293" s="577"/>
      <c r="AD293" s="577"/>
      <c r="AE293" s="577"/>
      <c r="AF293" s="6"/>
    </row>
    <row r="294" ht="12.75" customHeight="1">
      <c r="A294" s="595"/>
      <c r="B294" s="596"/>
      <c r="C294" s="596"/>
      <c r="D294" s="596"/>
      <c r="E294" s="596"/>
      <c r="F294" s="596"/>
      <c r="G294" s="596"/>
      <c r="H294" s="596"/>
      <c r="I294" s="596"/>
      <c r="J294" s="577"/>
      <c r="K294" s="577"/>
      <c r="L294" s="577"/>
      <c r="M294" s="577"/>
      <c r="N294" s="577"/>
      <c r="O294" s="577"/>
      <c r="P294" s="577"/>
      <c r="Q294" s="577"/>
      <c r="R294" s="577"/>
      <c r="S294" s="577"/>
      <c r="T294" s="577"/>
      <c r="U294" s="577"/>
      <c r="V294" s="577"/>
      <c r="W294" s="577"/>
      <c r="X294" s="577"/>
      <c r="Y294" s="577"/>
      <c r="Z294" s="577"/>
      <c r="AA294" s="577"/>
      <c r="AB294" s="577"/>
      <c r="AC294" s="577"/>
      <c r="AD294" s="577"/>
      <c r="AE294" s="577"/>
      <c r="AF294" s="6"/>
    </row>
    <row r="295" ht="12.75" customHeight="1">
      <c r="A295" s="595"/>
      <c r="B295" s="596"/>
      <c r="C295" s="596"/>
      <c r="D295" s="596"/>
      <c r="E295" s="596"/>
      <c r="F295" s="596"/>
      <c r="G295" s="596"/>
      <c r="H295" s="596"/>
      <c r="I295" s="596"/>
      <c r="J295" s="577"/>
      <c r="K295" s="577"/>
      <c r="L295" s="577"/>
      <c r="M295" s="577"/>
      <c r="N295" s="577"/>
      <c r="O295" s="577"/>
      <c r="P295" s="577"/>
      <c r="Q295" s="577"/>
      <c r="R295" s="577"/>
      <c r="S295" s="577"/>
      <c r="T295" s="577"/>
      <c r="U295" s="577"/>
      <c r="V295" s="577"/>
      <c r="W295" s="577"/>
      <c r="X295" s="577"/>
      <c r="Y295" s="577"/>
      <c r="Z295" s="577"/>
      <c r="AA295" s="577"/>
      <c r="AB295" s="577"/>
      <c r="AC295" s="577"/>
      <c r="AD295" s="577"/>
      <c r="AE295" s="577"/>
      <c r="AF295" s="6"/>
    </row>
    <row r="296" ht="12.75" customHeight="1">
      <c r="A296" s="595"/>
      <c r="B296" s="596"/>
      <c r="C296" s="596"/>
      <c r="D296" s="596"/>
      <c r="E296" s="596"/>
      <c r="F296" s="596"/>
      <c r="G296" s="596"/>
      <c r="H296" s="596"/>
      <c r="I296" s="596"/>
      <c r="J296" s="577"/>
      <c r="K296" s="577"/>
      <c r="L296" s="577"/>
      <c r="M296" s="577"/>
      <c r="N296" s="577"/>
      <c r="O296" s="577"/>
      <c r="P296" s="577"/>
      <c r="Q296" s="577"/>
      <c r="R296" s="577"/>
      <c r="S296" s="577"/>
      <c r="T296" s="577"/>
      <c r="U296" s="577"/>
      <c r="V296" s="577"/>
      <c r="W296" s="577"/>
      <c r="X296" s="577"/>
      <c r="Y296" s="577"/>
      <c r="Z296" s="577"/>
      <c r="AA296" s="577"/>
      <c r="AB296" s="577"/>
      <c r="AC296" s="577"/>
      <c r="AD296" s="577"/>
      <c r="AE296" s="577"/>
      <c r="AF296" s="6"/>
    </row>
    <row r="297" ht="12.75" customHeight="1">
      <c r="A297" s="595"/>
      <c r="B297" s="596"/>
      <c r="C297" s="596"/>
      <c r="D297" s="596"/>
      <c r="E297" s="596"/>
      <c r="F297" s="596"/>
      <c r="G297" s="596"/>
      <c r="H297" s="596"/>
      <c r="I297" s="596"/>
      <c r="J297" s="577"/>
      <c r="K297" s="577"/>
      <c r="L297" s="577"/>
      <c r="M297" s="577"/>
      <c r="N297" s="577"/>
      <c r="O297" s="577"/>
      <c r="P297" s="577"/>
      <c r="Q297" s="577"/>
      <c r="R297" s="577"/>
      <c r="S297" s="577"/>
      <c r="T297" s="577"/>
      <c r="U297" s="577"/>
      <c r="V297" s="577"/>
      <c r="W297" s="577"/>
      <c r="X297" s="577"/>
      <c r="Y297" s="577"/>
      <c r="Z297" s="577"/>
      <c r="AA297" s="577"/>
      <c r="AB297" s="577"/>
      <c r="AC297" s="577"/>
      <c r="AD297" s="577"/>
      <c r="AE297" s="577"/>
      <c r="AF297" s="6"/>
    </row>
    <row r="298" ht="12.75" customHeight="1">
      <c r="A298" s="595"/>
      <c r="B298" s="596"/>
      <c r="C298" s="596"/>
      <c r="D298" s="596"/>
      <c r="E298" s="596"/>
      <c r="F298" s="596"/>
      <c r="G298" s="596"/>
      <c r="H298" s="596"/>
      <c r="I298" s="596"/>
      <c r="J298" s="577"/>
      <c r="K298" s="577"/>
      <c r="L298" s="577"/>
      <c r="M298" s="577"/>
      <c r="N298" s="577"/>
      <c r="O298" s="577"/>
      <c r="P298" s="577"/>
      <c r="Q298" s="577"/>
      <c r="R298" s="577"/>
      <c r="S298" s="577"/>
      <c r="T298" s="577"/>
      <c r="U298" s="577"/>
      <c r="V298" s="577"/>
      <c r="W298" s="577"/>
      <c r="X298" s="577"/>
      <c r="Y298" s="577"/>
      <c r="Z298" s="577"/>
      <c r="AA298" s="577"/>
      <c r="AB298" s="577"/>
      <c r="AC298" s="577"/>
      <c r="AD298" s="577"/>
      <c r="AE298" s="577"/>
      <c r="AF298" s="6"/>
    </row>
    <row r="299" ht="12.75" customHeight="1">
      <c r="A299" s="595"/>
      <c r="B299" s="596"/>
      <c r="C299" s="596"/>
      <c r="D299" s="596"/>
      <c r="E299" s="596"/>
      <c r="F299" s="596"/>
      <c r="G299" s="596"/>
      <c r="H299" s="596"/>
      <c r="I299" s="596"/>
      <c r="J299" s="577"/>
      <c r="K299" s="577"/>
      <c r="L299" s="577"/>
      <c r="M299" s="577"/>
      <c r="N299" s="577"/>
      <c r="O299" s="577"/>
      <c r="P299" s="577"/>
      <c r="Q299" s="577"/>
      <c r="R299" s="577"/>
      <c r="S299" s="577"/>
      <c r="T299" s="577"/>
      <c r="U299" s="577"/>
      <c r="V299" s="577"/>
      <c r="W299" s="577"/>
      <c r="X299" s="577"/>
      <c r="Y299" s="577"/>
      <c r="Z299" s="577"/>
      <c r="AA299" s="577"/>
      <c r="AB299" s="577"/>
      <c r="AC299" s="577"/>
      <c r="AD299" s="577"/>
      <c r="AE299" s="577"/>
      <c r="AF299" s="6"/>
    </row>
    <row r="300" ht="12.75" customHeight="1">
      <c r="A300" s="595"/>
      <c r="B300" s="596"/>
      <c r="C300" s="596"/>
      <c r="D300" s="596"/>
      <c r="E300" s="596"/>
      <c r="F300" s="596"/>
      <c r="G300" s="596"/>
      <c r="H300" s="596"/>
      <c r="I300" s="596"/>
      <c r="J300" s="577"/>
      <c r="K300" s="577"/>
      <c r="L300" s="577"/>
      <c r="M300" s="577"/>
      <c r="N300" s="577"/>
      <c r="O300" s="577"/>
      <c r="P300" s="577"/>
      <c r="Q300" s="577"/>
      <c r="R300" s="577"/>
      <c r="S300" s="577"/>
      <c r="T300" s="577"/>
      <c r="U300" s="577"/>
      <c r="V300" s="577"/>
      <c r="W300" s="577"/>
      <c r="X300" s="577"/>
      <c r="Y300" s="577"/>
      <c r="Z300" s="577"/>
      <c r="AA300" s="577"/>
      <c r="AB300" s="577"/>
      <c r="AC300" s="577"/>
      <c r="AD300" s="577"/>
      <c r="AE300" s="577"/>
      <c r="AF300" s="6"/>
    </row>
    <row r="301" ht="12.75" customHeight="1">
      <c r="A301" s="595"/>
      <c r="B301" s="596"/>
      <c r="C301" s="596"/>
      <c r="D301" s="596"/>
      <c r="E301" s="596"/>
      <c r="F301" s="596"/>
      <c r="G301" s="596"/>
      <c r="H301" s="596"/>
      <c r="I301" s="596"/>
      <c r="J301" s="577"/>
      <c r="K301" s="577"/>
      <c r="L301" s="577"/>
      <c r="M301" s="577"/>
      <c r="N301" s="577"/>
      <c r="O301" s="577"/>
      <c r="P301" s="577"/>
      <c r="Q301" s="577"/>
      <c r="R301" s="577"/>
      <c r="S301" s="577"/>
      <c r="T301" s="577"/>
      <c r="U301" s="577"/>
      <c r="V301" s="577"/>
      <c r="W301" s="577"/>
      <c r="X301" s="577"/>
      <c r="Y301" s="577"/>
      <c r="Z301" s="577"/>
      <c r="AA301" s="577"/>
      <c r="AB301" s="577"/>
      <c r="AC301" s="577"/>
      <c r="AD301" s="577"/>
      <c r="AE301" s="577"/>
      <c r="AF301" s="6"/>
    </row>
    <row r="302" ht="12.75" customHeight="1">
      <c r="A302" s="595"/>
      <c r="B302" s="596"/>
      <c r="C302" s="596"/>
      <c r="D302" s="596"/>
      <c r="E302" s="596"/>
      <c r="F302" s="596"/>
      <c r="G302" s="596"/>
      <c r="H302" s="596"/>
      <c r="I302" s="596"/>
      <c r="J302" s="577"/>
      <c r="K302" s="577"/>
      <c r="L302" s="577"/>
      <c r="M302" s="577"/>
      <c r="N302" s="577"/>
      <c r="O302" s="577"/>
      <c r="P302" s="577"/>
      <c r="Q302" s="577"/>
      <c r="R302" s="577"/>
      <c r="S302" s="577"/>
      <c r="T302" s="577"/>
      <c r="U302" s="577"/>
      <c r="V302" s="577"/>
      <c r="W302" s="577"/>
      <c r="X302" s="577"/>
      <c r="Y302" s="577"/>
      <c r="Z302" s="577"/>
      <c r="AA302" s="577"/>
      <c r="AB302" s="577"/>
      <c r="AC302" s="577"/>
      <c r="AD302" s="577"/>
      <c r="AE302" s="577"/>
      <c r="AF302" s="6"/>
    </row>
    <row r="303" ht="12.75" customHeight="1">
      <c r="A303" s="595"/>
      <c r="B303" s="596"/>
      <c r="C303" s="596"/>
      <c r="D303" s="596"/>
      <c r="E303" s="596"/>
      <c r="F303" s="596"/>
      <c r="G303" s="596"/>
      <c r="H303" s="596"/>
      <c r="I303" s="596"/>
      <c r="J303" s="577"/>
      <c r="K303" s="577"/>
      <c r="L303" s="577"/>
      <c r="M303" s="577"/>
      <c r="N303" s="577"/>
      <c r="O303" s="577"/>
      <c r="P303" s="577"/>
      <c r="Q303" s="577"/>
      <c r="R303" s="577"/>
      <c r="S303" s="577"/>
      <c r="T303" s="577"/>
      <c r="U303" s="577"/>
      <c r="V303" s="577"/>
      <c r="W303" s="577"/>
      <c r="X303" s="577"/>
      <c r="Y303" s="577"/>
      <c r="Z303" s="577"/>
      <c r="AA303" s="577"/>
      <c r="AB303" s="577"/>
      <c r="AC303" s="577"/>
      <c r="AD303" s="577"/>
      <c r="AE303" s="577"/>
      <c r="AF303" s="6"/>
    </row>
    <row r="304" ht="12.75" customHeight="1">
      <c r="A304" s="595"/>
      <c r="B304" s="596"/>
      <c r="C304" s="596"/>
      <c r="D304" s="596"/>
      <c r="E304" s="596"/>
      <c r="F304" s="596"/>
      <c r="G304" s="596"/>
      <c r="H304" s="596"/>
      <c r="I304" s="596"/>
      <c r="J304" s="577"/>
      <c r="K304" s="577"/>
      <c r="L304" s="577"/>
      <c r="M304" s="577"/>
      <c r="N304" s="577"/>
      <c r="O304" s="577"/>
      <c r="P304" s="577"/>
      <c r="Q304" s="577"/>
      <c r="R304" s="577"/>
      <c r="S304" s="577"/>
      <c r="T304" s="577"/>
      <c r="U304" s="577"/>
      <c r="V304" s="577"/>
      <c r="W304" s="577"/>
      <c r="X304" s="577"/>
      <c r="Y304" s="577"/>
      <c r="Z304" s="577"/>
      <c r="AA304" s="577"/>
      <c r="AB304" s="577"/>
      <c r="AC304" s="577"/>
      <c r="AD304" s="577"/>
      <c r="AE304" s="577"/>
      <c r="AF304" s="6"/>
    </row>
    <row r="305" ht="12.75" customHeight="1">
      <c r="A305" s="595"/>
      <c r="B305" s="596"/>
      <c r="C305" s="596"/>
      <c r="D305" s="596"/>
      <c r="E305" s="596"/>
      <c r="F305" s="596"/>
      <c r="G305" s="596"/>
      <c r="H305" s="596"/>
      <c r="I305" s="596"/>
      <c r="J305" s="577"/>
      <c r="K305" s="577"/>
      <c r="L305" s="577"/>
      <c r="M305" s="577"/>
      <c r="N305" s="577"/>
      <c r="O305" s="577"/>
      <c r="P305" s="577"/>
      <c r="Q305" s="577"/>
      <c r="R305" s="577"/>
      <c r="S305" s="577"/>
      <c r="T305" s="577"/>
      <c r="U305" s="577"/>
      <c r="V305" s="577"/>
      <c r="W305" s="577"/>
      <c r="X305" s="577"/>
      <c r="Y305" s="577"/>
      <c r="Z305" s="577"/>
      <c r="AA305" s="577"/>
      <c r="AB305" s="577"/>
      <c r="AC305" s="577"/>
      <c r="AD305" s="577"/>
      <c r="AE305" s="577"/>
      <c r="AF305" s="6"/>
    </row>
    <row r="306" ht="12.75" customHeight="1">
      <c r="A306" s="595"/>
      <c r="B306" s="596"/>
      <c r="C306" s="596"/>
      <c r="D306" s="596"/>
      <c r="E306" s="596"/>
      <c r="F306" s="596"/>
      <c r="G306" s="596"/>
      <c r="H306" s="596"/>
      <c r="I306" s="596"/>
      <c r="J306" s="577"/>
      <c r="K306" s="577"/>
      <c r="L306" s="577"/>
      <c r="M306" s="577"/>
      <c r="N306" s="577"/>
      <c r="O306" s="577"/>
      <c r="P306" s="577"/>
      <c r="Q306" s="577"/>
      <c r="R306" s="577"/>
      <c r="S306" s="577"/>
      <c r="T306" s="577"/>
      <c r="U306" s="577"/>
      <c r="V306" s="577"/>
      <c r="W306" s="577"/>
      <c r="X306" s="577"/>
      <c r="Y306" s="577"/>
      <c r="Z306" s="577"/>
      <c r="AA306" s="577"/>
      <c r="AB306" s="577"/>
      <c r="AC306" s="577"/>
      <c r="AD306" s="577"/>
      <c r="AE306" s="577"/>
      <c r="AF306" s="6"/>
    </row>
    <row r="307" ht="12.75" customHeight="1">
      <c r="A307" s="595"/>
      <c r="B307" s="596"/>
      <c r="C307" s="596"/>
      <c r="D307" s="596"/>
      <c r="E307" s="596"/>
      <c r="F307" s="596"/>
      <c r="G307" s="596"/>
      <c r="H307" s="596"/>
      <c r="I307" s="596"/>
      <c r="J307" s="577"/>
      <c r="K307" s="577"/>
      <c r="L307" s="577"/>
      <c r="M307" s="577"/>
      <c r="N307" s="577"/>
      <c r="O307" s="577"/>
      <c r="P307" s="577"/>
      <c r="Q307" s="577"/>
      <c r="R307" s="577"/>
      <c r="S307" s="577"/>
      <c r="T307" s="577"/>
      <c r="U307" s="577"/>
      <c r="V307" s="577"/>
      <c r="W307" s="577"/>
      <c r="X307" s="577"/>
      <c r="Y307" s="577"/>
      <c r="Z307" s="577"/>
      <c r="AA307" s="577"/>
      <c r="AB307" s="577"/>
      <c r="AC307" s="577"/>
      <c r="AD307" s="577"/>
      <c r="AE307" s="577"/>
      <c r="AF307" s="6"/>
    </row>
    <row r="308" ht="12.75" customHeight="1">
      <c r="A308" s="595"/>
      <c r="B308" s="596"/>
      <c r="C308" s="596"/>
      <c r="D308" s="596"/>
      <c r="E308" s="596"/>
      <c r="F308" s="596"/>
      <c r="G308" s="596"/>
      <c r="H308" s="596"/>
      <c r="I308" s="596"/>
      <c r="J308" s="577"/>
      <c r="K308" s="577"/>
      <c r="L308" s="577"/>
      <c r="M308" s="577"/>
      <c r="N308" s="577"/>
      <c r="O308" s="577"/>
      <c r="P308" s="577"/>
      <c r="Q308" s="577"/>
      <c r="R308" s="577"/>
      <c r="S308" s="577"/>
      <c r="T308" s="577"/>
      <c r="U308" s="577"/>
      <c r="V308" s="577"/>
      <c r="W308" s="577"/>
      <c r="X308" s="577"/>
      <c r="Y308" s="577"/>
      <c r="Z308" s="577"/>
      <c r="AA308" s="577"/>
      <c r="AB308" s="577"/>
      <c r="AC308" s="577"/>
      <c r="AD308" s="577"/>
      <c r="AE308" s="577"/>
      <c r="AF308" s="6"/>
    </row>
    <row r="309" ht="12.75" customHeight="1">
      <c r="A309" s="595"/>
      <c r="B309" s="596"/>
      <c r="C309" s="596"/>
      <c r="D309" s="596"/>
      <c r="E309" s="596"/>
      <c r="F309" s="596"/>
      <c r="G309" s="596"/>
      <c r="H309" s="596"/>
      <c r="I309" s="596"/>
      <c r="J309" s="577"/>
      <c r="K309" s="577"/>
      <c r="L309" s="577"/>
      <c r="M309" s="577"/>
      <c r="N309" s="577"/>
      <c r="O309" s="577"/>
      <c r="P309" s="577"/>
      <c r="Q309" s="577"/>
      <c r="R309" s="577"/>
      <c r="S309" s="577"/>
      <c r="T309" s="577"/>
      <c r="U309" s="577"/>
      <c r="V309" s="577"/>
      <c r="W309" s="577"/>
      <c r="X309" s="577"/>
      <c r="Y309" s="577"/>
      <c r="Z309" s="577"/>
      <c r="AA309" s="577"/>
      <c r="AB309" s="577"/>
      <c r="AC309" s="577"/>
      <c r="AD309" s="577"/>
      <c r="AE309" s="577"/>
      <c r="AF309" s="6"/>
    </row>
    <row r="310" ht="12.75" customHeight="1">
      <c r="A310" s="595"/>
      <c r="B310" s="596"/>
      <c r="C310" s="596"/>
      <c r="D310" s="596"/>
      <c r="E310" s="596"/>
      <c r="F310" s="596"/>
      <c r="G310" s="596"/>
      <c r="H310" s="596"/>
      <c r="I310" s="596"/>
      <c r="J310" s="577"/>
      <c r="K310" s="577"/>
      <c r="L310" s="577"/>
      <c r="M310" s="577"/>
      <c r="N310" s="577"/>
      <c r="O310" s="577"/>
      <c r="P310" s="577"/>
      <c r="Q310" s="577"/>
      <c r="R310" s="577"/>
      <c r="S310" s="577"/>
      <c r="T310" s="577"/>
      <c r="U310" s="577"/>
      <c r="V310" s="577"/>
      <c r="W310" s="577"/>
      <c r="X310" s="577"/>
      <c r="Y310" s="577"/>
      <c r="Z310" s="577"/>
      <c r="AA310" s="577"/>
      <c r="AB310" s="577"/>
      <c r="AC310" s="577"/>
      <c r="AD310" s="577"/>
      <c r="AE310" s="577"/>
      <c r="AF310" s="6"/>
    </row>
    <row r="311" ht="12.75" customHeight="1">
      <c r="A311" s="595"/>
      <c r="B311" s="596"/>
      <c r="C311" s="596"/>
      <c r="D311" s="596"/>
      <c r="E311" s="596"/>
      <c r="F311" s="596"/>
      <c r="G311" s="596"/>
      <c r="H311" s="596"/>
      <c r="I311" s="596"/>
      <c r="J311" s="577"/>
      <c r="K311" s="577"/>
      <c r="L311" s="577"/>
      <c r="M311" s="577"/>
      <c r="N311" s="577"/>
      <c r="O311" s="577"/>
      <c r="P311" s="577"/>
      <c r="Q311" s="577"/>
      <c r="R311" s="577"/>
      <c r="S311" s="577"/>
      <c r="T311" s="577"/>
      <c r="U311" s="577"/>
      <c r="V311" s="577"/>
      <c r="W311" s="577"/>
      <c r="X311" s="577"/>
      <c r="Y311" s="577"/>
      <c r="Z311" s="577"/>
      <c r="AA311" s="577"/>
      <c r="AB311" s="577"/>
      <c r="AC311" s="577"/>
      <c r="AD311" s="577"/>
      <c r="AE311" s="577"/>
      <c r="AF311" s="6"/>
    </row>
    <row r="312" ht="12.75" customHeight="1">
      <c r="A312" s="595"/>
      <c r="B312" s="596"/>
      <c r="C312" s="596"/>
      <c r="D312" s="596"/>
      <c r="E312" s="596"/>
      <c r="F312" s="596"/>
      <c r="G312" s="596"/>
      <c r="H312" s="596"/>
      <c r="I312" s="596"/>
      <c r="J312" s="577"/>
      <c r="K312" s="577"/>
      <c r="L312" s="577"/>
      <c r="M312" s="577"/>
      <c r="N312" s="577"/>
      <c r="O312" s="577"/>
      <c r="P312" s="577"/>
      <c r="Q312" s="577"/>
      <c r="R312" s="577"/>
      <c r="S312" s="577"/>
      <c r="T312" s="577"/>
      <c r="U312" s="577"/>
      <c r="V312" s="577"/>
      <c r="W312" s="577"/>
      <c r="X312" s="577"/>
      <c r="Y312" s="577"/>
      <c r="Z312" s="577"/>
      <c r="AA312" s="577"/>
      <c r="AB312" s="577"/>
      <c r="AC312" s="577"/>
      <c r="AD312" s="577"/>
      <c r="AE312" s="577"/>
      <c r="AF312" s="6"/>
    </row>
    <row r="313" ht="12.75" customHeight="1">
      <c r="A313" s="595"/>
      <c r="B313" s="596"/>
      <c r="C313" s="596"/>
      <c r="D313" s="596"/>
      <c r="E313" s="596"/>
      <c r="F313" s="596"/>
      <c r="G313" s="596"/>
      <c r="H313" s="596"/>
      <c r="I313" s="596"/>
      <c r="J313" s="577"/>
      <c r="K313" s="577"/>
      <c r="L313" s="577"/>
      <c r="M313" s="577"/>
      <c r="N313" s="577"/>
      <c r="O313" s="577"/>
      <c r="P313" s="577"/>
      <c r="Q313" s="577"/>
      <c r="R313" s="577"/>
      <c r="S313" s="577"/>
      <c r="T313" s="577"/>
      <c r="U313" s="577"/>
      <c r="V313" s="577"/>
      <c r="W313" s="577"/>
      <c r="X313" s="577"/>
      <c r="Y313" s="577"/>
      <c r="Z313" s="577"/>
      <c r="AA313" s="577"/>
      <c r="AB313" s="577"/>
      <c r="AC313" s="577"/>
      <c r="AD313" s="577"/>
      <c r="AE313" s="577"/>
      <c r="AF313" s="6"/>
    </row>
    <row r="314" ht="12.75" customHeight="1">
      <c r="A314" s="595"/>
      <c r="B314" s="596"/>
      <c r="C314" s="596"/>
      <c r="D314" s="596"/>
      <c r="E314" s="596"/>
      <c r="F314" s="596"/>
      <c r="G314" s="596"/>
      <c r="H314" s="596"/>
      <c r="I314" s="596"/>
      <c r="J314" s="577"/>
      <c r="K314" s="577"/>
      <c r="L314" s="577"/>
      <c r="M314" s="577"/>
      <c r="N314" s="577"/>
      <c r="O314" s="577"/>
      <c r="P314" s="577"/>
      <c r="Q314" s="577"/>
      <c r="R314" s="577"/>
      <c r="S314" s="577"/>
      <c r="T314" s="577"/>
      <c r="U314" s="577"/>
      <c r="V314" s="577"/>
      <c r="W314" s="577"/>
      <c r="X314" s="577"/>
      <c r="Y314" s="577"/>
      <c r="Z314" s="577"/>
      <c r="AA314" s="577"/>
      <c r="AB314" s="577"/>
      <c r="AC314" s="577"/>
      <c r="AD314" s="577"/>
      <c r="AE314" s="577"/>
      <c r="AF314" s="6"/>
    </row>
    <row r="315" ht="12.75" customHeight="1">
      <c r="A315" s="595"/>
      <c r="B315" s="596"/>
      <c r="C315" s="596"/>
      <c r="D315" s="596"/>
      <c r="E315" s="596"/>
      <c r="F315" s="596"/>
      <c r="G315" s="596"/>
      <c r="H315" s="596"/>
      <c r="I315" s="596"/>
      <c r="J315" s="577"/>
      <c r="K315" s="577"/>
      <c r="L315" s="577"/>
      <c r="M315" s="577"/>
      <c r="N315" s="577"/>
      <c r="O315" s="577"/>
      <c r="P315" s="577"/>
      <c r="Q315" s="577"/>
      <c r="R315" s="577"/>
      <c r="S315" s="577"/>
      <c r="T315" s="577"/>
      <c r="U315" s="577"/>
      <c r="V315" s="577"/>
      <c r="W315" s="577"/>
      <c r="X315" s="577"/>
      <c r="Y315" s="577"/>
      <c r="Z315" s="577"/>
      <c r="AA315" s="577"/>
      <c r="AB315" s="577"/>
      <c r="AC315" s="577"/>
      <c r="AD315" s="577"/>
      <c r="AE315" s="577"/>
      <c r="AF315" s="6"/>
    </row>
    <row r="316" ht="12.75" customHeight="1">
      <c r="A316" s="595"/>
      <c r="B316" s="596"/>
      <c r="C316" s="596"/>
      <c r="D316" s="596"/>
      <c r="E316" s="596"/>
      <c r="F316" s="596"/>
      <c r="G316" s="596"/>
      <c r="H316" s="596"/>
      <c r="I316" s="596"/>
      <c r="J316" s="577"/>
      <c r="K316" s="577"/>
      <c r="L316" s="577"/>
      <c r="M316" s="577"/>
      <c r="N316" s="577"/>
      <c r="O316" s="577"/>
      <c r="P316" s="577"/>
      <c r="Q316" s="577"/>
      <c r="R316" s="577"/>
      <c r="S316" s="577"/>
      <c r="T316" s="577"/>
      <c r="U316" s="577"/>
      <c r="V316" s="577"/>
      <c r="W316" s="577"/>
      <c r="X316" s="577"/>
      <c r="Y316" s="577"/>
      <c r="Z316" s="577"/>
      <c r="AA316" s="577"/>
      <c r="AB316" s="577"/>
      <c r="AC316" s="577"/>
      <c r="AD316" s="577"/>
      <c r="AE316" s="577"/>
      <c r="AF316" s="6"/>
    </row>
    <row r="317" ht="12.75" customHeight="1">
      <c r="A317" s="595"/>
      <c r="B317" s="596"/>
      <c r="C317" s="596"/>
      <c r="D317" s="596"/>
      <c r="E317" s="596"/>
      <c r="F317" s="596"/>
      <c r="G317" s="596"/>
      <c r="H317" s="596"/>
      <c r="I317" s="596"/>
      <c r="J317" s="577"/>
      <c r="K317" s="577"/>
      <c r="L317" s="577"/>
      <c r="M317" s="577"/>
      <c r="N317" s="577"/>
      <c r="O317" s="577"/>
      <c r="P317" s="577"/>
      <c r="Q317" s="577"/>
      <c r="R317" s="577"/>
      <c r="S317" s="577"/>
      <c r="T317" s="577"/>
      <c r="U317" s="577"/>
      <c r="V317" s="577"/>
      <c r="W317" s="577"/>
      <c r="X317" s="577"/>
      <c r="Y317" s="577"/>
      <c r="Z317" s="577"/>
      <c r="AA317" s="577"/>
      <c r="AB317" s="577"/>
      <c r="AC317" s="577"/>
      <c r="AD317" s="577"/>
      <c r="AE317" s="577"/>
      <c r="AF317" s="6"/>
    </row>
    <row r="318" ht="12.75" customHeight="1">
      <c r="A318" s="595"/>
      <c r="B318" s="596"/>
      <c r="C318" s="596"/>
      <c r="D318" s="596"/>
      <c r="E318" s="596"/>
      <c r="F318" s="596"/>
      <c r="G318" s="596"/>
      <c r="H318" s="596"/>
      <c r="I318" s="596"/>
      <c r="J318" s="577"/>
      <c r="K318" s="577"/>
      <c r="L318" s="577"/>
      <c r="M318" s="577"/>
      <c r="N318" s="577"/>
      <c r="O318" s="577"/>
      <c r="P318" s="577"/>
      <c r="Q318" s="577"/>
      <c r="R318" s="577"/>
      <c r="S318" s="577"/>
      <c r="T318" s="577"/>
      <c r="U318" s="577"/>
      <c r="V318" s="577"/>
      <c r="W318" s="577"/>
      <c r="X318" s="577"/>
      <c r="Y318" s="577"/>
      <c r="Z318" s="577"/>
      <c r="AA318" s="577"/>
      <c r="AB318" s="577"/>
      <c r="AC318" s="577"/>
      <c r="AD318" s="577"/>
      <c r="AE318" s="577"/>
      <c r="AF318" s="6"/>
    </row>
    <row r="319" ht="12.75" customHeight="1">
      <c r="A319" s="595"/>
      <c r="B319" s="596"/>
      <c r="C319" s="596"/>
      <c r="D319" s="596"/>
      <c r="E319" s="596"/>
      <c r="F319" s="596"/>
      <c r="G319" s="596"/>
      <c r="H319" s="596"/>
      <c r="I319" s="596"/>
      <c r="J319" s="577"/>
      <c r="K319" s="577"/>
      <c r="L319" s="577"/>
      <c r="M319" s="577"/>
      <c r="N319" s="577"/>
      <c r="O319" s="577"/>
      <c r="P319" s="577"/>
      <c r="Q319" s="577"/>
      <c r="R319" s="577"/>
      <c r="S319" s="577"/>
      <c r="T319" s="577"/>
      <c r="U319" s="577"/>
      <c r="V319" s="577"/>
      <c r="W319" s="577"/>
      <c r="X319" s="577"/>
      <c r="Y319" s="577"/>
      <c r="Z319" s="577"/>
      <c r="AA319" s="577"/>
      <c r="AB319" s="577"/>
      <c r="AC319" s="577"/>
      <c r="AD319" s="577"/>
      <c r="AE319" s="577"/>
      <c r="AF319" s="6"/>
    </row>
    <row r="320" ht="12.75" customHeight="1">
      <c r="A320" s="595"/>
      <c r="B320" s="596"/>
      <c r="C320" s="596"/>
      <c r="D320" s="596"/>
      <c r="E320" s="596"/>
      <c r="F320" s="596"/>
      <c r="G320" s="596"/>
      <c r="H320" s="596"/>
      <c r="I320" s="596"/>
      <c r="J320" s="577"/>
      <c r="K320" s="577"/>
      <c r="L320" s="577"/>
      <c r="M320" s="577"/>
      <c r="N320" s="577"/>
      <c r="O320" s="577"/>
      <c r="P320" s="577"/>
      <c r="Q320" s="577"/>
      <c r="R320" s="577"/>
      <c r="S320" s="577"/>
      <c r="T320" s="577"/>
      <c r="U320" s="577"/>
      <c r="V320" s="577"/>
      <c r="W320" s="577"/>
      <c r="X320" s="577"/>
      <c r="Y320" s="577"/>
      <c r="Z320" s="577"/>
      <c r="AA320" s="577"/>
      <c r="AB320" s="577"/>
      <c r="AC320" s="577"/>
      <c r="AD320" s="577"/>
      <c r="AE320" s="577"/>
      <c r="AF320" s="6"/>
    </row>
    <row r="321" ht="12.75" customHeight="1">
      <c r="A321" s="595"/>
      <c r="B321" s="596"/>
      <c r="C321" s="596"/>
      <c r="D321" s="596"/>
      <c r="E321" s="596"/>
      <c r="F321" s="596"/>
      <c r="G321" s="596"/>
      <c r="H321" s="596"/>
      <c r="I321" s="596"/>
      <c r="J321" s="577"/>
      <c r="K321" s="577"/>
      <c r="L321" s="577"/>
      <c r="M321" s="577"/>
      <c r="N321" s="577"/>
      <c r="O321" s="577"/>
      <c r="P321" s="577"/>
      <c r="Q321" s="577"/>
      <c r="R321" s="577"/>
      <c r="S321" s="577"/>
      <c r="T321" s="577"/>
      <c r="U321" s="577"/>
      <c r="V321" s="577"/>
      <c r="W321" s="577"/>
      <c r="X321" s="577"/>
      <c r="Y321" s="577"/>
      <c r="Z321" s="577"/>
      <c r="AA321" s="577"/>
      <c r="AB321" s="577"/>
      <c r="AC321" s="577"/>
      <c r="AD321" s="577"/>
      <c r="AE321" s="577"/>
      <c r="AF321" s="6"/>
    </row>
    <row r="322" ht="12.75" customHeight="1">
      <c r="A322" s="595"/>
      <c r="B322" s="596"/>
      <c r="C322" s="596"/>
      <c r="D322" s="596"/>
      <c r="E322" s="596"/>
      <c r="F322" s="596"/>
      <c r="G322" s="596"/>
      <c r="H322" s="596"/>
      <c r="I322" s="596"/>
      <c r="J322" s="577"/>
      <c r="K322" s="577"/>
      <c r="L322" s="577"/>
      <c r="M322" s="577"/>
      <c r="N322" s="577"/>
      <c r="O322" s="577"/>
      <c r="P322" s="577"/>
      <c r="Q322" s="577"/>
      <c r="R322" s="577"/>
      <c r="S322" s="577"/>
      <c r="T322" s="577"/>
      <c r="U322" s="577"/>
      <c r="V322" s="577"/>
      <c r="W322" s="577"/>
      <c r="X322" s="577"/>
      <c r="Y322" s="577"/>
      <c r="Z322" s="577"/>
      <c r="AA322" s="577"/>
      <c r="AB322" s="577"/>
      <c r="AC322" s="577"/>
      <c r="AD322" s="577"/>
      <c r="AE322" s="577"/>
      <c r="AF322" s="6"/>
    </row>
    <row r="323" ht="12.75" customHeight="1">
      <c r="A323" s="595"/>
      <c r="B323" s="596"/>
      <c r="C323" s="596"/>
      <c r="D323" s="596"/>
      <c r="E323" s="596"/>
      <c r="F323" s="596"/>
      <c r="G323" s="596"/>
      <c r="H323" s="596"/>
      <c r="I323" s="596"/>
      <c r="J323" s="577"/>
      <c r="K323" s="577"/>
      <c r="L323" s="577"/>
      <c r="M323" s="577"/>
      <c r="N323" s="577"/>
      <c r="O323" s="577"/>
      <c r="P323" s="577"/>
      <c r="Q323" s="577"/>
      <c r="R323" s="577"/>
      <c r="S323" s="577"/>
      <c r="T323" s="577"/>
      <c r="U323" s="577"/>
      <c r="V323" s="577"/>
      <c r="W323" s="577"/>
      <c r="X323" s="577"/>
      <c r="Y323" s="577"/>
      <c r="Z323" s="577"/>
      <c r="AA323" s="577"/>
      <c r="AB323" s="577"/>
      <c r="AC323" s="577"/>
      <c r="AD323" s="577"/>
      <c r="AE323" s="577"/>
      <c r="AF323" s="6"/>
    </row>
    <row r="324" ht="12.75" customHeight="1">
      <c r="A324" s="595"/>
      <c r="B324" s="596"/>
      <c r="C324" s="596"/>
      <c r="D324" s="596"/>
      <c r="E324" s="596"/>
      <c r="F324" s="596"/>
      <c r="G324" s="596"/>
      <c r="H324" s="596"/>
      <c r="I324" s="596"/>
      <c r="J324" s="577"/>
      <c r="K324" s="577"/>
      <c r="L324" s="577"/>
      <c r="M324" s="577"/>
      <c r="N324" s="577"/>
      <c r="O324" s="577"/>
      <c r="P324" s="577"/>
      <c r="Q324" s="577"/>
      <c r="R324" s="577"/>
      <c r="S324" s="577"/>
      <c r="T324" s="577"/>
      <c r="U324" s="577"/>
      <c r="V324" s="577"/>
      <c r="W324" s="577"/>
      <c r="X324" s="577"/>
      <c r="Y324" s="577"/>
      <c r="Z324" s="577"/>
      <c r="AA324" s="577"/>
      <c r="AB324" s="577"/>
      <c r="AC324" s="577"/>
      <c r="AD324" s="577"/>
      <c r="AE324" s="577"/>
      <c r="AF324" s="6"/>
    </row>
    <row r="325" ht="12.75" customHeight="1">
      <c r="A325" s="595"/>
      <c r="B325" s="596"/>
      <c r="C325" s="596"/>
      <c r="D325" s="596"/>
      <c r="E325" s="596"/>
      <c r="F325" s="596"/>
      <c r="G325" s="596"/>
      <c r="H325" s="596"/>
      <c r="I325" s="596"/>
      <c r="J325" s="577"/>
      <c r="K325" s="577"/>
      <c r="L325" s="577"/>
      <c r="M325" s="577"/>
      <c r="N325" s="577"/>
      <c r="O325" s="577"/>
      <c r="P325" s="577"/>
      <c r="Q325" s="577"/>
      <c r="R325" s="577"/>
      <c r="S325" s="577"/>
      <c r="T325" s="577"/>
      <c r="U325" s="577"/>
      <c r="V325" s="577"/>
      <c r="W325" s="577"/>
      <c r="X325" s="577"/>
      <c r="Y325" s="577"/>
      <c r="Z325" s="577"/>
      <c r="AA325" s="577"/>
      <c r="AB325" s="577"/>
      <c r="AC325" s="577"/>
      <c r="AD325" s="577"/>
      <c r="AE325" s="577"/>
      <c r="AF325" s="6"/>
    </row>
    <row r="326" ht="12.75" customHeight="1">
      <c r="A326" s="595"/>
      <c r="B326" s="596"/>
      <c r="C326" s="596"/>
      <c r="D326" s="596"/>
      <c r="E326" s="596"/>
      <c r="F326" s="596"/>
      <c r="G326" s="596"/>
      <c r="H326" s="596"/>
      <c r="I326" s="596"/>
      <c r="J326" s="577"/>
      <c r="K326" s="577"/>
      <c r="L326" s="577"/>
      <c r="M326" s="577"/>
      <c r="N326" s="577"/>
      <c r="O326" s="577"/>
      <c r="P326" s="577"/>
      <c r="Q326" s="577"/>
      <c r="R326" s="577"/>
      <c r="S326" s="577"/>
      <c r="T326" s="577"/>
      <c r="U326" s="577"/>
      <c r="V326" s="577"/>
      <c r="W326" s="577"/>
      <c r="X326" s="577"/>
      <c r="Y326" s="577"/>
      <c r="Z326" s="577"/>
      <c r="AA326" s="577"/>
      <c r="AB326" s="577"/>
      <c r="AC326" s="577"/>
      <c r="AD326" s="577"/>
      <c r="AE326" s="577"/>
      <c r="AF326" s="6"/>
    </row>
    <row r="327" ht="12.75" customHeight="1">
      <c r="A327" s="595"/>
      <c r="B327" s="596"/>
      <c r="C327" s="596"/>
      <c r="D327" s="596"/>
      <c r="E327" s="596"/>
      <c r="F327" s="596"/>
      <c r="G327" s="596"/>
      <c r="H327" s="596"/>
      <c r="I327" s="596"/>
      <c r="J327" s="577"/>
      <c r="K327" s="577"/>
      <c r="L327" s="577"/>
      <c r="M327" s="577"/>
      <c r="N327" s="577"/>
      <c r="O327" s="577"/>
      <c r="P327" s="577"/>
      <c r="Q327" s="577"/>
      <c r="R327" s="577"/>
      <c r="S327" s="577"/>
      <c r="T327" s="577"/>
      <c r="U327" s="577"/>
      <c r="V327" s="577"/>
      <c r="W327" s="577"/>
      <c r="X327" s="577"/>
      <c r="Y327" s="577"/>
      <c r="Z327" s="577"/>
      <c r="AA327" s="577"/>
      <c r="AB327" s="577"/>
      <c r="AC327" s="577"/>
      <c r="AD327" s="577"/>
      <c r="AE327" s="577"/>
      <c r="AF327" s="6"/>
    </row>
    <row r="328" ht="12.75" customHeight="1">
      <c r="A328" s="595"/>
      <c r="B328" s="596"/>
      <c r="C328" s="596"/>
      <c r="D328" s="596"/>
      <c r="E328" s="596"/>
      <c r="F328" s="596"/>
      <c r="G328" s="596"/>
      <c r="H328" s="596"/>
      <c r="I328" s="596"/>
      <c r="J328" s="577"/>
      <c r="K328" s="577"/>
      <c r="L328" s="577"/>
      <c r="M328" s="577"/>
      <c r="N328" s="577"/>
      <c r="O328" s="577"/>
      <c r="P328" s="577"/>
      <c r="Q328" s="577"/>
      <c r="R328" s="577"/>
      <c r="S328" s="577"/>
      <c r="T328" s="577"/>
      <c r="U328" s="577"/>
      <c r="V328" s="577"/>
      <c r="W328" s="577"/>
      <c r="X328" s="577"/>
      <c r="Y328" s="577"/>
      <c r="Z328" s="577"/>
      <c r="AA328" s="577"/>
      <c r="AB328" s="577"/>
      <c r="AC328" s="577"/>
      <c r="AD328" s="577"/>
      <c r="AE328" s="577"/>
      <c r="AF328" s="6"/>
    </row>
    <row r="329" ht="12.75" customHeight="1">
      <c r="A329" s="595"/>
      <c r="B329" s="596"/>
      <c r="C329" s="596"/>
      <c r="D329" s="596"/>
      <c r="E329" s="596"/>
      <c r="F329" s="596"/>
      <c r="G329" s="596"/>
      <c r="H329" s="596"/>
      <c r="I329" s="596"/>
      <c r="J329" s="577"/>
      <c r="K329" s="577"/>
      <c r="L329" s="577"/>
      <c r="M329" s="577"/>
      <c r="N329" s="577"/>
      <c r="O329" s="577"/>
      <c r="P329" s="577"/>
      <c r="Q329" s="577"/>
      <c r="R329" s="577"/>
      <c r="S329" s="577"/>
      <c r="T329" s="577"/>
      <c r="U329" s="577"/>
      <c r="V329" s="577"/>
      <c r="W329" s="577"/>
      <c r="X329" s="577"/>
      <c r="Y329" s="577"/>
      <c r="Z329" s="577"/>
      <c r="AA329" s="577"/>
      <c r="AB329" s="577"/>
      <c r="AC329" s="577"/>
      <c r="AD329" s="577"/>
      <c r="AE329" s="577"/>
      <c r="AF329" s="6"/>
    </row>
    <row r="330" ht="12.75" customHeight="1">
      <c r="A330" s="595"/>
      <c r="B330" s="596"/>
      <c r="C330" s="596"/>
      <c r="D330" s="596"/>
      <c r="E330" s="596"/>
      <c r="F330" s="596"/>
      <c r="G330" s="596"/>
      <c r="H330" s="596"/>
      <c r="I330" s="596"/>
      <c r="J330" s="577"/>
      <c r="K330" s="577"/>
      <c r="L330" s="577"/>
      <c r="M330" s="577"/>
      <c r="N330" s="577"/>
      <c r="O330" s="577"/>
      <c r="P330" s="577"/>
      <c r="Q330" s="577"/>
      <c r="R330" s="577"/>
      <c r="S330" s="577"/>
      <c r="T330" s="577"/>
      <c r="U330" s="577"/>
      <c r="V330" s="577"/>
      <c r="W330" s="577"/>
      <c r="X330" s="577"/>
      <c r="Y330" s="577"/>
      <c r="Z330" s="577"/>
      <c r="AA330" s="577"/>
      <c r="AB330" s="577"/>
      <c r="AC330" s="577"/>
      <c r="AD330" s="577"/>
      <c r="AE330" s="577"/>
      <c r="AF330" s="6"/>
    </row>
    <row r="331" ht="12.75" customHeight="1">
      <c r="A331" s="595"/>
      <c r="B331" s="596"/>
      <c r="C331" s="596"/>
      <c r="D331" s="596"/>
      <c r="E331" s="596"/>
      <c r="F331" s="596"/>
      <c r="G331" s="596"/>
      <c r="H331" s="596"/>
      <c r="I331" s="596"/>
      <c r="J331" s="577"/>
      <c r="K331" s="577"/>
      <c r="L331" s="577"/>
      <c r="M331" s="577"/>
      <c r="N331" s="577"/>
      <c r="O331" s="577"/>
      <c r="P331" s="577"/>
      <c r="Q331" s="577"/>
      <c r="R331" s="577"/>
      <c r="S331" s="577"/>
      <c r="T331" s="577"/>
      <c r="U331" s="577"/>
      <c r="V331" s="577"/>
      <c r="W331" s="577"/>
      <c r="X331" s="577"/>
      <c r="Y331" s="577"/>
      <c r="Z331" s="577"/>
      <c r="AA331" s="577"/>
      <c r="AB331" s="577"/>
      <c r="AC331" s="577"/>
      <c r="AD331" s="577"/>
      <c r="AE331" s="577"/>
      <c r="AF331" s="6"/>
    </row>
    <row r="332" ht="12.75" customHeight="1">
      <c r="A332" s="595"/>
      <c r="B332" s="596"/>
      <c r="C332" s="596"/>
      <c r="D332" s="596"/>
      <c r="E332" s="596"/>
      <c r="F332" s="596"/>
      <c r="G332" s="596"/>
      <c r="H332" s="596"/>
      <c r="I332" s="596"/>
      <c r="J332" s="577"/>
      <c r="K332" s="577"/>
      <c r="L332" s="577"/>
      <c r="M332" s="577"/>
      <c r="N332" s="577"/>
      <c r="O332" s="577"/>
      <c r="P332" s="577"/>
      <c r="Q332" s="577"/>
      <c r="R332" s="577"/>
      <c r="S332" s="577"/>
      <c r="T332" s="577"/>
      <c r="U332" s="577"/>
      <c r="V332" s="577"/>
      <c r="W332" s="577"/>
      <c r="X332" s="577"/>
      <c r="Y332" s="577"/>
      <c r="Z332" s="577"/>
      <c r="AA332" s="577"/>
      <c r="AB332" s="577"/>
      <c r="AC332" s="577"/>
      <c r="AD332" s="577"/>
      <c r="AE332" s="577"/>
      <c r="AF332" s="6"/>
    </row>
    <row r="333" ht="12.75" customHeight="1">
      <c r="A333" s="595"/>
      <c r="B333" s="596"/>
      <c r="C333" s="596"/>
      <c r="D333" s="596"/>
      <c r="E333" s="596"/>
      <c r="F333" s="596"/>
      <c r="G333" s="596"/>
      <c r="H333" s="596"/>
      <c r="I333" s="596"/>
      <c r="J333" s="577"/>
      <c r="K333" s="577"/>
      <c r="L333" s="577"/>
      <c r="M333" s="577"/>
      <c r="N333" s="577"/>
      <c r="O333" s="577"/>
      <c r="P333" s="577"/>
      <c r="Q333" s="577"/>
      <c r="R333" s="577"/>
      <c r="S333" s="577"/>
      <c r="T333" s="577"/>
      <c r="U333" s="577"/>
      <c r="V333" s="577"/>
      <c r="W333" s="577"/>
      <c r="X333" s="577"/>
      <c r="Y333" s="577"/>
      <c r="Z333" s="577"/>
      <c r="AA333" s="577"/>
      <c r="AB333" s="577"/>
      <c r="AC333" s="577"/>
      <c r="AD333" s="577"/>
      <c r="AE333" s="577"/>
      <c r="AF333" s="6"/>
    </row>
    <row r="334" ht="12.75" customHeight="1">
      <c r="A334" s="595"/>
      <c r="B334" s="596"/>
      <c r="C334" s="596"/>
      <c r="D334" s="596"/>
      <c r="E334" s="596"/>
      <c r="F334" s="596"/>
      <c r="G334" s="596"/>
      <c r="H334" s="596"/>
      <c r="I334" s="596"/>
      <c r="J334" s="577"/>
      <c r="K334" s="577"/>
      <c r="L334" s="577"/>
      <c r="M334" s="577"/>
      <c r="N334" s="577"/>
      <c r="O334" s="577"/>
      <c r="P334" s="577"/>
      <c r="Q334" s="577"/>
      <c r="R334" s="577"/>
      <c r="S334" s="577"/>
      <c r="T334" s="577"/>
      <c r="U334" s="577"/>
      <c r="V334" s="577"/>
      <c r="W334" s="577"/>
      <c r="X334" s="577"/>
      <c r="Y334" s="577"/>
      <c r="Z334" s="577"/>
      <c r="AA334" s="577"/>
      <c r="AB334" s="577"/>
      <c r="AC334" s="577"/>
      <c r="AD334" s="577"/>
      <c r="AE334" s="577"/>
      <c r="AF334" s="6"/>
    </row>
    <row r="335" ht="12.75" customHeight="1">
      <c r="A335" s="595"/>
      <c r="B335" s="596"/>
      <c r="C335" s="596"/>
      <c r="D335" s="596"/>
      <c r="E335" s="596"/>
      <c r="F335" s="596"/>
      <c r="G335" s="596"/>
      <c r="H335" s="596"/>
      <c r="I335" s="596"/>
      <c r="J335" s="577"/>
      <c r="K335" s="577"/>
      <c r="L335" s="577"/>
      <c r="M335" s="577"/>
      <c r="N335" s="577"/>
      <c r="O335" s="577"/>
      <c r="P335" s="577"/>
      <c r="Q335" s="577"/>
      <c r="R335" s="577"/>
      <c r="S335" s="577"/>
      <c r="T335" s="577"/>
      <c r="U335" s="577"/>
      <c r="V335" s="577"/>
      <c r="W335" s="577"/>
      <c r="X335" s="577"/>
      <c r="Y335" s="577"/>
      <c r="Z335" s="577"/>
      <c r="AA335" s="577"/>
      <c r="AB335" s="577"/>
      <c r="AC335" s="577"/>
      <c r="AD335" s="577"/>
      <c r="AE335" s="577"/>
      <c r="AF335" s="6"/>
    </row>
    <row r="336" ht="12.75" customHeight="1">
      <c r="A336" s="595"/>
      <c r="B336" s="596"/>
      <c r="C336" s="596"/>
      <c r="D336" s="596"/>
      <c r="E336" s="596"/>
      <c r="F336" s="596"/>
      <c r="G336" s="596"/>
      <c r="H336" s="596"/>
      <c r="I336" s="596"/>
      <c r="J336" s="577"/>
      <c r="K336" s="577"/>
      <c r="L336" s="577"/>
      <c r="M336" s="577"/>
      <c r="N336" s="577"/>
      <c r="O336" s="577"/>
      <c r="P336" s="577"/>
      <c r="Q336" s="577"/>
      <c r="R336" s="577"/>
      <c r="S336" s="577"/>
      <c r="T336" s="577"/>
      <c r="U336" s="577"/>
      <c r="V336" s="577"/>
      <c r="W336" s="577"/>
      <c r="X336" s="577"/>
      <c r="Y336" s="577"/>
      <c r="Z336" s="577"/>
      <c r="AA336" s="577"/>
      <c r="AB336" s="577"/>
      <c r="AC336" s="577"/>
      <c r="AD336" s="577"/>
      <c r="AE336" s="577"/>
      <c r="AF336" s="6"/>
    </row>
    <row r="337" ht="12.75" customHeight="1">
      <c r="A337" s="595"/>
      <c r="B337" s="596"/>
      <c r="C337" s="596"/>
      <c r="D337" s="596"/>
      <c r="E337" s="596"/>
      <c r="F337" s="596"/>
      <c r="G337" s="596"/>
      <c r="H337" s="596"/>
      <c r="I337" s="596"/>
      <c r="J337" s="577"/>
      <c r="K337" s="577"/>
      <c r="L337" s="577"/>
      <c r="M337" s="577"/>
      <c r="N337" s="577"/>
      <c r="O337" s="577"/>
      <c r="P337" s="577"/>
      <c r="Q337" s="577"/>
      <c r="R337" s="577"/>
      <c r="S337" s="577"/>
      <c r="T337" s="577"/>
      <c r="U337" s="577"/>
      <c r="V337" s="577"/>
      <c r="W337" s="577"/>
      <c r="X337" s="577"/>
      <c r="Y337" s="577"/>
      <c r="Z337" s="577"/>
      <c r="AA337" s="577"/>
      <c r="AB337" s="577"/>
      <c r="AC337" s="577"/>
      <c r="AD337" s="577"/>
      <c r="AE337" s="577"/>
      <c r="AF337" s="6"/>
    </row>
    <row r="338" ht="12.75" customHeight="1">
      <c r="A338" s="595"/>
      <c r="B338" s="596"/>
      <c r="C338" s="596"/>
      <c r="D338" s="596"/>
      <c r="E338" s="596"/>
      <c r="F338" s="596"/>
      <c r="G338" s="596"/>
      <c r="H338" s="596"/>
      <c r="I338" s="596"/>
      <c r="J338" s="577"/>
      <c r="K338" s="577"/>
      <c r="L338" s="577"/>
      <c r="M338" s="577"/>
      <c r="N338" s="577"/>
      <c r="O338" s="577"/>
      <c r="P338" s="577"/>
      <c r="Q338" s="577"/>
      <c r="R338" s="577"/>
      <c r="S338" s="577"/>
      <c r="T338" s="577"/>
      <c r="U338" s="577"/>
      <c r="V338" s="577"/>
      <c r="W338" s="577"/>
      <c r="X338" s="577"/>
      <c r="Y338" s="577"/>
      <c r="Z338" s="577"/>
      <c r="AA338" s="577"/>
      <c r="AB338" s="577"/>
      <c r="AC338" s="577"/>
      <c r="AD338" s="577"/>
      <c r="AE338" s="577"/>
      <c r="AF338" s="6"/>
    </row>
    <row r="339" ht="12.75" customHeight="1">
      <c r="A339" s="595"/>
      <c r="B339" s="596"/>
      <c r="C339" s="596"/>
      <c r="D339" s="596"/>
      <c r="E339" s="596"/>
      <c r="F339" s="596"/>
      <c r="G339" s="596"/>
      <c r="H339" s="596"/>
      <c r="I339" s="596"/>
      <c r="J339" s="577"/>
      <c r="K339" s="577"/>
      <c r="L339" s="577"/>
      <c r="M339" s="577"/>
      <c r="N339" s="577"/>
      <c r="O339" s="577"/>
      <c r="P339" s="577"/>
      <c r="Q339" s="577"/>
      <c r="R339" s="577"/>
      <c r="S339" s="577"/>
      <c r="T339" s="577"/>
      <c r="U339" s="577"/>
      <c r="V339" s="577"/>
      <c r="W339" s="577"/>
      <c r="X339" s="577"/>
      <c r="Y339" s="577"/>
      <c r="Z339" s="577"/>
      <c r="AA339" s="577"/>
      <c r="AB339" s="577"/>
      <c r="AC339" s="577"/>
      <c r="AD339" s="577"/>
      <c r="AE339" s="577"/>
      <c r="AF339" s="6"/>
    </row>
    <row r="340" ht="12.75" customHeight="1">
      <c r="A340" s="595"/>
      <c r="B340" s="596"/>
      <c r="C340" s="596"/>
      <c r="D340" s="596"/>
      <c r="E340" s="596"/>
      <c r="F340" s="596"/>
      <c r="G340" s="596"/>
      <c r="H340" s="596"/>
      <c r="I340" s="596"/>
      <c r="J340" s="577"/>
      <c r="K340" s="577"/>
      <c r="L340" s="577"/>
      <c r="M340" s="577"/>
      <c r="N340" s="577"/>
      <c r="O340" s="577"/>
      <c r="P340" s="577"/>
      <c r="Q340" s="577"/>
      <c r="R340" s="577"/>
      <c r="S340" s="577"/>
      <c r="T340" s="577"/>
      <c r="U340" s="577"/>
      <c r="V340" s="577"/>
      <c r="W340" s="577"/>
      <c r="X340" s="577"/>
      <c r="Y340" s="577"/>
      <c r="Z340" s="577"/>
      <c r="AA340" s="577"/>
      <c r="AB340" s="577"/>
      <c r="AC340" s="577"/>
      <c r="AD340" s="577"/>
      <c r="AE340" s="577"/>
      <c r="AF340" s="6"/>
    </row>
    <row r="341" ht="12.75" customHeight="1">
      <c r="A341" s="595"/>
      <c r="B341" s="596"/>
      <c r="C341" s="596"/>
      <c r="D341" s="596"/>
      <c r="E341" s="596"/>
      <c r="F341" s="596"/>
      <c r="G341" s="596"/>
      <c r="H341" s="596"/>
      <c r="I341" s="596"/>
      <c r="J341" s="577"/>
      <c r="K341" s="577"/>
      <c r="L341" s="577"/>
      <c r="M341" s="577"/>
      <c r="N341" s="577"/>
      <c r="O341" s="577"/>
      <c r="P341" s="577"/>
      <c r="Q341" s="577"/>
      <c r="R341" s="577"/>
      <c r="S341" s="577"/>
      <c r="T341" s="577"/>
      <c r="U341" s="577"/>
      <c r="V341" s="577"/>
      <c r="W341" s="577"/>
      <c r="X341" s="577"/>
      <c r="Y341" s="577"/>
      <c r="Z341" s="577"/>
      <c r="AA341" s="577"/>
      <c r="AB341" s="577"/>
      <c r="AC341" s="577"/>
      <c r="AD341" s="577"/>
      <c r="AE341" s="577"/>
      <c r="AF341" s="6"/>
    </row>
    <row r="342" ht="12.75" customHeight="1">
      <c r="A342" s="595"/>
      <c r="B342" s="596"/>
      <c r="C342" s="596"/>
      <c r="D342" s="596"/>
      <c r="E342" s="596"/>
      <c r="F342" s="596"/>
      <c r="G342" s="596"/>
      <c r="H342" s="596"/>
      <c r="I342" s="596"/>
      <c r="J342" s="577"/>
      <c r="K342" s="577"/>
      <c r="L342" s="577"/>
      <c r="M342" s="577"/>
      <c r="N342" s="577"/>
      <c r="O342" s="577"/>
      <c r="P342" s="577"/>
      <c r="Q342" s="577"/>
      <c r="R342" s="577"/>
      <c r="S342" s="577"/>
      <c r="T342" s="577"/>
      <c r="U342" s="577"/>
      <c r="V342" s="577"/>
      <c r="W342" s="577"/>
      <c r="X342" s="577"/>
      <c r="Y342" s="577"/>
      <c r="Z342" s="577"/>
      <c r="AA342" s="577"/>
      <c r="AB342" s="577"/>
      <c r="AC342" s="577"/>
      <c r="AD342" s="577"/>
      <c r="AE342" s="577"/>
      <c r="AF342" s="6"/>
    </row>
    <row r="343" ht="12.75" customHeight="1">
      <c r="A343" s="595"/>
      <c r="B343" s="596"/>
      <c r="C343" s="596"/>
      <c r="D343" s="596"/>
      <c r="E343" s="596"/>
      <c r="F343" s="596"/>
      <c r="G343" s="596"/>
      <c r="H343" s="596"/>
      <c r="I343" s="596"/>
      <c r="J343" s="577"/>
      <c r="K343" s="577"/>
      <c r="L343" s="577"/>
      <c r="M343" s="577"/>
      <c r="N343" s="577"/>
      <c r="O343" s="577"/>
      <c r="P343" s="577"/>
      <c r="Q343" s="577"/>
      <c r="R343" s="577"/>
      <c r="S343" s="577"/>
      <c r="T343" s="577"/>
      <c r="U343" s="577"/>
      <c r="V343" s="577"/>
      <c r="W343" s="577"/>
      <c r="X343" s="577"/>
      <c r="Y343" s="577"/>
      <c r="Z343" s="577"/>
      <c r="AA343" s="577"/>
      <c r="AB343" s="577"/>
      <c r="AC343" s="577"/>
      <c r="AD343" s="577"/>
      <c r="AE343" s="577"/>
      <c r="AF343" s="6"/>
    </row>
    <row r="344" ht="12.75" customHeight="1">
      <c r="A344" s="595"/>
      <c r="B344" s="596"/>
      <c r="C344" s="596"/>
      <c r="D344" s="596"/>
      <c r="E344" s="596"/>
      <c r="F344" s="596"/>
      <c r="G344" s="596"/>
      <c r="H344" s="596"/>
      <c r="I344" s="596"/>
      <c r="J344" s="577"/>
      <c r="K344" s="577"/>
      <c r="L344" s="577"/>
      <c r="M344" s="577"/>
      <c r="N344" s="577"/>
      <c r="O344" s="577"/>
      <c r="P344" s="577"/>
      <c r="Q344" s="577"/>
      <c r="R344" s="577"/>
      <c r="S344" s="577"/>
      <c r="T344" s="577"/>
      <c r="U344" s="577"/>
      <c r="V344" s="577"/>
      <c r="W344" s="577"/>
      <c r="X344" s="577"/>
      <c r="Y344" s="577"/>
      <c r="Z344" s="577"/>
      <c r="AA344" s="577"/>
      <c r="AB344" s="577"/>
      <c r="AC344" s="577"/>
      <c r="AD344" s="577"/>
      <c r="AE344" s="577"/>
      <c r="AF344" s="6"/>
    </row>
    <row r="345" ht="12.75" customHeight="1">
      <c r="A345" s="595"/>
      <c r="B345" s="596"/>
      <c r="C345" s="596"/>
      <c r="D345" s="596"/>
      <c r="E345" s="596"/>
      <c r="F345" s="596"/>
      <c r="G345" s="596"/>
      <c r="H345" s="596"/>
      <c r="I345" s="596"/>
      <c r="J345" s="577"/>
      <c r="K345" s="577"/>
      <c r="L345" s="577"/>
      <c r="M345" s="577"/>
      <c r="N345" s="577"/>
      <c r="O345" s="577"/>
      <c r="P345" s="577"/>
      <c r="Q345" s="577"/>
      <c r="R345" s="577"/>
      <c r="S345" s="577"/>
      <c r="T345" s="577"/>
      <c r="U345" s="577"/>
      <c r="V345" s="577"/>
      <c r="W345" s="577"/>
      <c r="X345" s="577"/>
      <c r="Y345" s="577"/>
      <c r="Z345" s="577"/>
      <c r="AA345" s="577"/>
      <c r="AB345" s="577"/>
      <c r="AC345" s="577"/>
      <c r="AD345" s="577"/>
      <c r="AE345" s="577"/>
      <c r="AF345" s="6"/>
    </row>
    <row r="346" ht="12.75" customHeight="1">
      <c r="A346" s="595"/>
      <c r="B346" s="596"/>
      <c r="C346" s="596"/>
      <c r="D346" s="596"/>
      <c r="E346" s="596"/>
      <c r="F346" s="596"/>
      <c r="G346" s="596"/>
      <c r="H346" s="596"/>
      <c r="I346" s="596"/>
      <c r="J346" s="577"/>
      <c r="K346" s="577"/>
      <c r="L346" s="577"/>
      <c r="M346" s="577"/>
      <c r="N346" s="577"/>
      <c r="O346" s="577"/>
      <c r="P346" s="577"/>
      <c r="Q346" s="577"/>
      <c r="R346" s="577"/>
      <c r="S346" s="577"/>
      <c r="T346" s="577"/>
      <c r="U346" s="577"/>
      <c r="V346" s="577"/>
      <c r="W346" s="577"/>
      <c r="X346" s="577"/>
      <c r="Y346" s="577"/>
      <c r="Z346" s="577"/>
      <c r="AA346" s="577"/>
      <c r="AB346" s="577"/>
      <c r="AC346" s="577"/>
      <c r="AD346" s="577"/>
      <c r="AE346" s="577"/>
      <c r="AF346" s="6"/>
    </row>
    <row r="347" ht="12.75" customHeight="1">
      <c r="A347" s="595"/>
      <c r="B347" s="596"/>
      <c r="C347" s="596"/>
      <c r="D347" s="596"/>
      <c r="E347" s="596"/>
      <c r="F347" s="596"/>
      <c r="G347" s="596"/>
      <c r="H347" s="596"/>
      <c r="I347" s="596"/>
      <c r="J347" s="577"/>
      <c r="K347" s="577"/>
      <c r="L347" s="577"/>
      <c r="M347" s="577"/>
      <c r="N347" s="577"/>
      <c r="O347" s="577"/>
      <c r="P347" s="577"/>
      <c r="Q347" s="577"/>
      <c r="R347" s="577"/>
      <c r="S347" s="577"/>
      <c r="T347" s="577"/>
      <c r="U347" s="577"/>
      <c r="V347" s="577"/>
      <c r="W347" s="577"/>
      <c r="X347" s="577"/>
      <c r="Y347" s="577"/>
      <c r="Z347" s="577"/>
      <c r="AA347" s="577"/>
      <c r="AB347" s="577"/>
      <c r="AC347" s="577"/>
      <c r="AD347" s="577"/>
      <c r="AE347" s="577"/>
      <c r="AF347" s="6"/>
    </row>
    <row r="348" ht="12.75" customHeight="1">
      <c r="A348" s="595"/>
      <c r="B348" s="596"/>
      <c r="C348" s="596"/>
      <c r="D348" s="596"/>
      <c r="E348" s="596"/>
      <c r="F348" s="596"/>
      <c r="G348" s="596"/>
      <c r="H348" s="596"/>
      <c r="I348" s="596"/>
      <c r="J348" s="577"/>
      <c r="K348" s="577"/>
      <c r="L348" s="577"/>
      <c r="M348" s="577"/>
      <c r="N348" s="577"/>
      <c r="O348" s="577"/>
      <c r="P348" s="577"/>
      <c r="Q348" s="577"/>
      <c r="R348" s="577"/>
      <c r="S348" s="577"/>
      <c r="T348" s="577"/>
      <c r="U348" s="577"/>
      <c r="V348" s="577"/>
      <c r="W348" s="577"/>
      <c r="X348" s="577"/>
      <c r="Y348" s="577"/>
      <c r="Z348" s="577"/>
      <c r="AA348" s="577"/>
      <c r="AB348" s="577"/>
      <c r="AC348" s="577"/>
      <c r="AD348" s="577"/>
      <c r="AE348" s="577"/>
      <c r="AF348" s="6"/>
    </row>
    <row r="349" ht="12.75" customHeight="1">
      <c r="A349" s="595"/>
      <c r="B349" s="596"/>
      <c r="C349" s="596"/>
      <c r="D349" s="596"/>
      <c r="E349" s="596"/>
      <c r="F349" s="596"/>
      <c r="G349" s="596"/>
      <c r="H349" s="596"/>
      <c r="I349" s="596"/>
      <c r="J349" s="577"/>
      <c r="K349" s="577"/>
      <c r="L349" s="577"/>
      <c r="M349" s="577"/>
      <c r="N349" s="577"/>
      <c r="O349" s="577"/>
      <c r="P349" s="577"/>
      <c r="Q349" s="577"/>
      <c r="R349" s="577"/>
      <c r="S349" s="577"/>
      <c r="T349" s="577"/>
      <c r="U349" s="577"/>
      <c r="V349" s="577"/>
      <c r="W349" s="577"/>
      <c r="X349" s="577"/>
      <c r="Y349" s="577"/>
      <c r="Z349" s="577"/>
      <c r="AA349" s="577"/>
      <c r="AB349" s="577"/>
      <c r="AC349" s="577"/>
      <c r="AD349" s="577"/>
      <c r="AE349" s="577"/>
      <c r="AF349" s="6"/>
    </row>
    <row r="350" ht="12.75" customHeight="1">
      <c r="A350" s="595"/>
      <c r="B350" s="596"/>
      <c r="C350" s="596"/>
      <c r="D350" s="596"/>
      <c r="E350" s="596"/>
      <c r="F350" s="596"/>
      <c r="G350" s="596"/>
      <c r="H350" s="596"/>
      <c r="I350" s="596"/>
      <c r="J350" s="577"/>
      <c r="K350" s="577"/>
      <c r="L350" s="577"/>
      <c r="M350" s="577"/>
      <c r="N350" s="577"/>
      <c r="O350" s="577"/>
      <c r="P350" s="577"/>
      <c r="Q350" s="577"/>
      <c r="R350" s="577"/>
      <c r="S350" s="577"/>
      <c r="T350" s="577"/>
      <c r="U350" s="577"/>
      <c r="V350" s="577"/>
      <c r="W350" s="577"/>
      <c r="X350" s="577"/>
      <c r="Y350" s="577"/>
      <c r="Z350" s="577"/>
      <c r="AA350" s="577"/>
      <c r="AB350" s="577"/>
      <c r="AC350" s="577"/>
      <c r="AD350" s="577"/>
      <c r="AE350" s="577"/>
      <c r="AF350" s="6"/>
    </row>
    <row r="351" ht="12.75" customHeight="1">
      <c r="A351" s="595"/>
      <c r="B351" s="596"/>
      <c r="C351" s="596"/>
      <c r="D351" s="596"/>
      <c r="E351" s="596"/>
      <c r="F351" s="596"/>
      <c r="G351" s="596"/>
      <c r="H351" s="596"/>
      <c r="I351" s="596"/>
      <c r="J351" s="577"/>
      <c r="K351" s="577"/>
      <c r="L351" s="577"/>
      <c r="M351" s="577"/>
      <c r="N351" s="577"/>
      <c r="O351" s="577"/>
      <c r="P351" s="577"/>
      <c r="Q351" s="577"/>
      <c r="R351" s="577"/>
      <c r="S351" s="577"/>
      <c r="T351" s="577"/>
      <c r="U351" s="577"/>
      <c r="V351" s="577"/>
      <c r="W351" s="577"/>
      <c r="X351" s="577"/>
      <c r="Y351" s="577"/>
      <c r="Z351" s="577"/>
      <c r="AA351" s="577"/>
      <c r="AB351" s="577"/>
      <c r="AC351" s="577"/>
      <c r="AD351" s="577"/>
      <c r="AE351" s="577"/>
      <c r="AF351" s="6"/>
    </row>
    <row r="352" ht="12.75" customHeight="1">
      <c r="A352" s="595"/>
      <c r="B352" s="596"/>
      <c r="C352" s="596"/>
      <c r="D352" s="596"/>
      <c r="E352" s="596"/>
      <c r="F352" s="596"/>
      <c r="G352" s="596"/>
      <c r="H352" s="596"/>
      <c r="I352" s="596"/>
      <c r="J352" s="577"/>
      <c r="K352" s="577"/>
      <c r="L352" s="577"/>
      <c r="M352" s="577"/>
      <c r="N352" s="577"/>
      <c r="O352" s="577"/>
      <c r="P352" s="577"/>
      <c r="Q352" s="577"/>
      <c r="R352" s="577"/>
      <c r="S352" s="577"/>
      <c r="T352" s="577"/>
      <c r="U352" s="577"/>
      <c r="V352" s="577"/>
      <c r="W352" s="577"/>
      <c r="X352" s="577"/>
      <c r="Y352" s="577"/>
      <c r="Z352" s="577"/>
      <c r="AA352" s="577"/>
      <c r="AB352" s="577"/>
      <c r="AC352" s="577"/>
      <c r="AD352" s="577"/>
      <c r="AE352" s="577"/>
      <c r="AF352" s="6"/>
    </row>
    <row r="353" ht="12.75" customHeight="1">
      <c r="A353" s="595"/>
      <c r="B353" s="596"/>
      <c r="C353" s="596"/>
      <c r="D353" s="596"/>
      <c r="E353" s="596"/>
      <c r="F353" s="596"/>
      <c r="G353" s="596"/>
      <c r="H353" s="596"/>
      <c r="I353" s="596"/>
      <c r="J353" s="577"/>
      <c r="K353" s="577"/>
      <c r="L353" s="577"/>
      <c r="M353" s="577"/>
      <c r="N353" s="577"/>
      <c r="O353" s="577"/>
      <c r="P353" s="577"/>
      <c r="Q353" s="577"/>
      <c r="R353" s="577"/>
      <c r="S353" s="577"/>
      <c r="T353" s="577"/>
      <c r="U353" s="577"/>
      <c r="V353" s="577"/>
      <c r="W353" s="577"/>
      <c r="X353" s="577"/>
      <c r="Y353" s="577"/>
      <c r="Z353" s="577"/>
      <c r="AA353" s="577"/>
      <c r="AB353" s="577"/>
      <c r="AC353" s="577"/>
      <c r="AD353" s="577"/>
      <c r="AE353" s="577"/>
      <c r="AF353" s="6"/>
    </row>
    <row r="354" ht="12.75" customHeight="1">
      <c r="A354" s="595"/>
      <c r="B354" s="596"/>
      <c r="C354" s="596"/>
      <c r="D354" s="596"/>
      <c r="E354" s="596"/>
      <c r="F354" s="596"/>
      <c r="G354" s="596"/>
      <c r="H354" s="596"/>
      <c r="I354" s="596"/>
      <c r="J354" s="577"/>
      <c r="K354" s="577"/>
      <c r="L354" s="577"/>
      <c r="M354" s="577"/>
      <c r="N354" s="577"/>
      <c r="O354" s="577"/>
      <c r="P354" s="577"/>
      <c r="Q354" s="577"/>
      <c r="R354" s="577"/>
      <c r="S354" s="577"/>
      <c r="T354" s="577"/>
      <c r="U354" s="577"/>
      <c r="V354" s="577"/>
      <c r="W354" s="577"/>
      <c r="X354" s="577"/>
      <c r="Y354" s="577"/>
      <c r="Z354" s="577"/>
      <c r="AA354" s="577"/>
      <c r="AB354" s="577"/>
      <c r="AC354" s="577"/>
      <c r="AD354" s="577"/>
      <c r="AE354" s="577"/>
      <c r="AF354" s="6"/>
    </row>
    <row r="355" ht="12.75" customHeight="1">
      <c r="A355" s="595"/>
      <c r="B355" s="596"/>
      <c r="C355" s="596"/>
      <c r="D355" s="596"/>
      <c r="E355" s="596"/>
      <c r="F355" s="596"/>
      <c r="G355" s="596"/>
      <c r="H355" s="596"/>
      <c r="I355" s="596"/>
      <c r="J355" s="577"/>
      <c r="K355" s="577"/>
      <c r="L355" s="577"/>
      <c r="M355" s="577"/>
      <c r="N355" s="577"/>
      <c r="O355" s="577"/>
      <c r="P355" s="577"/>
      <c r="Q355" s="577"/>
      <c r="R355" s="577"/>
      <c r="S355" s="577"/>
      <c r="T355" s="577"/>
      <c r="U355" s="577"/>
      <c r="V355" s="577"/>
      <c r="W355" s="577"/>
      <c r="X355" s="577"/>
      <c r="Y355" s="577"/>
      <c r="Z355" s="577"/>
      <c r="AA355" s="577"/>
      <c r="AB355" s="577"/>
      <c r="AC355" s="577"/>
      <c r="AD355" s="577"/>
      <c r="AE355" s="577"/>
      <c r="AF355" s="6"/>
    </row>
    <row r="356" ht="12.75" customHeight="1">
      <c r="A356" s="595"/>
      <c r="B356" s="596"/>
      <c r="C356" s="596"/>
      <c r="D356" s="596"/>
      <c r="E356" s="596"/>
      <c r="F356" s="596"/>
      <c r="G356" s="596"/>
      <c r="H356" s="596"/>
      <c r="I356" s="596"/>
      <c r="J356" s="577"/>
      <c r="K356" s="577"/>
      <c r="L356" s="577"/>
      <c r="M356" s="577"/>
      <c r="N356" s="577"/>
      <c r="O356" s="577"/>
      <c r="P356" s="577"/>
      <c r="Q356" s="577"/>
      <c r="R356" s="577"/>
      <c r="S356" s="577"/>
      <c r="T356" s="577"/>
      <c r="U356" s="577"/>
      <c r="V356" s="577"/>
      <c r="W356" s="577"/>
      <c r="X356" s="577"/>
      <c r="Y356" s="577"/>
      <c r="Z356" s="577"/>
      <c r="AA356" s="577"/>
      <c r="AB356" s="577"/>
      <c r="AC356" s="577"/>
      <c r="AD356" s="577"/>
      <c r="AE356" s="577"/>
      <c r="AF356" s="6"/>
    </row>
    <row r="357" ht="12.75" customHeight="1">
      <c r="A357" s="595"/>
      <c r="B357" s="596"/>
      <c r="C357" s="596"/>
      <c r="D357" s="596"/>
      <c r="E357" s="596"/>
      <c r="F357" s="596"/>
      <c r="G357" s="596"/>
      <c r="H357" s="596"/>
      <c r="I357" s="596"/>
      <c r="J357" s="577"/>
      <c r="K357" s="577"/>
      <c r="L357" s="577"/>
      <c r="M357" s="577"/>
      <c r="N357" s="577"/>
      <c r="O357" s="577"/>
      <c r="P357" s="577"/>
      <c r="Q357" s="577"/>
      <c r="R357" s="577"/>
      <c r="S357" s="577"/>
      <c r="T357" s="577"/>
      <c r="U357" s="577"/>
      <c r="V357" s="577"/>
      <c r="W357" s="577"/>
      <c r="X357" s="577"/>
      <c r="Y357" s="577"/>
      <c r="Z357" s="577"/>
      <c r="AA357" s="577"/>
      <c r="AB357" s="577"/>
      <c r="AC357" s="577"/>
      <c r="AD357" s="577"/>
      <c r="AE357" s="577"/>
      <c r="AF357" s="6"/>
    </row>
    <row r="358" ht="12.75" customHeight="1">
      <c r="A358" s="595"/>
      <c r="B358" s="596"/>
      <c r="C358" s="596"/>
      <c r="D358" s="596"/>
      <c r="E358" s="596"/>
      <c r="F358" s="596"/>
      <c r="G358" s="596"/>
      <c r="H358" s="596"/>
      <c r="I358" s="596"/>
      <c r="J358" s="577"/>
      <c r="K358" s="577"/>
      <c r="L358" s="577"/>
      <c r="M358" s="577"/>
      <c r="N358" s="577"/>
      <c r="O358" s="577"/>
      <c r="P358" s="577"/>
      <c r="Q358" s="577"/>
      <c r="R358" s="577"/>
      <c r="S358" s="577"/>
      <c r="T358" s="577"/>
      <c r="U358" s="577"/>
      <c r="V358" s="577"/>
      <c r="W358" s="577"/>
      <c r="X358" s="577"/>
      <c r="Y358" s="577"/>
      <c r="Z358" s="577"/>
      <c r="AA358" s="577"/>
      <c r="AB358" s="577"/>
      <c r="AC358" s="577"/>
      <c r="AD358" s="577"/>
      <c r="AE358" s="577"/>
      <c r="AF358" s="6"/>
    </row>
    <row r="359" ht="12.75" customHeight="1">
      <c r="A359" s="595"/>
      <c r="B359" s="596"/>
      <c r="C359" s="596"/>
      <c r="D359" s="596"/>
      <c r="E359" s="596"/>
      <c r="F359" s="596"/>
      <c r="G359" s="596"/>
      <c r="H359" s="596"/>
      <c r="I359" s="596"/>
      <c r="J359" s="577"/>
      <c r="K359" s="577"/>
      <c r="L359" s="577"/>
      <c r="M359" s="577"/>
      <c r="N359" s="577"/>
      <c r="O359" s="577"/>
      <c r="P359" s="577"/>
      <c r="Q359" s="577"/>
      <c r="R359" s="577"/>
      <c r="S359" s="577"/>
      <c r="T359" s="577"/>
      <c r="U359" s="577"/>
      <c r="V359" s="577"/>
      <c r="W359" s="577"/>
      <c r="X359" s="577"/>
      <c r="Y359" s="577"/>
      <c r="Z359" s="577"/>
      <c r="AA359" s="577"/>
      <c r="AB359" s="577"/>
      <c r="AC359" s="577"/>
      <c r="AD359" s="577"/>
      <c r="AE359" s="577"/>
      <c r="AF359" s="6"/>
    </row>
    <row r="360" ht="12.75" customHeight="1">
      <c r="A360" s="595"/>
      <c r="B360" s="596"/>
      <c r="C360" s="596"/>
      <c r="D360" s="596"/>
      <c r="E360" s="596"/>
      <c r="F360" s="596"/>
      <c r="G360" s="596"/>
      <c r="H360" s="596"/>
      <c r="I360" s="596"/>
      <c r="J360" s="577"/>
      <c r="K360" s="577"/>
      <c r="L360" s="577"/>
      <c r="M360" s="577"/>
      <c r="N360" s="577"/>
      <c r="O360" s="577"/>
      <c r="P360" s="577"/>
      <c r="Q360" s="577"/>
      <c r="R360" s="577"/>
      <c r="S360" s="577"/>
      <c r="T360" s="577"/>
      <c r="U360" s="577"/>
      <c r="V360" s="577"/>
      <c r="W360" s="577"/>
      <c r="X360" s="577"/>
      <c r="Y360" s="577"/>
      <c r="Z360" s="577"/>
      <c r="AA360" s="577"/>
      <c r="AB360" s="577"/>
      <c r="AC360" s="577"/>
      <c r="AD360" s="577"/>
      <c r="AE360" s="577"/>
      <c r="AF360" s="6"/>
    </row>
    <row r="361" ht="12.75" customHeight="1">
      <c r="A361" s="595"/>
      <c r="B361" s="596"/>
      <c r="C361" s="596"/>
      <c r="D361" s="596"/>
      <c r="E361" s="596"/>
      <c r="F361" s="596"/>
      <c r="G361" s="596"/>
      <c r="H361" s="596"/>
      <c r="I361" s="596"/>
      <c r="J361" s="577"/>
      <c r="K361" s="577"/>
      <c r="L361" s="577"/>
      <c r="M361" s="577"/>
      <c r="N361" s="577"/>
      <c r="O361" s="577"/>
      <c r="P361" s="577"/>
      <c r="Q361" s="577"/>
      <c r="R361" s="577"/>
      <c r="S361" s="577"/>
      <c r="T361" s="577"/>
      <c r="U361" s="577"/>
      <c r="V361" s="577"/>
      <c r="W361" s="577"/>
      <c r="X361" s="577"/>
      <c r="Y361" s="577"/>
      <c r="Z361" s="577"/>
      <c r="AA361" s="577"/>
      <c r="AB361" s="577"/>
      <c r="AC361" s="577"/>
      <c r="AD361" s="577"/>
      <c r="AE361" s="577"/>
      <c r="AF361" s="6"/>
    </row>
    <row r="362" ht="12.75" customHeight="1">
      <c r="A362" s="595"/>
      <c r="B362" s="596"/>
      <c r="C362" s="596"/>
      <c r="D362" s="596"/>
      <c r="E362" s="596"/>
      <c r="F362" s="596"/>
      <c r="G362" s="596"/>
      <c r="H362" s="596"/>
      <c r="I362" s="596"/>
      <c r="J362" s="577"/>
      <c r="K362" s="577"/>
      <c r="L362" s="577"/>
      <c r="M362" s="577"/>
      <c r="N362" s="577"/>
      <c r="O362" s="577"/>
      <c r="P362" s="577"/>
      <c r="Q362" s="577"/>
      <c r="R362" s="577"/>
      <c r="S362" s="577"/>
      <c r="T362" s="577"/>
      <c r="U362" s="577"/>
      <c r="V362" s="577"/>
      <c r="W362" s="577"/>
      <c r="X362" s="577"/>
      <c r="Y362" s="577"/>
      <c r="Z362" s="577"/>
      <c r="AA362" s="577"/>
      <c r="AB362" s="577"/>
      <c r="AC362" s="577"/>
      <c r="AD362" s="577"/>
      <c r="AE362" s="577"/>
      <c r="AF362" s="6"/>
    </row>
    <row r="363" ht="12.75" customHeight="1">
      <c r="A363" s="595"/>
      <c r="B363" s="596"/>
      <c r="C363" s="596"/>
      <c r="D363" s="596"/>
      <c r="E363" s="596"/>
      <c r="F363" s="596"/>
      <c r="G363" s="596"/>
      <c r="H363" s="596"/>
      <c r="I363" s="596"/>
      <c r="J363" s="577"/>
      <c r="K363" s="577"/>
      <c r="L363" s="577"/>
      <c r="M363" s="577"/>
      <c r="N363" s="577"/>
      <c r="O363" s="577"/>
      <c r="P363" s="577"/>
      <c r="Q363" s="577"/>
      <c r="R363" s="577"/>
      <c r="S363" s="577"/>
      <c r="T363" s="577"/>
      <c r="U363" s="577"/>
      <c r="V363" s="577"/>
      <c r="W363" s="577"/>
      <c r="X363" s="577"/>
      <c r="Y363" s="577"/>
      <c r="Z363" s="577"/>
      <c r="AA363" s="577"/>
      <c r="AB363" s="577"/>
      <c r="AC363" s="577"/>
      <c r="AD363" s="577"/>
      <c r="AE363" s="577"/>
      <c r="AF363" s="6"/>
    </row>
    <row r="364" ht="12.75" customHeight="1">
      <c r="A364" s="595"/>
      <c r="B364" s="596"/>
      <c r="C364" s="596"/>
      <c r="D364" s="596"/>
      <c r="E364" s="596"/>
      <c r="F364" s="596"/>
      <c r="G364" s="596"/>
      <c r="H364" s="596"/>
      <c r="I364" s="596"/>
      <c r="J364" s="577"/>
      <c r="K364" s="577"/>
      <c r="L364" s="577"/>
      <c r="M364" s="577"/>
      <c r="N364" s="577"/>
      <c r="O364" s="577"/>
      <c r="P364" s="577"/>
      <c r="Q364" s="577"/>
      <c r="R364" s="577"/>
      <c r="S364" s="577"/>
      <c r="T364" s="577"/>
      <c r="U364" s="577"/>
      <c r="V364" s="577"/>
      <c r="W364" s="577"/>
      <c r="X364" s="577"/>
      <c r="Y364" s="577"/>
      <c r="Z364" s="577"/>
      <c r="AA364" s="577"/>
      <c r="AB364" s="577"/>
      <c r="AC364" s="577"/>
      <c r="AD364" s="577"/>
      <c r="AE364" s="577"/>
      <c r="AF364" s="6"/>
    </row>
    <row r="365" ht="12.75" customHeight="1">
      <c r="A365" s="595"/>
      <c r="B365" s="596"/>
      <c r="C365" s="596"/>
      <c r="D365" s="596"/>
      <c r="E365" s="596"/>
      <c r="F365" s="596"/>
      <c r="G365" s="596"/>
      <c r="H365" s="596"/>
      <c r="I365" s="596"/>
      <c r="J365" s="577"/>
      <c r="K365" s="577"/>
      <c r="L365" s="577"/>
      <c r="M365" s="577"/>
      <c r="N365" s="577"/>
      <c r="O365" s="577"/>
      <c r="P365" s="577"/>
      <c r="Q365" s="577"/>
      <c r="R365" s="577"/>
      <c r="S365" s="577"/>
      <c r="T365" s="577"/>
      <c r="U365" s="577"/>
      <c r="V365" s="577"/>
      <c r="W365" s="577"/>
      <c r="X365" s="577"/>
      <c r="Y365" s="577"/>
      <c r="Z365" s="577"/>
      <c r="AA365" s="577"/>
      <c r="AB365" s="577"/>
      <c r="AC365" s="577"/>
      <c r="AD365" s="577"/>
      <c r="AE365" s="577"/>
      <c r="AF365" s="6"/>
    </row>
    <row r="366" ht="12.75" customHeight="1">
      <c r="A366" s="595"/>
      <c r="B366" s="596"/>
      <c r="C366" s="596"/>
      <c r="D366" s="596"/>
      <c r="E366" s="596"/>
      <c r="F366" s="596"/>
      <c r="G366" s="596"/>
      <c r="H366" s="596"/>
      <c r="I366" s="596"/>
      <c r="J366" s="577"/>
      <c r="K366" s="577"/>
      <c r="L366" s="577"/>
      <c r="M366" s="577"/>
      <c r="N366" s="577"/>
      <c r="O366" s="577"/>
      <c r="P366" s="577"/>
      <c r="Q366" s="577"/>
      <c r="R366" s="577"/>
      <c r="S366" s="577"/>
      <c r="T366" s="577"/>
      <c r="U366" s="577"/>
      <c r="V366" s="577"/>
      <c r="W366" s="577"/>
      <c r="X366" s="577"/>
      <c r="Y366" s="577"/>
      <c r="Z366" s="577"/>
      <c r="AA366" s="577"/>
      <c r="AB366" s="577"/>
      <c r="AC366" s="577"/>
      <c r="AD366" s="577"/>
      <c r="AE366" s="577"/>
      <c r="AF366" s="6"/>
    </row>
    <row r="367" ht="12.75" customHeight="1">
      <c r="A367" s="595"/>
      <c r="B367" s="596"/>
      <c r="C367" s="596"/>
      <c r="D367" s="596"/>
      <c r="E367" s="596"/>
      <c r="F367" s="596"/>
      <c r="G367" s="596"/>
      <c r="H367" s="596"/>
      <c r="I367" s="596"/>
      <c r="J367" s="577"/>
      <c r="K367" s="577"/>
      <c r="L367" s="577"/>
      <c r="M367" s="577"/>
      <c r="N367" s="577"/>
      <c r="O367" s="577"/>
      <c r="P367" s="577"/>
      <c r="Q367" s="577"/>
      <c r="R367" s="577"/>
      <c r="S367" s="577"/>
      <c r="T367" s="577"/>
      <c r="U367" s="577"/>
      <c r="V367" s="577"/>
      <c r="W367" s="577"/>
      <c r="X367" s="577"/>
      <c r="Y367" s="577"/>
      <c r="Z367" s="577"/>
      <c r="AA367" s="577"/>
      <c r="AB367" s="577"/>
      <c r="AC367" s="577"/>
      <c r="AD367" s="577"/>
      <c r="AE367" s="577"/>
      <c r="AF367" s="6"/>
    </row>
    <row r="368" ht="12.75" customHeight="1">
      <c r="A368" s="595"/>
      <c r="B368" s="596"/>
      <c r="C368" s="596"/>
      <c r="D368" s="596"/>
      <c r="E368" s="596"/>
      <c r="F368" s="596"/>
      <c r="G368" s="596"/>
      <c r="H368" s="596"/>
      <c r="I368" s="596"/>
      <c r="J368" s="577"/>
      <c r="K368" s="577"/>
      <c r="L368" s="577"/>
      <c r="M368" s="577"/>
      <c r="N368" s="577"/>
      <c r="O368" s="577"/>
      <c r="P368" s="577"/>
      <c r="Q368" s="577"/>
      <c r="R368" s="577"/>
      <c r="S368" s="577"/>
      <c r="T368" s="577"/>
      <c r="U368" s="577"/>
      <c r="V368" s="577"/>
      <c r="W368" s="577"/>
      <c r="X368" s="577"/>
      <c r="Y368" s="577"/>
      <c r="Z368" s="577"/>
      <c r="AA368" s="577"/>
      <c r="AB368" s="577"/>
      <c r="AC368" s="577"/>
      <c r="AD368" s="577"/>
      <c r="AE368" s="577"/>
      <c r="AF368" s="6"/>
    </row>
    <row r="369" ht="12.75" customHeight="1">
      <c r="A369" s="595"/>
      <c r="B369" s="596"/>
      <c r="C369" s="596"/>
      <c r="D369" s="596"/>
      <c r="E369" s="596"/>
      <c r="F369" s="596"/>
      <c r="G369" s="596"/>
      <c r="H369" s="596"/>
      <c r="I369" s="596"/>
      <c r="J369" s="577"/>
      <c r="K369" s="577"/>
      <c r="L369" s="577"/>
      <c r="M369" s="577"/>
      <c r="N369" s="577"/>
      <c r="O369" s="577"/>
      <c r="P369" s="577"/>
      <c r="Q369" s="577"/>
      <c r="R369" s="577"/>
      <c r="S369" s="577"/>
      <c r="T369" s="577"/>
      <c r="U369" s="577"/>
      <c r="V369" s="577"/>
      <c r="W369" s="577"/>
      <c r="X369" s="577"/>
      <c r="Y369" s="577"/>
      <c r="Z369" s="577"/>
      <c r="AA369" s="577"/>
      <c r="AB369" s="577"/>
      <c r="AC369" s="577"/>
      <c r="AD369" s="577"/>
      <c r="AE369" s="577"/>
      <c r="AF369" s="6"/>
    </row>
    <row r="370" ht="12.75" customHeight="1">
      <c r="A370" s="595"/>
      <c r="B370" s="596"/>
      <c r="C370" s="596"/>
      <c r="D370" s="596"/>
      <c r="E370" s="596"/>
      <c r="F370" s="596"/>
      <c r="G370" s="596"/>
      <c r="H370" s="596"/>
      <c r="I370" s="596"/>
      <c r="J370" s="577"/>
      <c r="K370" s="577"/>
      <c r="L370" s="577"/>
      <c r="M370" s="577"/>
      <c r="N370" s="577"/>
      <c r="O370" s="577"/>
      <c r="P370" s="577"/>
      <c r="Q370" s="577"/>
      <c r="R370" s="577"/>
      <c r="S370" s="577"/>
      <c r="T370" s="577"/>
      <c r="U370" s="577"/>
      <c r="V370" s="577"/>
      <c r="W370" s="577"/>
      <c r="X370" s="577"/>
      <c r="Y370" s="577"/>
      <c r="Z370" s="577"/>
      <c r="AA370" s="577"/>
      <c r="AB370" s="577"/>
      <c r="AC370" s="577"/>
      <c r="AD370" s="577"/>
      <c r="AE370" s="577"/>
      <c r="AF370" s="6"/>
    </row>
    <row r="371" ht="12.75" customHeight="1">
      <c r="A371" s="595"/>
      <c r="B371" s="596"/>
      <c r="C371" s="596"/>
      <c r="D371" s="596"/>
      <c r="E371" s="596"/>
      <c r="F371" s="596"/>
      <c r="G371" s="596"/>
      <c r="H371" s="596"/>
      <c r="I371" s="596"/>
      <c r="J371" s="577"/>
      <c r="K371" s="577"/>
      <c r="L371" s="577"/>
      <c r="M371" s="577"/>
      <c r="N371" s="577"/>
      <c r="O371" s="577"/>
      <c r="P371" s="577"/>
      <c r="Q371" s="577"/>
      <c r="R371" s="577"/>
      <c r="S371" s="577"/>
      <c r="T371" s="577"/>
      <c r="U371" s="577"/>
      <c r="V371" s="577"/>
      <c r="W371" s="577"/>
      <c r="X371" s="577"/>
      <c r="Y371" s="577"/>
      <c r="Z371" s="577"/>
      <c r="AA371" s="577"/>
      <c r="AB371" s="577"/>
      <c r="AC371" s="577"/>
      <c r="AD371" s="577"/>
      <c r="AE371" s="577"/>
      <c r="AF371" s="6"/>
    </row>
    <row r="372" ht="12.75" customHeight="1">
      <c r="A372" s="595"/>
      <c r="B372" s="596"/>
      <c r="C372" s="596"/>
      <c r="D372" s="596"/>
      <c r="E372" s="596"/>
      <c r="F372" s="596"/>
      <c r="G372" s="596"/>
      <c r="H372" s="596"/>
      <c r="I372" s="596"/>
      <c r="J372" s="577"/>
      <c r="K372" s="577"/>
      <c r="L372" s="577"/>
      <c r="M372" s="577"/>
      <c r="N372" s="577"/>
      <c r="O372" s="577"/>
      <c r="P372" s="577"/>
      <c r="Q372" s="577"/>
      <c r="R372" s="577"/>
      <c r="S372" s="577"/>
      <c r="T372" s="577"/>
      <c r="U372" s="577"/>
      <c r="V372" s="577"/>
      <c r="W372" s="577"/>
      <c r="X372" s="577"/>
      <c r="Y372" s="577"/>
      <c r="Z372" s="577"/>
      <c r="AA372" s="577"/>
      <c r="AB372" s="577"/>
      <c r="AC372" s="577"/>
      <c r="AD372" s="577"/>
      <c r="AE372" s="577"/>
      <c r="AF372" s="6"/>
    </row>
    <row r="373" ht="12.75" customHeight="1">
      <c r="A373" s="595"/>
      <c r="B373" s="596"/>
      <c r="C373" s="596"/>
      <c r="D373" s="596"/>
      <c r="E373" s="596"/>
      <c r="F373" s="596"/>
      <c r="G373" s="596"/>
      <c r="H373" s="596"/>
      <c r="I373" s="596"/>
      <c r="J373" s="577"/>
      <c r="K373" s="577"/>
      <c r="L373" s="577"/>
      <c r="M373" s="577"/>
      <c r="N373" s="577"/>
      <c r="O373" s="577"/>
      <c r="P373" s="577"/>
      <c r="Q373" s="577"/>
      <c r="R373" s="577"/>
      <c r="S373" s="577"/>
      <c r="T373" s="577"/>
      <c r="U373" s="577"/>
      <c r="V373" s="577"/>
      <c r="W373" s="577"/>
      <c r="X373" s="577"/>
      <c r="Y373" s="577"/>
      <c r="Z373" s="577"/>
      <c r="AA373" s="577"/>
      <c r="AB373" s="577"/>
      <c r="AC373" s="577"/>
      <c r="AD373" s="577"/>
      <c r="AE373" s="577"/>
      <c r="AF373" s="6"/>
    </row>
    <row r="374" ht="12.75" customHeight="1">
      <c r="A374" s="595"/>
      <c r="B374" s="596"/>
      <c r="C374" s="596"/>
      <c r="D374" s="596"/>
      <c r="E374" s="596"/>
      <c r="F374" s="596"/>
      <c r="G374" s="596"/>
      <c r="H374" s="596"/>
      <c r="I374" s="596"/>
      <c r="J374" s="577"/>
      <c r="K374" s="577"/>
      <c r="L374" s="577"/>
      <c r="M374" s="577"/>
      <c r="N374" s="577"/>
      <c r="O374" s="577"/>
      <c r="P374" s="577"/>
      <c r="Q374" s="577"/>
      <c r="R374" s="577"/>
      <c r="S374" s="577"/>
      <c r="T374" s="577"/>
      <c r="U374" s="577"/>
      <c r="V374" s="577"/>
      <c r="W374" s="577"/>
      <c r="X374" s="577"/>
      <c r="Y374" s="577"/>
      <c r="Z374" s="577"/>
      <c r="AA374" s="577"/>
      <c r="AB374" s="577"/>
      <c r="AC374" s="577"/>
      <c r="AD374" s="577"/>
      <c r="AE374" s="577"/>
      <c r="AF374" s="6"/>
    </row>
    <row r="375" ht="12.75" customHeight="1">
      <c r="A375" s="595"/>
      <c r="B375" s="596"/>
      <c r="C375" s="596"/>
      <c r="D375" s="596"/>
      <c r="E375" s="596"/>
      <c r="F375" s="596"/>
      <c r="G375" s="596"/>
      <c r="H375" s="596"/>
      <c r="I375" s="596"/>
      <c r="J375" s="577"/>
      <c r="K375" s="577"/>
      <c r="L375" s="577"/>
      <c r="M375" s="577"/>
      <c r="N375" s="577"/>
      <c r="O375" s="577"/>
      <c r="P375" s="577"/>
      <c r="Q375" s="577"/>
      <c r="R375" s="577"/>
      <c r="S375" s="577"/>
      <c r="T375" s="577"/>
      <c r="U375" s="577"/>
      <c r="V375" s="577"/>
      <c r="W375" s="577"/>
      <c r="X375" s="577"/>
      <c r="Y375" s="577"/>
      <c r="Z375" s="577"/>
      <c r="AA375" s="577"/>
      <c r="AB375" s="577"/>
      <c r="AC375" s="577"/>
      <c r="AD375" s="577"/>
      <c r="AE375" s="577"/>
      <c r="AF375" s="6"/>
    </row>
    <row r="376" ht="12.75" customHeight="1">
      <c r="A376" s="595"/>
      <c r="B376" s="596"/>
      <c r="C376" s="596"/>
      <c r="D376" s="596"/>
      <c r="E376" s="596"/>
      <c r="F376" s="596"/>
      <c r="G376" s="596"/>
      <c r="H376" s="596"/>
      <c r="I376" s="596"/>
      <c r="J376" s="577"/>
      <c r="K376" s="577"/>
      <c r="L376" s="577"/>
      <c r="M376" s="577"/>
      <c r="N376" s="577"/>
      <c r="O376" s="577"/>
      <c r="P376" s="577"/>
      <c r="Q376" s="577"/>
      <c r="R376" s="577"/>
      <c r="S376" s="577"/>
      <c r="T376" s="577"/>
      <c r="U376" s="577"/>
      <c r="V376" s="577"/>
      <c r="W376" s="577"/>
      <c r="X376" s="577"/>
      <c r="Y376" s="577"/>
      <c r="Z376" s="577"/>
      <c r="AA376" s="577"/>
      <c r="AB376" s="577"/>
      <c r="AC376" s="577"/>
      <c r="AD376" s="577"/>
      <c r="AE376" s="577"/>
      <c r="AF376" s="6"/>
    </row>
    <row r="377" ht="12.75" customHeight="1">
      <c r="A377" s="595"/>
      <c r="B377" s="596"/>
      <c r="C377" s="596"/>
      <c r="D377" s="596"/>
      <c r="E377" s="596"/>
      <c r="F377" s="596"/>
      <c r="G377" s="596"/>
      <c r="H377" s="596"/>
      <c r="I377" s="596"/>
      <c r="J377" s="577"/>
      <c r="K377" s="577"/>
      <c r="L377" s="577"/>
      <c r="M377" s="577"/>
      <c r="N377" s="577"/>
      <c r="O377" s="577"/>
      <c r="P377" s="577"/>
      <c r="Q377" s="577"/>
      <c r="R377" s="577"/>
      <c r="S377" s="577"/>
      <c r="T377" s="577"/>
      <c r="U377" s="577"/>
      <c r="V377" s="577"/>
      <c r="W377" s="577"/>
      <c r="X377" s="577"/>
      <c r="Y377" s="577"/>
      <c r="Z377" s="577"/>
      <c r="AA377" s="577"/>
      <c r="AB377" s="577"/>
      <c r="AC377" s="577"/>
      <c r="AD377" s="577"/>
      <c r="AE377" s="577"/>
      <c r="AF377" s="6"/>
    </row>
    <row r="378" ht="12.75" customHeight="1">
      <c r="A378" s="595"/>
      <c r="B378" s="596"/>
      <c r="C378" s="596"/>
      <c r="D378" s="596"/>
      <c r="E378" s="596"/>
      <c r="F378" s="596"/>
      <c r="G378" s="596"/>
      <c r="H378" s="596"/>
      <c r="I378" s="596"/>
      <c r="J378" s="577"/>
      <c r="K378" s="577"/>
      <c r="L378" s="577"/>
      <c r="M378" s="577"/>
      <c r="N378" s="577"/>
      <c r="O378" s="577"/>
      <c r="P378" s="577"/>
      <c r="Q378" s="577"/>
      <c r="R378" s="577"/>
      <c r="S378" s="577"/>
      <c r="T378" s="577"/>
      <c r="U378" s="577"/>
      <c r="V378" s="577"/>
      <c r="W378" s="577"/>
      <c r="X378" s="577"/>
      <c r="Y378" s="577"/>
      <c r="Z378" s="577"/>
      <c r="AA378" s="577"/>
      <c r="AB378" s="577"/>
      <c r="AC378" s="577"/>
      <c r="AD378" s="577"/>
      <c r="AE378" s="577"/>
      <c r="AF378" s="6"/>
    </row>
    <row r="379" ht="12.75" customHeight="1">
      <c r="A379" s="595"/>
      <c r="B379" s="596"/>
      <c r="C379" s="596"/>
      <c r="D379" s="596"/>
      <c r="E379" s="596"/>
      <c r="F379" s="596"/>
      <c r="G379" s="596"/>
      <c r="H379" s="596"/>
      <c r="I379" s="596"/>
      <c r="J379" s="577"/>
      <c r="K379" s="577"/>
      <c r="L379" s="577"/>
      <c r="M379" s="577"/>
      <c r="N379" s="577"/>
      <c r="O379" s="577"/>
      <c r="P379" s="577"/>
      <c r="Q379" s="577"/>
      <c r="R379" s="577"/>
      <c r="S379" s="577"/>
      <c r="T379" s="577"/>
      <c r="U379" s="577"/>
      <c r="V379" s="577"/>
      <c r="W379" s="577"/>
      <c r="X379" s="577"/>
      <c r="Y379" s="577"/>
      <c r="Z379" s="577"/>
      <c r="AA379" s="577"/>
      <c r="AB379" s="577"/>
      <c r="AC379" s="577"/>
      <c r="AD379" s="577"/>
      <c r="AE379" s="577"/>
      <c r="AF379" s="6"/>
    </row>
    <row r="380" ht="12.75" customHeight="1">
      <c r="A380" s="595"/>
      <c r="B380" s="596"/>
      <c r="C380" s="596"/>
      <c r="D380" s="596"/>
      <c r="E380" s="596"/>
      <c r="F380" s="596"/>
      <c r="G380" s="596"/>
      <c r="H380" s="596"/>
      <c r="I380" s="596"/>
      <c r="J380" s="577"/>
      <c r="K380" s="577"/>
      <c r="L380" s="577"/>
      <c r="M380" s="577"/>
      <c r="N380" s="577"/>
      <c r="O380" s="577"/>
      <c r="P380" s="577"/>
      <c r="Q380" s="577"/>
      <c r="R380" s="577"/>
      <c r="S380" s="577"/>
      <c r="T380" s="577"/>
      <c r="U380" s="577"/>
      <c r="V380" s="577"/>
      <c r="W380" s="577"/>
      <c r="X380" s="577"/>
      <c r="Y380" s="577"/>
      <c r="Z380" s="577"/>
      <c r="AA380" s="577"/>
      <c r="AB380" s="577"/>
      <c r="AC380" s="577"/>
      <c r="AD380" s="577"/>
      <c r="AE380" s="577"/>
      <c r="AF380" s="6"/>
    </row>
    <row r="381" ht="12.75" customHeight="1">
      <c r="A381" s="595"/>
      <c r="B381" s="596"/>
      <c r="C381" s="596"/>
      <c r="D381" s="596"/>
      <c r="E381" s="596"/>
      <c r="F381" s="596"/>
      <c r="G381" s="596"/>
      <c r="H381" s="596"/>
      <c r="I381" s="596"/>
      <c r="J381" s="577"/>
      <c r="K381" s="577"/>
      <c r="L381" s="577"/>
      <c r="M381" s="577"/>
      <c r="N381" s="577"/>
      <c r="O381" s="577"/>
      <c r="P381" s="577"/>
      <c r="Q381" s="577"/>
      <c r="R381" s="577"/>
      <c r="S381" s="577"/>
      <c r="T381" s="577"/>
      <c r="U381" s="577"/>
      <c r="V381" s="577"/>
      <c r="W381" s="577"/>
      <c r="X381" s="577"/>
      <c r="Y381" s="577"/>
      <c r="Z381" s="577"/>
      <c r="AA381" s="577"/>
      <c r="AB381" s="577"/>
      <c r="AC381" s="577"/>
      <c r="AD381" s="577"/>
      <c r="AE381" s="577"/>
      <c r="AF381" s="6"/>
    </row>
    <row r="382" ht="12.75" customHeight="1">
      <c r="A382" s="595"/>
      <c r="B382" s="596"/>
      <c r="C382" s="596"/>
      <c r="D382" s="596"/>
      <c r="E382" s="596"/>
      <c r="F382" s="596"/>
      <c r="G382" s="596"/>
      <c r="H382" s="596"/>
      <c r="I382" s="596"/>
      <c r="J382" s="577"/>
      <c r="K382" s="577"/>
      <c r="L382" s="577"/>
      <c r="M382" s="577"/>
      <c r="N382" s="577"/>
      <c r="O382" s="577"/>
      <c r="P382" s="577"/>
      <c r="Q382" s="577"/>
      <c r="R382" s="577"/>
      <c r="S382" s="577"/>
      <c r="T382" s="577"/>
      <c r="U382" s="577"/>
      <c r="V382" s="577"/>
      <c r="W382" s="577"/>
      <c r="X382" s="577"/>
      <c r="Y382" s="577"/>
      <c r="Z382" s="577"/>
      <c r="AA382" s="577"/>
      <c r="AB382" s="577"/>
      <c r="AC382" s="577"/>
      <c r="AD382" s="577"/>
      <c r="AE382" s="577"/>
      <c r="AF382" s="6"/>
    </row>
    <row r="383" ht="12.75" customHeight="1">
      <c r="A383" s="595"/>
      <c r="B383" s="596"/>
      <c r="C383" s="596"/>
      <c r="D383" s="596"/>
      <c r="E383" s="596"/>
      <c r="F383" s="596"/>
      <c r="G383" s="596"/>
      <c r="H383" s="596"/>
      <c r="I383" s="596"/>
      <c r="J383" s="577"/>
      <c r="K383" s="577"/>
      <c r="L383" s="577"/>
      <c r="M383" s="577"/>
      <c r="N383" s="577"/>
      <c r="O383" s="577"/>
      <c r="P383" s="577"/>
      <c r="Q383" s="577"/>
      <c r="R383" s="577"/>
      <c r="S383" s="577"/>
      <c r="T383" s="577"/>
      <c r="U383" s="577"/>
      <c r="V383" s="577"/>
      <c r="W383" s="577"/>
      <c r="X383" s="577"/>
      <c r="Y383" s="577"/>
      <c r="Z383" s="577"/>
      <c r="AA383" s="577"/>
      <c r="AB383" s="577"/>
      <c r="AC383" s="577"/>
      <c r="AD383" s="577"/>
      <c r="AE383" s="577"/>
      <c r="AF383" s="6"/>
    </row>
    <row r="384" ht="12.75" customHeight="1">
      <c r="A384" s="595"/>
      <c r="B384" s="596"/>
      <c r="C384" s="596"/>
      <c r="D384" s="596"/>
      <c r="E384" s="596"/>
      <c r="F384" s="596"/>
      <c r="G384" s="596"/>
      <c r="H384" s="596"/>
      <c r="I384" s="596"/>
      <c r="J384" s="577"/>
      <c r="K384" s="577"/>
      <c r="L384" s="577"/>
      <c r="M384" s="577"/>
      <c r="N384" s="577"/>
      <c r="O384" s="577"/>
      <c r="P384" s="577"/>
      <c r="Q384" s="577"/>
      <c r="R384" s="577"/>
      <c r="S384" s="577"/>
      <c r="T384" s="577"/>
      <c r="U384" s="577"/>
      <c r="V384" s="577"/>
      <c r="W384" s="577"/>
      <c r="X384" s="577"/>
      <c r="Y384" s="577"/>
      <c r="Z384" s="577"/>
      <c r="AA384" s="577"/>
      <c r="AB384" s="577"/>
      <c r="AC384" s="577"/>
      <c r="AD384" s="577"/>
      <c r="AE384" s="577"/>
      <c r="AF384" s="6"/>
    </row>
    <row r="385" ht="12.75" customHeight="1">
      <c r="A385" s="595"/>
      <c r="B385" s="596"/>
      <c r="C385" s="596"/>
      <c r="D385" s="596"/>
      <c r="E385" s="596"/>
      <c r="F385" s="596"/>
      <c r="G385" s="596"/>
      <c r="H385" s="596"/>
      <c r="I385" s="596"/>
      <c r="J385" s="577"/>
      <c r="K385" s="577"/>
      <c r="L385" s="577"/>
      <c r="M385" s="577"/>
      <c r="N385" s="577"/>
      <c r="O385" s="577"/>
      <c r="P385" s="577"/>
      <c r="Q385" s="577"/>
      <c r="R385" s="577"/>
      <c r="S385" s="577"/>
      <c r="T385" s="577"/>
      <c r="U385" s="577"/>
      <c r="V385" s="577"/>
      <c r="W385" s="577"/>
      <c r="X385" s="577"/>
      <c r="Y385" s="577"/>
      <c r="Z385" s="577"/>
      <c r="AA385" s="577"/>
      <c r="AB385" s="577"/>
      <c r="AC385" s="577"/>
      <c r="AD385" s="577"/>
      <c r="AE385" s="577"/>
      <c r="AF385" s="6"/>
    </row>
    <row r="386" ht="12.75" customHeight="1">
      <c r="A386" s="595"/>
      <c r="B386" s="596"/>
      <c r="C386" s="596"/>
      <c r="D386" s="596"/>
      <c r="E386" s="596"/>
      <c r="F386" s="596"/>
      <c r="G386" s="596"/>
      <c r="H386" s="596"/>
      <c r="I386" s="596"/>
      <c r="J386" s="577"/>
      <c r="K386" s="577"/>
      <c r="L386" s="577"/>
      <c r="M386" s="577"/>
      <c r="N386" s="577"/>
      <c r="O386" s="577"/>
      <c r="P386" s="577"/>
      <c r="Q386" s="577"/>
      <c r="R386" s="577"/>
      <c r="S386" s="577"/>
      <c r="T386" s="577"/>
      <c r="U386" s="577"/>
      <c r="V386" s="577"/>
      <c r="W386" s="577"/>
      <c r="X386" s="577"/>
      <c r="Y386" s="577"/>
      <c r="Z386" s="577"/>
      <c r="AA386" s="577"/>
      <c r="AB386" s="577"/>
      <c r="AC386" s="577"/>
      <c r="AD386" s="577"/>
      <c r="AE386" s="577"/>
      <c r="AF386" s="6"/>
    </row>
    <row r="387" ht="12.75" customHeight="1">
      <c r="A387" s="595"/>
      <c r="B387" s="596"/>
      <c r="C387" s="596"/>
      <c r="D387" s="596"/>
      <c r="E387" s="596"/>
      <c r="F387" s="596"/>
      <c r="G387" s="596"/>
      <c r="H387" s="596"/>
      <c r="I387" s="596"/>
      <c r="J387" s="577"/>
      <c r="K387" s="577"/>
      <c r="L387" s="577"/>
      <c r="M387" s="577"/>
      <c r="N387" s="577"/>
      <c r="O387" s="577"/>
      <c r="P387" s="577"/>
      <c r="Q387" s="577"/>
      <c r="R387" s="577"/>
      <c r="S387" s="577"/>
      <c r="T387" s="577"/>
      <c r="U387" s="577"/>
      <c r="V387" s="577"/>
      <c r="W387" s="577"/>
      <c r="X387" s="577"/>
      <c r="Y387" s="577"/>
      <c r="Z387" s="577"/>
      <c r="AA387" s="577"/>
      <c r="AB387" s="577"/>
      <c r="AC387" s="577"/>
      <c r="AD387" s="577"/>
      <c r="AE387" s="577"/>
      <c r="AF387" s="6"/>
    </row>
    <row r="388" ht="12.75" customHeight="1">
      <c r="A388" s="595"/>
      <c r="B388" s="596"/>
      <c r="C388" s="596"/>
      <c r="D388" s="596"/>
      <c r="E388" s="596"/>
      <c r="F388" s="596"/>
      <c r="G388" s="596"/>
      <c r="H388" s="596"/>
      <c r="I388" s="596"/>
      <c r="J388" s="577"/>
      <c r="K388" s="577"/>
      <c r="L388" s="577"/>
      <c r="M388" s="577"/>
      <c r="N388" s="577"/>
      <c r="O388" s="577"/>
      <c r="P388" s="577"/>
      <c r="Q388" s="577"/>
      <c r="R388" s="577"/>
      <c r="S388" s="577"/>
      <c r="T388" s="577"/>
      <c r="U388" s="577"/>
      <c r="V388" s="577"/>
      <c r="W388" s="577"/>
      <c r="X388" s="577"/>
      <c r="Y388" s="577"/>
      <c r="Z388" s="577"/>
      <c r="AA388" s="577"/>
      <c r="AB388" s="577"/>
      <c r="AC388" s="577"/>
      <c r="AD388" s="577"/>
      <c r="AE388" s="577"/>
      <c r="AF388" s="6"/>
    </row>
    <row r="389" ht="12.75" customHeight="1">
      <c r="A389" s="595"/>
      <c r="B389" s="596"/>
      <c r="C389" s="596"/>
      <c r="D389" s="596"/>
      <c r="E389" s="596"/>
      <c r="F389" s="596"/>
      <c r="G389" s="596"/>
      <c r="H389" s="596"/>
      <c r="I389" s="596"/>
      <c r="J389" s="577"/>
      <c r="K389" s="577"/>
      <c r="L389" s="577"/>
      <c r="M389" s="577"/>
      <c r="N389" s="577"/>
      <c r="O389" s="577"/>
      <c r="P389" s="577"/>
      <c r="Q389" s="577"/>
      <c r="R389" s="577"/>
      <c r="S389" s="577"/>
      <c r="T389" s="577"/>
      <c r="U389" s="577"/>
      <c r="V389" s="577"/>
      <c r="W389" s="577"/>
      <c r="X389" s="577"/>
      <c r="Y389" s="577"/>
      <c r="Z389" s="577"/>
      <c r="AA389" s="577"/>
      <c r="AB389" s="577"/>
      <c r="AC389" s="577"/>
      <c r="AD389" s="577"/>
      <c r="AE389" s="577"/>
      <c r="AF389" s="6"/>
    </row>
    <row r="390" ht="12.75" customHeight="1">
      <c r="A390" s="595"/>
      <c r="B390" s="596"/>
      <c r="C390" s="596"/>
      <c r="D390" s="596"/>
      <c r="E390" s="596"/>
      <c r="F390" s="596"/>
      <c r="G390" s="596"/>
      <c r="H390" s="596"/>
      <c r="I390" s="596"/>
      <c r="J390" s="577"/>
      <c r="K390" s="577"/>
      <c r="L390" s="577"/>
      <c r="M390" s="577"/>
      <c r="N390" s="577"/>
      <c r="O390" s="577"/>
      <c r="P390" s="577"/>
      <c r="Q390" s="577"/>
      <c r="R390" s="577"/>
      <c r="S390" s="577"/>
      <c r="T390" s="577"/>
      <c r="U390" s="577"/>
      <c r="V390" s="577"/>
      <c r="W390" s="577"/>
      <c r="X390" s="577"/>
      <c r="Y390" s="577"/>
      <c r="Z390" s="577"/>
      <c r="AA390" s="577"/>
      <c r="AB390" s="577"/>
      <c r="AC390" s="577"/>
      <c r="AD390" s="577"/>
      <c r="AE390" s="577"/>
      <c r="AF390" s="6"/>
    </row>
    <row r="391" ht="12.75" customHeight="1">
      <c r="A391" s="595"/>
      <c r="B391" s="596"/>
      <c r="C391" s="596"/>
      <c r="D391" s="596"/>
      <c r="E391" s="596"/>
      <c r="F391" s="596"/>
      <c r="G391" s="596"/>
      <c r="H391" s="596"/>
      <c r="I391" s="596"/>
      <c r="J391" s="577"/>
      <c r="K391" s="577"/>
      <c r="L391" s="577"/>
      <c r="M391" s="577"/>
      <c r="N391" s="577"/>
      <c r="O391" s="577"/>
      <c r="P391" s="577"/>
      <c r="Q391" s="577"/>
      <c r="R391" s="577"/>
      <c r="S391" s="577"/>
      <c r="T391" s="577"/>
      <c r="U391" s="577"/>
      <c r="V391" s="577"/>
      <c r="W391" s="577"/>
      <c r="X391" s="577"/>
      <c r="Y391" s="577"/>
      <c r="Z391" s="577"/>
      <c r="AA391" s="577"/>
      <c r="AB391" s="577"/>
      <c r="AC391" s="577"/>
      <c r="AD391" s="577"/>
      <c r="AE391" s="577"/>
      <c r="AF391" s="6"/>
    </row>
    <row r="392" ht="12.75" customHeight="1">
      <c r="A392" s="595"/>
      <c r="B392" s="596"/>
      <c r="C392" s="596"/>
      <c r="D392" s="596"/>
      <c r="E392" s="596"/>
      <c r="F392" s="596"/>
      <c r="G392" s="596"/>
      <c r="H392" s="596"/>
      <c r="I392" s="596"/>
      <c r="J392" s="577"/>
      <c r="K392" s="577"/>
      <c r="L392" s="577"/>
      <c r="M392" s="577"/>
      <c r="N392" s="577"/>
      <c r="O392" s="577"/>
      <c r="P392" s="577"/>
      <c r="Q392" s="577"/>
      <c r="R392" s="577"/>
      <c r="S392" s="577"/>
      <c r="T392" s="577"/>
      <c r="U392" s="577"/>
      <c r="V392" s="577"/>
      <c r="W392" s="577"/>
      <c r="X392" s="577"/>
      <c r="Y392" s="577"/>
      <c r="Z392" s="577"/>
      <c r="AA392" s="577"/>
      <c r="AB392" s="577"/>
      <c r="AC392" s="577"/>
      <c r="AD392" s="577"/>
      <c r="AE392" s="577"/>
      <c r="AF392" s="6"/>
    </row>
    <row r="393" ht="12.75" customHeight="1">
      <c r="A393" s="595"/>
      <c r="B393" s="596"/>
      <c r="C393" s="596"/>
      <c r="D393" s="596"/>
      <c r="E393" s="596"/>
      <c r="F393" s="596"/>
      <c r="G393" s="596"/>
      <c r="H393" s="596"/>
      <c r="I393" s="596"/>
      <c r="J393" s="577"/>
      <c r="K393" s="577"/>
      <c r="L393" s="577"/>
      <c r="M393" s="577"/>
      <c r="N393" s="577"/>
      <c r="O393" s="577"/>
      <c r="P393" s="577"/>
      <c r="Q393" s="577"/>
      <c r="R393" s="577"/>
      <c r="S393" s="577"/>
      <c r="T393" s="577"/>
      <c r="U393" s="577"/>
      <c r="V393" s="577"/>
      <c r="W393" s="577"/>
      <c r="X393" s="577"/>
      <c r="Y393" s="577"/>
      <c r="Z393" s="577"/>
      <c r="AA393" s="577"/>
      <c r="AB393" s="577"/>
      <c r="AC393" s="577"/>
      <c r="AD393" s="577"/>
      <c r="AE393" s="577"/>
      <c r="AF393" s="6"/>
    </row>
    <row r="394" ht="12.75" customHeight="1">
      <c r="A394" s="595"/>
      <c r="B394" s="596"/>
      <c r="C394" s="596"/>
      <c r="D394" s="596"/>
      <c r="E394" s="596"/>
      <c r="F394" s="596"/>
      <c r="G394" s="596"/>
      <c r="H394" s="596"/>
      <c r="I394" s="596"/>
      <c r="J394" s="577"/>
      <c r="K394" s="577"/>
      <c r="L394" s="577"/>
      <c r="M394" s="577"/>
      <c r="N394" s="577"/>
      <c r="O394" s="577"/>
      <c r="P394" s="577"/>
      <c r="Q394" s="577"/>
      <c r="R394" s="577"/>
      <c r="S394" s="577"/>
      <c r="T394" s="577"/>
      <c r="U394" s="577"/>
      <c r="V394" s="577"/>
      <c r="W394" s="577"/>
      <c r="X394" s="577"/>
      <c r="Y394" s="577"/>
      <c r="Z394" s="577"/>
      <c r="AA394" s="577"/>
      <c r="AB394" s="577"/>
      <c r="AC394" s="577"/>
      <c r="AD394" s="577"/>
      <c r="AE394" s="577"/>
      <c r="AF394" s="6"/>
    </row>
    <row r="395" ht="12.75" customHeight="1">
      <c r="A395" s="595"/>
      <c r="B395" s="596"/>
      <c r="C395" s="596"/>
      <c r="D395" s="596"/>
      <c r="E395" s="596"/>
      <c r="F395" s="596"/>
      <c r="G395" s="596"/>
      <c r="H395" s="596"/>
      <c r="I395" s="596"/>
      <c r="J395" s="577"/>
      <c r="K395" s="577"/>
      <c r="L395" s="577"/>
      <c r="M395" s="577"/>
      <c r="N395" s="577"/>
      <c r="O395" s="577"/>
      <c r="P395" s="577"/>
      <c r="Q395" s="577"/>
      <c r="R395" s="577"/>
      <c r="S395" s="577"/>
      <c r="T395" s="577"/>
      <c r="U395" s="577"/>
      <c r="V395" s="577"/>
      <c r="W395" s="577"/>
      <c r="X395" s="577"/>
      <c r="Y395" s="577"/>
      <c r="Z395" s="577"/>
      <c r="AA395" s="577"/>
      <c r="AB395" s="577"/>
      <c r="AC395" s="577"/>
      <c r="AD395" s="577"/>
      <c r="AE395" s="577"/>
      <c r="AF395" s="6"/>
    </row>
    <row r="396" ht="12.75" customHeight="1">
      <c r="A396" s="595"/>
      <c r="B396" s="596"/>
      <c r="C396" s="596"/>
      <c r="D396" s="596"/>
      <c r="E396" s="596"/>
      <c r="F396" s="596"/>
      <c r="G396" s="596"/>
      <c r="H396" s="596"/>
      <c r="I396" s="596"/>
      <c r="J396" s="577"/>
      <c r="K396" s="577"/>
      <c r="L396" s="577"/>
      <c r="M396" s="577"/>
      <c r="N396" s="577"/>
      <c r="O396" s="577"/>
      <c r="P396" s="577"/>
      <c r="Q396" s="577"/>
      <c r="R396" s="577"/>
      <c r="S396" s="577"/>
      <c r="T396" s="577"/>
      <c r="U396" s="577"/>
      <c r="V396" s="577"/>
      <c r="W396" s="577"/>
      <c r="X396" s="577"/>
      <c r="Y396" s="577"/>
      <c r="Z396" s="577"/>
      <c r="AA396" s="577"/>
      <c r="AB396" s="577"/>
      <c r="AC396" s="577"/>
      <c r="AD396" s="577"/>
      <c r="AE396" s="577"/>
      <c r="AF396" s="6"/>
    </row>
    <row r="397" ht="12.75" customHeight="1">
      <c r="A397" s="595"/>
      <c r="B397" s="596"/>
      <c r="C397" s="596"/>
      <c r="D397" s="596"/>
      <c r="E397" s="596"/>
      <c r="F397" s="596"/>
      <c r="G397" s="596"/>
      <c r="H397" s="596"/>
      <c r="I397" s="596"/>
      <c r="J397" s="577"/>
      <c r="K397" s="577"/>
      <c r="L397" s="577"/>
      <c r="M397" s="577"/>
      <c r="N397" s="577"/>
      <c r="O397" s="577"/>
      <c r="P397" s="577"/>
      <c r="Q397" s="577"/>
      <c r="R397" s="577"/>
      <c r="S397" s="577"/>
      <c r="T397" s="577"/>
      <c r="U397" s="577"/>
      <c r="V397" s="577"/>
      <c r="W397" s="577"/>
      <c r="X397" s="577"/>
      <c r="Y397" s="577"/>
      <c r="Z397" s="577"/>
      <c r="AA397" s="577"/>
      <c r="AB397" s="577"/>
      <c r="AC397" s="577"/>
      <c r="AD397" s="577"/>
      <c r="AE397" s="577"/>
      <c r="AF397" s="6"/>
    </row>
    <row r="398" ht="12.75" customHeight="1">
      <c r="A398" s="595"/>
      <c r="B398" s="596"/>
      <c r="C398" s="596"/>
      <c r="D398" s="596"/>
      <c r="E398" s="596"/>
      <c r="F398" s="596"/>
      <c r="G398" s="596"/>
      <c r="H398" s="596"/>
      <c r="I398" s="596"/>
      <c r="J398" s="577"/>
      <c r="K398" s="577"/>
      <c r="L398" s="577"/>
      <c r="M398" s="577"/>
      <c r="N398" s="577"/>
      <c r="O398" s="577"/>
      <c r="P398" s="577"/>
      <c r="Q398" s="577"/>
      <c r="R398" s="577"/>
      <c r="S398" s="577"/>
      <c r="T398" s="577"/>
      <c r="U398" s="577"/>
      <c r="V398" s="577"/>
      <c r="W398" s="577"/>
      <c r="X398" s="577"/>
      <c r="Y398" s="577"/>
      <c r="Z398" s="577"/>
      <c r="AA398" s="577"/>
      <c r="AB398" s="577"/>
      <c r="AC398" s="577"/>
      <c r="AD398" s="577"/>
      <c r="AE398" s="577"/>
      <c r="AF398" s="6"/>
    </row>
    <row r="399" ht="12.75" customHeight="1">
      <c r="A399" s="595"/>
      <c r="B399" s="596"/>
      <c r="C399" s="596"/>
      <c r="D399" s="596"/>
      <c r="E399" s="596"/>
      <c r="F399" s="596"/>
      <c r="G399" s="596"/>
      <c r="H399" s="596"/>
      <c r="I399" s="596"/>
      <c r="J399" s="577"/>
      <c r="K399" s="577"/>
      <c r="L399" s="577"/>
      <c r="M399" s="577"/>
      <c r="N399" s="577"/>
      <c r="O399" s="577"/>
      <c r="P399" s="577"/>
      <c r="Q399" s="577"/>
      <c r="R399" s="577"/>
      <c r="S399" s="577"/>
      <c r="T399" s="577"/>
      <c r="U399" s="577"/>
      <c r="V399" s="577"/>
      <c r="W399" s="577"/>
      <c r="X399" s="577"/>
      <c r="Y399" s="577"/>
      <c r="Z399" s="577"/>
      <c r="AA399" s="577"/>
      <c r="AB399" s="577"/>
      <c r="AC399" s="577"/>
      <c r="AD399" s="577"/>
      <c r="AE399" s="577"/>
      <c r="AF399" s="6"/>
    </row>
    <row r="400" ht="12.75" customHeight="1">
      <c r="A400" s="595"/>
      <c r="B400" s="596"/>
      <c r="C400" s="596"/>
      <c r="D400" s="596"/>
      <c r="E400" s="596"/>
      <c r="F400" s="596"/>
      <c r="G400" s="596"/>
      <c r="H400" s="596"/>
      <c r="I400" s="596"/>
      <c r="J400" s="577"/>
      <c r="K400" s="577"/>
      <c r="L400" s="577"/>
      <c r="M400" s="577"/>
      <c r="N400" s="577"/>
      <c r="O400" s="577"/>
      <c r="P400" s="577"/>
      <c r="Q400" s="577"/>
      <c r="R400" s="577"/>
      <c r="S400" s="577"/>
      <c r="T400" s="577"/>
      <c r="U400" s="577"/>
      <c r="V400" s="577"/>
      <c r="W400" s="577"/>
      <c r="X400" s="577"/>
      <c r="Y400" s="577"/>
      <c r="Z400" s="577"/>
      <c r="AA400" s="577"/>
      <c r="AB400" s="577"/>
      <c r="AC400" s="577"/>
      <c r="AD400" s="577"/>
      <c r="AE400" s="577"/>
      <c r="AF400" s="6"/>
    </row>
    <row r="401" ht="12.75" customHeight="1">
      <c r="A401" s="595"/>
      <c r="B401" s="596"/>
      <c r="C401" s="596"/>
      <c r="D401" s="596"/>
      <c r="E401" s="596"/>
      <c r="F401" s="596"/>
      <c r="G401" s="596"/>
      <c r="H401" s="596"/>
      <c r="I401" s="596"/>
      <c r="J401" s="577"/>
      <c r="K401" s="577"/>
      <c r="L401" s="577"/>
      <c r="M401" s="577"/>
      <c r="N401" s="577"/>
      <c r="O401" s="577"/>
      <c r="P401" s="577"/>
      <c r="Q401" s="577"/>
      <c r="R401" s="577"/>
      <c r="S401" s="577"/>
      <c r="T401" s="577"/>
      <c r="U401" s="577"/>
      <c r="V401" s="577"/>
      <c r="W401" s="577"/>
      <c r="X401" s="577"/>
      <c r="Y401" s="577"/>
      <c r="Z401" s="577"/>
      <c r="AA401" s="577"/>
      <c r="AB401" s="577"/>
      <c r="AC401" s="577"/>
      <c r="AD401" s="577"/>
      <c r="AE401" s="577"/>
      <c r="AF401" s="6"/>
    </row>
    <row r="402" ht="12.75" customHeight="1">
      <c r="A402" s="595"/>
      <c r="B402" s="596"/>
      <c r="C402" s="596"/>
      <c r="D402" s="596"/>
      <c r="E402" s="596"/>
      <c r="F402" s="596"/>
      <c r="G402" s="596"/>
      <c r="H402" s="596"/>
      <c r="I402" s="596"/>
      <c r="J402" s="577"/>
      <c r="K402" s="577"/>
      <c r="L402" s="577"/>
      <c r="M402" s="577"/>
      <c r="N402" s="577"/>
      <c r="O402" s="577"/>
      <c r="P402" s="577"/>
      <c r="Q402" s="577"/>
      <c r="R402" s="577"/>
      <c r="S402" s="577"/>
      <c r="T402" s="577"/>
      <c r="U402" s="577"/>
      <c r="V402" s="577"/>
      <c r="W402" s="577"/>
      <c r="X402" s="577"/>
      <c r="Y402" s="577"/>
      <c r="Z402" s="577"/>
      <c r="AA402" s="577"/>
      <c r="AB402" s="577"/>
      <c r="AC402" s="577"/>
      <c r="AD402" s="577"/>
      <c r="AE402" s="577"/>
      <c r="AF402" s="6"/>
    </row>
    <row r="403" ht="12.75" customHeight="1">
      <c r="A403" s="595"/>
      <c r="B403" s="596"/>
      <c r="C403" s="596"/>
      <c r="D403" s="596"/>
      <c r="E403" s="596"/>
      <c r="F403" s="596"/>
      <c r="G403" s="596"/>
      <c r="H403" s="596"/>
      <c r="I403" s="596"/>
      <c r="J403" s="577"/>
      <c r="K403" s="577"/>
      <c r="L403" s="577"/>
      <c r="M403" s="577"/>
      <c r="N403" s="577"/>
      <c r="O403" s="577"/>
      <c r="P403" s="577"/>
      <c r="Q403" s="577"/>
      <c r="R403" s="577"/>
      <c r="S403" s="577"/>
      <c r="T403" s="577"/>
      <c r="U403" s="577"/>
      <c r="V403" s="577"/>
      <c r="W403" s="577"/>
      <c r="X403" s="577"/>
      <c r="Y403" s="577"/>
      <c r="Z403" s="577"/>
      <c r="AA403" s="577"/>
      <c r="AB403" s="577"/>
      <c r="AC403" s="577"/>
      <c r="AD403" s="577"/>
      <c r="AE403" s="577"/>
      <c r="AF403" s="6"/>
    </row>
    <row r="404" ht="12.75" customHeight="1">
      <c r="A404" s="595"/>
      <c r="B404" s="596"/>
      <c r="C404" s="596"/>
      <c r="D404" s="596"/>
      <c r="E404" s="596"/>
      <c r="F404" s="596"/>
      <c r="G404" s="596"/>
      <c r="H404" s="596"/>
      <c r="I404" s="596"/>
      <c r="J404" s="577"/>
      <c r="K404" s="577"/>
      <c r="L404" s="577"/>
      <c r="M404" s="577"/>
      <c r="N404" s="577"/>
      <c r="O404" s="577"/>
      <c r="P404" s="577"/>
      <c r="Q404" s="577"/>
      <c r="R404" s="577"/>
      <c r="S404" s="577"/>
      <c r="T404" s="577"/>
      <c r="U404" s="577"/>
      <c r="V404" s="577"/>
      <c r="W404" s="577"/>
      <c r="X404" s="577"/>
      <c r="Y404" s="577"/>
      <c r="Z404" s="577"/>
      <c r="AA404" s="577"/>
      <c r="AB404" s="577"/>
      <c r="AC404" s="577"/>
      <c r="AD404" s="577"/>
      <c r="AE404" s="577"/>
      <c r="AF404" s="6"/>
    </row>
    <row r="405" ht="12.75" customHeight="1">
      <c r="A405" s="595"/>
      <c r="B405" s="596"/>
      <c r="C405" s="596"/>
      <c r="D405" s="596"/>
      <c r="E405" s="596"/>
      <c r="F405" s="596"/>
      <c r="G405" s="596"/>
      <c r="H405" s="596"/>
      <c r="I405" s="596"/>
      <c r="J405" s="577"/>
      <c r="K405" s="577"/>
      <c r="L405" s="577"/>
      <c r="M405" s="577"/>
      <c r="N405" s="577"/>
      <c r="O405" s="577"/>
      <c r="P405" s="577"/>
      <c r="Q405" s="577"/>
      <c r="R405" s="577"/>
      <c r="S405" s="577"/>
      <c r="T405" s="577"/>
      <c r="U405" s="577"/>
      <c r="V405" s="577"/>
      <c r="W405" s="577"/>
      <c r="X405" s="577"/>
      <c r="Y405" s="577"/>
      <c r="Z405" s="577"/>
      <c r="AA405" s="577"/>
      <c r="AB405" s="577"/>
      <c r="AC405" s="577"/>
      <c r="AD405" s="577"/>
      <c r="AE405" s="577"/>
      <c r="AF405" s="6"/>
    </row>
    <row r="406" ht="12.75" customHeight="1">
      <c r="A406" s="595"/>
      <c r="B406" s="596"/>
      <c r="C406" s="596"/>
      <c r="D406" s="596"/>
      <c r="E406" s="596"/>
      <c r="F406" s="596"/>
      <c r="G406" s="596"/>
      <c r="H406" s="596"/>
      <c r="I406" s="596"/>
      <c r="J406" s="577"/>
      <c r="K406" s="577"/>
      <c r="L406" s="577"/>
      <c r="M406" s="577"/>
      <c r="N406" s="577"/>
      <c r="O406" s="577"/>
      <c r="P406" s="577"/>
      <c r="Q406" s="577"/>
      <c r="R406" s="577"/>
      <c r="S406" s="577"/>
      <c r="T406" s="577"/>
      <c r="U406" s="577"/>
      <c r="V406" s="577"/>
      <c r="W406" s="577"/>
      <c r="X406" s="577"/>
      <c r="Y406" s="577"/>
      <c r="Z406" s="577"/>
      <c r="AA406" s="577"/>
      <c r="AB406" s="577"/>
      <c r="AC406" s="577"/>
      <c r="AD406" s="577"/>
      <c r="AE406" s="577"/>
      <c r="AF406" s="6"/>
    </row>
    <row r="407" ht="12.75" customHeight="1">
      <c r="A407" s="595"/>
      <c r="B407" s="596"/>
      <c r="C407" s="596"/>
      <c r="D407" s="596"/>
      <c r="E407" s="596"/>
      <c r="F407" s="596"/>
      <c r="G407" s="596"/>
      <c r="H407" s="596"/>
      <c r="I407" s="596"/>
      <c r="J407" s="577"/>
      <c r="K407" s="577"/>
      <c r="L407" s="577"/>
      <c r="M407" s="577"/>
      <c r="N407" s="577"/>
      <c r="O407" s="577"/>
      <c r="P407" s="577"/>
      <c r="Q407" s="577"/>
      <c r="R407" s="577"/>
      <c r="S407" s="577"/>
      <c r="T407" s="577"/>
      <c r="U407" s="577"/>
      <c r="V407" s="577"/>
      <c r="W407" s="577"/>
      <c r="X407" s="577"/>
      <c r="Y407" s="577"/>
      <c r="Z407" s="577"/>
      <c r="AA407" s="577"/>
      <c r="AB407" s="577"/>
      <c r="AC407" s="577"/>
      <c r="AD407" s="577"/>
      <c r="AE407" s="577"/>
      <c r="AF407" s="6"/>
    </row>
    <row r="408" ht="12.75" customHeight="1">
      <c r="A408" s="595"/>
      <c r="B408" s="596"/>
      <c r="C408" s="596"/>
      <c r="D408" s="596"/>
      <c r="E408" s="596"/>
      <c r="F408" s="596"/>
      <c r="G408" s="596"/>
      <c r="H408" s="596"/>
      <c r="I408" s="596"/>
      <c r="J408" s="577"/>
      <c r="K408" s="577"/>
      <c r="L408" s="577"/>
      <c r="M408" s="577"/>
      <c r="N408" s="577"/>
      <c r="O408" s="577"/>
      <c r="P408" s="577"/>
      <c r="Q408" s="577"/>
      <c r="R408" s="577"/>
      <c r="S408" s="577"/>
      <c r="T408" s="577"/>
      <c r="U408" s="577"/>
      <c r="V408" s="577"/>
      <c r="W408" s="577"/>
      <c r="X408" s="577"/>
      <c r="Y408" s="577"/>
      <c r="Z408" s="577"/>
      <c r="AA408" s="577"/>
      <c r="AB408" s="577"/>
      <c r="AC408" s="577"/>
      <c r="AD408" s="577"/>
      <c r="AE408" s="577"/>
      <c r="AF408" s="6"/>
    </row>
    <row r="409" ht="12.75" customHeight="1">
      <c r="A409" s="595"/>
      <c r="B409" s="596"/>
      <c r="C409" s="596"/>
      <c r="D409" s="596"/>
      <c r="E409" s="596"/>
      <c r="F409" s="596"/>
      <c r="G409" s="596"/>
      <c r="H409" s="596"/>
      <c r="I409" s="596"/>
      <c r="J409" s="577"/>
      <c r="K409" s="577"/>
      <c r="L409" s="577"/>
      <c r="M409" s="577"/>
      <c r="N409" s="577"/>
      <c r="O409" s="577"/>
      <c r="P409" s="577"/>
      <c r="Q409" s="577"/>
      <c r="R409" s="577"/>
      <c r="S409" s="577"/>
      <c r="T409" s="577"/>
      <c r="U409" s="577"/>
      <c r="V409" s="577"/>
      <c r="W409" s="577"/>
      <c r="X409" s="577"/>
      <c r="Y409" s="577"/>
      <c r="Z409" s="577"/>
      <c r="AA409" s="577"/>
      <c r="AB409" s="577"/>
      <c r="AC409" s="577"/>
      <c r="AD409" s="577"/>
      <c r="AE409" s="577"/>
      <c r="AF409" s="6"/>
    </row>
    <row r="410" ht="12.75" customHeight="1">
      <c r="A410" s="595"/>
      <c r="B410" s="596"/>
      <c r="C410" s="596"/>
      <c r="D410" s="596"/>
      <c r="E410" s="596"/>
      <c r="F410" s="596"/>
      <c r="G410" s="596"/>
      <c r="H410" s="596"/>
      <c r="I410" s="596"/>
      <c r="J410" s="577"/>
      <c r="K410" s="577"/>
      <c r="L410" s="577"/>
      <c r="M410" s="577"/>
      <c r="N410" s="577"/>
      <c r="O410" s="577"/>
      <c r="P410" s="577"/>
      <c r="Q410" s="577"/>
      <c r="R410" s="577"/>
      <c r="S410" s="577"/>
      <c r="T410" s="577"/>
      <c r="U410" s="577"/>
      <c r="V410" s="577"/>
      <c r="W410" s="577"/>
      <c r="X410" s="577"/>
      <c r="Y410" s="577"/>
      <c r="Z410" s="577"/>
      <c r="AA410" s="577"/>
      <c r="AB410" s="577"/>
      <c r="AC410" s="577"/>
      <c r="AD410" s="577"/>
      <c r="AE410" s="577"/>
      <c r="AF410" s="6"/>
    </row>
    <row r="411" ht="12.75" customHeight="1">
      <c r="A411" s="595"/>
      <c r="B411" s="596"/>
      <c r="C411" s="596"/>
      <c r="D411" s="596"/>
      <c r="E411" s="596"/>
      <c r="F411" s="596"/>
      <c r="G411" s="596"/>
      <c r="H411" s="596"/>
      <c r="I411" s="596"/>
      <c r="J411" s="577"/>
      <c r="K411" s="577"/>
      <c r="L411" s="577"/>
      <c r="M411" s="577"/>
      <c r="N411" s="577"/>
      <c r="O411" s="577"/>
      <c r="P411" s="577"/>
      <c r="Q411" s="577"/>
      <c r="R411" s="577"/>
      <c r="S411" s="577"/>
      <c r="T411" s="577"/>
      <c r="U411" s="577"/>
      <c r="V411" s="577"/>
      <c r="W411" s="577"/>
      <c r="X411" s="577"/>
      <c r="Y411" s="577"/>
      <c r="Z411" s="577"/>
      <c r="AA411" s="577"/>
      <c r="AB411" s="577"/>
      <c r="AC411" s="577"/>
      <c r="AD411" s="577"/>
      <c r="AE411" s="577"/>
      <c r="AF411" s="6"/>
    </row>
    <row r="412" ht="12.75" customHeight="1">
      <c r="A412" s="595"/>
      <c r="B412" s="596"/>
      <c r="C412" s="596"/>
      <c r="D412" s="596"/>
      <c r="E412" s="596"/>
      <c r="F412" s="596"/>
      <c r="G412" s="596"/>
      <c r="H412" s="596"/>
      <c r="I412" s="596"/>
      <c r="J412" s="577"/>
      <c r="K412" s="577"/>
      <c r="L412" s="577"/>
      <c r="M412" s="577"/>
      <c r="N412" s="577"/>
      <c r="O412" s="577"/>
      <c r="P412" s="577"/>
      <c r="Q412" s="577"/>
      <c r="R412" s="577"/>
      <c r="S412" s="577"/>
      <c r="T412" s="577"/>
      <c r="U412" s="577"/>
      <c r="V412" s="577"/>
      <c r="W412" s="577"/>
      <c r="X412" s="577"/>
      <c r="Y412" s="577"/>
      <c r="Z412" s="577"/>
      <c r="AA412" s="577"/>
      <c r="AB412" s="577"/>
      <c r="AC412" s="577"/>
      <c r="AD412" s="577"/>
      <c r="AE412" s="577"/>
      <c r="AF412" s="6"/>
    </row>
    <row r="413" ht="12.75" customHeight="1">
      <c r="A413" s="595"/>
      <c r="B413" s="596"/>
      <c r="C413" s="596"/>
      <c r="D413" s="596"/>
      <c r="E413" s="596"/>
      <c r="F413" s="596"/>
      <c r="G413" s="596"/>
      <c r="H413" s="596"/>
      <c r="I413" s="596"/>
      <c r="J413" s="577"/>
      <c r="K413" s="577"/>
      <c r="L413" s="577"/>
      <c r="M413" s="577"/>
      <c r="N413" s="577"/>
      <c r="O413" s="577"/>
      <c r="P413" s="577"/>
      <c r="Q413" s="577"/>
      <c r="R413" s="577"/>
      <c r="S413" s="577"/>
      <c r="T413" s="577"/>
      <c r="U413" s="577"/>
      <c r="V413" s="577"/>
      <c r="W413" s="577"/>
      <c r="X413" s="577"/>
      <c r="Y413" s="577"/>
      <c r="Z413" s="577"/>
      <c r="AA413" s="577"/>
      <c r="AB413" s="577"/>
      <c r="AC413" s="577"/>
      <c r="AD413" s="577"/>
      <c r="AE413" s="577"/>
      <c r="AF413" s="6"/>
    </row>
    <row r="414" ht="12.75" customHeight="1">
      <c r="A414" s="595"/>
      <c r="B414" s="596"/>
      <c r="C414" s="596"/>
      <c r="D414" s="596"/>
      <c r="E414" s="596"/>
      <c r="F414" s="596"/>
      <c r="G414" s="596"/>
      <c r="H414" s="596"/>
      <c r="I414" s="596"/>
      <c r="J414" s="577"/>
      <c r="K414" s="577"/>
      <c r="L414" s="577"/>
      <c r="M414" s="577"/>
      <c r="N414" s="577"/>
      <c r="O414" s="577"/>
      <c r="P414" s="577"/>
      <c r="Q414" s="577"/>
      <c r="R414" s="577"/>
      <c r="S414" s="577"/>
      <c r="T414" s="577"/>
      <c r="U414" s="577"/>
      <c r="V414" s="577"/>
      <c r="W414" s="577"/>
      <c r="X414" s="577"/>
      <c r="Y414" s="577"/>
      <c r="Z414" s="577"/>
      <c r="AA414" s="577"/>
      <c r="AB414" s="577"/>
      <c r="AC414" s="577"/>
      <c r="AD414" s="577"/>
      <c r="AE414" s="577"/>
      <c r="AF414" s="6"/>
    </row>
    <row r="415" ht="12.75" customHeight="1">
      <c r="A415" s="595"/>
      <c r="B415" s="596"/>
      <c r="C415" s="596"/>
      <c r="D415" s="596"/>
      <c r="E415" s="596"/>
      <c r="F415" s="596"/>
      <c r="G415" s="596"/>
      <c r="H415" s="596"/>
      <c r="I415" s="596"/>
      <c r="J415" s="577"/>
      <c r="K415" s="577"/>
      <c r="L415" s="577"/>
      <c r="M415" s="577"/>
      <c r="N415" s="577"/>
      <c r="O415" s="577"/>
      <c r="P415" s="577"/>
      <c r="Q415" s="577"/>
      <c r="R415" s="577"/>
      <c r="S415" s="577"/>
      <c r="T415" s="577"/>
      <c r="U415" s="577"/>
      <c r="V415" s="577"/>
      <c r="W415" s="577"/>
      <c r="X415" s="577"/>
      <c r="Y415" s="577"/>
      <c r="Z415" s="577"/>
      <c r="AA415" s="577"/>
      <c r="AB415" s="577"/>
      <c r="AC415" s="577"/>
      <c r="AD415" s="577"/>
      <c r="AE415" s="577"/>
      <c r="AF415" s="6"/>
    </row>
    <row r="416" ht="12.75" customHeight="1">
      <c r="A416" s="595"/>
      <c r="B416" s="596"/>
      <c r="C416" s="596"/>
      <c r="D416" s="596"/>
      <c r="E416" s="596"/>
      <c r="F416" s="596"/>
      <c r="G416" s="596"/>
      <c r="H416" s="596"/>
      <c r="I416" s="596"/>
      <c r="J416" s="577"/>
      <c r="K416" s="577"/>
      <c r="L416" s="577"/>
      <c r="M416" s="577"/>
      <c r="N416" s="577"/>
      <c r="O416" s="577"/>
      <c r="P416" s="577"/>
      <c r="Q416" s="577"/>
      <c r="R416" s="577"/>
      <c r="S416" s="577"/>
      <c r="T416" s="577"/>
      <c r="U416" s="577"/>
      <c r="V416" s="577"/>
      <c r="W416" s="577"/>
      <c r="X416" s="577"/>
      <c r="Y416" s="577"/>
      <c r="Z416" s="577"/>
      <c r="AA416" s="577"/>
      <c r="AB416" s="577"/>
      <c r="AC416" s="577"/>
      <c r="AD416" s="577"/>
      <c r="AE416" s="577"/>
      <c r="AF416" s="6"/>
    </row>
    <row r="417" ht="12.75" customHeight="1">
      <c r="A417" s="595"/>
      <c r="B417" s="596"/>
      <c r="C417" s="596"/>
      <c r="D417" s="596"/>
      <c r="E417" s="596"/>
      <c r="F417" s="596"/>
      <c r="G417" s="596"/>
      <c r="H417" s="596"/>
      <c r="I417" s="596"/>
      <c r="J417" s="577"/>
      <c r="K417" s="577"/>
      <c r="L417" s="577"/>
      <c r="M417" s="577"/>
      <c r="N417" s="577"/>
      <c r="O417" s="577"/>
      <c r="P417" s="577"/>
      <c r="Q417" s="577"/>
      <c r="R417" s="577"/>
      <c r="S417" s="577"/>
      <c r="T417" s="577"/>
      <c r="U417" s="577"/>
      <c r="V417" s="577"/>
      <c r="W417" s="577"/>
      <c r="X417" s="577"/>
      <c r="Y417" s="577"/>
      <c r="Z417" s="577"/>
      <c r="AA417" s="577"/>
      <c r="AB417" s="577"/>
      <c r="AC417" s="577"/>
      <c r="AD417" s="577"/>
      <c r="AE417" s="577"/>
      <c r="AF417" s="6"/>
    </row>
    <row r="418" ht="12.75" customHeight="1">
      <c r="A418" s="595"/>
      <c r="B418" s="596"/>
      <c r="C418" s="596"/>
      <c r="D418" s="596"/>
      <c r="E418" s="596"/>
      <c r="F418" s="596"/>
      <c r="G418" s="596"/>
      <c r="H418" s="596"/>
      <c r="I418" s="596"/>
      <c r="J418" s="577"/>
      <c r="K418" s="577"/>
      <c r="L418" s="577"/>
      <c r="M418" s="577"/>
      <c r="N418" s="577"/>
      <c r="O418" s="577"/>
      <c r="P418" s="577"/>
      <c r="Q418" s="577"/>
      <c r="R418" s="577"/>
      <c r="S418" s="577"/>
      <c r="T418" s="577"/>
      <c r="U418" s="577"/>
      <c r="V418" s="577"/>
      <c r="W418" s="577"/>
      <c r="X418" s="577"/>
      <c r="Y418" s="577"/>
      <c r="Z418" s="577"/>
      <c r="AA418" s="577"/>
      <c r="AB418" s="577"/>
      <c r="AC418" s="577"/>
      <c r="AD418" s="577"/>
      <c r="AE418" s="577"/>
      <c r="AF418" s="6"/>
    </row>
    <row r="419" ht="12.75" customHeight="1">
      <c r="A419" s="595"/>
      <c r="B419" s="596"/>
      <c r="C419" s="596"/>
      <c r="D419" s="596"/>
      <c r="E419" s="596"/>
      <c r="F419" s="596"/>
      <c r="G419" s="596"/>
      <c r="H419" s="596"/>
      <c r="I419" s="596"/>
      <c r="J419" s="577"/>
      <c r="K419" s="577"/>
      <c r="L419" s="577"/>
      <c r="M419" s="577"/>
      <c r="N419" s="577"/>
      <c r="O419" s="577"/>
      <c r="P419" s="577"/>
      <c r="Q419" s="577"/>
      <c r="R419" s="577"/>
      <c r="S419" s="577"/>
      <c r="T419" s="577"/>
      <c r="U419" s="577"/>
      <c r="V419" s="577"/>
      <c r="W419" s="577"/>
      <c r="X419" s="577"/>
      <c r="Y419" s="577"/>
      <c r="Z419" s="577"/>
      <c r="AA419" s="577"/>
      <c r="AB419" s="577"/>
      <c r="AC419" s="577"/>
      <c r="AD419" s="577"/>
      <c r="AE419" s="577"/>
      <c r="AF419" s="6"/>
    </row>
    <row r="420" ht="12.75" customHeight="1">
      <c r="A420" s="595"/>
      <c r="B420" s="596"/>
      <c r="C420" s="596"/>
      <c r="D420" s="596"/>
      <c r="E420" s="596"/>
      <c r="F420" s="596"/>
      <c r="G420" s="596"/>
      <c r="H420" s="596"/>
      <c r="I420" s="596"/>
      <c r="J420" s="577"/>
      <c r="K420" s="577"/>
      <c r="L420" s="577"/>
      <c r="M420" s="577"/>
      <c r="N420" s="577"/>
      <c r="O420" s="577"/>
      <c r="P420" s="577"/>
      <c r="Q420" s="577"/>
      <c r="R420" s="577"/>
      <c r="S420" s="577"/>
      <c r="T420" s="577"/>
      <c r="U420" s="577"/>
      <c r="V420" s="577"/>
      <c r="W420" s="577"/>
      <c r="X420" s="577"/>
      <c r="Y420" s="577"/>
      <c r="Z420" s="577"/>
      <c r="AA420" s="577"/>
      <c r="AB420" s="577"/>
      <c r="AC420" s="577"/>
      <c r="AD420" s="577"/>
      <c r="AE420" s="577"/>
      <c r="AF420" s="6"/>
    </row>
    <row r="421" ht="12.75" customHeight="1">
      <c r="A421" s="595"/>
      <c r="B421" s="596"/>
      <c r="C421" s="596"/>
      <c r="D421" s="596"/>
      <c r="E421" s="596"/>
      <c r="F421" s="596"/>
      <c r="G421" s="596"/>
      <c r="H421" s="596"/>
      <c r="I421" s="596"/>
      <c r="J421" s="577"/>
      <c r="K421" s="577"/>
      <c r="L421" s="577"/>
      <c r="M421" s="577"/>
      <c r="N421" s="577"/>
      <c r="O421" s="577"/>
      <c r="P421" s="577"/>
      <c r="Q421" s="577"/>
      <c r="R421" s="577"/>
      <c r="S421" s="577"/>
      <c r="T421" s="577"/>
      <c r="U421" s="577"/>
      <c r="V421" s="577"/>
      <c r="W421" s="577"/>
      <c r="X421" s="577"/>
      <c r="Y421" s="577"/>
      <c r="Z421" s="577"/>
      <c r="AA421" s="577"/>
      <c r="AB421" s="577"/>
      <c r="AC421" s="577"/>
      <c r="AD421" s="577"/>
      <c r="AE421" s="577"/>
      <c r="AF421" s="6"/>
    </row>
    <row r="422" ht="12.75" customHeight="1">
      <c r="A422" s="595"/>
      <c r="B422" s="596"/>
      <c r="C422" s="596"/>
      <c r="D422" s="596"/>
      <c r="E422" s="596"/>
      <c r="F422" s="596"/>
      <c r="G422" s="596"/>
      <c r="H422" s="596"/>
      <c r="I422" s="596"/>
      <c r="J422" s="577"/>
      <c r="K422" s="577"/>
      <c r="L422" s="577"/>
      <c r="M422" s="577"/>
      <c r="N422" s="577"/>
      <c r="O422" s="577"/>
      <c r="P422" s="577"/>
      <c r="Q422" s="577"/>
      <c r="R422" s="577"/>
      <c r="S422" s="577"/>
      <c r="T422" s="577"/>
      <c r="U422" s="577"/>
      <c r="V422" s="577"/>
      <c r="W422" s="577"/>
      <c r="X422" s="577"/>
      <c r="Y422" s="577"/>
      <c r="Z422" s="577"/>
      <c r="AA422" s="577"/>
      <c r="AB422" s="577"/>
      <c r="AC422" s="577"/>
      <c r="AD422" s="577"/>
      <c r="AE422" s="577"/>
      <c r="AF422" s="6"/>
    </row>
    <row r="423" ht="12.75" customHeight="1">
      <c r="A423" s="595"/>
      <c r="B423" s="596"/>
      <c r="C423" s="596"/>
      <c r="D423" s="596"/>
      <c r="E423" s="596"/>
      <c r="F423" s="596"/>
      <c r="G423" s="596"/>
      <c r="H423" s="596"/>
      <c r="I423" s="596"/>
      <c r="J423" s="577"/>
      <c r="K423" s="577"/>
      <c r="L423" s="577"/>
      <c r="M423" s="577"/>
      <c r="N423" s="577"/>
      <c r="O423" s="577"/>
      <c r="P423" s="577"/>
      <c r="Q423" s="577"/>
      <c r="R423" s="577"/>
      <c r="S423" s="577"/>
      <c r="T423" s="577"/>
      <c r="U423" s="577"/>
      <c r="V423" s="577"/>
      <c r="W423" s="577"/>
      <c r="X423" s="577"/>
      <c r="Y423" s="577"/>
      <c r="Z423" s="577"/>
      <c r="AA423" s="577"/>
      <c r="AB423" s="577"/>
      <c r="AC423" s="577"/>
      <c r="AD423" s="577"/>
      <c r="AE423" s="577"/>
      <c r="AF423" s="6"/>
    </row>
    <row r="424" ht="12.75" customHeight="1">
      <c r="A424" s="595"/>
      <c r="B424" s="596"/>
      <c r="C424" s="596"/>
      <c r="D424" s="596"/>
      <c r="E424" s="596"/>
      <c r="F424" s="596"/>
      <c r="G424" s="596"/>
      <c r="H424" s="596"/>
      <c r="I424" s="596"/>
      <c r="J424" s="577"/>
      <c r="K424" s="577"/>
      <c r="L424" s="577"/>
      <c r="M424" s="577"/>
      <c r="N424" s="577"/>
      <c r="O424" s="577"/>
      <c r="P424" s="577"/>
      <c r="Q424" s="577"/>
      <c r="R424" s="577"/>
      <c r="S424" s="577"/>
      <c r="T424" s="577"/>
      <c r="U424" s="577"/>
      <c r="V424" s="577"/>
      <c r="W424" s="577"/>
      <c r="X424" s="577"/>
      <c r="Y424" s="577"/>
      <c r="Z424" s="577"/>
      <c r="AA424" s="577"/>
      <c r="AB424" s="577"/>
      <c r="AC424" s="577"/>
      <c r="AD424" s="577"/>
      <c r="AE424" s="577"/>
      <c r="AF424" s="6"/>
    </row>
    <row r="425" ht="12.75" customHeight="1">
      <c r="A425" s="595"/>
      <c r="B425" s="596"/>
      <c r="C425" s="596"/>
      <c r="D425" s="596"/>
      <c r="E425" s="596"/>
      <c r="F425" s="596"/>
      <c r="G425" s="596"/>
      <c r="H425" s="596"/>
      <c r="I425" s="596"/>
      <c r="J425" s="577"/>
      <c r="K425" s="577"/>
      <c r="L425" s="577"/>
      <c r="M425" s="577"/>
      <c r="N425" s="577"/>
      <c r="O425" s="577"/>
      <c r="P425" s="577"/>
      <c r="Q425" s="577"/>
      <c r="R425" s="577"/>
      <c r="S425" s="577"/>
      <c r="T425" s="577"/>
      <c r="U425" s="577"/>
      <c r="V425" s="577"/>
      <c r="W425" s="577"/>
      <c r="X425" s="577"/>
      <c r="Y425" s="577"/>
      <c r="Z425" s="577"/>
      <c r="AA425" s="577"/>
      <c r="AB425" s="577"/>
      <c r="AC425" s="577"/>
      <c r="AD425" s="577"/>
      <c r="AE425" s="577"/>
      <c r="AF425" s="6"/>
    </row>
    <row r="426" ht="12.75" customHeight="1">
      <c r="A426" s="595"/>
      <c r="B426" s="596"/>
      <c r="C426" s="596"/>
      <c r="D426" s="596"/>
      <c r="E426" s="596"/>
      <c r="F426" s="596"/>
      <c r="G426" s="596"/>
      <c r="H426" s="596"/>
      <c r="I426" s="596"/>
      <c r="J426" s="577"/>
      <c r="K426" s="577"/>
      <c r="L426" s="577"/>
      <c r="M426" s="577"/>
      <c r="N426" s="577"/>
      <c r="O426" s="577"/>
      <c r="P426" s="577"/>
      <c r="Q426" s="577"/>
      <c r="R426" s="577"/>
      <c r="S426" s="577"/>
      <c r="T426" s="577"/>
      <c r="U426" s="577"/>
      <c r="V426" s="577"/>
      <c r="W426" s="577"/>
      <c r="X426" s="577"/>
      <c r="Y426" s="577"/>
      <c r="Z426" s="577"/>
      <c r="AA426" s="577"/>
      <c r="AB426" s="577"/>
      <c r="AC426" s="577"/>
      <c r="AD426" s="577"/>
      <c r="AE426" s="577"/>
      <c r="AF426" s="6"/>
    </row>
    <row r="427" ht="12.75" customHeight="1">
      <c r="A427" s="595"/>
      <c r="B427" s="596"/>
      <c r="C427" s="596"/>
      <c r="D427" s="596"/>
      <c r="E427" s="596"/>
      <c r="F427" s="596"/>
      <c r="G427" s="596"/>
      <c r="H427" s="596"/>
      <c r="I427" s="596"/>
      <c r="J427" s="577"/>
      <c r="K427" s="577"/>
      <c r="L427" s="577"/>
      <c r="M427" s="577"/>
      <c r="N427" s="577"/>
      <c r="O427" s="577"/>
      <c r="P427" s="577"/>
      <c r="Q427" s="577"/>
      <c r="R427" s="577"/>
      <c r="S427" s="577"/>
      <c r="T427" s="577"/>
      <c r="U427" s="577"/>
      <c r="V427" s="577"/>
      <c r="W427" s="577"/>
      <c r="X427" s="577"/>
      <c r="Y427" s="577"/>
      <c r="Z427" s="577"/>
      <c r="AA427" s="577"/>
      <c r="AB427" s="577"/>
      <c r="AC427" s="577"/>
      <c r="AD427" s="577"/>
      <c r="AE427" s="577"/>
      <c r="AF427" s="6"/>
    </row>
    <row r="428" ht="12.75" customHeight="1">
      <c r="A428" s="595"/>
      <c r="B428" s="596"/>
      <c r="C428" s="596"/>
      <c r="D428" s="596"/>
      <c r="E428" s="596"/>
      <c r="F428" s="596"/>
      <c r="G428" s="596"/>
      <c r="H428" s="596"/>
      <c r="I428" s="596"/>
      <c r="J428" s="577"/>
      <c r="K428" s="577"/>
      <c r="L428" s="577"/>
      <c r="M428" s="577"/>
      <c r="N428" s="577"/>
      <c r="O428" s="577"/>
      <c r="P428" s="577"/>
      <c r="Q428" s="577"/>
      <c r="R428" s="577"/>
      <c r="S428" s="577"/>
      <c r="T428" s="577"/>
      <c r="U428" s="577"/>
      <c r="V428" s="577"/>
      <c r="W428" s="577"/>
      <c r="X428" s="577"/>
      <c r="Y428" s="577"/>
      <c r="Z428" s="577"/>
      <c r="AA428" s="577"/>
      <c r="AB428" s="577"/>
      <c r="AC428" s="577"/>
      <c r="AD428" s="577"/>
      <c r="AE428" s="577"/>
      <c r="AF428" s="6"/>
    </row>
    <row r="429" ht="12.75" customHeight="1">
      <c r="A429" s="595"/>
      <c r="B429" s="596"/>
      <c r="C429" s="596"/>
      <c r="D429" s="596"/>
      <c r="E429" s="596"/>
      <c r="F429" s="596"/>
      <c r="G429" s="596"/>
      <c r="H429" s="596"/>
      <c r="I429" s="596"/>
      <c r="J429" s="577"/>
      <c r="K429" s="577"/>
      <c r="L429" s="577"/>
      <c r="M429" s="577"/>
      <c r="N429" s="577"/>
      <c r="O429" s="577"/>
      <c r="P429" s="577"/>
      <c r="Q429" s="577"/>
      <c r="R429" s="577"/>
      <c r="S429" s="577"/>
      <c r="T429" s="577"/>
      <c r="U429" s="577"/>
      <c r="V429" s="577"/>
      <c r="W429" s="577"/>
      <c r="X429" s="577"/>
      <c r="Y429" s="577"/>
      <c r="Z429" s="577"/>
      <c r="AA429" s="577"/>
      <c r="AB429" s="577"/>
      <c r="AC429" s="577"/>
      <c r="AD429" s="577"/>
      <c r="AE429" s="577"/>
      <c r="AF429" s="6"/>
    </row>
    <row r="430" ht="12.75" customHeight="1">
      <c r="A430" s="595"/>
      <c r="B430" s="596"/>
      <c r="C430" s="596"/>
      <c r="D430" s="596"/>
      <c r="E430" s="596"/>
      <c r="F430" s="596"/>
      <c r="G430" s="596"/>
      <c r="H430" s="596"/>
      <c r="I430" s="596"/>
      <c r="J430" s="577"/>
      <c r="K430" s="577"/>
      <c r="L430" s="577"/>
      <c r="M430" s="577"/>
      <c r="N430" s="577"/>
      <c r="O430" s="577"/>
      <c r="P430" s="577"/>
      <c r="Q430" s="577"/>
      <c r="R430" s="577"/>
      <c r="S430" s="577"/>
      <c r="T430" s="577"/>
      <c r="U430" s="577"/>
      <c r="V430" s="577"/>
      <c r="W430" s="577"/>
      <c r="X430" s="577"/>
      <c r="Y430" s="577"/>
      <c r="Z430" s="577"/>
      <c r="AA430" s="577"/>
      <c r="AB430" s="577"/>
      <c r="AC430" s="577"/>
      <c r="AD430" s="577"/>
      <c r="AE430" s="577"/>
      <c r="AF430" s="6"/>
    </row>
    <row r="431" ht="12.75" customHeight="1">
      <c r="A431" s="595"/>
      <c r="B431" s="596"/>
      <c r="C431" s="596"/>
      <c r="D431" s="596"/>
      <c r="E431" s="596"/>
      <c r="F431" s="596"/>
      <c r="G431" s="596"/>
      <c r="H431" s="596"/>
      <c r="I431" s="596"/>
      <c r="J431" s="577"/>
      <c r="K431" s="577"/>
      <c r="L431" s="577"/>
      <c r="M431" s="577"/>
      <c r="N431" s="577"/>
      <c r="O431" s="577"/>
      <c r="P431" s="577"/>
      <c r="Q431" s="577"/>
      <c r="R431" s="577"/>
      <c r="S431" s="577"/>
      <c r="T431" s="577"/>
      <c r="U431" s="577"/>
      <c r="V431" s="577"/>
      <c r="W431" s="577"/>
      <c r="X431" s="577"/>
      <c r="Y431" s="577"/>
      <c r="Z431" s="577"/>
      <c r="AA431" s="577"/>
      <c r="AB431" s="577"/>
      <c r="AC431" s="577"/>
      <c r="AD431" s="577"/>
      <c r="AE431" s="577"/>
      <c r="AF431" s="6"/>
    </row>
    <row r="432" ht="12.75" customHeight="1">
      <c r="A432" s="595"/>
      <c r="B432" s="596"/>
      <c r="C432" s="596"/>
      <c r="D432" s="596"/>
      <c r="E432" s="596"/>
      <c r="F432" s="596"/>
      <c r="G432" s="596"/>
      <c r="H432" s="596"/>
      <c r="I432" s="596"/>
      <c r="J432" s="577"/>
      <c r="K432" s="577"/>
      <c r="L432" s="577"/>
      <c r="M432" s="577"/>
      <c r="N432" s="577"/>
      <c r="O432" s="577"/>
      <c r="P432" s="577"/>
      <c r="Q432" s="577"/>
      <c r="R432" s="577"/>
      <c r="S432" s="577"/>
      <c r="T432" s="577"/>
      <c r="U432" s="577"/>
      <c r="V432" s="577"/>
      <c r="W432" s="577"/>
      <c r="X432" s="577"/>
      <c r="Y432" s="577"/>
      <c r="Z432" s="577"/>
      <c r="AA432" s="577"/>
      <c r="AB432" s="577"/>
      <c r="AC432" s="577"/>
      <c r="AD432" s="577"/>
      <c r="AE432" s="577"/>
      <c r="AF432" s="6"/>
    </row>
    <row r="433" ht="12.75" customHeight="1">
      <c r="A433" s="595"/>
      <c r="B433" s="596"/>
      <c r="C433" s="596"/>
      <c r="D433" s="596"/>
      <c r="E433" s="596"/>
      <c r="F433" s="596"/>
      <c r="G433" s="596"/>
      <c r="H433" s="596"/>
      <c r="I433" s="596"/>
      <c r="J433" s="577"/>
      <c r="K433" s="577"/>
      <c r="L433" s="577"/>
      <c r="M433" s="577"/>
      <c r="N433" s="577"/>
      <c r="O433" s="577"/>
      <c r="P433" s="577"/>
      <c r="Q433" s="577"/>
      <c r="R433" s="577"/>
      <c r="S433" s="577"/>
      <c r="T433" s="577"/>
      <c r="U433" s="577"/>
      <c r="V433" s="577"/>
      <c r="W433" s="577"/>
      <c r="X433" s="577"/>
      <c r="Y433" s="577"/>
      <c r="Z433" s="577"/>
      <c r="AA433" s="577"/>
      <c r="AB433" s="577"/>
      <c r="AC433" s="577"/>
      <c r="AD433" s="577"/>
      <c r="AE433" s="577"/>
      <c r="AF433" s="6"/>
    </row>
    <row r="434" ht="12.75" customHeight="1">
      <c r="A434" s="595"/>
      <c r="B434" s="596"/>
      <c r="C434" s="596"/>
      <c r="D434" s="596"/>
      <c r="E434" s="596"/>
      <c r="F434" s="596"/>
      <c r="G434" s="596"/>
      <c r="H434" s="596"/>
      <c r="I434" s="596"/>
      <c r="J434" s="577"/>
      <c r="K434" s="577"/>
      <c r="L434" s="577"/>
      <c r="M434" s="577"/>
      <c r="N434" s="577"/>
      <c r="O434" s="577"/>
      <c r="P434" s="577"/>
      <c r="Q434" s="577"/>
      <c r="R434" s="577"/>
      <c r="S434" s="577"/>
      <c r="T434" s="577"/>
      <c r="U434" s="577"/>
      <c r="V434" s="577"/>
      <c r="W434" s="577"/>
      <c r="X434" s="577"/>
      <c r="Y434" s="577"/>
      <c r="Z434" s="577"/>
      <c r="AA434" s="577"/>
      <c r="AB434" s="577"/>
      <c r="AC434" s="577"/>
      <c r="AD434" s="577"/>
      <c r="AE434" s="577"/>
      <c r="AF434" s="6"/>
    </row>
    <row r="435" ht="12.75" customHeight="1">
      <c r="A435" s="595"/>
      <c r="B435" s="596"/>
      <c r="C435" s="596"/>
      <c r="D435" s="596"/>
      <c r="E435" s="596"/>
      <c r="F435" s="596"/>
      <c r="G435" s="596"/>
      <c r="H435" s="596"/>
      <c r="I435" s="596"/>
      <c r="J435" s="577"/>
      <c r="K435" s="577"/>
      <c r="L435" s="577"/>
      <c r="M435" s="577"/>
      <c r="N435" s="577"/>
      <c r="O435" s="577"/>
      <c r="P435" s="577"/>
      <c r="Q435" s="577"/>
      <c r="R435" s="577"/>
      <c r="S435" s="577"/>
      <c r="T435" s="577"/>
      <c r="U435" s="577"/>
      <c r="V435" s="577"/>
      <c r="W435" s="577"/>
      <c r="X435" s="577"/>
      <c r="Y435" s="577"/>
      <c r="Z435" s="577"/>
      <c r="AA435" s="577"/>
      <c r="AB435" s="577"/>
      <c r="AC435" s="577"/>
      <c r="AD435" s="577"/>
      <c r="AE435" s="577"/>
      <c r="AF435" s="6"/>
    </row>
    <row r="436" ht="12.75" customHeight="1">
      <c r="A436" s="595"/>
      <c r="B436" s="596"/>
      <c r="C436" s="596"/>
      <c r="D436" s="596"/>
      <c r="E436" s="596"/>
      <c r="F436" s="596"/>
      <c r="G436" s="596"/>
      <c r="H436" s="596"/>
      <c r="I436" s="596"/>
      <c r="J436" s="577"/>
      <c r="K436" s="577"/>
      <c r="L436" s="577"/>
      <c r="M436" s="577"/>
      <c r="N436" s="577"/>
      <c r="O436" s="577"/>
      <c r="P436" s="577"/>
      <c r="Q436" s="577"/>
      <c r="R436" s="577"/>
      <c r="S436" s="577"/>
      <c r="T436" s="577"/>
      <c r="U436" s="577"/>
      <c r="V436" s="577"/>
      <c r="W436" s="577"/>
      <c r="X436" s="577"/>
      <c r="Y436" s="577"/>
      <c r="Z436" s="577"/>
      <c r="AA436" s="577"/>
      <c r="AB436" s="577"/>
      <c r="AC436" s="577"/>
      <c r="AD436" s="577"/>
      <c r="AE436" s="577"/>
      <c r="AF436" s="6"/>
    </row>
    <row r="437" ht="12.75" customHeight="1">
      <c r="A437" s="595"/>
      <c r="B437" s="596"/>
      <c r="C437" s="596"/>
      <c r="D437" s="596"/>
      <c r="E437" s="596"/>
      <c r="F437" s="596"/>
      <c r="G437" s="596"/>
      <c r="H437" s="596"/>
      <c r="I437" s="596"/>
      <c r="J437" s="577"/>
      <c r="K437" s="577"/>
      <c r="L437" s="577"/>
      <c r="M437" s="577"/>
      <c r="N437" s="577"/>
      <c r="O437" s="577"/>
      <c r="P437" s="577"/>
      <c r="Q437" s="577"/>
      <c r="R437" s="577"/>
      <c r="S437" s="577"/>
      <c r="T437" s="577"/>
      <c r="U437" s="577"/>
      <c r="V437" s="577"/>
      <c r="W437" s="577"/>
      <c r="X437" s="577"/>
      <c r="Y437" s="577"/>
      <c r="Z437" s="577"/>
      <c r="AA437" s="577"/>
      <c r="AB437" s="577"/>
      <c r="AC437" s="577"/>
      <c r="AD437" s="577"/>
      <c r="AE437" s="577"/>
      <c r="AF437" s="6"/>
    </row>
    <row r="438" ht="12.75" customHeight="1">
      <c r="A438" s="595"/>
      <c r="B438" s="596"/>
      <c r="C438" s="596"/>
      <c r="D438" s="596"/>
      <c r="E438" s="596"/>
      <c r="F438" s="596"/>
      <c r="G438" s="596"/>
      <c r="H438" s="596"/>
      <c r="I438" s="596"/>
      <c r="J438" s="577"/>
      <c r="K438" s="577"/>
      <c r="L438" s="577"/>
      <c r="M438" s="577"/>
      <c r="N438" s="577"/>
      <c r="O438" s="577"/>
      <c r="P438" s="577"/>
      <c r="Q438" s="577"/>
      <c r="R438" s="577"/>
      <c r="S438" s="577"/>
      <c r="T438" s="577"/>
      <c r="U438" s="577"/>
      <c r="V438" s="577"/>
      <c r="W438" s="577"/>
      <c r="X438" s="577"/>
      <c r="Y438" s="577"/>
      <c r="Z438" s="577"/>
      <c r="AA438" s="577"/>
      <c r="AB438" s="577"/>
      <c r="AC438" s="577"/>
      <c r="AD438" s="577"/>
      <c r="AE438" s="577"/>
      <c r="AF438" s="6"/>
    </row>
    <row r="439" ht="12.75" customHeight="1">
      <c r="A439" s="595"/>
      <c r="B439" s="596"/>
      <c r="C439" s="596"/>
      <c r="D439" s="596"/>
      <c r="E439" s="596"/>
      <c r="F439" s="596"/>
      <c r="G439" s="596"/>
      <c r="H439" s="596"/>
      <c r="I439" s="596"/>
      <c r="J439" s="577"/>
      <c r="K439" s="577"/>
      <c r="L439" s="577"/>
      <c r="M439" s="577"/>
      <c r="N439" s="577"/>
      <c r="O439" s="577"/>
      <c r="P439" s="577"/>
      <c r="Q439" s="577"/>
      <c r="R439" s="577"/>
      <c r="S439" s="577"/>
      <c r="T439" s="577"/>
      <c r="U439" s="577"/>
      <c r="V439" s="577"/>
      <c r="W439" s="577"/>
      <c r="X439" s="577"/>
      <c r="Y439" s="577"/>
      <c r="Z439" s="577"/>
      <c r="AA439" s="577"/>
      <c r="AB439" s="577"/>
      <c r="AC439" s="577"/>
      <c r="AD439" s="577"/>
      <c r="AE439" s="577"/>
      <c r="AF439" s="6"/>
    </row>
    <row r="440" ht="12.75" customHeight="1">
      <c r="A440" s="595"/>
      <c r="B440" s="596"/>
      <c r="C440" s="596"/>
      <c r="D440" s="596"/>
      <c r="E440" s="596"/>
      <c r="F440" s="596"/>
      <c r="G440" s="596"/>
      <c r="H440" s="596"/>
      <c r="I440" s="596"/>
      <c r="J440" s="577"/>
      <c r="K440" s="577"/>
      <c r="L440" s="577"/>
      <c r="M440" s="577"/>
      <c r="N440" s="577"/>
      <c r="O440" s="577"/>
      <c r="P440" s="577"/>
      <c r="Q440" s="577"/>
      <c r="R440" s="577"/>
      <c r="S440" s="577"/>
      <c r="T440" s="577"/>
      <c r="U440" s="577"/>
      <c r="V440" s="577"/>
      <c r="W440" s="577"/>
      <c r="X440" s="577"/>
      <c r="Y440" s="577"/>
      <c r="Z440" s="577"/>
      <c r="AA440" s="577"/>
      <c r="AB440" s="577"/>
      <c r="AC440" s="577"/>
      <c r="AD440" s="577"/>
      <c r="AE440" s="577"/>
      <c r="AF440" s="6"/>
    </row>
    <row r="441" ht="12.75" customHeight="1">
      <c r="A441" s="595"/>
      <c r="B441" s="596"/>
      <c r="C441" s="596"/>
      <c r="D441" s="596"/>
      <c r="E441" s="596"/>
      <c r="F441" s="596"/>
      <c r="G441" s="596"/>
      <c r="H441" s="596"/>
      <c r="I441" s="596"/>
      <c r="J441" s="577"/>
      <c r="K441" s="577"/>
      <c r="L441" s="577"/>
      <c r="M441" s="577"/>
      <c r="N441" s="577"/>
      <c r="O441" s="577"/>
      <c r="P441" s="577"/>
      <c r="Q441" s="577"/>
      <c r="R441" s="577"/>
      <c r="S441" s="577"/>
      <c r="T441" s="577"/>
      <c r="U441" s="577"/>
      <c r="V441" s="577"/>
      <c r="W441" s="577"/>
      <c r="X441" s="577"/>
      <c r="Y441" s="577"/>
      <c r="Z441" s="577"/>
      <c r="AA441" s="577"/>
      <c r="AB441" s="577"/>
      <c r="AC441" s="577"/>
      <c r="AD441" s="577"/>
      <c r="AE441" s="577"/>
      <c r="AF441" s="6"/>
    </row>
    <row r="442" ht="12.75" customHeight="1">
      <c r="A442" s="595"/>
      <c r="B442" s="596"/>
      <c r="C442" s="596"/>
      <c r="D442" s="596"/>
      <c r="E442" s="596"/>
      <c r="F442" s="596"/>
      <c r="G442" s="596"/>
      <c r="H442" s="596"/>
      <c r="I442" s="596"/>
      <c r="J442" s="577"/>
      <c r="K442" s="577"/>
      <c r="L442" s="577"/>
      <c r="M442" s="577"/>
      <c r="N442" s="577"/>
      <c r="O442" s="577"/>
      <c r="P442" s="577"/>
      <c r="Q442" s="577"/>
      <c r="R442" s="577"/>
      <c r="S442" s="577"/>
      <c r="T442" s="577"/>
      <c r="U442" s="577"/>
      <c r="V442" s="577"/>
      <c r="W442" s="577"/>
      <c r="X442" s="577"/>
      <c r="Y442" s="577"/>
      <c r="Z442" s="577"/>
      <c r="AA442" s="577"/>
      <c r="AB442" s="577"/>
      <c r="AC442" s="577"/>
      <c r="AD442" s="577"/>
      <c r="AE442" s="577"/>
      <c r="AF442" s="6"/>
    </row>
    <row r="443" ht="12.75" customHeight="1">
      <c r="A443" s="595"/>
      <c r="B443" s="596"/>
      <c r="C443" s="596"/>
      <c r="D443" s="596"/>
      <c r="E443" s="596"/>
      <c r="F443" s="596"/>
      <c r="G443" s="596"/>
      <c r="H443" s="596"/>
      <c r="I443" s="596"/>
      <c r="J443" s="577"/>
      <c r="K443" s="577"/>
      <c r="L443" s="577"/>
      <c r="M443" s="577"/>
      <c r="N443" s="577"/>
      <c r="O443" s="577"/>
      <c r="P443" s="577"/>
      <c r="Q443" s="577"/>
      <c r="R443" s="577"/>
      <c r="S443" s="577"/>
      <c r="T443" s="577"/>
      <c r="U443" s="577"/>
      <c r="V443" s="577"/>
      <c r="W443" s="577"/>
      <c r="X443" s="577"/>
      <c r="Y443" s="577"/>
      <c r="Z443" s="577"/>
      <c r="AA443" s="577"/>
      <c r="AB443" s="577"/>
      <c r="AC443" s="577"/>
      <c r="AD443" s="577"/>
      <c r="AE443" s="577"/>
      <c r="AF443" s="6"/>
    </row>
    <row r="444" ht="12.75" customHeight="1">
      <c r="A444" s="595"/>
      <c r="B444" s="596"/>
      <c r="C444" s="596"/>
      <c r="D444" s="596"/>
      <c r="E444" s="596"/>
      <c r="F444" s="596"/>
      <c r="G444" s="596"/>
      <c r="H444" s="596"/>
      <c r="I444" s="596"/>
      <c r="J444" s="577"/>
      <c r="K444" s="577"/>
      <c r="L444" s="577"/>
      <c r="M444" s="577"/>
      <c r="N444" s="577"/>
      <c r="O444" s="577"/>
      <c r="P444" s="577"/>
      <c r="Q444" s="577"/>
      <c r="R444" s="577"/>
      <c r="S444" s="577"/>
      <c r="T444" s="577"/>
      <c r="U444" s="577"/>
      <c r="V444" s="577"/>
      <c r="W444" s="577"/>
      <c r="X444" s="577"/>
      <c r="Y444" s="577"/>
      <c r="Z444" s="577"/>
      <c r="AA444" s="577"/>
      <c r="AB444" s="577"/>
      <c r="AC444" s="577"/>
      <c r="AD444" s="577"/>
      <c r="AE444" s="577"/>
      <c r="AF444" s="6"/>
    </row>
    <row r="445" ht="12.75" customHeight="1">
      <c r="A445" s="595"/>
      <c r="B445" s="596"/>
      <c r="C445" s="596"/>
      <c r="D445" s="596"/>
      <c r="E445" s="596"/>
      <c r="F445" s="596"/>
      <c r="G445" s="596"/>
      <c r="H445" s="596"/>
      <c r="I445" s="596"/>
      <c r="J445" s="577"/>
      <c r="K445" s="577"/>
      <c r="L445" s="577"/>
      <c r="M445" s="577"/>
      <c r="N445" s="577"/>
      <c r="O445" s="577"/>
      <c r="P445" s="577"/>
      <c r="Q445" s="577"/>
      <c r="R445" s="577"/>
      <c r="S445" s="577"/>
      <c r="T445" s="577"/>
      <c r="U445" s="577"/>
      <c r="V445" s="577"/>
      <c r="W445" s="577"/>
      <c r="X445" s="577"/>
      <c r="Y445" s="577"/>
      <c r="Z445" s="577"/>
      <c r="AA445" s="577"/>
      <c r="AB445" s="577"/>
      <c r="AC445" s="577"/>
      <c r="AD445" s="577"/>
      <c r="AE445" s="577"/>
      <c r="AF445" s="6"/>
    </row>
    <row r="446" ht="12.75" customHeight="1">
      <c r="A446" s="595"/>
      <c r="B446" s="596"/>
      <c r="C446" s="596"/>
      <c r="D446" s="596"/>
      <c r="E446" s="596"/>
      <c r="F446" s="596"/>
      <c r="G446" s="596"/>
      <c r="H446" s="596"/>
      <c r="I446" s="596"/>
      <c r="J446" s="577"/>
      <c r="K446" s="577"/>
      <c r="L446" s="577"/>
      <c r="M446" s="577"/>
      <c r="N446" s="577"/>
      <c r="O446" s="577"/>
      <c r="P446" s="577"/>
      <c r="Q446" s="577"/>
      <c r="R446" s="577"/>
      <c r="S446" s="577"/>
      <c r="T446" s="577"/>
      <c r="U446" s="577"/>
      <c r="V446" s="577"/>
      <c r="W446" s="577"/>
      <c r="X446" s="577"/>
      <c r="Y446" s="577"/>
      <c r="Z446" s="577"/>
      <c r="AA446" s="577"/>
      <c r="AB446" s="577"/>
      <c r="AC446" s="577"/>
      <c r="AD446" s="577"/>
      <c r="AE446" s="577"/>
      <c r="AF446" s="6"/>
    </row>
    <row r="447" ht="12.75" customHeight="1">
      <c r="A447" s="595"/>
      <c r="B447" s="596"/>
      <c r="C447" s="596"/>
      <c r="D447" s="596"/>
      <c r="E447" s="596"/>
      <c r="F447" s="596"/>
      <c r="G447" s="596"/>
      <c r="H447" s="596"/>
      <c r="I447" s="596"/>
      <c r="J447" s="577"/>
      <c r="K447" s="577"/>
      <c r="L447" s="577"/>
      <c r="M447" s="577"/>
      <c r="N447" s="577"/>
      <c r="O447" s="577"/>
      <c r="P447" s="577"/>
      <c r="Q447" s="577"/>
      <c r="R447" s="577"/>
      <c r="S447" s="577"/>
      <c r="T447" s="577"/>
      <c r="U447" s="577"/>
      <c r="V447" s="577"/>
      <c r="W447" s="577"/>
      <c r="X447" s="577"/>
      <c r="Y447" s="577"/>
      <c r="Z447" s="577"/>
      <c r="AA447" s="577"/>
      <c r="AB447" s="577"/>
      <c r="AC447" s="577"/>
      <c r="AD447" s="577"/>
      <c r="AE447" s="577"/>
      <c r="AF447" s="6"/>
    </row>
    <row r="448" ht="12.75" customHeight="1">
      <c r="A448" s="595"/>
      <c r="B448" s="596"/>
      <c r="C448" s="596"/>
      <c r="D448" s="596"/>
      <c r="E448" s="596"/>
      <c r="F448" s="596"/>
      <c r="G448" s="596"/>
      <c r="H448" s="596"/>
      <c r="I448" s="596"/>
      <c r="J448" s="577"/>
      <c r="K448" s="577"/>
      <c r="L448" s="577"/>
      <c r="M448" s="577"/>
      <c r="N448" s="577"/>
      <c r="O448" s="577"/>
      <c r="P448" s="577"/>
      <c r="Q448" s="577"/>
      <c r="R448" s="577"/>
      <c r="S448" s="577"/>
      <c r="T448" s="577"/>
      <c r="U448" s="577"/>
      <c r="V448" s="577"/>
      <c r="W448" s="577"/>
      <c r="X448" s="577"/>
      <c r="Y448" s="577"/>
      <c r="Z448" s="577"/>
      <c r="AA448" s="577"/>
      <c r="AB448" s="577"/>
      <c r="AC448" s="577"/>
      <c r="AD448" s="577"/>
      <c r="AE448" s="577"/>
      <c r="AF448" s="6"/>
    </row>
    <row r="449" ht="12.75" customHeight="1">
      <c r="A449" s="595"/>
      <c r="B449" s="596"/>
      <c r="C449" s="596"/>
      <c r="D449" s="596"/>
      <c r="E449" s="596"/>
      <c r="F449" s="596"/>
      <c r="G449" s="596"/>
      <c r="H449" s="596"/>
      <c r="I449" s="596"/>
      <c r="J449" s="577"/>
      <c r="K449" s="577"/>
      <c r="L449" s="577"/>
      <c r="M449" s="577"/>
      <c r="N449" s="577"/>
      <c r="O449" s="577"/>
      <c r="P449" s="577"/>
      <c r="Q449" s="577"/>
      <c r="R449" s="577"/>
      <c r="S449" s="577"/>
      <c r="T449" s="577"/>
      <c r="U449" s="577"/>
      <c r="V449" s="577"/>
      <c r="W449" s="577"/>
      <c r="X449" s="577"/>
      <c r="Y449" s="577"/>
      <c r="Z449" s="577"/>
      <c r="AA449" s="577"/>
      <c r="AB449" s="577"/>
      <c r="AC449" s="577"/>
      <c r="AD449" s="577"/>
      <c r="AE449" s="577"/>
      <c r="AF449" s="6"/>
    </row>
    <row r="450" ht="12.75" customHeight="1">
      <c r="A450" s="595"/>
      <c r="B450" s="596"/>
      <c r="C450" s="596"/>
      <c r="D450" s="596"/>
      <c r="E450" s="596"/>
      <c r="F450" s="596"/>
      <c r="G450" s="596"/>
      <c r="H450" s="596"/>
      <c r="I450" s="596"/>
      <c r="J450" s="577"/>
      <c r="K450" s="577"/>
      <c r="L450" s="577"/>
      <c r="M450" s="577"/>
      <c r="N450" s="577"/>
      <c r="O450" s="577"/>
      <c r="P450" s="577"/>
      <c r="Q450" s="577"/>
      <c r="R450" s="577"/>
      <c r="S450" s="577"/>
      <c r="T450" s="577"/>
      <c r="U450" s="577"/>
      <c r="V450" s="577"/>
      <c r="W450" s="577"/>
      <c r="X450" s="577"/>
      <c r="Y450" s="577"/>
      <c r="Z450" s="577"/>
      <c r="AA450" s="577"/>
      <c r="AB450" s="577"/>
      <c r="AC450" s="577"/>
      <c r="AD450" s="577"/>
      <c r="AE450" s="577"/>
      <c r="AF450" s="6"/>
    </row>
    <row r="451" ht="12.75" customHeight="1">
      <c r="A451" s="595"/>
      <c r="B451" s="596"/>
      <c r="C451" s="596"/>
      <c r="D451" s="596"/>
      <c r="E451" s="596"/>
      <c r="F451" s="596"/>
      <c r="G451" s="596"/>
      <c r="H451" s="596"/>
      <c r="I451" s="596"/>
      <c r="J451" s="577"/>
      <c r="K451" s="577"/>
      <c r="L451" s="577"/>
      <c r="M451" s="577"/>
      <c r="N451" s="577"/>
      <c r="O451" s="577"/>
      <c r="P451" s="577"/>
      <c r="Q451" s="577"/>
      <c r="R451" s="577"/>
      <c r="S451" s="577"/>
      <c r="T451" s="577"/>
      <c r="U451" s="577"/>
      <c r="V451" s="577"/>
      <c r="W451" s="577"/>
      <c r="X451" s="577"/>
      <c r="Y451" s="577"/>
      <c r="Z451" s="577"/>
      <c r="AA451" s="577"/>
      <c r="AB451" s="577"/>
      <c r="AC451" s="577"/>
      <c r="AD451" s="577"/>
      <c r="AE451" s="577"/>
      <c r="AF451" s="6"/>
    </row>
    <row r="452" ht="12.75" customHeight="1">
      <c r="A452" s="595"/>
      <c r="B452" s="596"/>
      <c r="C452" s="596"/>
      <c r="D452" s="596"/>
      <c r="E452" s="596"/>
      <c r="F452" s="596"/>
      <c r="G452" s="596"/>
      <c r="H452" s="596"/>
      <c r="I452" s="596"/>
      <c r="J452" s="577"/>
      <c r="K452" s="577"/>
      <c r="L452" s="577"/>
      <c r="M452" s="577"/>
      <c r="N452" s="577"/>
      <c r="O452" s="577"/>
      <c r="P452" s="577"/>
      <c r="Q452" s="577"/>
      <c r="R452" s="577"/>
      <c r="S452" s="577"/>
      <c r="T452" s="577"/>
      <c r="U452" s="577"/>
      <c r="V452" s="577"/>
      <c r="W452" s="577"/>
      <c r="X452" s="577"/>
      <c r="Y452" s="577"/>
      <c r="Z452" s="577"/>
      <c r="AA452" s="577"/>
      <c r="AB452" s="577"/>
      <c r="AC452" s="577"/>
      <c r="AD452" s="577"/>
      <c r="AE452" s="577"/>
      <c r="AF452" s="6"/>
    </row>
    <row r="453" ht="12.75" customHeight="1">
      <c r="A453" s="595"/>
      <c r="B453" s="596"/>
      <c r="C453" s="596"/>
      <c r="D453" s="596"/>
      <c r="E453" s="596"/>
      <c r="F453" s="596"/>
      <c r="G453" s="596"/>
      <c r="H453" s="596"/>
      <c r="I453" s="596"/>
      <c r="J453" s="577"/>
      <c r="K453" s="577"/>
      <c r="L453" s="577"/>
      <c r="M453" s="577"/>
      <c r="N453" s="577"/>
      <c r="O453" s="577"/>
      <c r="P453" s="577"/>
      <c r="Q453" s="577"/>
      <c r="R453" s="577"/>
      <c r="S453" s="577"/>
      <c r="T453" s="577"/>
      <c r="U453" s="577"/>
      <c r="V453" s="577"/>
      <c r="W453" s="577"/>
      <c r="X453" s="577"/>
      <c r="Y453" s="577"/>
      <c r="Z453" s="577"/>
      <c r="AA453" s="577"/>
      <c r="AB453" s="577"/>
      <c r="AC453" s="577"/>
      <c r="AD453" s="577"/>
      <c r="AE453" s="577"/>
      <c r="AF453" s="6"/>
    </row>
    <row r="454" ht="12.75" customHeight="1">
      <c r="A454" s="595"/>
      <c r="B454" s="596"/>
      <c r="C454" s="596"/>
      <c r="D454" s="596"/>
      <c r="E454" s="596"/>
      <c r="F454" s="596"/>
      <c r="G454" s="596"/>
      <c r="H454" s="596"/>
      <c r="I454" s="596"/>
      <c r="J454" s="577"/>
      <c r="K454" s="577"/>
      <c r="L454" s="577"/>
      <c r="M454" s="577"/>
      <c r="N454" s="577"/>
      <c r="O454" s="577"/>
      <c r="P454" s="577"/>
      <c r="Q454" s="577"/>
      <c r="R454" s="577"/>
      <c r="S454" s="577"/>
      <c r="T454" s="577"/>
      <c r="U454" s="577"/>
      <c r="V454" s="577"/>
      <c r="W454" s="577"/>
      <c r="X454" s="577"/>
      <c r="Y454" s="577"/>
      <c r="Z454" s="577"/>
      <c r="AA454" s="577"/>
      <c r="AB454" s="577"/>
      <c r="AC454" s="577"/>
      <c r="AD454" s="577"/>
      <c r="AE454" s="577"/>
      <c r="AF454" s="6"/>
    </row>
    <row r="455" ht="12.75" customHeight="1">
      <c r="A455" s="595"/>
      <c r="B455" s="596"/>
      <c r="C455" s="596"/>
      <c r="D455" s="596"/>
      <c r="E455" s="596"/>
      <c r="F455" s="596"/>
      <c r="G455" s="596"/>
      <c r="H455" s="596"/>
      <c r="I455" s="596"/>
      <c r="J455" s="577"/>
      <c r="K455" s="577"/>
      <c r="L455" s="577"/>
      <c r="M455" s="577"/>
      <c r="N455" s="577"/>
      <c r="O455" s="577"/>
      <c r="P455" s="577"/>
      <c r="Q455" s="577"/>
      <c r="R455" s="577"/>
      <c r="S455" s="577"/>
      <c r="T455" s="577"/>
      <c r="U455" s="577"/>
      <c r="V455" s="577"/>
      <c r="W455" s="577"/>
      <c r="X455" s="577"/>
      <c r="Y455" s="577"/>
      <c r="Z455" s="577"/>
      <c r="AA455" s="577"/>
      <c r="AB455" s="577"/>
      <c r="AC455" s="577"/>
      <c r="AD455" s="577"/>
      <c r="AE455" s="577"/>
      <c r="AF455" s="6"/>
    </row>
    <row r="456" ht="12.75" customHeight="1">
      <c r="A456" s="595"/>
      <c r="B456" s="596"/>
      <c r="C456" s="596"/>
      <c r="D456" s="596"/>
      <c r="E456" s="596"/>
      <c r="F456" s="596"/>
      <c r="G456" s="596"/>
      <c r="H456" s="596"/>
      <c r="I456" s="596"/>
      <c r="J456" s="577"/>
      <c r="K456" s="577"/>
      <c r="L456" s="577"/>
      <c r="M456" s="577"/>
      <c r="N456" s="577"/>
      <c r="O456" s="577"/>
      <c r="P456" s="577"/>
      <c r="Q456" s="577"/>
      <c r="R456" s="577"/>
      <c r="S456" s="577"/>
      <c r="T456" s="577"/>
      <c r="U456" s="577"/>
      <c r="V456" s="577"/>
      <c r="W456" s="577"/>
      <c r="X456" s="577"/>
      <c r="Y456" s="577"/>
      <c r="Z456" s="577"/>
      <c r="AA456" s="577"/>
      <c r="AB456" s="577"/>
      <c r="AC456" s="577"/>
      <c r="AD456" s="577"/>
      <c r="AE456" s="577"/>
      <c r="AF456" s="6"/>
    </row>
    <row r="457" ht="12.75" customHeight="1">
      <c r="A457" s="595"/>
      <c r="B457" s="596"/>
      <c r="C457" s="596"/>
      <c r="D457" s="596"/>
      <c r="E457" s="596"/>
      <c r="F457" s="596"/>
      <c r="G457" s="596"/>
      <c r="H457" s="596"/>
      <c r="I457" s="596"/>
      <c r="J457" s="577"/>
      <c r="K457" s="577"/>
      <c r="L457" s="577"/>
      <c r="M457" s="577"/>
      <c r="N457" s="577"/>
      <c r="O457" s="577"/>
      <c r="P457" s="577"/>
      <c r="Q457" s="577"/>
      <c r="R457" s="577"/>
      <c r="S457" s="577"/>
      <c r="T457" s="577"/>
      <c r="U457" s="577"/>
      <c r="V457" s="577"/>
      <c r="W457" s="577"/>
      <c r="X457" s="577"/>
      <c r="Y457" s="577"/>
      <c r="Z457" s="577"/>
      <c r="AA457" s="577"/>
      <c r="AB457" s="577"/>
      <c r="AC457" s="577"/>
      <c r="AD457" s="577"/>
      <c r="AE457" s="577"/>
      <c r="AF457" s="6"/>
    </row>
    <row r="458" ht="12.75" customHeight="1">
      <c r="A458" s="595"/>
      <c r="B458" s="596"/>
      <c r="C458" s="596"/>
      <c r="D458" s="596"/>
      <c r="E458" s="596"/>
      <c r="F458" s="596"/>
      <c r="G458" s="596"/>
      <c r="H458" s="596"/>
      <c r="I458" s="596"/>
      <c r="J458" s="577"/>
      <c r="K458" s="577"/>
      <c r="L458" s="577"/>
      <c r="M458" s="577"/>
      <c r="N458" s="577"/>
      <c r="O458" s="577"/>
      <c r="P458" s="577"/>
      <c r="Q458" s="577"/>
      <c r="R458" s="577"/>
      <c r="S458" s="577"/>
      <c r="T458" s="577"/>
      <c r="U458" s="577"/>
      <c r="V458" s="577"/>
      <c r="W458" s="577"/>
      <c r="X458" s="577"/>
      <c r="Y458" s="577"/>
      <c r="Z458" s="577"/>
      <c r="AA458" s="577"/>
      <c r="AB458" s="577"/>
      <c r="AC458" s="577"/>
      <c r="AD458" s="577"/>
      <c r="AE458" s="577"/>
      <c r="AF458" s="6"/>
    </row>
    <row r="459" ht="12.75" customHeight="1">
      <c r="A459" s="595"/>
      <c r="B459" s="596"/>
      <c r="C459" s="596"/>
      <c r="D459" s="596"/>
      <c r="E459" s="596"/>
      <c r="F459" s="596"/>
      <c r="G459" s="596"/>
      <c r="H459" s="596"/>
      <c r="I459" s="596"/>
      <c r="J459" s="577"/>
      <c r="K459" s="577"/>
      <c r="L459" s="577"/>
      <c r="M459" s="577"/>
      <c r="N459" s="577"/>
      <c r="O459" s="577"/>
      <c r="P459" s="577"/>
      <c r="Q459" s="577"/>
      <c r="R459" s="577"/>
      <c r="S459" s="577"/>
      <c r="T459" s="577"/>
      <c r="U459" s="577"/>
      <c r="V459" s="577"/>
      <c r="W459" s="577"/>
      <c r="X459" s="577"/>
      <c r="Y459" s="577"/>
      <c r="Z459" s="577"/>
      <c r="AA459" s="577"/>
      <c r="AB459" s="577"/>
      <c r="AC459" s="577"/>
      <c r="AD459" s="577"/>
      <c r="AE459" s="577"/>
      <c r="AF459" s="6"/>
    </row>
    <row r="460" ht="12.75" customHeight="1">
      <c r="A460" s="595"/>
      <c r="B460" s="596"/>
      <c r="C460" s="596"/>
      <c r="D460" s="596"/>
      <c r="E460" s="596"/>
      <c r="F460" s="596"/>
      <c r="G460" s="596"/>
      <c r="H460" s="596"/>
      <c r="I460" s="596"/>
      <c r="J460" s="577"/>
      <c r="K460" s="577"/>
      <c r="L460" s="577"/>
      <c r="M460" s="577"/>
      <c r="N460" s="577"/>
      <c r="O460" s="577"/>
      <c r="P460" s="577"/>
      <c r="Q460" s="577"/>
      <c r="R460" s="577"/>
      <c r="S460" s="577"/>
      <c r="T460" s="577"/>
      <c r="U460" s="577"/>
      <c r="V460" s="577"/>
      <c r="W460" s="577"/>
      <c r="X460" s="577"/>
      <c r="Y460" s="577"/>
      <c r="Z460" s="577"/>
      <c r="AA460" s="577"/>
      <c r="AB460" s="577"/>
      <c r="AC460" s="577"/>
      <c r="AD460" s="577"/>
      <c r="AE460" s="577"/>
      <c r="AF460" s="6"/>
    </row>
    <row r="461" ht="12.75" customHeight="1">
      <c r="A461" s="595"/>
      <c r="B461" s="596"/>
      <c r="C461" s="596"/>
      <c r="D461" s="596"/>
      <c r="E461" s="596"/>
      <c r="F461" s="596"/>
      <c r="G461" s="596"/>
      <c r="H461" s="596"/>
      <c r="I461" s="596"/>
      <c r="J461" s="577"/>
      <c r="K461" s="577"/>
      <c r="L461" s="577"/>
      <c r="M461" s="577"/>
      <c r="N461" s="577"/>
      <c r="O461" s="577"/>
      <c r="P461" s="577"/>
      <c r="Q461" s="577"/>
      <c r="R461" s="577"/>
      <c r="S461" s="577"/>
      <c r="T461" s="577"/>
      <c r="U461" s="577"/>
      <c r="V461" s="577"/>
      <c r="W461" s="577"/>
      <c r="X461" s="577"/>
      <c r="Y461" s="577"/>
      <c r="Z461" s="577"/>
      <c r="AA461" s="577"/>
      <c r="AB461" s="577"/>
      <c r="AC461" s="577"/>
      <c r="AD461" s="577"/>
      <c r="AE461" s="577"/>
      <c r="AF461" s="6"/>
    </row>
    <row r="462" ht="12.75" customHeight="1">
      <c r="A462" s="595"/>
      <c r="B462" s="596"/>
      <c r="C462" s="596"/>
      <c r="D462" s="596"/>
      <c r="E462" s="596"/>
      <c r="F462" s="596"/>
      <c r="G462" s="596"/>
      <c r="H462" s="596"/>
      <c r="I462" s="596"/>
      <c r="J462" s="577"/>
      <c r="K462" s="577"/>
      <c r="L462" s="577"/>
      <c r="M462" s="577"/>
      <c r="N462" s="577"/>
      <c r="O462" s="577"/>
      <c r="P462" s="577"/>
      <c r="Q462" s="577"/>
      <c r="R462" s="577"/>
      <c r="S462" s="577"/>
      <c r="T462" s="577"/>
      <c r="U462" s="577"/>
      <c r="V462" s="577"/>
      <c r="W462" s="577"/>
      <c r="X462" s="577"/>
      <c r="Y462" s="577"/>
      <c r="Z462" s="577"/>
      <c r="AA462" s="577"/>
      <c r="AB462" s="577"/>
      <c r="AC462" s="577"/>
      <c r="AD462" s="577"/>
      <c r="AE462" s="577"/>
      <c r="AF462" s="6"/>
    </row>
    <row r="463" ht="12.75" customHeight="1">
      <c r="A463" s="595"/>
      <c r="B463" s="596"/>
      <c r="C463" s="596"/>
      <c r="D463" s="596"/>
      <c r="E463" s="596"/>
      <c r="F463" s="596"/>
      <c r="G463" s="596"/>
      <c r="H463" s="596"/>
      <c r="I463" s="596"/>
      <c r="J463" s="577"/>
      <c r="K463" s="577"/>
      <c r="L463" s="577"/>
      <c r="M463" s="577"/>
      <c r="N463" s="577"/>
      <c r="O463" s="577"/>
      <c r="P463" s="577"/>
      <c r="Q463" s="577"/>
      <c r="R463" s="577"/>
      <c r="S463" s="577"/>
      <c r="T463" s="577"/>
      <c r="U463" s="577"/>
      <c r="V463" s="577"/>
      <c r="W463" s="577"/>
      <c r="X463" s="577"/>
      <c r="Y463" s="577"/>
      <c r="Z463" s="577"/>
      <c r="AA463" s="577"/>
      <c r="AB463" s="577"/>
      <c r="AC463" s="577"/>
      <c r="AD463" s="577"/>
      <c r="AE463" s="577"/>
      <c r="AF463" s="6"/>
    </row>
    <row r="464" ht="12.75" customHeight="1">
      <c r="A464" s="595"/>
      <c r="B464" s="596"/>
      <c r="C464" s="596"/>
      <c r="D464" s="596"/>
      <c r="E464" s="596"/>
      <c r="F464" s="596"/>
      <c r="G464" s="596"/>
      <c r="H464" s="596"/>
      <c r="I464" s="596"/>
      <c r="J464" s="577"/>
      <c r="K464" s="577"/>
      <c r="L464" s="577"/>
      <c r="M464" s="577"/>
      <c r="N464" s="577"/>
      <c r="O464" s="577"/>
      <c r="P464" s="577"/>
      <c r="Q464" s="577"/>
      <c r="R464" s="577"/>
      <c r="S464" s="577"/>
      <c r="T464" s="577"/>
      <c r="U464" s="577"/>
      <c r="V464" s="577"/>
      <c r="W464" s="577"/>
      <c r="X464" s="577"/>
      <c r="Y464" s="577"/>
      <c r="Z464" s="577"/>
      <c r="AA464" s="577"/>
      <c r="AB464" s="577"/>
      <c r="AC464" s="577"/>
      <c r="AD464" s="577"/>
      <c r="AE464" s="577"/>
      <c r="AF464" s="6"/>
    </row>
    <row r="465" ht="12.75" customHeight="1">
      <c r="A465" s="595"/>
      <c r="B465" s="596"/>
      <c r="C465" s="596"/>
      <c r="D465" s="596"/>
      <c r="E465" s="596"/>
      <c r="F465" s="596"/>
      <c r="G465" s="596"/>
      <c r="H465" s="596"/>
      <c r="I465" s="596"/>
      <c r="J465" s="577"/>
      <c r="K465" s="577"/>
      <c r="L465" s="577"/>
      <c r="M465" s="577"/>
      <c r="N465" s="577"/>
      <c r="O465" s="577"/>
      <c r="P465" s="577"/>
      <c r="Q465" s="577"/>
      <c r="R465" s="577"/>
      <c r="S465" s="577"/>
      <c r="T465" s="577"/>
      <c r="U465" s="577"/>
      <c r="V465" s="577"/>
      <c r="W465" s="577"/>
      <c r="X465" s="577"/>
      <c r="Y465" s="577"/>
      <c r="Z465" s="577"/>
      <c r="AA465" s="577"/>
      <c r="AB465" s="577"/>
      <c r="AC465" s="577"/>
      <c r="AD465" s="577"/>
      <c r="AE465" s="577"/>
      <c r="AF465" s="6"/>
    </row>
    <row r="466" ht="12.75" customHeight="1">
      <c r="A466" s="595"/>
      <c r="B466" s="596"/>
      <c r="C466" s="596"/>
      <c r="D466" s="596"/>
      <c r="E466" s="596"/>
      <c r="F466" s="596"/>
      <c r="G466" s="596"/>
      <c r="H466" s="596"/>
      <c r="I466" s="596"/>
      <c r="J466" s="577"/>
      <c r="K466" s="577"/>
      <c r="L466" s="577"/>
      <c r="M466" s="577"/>
      <c r="N466" s="577"/>
      <c r="O466" s="577"/>
      <c r="P466" s="577"/>
      <c r="Q466" s="577"/>
      <c r="R466" s="577"/>
      <c r="S466" s="577"/>
      <c r="T466" s="577"/>
      <c r="U466" s="577"/>
      <c r="V466" s="577"/>
      <c r="W466" s="577"/>
      <c r="X466" s="577"/>
      <c r="Y466" s="577"/>
      <c r="Z466" s="577"/>
      <c r="AA466" s="577"/>
      <c r="AB466" s="577"/>
      <c r="AC466" s="577"/>
      <c r="AD466" s="577"/>
      <c r="AE466" s="577"/>
      <c r="AF466" s="6"/>
    </row>
    <row r="467" ht="12.75" customHeight="1">
      <c r="A467" s="595"/>
      <c r="B467" s="596"/>
      <c r="C467" s="596"/>
      <c r="D467" s="596"/>
      <c r="E467" s="596"/>
      <c r="F467" s="596"/>
      <c r="G467" s="596"/>
      <c r="H467" s="596"/>
      <c r="I467" s="596"/>
      <c r="J467" s="577"/>
      <c r="K467" s="577"/>
      <c r="L467" s="577"/>
      <c r="M467" s="577"/>
      <c r="N467" s="577"/>
      <c r="O467" s="577"/>
      <c r="P467" s="577"/>
      <c r="Q467" s="577"/>
      <c r="R467" s="577"/>
      <c r="S467" s="577"/>
      <c r="T467" s="577"/>
      <c r="U467" s="577"/>
      <c r="V467" s="577"/>
      <c r="W467" s="577"/>
      <c r="X467" s="577"/>
      <c r="Y467" s="577"/>
      <c r="Z467" s="577"/>
      <c r="AA467" s="577"/>
      <c r="AB467" s="577"/>
      <c r="AC467" s="577"/>
      <c r="AD467" s="577"/>
      <c r="AE467" s="577"/>
      <c r="AF467" s="6"/>
    </row>
    <row r="468" ht="12.75" customHeight="1">
      <c r="A468" s="595"/>
      <c r="B468" s="596"/>
      <c r="C468" s="596"/>
      <c r="D468" s="596"/>
      <c r="E468" s="596"/>
      <c r="F468" s="596"/>
      <c r="G468" s="596"/>
      <c r="H468" s="596"/>
      <c r="I468" s="596"/>
      <c r="J468" s="577"/>
      <c r="K468" s="577"/>
      <c r="L468" s="577"/>
      <c r="M468" s="577"/>
      <c r="N468" s="577"/>
      <c r="O468" s="577"/>
      <c r="P468" s="577"/>
      <c r="Q468" s="577"/>
      <c r="R468" s="577"/>
      <c r="S468" s="577"/>
      <c r="T468" s="577"/>
      <c r="U468" s="577"/>
      <c r="V468" s="577"/>
      <c r="W468" s="577"/>
      <c r="X468" s="577"/>
      <c r="Y468" s="577"/>
      <c r="Z468" s="577"/>
      <c r="AA468" s="577"/>
      <c r="AB468" s="577"/>
      <c r="AC468" s="577"/>
      <c r="AD468" s="577"/>
      <c r="AE468" s="577"/>
      <c r="AF468" s="6"/>
    </row>
    <row r="469" ht="12.75" customHeight="1">
      <c r="A469" s="595"/>
      <c r="B469" s="596"/>
      <c r="C469" s="596"/>
      <c r="D469" s="596"/>
      <c r="E469" s="596"/>
      <c r="F469" s="596"/>
      <c r="G469" s="596"/>
      <c r="H469" s="596"/>
      <c r="I469" s="596"/>
      <c r="J469" s="577"/>
      <c r="K469" s="577"/>
      <c r="L469" s="577"/>
      <c r="M469" s="577"/>
      <c r="N469" s="577"/>
      <c r="O469" s="577"/>
      <c r="P469" s="577"/>
      <c r="Q469" s="577"/>
      <c r="R469" s="577"/>
      <c r="S469" s="577"/>
      <c r="T469" s="577"/>
      <c r="U469" s="577"/>
      <c r="V469" s="577"/>
      <c r="W469" s="577"/>
      <c r="X469" s="577"/>
      <c r="Y469" s="577"/>
      <c r="Z469" s="577"/>
      <c r="AA469" s="577"/>
      <c r="AB469" s="577"/>
      <c r="AC469" s="577"/>
      <c r="AD469" s="577"/>
      <c r="AE469" s="577"/>
      <c r="AF469" s="6"/>
    </row>
    <row r="470" ht="12.75" customHeight="1">
      <c r="A470" s="595"/>
      <c r="B470" s="596"/>
      <c r="C470" s="596"/>
      <c r="D470" s="596"/>
      <c r="E470" s="596"/>
      <c r="F470" s="596"/>
      <c r="G470" s="596"/>
      <c r="H470" s="596"/>
      <c r="I470" s="596"/>
      <c r="J470" s="577"/>
      <c r="K470" s="577"/>
      <c r="L470" s="577"/>
      <c r="M470" s="577"/>
      <c r="N470" s="577"/>
      <c r="O470" s="577"/>
      <c r="P470" s="577"/>
      <c r="Q470" s="577"/>
      <c r="R470" s="577"/>
      <c r="S470" s="577"/>
      <c r="T470" s="577"/>
      <c r="U470" s="577"/>
      <c r="V470" s="577"/>
      <c r="W470" s="577"/>
      <c r="X470" s="577"/>
      <c r="Y470" s="577"/>
      <c r="Z470" s="577"/>
      <c r="AA470" s="577"/>
      <c r="AB470" s="577"/>
      <c r="AC470" s="577"/>
      <c r="AD470" s="577"/>
      <c r="AE470" s="577"/>
      <c r="AF470" s="6"/>
    </row>
    <row r="471" ht="12.75" customHeight="1">
      <c r="A471" s="595"/>
      <c r="B471" s="596"/>
      <c r="C471" s="596"/>
      <c r="D471" s="596"/>
      <c r="E471" s="596"/>
      <c r="F471" s="596"/>
      <c r="G471" s="596"/>
      <c r="H471" s="596"/>
      <c r="I471" s="596"/>
      <c r="J471" s="577"/>
      <c r="K471" s="577"/>
      <c r="L471" s="577"/>
      <c r="M471" s="577"/>
      <c r="N471" s="577"/>
      <c r="O471" s="577"/>
      <c r="P471" s="577"/>
      <c r="Q471" s="577"/>
      <c r="R471" s="577"/>
      <c r="S471" s="577"/>
      <c r="T471" s="577"/>
      <c r="U471" s="577"/>
      <c r="V471" s="577"/>
      <c r="W471" s="577"/>
      <c r="X471" s="577"/>
      <c r="Y471" s="577"/>
      <c r="Z471" s="577"/>
      <c r="AA471" s="577"/>
      <c r="AB471" s="577"/>
      <c r="AC471" s="577"/>
      <c r="AD471" s="577"/>
      <c r="AE471" s="577"/>
      <c r="AF471" s="6"/>
    </row>
    <row r="472" ht="12.75" customHeight="1">
      <c r="A472" s="595"/>
      <c r="B472" s="596"/>
      <c r="C472" s="596"/>
      <c r="D472" s="596"/>
      <c r="E472" s="596"/>
      <c r="F472" s="596"/>
      <c r="G472" s="596"/>
      <c r="H472" s="596"/>
      <c r="I472" s="596"/>
      <c r="J472" s="577"/>
      <c r="K472" s="577"/>
      <c r="L472" s="577"/>
      <c r="M472" s="577"/>
      <c r="N472" s="577"/>
      <c r="O472" s="577"/>
      <c r="P472" s="577"/>
      <c r="Q472" s="577"/>
      <c r="R472" s="577"/>
      <c r="S472" s="577"/>
      <c r="T472" s="577"/>
      <c r="U472" s="577"/>
      <c r="V472" s="577"/>
      <c r="W472" s="577"/>
      <c r="X472" s="577"/>
      <c r="Y472" s="577"/>
      <c r="Z472" s="577"/>
      <c r="AA472" s="577"/>
      <c r="AB472" s="577"/>
      <c r="AC472" s="577"/>
      <c r="AD472" s="577"/>
      <c r="AE472" s="577"/>
      <c r="AF472" s="6"/>
    </row>
    <row r="473" ht="12.75" customHeight="1">
      <c r="A473" s="595"/>
      <c r="B473" s="596"/>
      <c r="C473" s="596"/>
      <c r="D473" s="596"/>
      <c r="E473" s="596"/>
      <c r="F473" s="596"/>
      <c r="G473" s="596"/>
      <c r="H473" s="596"/>
      <c r="I473" s="596"/>
      <c r="J473" s="577"/>
      <c r="K473" s="577"/>
      <c r="L473" s="577"/>
      <c r="M473" s="577"/>
      <c r="N473" s="577"/>
      <c r="O473" s="577"/>
      <c r="P473" s="577"/>
      <c r="Q473" s="577"/>
      <c r="R473" s="577"/>
      <c r="S473" s="577"/>
      <c r="T473" s="577"/>
      <c r="U473" s="577"/>
      <c r="V473" s="577"/>
      <c r="W473" s="577"/>
      <c r="X473" s="577"/>
      <c r="Y473" s="577"/>
      <c r="Z473" s="577"/>
      <c r="AA473" s="577"/>
      <c r="AB473" s="577"/>
      <c r="AC473" s="577"/>
      <c r="AD473" s="577"/>
      <c r="AE473" s="577"/>
      <c r="AF473" s="6"/>
    </row>
    <row r="474" ht="12.75" customHeight="1">
      <c r="A474" s="595"/>
      <c r="B474" s="596"/>
      <c r="C474" s="596"/>
      <c r="D474" s="596"/>
      <c r="E474" s="596"/>
      <c r="F474" s="596"/>
      <c r="G474" s="596"/>
      <c r="H474" s="596"/>
      <c r="I474" s="596"/>
      <c r="J474" s="577"/>
      <c r="K474" s="577"/>
      <c r="L474" s="577"/>
      <c r="M474" s="577"/>
      <c r="N474" s="577"/>
      <c r="O474" s="577"/>
      <c r="P474" s="577"/>
      <c r="Q474" s="577"/>
      <c r="R474" s="577"/>
      <c r="S474" s="577"/>
      <c r="T474" s="577"/>
      <c r="U474" s="577"/>
      <c r="V474" s="577"/>
      <c r="W474" s="577"/>
      <c r="X474" s="577"/>
      <c r="Y474" s="577"/>
      <c r="Z474" s="577"/>
      <c r="AA474" s="577"/>
      <c r="AB474" s="577"/>
      <c r="AC474" s="577"/>
      <c r="AD474" s="577"/>
      <c r="AE474" s="577"/>
      <c r="AF474" s="6"/>
    </row>
    <row r="475" ht="12.75" customHeight="1">
      <c r="A475" s="595"/>
      <c r="B475" s="596"/>
      <c r="C475" s="596"/>
      <c r="D475" s="596"/>
      <c r="E475" s="596"/>
      <c r="F475" s="596"/>
      <c r="G475" s="596"/>
      <c r="H475" s="596"/>
      <c r="I475" s="596"/>
      <c r="J475" s="577"/>
      <c r="K475" s="577"/>
      <c r="L475" s="577"/>
      <c r="M475" s="577"/>
      <c r="N475" s="577"/>
      <c r="O475" s="577"/>
      <c r="P475" s="577"/>
      <c r="Q475" s="577"/>
      <c r="R475" s="577"/>
      <c r="S475" s="577"/>
      <c r="T475" s="577"/>
      <c r="U475" s="577"/>
      <c r="V475" s="577"/>
      <c r="W475" s="577"/>
      <c r="X475" s="577"/>
      <c r="Y475" s="577"/>
      <c r="Z475" s="577"/>
      <c r="AA475" s="577"/>
      <c r="AB475" s="577"/>
      <c r="AC475" s="577"/>
      <c r="AD475" s="577"/>
      <c r="AE475" s="577"/>
      <c r="AF475" s="6"/>
    </row>
    <row r="476" ht="12.75" customHeight="1">
      <c r="A476" s="595"/>
      <c r="B476" s="596"/>
      <c r="C476" s="596"/>
      <c r="D476" s="596"/>
      <c r="E476" s="596"/>
      <c r="F476" s="596"/>
      <c r="G476" s="596"/>
      <c r="H476" s="596"/>
      <c r="I476" s="596"/>
      <c r="J476" s="577"/>
      <c r="K476" s="577"/>
      <c r="L476" s="577"/>
      <c r="M476" s="577"/>
      <c r="N476" s="577"/>
      <c r="O476" s="577"/>
      <c r="P476" s="577"/>
      <c r="Q476" s="577"/>
      <c r="R476" s="577"/>
      <c r="S476" s="577"/>
      <c r="T476" s="577"/>
      <c r="U476" s="577"/>
      <c r="V476" s="577"/>
      <c r="W476" s="577"/>
      <c r="X476" s="577"/>
      <c r="Y476" s="577"/>
      <c r="Z476" s="577"/>
      <c r="AA476" s="577"/>
      <c r="AB476" s="577"/>
      <c r="AC476" s="577"/>
      <c r="AD476" s="577"/>
      <c r="AE476" s="577"/>
      <c r="AF476" s="6"/>
    </row>
    <row r="477" ht="12.75" customHeight="1">
      <c r="A477" s="595"/>
      <c r="B477" s="596"/>
      <c r="C477" s="596"/>
      <c r="D477" s="596"/>
      <c r="E477" s="596"/>
      <c r="F477" s="596"/>
      <c r="G477" s="596"/>
      <c r="H477" s="596"/>
      <c r="I477" s="596"/>
      <c r="J477" s="577"/>
      <c r="K477" s="577"/>
      <c r="L477" s="577"/>
      <c r="M477" s="577"/>
      <c r="N477" s="577"/>
      <c r="O477" s="577"/>
      <c r="P477" s="577"/>
      <c r="Q477" s="577"/>
      <c r="R477" s="577"/>
      <c r="S477" s="577"/>
      <c r="T477" s="577"/>
      <c r="U477" s="577"/>
      <c r="V477" s="577"/>
      <c r="W477" s="577"/>
      <c r="X477" s="577"/>
      <c r="Y477" s="577"/>
      <c r="Z477" s="577"/>
      <c r="AA477" s="577"/>
      <c r="AB477" s="577"/>
      <c r="AC477" s="577"/>
      <c r="AD477" s="577"/>
      <c r="AE477" s="577"/>
      <c r="AF477" s="6"/>
    </row>
    <row r="478" ht="12.75" customHeight="1">
      <c r="A478" s="595"/>
      <c r="B478" s="596"/>
      <c r="C478" s="596"/>
      <c r="D478" s="596"/>
      <c r="E478" s="596"/>
      <c r="F478" s="596"/>
      <c r="G478" s="596"/>
      <c r="H478" s="596"/>
      <c r="I478" s="596"/>
      <c r="J478" s="577"/>
      <c r="K478" s="577"/>
      <c r="L478" s="577"/>
      <c r="M478" s="577"/>
      <c r="N478" s="577"/>
      <c r="O478" s="577"/>
      <c r="P478" s="577"/>
      <c r="Q478" s="577"/>
      <c r="R478" s="577"/>
      <c r="S478" s="577"/>
      <c r="T478" s="577"/>
      <c r="U478" s="577"/>
      <c r="V478" s="577"/>
      <c r="W478" s="577"/>
      <c r="X478" s="577"/>
      <c r="Y478" s="577"/>
      <c r="Z478" s="577"/>
      <c r="AA478" s="577"/>
      <c r="AB478" s="577"/>
      <c r="AC478" s="577"/>
      <c r="AD478" s="577"/>
      <c r="AE478" s="577"/>
      <c r="AF478" s="6"/>
    </row>
    <row r="479" ht="12.75" customHeight="1">
      <c r="A479" s="595"/>
      <c r="B479" s="596"/>
      <c r="C479" s="596"/>
      <c r="D479" s="596"/>
      <c r="E479" s="596"/>
      <c r="F479" s="596"/>
      <c r="G479" s="596"/>
      <c r="H479" s="596"/>
      <c r="I479" s="596"/>
      <c r="J479" s="577"/>
      <c r="K479" s="577"/>
      <c r="L479" s="577"/>
      <c r="M479" s="577"/>
      <c r="N479" s="577"/>
      <c r="O479" s="577"/>
      <c r="P479" s="577"/>
      <c r="Q479" s="577"/>
      <c r="R479" s="577"/>
      <c r="S479" s="577"/>
      <c r="T479" s="577"/>
      <c r="U479" s="577"/>
      <c r="V479" s="577"/>
      <c r="W479" s="577"/>
      <c r="X479" s="577"/>
      <c r="Y479" s="577"/>
      <c r="Z479" s="577"/>
      <c r="AA479" s="577"/>
      <c r="AB479" s="577"/>
      <c r="AC479" s="577"/>
      <c r="AD479" s="577"/>
      <c r="AE479" s="577"/>
      <c r="AF479" s="6"/>
    </row>
    <row r="480" ht="12.75" customHeight="1">
      <c r="A480" s="595"/>
      <c r="B480" s="596"/>
      <c r="C480" s="596"/>
      <c r="D480" s="596"/>
      <c r="E480" s="596"/>
      <c r="F480" s="596"/>
      <c r="G480" s="596"/>
      <c r="H480" s="596"/>
      <c r="I480" s="596"/>
      <c r="J480" s="577"/>
      <c r="K480" s="577"/>
      <c r="L480" s="577"/>
      <c r="M480" s="577"/>
      <c r="N480" s="577"/>
      <c r="O480" s="577"/>
      <c r="P480" s="577"/>
      <c r="Q480" s="577"/>
      <c r="R480" s="577"/>
      <c r="S480" s="577"/>
      <c r="T480" s="577"/>
      <c r="U480" s="577"/>
      <c r="V480" s="577"/>
      <c r="W480" s="577"/>
      <c r="X480" s="577"/>
      <c r="Y480" s="577"/>
      <c r="Z480" s="577"/>
      <c r="AA480" s="577"/>
      <c r="AB480" s="577"/>
      <c r="AC480" s="577"/>
      <c r="AD480" s="577"/>
      <c r="AE480" s="577"/>
      <c r="AF480" s="6"/>
    </row>
    <row r="481" ht="12.75" customHeight="1">
      <c r="A481" s="595"/>
      <c r="B481" s="596"/>
      <c r="C481" s="596"/>
      <c r="D481" s="596"/>
      <c r="E481" s="596"/>
      <c r="F481" s="596"/>
      <c r="G481" s="596"/>
      <c r="H481" s="596"/>
      <c r="I481" s="596"/>
      <c r="J481" s="577"/>
      <c r="K481" s="577"/>
      <c r="L481" s="577"/>
      <c r="M481" s="577"/>
      <c r="N481" s="577"/>
      <c r="O481" s="577"/>
      <c r="P481" s="577"/>
      <c r="Q481" s="577"/>
      <c r="R481" s="577"/>
      <c r="S481" s="577"/>
      <c r="T481" s="577"/>
      <c r="U481" s="577"/>
      <c r="V481" s="577"/>
      <c r="W481" s="577"/>
      <c r="X481" s="577"/>
      <c r="Y481" s="577"/>
      <c r="Z481" s="577"/>
      <c r="AA481" s="577"/>
      <c r="AB481" s="577"/>
      <c r="AC481" s="577"/>
      <c r="AD481" s="577"/>
      <c r="AE481" s="577"/>
      <c r="AF481" s="6"/>
    </row>
    <row r="482" ht="12.75" customHeight="1">
      <c r="A482" s="595"/>
      <c r="B482" s="596"/>
      <c r="C482" s="596"/>
      <c r="D482" s="596"/>
      <c r="E482" s="596"/>
      <c r="F482" s="596"/>
      <c r="G482" s="596"/>
      <c r="H482" s="596"/>
      <c r="I482" s="596"/>
      <c r="J482" s="577"/>
      <c r="K482" s="577"/>
      <c r="L482" s="577"/>
      <c r="M482" s="577"/>
      <c r="N482" s="577"/>
      <c r="O482" s="577"/>
      <c r="P482" s="577"/>
      <c r="Q482" s="577"/>
      <c r="R482" s="577"/>
      <c r="S482" s="577"/>
      <c r="T482" s="577"/>
      <c r="U482" s="577"/>
      <c r="V482" s="577"/>
      <c r="W482" s="577"/>
      <c r="X482" s="577"/>
      <c r="Y482" s="577"/>
      <c r="Z482" s="577"/>
      <c r="AA482" s="577"/>
      <c r="AB482" s="577"/>
      <c r="AC482" s="577"/>
      <c r="AD482" s="577"/>
      <c r="AE482" s="577"/>
      <c r="AF482" s="6"/>
    </row>
    <row r="483" ht="12.75" customHeight="1">
      <c r="A483" s="595"/>
      <c r="B483" s="596"/>
      <c r="C483" s="596"/>
      <c r="D483" s="596"/>
      <c r="E483" s="596"/>
      <c r="F483" s="596"/>
      <c r="G483" s="596"/>
      <c r="H483" s="596"/>
      <c r="I483" s="596"/>
      <c r="J483" s="577"/>
      <c r="K483" s="577"/>
      <c r="L483" s="577"/>
      <c r="M483" s="577"/>
      <c r="N483" s="577"/>
      <c r="O483" s="577"/>
      <c r="P483" s="577"/>
      <c r="Q483" s="577"/>
      <c r="R483" s="577"/>
      <c r="S483" s="577"/>
      <c r="T483" s="577"/>
      <c r="U483" s="577"/>
      <c r="V483" s="577"/>
      <c r="W483" s="577"/>
      <c r="X483" s="577"/>
      <c r="Y483" s="577"/>
      <c r="Z483" s="577"/>
      <c r="AA483" s="577"/>
      <c r="AB483" s="577"/>
      <c r="AC483" s="577"/>
      <c r="AD483" s="577"/>
      <c r="AE483" s="577"/>
      <c r="AF483" s="6"/>
    </row>
    <row r="484" ht="12.75" customHeight="1">
      <c r="A484" s="595"/>
      <c r="B484" s="596"/>
      <c r="C484" s="596"/>
      <c r="D484" s="596"/>
      <c r="E484" s="596"/>
      <c r="F484" s="596"/>
      <c r="G484" s="596"/>
      <c r="H484" s="596"/>
      <c r="I484" s="596"/>
      <c r="J484" s="577"/>
      <c r="K484" s="577"/>
      <c r="L484" s="577"/>
      <c r="M484" s="577"/>
      <c r="N484" s="577"/>
      <c r="O484" s="577"/>
      <c r="P484" s="577"/>
      <c r="Q484" s="577"/>
      <c r="R484" s="577"/>
      <c r="S484" s="577"/>
      <c r="T484" s="577"/>
      <c r="U484" s="577"/>
      <c r="V484" s="577"/>
      <c r="W484" s="577"/>
      <c r="X484" s="577"/>
      <c r="Y484" s="577"/>
      <c r="Z484" s="577"/>
      <c r="AA484" s="577"/>
      <c r="AB484" s="577"/>
      <c r="AC484" s="577"/>
      <c r="AD484" s="577"/>
      <c r="AE484" s="577"/>
      <c r="AF484" s="6"/>
    </row>
    <row r="485" ht="12.75" customHeight="1">
      <c r="A485" s="595"/>
      <c r="B485" s="596"/>
      <c r="C485" s="596"/>
      <c r="D485" s="596"/>
      <c r="E485" s="596"/>
      <c r="F485" s="596"/>
      <c r="G485" s="596"/>
      <c r="H485" s="596"/>
      <c r="I485" s="596"/>
      <c r="J485" s="577"/>
      <c r="K485" s="577"/>
      <c r="L485" s="577"/>
      <c r="M485" s="577"/>
      <c r="N485" s="577"/>
      <c r="O485" s="577"/>
      <c r="P485" s="577"/>
      <c r="Q485" s="577"/>
      <c r="R485" s="577"/>
      <c r="S485" s="577"/>
      <c r="T485" s="577"/>
      <c r="U485" s="577"/>
      <c r="V485" s="577"/>
      <c r="W485" s="577"/>
      <c r="X485" s="577"/>
      <c r="Y485" s="577"/>
      <c r="Z485" s="577"/>
      <c r="AA485" s="577"/>
      <c r="AB485" s="577"/>
      <c r="AC485" s="577"/>
      <c r="AD485" s="577"/>
      <c r="AE485" s="577"/>
      <c r="AF485" s="6"/>
    </row>
    <row r="486" ht="12.75" customHeight="1">
      <c r="A486" s="595"/>
      <c r="B486" s="596"/>
      <c r="C486" s="596"/>
      <c r="D486" s="596"/>
      <c r="E486" s="596"/>
      <c r="F486" s="596"/>
      <c r="G486" s="596"/>
      <c r="H486" s="596"/>
      <c r="I486" s="596"/>
      <c r="J486" s="577"/>
      <c r="K486" s="577"/>
      <c r="L486" s="577"/>
      <c r="M486" s="577"/>
      <c r="N486" s="577"/>
      <c r="O486" s="577"/>
      <c r="P486" s="577"/>
      <c r="Q486" s="577"/>
      <c r="R486" s="577"/>
      <c r="S486" s="577"/>
      <c r="T486" s="577"/>
      <c r="U486" s="577"/>
      <c r="V486" s="577"/>
      <c r="W486" s="577"/>
      <c r="X486" s="577"/>
      <c r="Y486" s="577"/>
      <c r="Z486" s="577"/>
      <c r="AA486" s="577"/>
      <c r="AB486" s="577"/>
      <c r="AC486" s="577"/>
      <c r="AD486" s="577"/>
      <c r="AE486" s="577"/>
      <c r="AF486" s="6"/>
    </row>
    <row r="487" ht="12.75" customHeight="1">
      <c r="A487" s="595"/>
      <c r="B487" s="596"/>
      <c r="C487" s="596"/>
      <c r="D487" s="596"/>
      <c r="E487" s="596"/>
      <c r="F487" s="596"/>
      <c r="G487" s="596"/>
      <c r="H487" s="596"/>
      <c r="I487" s="596"/>
      <c r="J487" s="577"/>
      <c r="K487" s="577"/>
      <c r="L487" s="577"/>
      <c r="M487" s="577"/>
      <c r="N487" s="577"/>
      <c r="O487" s="577"/>
      <c r="P487" s="577"/>
      <c r="Q487" s="577"/>
      <c r="R487" s="577"/>
      <c r="S487" s="577"/>
      <c r="T487" s="577"/>
      <c r="U487" s="577"/>
      <c r="V487" s="577"/>
      <c r="W487" s="577"/>
      <c r="X487" s="577"/>
      <c r="Y487" s="577"/>
      <c r="Z487" s="577"/>
      <c r="AA487" s="577"/>
      <c r="AB487" s="577"/>
      <c r="AC487" s="577"/>
      <c r="AD487" s="577"/>
      <c r="AE487" s="577"/>
      <c r="AF487" s="6"/>
    </row>
    <row r="488" ht="12.75" customHeight="1">
      <c r="A488" s="595"/>
      <c r="B488" s="596"/>
      <c r="C488" s="596"/>
      <c r="D488" s="596"/>
      <c r="E488" s="596"/>
      <c r="F488" s="596"/>
      <c r="G488" s="596"/>
      <c r="H488" s="596"/>
      <c r="I488" s="596"/>
      <c r="J488" s="577"/>
      <c r="K488" s="577"/>
      <c r="L488" s="577"/>
      <c r="M488" s="577"/>
      <c r="N488" s="577"/>
      <c r="O488" s="577"/>
      <c r="P488" s="577"/>
      <c r="Q488" s="577"/>
      <c r="R488" s="577"/>
      <c r="S488" s="577"/>
      <c r="T488" s="577"/>
      <c r="U488" s="577"/>
      <c r="V488" s="577"/>
      <c r="W488" s="577"/>
      <c r="X488" s="577"/>
      <c r="Y488" s="577"/>
      <c r="Z488" s="577"/>
      <c r="AA488" s="577"/>
      <c r="AB488" s="577"/>
      <c r="AC488" s="577"/>
      <c r="AD488" s="577"/>
      <c r="AE488" s="577"/>
      <c r="AF488" s="6"/>
    </row>
    <row r="489" ht="12.75" customHeight="1">
      <c r="A489" s="595"/>
      <c r="B489" s="596"/>
      <c r="C489" s="596"/>
      <c r="D489" s="596"/>
      <c r="E489" s="596"/>
      <c r="F489" s="596"/>
      <c r="G489" s="596"/>
      <c r="H489" s="596"/>
      <c r="I489" s="596"/>
      <c r="J489" s="577"/>
      <c r="K489" s="577"/>
      <c r="L489" s="577"/>
      <c r="M489" s="577"/>
      <c r="N489" s="577"/>
      <c r="O489" s="577"/>
      <c r="P489" s="577"/>
      <c r="Q489" s="577"/>
      <c r="R489" s="577"/>
      <c r="S489" s="577"/>
      <c r="T489" s="577"/>
      <c r="U489" s="577"/>
      <c r="V489" s="577"/>
      <c r="W489" s="577"/>
      <c r="X489" s="577"/>
      <c r="Y489" s="577"/>
      <c r="Z489" s="577"/>
      <c r="AA489" s="577"/>
      <c r="AB489" s="577"/>
      <c r="AC489" s="577"/>
      <c r="AD489" s="577"/>
      <c r="AE489" s="577"/>
      <c r="AF489" s="6"/>
    </row>
    <row r="490" ht="12.75" customHeight="1">
      <c r="A490" s="595"/>
      <c r="B490" s="596"/>
      <c r="C490" s="596"/>
      <c r="D490" s="596"/>
      <c r="E490" s="596"/>
      <c r="F490" s="596"/>
      <c r="G490" s="596"/>
      <c r="H490" s="596"/>
      <c r="I490" s="596"/>
      <c r="J490" s="577"/>
      <c r="K490" s="577"/>
      <c r="L490" s="577"/>
      <c r="M490" s="577"/>
      <c r="N490" s="577"/>
      <c r="O490" s="577"/>
      <c r="P490" s="577"/>
      <c r="Q490" s="577"/>
      <c r="R490" s="577"/>
      <c r="S490" s="577"/>
      <c r="T490" s="577"/>
      <c r="U490" s="577"/>
      <c r="V490" s="577"/>
      <c r="W490" s="577"/>
      <c r="X490" s="577"/>
      <c r="Y490" s="577"/>
      <c r="Z490" s="577"/>
      <c r="AA490" s="577"/>
      <c r="AB490" s="577"/>
      <c r="AC490" s="577"/>
      <c r="AD490" s="577"/>
      <c r="AE490" s="577"/>
      <c r="AF490" s="6"/>
    </row>
    <row r="491" ht="12.75" customHeight="1">
      <c r="A491" s="595"/>
      <c r="B491" s="596"/>
      <c r="C491" s="596"/>
      <c r="D491" s="596"/>
      <c r="E491" s="596"/>
      <c r="F491" s="596"/>
      <c r="G491" s="596"/>
      <c r="H491" s="596"/>
      <c r="I491" s="596"/>
      <c r="J491" s="577"/>
      <c r="K491" s="577"/>
      <c r="L491" s="577"/>
      <c r="M491" s="577"/>
      <c r="N491" s="577"/>
      <c r="O491" s="577"/>
      <c r="P491" s="577"/>
      <c r="Q491" s="577"/>
      <c r="R491" s="577"/>
      <c r="S491" s="577"/>
      <c r="T491" s="577"/>
      <c r="U491" s="577"/>
      <c r="V491" s="577"/>
      <c r="W491" s="577"/>
      <c r="X491" s="577"/>
      <c r="Y491" s="577"/>
      <c r="Z491" s="577"/>
      <c r="AA491" s="577"/>
      <c r="AB491" s="577"/>
      <c r="AC491" s="577"/>
      <c r="AD491" s="577"/>
      <c r="AE491" s="577"/>
      <c r="AF491" s="6"/>
    </row>
    <row r="492" ht="12.75" customHeight="1">
      <c r="A492" s="595"/>
      <c r="B492" s="596"/>
      <c r="C492" s="596"/>
      <c r="D492" s="596"/>
      <c r="E492" s="596"/>
      <c r="F492" s="596"/>
      <c r="G492" s="596"/>
      <c r="H492" s="596"/>
      <c r="I492" s="596"/>
      <c r="J492" s="577"/>
      <c r="K492" s="577"/>
      <c r="L492" s="577"/>
      <c r="M492" s="577"/>
      <c r="N492" s="577"/>
      <c r="O492" s="577"/>
      <c r="P492" s="577"/>
      <c r="Q492" s="577"/>
      <c r="R492" s="577"/>
      <c r="S492" s="577"/>
      <c r="T492" s="577"/>
      <c r="U492" s="577"/>
      <c r="V492" s="577"/>
      <c r="W492" s="577"/>
      <c r="X492" s="577"/>
      <c r="Y492" s="577"/>
      <c r="Z492" s="577"/>
      <c r="AA492" s="577"/>
      <c r="AB492" s="577"/>
      <c r="AC492" s="577"/>
      <c r="AD492" s="577"/>
      <c r="AE492" s="577"/>
      <c r="AF492" s="6"/>
    </row>
    <row r="493" ht="12.75" customHeight="1">
      <c r="A493" s="595"/>
      <c r="B493" s="596"/>
      <c r="C493" s="596"/>
      <c r="D493" s="596"/>
      <c r="E493" s="596"/>
      <c r="F493" s="596"/>
      <c r="G493" s="596"/>
      <c r="H493" s="596"/>
      <c r="I493" s="596"/>
      <c r="J493" s="577"/>
      <c r="K493" s="577"/>
      <c r="L493" s="577"/>
      <c r="M493" s="577"/>
      <c r="N493" s="577"/>
      <c r="O493" s="577"/>
      <c r="P493" s="577"/>
      <c r="Q493" s="577"/>
      <c r="R493" s="577"/>
      <c r="S493" s="577"/>
      <c r="T493" s="577"/>
      <c r="U493" s="577"/>
      <c r="V493" s="577"/>
      <c r="W493" s="577"/>
      <c r="X493" s="577"/>
      <c r="Y493" s="577"/>
      <c r="Z493" s="577"/>
      <c r="AA493" s="577"/>
      <c r="AB493" s="577"/>
      <c r="AC493" s="577"/>
      <c r="AD493" s="577"/>
      <c r="AE493" s="577"/>
      <c r="AF493" s="6"/>
    </row>
    <row r="494" ht="12.75" customHeight="1">
      <c r="A494" s="595"/>
      <c r="B494" s="596"/>
      <c r="C494" s="596"/>
      <c r="D494" s="596"/>
      <c r="E494" s="596"/>
      <c r="F494" s="596"/>
      <c r="G494" s="596"/>
      <c r="H494" s="596"/>
      <c r="I494" s="596"/>
      <c r="J494" s="577"/>
      <c r="K494" s="577"/>
      <c r="L494" s="577"/>
      <c r="M494" s="577"/>
      <c r="N494" s="577"/>
      <c r="O494" s="577"/>
      <c r="P494" s="577"/>
      <c r="Q494" s="577"/>
      <c r="R494" s="577"/>
      <c r="S494" s="577"/>
      <c r="T494" s="577"/>
      <c r="U494" s="577"/>
      <c r="V494" s="577"/>
      <c r="W494" s="577"/>
      <c r="X494" s="577"/>
      <c r="Y494" s="577"/>
      <c r="Z494" s="577"/>
      <c r="AA494" s="577"/>
      <c r="AB494" s="577"/>
      <c r="AC494" s="577"/>
      <c r="AD494" s="577"/>
      <c r="AE494" s="577"/>
      <c r="AF494" s="6"/>
    </row>
    <row r="495" ht="12.75" customHeight="1">
      <c r="A495" s="595"/>
      <c r="B495" s="596"/>
      <c r="C495" s="596"/>
      <c r="D495" s="596"/>
      <c r="E495" s="596"/>
      <c r="F495" s="596"/>
      <c r="G495" s="596"/>
      <c r="H495" s="596"/>
      <c r="I495" s="596"/>
      <c r="J495" s="577"/>
      <c r="K495" s="577"/>
      <c r="L495" s="577"/>
      <c r="M495" s="577"/>
      <c r="N495" s="577"/>
      <c r="O495" s="577"/>
      <c r="P495" s="577"/>
      <c r="Q495" s="577"/>
      <c r="R495" s="577"/>
      <c r="S495" s="577"/>
      <c r="T495" s="577"/>
      <c r="U495" s="577"/>
      <c r="V495" s="577"/>
      <c r="W495" s="577"/>
      <c r="X495" s="577"/>
      <c r="Y495" s="577"/>
      <c r="Z495" s="577"/>
      <c r="AA495" s="577"/>
      <c r="AB495" s="577"/>
      <c r="AC495" s="577"/>
      <c r="AD495" s="577"/>
      <c r="AE495" s="577"/>
      <c r="AF495" s="6"/>
    </row>
    <row r="496" ht="12.75" customHeight="1">
      <c r="A496" s="595"/>
      <c r="B496" s="596"/>
      <c r="C496" s="596"/>
      <c r="D496" s="596"/>
      <c r="E496" s="596"/>
      <c r="F496" s="596"/>
      <c r="G496" s="596"/>
      <c r="H496" s="596"/>
      <c r="I496" s="596"/>
      <c r="J496" s="577"/>
      <c r="K496" s="577"/>
      <c r="L496" s="577"/>
      <c r="M496" s="577"/>
      <c r="N496" s="577"/>
      <c r="O496" s="577"/>
      <c r="P496" s="577"/>
      <c r="Q496" s="577"/>
      <c r="R496" s="577"/>
      <c r="S496" s="577"/>
      <c r="T496" s="577"/>
      <c r="U496" s="577"/>
      <c r="V496" s="577"/>
      <c r="W496" s="577"/>
      <c r="X496" s="577"/>
      <c r="Y496" s="577"/>
      <c r="Z496" s="577"/>
      <c r="AA496" s="577"/>
      <c r="AB496" s="577"/>
      <c r="AC496" s="577"/>
      <c r="AD496" s="577"/>
      <c r="AE496" s="577"/>
      <c r="AF496" s="6"/>
    </row>
    <row r="497" ht="12.75" customHeight="1">
      <c r="A497" s="595"/>
      <c r="B497" s="596"/>
      <c r="C497" s="596"/>
      <c r="D497" s="596"/>
      <c r="E497" s="596"/>
      <c r="F497" s="596"/>
      <c r="G497" s="596"/>
      <c r="H497" s="596"/>
      <c r="I497" s="596"/>
      <c r="J497" s="577"/>
      <c r="K497" s="577"/>
      <c r="L497" s="577"/>
      <c r="M497" s="577"/>
      <c r="N497" s="577"/>
      <c r="O497" s="577"/>
      <c r="P497" s="577"/>
      <c r="Q497" s="577"/>
      <c r="R497" s="577"/>
      <c r="S497" s="577"/>
      <c r="T497" s="577"/>
      <c r="U497" s="577"/>
      <c r="V497" s="577"/>
      <c r="W497" s="577"/>
      <c r="X497" s="577"/>
      <c r="Y497" s="577"/>
      <c r="Z497" s="577"/>
      <c r="AA497" s="577"/>
      <c r="AB497" s="577"/>
      <c r="AC497" s="577"/>
      <c r="AD497" s="577"/>
      <c r="AE497" s="577"/>
      <c r="AF497" s="6"/>
    </row>
    <row r="498" ht="12.75" customHeight="1">
      <c r="A498" s="595"/>
      <c r="B498" s="596"/>
      <c r="C498" s="596"/>
      <c r="D498" s="596"/>
      <c r="E498" s="596"/>
      <c r="F498" s="596"/>
      <c r="G498" s="596"/>
      <c r="H498" s="596"/>
      <c r="I498" s="596"/>
      <c r="J498" s="577"/>
      <c r="K498" s="577"/>
      <c r="L498" s="577"/>
      <c r="M498" s="577"/>
      <c r="N498" s="577"/>
      <c r="O498" s="577"/>
      <c r="P498" s="577"/>
      <c r="Q498" s="577"/>
      <c r="R498" s="577"/>
      <c r="S498" s="577"/>
      <c r="T498" s="577"/>
      <c r="U498" s="577"/>
      <c r="V498" s="577"/>
      <c r="W498" s="577"/>
      <c r="X498" s="577"/>
      <c r="Y498" s="577"/>
      <c r="Z498" s="577"/>
      <c r="AA498" s="577"/>
      <c r="AB498" s="577"/>
      <c r="AC498" s="577"/>
      <c r="AD498" s="577"/>
      <c r="AE498" s="577"/>
      <c r="AF498" s="6"/>
    </row>
    <row r="499" ht="12.75" customHeight="1">
      <c r="A499" s="595"/>
      <c r="B499" s="596"/>
      <c r="C499" s="596"/>
      <c r="D499" s="596"/>
      <c r="E499" s="596"/>
      <c r="F499" s="596"/>
      <c r="G499" s="596"/>
      <c r="H499" s="596"/>
      <c r="I499" s="596"/>
      <c r="J499" s="577"/>
      <c r="K499" s="577"/>
      <c r="L499" s="577"/>
      <c r="M499" s="577"/>
      <c r="N499" s="577"/>
      <c r="O499" s="577"/>
      <c r="P499" s="577"/>
      <c r="Q499" s="577"/>
      <c r="R499" s="577"/>
      <c r="S499" s="577"/>
      <c r="T499" s="577"/>
      <c r="U499" s="577"/>
      <c r="V499" s="577"/>
      <c r="W499" s="577"/>
      <c r="X499" s="577"/>
      <c r="Y499" s="577"/>
      <c r="Z499" s="577"/>
      <c r="AA499" s="577"/>
      <c r="AB499" s="577"/>
      <c r="AC499" s="577"/>
      <c r="AD499" s="577"/>
      <c r="AE499" s="577"/>
      <c r="AF499" s="6"/>
    </row>
    <row r="500" ht="12.75" customHeight="1">
      <c r="A500" s="595"/>
      <c r="B500" s="596"/>
      <c r="C500" s="596"/>
      <c r="D500" s="596"/>
      <c r="E500" s="596"/>
      <c r="F500" s="596"/>
      <c r="G500" s="596"/>
      <c r="H500" s="596"/>
      <c r="I500" s="596"/>
      <c r="J500" s="577"/>
      <c r="K500" s="577"/>
      <c r="L500" s="577"/>
      <c r="M500" s="577"/>
      <c r="N500" s="577"/>
      <c r="O500" s="577"/>
      <c r="P500" s="577"/>
      <c r="Q500" s="577"/>
      <c r="R500" s="577"/>
      <c r="S500" s="577"/>
      <c r="T500" s="577"/>
      <c r="U500" s="577"/>
      <c r="V500" s="577"/>
      <c r="W500" s="577"/>
      <c r="X500" s="577"/>
      <c r="Y500" s="577"/>
      <c r="Z500" s="577"/>
      <c r="AA500" s="577"/>
      <c r="AB500" s="577"/>
      <c r="AC500" s="577"/>
      <c r="AD500" s="577"/>
      <c r="AE500" s="577"/>
      <c r="AF500" s="6"/>
    </row>
    <row r="501" ht="12.75" customHeight="1">
      <c r="A501" s="595"/>
      <c r="B501" s="596"/>
      <c r="C501" s="596"/>
      <c r="D501" s="596"/>
      <c r="E501" s="596"/>
      <c r="F501" s="596"/>
      <c r="G501" s="596"/>
      <c r="H501" s="596"/>
      <c r="I501" s="596"/>
      <c r="J501" s="577"/>
      <c r="K501" s="577"/>
      <c r="L501" s="577"/>
      <c r="M501" s="577"/>
      <c r="N501" s="577"/>
      <c r="O501" s="577"/>
      <c r="P501" s="577"/>
      <c r="Q501" s="577"/>
      <c r="R501" s="577"/>
      <c r="S501" s="577"/>
      <c r="T501" s="577"/>
      <c r="U501" s="577"/>
      <c r="V501" s="577"/>
      <c r="W501" s="577"/>
      <c r="X501" s="577"/>
      <c r="Y501" s="577"/>
      <c r="Z501" s="577"/>
      <c r="AA501" s="577"/>
      <c r="AB501" s="577"/>
      <c r="AC501" s="577"/>
      <c r="AD501" s="577"/>
      <c r="AE501" s="577"/>
      <c r="AF501" s="6"/>
    </row>
    <row r="502" ht="12.75" customHeight="1">
      <c r="A502" s="595"/>
      <c r="B502" s="596"/>
      <c r="C502" s="596"/>
      <c r="D502" s="596"/>
      <c r="E502" s="596"/>
      <c r="F502" s="596"/>
      <c r="G502" s="596"/>
      <c r="H502" s="596"/>
      <c r="I502" s="596"/>
      <c r="J502" s="577"/>
      <c r="K502" s="577"/>
      <c r="L502" s="577"/>
      <c r="M502" s="577"/>
      <c r="N502" s="577"/>
      <c r="O502" s="577"/>
      <c r="P502" s="577"/>
      <c r="Q502" s="577"/>
      <c r="R502" s="577"/>
      <c r="S502" s="577"/>
      <c r="T502" s="577"/>
      <c r="U502" s="577"/>
      <c r="V502" s="577"/>
      <c r="W502" s="577"/>
      <c r="X502" s="577"/>
      <c r="Y502" s="577"/>
      <c r="Z502" s="577"/>
      <c r="AA502" s="577"/>
      <c r="AB502" s="577"/>
      <c r="AC502" s="577"/>
      <c r="AD502" s="577"/>
      <c r="AE502" s="577"/>
      <c r="AF502" s="6"/>
    </row>
    <row r="503" ht="12.75" customHeight="1">
      <c r="A503" s="595"/>
      <c r="B503" s="596"/>
      <c r="C503" s="596"/>
      <c r="D503" s="596"/>
      <c r="E503" s="596"/>
      <c r="F503" s="596"/>
      <c r="G503" s="596"/>
      <c r="H503" s="596"/>
      <c r="I503" s="596"/>
      <c r="J503" s="577"/>
      <c r="K503" s="577"/>
      <c r="L503" s="577"/>
      <c r="M503" s="577"/>
      <c r="N503" s="577"/>
      <c r="O503" s="577"/>
      <c r="P503" s="577"/>
      <c r="Q503" s="577"/>
      <c r="R503" s="577"/>
      <c r="S503" s="577"/>
      <c r="T503" s="577"/>
      <c r="U503" s="577"/>
      <c r="V503" s="577"/>
      <c r="W503" s="577"/>
      <c r="X503" s="577"/>
      <c r="Y503" s="577"/>
      <c r="Z503" s="577"/>
      <c r="AA503" s="577"/>
      <c r="AB503" s="577"/>
      <c r="AC503" s="577"/>
      <c r="AD503" s="577"/>
      <c r="AE503" s="577"/>
      <c r="AF503" s="6"/>
    </row>
    <row r="504" ht="12.75" customHeight="1">
      <c r="A504" s="595"/>
      <c r="B504" s="596"/>
      <c r="C504" s="596"/>
      <c r="D504" s="596"/>
      <c r="E504" s="596"/>
      <c r="F504" s="596"/>
      <c r="G504" s="596"/>
      <c r="H504" s="596"/>
      <c r="I504" s="596"/>
      <c r="J504" s="577"/>
      <c r="K504" s="577"/>
      <c r="L504" s="577"/>
      <c r="M504" s="577"/>
      <c r="N504" s="577"/>
      <c r="O504" s="577"/>
      <c r="P504" s="577"/>
      <c r="Q504" s="577"/>
      <c r="R504" s="577"/>
      <c r="S504" s="577"/>
      <c r="T504" s="577"/>
      <c r="U504" s="577"/>
      <c r="V504" s="577"/>
      <c r="W504" s="577"/>
      <c r="X504" s="577"/>
      <c r="Y504" s="577"/>
      <c r="Z504" s="577"/>
      <c r="AA504" s="577"/>
      <c r="AB504" s="577"/>
      <c r="AC504" s="577"/>
      <c r="AD504" s="577"/>
      <c r="AE504" s="577"/>
      <c r="AF504" s="6"/>
    </row>
    <row r="505" ht="12.75" customHeight="1">
      <c r="A505" s="595"/>
      <c r="B505" s="596"/>
      <c r="C505" s="596"/>
      <c r="D505" s="596"/>
      <c r="E505" s="596"/>
      <c r="F505" s="596"/>
      <c r="G505" s="596"/>
      <c r="H505" s="596"/>
      <c r="I505" s="596"/>
      <c r="J505" s="577"/>
      <c r="K505" s="577"/>
      <c r="L505" s="577"/>
      <c r="M505" s="577"/>
      <c r="N505" s="577"/>
      <c r="O505" s="577"/>
      <c r="P505" s="577"/>
      <c r="Q505" s="577"/>
      <c r="R505" s="577"/>
      <c r="S505" s="577"/>
      <c r="T505" s="577"/>
      <c r="U505" s="577"/>
      <c r="V505" s="577"/>
      <c r="W505" s="577"/>
      <c r="X505" s="577"/>
      <c r="Y505" s="577"/>
      <c r="Z505" s="577"/>
      <c r="AA505" s="577"/>
      <c r="AB505" s="577"/>
      <c r="AC505" s="577"/>
      <c r="AD505" s="577"/>
      <c r="AE505" s="577"/>
      <c r="AF505" s="6"/>
    </row>
    <row r="506" ht="12.75" customHeight="1">
      <c r="A506" s="595"/>
      <c r="B506" s="596"/>
      <c r="C506" s="596"/>
      <c r="D506" s="596"/>
      <c r="E506" s="596"/>
      <c r="F506" s="596"/>
      <c r="G506" s="596"/>
      <c r="H506" s="596"/>
      <c r="I506" s="596"/>
      <c r="J506" s="577"/>
      <c r="K506" s="577"/>
      <c r="L506" s="577"/>
      <c r="M506" s="577"/>
      <c r="N506" s="577"/>
      <c r="O506" s="577"/>
      <c r="P506" s="577"/>
      <c r="Q506" s="577"/>
      <c r="R506" s="577"/>
      <c r="S506" s="577"/>
      <c r="T506" s="577"/>
      <c r="U506" s="577"/>
      <c r="V506" s="577"/>
      <c r="W506" s="577"/>
      <c r="X506" s="577"/>
      <c r="Y506" s="577"/>
      <c r="Z506" s="577"/>
      <c r="AA506" s="577"/>
      <c r="AB506" s="577"/>
      <c r="AC506" s="577"/>
      <c r="AD506" s="577"/>
      <c r="AE506" s="577"/>
      <c r="AF506" s="6"/>
    </row>
    <row r="507" ht="12.75" customHeight="1">
      <c r="A507" s="595"/>
      <c r="B507" s="596"/>
      <c r="C507" s="596"/>
      <c r="D507" s="596"/>
      <c r="E507" s="596"/>
      <c r="F507" s="596"/>
      <c r="G507" s="596"/>
      <c r="H507" s="596"/>
      <c r="I507" s="596"/>
      <c r="J507" s="577"/>
      <c r="K507" s="577"/>
      <c r="L507" s="577"/>
      <c r="M507" s="577"/>
      <c r="N507" s="577"/>
      <c r="O507" s="577"/>
      <c r="P507" s="577"/>
      <c r="Q507" s="577"/>
      <c r="R507" s="577"/>
      <c r="S507" s="577"/>
      <c r="T507" s="577"/>
      <c r="U507" s="577"/>
      <c r="V507" s="577"/>
      <c r="W507" s="577"/>
      <c r="X507" s="577"/>
      <c r="Y507" s="577"/>
      <c r="Z507" s="577"/>
      <c r="AA507" s="577"/>
      <c r="AB507" s="577"/>
      <c r="AC507" s="577"/>
      <c r="AD507" s="577"/>
      <c r="AE507" s="577"/>
      <c r="AF507" s="6"/>
    </row>
    <row r="508" ht="12.75" customHeight="1">
      <c r="A508" s="595"/>
      <c r="B508" s="596"/>
      <c r="C508" s="596"/>
      <c r="D508" s="596"/>
      <c r="E508" s="596"/>
      <c r="F508" s="596"/>
      <c r="G508" s="596"/>
      <c r="H508" s="596"/>
      <c r="I508" s="596"/>
      <c r="J508" s="577"/>
      <c r="K508" s="577"/>
      <c r="L508" s="577"/>
      <c r="M508" s="577"/>
      <c r="N508" s="577"/>
      <c r="O508" s="577"/>
      <c r="P508" s="577"/>
      <c r="Q508" s="577"/>
      <c r="R508" s="577"/>
      <c r="S508" s="577"/>
      <c r="T508" s="577"/>
      <c r="U508" s="577"/>
      <c r="V508" s="577"/>
      <c r="W508" s="577"/>
      <c r="X508" s="577"/>
      <c r="Y508" s="577"/>
      <c r="Z508" s="577"/>
      <c r="AA508" s="577"/>
      <c r="AB508" s="577"/>
      <c r="AC508" s="577"/>
      <c r="AD508" s="577"/>
      <c r="AE508" s="577"/>
      <c r="AF508" s="6"/>
    </row>
    <row r="509" ht="12.75" customHeight="1">
      <c r="A509" s="595"/>
      <c r="B509" s="596"/>
      <c r="C509" s="596"/>
      <c r="D509" s="596"/>
      <c r="E509" s="596"/>
      <c r="F509" s="596"/>
      <c r="G509" s="596"/>
      <c r="H509" s="596"/>
      <c r="I509" s="596"/>
      <c r="J509" s="577"/>
      <c r="K509" s="577"/>
      <c r="L509" s="577"/>
      <c r="M509" s="577"/>
      <c r="N509" s="577"/>
      <c r="O509" s="577"/>
      <c r="P509" s="577"/>
      <c r="Q509" s="577"/>
      <c r="R509" s="577"/>
      <c r="S509" s="577"/>
      <c r="T509" s="577"/>
      <c r="U509" s="577"/>
      <c r="V509" s="577"/>
      <c r="W509" s="577"/>
      <c r="X509" s="577"/>
      <c r="Y509" s="577"/>
      <c r="Z509" s="577"/>
      <c r="AA509" s="577"/>
      <c r="AB509" s="577"/>
      <c r="AC509" s="577"/>
      <c r="AD509" s="577"/>
      <c r="AE509" s="577"/>
      <c r="AF509" s="6"/>
    </row>
    <row r="510" ht="12.75" customHeight="1">
      <c r="A510" s="595"/>
      <c r="B510" s="596"/>
      <c r="C510" s="596"/>
      <c r="D510" s="596"/>
      <c r="E510" s="596"/>
      <c r="F510" s="596"/>
      <c r="G510" s="596"/>
      <c r="H510" s="596"/>
      <c r="I510" s="596"/>
      <c r="J510" s="577"/>
      <c r="K510" s="577"/>
      <c r="L510" s="577"/>
      <c r="M510" s="577"/>
      <c r="N510" s="577"/>
      <c r="O510" s="577"/>
      <c r="P510" s="577"/>
      <c r="Q510" s="577"/>
      <c r="R510" s="577"/>
      <c r="S510" s="577"/>
      <c r="T510" s="577"/>
      <c r="U510" s="577"/>
      <c r="V510" s="577"/>
      <c r="W510" s="577"/>
      <c r="X510" s="577"/>
      <c r="Y510" s="577"/>
      <c r="Z510" s="577"/>
      <c r="AA510" s="577"/>
      <c r="AB510" s="577"/>
      <c r="AC510" s="577"/>
      <c r="AD510" s="577"/>
      <c r="AE510" s="577"/>
      <c r="AF510" s="6"/>
    </row>
    <row r="511" ht="12.75" customHeight="1">
      <c r="A511" s="595"/>
      <c r="B511" s="596"/>
      <c r="C511" s="596"/>
      <c r="D511" s="596"/>
      <c r="E511" s="596"/>
      <c r="F511" s="596"/>
      <c r="G511" s="596"/>
      <c r="H511" s="596"/>
      <c r="I511" s="596"/>
      <c r="J511" s="577"/>
      <c r="K511" s="577"/>
      <c r="L511" s="577"/>
      <c r="M511" s="577"/>
      <c r="N511" s="577"/>
      <c r="O511" s="577"/>
      <c r="P511" s="577"/>
      <c r="Q511" s="577"/>
      <c r="R511" s="577"/>
      <c r="S511" s="577"/>
      <c r="T511" s="577"/>
      <c r="U511" s="577"/>
      <c r="V511" s="577"/>
      <c r="W511" s="577"/>
      <c r="X511" s="577"/>
      <c r="Y511" s="577"/>
      <c r="Z511" s="577"/>
      <c r="AA511" s="577"/>
      <c r="AB511" s="577"/>
      <c r="AC511" s="577"/>
      <c r="AD511" s="577"/>
      <c r="AE511" s="577"/>
      <c r="AF511" s="6"/>
    </row>
    <row r="512" ht="12.75" customHeight="1">
      <c r="A512" s="595"/>
      <c r="B512" s="596"/>
      <c r="C512" s="596"/>
      <c r="D512" s="596"/>
      <c r="E512" s="596"/>
      <c r="F512" s="596"/>
      <c r="G512" s="596"/>
      <c r="H512" s="596"/>
      <c r="I512" s="596"/>
      <c r="J512" s="577"/>
      <c r="K512" s="577"/>
      <c r="L512" s="577"/>
      <c r="M512" s="577"/>
      <c r="N512" s="577"/>
      <c r="O512" s="577"/>
      <c r="P512" s="577"/>
      <c r="Q512" s="577"/>
      <c r="R512" s="577"/>
      <c r="S512" s="577"/>
      <c r="T512" s="577"/>
      <c r="U512" s="577"/>
      <c r="V512" s="577"/>
      <c r="W512" s="577"/>
      <c r="X512" s="577"/>
      <c r="Y512" s="577"/>
      <c r="Z512" s="577"/>
      <c r="AA512" s="577"/>
      <c r="AB512" s="577"/>
      <c r="AC512" s="577"/>
      <c r="AD512" s="577"/>
      <c r="AE512" s="577"/>
      <c r="AF512" s="6"/>
    </row>
    <row r="513" ht="12.75" customHeight="1">
      <c r="A513" s="595"/>
      <c r="B513" s="596"/>
      <c r="C513" s="596"/>
      <c r="D513" s="596"/>
      <c r="E513" s="596"/>
      <c r="F513" s="596"/>
      <c r="G513" s="596"/>
      <c r="H513" s="596"/>
      <c r="I513" s="596"/>
      <c r="J513" s="577"/>
      <c r="K513" s="577"/>
      <c r="L513" s="577"/>
      <c r="M513" s="577"/>
      <c r="N513" s="577"/>
      <c r="O513" s="577"/>
      <c r="P513" s="577"/>
      <c r="Q513" s="577"/>
      <c r="R513" s="577"/>
      <c r="S513" s="577"/>
      <c r="T513" s="577"/>
      <c r="U513" s="577"/>
      <c r="V513" s="577"/>
      <c r="W513" s="577"/>
      <c r="X513" s="577"/>
      <c r="Y513" s="577"/>
      <c r="Z513" s="577"/>
      <c r="AA513" s="577"/>
      <c r="AB513" s="577"/>
      <c r="AC513" s="577"/>
      <c r="AD513" s="577"/>
      <c r="AE513" s="577"/>
      <c r="AF513" s="6"/>
    </row>
    <row r="514" ht="12.75" customHeight="1">
      <c r="A514" s="595"/>
      <c r="B514" s="596"/>
      <c r="C514" s="596"/>
      <c r="D514" s="596"/>
      <c r="E514" s="596"/>
      <c r="F514" s="596"/>
      <c r="G514" s="596"/>
      <c r="H514" s="596"/>
      <c r="I514" s="596"/>
      <c r="J514" s="577"/>
      <c r="K514" s="577"/>
      <c r="L514" s="577"/>
      <c r="M514" s="577"/>
      <c r="N514" s="577"/>
      <c r="O514" s="577"/>
      <c r="P514" s="577"/>
      <c r="Q514" s="577"/>
      <c r="R514" s="577"/>
      <c r="S514" s="577"/>
      <c r="T514" s="577"/>
      <c r="U514" s="577"/>
      <c r="V514" s="577"/>
      <c r="W514" s="577"/>
      <c r="X514" s="577"/>
      <c r="Y514" s="577"/>
      <c r="Z514" s="577"/>
      <c r="AA514" s="577"/>
      <c r="AB514" s="577"/>
      <c r="AC514" s="577"/>
      <c r="AD514" s="577"/>
      <c r="AE514" s="577"/>
      <c r="AF514" s="6"/>
    </row>
    <row r="515" ht="12.75" customHeight="1">
      <c r="A515" s="595"/>
      <c r="B515" s="596"/>
      <c r="C515" s="596"/>
      <c r="D515" s="596"/>
      <c r="E515" s="596"/>
      <c r="F515" s="596"/>
      <c r="G515" s="596"/>
      <c r="H515" s="596"/>
      <c r="I515" s="596"/>
      <c r="J515" s="577"/>
      <c r="K515" s="577"/>
      <c r="L515" s="577"/>
      <c r="M515" s="577"/>
      <c r="N515" s="577"/>
      <c r="O515" s="577"/>
      <c r="P515" s="577"/>
      <c r="Q515" s="577"/>
      <c r="R515" s="577"/>
      <c r="S515" s="577"/>
      <c r="T515" s="577"/>
      <c r="U515" s="577"/>
      <c r="V515" s="577"/>
      <c r="W515" s="577"/>
      <c r="X515" s="577"/>
      <c r="Y515" s="577"/>
      <c r="Z515" s="577"/>
      <c r="AA515" s="577"/>
      <c r="AB515" s="577"/>
      <c r="AC515" s="577"/>
      <c r="AD515" s="577"/>
      <c r="AE515" s="577"/>
      <c r="AF515" s="6"/>
    </row>
    <row r="516" ht="12.75" customHeight="1">
      <c r="A516" s="595"/>
      <c r="B516" s="596"/>
      <c r="C516" s="596"/>
      <c r="D516" s="596"/>
      <c r="E516" s="596"/>
      <c r="F516" s="596"/>
      <c r="G516" s="596"/>
      <c r="H516" s="596"/>
      <c r="I516" s="596"/>
      <c r="J516" s="577"/>
      <c r="K516" s="577"/>
      <c r="L516" s="577"/>
      <c r="M516" s="577"/>
      <c r="N516" s="577"/>
      <c r="O516" s="577"/>
      <c r="P516" s="577"/>
      <c r="Q516" s="577"/>
      <c r="R516" s="577"/>
      <c r="S516" s="577"/>
      <c r="T516" s="577"/>
      <c r="U516" s="577"/>
      <c r="V516" s="577"/>
      <c r="W516" s="577"/>
      <c r="X516" s="577"/>
      <c r="Y516" s="577"/>
      <c r="Z516" s="577"/>
      <c r="AA516" s="577"/>
      <c r="AB516" s="577"/>
      <c r="AC516" s="577"/>
      <c r="AD516" s="577"/>
      <c r="AE516" s="577"/>
      <c r="AF516" s="6"/>
    </row>
    <row r="517" ht="12.75" customHeight="1">
      <c r="A517" s="595"/>
      <c r="B517" s="596"/>
      <c r="C517" s="596"/>
      <c r="D517" s="596"/>
      <c r="E517" s="596"/>
      <c r="F517" s="596"/>
      <c r="G517" s="596"/>
      <c r="H517" s="596"/>
      <c r="I517" s="596"/>
      <c r="J517" s="577"/>
      <c r="K517" s="577"/>
      <c r="L517" s="577"/>
      <c r="M517" s="577"/>
      <c r="N517" s="577"/>
      <c r="O517" s="577"/>
      <c r="P517" s="577"/>
      <c r="Q517" s="577"/>
      <c r="R517" s="577"/>
      <c r="S517" s="577"/>
      <c r="T517" s="577"/>
      <c r="U517" s="577"/>
      <c r="V517" s="577"/>
      <c r="W517" s="577"/>
      <c r="X517" s="577"/>
      <c r="Y517" s="577"/>
      <c r="Z517" s="577"/>
      <c r="AA517" s="577"/>
      <c r="AB517" s="577"/>
      <c r="AC517" s="577"/>
      <c r="AD517" s="577"/>
      <c r="AE517" s="577"/>
      <c r="AF517" s="6"/>
    </row>
    <row r="518" ht="12.75" customHeight="1">
      <c r="A518" s="595"/>
      <c r="B518" s="596"/>
      <c r="C518" s="596"/>
      <c r="D518" s="596"/>
      <c r="E518" s="596"/>
      <c r="F518" s="596"/>
      <c r="G518" s="596"/>
      <c r="H518" s="596"/>
      <c r="I518" s="596"/>
      <c r="J518" s="577"/>
      <c r="K518" s="577"/>
      <c r="L518" s="577"/>
      <c r="M518" s="577"/>
      <c r="N518" s="577"/>
      <c r="O518" s="577"/>
      <c r="P518" s="577"/>
      <c r="Q518" s="577"/>
      <c r="R518" s="577"/>
      <c r="S518" s="577"/>
      <c r="T518" s="577"/>
      <c r="U518" s="577"/>
      <c r="V518" s="577"/>
      <c r="W518" s="577"/>
      <c r="X518" s="577"/>
      <c r="Y518" s="577"/>
      <c r="Z518" s="577"/>
      <c r="AA518" s="577"/>
      <c r="AB518" s="577"/>
      <c r="AC518" s="577"/>
      <c r="AD518" s="577"/>
      <c r="AE518" s="577"/>
      <c r="AF518" s="6"/>
    </row>
    <row r="519" ht="12.75" customHeight="1">
      <c r="A519" s="595"/>
      <c r="B519" s="596"/>
      <c r="C519" s="596"/>
      <c r="D519" s="596"/>
      <c r="E519" s="596"/>
      <c r="F519" s="596"/>
      <c r="G519" s="596"/>
      <c r="H519" s="596"/>
      <c r="I519" s="596"/>
      <c r="J519" s="577"/>
      <c r="K519" s="577"/>
      <c r="L519" s="577"/>
      <c r="M519" s="577"/>
      <c r="N519" s="577"/>
      <c r="O519" s="577"/>
      <c r="P519" s="577"/>
      <c r="Q519" s="577"/>
      <c r="R519" s="577"/>
      <c r="S519" s="577"/>
      <c r="T519" s="577"/>
      <c r="U519" s="577"/>
      <c r="V519" s="577"/>
      <c r="W519" s="577"/>
      <c r="X519" s="577"/>
      <c r="Y519" s="577"/>
      <c r="Z519" s="577"/>
      <c r="AA519" s="577"/>
      <c r="AB519" s="577"/>
      <c r="AC519" s="577"/>
      <c r="AD519" s="577"/>
      <c r="AE519" s="577"/>
      <c r="AF519" s="6"/>
    </row>
    <row r="520" ht="12.75" customHeight="1">
      <c r="A520" s="595"/>
      <c r="B520" s="596"/>
      <c r="C520" s="596"/>
      <c r="D520" s="596"/>
      <c r="E520" s="596"/>
      <c r="F520" s="596"/>
      <c r="G520" s="596"/>
      <c r="H520" s="596"/>
      <c r="I520" s="596"/>
      <c r="J520" s="577"/>
      <c r="K520" s="577"/>
      <c r="L520" s="577"/>
      <c r="M520" s="577"/>
      <c r="N520" s="577"/>
      <c r="O520" s="577"/>
      <c r="P520" s="577"/>
      <c r="Q520" s="577"/>
      <c r="R520" s="577"/>
      <c r="S520" s="577"/>
      <c r="T520" s="577"/>
      <c r="U520" s="577"/>
      <c r="V520" s="577"/>
      <c r="W520" s="577"/>
      <c r="X520" s="577"/>
      <c r="Y520" s="577"/>
      <c r="Z520" s="577"/>
      <c r="AA520" s="577"/>
      <c r="AB520" s="577"/>
      <c r="AC520" s="577"/>
      <c r="AD520" s="577"/>
      <c r="AE520" s="577"/>
      <c r="AF520" s="6"/>
    </row>
    <row r="521" ht="12.75" customHeight="1">
      <c r="A521" s="595"/>
      <c r="B521" s="596"/>
      <c r="C521" s="596"/>
      <c r="D521" s="596"/>
      <c r="E521" s="596"/>
      <c r="F521" s="596"/>
      <c r="G521" s="596"/>
      <c r="H521" s="596"/>
      <c r="I521" s="596"/>
      <c r="J521" s="577"/>
      <c r="K521" s="577"/>
      <c r="L521" s="577"/>
      <c r="M521" s="577"/>
      <c r="N521" s="577"/>
      <c r="O521" s="577"/>
      <c r="P521" s="577"/>
      <c r="Q521" s="577"/>
      <c r="R521" s="577"/>
      <c r="S521" s="577"/>
      <c r="T521" s="577"/>
      <c r="U521" s="577"/>
      <c r="V521" s="577"/>
      <c r="W521" s="577"/>
      <c r="X521" s="577"/>
      <c r="Y521" s="577"/>
      <c r="Z521" s="577"/>
      <c r="AA521" s="577"/>
      <c r="AB521" s="577"/>
      <c r="AC521" s="577"/>
      <c r="AD521" s="577"/>
      <c r="AE521" s="577"/>
      <c r="AF521" s="6"/>
    </row>
    <row r="522" ht="12.75" customHeight="1">
      <c r="A522" s="595"/>
      <c r="B522" s="596"/>
      <c r="C522" s="596"/>
      <c r="D522" s="596"/>
      <c r="E522" s="596"/>
      <c r="F522" s="596"/>
      <c r="G522" s="596"/>
      <c r="H522" s="596"/>
      <c r="I522" s="596"/>
      <c r="J522" s="577"/>
      <c r="K522" s="577"/>
      <c r="L522" s="577"/>
      <c r="M522" s="577"/>
      <c r="N522" s="577"/>
      <c r="O522" s="577"/>
      <c r="P522" s="577"/>
      <c r="Q522" s="577"/>
      <c r="R522" s="577"/>
      <c r="S522" s="577"/>
      <c r="T522" s="577"/>
      <c r="U522" s="577"/>
      <c r="V522" s="577"/>
      <c r="W522" s="577"/>
      <c r="X522" s="577"/>
      <c r="Y522" s="577"/>
      <c r="Z522" s="577"/>
      <c r="AA522" s="577"/>
      <c r="AB522" s="577"/>
      <c r="AC522" s="577"/>
      <c r="AD522" s="577"/>
      <c r="AE522" s="577"/>
      <c r="AF522" s="6"/>
    </row>
    <row r="523" ht="12.75" customHeight="1">
      <c r="A523" s="595"/>
      <c r="B523" s="596"/>
      <c r="C523" s="596"/>
      <c r="D523" s="596"/>
      <c r="E523" s="596"/>
      <c r="F523" s="596"/>
      <c r="G523" s="596"/>
      <c r="H523" s="596"/>
      <c r="I523" s="596"/>
      <c r="J523" s="577"/>
      <c r="K523" s="577"/>
      <c r="L523" s="577"/>
      <c r="M523" s="577"/>
      <c r="N523" s="577"/>
      <c r="O523" s="577"/>
      <c r="P523" s="577"/>
      <c r="Q523" s="577"/>
      <c r="R523" s="577"/>
      <c r="S523" s="577"/>
      <c r="T523" s="577"/>
      <c r="U523" s="577"/>
      <c r="V523" s="577"/>
      <c r="W523" s="577"/>
      <c r="X523" s="577"/>
      <c r="Y523" s="577"/>
      <c r="Z523" s="577"/>
      <c r="AA523" s="577"/>
      <c r="AB523" s="577"/>
      <c r="AC523" s="577"/>
      <c r="AD523" s="577"/>
      <c r="AE523" s="577"/>
      <c r="AF523" s="6"/>
    </row>
    <row r="524" ht="12.75" customHeight="1">
      <c r="A524" s="595"/>
      <c r="B524" s="596"/>
      <c r="C524" s="596"/>
      <c r="D524" s="596"/>
      <c r="E524" s="596"/>
      <c r="F524" s="596"/>
      <c r="G524" s="596"/>
      <c r="H524" s="596"/>
      <c r="I524" s="596"/>
      <c r="J524" s="577"/>
      <c r="K524" s="577"/>
      <c r="L524" s="577"/>
      <c r="M524" s="577"/>
      <c r="N524" s="577"/>
      <c r="O524" s="577"/>
      <c r="P524" s="577"/>
      <c r="Q524" s="577"/>
      <c r="R524" s="577"/>
      <c r="S524" s="577"/>
      <c r="T524" s="577"/>
      <c r="U524" s="577"/>
      <c r="V524" s="577"/>
      <c r="W524" s="577"/>
      <c r="X524" s="577"/>
      <c r="Y524" s="577"/>
      <c r="Z524" s="577"/>
      <c r="AA524" s="577"/>
      <c r="AB524" s="577"/>
      <c r="AC524" s="577"/>
      <c r="AD524" s="577"/>
      <c r="AE524" s="577"/>
      <c r="AF524" s="6"/>
    </row>
    <row r="525" ht="12.75" customHeight="1">
      <c r="A525" s="595"/>
      <c r="B525" s="596"/>
      <c r="C525" s="596"/>
      <c r="D525" s="596"/>
      <c r="E525" s="596"/>
      <c r="F525" s="596"/>
      <c r="G525" s="596"/>
      <c r="H525" s="596"/>
      <c r="I525" s="596"/>
      <c r="J525" s="577"/>
      <c r="K525" s="577"/>
      <c r="L525" s="577"/>
      <c r="M525" s="577"/>
      <c r="N525" s="577"/>
      <c r="O525" s="577"/>
      <c r="P525" s="577"/>
      <c r="Q525" s="577"/>
      <c r="R525" s="577"/>
      <c r="S525" s="577"/>
      <c r="T525" s="577"/>
      <c r="U525" s="577"/>
      <c r="V525" s="577"/>
      <c r="W525" s="577"/>
      <c r="X525" s="577"/>
      <c r="Y525" s="577"/>
      <c r="Z525" s="577"/>
      <c r="AA525" s="577"/>
      <c r="AB525" s="577"/>
      <c r="AC525" s="577"/>
      <c r="AD525" s="577"/>
      <c r="AE525" s="577"/>
      <c r="AF525" s="6"/>
    </row>
    <row r="526" ht="12.75" customHeight="1">
      <c r="A526" s="595"/>
      <c r="B526" s="596"/>
      <c r="C526" s="596"/>
      <c r="D526" s="596"/>
      <c r="E526" s="596"/>
      <c r="F526" s="596"/>
      <c r="G526" s="596"/>
      <c r="H526" s="596"/>
      <c r="I526" s="596"/>
      <c r="J526" s="577"/>
      <c r="K526" s="577"/>
      <c r="L526" s="577"/>
      <c r="M526" s="577"/>
      <c r="N526" s="577"/>
      <c r="O526" s="577"/>
      <c r="P526" s="577"/>
      <c r="Q526" s="577"/>
      <c r="R526" s="577"/>
      <c r="S526" s="577"/>
      <c r="T526" s="577"/>
      <c r="U526" s="577"/>
      <c r="V526" s="577"/>
      <c r="W526" s="577"/>
      <c r="X526" s="577"/>
      <c r="Y526" s="577"/>
      <c r="Z526" s="577"/>
      <c r="AA526" s="577"/>
      <c r="AB526" s="577"/>
      <c r="AC526" s="577"/>
      <c r="AD526" s="577"/>
      <c r="AE526" s="577"/>
      <c r="AF526" s="6"/>
    </row>
    <row r="527" ht="12.75" customHeight="1">
      <c r="A527" s="595"/>
      <c r="B527" s="596"/>
      <c r="C527" s="596"/>
      <c r="D527" s="596"/>
      <c r="E527" s="596"/>
      <c r="F527" s="596"/>
      <c r="G527" s="596"/>
      <c r="H527" s="596"/>
      <c r="I527" s="596"/>
      <c r="J527" s="577"/>
      <c r="K527" s="577"/>
      <c r="L527" s="577"/>
      <c r="M527" s="577"/>
      <c r="N527" s="577"/>
      <c r="O527" s="577"/>
      <c r="P527" s="577"/>
      <c r="Q527" s="577"/>
      <c r="R527" s="577"/>
      <c r="S527" s="577"/>
      <c r="T527" s="577"/>
      <c r="U527" s="577"/>
      <c r="V527" s="577"/>
      <c r="W527" s="577"/>
      <c r="X527" s="577"/>
      <c r="Y527" s="577"/>
      <c r="Z527" s="577"/>
      <c r="AA527" s="577"/>
      <c r="AB527" s="577"/>
      <c r="AC527" s="577"/>
      <c r="AD527" s="577"/>
      <c r="AE527" s="577"/>
      <c r="AF527" s="6"/>
    </row>
    <row r="528" ht="12.75" customHeight="1">
      <c r="A528" s="595"/>
      <c r="B528" s="596"/>
      <c r="C528" s="596"/>
      <c r="D528" s="596"/>
      <c r="E528" s="596"/>
      <c r="F528" s="596"/>
      <c r="G528" s="596"/>
      <c r="H528" s="596"/>
      <c r="I528" s="596"/>
      <c r="J528" s="577"/>
      <c r="K528" s="577"/>
      <c r="L528" s="577"/>
      <c r="M528" s="577"/>
      <c r="N528" s="577"/>
      <c r="O528" s="577"/>
      <c r="P528" s="577"/>
      <c r="Q528" s="577"/>
      <c r="R528" s="577"/>
      <c r="S528" s="577"/>
      <c r="T528" s="577"/>
      <c r="U528" s="577"/>
      <c r="V528" s="577"/>
      <c r="W528" s="577"/>
      <c r="X528" s="577"/>
      <c r="Y528" s="577"/>
      <c r="Z528" s="577"/>
      <c r="AA528" s="577"/>
      <c r="AB528" s="577"/>
      <c r="AC528" s="577"/>
      <c r="AD528" s="577"/>
      <c r="AE528" s="577"/>
      <c r="AF528" s="6"/>
    </row>
    <row r="529" ht="12.75" customHeight="1">
      <c r="A529" s="595"/>
      <c r="B529" s="596"/>
      <c r="C529" s="596"/>
      <c r="D529" s="596"/>
      <c r="E529" s="596"/>
      <c r="F529" s="596"/>
      <c r="G529" s="596"/>
      <c r="H529" s="596"/>
      <c r="I529" s="596"/>
      <c r="J529" s="577"/>
      <c r="K529" s="577"/>
      <c r="L529" s="577"/>
      <c r="M529" s="577"/>
      <c r="N529" s="577"/>
      <c r="O529" s="577"/>
      <c r="P529" s="577"/>
      <c r="Q529" s="577"/>
      <c r="R529" s="577"/>
      <c r="S529" s="577"/>
      <c r="T529" s="577"/>
      <c r="U529" s="577"/>
      <c r="V529" s="577"/>
      <c r="W529" s="577"/>
      <c r="X529" s="577"/>
      <c r="Y529" s="577"/>
      <c r="Z529" s="577"/>
      <c r="AA529" s="577"/>
      <c r="AB529" s="577"/>
      <c r="AC529" s="577"/>
      <c r="AD529" s="577"/>
      <c r="AE529" s="577"/>
      <c r="AF529" s="6"/>
    </row>
    <row r="530" ht="12.75" customHeight="1">
      <c r="A530" s="595"/>
      <c r="B530" s="596"/>
      <c r="C530" s="596"/>
      <c r="D530" s="596"/>
      <c r="E530" s="596"/>
      <c r="F530" s="596"/>
      <c r="G530" s="596"/>
      <c r="H530" s="596"/>
      <c r="I530" s="596"/>
      <c r="J530" s="577"/>
      <c r="K530" s="577"/>
      <c r="L530" s="577"/>
      <c r="M530" s="577"/>
      <c r="N530" s="577"/>
      <c r="O530" s="577"/>
      <c r="P530" s="577"/>
      <c r="Q530" s="577"/>
      <c r="R530" s="577"/>
      <c r="S530" s="577"/>
      <c r="T530" s="577"/>
      <c r="U530" s="577"/>
      <c r="V530" s="577"/>
      <c r="W530" s="577"/>
      <c r="X530" s="577"/>
      <c r="Y530" s="577"/>
      <c r="Z530" s="577"/>
      <c r="AA530" s="577"/>
      <c r="AB530" s="577"/>
      <c r="AC530" s="577"/>
      <c r="AD530" s="577"/>
      <c r="AE530" s="577"/>
      <c r="AF530" s="6"/>
    </row>
    <row r="531" ht="12.75" customHeight="1">
      <c r="A531" s="595"/>
      <c r="B531" s="596"/>
      <c r="C531" s="596"/>
      <c r="D531" s="596"/>
      <c r="E531" s="596"/>
      <c r="F531" s="596"/>
      <c r="G531" s="596"/>
      <c r="H531" s="596"/>
      <c r="I531" s="596"/>
      <c r="J531" s="577"/>
      <c r="K531" s="577"/>
      <c r="L531" s="577"/>
      <c r="M531" s="577"/>
      <c r="N531" s="577"/>
      <c r="O531" s="577"/>
      <c r="P531" s="577"/>
      <c r="Q531" s="577"/>
      <c r="R531" s="577"/>
      <c r="S531" s="577"/>
      <c r="T531" s="577"/>
      <c r="U531" s="577"/>
      <c r="V531" s="577"/>
      <c r="W531" s="577"/>
      <c r="X531" s="577"/>
      <c r="Y531" s="577"/>
      <c r="Z531" s="577"/>
      <c r="AA531" s="577"/>
      <c r="AB531" s="577"/>
      <c r="AC531" s="577"/>
      <c r="AD531" s="577"/>
      <c r="AE531" s="577"/>
      <c r="AF531" s="6"/>
    </row>
    <row r="532" ht="12.75" customHeight="1">
      <c r="A532" s="595"/>
      <c r="B532" s="596"/>
      <c r="C532" s="596"/>
      <c r="D532" s="596"/>
      <c r="E532" s="596"/>
      <c r="F532" s="596"/>
      <c r="G532" s="596"/>
      <c r="H532" s="596"/>
      <c r="I532" s="596"/>
      <c r="J532" s="577"/>
      <c r="K532" s="577"/>
      <c r="L532" s="577"/>
      <c r="M532" s="577"/>
      <c r="N532" s="577"/>
      <c r="O532" s="577"/>
      <c r="P532" s="577"/>
      <c r="Q532" s="577"/>
      <c r="R532" s="577"/>
      <c r="S532" s="577"/>
      <c r="T532" s="577"/>
      <c r="U532" s="577"/>
      <c r="V532" s="577"/>
      <c r="W532" s="577"/>
      <c r="X532" s="577"/>
      <c r="Y532" s="577"/>
      <c r="Z532" s="577"/>
      <c r="AA532" s="577"/>
      <c r="AB532" s="577"/>
      <c r="AC532" s="577"/>
      <c r="AD532" s="577"/>
      <c r="AE532" s="577"/>
      <c r="AF532" s="6"/>
    </row>
    <row r="533" ht="12.75" customHeight="1">
      <c r="A533" s="595"/>
      <c r="B533" s="596"/>
      <c r="C533" s="596"/>
      <c r="D533" s="596"/>
      <c r="E533" s="596"/>
      <c r="F533" s="596"/>
      <c r="G533" s="596"/>
      <c r="H533" s="596"/>
      <c r="I533" s="596"/>
      <c r="J533" s="577"/>
      <c r="K533" s="577"/>
      <c r="L533" s="577"/>
      <c r="M533" s="577"/>
      <c r="N533" s="577"/>
      <c r="O533" s="577"/>
      <c r="P533" s="577"/>
      <c r="Q533" s="577"/>
      <c r="R533" s="577"/>
      <c r="S533" s="577"/>
      <c r="T533" s="577"/>
      <c r="U533" s="577"/>
      <c r="V533" s="577"/>
      <c r="W533" s="577"/>
      <c r="X533" s="577"/>
      <c r="Y533" s="577"/>
      <c r="Z533" s="577"/>
      <c r="AA533" s="577"/>
      <c r="AB533" s="577"/>
      <c r="AC533" s="577"/>
      <c r="AD533" s="577"/>
      <c r="AE533" s="577"/>
      <c r="AF533" s="6"/>
    </row>
    <row r="534" ht="12.75" customHeight="1">
      <c r="A534" s="595"/>
      <c r="B534" s="596"/>
      <c r="C534" s="596"/>
      <c r="D534" s="596"/>
      <c r="E534" s="596"/>
      <c r="F534" s="596"/>
      <c r="G534" s="596"/>
      <c r="H534" s="596"/>
      <c r="I534" s="596"/>
      <c r="J534" s="577"/>
      <c r="K534" s="577"/>
      <c r="L534" s="577"/>
      <c r="M534" s="577"/>
      <c r="N534" s="577"/>
      <c r="O534" s="577"/>
      <c r="P534" s="577"/>
      <c r="Q534" s="577"/>
      <c r="R534" s="577"/>
      <c r="S534" s="577"/>
      <c r="T534" s="577"/>
      <c r="U534" s="577"/>
      <c r="V534" s="577"/>
      <c r="W534" s="577"/>
      <c r="X534" s="577"/>
      <c r="Y534" s="577"/>
      <c r="Z534" s="577"/>
      <c r="AA534" s="577"/>
      <c r="AB534" s="577"/>
      <c r="AC534" s="577"/>
      <c r="AD534" s="577"/>
      <c r="AE534" s="577"/>
      <c r="AF534" s="6"/>
    </row>
    <row r="535" ht="12.75" customHeight="1">
      <c r="A535" s="595"/>
      <c r="B535" s="596"/>
      <c r="C535" s="596"/>
      <c r="D535" s="596"/>
      <c r="E535" s="596"/>
      <c r="F535" s="596"/>
      <c r="G535" s="596"/>
      <c r="H535" s="596"/>
      <c r="I535" s="596"/>
      <c r="J535" s="577"/>
      <c r="K535" s="577"/>
      <c r="L535" s="577"/>
      <c r="M535" s="577"/>
      <c r="N535" s="577"/>
      <c r="O535" s="577"/>
      <c r="P535" s="577"/>
      <c r="Q535" s="577"/>
      <c r="R535" s="577"/>
      <c r="S535" s="577"/>
      <c r="T535" s="577"/>
      <c r="U535" s="577"/>
      <c r="V535" s="577"/>
      <c r="W535" s="577"/>
      <c r="X535" s="577"/>
      <c r="Y535" s="577"/>
      <c r="Z535" s="577"/>
      <c r="AA535" s="577"/>
      <c r="AB535" s="577"/>
      <c r="AC535" s="577"/>
      <c r="AD535" s="577"/>
      <c r="AE535" s="577"/>
      <c r="AF535" s="6"/>
    </row>
    <row r="536" ht="12.75" customHeight="1">
      <c r="A536" s="595"/>
      <c r="B536" s="596"/>
      <c r="C536" s="596"/>
      <c r="D536" s="596"/>
      <c r="E536" s="596"/>
      <c r="F536" s="596"/>
      <c r="G536" s="596"/>
      <c r="H536" s="596"/>
      <c r="I536" s="596"/>
      <c r="J536" s="577"/>
      <c r="K536" s="577"/>
      <c r="L536" s="577"/>
      <c r="M536" s="577"/>
      <c r="N536" s="577"/>
      <c r="O536" s="577"/>
      <c r="P536" s="577"/>
      <c r="Q536" s="577"/>
      <c r="R536" s="577"/>
      <c r="S536" s="577"/>
      <c r="T536" s="577"/>
      <c r="U536" s="577"/>
      <c r="V536" s="577"/>
      <c r="W536" s="577"/>
      <c r="X536" s="577"/>
      <c r="Y536" s="577"/>
      <c r="Z536" s="577"/>
      <c r="AA536" s="577"/>
      <c r="AB536" s="577"/>
      <c r="AC536" s="577"/>
      <c r="AD536" s="577"/>
      <c r="AE536" s="577"/>
      <c r="AF536" s="6"/>
    </row>
    <row r="537" ht="12.75" customHeight="1">
      <c r="A537" s="595"/>
      <c r="B537" s="596"/>
      <c r="C537" s="596"/>
      <c r="D537" s="596"/>
      <c r="E537" s="596"/>
      <c r="F537" s="596"/>
      <c r="G537" s="596"/>
      <c r="H537" s="596"/>
      <c r="I537" s="596"/>
      <c r="J537" s="577"/>
      <c r="K537" s="577"/>
      <c r="L537" s="577"/>
      <c r="M537" s="577"/>
      <c r="N537" s="577"/>
      <c r="O537" s="577"/>
      <c r="P537" s="577"/>
      <c r="Q537" s="577"/>
      <c r="R537" s="577"/>
      <c r="S537" s="577"/>
      <c r="T537" s="577"/>
      <c r="U537" s="577"/>
      <c r="V537" s="577"/>
      <c r="W537" s="577"/>
      <c r="X537" s="577"/>
      <c r="Y537" s="577"/>
      <c r="Z537" s="577"/>
      <c r="AA537" s="577"/>
      <c r="AB537" s="577"/>
      <c r="AC537" s="577"/>
      <c r="AD537" s="577"/>
      <c r="AE537" s="577"/>
      <c r="AF537" s="6"/>
    </row>
    <row r="538" ht="12.75" customHeight="1">
      <c r="A538" s="595"/>
      <c r="B538" s="596"/>
      <c r="C538" s="596"/>
      <c r="D538" s="596"/>
      <c r="E538" s="596"/>
      <c r="F538" s="596"/>
      <c r="G538" s="596"/>
      <c r="H538" s="596"/>
      <c r="I538" s="596"/>
      <c r="J538" s="577"/>
      <c r="K538" s="577"/>
      <c r="L538" s="577"/>
      <c r="M538" s="577"/>
      <c r="N538" s="577"/>
      <c r="O538" s="577"/>
      <c r="P538" s="577"/>
      <c r="Q538" s="577"/>
      <c r="R538" s="577"/>
      <c r="S538" s="577"/>
      <c r="T538" s="577"/>
      <c r="U538" s="577"/>
      <c r="V538" s="577"/>
      <c r="W538" s="577"/>
      <c r="X538" s="577"/>
      <c r="Y538" s="577"/>
      <c r="Z538" s="577"/>
      <c r="AA538" s="577"/>
      <c r="AB538" s="577"/>
      <c r="AC538" s="577"/>
      <c r="AD538" s="577"/>
      <c r="AE538" s="577"/>
      <c r="AF538" s="6"/>
    </row>
    <row r="539" ht="12.75" customHeight="1">
      <c r="A539" s="595"/>
      <c r="B539" s="596"/>
      <c r="C539" s="596"/>
      <c r="D539" s="596"/>
      <c r="E539" s="596"/>
      <c r="F539" s="596"/>
      <c r="G539" s="596"/>
      <c r="H539" s="596"/>
      <c r="I539" s="596"/>
      <c r="J539" s="577"/>
      <c r="K539" s="577"/>
      <c r="L539" s="577"/>
      <c r="M539" s="577"/>
      <c r="N539" s="577"/>
      <c r="O539" s="577"/>
      <c r="P539" s="577"/>
      <c r="Q539" s="577"/>
      <c r="R539" s="577"/>
      <c r="S539" s="577"/>
      <c r="T539" s="577"/>
      <c r="U539" s="577"/>
      <c r="V539" s="577"/>
      <c r="W539" s="577"/>
      <c r="X539" s="577"/>
      <c r="Y539" s="577"/>
      <c r="Z539" s="577"/>
      <c r="AA539" s="577"/>
      <c r="AB539" s="577"/>
      <c r="AC539" s="577"/>
      <c r="AD539" s="577"/>
      <c r="AE539" s="577"/>
      <c r="AF539" s="6"/>
    </row>
    <row r="540" ht="12.75" customHeight="1">
      <c r="A540" s="595"/>
      <c r="B540" s="596"/>
      <c r="C540" s="596"/>
      <c r="D540" s="596"/>
      <c r="E540" s="596"/>
      <c r="F540" s="596"/>
      <c r="G540" s="596"/>
      <c r="H540" s="596"/>
      <c r="I540" s="596"/>
      <c r="J540" s="577"/>
      <c r="K540" s="577"/>
      <c r="L540" s="577"/>
      <c r="M540" s="577"/>
      <c r="N540" s="577"/>
      <c r="O540" s="577"/>
      <c r="P540" s="577"/>
      <c r="Q540" s="577"/>
      <c r="R540" s="577"/>
      <c r="S540" s="577"/>
      <c r="T540" s="577"/>
      <c r="U540" s="577"/>
      <c r="V540" s="577"/>
      <c r="W540" s="577"/>
      <c r="X540" s="577"/>
      <c r="Y540" s="577"/>
      <c r="Z540" s="577"/>
      <c r="AA540" s="577"/>
      <c r="AB540" s="577"/>
      <c r="AC540" s="577"/>
      <c r="AD540" s="577"/>
      <c r="AE540" s="577"/>
      <c r="AF540" s="6"/>
    </row>
    <row r="541" ht="12.75" customHeight="1">
      <c r="A541" s="595"/>
      <c r="B541" s="596"/>
      <c r="C541" s="596"/>
      <c r="D541" s="596"/>
      <c r="E541" s="596"/>
      <c r="F541" s="596"/>
      <c r="G541" s="596"/>
      <c r="H541" s="596"/>
      <c r="I541" s="596"/>
      <c r="J541" s="577"/>
      <c r="K541" s="577"/>
      <c r="L541" s="577"/>
      <c r="M541" s="577"/>
      <c r="N541" s="577"/>
      <c r="O541" s="577"/>
      <c r="P541" s="577"/>
      <c r="Q541" s="577"/>
      <c r="R541" s="577"/>
      <c r="S541" s="577"/>
      <c r="T541" s="577"/>
      <c r="U541" s="577"/>
      <c r="V541" s="577"/>
      <c r="W541" s="577"/>
      <c r="X541" s="577"/>
      <c r="Y541" s="577"/>
      <c r="Z541" s="577"/>
      <c r="AA541" s="577"/>
      <c r="AB541" s="577"/>
      <c r="AC541" s="577"/>
      <c r="AD541" s="577"/>
      <c r="AE541" s="577"/>
      <c r="AF541" s="6"/>
    </row>
    <row r="542" ht="12.75" customHeight="1">
      <c r="A542" s="595"/>
      <c r="B542" s="596"/>
      <c r="C542" s="596"/>
      <c r="D542" s="596"/>
      <c r="E542" s="596"/>
      <c r="F542" s="596"/>
      <c r="G542" s="596"/>
      <c r="H542" s="596"/>
      <c r="I542" s="596"/>
      <c r="J542" s="577"/>
      <c r="K542" s="577"/>
      <c r="L542" s="577"/>
      <c r="M542" s="577"/>
      <c r="N542" s="577"/>
      <c r="O542" s="577"/>
      <c r="P542" s="577"/>
      <c r="Q542" s="577"/>
      <c r="R542" s="577"/>
      <c r="S542" s="577"/>
      <c r="T542" s="577"/>
      <c r="U542" s="577"/>
      <c r="V542" s="577"/>
      <c r="W542" s="577"/>
      <c r="X542" s="577"/>
      <c r="Y542" s="577"/>
      <c r="Z542" s="577"/>
      <c r="AA542" s="577"/>
      <c r="AB542" s="577"/>
      <c r="AC542" s="577"/>
      <c r="AD542" s="577"/>
      <c r="AE542" s="577"/>
      <c r="AF542" s="6"/>
    </row>
    <row r="543" ht="12.75" customHeight="1">
      <c r="A543" s="595"/>
      <c r="B543" s="596"/>
      <c r="C543" s="596"/>
      <c r="D543" s="596"/>
      <c r="E543" s="596"/>
      <c r="F543" s="596"/>
      <c r="G543" s="596"/>
      <c r="H543" s="596"/>
      <c r="I543" s="596"/>
      <c r="J543" s="577"/>
      <c r="K543" s="577"/>
      <c r="L543" s="577"/>
      <c r="M543" s="577"/>
      <c r="N543" s="577"/>
      <c r="O543" s="577"/>
      <c r="P543" s="577"/>
      <c r="Q543" s="577"/>
      <c r="R543" s="577"/>
      <c r="S543" s="577"/>
      <c r="T543" s="577"/>
      <c r="U543" s="577"/>
      <c r="V543" s="577"/>
      <c r="W543" s="577"/>
      <c r="X543" s="577"/>
      <c r="Y543" s="577"/>
      <c r="Z543" s="577"/>
      <c r="AA543" s="577"/>
      <c r="AB543" s="577"/>
      <c r="AC543" s="577"/>
      <c r="AD543" s="577"/>
      <c r="AE543" s="577"/>
      <c r="AF543" s="6"/>
    </row>
    <row r="544" ht="12.75" customHeight="1">
      <c r="A544" s="595"/>
      <c r="B544" s="596"/>
      <c r="C544" s="596"/>
      <c r="D544" s="596"/>
      <c r="E544" s="596"/>
      <c r="F544" s="596"/>
      <c r="G544" s="596"/>
      <c r="H544" s="596"/>
      <c r="I544" s="596"/>
      <c r="J544" s="577"/>
      <c r="K544" s="577"/>
      <c r="L544" s="577"/>
      <c r="M544" s="577"/>
      <c r="N544" s="577"/>
      <c r="O544" s="577"/>
      <c r="P544" s="577"/>
      <c r="Q544" s="577"/>
      <c r="R544" s="577"/>
      <c r="S544" s="577"/>
      <c r="T544" s="577"/>
      <c r="U544" s="577"/>
      <c r="V544" s="577"/>
      <c r="W544" s="577"/>
      <c r="X544" s="577"/>
      <c r="Y544" s="577"/>
      <c r="Z544" s="577"/>
      <c r="AA544" s="577"/>
      <c r="AB544" s="577"/>
      <c r="AC544" s="577"/>
      <c r="AD544" s="577"/>
      <c r="AE544" s="577"/>
      <c r="AF544" s="6"/>
    </row>
    <row r="545" ht="12.75" customHeight="1">
      <c r="A545" s="595"/>
      <c r="B545" s="596"/>
      <c r="C545" s="596"/>
      <c r="D545" s="596"/>
      <c r="E545" s="596"/>
      <c r="F545" s="596"/>
      <c r="G545" s="596"/>
      <c r="H545" s="596"/>
      <c r="I545" s="596"/>
      <c r="J545" s="577"/>
      <c r="K545" s="577"/>
      <c r="L545" s="577"/>
      <c r="M545" s="577"/>
      <c r="N545" s="577"/>
      <c r="O545" s="577"/>
      <c r="P545" s="577"/>
      <c r="Q545" s="577"/>
      <c r="R545" s="577"/>
      <c r="S545" s="577"/>
      <c r="T545" s="577"/>
      <c r="U545" s="577"/>
      <c r="V545" s="577"/>
      <c r="W545" s="577"/>
      <c r="X545" s="577"/>
      <c r="Y545" s="577"/>
      <c r="Z545" s="577"/>
      <c r="AA545" s="577"/>
      <c r="AB545" s="577"/>
      <c r="AC545" s="577"/>
      <c r="AD545" s="577"/>
      <c r="AE545" s="577"/>
      <c r="AF545" s="6"/>
    </row>
    <row r="546" ht="12.75" customHeight="1">
      <c r="A546" s="595"/>
      <c r="B546" s="596"/>
      <c r="C546" s="596"/>
      <c r="D546" s="596"/>
      <c r="E546" s="596"/>
      <c r="F546" s="596"/>
      <c r="G546" s="596"/>
      <c r="H546" s="596"/>
      <c r="I546" s="596"/>
      <c r="J546" s="577"/>
      <c r="K546" s="577"/>
      <c r="L546" s="577"/>
      <c r="M546" s="577"/>
      <c r="N546" s="577"/>
      <c r="O546" s="577"/>
      <c r="P546" s="577"/>
      <c r="Q546" s="577"/>
      <c r="R546" s="577"/>
      <c r="S546" s="577"/>
      <c r="T546" s="577"/>
      <c r="U546" s="577"/>
      <c r="V546" s="577"/>
      <c r="W546" s="577"/>
      <c r="X546" s="577"/>
      <c r="Y546" s="577"/>
      <c r="Z546" s="577"/>
      <c r="AA546" s="577"/>
      <c r="AB546" s="577"/>
      <c r="AC546" s="577"/>
      <c r="AD546" s="577"/>
      <c r="AE546" s="577"/>
      <c r="AF546" s="6"/>
    </row>
    <row r="547" ht="12.75" customHeight="1">
      <c r="A547" s="595"/>
      <c r="B547" s="596"/>
      <c r="C547" s="596"/>
      <c r="D547" s="596"/>
      <c r="E547" s="596"/>
      <c r="F547" s="596"/>
      <c r="G547" s="596"/>
      <c r="H547" s="596"/>
      <c r="I547" s="596"/>
      <c r="J547" s="577"/>
      <c r="K547" s="577"/>
      <c r="L547" s="577"/>
      <c r="M547" s="577"/>
      <c r="N547" s="577"/>
      <c r="O547" s="577"/>
      <c r="P547" s="577"/>
      <c r="Q547" s="577"/>
      <c r="R547" s="577"/>
      <c r="S547" s="577"/>
      <c r="T547" s="577"/>
      <c r="U547" s="577"/>
      <c r="V547" s="577"/>
      <c r="W547" s="577"/>
      <c r="X547" s="577"/>
      <c r="Y547" s="577"/>
      <c r="Z547" s="577"/>
      <c r="AA547" s="577"/>
      <c r="AB547" s="577"/>
      <c r="AC547" s="577"/>
      <c r="AD547" s="577"/>
      <c r="AE547" s="577"/>
      <c r="AF547" s="6"/>
    </row>
    <row r="548" ht="12.75" customHeight="1">
      <c r="A548" s="595"/>
      <c r="B548" s="596"/>
      <c r="C548" s="596"/>
      <c r="D548" s="596"/>
      <c r="E548" s="596"/>
      <c r="F548" s="596"/>
      <c r="G548" s="596"/>
      <c r="H548" s="596"/>
      <c r="I548" s="596"/>
      <c r="J548" s="577"/>
      <c r="K548" s="577"/>
      <c r="L548" s="577"/>
      <c r="M548" s="577"/>
      <c r="N548" s="577"/>
      <c r="O548" s="577"/>
      <c r="P548" s="577"/>
      <c r="Q548" s="577"/>
      <c r="R548" s="577"/>
      <c r="S548" s="577"/>
      <c r="T548" s="577"/>
      <c r="U548" s="577"/>
      <c r="V548" s="577"/>
      <c r="W548" s="577"/>
      <c r="X548" s="577"/>
      <c r="Y548" s="577"/>
      <c r="Z548" s="577"/>
      <c r="AA548" s="577"/>
      <c r="AB548" s="577"/>
      <c r="AC548" s="577"/>
      <c r="AD548" s="577"/>
      <c r="AE548" s="577"/>
      <c r="AF548" s="6"/>
    </row>
    <row r="549" ht="12.75" customHeight="1">
      <c r="A549" s="595"/>
      <c r="B549" s="596"/>
      <c r="C549" s="596"/>
      <c r="D549" s="596"/>
      <c r="E549" s="596"/>
      <c r="F549" s="596"/>
      <c r="G549" s="596"/>
      <c r="H549" s="596"/>
      <c r="I549" s="596"/>
      <c r="J549" s="577"/>
      <c r="K549" s="577"/>
      <c r="L549" s="577"/>
      <c r="M549" s="577"/>
      <c r="N549" s="577"/>
      <c r="O549" s="577"/>
      <c r="P549" s="577"/>
      <c r="Q549" s="577"/>
      <c r="R549" s="577"/>
      <c r="S549" s="577"/>
      <c r="T549" s="577"/>
      <c r="U549" s="577"/>
      <c r="V549" s="577"/>
      <c r="W549" s="577"/>
      <c r="X549" s="577"/>
      <c r="Y549" s="577"/>
      <c r="Z549" s="577"/>
      <c r="AA549" s="577"/>
      <c r="AB549" s="577"/>
      <c r="AC549" s="577"/>
      <c r="AD549" s="577"/>
      <c r="AE549" s="577"/>
      <c r="AF549" s="6"/>
    </row>
    <row r="550" ht="12.75" customHeight="1">
      <c r="A550" s="595"/>
      <c r="B550" s="596"/>
      <c r="C550" s="596"/>
      <c r="D550" s="596"/>
      <c r="E550" s="596"/>
      <c r="F550" s="596"/>
      <c r="G550" s="596"/>
      <c r="H550" s="596"/>
      <c r="I550" s="596"/>
      <c r="J550" s="577"/>
      <c r="K550" s="577"/>
      <c r="L550" s="577"/>
      <c r="M550" s="577"/>
      <c r="N550" s="577"/>
      <c r="O550" s="577"/>
      <c r="P550" s="577"/>
      <c r="Q550" s="577"/>
      <c r="R550" s="577"/>
      <c r="S550" s="577"/>
      <c r="T550" s="577"/>
      <c r="U550" s="577"/>
      <c r="V550" s="577"/>
      <c r="W550" s="577"/>
      <c r="X550" s="577"/>
      <c r="Y550" s="577"/>
      <c r="Z550" s="577"/>
      <c r="AA550" s="577"/>
      <c r="AB550" s="577"/>
      <c r="AC550" s="577"/>
      <c r="AD550" s="577"/>
      <c r="AE550" s="577"/>
      <c r="AF550" s="6"/>
    </row>
    <row r="551" ht="12.75" customHeight="1">
      <c r="A551" s="595"/>
      <c r="B551" s="596"/>
      <c r="C551" s="596"/>
      <c r="D551" s="596"/>
      <c r="E551" s="596"/>
      <c r="F551" s="596"/>
      <c r="G551" s="596"/>
      <c r="H551" s="596"/>
      <c r="I551" s="596"/>
      <c r="J551" s="577"/>
      <c r="K551" s="577"/>
      <c r="L551" s="577"/>
      <c r="M551" s="577"/>
      <c r="N551" s="577"/>
      <c r="O551" s="577"/>
      <c r="P551" s="577"/>
      <c r="Q551" s="577"/>
      <c r="R551" s="577"/>
      <c r="S551" s="577"/>
      <c r="T551" s="577"/>
      <c r="U551" s="577"/>
      <c r="V551" s="577"/>
      <c r="W551" s="577"/>
      <c r="X551" s="577"/>
      <c r="Y551" s="577"/>
      <c r="Z551" s="577"/>
      <c r="AA551" s="577"/>
      <c r="AB551" s="577"/>
      <c r="AC551" s="577"/>
      <c r="AD551" s="577"/>
      <c r="AE551" s="577"/>
      <c r="AF551" s="6"/>
    </row>
    <row r="552" ht="12.75" customHeight="1">
      <c r="A552" s="595"/>
      <c r="B552" s="596"/>
      <c r="C552" s="596"/>
      <c r="D552" s="596"/>
      <c r="E552" s="596"/>
      <c r="F552" s="596"/>
      <c r="G552" s="596"/>
      <c r="H552" s="596"/>
      <c r="I552" s="596"/>
      <c r="J552" s="577"/>
      <c r="K552" s="577"/>
      <c r="L552" s="577"/>
      <c r="M552" s="577"/>
      <c r="N552" s="577"/>
      <c r="O552" s="577"/>
      <c r="P552" s="577"/>
      <c r="Q552" s="577"/>
      <c r="R552" s="577"/>
      <c r="S552" s="577"/>
      <c r="T552" s="577"/>
      <c r="U552" s="577"/>
      <c r="V552" s="577"/>
      <c r="W552" s="577"/>
      <c r="X552" s="577"/>
      <c r="Y552" s="577"/>
      <c r="Z552" s="577"/>
      <c r="AA552" s="577"/>
      <c r="AB552" s="577"/>
      <c r="AC552" s="577"/>
      <c r="AD552" s="577"/>
      <c r="AE552" s="577"/>
      <c r="AF552" s="6"/>
    </row>
    <row r="553" ht="12.75" customHeight="1">
      <c r="A553" s="595"/>
      <c r="B553" s="596"/>
      <c r="C553" s="596"/>
      <c r="D553" s="596"/>
      <c r="E553" s="596"/>
      <c r="F553" s="596"/>
      <c r="G553" s="596"/>
      <c r="H553" s="596"/>
      <c r="I553" s="596"/>
      <c r="J553" s="577"/>
      <c r="K553" s="577"/>
      <c r="L553" s="577"/>
      <c r="M553" s="577"/>
      <c r="N553" s="577"/>
      <c r="O553" s="577"/>
      <c r="P553" s="577"/>
      <c r="Q553" s="577"/>
      <c r="R553" s="577"/>
      <c r="S553" s="577"/>
      <c r="T553" s="577"/>
      <c r="U553" s="577"/>
      <c r="V553" s="577"/>
      <c r="W553" s="577"/>
      <c r="X553" s="577"/>
      <c r="Y553" s="577"/>
      <c r="Z553" s="577"/>
      <c r="AA553" s="577"/>
      <c r="AB553" s="577"/>
      <c r="AC553" s="577"/>
      <c r="AD553" s="577"/>
      <c r="AE553" s="577"/>
      <c r="AF553" s="6"/>
    </row>
    <row r="554" ht="12.75" customHeight="1">
      <c r="A554" s="595"/>
      <c r="B554" s="596"/>
      <c r="C554" s="596"/>
      <c r="D554" s="596"/>
      <c r="E554" s="596"/>
      <c r="F554" s="596"/>
      <c r="G554" s="596"/>
      <c r="H554" s="596"/>
      <c r="I554" s="596"/>
      <c r="J554" s="577"/>
      <c r="K554" s="577"/>
      <c r="L554" s="577"/>
      <c r="M554" s="577"/>
      <c r="N554" s="577"/>
      <c r="O554" s="577"/>
      <c r="P554" s="577"/>
      <c r="Q554" s="577"/>
      <c r="R554" s="577"/>
      <c r="S554" s="577"/>
      <c r="T554" s="577"/>
      <c r="U554" s="577"/>
      <c r="V554" s="577"/>
      <c r="W554" s="577"/>
      <c r="X554" s="577"/>
      <c r="Y554" s="577"/>
      <c r="Z554" s="577"/>
      <c r="AA554" s="577"/>
      <c r="AB554" s="577"/>
      <c r="AC554" s="577"/>
      <c r="AD554" s="577"/>
      <c r="AE554" s="577"/>
      <c r="AF554" s="6"/>
    </row>
    <row r="555" ht="12.75" customHeight="1">
      <c r="A555" s="595"/>
      <c r="B555" s="596"/>
      <c r="C555" s="596"/>
      <c r="D555" s="596"/>
      <c r="E555" s="596"/>
      <c r="F555" s="596"/>
      <c r="G555" s="596"/>
      <c r="H555" s="596"/>
      <c r="I555" s="596"/>
      <c r="J555" s="577"/>
      <c r="K555" s="577"/>
      <c r="L555" s="577"/>
      <c r="M555" s="577"/>
      <c r="N555" s="577"/>
      <c r="O555" s="577"/>
      <c r="P555" s="577"/>
      <c r="Q555" s="577"/>
      <c r="R555" s="577"/>
      <c r="S555" s="577"/>
      <c r="T555" s="577"/>
      <c r="U555" s="577"/>
      <c r="V555" s="577"/>
      <c r="W555" s="577"/>
      <c r="X555" s="577"/>
      <c r="Y555" s="577"/>
      <c r="Z555" s="577"/>
      <c r="AA555" s="577"/>
      <c r="AB555" s="577"/>
      <c r="AC555" s="577"/>
      <c r="AD555" s="577"/>
      <c r="AE555" s="577"/>
      <c r="AF555" s="6"/>
    </row>
    <row r="556" ht="12.75" customHeight="1">
      <c r="A556" s="595"/>
      <c r="B556" s="596"/>
      <c r="C556" s="596"/>
      <c r="D556" s="596"/>
      <c r="E556" s="596"/>
      <c r="F556" s="596"/>
      <c r="G556" s="596"/>
      <c r="H556" s="596"/>
      <c r="I556" s="596"/>
      <c r="J556" s="577"/>
      <c r="K556" s="577"/>
      <c r="L556" s="577"/>
      <c r="M556" s="577"/>
      <c r="N556" s="577"/>
      <c r="O556" s="577"/>
      <c r="P556" s="577"/>
      <c r="Q556" s="577"/>
      <c r="R556" s="577"/>
      <c r="S556" s="577"/>
      <c r="T556" s="577"/>
      <c r="U556" s="577"/>
      <c r="V556" s="577"/>
      <c r="W556" s="577"/>
      <c r="X556" s="577"/>
      <c r="Y556" s="577"/>
      <c r="Z556" s="577"/>
      <c r="AA556" s="577"/>
      <c r="AB556" s="577"/>
      <c r="AC556" s="577"/>
      <c r="AD556" s="577"/>
      <c r="AE556" s="577"/>
      <c r="AF556" s="6"/>
    </row>
    <row r="557" ht="12.75" customHeight="1">
      <c r="A557" s="595"/>
      <c r="B557" s="596"/>
      <c r="C557" s="596"/>
      <c r="D557" s="596"/>
      <c r="E557" s="596"/>
      <c r="F557" s="596"/>
      <c r="G557" s="596"/>
      <c r="H557" s="596"/>
      <c r="I557" s="596"/>
      <c r="J557" s="577"/>
      <c r="K557" s="577"/>
      <c r="L557" s="577"/>
      <c r="M557" s="577"/>
      <c r="N557" s="577"/>
      <c r="O557" s="577"/>
      <c r="P557" s="577"/>
      <c r="Q557" s="577"/>
      <c r="R557" s="577"/>
      <c r="S557" s="577"/>
      <c r="T557" s="577"/>
      <c r="U557" s="577"/>
      <c r="V557" s="577"/>
      <c r="W557" s="577"/>
      <c r="X557" s="577"/>
      <c r="Y557" s="577"/>
      <c r="Z557" s="577"/>
      <c r="AA557" s="577"/>
      <c r="AB557" s="577"/>
      <c r="AC557" s="577"/>
      <c r="AD557" s="577"/>
      <c r="AE557" s="577"/>
      <c r="AF557" s="6"/>
    </row>
    <row r="558" ht="12.75" customHeight="1">
      <c r="A558" s="595"/>
      <c r="B558" s="596"/>
      <c r="C558" s="596"/>
      <c r="D558" s="596"/>
      <c r="E558" s="596"/>
      <c r="F558" s="596"/>
      <c r="G558" s="596"/>
      <c r="H558" s="596"/>
      <c r="I558" s="596"/>
      <c r="J558" s="577"/>
      <c r="K558" s="577"/>
      <c r="L558" s="577"/>
      <c r="M558" s="577"/>
      <c r="N558" s="577"/>
      <c r="O558" s="577"/>
      <c r="P558" s="577"/>
      <c r="Q558" s="577"/>
      <c r="R558" s="577"/>
      <c r="S558" s="577"/>
      <c r="T558" s="577"/>
      <c r="U558" s="577"/>
      <c r="V558" s="577"/>
      <c r="W558" s="577"/>
      <c r="X558" s="577"/>
      <c r="Y558" s="577"/>
      <c r="Z558" s="577"/>
      <c r="AA558" s="577"/>
      <c r="AB558" s="577"/>
      <c r="AC558" s="577"/>
      <c r="AD558" s="577"/>
      <c r="AE558" s="577"/>
      <c r="AF558" s="6"/>
    </row>
    <row r="559" ht="12.75" customHeight="1">
      <c r="A559" s="595"/>
      <c r="B559" s="596"/>
      <c r="C559" s="596"/>
      <c r="D559" s="596"/>
      <c r="E559" s="596"/>
      <c r="F559" s="596"/>
      <c r="G559" s="596"/>
      <c r="H559" s="596"/>
      <c r="I559" s="596"/>
      <c r="J559" s="577"/>
      <c r="K559" s="577"/>
      <c r="L559" s="577"/>
      <c r="M559" s="577"/>
      <c r="N559" s="577"/>
      <c r="O559" s="577"/>
      <c r="P559" s="577"/>
      <c r="Q559" s="577"/>
      <c r="R559" s="577"/>
      <c r="S559" s="577"/>
      <c r="T559" s="577"/>
      <c r="U559" s="577"/>
      <c r="V559" s="577"/>
      <c r="W559" s="577"/>
      <c r="X559" s="577"/>
      <c r="Y559" s="577"/>
      <c r="Z559" s="577"/>
      <c r="AA559" s="577"/>
      <c r="AB559" s="577"/>
      <c r="AC559" s="577"/>
      <c r="AD559" s="577"/>
      <c r="AE559" s="577"/>
      <c r="AF559" s="6"/>
    </row>
    <row r="560" ht="12.75" customHeight="1">
      <c r="A560" s="595"/>
      <c r="B560" s="596"/>
      <c r="C560" s="596"/>
      <c r="D560" s="596"/>
      <c r="E560" s="596"/>
      <c r="F560" s="596"/>
      <c r="G560" s="596"/>
      <c r="H560" s="596"/>
      <c r="I560" s="596"/>
      <c r="J560" s="577"/>
      <c r="K560" s="577"/>
      <c r="L560" s="577"/>
      <c r="M560" s="577"/>
      <c r="N560" s="577"/>
      <c r="O560" s="577"/>
      <c r="P560" s="577"/>
      <c r="Q560" s="577"/>
      <c r="R560" s="577"/>
      <c r="S560" s="577"/>
      <c r="T560" s="577"/>
      <c r="U560" s="577"/>
      <c r="V560" s="577"/>
      <c r="W560" s="577"/>
      <c r="X560" s="577"/>
      <c r="Y560" s="577"/>
      <c r="Z560" s="577"/>
      <c r="AA560" s="577"/>
      <c r="AB560" s="577"/>
      <c r="AC560" s="577"/>
      <c r="AD560" s="577"/>
      <c r="AE560" s="577"/>
      <c r="AF560" s="6"/>
    </row>
    <row r="561" ht="12.75" customHeight="1">
      <c r="A561" s="595"/>
      <c r="B561" s="596"/>
      <c r="C561" s="596"/>
      <c r="D561" s="596"/>
      <c r="E561" s="596"/>
      <c r="F561" s="596"/>
      <c r="G561" s="596"/>
      <c r="H561" s="596"/>
      <c r="I561" s="596"/>
      <c r="J561" s="577"/>
      <c r="K561" s="577"/>
      <c r="L561" s="577"/>
      <c r="M561" s="577"/>
      <c r="N561" s="577"/>
      <c r="O561" s="577"/>
      <c r="P561" s="577"/>
      <c r="Q561" s="577"/>
      <c r="R561" s="577"/>
      <c r="S561" s="577"/>
      <c r="T561" s="577"/>
      <c r="U561" s="577"/>
      <c r="V561" s="577"/>
      <c r="W561" s="577"/>
      <c r="X561" s="577"/>
      <c r="Y561" s="577"/>
      <c r="Z561" s="577"/>
      <c r="AA561" s="577"/>
      <c r="AB561" s="577"/>
      <c r="AC561" s="577"/>
      <c r="AD561" s="577"/>
      <c r="AE561" s="577"/>
      <c r="AF561" s="6"/>
    </row>
    <row r="562" ht="12.75" customHeight="1">
      <c r="A562" s="595"/>
      <c r="B562" s="596"/>
      <c r="C562" s="596"/>
      <c r="D562" s="596"/>
      <c r="E562" s="596"/>
      <c r="F562" s="596"/>
      <c r="G562" s="596"/>
      <c r="H562" s="596"/>
      <c r="I562" s="596"/>
      <c r="J562" s="577"/>
      <c r="K562" s="577"/>
      <c r="L562" s="577"/>
      <c r="M562" s="577"/>
      <c r="N562" s="577"/>
      <c r="O562" s="577"/>
      <c r="P562" s="577"/>
      <c r="Q562" s="577"/>
      <c r="R562" s="577"/>
      <c r="S562" s="577"/>
      <c r="T562" s="577"/>
      <c r="U562" s="577"/>
      <c r="V562" s="577"/>
      <c r="W562" s="577"/>
      <c r="X562" s="577"/>
      <c r="Y562" s="577"/>
      <c r="Z562" s="577"/>
      <c r="AA562" s="577"/>
      <c r="AB562" s="577"/>
      <c r="AC562" s="577"/>
      <c r="AD562" s="577"/>
      <c r="AE562" s="577"/>
      <c r="AF562" s="6"/>
    </row>
    <row r="563" ht="12.75" customHeight="1">
      <c r="A563" s="595"/>
      <c r="B563" s="596"/>
      <c r="C563" s="596"/>
      <c r="D563" s="596"/>
      <c r="E563" s="596"/>
      <c r="F563" s="596"/>
      <c r="G563" s="596"/>
      <c r="H563" s="596"/>
      <c r="I563" s="596"/>
      <c r="J563" s="577"/>
      <c r="K563" s="577"/>
      <c r="L563" s="577"/>
      <c r="M563" s="577"/>
      <c r="N563" s="577"/>
      <c r="O563" s="577"/>
      <c r="P563" s="577"/>
      <c r="Q563" s="577"/>
      <c r="R563" s="577"/>
      <c r="S563" s="577"/>
      <c r="T563" s="577"/>
      <c r="U563" s="577"/>
      <c r="V563" s="577"/>
      <c r="W563" s="577"/>
      <c r="X563" s="577"/>
      <c r="Y563" s="577"/>
      <c r="Z563" s="577"/>
      <c r="AA563" s="577"/>
      <c r="AB563" s="577"/>
      <c r="AC563" s="577"/>
      <c r="AD563" s="577"/>
      <c r="AE563" s="577"/>
      <c r="AF563" s="6"/>
    </row>
    <row r="564" ht="12.75" customHeight="1">
      <c r="A564" s="595"/>
      <c r="B564" s="596"/>
      <c r="C564" s="596"/>
      <c r="D564" s="596"/>
      <c r="E564" s="596"/>
      <c r="F564" s="596"/>
      <c r="G564" s="596"/>
      <c r="H564" s="596"/>
      <c r="I564" s="596"/>
      <c r="J564" s="577"/>
      <c r="K564" s="577"/>
      <c r="L564" s="577"/>
      <c r="M564" s="577"/>
      <c r="N564" s="577"/>
      <c r="O564" s="577"/>
      <c r="P564" s="577"/>
      <c r="Q564" s="577"/>
      <c r="R564" s="577"/>
      <c r="S564" s="577"/>
      <c r="T564" s="577"/>
      <c r="U564" s="577"/>
      <c r="V564" s="577"/>
      <c r="W564" s="577"/>
      <c r="X564" s="577"/>
      <c r="Y564" s="577"/>
      <c r="Z564" s="577"/>
      <c r="AA564" s="577"/>
      <c r="AB564" s="577"/>
      <c r="AC564" s="577"/>
      <c r="AD564" s="577"/>
      <c r="AE564" s="577"/>
      <c r="AF564" s="6"/>
    </row>
    <row r="565" ht="12.75" customHeight="1">
      <c r="A565" s="595"/>
      <c r="B565" s="596"/>
      <c r="C565" s="596"/>
      <c r="D565" s="596"/>
      <c r="E565" s="596"/>
      <c r="F565" s="596"/>
      <c r="G565" s="596"/>
      <c r="H565" s="596"/>
      <c r="I565" s="596"/>
      <c r="J565" s="577"/>
      <c r="K565" s="577"/>
      <c r="L565" s="577"/>
      <c r="M565" s="577"/>
      <c r="N565" s="577"/>
      <c r="O565" s="577"/>
      <c r="P565" s="577"/>
      <c r="Q565" s="577"/>
      <c r="R565" s="577"/>
      <c r="S565" s="577"/>
      <c r="T565" s="577"/>
      <c r="U565" s="577"/>
      <c r="V565" s="577"/>
      <c r="W565" s="577"/>
      <c r="X565" s="577"/>
      <c r="Y565" s="577"/>
      <c r="Z565" s="577"/>
      <c r="AA565" s="577"/>
      <c r="AB565" s="577"/>
      <c r="AC565" s="577"/>
      <c r="AD565" s="577"/>
      <c r="AE565" s="577"/>
      <c r="AF565" s="6"/>
    </row>
    <row r="566" ht="12.75" customHeight="1">
      <c r="A566" s="595"/>
      <c r="B566" s="596"/>
      <c r="C566" s="596"/>
      <c r="D566" s="596"/>
      <c r="E566" s="596"/>
      <c r="F566" s="596"/>
      <c r="G566" s="596"/>
      <c r="H566" s="596"/>
      <c r="I566" s="596"/>
      <c r="J566" s="577"/>
      <c r="K566" s="577"/>
      <c r="L566" s="577"/>
      <c r="M566" s="577"/>
      <c r="N566" s="577"/>
      <c r="O566" s="577"/>
      <c r="P566" s="577"/>
      <c r="Q566" s="577"/>
      <c r="R566" s="577"/>
      <c r="S566" s="577"/>
      <c r="T566" s="577"/>
      <c r="U566" s="577"/>
      <c r="V566" s="577"/>
      <c r="W566" s="577"/>
      <c r="X566" s="577"/>
      <c r="Y566" s="577"/>
      <c r="Z566" s="577"/>
      <c r="AA566" s="577"/>
      <c r="AB566" s="577"/>
      <c r="AC566" s="577"/>
      <c r="AD566" s="577"/>
      <c r="AE566" s="577"/>
      <c r="AF566" s="6"/>
    </row>
    <row r="567" ht="12.75" customHeight="1">
      <c r="A567" s="595"/>
      <c r="B567" s="596"/>
      <c r="C567" s="596"/>
      <c r="D567" s="596"/>
      <c r="E567" s="596"/>
      <c r="F567" s="596"/>
      <c r="G567" s="596"/>
      <c r="H567" s="596"/>
      <c r="I567" s="596"/>
      <c r="J567" s="577"/>
      <c r="K567" s="577"/>
      <c r="L567" s="577"/>
      <c r="M567" s="577"/>
      <c r="N567" s="577"/>
      <c r="O567" s="577"/>
      <c r="P567" s="577"/>
      <c r="Q567" s="577"/>
      <c r="R567" s="577"/>
      <c r="S567" s="577"/>
      <c r="T567" s="577"/>
      <c r="U567" s="577"/>
      <c r="V567" s="577"/>
      <c r="W567" s="577"/>
      <c r="X567" s="577"/>
      <c r="Y567" s="577"/>
      <c r="Z567" s="577"/>
      <c r="AA567" s="577"/>
      <c r="AB567" s="577"/>
      <c r="AC567" s="577"/>
      <c r="AD567" s="577"/>
      <c r="AE567" s="577"/>
      <c r="AF567" s="6"/>
    </row>
    <row r="568" ht="12.75" customHeight="1">
      <c r="A568" s="595"/>
      <c r="B568" s="596"/>
      <c r="C568" s="596"/>
      <c r="D568" s="596"/>
      <c r="E568" s="596"/>
      <c r="F568" s="596"/>
      <c r="G568" s="596"/>
      <c r="H568" s="596"/>
      <c r="I568" s="596"/>
      <c r="J568" s="577"/>
      <c r="K568" s="577"/>
      <c r="L568" s="577"/>
      <c r="M568" s="577"/>
      <c r="N568" s="577"/>
      <c r="O568" s="577"/>
      <c r="P568" s="577"/>
      <c r="Q568" s="577"/>
      <c r="R568" s="577"/>
      <c r="S568" s="577"/>
      <c r="T568" s="577"/>
      <c r="U568" s="577"/>
      <c r="V568" s="577"/>
      <c r="W568" s="577"/>
      <c r="X568" s="577"/>
      <c r="Y568" s="577"/>
      <c r="Z568" s="577"/>
      <c r="AA568" s="577"/>
      <c r="AB568" s="577"/>
      <c r="AC568" s="577"/>
      <c r="AD568" s="577"/>
      <c r="AE568" s="577"/>
      <c r="AF568" s="6"/>
    </row>
    <row r="569" ht="12.75" customHeight="1">
      <c r="A569" s="595"/>
      <c r="B569" s="596"/>
      <c r="C569" s="596"/>
      <c r="D569" s="596"/>
      <c r="E569" s="596"/>
      <c r="F569" s="596"/>
      <c r="G569" s="596"/>
      <c r="H569" s="596"/>
      <c r="I569" s="596"/>
      <c r="J569" s="577"/>
      <c r="K569" s="577"/>
      <c r="L569" s="577"/>
      <c r="M569" s="577"/>
      <c r="N569" s="577"/>
      <c r="O569" s="577"/>
      <c r="P569" s="577"/>
      <c r="Q569" s="577"/>
      <c r="R569" s="577"/>
      <c r="S569" s="577"/>
      <c r="T569" s="577"/>
      <c r="U569" s="577"/>
      <c r="V569" s="577"/>
      <c r="W569" s="577"/>
      <c r="X569" s="577"/>
      <c r="Y569" s="577"/>
      <c r="Z569" s="577"/>
      <c r="AA569" s="577"/>
      <c r="AB569" s="577"/>
      <c r="AC569" s="577"/>
      <c r="AD569" s="577"/>
      <c r="AE569" s="577"/>
      <c r="AF569" s="6"/>
    </row>
    <row r="570" ht="12.75" customHeight="1">
      <c r="A570" s="595"/>
      <c r="B570" s="596"/>
      <c r="C570" s="596"/>
      <c r="D570" s="596"/>
      <c r="E570" s="596"/>
      <c r="F570" s="596"/>
      <c r="G570" s="596"/>
      <c r="H570" s="596"/>
      <c r="I570" s="596"/>
      <c r="J570" s="577"/>
      <c r="K570" s="577"/>
      <c r="L570" s="577"/>
      <c r="M570" s="577"/>
      <c r="N570" s="577"/>
      <c r="O570" s="577"/>
      <c r="P570" s="577"/>
      <c r="Q570" s="577"/>
      <c r="R570" s="577"/>
      <c r="S570" s="577"/>
      <c r="T570" s="577"/>
      <c r="U570" s="577"/>
      <c r="V570" s="577"/>
      <c r="W570" s="577"/>
      <c r="X570" s="577"/>
      <c r="Y570" s="577"/>
      <c r="Z570" s="577"/>
      <c r="AA570" s="577"/>
      <c r="AB570" s="577"/>
      <c r="AC570" s="577"/>
      <c r="AD570" s="577"/>
      <c r="AE570" s="577"/>
      <c r="AF570" s="6"/>
    </row>
    <row r="571" ht="12.75" customHeight="1">
      <c r="A571" s="595"/>
      <c r="B571" s="596"/>
      <c r="C571" s="596"/>
      <c r="D571" s="596"/>
      <c r="E571" s="596"/>
      <c r="F571" s="596"/>
      <c r="G571" s="596"/>
      <c r="H571" s="596"/>
      <c r="I571" s="596"/>
      <c r="J571" s="577"/>
      <c r="K571" s="577"/>
      <c r="L571" s="577"/>
      <c r="M571" s="577"/>
      <c r="N571" s="577"/>
      <c r="O571" s="577"/>
      <c r="P571" s="577"/>
      <c r="Q571" s="577"/>
      <c r="R571" s="577"/>
      <c r="S571" s="577"/>
      <c r="T571" s="577"/>
      <c r="U571" s="577"/>
      <c r="V571" s="577"/>
      <c r="W571" s="577"/>
      <c r="X571" s="577"/>
      <c r="Y571" s="577"/>
      <c r="Z571" s="577"/>
      <c r="AA571" s="577"/>
      <c r="AB571" s="577"/>
      <c r="AC571" s="577"/>
      <c r="AD571" s="577"/>
      <c r="AE571" s="577"/>
      <c r="AF571" s="6"/>
    </row>
    <row r="572" ht="12.75" customHeight="1">
      <c r="A572" s="595"/>
      <c r="B572" s="596"/>
      <c r="C572" s="596"/>
      <c r="D572" s="596"/>
      <c r="E572" s="596"/>
      <c r="F572" s="596"/>
      <c r="G572" s="596"/>
      <c r="H572" s="596"/>
      <c r="I572" s="596"/>
      <c r="J572" s="577"/>
      <c r="K572" s="577"/>
      <c r="L572" s="577"/>
      <c r="M572" s="577"/>
      <c r="N572" s="577"/>
      <c r="O572" s="577"/>
      <c r="P572" s="577"/>
      <c r="Q572" s="577"/>
      <c r="R572" s="577"/>
      <c r="S572" s="577"/>
      <c r="T572" s="577"/>
      <c r="U572" s="577"/>
      <c r="V572" s="577"/>
      <c r="W572" s="577"/>
      <c r="X572" s="577"/>
      <c r="Y572" s="577"/>
      <c r="Z572" s="577"/>
      <c r="AA572" s="577"/>
      <c r="AB572" s="577"/>
      <c r="AC572" s="577"/>
      <c r="AD572" s="577"/>
      <c r="AE572" s="577"/>
      <c r="AF572" s="6"/>
    </row>
    <row r="573" ht="12.75" customHeight="1">
      <c r="A573" s="595"/>
      <c r="B573" s="596"/>
      <c r="C573" s="596"/>
      <c r="D573" s="596"/>
      <c r="E573" s="596"/>
      <c r="F573" s="596"/>
      <c r="G573" s="596"/>
      <c r="H573" s="596"/>
      <c r="I573" s="596"/>
      <c r="J573" s="577"/>
      <c r="K573" s="577"/>
      <c r="L573" s="577"/>
      <c r="M573" s="577"/>
      <c r="N573" s="577"/>
      <c r="O573" s="577"/>
      <c r="P573" s="577"/>
      <c r="Q573" s="577"/>
      <c r="R573" s="577"/>
      <c r="S573" s="577"/>
      <c r="T573" s="577"/>
      <c r="U573" s="577"/>
      <c r="V573" s="577"/>
      <c r="W573" s="577"/>
      <c r="X573" s="577"/>
      <c r="Y573" s="577"/>
      <c r="Z573" s="577"/>
      <c r="AA573" s="577"/>
      <c r="AB573" s="577"/>
      <c r="AC573" s="577"/>
      <c r="AD573" s="577"/>
      <c r="AE573" s="577"/>
      <c r="AF573" s="6"/>
    </row>
    <row r="574" ht="12.75" customHeight="1">
      <c r="A574" s="595"/>
      <c r="B574" s="596"/>
      <c r="C574" s="596"/>
      <c r="D574" s="596"/>
      <c r="E574" s="596"/>
      <c r="F574" s="596"/>
      <c r="G574" s="596"/>
      <c r="H574" s="596"/>
      <c r="I574" s="596"/>
      <c r="J574" s="577"/>
      <c r="K574" s="577"/>
      <c r="L574" s="577"/>
      <c r="M574" s="577"/>
      <c r="N574" s="577"/>
      <c r="O574" s="577"/>
      <c r="P574" s="577"/>
      <c r="Q574" s="577"/>
      <c r="R574" s="577"/>
      <c r="S574" s="577"/>
      <c r="T574" s="577"/>
      <c r="U574" s="577"/>
      <c r="V574" s="577"/>
      <c r="W574" s="577"/>
      <c r="X574" s="577"/>
      <c r="Y574" s="577"/>
      <c r="Z574" s="577"/>
      <c r="AA574" s="577"/>
      <c r="AB574" s="577"/>
      <c r="AC574" s="577"/>
      <c r="AD574" s="577"/>
      <c r="AE574" s="577"/>
      <c r="AF574" s="6"/>
    </row>
    <row r="575" ht="12.75" customHeight="1">
      <c r="A575" s="595"/>
      <c r="B575" s="596"/>
      <c r="C575" s="596"/>
      <c r="D575" s="596"/>
      <c r="E575" s="596"/>
      <c r="F575" s="596"/>
      <c r="G575" s="596"/>
      <c r="H575" s="596"/>
      <c r="I575" s="596"/>
      <c r="J575" s="577"/>
      <c r="K575" s="577"/>
      <c r="L575" s="577"/>
      <c r="M575" s="577"/>
      <c r="N575" s="577"/>
      <c r="O575" s="577"/>
      <c r="P575" s="577"/>
      <c r="Q575" s="577"/>
      <c r="R575" s="577"/>
      <c r="S575" s="577"/>
      <c r="T575" s="577"/>
      <c r="U575" s="577"/>
      <c r="V575" s="577"/>
      <c r="W575" s="577"/>
      <c r="X575" s="577"/>
      <c r="Y575" s="577"/>
      <c r="Z575" s="577"/>
      <c r="AA575" s="577"/>
      <c r="AB575" s="577"/>
      <c r="AC575" s="577"/>
      <c r="AD575" s="577"/>
      <c r="AE575" s="577"/>
      <c r="AF575" s="6"/>
    </row>
    <row r="576" ht="12.75" customHeight="1">
      <c r="A576" s="595"/>
      <c r="B576" s="596"/>
      <c r="C576" s="596"/>
      <c r="D576" s="596"/>
      <c r="E576" s="596"/>
      <c r="F576" s="596"/>
      <c r="G576" s="596"/>
      <c r="H576" s="596"/>
      <c r="I576" s="596"/>
      <c r="J576" s="577"/>
      <c r="K576" s="577"/>
      <c r="L576" s="577"/>
      <c r="M576" s="577"/>
      <c r="N576" s="577"/>
      <c r="O576" s="577"/>
      <c r="P576" s="577"/>
      <c r="Q576" s="577"/>
      <c r="R576" s="577"/>
      <c r="S576" s="577"/>
      <c r="T576" s="577"/>
      <c r="U576" s="577"/>
      <c r="V576" s="577"/>
      <c r="W576" s="577"/>
      <c r="X576" s="577"/>
      <c r="Y576" s="577"/>
      <c r="Z576" s="577"/>
      <c r="AA576" s="577"/>
      <c r="AB576" s="577"/>
      <c r="AC576" s="577"/>
      <c r="AD576" s="577"/>
      <c r="AE576" s="577"/>
      <c r="AF576" s="6"/>
    </row>
    <row r="577" ht="12.75" customHeight="1">
      <c r="A577" s="595"/>
      <c r="B577" s="596"/>
      <c r="C577" s="596"/>
      <c r="D577" s="596"/>
      <c r="E577" s="596"/>
      <c r="F577" s="596"/>
      <c r="G577" s="596"/>
      <c r="H577" s="596"/>
      <c r="I577" s="596"/>
      <c r="J577" s="577"/>
      <c r="K577" s="577"/>
      <c r="L577" s="577"/>
      <c r="M577" s="577"/>
      <c r="N577" s="577"/>
      <c r="O577" s="577"/>
      <c r="P577" s="577"/>
      <c r="Q577" s="577"/>
      <c r="R577" s="577"/>
      <c r="S577" s="577"/>
      <c r="T577" s="577"/>
      <c r="U577" s="577"/>
      <c r="V577" s="577"/>
      <c r="W577" s="577"/>
      <c r="X577" s="577"/>
      <c r="Y577" s="577"/>
      <c r="Z577" s="577"/>
      <c r="AA577" s="577"/>
      <c r="AB577" s="577"/>
      <c r="AC577" s="577"/>
      <c r="AD577" s="577"/>
      <c r="AE577" s="577"/>
      <c r="AF577" s="6"/>
    </row>
    <row r="578" ht="12.75" customHeight="1">
      <c r="A578" s="595"/>
      <c r="B578" s="596"/>
      <c r="C578" s="596"/>
      <c r="D578" s="596"/>
      <c r="E578" s="596"/>
      <c r="F578" s="596"/>
      <c r="G578" s="596"/>
      <c r="H578" s="596"/>
      <c r="I578" s="596"/>
      <c r="J578" s="577"/>
      <c r="K578" s="577"/>
      <c r="L578" s="577"/>
      <c r="M578" s="577"/>
      <c r="N578" s="577"/>
      <c r="O578" s="577"/>
      <c r="P578" s="577"/>
      <c r="Q578" s="577"/>
      <c r="R578" s="577"/>
      <c r="S578" s="577"/>
      <c r="T578" s="577"/>
      <c r="U578" s="577"/>
      <c r="V578" s="577"/>
      <c r="W578" s="577"/>
      <c r="X578" s="577"/>
      <c r="Y578" s="577"/>
      <c r="Z578" s="577"/>
      <c r="AA578" s="577"/>
      <c r="AB578" s="577"/>
      <c r="AC578" s="577"/>
      <c r="AD578" s="577"/>
      <c r="AE578" s="577"/>
      <c r="AF578" s="6"/>
    </row>
    <row r="579" ht="12.75" customHeight="1">
      <c r="A579" s="595"/>
      <c r="B579" s="596"/>
      <c r="C579" s="596"/>
      <c r="D579" s="596"/>
      <c r="E579" s="596"/>
      <c r="F579" s="596"/>
      <c r="G579" s="596"/>
      <c r="H579" s="596"/>
      <c r="I579" s="596"/>
      <c r="J579" s="577"/>
      <c r="K579" s="577"/>
      <c r="L579" s="577"/>
      <c r="M579" s="577"/>
      <c r="N579" s="577"/>
      <c r="O579" s="577"/>
      <c r="P579" s="577"/>
      <c r="Q579" s="577"/>
      <c r="R579" s="577"/>
      <c r="S579" s="577"/>
      <c r="T579" s="577"/>
      <c r="U579" s="577"/>
      <c r="V579" s="577"/>
      <c r="W579" s="577"/>
      <c r="X579" s="577"/>
      <c r="Y579" s="577"/>
      <c r="Z579" s="577"/>
      <c r="AA579" s="577"/>
      <c r="AB579" s="577"/>
      <c r="AC579" s="577"/>
      <c r="AD579" s="577"/>
      <c r="AE579" s="577"/>
      <c r="AF579" s="6"/>
    </row>
    <row r="580" ht="12.75" customHeight="1">
      <c r="A580" s="595"/>
      <c r="B580" s="596"/>
      <c r="C580" s="596"/>
      <c r="D580" s="596"/>
      <c r="E580" s="596"/>
      <c r="F580" s="596"/>
      <c r="G580" s="596"/>
      <c r="H580" s="596"/>
      <c r="I580" s="596"/>
      <c r="J580" s="577"/>
      <c r="K580" s="577"/>
      <c r="L580" s="577"/>
      <c r="M580" s="577"/>
      <c r="N580" s="577"/>
      <c r="O580" s="577"/>
      <c r="P580" s="577"/>
      <c r="Q580" s="577"/>
      <c r="R580" s="577"/>
      <c r="S580" s="577"/>
      <c r="T580" s="577"/>
      <c r="U580" s="577"/>
      <c r="V580" s="577"/>
      <c r="W580" s="577"/>
      <c r="X580" s="577"/>
      <c r="Y580" s="577"/>
      <c r="Z580" s="577"/>
      <c r="AA580" s="577"/>
      <c r="AB580" s="577"/>
      <c r="AC580" s="577"/>
      <c r="AD580" s="577"/>
      <c r="AE580" s="577"/>
      <c r="AF580" s="6"/>
    </row>
    <row r="581" ht="12.75" customHeight="1">
      <c r="A581" s="595"/>
      <c r="B581" s="596"/>
      <c r="C581" s="596"/>
      <c r="D581" s="596"/>
      <c r="E581" s="596"/>
      <c r="F581" s="596"/>
      <c r="G581" s="596"/>
      <c r="H581" s="596"/>
      <c r="I581" s="596"/>
      <c r="J581" s="577"/>
      <c r="K581" s="577"/>
      <c r="L581" s="577"/>
      <c r="M581" s="577"/>
      <c r="N581" s="577"/>
      <c r="O581" s="577"/>
      <c r="P581" s="577"/>
      <c r="Q581" s="577"/>
      <c r="R581" s="577"/>
      <c r="S581" s="577"/>
      <c r="T581" s="577"/>
      <c r="U581" s="577"/>
      <c r="V581" s="577"/>
      <c r="W581" s="577"/>
      <c r="X581" s="577"/>
      <c r="Y581" s="577"/>
      <c r="Z581" s="577"/>
      <c r="AA581" s="577"/>
      <c r="AB581" s="577"/>
      <c r="AC581" s="577"/>
      <c r="AD581" s="577"/>
      <c r="AE581" s="577"/>
      <c r="AF581" s="6"/>
    </row>
    <row r="582" ht="12.75" customHeight="1">
      <c r="A582" s="595"/>
      <c r="B582" s="596"/>
      <c r="C582" s="596"/>
      <c r="D582" s="596"/>
      <c r="E582" s="596"/>
      <c r="F582" s="596"/>
      <c r="G582" s="596"/>
      <c r="H582" s="596"/>
      <c r="I582" s="596"/>
      <c r="J582" s="577"/>
      <c r="K582" s="577"/>
      <c r="L582" s="577"/>
      <c r="M582" s="577"/>
      <c r="N582" s="577"/>
      <c r="O582" s="577"/>
      <c r="P582" s="577"/>
      <c r="Q582" s="577"/>
      <c r="R582" s="577"/>
      <c r="S582" s="577"/>
      <c r="T582" s="577"/>
      <c r="U582" s="577"/>
      <c r="V582" s="577"/>
      <c r="W582" s="577"/>
      <c r="X582" s="577"/>
      <c r="Y582" s="577"/>
      <c r="Z582" s="577"/>
      <c r="AA582" s="577"/>
      <c r="AB582" s="577"/>
      <c r="AC582" s="577"/>
      <c r="AD582" s="577"/>
      <c r="AE582" s="577"/>
      <c r="AF582" s="6"/>
    </row>
    <row r="583" ht="12.75" customHeight="1">
      <c r="A583" s="595"/>
      <c r="B583" s="596"/>
      <c r="C583" s="596"/>
      <c r="D583" s="596"/>
      <c r="E583" s="596"/>
      <c r="F583" s="596"/>
      <c r="G583" s="596"/>
      <c r="H583" s="596"/>
      <c r="I583" s="596"/>
      <c r="J583" s="577"/>
      <c r="K583" s="577"/>
      <c r="L583" s="577"/>
      <c r="M583" s="577"/>
      <c r="N583" s="577"/>
      <c r="O583" s="577"/>
      <c r="P583" s="577"/>
      <c r="Q583" s="577"/>
      <c r="R583" s="577"/>
      <c r="S583" s="577"/>
      <c r="T583" s="577"/>
      <c r="U583" s="577"/>
      <c r="V583" s="577"/>
      <c r="W583" s="577"/>
      <c r="X583" s="577"/>
      <c r="Y583" s="577"/>
      <c r="Z583" s="577"/>
      <c r="AA583" s="577"/>
      <c r="AB583" s="577"/>
      <c r="AC583" s="577"/>
      <c r="AD583" s="577"/>
      <c r="AE583" s="577"/>
      <c r="AF583" s="6"/>
    </row>
    <row r="584" ht="12.75" customHeight="1">
      <c r="A584" s="595"/>
      <c r="B584" s="596"/>
      <c r="C584" s="596"/>
      <c r="D584" s="596"/>
      <c r="E584" s="596"/>
      <c r="F584" s="596"/>
      <c r="G584" s="596"/>
      <c r="H584" s="596"/>
      <c r="I584" s="596"/>
      <c r="J584" s="577"/>
      <c r="K584" s="577"/>
      <c r="L584" s="577"/>
      <c r="M584" s="577"/>
      <c r="N584" s="577"/>
      <c r="O584" s="577"/>
      <c r="P584" s="577"/>
      <c r="Q584" s="577"/>
      <c r="R584" s="577"/>
      <c r="S584" s="577"/>
      <c r="T584" s="577"/>
      <c r="U584" s="577"/>
      <c r="V584" s="577"/>
      <c r="W584" s="577"/>
      <c r="X584" s="577"/>
      <c r="Y584" s="577"/>
      <c r="Z584" s="577"/>
      <c r="AA584" s="577"/>
      <c r="AB584" s="577"/>
      <c r="AC584" s="577"/>
      <c r="AD584" s="577"/>
      <c r="AE584" s="577"/>
      <c r="AF584" s="6"/>
    </row>
    <row r="585" ht="12.75" customHeight="1">
      <c r="A585" s="595"/>
      <c r="B585" s="596"/>
      <c r="C585" s="596"/>
      <c r="D585" s="596"/>
      <c r="E585" s="596"/>
      <c r="F585" s="596"/>
      <c r="G585" s="596"/>
      <c r="H585" s="596"/>
      <c r="I585" s="596"/>
      <c r="J585" s="577"/>
      <c r="K585" s="577"/>
      <c r="L585" s="577"/>
      <c r="M585" s="577"/>
      <c r="N585" s="577"/>
      <c r="O585" s="577"/>
      <c r="P585" s="577"/>
      <c r="Q585" s="577"/>
      <c r="R585" s="577"/>
      <c r="S585" s="577"/>
      <c r="T585" s="577"/>
      <c r="U585" s="577"/>
      <c r="V585" s="577"/>
      <c r="W585" s="577"/>
      <c r="X585" s="577"/>
      <c r="Y585" s="577"/>
      <c r="Z585" s="577"/>
      <c r="AA585" s="577"/>
      <c r="AB585" s="577"/>
      <c r="AC585" s="577"/>
      <c r="AD585" s="577"/>
      <c r="AE585" s="577"/>
      <c r="AF585" s="6"/>
    </row>
    <row r="586" ht="12.75" customHeight="1">
      <c r="A586" s="595"/>
      <c r="B586" s="596"/>
      <c r="C586" s="596"/>
      <c r="D586" s="596"/>
      <c r="E586" s="596"/>
      <c r="F586" s="596"/>
      <c r="G586" s="596"/>
      <c r="H586" s="596"/>
      <c r="I586" s="596"/>
      <c r="J586" s="577"/>
      <c r="K586" s="577"/>
      <c r="L586" s="577"/>
      <c r="M586" s="577"/>
      <c r="N586" s="577"/>
      <c r="O586" s="577"/>
      <c r="P586" s="577"/>
      <c r="Q586" s="577"/>
      <c r="R586" s="577"/>
      <c r="S586" s="577"/>
      <c r="T586" s="577"/>
      <c r="U586" s="577"/>
      <c r="V586" s="577"/>
      <c r="W586" s="577"/>
      <c r="X586" s="577"/>
      <c r="Y586" s="577"/>
      <c r="Z586" s="577"/>
      <c r="AA586" s="577"/>
      <c r="AB586" s="577"/>
      <c r="AC586" s="577"/>
      <c r="AD586" s="577"/>
      <c r="AE586" s="577"/>
      <c r="AF586" s="6"/>
    </row>
    <row r="587" ht="12.75" customHeight="1">
      <c r="A587" s="595"/>
      <c r="B587" s="596"/>
      <c r="C587" s="596"/>
      <c r="D587" s="596"/>
      <c r="E587" s="596"/>
      <c r="F587" s="596"/>
      <c r="G587" s="596"/>
      <c r="H587" s="596"/>
      <c r="I587" s="596"/>
      <c r="J587" s="577"/>
      <c r="K587" s="577"/>
      <c r="L587" s="577"/>
      <c r="M587" s="577"/>
      <c r="N587" s="577"/>
      <c r="O587" s="577"/>
      <c r="P587" s="577"/>
      <c r="Q587" s="577"/>
      <c r="R587" s="577"/>
      <c r="S587" s="577"/>
      <c r="T587" s="577"/>
      <c r="U587" s="577"/>
      <c r="V587" s="577"/>
      <c r="W587" s="577"/>
      <c r="X587" s="577"/>
      <c r="Y587" s="577"/>
      <c r="Z587" s="577"/>
      <c r="AA587" s="577"/>
      <c r="AB587" s="577"/>
      <c r="AC587" s="577"/>
      <c r="AD587" s="577"/>
      <c r="AE587" s="577"/>
      <c r="AF587" s="6"/>
    </row>
    <row r="588" ht="12.75" customHeight="1">
      <c r="A588" s="595"/>
      <c r="B588" s="596"/>
      <c r="C588" s="596"/>
      <c r="D588" s="596"/>
      <c r="E588" s="596"/>
      <c r="F588" s="596"/>
      <c r="G588" s="596"/>
      <c r="H588" s="596"/>
      <c r="I588" s="596"/>
      <c r="J588" s="577"/>
      <c r="K588" s="577"/>
      <c r="L588" s="577"/>
      <c r="M588" s="577"/>
      <c r="N588" s="577"/>
      <c r="O588" s="577"/>
      <c r="P588" s="577"/>
      <c r="Q588" s="577"/>
      <c r="R588" s="577"/>
      <c r="S588" s="577"/>
      <c r="T588" s="577"/>
      <c r="U588" s="577"/>
      <c r="V588" s="577"/>
      <c r="W588" s="577"/>
      <c r="X588" s="577"/>
      <c r="Y588" s="577"/>
      <c r="Z588" s="577"/>
      <c r="AA588" s="577"/>
      <c r="AB588" s="577"/>
      <c r="AC588" s="577"/>
      <c r="AD588" s="577"/>
      <c r="AE588" s="577"/>
      <c r="AF588" s="6"/>
    </row>
    <row r="589" ht="12.75" customHeight="1">
      <c r="A589" s="595"/>
      <c r="B589" s="596"/>
      <c r="C589" s="596"/>
      <c r="D589" s="596"/>
      <c r="E589" s="596"/>
      <c r="F589" s="596"/>
      <c r="G589" s="596"/>
      <c r="H589" s="596"/>
      <c r="I589" s="596"/>
      <c r="J589" s="577"/>
      <c r="K589" s="577"/>
      <c r="L589" s="577"/>
      <c r="M589" s="577"/>
      <c r="N589" s="577"/>
      <c r="O589" s="577"/>
      <c r="P589" s="577"/>
      <c r="Q589" s="577"/>
      <c r="R589" s="577"/>
      <c r="S589" s="577"/>
      <c r="T589" s="577"/>
      <c r="U589" s="577"/>
      <c r="V589" s="577"/>
      <c r="W589" s="577"/>
      <c r="X589" s="577"/>
      <c r="Y589" s="577"/>
      <c r="Z589" s="577"/>
      <c r="AA589" s="577"/>
      <c r="AB589" s="577"/>
      <c r="AC589" s="577"/>
      <c r="AD589" s="577"/>
      <c r="AE589" s="577"/>
      <c r="AF589" s="6"/>
    </row>
    <row r="590" ht="12.75" customHeight="1">
      <c r="A590" s="595"/>
      <c r="B590" s="596"/>
      <c r="C590" s="596"/>
      <c r="D590" s="596"/>
      <c r="E590" s="596"/>
      <c r="F590" s="596"/>
      <c r="G590" s="596"/>
      <c r="H590" s="596"/>
      <c r="I590" s="596"/>
      <c r="J590" s="577"/>
      <c r="K590" s="577"/>
      <c r="L590" s="577"/>
      <c r="M590" s="577"/>
      <c r="N590" s="577"/>
      <c r="O590" s="577"/>
      <c r="P590" s="577"/>
      <c r="Q590" s="577"/>
      <c r="R590" s="577"/>
      <c r="S590" s="577"/>
      <c r="T590" s="577"/>
      <c r="U590" s="577"/>
      <c r="V590" s="577"/>
      <c r="W590" s="577"/>
      <c r="X590" s="577"/>
      <c r="Y590" s="577"/>
      <c r="Z590" s="577"/>
      <c r="AA590" s="577"/>
      <c r="AB590" s="577"/>
      <c r="AC590" s="577"/>
      <c r="AD590" s="577"/>
      <c r="AE590" s="577"/>
      <c r="AF590" s="6"/>
    </row>
    <row r="591" ht="12.75" customHeight="1">
      <c r="A591" s="595"/>
      <c r="B591" s="596"/>
      <c r="C591" s="596"/>
      <c r="D591" s="596"/>
      <c r="E591" s="596"/>
      <c r="F591" s="596"/>
      <c r="G591" s="596"/>
      <c r="H591" s="596"/>
      <c r="I591" s="596"/>
      <c r="J591" s="577"/>
      <c r="K591" s="577"/>
      <c r="L591" s="577"/>
      <c r="M591" s="577"/>
      <c r="N591" s="577"/>
      <c r="O591" s="577"/>
      <c r="P591" s="577"/>
      <c r="Q591" s="577"/>
      <c r="R591" s="577"/>
      <c r="S591" s="577"/>
      <c r="T591" s="577"/>
      <c r="U591" s="577"/>
      <c r="V591" s="577"/>
      <c r="W591" s="577"/>
      <c r="X591" s="577"/>
      <c r="Y591" s="577"/>
      <c r="Z591" s="577"/>
      <c r="AA591" s="577"/>
      <c r="AB591" s="577"/>
      <c r="AC591" s="577"/>
      <c r="AD591" s="577"/>
      <c r="AE591" s="577"/>
      <c r="AF591" s="6"/>
    </row>
    <row r="592" ht="12.75" customHeight="1">
      <c r="A592" s="595"/>
      <c r="B592" s="596"/>
      <c r="C592" s="596"/>
      <c r="D592" s="596"/>
      <c r="E592" s="596"/>
      <c r="F592" s="596"/>
      <c r="G592" s="596"/>
      <c r="H592" s="596"/>
      <c r="I592" s="596"/>
      <c r="J592" s="577"/>
      <c r="K592" s="577"/>
      <c r="L592" s="577"/>
      <c r="M592" s="577"/>
      <c r="N592" s="577"/>
      <c r="O592" s="577"/>
      <c r="P592" s="577"/>
      <c r="Q592" s="577"/>
      <c r="R592" s="577"/>
      <c r="S592" s="577"/>
      <c r="T592" s="577"/>
      <c r="U592" s="577"/>
      <c r="V592" s="577"/>
      <c r="W592" s="577"/>
      <c r="X592" s="577"/>
      <c r="Y592" s="577"/>
      <c r="Z592" s="577"/>
      <c r="AA592" s="577"/>
      <c r="AB592" s="577"/>
      <c r="AC592" s="577"/>
      <c r="AD592" s="577"/>
      <c r="AE592" s="577"/>
      <c r="AF592" s="6"/>
    </row>
    <row r="593" ht="12.75" customHeight="1">
      <c r="A593" s="595"/>
      <c r="B593" s="596"/>
      <c r="C593" s="596"/>
      <c r="D593" s="596"/>
      <c r="E593" s="596"/>
      <c r="F593" s="596"/>
      <c r="G593" s="596"/>
      <c r="H593" s="596"/>
      <c r="I593" s="596"/>
      <c r="J593" s="577"/>
      <c r="K593" s="577"/>
      <c r="L593" s="577"/>
      <c r="M593" s="577"/>
      <c r="N593" s="577"/>
      <c r="O593" s="577"/>
      <c r="P593" s="577"/>
      <c r="Q593" s="577"/>
      <c r="R593" s="577"/>
      <c r="S593" s="577"/>
      <c r="T593" s="577"/>
      <c r="U593" s="577"/>
      <c r="V593" s="577"/>
      <c r="W593" s="577"/>
      <c r="X593" s="577"/>
      <c r="Y593" s="577"/>
      <c r="Z593" s="577"/>
      <c r="AA593" s="577"/>
      <c r="AB593" s="577"/>
      <c r="AC593" s="577"/>
      <c r="AD593" s="577"/>
      <c r="AE593" s="577"/>
      <c r="AF593" s="6"/>
    </row>
    <row r="594" ht="12.75" customHeight="1">
      <c r="A594" s="595"/>
      <c r="B594" s="596"/>
      <c r="C594" s="596"/>
      <c r="D594" s="596"/>
      <c r="E594" s="596"/>
      <c r="F594" s="596"/>
      <c r="G594" s="596"/>
      <c r="H594" s="596"/>
      <c r="I594" s="596"/>
      <c r="J594" s="577"/>
      <c r="K594" s="577"/>
      <c r="L594" s="577"/>
      <c r="M594" s="577"/>
      <c r="N594" s="577"/>
      <c r="O594" s="577"/>
      <c r="P594" s="577"/>
      <c r="Q594" s="577"/>
      <c r="R594" s="577"/>
      <c r="S594" s="577"/>
      <c r="T594" s="577"/>
      <c r="U594" s="577"/>
      <c r="V594" s="577"/>
      <c r="W594" s="577"/>
      <c r="X594" s="577"/>
      <c r="Y594" s="577"/>
      <c r="Z594" s="577"/>
      <c r="AA594" s="577"/>
      <c r="AB594" s="577"/>
      <c r="AC594" s="577"/>
      <c r="AD594" s="577"/>
      <c r="AE594" s="577"/>
      <c r="AF594" s="6"/>
    </row>
    <row r="595" ht="12.75" customHeight="1">
      <c r="A595" s="595"/>
      <c r="B595" s="596"/>
      <c r="C595" s="596"/>
      <c r="D595" s="596"/>
      <c r="E595" s="596"/>
      <c r="F595" s="596"/>
      <c r="G595" s="596"/>
      <c r="H595" s="596"/>
      <c r="I595" s="596"/>
      <c r="J595" s="577"/>
      <c r="K595" s="577"/>
      <c r="L595" s="577"/>
      <c r="M595" s="577"/>
      <c r="N595" s="577"/>
      <c r="O595" s="577"/>
      <c r="P595" s="577"/>
      <c r="Q595" s="577"/>
      <c r="R595" s="577"/>
      <c r="S595" s="577"/>
      <c r="T595" s="577"/>
      <c r="U595" s="577"/>
      <c r="V595" s="577"/>
      <c r="W595" s="577"/>
      <c r="X595" s="577"/>
      <c r="Y595" s="577"/>
      <c r="Z595" s="577"/>
      <c r="AA595" s="577"/>
      <c r="AB595" s="577"/>
      <c r="AC595" s="577"/>
      <c r="AD595" s="577"/>
      <c r="AE595" s="577"/>
      <c r="AF595" s="6"/>
    </row>
    <row r="596" ht="12.75" customHeight="1">
      <c r="A596" s="595"/>
      <c r="B596" s="596"/>
      <c r="C596" s="596"/>
      <c r="D596" s="596"/>
      <c r="E596" s="596"/>
      <c r="F596" s="596"/>
      <c r="G596" s="596"/>
      <c r="H596" s="596"/>
      <c r="I596" s="596"/>
      <c r="J596" s="577"/>
      <c r="K596" s="577"/>
      <c r="L596" s="577"/>
      <c r="M596" s="577"/>
      <c r="N596" s="577"/>
      <c r="O596" s="577"/>
      <c r="P596" s="577"/>
      <c r="Q596" s="577"/>
      <c r="R596" s="577"/>
      <c r="S596" s="577"/>
      <c r="T596" s="577"/>
      <c r="U596" s="577"/>
      <c r="V596" s="577"/>
      <c r="W596" s="577"/>
      <c r="X596" s="577"/>
      <c r="Y596" s="577"/>
      <c r="Z596" s="577"/>
      <c r="AA596" s="577"/>
      <c r="AB596" s="577"/>
      <c r="AC596" s="577"/>
      <c r="AD596" s="577"/>
      <c r="AE596" s="577"/>
      <c r="AF596" s="6"/>
    </row>
    <row r="597" ht="12.75" customHeight="1">
      <c r="A597" s="595"/>
      <c r="B597" s="596"/>
      <c r="C597" s="596"/>
      <c r="D597" s="596"/>
      <c r="E597" s="596"/>
      <c r="F597" s="596"/>
      <c r="G597" s="596"/>
      <c r="H597" s="596"/>
      <c r="I597" s="596"/>
      <c r="J597" s="577"/>
      <c r="K597" s="577"/>
      <c r="L597" s="577"/>
      <c r="M597" s="577"/>
      <c r="N597" s="577"/>
      <c r="O597" s="577"/>
      <c r="P597" s="577"/>
      <c r="Q597" s="577"/>
      <c r="R597" s="577"/>
      <c r="S597" s="577"/>
      <c r="T597" s="577"/>
      <c r="U597" s="577"/>
      <c r="V597" s="577"/>
      <c r="W597" s="577"/>
      <c r="X597" s="577"/>
      <c r="Y597" s="577"/>
      <c r="Z597" s="577"/>
      <c r="AA597" s="577"/>
      <c r="AB597" s="577"/>
      <c r="AC597" s="577"/>
      <c r="AD597" s="577"/>
      <c r="AE597" s="577"/>
      <c r="AF597" s="6"/>
    </row>
    <row r="598" ht="12.75" customHeight="1">
      <c r="A598" s="595"/>
      <c r="B598" s="596"/>
      <c r="C598" s="596"/>
      <c r="D598" s="596"/>
      <c r="E598" s="596"/>
      <c r="F598" s="596"/>
      <c r="G598" s="596"/>
      <c r="H598" s="596"/>
      <c r="I598" s="596"/>
      <c r="J598" s="577"/>
      <c r="K598" s="577"/>
      <c r="L598" s="577"/>
      <c r="M598" s="577"/>
      <c r="N598" s="577"/>
      <c r="O598" s="577"/>
      <c r="P598" s="577"/>
      <c r="Q598" s="577"/>
      <c r="R598" s="577"/>
      <c r="S598" s="577"/>
      <c r="T598" s="577"/>
      <c r="U598" s="577"/>
      <c r="V598" s="577"/>
      <c r="W598" s="577"/>
      <c r="X598" s="577"/>
      <c r="Y598" s="577"/>
      <c r="Z598" s="577"/>
      <c r="AA598" s="577"/>
      <c r="AB598" s="577"/>
      <c r="AC598" s="577"/>
      <c r="AD598" s="577"/>
      <c r="AE598" s="577"/>
      <c r="AF598" s="6"/>
    </row>
    <row r="599" ht="12.75" customHeight="1">
      <c r="A599" s="595"/>
      <c r="B599" s="596"/>
      <c r="C599" s="596"/>
      <c r="D599" s="596"/>
      <c r="E599" s="596"/>
      <c r="F599" s="596"/>
      <c r="G599" s="596"/>
      <c r="H599" s="596"/>
      <c r="I599" s="596"/>
      <c r="J599" s="577"/>
      <c r="K599" s="577"/>
      <c r="L599" s="577"/>
      <c r="M599" s="577"/>
      <c r="N599" s="577"/>
      <c r="O599" s="577"/>
      <c r="P599" s="577"/>
      <c r="Q599" s="577"/>
      <c r="R599" s="577"/>
      <c r="S599" s="577"/>
      <c r="T599" s="577"/>
      <c r="U599" s="577"/>
      <c r="V599" s="577"/>
      <c r="W599" s="577"/>
      <c r="X599" s="577"/>
      <c r="Y599" s="577"/>
      <c r="Z599" s="577"/>
      <c r="AA599" s="577"/>
      <c r="AB599" s="577"/>
      <c r="AC599" s="577"/>
      <c r="AD599" s="577"/>
      <c r="AE599" s="577"/>
      <c r="AF599" s="6"/>
    </row>
    <row r="600" ht="12.75" customHeight="1">
      <c r="A600" s="595"/>
      <c r="B600" s="596"/>
      <c r="C600" s="596"/>
      <c r="D600" s="596"/>
      <c r="E600" s="596"/>
      <c r="F600" s="596"/>
      <c r="G600" s="596"/>
      <c r="H600" s="596"/>
      <c r="I600" s="596"/>
      <c r="J600" s="577"/>
      <c r="K600" s="577"/>
      <c r="L600" s="577"/>
      <c r="M600" s="577"/>
      <c r="N600" s="577"/>
      <c r="O600" s="577"/>
      <c r="P600" s="577"/>
      <c r="Q600" s="577"/>
      <c r="R600" s="577"/>
      <c r="S600" s="577"/>
      <c r="T600" s="577"/>
      <c r="U600" s="577"/>
      <c r="V600" s="577"/>
      <c r="W600" s="577"/>
      <c r="X600" s="577"/>
      <c r="Y600" s="577"/>
      <c r="Z600" s="577"/>
      <c r="AA600" s="577"/>
      <c r="AB600" s="577"/>
      <c r="AC600" s="577"/>
      <c r="AD600" s="577"/>
      <c r="AE600" s="577"/>
      <c r="AF600" s="6"/>
    </row>
    <row r="601" ht="12.75" customHeight="1">
      <c r="A601" s="595"/>
      <c r="B601" s="596"/>
      <c r="C601" s="596"/>
      <c r="D601" s="596"/>
      <c r="E601" s="596"/>
      <c r="F601" s="596"/>
      <c r="G601" s="596"/>
      <c r="H601" s="596"/>
      <c r="I601" s="596"/>
      <c r="J601" s="577"/>
      <c r="K601" s="577"/>
      <c r="L601" s="577"/>
      <c r="M601" s="577"/>
      <c r="N601" s="577"/>
      <c r="O601" s="577"/>
      <c r="P601" s="577"/>
      <c r="Q601" s="577"/>
      <c r="R601" s="577"/>
      <c r="S601" s="577"/>
      <c r="T601" s="577"/>
      <c r="U601" s="577"/>
      <c r="V601" s="577"/>
      <c r="W601" s="577"/>
      <c r="X601" s="577"/>
      <c r="Y601" s="577"/>
      <c r="Z601" s="577"/>
      <c r="AA601" s="577"/>
      <c r="AB601" s="577"/>
      <c r="AC601" s="577"/>
      <c r="AD601" s="577"/>
      <c r="AE601" s="577"/>
      <c r="AF601" s="6"/>
    </row>
    <row r="602" ht="12.75" customHeight="1">
      <c r="A602" s="595"/>
      <c r="B602" s="596"/>
      <c r="C602" s="596"/>
      <c r="D602" s="596"/>
      <c r="E602" s="596"/>
      <c r="F602" s="596"/>
      <c r="G602" s="596"/>
      <c r="H602" s="596"/>
      <c r="I602" s="596"/>
      <c r="J602" s="577"/>
      <c r="K602" s="577"/>
      <c r="L602" s="577"/>
      <c r="M602" s="577"/>
      <c r="N602" s="577"/>
      <c r="O602" s="577"/>
      <c r="P602" s="577"/>
      <c r="Q602" s="577"/>
      <c r="R602" s="577"/>
      <c r="S602" s="577"/>
      <c r="T602" s="577"/>
      <c r="U602" s="577"/>
      <c r="V602" s="577"/>
      <c r="W602" s="577"/>
      <c r="X602" s="577"/>
      <c r="Y602" s="577"/>
      <c r="Z602" s="577"/>
      <c r="AA602" s="577"/>
      <c r="AB602" s="577"/>
      <c r="AC602" s="577"/>
      <c r="AD602" s="577"/>
      <c r="AE602" s="577"/>
      <c r="AF602" s="6"/>
    </row>
    <row r="603" ht="12.75" customHeight="1">
      <c r="A603" s="595"/>
      <c r="B603" s="596"/>
      <c r="C603" s="596"/>
      <c r="D603" s="596"/>
      <c r="E603" s="596"/>
      <c r="F603" s="596"/>
      <c r="G603" s="596"/>
      <c r="H603" s="596"/>
      <c r="I603" s="596"/>
      <c r="J603" s="577"/>
      <c r="K603" s="577"/>
      <c r="L603" s="577"/>
      <c r="M603" s="577"/>
      <c r="N603" s="577"/>
      <c r="O603" s="577"/>
      <c r="P603" s="577"/>
      <c r="Q603" s="577"/>
      <c r="R603" s="577"/>
      <c r="S603" s="577"/>
      <c r="T603" s="577"/>
      <c r="U603" s="577"/>
      <c r="V603" s="577"/>
      <c r="W603" s="577"/>
      <c r="X603" s="577"/>
      <c r="Y603" s="577"/>
      <c r="Z603" s="577"/>
      <c r="AA603" s="577"/>
      <c r="AB603" s="577"/>
      <c r="AC603" s="577"/>
      <c r="AD603" s="577"/>
      <c r="AE603" s="577"/>
      <c r="AF603" s="6"/>
    </row>
    <row r="604" ht="12.75" customHeight="1">
      <c r="A604" s="595"/>
      <c r="B604" s="596"/>
      <c r="C604" s="596"/>
      <c r="D604" s="596"/>
      <c r="E604" s="596"/>
      <c r="F604" s="596"/>
      <c r="G604" s="596"/>
      <c r="H604" s="596"/>
      <c r="I604" s="596"/>
      <c r="J604" s="577"/>
      <c r="K604" s="577"/>
      <c r="L604" s="577"/>
      <c r="M604" s="577"/>
      <c r="N604" s="577"/>
      <c r="O604" s="577"/>
      <c r="P604" s="577"/>
      <c r="Q604" s="577"/>
      <c r="R604" s="577"/>
      <c r="S604" s="577"/>
      <c r="T604" s="577"/>
      <c r="U604" s="577"/>
      <c r="V604" s="577"/>
      <c r="W604" s="577"/>
      <c r="X604" s="577"/>
      <c r="Y604" s="577"/>
      <c r="Z604" s="577"/>
      <c r="AA604" s="577"/>
      <c r="AB604" s="577"/>
      <c r="AC604" s="577"/>
      <c r="AD604" s="577"/>
      <c r="AE604" s="577"/>
      <c r="AF604" s="6"/>
    </row>
    <row r="605" ht="12.75" customHeight="1">
      <c r="A605" s="595"/>
      <c r="B605" s="596"/>
      <c r="C605" s="596"/>
      <c r="D605" s="596"/>
      <c r="E605" s="596"/>
      <c r="F605" s="596"/>
      <c r="G605" s="596"/>
      <c r="H605" s="596"/>
      <c r="I605" s="596"/>
      <c r="J605" s="577"/>
      <c r="K605" s="577"/>
      <c r="L605" s="577"/>
      <c r="M605" s="577"/>
      <c r="N605" s="577"/>
      <c r="O605" s="577"/>
      <c r="P605" s="577"/>
      <c r="Q605" s="577"/>
      <c r="R605" s="577"/>
      <c r="S605" s="577"/>
      <c r="T605" s="577"/>
      <c r="U605" s="577"/>
      <c r="V605" s="577"/>
      <c r="W605" s="577"/>
      <c r="X605" s="577"/>
      <c r="Y605" s="577"/>
      <c r="Z605" s="577"/>
      <c r="AA605" s="577"/>
      <c r="AB605" s="577"/>
      <c r="AC605" s="577"/>
      <c r="AD605" s="577"/>
      <c r="AE605" s="577"/>
      <c r="AF605" s="6"/>
    </row>
    <row r="606" ht="12.75" customHeight="1">
      <c r="A606" s="595"/>
      <c r="B606" s="596"/>
      <c r="C606" s="596"/>
      <c r="D606" s="596"/>
      <c r="E606" s="596"/>
      <c r="F606" s="596"/>
      <c r="G606" s="596"/>
      <c r="H606" s="596"/>
      <c r="I606" s="596"/>
      <c r="J606" s="577"/>
      <c r="K606" s="577"/>
      <c r="L606" s="577"/>
      <c r="M606" s="577"/>
      <c r="N606" s="577"/>
      <c r="O606" s="577"/>
      <c r="P606" s="577"/>
      <c r="Q606" s="577"/>
      <c r="R606" s="577"/>
      <c r="S606" s="577"/>
      <c r="T606" s="577"/>
      <c r="U606" s="577"/>
      <c r="V606" s="577"/>
      <c r="W606" s="577"/>
      <c r="X606" s="577"/>
      <c r="Y606" s="577"/>
      <c r="Z606" s="577"/>
      <c r="AA606" s="577"/>
      <c r="AB606" s="577"/>
      <c r="AC606" s="577"/>
      <c r="AD606" s="577"/>
      <c r="AE606" s="577"/>
      <c r="AF606" s="6"/>
    </row>
    <row r="607" ht="12.75" customHeight="1">
      <c r="A607" s="595"/>
      <c r="B607" s="596"/>
      <c r="C607" s="596"/>
      <c r="D607" s="596"/>
      <c r="E607" s="596"/>
      <c r="F607" s="596"/>
      <c r="G607" s="596"/>
      <c r="H607" s="596"/>
      <c r="I607" s="596"/>
      <c r="J607" s="577"/>
      <c r="K607" s="577"/>
      <c r="L607" s="577"/>
      <c r="M607" s="577"/>
      <c r="N607" s="577"/>
      <c r="O607" s="577"/>
      <c r="P607" s="577"/>
      <c r="Q607" s="577"/>
      <c r="R607" s="577"/>
      <c r="S607" s="577"/>
      <c r="T607" s="577"/>
      <c r="U607" s="577"/>
      <c r="V607" s="577"/>
      <c r="W607" s="577"/>
      <c r="X607" s="577"/>
      <c r="Y607" s="577"/>
      <c r="Z607" s="577"/>
      <c r="AA607" s="577"/>
      <c r="AB607" s="577"/>
      <c r="AC607" s="577"/>
      <c r="AD607" s="577"/>
      <c r="AE607" s="577"/>
      <c r="AF607" s="6"/>
    </row>
    <row r="608" ht="12.75" customHeight="1">
      <c r="A608" s="595"/>
      <c r="B608" s="596"/>
      <c r="C608" s="596"/>
      <c r="D608" s="596"/>
      <c r="E608" s="596"/>
      <c r="F608" s="596"/>
      <c r="G608" s="596"/>
      <c r="H608" s="596"/>
      <c r="I608" s="596"/>
      <c r="J608" s="577"/>
      <c r="K608" s="577"/>
      <c r="L608" s="577"/>
      <c r="M608" s="577"/>
      <c r="N608" s="577"/>
      <c r="O608" s="577"/>
      <c r="P608" s="577"/>
      <c r="Q608" s="577"/>
      <c r="R608" s="577"/>
      <c r="S608" s="577"/>
      <c r="T608" s="577"/>
      <c r="U608" s="577"/>
      <c r="V608" s="577"/>
      <c r="W608" s="577"/>
      <c r="X608" s="577"/>
      <c r="Y608" s="577"/>
      <c r="Z608" s="577"/>
      <c r="AA608" s="577"/>
      <c r="AB608" s="577"/>
      <c r="AC608" s="577"/>
      <c r="AD608" s="577"/>
      <c r="AE608" s="577"/>
      <c r="AF608" s="6"/>
    </row>
    <row r="609" ht="12.75" customHeight="1">
      <c r="A609" s="595"/>
      <c r="B609" s="596"/>
      <c r="C609" s="596"/>
      <c r="D609" s="596"/>
      <c r="E609" s="596"/>
      <c r="F609" s="596"/>
      <c r="G609" s="596"/>
      <c r="H609" s="596"/>
      <c r="I609" s="596"/>
      <c r="J609" s="577"/>
      <c r="K609" s="577"/>
      <c r="L609" s="577"/>
      <c r="M609" s="577"/>
      <c r="N609" s="577"/>
      <c r="O609" s="577"/>
      <c r="P609" s="577"/>
      <c r="Q609" s="577"/>
      <c r="R609" s="577"/>
      <c r="S609" s="577"/>
      <c r="T609" s="577"/>
      <c r="U609" s="577"/>
      <c r="V609" s="577"/>
      <c r="W609" s="577"/>
      <c r="X609" s="577"/>
      <c r="Y609" s="577"/>
      <c r="Z609" s="577"/>
      <c r="AA609" s="577"/>
      <c r="AB609" s="577"/>
      <c r="AC609" s="577"/>
      <c r="AD609" s="577"/>
      <c r="AE609" s="577"/>
      <c r="AF609" s="6"/>
    </row>
    <row r="610" ht="12.75" customHeight="1">
      <c r="A610" s="595"/>
      <c r="B610" s="596"/>
      <c r="C610" s="596"/>
      <c r="D610" s="596"/>
      <c r="E610" s="596"/>
      <c r="F610" s="596"/>
      <c r="G610" s="596"/>
      <c r="H610" s="596"/>
      <c r="I610" s="596"/>
      <c r="J610" s="577"/>
      <c r="K610" s="577"/>
      <c r="L610" s="577"/>
      <c r="M610" s="577"/>
      <c r="N610" s="577"/>
      <c r="O610" s="577"/>
      <c r="P610" s="577"/>
      <c r="Q610" s="577"/>
      <c r="R610" s="577"/>
      <c r="S610" s="577"/>
      <c r="T610" s="577"/>
      <c r="U610" s="577"/>
      <c r="V610" s="577"/>
      <c r="W610" s="577"/>
      <c r="X610" s="577"/>
      <c r="Y610" s="577"/>
      <c r="Z610" s="577"/>
      <c r="AA610" s="577"/>
      <c r="AB610" s="577"/>
      <c r="AC610" s="577"/>
      <c r="AD610" s="577"/>
      <c r="AE610" s="577"/>
      <c r="AF610" s="6"/>
    </row>
    <row r="611" ht="12.75" customHeight="1">
      <c r="A611" s="595"/>
      <c r="B611" s="596"/>
      <c r="C611" s="596"/>
      <c r="D611" s="596"/>
      <c r="E611" s="596"/>
      <c r="F611" s="596"/>
      <c r="G611" s="596"/>
      <c r="H611" s="596"/>
      <c r="I611" s="596"/>
      <c r="J611" s="577"/>
      <c r="K611" s="577"/>
      <c r="L611" s="577"/>
      <c r="M611" s="577"/>
      <c r="N611" s="577"/>
      <c r="O611" s="577"/>
      <c r="P611" s="577"/>
      <c r="Q611" s="577"/>
      <c r="R611" s="577"/>
      <c r="S611" s="577"/>
      <c r="T611" s="577"/>
      <c r="U611" s="577"/>
      <c r="V611" s="577"/>
      <c r="W611" s="577"/>
      <c r="X611" s="577"/>
      <c r="Y611" s="577"/>
      <c r="Z611" s="577"/>
      <c r="AA611" s="577"/>
      <c r="AB611" s="577"/>
      <c r="AC611" s="577"/>
      <c r="AD611" s="577"/>
      <c r="AE611" s="577"/>
      <c r="AF611" s="6"/>
    </row>
    <row r="612" ht="12.75" customHeight="1">
      <c r="A612" s="595"/>
      <c r="B612" s="596"/>
      <c r="C612" s="596"/>
      <c r="D612" s="596"/>
      <c r="E612" s="596"/>
      <c r="F612" s="596"/>
      <c r="G612" s="596"/>
      <c r="H612" s="596"/>
      <c r="I612" s="596"/>
      <c r="J612" s="577"/>
      <c r="K612" s="577"/>
      <c r="L612" s="577"/>
      <c r="M612" s="577"/>
      <c r="N612" s="577"/>
      <c r="O612" s="577"/>
      <c r="P612" s="577"/>
      <c r="Q612" s="577"/>
      <c r="R612" s="577"/>
      <c r="S612" s="577"/>
      <c r="T612" s="577"/>
      <c r="U612" s="577"/>
      <c r="V612" s="577"/>
      <c r="W612" s="577"/>
      <c r="X612" s="577"/>
      <c r="Y612" s="577"/>
      <c r="Z612" s="577"/>
      <c r="AA612" s="577"/>
      <c r="AB612" s="577"/>
      <c r="AC612" s="577"/>
      <c r="AD612" s="577"/>
      <c r="AE612" s="577"/>
      <c r="AF612" s="6"/>
    </row>
    <row r="613" ht="12.75" customHeight="1">
      <c r="A613" s="595"/>
      <c r="B613" s="596"/>
      <c r="C613" s="596"/>
      <c r="D613" s="596"/>
      <c r="E613" s="596"/>
      <c r="F613" s="596"/>
      <c r="G613" s="596"/>
      <c r="H613" s="596"/>
      <c r="I613" s="596"/>
      <c r="J613" s="577"/>
      <c r="K613" s="577"/>
      <c r="L613" s="577"/>
      <c r="M613" s="577"/>
      <c r="N613" s="577"/>
      <c r="O613" s="577"/>
      <c r="P613" s="577"/>
      <c r="Q613" s="577"/>
      <c r="R613" s="577"/>
      <c r="S613" s="577"/>
      <c r="T613" s="577"/>
      <c r="U613" s="577"/>
      <c r="V613" s="577"/>
      <c r="W613" s="577"/>
      <c r="X613" s="577"/>
      <c r="Y613" s="577"/>
      <c r="Z613" s="577"/>
      <c r="AA613" s="577"/>
      <c r="AB613" s="577"/>
      <c r="AC613" s="577"/>
      <c r="AD613" s="577"/>
      <c r="AE613" s="577"/>
      <c r="AF613" s="6"/>
    </row>
    <row r="614" ht="12.75" customHeight="1">
      <c r="A614" s="595"/>
      <c r="B614" s="596"/>
      <c r="C614" s="596"/>
      <c r="D614" s="596"/>
      <c r="E614" s="596"/>
      <c r="F614" s="596"/>
      <c r="G614" s="596"/>
      <c r="H614" s="596"/>
      <c r="I614" s="596"/>
      <c r="J614" s="577"/>
      <c r="K614" s="577"/>
      <c r="L614" s="577"/>
      <c r="M614" s="577"/>
      <c r="N614" s="577"/>
      <c r="O614" s="577"/>
      <c r="P614" s="577"/>
      <c r="Q614" s="577"/>
      <c r="R614" s="577"/>
      <c r="S614" s="577"/>
      <c r="T614" s="577"/>
      <c r="U614" s="577"/>
      <c r="V614" s="577"/>
      <c r="W614" s="577"/>
      <c r="X614" s="577"/>
      <c r="Y614" s="577"/>
      <c r="Z614" s="577"/>
      <c r="AA614" s="577"/>
      <c r="AB614" s="577"/>
      <c r="AC614" s="577"/>
      <c r="AD614" s="577"/>
      <c r="AE614" s="577"/>
      <c r="AF614" s="6"/>
    </row>
    <row r="615" ht="12.75" customHeight="1">
      <c r="A615" s="595"/>
      <c r="B615" s="596"/>
      <c r="C615" s="596"/>
      <c r="D615" s="596"/>
      <c r="E615" s="596"/>
      <c r="F615" s="596"/>
      <c r="G615" s="596"/>
      <c r="H615" s="596"/>
      <c r="I615" s="596"/>
      <c r="J615" s="577"/>
      <c r="K615" s="577"/>
      <c r="L615" s="577"/>
      <c r="M615" s="577"/>
      <c r="N615" s="577"/>
      <c r="O615" s="577"/>
      <c r="P615" s="577"/>
      <c r="Q615" s="577"/>
      <c r="R615" s="577"/>
      <c r="S615" s="577"/>
      <c r="T615" s="577"/>
      <c r="U615" s="577"/>
      <c r="V615" s="577"/>
      <c r="W615" s="577"/>
      <c r="X615" s="577"/>
      <c r="Y615" s="577"/>
      <c r="Z615" s="577"/>
      <c r="AA615" s="577"/>
      <c r="AB615" s="577"/>
      <c r="AC615" s="577"/>
      <c r="AD615" s="577"/>
      <c r="AE615" s="577"/>
      <c r="AF615" s="6"/>
    </row>
    <row r="616" ht="12.75" customHeight="1">
      <c r="A616" s="595"/>
      <c r="B616" s="596"/>
      <c r="C616" s="596"/>
      <c r="D616" s="596"/>
      <c r="E616" s="596"/>
      <c r="F616" s="596"/>
      <c r="G616" s="596"/>
      <c r="H616" s="596"/>
      <c r="I616" s="596"/>
      <c r="J616" s="577"/>
      <c r="K616" s="577"/>
      <c r="L616" s="577"/>
      <c r="M616" s="577"/>
      <c r="N616" s="577"/>
      <c r="O616" s="577"/>
      <c r="P616" s="577"/>
      <c r="Q616" s="577"/>
      <c r="R616" s="577"/>
      <c r="S616" s="577"/>
      <c r="T616" s="577"/>
      <c r="U616" s="577"/>
      <c r="V616" s="577"/>
      <c r="W616" s="577"/>
      <c r="X616" s="577"/>
      <c r="Y616" s="577"/>
      <c r="Z616" s="577"/>
      <c r="AA616" s="577"/>
      <c r="AB616" s="577"/>
      <c r="AC616" s="577"/>
      <c r="AD616" s="577"/>
      <c r="AE616" s="577"/>
      <c r="AF616" s="6"/>
    </row>
    <row r="617" ht="12.75" customHeight="1">
      <c r="A617" s="595"/>
      <c r="B617" s="596"/>
      <c r="C617" s="596"/>
      <c r="D617" s="596"/>
      <c r="E617" s="596"/>
      <c r="F617" s="596"/>
      <c r="G617" s="596"/>
      <c r="H617" s="596"/>
      <c r="I617" s="596"/>
      <c r="J617" s="577"/>
      <c r="K617" s="577"/>
      <c r="L617" s="577"/>
      <c r="M617" s="577"/>
      <c r="N617" s="577"/>
      <c r="O617" s="577"/>
      <c r="P617" s="577"/>
      <c r="Q617" s="577"/>
      <c r="R617" s="577"/>
      <c r="S617" s="577"/>
      <c r="T617" s="577"/>
      <c r="U617" s="577"/>
      <c r="V617" s="577"/>
      <c r="W617" s="577"/>
      <c r="X617" s="577"/>
      <c r="Y617" s="577"/>
      <c r="Z617" s="577"/>
      <c r="AA617" s="577"/>
      <c r="AB617" s="577"/>
      <c r="AC617" s="577"/>
      <c r="AD617" s="577"/>
      <c r="AE617" s="577"/>
      <c r="AF617" s="6"/>
    </row>
    <row r="618" ht="12.75" customHeight="1">
      <c r="A618" s="595"/>
      <c r="B618" s="596"/>
      <c r="C618" s="596"/>
      <c r="D618" s="596"/>
      <c r="E618" s="596"/>
      <c r="F618" s="596"/>
      <c r="G618" s="596"/>
      <c r="H618" s="596"/>
      <c r="I618" s="596"/>
      <c r="J618" s="577"/>
      <c r="K618" s="577"/>
      <c r="L618" s="577"/>
      <c r="M618" s="577"/>
      <c r="N618" s="577"/>
      <c r="O618" s="577"/>
      <c r="P618" s="577"/>
      <c r="Q618" s="577"/>
      <c r="R618" s="577"/>
      <c r="S618" s="577"/>
      <c r="T618" s="577"/>
      <c r="U618" s="577"/>
      <c r="V618" s="577"/>
      <c r="W618" s="577"/>
      <c r="X618" s="577"/>
      <c r="Y618" s="577"/>
      <c r="Z618" s="577"/>
      <c r="AA618" s="577"/>
      <c r="AB618" s="577"/>
      <c r="AC618" s="577"/>
      <c r="AD618" s="577"/>
      <c r="AE618" s="577"/>
      <c r="AF618" s="6"/>
    </row>
    <row r="619" ht="12.75" customHeight="1">
      <c r="A619" s="595"/>
      <c r="B619" s="596"/>
      <c r="C619" s="596"/>
      <c r="D619" s="596"/>
      <c r="E619" s="596"/>
      <c r="F619" s="596"/>
      <c r="G619" s="596"/>
      <c r="H619" s="596"/>
      <c r="I619" s="596"/>
      <c r="J619" s="577"/>
      <c r="K619" s="577"/>
      <c r="L619" s="577"/>
      <c r="M619" s="577"/>
      <c r="N619" s="577"/>
      <c r="O619" s="577"/>
      <c r="P619" s="577"/>
      <c r="Q619" s="577"/>
      <c r="R619" s="577"/>
      <c r="S619" s="577"/>
      <c r="T619" s="577"/>
      <c r="U619" s="577"/>
      <c r="V619" s="577"/>
      <c r="W619" s="577"/>
      <c r="X619" s="577"/>
      <c r="Y619" s="577"/>
      <c r="Z619" s="577"/>
      <c r="AA619" s="577"/>
      <c r="AB619" s="577"/>
      <c r="AC619" s="577"/>
      <c r="AD619" s="577"/>
      <c r="AE619" s="577"/>
      <c r="AF619" s="6"/>
    </row>
    <row r="620" ht="12.75" customHeight="1">
      <c r="A620" s="595"/>
      <c r="B620" s="596"/>
      <c r="C620" s="596"/>
      <c r="D620" s="596"/>
      <c r="E620" s="596"/>
      <c r="F620" s="596"/>
      <c r="G620" s="596"/>
      <c r="H620" s="596"/>
      <c r="I620" s="596"/>
      <c r="J620" s="577"/>
      <c r="K620" s="577"/>
      <c r="L620" s="577"/>
      <c r="M620" s="577"/>
      <c r="N620" s="577"/>
      <c r="O620" s="577"/>
      <c r="P620" s="577"/>
      <c r="Q620" s="577"/>
      <c r="R620" s="577"/>
      <c r="S620" s="577"/>
      <c r="T620" s="577"/>
      <c r="U620" s="577"/>
      <c r="V620" s="577"/>
      <c r="W620" s="577"/>
      <c r="X620" s="577"/>
      <c r="Y620" s="577"/>
      <c r="Z620" s="577"/>
      <c r="AA620" s="577"/>
      <c r="AB620" s="577"/>
      <c r="AC620" s="577"/>
      <c r="AD620" s="577"/>
      <c r="AE620" s="577"/>
      <c r="AF620" s="6"/>
    </row>
    <row r="621" ht="12.75" customHeight="1">
      <c r="A621" s="595"/>
      <c r="B621" s="596"/>
      <c r="C621" s="596"/>
      <c r="D621" s="596"/>
      <c r="E621" s="596"/>
      <c r="F621" s="596"/>
      <c r="G621" s="596"/>
      <c r="H621" s="596"/>
      <c r="I621" s="596"/>
      <c r="J621" s="577"/>
      <c r="K621" s="577"/>
      <c r="L621" s="577"/>
      <c r="M621" s="577"/>
      <c r="N621" s="577"/>
      <c r="O621" s="577"/>
      <c r="P621" s="577"/>
      <c r="Q621" s="577"/>
      <c r="R621" s="577"/>
      <c r="S621" s="577"/>
      <c r="T621" s="577"/>
      <c r="U621" s="577"/>
      <c r="V621" s="577"/>
      <c r="W621" s="577"/>
      <c r="X621" s="577"/>
      <c r="Y621" s="577"/>
      <c r="Z621" s="577"/>
      <c r="AA621" s="577"/>
      <c r="AB621" s="577"/>
      <c r="AC621" s="577"/>
      <c r="AD621" s="577"/>
      <c r="AE621" s="577"/>
      <c r="AF621" s="6"/>
    </row>
    <row r="622" ht="12.75" customHeight="1">
      <c r="A622" s="595"/>
      <c r="B622" s="596"/>
      <c r="C622" s="596"/>
      <c r="D622" s="596"/>
      <c r="E622" s="596"/>
      <c r="F622" s="596"/>
      <c r="G622" s="596"/>
      <c r="H622" s="596"/>
      <c r="I622" s="596"/>
      <c r="J622" s="577"/>
      <c r="K622" s="577"/>
      <c r="L622" s="577"/>
      <c r="M622" s="577"/>
      <c r="N622" s="577"/>
      <c r="O622" s="577"/>
      <c r="P622" s="577"/>
      <c r="Q622" s="577"/>
      <c r="R622" s="577"/>
      <c r="S622" s="577"/>
      <c r="T622" s="577"/>
      <c r="U622" s="577"/>
      <c r="V622" s="577"/>
      <c r="W622" s="577"/>
      <c r="X622" s="577"/>
      <c r="Y622" s="577"/>
      <c r="Z622" s="577"/>
      <c r="AA622" s="577"/>
      <c r="AB622" s="577"/>
      <c r="AC622" s="577"/>
      <c r="AD622" s="577"/>
      <c r="AE622" s="577"/>
      <c r="AF622" s="6"/>
    </row>
    <row r="623" ht="12.75" customHeight="1">
      <c r="A623" s="595"/>
      <c r="B623" s="596"/>
      <c r="C623" s="596"/>
      <c r="D623" s="596"/>
      <c r="E623" s="596"/>
      <c r="F623" s="596"/>
      <c r="G623" s="596"/>
      <c r="H623" s="596"/>
      <c r="I623" s="596"/>
      <c r="J623" s="577"/>
      <c r="K623" s="577"/>
      <c r="L623" s="577"/>
      <c r="M623" s="577"/>
      <c r="N623" s="577"/>
      <c r="O623" s="577"/>
      <c r="P623" s="577"/>
      <c r="Q623" s="577"/>
      <c r="R623" s="577"/>
      <c r="S623" s="577"/>
      <c r="T623" s="577"/>
      <c r="U623" s="577"/>
      <c r="V623" s="577"/>
      <c r="W623" s="577"/>
      <c r="X623" s="577"/>
      <c r="Y623" s="577"/>
      <c r="Z623" s="577"/>
      <c r="AA623" s="577"/>
      <c r="AB623" s="577"/>
      <c r="AC623" s="577"/>
      <c r="AD623" s="577"/>
      <c r="AE623" s="577"/>
      <c r="AF623" s="6"/>
    </row>
    <row r="624" ht="12.75" customHeight="1">
      <c r="A624" s="595"/>
      <c r="B624" s="596"/>
      <c r="C624" s="596"/>
      <c r="D624" s="596"/>
      <c r="E624" s="596"/>
      <c r="F624" s="596"/>
      <c r="G624" s="596"/>
      <c r="H624" s="596"/>
      <c r="I624" s="596"/>
      <c r="J624" s="577"/>
      <c r="K624" s="577"/>
      <c r="L624" s="577"/>
      <c r="M624" s="577"/>
      <c r="N624" s="577"/>
      <c r="O624" s="577"/>
      <c r="P624" s="577"/>
      <c r="Q624" s="577"/>
      <c r="R624" s="577"/>
      <c r="S624" s="577"/>
      <c r="T624" s="577"/>
      <c r="U624" s="577"/>
      <c r="V624" s="577"/>
      <c r="W624" s="577"/>
      <c r="X624" s="577"/>
      <c r="Y624" s="577"/>
      <c r="Z624" s="577"/>
      <c r="AA624" s="577"/>
      <c r="AB624" s="577"/>
      <c r="AC624" s="577"/>
      <c r="AD624" s="577"/>
      <c r="AE624" s="577"/>
      <c r="AF624" s="6"/>
    </row>
    <row r="625" ht="12.75" customHeight="1">
      <c r="A625" s="595"/>
      <c r="B625" s="596"/>
      <c r="C625" s="596"/>
      <c r="D625" s="596"/>
      <c r="E625" s="596"/>
      <c r="F625" s="596"/>
      <c r="G625" s="596"/>
      <c r="H625" s="596"/>
      <c r="I625" s="596"/>
      <c r="J625" s="577"/>
      <c r="K625" s="577"/>
      <c r="L625" s="577"/>
      <c r="M625" s="577"/>
      <c r="N625" s="577"/>
      <c r="O625" s="577"/>
      <c r="P625" s="577"/>
      <c r="Q625" s="577"/>
      <c r="R625" s="577"/>
      <c r="S625" s="577"/>
      <c r="T625" s="577"/>
      <c r="U625" s="577"/>
      <c r="V625" s="577"/>
      <c r="W625" s="577"/>
      <c r="X625" s="577"/>
      <c r="Y625" s="577"/>
      <c r="Z625" s="577"/>
      <c r="AA625" s="577"/>
      <c r="AB625" s="577"/>
      <c r="AC625" s="577"/>
      <c r="AD625" s="577"/>
      <c r="AE625" s="577"/>
      <c r="AF625" s="6"/>
    </row>
    <row r="626" ht="12.75" customHeight="1">
      <c r="A626" s="595"/>
      <c r="B626" s="596"/>
      <c r="C626" s="596"/>
      <c r="D626" s="596"/>
      <c r="E626" s="596"/>
      <c r="F626" s="596"/>
      <c r="G626" s="596"/>
      <c r="H626" s="596"/>
      <c r="I626" s="596"/>
      <c r="J626" s="577"/>
      <c r="K626" s="577"/>
      <c r="L626" s="577"/>
      <c r="M626" s="577"/>
      <c r="N626" s="577"/>
      <c r="O626" s="577"/>
      <c r="P626" s="577"/>
      <c r="Q626" s="577"/>
      <c r="R626" s="577"/>
      <c r="S626" s="577"/>
      <c r="T626" s="577"/>
      <c r="U626" s="577"/>
      <c r="V626" s="577"/>
      <c r="W626" s="577"/>
      <c r="X626" s="577"/>
      <c r="Y626" s="577"/>
      <c r="Z626" s="577"/>
      <c r="AA626" s="577"/>
      <c r="AB626" s="577"/>
      <c r="AC626" s="577"/>
      <c r="AD626" s="577"/>
      <c r="AE626" s="577"/>
      <c r="AF626" s="6"/>
    </row>
    <row r="627" ht="12.75" customHeight="1">
      <c r="A627" s="595"/>
      <c r="B627" s="596"/>
      <c r="C627" s="596"/>
      <c r="D627" s="596"/>
      <c r="E627" s="596"/>
      <c r="F627" s="596"/>
      <c r="G627" s="596"/>
      <c r="H627" s="596"/>
      <c r="I627" s="596"/>
      <c r="J627" s="577"/>
      <c r="K627" s="577"/>
      <c r="L627" s="577"/>
      <c r="M627" s="577"/>
      <c r="N627" s="577"/>
      <c r="O627" s="577"/>
      <c r="P627" s="577"/>
      <c r="Q627" s="577"/>
      <c r="R627" s="577"/>
      <c r="S627" s="577"/>
      <c r="T627" s="577"/>
      <c r="U627" s="577"/>
      <c r="V627" s="577"/>
      <c r="W627" s="577"/>
      <c r="X627" s="577"/>
      <c r="Y627" s="577"/>
      <c r="Z627" s="577"/>
      <c r="AA627" s="577"/>
      <c r="AB627" s="577"/>
      <c r="AC627" s="577"/>
      <c r="AD627" s="577"/>
      <c r="AE627" s="577"/>
      <c r="AF627" s="6"/>
    </row>
    <row r="628" ht="12.75" customHeight="1">
      <c r="A628" s="595"/>
      <c r="B628" s="596"/>
      <c r="C628" s="596"/>
      <c r="D628" s="596"/>
      <c r="E628" s="596"/>
      <c r="F628" s="596"/>
      <c r="G628" s="596"/>
      <c r="H628" s="596"/>
      <c r="I628" s="596"/>
      <c r="J628" s="577"/>
      <c r="K628" s="577"/>
      <c r="L628" s="577"/>
      <c r="M628" s="577"/>
      <c r="N628" s="577"/>
      <c r="O628" s="577"/>
      <c r="P628" s="577"/>
      <c r="Q628" s="577"/>
      <c r="R628" s="577"/>
      <c r="S628" s="577"/>
      <c r="T628" s="577"/>
      <c r="U628" s="577"/>
      <c r="V628" s="577"/>
      <c r="W628" s="577"/>
      <c r="X628" s="577"/>
      <c r="Y628" s="577"/>
      <c r="Z628" s="577"/>
      <c r="AA628" s="577"/>
      <c r="AB628" s="577"/>
      <c r="AC628" s="577"/>
      <c r="AD628" s="577"/>
      <c r="AE628" s="577"/>
      <c r="AF628" s="6"/>
    </row>
    <row r="629" ht="12.75" customHeight="1">
      <c r="A629" s="595"/>
      <c r="B629" s="596"/>
      <c r="C629" s="596"/>
      <c r="D629" s="596"/>
      <c r="E629" s="596"/>
      <c r="F629" s="596"/>
      <c r="G629" s="596"/>
      <c r="H629" s="596"/>
      <c r="I629" s="596"/>
      <c r="J629" s="577"/>
      <c r="K629" s="577"/>
      <c r="L629" s="577"/>
      <c r="M629" s="577"/>
      <c r="N629" s="577"/>
      <c r="O629" s="577"/>
      <c r="P629" s="577"/>
      <c r="Q629" s="577"/>
      <c r="R629" s="577"/>
      <c r="S629" s="577"/>
      <c r="T629" s="577"/>
      <c r="U629" s="577"/>
      <c r="V629" s="577"/>
      <c r="W629" s="577"/>
      <c r="X629" s="577"/>
      <c r="Y629" s="577"/>
      <c r="Z629" s="577"/>
      <c r="AA629" s="577"/>
      <c r="AB629" s="577"/>
      <c r="AC629" s="577"/>
      <c r="AD629" s="577"/>
      <c r="AE629" s="577"/>
      <c r="AF629" s="6"/>
    </row>
    <row r="630" ht="12.75" customHeight="1">
      <c r="A630" s="595"/>
      <c r="B630" s="596"/>
      <c r="C630" s="596"/>
      <c r="D630" s="596"/>
      <c r="E630" s="596"/>
      <c r="F630" s="596"/>
      <c r="G630" s="596"/>
      <c r="H630" s="596"/>
      <c r="I630" s="596"/>
      <c r="J630" s="577"/>
      <c r="K630" s="577"/>
      <c r="L630" s="577"/>
      <c r="M630" s="577"/>
      <c r="N630" s="577"/>
      <c r="O630" s="577"/>
      <c r="P630" s="577"/>
      <c r="Q630" s="577"/>
      <c r="R630" s="577"/>
      <c r="S630" s="577"/>
      <c r="T630" s="577"/>
      <c r="U630" s="577"/>
      <c r="V630" s="577"/>
      <c r="W630" s="577"/>
      <c r="X630" s="577"/>
      <c r="Y630" s="577"/>
      <c r="Z630" s="577"/>
      <c r="AA630" s="577"/>
      <c r="AB630" s="577"/>
      <c r="AC630" s="577"/>
      <c r="AD630" s="577"/>
      <c r="AE630" s="577"/>
      <c r="AF630" s="6"/>
    </row>
    <row r="631" ht="12.75" customHeight="1">
      <c r="A631" s="595"/>
      <c r="B631" s="596"/>
      <c r="C631" s="596"/>
      <c r="D631" s="596"/>
      <c r="E631" s="596"/>
      <c r="F631" s="596"/>
      <c r="G631" s="596"/>
      <c r="H631" s="596"/>
      <c r="I631" s="596"/>
      <c r="J631" s="577"/>
      <c r="K631" s="577"/>
      <c r="L631" s="577"/>
      <c r="M631" s="577"/>
      <c r="N631" s="577"/>
      <c r="O631" s="577"/>
      <c r="P631" s="577"/>
      <c r="Q631" s="577"/>
      <c r="R631" s="577"/>
      <c r="S631" s="577"/>
      <c r="T631" s="577"/>
      <c r="U631" s="577"/>
      <c r="V631" s="577"/>
      <c r="W631" s="577"/>
      <c r="X631" s="577"/>
      <c r="Y631" s="577"/>
      <c r="Z631" s="577"/>
      <c r="AA631" s="577"/>
      <c r="AB631" s="577"/>
      <c r="AC631" s="577"/>
      <c r="AD631" s="577"/>
      <c r="AE631" s="577"/>
      <c r="AF631" s="6"/>
    </row>
    <row r="632" ht="12.75" customHeight="1">
      <c r="A632" s="595"/>
      <c r="B632" s="596"/>
      <c r="C632" s="596"/>
      <c r="D632" s="596"/>
      <c r="E632" s="596"/>
      <c r="F632" s="596"/>
      <c r="G632" s="596"/>
      <c r="H632" s="596"/>
      <c r="I632" s="596"/>
      <c r="J632" s="577"/>
      <c r="K632" s="577"/>
      <c r="L632" s="577"/>
      <c r="M632" s="577"/>
      <c r="N632" s="577"/>
      <c r="O632" s="577"/>
      <c r="P632" s="577"/>
      <c r="Q632" s="577"/>
      <c r="R632" s="577"/>
      <c r="S632" s="577"/>
      <c r="T632" s="577"/>
      <c r="U632" s="577"/>
      <c r="V632" s="577"/>
      <c r="W632" s="577"/>
      <c r="X632" s="577"/>
      <c r="Y632" s="577"/>
      <c r="Z632" s="577"/>
      <c r="AA632" s="577"/>
      <c r="AB632" s="577"/>
      <c r="AC632" s="577"/>
      <c r="AD632" s="577"/>
      <c r="AE632" s="577"/>
      <c r="AF632" s="6"/>
    </row>
    <row r="633" ht="12.75" customHeight="1">
      <c r="A633" s="595"/>
      <c r="B633" s="596"/>
      <c r="C633" s="596"/>
      <c r="D633" s="596"/>
      <c r="E633" s="596"/>
      <c r="F633" s="596"/>
      <c r="G633" s="596"/>
      <c r="H633" s="596"/>
      <c r="I633" s="596"/>
      <c r="J633" s="577"/>
      <c r="K633" s="577"/>
      <c r="L633" s="577"/>
      <c r="M633" s="577"/>
      <c r="N633" s="577"/>
      <c r="O633" s="577"/>
      <c r="P633" s="577"/>
      <c r="Q633" s="577"/>
      <c r="R633" s="577"/>
      <c r="S633" s="577"/>
      <c r="T633" s="577"/>
      <c r="U633" s="577"/>
      <c r="V633" s="577"/>
      <c r="W633" s="577"/>
      <c r="X633" s="577"/>
      <c r="Y633" s="577"/>
      <c r="Z633" s="577"/>
      <c r="AA633" s="577"/>
      <c r="AB633" s="577"/>
      <c r="AC633" s="577"/>
      <c r="AD633" s="577"/>
      <c r="AE633" s="577"/>
      <c r="AF633" s="6"/>
    </row>
    <row r="634" ht="12.75" customHeight="1">
      <c r="A634" s="595"/>
      <c r="B634" s="596"/>
      <c r="C634" s="596"/>
      <c r="D634" s="596"/>
      <c r="E634" s="596"/>
      <c r="F634" s="596"/>
      <c r="G634" s="596"/>
      <c r="H634" s="596"/>
      <c r="I634" s="596"/>
      <c r="J634" s="577"/>
      <c r="K634" s="577"/>
      <c r="L634" s="577"/>
      <c r="M634" s="577"/>
      <c r="N634" s="577"/>
      <c r="O634" s="577"/>
      <c r="P634" s="577"/>
      <c r="Q634" s="577"/>
      <c r="R634" s="577"/>
      <c r="S634" s="577"/>
      <c r="T634" s="577"/>
      <c r="U634" s="577"/>
      <c r="V634" s="577"/>
      <c r="W634" s="577"/>
      <c r="X634" s="577"/>
      <c r="Y634" s="577"/>
      <c r="Z634" s="577"/>
      <c r="AA634" s="577"/>
      <c r="AB634" s="577"/>
      <c r="AC634" s="577"/>
      <c r="AD634" s="577"/>
      <c r="AE634" s="577"/>
      <c r="AF634" s="6"/>
    </row>
    <row r="635" ht="12.75" customHeight="1">
      <c r="A635" s="595"/>
      <c r="B635" s="596"/>
      <c r="C635" s="596"/>
      <c r="D635" s="596"/>
      <c r="E635" s="596"/>
      <c r="F635" s="596"/>
      <c r="G635" s="596"/>
      <c r="H635" s="596"/>
      <c r="I635" s="596"/>
      <c r="J635" s="577"/>
      <c r="K635" s="577"/>
      <c r="L635" s="577"/>
      <c r="M635" s="577"/>
      <c r="N635" s="577"/>
      <c r="O635" s="577"/>
      <c r="P635" s="577"/>
      <c r="Q635" s="577"/>
      <c r="R635" s="577"/>
      <c r="S635" s="577"/>
      <c r="T635" s="577"/>
      <c r="U635" s="577"/>
      <c r="V635" s="577"/>
      <c r="W635" s="577"/>
      <c r="X635" s="577"/>
      <c r="Y635" s="577"/>
      <c r="Z635" s="577"/>
      <c r="AA635" s="577"/>
      <c r="AB635" s="577"/>
      <c r="AC635" s="577"/>
      <c r="AD635" s="577"/>
      <c r="AE635" s="577"/>
      <c r="AF635" s="6"/>
    </row>
    <row r="636" ht="12.75" customHeight="1">
      <c r="A636" s="595"/>
      <c r="B636" s="596"/>
      <c r="C636" s="596"/>
      <c r="D636" s="596"/>
      <c r="E636" s="596"/>
      <c r="F636" s="596"/>
      <c r="G636" s="596"/>
      <c r="H636" s="596"/>
      <c r="I636" s="596"/>
      <c r="J636" s="577"/>
      <c r="K636" s="577"/>
      <c r="L636" s="577"/>
      <c r="M636" s="577"/>
      <c r="N636" s="577"/>
      <c r="O636" s="577"/>
      <c r="P636" s="577"/>
      <c r="Q636" s="577"/>
      <c r="R636" s="577"/>
      <c r="S636" s="577"/>
      <c r="T636" s="577"/>
      <c r="U636" s="577"/>
      <c r="V636" s="577"/>
      <c r="W636" s="577"/>
      <c r="X636" s="577"/>
      <c r="Y636" s="577"/>
      <c r="Z636" s="577"/>
      <c r="AA636" s="577"/>
      <c r="AB636" s="577"/>
      <c r="AC636" s="577"/>
      <c r="AD636" s="577"/>
      <c r="AE636" s="577"/>
      <c r="AF636" s="6"/>
    </row>
    <row r="637" ht="12.75" customHeight="1">
      <c r="A637" s="595"/>
      <c r="B637" s="596"/>
      <c r="C637" s="596"/>
      <c r="D637" s="596"/>
      <c r="E637" s="596"/>
      <c r="F637" s="596"/>
      <c r="G637" s="596"/>
      <c r="H637" s="596"/>
      <c r="I637" s="596"/>
      <c r="J637" s="577"/>
      <c r="K637" s="577"/>
      <c r="L637" s="577"/>
      <c r="M637" s="577"/>
      <c r="N637" s="577"/>
      <c r="O637" s="577"/>
      <c r="P637" s="577"/>
      <c r="Q637" s="577"/>
      <c r="R637" s="577"/>
      <c r="S637" s="577"/>
      <c r="T637" s="577"/>
      <c r="U637" s="577"/>
      <c r="V637" s="577"/>
      <c r="W637" s="577"/>
      <c r="X637" s="577"/>
      <c r="Y637" s="577"/>
      <c r="Z637" s="577"/>
      <c r="AA637" s="577"/>
      <c r="AB637" s="577"/>
      <c r="AC637" s="577"/>
      <c r="AD637" s="577"/>
      <c r="AE637" s="577"/>
      <c r="AF637" s="6"/>
    </row>
    <row r="638" ht="12.75" customHeight="1">
      <c r="A638" s="595"/>
      <c r="B638" s="596"/>
      <c r="C638" s="596"/>
      <c r="D638" s="596"/>
      <c r="E638" s="596"/>
      <c r="F638" s="596"/>
      <c r="G638" s="596"/>
      <c r="H638" s="596"/>
      <c r="I638" s="596"/>
      <c r="J638" s="577"/>
      <c r="K638" s="577"/>
      <c r="L638" s="577"/>
      <c r="M638" s="577"/>
      <c r="N638" s="577"/>
      <c r="O638" s="577"/>
      <c r="P638" s="577"/>
      <c r="Q638" s="577"/>
      <c r="R638" s="577"/>
      <c r="S638" s="577"/>
      <c r="T638" s="577"/>
      <c r="U638" s="577"/>
      <c r="V638" s="577"/>
      <c r="W638" s="577"/>
      <c r="X638" s="577"/>
      <c r="Y638" s="577"/>
      <c r="Z638" s="577"/>
      <c r="AA638" s="577"/>
      <c r="AB638" s="577"/>
      <c r="AC638" s="577"/>
      <c r="AD638" s="577"/>
      <c r="AE638" s="577"/>
      <c r="AF638" s="6"/>
    </row>
    <row r="639" ht="12.75" customHeight="1">
      <c r="A639" s="595"/>
      <c r="B639" s="596"/>
      <c r="C639" s="596"/>
      <c r="D639" s="596"/>
      <c r="E639" s="596"/>
      <c r="F639" s="596"/>
      <c r="G639" s="596"/>
      <c r="H639" s="596"/>
      <c r="I639" s="596"/>
      <c r="J639" s="577"/>
      <c r="K639" s="577"/>
      <c r="L639" s="577"/>
      <c r="M639" s="577"/>
      <c r="N639" s="577"/>
      <c r="O639" s="577"/>
      <c r="P639" s="577"/>
      <c r="Q639" s="577"/>
      <c r="R639" s="577"/>
      <c r="S639" s="577"/>
      <c r="T639" s="577"/>
      <c r="U639" s="577"/>
      <c r="V639" s="577"/>
      <c r="W639" s="577"/>
      <c r="X639" s="577"/>
      <c r="Y639" s="577"/>
      <c r="Z639" s="577"/>
      <c r="AA639" s="577"/>
      <c r="AB639" s="577"/>
      <c r="AC639" s="577"/>
      <c r="AD639" s="577"/>
      <c r="AE639" s="577"/>
      <c r="AF639" s="6"/>
    </row>
    <row r="640" ht="12.75" customHeight="1">
      <c r="A640" s="595"/>
      <c r="B640" s="596"/>
      <c r="C640" s="596"/>
      <c r="D640" s="596"/>
      <c r="E640" s="596"/>
      <c r="F640" s="596"/>
      <c r="G640" s="596"/>
      <c r="H640" s="596"/>
      <c r="I640" s="596"/>
      <c r="J640" s="577"/>
      <c r="K640" s="577"/>
      <c r="L640" s="577"/>
      <c r="M640" s="577"/>
      <c r="N640" s="577"/>
      <c r="O640" s="577"/>
      <c r="P640" s="577"/>
      <c r="Q640" s="577"/>
      <c r="R640" s="577"/>
      <c r="S640" s="577"/>
      <c r="T640" s="577"/>
      <c r="U640" s="577"/>
      <c r="V640" s="577"/>
      <c r="W640" s="577"/>
      <c r="X640" s="577"/>
      <c r="Y640" s="577"/>
      <c r="Z640" s="577"/>
      <c r="AA640" s="577"/>
      <c r="AB640" s="577"/>
      <c r="AC640" s="577"/>
      <c r="AD640" s="577"/>
      <c r="AE640" s="577"/>
      <c r="AF640" s="6"/>
    </row>
    <row r="641" ht="12.75" customHeight="1">
      <c r="A641" s="595"/>
      <c r="B641" s="596"/>
      <c r="C641" s="596"/>
      <c r="D641" s="596"/>
      <c r="E641" s="596"/>
      <c r="F641" s="596"/>
      <c r="G641" s="596"/>
      <c r="H641" s="596"/>
      <c r="I641" s="596"/>
      <c r="J641" s="577"/>
      <c r="K641" s="577"/>
      <c r="L641" s="577"/>
      <c r="M641" s="577"/>
      <c r="N641" s="577"/>
      <c r="O641" s="577"/>
      <c r="P641" s="577"/>
      <c r="Q641" s="577"/>
      <c r="R641" s="577"/>
      <c r="S641" s="577"/>
      <c r="T641" s="577"/>
      <c r="U641" s="577"/>
      <c r="V641" s="577"/>
      <c r="W641" s="577"/>
      <c r="X641" s="577"/>
      <c r="Y641" s="577"/>
      <c r="Z641" s="577"/>
      <c r="AA641" s="577"/>
      <c r="AB641" s="577"/>
      <c r="AC641" s="577"/>
      <c r="AD641" s="577"/>
      <c r="AE641" s="577"/>
      <c r="AF641" s="6"/>
    </row>
    <row r="642" ht="12.75" customHeight="1">
      <c r="A642" s="595"/>
      <c r="B642" s="596"/>
      <c r="C642" s="596"/>
      <c r="D642" s="596"/>
      <c r="E642" s="596"/>
      <c r="F642" s="596"/>
      <c r="G642" s="596"/>
      <c r="H642" s="596"/>
      <c r="I642" s="596"/>
      <c r="J642" s="577"/>
      <c r="K642" s="577"/>
      <c r="L642" s="577"/>
      <c r="M642" s="577"/>
      <c r="N642" s="577"/>
      <c r="O642" s="577"/>
      <c r="P642" s="577"/>
      <c r="Q642" s="577"/>
      <c r="R642" s="577"/>
      <c r="S642" s="577"/>
      <c r="T642" s="577"/>
      <c r="U642" s="577"/>
      <c r="V642" s="577"/>
      <c r="W642" s="577"/>
      <c r="X642" s="577"/>
      <c r="Y642" s="577"/>
      <c r="Z642" s="577"/>
      <c r="AA642" s="577"/>
      <c r="AB642" s="577"/>
      <c r="AC642" s="577"/>
      <c r="AD642" s="577"/>
      <c r="AE642" s="577"/>
      <c r="AF642" s="6"/>
    </row>
    <row r="643" ht="12.75" customHeight="1">
      <c r="A643" s="595"/>
      <c r="B643" s="596"/>
      <c r="C643" s="596"/>
      <c r="D643" s="596"/>
      <c r="E643" s="596"/>
      <c r="F643" s="596"/>
      <c r="G643" s="596"/>
      <c r="H643" s="596"/>
      <c r="I643" s="596"/>
      <c r="J643" s="577"/>
      <c r="K643" s="577"/>
      <c r="L643" s="577"/>
      <c r="M643" s="577"/>
      <c r="N643" s="577"/>
      <c r="O643" s="577"/>
      <c r="P643" s="577"/>
      <c r="Q643" s="577"/>
      <c r="R643" s="577"/>
      <c r="S643" s="577"/>
      <c r="T643" s="577"/>
      <c r="U643" s="577"/>
      <c r="V643" s="577"/>
      <c r="W643" s="577"/>
      <c r="X643" s="577"/>
      <c r="Y643" s="577"/>
      <c r="Z643" s="577"/>
      <c r="AA643" s="577"/>
      <c r="AB643" s="577"/>
      <c r="AC643" s="577"/>
      <c r="AD643" s="577"/>
      <c r="AE643" s="577"/>
      <c r="AF643" s="6"/>
    </row>
    <row r="644" ht="12.75" customHeight="1">
      <c r="A644" s="595"/>
      <c r="B644" s="596"/>
      <c r="C644" s="596"/>
      <c r="D644" s="596"/>
      <c r="E644" s="596"/>
      <c r="F644" s="596"/>
      <c r="G644" s="596"/>
      <c r="H644" s="596"/>
      <c r="I644" s="596"/>
      <c r="J644" s="577"/>
      <c r="K644" s="577"/>
      <c r="L644" s="577"/>
      <c r="M644" s="577"/>
      <c r="N644" s="577"/>
      <c r="O644" s="577"/>
      <c r="P644" s="577"/>
      <c r="Q644" s="577"/>
      <c r="R644" s="577"/>
      <c r="S644" s="577"/>
      <c r="T644" s="577"/>
      <c r="U644" s="577"/>
      <c r="V644" s="577"/>
      <c r="W644" s="577"/>
      <c r="X644" s="577"/>
      <c r="Y644" s="577"/>
      <c r="Z644" s="577"/>
      <c r="AA644" s="577"/>
      <c r="AB644" s="577"/>
      <c r="AC644" s="577"/>
      <c r="AD644" s="577"/>
      <c r="AE644" s="577"/>
      <c r="AF644" s="6"/>
    </row>
    <row r="645" ht="12.75" customHeight="1">
      <c r="A645" s="595"/>
      <c r="B645" s="596"/>
      <c r="C645" s="596"/>
      <c r="D645" s="596"/>
      <c r="E645" s="596"/>
      <c r="F645" s="596"/>
      <c r="G645" s="596"/>
      <c r="H645" s="596"/>
      <c r="I645" s="596"/>
      <c r="J645" s="577"/>
      <c r="K645" s="577"/>
      <c r="L645" s="577"/>
      <c r="M645" s="577"/>
      <c r="N645" s="577"/>
      <c r="O645" s="577"/>
      <c r="P645" s="577"/>
      <c r="Q645" s="577"/>
      <c r="R645" s="577"/>
      <c r="S645" s="577"/>
      <c r="T645" s="577"/>
      <c r="U645" s="577"/>
      <c r="V645" s="577"/>
      <c r="W645" s="577"/>
      <c r="X645" s="577"/>
      <c r="Y645" s="577"/>
      <c r="Z645" s="577"/>
      <c r="AA645" s="577"/>
      <c r="AB645" s="577"/>
      <c r="AC645" s="577"/>
      <c r="AD645" s="577"/>
      <c r="AE645" s="577"/>
      <c r="AF645" s="6"/>
    </row>
    <row r="646" ht="12.75" customHeight="1">
      <c r="A646" s="595"/>
      <c r="B646" s="596"/>
      <c r="C646" s="596"/>
      <c r="D646" s="596"/>
      <c r="E646" s="596"/>
      <c r="F646" s="596"/>
      <c r="G646" s="596"/>
      <c r="H646" s="596"/>
      <c r="I646" s="596"/>
      <c r="J646" s="577"/>
      <c r="K646" s="577"/>
      <c r="L646" s="577"/>
      <c r="M646" s="577"/>
      <c r="N646" s="577"/>
      <c r="O646" s="577"/>
      <c r="P646" s="577"/>
      <c r="Q646" s="577"/>
      <c r="R646" s="577"/>
      <c r="S646" s="577"/>
      <c r="T646" s="577"/>
      <c r="U646" s="577"/>
      <c r="V646" s="577"/>
      <c r="W646" s="577"/>
      <c r="X646" s="577"/>
      <c r="Y646" s="577"/>
      <c r="Z646" s="577"/>
      <c r="AA646" s="577"/>
      <c r="AB646" s="577"/>
      <c r="AC646" s="577"/>
      <c r="AD646" s="577"/>
      <c r="AE646" s="577"/>
      <c r="AF646" s="6"/>
    </row>
    <row r="647" ht="12.75" customHeight="1">
      <c r="A647" s="595"/>
      <c r="B647" s="596"/>
      <c r="C647" s="596"/>
      <c r="D647" s="596"/>
      <c r="E647" s="596"/>
      <c r="F647" s="596"/>
      <c r="G647" s="596"/>
      <c r="H647" s="596"/>
      <c r="I647" s="596"/>
      <c r="J647" s="577"/>
      <c r="K647" s="577"/>
      <c r="L647" s="577"/>
      <c r="M647" s="577"/>
      <c r="N647" s="577"/>
      <c r="O647" s="577"/>
      <c r="P647" s="577"/>
      <c r="Q647" s="577"/>
      <c r="R647" s="577"/>
      <c r="S647" s="577"/>
      <c r="T647" s="577"/>
      <c r="U647" s="577"/>
      <c r="V647" s="577"/>
      <c r="W647" s="577"/>
      <c r="X647" s="577"/>
      <c r="Y647" s="577"/>
      <c r="Z647" s="577"/>
      <c r="AA647" s="577"/>
      <c r="AB647" s="577"/>
      <c r="AC647" s="577"/>
      <c r="AD647" s="577"/>
      <c r="AE647" s="577"/>
      <c r="AF647" s="6"/>
    </row>
    <row r="648" ht="12.75" customHeight="1">
      <c r="A648" s="595"/>
      <c r="B648" s="596"/>
      <c r="C648" s="596"/>
      <c r="D648" s="596"/>
      <c r="E648" s="596"/>
      <c r="F648" s="596"/>
      <c r="G648" s="596"/>
      <c r="H648" s="596"/>
      <c r="I648" s="596"/>
      <c r="J648" s="577"/>
      <c r="K648" s="577"/>
      <c r="L648" s="577"/>
      <c r="M648" s="577"/>
      <c r="N648" s="577"/>
      <c r="O648" s="577"/>
      <c r="P648" s="577"/>
      <c r="Q648" s="577"/>
      <c r="R648" s="577"/>
      <c r="S648" s="577"/>
      <c r="T648" s="577"/>
      <c r="U648" s="577"/>
      <c r="V648" s="577"/>
      <c r="W648" s="577"/>
      <c r="X648" s="577"/>
      <c r="Y648" s="577"/>
      <c r="Z648" s="577"/>
      <c r="AA648" s="577"/>
      <c r="AB648" s="577"/>
      <c r="AC648" s="577"/>
      <c r="AD648" s="577"/>
      <c r="AE648" s="577"/>
      <c r="AF648" s="6"/>
    </row>
    <row r="649" ht="12.75" customHeight="1">
      <c r="A649" s="595"/>
      <c r="B649" s="596"/>
      <c r="C649" s="596"/>
      <c r="D649" s="596"/>
      <c r="E649" s="596"/>
      <c r="F649" s="596"/>
      <c r="G649" s="596"/>
      <c r="H649" s="596"/>
      <c r="I649" s="596"/>
      <c r="J649" s="577"/>
      <c r="K649" s="577"/>
      <c r="L649" s="577"/>
      <c r="M649" s="577"/>
      <c r="N649" s="577"/>
      <c r="O649" s="577"/>
      <c r="P649" s="577"/>
      <c r="Q649" s="577"/>
      <c r="R649" s="577"/>
      <c r="S649" s="577"/>
      <c r="T649" s="577"/>
      <c r="U649" s="577"/>
      <c r="V649" s="577"/>
      <c r="W649" s="577"/>
      <c r="X649" s="577"/>
      <c r="Y649" s="577"/>
      <c r="Z649" s="577"/>
      <c r="AA649" s="577"/>
      <c r="AB649" s="577"/>
      <c r="AC649" s="577"/>
      <c r="AD649" s="577"/>
      <c r="AE649" s="577"/>
      <c r="AF649" s="6"/>
    </row>
    <row r="650" ht="12.75" customHeight="1">
      <c r="A650" s="595"/>
      <c r="B650" s="596"/>
      <c r="C650" s="596"/>
      <c r="D650" s="596"/>
      <c r="E650" s="596"/>
      <c r="F650" s="596"/>
      <c r="G650" s="596"/>
      <c r="H650" s="596"/>
      <c r="I650" s="596"/>
      <c r="J650" s="577"/>
      <c r="K650" s="577"/>
      <c r="L650" s="577"/>
      <c r="M650" s="577"/>
      <c r="N650" s="577"/>
      <c r="O650" s="577"/>
      <c r="P650" s="577"/>
      <c r="Q650" s="577"/>
      <c r="R650" s="577"/>
      <c r="S650" s="577"/>
      <c r="T650" s="577"/>
      <c r="U650" s="577"/>
      <c r="V650" s="577"/>
      <c r="W650" s="577"/>
      <c r="X650" s="577"/>
      <c r="Y650" s="577"/>
      <c r="Z650" s="577"/>
      <c r="AA650" s="577"/>
      <c r="AB650" s="577"/>
      <c r="AC650" s="577"/>
      <c r="AD650" s="577"/>
      <c r="AE650" s="577"/>
      <c r="AF650" s="6"/>
    </row>
    <row r="651" ht="12.75" customHeight="1">
      <c r="A651" s="595"/>
      <c r="B651" s="596"/>
      <c r="C651" s="596"/>
      <c r="D651" s="596"/>
      <c r="E651" s="596"/>
      <c r="F651" s="596"/>
      <c r="G651" s="596"/>
      <c r="H651" s="596"/>
      <c r="I651" s="596"/>
      <c r="J651" s="577"/>
      <c r="K651" s="577"/>
      <c r="L651" s="577"/>
      <c r="M651" s="577"/>
      <c r="N651" s="577"/>
      <c r="O651" s="577"/>
      <c r="P651" s="577"/>
      <c r="Q651" s="577"/>
      <c r="R651" s="577"/>
      <c r="S651" s="577"/>
      <c r="T651" s="577"/>
      <c r="U651" s="577"/>
      <c r="V651" s="577"/>
      <c r="W651" s="577"/>
      <c r="X651" s="577"/>
      <c r="Y651" s="577"/>
      <c r="Z651" s="577"/>
      <c r="AA651" s="577"/>
      <c r="AB651" s="577"/>
      <c r="AC651" s="577"/>
      <c r="AD651" s="577"/>
      <c r="AE651" s="577"/>
      <c r="AF651" s="6"/>
    </row>
    <row r="652" ht="12.75" customHeight="1">
      <c r="A652" s="595"/>
      <c r="B652" s="596"/>
      <c r="C652" s="596"/>
      <c r="D652" s="596"/>
      <c r="E652" s="596"/>
      <c r="F652" s="596"/>
      <c r="G652" s="596"/>
      <c r="H652" s="596"/>
      <c r="I652" s="596"/>
      <c r="J652" s="577"/>
      <c r="K652" s="577"/>
      <c r="L652" s="577"/>
      <c r="M652" s="577"/>
      <c r="N652" s="577"/>
      <c r="O652" s="577"/>
      <c r="P652" s="577"/>
      <c r="Q652" s="577"/>
      <c r="R652" s="577"/>
      <c r="S652" s="577"/>
      <c r="T652" s="577"/>
      <c r="U652" s="577"/>
      <c r="V652" s="577"/>
      <c r="W652" s="577"/>
      <c r="X652" s="577"/>
      <c r="Y652" s="577"/>
      <c r="Z652" s="577"/>
      <c r="AA652" s="577"/>
      <c r="AB652" s="577"/>
      <c r="AC652" s="577"/>
      <c r="AD652" s="577"/>
      <c r="AE652" s="577"/>
      <c r="AF652" s="6"/>
    </row>
    <row r="653" ht="12.75" customHeight="1">
      <c r="A653" s="595"/>
      <c r="B653" s="596"/>
      <c r="C653" s="596"/>
      <c r="D653" s="596"/>
      <c r="E653" s="596"/>
      <c r="F653" s="596"/>
      <c r="G653" s="596"/>
      <c r="H653" s="596"/>
      <c r="I653" s="596"/>
      <c r="J653" s="577"/>
      <c r="K653" s="577"/>
      <c r="L653" s="577"/>
      <c r="M653" s="577"/>
      <c r="N653" s="577"/>
      <c r="O653" s="577"/>
      <c r="P653" s="577"/>
      <c r="Q653" s="577"/>
      <c r="R653" s="577"/>
      <c r="S653" s="577"/>
      <c r="T653" s="577"/>
      <c r="U653" s="577"/>
      <c r="V653" s="577"/>
      <c r="W653" s="577"/>
      <c r="X653" s="577"/>
      <c r="Y653" s="577"/>
      <c r="Z653" s="577"/>
      <c r="AA653" s="577"/>
      <c r="AB653" s="577"/>
      <c r="AC653" s="577"/>
      <c r="AD653" s="577"/>
      <c r="AE653" s="577"/>
      <c r="AF653" s="6"/>
    </row>
    <row r="654" ht="12.75" customHeight="1">
      <c r="A654" s="595"/>
      <c r="B654" s="596"/>
      <c r="C654" s="596"/>
      <c r="D654" s="596"/>
      <c r="E654" s="596"/>
      <c r="F654" s="596"/>
      <c r="G654" s="596"/>
      <c r="H654" s="596"/>
      <c r="I654" s="596"/>
      <c r="J654" s="577"/>
      <c r="K654" s="577"/>
      <c r="L654" s="577"/>
      <c r="M654" s="577"/>
      <c r="N654" s="577"/>
      <c r="O654" s="577"/>
      <c r="P654" s="577"/>
      <c r="Q654" s="577"/>
      <c r="R654" s="577"/>
      <c r="S654" s="577"/>
      <c r="T654" s="577"/>
      <c r="U654" s="577"/>
      <c r="V654" s="577"/>
      <c r="W654" s="577"/>
      <c r="X654" s="577"/>
      <c r="Y654" s="577"/>
      <c r="Z654" s="577"/>
      <c r="AA654" s="577"/>
      <c r="AB654" s="577"/>
      <c r="AC654" s="577"/>
      <c r="AD654" s="577"/>
      <c r="AE654" s="577"/>
      <c r="AF654" s="6"/>
    </row>
    <row r="655" ht="12.75" customHeight="1">
      <c r="A655" s="595"/>
      <c r="B655" s="596"/>
      <c r="C655" s="596"/>
      <c r="D655" s="596"/>
      <c r="E655" s="596"/>
      <c r="F655" s="596"/>
      <c r="G655" s="596"/>
      <c r="H655" s="596"/>
      <c r="I655" s="596"/>
      <c r="J655" s="577"/>
      <c r="K655" s="577"/>
      <c r="L655" s="577"/>
      <c r="M655" s="577"/>
      <c r="N655" s="577"/>
      <c r="O655" s="577"/>
      <c r="P655" s="577"/>
      <c r="Q655" s="577"/>
      <c r="R655" s="577"/>
      <c r="S655" s="577"/>
      <c r="T655" s="577"/>
      <c r="U655" s="577"/>
      <c r="V655" s="577"/>
      <c r="W655" s="577"/>
      <c r="X655" s="577"/>
      <c r="Y655" s="577"/>
      <c r="Z655" s="577"/>
      <c r="AA655" s="577"/>
      <c r="AB655" s="577"/>
      <c r="AC655" s="577"/>
      <c r="AD655" s="577"/>
      <c r="AE655" s="577"/>
      <c r="AF655" s="6"/>
    </row>
    <row r="656" ht="12.75" customHeight="1">
      <c r="A656" s="595"/>
      <c r="B656" s="596"/>
      <c r="C656" s="596"/>
      <c r="D656" s="596"/>
      <c r="E656" s="596"/>
      <c r="F656" s="596"/>
      <c r="G656" s="596"/>
      <c r="H656" s="596"/>
      <c r="I656" s="596"/>
      <c r="J656" s="577"/>
      <c r="K656" s="577"/>
      <c r="L656" s="577"/>
      <c r="M656" s="577"/>
      <c r="N656" s="577"/>
      <c r="O656" s="577"/>
      <c r="P656" s="577"/>
      <c r="Q656" s="577"/>
      <c r="R656" s="577"/>
      <c r="S656" s="577"/>
      <c r="T656" s="577"/>
      <c r="U656" s="577"/>
      <c r="V656" s="577"/>
      <c r="W656" s="577"/>
      <c r="X656" s="577"/>
      <c r="Y656" s="577"/>
      <c r="Z656" s="577"/>
      <c r="AA656" s="577"/>
      <c r="AB656" s="577"/>
      <c r="AC656" s="577"/>
      <c r="AD656" s="577"/>
      <c r="AE656" s="577"/>
      <c r="AF656" s="6"/>
    </row>
    <row r="657" ht="12.75" customHeight="1">
      <c r="A657" s="595"/>
      <c r="B657" s="596"/>
      <c r="C657" s="596"/>
      <c r="D657" s="596"/>
      <c r="E657" s="596"/>
      <c r="F657" s="596"/>
      <c r="G657" s="596"/>
      <c r="H657" s="596"/>
      <c r="I657" s="596"/>
      <c r="J657" s="577"/>
      <c r="K657" s="577"/>
      <c r="L657" s="577"/>
      <c r="M657" s="577"/>
      <c r="N657" s="577"/>
      <c r="O657" s="577"/>
      <c r="P657" s="577"/>
      <c r="Q657" s="577"/>
      <c r="R657" s="577"/>
      <c r="S657" s="577"/>
      <c r="T657" s="577"/>
      <c r="U657" s="577"/>
      <c r="V657" s="577"/>
      <c r="W657" s="577"/>
      <c r="X657" s="577"/>
      <c r="Y657" s="577"/>
      <c r="Z657" s="577"/>
      <c r="AA657" s="577"/>
      <c r="AB657" s="577"/>
      <c r="AC657" s="577"/>
      <c r="AD657" s="577"/>
      <c r="AE657" s="577"/>
      <c r="AF657" s="6"/>
    </row>
    <row r="658" ht="12.75" customHeight="1">
      <c r="A658" s="595"/>
      <c r="B658" s="596"/>
      <c r="C658" s="596"/>
      <c r="D658" s="596"/>
      <c r="E658" s="596"/>
      <c r="F658" s="596"/>
      <c r="G658" s="596"/>
      <c r="H658" s="596"/>
      <c r="I658" s="596"/>
      <c r="J658" s="577"/>
      <c r="K658" s="577"/>
      <c r="L658" s="577"/>
      <c r="M658" s="577"/>
      <c r="N658" s="577"/>
      <c r="O658" s="577"/>
      <c r="P658" s="577"/>
      <c r="Q658" s="577"/>
      <c r="R658" s="577"/>
      <c r="S658" s="577"/>
      <c r="T658" s="577"/>
      <c r="U658" s="577"/>
      <c r="V658" s="577"/>
      <c r="W658" s="577"/>
      <c r="X658" s="577"/>
      <c r="Y658" s="577"/>
      <c r="Z658" s="577"/>
      <c r="AA658" s="577"/>
      <c r="AB658" s="577"/>
      <c r="AC658" s="577"/>
      <c r="AD658" s="577"/>
      <c r="AE658" s="577"/>
      <c r="AF658" s="6"/>
    </row>
    <row r="659" ht="12.75" customHeight="1">
      <c r="A659" s="595"/>
      <c r="B659" s="596"/>
      <c r="C659" s="596"/>
      <c r="D659" s="596"/>
      <c r="E659" s="596"/>
      <c r="F659" s="596"/>
      <c r="G659" s="596"/>
      <c r="H659" s="596"/>
      <c r="I659" s="596"/>
      <c r="J659" s="577"/>
      <c r="K659" s="577"/>
      <c r="L659" s="577"/>
      <c r="M659" s="577"/>
      <c r="N659" s="577"/>
      <c r="O659" s="577"/>
      <c r="P659" s="577"/>
      <c r="Q659" s="577"/>
      <c r="R659" s="577"/>
      <c r="S659" s="577"/>
      <c r="T659" s="577"/>
      <c r="U659" s="577"/>
      <c r="V659" s="577"/>
      <c r="W659" s="577"/>
      <c r="X659" s="577"/>
      <c r="Y659" s="577"/>
      <c r="Z659" s="577"/>
      <c r="AA659" s="577"/>
      <c r="AB659" s="577"/>
      <c r="AC659" s="577"/>
      <c r="AD659" s="577"/>
      <c r="AE659" s="577"/>
      <c r="AF659" s="6"/>
    </row>
    <row r="660" ht="12.75" customHeight="1">
      <c r="A660" s="595"/>
      <c r="B660" s="596"/>
      <c r="C660" s="596"/>
      <c r="D660" s="596"/>
      <c r="E660" s="596"/>
      <c r="F660" s="596"/>
      <c r="G660" s="596"/>
      <c r="H660" s="596"/>
      <c r="I660" s="596"/>
      <c r="J660" s="577"/>
      <c r="K660" s="577"/>
      <c r="L660" s="577"/>
      <c r="M660" s="577"/>
      <c r="N660" s="577"/>
      <c r="O660" s="577"/>
      <c r="P660" s="577"/>
      <c r="Q660" s="577"/>
      <c r="R660" s="577"/>
      <c r="S660" s="577"/>
      <c r="T660" s="577"/>
      <c r="U660" s="577"/>
      <c r="V660" s="577"/>
      <c r="W660" s="577"/>
      <c r="X660" s="577"/>
      <c r="Y660" s="577"/>
      <c r="Z660" s="577"/>
      <c r="AA660" s="577"/>
      <c r="AB660" s="577"/>
      <c r="AC660" s="577"/>
      <c r="AD660" s="577"/>
      <c r="AE660" s="577"/>
      <c r="AF660" s="6"/>
    </row>
    <row r="661" ht="12.75" customHeight="1">
      <c r="A661" s="595"/>
      <c r="B661" s="596"/>
      <c r="C661" s="596"/>
      <c r="D661" s="596"/>
      <c r="E661" s="596"/>
      <c r="F661" s="596"/>
      <c r="G661" s="596"/>
      <c r="H661" s="596"/>
      <c r="I661" s="596"/>
      <c r="J661" s="577"/>
      <c r="K661" s="577"/>
      <c r="L661" s="577"/>
      <c r="M661" s="577"/>
      <c r="N661" s="577"/>
      <c r="O661" s="577"/>
      <c r="P661" s="577"/>
      <c r="Q661" s="577"/>
      <c r="R661" s="577"/>
      <c r="S661" s="577"/>
      <c r="T661" s="577"/>
      <c r="U661" s="577"/>
      <c r="V661" s="577"/>
      <c r="W661" s="577"/>
      <c r="X661" s="577"/>
      <c r="Y661" s="577"/>
      <c r="Z661" s="577"/>
      <c r="AA661" s="577"/>
      <c r="AB661" s="577"/>
      <c r="AC661" s="577"/>
      <c r="AD661" s="577"/>
      <c r="AE661" s="577"/>
      <c r="AF661" s="6"/>
    </row>
    <row r="662" ht="12.75" customHeight="1">
      <c r="A662" s="595"/>
      <c r="B662" s="596"/>
      <c r="C662" s="596"/>
      <c r="D662" s="596"/>
      <c r="E662" s="596"/>
      <c r="F662" s="596"/>
      <c r="G662" s="596"/>
      <c r="H662" s="596"/>
      <c r="I662" s="596"/>
      <c r="J662" s="577"/>
      <c r="K662" s="577"/>
      <c r="L662" s="577"/>
      <c r="M662" s="577"/>
      <c r="N662" s="577"/>
      <c r="O662" s="577"/>
      <c r="P662" s="577"/>
      <c r="Q662" s="577"/>
      <c r="R662" s="577"/>
      <c r="S662" s="577"/>
      <c r="T662" s="577"/>
      <c r="U662" s="577"/>
      <c r="V662" s="577"/>
      <c r="W662" s="577"/>
      <c r="X662" s="577"/>
      <c r="Y662" s="577"/>
      <c r="Z662" s="577"/>
      <c r="AA662" s="577"/>
      <c r="AB662" s="577"/>
      <c r="AC662" s="577"/>
      <c r="AD662" s="577"/>
      <c r="AE662" s="577"/>
      <c r="AF662" s="6"/>
    </row>
    <row r="663" ht="12.75" customHeight="1">
      <c r="A663" s="595"/>
      <c r="B663" s="596"/>
      <c r="C663" s="596"/>
      <c r="D663" s="596"/>
      <c r="E663" s="596"/>
      <c r="F663" s="596"/>
      <c r="G663" s="596"/>
      <c r="H663" s="596"/>
      <c r="I663" s="596"/>
      <c r="J663" s="577"/>
      <c r="K663" s="577"/>
      <c r="L663" s="577"/>
      <c r="M663" s="577"/>
      <c r="N663" s="577"/>
      <c r="O663" s="577"/>
      <c r="P663" s="577"/>
      <c r="Q663" s="577"/>
      <c r="R663" s="577"/>
      <c r="S663" s="577"/>
      <c r="T663" s="577"/>
      <c r="U663" s="577"/>
      <c r="V663" s="577"/>
      <c r="W663" s="577"/>
      <c r="X663" s="577"/>
      <c r="Y663" s="577"/>
      <c r="Z663" s="577"/>
      <c r="AA663" s="577"/>
      <c r="AB663" s="577"/>
      <c r="AC663" s="577"/>
      <c r="AD663" s="577"/>
      <c r="AE663" s="577"/>
      <c r="AF663" s="6"/>
    </row>
    <row r="664" ht="12.75" customHeight="1">
      <c r="A664" s="595"/>
      <c r="B664" s="596"/>
      <c r="C664" s="596"/>
      <c r="D664" s="596"/>
      <c r="E664" s="596"/>
      <c r="F664" s="596"/>
      <c r="G664" s="596"/>
      <c r="H664" s="596"/>
      <c r="I664" s="596"/>
      <c r="J664" s="577"/>
      <c r="K664" s="577"/>
      <c r="L664" s="577"/>
      <c r="M664" s="577"/>
      <c r="N664" s="577"/>
      <c r="O664" s="577"/>
      <c r="P664" s="577"/>
      <c r="Q664" s="577"/>
      <c r="R664" s="577"/>
      <c r="S664" s="577"/>
      <c r="T664" s="577"/>
      <c r="U664" s="577"/>
      <c r="V664" s="577"/>
      <c r="W664" s="577"/>
      <c r="X664" s="577"/>
      <c r="Y664" s="577"/>
      <c r="Z664" s="577"/>
      <c r="AA664" s="577"/>
      <c r="AB664" s="577"/>
      <c r="AC664" s="577"/>
      <c r="AD664" s="577"/>
      <c r="AE664" s="577"/>
      <c r="AF664" s="6"/>
    </row>
    <row r="665" ht="12.75" customHeight="1">
      <c r="A665" s="595"/>
      <c r="B665" s="596"/>
      <c r="C665" s="596"/>
      <c r="D665" s="596"/>
      <c r="E665" s="596"/>
      <c r="F665" s="596"/>
      <c r="G665" s="596"/>
      <c r="H665" s="596"/>
      <c r="I665" s="596"/>
      <c r="J665" s="577"/>
      <c r="K665" s="577"/>
      <c r="L665" s="577"/>
      <c r="M665" s="577"/>
      <c r="N665" s="577"/>
      <c r="O665" s="577"/>
      <c r="P665" s="577"/>
      <c r="Q665" s="577"/>
      <c r="R665" s="577"/>
      <c r="S665" s="577"/>
      <c r="T665" s="577"/>
      <c r="U665" s="577"/>
      <c r="V665" s="577"/>
      <c r="W665" s="577"/>
      <c r="X665" s="577"/>
      <c r="Y665" s="577"/>
      <c r="Z665" s="577"/>
      <c r="AA665" s="577"/>
      <c r="AB665" s="577"/>
      <c r="AC665" s="577"/>
      <c r="AD665" s="577"/>
      <c r="AE665" s="577"/>
      <c r="AF665" s="6"/>
    </row>
    <row r="666" ht="12.75" customHeight="1">
      <c r="A666" s="595"/>
      <c r="B666" s="596"/>
      <c r="C666" s="596"/>
      <c r="D666" s="596"/>
      <c r="E666" s="596"/>
      <c r="F666" s="596"/>
      <c r="G666" s="596"/>
      <c r="H666" s="596"/>
      <c r="I666" s="596"/>
      <c r="J666" s="577"/>
      <c r="K666" s="577"/>
      <c r="L666" s="577"/>
      <c r="M666" s="577"/>
      <c r="N666" s="577"/>
      <c r="O666" s="577"/>
      <c r="P666" s="577"/>
      <c r="Q666" s="577"/>
      <c r="R666" s="577"/>
      <c r="S666" s="577"/>
      <c r="T666" s="577"/>
      <c r="U666" s="577"/>
      <c r="V666" s="577"/>
      <c r="W666" s="577"/>
      <c r="X666" s="577"/>
      <c r="Y666" s="577"/>
      <c r="Z666" s="577"/>
      <c r="AA666" s="577"/>
      <c r="AB666" s="577"/>
      <c r="AC666" s="577"/>
      <c r="AD666" s="577"/>
      <c r="AE666" s="577"/>
      <c r="AF666" s="6"/>
    </row>
    <row r="667" ht="12.75" customHeight="1">
      <c r="A667" s="595"/>
      <c r="B667" s="596"/>
      <c r="C667" s="596"/>
      <c r="D667" s="596"/>
      <c r="E667" s="596"/>
      <c r="F667" s="596"/>
      <c r="G667" s="596"/>
      <c r="H667" s="596"/>
      <c r="I667" s="596"/>
      <c r="J667" s="577"/>
      <c r="K667" s="577"/>
      <c r="L667" s="577"/>
      <c r="M667" s="577"/>
      <c r="N667" s="577"/>
      <c r="O667" s="577"/>
      <c r="P667" s="577"/>
      <c r="Q667" s="577"/>
      <c r="R667" s="577"/>
      <c r="S667" s="577"/>
      <c r="T667" s="577"/>
      <c r="U667" s="577"/>
      <c r="V667" s="577"/>
      <c r="W667" s="577"/>
      <c r="X667" s="577"/>
      <c r="Y667" s="577"/>
      <c r="Z667" s="577"/>
      <c r="AA667" s="577"/>
      <c r="AB667" s="577"/>
      <c r="AC667" s="577"/>
      <c r="AD667" s="577"/>
      <c r="AE667" s="577"/>
      <c r="AF667" s="6"/>
    </row>
    <row r="668" ht="12.75" customHeight="1">
      <c r="A668" s="595"/>
      <c r="B668" s="596"/>
      <c r="C668" s="596"/>
      <c r="D668" s="596"/>
      <c r="E668" s="596"/>
      <c r="F668" s="596"/>
      <c r="G668" s="596"/>
      <c r="H668" s="596"/>
      <c r="I668" s="596"/>
      <c r="J668" s="577"/>
      <c r="K668" s="577"/>
      <c r="L668" s="577"/>
      <c r="M668" s="577"/>
      <c r="N668" s="577"/>
      <c r="O668" s="577"/>
      <c r="P668" s="577"/>
      <c r="Q668" s="577"/>
      <c r="R668" s="577"/>
      <c r="S668" s="577"/>
      <c r="T668" s="577"/>
      <c r="U668" s="577"/>
      <c r="V668" s="577"/>
      <c r="W668" s="577"/>
      <c r="X668" s="577"/>
      <c r="Y668" s="577"/>
      <c r="Z668" s="577"/>
      <c r="AA668" s="577"/>
      <c r="AB668" s="577"/>
      <c r="AC668" s="577"/>
      <c r="AD668" s="577"/>
      <c r="AE668" s="577"/>
      <c r="AF668" s="6"/>
    </row>
    <row r="669" ht="12.75" customHeight="1">
      <c r="A669" s="595"/>
      <c r="B669" s="596"/>
      <c r="C669" s="596"/>
      <c r="D669" s="596"/>
      <c r="E669" s="596"/>
      <c r="F669" s="596"/>
      <c r="G669" s="596"/>
      <c r="H669" s="596"/>
      <c r="I669" s="596"/>
      <c r="J669" s="577"/>
      <c r="K669" s="577"/>
      <c r="L669" s="577"/>
      <c r="M669" s="577"/>
      <c r="N669" s="577"/>
      <c r="O669" s="577"/>
      <c r="P669" s="577"/>
      <c r="Q669" s="577"/>
      <c r="R669" s="577"/>
      <c r="S669" s="577"/>
      <c r="T669" s="577"/>
      <c r="U669" s="577"/>
      <c r="V669" s="577"/>
      <c r="W669" s="577"/>
      <c r="X669" s="577"/>
      <c r="Y669" s="577"/>
      <c r="Z669" s="577"/>
      <c r="AA669" s="577"/>
      <c r="AB669" s="577"/>
      <c r="AC669" s="577"/>
      <c r="AD669" s="577"/>
      <c r="AE669" s="577"/>
      <c r="AF669" s="6"/>
    </row>
    <row r="670" ht="12.75" customHeight="1">
      <c r="A670" s="595"/>
      <c r="B670" s="596"/>
      <c r="C670" s="596"/>
      <c r="D670" s="596"/>
      <c r="E670" s="596"/>
      <c r="F670" s="596"/>
      <c r="G670" s="596"/>
      <c r="H670" s="596"/>
      <c r="I670" s="596"/>
      <c r="J670" s="577"/>
      <c r="K670" s="577"/>
      <c r="L670" s="577"/>
      <c r="M670" s="577"/>
      <c r="N670" s="577"/>
      <c r="O670" s="577"/>
      <c r="P670" s="577"/>
      <c r="Q670" s="577"/>
      <c r="R670" s="577"/>
      <c r="S670" s="577"/>
      <c r="T670" s="577"/>
      <c r="U670" s="577"/>
      <c r="V670" s="577"/>
      <c r="W670" s="577"/>
      <c r="X670" s="577"/>
      <c r="Y670" s="577"/>
      <c r="Z670" s="577"/>
      <c r="AA670" s="577"/>
      <c r="AB670" s="577"/>
      <c r="AC670" s="577"/>
      <c r="AD670" s="577"/>
      <c r="AE670" s="577"/>
      <c r="AF670" s="6"/>
    </row>
    <row r="671" ht="12.75" customHeight="1">
      <c r="A671" s="595"/>
      <c r="B671" s="596"/>
      <c r="C671" s="596"/>
      <c r="D671" s="596"/>
      <c r="E671" s="596"/>
      <c r="F671" s="596"/>
      <c r="G671" s="596"/>
      <c r="H671" s="596"/>
      <c r="I671" s="596"/>
      <c r="J671" s="577"/>
      <c r="K671" s="577"/>
      <c r="L671" s="577"/>
      <c r="M671" s="577"/>
      <c r="N671" s="577"/>
      <c r="O671" s="577"/>
      <c r="P671" s="577"/>
      <c r="Q671" s="577"/>
      <c r="R671" s="577"/>
      <c r="S671" s="577"/>
      <c r="T671" s="577"/>
      <c r="U671" s="577"/>
      <c r="V671" s="577"/>
      <c r="W671" s="577"/>
      <c r="X671" s="577"/>
      <c r="Y671" s="577"/>
      <c r="Z671" s="577"/>
      <c r="AA671" s="577"/>
      <c r="AB671" s="577"/>
      <c r="AC671" s="577"/>
      <c r="AD671" s="577"/>
      <c r="AE671" s="577"/>
      <c r="AF671" s="6"/>
    </row>
    <row r="672" ht="12.75" customHeight="1">
      <c r="A672" s="595"/>
      <c r="B672" s="596"/>
      <c r="C672" s="596"/>
      <c r="D672" s="596"/>
      <c r="E672" s="596"/>
      <c r="F672" s="596"/>
      <c r="G672" s="596"/>
      <c r="H672" s="596"/>
      <c r="I672" s="596"/>
      <c r="J672" s="577"/>
      <c r="K672" s="577"/>
      <c r="L672" s="577"/>
      <c r="M672" s="577"/>
      <c r="N672" s="577"/>
      <c r="O672" s="577"/>
      <c r="P672" s="577"/>
      <c r="Q672" s="577"/>
      <c r="R672" s="577"/>
      <c r="S672" s="577"/>
      <c r="T672" s="577"/>
      <c r="U672" s="577"/>
      <c r="V672" s="577"/>
      <c r="W672" s="577"/>
      <c r="X672" s="577"/>
      <c r="Y672" s="577"/>
      <c r="Z672" s="577"/>
      <c r="AA672" s="577"/>
      <c r="AB672" s="577"/>
      <c r="AC672" s="577"/>
      <c r="AD672" s="577"/>
      <c r="AE672" s="577"/>
      <c r="AF672" s="6"/>
    </row>
    <row r="673" ht="12.75" customHeight="1">
      <c r="A673" s="595"/>
      <c r="B673" s="596"/>
      <c r="C673" s="596"/>
      <c r="D673" s="596"/>
      <c r="E673" s="596"/>
      <c r="F673" s="596"/>
      <c r="G673" s="596"/>
      <c r="H673" s="596"/>
      <c r="I673" s="596"/>
      <c r="J673" s="577"/>
      <c r="K673" s="577"/>
      <c r="L673" s="577"/>
      <c r="M673" s="577"/>
      <c r="N673" s="577"/>
      <c r="O673" s="577"/>
      <c r="P673" s="577"/>
      <c r="Q673" s="577"/>
      <c r="R673" s="577"/>
      <c r="S673" s="577"/>
      <c r="T673" s="577"/>
      <c r="U673" s="577"/>
      <c r="V673" s="577"/>
      <c r="W673" s="577"/>
      <c r="X673" s="577"/>
      <c r="Y673" s="577"/>
      <c r="Z673" s="577"/>
      <c r="AA673" s="577"/>
      <c r="AB673" s="577"/>
      <c r="AC673" s="577"/>
      <c r="AD673" s="577"/>
      <c r="AE673" s="577"/>
      <c r="AF673" s="6"/>
    </row>
    <row r="674" ht="12.75" customHeight="1">
      <c r="A674" s="595"/>
      <c r="B674" s="596"/>
      <c r="C674" s="596"/>
      <c r="D674" s="596"/>
      <c r="E674" s="596"/>
      <c r="F674" s="596"/>
      <c r="G674" s="596"/>
      <c r="H674" s="596"/>
      <c r="I674" s="596"/>
      <c r="J674" s="577"/>
      <c r="K674" s="577"/>
      <c r="L674" s="577"/>
      <c r="M674" s="577"/>
      <c r="N674" s="577"/>
      <c r="O674" s="577"/>
      <c r="P674" s="577"/>
      <c r="Q674" s="577"/>
      <c r="R674" s="577"/>
      <c r="S674" s="577"/>
      <c r="T674" s="577"/>
      <c r="U674" s="577"/>
      <c r="V674" s="577"/>
      <c r="W674" s="577"/>
      <c r="X674" s="577"/>
      <c r="Y674" s="577"/>
      <c r="Z674" s="577"/>
      <c r="AA674" s="577"/>
      <c r="AB674" s="577"/>
      <c r="AC674" s="577"/>
      <c r="AD674" s="577"/>
      <c r="AE674" s="577"/>
      <c r="AF674" s="6"/>
    </row>
    <row r="675" ht="12.75" customHeight="1">
      <c r="A675" s="595"/>
      <c r="B675" s="596"/>
      <c r="C675" s="596"/>
      <c r="D675" s="596"/>
      <c r="E675" s="596"/>
      <c r="F675" s="596"/>
      <c r="G675" s="596"/>
      <c r="H675" s="596"/>
      <c r="I675" s="596"/>
      <c r="J675" s="577"/>
      <c r="K675" s="577"/>
      <c r="L675" s="577"/>
      <c r="M675" s="577"/>
      <c r="N675" s="577"/>
      <c r="O675" s="577"/>
      <c r="P675" s="577"/>
      <c r="Q675" s="577"/>
      <c r="R675" s="577"/>
      <c r="S675" s="577"/>
      <c r="T675" s="577"/>
      <c r="U675" s="577"/>
      <c r="V675" s="577"/>
      <c r="W675" s="577"/>
      <c r="X675" s="577"/>
      <c r="Y675" s="577"/>
      <c r="Z675" s="577"/>
      <c r="AA675" s="577"/>
      <c r="AB675" s="577"/>
      <c r="AC675" s="577"/>
      <c r="AD675" s="577"/>
      <c r="AE675" s="577"/>
      <c r="AF675" s="6"/>
    </row>
    <row r="676" ht="12.75" customHeight="1">
      <c r="A676" s="595"/>
      <c r="B676" s="596"/>
      <c r="C676" s="596"/>
      <c r="D676" s="596"/>
      <c r="E676" s="596"/>
      <c r="F676" s="596"/>
      <c r="G676" s="596"/>
      <c r="H676" s="596"/>
      <c r="I676" s="596"/>
      <c r="J676" s="577"/>
      <c r="K676" s="577"/>
      <c r="L676" s="577"/>
      <c r="M676" s="577"/>
      <c r="N676" s="577"/>
      <c r="O676" s="577"/>
      <c r="P676" s="577"/>
      <c r="Q676" s="577"/>
      <c r="R676" s="577"/>
      <c r="S676" s="577"/>
      <c r="T676" s="577"/>
      <c r="U676" s="577"/>
      <c r="V676" s="577"/>
      <c r="W676" s="577"/>
      <c r="X676" s="577"/>
      <c r="Y676" s="577"/>
      <c r="Z676" s="577"/>
      <c r="AA676" s="577"/>
      <c r="AB676" s="577"/>
      <c r="AC676" s="577"/>
      <c r="AD676" s="577"/>
      <c r="AE676" s="577"/>
      <c r="AF676" s="6"/>
    </row>
    <row r="677" ht="12.75" customHeight="1">
      <c r="A677" s="595"/>
      <c r="B677" s="596"/>
      <c r="C677" s="596"/>
      <c r="D677" s="596"/>
      <c r="E677" s="596"/>
      <c r="F677" s="596"/>
      <c r="G677" s="596"/>
      <c r="H677" s="596"/>
      <c r="I677" s="596"/>
      <c r="J677" s="577"/>
      <c r="K677" s="577"/>
      <c r="L677" s="577"/>
      <c r="M677" s="577"/>
      <c r="N677" s="577"/>
      <c r="O677" s="577"/>
      <c r="P677" s="577"/>
      <c r="Q677" s="577"/>
      <c r="R677" s="577"/>
      <c r="S677" s="577"/>
      <c r="T677" s="577"/>
      <c r="U677" s="577"/>
      <c r="V677" s="577"/>
      <c r="W677" s="577"/>
      <c r="X677" s="577"/>
      <c r="Y677" s="577"/>
      <c r="Z677" s="577"/>
      <c r="AA677" s="577"/>
      <c r="AB677" s="577"/>
      <c r="AC677" s="577"/>
      <c r="AD677" s="577"/>
      <c r="AE677" s="577"/>
      <c r="AF677" s="6"/>
    </row>
    <row r="678" ht="12.75" customHeight="1">
      <c r="A678" s="595"/>
      <c r="B678" s="596"/>
      <c r="C678" s="596"/>
      <c r="D678" s="596"/>
      <c r="E678" s="596"/>
      <c r="F678" s="596"/>
      <c r="G678" s="596"/>
      <c r="H678" s="596"/>
      <c r="I678" s="596"/>
      <c r="J678" s="577"/>
      <c r="K678" s="577"/>
      <c r="L678" s="577"/>
      <c r="M678" s="577"/>
      <c r="N678" s="577"/>
      <c r="O678" s="577"/>
      <c r="P678" s="577"/>
      <c r="Q678" s="577"/>
      <c r="R678" s="577"/>
      <c r="S678" s="577"/>
      <c r="T678" s="577"/>
      <c r="U678" s="577"/>
      <c r="V678" s="577"/>
      <c r="W678" s="577"/>
      <c r="X678" s="577"/>
      <c r="Y678" s="577"/>
      <c r="Z678" s="577"/>
      <c r="AA678" s="577"/>
      <c r="AB678" s="577"/>
      <c r="AC678" s="577"/>
      <c r="AD678" s="577"/>
      <c r="AE678" s="577"/>
      <c r="AF678" s="6"/>
    </row>
    <row r="679" ht="12.75" customHeight="1">
      <c r="A679" s="595"/>
      <c r="B679" s="596"/>
      <c r="C679" s="596"/>
      <c r="D679" s="596"/>
      <c r="E679" s="596"/>
      <c r="F679" s="596"/>
      <c r="G679" s="596"/>
      <c r="H679" s="596"/>
      <c r="I679" s="596"/>
      <c r="J679" s="577"/>
      <c r="K679" s="577"/>
      <c r="L679" s="577"/>
      <c r="M679" s="577"/>
      <c r="N679" s="577"/>
      <c r="O679" s="577"/>
      <c r="P679" s="577"/>
      <c r="Q679" s="577"/>
      <c r="R679" s="577"/>
      <c r="S679" s="577"/>
      <c r="T679" s="577"/>
      <c r="U679" s="577"/>
      <c r="V679" s="577"/>
      <c r="W679" s="577"/>
      <c r="X679" s="577"/>
      <c r="Y679" s="577"/>
      <c r="Z679" s="577"/>
      <c r="AA679" s="577"/>
      <c r="AB679" s="577"/>
      <c r="AC679" s="577"/>
      <c r="AD679" s="577"/>
      <c r="AE679" s="577"/>
      <c r="AF679" s="6"/>
    </row>
    <row r="680" ht="12.75" customHeight="1">
      <c r="A680" s="595"/>
      <c r="B680" s="596"/>
      <c r="C680" s="596"/>
      <c r="D680" s="596"/>
      <c r="E680" s="596"/>
      <c r="F680" s="596"/>
      <c r="G680" s="596"/>
      <c r="H680" s="596"/>
      <c r="I680" s="596"/>
      <c r="J680" s="577"/>
      <c r="K680" s="577"/>
      <c r="L680" s="577"/>
      <c r="M680" s="577"/>
      <c r="N680" s="577"/>
      <c r="O680" s="577"/>
      <c r="P680" s="577"/>
      <c r="Q680" s="577"/>
      <c r="R680" s="577"/>
      <c r="S680" s="577"/>
      <c r="T680" s="577"/>
      <c r="U680" s="577"/>
      <c r="V680" s="577"/>
      <c r="W680" s="577"/>
      <c r="X680" s="577"/>
      <c r="Y680" s="577"/>
      <c r="Z680" s="577"/>
      <c r="AA680" s="577"/>
      <c r="AB680" s="577"/>
      <c r="AC680" s="577"/>
      <c r="AD680" s="577"/>
      <c r="AE680" s="577"/>
      <c r="AF680" s="6"/>
    </row>
    <row r="681" ht="12.75" customHeight="1">
      <c r="A681" s="595"/>
      <c r="B681" s="596"/>
      <c r="C681" s="596"/>
      <c r="D681" s="596"/>
      <c r="E681" s="596"/>
      <c r="F681" s="596"/>
      <c r="G681" s="596"/>
      <c r="H681" s="596"/>
      <c r="I681" s="596"/>
      <c r="J681" s="577"/>
      <c r="K681" s="577"/>
      <c r="L681" s="577"/>
      <c r="M681" s="577"/>
      <c r="N681" s="577"/>
      <c r="O681" s="577"/>
      <c r="P681" s="577"/>
      <c r="Q681" s="577"/>
      <c r="R681" s="577"/>
      <c r="S681" s="577"/>
      <c r="T681" s="577"/>
      <c r="U681" s="577"/>
      <c r="V681" s="577"/>
      <c r="W681" s="577"/>
      <c r="X681" s="577"/>
      <c r="Y681" s="577"/>
      <c r="Z681" s="577"/>
      <c r="AA681" s="577"/>
      <c r="AB681" s="577"/>
      <c r="AC681" s="577"/>
      <c r="AD681" s="577"/>
      <c r="AE681" s="577"/>
      <c r="AF681" s="6"/>
    </row>
    <row r="682" ht="12.75" customHeight="1">
      <c r="A682" s="595"/>
      <c r="B682" s="596"/>
      <c r="C682" s="596"/>
      <c r="D682" s="596"/>
      <c r="E682" s="596"/>
      <c r="F682" s="596"/>
      <c r="G682" s="596"/>
      <c r="H682" s="596"/>
      <c r="I682" s="596"/>
      <c r="J682" s="577"/>
      <c r="K682" s="577"/>
      <c r="L682" s="577"/>
      <c r="M682" s="577"/>
      <c r="N682" s="577"/>
      <c r="O682" s="577"/>
      <c r="P682" s="577"/>
      <c r="Q682" s="577"/>
      <c r="R682" s="577"/>
      <c r="S682" s="577"/>
      <c r="T682" s="577"/>
      <c r="U682" s="577"/>
      <c r="V682" s="577"/>
      <c r="W682" s="577"/>
      <c r="X682" s="577"/>
      <c r="Y682" s="577"/>
      <c r="Z682" s="577"/>
      <c r="AA682" s="577"/>
      <c r="AB682" s="577"/>
      <c r="AC682" s="577"/>
      <c r="AD682" s="577"/>
      <c r="AE682" s="577"/>
      <c r="AF682" s="6"/>
    </row>
    <row r="683" ht="12.75" customHeight="1">
      <c r="A683" s="595"/>
      <c r="B683" s="596"/>
      <c r="C683" s="596"/>
      <c r="D683" s="596"/>
      <c r="E683" s="596"/>
      <c r="F683" s="596"/>
      <c r="G683" s="596"/>
      <c r="H683" s="596"/>
      <c r="I683" s="596"/>
      <c r="J683" s="577"/>
      <c r="K683" s="577"/>
      <c r="L683" s="577"/>
      <c r="M683" s="577"/>
      <c r="N683" s="577"/>
      <c r="O683" s="577"/>
      <c r="P683" s="577"/>
      <c r="Q683" s="577"/>
      <c r="R683" s="577"/>
      <c r="S683" s="577"/>
      <c r="T683" s="577"/>
      <c r="U683" s="577"/>
      <c r="V683" s="577"/>
      <c r="W683" s="577"/>
      <c r="X683" s="577"/>
      <c r="Y683" s="577"/>
      <c r="Z683" s="577"/>
      <c r="AA683" s="577"/>
      <c r="AB683" s="577"/>
      <c r="AC683" s="577"/>
      <c r="AD683" s="577"/>
      <c r="AE683" s="577"/>
      <c r="AF683" s="6"/>
    </row>
    <row r="684" ht="12.75" customHeight="1">
      <c r="A684" s="595"/>
      <c r="B684" s="596"/>
      <c r="C684" s="596"/>
      <c r="D684" s="596"/>
      <c r="E684" s="596"/>
      <c r="F684" s="596"/>
      <c r="G684" s="596"/>
      <c r="H684" s="596"/>
      <c r="I684" s="596"/>
      <c r="J684" s="577"/>
      <c r="K684" s="577"/>
      <c r="L684" s="577"/>
      <c r="M684" s="577"/>
      <c r="N684" s="577"/>
      <c r="O684" s="577"/>
      <c r="P684" s="577"/>
      <c r="Q684" s="577"/>
      <c r="R684" s="577"/>
      <c r="S684" s="577"/>
      <c r="T684" s="577"/>
      <c r="U684" s="577"/>
      <c r="V684" s="577"/>
      <c r="W684" s="577"/>
      <c r="X684" s="577"/>
      <c r="Y684" s="577"/>
      <c r="Z684" s="577"/>
      <c r="AA684" s="577"/>
      <c r="AB684" s="577"/>
      <c r="AC684" s="577"/>
      <c r="AD684" s="577"/>
      <c r="AE684" s="577"/>
      <c r="AF684" s="6"/>
    </row>
    <row r="685" ht="12.75" customHeight="1">
      <c r="A685" s="595"/>
      <c r="B685" s="596"/>
      <c r="C685" s="596"/>
      <c r="D685" s="596"/>
      <c r="E685" s="596"/>
      <c r="F685" s="596"/>
      <c r="G685" s="596"/>
      <c r="H685" s="596"/>
      <c r="I685" s="596"/>
      <c r="J685" s="577"/>
      <c r="K685" s="577"/>
      <c r="L685" s="577"/>
      <c r="M685" s="577"/>
      <c r="N685" s="577"/>
      <c r="O685" s="577"/>
      <c r="P685" s="577"/>
      <c r="Q685" s="577"/>
      <c r="R685" s="577"/>
      <c r="S685" s="577"/>
      <c r="T685" s="577"/>
      <c r="U685" s="577"/>
      <c r="V685" s="577"/>
      <c r="W685" s="577"/>
      <c r="X685" s="577"/>
      <c r="Y685" s="577"/>
      <c r="Z685" s="577"/>
      <c r="AA685" s="577"/>
      <c r="AB685" s="577"/>
      <c r="AC685" s="577"/>
      <c r="AD685" s="577"/>
      <c r="AE685" s="577"/>
      <c r="AF685" s="6"/>
    </row>
    <row r="686" ht="12.75" customHeight="1">
      <c r="A686" s="595"/>
      <c r="B686" s="596"/>
      <c r="C686" s="596"/>
      <c r="D686" s="596"/>
      <c r="E686" s="596"/>
      <c r="F686" s="596"/>
      <c r="G686" s="596"/>
      <c r="H686" s="596"/>
      <c r="I686" s="596"/>
      <c r="J686" s="577"/>
      <c r="K686" s="577"/>
      <c r="L686" s="577"/>
      <c r="M686" s="577"/>
      <c r="N686" s="577"/>
      <c r="O686" s="577"/>
      <c r="P686" s="577"/>
      <c r="Q686" s="577"/>
      <c r="R686" s="577"/>
      <c r="S686" s="577"/>
      <c r="T686" s="577"/>
      <c r="U686" s="577"/>
      <c r="V686" s="577"/>
      <c r="W686" s="577"/>
      <c r="X686" s="577"/>
      <c r="Y686" s="577"/>
      <c r="Z686" s="577"/>
      <c r="AA686" s="577"/>
      <c r="AB686" s="577"/>
      <c r="AC686" s="577"/>
      <c r="AD686" s="577"/>
      <c r="AE686" s="577"/>
      <c r="AF686" s="6"/>
    </row>
    <row r="687" ht="12.75" customHeight="1">
      <c r="A687" s="595"/>
      <c r="B687" s="596"/>
      <c r="C687" s="596"/>
      <c r="D687" s="596"/>
      <c r="E687" s="596"/>
      <c r="F687" s="596"/>
      <c r="G687" s="596"/>
      <c r="H687" s="596"/>
      <c r="I687" s="596"/>
      <c r="J687" s="577"/>
      <c r="K687" s="577"/>
      <c r="L687" s="577"/>
      <c r="M687" s="577"/>
      <c r="N687" s="577"/>
      <c r="O687" s="577"/>
      <c r="P687" s="577"/>
      <c r="Q687" s="577"/>
      <c r="R687" s="577"/>
      <c r="S687" s="577"/>
      <c r="T687" s="577"/>
      <c r="U687" s="577"/>
      <c r="V687" s="577"/>
      <c r="W687" s="577"/>
      <c r="X687" s="577"/>
      <c r="Y687" s="577"/>
      <c r="Z687" s="577"/>
      <c r="AA687" s="577"/>
      <c r="AB687" s="577"/>
      <c r="AC687" s="577"/>
      <c r="AD687" s="577"/>
      <c r="AE687" s="577"/>
      <c r="AF687" s="6"/>
    </row>
    <row r="688" ht="12.75" customHeight="1">
      <c r="A688" s="595"/>
      <c r="B688" s="596"/>
      <c r="C688" s="596"/>
      <c r="D688" s="596"/>
      <c r="E688" s="596"/>
      <c r="F688" s="596"/>
      <c r="G688" s="596"/>
      <c r="H688" s="596"/>
      <c r="I688" s="596"/>
      <c r="J688" s="577"/>
      <c r="K688" s="577"/>
      <c r="L688" s="577"/>
      <c r="M688" s="577"/>
      <c r="N688" s="577"/>
      <c r="O688" s="577"/>
      <c r="P688" s="577"/>
      <c r="Q688" s="577"/>
      <c r="R688" s="577"/>
      <c r="S688" s="577"/>
      <c r="T688" s="577"/>
      <c r="U688" s="577"/>
      <c r="V688" s="577"/>
      <c r="W688" s="577"/>
      <c r="X688" s="577"/>
      <c r="Y688" s="577"/>
      <c r="Z688" s="577"/>
      <c r="AA688" s="577"/>
      <c r="AB688" s="577"/>
      <c r="AC688" s="577"/>
      <c r="AD688" s="577"/>
      <c r="AE688" s="577"/>
      <c r="AF688" s="6"/>
    </row>
    <row r="689" ht="12.75" customHeight="1">
      <c r="A689" s="595"/>
      <c r="B689" s="596"/>
      <c r="C689" s="596"/>
      <c r="D689" s="596"/>
      <c r="E689" s="596"/>
      <c r="F689" s="596"/>
      <c r="G689" s="596"/>
      <c r="H689" s="596"/>
      <c r="I689" s="596"/>
      <c r="J689" s="577"/>
      <c r="K689" s="577"/>
      <c r="L689" s="577"/>
      <c r="M689" s="577"/>
      <c r="N689" s="577"/>
      <c r="O689" s="577"/>
      <c r="P689" s="577"/>
      <c r="Q689" s="577"/>
      <c r="R689" s="577"/>
      <c r="S689" s="577"/>
      <c r="T689" s="577"/>
      <c r="U689" s="577"/>
      <c r="V689" s="577"/>
      <c r="W689" s="577"/>
      <c r="X689" s="577"/>
      <c r="Y689" s="577"/>
      <c r="Z689" s="577"/>
      <c r="AA689" s="577"/>
      <c r="AB689" s="577"/>
      <c r="AC689" s="577"/>
      <c r="AD689" s="577"/>
      <c r="AE689" s="577"/>
      <c r="AF689" s="6"/>
    </row>
    <row r="690" ht="12.75" customHeight="1">
      <c r="A690" s="595"/>
      <c r="B690" s="596"/>
      <c r="C690" s="596"/>
      <c r="D690" s="596"/>
      <c r="E690" s="596"/>
      <c r="F690" s="596"/>
      <c r="G690" s="596"/>
      <c r="H690" s="596"/>
      <c r="I690" s="596"/>
      <c r="J690" s="577"/>
      <c r="K690" s="577"/>
      <c r="L690" s="577"/>
      <c r="M690" s="577"/>
      <c r="N690" s="577"/>
      <c r="O690" s="577"/>
      <c r="P690" s="577"/>
      <c r="Q690" s="577"/>
      <c r="R690" s="577"/>
      <c r="S690" s="577"/>
      <c r="T690" s="577"/>
      <c r="U690" s="577"/>
      <c r="V690" s="577"/>
      <c r="W690" s="577"/>
      <c r="X690" s="577"/>
      <c r="Y690" s="577"/>
      <c r="Z690" s="577"/>
      <c r="AA690" s="577"/>
      <c r="AB690" s="577"/>
      <c r="AC690" s="577"/>
      <c r="AD690" s="577"/>
      <c r="AE690" s="577"/>
      <c r="AF690" s="6"/>
    </row>
    <row r="691" ht="12.75" customHeight="1">
      <c r="A691" s="595"/>
      <c r="B691" s="596"/>
      <c r="C691" s="596"/>
      <c r="D691" s="596"/>
      <c r="E691" s="596"/>
      <c r="F691" s="596"/>
      <c r="G691" s="596"/>
      <c r="H691" s="596"/>
      <c r="I691" s="596"/>
      <c r="J691" s="577"/>
      <c r="K691" s="577"/>
      <c r="L691" s="577"/>
      <c r="M691" s="577"/>
      <c r="N691" s="577"/>
      <c r="O691" s="577"/>
      <c r="P691" s="577"/>
      <c r="Q691" s="577"/>
      <c r="R691" s="577"/>
      <c r="S691" s="577"/>
      <c r="T691" s="577"/>
      <c r="U691" s="577"/>
      <c r="V691" s="577"/>
      <c r="W691" s="577"/>
      <c r="X691" s="577"/>
      <c r="Y691" s="577"/>
      <c r="Z691" s="577"/>
      <c r="AA691" s="577"/>
      <c r="AB691" s="577"/>
      <c r="AC691" s="577"/>
      <c r="AD691" s="577"/>
      <c r="AE691" s="577"/>
      <c r="AF691" s="6"/>
    </row>
    <row r="692" ht="12.75" customHeight="1">
      <c r="A692" s="595"/>
      <c r="B692" s="596"/>
      <c r="C692" s="596"/>
      <c r="D692" s="596"/>
      <c r="E692" s="596"/>
      <c r="F692" s="596"/>
      <c r="G692" s="596"/>
      <c r="H692" s="596"/>
      <c r="I692" s="596"/>
      <c r="J692" s="577"/>
      <c r="K692" s="577"/>
      <c r="L692" s="577"/>
      <c r="M692" s="577"/>
      <c r="N692" s="577"/>
      <c r="O692" s="577"/>
      <c r="P692" s="577"/>
      <c r="Q692" s="577"/>
      <c r="R692" s="577"/>
      <c r="S692" s="577"/>
      <c r="T692" s="577"/>
      <c r="U692" s="577"/>
      <c r="V692" s="577"/>
      <c r="W692" s="577"/>
      <c r="X692" s="577"/>
      <c r="Y692" s="577"/>
      <c r="Z692" s="577"/>
      <c r="AA692" s="577"/>
      <c r="AB692" s="577"/>
      <c r="AC692" s="577"/>
      <c r="AD692" s="577"/>
      <c r="AE692" s="577"/>
      <c r="AF692" s="6"/>
    </row>
    <row r="693" ht="12.75" customHeight="1">
      <c r="A693" s="595"/>
      <c r="B693" s="596"/>
      <c r="C693" s="596"/>
      <c r="D693" s="596"/>
      <c r="E693" s="596"/>
      <c r="F693" s="596"/>
      <c r="G693" s="596"/>
      <c r="H693" s="596"/>
      <c r="I693" s="596"/>
      <c r="J693" s="577"/>
      <c r="K693" s="577"/>
      <c r="L693" s="577"/>
      <c r="M693" s="577"/>
      <c r="N693" s="577"/>
      <c r="O693" s="577"/>
      <c r="P693" s="577"/>
      <c r="Q693" s="577"/>
      <c r="R693" s="577"/>
      <c r="S693" s="577"/>
      <c r="T693" s="577"/>
      <c r="U693" s="577"/>
      <c r="V693" s="577"/>
      <c r="W693" s="577"/>
      <c r="X693" s="577"/>
      <c r="Y693" s="577"/>
      <c r="Z693" s="577"/>
      <c r="AA693" s="577"/>
      <c r="AB693" s="577"/>
      <c r="AC693" s="577"/>
      <c r="AD693" s="577"/>
      <c r="AE693" s="577"/>
      <c r="AF693" s="6"/>
    </row>
    <row r="694" ht="12.75" customHeight="1">
      <c r="A694" s="595"/>
      <c r="B694" s="596"/>
      <c r="C694" s="596"/>
      <c r="D694" s="596"/>
      <c r="E694" s="596"/>
      <c r="F694" s="596"/>
      <c r="G694" s="596"/>
      <c r="H694" s="596"/>
      <c r="I694" s="596"/>
      <c r="J694" s="577"/>
      <c r="K694" s="577"/>
      <c r="L694" s="577"/>
      <c r="M694" s="577"/>
      <c r="N694" s="577"/>
      <c r="O694" s="577"/>
      <c r="P694" s="577"/>
      <c r="Q694" s="577"/>
      <c r="R694" s="577"/>
      <c r="S694" s="577"/>
      <c r="T694" s="577"/>
      <c r="U694" s="577"/>
      <c r="V694" s="577"/>
      <c r="W694" s="577"/>
      <c r="X694" s="577"/>
      <c r="Y694" s="577"/>
      <c r="Z694" s="577"/>
      <c r="AA694" s="577"/>
      <c r="AB694" s="577"/>
      <c r="AC694" s="577"/>
      <c r="AD694" s="577"/>
      <c r="AE694" s="577"/>
      <c r="AF694" s="6"/>
    </row>
    <row r="695" ht="12.75" customHeight="1">
      <c r="A695" s="595"/>
      <c r="B695" s="596"/>
      <c r="C695" s="596"/>
      <c r="D695" s="596"/>
      <c r="E695" s="596"/>
      <c r="F695" s="596"/>
      <c r="G695" s="596"/>
      <c r="H695" s="596"/>
      <c r="I695" s="596"/>
      <c r="J695" s="577"/>
      <c r="K695" s="577"/>
      <c r="L695" s="577"/>
      <c r="M695" s="577"/>
      <c r="N695" s="577"/>
      <c r="O695" s="577"/>
      <c r="P695" s="577"/>
      <c r="Q695" s="577"/>
      <c r="R695" s="577"/>
      <c r="S695" s="577"/>
      <c r="T695" s="577"/>
      <c r="U695" s="577"/>
      <c r="V695" s="577"/>
      <c r="W695" s="577"/>
      <c r="X695" s="577"/>
      <c r="Y695" s="577"/>
      <c r="Z695" s="577"/>
      <c r="AA695" s="577"/>
      <c r="AB695" s="577"/>
      <c r="AC695" s="577"/>
      <c r="AD695" s="577"/>
      <c r="AE695" s="577"/>
      <c r="AF695" s="6"/>
    </row>
    <row r="696" ht="12.75" customHeight="1">
      <c r="A696" s="595"/>
      <c r="B696" s="596"/>
      <c r="C696" s="596"/>
      <c r="D696" s="596"/>
      <c r="E696" s="596"/>
      <c r="F696" s="596"/>
      <c r="G696" s="596"/>
      <c r="H696" s="596"/>
      <c r="I696" s="596"/>
      <c r="J696" s="577"/>
      <c r="K696" s="577"/>
      <c r="L696" s="577"/>
      <c r="M696" s="577"/>
      <c r="N696" s="577"/>
      <c r="O696" s="577"/>
      <c r="P696" s="577"/>
      <c r="Q696" s="577"/>
      <c r="R696" s="577"/>
      <c r="S696" s="577"/>
      <c r="T696" s="577"/>
      <c r="U696" s="577"/>
      <c r="V696" s="577"/>
      <c r="W696" s="577"/>
      <c r="X696" s="577"/>
      <c r="Y696" s="577"/>
      <c r="Z696" s="577"/>
      <c r="AA696" s="577"/>
      <c r="AB696" s="577"/>
      <c r="AC696" s="577"/>
      <c r="AD696" s="577"/>
      <c r="AE696" s="577"/>
      <c r="AF696" s="6"/>
    </row>
    <row r="697" ht="12.75" customHeight="1">
      <c r="A697" s="595"/>
      <c r="B697" s="596"/>
      <c r="C697" s="596"/>
      <c r="D697" s="596"/>
      <c r="E697" s="596"/>
      <c r="F697" s="596"/>
      <c r="G697" s="596"/>
      <c r="H697" s="596"/>
      <c r="I697" s="596"/>
      <c r="J697" s="577"/>
      <c r="K697" s="577"/>
      <c r="L697" s="577"/>
      <c r="M697" s="577"/>
      <c r="N697" s="577"/>
      <c r="O697" s="577"/>
      <c r="P697" s="577"/>
      <c r="Q697" s="577"/>
      <c r="R697" s="577"/>
      <c r="S697" s="577"/>
      <c r="T697" s="577"/>
      <c r="U697" s="577"/>
      <c r="V697" s="577"/>
      <c r="W697" s="577"/>
      <c r="X697" s="577"/>
      <c r="Y697" s="577"/>
      <c r="Z697" s="577"/>
      <c r="AA697" s="577"/>
      <c r="AB697" s="577"/>
      <c r="AC697" s="577"/>
      <c r="AD697" s="577"/>
      <c r="AE697" s="577"/>
      <c r="AF697" s="6"/>
    </row>
    <row r="698" ht="12.75" customHeight="1">
      <c r="A698" s="595"/>
      <c r="B698" s="596"/>
      <c r="C698" s="596"/>
      <c r="D698" s="596"/>
      <c r="E698" s="596"/>
      <c r="F698" s="596"/>
      <c r="G698" s="596"/>
      <c r="H698" s="596"/>
      <c r="I698" s="596"/>
      <c r="J698" s="577"/>
      <c r="K698" s="577"/>
      <c r="L698" s="577"/>
      <c r="M698" s="577"/>
      <c r="N698" s="577"/>
      <c r="O698" s="577"/>
      <c r="P698" s="577"/>
      <c r="Q698" s="577"/>
      <c r="R698" s="577"/>
      <c r="S698" s="577"/>
      <c r="T698" s="577"/>
      <c r="U698" s="577"/>
      <c r="V698" s="577"/>
      <c r="W698" s="577"/>
      <c r="X698" s="577"/>
      <c r="Y698" s="577"/>
      <c r="Z698" s="577"/>
      <c r="AA698" s="577"/>
      <c r="AB698" s="577"/>
      <c r="AC698" s="577"/>
      <c r="AD698" s="577"/>
      <c r="AE698" s="577"/>
      <c r="AF698" s="6"/>
    </row>
    <row r="699" ht="12.75" customHeight="1">
      <c r="A699" s="595"/>
      <c r="B699" s="596"/>
      <c r="C699" s="596"/>
      <c r="D699" s="596"/>
      <c r="E699" s="596"/>
      <c r="F699" s="596"/>
      <c r="G699" s="596"/>
      <c r="H699" s="596"/>
      <c r="I699" s="596"/>
      <c r="J699" s="577"/>
      <c r="K699" s="577"/>
      <c r="L699" s="577"/>
      <c r="M699" s="577"/>
      <c r="N699" s="577"/>
      <c r="O699" s="577"/>
      <c r="P699" s="577"/>
      <c r="Q699" s="577"/>
      <c r="R699" s="577"/>
      <c r="S699" s="577"/>
      <c r="T699" s="577"/>
      <c r="U699" s="577"/>
      <c r="V699" s="577"/>
      <c r="W699" s="577"/>
      <c r="X699" s="577"/>
      <c r="Y699" s="577"/>
      <c r="Z699" s="577"/>
      <c r="AA699" s="577"/>
      <c r="AB699" s="577"/>
      <c r="AC699" s="577"/>
      <c r="AD699" s="577"/>
      <c r="AE699" s="577"/>
      <c r="AF699" s="6"/>
    </row>
    <row r="700" ht="12.75" customHeight="1">
      <c r="A700" s="595"/>
      <c r="B700" s="596"/>
      <c r="C700" s="596"/>
      <c r="D700" s="596"/>
      <c r="E700" s="596"/>
      <c r="F700" s="596"/>
      <c r="G700" s="596"/>
      <c r="H700" s="596"/>
      <c r="I700" s="596"/>
      <c r="J700" s="577"/>
      <c r="K700" s="577"/>
      <c r="L700" s="577"/>
      <c r="M700" s="577"/>
      <c r="N700" s="577"/>
      <c r="O700" s="577"/>
      <c r="P700" s="577"/>
      <c r="Q700" s="577"/>
      <c r="R700" s="577"/>
      <c r="S700" s="577"/>
      <c r="T700" s="577"/>
      <c r="U700" s="577"/>
      <c r="V700" s="577"/>
      <c r="W700" s="577"/>
      <c r="X700" s="577"/>
      <c r="Y700" s="577"/>
      <c r="Z700" s="577"/>
      <c r="AA700" s="577"/>
      <c r="AB700" s="577"/>
      <c r="AC700" s="577"/>
      <c r="AD700" s="577"/>
      <c r="AE700" s="577"/>
      <c r="AF700" s="6"/>
    </row>
    <row r="701" ht="12.75" customHeight="1">
      <c r="A701" s="595"/>
      <c r="B701" s="596"/>
      <c r="C701" s="596"/>
      <c r="D701" s="596"/>
      <c r="E701" s="596"/>
      <c r="F701" s="596"/>
      <c r="G701" s="596"/>
      <c r="H701" s="596"/>
      <c r="I701" s="596"/>
      <c r="J701" s="577"/>
      <c r="K701" s="577"/>
      <c r="L701" s="577"/>
      <c r="M701" s="577"/>
      <c r="N701" s="577"/>
      <c r="O701" s="577"/>
      <c r="P701" s="577"/>
      <c r="Q701" s="577"/>
      <c r="R701" s="577"/>
      <c r="S701" s="577"/>
      <c r="T701" s="577"/>
      <c r="U701" s="577"/>
      <c r="V701" s="577"/>
      <c r="W701" s="577"/>
      <c r="X701" s="577"/>
      <c r="Y701" s="577"/>
      <c r="Z701" s="577"/>
      <c r="AA701" s="577"/>
      <c r="AB701" s="577"/>
      <c r="AC701" s="577"/>
      <c r="AD701" s="577"/>
      <c r="AE701" s="577"/>
      <c r="AF701" s="6"/>
    </row>
    <row r="702" ht="12.75" customHeight="1">
      <c r="A702" s="595"/>
      <c r="B702" s="596"/>
      <c r="C702" s="596"/>
      <c r="D702" s="596"/>
      <c r="E702" s="596"/>
      <c r="F702" s="596"/>
      <c r="G702" s="596"/>
      <c r="H702" s="596"/>
      <c r="I702" s="596"/>
      <c r="J702" s="577"/>
      <c r="K702" s="577"/>
      <c r="L702" s="577"/>
      <c r="M702" s="577"/>
      <c r="N702" s="577"/>
      <c r="O702" s="577"/>
      <c r="P702" s="577"/>
      <c r="Q702" s="577"/>
      <c r="R702" s="577"/>
      <c r="S702" s="577"/>
      <c r="T702" s="577"/>
      <c r="U702" s="577"/>
      <c r="V702" s="577"/>
      <c r="W702" s="577"/>
      <c r="X702" s="577"/>
      <c r="Y702" s="577"/>
      <c r="Z702" s="577"/>
      <c r="AA702" s="577"/>
      <c r="AB702" s="577"/>
      <c r="AC702" s="577"/>
      <c r="AD702" s="577"/>
      <c r="AE702" s="577"/>
      <c r="AF702" s="6"/>
    </row>
    <row r="703" ht="12.75" customHeight="1">
      <c r="A703" s="595"/>
      <c r="B703" s="596"/>
      <c r="C703" s="596"/>
      <c r="D703" s="596"/>
      <c r="E703" s="596"/>
      <c r="F703" s="596"/>
      <c r="G703" s="596"/>
      <c r="H703" s="596"/>
      <c r="I703" s="596"/>
      <c r="J703" s="577"/>
      <c r="K703" s="577"/>
      <c r="L703" s="577"/>
      <c r="M703" s="577"/>
      <c r="N703" s="577"/>
      <c r="O703" s="577"/>
      <c r="P703" s="577"/>
      <c r="Q703" s="577"/>
      <c r="R703" s="577"/>
      <c r="S703" s="577"/>
      <c r="T703" s="577"/>
      <c r="U703" s="577"/>
      <c r="V703" s="577"/>
      <c r="W703" s="577"/>
      <c r="X703" s="577"/>
      <c r="Y703" s="577"/>
      <c r="Z703" s="577"/>
      <c r="AA703" s="577"/>
      <c r="AB703" s="577"/>
      <c r="AC703" s="577"/>
      <c r="AD703" s="577"/>
      <c r="AE703" s="577"/>
      <c r="AF703" s="6"/>
    </row>
    <row r="704" ht="12.75" customHeight="1">
      <c r="A704" s="595"/>
      <c r="B704" s="596"/>
      <c r="C704" s="596"/>
      <c r="D704" s="596"/>
      <c r="E704" s="596"/>
      <c r="F704" s="596"/>
      <c r="G704" s="596"/>
      <c r="H704" s="596"/>
      <c r="I704" s="596"/>
      <c r="J704" s="577"/>
      <c r="K704" s="577"/>
      <c r="L704" s="577"/>
      <c r="M704" s="577"/>
      <c r="N704" s="577"/>
      <c r="O704" s="577"/>
      <c r="P704" s="577"/>
      <c r="Q704" s="577"/>
      <c r="R704" s="577"/>
      <c r="S704" s="577"/>
      <c r="T704" s="577"/>
      <c r="U704" s="577"/>
      <c r="V704" s="577"/>
      <c r="W704" s="577"/>
      <c r="X704" s="577"/>
      <c r="Y704" s="577"/>
      <c r="Z704" s="577"/>
      <c r="AA704" s="577"/>
      <c r="AB704" s="577"/>
      <c r="AC704" s="577"/>
      <c r="AD704" s="577"/>
      <c r="AE704" s="577"/>
      <c r="AF704" s="6"/>
    </row>
    <row r="705" ht="12.75" customHeight="1">
      <c r="A705" s="595"/>
      <c r="B705" s="596"/>
      <c r="C705" s="596"/>
      <c r="D705" s="596"/>
      <c r="E705" s="596"/>
      <c r="F705" s="596"/>
      <c r="G705" s="596"/>
      <c r="H705" s="596"/>
      <c r="I705" s="596"/>
      <c r="J705" s="577"/>
      <c r="K705" s="577"/>
      <c r="L705" s="577"/>
      <c r="M705" s="577"/>
      <c r="N705" s="577"/>
      <c r="O705" s="577"/>
      <c r="P705" s="577"/>
      <c r="Q705" s="577"/>
      <c r="R705" s="577"/>
      <c r="S705" s="577"/>
      <c r="T705" s="577"/>
      <c r="U705" s="577"/>
      <c r="V705" s="577"/>
      <c r="W705" s="577"/>
      <c r="X705" s="577"/>
      <c r="Y705" s="577"/>
      <c r="Z705" s="577"/>
      <c r="AA705" s="577"/>
      <c r="AB705" s="577"/>
      <c r="AC705" s="577"/>
      <c r="AD705" s="577"/>
      <c r="AE705" s="577"/>
      <c r="AF705" s="6"/>
    </row>
    <row r="706" ht="12.75" customHeight="1">
      <c r="A706" s="595"/>
      <c r="B706" s="596"/>
      <c r="C706" s="596"/>
      <c r="D706" s="596"/>
      <c r="E706" s="596"/>
      <c r="F706" s="596"/>
      <c r="G706" s="596"/>
      <c r="H706" s="596"/>
      <c r="I706" s="596"/>
      <c r="J706" s="577"/>
      <c r="K706" s="577"/>
      <c r="L706" s="577"/>
      <c r="M706" s="577"/>
      <c r="N706" s="577"/>
      <c r="O706" s="577"/>
      <c r="P706" s="577"/>
      <c r="Q706" s="577"/>
      <c r="R706" s="577"/>
      <c r="S706" s="577"/>
      <c r="T706" s="577"/>
      <c r="U706" s="577"/>
      <c r="V706" s="577"/>
      <c r="W706" s="577"/>
      <c r="X706" s="577"/>
      <c r="Y706" s="577"/>
      <c r="Z706" s="577"/>
      <c r="AA706" s="577"/>
      <c r="AB706" s="577"/>
      <c r="AC706" s="577"/>
      <c r="AD706" s="577"/>
      <c r="AE706" s="577"/>
      <c r="AF706" s="6"/>
    </row>
    <row r="707" ht="12.75" customHeight="1">
      <c r="A707" s="595"/>
      <c r="B707" s="596"/>
      <c r="C707" s="596"/>
      <c r="D707" s="596"/>
      <c r="E707" s="596"/>
      <c r="F707" s="596"/>
      <c r="G707" s="596"/>
      <c r="H707" s="596"/>
      <c r="I707" s="596"/>
      <c r="J707" s="577"/>
      <c r="K707" s="577"/>
      <c r="L707" s="577"/>
      <c r="M707" s="577"/>
      <c r="N707" s="577"/>
      <c r="O707" s="577"/>
      <c r="P707" s="577"/>
      <c r="Q707" s="577"/>
      <c r="R707" s="577"/>
      <c r="S707" s="577"/>
      <c r="T707" s="577"/>
      <c r="U707" s="577"/>
      <c r="V707" s="577"/>
      <c r="W707" s="577"/>
      <c r="X707" s="577"/>
      <c r="Y707" s="577"/>
      <c r="Z707" s="577"/>
      <c r="AA707" s="577"/>
      <c r="AB707" s="577"/>
      <c r="AC707" s="577"/>
      <c r="AD707" s="577"/>
      <c r="AE707" s="577"/>
      <c r="AF707" s="6"/>
    </row>
    <row r="708" ht="12.75" customHeight="1">
      <c r="A708" s="595"/>
      <c r="B708" s="596"/>
      <c r="C708" s="596"/>
      <c r="D708" s="596"/>
      <c r="E708" s="596"/>
      <c r="F708" s="596"/>
      <c r="G708" s="596"/>
      <c r="H708" s="596"/>
      <c r="I708" s="596"/>
      <c r="J708" s="577"/>
      <c r="K708" s="577"/>
      <c r="L708" s="577"/>
      <c r="M708" s="577"/>
      <c r="N708" s="577"/>
      <c r="O708" s="577"/>
      <c r="P708" s="577"/>
      <c r="Q708" s="577"/>
      <c r="R708" s="577"/>
      <c r="S708" s="577"/>
      <c r="T708" s="577"/>
      <c r="U708" s="577"/>
      <c r="V708" s="577"/>
      <c r="W708" s="577"/>
      <c r="X708" s="577"/>
      <c r="Y708" s="577"/>
      <c r="Z708" s="577"/>
      <c r="AA708" s="577"/>
      <c r="AB708" s="577"/>
      <c r="AC708" s="577"/>
      <c r="AD708" s="577"/>
      <c r="AE708" s="577"/>
      <c r="AF708" s="6"/>
    </row>
    <row r="709" ht="12.75" customHeight="1">
      <c r="A709" s="595"/>
      <c r="B709" s="596"/>
      <c r="C709" s="596"/>
      <c r="D709" s="596"/>
      <c r="E709" s="596"/>
      <c r="F709" s="596"/>
      <c r="G709" s="596"/>
      <c r="H709" s="596"/>
      <c r="I709" s="596"/>
      <c r="J709" s="577"/>
      <c r="K709" s="577"/>
      <c r="L709" s="577"/>
      <c r="M709" s="577"/>
      <c r="N709" s="577"/>
      <c r="O709" s="577"/>
      <c r="P709" s="577"/>
      <c r="Q709" s="577"/>
      <c r="R709" s="577"/>
      <c r="S709" s="577"/>
      <c r="T709" s="577"/>
      <c r="U709" s="577"/>
      <c r="V709" s="577"/>
      <c r="W709" s="577"/>
      <c r="X709" s="577"/>
      <c r="Y709" s="577"/>
      <c r="Z709" s="577"/>
      <c r="AA709" s="577"/>
      <c r="AB709" s="577"/>
      <c r="AC709" s="577"/>
      <c r="AD709" s="577"/>
      <c r="AE709" s="577"/>
      <c r="AF709" s="6"/>
    </row>
    <row r="710" ht="12.75" customHeight="1">
      <c r="A710" s="595"/>
      <c r="B710" s="596"/>
      <c r="C710" s="596"/>
      <c r="D710" s="596"/>
      <c r="E710" s="596"/>
      <c r="F710" s="596"/>
      <c r="G710" s="596"/>
      <c r="H710" s="596"/>
      <c r="I710" s="596"/>
      <c r="J710" s="577"/>
      <c r="K710" s="577"/>
      <c r="L710" s="577"/>
      <c r="M710" s="577"/>
      <c r="N710" s="577"/>
      <c r="O710" s="577"/>
      <c r="P710" s="577"/>
      <c r="Q710" s="577"/>
      <c r="R710" s="577"/>
      <c r="S710" s="577"/>
      <c r="T710" s="577"/>
      <c r="U710" s="577"/>
      <c r="V710" s="577"/>
      <c r="W710" s="577"/>
      <c r="X710" s="577"/>
      <c r="Y710" s="577"/>
      <c r="Z710" s="577"/>
      <c r="AA710" s="577"/>
      <c r="AB710" s="577"/>
      <c r="AC710" s="577"/>
      <c r="AD710" s="577"/>
      <c r="AE710" s="577"/>
      <c r="AF710" s="6"/>
    </row>
    <row r="711" ht="12.75" customHeight="1">
      <c r="A711" s="595"/>
      <c r="B711" s="596"/>
      <c r="C711" s="596"/>
      <c r="D711" s="596"/>
      <c r="E711" s="596"/>
      <c r="F711" s="596"/>
      <c r="G711" s="596"/>
      <c r="H711" s="596"/>
      <c r="I711" s="596"/>
      <c r="J711" s="577"/>
      <c r="K711" s="577"/>
      <c r="L711" s="577"/>
      <c r="M711" s="577"/>
      <c r="N711" s="577"/>
      <c r="O711" s="577"/>
      <c r="P711" s="577"/>
      <c r="Q711" s="577"/>
      <c r="R711" s="577"/>
      <c r="S711" s="577"/>
      <c r="T711" s="577"/>
      <c r="U711" s="577"/>
      <c r="V711" s="577"/>
      <c r="W711" s="577"/>
      <c r="X711" s="577"/>
      <c r="Y711" s="577"/>
      <c r="Z711" s="577"/>
      <c r="AA711" s="577"/>
      <c r="AB711" s="577"/>
      <c r="AC711" s="577"/>
      <c r="AD711" s="577"/>
      <c r="AE711" s="577"/>
      <c r="AF711" s="6"/>
    </row>
    <row r="712" ht="12.75" customHeight="1">
      <c r="A712" s="595"/>
      <c r="B712" s="596"/>
      <c r="C712" s="596"/>
      <c r="D712" s="596"/>
      <c r="E712" s="596"/>
      <c r="F712" s="596"/>
      <c r="G712" s="596"/>
      <c r="H712" s="596"/>
      <c r="I712" s="596"/>
      <c r="J712" s="577"/>
      <c r="K712" s="577"/>
      <c r="L712" s="577"/>
      <c r="M712" s="577"/>
      <c r="N712" s="577"/>
      <c r="O712" s="577"/>
      <c r="P712" s="577"/>
      <c r="Q712" s="577"/>
      <c r="R712" s="577"/>
      <c r="S712" s="577"/>
      <c r="T712" s="577"/>
      <c r="U712" s="577"/>
      <c r="V712" s="577"/>
      <c r="W712" s="577"/>
      <c r="X712" s="577"/>
      <c r="Y712" s="577"/>
      <c r="Z712" s="577"/>
      <c r="AA712" s="577"/>
      <c r="AB712" s="577"/>
      <c r="AC712" s="577"/>
      <c r="AD712" s="577"/>
      <c r="AE712" s="577"/>
      <c r="AF712" s="6"/>
    </row>
    <row r="713" ht="12.75" customHeight="1">
      <c r="A713" s="595"/>
      <c r="B713" s="596"/>
      <c r="C713" s="596"/>
      <c r="D713" s="596"/>
      <c r="E713" s="596"/>
      <c r="F713" s="596"/>
      <c r="G713" s="596"/>
      <c r="H713" s="596"/>
      <c r="I713" s="596"/>
      <c r="J713" s="577"/>
      <c r="K713" s="577"/>
      <c r="L713" s="577"/>
      <c r="M713" s="577"/>
      <c r="N713" s="577"/>
      <c r="O713" s="577"/>
      <c r="P713" s="577"/>
      <c r="Q713" s="577"/>
      <c r="R713" s="577"/>
      <c r="S713" s="577"/>
      <c r="T713" s="577"/>
      <c r="U713" s="577"/>
      <c r="V713" s="577"/>
      <c r="W713" s="577"/>
      <c r="X713" s="577"/>
      <c r="Y713" s="577"/>
      <c r="Z713" s="577"/>
      <c r="AA713" s="577"/>
      <c r="AB713" s="577"/>
      <c r="AC713" s="577"/>
      <c r="AD713" s="577"/>
      <c r="AE713" s="577"/>
      <c r="AF713" s="6"/>
    </row>
    <row r="714" ht="12.75" customHeight="1">
      <c r="A714" s="595"/>
      <c r="B714" s="596"/>
      <c r="C714" s="596"/>
      <c r="D714" s="596"/>
      <c r="E714" s="596"/>
      <c r="F714" s="596"/>
      <c r="G714" s="596"/>
      <c r="H714" s="596"/>
      <c r="I714" s="596"/>
      <c r="J714" s="577"/>
      <c r="K714" s="577"/>
      <c r="L714" s="577"/>
      <c r="M714" s="577"/>
      <c r="N714" s="577"/>
      <c r="O714" s="577"/>
      <c r="P714" s="577"/>
      <c r="Q714" s="577"/>
      <c r="R714" s="577"/>
      <c r="S714" s="577"/>
      <c r="T714" s="577"/>
      <c r="U714" s="577"/>
      <c r="V714" s="577"/>
      <c r="W714" s="577"/>
      <c r="X714" s="577"/>
      <c r="Y714" s="577"/>
      <c r="Z714" s="577"/>
      <c r="AA714" s="577"/>
      <c r="AB714" s="577"/>
      <c r="AC714" s="577"/>
      <c r="AD714" s="577"/>
      <c r="AE714" s="577"/>
      <c r="AF714" s="6"/>
    </row>
    <row r="715" ht="12.75" customHeight="1">
      <c r="A715" s="595"/>
      <c r="B715" s="596"/>
      <c r="C715" s="596"/>
      <c r="D715" s="596"/>
      <c r="E715" s="596"/>
      <c r="F715" s="596"/>
      <c r="G715" s="596"/>
      <c r="H715" s="596"/>
      <c r="I715" s="596"/>
      <c r="J715" s="577"/>
      <c r="K715" s="577"/>
      <c r="L715" s="577"/>
      <c r="M715" s="577"/>
      <c r="N715" s="577"/>
      <c r="O715" s="577"/>
      <c r="P715" s="577"/>
      <c r="Q715" s="577"/>
      <c r="R715" s="577"/>
      <c r="S715" s="577"/>
      <c r="T715" s="577"/>
      <c r="U715" s="577"/>
      <c r="V715" s="577"/>
      <c r="W715" s="577"/>
      <c r="X715" s="577"/>
      <c r="Y715" s="577"/>
      <c r="Z715" s="577"/>
      <c r="AA715" s="577"/>
      <c r="AB715" s="577"/>
      <c r="AC715" s="577"/>
      <c r="AD715" s="577"/>
      <c r="AE715" s="577"/>
      <c r="AF715" s="6"/>
    </row>
    <row r="716" ht="12.75" customHeight="1">
      <c r="A716" s="595"/>
      <c r="B716" s="596"/>
      <c r="C716" s="596"/>
      <c r="D716" s="596"/>
      <c r="E716" s="596"/>
      <c r="F716" s="596"/>
      <c r="G716" s="596"/>
      <c r="H716" s="596"/>
      <c r="I716" s="596"/>
      <c r="J716" s="577"/>
      <c r="K716" s="577"/>
      <c r="L716" s="577"/>
      <c r="M716" s="577"/>
      <c r="N716" s="577"/>
      <c r="O716" s="577"/>
      <c r="P716" s="577"/>
      <c r="Q716" s="577"/>
      <c r="R716" s="577"/>
      <c r="S716" s="577"/>
      <c r="T716" s="577"/>
      <c r="U716" s="577"/>
      <c r="V716" s="577"/>
      <c r="W716" s="577"/>
      <c r="X716" s="577"/>
      <c r="Y716" s="577"/>
      <c r="Z716" s="577"/>
      <c r="AA716" s="577"/>
      <c r="AB716" s="577"/>
      <c r="AC716" s="577"/>
      <c r="AD716" s="577"/>
      <c r="AE716" s="577"/>
      <c r="AF716" s="6"/>
    </row>
    <row r="717" ht="12.75" customHeight="1">
      <c r="A717" s="595"/>
      <c r="B717" s="596"/>
      <c r="C717" s="596"/>
      <c r="D717" s="596"/>
      <c r="E717" s="596"/>
      <c r="F717" s="596"/>
      <c r="G717" s="596"/>
      <c r="H717" s="596"/>
      <c r="I717" s="596"/>
      <c r="J717" s="577"/>
      <c r="K717" s="577"/>
      <c r="L717" s="577"/>
      <c r="M717" s="577"/>
      <c r="N717" s="577"/>
      <c r="O717" s="577"/>
      <c r="P717" s="577"/>
      <c r="Q717" s="577"/>
      <c r="R717" s="577"/>
      <c r="S717" s="577"/>
      <c r="T717" s="577"/>
      <c r="U717" s="577"/>
      <c r="V717" s="577"/>
      <c r="W717" s="577"/>
      <c r="X717" s="577"/>
      <c r="Y717" s="577"/>
      <c r="Z717" s="577"/>
      <c r="AA717" s="577"/>
      <c r="AB717" s="577"/>
      <c r="AC717" s="577"/>
      <c r="AD717" s="577"/>
      <c r="AE717" s="577"/>
      <c r="AF717" s="6"/>
    </row>
    <row r="718" ht="12.75" customHeight="1">
      <c r="A718" s="595"/>
      <c r="B718" s="596"/>
      <c r="C718" s="596"/>
      <c r="D718" s="596"/>
      <c r="E718" s="596"/>
      <c r="F718" s="596"/>
      <c r="G718" s="596"/>
      <c r="H718" s="596"/>
      <c r="I718" s="596"/>
      <c r="J718" s="577"/>
      <c r="K718" s="577"/>
      <c r="L718" s="577"/>
      <c r="M718" s="577"/>
      <c r="N718" s="577"/>
      <c r="O718" s="577"/>
      <c r="P718" s="577"/>
      <c r="Q718" s="577"/>
      <c r="R718" s="577"/>
      <c r="S718" s="577"/>
      <c r="T718" s="577"/>
      <c r="U718" s="577"/>
      <c r="V718" s="577"/>
      <c r="W718" s="577"/>
      <c r="X718" s="577"/>
      <c r="Y718" s="577"/>
      <c r="Z718" s="577"/>
      <c r="AA718" s="577"/>
      <c r="AB718" s="577"/>
      <c r="AC718" s="577"/>
      <c r="AD718" s="577"/>
      <c r="AE718" s="577"/>
      <c r="AF718" s="6"/>
    </row>
    <row r="719" ht="12.75" customHeight="1">
      <c r="A719" s="595"/>
      <c r="B719" s="596"/>
      <c r="C719" s="596"/>
      <c r="D719" s="596"/>
      <c r="E719" s="596"/>
      <c r="F719" s="596"/>
      <c r="G719" s="596"/>
      <c r="H719" s="596"/>
      <c r="I719" s="596"/>
      <c r="J719" s="577"/>
      <c r="K719" s="577"/>
      <c r="L719" s="577"/>
      <c r="M719" s="577"/>
      <c r="N719" s="577"/>
      <c r="O719" s="577"/>
      <c r="P719" s="577"/>
      <c r="Q719" s="577"/>
      <c r="R719" s="577"/>
      <c r="S719" s="577"/>
      <c r="T719" s="577"/>
      <c r="U719" s="577"/>
      <c r="V719" s="577"/>
      <c r="W719" s="577"/>
      <c r="X719" s="577"/>
      <c r="Y719" s="577"/>
      <c r="Z719" s="577"/>
      <c r="AA719" s="577"/>
      <c r="AB719" s="577"/>
      <c r="AC719" s="577"/>
      <c r="AD719" s="577"/>
      <c r="AE719" s="577"/>
      <c r="AF719" s="6"/>
    </row>
    <row r="720" ht="12.75" customHeight="1">
      <c r="A720" s="595"/>
      <c r="B720" s="596"/>
      <c r="C720" s="596"/>
      <c r="D720" s="596"/>
      <c r="E720" s="596"/>
      <c r="F720" s="596"/>
      <c r="G720" s="596"/>
      <c r="H720" s="596"/>
      <c r="I720" s="596"/>
      <c r="J720" s="577"/>
      <c r="K720" s="577"/>
      <c r="L720" s="577"/>
      <c r="M720" s="577"/>
      <c r="N720" s="577"/>
      <c r="O720" s="577"/>
      <c r="P720" s="577"/>
      <c r="Q720" s="577"/>
      <c r="R720" s="577"/>
      <c r="S720" s="577"/>
      <c r="T720" s="577"/>
      <c r="U720" s="577"/>
      <c r="V720" s="577"/>
      <c r="W720" s="577"/>
      <c r="X720" s="577"/>
      <c r="Y720" s="577"/>
      <c r="Z720" s="577"/>
      <c r="AA720" s="577"/>
      <c r="AB720" s="577"/>
      <c r="AC720" s="577"/>
      <c r="AD720" s="577"/>
      <c r="AE720" s="577"/>
      <c r="AF720" s="6"/>
    </row>
    <row r="721" ht="12.75" customHeight="1">
      <c r="A721" s="595"/>
      <c r="B721" s="596"/>
      <c r="C721" s="596"/>
      <c r="D721" s="596"/>
      <c r="E721" s="596"/>
      <c r="F721" s="596"/>
      <c r="G721" s="596"/>
      <c r="H721" s="596"/>
      <c r="I721" s="596"/>
      <c r="J721" s="577"/>
      <c r="K721" s="577"/>
      <c r="L721" s="577"/>
      <c r="M721" s="577"/>
      <c r="N721" s="577"/>
      <c r="O721" s="577"/>
      <c r="P721" s="577"/>
      <c r="Q721" s="577"/>
      <c r="R721" s="577"/>
      <c r="S721" s="577"/>
      <c r="T721" s="577"/>
      <c r="U721" s="577"/>
      <c r="V721" s="577"/>
      <c r="W721" s="577"/>
      <c r="X721" s="577"/>
      <c r="Y721" s="577"/>
      <c r="Z721" s="577"/>
      <c r="AA721" s="577"/>
      <c r="AB721" s="577"/>
      <c r="AC721" s="577"/>
      <c r="AD721" s="577"/>
      <c r="AE721" s="577"/>
      <c r="AF721" s="6"/>
    </row>
    <row r="722" ht="12.75" customHeight="1">
      <c r="A722" s="595"/>
      <c r="B722" s="596"/>
      <c r="C722" s="596"/>
      <c r="D722" s="596"/>
      <c r="E722" s="596"/>
      <c r="F722" s="596"/>
      <c r="G722" s="596"/>
      <c r="H722" s="596"/>
      <c r="I722" s="596"/>
      <c r="J722" s="577"/>
      <c r="K722" s="577"/>
      <c r="L722" s="577"/>
      <c r="M722" s="577"/>
      <c r="N722" s="577"/>
      <c r="O722" s="577"/>
      <c r="P722" s="577"/>
      <c r="Q722" s="577"/>
      <c r="R722" s="577"/>
      <c r="S722" s="577"/>
      <c r="T722" s="577"/>
      <c r="U722" s="577"/>
      <c r="V722" s="577"/>
      <c r="W722" s="577"/>
      <c r="X722" s="577"/>
      <c r="Y722" s="577"/>
      <c r="Z722" s="577"/>
      <c r="AA722" s="577"/>
      <c r="AB722" s="577"/>
      <c r="AC722" s="577"/>
      <c r="AD722" s="577"/>
      <c r="AE722" s="577"/>
      <c r="AF722" s="6"/>
    </row>
    <row r="723" ht="12.75" customHeight="1">
      <c r="A723" s="595"/>
      <c r="B723" s="596"/>
      <c r="C723" s="596"/>
      <c r="D723" s="596"/>
      <c r="E723" s="596"/>
      <c r="F723" s="596"/>
      <c r="G723" s="596"/>
      <c r="H723" s="596"/>
      <c r="I723" s="596"/>
      <c r="J723" s="577"/>
      <c r="K723" s="577"/>
      <c r="L723" s="577"/>
      <c r="M723" s="577"/>
      <c r="N723" s="577"/>
      <c r="O723" s="577"/>
      <c r="P723" s="577"/>
      <c r="Q723" s="577"/>
      <c r="R723" s="577"/>
      <c r="S723" s="577"/>
      <c r="T723" s="577"/>
      <c r="U723" s="577"/>
      <c r="V723" s="577"/>
      <c r="W723" s="577"/>
      <c r="X723" s="577"/>
      <c r="Y723" s="577"/>
      <c r="Z723" s="577"/>
      <c r="AA723" s="577"/>
      <c r="AB723" s="577"/>
      <c r="AC723" s="577"/>
      <c r="AD723" s="577"/>
      <c r="AE723" s="577"/>
      <c r="AF723" s="6"/>
    </row>
    <row r="724" ht="12.75" customHeight="1">
      <c r="A724" s="595"/>
      <c r="B724" s="596"/>
      <c r="C724" s="596"/>
      <c r="D724" s="596"/>
      <c r="E724" s="596"/>
      <c r="F724" s="596"/>
      <c r="G724" s="596"/>
      <c r="H724" s="596"/>
      <c r="I724" s="596"/>
      <c r="J724" s="577"/>
      <c r="K724" s="577"/>
      <c r="L724" s="577"/>
      <c r="M724" s="577"/>
      <c r="N724" s="577"/>
      <c r="O724" s="577"/>
      <c r="P724" s="577"/>
      <c r="Q724" s="577"/>
      <c r="R724" s="577"/>
      <c r="S724" s="577"/>
      <c r="T724" s="577"/>
      <c r="U724" s="577"/>
      <c r="V724" s="577"/>
      <c r="W724" s="577"/>
      <c r="X724" s="577"/>
      <c r="Y724" s="577"/>
      <c r="Z724" s="577"/>
      <c r="AA724" s="577"/>
      <c r="AB724" s="577"/>
      <c r="AC724" s="577"/>
      <c r="AD724" s="577"/>
      <c r="AE724" s="577"/>
      <c r="AF724" s="6"/>
    </row>
    <row r="725" ht="12.75" customHeight="1">
      <c r="A725" s="595"/>
      <c r="B725" s="596"/>
      <c r="C725" s="596"/>
      <c r="D725" s="596"/>
      <c r="E725" s="596"/>
      <c r="F725" s="596"/>
      <c r="G725" s="596"/>
      <c r="H725" s="596"/>
      <c r="I725" s="596"/>
      <c r="J725" s="577"/>
      <c r="K725" s="577"/>
      <c r="L725" s="577"/>
      <c r="M725" s="577"/>
      <c r="N725" s="577"/>
      <c r="O725" s="577"/>
      <c r="P725" s="577"/>
      <c r="Q725" s="577"/>
      <c r="R725" s="577"/>
      <c r="S725" s="577"/>
      <c r="T725" s="577"/>
      <c r="U725" s="577"/>
      <c r="V725" s="577"/>
      <c r="W725" s="577"/>
      <c r="X725" s="577"/>
      <c r="Y725" s="577"/>
      <c r="Z725" s="577"/>
      <c r="AA725" s="577"/>
      <c r="AB725" s="577"/>
      <c r="AC725" s="577"/>
      <c r="AD725" s="577"/>
      <c r="AE725" s="577"/>
      <c r="AF725" s="6"/>
    </row>
    <row r="726" ht="12.75" customHeight="1">
      <c r="A726" s="595"/>
      <c r="B726" s="596"/>
      <c r="C726" s="596"/>
      <c r="D726" s="596"/>
      <c r="E726" s="596"/>
      <c r="F726" s="596"/>
      <c r="G726" s="596"/>
      <c r="H726" s="596"/>
      <c r="I726" s="596"/>
      <c r="J726" s="577"/>
      <c r="K726" s="577"/>
      <c r="L726" s="577"/>
      <c r="M726" s="577"/>
      <c r="N726" s="577"/>
      <c r="O726" s="577"/>
      <c r="P726" s="577"/>
      <c r="Q726" s="577"/>
      <c r="R726" s="577"/>
      <c r="S726" s="577"/>
      <c r="T726" s="577"/>
      <c r="U726" s="577"/>
      <c r="V726" s="577"/>
      <c r="W726" s="577"/>
      <c r="X726" s="577"/>
      <c r="Y726" s="577"/>
      <c r="Z726" s="577"/>
      <c r="AA726" s="577"/>
      <c r="AB726" s="577"/>
      <c r="AC726" s="577"/>
      <c r="AD726" s="577"/>
      <c r="AE726" s="577"/>
      <c r="AF726" s="6"/>
    </row>
    <row r="727" ht="12.75" customHeight="1">
      <c r="A727" s="595"/>
      <c r="B727" s="596"/>
      <c r="C727" s="596"/>
      <c r="D727" s="596"/>
      <c r="E727" s="596"/>
      <c r="F727" s="596"/>
      <c r="G727" s="596"/>
      <c r="H727" s="596"/>
      <c r="I727" s="596"/>
      <c r="J727" s="577"/>
      <c r="K727" s="577"/>
      <c r="L727" s="577"/>
      <c r="M727" s="577"/>
      <c r="N727" s="577"/>
      <c r="O727" s="577"/>
      <c r="P727" s="577"/>
      <c r="Q727" s="577"/>
      <c r="R727" s="577"/>
      <c r="S727" s="577"/>
      <c r="T727" s="577"/>
      <c r="U727" s="577"/>
      <c r="V727" s="577"/>
      <c r="W727" s="577"/>
      <c r="X727" s="577"/>
      <c r="Y727" s="577"/>
      <c r="Z727" s="577"/>
      <c r="AA727" s="577"/>
      <c r="AB727" s="577"/>
      <c r="AC727" s="577"/>
      <c r="AD727" s="577"/>
      <c r="AE727" s="577"/>
      <c r="AF727" s="6"/>
    </row>
    <row r="728" ht="12.75" customHeight="1">
      <c r="A728" s="595"/>
      <c r="B728" s="596"/>
      <c r="C728" s="596"/>
      <c r="D728" s="596"/>
      <c r="E728" s="596"/>
      <c r="F728" s="596"/>
      <c r="G728" s="596"/>
      <c r="H728" s="596"/>
      <c r="I728" s="596"/>
      <c r="J728" s="577"/>
      <c r="K728" s="577"/>
      <c r="L728" s="577"/>
      <c r="M728" s="577"/>
      <c r="N728" s="577"/>
      <c r="O728" s="577"/>
      <c r="P728" s="577"/>
      <c r="Q728" s="577"/>
      <c r="R728" s="577"/>
      <c r="S728" s="577"/>
      <c r="T728" s="577"/>
      <c r="U728" s="577"/>
      <c r="V728" s="577"/>
      <c r="W728" s="577"/>
      <c r="X728" s="577"/>
      <c r="Y728" s="577"/>
      <c r="Z728" s="577"/>
      <c r="AA728" s="577"/>
      <c r="AB728" s="577"/>
      <c r="AC728" s="577"/>
      <c r="AD728" s="577"/>
      <c r="AE728" s="577"/>
      <c r="AF728" s="6"/>
    </row>
    <row r="729" ht="12.75" customHeight="1">
      <c r="A729" s="595"/>
      <c r="B729" s="596"/>
      <c r="C729" s="596"/>
      <c r="D729" s="596"/>
      <c r="E729" s="596"/>
      <c r="F729" s="596"/>
      <c r="G729" s="596"/>
      <c r="H729" s="596"/>
      <c r="I729" s="596"/>
      <c r="J729" s="577"/>
      <c r="K729" s="577"/>
      <c r="L729" s="577"/>
      <c r="M729" s="577"/>
      <c r="N729" s="577"/>
      <c r="O729" s="577"/>
      <c r="P729" s="577"/>
      <c r="Q729" s="577"/>
      <c r="R729" s="577"/>
      <c r="S729" s="577"/>
      <c r="T729" s="577"/>
      <c r="U729" s="577"/>
      <c r="V729" s="577"/>
      <c r="W729" s="577"/>
      <c r="X729" s="577"/>
      <c r="Y729" s="577"/>
      <c r="Z729" s="577"/>
      <c r="AA729" s="577"/>
      <c r="AB729" s="577"/>
      <c r="AC729" s="577"/>
      <c r="AD729" s="577"/>
      <c r="AE729" s="577"/>
      <c r="AF729" s="6"/>
    </row>
    <row r="730" ht="12.75" customHeight="1">
      <c r="A730" s="595"/>
      <c r="B730" s="596"/>
      <c r="C730" s="596"/>
      <c r="D730" s="596"/>
      <c r="E730" s="596"/>
      <c r="F730" s="596"/>
      <c r="G730" s="596"/>
      <c r="H730" s="596"/>
      <c r="I730" s="596"/>
      <c r="J730" s="577"/>
      <c r="K730" s="577"/>
      <c r="L730" s="577"/>
      <c r="M730" s="577"/>
      <c r="N730" s="577"/>
      <c r="O730" s="577"/>
      <c r="P730" s="577"/>
      <c r="Q730" s="577"/>
      <c r="R730" s="577"/>
      <c r="S730" s="577"/>
      <c r="T730" s="577"/>
      <c r="U730" s="577"/>
      <c r="V730" s="577"/>
      <c r="W730" s="577"/>
      <c r="X730" s="577"/>
      <c r="Y730" s="577"/>
      <c r="Z730" s="577"/>
      <c r="AA730" s="577"/>
      <c r="AB730" s="577"/>
      <c r="AC730" s="577"/>
      <c r="AD730" s="577"/>
      <c r="AE730" s="577"/>
      <c r="AF730" s="6"/>
    </row>
    <row r="731" ht="12.75" customHeight="1">
      <c r="A731" s="595"/>
      <c r="B731" s="596"/>
      <c r="C731" s="596"/>
      <c r="D731" s="596"/>
      <c r="E731" s="596"/>
      <c r="F731" s="596"/>
      <c r="G731" s="596"/>
      <c r="H731" s="596"/>
      <c r="I731" s="596"/>
      <c r="J731" s="577"/>
      <c r="K731" s="577"/>
      <c r="L731" s="577"/>
      <c r="M731" s="577"/>
      <c r="N731" s="577"/>
      <c r="O731" s="577"/>
      <c r="P731" s="577"/>
      <c r="Q731" s="577"/>
      <c r="R731" s="577"/>
      <c r="S731" s="577"/>
      <c r="T731" s="577"/>
      <c r="U731" s="577"/>
      <c r="V731" s="577"/>
      <c r="W731" s="577"/>
      <c r="X731" s="577"/>
      <c r="Y731" s="577"/>
      <c r="Z731" s="577"/>
      <c r="AA731" s="577"/>
      <c r="AB731" s="577"/>
      <c r="AC731" s="577"/>
      <c r="AD731" s="577"/>
      <c r="AE731" s="577"/>
      <c r="AF731" s="6"/>
    </row>
    <row r="732" ht="12.75" customHeight="1">
      <c r="A732" s="595"/>
      <c r="B732" s="596"/>
      <c r="C732" s="596"/>
      <c r="D732" s="596"/>
      <c r="E732" s="596"/>
      <c r="F732" s="596"/>
      <c r="G732" s="596"/>
      <c r="H732" s="596"/>
      <c r="I732" s="596"/>
      <c r="J732" s="577"/>
      <c r="K732" s="577"/>
      <c r="L732" s="577"/>
      <c r="M732" s="577"/>
      <c r="N732" s="577"/>
      <c r="O732" s="577"/>
      <c r="P732" s="577"/>
      <c r="Q732" s="577"/>
      <c r="R732" s="577"/>
      <c r="S732" s="577"/>
      <c r="T732" s="577"/>
      <c r="U732" s="577"/>
      <c r="V732" s="577"/>
      <c r="W732" s="577"/>
      <c r="X732" s="577"/>
      <c r="Y732" s="577"/>
      <c r="Z732" s="577"/>
      <c r="AA732" s="577"/>
      <c r="AB732" s="577"/>
      <c r="AC732" s="577"/>
      <c r="AD732" s="577"/>
      <c r="AE732" s="577"/>
      <c r="AF732" s="6"/>
    </row>
    <row r="733" ht="12.75" customHeight="1">
      <c r="A733" s="595"/>
      <c r="B733" s="596"/>
      <c r="C733" s="596"/>
      <c r="D733" s="596"/>
      <c r="E733" s="596"/>
      <c r="F733" s="596"/>
      <c r="G733" s="596"/>
      <c r="H733" s="596"/>
      <c r="I733" s="596"/>
      <c r="J733" s="577"/>
      <c r="K733" s="577"/>
      <c r="L733" s="577"/>
      <c r="M733" s="577"/>
      <c r="N733" s="577"/>
      <c r="O733" s="577"/>
      <c r="P733" s="577"/>
      <c r="Q733" s="577"/>
      <c r="R733" s="577"/>
      <c r="S733" s="577"/>
      <c r="T733" s="577"/>
      <c r="U733" s="577"/>
      <c r="V733" s="577"/>
      <c r="W733" s="577"/>
      <c r="X733" s="577"/>
      <c r="Y733" s="577"/>
      <c r="Z733" s="577"/>
      <c r="AA733" s="577"/>
      <c r="AB733" s="577"/>
      <c r="AC733" s="577"/>
      <c r="AD733" s="577"/>
      <c r="AE733" s="577"/>
      <c r="AF733" s="6"/>
    </row>
    <row r="734" ht="12.75" customHeight="1">
      <c r="A734" s="595"/>
      <c r="B734" s="596"/>
      <c r="C734" s="596"/>
      <c r="D734" s="596"/>
      <c r="E734" s="596"/>
      <c r="F734" s="596"/>
      <c r="G734" s="596"/>
      <c r="H734" s="596"/>
      <c r="I734" s="596"/>
      <c r="J734" s="577"/>
      <c r="K734" s="577"/>
      <c r="L734" s="577"/>
      <c r="M734" s="577"/>
      <c r="N734" s="577"/>
      <c r="O734" s="577"/>
      <c r="P734" s="577"/>
      <c r="Q734" s="577"/>
      <c r="R734" s="577"/>
      <c r="S734" s="577"/>
      <c r="T734" s="577"/>
      <c r="U734" s="577"/>
      <c r="V734" s="577"/>
      <c r="W734" s="577"/>
      <c r="X734" s="577"/>
      <c r="Y734" s="577"/>
      <c r="Z734" s="577"/>
      <c r="AA734" s="577"/>
      <c r="AB734" s="577"/>
      <c r="AC734" s="577"/>
      <c r="AD734" s="577"/>
      <c r="AE734" s="577"/>
      <c r="AF734" s="6"/>
    </row>
    <row r="735" ht="12.75" customHeight="1">
      <c r="A735" s="595"/>
      <c r="B735" s="596"/>
      <c r="C735" s="596"/>
      <c r="D735" s="596"/>
      <c r="E735" s="596"/>
      <c r="F735" s="596"/>
      <c r="G735" s="596"/>
      <c r="H735" s="596"/>
      <c r="I735" s="596"/>
      <c r="J735" s="577"/>
      <c r="K735" s="577"/>
      <c r="L735" s="577"/>
      <c r="M735" s="577"/>
      <c r="N735" s="577"/>
      <c r="O735" s="577"/>
      <c r="P735" s="577"/>
      <c r="Q735" s="577"/>
      <c r="R735" s="577"/>
      <c r="S735" s="577"/>
      <c r="T735" s="577"/>
      <c r="U735" s="577"/>
      <c r="V735" s="577"/>
      <c r="W735" s="577"/>
      <c r="X735" s="577"/>
      <c r="Y735" s="577"/>
      <c r="Z735" s="577"/>
      <c r="AA735" s="577"/>
      <c r="AB735" s="577"/>
      <c r="AC735" s="577"/>
      <c r="AD735" s="577"/>
      <c r="AE735" s="577"/>
      <c r="AF735" s="6"/>
    </row>
    <row r="736" ht="12.75" customHeight="1">
      <c r="A736" s="595"/>
      <c r="B736" s="596"/>
      <c r="C736" s="596"/>
      <c r="D736" s="596"/>
      <c r="E736" s="596"/>
      <c r="F736" s="596"/>
      <c r="G736" s="596"/>
      <c r="H736" s="596"/>
      <c r="I736" s="596"/>
      <c r="J736" s="577"/>
      <c r="K736" s="577"/>
      <c r="L736" s="577"/>
      <c r="M736" s="577"/>
      <c r="N736" s="577"/>
      <c r="O736" s="577"/>
      <c r="P736" s="577"/>
      <c r="Q736" s="577"/>
      <c r="R736" s="577"/>
      <c r="S736" s="577"/>
      <c r="T736" s="577"/>
      <c r="U736" s="577"/>
      <c r="V736" s="577"/>
      <c r="W736" s="577"/>
      <c r="X736" s="577"/>
      <c r="Y736" s="577"/>
      <c r="Z736" s="577"/>
      <c r="AA736" s="577"/>
      <c r="AB736" s="577"/>
      <c r="AC736" s="577"/>
      <c r="AD736" s="577"/>
      <c r="AE736" s="577"/>
      <c r="AF736" s="6"/>
    </row>
    <row r="737" ht="12.75" customHeight="1">
      <c r="A737" s="595"/>
      <c r="B737" s="596"/>
      <c r="C737" s="596"/>
      <c r="D737" s="596"/>
      <c r="E737" s="596"/>
      <c r="F737" s="596"/>
      <c r="G737" s="596"/>
      <c r="H737" s="596"/>
      <c r="I737" s="596"/>
      <c r="J737" s="577"/>
      <c r="K737" s="577"/>
      <c r="L737" s="577"/>
      <c r="M737" s="577"/>
      <c r="N737" s="577"/>
      <c r="O737" s="577"/>
      <c r="P737" s="577"/>
      <c r="Q737" s="577"/>
      <c r="R737" s="577"/>
      <c r="S737" s="577"/>
      <c r="T737" s="577"/>
      <c r="U737" s="577"/>
      <c r="V737" s="577"/>
      <c r="W737" s="577"/>
      <c r="X737" s="577"/>
      <c r="Y737" s="577"/>
      <c r="Z737" s="577"/>
      <c r="AA737" s="577"/>
      <c r="AB737" s="577"/>
      <c r="AC737" s="577"/>
      <c r="AD737" s="577"/>
      <c r="AE737" s="577"/>
      <c r="AF737" s="6"/>
    </row>
    <row r="738" ht="12.75" customHeight="1">
      <c r="A738" s="595"/>
      <c r="B738" s="596"/>
      <c r="C738" s="596"/>
      <c r="D738" s="596"/>
      <c r="E738" s="596"/>
      <c r="F738" s="596"/>
      <c r="G738" s="596"/>
      <c r="H738" s="596"/>
      <c r="I738" s="596"/>
      <c r="J738" s="577"/>
      <c r="K738" s="577"/>
      <c r="L738" s="577"/>
      <c r="M738" s="577"/>
      <c r="N738" s="577"/>
      <c r="O738" s="577"/>
      <c r="P738" s="577"/>
      <c r="Q738" s="577"/>
      <c r="R738" s="577"/>
      <c r="S738" s="577"/>
      <c r="T738" s="577"/>
      <c r="U738" s="577"/>
      <c r="V738" s="577"/>
      <c r="W738" s="577"/>
      <c r="X738" s="577"/>
      <c r="Y738" s="577"/>
      <c r="Z738" s="577"/>
      <c r="AA738" s="577"/>
      <c r="AB738" s="577"/>
      <c r="AC738" s="577"/>
      <c r="AD738" s="577"/>
      <c r="AE738" s="577"/>
      <c r="AF738" s="6"/>
    </row>
    <row r="739" ht="12.75" customHeight="1">
      <c r="A739" s="595"/>
      <c r="B739" s="596"/>
      <c r="C739" s="596"/>
      <c r="D739" s="596"/>
      <c r="E739" s="596"/>
      <c r="F739" s="596"/>
      <c r="G739" s="596"/>
      <c r="H739" s="596"/>
      <c r="I739" s="596"/>
      <c r="J739" s="577"/>
      <c r="K739" s="577"/>
      <c r="L739" s="577"/>
      <c r="M739" s="577"/>
      <c r="N739" s="577"/>
      <c r="O739" s="577"/>
      <c r="P739" s="577"/>
      <c r="Q739" s="577"/>
      <c r="R739" s="577"/>
      <c r="S739" s="577"/>
      <c r="T739" s="577"/>
      <c r="U739" s="577"/>
      <c r="V739" s="577"/>
      <c r="W739" s="577"/>
      <c r="X739" s="577"/>
      <c r="Y739" s="577"/>
      <c r="Z739" s="577"/>
      <c r="AA739" s="577"/>
      <c r="AB739" s="577"/>
      <c r="AC739" s="577"/>
      <c r="AD739" s="577"/>
      <c r="AE739" s="577"/>
      <c r="AF739" s="6"/>
    </row>
    <row r="740" ht="12.75" customHeight="1">
      <c r="A740" s="595"/>
      <c r="B740" s="596"/>
      <c r="C740" s="596"/>
      <c r="D740" s="596"/>
      <c r="E740" s="596"/>
      <c r="F740" s="596"/>
      <c r="G740" s="596"/>
      <c r="H740" s="596"/>
      <c r="I740" s="596"/>
      <c r="J740" s="577"/>
      <c r="K740" s="577"/>
      <c r="L740" s="577"/>
      <c r="M740" s="577"/>
      <c r="N740" s="577"/>
      <c r="O740" s="577"/>
      <c r="P740" s="577"/>
      <c r="Q740" s="577"/>
      <c r="R740" s="577"/>
      <c r="S740" s="577"/>
      <c r="T740" s="577"/>
      <c r="U740" s="577"/>
      <c r="V740" s="577"/>
      <c r="W740" s="577"/>
      <c r="X740" s="577"/>
      <c r="Y740" s="577"/>
      <c r="Z740" s="577"/>
      <c r="AA740" s="577"/>
      <c r="AB740" s="577"/>
      <c r="AC740" s="577"/>
      <c r="AD740" s="577"/>
      <c r="AE740" s="577"/>
      <c r="AF740" s="6"/>
    </row>
    <row r="741" ht="12.75" customHeight="1">
      <c r="A741" s="595"/>
      <c r="B741" s="596"/>
      <c r="C741" s="596"/>
      <c r="D741" s="596"/>
      <c r="E741" s="596"/>
      <c r="F741" s="596"/>
      <c r="G741" s="596"/>
      <c r="H741" s="596"/>
      <c r="I741" s="596"/>
      <c r="J741" s="577"/>
      <c r="K741" s="577"/>
      <c r="L741" s="577"/>
      <c r="M741" s="577"/>
      <c r="N741" s="577"/>
      <c r="O741" s="577"/>
      <c r="P741" s="577"/>
      <c r="Q741" s="577"/>
      <c r="R741" s="577"/>
      <c r="S741" s="577"/>
      <c r="T741" s="577"/>
      <c r="U741" s="577"/>
      <c r="V741" s="577"/>
      <c r="W741" s="577"/>
      <c r="X741" s="577"/>
      <c r="Y741" s="577"/>
      <c r="Z741" s="577"/>
      <c r="AA741" s="577"/>
      <c r="AB741" s="577"/>
      <c r="AC741" s="577"/>
      <c r="AD741" s="577"/>
      <c r="AE741" s="577"/>
      <c r="AF741" s="6"/>
    </row>
    <row r="742" ht="12.75" customHeight="1">
      <c r="A742" s="595"/>
      <c r="B742" s="596"/>
      <c r="C742" s="596"/>
      <c r="D742" s="596"/>
      <c r="E742" s="596"/>
      <c r="F742" s="596"/>
      <c r="G742" s="596"/>
      <c r="H742" s="596"/>
      <c r="I742" s="596"/>
      <c r="J742" s="577"/>
      <c r="K742" s="577"/>
      <c r="L742" s="577"/>
      <c r="M742" s="577"/>
      <c r="N742" s="577"/>
      <c r="O742" s="577"/>
      <c r="P742" s="577"/>
      <c r="Q742" s="577"/>
      <c r="R742" s="577"/>
      <c r="S742" s="577"/>
      <c r="T742" s="577"/>
      <c r="U742" s="577"/>
      <c r="V742" s="577"/>
      <c r="W742" s="577"/>
      <c r="X742" s="577"/>
      <c r="Y742" s="577"/>
      <c r="Z742" s="577"/>
      <c r="AA742" s="577"/>
      <c r="AB742" s="577"/>
      <c r="AC742" s="577"/>
      <c r="AD742" s="577"/>
      <c r="AE742" s="577"/>
      <c r="AF742" s="6"/>
    </row>
    <row r="743" ht="12.75" customHeight="1">
      <c r="A743" s="595"/>
      <c r="B743" s="596"/>
      <c r="C743" s="596"/>
      <c r="D743" s="596"/>
      <c r="E743" s="596"/>
      <c r="F743" s="596"/>
      <c r="G743" s="596"/>
      <c r="H743" s="596"/>
      <c r="I743" s="596"/>
      <c r="J743" s="577"/>
      <c r="K743" s="577"/>
      <c r="L743" s="577"/>
      <c r="M743" s="577"/>
      <c r="N743" s="577"/>
      <c r="O743" s="577"/>
      <c r="P743" s="577"/>
      <c r="Q743" s="577"/>
      <c r="R743" s="577"/>
      <c r="S743" s="577"/>
      <c r="T743" s="577"/>
      <c r="U743" s="577"/>
      <c r="V743" s="577"/>
      <c r="W743" s="577"/>
      <c r="X743" s="577"/>
      <c r="Y743" s="577"/>
      <c r="Z743" s="577"/>
      <c r="AA743" s="577"/>
      <c r="AB743" s="577"/>
      <c r="AC743" s="577"/>
      <c r="AD743" s="577"/>
      <c r="AE743" s="577"/>
      <c r="AF743" s="6"/>
    </row>
    <row r="744" ht="12.75" customHeight="1">
      <c r="A744" s="595"/>
      <c r="B744" s="596"/>
      <c r="C744" s="596"/>
      <c r="D744" s="596"/>
      <c r="E744" s="596"/>
      <c r="F744" s="596"/>
      <c r="G744" s="596"/>
      <c r="H744" s="596"/>
      <c r="I744" s="596"/>
      <c r="J744" s="577"/>
      <c r="K744" s="577"/>
      <c r="L744" s="577"/>
      <c r="M744" s="577"/>
      <c r="N744" s="577"/>
      <c r="O744" s="577"/>
      <c r="P744" s="577"/>
      <c r="Q744" s="577"/>
      <c r="R744" s="577"/>
      <c r="S744" s="577"/>
      <c r="T744" s="577"/>
      <c r="U744" s="577"/>
      <c r="V744" s="577"/>
      <c r="W744" s="577"/>
      <c r="X744" s="577"/>
      <c r="Y744" s="577"/>
      <c r="Z744" s="577"/>
      <c r="AA744" s="577"/>
      <c r="AB744" s="577"/>
      <c r="AC744" s="577"/>
      <c r="AD744" s="577"/>
      <c r="AE744" s="577"/>
      <c r="AF744" s="6"/>
    </row>
    <row r="745" ht="12.75" customHeight="1">
      <c r="A745" s="595"/>
      <c r="B745" s="596"/>
      <c r="C745" s="596"/>
      <c r="D745" s="596"/>
      <c r="E745" s="596"/>
      <c r="F745" s="596"/>
      <c r="G745" s="596"/>
      <c r="H745" s="596"/>
      <c r="I745" s="596"/>
      <c r="J745" s="577"/>
      <c r="K745" s="577"/>
      <c r="L745" s="577"/>
      <c r="M745" s="577"/>
      <c r="N745" s="577"/>
      <c r="O745" s="577"/>
      <c r="P745" s="577"/>
      <c r="Q745" s="577"/>
      <c r="R745" s="577"/>
      <c r="S745" s="577"/>
      <c r="T745" s="577"/>
      <c r="U745" s="577"/>
      <c r="V745" s="577"/>
      <c r="W745" s="577"/>
      <c r="X745" s="577"/>
      <c r="Y745" s="577"/>
      <c r="Z745" s="577"/>
      <c r="AA745" s="577"/>
      <c r="AB745" s="577"/>
      <c r="AC745" s="577"/>
      <c r="AD745" s="577"/>
      <c r="AE745" s="577"/>
      <c r="AF745" s="6"/>
    </row>
    <row r="746" ht="12.75" customHeight="1">
      <c r="A746" s="595"/>
      <c r="B746" s="596"/>
      <c r="C746" s="596"/>
      <c r="D746" s="596"/>
      <c r="E746" s="596"/>
      <c r="F746" s="596"/>
      <c r="G746" s="596"/>
      <c r="H746" s="596"/>
      <c r="I746" s="596"/>
      <c r="J746" s="577"/>
      <c r="K746" s="577"/>
      <c r="L746" s="577"/>
      <c r="M746" s="577"/>
      <c r="N746" s="577"/>
      <c r="O746" s="577"/>
      <c r="P746" s="577"/>
      <c r="Q746" s="577"/>
      <c r="R746" s="577"/>
      <c r="S746" s="577"/>
      <c r="T746" s="577"/>
      <c r="U746" s="577"/>
      <c r="V746" s="577"/>
      <c r="W746" s="577"/>
      <c r="X746" s="577"/>
      <c r="Y746" s="577"/>
      <c r="Z746" s="577"/>
      <c r="AA746" s="577"/>
      <c r="AB746" s="577"/>
      <c r="AC746" s="577"/>
      <c r="AD746" s="577"/>
      <c r="AE746" s="577"/>
      <c r="AF746" s="6"/>
    </row>
    <row r="747" ht="12.75" customHeight="1">
      <c r="A747" s="595"/>
      <c r="B747" s="596"/>
      <c r="C747" s="596"/>
      <c r="D747" s="596"/>
      <c r="E747" s="596"/>
      <c r="F747" s="596"/>
      <c r="G747" s="596"/>
      <c r="H747" s="596"/>
      <c r="I747" s="596"/>
      <c r="J747" s="577"/>
      <c r="K747" s="577"/>
      <c r="L747" s="577"/>
      <c r="M747" s="577"/>
      <c r="N747" s="577"/>
      <c r="O747" s="577"/>
      <c r="P747" s="577"/>
      <c r="Q747" s="577"/>
      <c r="R747" s="577"/>
      <c r="S747" s="577"/>
      <c r="T747" s="577"/>
      <c r="U747" s="577"/>
      <c r="V747" s="577"/>
      <c r="W747" s="577"/>
      <c r="X747" s="577"/>
      <c r="Y747" s="577"/>
      <c r="Z747" s="577"/>
      <c r="AA747" s="577"/>
      <c r="AB747" s="577"/>
      <c r="AC747" s="577"/>
      <c r="AD747" s="577"/>
      <c r="AE747" s="577"/>
      <c r="AF747" s="6"/>
    </row>
    <row r="748" ht="12.75" customHeight="1">
      <c r="A748" s="595"/>
      <c r="B748" s="596"/>
      <c r="C748" s="596"/>
      <c r="D748" s="596"/>
      <c r="E748" s="596"/>
      <c r="F748" s="596"/>
      <c r="G748" s="596"/>
      <c r="H748" s="596"/>
      <c r="I748" s="596"/>
      <c r="J748" s="577"/>
      <c r="K748" s="577"/>
      <c r="L748" s="577"/>
      <c r="M748" s="577"/>
      <c r="N748" s="577"/>
      <c r="O748" s="577"/>
      <c r="P748" s="577"/>
      <c r="Q748" s="577"/>
      <c r="R748" s="577"/>
      <c r="S748" s="577"/>
      <c r="T748" s="577"/>
      <c r="U748" s="577"/>
      <c r="V748" s="577"/>
      <c r="W748" s="577"/>
      <c r="X748" s="577"/>
      <c r="Y748" s="577"/>
      <c r="Z748" s="577"/>
      <c r="AA748" s="577"/>
      <c r="AB748" s="577"/>
      <c r="AC748" s="577"/>
      <c r="AD748" s="577"/>
      <c r="AE748" s="577"/>
      <c r="AF748" s="6"/>
    </row>
    <row r="749" ht="12.75" customHeight="1">
      <c r="A749" s="595"/>
      <c r="B749" s="596"/>
      <c r="C749" s="596"/>
      <c r="D749" s="596"/>
      <c r="E749" s="596"/>
      <c r="F749" s="596"/>
      <c r="G749" s="596"/>
      <c r="H749" s="596"/>
      <c r="I749" s="596"/>
      <c r="J749" s="577"/>
      <c r="K749" s="577"/>
      <c r="L749" s="577"/>
      <c r="M749" s="577"/>
      <c r="N749" s="577"/>
      <c r="O749" s="577"/>
      <c r="P749" s="577"/>
      <c r="Q749" s="577"/>
      <c r="R749" s="577"/>
      <c r="S749" s="577"/>
      <c r="T749" s="577"/>
      <c r="U749" s="577"/>
      <c r="V749" s="577"/>
      <c r="W749" s="577"/>
      <c r="X749" s="577"/>
      <c r="Y749" s="577"/>
      <c r="Z749" s="577"/>
      <c r="AA749" s="577"/>
      <c r="AB749" s="577"/>
      <c r="AC749" s="577"/>
      <c r="AD749" s="577"/>
      <c r="AE749" s="577"/>
      <c r="AF749" s="6"/>
    </row>
    <row r="750" ht="12.75" customHeight="1">
      <c r="A750" s="595"/>
      <c r="B750" s="596"/>
      <c r="C750" s="596"/>
      <c r="D750" s="596"/>
      <c r="E750" s="596"/>
      <c r="F750" s="596"/>
      <c r="G750" s="596"/>
      <c r="H750" s="596"/>
      <c r="I750" s="596"/>
      <c r="J750" s="577"/>
      <c r="K750" s="577"/>
      <c r="L750" s="577"/>
      <c r="M750" s="577"/>
      <c r="N750" s="577"/>
      <c r="O750" s="577"/>
      <c r="P750" s="577"/>
      <c r="Q750" s="577"/>
      <c r="R750" s="577"/>
      <c r="S750" s="577"/>
      <c r="T750" s="577"/>
      <c r="U750" s="577"/>
      <c r="V750" s="577"/>
      <c r="W750" s="577"/>
      <c r="X750" s="577"/>
      <c r="Y750" s="577"/>
      <c r="Z750" s="577"/>
      <c r="AA750" s="577"/>
      <c r="AB750" s="577"/>
      <c r="AC750" s="577"/>
      <c r="AD750" s="577"/>
      <c r="AE750" s="577"/>
      <c r="AF750" s="6"/>
    </row>
    <row r="751" ht="12.75" customHeight="1">
      <c r="A751" s="595"/>
      <c r="B751" s="596"/>
      <c r="C751" s="596"/>
      <c r="D751" s="596"/>
      <c r="E751" s="596"/>
      <c r="F751" s="596"/>
      <c r="G751" s="596"/>
      <c r="H751" s="596"/>
      <c r="I751" s="596"/>
      <c r="J751" s="577"/>
      <c r="K751" s="577"/>
      <c r="L751" s="577"/>
      <c r="M751" s="577"/>
      <c r="N751" s="577"/>
      <c r="O751" s="577"/>
      <c r="P751" s="577"/>
      <c r="Q751" s="577"/>
      <c r="R751" s="577"/>
      <c r="S751" s="577"/>
      <c r="T751" s="577"/>
      <c r="U751" s="577"/>
      <c r="V751" s="577"/>
      <c r="W751" s="577"/>
      <c r="X751" s="577"/>
      <c r="Y751" s="577"/>
      <c r="Z751" s="577"/>
      <c r="AA751" s="577"/>
      <c r="AB751" s="577"/>
      <c r="AC751" s="577"/>
      <c r="AD751" s="577"/>
      <c r="AE751" s="577"/>
      <c r="AF751" s="6"/>
    </row>
    <row r="752" ht="12.75" customHeight="1">
      <c r="A752" s="595"/>
      <c r="B752" s="596"/>
      <c r="C752" s="596"/>
      <c r="D752" s="596"/>
      <c r="E752" s="596"/>
      <c r="F752" s="596"/>
      <c r="G752" s="596"/>
      <c r="H752" s="596"/>
      <c r="I752" s="596"/>
      <c r="J752" s="577"/>
      <c r="K752" s="577"/>
      <c r="L752" s="577"/>
      <c r="M752" s="577"/>
      <c r="N752" s="577"/>
      <c r="O752" s="577"/>
      <c r="P752" s="577"/>
      <c r="Q752" s="577"/>
      <c r="R752" s="577"/>
      <c r="S752" s="577"/>
      <c r="T752" s="577"/>
      <c r="U752" s="577"/>
      <c r="V752" s="577"/>
      <c r="W752" s="577"/>
      <c r="X752" s="577"/>
      <c r="Y752" s="577"/>
      <c r="Z752" s="577"/>
      <c r="AA752" s="577"/>
      <c r="AB752" s="577"/>
      <c r="AC752" s="577"/>
      <c r="AD752" s="577"/>
      <c r="AE752" s="577"/>
      <c r="AF752" s="6"/>
    </row>
    <row r="753" ht="12.75" customHeight="1">
      <c r="A753" s="595"/>
      <c r="B753" s="596"/>
      <c r="C753" s="596"/>
      <c r="D753" s="596"/>
      <c r="E753" s="596"/>
      <c r="F753" s="596"/>
      <c r="G753" s="596"/>
      <c r="H753" s="596"/>
      <c r="I753" s="596"/>
      <c r="J753" s="577"/>
      <c r="K753" s="577"/>
      <c r="L753" s="577"/>
      <c r="M753" s="577"/>
      <c r="N753" s="577"/>
      <c r="O753" s="577"/>
      <c r="P753" s="577"/>
      <c r="Q753" s="577"/>
      <c r="R753" s="577"/>
      <c r="S753" s="577"/>
      <c r="T753" s="577"/>
      <c r="U753" s="577"/>
      <c r="V753" s="577"/>
      <c r="W753" s="577"/>
      <c r="X753" s="577"/>
      <c r="Y753" s="577"/>
      <c r="Z753" s="577"/>
      <c r="AA753" s="577"/>
      <c r="AB753" s="577"/>
      <c r="AC753" s="577"/>
      <c r="AD753" s="577"/>
      <c r="AE753" s="577"/>
      <c r="AF753" s="6"/>
    </row>
    <row r="754" ht="12.75" customHeight="1">
      <c r="A754" s="595"/>
      <c r="B754" s="596"/>
      <c r="C754" s="596"/>
      <c r="D754" s="596"/>
      <c r="E754" s="596"/>
      <c r="F754" s="596"/>
      <c r="G754" s="596"/>
      <c r="H754" s="596"/>
      <c r="I754" s="596"/>
      <c r="J754" s="577"/>
      <c r="K754" s="577"/>
      <c r="L754" s="577"/>
      <c r="M754" s="577"/>
      <c r="N754" s="577"/>
      <c r="O754" s="577"/>
      <c r="P754" s="577"/>
      <c r="Q754" s="577"/>
      <c r="R754" s="577"/>
      <c r="S754" s="577"/>
      <c r="T754" s="577"/>
      <c r="U754" s="577"/>
      <c r="V754" s="577"/>
      <c r="W754" s="577"/>
      <c r="X754" s="577"/>
      <c r="Y754" s="577"/>
      <c r="Z754" s="577"/>
      <c r="AA754" s="577"/>
      <c r="AB754" s="577"/>
      <c r="AC754" s="577"/>
      <c r="AD754" s="577"/>
      <c r="AE754" s="577"/>
      <c r="AF754" s="6"/>
    </row>
    <row r="755" ht="12.75" customHeight="1">
      <c r="A755" s="595"/>
      <c r="B755" s="596"/>
      <c r="C755" s="596"/>
      <c r="D755" s="596"/>
      <c r="E755" s="596"/>
      <c r="F755" s="596"/>
      <c r="G755" s="596"/>
      <c r="H755" s="596"/>
      <c r="I755" s="596"/>
      <c r="J755" s="577"/>
      <c r="K755" s="577"/>
      <c r="L755" s="577"/>
      <c r="M755" s="577"/>
      <c r="N755" s="577"/>
      <c r="O755" s="577"/>
      <c r="P755" s="577"/>
      <c r="Q755" s="577"/>
      <c r="R755" s="577"/>
      <c r="S755" s="577"/>
      <c r="T755" s="577"/>
      <c r="U755" s="577"/>
      <c r="V755" s="577"/>
      <c r="W755" s="577"/>
      <c r="X755" s="577"/>
      <c r="Y755" s="577"/>
      <c r="Z755" s="577"/>
      <c r="AA755" s="577"/>
      <c r="AB755" s="577"/>
      <c r="AC755" s="577"/>
      <c r="AD755" s="577"/>
      <c r="AE755" s="577"/>
      <c r="AF755" s="6"/>
    </row>
    <row r="756" ht="12.75" customHeight="1">
      <c r="A756" s="595"/>
      <c r="B756" s="596"/>
      <c r="C756" s="596"/>
      <c r="D756" s="596"/>
      <c r="E756" s="596"/>
      <c r="F756" s="596"/>
      <c r="G756" s="596"/>
      <c r="H756" s="596"/>
      <c r="I756" s="596"/>
      <c r="J756" s="577"/>
      <c r="K756" s="577"/>
      <c r="L756" s="577"/>
      <c r="M756" s="577"/>
      <c r="N756" s="577"/>
      <c r="O756" s="577"/>
      <c r="P756" s="577"/>
      <c r="Q756" s="577"/>
      <c r="R756" s="577"/>
      <c r="S756" s="577"/>
      <c r="T756" s="577"/>
      <c r="U756" s="577"/>
      <c r="V756" s="577"/>
      <c r="W756" s="577"/>
      <c r="X756" s="577"/>
      <c r="Y756" s="577"/>
      <c r="Z756" s="577"/>
      <c r="AA756" s="577"/>
      <c r="AB756" s="577"/>
      <c r="AC756" s="577"/>
      <c r="AD756" s="577"/>
      <c r="AE756" s="577"/>
      <c r="AF756" s="6"/>
    </row>
    <row r="757" ht="12.75" customHeight="1">
      <c r="A757" s="595"/>
      <c r="B757" s="596"/>
      <c r="C757" s="596"/>
      <c r="D757" s="596"/>
      <c r="E757" s="596"/>
      <c r="F757" s="596"/>
      <c r="G757" s="596"/>
      <c r="H757" s="596"/>
      <c r="I757" s="596"/>
      <c r="J757" s="577"/>
      <c r="K757" s="577"/>
      <c r="L757" s="577"/>
      <c r="M757" s="577"/>
      <c r="N757" s="577"/>
      <c r="O757" s="577"/>
      <c r="P757" s="577"/>
      <c r="Q757" s="577"/>
      <c r="R757" s="577"/>
      <c r="S757" s="577"/>
      <c r="T757" s="577"/>
      <c r="U757" s="577"/>
      <c r="V757" s="577"/>
      <c r="W757" s="577"/>
      <c r="X757" s="577"/>
      <c r="Y757" s="577"/>
      <c r="Z757" s="577"/>
      <c r="AA757" s="577"/>
      <c r="AB757" s="577"/>
      <c r="AC757" s="577"/>
      <c r="AD757" s="577"/>
      <c r="AE757" s="577"/>
      <c r="AF757" s="6"/>
    </row>
    <row r="758" ht="12.75" customHeight="1">
      <c r="A758" s="595"/>
      <c r="B758" s="596"/>
      <c r="C758" s="596"/>
      <c r="D758" s="596"/>
      <c r="E758" s="596"/>
      <c r="F758" s="596"/>
      <c r="G758" s="596"/>
      <c r="H758" s="596"/>
      <c r="I758" s="596"/>
      <c r="J758" s="577"/>
      <c r="K758" s="577"/>
      <c r="L758" s="577"/>
      <c r="M758" s="577"/>
      <c r="N758" s="577"/>
      <c r="O758" s="577"/>
      <c r="P758" s="577"/>
      <c r="Q758" s="577"/>
      <c r="R758" s="577"/>
      <c r="S758" s="577"/>
      <c r="T758" s="577"/>
      <c r="U758" s="577"/>
      <c r="V758" s="577"/>
      <c r="W758" s="577"/>
      <c r="X758" s="577"/>
      <c r="Y758" s="577"/>
      <c r="Z758" s="577"/>
      <c r="AA758" s="577"/>
      <c r="AB758" s="577"/>
      <c r="AC758" s="577"/>
      <c r="AD758" s="577"/>
      <c r="AE758" s="577"/>
      <c r="AF758" s="6"/>
    </row>
    <row r="759" ht="12.75" customHeight="1">
      <c r="A759" s="595"/>
      <c r="B759" s="596"/>
      <c r="C759" s="596"/>
      <c r="D759" s="596"/>
      <c r="E759" s="596"/>
      <c r="F759" s="596"/>
      <c r="G759" s="596"/>
      <c r="H759" s="596"/>
      <c r="I759" s="596"/>
      <c r="J759" s="577"/>
      <c r="K759" s="577"/>
      <c r="L759" s="577"/>
      <c r="M759" s="577"/>
      <c r="N759" s="577"/>
      <c r="O759" s="577"/>
      <c r="P759" s="577"/>
      <c r="Q759" s="577"/>
      <c r="R759" s="577"/>
      <c r="S759" s="577"/>
      <c r="T759" s="577"/>
      <c r="U759" s="577"/>
      <c r="V759" s="577"/>
      <c r="W759" s="577"/>
      <c r="X759" s="577"/>
      <c r="Y759" s="577"/>
      <c r="Z759" s="577"/>
      <c r="AA759" s="577"/>
      <c r="AB759" s="577"/>
      <c r="AC759" s="577"/>
      <c r="AD759" s="577"/>
      <c r="AE759" s="577"/>
      <c r="AF759" s="6"/>
    </row>
    <row r="760" ht="12.75" customHeight="1">
      <c r="A760" s="595"/>
      <c r="B760" s="596"/>
      <c r="C760" s="596"/>
      <c r="D760" s="596"/>
      <c r="E760" s="596"/>
      <c r="F760" s="596"/>
      <c r="G760" s="596"/>
      <c r="H760" s="596"/>
      <c r="I760" s="596"/>
      <c r="J760" s="577"/>
      <c r="K760" s="577"/>
      <c r="L760" s="577"/>
      <c r="M760" s="577"/>
      <c r="N760" s="577"/>
      <c r="O760" s="577"/>
      <c r="P760" s="577"/>
      <c r="Q760" s="577"/>
      <c r="R760" s="577"/>
      <c r="S760" s="577"/>
      <c r="T760" s="577"/>
      <c r="U760" s="577"/>
      <c r="V760" s="577"/>
      <c r="W760" s="577"/>
      <c r="X760" s="577"/>
      <c r="Y760" s="577"/>
      <c r="Z760" s="577"/>
      <c r="AA760" s="577"/>
      <c r="AB760" s="577"/>
      <c r="AC760" s="577"/>
      <c r="AD760" s="577"/>
      <c r="AE760" s="577"/>
      <c r="AF760" s="6"/>
    </row>
    <row r="761" ht="12.75" customHeight="1">
      <c r="A761" s="595"/>
      <c r="B761" s="596"/>
      <c r="C761" s="596"/>
      <c r="D761" s="596"/>
      <c r="E761" s="596"/>
      <c r="F761" s="596"/>
      <c r="G761" s="596"/>
      <c r="H761" s="596"/>
      <c r="I761" s="596"/>
      <c r="J761" s="577"/>
      <c r="K761" s="577"/>
      <c r="L761" s="577"/>
      <c r="M761" s="577"/>
      <c r="N761" s="577"/>
      <c r="O761" s="577"/>
      <c r="P761" s="577"/>
      <c r="Q761" s="577"/>
      <c r="R761" s="577"/>
      <c r="S761" s="577"/>
      <c r="T761" s="577"/>
      <c r="U761" s="577"/>
      <c r="V761" s="577"/>
      <c r="W761" s="577"/>
      <c r="X761" s="577"/>
      <c r="Y761" s="577"/>
      <c r="Z761" s="577"/>
      <c r="AA761" s="577"/>
      <c r="AB761" s="577"/>
      <c r="AC761" s="577"/>
      <c r="AD761" s="577"/>
      <c r="AE761" s="577"/>
      <c r="AF761" s="6"/>
    </row>
    <row r="762" ht="12.75" customHeight="1">
      <c r="A762" s="595"/>
      <c r="B762" s="596"/>
      <c r="C762" s="596"/>
      <c r="D762" s="596"/>
      <c r="E762" s="596"/>
      <c r="F762" s="596"/>
      <c r="G762" s="596"/>
      <c r="H762" s="596"/>
      <c r="I762" s="596"/>
      <c r="J762" s="577"/>
      <c r="K762" s="577"/>
      <c r="L762" s="577"/>
      <c r="M762" s="577"/>
      <c r="N762" s="577"/>
      <c r="O762" s="577"/>
      <c r="P762" s="577"/>
      <c r="Q762" s="577"/>
      <c r="R762" s="577"/>
      <c r="S762" s="577"/>
      <c r="T762" s="577"/>
      <c r="U762" s="577"/>
      <c r="V762" s="577"/>
      <c r="W762" s="577"/>
      <c r="X762" s="577"/>
      <c r="Y762" s="577"/>
      <c r="Z762" s="577"/>
      <c r="AA762" s="577"/>
      <c r="AB762" s="577"/>
      <c r="AC762" s="577"/>
      <c r="AD762" s="577"/>
      <c r="AE762" s="577"/>
      <c r="AF762" s="6"/>
    </row>
    <row r="763" ht="12.75" customHeight="1">
      <c r="A763" s="595"/>
      <c r="B763" s="596"/>
      <c r="C763" s="596"/>
      <c r="D763" s="596"/>
      <c r="E763" s="596"/>
      <c r="F763" s="596"/>
      <c r="G763" s="596"/>
      <c r="H763" s="596"/>
      <c r="I763" s="596"/>
      <c r="J763" s="577"/>
      <c r="K763" s="577"/>
      <c r="L763" s="577"/>
      <c r="M763" s="577"/>
      <c r="N763" s="577"/>
      <c r="O763" s="577"/>
      <c r="P763" s="577"/>
      <c r="Q763" s="577"/>
      <c r="R763" s="577"/>
      <c r="S763" s="577"/>
      <c r="T763" s="577"/>
      <c r="U763" s="577"/>
      <c r="V763" s="577"/>
      <c r="W763" s="577"/>
      <c r="X763" s="577"/>
      <c r="Y763" s="577"/>
      <c r="Z763" s="577"/>
      <c r="AA763" s="577"/>
      <c r="AB763" s="577"/>
      <c r="AC763" s="577"/>
      <c r="AD763" s="577"/>
      <c r="AE763" s="577"/>
      <c r="AF763" s="6"/>
    </row>
    <row r="764" ht="12.75" customHeight="1">
      <c r="A764" s="595"/>
      <c r="B764" s="596"/>
      <c r="C764" s="596"/>
      <c r="D764" s="596"/>
      <c r="E764" s="596"/>
      <c r="F764" s="596"/>
      <c r="G764" s="596"/>
      <c r="H764" s="596"/>
      <c r="I764" s="596"/>
      <c r="J764" s="577"/>
      <c r="K764" s="577"/>
      <c r="L764" s="577"/>
      <c r="M764" s="577"/>
      <c r="N764" s="577"/>
      <c r="O764" s="577"/>
      <c r="P764" s="577"/>
      <c r="Q764" s="577"/>
      <c r="R764" s="577"/>
      <c r="S764" s="577"/>
      <c r="T764" s="577"/>
      <c r="U764" s="577"/>
      <c r="V764" s="577"/>
      <c r="W764" s="577"/>
      <c r="X764" s="577"/>
      <c r="Y764" s="577"/>
      <c r="Z764" s="577"/>
      <c r="AA764" s="577"/>
      <c r="AB764" s="577"/>
      <c r="AC764" s="577"/>
      <c r="AD764" s="577"/>
      <c r="AE764" s="577"/>
      <c r="AF764" s="6"/>
    </row>
    <row r="765" ht="12.75" customHeight="1">
      <c r="A765" s="595"/>
      <c r="B765" s="596"/>
      <c r="C765" s="596"/>
      <c r="D765" s="596"/>
      <c r="E765" s="596"/>
      <c r="F765" s="596"/>
      <c r="G765" s="596"/>
      <c r="H765" s="596"/>
      <c r="I765" s="596"/>
      <c r="J765" s="577"/>
      <c r="K765" s="577"/>
      <c r="L765" s="577"/>
      <c r="M765" s="577"/>
      <c r="N765" s="577"/>
      <c r="O765" s="577"/>
      <c r="P765" s="577"/>
      <c r="Q765" s="577"/>
      <c r="R765" s="577"/>
      <c r="S765" s="577"/>
      <c r="T765" s="577"/>
      <c r="U765" s="577"/>
      <c r="V765" s="577"/>
      <c r="W765" s="577"/>
      <c r="X765" s="577"/>
      <c r="Y765" s="577"/>
      <c r="Z765" s="577"/>
      <c r="AA765" s="577"/>
      <c r="AB765" s="577"/>
      <c r="AC765" s="577"/>
      <c r="AD765" s="577"/>
      <c r="AE765" s="577"/>
      <c r="AF765" s="6"/>
    </row>
    <row r="766" ht="12.75" customHeight="1">
      <c r="A766" s="595"/>
      <c r="B766" s="596"/>
      <c r="C766" s="596"/>
      <c r="D766" s="596"/>
      <c r="E766" s="596"/>
      <c r="F766" s="596"/>
      <c r="G766" s="596"/>
      <c r="H766" s="596"/>
      <c r="I766" s="596"/>
      <c r="J766" s="577"/>
      <c r="K766" s="577"/>
      <c r="L766" s="577"/>
      <c r="M766" s="577"/>
      <c r="N766" s="577"/>
      <c r="O766" s="577"/>
      <c r="P766" s="577"/>
      <c r="Q766" s="577"/>
      <c r="R766" s="577"/>
      <c r="S766" s="577"/>
      <c r="T766" s="577"/>
      <c r="U766" s="577"/>
      <c r="V766" s="577"/>
      <c r="W766" s="577"/>
      <c r="X766" s="577"/>
      <c r="Y766" s="577"/>
      <c r="Z766" s="577"/>
      <c r="AA766" s="577"/>
      <c r="AB766" s="577"/>
      <c r="AC766" s="577"/>
      <c r="AD766" s="577"/>
      <c r="AE766" s="577"/>
      <c r="AF766" s="6"/>
    </row>
    <row r="767" ht="12.75" customHeight="1">
      <c r="A767" s="595"/>
      <c r="B767" s="596"/>
      <c r="C767" s="596"/>
      <c r="D767" s="596"/>
      <c r="E767" s="596"/>
      <c r="F767" s="596"/>
      <c r="G767" s="596"/>
      <c r="H767" s="596"/>
      <c r="I767" s="596"/>
      <c r="J767" s="577"/>
      <c r="K767" s="577"/>
      <c r="L767" s="577"/>
      <c r="M767" s="577"/>
      <c r="N767" s="577"/>
      <c r="O767" s="577"/>
      <c r="P767" s="577"/>
      <c r="Q767" s="577"/>
      <c r="R767" s="577"/>
      <c r="S767" s="577"/>
      <c r="T767" s="577"/>
      <c r="U767" s="577"/>
      <c r="V767" s="577"/>
      <c r="W767" s="577"/>
      <c r="X767" s="577"/>
      <c r="Y767" s="577"/>
      <c r="Z767" s="577"/>
      <c r="AA767" s="577"/>
      <c r="AB767" s="577"/>
      <c r="AC767" s="577"/>
      <c r="AD767" s="577"/>
      <c r="AE767" s="577"/>
      <c r="AF767" s="6"/>
    </row>
    <row r="768" ht="12.75" customHeight="1">
      <c r="A768" s="595"/>
      <c r="B768" s="596"/>
      <c r="C768" s="596"/>
      <c r="D768" s="596"/>
      <c r="E768" s="596"/>
      <c r="F768" s="596"/>
      <c r="G768" s="596"/>
      <c r="H768" s="596"/>
      <c r="I768" s="596"/>
      <c r="J768" s="577"/>
      <c r="K768" s="577"/>
      <c r="L768" s="577"/>
      <c r="M768" s="577"/>
      <c r="N768" s="577"/>
      <c r="O768" s="577"/>
      <c r="P768" s="577"/>
      <c r="Q768" s="577"/>
      <c r="R768" s="577"/>
      <c r="S768" s="577"/>
      <c r="T768" s="577"/>
      <c r="U768" s="577"/>
      <c r="V768" s="577"/>
      <c r="W768" s="577"/>
      <c r="X768" s="577"/>
      <c r="Y768" s="577"/>
      <c r="Z768" s="577"/>
      <c r="AA768" s="577"/>
      <c r="AB768" s="577"/>
      <c r="AC768" s="577"/>
      <c r="AD768" s="577"/>
      <c r="AE768" s="577"/>
      <c r="AF768" s="6"/>
    </row>
    <row r="769" ht="12.75" customHeight="1">
      <c r="A769" s="595"/>
      <c r="B769" s="596"/>
      <c r="C769" s="596"/>
      <c r="D769" s="596"/>
      <c r="E769" s="596"/>
      <c r="F769" s="596"/>
      <c r="G769" s="596"/>
      <c r="H769" s="596"/>
      <c r="I769" s="596"/>
      <c r="J769" s="577"/>
      <c r="K769" s="577"/>
      <c r="L769" s="577"/>
      <c r="M769" s="577"/>
      <c r="N769" s="577"/>
      <c r="O769" s="577"/>
      <c r="P769" s="577"/>
      <c r="Q769" s="577"/>
      <c r="R769" s="577"/>
      <c r="S769" s="577"/>
      <c r="T769" s="577"/>
      <c r="U769" s="577"/>
      <c r="V769" s="577"/>
      <c r="W769" s="577"/>
      <c r="X769" s="577"/>
      <c r="Y769" s="577"/>
      <c r="Z769" s="577"/>
      <c r="AA769" s="577"/>
      <c r="AB769" s="577"/>
      <c r="AC769" s="577"/>
      <c r="AD769" s="577"/>
      <c r="AE769" s="577"/>
      <c r="AF769" s="6"/>
    </row>
    <row r="770" ht="12.75" customHeight="1">
      <c r="A770" s="595"/>
      <c r="B770" s="596"/>
      <c r="C770" s="596"/>
      <c r="D770" s="596"/>
      <c r="E770" s="596"/>
      <c r="F770" s="596"/>
      <c r="G770" s="596"/>
      <c r="H770" s="596"/>
      <c r="I770" s="596"/>
      <c r="J770" s="577"/>
      <c r="K770" s="577"/>
      <c r="L770" s="577"/>
      <c r="M770" s="577"/>
      <c r="N770" s="577"/>
      <c r="O770" s="577"/>
      <c r="P770" s="577"/>
      <c r="Q770" s="577"/>
      <c r="R770" s="577"/>
      <c r="S770" s="577"/>
      <c r="T770" s="577"/>
      <c r="U770" s="577"/>
      <c r="V770" s="577"/>
      <c r="W770" s="577"/>
      <c r="X770" s="577"/>
      <c r="Y770" s="577"/>
      <c r="Z770" s="577"/>
      <c r="AA770" s="577"/>
      <c r="AB770" s="577"/>
      <c r="AC770" s="577"/>
      <c r="AD770" s="577"/>
      <c r="AE770" s="577"/>
      <c r="AF770" s="6"/>
    </row>
    <row r="771" ht="12.75" customHeight="1">
      <c r="A771" s="595"/>
      <c r="B771" s="596"/>
      <c r="C771" s="596"/>
      <c r="D771" s="596"/>
      <c r="E771" s="596"/>
      <c r="F771" s="596"/>
      <c r="G771" s="596"/>
      <c r="H771" s="596"/>
      <c r="I771" s="596"/>
      <c r="J771" s="577"/>
      <c r="K771" s="577"/>
      <c r="L771" s="577"/>
      <c r="M771" s="577"/>
      <c r="N771" s="577"/>
      <c r="O771" s="577"/>
      <c r="P771" s="577"/>
      <c r="Q771" s="577"/>
      <c r="R771" s="577"/>
      <c r="S771" s="577"/>
      <c r="T771" s="577"/>
      <c r="U771" s="577"/>
      <c r="V771" s="577"/>
      <c r="W771" s="577"/>
      <c r="X771" s="577"/>
      <c r="Y771" s="577"/>
      <c r="Z771" s="577"/>
      <c r="AA771" s="577"/>
      <c r="AB771" s="577"/>
      <c r="AC771" s="577"/>
      <c r="AD771" s="577"/>
      <c r="AE771" s="577"/>
      <c r="AF771" s="6"/>
    </row>
    <row r="772" ht="12.75" customHeight="1">
      <c r="A772" s="595"/>
      <c r="B772" s="596"/>
      <c r="C772" s="596"/>
      <c r="D772" s="596"/>
      <c r="E772" s="596"/>
      <c r="F772" s="596"/>
      <c r="G772" s="596"/>
      <c r="H772" s="596"/>
      <c r="I772" s="596"/>
      <c r="J772" s="577"/>
      <c r="K772" s="577"/>
      <c r="L772" s="577"/>
      <c r="M772" s="577"/>
      <c r="N772" s="577"/>
      <c r="O772" s="577"/>
      <c r="P772" s="577"/>
      <c r="Q772" s="577"/>
      <c r="R772" s="577"/>
      <c r="S772" s="577"/>
      <c r="T772" s="577"/>
      <c r="U772" s="577"/>
      <c r="V772" s="577"/>
      <c r="W772" s="577"/>
      <c r="X772" s="577"/>
      <c r="Y772" s="577"/>
      <c r="Z772" s="577"/>
      <c r="AA772" s="577"/>
      <c r="AB772" s="577"/>
      <c r="AC772" s="577"/>
      <c r="AD772" s="577"/>
      <c r="AE772" s="577"/>
      <c r="AF772" s="6"/>
    </row>
    <row r="773" ht="12.75" customHeight="1">
      <c r="A773" s="595"/>
      <c r="B773" s="596"/>
      <c r="C773" s="596"/>
      <c r="D773" s="596"/>
      <c r="E773" s="596"/>
      <c r="F773" s="596"/>
      <c r="G773" s="596"/>
      <c r="H773" s="596"/>
      <c r="I773" s="596"/>
      <c r="J773" s="577"/>
      <c r="K773" s="577"/>
      <c r="L773" s="577"/>
      <c r="M773" s="577"/>
      <c r="N773" s="577"/>
      <c r="O773" s="577"/>
      <c r="P773" s="577"/>
      <c r="Q773" s="577"/>
      <c r="R773" s="577"/>
      <c r="S773" s="577"/>
      <c r="T773" s="577"/>
      <c r="U773" s="577"/>
      <c r="V773" s="577"/>
      <c r="W773" s="577"/>
      <c r="X773" s="577"/>
      <c r="Y773" s="577"/>
      <c r="Z773" s="577"/>
      <c r="AA773" s="577"/>
      <c r="AB773" s="577"/>
      <c r="AC773" s="577"/>
      <c r="AD773" s="577"/>
      <c r="AE773" s="577"/>
      <c r="AF773" s="6"/>
    </row>
    <row r="774" ht="12.75" customHeight="1">
      <c r="A774" s="595"/>
      <c r="B774" s="596"/>
      <c r="C774" s="596"/>
      <c r="D774" s="596"/>
      <c r="E774" s="596"/>
      <c r="F774" s="596"/>
      <c r="G774" s="596"/>
      <c r="H774" s="596"/>
      <c r="I774" s="596"/>
      <c r="J774" s="577"/>
      <c r="K774" s="577"/>
      <c r="L774" s="577"/>
      <c r="M774" s="577"/>
      <c r="N774" s="577"/>
      <c r="O774" s="577"/>
      <c r="P774" s="577"/>
      <c r="Q774" s="577"/>
      <c r="R774" s="577"/>
      <c r="S774" s="577"/>
      <c r="T774" s="577"/>
      <c r="U774" s="577"/>
      <c r="V774" s="577"/>
      <c r="W774" s="577"/>
      <c r="X774" s="577"/>
      <c r="Y774" s="577"/>
      <c r="Z774" s="577"/>
      <c r="AA774" s="577"/>
      <c r="AB774" s="577"/>
      <c r="AC774" s="577"/>
      <c r="AD774" s="577"/>
      <c r="AE774" s="577"/>
      <c r="AF774" s="6"/>
    </row>
    <row r="775" ht="12.75" customHeight="1">
      <c r="A775" s="595"/>
      <c r="B775" s="596"/>
      <c r="C775" s="596"/>
      <c r="D775" s="596"/>
      <c r="E775" s="596"/>
      <c r="F775" s="596"/>
      <c r="G775" s="596"/>
      <c r="H775" s="596"/>
      <c r="I775" s="596"/>
      <c r="J775" s="577"/>
      <c r="K775" s="577"/>
      <c r="L775" s="577"/>
      <c r="M775" s="577"/>
      <c r="N775" s="577"/>
      <c r="O775" s="577"/>
      <c r="P775" s="577"/>
      <c r="Q775" s="577"/>
      <c r="R775" s="577"/>
      <c r="S775" s="577"/>
      <c r="T775" s="577"/>
      <c r="U775" s="577"/>
      <c r="V775" s="577"/>
      <c r="W775" s="577"/>
      <c r="X775" s="577"/>
      <c r="Y775" s="577"/>
      <c r="Z775" s="577"/>
      <c r="AA775" s="577"/>
      <c r="AB775" s="577"/>
      <c r="AC775" s="577"/>
      <c r="AD775" s="577"/>
      <c r="AE775" s="577"/>
      <c r="AF775" s="6"/>
    </row>
    <row r="776" ht="12.75" customHeight="1">
      <c r="A776" s="595"/>
      <c r="B776" s="596"/>
      <c r="C776" s="596"/>
      <c r="D776" s="596"/>
      <c r="E776" s="596"/>
      <c r="F776" s="596"/>
      <c r="G776" s="596"/>
      <c r="H776" s="596"/>
      <c r="I776" s="596"/>
      <c r="J776" s="577"/>
      <c r="K776" s="577"/>
      <c r="L776" s="577"/>
      <c r="M776" s="577"/>
      <c r="N776" s="577"/>
      <c r="O776" s="577"/>
      <c r="P776" s="577"/>
      <c r="Q776" s="577"/>
      <c r="R776" s="577"/>
      <c r="S776" s="577"/>
      <c r="T776" s="577"/>
      <c r="U776" s="577"/>
      <c r="V776" s="577"/>
      <c r="W776" s="577"/>
      <c r="X776" s="577"/>
      <c r="Y776" s="577"/>
      <c r="Z776" s="577"/>
      <c r="AA776" s="577"/>
      <c r="AB776" s="577"/>
      <c r="AC776" s="577"/>
      <c r="AD776" s="577"/>
      <c r="AE776" s="577"/>
      <c r="AF776" s="6"/>
    </row>
    <row r="777" ht="12.75" customHeight="1">
      <c r="A777" s="595"/>
      <c r="B777" s="596"/>
      <c r="C777" s="596"/>
      <c r="D777" s="596"/>
      <c r="E777" s="596"/>
      <c r="F777" s="596"/>
      <c r="G777" s="596"/>
      <c r="H777" s="596"/>
      <c r="I777" s="596"/>
      <c r="J777" s="577"/>
      <c r="K777" s="577"/>
      <c r="L777" s="577"/>
      <c r="M777" s="577"/>
      <c r="N777" s="577"/>
      <c r="O777" s="577"/>
      <c r="P777" s="577"/>
      <c r="Q777" s="577"/>
      <c r="R777" s="577"/>
      <c r="S777" s="577"/>
      <c r="T777" s="577"/>
      <c r="U777" s="577"/>
      <c r="V777" s="577"/>
      <c r="W777" s="577"/>
      <c r="X777" s="577"/>
      <c r="Y777" s="577"/>
      <c r="Z777" s="577"/>
      <c r="AA777" s="577"/>
      <c r="AB777" s="577"/>
      <c r="AC777" s="577"/>
      <c r="AD777" s="577"/>
      <c r="AE777" s="577"/>
      <c r="AF777" s="6"/>
    </row>
    <row r="778" ht="12.75" customHeight="1">
      <c r="A778" s="595"/>
      <c r="B778" s="596"/>
      <c r="C778" s="596"/>
      <c r="D778" s="596"/>
      <c r="E778" s="596"/>
      <c r="F778" s="596"/>
      <c r="G778" s="596"/>
      <c r="H778" s="596"/>
      <c r="I778" s="596"/>
      <c r="J778" s="577"/>
      <c r="K778" s="577"/>
      <c r="L778" s="577"/>
      <c r="M778" s="577"/>
      <c r="N778" s="577"/>
      <c r="O778" s="577"/>
      <c r="P778" s="577"/>
      <c r="Q778" s="577"/>
      <c r="R778" s="577"/>
      <c r="S778" s="577"/>
      <c r="T778" s="577"/>
      <c r="U778" s="577"/>
      <c r="V778" s="577"/>
      <c r="W778" s="577"/>
      <c r="X778" s="577"/>
      <c r="Y778" s="577"/>
      <c r="Z778" s="577"/>
      <c r="AA778" s="577"/>
      <c r="AB778" s="577"/>
      <c r="AC778" s="577"/>
      <c r="AD778" s="577"/>
      <c r="AE778" s="577"/>
      <c r="AF778" s="6"/>
    </row>
    <row r="779" ht="12.75" customHeight="1">
      <c r="A779" s="595"/>
      <c r="B779" s="596"/>
      <c r="C779" s="596"/>
      <c r="D779" s="596"/>
      <c r="E779" s="596"/>
      <c r="F779" s="596"/>
      <c r="G779" s="596"/>
      <c r="H779" s="596"/>
      <c r="I779" s="596"/>
      <c r="J779" s="577"/>
      <c r="K779" s="577"/>
      <c r="L779" s="577"/>
      <c r="M779" s="577"/>
      <c r="N779" s="577"/>
      <c r="O779" s="577"/>
      <c r="P779" s="577"/>
      <c r="Q779" s="577"/>
      <c r="R779" s="577"/>
      <c r="S779" s="577"/>
      <c r="T779" s="577"/>
      <c r="U779" s="577"/>
      <c r="V779" s="577"/>
      <c r="W779" s="577"/>
      <c r="X779" s="577"/>
      <c r="Y779" s="577"/>
      <c r="Z779" s="577"/>
      <c r="AA779" s="577"/>
      <c r="AB779" s="577"/>
      <c r="AC779" s="577"/>
      <c r="AD779" s="577"/>
      <c r="AE779" s="577"/>
      <c r="AF779" s="6"/>
    </row>
    <row r="780" ht="12.75" customHeight="1">
      <c r="A780" s="595"/>
      <c r="B780" s="596"/>
      <c r="C780" s="596"/>
      <c r="D780" s="596"/>
      <c r="E780" s="596"/>
      <c r="F780" s="596"/>
      <c r="G780" s="596"/>
      <c r="H780" s="596"/>
      <c r="I780" s="596"/>
      <c r="J780" s="577"/>
      <c r="K780" s="577"/>
      <c r="L780" s="577"/>
      <c r="M780" s="577"/>
      <c r="N780" s="577"/>
      <c r="O780" s="577"/>
      <c r="P780" s="577"/>
      <c r="Q780" s="577"/>
      <c r="R780" s="577"/>
      <c r="S780" s="577"/>
      <c r="T780" s="577"/>
      <c r="U780" s="577"/>
      <c r="V780" s="577"/>
      <c r="W780" s="577"/>
      <c r="X780" s="577"/>
      <c r="Y780" s="577"/>
      <c r="Z780" s="577"/>
      <c r="AA780" s="577"/>
      <c r="AB780" s="577"/>
      <c r="AC780" s="577"/>
      <c r="AD780" s="577"/>
      <c r="AE780" s="577"/>
      <c r="AF780" s="6"/>
    </row>
    <row r="781" ht="12.75" customHeight="1">
      <c r="A781" s="595"/>
      <c r="B781" s="596"/>
      <c r="C781" s="596"/>
      <c r="D781" s="596"/>
      <c r="E781" s="596"/>
      <c r="F781" s="596"/>
      <c r="G781" s="596"/>
      <c r="H781" s="596"/>
      <c r="I781" s="596"/>
      <c r="J781" s="577"/>
      <c r="K781" s="577"/>
      <c r="L781" s="577"/>
      <c r="M781" s="577"/>
      <c r="N781" s="577"/>
      <c r="O781" s="577"/>
      <c r="P781" s="577"/>
      <c r="Q781" s="577"/>
      <c r="R781" s="577"/>
      <c r="S781" s="577"/>
      <c r="T781" s="577"/>
      <c r="U781" s="577"/>
      <c r="V781" s="577"/>
      <c r="W781" s="577"/>
      <c r="X781" s="577"/>
      <c r="Y781" s="577"/>
      <c r="Z781" s="577"/>
      <c r="AA781" s="577"/>
      <c r="AB781" s="577"/>
      <c r="AC781" s="577"/>
      <c r="AD781" s="577"/>
      <c r="AE781" s="577"/>
      <c r="AF781" s="6"/>
    </row>
    <row r="782" ht="12.75" customHeight="1">
      <c r="A782" s="595"/>
      <c r="B782" s="596"/>
      <c r="C782" s="596"/>
      <c r="D782" s="596"/>
      <c r="E782" s="596"/>
      <c r="F782" s="596"/>
      <c r="G782" s="596"/>
      <c r="H782" s="596"/>
      <c r="I782" s="596"/>
      <c r="J782" s="577"/>
      <c r="K782" s="577"/>
      <c r="L782" s="577"/>
      <c r="M782" s="577"/>
      <c r="N782" s="577"/>
      <c r="O782" s="577"/>
      <c r="P782" s="577"/>
      <c r="Q782" s="577"/>
      <c r="R782" s="577"/>
      <c r="S782" s="577"/>
      <c r="T782" s="577"/>
      <c r="U782" s="577"/>
      <c r="V782" s="577"/>
      <c r="W782" s="577"/>
      <c r="X782" s="577"/>
      <c r="Y782" s="577"/>
      <c r="Z782" s="577"/>
      <c r="AA782" s="577"/>
      <c r="AB782" s="577"/>
      <c r="AC782" s="577"/>
      <c r="AD782" s="577"/>
      <c r="AE782" s="577"/>
      <c r="AF782" s="6"/>
    </row>
    <row r="783" ht="12.75" customHeight="1">
      <c r="A783" s="595"/>
      <c r="B783" s="596"/>
      <c r="C783" s="596"/>
      <c r="D783" s="596"/>
      <c r="E783" s="596"/>
      <c r="F783" s="596"/>
      <c r="G783" s="596"/>
      <c r="H783" s="596"/>
      <c r="I783" s="596"/>
      <c r="J783" s="577"/>
      <c r="K783" s="577"/>
      <c r="L783" s="577"/>
      <c r="M783" s="577"/>
      <c r="N783" s="577"/>
      <c r="O783" s="577"/>
      <c r="P783" s="577"/>
      <c r="Q783" s="577"/>
      <c r="R783" s="577"/>
      <c r="S783" s="577"/>
      <c r="T783" s="577"/>
      <c r="U783" s="577"/>
      <c r="V783" s="577"/>
      <c r="W783" s="577"/>
      <c r="X783" s="577"/>
      <c r="Y783" s="577"/>
      <c r="Z783" s="577"/>
      <c r="AA783" s="577"/>
      <c r="AB783" s="577"/>
      <c r="AC783" s="577"/>
      <c r="AD783" s="577"/>
      <c r="AE783" s="577"/>
      <c r="AF783" s="6"/>
    </row>
    <row r="784" ht="12.75" customHeight="1">
      <c r="A784" s="595"/>
      <c r="B784" s="596"/>
      <c r="C784" s="596"/>
      <c r="D784" s="596"/>
      <c r="E784" s="596"/>
      <c r="F784" s="596"/>
      <c r="G784" s="596"/>
      <c r="H784" s="596"/>
      <c r="I784" s="596"/>
      <c r="J784" s="577"/>
      <c r="K784" s="577"/>
      <c r="L784" s="577"/>
      <c r="M784" s="577"/>
      <c r="N784" s="577"/>
      <c r="O784" s="577"/>
      <c r="P784" s="577"/>
      <c r="Q784" s="577"/>
      <c r="R784" s="577"/>
      <c r="S784" s="577"/>
      <c r="T784" s="577"/>
      <c r="U784" s="577"/>
      <c r="V784" s="577"/>
      <c r="W784" s="577"/>
      <c r="X784" s="577"/>
      <c r="Y784" s="577"/>
      <c r="Z784" s="577"/>
      <c r="AA784" s="577"/>
      <c r="AB784" s="577"/>
      <c r="AC784" s="577"/>
      <c r="AD784" s="577"/>
      <c r="AE784" s="577"/>
      <c r="AF784" s="6"/>
    </row>
    <row r="785" ht="12.75" customHeight="1">
      <c r="A785" s="595"/>
      <c r="B785" s="596"/>
      <c r="C785" s="596"/>
      <c r="D785" s="596"/>
      <c r="E785" s="596"/>
      <c r="F785" s="596"/>
      <c r="G785" s="596"/>
      <c r="H785" s="596"/>
      <c r="I785" s="596"/>
      <c r="J785" s="577"/>
      <c r="K785" s="577"/>
      <c r="L785" s="577"/>
      <c r="M785" s="577"/>
      <c r="N785" s="577"/>
      <c r="O785" s="577"/>
      <c r="P785" s="577"/>
      <c r="Q785" s="577"/>
      <c r="R785" s="577"/>
      <c r="S785" s="577"/>
      <c r="T785" s="577"/>
      <c r="U785" s="577"/>
      <c r="V785" s="577"/>
      <c r="W785" s="577"/>
      <c r="X785" s="577"/>
      <c r="Y785" s="577"/>
      <c r="Z785" s="577"/>
      <c r="AA785" s="577"/>
      <c r="AB785" s="577"/>
      <c r="AC785" s="577"/>
      <c r="AD785" s="577"/>
      <c r="AE785" s="577"/>
      <c r="AF785" s="6"/>
    </row>
    <row r="786" ht="12.75" customHeight="1">
      <c r="A786" s="595"/>
      <c r="B786" s="596"/>
      <c r="C786" s="596"/>
      <c r="D786" s="596"/>
      <c r="E786" s="596"/>
      <c r="F786" s="596"/>
      <c r="G786" s="596"/>
      <c r="H786" s="596"/>
      <c r="I786" s="596"/>
      <c r="J786" s="577"/>
      <c r="K786" s="577"/>
      <c r="L786" s="577"/>
      <c r="M786" s="577"/>
      <c r="N786" s="577"/>
      <c r="O786" s="577"/>
      <c r="P786" s="577"/>
      <c r="Q786" s="577"/>
      <c r="R786" s="577"/>
      <c r="S786" s="577"/>
      <c r="T786" s="577"/>
      <c r="U786" s="577"/>
      <c r="V786" s="577"/>
      <c r="W786" s="577"/>
      <c r="X786" s="577"/>
      <c r="Y786" s="577"/>
      <c r="Z786" s="577"/>
      <c r="AA786" s="577"/>
      <c r="AB786" s="577"/>
      <c r="AC786" s="577"/>
      <c r="AD786" s="577"/>
      <c r="AE786" s="577"/>
      <c r="AF786" s="6"/>
    </row>
    <row r="787" ht="12.75" customHeight="1">
      <c r="A787" s="595"/>
      <c r="B787" s="596"/>
      <c r="C787" s="596"/>
      <c r="D787" s="596"/>
      <c r="E787" s="596"/>
      <c r="F787" s="596"/>
      <c r="G787" s="596"/>
      <c r="H787" s="596"/>
      <c r="I787" s="596"/>
      <c r="J787" s="577"/>
      <c r="K787" s="577"/>
      <c r="L787" s="577"/>
      <c r="M787" s="577"/>
      <c r="N787" s="577"/>
      <c r="O787" s="577"/>
      <c r="P787" s="577"/>
      <c r="Q787" s="577"/>
      <c r="R787" s="577"/>
      <c r="S787" s="577"/>
      <c r="T787" s="577"/>
      <c r="U787" s="577"/>
      <c r="V787" s="577"/>
      <c r="W787" s="577"/>
      <c r="X787" s="577"/>
      <c r="Y787" s="577"/>
      <c r="Z787" s="577"/>
      <c r="AA787" s="577"/>
      <c r="AB787" s="577"/>
      <c r="AC787" s="577"/>
      <c r="AD787" s="577"/>
      <c r="AE787" s="577"/>
      <c r="AF787" s="6"/>
    </row>
    <row r="788" ht="12.75" customHeight="1">
      <c r="A788" s="595"/>
      <c r="B788" s="596"/>
      <c r="C788" s="596"/>
      <c r="D788" s="596"/>
      <c r="E788" s="596"/>
      <c r="F788" s="596"/>
      <c r="G788" s="596"/>
      <c r="H788" s="596"/>
      <c r="I788" s="596"/>
      <c r="J788" s="577"/>
      <c r="K788" s="577"/>
      <c r="L788" s="577"/>
      <c r="M788" s="577"/>
      <c r="N788" s="577"/>
      <c r="O788" s="577"/>
      <c r="P788" s="577"/>
      <c r="Q788" s="577"/>
      <c r="R788" s="577"/>
      <c r="S788" s="577"/>
      <c r="T788" s="577"/>
      <c r="U788" s="577"/>
      <c r="V788" s="577"/>
      <c r="W788" s="577"/>
      <c r="X788" s="577"/>
      <c r="Y788" s="577"/>
      <c r="Z788" s="577"/>
      <c r="AA788" s="577"/>
      <c r="AB788" s="577"/>
      <c r="AC788" s="577"/>
      <c r="AD788" s="577"/>
      <c r="AE788" s="577"/>
      <c r="AF788" s="6"/>
    </row>
    <row r="789" ht="12.75" customHeight="1">
      <c r="A789" s="595"/>
      <c r="B789" s="596"/>
      <c r="C789" s="596"/>
      <c r="D789" s="596"/>
      <c r="E789" s="596"/>
      <c r="F789" s="596"/>
      <c r="G789" s="596"/>
      <c r="H789" s="596"/>
      <c r="I789" s="596"/>
      <c r="J789" s="577"/>
      <c r="K789" s="577"/>
      <c r="L789" s="577"/>
      <c r="M789" s="577"/>
      <c r="N789" s="577"/>
      <c r="O789" s="577"/>
      <c r="P789" s="577"/>
      <c r="Q789" s="577"/>
      <c r="R789" s="577"/>
      <c r="S789" s="577"/>
      <c r="T789" s="577"/>
      <c r="U789" s="577"/>
      <c r="V789" s="577"/>
      <c r="W789" s="577"/>
      <c r="X789" s="577"/>
      <c r="Y789" s="577"/>
      <c r="Z789" s="577"/>
      <c r="AA789" s="577"/>
      <c r="AB789" s="577"/>
      <c r="AC789" s="577"/>
      <c r="AD789" s="577"/>
      <c r="AE789" s="577"/>
      <c r="AF789" s="6"/>
    </row>
    <row r="790" ht="12.75" customHeight="1">
      <c r="A790" s="595"/>
      <c r="B790" s="596"/>
      <c r="C790" s="596"/>
      <c r="D790" s="596"/>
      <c r="E790" s="596"/>
      <c r="F790" s="596"/>
      <c r="G790" s="596"/>
      <c r="H790" s="596"/>
      <c r="I790" s="596"/>
      <c r="J790" s="577"/>
      <c r="K790" s="577"/>
      <c r="L790" s="577"/>
      <c r="M790" s="577"/>
      <c r="N790" s="577"/>
      <c r="O790" s="577"/>
      <c r="P790" s="577"/>
      <c r="Q790" s="577"/>
      <c r="R790" s="577"/>
      <c r="S790" s="577"/>
      <c r="T790" s="577"/>
      <c r="U790" s="577"/>
      <c r="V790" s="577"/>
      <c r="W790" s="577"/>
      <c r="X790" s="577"/>
      <c r="Y790" s="577"/>
      <c r="Z790" s="577"/>
      <c r="AA790" s="577"/>
      <c r="AB790" s="577"/>
      <c r="AC790" s="577"/>
      <c r="AD790" s="577"/>
      <c r="AE790" s="577"/>
      <c r="AF790" s="6"/>
    </row>
    <row r="791" ht="12.75" customHeight="1">
      <c r="A791" s="595"/>
      <c r="B791" s="596"/>
      <c r="C791" s="596"/>
      <c r="D791" s="596"/>
      <c r="E791" s="596"/>
      <c r="F791" s="596"/>
      <c r="G791" s="596"/>
      <c r="H791" s="596"/>
      <c r="I791" s="596"/>
      <c r="J791" s="577"/>
      <c r="K791" s="577"/>
      <c r="L791" s="577"/>
      <c r="M791" s="577"/>
      <c r="N791" s="577"/>
      <c r="O791" s="577"/>
      <c r="P791" s="577"/>
      <c r="Q791" s="577"/>
      <c r="R791" s="577"/>
      <c r="S791" s="577"/>
      <c r="T791" s="577"/>
      <c r="U791" s="577"/>
      <c r="V791" s="577"/>
      <c r="W791" s="577"/>
      <c r="X791" s="577"/>
      <c r="Y791" s="577"/>
      <c r="Z791" s="577"/>
      <c r="AA791" s="577"/>
      <c r="AB791" s="577"/>
      <c r="AC791" s="577"/>
      <c r="AD791" s="577"/>
      <c r="AE791" s="577"/>
      <c r="AF791" s="6"/>
    </row>
    <row r="792" ht="12.75" customHeight="1">
      <c r="A792" s="595"/>
      <c r="B792" s="596"/>
      <c r="C792" s="596"/>
      <c r="D792" s="596"/>
      <c r="E792" s="596"/>
      <c r="F792" s="596"/>
      <c r="G792" s="596"/>
      <c r="H792" s="596"/>
      <c r="I792" s="596"/>
      <c r="J792" s="577"/>
      <c r="K792" s="577"/>
      <c r="L792" s="577"/>
      <c r="M792" s="577"/>
      <c r="N792" s="577"/>
      <c r="O792" s="577"/>
      <c r="P792" s="577"/>
      <c r="Q792" s="577"/>
      <c r="R792" s="577"/>
      <c r="S792" s="577"/>
      <c r="T792" s="577"/>
      <c r="U792" s="577"/>
      <c r="V792" s="577"/>
      <c r="W792" s="577"/>
      <c r="X792" s="577"/>
      <c r="Y792" s="577"/>
      <c r="Z792" s="577"/>
      <c r="AA792" s="577"/>
      <c r="AB792" s="577"/>
      <c r="AC792" s="577"/>
      <c r="AD792" s="577"/>
      <c r="AE792" s="577"/>
      <c r="AF792" s="6"/>
    </row>
    <row r="793" ht="12.75" customHeight="1">
      <c r="A793" s="595"/>
      <c r="B793" s="596"/>
      <c r="C793" s="596"/>
      <c r="D793" s="596"/>
      <c r="E793" s="596"/>
      <c r="F793" s="596"/>
      <c r="G793" s="596"/>
      <c r="H793" s="596"/>
      <c r="I793" s="596"/>
      <c r="J793" s="577"/>
      <c r="K793" s="577"/>
      <c r="L793" s="577"/>
      <c r="M793" s="577"/>
      <c r="N793" s="577"/>
      <c r="O793" s="577"/>
      <c r="P793" s="577"/>
      <c r="Q793" s="577"/>
      <c r="R793" s="577"/>
      <c r="S793" s="577"/>
      <c r="T793" s="577"/>
      <c r="U793" s="577"/>
      <c r="V793" s="577"/>
      <c r="W793" s="577"/>
      <c r="X793" s="577"/>
      <c r="Y793" s="577"/>
      <c r="Z793" s="577"/>
      <c r="AA793" s="577"/>
      <c r="AB793" s="577"/>
      <c r="AC793" s="577"/>
      <c r="AD793" s="577"/>
      <c r="AE793" s="577"/>
      <c r="AF793" s="6"/>
    </row>
    <row r="794" ht="12.75" customHeight="1">
      <c r="A794" s="595"/>
      <c r="B794" s="596"/>
      <c r="C794" s="596"/>
      <c r="D794" s="596"/>
      <c r="E794" s="596"/>
      <c r="F794" s="596"/>
      <c r="G794" s="596"/>
      <c r="H794" s="596"/>
      <c r="I794" s="596"/>
      <c r="J794" s="577"/>
      <c r="K794" s="577"/>
      <c r="L794" s="577"/>
      <c r="M794" s="577"/>
      <c r="N794" s="577"/>
      <c r="O794" s="577"/>
      <c r="P794" s="577"/>
      <c r="Q794" s="577"/>
      <c r="R794" s="577"/>
      <c r="S794" s="577"/>
      <c r="T794" s="577"/>
      <c r="U794" s="577"/>
      <c r="V794" s="577"/>
      <c r="W794" s="577"/>
      <c r="X794" s="577"/>
      <c r="Y794" s="577"/>
      <c r="Z794" s="577"/>
      <c r="AA794" s="577"/>
      <c r="AB794" s="577"/>
      <c r="AC794" s="577"/>
      <c r="AD794" s="577"/>
      <c r="AE794" s="577"/>
      <c r="AF794" s="6"/>
    </row>
    <row r="795" ht="12.75" customHeight="1">
      <c r="A795" s="595"/>
      <c r="B795" s="596"/>
      <c r="C795" s="596"/>
      <c r="D795" s="596"/>
      <c r="E795" s="596"/>
      <c r="F795" s="596"/>
      <c r="G795" s="596"/>
      <c r="H795" s="596"/>
      <c r="I795" s="596"/>
      <c r="J795" s="577"/>
      <c r="K795" s="577"/>
      <c r="L795" s="577"/>
      <c r="M795" s="577"/>
      <c r="N795" s="577"/>
      <c r="O795" s="577"/>
      <c r="P795" s="577"/>
      <c r="Q795" s="577"/>
      <c r="R795" s="577"/>
      <c r="S795" s="577"/>
      <c r="T795" s="577"/>
      <c r="U795" s="577"/>
      <c r="V795" s="577"/>
      <c r="W795" s="577"/>
      <c r="X795" s="577"/>
      <c r="Y795" s="577"/>
      <c r="Z795" s="577"/>
      <c r="AA795" s="577"/>
      <c r="AB795" s="577"/>
      <c r="AC795" s="577"/>
      <c r="AD795" s="577"/>
      <c r="AE795" s="577"/>
      <c r="AF795" s="6"/>
    </row>
    <row r="796" ht="12.75" customHeight="1">
      <c r="A796" s="595"/>
      <c r="B796" s="596"/>
      <c r="C796" s="596"/>
      <c r="D796" s="596"/>
      <c r="E796" s="596"/>
      <c r="F796" s="596"/>
      <c r="G796" s="596"/>
      <c r="H796" s="596"/>
      <c r="I796" s="596"/>
      <c r="J796" s="577"/>
      <c r="K796" s="577"/>
      <c r="L796" s="577"/>
      <c r="M796" s="577"/>
      <c r="N796" s="577"/>
      <c r="O796" s="577"/>
      <c r="P796" s="577"/>
      <c r="Q796" s="577"/>
      <c r="R796" s="577"/>
      <c r="S796" s="577"/>
      <c r="T796" s="577"/>
      <c r="U796" s="577"/>
      <c r="V796" s="577"/>
      <c r="W796" s="577"/>
      <c r="X796" s="577"/>
      <c r="Y796" s="577"/>
      <c r="Z796" s="577"/>
      <c r="AA796" s="577"/>
      <c r="AB796" s="577"/>
      <c r="AC796" s="577"/>
      <c r="AD796" s="577"/>
      <c r="AE796" s="577"/>
      <c r="AF796" s="6"/>
    </row>
    <row r="797" ht="12.75" customHeight="1">
      <c r="A797" s="595"/>
      <c r="B797" s="596"/>
      <c r="C797" s="596"/>
      <c r="D797" s="596"/>
      <c r="E797" s="596"/>
      <c r="F797" s="596"/>
      <c r="G797" s="596"/>
      <c r="H797" s="596"/>
      <c r="I797" s="596"/>
      <c r="J797" s="577"/>
      <c r="K797" s="577"/>
      <c r="L797" s="577"/>
      <c r="M797" s="577"/>
      <c r="N797" s="577"/>
      <c r="O797" s="577"/>
      <c r="P797" s="577"/>
      <c r="Q797" s="577"/>
      <c r="R797" s="577"/>
      <c r="S797" s="577"/>
      <c r="T797" s="577"/>
      <c r="U797" s="577"/>
      <c r="V797" s="577"/>
      <c r="W797" s="577"/>
      <c r="X797" s="577"/>
      <c r="Y797" s="577"/>
      <c r="Z797" s="577"/>
      <c r="AA797" s="577"/>
      <c r="AB797" s="577"/>
      <c r="AC797" s="577"/>
      <c r="AD797" s="577"/>
      <c r="AE797" s="577"/>
      <c r="AF797" s="6"/>
    </row>
    <row r="798" ht="12.75" customHeight="1">
      <c r="A798" s="595"/>
      <c r="B798" s="596"/>
      <c r="C798" s="596"/>
      <c r="D798" s="596"/>
      <c r="E798" s="596"/>
      <c r="F798" s="596"/>
      <c r="G798" s="596"/>
      <c r="H798" s="596"/>
      <c r="I798" s="596"/>
      <c r="J798" s="577"/>
      <c r="K798" s="577"/>
      <c r="L798" s="577"/>
      <c r="M798" s="577"/>
      <c r="N798" s="577"/>
      <c r="O798" s="577"/>
      <c r="P798" s="577"/>
      <c r="Q798" s="577"/>
      <c r="R798" s="577"/>
      <c r="S798" s="577"/>
      <c r="T798" s="577"/>
      <c r="U798" s="577"/>
      <c r="V798" s="577"/>
      <c r="W798" s="577"/>
      <c r="X798" s="577"/>
      <c r="Y798" s="577"/>
      <c r="Z798" s="577"/>
      <c r="AA798" s="577"/>
      <c r="AB798" s="577"/>
      <c r="AC798" s="577"/>
      <c r="AD798" s="577"/>
      <c r="AE798" s="577"/>
      <c r="AF798" s="6"/>
    </row>
    <row r="799" ht="12.75" customHeight="1">
      <c r="A799" s="595"/>
      <c r="B799" s="596"/>
      <c r="C799" s="596"/>
      <c r="D799" s="596"/>
      <c r="E799" s="596"/>
      <c r="F799" s="596"/>
      <c r="G799" s="596"/>
      <c r="H799" s="596"/>
      <c r="I799" s="596"/>
      <c r="J799" s="577"/>
      <c r="K799" s="577"/>
      <c r="L799" s="577"/>
      <c r="M799" s="577"/>
      <c r="N799" s="577"/>
      <c r="O799" s="577"/>
      <c r="P799" s="577"/>
      <c r="Q799" s="577"/>
      <c r="R799" s="577"/>
      <c r="S799" s="577"/>
      <c r="T799" s="577"/>
      <c r="U799" s="577"/>
      <c r="V799" s="577"/>
      <c r="W799" s="577"/>
      <c r="X799" s="577"/>
      <c r="Y799" s="577"/>
      <c r="Z799" s="577"/>
      <c r="AA799" s="577"/>
      <c r="AB799" s="577"/>
      <c r="AC799" s="577"/>
      <c r="AD799" s="577"/>
      <c r="AE799" s="577"/>
      <c r="AF799" s="6"/>
    </row>
    <row r="800" ht="12.75" customHeight="1">
      <c r="A800" s="595"/>
      <c r="B800" s="596"/>
      <c r="C800" s="596"/>
      <c r="D800" s="596"/>
      <c r="E800" s="596"/>
      <c r="F800" s="596"/>
      <c r="G800" s="596"/>
      <c r="H800" s="596"/>
      <c r="I800" s="596"/>
      <c r="J800" s="577"/>
      <c r="K800" s="577"/>
      <c r="L800" s="577"/>
      <c r="M800" s="577"/>
      <c r="N800" s="577"/>
      <c r="O800" s="577"/>
      <c r="P800" s="577"/>
      <c r="Q800" s="577"/>
      <c r="R800" s="577"/>
      <c r="S800" s="577"/>
      <c r="T800" s="577"/>
      <c r="U800" s="577"/>
      <c r="V800" s="577"/>
      <c r="W800" s="577"/>
      <c r="X800" s="577"/>
      <c r="Y800" s="577"/>
      <c r="Z800" s="577"/>
      <c r="AA800" s="577"/>
      <c r="AB800" s="577"/>
      <c r="AC800" s="577"/>
      <c r="AD800" s="577"/>
      <c r="AE800" s="577"/>
      <c r="AF800" s="6"/>
    </row>
    <row r="801" ht="12.75" customHeight="1">
      <c r="A801" s="595"/>
      <c r="B801" s="596"/>
      <c r="C801" s="596"/>
      <c r="D801" s="596"/>
      <c r="E801" s="596"/>
      <c r="F801" s="596"/>
      <c r="G801" s="596"/>
      <c r="H801" s="596"/>
      <c r="I801" s="596"/>
      <c r="J801" s="577"/>
      <c r="K801" s="577"/>
      <c r="L801" s="577"/>
      <c r="M801" s="577"/>
      <c r="N801" s="577"/>
      <c r="O801" s="577"/>
      <c r="P801" s="577"/>
      <c r="Q801" s="577"/>
      <c r="R801" s="577"/>
      <c r="S801" s="577"/>
      <c r="T801" s="577"/>
      <c r="U801" s="577"/>
      <c r="V801" s="577"/>
      <c r="W801" s="577"/>
      <c r="X801" s="577"/>
      <c r="Y801" s="577"/>
      <c r="Z801" s="577"/>
      <c r="AA801" s="577"/>
      <c r="AB801" s="577"/>
      <c r="AC801" s="577"/>
      <c r="AD801" s="577"/>
      <c r="AE801" s="577"/>
      <c r="AF801" s="6"/>
    </row>
    <row r="802" ht="12.75" customHeight="1">
      <c r="A802" s="595"/>
      <c r="B802" s="596"/>
      <c r="C802" s="596"/>
      <c r="D802" s="596"/>
      <c r="E802" s="596"/>
      <c r="F802" s="596"/>
      <c r="G802" s="596"/>
      <c r="H802" s="596"/>
      <c r="I802" s="596"/>
      <c r="J802" s="577"/>
      <c r="K802" s="577"/>
      <c r="L802" s="577"/>
      <c r="M802" s="577"/>
      <c r="N802" s="577"/>
      <c r="O802" s="577"/>
      <c r="P802" s="577"/>
      <c r="Q802" s="577"/>
      <c r="R802" s="577"/>
      <c r="S802" s="577"/>
      <c r="T802" s="577"/>
      <c r="U802" s="577"/>
      <c r="V802" s="577"/>
      <c r="W802" s="577"/>
      <c r="X802" s="577"/>
      <c r="Y802" s="577"/>
      <c r="Z802" s="577"/>
      <c r="AA802" s="577"/>
      <c r="AB802" s="577"/>
      <c r="AC802" s="577"/>
      <c r="AD802" s="577"/>
      <c r="AE802" s="577"/>
      <c r="AF802" s="6"/>
    </row>
    <row r="803" ht="12.75" customHeight="1">
      <c r="A803" s="595"/>
      <c r="B803" s="596"/>
      <c r="C803" s="596"/>
      <c r="D803" s="596"/>
      <c r="E803" s="596"/>
      <c r="F803" s="596"/>
      <c r="G803" s="596"/>
      <c r="H803" s="596"/>
      <c r="I803" s="596"/>
      <c r="J803" s="577"/>
      <c r="K803" s="577"/>
      <c r="L803" s="577"/>
      <c r="M803" s="577"/>
      <c r="N803" s="577"/>
      <c r="O803" s="577"/>
      <c r="P803" s="577"/>
      <c r="Q803" s="577"/>
      <c r="R803" s="577"/>
      <c r="S803" s="577"/>
      <c r="T803" s="577"/>
      <c r="U803" s="577"/>
      <c r="V803" s="577"/>
      <c r="W803" s="577"/>
      <c r="X803" s="577"/>
      <c r="Y803" s="577"/>
      <c r="Z803" s="577"/>
      <c r="AA803" s="577"/>
      <c r="AB803" s="577"/>
      <c r="AC803" s="577"/>
      <c r="AD803" s="577"/>
      <c r="AE803" s="577"/>
      <c r="AF803" s="6"/>
    </row>
    <row r="804" ht="12.75" customHeight="1">
      <c r="A804" s="595"/>
      <c r="B804" s="596"/>
      <c r="C804" s="596"/>
      <c r="D804" s="596"/>
      <c r="E804" s="596"/>
      <c r="F804" s="596"/>
      <c r="G804" s="596"/>
      <c r="H804" s="596"/>
      <c r="I804" s="596"/>
      <c r="J804" s="577"/>
      <c r="K804" s="577"/>
      <c r="L804" s="577"/>
      <c r="M804" s="577"/>
      <c r="N804" s="577"/>
      <c r="O804" s="577"/>
      <c r="P804" s="577"/>
      <c r="Q804" s="577"/>
      <c r="R804" s="577"/>
      <c r="S804" s="577"/>
      <c r="T804" s="577"/>
      <c r="U804" s="577"/>
      <c r="V804" s="577"/>
      <c r="W804" s="577"/>
      <c r="X804" s="577"/>
      <c r="Y804" s="577"/>
      <c r="Z804" s="577"/>
      <c r="AA804" s="577"/>
      <c r="AB804" s="577"/>
      <c r="AC804" s="577"/>
      <c r="AD804" s="577"/>
      <c r="AE804" s="577"/>
      <c r="AF804" s="6"/>
    </row>
    <row r="805" ht="12.75" customHeight="1">
      <c r="A805" s="595"/>
      <c r="B805" s="596"/>
      <c r="C805" s="596"/>
      <c r="D805" s="596"/>
      <c r="E805" s="596"/>
      <c r="F805" s="596"/>
      <c r="G805" s="596"/>
      <c r="H805" s="596"/>
      <c r="I805" s="596"/>
      <c r="J805" s="577"/>
      <c r="K805" s="577"/>
      <c r="L805" s="577"/>
      <c r="M805" s="577"/>
      <c r="N805" s="577"/>
      <c r="O805" s="577"/>
      <c r="P805" s="577"/>
      <c r="Q805" s="577"/>
      <c r="R805" s="577"/>
      <c r="S805" s="577"/>
      <c r="T805" s="577"/>
      <c r="U805" s="577"/>
      <c r="V805" s="577"/>
      <c r="W805" s="577"/>
      <c r="X805" s="577"/>
      <c r="Y805" s="577"/>
      <c r="Z805" s="577"/>
      <c r="AA805" s="577"/>
      <c r="AB805" s="577"/>
      <c r="AC805" s="577"/>
      <c r="AD805" s="577"/>
      <c r="AE805" s="577"/>
      <c r="AF805" s="6"/>
    </row>
    <row r="806" ht="12.75" customHeight="1">
      <c r="A806" s="595"/>
      <c r="B806" s="596"/>
      <c r="C806" s="596"/>
      <c r="D806" s="596"/>
      <c r="E806" s="596"/>
      <c r="F806" s="596"/>
      <c r="G806" s="596"/>
      <c r="H806" s="596"/>
      <c r="I806" s="596"/>
      <c r="J806" s="577"/>
      <c r="K806" s="577"/>
      <c r="L806" s="577"/>
      <c r="M806" s="577"/>
      <c r="N806" s="577"/>
      <c r="O806" s="577"/>
      <c r="P806" s="577"/>
      <c r="Q806" s="577"/>
      <c r="R806" s="577"/>
      <c r="S806" s="577"/>
      <c r="T806" s="577"/>
      <c r="U806" s="577"/>
      <c r="V806" s="577"/>
      <c r="W806" s="577"/>
      <c r="X806" s="577"/>
      <c r="Y806" s="577"/>
      <c r="Z806" s="577"/>
      <c r="AA806" s="577"/>
      <c r="AB806" s="577"/>
      <c r="AC806" s="577"/>
      <c r="AD806" s="577"/>
      <c r="AE806" s="577"/>
      <c r="AF806" s="6"/>
    </row>
    <row r="807" ht="12.75" customHeight="1">
      <c r="A807" s="595"/>
      <c r="B807" s="596"/>
      <c r="C807" s="596"/>
      <c r="D807" s="596"/>
      <c r="E807" s="596"/>
      <c r="F807" s="596"/>
      <c r="G807" s="596"/>
      <c r="H807" s="596"/>
      <c r="I807" s="596"/>
      <c r="J807" s="577"/>
      <c r="K807" s="577"/>
      <c r="L807" s="577"/>
      <c r="M807" s="577"/>
      <c r="N807" s="577"/>
      <c r="O807" s="577"/>
      <c r="P807" s="577"/>
      <c r="Q807" s="577"/>
      <c r="R807" s="577"/>
      <c r="S807" s="577"/>
      <c r="T807" s="577"/>
      <c r="U807" s="577"/>
      <c r="V807" s="577"/>
      <c r="W807" s="577"/>
      <c r="X807" s="577"/>
      <c r="Y807" s="577"/>
      <c r="Z807" s="577"/>
      <c r="AA807" s="577"/>
      <c r="AB807" s="577"/>
      <c r="AC807" s="577"/>
      <c r="AD807" s="577"/>
      <c r="AE807" s="577"/>
      <c r="AF807" s="6"/>
    </row>
    <row r="808" ht="12.75" customHeight="1">
      <c r="A808" s="595"/>
      <c r="B808" s="596"/>
      <c r="C808" s="596"/>
      <c r="D808" s="596"/>
      <c r="E808" s="596"/>
      <c r="F808" s="596"/>
      <c r="G808" s="596"/>
      <c r="H808" s="596"/>
      <c r="I808" s="596"/>
      <c r="J808" s="577"/>
      <c r="K808" s="577"/>
      <c r="L808" s="577"/>
      <c r="M808" s="577"/>
      <c r="N808" s="577"/>
      <c r="O808" s="577"/>
      <c r="P808" s="577"/>
      <c r="Q808" s="577"/>
      <c r="R808" s="577"/>
      <c r="S808" s="577"/>
      <c r="T808" s="577"/>
      <c r="U808" s="577"/>
      <c r="V808" s="577"/>
      <c r="W808" s="577"/>
      <c r="X808" s="577"/>
      <c r="Y808" s="577"/>
      <c r="Z808" s="577"/>
      <c r="AA808" s="577"/>
      <c r="AB808" s="577"/>
      <c r="AC808" s="577"/>
      <c r="AD808" s="577"/>
      <c r="AE808" s="577"/>
      <c r="AF808" s="6"/>
    </row>
    <row r="809" ht="12.75" customHeight="1">
      <c r="A809" s="595"/>
      <c r="B809" s="596"/>
      <c r="C809" s="596"/>
      <c r="D809" s="596"/>
      <c r="E809" s="596"/>
      <c r="F809" s="596"/>
      <c r="G809" s="596"/>
      <c r="H809" s="596"/>
      <c r="I809" s="596"/>
      <c r="J809" s="577"/>
      <c r="K809" s="577"/>
      <c r="L809" s="577"/>
      <c r="M809" s="577"/>
      <c r="N809" s="577"/>
      <c r="O809" s="577"/>
      <c r="P809" s="577"/>
      <c r="Q809" s="577"/>
      <c r="R809" s="577"/>
      <c r="S809" s="577"/>
      <c r="T809" s="577"/>
      <c r="U809" s="577"/>
      <c r="V809" s="577"/>
      <c r="W809" s="577"/>
      <c r="X809" s="577"/>
      <c r="Y809" s="577"/>
      <c r="Z809" s="577"/>
      <c r="AA809" s="577"/>
      <c r="AB809" s="577"/>
      <c r="AC809" s="577"/>
      <c r="AD809" s="577"/>
      <c r="AE809" s="577"/>
      <c r="AF809" s="6"/>
    </row>
    <row r="810" ht="12.75" customHeight="1">
      <c r="A810" s="595"/>
      <c r="B810" s="596"/>
      <c r="C810" s="596"/>
      <c r="D810" s="596"/>
      <c r="E810" s="596"/>
      <c r="F810" s="596"/>
      <c r="G810" s="596"/>
      <c r="H810" s="596"/>
      <c r="I810" s="596"/>
      <c r="J810" s="577"/>
      <c r="K810" s="577"/>
      <c r="L810" s="577"/>
      <c r="M810" s="577"/>
      <c r="N810" s="577"/>
      <c r="O810" s="577"/>
      <c r="P810" s="577"/>
      <c r="Q810" s="577"/>
      <c r="R810" s="577"/>
      <c r="S810" s="577"/>
      <c r="T810" s="577"/>
      <c r="U810" s="577"/>
      <c r="V810" s="577"/>
      <c r="W810" s="577"/>
      <c r="X810" s="577"/>
      <c r="Y810" s="577"/>
      <c r="Z810" s="577"/>
      <c r="AA810" s="577"/>
      <c r="AB810" s="577"/>
      <c r="AC810" s="577"/>
      <c r="AD810" s="577"/>
      <c r="AE810" s="577"/>
      <c r="AF810" s="6"/>
    </row>
    <row r="811" ht="12.75" customHeight="1">
      <c r="A811" s="595"/>
      <c r="B811" s="596"/>
      <c r="C811" s="596"/>
      <c r="D811" s="596"/>
      <c r="E811" s="596"/>
      <c r="F811" s="596"/>
      <c r="G811" s="596"/>
      <c r="H811" s="596"/>
      <c r="I811" s="596"/>
      <c r="J811" s="577"/>
      <c r="K811" s="577"/>
      <c r="L811" s="577"/>
      <c r="M811" s="577"/>
      <c r="N811" s="577"/>
      <c r="O811" s="577"/>
      <c r="P811" s="577"/>
      <c r="Q811" s="577"/>
      <c r="R811" s="577"/>
      <c r="S811" s="577"/>
      <c r="T811" s="577"/>
      <c r="U811" s="577"/>
      <c r="V811" s="577"/>
      <c r="W811" s="577"/>
      <c r="X811" s="577"/>
      <c r="Y811" s="577"/>
      <c r="Z811" s="577"/>
      <c r="AA811" s="577"/>
      <c r="AB811" s="577"/>
      <c r="AC811" s="577"/>
      <c r="AD811" s="577"/>
      <c r="AE811" s="577"/>
      <c r="AF811" s="6"/>
    </row>
    <row r="812" ht="12.75" customHeight="1">
      <c r="A812" s="595"/>
      <c r="B812" s="596"/>
      <c r="C812" s="596"/>
      <c r="D812" s="596"/>
      <c r="E812" s="596"/>
      <c r="F812" s="596"/>
      <c r="G812" s="596"/>
      <c r="H812" s="596"/>
      <c r="I812" s="596"/>
      <c r="J812" s="577"/>
      <c r="K812" s="577"/>
      <c r="L812" s="577"/>
      <c r="M812" s="577"/>
      <c r="N812" s="577"/>
      <c r="O812" s="577"/>
      <c r="P812" s="577"/>
      <c r="Q812" s="577"/>
      <c r="R812" s="577"/>
      <c r="S812" s="577"/>
      <c r="T812" s="577"/>
      <c r="U812" s="577"/>
      <c r="V812" s="577"/>
      <c r="W812" s="577"/>
      <c r="X812" s="577"/>
      <c r="Y812" s="577"/>
      <c r="Z812" s="577"/>
      <c r="AA812" s="577"/>
      <c r="AB812" s="577"/>
      <c r="AC812" s="577"/>
      <c r="AD812" s="577"/>
      <c r="AE812" s="577"/>
      <c r="AF812" s="6"/>
    </row>
    <row r="813" ht="12.75" customHeight="1">
      <c r="A813" s="595"/>
      <c r="B813" s="596"/>
      <c r="C813" s="596"/>
      <c r="D813" s="596"/>
      <c r="E813" s="596"/>
      <c r="F813" s="596"/>
      <c r="G813" s="596"/>
      <c r="H813" s="596"/>
      <c r="I813" s="596"/>
      <c r="J813" s="577"/>
      <c r="K813" s="577"/>
      <c r="L813" s="577"/>
      <c r="M813" s="577"/>
      <c r="N813" s="577"/>
      <c r="O813" s="577"/>
      <c r="P813" s="577"/>
      <c r="Q813" s="577"/>
      <c r="R813" s="577"/>
      <c r="S813" s="577"/>
      <c r="T813" s="577"/>
      <c r="U813" s="577"/>
      <c r="V813" s="577"/>
      <c r="W813" s="577"/>
      <c r="X813" s="577"/>
      <c r="Y813" s="577"/>
      <c r="Z813" s="577"/>
      <c r="AA813" s="577"/>
      <c r="AB813" s="577"/>
      <c r="AC813" s="577"/>
      <c r="AD813" s="577"/>
      <c r="AE813" s="577"/>
      <c r="AF813" s="6"/>
    </row>
    <row r="814" ht="12.75" customHeight="1">
      <c r="A814" s="595"/>
      <c r="B814" s="596"/>
      <c r="C814" s="596"/>
      <c r="D814" s="596"/>
      <c r="E814" s="596"/>
      <c r="F814" s="596"/>
      <c r="G814" s="596"/>
      <c r="H814" s="596"/>
      <c r="I814" s="596"/>
      <c r="J814" s="577"/>
      <c r="K814" s="577"/>
      <c r="L814" s="577"/>
      <c r="M814" s="577"/>
      <c r="N814" s="577"/>
      <c r="O814" s="577"/>
      <c r="P814" s="577"/>
      <c r="Q814" s="577"/>
      <c r="R814" s="577"/>
      <c r="S814" s="577"/>
      <c r="T814" s="577"/>
      <c r="U814" s="577"/>
      <c r="V814" s="577"/>
      <c r="W814" s="577"/>
      <c r="X814" s="577"/>
      <c r="Y814" s="577"/>
      <c r="Z814" s="577"/>
      <c r="AA814" s="577"/>
      <c r="AB814" s="577"/>
      <c r="AC814" s="577"/>
      <c r="AD814" s="577"/>
      <c r="AE814" s="577"/>
      <c r="AF814" s="6"/>
    </row>
    <row r="815" ht="12.75" customHeight="1">
      <c r="A815" s="595"/>
      <c r="B815" s="596"/>
      <c r="C815" s="596"/>
      <c r="D815" s="596"/>
      <c r="E815" s="596"/>
      <c r="F815" s="596"/>
      <c r="G815" s="596"/>
      <c r="H815" s="596"/>
      <c r="I815" s="596"/>
      <c r="J815" s="577"/>
      <c r="K815" s="577"/>
      <c r="L815" s="577"/>
      <c r="M815" s="577"/>
      <c r="N815" s="577"/>
      <c r="O815" s="577"/>
      <c r="P815" s="577"/>
      <c r="Q815" s="577"/>
      <c r="R815" s="577"/>
      <c r="S815" s="577"/>
      <c r="T815" s="577"/>
      <c r="U815" s="577"/>
      <c r="V815" s="577"/>
      <c r="W815" s="577"/>
      <c r="X815" s="577"/>
      <c r="Y815" s="577"/>
      <c r="Z815" s="577"/>
      <c r="AA815" s="577"/>
      <c r="AB815" s="577"/>
      <c r="AC815" s="577"/>
      <c r="AD815" s="577"/>
      <c r="AE815" s="577"/>
      <c r="AF815" s="6"/>
    </row>
    <row r="816" ht="12.75" customHeight="1">
      <c r="A816" s="595"/>
      <c r="B816" s="596"/>
      <c r="C816" s="596"/>
      <c r="D816" s="596"/>
      <c r="E816" s="596"/>
      <c r="F816" s="596"/>
      <c r="G816" s="596"/>
      <c r="H816" s="596"/>
      <c r="I816" s="596"/>
      <c r="J816" s="577"/>
      <c r="K816" s="577"/>
      <c r="L816" s="577"/>
      <c r="M816" s="577"/>
      <c r="N816" s="577"/>
      <c r="O816" s="577"/>
      <c r="P816" s="577"/>
      <c r="Q816" s="577"/>
      <c r="R816" s="577"/>
      <c r="S816" s="577"/>
      <c r="T816" s="577"/>
      <c r="U816" s="577"/>
      <c r="V816" s="577"/>
      <c r="W816" s="577"/>
      <c r="X816" s="577"/>
      <c r="Y816" s="577"/>
      <c r="Z816" s="577"/>
      <c r="AA816" s="577"/>
      <c r="AB816" s="577"/>
      <c r="AC816" s="577"/>
      <c r="AD816" s="577"/>
      <c r="AE816" s="577"/>
      <c r="AF816" s="6"/>
    </row>
    <row r="817" ht="12.75" customHeight="1">
      <c r="A817" s="595"/>
      <c r="B817" s="596"/>
      <c r="C817" s="596"/>
      <c r="D817" s="596"/>
      <c r="E817" s="596"/>
      <c r="F817" s="596"/>
      <c r="G817" s="596"/>
      <c r="H817" s="596"/>
      <c r="I817" s="596"/>
      <c r="J817" s="577"/>
      <c r="K817" s="577"/>
      <c r="L817" s="577"/>
      <c r="M817" s="577"/>
      <c r="N817" s="577"/>
      <c r="O817" s="577"/>
      <c r="P817" s="577"/>
      <c r="Q817" s="577"/>
      <c r="R817" s="577"/>
      <c r="S817" s="577"/>
      <c r="T817" s="577"/>
      <c r="U817" s="577"/>
      <c r="V817" s="577"/>
      <c r="W817" s="577"/>
      <c r="X817" s="577"/>
      <c r="Y817" s="577"/>
      <c r="Z817" s="577"/>
      <c r="AA817" s="577"/>
      <c r="AB817" s="577"/>
      <c r="AC817" s="577"/>
      <c r="AD817" s="577"/>
      <c r="AE817" s="577"/>
      <c r="AF817" s="6"/>
    </row>
    <row r="818" ht="12.75" customHeight="1">
      <c r="A818" s="595"/>
      <c r="B818" s="596"/>
      <c r="C818" s="596"/>
      <c r="D818" s="596"/>
      <c r="E818" s="596"/>
      <c r="F818" s="596"/>
      <c r="G818" s="596"/>
      <c r="H818" s="596"/>
      <c r="I818" s="596"/>
      <c r="J818" s="577"/>
      <c r="K818" s="577"/>
      <c r="L818" s="577"/>
      <c r="M818" s="577"/>
      <c r="N818" s="577"/>
      <c r="O818" s="577"/>
      <c r="P818" s="577"/>
      <c r="Q818" s="577"/>
      <c r="R818" s="577"/>
      <c r="S818" s="577"/>
      <c r="T818" s="577"/>
      <c r="U818" s="577"/>
      <c r="V818" s="577"/>
      <c r="W818" s="577"/>
      <c r="X818" s="577"/>
      <c r="Y818" s="577"/>
      <c r="Z818" s="577"/>
      <c r="AA818" s="577"/>
      <c r="AB818" s="577"/>
      <c r="AC818" s="577"/>
      <c r="AD818" s="577"/>
      <c r="AE818" s="577"/>
      <c r="AF818" s="6"/>
    </row>
    <row r="819" ht="12.75" customHeight="1">
      <c r="A819" s="595"/>
      <c r="B819" s="596"/>
      <c r="C819" s="596"/>
      <c r="D819" s="596"/>
      <c r="E819" s="596"/>
      <c r="F819" s="596"/>
      <c r="G819" s="596"/>
      <c r="H819" s="596"/>
      <c r="I819" s="596"/>
      <c r="J819" s="577"/>
      <c r="K819" s="577"/>
      <c r="L819" s="577"/>
      <c r="M819" s="577"/>
      <c r="N819" s="577"/>
      <c r="O819" s="577"/>
      <c r="P819" s="577"/>
      <c r="Q819" s="577"/>
      <c r="R819" s="577"/>
      <c r="S819" s="577"/>
      <c r="T819" s="577"/>
      <c r="U819" s="577"/>
      <c r="V819" s="577"/>
      <c r="W819" s="577"/>
      <c r="X819" s="577"/>
      <c r="Y819" s="577"/>
      <c r="Z819" s="577"/>
      <c r="AA819" s="577"/>
      <c r="AB819" s="577"/>
      <c r="AC819" s="577"/>
      <c r="AD819" s="577"/>
      <c r="AE819" s="577"/>
      <c r="AF819" s="6"/>
    </row>
    <row r="820" ht="12.75" customHeight="1">
      <c r="A820" s="595"/>
      <c r="B820" s="596"/>
      <c r="C820" s="596"/>
      <c r="D820" s="596"/>
      <c r="E820" s="596"/>
      <c r="F820" s="596"/>
      <c r="G820" s="596"/>
      <c r="H820" s="596"/>
      <c r="I820" s="596"/>
      <c r="J820" s="577"/>
      <c r="K820" s="577"/>
      <c r="L820" s="577"/>
      <c r="M820" s="577"/>
      <c r="N820" s="577"/>
      <c r="O820" s="577"/>
      <c r="P820" s="577"/>
      <c r="Q820" s="577"/>
      <c r="R820" s="577"/>
      <c r="S820" s="577"/>
      <c r="T820" s="577"/>
      <c r="U820" s="577"/>
      <c r="V820" s="577"/>
      <c r="W820" s="577"/>
      <c r="X820" s="577"/>
      <c r="Y820" s="577"/>
      <c r="Z820" s="577"/>
      <c r="AA820" s="577"/>
      <c r="AB820" s="577"/>
      <c r="AC820" s="577"/>
      <c r="AD820" s="577"/>
      <c r="AE820" s="577"/>
      <c r="AF820" s="6"/>
    </row>
    <row r="821" ht="12.75" customHeight="1">
      <c r="A821" s="595"/>
      <c r="B821" s="596"/>
      <c r="C821" s="596"/>
      <c r="D821" s="596"/>
      <c r="E821" s="596"/>
      <c r="F821" s="596"/>
      <c r="G821" s="596"/>
      <c r="H821" s="596"/>
      <c r="I821" s="596"/>
      <c r="J821" s="577"/>
      <c r="K821" s="577"/>
      <c r="L821" s="577"/>
      <c r="M821" s="577"/>
      <c r="N821" s="577"/>
      <c r="O821" s="577"/>
      <c r="P821" s="577"/>
      <c r="Q821" s="577"/>
      <c r="R821" s="577"/>
      <c r="S821" s="577"/>
      <c r="T821" s="577"/>
      <c r="U821" s="577"/>
      <c r="V821" s="577"/>
      <c r="W821" s="577"/>
      <c r="X821" s="577"/>
      <c r="Y821" s="577"/>
      <c r="Z821" s="577"/>
      <c r="AA821" s="577"/>
      <c r="AB821" s="577"/>
      <c r="AC821" s="577"/>
      <c r="AD821" s="577"/>
      <c r="AE821" s="577"/>
      <c r="AF821" s="6"/>
    </row>
    <row r="822" ht="12.75" customHeight="1">
      <c r="A822" s="595"/>
      <c r="B822" s="596"/>
      <c r="C822" s="596"/>
      <c r="D822" s="596"/>
      <c r="E822" s="596"/>
      <c r="F822" s="596"/>
      <c r="G822" s="596"/>
      <c r="H822" s="596"/>
      <c r="I822" s="596"/>
      <c r="J822" s="577"/>
      <c r="K822" s="577"/>
      <c r="L822" s="577"/>
      <c r="M822" s="577"/>
      <c r="N822" s="577"/>
      <c r="O822" s="577"/>
      <c r="P822" s="577"/>
      <c r="Q822" s="577"/>
      <c r="R822" s="577"/>
      <c r="S822" s="577"/>
      <c r="T822" s="577"/>
      <c r="U822" s="577"/>
      <c r="V822" s="577"/>
      <c r="W822" s="577"/>
      <c r="X822" s="577"/>
      <c r="Y822" s="577"/>
      <c r="Z822" s="577"/>
      <c r="AA822" s="577"/>
      <c r="AB822" s="577"/>
      <c r="AC822" s="577"/>
      <c r="AD822" s="577"/>
      <c r="AE822" s="577"/>
      <c r="AF822" s="6"/>
    </row>
    <row r="823" ht="12.75" customHeight="1">
      <c r="A823" s="595"/>
      <c r="B823" s="596"/>
      <c r="C823" s="596"/>
      <c r="D823" s="596"/>
      <c r="E823" s="596"/>
      <c r="F823" s="596"/>
      <c r="G823" s="596"/>
      <c r="H823" s="596"/>
      <c r="I823" s="596"/>
      <c r="J823" s="577"/>
      <c r="K823" s="577"/>
      <c r="L823" s="577"/>
      <c r="M823" s="577"/>
      <c r="N823" s="577"/>
      <c r="O823" s="577"/>
      <c r="P823" s="577"/>
      <c r="Q823" s="577"/>
      <c r="R823" s="577"/>
      <c r="S823" s="577"/>
      <c r="T823" s="577"/>
      <c r="U823" s="577"/>
      <c r="V823" s="577"/>
      <c r="W823" s="577"/>
      <c r="X823" s="577"/>
      <c r="Y823" s="577"/>
      <c r="Z823" s="577"/>
      <c r="AA823" s="577"/>
      <c r="AB823" s="577"/>
      <c r="AC823" s="577"/>
      <c r="AD823" s="577"/>
      <c r="AE823" s="577"/>
      <c r="AF823" s="6"/>
    </row>
    <row r="824" ht="12.75" customHeight="1">
      <c r="A824" s="595"/>
      <c r="B824" s="596"/>
      <c r="C824" s="596"/>
      <c r="D824" s="596"/>
      <c r="E824" s="596"/>
      <c r="F824" s="596"/>
      <c r="G824" s="596"/>
      <c r="H824" s="596"/>
      <c r="I824" s="596"/>
      <c r="J824" s="577"/>
      <c r="K824" s="577"/>
      <c r="L824" s="577"/>
      <c r="M824" s="577"/>
      <c r="N824" s="577"/>
      <c r="O824" s="577"/>
      <c r="P824" s="577"/>
      <c r="Q824" s="577"/>
      <c r="R824" s="577"/>
      <c r="S824" s="577"/>
      <c r="T824" s="577"/>
      <c r="U824" s="577"/>
      <c r="V824" s="577"/>
      <c r="W824" s="577"/>
      <c r="X824" s="577"/>
      <c r="Y824" s="577"/>
      <c r="Z824" s="577"/>
      <c r="AA824" s="577"/>
      <c r="AB824" s="577"/>
      <c r="AC824" s="577"/>
      <c r="AD824" s="577"/>
      <c r="AE824" s="577"/>
      <c r="AF824" s="6"/>
    </row>
    <row r="825" ht="12.75" customHeight="1">
      <c r="A825" s="595"/>
      <c r="B825" s="596"/>
      <c r="C825" s="596"/>
      <c r="D825" s="596"/>
      <c r="E825" s="596"/>
      <c r="F825" s="596"/>
      <c r="G825" s="596"/>
      <c r="H825" s="596"/>
      <c r="I825" s="596"/>
      <c r="J825" s="577"/>
      <c r="K825" s="577"/>
      <c r="L825" s="577"/>
      <c r="M825" s="577"/>
      <c r="N825" s="577"/>
      <c r="O825" s="577"/>
      <c r="P825" s="577"/>
      <c r="Q825" s="577"/>
      <c r="R825" s="577"/>
      <c r="S825" s="577"/>
      <c r="T825" s="577"/>
      <c r="U825" s="577"/>
      <c r="V825" s="577"/>
      <c r="W825" s="577"/>
      <c r="X825" s="577"/>
      <c r="Y825" s="577"/>
      <c r="Z825" s="577"/>
      <c r="AA825" s="577"/>
      <c r="AB825" s="577"/>
      <c r="AC825" s="577"/>
      <c r="AD825" s="577"/>
      <c r="AE825" s="577"/>
      <c r="AF825" s="6"/>
    </row>
    <row r="826" ht="12.75" customHeight="1">
      <c r="A826" s="595"/>
      <c r="B826" s="596"/>
      <c r="C826" s="596"/>
      <c r="D826" s="596"/>
      <c r="E826" s="596"/>
      <c r="F826" s="596"/>
      <c r="G826" s="596"/>
      <c r="H826" s="596"/>
      <c r="I826" s="596"/>
      <c r="J826" s="577"/>
      <c r="K826" s="577"/>
      <c r="L826" s="577"/>
      <c r="M826" s="577"/>
      <c r="N826" s="577"/>
      <c r="O826" s="577"/>
      <c r="P826" s="577"/>
      <c r="Q826" s="577"/>
      <c r="R826" s="577"/>
      <c r="S826" s="577"/>
      <c r="T826" s="577"/>
      <c r="U826" s="577"/>
      <c r="V826" s="577"/>
      <c r="W826" s="577"/>
      <c r="X826" s="577"/>
      <c r="Y826" s="577"/>
      <c r="Z826" s="577"/>
      <c r="AA826" s="577"/>
      <c r="AB826" s="577"/>
      <c r="AC826" s="577"/>
      <c r="AD826" s="577"/>
      <c r="AE826" s="577"/>
      <c r="AF826" s="6"/>
    </row>
    <row r="827" ht="12.75" customHeight="1">
      <c r="A827" s="595"/>
      <c r="B827" s="596"/>
      <c r="C827" s="596"/>
      <c r="D827" s="596"/>
      <c r="E827" s="596"/>
      <c r="F827" s="596"/>
      <c r="G827" s="596"/>
      <c r="H827" s="596"/>
      <c r="I827" s="596"/>
      <c r="J827" s="577"/>
      <c r="K827" s="577"/>
      <c r="L827" s="577"/>
      <c r="M827" s="577"/>
      <c r="N827" s="577"/>
      <c r="O827" s="577"/>
      <c r="P827" s="577"/>
      <c r="Q827" s="577"/>
      <c r="R827" s="577"/>
      <c r="S827" s="577"/>
      <c r="T827" s="577"/>
      <c r="U827" s="577"/>
      <c r="V827" s="577"/>
      <c r="W827" s="577"/>
      <c r="X827" s="577"/>
      <c r="Y827" s="577"/>
      <c r="Z827" s="577"/>
      <c r="AA827" s="577"/>
      <c r="AB827" s="577"/>
      <c r="AC827" s="577"/>
      <c r="AD827" s="577"/>
      <c r="AE827" s="577"/>
      <c r="AF827" s="6"/>
    </row>
    <row r="828" ht="12.75" customHeight="1">
      <c r="A828" s="595"/>
      <c r="B828" s="596"/>
      <c r="C828" s="596"/>
      <c r="D828" s="596"/>
      <c r="E828" s="596"/>
      <c r="F828" s="596"/>
      <c r="G828" s="596"/>
      <c r="H828" s="596"/>
      <c r="I828" s="596"/>
      <c r="J828" s="577"/>
      <c r="K828" s="577"/>
      <c r="L828" s="577"/>
      <c r="M828" s="577"/>
      <c r="N828" s="577"/>
      <c r="O828" s="577"/>
      <c r="P828" s="577"/>
      <c r="Q828" s="577"/>
      <c r="R828" s="577"/>
      <c r="S828" s="577"/>
      <c r="T828" s="577"/>
      <c r="U828" s="577"/>
      <c r="V828" s="577"/>
      <c r="W828" s="577"/>
      <c r="X828" s="577"/>
      <c r="Y828" s="577"/>
      <c r="Z828" s="577"/>
      <c r="AA828" s="577"/>
      <c r="AB828" s="577"/>
      <c r="AC828" s="577"/>
      <c r="AD828" s="577"/>
      <c r="AE828" s="577"/>
      <c r="AF828" s="6"/>
    </row>
    <row r="829" ht="12.75" customHeight="1">
      <c r="A829" s="595"/>
      <c r="B829" s="596"/>
      <c r="C829" s="596"/>
      <c r="D829" s="596"/>
      <c r="E829" s="596"/>
      <c r="F829" s="596"/>
      <c r="G829" s="596"/>
      <c r="H829" s="596"/>
      <c r="I829" s="596"/>
      <c r="J829" s="577"/>
      <c r="K829" s="577"/>
      <c r="L829" s="577"/>
      <c r="M829" s="577"/>
      <c r="N829" s="577"/>
      <c r="O829" s="577"/>
      <c r="P829" s="577"/>
      <c r="Q829" s="577"/>
      <c r="R829" s="577"/>
      <c r="S829" s="577"/>
      <c r="T829" s="577"/>
      <c r="U829" s="577"/>
      <c r="V829" s="577"/>
      <c r="W829" s="577"/>
      <c r="X829" s="577"/>
      <c r="Y829" s="577"/>
      <c r="Z829" s="577"/>
      <c r="AA829" s="577"/>
      <c r="AB829" s="577"/>
      <c r="AC829" s="577"/>
      <c r="AD829" s="577"/>
      <c r="AE829" s="577"/>
      <c r="AF829" s="6"/>
    </row>
    <row r="830" ht="12.75" customHeight="1">
      <c r="A830" s="595"/>
      <c r="B830" s="596"/>
      <c r="C830" s="596"/>
      <c r="D830" s="596"/>
      <c r="E830" s="596"/>
      <c r="F830" s="596"/>
      <c r="G830" s="596"/>
      <c r="H830" s="596"/>
      <c r="I830" s="596"/>
      <c r="J830" s="577"/>
      <c r="K830" s="577"/>
      <c r="L830" s="577"/>
      <c r="M830" s="577"/>
      <c r="N830" s="577"/>
      <c r="O830" s="577"/>
      <c r="P830" s="577"/>
      <c r="Q830" s="577"/>
      <c r="R830" s="577"/>
      <c r="S830" s="577"/>
      <c r="T830" s="577"/>
      <c r="U830" s="577"/>
      <c r="V830" s="577"/>
      <c r="W830" s="577"/>
      <c r="X830" s="577"/>
      <c r="Y830" s="577"/>
      <c r="Z830" s="577"/>
      <c r="AA830" s="577"/>
      <c r="AB830" s="577"/>
      <c r="AC830" s="577"/>
      <c r="AD830" s="577"/>
      <c r="AE830" s="577"/>
      <c r="AF830" s="6"/>
    </row>
    <row r="831" ht="12.75" customHeight="1">
      <c r="A831" s="595"/>
      <c r="B831" s="596"/>
      <c r="C831" s="596"/>
      <c r="D831" s="596"/>
      <c r="E831" s="596"/>
      <c r="F831" s="596"/>
      <c r="G831" s="596"/>
      <c r="H831" s="596"/>
      <c r="I831" s="596"/>
      <c r="J831" s="577"/>
      <c r="K831" s="577"/>
      <c r="L831" s="577"/>
      <c r="M831" s="577"/>
      <c r="N831" s="577"/>
      <c r="O831" s="577"/>
      <c r="P831" s="577"/>
      <c r="Q831" s="577"/>
      <c r="R831" s="577"/>
      <c r="S831" s="577"/>
      <c r="T831" s="577"/>
      <c r="U831" s="577"/>
      <c r="V831" s="577"/>
      <c r="W831" s="577"/>
      <c r="X831" s="577"/>
      <c r="Y831" s="577"/>
      <c r="Z831" s="577"/>
      <c r="AA831" s="577"/>
      <c r="AB831" s="577"/>
      <c r="AC831" s="577"/>
      <c r="AD831" s="577"/>
      <c r="AE831" s="577"/>
      <c r="AF831" s="6"/>
    </row>
    <row r="832" ht="12.75" customHeight="1">
      <c r="A832" s="595"/>
      <c r="B832" s="596"/>
      <c r="C832" s="596"/>
      <c r="D832" s="596"/>
      <c r="E832" s="596"/>
      <c r="F832" s="596"/>
      <c r="G832" s="596"/>
      <c r="H832" s="596"/>
      <c r="I832" s="596"/>
      <c r="J832" s="577"/>
      <c r="K832" s="577"/>
      <c r="L832" s="577"/>
      <c r="M832" s="577"/>
      <c r="N832" s="577"/>
      <c r="O832" s="577"/>
      <c r="P832" s="577"/>
      <c r="Q832" s="577"/>
      <c r="R832" s="577"/>
      <c r="S832" s="577"/>
      <c r="T832" s="577"/>
      <c r="U832" s="577"/>
      <c r="V832" s="577"/>
      <c r="W832" s="577"/>
      <c r="X832" s="577"/>
      <c r="Y832" s="577"/>
      <c r="Z832" s="577"/>
      <c r="AA832" s="577"/>
      <c r="AB832" s="577"/>
      <c r="AC832" s="577"/>
      <c r="AD832" s="577"/>
      <c r="AE832" s="577"/>
      <c r="AF832" s="6"/>
    </row>
    <row r="833" ht="12.75" customHeight="1">
      <c r="A833" s="595"/>
      <c r="B833" s="596"/>
      <c r="C833" s="596"/>
      <c r="D833" s="596"/>
      <c r="E833" s="596"/>
      <c r="F833" s="596"/>
      <c r="G833" s="596"/>
      <c r="H833" s="596"/>
      <c r="I833" s="596"/>
      <c r="J833" s="577"/>
      <c r="K833" s="577"/>
      <c r="L833" s="577"/>
      <c r="M833" s="577"/>
      <c r="N833" s="577"/>
      <c r="O833" s="577"/>
      <c r="P833" s="577"/>
      <c r="Q833" s="577"/>
      <c r="R833" s="577"/>
      <c r="S833" s="577"/>
      <c r="T833" s="577"/>
      <c r="U833" s="577"/>
      <c r="V833" s="577"/>
      <c r="W833" s="577"/>
      <c r="X833" s="577"/>
      <c r="Y833" s="577"/>
      <c r="Z833" s="577"/>
      <c r="AA833" s="577"/>
      <c r="AB833" s="577"/>
      <c r="AC833" s="577"/>
      <c r="AD833" s="577"/>
      <c r="AE833" s="577"/>
      <c r="AF833" s="6"/>
    </row>
    <row r="834" ht="12.75" customHeight="1">
      <c r="A834" s="595"/>
      <c r="B834" s="596"/>
      <c r="C834" s="596"/>
      <c r="D834" s="596"/>
      <c r="E834" s="596"/>
      <c r="F834" s="596"/>
      <c r="G834" s="596"/>
      <c r="H834" s="596"/>
      <c r="I834" s="596"/>
      <c r="J834" s="577"/>
      <c r="K834" s="577"/>
      <c r="L834" s="577"/>
      <c r="M834" s="577"/>
      <c r="N834" s="577"/>
      <c r="O834" s="577"/>
      <c r="P834" s="577"/>
      <c r="Q834" s="577"/>
      <c r="R834" s="577"/>
      <c r="S834" s="577"/>
      <c r="T834" s="577"/>
      <c r="U834" s="577"/>
      <c r="V834" s="577"/>
      <c r="W834" s="577"/>
      <c r="X834" s="577"/>
      <c r="Y834" s="577"/>
      <c r="Z834" s="577"/>
      <c r="AA834" s="577"/>
      <c r="AB834" s="577"/>
      <c r="AC834" s="577"/>
      <c r="AD834" s="577"/>
      <c r="AE834" s="577"/>
      <c r="AF834" s="6"/>
    </row>
    <row r="835" ht="12.75" customHeight="1">
      <c r="A835" s="595"/>
      <c r="B835" s="596"/>
      <c r="C835" s="596"/>
      <c r="D835" s="596"/>
      <c r="E835" s="596"/>
      <c r="F835" s="596"/>
      <c r="G835" s="596"/>
      <c r="H835" s="596"/>
      <c r="I835" s="596"/>
      <c r="J835" s="577"/>
      <c r="K835" s="577"/>
      <c r="L835" s="577"/>
      <c r="M835" s="577"/>
      <c r="N835" s="577"/>
      <c r="O835" s="577"/>
      <c r="P835" s="577"/>
      <c r="Q835" s="577"/>
      <c r="R835" s="577"/>
      <c r="S835" s="577"/>
      <c r="T835" s="577"/>
      <c r="U835" s="577"/>
      <c r="V835" s="577"/>
      <c r="W835" s="577"/>
      <c r="X835" s="577"/>
      <c r="Y835" s="577"/>
      <c r="Z835" s="577"/>
      <c r="AA835" s="577"/>
      <c r="AB835" s="577"/>
      <c r="AC835" s="577"/>
      <c r="AD835" s="577"/>
      <c r="AE835" s="577"/>
      <c r="AF835" s="6"/>
    </row>
    <row r="836" ht="12.75" customHeight="1">
      <c r="A836" s="595"/>
      <c r="B836" s="596"/>
      <c r="C836" s="596"/>
      <c r="D836" s="596"/>
      <c r="E836" s="596"/>
      <c r="F836" s="596"/>
      <c r="G836" s="596"/>
      <c r="H836" s="596"/>
      <c r="I836" s="596"/>
      <c r="J836" s="577"/>
      <c r="K836" s="577"/>
      <c r="L836" s="577"/>
      <c r="M836" s="577"/>
      <c r="N836" s="577"/>
      <c r="O836" s="577"/>
      <c r="P836" s="577"/>
      <c r="Q836" s="577"/>
      <c r="R836" s="577"/>
      <c r="S836" s="577"/>
      <c r="T836" s="577"/>
      <c r="U836" s="577"/>
      <c r="V836" s="577"/>
      <c r="W836" s="577"/>
      <c r="X836" s="577"/>
      <c r="Y836" s="577"/>
      <c r="Z836" s="577"/>
      <c r="AA836" s="577"/>
      <c r="AB836" s="577"/>
      <c r="AC836" s="577"/>
      <c r="AD836" s="577"/>
      <c r="AE836" s="577"/>
      <c r="AF836" s="6"/>
    </row>
    <row r="837" ht="12.75" customHeight="1">
      <c r="A837" s="595"/>
      <c r="B837" s="596"/>
      <c r="C837" s="596"/>
      <c r="D837" s="596"/>
      <c r="E837" s="596"/>
      <c r="F837" s="596"/>
      <c r="G837" s="596"/>
      <c r="H837" s="596"/>
      <c r="I837" s="596"/>
      <c r="J837" s="577"/>
      <c r="K837" s="577"/>
      <c r="L837" s="577"/>
      <c r="M837" s="577"/>
      <c r="N837" s="577"/>
      <c r="O837" s="577"/>
      <c r="P837" s="577"/>
      <c r="Q837" s="577"/>
      <c r="R837" s="577"/>
      <c r="S837" s="577"/>
      <c r="T837" s="577"/>
      <c r="U837" s="577"/>
      <c r="V837" s="577"/>
      <c r="W837" s="577"/>
      <c r="X837" s="577"/>
      <c r="Y837" s="577"/>
      <c r="Z837" s="577"/>
      <c r="AA837" s="577"/>
      <c r="AB837" s="577"/>
      <c r="AC837" s="577"/>
      <c r="AD837" s="577"/>
      <c r="AE837" s="577"/>
      <c r="AF837" s="6"/>
    </row>
    <row r="838" ht="12.75" customHeight="1">
      <c r="A838" s="595"/>
      <c r="B838" s="596"/>
      <c r="C838" s="596"/>
      <c r="D838" s="596"/>
      <c r="E838" s="596"/>
      <c r="F838" s="596"/>
      <c r="G838" s="596"/>
      <c r="H838" s="596"/>
      <c r="I838" s="596"/>
      <c r="J838" s="577"/>
      <c r="K838" s="577"/>
      <c r="L838" s="577"/>
      <c r="M838" s="577"/>
      <c r="N838" s="577"/>
      <c r="O838" s="577"/>
      <c r="P838" s="577"/>
      <c r="Q838" s="577"/>
      <c r="R838" s="577"/>
      <c r="S838" s="577"/>
      <c r="T838" s="577"/>
      <c r="U838" s="577"/>
      <c r="V838" s="577"/>
      <c r="W838" s="577"/>
      <c r="X838" s="577"/>
      <c r="Y838" s="577"/>
      <c r="Z838" s="577"/>
      <c r="AA838" s="577"/>
      <c r="AB838" s="577"/>
      <c r="AC838" s="577"/>
      <c r="AD838" s="577"/>
      <c r="AE838" s="577"/>
      <c r="AF838" s="6"/>
    </row>
    <row r="839" ht="12.75" customHeight="1">
      <c r="A839" s="595"/>
      <c r="B839" s="596"/>
      <c r="C839" s="596"/>
      <c r="D839" s="596"/>
      <c r="E839" s="596"/>
      <c r="F839" s="596"/>
      <c r="G839" s="596"/>
      <c r="H839" s="596"/>
      <c r="I839" s="596"/>
      <c r="J839" s="577"/>
      <c r="K839" s="577"/>
      <c r="L839" s="577"/>
      <c r="M839" s="577"/>
      <c r="N839" s="577"/>
      <c r="O839" s="577"/>
      <c r="P839" s="577"/>
      <c r="Q839" s="577"/>
      <c r="R839" s="577"/>
      <c r="S839" s="577"/>
      <c r="T839" s="577"/>
      <c r="U839" s="577"/>
      <c r="V839" s="577"/>
      <c r="W839" s="577"/>
      <c r="X839" s="577"/>
      <c r="Y839" s="577"/>
      <c r="Z839" s="577"/>
      <c r="AA839" s="577"/>
      <c r="AB839" s="577"/>
      <c r="AC839" s="577"/>
      <c r="AD839" s="577"/>
      <c r="AE839" s="577"/>
      <c r="AF839" s="6"/>
    </row>
    <row r="840" ht="12.75" customHeight="1">
      <c r="A840" s="595"/>
      <c r="B840" s="596"/>
      <c r="C840" s="596"/>
      <c r="D840" s="596"/>
      <c r="E840" s="596"/>
      <c r="F840" s="596"/>
      <c r="G840" s="596"/>
      <c r="H840" s="596"/>
      <c r="I840" s="596"/>
      <c r="J840" s="577"/>
      <c r="K840" s="577"/>
      <c r="L840" s="577"/>
      <c r="M840" s="577"/>
      <c r="N840" s="577"/>
      <c r="O840" s="577"/>
      <c r="P840" s="577"/>
      <c r="Q840" s="577"/>
      <c r="R840" s="577"/>
      <c r="S840" s="577"/>
      <c r="T840" s="577"/>
      <c r="U840" s="577"/>
      <c r="V840" s="577"/>
      <c r="W840" s="577"/>
      <c r="X840" s="577"/>
      <c r="Y840" s="577"/>
      <c r="Z840" s="577"/>
      <c r="AA840" s="577"/>
      <c r="AB840" s="577"/>
      <c r="AC840" s="577"/>
      <c r="AD840" s="577"/>
      <c r="AE840" s="577"/>
      <c r="AF840" s="6"/>
    </row>
    <row r="841" ht="12.75" customHeight="1">
      <c r="A841" s="595"/>
      <c r="B841" s="596"/>
      <c r="C841" s="596"/>
      <c r="D841" s="596"/>
      <c r="E841" s="596"/>
      <c r="F841" s="596"/>
      <c r="G841" s="596"/>
      <c r="H841" s="596"/>
      <c r="I841" s="596"/>
      <c r="J841" s="577"/>
      <c r="K841" s="577"/>
      <c r="L841" s="577"/>
      <c r="M841" s="577"/>
      <c r="N841" s="577"/>
      <c r="O841" s="577"/>
      <c r="P841" s="577"/>
      <c r="Q841" s="577"/>
      <c r="R841" s="577"/>
      <c r="S841" s="577"/>
      <c r="T841" s="577"/>
      <c r="U841" s="577"/>
      <c r="V841" s="577"/>
      <c r="W841" s="577"/>
      <c r="X841" s="577"/>
      <c r="Y841" s="577"/>
      <c r="Z841" s="577"/>
      <c r="AA841" s="577"/>
      <c r="AB841" s="577"/>
      <c r="AC841" s="577"/>
      <c r="AD841" s="577"/>
      <c r="AE841" s="577"/>
      <c r="AF841" s="6"/>
    </row>
    <row r="842" ht="12.75" customHeight="1">
      <c r="A842" s="595"/>
      <c r="B842" s="596"/>
      <c r="C842" s="596"/>
      <c r="D842" s="596"/>
      <c r="E842" s="596"/>
      <c r="F842" s="596"/>
      <c r="G842" s="596"/>
      <c r="H842" s="596"/>
      <c r="I842" s="596"/>
      <c r="J842" s="577"/>
      <c r="K842" s="577"/>
      <c r="L842" s="577"/>
      <c r="M842" s="577"/>
      <c r="N842" s="577"/>
      <c r="O842" s="577"/>
      <c r="P842" s="577"/>
      <c r="Q842" s="577"/>
      <c r="R842" s="577"/>
      <c r="S842" s="577"/>
      <c r="T842" s="577"/>
      <c r="U842" s="577"/>
      <c r="V842" s="577"/>
      <c r="W842" s="577"/>
      <c r="X842" s="577"/>
      <c r="Y842" s="577"/>
      <c r="Z842" s="577"/>
      <c r="AA842" s="577"/>
      <c r="AB842" s="577"/>
      <c r="AC842" s="577"/>
      <c r="AD842" s="577"/>
      <c r="AE842" s="577"/>
      <c r="AF842" s="6"/>
    </row>
    <row r="843" ht="12.75" customHeight="1">
      <c r="A843" s="595"/>
      <c r="B843" s="596"/>
      <c r="C843" s="596"/>
      <c r="D843" s="596"/>
      <c r="E843" s="596"/>
      <c r="F843" s="596"/>
      <c r="G843" s="596"/>
      <c r="H843" s="596"/>
      <c r="I843" s="596"/>
      <c r="J843" s="577"/>
      <c r="K843" s="577"/>
      <c r="L843" s="577"/>
      <c r="M843" s="577"/>
      <c r="N843" s="577"/>
      <c r="O843" s="577"/>
      <c r="P843" s="577"/>
      <c r="Q843" s="577"/>
      <c r="R843" s="577"/>
      <c r="S843" s="577"/>
      <c r="T843" s="577"/>
      <c r="U843" s="577"/>
      <c r="V843" s="577"/>
      <c r="W843" s="577"/>
      <c r="X843" s="577"/>
      <c r="Y843" s="577"/>
      <c r="Z843" s="577"/>
      <c r="AA843" s="577"/>
      <c r="AB843" s="577"/>
      <c r="AC843" s="577"/>
      <c r="AD843" s="577"/>
      <c r="AE843" s="577"/>
      <c r="AF843" s="6"/>
    </row>
    <row r="844" ht="12.75" customHeight="1">
      <c r="A844" s="595"/>
      <c r="B844" s="596"/>
      <c r="C844" s="596"/>
      <c r="D844" s="596"/>
      <c r="E844" s="596"/>
      <c r="F844" s="596"/>
      <c r="G844" s="596"/>
      <c r="H844" s="596"/>
      <c r="I844" s="596"/>
      <c r="J844" s="577"/>
      <c r="K844" s="577"/>
      <c r="L844" s="577"/>
      <c r="M844" s="577"/>
      <c r="N844" s="577"/>
      <c r="O844" s="577"/>
      <c r="P844" s="577"/>
      <c r="Q844" s="577"/>
      <c r="R844" s="577"/>
      <c r="S844" s="577"/>
      <c r="T844" s="577"/>
      <c r="U844" s="577"/>
      <c r="V844" s="577"/>
      <c r="W844" s="577"/>
      <c r="X844" s="577"/>
      <c r="Y844" s="577"/>
      <c r="Z844" s="577"/>
      <c r="AA844" s="577"/>
      <c r="AB844" s="577"/>
      <c r="AC844" s="577"/>
      <c r="AD844" s="577"/>
      <c r="AE844" s="577"/>
      <c r="AF844" s="6"/>
    </row>
    <row r="845" ht="12.75" customHeight="1">
      <c r="A845" s="595"/>
      <c r="B845" s="596"/>
      <c r="C845" s="596"/>
      <c r="D845" s="596"/>
      <c r="E845" s="596"/>
      <c r="F845" s="596"/>
      <c r="G845" s="596"/>
      <c r="H845" s="596"/>
      <c r="I845" s="596"/>
      <c r="J845" s="577"/>
      <c r="K845" s="577"/>
      <c r="L845" s="577"/>
      <c r="M845" s="577"/>
      <c r="N845" s="577"/>
      <c r="O845" s="577"/>
      <c r="P845" s="577"/>
      <c r="Q845" s="577"/>
      <c r="R845" s="577"/>
      <c r="S845" s="577"/>
      <c r="T845" s="577"/>
      <c r="U845" s="577"/>
      <c r="V845" s="577"/>
      <c r="W845" s="577"/>
      <c r="X845" s="577"/>
      <c r="Y845" s="577"/>
      <c r="Z845" s="577"/>
      <c r="AA845" s="577"/>
      <c r="AB845" s="577"/>
      <c r="AC845" s="577"/>
      <c r="AD845" s="577"/>
      <c r="AE845" s="577"/>
      <c r="AF845" s="6"/>
    </row>
    <row r="846" ht="12.75" customHeight="1">
      <c r="A846" s="595"/>
      <c r="B846" s="596"/>
      <c r="C846" s="596"/>
      <c r="D846" s="596"/>
      <c r="E846" s="596"/>
      <c r="F846" s="596"/>
      <c r="G846" s="596"/>
      <c r="H846" s="596"/>
      <c r="I846" s="596"/>
      <c r="J846" s="577"/>
      <c r="K846" s="577"/>
      <c r="L846" s="577"/>
      <c r="M846" s="577"/>
      <c r="N846" s="577"/>
      <c r="O846" s="577"/>
      <c r="P846" s="577"/>
      <c r="Q846" s="577"/>
      <c r="R846" s="577"/>
      <c r="S846" s="577"/>
      <c r="T846" s="577"/>
      <c r="U846" s="577"/>
      <c r="V846" s="577"/>
      <c r="W846" s="577"/>
      <c r="X846" s="577"/>
      <c r="Y846" s="577"/>
      <c r="Z846" s="577"/>
      <c r="AA846" s="577"/>
      <c r="AB846" s="577"/>
      <c r="AC846" s="577"/>
      <c r="AD846" s="577"/>
      <c r="AE846" s="577"/>
      <c r="AF846" s="6"/>
    </row>
    <row r="847" ht="12.75" customHeight="1">
      <c r="A847" s="595"/>
      <c r="B847" s="596"/>
      <c r="C847" s="596"/>
      <c r="D847" s="596"/>
      <c r="E847" s="596"/>
      <c r="F847" s="596"/>
      <c r="G847" s="596"/>
      <c r="H847" s="596"/>
      <c r="I847" s="596"/>
      <c r="J847" s="577"/>
      <c r="K847" s="577"/>
      <c r="L847" s="577"/>
      <c r="M847" s="577"/>
      <c r="N847" s="577"/>
      <c r="O847" s="577"/>
      <c r="P847" s="577"/>
      <c r="Q847" s="577"/>
      <c r="R847" s="577"/>
      <c r="S847" s="577"/>
      <c r="T847" s="577"/>
      <c r="U847" s="577"/>
      <c r="V847" s="577"/>
      <c r="W847" s="577"/>
      <c r="X847" s="577"/>
      <c r="Y847" s="577"/>
      <c r="Z847" s="577"/>
      <c r="AA847" s="577"/>
      <c r="AB847" s="577"/>
      <c r="AC847" s="577"/>
      <c r="AD847" s="577"/>
      <c r="AE847" s="577"/>
      <c r="AF847" s="6"/>
    </row>
    <row r="848" ht="12.75" customHeight="1">
      <c r="A848" s="595"/>
      <c r="B848" s="596"/>
      <c r="C848" s="596"/>
      <c r="D848" s="596"/>
      <c r="E848" s="596"/>
      <c r="F848" s="596"/>
      <c r="G848" s="596"/>
      <c r="H848" s="596"/>
      <c r="I848" s="596"/>
      <c r="J848" s="577"/>
      <c r="K848" s="577"/>
      <c r="L848" s="577"/>
      <c r="M848" s="577"/>
      <c r="N848" s="577"/>
      <c r="O848" s="577"/>
      <c r="P848" s="577"/>
      <c r="Q848" s="577"/>
      <c r="R848" s="577"/>
      <c r="S848" s="577"/>
      <c r="T848" s="577"/>
      <c r="U848" s="577"/>
      <c r="V848" s="577"/>
      <c r="W848" s="577"/>
      <c r="X848" s="577"/>
      <c r="Y848" s="577"/>
      <c r="Z848" s="577"/>
      <c r="AA848" s="577"/>
      <c r="AB848" s="577"/>
      <c r="AC848" s="577"/>
      <c r="AD848" s="577"/>
      <c r="AE848" s="577"/>
      <c r="AF848" s="6"/>
    </row>
    <row r="849" ht="12.75" customHeight="1">
      <c r="A849" s="595"/>
      <c r="B849" s="596"/>
      <c r="C849" s="596"/>
      <c r="D849" s="596"/>
      <c r="E849" s="596"/>
      <c r="F849" s="596"/>
      <c r="G849" s="596"/>
      <c r="H849" s="596"/>
      <c r="I849" s="596"/>
      <c r="J849" s="577"/>
      <c r="K849" s="577"/>
      <c r="L849" s="577"/>
      <c r="M849" s="577"/>
      <c r="N849" s="577"/>
      <c r="O849" s="577"/>
      <c r="P849" s="577"/>
      <c r="Q849" s="577"/>
      <c r="R849" s="577"/>
      <c r="S849" s="577"/>
      <c r="T849" s="577"/>
      <c r="U849" s="577"/>
      <c r="V849" s="577"/>
      <c r="W849" s="577"/>
      <c r="X849" s="577"/>
      <c r="Y849" s="577"/>
      <c r="Z849" s="577"/>
      <c r="AA849" s="577"/>
      <c r="AB849" s="577"/>
      <c r="AC849" s="577"/>
      <c r="AD849" s="577"/>
      <c r="AE849" s="577"/>
      <c r="AF849" s="6"/>
    </row>
    <row r="850" ht="12.75" customHeight="1">
      <c r="A850" s="595"/>
      <c r="B850" s="596"/>
      <c r="C850" s="596"/>
      <c r="D850" s="596"/>
      <c r="E850" s="596"/>
      <c r="F850" s="596"/>
      <c r="G850" s="596"/>
      <c r="H850" s="596"/>
      <c r="I850" s="596"/>
      <c r="J850" s="577"/>
      <c r="K850" s="577"/>
      <c r="L850" s="577"/>
      <c r="M850" s="577"/>
      <c r="N850" s="577"/>
      <c r="O850" s="577"/>
      <c r="P850" s="577"/>
      <c r="Q850" s="577"/>
      <c r="R850" s="577"/>
      <c r="S850" s="577"/>
      <c r="T850" s="577"/>
      <c r="U850" s="577"/>
      <c r="V850" s="577"/>
      <c r="W850" s="577"/>
      <c r="X850" s="577"/>
      <c r="Y850" s="577"/>
      <c r="Z850" s="577"/>
      <c r="AA850" s="577"/>
      <c r="AB850" s="577"/>
      <c r="AC850" s="577"/>
      <c r="AD850" s="577"/>
      <c r="AE850" s="577"/>
      <c r="AF850" s="6"/>
    </row>
    <row r="851" ht="12.75" customHeight="1">
      <c r="A851" s="595"/>
      <c r="B851" s="596"/>
      <c r="C851" s="596"/>
      <c r="D851" s="596"/>
      <c r="E851" s="596"/>
      <c r="F851" s="596"/>
      <c r="G851" s="596"/>
      <c r="H851" s="596"/>
      <c r="I851" s="596"/>
      <c r="J851" s="577"/>
      <c r="K851" s="577"/>
      <c r="L851" s="577"/>
      <c r="M851" s="577"/>
      <c r="N851" s="577"/>
      <c r="O851" s="577"/>
      <c r="P851" s="577"/>
      <c r="Q851" s="577"/>
      <c r="R851" s="577"/>
      <c r="S851" s="577"/>
      <c r="T851" s="577"/>
      <c r="U851" s="577"/>
      <c r="V851" s="577"/>
      <c r="W851" s="577"/>
      <c r="X851" s="577"/>
      <c r="Y851" s="577"/>
      <c r="Z851" s="577"/>
      <c r="AA851" s="577"/>
      <c r="AB851" s="577"/>
      <c r="AC851" s="577"/>
      <c r="AD851" s="577"/>
      <c r="AE851" s="577"/>
      <c r="AF851" s="6"/>
    </row>
    <row r="852" ht="12.75" customHeight="1">
      <c r="A852" s="595"/>
      <c r="B852" s="596"/>
      <c r="C852" s="596"/>
      <c r="D852" s="596"/>
      <c r="E852" s="596"/>
      <c r="F852" s="596"/>
      <c r="G852" s="596"/>
      <c r="H852" s="596"/>
      <c r="I852" s="596"/>
      <c r="J852" s="577"/>
      <c r="K852" s="577"/>
      <c r="L852" s="577"/>
      <c r="M852" s="577"/>
      <c r="N852" s="577"/>
      <c r="O852" s="577"/>
      <c r="P852" s="577"/>
      <c r="Q852" s="577"/>
      <c r="R852" s="577"/>
      <c r="S852" s="577"/>
      <c r="T852" s="577"/>
      <c r="U852" s="577"/>
      <c r="V852" s="577"/>
      <c r="W852" s="577"/>
      <c r="X852" s="577"/>
      <c r="Y852" s="577"/>
      <c r="Z852" s="577"/>
      <c r="AA852" s="577"/>
      <c r="AB852" s="577"/>
      <c r="AC852" s="577"/>
      <c r="AD852" s="577"/>
      <c r="AE852" s="577"/>
      <c r="AF852" s="6"/>
    </row>
    <row r="853" ht="12.75" customHeight="1">
      <c r="A853" s="595"/>
      <c r="B853" s="596"/>
      <c r="C853" s="596"/>
      <c r="D853" s="596"/>
      <c r="E853" s="596"/>
      <c r="F853" s="596"/>
      <c r="G853" s="596"/>
      <c r="H853" s="596"/>
      <c r="I853" s="596"/>
      <c r="J853" s="577"/>
      <c r="K853" s="577"/>
      <c r="L853" s="577"/>
      <c r="M853" s="577"/>
      <c r="N853" s="577"/>
      <c r="O853" s="577"/>
      <c r="P853" s="577"/>
      <c r="Q853" s="577"/>
      <c r="R853" s="577"/>
      <c r="S853" s="577"/>
      <c r="T853" s="577"/>
      <c r="U853" s="577"/>
      <c r="V853" s="577"/>
      <c r="W853" s="577"/>
      <c r="X853" s="577"/>
      <c r="Y853" s="577"/>
      <c r="Z853" s="577"/>
      <c r="AA853" s="577"/>
      <c r="AB853" s="577"/>
      <c r="AC853" s="577"/>
      <c r="AD853" s="577"/>
      <c r="AE853" s="577"/>
      <c r="AF853" s="6"/>
    </row>
    <row r="854" ht="12.75" customHeight="1">
      <c r="A854" s="595"/>
      <c r="B854" s="596"/>
      <c r="C854" s="596"/>
      <c r="D854" s="596"/>
      <c r="E854" s="596"/>
      <c r="F854" s="596"/>
      <c r="G854" s="596"/>
      <c r="H854" s="596"/>
      <c r="I854" s="596"/>
      <c r="J854" s="577"/>
      <c r="K854" s="577"/>
      <c r="L854" s="577"/>
      <c r="M854" s="577"/>
      <c r="N854" s="577"/>
      <c r="O854" s="577"/>
      <c r="P854" s="577"/>
      <c r="Q854" s="577"/>
      <c r="R854" s="577"/>
      <c r="S854" s="577"/>
      <c r="T854" s="577"/>
      <c r="U854" s="577"/>
      <c r="V854" s="577"/>
      <c r="W854" s="577"/>
      <c r="X854" s="577"/>
      <c r="Y854" s="577"/>
      <c r="Z854" s="577"/>
      <c r="AA854" s="577"/>
      <c r="AB854" s="577"/>
      <c r="AC854" s="577"/>
      <c r="AD854" s="577"/>
      <c r="AE854" s="577"/>
      <c r="AF854" s="6"/>
    </row>
    <row r="855" ht="12.75" customHeight="1">
      <c r="A855" s="595"/>
      <c r="B855" s="596"/>
      <c r="C855" s="596"/>
      <c r="D855" s="596"/>
      <c r="E855" s="596"/>
      <c r="F855" s="596"/>
      <c r="G855" s="596"/>
      <c r="H855" s="596"/>
      <c r="I855" s="596"/>
      <c r="J855" s="577"/>
      <c r="K855" s="577"/>
      <c r="L855" s="577"/>
      <c r="M855" s="577"/>
      <c r="N855" s="577"/>
      <c r="O855" s="577"/>
      <c r="P855" s="577"/>
      <c r="Q855" s="577"/>
      <c r="R855" s="577"/>
      <c r="S855" s="577"/>
      <c r="T855" s="577"/>
      <c r="U855" s="577"/>
      <c r="V855" s="577"/>
      <c r="W855" s="577"/>
      <c r="X855" s="577"/>
      <c r="Y855" s="577"/>
      <c r="Z855" s="577"/>
      <c r="AA855" s="577"/>
      <c r="AB855" s="577"/>
      <c r="AC855" s="577"/>
      <c r="AD855" s="577"/>
      <c r="AE855" s="577"/>
      <c r="AF855" s="6"/>
    </row>
    <row r="856" ht="12.75" customHeight="1">
      <c r="A856" s="595"/>
      <c r="B856" s="596"/>
      <c r="C856" s="596"/>
      <c r="D856" s="596"/>
      <c r="E856" s="596"/>
      <c r="F856" s="596"/>
      <c r="G856" s="596"/>
      <c r="H856" s="596"/>
      <c r="I856" s="596"/>
      <c r="J856" s="577"/>
      <c r="K856" s="577"/>
      <c r="L856" s="577"/>
      <c r="M856" s="577"/>
      <c r="N856" s="577"/>
      <c r="O856" s="577"/>
      <c r="P856" s="577"/>
      <c r="Q856" s="577"/>
      <c r="R856" s="577"/>
      <c r="S856" s="577"/>
      <c r="T856" s="577"/>
      <c r="U856" s="577"/>
      <c r="V856" s="577"/>
      <c r="W856" s="577"/>
      <c r="X856" s="577"/>
      <c r="Y856" s="577"/>
      <c r="Z856" s="577"/>
      <c r="AA856" s="577"/>
      <c r="AB856" s="577"/>
      <c r="AC856" s="577"/>
      <c r="AD856" s="577"/>
      <c r="AE856" s="577"/>
      <c r="AF856" s="6"/>
    </row>
    <row r="857" ht="12.75" customHeight="1">
      <c r="A857" s="595"/>
      <c r="B857" s="596"/>
      <c r="C857" s="596"/>
      <c r="D857" s="596"/>
      <c r="E857" s="596"/>
      <c r="F857" s="596"/>
      <c r="G857" s="596"/>
      <c r="H857" s="596"/>
      <c r="I857" s="596"/>
      <c r="J857" s="577"/>
      <c r="K857" s="577"/>
      <c r="L857" s="577"/>
      <c r="M857" s="577"/>
      <c r="N857" s="577"/>
      <c r="O857" s="577"/>
      <c r="P857" s="577"/>
      <c r="Q857" s="577"/>
      <c r="R857" s="577"/>
      <c r="S857" s="577"/>
      <c r="T857" s="577"/>
      <c r="U857" s="577"/>
      <c r="V857" s="577"/>
      <c r="W857" s="577"/>
      <c r="X857" s="577"/>
      <c r="Y857" s="577"/>
      <c r="Z857" s="577"/>
      <c r="AA857" s="577"/>
      <c r="AB857" s="577"/>
      <c r="AC857" s="577"/>
      <c r="AD857" s="577"/>
      <c r="AE857" s="577"/>
      <c r="AF857" s="6"/>
    </row>
    <row r="858" ht="12.75" customHeight="1">
      <c r="A858" s="595"/>
      <c r="B858" s="596"/>
      <c r="C858" s="596"/>
      <c r="D858" s="596"/>
      <c r="E858" s="596"/>
      <c r="F858" s="596"/>
      <c r="G858" s="596"/>
      <c r="H858" s="596"/>
      <c r="I858" s="596"/>
      <c r="J858" s="577"/>
      <c r="K858" s="577"/>
      <c r="L858" s="577"/>
      <c r="M858" s="577"/>
      <c r="N858" s="577"/>
      <c r="O858" s="577"/>
      <c r="P858" s="577"/>
      <c r="Q858" s="577"/>
      <c r="R858" s="577"/>
      <c r="S858" s="577"/>
      <c r="T858" s="577"/>
      <c r="U858" s="577"/>
      <c r="V858" s="577"/>
      <c r="W858" s="577"/>
      <c r="X858" s="577"/>
      <c r="Y858" s="577"/>
      <c r="Z858" s="577"/>
      <c r="AA858" s="577"/>
      <c r="AB858" s="577"/>
      <c r="AC858" s="577"/>
      <c r="AD858" s="577"/>
      <c r="AE858" s="577"/>
      <c r="AF858" s="6"/>
    </row>
    <row r="859" ht="12.75" customHeight="1">
      <c r="A859" s="595"/>
      <c r="B859" s="596"/>
      <c r="C859" s="596"/>
      <c r="D859" s="596"/>
      <c r="E859" s="596"/>
      <c r="F859" s="596"/>
      <c r="G859" s="596"/>
      <c r="H859" s="596"/>
      <c r="I859" s="596"/>
      <c r="J859" s="577"/>
      <c r="K859" s="577"/>
      <c r="L859" s="577"/>
      <c r="M859" s="577"/>
      <c r="N859" s="577"/>
      <c r="O859" s="577"/>
      <c r="P859" s="577"/>
      <c r="Q859" s="577"/>
      <c r="R859" s="577"/>
      <c r="S859" s="577"/>
      <c r="T859" s="577"/>
      <c r="U859" s="577"/>
      <c r="V859" s="577"/>
      <c r="W859" s="577"/>
      <c r="X859" s="577"/>
      <c r="Y859" s="577"/>
      <c r="Z859" s="577"/>
      <c r="AA859" s="577"/>
      <c r="AB859" s="577"/>
      <c r="AC859" s="577"/>
      <c r="AD859" s="577"/>
      <c r="AE859" s="577"/>
      <c r="AF859" s="6"/>
    </row>
    <row r="860" ht="12.75" customHeight="1">
      <c r="A860" s="595"/>
      <c r="B860" s="596"/>
      <c r="C860" s="596"/>
      <c r="D860" s="596"/>
      <c r="E860" s="596"/>
      <c r="F860" s="596"/>
      <c r="G860" s="596"/>
      <c r="H860" s="596"/>
      <c r="I860" s="596"/>
      <c r="J860" s="577"/>
      <c r="K860" s="577"/>
      <c r="L860" s="577"/>
      <c r="M860" s="577"/>
      <c r="N860" s="577"/>
      <c r="O860" s="577"/>
      <c r="P860" s="577"/>
      <c r="Q860" s="577"/>
      <c r="R860" s="577"/>
      <c r="S860" s="577"/>
      <c r="T860" s="577"/>
      <c r="U860" s="577"/>
      <c r="V860" s="577"/>
      <c r="W860" s="577"/>
      <c r="X860" s="577"/>
      <c r="Y860" s="577"/>
      <c r="Z860" s="577"/>
      <c r="AA860" s="577"/>
      <c r="AB860" s="577"/>
      <c r="AC860" s="577"/>
      <c r="AD860" s="577"/>
      <c r="AE860" s="577"/>
      <c r="AF860" s="6"/>
    </row>
    <row r="861" ht="12.75" customHeight="1">
      <c r="A861" s="595"/>
      <c r="B861" s="596"/>
      <c r="C861" s="596"/>
      <c r="D861" s="596"/>
      <c r="E861" s="596"/>
      <c r="F861" s="596"/>
      <c r="G861" s="596"/>
      <c r="H861" s="596"/>
      <c r="I861" s="596"/>
      <c r="J861" s="577"/>
      <c r="K861" s="577"/>
      <c r="L861" s="577"/>
      <c r="M861" s="577"/>
      <c r="N861" s="577"/>
      <c r="O861" s="577"/>
      <c r="P861" s="577"/>
      <c r="Q861" s="577"/>
      <c r="R861" s="577"/>
      <c r="S861" s="577"/>
      <c r="T861" s="577"/>
      <c r="U861" s="577"/>
      <c r="V861" s="577"/>
      <c r="W861" s="577"/>
      <c r="X861" s="577"/>
      <c r="Y861" s="577"/>
      <c r="Z861" s="577"/>
      <c r="AA861" s="577"/>
      <c r="AB861" s="577"/>
      <c r="AC861" s="577"/>
      <c r="AD861" s="577"/>
      <c r="AE861" s="577"/>
      <c r="AF861" s="6"/>
    </row>
    <row r="862" ht="12.75" customHeight="1">
      <c r="A862" s="595"/>
      <c r="B862" s="596"/>
      <c r="C862" s="596"/>
      <c r="D862" s="596"/>
      <c r="E862" s="596"/>
      <c r="F862" s="596"/>
      <c r="G862" s="596"/>
      <c r="H862" s="596"/>
      <c r="I862" s="596"/>
      <c r="J862" s="577"/>
      <c r="K862" s="577"/>
      <c r="L862" s="577"/>
      <c r="M862" s="577"/>
      <c r="N862" s="577"/>
      <c r="O862" s="577"/>
      <c r="P862" s="577"/>
      <c r="Q862" s="577"/>
      <c r="R862" s="577"/>
      <c r="S862" s="577"/>
      <c r="T862" s="577"/>
      <c r="U862" s="577"/>
      <c r="V862" s="577"/>
      <c r="W862" s="577"/>
      <c r="X862" s="577"/>
      <c r="Y862" s="577"/>
      <c r="Z862" s="577"/>
      <c r="AA862" s="577"/>
      <c r="AB862" s="577"/>
      <c r="AC862" s="577"/>
      <c r="AD862" s="577"/>
      <c r="AE862" s="577"/>
      <c r="AF862" s="6"/>
    </row>
    <row r="863" ht="12.75" customHeight="1">
      <c r="A863" s="595"/>
      <c r="B863" s="596"/>
      <c r="C863" s="596"/>
      <c r="D863" s="596"/>
      <c r="E863" s="596"/>
      <c r="F863" s="596"/>
      <c r="G863" s="596"/>
      <c r="H863" s="596"/>
      <c r="I863" s="596"/>
      <c r="J863" s="577"/>
      <c r="K863" s="577"/>
      <c r="L863" s="577"/>
      <c r="M863" s="577"/>
      <c r="N863" s="577"/>
      <c r="O863" s="577"/>
      <c r="P863" s="577"/>
      <c r="Q863" s="577"/>
      <c r="R863" s="577"/>
      <c r="S863" s="577"/>
      <c r="T863" s="577"/>
      <c r="U863" s="577"/>
      <c r="V863" s="577"/>
      <c r="W863" s="577"/>
      <c r="X863" s="577"/>
      <c r="Y863" s="577"/>
      <c r="Z863" s="577"/>
      <c r="AA863" s="577"/>
      <c r="AB863" s="577"/>
      <c r="AC863" s="577"/>
      <c r="AD863" s="577"/>
      <c r="AE863" s="577"/>
      <c r="AF863" s="6"/>
    </row>
    <row r="864" ht="12.75" customHeight="1">
      <c r="A864" s="595"/>
      <c r="B864" s="596"/>
      <c r="C864" s="596"/>
      <c r="D864" s="596"/>
      <c r="E864" s="596"/>
      <c r="F864" s="596"/>
      <c r="G864" s="596"/>
      <c r="H864" s="596"/>
      <c r="I864" s="596"/>
      <c r="J864" s="577"/>
      <c r="K864" s="577"/>
      <c r="L864" s="577"/>
      <c r="M864" s="577"/>
      <c r="N864" s="577"/>
      <c r="O864" s="577"/>
      <c r="P864" s="577"/>
      <c r="Q864" s="577"/>
      <c r="R864" s="577"/>
      <c r="S864" s="577"/>
      <c r="T864" s="577"/>
      <c r="U864" s="577"/>
      <c r="V864" s="577"/>
      <c r="W864" s="577"/>
      <c r="X864" s="577"/>
      <c r="Y864" s="577"/>
      <c r="Z864" s="577"/>
      <c r="AA864" s="577"/>
      <c r="AB864" s="577"/>
      <c r="AC864" s="577"/>
      <c r="AD864" s="577"/>
      <c r="AE864" s="577"/>
      <c r="AF864" s="6"/>
    </row>
    <row r="865" ht="12.75" customHeight="1">
      <c r="A865" s="595"/>
      <c r="B865" s="596"/>
      <c r="C865" s="596"/>
      <c r="D865" s="596"/>
      <c r="E865" s="596"/>
      <c r="F865" s="596"/>
      <c r="G865" s="596"/>
      <c r="H865" s="596"/>
      <c r="I865" s="596"/>
      <c r="J865" s="577"/>
      <c r="K865" s="577"/>
      <c r="L865" s="577"/>
      <c r="M865" s="577"/>
      <c r="N865" s="577"/>
      <c r="O865" s="577"/>
      <c r="P865" s="577"/>
      <c r="Q865" s="577"/>
      <c r="R865" s="577"/>
      <c r="S865" s="577"/>
      <c r="T865" s="577"/>
      <c r="U865" s="577"/>
      <c r="V865" s="577"/>
      <c r="W865" s="577"/>
      <c r="X865" s="577"/>
      <c r="Y865" s="577"/>
      <c r="Z865" s="577"/>
      <c r="AA865" s="577"/>
      <c r="AB865" s="577"/>
      <c r="AC865" s="577"/>
      <c r="AD865" s="577"/>
      <c r="AE865" s="577"/>
      <c r="AF865" s="6"/>
    </row>
    <row r="866" ht="12.75" customHeight="1">
      <c r="A866" s="595"/>
      <c r="B866" s="596"/>
      <c r="C866" s="596"/>
      <c r="D866" s="596"/>
      <c r="E866" s="596"/>
      <c r="F866" s="596"/>
      <c r="G866" s="596"/>
      <c r="H866" s="596"/>
      <c r="I866" s="596"/>
      <c r="J866" s="577"/>
      <c r="K866" s="577"/>
      <c r="L866" s="577"/>
      <c r="M866" s="577"/>
      <c r="N866" s="577"/>
      <c r="O866" s="577"/>
      <c r="P866" s="577"/>
      <c r="Q866" s="577"/>
      <c r="R866" s="577"/>
      <c r="S866" s="577"/>
      <c r="T866" s="577"/>
      <c r="U866" s="577"/>
      <c r="V866" s="577"/>
      <c r="W866" s="577"/>
      <c r="X866" s="577"/>
      <c r="Y866" s="577"/>
      <c r="Z866" s="577"/>
      <c r="AA866" s="577"/>
      <c r="AB866" s="577"/>
      <c r="AC866" s="577"/>
      <c r="AD866" s="577"/>
      <c r="AE866" s="577"/>
      <c r="AF866" s="6"/>
    </row>
    <row r="867" ht="12.75" customHeight="1">
      <c r="A867" s="595"/>
      <c r="B867" s="596"/>
      <c r="C867" s="596"/>
      <c r="D867" s="596"/>
      <c r="E867" s="596"/>
      <c r="F867" s="596"/>
      <c r="G867" s="596"/>
      <c r="H867" s="596"/>
      <c r="I867" s="596"/>
      <c r="J867" s="577"/>
      <c r="K867" s="577"/>
      <c r="L867" s="577"/>
      <c r="M867" s="577"/>
      <c r="N867" s="577"/>
      <c r="O867" s="577"/>
      <c r="P867" s="577"/>
      <c r="Q867" s="577"/>
      <c r="R867" s="577"/>
      <c r="S867" s="577"/>
      <c r="T867" s="577"/>
      <c r="U867" s="577"/>
      <c r="V867" s="577"/>
      <c r="W867" s="577"/>
      <c r="X867" s="577"/>
      <c r="Y867" s="577"/>
      <c r="Z867" s="577"/>
      <c r="AA867" s="577"/>
      <c r="AB867" s="577"/>
      <c r="AC867" s="577"/>
      <c r="AD867" s="577"/>
      <c r="AE867" s="577"/>
      <c r="AF867" s="6"/>
    </row>
    <row r="868" ht="12.75" customHeight="1">
      <c r="A868" s="595"/>
      <c r="B868" s="596"/>
      <c r="C868" s="596"/>
      <c r="D868" s="596"/>
      <c r="E868" s="596"/>
      <c r="F868" s="596"/>
      <c r="G868" s="596"/>
      <c r="H868" s="596"/>
      <c r="I868" s="596"/>
      <c r="J868" s="577"/>
      <c r="K868" s="577"/>
      <c r="L868" s="577"/>
      <c r="M868" s="577"/>
      <c r="N868" s="577"/>
      <c r="O868" s="577"/>
      <c r="P868" s="577"/>
      <c r="Q868" s="577"/>
      <c r="R868" s="577"/>
      <c r="S868" s="577"/>
      <c r="T868" s="577"/>
      <c r="U868" s="577"/>
      <c r="V868" s="577"/>
      <c r="W868" s="577"/>
      <c r="X868" s="577"/>
      <c r="Y868" s="577"/>
      <c r="Z868" s="577"/>
      <c r="AA868" s="577"/>
      <c r="AB868" s="577"/>
      <c r="AC868" s="577"/>
      <c r="AD868" s="577"/>
      <c r="AE868" s="577"/>
      <c r="AF868" s="6"/>
    </row>
    <row r="869" ht="12.75" customHeight="1">
      <c r="A869" s="595"/>
      <c r="B869" s="596"/>
      <c r="C869" s="596"/>
      <c r="D869" s="596"/>
      <c r="E869" s="596"/>
      <c r="F869" s="596"/>
      <c r="G869" s="596"/>
      <c r="H869" s="596"/>
      <c r="I869" s="596"/>
      <c r="J869" s="577"/>
      <c r="K869" s="577"/>
      <c r="L869" s="577"/>
      <c r="M869" s="577"/>
      <c r="N869" s="577"/>
      <c r="O869" s="577"/>
      <c r="P869" s="577"/>
      <c r="Q869" s="577"/>
      <c r="R869" s="577"/>
      <c r="S869" s="577"/>
      <c r="T869" s="577"/>
      <c r="U869" s="577"/>
      <c r="V869" s="577"/>
      <c r="W869" s="577"/>
      <c r="X869" s="577"/>
      <c r="Y869" s="577"/>
      <c r="Z869" s="577"/>
      <c r="AA869" s="577"/>
      <c r="AB869" s="577"/>
      <c r="AC869" s="577"/>
      <c r="AD869" s="577"/>
      <c r="AE869" s="577"/>
      <c r="AF869" s="6"/>
    </row>
    <row r="870" ht="12.75" customHeight="1">
      <c r="A870" s="595"/>
      <c r="B870" s="596"/>
      <c r="C870" s="596"/>
      <c r="D870" s="596"/>
      <c r="E870" s="596"/>
      <c r="F870" s="596"/>
      <c r="G870" s="596"/>
      <c r="H870" s="596"/>
      <c r="I870" s="596"/>
      <c r="J870" s="577"/>
      <c r="K870" s="577"/>
      <c r="L870" s="577"/>
      <c r="M870" s="577"/>
      <c r="N870" s="577"/>
      <c r="O870" s="577"/>
      <c r="P870" s="577"/>
      <c r="Q870" s="577"/>
      <c r="R870" s="577"/>
      <c r="S870" s="577"/>
      <c r="T870" s="577"/>
      <c r="U870" s="577"/>
      <c r="V870" s="577"/>
      <c r="W870" s="577"/>
      <c r="X870" s="577"/>
      <c r="Y870" s="577"/>
      <c r="Z870" s="577"/>
      <c r="AA870" s="577"/>
      <c r="AB870" s="577"/>
      <c r="AC870" s="577"/>
      <c r="AD870" s="577"/>
      <c r="AE870" s="577"/>
      <c r="AF870" s="6"/>
    </row>
    <row r="871" ht="12.75" customHeight="1">
      <c r="A871" s="595"/>
      <c r="B871" s="596"/>
      <c r="C871" s="596"/>
      <c r="D871" s="596"/>
      <c r="E871" s="596"/>
      <c r="F871" s="596"/>
      <c r="G871" s="596"/>
      <c r="H871" s="596"/>
      <c r="I871" s="596"/>
      <c r="J871" s="577"/>
      <c r="K871" s="577"/>
      <c r="L871" s="577"/>
      <c r="M871" s="577"/>
      <c r="N871" s="577"/>
      <c r="O871" s="577"/>
      <c r="P871" s="577"/>
      <c r="Q871" s="577"/>
      <c r="R871" s="577"/>
      <c r="S871" s="577"/>
      <c r="T871" s="577"/>
      <c r="U871" s="577"/>
      <c r="V871" s="577"/>
      <c r="W871" s="577"/>
      <c r="X871" s="577"/>
      <c r="Y871" s="577"/>
      <c r="Z871" s="577"/>
      <c r="AA871" s="577"/>
      <c r="AB871" s="577"/>
      <c r="AC871" s="577"/>
      <c r="AD871" s="577"/>
      <c r="AE871" s="577"/>
      <c r="AF871" s="6"/>
    </row>
    <row r="872" ht="12.75" customHeight="1">
      <c r="A872" s="595"/>
      <c r="B872" s="596"/>
      <c r="C872" s="596"/>
      <c r="D872" s="596"/>
      <c r="E872" s="596"/>
      <c r="F872" s="596"/>
      <c r="G872" s="596"/>
      <c r="H872" s="596"/>
      <c r="I872" s="596"/>
      <c r="J872" s="577"/>
      <c r="K872" s="577"/>
      <c r="L872" s="577"/>
      <c r="M872" s="577"/>
      <c r="N872" s="577"/>
      <c r="O872" s="577"/>
      <c r="P872" s="577"/>
      <c r="Q872" s="577"/>
      <c r="R872" s="577"/>
      <c r="S872" s="577"/>
      <c r="T872" s="577"/>
      <c r="U872" s="577"/>
      <c r="V872" s="577"/>
      <c r="W872" s="577"/>
      <c r="X872" s="577"/>
      <c r="Y872" s="577"/>
      <c r="Z872" s="577"/>
      <c r="AA872" s="577"/>
      <c r="AB872" s="577"/>
      <c r="AC872" s="577"/>
      <c r="AD872" s="577"/>
      <c r="AE872" s="577"/>
      <c r="AF872" s="6"/>
    </row>
    <row r="873" ht="12.75" customHeight="1">
      <c r="A873" s="595"/>
      <c r="B873" s="596"/>
      <c r="C873" s="596"/>
      <c r="D873" s="596"/>
      <c r="E873" s="596"/>
      <c r="F873" s="596"/>
      <c r="G873" s="596"/>
      <c r="H873" s="596"/>
      <c r="I873" s="596"/>
      <c r="J873" s="577"/>
      <c r="K873" s="577"/>
      <c r="L873" s="577"/>
      <c r="M873" s="577"/>
      <c r="N873" s="577"/>
      <c r="O873" s="577"/>
      <c r="P873" s="577"/>
      <c r="Q873" s="577"/>
      <c r="R873" s="577"/>
      <c r="S873" s="577"/>
      <c r="T873" s="577"/>
      <c r="U873" s="577"/>
      <c r="V873" s="577"/>
      <c r="W873" s="577"/>
      <c r="X873" s="577"/>
      <c r="Y873" s="577"/>
      <c r="Z873" s="577"/>
      <c r="AA873" s="577"/>
      <c r="AB873" s="577"/>
      <c r="AC873" s="577"/>
      <c r="AD873" s="577"/>
      <c r="AE873" s="577"/>
      <c r="AF873" s="6"/>
    </row>
    <row r="874" ht="12.75" customHeight="1">
      <c r="A874" s="595"/>
      <c r="B874" s="596"/>
      <c r="C874" s="596"/>
      <c r="D874" s="596"/>
      <c r="E874" s="596"/>
      <c r="F874" s="596"/>
      <c r="G874" s="596"/>
      <c r="H874" s="596"/>
      <c r="I874" s="596"/>
      <c r="J874" s="577"/>
      <c r="K874" s="577"/>
      <c r="L874" s="577"/>
      <c r="M874" s="577"/>
      <c r="N874" s="577"/>
      <c r="O874" s="577"/>
      <c r="P874" s="577"/>
      <c r="Q874" s="577"/>
      <c r="R874" s="577"/>
      <c r="S874" s="577"/>
      <c r="T874" s="577"/>
      <c r="U874" s="577"/>
      <c r="V874" s="577"/>
      <c r="W874" s="577"/>
      <c r="X874" s="577"/>
      <c r="Y874" s="577"/>
      <c r="Z874" s="577"/>
      <c r="AA874" s="577"/>
      <c r="AB874" s="577"/>
      <c r="AC874" s="577"/>
      <c r="AD874" s="577"/>
      <c r="AE874" s="577"/>
      <c r="AF874" s="6"/>
    </row>
    <row r="875" ht="12.75" customHeight="1">
      <c r="A875" s="595"/>
      <c r="B875" s="596"/>
      <c r="C875" s="596"/>
      <c r="D875" s="596"/>
      <c r="E875" s="596"/>
      <c r="F875" s="596"/>
      <c r="G875" s="596"/>
      <c r="H875" s="596"/>
      <c r="I875" s="596"/>
      <c r="J875" s="577"/>
      <c r="K875" s="577"/>
      <c r="L875" s="577"/>
      <c r="M875" s="577"/>
      <c r="N875" s="577"/>
      <c r="O875" s="577"/>
      <c r="P875" s="577"/>
      <c r="Q875" s="577"/>
      <c r="R875" s="577"/>
      <c r="S875" s="577"/>
      <c r="T875" s="577"/>
      <c r="U875" s="577"/>
      <c r="V875" s="577"/>
      <c r="W875" s="577"/>
      <c r="X875" s="577"/>
      <c r="Y875" s="577"/>
      <c r="Z875" s="577"/>
      <c r="AA875" s="577"/>
      <c r="AB875" s="577"/>
      <c r="AC875" s="577"/>
      <c r="AD875" s="577"/>
      <c r="AE875" s="577"/>
      <c r="AF875" s="6"/>
    </row>
    <row r="876" ht="12.75" customHeight="1">
      <c r="A876" s="595"/>
      <c r="B876" s="596"/>
      <c r="C876" s="596"/>
      <c r="D876" s="596"/>
      <c r="E876" s="596"/>
      <c r="F876" s="596"/>
      <c r="G876" s="596"/>
      <c r="H876" s="596"/>
      <c r="I876" s="596"/>
      <c r="J876" s="577"/>
      <c r="K876" s="577"/>
      <c r="L876" s="577"/>
      <c r="M876" s="577"/>
      <c r="N876" s="577"/>
      <c r="O876" s="577"/>
      <c r="P876" s="577"/>
      <c r="Q876" s="577"/>
      <c r="R876" s="577"/>
      <c r="S876" s="577"/>
      <c r="T876" s="577"/>
      <c r="U876" s="577"/>
      <c r="V876" s="577"/>
      <c r="W876" s="577"/>
      <c r="X876" s="577"/>
      <c r="Y876" s="577"/>
      <c r="Z876" s="577"/>
      <c r="AA876" s="577"/>
      <c r="AB876" s="577"/>
      <c r="AC876" s="577"/>
      <c r="AD876" s="577"/>
      <c r="AE876" s="577"/>
      <c r="AF876" s="6"/>
    </row>
    <row r="877" ht="12.75" customHeight="1">
      <c r="A877" s="595"/>
      <c r="B877" s="596"/>
      <c r="C877" s="596"/>
      <c r="D877" s="596"/>
      <c r="E877" s="596"/>
      <c r="F877" s="596"/>
      <c r="G877" s="596"/>
      <c r="H877" s="596"/>
      <c r="I877" s="596"/>
      <c r="J877" s="577"/>
      <c r="K877" s="577"/>
      <c r="L877" s="577"/>
      <c r="M877" s="577"/>
      <c r="N877" s="577"/>
      <c r="O877" s="577"/>
      <c r="P877" s="577"/>
      <c r="Q877" s="577"/>
      <c r="R877" s="577"/>
      <c r="S877" s="577"/>
      <c r="T877" s="577"/>
      <c r="U877" s="577"/>
      <c r="V877" s="577"/>
      <c r="W877" s="577"/>
      <c r="X877" s="577"/>
      <c r="Y877" s="577"/>
      <c r="Z877" s="577"/>
      <c r="AA877" s="577"/>
      <c r="AB877" s="577"/>
      <c r="AC877" s="577"/>
      <c r="AD877" s="577"/>
      <c r="AE877" s="577"/>
      <c r="AF877" s="6"/>
    </row>
    <row r="878" ht="12.75" customHeight="1">
      <c r="A878" s="595"/>
      <c r="B878" s="596"/>
      <c r="C878" s="596"/>
      <c r="D878" s="596"/>
      <c r="E878" s="596"/>
      <c r="F878" s="596"/>
      <c r="G878" s="596"/>
      <c r="H878" s="596"/>
      <c r="I878" s="596"/>
      <c r="J878" s="577"/>
      <c r="K878" s="577"/>
      <c r="L878" s="577"/>
      <c r="M878" s="577"/>
      <c r="N878" s="577"/>
      <c r="O878" s="577"/>
      <c r="P878" s="577"/>
      <c r="Q878" s="577"/>
      <c r="R878" s="577"/>
      <c r="S878" s="577"/>
      <c r="T878" s="577"/>
      <c r="U878" s="577"/>
      <c r="V878" s="577"/>
      <c r="W878" s="577"/>
      <c r="X878" s="577"/>
      <c r="Y878" s="577"/>
      <c r="Z878" s="577"/>
      <c r="AA878" s="577"/>
      <c r="AB878" s="577"/>
      <c r="AC878" s="577"/>
      <c r="AD878" s="577"/>
      <c r="AE878" s="577"/>
      <c r="AF878" s="6"/>
    </row>
    <row r="879" ht="12.75" customHeight="1">
      <c r="A879" s="595"/>
      <c r="B879" s="596"/>
      <c r="C879" s="596"/>
      <c r="D879" s="596"/>
      <c r="E879" s="596"/>
      <c r="F879" s="596"/>
      <c r="G879" s="596"/>
      <c r="H879" s="596"/>
      <c r="I879" s="596"/>
      <c r="J879" s="577"/>
      <c r="K879" s="577"/>
      <c r="L879" s="577"/>
      <c r="M879" s="577"/>
      <c r="N879" s="577"/>
      <c r="O879" s="577"/>
      <c r="P879" s="577"/>
      <c r="Q879" s="577"/>
      <c r="R879" s="577"/>
      <c r="S879" s="577"/>
      <c r="T879" s="577"/>
      <c r="U879" s="577"/>
      <c r="V879" s="577"/>
      <c r="W879" s="577"/>
      <c r="X879" s="577"/>
      <c r="Y879" s="577"/>
      <c r="Z879" s="577"/>
      <c r="AA879" s="577"/>
      <c r="AB879" s="577"/>
      <c r="AC879" s="577"/>
      <c r="AD879" s="577"/>
      <c r="AE879" s="577"/>
      <c r="AF879" s="6"/>
    </row>
    <row r="880" ht="12.75" customHeight="1">
      <c r="A880" s="595"/>
      <c r="B880" s="596"/>
      <c r="C880" s="596"/>
      <c r="D880" s="596"/>
      <c r="E880" s="596"/>
      <c r="F880" s="596"/>
      <c r="G880" s="596"/>
      <c r="H880" s="596"/>
      <c r="I880" s="596"/>
      <c r="J880" s="577"/>
      <c r="K880" s="577"/>
      <c r="L880" s="577"/>
      <c r="M880" s="577"/>
      <c r="N880" s="577"/>
      <c r="O880" s="577"/>
      <c r="P880" s="577"/>
      <c r="Q880" s="577"/>
      <c r="R880" s="577"/>
      <c r="S880" s="577"/>
      <c r="T880" s="577"/>
      <c r="U880" s="577"/>
      <c r="V880" s="577"/>
      <c r="W880" s="577"/>
      <c r="X880" s="577"/>
      <c r="Y880" s="577"/>
      <c r="Z880" s="577"/>
      <c r="AA880" s="577"/>
      <c r="AB880" s="577"/>
      <c r="AC880" s="577"/>
      <c r="AD880" s="577"/>
      <c r="AE880" s="577"/>
      <c r="AF880" s="6"/>
    </row>
    <row r="881" ht="12.75" customHeight="1">
      <c r="A881" s="595"/>
      <c r="B881" s="596"/>
      <c r="C881" s="596"/>
      <c r="D881" s="596"/>
      <c r="E881" s="596"/>
      <c r="F881" s="596"/>
      <c r="G881" s="596"/>
      <c r="H881" s="596"/>
      <c r="I881" s="596"/>
      <c r="J881" s="577"/>
      <c r="K881" s="577"/>
      <c r="L881" s="577"/>
      <c r="M881" s="577"/>
      <c r="N881" s="577"/>
      <c r="O881" s="577"/>
      <c r="P881" s="577"/>
      <c r="Q881" s="577"/>
      <c r="R881" s="577"/>
      <c r="S881" s="577"/>
      <c r="T881" s="577"/>
      <c r="U881" s="577"/>
      <c r="V881" s="577"/>
      <c r="W881" s="577"/>
      <c r="X881" s="577"/>
      <c r="Y881" s="577"/>
      <c r="Z881" s="577"/>
      <c r="AA881" s="577"/>
      <c r="AB881" s="577"/>
      <c r="AC881" s="577"/>
      <c r="AD881" s="577"/>
      <c r="AE881" s="577"/>
      <c r="AF881" s="6"/>
    </row>
    <row r="882" ht="12.75" customHeight="1">
      <c r="A882" s="595"/>
      <c r="B882" s="596"/>
      <c r="C882" s="596"/>
      <c r="D882" s="596"/>
      <c r="E882" s="596"/>
      <c r="F882" s="596"/>
      <c r="G882" s="596"/>
      <c r="H882" s="596"/>
      <c r="I882" s="596"/>
      <c r="J882" s="577"/>
      <c r="K882" s="577"/>
      <c r="L882" s="577"/>
      <c r="M882" s="577"/>
      <c r="N882" s="577"/>
      <c r="O882" s="577"/>
      <c r="P882" s="577"/>
      <c r="Q882" s="577"/>
      <c r="R882" s="577"/>
      <c r="S882" s="577"/>
      <c r="T882" s="577"/>
      <c r="U882" s="577"/>
      <c r="V882" s="577"/>
      <c r="W882" s="577"/>
      <c r="X882" s="577"/>
      <c r="Y882" s="577"/>
      <c r="Z882" s="577"/>
      <c r="AA882" s="577"/>
      <c r="AB882" s="577"/>
      <c r="AC882" s="577"/>
      <c r="AD882" s="577"/>
      <c r="AE882" s="577"/>
      <c r="AF882" s="6"/>
    </row>
    <row r="883" ht="12.75" customHeight="1">
      <c r="A883" s="595"/>
      <c r="B883" s="596"/>
      <c r="C883" s="596"/>
      <c r="D883" s="596"/>
      <c r="E883" s="596"/>
      <c r="F883" s="596"/>
      <c r="G883" s="596"/>
      <c r="H883" s="596"/>
      <c r="I883" s="596"/>
      <c r="J883" s="577"/>
      <c r="K883" s="577"/>
      <c r="L883" s="577"/>
      <c r="M883" s="577"/>
      <c r="N883" s="577"/>
      <c r="O883" s="577"/>
      <c r="P883" s="577"/>
      <c r="Q883" s="577"/>
      <c r="R883" s="577"/>
      <c r="S883" s="577"/>
      <c r="T883" s="577"/>
      <c r="U883" s="577"/>
      <c r="V883" s="577"/>
      <c r="W883" s="577"/>
      <c r="X883" s="577"/>
      <c r="Y883" s="577"/>
      <c r="Z883" s="577"/>
      <c r="AA883" s="577"/>
      <c r="AB883" s="577"/>
      <c r="AC883" s="577"/>
      <c r="AD883" s="577"/>
      <c r="AE883" s="577"/>
      <c r="AF883" s="6"/>
    </row>
    <row r="884" ht="12.75" customHeight="1">
      <c r="A884" s="595"/>
      <c r="B884" s="596"/>
      <c r="C884" s="596"/>
      <c r="D884" s="596"/>
      <c r="E884" s="596"/>
      <c r="F884" s="596"/>
      <c r="G884" s="596"/>
      <c r="H884" s="596"/>
      <c r="I884" s="596"/>
      <c r="J884" s="577"/>
      <c r="K884" s="577"/>
      <c r="L884" s="577"/>
      <c r="M884" s="577"/>
      <c r="N884" s="577"/>
      <c r="O884" s="577"/>
      <c r="P884" s="577"/>
      <c r="Q884" s="577"/>
      <c r="R884" s="577"/>
      <c r="S884" s="577"/>
      <c r="T884" s="577"/>
      <c r="U884" s="577"/>
      <c r="V884" s="577"/>
      <c r="W884" s="577"/>
      <c r="X884" s="577"/>
      <c r="Y884" s="577"/>
      <c r="Z884" s="577"/>
      <c r="AA884" s="577"/>
      <c r="AB884" s="577"/>
      <c r="AC884" s="577"/>
      <c r="AD884" s="577"/>
      <c r="AE884" s="577"/>
      <c r="AF884" s="6"/>
    </row>
    <row r="885" ht="12.75" customHeight="1">
      <c r="A885" s="595"/>
      <c r="B885" s="596"/>
      <c r="C885" s="596"/>
      <c r="D885" s="596"/>
      <c r="E885" s="596"/>
      <c r="F885" s="596"/>
      <c r="G885" s="596"/>
      <c r="H885" s="596"/>
      <c r="I885" s="596"/>
      <c r="J885" s="577"/>
      <c r="K885" s="577"/>
      <c r="L885" s="577"/>
      <c r="M885" s="577"/>
      <c r="N885" s="577"/>
      <c r="O885" s="577"/>
      <c r="P885" s="577"/>
      <c r="Q885" s="577"/>
      <c r="R885" s="577"/>
      <c r="S885" s="577"/>
      <c r="T885" s="577"/>
      <c r="U885" s="577"/>
      <c r="V885" s="577"/>
      <c r="W885" s="577"/>
      <c r="X885" s="577"/>
      <c r="Y885" s="577"/>
      <c r="Z885" s="577"/>
      <c r="AA885" s="577"/>
      <c r="AB885" s="577"/>
      <c r="AC885" s="577"/>
      <c r="AD885" s="577"/>
      <c r="AE885" s="577"/>
      <c r="AF885" s="6"/>
    </row>
    <row r="886" ht="12.75" customHeight="1">
      <c r="A886" s="595"/>
      <c r="B886" s="596"/>
      <c r="C886" s="596"/>
      <c r="D886" s="596"/>
      <c r="E886" s="596"/>
      <c r="F886" s="596"/>
      <c r="G886" s="596"/>
      <c r="H886" s="596"/>
      <c r="I886" s="596"/>
      <c r="J886" s="577"/>
      <c r="K886" s="577"/>
      <c r="L886" s="577"/>
      <c r="M886" s="577"/>
      <c r="N886" s="577"/>
      <c r="O886" s="577"/>
      <c r="P886" s="577"/>
      <c r="Q886" s="577"/>
      <c r="R886" s="577"/>
      <c r="S886" s="577"/>
      <c r="T886" s="577"/>
      <c r="U886" s="577"/>
      <c r="V886" s="577"/>
      <c r="W886" s="577"/>
      <c r="X886" s="577"/>
      <c r="Y886" s="577"/>
      <c r="Z886" s="577"/>
      <c r="AA886" s="577"/>
      <c r="AB886" s="577"/>
      <c r="AC886" s="577"/>
      <c r="AD886" s="577"/>
      <c r="AE886" s="577"/>
      <c r="AF886" s="6"/>
    </row>
    <row r="887" ht="12.75" customHeight="1">
      <c r="A887" s="595"/>
      <c r="B887" s="596"/>
      <c r="C887" s="596"/>
      <c r="D887" s="596"/>
      <c r="E887" s="596"/>
      <c r="F887" s="596"/>
      <c r="G887" s="596"/>
      <c r="H887" s="596"/>
      <c r="I887" s="596"/>
      <c r="J887" s="577"/>
      <c r="K887" s="577"/>
      <c r="L887" s="577"/>
      <c r="M887" s="577"/>
      <c r="N887" s="577"/>
      <c r="O887" s="577"/>
      <c r="P887" s="577"/>
      <c r="Q887" s="577"/>
      <c r="R887" s="577"/>
      <c r="S887" s="577"/>
      <c r="T887" s="577"/>
      <c r="U887" s="577"/>
      <c r="V887" s="577"/>
      <c r="W887" s="577"/>
      <c r="X887" s="577"/>
      <c r="Y887" s="577"/>
      <c r="Z887" s="577"/>
      <c r="AA887" s="577"/>
      <c r="AB887" s="577"/>
      <c r="AC887" s="577"/>
      <c r="AD887" s="577"/>
      <c r="AE887" s="577"/>
      <c r="AF887" s="6"/>
    </row>
    <row r="888" ht="12.75" customHeight="1">
      <c r="A888" s="595"/>
      <c r="B888" s="596"/>
      <c r="C888" s="596"/>
      <c r="D888" s="596"/>
      <c r="E888" s="596"/>
      <c r="F888" s="596"/>
      <c r="G888" s="596"/>
      <c r="H888" s="596"/>
      <c r="I888" s="596"/>
      <c r="J888" s="577"/>
      <c r="K888" s="577"/>
      <c r="L888" s="577"/>
      <c r="M888" s="577"/>
      <c r="N888" s="577"/>
      <c r="O888" s="577"/>
      <c r="P888" s="577"/>
      <c r="Q888" s="577"/>
      <c r="R888" s="577"/>
      <c r="S888" s="577"/>
      <c r="T888" s="577"/>
      <c r="U888" s="577"/>
      <c r="V888" s="577"/>
      <c r="W888" s="577"/>
      <c r="X888" s="577"/>
      <c r="Y888" s="577"/>
      <c r="Z888" s="577"/>
      <c r="AA888" s="577"/>
      <c r="AB888" s="577"/>
      <c r="AC888" s="577"/>
      <c r="AD888" s="577"/>
      <c r="AE888" s="577"/>
      <c r="AF888" s="6"/>
    </row>
    <row r="889" ht="12.75" customHeight="1">
      <c r="A889" s="595"/>
      <c r="B889" s="596"/>
      <c r="C889" s="596"/>
      <c r="D889" s="596"/>
      <c r="E889" s="596"/>
      <c r="F889" s="596"/>
      <c r="G889" s="596"/>
      <c r="H889" s="596"/>
      <c r="I889" s="596"/>
      <c r="J889" s="577"/>
      <c r="K889" s="577"/>
      <c r="L889" s="577"/>
      <c r="M889" s="577"/>
      <c r="N889" s="577"/>
      <c r="O889" s="577"/>
      <c r="P889" s="577"/>
      <c r="Q889" s="577"/>
      <c r="R889" s="577"/>
      <c r="S889" s="577"/>
      <c r="T889" s="577"/>
      <c r="U889" s="577"/>
      <c r="V889" s="577"/>
      <c r="W889" s="577"/>
      <c r="X889" s="577"/>
      <c r="Y889" s="577"/>
      <c r="Z889" s="577"/>
      <c r="AA889" s="577"/>
      <c r="AB889" s="577"/>
      <c r="AC889" s="577"/>
      <c r="AD889" s="577"/>
      <c r="AE889" s="577"/>
      <c r="AF889" s="6"/>
    </row>
    <row r="890" ht="12.75" customHeight="1">
      <c r="A890" s="595"/>
      <c r="B890" s="596"/>
      <c r="C890" s="596"/>
      <c r="D890" s="596"/>
      <c r="E890" s="596"/>
      <c r="F890" s="596"/>
      <c r="G890" s="596"/>
      <c r="H890" s="596"/>
      <c r="I890" s="596"/>
      <c r="J890" s="577"/>
      <c r="K890" s="577"/>
      <c r="L890" s="577"/>
      <c r="M890" s="577"/>
      <c r="N890" s="577"/>
      <c r="O890" s="577"/>
      <c r="P890" s="577"/>
      <c r="Q890" s="577"/>
      <c r="R890" s="577"/>
      <c r="S890" s="577"/>
      <c r="T890" s="577"/>
      <c r="U890" s="577"/>
      <c r="V890" s="577"/>
      <c r="W890" s="577"/>
      <c r="X890" s="577"/>
      <c r="Y890" s="577"/>
      <c r="Z890" s="577"/>
      <c r="AA890" s="577"/>
      <c r="AB890" s="577"/>
      <c r="AC890" s="577"/>
      <c r="AD890" s="577"/>
      <c r="AE890" s="577"/>
      <c r="AF890" s="6"/>
    </row>
    <row r="891" ht="12.75" customHeight="1">
      <c r="A891" s="595"/>
      <c r="B891" s="596"/>
      <c r="C891" s="596"/>
      <c r="D891" s="596"/>
      <c r="E891" s="596"/>
      <c r="F891" s="596"/>
      <c r="G891" s="596"/>
      <c r="H891" s="596"/>
      <c r="I891" s="596"/>
      <c r="J891" s="577"/>
      <c r="K891" s="577"/>
      <c r="L891" s="577"/>
      <c r="M891" s="577"/>
      <c r="N891" s="577"/>
      <c r="O891" s="577"/>
      <c r="P891" s="577"/>
      <c r="Q891" s="577"/>
      <c r="R891" s="577"/>
      <c r="S891" s="577"/>
      <c r="T891" s="577"/>
      <c r="U891" s="577"/>
      <c r="V891" s="577"/>
      <c r="W891" s="577"/>
      <c r="X891" s="577"/>
      <c r="Y891" s="577"/>
      <c r="Z891" s="577"/>
      <c r="AA891" s="577"/>
      <c r="AB891" s="577"/>
      <c r="AC891" s="577"/>
      <c r="AD891" s="577"/>
      <c r="AE891" s="577"/>
      <c r="AF891" s="6"/>
    </row>
    <row r="892" ht="12.75" customHeight="1">
      <c r="A892" s="595"/>
      <c r="B892" s="596"/>
      <c r="C892" s="596"/>
      <c r="D892" s="596"/>
      <c r="E892" s="596"/>
      <c r="F892" s="596"/>
      <c r="G892" s="596"/>
      <c r="H892" s="596"/>
      <c r="I892" s="596"/>
      <c r="J892" s="577"/>
      <c r="K892" s="577"/>
      <c r="L892" s="577"/>
      <c r="M892" s="577"/>
      <c r="N892" s="577"/>
      <c r="O892" s="577"/>
      <c r="P892" s="577"/>
      <c r="Q892" s="577"/>
      <c r="R892" s="577"/>
      <c r="S892" s="577"/>
      <c r="T892" s="577"/>
      <c r="U892" s="577"/>
      <c r="V892" s="577"/>
      <c r="W892" s="577"/>
      <c r="X892" s="577"/>
      <c r="Y892" s="577"/>
      <c r="Z892" s="577"/>
      <c r="AA892" s="577"/>
      <c r="AB892" s="577"/>
      <c r="AC892" s="577"/>
      <c r="AD892" s="577"/>
      <c r="AE892" s="577"/>
      <c r="AF892" s="6"/>
    </row>
    <row r="893" ht="12.75" customHeight="1">
      <c r="A893" s="595"/>
      <c r="B893" s="596"/>
      <c r="C893" s="596"/>
      <c r="D893" s="596"/>
      <c r="E893" s="596"/>
      <c r="F893" s="596"/>
      <c r="G893" s="596"/>
      <c r="H893" s="596"/>
      <c r="I893" s="596"/>
      <c r="J893" s="577"/>
      <c r="K893" s="577"/>
      <c r="L893" s="577"/>
      <c r="M893" s="577"/>
      <c r="N893" s="577"/>
      <c r="O893" s="577"/>
      <c r="P893" s="577"/>
      <c r="Q893" s="577"/>
      <c r="R893" s="577"/>
      <c r="S893" s="577"/>
      <c r="T893" s="577"/>
      <c r="U893" s="577"/>
      <c r="V893" s="577"/>
      <c r="W893" s="577"/>
      <c r="X893" s="577"/>
      <c r="Y893" s="577"/>
      <c r="Z893" s="577"/>
      <c r="AA893" s="577"/>
      <c r="AB893" s="577"/>
      <c r="AC893" s="577"/>
      <c r="AD893" s="577"/>
      <c r="AE893" s="577"/>
      <c r="AF893" s="6"/>
    </row>
    <row r="894" ht="12.75" customHeight="1">
      <c r="A894" s="595"/>
      <c r="B894" s="596"/>
      <c r="C894" s="596"/>
      <c r="D894" s="596"/>
      <c r="E894" s="596"/>
      <c r="F894" s="596"/>
      <c r="G894" s="596"/>
      <c r="H894" s="596"/>
      <c r="I894" s="596"/>
      <c r="J894" s="577"/>
      <c r="K894" s="577"/>
      <c r="L894" s="577"/>
      <c r="M894" s="577"/>
      <c r="N894" s="577"/>
      <c r="O894" s="577"/>
      <c r="P894" s="577"/>
      <c r="Q894" s="577"/>
      <c r="R894" s="577"/>
      <c r="S894" s="577"/>
      <c r="T894" s="577"/>
      <c r="U894" s="577"/>
      <c r="V894" s="577"/>
      <c r="W894" s="577"/>
      <c r="X894" s="577"/>
      <c r="Y894" s="577"/>
      <c r="Z894" s="577"/>
      <c r="AA894" s="577"/>
      <c r="AB894" s="577"/>
      <c r="AC894" s="577"/>
      <c r="AD894" s="577"/>
      <c r="AE894" s="577"/>
      <c r="AF894" s="6"/>
    </row>
    <row r="895" ht="12.75" customHeight="1">
      <c r="A895" s="595"/>
      <c r="B895" s="596"/>
      <c r="C895" s="596"/>
      <c r="D895" s="596"/>
      <c r="E895" s="596"/>
      <c r="F895" s="596"/>
      <c r="G895" s="596"/>
      <c r="H895" s="596"/>
      <c r="I895" s="596"/>
      <c r="J895" s="577"/>
      <c r="K895" s="577"/>
      <c r="L895" s="577"/>
      <c r="M895" s="577"/>
      <c r="N895" s="577"/>
      <c r="O895" s="577"/>
      <c r="P895" s="577"/>
      <c r="Q895" s="577"/>
      <c r="R895" s="577"/>
      <c r="S895" s="577"/>
      <c r="T895" s="577"/>
      <c r="U895" s="577"/>
      <c r="V895" s="577"/>
      <c r="W895" s="577"/>
      <c r="X895" s="577"/>
      <c r="Y895" s="577"/>
      <c r="Z895" s="577"/>
      <c r="AA895" s="577"/>
      <c r="AB895" s="577"/>
      <c r="AC895" s="577"/>
      <c r="AD895" s="577"/>
      <c r="AE895" s="577"/>
      <c r="AF895" s="6"/>
    </row>
    <row r="896" ht="12.75" customHeight="1">
      <c r="A896" s="595"/>
      <c r="B896" s="596"/>
      <c r="C896" s="596"/>
      <c r="D896" s="596"/>
      <c r="E896" s="596"/>
      <c r="F896" s="596"/>
      <c r="G896" s="596"/>
      <c r="H896" s="596"/>
      <c r="I896" s="596"/>
      <c r="J896" s="577"/>
      <c r="K896" s="577"/>
      <c r="L896" s="577"/>
      <c r="M896" s="577"/>
      <c r="N896" s="577"/>
      <c r="O896" s="577"/>
      <c r="P896" s="577"/>
      <c r="Q896" s="577"/>
      <c r="R896" s="577"/>
      <c r="S896" s="577"/>
      <c r="T896" s="577"/>
      <c r="U896" s="577"/>
      <c r="V896" s="577"/>
      <c r="W896" s="577"/>
      <c r="X896" s="577"/>
      <c r="Y896" s="577"/>
      <c r="Z896" s="577"/>
      <c r="AA896" s="577"/>
      <c r="AB896" s="577"/>
      <c r="AC896" s="577"/>
      <c r="AD896" s="577"/>
      <c r="AE896" s="577"/>
      <c r="AF896" s="6"/>
    </row>
    <row r="897" ht="12.75" customHeight="1">
      <c r="A897" s="595"/>
      <c r="B897" s="596"/>
      <c r="C897" s="596"/>
      <c r="D897" s="596"/>
      <c r="E897" s="596"/>
      <c r="F897" s="596"/>
      <c r="G897" s="596"/>
      <c r="H897" s="596"/>
      <c r="I897" s="596"/>
      <c r="J897" s="577"/>
      <c r="K897" s="577"/>
      <c r="L897" s="577"/>
      <c r="M897" s="577"/>
      <c r="N897" s="577"/>
      <c r="O897" s="577"/>
      <c r="P897" s="577"/>
      <c r="Q897" s="577"/>
      <c r="R897" s="577"/>
      <c r="S897" s="577"/>
      <c r="T897" s="577"/>
      <c r="U897" s="577"/>
      <c r="V897" s="577"/>
      <c r="W897" s="577"/>
      <c r="X897" s="577"/>
      <c r="Y897" s="577"/>
      <c r="Z897" s="577"/>
      <c r="AA897" s="577"/>
      <c r="AB897" s="577"/>
      <c r="AC897" s="577"/>
      <c r="AD897" s="577"/>
      <c r="AE897" s="577"/>
      <c r="AF897" s="6"/>
    </row>
    <row r="898" ht="12.75" customHeight="1">
      <c r="A898" s="595"/>
      <c r="B898" s="596"/>
      <c r="C898" s="596"/>
      <c r="D898" s="596"/>
      <c r="E898" s="596"/>
      <c r="F898" s="596"/>
      <c r="G898" s="596"/>
      <c r="H898" s="596"/>
      <c r="I898" s="596"/>
      <c r="J898" s="577"/>
      <c r="K898" s="577"/>
      <c r="L898" s="577"/>
      <c r="M898" s="577"/>
      <c r="N898" s="577"/>
      <c r="O898" s="577"/>
      <c r="P898" s="577"/>
      <c r="Q898" s="577"/>
      <c r="R898" s="577"/>
      <c r="S898" s="577"/>
      <c r="T898" s="577"/>
      <c r="U898" s="577"/>
      <c r="V898" s="577"/>
      <c r="W898" s="577"/>
      <c r="X898" s="577"/>
      <c r="Y898" s="577"/>
      <c r="Z898" s="577"/>
      <c r="AA898" s="577"/>
      <c r="AB898" s="577"/>
      <c r="AC898" s="577"/>
      <c r="AD898" s="577"/>
      <c r="AE898" s="577"/>
      <c r="AF898" s="6"/>
    </row>
    <row r="899" ht="12.75" customHeight="1">
      <c r="A899" s="595"/>
      <c r="B899" s="596"/>
      <c r="C899" s="596"/>
      <c r="D899" s="596"/>
      <c r="E899" s="596"/>
      <c r="F899" s="596"/>
      <c r="G899" s="596"/>
      <c r="H899" s="596"/>
      <c r="I899" s="596"/>
      <c r="J899" s="577"/>
      <c r="K899" s="577"/>
      <c r="L899" s="577"/>
      <c r="M899" s="577"/>
      <c r="N899" s="577"/>
      <c r="O899" s="577"/>
      <c r="P899" s="577"/>
      <c r="Q899" s="577"/>
      <c r="R899" s="577"/>
      <c r="S899" s="577"/>
      <c r="T899" s="577"/>
      <c r="U899" s="577"/>
      <c r="V899" s="577"/>
      <c r="W899" s="577"/>
      <c r="X899" s="577"/>
      <c r="Y899" s="577"/>
      <c r="Z899" s="577"/>
      <c r="AA899" s="577"/>
      <c r="AB899" s="577"/>
      <c r="AC899" s="577"/>
      <c r="AD899" s="577"/>
      <c r="AE899" s="577"/>
      <c r="AF899" s="6"/>
    </row>
    <row r="900" ht="12.75" customHeight="1">
      <c r="A900" s="595"/>
      <c r="B900" s="596"/>
      <c r="C900" s="596"/>
      <c r="D900" s="596"/>
      <c r="E900" s="596"/>
      <c r="F900" s="596"/>
      <c r="G900" s="596"/>
      <c r="H900" s="596"/>
      <c r="I900" s="596"/>
      <c r="J900" s="577"/>
      <c r="K900" s="577"/>
      <c r="L900" s="577"/>
      <c r="M900" s="577"/>
      <c r="N900" s="577"/>
      <c r="O900" s="577"/>
      <c r="P900" s="577"/>
      <c r="Q900" s="577"/>
      <c r="R900" s="577"/>
      <c r="S900" s="577"/>
      <c r="T900" s="577"/>
      <c r="U900" s="577"/>
      <c r="V900" s="577"/>
      <c r="W900" s="577"/>
      <c r="X900" s="577"/>
      <c r="Y900" s="577"/>
      <c r="Z900" s="577"/>
      <c r="AA900" s="577"/>
      <c r="AB900" s="577"/>
      <c r="AC900" s="577"/>
      <c r="AD900" s="577"/>
      <c r="AE900" s="577"/>
      <c r="AF900" s="6"/>
    </row>
    <row r="901" ht="12.75" customHeight="1">
      <c r="A901" s="595"/>
      <c r="B901" s="596"/>
      <c r="C901" s="596"/>
      <c r="D901" s="596"/>
      <c r="E901" s="596"/>
      <c r="F901" s="596"/>
      <c r="G901" s="596"/>
      <c r="H901" s="596"/>
      <c r="I901" s="596"/>
      <c r="J901" s="577"/>
      <c r="K901" s="577"/>
      <c r="L901" s="577"/>
      <c r="M901" s="577"/>
      <c r="N901" s="577"/>
      <c r="O901" s="577"/>
      <c r="P901" s="577"/>
      <c r="Q901" s="577"/>
      <c r="R901" s="577"/>
      <c r="S901" s="577"/>
      <c r="T901" s="577"/>
      <c r="U901" s="577"/>
      <c r="V901" s="577"/>
      <c r="W901" s="577"/>
      <c r="X901" s="577"/>
      <c r="Y901" s="577"/>
      <c r="Z901" s="577"/>
      <c r="AA901" s="577"/>
      <c r="AB901" s="577"/>
      <c r="AC901" s="577"/>
      <c r="AD901" s="577"/>
      <c r="AE901" s="577"/>
      <c r="AF901" s="6"/>
    </row>
    <row r="902" ht="12.75" customHeight="1">
      <c r="A902" s="595"/>
      <c r="B902" s="596"/>
      <c r="C902" s="596"/>
      <c r="D902" s="596"/>
      <c r="E902" s="596"/>
      <c r="F902" s="596"/>
      <c r="G902" s="596"/>
      <c r="H902" s="596"/>
      <c r="I902" s="596"/>
      <c r="J902" s="577"/>
      <c r="K902" s="577"/>
      <c r="L902" s="577"/>
      <c r="M902" s="577"/>
      <c r="N902" s="577"/>
      <c r="O902" s="577"/>
      <c r="P902" s="577"/>
      <c r="Q902" s="577"/>
      <c r="R902" s="577"/>
      <c r="S902" s="577"/>
      <c r="T902" s="577"/>
      <c r="U902" s="577"/>
      <c r="V902" s="577"/>
      <c r="W902" s="577"/>
      <c r="X902" s="577"/>
      <c r="Y902" s="577"/>
      <c r="Z902" s="577"/>
      <c r="AA902" s="577"/>
      <c r="AB902" s="577"/>
      <c r="AC902" s="577"/>
      <c r="AD902" s="577"/>
      <c r="AE902" s="577"/>
      <c r="AF902" s="6"/>
    </row>
    <row r="903" ht="12.75" customHeight="1">
      <c r="A903" s="595"/>
      <c r="B903" s="596"/>
      <c r="C903" s="596"/>
      <c r="D903" s="596"/>
      <c r="E903" s="596"/>
      <c r="F903" s="596"/>
      <c r="G903" s="596"/>
      <c r="H903" s="596"/>
      <c r="I903" s="596"/>
      <c r="J903" s="577"/>
      <c r="K903" s="577"/>
      <c r="L903" s="577"/>
      <c r="M903" s="577"/>
      <c r="N903" s="577"/>
      <c r="O903" s="577"/>
      <c r="P903" s="577"/>
      <c r="Q903" s="577"/>
      <c r="R903" s="577"/>
      <c r="S903" s="577"/>
      <c r="T903" s="577"/>
      <c r="U903" s="577"/>
      <c r="V903" s="577"/>
      <c r="W903" s="577"/>
      <c r="X903" s="577"/>
      <c r="Y903" s="577"/>
      <c r="Z903" s="577"/>
      <c r="AA903" s="577"/>
      <c r="AB903" s="577"/>
      <c r="AC903" s="577"/>
      <c r="AD903" s="577"/>
      <c r="AE903" s="577"/>
      <c r="AF903" s="6"/>
    </row>
    <row r="904" ht="12.75" customHeight="1">
      <c r="A904" s="595"/>
      <c r="B904" s="596"/>
      <c r="C904" s="596"/>
      <c r="D904" s="596"/>
      <c r="E904" s="596"/>
      <c r="F904" s="596"/>
      <c r="G904" s="596"/>
      <c r="H904" s="596"/>
      <c r="I904" s="596"/>
      <c r="J904" s="577"/>
      <c r="K904" s="577"/>
      <c r="L904" s="577"/>
      <c r="M904" s="577"/>
      <c r="N904" s="577"/>
      <c r="O904" s="577"/>
      <c r="P904" s="577"/>
      <c r="Q904" s="577"/>
      <c r="R904" s="577"/>
      <c r="S904" s="577"/>
      <c r="T904" s="577"/>
      <c r="U904" s="577"/>
      <c r="V904" s="577"/>
      <c r="W904" s="577"/>
      <c r="X904" s="577"/>
      <c r="Y904" s="577"/>
      <c r="Z904" s="577"/>
      <c r="AA904" s="577"/>
      <c r="AB904" s="577"/>
      <c r="AC904" s="577"/>
      <c r="AD904" s="577"/>
      <c r="AE904" s="577"/>
      <c r="AF904" s="6"/>
    </row>
    <row r="905" ht="12.75" customHeight="1">
      <c r="A905" s="595"/>
      <c r="B905" s="596"/>
      <c r="C905" s="596"/>
      <c r="D905" s="596"/>
      <c r="E905" s="596"/>
      <c r="F905" s="596"/>
      <c r="G905" s="596"/>
      <c r="H905" s="596"/>
      <c r="I905" s="596"/>
      <c r="J905" s="577"/>
      <c r="K905" s="577"/>
      <c r="L905" s="577"/>
      <c r="M905" s="577"/>
      <c r="N905" s="577"/>
      <c r="O905" s="577"/>
      <c r="P905" s="577"/>
      <c r="Q905" s="577"/>
      <c r="R905" s="577"/>
      <c r="S905" s="577"/>
      <c r="T905" s="577"/>
      <c r="U905" s="577"/>
      <c r="V905" s="577"/>
      <c r="W905" s="577"/>
      <c r="X905" s="577"/>
      <c r="Y905" s="577"/>
      <c r="Z905" s="577"/>
      <c r="AA905" s="577"/>
      <c r="AB905" s="577"/>
      <c r="AC905" s="577"/>
      <c r="AD905" s="577"/>
      <c r="AE905" s="577"/>
      <c r="AF905" s="6"/>
    </row>
    <row r="906" ht="12.75" customHeight="1">
      <c r="A906" s="595"/>
      <c r="B906" s="596"/>
      <c r="C906" s="596"/>
      <c r="D906" s="596"/>
      <c r="E906" s="596"/>
      <c r="F906" s="596"/>
      <c r="G906" s="596"/>
      <c r="H906" s="596"/>
      <c r="I906" s="596"/>
      <c r="J906" s="577"/>
      <c r="K906" s="577"/>
      <c r="L906" s="577"/>
      <c r="M906" s="577"/>
      <c r="N906" s="577"/>
      <c r="O906" s="577"/>
      <c r="P906" s="577"/>
      <c r="Q906" s="577"/>
      <c r="R906" s="577"/>
      <c r="S906" s="577"/>
      <c r="T906" s="577"/>
      <c r="U906" s="577"/>
      <c r="V906" s="577"/>
      <c r="W906" s="577"/>
      <c r="X906" s="577"/>
      <c r="Y906" s="577"/>
      <c r="Z906" s="577"/>
      <c r="AA906" s="577"/>
      <c r="AB906" s="577"/>
      <c r="AC906" s="577"/>
      <c r="AD906" s="577"/>
      <c r="AE906" s="577"/>
      <c r="AF906" s="6"/>
    </row>
    <row r="907" ht="12.75" customHeight="1">
      <c r="A907" s="595"/>
      <c r="B907" s="596"/>
      <c r="C907" s="596"/>
      <c r="D907" s="596"/>
      <c r="E907" s="596"/>
      <c r="F907" s="596"/>
      <c r="G907" s="596"/>
      <c r="H907" s="596"/>
      <c r="I907" s="596"/>
      <c r="J907" s="577"/>
      <c r="K907" s="577"/>
      <c r="L907" s="577"/>
      <c r="M907" s="577"/>
      <c r="N907" s="577"/>
      <c r="O907" s="577"/>
      <c r="P907" s="577"/>
      <c r="Q907" s="577"/>
      <c r="R907" s="577"/>
      <c r="S907" s="577"/>
      <c r="T907" s="577"/>
      <c r="U907" s="577"/>
      <c r="V907" s="577"/>
      <c r="W907" s="577"/>
      <c r="X907" s="577"/>
      <c r="Y907" s="577"/>
      <c r="Z907" s="577"/>
      <c r="AA907" s="577"/>
      <c r="AB907" s="577"/>
      <c r="AC907" s="577"/>
      <c r="AD907" s="577"/>
      <c r="AE907" s="577"/>
      <c r="AF907" s="6"/>
    </row>
    <row r="908" ht="12.75" customHeight="1">
      <c r="A908" s="595"/>
      <c r="B908" s="596"/>
      <c r="C908" s="596"/>
      <c r="D908" s="596"/>
      <c r="E908" s="596"/>
      <c r="F908" s="596"/>
      <c r="G908" s="596"/>
      <c r="H908" s="596"/>
      <c r="I908" s="596"/>
      <c r="J908" s="577"/>
      <c r="K908" s="577"/>
      <c r="L908" s="577"/>
      <c r="M908" s="577"/>
      <c r="N908" s="577"/>
      <c r="O908" s="577"/>
      <c r="P908" s="577"/>
      <c r="Q908" s="577"/>
      <c r="R908" s="577"/>
      <c r="S908" s="577"/>
      <c r="T908" s="577"/>
      <c r="U908" s="577"/>
      <c r="V908" s="577"/>
      <c r="W908" s="577"/>
      <c r="X908" s="577"/>
      <c r="Y908" s="577"/>
      <c r="Z908" s="577"/>
      <c r="AA908" s="577"/>
      <c r="AB908" s="577"/>
      <c r="AC908" s="577"/>
      <c r="AD908" s="577"/>
      <c r="AE908" s="577"/>
      <c r="AF908" s="6"/>
    </row>
    <row r="909" ht="12.75" customHeight="1">
      <c r="A909" s="595"/>
      <c r="B909" s="596"/>
      <c r="C909" s="596"/>
      <c r="D909" s="596"/>
      <c r="E909" s="596"/>
      <c r="F909" s="596"/>
      <c r="G909" s="596"/>
      <c r="H909" s="596"/>
      <c r="I909" s="596"/>
      <c r="J909" s="577"/>
      <c r="K909" s="577"/>
      <c r="L909" s="577"/>
      <c r="M909" s="577"/>
      <c r="N909" s="577"/>
      <c r="O909" s="577"/>
      <c r="P909" s="577"/>
      <c r="Q909" s="577"/>
      <c r="R909" s="577"/>
      <c r="S909" s="577"/>
      <c r="T909" s="577"/>
      <c r="U909" s="577"/>
      <c r="V909" s="577"/>
      <c r="W909" s="577"/>
      <c r="X909" s="577"/>
      <c r="Y909" s="577"/>
      <c r="Z909" s="577"/>
      <c r="AA909" s="577"/>
      <c r="AB909" s="577"/>
      <c r="AC909" s="577"/>
      <c r="AD909" s="577"/>
      <c r="AE909" s="577"/>
      <c r="AF909" s="6"/>
    </row>
    <row r="910" ht="12.75" customHeight="1">
      <c r="A910" s="595"/>
      <c r="B910" s="596"/>
      <c r="C910" s="596"/>
      <c r="D910" s="596"/>
      <c r="E910" s="596"/>
      <c r="F910" s="596"/>
      <c r="G910" s="596"/>
      <c r="H910" s="596"/>
      <c r="I910" s="596"/>
      <c r="J910" s="577"/>
      <c r="K910" s="577"/>
      <c r="L910" s="577"/>
      <c r="M910" s="577"/>
      <c r="N910" s="577"/>
      <c r="O910" s="577"/>
      <c r="P910" s="577"/>
      <c r="Q910" s="577"/>
      <c r="R910" s="577"/>
      <c r="S910" s="577"/>
      <c r="T910" s="577"/>
      <c r="U910" s="577"/>
      <c r="V910" s="577"/>
      <c r="W910" s="577"/>
      <c r="X910" s="577"/>
      <c r="Y910" s="577"/>
      <c r="Z910" s="577"/>
      <c r="AA910" s="577"/>
      <c r="AB910" s="577"/>
      <c r="AC910" s="577"/>
      <c r="AD910" s="577"/>
      <c r="AE910" s="577"/>
      <c r="AF910" s="6"/>
    </row>
    <row r="911" ht="12.75" customHeight="1">
      <c r="A911" s="595"/>
      <c r="B911" s="596"/>
      <c r="C911" s="596"/>
      <c r="D911" s="596"/>
      <c r="E911" s="596"/>
      <c r="F911" s="596"/>
      <c r="G911" s="596"/>
      <c r="H911" s="596"/>
      <c r="I911" s="596"/>
      <c r="J911" s="577"/>
      <c r="K911" s="577"/>
      <c r="L911" s="577"/>
      <c r="M911" s="577"/>
      <c r="N911" s="577"/>
      <c r="O911" s="577"/>
      <c r="P911" s="577"/>
      <c r="Q911" s="577"/>
      <c r="R911" s="577"/>
      <c r="S911" s="577"/>
      <c r="T911" s="577"/>
      <c r="U911" s="577"/>
      <c r="V911" s="577"/>
      <c r="W911" s="577"/>
      <c r="X911" s="577"/>
      <c r="Y911" s="577"/>
      <c r="Z911" s="577"/>
      <c r="AA911" s="577"/>
      <c r="AB911" s="577"/>
      <c r="AC911" s="577"/>
      <c r="AD911" s="577"/>
      <c r="AE911" s="577"/>
      <c r="AF911" s="6"/>
    </row>
    <row r="912" ht="12.75" customHeight="1">
      <c r="A912" s="595"/>
      <c r="B912" s="596"/>
      <c r="C912" s="596"/>
      <c r="D912" s="596"/>
      <c r="E912" s="596"/>
      <c r="F912" s="596"/>
      <c r="G912" s="596"/>
      <c r="H912" s="596"/>
      <c r="I912" s="596"/>
      <c r="J912" s="577"/>
      <c r="K912" s="577"/>
      <c r="L912" s="577"/>
      <c r="M912" s="577"/>
      <c r="N912" s="577"/>
      <c r="O912" s="577"/>
      <c r="P912" s="577"/>
      <c r="Q912" s="577"/>
      <c r="R912" s="577"/>
      <c r="S912" s="577"/>
      <c r="T912" s="577"/>
      <c r="U912" s="577"/>
      <c r="V912" s="577"/>
      <c r="W912" s="577"/>
      <c r="X912" s="577"/>
      <c r="Y912" s="577"/>
      <c r="Z912" s="577"/>
      <c r="AA912" s="577"/>
      <c r="AB912" s="577"/>
      <c r="AC912" s="577"/>
      <c r="AD912" s="577"/>
      <c r="AE912" s="577"/>
      <c r="AF912" s="6"/>
    </row>
    <row r="913" ht="12.75" customHeight="1">
      <c r="A913" s="595"/>
      <c r="B913" s="596"/>
      <c r="C913" s="596"/>
      <c r="D913" s="596"/>
      <c r="E913" s="596"/>
      <c r="F913" s="596"/>
      <c r="G913" s="596"/>
      <c r="H913" s="596"/>
      <c r="I913" s="596"/>
      <c r="J913" s="577"/>
      <c r="K913" s="577"/>
      <c r="L913" s="577"/>
      <c r="M913" s="577"/>
      <c r="N913" s="577"/>
      <c r="O913" s="577"/>
      <c r="P913" s="577"/>
      <c r="Q913" s="577"/>
      <c r="R913" s="577"/>
      <c r="S913" s="577"/>
      <c r="T913" s="577"/>
      <c r="U913" s="577"/>
      <c r="V913" s="577"/>
      <c r="W913" s="577"/>
      <c r="X913" s="577"/>
      <c r="Y913" s="577"/>
      <c r="Z913" s="577"/>
      <c r="AA913" s="577"/>
      <c r="AB913" s="577"/>
      <c r="AC913" s="577"/>
      <c r="AD913" s="577"/>
      <c r="AE913" s="577"/>
      <c r="AF913" s="6"/>
    </row>
    <row r="914" ht="12.75" customHeight="1">
      <c r="A914" s="595"/>
      <c r="B914" s="596"/>
      <c r="C914" s="596"/>
      <c r="D914" s="596"/>
      <c r="E914" s="596"/>
      <c r="F914" s="596"/>
      <c r="G914" s="596"/>
      <c r="H914" s="596"/>
      <c r="I914" s="596"/>
      <c r="J914" s="577"/>
      <c r="K914" s="577"/>
      <c r="L914" s="577"/>
      <c r="M914" s="577"/>
      <c r="N914" s="577"/>
      <c r="O914" s="577"/>
      <c r="P914" s="577"/>
      <c r="Q914" s="577"/>
      <c r="R914" s="577"/>
      <c r="S914" s="577"/>
      <c r="T914" s="577"/>
      <c r="U914" s="577"/>
      <c r="V914" s="577"/>
      <c r="W914" s="577"/>
      <c r="X914" s="577"/>
      <c r="Y914" s="577"/>
      <c r="Z914" s="577"/>
      <c r="AA914" s="577"/>
      <c r="AB914" s="577"/>
      <c r="AC914" s="577"/>
      <c r="AD914" s="577"/>
      <c r="AE914" s="577"/>
      <c r="AF914" s="6"/>
    </row>
    <row r="915" ht="12.75" customHeight="1">
      <c r="A915" s="595"/>
      <c r="B915" s="596"/>
      <c r="C915" s="596"/>
      <c r="D915" s="596"/>
      <c r="E915" s="596"/>
      <c r="F915" s="596"/>
      <c r="G915" s="596"/>
      <c r="H915" s="596"/>
      <c r="I915" s="596"/>
      <c r="J915" s="577"/>
      <c r="K915" s="577"/>
      <c r="L915" s="577"/>
      <c r="M915" s="577"/>
      <c r="N915" s="577"/>
      <c r="O915" s="577"/>
      <c r="P915" s="577"/>
      <c r="Q915" s="577"/>
      <c r="R915" s="577"/>
      <c r="S915" s="577"/>
      <c r="T915" s="577"/>
      <c r="U915" s="577"/>
      <c r="V915" s="577"/>
      <c r="W915" s="577"/>
      <c r="X915" s="577"/>
      <c r="Y915" s="577"/>
      <c r="Z915" s="577"/>
      <c r="AA915" s="577"/>
      <c r="AB915" s="577"/>
      <c r="AC915" s="577"/>
      <c r="AD915" s="577"/>
      <c r="AE915" s="577"/>
      <c r="AF915" s="6"/>
    </row>
    <row r="916" ht="12.75" customHeight="1">
      <c r="A916" s="595"/>
      <c r="B916" s="596"/>
      <c r="C916" s="596"/>
      <c r="D916" s="596"/>
      <c r="E916" s="596"/>
      <c r="F916" s="596"/>
      <c r="G916" s="596"/>
      <c r="H916" s="596"/>
      <c r="I916" s="596"/>
      <c r="J916" s="577"/>
      <c r="K916" s="577"/>
      <c r="L916" s="577"/>
      <c r="M916" s="577"/>
      <c r="N916" s="577"/>
      <c r="O916" s="577"/>
      <c r="P916" s="577"/>
      <c r="Q916" s="577"/>
      <c r="R916" s="577"/>
      <c r="S916" s="577"/>
      <c r="T916" s="577"/>
      <c r="U916" s="577"/>
      <c r="V916" s="577"/>
      <c r="W916" s="577"/>
      <c r="X916" s="577"/>
      <c r="Y916" s="577"/>
      <c r="Z916" s="577"/>
      <c r="AA916" s="577"/>
      <c r="AB916" s="577"/>
      <c r="AC916" s="577"/>
      <c r="AD916" s="577"/>
      <c r="AE916" s="577"/>
      <c r="AF916" s="6"/>
    </row>
    <row r="917" ht="12.75" customHeight="1">
      <c r="A917" s="595"/>
      <c r="B917" s="596"/>
      <c r="C917" s="596"/>
      <c r="D917" s="596"/>
      <c r="E917" s="596"/>
      <c r="F917" s="596"/>
      <c r="G917" s="596"/>
      <c r="H917" s="596"/>
      <c r="I917" s="596"/>
      <c r="J917" s="577"/>
      <c r="K917" s="577"/>
      <c r="L917" s="577"/>
      <c r="M917" s="577"/>
      <c r="N917" s="577"/>
      <c r="O917" s="577"/>
      <c r="P917" s="577"/>
      <c r="Q917" s="577"/>
      <c r="R917" s="577"/>
      <c r="S917" s="577"/>
      <c r="T917" s="577"/>
      <c r="U917" s="577"/>
      <c r="V917" s="577"/>
      <c r="W917" s="577"/>
      <c r="X917" s="577"/>
      <c r="Y917" s="577"/>
      <c r="Z917" s="577"/>
      <c r="AA917" s="577"/>
      <c r="AB917" s="577"/>
      <c r="AC917" s="577"/>
      <c r="AD917" s="577"/>
      <c r="AE917" s="577"/>
      <c r="AF917" s="6"/>
    </row>
    <row r="918" ht="12.75" customHeight="1">
      <c r="A918" s="595"/>
      <c r="B918" s="596"/>
      <c r="C918" s="596"/>
      <c r="D918" s="596"/>
      <c r="E918" s="596"/>
      <c r="F918" s="596"/>
      <c r="G918" s="596"/>
      <c r="H918" s="596"/>
      <c r="I918" s="596"/>
      <c r="J918" s="577"/>
      <c r="K918" s="577"/>
      <c r="L918" s="577"/>
      <c r="M918" s="577"/>
      <c r="N918" s="577"/>
      <c r="O918" s="577"/>
      <c r="P918" s="577"/>
      <c r="Q918" s="577"/>
      <c r="R918" s="577"/>
      <c r="S918" s="577"/>
      <c r="T918" s="577"/>
      <c r="U918" s="577"/>
      <c r="V918" s="577"/>
      <c r="W918" s="577"/>
      <c r="X918" s="577"/>
      <c r="Y918" s="577"/>
      <c r="Z918" s="577"/>
      <c r="AA918" s="577"/>
      <c r="AB918" s="577"/>
      <c r="AC918" s="577"/>
      <c r="AD918" s="577"/>
      <c r="AE918" s="577"/>
      <c r="AF918" s="6"/>
    </row>
    <row r="919" ht="12.75" customHeight="1">
      <c r="A919" s="595"/>
      <c r="B919" s="596"/>
      <c r="C919" s="596"/>
      <c r="D919" s="596"/>
      <c r="E919" s="596"/>
      <c r="F919" s="596"/>
      <c r="G919" s="596"/>
      <c r="H919" s="596"/>
      <c r="I919" s="596"/>
      <c r="J919" s="577"/>
      <c r="K919" s="577"/>
      <c r="L919" s="577"/>
      <c r="M919" s="577"/>
      <c r="N919" s="577"/>
      <c r="O919" s="577"/>
      <c r="P919" s="577"/>
      <c r="Q919" s="577"/>
      <c r="R919" s="577"/>
      <c r="S919" s="577"/>
      <c r="T919" s="577"/>
      <c r="U919" s="577"/>
      <c r="V919" s="577"/>
      <c r="W919" s="577"/>
      <c r="X919" s="577"/>
      <c r="Y919" s="577"/>
      <c r="Z919" s="577"/>
      <c r="AA919" s="577"/>
      <c r="AB919" s="577"/>
      <c r="AC919" s="577"/>
      <c r="AD919" s="577"/>
      <c r="AE919" s="577"/>
      <c r="AF919" s="6"/>
    </row>
    <row r="920" ht="12.75" customHeight="1">
      <c r="A920" s="595"/>
      <c r="B920" s="596"/>
      <c r="C920" s="596"/>
      <c r="D920" s="596"/>
      <c r="E920" s="596"/>
      <c r="F920" s="596"/>
      <c r="G920" s="596"/>
      <c r="H920" s="596"/>
      <c r="I920" s="596"/>
      <c r="J920" s="577"/>
      <c r="K920" s="577"/>
      <c r="L920" s="577"/>
      <c r="M920" s="577"/>
      <c r="N920" s="577"/>
      <c r="O920" s="577"/>
      <c r="P920" s="577"/>
      <c r="Q920" s="577"/>
      <c r="R920" s="577"/>
      <c r="S920" s="577"/>
      <c r="T920" s="577"/>
      <c r="U920" s="577"/>
      <c r="V920" s="577"/>
      <c r="W920" s="577"/>
      <c r="X920" s="577"/>
      <c r="Y920" s="577"/>
      <c r="Z920" s="577"/>
      <c r="AA920" s="577"/>
      <c r="AB920" s="577"/>
      <c r="AC920" s="577"/>
      <c r="AD920" s="577"/>
      <c r="AE920" s="577"/>
      <c r="AF920" s="6"/>
    </row>
    <row r="921" ht="12.75" customHeight="1">
      <c r="A921" s="595"/>
      <c r="B921" s="596"/>
      <c r="C921" s="596"/>
      <c r="D921" s="596"/>
      <c r="E921" s="596"/>
      <c r="F921" s="596"/>
      <c r="G921" s="596"/>
      <c r="H921" s="596"/>
      <c r="I921" s="596"/>
      <c r="J921" s="577"/>
      <c r="K921" s="577"/>
      <c r="L921" s="577"/>
      <c r="M921" s="577"/>
      <c r="N921" s="577"/>
      <c r="O921" s="577"/>
      <c r="P921" s="577"/>
      <c r="Q921" s="577"/>
      <c r="R921" s="577"/>
      <c r="S921" s="577"/>
      <c r="T921" s="577"/>
      <c r="U921" s="577"/>
      <c r="V921" s="577"/>
      <c r="W921" s="577"/>
      <c r="X921" s="577"/>
      <c r="Y921" s="577"/>
      <c r="Z921" s="577"/>
      <c r="AA921" s="577"/>
      <c r="AB921" s="577"/>
      <c r="AC921" s="577"/>
      <c r="AD921" s="577"/>
      <c r="AE921" s="577"/>
      <c r="AF921" s="6"/>
    </row>
    <row r="922" ht="12.75" customHeight="1">
      <c r="A922" s="595"/>
      <c r="B922" s="596"/>
      <c r="C922" s="596"/>
      <c r="D922" s="596"/>
      <c r="E922" s="596"/>
      <c r="F922" s="596"/>
      <c r="G922" s="596"/>
      <c r="H922" s="596"/>
      <c r="I922" s="596"/>
      <c r="J922" s="577"/>
      <c r="K922" s="577"/>
      <c r="L922" s="577"/>
      <c r="M922" s="577"/>
      <c r="N922" s="577"/>
      <c r="O922" s="577"/>
      <c r="P922" s="577"/>
      <c r="Q922" s="577"/>
      <c r="R922" s="577"/>
      <c r="S922" s="577"/>
      <c r="T922" s="577"/>
      <c r="U922" s="577"/>
      <c r="V922" s="577"/>
      <c r="W922" s="577"/>
      <c r="X922" s="577"/>
      <c r="Y922" s="577"/>
      <c r="Z922" s="577"/>
      <c r="AA922" s="577"/>
      <c r="AB922" s="577"/>
      <c r="AC922" s="577"/>
      <c r="AD922" s="577"/>
      <c r="AE922" s="577"/>
      <c r="AF922" s="6"/>
    </row>
    <row r="923" ht="12.75" customHeight="1">
      <c r="A923" s="595"/>
      <c r="B923" s="596"/>
      <c r="C923" s="596"/>
      <c r="D923" s="596"/>
      <c r="E923" s="596"/>
      <c r="F923" s="596"/>
      <c r="G923" s="596"/>
      <c r="H923" s="596"/>
      <c r="I923" s="596"/>
      <c r="J923" s="577"/>
      <c r="K923" s="577"/>
      <c r="L923" s="577"/>
      <c r="M923" s="577"/>
      <c r="N923" s="577"/>
      <c r="O923" s="577"/>
      <c r="P923" s="577"/>
      <c r="Q923" s="577"/>
      <c r="R923" s="577"/>
      <c r="S923" s="577"/>
      <c r="T923" s="577"/>
      <c r="U923" s="577"/>
      <c r="V923" s="577"/>
      <c r="W923" s="577"/>
      <c r="X923" s="577"/>
      <c r="Y923" s="577"/>
      <c r="Z923" s="577"/>
      <c r="AA923" s="577"/>
      <c r="AB923" s="577"/>
      <c r="AC923" s="577"/>
      <c r="AD923" s="577"/>
      <c r="AE923" s="577"/>
      <c r="AF923" s="6"/>
    </row>
    <row r="924" ht="12.75" customHeight="1">
      <c r="A924" s="595"/>
      <c r="B924" s="596"/>
      <c r="C924" s="596"/>
      <c r="D924" s="596"/>
      <c r="E924" s="596"/>
      <c r="F924" s="596"/>
      <c r="G924" s="596"/>
      <c r="H924" s="596"/>
      <c r="I924" s="596"/>
      <c r="J924" s="577"/>
      <c r="K924" s="577"/>
      <c r="L924" s="577"/>
      <c r="M924" s="577"/>
      <c r="N924" s="577"/>
      <c r="O924" s="577"/>
      <c r="P924" s="577"/>
      <c r="Q924" s="577"/>
      <c r="R924" s="577"/>
      <c r="S924" s="577"/>
      <c r="T924" s="577"/>
      <c r="U924" s="577"/>
      <c r="V924" s="577"/>
      <c r="W924" s="577"/>
      <c r="X924" s="577"/>
      <c r="Y924" s="577"/>
      <c r="Z924" s="577"/>
      <c r="AA924" s="577"/>
      <c r="AB924" s="577"/>
      <c r="AC924" s="577"/>
      <c r="AD924" s="577"/>
      <c r="AE924" s="577"/>
      <c r="AF924" s="6"/>
    </row>
    <row r="925" ht="12.75" customHeight="1">
      <c r="A925" s="595"/>
      <c r="B925" s="596"/>
      <c r="C925" s="596"/>
      <c r="D925" s="596"/>
      <c r="E925" s="596"/>
      <c r="F925" s="596"/>
      <c r="G925" s="596"/>
      <c r="H925" s="596"/>
      <c r="I925" s="596"/>
      <c r="J925" s="577"/>
      <c r="K925" s="577"/>
      <c r="L925" s="577"/>
      <c r="M925" s="577"/>
      <c r="N925" s="577"/>
      <c r="O925" s="577"/>
      <c r="P925" s="577"/>
      <c r="Q925" s="577"/>
      <c r="R925" s="577"/>
      <c r="S925" s="577"/>
      <c r="T925" s="577"/>
      <c r="U925" s="577"/>
      <c r="V925" s="577"/>
      <c r="W925" s="577"/>
      <c r="X925" s="577"/>
      <c r="Y925" s="577"/>
      <c r="Z925" s="577"/>
      <c r="AA925" s="577"/>
      <c r="AB925" s="577"/>
      <c r="AC925" s="577"/>
      <c r="AD925" s="577"/>
      <c r="AE925" s="577"/>
      <c r="AF925" s="6"/>
    </row>
    <row r="926" ht="12.75" customHeight="1">
      <c r="A926" s="595"/>
      <c r="B926" s="596"/>
      <c r="C926" s="596"/>
      <c r="D926" s="596"/>
      <c r="E926" s="596"/>
      <c r="F926" s="596"/>
      <c r="G926" s="596"/>
      <c r="H926" s="596"/>
      <c r="I926" s="596"/>
      <c r="J926" s="577"/>
      <c r="K926" s="577"/>
      <c r="L926" s="577"/>
      <c r="M926" s="577"/>
      <c r="N926" s="577"/>
      <c r="O926" s="577"/>
      <c r="P926" s="577"/>
      <c r="Q926" s="577"/>
      <c r="R926" s="577"/>
      <c r="S926" s="577"/>
      <c r="T926" s="577"/>
      <c r="U926" s="577"/>
      <c r="V926" s="577"/>
      <c r="W926" s="577"/>
      <c r="X926" s="577"/>
      <c r="Y926" s="577"/>
      <c r="Z926" s="577"/>
      <c r="AA926" s="577"/>
      <c r="AB926" s="577"/>
      <c r="AC926" s="577"/>
      <c r="AD926" s="577"/>
      <c r="AE926" s="577"/>
      <c r="AF926" s="6"/>
    </row>
    <row r="927" ht="12.75" customHeight="1">
      <c r="A927" s="595"/>
      <c r="B927" s="596"/>
      <c r="C927" s="596"/>
      <c r="D927" s="596"/>
      <c r="E927" s="596"/>
      <c r="F927" s="596"/>
      <c r="G927" s="596"/>
      <c r="H927" s="596"/>
      <c r="I927" s="596"/>
      <c r="J927" s="577"/>
      <c r="K927" s="577"/>
      <c r="L927" s="577"/>
      <c r="M927" s="577"/>
      <c r="N927" s="577"/>
      <c r="O927" s="577"/>
      <c r="P927" s="577"/>
      <c r="Q927" s="577"/>
      <c r="R927" s="577"/>
      <c r="S927" s="577"/>
      <c r="T927" s="577"/>
      <c r="U927" s="577"/>
      <c r="V927" s="577"/>
      <c r="W927" s="577"/>
      <c r="X927" s="577"/>
      <c r="Y927" s="577"/>
      <c r="Z927" s="577"/>
      <c r="AA927" s="577"/>
      <c r="AB927" s="577"/>
      <c r="AC927" s="577"/>
      <c r="AD927" s="577"/>
      <c r="AE927" s="577"/>
      <c r="AF927" s="6"/>
    </row>
    <row r="928" ht="12.75" customHeight="1">
      <c r="A928" s="595"/>
      <c r="B928" s="596"/>
      <c r="C928" s="596"/>
      <c r="D928" s="596"/>
      <c r="E928" s="596"/>
      <c r="F928" s="596"/>
      <c r="G928" s="596"/>
      <c r="H928" s="596"/>
      <c r="I928" s="596"/>
      <c r="J928" s="577"/>
      <c r="K928" s="577"/>
      <c r="L928" s="577"/>
      <c r="M928" s="577"/>
      <c r="N928" s="577"/>
      <c r="O928" s="577"/>
      <c r="P928" s="577"/>
      <c r="Q928" s="577"/>
      <c r="R928" s="577"/>
      <c r="S928" s="577"/>
      <c r="T928" s="577"/>
      <c r="U928" s="577"/>
      <c r="V928" s="577"/>
      <c r="W928" s="577"/>
      <c r="X928" s="577"/>
      <c r="Y928" s="577"/>
      <c r="Z928" s="577"/>
      <c r="AA928" s="577"/>
      <c r="AB928" s="577"/>
      <c r="AC928" s="577"/>
      <c r="AD928" s="577"/>
      <c r="AE928" s="577"/>
      <c r="AF928" s="6"/>
    </row>
    <row r="929" ht="12.75" customHeight="1">
      <c r="A929" s="595"/>
      <c r="B929" s="596"/>
      <c r="C929" s="596"/>
      <c r="D929" s="596"/>
      <c r="E929" s="596"/>
      <c r="F929" s="596"/>
      <c r="G929" s="596"/>
      <c r="H929" s="596"/>
      <c r="I929" s="596"/>
      <c r="J929" s="577"/>
      <c r="K929" s="577"/>
      <c r="L929" s="577"/>
      <c r="M929" s="577"/>
      <c r="N929" s="577"/>
      <c r="O929" s="577"/>
      <c r="P929" s="577"/>
      <c r="Q929" s="577"/>
      <c r="R929" s="577"/>
      <c r="S929" s="577"/>
      <c r="T929" s="577"/>
      <c r="U929" s="577"/>
      <c r="V929" s="577"/>
      <c r="W929" s="577"/>
      <c r="X929" s="577"/>
      <c r="Y929" s="577"/>
      <c r="Z929" s="577"/>
      <c r="AA929" s="577"/>
      <c r="AB929" s="577"/>
      <c r="AC929" s="577"/>
      <c r="AD929" s="577"/>
      <c r="AE929" s="577"/>
      <c r="AF929" s="6"/>
    </row>
    <row r="930" ht="12.75" customHeight="1">
      <c r="A930" s="595"/>
      <c r="B930" s="596"/>
      <c r="C930" s="596"/>
      <c r="D930" s="596"/>
      <c r="E930" s="596"/>
      <c r="F930" s="596"/>
      <c r="G930" s="596"/>
      <c r="H930" s="596"/>
      <c r="I930" s="596"/>
      <c r="J930" s="577"/>
      <c r="K930" s="577"/>
      <c r="L930" s="577"/>
      <c r="M930" s="577"/>
      <c r="N930" s="577"/>
      <c r="O930" s="577"/>
      <c r="P930" s="577"/>
      <c r="Q930" s="577"/>
      <c r="R930" s="577"/>
      <c r="S930" s="577"/>
      <c r="T930" s="577"/>
      <c r="U930" s="577"/>
      <c r="V930" s="577"/>
      <c r="W930" s="577"/>
      <c r="X930" s="577"/>
      <c r="Y930" s="577"/>
      <c r="Z930" s="577"/>
      <c r="AA930" s="577"/>
      <c r="AB930" s="577"/>
      <c r="AC930" s="577"/>
      <c r="AD930" s="577"/>
      <c r="AE930" s="577"/>
      <c r="AF930" s="6"/>
    </row>
    <row r="931" ht="12.75" customHeight="1">
      <c r="A931" s="595"/>
      <c r="B931" s="596"/>
      <c r="C931" s="596"/>
      <c r="D931" s="596"/>
      <c r="E931" s="596"/>
      <c r="F931" s="596"/>
      <c r="G931" s="596"/>
      <c r="H931" s="596"/>
      <c r="I931" s="596"/>
      <c r="J931" s="577"/>
      <c r="K931" s="577"/>
      <c r="L931" s="577"/>
      <c r="M931" s="577"/>
      <c r="N931" s="577"/>
      <c r="O931" s="577"/>
      <c r="P931" s="577"/>
      <c r="Q931" s="577"/>
      <c r="R931" s="577"/>
      <c r="S931" s="577"/>
      <c r="T931" s="577"/>
      <c r="U931" s="577"/>
      <c r="V931" s="577"/>
      <c r="W931" s="577"/>
      <c r="X931" s="577"/>
      <c r="Y931" s="577"/>
      <c r="Z931" s="577"/>
      <c r="AA931" s="577"/>
      <c r="AB931" s="577"/>
      <c r="AC931" s="577"/>
      <c r="AD931" s="577"/>
      <c r="AE931" s="577"/>
      <c r="AF931" s="6"/>
    </row>
    <row r="932" ht="12.75" customHeight="1">
      <c r="A932" s="595"/>
      <c r="B932" s="596"/>
      <c r="C932" s="596"/>
      <c r="D932" s="596"/>
      <c r="E932" s="596"/>
      <c r="F932" s="596"/>
      <c r="G932" s="596"/>
      <c r="H932" s="596"/>
      <c r="I932" s="596"/>
      <c r="J932" s="577"/>
      <c r="K932" s="577"/>
      <c r="L932" s="577"/>
      <c r="M932" s="577"/>
      <c r="N932" s="577"/>
      <c r="O932" s="577"/>
      <c r="P932" s="577"/>
      <c r="Q932" s="577"/>
      <c r="R932" s="577"/>
      <c r="S932" s="577"/>
      <c r="T932" s="577"/>
      <c r="U932" s="577"/>
      <c r="V932" s="577"/>
      <c r="W932" s="577"/>
      <c r="X932" s="577"/>
      <c r="Y932" s="577"/>
      <c r="Z932" s="577"/>
      <c r="AA932" s="577"/>
      <c r="AB932" s="577"/>
      <c r="AC932" s="577"/>
      <c r="AD932" s="577"/>
      <c r="AE932" s="577"/>
      <c r="AF932" s="6"/>
    </row>
    <row r="933" ht="12.75" customHeight="1">
      <c r="A933" s="595"/>
      <c r="B933" s="596"/>
      <c r="C933" s="596"/>
      <c r="D933" s="596"/>
      <c r="E933" s="596"/>
      <c r="F933" s="596"/>
      <c r="G933" s="596"/>
      <c r="H933" s="596"/>
      <c r="I933" s="596"/>
      <c r="J933" s="577"/>
      <c r="K933" s="577"/>
      <c r="L933" s="577"/>
      <c r="M933" s="577"/>
      <c r="N933" s="577"/>
      <c r="O933" s="577"/>
      <c r="P933" s="577"/>
      <c r="Q933" s="577"/>
      <c r="R933" s="577"/>
      <c r="S933" s="577"/>
      <c r="T933" s="577"/>
      <c r="U933" s="577"/>
      <c r="V933" s="577"/>
      <c r="W933" s="577"/>
      <c r="X933" s="577"/>
      <c r="Y933" s="577"/>
      <c r="Z933" s="577"/>
      <c r="AA933" s="577"/>
      <c r="AB933" s="577"/>
      <c r="AC933" s="577"/>
      <c r="AD933" s="577"/>
      <c r="AE933" s="577"/>
      <c r="AF933" s="6"/>
    </row>
    <row r="934" ht="12.75" customHeight="1">
      <c r="A934" s="595"/>
      <c r="B934" s="596"/>
      <c r="C934" s="596"/>
      <c r="D934" s="596"/>
      <c r="E934" s="596"/>
      <c r="F934" s="596"/>
      <c r="G934" s="596"/>
      <c r="H934" s="596"/>
      <c r="I934" s="596"/>
      <c r="J934" s="577"/>
      <c r="K934" s="577"/>
      <c r="L934" s="577"/>
      <c r="M934" s="577"/>
      <c r="N934" s="577"/>
      <c r="O934" s="577"/>
      <c r="P934" s="577"/>
      <c r="Q934" s="577"/>
      <c r="R934" s="577"/>
      <c r="S934" s="577"/>
      <c r="T934" s="577"/>
      <c r="U934" s="577"/>
      <c r="V934" s="577"/>
      <c r="W934" s="577"/>
      <c r="X934" s="577"/>
      <c r="Y934" s="577"/>
      <c r="Z934" s="577"/>
      <c r="AA934" s="577"/>
      <c r="AB934" s="577"/>
      <c r="AC934" s="577"/>
      <c r="AD934" s="577"/>
      <c r="AE934" s="577"/>
      <c r="AF934" s="6"/>
    </row>
    <row r="935" ht="12.75" customHeight="1">
      <c r="A935" s="595"/>
      <c r="B935" s="596"/>
      <c r="C935" s="596"/>
      <c r="D935" s="596"/>
      <c r="E935" s="596"/>
      <c r="F935" s="596"/>
      <c r="G935" s="596"/>
      <c r="H935" s="596"/>
      <c r="I935" s="596"/>
      <c r="J935" s="577"/>
      <c r="K935" s="577"/>
      <c r="L935" s="577"/>
      <c r="M935" s="577"/>
      <c r="N935" s="577"/>
      <c r="O935" s="577"/>
      <c r="P935" s="577"/>
      <c r="Q935" s="577"/>
      <c r="R935" s="577"/>
      <c r="S935" s="577"/>
      <c r="T935" s="577"/>
      <c r="U935" s="577"/>
      <c r="V935" s="577"/>
      <c r="W935" s="577"/>
      <c r="X935" s="577"/>
      <c r="Y935" s="577"/>
      <c r="Z935" s="577"/>
      <c r="AA935" s="577"/>
      <c r="AB935" s="577"/>
      <c r="AC935" s="577"/>
      <c r="AD935" s="577"/>
      <c r="AE935" s="577"/>
      <c r="AF935" s="6"/>
    </row>
    <row r="936" ht="12.75" customHeight="1">
      <c r="A936" s="595"/>
      <c r="B936" s="596"/>
      <c r="C936" s="596"/>
      <c r="D936" s="596"/>
      <c r="E936" s="596"/>
      <c r="F936" s="596"/>
      <c r="G936" s="596"/>
      <c r="H936" s="596"/>
      <c r="I936" s="596"/>
      <c r="J936" s="577"/>
      <c r="K936" s="577"/>
      <c r="L936" s="577"/>
      <c r="M936" s="577"/>
      <c r="N936" s="577"/>
      <c r="O936" s="577"/>
      <c r="P936" s="577"/>
      <c r="Q936" s="577"/>
      <c r="R936" s="577"/>
      <c r="S936" s="577"/>
      <c r="T936" s="577"/>
      <c r="U936" s="577"/>
      <c r="V936" s="577"/>
      <c r="W936" s="577"/>
      <c r="X936" s="577"/>
      <c r="Y936" s="577"/>
      <c r="Z936" s="577"/>
      <c r="AA936" s="577"/>
      <c r="AB936" s="577"/>
      <c r="AC936" s="577"/>
      <c r="AD936" s="577"/>
      <c r="AE936" s="577"/>
      <c r="AF936" s="6"/>
    </row>
    <row r="937" ht="12.75" customHeight="1">
      <c r="A937" s="595"/>
      <c r="B937" s="596"/>
      <c r="C937" s="596"/>
      <c r="D937" s="596"/>
      <c r="E937" s="596"/>
      <c r="F937" s="596"/>
      <c r="G937" s="596"/>
      <c r="H937" s="596"/>
      <c r="I937" s="596"/>
      <c r="J937" s="577"/>
      <c r="K937" s="577"/>
      <c r="L937" s="577"/>
      <c r="M937" s="577"/>
      <c r="N937" s="577"/>
      <c r="O937" s="577"/>
      <c r="P937" s="577"/>
      <c r="Q937" s="577"/>
      <c r="R937" s="577"/>
      <c r="S937" s="577"/>
      <c r="T937" s="577"/>
      <c r="U937" s="577"/>
      <c r="V937" s="577"/>
      <c r="W937" s="577"/>
      <c r="X937" s="577"/>
      <c r="Y937" s="577"/>
      <c r="Z937" s="577"/>
      <c r="AA937" s="577"/>
      <c r="AB937" s="577"/>
      <c r="AC937" s="577"/>
      <c r="AD937" s="577"/>
      <c r="AE937" s="577"/>
      <c r="AF937" s="6"/>
    </row>
    <row r="938" ht="12.75" customHeight="1">
      <c r="A938" s="595"/>
      <c r="B938" s="596"/>
      <c r="C938" s="596"/>
      <c r="D938" s="596"/>
      <c r="E938" s="596"/>
      <c r="F938" s="596"/>
      <c r="G938" s="596"/>
      <c r="H938" s="596"/>
      <c r="I938" s="596"/>
      <c r="J938" s="577"/>
      <c r="K938" s="577"/>
      <c r="L938" s="577"/>
      <c r="M938" s="577"/>
      <c r="N938" s="577"/>
      <c r="O938" s="577"/>
      <c r="P938" s="577"/>
      <c r="Q938" s="577"/>
      <c r="R938" s="577"/>
      <c r="S938" s="577"/>
      <c r="T938" s="577"/>
      <c r="U938" s="577"/>
      <c r="V938" s="577"/>
      <c r="W938" s="577"/>
      <c r="X938" s="577"/>
      <c r="Y938" s="577"/>
      <c r="Z938" s="577"/>
      <c r="AA938" s="577"/>
      <c r="AB938" s="577"/>
      <c r="AC938" s="577"/>
      <c r="AD938" s="577"/>
      <c r="AE938" s="577"/>
      <c r="AF938" s="6"/>
    </row>
    <row r="939" ht="12.75" customHeight="1">
      <c r="A939" s="595"/>
      <c r="B939" s="596"/>
      <c r="C939" s="596"/>
      <c r="D939" s="596"/>
      <c r="E939" s="596"/>
      <c r="F939" s="596"/>
      <c r="G939" s="596"/>
      <c r="H939" s="596"/>
      <c r="I939" s="596"/>
      <c r="J939" s="577"/>
      <c r="K939" s="577"/>
      <c r="L939" s="577"/>
      <c r="M939" s="577"/>
      <c r="N939" s="577"/>
      <c r="O939" s="577"/>
      <c r="P939" s="577"/>
      <c r="Q939" s="577"/>
      <c r="R939" s="577"/>
      <c r="S939" s="577"/>
      <c r="T939" s="577"/>
      <c r="U939" s="577"/>
      <c r="V939" s="577"/>
      <c r="W939" s="577"/>
      <c r="X939" s="577"/>
      <c r="Y939" s="577"/>
      <c r="Z939" s="577"/>
      <c r="AA939" s="577"/>
      <c r="AB939" s="577"/>
      <c r="AC939" s="577"/>
      <c r="AD939" s="577"/>
      <c r="AE939" s="577"/>
      <c r="AF939" s="6"/>
    </row>
    <row r="940" ht="12.75" customHeight="1">
      <c r="A940" s="595"/>
      <c r="B940" s="596"/>
      <c r="C940" s="596"/>
      <c r="D940" s="596"/>
      <c r="E940" s="596"/>
      <c r="F940" s="596"/>
      <c r="G940" s="596"/>
      <c r="H940" s="596"/>
      <c r="I940" s="596"/>
      <c r="J940" s="577"/>
      <c r="K940" s="577"/>
      <c r="L940" s="577"/>
      <c r="M940" s="577"/>
      <c r="N940" s="577"/>
      <c r="O940" s="577"/>
      <c r="P940" s="577"/>
      <c r="Q940" s="577"/>
      <c r="R940" s="577"/>
      <c r="S940" s="577"/>
      <c r="T940" s="577"/>
      <c r="U940" s="577"/>
      <c r="V940" s="577"/>
      <c r="W940" s="577"/>
      <c r="X940" s="577"/>
      <c r="Y940" s="577"/>
      <c r="Z940" s="577"/>
      <c r="AA940" s="577"/>
      <c r="AB940" s="577"/>
      <c r="AC940" s="577"/>
      <c r="AD940" s="577"/>
      <c r="AE940" s="577"/>
      <c r="AF940" s="6"/>
    </row>
    <row r="941" ht="12.75" customHeight="1">
      <c r="A941" s="595"/>
      <c r="B941" s="596"/>
      <c r="C941" s="596"/>
      <c r="D941" s="596"/>
      <c r="E941" s="596"/>
      <c r="F941" s="596"/>
      <c r="G941" s="596"/>
      <c r="H941" s="596"/>
      <c r="I941" s="596"/>
      <c r="J941" s="577"/>
      <c r="K941" s="577"/>
      <c r="L941" s="577"/>
      <c r="M941" s="577"/>
      <c r="N941" s="577"/>
      <c r="O941" s="577"/>
      <c r="P941" s="577"/>
      <c r="Q941" s="577"/>
      <c r="R941" s="577"/>
      <c r="S941" s="577"/>
      <c r="T941" s="577"/>
      <c r="U941" s="577"/>
      <c r="V941" s="577"/>
      <c r="W941" s="577"/>
      <c r="X941" s="577"/>
      <c r="Y941" s="577"/>
      <c r="Z941" s="577"/>
      <c r="AA941" s="577"/>
      <c r="AB941" s="577"/>
      <c r="AC941" s="577"/>
      <c r="AD941" s="577"/>
      <c r="AE941" s="577"/>
      <c r="AF941" s="6"/>
    </row>
    <row r="942" ht="12.75" customHeight="1">
      <c r="A942" s="595"/>
      <c r="B942" s="596"/>
      <c r="C942" s="596"/>
      <c r="D942" s="596"/>
      <c r="E942" s="596"/>
      <c r="F942" s="596"/>
      <c r="G942" s="596"/>
      <c r="H942" s="596"/>
      <c r="I942" s="596"/>
      <c r="J942" s="577"/>
      <c r="K942" s="577"/>
      <c r="L942" s="577"/>
      <c r="M942" s="577"/>
      <c r="N942" s="577"/>
      <c r="O942" s="577"/>
      <c r="P942" s="577"/>
      <c r="Q942" s="577"/>
      <c r="R942" s="577"/>
      <c r="S942" s="577"/>
      <c r="T942" s="577"/>
      <c r="U942" s="577"/>
      <c r="V942" s="577"/>
      <c r="W942" s="577"/>
      <c r="X942" s="577"/>
      <c r="Y942" s="577"/>
      <c r="Z942" s="577"/>
      <c r="AA942" s="577"/>
      <c r="AB942" s="577"/>
      <c r="AC942" s="577"/>
      <c r="AD942" s="577"/>
      <c r="AE942" s="577"/>
      <c r="AF942" s="6"/>
    </row>
    <row r="943" ht="12.75" customHeight="1">
      <c r="A943" s="595"/>
      <c r="B943" s="596"/>
      <c r="C943" s="596"/>
      <c r="D943" s="596"/>
      <c r="E943" s="596"/>
      <c r="F943" s="596"/>
      <c r="G943" s="596"/>
      <c r="H943" s="596"/>
      <c r="I943" s="596"/>
      <c r="J943" s="577"/>
      <c r="K943" s="577"/>
      <c r="L943" s="577"/>
      <c r="M943" s="577"/>
      <c r="N943" s="577"/>
      <c r="O943" s="577"/>
      <c r="P943" s="577"/>
      <c r="Q943" s="577"/>
      <c r="R943" s="577"/>
      <c r="S943" s="577"/>
      <c r="T943" s="577"/>
      <c r="U943" s="577"/>
      <c r="V943" s="577"/>
      <c r="W943" s="577"/>
      <c r="X943" s="577"/>
      <c r="Y943" s="577"/>
      <c r="Z943" s="577"/>
      <c r="AA943" s="577"/>
      <c r="AB943" s="577"/>
      <c r="AC943" s="577"/>
      <c r="AD943" s="577"/>
      <c r="AE943" s="577"/>
      <c r="AF943" s="6"/>
    </row>
    <row r="944" ht="12.75" customHeight="1">
      <c r="A944" s="595"/>
      <c r="B944" s="596"/>
      <c r="C944" s="596"/>
      <c r="D944" s="596"/>
      <c r="E944" s="596"/>
      <c r="F944" s="596"/>
      <c r="G944" s="596"/>
      <c r="H944" s="596"/>
      <c r="I944" s="596"/>
      <c r="J944" s="577"/>
      <c r="K944" s="577"/>
      <c r="L944" s="577"/>
      <c r="M944" s="577"/>
      <c r="N944" s="577"/>
      <c r="O944" s="577"/>
      <c r="P944" s="577"/>
      <c r="Q944" s="577"/>
      <c r="R944" s="577"/>
      <c r="S944" s="577"/>
      <c r="T944" s="577"/>
      <c r="U944" s="577"/>
      <c r="V944" s="577"/>
      <c r="W944" s="577"/>
      <c r="X944" s="577"/>
      <c r="Y944" s="577"/>
      <c r="Z944" s="577"/>
      <c r="AA944" s="577"/>
      <c r="AB944" s="577"/>
      <c r="AC944" s="577"/>
      <c r="AD944" s="577"/>
      <c r="AE944" s="577"/>
      <c r="AF944" s="6"/>
    </row>
    <row r="945" ht="12.75" customHeight="1">
      <c r="A945" s="595"/>
      <c r="B945" s="596"/>
      <c r="C945" s="596"/>
      <c r="D945" s="596"/>
      <c r="E945" s="596"/>
      <c r="F945" s="596"/>
      <c r="G945" s="596"/>
      <c r="H945" s="596"/>
      <c r="I945" s="596"/>
      <c r="J945" s="577"/>
      <c r="K945" s="577"/>
      <c r="L945" s="577"/>
      <c r="M945" s="577"/>
      <c r="N945" s="577"/>
      <c r="O945" s="577"/>
      <c r="P945" s="577"/>
      <c r="Q945" s="577"/>
      <c r="R945" s="577"/>
      <c r="S945" s="577"/>
      <c r="T945" s="577"/>
      <c r="U945" s="577"/>
      <c r="V945" s="577"/>
      <c r="W945" s="577"/>
      <c r="X945" s="577"/>
      <c r="Y945" s="577"/>
      <c r="Z945" s="577"/>
      <c r="AA945" s="577"/>
      <c r="AB945" s="577"/>
      <c r="AC945" s="577"/>
      <c r="AD945" s="577"/>
      <c r="AE945" s="577"/>
      <c r="AF945" s="6"/>
    </row>
    <row r="946" ht="12.75" customHeight="1">
      <c r="A946" s="595"/>
      <c r="B946" s="596"/>
      <c r="C946" s="596"/>
      <c r="D946" s="596"/>
      <c r="E946" s="596"/>
      <c r="F946" s="596"/>
      <c r="G946" s="596"/>
      <c r="H946" s="596"/>
      <c r="I946" s="596"/>
      <c r="J946" s="577"/>
      <c r="K946" s="577"/>
      <c r="L946" s="577"/>
      <c r="M946" s="577"/>
      <c r="N946" s="577"/>
      <c r="O946" s="577"/>
      <c r="P946" s="577"/>
      <c r="Q946" s="577"/>
      <c r="R946" s="577"/>
      <c r="S946" s="577"/>
      <c r="T946" s="577"/>
      <c r="U946" s="577"/>
      <c r="V946" s="577"/>
      <c r="W946" s="577"/>
      <c r="X946" s="577"/>
      <c r="Y946" s="577"/>
      <c r="Z946" s="577"/>
      <c r="AA946" s="577"/>
      <c r="AB946" s="577"/>
      <c r="AC946" s="577"/>
      <c r="AD946" s="577"/>
      <c r="AE946" s="577"/>
      <c r="AF946" s="6"/>
    </row>
    <row r="947" ht="12.75" customHeight="1">
      <c r="A947" s="595"/>
      <c r="B947" s="596"/>
      <c r="C947" s="596"/>
      <c r="D947" s="596"/>
      <c r="E947" s="596"/>
      <c r="F947" s="596"/>
      <c r="G947" s="596"/>
      <c r="H947" s="596"/>
      <c r="I947" s="596"/>
      <c r="J947" s="577"/>
      <c r="K947" s="577"/>
      <c r="L947" s="577"/>
      <c r="M947" s="577"/>
      <c r="N947" s="577"/>
      <c r="O947" s="577"/>
      <c r="P947" s="577"/>
      <c r="Q947" s="577"/>
      <c r="R947" s="577"/>
      <c r="S947" s="577"/>
      <c r="T947" s="577"/>
      <c r="U947" s="577"/>
      <c r="V947" s="577"/>
      <c r="W947" s="577"/>
      <c r="X947" s="577"/>
      <c r="Y947" s="577"/>
      <c r="Z947" s="577"/>
      <c r="AA947" s="577"/>
      <c r="AB947" s="577"/>
      <c r="AC947" s="577"/>
      <c r="AD947" s="577"/>
      <c r="AE947" s="577"/>
      <c r="AF947" s="6"/>
    </row>
    <row r="948" ht="12.75" customHeight="1">
      <c r="A948" s="595"/>
      <c r="B948" s="596"/>
      <c r="C948" s="596"/>
      <c r="D948" s="596"/>
      <c r="E948" s="596"/>
      <c r="F948" s="596"/>
      <c r="G948" s="596"/>
      <c r="H948" s="596"/>
      <c r="I948" s="596"/>
      <c r="J948" s="577"/>
      <c r="K948" s="577"/>
      <c r="L948" s="577"/>
      <c r="M948" s="577"/>
      <c r="N948" s="577"/>
      <c r="O948" s="577"/>
      <c r="P948" s="577"/>
      <c r="Q948" s="577"/>
      <c r="R948" s="577"/>
      <c r="S948" s="577"/>
      <c r="T948" s="577"/>
      <c r="U948" s="577"/>
      <c r="V948" s="577"/>
      <c r="W948" s="577"/>
      <c r="X948" s="577"/>
      <c r="Y948" s="577"/>
      <c r="Z948" s="577"/>
      <c r="AA948" s="577"/>
      <c r="AB948" s="577"/>
      <c r="AC948" s="577"/>
      <c r="AD948" s="577"/>
      <c r="AE948" s="577"/>
      <c r="AF948" s="6"/>
    </row>
    <row r="949" ht="12.75" customHeight="1">
      <c r="A949" s="595"/>
      <c r="B949" s="596"/>
      <c r="C949" s="596"/>
      <c r="D949" s="596"/>
      <c r="E949" s="596"/>
      <c r="F949" s="596"/>
      <c r="G949" s="596"/>
      <c r="H949" s="596"/>
      <c r="I949" s="596"/>
      <c r="J949" s="577"/>
      <c r="K949" s="577"/>
      <c r="L949" s="577"/>
      <c r="M949" s="577"/>
      <c r="N949" s="577"/>
      <c r="O949" s="577"/>
      <c r="P949" s="577"/>
      <c r="Q949" s="577"/>
      <c r="R949" s="577"/>
      <c r="S949" s="577"/>
      <c r="T949" s="577"/>
      <c r="U949" s="577"/>
      <c r="V949" s="577"/>
      <c r="W949" s="577"/>
      <c r="X949" s="577"/>
      <c r="Y949" s="577"/>
      <c r="Z949" s="577"/>
      <c r="AA949" s="577"/>
      <c r="AB949" s="577"/>
      <c r="AC949" s="577"/>
      <c r="AD949" s="577"/>
      <c r="AE949" s="577"/>
      <c r="AF949" s="6"/>
    </row>
    <row r="950" ht="12.75" customHeight="1">
      <c r="A950" s="595"/>
      <c r="B950" s="596"/>
      <c r="C950" s="596"/>
      <c r="D950" s="596"/>
      <c r="E950" s="596"/>
      <c r="F950" s="596"/>
      <c r="G950" s="596"/>
      <c r="H950" s="596"/>
      <c r="I950" s="596"/>
      <c r="J950" s="577"/>
      <c r="K950" s="577"/>
      <c r="L950" s="577"/>
      <c r="M950" s="577"/>
      <c r="N950" s="577"/>
      <c r="O950" s="577"/>
      <c r="P950" s="577"/>
      <c r="Q950" s="577"/>
      <c r="R950" s="577"/>
      <c r="S950" s="577"/>
      <c r="T950" s="577"/>
      <c r="U950" s="577"/>
      <c r="V950" s="577"/>
      <c r="W950" s="577"/>
      <c r="X950" s="577"/>
      <c r="Y950" s="577"/>
      <c r="Z950" s="577"/>
      <c r="AA950" s="577"/>
      <c r="AB950" s="577"/>
      <c r="AC950" s="577"/>
      <c r="AD950" s="577"/>
      <c r="AE950" s="577"/>
      <c r="AF950" s="6"/>
    </row>
    <row r="951" ht="12.75" customHeight="1">
      <c r="A951" s="595"/>
      <c r="B951" s="596"/>
      <c r="C951" s="596"/>
      <c r="D951" s="596"/>
      <c r="E951" s="596"/>
      <c r="F951" s="596"/>
      <c r="G951" s="596"/>
      <c r="H951" s="596"/>
      <c r="I951" s="596"/>
      <c r="J951" s="577"/>
      <c r="K951" s="577"/>
      <c r="L951" s="577"/>
      <c r="M951" s="577"/>
      <c r="N951" s="577"/>
      <c r="O951" s="577"/>
      <c r="P951" s="577"/>
      <c r="Q951" s="577"/>
      <c r="R951" s="577"/>
      <c r="S951" s="577"/>
      <c r="T951" s="577"/>
      <c r="U951" s="577"/>
      <c r="V951" s="577"/>
      <c r="W951" s="577"/>
      <c r="X951" s="577"/>
      <c r="Y951" s="577"/>
      <c r="Z951" s="577"/>
      <c r="AA951" s="577"/>
      <c r="AB951" s="577"/>
      <c r="AC951" s="577"/>
      <c r="AD951" s="577"/>
      <c r="AE951" s="577"/>
      <c r="AF951" s="6"/>
    </row>
    <row r="952" ht="12.75" customHeight="1">
      <c r="A952" s="595"/>
      <c r="B952" s="596"/>
      <c r="C952" s="596"/>
      <c r="D952" s="596"/>
      <c r="E952" s="596"/>
      <c r="F952" s="596"/>
      <c r="G952" s="596"/>
      <c r="H952" s="596"/>
      <c r="I952" s="596"/>
      <c r="J952" s="577"/>
      <c r="K952" s="577"/>
      <c r="L952" s="577"/>
      <c r="M952" s="577"/>
      <c r="N952" s="577"/>
      <c r="O952" s="577"/>
      <c r="P952" s="577"/>
      <c r="Q952" s="577"/>
      <c r="R952" s="577"/>
      <c r="S952" s="577"/>
      <c r="T952" s="577"/>
      <c r="U952" s="577"/>
      <c r="V952" s="577"/>
      <c r="W952" s="577"/>
      <c r="X952" s="577"/>
      <c r="Y952" s="577"/>
      <c r="Z952" s="577"/>
      <c r="AA952" s="577"/>
      <c r="AB952" s="577"/>
      <c r="AC952" s="577"/>
      <c r="AD952" s="577"/>
      <c r="AE952" s="577"/>
      <c r="AF952" s="6"/>
    </row>
    <row r="953" ht="12.75" customHeight="1">
      <c r="A953" s="595"/>
      <c r="B953" s="596"/>
      <c r="C953" s="596"/>
      <c r="D953" s="596"/>
      <c r="E953" s="596"/>
      <c r="F953" s="596"/>
      <c r="G953" s="596"/>
      <c r="H953" s="596"/>
      <c r="I953" s="596"/>
      <c r="J953" s="577"/>
      <c r="K953" s="577"/>
      <c r="L953" s="577"/>
      <c r="M953" s="577"/>
      <c r="N953" s="577"/>
      <c r="O953" s="577"/>
      <c r="P953" s="577"/>
      <c r="Q953" s="577"/>
      <c r="R953" s="577"/>
      <c r="S953" s="577"/>
      <c r="T953" s="577"/>
      <c r="U953" s="577"/>
      <c r="V953" s="577"/>
      <c r="W953" s="577"/>
      <c r="X953" s="577"/>
      <c r="Y953" s="577"/>
      <c r="Z953" s="577"/>
      <c r="AA953" s="577"/>
      <c r="AB953" s="577"/>
      <c r="AC953" s="577"/>
      <c r="AD953" s="577"/>
      <c r="AE953" s="577"/>
      <c r="AF953" s="6"/>
    </row>
    <row r="954" ht="12.75" customHeight="1">
      <c r="A954" s="595"/>
      <c r="B954" s="596"/>
      <c r="C954" s="596"/>
      <c r="D954" s="596"/>
      <c r="E954" s="596"/>
      <c r="F954" s="596"/>
      <c r="G954" s="596"/>
      <c r="H954" s="596"/>
      <c r="I954" s="596"/>
      <c r="J954" s="577"/>
      <c r="K954" s="577"/>
      <c r="L954" s="577"/>
      <c r="M954" s="577"/>
      <c r="N954" s="577"/>
      <c r="O954" s="577"/>
      <c r="P954" s="577"/>
      <c r="Q954" s="577"/>
      <c r="R954" s="577"/>
      <c r="S954" s="577"/>
      <c r="T954" s="577"/>
      <c r="U954" s="577"/>
      <c r="V954" s="577"/>
      <c r="W954" s="577"/>
      <c r="X954" s="577"/>
      <c r="Y954" s="577"/>
      <c r="Z954" s="577"/>
      <c r="AA954" s="577"/>
      <c r="AB954" s="577"/>
      <c r="AC954" s="577"/>
      <c r="AD954" s="577"/>
      <c r="AE954" s="577"/>
      <c r="AF954" s="6"/>
    </row>
    <row r="955" ht="12.75" customHeight="1">
      <c r="A955" s="595"/>
      <c r="B955" s="596"/>
      <c r="C955" s="596"/>
      <c r="D955" s="596"/>
      <c r="E955" s="596"/>
      <c r="F955" s="596"/>
      <c r="G955" s="596"/>
      <c r="H955" s="596"/>
      <c r="I955" s="596"/>
      <c r="J955" s="577"/>
      <c r="K955" s="577"/>
      <c r="L955" s="577"/>
      <c r="M955" s="577"/>
      <c r="N955" s="577"/>
      <c r="O955" s="577"/>
      <c r="P955" s="577"/>
      <c r="Q955" s="577"/>
      <c r="R955" s="577"/>
      <c r="S955" s="577"/>
      <c r="T955" s="577"/>
      <c r="U955" s="577"/>
      <c r="V955" s="577"/>
      <c r="W955" s="577"/>
      <c r="X955" s="577"/>
      <c r="Y955" s="577"/>
      <c r="Z955" s="577"/>
      <c r="AA955" s="577"/>
      <c r="AB955" s="577"/>
      <c r="AC955" s="577"/>
      <c r="AD955" s="577"/>
      <c r="AE955" s="577"/>
      <c r="AF955" s="6"/>
    </row>
    <row r="956" ht="12.75" customHeight="1">
      <c r="A956" s="595"/>
      <c r="B956" s="596"/>
      <c r="C956" s="596"/>
      <c r="D956" s="596"/>
      <c r="E956" s="596"/>
      <c r="F956" s="596"/>
      <c r="G956" s="596"/>
      <c r="H956" s="596"/>
      <c r="I956" s="596"/>
      <c r="J956" s="577"/>
      <c r="K956" s="577"/>
      <c r="L956" s="577"/>
      <c r="M956" s="577"/>
      <c r="N956" s="577"/>
      <c r="O956" s="577"/>
      <c r="P956" s="577"/>
      <c r="Q956" s="577"/>
      <c r="R956" s="577"/>
      <c r="S956" s="577"/>
      <c r="T956" s="577"/>
      <c r="U956" s="577"/>
      <c r="V956" s="577"/>
      <c r="W956" s="577"/>
      <c r="X956" s="577"/>
      <c r="Y956" s="577"/>
      <c r="Z956" s="577"/>
      <c r="AA956" s="577"/>
      <c r="AB956" s="577"/>
      <c r="AC956" s="577"/>
      <c r="AD956" s="577"/>
      <c r="AE956" s="577"/>
      <c r="AF956" s="6"/>
    </row>
    <row r="957" ht="12.75" customHeight="1">
      <c r="A957" s="595"/>
      <c r="B957" s="596"/>
      <c r="C957" s="596"/>
      <c r="D957" s="596"/>
      <c r="E957" s="596"/>
      <c r="F957" s="596"/>
      <c r="G957" s="596"/>
      <c r="H957" s="596"/>
      <c r="I957" s="596"/>
      <c r="J957" s="577"/>
      <c r="K957" s="577"/>
      <c r="L957" s="577"/>
      <c r="M957" s="577"/>
      <c r="N957" s="577"/>
      <c r="O957" s="577"/>
      <c r="P957" s="577"/>
      <c r="Q957" s="577"/>
      <c r="R957" s="577"/>
      <c r="S957" s="577"/>
      <c r="T957" s="577"/>
      <c r="U957" s="577"/>
      <c r="V957" s="577"/>
      <c r="W957" s="577"/>
      <c r="X957" s="577"/>
      <c r="Y957" s="577"/>
      <c r="Z957" s="577"/>
      <c r="AA957" s="577"/>
      <c r="AB957" s="577"/>
      <c r="AC957" s="577"/>
      <c r="AD957" s="577"/>
      <c r="AE957" s="577"/>
      <c r="AF957" s="6"/>
    </row>
    <row r="958" ht="12.75" customHeight="1">
      <c r="A958" s="595"/>
      <c r="B958" s="596"/>
      <c r="C958" s="596"/>
      <c r="D958" s="596"/>
      <c r="E958" s="596"/>
      <c r="F958" s="596"/>
      <c r="G958" s="596"/>
      <c r="H958" s="596"/>
      <c r="I958" s="596"/>
      <c r="J958" s="577"/>
      <c r="K958" s="577"/>
      <c r="L958" s="577"/>
      <c r="M958" s="577"/>
      <c r="N958" s="577"/>
      <c r="O958" s="577"/>
      <c r="P958" s="577"/>
      <c r="Q958" s="577"/>
      <c r="R958" s="577"/>
      <c r="S958" s="577"/>
      <c r="T958" s="577"/>
      <c r="U958" s="577"/>
      <c r="V958" s="577"/>
      <c r="W958" s="577"/>
      <c r="X958" s="577"/>
      <c r="Y958" s="577"/>
      <c r="Z958" s="577"/>
      <c r="AA958" s="577"/>
      <c r="AB958" s="577"/>
      <c r="AC958" s="577"/>
      <c r="AD958" s="577"/>
      <c r="AE958" s="577"/>
      <c r="AF958" s="6"/>
    </row>
    <row r="959" ht="12.75" customHeight="1">
      <c r="A959" s="595"/>
      <c r="B959" s="596"/>
      <c r="C959" s="596"/>
      <c r="D959" s="596"/>
      <c r="E959" s="596"/>
      <c r="F959" s="596"/>
      <c r="G959" s="596"/>
      <c r="H959" s="596"/>
      <c r="I959" s="596"/>
      <c r="J959" s="577"/>
      <c r="K959" s="577"/>
      <c r="L959" s="577"/>
      <c r="M959" s="577"/>
      <c r="N959" s="577"/>
      <c r="O959" s="577"/>
      <c r="P959" s="577"/>
      <c r="Q959" s="577"/>
      <c r="R959" s="577"/>
      <c r="S959" s="577"/>
      <c r="T959" s="577"/>
      <c r="U959" s="577"/>
      <c r="V959" s="577"/>
      <c r="W959" s="577"/>
      <c r="X959" s="577"/>
      <c r="Y959" s="577"/>
      <c r="Z959" s="577"/>
      <c r="AA959" s="577"/>
      <c r="AB959" s="577"/>
      <c r="AC959" s="577"/>
      <c r="AD959" s="577"/>
      <c r="AE959" s="577"/>
      <c r="AF959" s="6"/>
    </row>
    <row r="960" ht="12.75" customHeight="1">
      <c r="A960" s="595"/>
      <c r="B960" s="596"/>
      <c r="C960" s="596"/>
      <c r="D960" s="596"/>
      <c r="E960" s="596"/>
      <c r="F960" s="596"/>
      <c r="G960" s="596"/>
      <c r="H960" s="596"/>
      <c r="I960" s="596"/>
      <c r="J960" s="577"/>
      <c r="K960" s="577"/>
      <c r="L960" s="577"/>
      <c r="M960" s="577"/>
      <c r="N960" s="577"/>
      <c r="O960" s="577"/>
      <c r="P960" s="577"/>
      <c r="Q960" s="577"/>
      <c r="R960" s="577"/>
      <c r="S960" s="577"/>
      <c r="T960" s="577"/>
      <c r="U960" s="577"/>
      <c r="V960" s="577"/>
      <c r="W960" s="577"/>
      <c r="X960" s="577"/>
      <c r="Y960" s="577"/>
      <c r="Z960" s="577"/>
      <c r="AA960" s="577"/>
      <c r="AB960" s="577"/>
      <c r="AC960" s="577"/>
      <c r="AD960" s="577"/>
      <c r="AE960" s="577"/>
      <c r="AF960" s="6"/>
    </row>
    <row r="961" ht="12.75" customHeight="1">
      <c r="A961" s="595"/>
      <c r="B961" s="596"/>
      <c r="C961" s="596"/>
      <c r="D961" s="596"/>
      <c r="E961" s="596"/>
      <c r="F961" s="596"/>
      <c r="G961" s="596"/>
      <c r="H961" s="596"/>
      <c r="I961" s="596"/>
      <c r="J961" s="577"/>
      <c r="K961" s="577"/>
      <c r="L961" s="577"/>
      <c r="M961" s="577"/>
      <c r="N961" s="577"/>
      <c r="O961" s="577"/>
      <c r="P961" s="577"/>
      <c r="Q961" s="577"/>
      <c r="R961" s="577"/>
      <c r="S961" s="577"/>
      <c r="T961" s="577"/>
      <c r="U961" s="577"/>
      <c r="V961" s="577"/>
      <c r="W961" s="577"/>
      <c r="X961" s="577"/>
      <c r="Y961" s="577"/>
      <c r="Z961" s="577"/>
      <c r="AA961" s="577"/>
      <c r="AB961" s="577"/>
      <c r="AC961" s="577"/>
      <c r="AD961" s="577"/>
      <c r="AE961" s="577"/>
      <c r="AF961" s="6"/>
    </row>
    <row r="962" ht="12.75" customHeight="1">
      <c r="A962" s="595"/>
      <c r="B962" s="596"/>
      <c r="C962" s="596"/>
      <c r="D962" s="596"/>
      <c r="E962" s="596"/>
      <c r="F962" s="596"/>
      <c r="G962" s="596"/>
      <c r="H962" s="596"/>
      <c r="I962" s="596"/>
      <c r="J962" s="577"/>
      <c r="K962" s="577"/>
      <c r="L962" s="577"/>
      <c r="M962" s="577"/>
      <c r="N962" s="577"/>
      <c r="O962" s="577"/>
      <c r="P962" s="577"/>
      <c r="Q962" s="577"/>
      <c r="R962" s="577"/>
      <c r="S962" s="577"/>
      <c r="T962" s="577"/>
      <c r="U962" s="577"/>
      <c r="V962" s="577"/>
      <c r="W962" s="577"/>
      <c r="X962" s="577"/>
      <c r="Y962" s="577"/>
      <c r="Z962" s="577"/>
      <c r="AA962" s="577"/>
      <c r="AB962" s="577"/>
      <c r="AC962" s="577"/>
      <c r="AD962" s="577"/>
      <c r="AE962" s="577"/>
      <c r="AF962" s="6"/>
    </row>
    <row r="963" ht="12.75" customHeight="1">
      <c r="A963" s="595"/>
      <c r="B963" s="596"/>
      <c r="C963" s="596"/>
      <c r="D963" s="596"/>
      <c r="E963" s="596"/>
      <c r="F963" s="596"/>
      <c r="G963" s="596"/>
      <c r="H963" s="596"/>
      <c r="I963" s="596"/>
      <c r="J963" s="577"/>
      <c r="K963" s="577"/>
      <c r="L963" s="577"/>
      <c r="M963" s="577"/>
      <c r="N963" s="577"/>
      <c r="O963" s="577"/>
      <c r="P963" s="577"/>
      <c r="Q963" s="577"/>
      <c r="R963" s="577"/>
      <c r="S963" s="577"/>
      <c r="T963" s="577"/>
      <c r="U963" s="577"/>
      <c r="V963" s="577"/>
      <c r="W963" s="577"/>
      <c r="X963" s="577"/>
      <c r="Y963" s="577"/>
      <c r="Z963" s="577"/>
      <c r="AA963" s="577"/>
      <c r="AB963" s="577"/>
      <c r="AC963" s="577"/>
      <c r="AD963" s="577"/>
      <c r="AE963" s="577"/>
      <c r="AF963" s="6"/>
    </row>
    <row r="964" ht="12.75" customHeight="1">
      <c r="A964" s="595"/>
      <c r="B964" s="596"/>
      <c r="C964" s="596"/>
      <c r="D964" s="596"/>
      <c r="E964" s="596"/>
      <c r="F964" s="596"/>
      <c r="G964" s="596"/>
      <c r="H964" s="596"/>
      <c r="I964" s="596"/>
      <c r="J964" s="577"/>
      <c r="K964" s="577"/>
      <c r="L964" s="577"/>
      <c r="M964" s="577"/>
      <c r="N964" s="577"/>
      <c r="O964" s="577"/>
      <c r="P964" s="577"/>
      <c r="Q964" s="577"/>
      <c r="R964" s="577"/>
      <c r="S964" s="577"/>
      <c r="T964" s="577"/>
      <c r="U964" s="577"/>
      <c r="V964" s="577"/>
      <c r="W964" s="577"/>
      <c r="X964" s="577"/>
      <c r="Y964" s="577"/>
      <c r="Z964" s="577"/>
      <c r="AA964" s="577"/>
      <c r="AB964" s="577"/>
      <c r="AC964" s="577"/>
      <c r="AD964" s="577"/>
      <c r="AE964" s="577"/>
      <c r="AF964" s="6"/>
    </row>
    <row r="965" ht="12.75" customHeight="1">
      <c r="A965" s="595"/>
      <c r="B965" s="596"/>
      <c r="C965" s="596"/>
      <c r="D965" s="596"/>
      <c r="E965" s="596"/>
      <c r="F965" s="596"/>
      <c r="G965" s="596"/>
      <c r="H965" s="596"/>
      <c r="I965" s="596"/>
      <c r="J965" s="577"/>
      <c r="K965" s="577"/>
      <c r="L965" s="577"/>
      <c r="M965" s="577"/>
      <c r="N965" s="577"/>
      <c r="O965" s="577"/>
      <c r="P965" s="577"/>
      <c r="Q965" s="577"/>
      <c r="R965" s="577"/>
      <c r="S965" s="577"/>
      <c r="T965" s="577"/>
      <c r="U965" s="577"/>
      <c r="V965" s="577"/>
      <c r="W965" s="577"/>
      <c r="X965" s="577"/>
      <c r="Y965" s="577"/>
      <c r="Z965" s="577"/>
      <c r="AA965" s="577"/>
      <c r="AB965" s="577"/>
      <c r="AC965" s="577"/>
      <c r="AD965" s="577"/>
      <c r="AE965" s="577"/>
      <c r="AF965" s="6"/>
    </row>
    <row r="966" ht="12.75" customHeight="1">
      <c r="A966" s="595"/>
      <c r="B966" s="596"/>
      <c r="C966" s="596"/>
      <c r="D966" s="596"/>
      <c r="E966" s="596"/>
      <c r="F966" s="596"/>
      <c r="G966" s="596"/>
      <c r="H966" s="596"/>
      <c r="I966" s="596"/>
      <c r="J966" s="577"/>
      <c r="K966" s="577"/>
      <c r="L966" s="577"/>
      <c r="M966" s="577"/>
      <c r="N966" s="577"/>
      <c r="O966" s="577"/>
      <c r="P966" s="577"/>
      <c r="Q966" s="577"/>
      <c r="R966" s="577"/>
      <c r="S966" s="577"/>
      <c r="T966" s="577"/>
      <c r="U966" s="577"/>
      <c r="V966" s="577"/>
      <c r="W966" s="577"/>
      <c r="X966" s="577"/>
      <c r="Y966" s="577"/>
      <c r="Z966" s="577"/>
      <c r="AA966" s="577"/>
      <c r="AB966" s="577"/>
      <c r="AC966" s="577"/>
      <c r="AD966" s="577"/>
      <c r="AE966" s="577"/>
      <c r="AF966" s="6"/>
    </row>
    <row r="967" ht="12.75" customHeight="1">
      <c r="A967" s="595"/>
      <c r="B967" s="596"/>
      <c r="C967" s="596"/>
      <c r="D967" s="596"/>
      <c r="E967" s="596"/>
      <c r="F967" s="596"/>
      <c r="G967" s="596"/>
      <c r="H967" s="596"/>
      <c r="I967" s="596"/>
      <c r="J967" s="577"/>
      <c r="K967" s="577"/>
      <c r="L967" s="577"/>
      <c r="M967" s="577"/>
      <c r="N967" s="577"/>
      <c r="O967" s="577"/>
      <c r="P967" s="577"/>
      <c r="Q967" s="577"/>
      <c r="R967" s="577"/>
      <c r="S967" s="577"/>
      <c r="T967" s="577"/>
      <c r="U967" s="577"/>
      <c r="V967" s="577"/>
      <c r="W967" s="577"/>
      <c r="X967" s="577"/>
      <c r="Y967" s="577"/>
      <c r="Z967" s="577"/>
      <c r="AA967" s="577"/>
      <c r="AB967" s="577"/>
      <c r="AC967" s="577"/>
      <c r="AD967" s="577"/>
      <c r="AE967" s="577"/>
      <c r="AF967" s="6"/>
    </row>
    <row r="968" ht="12.75" customHeight="1">
      <c r="A968" s="595"/>
      <c r="B968" s="596"/>
      <c r="C968" s="596"/>
      <c r="D968" s="596"/>
      <c r="E968" s="596"/>
      <c r="F968" s="596"/>
      <c r="G968" s="596"/>
      <c r="H968" s="596"/>
      <c r="I968" s="596"/>
      <c r="J968" s="577"/>
      <c r="K968" s="577"/>
      <c r="L968" s="577"/>
      <c r="M968" s="577"/>
      <c r="N968" s="577"/>
      <c r="O968" s="577"/>
      <c r="P968" s="577"/>
      <c r="Q968" s="577"/>
      <c r="R968" s="577"/>
      <c r="S968" s="577"/>
      <c r="T968" s="577"/>
      <c r="U968" s="577"/>
      <c r="V968" s="577"/>
      <c r="W968" s="577"/>
      <c r="X968" s="577"/>
      <c r="Y968" s="577"/>
      <c r="Z968" s="577"/>
      <c r="AA968" s="577"/>
      <c r="AB968" s="577"/>
      <c r="AC968" s="577"/>
      <c r="AD968" s="577"/>
      <c r="AE968" s="577"/>
      <c r="AF968" s="6"/>
    </row>
    <row r="969" ht="12.75" customHeight="1">
      <c r="A969" s="595"/>
      <c r="B969" s="596"/>
      <c r="C969" s="596"/>
      <c r="D969" s="596"/>
      <c r="E969" s="596"/>
      <c r="F969" s="596"/>
      <c r="G969" s="596"/>
      <c r="H969" s="596"/>
      <c r="I969" s="596"/>
      <c r="J969" s="577"/>
      <c r="K969" s="577"/>
      <c r="L969" s="577"/>
      <c r="M969" s="577"/>
      <c r="N969" s="577"/>
      <c r="O969" s="577"/>
      <c r="P969" s="577"/>
      <c r="Q969" s="577"/>
      <c r="R969" s="577"/>
      <c r="S969" s="577"/>
      <c r="T969" s="577"/>
      <c r="U969" s="577"/>
      <c r="V969" s="577"/>
      <c r="W969" s="577"/>
      <c r="X969" s="577"/>
      <c r="Y969" s="577"/>
      <c r="Z969" s="577"/>
      <c r="AA969" s="577"/>
      <c r="AB969" s="577"/>
      <c r="AC969" s="577"/>
      <c r="AD969" s="577"/>
      <c r="AE969" s="577"/>
      <c r="AF969" s="6"/>
    </row>
    <row r="970" ht="12.75" customHeight="1">
      <c r="A970" s="595"/>
      <c r="B970" s="596"/>
      <c r="C970" s="596"/>
      <c r="D970" s="596"/>
      <c r="E970" s="596"/>
      <c r="F970" s="596"/>
      <c r="G970" s="596"/>
      <c r="H970" s="596"/>
      <c r="I970" s="596"/>
      <c r="J970" s="577"/>
      <c r="K970" s="577"/>
      <c r="L970" s="577"/>
      <c r="M970" s="577"/>
      <c r="N970" s="577"/>
      <c r="O970" s="577"/>
      <c r="P970" s="577"/>
      <c r="Q970" s="577"/>
      <c r="R970" s="577"/>
      <c r="S970" s="577"/>
      <c r="T970" s="577"/>
      <c r="U970" s="577"/>
      <c r="V970" s="577"/>
      <c r="W970" s="577"/>
      <c r="X970" s="577"/>
      <c r="Y970" s="577"/>
      <c r="Z970" s="577"/>
      <c r="AA970" s="577"/>
      <c r="AB970" s="577"/>
      <c r="AC970" s="577"/>
      <c r="AD970" s="577"/>
      <c r="AE970" s="577"/>
      <c r="AF970" s="6"/>
    </row>
    <row r="971" ht="12.75" customHeight="1">
      <c r="A971" s="595"/>
      <c r="B971" s="596"/>
      <c r="C971" s="596"/>
      <c r="D971" s="596"/>
      <c r="E971" s="596"/>
      <c r="F971" s="596"/>
      <c r="G971" s="596"/>
      <c r="H971" s="596"/>
      <c r="I971" s="596"/>
      <c r="J971" s="577"/>
      <c r="K971" s="577"/>
      <c r="L971" s="577"/>
      <c r="M971" s="577"/>
      <c r="N971" s="577"/>
      <c r="O971" s="577"/>
      <c r="P971" s="577"/>
      <c r="Q971" s="577"/>
      <c r="R971" s="577"/>
      <c r="S971" s="577"/>
      <c r="T971" s="577"/>
      <c r="U971" s="577"/>
      <c r="V971" s="577"/>
      <c r="W971" s="577"/>
      <c r="X971" s="577"/>
      <c r="Y971" s="577"/>
      <c r="Z971" s="577"/>
      <c r="AA971" s="577"/>
      <c r="AB971" s="577"/>
      <c r="AC971" s="577"/>
      <c r="AD971" s="577"/>
      <c r="AE971" s="577"/>
      <c r="AF971" s="6"/>
    </row>
    <row r="972" ht="12.75" customHeight="1">
      <c r="A972" s="595"/>
      <c r="B972" s="596"/>
      <c r="C972" s="596"/>
      <c r="D972" s="596"/>
      <c r="E972" s="596"/>
      <c r="F972" s="596"/>
      <c r="G972" s="596"/>
      <c r="H972" s="596"/>
      <c r="I972" s="596"/>
      <c r="J972" s="577"/>
      <c r="K972" s="577"/>
      <c r="L972" s="577"/>
      <c r="M972" s="577"/>
      <c r="N972" s="577"/>
      <c r="O972" s="577"/>
      <c r="P972" s="577"/>
      <c r="Q972" s="577"/>
      <c r="R972" s="577"/>
      <c r="S972" s="577"/>
      <c r="T972" s="577"/>
      <c r="U972" s="577"/>
      <c r="V972" s="577"/>
      <c r="W972" s="577"/>
      <c r="X972" s="577"/>
      <c r="Y972" s="577"/>
      <c r="Z972" s="577"/>
      <c r="AA972" s="577"/>
      <c r="AB972" s="577"/>
      <c r="AC972" s="577"/>
      <c r="AD972" s="577"/>
      <c r="AE972" s="577"/>
      <c r="AF972" s="6"/>
    </row>
    <row r="973" ht="12.75" customHeight="1">
      <c r="A973" s="595"/>
      <c r="B973" s="596"/>
      <c r="C973" s="596"/>
      <c r="D973" s="596"/>
      <c r="E973" s="596"/>
      <c r="F973" s="596"/>
      <c r="G973" s="596"/>
      <c r="H973" s="596"/>
      <c r="I973" s="596"/>
      <c r="J973" s="577"/>
      <c r="K973" s="577"/>
      <c r="L973" s="577"/>
      <c r="M973" s="577"/>
      <c r="N973" s="577"/>
      <c r="O973" s="577"/>
      <c r="P973" s="577"/>
      <c r="Q973" s="577"/>
      <c r="R973" s="577"/>
      <c r="S973" s="577"/>
      <c r="T973" s="577"/>
      <c r="U973" s="577"/>
      <c r="V973" s="577"/>
      <c r="W973" s="577"/>
      <c r="X973" s="577"/>
      <c r="Y973" s="577"/>
      <c r="Z973" s="577"/>
      <c r="AA973" s="577"/>
      <c r="AB973" s="577"/>
      <c r="AC973" s="577"/>
      <c r="AD973" s="577"/>
      <c r="AE973" s="577"/>
      <c r="AF973" s="6"/>
    </row>
    <row r="974" ht="12.75" customHeight="1">
      <c r="A974" s="595"/>
      <c r="B974" s="596"/>
      <c r="C974" s="596"/>
      <c r="D974" s="596"/>
      <c r="E974" s="596"/>
      <c r="F974" s="596"/>
      <c r="G974" s="596"/>
      <c r="H974" s="596"/>
      <c r="I974" s="596"/>
      <c r="J974" s="577"/>
      <c r="K974" s="577"/>
      <c r="L974" s="577"/>
      <c r="M974" s="577"/>
      <c r="N974" s="577"/>
      <c r="O974" s="577"/>
      <c r="P974" s="577"/>
      <c r="Q974" s="577"/>
      <c r="R974" s="577"/>
      <c r="S974" s="577"/>
      <c r="T974" s="577"/>
      <c r="U974" s="577"/>
      <c r="V974" s="577"/>
      <c r="W974" s="577"/>
      <c r="X974" s="577"/>
      <c r="Y974" s="577"/>
      <c r="Z974" s="577"/>
      <c r="AA974" s="577"/>
      <c r="AB974" s="577"/>
      <c r="AC974" s="577"/>
      <c r="AD974" s="577"/>
      <c r="AE974" s="577"/>
      <c r="AF974" s="6"/>
    </row>
    <row r="975" ht="12.75" customHeight="1">
      <c r="A975" s="595"/>
      <c r="B975" s="596"/>
      <c r="C975" s="596"/>
      <c r="D975" s="596"/>
      <c r="E975" s="596"/>
      <c r="F975" s="596"/>
      <c r="G975" s="596"/>
      <c r="H975" s="596"/>
      <c r="I975" s="596"/>
      <c r="J975" s="577"/>
      <c r="K975" s="577"/>
      <c r="L975" s="577"/>
      <c r="M975" s="577"/>
      <c r="N975" s="577"/>
      <c r="O975" s="577"/>
      <c r="P975" s="577"/>
      <c r="Q975" s="577"/>
      <c r="R975" s="577"/>
      <c r="S975" s="577"/>
      <c r="T975" s="577"/>
      <c r="U975" s="577"/>
      <c r="V975" s="577"/>
      <c r="W975" s="577"/>
      <c r="X975" s="577"/>
      <c r="Y975" s="577"/>
      <c r="Z975" s="577"/>
      <c r="AA975" s="577"/>
      <c r="AB975" s="577"/>
      <c r="AC975" s="577"/>
      <c r="AD975" s="577"/>
      <c r="AE975" s="577"/>
      <c r="AF975" s="6"/>
    </row>
    <row r="976" ht="12.75" customHeight="1">
      <c r="A976" s="595"/>
      <c r="B976" s="596"/>
      <c r="C976" s="596"/>
      <c r="D976" s="596"/>
      <c r="E976" s="596"/>
      <c r="F976" s="596"/>
      <c r="G976" s="596"/>
      <c r="H976" s="596"/>
      <c r="I976" s="596"/>
      <c r="J976" s="577"/>
      <c r="K976" s="577"/>
      <c r="L976" s="577"/>
      <c r="M976" s="577"/>
      <c r="N976" s="577"/>
      <c r="O976" s="577"/>
      <c r="P976" s="577"/>
      <c r="Q976" s="577"/>
      <c r="R976" s="577"/>
      <c r="S976" s="577"/>
      <c r="T976" s="577"/>
      <c r="U976" s="577"/>
      <c r="V976" s="577"/>
      <c r="W976" s="577"/>
      <c r="X976" s="577"/>
      <c r="Y976" s="577"/>
      <c r="Z976" s="577"/>
      <c r="AA976" s="577"/>
      <c r="AB976" s="577"/>
      <c r="AC976" s="577"/>
      <c r="AD976" s="577"/>
      <c r="AE976" s="577"/>
      <c r="AF976" s="6"/>
    </row>
    <row r="977" ht="12.75" customHeight="1">
      <c r="A977" s="595"/>
      <c r="B977" s="596"/>
      <c r="C977" s="596"/>
      <c r="D977" s="596"/>
      <c r="E977" s="596"/>
      <c r="F977" s="596"/>
      <c r="G977" s="596"/>
      <c r="H977" s="596"/>
      <c r="I977" s="596"/>
      <c r="J977" s="577"/>
      <c r="K977" s="577"/>
      <c r="L977" s="577"/>
      <c r="M977" s="577"/>
      <c r="N977" s="577"/>
      <c r="O977" s="577"/>
      <c r="P977" s="577"/>
      <c r="Q977" s="577"/>
      <c r="R977" s="577"/>
      <c r="S977" s="577"/>
      <c r="T977" s="577"/>
      <c r="U977" s="577"/>
      <c r="V977" s="577"/>
      <c r="W977" s="577"/>
      <c r="X977" s="577"/>
      <c r="Y977" s="577"/>
      <c r="Z977" s="577"/>
      <c r="AA977" s="577"/>
      <c r="AB977" s="577"/>
      <c r="AC977" s="577"/>
      <c r="AD977" s="577"/>
      <c r="AE977" s="577"/>
      <c r="AF977" s="6"/>
    </row>
    <row r="978" ht="12.75" customHeight="1">
      <c r="A978" s="595"/>
      <c r="B978" s="596"/>
      <c r="C978" s="596"/>
      <c r="D978" s="596"/>
      <c r="E978" s="596"/>
      <c r="F978" s="596"/>
      <c r="G978" s="596"/>
      <c r="H978" s="596"/>
      <c r="I978" s="596"/>
      <c r="J978" s="577"/>
      <c r="K978" s="577"/>
      <c r="L978" s="577"/>
      <c r="M978" s="577"/>
      <c r="N978" s="577"/>
      <c r="O978" s="577"/>
      <c r="P978" s="577"/>
      <c r="Q978" s="577"/>
      <c r="R978" s="577"/>
      <c r="S978" s="577"/>
      <c r="T978" s="577"/>
      <c r="U978" s="577"/>
      <c r="V978" s="577"/>
      <c r="W978" s="577"/>
      <c r="X978" s="577"/>
      <c r="Y978" s="577"/>
      <c r="Z978" s="577"/>
      <c r="AA978" s="577"/>
      <c r="AB978" s="577"/>
      <c r="AC978" s="577"/>
      <c r="AD978" s="577"/>
      <c r="AE978" s="577"/>
      <c r="AF978" s="6"/>
    </row>
    <row r="979" ht="12.75" customHeight="1">
      <c r="A979" s="595"/>
      <c r="B979" s="596"/>
      <c r="C979" s="596"/>
      <c r="D979" s="596"/>
      <c r="E979" s="596"/>
      <c r="F979" s="596"/>
      <c r="G979" s="596"/>
      <c r="H979" s="596"/>
      <c r="I979" s="596"/>
      <c r="J979" s="577"/>
      <c r="K979" s="577"/>
      <c r="L979" s="577"/>
      <c r="M979" s="577"/>
      <c r="N979" s="577"/>
      <c r="O979" s="577"/>
      <c r="P979" s="577"/>
      <c r="Q979" s="577"/>
      <c r="R979" s="577"/>
      <c r="S979" s="577"/>
      <c r="T979" s="577"/>
      <c r="U979" s="577"/>
      <c r="V979" s="577"/>
      <c r="W979" s="577"/>
      <c r="X979" s="577"/>
      <c r="Y979" s="577"/>
      <c r="Z979" s="577"/>
      <c r="AA979" s="577"/>
      <c r="AB979" s="577"/>
      <c r="AC979" s="577"/>
      <c r="AD979" s="577"/>
      <c r="AE979" s="577"/>
      <c r="AF979" s="6"/>
    </row>
    <row r="980" ht="12.75" customHeight="1">
      <c r="A980" s="595"/>
      <c r="B980" s="596"/>
      <c r="C980" s="596"/>
      <c r="D980" s="596"/>
      <c r="E980" s="596"/>
      <c r="F980" s="596"/>
      <c r="G980" s="596"/>
      <c r="H980" s="596"/>
      <c r="I980" s="596"/>
      <c r="J980" s="577"/>
      <c r="K980" s="577"/>
      <c r="L980" s="577"/>
      <c r="M980" s="577"/>
      <c r="N980" s="577"/>
      <c r="O980" s="577"/>
      <c r="P980" s="577"/>
      <c r="Q980" s="577"/>
      <c r="R980" s="577"/>
      <c r="S980" s="577"/>
      <c r="T980" s="577"/>
      <c r="U980" s="577"/>
      <c r="V980" s="577"/>
      <c r="W980" s="577"/>
      <c r="X980" s="577"/>
      <c r="Y980" s="577"/>
      <c r="Z980" s="577"/>
      <c r="AA980" s="577"/>
      <c r="AB980" s="577"/>
      <c r="AC980" s="577"/>
      <c r="AD980" s="577"/>
      <c r="AE980" s="577"/>
      <c r="AF980" s="6"/>
    </row>
    <row r="981" ht="12.75" customHeight="1">
      <c r="A981" s="595"/>
      <c r="B981" s="596"/>
      <c r="C981" s="596"/>
      <c r="D981" s="596"/>
      <c r="E981" s="596"/>
      <c r="F981" s="596"/>
      <c r="G981" s="596"/>
      <c r="H981" s="596"/>
      <c r="I981" s="596"/>
      <c r="J981" s="577"/>
      <c r="K981" s="577"/>
      <c r="L981" s="577"/>
      <c r="M981" s="577"/>
      <c r="N981" s="577"/>
      <c r="O981" s="577"/>
      <c r="P981" s="577"/>
      <c r="Q981" s="577"/>
      <c r="R981" s="577"/>
      <c r="S981" s="577"/>
      <c r="T981" s="577"/>
      <c r="U981" s="577"/>
      <c r="V981" s="577"/>
      <c r="W981" s="577"/>
      <c r="X981" s="577"/>
      <c r="Y981" s="577"/>
      <c r="Z981" s="577"/>
      <c r="AA981" s="577"/>
      <c r="AB981" s="577"/>
      <c r="AC981" s="577"/>
      <c r="AD981" s="577"/>
      <c r="AE981" s="577"/>
      <c r="AF981" s="6"/>
    </row>
    <row r="982" ht="12.75" customHeight="1">
      <c r="A982" s="595"/>
      <c r="B982" s="596"/>
      <c r="C982" s="596"/>
      <c r="D982" s="596"/>
      <c r="E982" s="596"/>
      <c r="F982" s="596"/>
      <c r="G982" s="596"/>
      <c r="H982" s="596"/>
      <c r="I982" s="596"/>
      <c r="J982" s="577"/>
      <c r="K982" s="577"/>
      <c r="L982" s="577"/>
      <c r="M982" s="577"/>
      <c r="N982" s="577"/>
      <c r="O982" s="577"/>
      <c r="P982" s="577"/>
      <c r="Q982" s="577"/>
      <c r="R982" s="577"/>
      <c r="S982" s="577"/>
      <c r="T982" s="577"/>
      <c r="U982" s="577"/>
      <c r="V982" s="577"/>
      <c r="W982" s="577"/>
      <c r="X982" s="577"/>
      <c r="Y982" s="577"/>
      <c r="Z982" s="577"/>
      <c r="AA982" s="577"/>
      <c r="AB982" s="577"/>
      <c r="AC982" s="577"/>
      <c r="AD982" s="577"/>
      <c r="AE982" s="577"/>
      <c r="AF982" s="6"/>
    </row>
    <row r="983" ht="12.75" customHeight="1">
      <c r="A983" s="595"/>
      <c r="B983" s="596"/>
      <c r="C983" s="596"/>
      <c r="D983" s="596"/>
      <c r="E983" s="596"/>
      <c r="F983" s="596"/>
      <c r="G983" s="596"/>
      <c r="H983" s="596"/>
      <c r="I983" s="596"/>
      <c r="J983" s="577"/>
      <c r="K983" s="577"/>
      <c r="L983" s="577"/>
      <c r="M983" s="577"/>
      <c r="N983" s="577"/>
      <c r="O983" s="577"/>
      <c r="P983" s="577"/>
      <c r="Q983" s="577"/>
      <c r="R983" s="577"/>
      <c r="S983" s="577"/>
      <c r="T983" s="577"/>
      <c r="U983" s="577"/>
      <c r="V983" s="577"/>
      <c r="W983" s="577"/>
      <c r="X983" s="577"/>
      <c r="Y983" s="577"/>
      <c r="Z983" s="577"/>
      <c r="AA983" s="577"/>
      <c r="AB983" s="577"/>
      <c r="AC983" s="577"/>
      <c r="AD983" s="577"/>
      <c r="AE983" s="577"/>
      <c r="AF983" s="6"/>
    </row>
    <row r="984" ht="12.75" customHeight="1">
      <c r="A984" s="595"/>
      <c r="B984" s="596"/>
      <c r="C984" s="596"/>
      <c r="D984" s="596"/>
      <c r="E984" s="596"/>
      <c r="F984" s="596"/>
      <c r="G984" s="596"/>
      <c r="H984" s="596"/>
      <c r="I984" s="596"/>
      <c r="J984" s="577"/>
      <c r="K984" s="577"/>
      <c r="L984" s="577"/>
      <c r="M984" s="577"/>
      <c r="N984" s="577"/>
      <c r="O984" s="577"/>
      <c r="P984" s="577"/>
      <c r="Q984" s="577"/>
      <c r="R984" s="577"/>
      <c r="S984" s="577"/>
      <c r="T984" s="577"/>
      <c r="U984" s="577"/>
      <c r="V984" s="577"/>
      <c r="W984" s="577"/>
      <c r="X984" s="577"/>
      <c r="Y984" s="577"/>
      <c r="Z984" s="577"/>
      <c r="AA984" s="577"/>
      <c r="AB984" s="577"/>
      <c r="AC984" s="577"/>
      <c r="AD984" s="577"/>
      <c r="AE984" s="577"/>
      <c r="AF984" s="6"/>
    </row>
    <row r="985" ht="12.75" customHeight="1">
      <c r="A985" s="595"/>
      <c r="B985" s="596"/>
      <c r="C985" s="596"/>
      <c r="D985" s="596"/>
      <c r="E985" s="596"/>
      <c r="F985" s="596"/>
      <c r="G985" s="596"/>
      <c r="H985" s="596"/>
      <c r="I985" s="596"/>
      <c r="J985" s="577"/>
      <c r="K985" s="577"/>
      <c r="L985" s="577"/>
      <c r="M985" s="577"/>
      <c r="N985" s="577"/>
      <c r="O985" s="577"/>
      <c r="P985" s="577"/>
      <c r="Q985" s="577"/>
      <c r="R985" s="577"/>
      <c r="S985" s="577"/>
      <c r="T985" s="577"/>
      <c r="U985" s="577"/>
      <c r="V985" s="577"/>
      <c r="W985" s="577"/>
      <c r="X985" s="577"/>
      <c r="Y985" s="577"/>
      <c r="Z985" s="577"/>
      <c r="AA985" s="577"/>
      <c r="AB985" s="577"/>
      <c r="AC985" s="577"/>
      <c r="AD985" s="577"/>
      <c r="AE985" s="577"/>
      <c r="AF985" s="6"/>
    </row>
    <row r="986" ht="12.75" customHeight="1">
      <c r="A986" s="595"/>
      <c r="B986" s="596"/>
      <c r="C986" s="596"/>
      <c r="D986" s="596"/>
      <c r="E986" s="596"/>
      <c r="F986" s="596"/>
      <c r="G986" s="596"/>
      <c r="H986" s="596"/>
      <c r="I986" s="596"/>
      <c r="J986" s="577"/>
      <c r="K986" s="577"/>
      <c r="L986" s="577"/>
      <c r="M986" s="577"/>
      <c r="N986" s="577"/>
      <c r="O986" s="577"/>
      <c r="P986" s="577"/>
      <c r="Q986" s="577"/>
      <c r="R986" s="577"/>
      <c r="S986" s="577"/>
      <c r="T986" s="577"/>
      <c r="U986" s="577"/>
      <c r="V986" s="577"/>
      <c r="W986" s="577"/>
      <c r="X986" s="577"/>
      <c r="Y986" s="577"/>
      <c r="Z986" s="577"/>
      <c r="AA986" s="577"/>
      <c r="AB986" s="577"/>
      <c r="AC986" s="577"/>
      <c r="AD986" s="577"/>
      <c r="AE986" s="577"/>
      <c r="AF986" s="6"/>
    </row>
    <row r="987" ht="12.75" customHeight="1">
      <c r="A987" s="595"/>
      <c r="B987" s="596"/>
      <c r="C987" s="596"/>
      <c r="D987" s="596"/>
      <c r="E987" s="596"/>
      <c r="F987" s="596"/>
      <c r="G987" s="596"/>
      <c r="H987" s="596"/>
      <c r="I987" s="596"/>
      <c r="J987" s="577"/>
      <c r="K987" s="577"/>
      <c r="L987" s="577"/>
      <c r="M987" s="577"/>
      <c r="N987" s="577"/>
      <c r="O987" s="577"/>
      <c r="P987" s="577"/>
      <c r="Q987" s="577"/>
      <c r="R987" s="577"/>
      <c r="S987" s="577"/>
      <c r="T987" s="577"/>
      <c r="U987" s="577"/>
      <c r="V987" s="577"/>
      <c r="W987" s="577"/>
      <c r="X987" s="577"/>
      <c r="Y987" s="577"/>
      <c r="Z987" s="577"/>
      <c r="AA987" s="577"/>
      <c r="AB987" s="577"/>
      <c r="AC987" s="577"/>
      <c r="AD987" s="577"/>
      <c r="AE987" s="577"/>
      <c r="AF987" s="6"/>
    </row>
    <row r="988" ht="12.75" customHeight="1">
      <c r="A988" s="595"/>
      <c r="B988" s="596"/>
      <c r="C988" s="596"/>
      <c r="D988" s="596"/>
      <c r="E988" s="596"/>
      <c r="F988" s="596"/>
      <c r="G988" s="596"/>
      <c r="H988" s="596"/>
      <c r="I988" s="596"/>
      <c r="J988" s="577"/>
      <c r="K988" s="577"/>
      <c r="L988" s="577"/>
      <c r="M988" s="577"/>
      <c r="N988" s="577"/>
      <c r="O988" s="577"/>
      <c r="P988" s="577"/>
      <c r="Q988" s="577"/>
      <c r="R988" s="577"/>
      <c r="S988" s="577"/>
      <c r="T988" s="577"/>
      <c r="U988" s="577"/>
      <c r="V988" s="577"/>
      <c r="W988" s="577"/>
      <c r="X988" s="577"/>
      <c r="Y988" s="577"/>
      <c r="Z988" s="577"/>
      <c r="AA988" s="577"/>
      <c r="AB988" s="577"/>
      <c r="AC988" s="577"/>
      <c r="AD988" s="577"/>
      <c r="AE988" s="577"/>
      <c r="AF988" s="6"/>
    </row>
    <row r="989" ht="12.75" customHeight="1">
      <c r="A989" s="595"/>
      <c r="B989" s="596"/>
      <c r="C989" s="596"/>
      <c r="D989" s="596"/>
      <c r="E989" s="596"/>
      <c r="F989" s="596"/>
      <c r="G989" s="596"/>
      <c r="H989" s="596"/>
      <c r="I989" s="596"/>
      <c r="J989" s="577"/>
      <c r="K989" s="577"/>
      <c r="L989" s="577"/>
      <c r="M989" s="577"/>
      <c r="N989" s="577"/>
      <c r="O989" s="577"/>
      <c r="P989" s="577"/>
      <c r="Q989" s="577"/>
      <c r="R989" s="577"/>
      <c r="S989" s="577"/>
      <c r="T989" s="577"/>
      <c r="U989" s="577"/>
      <c r="V989" s="577"/>
      <c r="W989" s="577"/>
      <c r="X989" s="577"/>
      <c r="Y989" s="577"/>
      <c r="Z989" s="577"/>
      <c r="AA989" s="577"/>
      <c r="AB989" s="577"/>
      <c r="AC989" s="577"/>
      <c r="AD989" s="577"/>
      <c r="AE989" s="577"/>
      <c r="AF989" s="6"/>
    </row>
    <row r="990" ht="12.75" customHeight="1">
      <c r="A990" s="595"/>
      <c r="B990" s="596"/>
      <c r="C990" s="596"/>
      <c r="D990" s="596"/>
      <c r="E990" s="596"/>
      <c r="F990" s="596"/>
      <c r="G990" s="596"/>
      <c r="H990" s="596"/>
      <c r="I990" s="596"/>
      <c r="J990" s="577"/>
      <c r="K990" s="577"/>
      <c r="L990" s="577"/>
      <c r="M990" s="577"/>
      <c r="N990" s="577"/>
      <c r="O990" s="577"/>
      <c r="P990" s="577"/>
      <c r="Q990" s="577"/>
      <c r="R990" s="577"/>
      <c r="S990" s="577"/>
      <c r="T990" s="577"/>
      <c r="U990" s="577"/>
      <c r="V990" s="577"/>
      <c r="W990" s="577"/>
      <c r="X990" s="577"/>
      <c r="Y990" s="577"/>
      <c r="Z990" s="577"/>
      <c r="AA990" s="577"/>
      <c r="AB990" s="577"/>
      <c r="AC990" s="577"/>
      <c r="AD990" s="577"/>
      <c r="AE990" s="577"/>
      <c r="AF990" s="6"/>
    </row>
    <row r="991" ht="12.75" customHeight="1">
      <c r="A991" s="595"/>
      <c r="B991" s="596"/>
      <c r="C991" s="596"/>
      <c r="D991" s="596"/>
      <c r="E991" s="596"/>
      <c r="F991" s="596"/>
      <c r="G991" s="596"/>
      <c r="H991" s="596"/>
      <c r="I991" s="596"/>
      <c r="J991" s="577"/>
      <c r="K991" s="577"/>
      <c r="L991" s="577"/>
      <c r="M991" s="577"/>
      <c r="N991" s="577"/>
      <c r="O991" s="577"/>
      <c r="P991" s="577"/>
      <c r="Q991" s="577"/>
      <c r="R991" s="577"/>
      <c r="S991" s="577"/>
      <c r="T991" s="577"/>
      <c r="U991" s="577"/>
      <c r="V991" s="577"/>
      <c r="W991" s="577"/>
      <c r="X991" s="577"/>
      <c r="Y991" s="577"/>
      <c r="Z991" s="577"/>
      <c r="AA991" s="577"/>
      <c r="AB991" s="577"/>
      <c r="AC991" s="577"/>
      <c r="AD991" s="577"/>
      <c r="AE991" s="577"/>
      <c r="AF991" s="6"/>
    </row>
    <row r="992" ht="12.75" customHeight="1">
      <c r="A992" s="595"/>
      <c r="B992" s="596"/>
      <c r="C992" s="596"/>
      <c r="D992" s="596"/>
      <c r="E992" s="596"/>
      <c r="F992" s="596"/>
      <c r="G992" s="596"/>
      <c r="H992" s="596"/>
      <c r="I992" s="596"/>
      <c r="J992" s="577"/>
      <c r="K992" s="577"/>
      <c r="L992" s="577"/>
      <c r="M992" s="577"/>
      <c r="N992" s="577"/>
      <c r="O992" s="577"/>
      <c r="P992" s="577"/>
      <c r="Q992" s="577"/>
      <c r="R992" s="577"/>
      <c r="S992" s="577"/>
      <c r="T992" s="577"/>
      <c r="U992" s="577"/>
      <c r="V992" s="577"/>
      <c r="W992" s="577"/>
      <c r="X992" s="577"/>
      <c r="Y992" s="577"/>
      <c r="Z992" s="577"/>
      <c r="AA992" s="577"/>
      <c r="AB992" s="577"/>
      <c r="AC992" s="577"/>
      <c r="AD992" s="577"/>
      <c r="AE992" s="577"/>
      <c r="AF992" s="6"/>
    </row>
    <row r="993" ht="12.75" customHeight="1">
      <c r="A993" s="595"/>
      <c r="B993" s="596"/>
      <c r="C993" s="596"/>
      <c r="D993" s="596"/>
      <c r="E993" s="596"/>
      <c r="F993" s="596"/>
      <c r="G993" s="596"/>
      <c r="H993" s="596"/>
      <c r="I993" s="596"/>
      <c r="J993" s="577"/>
      <c r="K993" s="577"/>
      <c r="L993" s="577"/>
      <c r="M993" s="577"/>
      <c r="N993" s="577"/>
      <c r="O993" s="577"/>
      <c r="P993" s="577"/>
      <c r="Q993" s="577"/>
      <c r="R993" s="577"/>
      <c r="S993" s="577"/>
      <c r="T993" s="577"/>
      <c r="U993" s="577"/>
      <c r="V993" s="577"/>
      <c r="W993" s="577"/>
      <c r="X993" s="577"/>
      <c r="Y993" s="577"/>
      <c r="Z993" s="577"/>
      <c r="AA993" s="577"/>
      <c r="AB993" s="577"/>
      <c r="AC993" s="577"/>
      <c r="AD993" s="577"/>
      <c r="AE993" s="577"/>
      <c r="AF993" s="6"/>
    </row>
    <row r="994" ht="12.75" customHeight="1">
      <c r="A994" s="595"/>
      <c r="B994" s="596"/>
      <c r="C994" s="596"/>
      <c r="D994" s="596"/>
      <c r="E994" s="596"/>
      <c r="F994" s="596"/>
      <c r="G994" s="596"/>
      <c r="H994" s="596"/>
      <c r="I994" s="596"/>
      <c r="J994" s="577"/>
      <c r="K994" s="577"/>
      <c r="L994" s="577"/>
      <c r="M994" s="577"/>
      <c r="N994" s="577"/>
      <c r="O994" s="577"/>
      <c r="P994" s="577"/>
      <c r="Q994" s="577"/>
      <c r="R994" s="577"/>
      <c r="S994" s="577"/>
      <c r="T994" s="577"/>
      <c r="U994" s="577"/>
      <c r="V994" s="577"/>
      <c r="W994" s="577"/>
      <c r="X994" s="577"/>
      <c r="Y994" s="577"/>
      <c r="Z994" s="577"/>
      <c r="AA994" s="577"/>
      <c r="AB994" s="577"/>
      <c r="AC994" s="577"/>
      <c r="AD994" s="577"/>
      <c r="AE994" s="577"/>
      <c r="AF994" s="6"/>
    </row>
    <row r="995" ht="12.75" customHeight="1">
      <c r="A995" s="595"/>
      <c r="B995" s="596"/>
      <c r="C995" s="596"/>
      <c r="D995" s="596"/>
      <c r="E995" s="596"/>
      <c r="F995" s="596"/>
      <c r="G995" s="596"/>
      <c r="H995" s="596"/>
      <c r="I995" s="596"/>
      <c r="J995" s="577"/>
      <c r="K995" s="577"/>
      <c r="L995" s="577"/>
      <c r="M995" s="577"/>
      <c r="N995" s="577"/>
      <c r="O995" s="577"/>
      <c r="P995" s="577"/>
      <c r="Q995" s="577"/>
      <c r="R995" s="577"/>
      <c r="S995" s="577"/>
      <c r="T995" s="577"/>
      <c r="U995" s="577"/>
      <c r="V995" s="577"/>
      <c r="W995" s="577"/>
      <c r="X995" s="577"/>
      <c r="Y995" s="577"/>
      <c r="Z995" s="577"/>
      <c r="AA995" s="577"/>
      <c r="AB995" s="577"/>
      <c r="AC995" s="577"/>
      <c r="AD995" s="577"/>
      <c r="AE995" s="577"/>
      <c r="AF995" s="6"/>
    </row>
    <row r="996" ht="12.75" customHeight="1">
      <c r="A996" s="595"/>
      <c r="B996" s="596"/>
      <c r="C996" s="596"/>
      <c r="D996" s="596"/>
      <c r="E996" s="596"/>
      <c r="F996" s="596"/>
      <c r="G996" s="596"/>
      <c r="H996" s="596"/>
      <c r="I996" s="596"/>
      <c r="J996" s="577"/>
      <c r="K996" s="577"/>
      <c r="L996" s="577"/>
      <c r="M996" s="577"/>
      <c r="N996" s="577"/>
      <c r="O996" s="577"/>
      <c r="P996" s="577"/>
      <c r="Q996" s="577"/>
      <c r="R996" s="577"/>
      <c r="S996" s="577"/>
      <c r="T996" s="577"/>
      <c r="U996" s="577"/>
      <c r="V996" s="577"/>
      <c r="W996" s="577"/>
      <c r="X996" s="577"/>
      <c r="Y996" s="577"/>
      <c r="Z996" s="577"/>
      <c r="AA996" s="577"/>
      <c r="AB996" s="577"/>
      <c r="AC996" s="577"/>
      <c r="AD996" s="577"/>
      <c r="AE996" s="577"/>
      <c r="AF996" s="6"/>
    </row>
    <row r="997" ht="12.75" customHeight="1">
      <c r="A997" s="595"/>
      <c r="B997" s="596"/>
      <c r="C997" s="596"/>
      <c r="D997" s="596"/>
      <c r="E997" s="596"/>
      <c r="F997" s="596"/>
      <c r="G997" s="596"/>
      <c r="H997" s="596"/>
      <c r="I997" s="596"/>
      <c r="J997" s="577"/>
      <c r="K997" s="577"/>
      <c r="L997" s="577"/>
      <c r="M997" s="577"/>
      <c r="N997" s="577"/>
      <c r="O997" s="577"/>
      <c r="P997" s="577"/>
      <c r="Q997" s="577"/>
      <c r="R997" s="577"/>
      <c r="S997" s="577"/>
      <c r="T997" s="577"/>
      <c r="U997" s="577"/>
      <c r="V997" s="577"/>
      <c r="W997" s="577"/>
      <c r="X997" s="577"/>
      <c r="Y997" s="577"/>
      <c r="Z997" s="577"/>
      <c r="AA997" s="577"/>
      <c r="AB997" s="577"/>
      <c r="AC997" s="577"/>
      <c r="AD997" s="577"/>
      <c r="AE997" s="577"/>
      <c r="AF997" s="6"/>
    </row>
    <row r="998" ht="12.75" customHeight="1">
      <c r="A998" s="595"/>
      <c r="B998" s="596"/>
      <c r="C998" s="596"/>
      <c r="D998" s="596"/>
      <c r="E998" s="596"/>
      <c r="F998" s="596"/>
      <c r="G998" s="596"/>
      <c r="H998" s="596"/>
      <c r="I998" s="596"/>
      <c r="J998" s="577"/>
      <c r="K998" s="577"/>
      <c r="L998" s="577"/>
      <c r="M998" s="577"/>
      <c r="N998" s="577"/>
      <c r="O998" s="577"/>
      <c r="P998" s="577"/>
      <c r="Q998" s="577"/>
      <c r="R998" s="577"/>
      <c r="S998" s="577"/>
      <c r="T998" s="577"/>
      <c r="U998" s="577"/>
      <c r="V998" s="577"/>
      <c r="W998" s="577"/>
      <c r="X998" s="577"/>
      <c r="Y998" s="577"/>
      <c r="Z998" s="577"/>
      <c r="AA998" s="577"/>
      <c r="AB998" s="577"/>
      <c r="AC998" s="577"/>
      <c r="AD998" s="577"/>
      <c r="AE998" s="577"/>
      <c r="AF998" s="6"/>
    </row>
    <row r="999" ht="12.75" customHeight="1">
      <c r="A999" s="595"/>
      <c r="B999" s="596"/>
      <c r="C999" s="596"/>
      <c r="D999" s="596"/>
      <c r="E999" s="596"/>
      <c r="F999" s="596"/>
      <c r="G999" s="596"/>
      <c r="H999" s="596"/>
      <c r="I999" s="596"/>
      <c r="J999" s="577"/>
      <c r="K999" s="577"/>
      <c r="L999" s="577"/>
      <c r="M999" s="577"/>
      <c r="N999" s="577"/>
      <c r="O999" s="577"/>
      <c r="P999" s="577"/>
      <c r="Q999" s="577"/>
      <c r="R999" s="577"/>
      <c r="S999" s="577"/>
      <c r="T999" s="577"/>
      <c r="U999" s="577"/>
      <c r="V999" s="577"/>
      <c r="W999" s="577"/>
      <c r="X999" s="577"/>
      <c r="Y999" s="577"/>
      <c r="Z999" s="577"/>
      <c r="AA999" s="577"/>
      <c r="AB999" s="577"/>
      <c r="AC999" s="577"/>
      <c r="AD999" s="577"/>
      <c r="AE999" s="577"/>
      <c r="AF999" s="6"/>
    </row>
    <row r="1000" ht="12.75" customHeight="1">
      <c r="A1000" s="595"/>
      <c r="B1000" s="596"/>
      <c r="C1000" s="596"/>
      <c r="D1000" s="596"/>
      <c r="E1000" s="596"/>
      <c r="F1000" s="596"/>
      <c r="G1000" s="596"/>
      <c r="H1000" s="596"/>
      <c r="I1000" s="596"/>
      <c r="J1000" s="577"/>
      <c r="K1000" s="577"/>
      <c r="L1000" s="577"/>
      <c r="M1000" s="577"/>
      <c r="N1000" s="577"/>
      <c r="O1000" s="577"/>
      <c r="P1000" s="577"/>
      <c r="Q1000" s="577"/>
      <c r="R1000" s="577"/>
      <c r="S1000" s="577"/>
      <c r="T1000" s="577"/>
      <c r="U1000" s="577"/>
      <c r="V1000" s="577"/>
      <c r="W1000" s="577"/>
      <c r="X1000" s="577"/>
      <c r="Y1000" s="577"/>
      <c r="Z1000" s="577"/>
      <c r="AA1000" s="577"/>
      <c r="AB1000" s="577"/>
      <c r="AC1000" s="577"/>
      <c r="AD1000" s="577"/>
      <c r="AE1000" s="577"/>
      <c r="AF1000" s="6"/>
    </row>
  </sheetData>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16.0"/>
    <col customWidth="1" min="3" max="3" width="30.0"/>
    <col customWidth="1" min="4" max="4" width="6.57"/>
    <col customWidth="1" min="5" max="5" width="30.0"/>
    <col customWidth="1" min="6" max="6" width="6.71"/>
    <col customWidth="1" min="7" max="26" width="8.71"/>
  </cols>
  <sheetData>
    <row r="1">
      <c r="A1" s="605" t="s">
        <v>4660</v>
      </c>
      <c r="B1" s="605" t="s">
        <v>4661</v>
      </c>
      <c r="C1" s="605" t="s">
        <v>4662</v>
      </c>
      <c r="D1" s="605" t="s">
        <v>4663</v>
      </c>
      <c r="E1" s="605" t="s">
        <v>4662</v>
      </c>
      <c r="F1" s="605" t="s">
        <v>4664</v>
      </c>
    </row>
    <row r="2">
      <c r="A2" s="605" t="s">
        <v>4665</v>
      </c>
      <c r="B2" s="605" t="s">
        <v>1961</v>
      </c>
      <c r="C2" s="605" t="s">
        <v>4666</v>
      </c>
      <c r="D2" s="605">
        <v>1.0</v>
      </c>
      <c r="E2" s="605" t="s">
        <v>4667</v>
      </c>
      <c r="F2" s="605">
        <v>366.0</v>
      </c>
    </row>
    <row r="3">
      <c r="A3" s="605" t="s">
        <v>4668</v>
      </c>
      <c r="B3" s="605" t="s">
        <v>4669</v>
      </c>
      <c r="C3" s="605" t="s">
        <v>4666</v>
      </c>
      <c r="D3" s="605">
        <v>18.0</v>
      </c>
      <c r="E3" s="605" t="s">
        <v>4667</v>
      </c>
      <c r="F3" s="605">
        <v>65.0</v>
      </c>
    </row>
    <row r="4">
      <c r="A4" s="605" t="s">
        <v>4670</v>
      </c>
      <c r="B4" s="605" t="s">
        <v>4669</v>
      </c>
      <c r="C4" s="605" t="s">
        <v>4666</v>
      </c>
      <c r="D4" s="605">
        <v>9.0</v>
      </c>
      <c r="E4" s="605" t="s">
        <v>4667</v>
      </c>
      <c r="F4" s="605">
        <v>19.0</v>
      </c>
    </row>
    <row r="5">
      <c r="A5" s="605" t="s">
        <v>4671</v>
      </c>
      <c r="B5" s="605" t="s">
        <v>4669</v>
      </c>
      <c r="C5" s="605" t="s">
        <v>4666</v>
      </c>
      <c r="D5" s="605">
        <v>9.0</v>
      </c>
      <c r="E5" s="605" t="s">
        <v>4667</v>
      </c>
      <c r="F5" s="605">
        <v>56.0</v>
      </c>
    </row>
    <row r="6">
      <c r="A6" s="605" t="s">
        <v>4672</v>
      </c>
      <c r="B6" s="605" t="s">
        <v>4669</v>
      </c>
      <c r="C6" s="605" t="s">
        <v>4666</v>
      </c>
      <c r="D6" s="605">
        <v>9.0</v>
      </c>
      <c r="E6" s="605" t="s">
        <v>4667</v>
      </c>
      <c r="F6" s="605">
        <v>60.0</v>
      </c>
    </row>
    <row r="7">
      <c r="A7" s="605" t="s">
        <v>4673</v>
      </c>
      <c r="B7" s="605" t="s">
        <v>4669</v>
      </c>
      <c r="C7" s="605" t="s">
        <v>4666</v>
      </c>
      <c r="D7" s="605">
        <v>9.0</v>
      </c>
      <c r="E7" s="605" t="s">
        <v>4667</v>
      </c>
      <c r="F7" s="605">
        <v>61.0</v>
      </c>
    </row>
    <row r="8">
      <c r="A8" s="605" t="s">
        <v>4674</v>
      </c>
      <c r="B8" s="605" t="s">
        <v>4669</v>
      </c>
      <c r="C8" s="605" t="s">
        <v>4666</v>
      </c>
      <c r="D8" s="605">
        <v>10.0</v>
      </c>
      <c r="E8" s="605" t="s">
        <v>4667</v>
      </c>
      <c r="F8" s="605">
        <v>21.0</v>
      </c>
    </row>
    <row r="9">
      <c r="A9" s="605" t="s">
        <v>4675</v>
      </c>
      <c r="B9" s="605" t="s">
        <v>4669</v>
      </c>
      <c r="C9" s="605" t="s">
        <v>4666</v>
      </c>
      <c r="D9" s="605">
        <v>11.0</v>
      </c>
      <c r="E9" s="605" t="s">
        <v>4667</v>
      </c>
      <c r="F9" s="605">
        <v>18.0</v>
      </c>
    </row>
    <row r="10">
      <c r="A10" s="605" t="s">
        <v>4676</v>
      </c>
      <c r="B10" s="605" t="s">
        <v>4669</v>
      </c>
      <c r="C10" s="605" t="s">
        <v>4666</v>
      </c>
      <c r="D10" s="605">
        <v>15.0</v>
      </c>
      <c r="E10" s="605" t="s">
        <v>4667</v>
      </c>
      <c r="F10" s="605">
        <v>61.0</v>
      </c>
    </row>
    <row r="11">
      <c r="A11" s="605" t="s">
        <v>4677</v>
      </c>
      <c r="B11" s="605" t="s">
        <v>1961</v>
      </c>
      <c r="C11" s="605" t="s">
        <v>4666</v>
      </c>
      <c r="D11" s="605">
        <v>180.0</v>
      </c>
      <c r="E11" s="605" t="s">
        <v>4667</v>
      </c>
      <c r="F11" s="605">
        <v>1460.0</v>
      </c>
    </row>
    <row r="12">
      <c r="A12" s="605" t="s">
        <v>4678</v>
      </c>
      <c r="B12" s="605" t="s">
        <v>4669</v>
      </c>
      <c r="C12" s="605" t="s">
        <v>4666</v>
      </c>
      <c r="D12" s="605">
        <v>17.0</v>
      </c>
      <c r="E12" s="605" t="s">
        <v>4667</v>
      </c>
      <c r="F12" s="605">
        <v>21.0</v>
      </c>
    </row>
    <row r="13">
      <c r="A13" s="605" t="s">
        <v>4679</v>
      </c>
      <c r="B13" s="605" t="s">
        <v>4669</v>
      </c>
      <c r="C13" s="605" t="s">
        <v>4666</v>
      </c>
      <c r="D13" s="605">
        <v>17.0</v>
      </c>
      <c r="E13" s="605" t="s">
        <v>4667</v>
      </c>
      <c r="F13" s="605">
        <v>40.0</v>
      </c>
    </row>
    <row r="14">
      <c r="A14" s="605" t="s">
        <v>4680</v>
      </c>
      <c r="B14" s="605" t="s">
        <v>4669</v>
      </c>
      <c r="C14" s="605" t="s">
        <v>4666</v>
      </c>
      <c r="D14" s="605">
        <v>17.0</v>
      </c>
      <c r="E14" s="605" t="s">
        <v>4667</v>
      </c>
      <c r="F14" s="605">
        <v>65.0</v>
      </c>
    </row>
    <row r="15">
      <c r="A15" s="605" t="s">
        <v>4681</v>
      </c>
      <c r="B15" s="605" t="s">
        <v>4669</v>
      </c>
      <c r="C15" s="605" t="s">
        <v>4666</v>
      </c>
      <c r="D15" s="605">
        <v>18.0</v>
      </c>
      <c r="E15" s="605" t="s">
        <v>4667</v>
      </c>
      <c r="F15" s="605">
        <v>65.0</v>
      </c>
    </row>
    <row r="16">
      <c r="A16" s="605" t="s">
        <v>4682</v>
      </c>
      <c r="B16" s="605" t="s">
        <v>4669</v>
      </c>
      <c r="C16" s="605" t="s">
        <v>4666</v>
      </c>
      <c r="D16" s="605">
        <v>18.0</v>
      </c>
      <c r="E16" s="605" t="s">
        <v>4667</v>
      </c>
      <c r="F16" s="605">
        <v>21.0</v>
      </c>
      <c r="M16" s="567">
        <v>40.0</v>
      </c>
    </row>
    <row r="17">
      <c r="A17" s="605" t="s">
        <v>4683</v>
      </c>
      <c r="B17" s="605" t="s">
        <v>4669</v>
      </c>
      <c r="C17" s="605" t="s">
        <v>4666</v>
      </c>
      <c r="D17" s="605">
        <v>18.0</v>
      </c>
      <c r="E17" s="605" t="s">
        <v>4667</v>
      </c>
      <c r="F17" s="605">
        <v>60.0</v>
      </c>
    </row>
    <row r="18">
      <c r="A18" s="605" t="s">
        <v>4684</v>
      </c>
      <c r="B18" s="605" t="s">
        <v>1961</v>
      </c>
      <c r="C18" s="605" t="s">
        <v>4666</v>
      </c>
      <c r="D18" s="605">
        <v>365.0</v>
      </c>
      <c r="E18" s="605" t="s">
        <v>4667</v>
      </c>
      <c r="F18" s="605">
        <v>730.0</v>
      </c>
    </row>
    <row r="19">
      <c r="A19" s="605" t="s">
        <v>4685</v>
      </c>
      <c r="B19" s="605" t="s">
        <v>4669</v>
      </c>
      <c r="C19" s="605" t="s">
        <v>4666</v>
      </c>
      <c r="D19" s="605">
        <v>20.0</v>
      </c>
      <c r="E19" s="605" t="s">
        <v>4667</v>
      </c>
      <c r="F19" s="605">
        <v>60.0</v>
      </c>
    </row>
    <row r="20">
      <c r="A20" s="605" t="s">
        <v>4686</v>
      </c>
      <c r="B20" s="605" t="s">
        <v>4669</v>
      </c>
      <c r="C20" s="605" t="s">
        <v>4666</v>
      </c>
      <c r="D20" s="605">
        <v>20.0</v>
      </c>
      <c r="E20" s="605" t="s">
        <v>4667</v>
      </c>
      <c r="F20" s="605">
        <v>65.0</v>
      </c>
    </row>
    <row r="21" ht="15.75" customHeight="1">
      <c r="A21" s="605" t="s">
        <v>4687</v>
      </c>
      <c r="B21" s="605" t="s">
        <v>4669</v>
      </c>
      <c r="C21" s="605" t="s">
        <v>4666</v>
      </c>
      <c r="D21" s="605">
        <v>20.0</v>
      </c>
      <c r="E21" s="605" t="s">
        <v>4667</v>
      </c>
      <c r="F21" s="605">
        <v>100.0</v>
      </c>
    </row>
    <row r="22" ht="15.75" customHeight="1">
      <c r="A22" s="605" t="s">
        <v>4688</v>
      </c>
      <c r="B22" s="605" t="s">
        <v>4669</v>
      </c>
      <c r="C22" s="605" t="s">
        <v>4666</v>
      </c>
      <c r="D22" s="605">
        <v>21.0</v>
      </c>
      <c r="E22" s="605" t="s">
        <v>4667</v>
      </c>
      <c r="F22" s="605">
        <v>65.0</v>
      </c>
    </row>
    <row r="23" ht="15.75" customHeight="1">
      <c r="A23" s="605" t="s">
        <v>4689</v>
      </c>
      <c r="B23" s="605" t="s">
        <v>4669</v>
      </c>
      <c r="C23" s="605" t="s">
        <v>4666</v>
      </c>
      <c r="D23" s="605">
        <v>1.0</v>
      </c>
      <c r="E23" s="605" t="s">
        <v>4667</v>
      </c>
      <c r="F23" s="605">
        <v>21.0</v>
      </c>
    </row>
    <row r="24" ht="15.75" customHeight="1">
      <c r="A24" s="605" t="s">
        <v>4690</v>
      </c>
      <c r="B24" s="605" t="s">
        <v>1961</v>
      </c>
      <c r="C24" s="605" t="s">
        <v>4666</v>
      </c>
      <c r="D24" s="605">
        <v>730.0</v>
      </c>
      <c r="E24" s="605" t="s">
        <v>4667</v>
      </c>
      <c r="F24" s="605">
        <v>7670.0</v>
      </c>
    </row>
    <row r="25" ht="15.75" customHeight="1">
      <c r="A25" s="605" t="s">
        <v>4691</v>
      </c>
      <c r="B25" s="605" t="s">
        <v>1961</v>
      </c>
      <c r="C25" s="605" t="s">
        <v>4666</v>
      </c>
      <c r="D25" s="605">
        <v>30.0</v>
      </c>
      <c r="E25" s="605" t="s">
        <v>4667</v>
      </c>
      <c r="F25" s="605">
        <v>2556.0</v>
      </c>
    </row>
    <row r="26" ht="15.75" customHeight="1">
      <c r="A26" s="605" t="s">
        <v>4692</v>
      </c>
      <c r="B26" s="605" t="s">
        <v>1961</v>
      </c>
      <c r="C26" s="605" t="s">
        <v>4667</v>
      </c>
      <c r="D26" s="605">
        <v>29.0</v>
      </c>
      <c r="E26" s="605" t="s">
        <v>4666</v>
      </c>
      <c r="F26" s="605">
        <v>720.0</v>
      </c>
    </row>
    <row r="27" ht="15.75" customHeight="1">
      <c r="A27" s="605" t="s">
        <v>4693</v>
      </c>
      <c r="B27" s="605" t="s">
        <v>4669</v>
      </c>
      <c r="C27" s="605" t="s">
        <v>4666</v>
      </c>
      <c r="D27" s="605">
        <v>34.0</v>
      </c>
      <c r="E27" s="605" t="s">
        <v>4667</v>
      </c>
      <c r="F27" s="605">
        <v>40.0</v>
      </c>
    </row>
    <row r="28" ht="15.75" customHeight="1">
      <c r="A28" s="605" t="s">
        <v>4694</v>
      </c>
      <c r="B28" s="605" t="s">
        <v>1961</v>
      </c>
      <c r="C28" s="605" t="s">
        <v>4666</v>
      </c>
      <c r="D28" s="605">
        <v>365.0</v>
      </c>
      <c r="E28" s="605" t="s">
        <v>4667</v>
      </c>
      <c r="F28" s="605">
        <v>7300.0</v>
      </c>
    </row>
    <row r="29" ht="15.75" customHeight="1">
      <c r="A29" s="605" t="s">
        <v>4695</v>
      </c>
      <c r="B29" s="605" t="s">
        <v>1961</v>
      </c>
      <c r="C29" s="605" t="s">
        <v>4666</v>
      </c>
      <c r="D29" s="605">
        <v>364.0</v>
      </c>
      <c r="E29" s="605" t="s">
        <v>4667</v>
      </c>
      <c r="F29" s="605">
        <v>7665.0</v>
      </c>
    </row>
    <row r="30" ht="15.75" customHeight="1">
      <c r="A30" s="605" t="s">
        <v>4696</v>
      </c>
      <c r="B30" s="605" t="s">
        <v>4669</v>
      </c>
      <c r="C30" s="605" t="s">
        <v>4666</v>
      </c>
      <c r="D30" s="605">
        <v>2.0</v>
      </c>
      <c r="E30" s="605" t="s">
        <v>4667</v>
      </c>
      <c r="F30" s="605">
        <v>16.0</v>
      </c>
    </row>
    <row r="31" ht="15.75" customHeight="1">
      <c r="A31" s="605" t="s">
        <v>4697</v>
      </c>
      <c r="B31" s="605" t="s">
        <v>4669</v>
      </c>
      <c r="C31" s="605" t="s">
        <v>4666</v>
      </c>
      <c r="D31" s="605">
        <v>2.0</v>
      </c>
      <c r="E31" s="605" t="s">
        <v>4667</v>
      </c>
      <c r="F31" s="605">
        <v>21.0</v>
      </c>
    </row>
    <row r="32" ht="15.75" customHeight="1">
      <c r="A32" s="605" t="s">
        <v>4698</v>
      </c>
      <c r="B32" s="605" t="s">
        <v>4669</v>
      </c>
      <c r="C32" s="605" t="s">
        <v>4666</v>
      </c>
      <c r="D32" s="605">
        <v>2.0</v>
      </c>
      <c r="E32" s="605" t="s">
        <v>4667</v>
      </c>
      <c r="F32" s="605">
        <v>100.0</v>
      </c>
    </row>
    <row r="33" ht="15.75" customHeight="1">
      <c r="A33" s="605" t="s">
        <v>4699</v>
      </c>
      <c r="B33" s="605" t="s">
        <v>4669</v>
      </c>
      <c r="C33" s="605" t="s">
        <v>4666</v>
      </c>
      <c r="D33" s="605">
        <v>39.0</v>
      </c>
      <c r="E33" s="605" t="s">
        <v>4667</v>
      </c>
      <c r="F33" s="605">
        <v>50.0</v>
      </c>
    </row>
    <row r="34" ht="15.75" customHeight="1">
      <c r="A34" s="605" t="s">
        <v>4700</v>
      </c>
      <c r="B34" s="605" t="s">
        <v>4669</v>
      </c>
      <c r="C34" s="605" t="s">
        <v>4666</v>
      </c>
      <c r="D34" s="605">
        <v>39.0</v>
      </c>
      <c r="E34" s="605" t="s">
        <v>4667</v>
      </c>
      <c r="F34" s="605">
        <v>65.0</v>
      </c>
    </row>
    <row r="35" ht="15.75" customHeight="1">
      <c r="A35" s="605" t="s">
        <v>4701</v>
      </c>
      <c r="B35" s="605" t="s">
        <v>4669</v>
      </c>
      <c r="C35" s="605" t="s">
        <v>4666</v>
      </c>
      <c r="D35" s="605">
        <v>39.0</v>
      </c>
      <c r="E35" s="605" t="s">
        <v>4667</v>
      </c>
      <c r="F35" s="605">
        <v>75.0</v>
      </c>
    </row>
    <row r="36" ht="15.75" customHeight="1">
      <c r="A36" s="605" t="s">
        <v>4702</v>
      </c>
      <c r="B36" s="605" t="s">
        <v>4669</v>
      </c>
      <c r="C36" s="605" t="s">
        <v>4666</v>
      </c>
      <c r="D36" s="605">
        <v>3.0</v>
      </c>
      <c r="E36" s="605" t="s">
        <v>4667</v>
      </c>
      <c r="F36" s="605">
        <v>21.0</v>
      </c>
    </row>
    <row r="37" ht="15.75" customHeight="1">
      <c r="A37" s="605" t="s">
        <v>4703</v>
      </c>
      <c r="B37" s="605" t="s">
        <v>4669</v>
      </c>
      <c r="C37" s="605" t="s">
        <v>4666</v>
      </c>
      <c r="D37" s="605">
        <v>49.0</v>
      </c>
      <c r="E37" s="605" t="s">
        <v>4667</v>
      </c>
      <c r="F37" s="605">
        <v>81.0</v>
      </c>
    </row>
    <row r="38" ht="15.75" customHeight="1">
      <c r="A38" s="605" t="s">
        <v>4704</v>
      </c>
      <c r="B38" s="605" t="s">
        <v>4669</v>
      </c>
      <c r="C38" s="605" t="s">
        <v>4666</v>
      </c>
      <c r="D38" s="605">
        <v>4.0</v>
      </c>
      <c r="E38" s="605" t="s">
        <v>4667</v>
      </c>
      <c r="F38" s="605">
        <v>12.0</v>
      </c>
    </row>
    <row r="39" ht="15.75" customHeight="1">
      <c r="A39" s="605" t="s">
        <v>4705</v>
      </c>
      <c r="B39" s="605" t="s">
        <v>4669</v>
      </c>
      <c r="C39" s="605" t="s">
        <v>4666</v>
      </c>
      <c r="D39" s="605">
        <v>64.0</v>
      </c>
      <c r="E39" s="605" t="s">
        <v>4667</v>
      </c>
      <c r="F39" s="605">
        <v>76.0</v>
      </c>
    </row>
    <row r="40" ht="15.75" customHeight="1">
      <c r="A40" s="605" t="s">
        <v>4706</v>
      </c>
      <c r="B40" s="605" t="s">
        <v>4669</v>
      </c>
      <c r="C40" s="605" t="s">
        <v>4666</v>
      </c>
      <c r="D40" s="605">
        <v>5.0</v>
      </c>
      <c r="E40" s="605" t="s">
        <v>4667</v>
      </c>
      <c r="F40" s="605">
        <v>12.0</v>
      </c>
    </row>
    <row r="41" ht="15.75" customHeight="1">
      <c r="A41" s="605" t="s">
        <v>4707</v>
      </c>
      <c r="B41" s="605" t="s">
        <v>4669</v>
      </c>
      <c r="C41" s="605" t="s">
        <v>4666</v>
      </c>
      <c r="D41" s="605">
        <v>5.0</v>
      </c>
      <c r="E41" s="605" t="s">
        <v>4667</v>
      </c>
      <c r="F41" s="605">
        <v>19.0</v>
      </c>
    </row>
    <row r="42" ht="15.75" customHeight="1">
      <c r="A42" s="605" t="s">
        <v>4708</v>
      </c>
      <c r="B42" s="605" t="s">
        <v>4669</v>
      </c>
      <c r="C42" s="605" t="s">
        <v>4666</v>
      </c>
      <c r="D42" s="605">
        <v>5.0</v>
      </c>
      <c r="E42" s="605" t="s">
        <v>4667</v>
      </c>
      <c r="F42" s="605">
        <v>20.0</v>
      </c>
    </row>
    <row r="43" ht="15.75" customHeight="1">
      <c r="A43" s="605" t="s">
        <v>4709</v>
      </c>
      <c r="B43" s="605" t="s">
        <v>4669</v>
      </c>
      <c r="C43" s="605" t="s">
        <v>4666</v>
      </c>
      <c r="D43" s="605">
        <v>5.0</v>
      </c>
      <c r="E43" s="605" t="s">
        <v>4667</v>
      </c>
      <c r="F43" s="605">
        <v>21.0</v>
      </c>
    </row>
    <row r="44" ht="15.75" customHeight="1">
      <c r="A44" s="605" t="s">
        <v>4710</v>
      </c>
      <c r="B44" s="605" t="s">
        <v>4669</v>
      </c>
      <c r="C44" s="605" t="s">
        <v>4666</v>
      </c>
      <c r="D44" s="605">
        <v>5.0</v>
      </c>
      <c r="E44" s="605" t="s">
        <v>4667</v>
      </c>
      <c r="F44" s="605">
        <v>12.0</v>
      </c>
    </row>
    <row r="45" ht="15.75" customHeight="1">
      <c r="A45" s="605" t="s">
        <v>4711</v>
      </c>
      <c r="B45" s="605" t="s">
        <v>4669</v>
      </c>
      <c r="C45" s="605" t="s">
        <v>4666</v>
      </c>
      <c r="D45" s="605">
        <v>100.0</v>
      </c>
      <c r="E45" s="605"/>
      <c r="F45" s="605"/>
    </row>
    <row r="46" ht="15.75" customHeight="1">
      <c r="A46" s="605" t="s">
        <v>4712</v>
      </c>
      <c r="B46" s="605" t="s">
        <v>1961</v>
      </c>
      <c r="C46" s="605" t="s">
        <v>4666</v>
      </c>
      <c r="D46" s="605">
        <v>31145.0</v>
      </c>
      <c r="E46" s="605"/>
      <c r="F46" s="605"/>
    </row>
    <row r="47" ht="15.75" customHeight="1">
      <c r="A47" s="605" t="s">
        <v>4713</v>
      </c>
      <c r="B47" s="605" t="s">
        <v>4669</v>
      </c>
      <c r="C47" s="605" t="s">
        <v>4666</v>
      </c>
      <c r="D47" s="605">
        <v>10.0</v>
      </c>
      <c r="E47" s="605"/>
      <c r="F47" s="605"/>
    </row>
    <row r="48" ht="15.75" customHeight="1">
      <c r="A48" s="605" t="s">
        <v>4714</v>
      </c>
      <c r="B48" s="605" t="s">
        <v>1961</v>
      </c>
      <c r="C48" s="605" t="s">
        <v>4666</v>
      </c>
      <c r="D48" s="605">
        <v>330.0</v>
      </c>
      <c r="E48" s="605"/>
      <c r="F48" s="605"/>
    </row>
    <row r="49" ht="15.75" customHeight="1">
      <c r="A49" s="605" t="s">
        <v>4715</v>
      </c>
      <c r="B49" s="605" t="s">
        <v>4669</v>
      </c>
      <c r="C49" s="605" t="s">
        <v>4666</v>
      </c>
      <c r="D49" s="605">
        <v>11.0</v>
      </c>
      <c r="E49" s="605"/>
      <c r="F49" s="605"/>
    </row>
    <row r="50" ht="15.75" customHeight="1">
      <c r="A50" s="605" t="s">
        <v>4716</v>
      </c>
      <c r="B50" s="605" t="s">
        <v>4669</v>
      </c>
      <c r="C50" s="605" t="s">
        <v>4666</v>
      </c>
      <c r="D50" s="605">
        <v>120.0</v>
      </c>
      <c r="E50" s="605"/>
      <c r="F50" s="605"/>
    </row>
    <row r="51" ht="15.75" customHeight="1">
      <c r="A51" s="605" t="s">
        <v>4717</v>
      </c>
      <c r="B51" s="605" t="s">
        <v>4669</v>
      </c>
      <c r="C51" s="605" t="s">
        <v>4666</v>
      </c>
      <c r="D51" s="605">
        <v>125.0</v>
      </c>
      <c r="E51" s="605"/>
      <c r="F51" s="605"/>
    </row>
    <row r="52" ht="15.75" customHeight="1">
      <c r="A52" s="605" t="s">
        <v>4718</v>
      </c>
      <c r="B52" s="605" t="s">
        <v>4669</v>
      </c>
      <c r="C52" s="605" t="s">
        <v>4666</v>
      </c>
      <c r="D52" s="605">
        <v>12.0</v>
      </c>
      <c r="E52" s="605"/>
      <c r="F52" s="605"/>
    </row>
    <row r="53" ht="15.75" customHeight="1">
      <c r="A53" s="605" t="s">
        <v>4719</v>
      </c>
      <c r="B53" s="605" t="s">
        <v>4669</v>
      </c>
      <c r="C53" s="605" t="s">
        <v>4666</v>
      </c>
      <c r="D53" s="605">
        <v>130.0</v>
      </c>
      <c r="E53" s="605"/>
      <c r="F53" s="605"/>
    </row>
    <row r="54" ht="15.75" customHeight="1">
      <c r="A54" s="605" t="s">
        <v>4720</v>
      </c>
      <c r="B54" s="605" t="s">
        <v>1961</v>
      </c>
      <c r="C54" s="605" t="s">
        <v>4666</v>
      </c>
      <c r="D54" s="605">
        <v>4015.0</v>
      </c>
      <c r="E54" s="605"/>
      <c r="F54" s="605"/>
    </row>
    <row r="55" ht="15.75" customHeight="1">
      <c r="A55" s="605" t="s">
        <v>4721</v>
      </c>
      <c r="B55" s="605" t="s">
        <v>4669</v>
      </c>
      <c r="C55" s="605" t="s">
        <v>4666</v>
      </c>
      <c r="D55" s="605">
        <v>13.0</v>
      </c>
      <c r="E55" s="605"/>
      <c r="F55" s="605"/>
    </row>
    <row r="56" ht="15.75" customHeight="1">
      <c r="A56" s="605" t="s">
        <v>4722</v>
      </c>
      <c r="B56" s="605" t="s">
        <v>1961</v>
      </c>
      <c r="C56" s="605" t="s">
        <v>4666</v>
      </c>
      <c r="D56" s="605">
        <v>4345.0</v>
      </c>
      <c r="E56" s="605"/>
      <c r="F56" s="605"/>
    </row>
    <row r="57" ht="15.75" customHeight="1">
      <c r="A57" s="605" t="s">
        <v>4723</v>
      </c>
      <c r="B57" s="605" t="s">
        <v>4669</v>
      </c>
      <c r="C57" s="605" t="s">
        <v>4666</v>
      </c>
      <c r="D57" s="605">
        <v>14.0</v>
      </c>
      <c r="E57" s="605"/>
      <c r="F57" s="605"/>
    </row>
    <row r="58" ht="15.75" customHeight="1">
      <c r="A58" s="605" t="s">
        <v>4724</v>
      </c>
      <c r="B58" s="605" t="s">
        <v>4669</v>
      </c>
      <c r="C58" s="605" t="s">
        <v>4666</v>
      </c>
      <c r="D58" s="605">
        <v>15.0</v>
      </c>
      <c r="E58" s="605"/>
      <c r="F58" s="605"/>
    </row>
    <row r="59" ht="15.75" customHeight="1">
      <c r="A59" s="605" t="s">
        <v>4725</v>
      </c>
      <c r="B59" s="605" t="s">
        <v>4669</v>
      </c>
      <c r="C59" s="605" t="s">
        <v>4666</v>
      </c>
      <c r="D59" s="605">
        <v>16.0</v>
      </c>
      <c r="E59" s="605"/>
      <c r="F59" s="605"/>
    </row>
    <row r="60" ht="15.75" customHeight="1">
      <c r="A60" s="605" t="s">
        <v>4726</v>
      </c>
      <c r="B60" s="605" t="s">
        <v>1961</v>
      </c>
      <c r="C60" s="605" t="s">
        <v>4666</v>
      </c>
      <c r="D60" s="605">
        <v>510.0</v>
      </c>
      <c r="E60" s="605"/>
      <c r="F60" s="605"/>
    </row>
    <row r="61" ht="15.75" customHeight="1">
      <c r="A61" s="605" t="s">
        <v>4727</v>
      </c>
      <c r="B61" s="605" t="s">
        <v>4669</v>
      </c>
      <c r="C61" s="605" t="s">
        <v>4666</v>
      </c>
      <c r="D61" s="605">
        <v>17.0</v>
      </c>
      <c r="E61" s="605"/>
      <c r="F61" s="605"/>
    </row>
    <row r="62" ht="15.75" customHeight="1">
      <c r="A62" s="605" t="s">
        <v>4728</v>
      </c>
      <c r="B62" s="605" t="s">
        <v>1961</v>
      </c>
      <c r="C62" s="605" t="s">
        <v>4666</v>
      </c>
      <c r="D62" s="605">
        <v>1813.0</v>
      </c>
      <c r="E62" s="605"/>
      <c r="F62" s="605"/>
    </row>
    <row r="63" ht="15.75" customHeight="1">
      <c r="A63" s="605" t="s">
        <v>4729</v>
      </c>
      <c r="B63" s="605" t="s">
        <v>1961</v>
      </c>
      <c r="C63" s="605" t="s">
        <v>4666</v>
      </c>
      <c r="D63" s="605">
        <v>547.0</v>
      </c>
      <c r="E63" s="605"/>
      <c r="F63" s="605"/>
    </row>
    <row r="64" ht="15.75" customHeight="1">
      <c r="A64" s="605" t="s">
        <v>4730</v>
      </c>
      <c r="B64" s="605" t="s">
        <v>4669</v>
      </c>
      <c r="C64" s="605" t="s">
        <v>4666</v>
      </c>
      <c r="D64" s="605">
        <v>18.0</v>
      </c>
      <c r="E64" s="605"/>
      <c r="F64" s="605"/>
    </row>
    <row r="65" ht="15.75" customHeight="1">
      <c r="A65" s="605" t="s">
        <v>4731</v>
      </c>
      <c r="B65" s="605" t="s">
        <v>4669</v>
      </c>
      <c r="C65" s="605" t="s">
        <v>4666</v>
      </c>
      <c r="D65" s="605">
        <v>19.0</v>
      </c>
      <c r="E65" s="605"/>
      <c r="F65" s="605"/>
    </row>
    <row r="66" ht="15.75" customHeight="1">
      <c r="A66" s="605" t="s">
        <v>4732</v>
      </c>
      <c r="B66" s="605" t="s">
        <v>1961</v>
      </c>
      <c r="C66" s="605" t="s">
        <v>4666</v>
      </c>
      <c r="D66" s="605">
        <v>30.0</v>
      </c>
      <c r="E66" s="605"/>
      <c r="F66" s="605"/>
    </row>
    <row r="67" ht="15.75" customHeight="1">
      <c r="A67" s="605" t="s">
        <v>4733</v>
      </c>
      <c r="B67" s="605" t="s">
        <v>1961</v>
      </c>
      <c r="C67" s="605" t="s">
        <v>4666</v>
      </c>
      <c r="D67" s="605">
        <v>365.0</v>
      </c>
      <c r="E67" s="605"/>
      <c r="F67" s="605"/>
    </row>
    <row r="68" ht="15.75" customHeight="1">
      <c r="A68" s="605" t="s">
        <v>4734</v>
      </c>
      <c r="B68" s="605" t="s">
        <v>4669</v>
      </c>
      <c r="C68" s="605" t="s">
        <v>4666</v>
      </c>
      <c r="D68" s="605">
        <v>1.0</v>
      </c>
      <c r="E68" s="605"/>
      <c r="F68" s="605"/>
    </row>
    <row r="69" ht="15.75" customHeight="1">
      <c r="A69" s="605" t="s">
        <v>4735</v>
      </c>
      <c r="B69" s="605" t="s">
        <v>4669</v>
      </c>
      <c r="C69" s="605" t="s">
        <v>4666</v>
      </c>
      <c r="D69" s="605">
        <v>1.0</v>
      </c>
      <c r="E69" s="605" t="s">
        <v>4667</v>
      </c>
      <c r="F69" s="605">
        <v>18.0</v>
      </c>
    </row>
    <row r="70" ht="15.75" customHeight="1">
      <c r="A70" s="605" t="s">
        <v>4736</v>
      </c>
      <c r="B70" s="605" t="s">
        <v>4669</v>
      </c>
      <c r="C70" s="605" t="s">
        <v>4666</v>
      </c>
      <c r="D70" s="605">
        <v>20.0</v>
      </c>
      <c r="E70" s="605"/>
      <c r="F70" s="605"/>
    </row>
    <row r="71" ht="15.75" customHeight="1">
      <c r="A71" s="605" t="s">
        <v>4737</v>
      </c>
      <c r="B71" s="605" t="s">
        <v>4669</v>
      </c>
      <c r="C71" s="605" t="s">
        <v>4666</v>
      </c>
      <c r="D71" s="605">
        <v>21.0</v>
      </c>
      <c r="E71" s="605"/>
      <c r="F71" s="605"/>
    </row>
    <row r="72" ht="15.75" customHeight="1">
      <c r="A72" s="605" t="s">
        <v>4738</v>
      </c>
      <c r="B72" s="605" t="s">
        <v>4669</v>
      </c>
      <c r="C72" s="605" t="s">
        <v>4666</v>
      </c>
      <c r="D72" s="605">
        <v>22.0</v>
      </c>
      <c r="E72" s="605"/>
      <c r="F72" s="605"/>
    </row>
    <row r="73" ht="15.75" customHeight="1">
      <c r="A73" s="605" t="s">
        <v>4739</v>
      </c>
      <c r="B73" s="605" t="s">
        <v>1961</v>
      </c>
      <c r="C73" s="605" t="s">
        <v>4666</v>
      </c>
      <c r="D73" s="605">
        <v>690.0</v>
      </c>
      <c r="E73" s="605"/>
      <c r="F73" s="605"/>
    </row>
    <row r="74" ht="15.75" customHeight="1">
      <c r="A74" s="605" t="s">
        <v>4740</v>
      </c>
      <c r="B74" s="605" t="s">
        <v>4669</v>
      </c>
      <c r="C74" s="605" t="s">
        <v>4666</v>
      </c>
      <c r="D74" s="605">
        <v>23.0</v>
      </c>
      <c r="E74" s="605"/>
      <c r="F74" s="605"/>
    </row>
    <row r="75" ht="15.75" customHeight="1">
      <c r="A75" s="605" t="s">
        <v>4741</v>
      </c>
      <c r="B75" s="605" t="s">
        <v>1961</v>
      </c>
      <c r="C75" s="605" t="s">
        <v>4666</v>
      </c>
      <c r="D75" s="605">
        <v>240.0</v>
      </c>
      <c r="E75" s="605"/>
      <c r="F75" s="605"/>
    </row>
    <row r="76" ht="15.75" customHeight="1">
      <c r="A76" s="605" t="s">
        <v>4742</v>
      </c>
      <c r="B76" s="605" t="s">
        <v>1961</v>
      </c>
      <c r="C76" s="605" t="s">
        <v>4666</v>
      </c>
      <c r="D76" s="605">
        <v>730.0</v>
      </c>
      <c r="E76" s="605"/>
      <c r="F76" s="605"/>
    </row>
    <row r="77" ht="15.75" customHeight="1">
      <c r="A77" s="605" t="s">
        <v>4743</v>
      </c>
      <c r="B77" s="605" t="s">
        <v>4669</v>
      </c>
      <c r="C77" s="605" t="s">
        <v>4666</v>
      </c>
      <c r="D77" s="605">
        <v>24.0</v>
      </c>
      <c r="E77" s="605"/>
      <c r="F77" s="605"/>
    </row>
    <row r="78" ht="15.75" customHeight="1">
      <c r="A78" s="605" t="s">
        <v>4744</v>
      </c>
      <c r="B78" s="605" t="s">
        <v>4669</v>
      </c>
      <c r="C78" s="605" t="s">
        <v>4666</v>
      </c>
      <c r="D78" s="605">
        <v>25.0</v>
      </c>
      <c r="E78" s="605"/>
      <c r="F78" s="605"/>
    </row>
    <row r="79" ht="15.75" customHeight="1">
      <c r="A79" s="605" t="s">
        <v>4745</v>
      </c>
      <c r="B79" s="605" t="s">
        <v>4669</v>
      </c>
      <c r="C79" s="605" t="s">
        <v>4666</v>
      </c>
      <c r="D79" s="605">
        <v>26.0</v>
      </c>
      <c r="E79" s="605"/>
      <c r="F79" s="605"/>
    </row>
    <row r="80" ht="15.75" customHeight="1">
      <c r="A80" s="605" t="s">
        <v>4746</v>
      </c>
      <c r="B80" s="605" t="s">
        <v>1961</v>
      </c>
      <c r="C80" s="605" t="s">
        <v>4666</v>
      </c>
      <c r="D80" s="605">
        <v>27.0</v>
      </c>
      <c r="E80" s="605"/>
      <c r="F80" s="605"/>
    </row>
    <row r="81" ht="15.75" customHeight="1">
      <c r="A81" s="605" t="s">
        <v>4747</v>
      </c>
      <c r="B81" s="605" t="s">
        <v>4669</v>
      </c>
      <c r="C81" s="605" t="s">
        <v>4666</v>
      </c>
      <c r="D81" s="605">
        <v>27.0</v>
      </c>
      <c r="E81" s="605"/>
      <c r="F81" s="605"/>
    </row>
    <row r="82" ht="15.75" customHeight="1">
      <c r="A82" s="605" t="s">
        <v>4748</v>
      </c>
      <c r="B82" s="605" t="s">
        <v>1961</v>
      </c>
      <c r="C82" s="605" t="s">
        <v>4666</v>
      </c>
      <c r="D82" s="605">
        <v>28.0</v>
      </c>
      <c r="E82" s="605"/>
      <c r="F82" s="605"/>
    </row>
    <row r="83" ht="15.75" customHeight="1">
      <c r="A83" s="605" t="s">
        <v>4749</v>
      </c>
      <c r="B83" s="605" t="s">
        <v>1961</v>
      </c>
      <c r="C83" s="605" t="s">
        <v>4666</v>
      </c>
      <c r="D83" s="605">
        <v>29.0</v>
      </c>
      <c r="E83" s="605"/>
      <c r="F83" s="605"/>
    </row>
    <row r="84" ht="15.75" customHeight="1">
      <c r="A84" s="605" t="s">
        <v>4750</v>
      </c>
      <c r="B84" s="605" t="s">
        <v>4669</v>
      </c>
      <c r="C84" s="605" t="s">
        <v>4666</v>
      </c>
      <c r="D84" s="605">
        <v>29.0</v>
      </c>
      <c r="E84" s="605"/>
      <c r="F84" s="605"/>
    </row>
    <row r="85" ht="15.75" customHeight="1">
      <c r="A85" s="605" t="s">
        <v>4751</v>
      </c>
      <c r="B85" s="605" t="s">
        <v>1961</v>
      </c>
      <c r="C85" s="605" t="s">
        <v>4666</v>
      </c>
      <c r="D85" s="605">
        <v>2.0</v>
      </c>
      <c r="E85" s="605"/>
      <c r="F85" s="605"/>
    </row>
    <row r="86" ht="15.75" customHeight="1">
      <c r="A86" s="605" t="s">
        <v>4752</v>
      </c>
      <c r="B86" s="605" t="s">
        <v>4669</v>
      </c>
      <c r="C86" s="605" t="s">
        <v>4666</v>
      </c>
      <c r="D86" s="605">
        <v>2.0</v>
      </c>
      <c r="E86" s="605"/>
      <c r="F86" s="605"/>
    </row>
    <row r="87" ht="15.75" customHeight="1">
      <c r="A87" s="605" t="s">
        <v>4753</v>
      </c>
      <c r="B87" s="605" t="s">
        <v>4669</v>
      </c>
      <c r="C87" s="605" t="s">
        <v>4666</v>
      </c>
      <c r="D87" s="605">
        <v>2.0</v>
      </c>
      <c r="E87" s="605" t="s">
        <v>4667</v>
      </c>
      <c r="F87" s="605">
        <v>21.0</v>
      </c>
    </row>
    <row r="88" ht="15.75" customHeight="1">
      <c r="A88" s="605" t="s">
        <v>4754</v>
      </c>
      <c r="B88" s="605" t="s">
        <v>4669</v>
      </c>
      <c r="C88" s="605" t="s">
        <v>4666</v>
      </c>
      <c r="D88" s="605">
        <v>34.0</v>
      </c>
      <c r="E88" s="605"/>
      <c r="F88" s="605"/>
    </row>
    <row r="89" ht="15.75" customHeight="1">
      <c r="A89" s="605" t="s">
        <v>4755</v>
      </c>
      <c r="B89" s="605" t="s">
        <v>1961</v>
      </c>
      <c r="C89" s="605" t="s">
        <v>4666</v>
      </c>
      <c r="D89" s="605">
        <v>1050.0</v>
      </c>
      <c r="E89" s="605"/>
      <c r="F89" s="605"/>
    </row>
    <row r="90" ht="15.75" customHeight="1">
      <c r="A90" s="605" t="s">
        <v>4756</v>
      </c>
      <c r="B90" s="605" t="s">
        <v>4669</v>
      </c>
      <c r="C90" s="605" t="s">
        <v>4666</v>
      </c>
      <c r="D90" s="605">
        <v>35.0</v>
      </c>
      <c r="E90" s="605"/>
      <c r="F90" s="605"/>
    </row>
    <row r="91" ht="15.75" customHeight="1">
      <c r="A91" s="605" t="s">
        <v>4757</v>
      </c>
      <c r="B91" s="605" t="s">
        <v>1961</v>
      </c>
      <c r="C91" s="605" t="s">
        <v>4666</v>
      </c>
      <c r="D91" s="605">
        <v>364.0</v>
      </c>
      <c r="E91" s="605"/>
      <c r="F91" s="605"/>
    </row>
    <row r="92" ht="15.75" customHeight="1">
      <c r="A92" s="605" t="s">
        <v>4758</v>
      </c>
      <c r="B92" s="605" t="s">
        <v>1961</v>
      </c>
      <c r="C92" s="605" t="s">
        <v>4666</v>
      </c>
      <c r="D92" s="605">
        <v>365.0</v>
      </c>
      <c r="E92" s="605"/>
      <c r="F92" s="605"/>
    </row>
    <row r="93" ht="15.75" customHeight="1">
      <c r="A93" s="605" t="s">
        <v>4759</v>
      </c>
      <c r="B93" s="605" t="s">
        <v>4669</v>
      </c>
      <c r="C93" s="605" t="s">
        <v>4666</v>
      </c>
      <c r="D93" s="605">
        <v>37.0</v>
      </c>
      <c r="E93" s="605"/>
      <c r="F93" s="605"/>
    </row>
    <row r="94" ht="15.75" customHeight="1">
      <c r="A94" s="605" t="s">
        <v>4760</v>
      </c>
      <c r="B94" s="605" t="s">
        <v>4669</v>
      </c>
      <c r="C94" s="605" t="s">
        <v>4666</v>
      </c>
      <c r="D94" s="605">
        <v>39.0</v>
      </c>
      <c r="E94" s="605"/>
      <c r="F94" s="605"/>
    </row>
    <row r="95" ht="15.75" customHeight="1">
      <c r="A95" s="605" t="s">
        <v>4761</v>
      </c>
      <c r="B95" s="605" t="s">
        <v>1961</v>
      </c>
      <c r="C95" s="605" t="s">
        <v>4666</v>
      </c>
      <c r="D95" s="605">
        <v>3.0</v>
      </c>
      <c r="E95" s="605"/>
      <c r="F95" s="605"/>
    </row>
    <row r="96" ht="15.75" customHeight="1">
      <c r="A96" s="605" t="s">
        <v>4762</v>
      </c>
      <c r="B96" s="605" t="s">
        <v>1961</v>
      </c>
      <c r="C96" s="605" t="s">
        <v>4666</v>
      </c>
      <c r="D96" s="605">
        <v>90.0</v>
      </c>
      <c r="E96" s="605"/>
      <c r="F96" s="605"/>
    </row>
    <row r="97" ht="15.75" customHeight="1">
      <c r="A97" s="605" t="s">
        <v>4763</v>
      </c>
      <c r="B97" s="605" t="s">
        <v>4669</v>
      </c>
      <c r="C97" s="605" t="s">
        <v>4666</v>
      </c>
      <c r="D97" s="605">
        <v>3.0</v>
      </c>
      <c r="E97" s="605"/>
      <c r="F97" s="605"/>
    </row>
    <row r="98" ht="15.75" customHeight="1">
      <c r="A98" s="605" t="s">
        <v>4764</v>
      </c>
      <c r="B98" s="605" t="s">
        <v>4669</v>
      </c>
      <c r="C98" s="605" t="s">
        <v>4666</v>
      </c>
      <c r="D98" s="605">
        <v>40.0</v>
      </c>
      <c r="E98" s="605"/>
      <c r="F98" s="605"/>
    </row>
    <row r="99" ht="15.75" customHeight="1">
      <c r="A99" s="605" t="s">
        <v>4765</v>
      </c>
      <c r="B99" s="605" t="s">
        <v>4669</v>
      </c>
      <c r="C99" s="605" t="s">
        <v>4666</v>
      </c>
      <c r="D99" s="605">
        <v>43.0</v>
      </c>
      <c r="E99" s="605"/>
      <c r="F99" s="605"/>
    </row>
    <row r="100" ht="15.75" customHeight="1">
      <c r="A100" s="605" t="s">
        <v>4766</v>
      </c>
      <c r="B100" s="605" t="s">
        <v>4669</v>
      </c>
      <c r="C100" s="605" t="s">
        <v>4666</v>
      </c>
      <c r="D100" s="605">
        <v>44.0</v>
      </c>
      <c r="E100" s="605"/>
      <c r="F100" s="605"/>
    </row>
    <row r="101" ht="15.75" customHeight="1">
      <c r="A101" s="605" t="s">
        <v>4767</v>
      </c>
      <c r="B101" s="605" t="s">
        <v>4669</v>
      </c>
      <c r="C101" s="605" t="s">
        <v>4666</v>
      </c>
      <c r="D101" s="605">
        <v>45.0</v>
      </c>
      <c r="E101" s="605"/>
      <c r="F101" s="605"/>
    </row>
    <row r="102" ht="15.75" customHeight="1">
      <c r="A102" s="605" t="s">
        <v>4768</v>
      </c>
      <c r="B102" s="605" t="s">
        <v>4669</v>
      </c>
      <c r="C102" s="605" t="s">
        <v>4666</v>
      </c>
      <c r="D102" s="605">
        <v>46.0</v>
      </c>
      <c r="E102" s="605"/>
      <c r="F102" s="605"/>
    </row>
    <row r="103" ht="15.75" customHeight="1">
      <c r="A103" s="605" t="s">
        <v>4769</v>
      </c>
      <c r="B103" s="605" t="s">
        <v>4669</v>
      </c>
      <c r="C103" s="605" t="s">
        <v>4666</v>
      </c>
      <c r="D103" s="605">
        <v>49.0</v>
      </c>
      <c r="E103" s="605"/>
      <c r="F103" s="605"/>
    </row>
    <row r="104" ht="15.75" customHeight="1">
      <c r="A104" s="605" t="s">
        <v>4770</v>
      </c>
      <c r="B104" s="605" t="s">
        <v>4669</v>
      </c>
      <c r="C104" s="605" t="s">
        <v>4666</v>
      </c>
      <c r="D104" s="605">
        <v>4.0</v>
      </c>
      <c r="E104" s="605"/>
      <c r="F104" s="605"/>
    </row>
    <row r="105" ht="15.75" customHeight="1">
      <c r="A105" s="605" t="s">
        <v>4771</v>
      </c>
      <c r="B105" s="605" t="s">
        <v>4669</v>
      </c>
      <c r="C105" s="605" t="s">
        <v>4666</v>
      </c>
      <c r="D105" s="605">
        <v>50.0</v>
      </c>
      <c r="E105" s="605"/>
      <c r="F105" s="605"/>
    </row>
    <row r="106" ht="15.75" customHeight="1">
      <c r="A106" s="605" t="s">
        <v>4772</v>
      </c>
      <c r="B106" s="605" t="s">
        <v>4669</v>
      </c>
      <c r="C106" s="605" t="s">
        <v>4666</v>
      </c>
      <c r="D106" s="605">
        <v>51.0</v>
      </c>
      <c r="E106" s="605"/>
      <c r="F106" s="605"/>
    </row>
    <row r="107" ht="15.75" customHeight="1">
      <c r="A107" s="605" t="s">
        <v>4773</v>
      </c>
      <c r="B107" s="605" t="s">
        <v>4669</v>
      </c>
      <c r="C107" s="605" t="s">
        <v>4666</v>
      </c>
      <c r="D107" s="605">
        <v>54.0</v>
      </c>
      <c r="E107" s="605"/>
      <c r="F107" s="605"/>
    </row>
    <row r="108" ht="15.75" customHeight="1">
      <c r="A108" s="605" t="s">
        <v>4774</v>
      </c>
      <c r="B108" s="605" t="s">
        <v>4669</v>
      </c>
      <c r="C108" s="605" t="s">
        <v>4666</v>
      </c>
      <c r="D108" s="605">
        <v>55.0</v>
      </c>
      <c r="E108" s="605"/>
      <c r="F108" s="605"/>
    </row>
    <row r="109" ht="15.75" customHeight="1">
      <c r="A109" s="605" t="s">
        <v>4775</v>
      </c>
      <c r="B109" s="605" t="s">
        <v>4669</v>
      </c>
      <c r="C109" s="605" t="s">
        <v>4666</v>
      </c>
      <c r="D109" s="605">
        <v>58.0</v>
      </c>
      <c r="E109" s="605"/>
      <c r="F109" s="605"/>
    </row>
    <row r="110" ht="15.75" customHeight="1">
      <c r="A110" s="605" t="s">
        <v>4776</v>
      </c>
      <c r="B110" s="605" t="s">
        <v>1961</v>
      </c>
      <c r="C110" s="605" t="s">
        <v>4666</v>
      </c>
      <c r="D110" s="605">
        <v>1790.0</v>
      </c>
      <c r="E110" s="605"/>
      <c r="F110" s="605"/>
    </row>
    <row r="111" ht="15.75" customHeight="1">
      <c r="A111" s="605" t="s">
        <v>4777</v>
      </c>
      <c r="B111" s="605" t="s">
        <v>4669</v>
      </c>
      <c r="C111" s="605" t="s">
        <v>4666</v>
      </c>
      <c r="D111" s="605">
        <v>59.0</v>
      </c>
      <c r="E111" s="605"/>
      <c r="F111" s="605"/>
    </row>
    <row r="112" ht="15.75" customHeight="1">
      <c r="A112" s="605" t="s">
        <v>4778</v>
      </c>
      <c r="B112" s="605" t="s">
        <v>1961</v>
      </c>
      <c r="C112" s="605" t="s">
        <v>4666</v>
      </c>
      <c r="D112" s="605">
        <v>150.0</v>
      </c>
      <c r="E112" s="605"/>
      <c r="F112" s="605"/>
    </row>
    <row r="113" ht="15.75" customHeight="1">
      <c r="A113" s="605" t="s">
        <v>4779</v>
      </c>
      <c r="B113" s="605" t="s">
        <v>4669</v>
      </c>
      <c r="C113" s="605" t="s">
        <v>4666</v>
      </c>
      <c r="D113" s="605">
        <v>5.0</v>
      </c>
      <c r="E113" s="605"/>
      <c r="F113" s="605"/>
    </row>
    <row r="114" ht="15.75" customHeight="1">
      <c r="A114" s="605" t="s">
        <v>4780</v>
      </c>
      <c r="B114" s="605" t="s">
        <v>1961</v>
      </c>
      <c r="C114" s="605" t="s">
        <v>4666</v>
      </c>
      <c r="D114" s="605">
        <v>1800.0</v>
      </c>
      <c r="E114" s="605"/>
      <c r="F114" s="605"/>
    </row>
    <row r="115" ht="15.75" customHeight="1">
      <c r="A115" s="605" t="s">
        <v>4781</v>
      </c>
      <c r="B115" s="605" t="s">
        <v>4669</v>
      </c>
      <c r="C115" s="605" t="s">
        <v>4666</v>
      </c>
      <c r="D115" s="605">
        <v>60.0</v>
      </c>
      <c r="E115" s="605"/>
      <c r="F115" s="605"/>
    </row>
    <row r="116" ht="15.75" customHeight="1">
      <c r="A116" s="605" t="s">
        <v>4782</v>
      </c>
      <c r="B116" s="605" t="s">
        <v>4669</v>
      </c>
      <c r="C116" s="605" t="s">
        <v>4666</v>
      </c>
      <c r="D116" s="605">
        <v>61.0</v>
      </c>
      <c r="E116" s="605"/>
      <c r="F116" s="605"/>
    </row>
    <row r="117" ht="15.75" customHeight="1">
      <c r="A117" s="605" t="s">
        <v>4783</v>
      </c>
      <c r="B117" s="605" t="s">
        <v>4669</v>
      </c>
      <c r="C117" s="605" t="s">
        <v>4666</v>
      </c>
      <c r="D117" s="605">
        <v>63.0</v>
      </c>
      <c r="E117" s="605"/>
      <c r="F117" s="605"/>
    </row>
    <row r="118" ht="15.75" customHeight="1">
      <c r="A118" s="605" t="s">
        <v>4784</v>
      </c>
      <c r="B118" s="605" t="s">
        <v>4669</v>
      </c>
      <c r="C118" s="605" t="s">
        <v>4666</v>
      </c>
      <c r="D118" s="605">
        <v>64.0</v>
      </c>
      <c r="E118" s="605"/>
      <c r="F118" s="605"/>
    </row>
    <row r="119" ht="15.75" customHeight="1">
      <c r="A119" s="605" t="s">
        <v>4785</v>
      </c>
      <c r="B119" s="605" t="s">
        <v>4669</v>
      </c>
      <c r="C119" s="605" t="s">
        <v>4666</v>
      </c>
      <c r="D119" s="605">
        <v>65.0</v>
      </c>
      <c r="E119" s="605"/>
      <c r="F119" s="605"/>
    </row>
    <row r="120" ht="15.75" customHeight="1">
      <c r="A120" s="605" t="s">
        <v>4786</v>
      </c>
      <c r="B120" s="605" t="s">
        <v>4669</v>
      </c>
      <c r="C120" s="605" t="s">
        <v>4666</v>
      </c>
      <c r="D120" s="605">
        <v>69.0</v>
      </c>
      <c r="E120" s="605"/>
      <c r="F120" s="605"/>
    </row>
    <row r="121" ht="15.75" customHeight="1">
      <c r="A121" s="605" t="s">
        <v>4787</v>
      </c>
      <c r="B121" s="605" t="s">
        <v>1961</v>
      </c>
      <c r="C121" s="605" t="s">
        <v>4666</v>
      </c>
      <c r="D121" s="605">
        <v>180.0</v>
      </c>
      <c r="E121" s="605"/>
      <c r="F121" s="605"/>
    </row>
    <row r="122" ht="15.75" customHeight="1">
      <c r="A122" s="605" t="s">
        <v>4788</v>
      </c>
      <c r="B122" s="605" t="s">
        <v>4669</v>
      </c>
      <c r="C122" s="605" t="s">
        <v>4666</v>
      </c>
      <c r="D122" s="605">
        <v>6.0</v>
      </c>
      <c r="E122" s="605"/>
      <c r="F122" s="605"/>
    </row>
    <row r="123" ht="15.75" customHeight="1">
      <c r="A123" s="605" t="s">
        <v>4789</v>
      </c>
      <c r="B123" s="605" t="s">
        <v>4669</v>
      </c>
      <c r="C123" s="605" t="s">
        <v>4666</v>
      </c>
      <c r="D123" s="605">
        <v>70.0</v>
      </c>
      <c r="E123" s="605"/>
      <c r="F123" s="605"/>
    </row>
    <row r="124" ht="15.75" customHeight="1">
      <c r="A124" s="605" t="s">
        <v>4790</v>
      </c>
      <c r="B124" s="605" t="s">
        <v>1961</v>
      </c>
      <c r="C124" s="605" t="s">
        <v>4666</v>
      </c>
      <c r="D124" s="605">
        <v>2155.0</v>
      </c>
      <c r="E124" s="605"/>
      <c r="F124" s="605"/>
    </row>
    <row r="125" ht="15.75" customHeight="1">
      <c r="A125" s="605" t="s">
        <v>4791</v>
      </c>
      <c r="B125" s="605" t="s">
        <v>1961</v>
      </c>
      <c r="C125" s="605" t="s">
        <v>4666</v>
      </c>
      <c r="D125" s="605">
        <v>729.0</v>
      </c>
      <c r="E125" s="605"/>
      <c r="F125" s="605"/>
    </row>
    <row r="126" ht="15.75" customHeight="1">
      <c r="A126" s="605" t="s">
        <v>4792</v>
      </c>
      <c r="B126" s="605" t="s">
        <v>4669</v>
      </c>
      <c r="C126" s="605" t="s">
        <v>4666</v>
      </c>
      <c r="D126" s="605">
        <v>74.0</v>
      </c>
      <c r="E126" s="605"/>
      <c r="F126" s="605"/>
    </row>
    <row r="127" ht="15.75" customHeight="1">
      <c r="A127" s="605" t="s">
        <v>4793</v>
      </c>
      <c r="B127" s="605" t="s">
        <v>4669</v>
      </c>
      <c r="C127" s="605" t="s">
        <v>4666</v>
      </c>
      <c r="D127" s="605">
        <v>75.0</v>
      </c>
      <c r="E127" s="605"/>
      <c r="F127" s="605"/>
    </row>
    <row r="128" ht="15.75" customHeight="1">
      <c r="A128" s="605" t="s">
        <v>4794</v>
      </c>
      <c r="B128" s="605" t="s">
        <v>4669</v>
      </c>
      <c r="C128" s="605" t="s">
        <v>4666</v>
      </c>
      <c r="D128" s="605">
        <v>77.0</v>
      </c>
      <c r="E128" s="605"/>
      <c r="F128" s="605"/>
    </row>
    <row r="129" ht="15.75" customHeight="1">
      <c r="A129" s="605" t="s">
        <v>4795</v>
      </c>
      <c r="B129" s="605" t="s">
        <v>4669</v>
      </c>
      <c r="C129" s="605" t="s">
        <v>4666</v>
      </c>
      <c r="D129" s="605">
        <v>7.0</v>
      </c>
      <c r="E129" s="605"/>
      <c r="F129" s="605"/>
    </row>
    <row r="130" ht="15.75" customHeight="1">
      <c r="A130" s="605" t="s">
        <v>4796</v>
      </c>
      <c r="B130" s="605" t="s">
        <v>4669</v>
      </c>
      <c r="C130" s="605" t="s">
        <v>4666</v>
      </c>
      <c r="D130" s="605">
        <v>80.0</v>
      </c>
      <c r="E130" s="605"/>
      <c r="F130" s="605"/>
    </row>
    <row r="131" ht="15.75" customHeight="1">
      <c r="A131" s="605" t="s">
        <v>4797</v>
      </c>
      <c r="B131" s="605" t="s">
        <v>4669</v>
      </c>
      <c r="C131" s="605" t="s">
        <v>4666</v>
      </c>
      <c r="D131" s="605">
        <v>85.0</v>
      </c>
      <c r="E131" s="605"/>
      <c r="F131" s="605"/>
    </row>
    <row r="132" ht="15.75" customHeight="1">
      <c r="A132" s="605" t="s">
        <v>4798</v>
      </c>
      <c r="B132" s="605" t="s">
        <v>4669</v>
      </c>
      <c r="C132" s="605" t="s">
        <v>4666</v>
      </c>
      <c r="D132" s="605">
        <v>86.0</v>
      </c>
      <c r="E132" s="605"/>
      <c r="F132" s="605"/>
    </row>
    <row r="133" ht="15.75" customHeight="1">
      <c r="A133" s="605" t="s">
        <v>4799</v>
      </c>
      <c r="B133" s="605" t="s">
        <v>4669</v>
      </c>
      <c r="C133" s="605" t="s">
        <v>4666</v>
      </c>
      <c r="D133" s="605">
        <v>8.0</v>
      </c>
      <c r="E133" s="605"/>
      <c r="F133" s="605"/>
    </row>
    <row r="134" ht="15.75" customHeight="1">
      <c r="A134" s="605" t="s">
        <v>4800</v>
      </c>
      <c r="B134" s="605" t="s">
        <v>4669</v>
      </c>
      <c r="C134" s="605" t="s">
        <v>4666</v>
      </c>
      <c r="D134" s="605">
        <v>999.0</v>
      </c>
      <c r="E134" s="605"/>
      <c r="F134" s="605"/>
    </row>
    <row r="135" ht="15.75" customHeight="1">
      <c r="A135" s="605" t="s">
        <v>4801</v>
      </c>
      <c r="B135" s="605" t="s">
        <v>4669</v>
      </c>
      <c r="C135" s="605" t="s">
        <v>4666</v>
      </c>
      <c r="D135" s="605">
        <v>99.0</v>
      </c>
      <c r="E135" s="605"/>
      <c r="F135" s="605"/>
    </row>
    <row r="136" ht="15.75" customHeight="1">
      <c r="A136" s="605" t="s">
        <v>4802</v>
      </c>
      <c r="B136" s="605" t="s">
        <v>4669</v>
      </c>
      <c r="C136" s="605" t="s">
        <v>4666</v>
      </c>
      <c r="D136" s="605">
        <v>9.0</v>
      </c>
      <c r="E136" s="605"/>
      <c r="F136" s="605"/>
    </row>
    <row r="137" ht="15.75" customHeight="1">
      <c r="A137" s="605" t="s">
        <v>4803</v>
      </c>
      <c r="B137" s="605" t="s">
        <v>4669</v>
      </c>
      <c r="C137" s="605" t="s">
        <v>4667</v>
      </c>
      <c r="D137" s="605">
        <v>10.0</v>
      </c>
      <c r="E137" s="605"/>
      <c r="F137" s="605"/>
    </row>
    <row r="138" ht="15.75" customHeight="1">
      <c r="A138" s="605" t="s">
        <v>4804</v>
      </c>
      <c r="B138" s="605" t="s">
        <v>4669</v>
      </c>
      <c r="C138" s="605" t="s">
        <v>4667</v>
      </c>
      <c r="D138" s="605">
        <v>11.0</v>
      </c>
      <c r="E138" s="605"/>
      <c r="F138" s="605"/>
    </row>
    <row r="139" ht="15.75" customHeight="1">
      <c r="A139" s="605" t="s">
        <v>4805</v>
      </c>
      <c r="B139" s="605" t="s">
        <v>1961</v>
      </c>
      <c r="C139" s="605" t="s">
        <v>4667</v>
      </c>
      <c r="D139" s="605">
        <v>365.0</v>
      </c>
      <c r="E139" s="605"/>
      <c r="F139" s="605"/>
    </row>
    <row r="140" ht="15.75" customHeight="1">
      <c r="A140" s="605" t="s">
        <v>4806</v>
      </c>
      <c r="B140" s="605" t="s">
        <v>4669</v>
      </c>
      <c r="C140" s="605" t="s">
        <v>4667</v>
      </c>
      <c r="D140" s="605">
        <v>12.0</v>
      </c>
      <c r="E140" s="605"/>
      <c r="F140" s="605"/>
    </row>
    <row r="141" ht="15.75" customHeight="1">
      <c r="A141" s="605" t="s">
        <v>4807</v>
      </c>
      <c r="B141" s="605" t="s">
        <v>4669</v>
      </c>
      <c r="C141" s="605" t="s">
        <v>4667</v>
      </c>
      <c r="D141" s="605">
        <v>13.0</v>
      </c>
      <c r="E141" s="605"/>
      <c r="F141" s="605"/>
    </row>
    <row r="142" ht="15.75" customHeight="1">
      <c r="A142" s="605" t="s">
        <v>4808</v>
      </c>
      <c r="B142" s="605" t="s">
        <v>4669</v>
      </c>
      <c r="C142" s="605" t="s">
        <v>4667</v>
      </c>
      <c r="D142" s="605">
        <v>14.0</v>
      </c>
      <c r="E142" s="605"/>
      <c r="F142" s="605"/>
    </row>
    <row r="143" ht="15.75" customHeight="1">
      <c r="A143" s="605" t="s">
        <v>4809</v>
      </c>
      <c r="B143" s="605" t="s">
        <v>4669</v>
      </c>
      <c r="C143" s="605" t="s">
        <v>4667</v>
      </c>
      <c r="D143" s="605">
        <v>15.0</v>
      </c>
      <c r="E143" s="605"/>
      <c r="F143" s="605"/>
    </row>
    <row r="144" ht="15.75" customHeight="1">
      <c r="A144" s="605" t="s">
        <v>4810</v>
      </c>
      <c r="B144" s="605" t="s">
        <v>4669</v>
      </c>
      <c r="C144" s="605" t="s">
        <v>4667</v>
      </c>
      <c r="D144" s="605">
        <v>16.0</v>
      </c>
      <c r="E144" s="605"/>
      <c r="F144" s="605"/>
    </row>
    <row r="145" ht="15.75" customHeight="1">
      <c r="A145" s="605" t="s">
        <v>4811</v>
      </c>
      <c r="B145" s="605" t="s">
        <v>4669</v>
      </c>
      <c r="C145" s="605" t="s">
        <v>4667</v>
      </c>
      <c r="D145" s="605">
        <v>17.0</v>
      </c>
      <c r="E145" s="605"/>
      <c r="F145" s="605"/>
    </row>
    <row r="146" ht="15.75" customHeight="1">
      <c r="A146" s="605" t="s">
        <v>4812</v>
      </c>
      <c r="B146" s="605" t="s">
        <v>1961</v>
      </c>
      <c r="C146" s="605" t="s">
        <v>4667</v>
      </c>
      <c r="D146" s="605">
        <v>180.0</v>
      </c>
      <c r="E146" s="605"/>
      <c r="F146" s="605"/>
    </row>
    <row r="147" ht="15.75" customHeight="1">
      <c r="A147" s="605" t="s">
        <v>4813</v>
      </c>
      <c r="B147" s="605" t="s">
        <v>1961</v>
      </c>
      <c r="C147" s="605" t="s">
        <v>4667</v>
      </c>
      <c r="D147" s="605">
        <v>181.0</v>
      </c>
      <c r="E147" s="605"/>
      <c r="F147" s="605"/>
    </row>
    <row r="148" ht="15.75" customHeight="1">
      <c r="A148" s="605" t="s">
        <v>4814</v>
      </c>
      <c r="B148" s="605" t="s">
        <v>4669</v>
      </c>
      <c r="C148" s="605" t="s">
        <v>4667</v>
      </c>
      <c r="D148" s="605">
        <v>18.0</v>
      </c>
      <c r="E148" s="605"/>
      <c r="F148" s="605"/>
    </row>
    <row r="149" ht="15.75" customHeight="1">
      <c r="A149" s="605" t="s">
        <v>4815</v>
      </c>
      <c r="B149" s="605" t="s">
        <v>4669</v>
      </c>
      <c r="C149" s="605" t="s">
        <v>4667</v>
      </c>
      <c r="D149" s="605">
        <v>19.0</v>
      </c>
      <c r="E149" s="605"/>
      <c r="F149" s="605"/>
    </row>
    <row r="150" ht="15.75" customHeight="1">
      <c r="A150" s="605" t="s">
        <v>4816</v>
      </c>
      <c r="B150" s="605" t="s">
        <v>4669</v>
      </c>
      <c r="C150" s="605" t="s">
        <v>4667</v>
      </c>
      <c r="D150" s="605">
        <v>1.0</v>
      </c>
      <c r="E150" s="605"/>
      <c r="F150" s="605"/>
    </row>
    <row r="151" ht="15.75" customHeight="1">
      <c r="A151" s="605" t="s">
        <v>4817</v>
      </c>
      <c r="B151" s="605" t="s">
        <v>4669</v>
      </c>
      <c r="C151" s="605" t="s">
        <v>4667</v>
      </c>
      <c r="D151" s="605">
        <v>20.0</v>
      </c>
      <c r="E151" s="605"/>
      <c r="F151" s="605"/>
    </row>
    <row r="152" ht="15.75" customHeight="1">
      <c r="A152" s="605" t="s">
        <v>4818</v>
      </c>
      <c r="B152" s="605" t="s">
        <v>4669</v>
      </c>
      <c r="C152" s="605" t="s">
        <v>4667</v>
      </c>
      <c r="D152" s="605">
        <v>21.0</v>
      </c>
      <c r="E152" s="605"/>
      <c r="F152" s="605"/>
    </row>
    <row r="153" ht="15.75" customHeight="1">
      <c r="A153" s="605" t="s">
        <v>4819</v>
      </c>
      <c r="B153" s="605" t="s">
        <v>4669</v>
      </c>
      <c r="C153" s="605" t="s">
        <v>4667</v>
      </c>
      <c r="D153" s="605">
        <v>21.0</v>
      </c>
      <c r="E153" s="605" t="s">
        <v>4666</v>
      </c>
      <c r="F153" s="605">
        <v>39.0</v>
      </c>
    </row>
    <row r="154" ht="15.75" customHeight="1">
      <c r="A154" s="605" t="s">
        <v>4820</v>
      </c>
      <c r="B154" s="605" t="s">
        <v>4669</v>
      </c>
      <c r="C154" s="605" t="s">
        <v>4667</v>
      </c>
      <c r="D154" s="605">
        <v>21.0</v>
      </c>
      <c r="E154" s="605" t="s">
        <v>4666</v>
      </c>
      <c r="F154" s="605">
        <v>26.0</v>
      </c>
    </row>
    <row r="155" ht="15.75" customHeight="1">
      <c r="A155" s="605" t="s">
        <v>4821</v>
      </c>
      <c r="B155" s="605" t="s">
        <v>4669</v>
      </c>
      <c r="C155" s="605" t="s">
        <v>4667</v>
      </c>
      <c r="D155" s="605">
        <v>21.0</v>
      </c>
      <c r="E155" s="605" t="s">
        <v>4666</v>
      </c>
      <c r="F155" s="605">
        <v>45.0</v>
      </c>
    </row>
    <row r="156" ht="15.75" customHeight="1">
      <c r="A156" s="605" t="s">
        <v>4822</v>
      </c>
      <c r="B156" s="605" t="s">
        <v>4669</v>
      </c>
      <c r="C156" s="605" t="s">
        <v>4667</v>
      </c>
      <c r="D156" s="605">
        <v>22.0</v>
      </c>
      <c r="E156" s="605"/>
      <c r="F156" s="605"/>
    </row>
    <row r="157" ht="15.75" customHeight="1">
      <c r="A157" s="605" t="s">
        <v>4823</v>
      </c>
      <c r="B157" s="605" t="s">
        <v>4669</v>
      </c>
      <c r="C157" s="605" t="s">
        <v>4667</v>
      </c>
      <c r="D157" s="605">
        <v>25.0</v>
      </c>
      <c r="E157" s="605"/>
      <c r="F157" s="605"/>
    </row>
    <row r="158" ht="15.75" customHeight="1">
      <c r="A158" s="605" t="s">
        <v>4824</v>
      </c>
      <c r="B158" s="605" t="s">
        <v>4669</v>
      </c>
      <c r="C158" s="605" t="s">
        <v>4667</v>
      </c>
      <c r="D158" s="605">
        <v>26.0</v>
      </c>
      <c r="E158" s="605"/>
      <c r="F158" s="605"/>
    </row>
    <row r="159" ht="15.75" customHeight="1">
      <c r="A159" s="605" t="s">
        <v>4825</v>
      </c>
      <c r="B159" s="605" t="s">
        <v>1961</v>
      </c>
      <c r="C159" s="605" t="s">
        <v>4667</v>
      </c>
      <c r="D159" s="605">
        <v>28.0</v>
      </c>
      <c r="E159" s="605"/>
      <c r="F159" s="605"/>
    </row>
    <row r="160" ht="15.75" customHeight="1">
      <c r="A160" s="605" t="s">
        <v>4826</v>
      </c>
      <c r="B160" s="605" t="s">
        <v>4669</v>
      </c>
      <c r="C160" s="605" t="s">
        <v>4667</v>
      </c>
      <c r="D160" s="605">
        <v>28.0</v>
      </c>
      <c r="E160" s="605"/>
      <c r="F160" s="605"/>
    </row>
    <row r="161" ht="15.75" customHeight="1">
      <c r="A161" s="605" t="s">
        <v>4827</v>
      </c>
      <c r="B161" s="605" t="s">
        <v>1961</v>
      </c>
      <c r="C161" s="605" t="s">
        <v>4667</v>
      </c>
      <c r="D161" s="605">
        <v>29.0</v>
      </c>
      <c r="E161" s="605"/>
      <c r="F161" s="605"/>
    </row>
    <row r="162" ht="15.75" customHeight="1">
      <c r="A162" s="605" t="s">
        <v>4828</v>
      </c>
      <c r="B162" s="605" t="s">
        <v>1961</v>
      </c>
      <c r="C162" s="605" t="s">
        <v>4667</v>
      </c>
      <c r="D162" s="605">
        <v>2.0</v>
      </c>
      <c r="E162" s="605"/>
      <c r="F162" s="605"/>
    </row>
    <row r="163" ht="15.75" customHeight="1">
      <c r="A163" s="605" t="s">
        <v>4829</v>
      </c>
      <c r="B163" s="605" t="s">
        <v>4669</v>
      </c>
      <c r="C163" s="605" t="s">
        <v>4667</v>
      </c>
      <c r="D163" s="605">
        <v>2.0</v>
      </c>
      <c r="E163" s="605"/>
      <c r="F163" s="605"/>
    </row>
    <row r="164" ht="15.75" customHeight="1">
      <c r="A164" s="605" t="s">
        <v>4830</v>
      </c>
      <c r="B164" s="605" t="s">
        <v>4669</v>
      </c>
      <c r="C164" s="605" t="s">
        <v>4667</v>
      </c>
      <c r="D164" s="605">
        <v>30.0</v>
      </c>
      <c r="E164" s="605"/>
      <c r="F164" s="605"/>
    </row>
    <row r="165" ht="15.75" customHeight="1">
      <c r="A165" s="605" t="s">
        <v>4831</v>
      </c>
      <c r="B165" s="605" t="s">
        <v>1961</v>
      </c>
      <c r="C165" s="605" t="s">
        <v>4667</v>
      </c>
      <c r="D165" s="605">
        <v>330.0</v>
      </c>
      <c r="E165" s="605"/>
      <c r="F165" s="605"/>
    </row>
    <row r="166" ht="15.75" customHeight="1">
      <c r="A166" s="605" t="s">
        <v>4832</v>
      </c>
      <c r="B166" s="605" t="s">
        <v>4669</v>
      </c>
      <c r="C166" s="605" t="s">
        <v>4667</v>
      </c>
      <c r="D166" s="605">
        <v>35.0</v>
      </c>
      <c r="E166" s="605"/>
      <c r="F166" s="605"/>
    </row>
    <row r="167" ht="15.75" customHeight="1">
      <c r="A167" s="605" t="s">
        <v>4833</v>
      </c>
      <c r="B167" s="605" t="s">
        <v>1961</v>
      </c>
      <c r="C167" s="605" t="s">
        <v>4667</v>
      </c>
      <c r="D167" s="605">
        <v>1080.0</v>
      </c>
      <c r="E167" s="605"/>
      <c r="F167" s="605"/>
    </row>
    <row r="168" ht="15.75" customHeight="1">
      <c r="A168" s="605" t="s">
        <v>4834</v>
      </c>
      <c r="B168" s="605" t="s">
        <v>4669</v>
      </c>
      <c r="C168" s="605" t="s">
        <v>4667</v>
      </c>
      <c r="D168" s="605">
        <v>38.0</v>
      </c>
      <c r="E168" s="605"/>
      <c r="F168" s="605"/>
    </row>
    <row r="169" ht="15.75" customHeight="1">
      <c r="A169" s="605" t="s">
        <v>4835</v>
      </c>
      <c r="B169" s="605" t="s">
        <v>1961</v>
      </c>
      <c r="C169" s="605" t="s">
        <v>4667</v>
      </c>
      <c r="D169" s="605">
        <v>90.0</v>
      </c>
      <c r="E169" s="605"/>
      <c r="F169" s="605"/>
    </row>
    <row r="170" ht="15.75" customHeight="1">
      <c r="A170" s="605" t="s">
        <v>4836</v>
      </c>
      <c r="B170" s="605" t="s">
        <v>4669</v>
      </c>
      <c r="C170" s="605" t="s">
        <v>4667</v>
      </c>
      <c r="D170" s="605">
        <v>3.0</v>
      </c>
      <c r="E170" s="605"/>
      <c r="F170" s="605"/>
    </row>
    <row r="171" ht="15.75" customHeight="1">
      <c r="A171" s="605" t="s">
        <v>4837</v>
      </c>
      <c r="B171" s="605" t="s">
        <v>4669</v>
      </c>
      <c r="C171" s="605" t="s">
        <v>4667</v>
      </c>
      <c r="D171" s="605">
        <v>3.0</v>
      </c>
      <c r="E171" s="605" t="s">
        <v>4666</v>
      </c>
      <c r="F171" s="605">
        <v>5.0</v>
      </c>
    </row>
    <row r="172" ht="15.75" customHeight="1">
      <c r="A172" s="605" t="s">
        <v>4838</v>
      </c>
      <c r="B172" s="605" t="s">
        <v>4669</v>
      </c>
      <c r="C172" s="605" t="s">
        <v>4667</v>
      </c>
      <c r="D172" s="605">
        <v>40.0</v>
      </c>
      <c r="E172" s="605"/>
      <c r="F172" s="605"/>
    </row>
    <row r="173" ht="15.75" customHeight="1">
      <c r="A173" s="605" t="s">
        <v>4839</v>
      </c>
      <c r="B173" s="605" t="s">
        <v>4669</v>
      </c>
      <c r="C173" s="605" t="s">
        <v>4667</v>
      </c>
      <c r="D173" s="605">
        <v>40.0</v>
      </c>
      <c r="E173" s="605" t="s">
        <v>4666</v>
      </c>
      <c r="F173" s="605">
        <v>74.0</v>
      </c>
    </row>
    <row r="174" ht="15.75" customHeight="1">
      <c r="A174" s="605" t="s">
        <v>4840</v>
      </c>
      <c r="B174" s="605" t="s">
        <v>4669</v>
      </c>
      <c r="C174" s="605" t="s">
        <v>4667</v>
      </c>
      <c r="D174" s="605">
        <v>40.0</v>
      </c>
      <c r="E174" s="605" t="s">
        <v>4666</v>
      </c>
      <c r="F174" s="605">
        <v>64.0</v>
      </c>
    </row>
    <row r="175" ht="15.75" customHeight="1">
      <c r="A175" s="605" t="s">
        <v>4841</v>
      </c>
      <c r="B175" s="605" t="s">
        <v>1961</v>
      </c>
      <c r="C175" s="605" t="s">
        <v>4667</v>
      </c>
      <c r="D175" s="605">
        <v>42.0</v>
      </c>
      <c r="E175" s="605"/>
      <c r="F175" s="605"/>
    </row>
    <row r="176" ht="15.75" customHeight="1">
      <c r="A176" s="605" t="s">
        <v>4842</v>
      </c>
      <c r="B176" s="605" t="s">
        <v>4669</v>
      </c>
      <c r="C176" s="605" t="s">
        <v>4667</v>
      </c>
      <c r="D176" s="605">
        <v>45.0</v>
      </c>
      <c r="E176" s="605"/>
      <c r="F176" s="605"/>
    </row>
    <row r="177" ht="15.75" customHeight="1">
      <c r="A177" s="605" t="s">
        <v>4843</v>
      </c>
      <c r="B177" s="605" t="s">
        <v>4669</v>
      </c>
      <c r="C177" s="605" t="s">
        <v>4667</v>
      </c>
      <c r="D177" s="605">
        <v>46.0</v>
      </c>
      <c r="E177" s="605"/>
      <c r="F177" s="605"/>
    </row>
    <row r="178" ht="15.75" customHeight="1">
      <c r="A178" s="605" t="s">
        <v>4844</v>
      </c>
      <c r="B178" s="605" t="s">
        <v>1961</v>
      </c>
      <c r="C178" s="605" t="s">
        <v>4667</v>
      </c>
      <c r="D178" s="605">
        <v>120.0</v>
      </c>
      <c r="E178" s="605"/>
      <c r="F178" s="605"/>
    </row>
    <row r="179" ht="15.75" customHeight="1">
      <c r="A179" s="605" t="s">
        <v>4845</v>
      </c>
      <c r="B179" s="605" t="s">
        <v>4669</v>
      </c>
      <c r="C179" s="605" t="s">
        <v>4667</v>
      </c>
      <c r="D179" s="605">
        <v>4.0</v>
      </c>
      <c r="E179" s="605"/>
      <c r="F179" s="605"/>
    </row>
    <row r="180" ht="15.75" customHeight="1">
      <c r="A180" s="605" t="s">
        <v>4846</v>
      </c>
      <c r="B180" s="605" t="s">
        <v>1961</v>
      </c>
      <c r="C180" s="605" t="s">
        <v>4667</v>
      </c>
      <c r="D180" s="605">
        <v>351.0</v>
      </c>
      <c r="E180" s="605"/>
      <c r="F180" s="605"/>
    </row>
    <row r="181" ht="15.75" customHeight="1">
      <c r="A181" s="605" t="s">
        <v>4847</v>
      </c>
      <c r="B181" s="605" t="s">
        <v>4669</v>
      </c>
      <c r="C181" s="605" t="s">
        <v>4667</v>
      </c>
      <c r="D181" s="605">
        <v>50.0</v>
      </c>
      <c r="E181" s="605"/>
      <c r="F181" s="605"/>
    </row>
    <row r="182" ht="15.75" customHeight="1">
      <c r="A182" s="605" t="s">
        <v>4848</v>
      </c>
      <c r="B182" s="605" t="s">
        <v>4669</v>
      </c>
      <c r="C182" s="605" t="s">
        <v>4667</v>
      </c>
      <c r="D182" s="605">
        <v>55.0</v>
      </c>
      <c r="E182" s="605"/>
      <c r="F182" s="605"/>
    </row>
    <row r="183" ht="15.75" customHeight="1">
      <c r="A183" s="605" t="s">
        <v>4849</v>
      </c>
      <c r="B183" s="605" t="s">
        <v>4669</v>
      </c>
      <c r="C183" s="605" t="s">
        <v>4667</v>
      </c>
      <c r="D183" s="605">
        <v>56.0</v>
      </c>
      <c r="E183" s="605"/>
      <c r="F183" s="605"/>
    </row>
    <row r="184" ht="15.75" customHeight="1">
      <c r="A184" s="605" t="s">
        <v>4850</v>
      </c>
      <c r="B184" s="605" t="s">
        <v>1961</v>
      </c>
      <c r="C184" s="605" t="s">
        <v>4667</v>
      </c>
      <c r="D184" s="605">
        <v>150.0</v>
      </c>
      <c r="E184" s="605"/>
      <c r="F184" s="605"/>
    </row>
    <row r="185" ht="15.75" customHeight="1">
      <c r="A185" s="605" t="s">
        <v>4851</v>
      </c>
      <c r="B185" s="605" t="s">
        <v>4669</v>
      </c>
      <c r="C185" s="605" t="s">
        <v>4667</v>
      </c>
      <c r="D185" s="605">
        <v>5.0</v>
      </c>
      <c r="E185" s="605"/>
      <c r="F185" s="605"/>
    </row>
    <row r="186" ht="15.75" customHeight="1">
      <c r="A186" s="605" t="s">
        <v>4852</v>
      </c>
      <c r="B186" s="605" t="s">
        <v>1961</v>
      </c>
      <c r="C186" s="605" t="s">
        <v>4667</v>
      </c>
      <c r="D186" s="605">
        <v>60.0</v>
      </c>
      <c r="E186" s="605"/>
      <c r="F186" s="605"/>
    </row>
    <row r="187" ht="15.75" customHeight="1">
      <c r="A187" s="605" t="s">
        <v>4853</v>
      </c>
      <c r="B187" s="605" t="s">
        <v>4669</v>
      </c>
      <c r="C187" s="605" t="s">
        <v>4667</v>
      </c>
      <c r="D187" s="605">
        <v>60.0</v>
      </c>
      <c r="E187" s="605"/>
      <c r="F187" s="605"/>
    </row>
    <row r="188" ht="15.75" customHeight="1">
      <c r="A188" s="605" t="s">
        <v>4854</v>
      </c>
      <c r="B188" s="605" t="s">
        <v>4669</v>
      </c>
      <c r="C188" s="605" t="s">
        <v>4667</v>
      </c>
      <c r="D188" s="605">
        <v>61.0</v>
      </c>
      <c r="E188" s="605"/>
      <c r="F188" s="605"/>
    </row>
    <row r="189" ht="15.75" customHeight="1">
      <c r="A189" s="605" t="s">
        <v>4855</v>
      </c>
      <c r="B189" s="605" t="s">
        <v>4669</v>
      </c>
      <c r="C189" s="605" t="s">
        <v>4667</v>
      </c>
      <c r="D189" s="605">
        <v>65.0</v>
      </c>
      <c r="E189" s="605"/>
      <c r="F189" s="605"/>
    </row>
    <row r="190" ht="15.75" customHeight="1">
      <c r="A190" s="605" t="s">
        <v>4856</v>
      </c>
      <c r="B190" s="605" t="s">
        <v>4669</v>
      </c>
      <c r="C190" s="605" t="s">
        <v>4667</v>
      </c>
      <c r="D190" s="605">
        <v>66.0</v>
      </c>
      <c r="E190" s="605"/>
      <c r="F190" s="605"/>
    </row>
    <row r="191" ht="15.75" customHeight="1">
      <c r="A191" s="605" t="s">
        <v>4857</v>
      </c>
      <c r="B191" s="605" t="s">
        <v>1961</v>
      </c>
      <c r="C191" s="605" t="s">
        <v>4667</v>
      </c>
      <c r="D191" s="605">
        <v>180.0</v>
      </c>
      <c r="E191" s="605"/>
      <c r="F191" s="605"/>
    </row>
    <row r="192" ht="15.75" customHeight="1">
      <c r="A192" s="605" t="s">
        <v>4858</v>
      </c>
      <c r="B192" s="605" t="s">
        <v>4669</v>
      </c>
      <c r="C192" s="605" t="s">
        <v>4667</v>
      </c>
      <c r="D192" s="605">
        <v>6.0</v>
      </c>
      <c r="E192" s="605"/>
      <c r="F192" s="605"/>
    </row>
    <row r="193" ht="15.75" customHeight="1">
      <c r="A193" s="605" t="s">
        <v>4859</v>
      </c>
      <c r="B193" s="605" t="s">
        <v>1961</v>
      </c>
      <c r="C193" s="605" t="s">
        <v>4666</v>
      </c>
      <c r="D193" s="605">
        <v>2130.0</v>
      </c>
      <c r="E193" s="605"/>
      <c r="F193" s="605"/>
    </row>
    <row r="194" ht="15.75" customHeight="1">
      <c r="A194" s="605" t="s">
        <v>4860</v>
      </c>
      <c r="B194" s="605" t="s">
        <v>1961</v>
      </c>
      <c r="C194" s="605" t="s">
        <v>4667</v>
      </c>
      <c r="D194" s="605">
        <v>731.0</v>
      </c>
      <c r="E194" s="605"/>
      <c r="F194" s="605"/>
    </row>
    <row r="195" ht="15.75" customHeight="1">
      <c r="A195" s="605" t="s">
        <v>4861</v>
      </c>
      <c r="B195" s="605" t="s">
        <v>4669</v>
      </c>
      <c r="C195" s="605" t="s">
        <v>4667</v>
      </c>
      <c r="D195" s="605">
        <v>75.0</v>
      </c>
      <c r="E195" s="605"/>
      <c r="F195" s="605"/>
    </row>
    <row r="196" ht="15.75" customHeight="1">
      <c r="A196" s="605" t="s">
        <v>4862</v>
      </c>
      <c r="B196" s="605" t="s">
        <v>4669</v>
      </c>
      <c r="C196" s="605" t="s">
        <v>4667</v>
      </c>
      <c r="D196" s="605">
        <v>76.0</v>
      </c>
      <c r="E196" s="605"/>
      <c r="F196" s="605"/>
    </row>
    <row r="197" ht="15.75" customHeight="1">
      <c r="A197" s="605" t="s">
        <v>4863</v>
      </c>
      <c r="B197" s="605" t="s">
        <v>4669</v>
      </c>
      <c r="C197" s="605" t="s">
        <v>4667</v>
      </c>
      <c r="D197" s="605">
        <v>7.0</v>
      </c>
      <c r="E197" s="605"/>
      <c r="F197" s="605"/>
    </row>
    <row r="198" ht="15.75" customHeight="1">
      <c r="A198" s="605" t="s">
        <v>4864</v>
      </c>
      <c r="B198" s="605" t="s">
        <v>4669</v>
      </c>
      <c r="C198" s="605" t="s">
        <v>4667</v>
      </c>
      <c r="D198" s="605">
        <v>8.0</v>
      </c>
      <c r="E198" s="605"/>
      <c r="F198" s="605"/>
    </row>
    <row r="199" ht="15.75" customHeight="1">
      <c r="A199" s="605" t="s">
        <v>4865</v>
      </c>
      <c r="B199" s="605" t="s">
        <v>1961</v>
      </c>
      <c r="C199" s="605" t="s">
        <v>4667</v>
      </c>
      <c r="D199" s="605">
        <v>270.0</v>
      </c>
      <c r="E199" s="605"/>
      <c r="F199" s="605"/>
    </row>
    <row r="200" ht="15.75" customHeight="1">
      <c r="A200" s="605" t="s">
        <v>4866</v>
      </c>
      <c r="B200" s="605" t="s">
        <v>4669</v>
      </c>
      <c r="C200" s="605" t="s">
        <v>4667</v>
      </c>
      <c r="D200" s="605">
        <v>9.0</v>
      </c>
      <c r="E200" s="605"/>
      <c r="F200" s="605"/>
    </row>
    <row r="201" ht="15.75" customHeight="1">
      <c r="A201" s="605" t="s">
        <v>4867</v>
      </c>
      <c r="B201" s="605" t="s">
        <v>4669</v>
      </c>
      <c r="C201" s="605" t="s">
        <v>4667</v>
      </c>
      <c r="D201" s="605">
        <v>9.0</v>
      </c>
      <c r="E201" s="605" t="s">
        <v>4666</v>
      </c>
      <c r="F201" s="605">
        <v>21.0</v>
      </c>
    </row>
    <row r="202" ht="15.75" customHeight="1">
      <c r="A202" s="605" t="s">
        <v>4868</v>
      </c>
      <c r="B202" s="605" t="s">
        <v>1961</v>
      </c>
      <c r="C202" s="605" t="s">
        <v>4667</v>
      </c>
      <c r="D202" s="605">
        <v>61.0</v>
      </c>
      <c r="E202" s="605"/>
      <c r="F202" s="605"/>
    </row>
    <row r="203" ht="15.75" customHeight="1">
      <c r="A203" s="605" t="s">
        <v>4869</v>
      </c>
      <c r="B203" s="605" t="s">
        <v>4669</v>
      </c>
      <c r="C203" s="605" t="s">
        <v>4666</v>
      </c>
      <c r="D203" s="605">
        <v>4.0</v>
      </c>
      <c r="E203" s="605" t="s">
        <v>4667</v>
      </c>
      <c r="F203" s="605">
        <v>18.0</v>
      </c>
    </row>
    <row r="204" ht="15.75" customHeight="1">
      <c r="A204" s="605" t="s">
        <v>4870</v>
      </c>
      <c r="B204" s="605" t="s">
        <v>4669</v>
      </c>
      <c r="C204" s="605" t="s">
        <v>4667</v>
      </c>
      <c r="D204" s="605">
        <v>18.0</v>
      </c>
      <c r="E204" s="605"/>
      <c r="F204" s="605"/>
    </row>
    <row r="205" ht="15.75" customHeight="1">
      <c r="A205" s="605" t="s">
        <v>4871</v>
      </c>
      <c r="B205" s="605" t="s">
        <v>1961</v>
      </c>
      <c r="C205" s="605" t="s">
        <v>4667</v>
      </c>
      <c r="D205" s="605">
        <v>30.0</v>
      </c>
      <c r="E205" s="605"/>
      <c r="F205" s="605"/>
    </row>
    <row r="206" ht="15.75" customHeight="1">
      <c r="A206" s="605" t="s">
        <v>4872</v>
      </c>
      <c r="B206" s="605" t="s">
        <v>4669</v>
      </c>
      <c r="C206" s="605" t="s">
        <v>4667</v>
      </c>
      <c r="D206" s="605">
        <v>13.0</v>
      </c>
      <c r="E206" s="605"/>
      <c r="F206" s="605"/>
    </row>
    <row r="207" ht="15.75" customHeight="1">
      <c r="A207" s="605" t="s">
        <v>4873</v>
      </c>
      <c r="B207" s="605" t="s">
        <v>4669</v>
      </c>
      <c r="C207" s="605" t="s">
        <v>4666</v>
      </c>
      <c r="D207" s="605">
        <v>14.0</v>
      </c>
      <c r="E207" s="605" t="s">
        <v>4667</v>
      </c>
      <c r="F207" s="605">
        <v>66.0</v>
      </c>
    </row>
    <row r="208" ht="15.75" customHeight="1">
      <c r="A208" s="605" t="s">
        <v>4874</v>
      </c>
      <c r="B208" s="605" t="s">
        <v>4669</v>
      </c>
      <c r="C208" s="605" t="s">
        <v>4666</v>
      </c>
      <c r="D208" s="605">
        <v>29.0</v>
      </c>
      <c r="E208" s="605" t="s">
        <v>4667</v>
      </c>
      <c r="F208" s="605">
        <v>66.0</v>
      </c>
    </row>
    <row r="209" ht="15.75" customHeight="1">
      <c r="A209" s="605" t="s">
        <v>4875</v>
      </c>
      <c r="B209" s="605" t="s">
        <v>4669</v>
      </c>
      <c r="C209" s="605" t="s">
        <v>4666</v>
      </c>
      <c r="D209" s="605">
        <v>44.0</v>
      </c>
      <c r="E209" s="605"/>
      <c r="F209" s="605"/>
    </row>
    <row r="210" ht="15.75" customHeight="1">
      <c r="A210" s="605" t="s">
        <v>4876</v>
      </c>
      <c r="B210" s="605" t="s">
        <v>4669</v>
      </c>
      <c r="C210" s="605" t="s">
        <v>4666</v>
      </c>
      <c r="D210" s="605">
        <v>44.0</v>
      </c>
      <c r="E210" s="605" t="s">
        <v>4667</v>
      </c>
      <c r="F210" s="605">
        <v>86.0</v>
      </c>
    </row>
    <row r="211" ht="15.75" customHeight="1">
      <c r="A211" s="605" t="s">
        <v>4877</v>
      </c>
      <c r="B211" s="605" t="s">
        <v>4669</v>
      </c>
      <c r="C211" s="605" t="s">
        <v>4666</v>
      </c>
      <c r="D211" s="605">
        <v>49.0</v>
      </c>
      <c r="E211" s="605"/>
      <c r="F211" s="605"/>
    </row>
    <row r="212" ht="15.75" customHeight="1">
      <c r="A212" s="605" t="s">
        <v>4878</v>
      </c>
      <c r="B212" s="605" t="s">
        <v>4669</v>
      </c>
      <c r="C212" s="605" t="s">
        <v>4666</v>
      </c>
      <c r="D212" s="605">
        <v>49.0</v>
      </c>
      <c r="E212" s="605" t="s">
        <v>4667</v>
      </c>
      <c r="F212" s="605">
        <v>78.0</v>
      </c>
    </row>
    <row r="213" ht="15.75" customHeight="1">
      <c r="A213" s="605" t="s">
        <v>4879</v>
      </c>
      <c r="B213" s="605" t="s">
        <v>4669</v>
      </c>
      <c r="C213" s="605" t="s">
        <v>4666</v>
      </c>
      <c r="D213" s="605">
        <v>49.0</v>
      </c>
      <c r="E213" s="605" t="s">
        <v>4667</v>
      </c>
      <c r="F213" s="605">
        <v>86.0</v>
      </c>
    </row>
    <row r="214" ht="15.75" customHeight="1">
      <c r="A214" s="605" t="s">
        <v>4880</v>
      </c>
      <c r="B214" s="605" t="s">
        <v>4669</v>
      </c>
      <c r="C214" s="605" t="s">
        <v>4666</v>
      </c>
      <c r="D214" s="605">
        <v>57.0</v>
      </c>
      <c r="E214" s="605" t="s">
        <v>4667</v>
      </c>
      <c r="F214" s="605">
        <v>79.0</v>
      </c>
    </row>
    <row r="215" ht="15.75" customHeight="1">
      <c r="A215" s="605" t="s">
        <v>4881</v>
      </c>
      <c r="B215" s="605" t="s">
        <v>4669</v>
      </c>
      <c r="C215" s="605" t="s">
        <v>4666</v>
      </c>
      <c r="D215" s="605">
        <v>65.0</v>
      </c>
      <c r="E215" s="605"/>
      <c r="F215" s="605"/>
    </row>
    <row r="216" ht="15.75" customHeight="1">
      <c r="A216" s="605" t="s">
        <v>4882</v>
      </c>
      <c r="B216" s="605" t="s">
        <v>4669</v>
      </c>
      <c r="C216" s="605" t="s">
        <v>4666</v>
      </c>
      <c r="D216" s="605">
        <v>77.0</v>
      </c>
      <c r="E216" s="605"/>
      <c r="F216" s="605"/>
    </row>
    <row r="217" ht="15.75" customHeight="1">
      <c r="A217" s="605" t="s">
        <v>4883</v>
      </c>
      <c r="B217" s="605" t="s">
        <v>4669</v>
      </c>
      <c r="C217" s="605" t="s">
        <v>4666</v>
      </c>
      <c r="D217" s="605">
        <v>78.0</v>
      </c>
      <c r="E217" s="605"/>
      <c r="F217" s="605"/>
    </row>
    <row r="218" ht="15.75" customHeight="1">
      <c r="A218" s="605" t="s">
        <v>4884</v>
      </c>
      <c r="B218" s="605" t="s">
        <v>4669</v>
      </c>
      <c r="C218" s="605" t="s">
        <v>4666</v>
      </c>
      <c r="D218" s="605">
        <v>85.0</v>
      </c>
      <c r="E218" s="605"/>
      <c r="F218" s="605"/>
    </row>
    <row r="219" ht="15.75" customHeight="1">
      <c r="A219" s="605" t="s">
        <v>4885</v>
      </c>
      <c r="B219" s="605" t="s">
        <v>4669</v>
      </c>
      <c r="C219" s="605" t="s">
        <v>4667</v>
      </c>
      <c r="D219" s="605">
        <v>15.0</v>
      </c>
      <c r="E219" s="605"/>
      <c r="F219" s="605"/>
    </row>
    <row r="220" ht="15.75" customHeight="1">
      <c r="A220" s="605" t="s">
        <v>4886</v>
      </c>
      <c r="B220" s="605" t="s">
        <v>4669</v>
      </c>
      <c r="C220" s="605" t="s">
        <v>4667</v>
      </c>
      <c r="D220" s="605">
        <v>30.0</v>
      </c>
      <c r="E220" s="605"/>
      <c r="F220" s="605"/>
    </row>
    <row r="221" ht="15.75" customHeight="1">
      <c r="A221" s="605" t="s">
        <v>4887</v>
      </c>
      <c r="B221" s="605" t="s">
        <v>4669</v>
      </c>
      <c r="C221" s="605" t="s">
        <v>4667</v>
      </c>
      <c r="D221" s="605">
        <v>35.0</v>
      </c>
      <c r="E221" s="605"/>
      <c r="F221" s="605"/>
    </row>
    <row r="222" ht="15.75" customHeight="1">
      <c r="A222" s="605" t="s">
        <v>4888</v>
      </c>
      <c r="B222" s="605" t="s">
        <v>4669</v>
      </c>
      <c r="C222" s="605" t="s">
        <v>4667</v>
      </c>
      <c r="D222" s="605">
        <v>45.0</v>
      </c>
      <c r="E222" s="605"/>
      <c r="F222" s="605"/>
    </row>
    <row r="223" ht="15.75" customHeight="1">
      <c r="A223" s="605" t="s">
        <v>4889</v>
      </c>
      <c r="B223" s="605" t="s">
        <v>4669</v>
      </c>
      <c r="C223" s="605" t="s">
        <v>4667</v>
      </c>
      <c r="D223" s="605">
        <v>50.0</v>
      </c>
      <c r="E223" s="605"/>
      <c r="F223" s="605"/>
    </row>
    <row r="224" ht="15.75" customHeight="1">
      <c r="A224" s="605" t="s">
        <v>4890</v>
      </c>
      <c r="B224" s="605" t="s">
        <v>4669</v>
      </c>
      <c r="C224" s="605" t="s">
        <v>4667</v>
      </c>
      <c r="D224" s="605">
        <v>58.0</v>
      </c>
      <c r="E224" s="605"/>
      <c r="F224" s="605"/>
    </row>
    <row r="225" ht="15.75" customHeight="1">
      <c r="A225" s="605" t="s">
        <v>4891</v>
      </c>
      <c r="B225" s="605" t="s">
        <v>1961</v>
      </c>
      <c r="C225" s="605" t="s">
        <v>4666</v>
      </c>
      <c r="D225" s="605">
        <v>1.0</v>
      </c>
      <c r="E225" s="605" t="s">
        <v>4667</v>
      </c>
      <c r="F225" s="605">
        <v>366.0</v>
      </c>
    </row>
    <row r="226" ht="15.75" customHeight="1">
      <c r="A226" s="605" t="s">
        <v>4892</v>
      </c>
      <c r="B226" s="605" t="s">
        <v>4669</v>
      </c>
      <c r="C226" s="605" t="s">
        <v>4666</v>
      </c>
      <c r="D226" s="605">
        <v>9.0</v>
      </c>
      <c r="E226" s="605" t="s">
        <v>4667</v>
      </c>
      <c r="F226" s="605">
        <v>19.0</v>
      </c>
    </row>
    <row r="227" ht="15.75" customHeight="1">
      <c r="A227" s="605" t="s">
        <v>4893</v>
      </c>
      <c r="B227" s="605" t="s">
        <v>4669</v>
      </c>
      <c r="C227" s="605" t="s">
        <v>4666</v>
      </c>
      <c r="D227" s="605">
        <v>9.0</v>
      </c>
      <c r="E227" s="605" t="s">
        <v>4667</v>
      </c>
      <c r="F227" s="605">
        <v>56.0</v>
      </c>
    </row>
    <row r="228" ht="15.75" customHeight="1">
      <c r="A228" s="605" t="s">
        <v>4894</v>
      </c>
      <c r="B228" s="605" t="s">
        <v>4669</v>
      </c>
      <c r="C228" s="605" t="s">
        <v>4666</v>
      </c>
      <c r="D228" s="605">
        <v>9.0</v>
      </c>
      <c r="E228" s="605" t="s">
        <v>4667</v>
      </c>
      <c r="F228" s="605">
        <v>60.0</v>
      </c>
    </row>
    <row r="229" ht="15.75" customHeight="1">
      <c r="A229" s="605" t="s">
        <v>4895</v>
      </c>
      <c r="B229" s="605" t="s">
        <v>4669</v>
      </c>
      <c r="C229" s="605" t="s">
        <v>4666</v>
      </c>
      <c r="D229" s="605">
        <v>9.0</v>
      </c>
      <c r="E229" s="605" t="s">
        <v>4667</v>
      </c>
      <c r="F229" s="605">
        <v>61.0</v>
      </c>
    </row>
    <row r="230" ht="15.75" customHeight="1">
      <c r="A230" s="605" t="s">
        <v>4896</v>
      </c>
      <c r="B230" s="605" t="s">
        <v>4669</v>
      </c>
      <c r="C230" s="605" t="s">
        <v>4666</v>
      </c>
      <c r="D230" s="605">
        <v>10.0</v>
      </c>
      <c r="E230" s="605" t="s">
        <v>4667</v>
      </c>
      <c r="F230" s="605">
        <v>21.0</v>
      </c>
    </row>
    <row r="231" ht="15.75" customHeight="1">
      <c r="A231" s="605" t="s">
        <v>4897</v>
      </c>
      <c r="B231" s="605" t="s">
        <v>4669</v>
      </c>
      <c r="C231" s="605" t="s">
        <v>4666</v>
      </c>
      <c r="D231" s="605">
        <v>11.0</v>
      </c>
      <c r="E231" s="605" t="s">
        <v>4667</v>
      </c>
      <c r="F231" s="605">
        <v>18.0</v>
      </c>
    </row>
    <row r="232" ht="15.75" customHeight="1">
      <c r="A232" s="605" t="s">
        <v>4898</v>
      </c>
      <c r="B232" s="605" t="s">
        <v>4669</v>
      </c>
      <c r="C232" s="605" t="s">
        <v>4666</v>
      </c>
      <c r="D232" s="605">
        <v>15.0</v>
      </c>
      <c r="E232" s="605" t="s">
        <v>4667</v>
      </c>
      <c r="F232" s="605">
        <v>61.0</v>
      </c>
    </row>
    <row r="233" ht="15.75" customHeight="1">
      <c r="A233" s="605" t="s">
        <v>4899</v>
      </c>
      <c r="B233" s="605" t="s">
        <v>1961</v>
      </c>
      <c r="C233" s="605" t="s">
        <v>4666</v>
      </c>
      <c r="D233" s="605">
        <v>180.0</v>
      </c>
      <c r="E233" s="605" t="s">
        <v>4667</v>
      </c>
      <c r="F233" s="605">
        <v>1460.0</v>
      </c>
    </row>
    <row r="234" ht="15.75" customHeight="1">
      <c r="A234" s="605" t="s">
        <v>4900</v>
      </c>
      <c r="B234" s="605" t="s">
        <v>4669</v>
      </c>
      <c r="C234" s="605" t="s">
        <v>4666</v>
      </c>
      <c r="D234" s="605">
        <v>17.0</v>
      </c>
      <c r="E234" s="605" t="s">
        <v>4667</v>
      </c>
      <c r="F234" s="605">
        <v>21.0</v>
      </c>
    </row>
    <row r="235" ht="15.75" customHeight="1">
      <c r="A235" s="605" t="s">
        <v>4901</v>
      </c>
      <c r="B235" s="605" t="s">
        <v>4669</v>
      </c>
      <c r="C235" s="605" t="s">
        <v>4666</v>
      </c>
      <c r="D235" s="605">
        <v>17.0</v>
      </c>
      <c r="E235" s="605" t="s">
        <v>4667</v>
      </c>
      <c r="F235" s="605">
        <v>40.0</v>
      </c>
    </row>
    <row r="236" ht="15.75" customHeight="1">
      <c r="A236" s="605" t="s">
        <v>4902</v>
      </c>
      <c r="B236" s="605" t="s">
        <v>4669</v>
      </c>
      <c r="C236" s="605" t="s">
        <v>4666</v>
      </c>
      <c r="D236" s="605">
        <v>17.0</v>
      </c>
      <c r="E236" s="605" t="s">
        <v>4667</v>
      </c>
      <c r="F236" s="605">
        <v>65.0</v>
      </c>
    </row>
    <row r="237" ht="15.75" customHeight="1">
      <c r="A237" s="605" t="s">
        <v>4903</v>
      </c>
      <c r="B237" s="605" t="s">
        <v>4669</v>
      </c>
      <c r="C237" s="605" t="s">
        <v>4666</v>
      </c>
      <c r="D237" s="605">
        <v>18.0</v>
      </c>
      <c r="E237" s="605" t="s">
        <v>4667</v>
      </c>
      <c r="F237" s="605">
        <v>65.0</v>
      </c>
    </row>
    <row r="238" ht="15.75" customHeight="1">
      <c r="A238" s="605" t="s">
        <v>4904</v>
      </c>
      <c r="B238" s="605" t="s">
        <v>4669</v>
      </c>
      <c r="C238" s="605" t="s">
        <v>4666</v>
      </c>
      <c r="D238" s="605">
        <v>18.0</v>
      </c>
      <c r="E238" s="605" t="s">
        <v>4667</v>
      </c>
      <c r="F238" s="605">
        <v>21.0</v>
      </c>
    </row>
    <row r="239" ht="15.75" customHeight="1">
      <c r="A239" s="605" t="s">
        <v>4905</v>
      </c>
      <c r="B239" s="605" t="s">
        <v>4669</v>
      </c>
      <c r="C239" s="605" t="s">
        <v>4666</v>
      </c>
      <c r="D239" s="605">
        <v>18.0</v>
      </c>
      <c r="E239" s="605" t="s">
        <v>4667</v>
      </c>
      <c r="F239" s="605">
        <v>60.0</v>
      </c>
    </row>
    <row r="240" ht="15.75" customHeight="1">
      <c r="A240" s="605" t="s">
        <v>4906</v>
      </c>
      <c r="B240" s="605" t="s">
        <v>1961</v>
      </c>
      <c r="C240" s="605" t="s">
        <v>4666</v>
      </c>
      <c r="D240" s="605">
        <v>365.0</v>
      </c>
      <c r="E240" s="605" t="s">
        <v>4667</v>
      </c>
      <c r="F240" s="605">
        <v>730.0</v>
      </c>
    </row>
    <row r="241" ht="15.75" customHeight="1">
      <c r="A241" s="605" t="s">
        <v>4907</v>
      </c>
      <c r="B241" s="605" t="s">
        <v>4669</v>
      </c>
      <c r="C241" s="605" t="s">
        <v>4666</v>
      </c>
      <c r="D241" s="605">
        <v>20.0</v>
      </c>
      <c r="E241" s="605" t="s">
        <v>4667</v>
      </c>
      <c r="F241" s="605">
        <v>60.0</v>
      </c>
    </row>
    <row r="242" ht="15.75" customHeight="1">
      <c r="A242" s="605" t="s">
        <v>4908</v>
      </c>
      <c r="B242" s="605" t="s">
        <v>4669</v>
      </c>
      <c r="C242" s="605" t="s">
        <v>4666</v>
      </c>
      <c r="D242" s="605">
        <v>20.0</v>
      </c>
      <c r="E242" s="605" t="s">
        <v>4667</v>
      </c>
      <c r="F242" s="605">
        <v>65.0</v>
      </c>
    </row>
    <row r="243" ht="15.75" customHeight="1">
      <c r="A243" s="605" t="s">
        <v>4909</v>
      </c>
      <c r="B243" s="605" t="s">
        <v>4669</v>
      </c>
      <c r="C243" s="605" t="s">
        <v>4666</v>
      </c>
      <c r="D243" s="605">
        <v>20.0</v>
      </c>
      <c r="E243" s="605" t="s">
        <v>4667</v>
      </c>
      <c r="F243" s="605">
        <v>100.0</v>
      </c>
    </row>
    <row r="244" ht="15.75" customHeight="1">
      <c r="A244" s="605" t="s">
        <v>4910</v>
      </c>
      <c r="B244" s="605" t="s">
        <v>4669</v>
      </c>
      <c r="C244" s="605" t="s">
        <v>4666</v>
      </c>
      <c r="D244" s="605">
        <v>21.0</v>
      </c>
      <c r="E244" s="605" t="s">
        <v>4667</v>
      </c>
      <c r="F244" s="605">
        <v>65.0</v>
      </c>
    </row>
    <row r="245" ht="15.75" customHeight="1">
      <c r="A245" s="605" t="s">
        <v>4911</v>
      </c>
      <c r="B245" s="605" t="s">
        <v>4669</v>
      </c>
      <c r="C245" s="605" t="s">
        <v>4666</v>
      </c>
      <c r="D245" s="605">
        <v>1.0</v>
      </c>
      <c r="E245" s="605" t="s">
        <v>4667</v>
      </c>
      <c r="F245" s="605">
        <v>21.0</v>
      </c>
    </row>
    <row r="246" ht="15.75" customHeight="1">
      <c r="A246" s="605" t="s">
        <v>4912</v>
      </c>
      <c r="B246" s="605" t="s">
        <v>1961</v>
      </c>
      <c r="C246" s="605" t="s">
        <v>4666</v>
      </c>
      <c r="D246" s="605">
        <v>730.0</v>
      </c>
      <c r="E246" s="605" t="s">
        <v>4667</v>
      </c>
      <c r="F246" s="605">
        <v>7670.0</v>
      </c>
    </row>
    <row r="247" ht="15.75" customHeight="1">
      <c r="A247" s="605" t="s">
        <v>4913</v>
      </c>
      <c r="B247" s="605" t="s">
        <v>1961</v>
      </c>
      <c r="C247" s="605" t="s">
        <v>4667</v>
      </c>
      <c r="D247" s="605">
        <v>29.0</v>
      </c>
      <c r="E247" s="605" t="s">
        <v>4666</v>
      </c>
      <c r="F247" s="605">
        <v>720.0</v>
      </c>
    </row>
    <row r="248" ht="15.75" customHeight="1">
      <c r="A248" s="605" t="s">
        <v>4914</v>
      </c>
      <c r="B248" s="605" t="s">
        <v>4669</v>
      </c>
      <c r="C248" s="605" t="s">
        <v>4666</v>
      </c>
      <c r="D248" s="605">
        <v>34.0</v>
      </c>
      <c r="E248" s="605" t="s">
        <v>4667</v>
      </c>
      <c r="F248" s="605">
        <v>40.0</v>
      </c>
    </row>
    <row r="249" ht="15.75" customHeight="1">
      <c r="A249" s="605" t="s">
        <v>4915</v>
      </c>
      <c r="B249" s="605" t="s">
        <v>1961</v>
      </c>
      <c r="C249" s="605" t="s">
        <v>4666</v>
      </c>
      <c r="D249" s="605">
        <v>365.0</v>
      </c>
      <c r="E249" s="605" t="s">
        <v>4667</v>
      </c>
      <c r="F249" s="605">
        <v>7300.0</v>
      </c>
    </row>
    <row r="250" ht="15.75" customHeight="1">
      <c r="A250" s="605" t="s">
        <v>4916</v>
      </c>
      <c r="B250" s="605" t="s">
        <v>1961</v>
      </c>
      <c r="C250" s="605" t="s">
        <v>4666</v>
      </c>
      <c r="D250" s="605">
        <v>364.0</v>
      </c>
      <c r="E250" s="605" t="s">
        <v>4667</v>
      </c>
      <c r="F250" s="605">
        <v>7665.0</v>
      </c>
    </row>
    <row r="251" ht="15.75" customHeight="1">
      <c r="A251" s="605" t="s">
        <v>4917</v>
      </c>
      <c r="B251" s="605" t="s">
        <v>4669</v>
      </c>
      <c r="C251" s="605" t="s">
        <v>4666</v>
      </c>
      <c r="D251" s="605">
        <v>2.0</v>
      </c>
      <c r="E251" s="605" t="s">
        <v>4667</v>
      </c>
      <c r="F251" s="605">
        <v>16.0</v>
      </c>
    </row>
    <row r="252" ht="15.75" customHeight="1">
      <c r="A252" s="605" t="s">
        <v>4918</v>
      </c>
      <c r="B252" s="605" t="s">
        <v>4669</v>
      </c>
      <c r="C252" s="605" t="s">
        <v>4666</v>
      </c>
      <c r="D252" s="605">
        <v>2.0</v>
      </c>
      <c r="E252" s="605" t="s">
        <v>4667</v>
      </c>
      <c r="F252" s="605">
        <v>21.0</v>
      </c>
    </row>
    <row r="253" ht="15.75" customHeight="1">
      <c r="A253" s="605" t="s">
        <v>4919</v>
      </c>
      <c r="B253" s="605" t="s">
        <v>4669</v>
      </c>
      <c r="C253" s="605" t="s">
        <v>4666</v>
      </c>
      <c r="D253" s="605">
        <v>2.0</v>
      </c>
      <c r="E253" s="605" t="s">
        <v>4667</v>
      </c>
      <c r="F253" s="605">
        <v>100.0</v>
      </c>
    </row>
    <row r="254" ht="15.75" customHeight="1">
      <c r="A254" s="605" t="s">
        <v>4920</v>
      </c>
      <c r="B254" s="605" t="s">
        <v>4669</v>
      </c>
      <c r="C254" s="605" t="s">
        <v>4666</v>
      </c>
      <c r="D254" s="605">
        <v>39.0</v>
      </c>
      <c r="E254" s="605" t="s">
        <v>4667</v>
      </c>
      <c r="F254" s="605">
        <v>50.0</v>
      </c>
    </row>
    <row r="255" ht="15.75" customHeight="1">
      <c r="A255" s="605" t="s">
        <v>4921</v>
      </c>
      <c r="B255" s="605" t="s">
        <v>4669</v>
      </c>
      <c r="C255" s="605" t="s">
        <v>4666</v>
      </c>
      <c r="D255" s="605">
        <v>39.0</v>
      </c>
      <c r="E255" s="605" t="s">
        <v>4667</v>
      </c>
      <c r="F255" s="605">
        <v>65.0</v>
      </c>
    </row>
    <row r="256" ht="15.75" customHeight="1">
      <c r="A256" s="605" t="s">
        <v>4922</v>
      </c>
      <c r="B256" s="605" t="s">
        <v>4669</v>
      </c>
      <c r="C256" s="605" t="s">
        <v>4666</v>
      </c>
      <c r="D256" s="605">
        <v>39.0</v>
      </c>
      <c r="E256" s="605" t="s">
        <v>4667</v>
      </c>
      <c r="F256" s="605">
        <v>75.0</v>
      </c>
    </row>
    <row r="257" ht="15.75" customHeight="1">
      <c r="A257" s="605" t="s">
        <v>4923</v>
      </c>
      <c r="B257" s="605" t="s">
        <v>4669</v>
      </c>
      <c r="C257" s="605" t="s">
        <v>4666</v>
      </c>
      <c r="D257" s="605">
        <v>3.0</v>
      </c>
      <c r="E257" s="605" t="s">
        <v>4667</v>
      </c>
      <c r="F257" s="605">
        <v>21.0</v>
      </c>
    </row>
    <row r="258" ht="15.75" customHeight="1">
      <c r="A258" s="605" t="s">
        <v>4924</v>
      </c>
      <c r="B258" s="605" t="s">
        <v>4669</v>
      </c>
      <c r="C258" s="605" t="s">
        <v>4666</v>
      </c>
      <c r="D258" s="605">
        <v>49.0</v>
      </c>
      <c r="E258" s="605" t="s">
        <v>4667</v>
      </c>
      <c r="F258" s="605">
        <v>81.0</v>
      </c>
    </row>
    <row r="259" ht="15.75" customHeight="1">
      <c r="A259" s="605" t="s">
        <v>4925</v>
      </c>
      <c r="B259" s="605" t="s">
        <v>4669</v>
      </c>
      <c r="C259" s="605" t="s">
        <v>4666</v>
      </c>
      <c r="D259" s="605">
        <v>4.0</v>
      </c>
      <c r="E259" s="605" t="s">
        <v>4667</v>
      </c>
      <c r="F259" s="605">
        <v>12.0</v>
      </c>
    </row>
    <row r="260" ht="15.75" customHeight="1">
      <c r="A260" s="605" t="s">
        <v>4926</v>
      </c>
      <c r="B260" s="605" t="s">
        <v>4669</v>
      </c>
      <c r="C260" s="605" t="s">
        <v>4666</v>
      </c>
      <c r="D260" s="605">
        <v>64.0</v>
      </c>
      <c r="E260" s="605" t="s">
        <v>4667</v>
      </c>
      <c r="F260" s="605">
        <v>76.0</v>
      </c>
    </row>
    <row r="261" ht="15.75" customHeight="1">
      <c r="A261" s="605" t="s">
        <v>4927</v>
      </c>
      <c r="B261" s="605" t="s">
        <v>4669</v>
      </c>
      <c r="C261" s="605" t="s">
        <v>4666</v>
      </c>
      <c r="D261" s="605">
        <v>5.0</v>
      </c>
      <c r="E261" s="605" t="s">
        <v>4667</v>
      </c>
      <c r="F261" s="605">
        <v>12.0</v>
      </c>
    </row>
    <row r="262" ht="15.75" customHeight="1">
      <c r="A262" s="605" t="s">
        <v>4928</v>
      </c>
      <c r="B262" s="605" t="s">
        <v>4669</v>
      </c>
      <c r="C262" s="605" t="s">
        <v>4666</v>
      </c>
      <c r="D262" s="605">
        <v>5.0</v>
      </c>
      <c r="E262" s="605" t="s">
        <v>4667</v>
      </c>
      <c r="F262" s="605">
        <v>19.0</v>
      </c>
    </row>
    <row r="263" ht="15.75" customHeight="1">
      <c r="A263" s="605" t="s">
        <v>4929</v>
      </c>
      <c r="B263" s="605" t="s">
        <v>4669</v>
      </c>
      <c r="C263" s="605" t="s">
        <v>4666</v>
      </c>
      <c r="D263" s="605">
        <v>5.0</v>
      </c>
      <c r="E263" s="605" t="s">
        <v>4667</v>
      </c>
      <c r="F263" s="605">
        <v>20.0</v>
      </c>
    </row>
    <row r="264" ht="15.75" customHeight="1">
      <c r="A264" s="605" t="s">
        <v>4930</v>
      </c>
      <c r="B264" s="605" t="s">
        <v>4669</v>
      </c>
      <c r="C264" s="605" t="s">
        <v>4666</v>
      </c>
      <c r="D264" s="605">
        <v>5.0</v>
      </c>
      <c r="E264" s="605" t="s">
        <v>4667</v>
      </c>
      <c r="F264" s="605">
        <v>21.0</v>
      </c>
    </row>
    <row r="265" ht="15.75" customHeight="1">
      <c r="A265" s="605" t="s">
        <v>4931</v>
      </c>
      <c r="B265" s="605" t="s">
        <v>4669</v>
      </c>
      <c r="C265" s="605" t="s">
        <v>4666</v>
      </c>
      <c r="D265" s="605">
        <v>5.0</v>
      </c>
      <c r="E265" s="605" t="s">
        <v>4667</v>
      </c>
      <c r="F265" s="605">
        <v>12.0</v>
      </c>
    </row>
    <row r="266" ht="15.75" customHeight="1">
      <c r="A266" s="605" t="s">
        <v>4932</v>
      </c>
      <c r="B266" s="605" t="s">
        <v>4669</v>
      </c>
      <c r="C266" s="605" t="s">
        <v>4666</v>
      </c>
      <c r="D266" s="605">
        <v>100.0</v>
      </c>
      <c r="E266" s="605"/>
      <c r="F266" s="605"/>
    </row>
    <row r="267" ht="15.75" customHeight="1">
      <c r="A267" s="605" t="s">
        <v>4933</v>
      </c>
      <c r="B267" s="605" t="s">
        <v>1961</v>
      </c>
      <c r="C267" s="605" t="s">
        <v>4666</v>
      </c>
      <c r="D267" s="605">
        <v>31145.0</v>
      </c>
      <c r="E267" s="605"/>
      <c r="F267" s="605"/>
    </row>
    <row r="268" ht="15.75" customHeight="1">
      <c r="A268" s="605" t="s">
        <v>4934</v>
      </c>
      <c r="B268" s="605" t="s">
        <v>4669</v>
      </c>
      <c r="C268" s="605" t="s">
        <v>4666</v>
      </c>
      <c r="D268" s="605">
        <v>10.0</v>
      </c>
      <c r="E268" s="605"/>
      <c r="F268" s="605"/>
    </row>
    <row r="269" ht="15.75" customHeight="1">
      <c r="A269" s="605" t="s">
        <v>4935</v>
      </c>
      <c r="B269" s="605" t="s">
        <v>1961</v>
      </c>
      <c r="C269" s="605" t="s">
        <v>4666</v>
      </c>
      <c r="D269" s="605">
        <v>330.0</v>
      </c>
      <c r="E269" s="605"/>
      <c r="F269" s="605"/>
    </row>
    <row r="270" ht="15.75" customHeight="1">
      <c r="A270" s="605" t="s">
        <v>4936</v>
      </c>
      <c r="B270" s="605" t="s">
        <v>4669</v>
      </c>
      <c r="C270" s="605" t="s">
        <v>4666</v>
      </c>
      <c r="D270" s="605">
        <v>11.0</v>
      </c>
      <c r="E270" s="605"/>
      <c r="F270" s="605"/>
    </row>
    <row r="271" ht="15.75" customHeight="1">
      <c r="A271" s="605" t="s">
        <v>4937</v>
      </c>
      <c r="B271" s="605" t="s">
        <v>4669</v>
      </c>
      <c r="C271" s="605" t="s">
        <v>4666</v>
      </c>
      <c r="D271" s="605">
        <v>120.0</v>
      </c>
      <c r="E271" s="605"/>
      <c r="F271" s="605"/>
    </row>
    <row r="272" ht="15.75" customHeight="1">
      <c r="A272" s="605" t="s">
        <v>4938</v>
      </c>
      <c r="B272" s="605" t="s">
        <v>4669</v>
      </c>
      <c r="C272" s="605" t="s">
        <v>4666</v>
      </c>
      <c r="D272" s="605">
        <v>125.0</v>
      </c>
      <c r="E272" s="605"/>
      <c r="F272" s="605"/>
    </row>
    <row r="273" ht="15.75" customHeight="1">
      <c r="A273" s="605" t="s">
        <v>4939</v>
      </c>
      <c r="B273" s="605" t="s">
        <v>4669</v>
      </c>
      <c r="C273" s="605" t="s">
        <v>4666</v>
      </c>
      <c r="D273" s="605">
        <v>12.0</v>
      </c>
      <c r="E273" s="605"/>
      <c r="F273" s="605"/>
    </row>
    <row r="274" ht="15.75" customHeight="1">
      <c r="A274" s="605" t="s">
        <v>4940</v>
      </c>
      <c r="B274" s="605" t="s">
        <v>4669</v>
      </c>
      <c r="C274" s="605" t="s">
        <v>4666</v>
      </c>
      <c r="D274" s="605">
        <v>130.0</v>
      </c>
      <c r="E274" s="605"/>
      <c r="F274" s="605"/>
    </row>
    <row r="275" ht="15.75" customHeight="1">
      <c r="A275" s="605" t="s">
        <v>4941</v>
      </c>
      <c r="B275" s="605" t="s">
        <v>1961</v>
      </c>
      <c r="C275" s="605" t="s">
        <v>4666</v>
      </c>
      <c r="D275" s="605">
        <v>4015.0</v>
      </c>
      <c r="E275" s="605"/>
      <c r="F275" s="605"/>
    </row>
    <row r="276" ht="15.75" customHeight="1">
      <c r="A276" s="605" t="s">
        <v>4942</v>
      </c>
      <c r="B276" s="605" t="s">
        <v>4669</v>
      </c>
      <c r="C276" s="605" t="s">
        <v>4666</v>
      </c>
      <c r="D276" s="605">
        <v>13.0</v>
      </c>
      <c r="E276" s="605"/>
      <c r="F276" s="605"/>
    </row>
    <row r="277" ht="15.75" customHeight="1">
      <c r="A277" s="605" t="s">
        <v>4943</v>
      </c>
      <c r="B277" s="605" t="s">
        <v>1961</v>
      </c>
      <c r="C277" s="605" t="s">
        <v>4666</v>
      </c>
      <c r="D277" s="605">
        <v>4345.0</v>
      </c>
      <c r="E277" s="605"/>
      <c r="F277" s="605"/>
    </row>
    <row r="278" ht="15.75" customHeight="1">
      <c r="A278" s="605" t="s">
        <v>4944</v>
      </c>
      <c r="B278" s="605" t="s">
        <v>4669</v>
      </c>
      <c r="C278" s="605" t="s">
        <v>4666</v>
      </c>
      <c r="D278" s="605">
        <v>14.0</v>
      </c>
      <c r="E278" s="605"/>
      <c r="F278" s="605"/>
    </row>
    <row r="279" ht="15.75" customHeight="1">
      <c r="A279" s="605" t="s">
        <v>4945</v>
      </c>
      <c r="B279" s="605" t="s">
        <v>4669</v>
      </c>
      <c r="C279" s="605" t="s">
        <v>4666</v>
      </c>
      <c r="D279" s="605">
        <v>15.0</v>
      </c>
      <c r="E279" s="605"/>
      <c r="F279" s="605"/>
    </row>
    <row r="280" ht="15.75" customHeight="1">
      <c r="A280" s="605" t="s">
        <v>4946</v>
      </c>
      <c r="B280" s="605" t="s">
        <v>4669</v>
      </c>
      <c r="C280" s="605" t="s">
        <v>4666</v>
      </c>
      <c r="D280" s="605">
        <v>16.0</v>
      </c>
      <c r="E280" s="605"/>
      <c r="F280" s="605"/>
    </row>
    <row r="281" ht="15.75" customHeight="1">
      <c r="A281" s="605" t="s">
        <v>4947</v>
      </c>
      <c r="B281" s="605" t="s">
        <v>1961</v>
      </c>
      <c r="C281" s="605" t="s">
        <v>4666</v>
      </c>
      <c r="D281" s="605">
        <v>510.0</v>
      </c>
      <c r="E281" s="605"/>
      <c r="F281" s="605"/>
    </row>
    <row r="282" ht="15.75" customHeight="1">
      <c r="A282" s="605" t="s">
        <v>4948</v>
      </c>
      <c r="B282" s="605" t="s">
        <v>4669</v>
      </c>
      <c r="C282" s="605" t="s">
        <v>4666</v>
      </c>
      <c r="D282" s="605">
        <v>17.0</v>
      </c>
      <c r="E282" s="605"/>
      <c r="F282" s="605"/>
    </row>
    <row r="283" ht="15.75" customHeight="1">
      <c r="A283" s="605" t="s">
        <v>4949</v>
      </c>
      <c r="B283" s="605" t="s">
        <v>1961</v>
      </c>
      <c r="C283" s="605" t="s">
        <v>4666</v>
      </c>
      <c r="D283" s="605">
        <v>1813.0</v>
      </c>
      <c r="E283" s="605"/>
      <c r="F283" s="605"/>
    </row>
    <row r="284" ht="15.75" customHeight="1">
      <c r="A284" s="605" t="s">
        <v>4950</v>
      </c>
      <c r="B284" s="605" t="s">
        <v>1961</v>
      </c>
      <c r="C284" s="605" t="s">
        <v>4666</v>
      </c>
      <c r="D284" s="605">
        <v>547.0</v>
      </c>
      <c r="E284" s="605"/>
      <c r="F284" s="605"/>
    </row>
    <row r="285" ht="15.75" customHeight="1">
      <c r="A285" s="605" t="s">
        <v>4951</v>
      </c>
      <c r="B285" s="605" t="s">
        <v>4669</v>
      </c>
      <c r="C285" s="605" t="s">
        <v>4666</v>
      </c>
      <c r="D285" s="605">
        <v>18.0</v>
      </c>
      <c r="E285" s="605"/>
      <c r="F285" s="605"/>
    </row>
    <row r="286" ht="15.75" customHeight="1">
      <c r="A286" s="605" t="s">
        <v>4952</v>
      </c>
      <c r="B286" s="605" t="s">
        <v>4669</v>
      </c>
      <c r="C286" s="605" t="s">
        <v>4666</v>
      </c>
      <c r="D286" s="605">
        <v>19.0</v>
      </c>
      <c r="E286" s="605"/>
      <c r="F286" s="605"/>
    </row>
    <row r="287" ht="15.75" customHeight="1">
      <c r="A287" s="605" t="s">
        <v>4953</v>
      </c>
      <c r="B287" s="605" t="s">
        <v>1961</v>
      </c>
      <c r="C287" s="605" t="s">
        <v>4666</v>
      </c>
      <c r="D287" s="605">
        <v>30.0</v>
      </c>
      <c r="E287" s="605"/>
      <c r="F287" s="605"/>
    </row>
    <row r="288" ht="15.75" customHeight="1">
      <c r="A288" s="605" t="s">
        <v>4954</v>
      </c>
      <c r="B288" s="605" t="s">
        <v>1961</v>
      </c>
      <c r="C288" s="605" t="s">
        <v>4666</v>
      </c>
      <c r="D288" s="605">
        <v>365.0</v>
      </c>
      <c r="E288" s="605"/>
      <c r="F288" s="605"/>
    </row>
    <row r="289" ht="15.75" customHeight="1">
      <c r="A289" s="605" t="s">
        <v>4955</v>
      </c>
      <c r="B289" s="605" t="s">
        <v>4669</v>
      </c>
      <c r="C289" s="605" t="s">
        <v>4666</v>
      </c>
      <c r="D289" s="605">
        <v>1.0</v>
      </c>
      <c r="E289" s="605"/>
      <c r="F289" s="605"/>
    </row>
    <row r="290" ht="15.75" customHeight="1">
      <c r="A290" s="605" t="s">
        <v>4956</v>
      </c>
      <c r="B290" s="605" t="s">
        <v>4669</v>
      </c>
      <c r="C290" s="605" t="s">
        <v>4666</v>
      </c>
      <c r="D290" s="605">
        <v>20.0</v>
      </c>
      <c r="E290" s="605"/>
      <c r="F290" s="605"/>
    </row>
    <row r="291" ht="15.75" customHeight="1">
      <c r="A291" s="605" t="s">
        <v>4957</v>
      </c>
      <c r="B291" s="605" t="s">
        <v>4669</v>
      </c>
      <c r="C291" s="605" t="s">
        <v>4666</v>
      </c>
      <c r="D291" s="605">
        <v>21.0</v>
      </c>
      <c r="E291" s="605"/>
      <c r="F291" s="605"/>
    </row>
    <row r="292" ht="15.75" customHeight="1">
      <c r="A292" s="605" t="s">
        <v>4958</v>
      </c>
      <c r="B292" s="605" t="s">
        <v>4669</v>
      </c>
      <c r="C292" s="605" t="s">
        <v>4666</v>
      </c>
      <c r="D292" s="605">
        <v>22.0</v>
      </c>
      <c r="E292" s="605"/>
      <c r="F292" s="605"/>
    </row>
    <row r="293" ht="15.75" customHeight="1">
      <c r="A293" s="605" t="s">
        <v>4959</v>
      </c>
      <c r="B293" s="605" t="s">
        <v>1961</v>
      </c>
      <c r="C293" s="605" t="s">
        <v>4666</v>
      </c>
      <c r="D293" s="605">
        <v>690.0</v>
      </c>
      <c r="E293" s="605"/>
      <c r="F293" s="605"/>
    </row>
    <row r="294" ht="15.75" customHeight="1">
      <c r="A294" s="605" t="s">
        <v>4960</v>
      </c>
      <c r="B294" s="605" t="s">
        <v>4669</v>
      </c>
      <c r="C294" s="605" t="s">
        <v>4666</v>
      </c>
      <c r="D294" s="605">
        <v>23.0</v>
      </c>
      <c r="E294" s="605"/>
      <c r="F294" s="605"/>
    </row>
    <row r="295" ht="15.75" customHeight="1">
      <c r="A295" s="605" t="s">
        <v>4961</v>
      </c>
      <c r="B295" s="605" t="s">
        <v>1961</v>
      </c>
      <c r="C295" s="605" t="s">
        <v>4666</v>
      </c>
      <c r="D295" s="605">
        <v>240.0</v>
      </c>
      <c r="E295" s="605"/>
      <c r="F295" s="605"/>
    </row>
    <row r="296" ht="15.75" customHeight="1">
      <c r="A296" s="605" t="s">
        <v>4962</v>
      </c>
      <c r="B296" s="605" t="s">
        <v>1961</v>
      </c>
      <c r="C296" s="605" t="s">
        <v>4666</v>
      </c>
      <c r="D296" s="605">
        <v>730.0</v>
      </c>
      <c r="E296" s="605"/>
      <c r="F296" s="605"/>
    </row>
    <row r="297" ht="15.75" customHeight="1">
      <c r="A297" s="605" t="s">
        <v>4963</v>
      </c>
      <c r="B297" s="605" t="s">
        <v>4669</v>
      </c>
      <c r="C297" s="605" t="s">
        <v>4666</v>
      </c>
      <c r="D297" s="605">
        <v>24.0</v>
      </c>
      <c r="E297" s="605"/>
      <c r="F297" s="605"/>
    </row>
    <row r="298" ht="15.75" customHeight="1">
      <c r="A298" s="605" t="s">
        <v>4964</v>
      </c>
      <c r="B298" s="605" t="s">
        <v>4669</v>
      </c>
      <c r="C298" s="605" t="s">
        <v>4666</v>
      </c>
      <c r="D298" s="605">
        <v>25.0</v>
      </c>
      <c r="E298" s="605"/>
      <c r="F298" s="605"/>
    </row>
    <row r="299" ht="15.75" customHeight="1">
      <c r="A299" s="605" t="s">
        <v>4965</v>
      </c>
      <c r="B299" s="605" t="s">
        <v>4669</v>
      </c>
      <c r="C299" s="605" t="s">
        <v>4666</v>
      </c>
      <c r="D299" s="605">
        <v>26.0</v>
      </c>
      <c r="E299" s="605"/>
      <c r="F299" s="605"/>
    </row>
    <row r="300" ht="15.75" customHeight="1">
      <c r="A300" s="605" t="s">
        <v>4966</v>
      </c>
      <c r="B300" s="605" t="s">
        <v>1961</v>
      </c>
      <c r="C300" s="605" t="s">
        <v>4666</v>
      </c>
      <c r="D300" s="605">
        <v>27.0</v>
      </c>
      <c r="E300" s="605"/>
      <c r="F300" s="605"/>
    </row>
    <row r="301" ht="15.75" customHeight="1">
      <c r="A301" s="605" t="s">
        <v>4967</v>
      </c>
      <c r="B301" s="605" t="s">
        <v>4669</v>
      </c>
      <c r="C301" s="605" t="s">
        <v>4666</v>
      </c>
      <c r="D301" s="605">
        <v>27.0</v>
      </c>
      <c r="E301" s="605"/>
      <c r="F301" s="605"/>
    </row>
    <row r="302" ht="15.75" customHeight="1">
      <c r="A302" s="605" t="s">
        <v>4968</v>
      </c>
      <c r="B302" s="605" t="s">
        <v>1961</v>
      </c>
      <c r="C302" s="605" t="s">
        <v>4666</v>
      </c>
      <c r="D302" s="605">
        <v>28.0</v>
      </c>
      <c r="E302" s="605"/>
      <c r="F302" s="605"/>
    </row>
    <row r="303" ht="15.75" customHeight="1">
      <c r="A303" s="605" t="s">
        <v>4969</v>
      </c>
      <c r="B303" s="605" t="s">
        <v>1961</v>
      </c>
      <c r="C303" s="605" t="s">
        <v>4666</v>
      </c>
      <c r="D303" s="605">
        <v>29.0</v>
      </c>
      <c r="E303" s="605"/>
      <c r="F303" s="605"/>
    </row>
    <row r="304" ht="15.75" customHeight="1">
      <c r="A304" s="605" t="s">
        <v>4970</v>
      </c>
      <c r="B304" s="605" t="s">
        <v>4669</v>
      </c>
      <c r="C304" s="605" t="s">
        <v>4666</v>
      </c>
      <c r="D304" s="605">
        <v>29.0</v>
      </c>
      <c r="E304" s="605"/>
      <c r="F304" s="605"/>
    </row>
    <row r="305" ht="15.75" customHeight="1">
      <c r="A305" s="605" t="s">
        <v>4971</v>
      </c>
      <c r="B305" s="605" t="s">
        <v>1961</v>
      </c>
      <c r="C305" s="605" t="s">
        <v>4666</v>
      </c>
      <c r="D305" s="605">
        <v>2.0</v>
      </c>
      <c r="E305" s="605"/>
      <c r="F305" s="605"/>
    </row>
    <row r="306" ht="15.75" customHeight="1">
      <c r="A306" s="605" t="s">
        <v>4972</v>
      </c>
      <c r="B306" s="605" t="s">
        <v>4669</v>
      </c>
      <c r="C306" s="605" t="s">
        <v>4666</v>
      </c>
      <c r="D306" s="605">
        <v>2.0</v>
      </c>
      <c r="E306" s="605"/>
      <c r="F306" s="605"/>
    </row>
    <row r="307" ht="15.75" customHeight="1">
      <c r="A307" s="605" t="s">
        <v>4973</v>
      </c>
      <c r="B307" s="605" t="s">
        <v>4669</v>
      </c>
      <c r="C307" s="605" t="s">
        <v>4666</v>
      </c>
      <c r="D307" s="605">
        <v>2.0</v>
      </c>
      <c r="E307" s="605" t="s">
        <v>4667</v>
      </c>
      <c r="F307" s="605">
        <v>21.0</v>
      </c>
    </row>
    <row r="308" ht="15.75" customHeight="1">
      <c r="A308" s="605" t="s">
        <v>4974</v>
      </c>
      <c r="B308" s="605" t="s">
        <v>4669</v>
      </c>
      <c r="C308" s="605" t="s">
        <v>4666</v>
      </c>
      <c r="D308" s="605">
        <v>34.0</v>
      </c>
      <c r="E308" s="605"/>
      <c r="F308" s="605"/>
    </row>
    <row r="309" ht="15.75" customHeight="1">
      <c r="A309" s="605" t="s">
        <v>4975</v>
      </c>
      <c r="B309" s="605" t="s">
        <v>1961</v>
      </c>
      <c r="C309" s="605" t="s">
        <v>4666</v>
      </c>
      <c r="D309" s="605">
        <v>1050.0</v>
      </c>
      <c r="E309" s="605"/>
      <c r="F309" s="605"/>
    </row>
    <row r="310" ht="15.75" customHeight="1">
      <c r="A310" s="605" t="s">
        <v>4976</v>
      </c>
      <c r="B310" s="605" t="s">
        <v>4669</v>
      </c>
      <c r="C310" s="605" t="s">
        <v>4666</v>
      </c>
      <c r="D310" s="605">
        <v>35.0</v>
      </c>
      <c r="E310" s="605"/>
      <c r="F310" s="605"/>
    </row>
    <row r="311" ht="15.75" customHeight="1">
      <c r="A311" s="605" t="s">
        <v>4977</v>
      </c>
      <c r="B311" s="605" t="s">
        <v>1961</v>
      </c>
      <c r="C311" s="605" t="s">
        <v>4666</v>
      </c>
      <c r="D311" s="605">
        <v>364.0</v>
      </c>
      <c r="E311" s="605"/>
      <c r="F311" s="605"/>
    </row>
    <row r="312" ht="15.75" customHeight="1">
      <c r="A312" s="605" t="s">
        <v>4978</v>
      </c>
      <c r="B312" s="605" t="s">
        <v>1961</v>
      </c>
      <c r="C312" s="605" t="s">
        <v>4666</v>
      </c>
      <c r="D312" s="605">
        <v>365.0</v>
      </c>
      <c r="E312" s="605"/>
      <c r="F312" s="605"/>
    </row>
    <row r="313" ht="15.75" customHeight="1">
      <c r="A313" s="605" t="s">
        <v>4979</v>
      </c>
      <c r="B313" s="605" t="s">
        <v>4669</v>
      </c>
      <c r="C313" s="605" t="s">
        <v>4666</v>
      </c>
      <c r="D313" s="605">
        <v>37.0</v>
      </c>
      <c r="E313" s="605"/>
      <c r="F313" s="605"/>
    </row>
    <row r="314" ht="15.75" customHeight="1">
      <c r="A314" s="605" t="s">
        <v>4980</v>
      </c>
      <c r="B314" s="605" t="s">
        <v>4669</v>
      </c>
      <c r="C314" s="605" t="s">
        <v>4666</v>
      </c>
      <c r="D314" s="605">
        <v>39.0</v>
      </c>
      <c r="E314" s="605"/>
      <c r="F314" s="605"/>
    </row>
    <row r="315" ht="15.75" customHeight="1">
      <c r="A315" s="605" t="s">
        <v>4981</v>
      </c>
      <c r="B315" s="605" t="s">
        <v>1961</v>
      </c>
      <c r="C315" s="605" t="s">
        <v>4666</v>
      </c>
      <c r="D315" s="605">
        <v>3.0</v>
      </c>
      <c r="E315" s="605"/>
      <c r="F315" s="605"/>
    </row>
    <row r="316" ht="15.75" customHeight="1">
      <c r="A316" s="605" t="s">
        <v>4982</v>
      </c>
      <c r="B316" s="605" t="s">
        <v>1961</v>
      </c>
      <c r="C316" s="605" t="s">
        <v>4666</v>
      </c>
      <c r="D316" s="605">
        <v>90.0</v>
      </c>
      <c r="E316" s="605"/>
      <c r="F316" s="605"/>
    </row>
    <row r="317" ht="15.75" customHeight="1">
      <c r="A317" s="605" t="s">
        <v>4983</v>
      </c>
      <c r="B317" s="605" t="s">
        <v>4669</v>
      </c>
      <c r="C317" s="605" t="s">
        <v>4666</v>
      </c>
      <c r="D317" s="605">
        <v>3.0</v>
      </c>
      <c r="E317" s="605"/>
      <c r="F317" s="605"/>
    </row>
    <row r="318" ht="15.75" customHeight="1">
      <c r="A318" s="605" t="s">
        <v>4984</v>
      </c>
      <c r="B318" s="605" t="s">
        <v>4669</v>
      </c>
      <c r="C318" s="605" t="s">
        <v>4666</v>
      </c>
      <c r="D318" s="605">
        <v>40.0</v>
      </c>
      <c r="E318" s="605"/>
      <c r="F318" s="605"/>
    </row>
    <row r="319" ht="15.75" customHeight="1">
      <c r="A319" s="605" t="s">
        <v>4985</v>
      </c>
      <c r="B319" s="605" t="s">
        <v>4669</v>
      </c>
      <c r="C319" s="605" t="s">
        <v>4666</v>
      </c>
      <c r="D319" s="605">
        <v>43.0</v>
      </c>
      <c r="E319" s="605"/>
      <c r="F319" s="605"/>
    </row>
    <row r="320" ht="15.75" customHeight="1">
      <c r="A320" s="605" t="s">
        <v>4986</v>
      </c>
      <c r="B320" s="605" t="s">
        <v>4669</v>
      </c>
      <c r="C320" s="605" t="s">
        <v>4666</v>
      </c>
      <c r="D320" s="605">
        <v>44.0</v>
      </c>
      <c r="E320" s="605"/>
      <c r="F320" s="605"/>
    </row>
    <row r="321" ht="15.75" customHeight="1">
      <c r="A321" s="605" t="s">
        <v>4987</v>
      </c>
      <c r="B321" s="605" t="s">
        <v>4669</v>
      </c>
      <c r="C321" s="605" t="s">
        <v>4666</v>
      </c>
      <c r="D321" s="605">
        <v>45.0</v>
      </c>
      <c r="E321" s="605"/>
      <c r="F321" s="605"/>
    </row>
    <row r="322" ht="15.75" customHeight="1">
      <c r="A322" s="605" t="s">
        <v>4988</v>
      </c>
      <c r="B322" s="605" t="s">
        <v>4669</v>
      </c>
      <c r="C322" s="605" t="s">
        <v>4666</v>
      </c>
      <c r="D322" s="605">
        <v>46.0</v>
      </c>
      <c r="E322" s="605"/>
      <c r="F322" s="605"/>
    </row>
    <row r="323" ht="15.75" customHeight="1">
      <c r="A323" s="605" t="s">
        <v>4989</v>
      </c>
      <c r="B323" s="605" t="s">
        <v>4669</v>
      </c>
      <c r="C323" s="605" t="s">
        <v>4666</v>
      </c>
      <c r="D323" s="605">
        <v>49.0</v>
      </c>
      <c r="E323" s="605"/>
      <c r="F323" s="605"/>
    </row>
    <row r="324" ht="15.75" customHeight="1">
      <c r="A324" s="605" t="s">
        <v>4990</v>
      </c>
      <c r="B324" s="605" t="s">
        <v>4669</v>
      </c>
      <c r="C324" s="605" t="s">
        <v>4666</v>
      </c>
      <c r="D324" s="605">
        <v>4.0</v>
      </c>
      <c r="E324" s="605"/>
      <c r="F324" s="605"/>
    </row>
    <row r="325" ht="15.75" customHeight="1">
      <c r="A325" s="605" t="s">
        <v>4991</v>
      </c>
      <c r="B325" s="605" t="s">
        <v>4669</v>
      </c>
      <c r="C325" s="605" t="s">
        <v>4666</v>
      </c>
      <c r="D325" s="605">
        <v>50.0</v>
      </c>
      <c r="E325" s="605"/>
      <c r="F325" s="605"/>
    </row>
    <row r="326" ht="15.75" customHeight="1">
      <c r="A326" s="605" t="s">
        <v>4992</v>
      </c>
      <c r="B326" s="605" t="s">
        <v>4669</v>
      </c>
      <c r="C326" s="605" t="s">
        <v>4666</v>
      </c>
      <c r="D326" s="605">
        <v>51.0</v>
      </c>
      <c r="E326" s="605"/>
      <c r="F326" s="605"/>
    </row>
    <row r="327" ht="15.75" customHeight="1">
      <c r="A327" s="605" t="s">
        <v>4993</v>
      </c>
      <c r="B327" s="605" t="s">
        <v>4669</v>
      </c>
      <c r="C327" s="605" t="s">
        <v>4666</v>
      </c>
      <c r="D327" s="605">
        <v>54.0</v>
      </c>
      <c r="E327" s="605"/>
      <c r="F327" s="605"/>
    </row>
    <row r="328" ht="15.75" customHeight="1">
      <c r="A328" s="605" t="s">
        <v>4994</v>
      </c>
      <c r="B328" s="605" t="s">
        <v>4669</v>
      </c>
      <c r="C328" s="605" t="s">
        <v>4666</v>
      </c>
      <c r="D328" s="605">
        <v>55.0</v>
      </c>
      <c r="E328" s="605"/>
      <c r="F328" s="605"/>
    </row>
    <row r="329" ht="15.75" customHeight="1">
      <c r="A329" s="605" t="s">
        <v>4995</v>
      </c>
      <c r="B329" s="605" t="s">
        <v>4669</v>
      </c>
      <c r="C329" s="605" t="s">
        <v>4666</v>
      </c>
      <c r="D329" s="605">
        <v>58.0</v>
      </c>
      <c r="E329" s="605"/>
      <c r="F329" s="605"/>
    </row>
    <row r="330" ht="15.75" customHeight="1">
      <c r="A330" s="605" t="s">
        <v>4996</v>
      </c>
      <c r="B330" s="605" t="s">
        <v>1961</v>
      </c>
      <c r="C330" s="605" t="s">
        <v>4666</v>
      </c>
      <c r="D330" s="605">
        <v>1790.0</v>
      </c>
      <c r="E330" s="605"/>
      <c r="F330" s="605"/>
    </row>
    <row r="331" ht="15.75" customHeight="1">
      <c r="A331" s="605" t="s">
        <v>4997</v>
      </c>
      <c r="B331" s="605" t="s">
        <v>4669</v>
      </c>
      <c r="C331" s="605" t="s">
        <v>4666</v>
      </c>
      <c r="D331" s="605">
        <v>59.0</v>
      </c>
      <c r="E331" s="605"/>
      <c r="F331" s="605"/>
    </row>
    <row r="332" ht="15.75" customHeight="1">
      <c r="A332" s="605" t="s">
        <v>4998</v>
      </c>
      <c r="B332" s="605" t="s">
        <v>1961</v>
      </c>
      <c r="C332" s="605" t="s">
        <v>4666</v>
      </c>
      <c r="D332" s="605">
        <v>150.0</v>
      </c>
      <c r="E332" s="605"/>
      <c r="F332" s="605"/>
    </row>
    <row r="333" ht="15.75" customHeight="1">
      <c r="A333" s="605" t="s">
        <v>4999</v>
      </c>
      <c r="B333" s="605" t="s">
        <v>4669</v>
      </c>
      <c r="C333" s="605" t="s">
        <v>4666</v>
      </c>
      <c r="D333" s="605">
        <v>5.0</v>
      </c>
      <c r="E333" s="605"/>
      <c r="F333" s="605"/>
    </row>
    <row r="334" ht="15.75" customHeight="1">
      <c r="A334" s="605" t="s">
        <v>5000</v>
      </c>
      <c r="B334" s="605" t="s">
        <v>1961</v>
      </c>
      <c r="C334" s="605" t="s">
        <v>4666</v>
      </c>
      <c r="D334" s="605">
        <v>1800.0</v>
      </c>
      <c r="E334" s="605"/>
      <c r="F334" s="605"/>
    </row>
    <row r="335" ht="15.75" customHeight="1">
      <c r="A335" s="605" t="s">
        <v>5001</v>
      </c>
      <c r="B335" s="605" t="s">
        <v>4669</v>
      </c>
      <c r="C335" s="605" t="s">
        <v>4666</v>
      </c>
      <c r="D335" s="605">
        <v>60.0</v>
      </c>
      <c r="E335" s="605"/>
      <c r="F335" s="605"/>
    </row>
    <row r="336" ht="15.75" customHeight="1">
      <c r="A336" s="605" t="s">
        <v>5002</v>
      </c>
      <c r="B336" s="605" t="s">
        <v>4669</v>
      </c>
      <c r="C336" s="605" t="s">
        <v>4666</v>
      </c>
      <c r="D336" s="605">
        <v>61.0</v>
      </c>
      <c r="E336" s="605"/>
      <c r="F336" s="605"/>
    </row>
    <row r="337" ht="15.75" customHeight="1">
      <c r="A337" s="605" t="s">
        <v>5003</v>
      </c>
      <c r="B337" s="605" t="s">
        <v>4669</v>
      </c>
      <c r="C337" s="605" t="s">
        <v>4666</v>
      </c>
      <c r="D337" s="605">
        <v>63.0</v>
      </c>
      <c r="E337" s="605"/>
      <c r="F337" s="605"/>
    </row>
    <row r="338" ht="15.75" customHeight="1">
      <c r="A338" s="605" t="s">
        <v>5004</v>
      </c>
      <c r="B338" s="605" t="s">
        <v>4669</v>
      </c>
      <c r="C338" s="605" t="s">
        <v>4666</v>
      </c>
      <c r="D338" s="605">
        <v>64.0</v>
      </c>
      <c r="E338" s="605"/>
      <c r="F338" s="605"/>
    </row>
    <row r="339" ht="15.75" customHeight="1">
      <c r="A339" s="605" t="s">
        <v>5005</v>
      </c>
      <c r="B339" s="605" t="s">
        <v>4669</v>
      </c>
      <c r="C339" s="605" t="s">
        <v>4666</v>
      </c>
      <c r="D339" s="605">
        <v>65.0</v>
      </c>
      <c r="E339" s="605"/>
      <c r="F339" s="605"/>
    </row>
    <row r="340" ht="15.75" customHeight="1">
      <c r="A340" s="605" t="s">
        <v>5006</v>
      </c>
      <c r="B340" s="605" t="s">
        <v>4669</v>
      </c>
      <c r="C340" s="605" t="s">
        <v>4666</v>
      </c>
      <c r="D340" s="605">
        <v>69.0</v>
      </c>
      <c r="E340" s="605"/>
      <c r="F340" s="605"/>
    </row>
    <row r="341" ht="15.75" customHeight="1">
      <c r="A341" s="605" t="s">
        <v>5007</v>
      </c>
      <c r="B341" s="605" t="s">
        <v>1961</v>
      </c>
      <c r="C341" s="605" t="s">
        <v>4666</v>
      </c>
      <c r="D341" s="605">
        <v>180.0</v>
      </c>
      <c r="E341" s="605"/>
      <c r="F341" s="605"/>
    </row>
    <row r="342" ht="15.75" customHeight="1">
      <c r="A342" s="605" t="s">
        <v>5008</v>
      </c>
      <c r="B342" s="605" t="s">
        <v>4669</v>
      </c>
      <c r="C342" s="605" t="s">
        <v>4666</v>
      </c>
      <c r="D342" s="605">
        <v>6.0</v>
      </c>
      <c r="E342" s="605"/>
      <c r="F342" s="605"/>
    </row>
    <row r="343" ht="15.75" customHeight="1">
      <c r="A343" s="605" t="s">
        <v>5009</v>
      </c>
      <c r="B343" s="605" t="s">
        <v>4669</v>
      </c>
      <c r="C343" s="605" t="s">
        <v>4666</v>
      </c>
      <c r="D343" s="605">
        <v>70.0</v>
      </c>
      <c r="E343" s="605"/>
      <c r="F343" s="605"/>
    </row>
    <row r="344" ht="15.75" customHeight="1">
      <c r="A344" s="605" t="s">
        <v>5010</v>
      </c>
      <c r="B344" s="605" t="s">
        <v>1961</v>
      </c>
      <c r="C344" s="605" t="s">
        <v>4666</v>
      </c>
      <c r="D344" s="605">
        <v>2155.0</v>
      </c>
      <c r="E344" s="605"/>
      <c r="F344" s="605"/>
    </row>
    <row r="345" ht="15.75" customHeight="1">
      <c r="A345" s="605" t="s">
        <v>5011</v>
      </c>
      <c r="B345" s="605" t="s">
        <v>1961</v>
      </c>
      <c r="C345" s="605" t="s">
        <v>4666</v>
      </c>
      <c r="D345" s="605">
        <v>729.0</v>
      </c>
      <c r="E345" s="605"/>
      <c r="F345" s="605"/>
    </row>
    <row r="346" ht="15.75" customHeight="1">
      <c r="A346" s="605" t="s">
        <v>5012</v>
      </c>
      <c r="B346" s="605" t="s">
        <v>4669</v>
      </c>
      <c r="C346" s="605" t="s">
        <v>4666</v>
      </c>
      <c r="D346" s="605">
        <v>74.0</v>
      </c>
      <c r="E346" s="605"/>
      <c r="F346" s="605"/>
    </row>
    <row r="347" ht="15.75" customHeight="1">
      <c r="A347" s="605" t="s">
        <v>5013</v>
      </c>
      <c r="B347" s="605" t="s">
        <v>4669</v>
      </c>
      <c r="C347" s="605" t="s">
        <v>4666</v>
      </c>
      <c r="D347" s="605">
        <v>75.0</v>
      </c>
      <c r="E347" s="605"/>
      <c r="F347" s="605"/>
    </row>
    <row r="348" ht="15.75" customHeight="1">
      <c r="A348" s="605" t="s">
        <v>5014</v>
      </c>
      <c r="B348" s="605" t="s">
        <v>4669</v>
      </c>
      <c r="C348" s="605" t="s">
        <v>4666</v>
      </c>
      <c r="D348" s="605">
        <v>77.0</v>
      </c>
      <c r="E348" s="605"/>
      <c r="F348" s="605"/>
    </row>
    <row r="349" ht="15.75" customHeight="1">
      <c r="A349" s="605" t="s">
        <v>5015</v>
      </c>
      <c r="B349" s="605" t="s">
        <v>4669</v>
      </c>
      <c r="C349" s="605" t="s">
        <v>4666</v>
      </c>
      <c r="D349" s="605">
        <v>7.0</v>
      </c>
      <c r="E349" s="605"/>
      <c r="F349" s="605"/>
    </row>
    <row r="350" ht="15.75" customHeight="1">
      <c r="A350" s="605" t="s">
        <v>5016</v>
      </c>
      <c r="B350" s="605" t="s">
        <v>4669</v>
      </c>
      <c r="C350" s="605" t="s">
        <v>4666</v>
      </c>
      <c r="D350" s="605">
        <v>80.0</v>
      </c>
      <c r="E350" s="605"/>
      <c r="F350" s="605"/>
    </row>
    <row r="351" ht="15.75" customHeight="1">
      <c r="A351" s="605" t="s">
        <v>5017</v>
      </c>
      <c r="B351" s="605" t="s">
        <v>4669</v>
      </c>
      <c r="C351" s="605" t="s">
        <v>4666</v>
      </c>
      <c r="D351" s="605">
        <v>85.0</v>
      </c>
      <c r="E351" s="605"/>
      <c r="F351" s="605"/>
    </row>
    <row r="352" ht="15.75" customHeight="1">
      <c r="A352" s="605" t="s">
        <v>5018</v>
      </c>
      <c r="B352" s="605" t="s">
        <v>4669</v>
      </c>
      <c r="C352" s="605" t="s">
        <v>4666</v>
      </c>
      <c r="D352" s="605">
        <v>86.0</v>
      </c>
      <c r="E352" s="605"/>
      <c r="F352" s="605"/>
    </row>
    <row r="353" ht="15.75" customHeight="1">
      <c r="A353" s="605" t="s">
        <v>5019</v>
      </c>
      <c r="B353" s="605" t="s">
        <v>4669</v>
      </c>
      <c r="C353" s="605" t="s">
        <v>4666</v>
      </c>
      <c r="D353" s="605">
        <v>8.0</v>
      </c>
      <c r="E353" s="605"/>
      <c r="F353" s="605"/>
    </row>
    <row r="354" ht="15.75" customHeight="1">
      <c r="A354" s="605" t="s">
        <v>5020</v>
      </c>
      <c r="B354" s="605" t="s">
        <v>4669</v>
      </c>
      <c r="C354" s="605" t="s">
        <v>4666</v>
      </c>
      <c r="D354" s="605">
        <v>999.0</v>
      </c>
      <c r="E354" s="605"/>
      <c r="F354" s="605"/>
    </row>
    <row r="355" ht="15.75" customHeight="1">
      <c r="A355" s="605" t="s">
        <v>5021</v>
      </c>
      <c r="B355" s="605" t="s">
        <v>4669</v>
      </c>
      <c r="C355" s="605" t="s">
        <v>4666</v>
      </c>
      <c r="D355" s="605">
        <v>99.0</v>
      </c>
      <c r="E355" s="605"/>
      <c r="F355" s="605"/>
    </row>
    <row r="356" ht="15.75" customHeight="1">
      <c r="A356" s="605" t="s">
        <v>5022</v>
      </c>
      <c r="B356" s="605" t="s">
        <v>4669</v>
      </c>
      <c r="C356" s="605" t="s">
        <v>4666</v>
      </c>
      <c r="D356" s="605">
        <v>9.0</v>
      </c>
      <c r="E356" s="605"/>
      <c r="F356" s="605"/>
    </row>
    <row r="357" ht="15.75" customHeight="1">
      <c r="A357" s="605" t="s">
        <v>5023</v>
      </c>
      <c r="B357" s="605" t="s">
        <v>1961</v>
      </c>
      <c r="C357" s="605" t="s">
        <v>4667</v>
      </c>
      <c r="D357" s="605">
        <v>180.0</v>
      </c>
      <c r="E357" s="605"/>
      <c r="F357" s="605"/>
    </row>
    <row r="358" ht="15.75" customHeight="1">
      <c r="A358" s="605" t="s">
        <v>5024</v>
      </c>
      <c r="B358" s="605" t="s">
        <v>4669</v>
      </c>
      <c r="C358" s="605" t="s">
        <v>4667</v>
      </c>
      <c r="D358" s="605">
        <v>10.0</v>
      </c>
      <c r="E358" s="605"/>
      <c r="F358" s="605"/>
    </row>
    <row r="359" ht="15.75" customHeight="1">
      <c r="A359" s="605" t="s">
        <v>5025</v>
      </c>
      <c r="B359" s="605" t="s">
        <v>4669</v>
      </c>
      <c r="C359" s="605" t="s">
        <v>4667</v>
      </c>
      <c r="D359" s="605">
        <v>11.0</v>
      </c>
      <c r="E359" s="605"/>
      <c r="F359" s="605"/>
    </row>
    <row r="360" ht="15.75" customHeight="1">
      <c r="A360" s="605" t="s">
        <v>5026</v>
      </c>
      <c r="B360" s="605" t="s">
        <v>1961</v>
      </c>
      <c r="C360" s="605" t="s">
        <v>4667</v>
      </c>
      <c r="D360" s="605">
        <v>365.0</v>
      </c>
      <c r="E360" s="605"/>
      <c r="F360" s="605"/>
    </row>
    <row r="361" ht="15.75" customHeight="1">
      <c r="A361" s="605" t="s">
        <v>5027</v>
      </c>
      <c r="B361" s="605" t="s">
        <v>4669</v>
      </c>
      <c r="C361" s="605" t="s">
        <v>4667</v>
      </c>
      <c r="D361" s="605">
        <v>12.0</v>
      </c>
      <c r="E361" s="605"/>
      <c r="F361" s="605"/>
    </row>
    <row r="362" ht="15.75" customHeight="1">
      <c r="A362" s="605" t="s">
        <v>5028</v>
      </c>
      <c r="B362" s="605" t="s">
        <v>4669</v>
      </c>
      <c r="C362" s="605" t="s">
        <v>4667</v>
      </c>
      <c r="D362" s="605">
        <v>13.0</v>
      </c>
      <c r="E362" s="605"/>
      <c r="F362" s="605"/>
    </row>
    <row r="363" ht="15.75" customHeight="1">
      <c r="A363" s="605" t="s">
        <v>5029</v>
      </c>
      <c r="B363" s="605" t="s">
        <v>4669</v>
      </c>
      <c r="C363" s="605" t="s">
        <v>4667</v>
      </c>
      <c r="D363" s="605">
        <v>14.0</v>
      </c>
      <c r="E363" s="605"/>
      <c r="F363" s="605"/>
    </row>
    <row r="364" ht="15.75" customHeight="1">
      <c r="A364" s="605" t="s">
        <v>5030</v>
      </c>
      <c r="B364" s="605" t="s">
        <v>4669</v>
      </c>
      <c r="C364" s="605" t="s">
        <v>4667</v>
      </c>
      <c r="D364" s="605">
        <v>15.0</v>
      </c>
      <c r="E364" s="605"/>
      <c r="F364" s="605"/>
    </row>
    <row r="365" ht="15.75" customHeight="1">
      <c r="A365" s="605" t="s">
        <v>5031</v>
      </c>
      <c r="B365" s="605" t="s">
        <v>4669</v>
      </c>
      <c r="C365" s="605" t="s">
        <v>4667</v>
      </c>
      <c r="D365" s="605">
        <v>16.0</v>
      </c>
      <c r="E365" s="605"/>
      <c r="F365" s="605"/>
    </row>
    <row r="366" ht="15.75" customHeight="1">
      <c r="A366" s="605" t="s">
        <v>5032</v>
      </c>
      <c r="B366" s="605" t="s">
        <v>4669</v>
      </c>
      <c r="C366" s="605" t="s">
        <v>4667</v>
      </c>
      <c r="D366" s="605">
        <v>17.0</v>
      </c>
      <c r="E366" s="605"/>
      <c r="F366" s="605"/>
    </row>
    <row r="367" ht="15.75" customHeight="1">
      <c r="A367" s="605" t="s">
        <v>5033</v>
      </c>
      <c r="B367" s="605" t="s">
        <v>1961</v>
      </c>
      <c r="C367" s="605" t="s">
        <v>4667</v>
      </c>
      <c r="D367" s="605">
        <v>180.0</v>
      </c>
      <c r="E367" s="605"/>
      <c r="F367" s="605"/>
    </row>
    <row r="368" ht="15.75" customHeight="1">
      <c r="A368" s="605" t="s">
        <v>5034</v>
      </c>
      <c r="B368" s="605" t="s">
        <v>4669</v>
      </c>
      <c r="C368" s="605" t="s">
        <v>4667</v>
      </c>
      <c r="D368" s="605">
        <v>18.0</v>
      </c>
      <c r="E368" s="605"/>
      <c r="F368" s="605"/>
    </row>
    <row r="369" ht="15.75" customHeight="1">
      <c r="A369" s="605" t="s">
        <v>5035</v>
      </c>
      <c r="B369" s="605" t="s">
        <v>4669</v>
      </c>
      <c r="C369" s="605" t="s">
        <v>4667</v>
      </c>
      <c r="D369" s="605">
        <v>19.0</v>
      </c>
      <c r="E369" s="605"/>
      <c r="F369" s="605"/>
    </row>
    <row r="370" ht="15.75" customHeight="1">
      <c r="A370" s="605" t="s">
        <v>5036</v>
      </c>
      <c r="B370" s="605" t="s">
        <v>4669</v>
      </c>
      <c r="C370" s="605" t="s">
        <v>4667</v>
      </c>
      <c r="D370" s="605">
        <v>1.0</v>
      </c>
      <c r="E370" s="605"/>
      <c r="F370" s="605"/>
    </row>
    <row r="371" ht="15.75" customHeight="1">
      <c r="A371" s="605" t="s">
        <v>5037</v>
      </c>
      <c r="B371" s="605" t="s">
        <v>4669</v>
      </c>
      <c r="C371" s="605" t="s">
        <v>4667</v>
      </c>
      <c r="D371" s="605">
        <v>20.0</v>
      </c>
      <c r="E371" s="605"/>
      <c r="F371" s="605"/>
    </row>
    <row r="372" ht="15.75" customHeight="1">
      <c r="A372" s="605" t="s">
        <v>5038</v>
      </c>
      <c r="B372" s="605" t="s">
        <v>4669</v>
      </c>
      <c r="C372" s="605" t="s">
        <v>4667</v>
      </c>
      <c r="D372" s="605">
        <v>21.0</v>
      </c>
      <c r="E372" s="605"/>
      <c r="F372" s="605"/>
    </row>
    <row r="373" ht="15.75" customHeight="1">
      <c r="A373" s="605" t="s">
        <v>5039</v>
      </c>
      <c r="B373" s="605" t="s">
        <v>4669</v>
      </c>
      <c r="C373" s="605" t="s">
        <v>4667</v>
      </c>
      <c r="D373" s="605">
        <v>21.0</v>
      </c>
      <c r="E373" s="605" t="s">
        <v>4666</v>
      </c>
      <c r="F373" s="605">
        <v>39.0</v>
      </c>
    </row>
    <row r="374" ht="15.75" customHeight="1">
      <c r="A374" s="605" t="s">
        <v>5040</v>
      </c>
      <c r="B374" s="605" t="s">
        <v>4669</v>
      </c>
      <c r="C374" s="605" t="s">
        <v>4667</v>
      </c>
      <c r="D374" s="605">
        <v>21.0</v>
      </c>
      <c r="E374" s="605" t="s">
        <v>4666</v>
      </c>
      <c r="F374" s="605">
        <v>26.0</v>
      </c>
    </row>
    <row r="375" ht="15.75" customHeight="1">
      <c r="A375" s="605" t="s">
        <v>5041</v>
      </c>
      <c r="B375" s="605" t="s">
        <v>4669</v>
      </c>
      <c r="C375" s="605" t="s">
        <v>4667</v>
      </c>
      <c r="D375" s="605">
        <v>21.0</v>
      </c>
      <c r="E375" s="605" t="s">
        <v>4666</v>
      </c>
      <c r="F375" s="605">
        <v>45.0</v>
      </c>
    </row>
    <row r="376" ht="15.75" customHeight="1">
      <c r="A376" s="605" t="s">
        <v>5042</v>
      </c>
      <c r="B376" s="605" t="s">
        <v>4669</v>
      </c>
      <c r="C376" s="605" t="s">
        <v>4667</v>
      </c>
      <c r="D376" s="605">
        <v>22.0</v>
      </c>
      <c r="E376" s="605"/>
      <c r="F376" s="605"/>
    </row>
    <row r="377" ht="15.75" customHeight="1">
      <c r="A377" s="605" t="s">
        <v>5043</v>
      </c>
      <c r="B377" s="605" t="s">
        <v>4669</v>
      </c>
      <c r="C377" s="605" t="s">
        <v>4667</v>
      </c>
      <c r="D377" s="605">
        <v>25.0</v>
      </c>
      <c r="E377" s="605"/>
      <c r="F377" s="605"/>
    </row>
    <row r="378" ht="15.75" customHeight="1">
      <c r="A378" s="605" t="s">
        <v>5044</v>
      </c>
      <c r="B378" s="605" t="s">
        <v>4669</v>
      </c>
      <c r="C378" s="605" t="s">
        <v>4667</v>
      </c>
      <c r="D378" s="605">
        <v>26.0</v>
      </c>
      <c r="E378" s="605"/>
      <c r="F378" s="605"/>
    </row>
    <row r="379" ht="15.75" customHeight="1">
      <c r="A379" s="605" t="s">
        <v>5045</v>
      </c>
      <c r="B379" s="605" t="s">
        <v>1961</v>
      </c>
      <c r="C379" s="605" t="s">
        <v>4667</v>
      </c>
      <c r="D379" s="605">
        <v>28.0</v>
      </c>
      <c r="E379" s="605"/>
      <c r="F379" s="605"/>
    </row>
    <row r="380" ht="15.75" customHeight="1">
      <c r="A380" s="605" t="s">
        <v>5046</v>
      </c>
      <c r="B380" s="605" t="s">
        <v>4669</v>
      </c>
      <c r="C380" s="605" t="s">
        <v>4667</v>
      </c>
      <c r="D380" s="605">
        <v>28.0</v>
      </c>
      <c r="E380" s="605"/>
      <c r="F380" s="605"/>
    </row>
    <row r="381" ht="15.75" customHeight="1">
      <c r="A381" s="605" t="s">
        <v>5047</v>
      </c>
      <c r="B381" s="605" t="s">
        <v>1961</v>
      </c>
      <c r="C381" s="605" t="s">
        <v>4667</v>
      </c>
      <c r="D381" s="605">
        <v>29.0</v>
      </c>
      <c r="E381" s="605"/>
      <c r="F381" s="605"/>
    </row>
    <row r="382" ht="15.75" customHeight="1">
      <c r="A382" s="605" t="s">
        <v>5048</v>
      </c>
      <c r="B382" s="605" t="s">
        <v>1961</v>
      </c>
      <c r="C382" s="605" t="s">
        <v>4667</v>
      </c>
      <c r="D382" s="605">
        <v>2.0</v>
      </c>
      <c r="E382" s="605"/>
      <c r="F382" s="605"/>
    </row>
    <row r="383" ht="15.75" customHeight="1">
      <c r="A383" s="605" t="s">
        <v>5049</v>
      </c>
      <c r="B383" s="605" t="s">
        <v>4669</v>
      </c>
      <c r="C383" s="605" t="s">
        <v>4667</v>
      </c>
      <c r="D383" s="605">
        <v>2.0</v>
      </c>
      <c r="E383" s="605"/>
      <c r="F383" s="605"/>
    </row>
    <row r="384" ht="15.75" customHeight="1">
      <c r="A384" s="605" t="s">
        <v>5050</v>
      </c>
      <c r="B384" s="605" t="s">
        <v>4669</v>
      </c>
      <c r="C384" s="605" t="s">
        <v>4667</v>
      </c>
      <c r="D384" s="605">
        <v>30.0</v>
      </c>
      <c r="E384" s="605"/>
      <c r="F384" s="605"/>
    </row>
    <row r="385" ht="15.75" customHeight="1">
      <c r="A385" s="605" t="s">
        <v>5051</v>
      </c>
      <c r="B385" s="605" t="s">
        <v>1961</v>
      </c>
      <c r="C385" s="605" t="s">
        <v>4667</v>
      </c>
      <c r="D385" s="605">
        <v>330.0</v>
      </c>
      <c r="E385" s="605"/>
      <c r="F385" s="605"/>
    </row>
    <row r="386" ht="15.75" customHeight="1">
      <c r="A386" s="605" t="s">
        <v>5052</v>
      </c>
      <c r="B386" s="605" t="s">
        <v>4669</v>
      </c>
      <c r="C386" s="605" t="s">
        <v>4667</v>
      </c>
      <c r="D386" s="605">
        <v>35.0</v>
      </c>
      <c r="E386" s="605"/>
      <c r="F386" s="605"/>
    </row>
    <row r="387" ht="15.75" customHeight="1">
      <c r="A387" s="605" t="s">
        <v>5053</v>
      </c>
      <c r="B387" s="605" t="s">
        <v>1961</v>
      </c>
      <c r="C387" s="605" t="s">
        <v>4667</v>
      </c>
      <c r="D387" s="605">
        <v>1080.0</v>
      </c>
      <c r="E387" s="605"/>
      <c r="F387" s="605"/>
    </row>
    <row r="388" ht="15.75" customHeight="1">
      <c r="A388" s="605" t="s">
        <v>5054</v>
      </c>
      <c r="B388" s="605" t="s">
        <v>4669</v>
      </c>
      <c r="C388" s="605" t="s">
        <v>4667</v>
      </c>
      <c r="D388" s="605">
        <v>38.0</v>
      </c>
      <c r="E388" s="605"/>
      <c r="F388" s="605"/>
    </row>
    <row r="389" ht="15.75" customHeight="1">
      <c r="A389" s="605" t="s">
        <v>5055</v>
      </c>
      <c r="B389" s="605" t="s">
        <v>1961</v>
      </c>
      <c r="C389" s="605" t="s">
        <v>4667</v>
      </c>
      <c r="D389" s="605">
        <v>90.0</v>
      </c>
      <c r="E389" s="605"/>
      <c r="F389" s="605"/>
    </row>
    <row r="390" ht="15.75" customHeight="1">
      <c r="A390" s="605" t="s">
        <v>5056</v>
      </c>
      <c r="B390" s="605" t="s">
        <v>4669</v>
      </c>
      <c r="C390" s="605" t="s">
        <v>4667</v>
      </c>
      <c r="D390" s="605">
        <v>3.0</v>
      </c>
      <c r="E390" s="605"/>
      <c r="F390" s="605"/>
    </row>
    <row r="391" ht="15.75" customHeight="1">
      <c r="A391" s="605" t="s">
        <v>5057</v>
      </c>
      <c r="B391" s="605" t="s">
        <v>4669</v>
      </c>
      <c r="C391" s="605" t="s">
        <v>4667</v>
      </c>
      <c r="D391" s="605">
        <v>3.0</v>
      </c>
      <c r="E391" s="605" t="s">
        <v>4666</v>
      </c>
      <c r="F391" s="605">
        <v>5.0</v>
      </c>
    </row>
    <row r="392" ht="15.75" customHeight="1">
      <c r="A392" s="605" t="s">
        <v>5058</v>
      </c>
      <c r="B392" s="605" t="s">
        <v>4669</v>
      </c>
      <c r="C392" s="605" t="s">
        <v>4667</v>
      </c>
      <c r="D392" s="605">
        <v>40.0</v>
      </c>
      <c r="E392" s="605"/>
      <c r="F392" s="605"/>
    </row>
    <row r="393" ht="15.75" customHeight="1">
      <c r="A393" s="605" t="s">
        <v>5059</v>
      </c>
      <c r="B393" s="605" t="s">
        <v>4669</v>
      </c>
      <c r="C393" s="605" t="s">
        <v>4667</v>
      </c>
      <c r="D393" s="605">
        <v>40.0</v>
      </c>
      <c r="E393" s="605" t="s">
        <v>4666</v>
      </c>
      <c r="F393" s="605">
        <v>74.0</v>
      </c>
    </row>
    <row r="394" ht="15.75" customHeight="1">
      <c r="A394" s="605" t="s">
        <v>5060</v>
      </c>
      <c r="B394" s="605" t="s">
        <v>4669</v>
      </c>
      <c r="C394" s="605" t="s">
        <v>4667</v>
      </c>
      <c r="D394" s="605">
        <v>40.0</v>
      </c>
      <c r="E394" s="605" t="s">
        <v>4666</v>
      </c>
      <c r="F394" s="605">
        <v>64.0</v>
      </c>
    </row>
    <row r="395" ht="15.75" customHeight="1">
      <c r="A395" s="605" t="s">
        <v>5061</v>
      </c>
      <c r="B395" s="605" t="s">
        <v>1961</v>
      </c>
      <c r="C395" s="605" t="s">
        <v>4667</v>
      </c>
      <c r="D395" s="605">
        <v>42.0</v>
      </c>
      <c r="E395" s="605"/>
      <c r="F395" s="605"/>
    </row>
    <row r="396" ht="15.75" customHeight="1">
      <c r="A396" s="605" t="s">
        <v>5062</v>
      </c>
      <c r="B396" s="605" t="s">
        <v>4669</v>
      </c>
      <c r="C396" s="605" t="s">
        <v>4667</v>
      </c>
      <c r="D396" s="605">
        <v>45.0</v>
      </c>
      <c r="E396" s="605"/>
      <c r="F396" s="605"/>
    </row>
    <row r="397" ht="15.75" customHeight="1">
      <c r="A397" s="605" t="s">
        <v>5063</v>
      </c>
      <c r="B397" s="605" t="s">
        <v>4669</v>
      </c>
      <c r="C397" s="605" t="s">
        <v>4667</v>
      </c>
      <c r="D397" s="605">
        <v>46.0</v>
      </c>
      <c r="E397" s="605"/>
      <c r="F397" s="605"/>
    </row>
    <row r="398" ht="15.75" customHeight="1">
      <c r="A398" s="605" t="s">
        <v>5064</v>
      </c>
      <c r="B398" s="605" t="s">
        <v>1961</v>
      </c>
      <c r="C398" s="605" t="s">
        <v>4667</v>
      </c>
      <c r="D398" s="605">
        <v>120.0</v>
      </c>
      <c r="E398" s="605"/>
      <c r="F398" s="605"/>
    </row>
    <row r="399" ht="15.75" customHeight="1">
      <c r="A399" s="605" t="s">
        <v>5065</v>
      </c>
      <c r="B399" s="605" t="s">
        <v>4669</v>
      </c>
      <c r="C399" s="605" t="s">
        <v>4667</v>
      </c>
      <c r="D399" s="605">
        <v>4.0</v>
      </c>
      <c r="E399" s="605"/>
      <c r="F399" s="605"/>
    </row>
    <row r="400" ht="15.75" customHeight="1">
      <c r="A400" s="605" t="s">
        <v>5066</v>
      </c>
      <c r="B400" s="605" t="s">
        <v>1961</v>
      </c>
      <c r="C400" s="605" t="s">
        <v>4667</v>
      </c>
      <c r="D400" s="605">
        <v>351.0</v>
      </c>
      <c r="E400" s="605"/>
      <c r="F400" s="605"/>
    </row>
    <row r="401" ht="15.75" customHeight="1">
      <c r="A401" s="605" t="s">
        <v>5067</v>
      </c>
      <c r="B401" s="605" t="s">
        <v>4669</v>
      </c>
      <c r="C401" s="605" t="s">
        <v>4667</v>
      </c>
      <c r="D401" s="605">
        <v>50.0</v>
      </c>
      <c r="E401" s="605"/>
      <c r="F401" s="605"/>
    </row>
    <row r="402" ht="15.75" customHeight="1">
      <c r="A402" s="605" t="s">
        <v>5068</v>
      </c>
      <c r="B402" s="605" t="s">
        <v>4669</v>
      </c>
      <c r="C402" s="605" t="s">
        <v>4667</v>
      </c>
      <c r="D402" s="605">
        <v>55.0</v>
      </c>
      <c r="E402" s="605"/>
      <c r="F402" s="605"/>
    </row>
    <row r="403" ht="15.75" customHeight="1">
      <c r="A403" s="605" t="s">
        <v>5069</v>
      </c>
      <c r="B403" s="605" t="s">
        <v>4669</v>
      </c>
      <c r="C403" s="605" t="s">
        <v>4667</v>
      </c>
      <c r="D403" s="605">
        <v>56.0</v>
      </c>
      <c r="E403" s="605"/>
      <c r="F403" s="605"/>
    </row>
    <row r="404" ht="15.75" customHeight="1">
      <c r="A404" s="605" t="s">
        <v>5070</v>
      </c>
      <c r="B404" s="605" t="s">
        <v>1961</v>
      </c>
      <c r="C404" s="605" t="s">
        <v>4667</v>
      </c>
      <c r="D404" s="605">
        <v>150.0</v>
      </c>
      <c r="E404" s="605"/>
      <c r="F404" s="605"/>
    </row>
    <row r="405" ht="15.75" customHeight="1">
      <c r="A405" s="605" t="s">
        <v>5071</v>
      </c>
      <c r="B405" s="605" t="s">
        <v>4669</v>
      </c>
      <c r="C405" s="605" t="s">
        <v>4667</v>
      </c>
      <c r="D405" s="605">
        <v>5.0</v>
      </c>
      <c r="E405" s="605"/>
      <c r="F405" s="605"/>
    </row>
    <row r="406" ht="15.75" customHeight="1">
      <c r="A406" s="605" t="s">
        <v>5072</v>
      </c>
      <c r="B406" s="605" t="s">
        <v>1961</v>
      </c>
      <c r="C406" s="605" t="s">
        <v>4667</v>
      </c>
      <c r="D406" s="605">
        <v>60.0</v>
      </c>
      <c r="E406" s="605"/>
      <c r="F406" s="605"/>
    </row>
    <row r="407" ht="15.75" customHeight="1">
      <c r="A407" s="605" t="s">
        <v>5073</v>
      </c>
      <c r="B407" s="605" t="s">
        <v>4669</v>
      </c>
      <c r="C407" s="605" t="s">
        <v>4667</v>
      </c>
      <c r="D407" s="605">
        <v>60.0</v>
      </c>
      <c r="E407" s="605"/>
      <c r="F407" s="605"/>
    </row>
    <row r="408" ht="15.75" customHeight="1">
      <c r="A408" s="605" t="s">
        <v>5074</v>
      </c>
      <c r="B408" s="605" t="s">
        <v>4669</v>
      </c>
      <c r="C408" s="605" t="s">
        <v>4667</v>
      </c>
      <c r="D408" s="605">
        <v>61.0</v>
      </c>
      <c r="E408" s="605"/>
      <c r="F408" s="605"/>
    </row>
    <row r="409" ht="15.75" customHeight="1">
      <c r="A409" s="605" t="s">
        <v>5075</v>
      </c>
      <c r="B409" s="605" t="s">
        <v>4669</v>
      </c>
      <c r="C409" s="605" t="s">
        <v>4667</v>
      </c>
      <c r="D409" s="605">
        <v>65.0</v>
      </c>
      <c r="E409" s="605"/>
      <c r="F409" s="605"/>
    </row>
    <row r="410" ht="15.75" customHeight="1">
      <c r="A410" s="605" t="s">
        <v>5076</v>
      </c>
      <c r="B410" s="605" t="s">
        <v>4669</v>
      </c>
      <c r="C410" s="605" t="s">
        <v>4667</v>
      </c>
      <c r="D410" s="605">
        <v>66.0</v>
      </c>
      <c r="E410" s="605"/>
      <c r="F410" s="605"/>
    </row>
    <row r="411" ht="15.75" customHeight="1">
      <c r="A411" s="605" t="s">
        <v>5077</v>
      </c>
      <c r="B411" s="605" t="s">
        <v>1961</v>
      </c>
      <c r="C411" s="605" t="s">
        <v>4667</v>
      </c>
      <c r="D411" s="605">
        <v>180.0</v>
      </c>
      <c r="E411" s="605"/>
      <c r="F411" s="605"/>
    </row>
    <row r="412" ht="15.75" customHeight="1">
      <c r="A412" s="605" t="s">
        <v>5078</v>
      </c>
      <c r="B412" s="605" t="s">
        <v>4669</v>
      </c>
      <c r="C412" s="605" t="s">
        <v>4667</v>
      </c>
      <c r="D412" s="605">
        <v>6.0</v>
      </c>
      <c r="E412" s="605"/>
      <c r="F412" s="605"/>
    </row>
    <row r="413" ht="15.75" customHeight="1">
      <c r="A413" s="605" t="s">
        <v>5079</v>
      </c>
      <c r="B413" s="605" t="s">
        <v>1961</v>
      </c>
      <c r="C413" s="605" t="s">
        <v>4666</v>
      </c>
      <c r="D413" s="605">
        <v>2130.0</v>
      </c>
      <c r="E413" s="605"/>
      <c r="F413" s="605"/>
    </row>
    <row r="414" ht="15.75" customHeight="1">
      <c r="A414" s="605" t="s">
        <v>5080</v>
      </c>
      <c r="B414" s="605" t="s">
        <v>1961</v>
      </c>
      <c r="C414" s="605" t="s">
        <v>4667</v>
      </c>
      <c r="D414" s="605">
        <v>731.0</v>
      </c>
      <c r="E414" s="605"/>
      <c r="F414" s="605"/>
    </row>
    <row r="415" ht="15.75" customHeight="1">
      <c r="A415" s="605" t="s">
        <v>5081</v>
      </c>
      <c r="B415" s="605" t="s">
        <v>4669</v>
      </c>
      <c r="C415" s="605" t="s">
        <v>4667</v>
      </c>
      <c r="D415" s="605">
        <v>75.0</v>
      </c>
      <c r="E415" s="605"/>
      <c r="F415" s="605"/>
    </row>
    <row r="416" ht="15.75" customHeight="1">
      <c r="A416" s="605" t="s">
        <v>5082</v>
      </c>
      <c r="B416" s="605" t="s">
        <v>4669</v>
      </c>
      <c r="C416" s="605" t="s">
        <v>4667</v>
      </c>
      <c r="D416" s="605">
        <v>76.0</v>
      </c>
      <c r="E416" s="605"/>
      <c r="F416" s="605"/>
    </row>
    <row r="417" ht="15.75" customHeight="1">
      <c r="A417" s="605" t="s">
        <v>5083</v>
      </c>
      <c r="B417" s="605" t="s">
        <v>4669</v>
      </c>
      <c r="C417" s="605" t="s">
        <v>4667</v>
      </c>
      <c r="D417" s="605">
        <v>7.0</v>
      </c>
      <c r="E417" s="605"/>
      <c r="F417" s="605"/>
    </row>
    <row r="418" ht="15.75" customHeight="1">
      <c r="A418" s="605" t="s">
        <v>5084</v>
      </c>
      <c r="B418" s="605" t="s">
        <v>4669</v>
      </c>
      <c r="C418" s="605" t="s">
        <v>4667</v>
      </c>
      <c r="D418" s="605">
        <v>8.0</v>
      </c>
      <c r="E418" s="605"/>
      <c r="F418" s="605"/>
    </row>
    <row r="419" ht="15.75" customHeight="1">
      <c r="A419" s="605" t="s">
        <v>5085</v>
      </c>
      <c r="B419" s="605" t="s">
        <v>1961</v>
      </c>
      <c r="C419" s="605" t="s">
        <v>4667</v>
      </c>
      <c r="D419" s="605">
        <v>270.0</v>
      </c>
      <c r="E419" s="605"/>
      <c r="F419" s="605"/>
    </row>
    <row r="420" ht="15.75" customHeight="1">
      <c r="A420" s="605" t="s">
        <v>5086</v>
      </c>
      <c r="B420" s="605" t="s">
        <v>4669</v>
      </c>
      <c r="C420" s="605" t="s">
        <v>4667</v>
      </c>
      <c r="D420" s="605">
        <v>9.0</v>
      </c>
      <c r="E420" s="605"/>
      <c r="F420" s="605"/>
    </row>
    <row r="421" ht="15.75" customHeight="1">
      <c r="A421" s="605" t="s">
        <v>5087</v>
      </c>
      <c r="B421" s="605" t="s">
        <v>4669</v>
      </c>
      <c r="C421" s="605" t="s">
        <v>4667</v>
      </c>
      <c r="D421" s="605">
        <v>9.0</v>
      </c>
      <c r="E421" s="605" t="s">
        <v>4666</v>
      </c>
      <c r="F421" s="605">
        <v>21.0</v>
      </c>
    </row>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421"/>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6.0"/>
    <col customWidth="1" min="2" max="2" width="14.43"/>
    <col customWidth="1" min="3" max="3" width="17.0"/>
    <col customWidth="1" min="4" max="6" width="14.43"/>
  </cols>
  <sheetData>
    <row r="1">
      <c r="A1" s="606" t="s">
        <v>5088</v>
      </c>
      <c r="B1" s="607"/>
      <c r="C1" s="607"/>
    </row>
    <row r="2">
      <c r="A2" s="608" t="s">
        <v>5089</v>
      </c>
      <c r="B2" s="609" t="s">
        <v>5090</v>
      </c>
      <c r="C2" s="609" t="s">
        <v>3595</v>
      </c>
    </row>
    <row r="3">
      <c r="A3" s="146">
        <v>13.0</v>
      </c>
      <c r="B3" s="146">
        <v>250.0</v>
      </c>
      <c r="C3" s="146" t="s">
        <v>34</v>
      </c>
    </row>
    <row r="4">
      <c r="A4" s="146">
        <v>16.0</v>
      </c>
      <c r="B4" s="146" t="s">
        <v>5091</v>
      </c>
      <c r="C4" s="146" t="s">
        <v>41</v>
      </c>
    </row>
    <row r="5">
      <c r="A5" s="146">
        <v>17.0</v>
      </c>
      <c r="B5" s="146" t="s">
        <v>5091</v>
      </c>
      <c r="C5" s="146" t="s">
        <v>41</v>
      </c>
    </row>
    <row r="6">
      <c r="A6" s="146">
        <v>18.0</v>
      </c>
      <c r="B6" s="146" t="s">
        <v>5091</v>
      </c>
      <c r="C6" s="146" t="s">
        <v>41</v>
      </c>
    </row>
    <row r="7">
      <c r="A7" s="146">
        <v>25.0</v>
      </c>
      <c r="B7" s="146">
        <v>405.0</v>
      </c>
      <c r="C7" s="146" t="s">
        <v>34</v>
      </c>
    </row>
    <row r="8">
      <c r="A8" s="146">
        <v>27.0</v>
      </c>
      <c r="B8" s="146">
        <v>389.0</v>
      </c>
      <c r="C8" s="146" t="s">
        <v>34</v>
      </c>
    </row>
    <row r="9">
      <c r="A9" s="146">
        <v>28.0</v>
      </c>
      <c r="B9" s="146" t="s">
        <v>5091</v>
      </c>
      <c r="C9" s="146" t="s">
        <v>41</v>
      </c>
    </row>
    <row r="10">
      <c r="A10" s="146">
        <v>29.0</v>
      </c>
      <c r="B10" s="146">
        <v>250.0</v>
      </c>
      <c r="C10" s="146" t="s">
        <v>34</v>
      </c>
    </row>
    <row r="11">
      <c r="A11" s="146">
        <v>30.0</v>
      </c>
      <c r="B11" s="146" t="s">
        <v>5091</v>
      </c>
      <c r="C11" s="146" t="s">
        <v>41</v>
      </c>
    </row>
    <row r="12">
      <c r="A12" s="146">
        <v>32.0</v>
      </c>
      <c r="B12" s="146">
        <v>289.0</v>
      </c>
      <c r="C12" s="146" t="s">
        <v>34</v>
      </c>
    </row>
    <row r="13">
      <c r="A13" s="146">
        <v>33.0</v>
      </c>
      <c r="B13" s="146" t="s">
        <v>5091</v>
      </c>
      <c r="C13" s="146" t="s">
        <v>41</v>
      </c>
    </row>
    <row r="14">
      <c r="A14" s="610">
        <v>36.0</v>
      </c>
      <c r="B14" s="610" t="s">
        <v>5091</v>
      </c>
      <c r="C14" s="146" t="s">
        <v>41</v>
      </c>
    </row>
    <row r="15">
      <c r="A15" s="611">
        <v>45.0</v>
      </c>
      <c r="B15" s="611" t="s">
        <v>5091</v>
      </c>
      <c r="C15" s="145" t="s">
        <v>41</v>
      </c>
    </row>
    <row r="16">
      <c r="A16" s="610">
        <v>54.0</v>
      </c>
      <c r="B16" s="610">
        <v>390.0</v>
      </c>
      <c r="C16" s="146" t="s">
        <v>34</v>
      </c>
    </row>
    <row r="17">
      <c r="A17" s="610">
        <v>55.0</v>
      </c>
      <c r="B17" s="610" t="s">
        <v>5091</v>
      </c>
      <c r="C17" s="146" t="s">
        <v>41</v>
      </c>
    </row>
    <row r="18">
      <c r="A18" s="610">
        <v>57.0</v>
      </c>
      <c r="B18" s="610" t="s">
        <v>5091</v>
      </c>
      <c r="C18" s="146" t="s">
        <v>41</v>
      </c>
    </row>
    <row r="19">
      <c r="A19" s="610">
        <v>59.0</v>
      </c>
      <c r="B19" s="610" t="s">
        <v>5091</v>
      </c>
      <c r="C19" s="146" t="s">
        <v>41</v>
      </c>
    </row>
    <row r="20">
      <c r="A20" s="610">
        <v>60.0</v>
      </c>
      <c r="B20" s="610" t="s">
        <v>5091</v>
      </c>
      <c r="C20" s="146" t="s">
        <v>41</v>
      </c>
    </row>
    <row r="21" ht="15.75" customHeight="1">
      <c r="A21" s="610">
        <v>61.0</v>
      </c>
      <c r="B21" s="611" t="s">
        <v>5091</v>
      </c>
      <c r="C21" s="145" t="s">
        <v>41</v>
      </c>
    </row>
    <row r="22" ht="15.75" customHeight="1">
      <c r="A22" s="611">
        <v>62.0</v>
      </c>
      <c r="B22" s="611">
        <v>391.0</v>
      </c>
      <c r="C22" s="145" t="s">
        <v>34</v>
      </c>
    </row>
    <row r="23" ht="15.75" customHeight="1">
      <c r="A23" s="611">
        <v>63.0</v>
      </c>
      <c r="B23" s="611">
        <v>391.0</v>
      </c>
      <c r="C23" s="145" t="s">
        <v>34</v>
      </c>
    </row>
    <row r="24" ht="15.75" customHeight="1">
      <c r="A24" s="611">
        <v>65.0</v>
      </c>
      <c r="B24" s="611" t="s">
        <v>5091</v>
      </c>
      <c r="C24" s="145" t="s">
        <v>41</v>
      </c>
    </row>
    <row r="25" ht="15.75" customHeight="1">
      <c r="A25" s="611">
        <v>66.0</v>
      </c>
      <c r="B25" s="611" t="s">
        <v>5091</v>
      </c>
      <c r="C25" s="145" t="s">
        <v>41</v>
      </c>
    </row>
    <row r="26" ht="15.75" customHeight="1">
      <c r="A26" s="611">
        <v>68.0</v>
      </c>
      <c r="B26" s="611">
        <v>392.0</v>
      </c>
      <c r="C26" s="145" t="s">
        <v>34</v>
      </c>
    </row>
    <row r="27" ht="15.75" customHeight="1">
      <c r="A27" s="610">
        <v>80.0</v>
      </c>
      <c r="B27" s="610">
        <v>393.0</v>
      </c>
      <c r="C27" s="146" t="s">
        <v>34</v>
      </c>
    </row>
    <row r="28" ht="15.75" customHeight="1">
      <c r="A28" s="610">
        <v>94.0</v>
      </c>
      <c r="B28" s="610">
        <v>385.0</v>
      </c>
      <c r="C28" s="146" t="s">
        <v>34</v>
      </c>
    </row>
    <row r="29" ht="15.75" customHeight="1">
      <c r="A29" s="610">
        <v>97.0</v>
      </c>
      <c r="B29" s="610">
        <v>386.0</v>
      </c>
      <c r="C29" s="146" t="s">
        <v>34</v>
      </c>
    </row>
    <row r="30" ht="15.75" customHeight="1">
      <c r="A30" s="610">
        <v>108.0</v>
      </c>
      <c r="B30" s="610">
        <v>405.0</v>
      </c>
      <c r="C30" s="146" t="s">
        <v>34</v>
      </c>
    </row>
    <row r="31" ht="15.75" customHeight="1">
      <c r="A31" s="610">
        <v>130.0</v>
      </c>
      <c r="B31" s="610">
        <v>389.0</v>
      </c>
      <c r="C31" s="146" t="s">
        <v>34</v>
      </c>
    </row>
    <row r="32" ht="15.75" customHeight="1">
      <c r="A32" s="610">
        <v>134.0</v>
      </c>
      <c r="B32" s="610">
        <v>250.0</v>
      </c>
      <c r="C32" s="146" t="s">
        <v>34</v>
      </c>
    </row>
    <row r="33" ht="15.75" customHeight="1">
      <c r="A33" s="610">
        <v>142.0</v>
      </c>
      <c r="B33" s="610">
        <v>394.0</v>
      </c>
      <c r="C33" s="146" t="s">
        <v>34</v>
      </c>
    </row>
    <row r="34" ht="15.75" customHeight="1">
      <c r="A34" s="610">
        <v>143.0</v>
      </c>
      <c r="B34" s="611">
        <v>401.0</v>
      </c>
      <c r="C34" s="146" t="s">
        <v>34</v>
      </c>
    </row>
    <row r="35" ht="15.75" customHeight="1">
      <c r="A35" s="610">
        <v>144.0</v>
      </c>
      <c r="B35" s="610">
        <v>387.0</v>
      </c>
      <c r="C35" s="146" t="s">
        <v>34</v>
      </c>
    </row>
    <row r="36" ht="15.75" customHeight="1">
      <c r="A36" s="610">
        <v>162.0</v>
      </c>
      <c r="B36" s="610">
        <v>392.0</v>
      </c>
      <c r="C36" s="146" t="s">
        <v>34</v>
      </c>
    </row>
    <row r="37" ht="15.75" customHeight="1">
      <c r="A37" s="610">
        <v>165.0</v>
      </c>
      <c r="B37" s="610">
        <v>395.0</v>
      </c>
      <c r="C37" s="146" t="s">
        <v>34</v>
      </c>
    </row>
    <row r="38" ht="15.75" customHeight="1">
      <c r="A38" s="610">
        <v>180.0</v>
      </c>
      <c r="B38" s="610">
        <v>49.0</v>
      </c>
      <c r="C38" s="146" t="s">
        <v>27</v>
      </c>
    </row>
    <row r="39" ht="15.75" customHeight="1">
      <c r="A39" s="610">
        <v>184.0</v>
      </c>
      <c r="B39" s="610">
        <v>396.0</v>
      </c>
      <c r="C39" s="146" t="s">
        <v>34</v>
      </c>
    </row>
    <row r="40" ht="15.75" customHeight="1">
      <c r="A40" s="610">
        <v>201.0</v>
      </c>
      <c r="B40" s="610">
        <v>402.0</v>
      </c>
      <c r="C40" s="146" t="s">
        <v>34</v>
      </c>
    </row>
    <row r="41" ht="15.75" customHeight="1">
      <c r="A41" s="610">
        <v>205.0</v>
      </c>
      <c r="B41" s="610">
        <v>397.0</v>
      </c>
      <c r="C41" s="146" t="s">
        <v>34</v>
      </c>
    </row>
    <row r="42" ht="15.75" customHeight="1">
      <c r="A42" s="610">
        <v>211.0</v>
      </c>
      <c r="B42" s="610">
        <v>398.0</v>
      </c>
      <c r="C42" s="146" t="s">
        <v>34</v>
      </c>
    </row>
    <row r="43" ht="15.75" customHeight="1">
      <c r="A43" s="610">
        <v>225.0</v>
      </c>
      <c r="B43" s="610">
        <v>399.0</v>
      </c>
      <c r="C43" s="146" t="s">
        <v>34</v>
      </c>
    </row>
    <row r="44" ht="15.75" customHeight="1">
      <c r="A44" s="610">
        <v>228.0</v>
      </c>
      <c r="B44" s="610">
        <v>250.0</v>
      </c>
      <c r="C44" s="146" t="s">
        <v>34</v>
      </c>
    </row>
    <row r="45" ht="15.75" customHeight="1">
      <c r="A45" s="610">
        <v>234.0</v>
      </c>
      <c r="B45" s="610">
        <v>404.0</v>
      </c>
      <c r="C45" s="146" t="s">
        <v>34</v>
      </c>
    </row>
    <row r="46" ht="15.75" customHeight="1">
      <c r="A46" s="610">
        <v>248.0</v>
      </c>
      <c r="B46" s="611">
        <v>406.0</v>
      </c>
      <c r="C46" s="146" t="s">
        <v>34</v>
      </c>
    </row>
    <row r="47" ht="15.75" customHeight="1">
      <c r="A47" s="610">
        <v>259.0</v>
      </c>
      <c r="B47" s="611">
        <v>407.0</v>
      </c>
      <c r="C47" s="146" t="s">
        <v>34</v>
      </c>
    </row>
    <row r="48" ht="15.75" customHeight="1">
      <c r="A48" s="610">
        <v>262.0</v>
      </c>
      <c r="B48" s="611">
        <v>289.0</v>
      </c>
      <c r="C48" s="146" t="s">
        <v>34</v>
      </c>
    </row>
    <row r="49" ht="15.75" customHeight="1">
      <c r="A49" s="610">
        <v>266.0</v>
      </c>
      <c r="B49" s="611">
        <v>408.0</v>
      </c>
      <c r="C49" s="146" t="s">
        <v>34</v>
      </c>
    </row>
    <row r="50" ht="15.75" customHeight="1">
      <c r="A50" s="610">
        <v>273.0</v>
      </c>
      <c r="B50" s="611">
        <v>385.0</v>
      </c>
      <c r="C50" s="146" t="s">
        <v>34</v>
      </c>
    </row>
    <row r="51" ht="15.75" customHeight="1">
      <c r="A51" s="610">
        <v>274.0</v>
      </c>
      <c r="B51" s="611">
        <v>409.0</v>
      </c>
      <c r="C51" s="146" t="s">
        <v>34</v>
      </c>
    </row>
    <row r="52" ht="15.75" customHeight="1">
      <c r="A52" s="610">
        <v>281.0</v>
      </c>
      <c r="B52" s="611">
        <v>410.0</v>
      </c>
      <c r="C52" s="146" t="s">
        <v>34</v>
      </c>
    </row>
    <row r="53" ht="15.75" customHeight="1">
      <c r="A53" s="610">
        <v>282.0</v>
      </c>
      <c r="B53" s="611">
        <v>411.0</v>
      </c>
      <c r="C53" s="146" t="s">
        <v>34</v>
      </c>
    </row>
    <row r="54" ht="15.75" customHeight="1">
      <c r="A54" s="610">
        <v>294.0</v>
      </c>
      <c r="B54" s="610">
        <v>312.0</v>
      </c>
      <c r="C54" s="146" t="s">
        <v>34</v>
      </c>
    </row>
    <row r="55" ht="15.75" customHeight="1">
      <c r="A55" s="610">
        <v>295.0</v>
      </c>
      <c r="B55" s="610">
        <v>306.0</v>
      </c>
      <c r="C55" s="146" t="s">
        <v>34</v>
      </c>
    </row>
    <row r="56" ht="15.75" customHeight="1">
      <c r="A56" s="610">
        <v>296.0</v>
      </c>
      <c r="B56" s="610">
        <v>306.0</v>
      </c>
      <c r="C56" s="146" t="s">
        <v>34</v>
      </c>
    </row>
    <row r="57" ht="15.75" customHeight="1">
      <c r="A57" s="610">
        <v>297.0</v>
      </c>
      <c r="B57" s="610">
        <v>412.0</v>
      </c>
      <c r="C57" s="146" t="s">
        <v>34</v>
      </c>
    </row>
    <row r="58" ht="15.75" customHeight="1">
      <c r="A58" s="610">
        <v>298.0</v>
      </c>
      <c r="B58" s="610">
        <v>397.0</v>
      </c>
      <c r="C58" s="146" t="s">
        <v>34</v>
      </c>
    </row>
    <row r="59" ht="15.75" customHeight="1">
      <c r="A59" s="610">
        <v>299.0</v>
      </c>
      <c r="B59" s="610">
        <v>413.0</v>
      </c>
      <c r="C59" s="146" t="s">
        <v>34</v>
      </c>
    </row>
    <row r="60" ht="15.75" customHeight="1">
      <c r="A60" s="610">
        <v>302.0</v>
      </c>
      <c r="B60" s="610">
        <v>414.0</v>
      </c>
      <c r="C60" s="146" t="s">
        <v>34</v>
      </c>
    </row>
    <row r="61" ht="15.75" customHeight="1">
      <c r="A61" s="610">
        <v>303.0</v>
      </c>
      <c r="B61" s="610">
        <v>414.0</v>
      </c>
      <c r="C61" s="146" t="s">
        <v>34</v>
      </c>
    </row>
    <row r="62" ht="15.75" customHeight="1">
      <c r="A62" s="610">
        <v>309.0</v>
      </c>
      <c r="B62" s="611">
        <v>415.0</v>
      </c>
      <c r="C62" s="146" t="s">
        <v>34</v>
      </c>
    </row>
    <row r="63" ht="15.75" customHeight="1">
      <c r="A63" s="610">
        <v>334.0</v>
      </c>
      <c r="B63" s="611">
        <v>416.0</v>
      </c>
      <c r="C63" s="146" t="s">
        <v>34</v>
      </c>
    </row>
    <row r="64" ht="15.75" customHeight="1">
      <c r="A64" s="610">
        <v>336.0</v>
      </c>
      <c r="B64" s="611">
        <v>406.0</v>
      </c>
      <c r="C64" s="146" t="s">
        <v>34</v>
      </c>
    </row>
    <row r="65" ht="15.75" customHeight="1">
      <c r="A65" s="610">
        <v>358.0</v>
      </c>
      <c r="B65" s="611">
        <v>403.0</v>
      </c>
      <c r="C65" s="146" t="s">
        <v>34</v>
      </c>
    </row>
    <row r="66" ht="15.75" customHeight="1">
      <c r="A66" s="610">
        <v>359.0</v>
      </c>
      <c r="B66" s="610">
        <v>391.0</v>
      </c>
      <c r="C66" s="146" t="s">
        <v>34</v>
      </c>
    </row>
    <row r="67" ht="15.75" customHeight="1">
      <c r="A67" s="610">
        <v>361.0</v>
      </c>
      <c r="B67" s="611">
        <v>400.0</v>
      </c>
      <c r="C67" s="146" t="s">
        <v>34</v>
      </c>
    </row>
    <row r="68" ht="15.75" customHeight="1">
      <c r="A68" s="610">
        <v>362.0</v>
      </c>
      <c r="B68" s="611">
        <v>400.0</v>
      </c>
      <c r="C68" s="146" t="s">
        <v>34</v>
      </c>
    </row>
    <row r="69" ht="15.75" customHeight="1">
      <c r="A69" s="610">
        <v>373.0</v>
      </c>
      <c r="B69" s="610">
        <v>404.0</v>
      </c>
      <c r="C69" s="146" t="s">
        <v>34</v>
      </c>
    </row>
    <row r="70" ht="15.75" customHeight="1">
      <c r="A70" s="611" t="s">
        <v>3844</v>
      </c>
      <c r="B70" s="611" t="s">
        <v>5091</v>
      </c>
      <c r="C70" s="145" t="s">
        <v>41</v>
      </c>
    </row>
    <row r="71" ht="15.75" customHeight="1">
      <c r="A71" s="299" t="s">
        <v>5092</v>
      </c>
      <c r="B71" s="611"/>
      <c r="C71" s="145"/>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86"/>
    <col customWidth="1" min="2" max="2" width="53.86"/>
    <col customWidth="1" min="3" max="3" width="16.0"/>
    <col customWidth="1" min="4" max="26" width="9.14"/>
  </cols>
  <sheetData>
    <row r="1">
      <c r="A1" s="612" t="s">
        <v>5093</v>
      </c>
      <c r="B1" s="612" t="s">
        <v>5094</v>
      </c>
      <c r="C1" s="613"/>
      <c r="D1" s="613"/>
      <c r="E1" s="613"/>
      <c r="F1" s="613"/>
      <c r="G1" s="613"/>
      <c r="H1" s="613"/>
      <c r="I1" s="613"/>
      <c r="J1" s="613"/>
      <c r="K1" s="613"/>
      <c r="L1" s="613"/>
      <c r="M1" s="613"/>
      <c r="N1" s="613"/>
      <c r="O1" s="613"/>
      <c r="P1" s="613"/>
      <c r="Q1" s="613"/>
      <c r="R1" s="613"/>
      <c r="S1" s="613"/>
      <c r="T1" s="613"/>
      <c r="U1" s="613"/>
      <c r="V1" s="613"/>
      <c r="W1" s="613"/>
      <c r="X1" s="613"/>
      <c r="Y1" s="613"/>
      <c r="Z1" s="613"/>
    </row>
    <row r="2">
      <c r="A2" s="613" t="s">
        <v>5095</v>
      </c>
      <c r="B2" s="567" t="s">
        <v>5096</v>
      </c>
      <c r="C2" s="613"/>
      <c r="D2" s="613"/>
      <c r="E2" s="613"/>
      <c r="F2" s="613"/>
      <c r="G2" s="613"/>
      <c r="H2" s="613"/>
      <c r="I2" s="613"/>
      <c r="J2" s="613"/>
      <c r="K2" s="613"/>
      <c r="L2" s="613"/>
      <c r="M2" s="613"/>
      <c r="N2" s="613"/>
      <c r="O2" s="613"/>
      <c r="P2" s="613"/>
      <c r="Q2" s="613"/>
      <c r="R2" s="613"/>
      <c r="S2" s="613"/>
      <c r="T2" s="613"/>
      <c r="U2" s="613"/>
      <c r="V2" s="613"/>
      <c r="W2" s="613"/>
      <c r="X2" s="613"/>
      <c r="Y2" s="613"/>
      <c r="Z2" s="613"/>
    </row>
    <row r="3">
      <c r="A3" s="613" t="s">
        <v>5097</v>
      </c>
      <c r="B3" s="567" t="s">
        <v>5098</v>
      </c>
      <c r="C3" s="613"/>
      <c r="D3" s="613"/>
      <c r="E3" s="613"/>
      <c r="F3" s="613"/>
      <c r="G3" s="613"/>
      <c r="H3" s="613"/>
      <c r="I3" s="613"/>
      <c r="J3" s="613"/>
      <c r="K3" s="613"/>
      <c r="L3" s="613"/>
      <c r="M3" s="613"/>
      <c r="N3" s="613"/>
      <c r="O3" s="613"/>
      <c r="P3" s="613"/>
      <c r="Q3" s="613"/>
      <c r="R3" s="613"/>
      <c r="S3" s="613"/>
      <c r="T3" s="613"/>
      <c r="U3" s="613"/>
      <c r="V3" s="613"/>
      <c r="W3" s="613"/>
      <c r="X3" s="613"/>
      <c r="Y3" s="613"/>
      <c r="Z3" s="613"/>
    </row>
    <row r="4">
      <c r="A4" s="613" t="s">
        <v>5099</v>
      </c>
      <c r="B4" s="567" t="s">
        <v>5100</v>
      </c>
      <c r="C4" s="613"/>
      <c r="D4" s="613"/>
      <c r="E4" s="613"/>
      <c r="F4" s="613"/>
      <c r="G4" s="613"/>
      <c r="H4" s="613"/>
      <c r="I4" s="613"/>
      <c r="J4" s="613"/>
      <c r="K4" s="613"/>
      <c r="L4" s="613"/>
      <c r="M4" s="613"/>
      <c r="N4" s="613"/>
      <c r="O4" s="613"/>
      <c r="P4" s="613"/>
      <c r="Q4" s="613"/>
      <c r="R4" s="613"/>
      <c r="S4" s="613"/>
      <c r="T4" s="613"/>
      <c r="U4" s="613"/>
      <c r="V4" s="613"/>
      <c r="W4" s="613"/>
      <c r="X4" s="613"/>
      <c r="Y4" s="613"/>
      <c r="Z4" s="613"/>
    </row>
    <row r="5">
      <c r="A5" s="613" t="s">
        <v>5099</v>
      </c>
      <c r="B5" s="567" t="s">
        <v>5101</v>
      </c>
      <c r="C5" s="613"/>
      <c r="D5" s="613"/>
      <c r="E5" s="613"/>
      <c r="F5" s="613"/>
      <c r="G5" s="613"/>
      <c r="H5" s="613"/>
      <c r="I5" s="613"/>
      <c r="J5" s="613"/>
      <c r="K5" s="613"/>
      <c r="L5" s="613"/>
      <c r="M5" s="613"/>
      <c r="N5" s="613"/>
      <c r="O5" s="613"/>
      <c r="P5" s="613"/>
      <c r="Q5" s="613"/>
      <c r="R5" s="613"/>
      <c r="S5" s="613"/>
      <c r="T5" s="613"/>
      <c r="U5" s="613"/>
      <c r="V5" s="613"/>
      <c r="W5" s="613"/>
      <c r="X5" s="613"/>
      <c r="Y5" s="613"/>
      <c r="Z5" s="613"/>
    </row>
    <row r="6">
      <c r="A6" s="613" t="s">
        <v>5102</v>
      </c>
      <c r="B6" s="567" t="s">
        <v>5103</v>
      </c>
      <c r="C6" s="613"/>
      <c r="D6" s="613"/>
      <c r="E6" s="613"/>
      <c r="F6" s="613"/>
      <c r="G6" s="613"/>
      <c r="H6" s="613"/>
      <c r="I6" s="613"/>
      <c r="J6" s="613"/>
      <c r="K6" s="613"/>
      <c r="L6" s="613"/>
      <c r="M6" s="613"/>
      <c r="N6" s="613"/>
      <c r="O6" s="613"/>
      <c r="P6" s="613"/>
      <c r="Q6" s="613"/>
      <c r="R6" s="613"/>
      <c r="S6" s="613"/>
      <c r="T6" s="613"/>
      <c r="U6" s="613"/>
      <c r="V6" s="613"/>
      <c r="W6" s="613"/>
      <c r="X6" s="613"/>
      <c r="Y6" s="613"/>
      <c r="Z6" s="613"/>
    </row>
    <row r="7">
      <c r="A7" s="613" t="s">
        <v>5104</v>
      </c>
      <c r="B7" s="567" t="s">
        <v>5105</v>
      </c>
      <c r="C7" s="613"/>
      <c r="D7" s="613"/>
      <c r="E7" s="613"/>
      <c r="F7" s="613"/>
      <c r="G7" s="613"/>
      <c r="H7" s="613"/>
      <c r="I7" s="613"/>
      <c r="J7" s="613"/>
      <c r="K7" s="613"/>
      <c r="L7" s="613"/>
      <c r="M7" s="613"/>
      <c r="N7" s="613"/>
      <c r="O7" s="613"/>
      <c r="P7" s="613"/>
      <c r="Q7" s="613"/>
      <c r="R7" s="613"/>
      <c r="S7" s="613"/>
      <c r="T7" s="613"/>
      <c r="U7" s="613"/>
      <c r="V7" s="613"/>
      <c r="W7" s="613"/>
      <c r="X7" s="613"/>
      <c r="Y7" s="613"/>
      <c r="Z7" s="613"/>
    </row>
    <row r="8">
      <c r="A8" s="613" t="s">
        <v>5106</v>
      </c>
      <c r="B8" s="567" t="s">
        <v>5107</v>
      </c>
      <c r="C8" s="613"/>
      <c r="D8" s="613"/>
      <c r="E8" s="613"/>
      <c r="F8" s="613"/>
      <c r="G8" s="613"/>
      <c r="H8" s="613"/>
      <c r="I8" s="613"/>
      <c r="J8" s="613"/>
      <c r="K8" s="613"/>
      <c r="L8" s="613"/>
      <c r="M8" s="613"/>
      <c r="N8" s="613"/>
      <c r="O8" s="613"/>
      <c r="P8" s="613"/>
      <c r="Q8" s="613"/>
      <c r="R8" s="613"/>
      <c r="S8" s="613"/>
      <c r="T8" s="613"/>
      <c r="U8" s="613"/>
      <c r="V8" s="613"/>
      <c r="W8" s="613"/>
      <c r="X8" s="613"/>
      <c r="Y8" s="613"/>
      <c r="Z8" s="613"/>
    </row>
    <row r="9">
      <c r="A9" s="613" t="s">
        <v>5108</v>
      </c>
      <c r="B9" s="567" t="s">
        <v>5109</v>
      </c>
      <c r="C9" s="613"/>
      <c r="D9" s="613"/>
      <c r="E9" s="613"/>
      <c r="F9" s="613"/>
      <c r="G9" s="613"/>
      <c r="H9" s="613"/>
      <c r="I9" s="613"/>
      <c r="J9" s="613"/>
      <c r="K9" s="613"/>
      <c r="L9" s="613"/>
      <c r="M9" s="613"/>
      <c r="N9" s="613"/>
      <c r="O9" s="613"/>
      <c r="P9" s="613"/>
      <c r="Q9" s="613"/>
      <c r="R9" s="613"/>
      <c r="S9" s="613"/>
      <c r="T9" s="613"/>
      <c r="U9" s="613"/>
      <c r="V9" s="613"/>
      <c r="W9" s="613"/>
      <c r="X9" s="613"/>
      <c r="Y9" s="613"/>
      <c r="Z9" s="613"/>
    </row>
    <row r="10">
      <c r="A10" s="613" t="s">
        <v>5110</v>
      </c>
      <c r="B10" s="567" t="s">
        <v>5111</v>
      </c>
      <c r="C10" s="613"/>
      <c r="D10" s="613"/>
      <c r="E10" s="613"/>
      <c r="F10" s="613"/>
      <c r="G10" s="613"/>
      <c r="H10" s="613"/>
      <c r="I10" s="613"/>
      <c r="J10" s="613"/>
      <c r="K10" s="613"/>
      <c r="L10" s="613"/>
      <c r="M10" s="613"/>
      <c r="N10" s="613"/>
      <c r="O10" s="613"/>
      <c r="P10" s="613"/>
      <c r="Q10" s="613"/>
      <c r="R10" s="613"/>
      <c r="S10" s="613"/>
      <c r="T10" s="613"/>
      <c r="U10" s="613"/>
      <c r="V10" s="613"/>
      <c r="W10" s="613"/>
      <c r="X10" s="613"/>
      <c r="Y10" s="613"/>
      <c r="Z10" s="613"/>
    </row>
    <row r="11">
      <c r="A11" s="613" t="s">
        <v>5112</v>
      </c>
      <c r="B11" s="567" t="s">
        <v>5113</v>
      </c>
      <c r="C11" s="613"/>
      <c r="D11" s="613"/>
      <c r="E11" s="613"/>
      <c r="F11" s="613"/>
      <c r="G11" s="613"/>
      <c r="H11" s="613"/>
      <c r="I11" s="613"/>
      <c r="J11" s="613"/>
      <c r="K11" s="613"/>
      <c r="L11" s="613"/>
      <c r="M11" s="613"/>
      <c r="N11" s="613"/>
      <c r="O11" s="613"/>
      <c r="P11" s="613"/>
      <c r="Q11" s="613"/>
      <c r="R11" s="613"/>
      <c r="S11" s="613"/>
      <c r="T11" s="613"/>
      <c r="U11" s="613"/>
      <c r="V11" s="613"/>
      <c r="W11" s="613"/>
      <c r="X11" s="613"/>
      <c r="Y11" s="613"/>
      <c r="Z11" s="613"/>
    </row>
    <row r="12">
      <c r="A12" s="613" t="s">
        <v>5114</v>
      </c>
      <c r="B12" s="567" t="s">
        <v>5115</v>
      </c>
      <c r="C12" s="613"/>
      <c r="D12" s="613"/>
      <c r="E12" s="613"/>
      <c r="F12" s="613"/>
      <c r="G12" s="613"/>
      <c r="H12" s="613"/>
      <c r="I12" s="613"/>
      <c r="J12" s="613"/>
      <c r="K12" s="613"/>
      <c r="L12" s="613"/>
      <c r="M12" s="613"/>
      <c r="N12" s="613"/>
      <c r="O12" s="613"/>
      <c r="P12" s="613"/>
      <c r="Q12" s="613"/>
      <c r="R12" s="613"/>
      <c r="S12" s="613"/>
      <c r="T12" s="613"/>
      <c r="U12" s="613"/>
      <c r="V12" s="613"/>
      <c r="W12" s="613"/>
      <c r="X12" s="613"/>
      <c r="Y12" s="613"/>
      <c r="Z12" s="613"/>
    </row>
    <row r="13">
      <c r="A13" s="613" t="s">
        <v>5116</v>
      </c>
      <c r="B13" s="567" t="s">
        <v>5117</v>
      </c>
      <c r="C13" s="613"/>
      <c r="D13" s="613"/>
      <c r="E13" s="613"/>
      <c r="F13" s="613"/>
      <c r="G13" s="613"/>
      <c r="H13" s="613"/>
      <c r="I13" s="613"/>
      <c r="J13" s="613"/>
      <c r="K13" s="613"/>
      <c r="L13" s="613"/>
      <c r="M13" s="613"/>
      <c r="N13" s="613"/>
      <c r="O13" s="613"/>
      <c r="P13" s="613"/>
      <c r="Q13" s="613"/>
      <c r="R13" s="613"/>
      <c r="S13" s="613"/>
      <c r="T13" s="613"/>
      <c r="U13" s="613"/>
      <c r="V13" s="613"/>
      <c r="W13" s="613"/>
      <c r="X13" s="613"/>
      <c r="Y13" s="613"/>
      <c r="Z13" s="613"/>
    </row>
    <row r="14">
      <c r="A14" s="613" t="s">
        <v>5116</v>
      </c>
      <c r="B14" s="567" t="s">
        <v>5118</v>
      </c>
      <c r="C14" s="613"/>
      <c r="D14" s="613"/>
      <c r="E14" s="613"/>
      <c r="F14" s="613"/>
      <c r="G14" s="613"/>
      <c r="H14" s="613"/>
      <c r="I14" s="613"/>
      <c r="J14" s="613"/>
      <c r="K14" s="613"/>
      <c r="L14" s="613"/>
      <c r="M14" s="613"/>
      <c r="N14" s="613"/>
      <c r="O14" s="613"/>
      <c r="P14" s="613"/>
      <c r="Q14" s="613"/>
      <c r="R14" s="613"/>
      <c r="S14" s="613"/>
      <c r="T14" s="613"/>
      <c r="U14" s="613"/>
      <c r="V14" s="613"/>
      <c r="W14" s="613"/>
      <c r="X14" s="613"/>
      <c r="Y14" s="613"/>
      <c r="Z14" s="613"/>
    </row>
    <row r="15">
      <c r="A15" s="613" t="s">
        <v>5119</v>
      </c>
      <c r="B15" s="613" t="s">
        <v>5120</v>
      </c>
      <c r="C15" s="613"/>
      <c r="D15" s="613"/>
      <c r="E15" s="613"/>
      <c r="F15" s="613"/>
      <c r="G15" s="613"/>
      <c r="H15" s="613"/>
      <c r="I15" s="613"/>
      <c r="J15" s="613"/>
      <c r="K15" s="613"/>
      <c r="L15" s="613"/>
      <c r="M15" s="613"/>
      <c r="N15" s="613"/>
      <c r="O15" s="613"/>
      <c r="P15" s="613"/>
      <c r="Q15" s="613"/>
      <c r="R15" s="613"/>
      <c r="S15" s="613"/>
      <c r="T15" s="613"/>
      <c r="U15" s="613"/>
      <c r="V15" s="613"/>
      <c r="W15" s="613"/>
      <c r="X15" s="613"/>
      <c r="Y15" s="613"/>
      <c r="Z15" s="613"/>
    </row>
    <row r="16">
      <c r="A16" s="613" t="s">
        <v>5121</v>
      </c>
      <c r="B16" s="613" t="s">
        <v>5122</v>
      </c>
      <c r="C16" s="613"/>
      <c r="D16" s="613"/>
      <c r="E16" s="613"/>
      <c r="F16" s="613"/>
      <c r="G16" s="613"/>
      <c r="H16" s="613"/>
      <c r="I16" s="613"/>
      <c r="J16" s="613"/>
      <c r="K16" s="613"/>
      <c r="L16" s="613"/>
      <c r="M16" s="613"/>
      <c r="N16" s="613"/>
      <c r="O16" s="613"/>
      <c r="P16" s="613"/>
      <c r="Q16" s="613"/>
      <c r="R16" s="613"/>
      <c r="S16" s="613"/>
      <c r="T16" s="613"/>
      <c r="U16" s="613"/>
      <c r="V16" s="613"/>
      <c r="W16" s="613"/>
      <c r="X16" s="613"/>
      <c r="Y16" s="613"/>
      <c r="Z16" s="613"/>
    </row>
    <row r="17">
      <c r="A17" s="613" t="s">
        <v>1839</v>
      </c>
      <c r="B17" s="613" t="s">
        <v>5123</v>
      </c>
      <c r="C17" s="613"/>
      <c r="D17" s="613"/>
      <c r="E17" s="613"/>
      <c r="F17" s="613"/>
      <c r="G17" s="613"/>
      <c r="H17" s="613"/>
      <c r="I17" s="613"/>
      <c r="J17" s="613"/>
      <c r="K17" s="613"/>
      <c r="L17" s="613"/>
      <c r="M17" s="613"/>
      <c r="N17" s="613"/>
      <c r="O17" s="613"/>
      <c r="P17" s="613"/>
      <c r="Q17" s="613"/>
      <c r="R17" s="613"/>
      <c r="S17" s="613"/>
      <c r="T17" s="613"/>
      <c r="U17" s="613"/>
      <c r="V17" s="613"/>
      <c r="W17" s="613"/>
      <c r="X17" s="613"/>
      <c r="Y17" s="613"/>
      <c r="Z17" s="613"/>
    </row>
    <row r="18">
      <c r="A18" s="613" t="s">
        <v>5124</v>
      </c>
      <c r="B18" s="614" t="s">
        <v>5125</v>
      </c>
      <c r="C18" s="613"/>
      <c r="D18" s="613"/>
      <c r="E18" s="613"/>
      <c r="F18" s="613"/>
      <c r="G18" s="613"/>
      <c r="H18" s="613"/>
      <c r="I18" s="613"/>
      <c r="J18" s="613"/>
      <c r="K18" s="613"/>
      <c r="L18" s="613"/>
      <c r="M18" s="613"/>
      <c r="N18" s="613"/>
      <c r="O18" s="613"/>
      <c r="P18" s="613"/>
      <c r="Q18" s="613"/>
      <c r="R18" s="613"/>
      <c r="S18" s="613"/>
      <c r="T18" s="613"/>
      <c r="U18" s="613"/>
      <c r="V18" s="613"/>
      <c r="W18" s="613"/>
      <c r="X18" s="613"/>
      <c r="Y18" s="613"/>
      <c r="Z18" s="613"/>
    </row>
    <row r="19">
      <c r="A19" s="613"/>
      <c r="B19" s="613"/>
      <c r="C19" s="613"/>
      <c r="D19" s="613"/>
      <c r="E19" s="613"/>
      <c r="F19" s="613"/>
      <c r="G19" s="613"/>
      <c r="H19" s="613"/>
      <c r="I19" s="613"/>
      <c r="J19" s="613"/>
      <c r="K19" s="613"/>
      <c r="L19" s="613"/>
      <c r="M19" s="613"/>
      <c r="N19" s="613"/>
      <c r="O19" s="613"/>
      <c r="P19" s="613"/>
      <c r="Q19" s="613"/>
      <c r="R19" s="613"/>
      <c r="S19" s="613"/>
      <c r="T19" s="613"/>
      <c r="U19" s="613"/>
      <c r="V19" s="613"/>
      <c r="W19" s="613"/>
      <c r="X19" s="613"/>
      <c r="Y19" s="613"/>
      <c r="Z19" s="613"/>
    </row>
    <row r="20">
      <c r="A20" s="613"/>
      <c r="B20" s="613"/>
      <c r="C20" s="613"/>
      <c r="D20" s="613"/>
      <c r="E20" s="613"/>
      <c r="F20" s="613"/>
      <c r="G20" s="613"/>
      <c r="H20" s="613"/>
      <c r="I20" s="613"/>
      <c r="J20" s="613"/>
      <c r="K20" s="613"/>
      <c r="L20" s="613"/>
      <c r="M20" s="613"/>
      <c r="N20" s="613"/>
      <c r="O20" s="613"/>
      <c r="P20" s="613"/>
      <c r="Q20" s="613"/>
      <c r="R20" s="613"/>
      <c r="S20" s="613"/>
      <c r="T20" s="613"/>
      <c r="U20" s="613"/>
      <c r="V20" s="613"/>
      <c r="W20" s="613"/>
      <c r="X20" s="613"/>
      <c r="Y20" s="613"/>
      <c r="Z20" s="613"/>
    </row>
    <row r="21" ht="15.75" customHeight="1">
      <c r="A21" s="613"/>
      <c r="B21" s="613"/>
      <c r="C21" s="613"/>
      <c r="D21" s="613"/>
      <c r="E21" s="613"/>
      <c r="F21" s="613"/>
      <c r="G21" s="613"/>
      <c r="H21" s="613"/>
      <c r="I21" s="613"/>
      <c r="J21" s="613"/>
      <c r="K21" s="613"/>
      <c r="L21" s="613"/>
      <c r="M21" s="613"/>
      <c r="N21" s="613"/>
      <c r="O21" s="613"/>
      <c r="P21" s="613"/>
      <c r="Q21" s="613"/>
      <c r="R21" s="613"/>
      <c r="S21" s="613"/>
      <c r="T21" s="613"/>
      <c r="U21" s="613"/>
      <c r="V21" s="613"/>
      <c r="W21" s="613"/>
      <c r="X21" s="613"/>
      <c r="Y21" s="613"/>
      <c r="Z21" s="613"/>
    </row>
    <row r="22" ht="15.75" customHeight="1">
      <c r="A22" s="613"/>
      <c r="B22" s="613"/>
      <c r="C22" s="613"/>
      <c r="D22" s="613"/>
      <c r="E22" s="613"/>
      <c r="F22" s="613"/>
      <c r="G22" s="613"/>
      <c r="H22" s="613"/>
      <c r="I22" s="613"/>
      <c r="J22" s="613"/>
      <c r="K22" s="613"/>
      <c r="L22" s="613"/>
      <c r="M22" s="613"/>
      <c r="N22" s="613"/>
      <c r="O22" s="613"/>
      <c r="P22" s="613"/>
      <c r="Q22" s="613"/>
      <c r="R22" s="613"/>
      <c r="S22" s="613"/>
      <c r="T22" s="613"/>
      <c r="U22" s="613"/>
      <c r="V22" s="613"/>
      <c r="W22" s="613"/>
      <c r="X22" s="613"/>
      <c r="Y22" s="613"/>
      <c r="Z22" s="613"/>
    </row>
    <row r="23" ht="15.75" customHeight="1">
      <c r="A23" s="613"/>
      <c r="B23" s="613"/>
      <c r="C23" s="613"/>
      <c r="D23" s="613"/>
      <c r="E23" s="613"/>
      <c r="F23" s="613"/>
      <c r="G23" s="613"/>
      <c r="H23" s="613"/>
      <c r="I23" s="613"/>
      <c r="J23" s="613"/>
      <c r="K23" s="613"/>
      <c r="L23" s="613"/>
      <c r="M23" s="613"/>
      <c r="N23" s="613"/>
      <c r="O23" s="613"/>
      <c r="P23" s="613"/>
      <c r="Q23" s="613"/>
      <c r="R23" s="613"/>
      <c r="S23" s="613"/>
      <c r="T23" s="613"/>
      <c r="U23" s="613"/>
      <c r="V23" s="613"/>
      <c r="W23" s="613"/>
      <c r="X23" s="613"/>
      <c r="Y23" s="613"/>
      <c r="Z23" s="613"/>
    </row>
    <row r="24" ht="15.75" customHeight="1">
      <c r="A24" s="613"/>
      <c r="B24" s="613"/>
      <c r="C24" s="613"/>
      <c r="D24" s="613"/>
      <c r="E24" s="613"/>
      <c r="F24" s="613"/>
      <c r="G24" s="613"/>
      <c r="H24" s="613"/>
      <c r="I24" s="613"/>
      <c r="J24" s="613"/>
      <c r="K24" s="613"/>
      <c r="L24" s="613"/>
      <c r="M24" s="613"/>
      <c r="N24" s="613"/>
      <c r="O24" s="613"/>
      <c r="P24" s="613"/>
      <c r="Q24" s="613"/>
      <c r="R24" s="613"/>
      <c r="S24" s="613"/>
      <c r="T24" s="613"/>
      <c r="U24" s="613"/>
      <c r="V24" s="613"/>
      <c r="W24" s="613"/>
      <c r="X24" s="613"/>
      <c r="Y24" s="613"/>
      <c r="Z24" s="613"/>
    </row>
    <row r="25" ht="15.75" customHeight="1">
      <c r="A25" s="613"/>
      <c r="B25" s="613"/>
      <c r="C25" s="613"/>
      <c r="D25" s="613"/>
      <c r="E25" s="613"/>
      <c r="F25" s="613"/>
      <c r="G25" s="613"/>
      <c r="H25" s="613"/>
      <c r="I25" s="613"/>
      <c r="J25" s="613"/>
      <c r="K25" s="613"/>
      <c r="L25" s="613"/>
      <c r="M25" s="613"/>
      <c r="N25" s="613"/>
      <c r="O25" s="613"/>
      <c r="P25" s="613"/>
      <c r="Q25" s="613"/>
      <c r="R25" s="613"/>
      <c r="S25" s="613"/>
      <c r="T25" s="613"/>
      <c r="U25" s="613"/>
      <c r="V25" s="613"/>
      <c r="W25" s="613"/>
      <c r="X25" s="613"/>
      <c r="Y25" s="613"/>
      <c r="Z25" s="613"/>
    </row>
    <row r="26" ht="15.75" customHeight="1">
      <c r="A26" s="613"/>
      <c r="B26" s="613"/>
      <c r="C26" s="613"/>
      <c r="D26" s="613"/>
      <c r="E26" s="613"/>
      <c r="F26" s="613"/>
      <c r="G26" s="613"/>
      <c r="H26" s="613"/>
      <c r="I26" s="613"/>
      <c r="J26" s="613"/>
      <c r="K26" s="613"/>
      <c r="L26" s="613"/>
      <c r="M26" s="613"/>
      <c r="N26" s="613"/>
      <c r="O26" s="613"/>
      <c r="P26" s="613"/>
      <c r="Q26" s="613"/>
      <c r="R26" s="613"/>
      <c r="S26" s="613"/>
      <c r="T26" s="613"/>
      <c r="U26" s="613"/>
      <c r="V26" s="613"/>
      <c r="W26" s="613"/>
      <c r="X26" s="613"/>
      <c r="Y26" s="613"/>
      <c r="Z26" s="613"/>
    </row>
    <row r="27" ht="15.75" customHeight="1">
      <c r="A27" s="613"/>
      <c r="B27" s="613"/>
      <c r="C27" s="613"/>
      <c r="D27" s="613"/>
      <c r="E27" s="613"/>
      <c r="F27" s="613"/>
      <c r="G27" s="613"/>
      <c r="H27" s="613"/>
      <c r="I27" s="613"/>
      <c r="J27" s="613"/>
      <c r="K27" s="613"/>
      <c r="L27" s="613"/>
      <c r="M27" s="613"/>
      <c r="N27" s="613"/>
      <c r="O27" s="613"/>
      <c r="P27" s="613"/>
      <c r="Q27" s="613"/>
      <c r="R27" s="613"/>
      <c r="S27" s="613"/>
      <c r="T27" s="613"/>
      <c r="U27" s="613"/>
      <c r="V27" s="613"/>
      <c r="W27" s="613"/>
      <c r="X27" s="613"/>
      <c r="Y27" s="613"/>
      <c r="Z27" s="613"/>
    </row>
    <row r="28" ht="15.75" customHeight="1">
      <c r="A28" s="613"/>
      <c r="B28" s="613"/>
      <c r="C28" s="613"/>
      <c r="D28" s="613"/>
      <c r="E28" s="613"/>
      <c r="F28" s="613"/>
      <c r="G28" s="613"/>
      <c r="H28" s="613"/>
      <c r="I28" s="613"/>
      <c r="J28" s="613"/>
      <c r="K28" s="613"/>
      <c r="L28" s="613"/>
      <c r="M28" s="613"/>
      <c r="N28" s="613"/>
      <c r="O28" s="613"/>
      <c r="P28" s="613"/>
      <c r="Q28" s="613"/>
      <c r="R28" s="613"/>
      <c r="S28" s="613"/>
      <c r="T28" s="613"/>
      <c r="U28" s="613"/>
      <c r="V28" s="613"/>
      <c r="W28" s="613"/>
      <c r="X28" s="613"/>
      <c r="Y28" s="613"/>
      <c r="Z28" s="613"/>
    </row>
    <row r="29" ht="15.75" customHeight="1">
      <c r="A29" s="613"/>
      <c r="B29" s="613"/>
      <c r="C29" s="613"/>
      <c r="D29" s="613"/>
      <c r="E29" s="613"/>
      <c r="F29" s="613"/>
      <c r="G29" s="613"/>
      <c r="H29" s="613"/>
      <c r="I29" s="613"/>
      <c r="J29" s="613"/>
      <c r="K29" s="613"/>
      <c r="L29" s="613"/>
      <c r="M29" s="613"/>
      <c r="N29" s="613"/>
      <c r="O29" s="613"/>
      <c r="P29" s="613"/>
      <c r="Q29" s="613"/>
      <c r="R29" s="613"/>
      <c r="S29" s="613"/>
      <c r="T29" s="613"/>
      <c r="U29" s="613"/>
      <c r="V29" s="613"/>
      <c r="W29" s="613"/>
      <c r="X29" s="613"/>
      <c r="Y29" s="613"/>
      <c r="Z29" s="613"/>
    </row>
    <row r="30" ht="15.75" customHeight="1">
      <c r="A30" s="613"/>
      <c r="B30" s="613"/>
      <c r="C30" s="613"/>
      <c r="D30" s="613"/>
      <c r="E30" s="613"/>
      <c r="F30" s="613"/>
      <c r="G30" s="613"/>
      <c r="H30" s="613"/>
      <c r="I30" s="613"/>
      <c r="J30" s="613"/>
      <c r="K30" s="613"/>
      <c r="L30" s="613"/>
      <c r="M30" s="613"/>
      <c r="N30" s="613"/>
      <c r="O30" s="613"/>
      <c r="P30" s="613"/>
      <c r="Q30" s="613"/>
      <c r="R30" s="613"/>
      <c r="S30" s="613"/>
      <c r="T30" s="613"/>
      <c r="U30" s="613"/>
      <c r="V30" s="613"/>
      <c r="W30" s="613"/>
      <c r="X30" s="613"/>
      <c r="Y30" s="613"/>
      <c r="Z30" s="613"/>
    </row>
    <row r="31" ht="15.75" customHeight="1">
      <c r="A31" s="613"/>
      <c r="B31" s="613"/>
      <c r="C31" s="613"/>
      <c r="D31" s="613"/>
      <c r="E31" s="613"/>
      <c r="F31" s="613"/>
      <c r="G31" s="613"/>
      <c r="H31" s="613"/>
      <c r="I31" s="613"/>
      <c r="J31" s="613"/>
      <c r="K31" s="613"/>
      <c r="L31" s="613"/>
      <c r="M31" s="613"/>
      <c r="N31" s="613"/>
      <c r="O31" s="613"/>
      <c r="P31" s="613"/>
      <c r="Q31" s="613"/>
      <c r="R31" s="613"/>
      <c r="S31" s="613"/>
      <c r="T31" s="613"/>
      <c r="U31" s="613"/>
      <c r="V31" s="613"/>
      <c r="W31" s="613"/>
      <c r="X31" s="613"/>
      <c r="Y31" s="613"/>
      <c r="Z31" s="613"/>
    </row>
    <row r="32" ht="15.75" customHeight="1">
      <c r="A32" s="613"/>
      <c r="B32" s="613"/>
      <c r="C32" s="613"/>
      <c r="D32" s="613"/>
      <c r="E32" s="613"/>
      <c r="F32" s="613"/>
      <c r="G32" s="613"/>
      <c r="H32" s="613"/>
      <c r="I32" s="613"/>
      <c r="J32" s="613"/>
      <c r="K32" s="613"/>
      <c r="L32" s="613"/>
      <c r="M32" s="613"/>
      <c r="N32" s="613"/>
      <c r="O32" s="613"/>
      <c r="P32" s="613"/>
      <c r="Q32" s="613"/>
      <c r="R32" s="613"/>
      <c r="S32" s="613"/>
      <c r="T32" s="613"/>
      <c r="U32" s="613"/>
      <c r="V32" s="613"/>
      <c r="W32" s="613"/>
      <c r="X32" s="613"/>
      <c r="Y32" s="613"/>
      <c r="Z32" s="613"/>
    </row>
    <row r="33" ht="15.75" customHeight="1">
      <c r="A33" s="613"/>
      <c r="B33" s="613"/>
      <c r="C33" s="613"/>
      <c r="D33" s="613"/>
      <c r="E33" s="613"/>
      <c r="F33" s="613"/>
      <c r="G33" s="613"/>
      <c r="H33" s="613"/>
      <c r="I33" s="613"/>
      <c r="J33" s="613"/>
      <c r="K33" s="613"/>
      <c r="L33" s="613"/>
      <c r="M33" s="613"/>
      <c r="N33" s="613"/>
      <c r="O33" s="613"/>
      <c r="P33" s="613"/>
      <c r="Q33" s="613"/>
      <c r="R33" s="613"/>
      <c r="S33" s="613"/>
      <c r="T33" s="613"/>
      <c r="U33" s="613"/>
      <c r="V33" s="613"/>
      <c r="W33" s="613"/>
      <c r="X33" s="613"/>
      <c r="Y33" s="613"/>
      <c r="Z33" s="613"/>
    </row>
    <row r="34" ht="15.75" customHeight="1">
      <c r="A34" s="613"/>
      <c r="B34" s="613"/>
      <c r="C34" s="613"/>
      <c r="D34" s="613"/>
      <c r="E34" s="613"/>
      <c r="F34" s="613"/>
      <c r="G34" s="613"/>
      <c r="H34" s="613"/>
      <c r="I34" s="613"/>
      <c r="J34" s="613"/>
      <c r="K34" s="613"/>
      <c r="L34" s="613"/>
      <c r="M34" s="613"/>
      <c r="N34" s="613"/>
      <c r="O34" s="613"/>
      <c r="P34" s="613"/>
      <c r="Q34" s="613"/>
      <c r="R34" s="613"/>
      <c r="S34" s="613"/>
      <c r="T34" s="613"/>
      <c r="U34" s="613"/>
      <c r="V34" s="613"/>
      <c r="W34" s="613"/>
      <c r="X34" s="613"/>
      <c r="Y34" s="613"/>
      <c r="Z34" s="613"/>
    </row>
    <row r="35" ht="15.75" customHeight="1">
      <c r="A35" s="613"/>
      <c r="B35" s="613"/>
      <c r="C35" s="613"/>
      <c r="D35" s="613"/>
      <c r="E35" s="613"/>
      <c r="F35" s="613"/>
      <c r="G35" s="613"/>
      <c r="H35" s="613"/>
      <c r="I35" s="613"/>
      <c r="J35" s="613"/>
      <c r="K35" s="613"/>
      <c r="L35" s="613"/>
      <c r="M35" s="613"/>
      <c r="N35" s="613"/>
      <c r="O35" s="613"/>
      <c r="P35" s="613"/>
      <c r="Q35" s="613"/>
      <c r="R35" s="613"/>
      <c r="S35" s="613"/>
      <c r="T35" s="613"/>
      <c r="U35" s="613"/>
      <c r="V35" s="613"/>
      <c r="W35" s="613"/>
      <c r="X35" s="613"/>
      <c r="Y35" s="613"/>
      <c r="Z35" s="613"/>
    </row>
    <row r="36" ht="15.75" customHeight="1">
      <c r="A36" s="613"/>
      <c r="B36" s="613"/>
      <c r="C36" s="613"/>
      <c r="D36" s="613"/>
      <c r="E36" s="613"/>
      <c r="F36" s="613"/>
      <c r="G36" s="613"/>
      <c r="H36" s="613"/>
      <c r="I36" s="613"/>
      <c r="J36" s="613"/>
      <c r="K36" s="613"/>
      <c r="L36" s="613"/>
      <c r="M36" s="613"/>
      <c r="N36" s="613"/>
      <c r="O36" s="613"/>
      <c r="P36" s="613"/>
      <c r="Q36" s="613"/>
      <c r="R36" s="613"/>
      <c r="S36" s="613"/>
      <c r="T36" s="613"/>
      <c r="U36" s="613"/>
      <c r="V36" s="613"/>
      <c r="W36" s="613"/>
      <c r="X36" s="613"/>
      <c r="Y36" s="613"/>
      <c r="Z36" s="613"/>
    </row>
    <row r="37" ht="15.75" customHeight="1">
      <c r="A37" s="613"/>
      <c r="B37" s="613"/>
      <c r="C37" s="613"/>
      <c r="D37" s="613"/>
      <c r="E37" s="613"/>
      <c r="F37" s="613"/>
      <c r="G37" s="613"/>
      <c r="H37" s="613"/>
      <c r="I37" s="613"/>
      <c r="J37" s="613"/>
      <c r="K37" s="613"/>
      <c r="L37" s="613"/>
      <c r="M37" s="613"/>
      <c r="N37" s="613"/>
      <c r="O37" s="613"/>
      <c r="P37" s="613"/>
      <c r="Q37" s="613"/>
      <c r="R37" s="613"/>
      <c r="S37" s="613"/>
      <c r="T37" s="613"/>
      <c r="U37" s="613"/>
      <c r="V37" s="613"/>
      <c r="W37" s="613"/>
      <c r="X37" s="613"/>
      <c r="Y37" s="613"/>
      <c r="Z37" s="613"/>
    </row>
    <row r="38" ht="15.75" customHeight="1">
      <c r="A38" s="613"/>
      <c r="B38" s="613"/>
      <c r="C38" s="613"/>
      <c r="D38" s="613"/>
      <c r="E38" s="613"/>
      <c r="F38" s="613"/>
      <c r="G38" s="613"/>
      <c r="H38" s="613"/>
      <c r="I38" s="613"/>
      <c r="J38" s="613"/>
      <c r="K38" s="613"/>
      <c r="L38" s="613"/>
      <c r="M38" s="613"/>
      <c r="N38" s="613"/>
      <c r="O38" s="613"/>
      <c r="P38" s="613"/>
      <c r="Q38" s="613"/>
      <c r="R38" s="613"/>
      <c r="S38" s="613"/>
      <c r="T38" s="613"/>
      <c r="U38" s="613"/>
      <c r="V38" s="613"/>
      <c r="W38" s="613"/>
      <c r="X38" s="613"/>
      <c r="Y38" s="613"/>
      <c r="Z38" s="613"/>
    </row>
    <row r="39" ht="15.75" customHeight="1">
      <c r="A39" s="613"/>
      <c r="B39" s="613"/>
      <c r="C39" s="613"/>
      <c r="D39" s="613"/>
      <c r="E39" s="613"/>
      <c r="F39" s="613"/>
      <c r="G39" s="613"/>
      <c r="H39" s="613"/>
      <c r="I39" s="613"/>
      <c r="J39" s="613"/>
      <c r="K39" s="613"/>
      <c r="L39" s="613"/>
      <c r="M39" s="613"/>
      <c r="N39" s="613"/>
      <c r="O39" s="613"/>
      <c r="P39" s="613"/>
      <c r="Q39" s="613"/>
      <c r="R39" s="613"/>
      <c r="S39" s="613"/>
      <c r="T39" s="613"/>
      <c r="U39" s="613"/>
      <c r="V39" s="613"/>
      <c r="W39" s="613"/>
      <c r="X39" s="613"/>
      <c r="Y39" s="613"/>
      <c r="Z39" s="613"/>
    </row>
    <row r="40" ht="15.75" customHeight="1">
      <c r="A40" s="613"/>
      <c r="B40" s="613"/>
      <c r="C40" s="613"/>
      <c r="D40" s="613"/>
      <c r="E40" s="613"/>
      <c r="F40" s="613"/>
      <c r="G40" s="613"/>
      <c r="H40" s="613"/>
      <c r="I40" s="613"/>
      <c r="J40" s="613"/>
      <c r="K40" s="613"/>
      <c r="L40" s="613"/>
      <c r="M40" s="613"/>
      <c r="N40" s="613"/>
      <c r="O40" s="613"/>
      <c r="P40" s="613"/>
      <c r="Q40" s="613"/>
      <c r="R40" s="613"/>
      <c r="S40" s="613"/>
      <c r="T40" s="613"/>
      <c r="U40" s="613"/>
      <c r="V40" s="613"/>
      <c r="W40" s="613"/>
      <c r="X40" s="613"/>
      <c r="Y40" s="613"/>
      <c r="Z40" s="613"/>
    </row>
    <row r="41" ht="15.75" customHeight="1">
      <c r="A41" s="613"/>
      <c r="B41" s="613"/>
      <c r="C41" s="613"/>
      <c r="D41" s="613"/>
      <c r="E41" s="613"/>
      <c r="F41" s="613"/>
      <c r="G41" s="613"/>
      <c r="H41" s="613"/>
      <c r="I41" s="613"/>
      <c r="J41" s="613"/>
      <c r="K41" s="613"/>
      <c r="L41" s="613"/>
      <c r="M41" s="613"/>
      <c r="N41" s="613"/>
      <c r="O41" s="613"/>
      <c r="P41" s="613"/>
      <c r="Q41" s="613"/>
      <c r="R41" s="613"/>
      <c r="S41" s="613"/>
      <c r="T41" s="613"/>
      <c r="U41" s="613"/>
      <c r="V41" s="613"/>
      <c r="W41" s="613"/>
      <c r="X41" s="613"/>
      <c r="Y41" s="613"/>
      <c r="Z41" s="613"/>
    </row>
    <row r="42" ht="15.75" customHeight="1">
      <c r="A42" s="613"/>
      <c r="B42" s="613"/>
      <c r="C42" s="613"/>
      <c r="D42" s="613"/>
      <c r="E42" s="613"/>
      <c r="F42" s="613"/>
      <c r="G42" s="613"/>
      <c r="H42" s="613"/>
      <c r="I42" s="613"/>
      <c r="J42" s="613"/>
      <c r="K42" s="613"/>
      <c r="L42" s="613"/>
      <c r="M42" s="613"/>
      <c r="N42" s="613"/>
      <c r="O42" s="613"/>
      <c r="P42" s="613"/>
      <c r="Q42" s="613"/>
      <c r="R42" s="613"/>
      <c r="S42" s="613"/>
      <c r="T42" s="613"/>
      <c r="U42" s="613"/>
      <c r="V42" s="613"/>
      <c r="W42" s="613"/>
      <c r="X42" s="613"/>
      <c r="Y42" s="613"/>
      <c r="Z42" s="613"/>
    </row>
    <row r="43" ht="15.75" customHeight="1">
      <c r="A43" s="613"/>
      <c r="B43" s="613"/>
      <c r="C43" s="613"/>
      <c r="D43" s="613"/>
      <c r="E43" s="613"/>
      <c r="F43" s="613"/>
      <c r="G43" s="613"/>
      <c r="H43" s="613"/>
      <c r="I43" s="613"/>
      <c r="J43" s="613"/>
      <c r="K43" s="613"/>
      <c r="L43" s="613"/>
      <c r="M43" s="613"/>
      <c r="N43" s="613"/>
      <c r="O43" s="613"/>
      <c r="P43" s="613"/>
      <c r="Q43" s="613"/>
      <c r="R43" s="613"/>
      <c r="S43" s="613"/>
      <c r="T43" s="613"/>
      <c r="U43" s="613"/>
      <c r="V43" s="613"/>
      <c r="W43" s="613"/>
      <c r="X43" s="613"/>
      <c r="Y43" s="613"/>
      <c r="Z43" s="613"/>
    </row>
    <row r="44" ht="15.75" customHeight="1">
      <c r="A44" s="613"/>
      <c r="B44" s="613"/>
      <c r="C44" s="613"/>
      <c r="D44" s="613"/>
      <c r="E44" s="613"/>
      <c r="F44" s="613"/>
      <c r="G44" s="613"/>
      <c r="H44" s="613"/>
      <c r="I44" s="613"/>
      <c r="J44" s="613"/>
      <c r="K44" s="613"/>
      <c r="L44" s="613"/>
      <c r="M44" s="613"/>
      <c r="N44" s="613"/>
      <c r="O44" s="613"/>
      <c r="P44" s="613"/>
      <c r="Q44" s="613"/>
      <c r="R44" s="613"/>
      <c r="S44" s="613"/>
      <c r="T44" s="613"/>
      <c r="U44" s="613"/>
      <c r="V44" s="613"/>
      <c r="W44" s="613"/>
      <c r="X44" s="613"/>
      <c r="Y44" s="613"/>
      <c r="Z44" s="613"/>
    </row>
    <row r="45" ht="15.75" customHeight="1">
      <c r="A45" s="613"/>
      <c r="B45" s="613"/>
      <c r="C45" s="613"/>
      <c r="D45" s="613"/>
      <c r="E45" s="613"/>
      <c r="F45" s="613"/>
      <c r="G45" s="613"/>
      <c r="H45" s="613"/>
      <c r="I45" s="613"/>
      <c r="J45" s="613"/>
      <c r="K45" s="613"/>
      <c r="L45" s="613"/>
      <c r="M45" s="613"/>
      <c r="N45" s="613"/>
      <c r="O45" s="613"/>
      <c r="P45" s="613"/>
      <c r="Q45" s="613"/>
      <c r="R45" s="613"/>
      <c r="S45" s="613"/>
      <c r="T45" s="613"/>
      <c r="U45" s="613"/>
      <c r="V45" s="613"/>
      <c r="W45" s="613"/>
      <c r="X45" s="613"/>
      <c r="Y45" s="613"/>
      <c r="Z45" s="613"/>
    </row>
    <row r="46" ht="15.75" customHeight="1">
      <c r="A46" s="613"/>
      <c r="B46" s="613"/>
      <c r="C46" s="613"/>
      <c r="D46" s="613"/>
      <c r="E46" s="613"/>
      <c r="F46" s="613"/>
      <c r="G46" s="613"/>
      <c r="H46" s="613"/>
      <c r="I46" s="613"/>
      <c r="J46" s="613"/>
      <c r="K46" s="613"/>
      <c r="L46" s="613"/>
      <c r="M46" s="613"/>
      <c r="N46" s="613"/>
      <c r="O46" s="613"/>
      <c r="P46" s="613"/>
      <c r="Q46" s="613"/>
      <c r="R46" s="613"/>
      <c r="S46" s="613"/>
      <c r="T46" s="613"/>
      <c r="U46" s="613"/>
      <c r="V46" s="613"/>
      <c r="W46" s="613"/>
      <c r="X46" s="613"/>
      <c r="Y46" s="613"/>
      <c r="Z46" s="613"/>
    </row>
    <row r="47" ht="15.75" customHeight="1">
      <c r="A47" s="613"/>
      <c r="B47" s="613"/>
      <c r="C47" s="613"/>
      <c r="D47" s="613"/>
      <c r="E47" s="613"/>
      <c r="F47" s="613"/>
      <c r="G47" s="613"/>
      <c r="H47" s="613"/>
      <c r="I47" s="613"/>
      <c r="J47" s="613"/>
      <c r="K47" s="613"/>
      <c r="L47" s="613"/>
      <c r="M47" s="613"/>
      <c r="N47" s="613"/>
      <c r="O47" s="613"/>
      <c r="P47" s="613"/>
      <c r="Q47" s="613"/>
      <c r="R47" s="613"/>
      <c r="S47" s="613"/>
      <c r="T47" s="613"/>
      <c r="U47" s="613"/>
      <c r="V47" s="613"/>
      <c r="W47" s="613"/>
      <c r="X47" s="613"/>
      <c r="Y47" s="613"/>
      <c r="Z47" s="613"/>
    </row>
    <row r="48" ht="15.75" customHeight="1">
      <c r="A48" s="613"/>
      <c r="B48" s="613"/>
      <c r="C48" s="613"/>
      <c r="D48" s="613"/>
      <c r="E48" s="613"/>
      <c r="F48" s="613"/>
      <c r="G48" s="613"/>
      <c r="H48" s="613"/>
      <c r="I48" s="613"/>
      <c r="J48" s="613"/>
      <c r="K48" s="613"/>
      <c r="L48" s="613"/>
      <c r="M48" s="613"/>
      <c r="N48" s="613"/>
      <c r="O48" s="613"/>
      <c r="P48" s="613"/>
      <c r="Q48" s="613"/>
      <c r="R48" s="613"/>
      <c r="S48" s="613"/>
      <c r="T48" s="613"/>
      <c r="U48" s="613"/>
      <c r="V48" s="613"/>
      <c r="W48" s="613"/>
      <c r="X48" s="613"/>
      <c r="Y48" s="613"/>
      <c r="Z48" s="613"/>
    </row>
    <row r="49" ht="15.75" customHeight="1">
      <c r="A49" s="613"/>
      <c r="B49" s="613"/>
      <c r="C49" s="613"/>
      <c r="D49" s="613"/>
      <c r="E49" s="613"/>
      <c r="F49" s="613"/>
      <c r="G49" s="613"/>
      <c r="H49" s="613"/>
      <c r="I49" s="613"/>
      <c r="J49" s="613"/>
      <c r="K49" s="613"/>
      <c r="L49" s="613"/>
      <c r="M49" s="613"/>
      <c r="N49" s="613"/>
      <c r="O49" s="613"/>
      <c r="P49" s="613"/>
      <c r="Q49" s="613"/>
      <c r="R49" s="613"/>
      <c r="S49" s="613"/>
      <c r="T49" s="613"/>
      <c r="U49" s="613"/>
      <c r="V49" s="613"/>
      <c r="W49" s="613"/>
      <c r="X49" s="613"/>
      <c r="Y49" s="613"/>
      <c r="Z49" s="613"/>
    </row>
    <row r="50" ht="15.75" customHeight="1">
      <c r="A50" s="613"/>
      <c r="B50" s="613"/>
      <c r="C50" s="613"/>
      <c r="D50" s="613"/>
      <c r="E50" s="613"/>
      <c r="F50" s="613"/>
      <c r="G50" s="613"/>
      <c r="H50" s="613"/>
      <c r="I50" s="613"/>
      <c r="J50" s="613"/>
      <c r="K50" s="613"/>
      <c r="L50" s="613"/>
      <c r="M50" s="613"/>
      <c r="N50" s="613"/>
      <c r="O50" s="613"/>
      <c r="P50" s="613"/>
      <c r="Q50" s="613"/>
      <c r="R50" s="613"/>
      <c r="S50" s="613"/>
      <c r="T50" s="613"/>
      <c r="U50" s="613"/>
      <c r="V50" s="613"/>
      <c r="W50" s="613"/>
      <c r="X50" s="613"/>
      <c r="Y50" s="613"/>
      <c r="Z50" s="613"/>
    </row>
    <row r="51" ht="15.75" customHeight="1">
      <c r="A51" s="613"/>
      <c r="B51" s="613"/>
      <c r="C51" s="613"/>
      <c r="D51" s="613"/>
      <c r="E51" s="613"/>
      <c r="F51" s="613"/>
      <c r="G51" s="613"/>
      <c r="H51" s="613"/>
      <c r="I51" s="613"/>
      <c r="J51" s="613"/>
      <c r="K51" s="613"/>
      <c r="L51" s="613"/>
      <c r="M51" s="613"/>
      <c r="N51" s="613"/>
      <c r="O51" s="613"/>
      <c r="P51" s="613"/>
      <c r="Q51" s="613"/>
      <c r="R51" s="613"/>
      <c r="S51" s="613"/>
      <c r="T51" s="613"/>
      <c r="U51" s="613"/>
      <c r="V51" s="613"/>
      <c r="W51" s="613"/>
      <c r="X51" s="613"/>
      <c r="Y51" s="613"/>
      <c r="Z51" s="613"/>
    </row>
    <row r="52" ht="15.75" customHeight="1">
      <c r="A52" s="613"/>
      <c r="B52" s="613"/>
      <c r="C52" s="613"/>
      <c r="D52" s="613"/>
      <c r="E52" s="613"/>
      <c r="F52" s="613"/>
      <c r="G52" s="613"/>
      <c r="H52" s="613"/>
      <c r="I52" s="613"/>
      <c r="J52" s="613"/>
      <c r="K52" s="613"/>
      <c r="L52" s="613"/>
      <c r="M52" s="613"/>
      <c r="N52" s="613"/>
      <c r="O52" s="613"/>
      <c r="P52" s="613"/>
      <c r="Q52" s="613"/>
      <c r="R52" s="613"/>
      <c r="S52" s="613"/>
      <c r="T52" s="613"/>
      <c r="U52" s="613"/>
      <c r="V52" s="613"/>
      <c r="W52" s="613"/>
      <c r="X52" s="613"/>
      <c r="Y52" s="613"/>
      <c r="Z52" s="613"/>
    </row>
    <row r="53" ht="15.75" customHeight="1">
      <c r="A53" s="613"/>
      <c r="B53" s="613"/>
      <c r="C53" s="613"/>
      <c r="D53" s="613"/>
      <c r="E53" s="613"/>
      <c r="F53" s="613"/>
      <c r="G53" s="613"/>
      <c r="H53" s="613"/>
      <c r="I53" s="613"/>
      <c r="J53" s="613"/>
      <c r="K53" s="613"/>
      <c r="L53" s="613"/>
      <c r="M53" s="613"/>
      <c r="N53" s="613"/>
      <c r="O53" s="613"/>
      <c r="P53" s="613"/>
      <c r="Q53" s="613"/>
      <c r="R53" s="613"/>
      <c r="S53" s="613"/>
      <c r="T53" s="613"/>
      <c r="U53" s="613"/>
      <c r="V53" s="613"/>
      <c r="W53" s="613"/>
      <c r="X53" s="613"/>
      <c r="Y53" s="613"/>
      <c r="Z53" s="613"/>
    </row>
    <row r="54" ht="15.75" customHeight="1">
      <c r="A54" s="613"/>
      <c r="B54" s="613"/>
      <c r="C54" s="613"/>
      <c r="D54" s="613"/>
      <c r="E54" s="613"/>
      <c r="F54" s="613"/>
      <c r="G54" s="613"/>
      <c r="H54" s="613"/>
      <c r="I54" s="613"/>
      <c r="J54" s="613"/>
      <c r="K54" s="613"/>
      <c r="L54" s="613"/>
      <c r="M54" s="613"/>
      <c r="N54" s="613"/>
      <c r="O54" s="613"/>
      <c r="P54" s="613"/>
      <c r="Q54" s="613"/>
      <c r="R54" s="613"/>
      <c r="S54" s="613"/>
      <c r="T54" s="613"/>
      <c r="U54" s="613"/>
      <c r="V54" s="613"/>
      <c r="W54" s="613"/>
      <c r="X54" s="613"/>
      <c r="Y54" s="613"/>
      <c r="Z54" s="613"/>
    </row>
    <row r="55" ht="15.75" customHeight="1">
      <c r="A55" s="613"/>
      <c r="B55" s="613"/>
      <c r="C55" s="613"/>
      <c r="D55" s="613"/>
      <c r="E55" s="613"/>
      <c r="F55" s="613"/>
      <c r="G55" s="613"/>
      <c r="H55" s="613"/>
      <c r="I55" s="613"/>
      <c r="J55" s="613"/>
      <c r="K55" s="613"/>
      <c r="L55" s="613"/>
      <c r="M55" s="613"/>
      <c r="N55" s="613"/>
      <c r="O55" s="613"/>
      <c r="P55" s="613"/>
      <c r="Q55" s="613"/>
      <c r="R55" s="613"/>
      <c r="S55" s="613"/>
      <c r="T55" s="613"/>
      <c r="U55" s="613"/>
      <c r="V55" s="613"/>
      <c r="W55" s="613"/>
      <c r="X55" s="613"/>
      <c r="Y55" s="613"/>
      <c r="Z55" s="613"/>
    </row>
    <row r="56" ht="15.75" customHeight="1">
      <c r="A56" s="613"/>
      <c r="B56" s="613"/>
      <c r="C56" s="613"/>
      <c r="D56" s="613"/>
      <c r="E56" s="613"/>
      <c r="F56" s="613"/>
      <c r="G56" s="613"/>
      <c r="H56" s="613"/>
      <c r="I56" s="613"/>
      <c r="J56" s="613"/>
      <c r="K56" s="613"/>
      <c r="L56" s="613"/>
      <c r="M56" s="613"/>
      <c r="N56" s="613"/>
      <c r="O56" s="613"/>
      <c r="P56" s="613"/>
      <c r="Q56" s="613"/>
      <c r="R56" s="613"/>
      <c r="S56" s="613"/>
      <c r="T56" s="613"/>
      <c r="U56" s="613"/>
      <c r="V56" s="613"/>
      <c r="W56" s="613"/>
      <c r="X56" s="613"/>
      <c r="Y56" s="613"/>
      <c r="Z56" s="613"/>
    </row>
    <row r="57" ht="15.75" customHeight="1">
      <c r="A57" s="613"/>
      <c r="B57" s="613"/>
      <c r="C57" s="613"/>
      <c r="D57" s="613"/>
      <c r="E57" s="613"/>
      <c r="F57" s="613"/>
      <c r="G57" s="613"/>
      <c r="H57" s="613"/>
      <c r="I57" s="613"/>
      <c r="J57" s="613"/>
      <c r="K57" s="613"/>
      <c r="L57" s="613"/>
      <c r="M57" s="613"/>
      <c r="N57" s="613"/>
      <c r="O57" s="613"/>
      <c r="P57" s="613"/>
      <c r="Q57" s="613"/>
      <c r="R57" s="613"/>
      <c r="S57" s="613"/>
      <c r="T57" s="613"/>
      <c r="U57" s="613"/>
      <c r="V57" s="613"/>
      <c r="W57" s="613"/>
      <c r="X57" s="613"/>
      <c r="Y57" s="613"/>
      <c r="Z57" s="613"/>
    </row>
    <row r="58" ht="15.75" customHeight="1">
      <c r="A58" s="613"/>
      <c r="B58" s="613"/>
      <c r="C58" s="613"/>
      <c r="D58" s="613"/>
      <c r="E58" s="613"/>
      <c r="F58" s="613"/>
      <c r="G58" s="613"/>
      <c r="H58" s="613"/>
      <c r="I58" s="613"/>
      <c r="J58" s="613"/>
      <c r="K58" s="613"/>
      <c r="L58" s="613"/>
      <c r="M58" s="613"/>
      <c r="N58" s="613"/>
      <c r="O58" s="613"/>
      <c r="P58" s="613"/>
      <c r="Q58" s="613"/>
      <c r="R58" s="613"/>
      <c r="S58" s="613"/>
      <c r="T58" s="613"/>
      <c r="U58" s="613"/>
      <c r="V58" s="613"/>
      <c r="W58" s="613"/>
      <c r="X58" s="613"/>
      <c r="Y58" s="613"/>
      <c r="Z58" s="613"/>
    </row>
    <row r="59" ht="15.75" customHeight="1">
      <c r="A59" s="613"/>
      <c r="B59" s="613"/>
      <c r="C59" s="613"/>
      <c r="D59" s="613"/>
      <c r="E59" s="613"/>
      <c r="F59" s="613"/>
      <c r="G59" s="613"/>
      <c r="H59" s="613"/>
      <c r="I59" s="613"/>
      <c r="J59" s="613"/>
      <c r="K59" s="613"/>
      <c r="L59" s="613"/>
      <c r="M59" s="613"/>
      <c r="N59" s="613"/>
      <c r="O59" s="613"/>
      <c r="P59" s="613"/>
      <c r="Q59" s="613"/>
      <c r="R59" s="613"/>
      <c r="S59" s="613"/>
      <c r="T59" s="613"/>
      <c r="U59" s="613"/>
      <c r="V59" s="613"/>
      <c r="W59" s="613"/>
      <c r="X59" s="613"/>
      <c r="Y59" s="613"/>
      <c r="Z59" s="613"/>
    </row>
    <row r="60" ht="15.75" customHeight="1">
      <c r="A60" s="613"/>
      <c r="B60" s="613"/>
      <c r="C60" s="613"/>
      <c r="D60" s="613"/>
      <c r="E60" s="613"/>
      <c r="F60" s="613"/>
      <c r="G60" s="613"/>
      <c r="H60" s="613"/>
      <c r="I60" s="613"/>
      <c r="J60" s="613"/>
      <c r="K60" s="613"/>
      <c r="L60" s="613"/>
      <c r="M60" s="613"/>
      <c r="N60" s="613"/>
      <c r="O60" s="613"/>
      <c r="P60" s="613"/>
      <c r="Q60" s="613"/>
      <c r="R60" s="613"/>
      <c r="S60" s="613"/>
      <c r="T60" s="613"/>
      <c r="U60" s="613"/>
      <c r="V60" s="613"/>
      <c r="W60" s="613"/>
      <c r="X60" s="613"/>
      <c r="Y60" s="613"/>
      <c r="Z60" s="613"/>
    </row>
    <row r="61" ht="15.75" customHeight="1">
      <c r="A61" s="613"/>
      <c r="B61" s="613"/>
      <c r="C61" s="613"/>
      <c r="D61" s="613"/>
      <c r="E61" s="613"/>
      <c r="F61" s="613"/>
      <c r="G61" s="613"/>
      <c r="H61" s="613"/>
      <c r="I61" s="613"/>
      <c r="J61" s="613"/>
      <c r="K61" s="613"/>
      <c r="L61" s="613"/>
      <c r="M61" s="613"/>
      <c r="N61" s="613"/>
      <c r="O61" s="613"/>
      <c r="P61" s="613"/>
      <c r="Q61" s="613"/>
      <c r="R61" s="613"/>
      <c r="S61" s="613"/>
      <c r="T61" s="613"/>
      <c r="U61" s="613"/>
      <c r="V61" s="613"/>
      <c r="W61" s="613"/>
      <c r="X61" s="613"/>
      <c r="Y61" s="613"/>
      <c r="Z61" s="613"/>
    </row>
    <row r="62" ht="15.75" customHeight="1">
      <c r="A62" s="613"/>
      <c r="B62" s="613"/>
      <c r="C62" s="613"/>
      <c r="D62" s="613"/>
      <c r="E62" s="613"/>
      <c r="F62" s="613"/>
      <c r="G62" s="613"/>
      <c r="H62" s="613"/>
      <c r="I62" s="613"/>
      <c r="J62" s="613"/>
      <c r="K62" s="613"/>
      <c r="L62" s="613"/>
      <c r="M62" s="613"/>
      <c r="N62" s="613"/>
      <c r="O62" s="613"/>
      <c r="P62" s="613"/>
      <c r="Q62" s="613"/>
      <c r="R62" s="613"/>
      <c r="S62" s="613"/>
      <c r="T62" s="613"/>
      <c r="U62" s="613"/>
      <c r="V62" s="613"/>
      <c r="W62" s="613"/>
      <c r="X62" s="613"/>
      <c r="Y62" s="613"/>
      <c r="Z62" s="613"/>
    </row>
    <row r="63" ht="15.75" customHeight="1">
      <c r="A63" s="613"/>
      <c r="B63" s="613"/>
      <c r="C63" s="613"/>
      <c r="D63" s="613"/>
      <c r="E63" s="613"/>
      <c r="F63" s="613"/>
      <c r="G63" s="613"/>
      <c r="H63" s="613"/>
      <c r="I63" s="613"/>
      <c r="J63" s="613"/>
      <c r="K63" s="613"/>
      <c r="L63" s="613"/>
      <c r="M63" s="613"/>
      <c r="N63" s="613"/>
      <c r="O63" s="613"/>
      <c r="P63" s="613"/>
      <c r="Q63" s="613"/>
      <c r="R63" s="613"/>
      <c r="S63" s="613"/>
      <c r="T63" s="613"/>
      <c r="U63" s="613"/>
      <c r="V63" s="613"/>
      <c r="W63" s="613"/>
      <c r="X63" s="613"/>
      <c r="Y63" s="613"/>
      <c r="Z63" s="613"/>
    </row>
    <row r="64" ht="15.75" customHeight="1">
      <c r="A64" s="613"/>
      <c r="B64" s="613"/>
      <c r="C64" s="613"/>
      <c r="D64" s="613"/>
      <c r="E64" s="613"/>
      <c r="F64" s="613"/>
      <c r="G64" s="613"/>
      <c r="H64" s="613"/>
      <c r="I64" s="613"/>
      <c r="J64" s="613"/>
      <c r="K64" s="613"/>
      <c r="L64" s="613"/>
      <c r="M64" s="613"/>
      <c r="N64" s="613"/>
      <c r="O64" s="613"/>
      <c r="P64" s="613"/>
      <c r="Q64" s="613"/>
      <c r="R64" s="613"/>
      <c r="S64" s="613"/>
      <c r="T64" s="613"/>
      <c r="U64" s="613"/>
      <c r="V64" s="613"/>
      <c r="W64" s="613"/>
      <c r="X64" s="613"/>
      <c r="Y64" s="613"/>
      <c r="Z64" s="613"/>
    </row>
    <row r="65" ht="15.75" customHeight="1">
      <c r="A65" s="613"/>
      <c r="B65" s="613"/>
      <c r="C65" s="613"/>
      <c r="D65" s="613"/>
      <c r="E65" s="613"/>
      <c r="F65" s="613"/>
      <c r="G65" s="613"/>
      <c r="H65" s="613"/>
      <c r="I65" s="613"/>
      <c r="J65" s="613"/>
      <c r="K65" s="613"/>
      <c r="L65" s="613"/>
      <c r="M65" s="613"/>
      <c r="N65" s="613"/>
      <c r="O65" s="613"/>
      <c r="P65" s="613"/>
      <c r="Q65" s="613"/>
      <c r="R65" s="613"/>
      <c r="S65" s="613"/>
      <c r="T65" s="613"/>
      <c r="U65" s="613"/>
      <c r="V65" s="613"/>
      <c r="W65" s="613"/>
      <c r="X65" s="613"/>
      <c r="Y65" s="613"/>
      <c r="Z65" s="613"/>
    </row>
    <row r="66" ht="15.75" customHeight="1">
      <c r="A66" s="613"/>
      <c r="B66" s="613"/>
      <c r="C66" s="613"/>
      <c r="D66" s="613"/>
      <c r="E66" s="613"/>
      <c r="F66" s="613"/>
      <c r="G66" s="613"/>
      <c r="H66" s="613"/>
      <c r="I66" s="613"/>
      <c r="J66" s="613"/>
      <c r="K66" s="613"/>
      <c r="L66" s="613"/>
      <c r="M66" s="613"/>
      <c r="N66" s="613"/>
      <c r="O66" s="613"/>
      <c r="P66" s="613"/>
      <c r="Q66" s="613"/>
      <c r="R66" s="613"/>
      <c r="S66" s="613"/>
      <c r="T66" s="613"/>
      <c r="U66" s="613"/>
      <c r="V66" s="613"/>
      <c r="W66" s="613"/>
      <c r="X66" s="613"/>
      <c r="Y66" s="613"/>
      <c r="Z66" s="613"/>
    </row>
    <row r="67" ht="15.75" customHeight="1">
      <c r="A67" s="613"/>
      <c r="B67" s="613"/>
      <c r="C67" s="613"/>
      <c r="D67" s="613"/>
      <c r="E67" s="613"/>
      <c r="F67" s="613"/>
      <c r="G67" s="613"/>
      <c r="H67" s="613"/>
      <c r="I67" s="613"/>
      <c r="J67" s="613"/>
      <c r="K67" s="613"/>
      <c r="L67" s="613"/>
      <c r="M67" s="613"/>
      <c r="N67" s="613"/>
      <c r="O67" s="613"/>
      <c r="P67" s="613"/>
      <c r="Q67" s="613"/>
      <c r="R67" s="613"/>
      <c r="S67" s="613"/>
      <c r="T67" s="613"/>
      <c r="U67" s="613"/>
      <c r="V67" s="613"/>
      <c r="W67" s="613"/>
      <c r="X67" s="613"/>
      <c r="Y67" s="613"/>
      <c r="Z67" s="613"/>
    </row>
    <row r="68" ht="15.75" customHeight="1">
      <c r="A68" s="613"/>
      <c r="B68" s="613"/>
      <c r="C68" s="613"/>
      <c r="D68" s="613"/>
      <c r="E68" s="613"/>
      <c r="F68" s="613"/>
      <c r="G68" s="613"/>
      <c r="H68" s="613"/>
      <c r="I68" s="613"/>
      <c r="J68" s="613"/>
      <c r="K68" s="613"/>
      <c r="L68" s="613"/>
      <c r="M68" s="613"/>
      <c r="N68" s="613"/>
      <c r="O68" s="613"/>
      <c r="P68" s="613"/>
      <c r="Q68" s="613"/>
      <c r="R68" s="613"/>
      <c r="S68" s="613"/>
      <c r="T68" s="613"/>
      <c r="U68" s="613"/>
      <c r="V68" s="613"/>
      <c r="W68" s="613"/>
      <c r="X68" s="613"/>
      <c r="Y68" s="613"/>
      <c r="Z68" s="613"/>
    </row>
    <row r="69" ht="15.75" customHeight="1">
      <c r="A69" s="613"/>
      <c r="B69" s="613"/>
      <c r="C69" s="613"/>
      <c r="D69" s="613"/>
      <c r="E69" s="613"/>
      <c r="F69" s="613"/>
      <c r="G69" s="613"/>
      <c r="H69" s="613"/>
      <c r="I69" s="613"/>
      <c r="J69" s="613"/>
      <c r="K69" s="613"/>
      <c r="L69" s="613"/>
      <c r="M69" s="613"/>
      <c r="N69" s="613"/>
      <c r="O69" s="613"/>
      <c r="P69" s="613"/>
      <c r="Q69" s="613"/>
      <c r="R69" s="613"/>
      <c r="S69" s="613"/>
      <c r="T69" s="613"/>
      <c r="U69" s="613"/>
      <c r="V69" s="613"/>
      <c r="W69" s="613"/>
      <c r="X69" s="613"/>
      <c r="Y69" s="613"/>
      <c r="Z69" s="613"/>
    </row>
    <row r="70" ht="15.75" customHeight="1">
      <c r="A70" s="613"/>
      <c r="B70" s="613"/>
      <c r="C70" s="613"/>
      <c r="D70" s="613"/>
      <c r="E70" s="613"/>
      <c r="F70" s="613"/>
      <c r="G70" s="613"/>
      <c r="H70" s="613"/>
      <c r="I70" s="613"/>
      <c r="J70" s="613"/>
      <c r="K70" s="613"/>
      <c r="L70" s="613"/>
      <c r="M70" s="613"/>
      <c r="N70" s="613"/>
      <c r="O70" s="613"/>
      <c r="P70" s="613"/>
      <c r="Q70" s="613"/>
      <c r="R70" s="613"/>
      <c r="S70" s="613"/>
      <c r="T70" s="613"/>
      <c r="U70" s="613"/>
      <c r="V70" s="613"/>
      <c r="W70" s="613"/>
      <c r="X70" s="613"/>
      <c r="Y70" s="613"/>
      <c r="Z70" s="613"/>
    </row>
    <row r="71" ht="15.75" customHeight="1">
      <c r="A71" s="613"/>
      <c r="B71" s="613"/>
      <c r="C71" s="613"/>
      <c r="D71" s="613"/>
      <c r="E71" s="613"/>
      <c r="F71" s="613"/>
      <c r="G71" s="613"/>
      <c r="H71" s="613"/>
      <c r="I71" s="613"/>
      <c r="J71" s="613"/>
      <c r="K71" s="613"/>
      <c r="L71" s="613"/>
      <c r="M71" s="613"/>
      <c r="N71" s="613"/>
      <c r="O71" s="613"/>
      <c r="P71" s="613"/>
      <c r="Q71" s="613"/>
      <c r="R71" s="613"/>
      <c r="S71" s="613"/>
      <c r="T71" s="613"/>
      <c r="U71" s="613"/>
      <c r="V71" s="613"/>
      <c r="W71" s="613"/>
      <c r="X71" s="613"/>
      <c r="Y71" s="613"/>
      <c r="Z71" s="613"/>
    </row>
    <row r="72" ht="15.75" customHeight="1">
      <c r="A72" s="613"/>
      <c r="B72" s="613"/>
      <c r="C72" s="613"/>
      <c r="D72" s="613"/>
      <c r="E72" s="613"/>
      <c r="F72" s="613"/>
      <c r="G72" s="613"/>
      <c r="H72" s="613"/>
      <c r="I72" s="613"/>
      <c r="J72" s="613"/>
      <c r="K72" s="613"/>
      <c r="L72" s="613"/>
      <c r="M72" s="613"/>
      <c r="N72" s="613"/>
      <c r="O72" s="613"/>
      <c r="P72" s="613"/>
      <c r="Q72" s="613"/>
      <c r="R72" s="613"/>
      <c r="S72" s="613"/>
      <c r="T72" s="613"/>
      <c r="U72" s="613"/>
      <c r="V72" s="613"/>
      <c r="W72" s="613"/>
      <c r="X72" s="613"/>
      <c r="Y72" s="613"/>
      <c r="Z72" s="613"/>
    </row>
    <row r="73" ht="15.75" customHeight="1">
      <c r="A73" s="613"/>
      <c r="B73" s="613"/>
      <c r="C73" s="613"/>
      <c r="D73" s="613"/>
      <c r="E73" s="613"/>
      <c r="F73" s="613"/>
      <c r="G73" s="613"/>
      <c r="H73" s="613"/>
      <c r="I73" s="613"/>
      <c r="J73" s="613"/>
      <c r="K73" s="613"/>
      <c r="L73" s="613"/>
      <c r="M73" s="613"/>
      <c r="N73" s="613"/>
      <c r="O73" s="613"/>
      <c r="P73" s="613"/>
      <c r="Q73" s="613"/>
      <c r="R73" s="613"/>
      <c r="S73" s="613"/>
      <c r="T73" s="613"/>
      <c r="U73" s="613"/>
      <c r="V73" s="613"/>
      <c r="W73" s="613"/>
      <c r="X73" s="613"/>
      <c r="Y73" s="613"/>
      <c r="Z73" s="613"/>
    </row>
    <row r="74" ht="15.75" customHeight="1">
      <c r="A74" s="613"/>
      <c r="B74" s="613"/>
      <c r="C74" s="613"/>
      <c r="D74" s="613"/>
      <c r="E74" s="613"/>
      <c r="F74" s="613"/>
      <c r="G74" s="613"/>
      <c r="H74" s="613"/>
      <c r="I74" s="613"/>
      <c r="J74" s="613"/>
      <c r="K74" s="613"/>
      <c r="L74" s="613"/>
      <c r="M74" s="613"/>
      <c r="N74" s="613"/>
      <c r="O74" s="613"/>
      <c r="P74" s="613"/>
      <c r="Q74" s="613"/>
      <c r="R74" s="613"/>
      <c r="S74" s="613"/>
      <c r="T74" s="613"/>
      <c r="U74" s="613"/>
      <c r="V74" s="613"/>
      <c r="W74" s="613"/>
      <c r="X74" s="613"/>
      <c r="Y74" s="613"/>
      <c r="Z74" s="613"/>
    </row>
    <row r="75" ht="15.75" customHeight="1">
      <c r="A75" s="613"/>
      <c r="B75" s="613"/>
      <c r="C75" s="613"/>
      <c r="D75" s="613"/>
      <c r="E75" s="613"/>
      <c r="F75" s="613"/>
      <c r="G75" s="613"/>
      <c r="H75" s="613"/>
      <c r="I75" s="613"/>
      <c r="J75" s="613"/>
      <c r="K75" s="613"/>
      <c r="L75" s="613"/>
      <c r="M75" s="613"/>
      <c r="N75" s="613"/>
      <c r="O75" s="613"/>
      <c r="P75" s="613"/>
      <c r="Q75" s="613"/>
      <c r="R75" s="613"/>
      <c r="S75" s="613"/>
      <c r="T75" s="613"/>
      <c r="U75" s="613"/>
      <c r="V75" s="613"/>
      <c r="W75" s="613"/>
      <c r="X75" s="613"/>
      <c r="Y75" s="613"/>
      <c r="Z75" s="613"/>
    </row>
    <row r="76" ht="15.75" customHeight="1">
      <c r="A76" s="613"/>
      <c r="B76" s="613"/>
      <c r="C76" s="613"/>
      <c r="D76" s="613"/>
      <c r="E76" s="613"/>
      <c r="F76" s="613"/>
      <c r="G76" s="613"/>
      <c r="H76" s="613"/>
      <c r="I76" s="613"/>
      <c r="J76" s="613"/>
      <c r="K76" s="613"/>
      <c r="L76" s="613"/>
      <c r="M76" s="613"/>
      <c r="N76" s="613"/>
      <c r="O76" s="613"/>
      <c r="P76" s="613"/>
      <c r="Q76" s="613"/>
      <c r="R76" s="613"/>
      <c r="S76" s="613"/>
      <c r="T76" s="613"/>
      <c r="U76" s="613"/>
      <c r="V76" s="613"/>
      <c r="W76" s="613"/>
      <c r="X76" s="613"/>
      <c r="Y76" s="613"/>
      <c r="Z76" s="613"/>
    </row>
    <row r="77" ht="15.75" customHeight="1">
      <c r="A77" s="613"/>
      <c r="B77" s="613"/>
      <c r="C77" s="613"/>
      <c r="D77" s="613"/>
      <c r="E77" s="613"/>
      <c r="F77" s="613"/>
      <c r="G77" s="613"/>
      <c r="H77" s="613"/>
      <c r="I77" s="613"/>
      <c r="J77" s="613"/>
      <c r="K77" s="613"/>
      <c r="L77" s="613"/>
      <c r="M77" s="613"/>
      <c r="N77" s="613"/>
      <c r="O77" s="613"/>
      <c r="P77" s="613"/>
      <c r="Q77" s="613"/>
      <c r="R77" s="613"/>
      <c r="S77" s="613"/>
      <c r="T77" s="613"/>
      <c r="U77" s="613"/>
      <c r="V77" s="613"/>
      <c r="W77" s="613"/>
      <c r="X77" s="613"/>
      <c r="Y77" s="613"/>
      <c r="Z77" s="613"/>
    </row>
    <row r="78" ht="15.75" customHeight="1">
      <c r="A78" s="613"/>
      <c r="B78" s="613"/>
      <c r="C78" s="613"/>
      <c r="D78" s="613"/>
      <c r="E78" s="613"/>
      <c r="F78" s="613"/>
      <c r="G78" s="613"/>
      <c r="H78" s="613"/>
      <c r="I78" s="613"/>
      <c r="J78" s="613"/>
      <c r="K78" s="613"/>
      <c r="L78" s="613"/>
      <c r="M78" s="613"/>
      <c r="N78" s="613"/>
      <c r="O78" s="613"/>
      <c r="P78" s="613"/>
      <c r="Q78" s="613"/>
      <c r="R78" s="613"/>
      <c r="S78" s="613"/>
      <c r="T78" s="613"/>
      <c r="U78" s="613"/>
      <c r="V78" s="613"/>
      <c r="W78" s="613"/>
      <c r="X78" s="613"/>
      <c r="Y78" s="613"/>
      <c r="Z78" s="613"/>
    </row>
    <row r="79" ht="15.75" customHeight="1">
      <c r="A79" s="613"/>
      <c r="B79" s="613"/>
      <c r="C79" s="613"/>
      <c r="D79" s="613"/>
      <c r="E79" s="613"/>
      <c r="F79" s="613"/>
      <c r="G79" s="613"/>
      <c r="H79" s="613"/>
      <c r="I79" s="613"/>
      <c r="J79" s="613"/>
      <c r="K79" s="613"/>
      <c r="L79" s="613"/>
      <c r="M79" s="613"/>
      <c r="N79" s="613"/>
      <c r="O79" s="613"/>
      <c r="P79" s="613"/>
      <c r="Q79" s="613"/>
      <c r="R79" s="613"/>
      <c r="S79" s="613"/>
      <c r="T79" s="613"/>
      <c r="U79" s="613"/>
      <c r="V79" s="613"/>
      <c r="W79" s="613"/>
      <c r="X79" s="613"/>
      <c r="Y79" s="613"/>
      <c r="Z79" s="613"/>
    </row>
    <row r="80" ht="15.75" customHeight="1">
      <c r="A80" s="613"/>
      <c r="B80" s="613"/>
      <c r="C80" s="613"/>
      <c r="D80" s="613"/>
      <c r="E80" s="613"/>
      <c r="F80" s="613"/>
      <c r="G80" s="613"/>
      <c r="H80" s="613"/>
      <c r="I80" s="613"/>
      <c r="J80" s="613"/>
      <c r="K80" s="613"/>
      <c r="L80" s="613"/>
      <c r="M80" s="613"/>
      <c r="N80" s="613"/>
      <c r="O80" s="613"/>
      <c r="P80" s="613"/>
      <c r="Q80" s="613"/>
      <c r="R80" s="613"/>
      <c r="S80" s="613"/>
      <c r="T80" s="613"/>
      <c r="U80" s="613"/>
      <c r="V80" s="613"/>
      <c r="W80" s="613"/>
      <c r="X80" s="613"/>
      <c r="Y80" s="613"/>
      <c r="Z80" s="613"/>
    </row>
    <row r="81" ht="15.75" customHeight="1">
      <c r="A81" s="613"/>
      <c r="B81" s="613"/>
      <c r="C81" s="613"/>
      <c r="D81" s="613"/>
      <c r="E81" s="613"/>
      <c r="F81" s="613"/>
      <c r="G81" s="613"/>
      <c r="H81" s="613"/>
      <c r="I81" s="613"/>
      <c r="J81" s="613"/>
      <c r="K81" s="613"/>
      <c r="L81" s="613"/>
      <c r="M81" s="613"/>
      <c r="N81" s="613"/>
      <c r="O81" s="613"/>
      <c r="P81" s="613"/>
      <c r="Q81" s="613"/>
      <c r="R81" s="613"/>
      <c r="S81" s="613"/>
      <c r="T81" s="613"/>
      <c r="U81" s="613"/>
      <c r="V81" s="613"/>
      <c r="W81" s="613"/>
      <c r="X81" s="613"/>
      <c r="Y81" s="613"/>
      <c r="Z81" s="613"/>
    </row>
    <row r="82" ht="15.75" customHeight="1">
      <c r="A82" s="613"/>
      <c r="B82" s="613"/>
      <c r="C82" s="613"/>
      <c r="D82" s="613"/>
      <c r="E82" s="613"/>
      <c r="F82" s="613"/>
      <c r="G82" s="613"/>
      <c r="H82" s="613"/>
      <c r="I82" s="613"/>
      <c r="J82" s="613"/>
      <c r="K82" s="613"/>
      <c r="L82" s="613"/>
      <c r="M82" s="613"/>
      <c r="N82" s="613"/>
      <c r="O82" s="613"/>
      <c r="P82" s="613"/>
      <c r="Q82" s="613"/>
      <c r="R82" s="613"/>
      <c r="S82" s="613"/>
      <c r="T82" s="613"/>
      <c r="U82" s="613"/>
      <c r="V82" s="613"/>
      <c r="W82" s="613"/>
      <c r="X82" s="613"/>
      <c r="Y82" s="613"/>
      <c r="Z82" s="613"/>
    </row>
    <row r="83" ht="15.75" customHeight="1">
      <c r="A83" s="613"/>
      <c r="B83" s="613"/>
      <c r="C83" s="613"/>
      <c r="D83" s="613"/>
      <c r="E83" s="613"/>
      <c r="F83" s="613"/>
      <c r="G83" s="613"/>
      <c r="H83" s="613"/>
      <c r="I83" s="613"/>
      <c r="J83" s="613"/>
      <c r="K83" s="613"/>
      <c r="L83" s="613"/>
      <c r="M83" s="613"/>
      <c r="N83" s="613"/>
      <c r="O83" s="613"/>
      <c r="P83" s="613"/>
      <c r="Q83" s="613"/>
      <c r="R83" s="613"/>
      <c r="S83" s="613"/>
      <c r="T83" s="613"/>
      <c r="U83" s="613"/>
      <c r="V83" s="613"/>
      <c r="W83" s="613"/>
      <c r="X83" s="613"/>
      <c r="Y83" s="613"/>
      <c r="Z83" s="613"/>
    </row>
    <row r="84" ht="15.75" customHeight="1">
      <c r="A84" s="613"/>
      <c r="B84" s="613"/>
      <c r="C84" s="613"/>
      <c r="D84" s="613"/>
      <c r="E84" s="613"/>
      <c r="F84" s="613"/>
      <c r="G84" s="613"/>
      <c r="H84" s="613"/>
      <c r="I84" s="613"/>
      <c r="J84" s="613"/>
      <c r="K84" s="613"/>
      <c r="L84" s="613"/>
      <c r="M84" s="613"/>
      <c r="N84" s="613"/>
      <c r="O84" s="613"/>
      <c r="P84" s="613"/>
      <c r="Q84" s="613"/>
      <c r="R84" s="613"/>
      <c r="S84" s="613"/>
      <c r="T84" s="613"/>
      <c r="U84" s="613"/>
      <c r="V84" s="613"/>
      <c r="W84" s="613"/>
      <c r="X84" s="613"/>
      <c r="Y84" s="613"/>
      <c r="Z84" s="613"/>
    </row>
    <row r="85" ht="15.75" customHeight="1">
      <c r="A85" s="613"/>
      <c r="B85" s="613"/>
      <c r="C85" s="613"/>
      <c r="D85" s="613"/>
      <c r="E85" s="613"/>
      <c r="F85" s="613"/>
      <c r="G85" s="613"/>
      <c r="H85" s="613"/>
      <c r="I85" s="613"/>
      <c r="J85" s="613"/>
      <c r="K85" s="613"/>
      <c r="L85" s="613"/>
      <c r="M85" s="613"/>
      <c r="N85" s="613"/>
      <c r="O85" s="613"/>
      <c r="P85" s="613"/>
      <c r="Q85" s="613"/>
      <c r="R85" s="613"/>
      <c r="S85" s="613"/>
      <c r="T85" s="613"/>
      <c r="U85" s="613"/>
      <c r="V85" s="613"/>
      <c r="W85" s="613"/>
      <c r="X85" s="613"/>
      <c r="Y85" s="613"/>
      <c r="Z85" s="613"/>
    </row>
    <row r="86" ht="15.75" customHeight="1">
      <c r="A86" s="613"/>
      <c r="B86" s="613"/>
      <c r="C86" s="613"/>
      <c r="D86" s="613"/>
      <c r="E86" s="613"/>
      <c r="F86" s="613"/>
      <c r="G86" s="613"/>
      <c r="H86" s="613"/>
      <c r="I86" s="613"/>
      <c r="J86" s="613"/>
      <c r="K86" s="613"/>
      <c r="L86" s="613"/>
      <c r="M86" s="613"/>
      <c r="N86" s="613"/>
      <c r="O86" s="613"/>
      <c r="P86" s="613"/>
      <c r="Q86" s="613"/>
      <c r="R86" s="613"/>
      <c r="S86" s="613"/>
      <c r="T86" s="613"/>
      <c r="U86" s="613"/>
      <c r="V86" s="613"/>
      <c r="W86" s="613"/>
      <c r="X86" s="613"/>
      <c r="Y86" s="613"/>
      <c r="Z86" s="613"/>
    </row>
    <row r="87" ht="15.75" customHeight="1">
      <c r="A87" s="613"/>
      <c r="B87" s="613"/>
      <c r="C87" s="613"/>
      <c r="D87" s="613"/>
      <c r="E87" s="613"/>
      <c r="F87" s="613"/>
      <c r="G87" s="613"/>
      <c r="H87" s="613"/>
      <c r="I87" s="613"/>
      <c r="J87" s="613"/>
      <c r="K87" s="613"/>
      <c r="L87" s="613"/>
      <c r="M87" s="613"/>
      <c r="N87" s="613"/>
      <c r="O87" s="613"/>
      <c r="P87" s="613"/>
      <c r="Q87" s="613"/>
      <c r="R87" s="613"/>
      <c r="S87" s="613"/>
      <c r="T87" s="613"/>
      <c r="U87" s="613"/>
      <c r="V87" s="613"/>
      <c r="W87" s="613"/>
      <c r="X87" s="613"/>
      <c r="Y87" s="613"/>
      <c r="Z87" s="613"/>
    </row>
    <row r="88" ht="15.75" customHeight="1">
      <c r="A88" s="613"/>
      <c r="B88" s="613"/>
      <c r="C88" s="613"/>
      <c r="D88" s="613"/>
      <c r="E88" s="613"/>
      <c r="F88" s="613"/>
      <c r="G88" s="613"/>
      <c r="H88" s="613"/>
      <c r="I88" s="613"/>
      <c r="J88" s="613"/>
      <c r="K88" s="613"/>
      <c r="L88" s="613"/>
      <c r="M88" s="613"/>
      <c r="N88" s="613"/>
      <c r="O88" s="613"/>
      <c r="P88" s="613"/>
      <c r="Q88" s="613"/>
      <c r="R88" s="613"/>
      <c r="S88" s="613"/>
      <c r="T88" s="613"/>
      <c r="U88" s="613"/>
      <c r="V88" s="613"/>
      <c r="W88" s="613"/>
      <c r="X88" s="613"/>
      <c r="Y88" s="613"/>
      <c r="Z88" s="613"/>
    </row>
    <row r="89" ht="15.75" customHeight="1">
      <c r="A89" s="613"/>
      <c r="B89" s="613"/>
      <c r="C89" s="613"/>
      <c r="D89" s="613"/>
      <c r="E89" s="613"/>
      <c r="F89" s="613"/>
      <c r="G89" s="613"/>
      <c r="H89" s="613"/>
      <c r="I89" s="613"/>
      <c r="J89" s="613"/>
      <c r="K89" s="613"/>
      <c r="L89" s="613"/>
      <c r="M89" s="613"/>
      <c r="N89" s="613"/>
      <c r="O89" s="613"/>
      <c r="P89" s="613"/>
      <c r="Q89" s="613"/>
      <c r="R89" s="613"/>
      <c r="S89" s="613"/>
      <c r="T89" s="613"/>
      <c r="U89" s="613"/>
      <c r="V89" s="613"/>
      <c r="W89" s="613"/>
      <c r="X89" s="613"/>
      <c r="Y89" s="613"/>
      <c r="Z89" s="613"/>
    </row>
    <row r="90" ht="15.75" customHeight="1">
      <c r="A90" s="613"/>
      <c r="B90" s="613"/>
      <c r="C90" s="613"/>
      <c r="D90" s="613"/>
      <c r="E90" s="613"/>
      <c r="F90" s="613"/>
      <c r="G90" s="613"/>
      <c r="H90" s="613"/>
      <c r="I90" s="613"/>
      <c r="J90" s="613"/>
      <c r="K90" s="613"/>
      <c r="L90" s="613"/>
      <c r="M90" s="613"/>
      <c r="N90" s="613"/>
      <c r="O90" s="613"/>
      <c r="P90" s="613"/>
      <c r="Q90" s="613"/>
      <c r="R90" s="613"/>
      <c r="S90" s="613"/>
      <c r="T90" s="613"/>
      <c r="U90" s="613"/>
      <c r="V90" s="613"/>
      <c r="W90" s="613"/>
      <c r="X90" s="613"/>
      <c r="Y90" s="613"/>
      <c r="Z90" s="613"/>
    </row>
    <row r="91" ht="15.75" customHeight="1">
      <c r="A91" s="613"/>
      <c r="B91" s="613"/>
      <c r="C91" s="613"/>
      <c r="D91" s="613"/>
      <c r="E91" s="613"/>
      <c r="F91" s="613"/>
      <c r="G91" s="613"/>
      <c r="H91" s="613"/>
      <c r="I91" s="613"/>
      <c r="J91" s="613"/>
      <c r="K91" s="613"/>
      <c r="L91" s="613"/>
      <c r="M91" s="613"/>
      <c r="N91" s="613"/>
      <c r="O91" s="613"/>
      <c r="P91" s="613"/>
      <c r="Q91" s="613"/>
      <c r="R91" s="613"/>
      <c r="S91" s="613"/>
      <c r="T91" s="613"/>
      <c r="U91" s="613"/>
      <c r="V91" s="613"/>
      <c r="W91" s="613"/>
      <c r="X91" s="613"/>
      <c r="Y91" s="613"/>
      <c r="Z91" s="613"/>
    </row>
    <row r="92" ht="15.75" customHeight="1">
      <c r="A92" s="613"/>
      <c r="B92" s="613"/>
      <c r="C92" s="613"/>
      <c r="D92" s="613"/>
      <c r="E92" s="613"/>
      <c r="F92" s="613"/>
      <c r="G92" s="613"/>
      <c r="H92" s="613"/>
      <c r="I92" s="613"/>
      <c r="J92" s="613"/>
      <c r="K92" s="613"/>
      <c r="L92" s="613"/>
      <c r="M92" s="613"/>
      <c r="N92" s="613"/>
      <c r="O92" s="613"/>
      <c r="P92" s="613"/>
      <c r="Q92" s="613"/>
      <c r="R92" s="613"/>
      <c r="S92" s="613"/>
      <c r="T92" s="613"/>
      <c r="U92" s="613"/>
      <c r="V92" s="613"/>
      <c r="W92" s="613"/>
      <c r="X92" s="613"/>
      <c r="Y92" s="613"/>
      <c r="Z92" s="613"/>
    </row>
    <row r="93" ht="15.75" customHeight="1">
      <c r="A93" s="613"/>
      <c r="B93" s="613"/>
      <c r="C93" s="613"/>
      <c r="D93" s="613"/>
      <c r="E93" s="613"/>
      <c r="F93" s="613"/>
      <c r="G93" s="613"/>
      <c r="H93" s="613"/>
      <c r="I93" s="613"/>
      <c r="J93" s="613"/>
      <c r="K93" s="613"/>
      <c r="L93" s="613"/>
      <c r="M93" s="613"/>
      <c r="N93" s="613"/>
      <c r="O93" s="613"/>
      <c r="P93" s="613"/>
      <c r="Q93" s="613"/>
      <c r="R93" s="613"/>
      <c r="S93" s="613"/>
      <c r="T93" s="613"/>
      <c r="U93" s="613"/>
      <c r="V93" s="613"/>
      <c r="W93" s="613"/>
      <c r="X93" s="613"/>
      <c r="Y93" s="613"/>
      <c r="Z93" s="613"/>
    </row>
    <row r="94" ht="15.75" customHeight="1">
      <c r="A94" s="613"/>
      <c r="B94" s="613"/>
      <c r="C94" s="613"/>
      <c r="D94" s="613"/>
      <c r="E94" s="613"/>
      <c r="F94" s="613"/>
      <c r="G94" s="613"/>
      <c r="H94" s="613"/>
      <c r="I94" s="613"/>
      <c r="J94" s="613"/>
      <c r="K94" s="613"/>
      <c r="L94" s="613"/>
      <c r="M94" s="613"/>
      <c r="N94" s="613"/>
      <c r="O94" s="613"/>
      <c r="P94" s="613"/>
      <c r="Q94" s="613"/>
      <c r="R94" s="613"/>
      <c r="S94" s="613"/>
      <c r="T94" s="613"/>
      <c r="U94" s="613"/>
      <c r="V94" s="613"/>
      <c r="W94" s="613"/>
      <c r="X94" s="613"/>
      <c r="Y94" s="613"/>
      <c r="Z94" s="613"/>
    </row>
    <row r="95" ht="15.75" customHeight="1">
      <c r="A95" s="613"/>
      <c r="B95" s="613"/>
      <c r="C95" s="613"/>
      <c r="D95" s="613"/>
      <c r="E95" s="613"/>
      <c r="F95" s="613"/>
      <c r="G95" s="613"/>
      <c r="H95" s="613"/>
      <c r="I95" s="613"/>
      <c r="J95" s="613"/>
      <c r="K95" s="613"/>
      <c r="L95" s="613"/>
      <c r="M95" s="613"/>
      <c r="N95" s="613"/>
      <c r="O95" s="613"/>
      <c r="P95" s="613"/>
      <c r="Q95" s="613"/>
      <c r="R95" s="613"/>
      <c r="S95" s="613"/>
      <c r="T95" s="613"/>
      <c r="U95" s="613"/>
      <c r="V95" s="613"/>
      <c r="W95" s="613"/>
      <c r="X95" s="613"/>
      <c r="Y95" s="613"/>
      <c r="Z95" s="613"/>
    </row>
    <row r="96" ht="15.75" customHeight="1">
      <c r="A96" s="613"/>
      <c r="B96" s="613"/>
      <c r="C96" s="613"/>
      <c r="D96" s="613"/>
      <c r="E96" s="613"/>
      <c r="F96" s="613"/>
      <c r="G96" s="613"/>
      <c r="H96" s="613"/>
      <c r="I96" s="613"/>
      <c r="J96" s="613"/>
      <c r="K96" s="613"/>
      <c r="L96" s="613"/>
      <c r="M96" s="613"/>
      <c r="N96" s="613"/>
      <c r="O96" s="613"/>
      <c r="P96" s="613"/>
      <c r="Q96" s="613"/>
      <c r="R96" s="613"/>
      <c r="S96" s="613"/>
      <c r="T96" s="613"/>
      <c r="U96" s="613"/>
      <c r="V96" s="613"/>
      <c r="W96" s="613"/>
      <c r="X96" s="613"/>
      <c r="Y96" s="613"/>
      <c r="Z96" s="613"/>
    </row>
    <row r="97" ht="15.75" customHeight="1">
      <c r="A97" s="613"/>
      <c r="B97" s="613"/>
      <c r="C97" s="613"/>
      <c r="D97" s="613"/>
      <c r="E97" s="613"/>
      <c r="F97" s="613"/>
      <c r="G97" s="613"/>
      <c r="H97" s="613"/>
      <c r="I97" s="613"/>
      <c r="J97" s="613"/>
      <c r="K97" s="613"/>
      <c r="L97" s="613"/>
      <c r="M97" s="613"/>
      <c r="N97" s="613"/>
      <c r="O97" s="613"/>
      <c r="P97" s="613"/>
      <c r="Q97" s="613"/>
      <c r="R97" s="613"/>
      <c r="S97" s="613"/>
      <c r="T97" s="613"/>
      <c r="U97" s="613"/>
      <c r="V97" s="613"/>
      <c r="W97" s="613"/>
      <c r="X97" s="613"/>
      <c r="Y97" s="613"/>
      <c r="Z97" s="613"/>
    </row>
    <row r="98" ht="15.75" customHeight="1">
      <c r="A98" s="613"/>
      <c r="B98" s="613"/>
      <c r="C98" s="613"/>
      <c r="D98" s="613"/>
      <c r="E98" s="613"/>
      <c r="F98" s="613"/>
      <c r="G98" s="613"/>
      <c r="H98" s="613"/>
      <c r="I98" s="613"/>
      <c r="J98" s="613"/>
      <c r="K98" s="613"/>
      <c r="L98" s="613"/>
      <c r="M98" s="613"/>
      <c r="N98" s="613"/>
      <c r="O98" s="613"/>
      <c r="P98" s="613"/>
      <c r="Q98" s="613"/>
      <c r="R98" s="613"/>
      <c r="S98" s="613"/>
      <c r="T98" s="613"/>
      <c r="U98" s="613"/>
      <c r="V98" s="613"/>
      <c r="W98" s="613"/>
      <c r="X98" s="613"/>
      <c r="Y98" s="613"/>
      <c r="Z98" s="613"/>
    </row>
    <row r="99" ht="15.75" customHeight="1">
      <c r="A99" s="613"/>
      <c r="B99" s="613"/>
      <c r="C99" s="613"/>
      <c r="D99" s="613"/>
      <c r="E99" s="613"/>
      <c r="F99" s="613"/>
      <c r="G99" s="613"/>
      <c r="H99" s="613"/>
      <c r="I99" s="613"/>
      <c r="J99" s="613"/>
      <c r="K99" s="613"/>
      <c r="L99" s="613"/>
      <c r="M99" s="613"/>
      <c r="N99" s="613"/>
      <c r="O99" s="613"/>
      <c r="P99" s="613"/>
      <c r="Q99" s="613"/>
      <c r="R99" s="613"/>
      <c r="S99" s="613"/>
      <c r="T99" s="613"/>
      <c r="U99" s="613"/>
      <c r="V99" s="613"/>
      <c r="W99" s="613"/>
      <c r="X99" s="613"/>
      <c r="Y99" s="613"/>
      <c r="Z99" s="613"/>
    </row>
    <row r="100" ht="15.75" customHeight="1">
      <c r="A100" s="613"/>
      <c r="B100" s="613"/>
      <c r="C100" s="613"/>
      <c r="D100" s="613"/>
      <c r="E100" s="613"/>
      <c r="F100" s="613"/>
      <c r="G100" s="613"/>
      <c r="H100" s="613"/>
      <c r="I100" s="613"/>
      <c r="J100" s="613"/>
      <c r="K100" s="613"/>
      <c r="L100" s="613"/>
      <c r="M100" s="613"/>
      <c r="N100" s="613"/>
      <c r="O100" s="613"/>
      <c r="P100" s="613"/>
      <c r="Q100" s="613"/>
      <c r="R100" s="613"/>
      <c r="S100" s="613"/>
      <c r="T100" s="613"/>
      <c r="U100" s="613"/>
      <c r="V100" s="613"/>
      <c r="W100" s="613"/>
      <c r="X100" s="613"/>
      <c r="Y100" s="613"/>
      <c r="Z100" s="613"/>
    </row>
    <row r="101" ht="15.75" customHeight="1">
      <c r="A101" s="613"/>
      <c r="B101" s="613"/>
      <c r="C101" s="613"/>
      <c r="D101" s="613"/>
      <c r="E101" s="613"/>
      <c r="F101" s="613"/>
      <c r="G101" s="613"/>
      <c r="H101" s="613"/>
      <c r="I101" s="613"/>
      <c r="J101" s="613"/>
      <c r="K101" s="613"/>
      <c r="L101" s="613"/>
      <c r="M101" s="613"/>
      <c r="N101" s="613"/>
      <c r="O101" s="613"/>
      <c r="P101" s="613"/>
      <c r="Q101" s="613"/>
      <c r="R101" s="613"/>
      <c r="S101" s="613"/>
      <c r="T101" s="613"/>
      <c r="U101" s="613"/>
      <c r="V101" s="613"/>
      <c r="W101" s="613"/>
      <c r="X101" s="613"/>
      <c r="Y101" s="613"/>
      <c r="Z101" s="613"/>
    </row>
    <row r="102" ht="15.75" customHeight="1">
      <c r="A102" s="613"/>
      <c r="B102" s="613"/>
      <c r="C102" s="613"/>
      <c r="D102" s="613"/>
      <c r="E102" s="613"/>
      <c r="F102" s="613"/>
      <c r="G102" s="613"/>
      <c r="H102" s="613"/>
      <c r="I102" s="613"/>
      <c r="J102" s="613"/>
      <c r="K102" s="613"/>
      <c r="L102" s="613"/>
      <c r="M102" s="613"/>
      <c r="N102" s="613"/>
      <c r="O102" s="613"/>
      <c r="P102" s="613"/>
      <c r="Q102" s="613"/>
      <c r="R102" s="613"/>
      <c r="S102" s="613"/>
      <c r="T102" s="613"/>
      <c r="U102" s="613"/>
      <c r="V102" s="613"/>
      <c r="W102" s="613"/>
      <c r="X102" s="613"/>
      <c r="Y102" s="613"/>
      <c r="Z102" s="613"/>
    </row>
    <row r="103" ht="15.75" customHeight="1">
      <c r="A103" s="613"/>
      <c r="B103" s="613"/>
      <c r="C103" s="613"/>
      <c r="D103" s="613"/>
      <c r="E103" s="613"/>
      <c r="F103" s="613"/>
      <c r="G103" s="613"/>
      <c r="H103" s="613"/>
      <c r="I103" s="613"/>
      <c r="J103" s="613"/>
      <c r="K103" s="613"/>
      <c r="L103" s="613"/>
      <c r="M103" s="613"/>
      <c r="N103" s="613"/>
      <c r="O103" s="613"/>
      <c r="P103" s="613"/>
      <c r="Q103" s="613"/>
      <c r="R103" s="613"/>
      <c r="S103" s="613"/>
      <c r="T103" s="613"/>
      <c r="U103" s="613"/>
      <c r="V103" s="613"/>
      <c r="W103" s="613"/>
      <c r="X103" s="613"/>
      <c r="Y103" s="613"/>
      <c r="Z103" s="613"/>
    </row>
    <row r="104" ht="15.75" customHeight="1">
      <c r="A104" s="613"/>
      <c r="B104" s="613"/>
      <c r="C104" s="613"/>
      <c r="D104" s="613"/>
      <c r="E104" s="613"/>
      <c r="F104" s="613"/>
      <c r="G104" s="613"/>
      <c r="H104" s="613"/>
      <c r="I104" s="613"/>
      <c r="J104" s="613"/>
      <c r="K104" s="613"/>
      <c r="L104" s="613"/>
      <c r="M104" s="613"/>
      <c r="N104" s="613"/>
      <c r="O104" s="613"/>
      <c r="P104" s="613"/>
      <c r="Q104" s="613"/>
      <c r="R104" s="613"/>
      <c r="S104" s="613"/>
      <c r="T104" s="613"/>
      <c r="U104" s="613"/>
      <c r="V104" s="613"/>
      <c r="W104" s="613"/>
      <c r="X104" s="613"/>
      <c r="Y104" s="613"/>
      <c r="Z104" s="613"/>
    </row>
    <row r="105" ht="15.75" customHeight="1">
      <c r="A105" s="613"/>
      <c r="B105" s="613"/>
      <c r="C105" s="613"/>
      <c r="D105" s="613"/>
      <c r="E105" s="613"/>
      <c r="F105" s="613"/>
      <c r="G105" s="613"/>
      <c r="H105" s="613"/>
      <c r="I105" s="613"/>
      <c r="J105" s="613"/>
      <c r="K105" s="613"/>
      <c r="L105" s="613"/>
      <c r="M105" s="613"/>
      <c r="N105" s="613"/>
      <c r="O105" s="613"/>
      <c r="P105" s="613"/>
      <c r="Q105" s="613"/>
      <c r="R105" s="613"/>
      <c r="S105" s="613"/>
      <c r="T105" s="613"/>
      <c r="U105" s="613"/>
      <c r="V105" s="613"/>
      <c r="W105" s="613"/>
      <c r="X105" s="613"/>
      <c r="Y105" s="613"/>
      <c r="Z105" s="613"/>
    </row>
    <row r="106" ht="15.75" customHeight="1">
      <c r="A106" s="613"/>
      <c r="B106" s="613"/>
      <c r="C106" s="613"/>
      <c r="D106" s="613"/>
      <c r="E106" s="613"/>
      <c r="F106" s="613"/>
      <c r="G106" s="613"/>
      <c r="H106" s="613"/>
      <c r="I106" s="613"/>
      <c r="J106" s="613"/>
      <c r="K106" s="613"/>
      <c r="L106" s="613"/>
      <c r="M106" s="613"/>
      <c r="N106" s="613"/>
      <c r="O106" s="613"/>
      <c r="P106" s="613"/>
      <c r="Q106" s="613"/>
      <c r="R106" s="613"/>
      <c r="S106" s="613"/>
      <c r="T106" s="613"/>
      <c r="U106" s="613"/>
      <c r="V106" s="613"/>
      <c r="W106" s="613"/>
      <c r="X106" s="613"/>
      <c r="Y106" s="613"/>
      <c r="Z106" s="613"/>
    </row>
    <row r="107" ht="15.75" customHeight="1">
      <c r="A107" s="613"/>
      <c r="B107" s="613"/>
      <c r="C107" s="613"/>
      <c r="D107" s="613"/>
      <c r="E107" s="613"/>
      <c r="F107" s="613"/>
      <c r="G107" s="613"/>
      <c r="H107" s="613"/>
      <c r="I107" s="613"/>
      <c r="J107" s="613"/>
      <c r="K107" s="613"/>
      <c r="L107" s="613"/>
      <c r="M107" s="613"/>
      <c r="N107" s="613"/>
      <c r="O107" s="613"/>
      <c r="P107" s="613"/>
      <c r="Q107" s="613"/>
      <c r="R107" s="613"/>
      <c r="S107" s="613"/>
      <c r="T107" s="613"/>
      <c r="U107" s="613"/>
      <c r="V107" s="613"/>
      <c r="W107" s="613"/>
      <c r="X107" s="613"/>
      <c r="Y107" s="613"/>
      <c r="Z107" s="613"/>
    </row>
    <row r="108" ht="15.75" customHeight="1">
      <c r="A108" s="613"/>
      <c r="B108" s="613"/>
      <c r="C108" s="613"/>
      <c r="D108" s="613"/>
      <c r="E108" s="613"/>
      <c r="F108" s="613"/>
      <c r="G108" s="613"/>
      <c r="H108" s="613"/>
      <c r="I108" s="613"/>
      <c r="J108" s="613"/>
      <c r="K108" s="613"/>
      <c r="L108" s="613"/>
      <c r="M108" s="613"/>
      <c r="N108" s="613"/>
      <c r="O108" s="613"/>
      <c r="P108" s="613"/>
      <c r="Q108" s="613"/>
      <c r="R108" s="613"/>
      <c r="S108" s="613"/>
      <c r="T108" s="613"/>
      <c r="U108" s="613"/>
      <c r="V108" s="613"/>
      <c r="W108" s="613"/>
      <c r="X108" s="613"/>
      <c r="Y108" s="613"/>
      <c r="Z108" s="613"/>
    </row>
    <row r="109" ht="15.75" customHeight="1">
      <c r="A109" s="613"/>
      <c r="B109" s="613"/>
      <c r="C109" s="613"/>
      <c r="D109" s="613"/>
      <c r="E109" s="613"/>
      <c r="F109" s="613"/>
      <c r="G109" s="613"/>
      <c r="H109" s="613"/>
      <c r="I109" s="613"/>
      <c r="J109" s="613"/>
      <c r="K109" s="613"/>
      <c r="L109" s="613"/>
      <c r="M109" s="613"/>
      <c r="N109" s="613"/>
      <c r="O109" s="613"/>
      <c r="P109" s="613"/>
      <c r="Q109" s="613"/>
      <c r="R109" s="613"/>
      <c r="S109" s="613"/>
      <c r="T109" s="613"/>
      <c r="U109" s="613"/>
      <c r="V109" s="613"/>
      <c r="W109" s="613"/>
      <c r="X109" s="613"/>
      <c r="Y109" s="613"/>
      <c r="Z109" s="613"/>
    </row>
    <row r="110" ht="15.75" customHeight="1">
      <c r="A110" s="613"/>
      <c r="B110" s="613"/>
      <c r="C110" s="613"/>
      <c r="D110" s="613"/>
      <c r="E110" s="613"/>
      <c r="F110" s="613"/>
      <c r="G110" s="613"/>
      <c r="H110" s="613"/>
      <c r="I110" s="613"/>
      <c r="J110" s="613"/>
      <c r="K110" s="613"/>
      <c r="L110" s="613"/>
      <c r="M110" s="613"/>
      <c r="N110" s="613"/>
      <c r="O110" s="613"/>
      <c r="P110" s="613"/>
      <c r="Q110" s="613"/>
      <c r="R110" s="613"/>
      <c r="S110" s="613"/>
      <c r="T110" s="613"/>
      <c r="U110" s="613"/>
      <c r="V110" s="613"/>
      <c r="W110" s="613"/>
      <c r="X110" s="613"/>
      <c r="Y110" s="613"/>
      <c r="Z110" s="613"/>
    </row>
    <row r="111" ht="15.75" customHeight="1">
      <c r="A111" s="613"/>
      <c r="B111" s="613"/>
      <c r="C111" s="613"/>
      <c r="D111" s="613"/>
      <c r="E111" s="613"/>
      <c r="F111" s="613"/>
      <c r="G111" s="613"/>
      <c r="H111" s="613"/>
      <c r="I111" s="613"/>
      <c r="J111" s="613"/>
      <c r="K111" s="613"/>
      <c r="L111" s="613"/>
      <c r="M111" s="613"/>
      <c r="N111" s="613"/>
      <c r="O111" s="613"/>
      <c r="P111" s="613"/>
      <c r="Q111" s="613"/>
      <c r="R111" s="613"/>
      <c r="S111" s="613"/>
      <c r="T111" s="613"/>
      <c r="U111" s="613"/>
      <c r="V111" s="613"/>
      <c r="W111" s="613"/>
      <c r="X111" s="613"/>
      <c r="Y111" s="613"/>
      <c r="Z111" s="613"/>
    </row>
    <row r="112" ht="15.75" customHeight="1">
      <c r="A112" s="613"/>
      <c r="B112" s="613"/>
      <c r="C112" s="613"/>
      <c r="D112" s="613"/>
      <c r="E112" s="613"/>
      <c r="F112" s="613"/>
      <c r="G112" s="613"/>
      <c r="H112" s="613"/>
      <c r="I112" s="613"/>
      <c r="J112" s="613"/>
      <c r="K112" s="613"/>
      <c r="L112" s="613"/>
      <c r="M112" s="613"/>
      <c r="N112" s="613"/>
      <c r="O112" s="613"/>
      <c r="P112" s="613"/>
      <c r="Q112" s="613"/>
      <c r="R112" s="613"/>
      <c r="S112" s="613"/>
      <c r="T112" s="613"/>
      <c r="U112" s="613"/>
      <c r="V112" s="613"/>
      <c r="W112" s="613"/>
      <c r="X112" s="613"/>
      <c r="Y112" s="613"/>
      <c r="Z112" s="613"/>
    </row>
    <row r="113" ht="15.75" customHeight="1">
      <c r="A113" s="613"/>
      <c r="B113" s="613"/>
      <c r="C113" s="613"/>
      <c r="D113" s="613"/>
      <c r="E113" s="613"/>
      <c r="F113" s="613"/>
      <c r="G113" s="613"/>
      <c r="H113" s="613"/>
      <c r="I113" s="613"/>
      <c r="J113" s="613"/>
      <c r="K113" s="613"/>
      <c r="L113" s="613"/>
      <c r="M113" s="613"/>
      <c r="N113" s="613"/>
      <c r="O113" s="613"/>
      <c r="P113" s="613"/>
      <c r="Q113" s="613"/>
      <c r="R113" s="613"/>
      <c r="S113" s="613"/>
      <c r="T113" s="613"/>
      <c r="U113" s="613"/>
      <c r="V113" s="613"/>
      <c r="W113" s="613"/>
      <c r="X113" s="613"/>
      <c r="Y113" s="613"/>
      <c r="Z113" s="613"/>
    </row>
    <row r="114" ht="15.75" customHeight="1">
      <c r="A114" s="613"/>
      <c r="B114" s="613"/>
      <c r="C114" s="613"/>
      <c r="D114" s="613"/>
      <c r="E114" s="613"/>
      <c r="F114" s="613"/>
      <c r="G114" s="613"/>
      <c r="H114" s="613"/>
      <c r="I114" s="613"/>
      <c r="J114" s="613"/>
      <c r="K114" s="613"/>
      <c r="L114" s="613"/>
      <c r="M114" s="613"/>
      <c r="N114" s="613"/>
      <c r="O114" s="613"/>
      <c r="P114" s="613"/>
      <c r="Q114" s="613"/>
      <c r="R114" s="613"/>
      <c r="S114" s="613"/>
      <c r="T114" s="613"/>
      <c r="U114" s="613"/>
      <c r="V114" s="613"/>
      <c r="W114" s="613"/>
      <c r="X114" s="613"/>
      <c r="Y114" s="613"/>
      <c r="Z114" s="613"/>
    </row>
    <row r="115" ht="15.75" customHeight="1">
      <c r="A115" s="613"/>
      <c r="B115" s="613"/>
      <c r="C115" s="613"/>
      <c r="D115" s="613"/>
      <c r="E115" s="613"/>
      <c r="F115" s="613"/>
      <c r="G115" s="613"/>
      <c r="H115" s="613"/>
      <c r="I115" s="613"/>
      <c r="J115" s="613"/>
      <c r="K115" s="613"/>
      <c r="L115" s="613"/>
      <c r="M115" s="613"/>
      <c r="N115" s="613"/>
      <c r="O115" s="613"/>
      <c r="P115" s="613"/>
      <c r="Q115" s="613"/>
      <c r="R115" s="613"/>
      <c r="S115" s="613"/>
      <c r="T115" s="613"/>
      <c r="U115" s="613"/>
      <c r="V115" s="613"/>
      <c r="W115" s="613"/>
      <c r="X115" s="613"/>
      <c r="Y115" s="613"/>
      <c r="Z115" s="613"/>
    </row>
    <row r="116" ht="15.75" customHeight="1">
      <c r="A116" s="613"/>
      <c r="B116" s="613"/>
      <c r="C116" s="613"/>
      <c r="D116" s="613"/>
      <c r="E116" s="613"/>
      <c r="F116" s="613"/>
      <c r="G116" s="613"/>
      <c r="H116" s="613"/>
      <c r="I116" s="613"/>
      <c r="J116" s="613"/>
      <c r="K116" s="613"/>
      <c r="L116" s="613"/>
      <c r="M116" s="613"/>
      <c r="N116" s="613"/>
      <c r="O116" s="613"/>
      <c r="P116" s="613"/>
      <c r="Q116" s="613"/>
      <c r="R116" s="613"/>
      <c r="S116" s="613"/>
      <c r="T116" s="613"/>
      <c r="U116" s="613"/>
      <c r="V116" s="613"/>
      <c r="W116" s="613"/>
      <c r="X116" s="613"/>
      <c r="Y116" s="613"/>
      <c r="Z116" s="613"/>
    </row>
    <row r="117" ht="15.75" customHeight="1">
      <c r="A117" s="613"/>
      <c r="B117" s="613"/>
      <c r="C117" s="613"/>
      <c r="D117" s="613"/>
      <c r="E117" s="613"/>
      <c r="F117" s="613"/>
      <c r="G117" s="613"/>
      <c r="H117" s="613"/>
      <c r="I117" s="613"/>
      <c r="J117" s="613"/>
      <c r="K117" s="613"/>
      <c r="L117" s="613"/>
      <c r="M117" s="613"/>
      <c r="N117" s="613"/>
      <c r="O117" s="613"/>
      <c r="P117" s="613"/>
      <c r="Q117" s="613"/>
      <c r="R117" s="613"/>
      <c r="S117" s="613"/>
      <c r="T117" s="613"/>
      <c r="U117" s="613"/>
      <c r="V117" s="613"/>
      <c r="W117" s="613"/>
      <c r="X117" s="613"/>
      <c r="Y117" s="613"/>
      <c r="Z117" s="613"/>
    </row>
    <row r="118" ht="15.75" customHeight="1">
      <c r="A118" s="613"/>
      <c r="B118" s="613"/>
      <c r="C118" s="613"/>
      <c r="D118" s="613"/>
      <c r="E118" s="613"/>
      <c r="F118" s="613"/>
      <c r="G118" s="613"/>
      <c r="H118" s="613"/>
      <c r="I118" s="613"/>
      <c r="J118" s="613"/>
      <c r="K118" s="613"/>
      <c r="L118" s="613"/>
      <c r="M118" s="613"/>
      <c r="N118" s="613"/>
      <c r="O118" s="613"/>
      <c r="P118" s="613"/>
      <c r="Q118" s="613"/>
      <c r="R118" s="613"/>
      <c r="S118" s="613"/>
      <c r="T118" s="613"/>
      <c r="U118" s="613"/>
      <c r="V118" s="613"/>
      <c r="W118" s="613"/>
      <c r="X118" s="613"/>
      <c r="Y118" s="613"/>
      <c r="Z118" s="613"/>
    </row>
    <row r="119" ht="15.75" customHeight="1">
      <c r="A119" s="613"/>
      <c r="B119" s="613"/>
      <c r="C119" s="613"/>
      <c r="D119" s="613"/>
      <c r="E119" s="613"/>
      <c r="F119" s="613"/>
      <c r="G119" s="613"/>
      <c r="H119" s="613"/>
      <c r="I119" s="613"/>
      <c r="J119" s="613"/>
      <c r="K119" s="613"/>
      <c r="L119" s="613"/>
      <c r="M119" s="613"/>
      <c r="N119" s="613"/>
      <c r="O119" s="613"/>
      <c r="P119" s="613"/>
      <c r="Q119" s="613"/>
      <c r="R119" s="613"/>
      <c r="S119" s="613"/>
      <c r="T119" s="613"/>
      <c r="U119" s="613"/>
      <c r="V119" s="613"/>
      <c r="W119" s="613"/>
      <c r="X119" s="613"/>
      <c r="Y119" s="613"/>
      <c r="Z119" s="613"/>
    </row>
    <row r="120" ht="15.75" customHeight="1">
      <c r="A120" s="613"/>
      <c r="B120" s="613"/>
      <c r="C120" s="613"/>
      <c r="D120" s="613"/>
      <c r="E120" s="613"/>
      <c r="F120" s="613"/>
      <c r="G120" s="613"/>
      <c r="H120" s="613"/>
      <c r="I120" s="613"/>
      <c r="J120" s="613"/>
      <c r="K120" s="613"/>
      <c r="L120" s="613"/>
      <c r="M120" s="613"/>
      <c r="N120" s="613"/>
      <c r="O120" s="613"/>
      <c r="P120" s="613"/>
      <c r="Q120" s="613"/>
      <c r="R120" s="613"/>
      <c r="S120" s="613"/>
      <c r="T120" s="613"/>
      <c r="U120" s="613"/>
      <c r="V120" s="613"/>
      <c r="W120" s="613"/>
      <c r="X120" s="613"/>
      <c r="Y120" s="613"/>
      <c r="Z120" s="613"/>
    </row>
    <row r="121" ht="15.75" customHeight="1">
      <c r="A121" s="613"/>
      <c r="B121" s="613"/>
      <c r="C121" s="613"/>
      <c r="D121" s="613"/>
      <c r="E121" s="613"/>
      <c r="F121" s="613"/>
      <c r="G121" s="613"/>
      <c r="H121" s="613"/>
      <c r="I121" s="613"/>
      <c r="J121" s="613"/>
      <c r="K121" s="613"/>
      <c r="L121" s="613"/>
      <c r="M121" s="613"/>
      <c r="N121" s="613"/>
      <c r="O121" s="613"/>
      <c r="P121" s="613"/>
      <c r="Q121" s="613"/>
      <c r="R121" s="613"/>
      <c r="S121" s="613"/>
      <c r="T121" s="613"/>
      <c r="U121" s="613"/>
      <c r="V121" s="613"/>
      <c r="W121" s="613"/>
      <c r="X121" s="613"/>
      <c r="Y121" s="613"/>
      <c r="Z121" s="613"/>
    </row>
    <row r="122" ht="15.75" customHeight="1">
      <c r="A122" s="613"/>
      <c r="B122" s="613"/>
      <c r="C122" s="613"/>
      <c r="D122" s="613"/>
      <c r="E122" s="613"/>
      <c r="F122" s="613"/>
      <c r="G122" s="613"/>
      <c r="H122" s="613"/>
      <c r="I122" s="613"/>
      <c r="J122" s="613"/>
      <c r="K122" s="613"/>
      <c r="L122" s="613"/>
      <c r="M122" s="613"/>
      <c r="N122" s="613"/>
      <c r="O122" s="613"/>
      <c r="P122" s="613"/>
      <c r="Q122" s="613"/>
      <c r="R122" s="613"/>
      <c r="S122" s="613"/>
      <c r="T122" s="613"/>
      <c r="U122" s="613"/>
      <c r="V122" s="613"/>
      <c r="W122" s="613"/>
      <c r="X122" s="613"/>
      <c r="Y122" s="613"/>
      <c r="Z122" s="613"/>
    </row>
    <row r="123" ht="15.75" customHeight="1">
      <c r="A123" s="613"/>
      <c r="B123" s="613"/>
      <c r="C123" s="613"/>
      <c r="D123" s="613"/>
      <c r="E123" s="613"/>
      <c r="F123" s="613"/>
      <c r="G123" s="613"/>
      <c r="H123" s="613"/>
      <c r="I123" s="613"/>
      <c r="J123" s="613"/>
      <c r="K123" s="613"/>
      <c r="L123" s="613"/>
      <c r="M123" s="613"/>
      <c r="N123" s="613"/>
      <c r="O123" s="613"/>
      <c r="P123" s="613"/>
      <c r="Q123" s="613"/>
      <c r="R123" s="613"/>
      <c r="S123" s="613"/>
      <c r="T123" s="613"/>
      <c r="U123" s="613"/>
      <c r="V123" s="613"/>
      <c r="W123" s="613"/>
      <c r="X123" s="613"/>
      <c r="Y123" s="613"/>
      <c r="Z123" s="613"/>
    </row>
    <row r="124" ht="15.75" customHeight="1">
      <c r="A124" s="613"/>
      <c r="B124" s="613"/>
      <c r="C124" s="613"/>
      <c r="D124" s="613"/>
      <c r="E124" s="613"/>
      <c r="F124" s="613"/>
      <c r="G124" s="613"/>
      <c r="H124" s="613"/>
      <c r="I124" s="613"/>
      <c r="J124" s="613"/>
      <c r="K124" s="613"/>
      <c r="L124" s="613"/>
      <c r="M124" s="613"/>
      <c r="N124" s="613"/>
      <c r="O124" s="613"/>
      <c r="P124" s="613"/>
      <c r="Q124" s="613"/>
      <c r="R124" s="613"/>
      <c r="S124" s="613"/>
      <c r="T124" s="613"/>
      <c r="U124" s="613"/>
      <c r="V124" s="613"/>
      <c r="W124" s="613"/>
      <c r="X124" s="613"/>
      <c r="Y124" s="613"/>
      <c r="Z124" s="613"/>
    </row>
    <row r="125" ht="15.75" customHeight="1">
      <c r="A125" s="613"/>
      <c r="B125" s="613"/>
      <c r="C125" s="613"/>
      <c r="D125" s="613"/>
      <c r="E125" s="613"/>
      <c r="F125" s="613"/>
      <c r="G125" s="613"/>
      <c r="H125" s="613"/>
      <c r="I125" s="613"/>
      <c r="J125" s="613"/>
      <c r="K125" s="613"/>
      <c r="L125" s="613"/>
      <c r="M125" s="613"/>
      <c r="N125" s="613"/>
      <c r="O125" s="613"/>
      <c r="P125" s="613"/>
      <c r="Q125" s="613"/>
      <c r="R125" s="613"/>
      <c r="S125" s="613"/>
      <c r="T125" s="613"/>
      <c r="U125" s="613"/>
      <c r="V125" s="613"/>
      <c r="W125" s="613"/>
      <c r="X125" s="613"/>
      <c r="Y125" s="613"/>
      <c r="Z125" s="613"/>
    </row>
    <row r="126" ht="15.75" customHeight="1">
      <c r="A126" s="613"/>
      <c r="B126" s="613"/>
      <c r="C126" s="613"/>
      <c r="D126" s="613"/>
      <c r="E126" s="613"/>
      <c r="F126" s="613"/>
      <c r="G126" s="613"/>
      <c r="H126" s="613"/>
      <c r="I126" s="613"/>
      <c r="J126" s="613"/>
      <c r="K126" s="613"/>
      <c r="L126" s="613"/>
      <c r="M126" s="613"/>
      <c r="N126" s="613"/>
      <c r="O126" s="613"/>
      <c r="P126" s="613"/>
      <c r="Q126" s="613"/>
      <c r="R126" s="613"/>
      <c r="S126" s="613"/>
      <c r="T126" s="613"/>
      <c r="U126" s="613"/>
      <c r="V126" s="613"/>
      <c r="W126" s="613"/>
      <c r="X126" s="613"/>
      <c r="Y126" s="613"/>
      <c r="Z126" s="613"/>
    </row>
    <row r="127" ht="15.75" customHeight="1">
      <c r="A127" s="613"/>
      <c r="B127" s="613"/>
      <c r="C127" s="613"/>
      <c r="D127" s="613"/>
      <c r="E127" s="613"/>
      <c r="F127" s="613"/>
      <c r="G127" s="613"/>
      <c r="H127" s="613"/>
      <c r="I127" s="613"/>
      <c r="J127" s="613"/>
      <c r="K127" s="613"/>
      <c r="L127" s="613"/>
      <c r="M127" s="613"/>
      <c r="N127" s="613"/>
      <c r="O127" s="613"/>
      <c r="P127" s="613"/>
      <c r="Q127" s="613"/>
      <c r="R127" s="613"/>
      <c r="S127" s="613"/>
      <c r="T127" s="613"/>
      <c r="U127" s="613"/>
      <c r="V127" s="613"/>
      <c r="W127" s="613"/>
      <c r="X127" s="613"/>
      <c r="Y127" s="613"/>
      <c r="Z127" s="613"/>
    </row>
    <row r="128" ht="15.75" customHeight="1">
      <c r="A128" s="613"/>
      <c r="B128" s="613"/>
      <c r="C128" s="613"/>
      <c r="D128" s="613"/>
      <c r="E128" s="613"/>
      <c r="F128" s="613"/>
      <c r="G128" s="613"/>
      <c r="H128" s="613"/>
      <c r="I128" s="613"/>
      <c r="J128" s="613"/>
      <c r="K128" s="613"/>
      <c r="L128" s="613"/>
      <c r="M128" s="613"/>
      <c r="N128" s="613"/>
      <c r="O128" s="613"/>
      <c r="P128" s="613"/>
      <c r="Q128" s="613"/>
      <c r="R128" s="613"/>
      <c r="S128" s="613"/>
      <c r="T128" s="613"/>
      <c r="U128" s="613"/>
      <c r="V128" s="613"/>
      <c r="W128" s="613"/>
      <c r="X128" s="613"/>
      <c r="Y128" s="613"/>
      <c r="Z128" s="613"/>
    </row>
    <row r="129" ht="15.75" customHeight="1">
      <c r="A129" s="613"/>
      <c r="B129" s="613"/>
      <c r="C129" s="613"/>
      <c r="D129" s="613"/>
      <c r="E129" s="613"/>
      <c r="F129" s="613"/>
      <c r="G129" s="613"/>
      <c r="H129" s="613"/>
      <c r="I129" s="613"/>
      <c r="J129" s="613"/>
      <c r="K129" s="613"/>
      <c r="L129" s="613"/>
      <c r="M129" s="613"/>
      <c r="N129" s="613"/>
      <c r="O129" s="613"/>
      <c r="P129" s="613"/>
      <c r="Q129" s="613"/>
      <c r="R129" s="613"/>
      <c r="S129" s="613"/>
      <c r="T129" s="613"/>
      <c r="U129" s="613"/>
      <c r="V129" s="613"/>
      <c r="W129" s="613"/>
      <c r="X129" s="613"/>
      <c r="Y129" s="613"/>
      <c r="Z129" s="613"/>
    </row>
    <row r="130" ht="15.75" customHeight="1">
      <c r="A130" s="613"/>
      <c r="B130" s="613"/>
      <c r="C130" s="613"/>
      <c r="D130" s="613"/>
      <c r="E130" s="613"/>
      <c r="F130" s="613"/>
      <c r="G130" s="613"/>
      <c r="H130" s="613"/>
      <c r="I130" s="613"/>
      <c r="J130" s="613"/>
      <c r="K130" s="613"/>
      <c r="L130" s="613"/>
      <c r="M130" s="613"/>
      <c r="N130" s="613"/>
      <c r="O130" s="613"/>
      <c r="P130" s="613"/>
      <c r="Q130" s="613"/>
      <c r="R130" s="613"/>
      <c r="S130" s="613"/>
      <c r="T130" s="613"/>
      <c r="U130" s="613"/>
      <c r="V130" s="613"/>
      <c r="W130" s="613"/>
      <c r="X130" s="613"/>
      <c r="Y130" s="613"/>
      <c r="Z130" s="613"/>
    </row>
    <row r="131" ht="15.75" customHeight="1">
      <c r="A131" s="613"/>
      <c r="B131" s="613"/>
      <c r="C131" s="613"/>
      <c r="D131" s="613"/>
      <c r="E131" s="613"/>
      <c r="F131" s="613"/>
      <c r="G131" s="613"/>
      <c r="H131" s="613"/>
      <c r="I131" s="613"/>
      <c r="J131" s="613"/>
      <c r="K131" s="613"/>
      <c r="L131" s="613"/>
      <c r="M131" s="613"/>
      <c r="N131" s="613"/>
      <c r="O131" s="613"/>
      <c r="P131" s="613"/>
      <c r="Q131" s="613"/>
      <c r="R131" s="613"/>
      <c r="S131" s="613"/>
      <c r="T131" s="613"/>
      <c r="U131" s="613"/>
      <c r="V131" s="613"/>
      <c r="W131" s="613"/>
      <c r="X131" s="613"/>
      <c r="Y131" s="613"/>
      <c r="Z131" s="613"/>
    </row>
    <row r="132" ht="15.75" customHeight="1">
      <c r="A132" s="613"/>
      <c r="B132" s="613"/>
      <c r="C132" s="613"/>
      <c r="D132" s="613"/>
      <c r="E132" s="613"/>
      <c r="F132" s="613"/>
      <c r="G132" s="613"/>
      <c r="H132" s="613"/>
      <c r="I132" s="613"/>
      <c r="J132" s="613"/>
      <c r="K132" s="613"/>
      <c r="L132" s="613"/>
      <c r="M132" s="613"/>
      <c r="N132" s="613"/>
      <c r="O132" s="613"/>
      <c r="P132" s="613"/>
      <c r="Q132" s="613"/>
      <c r="R132" s="613"/>
      <c r="S132" s="613"/>
      <c r="T132" s="613"/>
      <c r="U132" s="613"/>
      <c r="V132" s="613"/>
      <c r="W132" s="613"/>
      <c r="X132" s="613"/>
      <c r="Y132" s="613"/>
      <c r="Z132" s="613"/>
    </row>
    <row r="133" ht="15.75" customHeight="1">
      <c r="A133" s="613"/>
      <c r="B133" s="613"/>
      <c r="C133" s="613"/>
      <c r="D133" s="613"/>
      <c r="E133" s="613"/>
      <c r="F133" s="613"/>
      <c r="G133" s="613"/>
      <c r="H133" s="613"/>
      <c r="I133" s="613"/>
      <c r="J133" s="613"/>
      <c r="K133" s="613"/>
      <c r="L133" s="613"/>
      <c r="M133" s="613"/>
      <c r="N133" s="613"/>
      <c r="O133" s="613"/>
      <c r="P133" s="613"/>
      <c r="Q133" s="613"/>
      <c r="R133" s="613"/>
      <c r="S133" s="613"/>
      <c r="T133" s="613"/>
      <c r="U133" s="613"/>
      <c r="V133" s="613"/>
      <c r="W133" s="613"/>
      <c r="X133" s="613"/>
      <c r="Y133" s="613"/>
      <c r="Z133" s="613"/>
    </row>
    <row r="134" ht="15.75" customHeight="1">
      <c r="A134" s="613"/>
      <c r="B134" s="613"/>
      <c r="C134" s="613"/>
      <c r="D134" s="613"/>
      <c r="E134" s="613"/>
      <c r="F134" s="613"/>
      <c r="G134" s="613"/>
      <c r="H134" s="613"/>
      <c r="I134" s="613"/>
      <c r="J134" s="613"/>
      <c r="K134" s="613"/>
      <c r="L134" s="613"/>
      <c r="M134" s="613"/>
      <c r="N134" s="613"/>
      <c r="O134" s="613"/>
      <c r="P134" s="613"/>
      <c r="Q134" s="613"/>
      <c r="R134" s="613"/>
      <c r="S134" s="613"/>
      <c r="T134" s="613"/>
      <c r="U134" s="613"/>
      <c r="V134" s="613"/>
      <c r="W134" s="613"/>
      <c r="X134" s="613"/>
      <c r="Y134" s="613"/>
      <c r="Z134" s="613"/>
    </row>
    <row r="135" ht="15.75" customHeight="1">
      <c r="A135" s="613"/>
      <c r="B135" s="613"/>
      <c r="C135" s="613"/>
      <c r="D135" s="613"/>
      <c r="E135" s="613"/>
      <c r="F135" s="613"/>
      <c r="G135" s="613"/>
      <c r="H135" s="613"/>
      <c r="I135" s="613"/>
      <c r="J135" s="613"/>
      <c r="K135" s="613"/>
      <c r="L135" s="613"/>
      <c r="M135" s="613"/>
      <c r="N135" s="613"/>
      <c r="O135" s="613"/>
      <c r="P135" s="613"/>
      <c r="Q135" s="613"/>
      <c r="R135" s="613"/>
      <c r="S135" s="613"/>
      <c r="T135" s="613"/>
      <c r="U135" s="613"/>
      <c r="V135" s="613"/>
      <c r="W135" s="613"/>
      <c r="X135" s="613"/>
      <c r="Y135" s="613"/>
      <c r="Z135" s="613"/>
    </row>
    <row r="136" ht="15.75" customHeight="1">
      <c r="A136" s="613"/>
      <c r="B136" s="613"/>
      <c r="C136" s="613"/>
      <c r="D136" s="613"/>
      <c r="E136" s="613"/>
      <c r="F136" s="613"/>
      <c r="G136" s="613"/>
      <c r="H136" s="613"/>
      <c r="I136" s="613"/>
      <c r="J136" s="613"/>
      <c r="K136" s="613"/>
      <c r="L136" s="613"/>
      <c r="M136" s="613"/>
      <c r="N136" s="613"/>
      <c r="O136" s="613"/>
      <c r="P136" s="613"/>
      <c r="Q136" s="613"/>
      <c r="R136" s="613"/>
      <c r="S136" s="613"/>
      <c r="T136" s="613"/>
      <c r="U136" s="613"/>
      <c r="V136" s="613"/>
      <c r="W136" s="613"/>
      <c r="X136" s="613"/>
      <c r="Y136" s="613"/>
      <c r="Z136" s="613"/>
    </row>
    <row r="137" ht="15.75" customHeight="1">
      <c r="A137" s="613"/>
      <c r="B137" s="613"/>
      <c r="C137" s="613"/>
      <c r="D137" s="613"/>
      <c r="E137" s="613"/>
      <c r="F137" s="613"/>
      <c r="G137" s="613"/>
      <c r="H137" s="613"/>
      <c r="I137" s="613"/>
      <c r="J137" s="613"/>
      <c r="K137" s="613"/>
      <c r="L137" s="613"/>
      <c r="M137" s="613"/>
      <c r="N137" s="613"/>
      <c r="O137" s="613"/>
      <c r="P137" s="613"/>
      <c r="Q137" s="613"/>
      <c r="R137" s="613"/>
      <c r="S137" s="613"/>
      <c r="T137" s="613"/>
      <c r="U137" s="613"/>
      <c r="V137" s="613"/>
      <c r="W137" s="613"/>
      <c r="X137" s="613"/>
      <c r="Y137" s="613"/>
      <c r="Z137" s="613"/>
    </row>
    <row r="138" ht="15.75" customHeight="1">
      <c r="A138" s="613"/>
      <c r="B138" s="613"/>
      <c r="C138" s="613"/>
      <c r="D138" s="613"/>
      <c r="E138" s="613"/>
      <c r="F138" s="613"/>
      <c r="G138" s="613"/>
      <c r="H138" s="613"/>
      <c r="I138" s="613"/>
      <c r="J138" s="613"/>
      <c r="K138" s="613"/>
      <c r="L138" s="613"/>
      <c r="M138" s="613"/>
      <c r="N138" s="613"/>
      <c r="O138" s="613"/>
      <c r="P138" s="613"/>
      <c r="Q138" s="613"/>
      <c r="R138" s="613"/>
      <c r="S138" s="613"/>
      <c r="T138" s="613"/>
      <c r="U138" s="613"/>
      <c r="V138" s="613"/>
      <c r="W138" s="613"/>
      <c r="X138" s="613"/>
      <c r="Y138" s="613"/>
      <c r="Z138" s="613"/>
    </row>
    <row r="139" ht="15.75" customHeight="1">
      <c r="A139" s="613"/>
      <c r="B139" s="613"/>
      <c r="C139" s="613"/>
      <c r="D139" s="613"/>
      <c r="E139" s="613"/>
      <c r="F139" s="613"/>
      <c r="G139" s="613"/>
      <c r="H139" s="613"/>
      <c r="I139" s="613"/>
      <c r="J139" s="613"/>
      <c r="K139" s="613"/>
      <c r="L139" s="613"/>
      <c r="M139" s="613"/>
      <c r="N139" s="613"/>
      <c r="O139" s="613"/>
      <c r="P139" s="613"/>
      <c r="Q139" s="613"/>
      <c r="R139" s="613"/>
      <c r="S139" s="613"/>
      <c r="T139" s="613"/>
      <c r="U139" s="613"/>
      <c r="V139" s="613"/>
      <c r="W139" s="613"/>
      <c r="X139" s="613"/>
      <c r="Y139" s="613"/>
      <c r="Z139" s="613"/>
    </row>
    <row r="140" ht="15.75" customHeight="1">
      <c r="A140" s="613"/>
      <c r="B140" s="613"/>
      <c r="C140" s="613"/>
      <c r="D140" s="613"/>
      <c r="E140" s="613"/>
      <c r="F140" s="613"/>
      <c r="G140" s="613"/>
      <c r="H140" s="613"/>
      <c r="I140" s="613"/>
      <c r="J140" s="613"/>
      <c r="K140" s="613"/>
      <c r="L140" s="613"/>
      <c r="M140" s="613"/>
      <c r="N140" s="613"/>
      <c r="O140" s="613"/>
      <c r="P140" s="613"/>
      <c r="Q140" s="613"/>
      <c r="R140" s="613"/>
      <c r="S140" s="613"/>
      <c r="T140" s="613"/>
      <c r="U140" s="613"/>
      <c r="V140" s="613"/>
      <c r="W140" s="613"/>
      <c r="X140" s="613"/>
      <c r="Y140" s="613"/>
      <c r="Z140" s="613"/>
    </row>
    <row r="141" ht="15.75" customHeight="1">
      <c r="A141" s="613"/>
      <c r="B141" s="613"/>
      <c r="C141" s="613"/>
      <c r="D141" s="613"/>
      <c r="E141" s="613"/>
      <c r="F141" s="613"/>
      <c r="G141" s="613"/>
      <c r="H141" s="613"/>
      <c r="I141" s="613"/>
      <c r="J141" s="613"/>
      <c r="K141" s="613"/>
      <c r="L141" s="613"/>
      <c r="M141" s="613"/>
      <c r="N141" s="613"/>
      <c r="O141" s="613"/>
      <c r="P141" s="613"/>
      <c r="Q141" s="613"/>
      <c r="R141" s="613"/>
      <c r="S141" s="613"/>
      <c r="T141" s="613"/>
      <c r="U141" s="613"/>
      <c r="V141" s="613"/>
      <c r="W141" s="613"/>
      <c r="X141" s="613"/>
      <c r="Y141" s="613"/>
      <c r="Z141" s="613"/>
    </row>
    <row r="142" ht="15.75" customHeight="1">
      <c r="A142" s="613"/>
      <c r="B142" s="613"/>
      <c r="C142" s="613"/>
      <c r="D142" s="613"/>
      <c r="E142" s="613"/>
      <c r="F142" s="613"/>
      <c r="G142" s="613"/>
      <c r="H142" s="613"/>
      <c r="I142" s="613"/>
      <c r="J142" s="613"/>
      <c r="K142" s="613"/>
      <c r="L142" s="613"/>
      <c r="M142" s="613"/>
      <c r="N142" s="613"/>
      <c r="O142" s="613"/>
      <c r="P142" s="613"/>
      <c r="Q142" s="613"/>
      <c r="R142" s="613"/>
      <c r="S142" s="613"/>
      <c r="T142" s="613"/>
      <c r="U142" s="613"/>
      <c r="V142" s="613"/>
      <c r="W142" s="613"/>
      <c r="X142" s="613"/>
      <c r="Y142" s="613"/>
      <c r="Z142" s="613"/>
    </row>
    <row r="143" ht="15.75" customHeight="1">
      <c r="A143" s="613"/>
      <c r="B143" s="613"/>
      <c r="C143" s="613"/>
      <c r="D143" s="613"/>
      <c r="E143" s="613"/>
      <c r="F143" s="613"/>
      <c r="G143" s="613"/>
      <c r="H143" s="613"/>
      <c r="I143" s="613"/>
      <c r="J143" s="613"/>
      <c r="K143" s="613"/>
      <c r="L143" s="613"/>
      <c r="M143" s="613"/>
      <c r="N143" s="613"/>
      <c r="O143" s="613"/>
      <c r="P143" s="613"/>
      <c r="Q143" s="613"/>
      <c r="R143" s="613"/>
      <c r="S143" s="613"/>
      <c r="T143" s="613"/>
      <c r="U143" s="613"/>
      <c r="V143" s="613"/>
      <c r="W143" s="613"/>
      <c r="X143" s="613"/>
      <c r="Y143" s="613"/>
      <c r="Z143" s="613"/>
    </row>
    <row r="144" ht="15.75" customHeight="1">
      <c r="A144" s="613"/>
      <c r="B144" s="613"/>
      <c r="C144" s="613"/>
      <c r="D144" s="613"/>
      <c r="E144" s="613"/>
      <c r="F144" s="613"/>
      <c r="G144" s="613"/>
      <c r="H144" s="613"/>
      <c r="I144" s="613"/>
      <c r="J144" s="613"/>
      <c r="K144" s="613"/>
      <c r="L144" s="613"/>
      <c r="M144" s="613"/>
      <c r="N144" s="613"/>
      <c r="O144" s="613"/>
      <c r="P144" s="613"/>
      <c r="Q144" s="613"/>
      <c r="R144" s="613"/>
      <c r="S144" s="613"/>
      <c r="T144" s="613"/>
      <c r="U144" s="613"/>
      <c r="V144" s="613"/>
      <c r="W144" s="613"/>
      <c r="X144" s="613"/>
      <c r="Y144" s="613"/>
      <c r="Z144" s="613"/>
    </row>
    <row r="145" ht="15.75" customHeight="1">
      <c r="A145" s="613"/>
      <c r="B145" s="613"/>
      <c r="C145" s="613"/>
      <c r="D145" s="613"/>
      <c r="E145" s="613"/>
      <c r="F145" s="613"/>
      <c r="G145" s="613"/>
      <c r="H145" s="613"/>
      <c r="I145" s="613"/>
      <c r="J145" s="613"/>
      <c r="K145" s="613"/>
      <c r="L145" s="613"/>
      <c r="M145" s="613"/>
      <c r="N145" s="613"/>
      <c r="O145" s="613"/>
      <c r="P145" s="613"/>
      <c r="Q145" s="613"/>
      <c r="R145" s="613"/>
      <c r="S145" s="613"/>
      <c r="T145" s="613"/>
      <c r="U145" s="613"/>
      <c r="V145" s="613"/>
      <c r="W145" s="613"/>
      <c r="X145" s="613"/>
      <c r="Y145" s="613"/>
      <c r="Z145" s="613"/>
    </row>
    <row r="146" ht="15.75" customHeight="1">
      <c r="A146" s="613"/>
      <c r="B146" s="613"/>
      <c r="C146" s="613"/>
      <c r="D146" s="613"/>
      <c r="E146" s="613"/>
      <c r="F146" s="613"/>
      <c r="G146" s="613"/>
      <c r="H146" s="613"/>
      <c r="I146" s="613"/>
      <c r="J146" s="613"/>
      <c r="K146" s="613"/>
      <c r="L146" s="613"/>
      <c r="M146" s="613"/>
      <c r="N146" s="613"/>
      <c r="O146" s="613"/>
      <c r="P146" s="613"/>
      <c r="Q146" s="613"/>
      <c r="R146" s="613"/>
      <c r="S146" s="613"/>
      <c r="T146" s="613"/>
      <c r="U146" s="613"/>
      <c r="V146" s="613"/>
      <c r="W146" s="613"/>
      <c r="X146" s="613"/>
      <c r="Y146" s="613"/>
      <c r="Z146" s="613"/>
    </row>
    <row r="147" ht="15.75" customHeight="1">
      <c r="A147" s="613"/>
      <c r="B147" s="613"/>
      <c r="C147" s="613"/>
      <c r="D147" s="613"/>
      <c r="E147" s="613"/>
      <c r="F147" s="613"/>
      <c r="G147" s="613"/>
      <c r="H147" s="613"/>
      <c r="I147" s="613"/>
      <c r="J147" s="613"/>
      <c r="K147" s="613"/>
      <c r="L147" s="613"/>
      <c r="M147" s="613"/>
      <c r="N147" s="613"/>
      <c r="O147" s="613"/>
      <c r="P147" s="613"/>
      <c r="Q147" s="613"/>
      <c r="R147" s="613"/>
      <c r="S147" s="613"/>
      <c r="T147" s="613"/>
      <c r="U147" s="613"/>
      <c r="V147" s="613"/>
      <c r="W147" s="613"/>
      <c r="X147" s="613"/>
      <c r="Y147" s="613"/>
      <c r="Z147" s="613"/>
    </row>
    <row r="148" ht="15.75" customHeight="1">
      <c r="A148" s="613"/>
      <c r="B148" s="613"/>
      <c r="C148" s="613"/>
      <c r="D148" s="613"/>
      <c r="E148" s="613"/>
      <c r="F148" s="613"/>
      <c r="G148" s="613"/>
      <c r="H148" s="613"/>
      <c r="I148" s="613"/>
      <c r="J148" s="613"/>
      <c r="K148" s="613"/>
      <c r="L148" s="613"/>
      <c r="M148" s="613"/>
      <c r="N148" s="613"/>
      <c r="O148" s="613"/>
      <c r="P148" s="613"/>
      <c r="Q148" s="613"/>
      <c r="R148" s="613"/>
      <c r="S148" s="613"/>
      <c r="T148" s="613"/>
      <c r="U148" s="613"/>
      <c r="V148" s="613"/>
      <c r="W148" s="613"/>
      <c r="X148" s="613"/>
      <c r="Y148" s="613"/>
      <c r="Z148" s="613"/>
    </row>
    <row r="149" ht="15.75" customHeight="1">
      <c r="A149" s="613"/>
      <c r="B149" s="613"/>
      <c r="C149" s="613"/>
      <c r="D149" s="613"/>
      <c r="E149" s="613"/>
      <c r="F149" s="613"/>
      <c r="G149" s="613"/>
      <c r="H149" s="613"/>
      <c r="I149" s="613"/>
      <c r="J149" s="613"/>
      <c r="K149" s="613"/>
      <c r="L149" s="613"/>
      <c r="M149" s="613"/>
      <c r="N149" s="613"/>
      <c r="O149" s="613"/>
      <c r="P149" s="613"/>
      <c r="Q149" s="613"/>
      <c r="R149" s="613"/>
      <c r="S149" s="613"/>
      <c r="T149" s="613"/>
      <c r="U149" s="613"/>
      <c r="V149" s="613"/>
      <c r="W149" s="613"/>
      <c r="X149" s="613"/>
      <c r="Y149" s="613"/>
      <c r="Z149" s="613"/>
    </row>
    <row r="150" ht="15.75" customHeight="1">
      <c r="A150" s="613"/>
      <c r="B150" s="613"/>
      <c r="C150" s="613"/>
      <c r="D150" s="613"/>
      <c r="E150" s="613"/>
      <c r="F150" s="613"/>
      <c r="G150" s="613"/>
      <c r="H150" s="613"/>
      <c r="I150" s="613"/>
      <c r="J150" s="613"/>
      <c r="K150" s="613"/>
      <c r="L150" s="613"/>
      <c r="M150" s="613"/>
      <c r="N150" s="613"/>
      <c r="O150" s="613"/>
      <c r="P150" s="613"/>
      <c r="Q150" s="613"/>
      <c r="R150" s="613"/>
      <c r="S150" s="613"/>
      <c r="T150" s="613"/>
      <c r="U150" s="613"/>
      <c r="V150" s="613"/>
      <c r="W150" s="613"/>
      <c r="X150" s="613"/>
      <c r="Y150" s="613"/>
      <c r="Z150" s="613"/>
    </row>
    <row r="151" ht="15.75" customHeight="1">
      <c r="A151" s="613"/>
      <c r="B151" s="613"/>
      <c r="C151" s="613"/>
      <c r="D151" s="613"/>
      <c r="E151" s="613"/>
      <c r="F151" s="613"/>
      <c r="G151" s="613"/>
      <c r="H151" s="613"/>
      <c r="I151" s="613"/>
      <c r="J151" s="613"/>
      <c r="K151" s="613"/>
      <c r="L151" s="613"/>
      <c r="M151" s="613"/>
      <c r="N151" s="613"/>
      <c r="O151" s="613"/>
      <c r="P151" s="613"/>
      <c r="Q151" s="613"/>
      <c r="R151" s="613"/>
      <c r="S151" s="613"/>
      <c r="T151" s="613"/>
      <c r="U151" s="613"/>
      <c r="V151" s="613"/>
      <c r="W151" s="613"/>
      <c r="X151" s="613"/>
      <c r="Y151" s="613"/>
      <c r="Z151" s="613"/>
    </row>
    <row r="152" ht="15.75" customHeight="1">
      <c r="A152" s="613"/>
      <c r="B152" s="613"/>
      <c r="C152" s="613"/>
      <c r="D152" s="613"/>
      <c r="E152" s="613"/>
      <c r="F152" s="613"/>
      <c r="G152" s="613"/>
      <c r="H152" s="613"/>
      <c r="I152" s="613"/>
      <c r="J152" s="613"/>
      <c r="K152" s="613"/>
      <c r="L152" s="613"/>
      <c r="M152" s="613"/>
      <c r="N152" s="613"/>
      <c r="O152" s="613"/>
      <c r="P152" s="613"/>
      <c r="Q152" s="613"/>
      <c r="R152" s="613"/>
      <c r="S152" s="613"/>
      <c r="T152" s="613"/>
      <c r="U152" s="613"/>
      <c r="V152" s="613"/>
      <c r="W152" s="613"/>
      <c r="X152" s="613"/>
      <c r="Y152" s="613"/>
      <c r="Z152" s="613"/>
    </row>
    <row r="153" ht="15.75" customHeight="1">
      <c r="A153" s="613"/>
      <c r="B153" s="613"/>
      <c r="C153" s="613"/>
      <c r="D153" s="613"/>
      <c r="E153" s="613"/>
      <c r="F153" s="613"/>
      <c r="G153" s="613"/>
      <c r="H153" s="613"/>
      <c r="I153" s="613"/>
      <c r="J153" s="613"/>
      <c r="K153" s="613"/>
      <c r="L153" s="613"/>
      <c r="M153" s="613"/>
      <c r="N153" s="613"/>
      <c r="O153" s="613"/>
      <c r="P153" s="613"/>
      <c r="Q153" s="613"/>
      <c r="R153" s="613"/>
      <c r="S153" s="613"/>
      <c r="T153" s="613"/>
      <c r="U153" s="613"/>
      <c r="V153" s="613"/>
      <c r="W153" s="613"/>
      <c r="X153" s="613"/>
      <c r="Y153" s="613"/>
      <c r="Z153" s="613"/>
    </row>
    <row r="154" ht="15.75" customHeight="1">
      <c r="A154" s="613"/>
      <c r="B154" s="613"/>
      <c r="C154" s="613"/>
      <c r="D154" s="613"/>
      <c r="E154" s="613"/>
      <c r="F154" s="613"/>
      <c r="G154" s="613"/>
      <c r="H154" s="613"/>
      <c r="I154" s="613"/>
      <c r="J154" s="613"/>
      <c r="K154" s="613"/>
      <c r="L154" s="613"/>
      <c r="M154" s="613"/>
      <c r="N154" s="613"/>
      <c r="O154" s="613"/>
      <c r="P154" s="613"/>
      <c r="Q154" s="613"/>
      <c r="R154" s="613"/>
      <c r="S154" s="613"/>
      <c r="T154" s="613"/>
      <c r="U154" s="613"/>
      <c r="V154" s="613"/>
      <c r="W154" s="613"/>
      <c r="X154" s="613"/>
      <c r="Y154" s="613"/>
      <c r="Z154" s="613"/>
    </row>
    <row r="155" ht="15.75" customHeight="1">
      <c r="A155" s="613"/>
      <c r="B155" s="613"/>
      <c r="C155" s="613"/>
      <c r="D155" s="613"/>
      <c r="E155" s="613"/>
      <c r="F155" s="613"/>
      <c r="G155" s="613"/>
      <c r="H155" s="613"/>
      <c r="I155" s="613"/>
      <c r="J155" s="613"/>
      <c r="K155" s="613"/>
      <c r="L155" s="613"/>
      <c r="M155" s="613"/>
      <c r="N155" s="613"/>
      <c r="O155" s="613"/>
      <c r="P155" s="613"/>
      <c r="Q155" s="613"/>
      <c r="R155" s="613"/>
      <c r="S155" s="613"/>
      <c r="T155" s="613"/>
      <c r="U155" s="613"/>
      <c r="V155" s="613"/>
      <c r="W155" s="613"/>
      <c r="X155" s="613"/>
      <c r="Y155" s="613"/>
      <c r="Z155" s="613"/>
    </row>
    <row r="156" ht="15.75" customHeight="1">
      <c r="A156" s="613"/>
      <c r="B156" s="613"/>
      <c r="C156" s="613"/>
      <c r="D156" s="613"/>
      <c r="E156" s="613"/>
      <c r="F156" s="613"/>
      <c r="G156" s="613"/>
      <c r="H156" s="613"/>
      <c r="I156" s="613"/>
      <c r="J156" s="613"/>
      <c r="K156" s="613"/>
      <c r="L156" s="613"/>
      <c r="M156" s="613"/>
      <c r="N156" s="613"/>
      <c r="O156" s="613"/>
      <c r="P156" s="613"/>
      <c r="Q156" s="613"/>
      <c r="R156" s="613"/>
      <c r="S156" s="613"/>
      <c r="T156" s="613"/>
      <c r="U156" s="613"/>
      <c r="V156" s="613"/>
      <c r="W156" s="613"/>
      <c r="X156" s="613"/>
      <c r="Y156" s="613"/>
      <c r="Z156" s="613"/>
    </row>
    <row r="157" ht="15.75" customHeight="1">
      <c r="A157" s="613"/>
      <c r="B157" s="613"/>
      <c r="C157" s="613"/>
      <c r="D157" s="613"/>
      <c r="E157" s="613"/>
      <c r="F157" s="613"/>
      <c r="G157" s="613"/>
      <c r="H157" s="613"/>
      <c r="I157" s="613"/>
      <c r="J157" s="613"/>
      <c r="K157" s="613"/>
      <c r="L157" s="613"/>
      <c r="M157" s="613"/>
      <c r="N157" s="613"/>
      <c r="O157" s="613"/>
      <c r="P157" s="613"/>
      <c r="Q157" s="613"/>
      <c r="R157" s="613"/>
      <c r="S157" s="613"/>
      <c r="T157" s="613"/>
      <c r="U157" s="613"/>
      <c r="V157" s="613"/>
      <c r="W157" s="613"/>
      <c r="X157" s="613"/>
      <c r="Y157" s="613"/>
      <c r="Z157" s="613"/>
    </row>
    <row r="158" ht="15.75" customHeight="1">
      <c r="A158" s="613"/>
      <c r="B158" s="613"/>
      <c r="C158" s="613"/>
      <c r="D158" s="613"/>
      <c r="E158" s="613"/>
      <c r="F158" s="613"/>
      <c r="G158" s="613"/>
      <c r="H158" s="613"/>
      <c r="I158" s="613"/>
      <c r="J158" s="613"/>
      <c r="K158" s="613"/>
      <c r="L158" s="613"/>
      <c r="M158" s="613"/>
      <c r="N158" s="613"/>
      <c r="O158" s="613"/>
      <c r="P158" s="613"/>
      <c r="Q158" s="613"/>
      <c r="R158" s="613"/>
      <c r="S158" s="613"/>
      <c r="T158" s="613"/>
      <c r="U158" s="613"/>
      <c r="V158" s="613"/>
      <c r="W158" s="613"/>
      <c r="X158" s="613"/>
      <c r="Y158" s="613"/>
      <c r="Z158" s="613"/>
    </row>
    <row r="159" ht="15.75" customHeight="1">
      <c r="A159" s="613"/>
      <c r="B159" s="613"/>
      <c r="C159" s="613"/>
      <c r="D159" s="613"/>
      <c r="E159" s="613"/>
      <c r="F159" s="613"/>
      <c r="G159" s="613"/>
      <c r="H159" s="613"/>
      <c r="I159" s="613"/>
      <c r="J159" s="613"/>
      <c r="K159" s="613"/>
      <c r="L159" s="613"/>
      <c r="M159" s="613"/>
      <c r="N159" s="613"/>
      <c r="O159" s="613"/>
      <c r="P159" s="613"/>
      <c r="Q159" s="613"/>
      <c r="R159" s="613"/>
      <c r="S159" s="613"/>
      <c r="T159" s="613"/>
      <c r="U159" s="613"/>
      <c r="V159" s="613"/>
      <c r="W159" s="613"/>
      <c r="X159" s="613"/>
      <c r="Y159" s="613"/>
      <c r="Z159" s="613"/>
    </row>
    <row r="160" ht="15.75" customHeight="1">
      <c r="A160" s="613"/>
      <c r="B160" s="613"/>
      <c r="C160" s="613"/>
      <c r="D160" s="613"/>
      <c r="E160" s="613"/>
      <c r="F160" s="613"/>
      <c r="G160" s="613"/>
      <c r="H160" s="613"/>
      <c r="I160" s="613"/>
      <c r="J160" s="613"/>
      <c r="K160" s="613"/>
      <c r="L160" s="613"/>
      <c r="M160" s="613"/>
      <c r="N160" s="613"/>
      <c r="O160" s="613"/>
      <c r="P160" s="613"/>
      <c r="Q160" s="613"/>
      <c r="R160" s="613"/>
      <c r="S160" s="613"/>
      <c r="T160" s="613"/>
      <c r="U160" s="613"/>
      <c r="V160" s="613"/>
      <c r="W160" s="613"/>
      <c r="X160" s="613"/>
      <c r="Y160" s="613"/>
      <c r="Z160" s="613"/>
    </row>
    <row r="161" ht="15.75" customHeight="1">
      <c r="A161" s="613"/>
      <c r="B161" s="613"/>
      <c r="C161" s="613"/>
      <c r="D161" s="613"/>
      <c r="E161" s="613"/>
      <c r="F161" s="613"/>
      <c r="G161" s="613"/>
      <c r="H161" s="613"/>
      <c r="I161" s="613"/>
      <c r="J161" s="613"/>
      <c r="K161" s="613"/>
      <c r="L161" s="613"/>
      <c r="M161" s="613"/>
      <c r="N161" s="613"/>
      <c r="O161" s="613"/>
      <c r="P161" s="613"/>
      <c r="Q161" s="613"/>
      <c r="R161" s="613"/>
      <c r="S161" s="613"/>
      <c r="T161" s="613"/>
      <c r="U161" s="613"/>
      <c r="V161" s="613"/>
      <c r="W161" s="613"/>
      <c r="X161" s="613"/>
      <c r="Y161" s="613"/>
      <c r="Z161" s="613"/>
    </row>
    <row r="162" ht="15.75" customHeight="1">
      <c r="A162" s="613"/>
      <c r="B162" s="613"/>
      <c r="C162" s="613"/>
      <c r="D162" s="613"/>
      <c r="E162" s="613"/>
      <c r="F162" s="613"/>
      <c r="G162" s="613"/>
      <c r="H162" s="613"/>
      <c r="I162" s="613"/>
      <c r="J162" s="613"/>
      <c r="K162" s="613"/>
      <c r="L162" s="613"/>
      <c r="M162" s="613"/>
      <c r="N162" s="613"/>
      <c r="O162" s="613"/>
      <c r="P162" s="613"/>
      <c r="Q162" s="613"/>
      <c r="R162" s="613"/>
      <c r="S162" s="613"/>
      <c r="T162" s="613"/>
      <c r="U162" s="613"/>
      <c r="V162" s="613"/>
      <c r="W162" s="613"/>
      <c r="X162" s="613"/>
      <c r="Y162" s="613"/>
      <c r="Z162" s="613"/>
    </row>
    <row r="163" ht="15.75" customHeight="1">
      <c r="A163" s="613"/>
      <c r="B163" s="613"/>
      <c r="C163" s="613"/>
      <c r="D163" s="613"/>
      <c r="E163" s="613"/>
      <c r="F163" s="613"/>
      <c r="G163" s="613"/>
      <c r="H163" s="613"/>
      <c r="I163" s="613"/>
      <c r="J163" s="613"/>
      <c r="K163" s="613"/>
      <c r="L163" s="613"/>
      <c r="M163" s="613"/>
      <c r="N163" s="613"/>
      <c r="O163" s="613"/>
      <c r="P163" s="613"/>
      <c r="Q163" s="613"/>
      <c r="R163" s="613"/>
      <c r="S163" s="613"/>
      <c r="T163" s="613"/>
      <c r="U163" s="613"/>
      <c r="V163" s="613"/>
      <c r="W163" s="613"/>
      <c r="X163" s="613"/>
      <c r="Y163" s="613"/>
      <c r="Z163" s="613"/>
    </row>
    <row r="164" ht="15.75" customHeight="1">
      <c r="A164" s="613"/>
      <c r="B164" s="613"/>
      <c r="C164" s="613"/>
      <c r="D164" s="613"/>
      <c r="E164" s="613"/>
      <c r="F164" s="613"/>
      <c r="G164" s="613"/>
      <c r="H164" s="613"/>
      <c r="I164" s="613"/>
      <c r="J164" s="613"/>
      <c r="K164" s="613"/>
      <c r="L164" s="613"/>
      <c r="M164" s="613"/>
      <c r="N164" s="613"/>
      <c r="O164" s="613"/>
      <c r="P164" s="613"/>
      <c r="Q164" s="613"/>
      <c r="R164" s="613"/>
      <c r="S164" s="613"/>
      <c r="T164" s="613"/>
      <c r="U164" s="613"/>
      <c r="V164" s="613"/>
      <c r="W164" s="613"/>
      <c r="X164" s="613"/>
      <c r="Y164" s="613"/>
      <c r="Z164" s="613"/>
    </row>
    <row r="165" ht="15.75" customHeight="1">
      <c r="A165" s="613"/>
      <c r="B165" s="613"/>
      <c r="C165" s="613"/>
      <c r="D165" s="613"/>
      <c r="E165" s="613"/>
      <c r="F165" s="613"/>
      <c r="G165" s="613"/>
      <c r="H165" s="613"/>
      <c r="I165" s="613"/>
      <c r="J165" s="613"/>
      <c r="K165" s="613"/>
      <c r="L165" s="613"/>
      <c r="M165" s="613"/>
      <c r="N165" s="613"/>
      <c r="O165" s="613"/>
      <c r="P165" s="613"/>
      <c r="Q165" s="613"/>
      <c r="R165" s="613"/>
      <c r="S165" s="613"/>
      <c r="T165" s="613"/>
      <c r="U165" s="613"/>
      <c r="V165" s="613"/>
      <c r="W165" s="613"/>
      <c r="X165" s="613"/>
      <c r="Y165" s="613"/>
      <c r="Z165" s="613"/>
    </row>
    <row r="166" ht="15.75" customHeight="1">
      <c r="A166" s="613"/>
      <c r="B166" s="613"/>
      <c r="C166" s="613"/>
      <c r="D166" s="613"/>
      <c r="E166" s="613"/>
      <c r="F166" s="613"/>
      <c r="G166" s="613"/>
      <c r="H166" s="613"/>
      <c r="I166" s="613"/>
      <c r="J166" s="613"/>
      <c r="K166" s="613"/>
      <c r="L166" s="613"/>
      <c r="M166" s="613"/>
      <c r="N166" s="613"/>
      <c r="O166" s="613"/>
      <c r="P166" s="613"/>
      <c r="Q166" s="613"/>
      <c r="R166" s="613"/>
      <c r="S166" s="613"/>
      <c r="T166" s="613"/>
      <c r="U166" s="613"/>
      <c r="V166" s="613"/>
      <c r="W166" s="613"/>
      <c r="X166" s="613"/>
      <c r="Y166" s="613"/>
      <c r="Z166" s="613"/>
    </row>
    <row r="167" ht="15.75" customHeight="1">
      <c r="A167" s="613"/>
      <c r="B167" s="613"/>
      <c r="C167" s="613"/>
      <c r="D167" s="613"/>
      <c r="E167" s="613"/>
      <c r="F167" s="613"/>
      <c r="G167" s="613"/>
      <c r="H167" s="613"/>
      <c r="I167" s="613"/>
      <c r="J167" s="613"/>
      <c r="K167" s="613"/>
      <c r="L167" s="613"/>
      <c r="M167" s="613"/>
      <c r="N167" s="613"/>
      <c r="O167" s="613"/>
      <c r="P167" s="613"/>
      <c r="Q167" s="613"/>
      <c r="R167" s="613"/>
      <c r="S167" s="613"/>
      <c r="T167" s="613"/>
      <c r="U167" s="613"/>
      <c r="V167" s="613"/>
      <c r="W167" s="613"/>
      <c r="X167" s="613"/>
      <c r="Y167" s="613"/>
      <c r="Z167" s="613"/>
    </row>
    <row r="168" ht="15.75" customHeight="1">
      <c r="A168" s="613"/>
      <c r="B168" s="613"/>
      <c r="C168" s="613"/>
      <c r="D168" s="613"/>
      <c r="E168" s="613"/>
      <c r="F168" s="613"/>
      <c r="G168" s="613"/>
      <c r="H168" s="613"/>
      <c r="I168" s="613"/>
      <c r="J168" s="613"/>
      <c r="K168" s="613"/>
      <c r="L168" s="613"/>
      <c r="M168" s="613"/>
      <c r="N168" s="613"/>
      <c r="O168" s="613"/>
      <c r="P168" s="613"/>
      <c r="Q168" s="613"/>
      <c r="R168" s="613"/>
      <c r="S168" s="613"/>
      <c r="T168" s="613"/>
      <c r="U168" s="613"/>
      <c r="V168" s="613"/>
      <c r="W168" s="613"/>
      <c r="X168" s="613"/>
      <c r="Y168" s="613"/>
      <c r="Z168" s="613"/>
    </row>
    <row r="169" ht="15.75" customHeight="1">
      <c r="A169" s="613"/>
      <c r="B169" s="613"/>
      <c r="C169" s="613"/>
      <c r="D169" s="613"/>
      <c r="E169" s="613"/>
      <c r="F169" s="613"/>
      <c r="G169" s="613"/>
      <c r="H169" s="613"/>
      <c r="I169" s="613"/>
      <c r="J169" s="613"/>
      <c r="K169" s="613"/>
      <c r="L169" s="613"/>
      <c r="M169" s="613"/>
      <c r="N169" s="613"/>
      <c r="O169" s="613"/>
      <c r="P169" s="613"/>
      <c r="Q169" s="613"/>
      <c r="R169" s="613"/>
      <c r="S169" s="613"/>
      <c r="T169" s="613"/>
      <c r="U169" s="613"/>
      <c r="V169" s="613"/>
      <c r="W169" s="613"/>
      <c r="X169" s="613"/>
      <c r="Y169" s="613"/>
      <c r="Z169" s="613"/>
    </row>
    <row r="170" ht="15.75" customHeight="1">
      <c r="A170" s="613"/>
      <c r="B170" s="613"/>
      <c r="C170" s="613"/>
      <c r="D170" s="613"/>
      <c r="E170" s="613"/>
      <c r="F170" s="613"/>
      <c r="G170" s="613"/>
      <c r="H170" s="613"/>
      <c r="I170" s="613"/>
      <c r="J170" s="613"/>
      <c r="K170" s="613"/>
      <c r="L170" s="613"/>
      <c r="M170" s="613"/>
      <c r="N170" s="613"/>
      <c r="O170" s="613"/>
      <c r="P170" s="613"/>
      <c r="Q170" s="613"/>
      <c r="R170" s="613"/>
      <c r="S170" s="613"/>
      <c r="T170" s="613"/>
      <c r="U170" s="613"/>
      <c r="V170" s="613"/>
      <c r="W170" s="613"/>
      <c r="X170" s="613"/>
      <c r="Y170" s="613"/>
      <c r="Z170" s="613"/>
    </row>
    <row r="171" ht="15.75" customHeight="1">
      <c r="A171" s="613"/>
      <c r="B171" s="613"/>
      <c r="C171" s="613"/>
      <c r="D171" s="613"/>
      <c r="E171" s="613"/>
      <c r="F171" s="613"/>
      <c r="G171" s="613"/>
      <c r="H171" s="613"/>
      <c r="I171" s="613"/>
      <c r="J171" s="613"/>
      <c r="K171" s="613"/>
      <c r="L171" s="613"/>
      <c r="M171" s="613"/>
      <c r="N171" s="613"/>
      <c r="O171" s="613"/>
      <c r="P171" s="613"/>
      <c r="Q171" s="613"/>
      <c r="R171" s="613"/>
      <c r="S171" s="613"/>
      <c r="T171" s="613"/>
      <c r="U171" s="613"/>
      <c r="V171" s="613"/>
      <c r="W171" s="613"/>
      <c r="X171" s="613"/>
      <c r="Y171" s="613"/>
      <c r="Z171" s="613"/>
    </row>
    <row r="172" ht="15.75" customHeight="1">
      <c r="A172" s="613"/>
      <c r="B172" s="613"/>
      <c r="C172" s="613"/>
      <c r="D172" s="613"/>
      <c r="E172" s="613"/>
      <c r="F172" s="613"/>
      <c r="G172" s="613"/>
      <c r="H172" s="613"/>
      <c r="I172" s="613"/>
      <c r="J172" s="613"/>
      <c r="K172" s="613"/>
      <c r="L172" s="613"/>
      <c r="M172" s="613"/>
      <c r="N172" s="613"/>
      <c r="O172" s="613"/>
      <c r="P172" s="613"/>
      <c r="Q172" s="613"/>
      <c r="R172" s="613"/>
      <c r="S172" s="613"/>
      <c r="T172" s="613"/>
      <c r="U172" s="613"/>
      <c r="V172" s="613"/>
      <c r="W172" s="613"/>
      <c r="X172" s="613"/>
      <c r="Y172" s="613"/>
      <c r="Z172" s="613"/>
    </row>
    <row r="173" ht="15.75" customHeight="1">
      <c r="A173" s="613"/>
      <c r="B173" s="613"/>
      <c r="C173" s="613"/>
      <c r="D173" s="613"/>
      <c r="E173" s="613"/>
      <c r="F173" s="613"/>
      <c r="G173" s="613"/>
      <c r="H173" s="613"/>
      <c r="I173" s="613"/>
      <c r="J173" s="613"/>
      <c r="K173" s="613"/>
      <c r="L173" s="613"/>
      <c r="M173" s="613"/>
      <c r="N173" s="613"/>
      <c r="O173" s="613"/>
      <c r="P173" s="613"/>
      <c r="Q173" s="613"/>
      <c r="R173" s="613"/>
      <c r="S173" s="613"/>
      <c r="T173" s="613"/>
      <c r="U173" s="613"/>
      <c r="V173" s="613"/>
      <c r="W173" s="613"/>
      <c r="X173" s="613"/>
      <c r="Y173" s="613"/>
      <c r="Z173" s="613"/>
    </row>
    <row r="174" ht="15.75" customHeight="1">
      <c r="A174" s="613"/>
      <c r="B174" s="613"/>
      <c r="C174" s="613"/>
      <c r="D174" s="613"/>
      <c r="E174" s="613"/>
      <c r="F174" s="613"/>
      <c r="G174" s="613"/>
      <c r="H174" s="613"/>
      <c r="I174" s="613"/>
      <c r="J174" s="613"/>
      <c r="K174" s="613"/>
      <c r="L174" s="613"/>
      <c r="M174" s="613"/>
      <c r="N174" s="613"/>
      <c r="O174" s="613"/>
      <c r="P174" s="613"/>
      <c r="Q174" s="613"/>
      <c r="R174" s="613"/>
      <c r="S174" s="613"/>
      <c r="T174" s="613"/>
      <c r="U174" s="613"/>
      <c r="V174" s="613"/>
      <c r="W174" s="613"/>
      <c r="X174" s="613"/>
      <c r="Y174" s="613"/>
      <c r="Z174" s="613"/>
    </row>
    <row r="175" ht="15.75" customHeight="1">
      <c r="A175" s="613"/>
      <c r="B175" s="613"/>
      <c r="C175" s="613"/>
      <c r="D175" s="613"/>
      <c r="E175" s="613"/>
      <c r="F175" s="613"/>
      <c r="G175" s="613"/>
      <c r="H175" s="613"/>
      <c r="I175" s="613"/>
      <c r="J175" s="613"/>
      <c r="K175" s="613"/>
      <c r="L175" s="613"/>
      <c r="M175" s="613"/>
      <c r="N175" s="613"/>
      <c r="O175" s="613"/>
      <c r="P175" s="613"/>
      <c r="Q175" s="613"/>
      <c r="R175" s="613"/>
      <c r="S175" s="613"/>
      <c r="T175" s="613"/>
      <c r="U175" s="613"/>
      <c r="V175" s="613"/>
      <c r="W175" s="613"/>
      <c r="X175" s="613"/>
      <c r="Y175" s="613"/>
      <c r="Z175" s="613"/>
    </row>
    <row r="176" ht="15.75" customHeight="1">
      <c r="A176" s="613"/>
      <c r="B176" s="613"/>
      <c r="C176" s="613"/>
      <c r="D176" s="613"/>
      <c r="E176" s="613"/>
      <c r="F176" s="613"/>
      <c r="G176" s="613"/>
      <c r="H176" s="613"/>
      <c r="I176" s="613"/>
      <c r="J176" s="613"/>
      <c r="K176" s="613"/>
      <c r="L176" s="613"/>
      <c r="M176" s="613"/>
      <c r="N176" s="613"/>
      <c r="O176" s="613"/>
      <c r="P176" s="613"/>
      <c r="Q176" s="613"/>
      <c r="R176" s="613"/>
      <c r="S176" s="613"/>
      <c r="T176" s="613"/>
      <c r="U176" s="613"/>
      <c r="V176" s="613"/>
      <c r="W176" s="613"/>
      <c r="X176" s="613"/>
      <c r="Y176" s="613"/>
      <c r="Z176" s="613"/>
    </row>
    <row r="177" ht="15.75" customHeight="1">
      <c r="A177" s="613"/>
      <c r="B177" s="613"/>
      <c r="C177" s="613"/>
      <c r="D177" s="613"/>
      <c r="E177" s="613"/>
      <c r="F177" s="613"/>
      <c r="G177" s="613"/>
      <c r="H177" s="613"/>
      <c r="I177" s="613"/>
      <c r="J177" s="613"/>
      <c r="K177" s="613"/>
      <c r="L177" s="613"/>
      <c r="M177" s="613"/>
      <c r="N177" s="613"/>
      <c r="O177" s="613"/>
      <c r="P177" s="613"/>
      <c r="Q177" s="613"/>
      <c r="R177" s="613"/>
      <c r="S177" s="613"/>
      <c r="T177" s="613"/>
      <c r="U177" s="613"/>
      <c r="V177" s="613"/>
      <c r="W177" s="613"/>
      <c r="X177" s="613"/>
      <c r="Y177" s="613"/>
      <c r="Z177" s="613"/>
    </row>
    <row r="178" ht="15.75" customHeight="1">
      <c r="A178" s="613"/>
      <c r="B178" s="613"/>
      <c r="C178" s="613"/>
      <c r="D178" s="613"/>
      <c r="E178" s="613"/>
      <c r="F178" s="613"/>
      <c r="G178" s="613"/>
      <c r="H178" s="613"/>
      <c r="I178" s="613"/>
      <c r="J178" s="613"/>
      <c r="K178" s="613"/>
      <c r="L178" s="613"/>
      <c r="M178" s="613"/>
      <c r="N178" s="613"/>
      <c r="O178" s="613"/>
      <c r="P178" s="613"/>
      <c r="Q178" s="613"/>
      <c r="R178" s="613"/>
      <c r="S178" s="613"/>
      <c r="T178" s="613"/>
      <c r="U178" s="613"/>
      <c r="V178" s="613"/>
      <c r="W178" s="613"/>
      <c r="X178" s="613"/>
      <c r="Y178" s="613"/>
      <c r="Z178" s="613"/>
    </row>
    <row r="179" ht="15.75" customHeight="1">
      <c r="A179" s="613"/>
      <c r="B179" s="613"/>
      <c r="C179" s="613"/>
      <c r="D179" s="613"/>
      <c r="E179" s="613"/>
      <c r="F179" s="613"/>
      <c r="G179" s="613"/>
      <c r="H179" s="613"/>
      <c r="I179" s="613"/>
      <c r="J179" s="613"/>
      <c r="K179" s="613"/>
      <c r="L179" s="613"/>
      <c r="M179" s="613"/>
      <c r="N179" s="613"/>
      <c r="O179" s="613"/>
      <c r="P179" s="613"/>
      <c r="Q179" s="613"/>
      <c r="R179" s="613"/>
      <c r="S179" s="613"/>
      <c r="T179" s="613"/>
      <c r="U179" s="613"/>
      <c r="V179" s="613"/>
      <c r="W179" s="613"/>
      <c r="X179" s="613"/>
      <c r="Y179" s="613"/>
      <c r="Z179" s="613"/>
    </row>
    <row r="180" ht="15.75" customHeight="1">
      <c r="A180" s="613"/>
      <c r="B180" s="613"/>
      <c r="C180" s="613"/>
      <c r="D180" s="613"/>
      <c r="E180" s="613"/>
      <c r="F180" s="613"/>
      <c r="G180" s="613"/>
      <c r="H180" s="613"/>
      <c r="I180" s="613"/>
      <c r="J180" s="613"/>
      <c r="K180" s="613"/>
      <c r="L180" s="613"/>
      <c r="M180" s="613"/>
      <c r="N180" s="613"/>
      <c r="O180" s="613"/>
      <c r="P180" s="613"/>
      <c r="Q180" s="613"/>
      <c r="R180" s="613"/>
      <c r="S180" s="613"/>
      <c r="T180" s="613"/>
      <c r="U180" s="613"/>
      <c r="V180" s="613"/>
      <c r="W180" s="613"/>
      <c r="X180" s="613"/>
      <c r="Y180" s="613"/>
      <c r="Z180" s="613"/>
    </row>
    <row r="181" ht="15.75" customHeight="1">
      <c r="A181" s="613"/>
      <c r="B181" s="613"/>
      <c r="C181" s="613"/>
      <c r="D181" s="613"/>
      <c r="E181" s="613"/>
      <c r="F181" s="613"/>
      <c r="G181" s="613"/>
      <c r="H181" s="613"/>
      <c r="I181" s="613"/>
      <c r="J181" s="613"/>
      <c r="K181" s="613"/>
      <c r="L181" s="613"/>
      <c r="M181" s="613"/>
      <c r="N181" s="613"/>
      <c r="O181" s="613"/>
      <c r="P181" s="613"/>
      <c r="Q181" s="613"/>
      <c r="R181" s="613"/>
      <c r="S181" s="613"/>
      <c r="T181" s="613"/>
      <c r="U181" s="613"/>
      <c r="V181" s="613"/>
      <c r="W181" s="613"/>
      <c r="X181" s="613"/>
      <c r="Y181" s="613"/>
      <c r="Z181" s="613"/>
    </row>
    <row r="182" ht="15.75" customHeight="1">
      <c r="A182" s="613"/>
      <c r="B182" s="613"/>
      <c r="C182" s="613"/>
      <c r="D182" s="613"/>
      <c r="E182" s="613"/>
      <c r="F182" s="613"/>
      <c r="G182" s="613"/>
      <c r="H182" s="613"/>
      <c r="I182" s="613"/>
      <c r="J182" s="613"/>
      <c r="K182" s="613"/>
      <c r="L182" s="613"/>
      <c r="M182" s="613"/>
      <c r="N182" s="613"/>
      <c r="O182" s="613"/>
      <c r="P182" s="613"/>
      <c r="Q182" s="613"/>
      <c r="R182" s="613"/>
      <c r="S182" s="613"/>
      <c r="T182" s="613"/>
      <c r="U182" s="613"/>
      <c r="V182" s="613"/>
      <c r="W182" s="613"/>
      <c r="X182" s="613"/>
      <c r="Y182" s="613"/>
      <c r="Z182" s="613"/>
    </row>
    <row r="183" ht="15.75" customHeight="1">
      <c r="A183" s="613"/>
      <c r="B183" s="613"/>
      <c r="C183" s="613"/>
      <c r="D183" s="613"/>
      <c r="E183" s="613"/>
      <c r="F183" s="613"/>
      <c r="G183" s="613"/>
      <c r="H183" s="613"/>
      <c r="I183" s="613"/>
      <c r="J183" s="613"/>
      <c r="K183" s="613"/>
      <c r="L183" s="613"/>
      <c r="M183" s="613"/>
      <c r="N183" s="613"/>
      <c r="O183" s="613"/>
      <c r="P183" s="613"/>
      <c r="Q183" s="613"/>
      <c r="R183" s="613"/>
      <c r="S183" s="613"/>
      <c r="T183" s="613"/>
      <c r="U183" s="613"/>
      <c r="V183" s="613"/>
      <c r="W183" s="613"/>
      <c r="X183" s="613"/>
      <c r="Y183" s="613"/>
      <c r="Z183" s="613"/>
    </row>
    <row r="184" ht="15.75" customHeight="1">
      <c r="A184" s="613"/>
      <c r="B184" s="613"/>
      <c r="C184" s="613"/>
      <c r="D184" s="613"/>
      <c r="E184" s="613"/>
      <c r="F184" s="613"/>
      <c r="G184" s="613"/>
      <c r="H184" s="613"/>
      <c r="I184" s="613"/>
      <c r="J184" s="613"/>
      <c r="K184" s="613"/>
      <c r="L184" s="613"/>
      <c r="M184" s="613"/>
      <c r="N184" s="613"/>
      <c r="O184" s="613"/>
      <c r="P184" s="613"/>
      <c r="Q184" s="613"/>
      <c r="R184" s="613"/>
      <c r="S184" s="613"/>
      <c r="T184" s="613"/>
      <c r="U184" s="613"/>
      <c r="V184" s="613"/>
      <c r="W184" s="613"/>
      <c r="X184" s="613"/>
      <c r="Y184" s="613"/>
      <c r="Z184" s="613"/>
    </row>
    <row r="185" ht="15.75" customHeight="1">
      <c r="A185" s="613"/>
      <c r="B185" s="613"/>
      <c r="C185" s="613"/>
      <c r="D185" s="613"/>
      <c r="E185" s="613"/>
      <c r="F185" s="613"/>
      <c r="G185" s="613"/>
      <c r="H185" s="613"/>
      <c r="I185" s="613"/>
      <c r="J185" s="613"/>
      <c r="K185" s="613"/>
      <c r="L185" s="613"/>
      <c r="M185" s="613"/>
      <c r="N185" s="613"/>
      <c r="O185" s="613"/>
      <c r="P185" s="613"/>
      <c r="Q185" s="613"/>
      <c r="R185" s="613"/>
      <c r="S185" s="613"/>
      <c r="T185" s="613"/>
      <c r="U185" s="613"/>
      <c r="V185" s="613"/>
      <c r="W185" s="613"/>
      <c r="X185" s="613"/>
      <c r="Y185" s="613"/>
      <c r="Z185" s="613"/>
    </row>
    <row r="186" ht="15.75" customHeight="1">
      <c r="A186" s="613"/>
      <c r="B186" s="613"/>
      <c r="C186" s="613"/>
      <c r="D186" s="613"/>
      <c r="E186" s="613"/>
      <c r="F186" s="613"/>
      <c r="G186" s="613"/>
      <c r="H186" s="613"/>
      <c r="I186" s="613"/>
      <c r="J186" s="613"/>
      <c r="K186" s="613"/>
      <c r="L186" s="613"/>
      <c r="M186" s="613"/>
      <c r="N186" s="613"/>
      <c r="O186" s="613"/>
      <c r="P186" s="613"/>
      <c r="Q186" s="613"/>
      <c r="R186" s="613"/>
      <c r="S186" s="613"/>
      <c r="T186" s="613"/>
      <c r="U186" s="613"/>
      <c r="V186" s="613"/>
      <c r="W186" s="613"/>
      <c r="X186" s="613"/>
      <c r="Y186" s="613"/>
      <c r="Z186" s="613"/>
    </row>
    <row r="187" ht="15.75" customHeight="1">
      <c r="A187" s="613"/>
      <c r="B187" s="613"/>
      <c r="C187" s="613"/>
      <c r="D187" s="613"/>
      <c r="E187" s="613"/>
      <c r="F187" s="613"/>
      <c r="G187" s="613"/>
      <c r="H187" s="613"/>
      <c r="I187" s="613"/>
      <c r="J187" s="613"/>
      <c r="K187" s="613"/>
      <c r="L187" s="613"/>
      <c r="M187" s="613"/>
      <c r="N187" s="613"/>
      <c r="O187" s="613"/>
      <c r="P187" s="613"/>
      <c r="Q187" s="613"/>
      <c r="R187" s="613"/>
      <c r="S187" s="613"/>
      <c r="T187" s="613"/>
      <c r="U187" s="613"/>
      <c r="V187" s="613"/>
      <c r="W187" s="613"/>
      <c r="X187" s="613"/>
      <c r="Y187" s="613"/>
      <c r="Z187" s="613"/>
    </row>
    <row r="188" ht="15.75" customHeight="1">
      <c r="A188" s="613"/>
      <c r="B188" s="613"/>
      <c r="C188" s="613"/>
      <c r="D188" s="613"/>
      <c r="E188" s="613"/>
      <c r="F188" s="613"/>
      <c r="G188" s="613"/>
      <c r="H188" s="613"/>
      <c r="I188" s="613"/>
      <c r="J188" s="613"/>
      <c r="K188" s="613"/>
      <c r="L188" s="613"/>
      <c r="M188" s="613"/>
      <c r="N188" s="613"/>
      <c r="O188" s="613"/>
      <c r="P188" s="613"/>
      <c r="Q188" s="613"/>
      <c r="R188" s="613"/>
      <c r="S188" s="613"/>
      <c r="T188" s="613"/>
      <c r="U188" s="613"/>
      <c r="V188" s="613"/>
      <c r="W188" s="613"/>
      <c r="X188" s="613"/>
      <c r="Y188" s="613"/>
      <c r="Z188" s="613"/>
    </row>
    <row r="189" ht="15.75" customHeight="1">
      <c r="A189" s="613"/>
      <c r="B189" s="613"/>
      <c r="C189" s="613"/>
      <c r="D189" s="613"/>
      <c r="E189" s="613"/>
      <c r="F189" s="613"/>
      <c r="G189" s="613"/>
      <c r="H189" s="613"/>
      <c r="I189" s="613"/>
      <c r="J189" s="613"/>
      <c r="K189" s="613"/>
      <c r="L189" s="613"/>
      <c r="M189" s="613"/>
      <c r="N189" s="613"/>
      <c r="O189" s="613"/>
      <c r="P189" s="613"/>
      <c r="Q189" s="613"/>
      <c r="R189" s="613"/>
      <c r="S189" s="613"/>
      <c r="T189" s="613"/>
      <c r="U189" s="613"/>
      <c r="V189" s="613"/>
      <c r="W189" s="613"/>
      <c r="X189" s="613"/>
      <c r="Y189" s="613"/>
      <c r="Z189" s="613"/>
    </row>
    <row r="190" ht="15.75" customHeight="1">
      <c r="A190" s="613"/>
      <c r="B190" s="613"/>
      <c r="C190" s="613"/>
      <c r="D190" s="613"/>
      <c r="E190" s="613"/>
      <c r="F190" s="613"/>
      <c r="G190" s="613"/>
      <c r="H190" s="613"/>
      <c r="I190" s="613"/>
      <c r="J190" s="613"/>
      <c r="K190" s="613"/>
      <c r="L190" s="613"/>
      <c r="M190" s="613"/>
      <c r="N190" s="613"/>
      <c r="O190" s="613"/>
      <c r="P190" s="613"/>
      <c r="Q190" s="613"/>
      <c r="R190" s="613"/>
      <c r="S190" s="613"/>
      <c r="T190" s="613"/>
      <c r="U190" s="613"/>
      <c r="V190" s="613"/>
      <c r="W190" s="613"/>
      <c r="X190" s="613"/>
      <c r="Y190" s="613"/>
      <c r="Z190" s="613"/>
    </row>
    <row r="191" ht="15.75" customHeight="1">
      <c r="A191" s="613"/>
      <c r="B191" s="613"/>
      <c r="C191" s="613"/>
      <c r="D191" s="613"/>
      <c r="E191" s="613"/>
      <c r="F191" s="613"/>
      <c r="G191" s="613"/>
      <c r="H191" s="613"/>
      <c r="I191" s="613"/>
      <c r="J191" s="613"/>
      <c r="K191" s="613"/>
      <c r="L191" s="613"/>
      <c r="M191" s="613"/>
      <c r="N191" s="613"/>
      <c r="O191" s="613"/>
      <c r="P191" s="613"/>
      <c r="Q191" s="613"/>
      <c r="R191" s="613"/>
      <c r="S191" s="613"/>
      <c r="T191" s="613"/>
      <c r="U191" s="613"/>
      <c r="V191" s="613"/>
      <c r="W191" s="613"/>
      <c r="X191" s="613"/>
      <c r="Y191" s="613"/>
      <c r="Z191" s="613"/>
    </row>
    <row r="192" ht="15.75" customHeight="1">
      <c r="A192" s="613"/>
      <c r="B192" s="613"/>
      <c r="C192" s="613"/>
      <c r="D192" s="613"/>
      <c r="E192" s="613"/>
      <c r="F192" s="613"/>
      <c r="G192" s="613"/>
      <c r="H192" s="613"/>
      <c r="I192" s="613"/>
      <c r="J192" s="613"/>
      <c r="K192" s="613"/>
      <c r="L192" s="613"/>
      <c r="M192" s="613"/>
      <c r="N192" s="613"/>
      <c r="O192" s="613"/>
      <c r="P192" s="613"/>
      <c r="Q192" s="613"/>
      <c r="R192" s="613"/>
      <c r="S192" s="613"/>
      <c r="T192" s="613"/>
      <c r="U192" s="613"/>
      <c r="V192" s="613"/>
      <c r="W192" s="613"/>
      <c r="X192" s="613"/>
      <c r="Y192" s="613"/>
      <c r="Z192" s="613"/>
    </row>
    <row r="193" ht="15.75" customHeight="1">
      <c r="A193" s="613"/>
      <c r="B193" s="613"/>
      <c r="C193" s="613"/>
      <c r="D193" s="613"/>
      <c r="E193" s="613"/>
      <c r="F193" s="613"/>
      <c r="G193" s="613"/>
      <c r="H193" s="613"/>
      <c r="I193" s="613"/>
      <c r="J193" s="613"/>
      <c r="K193" s="613"/>
      <c r="L193" s="613"/>
      <c r="M193" s="613"/>
      <c r="N193" s="613"/>
      <c r="O193" s="613"/>
      <c r="P193" s="613"/>
      <c r="Q193" s="613"/>
      <c r="R193" s="613"/>
      <c r="S193" s="613"/>
      <c r="T193" s="613"/>
      <c r="U193" s="613"/>
      <c r="V193" s="613"/>
      <c r="W193" s="613"/>
      <c r="X193" s="613"/>
      <c r="Y193" s="613"/>
      <c r="Z193" s="613"/>
    </row>
    <row r="194" ht="15.75" customHeight="1">
      <c r="A194" s="613"/>
      <c r="B194" s="613"/>
      <c r="C194" s="613"/>
      <c r="D194" s="613"/>
      <c r="E194" s="613"/>
      <c r="F194" s="613"/>
      <c r="G194" s="613"/>
      <c r="H194" s="613"/>
      <c r="I194" s="613"/>
      <c r="J194" s="613"/>
      <c r="K194" s="613"/>
      <c r="L194" s="613"/>
      <c r="M194" s="613"/>
      <c r="N194" s="613"/>
      <c r="O194" s="613"/>
      <c r="P194" s="613"/>
      <c r="Q194" s="613"/>
      <c r="R194" s="613"/>
      <c r="S194" s="613"/>
      <c r="T194" s="613"/>
      <c r="U194" s="613"/>
      <c r="V194" s="613"/>
      <c r="W194" s="613"/>
      <c r="X194" s="613"/>
      <c r="Y194" s="613"/>
      <c r="Z194" s="613"/>
    </row>
    <row r="195" ht="15.75" customHeight="1">
      <c r="A195" s="613"/>
      <c r="B195" s="613"/>
      <c r="C195" s="613"/>
      <c r="D195" s="613"/>
      <c r="E195" s="613"/>
      <c r="F195" s="613"/>
      <c r="G195" s="613"/>
      <c r="H195" s="613"/>
      <c r="I195" s="613"/>
      <c r="J195" s="613"/>
      <c r="K195" s="613"/>
      <c r="L195" s="613"/>
      <c r="M195" s="613"/>
      <c r="N195" s="613"/>
      <c r="O195" s="613"/>
      <c r="P195" s="613"/>
      <c r="Q195" s="613"/>
      <c r="R195" s="613"/>
      <c r="S195" s="613"/>
      <c r="T195" s="613"/>
      <c r="U195" s="613"/>
      <c r="V195" s="613"/>
      <c r="W195" s="613"/>
      <c r="X195" s="613"/>
      <c r="Y195" s="613"/>
      <c r="Z195" s="613"/>
    </row>
    <row r="196" ht="15.75" customHeight="1">
      <c r="A196" s="613"/>
      <c r="B196" s="613"/>
      <c r="C196" s="613"/>
      <c r="D196" s="613"/>
      <c r="E196" s="613"/>
      <c r="F196" s="613"/>
      <c r="G196" s="613"/>
      <c r="H196" s="613"/>
      <c r="I196" s="613"/>
      <c r="J196" s="613"/>
      <c r="K196" s="613"/>
      <c r="L196" s="613"/>
      <c r="M196" s="613"/>
      <c r="N196" s="613"/>
      <c r="O196" s="613"/>
      <c r="P196" s="613"/>
      <c r="Q196" s="613"/>
      <c r="R196" s="613"/>
      <c r="S196" s="613"/>
      <c r="T196" s="613"/>
      <c r="U196" s="613"/>
      <c r="V196" s="613"/>
      <c r="W196" s="613"/>
      <c r="X196" s="613"/>
      <c r="Y196" s="613"/>
      <c r="Z196" s="613"/>
    </row>
    <row r="197" ht="15.75" customHeight="1">
      <c r="A197" s="613"/>
      <c r="B197" s="613"/>
      <c r="C197" s="613"/>
      <c r="D197" s="613"/>
      <c r="E197" s="613"/>
      <c r="F197" s="613"/>
      <c r="G197" s="613"/>
      <c r="H197" s="613"/>
      <c r="I197" s="613"/>
      <c r="J197" s="613"/>
      <c r="K197" s="613"/>
      <c r="L197" s="613"/>
      <c r="M197" s="613"/>
      <c r="N197" s="613"/>
      <c r="O197" s="613"/>
      <c r="P197" s="613"/>
      <c r="Q197" s="613"/>
      <c r="R197" s="613"/>
      <c r="S197" s="613"/>
      <c r="T197" s="613"/>
      <c r="U197" s="613"/>
      <c r="V197" s="613"/>
      <c r="W197" s="613"/>
      <c r="X197" s="613"/>
      <c r="Y197" s="613"/>
      <c r="Z197" s="613"/>
    </row>
    <row r="198" ht="15.75" customHeight="1">
      <c r="A198" s="613"/>
      <c r="B198" s="613"/>
      <c r="C198" s="613"/>
      <c r="D198" s="613"/>
      <c r="E198" s="613"/>
      <c r="F198" s="613"/>
      <c r="G198" s="613"/>
      <c r="H198" s="613"/>
      <c r="I198" s="613"/>
      <c r="J198" s="613"/>
      <c r="K198" s="613"/>
      <c r="L198" s="613"/>
      <c r="M198" s="613"/>
      <c r="N198" s="613"/>
      <c r="O198" s="613"/>
      <c r="P198" s="613"/>
      <c r="Q198" s="613"/>
      <c r="R198" s="613"/>
      <c r="S198" s="613"/>
      <c r="T198" s="613"/>
      <c r="U198" s="613"/>
      <c r="V198" s="613"/>
      <c r="W198" s="613"/>
      <c r="X198" s="613"/>
      <c r="Y198" s="613"/>
      <c r="Z198" s="613"/>
    </row>
    <row r="199" ht="15.75" customHeight="1">
      <c r="A199" s="613"/>
      <c r="B199" s="613"/>
      <c r="C199" s="613"/>
      <c r="D199" s="613"/>
      <c r="E199" s="613"/>
      <c r="F199" s="613"/>
      <c r="G199" s="613"/>
      <c r="H199" s="613"/>
      <c r="I199" s="613"/>
      <c r="J199" s="613"/>
      <c r="K199" s="613"/>
      <c r="L199" s="613"/>
      <c r="M199" s="613"/>
      <c r="N199" s="613"/>
      <c r="O199" s="613"/>
      <c r="P199" s="613"/>
      <c r="Q199" s="613"/>
      <c r="R199" s="613"/>
      <c r="S199" s="613"/>
      <c r="T199" s="613"/>
      <c r="U199" s="613"/>
      <c r="V199" s="613"/>
      <c r="W199" s="613"/>
      <c r="X199" s="613"/>
      <c r="Y199" s="613"/>
      <c r="Z199" s="613"/>
    </row>
    <row r="200" ht="15.75" customHeight="1">
      <c r="A200" s="613"/>
      <c r="B200" s="613"/>
      <c r="C200" s="613"/>
      <c r="D200" s="613"/>
      <c r="E200" s="613"/>
      <c r="F200" s="613"/>
      <c r="G200" s="613"/>
      <c r="H200" s="613"/>
      <c r="I200" s="613"/>
      <c r="J200" s="613"/>
      <c r="K200" s="613"/>
      <c r="L200" s="613"/>
      <c r="M200" s="613"/>
      <c r="N200" s="613"/>
      <c r="O200" s="613"/>
      <c r="P200" s="613"/>
      <c r="Q200" s="613"/>
      <c r="R200" s="613"/>
      <c r="S200" s="613"/>
      <c r="T200" s="613"/>
      <c r="U200" s="613"/>
      <c r="V200" s="613"/>
      <c r="W200" s="613"/>
      <c r="X200" s="613"/>
      <c r="Y200" s="613"/>
      <c r="Z200" s="613"/>
    </row>
    <row r="201" ht="15.75" customHeight="1">
      <c r="A201" s="613"/>
      <c r="B201" s="613"/>
      <c r="C201" s="613"/>
      <c r="D201" s="613"/>
      <c r="E201" s="613"/>
      <c r="F201" s="613"/>
      <c r="G201" s="613"/>
      <c r="H201" s="613"/>
      <c r="I201" s="613"/>
      <c r="J201" s="613"/>
      <c r="K201" s="613"/>
      <c r="L201" s="613"/>
      <c r="M201" s="613"/>
      <c r="N201" s="613"/>
      <c r="O201" s="613"/>
      <c r="P201" s="613"/>
      <c r="Q201" s="613"/>
      <c r="R201" s="613"/>
      <c r="S201" s="613"/>
      <c r="T201" s="613"/>
      <c r="U201" s="613"/>
      <c r="V201" s="613"/>
      <c r="W201" s="613"/>
      <c r="X201" s="613"/>
      <c r="Y201" s="613"/>
      <c r="Z201" s="613"/>
    </row>
    <row r="202" ht="15.75" customHeight="1">
      <c r="A202" s="613"/>
      <c r="B202" s="613"/>
      <c r="C202" s="613"/>
      <c r="D202" s="613"/>
      <c r="E202" s="613"/>
      <c r="F202" s="613"/>
      <c r="G202" s="613"/>
      <c r="H202" s="613"/>
      <c r="I202" s="613"/>
      <c r="J202" s="613"/>
      <c r="K202" s="613"/>
      <c r="L202" s="613"/>
      <c r="M202" s="613"/>
      <c r="N202" s="613"/>
      <c r="O202" s="613"/>
      <c r="P202" s="613"/>
      <c r="Q202" s="613"/>
      <c r="R202" s="613"/>
      <c r="S202" s="613"/>
      <c r="T202" s="613"/>
      <c r="U202" s="613"/>
      <c r="V202" s="613"/>
      <c r="W202" s="613"/>
      <c r="X202" s="613"/>
      <c r="Y202" s="613"/>
      <c r="Z202" s="613"/>
    </row>
    <row r="203" ht="15.75" customHeight="1">
      <c r="A203" s="613"/>
      <c r="B203" s="613"/>
      <c r="C203" s="613"/>
      <c r="D203" s="613"/>
      <c r="E203" s="613"/>
      <c r="F203" s="613"/>
      <c r="G203" s="613"/>
      <c r="H203" s="613"/>
      <c r="I203" s="613"/>
      <c r="J203" s="613"/>
      <c r="K203" s="613"/>
      <c r="L203" s="613"/>
      <c r="M203" s="613"/>
      <c r="N203" s="613"/>
      <c r="O203" s="613"/>
      <c r="P203" s="613"/>
      <c r="Q203" s="613"/>
      <c r="R203" s="613"/>
      <c r="S203" s="613"/>
      <c r="T203" s="613"/>
      <c r="U203" s="613"/>
      <c r="V203" s="613"/>
      <c r="W203" s="613"/>
      <c r="X203" s="613"/>
      <c r="Y203" s="613"/>
      <c r="Z203" s="613"/>
    </row>
    <row r="204" ht="15.75" customHeight="1">
      <c r="A204" s="613"/>
      <c r="B204" s="613"/>
      <c r="C204" s="613"/>
      <c r="D204" s="613"/>
      <c r="E204" s="613"/>
      <c r="F204" s="613"/>
      <c r="G204" s="613"/>
      <c r="H204" s="613"/>
      <c r="I204" s="613"/>
      <c r="J204" s="613"/>
      <c r="K204" s="613"/>
      <c r="L204" s="613"/>
      <c r="M204" s="613"/>
      <c r="N204" s="613"/>
      <c r="O204" s="613"/>
      <c r="P204" s="613"/>
      <c r="Q204" s="613"/>
      <c r="R204" s="613"/>
      <c r="S204" s="613"/>
      <c r="T204" s="613"/>
      <c r="U204" s="613"/>
      <c r="V204" s="613"/>
      <c r="W204" s="613"/>
      <c r="X204" s="613"/>
      <c r="Y204" s="613"/>
      <c r="Z204" s="613"/>
    </row>
    <row r="205" ht="15.75" customHeight="1">
      <c r="A205" s="613"/>
      <c r="B205" s="613"/>
      <c r="C205" s="613"/>
      <c r="D205" s="613"/>
      <c r="E205" s="613"/>
      <c r="F205" s="613"/>
      <c r="G205" s="613"/>
      <c r="H205" s="613"/>
      <c r="I205" s="613"/>
      <c r="J205" s="613"/>
      <c r="K205" s="613"/>
      <c r="L205" s="613"/>
      <c r="M205" s="613"/>
      <c r="N205" s="613"/>
      <c r="O205" s="613"/>
      <c r="P205" s="613"/>
      <c r="Q205" s="613"/>
      <c r="R205" s="613"/>
      <c r="S205" s="613"/>
      <c r="T205" s="613"/>
      <c r="U205" s="613"/>
      <c r="V205" s="613"/>
      <c r="W205" s="613"/>
      <c r="X205" s="613"/>
      <c r="Y205" s="613"/>
      <c r="Z205" s="613"/>
    </row>
    <row r="206" ht="15.75" customHeight="1">
      <c r="A206" s="613"/>
      <c r="B206" s="613"/>
      <c r="C206" s="613"/>
      <c r="D206" s="613"/>
      <c r="E206" s="613"/>
      <c r="F206" s="613"/>
      <c r="G206" s="613"/>
      <c r="H206" s="613"/>
      <c r="I206" s="613"/>
      <c r="J206" s="613"/>
      <c r="K206" s="613"/>
      <c r="L206" s="613"/>
      <c r="M206" s="613"/>
      <c r="N206" s="613"/>
      <c r="O206" s="613"/>
      <c r="P206" s="613"/>
      <c r="Q206" s="613"/>
      <c r="R206" s="613"/>
      <c r="S206" s="613"/>
      <c r="T206" s="613"/>
      <c r="U206" s="613"/>
      <c r="V206" s="613"/>
      <c r="W206" s="613"/>
      <c r="X206" s="613"/>
      <c r="Y206" s="613"/>
      <c r="Z206" s="613"/>
    </row>
    <row r="207" ht="15.75" customHeight="1">
      <c r="A207" s="613"/>
      <c r="B207" s="613"/>
      <c r="C207" s="613"/>
      <c r="D207" s="613"/>
      <c r="E207" s="613"/>
      <c r="F207" s="613"/>
      <c r="G207" s="613"/>
      <c r="H207" s="613"/>
      <c r="I207" s="613"/>
      <c r="J207" s="613"/>
      <c r="K207" s="613"/>
      <c r="L207" s="613"/>
      <c r="M207" s="613"/>
      <c r="N207" s="613"/>
      <c r="O207" s="613"/>
      <c r="P207" s="613"/>
      <c r="Q207" s="613"/>
      <c r="R207" s="613"/>
      <c r="S207" s="613"/>
      <c r="T207" s="613"/>
      <c r="U207" s="613"/>
      <c r="V207" s="613"/>
      <c r="W207" s="613"/>
      <c r="X207" s="613"/>
      <c r="Y207" s="613"/>
      <c r="Z207" s="613"/>
    </row>
    <row r="208" ht="15.75" customHeight="1">
      <c r="A208" s="613"/>
      <c r="B208" s="613"/>
      <c r="C208" s="613"/>
      <c r="D208" s="613"/>
      <c r="E208" s="613"/>
      <c r="F208" s="613"/>
      <c r="G208" s="613"/>
      <c r="H208" s="613"/>
      <c r="I208" s="613"/>
      <c r="J208" s="613"/>
      <c r="K208" s="613"/>
      <c r="L208" s="613"/>
      <c r="M208" s="613"/>
      <c r="N208" s="613"/>
      <c r="O208" s="613"/>
      <c r="P208" s="613"/>
      <c r="Q208" s="613"/>
      <c r="R208" s="613"/>
      <c r="S208" s="613"/>
      <c r="T208" s="613"/>
      <c r="U208" s="613"/>
      <c r="V208" s="613"/>
      <c r="W208" s="613"/>
      <c r="X208" s="613"/>
      <c r="Y208" s="613"/>
      <c r="Z208" s="613"/>
    </row>
    <row r="209" ht="15.75" customHeight="1">
      <c r="A209" s="613"/>
      <c r="B209" s="613"/>
      <c r="C209" s="613"/>
      <c r="D209" s="613"/>
      <c r="E209" s="613"/>
      <c r="F209" s="613"/>
      <c r="G209" s="613"/>
      <c r="H209" s="613"/>
      <c r="I209" s="613"/>
      <c r="J209" s="613"/>
      <c r="K209" s="613"/>
      <c r="L209" s="613"/>
      <c r="M209" s="613"/>
      <c r="N209" s="613"/>
      <c r="O209" s="613"/>
      <c r="P209" s="613"/>
      <c r="Q209" s="613"/>
      <c r="R209" s="613"/>
      <c r="S209" s="613"/>
      <c r="T209" s="613"/>
      <c r="U209" s="613"/>
      <c r="V209" s="613"/>
      <c r="W209" s="613"/>
      <c r="X209" s="613"/>
      <c r="Y209" s="613"/>
      <c r="Z209" s="613"/>
    </row>
    <row r="210" ht="15.75" customHeight="1">
      <c r="A210" s="613"/>
      <c r="B210" s="613"/>
      <c r="C210" s="613"/>
      <c r="D210" s="613"/>
      <c r="E210" s="613"/>
      <c r="F210" s="613"/>
      <c r="G210" s="613"/>
      <c r="H210" s="613"/>
      <c r="I210" s="613"/>
      <c r="J210" s="613"/>
      <c r="K210" s="613"/>
      <c r="L210" s="613"/>
      <c r="M210" s="613"/>
      <c r="N210" s="613"/>
      <c r="O210" s="613"/>
      <c r="P210" s="613"/>
      <c r="Q210" s="613"/>
      <c r="R210" s="613"/>
      <c r="S210" s="613"/>
      <c r="T210" s="613"/>
      <c r="U210" s="613"/>
      <c r="V210" s="613"/>
      <c r="W210" s="613"/>
      <c r="X210" s="613"/>
      <c r="Y210" s="613"/>
      <c r="Z210" s="613"/>
    </row>
    <row r="211" ht="15.75" customHeight="1">
      <c r="A211" s="613"/>
      <c r="B211" s="613"/>
      <c r="C211" s="613"/>
      <c r="D211" s="613"/>
      <c r="E211" s="613"/>
      <c r="F211" s="613"/>
      <c r="G211" s="613"/>
      <c r="H211" s="613"/>
      <c r="I211" s="613"/>
      <c r="J211" s="613"/>
      <c r="K211" s="613"/>
      <c r="L211" s="613"/>
      <c r="M211" s="613"/>
      <c r="N211" s="613"/>
      <c r="O211" s="613"/>
      <c r="P211" s="613"/>
      <c r="Q211" s="613"/>
      <c r="R211" s="613"/>
      <c r="S211" s="613"/>
      <c r="T211" s="613"/>
      <c r="U211" s="613"/>
      <c r="V211" s="613"/>
      <c r="W211" s="613"/>
      <c r="X211" s="613"/>
      <c r="Y211" s="613"/>
      <c r="Z211" s="613"/>
    </row>
    <row r="212" ht="15.75" customHeight="1">
      <c r="A212" s="613"/>
      <c r="B212" s="613"/>
      <c r="C212" s="613"/>
      <c r="D212" s="613"/>
      <c r="E212" s="613"/>
      <c r="F212" s="613"/>
      <c r="G212" s="613"/>
      <c r="H212" s="613"/>
      <c r="I212" s="613"/>
      <c r="J212" s="613"/>
      <c r="K212" s="613"/>
      <c r="L212" s="613"/>
      <c r="M212" s="613"/>
      <c r="N212" s="613"/>
      <c r="O212" s="613"/>
      <c r="P212" s="613"/>
      <c r="Q212" s="613"/>
      <c r="R212" s="613"/>
      <c r="S212" s="613"/>
      <c r="T212" s="613"/>
      <c r="U212" s="613"/>
      <c r="V212" s="613"/>
      <c r="W212" s="613"/>
      <c r="X212" s="613"/>
      <c r="Y212" s="613"/>
      <c r="Z212" s="613"/>
    </row>
    <row r="213" ht="15.75" customHeight="1">
      <c r="A213" s="613"/>
      <c r="B213" s="613"/>
      <c r="C213" s="613"/>
      <c r="D213" s="613"/>
      <c r="E213" s="613"/>
      <c r="F213" s="613"/>
      <c r="G213" s="613"/>
      <c r="H213" s="613"/>
      <c r="I213" s="613"/>
      <c r="J213" s="613"/>
      <c r="K213" s="613"/>
      <c r="L213" s="613"/>
      <c r="M213" s="613"/>
      <c r="N213" s="613"/>
      <c r="O213" s="613"/>
      <c r="P213" s="613"/>
      <c r="Q213" s="613"/>
      <c r="R213" s="613"/>
      <c r="S213" s="613"/>
      <c r="T213" s="613"/>
      <c r="U213" s="613"/>
      <c r="V213" s="613"/>
      <c r="W213" s="613"/>
      <c r="X213" s="613"/>
      <c r="Y213" s="613"/>
      <c r="Z213" s="613"/>
    </row>
    <row r="214" ht="15.75" customHeight="1">
      <c r="A214" s="613"/>
      <c r="B214" s="613"/>
      <c r="C214" s="613"/>
      <c r="D214" s="613"/>
      <c r="E214" s="613"/>
      <c r="F214" s="613"/>
      <c r="G214" s="613"/>
      <c r="H214" s="613"/>
      <c r="I214" s="613"/>
      <c r="J214" s="613"/>
      <c r="K214" s="613"/>
      <c r="L214" s="613"/>
      <c r="M214" s="613"/>
      <c r="N214" s="613"/>
      <c r="O214" s="613"/>
      <c r="P214" s="613"/>
      <c r="Q214" s="613"/>
      <c r="R214" s="613"/>
      <c r="S214" s="613"/>
      <c r="T214" s="613"/>
      <c r="U214" s="613"/>
      <c r="V214" s="613"/>
      <c r="W214" s="613"/>
      <c r="X214" s="613"/>
      <c r="Y214" s="613"/>
      <c r="Z214" s="613"/>
    </row>
    <row r="215" ht="15.75" customHeight="1">
      <c r="A215" s="613"/>
      <c r="B215" s="613"/>
      <c r="C215" s="613"/>
      <c r="D215" s="613"/>
      <c r="E215" s="613"/>
      <c r="F215" s="613"/>
      <c r="G215" s="613"/>
      <c r="H215" s="613"/>
      <c r="I215" s="613"/>
      <c r="J215" s="613"/>
      <c r="K215" s="613"/>
      <c r="L215" s="613"/>
      <c r="M215" s="613"/>
      <c r="N215" s="613"/>
      <c r="O215" s="613"/>
      <c r="P215" s="613"/>
      <c r="Q215" s="613"/>
      <c r="R215" s="613"/>
      <c r="S215" s="613"/>
      <c r="T215" s="613"/>
      <c r="U215" s="613"/>
      <c r="V215" s="613"/>
      <c r="W215" s="613"/>
      <c r="X215" s="613"/>
      <c r="Y215" s="613"/>
      <c r="Z215" s="613"/>
    </row>
    <row r="216" ht="15.75" customHeight="1">
      <c r="A216" s="613"/>
      <c r="B216" s="613"/>
      <c r="C216" s="613"/>
      <c r="D216" s="613"/>
      <c r="E216" s="613"/>
      <c r="F216" s="613"/>
      <c r="G216" s="613"/>
      <c r="H216" s="613"/>
      <c r="I216" s="613"/>
      <c r="J216" s="613"/>
      <c r="K216" s="613"/>
      <c r="L216" s="613"/>
      <c r="M216" s="613"/>
      <c r="N216" s="613"/>
      <c r="O216" s="613"/>
      <c r="P216" s="613"/>
      <c r="Q216" s="613"/>
      <c r="R216" s="613"/>
      <c r="S216" s="613"/>
      <c r="T216" s="613"/>
      <c r="U216" s="613"/>
      <c r="V216" s="613"/>
      <c r="W216" s="613"/>
      <c r="X216" s="613"/>
      <c r="Y216" s="613"/>
      <c r="Z216" s="613"/>
    </row>
    <row r="217" ht="15.75" customHeight="1">
      <c r="A217" s="613"/>
      <c r="B217" s="613"/>
      <c r="C217" s="613"/>
      <c r="D217" s="613"/>
      <c r="E217" s="613"/>
      <c r="F217" s="613"/>
      <c r="G217" s="613"/>
      <c r="H217" s="613"/>
      <c r="I217" s="613"/>
      <c r="J217" s="613"/>
      <c r="K217" s="613"/>
      <c r="L217" s="613"/>
      <c r="M217" s="613"/>
      <c r="N217" s="613"/>
      <c r="O217" s="613"/>
      <c r="P217" s="613"/>
      <c r="Q217" s="613"/>
      <c r="R217" s="613"/>
      <c r="S217" s="613"/>
      <c r="T217" s="613"/>
      <c r="U217" s="613"/>
      <c r="V217" s="613"/>
      <c r="W217" s="613"/>
      <c r="X217" s="613"/>
      <c r="Y217" s="613"/>
      <c r="Z217" s="613"/>
    </row>
    <row r="218" ht="15.75" customHeight="1">
      <c r="A218" s="613"/>
      <c r="B218" s="613"/>
      <c r="C218" s="613"/>
      <c r="D218" s="613"/>
      <c r="E218" s="613"/>
      <c r="F218" s="613"/>
      <c r="G218" s="613"/>
      <c r="H218" s="613"/>
      <c r="I218" s="613"/>
      <c r="J218" s="613"/>
      <c r="K218" s="613"/>
      <c r="L218" s="613"/>
      <c r="M218" s="613"/>
      <c r="N218" s="613"/>
      <c r="O218" s="613"/>
      <c r="P218" s="613"/>
      <c r="Q218" s="613"/>
      <c r="R218" s="613"/>
      <c r="S218" s="613"/>
      <c r="T218" s="613"/>
      <c r="U218" s="613"/>
      <c r="V218" s="613"/>
      <c r="W218" s="613"/>
      <c r="X218" s="613"/>
      <c r="Y218" s="613"/>
      <c r="Z218" s="613"/>
    </row>
    <row r="219" ht="15.75" customHeight="1">
      <c r="A219" s="613"/>
      <c r="B219" s="613"/>
      <c r="C219" s="613"/>
      <c r="D219" s="613"/>
      <c r="E219" s="613"/>
      <c r="F219" s="613"/>
      <c r="G219" s="613"/>
      <c r="H219" s="613"/>
      <c r="I219" s="613"/>
      <c r="J219" s="613"/>
      <c r="K219" s="613"/>
      <c r="L219" s="613"/>
      <c r="M219" s="613"/>
      <c r="N219" s="613"/>
      <c r="O219" s="613"/>
      <c r="P219" s="613"/>
      <c r="Q219" s="613"/>
      <c r="R219" s="613"/>
      <c r="S219" s="613"/>
      <c r="T219" s="613"/>
      <c r="U219" s="613"/>
      <c r="V219" s="613"/>
      <c r="W219" s="613"/>
      <c r="X219" s="613"/>
      <c r="Y219" s="613"/>
      <c r="Z219" s="613"/>
    </row>
    <row r="220" ht="15.75" customHeight="1">
      <c r="A220" s="613"/>
      <c r="B220" s="613"/>
      <c r="C220" s="613"/>
      <c r="D220" s="613"/>
      <c r="E220" s="613"/>
      <c r="F220" s="613"/>
      <c r="G220" s="613"/>
      <c r="H220" s="613"/>
      <c r="I220" s="613"/>
      <c r="J220" s="613"/>
      <c r="K220" s="613"/>
      <c r="L220" s="613"/>
      <c r="M220" s="613"/>
      <c r="N220" s="613"/>
      <c r="O220" s="613"/>
      <c r="P220" s="613"/>
      <c r="Q220" s="613"/>
      <c r="R220" s="613"/>
      <c r="S220" s="613"/>
      <c r="T220" s="613"/>
      <c r="U220" s="613"/>
      <c r="V220" s="613"/>
      <c r="W220" s="613"/>
      <c r="X220" s="613"/>
      <c r="Y220" s="613"/>
      <c r="Z220" s="613"/>
    </row>
    <row r="221" ht="15.75" customHeight="1">
      <c r="A221" s="613"/>
      <c r="B221" s="613"/>
      <c r="C221" s="613"/>
      <c r="D221" s="613"/>
      <c r="E221" s="613"/>
      <c r="F221" s="613"/>
      <c r="G221" s="613"/>
      <c r="H221" s="613"/>
      <c r="I221" s="613"/>
      <c r="J221" s="613"/>
      <c r="K221" s="613"/>
      <c r="L221" s="613"/>
      <c r="M221" s="613"/>
      <c r="N221" s="613"/>
      <c r="O221" s="613"/>
      <c r="P221" s="613"/>
      <c r="Q221" s="613"/>
      <c r="R221" s="613"/>
      <c r="S221" s="613"/>
      <c r="T221" s="613"/>
      <c r="U221" s="613"/>
      <c r="V221" s="613"/>
      <c r="W221" s="613"/>
      <c r="X221" s="613"/>
      <c r="Y221" s="613"/>
      <c r="Z221" s="613"/>
    </row>
    <row r="222" ht="15.75" customHeight="1">
      <c r="A222" s="613"/>
      <c r="B222" s="613"/>
      <c r="C222" s="613"/>
      <c r="D222" s="613"/>
      <c r="E222" s="613"/>
      <c r="F222" s="613"/>
      <c r="G222" s="613"/>
      <c r="H222" s="613"/>
      <c r="I222" s="613"/>
      <c r="J222" s="613"/>
      <c r="K222" s="613"/>
      <c r="L222" s="613"/>
      <c r="M222" s="613"/>
      <c r="N222" s="613"/>
      <c r="O222" s="613"/>
      <c r="P222" s="613"/>
      <c r="Q222" s="613"/>
      <c r="R222" s="613"/>
      <c r="S222" s="613"/>
      <c r="T222" s="613"/>
      <c r="U222" s="613"/>
      <c r="V222" s="613"/>
      <c r="W222" s="613"/>
      <c r="X222" s="613"/>
      <c r="Y222" s="613"/>
      <c r="Z222" s="613"/>
    </row>
    <row r="223" ht="15.75" customHeight="1">
      <c r="A223" s="613"/>
      <c r="B223" s="613"/>
      <c r="C223" s="613"/>
      <c r="D223" s="613"/>
      <c r="E223" s="613"/>
      <c r="F223" s="613"/>
      <c r="G223" s="613"/>
      <c r="H223" s="613"/>
      <c r="I223" s="613"/>
      <c r="J223" s="613"/>
      <c r="K223" s="613"/>
      <c r="L223" s="613"/>
      <c r="M223" s="613"/>
      <c r="N223" s="613"/>
      <c r="O223" s="613"/>
      <c r="P223" s="613"/>
      <c r="Q223" s="613"/>
      <c r="R223" s="613"/>
      <c r="S223" s="613"/>
      <c r="T223" s="613"/>
      <c r="U223" s="613"/>
      <c r="V223" s="613"/>
      <c r="W223" s="613"/>
      <c r="X223" s="613"/>
      <c r="Y223" s="613"/>
      <c r="Z223" s="613"/>
    </row>
    <row r="224" ht="15.75" customHeight="1">
      <c r="A224" s="613"/>
      <c r="B224" s="613"/>
      <c r="C224" s="613"/>
      <c r="D224" s="613"/>
      <c r="E224" s="613"/>
      <c r="F224" s="613"/>
      <c r="G224" s="613"/>
      <c r="H224" s="613"/>
      <c r="I224" s="613"/>
      <c r="J224" s="613"/>
      <c r="K224" s="613"/>
      <c r="L224" s="613"/>
      <c r="M224" s="613"/>
      <c r="N224" s="613"/>
      <c r="O224" s="613"/>
      <c r="P224" s="613"/>
      <c r="Q224" s="613"/>
      <c r="R224" s="613"/>
      <c r="S224" s="613"/>
      <c r="T224" s="613"/>
      <c r="U224" s="613"/>
      <c r="V224" s="613"/>
      <c r="W224" s="613"/>
      <c r="X224" s="613"/>
      <c r="Y224" s="613"/>
      <c r="Z224" s="613"/>
    </row>
    <row r="225" ht="15.75" customHeight="1">
      <c r="A225" s="613"/>
      <c r="B225" s="613"/>
      <c r="C225" s="613"/>
      <c r="D225" s="613"/>
      <c r="E225" s="613"/>
      <c r="F225" s="613"/>
      <c r="G225" s="613"/>
      <c r="H225" s="613"/>
      <c r="I225" s="613"/>
      <c r="J225" s="613"/>
      <c r="K225" s="613"/>
      <c r="L225" s="613"/>
      <c r="M225" s="613"/>
      <c r="N225" s="613"/>
      <c r="O225" s="613"/>
      <c r="P225" s="613"/>
      <c r="Q225" s="613"/>
      <c r="R225" s="613"/>
      <c r="S225" s="613"/>
      <c r="T225" s="613"/>
      <c r="U225" s="613"/>
      <c r="V225" s="613"/>
      <c r="W225" s="613"/>
      <c r="X225" s="613"/>
      <c r="Y225" s="613"/>
      <c r="Z225" s="613"/>
    </row>
    <row r="226" ht="15.75" customHeight="1">
      <c r="A226" s="613"/>
      <c r="B226" s="613"/>
      <c r="C226" s="613"/>
      <c r="D226" s="613"/>
      <c r="E226" s="613"/>
      <c r="F226" s="613"/>
      <c r="G226" s="613"/>
      <c r="H226" s="613"/>
      <c r="I226" s="613"/>
      <c r="J226" s="613"/>
      <c r="K226" s="613"/>
      <c r="L226" s="613"/>
      <c r="M226" s="613"/>
      <c r="N226" s="613"/>
      <c r="O226" s="613"/>
      <c r="P226" s="613"/>
      <c r="Q226" s="613"/>
      <c r="R226" s="613"/>
      <c r="S226" s="613"/>
      <c r="T226" s="613"/>
      <c r="U226" s="613"/>
      <c r="V226" s="613"/>
      <c r="W226" s="613"/>
      <c r="X226" s="613"/>
      <c r="Y226" s="613"/>
      <c r="Z226" s="613"/>
    </row>
    <row r="227" ht="15.75" customHeight="1">
      <c r="A227" s="613"/>
      <c r="B227" s="613"/>
      <c r="C227" s="613"/>
      <c r="D227" s="613"/>
      <c r="E227" s="613"/>
      <c r="F227" s="613"/>
      <c r="G227" s="613"/>
      <c r="H227" s="613"/>
      <c r="I227" s="613"/>
      <c r="J227" s="613"/>
      <c r="K227" s="613"/>
      <c r="L227" s="613"/>
      <c r="M227" s="613"/>
      <c r="N227" s="613"/>
      <c r="O227" s="613"/>
      <c r="P227" s="613"/>
      <c r="Q227" s="613"/>
      <c r="R227" s="613"/>
      <c r="S227" s="613"/>
      <c r="T227" s="613"/>
      <c r="U227" s="613"/>
      <c r="V227" s="613"/>
      <c r="W227" s="613"/>
      <c r="X227" s="613"/>
      <c r="Y227" s="613"/>
      <c r="Z227" s="613"/>
    </row>
    <row r="228" ht="15.75" customHeight="1">
      <c r="A228" s="613"/>
      <c r="B228" s="613"/>
      <c r="C228" s="613"/>
      <c r="D228" s="613"/>
      <c r="E228" s="613"/>
      <c r="F228" s="613"/>
      <c r="G228" s="613"/>
      <c r="H228" s="613"/>
      <c r="I228" s="613"/>
      <c r="J228" s="613"/>
      <c r="K228" s="613"/>
      <c r="L228" s="613"/>
      <c r="M228" s="613"/>
      <c r="N228" s="613"/>
      <c r="O228" s="613"/>
      <c r="P228" s="613"/>
      <c r="Q228" s="613"/>
      <c r="R228" s="613"/>
      <c r="S228" s="613"/>
      <c r="T228" s="613"/>
      <c r="U228" s="613"/>
      <c r="V228" s="613"/>
      <c r="W228" s="613"/>
      <c r="X228" s="613"/>
      <c r="Y228" s="613"/>
      <c r="Z228" s="613"/>
    </row>
    <row r="229" ht="15.75" customHeight="1">
      <c r="A229" s="613"/>
      <c r="B229" s="613"/>
      <c r="C229" s="613"/>
      <c r="D229" s="613"/>
      <c r="E229" s="613"/>
      <c r="F229" s="613"/>
      <c r="G229" s="613"/>
      <c r="H229" s="613"/>
      <c r="I229" s="613"/>
      <c r="J229" s="613"/>
      <c r="K229" s="613"/>
      <c r="L229" s="613"/>
      <c r="M229" s="613"/>
      <c r="N229" s="613"/>
      <c r="O229" s="613"/>
      <c r="P229" s="613"/>
      <c r="Q229" s="613"/>
      <c r="R229" s="613"/>
      <c r="S229" s="613"/>
      <c r="T229" s="613"/>
      <c r="U229" s="613"/>
      <c r="V229" s="613"/>
      <c r="W229" s="613"/>
      <c r="X229" s="613"/>
      <c r="Y229" s="613"/>
      <c r="Z229" s="613"/>
    </row>
    <row r="230" ht="15.75" customHeight="1">
      <c r="A230" s="613"/>
      <c r="B230" s="613"/>
      <c r="C230" s="613"/>
      <c r="D230" s="613"/>
      <c r="E230" s="613"/>
      <c r="F230" s="613"/>
      <c r="G230" s="613"/>
      <c r="H230" s="613"/>
      <c r="I230" s="613"/>
      <c r="J230" s="613"/>
      <c r="K230" s="613"/>
      <c r="L230" s="613"/>
      <c r="M230" s="613"/>
      <c r="N230" s="613"/>
      <c r="O230" s="613"/>
      <c r="P230" s="613"/>
      <c r="Q230" s="613"/>
      <c r="R230" s="613"/>
      <c r="S230" s="613"/>
      <c r="T230" s="613"/>
      <c r="U230" s="613"/>
      <c r="V230" s="613"/>
      <c r="W230" s="613"/>
      <c r="X230" s="613"/>
      <c r="Y230" s="613"/>
      <c r="Z230" s="613"/>
    </row>
    <row r="231" ht="15.75" customHeight="1">
      <c r="A231" s="613"/>
      <c r="B231" s="613"/>
      <c r="C231" s="613"/>
      <c r="D231" s="613"/>
      <c r="E231" s="613"/>
      <c r="F231" s="613"/>
      <c r="G231" s="613"/>
      <c r="H231" s="613"/>
      <c r="I231" s="613"/>
      <c r="J231" s="613"/>
      <c r="K231" s="613"/>
      <c r="L231" s="613"/>
      <c r="M231" s="613"/>
      <c r="N231" s="613"/>
      <c r="O231" s="613"/>
      <c r="P231" s="613"/>
      <c r="Q231" s="613"/>
      <c r="R231" s="613"/>
      <c r="S231" s="613"/>
      <c r="T231" s="613"/>
      <c r="U231" s="613"/>
      <c r="V231" s="613"/>
      <c r="W231" s="613"/>
      <c r="X231" s="613"/>
      <c r="Y231" s="613"/>
      <c r="Z231" s="613"/>
    </row>
    <row r="232" ht="15.75" customHeight="1">
      <c r="A232" s="613"/>
      <c r="B232" s="613"/>
      <c r="C232" s="613"/>
      <c r="D232" s="613"/>
      <c r="E232" s="613"/>
      <c r="F232" s="613"/>
      <c r="G232" s="613"/>
      <c r="H232" s="613"/>
      <c r="I232" s="613"/>
      <c r="J232" s="613"/>
      <c r="K232" s="613"/>
      <c r="L232" s="613"/>
      <c r="M232" s="613"/>
      <c r="N232" s="613"/>
      <c r="O232" s="613"/>
      <c r="P232" s="613"/>
      <c r="Q232" s="613"/>
      <c r="R232" s="613"/>
      <c r="S232" s="613"/>
      <c r="T232" s="613"/>
      <c r="U232" s="613"/>
      <c r="V232" s="613"/>
      <c r="W232" s="613"/>
      <c r="X232" s="613"/>
      <c r="Y232" s="613"/>
      <c r="Z232" s="613"/>
    </row>
    <row r="233" ht="15.75" customHeight="1">
      <c r="A233" s="613"/>
      <c r="B233" s="613"/>
      <c r="C233" s="613"/>
      <c r="D233" s="613"/>
      <c r="E233" s="613"/>
      <c r="F233" s="613"/>
      <c r="G233" s="613"/>
      <c r="H233" s="613"/>
      <c r="I233" s="613"/>
      <c r="J233" s="613"/>
      <c r="K233" s="613"/>
      <c r="L233" s="613"/>
      <c r="M233" s="613"/>
      <c r="N233" s="613"/>
      <c r="O233" s="613"/>
      <c r="P233" s="613"/>
      <c r="Q233" s="613"/>
      <c r="R233" s="613"/>
      <c r="S233" s="613"/>
      <c r="T233" s="613"/>
      <c r="U233" s="613"/>
      <c r="V233" s="613"/>
      <c r="W233" s="613"/>
      <c r="X233" s="613"/>
      <c r="Y233" s="613"/>
      <c r="Z233" s="613"/>
    </row>
    <row r="234" ht="15.75" customHeight="1">
      <c r="A234" s="613"/>
      <c r="B234" s="613"/>
      <c r="C234" s="613"/>
      <c r="D234" s="613"/>
      <c r="E234" s="613"/>
      <c r="F234" s="613"/>
      <c r="G234" s="613"/>
      <c r="H234" s="613"/>
      <c r="I234" s="613"/>
      <c r="J234" s="613"/>
      <c r="K234" s="613"/>
      <c r="L234" s="613"/>
      <c r="M234" s="613"/>
      <c r="N234" s="613"/>
      <c r="O234" s="613"/>
      <c r="P234" s="613"/>
      <c r="Q234" s="613"/>
      <c r="R234" s="613"/>
      <c r="S234" s="613"/>
      <c r="T234" s="613"/>
      <c r="U234" s="613"/>
      <c r="V234" s="613"/>
      <c r="W234" s="613"/>
      <c r="X234" s="613"/>
      <c r="Y234" s="613"/>
      <c r="Z234" s="613"/>
    </row>
    <row r="235" ht="15.75" customHeight="1">
      <c r="A235" s="613"/>
      <c r="B235" s="613"/>
      <c r="C235" s="613"/>
      <c r="D235" s="613"/>
      <c r="E235" s="613"/>
      <c r="F235" s="613"/>
      <c r="G235" s="613"/>
      <c r="H235" s="613"/>
      <c r="I235" s="613"/>
      <c r="J235" s="613"/>
      <c r="K235" s="613"/>
      <c r="L235" s="613"/>
      <c r="M235" s="613"/>
      <c r="N235" s="613"/>
      <c r="O235" s="613"/>
      <c r="P235" s="613"/>
      <c r="Q235" s="613"/>
      <c r="R235" s="613"/>
      <c r="S235" s="613"/>
      <c r="T235" s="613"/>
      <c r="U235" s="613"/>
      <c r="V235" s="613"/>
      <c r="W235" s="613"/>
      <c r="X235" s="613"/>
      <c r="Y235" s="613"/>
      <c r="Z235" s="613"/>
    </row>
    <row r="236" ht="15.75" customHeight="1">
      <c r="A236" s="613"/>
      <c r="B236" s="613"/>
      <c r="C236" s="613"/>
      <c r="D236" s="613"/>
      <c r="E236" s="613"/>
      <c r="F236" s="613"/>
      <c r="G236" s="613"/>
      <c r="H236" s="613"/>
      <c r="I236" s="613"/>
      <c r="J236" s="613"/>
      <c r="K236" s="613"/>
      <c r="L236" s="613"/>
      <c r="M236" s="613"/>
      <c r="N236" s="613"/>
      <c r="O236" s="613"/>
      <c r="P236" s="613"/>
      <c r="Q236" s="613"/>
      <c r="R236" s="613"/>
      <c r="S236" s="613"/>
      <c r="T236" s="613"/>
      <c r="U236" s="613"/>
      <c r="V236" s="613"/>
      <c r="W236" s="613"/>
      <c r="X236" s="613"/>
      <c r="Y236" s="613"/>
      <c r="Z236" s="613"/>
    </row>
    <row r="237" ht="15.75" customHeight="1">
      <c r="A237" s="613"/>
      <c r="B237" s="613"/>
      <c r="C237" s="613"/>
      <c r="D237" s="613"/>
      <c r="E237" s="613"/>
      <c r="F237" s="613"/>
      <c r="G237" s="613"/>
      <c r="H237" s="613"/>
      <c r="I237" s="613"/>
      <c r="J237" s="613"/>
      <c r="K237" s="613"/>
      <c r="L237" s="613"/>
      <c r="M237" s="613"/>
      <c r="N237" s="613"/>
      <c r="O237" s="613"/>
      <c r="P237" s="613"/>
      <c r="Q237" s="613"/>
      <c r="R237" s="613"/>
      <c r="S237" s="613"/>
      <c r="T237" s="613"/>
      <c r="U237" s="613"/>
      <c r="V237" s="613"/>
      <c r="W237" s="613"/>
      <c r="X237" s="613"/>
      <c r="Y237" s="613"/>
      <c r="Z237" s="613"/>
    </row>
    <row r="238" ht="15.75" customHeight="1">
      <c r="A238" s="613"/>
      <c r="B238" s="613"/>
      <c r="C238" s="613"/>
      <c r="D238" s="613"/>
      <c r="E238" s="613"/>
      <c r="F238" s="613"/>
      <c r="G238" s="613"/>
      <c r="H238" s="613"/>
      <c r="I238" s="613"/>
      <c r="J238" s="613"/>
      <c r="K238" s="613"/>
      <c r="L238" s="613"/>
      <c r="M238" s="613"/>
      <c r="N238" s="613"/>
      <c r="O238" s="613"/>
      <c r="P238" s="613"/>
      <c r="Q238" s="613"/>
      <c r="R238" s="613"/>
      <c r="S238" s="613"/>
      <c r="T238" s="613"/>
      <c r="U238" s="613"/>
      <c r="V238" s="613"/>
      <c r="W238" s="613"/>
      <c r="X238" s="613"/>
      <c r="Y238" s="613"/>
      <c r="Z238" s="613"/>
    </row>
    <row r="239" ht="15.75" customHeight="1">
      <c r="A239" s="613"/>
      <c r="B239" s="613"/>
      <c r="C239" s="613"/>
      <c r="D239" s="613"/>
      <c r="E239" s="613"/>
      <c r="F239" s="613"/>
      <c r="G239" s="613"/>
      <c r="H239" s="613"/>
      <c r="I239" s="613"/>
      <c r="J239" s="613"/>
      <c r="K239" s="613"/>
      <c r="L239" s="613"/>
      <c r="M239" s="613"/>
      <c r="N239" s="613"/>
      <c r="O239" s="613"/>
      <c r="P239" s="613"/>
      <c r="Q239" s="613"/>
      <c r="R239" s="613"/>
      <c r="S239" s="613"/>
      <c r="T239" s="613"/>
      <c r="U239" s="613"/>
      <c r="V239" s="613"/>
      <c r="W239" s="613"/>
      <c r="X239" s="613"/>
      <c r="Y239" s="613"/>
      <c r="Z239" s="613"/>
    </row>
    <row r="240" ht="15.75" customHeight="1">
      <c r="A240" s="613"/>
      <c r="B240" s="613"/>
      <c r="C240" s="613"/>
      <c r="D240" s="613"/>
      <c r="E240" s="613"/>
      <c r="F240" s="613"/>
      <c r="G240" s="613"/>
      <c r="H240" s="613"/>
      <c r="I240" s="613"/>
      <c r="J240" s="613"/>
      <c r="K240" s="613"/>
      <c r="L240" s="613"/>
      <c r="M240" s="613"/>
      <c r="N240" s="613"/>
      <c r="O240" s="613"/>
      <c r="P240" s="613"/>
      <c r="Q240" s="613"/>
      <c r="R240" s="613"/>
      <c r="S240" s="613"/>
      <c r="T240" s="613"/>
      <c r="U240" s="613"/>
      <c r="V240" s="613"/>
      <c r="W240" s="613"/>
      <c r="X240" s="613"/>
      <c r="Y240" s="613"/>
      <c r="Z240" s="613"/>
    </row>
    <row r="241" ht="15.75" customHeight="1">
      <c r="A241" s="613"/>
      <c r="B241" s="613"/>
      <c r="C241" s="613"/>
      <c r="D241" s="613"/>
      <c r="E241" s="613"/>
      <c r="F241" s="613"/>
      <c r="G241" s="613"/>
      <c r="H241" s="613"/>
      <c r="I241" s="613"/>
      <c r="J241" s="613"/>
      <c r="K241" s="613"/>
      <c r="L241" s="613"/>
      <c r="M241" s="613"/>
      <c r="N241" s="613"/>
      <c r="O241" s="613"/>
      <c r="P241" s="613"/>
      <c r="Q241" s="613"/>
      <c r="R241" s="613"/>
      <c r="S241" s="613"/>
      <c r="T241" s="613"/>
      <c r="U241" s="613"/>
      <c r="V241" s="613"/>
      <c r="W241" s="613"/>
      <c r="X241" s="613"/>
      <c r="Y241" s="613"/>
      <c r="Z241" s="613"/>
    </row>
    <row r="242" ht="15.75" customHeight="1">
      <c r="A242" s="613"/>
      <c r="B242" s="613"/>
      <c r="C242" s="613"/>
      <c r="D242" s="613"/>
      <c r="E242" s="613"/>
      <c r="F242" s="613"/>
      <c r="G242" s="613"/>
      <c r="H242" s="613"/>
      <c r="I242" s="613"/>
      <c r="J242" s="613"/>
      <c r="K242" s="613"/>
      <c r="L242" s="613"/>
      <c r="M242" s="613"/>
      <c r="N242" s="613"/>
      <c r="O242" s="613"/>
      <c r="P242" s="613"/>
      <c r="Q242" s="613"/>
      <c r="R242" s="613"/>
      <c r="S242" s="613"/>
      <c r="T242" s="613"/>
      <c r="U242" s="613"/>
      <c r="V242" s="613"/>
      <c r="W242" s="613"/>
      <c r="X242" s="613"/>
      <c r="Y242" s="613"/>
      <c r="Z242" s="613"/>
    </row>
    <row r="243" ht="15.75" customHeight="1">
      <c r="A243" s="613"/>
      <c r="B243" s="613"/>
      <c r="C243" s="613"/>
      <c r="D243" s="613"/>
      <c r="E243" s="613"/>
      <c r="F243" s="613"/>
      <c r="G243" s="613"/>
      <c r="H243" s="613"/>
      <c r="I243" s="613"/>
      <c r="J243" s="613"/>
      <c r="K243" s="613"/>
      <c r="L243" s="613"/>
      <c r="M243" s="613"/>
      <c r="N243" s="613"/>
      <c r="O243" s="613"/>
      <c r="P243" s="613"/>
      <c r="Q243" s="613"/>
      <c r="R243" s="613"/>
      <c r="S243" s="613"/>
      <c r="T243" s="613"/>
      <c r="U243" s="613"/>
      <c r="V243" s="613"/>
      <c r="W243" s="613"/>
      <c r="X243" s="613"/>
      <c r="Y243" s="613"/>
      <c r="Z243" s="613"/>
    </row>
    <row r="244" ht="15.75" customHeight="1">
      <c r="A244" s="613"/>
      <c r="B244" s="613"/>
      <c r="C244" s="613"/>
      <c r="D244" s="613"/>
      <c r="E244" s="613"/>
      <c r="F244" s="613"/>
      <c r="G244" s="613"/>
      <c r="H244" s="613"/>
      <c r="I244" s="613"/>
      <c r="J244" s="613"/>
      <c r="K244" s="613"/>
      <c r="L244" s="613"/>
      <c r="M244" s="613"/>
      <c r="N244" s="613"/>
      <c r="O244" s="613"/>
      <c r="P244" s="613"/>
      <c r="Q244" s="613"/>
      <c r="R244" s="613"/>
      <c r="S244" s="613"/>
      <c r="T244" s="613"/>
      <c r="U244" s="613"/>
      <c r="V244" s="613"/>
      <c r="W244" s="613"/>
      <c r="X244" s="613"/>
      <c r="Y244" s="613"/>
      <c r="Z244" s="613"/>
    </row>
    <row r="245" ht="15.75" customHeight="1">
      <c r="A245" s="613"/>
      <c r="B245" s="613"/>
      <c r="C245" s="613"/>
      <c r="D245" s="613"/>
      <c r="E245" s="613"/>
      <c r="F245" s="613"/>
      <c r="G245" s="613"/>
      <c r="H245" s="613"/>
      <c r="I245" s="613"/>
      <c r="J245" s="613"/>
      <c r="K245" s="613"/>
      <c r="L245" s="613"/>
      <c r="M245" s="613"/>
      <c r="N245" s="613"/>
      <c r="O245" s="613"/>
      <c r="P245" s="613"/>
      <c r="Q245" s="613"/>
      <c r="R245" s="613"/>
      <c r="S245" s="613"/>
      <c r="T245" s="613"/>
      <c r="U245" s="613"/>
      <c r="V245" s="613"/>
      <c r="W245" s="613"/>
      <c r="X245" s="613"/>
      <c r="Y245" s="613"/>
      <c r="Z245" s="613"/>
    </row>
    <row r="246" ht="15.75" customHeight="1">
      <c r="A246" s="613"/>
      <c r="B246" s="613"/>
      <c r="C246" s="613"/>
      <c r="D246" s="613"/>
      <c r="E246" s="613"/>
      <c r="F246" s="613"/>
      <c r="G246" s="613"/>
      <c r="H246" s="613"/>
      <c r="I246" s="613"/>
      <c r="J246" s="613"/>
      <c r="K246" s="613"/>
      <c r="L246" s="613"/>
      <c r="M246" s="613"/>
      <c r="N246" s="613"/>
      <c r="O246" s="613"/>
      <c r="P246" s="613"/>
      <c r="Q246" s="613"/>
      <c r="R246" s="613"/>
      <c r="S246" s="613"/>
      <c r="T246" s="613"/>
      <c r="U246" s="613"/>
      <c r="V246" s="613"/>
      <c r="W246" s="613"/>
      <c r="X246" s="613"/>
      <c r="Y246" s="613"/>
      <c r="Z246" s="613"/>
    </row>
    <row r="247" ht="15.75" customHeight="1">
      <c r="A247" s="613"/>
      <c r="B247" s="613"/>
      <c r="C247" s="613"/>
      <c r="D247" s="613"/>
      <c r="E247" s="613"/>
      <c r="F247" s="613"/>
      <c r="G247" s="613"/>
      <c r="H247" s="613"/>
      <c r="I247" s="613"/>
      <c r="J247" s="613"/>
      <c r="K247" s="613"/>
      <c r="L247" s="613"/>
      <c r="M247" s="613"/>
      <c r="N247" s="613"/>
      <c r="O247" s="613"/>
      <c r="P247" s="613"/>
      <c r="Q247" s="613"/>
      <c r="R247" s="613"/>
      <c r="S247" s="613"/>
      <c r="T247" s="613"/>
      <c r="U247" s="613"/>
      <c r="V247" s="613"/>
      <c r="W247" s="613"/>
      <c r="X247" s="613"/>
      <c r="Y247" s="613"/>
      <c r="Z247" s="613"/>
    </row>
    <row r="248" ht="15.75" customHeight="1">
      <c r="A248" s="613"/>
      <c r="B248" s="613"/>
      <c r="C248" s="613"/>
      <c r="D248" s="613"/>
      <c r="E248" s="613"/>
      <c r="F248" s="613"/>
      <c r="G248" s="613"/>
      <c r="H248" s="613"/>
      <c r="I248" s="613"/>
      <c r="J248" s="613"/>
      <c r="K248" s="613"/>
      <c r="L248" s="613"/>
      <c r="M248" s="613"/>
      <c r="N248" s="613"/>
      <c r="O248" s="613"/>
      <c r="P248" s="613"/>
      <c r="Q248" s="613"/>
      <c r="R248" s="613"/>
      <c r="S248" s="613"/>
      <c r="T248" s="613"/>
      <c r="U248" s="613"/>
      <c r="V248" s="613"/>
      <c r="W248" s="613"/>
      <c r="X248" s="613"/>
      <c r="Y248" s="613"/>
      <c r="Z248" s="613"/>
    </row>
    <row r="249" ht="15.75" customHeight="1">
      <c r="A249" s="613"/>
      <c r="B249" s="613"/>
      <c r="C249" s="613"/>
      <c r="D249" s="613"/>
      <c r="E249" s="613"/>
      <c r="F249" s="613"/>
      <c r="G249" s="613"/>
      <c r="H249" s="613"/>
      <c r="I249" s="613"/>
      <c r="J249" s="613"/>
      <c r="K249" s="613"/>
      <c r="L249" s="613"/>
      <c r="M249" s="613"/>
      <c r="N249" s="613"/>
      <c r="O249" s="613"/>
      <c r="P249" s="613"/>
      <c r="Q249" s="613"/>
      <c r="R249" s="613"/>
      <c r="S249" s="613"/>
      <c r="T249" s="613"/>
      <c r="U249" s="613"/>
      <c r="V249" s="613"/>
      <c r="W249" s="613"/>
      <c r="X249" s="613"/>
      <c r="Y249" s="613"/>
      <c r="Z249" s="613"/>
    </row>
    <row r="250" ht="15.75" customHeight="1">
      <c r="A250" s="613"/>
      <c r="B250" s="613"/>
      <c r="C250" s="613"/>
      <c r="D250" s="613"/>
      <c r="E250" s="613"/>
      <c r="F250" s="613"/>
      <c r="G250" s="613"/>
      <c r="H250" s="613"/>
      <c r="I250" s="613"/>
      <c r="J250" s="613"/>
      <c r="K250" s="613"/>
      <c r="L250" s="613"/>
      <c r="M250" s="613"/>
      <c r="N250" s="613"/>
      <c r="O250" s="613"/>
      <c r="P250" s="613"/>
      <c r="Q250" s="613"/>
      <c r="R250" s="613"/>
      <c r="S250" s="613"/>
      <c r="T250" s="613"/>
      <c r="U250" s="613"/>
      <c r="V250" s="613"/>
      <c r="W250" s="613"/>
      <c r="X250" s="613"/>
      <c r="Y250" s="613"/>
      <c r="Z250" s="613"/>
    </row>
    <row r="251" ht="15.75" customHeight="1">
      <c r="A251" s="613"/>
      <c r="B251" s="613"/>
      <c r="C251" s="613"/>
      <c r="D251" s="613"/>
      <c r="E251" s="613"/>
      <c r="F251" s="613"/>
      <c r="G251" s="613"/>
      <c r="H251" s="613"/>
      <c r="I251" s="613"/>
      <c r="J251" s="613"/>
      <c r="K251" s="613"/>
      <c r="L251" s="613"/>
      <c r="M251" s="613"/>
      <c r="N251" s="613"/>
      <c r="O251" s="613"/>
      <c r="P251" s="613"/>
      <c r="Q251" s="613"/>
      <c r="R251" s="613"/>
      <c r="S251" s="613"/>
      <c r="T251" s="613"/>
      <c r="U251" s="613"/>
      <c r="V251" s="613"/>
      <c r="W251" s="613"/>
      <c r="X251" s="613"/>
      <c r="Y251" s="613"/>
      <c r="Z251" s="613"/>
    </row>
    <row r="252" ht="15.75" customHeight="1">
      <c r="A252" s="613"/>
      <c r="B252" s="613"/>
      <c r="C252" s="613"/>
      <c r="D252" s="613"/>
      <c r="E252" s="613"/>
      <c r="F252" s="613"/>
      <c r="G252" s="613"/>
      <c r="H252" s="613"/>
      <c r="I252" s="613"/>
      <c r="J252" s="613"/>
      <c r="K252" s="613"/>
      <c r="L252" s="613"/>
      <c r="M252" s="613"/>
      <c r="N252" s="613"/>
      <c r="O252" s="613"/>
      <c r="P252" s="613"/>
      <c r="Q252" s="613"/>
      <c r="R252" s="613"/>
      <c r="S252" s="613"/>
      <c r="T252" s="613"/>
      <c r="U252" s="613"/>
      <c r="V252" s="613"/>
      <c r="W252" s="613"/>
      <c r="X252" s="613"/>
      <c r="Y252" s="613"/>
      <c r="Z252" s="613"/>
    </row>
    <row r="253" ht="15.75" customHeight="1">
      <c r="A253" s="613"/>
      <c r="B253" s="613"/>
      <c r="C253" s="613"/>
      <c r="D253" s="613"/>
      <c r="E253" s="613"/>
      <c r="F253" s="613"/>
      <c r="G253" s="613"/>
      <c r="H253" s="613"/>
      <c r="I253" s="613"/>
      <c r="J253" s="613"/>
      <c r="K253" s="613"/>
      <c r="L253" s="613"/>
      <c r="M253" s="613"/>
      <c r="N253" s="613"/>
      <c r="O253" s="613"/>
      <c r="P253" s="613"/>
      <c r="Q253" s="613"/>
      <c r="R253" s="613"/>
      <c r="S253" s="613"/>
      <c r="T253" s="613"/>
      <c r="U253" s="613"/>
      <c r="V253" s="613"/>
      <c r="W253" s="613"/>
      <c r="X253" s="613"/>
      <c r="Y253" s="613"/>
      <c r="Z253" s="613"/>
    </row>
    <row r="254" ht="15.75" customHeight="1">
      <c r="A254" s="613"/>
      <c r="B254" s="613"/>
      <c r="C254" s="613"/>
      <c r="D254" s="613"/>
      <c r="E254" s="613"/>
      <c r="F254" s="613"/>
      <c r="G254" s="613"/>
      <c r="H254" s="613"/>
      <c r="I254" s="613"/>
      <c r="J254" s="613"/>
      <c r="K254" s="613"/>
      <c r="L254" s="613"/>
      <c r="M254" s="613"/>
      <c r="N254" s="613"/>
      <c r="O254" s="613"/>
      <c r="P254" s="613"/>
      <c r="Q254" s="613"/>
      <c r="R254" s="613"/>
      <c r="S254" s="613"/>
      <c r="T254" s="613"/>
      <c r="U254" s="613"/>
      <c r="V254" s="613"/>
      <c r="W254" s="613"/>
      <c r="X254" s="613"/>
      <c r="Y254" s="613"/>
      <c r="Z254" s="613"/>
    </row>
    <row r="255" ht="15.75" customHeight="1">
      <c r="A255" s="613"/>
      <c r="B255" s="613"/>
      <c r="C255" s="613"/>
      <c r="D255" s="613"/>
      <c r="E255" s="613"/>
      <c r="F255" s="613"/>
      <c r="G255" s="613"/>
      <c r="H255" s="613"/>
      <c r="I255" s="613"/>
      <c r="J255" s="613"/>
      <c r="K255" s="613"/>
      <c r="L255" s="613"/>
      <c r="M255" s="613"/>
      <c r="N255" s="613"/>
      <c r="O255" s="613"/>
      <c r="P255" s="613"/>
      <c r="Q255" s="613"/>
      <c r="R255" s="613"/>
      <c r="S255" s="613"/>
      <c r="T255" s="613"/>
      <c r="U255" s="613"/>
      <c r="V255" s="613"/>
      <c r="W255" s="613"/>
      <c r="X255" s="613"/>
      <c r="Y255" s="613"/>
      <c r="Z255" s="613"/>
    </row>
    <row r="256" ht="15.75" customHeight="1">
      <c r="A256" s="613"/>
      <c r="B256" s="613"/>
      <c r="C256" s="613"/>
      <c r="D256" s="613"/>
      <c r="E256" s="613"/>
      <c r="F256" s="613"/>
      <c r="G256" s="613"/>
      <c r="H256" s="613"/>
      <c r="I256" s="613"/>
      <c r="J256" s="613"/>
      <c r="K256" s="613"/>
      <c r="L256" s="613"/>
      <c r="M256" s="613"/>
      <c r="N256" s="613"/>
      <c r="O256" s="613"/>
      <c r="P256" s="613"/>
      <c r="Q256" s="613"/>
      <c r="R256" s="613"/>
      <c r="S256" s="613"/>
      <c r="T256" s="613"/>
      <c r="U256" s="613"/>
      <c r="V256" s="613"/>
      <c r="W256" s="613"/>
      <c r="X256" s="613"/>
      <c r="Y256" s="613"/>
      <c r="Z256" s="613"/>
    </row>
    <row r="257" ht="15.75" customHeight="1">
      <c r="A257" s="613"/>
      <c r="B257" s="613"/>
      <c r="C257" s="613"/>
      <c r="D257" s="613"/>
      <c r="E257" s="613"/>
      <c r="F257" s="613"/>
      <c r="G257" s="613"/>
      <c r="H257" s="613"/>
      <c r="I257" s="613"/>
      <c r="J257" s="613"/>
      <c r="K257" s="613"/>
      <c r="L257" s="613"/>
      <c r="M257" s="613"/>
      <c r="N257" s="613"/>
      <c r="O257" s="613"/>
      <c r="P257" s="613"/>
      <c r="Q257" s="613"/>
      <c r="R257" s="613"/>
      <c r="S257" s="613"/>
      <c r="T257" s="613"/>
      <c r="U257" s="613"/>
      <c r="V257" s="613"/>
      <c r="W257" s="613"/>
      <c r="X257" s="613"/>
      <c r="Y257" s="613"/>
      <c r="Z257" s="613"/>
    </row>
    <row r="258" ht="15.75" customHeight="1">
      <c r="A258" s="613"/>
      <c r="B258" s="613"/>
      <c r="C258" s="613"/>
      <c r="D258" s="613"/>
      <c r="E258" s="613"/>
      <c r="F258" s="613"/>
      <c r="G258" s="613"/>
      <c r="H258" s="613"/>
      <c r="I258" s="613"/>
      <c r="J258" s="613"/>
      <c r="K258" s="613"/>
      <c r="L258" s="613"/>
      <c r="M258" s="613"/>
      <c r="N258" s="613"/>
      <c r="O258" s="613"/>
      <c r="P258" s="613"/>
      <c r="Q258" s="613"/>
      <c r="R258" s="613"/>
      <c r="S258" s="613"/>
      <c r="T258" s="613"/>
      <c r="U258" s="613"/>
      <c r="V258" s="613"/>
      <c r="W258" s="613"/>
      <c r="X258" s="613"/>
      <c r="Y258" s="613"/>
      <c r="Z258" s="613"/>
    </row>
    <row r="259" ht="15.75" customHeight="1">
      <c r="A259" s="613"/>
      <c r="B259" s="613"/>
      <c r="C259" s="613"/>
      <c r="D259" s="613"/>
      <c r="E259" s="613"/>
      <c r="F259" s="613"/>
      <c r="G259" s="613"/>
      <c r="H259" s="613"/>
      <c r="I259" s="613"/>
      <c r="J259" s="613"/>
      <c r="K259" s="613"/>
      <c r="L259" s="613"/>
      <c r="M259" s="613"/>
      <c r="N259" s="613"/>
      <c r="O259" s="613"/>
      <c r="P259" s="613"/>
      <c r="Q259" s="613"/>
      <c r="R259" s="613"/>
      <c r="S259" s="613"/>
      <c r="T259" s="613"/>
      <c r="U259" s="613"/>
      <c r="V259" s="613"/>
      <c r="W259" s="613"/>
      <c r="X259" s="613"/>
      <c r="Y259" s="613"/>
      <c r="Z259" s="613"/>
    </row>
    <row r="260" ht="15.75" customHeight="1">
      <c r="A260" s="613"/>
      <c r="B260" s="613"/>
      <c r="C260" s="613"/>
      <c r="D260" s="613"/>
      <c r="E260" s="613"/>
      <c r="F260" s="613"/>
      <c r="G260" s="613"/>
      <c r="H260" s="613"/>
      <c r="I260" s="613"/>
      <c r="J260" s="613"/>
      <c r="K260" s="613"/>
      <c r="L260" s="613"/>
      <c r="M260" s="613"/>
      <c r="N260" s="613"/>
      <c r="O260" s="613"/>
      <c r="P260" s="613"/>
      <c r="Q260" s="613"/>
      <c r="R260" s="613"/>
      <c r="S260" s="613"/>
      <c r="T260" s="613"/>
      <c r="U260" s="613"/>
      <c r="V260" s="613"/>
      <c r="W260" s="613"/>
      <c r="X260" s="613"/>
      <c r="Y260" s="613"/>
      <c r="Z260" s="613"/>
    </row>
    <row r="261" ht="15.75" customHeight="1">
      <c r="A261" s="613"/>
      <c r="B261" s="613"/>
      <c r="C261" s="613"/>
      <c r="D261" s="613"/>
      <c r="E261" s="613"/>
      <c r="F261" s="613"/>
      <c r="G261" s="613"/>
      <c r="H261" s="613"/>
      <c r="I261" s="613"/>
      <c r="J261" s="613"/>
      <c r="K261" s="613"/>
      <c r="L261" s="613"/>
      <c r="M261" s="613"/>
      <c r="N261" s="613"/>
      <c r="O261" s="613"/>
      <c r="P261" s="613"/>
      <c r="Q261" s="613"/>
      <c r="R261" s="613"/>
      <c r="S261" s="613"/>
      <c r="T261" s="613"/>
      <c r="U261" s="613"/>
      <c r="V261" s="613"/>
      <c r="W261" s="613"/>
      <c r="X261" s="613"/>
      <c r="Y261" s="613"/>
      <c r="Z261" s="613"/>
    </row>
    <row r="262" ht="15.75" customHeight="1">
      <c r="A262" s="613"/>
      <c r="B262" s="613"/>
      <c r="C262" s="613"/>
      <c r="D262" s="613"/>
      <c r="E262" s="613"/>
      <c r="F262" s="613"/>
      <c r="G262" s="613"/>
      <c r="H262" s="613"/>
      <c r="I262" s="613"/>
      <c r="J262" s="613"/>
      <c r="K262" s="613"/>
      <c r="L262" s="613"/>
      <c r="M262" s="613"/>
      <c r="N262" s="613"/>
      <c r="O262" s="613"/>
      <c r="P262" s="613"/>
      <c r="Q262" s="613"/>
      <c r="R262" s="613"/>
      <c r="S262" s="613"/>
      <c r="T262" s="613"/>
      <c r="U262" s="613"/>
      <c r="V262" s="613"/>
      <c r="W262" s="613"/>
      <c r="X262" s="613"/>
      <c r="Y262" s="613"/>
      <c r="Z262" s="613"/>
    </row>
    <row r="263" ht="15.75" customHeight="1">
      <c r="A263" s="613"/>
      <c r="B263" s="613"/>
      <c r="C263" s="613"/>
      <c r="D263" s="613"/>
      <c r="E263" s="613"/>
      <c r="F263" s="613"/>
      <c r="G263" s="613"/>
      <c r="H263" s="613"/>
      <c r="I263" s="613"/>
      <c r="J263" s="613"/>
      <c r="K263" s="613"/>
      <c r="L263" s="613"/>
      <c r="M263" s="613"/>
      <c r="N263" s="613"/>
      <c r="O263" s="613"/>
      <c r="P263" s="613"/>
      <c r="Q263" s="613"/>
      <c r="R263" s="613"/>
      <c r="S263" s="613"/>
      <c r="T263" s="613"/>
      <c r="U263" s="613"/>
      <c r="V263" s="613"/>
      <c r="W263" s="613"/>
      <c r="X263" s="613"/>
      <c r="Y263" s="613"/>
      <c r="Z263" s="613"/>
    </row>
    <row r="264" ht="15.75" customHeight="1">
      <c r="A264" s="613"/>
      <c r="B264" s="613"/>
      <c r="C264" s="613"/>
      <c r="D264" s="613"/>
      <c r="E264" s="613"/>
      <c r="F264" s="613"/>
      <c r="G264" s="613"/>
      <c r="H264" s="613"/>
      <c r="I264" s="613"/>
      <c r="J264" s="613"/>
      <c r="K264" s="613"/>
      <c r="L264" s="613"/>
      <c r="M264" s="613"/>
      <c r="N264" s="613"/>
      <c r="O264" s="613"/>
      <c r="P264" s="613"/>
      <c r="Q264" s="613"/>
      <c r="R264" s="613"/>
      <c r="S264" s="613"/>
      <c r="T264" s="613"/>
      <c r="U264" s="613"/>
      <c r="V264" s="613"/>
      <c r="W264" s="613"/>
      <c r="X264" s="613"/>
      <c r="Y264" s="613"/>
      <c r="Z264" s="613"/>
    </row>
    <row r="265" ht="15.75" customHeight="1">
      <c r="A265" s="613"/>
      <c r="B265" s="613"/>
      <c r="C265" s="613"/>
      <c r="D265" s="613"/>
      <c r="E265" s="613"/>
      <c r="F265" s="613"/>
      <c r="G265" s="613"/>
      <c r="H265" s="613"/>
      <c r="I265" s="613"/>
      <c r="J265" s="613"/>
      <c r="K265" s="613"/>
      <c r="L265" s="613"/>
      <c r="M265" s="613"/>
      <c r="N265" s="613"/>
      <c r="O265" s="613"/>
      <c r="P265" s="613"/>
      <c r="Q265" s="613"/>
      <c r="R265" s="613"/>
      <c r="S265" s="613"/>
      <c r="T265" s="613"/>
      <c r="U265" s="613"/>
      <c r="V265" s="613"/>
      <c r="W265" s="613"/>
      <c r="X265" s="613"/>
      <c r="Y265" s="613"/>
      <c r="Z265" s="613"/>
    </row>
    <row r="266" ht="15.75" customHeight="1">
      <c r="A266" s="613"/>
      <c r="B266" s="613"/>
      <c r="C266" s="613"/>
      <c r="D266" s="613"/>
      <c r="E266" s="613"/>
      <c r="F266" s="613"/>
      <c r="G266" s="613"/>
      <c r="H266" s="613"/>
      <c r="I266" s="613"/>
      <c r="J266" s="613"/>
      <c r="K266" s="613"/>
      <c r="L266" s="613"/>
      <c r="M266" s="613"/>
      <c r="N266" s="613"/>
      <c r="O266" s="613"/>
      <c r="P266" s="613"/>
      <c r="Q266" s="613"/>
      <c r="R266" s="613"/>
      <c r="S266" s="613"/>
      <c r="T266" s="613"/>
      <c r="U266" s="613"/>
      <c r="V266" s="613"/>
      <c r="W266" s="613"/>
      <c r="X266" s="613"/>
      <c r="Y266" s="613"/>
      <c r="Z266" s="613"/>
    </row>
    <row r="267" ht="15.75" customHeight="1">
      <c r="A267" s="613"/>
      <c r="B267" s="613"/>
      <c r="C267" s="613"/>
      <c r="D267" s="613"/>
      <c r="E267" s="613"/>
      <c r="F267" s="613"/>
      <c r="G267" s="613"/>
      <c r="H267" s="613"/>
      <c r="I267" s="613"/>
      <c r="J267" s="613"/>
      <c r="K267" s="613"/>
      <c r="L267" s="613"/>
      <c r="M267" s="613"/>
      <c r="N267" s="613"/>
      <c r="O267" s="613"/>
      <c r="P267" s="613"/>
      <c r="Q267" s="613"/>
      <c r="R267" s="613"/>
      <c r="S267" s="613"/>
      <c r="T267" s="613"/>
      <c r="U267" s="613"/>
      <c r="V267" s="613"/>
      <c r="W267" s="613"/>
      <c r="X267" s="613"/>
      <c r="Y267" s="613"/>
      <c r="Z267" s="613"/>
    </row>
    <row r="268" ht="15.75" customHeight="1">
      <c r="A268" s="613"/>
      <c r="B268" s="613"/>
      <c r="C268" s="613"/>
      <c r="D268" s="613"/>
      <c r="E268" s="613"/>
      <c r="F268" s="613"/>
      <c r="G268" s="613"/>
      <c r="H268" s="613"/>
      <c r="I268" s="613"/>
      <c r="J268" s="613"/>
      <c r="K268" s="613"/>
      <c r="L268" s="613"/>
      <c r="M268" s="613"/>
      <c r="N268" s="613"/>
      <c r="O268" s="613"/>
      <c r="P268" s="613"/>
      <c r="Q268" s="613"/>
      <c r="R268" s="613"/>
      <c r="S268" s="613"/>
      <c r="T268" s="613"/>
      <c r="U268" s="613"/>
      <c r="V268" s="613"/>
      <c r="W268" s="613"/>
      <c r="X268" s="613"/>
      <c r="Y268" s="613"/>
      <c r="Z268" s="613"/>
    </row>
    <row r="269" ht="15.75" customHeight="1">
      <c r="A269" s="613"/>
      <c r="B269" s="613"/>
      <c r="C269" s="613"/>
      <c r="D269" s="613"/>
      <c r="E269" s="613"/>
      <c r="F269" s="613"/>
      <c r="G269" s="613"/>
      <c r="H269" s="613"/>
      <c r="I269" s="613"/>
      <c r="J269" s="613"/>
      <c r="K269" s="613"/>
      <c r="L269" s="613"/>
      <c r="M269" s="613"/>
      <c r="N269" s="613"/>
      <c r="O269" s="613"/>
      <c r="P269" s="613"/>
      <c r="Q269" s="613"/>
      <c r="R269" s="613"/>
      <c r="S269" s="613"/>
      <c r="T269" s="613"/>
      <c r="U269" s="613"/>
      <c r="V269" s="613"/>
      <c r="W269" s="613"/>
      <c r="X269" s="613"/>
      <c r="Y269" s="613"/>
      <c r="Z269" s="613"/>
    </row>
    <row r="270" ht="15.75" customHeight="1">
      <c r="A270" s="613"/>
      <c r="B270" s="613"/>
      <c r="C270" s="613"/>
      <c r="D270" s="613"/>
      <c r="E270" s="613"/>
      <c r="F270" s="613"/>
      <c r="G270" s="613"/>
      <c r="H270" s="613"/>
      <c r="I270" s="613"/>
      <c r="J270" s="613"/>
      <c r="K270" s="613"/>
      <c r="L270" s="613"/>
      <c r="M270" s="613"/>
      <c r="N270" s="613"/>
      <c r="O270" s="613"/>
      <c r="P270" s="613"/>
      <c r="Q270" s="613"/>
      <c r="R270" s="613"/>
      <c r="S270" s="613"/>
      <c r="T270" s="613"/>
      <c r="U270" s="613"/>
      <c r="V270" s="613"/>
      <c r="W270" s="613"/>
      <c r="X270" s="613"/>
      <c r="Y270" s="613"/>
      <c r="Z270" s="613"/>
    </row>
    <row r="271" ht="15.75" customHeight="1">
      <c r="A271" s="613"/>
      <c r="B271" s="613"/>
      <c r="C271" s="613"/>
      <c r="D271" s="613"/>
      <c r="E271" s="613"/>
      <c r="F271" s="613"/>
      <c r="G271" s="613"/>
      <c r="H271" s="613"/>
      <c r="I271" s="613"/>
      <c r="J271" s="613"/>
      <c r="K271" s="613"/>
      <c r="L271" s="613"/>
      <c r="M271" s="613"/>
      <c r="N271" s="613"/>
      <c r="O271" s="613"/>
      <c r="P271" s="613"/>
      <c r="Q271" s="613"/>
      <c r="R271" s="613"/>
      <c r="S271" s="613"/>
      <c r="T271" s="613"/>
      <c r="U271" s="613"/>
      <c r="V271" s="613"/>
      <c r="W271" s="613"/>
      <c r="X271" s="613"/>
      <c r="Y271" s="613"/>
      <c r="Z271" s="613"/>
    </row>
    <row r="272" ht="15.75" customHeight="1">
      <c r="A272" s="613"/>
      <c r="B272" s="613"/>
      <c r="C272" s="613"/>
      <c r="D272" s="613"/>
      <c r="E272" s="613"/>
      <c r="F272" s="613"/>
      <c r="G272" s="613"/>
      <c r="H272" s="613"/>
      <c r="I272" s="613"/>
      <c r="J272" s="613"/>
      <c r="K272" s="613"/>
      <c r="L272" s="613"/>
      <c r="M272" s="613"/>
      <c r="N272" s="613"/>
      <c r="O272" s="613"/>
      <c r="P272" s="613"/>
      <c r="Q272" s="613"/>
      <c r="R272" s="613"/>
      <c r="S272" s="613"/>
      <c r="T272" s="613"/>
      <c r="U272" s="613"/>
      <c r="V272" s="613"/>
      <c r="W272" s="613"/>
      <c r="X272" s="613"/>
      <c r="Y272" s="613"/>
      <c r="Z272" s="613"/>
    </row>
    <row r="273" ht="15.75" customHeight="1">
      <c r="A273" s="613"/>
      <c r="B273" s="613"/>
      <c r="C273" s="613"/>
      <c r="D273" s="613"/>
      <c r="E273" s="613"/>
      <c r="F273" s="613"/>
      <c r="G273" s="613"/>
      <c r="H273" s="613"/>
      <c r="I273" s="613"/>
      <c r="J273" s="613"/>
      <c r="K273" s="613"/>
      <c r="L273" s="613"/>
      <c r="M273" s="613"/>
      <c r="N273" s="613"/>
      <c r="O273" s="613"/>
      <c r="P273" s="613"/>
      <c r="Q273" s="613"/>
      <c r="R273" s="613"/>
      <c r="S273" s="613"/>
      <c r="T273" s="613"/>
      <c r="U273" s="613"/>
      <c r="V273" s="613"/>
      <c r="W273" s="613"/>
      <c r="X273" s="613"/>
      <c r="Y273" s="613"/>
      <c r="Z273" s="613"/>
    </row>
    <row r="274" ht="15.75" customHeight="1">
      <c r="A274" s="613"/>
      <c r="B274" s="613"/>
      <c r="C274" s="613"/>
      <c r="D274" s="613"/>
      <c r="E274" s="613"/>
      <c r="F274" s="613"/>
      <c r="G274" s="613"/>
      <c r="H274" s="613"/>
      <c r="I274" s="613"/>
      <c r="J274" s="613"/>
      <c r="K274" s="613"/>
      <c r="L274" s="613"/>
      <c r="M274" s="613"/>
      <c r="N274" s="613"/>
      <c r="O274" s="613"/>
      <c r="P274" s="613"/>
      <c r="Q274" s="613"/>
      <c r="R274" s="613"/>
      <c r="S274" s="613"/>
      <c r="T274" s="613"/>
      <c r="U274" s="613"/>
      <c r="V274" s="613"/>
      <c r="W274" s="613"/>
      <c r="X274" s="613"/>
      <c r="Y274" s="613"/>
      <c r="Z274" s="613"/>
    </row>
    <row r="275" ht="15.75" customHeight="1">
      <c r="A275" s="613"/>
      <c r="B275" s="613"/>
      <c r="C275" s="613"/>
      <c r="D275" s="613"/>
      <c r="E275" s="613"/>
      <c r="F275" s="613"/>
      <c r="G275" s="613"/>
      <c r="H275" s="613"/>
      <c r="I275" s="613"/>
      <c r="J275" s="613"/>
      <c r="K275" s="613"/>
      <c r="L275" s="613"/>
      <c r="M275" s="613"/>
      <c r="N275" s="613"/>
      <c r="O275" s="613"/>
      <c r="P275" s="613"/>
      <c r="Q275" s="613"/>
      <c r="R275" s="613"/>
      <c r="S275" s="613"/>
      <c r="T275" s="613"/>
      <c r="U275" s="613"/>
      <c r="V275" s="613"/>
      <c r="W275" s="613"/>
      <c r="X275" s="613"/>
      <c r="Y275" s="613"/>
      <c r="Z275" s="613"/>
    </row>
    <row r="276" ht="15.75" customHeight="1">
      <c r="A276" s="613"/>
      <c r="B276" s="613"/>
      <c r="C276" s="613"/>
      <c r="D276" s="613"/>
      <c r="E276" s="613"/>
      <c r="F276" s="613"/>
      <c r="G276" s="613"/>
      <c r="H276" s="613"/>
      <c r="I276" s="613"/>
      <c r="J276" s="613"/>
      <c r="K276" s="613"/>
      <c r="L276" s="613"/>
      <c r="M276" s="613"/>
      <c r="N276" s="613"/>
      <c r="O276" s="613"/>
      <c r="P276" s="613"/>
      <c r="Q276" s="613"/>
      <c r="R276" s="613"/>
      <c r="S276" s="613"/>
      <c r="T276" s="613"/>
      <c r="U276" s="613"/>
      <c r="V276" s="613"/>
      <c r="W276" s="613"/>
      <c r="X276" s="613"/>
      <c r="Y276" s="613"/>
      <c r="Z276" s="613"/>
    </row>
    <row r="277" ht="15.75" customHeight="1">
      <c r="A277" s="613"/>
      <c r="B277" s="613"/>
      <c r="C277" s="613"/>
      <c r="D277" s="613"/>
      <c r="E277" s="613"/>
      <c r="F277" s="613"/>
      <c r="G277" s="613"/>
      <c r="H277" s="613"/>
      <c r="I277" s="613"/>
      <c r="J277" s="613"/>
      <c r="K277" s="613"/>
      <c r="L277" s="613"/>
      <c r="M277" s="613"/>
      <c r="N277" s="613"/>
      <c r="O277" s="613"/>
      <c r="P277" s="613"/>
      <c r="Q277" s="613"/>
      <c r="R277" s="613"/>
      <c r="S277" s="613"/>
      <c r="T277" s="613"/>
      <c r="U277" s="613"/>
      <c r="V277" s="613"/>
      <c r="W277" s="613"/>
      <c r="X277" s="613"/>
      <c r="Y277" s="613"/>
      <c r="Z277" s="613"/>
    </row>
    <row r="278" ht="15.75" customHeight="1">
      <c r="A278" s="613"/>
      <c r="B278" s="613"/>
      <c r="C278" s="613"/>
      <c r="D278" s="613"/>
      <c r="E278" s="613"/>
      <c r="F278" s="613"/>
      <c r="G278" s="613"/>
      <c r="H278" s="613"/>
      <c r="I278" s="613"/>
      <c r="J278" s="613"/>
      <c r="K278" s="613"/>
      <c r="L278" s="613"/>
      <c r="M278" s="613"/>
      <c r="N278" s="613"/>
      <c r="O278" s="613"/>
      <c r="P278" s="613"/>
      <c r="Q278" s="613"/>
      <c r="R278" s="613"/>
      <c r="S278" s="613"/>
      <c r="T278" s="613"/>
      <c r="U278" s="613"/>
      <c r="V278" s="613"/>
      <c r="W278" s="613"/>
      <c r="X278" s="613"/>
      <c r="Y278" s="613"/>
      <c r="Z278" s="613"/>
    </row>
    <row r="279" ht="15.75" customHeight="1">
      <c r="A279" s="613"/>
      <c r="B279" s="613"/>
      <c r="C279" s="613"/>
      <c r="D279" s="613"/>
      <c r="E279" s="613"/>
      <c r="F279" s="613"/>
      <c r="G279" s="613"/>
      <c r="H279" s="613"/>
      <c r="I279" s="613"/>
      <c r="J279" s="613"/>
      <c r="K279" s="613"/>
      <c r="L279" s="613"/>
      <c r="M279" s="613"/>
      <c r="N279" s="613"/>
      <c r="O279" s="613"/>
      <c r="P279" s="613"/>
      <c r="Q279" s="613"/>
      <c r="R279" s="613"/>
      <c r="S279" s="613"/>
      <c r="T279" s="613"/>
      <c r="U279" s="613"/>
      <c r="V279" s="613"/>
      <c r="W279" s="613"/>
      <c r="X279" s="613"/>
      <c r="Y279" s="613"/>
      <c r="Z279" s="613"/>
    </row>
    <row r="280" ht="15.75" customHeight="1">
      <c r="A280" s="613"/>
      <c r="B280" s="613"/>
      <c r="C280" s="613"/>
      <c r="D280" s="613"/>
      <c r="E280" s="613"/>
      <c r="F280" s="613"/>
      <c r="G280" s="613"/>
      <c r="H280" s="613"/>
      <c r="I280" s="613"/>
      <c r="J280" s="613"/>
      <c r="K280" s="613"/>
      <c r="L280" s="613"/>
      <c r="M280" s="613"/>
      <c r="N280" s="613"/>
      <c r="O280" s="613"/>
      <c r="P280" s="613"/>
      <c r="Q280" s="613"/>
      <c r="R280" s="613"/>
      <c r="S280" s="613"/>
      <c r="T280" s="613"/>
      <c r="U280" s="613"/>
      <c r="V280" s="613"/>
      <c r="W280" s="613"/>
      <c r="X280" s="613"/>
      <c r="Y280" s="613"/>
      <c r="Z280" s="613"/>
    </row>
    <row r="281" ht="15.75" customHeight="1">
      <c r="A281" s="613"/>
      <c r="B281" s="613"/>
      <c r="C281" s="613"/>
      <c r="D281" s="613"/>
      <c r="E281" s="613"/>
      <c r="F281" s="613"/>
      <c r="G281" s="613"/>
      <c r="H281" s="613"/>
      <c r="I281" s="613"/>
      <c r="J281" s="613"/>
      <c r="K281" s="613"/>
      <c r="L281" s="613"/>
      <c r="M281" s="613"/>
      <c r="N281" s="613"/>
      <c r="O281" s="613"/>
      <c r="P281" s="613"/>
      <c r="Q281" s="613"/>
      <c r="R281" s="613"/>
      <c r="S281" s="613"/>
      <c r="T281" s="613"/>
      <c r="U281" s="613"/>
      <c r="V281" s="613"/>
      <c r="W281" s="613"/>
      <c r="X281" s="613"/>
      <c r="Y281" s="613"/>
      <c r="Z281" s="613"/>
    </row>
    <row r="282" ht="15.75" customHeight="1">
      <c r="A282" s="613"/>
      <c r="B282" s="613"/>
      <c r="C282" s="613"/>
      <c r="D282" s="613"/>
      <c r="E282" s="613"/>
      <c r="F282" s="613"/>
      <c r="G282" s="613"/>
      <c r="H282" s="613"/>
      <c r="I282" s="613"/>
      <c r="J282" s="613"/>
      <c r="K282" s="613"/>
      <c r="L282" s="613"/>
      <c r="M282" s="613"/>
      <c r="N282" s="613"/>
      <c r="O282" s="613"/>
      <c r="P282" s="613"/>
      <c r="Q282" s="613"/>
      <c r="R282" s="613"/>
      <c r="S282" s="613"/>
      <c r="T282" s="613"/>
      <c r="U282" s="613"/>
      <c r="V282" s="613"/>
      <c r="W282" s="613"/>
      <c r="X282" s="613"/>
      <c r="Y282" s="613"/>
      <c r="Z282" s="613"/>
    </row>
    <row r="283" ht="15.75" customHeight="1">
      <c r="A283" s="613"/>
      <c r="B283" s="613"/>
      <c r="C283" s="613"/>
      <c r="D283" s="613"/>
      <c r="E283" s="613"/>
      <c r="F283" s="613"/>
      <c r="G283" s="613"/>
      <c r="H283" s="613"/>
      <c r="I283" s="613"/>
      <c r="J283" s="613"/>
      <c r="K283" s="613"/>
      <c r="L283" s="613"/>
      <c r="M283" s="613"/>
      <c r="N283" s="613"/>
      <c r="O283" s="613"/>
      <c r="P283" s="613"/>
      <c r="Q283" s="613"/>
      <c r="R283" s="613"/>
      <c r="S283" s="613"/>
      <c r="T283" s="613"/>
      <c r="U283" s="613"/>
      <c r="V283" s="613"/>
      <c r="W283" s="613"/>
      <c r="X283" s="613"/>
      <c r="Y283" s="613"/>
      <c r="Z283" s="613"/>
    </row>
    <row r="284" ht="15.75" customHeight="1">
      <c r="A284" s="613"/>
      <c r="B284" s="613"/>
      <c r="C284" s="613"/>
      <c r="D284" s="613"/>
      <c r="E284" s="613"/>
      <c r="F284" s="613"/>
      <c r="G284" s="613"/>
      <c r="H284" s="613"/>
      <c r="I284" s="613"/>
      <c r="J284" s="613"/>
      <c r="K284" s="613"/>
      <c r="L284" s="613"/>
      <c r="M284" s="613"/>
      <c r="N284" s="613"/>
      <c r="O284" s="613"/>
      <c r="P284" s="613"/>
      <c r="Q284" s="613"/>
      <c r="R284" s="613"/>
      <c r="S284" s="613"/>
      <c r="T284" s="613"/>
      <c r="U284" s="613"/>
      <c r="V284" s="613"/>
      <c r="W284" s="613"/>
      <c r="X284" s="613"/>
      <c r="Y284" s="613"/>
      <c r="Z284" s="613"/>
    </row>
    <row r="285" ht="15.75" customHeight="1">
      <c r="A285" s="613"/>
      <c r="B285" s="613"/>
      <c r="C285" s="613"/>
      <c r="D285" s="613"/>
      <c r="E285" s="613"/>
      <c r="F285" s="613"/>
      <c r="G285" s="613"/>
      <c r="H285" s="613"/>
      <c r="I285" s="613"/>
      <c r="J285" s="613"/>
      <c r="K285" s="613"/>
      <c r="L285" s="613"/>
      <c r="M285" s="613"/>
      <c r="N285" s="613"/>
      <c r="O285" s="613"/>
      <c r="P285" s="613"/>
      <c r="Q285" s="613"/>
      <c r="R285" s="613"/>
      <c r="S285" s="613"/>
      <c r="T285" s="613"/>
      <c r="U285" s="613"/>
      <c r="V285" s="613"/>
      <c r="W285" s="613"/>
      <c r="X285" s="613"/>
      <c r="Y285" s="613"/>
      <c r="Z285" s="613"/>
    </row>
    <row r="286" ht="15.75" customHeight="1">
      <c r="A286" s="613"/>
      <c r="B286" s="613"/>
      <c r="C286" s="613"/>
      <c r="D286" s="613"/>
      <c r="E286" s="613"/>
      <c r="F286" s="613"/>
      <c r="G286" s="613"/>
      <c r="H286" s="613"/>
      <c r="I286" s="613"/>
      <c r="J286" s="613"/>
      <c r="K286" s="613"/>
      <c r="L286" s="613"/>
      <c r="M286" s="613"/>
      <c r="N286" s="613"/>
      <c r="O286" s="613"/>
      <c r="P286" s="613"/>
      <c r="Q286" s="613"/>
      <c r="R286" s="613"/>
      <c r="S286" s="613"/>
      <c r="T286" s="613"/>
      <c r="U286" s="613"/>
      <c r="V286" s="613"/>
      <c r="W286" s="613"/>
      <c r="X286" s="613"/>
      <c r="Y286" s="613"/>
      <c r="Z286" s="613"/>
    </row>
    <row r="287" ht="15.75" customHeight="1">
      <c r="A287" s="613"/>
      <c r="B287" s="613"/>
      <c r="C287" s="613"/>
      <c r="D287" s="613"/>
      <c r="E287" s="613"/>
      <c r="F287" s="613"/>
      <c r="G287" s="613"/>
      <c r="H287" s="613"/>
      <c r="I287" s="613"/>
      <c r="J287" s="613"/>
      <c r="K287" s="613"/>
      <c r="L287" s="613"/>
      <c r="M287" s="613"/>
      <c r="N287" s="613"/>
      <c r="O287" s="613"/>
      <c r="P287" s="613"/>
      <c r="Q287" s="613"/>
      <c r="R287" s="613"/>
      <c r="S287" s="613"/>
      <c r="T287" s="613"/>
      <c r="U287" s="613"/>
      <c r="V287" s="613"/>
      <c r="W287" s="613"/>
      <c r="X287" s="613"/>
      <c r="Y287" s="613"/>
      <c r="Z287" s="613"/>
    </row>
    <row r="288" ht="15.75" customHeight="1">
      <c r="A288" s="613"/>
      <c r="B288" s="613"/>
      <c r="C288" s="613"/>
      <c r="D288" s="613"/>
      <c r="E288" s="613"/>
      <c r="F288" s="613"/>
      <c r="G288" s="613"/>
      <c r="H288" s="613"/>
      <c r="I288" s="613"/>
      <c r="J288" s="613"/>
      <c r="K288" s="613"/>
      <c r="L288" s="613"/>
      <c r="M288" s="613"/>
      <c r="N288" s="613"/>
      <c r="O288" s="613"/>
      <c r="P288" s="613"/>
      <c r="Q288" s="613"/>
      <c r="R288" s="613"/>
      <c r="S288" s="613"/>
      <c r="T288" s="613"/>
      <c r="U288" s="613"/>
      <c r="V288" s="613"/>
      <c r="W288" s="613"/>
      <c r="X288" s="613"/>
      <c r="Y288" s="613"/>
      <c r="Z288" s="613"/>
    </row>
    <row r="289" ht="15.75" customHeight="1">
      <c r="A289" s="613"/>
      <c r="B289" s="613"/>
      <c r="C289" s="613"/>
      <c r="D289" s="613"/>
      <c r="E289" s="613"/>
      <c r="F289" s="613"/>
      <c r="G289" s="613"/>
      <c r="H289" s="613"/>
      <c r="I289" s="613"/>
      <c r="J289" s="613"/>
      <c r="K289" s="613"/>
      <c r="L289" s="613"/>
      <c r="M289" s="613"/>
      <c r="N289" s="613"/>
      <c r="O289" s="613"/>
      <c r="P289" s="613"/>
      <c r="Q289" s="613"/>
      <c r="R289" s="613"/>
      <c r="S289" s="613"/>
      <c r="T289" s="613"/>
      <c r="U289" s="613"/>
      <c r="V289" s="613"/>
      <c r="W289" s="613"/>
      <c r="X289" s="613"/>
      <c r="Y289" s="613"/>
      <c r="Z289" s="613"/>
    </row>
    <row r="290" ht="15.75" customHeight="1">
      <c r="A290" s="613"/>
      <c r="B290" s="613"/>
      <c r="C290" s="613"/>
      <c r="D290" s="613"/>
      <c r="E290" s="613"/>
      <c r="F290" s="613"/>
      <c r="G290" s="613"/>
      <c r="H290" s="613"/>
      <c r="I290" s="613"/>
      <c r="J290" s="613"/>
      <c r="K290" s="613"/>
      <c r="L290" s="613"/>
      <c r="M290" s="613"/>
      <c r="N290" s="613"/>
      <c r="O290" s="613"/>
      <c r="P290" s="613"/>
      <c r="Q290" s="613"/>
      <c r="R290" s="613"/>
      <c r="S290" s="613"/>
      <c r="T290" s="613"/>
      <c r="U290" s="613"/>
      <c r="V290" s="613"/>
      <c r="W290" s="613"/>
      <c r="X290" s="613"/>
      <c r="Y290" s="613"/>
      <c r="Z290" s="613"/>
    </row>
    <row r="291" ht="15.75" customHeight="1">
      <c r="A291" s="613"/>
      <c r="B291" s="613"/>
      <c r="C291" s="613"/>
      <c r="D291" s="613"/>
      <c r="E291" s="613"/>
      <c r="F291" s="613"/>
      <c r="G291" s="613"/>
      <c r="H291" s="613"/>
      <c r="I291" s="613"/>
      <c r="J291" s="613"/>
      <c r="K291" s="613"/>
      <c r="L291" s="613"/>
      <c r="M291" s="613"/>
      <c r="N291" s="613"/>
      <c r="O291" s="613"/>
      <c r="P291" s="613"/>
      <c r="Q291" s="613"/>
      <c r="R291" s="613"/>
      <c r="S291" s="613"/>
      <c r="T291" s="613"/>
      <c r="U291" s="613"/>
      <c r="V291" s="613"/>
      <c r="W291" s="613"/>
      <c r="X291" s="613"/>
      <c r="Y291" s="613"/>
      <c r="Z291" s="613"/>
    </row>
    <row r="292" ht="15.75" customHeight="1">
      <c r="A292" s="613"/>
      <c r="B292" s="613"/>
      <c r="C292" s="613"/>
      <c r="D292" s="613"/>
      <c r="E292" s="613"/>
      <c r="F292" s="613"/>
      <c r="G292" s="613"/>
      <c r="H292" s="613"/>
      <c r="I292" s="613"/>
      <c r="J292" s="613"/>
      <c r="K292" s="613"/>
      <c r="L292" s="613"/>
      <c r="M292" s="613"/>
      <c r="N292" s="613"/>
      <c r="O292" s="613"/>
      <c r="P292" s="613"/>
      <c r="Q292" s="613"/>
      <c r="R292" s="613"/>
      <c r="S292" s="613"/>
      <c r="T292" s="613"/>
      <c r="U292" s="613"/>
      <c r="V292" s="613"/>
      <c r="W292" s="613"/>
      <c r="X292" s="613"/>
      <c r="Y292" s="613"/>
      <c r="Z292" s="613"/>
    </row>
    <row r="293" ht="15.75" customHeight="1">
      <c r="A293" s="613"/>
      <c r="B293" s="613"/>
      <c r="C293" s="613"/>
      <c r="D293" s="613"/>
      <c r="E293" s="613"/>
      <c r="F293" s="613"/>
      <c r="G293" s="613"/>
      <c r="H293" s="613"/>
      <c r="I293" s="613"/>
      <c r="J293" s="613"/>
      <c r="K293" s="613"/>
      <c r="L293" s="613"/>
      <c r="M293" s="613"/>
      <c r="N293" s="613"/>
      <c r="O293" s="613"/>
      <c r="P293" s="613"/>
      <c r="Q293" s="613"/>
      <c r="R293" s="613"/>
      <c r="S293" s="613"/>
      <c r="T293" s="613"/>
      <c r="U293" s="613"/>
      <c r="V293" s="613"/>
      <c r="W293" s="613"/>
      <c r="X293" s="613"/>
      <c r="Y293" s="613"/>
      <c r="Z293" s="613"/>
    </row>
    <row r="294" ht="15.75" customHeight="1">
      <c r="A294" s="613"/>
      <c r="B294" s="613"/>
      <c r="C294" s="613"/>
      <c r="D294" s="613"/>
      <c r="E294" s="613"/>
      <c r="F294" s="613"/>
      <c r="G294" s="613"/>
      <c r="H294" s="613"/>
      <c r="I294" s="613"/>
      <c r="J294" s="613"/>
      <c r="K294" s="613"/>
      <c r="L294" s="613"/>
      <c r="M294" s="613"/>
      <c r="N294" s="613"/>
      <c r="O294" s="613"/>
      <c r="P294" s="613"/>
      <c r="Q294" s="613"/>
      <c r="R294" s="613"/>
      <c r="S294" s="613"/>
      <c r="T294" s="613"/>
      <c r="U294" s="613"/>
      <c r="V294" s="613"/>
      <c r="W294" s="613"/>
      <c r="X294" s="613"/>
      <c r="Y294" s="613"/>
      <c r="Z294" s="613"/>
    </row>
    <row r="295" ht="15.75" customHeight="1">
      <c r="A295" s="613"/>
      <c r="B295" s="613"/>
      <c r="C295" s="613"/>
      <c r="D295" s="613"/>
      <c r="E295" s="613"/>
      <c r="F295" s="613"/>
      <c r="G295" s="613"/>
      <c r="H295" s="613"/>
      <c r="I295" s="613"/>
      <c r="J295" s="613"/>
      <c r="K295" s="613"/>
      <c r="L295" s="613"/>
      <c r="M295" s="613"/>
      <c r="N295" s="613"/>
      <c r="O295" s="613"/>
      <c r="P295" s="613"/>
      <c r="Q295" s="613"/>
      <c r="R295" s="613"/>
      <c r="S295" s="613"/>
      <c r="T295" s="613"/>
      <c r="U295" s="613"/>
      <c r="V295" s="613"/>
      <c r="W295" s="613"/>
      <c r="X295" s="613"/>
      <c r="Y295" s="613"/>
      <c r="Z295" s="613"/>
    </row>
    <row r="296" ht="15.75" customHeight="1">
      <c r="A296" s="613"/>
      <c r="B296" s="613"/>
      <c r="C296" s="613"/>
      <c r="D296" s="613"/>
      <c r="E296" s="613"/>
      <c r="F296" s="613"/>
      <c r="G296" s="613"/>
      <c r="H296" s="613"/>
      <c r="I296" s="613"/>
      <c r="J296" s="613"/>
      <c r="K296" s="613"/>
      <c r="L296" s="613"/>
      <c r="M296" s="613"/>
      <c r="N296" s="613"/>
      <c r="O296" s="613"/>
      <c r="P296" s="613"/>
      <c r="Q296" s="613"/>
      <c r="R296" s="613"/>
      <c r="S296" s="613"/>
      <c r="T296" s="613"/>
      <c r="U296" s="613"/>
      <c r="V296" s="613"/>
      <c r="W296" s="613"/>
      <c r="X296" s="613"/>
      <c r="Y296" s="613"/>
      <c r="Z296" s="613"/>
    </row>
    <row r="297" ht="15.75" customHeight="1">
      <c r="A297" s="613"/>
      <c r="B297" s="613"/>
      <c r="C297" s="613"/>
      <c r="D297" s="613"/>
      <c r="E297" s="613"/>
      <c r="F297" s="613"/>
      <c r="G297" s="613"/>
      <c r="H297" s="613"/>
      <c r="I297" s="613"/>
      <c r="J297" s="613"/>
      <c r="K297" s="613"/>
      <c r="L297" s="613"/>
      <c r="M297" s="613"/>
      <c r="N297" s="613"/>
      <c r="O297" s="613"/>
      <c r="P297" s="613"/>
      <c r="Q297" s="613"/>
      <c r="R297" s="613"/>
      <c r="S297" s="613"/>
      <c r="T297" s="613"/>
      <c r="U297" s="613"/>
      <c r="V297" s="613"/>
      <c r="W297" s="613"/>
      <c r="X297" s="613"/>
      <c r="Y297" s="613"/>
      <c r="Z297" s="613"/>
    </row>
    <row r="298" ht="15.75" customHeight="1">
      <c r="A298" s="613"/>
      <c r="B298" s="613"/>
      <c r="C298" s="613"/>
      <c r="D298" s="613"/>
      <c r="E298" s="613"/>
      <c r="F298" s="613"/>
      <c r="G298" s="613"/>
      <c r="H298" s="613"/>
      <c r="I298" s="613"/>
      <c r="J298" s="613"/>
      <c r="K298" s="613"/>
      <c r="L298" s="613"/>
      <c r="M298" s="613"/>
      <c r="N298" s="613"/>
      <c r="O298" s="613"/>
      <c r="P298" s="613"/>
      <c r="Q298" s="613"/>
      <c r="R298" s="613"/>
      <c r="S298" s="613"/>
      <c r="T298" s="613"/>
      <c r="U298" s="613"/>
      <c r="V298" s="613"/>
      <c r="W298" s="613"/>
      <c r="X298" s="613"/>
      <c r="Y298" s="613"/>
      <c r="Z298" s="613"/>
    </row>
    <row r="299" ht="15.75" customHeight="1">
      <c r="A299" s="613"/>
      <c r="B299" s="613"/>
      <c r="C299" s="613"/>
      <c r="D299" s="613"/>
      <c r="E299" s="613"/>
      <c r="F299" s="613"/>
      <c r="G299" s="613"/>
      <c r="H299" s="613"/>
      <c r="I299" s="613"/>
      <c r="J299" s="613"/>
      <c r="K299" s="613"/>
      <c r="L299" s="613"/>
      <c r="M299" s="613"/>
      <c r="N299" s="613"/>
      <c r="O299" s="613"/>
      <c r="P299" s="613"/>
      <c r="Q299" s="613"/>
      <c r="R299" s="613"/>
      <c r="S299" s="613"/>
      <c r="T299" s="613"/>
      <c r="U299" s="613"/>
      <c r="V299" s="613"/>
      <c r="W299" s="613"/>
      <c r="X299" s="613"/>
      <c r="Y299" s="613"/>
      <c r="Z299" s="613"/>
    </row>
    <row r="300" ht="15.75" customHeight="1">
      <c r="A300" s="613"/>
      <c r="B300" s="613"/>
      <c r="C300" s="613"/>
      <c r="D300" s="613"/>
      <c r="E300" s="613"/>
      <c r="F300" s="613"/>
      <c r="G300" s="613"/>
      <c r="H300" s="613"/>
      <c r="I300" s="613"/>
      <c r="J300" s="613"/>
      <c r="K300" s="613"/>
      <c r="L300" s="613"/>
      <c r="M300" s="613"/>
      <c r="N300" s="613"/>
      <c r="O300" s="613"/>
      <c r="P300" s="613"/>
      <c r="Q300" s="613"/>
      <c r="R300" s="613"/>
      <c r="S300" s="613"/>
      <c r="T300" s="613"/>
      <c r="U300" s="613"/>
      <c r="V300" s="613"/>
      <c r="W300" s="613"/>
      <c r="X300" s="613"/>
      <c r="Y300" s="613"/>
      <c r="Z300" s="613"/>
    </row>
    <row r="301" ht="15.75" customHeight="1">
      <c r="A301" s="613"/>
      <c r="B301" s="613"/>
      <c r="C301" s="613"/>
      <c r="D301" s="613"/>
      <c r="E301" s="613"/>
      <c r="F301" s="613"/>
      <c r="G301" s="613"/>
      <c r="H301" s="613"/>
      <c r="I301" s="613"/>
      <c r="J301" s="613"/>
      <c r="K301" s="613"/>
      <c r="L301" s="613"/>
      <c r="M301" s="613"/>
      <c r="N301" s="613"/>
      <c r="O301" s="613"/>
      <c r="P301" s="613"/>
      <c r="Q301" s="613"/>
      <c r="R301" s="613"/>
      <c r="S301" s="613"/>
      <c r="T301" s="613"/>
      <c r="U301" s="613"/>
      <c r="V301" s="613"/>
      <c r="W301" s="613"/>
      <c r="X301" s="613"/>
      <c r="Y301" s="613"/>
      <c r="Z301" s="613"/>
    </row>
    <row r="302" ht="15.75" customHeight="1">
      <c r="A302" s="613"/>
      <c r="B302" s="613"/>
      <c r="C302" s="613"/>
      <c r="D302" s="613"/>
      <c r="E302" s="613"/>
      <c r="F302" s="613"/>
      <c r="G302" s="613"/>
      <c r="H302" s="613"/>
      <c r="I302" s="613"/>
      <c r="J302" s="613"/>
      <c r="K302" s="613"/>
      <c r="L302" s="613"/>
      <c r="M302" s="613"/>
      <c r="N302" s="613"/>
      <c r="O302" s="613"/>
      <c r="P302" s="613"/>
      <c r="Q302" s="613"/>
      <c r="R302" s="613"/>
      <c r="S302" s="613"/>
      <c r="T302" s="613"/>
      <c r="U302" s="613"/>
      <c r="V302" s="613"/>
      <c r="W302" s="613"/>
      <c r="X302" s="613"/>
      <c r="Y302" s="613"/>
      <c r="Z302" s="613"/>
    </row>
    <row r="303" ht="15.75" customHeight="1">
      <c r="A303" s="613"/>
      <c r="B303" s="613"/>
      <c r="C303" s="613"/>
      <c r="D303" s="613"/>
      <c r="E303" s="613"/>
      <c r="F303" s="613"/>
      <c r="G303" s="613"/>
      <c r="H303" s="613"/>
      <c r="I303" s="613"/>
      <c r="J303" s="613"/>
      <c r="K303" s="613"/>
      <c r="L303" s="613"/>
      <c r="M303" s="613"/>
      <c r="N303" s="613"/>
      <c r="O303" s="613"/>
      <c r="P303" s="613"/>
      <c r="Q303" s="613"/>
      <c r="R303" s="613"/>
      <c r="S303" s="613"/>
      <c r="T303" s="613"/>
      <c r="U303" s="613"/>
      <c r="V303" s="613"/>
      <c r="W303" s="613"/>
      <c r="X303" s="613"/>
      <c r="Y303" s="613"/>
      <c r="Z303" s="613"/>
    </row>
    <row r="304" ht="15.75" customHeight="1">
      <c r="A304" s="613"/>
      <c r="B304" s="613"/>
      <c r="C304" s="613"/>
      <c r="D304" s="613"/>
      <c r="E304" s="613"/>
      <c r="F304" s="613"/>
      <c r="G304" s="613"/>
      <c r="H304" s="613"/>
      <c r="I304" s="613"/>
      <c r="J304" s="613"/>
      <c r="K304" s="613"/>
      <c r="L304" s="613"/>
      <c r="M304" s="613"/>
      <c r="N304" s="613"/>
      <c r="O304" s="613"/>
      <c r="P304" s="613"/>
      <c r="Q304" s="613"/>
      <c r="R304" s="613"/>
      <c r="S304" s="613"/>
      <c r="T304" s="613"/>
      <c r="U304" s="613"/>
      <c r="V304" s="613"/>
      <c r="W304" s="613"/>
      <c r="X304" s="613"/>
      <c r="Y304" s="613"/>
      <c r="Z304" s="613"/>
    </row>
    <row r="305" ht="15.75" customHeight="1">
      <c r="A305" s="613"/>
      <c r="B305" s="613"/>
      <c r="C305" s="613"/>
      <c r="D305" s="613"/>
      <c r="E305" s="613"/>
      <c r="F305" s="613"/>
      <c r="G305" s="613"/>
      <c r="H305" s="613"/>
      <c r="I305" s="613"/>
      <c r="J305" s="613"/>
      <c r="K305" s="613"/>
      <c r="L305" s="613"/>
      <c r="M305" s="613"/>
      <c r="N305" s="613"/>
      <c r="O305" s="613"/>
      <c r="P305" s="613"/>
      <c r="Q305" s="613"/>
      <c r="R305" s="613"/>
      <c r="S305" s="613"/>
      <c r="T305" s="613"/>
      <c r="U305" s="613"/>
      <c r="V305" s="613"/>
      <c r="W305" s="613"/>
      <c r="X305" s="613"/>
      <c r="Y305" s="613"/>
      <c r="Z305" s="613"/>
    </row>
    <row r="306" ht="15.75" customHeight="1">
      <c r="A306" s="613"/>
      <c r="B306" s="613"/>
      <c r="C306" s="613"/>
      <c r="D306" s="613"/>
      <c r="E306" s="613"/>
      <c r="F306" s="613"/>
      <c r="G306" s="613"/>
      <c r="H306" s="613"/>
      <c r="I306" s="613"/>
      <c r="J306" s="613"/>
      <c r="K306" s="613"/>
      <c r="L306" s="613"/>
      <c r="M306" s="613"/>
      <c r="N306" s="613"/>
      <c r="O306" s="613"/>
      <c r="P306" s="613"/>
      <c r="Q306" s="613"/>
      <c r="R306" s="613"/>
      <c r="S306" s="613"/>
      <c r="T306" s="613"/>
      <c r="U306" s="613"/>
      <c r="V306" s="613"/>
      <c r="W306" s="613"/>
      <c r="X306" s="613"/>
      <c r="Y306" s="613"/>
      <c r="Z306" s="613"/>
    </row>
    <row r="307" ht="15.75" customHeight="1">
      <c r="A307" s="613"/>
      <c r="B307" s="613"/>
      <c r="C307" s="613"/>
      <c r="D307" s="613"/>
      <c r="E307" s="613"/>
      <c r="F307" s="613"/>
      <c r="G307" s="613"/>
      <c r="H307" s="613"/>
      <c r="I307" s="613"/>
      <c r="J307" s="613"/>
      <c r="K307" s="613"/>
      <c r="L307" s="613"/>
      <c r="M307" s="613"/>
      <c r="N307" s="613"/>
      <c r="O307" s="613"/>
      <c r="P307" s="613"/>
      <c r="Q307" s="613"/>
      <c r="R307" s="613"/>
      <c r="S307" s="613"/>
      <c r="T307" s="613"/>
      <c r="U307" s="613"/>
      <c r="V307" s="613"/>
      <c r="W307" s="613"/>
      <c r="X307" s="613"/>
      <c r="Y307" s="613"/>
      <c r="Z307" s="613"/>
    </row>
    <row r="308" ht="15.75" customHeight="1">
      <c r="A308" s="613"/>
      <c r="B308" s="613"/>
      <c r="C308" s="613"/>
      <c r="D308" s="613"/>
      <c r="E308" s="613"/>
      <c r="F308" s="613"/>
      <c r="G308" s="613"/>
      <c r="H308" s="613"/>
      <c r="I308" s="613"/>
      <c r="J308" s="613"/>
      <c r="K308" s="613"/>
      <c r="L308" s="613"/>
      <c r="M308" s="613"/>
      <c r="N308" s="613"/>
      <c r="O308" s="613"/>
      <c r="P308" s="613"/>
      <c r="Q308" s="613"/>
      <c r="R308" s="613"/>
      <c r="S308" s="613"/>
      <c r="T308" s="613"/>
      <c r="U308" s="613"/>
      <c r="V308" s="613"/>
      <c r="W308" s="613"/>
      <c r="X308" s="613"/>
      <c r="Y308" s="613"/>
      <c r="Z308" s="613"/>
    </row>
    <row r="309" ht="15.75" customHeight="1">
      <c r="A309" s="613"/>
      <c r="B309" s="613"/>
      <c r="C309" s="613"/>
      <c r="D309" s="613"/>
      <c r="E309" s="613"/>
      <c r="F309" s="613"/>
      <c r="G309" s="613"/>
      <c r="H309" s="613"/>
      <c r="I309" s="613"/>
      <c r="J309" s="613"/>
      <c r="K309" s="613"/>
      <c r="L309" s="613"/>
      <c r="M309" s="613"/>
      <c r="N309" s="613"/>
      <c r="O309" s="613"/>
      <c r="P309" s="613"/>
      <c r="Q309" s="613"/>
      <c r="R309" s="613"/>
      <c r="S309" s="613"/>
      <c r="T309" s="613"/>
      <c r="U309" s="613"/>
      <c r="V309" s="613"/>
      <c r="W309" s="613"/>
      <c r="X309" s="613"/>
      <c r="Y309" s="613"/>
      <c r="Z309" s="613"/>
    </row>
    <row r="310" ht="15.75" customHeight="1">
      <c r="A310" s="613"/>
      <c r="B310" s="613"/>
      <c r="C310" s="613"/>
      <c r="D310" s="613"/>
      <c r="E310" s="613"/>
      <c r="F310" s="613"/>
      <c r="G310" s="613"/>
      <c r="H310" s="613"/>
      <c r="I310" s="613"/>
      <c r="J310" s="613"/>
      <c r="K310" s="613"/>
      <c r="L310" s="613"/>
      <c r="M310" s="613"/>
      <c r="N310" s="613"/>
      <c r="O310" s="613"/>
      <c r="P310" s="613"/>
      <c r="Q310" s="613"/>
      <c r="R310" s="613"/>
      <c r="S310" s="613"/>
      <c r="T310" s="613"/>
      <c r="U310" s="613"/>
      <c r="V310" s="613"/>
      <c r="W310" s="613"/>
      <c r="X310" s="613"/>
      <c r="Y310" s="613"/>
      <c r="Z310" s="613"/>
    </row>
    <row r="311" ht="15.75" customHeight="1">
      <c r="A311" s="613"/>
      <c r="B311" s="613"/>
      <c r="C311" s="613"/>
      <c r="D311" s="613"/>
      <c r="E311" s="613"/>
      <c r="F311" s="613"/>
      <c r="G311" s="613"/>
      <c r="H311" s="613"/>
      <c r="I311" s="613"/>
      <c r="J311" s="613"/>
      <c r="K311" s="613"/>
      <c r="L311" s="613"/>
      <c r="M311" s="613"/>
      <c r="N311" s="613"/>
      <c r="O311" s="613"/>
      <c r="P311" s="613"/>
      <c r="Q311" s="613"/>
      <c r="R311" s="613"/>
      <c r="S311" s="613"/>
      <c r="T311" s="613"/>
      <c r="U311" s="613"/>
      <c r="V311" s="613"/>
      <c r="W311" s="613"/>
      <c r="X311" s="613"/>
      <c r="Y311" s="613"/>
      <c r="Z311" s="613"/>
    </row>
    <row r="312" ht="15.75" customHeight="1">
      <c r="A312" s="613"/>
      <c r="B312" s="613"/>
      <c r="C312" s="613"/>
      <c r="D312" s="613"/>
      <c r="E312" s="613"/>
      <c r="F312" s="613"/>
      <c r="G312" s="613"/>
      <c r="H312" s="613"/>
      <c r="I312" s="613"/>
      <c r="J312" s="613"/>
      <c r="K312" s="613"/>
      <c r="L312" s="613"/>
      <c r="M312" s="613"/>
      <c r="N312" s="613"/>
      <c r="O312" s="613"/>
      <c r="P312" s="613"/>
      <c r="Q312" s="613"/>
      <c r="R312" s="613"/>
      <c r="S312" s="613"/>
      <c r="T312" s="613"/>
      <c r="U312" s="613"/>
      <c r="V312" s="613"/>
      <c r="W312" s="613"/>
      <c r="X312" s="613"/>
      <c r="Y312" s="613"/>
      <c r="Z312" s="613"/>
    </row>
    <row r="313" ht="15.75" customHeight="1">
      <c r="A313" s="613"/>
      <c r="B313" s="613"/>
      <c r="C313" s="613"/>
      <c r="D313" s="613"/>
      <c r="E313" s="613"/>
      <c r="F313" s="613"/>
      <c r="G313" s="613"/>
      <c r="H313" s="613"/>
      <c r="I313" s="613"/>
      <c r="J313" s="613"/>
      <c r="K313" s="613"/>
      <c r="L313" s="613"/>
      <c r="M313" s="613"/>
      <c r="N313" s="613"/>
      <c r="O313" s="613"/>
      <c r="P313" s="613"/>
      <c r="Q313" s="613"/>
      <c r="R313" s="613"/>
      <c r="S313" s="613"/>
      <c r="T313" s="613"/>
      <c r="U313" s="613"/>
      <c r="V313" s="613"/>
      <c r="W313" s="613"/>
      <c r="X313" s="613"/>
      <c r="Y313" s="613"/>
      <c r="Z313" s="613"/>
    </row>
    <row r="314" ht="15.75" customHeight="1">
      <c r="A314" s="613"/>
      <c r="B314" s="613"/>
      <c r="C314" s="613"/>
      <c r="D314" s="613"/>
      <c r="E314" s="613"/>
      <c r="F314" s="613"/>
      <c r="G314" s="613"/>
      <c r="H314" s="613"/>
      <c r="I314" s="613"/>
      <c r="J314" s="613"/>
      <c r="K314" s="613"/>
      <c r="L314" s="613"/>
      <c r="M314" s="613"/>
      <c r="N314" s="613"/>
      <c r="O314" s="613"/>
      <c r="P314" s="613"/>
      <c r="Q314" s="613"/>
      <c r="R314" s="613"/>
      <c r="S314" s="613"/>
      <c r="T314" s="613"/>
      <c r="U314" s="613"/>
      <c r="V314" s="613"/>
      <c r="W314" s="613"/>
      <c r="X314" s="613"/>
      <c r="Y314" s="613"/>
      <c r="Z314" s="613"/>
    </row>
    <row r="315" ht="15.75" customHeight="1">
      <c r="A315" s="613"/>
      <c r="B315" s="613"/>
      <c r="C315" s="613"/>
      <c r="D315" s="613"/>
      <c r="E315" s="613"/>
      <c r="F315" s="613"/>
      <c r="G315" s="613"/>
      <c r="H315" s="613"/>
      <c r="I315" s="613"/>
      <c r="J315" s="613"/>
      <c r="K315" s="613"/>
      <c r="L315" s="613"/>
      <c r="M315" s="613"/>
      <c r="N315" s="613"/>
      <c r="O315" s="613"/>
      <c r="P315" s="613"/>
      <c r="Q315" s="613"/>
      <c r="R315" s="613"/>
      <c r="S315" s="613"/>
      <c r="T315" s="613"/>
      <c r="U315" s="613"/>
      <c r="V315" s="613"/>
      <c r="W315" s="613"/>
      <c r="X315" s="613"/>
      <c r="Y315" s="613"/>
      <c r="Z315" s="613"/>
    </row>
    <row r="316" ht="15.75" customHeight="1">
      <c r="A316" s="613"/>
      <c r="B316" s="613"/>
      <c r="C316" s="613"/>
      <c r="D316" s="613"/>
      <c r="E316" s="613"/>
      <c r="F316" s="613"/>
      <c r="G316" s="613"/>
      <c r="H316" s="613"/>
      <c r="I316" s="613"/>
      <c r="J316" s="613"/>
      <c r="K316" s="613"/>
      <c r="L316" s="613"/>
      <c r="M316" s="613"/>
      <c r="N316" s="613"/>
      <c r="O316" s="613"/>
      <c r="P316" s="613"/>
      <c r="Q316" s="613"/>
      <c r="R316" s="613"/>
      <c r="S316" s="613"/>
      <c r="T316" s="613"/>
      <c r="U316" s="613"/>
      <c r="V316" s="613"/>
      <c r="W316" s="613"/>
      <c r="X316" s="613"/>
      <c r="Y316" s="613"/>
      <c r="Z316" s="613"/>
    </row>
    <row r="317" ht="15.75" customHeight="1">
      <c r="A317" s="613"/>
      <c r="B317" s="613"/>
      <c r="C317" s="613"/>
      <c r="D317" s="613"/>
      <c r="E317" s="613"/>
      <c r="F317" s="613"/>
      <c r="G317" s="613"/>
      <c r="H317" s="613"/>
      <c r="I317" s="613"/>
      <c r="J317" s="613"/>
      <c r="K317" s="613"/>
      <c r="L317" s="613"/>
      <c r="M317" s="613"/>
      <c r="N317" s="613"/>
      <c r="O317" s="613"/>
      <c r="P317" s="613"/>
      <c r="Q317" s="613"/>
      <c r="R317" s="613"/>
      <c r="S317" s="613"/>
      <c r="T317" s="613"/>
      <c r="U317" s="613"/>
      <c r="V317" s="613"/>
      <c r="W317" s="613"/>
      <c r="X317" s="613"/>
      <c r="Y317" s="613"/>
      <c r="Z317" s="613"/>
    </row>
    <row r="318" ht="15.75" customHeight="1">
      <c r="A318" s="613"/>
      <c r="B318" s="613"/>
      <c r="C318" s="613"/>
      <c r="D318" s="613"/>
      <c r="E318" s="613"/>
      <c r="F318" s="613"/>
      <c r="G318" s="613"/>
      <c r="H318" s="613"/>
      <c r="I318" s="613"/>
      <c r="J318" s="613"/>
      <c r="K318" s="613"/>
      <c r="L318" s="613"/>
      <c r="M318" s="613"/>
      <c r="N318" s="613"/>
      <c r="O318" s="613"/>
      <c r="P318" s="613"/>
      <c r="Q318" s="613"/>
      <c r="R318" s="613"/>
      <c r="S318" s="613"/>
      <c r="T318" s="613"/>
      <c r="U318" s="613"/>
      <c r="V318" s="613"/>
      <c r="W318" s="613"/>
      <c r="X318" s="613"/>
      <c r="Y318" s="613"/>
      <c r="Z318" s="613"/>
    </row>
    <row r="319" ht="15.75" customHeight="1">
      <c r="A319" s="613"/>
      <c r="B319" s="613"/>
      <c r="C319" s="613"/>
      <c r="D319" s="613"/>
      <c r="E319" s="613"/>
      <c r="F319" s="613"/>
      <c r="G319" s="613"/>
      <c r="H319" s="613"/>
      <c r="I319" s="613"/>
      <c r="J319" s="613"/>
      <c r="K319" s="613"/>
      <c r="L319" s="613"/>
      <c r="M319" s="613"/>
      <c r="N319" s="613"/>
      <c r="O319" s="613"/>
      <c r="P319" s="613"/>
      <c r="Q319" s="613"/>
      <c r="R319" s="613"/>
      <c r="S319" s="613"/>
      <c r="T319" s="613"/>
      <c r="U319" s="613"/>
      <c r="V319" s="613"/>
      <c r="W319" s="613"/>
      <c r="X319" s="613"/>
      <c r="Y319" s="613"/>
      <c r="Z319" s="613"/>
    </row>
    <row r="320" ht="15.75" customHeight="1">
      <c r="A320" s="613"/>
      <c r="B320" s="613"/>
      <c r="C320" s="613"/>
      <c r="D320" s="613"/>
      <c r="E320" s="613"/>
      <c r="F320" s="613"/>
      <c r="G320" s="613"/>
      <c r="H320" s="613"/>
      <c r="I320" s="613"/>
      <c r="J320" s="613"/>
      <c r="K320" s="613"/>
      <c r="L320" s="613"/>
      <c r="M320" s="613"/>
      <c r="N320" s="613"/>
      <c r="O320" s="613"/>
      <c r="P320" s="613"/>
      <c r="Q320" s="613"/>
      <c r="R320" s="613"/>
      <c r="S320" s="613"/>
      <c r="T320" s="613"/>
      <c r="U320" s="613"/>
      <c r="V320" s="613"/>
      <c r="W320" s="613"/>
      <c r="X320" s="613"/>
      <c r="Y320" s="613"/>
      <c r="Z320" s="613"/>
    </row>
    <row r="321" ht="15.75" customHeight="1">
      <c r="A321" s="613"/>
      <c r="B321" s="613"/>
      <c r="C321" s="613"/>
      <c r="D321" s="613"/>
      <c r="E321" s="613"/>
      <c r="F321" s="613"/>
      <c r="G321" s="613"/>
      <c r="H321" s="613"/>
      <c r="I321" s="613"/>
      <c r="J321" s="613"/>
      <c r="K321" s="613"/>
      <c r="L321" s="613"/>
      <c r="M321" s="613"/>
      <c r="N321" s="613"/>
      <c r="O321" s="613"/>
      <c r="P321" s="613"/>
      <c r="Q321" s="613"/>
      <c r="R321" s="613"/>
      <c r="S321" s="613"/>
      <c r="T321" s="613"/>
      <c r="U321" s="613"/>
      <c r="V321" s="613"/>
      <c r="W321" s="613"/>
      <c r="X321" s="613"/>
      <c r="Y321" s="613"/>
      <c r="Z321" s="613"/>
    </row>
    <row r="322" ht="15.75" customHeight="1">
      <c r="A322" s="613"/>
      <c r="B322" s="613"/>
      <c r="C322" s="613"/>
      <c r="D322" s="613"/>
      <c r="E322" s="613"/>
      <c r="F322" s="613"/>
      <c r="G322" s="613"/>
      <c r="H322" s="613"/>
      <c r="I322" s="613"/>
      <c r="J322" s="613"/>
      <c r="K322" s="613"/>
      <c r="L322" s="613"/>
      <c r="M322" s="613"/>
      <c r="N322" s="613"/>
      <c r="O322" s="613"/>
      <c r="P322" s="613"/>
      <c r="Q322" s="613"/>
      <c r="R322" s="613"/>
      <c r="S322" s="613"/>
      <c r="T322" s="613"/>
      <c r="U322" s="613"/>
      <c r="V322" s="613"/>
      <c r="W322" s="613"/>
      <c r="X322" s="613"/>
      <c r="Y322" s="613"/>
      <c r="Z322" s="613"/>
    </row>
    <row r="323" ht="15.75" customHeight="1">
      <c r="A323" s="613"/>
      <c r="B323" s="613"/>
      <c r="C323" s="613"/>
      <c r="D323" s="613"/>
      <c r="E323" s="613"/>
      <c r="F323" s="613"/>
      <c r="G323" s="613"/>
      <c r="H323" s="613"/>
      <c r="I323" s="613"/>
      <c r="J323" s="613"/>
      <c r="K323" s="613"/>
      <c r="L323" s="613"/>
      <c r="M323" s="613"/>
      <c r="N323" s="613"/>
      <c r="O323" s="613"/>
      <c r="P323" s="613"/>
      <c r="Q323" s="613"/>
      <c r="R323" s="613"/>
      <c r="S323" s="613"/>
      <c r="T323" s="613"/>
      <c r="U323" s="613"/>
      <c r="V323" s="613"/>
      <c r="W323" s="613"/>
      <c r="X323" s="613"/>
      <c r="Y323" s="613"/>
      <c r="Z323" s="613"/>
    </row>
    <row r="324" ht="15.75" customHeight="1">
      <c r="A324" s="613"/>
      <c r="B324" s="613"/>
      <c r="C324" s="613"/>
      <c r="D324" s="613"/>
      <c r="E324" s="613"/>
      <c r="F324" s="613"/>
      <c r="G324" s="613"/>
      <c r="H324" s="613"/>
      <c r="I324" s="613"/>
      <c r="J324" s="613"/>
      <c r="K324" s="613"/>
      <c r="L324" s="613"/>
      <c r="M324" s="613"/>
      <c r="N324" s="613"/>
      <c r="O324" s="613"/>
      <c r="P324" s="613"/>
      <c r="Q324" s="613"/>
      <c r="R324" s="613"/>
      <c r="S324" s="613"/>
      <c r="T324" s="613"/>
      <c r="U324" s="613"/>
      <c r="V324" s="613"/>
      <c r="W324" s="613"/>
      <c r="X324" s="613"/>
      <c r="Y324" s="613"/>
      <c r="Z324" s="613"/>
    </row>
    <row r="325" ht="15.75" customHeight="1">
      <c r="A325" s="613"/>
      <c r="B325" s="613"/>
      <c r="C325" s="613"/>
      <c r="D325" s="613"/>
      <c r="E325" s="613"/>
      <c r="F325" s="613"/>
      <c r="G325" s="613"/>
      <c r="H325" s="613"/>
      <c r="I325" s="613"/>
      <c r="J325" s="613"/>
      <c r="K325" s="613"/>
      <c r="L325" s="613"/>
      <c r="M325" s="613"/>
      <c r="N325" s="613"/>
      <c r="O325" s="613"/>
      <c r="P325" s="613"/>
      <c r="Q325" s="613"/>
      <c r="R325" s="613"/>
      <c r="S325" s="613"/>
      <c r="T325" s="613"/>
      <c r="U325" s="613"/>
      <c r="V325" s="613"/>
      <c r="W325" s="613"/>
      <c r="X325" s="613"/>
      <c r="Y325" s="613"/>
      <c r="Z325" s="613"/>
    </row>
    <row r="326" ht="15.75" customHeight="1">
      <c r="A326" s="613"/>
      <c r="B326" s="613"/>
      <c r="C326" s="613"/>
      <c r="D326" s="613"/>
      <c r="E326" s="613"/>
      <c r="F326" s="613"/>
      <c r="G326" s="613"/>
      <c r="H326" s="613"/>
      <c r="I326" s="613"/>
      <c r="J326" s="613"/>
      <c r="K326" s="613"/>
      <c r="L326" s="613"/>
      <c r="M326" s="613"/>
      <c r="N326" s="613"/>
      <c r="O326" s="613"/>
      <c r="P326" s="613"/>
      <c r="Q326" s="613"/>
      <c r="R326" s="613"/>
      <c r="S326" s="613"/>
      <c r="T326" s="613"/>
      <c r="U326" s="613"/>
      <c r="V326" s="613"/>
      <c r="W326" s="613"/>
      <c r="X326" s="613"/>
      <c r="Y326" s="613"/>
      <c r="Z326" s="613"/>
    </row>
    <row r="327" ht="15.75" customHeight="1">
      <c r="A327" s="613"/>
      <c r="B327" s="613"/>
      <c r="C327" s="613"/>
      <c r="D327" s="613"/>
      <c r="E327" s="613"/>
      <c r="F327" s="613"/>
      <c r="G327" s="613"/>
      <c r="H327" s="613"/>
      <c r="I327" s="613"/>
      <c r="J327" s="613"/>
      <c r="K327" s="613"/>
      <c r="L327" s="613"/>
      <c r="M327" s="613"/>
      <c r="N327" s="613"/>
      <c r="O327" s="613"/>
      <c r="P327" s="613"/>
      <c r="Q327" s="613"/>
      <c r="R327" s="613"/>
      <c r="S327" s="613"/>
      <c r="T327" s="613"/>
      <c r="U327" s="613"/>
      <c r="V327" s="613"/>
      <c r="W327" s="613"/>
      <c r="X327" s="613"/>
      <c r="Y327" s="613"/>
      <c r="Z327" s="613"/>
    </row>
    <row r="328" ht="15.75" customHeight="1">
      <c r="A328" s="613"/>
      <c r="B328" s="613"/>
      <c r="C328" s="613"/>
      <c r="D328" s="613"/>
      <c r="E328" s="613"/>
      <c r="F328" s="613"/>
      <c r="G328" s="613"/>
      <c r="H328" s="613"/>
      <c r="I328" s="613"/>
      <c r="J328" s="613"/>
      <c r="K328" s="613"/>
      <c r="L328" s="613"/>
      <c r="M328" s="613"/>
      <c r="N328" s="613"/>
      <c r="O328" s="613"/>
      <c r="P328" s="613"/>
      <c r="Q328" s="613"/>
      <c r="R328" s="613"/>
      <c r="S328" s="613"/>
      <c r="T328" s="613"/>
      <c r="U328" s="613"/>
      <c r="V328" s="613"/>
      <c r="W328" s="613"/>
      <c r="X328" s="613"/>
      <c r="Y328" s="613"/>
      <c r="Z328" s="613"/>
    </row>
    <row r="329" ht="15.75" customHeight="1">
      <c r="A329" s="613"/>
      <c r="B329" s="613"/>
      <c r="C329" s="613"/>
      <c r="D329" s="613"/>
      <c r="E329" s="613"/>
      <c r="F329" s="613"/>
      <c r="G329" s="613"/>
      <c r="H329" s="613"/>
      <c r="I329" s="613"/>
      <c r="J329" s="613"/>
      <c r="K329" s="613"/>
      <c r="L329" s="613"/>
      <c r="M329" s="613"/>
      <c r="N329" s="613"/>
      <c r="O329" s="613"/>
      <c r="P329" s="613"/>
      <c r="Q329" s="613"/>
      <c r="R329" s="613"/>
      <c r="S329" s="613"/>
      <c r="T329" s="613"/>
      <c r="U329" s="613"/>
      <c r="V329" s="613"/>
      <c r="W329" s="613"/>
      <c r="X329" s="613"/>
      <c r="Y329" s="613"/>
      <c r="Z329" s="613"/>
    </row>
    <row r="330" ht="15.75" customHeight="1">
      <c r="A330" s="613"/>
      <c r="B330" s="613"/>
      <c r="C330" s="613"/>
      <c r="D330" s="613"/>
      <c r="E330" s="613"/>
      <c r="F330" s="613"/>
      <c r="G330" s="613"/>
      <c r="H330" s="613"/>
      <c r="I330" s="613"/>
      <c r="J330" s="613"/>
      <c r="K330" s="613"/>
      <c r="L330" s="613"/>
      <c r="M330" s="613"/>
      <c r="N330" s="613"/>
      <c r="O330" s="613"/>
      <c r="P330" s="613"/>
      <c r="Q330" s="613"/>
      <c r="R330" s="613"/>
      <c r="S330" s="613"/>
      <c r="T330" s="613"/>
      <c r="U330" s="613"/>
      <c r="V330" s="613"/>
      <c r="W330" s="613"/>
      <c r="X330" s="613"/>
      <c r="Y330" s="613"/>
      <c r="Z330" s="613"/>
    </row>
    <row r="331" ht="15.75" customHeight="1">
      <c r="A331" s="613"/>
      <c r="B331" s="613"/>
      <c r="C331" s="613"/>
      <c r="D331" s="613"/>
      <c r="E331" s="613"/>
      <c r="F331" s="613"/>
      <c r="G331" s="613"/>
      <c r="H331" s="613"/>
      <c r="I331" s="613"/>
      <c r="J331" s="613"/>
      <c r="K331" s="613"/>
      <c r="L331" s="613"/>
      <c r="M331" s="613"/>
      <c r="N331" s="613"/>
      <c r="O331" s="613"/>
      <c r="P331" s="613"/>
      <c r="Q331" s="613"/>
      <c r="R331" s="613"/>
      <c r="S331" s="613"/>
      <c r="T331" s="613"/>
      <c r="U331" s="613"/>
      <c r="V331" s="613"/>
      <c r="W331" s="613"/>
      <c r="X331" s="613"/>
      <c r="Y331" s="613"/>
      <c r="Z331" s="613"/>
    </row>
    <row r="332" ht="15.75" customHeight="1">
      <c r="A332" s="613"/>
      <c r="B332" s="613"/>
      <c r="C332" s="613"/>
      <c r="D332" s="613"/>
      <c r="E332" s="613"/>
      <c r="F332" s="613"/>
      <c r="G332" s="613"/>
      <c r="H332" s="613"/>
      <c r="I332" s="613"/>
      <c r="J332" s="613"/>
      <c r="K332" s="613"/>
      <c r="L332" s="613"/>
      <c r="M332" s="613"/>
      <c r="N332" s="613"/>
      <c r="O332" s="613"/>
      <c r="P332" s="613"/>
      <c r="Q332" s="613"/>
      <c r="R332" s="613"/>
      <c r="S332" s="613"/>
      <c r="T332" s="613"/>
      <c r="U332" s="613"/>
      <c r="V332" s="613"/>
      <c r="W332" s="613"/>
      <c r="X332" s="613"/>
      <c r="Y332" s="613"/>
      <c r="Z332" s="613"/>
    </row>
    <row r="333" ht="15.75" customHeight="1">
      <c r="A333" s="613"/>
      <c r="B333" s="613"/>
      <c r="C333" s="613"/>
      <c r="D333" s="613"/>
      <c r="E333" s="613"/>
      <c r="F333" s="613"/>
      <c r="G333" s="613"/>
      <c r="H333" s="613"/>
      <c r="I333" s="613"/>
      <c r="J333" s="613"/>
      <c r="K333" s="613"/>
      <c r="L333" s="613"/>
      <c r="M333" s="613"/>
      <c r="N333" s="613"/>
      <c r="O333" s="613"/>
      <c r="P333" s="613"/>
      <c r="Q333" s="613"/>
      <c r="R333" s="613"/>
      <c r="S333" s="613"/>
      <c r="T333" s="613"/>
      <c r="U333" s="613"/>
      <c r="V333" s="613"/>
      <c r="W333" s="613"/>
      <c r="X333" s="613"/>
      <c r="Y333" s="613"/>
      <c r="Z333" s="613"/>
    </row>
    <row r="334" ht="15.75" customHeight="1">
      <c r="A334" s="613"/>
      <c r="B334" s="613"/>
      <c r="C334" s="613"/>
      <c r="D334" s="613"/>
      <c r="E334" s="613"/>
      <c r="F334" s="613"/>
      <c r="G334" s="613"/>
      <c r="H334" s="613"/>
      <c r="I334" s="613"/>
      <c r="J334" s="613"/>
      <c r="K334" s="613"/>
      <c r="L334" s="613"/>
      <c r="M334" s="613"/>
      <c r="N334" s="613"/>
      <c r="O334" s="613"/>
      <c r="P334" s="613"/>
      <c r="Q334" s="613"/>
      <c r="R334" s="613"/>
      <c r="S334" s="613"/>
      <c r="T334" s="613"/>
      <c r="U334" s="613"/>
      <c r="V334" s="613"/>
      <c r="W334" s="613"/>
      <c r="X334" s="613"/>
      <c r="Y334" s="613"/>
      <c r="Z334" s="613"/>
    </row>
    <row r="335" ht="15.75" customHeight="1">
      <c r="A335" s="613"/>
      <c r="B335" s="613"/>
      <c r="C335" s="613"/>
      <c r="D335" s="613"/>
      <c r="E335" s="613"/>
      <c r="F335" s="613"/>
      <c r="G335" s="613"/>
      <c r="H335" s="613"/>
      <c r="I335" s="613"/>
      <c r="J335" s="613"/>
      <c r="K335" s="613"/>
      <c r="L335" s="613"/>
      <c r="M335" s="613"/>
      <c r="N335" s="613"/>
      <c r="O335" s="613"/>
      <c r="P335" s="613"/>
      <c r="Q335" s="613"/>
      <c r="R335" s="613"/>
      <c r="S335" s="613"/>
      <c r="T335" s="613"/>
      <c r="U335" s="613"/>
      <c r="V335" s="613"/>
      <c r="W335" s="613"/>
      <c r="X335" s="613"/>
      <c r="Y335" s="613"/>
      <c r="Z335" s="613"/>
    </row>
    <row r="336" ht="15.75" customHeight="1">
      <c r="A336" s="613"/>
      <c r="B336" s="613"/>
      <c r="C336" s="613"/>
      <c r="D336" s="613"/>
      <c r="E336" s="613"/>
      <c r="F336" s="613"/>
      <c r="G336" s="613"/>
      <c r="H336" s="613"/>
      <c r="I336" s="613"/>
      <c r="J336" s="613"/>
      <c r="K336" s="613"/>
      <c r="L336" s="613"/>
      <c r="M336" s="613"/>
      <c r="N336" s="613"/>
      <c r="O336" s="613"/>
      <c r="P336" s="613"/>
      <c r="Q336" s="613"/>
      <c r="R336" s="613"/>
      <c r="S336" s="613"/>
      <c r="T336" s="613"/>
      <c r="U336" s="613"/>
      <c r="V336" s="613"/>
      <c r="W336" s="613"/>
      <c r="X336" s="613"/>
      <c r="Y336" s="613"/>
      <c r="Z336" s="613"/>
    </row>
    <row r="337" ht="15.75" customHeight="1">
      <c r="A337" s="613"/>
      <c r="B337" s="613"/>
      <c r="C337" s="613"/>
      <c r="D337" s="613"/>
      <c r="E337" s="613"/>
      <c r="F337" s="613"/>
      <c r="G337" s="613"/>
      <c r="H337" s="613"/>
      <c r="I337" s="613"/>
      <c r="J337" s="613"/>
      <c r="K337" s="613"/>
      <c r="L337" s="613"/>
      <c r="M337" s="613"/>
      <c r="N337" s="613"/>
      <c r="O337" s="613"/>
      <c r="P337" s="613"/>
      <c r="Q337" s="613"/>
      <c r="R337" s="613"/>
      <c r="S337" s="613"/>
      <c r="T337" s="613"/>
      <c r="U337" s="613"/>
      <c r="V337" s="613"/>
      <c r="W337" s="613"/>
      <c r="X337" s="613"/>
      <c r="Y337" s="613"/>
      <c r="Z337" s="613"/>
    </row>
    <row r="338" ht="15.75" customHeight="1">
      <c r="A338" s="613"/>
      <c r="B338" s="613"/>
      <c r="C338" s="613"/>
      <c r="D338" s="613"/>
      <c r="E338" s="613"/>
      <c r="F338" s="613"/>
      <c r="G338" s="613"/>
      <c r="H338" s="613"/>
      <c r="I338" s="613"/>
      <c r="J338" s="613"/>
      <c r="K338" s="613"/>
      <c r="L338" s="613"/>
      <c r="M338" s="613"/>
      <c r="N338" s="613"/>
      <c r="O338" s="613"/>
      <c r="P338" s="613"/>
      <c r="Q338" s="613"/>
      <c r="R338" s="613"/>
      <c r="S338" s="613"/>
      <c r="T338" s="613"/>
      <c r="U338" s="613"/>
      <c r="V338" s="613"/>
      <c r="W338" s="613"/>
      <c r="X338" s="613"/>
      <c r="Y338" s="613"/>
      <c r="Z338" s="613"/>
    </row>
    <row r="339" ht="15.75" customHeight="1">
      <c r="A339" s="613"/>
      <c r="B339" s="613"/>
      <c r="C339" s="613"/>
      <c r="D339" s="613"/>
      <c r="E339" s="613"/>
      <c r="F339" s="613"/>
      <c r="G339" s="613"/>
      <c r="H339" s="613"/>
      <c r="I339" s="613"/>
      <c r="J339" s="613"/>
      <c r="K339" s="613"/>
      <c r="L339" s="613"/>
      <c r="M339" s="613"/>
      <c r="N339" s="613"/>
      <c r="O339" s="613"/>
      <c r="P339" s="613"/>
      <c r="Q339" s="613"/>
      <c r="R339" s="613"/>
      <c r="S339" s="613"/>
      <c r="T339" s="613"/>
      <c r="U339" s="613"/>
      <c r="V339" s="613"/>
      <c r="W339" s="613"/>
      <c r="X339" s="613"/>
      <c r="Y339" s="613"/>
      <c r="Z339" s="613"/>
    </row>
    <row r="340" ht="15.75" customHeight="1">
      <c r="A340" s="613"/>
      <c r="B340" s="613"/>
      <c r="C340" s="613"/>
      <c r="D340" s="613"/>
      <c r="E340" s="613"/>
      <c r="F340" s="613"/>
      <c r="G340" s="613"/>
      <c r="H340" s="613"/>
      <c r="I340" s="613"/>
      <c r="J340" s="613"/>
      <c r="K340" s="613"/>
      <c r="L340" s="613"/>
      <c r="M340" s="613"/>
      <c r="N340" s="613"/>
      <c r="O340" s="613"/>
      <c r="P340" s="613"/>
      <c r="Q340" s="613"/>
      <c r="R340" s="613"/>
      <c r="S340" s="613"/>
      <c r="T340" s="613"/>
      <c r="U340" s="613"/>
      <c r="V340" s="613"/>
      <c r="W340" s="613"/>
      <c r="X340" s="613"/>
      <c r="Y340" s="613"/>
      <c r="Z340" s="613"/>
    </row>
    <row r="341" ht="15.75" customHeight="1">
      <c r="A341" s="613"/>
      <c r="B341" s="613"/>
      <c r="C341" s="613"/>
      <c r="D341" s="613"/>
      <c r="E341" s="613"/>
      <c r="F341" s="613"/>
      <c r="G341" s="613"/>
      <c r="H341" s="613"/>
      <c r="I341" s="613"/>
      <c r="J341" s="613"/>
      <c r="K341" s="613"/>
      <c r="L341" s="613"/>
      <c r="M341" s="613"/>
      <c r="N341" s="613"/>
      <c r="O341" s="613"/>
      <c r="P341" s="613"/>
      <c r="Q341" s="613"/>
      <c r="R341" s="613"/>
      <c r="S341" s="613"/>
      <c r="T341" s="613"/>
      <c r="U341" s="613"/>
      <c r="V341" s="613"/>
      <c r="W341" s="613"/>
      <c r="X341" s="613"/>
      <c r="Y341" s="613"/>
      <c r="Z341" s="613"/>
    </row>
    <row r="342" ht="15.75" customHeight="1">
      <c r="A342" s="613"/>
      <c r="B342" s="613"/>
      <c r="C342" s="613"/>
      <c r="D342" s="613"/>
      <c r="E342" s="613"/>
      <c r="F342" s="613"/>
      <c r="G342" s="613"/>
      <c r="H342" s="613"/>
      <c r="I342" s="613"/>
      <c r="J342" s="613"/>
      <c r="K342" s="613"/>
      <c r="L342" s="613"/>
      <c r="M342" s="613"/>
      <c r="N342" s="613"/>
      <c r="O342" s="613"/>
      <c r="P342" s="613"/>
      <c r="Q342" s="613"/>
      <c r="R342" s="613"/>
      <c r="S342" s="613"/>
      <c r="T342" s="613"/>
      <c r="U342" s="613"/>
      <c r="V342" s="613"/>
      <c r="W342" s="613"/>
      <c r="X342" s="613"/>
      <c r="Y342" s="613"/>
      <c r="Z342" s="613"/>
    </row>
    <row r="343" ht="15.75" customHeight="1">
      <c r="A343" s="613"/>
      <c r="B343" s="613"/>
      <c r="C343" s="613"/>
      <c r="D343" s="613"/>
      <c r="E343" s="613"/>
      <c r="F343" s="613"/>
      <c r="G343" s="613"/>
      <c r="H343" s="613"/>
      <c r="I343" s="613"/>
      <c r="J343" s="613"/>
      <c r="K343" s="613"/>
      <c r="L343" s="613"/>
      <c r="M343" s="613"/>
      <c r="N343" s="613"/>
      <c r="O343" s="613"/>
      <c r="P343" s="613"/>
      <c r="Q343" s="613"/>
      <c r="R343" s="613"/>
      <c r="S343" s="613"/>
      <c r="T343" s="613"/>
      <c r="U343" s="613"/>
      <c r="V343" s="613"/>
      <c r="W343" s="613"/>
      <c r="X343" s="613"/>
      <c r="Y343" s="613"/>
      <c r="Z343" s="613"/>
    </row>
    <row r="344" ht="15.75" customHeight="1">
      <c r="A344" s="613"/>
      <c r="B344" s="613"/>
      <c r="C344" s="613"/>
      <c r="D344" s="613"/>
      <c r="E344" s="613"/>
      <c r="F344" s="613"/>
      <c r="G344" s="613"/>
      <c r="H344" s="613"/>
      <c r="I344" s="613"/>
      <c r="J344" s="613"/>
      <c r="K344" s="613"/>
      <c r="L344" s="613"/>
      <c r="M344" s="613"/>
      <c r="N344" s="613"/>
      <c r="O344" s="613"/>
      <c r="P344" s="613"/>
      <c r="Q344" s="613"/>
      <c r="R344" s="613"/>
      <c r="S344" s="613"/>
      <c r="T344" s="613"/>
      <c r="U344" s="613"/>
      <c r="V344" s="613"/>
      <c r="W344" s="613"/>
      <c r="X344" s="613"/>
      <c r="Y344" s="613"/>
      <c r="Z344" s="613"/>
    </row>
    <row r="345" ht="15.75" customHeight="1">
      <c r="A345" s="613"/>
      <c r="B345" s="613"/>
      <c r="C345" s="613"/>
      <c r="D345" s="613"/>
      <c r="E345" s="613"/>
      <c r="F345" s="613"/>
      <c r="G345" s="613"/>
      <c r="H345" s="613"/>
      <c r="I345" s="613"/>
      <c r="J345" s="613"/>
      <c r="K345" s="613"/>
      <c r="L345" s="613"/>
      <c r="M345" s="613"/>
      <c r="N345" s="613"/>
      <c r="O345" s="613"/>
      <c r="P345" s="613"/>
      <c r="Q345" s="613"/>
      <c r="R345" s="613"/>
      <c r="S345" s="613"/>
      <c r="T345" s="613"/>
      <c r="U345" s="613"/>
      <c r="V345" s="613"/>
      <c r="W345" s="613"/>
      <c r="X345" s="613"/>
      <c r="Y345" s="613"/>
      <c r="Z345" s="613"/>
    </row>
    <row r="346" ht="15.75" customHeight="1">
      <c r="A346" s="613"/>
      <c r="B346" s="613"/>
      <c r="C346" s="613"/>
      <c r="D346" s="613"/>
      <c r="E346" s="613"/>
      <c r="F346" s="613"/>
      <c r="G346" s="613"/>
      <c r="H346" s="613"/>
      <c r="I346" s="613"/>
      <c r="J346" s="613"/>
      <c r="K346" s="613"/>
      <c r="L346" s="613"/>
      <c r="M346" s="613"/>
      <c r="N346" s="613"/>
      <c r="O346" s="613"/>
      <c r="P346" s="613"/>
      <c r="Q346" s="613"/>
      <c r="R346" s="613"/>
      <c r="S346" s="613"/>
      <c r="T346" s="613"/>
      <c r="U346" s="613"/>
      <c r="V346" s="613"/>
      <c r="W346" s="613"/>
      <c r="X346" s="613"/>
      <c r="Y346" s="613"/>
      <c r="Z346" s="613"/>
    </row>
    <row r="347" ht="15.75" customHeight="1">
      <c r="A347" s="613"/>
      <c r="B347" s="613"/>
      <c r="C347" s="613"/>
      <c r="D347" s="613"/>
      <c r="E347" s="613"/>
      <c r="F347" s="613"/>
      <c r="G347" s="613"/>
      <c r="H347" s="613"/>
      <c r="I347" s="613"/>
      <c r="J347" s="613"/>
      <c r="K347" s="613"/>
      <c r="L347" s="613"/>
      <c r="M347" s="613"/>
      <c r="N347" s="613"/>
      <c r="O347" s="613"/>
      <c r="P347" s="613"/>
      <c r="Q347" s="613"/>
      <c r="R347" s="613"/>
      <c r="S347" s="613"/>
      <c r="T347" s="613"/>
      <c r="U347" s="613"/>
      <c r="V347" s="613"/>
      <c r="W347" s="613"/>
      <c r="X347" s="613"/>
      <c r="Y347" s="613"/>
      <c r="Z347" s="613"/>
    </row>
    <row r="348" ht="15.75" customHeight="1">
      <c r="A348" s="613"/>
      <c r="B348" s="613"/>
      <c r="C348" s="613"/>
      <c r="D348" s="613"/>
      <c r="E348" s="613"/>
      <c r="F348" s="613"/>
      <c r="G348" s="613"/>
      <c r="H348" s="613"/>
      <c r="I348" s="613"/>
      <c r="J348" s="613"/>
      <c r="K348" s="613"/>
      <c r="L348" s="613"/>
      <c r="M348" s="613"/>
      <c r="N348" s="613"/>
      <c r="O348" s="613"/>
      <c r="P348" s="613"/>
      <c r="Q348" s="613"/>
      <c r="R348" s="613"/>
      <c r="S348" s="613"/>
      <c r="T348" s="613"/>
      <c r="U348" s="613"/>
      <c r="V348" s="613"/>
      <c r="W348" s="613"/>
      <c r="X348" s="613"/>
      <c r="Y348" s="613"/>
      <c r="Z348" s="613"/>
    </row>
    <row r="349" ht="15.75" customHeight="1">
      <c r="A349" s="613"/>
      <c r="B349" s="613"/>
      <c r="C349" s="613"/>
      <c r="D349" s="613"/>
      <c r="E349" s="613"/>
      <c r="F349" s="613"/>
      <c r="G349" s="613"/>
      <c r="H349" s="613"/>
      <c r="I349" s="613"/>
      <c r="J349" s="613"/>
      <c r="K349" s="613"/>
      <c r="L349" s="613"/>
      <c r="M349" s="613"/>
      <c r="N349" s="613"/>
      <c r="O349" s="613"/>
      <c r="P349" s="613"/>
      <c r="Q349" s="613"/>
      <c r="R349" s="613"/>
      <c r="S349" s="613"/>
      <c r="T349" s="613"/>
      <c r="U349" s="613"/>
      <c r="V349" s="613"/>
      <c r="W349" s="613"/>
      <c r="X349" s="613"/>
      <c r="Y349" s="613"/>
      <c r="Z349" s="613"/>
    </row>
    <row r="350" ht="15.75" customHeight="1">
      <c r="A350" s="613"/>
      <c r="B350" s="613"/>
      <c r="C350" s="613"/>
      <c r="D350" s="613"/>
      <c r="E350" s="613"/>
      <c r="F350" s="613"/>
      <c r="G350" s="613"/>
      <c r="H350" s="613"/>
      <c r="I350" s="613"/>
      <c r="J350" s="613"/>
      <c r="K350" s="613"/>
      <c r="L350" s="613"/>
      <c r="M350" s="613"/>
      <c r="N350" s="613"/>
      <c r="O350" s="613"/>
      <c r="P350" s="613"/>
      <c r="Q350" s="613"/>
      <c r="R350" s="613"/>
      <c r="S350" s="613"/>
      <c r="T350" s="613"/>
      <c r="U350" s="613"/>
      <c r="V350" s="613"/>
      <c r="W350" s="613"/>
      <c r="X350" s="613"/>
      <c r="Y350" s="613"/>
      <c r="Z350" s="613"/>
    </row>
    <row r="351" ht="15.75" customHeight="1">
      <c r="A351" s="613"/>
      <c r="B351" s="613"/>
      <c r="C351" s="613"/>
      <c r="D351" s="613"/>
      <c r="E351" s="613"/>
      <c r="F351" s="613"/>
      <c r="G351" s="613"/>
      <c r="H351" s="613"/>
      <c r="I351" s="613"/>
      <c r="J351" s="613"/>
      <c r="K351" s="613"/>
      <c r="L351" s="613"/>
      <c r="M351" s="613"/>
      <c r="N351" s="613"/>
      <c r="O351" s="613"/>
      <c r="P351" s="613"/>
      <c r="Q351" s="613"/>
      <c r="R351" s="613"/>
      <c r="S351" s="613"/>
      <c r="T351" s="613"/>
      <c r="U351" s="613"/>
      <c r="V351" s="613"/>
      <c r="W351" s="613"/>
      <c r="X351" s="613"/>
      <c r="Y351" s="613"/>
      <c r="Z351" s="613"/>
    </row>
    <row r="352" ht="15.75" customHeight="1">
      <c r="A352" s="613"/>
      <c r="B352" s="613"/>
      <c r="C352" s="613"/>
      <c r="D352" s="613"/>
      <c r="E352" s="613"/>
      <c r="F352" s="613"/>
      <c r="G352" s="613"/>
      <c r="H352" s="613"/>
      <c r="I352" s="613"/>
      <c r="J352" s="613"/>
      <c r="K352" s="613"/>
      <c r="L352" s="613"/>
      <c r="M352" s="613"/>
      <c r="N352" s="613"/>
      <c r="O352" s="613"/>
      <c r="P352" s="613"/>
      <c r="Q352" s="613"/>
      <c r="R352" s="613"/>
      <c r="S352" s="613"/>
      <c r="T352" s="613"/>
      <c r="U352" s="613"/>
      <c r="V352" s="613"/>
      <c r="W352" s="613"/>
      <c r="X352" s="613"/>
      <c r="Y352" s="613"/>
      <c r="Z352" s="613"/>
    </row>
    <row r="353" ht="15.75" customHeight="1">
      <c r="A353" s="613"/>
      <c r="B353" s="613"/>
      <c r="C353" s="613"/>
      <c r="D353" s="613"/>
      <c r="E353" s="613"/>
      <c r="F353" s="613"/>
      <c r="G353" s="613"/>
      <c r="H353" s="613"/>
      <c r="I353" s="613"/>
      <c r="J353" s="613"/>
      <c r="K353" s="613"/>
      <c r="L353" s="613"/>
      <c r="M353" s="613"/>
      <c r="N353" s="613"/>
      <c r="O353" s="613"/>
      <c r="P353" s="613"/>
      <c r="Q353" s="613"/>
      <c r="R353" s="613"/>
      <c r="S353" s="613"/>
      <c r="T353" s="613"/>
      <c r="U353" s="613"/>
      <c r="V353" s="613"/>
      <c r="W353" s="613"/>
      <c r="X353" s="613"/>
      <c r="Y353" s="613"/>
      <c r="Z353" s="613"/>
    </row>
    <row r="354" ht="15.75" customHeight="1">
      <c r="A354" s="613"/>
      <c r="B354" s="613"/>
      <c r="C354" s="613"/>
      <c r="D354" s="613"/>
      <c r="E354" s="613"/>
      <c r="F354" s="613"/>
      <c r="G354" s="613"/>
      <c r="H354" s="613"/>
      <c r="I354" s="613"/>
      <c r="J354" s="613"/>
      <c r="K354" s="613"/>
      <c r="L354" s="613"/>
      <c r="M354" s="613"/>
      <c r="N354" s="613"/>
      <c r="O354" s="613"/>
      <c r="P354" s="613"/>
      <c r="Q354" s="613"/>
      <c r="R354" s="613"/>
      <c r="S354" s="613"/>
      <c r="T354" s="613"/>
      <c r="U354" s="613"/>
      <c r="V354" s="613"/>
      <c r="W354" s="613"/>
      <c r="X354" s="613"/>
      <c r="Y354" s="613"/>
      <c r="Z354" s="613"/>
    </row>
    <row r="355" ht="15.75" customHeight="1">
      <c r="A355" s="613"/>
      <c r="B355" s="613"/>
      <c r="C355" s="613"/>
      <c r="D355" s="613"/>
      <c r="E355" s="613"/>
      <c r="F355" s="613"/>
      <c r="G355" s="613"/>
      <c r="H355" s="613"/>
      <c r="I355" s="613"/>
      <c r="J355" s="613"/>
      <c r="K355" s="613"/>
      <c r="L355" s="613"/>
      <c r="M355" s="613"/>
      <c r="N355" s="613"/>
      <c r="O355" s="613"/>
      <c r="P355" s="613"/>
      <c r="Q355" s="613"/>
      <c r="R355" s="613"/>
      <c r="S355" s="613"/>
      <c r="T355" s="613"/>
      <c r="U355" s="613"/>
      <c r="V355" s="613"/>
      <c r="W355" s="613"/>
      <c r="X355" s="613"/>
      <c r="Y355" s="613"/>
      <c r="Z355" s="613"/>
    </row>
    <row r="356" ht="15.75" customHeight="1">
      <c r="A356" s="613"/>
      <c r="B356" s="613"/>
      <c r="C356" s="613"/>
      <c r="D356" s="613"/>
      <c r="E356" s="613"/>
      <c r="F356" s="613"/>
      <c r="G356" s="613"/>
      <c r="H356" s="613"/>
      <c r="I356" s="613"/>
      <c r="J356" s="613"/>
      <c r="K356" s="613"/>
      <c r="L356" s="613"/>
      <c r="M356" s="613"/>
      <c r="N356" s="613"/>
      <c r="O356" s="613"/>
      <c r="P356" s="613"/>
      <c r="Q356" s="613"/>
      <c r="R356" s="613"/>
      <c r="S356" s="613"/>
      <c r="T356" s="613"/>
      <c r="U356" s="613"/>
      <c r="V356" s="613"/>
      <c r="W356" s="613"/>
      <c r="X356" s="613"/>
      <c r="Y356" s="613"/>
      <c r="Z356" s="613"/>
    </row>
    <row r="357" ht="15.75" customHeight="1">
      <c r="A357" s="613"/>
      <c r="B357" s="613"/>
      <c r="C357" s="613"/>
      <c r="D357" s="613"/>
      <c r="E357" s="613"/>
      <c r="F357" s="613"/>
      <c r="G357" s="613"/>
      <c r="H357" s="613"/>
      <c r="I357" s="613"/>
      <c r="J357" s="613"/>
      <c r="K357" s="613"/>
      <c r="L357" s="613"/>
      <c r="M357" s="613"/>
      <c r="N357" s="613"/>
      <c r="O357" s="613"/>
      <c r="P357" s="613"/>
      <c r="Q357" s="613"/>
      <c r="R357" s="613"/>
      <c r="S357" s="613"/>
      <c r="T357" s="613"/>
      <c r="U357" s="613"/>
      <c r="V357" s="613"/>
      <c r="W357" s="613"/>
      <c r="X357" s="613"/>
      <c r="Y357" s="613"/>
      <c r="Z357" s="613"/>
    </row>
    <row r="358" ht="15.75" customHeight="1">
      <c r="A358" s="613"/>
      <c r="B358" s="613"/>
      <c r="C358" s="613"/>
      <c r="D358" s="613"/>
      <c r="E358" s="613"/>
      <c r="F358" s="613"/>
      <c r="G358" s="613"/>
      <c r="H358" s="613"/>
      <c r="I358" s="613"/>
      <c r="J358" s="613"/>
      <c r="K358" s="613"/>
      <c r="L358" s="613"/>
      <c r="M358" s="613"/>
      <c r="N358" s="613"/>
      <c r="O358" s="613"/>
      <c r="P358" s="613"/>
      <c r="Q358" s="613"/>
      <c r="R358" s="613"/>
      <c r="S358" s="613"/>
      <c r="T358" s="613"/>
      <c r="U358" s="613"/>
      <c r="V358" s="613"/>
      <c r="W358" s="613"/>
      <c r="X358" s="613"/>
      <c r="Y358" s="613"/>
      <c r="Z358" s="613"/>
    </row>
    <row r="359" ht="15.75" customHeight="1">
      <c r="A359" s="613"/>
      <c r="B359" s="613"/>
      <c r="C359" s="613"/>
      <c r="D359" s="613"/>
      <c r="E359" s="613"/>
      <c r="F359" s="613"/>
      <c r="G359" s="613"/>
      <c r="H359" s="613"/>
      <c r="I359" s="613"/>
      <c r="J359" s="613"/>
      <c r="K359" s="613"/>
      <c r="L359" s="613"/>
      <c r="M359" s="613"/>
      <c r="N359" s="613"/>
      <c r="O359" s="613"/>
      <c r="P359" s="613"/>
      <c r="Q359" s="613"/>
      <c r="R359" s="613"/>
      <c r="S359" s="613"/>
      <c r="T359" s="613"/>
      <c r="U359" s="613"/>
      <c r="V359" s="613"/>
      <c r="W359" s="613"/>
      <c r="X359" s="613"/>
      <c r="Y359" s="613"/>
      <c r="Z359" s="613"/>
    </row>
    <row r="360" ht="15.75" customHeight="1">
      <c r="A360" s="613"/>
      <c r="B360" s="613"/>
      <c r="C360" s="613"/>
      <c r="D360" s="613"/>
      <c r="E360" s="613"/>
      <c r="F360" s="613"/>
      <c r="G360" s="613"/>
      <c r="H360" s="613"/>
      <c r="I360" s="613"/>
      <c r="J360" s="613"/>
      <c r="K360" s="613"/>
      <c r="L360" s="613"/>
      <c r="M360" s="613"/>
      <c r="N360" s="613"/>
      <c r="O360" s="613"/>
      <c r="P360" s="613"/>
      <c r="Q360" s="613"/>
      <c r="R360" s="613"/>
      <c r="S360" s="613"/>
      <c r="T360" s="613"/>
      <c r="U360" s="613"/>
      <c r="V360" s="613"/>
      <c r="W360" s="613"/>
      <c r="X360" s="613"/>
      <c r="Y360" s="613"/>
      <c r="Z360" s="613"/>
    </row>
    <row r="361" ht="15.75" customHeight="1">
      <c r="A361" s="613"/>
      <c r="B361" s="613"/>
      <c r="C361" s="613"/>
      <c r="D361" s="613"/>
      <c r="E361" s="613"/>
      <c r="F361" s="613"/>
      <c r="G361" s="613"/>
      <c r="H361" s="613"/>
      <c r="I361" s="613"/>
      <c r="J361" s="613"/>
      <c r="K361" s="613"/>
      <c r="L361" s="613"/>
      <c r="M361" s="613"/>
      <c r="N361" s="613"/>
      <c r="O361" s="613"/>
      <c r="P361" s="613"/>
      <c r="Q361" s="613"/>
      <c r="R361" s="613"/>
      <c r="S361" s="613"/>
      <c r="T361" s="613"/>
      <c r="U361" s="613"/>
      <c r="V361" s="613"/>
      <c r="W361" s="613"/>
      <c r="X361" s="613"/>
      <c r="Y361" s="613"/>
      <c r="Z361" s="613"/>
    </row>
    <row r="362" ht="15.75" customHeight="1">
      <c r="A362" s="613"/>
      <c r="B362" s="613"/>
      <c r="C362" s="613"/>
      <c r="D362" s="613"/>
      <c r="E362" s="613"/>
      <c r="F362" s="613"/>
      <c r="G362" s="613"/>
      <c r="H362" s="613"/>
      <c r="I362" s="613"/>
      <c r="J362" s="613"/>
      <c r="K362" s="613"/>
      <c r="L362" s="613"/>
      <c r="M362" s="613"/>
      <c r="N362" s="613"/>
      <c r="O362" s="613"/>
      <c r="P362" s="613"/>
      <c r="Q362" s="613"/>
      <c r="R362" s="613"/>
      <c r="S362" s="613"/>
      <c r="T362" s="613"/>
      <c r="U362" s="613"/>
      <c r="V362" s="613"/>
      <c r="W362" s="613"/>
      <c r="X362" s="613"/>
      <c r="Y362" s="613"/>
      <c r="Z362" s="613"/>
    </row>
    <row r="363" ht="15.75" customHeight="1">
      <c r="A363" s="613"/>
      <c r="B363" s="613"/>
      <c r="C363" s="613"/>
      <c r="D363" s="613"/>
      <c r="E363" s="613"/>
      <c r="F363" s="613"/>
      <c r="G363" s="613"/>
      <c r="H363" s="613"/>
      <c r="I363" s="613"/>
      <c r="J363" s="613"/>
      <c r="K363" s="613"/>
      <c r="L363" s="613"/>
      <c r="M363" s="613"/>
      <c r="N363" s="613"/>
      <c r="O363" s="613"/>
      <c r="P363" s="613"/>
      <c r="Q363" s="613"/>
      <c r="R363" s="613"/>
      <c r="S363" s="613"/>
      <c r="T363" s="613"/>
      <c r="U363" s="613"/>
      <c r="V363" s="613"/>
      <c r="W363" s="613"/>
      <c r="X363" s="613"/>
      <c r="Y363" s="613"/>
      <c r="Z363" s="613"/>
    </row>
    <row r="364" ht="15.75" customHeight="1">
      <c r="A364" s="613"/>
      <c r="B364" s="613"/>
      <c r="C364" s="613"/>
      <c r="D364" s="613"/>
      <c r="E364" s="613"/>
      <c r="F364" s="613"/>
      <c r="G364" s="613"/>
      <c r="H364" s="613"/>
      <c r="I364" s="613"/>
      <c r="J364" s="613"/>
      <c r="K364" s="613"/>
      <c r="L364" s="613"/>
      <c r="M364" s="613"/>
      <c r="N364" s="613"/>
      <c r="O364" s="613"/>
      <c r="P364" s="613"/>
      <c r="Q364" s="613"/>
      <c r="R364" s="613"/>
      <c r="S364" s="613"/>
      <c r="T364" s="613"/>
      <c r="U364" s="613"/>
      <c r="V364" s="613"/>
      <c r="W364" s="613"/>
      <c r="X364" s="613"/>
      <c r="Y364" s="613"/>
      <c r="Z364" s="613"/>
    </row>
    <row r="365" ht="15.75" customHeight="1">
      <c r="A365" s="613"/>
      <c r="B365" s="613"/>
      <c r="C365" s="613"/>
      <c r="D365" s="613"/>
      <c r="E365" s="613"/>
      <c r="F365" s="613"/>
      <c r="G365" s="613"/>
      <c r="H365" s="613"/>
      <c r="I365" s="613"/>
      <c r="J365" s="613"/>
      <c r="K365" s="613"/>
      <c r="L365" s="613"/>
      <c r="M365" s="613"/>
      <c r="N365" s="613"/>
      <c r="O365" s="613"/>
      <c r="P365" s="613"/>
      <c r="Q365" s="613"/>
      <c r="R365" s="613"/>
      <c r="S365" s="613"/>
      <c r="T365" s="613"/>
      <c r="U365" s="613"/>
      <c r="V365" s="613"/>
      <c r="W365" s="613"/>
      <c r="X365" s="613"/>
      <c r="Y365" s="613"/>
      <c r="Z365" s="613"/>
    </row>
    <row r="366" ht="15.75" customHeight="1">
      <c r="A366" s="613"/>
      <c r="B366" s="613"/>
      <c r="C366" s="613"/>
      <c r="D366" s="613"/>
      <c r="E366" s="613"/>
      <c r="F366" s="613"/>
      <c r="G366" s="613"/>
      <c r="H366" s="613"/>
      <c r="I366" s="613"/>
      <c r="J366" s="613"/>
      <c r="K366" s="613"/>
      <c r="L366" s="613"/>
      <c r="M366" s="613"/>
      <c r="N366" s="613"/>
      <c r="O366" s="613"/>
      <c r="P366" s="613"/>
      <c r="Q366" s="613"/>
      <c r="R366" s="613"/>
      <c r="S366" s="613"/>
      <c r="T366" s="613"/>
      <c r="U366" s="613"/>
      <c r="V366" s="613"/>
      <c r="W366" s="613"/>
      <c r="X366" s="613"/>
      <c r="Y366" s="613"/>
      <c r="Z366" s="613"/>
    </row>
    <row r="367" ht="15.75" customHeight="1">
      <c r="A367" s="613"/>
      <c r="B367" s="613"/>
      <c r="C367" s="613"/>
      <c r="D367" s="613"/>
      <c r="E367" s="613"/>
      <c r="F367" s="613"/>
      <c r="G367" s="613"/>
      <c r="H367" s="613"/>
      <c r="I367" s="613"/>
      <c r="J367" s="613"/>
      <c r="K367" s="613"/>
      <c r="L367" s="613"/>
      <c r="M367" s="613"/>
      <c r="N367" s="613"/>
      <c r="O367" s="613"/>
      <c r="P367" s="613"/>
      <c r="Q367" s="613"/>
      <c r="R367" s="613"/>
      <c r="S367" s="613"/>
      <c r="T367" s="613"/>
      <c r="U367" s="613"/>
      <c r="V367" s="613"/>
      <c r="W367" s="613"/>
      <c r="X367" s="613"/>
      <c r="Y367" s="613"/>
      <c r="Z367" s="613"/>
    </row>
    <row r="368" ht="15.75" customHeight="1">
      <c r="A368" s="613"/>
      <c r="B368" s="613"/>
      <c r="C368" s="613"/>
      <c r="D368" s="613"/>
      <c r="E368" s="613"/>
      <c r="F368" s="613"/>
      <c r="G368" s="613"/>
      <c r="H368" s="613"/>
      <c r="I368" s="613"/>
      <c r="J368" s="613"/>
      <c r="K368" s="613"/>
      <c r="L368" s="613"/>
      <c r="M368" s="613"/>
      <c r="N368" s="613"/>
      <c r="O368" s="613"/>
      <c r="P368" s="613"/>
      <c r="Q368" s="613"/>
      <c r="R368" s="613"/>
      <c r="S368" s="613"/>
      <c r="T368" s="613"/>
      <c r="U368" s="613"/>
      <c r="V368" s="613"/>
      <c r="W368" s="613"/>
      <c r="X368" s="613"/>
      <c r="Y368" s="613"/>
      <c r="Z368" s="613"/>
    </row>
    <row r="369" ht="15.75" customHeight="1">
      <c r="A369" s="613"/>
      <c r="B369" s="613"/>
      <c r="C369" s="613"/>
      <c r="D369" s="613"/>
      <c r="E369" s="613"/>
      <c r="F369" s="613"/>
      <c r="G369" s="613"/>
      <c r="H369" s="613"/>
      <c r="I369" s="613"/>
      <c r="J369" s="613"/>
      <c r="K369" s="613"/>
      <c r="L369" s="613"/>
      <c r="M369" s="613"/>
      <c r="N369" s="613"/>
      <c r="O369" s="613"/>
      <c r="P369" s="613"/>
      <c r="Q369" s="613"/>
      <c r="R369" s="613"/>
      <c r="S369" s="613"/>
      <c r="T369" s="613"/>
      <c r="U369" s="613"/>
      <c r="V369" s="613"/>
      <c r="W369" s="613"/>
      <c r="X369" s="613"/>
      <c r="Y369" s="613"/>
      <c r="Z369" s="613"/>
    </row>
    <row r="370" ht="15.75" customHeight="1">
      <c r="A370" s="613"/>
      <c r="B370" s="613"/>
      <c r="C370" s="613"/>
      <c r="D370" s="613"/>
      <c r="E370" s="613"/>
      <c r="F370" s="613"/>
      <c r="G370" s="613"/>
      <c r="H370" s="613"/>
      <c r="I370" s="613"/>
      <c r="J370" s="613"/>
      <c r="K370" s="613"/>
      <c r="L370" s="613"/>
      <c r="M370" s="613"/>
      <c r="N370" s="613"/>
      <c r="O370" s="613"/>
      <c r="P370" s="613"/>
      <c r="Q370" s="613"/>
      <c r="R370" s="613"/>
      <c r="S370" s="613"/>
      <c r="T370" s="613"/>
      <c r="U370" s="613"/>
      <c r="V370" s="613"/>
      <c r="W370" s="613"/>
      <c r="X370" s="613"/>
      <c r="Y370" s="613"/>
      <c r="Z370" s="613"/>
    </row>
    <row r="371" ht="15.75" customHeight="1">
      <c r="A371" s="613"/>
      <c r="B371" s="613"/>
      <c r="C371" s="613"/>
      <c r="D371" s="613"/>
      <c r="E371" s="613"/>
      <c r="F371" s="613"/>
      <c r="G371" s="613"/>
      <c r="H371" s="613"/>
      <c r="I371" s="613"/>
      <c r="J371" s="613"/>
      <c r="K371" s="613"/>
      <c r="L371" s="613"/>
      <c r="M371" s="613"/>
      <c r="N371" s="613"/>
      <c r="O371" s="613"/>
      <c r="P371" s="613"/>
      <c r="Q371" s="613"/>
      <c r="R371" s="613"/>
      <c r="S371" s="613"/>
      <c r="T371" s="613"/>
      <c r="U371" s="613"/>
      <c r="V371" s="613"/>
      <c r="W371" s="613"/>
      <c r="X371" s="613"/>
      <c r="Y371" s="613"/>
      <c r="Z371" s="613"/>
    </row>
    <row r="372" ht="15.75" customHeight="1">
      <c r="A372" s="613"/>
      <c r="B372" s="613"/>
      <c r="C372" s="613"/>
      <c r="D372" s="613"/>
      <c r="E372" s="613"/>
      <c r="F372" s="613"/>
      <c r="G372" s="613"/>
      <c r="H372" s="613"/>
      <c r="I372" s="613"/>
      <c r="J372" s="613"/>
      <c r="K372" s="613"/>
      <c r="L372" s="613"/>
      <c r="M372" s="613"/>
      <c r="N372" s="613"/>
      <c r="O372" s="613"/>
      <c r="P372" s="613"/>
      <c r="Q372" s="613"/>
      <c r="R372" s="613"/>
      <c r="S372" s="613"/>
      <c r="T372" s="613"/>
      <c r="U372" s="613"/>
      <c r="V372" s="613"/>
      <c r="W372" s="613"/>
      <c r="X372" s="613"/>
      <c r="Y372" s="613"/>
      <c r="Z372" s="613"/>
    </row>
    <row r="373" ht="15.75" customHeight="1">
      <c r="A373" s="613"/>
      <c r="B373" s="613"/>
      <c r="C373" s="613"/>
      <c r="D373" s="613"/>
      <c r="E373" s="613"/>
      <c r="F373" s="613"/>
      <c r="G373" s="613"/>
      <c r="H373" s="613"/>
      <c r="I373" s="613"/>
      <c r="J373" s="613"/>
      <c r="K373" s="613"/>
      <c r="L373" s="613"/>
      <c r="M373" s="613"/>
      <c r="N373" s="613"/>
      <c r="O373" s="613"/>
      <c r="P373" s="613"/>
      <c r="Q373" s="613"/>
      <c r="R373" s="613"/>
      <c r="S373" s="613"/>
      <c r="T373" s="613"/>
      <c r="U373" s="613"/>
      <c r="V373" s="613"/>
      <c r="W373" s="613"/>
      <c r="X373" s="613"/>
      <c r="Y373" s="613"/>
      <c r="Z373" s="613"/>
    </row>
    <row r="374" ht="15.75" customHeight="1">
      <c r="A374" s="613"/>
      <c r="B374" s="613"/>
      <c r="C374" s="613"/>
      <c r="D374" s="613"/>
      <c r="E374" s="613"/>
      <c r="F374" s="613"/>
      <c r="G374" s="613"/>
      <c r="H374" s="613"/>
      <c r="I374" s="613"/>
      <c r="J374" s="613"/>
      <c r="K374" s="613"/>
      <c r="L374" s="613"/>
      <c r="M374" s="613"/>
      <c r="N374" s="613"/>
      <c r="O374" s="613"/>
      <c r="P374" s="613"/>
      <c r="Q374" s="613"/>
      <c r="R374" s="613"/>
      <c r="S374" s="613"/>
      <c r="T374" s="613"/>
      <c r="U374" s="613"/>
      <c r="V374" s="613"/>
      <c r="W374" s="613"/>
      <c r="X374" s="613"/>
      <c r="Y374" s="613"/>
      <c r="Z374" s="613"/>
    </row>
    <row r="375" ht="15.75" customHeight="1">
      <c r="A375" s="613"/>
      <c r="B375" s="613"/>
      <c r="C375" s="613"/>
      <c r="D375" s="613"/>
      <c r="E375" s="613"/>
      <c r="F375" s="613"/>
      <c r="G375" s="613"/>
      <c r="H375" s="613"/>
      <c r="I375" s="613"/>
      <c r="J375" s="613"/>
      <c r="K375" s="613"/>
      <c r="L375" s="613"/>
      <c r="M375" s="613"/>
      <c r="N375" s="613"/>
      <c r="O375" s="613"/>
      <c r="P375" s="613"/>
      <c r="Q375" s="613"/>
      <c r="R375" s="613"/>
      <c r="S375" s="613"/>
      <c r="T375" s="613"/>
      <c r="U375" s="613"/>
      <c r="V375" s="613"/>
      <c r="W375" s="613"/>
      <c r="X375" s="613"/>
      <c r="Y375" s="613"/>
      <c r="Z375" s="613"/>
    </row>
    <row r="376" ht="15.75" customHeight="1">
      <c r="A376" s="613"/>
      <c r="B376" s="613"/>
      <c r="C376" s="613"/>
      <c r="D376" s="613"/>
      <c r="E376" s="613"/>
      <c r="F376" s="613"/>
      <c r="G376" s="613"/>
      <c r="H376" s="613"/>
      <c r="I376" s="613"/>
      <c r="J376" s="613"/>
      <c r="K376" s="613"/>
      <c r="L376" s="613"/>
      <c r="M376" s="613"/>
      <c r="N376" s="613"/>
      <c r="O376" s="613"/>
      <c r="P376" s="613"/>
      <c r="Q376" s="613"/>
      <c r="R376" s="613"/>
      <c r="S376" s="613"/>
      <c r="T376" s="613"/>
      <c r="U376" s="613"/>
      <c r="V376" s="613"/>
      <c r="W376" s="613"/>
      <c r="X376" s="613"/>
      <c r="Y376" s="613"/>
      <c r="Z376" s="613"/>
    </row>
    <row r="377" ht="15.75" customHeight="1">
      <c r="A377" s="613"/>
      <c r="B377" s="613"/>
      <c r="C377" s="613"/>
      <c r="D377" s="613"/>
      <c r="E377" s="613"/>
      <c r="F377" s="613"/>
      <c r="G377" s="613"/>
      <c r="H377" s="613"/>
      <c r="I377" s="613"/>
      <c r="J377" s="613"/>
      <c r="K377" s="613"/>
      <c r="L377" s="613"/>
      <c r="M377" s="613"/>
      <c r="N377" s="613"/>
      <c r="O377" s="613"/>
      <c r="P377" s="613"/>
      <c r="Q377" s="613"/>
      <c r="R377" s="613"/>
      <c r="S377" s="613"/>
      <c r="T377" s="613"/>
      <c r="U377" s="613"/>
      <c r="V377" s="613"/>
      <c r="W377" s="613"/>
      <c r="X377" s="613"/>
      <c r="Y377" s="613"/>
      <c r="Z377" s="613"/>
    </row>
    <row r="378" ht="15.75" customHeight="1">
      <c r="A378" s="613"/>
      <c r="B378" s="613"/>
      <c r="C378" s="613"/>
      <c r="D378" s="613"/>
      <c r="E378" s="613"/>
      <c r="F378" s="613"/>
      <c r="G378" s="613"/>
      <c r="H378" s="613"/>
      <c r="I378" s="613"/>
      <c r="J378" s="613"/>
      <c r="K378" s="613"/>
      <c r="L378" s="613"/>
      <c r="M378" s="613"/>
      <c r="N378" s="613"/>
      <c r="O378" s="613"/>
      <c r="P378" s="613"/>
      <c r="Q378" s="613"/>
      <c r="R378" s="613"/>
      <c r="S378" s="613"/>
      <c r="T378" s="613"/>
      <c r="U378" s="613"/>
      <c r="V378" s="613"/>
      <c r="W378" s="613"/>
      <c r="X378" s="613"/>
      <c r="Y378" s="613"/>
      <c r="Z378" s="613"/>
    </row>
    <row r="379" ht="15.75" customHeight="1">
      <c r="A379" s="613"/>
      <c r="B379" s="613"/>
      <c r="C379" s="613"/>
      <c r="D379" s="613"/>
      <c r="E379" s="613"/>
      <c r="F379" s="613"/>
      <c r="G379" s="613"/>
      <c r="H379" s="613"/>
      <c r="I379" s="613"/>
      <c r="J379" s="613"/>
      <c r="K379" s="613"/>
      <c r="L379" s="613"/>
      <c r="M379" s="613"/>
      <c r="N379" s="613"/>
      <c r="O379" s="613"/>
      <c r="P379" s="613"/>
      <c r="Q379" s="613"/>
      <c r="R379" s="613"/>
      <c r="S379" s="613"/>
      <c r="T379" s="613"/>
      <c r="U379" s="613"/>
      <c r="V379" s="613"/>
      <c r="W379" s="613"/>
      <c r="X379" s="613"/>
      <c r="Y379" s="613"/>
      <c r="Z379" s="613"/>
    </row>
    <row r="380" ht="15.75" customHeight="1">
      <c r="A380" s="613"/>
      <c r="B380" s="613"/>
      <c r="C380" s="613"/>
      <c r="D380" s="613"/>
      <c r="E380" s="613"/>
      <c r="F380" s="613"/>
      <c r="G380" s="613"/>
      <c r="H380" s="613"/>
      <c r="I380" s="613"/>
      <c r="J380" s="613"/>
      <c r="K380" s="613"/>
      <c r="L380" s="613"/>
      <c r="M380" s="613"/>
      <c r="N380" s="613"/>
      <c r="O380" s="613"/>
      <c r="P380" s="613"/>
      <c r="Q380" s="613"/>
      <c r="R380" s="613"/>
      <c r="S380" s="613"/>
      <c r="T380" s="613"/>
      <c r="U380" s="613"/>
      <c r="V380" s="613"/>
      <c r="W380" s="613"/>
      <c r="X380" s="613"/>
      <c r="Y380" s="613"/>
      <c r="Z380" s="613"/>
    </row>
    <row r="381" ht="15.75" customHeight="1">
      <c r="A381" s="613"/>
      <c r="B381" s="613"/>
      <c r="C381" s="613"/>
      <c r="D381" s="613"/>
      <c r="E381" s="613"/>
      <c r="F381" s="613"/>
      <c r="G381" s="613"/>
      <c r="H381" s="613"/>
      <c r="I381" s="613"/>
      <c r="J381" s="613"/>
      <c r="K381" s="613"/>
      <c r="L381" s="613"/>
      <c r="M381" s="613"/>
      <c r="N381" s="613"/>
      <c r="O381" s="613"/>
      <c r="P381" s="613"/>
      <c r="Q381" s="613"/>
      <c r="R381" s="613"/>
      <c r="S381" s="613"/>
      <c r="T381" s="613"/>
      <c r="U381" s="613"/>
      <c r="V381" s="613"/>
      <c r="W381" s="613"/>
      <c r="X381" s="613"/>
      <c r="Y381" s="613"/>
      <c r="Z381" s="613"/>
    </row>
    <row r="382" ht="15.75" customHeight="1">
      <c r="A382" s="613"/>
      <c r="B382" s="613"/>
      <c r="C382" s="613"/>
      <c r="D382" s="613"/>
      <c r="E382" s="613"/>
      <c r="F382" s="613"/>
      <c r="G382" s="613"/>
      <c r="H382" s="613"/>
      <c r="I382" s="613"/>
      <c r="J382" s="613"/>
      <c r="K382" s="613"/>
      <c r="L382" s="613"/>
      <c r="M382" s="613"/>
      <c r="N382" s="613"/>
      <c r="O382" s="613"/>
      <c r="P382" s="613"/>
      <c r="Q382" s="613"/>
      <c r="R382" s="613"/>
      <c r="S382" s="613"/>
      <c r="T382" s="613"/>
      <c r="U382" s="613"/>
      <c r="V382" s="613"/>
      <c r="W382" s="613"/>
      <c r="X382" s="613"/>
      <c r="Y382" s="613"/>
      <c r="Z382" s="613"/>
    </row>
    <row r="383" ht="15.75" customHeight="1">
      <c r="A383" s="613"/>
      <c r="B383" s="613"/>
      <c r="C383" s="613"/>
      <c r="D383" s="613"/>
      <c r="E383" s="613"/>
      <c r="F383" s="613"/>
      <c r="G383" s="613"/>
      <c r="H383" s="613"/>
      <c r="I383" s="613"/>
      <c r="J383" s="613"/>
      <c r="K383" s="613"/>
      <c r="L383" s="613"/>
      <c r="M383" s="613"/>
      <c r="N383" s="613"/>
      <c r="O383" s="613"/>
      <c r="P383" s="613"/>
      <c r="Q383" s="613"/>
      <c r="R383" s="613"/>
      <c r="S383" s="613"/>
      <c r="T383" s="613"/>
      <c r="U383" s="613"/>
      <c r="V383" s="613"/>
      <c r="W383" s="613"/>
      <c r="X383" s="613"/>
      <c r="Y383" s="613"/>
      <c r="Z383" s="613"/>
    </row>
    <row r="384" ht="15.75" customHeight="1">
      <c r="A384" s="613"/>
      <c r="B384" s="613"/>
      <c r="C384" s="613"/>
      <c r="D384" s="613"/>
      <c r="E384" s="613"/>
      <c r="F384" s="613"/>
      <c r="G384" s="613"/>
      <c r="H384" s="613"/>
      <c r="I384" s="613"/>
      <c r="J384" s="613"/>
      <c r="K384" s="613"/>
      <c r="L384" s="613"/>
      <c r="M384" s="613"/>
      <c r="N384" s="613"/>
      <c r="O384" s="613"/>
      <c r="P384" s="613"/>
      <c r="Q384" s="613"/>
      <c r="R384" s="613"/>
      <c r="S384" s="613"/>
      <c r="T384" s="613"/>
      <c r="U384" s="613"/>
      <c r="V384" s="613"/>
      <c r="W384" s="613"/>
      <c r="X384" s="613"/>
      <c r="Y384" s="613"/>
      <c r="Z384" s="613"/>
    </row>
    <row r="385" ht="15.75" customHeight="1">
      <c r="A385" s="613"/>
      <c r="B385" s="613"/>
      <c r="C385" s="613"/>
      <c r="D385" s="613"/>
      <c r="E385" s="613"/>
      <c r="F385" s="613"/>
      <c r="G385" s="613"/>
      <c r="H385" s="613"/>
      <c r="I385" s="613"/>
      <c r="J385" s="613"/>
      <c r="K385" s="613"/>
      <c r="L385" s="613"/>
      <c r="M385" s="613"/>
      <c r="N385" s="613"/>
      <c r="O385" s="613"/>
      <c r="P385" s="613"/>
      <c r="Q385" s="613"/>
      <c r="R385" s="613"/>
      <c r="S385" s="613"/>
      <c r="T385" s="613"/>
      <c r="U385" s="613"/>
      <c r="V385" s="613"/>
      <c r="W385" s="613"/>
      <c r="X385" s="613"/>
      <c r="Y385" s="613"/>
      <c r="Z385" s="613"/>
    </row>
    <row r="386" ht="15.75" customHeight="1">
      <c r="A386" s="613"/>
      <c r="B386" s="613"/>
      <c r="C386" s="613"/>
      <c r="D386" s="613"/>
      <c r="E386" s="613"/>
      <c r="F386" s="613"/>
      <c r="G386" s="613"/>
      <c r="H386" s="613"/>
      <c r="I386" s="613"/>
      <c r="J386" s="613"/>
      <c r="K386" s="613"/>
      <c r="L386" s="613"/>
      <c r="M386" s="613"/>
      <c r="N386" s="613"/>
      <c r="O386" s="613"/>
      <c r="P386" s="613"/>
      <c r="Q386" s="613"/>
      <c r="R386" s="613"/>
      <c r="S386" s="613"/>
      <c r="T386" s="613"/>
      <c r="U386" s="613"/>
      <c r="V386" s="613"/>
      <c r="W386" s="613"/>
      <c r="X386" s="613"/>
      <c r="Y386" s="613"/>
      <c r="Z386" s="613"/>
    </row>
    <row r="387" ht="15.75" customHeight="1">
      <c r="A387" s="613"/>
      <c r="B387" s="613"/>
      <c r="C387" s="613"/>
      <c r="D387" s="613"/>
      <c r="E387" s="613"/>
      <c r="F387" s="613"/>
      <c r="G387" s="613"/>
      <c r="H387" s="613"/>
      <c r="I387" s="613"/>
      <c r="J387" s="613"/>
      <c r="K387" s="613"/>
      <c r="L387" s="613"/>
      <c r="M387" s="613"/>
      <c r="N387" s="613"/>
      <c r="O387" s="613"/>
      <c r="P387" s="613"/>
      <c r="Q387" s="613"/>
      <c r="R387" s="613"/>
      <c r="S387" s="613"/>
      <c r="T387" s="613"/>
      <c r="U387" s="613"/>
      <c r="V387" s="613"/>
      <c r="W387" s="613"/>
      <c r="X387" s="613"/>
      <c r="Y387" s="613"/>
      <c r="Z387" s="613"/>
    </row>
    <row r="388" ht="15.75" customHeight="1">
      <c r="A388" s="613"/>
      <c r="B388" s="613"/>
      <c r="C388" s="613"/>
      <c r="D388" s="613"/>
      <c r="E388" s="613"/>
      <c r="F388" s="613"/>
      <c r="G388" s="613"/>
      <c r="H388" s="613"/>
      <c r="I388" s="613"/>
      <c r="J388" s="613"/>
      <c r="K388" s="613"/>
      <c r="L388" s="613"/>
      <c r="M388" s="613"/>
      <c r="N388" s="613"/>
      <c r="O388" s="613"/>
      <c r="P388" s="613"/>
      <c r="Q388" s="613"/>
      <c r="R388" s="613"/>
      <c r="S388" s="613"/>
      <c r="T388" s="613"/>
      <c r="U388" s="613"/>
      <c r="V388" s="613"/>
      <c r="W388" s="613"/>
      <c r="X388" s="613"/>
      <c r="Y388" s="613"/>
      <c r="Z388" s="613"/>
    </row>
    <row r="389" ht="15.75" customHeight="1">
      <c r="A389" s="613"/>
      <c r="B389" s="613"/>
      <c r="C389" s="613"/>
      <c r="D389" s="613"/>
      <c r="E389" s="613"/>
      <c r="F389" s="613"/>
      <c r="G389" s="613"/>
      <c r="H389" s="613"/>
      <c r="I389" s="613"/>
      <c r="J389" s="613"/>
      <c r="K389" s="613"/>
      <c r="L389" s="613"/>
      <c r="M389" s="613"/>
      <c r="N389" s="613"/>
      <c r="O389" s="613"/>
      <c r="P389" s="613"/>
      <c r="Q389" s="613"/>
      <c r="R389" s="613"/>
      <c r="S389" s="613"/>
      <c r="T389" s="613"/>
      <c r="U389" s="613"/>
      <c r="V389" s="613"/>
      <c r="W389" s="613"/>
      <c r="X389" s="613"/>
      <c r="Y389" s="613"/>
      <c r="Z389" s="613"/>
    </row>
    <row r="390" ht="15.75" customHeight="1">
      <c r="A390" s="613"/>
      <c r="B390" s="613"/>
      <c r="C390" s="613"/>
      <c r="D390" s="613"/>
      <c r="E390" s="613"/>
      <c r="F390" s="613"/>
      <c r="G390" s="613"/>
      <c r="H390" s="613"/>
      <c r="I390" s="613"/>
      <c r="J390" s="613"/>
      <c r="K390" s="613"/>
      <c r="L390" s="613"/>
      <c r="M390" s="613"/>
      <c r="N390" s="613"/>
      <c r="O390" s="613"/>
      <c r="P390" s="613"/>
      <c r="Q390" s="613"/>
      <c r="R390" s="613"/>
      <c r="S390" s="613"/>
      <c r="T390" s="613"/>
      <c r="U390" s="613"/>
      <c r="V390" s="613"/>
      <c r="W390" s="613"/>
      <c r="X390" s="613"/>
      <c r="Y390" s="613"/>
      <c r="Z390" s="613"/>
    </row>
    <row r="391" ht="15.75" customHeight="1">
      <c r="A391" s="613"/>
      <c r="B391" s="613"/>
      <c r="C391" s="613"/>
      <c r="D391" s="613"/>
      <c r="E391" s="613"/>
      <c r="F391" s="613"/>
      <c r="G391" s="613"/>
      <c r="H391" s="613"/>
      <c r="I391" s="613"/>
      <c r="J391" s="613"/>
      <c r="K391" s="613"/>
      <c r="L391" s="613"/>
      <c r="M391" s="613"/>
      <c r="N391" s="613"/>
      <c r="O391" s="613"/>
      <c r="P391" s="613"/>
      <c r="Q391" s="613"/>
      <c r="R391" s="613"/>
      <c r="S391" s="613"/>
      <c r="T391" s="613"/>
      <c r="U391" s="613"/>
      <c r="V391" s="613"/>
      <c r="W391" s="613"/>
      <c r="X391" s="613"/>
      <c r="Y391" s="613"/>
      <c r="Z391" s="613"/>
    </row>
    <row r="392" ht="15.75" customHeight="1">
      <c r="A392" s="613"/>
      <c r="B392" s="613"/>
      <c r="C392" s="613"/>
      <c r="D392" s="613"/>
      <c r="E392" s="613"/>
      <c r="F392" s="613"/>
      <c r="G392" s="613"/>
      <c r="H392" s="613"/>
      <c r="I392" s="613"/>
      <c r="J392" s="613"/>
      <c r="K392" s="613"/>
      <c r="L392" s="613"/>
      <c r="M392" s="613"/>
      <c r="N392" s="613"/>
      <c r="O392" s="613"/>
      <c r="P392" s="613"/>
      <c r="Q392" s="613"/>
      <c r="R392" s="613"/>
      <c r="S392" s="613"/>
      <c r="T392" s="613"/>
      <c r="U392" s="613"/>
      <c r="V392" s="613"/>
      <c r="W392" s="613"/>
      <c r="X392" s="613"/>
      <c r="Y392" s="613"/>
      <c r="Z392" s="613"/>
    </row>
    <row r="393" ht="15.75" customHeight="1">
      <c r="A393" s="613"/>
      <c r="B393" s="613"/>
      <c r="C393" s="613"/>
      <c r="D393" s="613"/>
      <c r="E393" s="613"/>
      <c r="F393" s="613"/>
      <c r="G393" s="613"/>
      <c r="H393" s="613"/>
      <c r="I393" s="613"/>
      <c r="J393" s="613"/>
      <c r="K393" s="613"/>
      <c r="L393" s="613"/>
      <c r="M393" s="613"/>
      <c r="N393" s="613"/>
      <c r="O393" s="613"/>
      <c r="P393" s="613"/>
      <c r="Q393" s="613"/>
      <c r="R393" s="613"/>
      <c r="S393" s="613"/>
      <c r="T393" s="613"/>
      <c r="U393" s="613"/>
      <c r="V393" s="613"/>
      <c r="W393" s="613"/>
      <c r="X393" s="613"/>
      <c r="Y393" s="613"/>
      <c r="Z393" s="613"/>
    </row>
    <row r="394" ht="15.75" customHeight="1">
      <c r="A394" s="613"/>
      <c r="B394" s="613"/>
      <c r="C394" s="613"/>
      <c r="D394" s="613"/>
      <c r="E394" s="613"/>
      <c r="F394" s="613"/>
      <c r="G394" s="613"/>
      <c r="H394" s="613"/>
      <c r="I394" s="613"/>
      <c r="J394" s="613"/>
      <c r="K394" s="613"/>
      <c r="L394" s="613"/>
      <c r="M394" s="613"/>
      <c r="N394" s="613"/>
      <c r="O394" s="613"/>
      <c r="P394" s="613"/>
      <c r="Q394" s="613"/>
      <c r="R394" s="613"/>
      <c r="S394" s="613"/>
      <c r="T394" s="613"/>
      <c r="U394" s="613"/>
      <c r="V394" s="613"/>
      <c r="W394" s="613"/>
      <c r="X394" s="613"/>
      <c r="Y394" s="613"/>
      <c r="Z394" s="613"/>
    </row>
    <row r="395" ht="15.75" customHeight="1">
      <c r="A395" s="613"/>
      <c r="B395" s="613"/>
      <c r="C395" s="613"/>
      <c r="D395" s="613"/>
      <c r="E395" s="613"/>
      <c r="F395" s="613"/>
      <c r="G395" s="613"/>
      <c r="H395" s="613"/>
      <c r="I395" s="613"/>
      <c r="J395" s="613"/>
      <c r="K395" s="613"/>
      <c r="L395" s="613"/>
      <c r="M395" s="613"/>
      <c r="N395" s="613"/>
      <c r="O395" s="613"/>
      <c r="P395" s="613"/>
      <c r="Q395" s="613"/>
      <c r="R395" s="613"/>
      <c r="S395" s="613"/>
      <c r="T395" s="613"/>
      <c r="U395" s="613"/>
      <c r="V395" s="613"/>
      <c r="W395" s="613"/>
      <c r="X395" s="613"/>
      <c r="Y395" s="613"/>
      <c r="Z395" s="613"/>
    </row>
    <row r="396" ht="15.75" customHeight="1">
      <c r="A396" s="613"/>
      <c r="B396" s="613"/>
      <c r="C396" s="613"/>
      <c r="D396" s="613"/>
      <c r="E396" s="613"/>
      <c r="F396" s="613"/>
      <c r="G396" s="613"/>
      <c r="H396" s="613"/>
      <c r="I396" s="613"/>
      <c r="J396" s="613"/>
      <c r="K396" s="613"/>
      <c r="L396" s="613"/>
      <c r="M396" s="613"/>
      <c r="N396" s="613"/>
      <c r="O396" s="613"/>
      <c r="P396" s="613"/>
      <c r="Q396" s="613"/>
      <c r="R396" s="613"/>
      <c r="S396" s="613"/>
      <c r="T396" s="613"/>
      <c r="U396" s="613"/>
      <c r="V396" s="613"/>
      <c r="W396" s="613"/>
      <c r="X396" s="613"/>
      <c r="Y396" s="613"/>
      <c r="Z396" s="613"/>
    </row>
    <row r="397" ht="15.75" customHeight="1">
      <c r="A397" s="613"/>
      <c r="B397" s="613"/>
      <c r="C397" s="613"/>
      <c r="D397" s="613"/>
      <c r="E397" s="613"/>
      <c r="F397" s="613"/>
      <c r="G397" s="613"/>
      <c r="H397" s="613"/>
      <c r="I397" s="613"/>
      <c r="J397" s="613"/>
      <c r="K397" s="613"/>
      <c r="L397" s="613"/>
      <c r="M397" s="613"/>
      <c r="N397" s="613"/>
      <c r="O397" s="613"/>
      <c r="P397" s="613"/>
      <c r="Q397" s="613"/>
      <c r="R397" s="613"/>
      <c r="S397" s="613"/>
      <c r="T397" s="613"/>
      <c r="U397" s="613"/>
      <c r="V397" s="613"/>
      <c r="W397" s="613"/>
      <c r="X397" s="613"/>
      <c r="Y397" s="613"/>
      <c r="Z397" s="613"/>
    </row>
    <row r="398" ht="15.75" customHeight="1">
      <c r="A398" s="613"/>
      <c r="B398" s="613"/>
      <c r="C398" s="613"/>
      <c r="D398" s="613"/>
      <c r="E398" s="613"/>
      <c r="F398" s="613"/>
      <c r="G398" s="613"/>
      <c r="H398" s="613"/>
      <c r="I398" s="613"/>
      <c r="J398" s="613"/>
      <c r="K398" s="613"/>
      <c r="L398" s="613"/>
      <c r="M398" s="613"/>
      <c r="N398" s="613"/>
      <c r="O398" s="613"/>
      <c r="P398" s="613"/>
      <c r="Q398" s="613"/>
      <c r="R398" s="613"/>
      <c r="S398" s="613"/>
      <c r="T398" s="613"/>
      <c r="U398" s="613"/>
      <c r="V398" s="613"/>
      <c r="W398" s="613"/>
      <c r="X398" s="613"/>
      <c r="Y398" s="613"/>
      <c r="Z398" s="613"/>
    </row>
    <row r="399" ht="15.75" customHeight="1">
      <c r="A399" s="613"/>
      <c r="B399" s="613"/>
      <c r="C399" s="613"/>
      <c r="D399" s="613"/>
      <c r="E399" s="613"/>
      <c r="F399" s="613"/>
      <c r="G399" s="613"/>
      <c r="H399" s="613"/>
      <c r="I399" s="613"/>
      <c r="J399" s="613"/>
      <c r="K399" s="613"/>
      <c r="L399" s="613"/>
      <c r="M399" s="613"/>
      <c r="N399" s="613"/>
      <c r="O399" s="613"/>
      <c r="P399" s="613"/>
      <c r="Q399" s="613"/>
      <c r="R399" s="613"/>
      <c r="S399" s="613"/>
      <c r="T399" s="613"/>
      <c r="U399" s="613"/>
      <c r="V399" s="613"/>
      <c r="W399" s="613"/>
      <c r="X399" s="613"/>
      <c r="Y399" s="613"/>
      <c r="Z399" s="613"/>
    </row>
    <row r="400" ht="15.75" customHeight="1">
      <c r="A400" s="613"/>
      <c r="B400" s="613"/>
      <c r="C400" s="613"/>
      <c r="D400" s="613"/>
      <c r="E400" s="613"/>
      <c r="F400" s="613"/>
      <c r="G400" s="613"/>
      <c r="H400" s="613"/>
      <c r="I400" s="613"/>
      <c r="J400" s="613"/>
      <c r="K400" s="613"/>
      <c r="L400" s="613"/>
      <c r="M400" s="613"/>
      <c r="N400" s="613"/>
      <c r="O400" s="613"/>
      <c r="P400" s="613"/>
      <c r="Q400" s="613"/>
      <c r="R400" s="613"/>
      <c r="S400" s="613"/>
      <c r="T400" s="613"/>
      <c r="U400" s="613"/>
      <c r="V400" s="613"/>
      <c r="W400" s="613"/>
      <c r="X400" s="613"/>
      <c r="Y400" s="613"/>
      <c r="Z400" s="613"/>
    </row>
    <row r="401" ht="15.75" customHeight="1">
      <c r="A401" s="613"/>
      <c r="B401" s="613"/>
      <c r="C401" s="613"/>
      <c r="D401" s="613"/>
      <c r="E401" s="613"/>
      <c r="F401" s="613"/>
      <c r="G401" s="613"/>
      <c r="H401" s="613"/>
      <c r="I401" s="613"/>
      <c r="J401" s="613"/>
      <c r="K401" s="613"/>
      <c r="L401" s="613"/>
      <c r="M401" s="613"/>
      <c r="N401" s="613"/>
      <c r="O401" s="613"/>
      <c r="P401" s="613"/>
      <c r="Q401" s="613"/>
      <c r="R401" s="613"/>
      <c r="S401" s="613"/>
      <c r="T401" s="613"/>
      <c r="U401" s="613"/>
      <c r="V401" s="613"/>
      <c r="W401" s="613"/>
      <c r="X401" s="613"/>
      <c r="Y401" s="613"/>
      <c r="Z401" s="613"/>
    </row>
    <row r="402" ht="15.75" customHeight="1">
      <c r="A402" s="613"/>
      <c r="B402" s="613"/>
      <c r="C402" s="613"/>
      <c r="D402" s="613"/>
      <c r="E402" s="613"/>
      <c r="F402" s="613"/>
      <c r="G402" s="613"/>
      <c r="H402" s="613"/>
      <c r="I402" s="613"/>
      <c r="J402" s="613"/>
      <c r="K402" s="613"/>
      <c r="L402" s="613"/>
      <c r="M402" s="613"/>
      <c r="N402" s="613"/>
      <c r="O402" s="613"/>
      <c r="P402" s="613"/>
      <c r="Q402" s="613"/>
      <c r="R402" s="613"/>
      <c r="S402" s="613"/>
      <c r="T402" s="613"/>
      <c r="U402" s="613"/>
      <c r="V402" s="613"/>
      <c r="W402" s="613"/>
      <c r="X402" s="613"/>
      <c r="Y402" s="613"/>
      <c r="Z402" s="613"/>
    </row>
    <row r="403" ht="15.75" customHeight="1">
      <c r="A403" s="613"/>
      <c r="B403" s="613"/>
      <c r="C403" s="613"/>
      <c r="D403" s="613"/>
      <c r="E403" s="613"/>
      <c r="F403" s="613"/>
      <c r="G403" s="613"/>
      <c r="H403" s="613"/>
      <c r="I403" s="613"/>
      <c r="J403" s="613"/>
      <c r="K403" s="613"/>
      <c r="L403" s="613"/>
      <c r="M403" s="613"/>
      <c r="N403" s="613"/>
      <c r="O403" s="613"/>
      <c r="P403" s="613"/>
      <c r="Q403" s="613"/>
      <c r="R403" s="613"/>
      <c r="S403" s="613"/>
      <c r="T403" s="613"/>
      <c r="U403" s="613"/>
      <c r="V403" s="613"/>
      <c r="W403" s="613"/>
      <c r="X403" s="613"/>
      <c r="Y403" s="613"/>
      <c r="Z403" s="613"/>
    </row>
    <row r="404" ht="15.75" customHeight="1">
      <c r="A404" s="613"/>
      <c r="B404" s="613"/>
      <c r="C404" s="613"/>
      <c r="D404" s="613"/>
      <c r="E404" s="613"/>
      <c r="F404" s="613"/>
      <c r="G404" s="613"/>
      <c r="H404" s="613"/>
      <c r="I404" s="613"/>
      <c r="J404" s="613"/>
      <c r="K404" s="613"/>
      <c r="L404" s="613"/>
      <c r="M404" s="613"/>
      <c r="N404" s="613"/>
      <c r="O404" s="613"/>
      <c r="P404" s="613"/>
      <c r="Q404" s="613"/>
      <c r="R404" s="613"/>
      <c r="S404" s="613"/>
      <c r="T404" s="613"/>
      <c r="U404" s="613"/>
      <c r="V404" s="613"/>
      <c r="W404" s="613"/>
      <c r="X404" s="613"/>
      <c r="Y404" s="613"/>
      <c r="Z404" s="613"/>
    </row>
    <row r="405" ht="15.75" customHeight="1">
      <c r="A405" s="613"/>
      <c r="B405" s="613"/>
      <c r="C405" s="613"/>
      <c r="D405" s="613"/>
      <c r="E405" s="613"/>
      <c r="F405" s="613"/>
      <c r="G405" s="613"/>
      <c r="H405" s="613"/>
      <c r="I405" s="613"/>
      <c r="J405" s="613"/>
      <c r="K405" s="613"/>
      <c r="L405" s="613"/>
      <c r="M405" s="613"/>
      <c r="N405" s="613"/>
      <c r="O405" s="613"/>
      <c r="P405" s="613"/>
      <c r="Q405" s="613"/>
      <c r="R405" s="613"/>
      <c r="S405" s="613"/>
      <c r="T405" s="613"/>
      <c r="U405" s="613"/>
      <c r="V405" s="613"/>
      <c r="W405" s="613"/>
      <c r="X405" s="613"/>
      <c r="Y405" s="613"/>
      <c r="Z405" s="613"/>
    </row>
    <row r="406" ht="15.75" customHeight="1">
      <c r="A406" s="613"/>
      <c r="B406" s="613"/>
      <c r="C406" s="613"/>
      <c r="D406" s="613"/>
      <c r="E406" s="613"/>
      <c r="F406" s="613"/>
      <c r="G406" s="613"/>
      <c r="H406" s="613"/>
      <c r="I406" s="613"/>
      <c r="J406" s="613"/>
      <c r="K406" s="613"/>
      <c r="L406" s="613"/>
      <c r="M406" s="613"/>
      <c r="N406" s="613"/>
      <c r="O406" s="613"/>
      <c r="P406" s="613"/>
      <c r="Q406" s="613"/>
      <c r="R406" s="613"/>
      <c r="S406" s="613"/>
      <c r="T406" s="613"/>
      <c r="U406" s="613"/>
      <c r="V406" s="613"/>
      <c r="W406" s="613"/>
      <c r="X406" s="613"/>
      <c r="Y406" s="613"/>
      <c r="Z406" s="613"/>
    </row>
    <row r="407" ht="15.75" customHeight="1">
      <c r="A407" s="613"/>
      <c r="B407" s="613"/>
      <c r="C407" s="613"/>
      <c r="D407" s="613"/>
      <c r="E407" s="613"/>
      <c r="F407" s="613"/>
      <c r="G407" s="613"/>
      <c r="H407" s="613"/>
      <c r="I407" s="613"/>
      <c r="J407" s="613"/>
      <c r="K407" s="613"/>
      <c r="L407" s="613"/>
      <c r="M407" s="613"/>
      <c r="N407" s="613"/>
      <c r="O407" s="613"/>
      <c r="P407" s="613"/>
      <c r="Q407" s="613"/>
      <c r="R407" s="613"/>
      <c r="S407" s="613"/>
      <c r="T407" s="613"/>
      <c r="U407" s="613"/>
      <c r="V407" s="613"/>
      <c r="W407" s="613"/>
      <c r="X407" s="613"/>
      <c r="Y407" s="613"/>
      <c r="Z407" s="613"/>
    </row>
    <row r="408" ht="15.75" customHeight="1">
      <c r="A408" s="613"/>
      <c r="B408" s="613"/>
      <c r="C408" s="613"/>
      <c r="D408" s="613"/>
      <c r="E408" s="613"/>
      <c r="F408" s="613"/>
      <c r="G408" s="613"/>
      <c r="H408" s="613"/>
      <c r="I408" s="613"/>
      <c r="J408" s="613"/>
      <c r="K408" s="613"/>
      <c r="L408" s="613"/>
      <c r="M408" s="613"/>
      <c r="N408" s="613"/>
      <c r="O408" s="613"/>
      <c r="P408" s="613"/>
      <c r="Q408" s="613"/>
      <c r="R408" s="613"/>
      <c r="S408" s="613"/>
      <c r="T408" s="613"/>
      <c r="U408" s="613"/>
      <c r="V408" s="613"/>
      <c r="W408" s="613"/>
      <c r="X408" s="613"/>
      <c r="Y408" s="613"/>
      <c r="Z408" s="613"/>
    </row>
    <row r="409" ht="15.75" customHeight="1">
      <c r="A409" s="613"/>
      <c r="B409" s="613"/>
      <c r="C409" s="613"/>
      <c r="D409" s="613"/>
      <c r="E409" s="613"/>
      <c r="F409" s="613"/>
      <c r="G409" s="613"/>
      <c r="H409" s="613"/>
      <c r="I409" s="613"/>
      <c r="J409" s="613"/>
      <c r="K409" s="613"/>
      <c r="L409" s="613"/>
      <c r="M409" s="613"/>
      <c r="N409" s="613"/>
      <c r="O409" s="613"/>
      <c r="P409" s="613"/>
      <c r="Q409" s="613"/>
      <c r="R409" s="613"/>
      <c r="S409" s="613"/>
      <c r="T409" s="613"/>
      <c r="U409" s="613"/>
      <c r="V409" s="613"/>
      <c r="W409" s="613"/>
      <c r="X409" s="613"/>
      <c r="Y409" s="613"/>
      <c r="Z409" s="613"/>
    </row>
    <row r="410" ht="15.75" customHeight="1">
      <c r="A410" s="613"/>
      <c r="B410" s="613"/>
      <c r="C410" s="613"/>
      <c r="D410" s="613"/>
      <c r="E410" s="613"/>
      <c r="F410" s="613"/>
      <c r="G410" s="613"/>
      <c r="H410" s="613"/>
      <c r="I410" s="613"/>
      <c r="J410" s="613"/>
      <c r="K410" s="613"/>
      <c r="L410" s="613"/>
      <c r="M410" s="613"/>
      <c r="N410" s="613"/>
      <c r="O410" s="613"/>
      <c r="P410" s="613"/>
      <c r="Q410" s="613"/>
      <c r="R410" s="613"/>
      <c r="S410" s="613"/>
      <c r="T410" s="613"/>
      <c r="U410" s="613"/>
      <c r="V410" s="613"/>
      <c r="W410" s="613"/>
      <c r="X410" s="613"/>
      <c r="Y410" s="613"/>
      <c r="Z410" s="613"/>
    </row>
    <row r="411" ht="15.75" customHeight="1">
      <c r="A411" s="613"/>
      <c r="B411" s="613"/>
      <c r="C411" s="613"/>
      <c r="D411" s="613"/>
      <c r="E411" s="613"/>
      <c r="F411" s="613"/>
      <c r="G411" s="613"/>
      <c r="H411" s="613"/>
      <c r="I411" s="613"/>
      <c r="J411" s="613"/>
      <c r="K411" s="613"/>
      <c r="L411" s="613"/>
      <c r="M411" s="613"/>
      <c r="N411" s="613"/>
      <c r="O411" s="613"/>
      <c r="P411" s="613"/>
      <c r="Q411" s="613"/>
      <c r="R411" s="613"/>
      <c r="S411" s="613"/>
      <c r="T411" s="613"/>
      <c r="U411" s="613"/>
      <c r="V411" s="613"/>
      <c r="W411" s="613"/>
      <c r="X411" s="613"/>
      <c r="Y411" s="613"/>
      <c r="Z411" s="613"/>
    </row>
    <row r="412" ht="15.75" customHeight="1">
      <c r="A412" s="613"/>
      <c r="B412" s="613"/>
      <c r="C412" s="613"/>
      <c r="D412" s="613"/>
      <c r="E412" s="613"/>
      <c r="F412" s="613"/>
      <c r="G412" s="613"/>
      <c r="H412" s="613"/>
      <c r="I412" s="613"/>
      <c r="J412" s="613"/>
      <c r="K412" s="613"/>
      <c r="L412" s="613"/>
      <c r="M412" s="613"/>
      <c r="N412" s="613"/>
      <c r="O412" s="613"/>
      <c r="P412" s="613"/>
      <c r="Q412" s="613"/>
      <c r="R412" s="613"/>
      <c r="S412" s="613"/>
      <c r="T412" s="613"/>
      <c r="U412" s="613"/>
      <c r="V412" s="613"/>
      <c r="W412" s="613"/>
      <c r="X412" s="613"/>
      <c r="Y412" s="613"/>
      <c r="Z412" s="613"/>
    </row>
    <row r="413" ht="15.75" customHeight="1">
      <c r="A413" s="613"/>
      <c r="B413" s="613"/>
      <c r="C413" s="613"/>
      <c r="D413" s="613"/>
      <c r="E413" s="613"/>
      <c r="F413" s="613"/>
      <c r="G413" s="613"/>
      <c r="H413" s="613"/>
      <c r="I413" s="613"/>
      <c r="J413" s="613"/>
      <c r="K413" s="613"/>
      <c r="L413" s="613"/>
      <c r="M413" s="613"/>
      <c r="N413" s="613"/>
      <c r="O413" s="613"/>
      <c r="P413" s="613"/>
      <c r="Q413" s="613"/>
      <c r="R413" s="613"/>
      <c r="S413" s="613"/>
      <c r="T413" s="613"/>
      <c r="U413" s="613"/>
      <c r="V413" s="613"/>
      <c r="W413" s="613"/>
      <c r="X413" s="613"/>
      <c r="Y413" s="613"/>
      <c r="Z413" s="613"/>
    </row>
    <row r="414" ht="15.75" customHeight="1">
      <c r="A414" s="613"/>
      <c r="B414" s="613"/>
      <c r="C414" s="613"/>
      <c r="D414" s="613"/>
      <c r="E414" s="613"/>
      <c r="F414" s="613"/>
      <c r="G414" s="613"/>
      <c r="H414" s="613"/>
      <c r="I414" s="613"/>
      <c r="J414" s="613"/>
      <c r="K414" s="613"/>
      <c r="L414" s="613"/>
      <c r="M414" s="613"/>
      <c r="N414" s="613"/>
      <c r="O414" s="613"/>
      <c r="P414" s="613"/>
      <c r="Q414" s="613"/>
      <c r="R414" s="613"/>
      <c r="S414" s="613"/>
      <c r="T414" s="613"/>
      <c r="U414" s="613"/>
      <c r="V414" s="613"/>
      <c r="W414" s="613"/>
      <c r="X414" s="613"/>
      <c r="Y414" s="613"/>
      <c r="Z414" s="613"/>
    </row>
    <row r="415" ht="15.75" customHeight="1">
      <c r="A415" s="613"/>
      <c r="B415" s="613"/>
      <c r="C415" s="613"/>
      <c r="D415" s="613"/>
      <c r="E415" s="613"/>
      <c r="F415" s="613"/>
      <c r="G415" s="613"/>
      <c r="H415" s="613"/>
      <c r="I415" s="613"/>
      <c r="J415" s="613"/>
      <c r="K415" s="613"/>
      <c r="L415" s="613"/>
      <c r="M415" s="613"/>
      <c r="N415" s="613"/>
      <c r="O415" s="613"/>
      <c r="P415" s="613"/>
      <c r="Q415" s="613"/>
      <c r="R415" s="613"/>
      <c r="S415" s="613"/>
      <c r="T415" s="613"/>
      <c r="U415" s="613"/>
      <c r="V415" s="613"/>
      <c r="W415" s="613"/>
      <c r="X415" s="613"/>
      <c r="Y415" s="613"/>
      <c r="Z415" s="613"/>
    </row>
    <row r="416" ht="15.75" customHeight="1">
      <c r="A416" s="613"/>
      <c r="B416" s="613"/>
      <c r="C416" s="613"/>
      <c r="D416" s="613"/>
      <c r="E416" s="613"/>
      <c r="F416" s="613"/>
      <c r="G416" s="613"/>
      <c r="H416" s="613"/>
      <c r="I416" s="613"/>
      <c r="J416" s="613"/>
      <c r="K416" s="613"/>
      <c r="L416" s="613"/>
      <c r="M416" s="613"/>
      <c r="N416" s="613"/>
      <c r="O416" s="613"/>
      <c r="P416" s="613"/>
      <c r="Q416" s="613"/>
      <c r="R416" s="613"/>
      <c r="S416" s="613"/>
      <c r="T416" s="613"/>
      <c r="U416" s="613"/>
      <c r="V416" s="613"/>
      <c r="W416" s="613"/>
      <c r="X416" s="613"/>
      <c r="Y416" s="613"/>
      <c r="Z416" s="613"/>
    </row>
    <row r="417" ht="15.75" customHeight="1">
      <c r="A417" s="613"/>
      <c r="B417" s="613"/>
      <c r="C417" s="613"/>
      <c r="D417" s="613"/>
      <c r="E417" s="613"/>
      <c r="F417" s="613"/>
      <c r="G417" s="613"/>
      <c r="H417" s="613"/>
      <c r="I417" s="613"/>
      <c r="J417" s="613"/>
      <c r="K417" s="613"/>
      <c r="L417" s="613"/>
      <c r="M417" s="613"/>
      <c r="N417" s="613"/>
      <c r="O417" s="613"/>
      <c r="P417" s="613"/>
      <c r="Q417" s="613"/>
      <c r="R417" s="613"/>
      <c r="S417" s="613"/>
      <c r="T417" s="613"/>
      <c r="U417" s="613"/>
      <c r="V417" s="613"/>
      <c r="W417" s="613"/>
      <c r="X417" s="613"/>
      <c r="Y417" s="613"/>
      <c r="Z417" s="613"/>
    </row>
    <row r="418" ht="15.75" customHeight="1">
      <c r="A418" s="613"/>
      <c r="B418" s="613"/>
      <c r="C418" s="613"/>
      <c r="D418" s="613"/>
      <c r="E418" s="613"/>
      <c r="F418" s="613"/>
      <c r="G418" s="613"/>
      <c r="H418" s="613"/>
      <c r="I418" s="613"/>
      <c r="J418" s="613"/>
      <c r="K418" s="613"/>
      <c r="L418" s="613"/>
      <c r="M418" s="613"/>
      <c r="N418" s="613"/>
      <c r="O418" s="613"/>
      <c r="P418" s="613"/>
      <c r="Q418" s="613"/>
      <c r="R418" s="613"/>
      <c r="S418" s="613"/>
      <c r="T418" s="613"/>
      <c r="U418" s="613"/>
      <c r="V418" s="613"/>
      <c r="W418" s="613"/>
      <c r="X418" s="613"/>
      <c r="Y418" s="613"/>
      <c r="Z418" s="613"/>
    </row>
    <row r="419" ht="15.75" customHeight="1">
      <c r="A419" s="613"/>
      <c r="B419" s="613"/>
      <c r="C419" s="613"/>
      <c r="D419" s="613"/>
      <c r="E419" s="613"/>
      <c r="F419" s="613"/>
      <c r="G419" s="613"/>
      <c r="H419" s="613"/>
      <c r="I419" s="613"/>
      <c r="J419" s="613"/>
      <c r="K419" s="613"/>
      <c r="L419" s="613"/>
      <c r="M419" s="613"/>
      <c r="N419" s="613"/>
      <c r="O419" s="613"/>
      <c r="P419" s="613"/>
      <c r="Q419" s="613"/>
      <c r="R419" s="613"/>
      <c r="S419" s="613"/>
      <c r="T419" s="613"/>
      <c r="U419" s="613"/>
      <c r="V419" s="613"/>
      <c r="W419" s="613"/>
      <c r="X419" s="613"/>
      <c r="Y419" s="613"/>
      <c r="Z419" s="613"/>
    </row>
    <row r="420" ht="15.75" customHeight="1">
      <c r="A420" s="613"/>
      <c r="B420" s="613"/>
      <c r="C420" s="613"/>
      <c r="D420" s="613"/>
      <c r="E420" s="613"/>
      <c r="F420" s="613"/>
      <c r="G420" s="613"/>
      <c r="H420" s="613"/>
      <c r="I420" s="613"/>
      <c r="J420" s="613"/>
      <c r="K420" s="613"/>
      <c r="L420" s="613"/>
      <c r="M420" s="613"/>
      <c r="N420" s="613"/>
      <c r="O420" s="613"/>
      <c r="P420" s="613"/>
      <c r="Q420" s="613"/>
      <c r="R420" s="613"/>
      <c r="S420" s="613"/>
      <c r="T420" s="613"/>
      <c r="U420" s="613"/>
      <c r="V420" s="613"/>
      <c r="W420" s="613"/>
      <c r="X420" s="613"/>
      <c r="Y420" s="613"/>
      <c r="Z420" s="613"/>
    </row>
    <row r="421" ht="15.75" customHeight="1">
      <c r="A421" s="613"/>
      <c r="B421" s="613"/>
      <c r="C421" s="613"/>
      <c r="D421" s="613"/>
      <c r="E421" s="613"/>
      <c r="F421" s="613"/>
      <c r="G421" s="613"/>
      <c r="H421" s="613"/>
      <c r="I421" s="613"/>
      <c r="J421" s="613"/>
      <c r="K421" s="613"/>
      <c r="L421" s="613"/>
      <c r="M421" s="613"/>
      <c r="N421" s="613"/>
      <c r="O421" s="613"/>
      <c r="P421" s="613"/>
      <c r="Q421" s="613"/>
      <c r="R421" s="613"/>
      <c r="S421" s="613"/>
      <c r="T421" s="613"/>
      <c r="U421" s="613"/>
      <c r="V421" s="613"/>
      <c r="W421" s="613"/>
      <c r="X421" s="613"/>
      <c r="Y421" s="613"/>
      <c r="Z421" s="613"/>
    </row>
    <row r="422" ht="15.75" customHeight="1">
      <c r="A422" s="613"/>
      <c r="B422" s="613"/>
      <c r="C422" s="613"/>
      <c r="D422" s="613"/>
      <c r="E422" s="613"/>
      <c r="F422" s="613"/>
      <c r="G422" s="613"/>
      <c r="H422" s="613"/>
      <c r="I422" s="613"/>
      <c r="J422" s="613"/>
      <c r="K422" s="613"/>
      <c r="L422" s="613"/>
      <c r="M422" s="613"/>
      <c r="N422" s="613"/>
      <c r="O422" s="613"/>
      <c r="P422" s="613"/>
      <c r="Q422" s="613"/>
      <c r="R422" s="613"/>
      <c r="S422" s="613"/>
      <c r="T422" s="613"/>
      <c r="U422" s="613"/>
      <c r="V422" s="613"/>
      <c r="W422" s="613"/>
      <c r="X422" s="613"/>
      <c r="Y422" s="613"/>
      <c r="Z422" s="613"/>
    </row>
    <row r="423" ht="15.75" customHeight="1">
      <c r="A423" s="613"/>
      <c r="B423" s="613"/>
      <c r="C423" s="613"/>
      <c r="D423" s="613"/>
      <c r="E423" s="613"/>
      <c r="F423" s="613"/>
      <c r="G423" s="613"/>
      <c r="H423" s="613"/>
      <c r="I423" s="613"/>
      <c r="J423" s="613"/>
      <c r="K423" s="613"/>
      <c r="L423" s="613"/>
      <c r="M423" s="613"/>
      <c r="N423" s="613"/>
      <c r="O423" s="613"/>
      <c r="P423" s="613"/>
      <c r="Q423" s="613"/>
      <c r="R423" s="613"/>
      <c r="S423" s="613"/>
      <c r="T423" s="613"/>
      <c r="U423" s="613"/>
      <c r="V423" s="613"/>
      <c r="W423" s="613"/>
      <c r="X423" s="613"/>
      <c r="Y423" s="613"/>
      <c r="Z423" s="613"/>
    </row>
    <row r="424" ht="15.75" customHeight="1">
      <c r="A424" s="613"/>
      <c r="B424" s="613"/>
      <c r="C424" s="613"/>
      <c r="D424" s="613"/>
      <c r="E424" s="613"/>
      <c r="F424" s="613"/>
      <c r="G424" s="613"/>
      <c r="H424" s="613"/>
      <c r="I424" s="613"/>
      <c r="J424" s="613"/>
      <c r="K424" s="613"/>
      <c r="L424" s="613"/>
      <c r="M424" s="613"/>
      <c r="N424" s="613"/>
      <c r="O424" s="613"/>
      <c r="P424" s="613"/>
      <c r="Q424" s="613"/>
      <c r="R424" s="613"/>
      <c r="S424" s="613"/>
      <c r="T424" s="613"/>
      <c r="U424" s="613"/>
      <c r="V424" s="613"/>
      <c r="W424" s="613"/>
      <c r="X424" s="613"/>
      <c r="Y424" s="613"/>
      <c r="Z424" s="613"/>
    </row>
    <row r="425" ht="15.75" customHeight="1">
      <c r="A425" s="613"/>
      <c r="B425" s="613"/>
      <c r="C425" s="613"/>
      <c r="D425" s="613"/>
      <c r="E425" s="613"/>
      <c r="F425" s="613"/>
      <c r="G425" s="613"/>
      <c r="H425" s="613"/>
      <c r="I425" s="613"/>
      <c r="J425" s="613"/>
      <c r="K425" s="613"/>
      <c r="L425" s="613"/>
      <c r="M425" s="613"/>
      <c r="N425" s="613"/>
      <c r="O425" s="613"/>
      <c r="P425" s="613"/>
      <c r="Q425" s="613"/>
      <c r="R425" s="613"/>
      <c r="S425" s="613"/>
      <c r="T425" s="613"/>
      <c r="U425" s="613"/>
      <c r="V425" s="613"/>
      <c r="W425" s="613"/>
      <c r="X425" s="613"/>
      <c r="Y425" s="613"/>
      <c r="Z425" s="613"/>
    </row>
    <row r="426" ht="15.75" customHeight="1">
      <c r="A426" s="613"/>
      <c r="B426" s="613"/>
      <c r="C426" s="613"/>
      <c r="D426" s="613"/>
      <c r="E426" s="613"/>
      <c r="F426" s="613"/>
      <c r="G426" s="613"/>
      <c r="H426" s="613"/>
      <c r="I426" s="613"/>
      <c r="J426" s="613"/>
      <c r="K426" s="613"/>
      <c r="L426" s="613"/>
      <c r="M426" s="613"/>
      <c r="N426" s="613"/>
      <c r="O426" s="613"/>
      <c r="P426" s="613"/>
      <c r="Q426" s="613"/>
      <c r="R426" s="613"/>
      <c r="S426" s="613"/>
      <c r="T426" s="613"/>
      <c r="U426" s="613"/>
      <c r="V426" s="613"/>
      <c r="W426" s="613"/>
      <c r="X426" s="613"/>
      <c r="Y426" s="613"/>
      <c r="Z426" s="613"/>
    </row>
    <row r="427" ht="15.75" customHeight="1">
      <c r="A427" s="613"/>
      <c r="B427" s="613"/>
      <c r="C427" s="613"/>
      <c r="D427" s="613"/>
      <c r="E427" s="613"/>
      <c r="F427" s="613"/>
      <c r="G427" s="613"/>
      <c r="H427" s="613"/>
      <c r="I427" s="613"/>
      <c r="J427" s="613"/>
      <c r="K427" s="613"/>
      <c r="L427" s="613"/>
      <c r="M427" s="613"/>
      <c r="N427" s="613"/>
      <c r="O427" s="613"/>
      <c r="P427" s="613"/>
      <c r="Q427" s="613"/>
      <c r="R427" s="613"/>
      <c r="S427" s="613"/>
      <c r="T427" s="613"/>
      <c r="U427" s="613"/>
      <c r="V427" s="613"/>
      <c r="W427" s="613"/>
      <c r="X427" s="613"/>
      <c r="Y427" s="613"/>
      <c r="Z427" s="613"/>
    </row>
    <row r="428" ht="15.75" customHeight="1">
      <c r="A428" s="613"/>
      <c r="B428" s="613"/>
      <c r="C428" s="613"/>
      <c r="D428" s="613"/>
      <c r="E428" s="613"/>
      <c r="F428" s="613"/>
      <c r="G428" s="613"/>
      <c r="H428" s="613"/>
      <c r="I428" s="613"/>
      <c r="J428" s="613"/>
      <c r="K428" s="613"/>
      <c r="L428" s="613"/>
      <c r="M428" s="613"/>
      <c r="N428" s="613"/>
      <c r="O428" s="613"/>
      <c r="P428" s="613"/>
      <c r="Q428" s="613"/>
      <c r="R428" s="613"/>
      <c r="S428" s="613"/>
      <c r="T428" s="613"/>
      <c r="U428" s="613"/>
      <c r="V428" s="613"/>
      <c r="W428" s="613"/>
      <c r="X428" s="613"/>
      <c r="Y428" s="613"/>
      <c r="Z428" s="613"/>
    </row>
    <row r="429" ht="15.75" customHeight="1">
      <c r="A429" s="613"/>
      <c r="B429" s="613"/>
      <c r="C429" s="613"/>
      <c r="D429" s="613"/>
      <c r="E429" s="613"/>
      <c r="F429" s="613"/>
      <c r="G429" s="613"/>
      <c r="H429" s="613"/>
      <c r="I429" s="613"/>
      <c r="J429" s="613"/>
      <c r="K429" s="613"/>
      <c r="L429" s="613"/>
      <c r="M429" s="613"/>
      <c r="N429" s="613"/>
      <c r="O429" s="613"/>
      <c r="P429" s="613"/>
      <c r="Q429" s="613"/>
      <c r="R429" s="613"/>
      <c r="S429" s="613"/>
      <c r="T429" s="613"/>
      <c r="U429" s="613"/>
      <c r="V429" s="613"/>
      <c r="W429" s="613"/>
      <c r="X429" s="613"/>
      <c r="Y429" s="613"/>
      <c r="Z429" s="613"/>
    </row>
    <row r="430" ht="15.75" customHeight="1">
      <c r="A430" s="613"/>
      <c r="B430" s="613"/>
      <c r="C430" s="613"/>
      <c r="D430" s="613"/>
      <c r="E430" s="613"/>
      <c r="F430" s="613"/>
      <c r="G430" s="613"/>
      <c r="H430" s="613"/>
      <c r="I430" s="613"/>
      <c r="J430" s="613"/>
      <c r="K430" s="613"/>
      <c r="L430" s="613"/>
      <c r="M430" s="613"/>
      <c r="N430" s="613"/>
      <c r="O430" s="613"/>
      <c r="P430" s="613"/>
      <c r="Q430" s="613"/>
      <c r="R430" s="613"/>
      <c r="S430" s="613"/>
      <c r="T430" s="613"/>
      <c r="U430" s="613"/>
      <c r="V430" s="613"/>
      <c r="W430" s="613"/>
      <c r="X430" s="613"/>
      <c r="Y430" s="613"/>
      <c r="Z430" s="613"/>
    </row>
    <row r="431" ht="15.75" customHeight="1">
      <c r="A431" s="613"/>
      <c r="B431" s="613"/>
      <c r="C431" s="613"/>
      <c r="D431" s="613"/>
      <c r="E431" s="613"/>
      <c r="F431" s="613"/>
      <c r="G431" s="613"/>
      <c r="H431" s="613"/>
      <c r="I431" s="613"/>
      <c r="J431" s="613"/>
      <c r="K431" s="613"/>
      <c r="L431" s="613"/>
      <c r="M431" s="613"/>
      <c r="N431" s="613"/>
      <c r="O431" s="613"/>
      <c r="P431" s="613"/>
      <c r="Q431" s="613"/>
      <c r="R431" s="613"/>
      <c r="S431" s="613"/>
      <c r="T431" s="613"/>
      <c r="U431" s="613"/>
      <c r="V431" s="613"/>
      <c r="W431" s="613"/>
      <c r="X431" s="613"/>
      <c r="Y431" s="613"/>
      <c r="Z431" s="613"/>
    </row>
    <row r="432" ht="15.75" customHeight="1">
      <c r="A432" s="613"/>
      <c r="B432" s="613"/>
      <c r="C432" s="613"/>
      <c r="D432" s="613"/>
      <c r="E432" s="613"/>
      <c r="F432" s="613"/>
      <c r="G432" s="613"/>
      <c r="H432" s="613"/>
      <c r="I432" s="613"/>
      <c r="J432" s="613"/>
      <c r="K432" s="613"/>
      <c r="L432" s="613"/>
      <c r="M432" s="613"/>
      <c r="N432" s="613"/>
      <c r="O432" s="613"/>
      <c r="P432" s="613"/>
      <c r="Q432" s="613"/>
      <c r="R432" s="613"/>
      <c r="S432" s="613"/>
      <c r="T432" s="613"/>
      <c r="U432" s="613"/>
      <c r="V432" s="613"/>
      <c r="W432" s="613"/>
      <c r="X432" s="613"/>
      <c r="Y432" s="613"/>
      <c r="Z432" s="613"/>
    </row>
    <row r="433" ht="15.75" customHeight="1">
      <c r="A433" s="613"/>
      <c r="B433" s="613"/>
      <c r="C433" s="613"/>
      <c r="D433" s="613"/>
      <c r="E433" s="613"/>
      <c r="F433" s="613"/>
      <c r="G433" s="613"/>
      <c r="H433" s="613"/>
      <c r="I433" s="613"/>
      <c r="J433" s="613"/>
      <c r="K433" s="613"/>
      <c r="L433" s="613"/>
      <c r="M433" s="613"/>
      <c r="N433" s="613"/>
      <c r="O433" s="613"/>
      <c r="P433" s="613"/>
      <c r="Q433" s="613"/>
      <c r="R433" s="613"/>
      <c r="S433" s="613"/>
      <c r="T433" s="613"/>
      <c r="U433" s="613"/>
      <c r="V433" s="613"/>
      <c r="W433" s="613"/>
      <c r="X433" s="613"/>
      <c r="Y433" s="613"/>
      <c r="Z433" s="613"/>
    </row>
    <row r="434" ht="15.75" customHeight="1">
      <c r="A434" s="613"/>
      <c r="B434" s="613"/>
      <c r="C434" s="613"/>
      <c r="D434" s="613"/>
      <c r="E434" s="613"/>
      <c r="F434" s="613"/>
      <c r="G434" s="613"/>
      <c r="H434" s="613"/>
      <c r="I434" s="613"/>
      <c r="J434" s="613"/>
      <c r="K434" s="613"/>
      <c r="L434" s="613"/>
      <c r="M434" s="613"/>
      <c r="N434" s="613"/>
      <c r="O434" s="613"/>
      <c r="P434" s="613"/>
      <c r="Q434" s="613"/>
      <c r="R434" s="613"/>
      <c r="S434" s="613"/>
      <c r="T434" s="613"/>
      <c r="U434" s="613"/>
      <c r="V434" s="613"/>
      <c r="W434" s="613"/>
      <c r="X434" s="613"/>
      <c r="Y434" s="613"/>
      <c r="Z434" s="613"/>
    </row>
    <row r="435" ht="15.75" customHeight="1">
      <c r="A435" s="613"/>
      <c r="B435" s="613"/>
      <c r="C435" s="613"/>
      <c r="D435" s="613"/>
      <c r="E435" s="613"/>
      <c r="F435" s="613"/>
      <c r="G435" s="613"/>
      <c r="H435" s="613"/>
      <c r="I435" s="613"/>
      <c r="J435" s="613"/>
      <c r="K435" s="613"/>
      <c r="L435" s="613"/>
      <c r="M435" s="613"/>
      <c r="N435" s="613"/>
      <c r="O435" s="613"/>
      <c r="P435" s="613"/>
      <c r="Q435" s="613"/>
      <c r="R435" s="613"/>
      <c r="S435" s="613"/>
      <c r="T435" s="613"/>
      <c r="U435" s="613"/>
      <c r="V435" s="613"/>
      <c r="W435" s="613"/>
      <c r="X435" s="613"/>
      <c r="Y435" s="613"/>
      <c r="Z435" s="613"/>
    </row>
    <row r="436" ht="15.75" customHeight="1">
      <c r="A436" s="613"/>
      <c r="B436" s="613"/>
      <c r="C436" s="613"/>
      <c r="D436" s="613"/>
      <c r="E436" s="613"/>
      <c r="F436" s="613"/>
      <c r="G436" s="613"/>
      <c r="H436" s="613"/>
      <c r="I436" s="613"/>
      <c r="J436" s="613"/>
      <c r="K436" s="613"/>
      <c r="L436" s="613"/>
      <c r="M436" s="613"/>
      <c r="N436" s="613"/>
      <c r="O436" s="613"/>
      <c r="P436" s="613"/>
      <c r="Q436" s="613"/>
      <c r="R436" s="613"/>
      <c r="S436" s="613"/>
      <c r="T436" s="613"/>
      <c r="U436" s="613"/>
      <c r="V436" s="613"/>
      <c r="W436" s="613"/>
      <c r="X436" s="613"/>
      <c r="Y436" s="613"/>
      <c r="Z436" s="613"/>
    </row>
    <row r="437" ht="15.75" customHeight="1">
      <c r="A437" s="613"/>
      <c r="B437" s="613"/>
      <c r="C437" s="613"/>
      <c r="D437" s="613"/>
      <c r="E437" s="613"/>
      <c r="F437" s="613"/>
      <c r="G437" s="613"/>
      <c r="H437" s="613"/>
      <c r="I437" s="613"/>
      <c r="J437" s="613"/>
      <c r="K437" s="613"/>
      <c r="L437" s="613"/>
      <c r="M437" s="613"/>
      <c r="N437" s="613"/>
      <c r="O437" s="613"/>
      <c r="P437" s="613"/>
      <c r="Q437" s="613"/>
      <c r="R437" s="613"/>
      <c r="S437" s="613"/>
      <c r="T437" s="613"/>
      <c r="U437" s="613"/>
      <c r="V437" s="613"/>
      <c r="W437" s="613"/>
      <c r="X437" s="613"/>
      <c r="Y437" s="613"/>
      <c r="Z437" s="613"/>
    </row>
    <row r="438" ht="15.75" customHeight="1">
      <c r="A438" s="613"/>
      <c r="B438" s="613"/>
      <c r="C438" s="613"/>
      <c r="D438" s="613"/>
      <c r="E438" s="613"/>
      <c r="F438" s="613"/>
      <c r="G438" s="613"/>
      <c r="H438" s="613"/>
      <c r="I438" s="613"/>
      <c r="J438" s="613"/>
      <c r="K438" s="613"/>
      <c r="L438" s="613"/>
      <c r="M438" s="613"/>
      <c r="N438" s="613"/>
      <c r="O438" s="613"/>
      <c r="P438" s="613"/>
      <c r="Q438" s="613"/>
      <c r="R438" s="613"/>
      <c r="S438" s="613"/>
      <c r="T438" s="613"/>
      <c r="U438" s="613"/>
      <c r="V438" s="613"/>
      <c r="W438" s="613"/>
      <c r="X438" s="613"/>
      <c r="Y438" s="613"/>
      <c r="Z438" s="613"/>
    </row>
    <row r="439" ht="15.75" customHeight="1">
      <c r="A439" s="613"/>
      <c r="B439" s="613"/>
      <c r="C439" s="613"/>
      <c r="D439" s="613"/>
      <c r="E439" s="613"/>
      <c r="F439" s="613"/>
      <c r="G439" s="613"/>
      <c r="H439" s="613"/>
      <c r="I439" s="613"/>
      <c r="J439" s="613"/>
      <c r="K439" s="613"/>
      <c r="L439" s="613"/>
      <c r="M439" s="613"/>
      <c r="N439" s="613"/>
      <c r="O439" s="613"/>
      <c r="P439" s="613"/>
      <c r="Q439" s="613"/>
      <c r="R439" s="613"/>
      <c r="S439" s="613"/>
      <c r="T439" s="613"/>
      <c r="U439" s="613"/>
      <c r="V439" s="613"/>
      <c r="W439" s="613"/>
      <c r="X439" s="613"/>
      <c r="Y439" s="613"/>
      <c r="Z439" s="613"/>
    </row>
    <row r="440" ht="15.75" customHeight="1">
      <c r="A440" s="613"/>
      <c r="B440" s="613"/>
      <c r="C440" s="613"/>
      <c r="D440" s="613"/>
      <c r="E440" s="613"/>
      <c r="F440" s="613"/>
      <c r="G440" s="613"/>
      <c r="H440" s="613"/>
      <c r="I440" s="613"/>
      <c r="J440" s="613"/>
      <c r="K440" s="613"/>
      <c r="L440" s="613"/>
      <c r="M440" s="613"/>
      <c r="N440" s="613"/>
      <c r="O440" s="613"/>
      <c r="P440" s="613"/>
      <c r="Q440" s="613"/>
      <c r="R440" s="613"/>
      <c r="S440" s="613"/>
      <c r="T440" s="613"/>
      <c r="U440" s="613"/>
      <c r="V440" s="613"/>
      <c r="W440" s="613"/>
      <c r="X440" s="613"/>
      <c r="Y440" s="613"/>
      <c r="Z440" s="613"/>
    </row>
    <row r="441" ht="15.75" customHeight="1">
      <c r="A441" s="613"/>
      <c r="B441" s="613"/>
      <c r="C441" s="613"/>
      <c r="D441" s="613"/>
      <c r="E441" s="613"/>
      <c r="F441" s="613"/>
      <c r="G441" s="613"/>
      <c r="H441" s="613"/>
      <c r="I441" s="613"/>
      <c r="J441" s="613"/>
      <c r="K441" s="613"/>
      <c r="L441" s="613"/>
      <c r="M441" s="613"/>
      <c r="N441" s="613"/>
      <c r="O441" s="613"/>
      <c r="P441" s="613"/>
      <c r="Q441" s="613"/>
      <c r="R441" s="613"/>
      <c r="S441" s="613"/>
      <c r="T441" s="613"/>
      <c r="U441" s="613"/>
      <c r="V441" s="613"/>
      <c r="W441" s="613"/>
      <c r="X441" s="613"/>
      <c r="Y441" s="613"/>
      <c r="Z441" s="613"/>
    </row>
    <row r="442" ht="15.75" customHeight="1">
      <c r="A442" s="613"/>
      <c r="B442" s="613"/>
      <c r="C442" s="613"/>
      <c r="D442" s="613"/>
      <c r="E442" s="613"/>
      <c r="F442" s="613"/>
      <c r="G442" s="613"/>
      <c r="H442" s="613"/>
      <c r="I442" s="613"/>
      <c r="J442" s="613"/>
      <c r="K442" s="613"/>
      <c r="L442" s="613"/>
      <c r="M442" s="613"/>
      <c r="N442" s="613"/>
      <c r="O442" s="613"/>
      <c r="P442" s="613"/>
      <c r="Q442" s="613"/>
      <c r="R442" s="613"/>
      <c r="S442" s="613"/>
      <c r="T442" s="613"/>
      <c r="U442" s="613"/>
      <c r="V442" s="613"/>
      <c r="W442" s="613"/>
      <c r="X442" s="613"/>
      <c r="Y442" s="613"/>
      <c r="Z442" s="613"/>
    </row>
    <row r="443" ht="15.75" customHeight="1">
      <c r="A443" s="613"/>
      <c r="B443" s="613"/>
      <c r="C443" s="613"/>
      <c r="D443" s="613"/>
      <c r="E443" s="613"/>
      <c r="F443" s="613"/>
      <c r="G443" s="613"/>
      <c r="H443" s="613"/>
      <c r="I443" s="613"/>
      <c r="J443" s="613"/>
      <c r="K443" s="613"/>
      <c r="L443" s="613"/>
      <c r="M443" s="613"/>
      <c r="N443" s="613"/>
      <c r="O443" s="613"/>
      <c r="P443" s="613"/>
      <c r="Q443" s="613"/>
      <c r="R443" s="613"/>
      <c r="S443" s="613"/>
      <c r="T443" s="613"/>
      <c r="U443" s="613"/>
      <c r="V443" s="613"/>
      <c r="W443" s="613"/>
      <c r="X443" s="613"/>
      <c r="Y443" s="613"/>
      <c r="Z443" s="613"/>
    </row>
    <row r="444" ht="15.75" customHeight="1">
      <c r="A444" s="613"/>
      <c r="B444" s="613"/>
      <c r="C444" s="613"/>
      <c r="D444" s="613"/>
      <c r="E444" s="613"/>
      <c r="F444" s="613"/>
      <c r="G444" s="613"/>
      <c r="H444" s="613"/>
      <c r="I444" s="613"/>
      <c r="J444" s="613"/>
      <c r="K444" s="613"/>
      <c r="L444" s="613"/>
      <c r="M444" s="613"/>
      <c r="N444" s="613"/>
      <c r="O444" s="613"/>
      <c r="P444" s="613"/>
      <c r="Q444" s="613"/>
      <c r="R444" s="613"/>
      <c r="S444" s="613"/>
      <c r="T444" s="613"/>
      <c r="U444" s="613"/>
      <c r="V444" s="613"/>
      <c r="W444" s="613"/>
      <c r="X444" s="613"/>
      <c r="Y444" s="613"/>
      <c r="Z444" s="613"/>
    </row>
    <row r="445" ht="15.75" customHeight="1">
      <c r="A445" s="613"/>
      <c r="B445" s="613"/>
      <c r="C445" s="613"/>
      <c r="D445" s="613"/>
      <c r="E445" s="613"/>
      <c r="F445" s="613"/>
      <c r="G445" s="613"/>
      <c r="H445" s="613"/>
      <c r="I445" s="613"/>
      <c r="J445" s="613"/>
      <c r="K445" s="613"/>
      <c r="L445" s="613"/>
      <c r="M445" s="613"/>
      <c r="N445" s="613"/>
      <c r="O445" s="613"/>
      <c r="P445" s="613"/>
      <c r="Q445" s="613"/>
      <c r="R445" s="613"/>
      <c r="S445" s="613"/>
      <c r="T445" s="613"/>
      <c r="U445" s="613"/>
      <c r="V445" s="613"/>
      <c r="W445" s="613"/>
      <c r="X445" s="613"/>
      <c r="Y445" s="613"/>
      <c r="Z445" s="613"/>
    </row>
    <row r="446" ht="15.75" customHeight="1">
      <c r="A446" s="613"/>
      <c r="B446" s="613"/>
      <c r="C446" s="613"/>
      <c r="D446" s="613"/>
      <c r="E446" s="613"/>
      <c r="F446" s="613"/>
      <c r="G446" s="613"/>
      <c r="H446" s="613"/>
      <c r="I446" s="613"/>
      <c r="J446" s="613"/>
      <c r="K446" s="613"/>
      <c r="L446" s="613"/>
      <c r="M446" s="613"/>
      <c r="N446" s="613"/>
      <c r="O446" s="613"/>
      <c r="P446" s="613"/>
      <c r="Q446" s="613"/>
      <c r="R446" s="613"/>
      <c r="S446" s="613"/>
      <c r="T446" s="613"/>
      <c r="U446" s="613"/>
      <c r="V446" s="613"/>
      <c r="W446" s="613"/>
      <c r="X446" s="613"/>
      <c r="Y446" s="613"/>
      <c r="Z446" s="613"/>
    </row>
    <row r="447" ht="15.75" customHeight="1">
      <c r="A447" s="613"/>
      <c r="B447" s="613"/>
      <c r="C447" s="613"/>
      <c r="D447" s="613"/>
      <c r="E447" s="613"/>
      <c r="F447" s="613"/>
      <c r="G447" s="613"/>
      <c r="H447" s="613"/>
      <c r="I447" s="613"/>
      <c r="J447" s="613"/>
      <c r="K447" s="613"/>
      <c r="L447" s="613"/>
      <c r="M447" s="613"/>
      <c r="N447" s="613"/>
      <c r="O447" s="613"/>
      <c r="P447" s="613"/>
      <c r="Q447" s="613"/>
      <c r="R447" s="613"/>
      <c r="S447" s="613"/>
      <c r="T447" s="613"/>
      <c r="U447" s="613"/>
      <c r="V447" s="613"/>
      <c r="W447" s="613"/>
      <c r="X447" s="613"/>
      <c r="Y447" s="613"/>
      <c r="Z447" s="613"/>
    </row>
    <row r="448" ht="15.75" customHeight="1">
      <c r="A448" s="613"/>
      <c r="B448" s="613"/>
      <c r="C448" s="613"/>
      <c r="D448" s="613"/>
      <c r="E448" s="613"/>
      <c r="F448" s="613"/>
      <c r="G448" s="613"/>
      <c r="H448" s="613"/>
      <c r="I448" s="613"/>
      <c r="J448" s="613"/>
      <c r="K448" s="613"/>
      <c r="L448" s="613"/>
      <c r="M448" s="613"/>
      <c r="N448" s="613"/>
      <c r="O448" s="613"/>
      <c r="P448" s="613"/>
      <c r="Q448" s="613"/>
      <c r="R448" s="613"/>
      <c r="S448" s="613"/>
      <c r="T448" s="613"/>
      <c r="U448" s="613"/>
      <c r="V448" s="613"/>
      <c r="W448" s="613"/>
      <c r="X448" s="613"/>
      <c r="Y448" s="613"/>
      <c r="Z448" s="613"/>
    </row>
    <row r="449" ht="15.75" customHeight="1">
      <c r="A449" s="613"/>
      <c r="B449" s="613"/>
      <c r="C449" s="613"/>
      <c r="D449" s="613"/>
      <c r="E449" s="613"/>
      <c r="F449" s="613"/>
      <c r="G449" s="613"/>
      <c r="H449" s="613"/>
      <c r="I449" s="613"/>
      <c r="J449" s="613"/>
      <c r="K449" s="613"/>
      <c r="L449" s="613"/>
      <c r="M449" s="613"/>
      <c r="N449" s="613"/>
      <c r="O449" s="613"/>
      <c r="P449" s="613"/>
      <c r="Q449" s="613"/>
      <c r="R449" s="613"/>
      <c r="S449" s="613"/>
      <c r="T449" s="613"/>
      <c r="U449" s="613"/>
      <c r="V449" s="613"/>
      <c r="W449" s="613"/>
      <c r="X449" s="613"/>
      <c r="Y449" s="613"/>
      <c r="Z449" s="613"/>
    </row>
    <row r="450" ht="15.75" customHeight="1">
      <c r="A450" s="613"/>
      <c r="B450" s="613"/>
      <c r="C450" s="613"/>
      <c r="D450" s="613"/>
      <c r="E450" s="613"/>
      <c r="F450" s="613"/>
      <c r="G450" s="613"/>
      <c r="H450" s="613"/>
      <c r="I450" s="613"/>
      <c r="J450" s="613"/>
      <c r="K450" s="613"/>
      <c r="L450" s="613"/>
      <c r="M450" s="613"/>
      <c r="N450" s="613"/>
      <c r="O450" s="613"/>
      <c r="P450" s="613"/>
      <c r="Q450" s="613"/>
      <c r="R450" s="613"/>
      <c r="S450" s="613"/>
      <c r="T450" s="613"/>
      <c r="U450" s="613"/>
      <c r="V450" s="613"/>
      <c r="W450" s="613"/>
      <c r="X450" s="613"/>
      <c r="Y450" s="613"/>
      <c r="Z450" s="613"/>
    </row>
    <row r="451" ht="15.75" customHeight="1">
      <c r="A451" s="613"/>
      <c r="B451" s="613"/>
      <c r="C451" s="613"/>
      <c r="D451" s="613"/>
      <c r="E451" s="613"/>
      <c r="F451" s="613"/>
      <c r="G451" s="613"/>
      <c r="H451" s="613"/>
      <c r="I451" s="613"/>
      <c r="J451" s="613"/>
      <c r="K451" s="613"/>
      <c r="L451" s="613"/>
      <c r="M451" s="613"/>
      <c r="N451" s="613"/>
      <c r="O451" s="613"/>
      <c r="P451" s="613"/>
      <c r="Q451" s="613"/>
      <c r="R451" s="613"/>
      <c r="S451" s="613"/>
      <c r="T451" s="613"/>
      <c r="U451" s="613"/>
      <c r="V451" s="613"/>
      <c r="W451" s="613"/>
      <c r="X451" s="613"/>
      <c r="Y451" s="613"/>
      <c r="Z451" s="613"/>
    </row>
    <row r="452" ht="15.75" customHeight="1">
      <c r="A452" s="613"/>
      <c r="B452" s="613"/>
      <c r="C452" s="613"/>
      <c r="D452" s="613"/>
      <c r="E452" s="613"/>
      <c r="F452" s="613"/>
      <c r="G452" s="613"/>
      <c r="H452" s="613"/>
      <c r="I452" s="613"/>
      <c r="J452" s="613"/>
      <c r="K452" s="613"/>
      <c r="L452" s="613"/>
      <c r="M452" s="613"/>
      <c r="N452" s="613"/>
      <c r="O452" s="613"/>
      <c r="P452" s="613"/>
      <c r="Q452" s="613"/>
      <c r="R452" s="613"/>
      <c r="S452" s="613"/>
      <c r="T452" s="613"/>
      <c r="U452" s="613"/>
      <c r="V452" s="613"/>
      <c r="W452" s="613"/>
      <c r="X452" s="613"/>
      <c r="Y452" s="613"/>
      <c r="Z452" s="613"/>
    </row>
    <row r="453" ht="15.75" customHeight="1">
      <c r="A453" s="613"/>
      <c r="B453" s="613"/>
      <c r="C453" s="613"/>
      <c r="D453" s="613"/>
      <c r="E453" s="613"/>
      <c r="F453" s="613"/>
      <c r="G453" s="613"/>
      <c r="H453" s="613"/>
      <c r="I453" s="613"/>
      <c r="J453" s="613"/>
      <c r="K453" s="613"/>
      <c r="L453" s="613"/>
      <c r="M453" s="613"/>
      <c r="N453" s="613"/>
      <c r="O453" s="613"/>
      <c r="P453" s="613"/>
      <c r="Q453" s="613"/>
      <c r="R453" s="613"/>
      <c r="S453" s="613"/>
      <c r="T453" s="613"/>
      <c r="U453" s="613"/>
      <c r="V453" s="613"/>
      <c r="W453" s="613"/>
      <c r="X453" s="613"/>
      <c r="Y453" s="613"/>
      <c r="Z453" s="613"/>
    </row>
    <row r="454" ht="15.75" customHeight="1">
      <c r="A454" s="613"/>
      <c r="B454" s="613"/>
      <c r="C454" s="613"/>
      <c r="D454" s="613"/>
      <c r="E454" s="613"/>
      <c r="F454" s="613"/>
      <c r="G454" s="613"/>
      <c r="H454" s="613"/>
      <c r="I454" s="613"/>
      <c r="J454" s="613"/>
      <c r="K454" s="613"/>
      <c r="L454" s="613"/>
      <c r="M454" s="613"/>
      <c r="N454" s="613"/>
      <c r="O454" s="613"/>
      <c r="P454" s="613"/>
      <c r="Q454" s="613"/>
      <c r="R454" s="613"/>
      <c r="S454" s="613"/>
      <c r="T454" s="613"/>
      <c r="U454" s="613"/>
      <c r="V454" s="613"/>
      <c r="W454" s="613"/>
      <c r="X454" s="613"/>
      <c r="Y454" s="613"/>
      <c r="Z454" s="613"/>
    </row>
    <row r="455" ht="15.75" customHeight="1">
      <c r="A455" s="613"/>
      <c r="B455" s="613"/>
      <c r="C455" s="613"/>
      <c r="D455" s="613"/>
      <c r="E455" s="613"/>
      <c r="F455" s="613"/>
      <c r="G455" s="613"/>
      <c r="H455" s="613"/>
      <c r="I455" s="613"/>
      <c r="J455" s="613"/>
      <c r="K455" s="613"/>
      <c r="L455" s="613"/>
      <c r="M455" s="613"/>
      <c r="N455" s="613"/>
      <c r="O455" s="613"/>
      <c r="P455" s="613"/>
      <c r="Q455" s="613"/>
      <c r="R455" s="613"/>
      <c r="S455" s="613"/>
      <c r="T455" s="613"/>
      <c r="U455" s="613"/>
      <c r="V455" s="613"/>
      <c r="W455" s="613"/>
      <c r="X455" s="613"/>
      <c r="Y455" s="613"/>
      <c r="Z455" s="613"/>
    </row>
    <row r="456" ht="15.75" customHeight="1">
      <c r="A456" s="613"/>
      <c r="B456" s="613"/>
      <c r="C456" s="613"/>
      <c r="D456" s="613"/>
      <c r="E456" s="613"/>
      <c r="F456" s="613"/>
      <c r="G456" s="613"/>
      <c r="H456" s="613"/>
      <c r="I456" s="613"/>
      <c r="J456" s="613"/>
      <c r="K456" s="613"/>
      <c r="L456" s="613"/>
      <c r="M456" s="613"/>
      <c r="N456" s="613"/>
      <c r="O456" s="613"/>
      <c r="P456" s="613"/>
      <c r="Q456" s="613"/>
      <c r="R456" s="613"/>
      <c r="S456" s="613"/>
      <c r="T456" s="613"/>
      <c r="U456" s="613"/>
      <c r="V456" s="613"/>
      <c r="W456" s="613"/>
      <c r="X456" s="613"/>
      <c r="Y456" s="613"/>
      <c r="Z456" s="613"/>
    </row>
    <row r="457" ht="15.75" customHeight="1">
      <c r="A457" s="613"/>
      <c r="B457" s="613"/>
      <c r="C457" s="613"/>
      <c r="D457" s="613"/>
      <c r="E457" s="613"/>
      <c r="F457" s="613"/>
      <c r="G457" s="613"/>
      <c r="H457" s="613"/>
      <c r="I457" s="613"/>
      <c r="J457" s="613"/>
      <c r="K457" s="613"/>
      <c r="L457" s="613"/>
      <c r="M457" s="613"/>
      <c r="N457" s="613"/>
      <c r="O457" s="613"/>
      <c r="P457" s="613"/>
      <c r="Q457" s="613"/>
      <c r="R457" s="613"/>
      <c r="S457" s="613"/>
      <c r="T457" s="613"/>
      <c r="U457" s="613"/>
      <c r="V457" s="613"/>
      <c r="W457" s="613"/>
      <c r="X457" s="613"/>
      <c r="Y457" s="613"/>
      <c r="Z457" s="613"/>
    </row>
    <row r="458" ht="15.75" customHeight="1">
      <c r="A458" s="613"/>
      <c r="B458" s="613"/>
      <c r="C458" s="613"/>
      <c r="D458" s="613"/>
      <c r="E458" s="613"/>
      <c r="F458" s="613"/>
      <c r="G458" s="613"/>
      <c r="H458" s="613"/>
      <c r="I458" s="613"/>
      <c r="J458" s="613"/>
      <c r="K458" s="613"/>
      <c r="L458" s="613"/>
      <c r="M458" s="613"/>
      <c r="N458" s="613"/>
      <c r="O458" s="613"/>
      <c r="P458" s="613"/>
      <c r="Q458" s="613"/>
      <c r="R458" s="613"/>
      <c r="S458" s="613"/>
      <c r="T458" s="613"/>
      <c r="U458" s="613"/>
      <c r="V458" s="613"/>
      <c r="W458" s="613"/>
      <c r="X458" s="613"/>
      <c r="Y458" s="613"/>
      <c r="Z458" s="613"/>
    </row>
    <row r="459" ht="15.75" customHeight="1">
      <c r="A459" s="613"/>
      <c r="B459" s="613"/>
      <c r="C459" s="613"/>
      <c r="D459" s="613"/>
      <c r="E459" s="613"/>
      <c r="F459" s="613"/>
      <c r="G459" s="613"/>
      <c r="H459" s="613"/>
      <c r="I459" s="613"/>
      <c r="J459" s="613"/>
      <c r="K459" s="613"/>
      <c r="L459" s="613"/>
      <c r="M459" s="613"/>
      <c r="N459" s="613"/>
      <c r="O459" s="613"/>
      <c r="P459" s="613"/>
      <c r="Q459" s="613"/>
      <c r="R459" s="613"/>
      <c r="S459" s="613"/>
      <c r="T459" s="613"/>
      <c r="U459" s="613"/>
      <c r="V459" s="613"/>
      <c r="W459" s="613"/>
      <c r="X459" s="613"/>
      <c r="Y459" s="613"/>
      <c r="Z459" s="613"/>
    </row>
    <row r="460" ht="15.75" customHeight="1">
      <c r="A460" s="613"/>
      <c r="B460" s="613"/>
      <c r="C460" s="613"/>
      <c r="D460" s="613"/>
      <c r="E460" s="613"/>
      <c r="F460" s="613"/>
      <c r="G460" s="613"/>
      <c r="H460" s="613"/>
      <c r="I460" s="613"/>
      <c r="J460" s="613"/>
      <c r="K460" s="613"/>
      <c r="L460" s="613"/>
      <c r="M460" s="613"/>
      <c r="N460" s="613"/>
      <c r="O460" s="613"/>
      <c r="P460" s="613"/>
      <c r="Q460" s="613"/>
      <c r="R460" s="613"/>
      <c r="S460" s="613"/>
      <c r="T460" s="613"/>
      <c r="U460" s="613"/>
      <c r="V460" s="613"/>
      <c r="W460" s="613"/>
      <c r="X460" s="613"/>
      <c r="Y460" s="613"/>
      <c r="Z460" s="613"/>
    </row>
    <row r="461" ht="15.75" customHeight="1">
      <c r="A461" s="613"/>
      <c r="B461" s="613"/>
      <c r="C461" s="613"/>
      <c r="D461" s="613"/>
      <c r="E461" s="613"/>
      <c r="F461" s="613"/>
      <c r="G461" s="613"/>
      <c r="H461" s="613"/>
      <c r="I461" s="613"/>
      <c r="J461" s="613"/>
      <c r="K461" s="613"/>
      <c r="L461" s="613"/>
      <c r="M461" s="613"/>
      <c r="N461" s="613"/>
      <c r="O461" s="613"/>
      <c r="P461" s="613"/>
      <c r="Q461" s="613"/>
      <c r="R461" s="613"/>
      <c r="S461" s="613"/>
      <c r="T461" s="613"/>
      <c r="U461" s="613"/>
      <c r="V461" s="613"/>
      <c r="W461" s="613"/>
      <c r="X461" s="613"/>
      <c r="Y461" s="613"/>
      <c r="Z461" s="613"/>
    </row>
    <row r="462" ht="15.75" customHeight="1">
      <c r="A462" s="613"/>
      <c r="B462" s="613"/>
      <c r="C462" s="613"/>
      <c r="D462" s="613"/>
      <c r="E462" s="613"/>
      <c r="F462" s="613"/>
      <c r="G462" s="613"/>
      <c r="H462" s="613"/>
      <c r="I462" s="613"/>
      <c r="J462" s="613"/>
      <c r="K462" s="613"/>
      <c r="L462" s="613"/>
      <c r="M462" s="613"/>
      <c r="N462" s="613"/>
      <c r="O462" s="613"/>
      <c r="P462" s="613"/>
      <c r="Q462" s="613"/>
      <c r="R462" s="613"/>
      <c r="S462" s="613"/>
      <c r="T462" s="613"/>
      <c r="U462" s="613"/>
      <c r="V462" s="613"/>
      <c r="W462" s="613"/>
      <c r="X462" s="613"/>
      <c r="Y462" s="613"/>
      <c r="Z462" s="613"/>
    </row>
    <row r="463" ht="15.75" customHeight="1">
      <c r="A463" s="613"/>
      <c r="B463" s="613"/>
      <c r="C463" s="613"/>
      <c r="D463" s="613"/>
      <c r="E463" s="613"/>
      <c r="F463" s="613"/>
      <c r="G463" s="613"/>
      <c r="H463" s="613"/>
      <c r="I463" s="613"/>
      <c r="J463" s="613"/>
      <c r="K463" s="613"/>
      <c r="L463" s="613"/>
      <c r="M463" s="613"/>
      <c r="N463" s="613"/>
      <c r="O463" s="613"/>
      <c r="P463" s="613"/>
      <c r="Q463" s="613"/>
      <c r="R463" s="613"/>
      <c r="S463" s="613"/>
      <c r="T463" s="613"/>
      <c r="U463" s="613"/>
      <c r="V463" s="613"/>
      <c r="W463" s="613"/>
      <c r="X463" s="613"/>
      <c r="Y463" s="613"/>
      <c r="Z463" s="613"/>
    </row>
    <row r="464" ht="15.75" customHeight="1">
      <c r="A464" s="613"/>
      <c r="B464" s="613"/>
      <c r="C464" s="613"/>
      <c r="D464" s="613"/>
      <c r="E464" s="613"/>
      <c r="F464" s="613"/>
      <c r="G464" s="613"/>
      <c r="H464" s="613"/>
      <c r="I464" s="613"/>
      <c r="J464" s="613"/>
      <c r="K464" s="613"/>
      <c r="L464" s="613"/>
      <c r="M464" s="613"/>
      <c r="N464" s="613"/>
      <c r="O464" s="613"/>
      <c r="P464" s="613"/>
      <c r="Q464" s="613"/>
      <c r="R464" s="613"/>
      <c r="S464" s="613"/>
      <c r="T464" s="613"/>
      <c r="U464" s="613"/>
      <c r="V464" s="613"/>
      <c r="W464" s="613"/>
      <c r="X464" s="613"/>
      <c r="Y464" s="613"/>
      <c r="Z464" s="613"/>
    </row>
    <row r="465" ht="15.75" customHeight="1">
      <c r="A465" s="613"/>
      <c r="B465" s="613"/>
      <c r="C465" s="613"/>
      <c r="D465" s="613"/>
      <c r="E465" s="613"/>
      <c r="F465" s="613"/>
      <c r="G465" s="613"/>
      <c r="H465" s="613"/>
      <c r="I465" s="613"/>
      <c r="J465" s="613"/>
      <c r="K465" s="613"/>
      <c r="L465" s="613"/>
      <c r="M465" s="613"/>
      <c r="N465" s="613"/>
      <c r="O465" s="613"/>
      <c r="P465" s="613"/>
      <c r="Q465" s="613"/>
      <c r="R465" s="613"/>
      <c r="S465" s="613"/>
      <c r="T465" s="613"/>
      <c r="U465" s="613"/>
      <c r="V465" s="613"/>
      <c r="W465" s="613"/>
      <c r="X465" s="613"/>
      <c r="Y465" s="613"/>
      <c r="Z465" s="613"/>
    </row>
    <row r="466" ht="15.75" customHeight="1">
      <c r="A466" s="613"/>
      <c r="B466" s="613"/>
      <c r="C466" s="613"/>
      <c r="D466" s="613"/>
      <c r="E466" s="613"/>
      <c r="F466" s="613"/>
      <c r="G466" s="613"/>
      <c r="H466" s="613"/>
      <c r="I466" s="613"/>
      <c r="J466" s="613"/>
      <c r="K466" s="613"/>
      <c r="L466" s="613"/>
      <c r="M466" s="613"/>
      <c r="N466" s="613"/>
      <c r="O466" s="613"/>
      <c r="P466" s="613"/>
      <c r="Q466" s="613"/>
      <c r="R466" s="613"/>
      <c r="S466" s="613"/>
      <c r="T466" s="613"/>
      <c r="U466" s="613"/>
      <c r="V466" s="613"/>
      <c r="W466" s="613"/>
      <c r="X466" s="613"/>
      <c r="Y466" s="613"/>
      <c r="Z466" s="613"/>
    </row>
    <row r="467" ht="15.75" customHeight="1">
      <c r="A467" s="613"/>
      <c r="B467" s="613"/>
      <c r="C467" s="613"/>
      <c r="D467" s="613"/>
      <c r="E467" s="613"/>
      <c r="F467" s="613"/>
      <c r="G467" s="613"/>
      <c r="H467" s="613"/>
      <c r="I467" s="613"/>
      <c r="J467" s="613"/>
      <c r="K467" s="613"/>
      <c r="L467" s="613"/>
      <c r="M467" s="613"/>
      <c r="N467" s="613"/>
      <c r="O467" s="613"/>
      <c r="P467" s="613"/>
      <c r="Q467" s="613"/>
      <c r="R467" s="613"/>
      <c r="S467" s="613"/>
      <c r="T467" s="613"/>
      <c r="U467" s="613"/>
      <c r="V467" s="613"/>
      <c r="W467" s="613"/>
      <c r="X467" s="613"/>
      <c r="Y467" s="613"/>
      <c r="Z467" s="613"/>
    </row>
    <row r="468" ht="15.75" customHeight="1">
      <c r="A468" s="613"/>
      <c r="B468" s="613"/>
      <c r="C468" s="613"/>
      <c r="D468" s="613"/>
      <c r="E468" s="613"/>
      <c r="F468" s="613"/>
      <c r="G468" s="613"/>
      <c r="H468" s="613"/>
      <c r="I468" s="613"/>
      <c r="J468" s="613"/>
      <c r="K468" s="613"/>
      <c r="L468" s="613"/>
      <c r="M468" s="613"/>
      <c r="N468" s="613"/>
      <c r="O468" s="613"/>
      <c r="P468" s="613"/>
      <c r="Q468" s="613"/>
      <c r="R468" s="613"/>
      <c r="S468" s="613"/>
      <c r="T468" s="613"/>
      <c r="U468" s="613"/>
      <c r="V468" s="613"/>
      <c r="W468" s="613"/>
      <c r="X468" s="613"/>
      <c r="Y468" s="613"/>
      <c r="Z468" s="613"/>
    </row>
    <row r="469" ht="15.75" customHeight="1">
      <c r="A469" s="613"/>
      <c r="B469" s="613"/>
      <c r="C469" s="613"/>
      <c r="D469" s="613"/>
      <c r="E469" s="613"/>
      <c r="F469" s="613"/>
      <c r="G469" s="613"/>
      <c r="H469" s="613"/>
      <c r="I469" s="613"/>
      <c r="J469" s="613"/>
      <c r="K469" s="613"/>
      <c r="L469" s="613"/>
      <c r="M469" s="613"/>
      <c r="N469" s="613"/>
      <c r="O469" s="613"/>
      <c r="P469" s="613"/>
      <c r="Q469" s="613"/>
      <c r="R469" s="613"/>
      <c r="S469" s="613"/>
      <c r="T469" s="613"/>
      <c r="U469" s="613"/>
      <c r="V469" s="613"/>
      <c r="W469" s="613"/>
      <c r="X469" s="613"/>
      <c r="Y469" s="613"/>
      <c r="Z469" s="613"/>
    </row>
    <row r="470" ht="15.75" customHeight="1">
      <c r="A470" s="613"/>
      <c r="B470" s="613"/>
      <c r="C470" s="613"/>
      <c r="D470" s="613"/>
      <c r="E470" s="613"/>
      <c r="F470" s="613"/>
      <c r="G470" s="613"/>
      <c r="H470" s="613"/>
      <c r="I470" s="613"/>
      <c r="J470" s="613"/>
      <c r="K470" s="613"/>
      <c r="L470" s="613"/>
      <c r="M470" s="613"/>
      <c r="N470" s="613"/>
      <c r="O470" s="613"/>
      <c r="P470" s="613"/>
      <c r="Q470" s="613"/>
      <c r="R470" s="613"/>
      <c r="S470" s="613"/>
      <c r="T470" s="613"/>
      <c r="U470" s="613"/>
      <c r="V470" s="613"/>
      <c r="W470" s="613"/>
      <c r="X470" s="613"/>
      <c r="Y470" s="613"/>
      <c r="Z470" s="613"/>
    </row>
    <row r="471" ht="15.75" customHeight="1">
      <c r="A471" s="613"/>
      <c r="B471" s="613"/>
      <c r="C471" s="613"/>
      <c r="D471" s="613"/>
      <c r="E471" s="613"/>
      <c r="F471" s="613"/>
      <c r="G471" s="613"/>
      <c r="H471" s="613"/>
      <c r="I471" s="613"/>
      <c r="J471" s="613"/>
      <c r="K471" s="613"/>
      <c r="L471" s="613"/>
      <c r="M471" s="613"/>
      <c r="N471" s="613"/>
      <c r="O471" s="613"/>
      <c r="P471" s="613"/>
      <c r="Q471" s="613"/>
      <c r="R471" s="613"/>
      <c r="S471" s="613"/>
      <c r="T471" s="613"/>
      <c r="U471" s="613"/>
      <c r="V471" s="613"/>
      <c r="W471" s="613"/>
      <c r="X471" s="613"/>
      <c r="Y471" s="613"/>
      <c r="Z471" s="613"/>
    </row>
    <row r="472" ht="15.75" customHeight="1">
      <c r="A472" s="613"/>
      <c r="B472" s="613"/>
      <c r="C472" s="613"/>
      <c r="D472" s="613"/>
      <c r="E472" s="613"/>
      <c r="F472" s="613"/>
      <c r="G472" s="613"/>
      <c r="H472" s="613"/>
      <c r="I472" s="613"/>
      <c r="J472" s="613"/>
      <c r="K472" s="613"/>
      <c r="L472" s="613"/>
      <c r="M472" s="613"/>
      <c r="N472" s="613"/>
      <c r="O472" s="613"/>
      <c r="P472" s="613"/>
      <c r="Q472" s="613"/>
      <c r="R472" s="613"/>
      <c r="S472" s="613"/>
      <c r="T472" s="613"/>
      <c r="U472" s="613"/>
      <c r="V472" s="613"/>
      <c r="W472" s="613"/>
      <c r="X472" s="613"/>
      <c r="Y472" s="613"/>
      <c r="Z472" s="613"/>
    </row>
    <row r="473" ht="15.75" customHeight="1">
      <c r="A473" s="613"/>
      <c r="B473" s="613"/>
      <c r="C473" s="613"/>
      <c r="D473" s="613"/>
      <c r="E473" s="613"/>
      <c r="F473" s="613"/>
      <c r="G473" s="613"/>
      <c r="H473" s="613"/>
      <c r="I473" s="613"/>
      <c r="J473" s="613"/>
      <c r="K473" s="613"/>
      <c r="L473" s="613"/>
      <c r="M473" s="613"/>
      <c r="N473" s="613"/>
      <c r="O473" s="613"/>
      <c r="P473" s="613"/>
      <c r="Q473" s="613"/>
      <c r="R473" s="613"/>
      <c r="S473" s="613"/>
      <c r="T473" s="613"/>
      <c r="U473" s="613"/>
      <c r="V473" s="613"/>
      <c r="W473" s="613"/>
      <c r="X473" s="613"/>
      <c r="Y473" s="613"/>
      <c r="Z473" s="613"/>
    </row>
    <row r="474" ht="15.75" customHeight="1">
      <c r="A474" s="613"/>
      <c r="B474" s="613"/>
      <c r="C474" s="613"/>
      <c r="D474" s="613"/>
      <c r="E474" s="613"/>
      <c r="F474" s="613"/>
      <c r="G474" s="613"/>
      <c r="H474" s="613"/>
      <c r="I474" s="613"/>
      <c r="J474" s="613"/>
      <c r="K474" s="613"/>
      <c r="L474" s="613"/>
      <c r="M474" s="613"/>
      <c r="N474" s="613"/>
      <c r="O474" s="613"/>
      <c r="P474" s="613"/>
      <c r="Q474" s="613"/>
      <c r="R474" s="613"/>
      <c r="S474" s="613"/>
      <c r="T474" s="613"/>
      <c r="U474" s="613"/>
      <c r="V474" s="613"/>
      <c r="W474" s="613"/>
      <c r="X474" s="613"/>
      <c r="Y474" s="613"/>
      <c r="Z474" s="613"/>
    </row>
    <row r="475" ht="15.75" customHeight="1">
      <c r="A475" s="613"/>
      <c r="B475" s="613"/>
      <c r="C475" s="613"/>
      <c r="D475" s="613"/>
      <c r="E475" s="613"/>
      <c r="F475" s="613"/>
      <c r="G475" s="613"/>
      <c r="H475" s="613"/>
      <c r="I475" s="613"/>
      <c r="J475" s="613"/>
      <c r="K475" s="613"/>
      <c r="L475" s="613"/>
      <c r="M475" s="613"/>
      <c r="N475" s="613"/>
      <c r="O475" s="613"/>
      <c r="P475" s="613"/>
      <c r="Q475" s="613"/>
      <c r="R475" s="613"/>
      <c r="S475" s="613"/>
      <c r="T475" s="613"/>
      <c r="U475" s="613"/>
      <c r="V475" s="613"/>
      <c r="W475" s="613"/>
      <c r="X475" s="613"/>
      <c r="Y475" s="613"/>
      <c r="Z475" s="613"/>
    </row>
    <row r="476" ht="15.75" customHeight="1">
      <c r="A476" s="613"/>
      <c r="B476" s="613"/>
      <c r="C476" s="613"/>
      <c r="D476" s="613"/>
      <c r="E476" s="613"/>
      <c r="F476" s="613"/>
      <c r="G476" s="613"/>
      <c r="H476" s="613"/>
      <c r="I476" s="613"/>
      <c r="J476" s="613"/>
      <c r="K476" s="613"/>
      <c r="L476" s="613"/>
      <c r="M476" s="613"/>
      <c r="N476" s="613"/>
      <c r="O476" s="613"/>
      <c r="P476" s="613"/>
      <c r="Q476" s="613"/>
      <c r="R476" s="613"/>
      <c r="S476" s="613"/>
      <c r="T476" s="613"/>
      <c r="U476" s="613"/>
      <c r="V476" s="613"/>
      <c r="W476" s="613"/>
      <c r="X476" s="613"/>
      <c r="Y476" s="613"/>
      <c r="Z476" s="613"/>
    </row>
    <row r="477" ht="15.75" customHeight="1">
      <c r="A477" s="613"/>
      <c r="B477" s="613"/>
      <c r="C477" s="613"/>
      <c r="D477" s="613"/>
      <c r="E477" s="613"/>
      <c r="F477" s="613"/>
      <c r="G477" s="613"/>
      <c r="H477" s="613"/>
      <c r="I477" s="613"/>
      <c r="J477" s="613"/>
      <c r="K477" s="613"/>
      <c r="L477" s="613"/>
      <c r="M477" s="613"/>
      <c r="N477" s="613"/>
      <c r="O477" s="613"/>
      <c r="P477" s="613"/>
      <c r="Q477" s="613"/>
      <c r="R477" s="613"/>
      <c r="S477" s="613"/>
      <c r="T477" s="613"/>
      <c r="U477" s="613"/>
      <c r="V477" s="613"/>
      <c r="W477" s="613"/>
      <c r="X477" s="613"/>
      <c r="Y477" s="613"/>
      <c r="Z477" s="613"/>
    </row>
    <row r="478" ht="15.75" customHeight="1">
      <c r="A478" s="613"/>
      <c r="B478" s="613"/>
      <c r="C478" s="613"/>
      <c r="D478" s="613"/>
      <c r="E478" s="613"/>
      <c r="F478" s="613"/>
      <c r="G478" s="613"/>
      <c r="H478" s="613"/>
      <c r="I478" s="613"/>
      <c r="J478" s="613"/>
      <c r="K478" s="613"/>
      <c r="L478" s="613"/>
      <c r="M478" s="613"/>
      <c r="N478" s="613"/>
      <c r="O478" s="613"/>
      <c r="P478" s="613"/>
      <c r="Q478" s="613"/>
      <c r="R478" s="613"/>
      <c r="S478" s="613"/>
      <c r="T478" s="613"/>
      <c r="U478" s="613"/>
      <c r="V478" s="613"/>
      <c r="W478" s="613"/>
      <c r="X478" s="613"/>
      <c r="Y478" s="613"/>
      <c r="Z478" s="613"/>
    </row>
    <row r="479" ht="15.75" customHeight="1">
      <c r="A479" s="613"/>
      <c r="B479" s="613"/>
      <c r="C479" s="613"/>
      <c r="D479" s="613"/>
      <c r="E479" s="613"/>
      <c r="F479" s="613"/>
      <c r="G479" s="613"/>
      <c r="H479" s="613"/>
      <c r="I479" s="613"/>
      <c r="J479" s="613"/>
      <c r="K479" s="613"/>
      <c r="L479" s="613"/>
      <c r="M479" s="613"/>
      <c r="N479" s="613"/>
      <c r="O479" s="613"/>
      <c r="P479" s="613"/>
      <c r="Q479" s="613"/>
      <c r="R479" s="613"/>
      <c r="S479" s="613"/>
      <c r="T479" s="613"/>
      <c r="U479" s="613"/>
      <c r="V479" s="613"/>
      <c r="W479" s="613"/>
      <c r="X479" s="613"/>
      <c r="Y479" s="613"/>
      <c r="Z479" s="613"/>
    </row>
    <row r="480" ht="15.75" customHeight="1">
      <c r="A480" s="613"/>
      <c r="B480" s="613"/>
      <c r="C480" s="613"/>
      <c r="D480" s="613"/>
      <c r="E480" s="613"/>
      <c r="F480" s="613"/>
      <c r="G480" s="613"/>
      <c r="H480" s="613"/>
      <c r="I480" s="613"/>
      <c r="J480" s="613"/>
      <c r="K480" s="613"/>
      <c r="L480" s="613"/>
      <c r="M480" s="613"/>
      <c r="N480" s="613"/>
      <c r="O480" s="613"/>
      <c r="P480" s="613"/>
      <c r="Q480" s="613"/>
      <c r="R480" s="613"/>
      <c r="S480" s="613"/>
      <c r="T480" s="613"/>
      <c r="U480" s="613"/>
      <c r="V480" s="613"/>
      <c r="W480" s="613"/>
      <c r="X480" s="613"/>
      <c r="Y480" s="613"/>
      <c r="Z480" s="613"/>
    </row>
    <row r="481" ht="15.75" customHeight="1">
      <c r="A481" s="613"/>
      <c r="B481" s="613"/>
      <c r="C481" s="613"/>
      <c r="D481" s="613"/>
      <c r="E481" s="613"/>
      <c r="F481" s="613"/>
      <c r="G481" s="613"/>
      <c r="H481" s="613"/>
      <c r="I481" s="613"/>
      <c r="J481" s="613"/>
      <c r="K481" s="613"/>
      <c r="L481" s="613"/>
      <c r="M481" s="613"/>
      <c r="N481" s="613"/>
      <c r="O481" s="613"/>
      <c r="P481" s="613"/>
      <c r="Q481" s="613"/>
      <c r="R481" s="613"/>
      <c r="S481" s="613"/>
      <c r="T481" s="613"/>
      <c r="U481" s="613"/>
      <c r="V481" s="613"/>
      <c r="W481" s="613"/>
      <c r="X481" s="613"/>
      <c r="Y481" s="613"/>
      <c r="Z481" s="613"/>
    </row>
    <row r="482" ht="15.75" customHeight="1">
      <c r="A482" s="613"/>
      <c r="B482" s="613"/>
      <c r="C482" s="613"/>
      <c r="D482" s="613"/>
      <c r="E482" s="613"/>
      <c r="F482" s="613"/>
      <c r="G482" s="613"/>
      <c r="H482" s="613"/>
      <c r="I482" s="613"/>
      <c r="J482" s="613"/>
      <c r="K482" s="613"/>
      <c r="L482" s="613"/>
      <c r="M482" s="613"/>
      <c r="N482" s="613"/>
      <c r="O482" s="613"/>
      <c r="P482" s="613"/>
      <c r="Q482" s="613"/>
      <c r="R482" s="613"/>
      <c r="S482" s="613"/>
      <c r="T482" s="613"/>
      <c r="U482" s="613"/>
      <c r="V482" s="613"/>
      <c r="W482" s="613"/>
      <c r="X482" s="613"/>
      <c r="Y482" s="613"/>
      <c r="Z482" s="613"/>
    </row>
    <row r="483" ht="15.75" customHeight="1">
      <c r="A483" s="613"/>
      <c r="B483" s="613"/>
      <c r="C483" s="613"/>
      <c r="D483" s="613"/>
      <c r="E483" s="613"/>
      <c r="F483" s="613"/>
      <c r="G483" s="613"/>
      <c r="H483" s="613"/>
      <c r="I483" s="613"/>
      <c r="J483" s="613"/>
      <c r="K483" s="613"/>
      <c r="L483" s="613"/>
      <c r="M483" s="613"/>
      <c r="N483" s="613"/>
      <c r="O483" s="613"/>
      <c r="P483" s="613"/>
      <c r="Q483" s="613"/>
      <c r="R483" s="613"/>
      <c r="S483" s="613"/>
      <c r="T483" s="613"/>
      <c r="U483" s="613"/>
      <c r="V483" s="613"/>
      <c r="W483" s="613"/>
      <c r="X483" s="613"/>
      <c r="Y483" s="613"/>
      <c r="Z483" s="613"/>
    </row>
    <row r="484" ht="15.75" customHeight="1">
      <c r="A484" s="613"/>
      <c r="B484" s="613"/>
      <c r="C484" s="613"/>
      <c r="D484" s="613"/>
      <c r="E484" s="613"/>
      <c r="F484" s="613"/>
      <c r="G484" s="613"/>
      <c r="H484" s="613"/>
      <c r="I484" s="613"/>
      <c r="J484" s="613"/>
      <c r="K484" s="613"/>
      <c r="L484" s="613"/>
      <c r="M484" s="613"/>
      <c r="N484" s="613"/>
      <c r="O484" s="613"/>
      <c r="P484" s="613"/>
      <c r="Q484" s="613"/>
      <c r="R484" s="613"/>
      <c r="S484" s="613"/>
      <c r="T484" s="613"/>
      <c r="U484" s="613"/>
      <c r="V484" s="613"/>
      <c r="W484" s="613"/>
      <c r="X484" s="613"/>
      <c r="Y484" s="613"/>
      <c r="Z484" s="613"/>
    </row>
    <row r="485" ht="15.75" customHeight="1">
      <c r="A485" s="613"/>
      <c r="B485" s="613"/>
      <c r="C485" s="613"/>
      <c r="D485" s="613"/>
      <c r="E485" s="613"/>
      <c r="F485" s="613"/>
      <c r="G485" s="613"/>
      <c r="H485" s="613"/>
      <c r="I485" s="613"/>
      <c r="J485" s="613"/>
      <c r="K485" s="613"/>
      <c r="L485" s="613"/>
      <c r="M485" s="613"/>
      <c r="N485" s="613"/>
      <c r="O485" s="613"/>
      <c r="P485" s="613"/>
      <c r="Q485" s="613"/>
      <c r="R485" s="613"/>
      <c r="S485" s="613"/>
      <c r="T485" s="613"/>
      <c r="U485" s="613"/>
      <c r="V485" s="613"/>
      <c r="W485" s="613"/>
      <c r="X485" s="613"/>
      <c r="Y485" s="613"/>
      <c r="Z485" s="613"/>
    </row>
    <row r="486" ht="15.75" customHeight="1">
      <c r="A486" s="613"/>
      <c r="B486" s="613"/>
      <c r="C486" s="613"/>
      <c r="D486" s="613"/>
      <c r="E486" s="613"/>
      <c r="F486" s="613"/>
      <c r="G486" s="613"/>
      <c r="H486" s="613"/>
      <c r="I486" s="613"/>
      <c r="J486" s="613"/>
      <c r="K486" s="613"/>
      <c r="L486" s="613"/>
      <c r="M486" s="613"/>
      <c r="N486" s="613"/>
      <c r="O486" s="613"/>
      <c r="P486" s="613"/>
      <c r="Q486" s="613"/>
      <c r="R486" s="613"/>
      <c r="S486" s="613"/>
      <c r="T486" s="613"/>
      <c r="U486" s="613"/>
      <c r="V486" s="613"/>
      <c r="W486" s="613"/>
      <c r="X486" s="613"/>
      <c r="Y486" s="613"/>
      <c r="Z486" s="613"/>
    </row>
    <row r="487" ht="15.75" customHeight="1">
      <c r="A487" s="613"/>
      <c r="B487" s="613"/>
      <c r="C487" s="613"/>
      <c r="D487" s="613"/>
      <c r="E487" s="613"/>
      <c r="F487" s="613"/>
      <c r="G487" s="613"/>
      <c r="H487" s="613"/>
      <c r="I487" s="613"/>
      <c r="J487" s="613"/>
      <c r="K487" s="613"/>
      <c r="L487" s="613"/>
      <c r="M487" s="613"/>
      <c r="N487" s="613"/>
      <c r="O487" s="613"/>
      <c r="P487" s="613"/>
      <c r="Q487" s="613"/>
      <c r="R487" s="613"/>
      <c r="S487" s="613"/>
      <c r="T487" s="613"/>
      <c r="U487" s="613"/>
      <c r="V487" s="613"/>
      <c r="W487" s="613"/>
      <c r="X487" s="613"/>
      <c r="Y487" s="613"/>
      <c r="Z487" s="613"/>
    </row>
    <row r="488" ht="15.75" customHeight="1">
      <c r="A488" s="613"/>
      <c r="B488" s="613"/>
      <c r="C488" s="613"/>
      <c r="D488" s="613"/>
      <c r="E488" s="613"/>
      <c r="F488" s="613"/>
      <c r="G488" s="613"/>
      <c r="H488" s="613"/>
      <c r="I488" s="613"/>
      <c r="J488" s="613"/>
      <c r="K488" s="613"/>
      <c r="L488" s="613"/>
      <c r="M488" s="613"/>
      <c r="N488" s="613"/>
      <c r="O488" s="613"/>
      <c r="P488" s="613"/>
      <c r="Q488" s="613"/>
      <c r="R488" s="613"/>
      <c r="S488" s="613"/>
      <c r="T488" s="613"/>
      <c r="U488" s="613"/>
      <c r="V488" s="613"/>
      <c r="W488" s="613"/>
      <c r="X488" s="613"/>
      <c r="Y488" s="613"/>
      <c r="Z488" s="613"/>
    </row>
    <row r="489" ht="15.75" customHeight="1">
      <c r="A489" s="613"/>
      <c r="B489" s="613"/>
      <c r="C489" s="613"/>
      <c r="D489" s="613"/>
      <c r="E489" s="613"/>
      <c r="F489" s="613"/>
      <c r="G489" s="613"/>
      <c r="H489" s="613"/>
      <c r="I489" s="613"/>
      <c r="J489" s="613"/>
      <c r="K489" s="613"/>
      <c r="L489" s="613"/>
      <c r="M489" s="613"/>
      <c r="N489" s="613"/>
      <c r="O489" s="613"/>
      <c r="P489" s="613"/>
      <c r="Q489" s="613"/>
      <c r="R489" s="613"/>
      <c r="S489" s="613"/>
      <c r="T489" s="613"/>
      <c r="U489" s="613"/>
      <c r="V489" s="613"/>
      <c r="W489" s="613"/>
      <c r="X489" s="613"/>
      <c r="Y489" s="613"/>
      <c r="Z489" s="613"/>
    </row>
    <row r="490" ht="15.75" customHeight="1">
      <c r="A490" s="613"/>
      <c r="B490" s="613"/>
      <c r="C490" s="613"/>
      <c r="D490" s="613"/>
      <c r="E490" s="613"/>
      <c r="F490" s="613"/>
      <c r="G490" s="613"/>
      <c r="H490" s="613"/>
      <c r="I490" s="613"/>
      <c r="J490" s="613"/>
      <c r="K490" s="613"/>
      <c r="L490" s="613"/>
      <c r="M490" s="613"/>
      <c r="N490" s="613"/>
      <c r="O490" s="613"/>
      <c r="P490" s="613"/>
      <c r="Q490" s="613"/>
      <c r="R490" s="613"/>
      <c r="S490" s="613"/>
      <c r="T490" s="613"/>
      <c r="U490" s="613"/>
      <c r="V490" s="613"/>
      <c r="W490" s="613"/>
      <c r="X490" s="613"/>
      <c r="Y490" s="613"/>
      <c r="Z490" s="613"/>
    </row>
    <row r="491" ht="15.75" customHeight="1">
      <c r="A491" s="613"/>
      <c r="B491" s="613"/>
      <c r="C491" s="613"/>
      <c r="D491" s="613"/>
      <c r="E491" s="613"/>
      <c r="F491" s="613"/>
      <c r="G491" s="613"/>
      <c r="H491" s="613"/>
      <c r="I491" s="613"/>
      <c r="J491" s="613"/>
      <c r="K491" s="613"/>
      <c r="L491" s="613"/>
      <c r="M491" s="613"/>
      <c r="N491" s="613"/>
      <c r="O491" s="613"/>
      <c r="P491" s="613"/>
      <c r="Q491" s="613"/>
      <c r="R491" s="613"/>
      <c r="S491" s="613"/>
      <c r="T491" s="613"/>
      <c r="U491" s="613"/>
      <c r="V491" s="613"/>
      <c r="W491" s="613"/>
      <c r="X491" s="613"/>
      <c r="Y491" s="613"/>
      <c r="Z491" s="613"/>
    </row>
    <row r="492" ht="15.75" customHeight="1">
      <c r="A492" s="613"/>
      <c r="B492" s="613"/>
      <c r="C492" s="613"/>
      <c r="D492" s="613"/>
      <c r="E492" s="613"/>
      <c r="F492" s="613"/>
      <c r="G492" s="613"/>
      <c r="H492" s="613"/>
      <c r="I492" s="613"/>
      <c r="J492" s="613"/>
      <c r="K492" s="613"/>
      <c r="L492" s="613"/>
      <c r="M492" s="613"/>
      <c r="N492" s="613"/>
      <c r="O492" s="613"/>
      <c r="P492" s="613"/>
      <c r="Q492" s="613"/>
      <c r="R492" s="613"/>
      <c r="S492" s="613"/>
      <c r="T492" s="613"/>
      <c r="U492" s="613"/>
      <c r="V492" s="613"/>
      <c r="W492" s="613"/>
      <c r="X492" s="613"/>
      <c r="Y492" s="613"/>
      <c r="Z492" s="613"/>
    </row>
    <row r="493" ht="15.75" customHeight="1">
      <c r="A493" s="613"/>
      <c r="B493" s="613"/>
      <c r="C493" s="613"/>
      <c r="D493" s="613"/>
      <c r="E493" s="613"/>
      <c r="F493" s="613"/>
      <c r="G493" s="613"/>
      <c r="H493" s="613"/>
      <c r="I493" s="613"/>
      <c r="J493" s="613"/>
      <c r="K493" s="613"/>
      <c r="L493" s="613"/>
      <c r="M493" s="613"/>
      <c r="N493" s="613"/>
      <c r="O493" s="613"/>
      <c r="P493" s="613"/>
      <c r="Q493" s="613"/>
      <c r="R493" s="613"/>
      <c r="S493" s="613"/>
      <c r="T493" s="613"/>
      <c r="U493" s="613"/>
      <c r="V493" s="613"/>
      <c r="W493" s="613"/>
      <c r="X493" s="613"/>
      <c r="Y493" s="613"/>
      <c r="Z493" s="613"/>
    </row>
    <row r="494" ht="15.75" customHeight="1">
      <c r="A494" s="613"/>
      <c r="B494" s="613"/>
      <c r="C494" s="613"/>
      <c r="D494" s="613"/>
      <c r="E494" s="613"/>
      <c r="F494" s="613"/>
      <c r="G494" s="613"/>
      <c r="H494" s="613"/>
      <c r="I494" s="613"/>
      <c r="J494" s="613"/>
      <c r="K494" s="613"/>
      <c r="L494" s="613"/>
      <c r="M494" s="613"/>
      <c r="N494" s="613"/>
      <c r="O494" s="613"/>
      <c r="P494" s="613"/>
      <c r="Q494" s="613"/>
      <c r="R494" s="613"/>
      <c r="S494" s="613"/>
      <c r="T494" s="613"/>
      <c r="U494" s="613"/>
      <c r="V494" s="613"/>
      <c r="W494" s="613"/>
      <c r="X494" s="613"/>
      <c r="Y494" s="613"/>
      <c r="Z494" s="613"/>
    </row>
    <row r="495" ht="15.75" customHeight="1">
      <c r="A495" s="613"/>
      <c r="B495" s="613"/>
      <c r="C495" s="613"/>
      <c r="D495" s="613"/>
      <c r="E495" s="613"/>
      <c r="F495" s="613"/>
      <c r="G495" s="613"/>
      <c r="H495" s="613"/>
      <c r="I495" s="613"/>
      <c r="J495" s="613"/>
      <c r="K495" s="613"/>
      <c r="L495" s="613"/>
      <c r="M495" s="613"/>
      <c r="N495" s="613"/>
      <c r="O495" s="613"/>
      <c r="P495" s="613"/>
      <c r="Q495" s="613"/>
      <c r="R495" s="613"/>
      <c r="S495" s="613"/>
      <c r="T495" s="613"/>
      <c r="U495" s="613"/>
      <c r="V495" s="613"/>
      <c r="W495" s="613"/>
      <c r="X495" s="613"/>
      <c r="Y495" s="613"/>
      <c r="Z495" s="613"/>
    </row>
    <row r="496" ht="15.75" customHeight="1">
      <c r="A496" s="613"/>
      <c r="B496" s="613"/>
      <c r="C496" s="613"/>
      <c r="D496" s="613"/>
      <c r="E496" s="613"/>
      <c r="F496" s="613"/>
      <c r="G496" s="613"/>
      <c r="H496" s="613"/>
      <c r="I496" s="613"/>
      <c r="J496" s="613"/>
      <c r="K496" s="613"/>
      <c r="L496" s="613"/>
      <c r="M496" s="613"/>
      <c r="N496" s="613"/>
      <c r="O496" s="613"/>
      <c r="P496" s="613"/>
      <c r="Q496" s="613"/>
      <c r="R496" s="613"/>
      <c r="S496" s="613"/>
      <c r="T496" s="613"/>
      <c r="U496" s="613"/>
      <c r="V496" s="613"/>
      <c r="W496" s="613"/>
      <c r="X496" s="613"/>
      <c r="Y496" s="613"/>
      <c r="Z496" s="613"/>
    </row>
    <row r="497" ht="15.75" customHeight="1">
      <c r="A497" s="613"/>
      <c r="B497" s="613"/>
      <c r="C497" s="613"/>
      <c r="D497" s="613"/>
      <c r="E497" s="613"/>
      <c r="F497" s="613"/>
      <c r="G497" s="613"/>
      <c r="H497" s="613"/>
      <c r="I497" s="613"/>
      <c r="J497" s="613"/>
      <c r="K497" s="613"/>
      <c r="L497" s="613"/>
      <c r="M497" s="613"/>
      <c r="N497" s="613"/>
      <c r="O497" s="613"/>
      <c r="P497" s="613"/>
      <c r="Q497" s="613"/>
      <c r="R497" s="613"/>
      <c r="S497" s="613"/>
      <c r="T497" s="613"/>
      <c r="U497" s="613"/>
      <c r="V497" s="613"/>
      <c r="W497" s="613"/>
      <c r="X497" s="613"/>
      <c r="Y497" s="613"/>
      <c r="Z497" s="613"/>
    </row>
    <row r="498" ht="15.75" customHeight="1">
      <c r="A498" s="613"/>
      <c r="B498" s="613"/>
      <c r="C498" s="613"/>
      <c r="D498" s="613"/>
      <c r="E498" s="613"/>
      <c r="F498" s="613"/>
      <c r="G498" s="613"/>
      <c r="H498" s="613"/>
      <c r="I498" s="613"/>
      <c r="J498" s="613"/>
      <c r="K498" s="613"/>
      <c r="L498" s="613"/>
      <c r="M498" s="613"/>
      <c r="N498" s="613"/>
      <c r="O498" s="613"/>
      <c r="P498" s="613"/>
      <c r="Q498" s="613"/>
      <c r="R498" s="613"/>
      <c r="S498" s="613"/>
      <c r="T498" s="613"/>
      <c r="U498" s="613"/>
      <c r="V498" s="613"/>
      <c r="W498" s="613"/>
      <c r="X498" s="613"/>
      <c r="Y498" s="613"/>
      <c r="Z498" s="613"/>
    </row>
    <row r="499" ht="15.75" customHeight="1">
      <c r="A499" s="613"/>
      <c r="B499" s="613"/>
      <c r="C499" s="613"/>
      <c r="D499" s="613"/>
      <c r="E499" s="613"/>
      <c r="F499" s="613"/>
      <c r="G499" s="613"/>
      <c r="H499" s="613"/>
      <c r="I499" s="613"/>
      <c r="J499" s="613"/>
      <c r="K499" s="613"/>
      <c r="L499" s="613"/>
      <c r="M499" s="613"/>
      <c r="N499" s="613"/>
      <c r="O499" s="613"/>
      <c r="P499" s="613"/>
      <c r="Q499" s="613"/>
      <c r="R499" s="613"/>
      <c r="S499" s="613"/>
      <c r="T499" s="613"/>
      <c r="U499" s="613"/>
      <c r="V499" s="613"/>
      <c r="W499" s="613"/>
      <c r="X499" s="613"/>
      <c r="Y499" s="613"/>
      <c r="Z499" s="613"/>
    </row>
    <row r="500" ht="15.75" customHeight="1">
      <c r="A500" s="613"/>
      <c r="B500" s="613"/>
      <c r="C500" s="613"/>
      <c r="D500" s="613"/>
      <c r="E500" s="613"/>
      <c r="F500" s="613"/>
      <c r="G500" s="613"/>
      <c r="H500" s="613"/>
      <c r="I500" s="613"/>
      <c r="J500" s="613"/>
      <c r="K500" s="613"/>
      <c r="L500" s="613"/>
      <c r="M500" s="613"/>
      <c r="N500" s="613"/>
      <c r="O500" s="613"/>
      <c r="P500" s="613"/>
      <c r="Q500" s="613"/>
      <c r="R500" s="613"/>
      <c r="S500" s="613"/>
      <c r="T500" s="613"/>
      <c r="U500" s="613"/>
      <c r="V500" s="613"/>
      <c r="W500" s="613"/>
      <c r="X500" s="613"/>
      <c r="Y500" s="613"/>
      <c r="Z500" s="613"/>
    </row>
    <row r="501" ht="15.75" customHeight="1">
      <c r="A501" s="613"/>
      <c r="B501" s="613"/>
      <c r="C501" s="613"/>
      <c r="D501" s="613"/>
      <c r="E501" s="613"/>
      <c r="F501" s="613"/>
      <c r="G501" s="613"/>
      <c r="H501" s="613"/>
      <c r="I501" s="613"/>
      <c r="J501" s="613"/>
      <c r="K501" s="613"/>
      <c r="L501" s="613"/>
      <c r="M501" s="613"/>
      <c r="N501" s="613"/>
      <c r="O501" s="613"/>
      <c r="P501" s="613"/>
      <c r="Q501" s="613"/>
      <c r="R501" s="613"/>
      <c r="S501" s="613"/>
      <c r="T501" s="613"/>
      <c r="U501" s="613"/>
      <c r="V501" s="613"/>
      <c r="W501" s="613"/>
      <c r="X501" s="613"/>
      <c r="Y501" s="613"/>
      <c r="Z501" s="613"/>
    </row>
    <row r="502" ht="15.75" customHeight="1">
      <c r="A502" s="613"/>
      <c r="B502" s="613"/>
      <c r="C502" s="613"/>
      <c r="D502" s="613"/>
      <c r="E502" s="613"/>
      <c r="F502" s="613"/>
      <c r="G502" s="613"/>
      <c r="H502" s="613"/>
      <c r="I502" s="613"/>
      <c r="J502" s="613"/>
      <c r="K502" s="613"/>
      <c r="L502" s="613"/>
      <c r="M502" s="613"/>
      <c r="N502" s="613"/>
      <c r="O502" s="613"/>
      <c r="P502" s="613"/>
      <c r="Q502" s="613"/>
      <c r="R502" s="613"/>
      <c r="S502" s="613"/>
      <c r="T502" s="613"/>
      <c r="U502" s="613"/>
      <c r="V502" s="613"/>
      <c r="W502" s="613"/>
      <c r="X502" s="613"/>
      <c r="Y502" s="613"/>
      <c r="Z502" s="613"/>
    </row>
    <row r="503" ht="15.75" customHeight="1">
      <c r="A503" s="613"/>
      <c r="B503" s="613"/>
      <c r="C503" s="613"/>
      <c r="D503" s="613"/>
      <c r="E503" s="613"/>
      <c r="F503" s="613"/>
      <c r="G503" s="613"/>
      <c r="H503" s="613"/>
      <c r="I503" s="613"/>
      <c r="J503" s="613"/>
      <c r="K503" s="613"/>
      <c r="L503" s="613"/>
      <c r="M503" s="613"/>
      <c r="N503" s="613"/>
      <c r="O503" s="613"/>
      <c r="P503" s="613"/>
      <c r="Q503" s="613"/>
      <c r="R503" s="613"/>
      <c r="S503" s="613"/>
      <c r="T503" s="613"/>
      <c r="U503" s="613"/>
      <c r="V503" s="613"/>
      <c r="W503" s="613"/>
      <c r="X503" s="613"/>
      <c r="Y503" s="613"/>
      <c r="Z503" s="613"/>
    </row>
    <row r="504" ht="15.75" customHeight="1">
      <c r="A504" s="613"/>
      <c r="B504" s="613"/>
      <c r="C504" s="613"/>
      <c r="D504" s="613"/>
      <c r="E504" s="613"/>
      <c r="F504" s="613"/>
      <c r="G504" s="613"/>
      <c r="H504" s="613"/>
      <c r="I504" s="613"/>
      <c r="J504" s="613"/>
      <c r="K504" s="613"/>
      <c r="L504" s="613"/>
      <c r="M504" s="613"/>
      <c r="N504" s="613"/>
      <c r="O504" s="613"/>
      <c r="P504" s="613"/>
      <c r="Q504" s="613"/>
      <c r="R504" s="613"/>
      <c r="S504" s="613"/>
      <c r="T504" s="613"/>
      <c r="U504" s="613"/>
      <c r="V504" s="613"/>
      <c r="W504" s="613"/>
      <c r="X504" s="613"/>
      <c r="Y504" s="613"/>
      <c r="Z504" s="613"/>
    </row>
    <row r="505" ht="15.75" customHeight="1">
      <c r="A505" s="613"/>
      <c r="B505" s="613"/>
      <c r="C505" s="613"/>
      <c r="D505" s="613"/>
      <c r="E505" s="613"/>
      <c r="F505" s="613"/>
      <c r="G505" s="613"/>
      <c r="H505" s="613"/>
      <c r="I505" s="613"/>
      <c r="J505" s="613"/>
      <c r="K505" s="613"/>
      <c r="L505" s="613"/>
      <c r="M505" s="613"/>
      <c r="N505" s="613"/>
      <c r="O505" s="613"/>
      <c r="P505" s="613"/>
      <c r="Q505" s="613"/>
      <c r="R505" s="613"/>
      <c r="S505" s="613"/>
      <c r="T505" s="613"/>
      <c r="U505" s="613"/>
      <c r="V505" s="613"/>
      <c r="W505" s="613"/>
      <c r="X505" s="613"/>
      <c r="Y505" s="613"/>
      <c r="Z505" s="613"/>
    </row>
    <row r="506" ht="15.75" customHeight="1">
      <c r="A506" s="613"/>
      <c r="B506" s="613"/>
      <c r="C506" s="613"/>
      <c r="D506" s="613"/>
      <c r="E506" s="613"/>
      <c r="F506" s="613"/>
      <c r="G506" s="613"/>
      <c r="H506" s="613"/>
      <c r="I506" s="613"/>
      <c r="J506" s="613"/>
      <c r="K506" s="613"/>
      <c r="L506" s="613"/>
      <c r="M506" s="613"/>
      <c r="N506" s="613"/>
      <c r="O506" s="613"/>
      <c r="P506" s="613"/>
      <c r="Q506" s="613"/>
      <c r="R506" s="613"/>
      <c r="S506" s="613"/>
      <c r="T506" s="613"/>
      <c r="U506" s="613"/>
      <c r="V506" s="613"/>
      <c r="W506" s="613"/>
      <c r="X506" s="613"/>
      <c r="Y506" s="613"/>
      <c r="Z506" s="613"/>
    </row>
    <row r="507" ht="15.75" customHeight="1">
      <c r="A507" s="613"/>
      <c r="B507" s="613"/>
      <c r="C507" s="613"/>
      <c r="D507" s="613"/>
      <c r="E507" s="613"/>
      <c r="F507" s="613"/>
      <c r="G507" s="613"/>
      <c r="H507" s="613"/>
      <c r="I507" s="613"/>
      <c r="J507" s="613"/>
      <c r="K507" s="613"/>
      <c r="L507" s="613"/>
      <c r="M507" s="613"/>
      <c r="N507" s="613"/>
      <c r="O507" s="613"/>
      <c r="P507" s="613"/>
      <c r="Q507" s="613"/>
      <c r="R507" s="613"/>
      <c r="S507" s="613"/>
      <c r="T507" s="613"/>
      <c r="U507" s="613"/>
      <c r="V507" s="613"/>
      <c r="W507" s="613"/>
      <c r="X507" s="613"/>
      <c r="Y507" s="613"/>
      <c r="Z507" s="613"/>
    </row>
    <row r="508" ht="15.75" customHeight="1">
      <c r="A508" s="613"/>
      <c r="B508" s="613"/>
      <c r="C508" s="613"/>
      <c r="D508" s="613"/>
      <c r="E508" s="613"/>
      <c r="F508" s="613"/>
      <c r="G508" s="613"/>
      <c r="H508" s="613"/>
      <c r="I508" s="613"/>
      <c r="J508" s="613"/>
      <c r="K508" s="613"/>
      <c r="L508" s="613"/>
      <c r="M508" s="613"/>
      <c r="N508" s="613"/>
      <c r="O508" s="613"/>
      <c r="P508" s="613"/>
      <c r="Q508" s="613"/>
      <c r="R508" s="613"/>
      <c r="S508" s="613"/>
      <c r="T508" s="613"/>
      <c r="U508" s="613"/>
      <c r="V508" s="613"/>
      <c r="W508" s="613"/>
      <c r="X508" s="613"/>
      <c r="Y508" s="613"/>
      <c r="Z508" s="613"/>
    </row>
    <row r="509" ht="15.75" customHeight="1">
      <c r="A509" s="613"/>
      <c r="B509" s="613"/>
      <c r="C509" s="613"/>
      <c r="D509" s="613"/>
      <c r="E509" s="613"/>
      <c r="F509" s="613"/>
      <c r="G509" s="613"/>
      <c r="H509" s="613"/>
      <c r="I509" s="613"/>
      <c r="J509" s="613"/>
      <c r="K509" s="613"/>
      <c r="L509" s="613"/>
      <c r="M509" s="613"/>
      <c r="N509" s="613"/>
      <c r="O509" s="613"/>
      <c r="P509" s="613"/>
      <c r="Q509" s="613"/>
      <c r="R509" s="613"/>
      <c r="S509" s="613"/>
      <c r="T509" s="613"/>
      <c r="U509" s="613"/>
      <c r="V509" s="613"/>
      <c r="W509" s="613"/>
      <c r="X509" s="613"/>
      <c r="Y509" s="613"/>
      <c r="Z509" s="613"/>
    </row>
    <row r="510" ht="15.75" customHeight="1">
      <c r="A510" s="613"/>
      <c r="B510" s="613"/>
      <c r="C510" s="613"/>
      <c r="D510" s="613"/>
      <c r="E510" s="613"/>
      <c r="F510" s="613"/>
      <c r="G510" s="613"/>
      <c r="H510" s="613"/>
      <c r="I510" s="613"/>
      <c r="J510" s="613"/>
      <c r="K510" s="613"/>
      <c r="L510" s="613"/>
      <c r="M510" s="613"/>
      <c r="N510" s="613"/>
      <c r="O510" s="613"/>
      <c r="P510" s="613"/>
      <c r="Q510" s="613"/>
      <c r="R510" s="613"/>
      <c r="S510" s="613"/>
      <c r="T510" s="613"/>
      <c r="U510" s="613"/>
      <c r="V510" s="613"/>
      <c r="W510" s="613"/>
      <c r="X510" s="613"/>
      <c r="Y510" s="613"/>
      <c r="Z510" s="613"/>
    </row>
    <row r="511" ht="15.75" customHeight="1">
      <c r="A511" s="613"/>
      <c r="B511" s="613"/>
      <c r="C511" s="613"/>
      <c r="D511" s="613"/>
      <c r="E511" s="613"/>
      <c r="F511" s="613"/>
      <c r="G511" s="613"/>
      <c r="H511" s="613"/>
      <c r="I511" s="613"/>
      <c r="J511" s="613"/>
      <c r="K511" s="613"/>
      <c r="L511" s="613"/>
      <c r="M511" s="613"/>
      <c r="N511" s="613"/>
      <c r="O511" s="613"/>
      <c r="P511" s="613"/>
      <c r="Q511" s="613"/>
      <c r="R511" s="613"/>
      <c r="S511" s="613"/>
      <c r="T511" s="613"/>
      <c r="U511" s="613"/>
      <c r="V511" s="613"/>
      <c r="W511" s="613"/>
      <c r="X511" s="613"/>
      <c r="Y511" s="613"/>
      <c r="Z511" s="613"/>
    </row>
    <row r="512" ht="15.75" customHeight="1">
      <c r="A512" s="613"/>
      <c r="B512" s="613"/>
      <c r="C512" s="613"/>
      <c r="D512" s="613"/>
      <c r="E512" s="613"/>
      <c r="F512" s="613"/>
      <c r="G512" s="613"/>
      <c r="H512" s="613"/>
      <c r="I512" s="613"/>
      <c r="J512" s="613"/>
      <c r="K512" s="613"/>
      <c r="L512" s="613"/>
      <c r="M512" s="613"/>
      <c r="N512" s="613"/>
      <c r="O512" s="613"/>
      <c r="P512" s="613"/>
      <c r="Q512" s="613"/>
      <c r="R512" s="613"/>
      <c r="S512" s="613"/>
      <c r="T512" s="613"/>
      <c r="U512" s="613"/>
      <c r="V512" s="613"/>
      <c r="W512" s="613"/>
      <c r="X512" s="613"/>
      <c r="Y512" s="613"/>
      <c r="Z512" s="613"/>
    </row>
    <row r="513" ht="15.75" customHeight="1">
      <c r="A513" s="613"/>
      <c r="B513" s="613"/>
      <c r="C513" s="613"/>
      <c r="D513" s="613"/>
      <c r="E513" s="613"/>
      <c r="F513" s="613"/>
      <c r="G513" s="613"/>
      <c r="H513" s="613"/>
      <c r="I513" s="613"/>
      <c r="J513" s="613"/>
      <c r="K513" s="613"/>
      <c r="L513" s="613"/>
      <c r="M513" s="613"/>
      <c r="N513" s="613"/>
      <c r="O513" s="613"/>
      <c r="P513" s="613"/>
      <c r="Q513" s="613"/>
      <c r="R513" s="613"/>
      <c r="S513" s="613"/>
      <c r="T513" s="613"/>
      <c r="U513" s="613"/>
      <c r="V513" s="613"/>
      <c r="W513" s="613"/>
      <c r="X513" s="613"/>
      <c r="Y513" s="613"/>
      <c r="Z513" s="613"/>
    </row>
    <row r="514" ht="15.75" customHeight="1">
      <c r="A514" s="613"/>
      <c r="B514" s="613"/>
      <c r="C514" s="613"/>
      <c r="D514" s="613"/>
      <c r="E514" s="613"/>
      <c r="F514" s="613"/>
      <c r="G514" s="613"/>
      <c r="H514" s="613"/>
      <c r="I514" s="613"/>
      <c r="J514" s="613"/>
      <c r="K514" s="613"/>
      <c r="L514" s="613"/>
      <c r="M514" s="613"/>
      <c r="N514" s="613"/>
      <c r="O514" s="613"/>
      <c r="P514" s="613"/>
      <c r="Q514" s="613"/>
      <c r="R514" s="613"/>
      <c r="S514" s="613"/>
      <c r="T514" s="613"/>
      <c r="U514" s="613"/>
      <c r="V514" s="613"/>
      <c r="W514" s="613"/>
      <c r="X514" s="613"/>
      <c r="Y514" s="613"/>
      <c r="Z514" s="613"/>
    </row>
    <row r="515" ht="15.75" customHeight="1">
      <c r="A515" s="613"/>
      <c r="B515" s="613"/>
      <c r="C515" s="613"/>
      <c r="D515" s="613"/>
      <c r="E515" s="613"/>
      <c r="F515" s="613"/>
      <c r="G515" s="613"/>
      <c r="H515" s="613"/>
      <c r="I515" s="613"/>
      <c r="J515" s="613"/>
      <c r="K515" s="613"/>
      <c r="L515" s="613"/>
      <c r="M515" s="613"/>
      <c r="N515" s="613"/>
      <c r="O515" s="613"/>
      <c r="P515" s="613"/>
      <c r="Q515" s="613"/>
      <c r="R515" s="613"/>
      <c r="S515" s="613"/>
      <c r="T515" s="613"/>
      <c r="U515" s="613"/>
      <c r="V515" s="613"/>
      <c r="W515" s="613"/>
      <c r="X515" s="613"/>
      <c r="Y515" s="613"/>
      <c r="Z515" s="613"/>
    </row>
    <row r="516" ht="15.75" customHeight="1">
      <c r="A516" s="613"/>
      <c r="B516" s="613"/>
      <c r="C516" s="613"/>
      <c r="D516" s="613"/>
      <c r="E516" s="613"/>
      <c r="F516" s="613"/>
      <c r="G516" s="613"/>
      <c r="H516" s="613"/>
      <c r="I516" s="613"/>
      <c r="J516" s="613"/>
      <c r="K516" s="613"/>
      <c r="L516" s="613"/>
      <c r="M516" s="613"/>
      <c r="N516" s="613"/>
      <c r="O516" s="613"/>
      <c r="P516" s="613"/>
      <c r="Q516" s="613"/>
      <c r="R516" s="613"/>
      <c r="S516" s="613"/>
      <c r="T516" s="613"/>
      <c r="U516" s="613"/>
      <c r="V516" s="613"/>
      <c r="W516" s="613"/>
      <c r="X516" s="613"/>
      <c r="Y516" s="613"/>
      <c r="Z516" s="613"/>
    </row>
    <row r="517" ht="15.75" customHeight="1">
      <c r="A517" s="613"/>
      <c r="B517" s="613"/>
      <c r="C517" s="613"/>
      <c r="D517" s="613"/>
      <c r="E517" s="613"/>
      <c r="F517" s="613"/>
      <c r="G517" s="613"/>
      <c r="H517" s="613"/>
      <c r="I517" s="613"/>
      <c r="J517" s="613"/>
      <c r="K517" s="613"/>
      <c r="L517" s="613"/>
      <c r="M517" s="613"/>
      <c r="N517" s="613"/>
      <c r="O517" s="613"/>
      <c r="P517" s="613"/>
      <c r="Q517" s="613"/>
      <c r="R517" s="613"/>
      <c r="S517" s="613"/>
      <c r="T517" s="613"/>
      <c r="U517" s="613"/>
      <c r="V517" s="613"/>
      <c r="W517" s="613"/>
      <c r="X517" s="613"/>
      <c r="Y517" s="613"/>
      <c r="Z517" s="613"/>
    </row>
    <row r="518" ht="15.75" customHeight="1">
      <c r="A518" s="613"/>
      <c r="B518" s="613"/>
      <c r="C518" s="613"/>
      <c r="D518" s="613"/>
      <c r="E518" s="613"/>
      <c r="F518" s="613"/>
      <c r="G518" s="613"/>
      <c r="H518" s="613"/>
      <c r="I518" s="613"/>
      <c r="J518" s="613"/>
      <c r="K518" s="613"/>
      <c r="L518" s="613"/>
      <c r="M518" s="613"/>
      <c r="N518" s="613"/>
      <c r="O518" s="613"/>
      <c r="P518" s="613"/>
      <c r="Q518" s="613"/>
      <c r="R518" s="613"/>
      <c r="S518" s="613"/>
      <c r="T518" s="613"/>
      <c r="U518" s="613"/>
      <c r="V518" s="613"/>
      <c r="W518" s="613"/>
      <c r="X518" s="613"/>
      <c r="Y518" s="613"/>
      <c r="Z518" s="613"/>
    </row>
    <row r="519" ht="15.75" customHeight="1">
      <c r="A519" s="613"/>
      <c r="B519" s="613"/>
      <c r="C519" s="613"/>
      <c r="D519" s="613"/>
      <c r="E519" s="613"/>
      <c r="F519" s="613"/>
      <c r="G519" s="613"/>
      <c r="H519" s="613"/>
      <c r="I519" s="613"/>
      <c r="J519" s="613"/>
      <c r="K519" s="613"/>
      <c r="L519" s="613"/>
      <c r="M519" s="613"/>
      <c r="N519" s="613"/>
      <c r="O519" s="613"/>
      <c r="P519" s="613"/>
      <c r="Q519" s="613"/>
      <c r="R519" s="613"/>
      <c r="S519" s="613"/>
      <c r="T519" s="613"/>
      <c r="U519" s="613"/>
      <c r="V519" s="613"/>
      <c r="W519" s="613"/>
      <c r="X519" s="613"/>
      <c r="Y519" s="613"/>
      <c r="Z519" s="613"/>
    </row>
    <row r="520" ht="15.75" customHeight="1">
      <c r="A520" s="613"/>
      <c r="B520" s="613"/>
      <c r="C520" s="613"/>
      <c r="D520" s="613"/>
      <c r="E520" s="613"/>
      <c r="F520" s="613"/>
      <c r="G520" s="613"/>
      <c r="H520" s="613"/>
      <c r="I520" s="613"/>
      <c r="J520" s="613"/>
      <c r="K520" s="613"/>
      <c r="L520" s="613"/>
      <c r="M520" s="613"/>
      <c r="N520" s="613"/>
      <c r="O520" s="613"/>
      <c r="P520" s="613"/>
      <c r="Q520" s="613"/>
      <c r="R520" s="613"/>
      <c r="S520" s="613"/>
      <c r="T520" s="613"/>
      <c r="U520" s="613"/>
      <c r="V520" s="613"/>
      <c r="W520" s="613"/>
      <c r="X520" s="613"/>
      <c r="Y520" s="613"/>
      <c r="Z520" s="613"/>
    </row>
    <row r="521" ht="15.75" customHeight="1">
      <c r="A521" s="613"/>
      <c r="B521" s="613"/>
      <c r="C521" s="613"/>
      <c r="D521" s="613"/>
      <c r="E521" s="613"/>
      <c r="F521" s="613"/>
      <c r="G521" s="613"/>
      <c r="H521" s="613"/>
      <c r="I521" s="613"/>
      <c r="J521" s="613"/>
      <c r="K521" s="613"/>
      <c r="L521" s="613"/>
      <c r="M521" s="613"/>
      <c r="N521" s="613"/>
      <c r="O521" s="613"/>
      <c r="P521" s="613"/>
      <c r="Q521" s="613"/>
      <c r="R521" s="613"/>
      <c r="S521" s="613"/>
      <c r="T521" s="613"/>
      <c r="U521" s="613"/>
      <c r="V521" s="613"/>
      <c r="W521" s="613"/>
      <c r="X521" s="613"/>
      <c r="Y521" s="613"/>
      <c r="Z521" s="613"/>
    </row>
    <row r="522" ht="15.75" customHeight="1">
      <c r="A522" s="613"/>
      <c r="B522" s="613"/>
      <c r="C522" s="613"/>
      <c r="D522" s="613"/>
      <c r="E522" s="613"/>
      <c r="F522" s="613"/>
      <c r="G522" s="613"/>
      <c r="H522" s="613"/>
      <c r="I522" s="613"/>
      <c r="J522" s="613"/>
      <c r="K522" s="613"/>
      <c r="L522" s="613"/>
      <c r="M522" s="613"/>
      <c r="N522" s="613"/>
      <c r="O522" s="613"/>
      <c r="P522" s="613"/>
      <c r="Q522" s="613"/>
      <c r="R522" s="613"/>
      <c r="S522" s="613"/>
      <c r="T522" s="613"/>
      <c r="U522" s="613"/>
      <c r="V522" s="613"/>
      <c r="W522" s="613"/>
      <c r="X522" s="613"/>
      <c r="Y522" s="613"/>
      <c r="Z522" s="613"/>
    </row>
    <row r="523" ht="15.75" customHeight="1">
      <c r="A523" s="613"/>
      <c r="B523" s="613"/>
      <c r="C523" s="613"/>
      <c r="D523" s="613"/>
      <c r="E523" s="613"/>
      <c r="F523" s="613"/>
      <c r="G523" s="613"/>
      <c r="H523" s="613"/>
      <c r="I523" s="613"/>
      <c r="J523" s="613"/>
      <c r="K523" s="613"/>
      <c r="L523" s="613"/>
      <c r="M523" s="613"/>
      <c r="N523" s="613"/>
      <c r="O523" s="613"/>
      <c r="P523" s="613"/>
      <c r="Q523" s="613"/>
      <c r="R523" s="613"/>
      <c r="S523" s="613"/>
      <c r="T523" s="613"/>
      <c r="U523" s="613"/>
      <c r="V523" s="613"/>
      <c r="W523" s="613"/>
      <c r="X523" s="613"/>
      <c r="Y523" s="613"/>
      <c r="Z523" s="613"/>
    </row>
    <row r="524" ht="15.75" customHeight="1">
      <c r="A524" s="613"/>
      <c r="B524" s="613"/>
      <c r="C524" s="613"/>
      <c r="D524" s="613"/>
      <c r="E524" s="613"/>
      <c r="F524" s="613"/>
      <c r="G524" s="613"/>
      <c r="H524" s="613"/>
      <c r="I524" s="613"/>
      <c r="J524" s="613"/>
      <c r="K524" s="613"/>
      <c r="L524" s="613"/>
      <c r="M524" s="613"/>
      <c r="N524" s="613"/>
      <c r="O524" s="613"/>
      <c r="P524" s="613"/>
      <c r="Q524" s="613"/>
      <c r="R524" s="613"/>
      <c r="S524" s="613"/>
      <c r="T524" s="613"/>
      <c r="U524" s="613"/>
      <c r="V524" s="613"/>
      <c r="W524" s="613"/>
      <c r="X524" s="613"/>
      <c r="Y524" s="613"/>
      <c r="Z524" s="613"/>
    </row>
    <row r="525" ht="15.75" customHeight="1">
      <c r="A525" s="613"/>
      <c r="B525" s="613"/>
      <c r="C525" s="613"/>
      <c r="D525" s="613"/>
      <c r="E525" s="613"/>
      <c r="F525" s="613"/>
      <c r="G525" s="613"/>
      <c r="H525" s="613"/>
      <c r="I525" s="613"/>
      <c r="J525" s="613"/>
      <c r="K525" s="613"/>
      <c r="L525" s="613"/>
      <c r="M525" s="613"/>
      <c r="N525" s="613"/>
      <c r="O525" s="613"/>
      <c r="P525" s="613"/>
      <c r="Q525" s="613"/>
      <c r="R525" s="613"/>
      <c r="S525" s="613"/>
      <c r="T525" s="613"/>
      <c r="U525" s="613"/>
      <c r="V525" s="613"/>
      <c r="W525" s="613"/>
      <c r="X525" s="613"/>
      <c r="Y525" s="613"/>
      <c r="Z525" s="613"/>
    </row>
    <row r="526" ht="15.75" customHeight="1">
      <c r="A526" s="613"/>
      <c r="B526" s="613"/>
      <c r="C526" s="613"/>
      <c r="D526" s="613"/>
      <c r="E526" s="613"/>
      <c r="F526" s="613"/>
      <c r="G526" s="613"/>
      <c r="H526" s="613"/>
      <c r="I526" s="613"/>
      <c r="J526" s="613"/>
      <c r="K526" s="613"/>
      <c r="L526" s="613"/>
      <c r="M526" s="613"/>
      <c r="N526" s="613"/>
      <c r="O526" s="613"/>
      <c r="P526" s="613"/>
      <c r="Q526" s="613"/>
      <c r="R526" s="613"/>
      <c r="S526" s="613"/>
      <c r="T526" s="613"/>
      <c r="U526" s="613"/>
      <c r="V526" s="613"/>
      <c r="W526" s="613"/>
      <c r="X526" s="613"/>
      <c r="Y526" s="613"/>
      <c r="Z526" s="613"/>
    </row>
    <row r="527" ht="15.75" customHeight="1">
      <c r="A527" s="613"/>
      <c r="B527" s="613"/>
      <c r="C527" s="613"/>
      <c r="D527" s="613"/>
      <c r="E527" s="613"/>
      <c r="F527" s="613"/>
      <c r="G527" s="613"/>
      <c r="H527" s="613"/>
      <c r="I527" s="613"/>
      <c r="J527" s="613"/>
      <c r="K527" s="613"/>
      <c r="L527" s="613"/>
      <c r="M527" s="613"/>
      <c r="N527" s="613"/>
      <c r="O527" s="613"/>
      <c r="P527" s="613"/>
      <c r="Q527" s="613"/>
      <c r="R527" s="613"/>
      <c r="S527" s="613"/>
      <c r="T527" s="613"/>
      <c r="U527" s="613"/>
      <c r="V527" s="613"/>
      <c r="W527" s="613"/>
      <c r="X527" s="613"/>
      <c r="Y527" s="613"/>
      <c r="Z527" s="613"/>
    </row>
    <row r="528" ht="15.75" customHeight="1">
      <c r="A528" s="613"/>
      <c r="B528" s="613"/>
      <c r="C528" s="613"/>
      <c r="D528" s="613"/>
      <c r="E528" s="613"/>
      <c r="F528" s="613"/>
      <c r="G528" s="613"/>
      <c r="H528" s="613"/>
      <c r="I528" s="613"/>
      <c r="J528" s="613"/>
      <c r="K528" s="613"/>
      <c r="L528" s="613"/>
      <c r="M528" s="613"/>
      <c r="N528" s="613"/>
      <c r="O528" s="613"/>
      <c r="P528" s="613"/>
      <c r="Q528" s="613"/>
      <c r="R528" s="613"/>
      <c r="S528" s="613"/>
      <c r="T528" s="613"/>
      <c r="U528" s="613"/>
      <c r="V528" s="613"/>
      <c r="W528" s="613"/>
      <c r="X528" s="613"/>
      <c r="Y528" s="613"/>
      <c r="Z528" s="613"/>
    </row>
    <row r="529" ht="15.75" customHeight="1">
      <c r="A529" s="613"/>
      <c r="B529" s="613"/>
      <c r="C529" s="613"/>
      <c r="D529" s="613"/>
      <c r="E529" s="613"/>
      <c r="F529" s="613"/>
      <c r="G529" s="613"/>
      <c r="H529" s="613"/>
      <c r="I529" s="613"/>
      <c r="J529" s="613"/>
      <c r="K529" s="613"/>
      <c r="L529" s="613"/>
      <c r="M529" s="613"/>
      <c r="N529" s="613"/>
      <c r="O529" s="613"/>
      <c r="P529" s="613"/>
      <c r="Q529" s="613"/>
      <c r="R529" s="613"/>
      <c r="S529" s="613"/>
      <c r="T529" s="613"/>
      <c r="U529" s="613"/>
      <c r="V529" s="613"/>
      <c r="W529" s="613"/>
      <c r="X529" s="613"/>
      <c r="Y529" s="613"/>
      <c r="Z529" s="613"/>
    </row>
    <row r="530" ht="15.75" customHeight="1">
      <c r="A530" s="613"/>
      <c r="B530" s="613"/>
      <c r="C530" s="613"/>
      <c r="D530" s="613"/>
      <c r="E530" s="613"/>
      <c r="F530" s="613"/>
      <c r="G530" s="613"/>
      <c r="H530" s="613"/>
      <c r="I530" s="613"/>
      <c r="J530" s="613"/>
      <c r="K530" s="613"/>
      <c r="L530" s="613"/>
      <c r="M530" s="613"/>
      <c r="N530" s="613"/>
      <c r="O530" s="613"/>
      <c r="P530" s="613"/>
      <c r="Q530" s="613"/>
      <c r="R530" s="613"/>
      <c r="S530" s="613"/>
      <c r="T530" s="613"/>
      <c r="U530" s="613"/>
      <c r="V530" s="613"/>
      <c r="W530" s="613"/>
      <c r="X530" s="613"/>
      <c r="Y530" s="613"/>
      <c r="Z530" s="613"/>
    </row>
    <row r="531" ht="15.75" customHeight="1">
      <c r="A531" s="613"/>
      <c r="B531" s="613"/>
      <c r="C531" s="613"/>
      <c r="D531" s="613"/>
      <c r="E531" s="613"/>
      <c r="F531" s="613"/>
      <c r="G531" s="613"/>
      <c r="H531" s="613"/>
      <c r="I531" s="613"/>
      <c r="J531" s="613"/>
      <c r="K531" s="613"/>
      <c r="L531" s="613"/>
      <c r="M531" s="613"/>
      <c r="N531" s="613"/>
      <c r="O531" s="613"/>
      <c r="P531" s="613"/>
      <c r="Q531" s="613"/>
      <c r="R531" s="613"/>
      <c r="S531" s="613"/>
      <c r="T531" s="613"/>
      <c r="U531" s="613"/>
      <c r="V531" s="613"/>
      <c r="W531" s="613"/>
      <c r="X531" s="613"/>
      <c r="Y531" s="613"/>
      <c r="Z531" s="613"/>
    </row>
    <row r="532" ht="15.75" customHeight="1">
      <c r="A532" s="613"/>
      <c r="B532" s="613"/>
      <c r="C532" s="613"/>
      <c r="D532" s="613"/>
      <c r="E532" s="613"/>
      <c r="F532" s="613"/>
      <c r="G532" s="613"/>
      <c r="H532" s="613"/>
      <c r="I532" s="613"/>
      <c r="J532" s="613"/>
      <c r="K532" s="613"/>
      <c r="L532" s="613"/>
      <c r="M532" s="613"/>
      <c r="N532" s="613"/>
      <c r="O532" s="613"/>
      <c r="P532" s="613"/>
      <c r="Q532" s="613"/>
      <c r="R532" s="613"/>
      <c r="S532" s="613"/>
      <c r="T532" s="613"/>
      <c r="U532" s="613"/>
      <c r="V532" s="613"/>
      <c r="W532" s="613"/>
      <c r="X532" s="613"/>
      <c r="Y532" s="613"/>
      <c r="Z532" s="613"/>
    </row>
    <row r="533" ht="15.75" customHeight="1">
      <c r="A533" s="613"/>
      <c r="B533" s="613"/>
      <c r="C533" s="613"/>
      <c r="D533" s="613"/>
      <c r="E533" s="613"/>
      <c r="F533" s="613"/>
      <c r="G533" s="613"/>
      <c r="H533" s="613"/>
      <c r="I533" s="613"/>
      <c r="J533" s="613"/>
      <c r="K533" s="613"/>
      <c r="L533" s="613"/>
      <c r="M533" s="613"/>
      <c r="N533" s="613"/>
      <c r="O533" s="613"/>
      <c r="P533" s="613"/>
      <c r="Q533" s="613"/>
      <c r="R533" s="613"/>
      <c r="S533" s="613"/>
      <c r="T533" s="613"/>
      <c r="U533" s="613"/>
      <c r="V533" s="613"/>
      <c r="W533" s="613"/>
      <c r="X533" s="613"/>
      <c r="Y533" s="613"/>
      <c r="Z533" s="613"/>
    </row>
    <row r="534" ht="15.75" customHeight="1">
      <c r="A534" s="613"/>
      <c r="B534" s="613"/>
      <c r="C534" s="613"/>
      <c r="D534" s="613"/>
      <c r="E534" s="613"/>
      <c r="F534" s="613"/>
      <c r="G534" s="613"/>
      <c r="H534" s="613"/>
      <c r="I534" s="613"/>
      <c r="J534" s="613"/>
      <c r="K534" s="613"/>
      <c r="L534" s="613"/>
      <c r="M534" s="613"/>
      <c r="N534" s="613"/>
      <c r="O534" s="613"/>
      <c r="P534" s="613"/>
      <c r="Q534" s="613"/>
      <c r="R534" s="613"/>
      <c r="S534" s="613"/>
      <c r="T534" s="613"/>
      <c r="U534" s="613"/>
      <c r="V534" s="613"/>
      <c r="W534" s="613"/>
      <c r="X534" s="613"/>
      <c r="Y534" s="613"/>
      <c r="Z534" s="613"/>
    </row>
    <row r="535" ht="15.75" customHeight="1">
      <c r="A535" s="613"/>
      <c r="B535" s="613"/>
      <c r="C535" s="613"/>
      <c r="D535" s="613"/>
      <c r="E535" s="613"/>
      <c r="F535" s="613"/>
      <c r="G535" s="613"/>
      <c r="H535" s="613"/>
      <c r="I535" s="613"/>
      <c r="J535" s="613"/>
      <c r="K535" s="613"/>
      <c r="L535" s="613"/>
      <c r="M535" s="613"/>
      <c r="N535" s="613"/>
      <c r="O535" s="613"/>
      <c r="P535" s="613"/>
      <c r="Q535" s="613"/>
      <c r="R535" s="613"/>
      <c r="S535" s="613"/>
      <c r="T535" s="613"/>
      <c r="U535" s="613"/>
      <c r="V535" s="613"/>
      <c r="W535" s="613"/>
      <c r="X535" s="613"/>
      <c r="Y535" s="613"/>
      <c r="Z535" s="613"/>
    </row>
    <row r="536" ht="15.75" customHeight="1">
      <c r="A536" s="613"/>
      <c r="B536" s="613"/>
      <c r="C536" s="613"/>
      <c r="D536" s="613"/>
      <c r="E536" s="613"/>
      <c r="F536" s="613"/>
      <c r="G536" s="613"/>
      <c r="H536" s="613"/>
      <c r="I536" s="613"/>
      <c r="J536" s="613"/>
      <c r="K536" s="613"/>
      <c r="L536" s="613"/>
      <c r="M536" s="613"/>
      <c r="N536" s="613"/>
      <c r="O536" s="613"/>
      <c r="P536" s="613"/>
      <c r="Q536" s="613"/>
      <c r="R536" s="613"/>
      <c r="S536" s="613"/>
      <c r="T536" s="613"/>
      <c r="U536" s="613"/>
      <c r="V536" s="613"/>
      <c r="W536" s="613"/>
      <c r="X536" s="613"/>
      <c r="Y536" s="613"/>
      <c r="Z536" s="613"/>
    </row>
    <row r="537" ht="15.75" customHeight="1">
      <c r="A537" s="613"/>
      <c r="B537" s="613"/>
      <c r="C537" s="613"/>
      <c r="D537" s="613"/>
      <c r="E537" s="613"/>
      <c r="F537" s="613"/>
      <c r="G537" s="613"/>
      <c r="H537" s="613"/>
      <c r="I537" s="613"/>
      <c r="J537" s="613"/>
      <c r="K537" s="613"/>
      <c r="L537" s="613"/>
      <c r="M537" s="613"/>
      <c r="N537" s="613"/>
      <c r="O537" s="613"/>
      <c r="P537" s="613"/>
      <c r="Q537" s="613"/>
      <c r="R537" s="613"/>
      <c r="S537" s="613"/>
      <c r="T537" s="613"/>
      <c r="U537" s="613"/>
      <c r="V537" s="613"/>
      <c r="W537" s="613"/>
      <c r="X537" s="613"/>
      <c r="Y537" s="613"/>
      <c r="Z537" s="613"/>
    </row>
    <row r="538" ht="15.75" customHeight="1">
      <c r="A538" s="613"/>
      <c r="B538" s="613"/>
      <c r="C538" s="613"/>
      <c r="D538" s="613"/>
      <c r="E538" s="613"/>
      <c r="F538" s="613"/>
      <c r="G538" s="613"/>
      <c r="H538" s="613"/>
      <c r="I538" s="613"/>
      <c r="J538" s="613"/>
      <c r="K538" s="613"/>
      <c r="L538" s="613"/>
      <c r="M538" s="613"/>
      <c r="N538" s="613"/>
      <c r="O538" s="613"/>
      <c r="P538" s="613"/>
      <c r="Q538" s="613"/>
      <c r="R538" s="613"/>
      <c r="S538" s="613"/>
      <c r="T538" s="613"/>
      <c r="U538" s="613"/>
      <c r="V538" s="613"/>
      <c r="W538" s="613"/>
      <c r="X538" s="613"/>
      <c r="Y538" s="613"/>
      <c r="Z538" s="613"/>
    </row>
    <row r="539" ht="15.75" customHeight="1">
      <c r="A539" s="613"/>
      <c r="B539" s="613"/>
      <c r="C539" s="613"/>
      <c r="D539" s="613"/>
      <c r="E539" s="613"/>
      <c r="F539" s="613"/>
      <c r="G539" s="613"/>
      <c r="H539" s="613"/>
      <c r="I539" s="613"/>
      <c r="J539" s="613"/>
      <c r="K539" s="613"/>
      <c r="L539" s="613"/>
      <c r="M539" s="613"/>
      <c r="N539" s="613"/>
      <c r="O539" s="613"/>
      <c r="P539" s="613"/>
      <c r="Q539" s="613"/>
      <c r="R539" s="613"/>
      <c r="S539" s="613"/>
      <c r="T539" s="613"/>
      <c r="U539" s="613"/>
      <c r="V539" s="613"/>
      <c r="W539" s="613"/>
      <c r="X539" s="613"/>
      <c r="Y539" s="613"/>
      <c r="Z539" s="613"/>
    </row>
    <row r="540" ht="15.75" customHeight="1">
      <c r="A540" s="613"/>
      <c r="B540" s="613"/>
      <c r="C540" s="613"/>
      <c r="D540" s="613"/>
      <c r="E540" s="613"/>
      <c r="F540" s="613"/>
      <c r="G540" s="613"/>
      <c r="H540" s="613"/>
      <c r="I540" s="613"/>
      <c r="J540" s="613"/>
      <c r="K540" s="613"/>
      <c r="L540" s="613"/>
      <c r="M540" s="613"/>
      <c r="N540" s="613"/>
      <c r="O540" s="613"/>
      <c r="P540" s="613"/>
      <c r="Q540" s="613"/>
      <c r="R540" s="613"/>
      <c r="S540" s="613"/>
      <c r="T540" s="613"/>
      <c r="U540" s="613"/>
      <c r="V540" s="613"/>
      <c r="W540" s="613"/>
      <c r="X540" s="613"/>
      <c r="Y540" s="613"/>
      <c r="Z540" s="613"/>
    </row>
    <row r="541" ht="15.75" customHeight="1">
      <c r="A541" s="613"/>
      <c r="B541" s="613"/>
      <c r="C541" s="613"/>
      <c r="D541" s="613"/>
      <c r="E541" s="613"/>
      <c r="F541" s="613"/>
      <c r="G541" s="613"/>
      <c r="H541" s="613"/>
      <c r="I541" s="613"/>
      <c r="J541" s="613"/>
      <c r="K541" s="613"/>
      <c r="L541" s="613"/>
      <c r="M541" s="613"/>
      <c r="N541" s="613"/>
      <c r="O541" s="613"/>
      <c r="P541" s="613"/>
      <c r="Q541" s="613"/>
      <c r="R541" s="613"/>
      <c r="S541" s="613"/>
      <c r="T541" s="613"/>
      <c r="U541" s="613"/>
      <c r="V541" s="613"/>
      <c r="W541" s="613"/>
      <c r="X541" s="613"/>
      <c r="Y541" s="613"/>
      <c r="Z541" s="613"/>
    </row>
    <row r="542" ht="15.75" customHeight="1">
      <c r="A542" s="613"/>
      <c r="B542" s="613"/>
      <c r="C542" s="613"/>
      <c r="D542" s="613"/>
      <c r="E542" s="613"/>
      <c r="F542" s="613"/>
      <c r="G542" s="613"/>
      <c r="H542" s="613"/>
      <c r="I542" s="613"/>
      <c r="J542" s="613"/>
      <c r="K542" s="613"/>
      <c r="L542" s="613"/>
      <c r="M542" s="613"/>
      <c r="N542" s="613"/>
      <c r="O542" s="613"/>
      <c r="P542" s="613"/>
      <c r="Q542" s="613"/>
      <c r="R542" s="613"/>
      <c r="S542" s="613"/>
      <c r="T542" s="613"/>
      <c r="U542" s="613"/>
      <c r="V542" s="613"/>
      <c r="W542" s="613"/>
      <c r="X542" s="613"/>
      <c r="Y542" s="613"/>
      <c r="Z542" s="613"/>
    </row>
    <row r="543" ht="15.75" customHeight="1">
      <c r="A543" s="613"/>
      <c r="B543" s="613"/>
      <c r="C543" s="613"/>
      <c r="D543" s="613"/>
      <c r="E543" s="613"/>
      <c r="F543" s="613"/>
      <c r="G543" s="613"/>
      <c r="H543" s="613"/>
      <c r="I543" s="613"/>
      <c r="J543" s="613"/>
      <c r="K543" s="613"/>
      <c r="L543" s="613"/>
      <c r="M543" s="613"/>
      <c r="N543" s="613"/>
      <c r="O543" s="613"/>
      <c r="P543" s="613"/>
      <c r="Q543" s="613"/>
      <c r="R543" s="613"/>
      <c r="S543" s="613"/>
      <c r="T543" s="613"/>
      <c r="U543" s="613"/>
      <c r="V543" s="613"/>
      <c r="W543" s="613"/>
      <c r="X543" s="613"/>
      <c r="Y543" s="613"/>
      <c r="Z543" s="613"/>
    </row>
    <row r="544" ht="15.75" customHeight="1">
      <c r="A544" s="613"/>
      <c r="B544" s="613"/>
      <c r="C544" s="613"/>
      <c r="D544" s="613"/>
      <c r="E544" s="613"/>
      <c r="F544" s="613"/>
      <c r="G544" s="613"/>
      <c r="H544" s="613"/>
      <c r="I544" s="613"/>
      <c r="J544" s="613"/>
      <c r="K544" s="613"/>
      <c r="L544" s="613"/>
      <c r="M544" s="613"/>
      <c r="N544" s="613"/>
      <c r="O544" s="613"/>
      <c r="P544" s="613"/>
      <c r="Q544" s="613"/>
      <c r="R544" s="613"/>
      <c r="S544" s="613"/>
      <c r="T544" s="613"/>
      <c r="U544" s="613"/>
      <c r="V544" s="613"/>
      <c r="W544" s="613"/>
      <c r="X544" s="613"/>
      <c r="Y544" s="613"/>
      <c r="Z544" s="613"/>
    </row>
    <row r="545" ht="15.75" customHeight="1">
      <c r="A545" s="613"/>
      <c r="B545" s="613"/>
      <c r="C545" s="613"/>
      <c r="D545" s="613"/>
      <c r="E545" s="613"/>
      <c r="F545" s="613"/>
      <c r="G545" s="613"/>
      <c r="H545" s="613"/>
      <c r="I545" s="613"/>
      <c r="J545" s="613"/>
      <c r="K545" s="613"/>
      <c r="L545" s="613"/>
      <c r="M545" s="613"/>
      <c r="N545" s="613"/>
      <c r="O545" s="613"/>
      <c r="P545" s="613"/>
      <c r="Q545" s="613"/>
      <c r="R545" s="613"/>
      <c r="S545" s="613"/>
      <c r="T545" s="613"/>
      <c r="U545" s="613"/>
      <c r="V545" s="613"/>
      <c r="W545" s="613"/>
      <c r="X545" s="613"/>
      <c r="Y545" s="613"/>
      <c r="Z545" s="613"/>
    </row>
    <row r="546" ht="15.75" customHeight="1">
      <c r="A546" s="613"/>
      <c r="B546" s="613"/>
      <c r="C546" s="613"/>
      <c r="D546" s="613"/>
      <c r="E546" s="613"/>
      <c r="F546" s="613"/>
      <c r="G546" s="613"/>
      <c r="H546" s="613"/>
      <c r="I546" s="613"/>
      <c r="J546" s="613"/>
      <c r="K546" s="613"/>
      <c r="L546" s="613"/>
      <c r="M546" s="613"/>
      <c r="N546" s="613"/>
      <c r="O546" s="613"/>
      <c r="P546" s="613"/>
      <c r="Q546" s="613"/>
      <c r="R546" s="613"/>
      <c r="S546" s="613"/>
      <c r="T546" s="613"/>
      <c r="U546" s="613"/>
      <c r="V546" s="613"/>
      <c r="W546" s="613"/>
      <c r="X546" s="613"/>
      <c r="Y546" s="613"/>
      <c r="Z546" s="613"/>
    </row>
    <row r="547" ht="15.75" customHeight="1">
      <c r="A547" s="613"/>
      <c r="B547" s="613"/>
      <c r="C547" s="613"/>
      <c r="D547" s="613"/>
      <c r="E547" s="613"/>
      <c r="F547" s="613"/>
      <c r="G547" s="613"/>
      <c r="H547" s="613"/>
      <c r="I547" s="613"/>
      <c r="J547" s="613"/>
      <c r="K547" s="613"/>
      <c r="L547" s="613"/>
      <c r="M547" s="613"/>
      <c r="N547" s="613"/>
      <c r="O547" s="613"/>
      <c r="P547" s="613"/>
      <c r="Q547" s="613"/>
      <c r="R547" s="613"/>
      <c r="S547" s="613"/>
      <c r="T547" s="613"/>
      <c r="U547" s="613"/>
      <c r="V547" s="613"/>
      <c r="W547" s="613"/>
      <c r="X547" s="613"/>
      <c r="Y547" s="613"/>
      <c r="Z547" s="613"/>
    </row>
    <row r="548" ht="15.75" customHeight="1">
      <c r="A548" s="613"/>
      <c r="B548" s="613"/>
      <c r="C548" s="613"/>
      <c r="D548" s="613"/>
      <c r="E548" s="613"/>
      <c r="F548" s="613"/>
      <c r="G548" s="613"/>
      <c r="H548" s="613"/>
      <c r="I548" s="613"/>
      <c r="J548" s="613"/>
      <c r="K548" s="613"/>
      <c r="L548" s="613"/>
      <c r="M548" s="613"/>
      <c r="N548" s="613"/>
      <c r="O548" s="613"/>
      <c r="P548" s="613"/>
      <c r="Q548" s="613"/>
      <c r="R548" s="613"/>
      <c r="S548" s="613"/>
      <c r="T548" s="613"/>
      <c r="U548" s="613"/>
      <c r="V548" s="613"/>
      <c r="W548" s="613"/>
      <c r="X548" s="613"/>
      <c r="Y548" s="613"/>
      <c r="Z548" s="613"/>
    </row>
    <row r="549" ht="15.75" customHeight="1">
      <c r="A549" s="613"/>
      <c r="B549" s="613"/>
      <c r="C549" s="613"/>
      <c r="D549" s="613"/>
      <c r="E549" s="613"/>
      <c r="F549" s="613"/>
      <c r="G549" s="613"/>
      <c r="H549" s="613"/>
      <c r="I549" s="613"/>
      <c r="J549" s="613"/>
      <c r="K549" s="613"/>
      <c r="L549" s="613"/>
      <c r="M549" s="613"/>
      <c r="N549" s="613"/>
      <c r="O549" s="613"/>
      <c r="P549" s="613"/>
      <c r="Q549" s="613"/>
      <c r="R549" s="613"/>
      <c r="S549" s="613"/>
      <c r="T549" s="613"/>
      <c r="U549" s="613"/>
      <c r="V549" s="613"/>
      <c r="W549" s="613"/>
      <c r="X549" s="613"/>
      <c r="Y549" s="613"/>
      <c r="Z549" s="613"/>
    </row>
    <row r="550" ht="15.75" customHeight="1">
      <c r="A550" s="613"/>
      <c r="B550" s="613"/>
      <c r="C550" s="613"/>
      <c r="D550" s="613"/>
      <c r="E550" s="613"/>
      <c r="F550" s="613"/>
      <c r="G550" s="613"/>
      <c r="H550" s="613"/>
      <c r="I550" s="613"/>
      <c r="J550" s="613"/>
      <c r="K550" s="613"/>
      <c r="L550" s="613"/>
      <c r="M550" s="613"/>
      <c r="N550" s="613"/>
      <c r="O550" s="613"/>
      <c r="P550" s="613"/>
      <c r="Q550" s="613"/>
      <c r="R550" s="613"/>
      <c r="S550" s="613"/>
      <c r="T550" s="613"/>
      <c r="U550" s="613"/>
      <c r="V550" s="613"/>
      <c r="W550" s="613"/>
      <c r="X550" s="613"/>
      <c r="Y550" s="613"/>
      <c r="Z550" s="613"/>
    </row>
    <row r="551" ht="15.75" customHeight="1">
      <c r="A551" s="613"/>
      <c r="B551" s="613"/>
      <c r="C551" s="613"/>
      <c r="D551" s="613"/>
      <c r="E551" s="613"/>
      <c r="F551" s="613"/>
      <c r="G551" s="613"/>
      <c r="H551" s="613"/>
      <c r="I551" s="613"/>
      <c r="J551" s="613"/>
      <c r="K551" s="613"/>
      <c r="L551" s="613"/>
      <c r="M551" s="613"/>
      <c r="N551" s="613"/>
      <c r="O551" s="613"/>
      <c r="P551" s="613"/>
      <c r="Q551" s="613"/>
      <c r="R551" s="613"/>
      <c r="S551" s="613"/>
      <c r="T551" s="613"/>
      <c r="U551" s="613"/>
      <c r="V551" s="613"/>
      <c r="W551" s="613"/>
      <c r="X551" s="613"/>
      <c r="Y551" s="613"/>
      <c r="Z551" s="613"/>
    </row>
    <row r="552" ht="15.75" customHeight="1">
      <c r="A552" s="613"/>
      <c r="B552" s="613"/>
      <c r="C552" s="613"/>
      <c r="D552" s="613"/>
      <c r="E552" s="613"/>
      <c r="F552" s="613"/>
      <c r="G552" s="613"/>
      <c r="H552" s="613"/>
      <c r="I552" s="613"/>
      <c r="J552" s="613"/>
      <c r="K552" s="613"/>
      <c r="L552" s="613"/>
      <c r="M552" s="613"/>
      <c r="N552" s="613"/>
      <c r="O552" s="613"/>
      <c r="P552" s="613"/>
      <c r="Q552" s="613"/>
      <c r="R552" s="613"/>
      <c r="S552" s="613"/>
      <c r="T552" s="613"/>
      <c r="U552" s="613"/>
      <c r="V552" s="613"/>
      <c r="W552" s="613"/>
      <c r="X552" s="613"/>
      <c r="Y552" s="613"/>
      <c r="Z552" s="613"/>
    </row>
    <row r="553" ht="15.75" customHeight="1">
      <c r="A553" s="613"/>
      <c r="B553" s="613"/>
      <c r="C553" s="613"/>
      <c r="D553" s="613"/>
      <c r="E553" s="613"/>
      <c r="F553" s="613"/>
      <c r="G553" s="613"/>
      <c r="H553" s="613"/>
      <c r="I553" s="613"/>
      <c r="J553" s="613"/>
      <c r="K553" s="613"/>
      <c r="L553" s="613"/>
      <c r="M553" s="613"/>
      <c r="N553" s="613"/>
      <c r="O553" s="613"/>
      <c r="P553" s="613"/>
      <c r="Q553" s="613"/>
      <c r="R553" s="613"/>
      <c r="S553" s="613"/>
      <c r="T553" s="613"/>
      <c r="U553" s="613"/>
      <c r="V553" s="613"/>
      <c r="W553" s="613"/>
      <c r="X553" s="613"/>
      <c r="Y553" s="613"/>
      <c r="Z553" s="613"/>
    </row>
    <row r="554" ht="15.75" customHeight="1">
      <c r="A554" s="613"/>
      <c r="B554" s="613"/>
      <c r="C554" s="613"/>
      <c r="D554" s="613"/>
      <c r="E554" s="613"/>
      <c r="F554" s="613"/>
      <c r="G554" s="613"/>
      <c r="H554" s="613"/>
      <c r="I554" s="613"/>
      <c r="J554" s="613"/>
      <c r="K554" s="613"/>
      <c r="L554" s="613"/>
      <c r="M554" s="613"/>
      <c r="N554" s="613"/>
      <c r="O554" s="613"/>
      <c r="P554" s="613"/>
      <c r="Q554" s="613"/>
      <c r="R554" s="613"/>
      <c r="S554" s="613"/>
      <c r="T554" s="613"/>
      <c r="U554" s="613"/>
      <c r="V554" s="613"/>
      <c r="W554" s="613"/>
      <c r="X554" s="613"/>
      <c r="Y554" s="613"/>
      <c r="Z554" s="613"/>
    </row>
    <row r="555" ht="15.75" customHeight="1">
      <c r="A555" s="613"/>
      <c r="B555" s="613"/>
      <c r="C555" s="613"/>
      <c r="D555" s="613"/>
      <c r="E555" s="613"/>
      <c r="F555" s="613"/>
      <c r="G555" s="613"/>
      <c r="H555" s="613"/>
      <c r="I555" s="613"/>
      <c r="J555" s="613"/>
      <c r="K555" s="613"/>
      <c r="L555" s="613"/>
      <c r="M555" s="613"/>
      <c r="N555" s="613"/>
      <c r="O555" s="613"/>
      <c r="P555" s="613"/>
      <c r="Q555" s="613"/>
      <c r="R555" s="613"/>
      <c r="S555" s="613"/>
      <c r="T555" s="613"/>
      <c r="U555" s="613"/>
      <c r="V555" s="613"/>
      <c r="W555" s="613"/>
      <c r="X555" s="613"/>
      <c r="Y555" s="613"/>
      <c r="Z555" s="613"/>
    </row>
    <row r="556" ht="15.75" customHeight="1">
      <c r="A556" s="613"/>
      <c r="B556" s="613"/>
      <c r="C556" s="613"/>
      <c r="D556" s="613"/>
      <c r="E556" s="613"/>
      <c r="F556" s="613"/>
      <c r="G556" s="613"/>
      <c r="H556" s="613"/>
      <c r="I556" s="613"/>
      <c r="J556" s="613"/>
      <c r="K556" s="613"/>
      <c r="L556" s="613"/>
      <c r="M556" s="613"/>
      <c r="N556" s="613"/>
      <c r="O556" s="613"/>
      <c r="P556" s="613"/>
      <c r="Q556" s="613"/>
      <c r="R556" s="613"/>
      <c r="S556" s="613"/>
      <c r="T556" s="613"/>
      <c r="U556" s="613"/>
      <c r="V556" s="613"/>
      <c r="W556" s="613"/>
      <c r="X556" s="613"/>
      <c r="Y556" s="613"/>
      <c r="Z556" s="613"/>
    </row>
    <row r="557" ht="15.75" customHeight="1">
      <c r="A557" s="613"/>
      <c r="B557" s="613"/>
      <c r="C557" s="613"/>
      <c r="D557" s="613"/>
      <c r="E557" s="613"/>
      <c r="F557" s="613"/>
      <c r="G557" s="613"/>
      <c r="H557" s="613"/>
      <c r="I557" s="613"/>
      <c r="J557" s="613"/>
      <c r="K557" s="613"/>
      <c r="L557" s="613"/>
      <c r="M557" s="613"/>
      <c r="N557" s="613"/>
      <c r="O557" s="613"/>
      <c r="P557" s="613"/>
      <c r="Q557" s="613"/>
      <c r="R557" s="613"/>
      <c r="S557" s="613"/>
      <c r="T557" s="613"/>
      <c r="U557" s="613"/>
      <c r="V557" s="613"/>
      <c r="W557" s="613"/>
      <c r="X557" s="613"/>
      <c r="Y557" s="613"/>
      <c r="Z557" s="613"/>
    </row>
    <row r="558" ht="15.75" customHeight="1">
      <c r="A558" s="613"/>
      <c r="B558" s="613"/>
      <c r="C558" s="613"/>
      <c r="D558" s="613"/>
      <c r="E558" s="613"/>
      <c r="F558" s="613"/>
      <c r="G558" s="613"/>
      <c r="H558" s="613"/>
      <c r="I558" s="613"/>
      <c r="J558" s="613"/>
      <c r="K558" s="613"/>
      <c r="L558" s="613"/>
      <c r="M558" s="613"/>
      <c r="N558" s="613"/>
      <c r="O558" s="613"/>
      <c r="P558" s="613"/>
      <c r="Q558" s="613"/>
      <c r="R558" s="613"/>
      <c r="S558" s="613"/>
      <c r="T558" s="613"/>
      <c r="U558" s="613"/>
      <c r="V558" s="613"/>
      <c r="W558" s="613"/>
      <c r="X558" s="613"/>
      <c r="Y558" s="613"/>
      <c r="Z558" s="613"/>
    </row>
    <row r="559" ht="15.75" customHeight="1">
      <c r="A559" s="613"/>
      <c r="B559" s="613"/>
      <c r="C559" s="613"/>
      <c r="D559" s="613"/>
      <c r="E559" s="613"/>
      <c r="F559" s="613"/>
      <c r="G559" s="613"/>
      <c r="H559" s="613"/>
      <c r="I559" s="613"/>
      <c r="J559" s="613"/>
      <c r="K559" s="613"/>
      <c r="L559" s="613"/>
      <c r="M559" s="613"/>
      <c r="N559" s="613"/>
      <c r="O559" s="613"/>
      <c r="P559" s="613"/>
      <c r="Q559" s="613"/>
      <c r="R559" s="613"/>
      <c r="S559" s="613"/>
      <c r="T559" s="613"/>
      <c r="U559" s="613"/>
      <c r="V559" s="613"/>
      <c r="W559" s="613"/>
      <c r="X559" s="613"/>
      <c r="Y559" s="613"/>
      <c r="Z559" s="613"/>
    </row>
    <row r="560" ht="15.75" customHeight="1">
      <c r="A560" s="613"/>
      <c r="B560" s="613"/>
      <c r="C560" s="613"/>
      <c r="D560" s="613"/>
      <c r="E560" s="613"/>
      <c r="F560" s="613"/>
      <c r="G560" s="613"/>
      <c r="H560" s="613"/>
      <c r="I560" s="613"/>
      <c r="J560" s="613"/>
      <c r="K560" s="613"/>
      <c r="L560" s="613"/>
      <c r="M560" s="613"/>
      <c r="N560" s="613"/>
      <c r="O560" s="613"/>
      <c r="P560" s="613"/>
      <c r="Q560" s="613"/>
      <c r="R560" s="613"/>
      <c r="S560" s="613"/>
      <c r="T560" s="613"/>
      <c r="U560" s="613"/>
      <c r="V560" s="613"/>
      <c r="W560" s="613"/>
      <c r="X560" s="613"/>
      <c r="Y560" s="613"/>
      <c r="Z560" s="613"/>
    </row>
    <row r="561" ht="15.75" customHeight="1">
      <c r="A561" s="613"/>
      <c r="B561" s="613"/>
      <c r="C561" s="613"/>
      <c r="D561" s="613"/>
      <c r="E561" s="613"/>
      <c r="F561" s="613"/>
      <c r="G561" s="613"/>
      <c r="H561" s="613"/>
      <c r="I561" s="613"/>
      <c r="J561" s="613"/>
      <c r="K561" s="613"/>
      <c r="L561" s="613"/>
      <c r="M561" s="613"/>
      <c r="N561" s="613"/>
      <c r="O561" s="613"/>
      <c r="P561" s="613"/>
      <c r="Q561" s="613"/>
      <c r="R561" s="613"/>
      <c r="S561" s="613"/>
      <c r="T561" s="613"/>
      <c r="U561" s="613"/>
      <c r="V561" s="613"/>
      <c r="W561" s="613"/>
      <c r="X561" s="613"/>
      <c r="Y561" s="613"/>
      <c r="Z561" s="613"/>
    </row>
    <row r="562" ht="15.75" customHeight="1">
      <c r="A562" s="613"/>
      <c r="B562" s="613"/>
      <c r="C562" s="613"/>
      <c r="D562" s="613"/>
      <c r="E562" s="613"/>
      <c r="F562" s="613"/>
      <c r="G562" s="613"/>
      <c r="H562" s="613"/>
      <c r="I562" s="613"/>
      <c r="J562" s="613"/>
      <c r="K562" s="613"/>
      <c r="L562" s="613"/>
      <c r="M562" s="613"/>
      <c r="N562" s="613"/>
      <c r="O562" s="613"/>
      <c r="P562" s="613"/>
      <c r="Q562" s="613"/>
      <c r="R562" s="613"/>
      <c r="S562" s="613"/>
      <c r="T562" s="613"/>
      <c r="U562" s="613"/>
      <c r="V562" s="613"/>
      <c r="W562" s="613"/>
      <c r="X562" s="613"/>
      <c r="Y562" s="613"/>
      <c r="Z562" s="613"/>
    </row>
    <row r="563" ht="15.75" customHeight="1">
      <c r="A563" s="613"/>
      <c r="B563" s="613"/>
      <c r="C563" s="613"/>
      <c r="D563" s="613"/>
      <c r="E563" s="613"/>
      <c r="F563" s="613"/>
      <c r="G563" s="613"/>
      <c r="H563" s="613"/>
      <c r="I563" s="613"/>
      <c r="J563" s="613"/>
      <c r="K563" s="613"/>
      <c r="L563" s="613"/>
      <c r="M563" s="613"/>
      <c r="N563" s="613"/>
      <c r="O563" s="613"/>
      <c r="P563" s="613"/>
      <c r="Q563" s="613"/>
      <c r="R563" s="613"/>
      <c r="S563" s="613"/>
      <c r="T563" s="613"/>
      <c r="U563" s="613"/>
      <c r="V563" s="613"/>
      <c r="W563" s="613"/>
      <c r="X563" s="613"/>
      <c r="Y563" s="613"/>
      <c r="Z563" s="613"/>
    </row>
    <row r="564" ht="15.75" customHeight="1">
      <c r="A564" s="613"/>
      <c r="B564" s="613"/>
      <c r="C564" s="613"/>
      <c r="D564" s="613"/>
      <c r="E564" s="613"/>
      <c r="F564" s="613"/>
      <c r="G564" s="613"/>
      <c r="H564" s="613"/>
      <c r="I564" s="613"/>
      <c r="J564" s="613"/>
      <c r="K564" s="613"/>
      <c r="L564" s="613"/>
      <c r="M564" s="613"/>
      <c r="N564" s="613"/>
      <c r="O564" s="613"/>
      <c r="P564" s="613"/>
      <c r="Q564" s="613"/>
      <c r="R564" s="613"/>
      <c r="S564" s="613"/>
      <c r="T564" s="613"/>
      <c r="U564" s="613"/>
      <c r="V564" s="613"/>
      <c r="W564" s="613"/>
      <c r="X564" s="613"/>
      <c r="Y564" s="613"/>
      <c r="Z564" s="613"/>
    </row>
    <row r="565" ht="15.75" customHeight="1">
      <c r="A565" s="613"/>
      <c r="B565" s="613"/>
      <c r="C565" s="613"/>
      <c r="D565" s="613"/>
      <c r="E565" s="613"/>
      <c r="F565" s="613"/>
      <c r="G565" s="613"/>
      <c r="H565" s="613"/>
      <c r="I565" s="613"/>
      <c r="J565" s="613"/>
      <c r="K565" s="613"/>
      <c r="L565" s="613"/>
      <c r="M565" s="613"/>
      <c r="N565" s="613"/>
      <c r="O565" s="613"/>
      <c r="P565" s="613"/>
      <c r="Q565" s="613"/>
      <c r="R565" s="613"/>
      <c r="S565" s="613"/>
      <c r="T565" s="613"/>
      <c r="U565" s="613"/>
      <c r="V565" s="613"/>
      <c r="W565" s="613"/>
      <c r="X565" s="613"/>
      <c r="Y565" s="613"/>
      <c r="Z565" s="613"/>
    </row>
    <row r="566" ht="15.75" customHeight="1">
      <c r="A566" s="613"/>
      <c r="B566" s="613"/>
      <c r="C566" s="613"/>
      <c r="D566" s="613"/>
      <c r="E566" s="613"/>
      <c r="F566" s="613"/>
      <c r="G566" s="613"/>
      <c r="H566" s="613"/>
      <c r="I566" s="613"/>
      <c r="J566" s="613"/>
      <c r="K566" s="613"/>
      <c r="L566" s="613"/>
      <c r="M566" s="613"/>
      <c r="N566" s="613"/>
      <c r="O566" s="613"/>
      <c r="P566" s="613"/>
      <c r="Q566" s="613"/>
      <c r="R566" s="613"/>
      <c r="S566" s="613"/>
      <c r="T566" s="613"/>
      <c r="U566" s="613"/>
      <c r="V566" s="613"/>
      <c r="W566" s="613"/>
      <c r="X566" s="613"/>
      <c r="Y566" s="613"/>
      <c r="Z566" s="613"/>
    </row>
    <row r="567" ht="15.75" customHeight="1">
      <c r="A567" s="613"/>
      <c r="B567" s="613"/>
      <c r="C567" s="613"/>
      <c r="D567" s="613"/>
      <c r="E567" s="613"/>
      <c r="F567" s="613"/>
      <c r="G567" s="613"/>
      <c r="H567" s="613"/>
      <c r="I567" s="613"/>
      <c r="J567" s="613"/>
      <c r="K567" s="613"/>
      <c r="L567" s="613"/>
      <c r="M567" s="613"/>
      <c r="N567" s="613"/>
      <c r="O567" s="613"/>
      <c r="P567" s="613"/>
      <c r="Q567" s="613"/>
      <c r="R567" s="613"/>
      <c r="S567" s="613"/>
      <c r="T567" s="613"/>
      <c r="U567" s="613"/>
      <c r="V567" s="613"/>
      <c r="W567" s="613"/>
      <c r="X567" s="613"/>
      <c r="Y567" s="613"/>
      <c r="Z567" s="613"/>
    </row>
    <row r="568" ht="15.75" customHeight="1">
      <c r="A568" s="613"/>
      <c r="B568" s="613"/>
      <c r="C568" s="613"/>
      <c r="D568" s="613"/>
      <c r="E568" s="613"/>
      <c r="F568" s="613"/>
      <c r="G568" s="613"/>
      <c r="H568" s="613"/>
      <c r="I568" s="613"/>
      <c r="J568" s="613"/>
      <c r="K568" s="613"/>
      <c r="L568" s="613"/>
      <c r="M568" s="613"/>
      <c r="N568" s="613"/>
      <c r="O568" s="613"/>
      <c r="P568" s="613"/>
      <c r="Q568" s="613"/>
      <c r="R568" s="613"/>
      <c r="S568" s="613"/>
      <c r="T568" s="613"/>
      <c r="U568" s="613"/>
      <c r="V568" s="613"/>
      <c r="W568" s="613"/>
      <c r="X568" s="613"/>
      <c r="Y568" s="613"/>
      <c r="Z568" s="613"/>
    </row>
    <row r="569" ht="15.75" customHeight="1">
      <c r="A569" s="613"/>
      <c r="B569" s="613"/>
      <c r="C569" s="613"/>
      <c r="D569" s="613"/>
      <c r="E569" s="613"/>
      <c r="F569" s="613"/>
      <c r="G569" s="613"/>
      <c r="H569" s="613"/>
      <c r="I569" s="613"/>
      <c r="J569" s="613"/>
      <c r="K569" s="613"/>
      <c r="L569" s="613"/>
      <c r="M569" s="613"/>
      <c r="N569" s="613"/>
      <c r="O569" s="613"/>
      <c r="P569" s="613"/>
      <c r="Q569" s="613"/>
      <c r="R569" s="613"/>
      <c r="S569" s="613"/>
      <c r="T569" s="613"/>
      <c r="U569" s="613"/>
      <c r="V569" s="613"/>
      <c r="W569" s="613"/>
      <c r="X569" s="613"/>
      <c r="Y569" s="613"/>
      <c r="Z569" s="613"/>
    </row>
    <row r="570" ht="15.75" customHeight="1">
      <c r="A570" s="613"/>
      <c r="B570" s="613"/>
      <c r="C570" s="613"/>
      <c r="D570" s="613"/>
      <c r="E570" s="613"/>
      <c r="F570" s="613"/>
      <c r="G570" s="613"/>
      <c r="H570" s="613"/>
      <c r="I570" s="613"/>
      <c r="J570" s="613"/>
      <c r="K570" s="613"/>
      <c r="L570" s="613"/>
      <c r="M570" s="613"/>
      <c r="N570" s="613"/>
      <c r="O570" s="613"/>
      <c r="P570" s="613"/>
      <c r="Q570" s="613"/>
      <c r="R570" s="613"/>
      <c r="S570" s="613"/>
      <c r="T570" s="613"/>
      <c r="U570" s="613"/>
      <c r="V570" s="613"/>
      <c r="W570" s="613"/>
      <c r="X570" s="613"/>
      <c r="Y570" s="613"/>
      <c r="Z570" s="613"/>
    </row>
    <row r="571" ht="15.75" customHeight="1">
      <c r="A571" s="613"/>
      <c r="B571" s="613"/>
      <c r="C571" s="613"/>
      <c r="D571" s="613"/>
      <c r="E571" s="613"/>
      <c r="F571" s="613"/>
      <c r="G571" s="613"/>
      <c r="H571" s="613"/>
      <c r="I571" s="613"/>
      <c r="J571" s="613"/>
      <c r="K571" s="613"/>
      <c r="L571" s="613"/>
      <c r="M571" s="613"/>
      <c r="N571" s="613"/>
      <c r="O571" s="613"/>
      <c r="P571" s="613"/>
      <c r="Q571" s="613"/>
      <c r="R571" s="613"/>
      <c r="S571" s="613"/>
      <c r="T571" s="613"/>
      <c r="U571" s="613"/>
      <c r="V571" s="613"/>
      <c r="W571" s="613"/>
      <c r="X571" s="613"/>
      <c r="Y571" s="613"/>
      <c r="Z571" s="613"/>
    </row>
    <row r="572" ht="15.75" customHeight="1">
      <c r="A572" s="613"/>
      <c r="B572" s="613"/>
      <c r="C572" s="613"/>
      <c r="D572" s="613"/>
      <c r="E572" s="613"/>
      <c r="F572" s="613"/>
      <c r="G572" s="613"/>
      <c r="H572" s="613"/>
      <c r="I572" s="613"/>
      <c r="J572" s="613"/>
      <c r="K572" s="613"/>
      <c r="L572" s="613"/>
      <c r="M572" s="613"/>
      <c r="N572" s="613"/>
      <c r="O572" s="613"/>
      <c r="P572" s="613"/>
      <c r="Q572" s="613"/>
      <c r="R572" s="613"/>
      <c r="S572" s="613"/>
      <c r="T572" s="613"/>
      <c r="U572" s="613"/>
      <c r="V572" s="613"/>
      <c r="W572" s="613"/>
      <c r="X572" s="613"/>
      <c r="Y572" s="613"/>
      <c r="Z572" s="613"/>
    </row>
    <row r="573" ht="15.75" customHeight="1">
      <c r="A573" s="613"/>
      <c r="B573" s="613"/>
      <c r="C573" s="613"/>
      <c r="D573" s="613"/>
      <c r="E573" s="613"/>
      <c r="F573" s="613"/>
      <c r="G573" s="613"/>
      <c r="H573" s="613"/>
      <c r="I573" s="613"/>
      <c r="J573" s="613"/>
      <c r="K573" s="613"/>
      <c r="L573" s="613"/>
      <c r="M573" s="613"/>
      <c r="N573" s="613"/>
      <c r="O573" s="613"/>
      <c r="P573" s="613"/>
      <c r="Q573" s="613"/>
      <c r="R573" s="613"/>
      <c r="S573" s="613"/>
      <c r="T573" s="613"/>
      <c r="U573" s="613"/>
      <c r="V573" s="613"/>
      <c r="W573" s="613"/>
      <c r="X573" s="613"/>
      <c r="Y573" s="613"/>
      <c r="Z573" s="613"/>
    </row>
    <row r="574" ht="15.75" customHeight="1">
      <c r="A574" s="613"/>
      <c r="B574" s="613"/>
      <c r="C574" s="613"/>
      <c r="D574" s="613"/>
      <c r="E574" s="613"/>
      <c r="F574" s="613"/>
      <c r="G574" s="613"/>
      <c r="H574" s="613"/>
      <c r="I574" s="613"/>
      <c r="J574" s="613"/>
      <c r="K574" s="613"/>
      <c r="L574" s="613"/>
      <c r="M574" s="613"/>
      <c r="N574" s="613"/>
      <c r="O574" s="613"/>
      <c r="P574" s="613"/>
      <c r="Q574" s="613"/>
      <c r="R574" s="613"/>
      <c r="S574" s="613"/>
      <c r="T574" s="613"/>
      <c r="U574" s="613"/>
      <c r="V574" s="613"/>
      <c r="W574" s="613"/>
      <c r="X574" s="613"/>
      <c r="Y574" s="613"/>
      <c r="Z574" s="613"/>
    </row>
    <row r="575" ht="15.75" customHeight="1">
      <c r="A575" s="613"/>
      <c r="B575" s="613"/>
      <c r="C575" s="613"/>
      <c r="D575" s="613"/>
      <c r="E575" s="613"/>
      <c r="F575" s="613"/>
      <c r="G575" s="613"/>
      <c r="H575" s="613"/>
      <c r="I575" s="613"/>
      <c r="J575" s="613"/>
      <c r="K575" s="613"/>
      <c r="L575" s="613"/>
      <c r="M575" s="613"/>
      <c r="N575" s="613"/>
      <c r="O575" s="613"/>
      <c r="P575" s="613"/>
      <c r="Q575" s="613"/>
      <c r="R575" s="613"/>
      <c r="S575" s="613"/>
      <c r="T575" s="613"/>
      <c r="U575" s="613"/>
      <c r="V575" s="613"/>
      <c r="W575" s="613"/>
      <c r="X575" s="613"/>
      <c r="Y575" s="613"/>
      <c r="Z575" s="613"/>
    </row>
    <row r="576" ht="15.75" customHeight="1">
      <c r="A576" s="613"/>
      <c r="B576" s="613"/>
      <c r="C576" s="613"/>
      <c r="D576" s="613"/>
      <c r="E576" s="613"/>
      <c r="F576" s="613"/>
      <c r="G576" s="613"/>
      <c r="H576" s="613"/>
      <c r="I576" s="613"/>
      <c r="J576" s="613"/>
      <c r="K576" s="613"/>
      <c r="L576" s="613"/>
      <c r="M576" s="613"/>
      <c r="N576" s="613"/>
      <c r="O576" s="613"/>
      <c r="P576" s="613"/>
      <c r="Q576" s="613"/>
      <c r="R576" s="613"/>
      <c r="S576" s="613"/>
      <c r="T576" s="613"/>
      <c r="U576" s="613"/>
      <c r="V576" s="613"/>
      <c r="W576" s="613"/>
      <c r="X576" s="613"/>
      <c r="Y576" s="613"/>
      <c r="Z576" s="613"/>
    </row>
    <row r="577" ht="15.75" customHeight="1">
      <c r="A577" s="613"/>
      <c r="B577" s="613"/>
      <c r="C577" s="613"/>
      <c r="D577" s="613"/>
      <c r="E577" s="613"/>
      <c r="F577" s="613"/>
      <c r="G577" s="613"/>
      <c r="H577" s="613"/>
      <c r="I577" s="613"/>
      <c r="J577" s="613"/>
      <c r="K577" s="613"/>
      <c r="L577" s="613"/>
      <c r="M577" s="613"/>
      <c r="N577" s="613"/>
      <c r="O577" s="613"/>
      <c r="P577" s="613"/>
      <c r="Q577" s="613"/>
      <c r="R577" s="613"/>
      <c r="S577" s="613"/>
      <c r="T577" s="613"/>
      <c r="U577" s="613"/>
      <c r="V577" s="613"/>
      <c r="W577" s="613"/>
      <c r="X577" s="613"/>
      <c r="Y577" s="613"/>
      <c r="Z577" s="613"/>
    </row>
    <row r="578" ht="15.75" customHeight="1">
      <c r="A578" s="613"/>
      <c r="B578" s="613"/>
      <c r="C578" s="613"/>
      <c r="D578" s="613"/>
      <c r="E578" s="613"/>
      <c r="F578" s="613"/>
      <c r="G578" s="613"/>
      <c r="H578" s="613"/>
      <c r="I578" s="613"/>
      <c r="J578" s="613"/>
      <c r="K578" s="613"/>
      <c r="L578" s="613"/>
      <c r="M578" s="613"/>
      <c r="N578" s="613"/>
      <c r="O578" s="613"/>
      <c r="P578" s="613"/>
      <c r="Q578" s="613"/>
      <c r="R578" s="613"/>
      <c r="S578" s="613"/>
      <c r="T578" s="613"/>
      <c r="U578" s="613"/>
      <c r="V578" s="613"/>
      <c r="W578" s="613"/>
      <c r="X578" s="613"/>
      <c r="Y578" s="613"/>
      <c r="Z578" s="613"/>
    </row>
    <row r="579" ht="15.75" customHeight="1">
      <c r="A579" s="613"/>
      <c r="B579" s="613"/>
      <c r="C579" s="613"/>
      <c r="D579" s="613"/>
      <c r="E579" s="613"/>
      <c r="F579" s="613"/>
      <c r="G579" s="613"/>
      <c r="H579" s="613"/>
      <c r="I579" s="613"/>
      <c r="J579" s="613"/>
      <c r="K579" s="613"/>
      <c r="L579" s="613"/>
      <c r="M579" s="613"/>
      <c r="N579" s="613"/>
      <c r="O579" s="613"/>
      <c r="P579" s="613"/>
      <c r="Q579" s="613"/>
      <c r="R579" s="613"/>
      <c r="S579" s="613"/>
      <c r="T579" s="613"/>
      <c r="U579" s="613"/>
      <c r="V579" s="613"/>
      <c r="W579" s="613"/>
      <c r="X579" s="613"/>
      <c r="Y579" s="613"/>
      <c r="Z579" s="613"/>
    </row>
    <row r="580" ht="15.75" customHeight="1">
      <c r="A580" s="613"/>
      <c r="B580" s="613"/>
      <c r="C580" s="613"/>
      <c r="D580" s="613"/>
      <c r="E580" s="613"/>
      <c r="F580" s="613"/>
      <c r="G580" s="613"/>
      <c r="H580" s="613"/>
      <c r="I580" s="613"/>
      <c r="J580" s="613"/>
      <c r="K580" s="613"/>
      <c r="L580" s="613"/>
      <c r="M580" s="613"/>
      <c r="N580" s="613"/>
      <c r="O580" s="613"/>
      <c r="P580" s="613"/>
      <c r="Q580" s="613"/>
      <c r="R580" s="613"/>
      <c r="S580" s="613"/>
      <c r="T580" s="613"/>
      <c r="U580" s="613"/>
      <c r="V580" s="613"/>
      <c r="W580" s="613"/>
      <c r="X580" s="613"/>
      <c r="Y580" s="613"/>
      <c r="Z580" s="613"/>
    </row>
    <row r="581" ht="15.75" customHeight="1">
      <c r="A581" s="613"/>
      <c r="B581" s="613"/>
      <c r="C581" s="613"/>
      <c r="D581" s="613"/>
      <c r="E581" s="613"/>
      <c r="F581" s="613"/>
      <c r="G581" s="613"/>
      <c r="H581" s="613"/>
      <c r="I581" s="613"/>
      <c r="J581" s="613"/>
      <c r="K581" s="613"/>
      <c r="L581" s="613"/>
      <c r="M581" s="613"/>
      <c r="N581" s="613"/>
      <c r="O581" s="613"/>
      <c r="P581" s="613"/>
      <c r="Q581" s="613"/>
      <c r="R581" s="613"/>
      <c r="S581" s="613"/>
      <c r="T581" s="613"/>
      <c r="U581" s="613"/>
      <c r="V581" s="613"/>
      <c r="W581" s="613"/>
      <c r="X581" s="613"/>
      <c r="Y581" s="613"/>
      <c r="Z581" s="613"/>
    </row>
    <row r="582" ht="15.75" customHeight="1">
      <c r="A582" s="613"/>
      <c r="B582" s="613"/>
      <c r="C582" s="613"/>
      <c r="D582" s="613"/>
      <c r="E582" s="613"/>
      <c r="F582" s="613"/>
      <c r="G582" s="613"/>
      <c r="H582" s="613"/>
      <c r="I582" s="613"/>
      <c r="J582" s="613"/>
      <c r="K582" s="613"/>
      <c r="L582" s="613"/>
      <c r="M582" s="613"/>
      <c r="N582" s="613"/>
      <c r="O582" s="613"/>
      <c r="P582" s="613"/>
      <c r="Q582" s="613"/>
      <c r="R582" s="613"/>
      <c r="S582" s="613"/>
      <c r="T582" s="613"/>
      <c r="U582" s="613"/>
      <c r="V582" s="613"/>
      <c r="W582" s="613"/>
      <c r="X582" s="613"/>
      <c r="Y582" s="613"/>
      <c r="Z582" s="613"/>
    </row>
    <row r="583" ht="15.75" customHeight="1">
      <c r="A583" s="613"/>
      <c r="B583" s="613"/>
      <c r="C583" s="613"/>
      <c r="D583" s="613"/>
      <c r="E583" s="613"/>
      <c r="F583" s="613"/>
      <c r="G583" s="613"/>
      <c r="H583" s="613"/>
      <c r="I583" s="613"/>
      <c r="J583" s="613"/>
      <c r="K583" s="613"/>
      <c r="L583" s="613"/>
      <c r="M583" s="613"/>
      <c r="N583" s="613"/>
      <c r="O583" s="613"/>
      <c r="P583" s="613"/>
      <c r="Q583" s="613"/>
      <c r="R583" s="613"/>
      <c r="S583" s="613"/>
      <c r="T583" s="613"/>
      <c r="U583" s="613"/>
      <c r="V583" s="613"/>
      <c r="W583" s="613"/>
      <c r="X583" s="613"/>
      <c r="Y583" s="613"/>
      <c r="Z583" s="613"/>
    </row>
    <row r="584" ht="15.75" customHeight="1">
      <c r="A584" s="613"/>
      <c r="B584" s="613"/>
      <c r="C584" s="613"/>
      <c r="D584" s="613"/>
      <c r="E584" s="613"/>
      <c r="F584" s="613"/>
      <c r="G584" s="613"/>
      <c r="H584" s="613"/>
      <c r="I584" s="613"/>
      <c r="J584" s="613"/>
      <c r="K584" s="613"/>
      <c r="L584" s="613"/>
      <c r="M584" s="613"/>
      <c r="N584" s="613"/>
      <c r="O584" s="613"/>
      <c r="P584" s="613"/>
      <c r="Q584" s="613"/>
      <c r="R584" s="613"/>
      <c r="S584" s="613"/>
      <c r="T584" s="613"/>
      <c r="U584" s="613"/>
      <c r="V584" s="613"/>
      <c r="W584" s="613"/>
      <c r="X584" s="613"/>
      <c r="Y584" s="613"/>
      <c r="Z584" s="613"/>
    </row>
    <row r="585" ht="15.75" customHeight="1">
      <c r="A585" s="613"/>
      <c r="B585" s="613"/>
      <c r="C585" s="613"/>
      <c r="D585" s="613"/>
      <c r="E585" s="613"/>
      <c r="F585" s="613"/>
      <c r="G585" s="613"/>
      <c r="H585" s="613"/>
      <c r="I585" s="613"/>
      <c r="J585" s="613"/>
      <c r="K585" s="613"/>
      <c r="L585" s="613"/>
      <c r="M585" s="613"/>
      <c r="N585" s="613"/>
      <c r="O585" s="613"/>
      <c r="P585" s="613"/>
      <c r="Q585" s="613"/>
      <c r="R585" s="613"/>
      <c r="S585" s="613"/>
      <c r="T585" s="613"/>
      <c r="U585" s="613"/>
      <c r="V585" s="613"/>
      <c r="W585" s="613"/>
      <c r="X585" s="613"/>
      <c r="Y585" s="613"/>
      <c r="Z585" s="613"/>
    </row>
    <row r="586" ht="15.75" customHeight="1">
      <c r="A586" s="613"/>
      <c r="B586" s="613"/>
      <c r="C586" s="613"/>
      <c r="D586" s="613"/>
      <c r="E586" s="613"/>
      <c r="F586" s="613"/>
      <c r="G586" s="613"/>
      <c r="H586" s="613"/>
      <c r="I586" s="613"/>
      <c r="J586" s="613"/>
      <c r="K586" s="613"/>
      <c r="L586" s="613"/>
      <c r="M586" s="613"/>
      <c r="N586" s="613"/>
      <c r="O586" s="613"/>
      <c r="P586" s="613"/>
      <c r="Q586" s="613"/>
      <c r="R586" s="613"/>
      <c r="S586" s="613"/>
      <c r="T586" s="613"/>
      <c r="U586" s="613"/>
      <c r="V586" s="613"/>
      <c r="W586" s="613"/>
      <c r="X586" s="613"/>
      <c r="Y586" s="613"/>
      <c r="Z586" s="613"/>
    </row>
    <row r="587" ht="15.75" customHeight="1">
      <c r="A587" s="613"/>
      <c r="B587" s="613"/>
      <c r="C587" s="613"/>
      <c r="D587" s="613"/>
      <c r="E587" s="613"/>
      <c r="F587" s="613"/>
      <c r="G587" s="613"/>
      <c r="H587" s="613"/>
      <c r="I587" s="613"/>
      <c r="J587" s="613"/>
      <c r="K587" s="613"/>
      <c r="L587" s="613"/>
      <c r="M587" s="613"/>
      <c r="N587" s="613"/>
      <c r="O587" s="613"/>
      <c r="P587" s="613"/>
      <c r="Q587" s="613"/>
      <c r="R587" s="613"/>
      <c r="S587" s="613"/>
      <c r="T587" s="613"/>
      <c r="U587" s="613"/>
      <c r="V587" s="613"/>
      <c r="W587" s="613"/>
      <c r="X587" s="613"/>
      <c r="Y587" s="613"/>
      <c r="Z587" s="613"/>
    </row>
    <row r="588" ht="15.75" customHeight="1">
      <c r="A588" s="613"/>
      <c r="B588" s="613"/>
      <c r="C588" s="613"/>
      <c r="D588" s="613"/>
      <c r="E588" s="613"/>
      <c r="F588" s="613"/>
      <c r="G588" s="613"/>
      <c r="H588" s="613"/>
      <c r="I588" s="613"/>
      <c r="J588" s="613"/>
      <c r="K588" s="613"/>
      <c r="L588" s="613"/>
      <c r="M588" s="613"/>
      <c r="N588" s="613"/>
      <c r="O588" s="613"/>
      <c r="P588" s="613"/>
      <c r="Q588" s="613"/>
      <c r="R588" s="613"/>
      <c r="S588" s="613"/>
      <c r="T588" s="613"/>
      <c r="U588" s="613"/>
      <c r="V588" s="613"/>
      <c r="W588" s="613"/>
      <c r="X588" s="613"/>
      <c r="Y588" s="613"/>
      <c r="Z588" s="613"/>
    </row>
    <row r="589" ht="15.75" customHeight="1">
      <c r="A589" s="613"/>
      <c r="B589" s="613"/>
      <c r="C589" s="613"/>
      <c r="D589" s="613"/>
      <c r="E589" s="613"/>
      <c r="F589" s="613"/>
      <c r="G589" s="613"/>
      <c r="H589" s="613"/>
      <c r="I589" s="613"/>
      <c r="J589" s="613"/>
      <c r="K589" s="613"/>
      <c r="L589" s="613"/>
      <c r="M589" s="613"/>
      <c r="N589" s="613"/>
      <c r="O589" s="613"/>
      <c r="P589" s="613"/>
      <c r="Q589" s="613"/>
      <c r="R589" s="613"/>
      <c r="S589" s="613"/>
      <c r="T589" s="613"/>
      <c r="U589" s="613"/>
      <c r="V589" s="613"/>
      <c r="W589" s="613"/>
      <c r="X589" s="613"/>
      <c r="Y589" s="613"/>
      <c r="Z589" s="613"/>
    </row>
    <row r="590" ht="15.75" customHeight="1">
      <c r="A590" s="613"/>
      <c r="B590" s="613"/>
      <c r="C590" s="613"/>
      <c r="D590" s="613"/>
      <c r="E590" s="613"/>
      <c r="F590" s="613"/>
      <c r="G590" s="613"/>
      <c r="H590" s="613"/>
      <c r="I590" s="613"/>
      <c r="J590" s="613"/>
      <c r="K590" s="613"/>
      <c r="L590" s="613"/>
      <c r="M590" s="613"/>
      <c r="N590" s="613"/>
      <c r="O590" s="613"/>
      <c r="P590" s="613"/>
      <c r="Q590" s="613"/>
      <c r="R590" s="613"/>
      <c r="S590" s="613"/>
      <c r="T590" s="613"/>
      <c r="U590" s="613"/>
      <c r="V590" s="613"/>
      <c r="W590" s="613"/>
      <c r="X590" s="613"/>
      <c r="Y590" s="613"/>
      <c r="Z590" s="613"/>
    </row>
    <row r="591" ht="15.75" customHeight="1">
      <c r="A591" s="613"/>
      <c r="B591" s="613"/>
      <c r="C591" s="613"/>
      <c r="D591" s="613"/>
      <c r="E591" s="613"/>
      <c r="F591" s="613"/>
      <c r="G591" s="613"/>
      <c r="H591" s="613"/>
      <c r="I591" s="613"/>
      <c r="J591" s="613"/>
      <c r="K591" s="613"/>
      <c r="L591" s="613"/>
      <c r="M591" s="613"/>
      <c r="N591" s="613"/>
      <c r="O591" s="613"/>
      <c r="P591" s="613"/>
      <c r="Q591" s="613"/>
      <c r="R591" s="613"/>
      <c r="S591" s="613"/>
      <c r="T591" s="613"/>
      <c r="U591" s="613"/>
      <c r="V591" s="613"/>
      <c r="W591" s="613"/>
      <c r="X591" s="613"/>
      <c r="Y591" s="613"/>
      <c r="Z591" s="613"/>
    </row>
    <row r="592" ht="15.75" customHeight="1">
      <c r="A592" s="613"/>
      <c r="B592" s="613"/>
      <c r="C592" s="613"/>
      <c r="D592" s="613"/>
      <c r="E592" s="613"/>
      <c r="F592" s="613"/>
      <c r="G592" s="613"/>
      <c r="H592" s="613"/>
      <c r="I592" s="613"/>
      <c r="J592" s="613"/>
      <c r="K592" s="613"/>
      <c r="L592" s="613"/>
      <c r="M592" s="613"/>
      <c r="N592" s="613"/>
      <c r="O592" s="613"/>
      <c r="P592" s="613"/>
      <c r="Q592" s="613"/>
      <c r="R592" s="613"/>
      <c r="S592" s="613"/>
      <c r="T592" s="613"/>
      <c r="U592" s="613"/>
      <c r="V592" s="613"/>
      <c r="W592" s="613"/>
      <c r="X592" s="613"/>
      <c r="Y592" s="613"/>
      <c r="Z592" s="613"/>
    </row>
    <row r="593" ht="15.75" customHeight="1">
      <c r="A593" s="613"/>
      <c r="B593" s="613"/>
      <c r="C593" s="613"/>
      <c r="D593" s="613"/>
      <c r="E593" s="613"/>
      <c r="F593" s="613"/>
      <c r="G593" s="613"/>
      <c r="H593" s="613"/>
      <c r="I593" s="613"/>
      <c r="J593" s="613"/>
      <c r="K593" s="613"/>
      <c r="L593" s="613"/>
      <c r="M593" s="613"/>
      <c r="N593" s="613"/>
      <c r="O593" s="613"/>
      <c r="P593" s="613"/>
      <c r="Q593" s="613"/>
      <c r="R593" s="613"/>
      <c r="S593" s="613"/>
      <c r="T593" s="613"/>
      <c r="U593" s="613"/>
      <c r="V593" s="613"/>
      <c r="W593" s="613"/>
      <c r="X593" s="613"/>
      <c r="Y593" s="613"/>
      <c r="Z593" s="613"/>
    </row>
    <row r="594" ht="15.75" customHeight="1">
      <c r="A594" s="613"/>
      <c r="B594" s="613"/>
      <c r="C594" s="613"/>
      <c r="D594" s="613"/>
      <c r="E594" s="613"/>
      <c r="F594" s="613"/>
      <c r="G594" s="613"/>
      <c r="H594" s="613"/>
      <c r="I594" s="613"/>
      <c r="J594" s="613"/>
      <c r="K594" s="613"/>
      <c r="L594" s="613"/>
      <c r="M594" s="613"/>
      <c r="N594" s="613"/>
      <c r="O594" s="613"/>
      <c r="P594" s="613"/>
      <c r="Q594" s="613"/>
      <c r="R594" s="613"/>
      <c r="S594" s="613"/>
      <c r="T594" s="613"/>
      <c r="U594" s="613"/>
      <c r="V594" s="613"/>
      <c r="W594" s="613"/>
      <c r="X594" s="613"/>
      <c r="Y594" s="613"/>
      <c r="Z594" s="613"/>
    </row>
    <row r="595" ht="15.75" customHeight="1">
      <c r="A595" s="613"/>
      <c r="B595" s="613"/>
      <c r="C595" s="613"/>
      <c r="D595" s="613"/>
      <c r="E595" s="613"/>
      <c r="F595" s="613"/>
      <c r="G595" s="613"/>
      <c r="H595" s="613"/>
      <c r="I595" s="613"/>
      <c r="J595" s="613"/>
      <c r="K595" s="613"/>
      <c r="L595" s="613"/>
      <c r="M595" s="613"/>
      <c r="N595" s="613"/>
      <c r="O595" s="613"/>
      <c r="P595" s="613"/>
      <c r="Q595" s="613"/>
      <c r="R595" s="613"/>
      <c r="S595" s="613"/>
      <c r="T595" s="613"/>
      <c r="U595" s="613"/>
      <c r="V595" s="613"/>
      <c r="W595" s="613"/>
      <c r="X595" s="613"/>
      <c r="Y595" s="613"/>
      <c r="Z595" s="613"/>
    </row>
    <row r="596" ht="15.75" customHeight="1">
      <c r="A596" s="613"/>
      <c r="B596" s="613"/>
      <c r="C596" s="613"/>
      <c r="D596" s="613"/>
      <c r="E596" s="613"/>
      <c r="F596" s="613"/>
      <c r="G596" s="613"/>
      <c r="H596" s="613"/>
      <c r="I596" s="613"/>
      <c r="J596" s="613"/>
      <c r="K596" s="613"/>
      <c r="L596" s="613"/>
      <c r="M596" s="613"/>
      <c r="N596" s="613"/>
      <c r="O596" s="613"/>
      <c r="P596" s="613"/>
      <c r="Q596" s="613"/>
      <c r="R596" s="613"/>
      <c r="S596" s="613"/>
      <c r="T596" s="613"/>
      <c r="U596" s="613"/>
      <c r="V596" s="613"/>
      <c r="W596" s="613"/>
      <c r="X596" s="613"/>
      <c r="Y596" s="613"/>
      <c r="Z596" s="613"/>
    </row>
    <row r="597" ht="15.75" customHeight="1">
      <c r="A597" s="613"/>
      <c r="B597" s="613"/>
      <c r="C597" s="613"/>
      <c r="D597" s="613"/>
      <c r="E597" s="613"/>
      <c r="F597" s="613"/>
      <c r="G597" s="613"/>
      <c r="H597" s="613"/>
      <c r="I597" s="613"/>
      <c r="J597" s="613"/>
      <c r="K597" s="613"/>
      <c r="L597" s="613"/>
      <c r="M597" s="613"/>
      <c r="N597" s="613"/>
      <c r="O597" s="613"/>
      <c r="P597" s="613"/>
      <c r="Q597" s="613"/>
      <c r="R597" s="613"/>
      <c r="S597" s="613"/>
      <c r="T597" s="613"/>
      <c r="U597" s="613"/>
      <c r="V597" s="613"/>
      <c r="W597" s="613"/>
      <c r="X597" s="613"/>
      <c r="Y597" s="613"/>
      <c r="Z597" s="613"/>
    </row>
    <row r="598" ht="15.75" customHeight="1">
      <c r="A598" s="613"/>
      <c r="B598" s="613"/>
      <c r="C598" s="613"/>
      <c r="D598" s="613"/>
      <c r="E598" s="613"/>
      <c r="F598" s="613"/>
      <c r="G598" s="613"/>
      <c r="H598" s="613"/>
      <c r="I598" s="613"/>
      <c r="J598" s="613"/>
      <c r="K598" s="613"/>
      <c r="L598" s="613"/>
      <c r="M598" s="613"/>
      <c r="N598" s="613"/>
      <c r="O598" s="613"/>
      <c r="P598" s="613"/>
      <c r="Q598" s="613"/>
      <c r="R598" s="613"/>
      <c r="S598" s="613"/>
      <c r="T598" s="613"/>
      <c r="U598" s="613"/>
      <c r="V598" s="613"/>
      <c r="W598" s="613"/>
      <c r="X598" s="613"/>
      <c r="Y598" s="613"/>
      <c r="Z598" s="613"/>
    </row>
    <row r="599" ht="15.75" customHeight="1">
      <c r="A599" s="613"/>
      <c r="B599" s="613"/>
      <c r="C599" s="613"/>
      <c r="D599" s="613"/>
      <c r="E599" s="613"/>
      <c r="F599" s="613"/>
      <c r="G599" s="613"/>
      <c r="H599" s="613"/>
      <c r="I599" s="613"/>
      <c r="J599" s="613"/>
      <c r="K599" s="613"/>
      <c r="L599" s="613"/>
      <c r="M599" s="613"/>
      <c r="N599" s="613"/>
      <c r="O599" s="613"/>
      <c r="P599" s="613"/>
      <c r="Q599" s="613"/>
      <c r="R599" s="613"/>
      <c r="S599" s="613"/>
      <c r="T599" s="613"/>
      <c r="U599" s="613"/>
      <c r="V599" s="613"/>
      <c r="W599" s="613"/>
      <c r="X599" s="613"/>
      <c r="Y599" s="613"/>
      <c r="Z599" s="613"/>
    </row>
    <row r="600" ht="15.75" customHeight="1">
      <c r="A600" s="613"/>
      <c r="B600" s="613"/>
      <c r="C600" s="613"/>
      <c r="D600" s="613"/>
      <c r="E600" s="613"/>
      <c r="F600" s="613"/>
      <c r="G600" s="613"/>
      <c r="H600" s="613"/>
      <c r="I600" s="613"/>
      <c r="J600" s="613"/>
      <c r="K600" s="613"/>
      <c r="L600" s="613"/>
      <c r="M600" s="613"/>
      <c r="N600" s="613"/>
      <c r="O600" s="613"/>
      <c r="P600" s="613"/>
      <c r="Q600" s="613"/>
      <c r="R600" s="613"/>
      <c r="S600" s="613"/>
      <c r="T600" s="613"/>
      <c r="U600" s="613"/>
      <c r="V600" s="613"/>
      <c r="W600" s="613"/>
      <c r="X600" s="613"/>
      <c r="Y600" s="613"/>
      <c r="Z600" s="613"/>
    </row>
    <row r="601" ht="15.75" customHeight="1">
      <c r="A601" s="613"/>
      <c r="B601" s="613"/>
      <c r="C601" s="613"/>
      <c r="D601" s="613"/>
      <c r="E601" s="613"/>
      <c r="F601" s="613"/>
      <c r="G601" s="613"/>
      <c r="H601" s="613"/>
      <c r="I601" s="613"/>
      <c r="J601" s="613"/>
      <c r="K601" s="613"/>
      <c r="L601" s="613"/>
      <c r="M601" s="613"/>
      <c r="N601" s="613"/>
      <c r="O601" s="613"/>
      <c r="P601" s="613"/>
      <c r="Q601" s="613"/>
      <c r="R601" s="613"/>
      <c r="S601" s="613"/>
      <c r="T601" s="613"/>
      <c r="U601" s="613"/>
      <c r="V601" s="613"/>
      <c r="W601" s="613"/>
      <c r="X601" s="613"/>
      <c r="Y601" s="613"/>
      <c r="Z601" s="613"/>
    </row>
    <row r="602" ht="15.75" customHeight="1">
      <c r="A602" s="613"/>
      <c r="B602" s="613"/>
      <c r="C602" s="613"/>
      <c r="D602" s="613"/>
      <c r="E602" s="613"/>
      <c r="F602" s="613"/>
      <c r="G602" s="613"/>
      <c r="H602" s="613"/>
      <c r="I602" s="613"/>
      <c r="J602" s="613"/>
      <c r="K602" s="613"/>
      <c r="L602" s="613"/>
      <c r="M602" s="613"/>
      <c r="N602" s="613"/>
      <c r="O602" s="613"/>
      <c r="P602" s="613"/>
      <c r="Q602" s="613"/>
      <c r="R602" s="613"/>
      <c r="S602" s="613"/>
      <c r="T602" s="613"/>
      <c r="U602" s="613"/>
      <c r="V602" s="613"/>
      <c r="W602" s="613"/>
      <c r="X602" s="613"/>
      <c r="Y602" s="613"/>
      <c r="Z602" s="613"/>
    </row>
    <row r="603" ht="15.75" customHeight="1">
      <c r="A603" s="613"/>
      <c r="B603" s="613"/>
      <c r="C603" s="613"/>
      <c r="D603" s="613"/>
      <c r="E603" s="613"/>
      <c r="F603" s="613"/>
      <c r="G603" s="613"/>
      <c r="H603" s="613"/>
      <c r="I603" s="613"/>
      <c r="J603" s="613"/>
      <c r="K603" s="613"/>
      <c r="L603" s="613"/>
      <c r="M603" s="613"/>
      <c r="N603" s="613"/>
      <c r="O603" s="613"/>
      <c r="P603" s="613"/>
      <c r="Q603" s="613"/>
      <c r="R603" s="613"/>
      <c r="S603" s="613"/>
      <c r="T603" s="613"/>
      <c r="U603" s="613"/>
      <c r="V603" s="613"/>
      <c r="W603" s="613"/>
      <c r="X603" s="613"/>
      <c r="Y603" s="613"/>
      <c r="Z603" s="613"/>
    </row>
    <row r="604" ht="15.75" customHeight="1">
      <c r="A604" s="613"/>
      <c r="B604" s="613"/>
      <c r="C604" s="613"/>
      <c r="D604" s="613"/>
      <c r="E604" s="613"/>
      <c r="F604" s="613"/>
      <c r="G604" s="613"/>
      <c r="H604" s="613"/>
      <c r="I604" s="613"/>
      <c r="J604" s="613"/>
      <c r="K604" s="613"/>
      <c r="L604" s="613"/>
      <c r="M604" s="613"/>
      <c r="N604" s="613"/>
      <c r="O604" s="613"/>
      <c r="P604" s="613"/>
      <c r="Q604" s="613"/>
      <c r="R604" s="613"/>
      <c r="S604" s="613"/>
      <c r="T604" s="613"/>
      <c r="U604" s="613"/>
      <c r="V604" s="613"/>
      <c r="W604" s="613"/>
      <c r="X604" s="613"/>
      <c r="Y604" s="613"/>
      <c r="Z604" s="613"/>
    </row>
    <row r="605" ht="15.75" customHeight="1">
      <c r="A605" s="613"/>
      <c r="B605" s="613"/>
      <c r="C605" s="613"/>
      <c r="D605" s="613"/>
      <c r="E605" s="613"/>
      <c r="F605" s="613"/>
      <c r="G605" s="613"/>
      <c r="H605" s="613"/>
      <c r="I605" s="613"/>
      <c r="J605" s="613"/>
      <c r="K605" s="613"/>
      <c r="L605" s="613"/>
      <c r="M605" s="613"/>
      <c r="N605" s="613"/>
      <c r="O605" s="613"/>
      <c r="P605" s="613"/>
      <c r="Q605" s="613"/>
      <c r="R605" s="613"/>
      <c r="S605" s="613"/>
      <c r="T605" s="613"/>
      <c r="U605" s="613"/>
      <c r="V605" s="613"/>
      <c r="W605" s="613"/>
      <c r="X605" s="613"/>
      <c r="Y605" s="613"/>
      <c r="Z605" s="613"/>
    </row>
    <row r="606" ht="15.75" customHeight="1">
      <c r="A606" s="613"/>
      <c r="B606" s="613"/>
      <c r="C606" s="613"/>
      <c r="D606" s="613"/>
      <c r="E606" s="613"/>
      <c r="F606" s="613"/>
      <c r="G606" s="613"/>
      <c r="H606" s="613"/>
      <c r="I606" s="613"/>
      <c r="J606" s="613"/>
      <c r="K606" s="613"/>
      <c r="L606" s="613"/>
      <c r="M606" s="613"/>
      <c r="N606" s="613"/>
      <c r="O606" s="613"/>
      <c r="P606" s="613"/>
      <c r="Q606" s="613"/>
      <c r="R606" s="613"/>
      <c r="S606" s="613"/>
      <c r="T606" s="613"/>
      <c r="U606" s="613"/>
      <c r="V606" s="613"/>
      <c r="W606" s="613"/>
      <c r="X606" s="613"/>
      <c r="Y606" s="613"/>
      <c r="Z606" s="613"/>
    </row>
    <row r="607" ht="15.75" customHeight="1">
      <c r="A607" s="613"/>
      <c r="B607" s="613"/>
      <c r="C607" s="613"/>
      <c r="D607" s="613"/>
      <c r="E607" s="613"/>
      <c r="F607" s="613"/>
      <c r="G607" s="613"/>
      <c r="H607" s="613"/>
      <c r="I607" s="613"/>
      <c r="J607" s="613"/>
      <c r="K607" s="613"/>
      <c r="L607" s="613"/>
      <c r="M607" s="613"/>
      <c r="N607" s="613"/>
      <c r="O607" s="613"/>
      <c r="P607" s="613"/>
      <c r="Q607" s="613"/>
      <c r="R607" s="613"/>
      <c r="S607" s="613"/>
      <c r="T607" s="613"/>
      <c r="U607" s="613"/>
      <c r="V607" s="613"/>
      <c r="W607" s="613"/>
      <c r="X607" s="613"/>
      <c r="Y607" s="613"/>
      <c r="Z607" s="613"/>
    </row>
    <row r="608" ht="15.75" customHeight="1">
      <c r="A608" s="613"/>
      <c r="B608" s="613"/>
      <c r="C608" s="613"/>
      <c r="D608" s="613"/>
      <c r="E608" s="613"/>
      <c r="F608" s="613"/>
      <c r="G608" s="613"/>
      <c r="H608" s="613"/>
      <c r="I608" s="613"/>
      <c r="J608" s="613"/>
      <c r="K608" s="613"/>
      <c r="L608" s="613"/>
      <c r="M608" s="613"/>
      <c r="N608" s="613"/>
      <c r="O608" s="613"/>
      <c r="P608" s="613"/>
      <c r="Q608" s="613"/>
      <c r="R608" s="613"/>
      <c r="S608" s="613"/>
      <c r="T608" s="613"/>
      <c r="U608" s="613"/>
      <c r="V608" s="613"/>
      <c r="W608" s="613"/>
      <c r="X608" s="613"/>
      <c r="Y608" s="613"/>
      <c r="Z608" s="613"/>
    </row>
    <row r="609" ht="15.75" customHeight="1">
      <c r="A609" s="613"/>
      <c r="B609" s="613"/>
      <c r="C609" s="613"/>
      <c r="D609" s="613"/>
      <c r="E609" s="613"/>
      <c r="F609" s="613"/>
      <c r="G609" s="613"/>
      <c r="H609" s="613"/>
      <c r="I609" s="613"/>
      <c r="J609" s="613"/>
      <c r="K609" s="613"/>
      <c r="L609" s="613"/>
      <c r="M609" s="613"/>
      <c r="N609" s="613"/>
      <c r="O609" s="613"/>
      <c r="P609" s="613"/>
      <c r="Q609" s="613"/>
      <c r="R609" s="613"/>
      <c r="S609" s="613"/>
      <c r="T609" s="613"/>
      <c r="U609" s="613"/>
      <c r="V609" s="613"/>
      <c r="W609" s="613"/>
      <c r="X609" s="613"/>
      <c r="Y609" s="613"/>
      <c r="Z609" s="613"/>
    </row>
    <row r="610" ht="15.75" customHeight="1">
      <c r="A610" s="613"/>
      <c r="B610" s="613"/>
      <c r="C610" s="613"/>
      <c r="D610" s="613"/>
      <c r="E610" s="613"/>
      <c r="F610" s="613"/>
      <c r="G610" s="613"/>
      <c r="H610" s="613"/>
      <c r="I610" s="613"/>
      <c r="J610" s="613"/>
      <c r="K610" s="613"/>
      <c r="L610" s="613"/>
      <c r="M610" s="613"/>
      <c r="N610" s="613"/>
      <c r="O610" s="613"/>
      <c r="P610" s="613"/>
      <c r="Q610" s="613"/>
      <c r="R610" s="613"/>
      <c r="S610" s="613"/>
      <c r="T610" s="613"/>
      <c r="U610" s="613"/>
      <c r="V610" s="613"/>
      <c r="W610" s="613"/>
      <c r="X610" s="613"/>
      <c r="Y610" s="613"/>
      <c r="Z610" s="613"/>
    </row>
    <row r="611" ht="15.75" customHeight="1">
      <c r="A611" s="613"/>
      <c r="B611" s="613"/>
      <c r="C611" s="613"/>
      <c r="D611" s="613"/>
      <c r="E611" s="613"/>
      <c r="F611" s="613"/>
      <c r="G611" s="613"/>
      <c r="H611" s="613"/>
      <c r="I611" s="613"/>
      <c r="J611" s="613"/>
      <c r="K611" s="613"/>
      <c r="L611" s="613"/>
      <c r="M611" s="613"/>
      <c r="N611" s="613"/>
      <c r="O611" s="613"/>
      <c r="P611" s="613"/>
      <c r="Q611" s="613"/>
      <c r="R611" s="613"/>
      <c r="S611" s="613"/>
      <c r="T611" s="613"/>
      <c r="U611" s="613"/>
      <c r="V611" s="613"/>
      <c r="W611" s="613"/>
      <c r="X611" s="613"/>
      <c r="Y611" s="613"/>
      <c r="Z611" s="613"/>
    </row>
    <row r="612" ht="15.75" customHeight="1">
      <c r="A612" s="613"/>
      <c r="B612" s="613"/>
      <c r="C612" s="613"/>
      <c r="D612" s="613"/>
      <c r="E612" s="613"/>
      <c r="F612" s="613"/>
      <c r="G612" s="613"/>
      <c r="H612" s="613"/>
      <c r="I612" s="613"/>
      <c r="J612" s="613"/>
      <c r="K612" s="613"/>
      <c r="L612" s="613"/>
      <c r="M612" s="613"/>
      <c r="N612" s="613"/>
      <c r="O612" s="613"/>
      <c r="P612" s="613"/>
      <c r="Q612" s="613"/>
      <c r="R612" s="613"/>
      <c r="S612" s="613"/>
      <c r="T612" s="613"/>
      <c r="U612" s="613"/>
      <c r="V612" s="613"/>
      <c r="W612" s="613"/>
      <c r="X612" s="613"/>
      <c r="Y612" s="613"/>
      <c r="Z612" s="613"/>
    </row>
    <row r="613" ht="15.75" customHeight="1">
      <c r="A613" s="613"/>
      <c r="B613" s="613"/>
      <c r="C613" s="613"/>
      <c r="D613" s="613"/>
      <c r="E613" s="613"/>
      <c r="F613" s="613"/>
      <c r="G613" s="613"/>
      <c r="H613" s="613"/>
      <c r="I613" s="613"/>
      <c r="J613" s="613"/>
      <c r="K613" s="613"/>
      <c r="L613" s="613"/>
      <c r="M613" s="613"/>
      <c r="N613" s="613"/>
      <c r="O613" s="613"/>
      <c r="P613" s="613"/>
      <c r="Q613" s="613"/>
      <c r="R613" s="613"/>
      <c r="S613" s="613"/>
      <c r="T613" s="613"/>
      <c r="U613" s="613"/>
      <c r="V613" s="613"/>
      <c r="W613" s="613"/>
      <c r="X613" s="613"/>
      <c r="Y613" s="613"/>
      <c r="Z613" s="613"/>
    </row>
    <row r="614" ht="15.75" customHeight="1">
      <c r="A614" s="613"/>
      <c r="B614" s="613"/>
      <c r="C614" s="613"/>
      <c r="D614" s="613"/>
      <c r="E614" s="613"/>
      <c r="F614" s="613"/>
      <c r="G614" s="613"/>
      <c r="H614" s="613"/>
      <c r="I614" s="613"/>
      <c r="J614" s="613"/>
      <c r="K614" s="613"/>
      <c r="L614" s="613"/>
      <c r="M614" s="613"/>
      <c r="N614" s="613"/>
      <c r="O614" s="613"/>
      <c r="P614" s="613"/>
      <c r="Q614" s="613"/>
      <c r="R614" s="613"/>
      <c r="S614" s="613"/>
      <c r="T614" s="613"/>
      <c r="U614" s="613"/>
      <c r="V614" s="613"/>
      <c r="W614" s="613"/>
      <c r="X614" s="613"/>
      <c r="Y614" s="613"/>
      <c r="Z614" s="613"/>
    </row>
    <row r="615" ht="15.75" customHeight="1">
      <c r="A615" s="613"/>
      <c r="B615" s="613"/>
      <c r="C615" s="613"/>
      <c r="D615" s="613"/>
      <c r="E615" s="613"/>
      <c r="F615" s="613"/>
      <c r="G615" s="613"/>
      <c r="H615" s="613"/>
      <c r="I615" s="613"/>
      <c r="J615" s="613"/>
      <c r="K615" s="613"/>
      <c r="L615" s="613"/>
      <c r="M615" s="613"/>
      <c r="N615" s="613"/>
      <c r="O615" s="613"/>
      <c r="P615" s="613"/>
      <c r="Q615" s="613"/>
      <c r="R615" s="613"/>
      <c r="S615" s="613"/>
      <c r="T615" s="613"/>
      <c r="U615" s="613"/>
      <c r="V615" s="613"/>
      <c r="W615" s="613"/>
      <c r="X615" s="613"/>
      <c r="Y615" s="613"/>
      <c r="Z615" s="613"/>
    </row>
    <row r="616" ht="15.75" customHeight="1">
      <c r="A616" s="613"/>
      <c r="B616" s="613"/>
      <c r="C616" s="613"/>
      <c r="D616" s="613"/>
      <c r="E616" s="613"/>
      <c r="F616" s="613"/>
      <c r="G616" s="613"/>
      <c r="H616" s="613"/>
      <c r="I616" s="613"/>
      <c r="J616" s="613"/>
      <c r="K616" s="613"/>
      <c r="L616" s="613"/>
      <c r="M616" s="613"/>
      <c r="N616" s="613"/>
      <c r="O616" s="613"/>
      <c r="P616" s="613"/>
      <c r="Q616" s="613"/>
      <c r="R616" s="613"/>
      <c r="S616" s="613"/>
      <c r="T616" s="613"/>
      <c r="U616" s="613"/>
      <c r="V616" s="613"/>
      <c r="W616" s="613"/>
      <c r="X616" s="613"/>
      <c r="Y616" s="613"/>
      <c r="Z616" s="613"/>
    </row>
    <row r="617" ht="15.75" customHeight="1">
      <c r="A617" s="613"/>
      <c r="B617" s="613"/>
      <c r="C617" s="613"/>
      <c r="D617" s="613"/>
      <c r="E617" s="613"/>
      <c r="F617" s="613"/>
      <c r="G617" s="613"/>
      <c r="H617" s="613"/>
      <c r="I617" s="613"/>
      <c r="J617" s="613"/>
      <c r="K617" s="613"/>
      <c r="L617" s="613"/>
      <c r="M617" s="613"/>
      <c r="N617" s="613"/>
      <c r="O617" s="613"/>
      <c r="P617" s="613"/>
      <c r="Q617" s="613"/>
      <c r="R617" s="613"/>
      <c r="S617" s="613"/>
      <c r="T617" s="613"/>
      <c r="U617" s="613"/>
      <c r="V617" s="613"/>
      <c r="W617" s="613"/>
      <c r="X617" s="613"/>
      <c r="Y617" s="613"/>
      <c r="Z617" s="613"/>
    </row>
    <row r="618" ht="15.75" customHeight="1">
      <c r="A618" s="613"/>
      <c r="B618" s="613"/>
      <c r="C618" s="613"/>
      <c r="D618" s="613"/>
      <c r="E618" s="613"/>
      <c r="F618" s="613"/>
      <c r="G618" s="613"/>
      <c r="H618" s="613"/>
      <c r="I618" s="613"/>
      <c r="J618" s="613"/>
      <c r="K618" s="613"/>
      <c r="L618" s="613"/>
      <c r="M618" s="613"/>
      <c r="N618" s="613"/>
      <c r="O618" s="613"/>
      <c r="P618" s="613"/>
      <c r="Q618" s="613"/>
      <c r="R618" s="613"/>
      <c r="S618" s="613"/>
      <c r="T618" s="613"/>
      <c r="U618" s="613"/>
      <c r="V618" s="613"/>
      <c r="W618" s="613"/>
      <c r="X618" s="613"/>
      <c r="Y618" s="613"/>
      <c r="Z618" s="613"/>
    </row>
    <row r="619" ht="15.75" customHeight="1">
      <c r="A619" s="613"/>
      <c r="B619" s="613"/>
      <c r="C619" s="613"/>
      <c r="D619" s="613"/>
      <c r="E619" s="613"/>
      <c r="F619" s="613"/>
      <c r="G619" s="613"/>
      <c r="H619" s="613"/>
      <c r="I619" s="613"/>
      <c r="J619" s="613"/>
      <c r="K619" s="613"/>
      <c r="L619" s="613"/>
      <c r="M619" s="613"/>
      <c r="N619" s="613"/>
      <c r="O619" s="613"/>
      <c r="P619" s="613"/>
      <c r="Q619" s="613"/>
      <c r="R619" s="613"/>
      <c r="S619" s="613"/>
      <c r="T619" s="613"/>
      <c r="U619" s="613"/>
      <c r="V619" s="613"/>
      <c r="W619" s="613"/>
      <c r="X619" s="613"/>
      <c r="Y619" s="613"/>
      <c r="Z619" s="613"/>
    </row>
    <row r="620" ht="15.75" customHeight="1">
      <c r="A620" s="613"/>
      <c r="B620" s="613"/>
      <c r="C620" s="613"/>
      <c r="D620" s="613"/>
      <c r="E620" s="613"/>
      <c r="F620" s="613"/>
      <c r="G620" s="613"/>
      <c r="H620" s="613"/>
      <c r="I620" s="613"/>
      <c r="J620" s="613"/>
      <c r="K620" s="613"/>
      <c r="L620" s="613"/>
      <c r="M620" s="613"/>
      <c r="N620" s="613"/>
      <c r="O620" s="613"/>
      <c r="P620" s="613"/>
      <c r="Q620" s="613"/>
      <c r="R620" s="613"/>
      <c r="S620" s="613"/>
      <c r="T620" s="613"/>
      <c r="U620" s="613"/>
      <c r="V620" s="613"/>
      <c r="W620" s="613"/>
      <c r="X620" s="613"/>
      <c r="Y620" s="613"/>
      <c r="Z620" s="613"/>
    </row>
    <row r="621" ht="15.75" customHeight="1">
      <c r="A621" s="613"/>
      <c r="B621" s="613"/>
      <c r="C621" s="613"/>
      <c r="D621" s="613"/>
      <c r="E621" s="613"/>
      <c r="F621" s="613"/>
      <c r="G621" s="613"/>
      <c r="H621" s="613"/>
      <c r="I621" s="613"/>
      <c r="J621" s="613"/>
      <c r="K621" s="613"/>
      <c r="L621" s="613"/>
      <c r="M621" s="613"/>
      <c r="N621" s="613"/>
      <c r="O621" s="613"/>
      <c r="P621" s="613"/>
      <c r="Q621" s="613"/>
      <c r="R621" s="613"/>
      <c r="S621" s="613"/>
      <c r="T621" s="613"/>
      <c r="U621" s="613"/>
      <c r="V621" s="613"/>
      <c r="W621" s="613"/>
      <c r="X621" s="613"/>
      <c r="Y621" s="613"/>
      <c r="Z621" s="613"/>
    </row>
    <row r="622" ht="15.75" customHeight="1">
      <c r="A622" s="613"/>
      <c r="B622" s="613"/>
      <c r="C622" s="613"/>
      <c r="D622" s="613"/>
      <c r="E622" s="613"/>
      <c r="F622" s="613"/>
      <c r="G622" s="613"/>
      <c r="H622" s="613"/>
      <c r="I622" s="613"/>
      <c r="J622" s="613"/>
      <c r="K622" s="613"/>
      <c r="L622" s="613"/>
      <c r="M622" s="613"/>
      <c r="N622" s="613"/>
      <c r="O622" s="613"/>
      <c r="P622" s="613"/>
      <c r="Q622" s="613"/>
      <c r="R622" s="613"/>
      <c r="S622" s="613"/>
      <c r="T622" s="613"/>
      <c r="U622" s="613"/>
      <c r="V622" s="613"/>
      <c r="W622" s="613"/>
      <c r="X622" s="613"/>
      <c r="Y622" s="613"/>
      <c r="Z622" s="613"/>
    </row>
    <row r="623" ht="15.75" customHeight="1">
      <c r="A623" s="613"/>
      <c r="B623" s="613"/>
      <c r="C623" s="613"/>
      <c r="D623" s="613"/>
      <c r="E623" s="613"/>
      <c r="F623" s="613"/>
      <c r="G623" s="613"/>
      <c r="H623" s="613"/>
      <c r="I623" s="613"/>
      <c r="J623" s="613"/>
      <c r="K623" s="613"/>
      <c r="L623" s="613"/>
      <c r="M623" s="613"/>
      <c r="N623" s="613"/>
      <c r="O623" s="613"/>
      <c r="P623" s="613"/>
      <c r="Q623" s="613"/>
      <c r="R623" s="613"/>
      <c r="S623" s="613"/>
      <c r="T623" s="613"/>
      <c r="U623" s="613"/>
      <c r="V623" s="613"/>
      <c r="W623" s="613"/>
      <c r="X623" s="613"/>
      <c r="Y623" s="613"/>
      <c r="Z623" s="613"/>
    </row>
    <row r="624" ht="15.75" customHeight="1">
      <c r="A624" s="613"/>
      <c r="B624" s="613"/>
      <c r="C624" s="613"/>
      <c r="D624" s="613"/>
      <c r="E624" s="613"/>
      <c r="F624" s="613"/>
      <c r="G624" s="613"/>
      <c r="H624" s="613"/>
      <c r="I624" s="613"/>
      <c r="J624" s="613"/>
      <c r="K624" s="613"/>
      <c r="L624" s="613"/>
      <c r="M624" s="613"/>
      <c r="N624" s="613"/>
      <c r="O624" s="613"/>
      <c r="P624" s="613"/>
      <c r="Q624" s="613"/>
      <c r="R624" s="613"/>
      <c r="S624" s="613"/>
      <c r="T624" s="613"/>
      <c r="U624" s="613"/>
      <c r="V624" s="613"/>
      <c r="W624" s="613"/>
      <c r="X624" s="613"/>
      <c r="Y624" s="613"/>
      <c r="Z624" s="613"/>
    </row>
    <row r="625" ht="15.75" customHeight="1">
      <c r="A625" s="613"/>
      <c r="B625" s="613"/>
      <c r="C625" s="613"/>
      <c r="D625" s="613"/>
      <c r="E625" s="613"/>
      <c r="F625" s="613"/>
      <c r="G625" s="613"/>
      <c r="H625" s="613"/>
      <c r="I625" s="613"/>
      <c r="J625" s="613"/>
      <c r="K625" s="613"/>
      <c r="L625" s="613"/>
      <c r="M625" s="613"/>
      <c r="N625" s="613"/>
      <c r="O625" s="613"/>
      <c r="P625" s="613"/>
      <c r="Q625" s="613"/>
      <c r="R625" s="613"/>
      <c r="S625" s="613"/>
      <c r="T625" s="613"/>
      <c r="U625" s="613"/>
      <c r="V625" s="613"/>
      <c r="W625" s="613"/>
      <c r="X625" s="613"/>
      <c r="Y625" s="613"/>
      <c r="Z625" s="613"/>
    </row>
    <row r="626" ht="15.75" customHeight="1">
      <c r="A626" s="613"/>
      <c r="B626" s="613"/>
      <c r="C626" s="613"/>
      <c r="D626" s="613"/>
      <c r="E626" s="613"/>
      <c r="F626" s="613"/>
      <c r="G626" s="613"/>
      <c r="H626" s="613"/>
      <c r="I626" s="613"/>
      <c r="J626" s="613"/>
      <c r="K626" s="613"/>
      <c r="L626" s="613"/>
      <c r="M626" s="613"/>
      <c r="N626" s="613"/>
      <c r="O626" s="613"/>
      <c r="P626" s="613"/>
      <c r="Q626" s="613"/>
      <c r="R626" s="613"/>
      <c r="S626" s="613"/>
      <c r="T626" s="613"/>
      <c r="U626" s="613"/>
      <c r="V626" s="613"/>
      <c r="W626" s="613"/>
      <c r="X626" s="613"/>
      <c r="Y626" s="613"/>
      <c r="Z626" s="613"/>
    </row>
    <row r="627" ht="15.75" customHeight="1">
      <c r="A627" s="613"/>
      <c r="B627" s="613"/>
      <c r="C627" s="613"/>
      <c r="D627" s="613"/>
      <c r="E627" s="613"/>
      <c r="F627" s="613"/>
      <c r="G627" s="613"/>
      <c r="H627" s="613"/>
      <c r="I627" s="613"/>
      <c r="J627" s="613"/>
      <c r="K627" s="613"/>
      <c r="L627" s="613"/>
      <c r="M627" s="613"/>
      <c r="N627" s="613"/>
      <c r="O627" s="613"/>
      <c r="P627" s="613"/>
      <c r="Q627" s="613"/>
      <c r="R627" s="613"/>
      <c r="S627" s="613"/>
      <c r="T627" s="613"/>
      <c r="U627" s="613"/>
      <c r="V627" s="613"/>
      <c r="W627" s="613"/>
      <c r="X627" s="613"/>
      <c r="Y627" s="613"/>
      <c r="Z627" s="613"/>
    </row>
    <row r="628" ht="15.75" customHeight="1">
      <c r="A628" s="613"/>
      <c r="B628" s="613"/>
      <c r="C628" s="613"/>
      <c r="D628" s="613"/>
      <c r="E628" s="613"/>
      <c r="F628" s="613"/>
      <c r="G628" s="613"/>
      <c r="H628" s="613"/>
      <c r="I628" s="613"/>
      <c r="J628" s="613"/>
      <c r="K628" s="613"/>
      <c r="L628" s="613"/>
      <c r="M628" s="613"/>
      <c r="N628" s="613"/>
      <c r="O628" s="613"/>
      <c r="P628" s="613"/>
      <c r="Q628" s="613"/>
      <c r="R628" s="613"/>
      <c r="S628" s="613"/>
      <c r="T628" s="613"/>
      <c r="U628" s="613"/>
      <c r="V628" s="613"/>
      <c r="W628" s="613"/>
      <c r="X628" s="613"/>
      <c r="Y628" s="613"/>
      <c r="Z628" s="613"/>
    </row>
    <row r="629" ht="15.75" customHeight="1">
      <c r="A629" s="613"/>
      <c r="B629" s="613"/>
      <c r="C629" s="613"/>
      <c r="D629" s="613"/>
      <c r="E629" s="613"/>
      <c r="F629" s="613"/>
      <c r="G629" s="613"/>
      <c r="H629" s="613"/>
      <c r="I629" s="613"/>
      <c r="J629" s="613"/>
      <c r="K629" s="613"/>
      <c r="L629" s="613"/>
      <c r="M629" s="613"/>
      <c r="N629" s="613"/>
      <c r="O629" s="613"/>
      <c r="P629" s="613"/>
      <c r="Q629" s="613"/>
      <c r="R629" s="613"/>
      <c r="S629" s="613"/>
      <c r="T629" s="613"/>
      <c r="U629" s="613"/>
      <c r="V629" s="613"/>
      <c r="W629" s="613"/>
      <c r="X629" s="613"/>
      <c r="Y629" s="613"/>
      <c r="Z629" s="613"/>
    </row>
    <row r="630" ht="15.75" customHeight="1">
      <c r="A630" s="613"/>
      <c r="B630" s="613"/>
      <c r="C630" s="613"/>
      <c r="D630" s="613"/>
      <c r="E630" s="613"/>
      <c r="F630" s="613"/>
      <c r="G630" s="613"/>
      <c r="H630" s="613"/>
      <c r="I630" s="613"/>
      <c r="J630" s="613"/>
      <c r="K630" s="613"/>
      <c r="L630" s="613"/>
      <c r="M630" s="613"/>
      <c r="N630" s="613"/>
      <c r="O630" s="613"/>
      <c r="P630" s="613"/>
      <c r="Q630" s="613"/>
      <c r="R630" s="613"/>
      <c r="S630" s="613"/>
      <c r="T630" s="613"/>
      <c r="U630" s="613"/>
      <c r="V630" s="613"/>
      <c r="W630" s="613"/>
      <c r="X630" s="613"/>
      <c r="Y630" s="613"/>
      <c r="Z630" s="613"/>
    </row>
    <row r="631" ht="15.75" customHeight="1">
      <c r="A631" s="613"/>
      <c r="B631" s="613"/>
      <c r="C631" s="613"/>
      <c r="D631" s="613"/>
      <c r="E631" s="613"/>
      <c r="F631" s="613"/>
      <c r="G631" s="613"/>
      <c r="H631" s="613"/>
      <c r="I631" s="613"/>
      <c r="J631" s="613"/>
      <c r="K631" s="613"/>
      <c r="L631" s="613"/>
      <c r="M631" s="613"/>
      <c r="N631" s="613"/>
      <c r="O631" s="613"/>
      <c r="P631" s="613"/>
      <c r="Q631" s="613"/>
      <c r="R631" s="613"/>
      <c r="S631" s="613"/>
      <c r="T631" s="613"/>
      <c r="U631" s="613"/>
      <c r="V631" s="613"/>
      <c r="W631" s="613"/>
      <c r="X631" s="613"/>
      <c r="Y631" s="613"/>
      <c r="Z631" s="613"/>
    </row>
    <row r="632" ht="15.75" customHeight="1">
      <c r="A632" s="613"/>
      <c r="B632" s="613"/>
      <c r="C632" s="613"/>
      <c r="D632" s="613"/>
      <c r="E632" s="613"/>
      <c r="F632" s="613"/>
      <c r="G632" s="613"/>
      <c r="H632" s="613"/>
      <c r="I632" s="613"/>
      <c r="J632" s="613"/>
      <c r="K632" s="613"/>
      <c r="L632" s="613"/>
      <c r="M632" s="613"/>
      <c r="N632" s="613"/>
      <c r="O632" s="613"/>
      <c r="P632" s="613"/>
      <c r="Q632" s="613"/>
      <c r="R632" s="613"/>
      <c r="S632" s="613"/>
      <c r="T632" s="613"/>
      <c r="U632" s="613"/>
      <c r="V632" s="613"/>
      <c r="W632" s="613"/>
      <c r="X632" s="613"/>
      <c r="Y632" s="613"/>
      <c r="Z632" s="613"/>
    </row>
    <row r="633" ht="15.75" customHeight="1">
      <c r="A633" s="613"/>
      <c r="B633" s="613"/>
      <c r="C633" s="613"/>
      <c r="D633" s="613"/>
      <c r="E633" s="613"/>
      <c r="F633" s="613"/>
      <c r="G633" s="613"/>
      <c r="H633" s="613"/>
      <c r="I633" s="613"/>
      <c r="J633" s="613"/>
      <c r="K633" s="613"/>
      <c r="L633" s="613"/>
      <c r="M633" s="613"/>
      <c r="N633" s="613"/>
      <c r="O633" s="613"/>
      <c r="P633" s="613"/>
      <c r="Q633" s="613"/>
      <c r="R633" s="613"/>
      <c r="S633" s="613"/>
      <c r="T633" s="613"/>
      <c r="U633" s="613"/>
      <c r="V633" s="613"/>
      <c r="W633" s="613"/>
      <c r="X633" s="613"/>
      <c r="Y633" s="613"/>
      <c r="Z633" s="613"/>
    </row>
    <row r="634" ht="15.75" customHeight="1">
      <c r="A634" s="613"/>
      <c r="B634" s="613"/>
      <c r="C634" s="613"/>
      <c r="D634" s="613"/>
      <c r="E634" s="613"/>
      <c r="F634" s="613"/>
      <c r="G634" s="613"/>
      <c r="H634" s="613"/>
      <c r="I634" s="613"/>
      <c r="J634" s="613"/>
      <c r="K634" s="613"/>
      <c r="L634" s="613"/>
      <c r="M634" s="613"/>
      <c r="N634" s="613"/>
      <c r="O634" s="613"/>
      <c r="P634" s="613"/>
      <c r="Q634" s="613"/>
      <c r="R634" s="613"/>
      <c r="S634" s="613"/>
      <c r="T634" s="613"/>
      <c r="U634" s="613"/>
      <c r="V634" s="613"/>
      <c r="W634" s="613"/>
      <c r="X634" s="613"/>
      <c r="Y634" s="613"/>
      <c r="Z634" s="613"/>
    </row>
    <row r="635" ht="15.75" customHeight="1">
      <c r="A635" s="613"/>
      <c r="B635" s="613"/>
      <c r="C635" s="613"/>
      <c r="D635" s="613"/>
      <c r="E635" s="613"/>
      <c r="F635" s="613"/>
      <c r="G635" s="613"/>
      <c r="H635" s="613"/>
      <c r="I635" s="613"/>
      <c r="J635" s="613"/>
      <c r="K635" s="613"/>
      <c r="L635" s="613"/>
      <c r="M635" s="613"/>
      <c r="N635" s="613"/>
      <c r="O635" s="613"/>
      <c r="P635" s="613"/>
      <c r="Q635" s="613"/>
      <c r="R635" s="613"/>
      <c r="S635" s="613"/>
      <c r="T635" s="613"/>
      <c r="U635" s="613"/>
      <c r="V635" s="613"/>
      <c r="W635" s="613"/>
      <c r="X635" s="613"/>
      <c r="Y635" s="613"/>
      <c r="Z635" s="613"/>
    </row>
    <row r="636" ht="15.75" customHeight="1">
      <c r="A636" s="613"/>
      <c r="B636" s="613"/>
      <c r="C636" s="613"/>
      <c r="D636" s="613"/>
      <c r="E636" s="613"/>
      <c r="F636" s="613"/>
      <c r="G636" s="613"/>
      <c r="H636" s="613"/>
      <c r="I636" s="613"/>
      <c r="J636" s="613"/>
      <c r="K636" s="613"/>
      <c r="L636" s="613"/>
      <c r="M636" s="613"/>
      <c r="N636" s="613"/>
      <c r="O636" s="613"/>
      <c r="P636" s="613"/>
      <c r="Q636" s="613"/>
      <c r="R636" s="613"/>
      <c r="S636" s="613"/>
      <c r="T636" s="613"/>
      <c r="U636" s="613"/>
      <c r="V636" s="613"/>
      <c r="W636" s="613"/>
      <c r="X636" s="613"/>
      <c r="Y636" s="613"/>
      <c r="Z636" s="613"/>
    </row>
    <row r="637" ht="15.75" customHeight="1">
      <c r="A637" s="613"/>
      <c r="B637" s="613"/>
      <c r="C637" s="613"/>
      <c r="D637" s="613"/>
      <c r="E637" s="613"/>
      <c r="F637" s="613"/>
      <c r="G637" s="613"/>
      <c r="H637" s="613"/>
      <c r="I637" s="613"/>
      <c r="J637" s="613"/>
      <c r="K637" s="613"/>
      <c r="L637" s="613"/>
      <c r="M637" s="613"/>
      <c r="N637" s="613"/>
      <c r="O637" s="613"/>
      <c r="P637" s="613"/>
      <c r="Q637" s="613"/>
      <c r="R637" s="613"/>
      <c r="S637" s="613"/>
      <c r="T637" s="613"/>
      <c r="U637" s="613"/>
      <c r="V637" s="613"/>
      <c r="W637" s="613"/>
      <c r="X637" s="613"/>
      <c r="Y637" s="613"/>
      <c r="Z637" s="613"/>
    </row>
    <row r="638" ht="15.75" customHeight="1">
      <c r="A638" s="613"/>
      <c r="B638" s="613"/>
      <c r="C638" s="613"/>
      <c r="D638" s="613"/>
      <c r="E638" s="613"/>
      <c r="F638" s="613"/>
      <c r="G638" s="613"/>
      <c r="H638" s="613"/>
      <c r="I638" s="613"/>
      <c r="J638" s="613"/>
      <c r="K638" s="613"/>
      <c r="L638" s="613"/>
      <c r="M638" s="613"/>
      <c r="N638" s="613"/>
      <c r="O638" s="613"/>
      <c r="P638" s="613"/>
      <c r="Q638" s="613"/>
      <c r="R638" s="613"/>
      <c r="S638" s="613"/>
      <c r="T638" s="613"/>
      <c r="U638" s="613"/>
      <c r="V638" s="613"/>
      <c r="W638" s="613"/>
      <c r="X638" s="613"/>
      <c r="Y638" s="613"/>
      <c r="Z638" s="613"/>
    </row>
    <row r="639" ht="15.75" customHeight="1">
      <c r="A639" s="613"/>
      <c r="B639" s="613"/>
      <c r="C639" s="613"/>
      <c r="D639" s="613"/>
      <c r="E639" s="613"/>
      <c r="F639" s="613"/>
      <c r="G639" s="613"/>
      <c r="H639" s="613"/>
      <c r="I639" s="613"/>
      <c r="J639" s="613"/>
      <c r="K639" s="613"/>
      <c r="L639" s="613"/>
      <c r="M639" s="613"/>
      <c r="N639" s="613"/>
      <c r="O639" s="613"/>
      <c r="P639" s="613"/>
      <c r="Q639" s="613"/>
      <c r="R639" s="613"/>
      <c r="S639" s="613"/>
      <c r="T639" s="613"/>
      <c r="U639" s="613"/>
      <c r="V639" s="613"/>
      <c r="W639" s="613"/>
      <c r="X639" s="613"/>
      <c r="Y639" s="613"/>
      <c r="Z639" s="613"/>
    </row>
    <row r="640" ht="15.75" customHeight="1">
      <c r="A640" s="613"/>
      <c r="B640" s="613"/>
      <c r="C640" s="613"/>
      <c r="D640" s="613"/>
      <c r="E640" s="613"/>
      <c r="F640" s="613"/>
      <c r="G640" s="613"/>
      <c r="H640" s="613"/>
      <c r="I640" s="613"/>
      <c r="J640" s="613"/>
      <c r="K640" s="613"/>
      <c r="L640" s="613"/>
      <c r="M640" s="613"/>
      <c r="N640" s="613"/>
      <c r="O640" s="613"/>
      <c r="P640" s="613"/>
      <c r="Q640" s="613"/>
      <c r="R640" s="613"/>
      <c r="S640" s="613"/>
      <c r="T640" s="613"/>
      <c r="U640" s="613"/>
      <c r="V640" s="613"/>
      <c r="W640" s="613"/>
      <c r="X640" s="613"/>
      <c r="Y640" s="613"/>
      <c r="Z640" s="613"/>
    </row>
    <row r="641" ht="15.75" customHeight="1">
      <c r="A641" s="613"/>
      <c r="B641" s="613"/>
      <c r="C641" s="613"/>
      <c r="D641" s="613"/>
      <c r="E641" s="613"/>
      <c r="F641" s="613"/>
      <c r="G641" s="613"/>
      <c r="H641" s="613"/>
      <c r="I641" s="613"/>
      <c r="J641" s="613"/>
      <c r="K641" s="613"/>
      <c r="L641" s="613"/>
      <c r="M641" s="613"/>
      <c r="N641" s="613"/>
      <c r="O641" s="613"/>
      <c r="P641" s="613"/>
      <c r="Q641" s="613"/>
      <c r="R641" s="613"/>
      <c r="S641" s="613"/>
      <c r="T641" s="613"/>
      <c r="U641" s="613"/>
      <c r="V641" s="613"/>
      <c r="W641" s="613"/>
      <c r="X641" s="613"/>
      <c r="Y641" s="613"/>
      <c r="Z641" s="613"/>
    </row>
    <row r="642" ht="15.75" customHeight="1">
      <c r="A642" s="613"/>
      <c r="B642" s="613"/>
      <c r="C642" s="613"/>
      <c r="D642" s="613"/>
      <c r="E642" s="613"/>
      <c r="F642" s="613"/>
      <c r="G642" s="613"/>
      <c r="H642" s="613"/>
      <c r="I642" s="613"/>
      <c r="J642" s="613"/>
      <c r="K642" s="613"/>
      <c r="L642" s="613"/>
      <c r="M642" s="613"/>
      <c r="N642" s="613"/>
      <c r="O642" s="613"/>
      <c r="P642" s="613"/>
      <c r="Q642" s="613"/>
      <c r="R642" s="613"/>
      <c r="S642" s="613"/>
      <c r="T642" s="613"/>
      <c r="U642" s="613"/>
      <c r="V642" s="613"/>
      <c r="W642" s="613"/>
      <c r="X642" s="613"/>
      <c r="Y642" s="613"/>
      <c r="Z642" s="613"/>
    </row>
    <row r="643" ht="15.75" customHeight="1">
      <c r="A643" s="613"/>
      <c r="B643" s="613"/>
      <c r="C643" s="613"/>
      <c r="D643" s="613"/>
      <c r="E643" s="613"/>
      <c r="F643" s="613"/>
      <c r="G643" s="613"/>
      <c r="H643" s="613"/>
      <c r="I643" s="613"/>
      <c r="J643" s="613"/>
      <c r="K643" s="613"/>
      <c r="L643" s="613"/>
      <c r="M643" s="613"/>
      <c r="N643" s="613"/>
      <c r="O643" s="613"/>
      <c r="P643" s="613"/>
      <c r="Q643" s="613"/>
      <c r="R643" s="613"/>
      <c r="S643" s="613"/>
      <c r="T643" s="613"/>
      <c r="U643" s="613"/>
      <c r="V643" s="613"/>
      <c r="W643" s="613"/>
      <c r="X643" s="613"/>
      <c r="Y643" s="613"/>
      <c r="Z643" s="613"/>
    </row>
    <row r="644" ht="15.75" customHeight="1">
      <c r="A644" s="613"/>
      <c r="B644" s="613"/>
      <c r="C644" s="613"/>
      <c r="D644" s="613"/>
      <c r="E644" s="613"/>
      <c r="F644" s="613"/>
      <c r="G644" s="613"/>
      <c r="H644" s="613"/>
      <c r="I644" s="613"/>
      <c r="J644" s="613"/>
      <c r="K644" s="613"/>
      <c r="L644" s="613"/>
      <c r="M644" s="613"/>
      <c r="N644" s="613"/>
      <c r="O644" s="613"/>
      <c r="P644" s="613"/>
      <c r="Q644" s="613"/>
      <c r="R644" s="613"/>
      <c r="S644" s="613"/>
      <c r="T644" s="613"/>
      <c r="U644" s="613"/>
      <c r="V644" s="613"/>
      <c r="W644" s="613"/>
      <c r="X644" s="613"/>
      <c r="Y644" s="613"/>
      <c r="Z644" s="613"/>
    </row>
    <row r="645" ht="15.75" customHeight="1">
      <c r="A645" s="613"/>
      <c r="B645" s="613"/>
      <c r="C645" s="613"/>
      <c r="D645" s="613"/>
      <c r="E645" s="613"/>
      <c r="F645" s="613"/>
      <c r="G645" s="613"/>
      <c r="H645" s="613"/>
      <c r="I645" s="613"/>
      <c r="J645" s="613"/>
      <c r="K645" s="613"/>
      <c r="L645" s="613"/>
      <c r="M645" s="613"/>
      <c r="N645" s="613"/>
      <c r="O645" s="613"/>
      <c r="P645" s="613"/>
      <c r="Q645" s="613"/>
      <c r="R645" s="613"/>
      <c r="S645" s="613"/>
      <c r="T645" s="613"/>
      <c r="U645" s="613"/>
      <c r="V645" s="613"/>
      <c r="W645" s="613"/>
      <c r="X645" s="613"/>
      <c r="Y645" s="613"/>
      <c r="Z645" s="613"/>
    </row>
    <row r="646" ht="15.75" customHeight="1">
      <c r="A646" s="613"/>
      <c r="B646" s="613"/>
      <c r="C646" s="613"/>
      <c r="D646" s="613"/>
      <c r="E646" s="613"/>
      <c r="F646" s="613"/>
      <c r="G646" s="613"/>
      <c r="H646" s="613"/>
      <c r="I646" s="613"/>
      <c r="J646" s="613"/>
      <c r="K646" s="613"/>
      <c r="L646" s="613"/>
      <c r="M646" s="613"/>
      <c r="N646" s="613"/>
      <c r="O646" s="613"/>
      <c r="P646" s="613"/>
      <c r="Q646" s="613"/>
      <c r="R646" s="613"/>
      <c r="S646" s="613"/>
      <c r="T646" s="613"/>
      <c r="U646" s="613"/>
      <c r="V646" s="613"/>
      <c r="W646" s="613"/>
      <c r="X646" s="613"/>
      <c r="Y646" s="613"/>
      <c r="Z646" s="613"/>
    </row>
    <row r="647" ht="15.75" customHeight="1">
      <c r="A647" s="613"/>
      <c r="B647" s="613"/>
      <c r="C647" s="613"/>
      <c r="D647" s="613"/>
      <c r="E647" s="613"/>
      <c r="F647" s="613"/>
      <c r="G647" s="613"/>
      <c r="H647" s="613"/>
      <c r="I647" s="613"/>
      <c r="J647" s="613"/>
      <c r="K647" s="613"/>
      <c r="L647" s="613"/>
      <c r="M647" s="613"/>
      <c r="N647" s="613"/>
      <c r="O647" s="613"/>
      <c r="P647" s="613"/>
      <c r="Q647" s="613"/>
      <c r="R647" s="613"/>
      <c r="S647" s="613"/>
      <c r="T647" s="613"/>
      <c r="U647" s="613"/>
      <c r="V647" s="613"/>
      <c r="W647" s="613"/>
      <c r="X647" s="613"/>
      <c r="Y647" s="613"/>
      <c r="Z647" s="613"/>
    </row>
    <row r="648" ht="15.75" customHeight="1">
      <c r="A648" s="613"/>
      <c r="B648" s="613"/>
      <c r="C648" s="613"/>
      <c r="D648" s="613"/>
      <c r="E648" s="613"/>
      <c r="F648" s="613"/>
      <c r="G648" s="613"/>
      <c r="H648" s="613"/>
      <c r="I648" s="613"/>
      <c r="J648" s="613"/>
      <c r="K648" s="613"/>
      <c r="L648" s="613"/>
      <c r="M648" s="613"/>
      <c r="N648" s="613"/>
      <c r="O648" s="613"/>
      <c r="P648" s="613"/>
      <c r="Q648" s="613"/>
      <c r="R648" s="613"/>
      <c r="S648" s="613"/>
      <c r="T648" s="613"/>
      <c r="U648" s="613"/>
      <c r="V648" s="613"/>
      <c r="W648" s="613"/>
      <c r="X648" s="613"/>
      <c r="Y648" s="613"/>
      <c r="Z648" s="613"/>
    </row>
    <row r="649" ht="15.75" customHeight="1">
      <c r="A649" s="613"/>
      <c r="B649" s="613"/>
      <c r="C649" s="613"/>
      <c r="D649" s="613"/>
      <c r="E649" s="613"/>
      <c r="F649" s="613"/>
      <c r="G649" s="613"/>
      <c r="H649" s="613"/>
      <c r="I649" s="613"/>
      <c r="J649" s="613"/>
      <c r="K649" s="613"/>
      <c r="L649" s="613"/>
      <c r="M649" s="613"/>
      <c r="N649" s="613"/>
      <c r="O649" s="613"/>
      <c r="P649" s="613"/>
      <c r="Q649" s="613"/>
      <c r="R649" s="613"/>
      <c r="S649" s="613"/>
      <c r="T649" s="613"/>
      <c r="U649" s="613"/>
      <c r="V649" s="613"/>
      <c r="W649" s="613"/>
      <c r="X649" s="613"/>
      <c r="Y649" s="613"/>
      <c r="Z649" s="613"/>
    </row>
    <row r="650" ht="15.75" customHeight="1">
      <c r="A650" s="613"/>
      <c r="B650" s="613"/>
      <c r="C650" s="613"/>
      <c r="D650" s="613"/>
      <c r="E650" s="613"/>
      <c r="F650" s="613"/>
      <c r="G650" s="613"/>
      <c r="H650" s="613"/>
      <c r="I650" s="613"/>
      <c r="J650" s="613"/>
      <c r="K650" s="613"/>
      <c r="L650" s="613"/>
      <c r="M650" s="613"/>
      <c r="N650" s="613"/>
      <c r="O650" s="613"/>
      <c r="P650" s="613"/>
      <c r="Q650" s="613"/>
      <c r="R650" s="613"/>
      <c r="S650" s="613"/>
      <c r="T650" s="613"/>
      <c r="U650" s="613"/>
      <c r="V650" s="613"/>
      <c r="W650" s="613"/>
      <c r="X650" s="613"/>
      <c r="Y650" s="613"/>
      <c r="Z650" s="613"/>
    </row>
    <row r="651" ht="15.75" customHeight="1">
      <c r="A651" s="613"/>
      <c r="B651" s="613"/>
      <c r="C651" s="613"/>
      <c r="D651" s="613"/>
      <c r="E651" s="613"/>
      <c r="F651" s="613"/>
      <c r="G651" s="613"/>
      <c r="H651" s="613"/>
      <c r="I651" s="613"/>
      <c r="J651" s="613"/>
      <c r="K651" s="613"/>
      <c r="L651" s="613"/>
      <c r="M651" s="613"/>
      <c r="N651" s="613"/>
      <c r="O651" s="613"/>
      <c r="P651" s="613"/>
      <c r="Q651" s="613"/>
      <c r="R651" s="613"/>
      <c r="S651" s="613"/>
      <c r="T651" s="613"/>
      <c r="U651" s="613"/>
      <c r="V651" s="613"/>
      <c r="W651" s="613"/>
      <c r="X651" s="613"/>
      <c r="Y651" s="613"/>
      <c r="Z651" s="613"/>
    </row>
    <row r="652" ht="15.75" customHeight="1">
      <c r="A652" s="613"/>
      <c r="B652" s="613"/>
      <c r="C652" s="613"/>
      <c r="D652" s="613"/>
      <c r="E652" s="613"/>
      <c r="F652" s="613"/>
      <c r="G652" s="613"/>
      <c r="H652" s="613"/>
      <c r="I652" s="613"/>
      <c r="J652" s="613"/>
      <c r="K652" s="613"/>
      <c r="L652" s="613"/>
      <c r="M652" s="613"/>
      <c r="N652" s="613"/>
      <c r="O652" s="613"/>
      <c r="P652" s="613"/>
      <c r="Q652" s="613"/>
      <c r="R652" s="613"/>
      <c r="S652" s="613"/>
      <c r="T652" s="613"/>
      <c r="U652" s="613"/>
      <c r="V652" s="613"/>
      <c r="W652" s="613"/>
      <c r="X652" s="613"/>
      <c r="Y652" s="613"/>
      <c r="Z652" s="613"/>
    </row>
    <row r="653" ht="15.75" customHeight="1">
      <c r="A653" s="613"/>
      <c r="B653" s="613"/>
      <c r="C653" s="613"/>
      <c r="D653" s="613"/>
      <c r="E653" s="613"/>
      <c r="F653" s="613"/>
      <c r="G653" s="613"/>
      <c r="H653" s="613"/>
      <c r="I653" s="613"/>
      <c r="J653" s="613"/>
      <c r="K653" s="613"/>
      <c r="L653" s="613"/>
      <c r="M653" s="613"/>
      <c r="N653" s="613"/>
      <c r="O653" s="613"/>
      <c r="P653" s="613"/>
      <c r="Q653" s="613"/>
      <c r="R653" s="613"/>
      <c r="S653" s="613"/>
      <c r="T653" s="613"/>
      <c r="U653" s="613"/>
      <c r="V653" s="613"/>
      <c r="W653" s="613"/>
      <c r="X653" s="613"/>
      <c r="Y653" s="613"/>
      <c r="Z653" s="613"/>
    </row>
    <row r="654" ht="15.75" customHeight="1">
      <c r="A654" s="613"/>
      <c r="B654" s="613"/>
      <c r="C654" s="613"/>
      <c r="D654" s="613"/>
      <c r="E654" s="613"/>
      <c r="F654" s="613"/>
      <c r="G654" s="613"/>
      <c r="H654" s="613"/>
      <c r="I654" s="613"/>
      <c r="J654" s="613"/>
      <c r="K654" s="613"/>
      <c r="L654" s="613"/>
      <c r="M654" s="613"/>
      <c r="N654" s="613"/>
      <c r="O654" s="613"/>
      <c r="P654" s="613"/>
      <c r="Q654" s="613"/>
      <c r="R654" s="613"/>
      <c r="S654" s="613"/>
      <c r="T654" s="613"/>
      <c r="U654" s="613"/>
      <c r="V654" s="613"/>
      <c r="W654" s="613"/>
      <c r="X654" s="613"/>
      <c r="Y654" s="613"/>
      <c r="Z654" s="613"/>
    </row>
    <row r="655" ht="15.75" customHeight="1">
      <c r="A655" s="613"/>
      <c r="B655" s="613"/>
      <c r="C655" s="613"/>
      <c r="D655" s="613"/>
      <c r="E655" s="613"/>
      <c r="F655" s="613"/>
      <c r="G655" s="613"/>
      <c r="H655" s="613"/>
      <c r="I655" s="613"/>
      <c r="J655" s="613"/>
      <c r="K655" s="613"/>
      <c r="L655" s="613"/>
      <c r="M655" s="613"/>
      <c r="N655" s="613"/>
      <c r="O655" s="613"/>
      <c r="P655" s="613"/>
      <c r="Q655" s="613"/>
      <c r="R655" s="613"/>
      <c r="S655" s="613"/>
      <c r="T655" s="613"/>
      <c r="U655" s="613"/>
      <c r="V655" s="613"/>
      <c r="W655" s="613"/>
      <c r="X655" s="613"/>
      <c r="Y655" s="613"/>
      <c r="Z655" s="613"/>
    </row>
    <row r="656" ht="15.75" customHeight="1">
      <c r="A656" s="613"/>
      <c r="B656" s="613"/>
      <c r="C656" s="613"/>
      <c r="D656" s="613"/>
      <c r="E656" s="613"/>
      <c r="F656" s="613"/>
      <c r="G656" s="613"/>
      <c r="H656" s="613"/>
      <c r="I656" s="613"/>
      <c r="J656" s="613"/>
      <c r="K656" s="613"/>
      <c r="L656" s="613"/>
      <c r="M656" s="613"/>
      <c r="N656" s="613"/>
      <c r="O656" s="613"/>
      <c r="P656" s="613"/>
      <c r="Q656" s="613"/>
      <c r="R656" s="613"/>
      <c r="S656" s="613"/>
      <c r="T656" s="613"/>
      <c r="U656" s="613"/>
      <c r="V656" s="613"/>
      <c r="W656" s="613"/>
      <c r="X656" s="613"/>
      <c r="Y656" s="613"/>
      <c r="Z656" s="613"/>
    </row>
    <row r="657" ht="15.75" customHeight="1">
      <c r="A657" s="613"/>
      <c r="B657" s="613"/>
      <c r="C657" s="613"/>
      <c r="D657" s="613"/>
      <c r="E657" s="613"/>
      <c r="F657" s="613"/>
      <c r="G657" s="613"/>
      <c r="H657" s="613"/>
      <c r="I657" s="613"/>
      <c r="J657" s="613"/>
      <c r="K657" s="613"/>
      <c r="L657" s="613"/>
      <c r="M657" s="613"/>
      <c r="N657" s="613"/>
      <c r="O657" s="613"/>
      <c r="P657" s="613"/>
      <c r="Q657" s="613"/>
      <c r="R657" s="613"/>
      <c r="S657" s="613"/>
      <c r="T657" s="613"/>
      <c r="U657" s="613"/>
      <c r="V657" s="613"/>
      <c r="W657" s="613"/>
      <c r="X657" s="613"/>
      <c r="Y657" s="613"/>
      <c r="Z657" s="613"/>
    </row>
    <row r="658" ht="15.75" customHeight="1">
      <c r="A658" s="613"/>
      <c r="B658" s="613"/>
      <c r="C658" s="613"/>
      <c r="D658" s="613"/>
      <c r="E658" s="613"/>
      <c r="F658" s="613"/>
      <c r="G658" s="613"/>
      <c r="H658" s="613"/>
      <c r="I658" s="613"/>
      <c r="J658" s="613"/>
      <c r="K658" s="613"/>
      <c r="L658" s="613"/>
      <c r="M658" s="613"/>
      <c r="N658" s="613"/>
      <c r="O658" s="613"/>
      <c r="P658" s="613"/>
      <c r="Q658" s="613"/>
      <c r="R658" s="613"/>
      <c r="S658" s="613"/>
      <c r="T658" s="613"/>
      <c r="U658" s="613"/>
      <c r="V658" s="613"/>
      <c r="W658" s="613"/>
      <c r="X658" s="613"/>
      <c r="Y658" s="613"/>
      <c r="Z658" s="613"/>
    </row>
    <row r="659" ht="15.75" customHeight="1">
      <c r="A659" s="613"/>
      <c r="B659" s="613"/>
      <c r="C659" s="613"/>
      <c r="D659" s="613"/>
      <c r="E659" s="613"/>
      <c r="F659" s="613"/>
      <c r="G659" s="613"/>
      <c r="H659" s="613"/>
      <c r="I659" s="613"/>
      <c r="J659" s="613"/>
      <c r="K659" s="613"/>
      <c r="L659" s="613"/>
      <c r="M659" s="613"/>
      <c r="N659" s="613"/>
      <c r="O659" s="613"/>
      <c r="P659" s="613"/>
      <c r="Q659" s="613"/>
      <c r="R659" s="613"/>
      <c r="S659" s="613"/>
      <c r="T659" s="613"/>
      <c r="U659" s="613"/>
      <c r="V659" s="613"/>
      <c r="W659" s="613"/>
      <c r="X659" s="613"/>
      <c r="Y659" s="613"/>
      <c r="Z659" s="613"/>
    </row>
    <row r="660" ht="15.75" customHeight="1">
      <c r="A660" s="613"/>
      <c r="B660" s="613"/>
      <c r="C660" s="613"/>
      <c r="D660" s="613"/>
      <c r="E660" s="613"/>
      <c r="F660" s="613"/>
      <c r="G660" s="613"/>
      <c r="H660" s="613"/>
      <c r="I660" s="613"/>
      <c r="J660" s="613"/>
      <c r="K660" s="613"/>
      <c r="L660" s="613"/>
      <c r="M660" s="613"/>
      <c r="N660" s="613"/>
      <c r="O660" s="613"/>
      <c r="P660" s="613"/>
      <c r="Q660" s="613"/>
      <c r="R660" s="613"/>
      <c r="S660" s="613"/>
      <c r="T660" s="613"/>
      <c r="U660" s="613"/>
      <c r="V660" s="613"/>
      <c r="W660" s="613"/>
      <c r="X660" s="613"/>
      <c r="Y660" s="613"/>
      <c r="Z660" s="613"/>
    </row>
    <row r="661" ht="15.75" customHeight="1">
      <c r="A661" s="613"/>
      <c r="B661" s="613"/>
      <c r="C661" s="613"/>
      <c r="D661" s="613"/>
      <c r="E661" s="613"/>
      <c r="F661" s="613"/>
      <c r="G661" s="613"/>
      <c r="H661" s="613"/>
      <c r="I661" s="613"/>
      <c r="J661" s="613"/>
      <c r="K661" s="613"/>
      <c r="L661" s="613"/>
      <c r="M661" s="613"/>
      <c r="N661" s="613"/>
      <c r="O661" s="613"/>
      <c r="P661" s="613"/>
      <c r="Q661" s="613"/>
      <c r="R661" s="613"/>
      <c r="S661" s="613"/>
      <c r="T661" s="613"/>
      <c r="U661" s="613"/>
      <c r="V661" s="613"/>
      <c r="W661" s="613"/>
      <c r="X661" s="613"/>
      <c r="Y661" s="613"/>
      <c r="Z661" s="613"/>
    </row>
    <row r="662" ht="15.75" customHeight="1">
      <c r="A662" s="613"/>
      <c r="B662" s="613"/>
      <c r="C662" s="613"/>
      <c r="D662" s="613"/>
      <c r="E662" s="613"/>
      <c r="F662" s="613"/>
      <c r="G662" s="613"/>
      <c r="H662" s="613"/>
      <c r="I662" s="613"/>
      <c r="J662" s="613"/>
      <c r="K662" s="613"/>
      <c r="L662" s="613"/>
      <c r="M662" s="613"/>
      <c r="N662" s="613"/>
      <c r="O662" s="613"/>
      <c r="P662" s="613"/>
      <c r="Q662" s="613"/>
      <c r="R662" s="613"/>
      <c r="S662" s="613"/>
      <c r="T662" s="613"/>
      <c r="U662" s="613"/>
      <c r="V662" s="613"/>
      <c r="W662" s="613"/>
      <c r="X662" s="613"/>
      <c r="Y662" s="613"/>
      <c r="Z662" s="613"/>
    </row>
    <row r="663" ht="15.75" customHeight="1">
      <c r="A663" s="613"/>
      <c r="B663" s="613"/>
      <c r="C663" s="613"/>
      <c r="D663" s="613"/>
      <c r="E663" s="613"/>
      <c r="F663" s="613"/>
      <c r="G663" s="613"/>
      <c r="H663" s="613"/>
      <c r="I663" s="613"/>
      <c r="J663" s="613"/>
      <c r="K663" s="613"/>
      <c r="L663" s="613"/>
      <c r="M663" s="613"/>
      <c r="N663" s="613"/>
      <c r="O663" s="613"/>
      <c r="P663" s="613"/>
      <c r="Q663" s="613"/>
      <c r="R663" s="613"/>
      <c r="S663" s="613"/>
      <c r="T663" s="613"/>
      <c r="U663" s="613"/>
      <c r="V663" s="613"/>
      <c r="W663" s="613"/>
      <c r="X663" s="613"/>
      <c r="Y663" s="613"/>
      <c r="Z663" s="613"/>
    </row>
    <row r="664" ht="15.75" customHeight="1">
      <c r="A664" s="613"/>
      <c r="B664" s="613"/>
      <c r="C664" s="613"/>
      <c r="D664" s="613"/>
      <c r="E664" s="613"/>
      <c r="F664" s="613"/>
      <c r="G664" s="613"/>
      <c r="H664" s="613"/>
      <c r="I664" s="613"/>
      <c r="J664" s="613"/>
      <c r="K664" s="613"/>
      <c r="L664" s="613"/>
      <c r="M664" s="613"/>
      <c r="N664" s="613"/>
      <c r="O664" s="613"/>
      <c r="P664" s="613"/>
      <c r="Q664" s="613"/>
      <c r="R664" s="613"/>
      <c r="S664" s="613"/>
      <c r="T664" s="613"/>
      <c r="U664" s="613"/>
      <c r="V664" s="613"/>
      <c r="W664" s="613"/>
      <c r="X664" s="613"/>
      <c r="Y664" s="613"/>
      <c r="Z664" s="613"/>
    </row>
    <row r="665" ht="15.75" customHeight="1">
      <c r="A665" s="613"/>
      <c r="B665" s="613"/>
      <c r="C665" s="613"/>
      <c r="D665" s="613"/>
      <c r="E665" s="613"/>
      <c r="F665" s="613"/>
      <c r="G665" s="613"/>
      <c r="H665" s="613"/>
      <c r="I665" s="613"/>
      <c r="J665" s="613"/>
      <c r="K665" s="613"/>
      <c r="L665" s="613"/>
      <c r="M665" s="613"/>
      <c r="N665" s="613"/>
      <c r="O665" s="613"/>
      <c r="P665" s="613"/>
      <c r="Q665" s="613"/>
      <c r="R665" s="613"/>
      <c r="S665" s="613"/>
      <c r="T665" s="613"/>
      <c r="U665" s="613"/>
      <c r="V665" s="613"/>
      <c r="W665" s="613"/>
      <c r="X665" s="613"/>
      <c r="Y665" s="613"/>
      <c r="Z665" s="613"/>
    </row>
    <row r="666" ht="15.75" customHeight="1">
      <c r="A666" s="613"/>
      <c r="B666" s="613"/>
      <c r="C666" s="613"/>
      <c r="D666" s="613"/>
      <c r="E666" s="613"/>
      <c r="F666" s="613"/>
      <c r="G666" s="613"/>
      <c r="H666" s="613"/>
      <c r="I666" s="613"/>
      <c r="J666" s="613"/>
      <c r="K666" s="613"/>
      <c r="L666" s="613"/>
      <c r="M666" s="613"/>
      <c r="N666" s="613"/>
      <c r="O666" s="613"/>
      <c r="P666" s="613"/>
      <c r="Q666" s="613"/>
      <c r="R666" s="613"/>
      <c r="S666" s="613"/>
      <c r="T666" s="613"/>
      <c r="U666" s="613"/>
      <c r="V666" s="613"/>
      <c r="W666" s="613"/>
      <c r="X666" s="613"/>
      <c r="Y666" s="613"/>
      <c r="Z666" s="613"/>
    </row>
    <row r="667" ht="15.75" customHeight="1">
      <c r="A667" s="613"/>
      <c r="B667" s="613"/>
      <c r="C667" s="613"/>
      <c r="D667" s="613"/>
      <c r="E667" s="613"/>
      <c r="F667" s="613"/>
      <c r="G667" s="613"/>
      <c r="H667" s="613"/>
      <c r="I667" s="613"/>
      <c r="J667" s="613"/>
      <c r="K667" s="613"/>
      <c r="L667" s="613"/>
      <c r="M667" s="613"/>
      <c r="N667" s="613"/>
      <c r="O667" s="613"/>
      <c r="P667" s="613"/>
      <c r="Q667" s="613"/>
      <c r="R667" s="613"/>
      <c r="S667" s="613"/>
      <c r="T667" s="613"/>
      <c r="U667" s="613"/>
      <c r="V667" s="613"/>
      <c r="W667" s="613"/>
      <c r="X667" s="613"/>
      <c r="Y667" s="613"/>
      <c r="Z667" s="613"/>
    </row>
    <row r="668" ht="15.75" customHeight="1">
      <c r="A668" s="613"/>
      <c r="B668" s="613"/>
      <c r="C668" s="613"/>
      <c r="D668" s="613"/>
      <c r="E668" s="613"/>
      <c r="F668" s="613"/>
      <c r="G668" s="613"/>
      <c r="H668" s="613"/>
      <c r="I668" s="613"/>
      <c r="J668" s="613"/>
      <c r="K668" s="613"/>
      <c r="L668" s="613"/>
      <c r="M668" s="613"/>
      <c r="N668" s="613"/>
      <c r="O668" s="613"/>
      <c r="P668" s="613"/>
      <c r="Q668" s="613"/>
      <c r="R668" s="613"/>
      <c r="S668" s="613"/>
      <c r="T668" s="613"/>
      <c r="U668" s="613"/>
      <c r="V668" s="613"/>
      <c r="W668" s="613"/>
      <c r="X668" s="613"/>
      <c r="Y668" s="613"/>
      <c r="Z668" s="613"/>
    </row>
    <row r="669" ht="15.75" customHeight="1">
      <c r="A669" s="613"/>
      <c r="B669" s="613"/>
      <c r="C669" s="613"/>
      <c r="D669" s="613"/>
      <c r="E669" s="613"/>
      <c r="F669" s="613"/>
      <c r="G669" s="613"/>
      <c r="H669" s="613"/>
      <c r="I669" s="613"/>
      <c r="J669" s="613"/>
      <c r="K669" s="613"/>
      <c r="L669" s="613"/>
      <c r="M669" s="613"/>
      <c r="N669" s="613"/>
      <c r="O669" s="613"/>
      <c r="P669" s="613"/>
      <c r="Q669" s="613"/>
      <c r="R669" s="613"/>
      <c r="S669" s="613"/>
      <c r="T669" s="613"/>
      <c r="U669" s="613"/>
      <c r="V669" s="613"/>
      <c r="W669" s="613"/>
      <c r="X669" s="613"/>
      <c r="Y669" s="613"/>
      <c r="Z669" s="613"/>
    </row>
    <row r="670" ht="15.75" customHeight="1">
      <c r="A670" s="613"/>
      <c r="B670" s="613"/>
      <c r="C670" s="613"/>
      <c r="D670" s="613"/>
      <c r="E670" s="613"/>
      <c r="F670" s="613"/>
      <c r="G670" s="613"/>
      <c r="H670" s="613"/>
      <c r="I670" s="613"/>
      <c r="J670" s="613"/>
      <c r="K670" s="613"/>
      <c r="L670" s="613"/>
      <c r="M670" s="613"/>
      <c r="N670" s="613"/>
      <c r="O670" s="613"/>
      <c r="P670" s="613"/>
      <c r="Q670" s="613"/>
      <c r="R670" s="613"/>
      <c r="S670" s="613"/>
      <c r="T670" s="613"/>
      <c r="U670" s="613"/>
      <c r="V670" s="613"/>
      <c r="W670" s="613"/>
      <c r="X670" s="613"/>
      <c r="Y670" s="613"/>
      <c r="Z670" s="613"/>
    </row>
    <row r="671" ht="15.75" customHeight="1">
      <c r="A671" s="613"/>
      <c r="B671" s="613"/>
      <c r="C671" s="613"/>
      <c r="D671" s="613"/>
      <c r="E671" s="613"/>
      <c r="F671" s="613"/>
      <c r="G671" s="613"/>
      <c r="H671" s="613"/>
      <c r="I671" s="613"/>
      <c r="J671" s="613"/>
      <c r="K671" s="613"/>
      <c r="L671" s="613"/>
      <c r="M671" s="613"/>
      <c r="N671" s="613"/>
      <c r="O671" s="613"/>
      <c r="P671" s="613"/>
      <c r="Q671" s="613"/>
      <c r="R671" s="613"/>
      <c r="S671" s="613"/>
      <c r="T671" s="613"/>
      <c r="U671" s="613"/>
      <c r="V671" s="613"/>
      <c r="W671" s="613"/>
      <c r="X671" s="613"/>
      <c r="Y671" s="613"/>
      <c r="Z671" s="613"/>
    </row>
    <row r="672" ht="15.75" customHeight="1">
      <c r="A672" s="613"/>
      <c r="B672" s="613"/>
      <c r="C672" s="613"/>
      <c r="D672" s="613"/>
      <c r="E672" s="613"/>
      <c r="F672" s="613"/>
      <c r="G672" s="613"/>
      <c r="H672" s="613"/>
      <c r="I672" s="613"/>
      <c r="J672" s="613"/>
      <c r="K672" s="613"/>
      <c r="L672" s="613"/>
      <c r="M672" s="613"/>
      <c r="N672" s="613"/>
      <c r="O672" s="613"/>
      <c r="P672" s="613"/>
      <c r="Q672" s="613"/>
      <c r="R672" s="613"/>
      <c r="S672" s="613"/>
      <c r="T672" s="613"/>
      <c r="U672" s="613"/>
      <c r="V672" s="613"/>
      <c r="W672" s="613"/>
      <c r="X672" s="613"/>
      <c r="Y672" s="613"/>
      <c r="Z672" s="613"/>
    </row>
    <row r="673" ht="15.75" customHeight="1">
      <c r="A673" s="613"/>
      <c r="B673" s="613"/>
      <c r="C673" s="613"/>
      <c r="D673" s="613"/>
      <c r="E673" s="613"/>
      <c r="F673" s="613"/>
      <c r="G673" s="613"/>
      <c r="H673" s="613"/>
      <c r="I673" s="613"/>
      <c r="J673" s="613"/>
      <c r="K673" s="613"/>
      <c r="L673" s="613"/>
      <c r="M673" s="613"/>
      <c r="N673" s="613"/>
      <c r="O673" s="613"/>
      <c r="P673" s="613"/>
      <c r="Q673" s="613"/>
      <c r="R673" s="613"/>
      <c r="S673" s="613"/>
      <c r="T673" s="613"/>
      <c r="U673" s="613"/>
      <c r="V673" s="613"/>
      <c r="W673" s="613"/>
      <c r="X673" s="613"/>
      <c r="Y673" s="613"/>
      <c r="Z673" s="613"/>
    </row>
    <row r="674" ht="15.75" customHeight="1">
      <c r="A674" s="613"/>
      <c r="B674" s="613"/>
      <c r="C674" s="613"/>
      <c r="D674" s="613"/>
      <c r="E674" s="613"/>
      <c r="F674" s="613"/>
      <c r="G674" s="613"/>
      <c r="H674" s="613"/>
      <c r="I674" s="613"/>
      <c r="J674" s="613"/>
      <c r="K674" s="613"/>
      <c r="L674" s="613"/>
      <c r="M674" s="613"/>
      <c r="N674" s="613"/>
      <c r="O674" s="613"/>
      <c r="P674" s="613"/>
      <c r="Q674" s="613"/>
      <c r="R674" s="613"/>
      <c r="S674" s="613"/>
      <c r="T674" s="613"/>
      <c r="U674" s="613"/>
      <c r="V674" s="613"/>
      <c r="W674" s="613"/>
      <c r="X674" s="613"/>
      <c r="Y674" s="613"/>
      <c r="Z674" s="613"/>
    </row>
    <row r="675" ht="15.75" customHeight="1">
      <c r="A675" s="613"/>
      <c r="B675" s="613"/>
      <c r="C675" s="613"/>
      <c r="D675" s="613"/>
      <c r="E675" s="613"/>
      <c r="F675" s="613"/>
      <c r="G675" s="613"/>
      <c r="H675" s="613"/>
      <c r="I675" s="613"/>
      <c r="J675" s="613"/>
      <c r="K675" s="613"/>
      <c r="L675" s="613"/>
      <c r="M675" s="613"/>
      <c r="N675" s="613"/>
      <c r="O675" s="613"/>
      <c r="P675" s="613"/>
      <c r="Q675" s="613"/>
      <c r="R675" s="613"/>
      <c r="S675" s="613"/>
      <c r="T675" s="613"/>
      <c r="U675" s="613"/>
      <c r="V675" s="613"/>
      <c r="W675" s="613"/>
      <c r="X675" s="613"/>
      <c r="Y675" s="613"/>
      <c r="Z675" s="613"/>
    </row>
    <row r="676" ht="15.75" customHeight="1">
      <c r="A676" s="613"/>
      <c r="B676" s="613"/>
      <c r="C676" s="613"/>
      <c r="D676" s="613"/>
      <c r="E676" s="613"/>
      <c r="F676" s="613"/>
      <c r="G676" s="613"/>
      <c r="H676" s="613"/>
      <c r="I676" s="613"/>
      <c r="J676" s="613"/>
      <c r="K676" s="613"/>
      <c r="L676" s="613"/>
      <c r="M676" s="613"/>
      <c r="N676" s="613"/>
      <c r="O676" s="613"/>
      <c r="P676" s="613"/>
      <c r="Q676" s="613"/>
      <c r="R676" s="613"/>
      <c r="S676" s="613"/>
      <c r="T676" s="613"/>
      <c r="U676" s="613"/>
      <c r="V676" s="613"/>
      <c r="W676" s="613"/>
      <c r="X676" s="613"/>
      <c r="Y676" s="613"/>
      <c r="Z676" s="613"/>
    </row>
    <row r="677" ht="15.75" customHeight="1">
      <c r="A677" s="613"/>
      <c r="B677" s="613"/>
      <c r="C677" s="613"/>
      <c r="D677" s="613"/>
      <c r="E677" s="613"/>
      <c r="F677" s="613"/>
      <c r="G677" s="613"/>
      <c r="H677" s="613"/>
      <c r="I677" s="613"/>
      <c r="J677" s="613"/>
      <c r="K677" s="613"/>
      <c r="L677" s="613"/>
      <c r="M677" s="613"/>
      <c r="N677" s="613"/>
      <c r="O677" s="613"/>
      <c r="P677" s="613"/>
      <c r="Q677" s="613"/>
      <c r="R677" s="613"/>
      <c r="S677" s="613"/>
      <c r="T677" s="613"/>
      <c r="U677" s="613"/>
      <c r="V677" s="613"/>
      <c r="W677" s="613"/>
      <c r="X677" s="613"/>
      <c r="Y677" s="613"/>
      <c r="Z677" s="613"/>
    </row>
    <row r="678" ht="15.75" customHeight="1">
      <c r="A678" s="613"/>
      <c r="B678" s="613"/>
      <c r="C678" s="613"/>
      <c r="D678" s="613"/>
      <c r="E678" s="613"/>
      <c r="F678" s="613"/>
      <c r="G678" s="613"/>
      <c r="H678" s="613"/>
      <c r="I678" s="613"/>
      <c r="J678" s="613"/>
      <c r="K678" s="613"/>
      <c r="L678" s="613"/>
      <c r="M678" s="613"/>
      <c r="N678" s="613"/>
      <c r="O678" s="613"/>
      <c r="P678" s="613"/>
      <c r="Q678" s="613"/>
      <c r="R678" s="613"/>
      <c r="S678" s="613"/>
      <c r="T678" s="613"/>
      <c r="U678" s="613"/>
      <c r="V678" s="613"/>
      <c r="W678" s="613"/>
      <c r="X678" s="613"/>
      <c r="Y678" s="613"/>
      <c r="Z678" s="613"/>
    </row>
    <row r="679" ht="15.75" customHeight="1">
      <c r="A679" s="613"/>
      <c r="B679" s="613"/>
      <c r="C679" s="613"/>
      <c r="D679" s="613"/>
      <c r="E679" s="613"/>
      <c r="F679" s="613"/>
      <c r="G679" s="613"/>
      <c r="H679" s="613"/>
      <c r="I679" s="613"/>
      <c r="J679" s="613"/>
      <c r="K679" s="613"/>
      <c r="L679" s="613"/>
      <c r="M679" s="613"/>
      <c r="N679" s="613"/>
      <c r="O679" s="613"/>
      <c r="P679" s="613"/>
      <c r="Q679" s="613"/>
      <c r="R679" s="613"/>
      <c r="S679" s="613"/>
      <c r="T679" s="613"/>
      <c r="U679" s="613"/>
      <c r="V679" s="613"/>
      <c r="W679" s="613"/>
      <c r="X679" s="613"/>
      <c r="Y679" s="613"/>
      <c r="Z679" s="613"/>
    </row>
    <row r="680" ht="15.75" customHeight="1">
      <c r="A680" s="613"/>
      <c r="B680" s="613"/>
      <c r="C680" s="613"/>
      <c r="D680" s="613"/>
      <c r="E680" s="613"/>
      <c r="F680" s="613"/>
      <c r="G680" s="613"/>
      <c r="H680" s="613"/>
      <c r="I680" s="613"/>
      <c r="J680" s="613"/>
      <c r="K680" s="613"/>
      <c r="L680" s="613"/>
      <c r="M680" s="613"/>
      <c r="N680" s="613"/>
      <c r="O680" s="613"/>
      <c r="P680" s="613"/>
      <c r="Q680" s="613"/>
      <c r="R680" s="613"/>
      <c r="S680" s="613"/>
      <c r="T680" s="613"/>
      <c r="U680" s="613"/>
      <c r="V680" s="613"/>
      <c r="W680" s="613"/>
      <c r="X680" s="613"/>
      <c r="Y680" s="613"/>
      <c r="Z680" s="613"/>
    </row>
    <row r="681" ht="15.75" customHeight="1">
      <c r="A681" s="613"/>
      <c r="B681" s="613"/>
      <c r="C681" s="613"/>
      <c r="D681" s="613"/>
      <c r="E681" s="613"/>
      <c r="F681" s="613"/>
      <c r="G681" s="613"/>
      <c r="H681" s="613"/>
      <c r="I681" s="613"/>
      <c r="J681" s="613"/>
      <c r="K681" s="613"/>
      <c r="L681" s="613"/>
      <c r="M681" s="613"/>
      <c r="N681" s="613"/>
      <c r="O681" s="613"/>
      <c r="P681" s="613"/>
      <c r="Q681" s="613"/>
      <c r="R681" s="613"/>
      <c r="S681" s="613"/>
      <c r="T681" s="613"/>
      <c r="U681" s="613"/>
      <c r="V681" s="613"/>
      <c r="W681" s="613"/>
      <c r="X681" s="613"/>
      <c r="Y681" s="613"/>
      <c r="Z681" s="613"/>
    </row>
    <row r="682" ht="15.75" customHeight="1">
      <c r="A682" s="613"/>
      <c r="B682" s="613"/>
      <c r="C682" s="613"/>
      <c r="D682" s="613"/>
      <c r="E682" s="613"/>
      <c r="F682" s="613"/>
      <c r="G682" s="613"/>
      <c r="H682" s="613"/>
      <c r="I682" s="613"/>
      <c r="J682" s="613"/>
      <c r="K682" s="613"/>
      <c r="L682" s="613"/>
      <c r="M682" s="613"/>
      <c r="N682" s="613"/>
      <c r="O682" s="613"/>
      <c r="P682" s="613"/>
      <c r="Q682" s="613"/>
      <c r="R682" s="613"/>
      <c r="S682" s="613"/>
      <c r="T682" s="613"/>
      <c r="U682" s="613"/>
      <c r="V682" s="613"/>
      <c r="W682" s="613"/>
      <c r="X682" s="613"/>
      <c r="Y682" s="613"/>
      <c r="Z682" s="613"/>
    </row>
    <row r="683" ht="15.75" customHeight="1">
      <c r="A683" s="613"/>
      <c r="B683" s="613"/>
      <c r="C683" s="613"/>
      <c r="D683" s="613"/>
      <c r="E683" s="613"/>
      <c r="F683" s="613"/>
      <c r="G683" s="613"/>
      <c r="H683" s="613"/>
      <c r="I683" s="613"/>
      <c r="J683" s="613"/>
      <c r="K683" s="613"/>
      <c r="L683" s="613"/>
      <c r="M683" s="613"/>
      <c r="N683" s="613"/>
      <c r="O683" s="613"/>
      <c r="P683" s="613"/>
      <c r="Q683" s="613"/>
      <c r="R683" s="613"/>
      <c r="S683" s="613"/>
      <c r="T683" s="613"/>
      <c r="U683" s="613"/>
      <c r="V683" s="613"/>
      <c r="W683" s="613"/>
      <c r="X683" s="613"/>
      <c r="Y683" s="613"/>
      <c r="Z683" s="613"/>
    </row>
    <row r="684" ht="15.75" customHeight="1">
      <c r="A684" s="613"/>
      <c r="B684" s="613"/>
      <c r="C684" s="613"/>
      <c r="D684" s="613"/>
      <c r="E684" s="613"/>
      <c r="F684" s="613"/>
      <c r="G684" s="613"/>
      <c r="H684" s="613"/>
      <c r="I684" s="613"/>
      <c r="J684" s="613"/>
      <c r="K684" s="613"/>
      <c r="L684" s="613"/>
      <c r="M684" s="613"/>
      <c r="N684" s="613"/>
      <c r="O684" s="613"/>
      <c r="P684" s="613"/>
      <c r="Q684" s="613"/>
      <c r="R684" s="613"/>
      <c r="S684" s="613"/>
      <c r="T684" s="613"/>
      <c r="U684" s="613"/>
      <c r="V684" s="613"/>
      <c r="W684" s="613"/>
      <c r="X684" s="613"/>
      <c r="Y684" s="613"/>
      <c r="Z684" s="613"/>
    </row>
    <row r="685" ht="15.75" customHeight="1">
      <c r="A685" s="613"/>
      <c r="B685" s="613"/>
      <c r="C685" s="613"/>
      <c r="D685" s="613"/>
      <c r="E685" s="613"/>
      <c r="F685" s="613"/>
      <c r="G685" s="613"/>
      <c r="H685" s="613"/>
      <c r="I685" s="613"/>
      <c r="J685" s="613"/>
      <c r="K685" s="613"/>
      <c r="L685" s="613"/>
      <c r="M685" s="613"/>
      <c r="N685" s="613"/>
      <c r="O685" s="613"/>
      <c r="P685" s="613"/>
      <c r="Q685" s="613"/>
      <c r="R685" s="613"/>
      <c r="S685" s="613"/>
      <c r="T685" s="613"/>
      <c r="U685" s="613"/>
      <c r="V685" s="613"/>
      <c r="W685" s="613"/>
      <c r="X685" s="613"/>
      <c r="Y685" s="613"/>
      <c r="Z685" s="613"/>
    </row>
    <row r="686" ht="15.75" customHeight="1">
      <c r="A686" s="613"/>
      <c r="B686" s="613"/>
      <c r="C686" s="613"/>
      <c r="D686" s="613"/>
      <c r="E686" s="613"/>
      <c r="F686" s="613"/>
      <c r="G686" s="613"/>
      <c r="H686" s="613"/>
      <c r="I686" s="613"/>
      <c r="J686" s="613"/>
      <c r="K686" s="613"/>
      <c r="L686" s="613"/>
      <c r="M686" s="613"/>
      <c r="N686" s="613"/>
      <c r="O686" s="613"/>
      <c r="P686" s="613"/>
      <c r="Q686" s="613"/>
      <c r="R686" s="613"/>
      <c r="S686" s="613"/>
      <c r="T686" s="613"/>
      <c r="U686" s="613"/>
      <c r="V686" s="613"/>
      <c r="W686" s="613"/>
      <c r="X686" s="613"/>
      <c r="Y686" s="613"/>
      <c r="Z686" s="613"/>
    </row>
    <row r="687" ht="15.75" customHeight="1">
      <c r="A687" s="613"/>
      <c r="B687" s="613"/>
      <c r="C687" s="613"/>
      <c r="D687" s="613"/>
      <c r="E687" s="613"/>
      <c r="F687" s="613"/>
      <c r="G687" s="613"/>
      <c r="H687" s="613"/>
      <c r="I687" s="613"/>
      <c r="J687" s="613"/>
      <c r="K687" s="613"/>
      <c r="L687" s="613"/>
      <c r="M687" s="613"/>
      <c r="N687" s="613"/>
      <c r="O687" s="613"/>
      <c r="P687" s="613"/>
      <c r="Q687" s="613"/>
      <c r="R687" s="613"/>
      <c r="S687" s="613"/>
      <c r="T687" s="613"/>
      <c r="U687" s="613"/>
      <c r="V687" s="613"/>
      <c r="W687" s="613"/>
      <c r="X687" s="613"/>
      <c r="Y687" s="613"/>
      <c r="Z687" s="613"/>
    </row>
    <row r="688" ht="15.75" customHeight="1">
      <c r="A688" s="613"/>
      <c r="B688" s="613"/>
      <c r="C688" s="613"/>
      <c r="D688" s="613"/>
      <c r="E688" s="613"/>
      <c r="F688" s="613"/>
      <c r="G688" s="613"/>
      <c r="H688" s="613"/>
      <c r="I688" s="613"/>
      <c r="J688" s="613"/>
      <c r="K688" s="613"/>
      <c r="L688" s="613"/>
      <c r="M688" s="613"/>
      <c r="N688" s="613"/>
      <c r="O688" s="613"/>
      <c r="P688" s="613"/>
      <c r="Q688" s="613"/>
      <c r="R688" s="613"/>
      <c r="S688" s="613"/>
      <c r="T688" s="613"/>
      <c r="U688" s="613"/>
      <c r="V688" s="613"/>
      <c r="W688" s="613"/>
      <c r="X688" s="613"/>
      <c r="Y688" s="613"/>
      <c r="Z688" s="613"/>
    </row>
    <row r="689" ht="15.75" customHeight="1">
      <c r="A689" s="613"/>
      <c r="B689" s="613"/>
      <c r="C689" s="613"/>
      <c r="D689" s="613"/>
      <c r="E689" s="613"/>
      <c r="F689" s="613"/>
      <c r="G689" s="613"/>
      <c r="H689" s="613"/>
      <c r="I689" s="613"/>
      <c r="J689" s="613"/>
      <c r="K689" s="613"/>
      <c r="L689" s="613"/>
      <c r="M689" s="613"/>
      <c r="N689" s="613"/>
      <c r="O689" s="613"/>
      <c r="P689" s="613"/>
      <c r="Q689" s="613"/>
      <c r="R689" s="613"/>
      <c r="S689" s="613"/>
      <c r="T689" s="613"/>
      <c r="U689" s="613"/>
      <c r="V689" s="613"/>
      <c r="W689" s="613"/>
      <c r="X689" s="613"/>
      <c r="Y689" s="613"/>
      <c r="Z689" s="613"/>
    </row>
    <row r="690" ht="15.75" customHeight="1">
      <c r="A690" s="613"/>
      <c r="B690" s="613"/>
      <c r="C690" s="613"/>
      <c r="D690" s="613"/>
      <c r="E690" s="613"/>
      <c r="F690" s="613"/>
      <c r="G690" s="613"/>
      <c r="H690" s="613"/>
      <c r="I690" s="613"/>
      <c r="J690" s="613"/>
      <c r="K690" s="613"/>
      <c r="L690" s="613"/>
      <c r="M690" s="613"/>
      <c r="N690" s="613"/>
      <c r="O690" s="613"/>
      <c r="P690" s="613"/>
      <c r="Q690" s="613"/>
      <c r="R690" s="613"/>
      <c r="S690" s="613"/>
      <c r="T690" s="613"/>
      <c r="U690" s="613"/>
      <c r="V690" s="613"/>
      <c r="W690" s="613"/>
      <c r="X690" s="613"/>
      <c r="Y690" s="613"/>
      <c r="Z690" s="613"/>
    </row>
    <row r="691" ht="15.75" customHeight="1">
      <c r="A691" s="613"/>
      <c r="B691" s="613"/>
      <c r="C691" s="613"/>
      <c r="D691" s="613"/>
      <c r="E691" s="613"/>
      <c r="F691" s="613"/>
      <c r="G691" s="613"/>
      <c r="H691" s="613"/>
      <c r="I691" s="613"/>
      <c r="J691" s="613"/>
      <c r="K691" s="613"/>
      <c r="L691" s="613"/>
      <c r="M691" s="613"/>
      <c r="N691" s="613"/>
      <c r="O691" s="613"/>
      <c r="P691" s="613"/>
      <c r="Q691" s="613"/>
      <c r="R691" s="613"/>
      <c r="S691" s="613"/>
      <c r="T691" s="613"/>
      <c r="U691" s="613"/>
      <c r="V691" s="613"/>
      <c r="W691" s="613"/>
      <c r="X691" s="613"/>
      <c r="Y691" s="613"/>
      <c r="Z691" s="613"/>
    </row>
    <row r="692" ht="15.75" customHeight="1">
      <c r="A692" s="613"/>
      <c r="B692" s="613"/>
      <c r="C692" s="613"/>
      <c r="D692" s="613"/>
      <c r="E692" s="613"/>
      <c r="F692" s="613"/>
      <c r="G692" s="613"/>
      <c r="H692" s="613"/>
      <c r="I692" s="613"/>
      <c r="J692" s="613"/>
      <c r="K692" s="613"/>
      <c r="L692" s="613"/>
      <c r="M692" s="613"/>
      <c r="N692" s="613"/>
      <c r="O692" s="613"/>
      <c r="P692" s="613"/>
      <c r="Q692" s="613"/>
      <c r="R692" s="613"/>
      <c r="S692" s="613"/>
      <c r="T692" s="613"/>
      <c r="U692" s="613"/>
      <c r="V692" s="613"/>
      <c r="W692" s="613"/>
      <c r="X692" s="613"/>
      <c r="Y692" s="613"/>
      <c r="Z692" s="613"/>
    </row>
    <row r="693" ht="15.75" customHeight="1">
      <c r="A693" s="613"/>
      <c r="B693" s="613"/>
      <c r="C693" s="613"/>
      <c r="D693" s="613"/>
      <c r="E693" s="613"/>
      <c r="F693" s="613"/>
      <c r="G693" s="613"/>
      <c r="H693" s="613"/>
      <c r="I693" s="613"/>
      <c r="J693" s="613"/>
      <c r="K693" s="613"/>
      <c r="L693" s="613"/>
      <c r="M693" s="613"/>
      <c r="N693" s="613"/>
      <c r="O693" s="613"/>
      <c r="P693" s="613"/>
      <c r="Q693" s="613"/>
      <c r="R693" s="613"/>
      <c r="S693" s="613"/>
      <c r="T693" s="613"/>
      <c r="U693" s="613"/>
      <c r="V693" s="613"/>
      <c r="W693" s="613"/>
      <c r="X693" s="613"/>
      <c r="Y693" s="613"/>
      <c r="Z693" s="613"/>
    </row>
    <row r="694" ht="15.75" customHeight="1">
      <c r="A694" s="613"/>
      <c r="B694" s="613"/>
      <c r="C694" s="613"/>
      <c r="D694" s="613"/>
      <c r="E694" s="613"/>
      <c r="F694" s="613"/>
      <c r="G694" s="613"/>
      <c r="H694" s="613"/>
      <c r="I694" s="613"/>
      <c r="J694" s="613"/>
      <c r="K694" s="613"/>
      <c r="L694" s="613"/>
      <c r="M694" s="613"/>
      <c r="N694" s="613"/>
      <c r="O694" s="613"/>
      <c r="P694" s="613"/>
      <c r="Q694" s="613"/>
      <c r="R694" s="613"/>
      <c r="S694" s="613"/>
      <c r="T694" s="613"/>
      <c r="U694" s="613"/>
      <c r="V694" s="613"/>
      <c r="W694" s="613"/>
      <c r="X694" s="613"/>
      <c r="Y694" s="613"/>
      <c r="Z694" s="613"/>
    </row>
    <row r="695" ht="15.75" customHeight="1">
      <c r="A695" s="613"/>
      <c r="B695" s="613"/>
      <c r="C695" s="613"/>
      <c r="D695" s="613"/>
      <c r="E695" s="613"/>
      <c r="F695" s="613"/>
      <c r="G695" s="613"/>
      <c r="H695" s="613"/>
      <c r="I695" s="613"/>
      <c r="J695" s="613"/>
      <c r="K695" s="613"/>
      <c r="L695" s="613"/>
      <c r="M695" s="613"/>
      <c r="N695" s="613"/>
      <c r="O695" s="613"/>
      <c r="P695" s="613"/>
      <c r="Q695" s="613"/>
      <c r="R695" s="613"/>
      <c r="S695" s="613"/>
      <c r="T695" s="613"/>
      <c r="U695" s="613"/>
      <c r="V695" s="613"/>
      <c r="W695" s="613"/>
      <c r="X695" s="613"/>
      <c r="Y695" s="613"/>
      <c r="Z695" s="613"/>
    </row>
    <row r="696" ht="15.75" customHeight="1">
      <c r="A696" s="613"/>
      <c r="B696" s="613"/>
      <c r="C696" s="613"/>
      <c r="D696" s="613"/>
      <c r="E696" s="613"/>
      <c r="F696" s="613"/>
      <c r="G696" s="613"/>
      <c r="H696" s="613"/>
      <c r="I696" s="613"/>
      <c r="J696" s="613"/>
      <c r="K696" s="613"/>
      <c r="L696" s="613"/>
      <c r="M696" s="613"/>
      <c r="N696" s="613"/>
      <c r="O696" s="613"/>
      <c r="P696" s="613"/>
      <c r="Q696" s="613"/>
      <c r="R696" s="613"/>
      <c r="S696" s="613"/>
      <c r="T696" s="613"/>
      <c r="U696" s="613"/>
      <c r="V696" s="613"/>
      <c r="W696" s="613"/>
      <c r="X696" s="613"/>
      <c r="Y696" s="613"/>
      <c r="Z696" s="613"/>
    </row>
    <row r="697" ht="15.75" customHeight="1">
      <c r="A697" s="613"/>
      <c r="B697" s="613"/>
      <c r="C697" s="613"/>
      <c r="D697" s="613"/>
      <c r="E697" s="613"/>
      <c r="F697" s="613"/>
      <c r="G697" s="613"/>
      <c r="H697" s="613"/>
      <c r="I697" s="613"/>
      <c r="J697" s="613"/>
      <c r="K697" s="613"/>
      <c r="L697" s="613"/>
      <c r="M697" s="613"/>
      <c r="N697" s="613"/>
      <c r="O697" s="613"/>
      <c r="P697" s="613"/>
      <c r="Q697" s="613"/>
      <c r="R697" s="613"/>
      <c r="S697" s="613"/>
      <c r="T697" s="613"/>
      <c r="U697" s="613"/>
      <c r="V697" s="613"/>
      <c r="W697" s="613"/>
      <c r="X697" s="613"/>
      <c r="Y697" s="613"/>
      <c r="Z697" s="613"/>
    </row>
    <row r="698" ht="15.75" customHeight="1">
      <c r="A698" s="613"/>
      <c r="B698" s="613"/>
      <c r="C698" s="613"/>
      <c r="D698" s="613"/>
      <c r="E698" s="613"/>
      <c r="F698" s="613"/>
      <c r="G698" s="613"/>
      <c r="H698" s="613"/>
      <c r="I698" s="613"/>
      <c r="J698" s="613"/>
      <c r="K698" s="613"/>
      <c r="L698" s="613"/>
      <c r="M698" s="613"/>
      <c r="N698" s="613"/>
      <c r="O698" s="613"/>
      <c r="P698" s="613"/>
      <c r="Q698" s="613"/>
      <c r="R698" s="613"/>
      <c r="S698" s="613"/>
      <c r="T698" s="613"/>
      <c r="U698" s="613"/>
      <c r="V698" s="613"/>
      <c r="W698" s="613"/>
      <c r="X698" s="613"/>
      <c r="Y698" s="613"/>
      <c r="Z698" s="613"/>
    </row>
    <row r="699" ht="15.75" customHeight="1">
      <c r="A699" s="613"/>
      <c r="B699" s="613"/>
      <c r="C699" s="613"/>
      <c r="D699" s="613"/>
      <c r="E699" s="613"/>
      <c r="F699" s="613"/>
      <c r="G699" s="613"/>
      <c r="H699" s="613"/>
      <c r="I699" s="613"/>
      <c r="J699" s="613"/>
      <c r="K699" s="613"/>
      <c r="L699" s="613"/>
      <c r="M699" s="613"/>
      <c r="N699" s="613"/>
      <c r="O699" s="613"/>
      <c r="P699" s="613"/>
      <c r="Q699" s="613"/>
      <c r="R699" s="613"/>
      <c r="S699" s="613"/>
      <c r="T699" s="613"/>
      <c r="U699" s="613"/>
      <c r="V699" s="613"/>
      <c r="W699" s="613"/>
      <c r="X699" s="613"/>
      <c r="Y699" s="613"/>
      <c r="Z699" s="613"/>
    </row>
    <row r="700" ht="15.75" customHeight="1">
      <c r="A700" s="613"/>
      <c r="B700" s="613"/>
      <c r="C700" s="613"/>
      <c r="D700" s="613"/>
      <c r="E700" s="613"/>
      <c r="F700" s="613"/>
      <c r="G700" s="613"/>
      <c r="H700" s="613"/>
      <c r="I700" s="613"/>
      <c r="J700" s="613"/>
      <c r="K700" s="613"/>
      <c r="L700" s="613"/>
      <c r="M700" s="613"/>
      <c r="N700" s="613"/>
      <c r="O700" s="613"/>
      <c r="P700" s="613"/>
      <c r="Q700" s="613"/>
      <c r="R700" s="613"/>
      <c r="S700" s="613"/>
      <c r="T700" s="613"/>
      <c r="U700" s="613"/>
      <c r="V700" s="613"/>
      <c r="W700" s="613"/>
      <c r="X700" s="613"/>
      <c r="Y700" s="613"/>
      <c r="Z700" s="613"/>
    </row>
    <row r="701" ht="15.75" customHeight="1">
      <c r="A701" s="613"/>
      <c r="B701" s="613"/>
      <c r="C701" s="613"/>
      <c r="D701" s="613"/>
      <c r="E701" s="613"/>
      <c r="F701" s="613"/>
      <c r="G701" s="613"/>
      <c r="H701" s="613"/>
      <c r="I701" s="613"/>
      <c r="J701" s="613"/>
      <c r="K701" s="613"/>
      <c r="L701" s="613"/>
      <c r="M701" s="613"/>
      <c r="N701" s="613"/>
      <c r="O701" s="613"/>
      <c r="P701" s="613"/>
      <c r="Q701" s="613"/>
      <c r="R701" s="613"/>
      <c r="S701" s="613"/>
      <c r="T701" s="613"/>
      <c r="U701" s="613"/>
      <c r="V701" s="613"/>
      <c r="W701" s="613"/>
      <c r="X701" s="613"/>
      <c r="Y701" s="613"/>
      <c r="Z701" s="613"/>
    </row>
    <row r="702" ht="15.75" customHeight="1">
      <c r="A702" s="613"/>
      <c r="B702" s="613"/>
      <c r="C702" s="613"/>
      <c r="D702" s="613"/>
      <c r="E702" s="613"/>
      <c r="F702" s="613"/>
      <c r="G702" s="613"/>
      <c r="H702" s="613"/>
      <c r="I702" s="613"/>
      <c r="J702" s="613"/>
      <c r="K702" s="613"/>
      <c r="L702" s="613"/>
      <c r="M702" s="613"/>
      <c r="N702" s="613"/>
      <c r="O702" s="613"/>
      <c r="P702" s="613"/>
      <c r="Q702" s="613"/>
      <c r="R702" s="613"/>
      <c r="S702" s="613"/>
      <c r="T702" s="613"/>
      <c r="U702" s="613"/>
      <c r="V702" s="613"/>
      <c r="W702" s="613"/>
      <c r="X702" s="613"/>
      <c r="Y702" s="613"/>
      <c r="Z702" s="613"/>
    </row>
    <row r="703" ht="15.75" customHeight="1">
      <c r="A703" s="613"/>
      <c r="B703" s="613"/>
      <c r="C703" s="613"/>
      <c r="D703" s="613"/>
      <c r="E703" s="613"/>
      <c r="F703" s="613"/>
      <c r="G703" s="613"/>
      <c r="H703" s="613"/>
      <c r="I703" s="613"/>
      <c r="J703" s="613"/>
      <c r="K703" s="613"/>
      <c r="L703" s="613"/>
      <c r="M703" s="613"/>
      <c r="N703" s="613"/>
      <c r="O703" s="613"/>
      <c r="P703" s="613"/>
      <c r="Q703" s="613"/>
      <c r="R703" s="613"/>
      <c r="S703" s="613"/>
      <c r="T703" s="613"/>
      <c r="U703" s="613"/>
      <c r="V703" s="613"/>
      <c r="W703" s="613"/>
      <c r="X703" s="613"/>
      <c r="Y703" s="613"/>
      <c r="Z703" s="613"/>
    </row>
    <row r="704" ht="15.75" customHeight="1">
      <c r="A704" s="613"/>
      <c r="B704" s="613"/>
      <c r="C704" s="613"/>
      <c r="D704" s="613"/>
      <c r="E704" s="613"/>
      <c r="F704" s="613"/>
      <c r="G704" s="613"/>
      <c r="H704" s="613"/>
      <c r="I704" s="613"/>
      <c r="J704" s="613"/>
      <c r="K704" s="613"/>
      <c r="L704" s="613"/>
      <c r="M704" s="613"/>
      <c r="N704" s="613"/>
      <c r="O704" s="613"/>
      <c r="P704" s="613"/>
      <c r="Q704" s="613"/>
      <c r="R704" s="613"/>
      <c r="S704" s="613"/>
      <c r="T704" s="613"/>
      <c r="U704" s="613"/>
      <c r="V704" s="613"/>
      <c r="W704" s="613"/>
      <c r="X704" s="613"/>
      <c r="Y704" s="613"/>
      <c r="Z704" s="613"/>
    </row>
    <row r="705" ht="15.75" customHeight="1">
      <c r="A705" s="613"/>
      <c r="B705" s="613"/>
      <c r="C705" s="613"/>
      <c r="D705" s="613"/>
      <c r="E705" s="613"/>
      <c r="F705" s="613"/>
      <c r="G705" s="613"/>
      <c r="H705" s="613"/>
      <c r="I705" s="613"/>
      <c r="J705" s="613"/>
      <c r="K705" s="613"/>
      <c r="L705" s="613"/>
      <c r="M705" s="613"/>
      <c r="N705" s="613"/>
      <c r="O705" s="613"/>
      <c r="P705" s="613"/>
      <c r="Q705" s="613"/>
      <c r="R705" s="613"/>
      <c r="S705" s="613"/>
      <c r="T705" s="613"/>
      <c r="U705" s="613"/>
      <c r="V705" s="613"/>
      <c r="W705" s="613"/>
      <c r="X705" s="613"/>
      <c r="Y705" s="613"/>
      <c r="Z705" s="613"/>
    </row>
    <row r="706" ht="15.75" customHeight="1">
      <c r="A706" s="613"/>
      <c r="B706" s="613"/>
      <c r="C706" s="613"/>
      <c r="D706" s="613"/>
      <c r="E706" s="613"/>
      <c r="F706" s="613"/>
      <c r="G706" s="613"/>
      <c r="H706" s="613"/>
      <c r="I706" s="613"/>
      <c r="J706" s="613"/>
      <c r="K706" s="613"/>
      <c r="L706" s="613"/>
      <c r="M706" s="613"/>
      <c r="N706" s="613"/>
      <c r="O706" s="613"/>
      <c r="P706" s="613"/>
      <c r="Q706" s="613"/>
      <c r="R706" s="613"/>
      <c r="S706" s="613"/>
      <c r="T706" s="613"/>
      <c r="U706" s="613"/>
      <c r="V706" s="613"/>
      <c r="W706" s="613"/>
      <c r="X706" s="613"/>
      <c r="Y706" s="613"/>
      <c r="Z706" s="613"/>
    </row>
    <row r="707" ht="15.75" customHeight="1">
      <c r="A707" s="613"/>
      <c r="B707" s="613"/>
      <c r="C707" s="613"/>
      <c r="D707" s="613"/>
      <c r="E707" s="613"/>
      <c r="F707" s="613"/>
      <c r="G707" s="613"/>
      <c r="H707" s="613"/>
      <c r="I707" s="613"/>
      <c r="J707" s="613"/>
      <c r="K707" s="613"/>
      <c r="L707" s="613"/>
      <c r="M707" s="613"/>
      <c r="N707" s="613"/>
      <c r="O707" s="613"/>
      <c r="P707" s="613"/>
      <c r="Q707" s="613"/>
      <c r="R707" s="613"/>
      <c r="S707" s="613"/>
      <c r="T707" s="613"/>
      <c r="U707" s="613"/>
      <c r="V707" s="613"/>
      <c r="W707" s="613"/>
      <c r="X707" s="613"/>
      <c r="Y707" s="613"/>
      <c r="Z707" s="613"/>
    </row>
    <row r="708" ht="15.75" customHeight="1">
      <c r="A708" s="613"/>
      <c r="B708" s="613"/>
      <c r="C708" s="613"/>
      <c r="D708" s="613"/>
      <c r="E708" s="613"/>
      <c r="F708" s="613"/>
      <c r="G708" s="613"/>
      <c r="H708" s="613"/>
      <c r="I708" s="613"/>
      <c r="J708" s="613"/>
      <c r="K708" s="613"/>
      <c r="L708" s="613"/>
      <c r="M708" s="613"/>
      <c r="N708" s="613"/>
      <c r="O708" s="613"/>
      <c r="P708" s="613"/>
      <c r="Q708" s="613"/>
      <c r="R708" s="613"/>
      <c r="S708" s="613"/>
      <c r="T708" s="613"/>
      <c r="U708" s="613"/>
      <c r="V708" s="613"/>
      <c r="W708" s="613"/>
      <c r="X708" s="613"/>
      <c r="Y708" s="613"/>
      <c r="Z708" s="613"/>
    </row>
    <row r="709" ht="15.75" customHeight="1">
      <c r="A709" s="613"/>
      <c r="B709" s="613"/>
      <c r="C709" s="613"/>
      <c r="D709" s="613"/>
      <c r="E709" s="613"/>
      <c r="F709" s="613"/>
      <c r="G709" s="613"/>
      <c r="H709" s="613"/>
      <c r="I709" s="613"/>
      <c r="J709" s="613"/>
      <c r="K709" s="613"/>
      <c r="L709" s="613"/>
      <c r="M709" s="613"/>
      <c r="N709" s="613"/>
      <c r="O709" s="613"/>
      <c r="P709" s="613"/>
      <c r="Q709" s="613"/>
      <c r="R709" s="613"/>
      <c r="S709" s="613"/>
      <c r="T709" s="613"/>
      <c r="U709" s="613"/>
      <c r="V709" s="613"/>
      <c r="W709" s="613"/>
      <c r="X709" s="613"/>
      <c r="Y709" s="613"/>
      <c r="Z709" s="613"/>
    </row>
    <row r="710" ht="15.75" customHeight="1">
      <c r="A710" s="613"/>
      <c r="B710" s="613"/>
      <c r="C710" s="613"/>
      <c r="D710" s="613"/>
      <c r="E710" s="613"/>
      <c r="F710" s="613"/>
      <c r="G710" s="613"/>
      <c r="H710" s="613"/>
      <c r="I710" s="613"/>
      <c r="J710" s="613"/>
      <c r="K710" s="613"/>
      <c r="L710" s="613"/>
      <c r="M710" s="613"/>
      <c r="N710" s="613"/>
      <c r="O710" s="613"/>
      <c r="P710" s="613"/>
      <c r="Q710" s="613"/>
      <c r="R710" s="613"/>
      <c r="S710" s="613"/>
      <c r="T710" s="613"/>
      <c r="U710" s="613"/>
      <c r="V710" s="613"/>
      <c r="W710" s="613"/>
      <c r="X710" s="613"/>
      <c r="Y710" s="613"/>
      <c r="Z710" s="613"/>
    </row>
    <row r="711" ht="15.75" customHeight="1">
      <c r="A711" s="613"/>
      <c r="B711" s="613"/>
      <c r="C711" s="613"/>
      <c r="D711" s="613"/>
      <c r="E711" s="613"/>
      <c r="F711" s="613"/>
      <c r="G711" s="613"/>
      <c r="H711" s="613"/>
      <c r="I711" s="613"/>
      <c r="J711" s="613"/>
      <c r="K711" s="613"/>
      <c r="L711" s="613"/>
      <c r="M711" s="613"/>
      <c r="N711" s="613"/>
      <c r="O711" s="613"/>
      <c r="P711" s="613"/>
      <c r="Q711" s="613"/>
      <c r="R711" s="613"/>
      <c r="S711" s="613"/>
      <c r="T711" s="613"/>
      <c r="U711" s="613"/>
      <c r="V711" s="613"/>
      <c r="W711" s="613"/>
      <c r="X711" s="613"/>
      <c r="Y711" s="613"/>
      <c r="Z711" s="613"/>
    </row>
    <row r="712" ht="15.75" customHeight="1">
      <c r="A712" s="613"/>
      <c r="B712" s="613"/>
      <c r="C712" s="613"/>
      <c r="D712" s="613"/>
      <c r="E712" s="613"/>
      <c r="F712" s="613"/>
      <c r="G712" s="613"/>
      <c r="H712" s="613"/>
      <c r="I712" s="613"/>
      <c r="J712" s="613"/>
      <c r="K712" s="613"/>
      <c r="L712" s="613"/>
      <c r="M712" s="613"/>
      <c r="N712" s="613"/>
      <c r="O712" s="613"/>
      <c r="P712" s="613"/>
      <c r="Q712" s="613"/>
      <c r="R712" s="613"/>
      <c r="S712" s="613"/>
      <c r="T712" s="613"/>
      <c r="U712" s="613"/>
      <c r="V712" s="613"/>
      <c r="W712" s="613"/>
      <c r="X712" s="613"/>
      <c r="Y712" s="613"/>
      <c r="Z712" s="613"/>
    </row>
    <row r="713" ht="15.75" customHeight="1">
      <c r="A713" s="613"/>
      <c r="B713" s="613"/>
      <c r="C713" s="613"/>
      <c r="D713" s="613"/>
      <c r="E713" s="613"/>
      <c r="F713" s="613"/>
      <c r="G713" s="613"/>
      <c r="H713" s="613"/>
      <c r="I713" s="613"/>
      <c r="J713" s="613"/>
      <c r="K713" s="613"/>
      <c r="L713" s="613"/>
      <c r="M713" s="613"/>
      <c r="N713" s="613"/>
      <c r="O713" s="613"/>
      <c r="P713" s="613"/>
      <c r="Q713" s="613"/>
      <c r="R713" s="613"/>
      <c r="S713" s="613"/>
      <c r="T713" s="613"/>
      <c r="U713" s="613"/>
      <c r="V713" s="613"/>
      <c r="W713" s="613"/>
      <c r="X713" s="613"/>
      <c r="Y713" s="613"/>
      <c r="Z713" s="613"/>
    </row>
    <row r="714" ht="15.75" customHeight="1">
      <c r="A714" s="613"/>
      <c r="B714" s="613"/>
      <c r="C714" s="613"/>
      <c r="D714" s="613"/>
      <c r="E714" s="613"/>
      <c r="F714" s="613"/>
      <c r="G714" s="613"/>
      <c r="H714" s="613"/>
      <c r="I714" s="613"/>
      <c r="J714" s="613"/>
      <c r="K714" s="613"/>
      <c r="L714" s="613"/>
      <c r="M714" s="613"/>
      <c r="N714" s="613"/>
      <c r="O714" s="613"/>
      <c r="P714" s="613"/>
      <c r="Q714" s="613"/>
      <c r="R714" s="613"/>
      <c r="S714" s="613"/>
      <c r="T714" s="613"/>
      <c r="U714" s="613"/>
      <c r="V714" s="613"/>
      <c r="W714" s="613"/>
      <c r="X714" s="613"/>
      <c r="Y714" s="613"/>
      <c r="Z714" s="613"/>
    </row>
    <row r="715" ht="15.75" customHeight="1">
      <c r="A715" s="613"/>
      <c r="B715" s="613"/>
      <c r="C715" s="613"/>
      <c r="D715" s="613"/>
      <c r="E715" s="613"/>
      <c r="F715" s="613"/>
      <c r="G715" s="613"/>
      <c r="H715" s="613"/>
      <c r="I715" s="613"/>
      <c r="J715" s="613"/>
      <c r="K715" s="613"/>
      <c r="L715" s="613"/>
      <c r="M715" s="613"/>
      <c r="N715" s="613"/>
      <c r="O715" s="613"/>
      <c r="P715" s="613"/>
      <c r="Q715" s="613"/>
      <c r="R715" s="613"/>
      <c r="S715" s="613"/>
      <c r="T715" s="613"/>
      <c r="U715" s="613"/>
      <c r="V715" s="613"/>
      <c r="W715" s="613"/>
      <c r="X715" s="613"/>
      <c r="Y715" s="613"/>
      <c r="Z715" s="613"/>
    </row>
    <row r="716" ht="15.75" customHeight="1">
      <c r="A716" s="613"/>
      <c r="B716" s="613"/>
      <c r="C716" s="613"/>
      <c r="D716" s="613"/>
      <c r="E716" s="613"/>
      <c r="F716" s="613"/>
      <c r="G716" s="613"/>
      <c r="H716" s="613"/>
      <c r="I716" s="613"/>
      <c r="J716" s="613"/>
      <c r="K716" s="613"/>
      <c r="L716" s="613"/>
      <c r="M716" s="613"/>
      <c r="N716" s="613"/>
      <c r="O716" s="613"/>
      <c r="P716" s="613"/>
      <c r="Q716" s="613"/>
      <c r="R716" s="613"/>
      <c r="S716" s="613"/>
      <c r="T716" s="613"/>
      <c r="U716" s="613"/>
      <c r="V716" s="613"/>
      <c r="W716" s="613"/>
      <c r="X716" s="613"/>
      <c r="Y716" s="613"/>
      <c r="Z716" s="613"/>
    </row>
    <row r="717" ht="15.75" customHeight="1">
      <c r="A717" s="613"/>
      <c r="B717" s="613"/>
      <c r="C717" s="613"/>
      <c r="D717" s="613"/>
      <c r="E717" s="613"/>
      <c r="F717" s="613"/>
      <c r="G717" s="613"/>
      <c r="H717" s="613"/>
      <c r="I717" s="613"/>
      <c r="J717" s="613"/>
      <c r="K717" s="613"/>
      <c r="L717" s="613"/>
      <c r="M717" s="613"/>
      <c r="N717" s="613"/>
      <c r="O717" s="613"/>
      <c r="P717" s="613"/>
      <c r="Q717" s="613"/>
      <c r="R717" s="613"/>
      <c r="S717" s="613"/>
      <c r="T717" s="613"/>
      <c r="U717" s="613"/>
      <c r="V717" s="613"/>
      <c r="W717" s="613"/>
      <c r="X717" s="613"/>
      <c r="Y717" s="613"/>
      <c r="Z717" s="613"/>
    </row>
    <row r="718" ht="15.75" customHeight="1">
      <c r="A718" s="613"/>
      <c r="B718" s="613"/>
      <c r="C718" s="613"/>
      <c r="D718" s="613"/>
      <c r="E718" s="613"/>
      <c r="F718" s="613"/>
      <c r="G718" s="613"/>
      <c r="H718" s="613"/>
      <c r="I718" s="613"/>
      <c r="J718" s="613"/>
      <c r="K718" s="613"/>
      <c r="L718" s="613"/>
      <c r="M718" s="613"/>
      <c r="N718" s="613"/>
      <c r="O718" s="613"/>
      <c r="P718" s="613"/>
      <c r="Q718" s="613"/>
      <c r="R718" s="613"/>
      <c r="S718" s="613"/>
      <c r="T718" s="613"/>
      <c r="U718" s="613"/>
      <c r="V718" s="613"/>
      <c r="W718" s="613"/>
      <c r="X718" s="613"/>
      <c r="Y718" s="613"/>
      <c r="Z718" s="613"/>
    </row>
    <row r="719" ht="15.75" customHeight="1">
      <c r="A719" s="613"/>
      <c r="B719" s="613"/>
      <c r="C719" s="613"/>
      <c r="D719" s="613"/>
      <c r="E719" s="613"/>
      <c r="F719" s="613"/>
      <c r="G719" s="613"/>
      <c r="H719" s="613"/>
      <c r="I719" s="613"/>
      <c r="J719" s="613"/>
      <c r="K719" s="613"/>
      <c r="L719" s="613"/>
      <c r="M719" s="613"/>
      <c r="N719" s="613"/>
      <c r="O719" s="613"/>
      <c r="P719" s="613"/>
      <c r="Q719" s="613"/>
      <c r="R719" s="613"/>
      <c r="S719" s="613"/>
      <c r="T719" s="613"/>
      <c r="U719" s="613"/>
      <c r="V719" s="613"/>
      <c r="W719" s="613"/>
      <c r="X719" s="613"/>
      <c r="Y719" s="613"/>
      <c r="Z719" s="613"/>
    </row>
    <row r="720" ht="15.75" customHeight="1">
      <c r="A720" s="613"/>
      <c r="B720" s="613"/>
      <c r="C720" s="613"/>
      <c r="D720" s="613"/>
      <c r="E720" s="613"/>
      <c r="F720" s="613"/>
      <c r="G720" s="613"/>
      <c r="H720" s="613"/>
      <c r="I720" s="613"/>
      <c r="J720" s="613"/>
      <c r="K720" s="613"/>
      <c r="L720" s="613"/>
      <c r="M720" s="613"/>
      <c r="N720" s="613"/>
      <c r="O720" s="613"/>
      <c r="P720" s="613"/>
      <c r="Q720" s="613"/>
      <c r="R720" s="613"/>
      <c r="S720" s="613"/>
      <c r="T720" s="613"/>
      <c r="U720" s="613"/>
      <c r="V720" s="613"/>
      <c r="W720" s="613"/>
      <c r="X720" s="613"/>
      <c r="Y720" s="613"/>
      <c r="Z720" s="613"/>
    </row>
    <row r="721" ht="15.75" customHeight="1">
      <c r="A721" s="613"/>
      <c r="B721" s="613"/>
      <c r="C721" s="613"/>
      <c r="D721" s="613"/>
      <c r="E721" s="613"/>
      <c r="F721" s="613"/>
      <c r="G721" s="613"/>
      <c r="H721" s="613"/>
      <c r="I721" s="613"/>
      <c r="J721" s="613"/>
      <c r="K721" s="613"/>
      <c r="L721" s="613"/>
      <c r="M721" s="613"/>
      <c r="N721" s="613"/>
      <c r="O721" s="613"/>
      <c r="P721" s="613"/>
      <c r="Q721" s="613"/>
      <c r="R721" s="613"/>
      <c r="S721" s="613"/>
      <c r="T721" s="613"/>
      <c r="U721" s="613"/>
      <c r="V721" s="613"/>
      <c r="W721" s="613"/>
      <c r="X721" s="613"/>
      <c r="Y721" s="613"/>
      <c r="Z721" s="613"/>
    </row>
    <row r="722" ht="15.75" customHeight="1">
      <c r="A722" s="613"/>
      <c r="B722" s="613"/>
      <c r="C722" s="613"/>
      <c r="D722" s="613"/>
      <c r="E722" s="613"/>
      <c r="F722" s="613"/>
      <c r="G722" s="613"/>
      <c r="H722" s="613"/>
      <c r="I722" s="613"/>
      <c r="J722" s="613"/>
      <c r="K722" s="613"/>
      <c r="L722" s="613"/>
      <c r="M722" s="613"/>
      <c r="N722" s="613"/>
      <c r="O722" s="613"/>
      <c r="P722" s="613"/>
      <c r="Q722" s="613"/>
      <c r="R722" s="613"/>
      <c r="S722" s="613"/>
      <c r="T722" s="613"/>
      <c r="U722" s="613"/>
      <c r="V722" s="613"/>
      <c r="W722" s="613"/>
      <c r="X722" s="613"/>
      <c r="Y722" s="613"/>
      <c r="Z722" s="613"/>
    </row>
    <row r="723" ht="15.75" customHeight="1">
      <c r="A723" s="613"/>
      <c r="B723" s="613"/>
      <c r="C723" s="613"/>
      <c r="D723" s="613"/>
      <c r="E723" s="613"/>
      <c r="F723" s="613"/>
      <c r="G723" s="613"/>
      <c r="H723" s="613"/>
      <c r="I723" s="613"/>
      <c r="J723" s="613"/>
      <c r="K723" s="613"/>
      <c r="L723" s="613"/>
      <c r="M723" s="613"/>
      <c r="N723" s="613"/>
      <c r="O723" s="613"/>
      <c r="P723" s="613"/>
      <c r="Q723" s="613"/>
      <c r="R723" s="613"/>
      <c r="S723" s="613"/>
      <c r="T723" s="613"/>
      <c r="U723" s="613"/>
      <c r="V723" s="613"/>
      <c r="W723" s="613"/>
      <c r="X723" s="613"/>
      <c r="Y723" s="613"/>
      <c r="Z723" s="613"/>
    </row>
    <row r="724" ht="15.75" customHeight="1">
      <c r="A724" s="613"/>
      <c r="B724" s="613"/>
      <c r="C724" s="613"/>
      <c r="D724" s="613"/>
      <c r="E724" s="613"/>
      <c r="F724" s="613"/>
      <c r="G724" s="613"/>
      <c r="H724" s="613"/>
      <c r="I724" s="613"/>
      <c r="J724" s="613"/>
      <c r="K724" s="613"/>
      <c r="L724" s="613"/>
      <c r="M724" s="613"/>
      <c r="N724" s="613"/>
      <c r="O724" s="613"/>
      <c r="P724" s="613"/>
      <c r="Q724" s="613"/>
      <c r="R724" s="613"/>
      <c r="S724" s="613"/>
      <c r="T724" s="613"/>
      <c r="U724" s="613"/>
      <c r="V724" s="613"/>
      <c r="W724" s="613"/>
      <c r="X724" s="613"/>
      <c r="Y724" s="613"/>
      <c r="Z724" s="613"/>
    </row>
    <row r="725" ht="15.75" customHeight="1">
      <c r="A725" s="613"/>
      <c r="B725" s="613"/>
      <c r="C725" s="613"/>
      <c r="D725" s="613"/>
      <c r="E725" s="613"/>
      <c r="F725" s="613"/>
      <c r="G725" s="613"/>
      <c r="H725" s="613"/>
      <c r="I725" s="613"/>
      <c r="J725" s="613"/>
      <c r="K725" s="613"/>
      <c r="L725" s="613"/>
      <c r="M725" s="613"/>
      <c r="N725" s="613"/>
      <c r="O725" s="613"/>
      <c r="P725" s="613"/>
      <c r="Q725" s="613"/>
      <c r="R725" s="613"/>
      <c r="S725" s="613"/>
      <c r="T725" s="613"/>
      <c r="U725" s="613"/>
      <c r="V725" s="613"/>
      <c r="W725" s="613"/>
      <c r="X725" s="613"/>
      <c r="Y725" s="613"/>
      <c r="Z725" s="613"/>
    </row>
    <row r="726" ht="15.75" customHeight="1">
      <c r="A726" s="613"/>
      <c r="B726" s="613"/>
      <c r="C726" s="613"/>
      <c r="D726" s="613"/>
      <c r="E726" s="613"/>
      <c r="F726" s="613"/>
      <c r="G726" s="613"/>
      <c r="H726" s="613"/>
      <c r="I726" s="613"/>
      <c r="J726" s="613"/>
      <c r="K726" s="613"/>
      <c r="L726" s="613"/>
      <c r="M726" s="613"/>
      <c r="N726" s="613"/>
      <c r="O726" s="613"/>
      <c r="P726" s="613"/>
      <c r="Q726" s="613"/>
      <c r="R726" s="613"/>
      <c r="S726" s="613"/>
      <c r="T726" s="613"/>
      <c r="U726" s="613"/>
      <c r="V726" s="613"/>
      <c r="W726" s="613"/>
      <c r="X726" s="613"/>
      <c r="Y726" s="613"/>
      <c r="Z726" s="613"/>
    </row>
    <row r="727" ht="15.75" customHeight="1">
      <c r="A727" s="613"/>
      <c r="B727" s="613"/>
      <c r="C727" s="613"/>
      <c r="D727" s="613"/>
      <c r="E727" s="613"/>
      <c r="F727" s="613"/>
      <c r="G727" s="613"/>
      <c r="H727" s="613"/>
      <c r="I727" s="613"/>
      <c r="J727" s="613"/>
      <c r="K727" s="613"/>
      <c r="L727" s="613"/>
      <c r="M727" s="613"/>
      <c r="N727" s="613"/>
      <c r="O727" s="613"/>
      <c r="P727" s="613"/>
      <c r="Q727" s="613"/>
      <c r="R727" s="613"/>
      <c r="S727" s="613"/>
      <c r="T727" s="613"/>
      <c r="U727" s="613"/>
      <c r="V727" s="613"/>
      <c r="W727" s="613"/>
      <c r="X727" s="613"/>
      <c r="Y727" s="613"/>
      <c r="Z727" s="613"/>
    </row>
    <row r="728" ht="15.75" customHeight="1">
      <c r="A728" s="613"/>
      <c r="B728" s="613"/>
      <c r="C728" s="613"/>
      <c r="D728" s="613"/>
      <c r="E728" s="613"/>
      <c r="F728" s="613"/>
      <c r="G728" s="613"/>
      <c r="H728" s="613"/>
      <c r="I728" s="613"/>
      <c r="J728" s="613"/>
      <c r="K728" s="613"/>
      <c r="L728" s="613"/>
      <c r="M728" s="613"/>
      <c r="N728" s="613"/>
      <c r="O728" s="613"/>
      <c r="P728" s="613"/>
      <c r="Q728" s="613"/>
      <c r="R728" s="613"/>
      <c r="S728" s="613"/>
      <c r="T728" s="613"/>
      <c r="U728" s="613"/>
      <c r="V728" s="613"/>
      <c r="W728" s="613"/>
      <c r="X728" s="613"/>
      <c r="Y728" s="613"/>
      <c r="Z728" s="613"/>
    </row>
    <row r="729" ht="15.75" customHeight="1">
      <c r="A729" s="613"/>
      <c r="B729" s="613"/>
      <c r="C729" s="613"/>
      <c r="D729" s="613"/>
      <c r="E729" s="613"/>
      <c r="F729" s="613"/>
      <c r="G729" s="613"/>
      <c r="H729" s="613"/>
      <c r="I729" s="613"/>
      <c r="J729" s="613"/>
      <c r="K729" s="613"/>
      <c r="L729" s="613"/>
      <c r="M729" s="613"/>
      <c r="N729" s="613"/>
      <c r="O729" s="613"/>
      <c r="P729" s="613"/>
      <c r="Q729" s="613"/>
      <c r="R729" s="613"/>
      <c r="S729" s="613"/>
      <c r="T729" s="613"/>
      <c r="U729" s="613"/>
      <c r="V729" s="613"/>
      <c r="W729" s="613"/>
      <c r="X729" s="613"/>
      <c r="Y729" s="613"/>
      <c r="Z729" s="613"/>
    </row>
    <row r="730" ht="15.75" customHeight="1">
      <c r="A730" s="613"/>
      <c r="B730" s="613"/>
      <c r="C730" s="613"/>
      <c r="D730" s="613"/>
      <c r="E730" s="613"/>
      <c r="F730" s="613"/>
      <c r="G730" s="613"/>
      <c r="H730" s="613"/>
      <c r="I730" s="613"/>
      <c r="J730" s="613"/>
      <c r="K730" s="613"/>
      <c r="L730" s="613"/>
      <c r="M730" s="613"/>
      <c r="N730" s="613"/>
      <c r="O730" s="613"/>
      <c r="P730" s="613"/>
      <c r="Q730" s="613"/>
      <c r="R730" s="613"/>
      <c r="S730" s="613"/>
      <c r="T730" s="613"/>
      <c r="U730" s="613"/>
      <c r="V730" s="613"/>
      <c r="W730" s="613"/>
      <c r="X730" s="613"/>
      <c r="Y730" s="613"/>
      <c r="Z730" s="613"/>
    </row>
    <row r="731" ht="15.75" customHeight="1">
      <c r="A731" s="613"/>
      <c r="B731" s="613"/>
      <c r="C731" s="613"/>
      <c r="D731" s="613"/>
      <c r="E731" s="613"/>
      <c r="F731" s="613"/>
      <c r="G731" s="613"/>
      <c r="H731" s="613"/>
      <c r="I731" s="613"/>
      <c r="J731" s="613"/>
      <c r="K731" s="613"/>
      <c r="L731" s="613"/>
      <c r="M731" s="613"/>
      <c r="N731" s="613"/>
      <c r="O731" s="613"/>
      <c r="P731" s="613"/>
      <c r="Q731" s="613"/>
      <c r="R731" s="613"/>
      <c r="S731" s="613"/>
      <c r="T731" s="613"/>
      <c r="U731" s="613"/>
      <c r="V731" s="613"/>
      <c r="W731" s="613"/>
      <c r="X731" s="613"/>
      <c r="Y731" s="613"/>
      <c r="Z731" s="613"/>
    </row>
    <row r="732" ht="15.75" customHeight="1">
      <c r="A732" s="613"/>
      <c r="B732" s="613"/>
      <c r="C732" s="613"/>
      <c r="D732" s="613"/>
      <c r="E732" s="613"/>
      <c r="F732" s="613"/>
      <c r="G732" s="613"/>
      <c r="H732" s="613"/>
      <c r="I732" s="613"/>
      <c r="J732" s="613"/>
      <c r="K732" s="613"/>
      <c r="L732" s="613"/>
      <c r="M732" s="613"/>
      <c r="N732" s="613"/>
      <c r="O732" s="613"/>
      <c r="P732" s="613"/>
      <c r="Q732" s="613"/>
      <c r="R732" s="613"/>
      <c r="S732" s="613"/>
      <c r="T732" s="613"/>
      <c r="U732" s="613"/>
      <c r="V732" s="613"/>
      <c r="W732" s="613"/>
      <c r="X732" s="613"/>
      <c r="Y732" s="613"/>
      <c r="Z732" s="613"/>
    </row>
    <row r="733" ht="15.75" customHeight="1">
      <c r="A733" s="613"/>
      <c r="B733" s="613"/>
      <c r="C733" s="613"/>
      <c r="D733" s="613"/>
      <c r="E733" s="613"/>
      <c r="F733" s="613"/>
      <c r="G733" s="613"/>
      <c r="H733" s="613"/>
      <c r="I733" s="613"/>
      <c r="J733" s="613"/>
      <c r="K733" s="613"/>
      <c r="L733" s="613"/>
      <c r="M733" s="613"/>
      <c r="N733" s="613"/>
      <c r="O733" s="613"/>
      <c r="P733" s="613"/>
      <c r="Q733" s="613"/>
      <c r="R733" s="613"/>
      <c r="S733" s="613"/>
      <c r="T733" s="613"/>
      <c r="U733" s="613"/>
      <c r="V733" s="613"/>
      <c r="W733" s="613"/>
      <c r="X733" s="613"/>
      <c r="Y733" s="613"/>
      <c r="Z733" s="613"/>
    </row>
    <row r="734" ht="15.75" customHeight="1">
      <c r="A734" s="613"/>
      <c r="B734" s="613"/>
      <c r="C734" s="613"/>
      <c r="D734" s="613"/>
      <c r="E734" s="613"/>
      <c r="F734" s="613"/>
      <c r="G734" s="613"/>
      <c r="H734" s="613"/>
      <c r="I734" s="613"/>
      <c r="J734" s="613"/>
      <c r="K734" s="613"/>
      <c r="L734" s="613"/>
      <c r="M734" s="613"/>
      <c r="N734" s="613"/>
      <c r="O734" s="613"/>
      <c r="P734" s="613"/>
      <c r="Q734" s="613"/>
      <c r="R734" s="613"/>
      <c r="S734" s="613"/>
      <c r="T734" s="613"/>
      <c r="U734" s="613"/>
      <c r="V734" s="613"/>
      <c r="W734" s="613"/>
      <c r="X734" s="613"/>
      <c r="Y734" s="613"/>
      <c r="Z734" s="613"/>
    </row>
    <row r="735" ht="15.75" customHeight="1">
      <c r="A735" s="613"/>
      <c r="B735" s="613"/>
      <c r="C735" s="613"/>
      <c r="D735" s="613"/>
      <c r="E735" s="613"/>
      <c r="F735" s="613"/>
      <c r="G735" s="613"/>
      <c r="H735" s="613"/>
      <c r="I735" s="613"/>
      <c r="J735" s="613"/>
      <c r="K735" s="613"/>
      <c r="L735" s="613"/>
      <c r="M735" s="613"/>
      <c r="N735" s="613"/>
      <c r="O735" s="613"/>
      <c r="P735" s="613"/>
      <c r="Q735" s="613"/>
      <c r="R735" s="613"/>
      <c r="S735" s="613"/>
      <c r="T735" s="613"/>
      <c r="U735" s="613"/>
      <c r="V735" s="613"/>
      <c r="W735" s="613"/>
      <c r="X735" s="613"/>
      <c r="Y735" s="613"/>
      <c r="Z735" s="613"/>
    </row>
    <row r="736" ht="15.75" customHeight="1">
      <c r="A736" s="613"/>
      <c r="B736" s="613"/>
      <c r="C736" s="613"/>
      <c r="D736" s="613"/>
      <c r="E736" s="613"/>
      <c r="F736" s="613"/>
      <c r="G736" s="613"/>
      <c r="H736" s="613"/>
      <c r="I736" s="613"/>
      <c r="J736" s="613"/>
      <c r="K736" s="613"/>
      <c r="L736" s="613"/>
      <c r="M736" s="613"/>
      <c r="N736" s="613"/>
      <c r="O736" s="613"/>
      <c r="P736" s="613"/>
      <c r="Q736" s="613"/>
      <c r="R736" s="613"/>
      <c r="S736" s="613"/>
      <c r="T736" s="613"/>
      <c r="U736" s="613"/>
      <c r="V736" s="613"/>
      <c r="W736" s="613"/>
      <c r="X736" s="613"/>
      <c r="Y736" s="613"/>
      <c r="Z736" s="613"/>
    </row>
    <row r="737" ht="15.75" customHeight="1">
      <c r="A737" s="613"/>
      <c r="B737" s="613"/>
      <c r="C737" s="613"/>
      <c r="D737" s="613"/>
      <c r="E737" s="613"/>
      <c r="F737" s="613"/>
      <c r="G737" s="613"/>
      <c r="H737" s="613"/>
      <c r="I737" s="613"/>
      <c r="J737" s="613"/>
      <c r="K737" s="613"/>
      <c r="L737" s="613"/>
      <c r="M737" s="613"/>
      <c r="N737" s="613"/>
      <c r="O737" s="613"/>
      <c r="P737" s="613"/>
      <c r="Q737" s="613"/>
      <c r="R737" s="613"/>
      <c r="S737" s="613"/>
      <c r="T737" s="613"/>
      <c r="U737" s="613"/>
      <c r="V737" s="613"/>
      <c r="W737" s="613"/>
      <c r="X737" s="613"/>
      <c r="Y737" s="613"/>
      <c r="Z737" s="613"/>
    </row>
    <row r="738" ht="15.75" customHeight="1">
      <c r="A738" s="613"/>
      <c r="B738" s="613"/>
      <c r="C738" s="613"/>
      <c r="D738" s="613"/>
      <c r="E738" s="613"/>
      <c r="F738" s="613"/>
      <c r="G738" s="613"/>
      <c r="H738" s="613"/>
      <c r="I738" s="613"/>
      <c r="J738" s="613"/>
      <c r="K738" s="613"/>
      <c r="L738" s="613"/>
      <c r="M738" s="613"/>
      <c r="N738" s="613"/>
      <c r="O738" s="613"/>
      <c r="P738" s="613"/>
      <c r="Q738" s="613"/>
      <c r="R738" s="613"/>
      <c r="S738" s="613"/>
      <c r="T738" s="613"/>
      <c r="U738" s="613"/>
      <c r="V738" s="613"/>
      <c r="W738" s="613"/>
      <c r="X738" s="613"/>
      <c r="Y738" s="613"/>
      <c r="Z738" s="613"/>
    </row>
    <row r="739" ht="15.75" customHeight="1">
      <c r="A739" s="613"/>
      <c r="B739" s="613"/>
      <c r="C739" s="613"/>
      <c r="D739" s="613"/>
      <c r="E739" s="613"/>
      <c r="F739" s="613"/>
      <c r="G739" s="613"/>
      <c r="H739" s="613"/>
      <c r="I739" s="613"/>
      <c r="J739" s="613"/>
      <c r="K739" s="613"/>
      <c r="L739" s="613"/>
      <c r="M739" s="613"/>
      <c r="N739" s="613"/>
      <c r="O739" s="613"/>
      <c r="P739" s="613"/>
      <c r="Q739" s="613"/>
      <c r="R739" s="613"/>
      <c r="S739" s="613"/>
      <c r="T739" s="613"/>
      <c r="U739" s="613"/>
      <c r="V739" s="613"/>
      <c r="W739" s="613"/>
      <c r="X739" s="613"/>
      <c r="Y739" s="613"/>
      <c r="Z739" s="613"/>
    </row>
    <row r="740" ht="15.75" customHeight="1">
      <c r="A740" s="613"/>
      <c r="B740" s="613"/>
      <c r="C740" s="613"/>
      <c r="D740" s="613"/>
      <c r="E740" s="613"/>
      <c r="F740" s="613"/>
      <c r="G740" s="613"/>
      <c r="H740" s="613"/>
      <c r="I740" s="613"/>
      <c r="J740" s="613"/>
      <c r="K740" s="613"/>
      <c r="L740" s="613"/>
      <c r="M740" s="613"/>
      <c r="N740" s="613"/>
      <c r="O740" s="613"/>
      <c r="P740" s="613"/>
      <c r="Q740" s="613"/>
      <c r="R740" s="613"/>
      <c r="S740" s="613"/>
      <c r="T740" s="613"/>
      <c r="U740" s="613"/>
      <c r="V740" s="613"/>
      <c r="W740" s="613"/>
      <c r="X740" s="613"/>
      <c r="Y740" s="613"/>
      <c r="Z740" s="613"/>
    </row>
    <row r="741" ht="15.75" customHeight="1">
      <c r="A741" s="613"/>
      <c r="B741" s="613"/>
      <c r="C741" s="613"/>
      <c r="D741" s="613"/>
      <c r="E741" s="613"/>
      <c r="F741" s="613"/>
      <c r="G741" s="613"/>
      <c r="H741" s="613"/>
      <c r="I741" s="613"/>
      <c r="J741" s="613"/>
      <c r="K741" s="613"/>
      <c r="L741" s="613"/>
      <c r="M741" s="613"/>
      <c r="N741" s="613"/>
      <c r="O741" s="613"/>
      <c r="P741" s="613"/>
      <c r="Q741" s="613"/>
      <c r="R741" s="613"/>
      <c r="S741" s="613"/>
      <c r="T741" s="613"/>
      <c r="U741" s="613"/>
      <c r="V741" s="613"/>
      <c r="W741" s="613"/>
      <c r="X741" s="613"/>
      <c r="Y741" s="613"/>
      <c r="Z741" s="613"/>
    </row>
    <row r="742" ht="15.75" customHeight="1">
      <c r="A742" s="613"/>
      <c r="B742" s="613"/>
      <c r="C742" s="613"/>
      <c r="D742" s="613"/>
      <c r="E742" s="613"/>
      <c r="F742" s="613"/>
      <c r="G742" s="613"/>
      <c r="H742" s="613"/>
      <c r="I742" s="613"/>
      <c r="J742" s="613"/>
      <c r="K742" s="613"/>
      <c r="L742" s="613"/>
      <c r="M742" s="613"/>
      <c r="N742" s="613"/>
      <c r="O742" s="613"/>
      <c r="P742" s="613"/>
      <c r="Q742" s="613"/>
      <c r="R742" s="613"/>
      <c r="S742" s="613"/>
      <c r="T742" s="613"/>
      <c r="U742" s="613"/>
      <c r="V742" s="613"/>
      <c r="W742" s="613"/>
      <c r="X742" s="613"/>
      <c r="Y742" s="613"/>
      <c r="Z742" s="613"/>
    </row>
    <row r="743" ht="15.75" customHeight="1">
      <c r="A743" s="613"/>
      <c r="B743" s="613"/>
      <c r="C743" s="613"/>
      <c r="D743" s="613"/>
      <c r="E743" s="613"/>
      <c r="F743" s="613"/>
      <c r="G743" s="613"/>
      <c r="H743" s="613"/>
      <c r="I743" s="613"/>
      <c r="J743" s="613"/>
      <c r="K743" s="613"/>
      <c r="L743" s="613"/>
      <c r="M743" s="613"/>
      <c r="N743" s="613"/>
      <c r="O743" s="613"/>
      <c r="P743" s="613"/>
      <c r="Q743" s="613"/>
      <c r="R743" s="613"/>
      <c r="S743" s="613"/>
      <c r="T743" s="613"/>
      <c r="U743" s="613"/>
      <c r="V743" s="613"/>
      <c r="W743" s="613"/>
      <c r="X743" s="613"/>
      <c r="Y743" s="613"/>
      <c r="Z743" s="613"/>
    </row>
    <row r="744" ht="15.75" customHeight="1">
      <c r="A744" s="613"/>
      <c r="B744" s="613"/>
      <c r="C744" s="613"/>
      <c r="D744" s="613"/>
      <c r="E744" s="613"/>
      <c r="F744" s="613"/>
      <c r="G744" s="613"/>
      <c r="H744" s="613"/>
      <c r="I744" s="613"/>
      <c r="J744" s="613"/>
      <c r="K744" s="613"/>
      <c r="L744" s="613"/>
      <c r="M744" s="613"/>
      <c r="N744" s="613"/>
      <c r="O744" s="613"/>
      <c r="P744" s="613"/>
      <c r="Q744" s="613"/>
      <c r="R744" s="613"/>
      <c r="S744" s="613"/>
      <c r="T744" s="613"/>
      <c r="U744" s="613"/>
      <c r="V744" s="613"/>
      <c r="W744" s="613"/>
      <c r="X744" s="613"/>
      <c r="Y744" s="613"/>
      <c r="Z744" s="613"/>
    </row>
    <row r="745" ht="15.75" customHeight="1">
      <c r="A745" s="613"/>
      <c r="B745" s="613"/>
      <c r="C745" s="613"/>
      <c r="D745" s="613"/>
      <c r="E745" s="613"/>
      <c r="F745" s="613"/>
      <c r="G745" s="613"/>
      <c r="H745" s="613"/>
      <c r="I745" s="613"/>
      <c r="J745" s="613"/>
      <c r="K745" s="613"/>
      <c r="L745" s="613"/>
      <c r="M745" s="613"/>
      <c r="N745" s="613"/>
      <c r="O745" s="613"/>
      <c r="P745" s="613"/>
      <c r="Q745" s="613"/>
      <c r="R745" s="613"/>
      <c r="S745" s="613"/>
      <c r="T745" s="613"/>
      <c r="U745" s="613"/>
      <c r="V745" s="613"/>
      <c r="W745" s="613"/>
      <c r="X745" s="613"/>
      <c r="Y745" s="613"/>
      <c r="Z745" s="613"/>
    </row>
    <row r="746" ht="15.75" customHeight="1">
      <c r="A746" s="613"/>
      <c r="B746" s="613"/>
      <c r="C746" s="613"/>
      <c r="D746" s="613"/>
      <c r="E746" s="613"/>
      <c r="F746" s="613"/>
      <c r="G746" s="613"/>
      <c r="H746" s="613"/>
      <c r="I746" s="613"/>
      <c r="J746" s="613"/>
      <c r="K746" s="613"/>
      <c r="L746" s="613"/>
      <c r="M746" s="613"/>
      <c r="N746" s="613"/>
      <c r="O746" s="613"/>
      <c r="P746" s="613"/>
      <c r="Q746" s="613"/>
      <c r="R746" s="613"/>
      <c r="S746" s="613"/>
      <c r="T746" s="613"/>
      <c r="U746" s="613"/>
      <c r="V746" s="613"/>
      <c r="W746" s="613"/>
      <c r="X746" s="613"/>
      <c r="Y746" s="613"/>
      <c r="Z746" s="613"/>
    </row>
    <row r="747" ht="15.75" customHeight="1">
      <c r="A747" s="613"/>
      <c r="B747" s="613"/>
      <c r="C747" s="613"/>
      <c r="D747" s="613"/>
      <c r="E747" s="613"/>
      <c r="F747" s="613"/>
      <c r="G747" s="613"/>
      <c r="H747" s="613"/>
      <c r="I747" s="613"/>
      <c r="J747" s="613"/>
      <c r="K747" s="613"/>
      <c r="L747" s="613"/>
      <c r="M747" s="613"/>
      <c r="N747" s="613"/>
      <c r="O747" s="613"/>
      <c r="P747" s="613"/>
      <c r="Q747" s="613"/>
      <c r="R747" s="613"/>
      <c r="S747" s="613"/>
      <c r="T747" s="613"/>
      <c r="U747" s="613"/>
      <c r="V747" s="613"/>
      <c r="W747" s="613"/>
      <c r="X747" s="613"/>
      <c r="Y747" s="613"/>
      <c r="Z747" s="613"/>
    </row>
    <row r="748" ht="15.75" customHeight="1">
      <c r="A748" s="613"/>
      <c r="B748" s="613"/>
      <c r="C748" s="613"/>
      <c r="D748" s="613"/>
      <c r="E748" s="613"/>
      <c r="F748" s="613"/>
      <c r="G748" s="613"/>
      <c r="H748" s="613"/>
      <c r="I748" s="613"/>
      <c r="J748" s="613"/>
      <c r="K748" s="613"/>
      <c r="L748" s="613"/>
      <c r="M748" s="613"/>
      <c r="N748" s="613"/>
      <c r="O748" s="613"/>
      <c r="P748" s="613"/>
      <c r="Q748" s="613"/>
      <c r="R748" s="613"/>
      <c r="S748" s="613"/>
      <c r="T748" s="613"/>
      <c r="U748" s="613"/>
      <c r="V748" s="613"/>
      <c r="W748" s="613"/>
      <c r="X748" s="613"/>
      <c r="Y748" s="613"/>
      <c r="Z748" s="613"/>
    </row>
    <row r="749" ht="15.75" customHeight="1">
      <c r="A749" s="613"/>
      <c r="B749" s="613"/>
      <c r="C749" s="613"/>
      <c r="D749" s="613"/>
      <c r="E749" s="613"/>
      <c r="F749" s="613"/>
      <c r="G749" s="613"/>
      <c r="H749" s="613"/>
      <c r="I749" s="613"/>
      <c r="J749" s="613"/>
      <c r="K749" s="613"/>
      <c r="L749" s="613"/>
      <c r="M749" s="613"/>
      <c r="N749" s="613"/>
      <c r="O749" s="613"/>
      <c r="P749" s="613"/>
      <c r="Q749" s="613"/>
      <c r="R749" s="613"/>
      <c r="S749" s="613"/>
      <c r="T749" s="613"/>
      <c r="U749" s="613"/>
      <c r="V749" s="613"/>
      <c r="W749" s="613"/>
      <c r="X749" s="613"/>
      <c r="Y749" s="613"/>
      <c r="Z749" s="613"/>
    </row>
    <row r="750" ht="15.75" customHeight="1">
      <c r="A750" s="613"/>
      <c r="B750" s="613"/>
      <c r="C750" s="613"/>
      <c r="D750" s="613"/>
      <c r="E750" s="613"/>
      <c r="F750" s="613"/>
      <c r="G750" s="613"/>
      <c r="H750" s="613"/>
      <c r="I750" s="613"/>
      <c r="J750" s="613"/>
      <c r="K750" s="613"/>
      <c r="L750" s="613"/>
      <c r="M750" s="613"/>
      <c r="N750" s="613"/>
      <c r="O750" s="613"/>
      <c r="P750" s="613"/>
      <c r="Q750" s="613"/>
      <c r="R750" s="613"/>
      <c r="S750" s="613"/>
      <c r="T750" s="613"/>
      <c r="U750" s="613"/>
      <c r="V750" s="613"/>
      <c r="W750" s="613"/>
      <c r="X750" s="613"/>
      <c r="Y750" s="613"/>
      <c r="Z750" s="613"/>
    </row>
    <row r="751" ht="15.75" customHeight="1">
      <c r="A751" s="613"/>
      <c r="B751" s="613"/>
      <c r="C751" s="613"/>
      <c r="D751" s="613"/>
      <c r="E751" s="613"/>
      <c r="F751" s="613"/>
      <c r="G751" s="613"/>
      <c r="H751" s="613"/>
      <c r="I751" s="613"/>
      <c r="J751" s="613"/>
      <c r="K751" s="613"/>
      <c r="L751" s="613"/>
      <c r="M751" s="613"/>
      <c r="N751" s="613"/>
      <c r="O751" s="613"/>
      <c r="P751" s="613"/>
      <c r="Q751" s="613"/>
      <c r="R751" s="613"/>
      <c r="S751" s="613"/>
      <c r="T751" s="613"/>
      <c r="U751" s="613"/>
      <c r="V751" s="613"/>
      <c r="W751" s="613"/>
      <c r="X751" s="613"/>
      <c r="Y751" s="613"/>
      <c r="Z751" s="613"/>
    </row>
    <row r="752" ht="15.75" customHeight="1">
      <c r="A752" s="613"/>
      <c r="B752" s="613"/>
      <c r="C752" s="613"/>
      <c r="D752" s="613"/>
      <c r="E752" s="613"/>
      <c r="F752" s="613"/>
      <c r="G752" s="613"/>
      <c r="H752" s="613"/>
      <c r="I752" s="613"/>
      <c r="J752" s="613"/>
      <c r="K752" s="613"/>
      <c r="L752" s="613"/>
      <c r="M752" s="613"/>
      <c r="N752" s="613"/>
      <c r="O752" s="613"/>
      <c r="P752" s="613"/>
      <c r="Q752" s="613"/>
      <c r="R752" s="613"/>
      <c r="S752" s="613"/>
      <c r="T752" s="613"/>
      <c r="U752" s="613"/>
      <c r="V752" s="613"/>
      <c r="W752" s="613"/>
      <c r="X752" s="613"/>
      <c r="Y752" s="613"/>
      <c r="Z752" s="613"/>
    </row>
    <row r="753" ht="15.75" customHeight="1">
      <c r="A753" s="613"/>
      <c r="B753" s="613"/>
      <c r="C753" s="613"/>
      <c r="D753" s="613"/>
      <c r="E753" s="613"/>
      <c r="F753" s="613"/>
      <c r="G753" s="613"/>
      <c r="H753" s="613"/>
      <c r="I753" s="613"/>
      <c r="J753" s="613"/>
      <c r="K753" s="613"/>
      <c r="L753" s="613"/>
      <c r="M753" s="613"/>
      <c r="N753" s="613"/>
      <c r="O753" s="613"/>
      <c r="P753" s="613"/>
      <c r="Q753" s="613"/>
      <c r="R753" s="613"/>
      <c r="S753" s="613"/>
      <c r="T753" s="613"/>
      <c r="U753" s="613"/>
      <c r="V753" s="613"/>
      <c r="W753" s="613"/>
      <c r="X753" s="613"/>
      <c r="Y753" s="613"/>
      <c r="Z753" s="613"/>
    </row>
    <row r="754" ht="15.75" customHeight="1">
      <c r="A754" s="613"/>
      <c r="B754" s="613"/>
      <c r="C754" s="613"/>
      <c r="D754" s="613"/>
      <c r="E754" s="613"/>
      <c r="F754" s="613"/>
      <c r="G754" s="613"/>
      <c r="H754" s="613"/>
      <c r="I754" s="613"/>
      <c r="J754" s="613"/>
      <c r="K754" s="613"/>
      <c r="L754" s="613"/>
      <c r="M754" s="613"/>
      <c r="N754" s="613"/>
      <c r="O754" s="613"/>
      <c r="P754" s="613"/>
      <c r="Q754" s="613"/>
      <c r="R754" s="613"/>
      <c r="S754" s="613"/>
      <c r="T754" s="613"/>
      <c r="U754" s="613"/>
      <c r="V754" s="613"/>
      <c r="W754" s="613"/>
      <c r="X754" s="613"/>
      <c r="Y754" s="613"/>
      <c r="Z754" s="613"/>
    </row>
    <row r="755" ht="15.75" customHeight="1">
      <c r="A755" s="613"/>
      <c r="B755" s="613"/>
      <c r="C755" s="613"/>
      <c r="D755" s="613"/>
      <c r="E755" s="613"/>
      <c r="F755" s="613"/>
      <c r="G755" s="613"/>
      <c r="H755" s="613"/>
      <c r="I755" s="613"/>
      <c r="J755" s="613"/>
      <c r="K755" s="613"/>
      <c r="L755" s="613"/>
      <c r="M755" s="613"/>
      <c r="N755" s="613"/>
      <c r="O755" s="613"/>
      <c r="P755" s="613"/>
      <c r="Q755" s="613"/>
      <c r="R755" s="613"/>
      <c r="S755" s="613"/>
      <c r="T755" s="613"/>
      <c r="U755" s="613"/>
      <c r="V755" s="613"/>
      <c r="W755" s="613"/>
      <c r="X755" s="613"/>
      <c r="Y755" s="613"/>
      <c r="Z755" s="613"/>
    </row>
    <row r="756" ht="15.75" customHeight="1">
      <c r="A756" s="613"/>
      <c r="B756" s="613"/>
      <c r="C756" s="613"/>
      <c r="D756" s="613"/>
      <c r="E756" s="613"/>
      <c r="F756" s="613"/>
      <c r="G756" s="613"/>
      <c r="H756" s="613"/>
      <c r="I756" s="613"/>
      <c r="J756" s="613"/>
      <c r="K756" s="613"/>
      <c r="L756" s="613"/>
      <c r="M756" s="613"/>
      <c r="N756" s="613"/>
      <c r="O756" s="613"/>
      <c r="P756" s="613"/>
      <c r="Q756" s="613"/>
      <c r="R756" s="613"/>
      <c r="S756" s="613"/>
      <c r="T756" s="613"/>
      <c r="U756" s="613"/>
      <c r="V756" s="613"/>
      <c r="W756" s="613"/>
      <c r="X756" s="613"/>
      <c r="Y756" s="613"/>
      <c r="Z756" s="613"/>
    </row>
    <row r="757" ht="15.75" customHeight="1">
      <c r="A757" s="613"/>
      <c r="B757" s="613"/>
      <c r="C757" s="613"/>
      <c r="D757" s="613"/>
      <c r="E757" s="613"/>
      <c r="F757" s="613"/>
      <c r="G757" s="613"/>
      <c r="H757" s="613"/>
      <c r="I757" s="613"/>
      <c r="J757" s="613"/>
      <c r="K757" s="613"/>
      <c r="L757" s="613"/>
      <c r="M757" s="613"/>
      <c r="N757" s="613"/>
      <c r="O757" s="613"/>
      <c r="P757" s="613"/>
      <c r="Q757" s="613"/>
      <c r="R757" s="613"/>
      <c r="S757" s="613"/>
      <c r="T757" s="613"/>
      <c r="U757" s="613"/>
      <c r="V757" s="613"/>
      <c r="W757" s="613"/>
      <c r="X757" s="613"/>
      <c r="Y757" s="613"/>
      <c r="Z757" s="613"/>
    </row>
    <row r="758" ht="15.75" customHeight="1">
      <c r="A758" s="613"/>
      <c r="B758" s="613"/>
      <c r="C758" s="613"/>
      <c r="D758" s="613"/>
      <c r="E758" s="613"/>
      <c r="F758" s="613"/>
      <c r="G758" s="613"/>
      <c r="H758" s="613"/>
      <c r="I758" s="613"/>
      <c r="J758" s="613"/>
      <c r="K758" s="613"/>
      <c r="L758" s="613"/>
      <c r="M758" s="613"/>
      <c r="N758" s="613"/>
      <c r="O758" s="613"/>
      <c r="P758" s="613"/>
      <c r="Q758" s="613"/>
      <c r="R758" s="613"/>
      <c r="S758" s="613"/>
      <c r="T758" s="613"/>
      <c r="U758" s="613"/>
      <c r="V758" s="613"/>
      <c r="W758" s="613"/>
      <c r="X758" s="613"/>
      <c r="Y758" s="613"/>
      <c r="Z758" s="613"/>
    </row>
    <row r="759" ht="15.75" customHeight="1">
      <c r="A759" s="613"/>
      <c r="B759" s="613"/>
      <c r="C759" s="613"/>
      <c r="D759" s="613"/>
      <c r="E759" s="613"/>
      <c r="F759" s="613"/>
      <c r="G759" s="613"/>
      <c r="H759" s="613"/>
      <c r="I759" s="613"/>
      <c r="J759" s="613"/>
      <c r="K759" s="613"/>
      <c r="L759" s="613"/>
      <c r="M759" s="613"/>
      <c r="N759" s="613"/>
      <c r="O759" s="613"/>
      <c r="P759" s="613"/>
      <c r="Q759" s="613"/>
      <c r="R759" s="613"/>
      <c r="S759" s="613"/>
      <c r="T759" s="613"/>
      <c r="U759" s="613"/>
      <c r="V759" s="613"/>
      <c r="W759" s="613"/>
      <c r="X759" s="613"/>
      <c r="Y759" s="613"/>
      <c r="Z759" s="613"/>
    </row>
    <row r="760" ht="15.75" customHeight="1">
      <c r="A760" s="613"/>
      <c r="B760" s="613"/>
      <c r="C760" s="613"/>
      <c r="D760" s="613"/>
      <c r="E760" s="613"/>
      <c r="F760" s="613"/>
      <c r="G760" s="613"/>
      <c r="H760" s="613"/>
      <c r="I760" s="613"/>
      <c r="J760" s="613"/>
      <c r="K760" s="613"/>
      <c r="L760" s="613"/>
      <c r="M760" s="613"/>
      <c r="N760" s="613"/>
      <c r="O760" s="613"/>
      <c r="P760" s="613"/>
      <c r="Q760" s="613"/>
      <c r="R760" s="613"/>
      <c r="S760" s="613"/>
      <c r="T760" s="613"/>
      <c r="U760" s="613"/>
      <c r="V760" s="613"/>
      <c r="W760" s="613"/>
      <c r="X760" s="613"/>
      <c r="Y760" s="613"/>
      <c r="Z760" s="613"/>
    </row>
    <row r="761" ht="15.75" customHeight="1">
      <c r="A761" s="613"/>
      <c r="B761" s="613"/>
      <c r="C761" s="613"/>
      <c r="D761" s="613"/>
      <c r="E761" s="613"/>
      <c r="F761" s="613"/>
      <c r="G761" s="613"/>
      <c r="H761" s="613"/>
      <c r="I761" s="613"/>
      <c r="J761" s="613"/>
      <c r="K761" s="613"/>
      <c r="L761" s="613"/>
      <c r="M761" s="613"/>
      <c r="N761" s="613"/>
      <c r="O761" s="613"/>
      <c r="P761" s="613"/>
      <c r="Q761" s="613"/>
      <c r="R761" s="613"/>
      <c r="S761" s="613"/>
      <c r="T761" s="613"/>
      <c r="U761" s="613"/>
      <c r="V761" s="613"/>
      <c r="W761" s="613"/>
      <c r="X761" s="613"/>
      <c r="Y761" s="613"/>
      <c r="Z761" s="613"/>
    </row>
    <row r="762" ht="15.75" customHeight="1">
      <c r="A762" s="613"/>
      <c r="B762" s="613"/>
      <c r="C762" s="613"/>
      <c r="D762" s="613"/>
      <c r="E762" s="613"/>
      <c r="F762" s="613"/>
      <c r="G762" s="613"/>
      <c r="H762" s="613"/>
      <c r="I762" s="613"/>
      <c r="J762" s="613"/>
      <c r="K762" s="613"/>
      <c r="L762" s="613"/>
      <c r="M762" s="613"/>
      <c r="N762" s="613"/>
      <c r="O762" s="613"/>
      <c r="P762" s="613"/>
      <c r="Q762" s="613"/>
      <c r="R762" s="613"/>
      <c r="S762" s="613"/>
      <c r="T762" s="613"/>
      <c r="U762" s="613"/>
      <c r="V762" s="613"/>
      <c r="W762" s="613"/>
      <c r="X762" s="613"/>
      <c r="Y762" s="613"/>
      <c r="Z762" s="613"/>
    </row>
    <row r="763" ht="15.75" customHeight="1">
      <c r="A763" s="613"/>
      <c r="B763" s="613"/>
      <c r="C763" s="613"/>
      <c r="D763" s="613"/>
      <c r="E763" s="613"/>
      <c r="F763" s="613"/>
      <c r="G763" s="613"/>
      <c r="H763" s="613"/>
      <c r="I763" s="613"/>
      <c r="J763" s="613"/>
      <c r="K763" s="613"/>
      <c r="L763" s="613"/>
      <c r="M763" s="613"/>
      <c r="N763" s="613"/>
      <c r="O763" s="613"/>
      <c r="P763" s="613"/>
      <c r="Q763" s="613"/>
      <c r="R763" s="613"/>
      <c r="S763" s="613"/>
      <c r="T763" s="613"/>
      <c r="U763" s="613"/>
      <c r="V763" s="613"/>
      <c r="W763" s="613"/>
      <c r="X763" s="613"/>
      <c r="Y763" s="613"/>
      <c r="Z763" s="613"/>
    </row>
    <row r="764" ht="15.75" customHeight="1">
      <c r="A764" s="613"/>
      <c r="B764" s="613"/>
      <c r="C764" s="613"/>
      <c r="D764" s="613"/>
      <c r="E764" s="613"/>
      <c r="F764" s="613"/>
      <c r="G764" s="613"/>
      <c r="H764" s="613"/>
      <c r="I764" s="613"/>
      <c r="J764" s="613"/>
      <c r="K764" s="613"/>
      <c r="L764" s="613"/>
      <c r="M764" s="613"/>
      <c r="N764" s="613"/>
      <c r="O764" s="613"/>
      <c r="P764" s="613"/>
      <c r="Q764" s="613"/>
      <c r="R764" s="613"/>
      <c r="S764" s="613"/>
      <c r="T764" s="613"/>
      <c r="U764" s="613"/>
      <c r="V764" s="613"/>
      <c r="W764" s="613"/>
      <c r="X764" s="613"/>
      <c r="Y764" s="613"/>
      <c r="Z764" s="613"/>
    </row>
    <row r="765" ht="15.75" customHeight="1">
      <c r="A765" s="613"/>
      <c r="B765" s="613"/>
      <c r="C765" s="613"/>
      <c r="D765" s="613"/>
      <c r="E765" s="613"/>
      <c r="F765" s="613"/>
      <c r="G765" s="613"/>
      <c r="H765" s="613"/>
      <c r="I765" s="613"/>
      <c r="J765" s="613"/>
      <c r="K765" s="613"/>
      <c r="L765" s="613"/>
      <c r="M765" s="613"/>
      <c r="N765" s="613"/>
      <c r="O765" s="613"/>
      <c r="P765" s="613"/>
      <c r="Q765" s="613"/>
      <c r="R765" s="613"/>
      <c r="S765" s="613"/>
      <c r="T765" s="613"/>
      <c r="U765" s="613"/>
      <c r="V765" s="613"/>
      <c r="W765" s="613"/>
      <c r="X765" s="613"/>
      <c r="Y765" s="613"/>
      <c r="Z765" s="613"/>
    </row>
    <row r="766" ht="15.75" customHeight="1">
      <c r="A766" s="613"/>
      <c r="B766" s="613"/>
      <c r="C766" s="613"/>
      <c r="D766" s="613"/>
      <c r="E766" s="613"/>
      <c r="F766" s="613"/>
      <c r="G766" s="613"/>
      <c r="H766" s="613"/>
      <c r="I766" s="613"/>
      <c r="J766" s="613"/>
      <c r="K766" s="613"/>
      <c r="L766" s="613"/>
      <c r="M766" s="613"/>
      <c r="N766" s="613"/>
      <c r="O766" s="613"/>
      <c r="P766" s="613"/>
      <c r="Q766" s="613"/>
      <c r="R766" s="613"/>
      <c r="S766" s="613"/>
      <c r="T766" s="613"/>
      <c r="U766" s="613"/>
      <c r="V766" s="613"/>
      <c r="W766" s="613"/>
      <c r="X766" s="613"/>
      <c r="Y766" s="613"/>
      <c r="Z766" s="613"/>
    </row>
    <row r="767" ht="15.75" customHeight="1">
      <c r="A767" s="613"/>
      <c r="B767" s="613"/>
      <c r="C767" s="613"/>
      <c r="D767" s="613"/>
      <c r="E767" s="613"/>
      <c r="F767" s="613"/>
      <c r="G767" s="613"/>
      <c r="H767" s="613"/>
      <c r="I767" s="613"/>
      <c r="J767" s="613"/>
      <c r="K767" s="613"/>
      <c r="L767" s="613"/>
      <c r="M767" s="613"/>
      <c r="N767" s="613"/>
      <c r="O767" s="613"/>
      <c r="P767" s="613"/>
      <c r="Q767" s="613"/>
      <c r="R767" s="613"/>
      <c r="S767" s="613"/>
      <c r="T767" s="613"/>
      <c r="U767" s="613"/>
      <c r="V767" s="613"/>
      <c r="W767" s="613"/>
      <c r="X767" s="613"/>
      <c r="Y767" s="613"/>
      <c r="Z767" s="613"/>
    </row>
    <row r="768" ht="15.75" customHeight="1">
      <c r="A768" s="613"/>
      <c r="B768" s="613"/>
      <c r="C768" s="613"/>
      <c r="D768" s="613"/>
      <c r="E768" s="613"/>
      <c r="F768" s="613"/>
      <c r="G768" s="613"/>
      <c r="H768" s="613"/>
      <c r="I768" s="613"/>
      <c r="J768" s="613"/>
      <c r="K768" s="613"/>
      <c r="L768" s="613"/>
      <c r="M768" s="613"/>
      <c r="N768" s="613"/>
      <c r="O768" s="613"/>
      <c r="P768" s="613"/>
      <c r="Q768" s="613"/>
      <c r="R768" s="613"/>
      <c r="S768" s="613"/>
      <c r="T768" s="613"/>
      <c r="U768" s="613"/>
      <c r="V768" s="613"/>
      <c r="W768" s="613"/>
      <c r="X768" s="613"/>
      <c r="Y768" s="613"/>
      <c r="Z768" s="613"/>
    </row>
    <row r="769" ht="15.75" customHeight="1">
      <c r="A769" s="613"/>
      <c r="B769" s="613"/>
      <c r="C769" s="613"/>
      <c r="D769" s="613"/>
      <c r="E769" s="613"/>
      <c r="F769" s="613"/>
      <c r="G769" s="613"/>
      <c r="H769" s="613"/>
      <c r="I769" s="613"/>
      <c r="J769" s="613"/>
      <c r="K769" s="613"/>
      <c r="L769" s="613"/>
      <c r="M769" s="613"/>
      <c r="N769" s="613"/>
      <c r="O769" s="613"/>
      <c r="P769" s="613"/>
      <c r="Q769" s="613"/>
      <c r="R769" s="613"/>
      <c r="S769" s="613"/>
      <c r="T769" s="613"/>
      <c r="U769" s="613"/>
      <c r="V769" s="613"/>
      <c r="W769" s="613"/>
      <c r="X769" s="613"/>
      <c r="Y769" s="613"/>
      <c r="Z769" s="613"/>
    </row>
    <row r="770" ht="15.75" customHeight="1">
      <c r="A770" s="613"/>
      <c r="B770" s="613"/>
      <c r="C770" s="613"/>
      <c r="D770" s="613"/>
      <c r="E770" s="613"/>
      <c r="F770" s="613"/>
      <c r="G770" s="613"/>
      <c r="H770" s="613"/>
      <c r="I770" s="613"/>
      <c r="J770" s="613"/>
      <c r="K770" s="613"/>
      <c r="L770" s="613"/>
      <c r="M770" s="613"/>
      <c r="N770" s="613"/>
      <c r="O770" s="613"/>
      <c r="P770" s="613"/>
      <c r="Q770" s="613"/>
      <c r="R770" s="613"/>
      <c r="S770" s="613"/>
      <c r="T770" s="613"/>
      <c r="U770" s="613"/>
      <c r="V770" s="613"/>
      <c r="W770" s="613"/>
      <c r="X770" s="613"/>
      <c r="Y770" s="613"/>
      <c r="Z770" s="613"/>
    </row>
    <row r="771" ht="15.75" customHeight="1">
      <c r="A771" s="613"/>
      <c r="B771" s="613"/>
      <c r="C771" s="613"/>
      <c r="D771" s="613"/>
      <c r="E771" s="613"/>
      <c r="F771" s="613"/>
      <c r="G771" s="613"/>
      <c r="H771" s="613"/>
      <c r="I771" s="613"/>
      <c r="J771" s="613"/>
      <c r="K771" s="613"/>
      <c r="L771" s="613"/>
      <c r="M771" s="613"/>
      <c r="N771" s="613"/>
      <c r="O771" s="613"/>
      <c r="P771" s="613"/>
      <c r="Q771" s="613"/>
      <c r="R771" s="613"/>
      <c r="S771" s="613"/>
      <c r="T771" s="613"/>
      <c r="U771" s="613"/>
      <c r="V771" s="613"/>
      <c r="W771" s="613"/>
      <c r="X771" s="613"/>
      <c r="Y771" s="613"/>
      <c r="Z771" s="613"/>
    </row>
    <row r="772" ht="15.75" customHeight="1">
      <c r="A772" s="613"/>
      <c r="B772" s="613"/>
      <c r="C772" s="613"/>
      <c r="D772" s="613"/>
      <c r="E772" s="613"/>
      <c r="F772" s="613"/>
      <c r="G772" s="613"/>
      <c r="H772" s="613"/>
      <c r="I772" s="613"/>
      <c r="J772" s="613"/>
      <c r="K772" s="613"/>
      <c r="L772" s="613"/>
      <c r="M772" s="613"/>
      <c r="N772" s="613"/>
      <c r="O772" s="613"/>
      <c r="P772" s="613"/>
      <c r="Q772" s="613"/>
      <c r="R772" s="613"/>
      <c r="S772" s="613"/>
      <c r="T772" s="613"/>
      <c r="U772" s="613"/>
      <c r="V772" s="613"/>
      <c r="W772" s="613"/>
      <c r="X772" s="613"/>
      <c r="Y772" s="613"/>
      <c r="Z772" s="613"/>
    </row>
    <row r="773" ht="15.75" customHeight="1">
      <c r="A773" s="613"/>
      <c r="B773" s="613"/>
      <c r="C773" s="613"/>
      <c r="D773" s="613"/>
      <c r="E773" s="613"/>
      <c r="F773" s="613"/>
      <c r="G773" s="613"/>
      <c r="H773" s="613"/>
      <c r="I773" s="613"/>
      <c r="J773" s="613"/>
      <c r="K773" s="613"/>
      <c r="L773" s="613"/>
      <c r="M773" s="613"/>
      <c r="N773" s="613"/>
      <c r="O773" s="613"/>
      <c r="P773" s="613"/>
      <c r="Q773" s="613"/>
      <c r="R773" s="613"/>
      <c r="S773" s="613"/>
      <c r="T773" s="613"/>
      <c r="U773" s="613"/>
      <c r="V773" s="613"/>
      <c r="W773" s="613"/>
      <c r="X773" s="613"/>
      <c r="Y773" s="613"/>
      <c r="Z773" s="613"/>
    </row>
    <row r="774" ht="15.75" customHeight="1">
      <c r="A774" s="613"/>
      <c r="B774" s="613"/>
      <c r="C774" s="613"/>
      <c r="D774" s="613"/>
      <c r="E774" s="613"/>
      <c r="F774" s="613"/>
      <c r="G774" s="613"/>
      <c r="H774" s="613"/>
      <c r="I774" s="613"/>
      <c r="J774" s="613"/>
      <c r="K774" s="613"/>
      <c r="L774" s="613"/>
      <c r="M774" s="613"/>
      <c r="N774" s="613"/>
      <c r="O774" s="613"/>
      <c r="P774" s="613"/>
      <c r="Q774" s="613"/>
      <c r="R774" s="613"/>
      <c r="S774" s="613"/>
      <c r="T774" s="613"/>
      <c r="U774" s="613"/>
      <c r="V774" s="613"/>
      <c r="W774" s="613"/>
      <c r="X774" s="613"/>
      <c r="Y774" s="613"/>
      <c r="Z774" s="613"/>
    </row>
    <row r="775" ht="15.75" customHeight="1">
      <c r="A775" s="613"/>
      <c r="B775" s="613"/>
      <c r="C775" s="613"/>
      <c r="D775" s="613"/>
      <c r="E775" s="613"/>
      <c r="F775" s="613"/>
      <c r="G775" s="613"/>
      <c r="H775" s="613"/>
      <c r="I775" s="613"/>
      <c r="J775" s="613"/>
      <c r="K775" s="613"/>
      <c r="L775" s="613"/>
      <c r="M775" s="613"/>
      <c r="N775" s="613"/>
      <c r="O775" s="613"/>
      <c r="P775" s="613"/>
      <c r="Q775" s="613"/>
      <c r="R775" s="613"/>
      <c r="S775" s="613"/>
      <c r="T775" s="613"/>
      <c r="U775" s="613"/>
      <c r="V775" s="613"/>
      <c r="W775" s="613"/>
      <c r="X775" s="613"/>
      <c r="Y775" s="613"/>
      <c r="Z775" s="613"/>
    </row>
    <row r="776" ht="15.75" customHeight="1">
      <c r="A776" s="613"/>
      <c r="B776" s="613"/>
      <c r="C776" s="613"/>
      <c r="D776" s="613"/>
      <c r="E776" s="613"/>
      <c r="F776" s="613"/>
      <c r="G776" s="613"/>
      <c r="H776" s="613"/>
      <c r="I776" s="613"/>
      <c r="J776" s="613"/>
      <c r="K776" s="613"/>
      <c r="L776" s="613"/>
      <c r="M776" s="613"/>
      <c r="N776" s="613"/>
      <c r="O776" s="613"/>
      <c r="P776" s="613"/>
      <c r="Q776" s="613"/>
      <c r="R776" s="613"/>
      <c r="S776" s="613"/>
      <c r="T776" s="613"/>
      <c r="U776" s="613"/>
      <c r="V776" s="613"/>
      <c r="W776" s="613"/>
      <c r="X776" s="613"/>
      <c r="Y776" s="613"/>
      <c r="Z776" s="613"/>
    </row>
    <row r="777" ht="15.75" customHeight="1">
      <c r="A777" s="613"/>
      <c r="B777" s="613"/>
      <c r="C777" s="613"/>
      <c r="D777" s="613"/>
      <c r="E777" s="613"/>
      <c r="F777" s="613"/>
      <c r="G777" s="613"/>
      <c r="H777" s="613"/>
      <c r="I777" s="613"/>
      <c r="J777" s="613"/>
      <c r="K777" s="613"/>
      <c r="L777" s="613"/>
      <c r="M777" s="613"/>
      <c r="N777" s="613"/>
      <c r="O777" s="613"/>
      <c r="P777" s="613"/>
      <c r="Q777" s="613"/>
      <c r="R777" s="613"/>
      <c r="S777" s="613"/>
      <c r="T777" s="613"/>
      <c r="U777" s="613"/>
      <c r="V777" s="613"/>
      <c r="W777" s="613"/>
      <c r="X777" s="613"/>
      <c r="Y777" s="613"/>
      <c r="Z777" s="613"/>
    </row>
    <row r="778" ht="15.75" customHeight="1">
      <c r="A778" s="613"/>
      <c r="B778" s="613"/>
      <c r="C778" s="613"/>
      <c r="D778" s="613"/>
      <c r="E778" s="613"/>
      <c r="F778" s="613"/>
      <c r="G778" s="613"/>
      <c r="H778" s="613"/>
      <c r="I778" s="613"/>
      <c r="J778" s="613"/>
      <c r="K778" s="613"/>
      <c r="L778" s="613"/>
      <c r="M778" s="613"/>
      <c r="N778" s="613"/>
      <c r="O778" s="613"/>
      <c r="P778" s="613"/>
      <c r="Q778" s="613"/>
      <c r="R778" s="613"/>
      <c r="S778" s="613"/>
      <c r="T778" s="613"/>
      <c r="U778" s="613"/>
      <c r="V778" s="613"/>
      <c r="W778" s="613"/>
      <c r="X778" s="613"/>
      <c r="Y778" s="613"/>
      <c r="Z778" s="613"/>
    </row>
    <row r="779" ht="15.75" customHeight="1">
      <c r="A779" s="613"/>
      <c r="B779" s="613"/>
      <c r="C779" s="613"/>
      <c r="D779" s="613"/>
      <c r="E779" s="613"/>
      <c r="F779" s="613"/>
      <c r="G779" s="613"/>
      <c r="H779" s="613"/>
      <c r="I779" s="613"/>
      <c r="J779" s="613"/>
      <c r="K779" s="613"/>
      <c r="L779" s="613"/>
      <c r="M779" s="613"/>
      <c r="N779" s="613"/>
      <c r="O779" s="613"/>
      <c r="P779" s="613"/>
      <c r="Q779" s="613"/>
      <c r="R779" s="613"/>
      <c r="S779" s="613"/>
      <c r="T779" s="613"/>
      <c r="U779" s="613"/>
      <c r="V779" s="613"/>
      <c r="W779" s="613"/>
      <c r="X779" s="613"/>
      <c r="Y779" s="613"/>
      <c r="Z779" s="613"/>
    </row>
    <row r="780" ht="15.75" customHeight="1">
      <c r="A780" s="613"/>
      <c r="B780" s="613"/>
      <c r="C780" s="613"/>
      <c r="D780" s="613"/>
      <c r="E780" s="613"/>
      <c r="F780" s="613"/>
      <c r="G780" s="613"/>
      <c r="H780" s="613"/>
      <c r="I780" s="613"/>
      <c r="J780" s="613"/>
      <c r="K780" s="613"/>
      <c r="L780" s="613"/>
      <c r="M780" s="613"/>
      <c r="N780" s="613"/>
      <c r="O780" s="613"/>
      <c r="P780" s="613"/>
      <c r="Q780" s="613"/>
      <c r="R780" s="613"/>
      <c r="S780" s="613"/>
      <c r="T780" s="613"/>
      <c r="U780" s="613"/>
      <c r="V780" s="613"/>
      <c r="W780" s="613"/>
      <c r="X780" s="613"/>
      <c r="Y780" s="613"/>
      <c r="Z780" s="613"/>
    </row>
    <row r="781" ht="15.75" customHeight="1">
      <c r="A781" s="613"/>
      <c r="B781" s="613"/>
      <c r="C781" s="613"/>
      <c r="D781" s="613"/>
      <c r="E781" s="613"/>
      <c r="F781" s="613"/>
      <c r="G781" s="613"/>
      <c r="H781" s="613"/>
      <c r="I781" s="613"/>
      <c r="J781" s="613"/>
      <c r="K781" s="613"/>
      <c r="L781" s="613"/>
      <c r="M781" s="613"/>
      <c r="N781" s="613"/>
      <c r="O781" s="613"/>
      <c r="P781" s="613"/>
      <c r="Q781" s="613"/>
      <c r="R781" s="613"/>
      <c r="S781" s="613"/>
      <c r="T781" s="613"/>
      <c r="U781" s="613"/>
      <c r="V781" s="613"/>
      <c r="W781" s="613"/>
      <c r="X781" s="613"/>
      <c r="Y781" s="613"/>
      <c r="Z781" s="613"/>
    </row>
    <row r="782" ht="15.75" customHeight="1">
      <c r="A782" s="613"/>
      <c r="B782" s="613"/>
      <c r="C782" s="613"/>
      <c r="D782" s="613"/>
      <c r="E782" s="613"/>
      <c r="F782" s="613"/>
      <c r="G782" s="613"/>
      <c r="H782" s="613"/>
      <c r="I782" s="613"/>
      <c r="J782" s="613"/>
      <c r="K782" s="613"/>
      <c r="L782" s="613"/>
      <c r="M782" s="613"/>
      <c r="N782" s="613"/>
      <c r="O782" s="613"/>
      <c r="P782" s="613"/>
      <c r="Q782" s="613"/>
      <c r="R782" s="613"/>
      <c r="S782" s="613"/>
      <c r="T782" s="613"/>
      <c r="U782" s="613"/>
      <c r="V782" s="613"/>
      <c r="W782" s="613"/>
      <c r="X782" s="613"/>
      <c r="Y782" s="613"/>
      <c r="Z782" s="613"/>
    </row>
    <row r="783" ht="15.75" customHeight="1">
      <c r="A783" s="613"/>
      <c r="B783" s="613"/>
      <c r="C783" s="613"/>
      <c r="D783" s="613"/>
      <c r="E783" s="613"/>
      <c r="F783" s="613"/>
      <c r="G783" s="613"/>
      <c r="H783" s="613"/>
      <c r="I783" s="613"/>
      <c r="J783" s="613"/>
      <c r="K783" s="613"/>
      <c r="L783" s="613"/>
      <c r="M783" s="613"/>
      <c r="N783" s="613"/>
      <c r="O783" s="613"/>
      <c r="P783" s="613"/>
      <c r="Q783" s="613"/>
      <c r="R783" s="613"/>
      <c r="S783" s="613"/>
      <c r="T783" s="613"/>
      <c r="U783" s="613"/>
      <c r="V783" s="613"/>
      <c r="W783" s="613"/>
      <c r="X783" s="613"/>
      <c r="Y783" s="613"/>
      <c r="Z783" s="613"/>
    </row>
    <row r="784" ht="15.75" customHeight="1">
      <c r="A784" s="613"/>
      <c r="B784" s="613"/>
      <c r="C784" s="613"/>
      <c r="D784" s="613"/>
      <c r="E784" s="613"/>
      <c r="F784" s="613"/>
      <c r="G784" s="613"/>
      <c r="H784" s="613"/>
      <c r="I784" s="613"/>
      <c r="J784" s="613"/>
      <c r="K784" s="613"/>
      <c r="L784" s="613"/>
      <c r="M784" s="613"/>
      <c r="N784" s="613"/>
      <c r="O784" s="613"/>
      <c r="P784" s="613"/>
      <c r="Q784" s="613"/>
      <c r="R784" s="613"/>
      <c r="S784" s="613"/>
      <c r="T784" s="613"/>
      <c r="U784" s="613"/>
      <c r="V784" s="613"/>
      <c r="W784" s="613"/>
      <c r="X784" s="613"/>
      <c r="Y784" s="613"/>
      <c r="Z784" s="613"/>
    </row>
    <row r="785" ht="15.75" customHeight="1">
      <c r="A785" s="613"/>
      <c r="B785" s="613"/>
      <c r="C785" s="613"/>
      <c r="D785" s="613"/>
      <c r="E785" s="613"/>
      <c r="F785" s="613"/>
      <c r="G785" s="613"/>
      <c r="H785" s="613"/>
      <c r="I785" s="613"/>
      <c r="J785" s="613"/>
      <c r="K785" s="613"/>
      <c r="L785" s="613"/>
      <c r="M785" s="613"/>
      <c r="N785" s="613"/>
      <c r="O785" s="613"/>
      <c r="P785" s="613"/>
      <c r="Q785" s="613"/>
      <c r="R785" s="613"/>
      <c r="S785" s="613"/>
      <c r="T785" s="613"/>
      <c r="U785" s="613"/>
      <c r="V785" s="613"/>
      <c r="W785" s="613"/>
      <c r="X785" s="613"/>
      <c r="Y785" s="613"/>
      <c r="Z785" s="613"/>
    </row>
    <row r="786" ht="15.75" customHeight="1">
      <c r="A786" s="613"/>
      <c r="B786" s="613"/>
      <c r="C786" s="613"/>
      <c r="D786" s="613"/>
      <c r="E786" s="613"/>
      <c r="F786" s="613"/>
      <c r="G786" s="613"/>
      <c r="H786" s="613"/>
      <c r="I786" s="613"/>
      <c r="J786" s="613"/>
      <c r="K786" s="613"/>
      <c r="L786" s="613"/>
      <c r="M786" s="613"/>
      <c r="N786" s="613"/>
      <c r="O786" s="613"/>
      <c r="P786" s="613"/>
      <c r="Q786" s="613"/>
      <c r="R786" s="613"/>
      <c r="S786" s="613"/>
      <c r="T786" s="613"/>
      <c r="U786" s="613"/>
      <c r="V786" s="613"/>
      <c r="W786" s="613"/>
      <c r="X786" s="613"/>
      <c r="Y786" s="613"/>
      <c r="Z786" s="613"/>
    </row>
    <row r="787" ht="15.75" customHeight="1">
      <c r="A787" s="613"/>
      <c r="B787" s="613"/>
      <c r="C787" s="613"/>
      <c r="D787" s="613"/>
      <c r="E787" s="613"/>
      <c r="F787" s="613"/>
      <c r="G787" s="613"/>
      <c r="H787" s="613"/>
      <c r="I787" s="613"/>
      <c r="J787" s="613"/>
      <c r="K787" s="613"/>
      <c r="L787" s="613"/>
      <c r="M787" s="613"/>
      <c r="N787" s="613"/>
      <c r="O787" s="613"/>
      <c r="P787" s="613"/>
      <c r="Q787" s="613"/>
      <c r="R787" s="613"/>
      <c r="S787" s="613"/>
      <c r="T787" s="613"/>
      <c r="U787" s="613"/>
      <c r="V787" s="613"/>
      <c r="W787" s="613"/>
      <c r="X787" s="613"/>
      <c r="Y787" s="613"/>
      <c r="Z787" s="613"/>
    </row>
    <row r="788" ht="15.75" customHeight="1">
      <c r="A788" s="613"/>
      <c r="B788" s="613"/>
      <c r="C788" s="613"/>
      <c r="D788" s="613"/>
      <c r="E788" s="613"/>
      <c r="F788" s="613"/>
      <c r="G788" s="613"/>
      <c r="H788" s="613"/>
      <c r="I788" s="613"/>
      <c r="J788" s="613"/>
      <c r="K788" s="613"/>
      <c r="L788" s="613"/>
      <c r="M788" s="613"/>
      <c r="N788" s="613"/>
      <c r="O788" s="613"/>
      <c r="P788" s="613"/>
      <c r="Q788" s="613"/>
      <c r="R788" s="613"/>
      <c r="S788" s="613"/>
      <c r="T788" s="613"/>
      <c r="U788" s="613"/>
      <c r="V788" s="613"/>
      <c r="W788" s="613"/>
      <c r="X788" s="613"/>
      <c r="Y788" s="613"/>
      <c r="Z788" s="613"/>
    </row>
    <row r="789" ht="15.75" customHeight="1">
      <c r="A789" s="613"/>
      <c r="B789" s="613"/>
      <c r="C789" s="613"/>
      <c r="D789" s="613"/>
      <c r="E789" s="613"/>
      <c r="F789" s="613"/>
      <c r="G789" s="613"/>
      <c r="H789" s="613"/>
      <c r="I789" s="613"/>
      <c r="J789" s="613"/>
      <c r="K789" s="613"/>
      <c r="L789" s="613"/>
      <c r="M789" s="613"/>
      <c r="N789" s="613"/>
      <c r="O789" s="613"/>
      <c r="P789" s="613"/>
      <c r="Q789" s="613"/>
      <c r="R789" s="613"/>
      <c r="S789" s="613"/>
      <c r="T789" s="613"/>
      <c r="U789" s="613"/>
      <c r="V789" s="613"/>
      <c r="W789" s="613"/>
      <c r="X789" s="613"/>
      <c r="Y789" s="613"/>
      <c r="Z789" s="613"/>
    </row>
    <row r="790" ht="15.75" customHeight="1">
      <c r="A790" s="613"/>
      <c r="B790" s="613"/>
      <c r="C790" s="613"/>
      <c r="D790" s="613"/>
      <c r="E790" s="613"/>
      <c r="F790" s="613"/>
      <c r="G790" s="613"/>
      <c r="H790" s="613"/>
      <c r="I790" s="613"/>
      <c r="J790" s="613"/>
      <c r="K790" s="613"/>
      <c r="L790" s="613"/>
      <c r="M790" s="613"/>
      <c r="N790" s="613"/>
      <c r="O790" s="613"/>
      <c r="P790" s="613"/>
      <c r="Q790" s="613"/>
      <c r="R790" s="613"/>
      <c r="S790" s="613"/>
      <c r="T790" s="613"/>
      <c r="U790" s="613"/>
      <c r="V790" s="613"/>
      <c r="W790" s="613"/>
      <c r="X790" s="613"/>
      <c r="Y790" s="613"/>
      <c r="Z790" s="613"/>
    </row>
    <row r="791" ht="15.75" customHeight="1">
      <c r="A791" s="613"/>
      <c r="B791" s="613"/>
      <c r="C791" s="613"/>
      <c r="D791" s="613"/>
      <c r="E791" s="613"/>
      <c r="F791" s="613"/>
      <c r="G791" s="613"/>
      <c r="H791" s="613"/>
      <c r="I791" s="613"/>
      <c r="J791" s="613"/>
      <c r="K791" s="613"/>
      <c r="L791" s="613"/>
      <c r="M791" s="613"/>
      <c r="N791" s="613"/>
      <c r="O791" s="613"/>
      <c r="P791" s="613"/>
      <c r="Q791" s="613"/>
      <c r="R791" s="613"/>
      <c r="S791" s="613"/>
      <c r="T791" s="613"/>
      <c r="U791" s="613"/>
      <c r="V791" s="613"/>
      <c r="W791" s="613"/>
      <c r="X791" s="613"/>
      <c r="Y791" s="613"/>
      <c r="Z791" s="613"/>
    </row>
    <row r="792" ht="15.75" customHeight="1">
      <c r="A792" s="613"/>
      <c r="B792" s="613"/>
      <c r="C792" s="613"/>
      <c r="D792" s="613"/>
      <c r="E792" s="613"/>
      <c r="F792" s="613"/>
      <c r="G792" s="613"/>
      <c r="H792" s="613"/>
      <c r="I792" s="613"/>
      <c r="J792" s="613"/>
      <c r="K792" s="613"/>
      <c r="L792" s="613"/>
      <c r="M792" s="613"/>
      <c r="N792" s="613"/>
      <c r="O792" s="613"/>
      <c r="P792" s="613"/>
      <c r="Q792" s="613"/>
      <c r="R792" s="613"/>
      <c r="S792" s="613"/>
      <c r="T792" s="613"/>
      <c r="U792" s="613"/>
      <c r="V792" s="613"/>
      <c r="W792" s="613"/>
      <c r="X792" s="613"/>
      <c r="Y792" s="613"/>
      <c r="Z792" s="613"/>
    </row>
    <row r="793" ht="15.75" customHeight="1">
      <c r="A793" s="613"/>
      <c r="B793" s="613"/>
      <c r="C793" s="613"/>
      <c r="D793" s="613"/>
      <c r="E793" s="613"/>
      <c r="F793" s="613"/>
      <c r="G793" s="613"/>
      <c r="H793" s="613"/>
      <c r="I793" s="613"/>
      <c r="J793" s="613"/>
      <c r="K793" s="613"/>
      <c r="L793" s="613"/>
      <c r="M793" s="613"/>
      <c r="N793" s="613"/>
      <c r="O793" s="613"/>
      <c r="P793" s="613"/>
      <c r="Q793" s="613"/>
      <c r="R793" s="613"/>
      <c r="S793" s="613"/>
      <c r="T793" s="613"/>
      <c r="U793" s="613"/>
      <c r="V793" s="613"/>
      <c r="W793" s="613"/>
      <c r="X793" s="613"/>
      <c r="Y793" s="613"/>
      <c r="Z793" s="613"/>
    </row>
    <row r="794" ht="15.75" customHeight="1">
      <c r="A794" s="613"/>
      <c r="B794" s="613"/>
      <c r="C794" s="613"/>
      <c r="D794" s="613"/>
      <c r="E794" s="613"/>
      <c r="F794" s="613"/>
      <c r="G794" s="613"/>
      <c r="H794" s="613"/>
      <c r="I794" s="613"/>
      <c r="J794" s="613"/>
      <c r="K794" s="613"/>
      <c r="L794" s="613"/>
      <c r="M794" s="613"/>
      <c r="N794" s="613"/>
      <c r="O794" s="613"/>
      <c r="P794" s="613"/>
      <c r="Q794" s="613"/>
      <c r="R794" s="613"/>
      <c r="S794" s="613"/>
      <c r="T794" s="613"/>
      <c r="U794" s="613"/>
      <c r="V794" s="613"/>
      <c r="W794" s="613"/>
      <c r="X794" s="613"/>
      <c r="Y794" s="613"/>
      <c r="Z794" s="613"/>
    </row>
    <row r="795" ht="15.75" customHeight="1">
      <c r="A795" s="613"/>
      <c r="B795" s="613"/>
      <c r="C795" s="613"/>
      <c r="D795" s="613"/>
      <c r="E795" s="613"/>
      <c r="F795" s="613"/>
      <c r="G795" s="613"/>
      <c r="H795" s="613"/>
      <c r="I795" s="613"/>
      <c r="J795" s="613"/>
      <c r="K795" s="613"/>
      <c r="L795" s="613"/>
      <c r="M795" s="613"/>
      <c r="N795" s="613"/>
      <c r="O795" s="613"/>
      <c r="P795" s="613"/>
      <c r="Q795" s="613"/>
      <c r="R795" s="613"/>
      <c r="S795" s="613"/>
      <c r="T795" s="613"/>
      <c r="U795" s="613"/>
      <c r="V795" s="613"/>
      <c r="W795" s="613"/>
      <c r="X795" s="613"/>
      <c r="Y795" s="613"/>
      <c r="Z795" s="613"/>
    </row>
    <row r="796" ht="15.75" customHeight="1">
      <c r="A796" s="613"/>
      <c r="B796" s="613"/>
      <c r="C796" s="613"/>
      <c r="D796" s="613"/>
      <c r="E796" s="613"/>
      <c r="F796" s="613"/>
      <c r="G796" s="613"/>
      <c r="H796" s="613"/>
      <c r="I796" s="613"/>
      <c r="J796" s="613"/>
      <c r="K796" s="613"/>
      <c r="L796" s="613"/>
      <c r="M796" s="613"/>
      <c r="N796" s="613"/>
      <c r="O796" s="613"/>
      <c r="P796" s="613"/>
      <c r="Q796" s="613"/>
      <c r="R796" s="613"/>
      <c r="S796" s="613"/>
      <c r="T796" s="613"/>
      <c r="U796" s="613"/>
      <c r="V796" s="613"/>
      <c r="W796" s="613"/>
      <c r="X796" s="613"/>
      <c r="Y796" s="613"/>
      <c r="Z796" s="613"/>
    </row>
    <row r="797" ht="15.75" customHeight="1">
      <c r="A797" s="613"/>
      <c r="B797" s="613"/>
      <c r="C797" s="613"/>
      <c r="D797" s="613"/>
      <c r="E797" s="613"/>
      <c r="F797" s="613"/>
      <c r="G797" s="613"/>
      <c r="H797" s="613"/>
      <c r="I797" s="613"/>
      <c r="J797" s="613"/>
      <c r="K797" s="613"/>
      <c r="L797" s="613"/>
      <c r="M797" s="613"/>
      <c r="N797" s="613"/>
      <c r="O797" s="613"/>
      <c r="P797" s="613"/>
      <c r="Q797" s="613"/>
      <c r="R797" s="613"/>
      <c r="S797" s="613"/>
      <c r="T797" s="613"/>
      <c r="U797" s="613"/>
      <c r="V797" s="613"/>
      <c r="W797" s="613"/>
      <c r="X797" s="613"/>
      <c r="Y797" s="613"/>
      <c r="Z797" s="613"/>
    </row>
    <row r="798" ht="15.75" customHeight="1">
      <c r="A798" s="613"/>
      <c r="B798" s="613"/>
      <c r="C798" s="613"/>
      <c r="D798" s="613"/>
      <c r="E798" s="613"/>
      <c r="F798" s="613"/>
      <c r="G798" s="613"/>
      <c r="H798" s="613"/>
      <c r="I798" s="613"/>
      <c r="J798" s="613"/>
      <c r="K798" s="613"/>
      <c r="L798" s="613"/>
      <c r="M798" s="613"/>
      <c r="N798" s="613"/>
      <c r="O798" s="613"/>
      <c r="P798" s="613"/>
      <c r="Q798" s="613"/>
      <c r="R798" s="613"/>
      <c r="S798" s="613"/>
      <c r="T798" s="613"/>
      <c r="U798" s="613"/>
      <c r="V798" s="613"/>
      <c r="W798" s="613"/>
      <c r="X798" s="613"/>
      <c r="Y798" s="613"/>
      <c r="Z798" s="613"/>
    </row>
    <row r="799" ht="15.75" customHeight="1">
      <c r="A799" s="613"/>
      <c r="B799" s="613"/>
      <c r="C799" s="613"/>
      <c r="D799" s="613"/>
      <c r="E799" s="613"/>
      <c r="F799" s="613"/>
      <c r="G799" s="613"/>
      <c r="H799" s="613"/>
      <c r="I799" s="613"/>
      <c r="J799" s="613"/>
      <c r="K799" s="613"/>
      <c r="L799" s="613"/>
      <c r="M799" s="613"/>
      <c r="N799" s="613"/>
      <c r="O799" s="613"/>
      <c r="P799" s="613"/>
      <c r="Q799" s="613"/>
      <c r="R799" s="613"/>
      <c r="S799" s="613"/>
      <c r="T799" s="613"/>
      <c r="U799" s="613"/>
      <c r="V799" s="613"/>
      <c r="W799" s="613"/>
      <c r="X799" s="613"/>
      <c r="Y799" s="613"/>
      <c r="Z799" s="613"/>
    </row>
    <row r="800" ht="15.75" customHeight="1">
      <c r="A800" s="613"/>
      <c r="B800" s="613"/>
      <c r="C800" s="613"/>
      <c r="D800" s="613"/>
      <c r="E800" s="613"/>
      <c r="F800" s="613"/>
      <c r="G800" s="613"/>
      <c r="H800" s="613"/>
      <c r="I800" s="613"/>
      <c r="J800" s="613"/>
      <c r="K800" s="613"/>
      <c r="L800" s="613"/>
      <c r="M800" s="613"/>
      <c r="N800" s="613"/>
      <c r="O800" s="613"/>
      <c r="P800" s="613"/>
      <c r="Q800" s="613"/>
      <c r="R800" s="613"/>
      <c r="S800" s="613"/>
      <c r="T800" s="613"/>
      <c r="U800" s="613"/>
      <c r="V800" s="613"/>
      <c r="W800" s="613"/>
      <c r="X800" s="613"/>
      <c r="Y800" s="613"/>
      <c r="Z800" s="613"/>
    </row>
    <row r="801" ht="15.75" customHeight="1">
      <c r="A801" s="613"/>
      <c r="B801" s="613"/>
      <c r="C801" s="613"/>
      <c r="D801" s="613"/>
      <c r="E801" s="613"/>
      <c r="F801" s="613"/>
      <c r="G801" s="613"/>
      <c r="H801" s="613"/>
      <c r="I801" s="613"/>
      <c r="J801" s="613"/>
      <c r="K801" s="613"/>
      <c r="L801" s="613"/>
      <c r="M801" s="613"/>
      <c r="N801" s="613"/>
      <c r="O801" s="613"/>
      <c r="P801" s="613"/>
      <c r="Q801" s="613"/>
      <c r="R801" s="613"/>
      <c r="S801" s="613"/>
      <c r="T801" s="613"/>
      <c r="U801" s="613"/>
      <c r="V801" s="613"/>
      <c r="W801" s="613"/>
      <c r="X801" s="613"/>
      <c r="Y801" s="613"/>
      <c r="Z801" s="613"/>
    </row>
    <row r="802" ht="15.75" customHeight="1">
      <c r="A802" s="613"/>
      <c r="B802" s="613"/>
      <c r="C802" s="613"/>
      <c r="D802" s="613"/>
      <c r="E802" s="613"/>
      <c r="F802" s="613"/>
      <c r="G802" s="613"/>
      <c r="H802" s="613"/>
      <c r="I802" s="613"/>
      <c r="J802" s="613"/>
      <c r="K802" s="613"/>
      <c r="L802" s="613"/>
      <c r="M802" s="613"/>
      <c r="N802" s="613"/>
      <c r="O802" s="613"/>
      <c r="P802" s="613"/>
      <c r="Q802" s="613"/>
      <c r="R802" s="613"/>
      <c r="S802" s="613"/>
      <c r="T802" s="613"/>
      <c r="U802" s="613"/>
      <c r="V802" s="613"/>
      <c r="W802" s="613"/>
      <c r="X802" s="613"/>
      <c r="Y802" s="613"/>
      <c r="Z802" s="613"/>
    </row>
    <row r="803" ht="15.75" customHeight="1">
      <c r="A803" s="613"/>
      <c r="B803" s="613"/>
      <c r="C803" s="613"/>
      <c r="D803" s="613"/>
      <c r="E803" s="613"/>
      <c r="F803" s="613"/>
      <c r="G803" s="613"/>
      <c r="H803" s="613"/>
      <c r="I803" s="613"/>
      <c r="J803" s="613"/>
      <c r="K803" s="613"/>
      <c r="L803" s="613"/>
      <c r="M803" s="613"/>
      <c r="N803" s="613"/>
      <c r="O803" s="613"/>
      <c r="P803" s="613"/>
      <c r="Q803" s="613"/>
      <c r="R803" s="613"/>
      <c r="S803" s="613"/>
      <c r="T803" s="613"/>
      <c r="U803" s="613"/>
      <c r="V803" s="613"/>
      <c r="W803" s="613"/>
      <c r="X803" s="613"/>
      <c r="Y803" s="613"/>
      <c r="Z803" s="613"/>
    </row>
    <row r="804" ht="15.75" customHeight="1">
      <c r="A804" s="613"/>
      <c r="B804" s="613"/>
      <c r="C804" s="613"/>
      <c r="D804" s="613"/>
      <c r="E804" s="613"/>
      <c r="F804" s="613"/>
      <c r="G804" s="613"/>
      <c r="H804" s="613"/>
      <c r="I804" s="613"/>
      <c r="J804" s="613"/>
      <c r="K804" s="613"/>
      <c r="L804" s="613"/>
      <c r="M804" s="613"/>
      <c r="N804" s="613"/>
      <c r="O804" s="613"/>
      <c r="P804" s="613"/>
      <c r="Q804" s="613"/>
      <c r="R804" s="613"/>
      <c r="S804" s="613"/>
      <c r="T804" s="613"/>
      <c r="U804" s="613"/>
      <c r="V804" s="613"/>
      <c r="W804" s="613"/>
      <c r="X804" s="613"/>
      <c r="Y804" s="613"/>
      <c r="Z804" s="613"/>
    </row>
    <row r="805" ht="15.75" customHeight="1">
      <c r="A805" s="613"/>
      <c r="B805" s="613"/>
      <c r="C805" s="613"/>
      <c r="D805" s="613"/>
      <c r="E805" s="613"/>
      <c r="F805" s="613"/>
      <c r="G805" s="613"/>
      <c r="H805" s="613"/>
      <c r="I805" s="613"/>
      <c r="J805" s="613"/>
      <c r="K805" s="613"/>
      <c r="L805" s="613"/>
      <c r="M805" s="613"/>
      <c r="N805" s="613"/>
      <c r="O805" s="613"/>
      <c r="P805" s="613"/>
      <c r="Q805" s="613"/>
      <c r="R805" s="613"/>
      <c r="S805" s="613"/>
      <c r="T805" s="613"/>
      <c r="U805" s="613"/>
      <c r="V805" s="613"/>
      <c r="W805" s="613"/>
      <c r="X805" s="613"/>
      <c r="Y805" s="613"/>
      <c r="Z805" s="613"/>
    </row>
    <row r="806" ht="15.75" customHeight="1">
      <c r="A806" s="613"/>
      <c r="B806" s="613"/>
      <c r="C806" s="613"/>
      <c r="D806" s="613"/>
      <c r="E806" s="613"/>
      <c r="F806" s="613"/>
      <c r="G806" s="613"/>
      <c r="H806" s="613"/>
      <c r="I806" s="613"/>
      <c r="J806" s="613"/>
      <c r="K806" s="613"/>
      <c r="L806" s="613"/>
      <c r="M806" s="613"/>
      <c r="N806" s="613"/>
      <c r="O806" s="613"/>
      <c r="P806" s="613"/>
      <c r="Q806" s="613"/>
      <c r="R806" s="613"/>
      <c r="S806" s="613"/>
      <c r="T806" s="613"/>
      <c r="U806" s="613"/>
      <c r="V806" s="613"/>
      <c r="W806" s="613"/>
      <c r="X806" s="613"/>
      <c r="Y806" s="613"/>
      <c r="Z806" s="613"/>
    </row>
    <row r="807" ht="15.75" customHeight="1">
      <c r="A807" s="613"/>
      <c r="B807" s="613"/>
      <c r="C807" s="613"/>
      <c r="D807" s="613"/>
      <c r="E807" s="613"/>
      <c r="F807" s="613"/>
      <c r="G807" s="613"/>
      <c r="H807" s="613"/>
      <c r="I807" s="613"/>
      <c r="J807" s="613"/>
      <c r="K807" s="613"/>
      <c r="L807" s="613"/>
      <c r="M807" s="613"/>
      <c r="N807" s="613"/>
      <c r="O807" s="613"/>
      <c r="P807" s="613"/>
      <c r="Q807" s="613"/>
      <c r="R807" s="613"/>
      <c r="S807" s="613"/>
      <c r="T807" s="613"/>
      <c r="U807" s="613"/>
      <c r="V807" s="613"/>
      <c r="W807" s="613"/>
      <c r="X807" s="613"/>
      <c r="Y807" s="613"/>
      <c r="Z807" s="613"/>
    </row>
    <row r="808" ht="15.75" customHeight="1">
      <c r="A808" s="613"/>
      <c r="B808" s="613"/>
      <c r="C808" s="613"/>
      <c r="D808" s="613"/>
      <c r="E808" s="613"/>
      <c r="F808" s="613"/>
      <c r="G808" s="613"/>
      <c r="H808" s="613"/>
      <c r="I808" s="613"/>
      <c r="J808" s="613"/>
      <c r="K808" s="613"/>
      <c r="L808" s="613"/>
      <c r="M808" s="613"/>
      <c r="N808" s="613"/>
      <c r="O808" s="613"/>
      <c r="P808" s="613"/>
      <c r="Q808" s="613"/>
      <c r="R808" s="613"/>
      <c r="S808" s="613"/>
      <c r="T808" s="613"/>
      <c r="U808" s="613"/>
      <c r="V808" s="613"/>
      <c r="W808" s="613"/>
      <c r="X808" s="613"/>
      <c r="Y808" s="613"/>
      <c r="Z808" s="613"/>
    </row>
    <row r="809" ht="15.75" customHeight="1">
      <c r="A809" s="613"/>
      <c r="B809" s="613"/>
      <c r="C809" s="613"/>
      <c r="D809" s="613"/>
      <c r="E809" s="613"/>
      <c r="F809" s="613"/>
      <c r="G809" s="613"/>
      <c r="H809" s="613"/>
      <c r="I809" s="613"/>
      <c r="J809" s="613"/>
      <c r="K809" s="613"/>
      <c r="L809" s="613"/>
      <c r="M809" s="613"/>
      <c r="N809" s="613"/>
      <c r="O809" s="613"/>
      <c r="P809" s="613"/>
      <c r="Q809" s="613"/>
      <c r="R809" s="613"/>
      <c r="S809" s="613"/>
      <c r="T809" s="613"/>
      <c r="U809" s="613"/>
      <c r="V809" s="613"/>
      <c r="W809" s="613"/>
      <c r="X809" s="613"/>
      <c r="Y809" s="613"/>
      <c r="Z809" s="613"/>
    </row>
    <row r="810" ht="15.75" customHeight="1">
      <c r="A810" s="613"/>
      <c r="B810" s="613"/>
      <c r="C810" s="613"/>
      <c r="D810" s="613"/>
      <c r="E810" s="613"/>
      <c r="F810" s="613"/>
      <c r="G810" s="613"/>
      <c r="H810" s="613"/>
      <c r="I810" s="613"/>
      <c r="J810" s="613"/>
      <c r="K810" s="613"/>
      <c r="L810" s="613"/>
      <c r="M810" s="613"/>
      <c r="N810" s="613"/>
      <c r="O810" s="613"/>
      <c r="P810" s="613"/>
      <c r="Q810" s="613"/>
      <c r="R810" s="613"/>
      <c r="S810" s="613"/>
      <c r="T810" s="613"/>
      <c r="U810" s="613"/>
      <c r="V810" s="613"/>
      <c r="W810" s="613"/>
      <c r="X810" s="613"/>
      <c r="Y810" s="613"/>
      <c r="Z810" s="613"/>
    </row>
    <row r="811" ht="15.75" customHeight="1">
      <c r="A811" s="613"/>
      <c r="B811" s="613"/>
      <c r="C811" s="613"/>
      <c r="D811" s="613"/>
      <c r="E811" s="613"/>
      <c r="F811" s="613"/>
      <c r="G811" s="613"/>
      <c r="H811" s="613"/>
      <c r="I811" s="613"/>
      <c r="J811" s="613"/>
      <c r="K811" s="613"/>
      <c r="L811" s="613"/>
      <c r="M811" s="613"/>
      <c r="N811" s="613"/>
      <c r="O811" s="613"/>
      <c r="P811" s="613"/>
      <c r="Q811" s="613"/>
      <c r="R811" s="613"/>
      <c r="S811" s="613"/>
      <c r="T811" s="613"/>
      <c r="U811" s="613"/>
      <c r="V811" s="613"/>
      <c r="W811" s="613"/>
      <c r="X811" s="613"/>
      <c r="Y811" s="613"/>
      <c r="Z811" s="613"/>
    </row>
    <row r="812" ht="15.75" customHeight="1">
      <c r="A812" s="613"/>
      <c r="B812" s="613"/>
      <c r="C812" s="613"/>
      <c r="D812" s="613"/>
      <c r="E812" s="613"/>
      <c r="F812" s="613"/>
      <c r="G812" s="613"/>
      <c r="H812" s="613"/>
      <c r="I812" s="613"/>
      <c r="J812" s="613"/>
      <c r="K812" s="613"/>
      <c r="L812" s="613"/>
      <c r="M812" s="613"/>
      <c r="N812" s="613"/>
      <c r="O812" s="613"/>
      <c r="P812" s="613"/>
      <c r="Q812" s="613"/>
      <c r="R812" s="613"/>
      <c r="S812" s="613"/>
      <c r="T812" s="613"/>
      <c r="U812" s="613"/>
      <c r="V812" s="613"/>
      <c r="W812" s="613"/>
      <c r="X812" s="613"/>
      <c r="Y812" s="613"/>
      <c r="Z812" s="613"/>
    </row>
    <row r="813" ht="15.75" customHeight="1">
      <c r="A813" s="613"/>
      <c r="B813" s="613"/>
      <c r="C813" s="613"/>
      <c r="D813" s="613"/>
      <c r="E813" s="613"/>
      <c r="F813" s="613"/>
      <c r="G813" s="613"/>
      <c r="H813" s="613"/>
      <c r="I813" s="613"/>
      <c r="J813" s="613"/>
      <c r="K813" s="613"/>
      <c r="L813" s="613"/>
      <c r="M813" s="613"/>
      <c r="N813" s="613"/>
      <c r="O813" s="613"/>
      <c r="P813" s="613"/>
      <c r="Q813" s="613"/>
      <c r="R813" s="613"/>
      <c r="S813" s="613"/>
      <c r="T813" s="613"/>
      <c r="U813" s="613"/>
      <c r="V813" s="613"/>
      <c r="W813" s="613"/>
      <c r="X813" s="613"/>
      <c r="Y813" s="613"/>
      <c r="Z813" s="613"/>
    </row>
    <row r="814" ht="15.75" customHeight="1">
      <c r="A814" s="613"/>
      <c r="B814" s="613"/>
      <c r="C814" s="613"/>
      <c r="D814" s="613"/>
      <c r="E814" s="613"/>
      <c r="F814" s="613"/>
      <c r="G814" s="613"/>
      <c r="H814" s="613"/>
      <c r="I814" s="613"/>
      <c r="J814" s="613"/>
      <c r="K814" s="613"/>
      <c r="L814" s="613"/>
      <c r="M814" s="613"/>
      <c r="N814" s="613"/>
      <c r="O814" s="613"/>
      <c r="P814" s="613"/>
      <c r="Q814" s="613"/>
      <c r="R814" s="613"/>
      <c r="S814" s="613"/>
      <c r="T814" s="613"/>
      <c r="U814" s="613"/>
      <c r="V814" s="613"/>
      <c r="W814" s="613"/>
      <c r="X814" s="613"/>
      <c r="Y814" s="613"/>
      <c r="Z814" s="613"/>
    </row>
    <row r="815" ht="15.75" customHeight="1">
      <c r="A815" s="613"/>
      <c r="B815" s="613"/>
      <c r="C815" s="613"/>
      <c r="D815" s="613"/>
      <c r="E815" s="613"/>
      <c r="F815" s="613"/>
      <c r="G815" s="613"/>
      <c r="H815" s="613"/>
      <c r="I815" s="613"/>
      <c r="J815" s="613"/>
      <c r="K815" s="613"/>
      <c r="L815" s="613"/>
      <c r="M815" s="613"/>
      <c r="N815" s="613"/>
      <c r="O815" s="613"/>
      <c r="P815" s="613"/>
      <c r="Q815" s="613"/>
      <c r="R815" s="613"/>
      <c r="S815" s="613"/>
      <c r="T815" s="613"/>
      <c r="U815" s="613"/>
      <c r="V815" s="613"/>
      <c r="W815" s="613"/>
      <c r="X815" s="613"/>
      <c r="Y815" s="613"/>
      <c r="Z815" s="613"/>
    </row>
    <row r="816" ht="15.75" customHeight="1">
      <c r="A816" s="613"/>
      <c r="B816" s="613"/>
      <c r="C816" s="613"/>
      <c r="D816" s="613"/>
      <c r="E816" s="613"/>
      <c r="F816" s="613"/>
      <c r="G816" s="613"/>
      <c r="H816" s="613"/>
      <c r="I816" s="613"/>
      <c r="J816" s="613"/>
      <c r="K816" s="613"/>
      <c r="L816" s="613"/>
      <c r="M816" s="613"/>
      <c r="N816" s="613"/>
      <c r="O816" s="613"/>
      <c r="P816" s="613"/>
      <c r="Q816" s="613"/>
      <c r="R816" s="613"/>
      <c r="S816" s="613"/>
      <c r="T816" s="613"/>
      <c r="U816" s="613"/>
      <c r="V816" s="613"/>
      <c r="W816" s="613"/>
      <c r="X816" s="613"/>
      <c r="Y816" s="613"/>
      <c r="Z816" s="613"/>
    </row>
    <row r="817" ht="15.75" customHeight="1">
      <c r="A817" s="613"/>
      <c r="B817" s="613"/>
      <c r="C817" s="613"/>
      <c r="D817" s="613"/>
      <c r="E817" s="613"/>
      <c r="F817" s="613"/>
      <c r="G817" s="613"/>
      <c r="H817" s="613"/>
      <c r="I817" s="613"/>
      <c r="J817" s="613"/>
      <c r="K817" s="613"/>
      <c r="L817" s="613"/>
      <c r="M817" s="613"/>
      <c r="N817" s="613"/>
      <c r="O817" s="613"/>
      <c r="P817" s="613"/>
      <c r="Q817" s="613"/>
      <c r="R817" s="613"/>
      <c r="S817" s="613"/>
      <c r="T817" s="613"/>
      <c r="U817" s="613"/>
      <c r="V817" s="613"/>
      <c r="W817" s="613"/>
      <c r="X817" s="613"/>
      <c r="Y817" s="613"/>
      <c r="Z817" s="613"/>
    </row>
    <row r="818" ht="15.75" customHeight="1">
      <c r="A818" s="613"/>
      <c r="B818" s="613"/>
      <c r="C818" s="613"/>
      <c r="D818" s="613"/>
      <c r="E818" s="613"/>
      <c r="F818" s="613"/>
      <c r="G818" s="613"/>
      <c r="H818" s="613"/>
      <c r="I818" s="613"/>
      <c r="J818" s="613"/>
      <c r="K818" s="613"/>
      <c r="L818" s="613"/>
      <c r="M818" s="613"/>
      <c r="N818" s="613"/>
      <c r="O818" s="613"/>
      <c r="P818" s="613"/>
      <c r="Q818" s="613"/>
      <c r="R818" s="613"/>
      <c r="S818" s="613"/>
      <c r="T818" s="613"/>
      <c r="U818" s="613"/>
      <c r="V818" s="613"/>
      <c r="W818" s="613"/>
      <c r="X818" s="613"/>
      <c r="Y818" s="613"/>
      <c r="Z818" s="613"/>
    </row>
    <row r="819" ht="15.75" customHeight="1">
      <c r="A819" s="613"/>
      <c r="B819" s="613"/>
      <c r="C819" s="613"/>
      <c r="D819" s="613"/>
      <c r="E819" s="613"/>
      <c r="F819" s="613"/>
      <c r="G819" s="613"/>
      <c r="H819" s="613"/>
      <c r="I819" s="613"/>
      <c r="J819" s="613"/>
      <c r="K819" s="613"/>
      <c r="L819" s="613"/>
      <c r="M819" s="613"/>
      <c r="N819" s="613"/>
      <c r="O819" s="613"/>
      <c r="P819" s="613"/>
      <c r="Q819" s="613"/>
      <c r="R819" s="613"/>
      <c r="S819" s="613"/>
      <c r="T819" s="613"/>
      <c r="U819" s="613"/>
      <c r="V819" s="613"/>
      <c r="W819" s="613"/>
      <c r="X819" s="613"/>
      <c r="Y819" s="613"/>
      <c r="Z819" s="613"/>
    </row>
    <row r="820" ht="15.75" customHeight="1">
      <c r="A820" s="613"/>
      <c r="B820" s="613"/>
      <c r="C820" s="613"/>
      <c r="D820" s="613"/>
      <c r="E820" s="613"/>
      <c r="F820" s="613"/>
      <c r="G820" s="613"/>
      <c r="H820" s="613"/>
      <c r="I820" s="613"/>
      <c r="J820" s="613"/>
      <c r="K820" s="613"/>
      <c r="L820" s="613"/>
      <c r="M820" s="613"/>
      <c r="N820" s="613"/>
      <c r="O820" s="613"/>
      <c r="P820" s="613"/>
      <c r="Q820" s="613"/>
      <c r="R820" s="613"/>
      <c r="S820" s="613"/>
      <c r="T820" s="613"/>
      <c r="U820" s="613"/>
      <c r="V820" s="613"/>
      <c r="W820" s="613"/>
      <c r="X820" s="613"/>
      <c r="Y820" s="613"/>
      <c r="Z820" s="613"/>
    </row>
    <row r="821" ht="15.75" customHeight="1">
      <c r="A821" s="613"/>
      <c r="B821" s="613"/>
      <c r="C821" s="613"/>
      <c r="D821" s="613"/>
      <c r="E821" s="613"/>
      <c r="F821" s="613"/>
      <c r="G821" s="613"/>
      <c r="H821" s="613"/>
      <c r="I821" s="613"/>
      <c r="J821" s="613"/>
      <c r="K821" s="613"/>
      <c r="L821" s="613"/>
      <c r="M821" s="613"/>
      <c r="N821" s="613"/>
      <c r="O821" s="613"/>
      <c r="P821" s="613"/>
      <c r="Q821" s="613"/>
      <c r="R821" s="613"/>
      <c r="S821" s="613"/>
      <c r="T821" s="613"/>
      <c r="U821" s="613"/>
      <c r="V821" s="613"/>
      <c r="W821" s="613"/>
      <c r="X821" s="613"/>
      <c r="Y821" s="613"/>
      <c r="Z821" s="613"/>
    </row>
    <row r="822" ht="15.75" customHeight="1">
      <c r="A822" s="613"/>
      <c r="B822" s="613"/>
      <c r="C822" s="613"/>
      <c r="D822" s="613"/>
      <c r="E822" s="613"/>
      <c r="F822" s="613"/>
      <c r="G822" s="613"/>
      <c r="H822" s="613"/>
      <c r="I822" s="613"/>
      <c r="J822" s="613"/>
      <c r="K822" s="613"/>
      <c r="L822" s="613"/>
      <c r="M822" s="613"/>
      <c r="N822" s="613"/>
      <c r="O822" s="613"/>
      <c r="P822" s="613"/>
      <c r="Q822" s="613"/>
      <c r="R822" s="613"/>
      <c r="S822" s="613"/>
      <c r="T822" s="613"/>
      <c r="U822" s="613"/>
      <c r="V822" s="613"/>
      <c r="W822" s="613"/>
      <c r="X822" s="613"/>
      <c r="Y822" s="613"/>
      <c r="Z822" s="613"/>
    </row>
    <row r="823" ht="15.75" customHeight="1">
      <c r="A823" s="613"/>
      <c r="B823" s="613"/>
      <c r="C823" s="613"/>
      <c r="D823" s="613"/>
      <c r="E823" s="613"/>
      <c r="F823" s="613"/>
      <c r="G823" s="613"/>
      <c r="H823" s="613"/>
      <c r="I823" s="613"/>
      <c r="J823" s="613"/>
      <c r="K823" s="613"/>
      <c r="L823" s="613"/>
      <c r="M823" s="613"/>
      <c r="N823" s="613"/>
      <c r="O823" s="613"/>
      <c r="P823" s="613"/>
      <c r="Q823" s="613"/>
      <c r="R823" s="613"/>
      <c r="S823" s="613"/>
      <c r="T823" s="613"/>
      <c r="U823" s="613"/>
      <c r="V823" s="613"/>
      <c r="W823" s="613"/>
      <c r="X823" s="613"/>
      <c r="Y823" s="613"/>
      <c r="Z823" s="613"/>
    </row>
    <row r="824" ht="15.75" customHeight="1">
      <c r="A824" s="613"/>
      <c r="B824" s="613"/>
      <c r="C824" s="613"/>
      <c r="D824" s="613"/>
      <c r="E824" s="613"/>
      <c r="F824" s="613"/>
      <c r="G824" s="613"/>
      <c r="H824" s="613"/>
      <c r="I824" s="613"/>
      <c r="J824" s="613"/>
      <c r="K824" s="613"/>
      <c r="L824" s="613"/>
      <c r="M824" s="613"/>
      <c r="N824" s="613"/>
      <c r="O824" s="613"/>
      <c r="P824" s="613"/>
      <c r="Q824" s="613"/>
      <c r="R824" s="613"/>
      <c r="S824" s="613"/>
      <c r="T824" s="613"/>
      <c r="U824" s="613"/>
      <c r="V824" s="613"/>
      <c r="W824" s="613"/>
      <c r="X824" s="613"/>
      <c r="Y824" s="613"/>
      <c r="Z824" s="613"/>
    </row>
    <row r="825" ht="15.75" customHeight="1">
      <c r="A825" s="613"/>
      <c r="B825" s="613"/>
      <c r="C825" s="613"/>
      <c r="D825" s="613"/>
      <c r="E825" s="613"/>
      <c r="F825" s="613"/>
      <c r="G825" s="613"/>
      <c r="H825" s="613"/>
      <c r="I825" s="613"/>
      <c r="J825" s="613"/>
      <c r="K825" s="613"/>
      <c r="L825" s="613"/>
      <c r="M825" s="613"/>
      <c r="N825" s="613"/>
      <c r="O825" s="613"/>
      <c r="P825" s="613"/>
      <c r="Q825" s="613"/>
      <c r="R825" s="613"/>
      <c r="S825" s="613"/>
      <c r="T825" s="613"/>
      <c r="U825" s="613"/>
      <c r="V825" s="613"/>
      <c r="W825" s="613"/>
      <c r="X825" s="613"/>
      <c r="Y825" s="613"/>
      <c r="Z825" s="613"/>
    </row>
    <row r="826" ht="15.75" customHeight="1">
      <c r="A826" s="613"/>
      <c r="B826" s="613"/>
      <c r="C826" s="613"/>
      <c r="D826" s="613"/>
      <c r="E826" s="613"/>
      <c r="F826" s="613"/>
      <c r="G826" s="613"/>
      <c r="H826" s="613"/>
      <c r="I826" s="613"/>
      <c r="J826" s="613"/>
      <c r="K826" s="613"/>
      <c r="L826" s="613"/>
      <c r="M826" s="613"/>
      <c r="N826" s="613"/>
      <c r="O826" s="613"/>
      <c r="P826" s="613"/>
      <c r="Q826" s="613"/>
      <c r="R826" s="613"/>
      <c r="S826" s="613"/>
      <c r="T826" s="613"/>
      <c r="U826" s="613"/>
      <c r="V826" s="613"/>
      <c r="W826" s="613"/>
      <c r="X826" s="613"/>
      <c r="Y826" s="613"/>
      <c r="Z826" s="613"/>
    </row>
    <row r="827" ht="15.75" customHeight="1">
      <c r="A827" s="613"/>
      <c r="B827" s="613"/>
      <c r="C827" s="613"/>
      <c r="D827" s="613"/>
      <c r="E827" s="613"/>
      <c r="F827" s="613"/>
      <c r="G827" s="613"/>
      <c r="H827" s="613"/>
      <c r="I827" s="613"/>
      <c r="J827" s="613"/>
      <c r="K827" s="613"/>
      <c r="L827" s="613"/>
      <c r="M827" s="613"/>
      <c r="N827" s="613"/>
      <c r="O827" s="613"/>
      <c r="P827" s="613"/>
      <c r="Q827" s="613"/>
      <c r="R827" s="613"/>
      <c r="S827" s="613"/>
      <c r="T827" s="613"/>
      <c r="U827" s="613"/>
      <c r="V827" s="613"/>
      <c r="W827" s="613"/>
      <c r="X827" s="613"/>
      <c r="Y827" s="613"/>
      <c r="Z827" s="613"/>
    </row>
    <row r="828" ht="15.75" customHeight="1">
      <c r="A828" s="613"/>
      <c r="B828" s="613"/>
      <c r="C828" s="613"/>
      <c r="D828" s="613"/>
      <c r="E828" s="613"/>
      <c r="F828" s="613"/>
      <c r="G828" s="613"/>
      <c r="H828" s="613"/>
      <c r="I828" s="613"/>
      <c r="J828" s="613"/>
      <c r="K828" s="613"/>
      <c r="L828" s="613"/>
      <c r="M828" s="613"/>
      <c r="N828" s="613"/>
      <c r="O828" s="613"/>
      <c r="P828" s="613"/>
      <c r="Q828" s="613"/>
      <c r="R828" s="613"/>
      <c r="S828" s="613"/>
      <c r="T828" s="613"/>
      <c r="U828" s="613"/>
      <c r="V828" s="613"/>
      <c r="W828" s="613"/>
      <c r="X828" s="613"/>
      <c r="Y828" s="613"/>
      <c r="Z828" s="613"/>
    </row>
    <row r="829" ht="15.75" customHeight="1">
      <c r="A829" s="613"/>
      <c r="B829" s="613"/>
      <c r="C829" s="613"/>
      <c r="D829" s="613"/>
      <c r="E829" s="613"/>
      <c r="F829" s="613"/>
      <c r="G829" s="613"/>
      <c r="H829" s="613"/>
      <c r="I829" s="613"/>
      <c r="J829" s="613"/>
      <c r="K829" s="613"/>
      <c r="L829" s="613"/>
      <c r="M829" s="613"/>
      <c r="N829" s="613"/>
      <c r="O829" s="613"/>
      <c r="P829" s="613"/>
      <c r="Q829" s="613"/>
      <c r="R829" s="613"/>
      <c r="S829" s="613"/>
      <c r="T829" s="613"/>
      <c r="U829" s="613"/>
      <c r="V829" s="613"/>
      <c r="W829" s="613"/>
      <c r="X829" s="613"/>
      <c r="Y829" s="613"/>
      <c r="Z829" s="613"/>
    </row>
    <row r="830" ht="15.75" customHeight="1">
      <c r="A830" s="613"/>
      <c r="B830" s="613"/>
      <c r="C830" s="613"/>
      <c r="D830" s="613"/>
      <c r="E830" s="613"/>
      <c r="F830" s="613"/>
      <c r="G830" s="613"/>
      <c r="H830" s="613"/>
      <c r="I830" s="613"/>
      <c r="J830" s="613"/>
      <c r="K830" s="613"/>
      <c r="L830" s="613"/>
      <c r="M830" s="613"/>
      <c r="N830" s="613"/>
      <c r="O830" s="613"/>
      <c r="P830" s="613"/>
      <c r="Q830" s="613"/>
      <c r="R830" s="613"/>
      <c r="S830" s="613"/>
      <c r="T830" s="613"/>
      <c r="U830" s="613"/>
      <c r="V830" s="613"/>
      <c r="W830" s="613"/>
      <c r="X830" s="613"/>
      <c r="Y830" s="613"/>
      <c r="Z830" s="613"/>
    </row>
    <row r="831" ht="15.75" customHeight="1">
      <c r="A831" s="613"/>
      <c r="B831" s="613"/>
      <c r="C831" s="613"/>
      <c r="D831" s="613"/>
      <c r="E831" s="613"/>
      <c r="F831" s="613"/>
      <c r="G831" s="613"/>
      <c r="H831" s="613"/>
      <c r="I831" s="613"/>
      <c r="J831" s="613"/>
      <c r="K831" s="613"/>
      <c r="L831" s="613"/>
      <c r="M831" s="613"/>
      <c r="N831" s="613"/>
      <c r="O831" s="613"/>
      <c r="P831" s="613"/>
      <c r="Q831" s="613"/>
      <c r="R831" s="613"/>
      <c r="S831" s="613"/>
      <c r="T831" s="613"/>
      <c r="U831" s="613"/>
      <c r="V831" s="613"/>
      <c r="W831" s="613"/>
      <c r="X831" s="613"/>
      <c r="Y831" s="613"/>
      <c r="Z831" s="613"/>
    </row>
    <row r="832" ht="15.75" customHeight="1">
      <c r="A832" s="613"/>
      <c r="B832" s="613"/>
      <c r="C832" s="613"/>
      <c r="D832" s="613"/>
      <c r="E832" s="613"/>
      <c r="F832" s="613"/>
      <c r="G832" s="613"/>
      <c r="H832" s="613"/>
      <c r="I832" s="613"/>
      <c r="J832" s="613"/>
      <c r="K832" s="613"/>
      <c r="L832" s="613"/>
      <c r="M832" s="613"/>
      <c r="N832" s="613"/>
      <c r="O832" s="613"/>
      <c r="P832" s="613"/>
      <c r="Q832" s="613"/>
      <c r="R832" s="613"/>
      <c r="S832" s="613"/>
      <c r="T832" s="613"/>
      <c r="U832" s="613"/>
      <c r="V832" s="613"/>
      <c r="W832" s="613"/>
      <c r="X832" s="613"/>
      <c r="Y832" s="613"/>
      <c r="Z832" s="613"/>
    </row>
    <row r="833" ht="15.75" customHeight="1">
      <c r="A833" s="613"/>
      <c r="B833" s="613"/>
      <c r="C833" s="613"/>
      <c r="D833" s="613"/>
      <c r="E833" s="613"/>
      <c r="F833" s="613"/>
      <c r="G833" s="613"/>
      <c r="H833" s="613"/>
      <c r="I833" s="613"/>
      <c r="J833" s="613"/>
      <c r="K833" s="613"/>
      <c r="L833" s="613"/>
      <c r="M833" s="613"/>
      <c r="N833" s="613"/>
      <c r="O833" s="613"/>
      <c r="P833" s="613"/>
      <c r="Q833" s="613"/>
      <c r="R833" s="613"/>
      <c r="S833" s="613"/>
      <c r="T833" s="613"/>
      <c r="U833" s="613"/>
      <c r="V833" s="613"/>
      <c r="W833" s="613"/>
      <c r="X833" s="613"/>
      <c r="Y833" s="613"/>
      <c r="Z833" s="613"/>
    </row>
    <row r="834" ht="15.75" customHeight="1">
      <c r="A834" s="613"/>
      <c r="B834" s="613"/>
      <c r="C834" s="613"/>
      <c r="D834" s="613"/>
      <c r="E834" s="613"/>
      <c r="F834" s="613"/>
      <c r="G834" s="613"/>
      <c r="H834" s="613"/>
      <c r="I834" s="613"/>
      <c r="J834" s="613"/>
      <c r="K834" s="613"/>
      <c r="L834" s="613"/>
      <c r="M834" s="613"/>
      <c r="N834" s="613"/>
      <c r="O834" s="613"/>
      <c r="P834" s="613"/>
      <c r="Q834" s="613"/>
      <c r="R834" s="613"/>
      <c r="S834" s="613"/>
      <c r="T834" s="613"/>
      <c r="U834" s="613"/>
      <c r="V834" s="613"/>
      <c r="W834" s="613"/>
      <c r="X834" s="613"/>
      <c r="Y834" s="613"/>
      <c r="Z834" s="613"/>
    </row>
    <row r="835" ht="15.75" customHeight="1">
      <c r="A835" s="613"/>
      <c r="B835" s="613"/>
      <c r="C835" s="613"/>
      <c r="D835" s="613"/>
      <c r="E835" s="613"/>
      <c r="F835" s="613"/>
      <c r="G835" s="613"/>
      <c r="H835" s="613"/>
      <c r="I835" s="613"/>
      <c r="J835" s="613"/>
      <c r="K835" s="613"/>
      <c r="L835" s="613"/>
      <c r="M835" s="613"/>
      <c r="N835" s="613"/>
      <c r="O835" s="613"/>
      <c r="P835" s="613"/>
      <c r="Q835" s="613"/>
      <c r="R835" s="613"/>
      <c r="S835" s="613"/>
      <c r="T835" s="613"/>
      <c r="U835" s="613"/>
      <c r="V835" s="613"/>
      <c r="W835" s="613"/>
      <c r="X835" s="613"/>
      <c r="Y835" s="613"/>
      <c r="Z835" s="613"/>
    </row>
    <row r="836" ht="15.75" customHeight="1">
      <c r="A836" s="613"/>
      <c r="B836" s="613"/>
      <c r="C836" s="613"/>
      <c r="D836" s="613"/>
      <c r="E836" s="613"/>
      <c r="F836" s="613"/>
      <c r="G836" s="613"/>
      <c r="H836" s="613"/>
      <c r="I836" s="613"/>
      <c r="J836" s="613"/>
      <c r="K836" s="613"/>
      <c r="L836" s="613"/>
      <c r="M836" s="613"/>
      <c r="N836" s="613"/>
      <c r="O836" s="613"/>
      <c r="P836" s="613"/>
      <c r="Q836" s="613"/>
      <c r="R836" s="613"/>
      <c r="S836" s="613"/>
      <c r="T836" s="613"/>
      <c r="U836" s="613"/>
      <c r="V836" s="613"/>
      <c r="W836" s="613"/>
      <c r="X836" s="613"/>
      <c r="Y836" s="613"/>
      <c r="Z836" s="613"/>
    </row>
    <row r="837" ht="15.75" customHeight="1">
      <c r="A837" s="613"/>
      <c r="B837" s="613"/>
      <c r="C837" s="613"/>
      <c r="D837" s="613"/>
      <c r="E837" s="613"/>
      <c r="F837" s="613"/>
      <c r="G837" s="613"/>
      <c r="H837" s="613"/>
      <c r="I837" s="613"/>
      <c r="J837" s="613"/>
      <c r="K837" s="613"/>
      <c r="L837" s="613"/>
      <c r="M837" s="613"/>
      <c r="N837" s="613"/>
      <c r="O837" s="613"/>
      <c r="P837" s="613"/>
      <c r="Q837" s="613"/>
      <c r="R837" s="613"/>
      <c r="S837" s="613"/>
      <c r="T837" s="613"/>
      <c r="U837" s="613"/>
      <c r="V837" s="613"/>
      <c r="W837" s="613"/>
      <c r="X837" s="613"/>
      <c r="Y837" s="613"/>
      <c r="Z837" s="613"/>
    </row>
    <row r="838" ht="15.75" customHeight="1">
      <c r="A838" s="613"/>
      <c r="B838" s="613"/>
      <c r="C838" s="613"/>
      <c r="D838" s="613"/>
      <c r="E838" s="613"/>
      <c r="F838" s="613"/>
      <c r="G838" s="613"/>
      <c r="H838" s="613"/>
      <c r="I838" s="613"/>
      <c r="J838" s="613"/>
      <c r="K838" s="613"/>
      <c r="L838" s="613"/>
      <c r="M838" s="613"/>
      <c r="N838" s="613"/>
      <c r="O838" s="613"/>
      <c r="P838" s="613"/>
      <c r="Q838" s="613"/>
      <c r="R838" s="613"/>
      <c r="S838" s="613"/>
      <c r="T838" s="613"/>
      <c r="U838" s="613"/>
      <c r="V838" s="613"/>
      <c r="W838" s="613"/>
      <c r="X838" s="613"/>
      <c r="Y838" s="613"/>
      <c r="Z838" s="613"/>
    </row>
    <row r="839" ht="15.75" customHeight="1">
      <c r="A839" s="613"/>
      <c r="B839" s="613"/>
      <c r="C839" s="613"/>
      <c r="D839" s="613"/>
      <c r="E839" s="613"/>
      <c r="F839" s="613"/>
      <c r="G839" s="613"/>
      <c r="H839" s="613"/>
      <c r="I839" s="613"/>
      <c r="J839" s="613"/>
      <c r="K839" s="613"/>
      <c r="L839" s="613"/>
      <c r="M839" s="613"/>
      <c r="N839" s="613"/>
      <c r="O839" s="613"/>
      <c r="P839" s="613"/>
      <c r="Q839" s="613"/>
      <c r="R839" s="613"/>
      <c r="S839" s="613"/>
      <c r="T839" s="613"/>
      <c r="U839" s="613"/>
      <c r="V839" s="613"/>
      <c r="W839" s="613"/>
      <c r="X839" s="613"/>
      <c r="Y839" s="613"/>
      <c r="Z839" s="613"/>
    </row>
    <row r="840" ht="15.75" customHeight="1">
      <c r="A840" s="613"/>
      <c r="B840" s="613"/>
      <c r="C840" s="613"/>
      <c r="D840" s="613"/>
      <c r="E840" s="613"/>
      <c r="F840" s="613"/>
      <c r="G840" s="613"/>
      <c r="H840" s="613"/>
      <c r="I840" s="613"/>
      <c r="J840" s="613"/>
      <c r="K840" s="613"/>
      <c r="L840" s="613"/>
      <c r="M840" s="613"/>
      <c r="N840" s="613"/>
      <c r="O840" s="613"/>
      <c r="P840" s="613"/>
      <c r="Q840" s="613"/>
      <c r="R840" s="613"/>
      <c r="S840" s="613"/>
      <c r="T840" s="613"/>
      <c r="U840" s="613"/>
      <c r="V840" s="613"/>
      <c r="W840" s="613"/>
      <c r="X840" s="613"/>
      <c r="Y840" s="613"/>
      <c r="Z840" s="613"/>
    </row>
    <row r="841" ht="15.75" customHeight="1">
      <c r="A841" s="613"/>
      <c r="B841" s="613"/>
      <c r="C841" s="613"/>
      <c r="D841" s="613"/>
      <c r="E841" s="613"/>
      <c r="F841" s="613"/>
      <c r="G841" s="613"/>
      <c r="H841" s="613"/>
      <c r="I841" s="613"/>
      <c r="J841" s="613"/>
      <c r="K841" s="613"/>
      <c r="L841" s="613"/>
      <c r="M841" s="613"/>
      <c r="N841" s="613"/>
      <c r="O841" s="613"/>
      <c r="P841" s="613"/>
      <c r="Q841" s="613"/>
      <c r="R841" s="613"/>
      <c r="S841" s="613"/>
      <c r="T841" s="613"/>
      <c r="U841" s="613"/>
      <c r="V841" s="613"/>
      <c r="W841" s="613"/>
      <c r="X841" s="613"/>
      <c r="Y841" s="613"/>
      <c r="Z841" s="613"/>
    </row>
    <row r="842" ht="15.75" customHeight="1">
      <c r="A842" s="613"/>
      <c r="B842" s="613"/>
      <c r="C842" s="613"/>
      <c r="D842" s="613"/>
      <c r="E842" s="613"/>
      <c r="F842" s="613"/>
      <c r="G842" s="613"/>
      <c r="H842" s="613"/>
      <c r="I842" s="613"/>
      <c r="J842" s="613"/>
      <c r="K842" s="613"/>
      <c r="L842" s="613"/>
      <c r="M842" s="613"/>
      <c r="N842" s="613"/>
      <c r="O842" s="613"/>
      <c r="P842" s="613"/>
      <c r="Q842" s="613"/>
      <c r="R842" s="613"/>
      <c r="S842" s="613"/>
      <c r="T842" s="613"/>
      <c r="U842" s="613"/>
      <c r="V842" s="613"/>
      <c r="W842" s="613"/>
      <c r="X842" s="613"/>
      <c r="Y842" s="613"/>
      <c r="Z842" s="613"/>
    </row>
    <row r="843" ht="15.75" customHeight="1">
      <c r="A843" s="613"/>
      <c r="B843" s="613"/>
      <c r="C843" s="613"/>
      <c r="D843" s="613"/>
      <c r="E843" s="613"/>
      <c r="F843" s="613"/>
      <c r="G843" s="613"/>
      <c r="H843" s="613"/>
      <c r="I843" s="613"/>
      <c r="J843" s="613"/>
      <c r="K843" s="613"/>
      <c r="L843" s="613"/>
      <c r="M843" s="613"/>
      <c r="N843" s="613"/>
      <c r="O843" s="613"/>
      <c r="P843" s="613"/>
      <c r="Q843" s="613"/>
      <c r="R843" s="613"/>
      <c r="S843" s="613"/>
      <c r="T843" s="613"/>
      <c r="U843" s="613"/>
      <c r="V843" s="613"/>
      <c r="W843" s="613"/>
      <c r="X843" s="613"/>
      <c r="Y843" s="613"/>
      <c r="Z843" s="613"/>
    </row>
    <row r="844" ht="15.75" customHeight="1">
      <c r="A844" s="613"/>
      <c r="B844" s="613"/>
      <c r="C844" s="613"/>
      <c r="D844" s="613"/>
      <c r="E844" s="613"/>
      <c r="F844" s="613"/>
      <c r="G844" s="613"/>
      <c r="H844" s="613"/>
      <c r="I844" s="613"/>
      <c r="J844" s="613"/>
      <c r="K844" s="613"/>
      <c r="L844" s="613"/>
      <c r="M844" s="613"/>
      <c r="N844" s="613"/>
      <c r="O844" s="613"/>
      <c r="P844" s="613"/>
      <c r="Q844" s="613"/>
      <c r="R844" s="613"/>
      <c r="S844" s="613"/>
      <c r="T844" s="613"/>
      <c r="U844" s="613"/>
      <c r="V844" s="613"/>
      <c r="W844" s="613"/>
      <c r="X844" s="613"/>
      <c r="Y844" s="613"/>
      <c r="Z844" s="613"/>
    </row>
    <row r="845" ht="15.75" customHeight="1">
      <c r="A845" s="613"/>
      <c r="B845" s="613"/>
      <c r="C845" s="613"/>
      <c r="D845" s="613"/>
      <c r="E845" s="613"/>
      <c r="F845" s="613"/>
      <c r="G845" s="613"/>
      <c r="H845" s="613"/>
      <c r="I845" s="613"/>
      <c r="J845" s="613"/>
      <c r="K845" s="613"/>
      <c r="L845" s="613"/>
      <c r="M845" s="613"/>
      <c r="N845" s="613"/>
      <c r="O845" s="613"/>
      <c r="P845" s="613"/>
      <c r="Q845" s="613"/>
      <c r="R845" s="613"/>
      <c r="S845" s="613"/>
      <c r="T845" s="613"/>
      <c r="U845" s="613"/>
      <c r="V845" s="613"/>
      <c r="W845" s="613"/>
      <c r="X845" s="613"/>
      <c r="Y845" s="613"/>
      <c r="Z845" s="613"/>
    </row>
    <row r="846" ht="15.75" customHeight="1">
      <c r="A846" s="613"/>
      <c r="B846" s="613"/>
      <c r="C846" s="613"/>
      <c r="D846" s="613"/>
      <c r="E846" s="613"/>
      <c r="F846" s="613"/>
      <c r="G846" s="613"/>
      <c r="H846" s="613"/>
      <c r="I846" s="613"/>
      <c r="J846" s="613"/>
      <c r="K846" s="613"/>
      <c r="L846" s="613"/>
      <c r="M846" s="613"/>
      <c r="N846" s="613"/>
      <c r="O846" s="613"/>
      <c r="P846" s="613"/>
      <c r="Q846" s="613"/>
      <c r="R846" s="613"/>
      <c r="S846" s="613"/>
      <c r="T846" s="613"/>
      <c r="U846" s="613"/>
      <c r="V846" s="613"/>
      <c r="W846" s="613"/>
      <c r="X846" s="613"/>
      <c r="Y846" s="613"/>
      <c r="Z846" s="613"/>
    </row>
    <row r="847" ht="15.75" customHeight="1">
      <c r="A847" s="613"/>
      <c r="B847" s="613"/>
      <c r="C847" s="613"/>
      <c r="D847" s="613"/>
      <c r="E847" s="613"/>
      <c r="F847" s="613"/>
      <c r="G847" s="613"/>
      <c r="H847" s="613"/>
      <c r="I847" s="613"/>
      <c r="J847" s="613"/>
      <c r="K847" s="613"/>
      <c r="L847" s="613"/>
      <c r="M847" s="613"/>
      <c r="N847" s="613"/>
      <c r="O847" s="613"/>
      <c r="P847" s="613"/>
      <c r="Q847" s="613"/>
      <c r="R847" s="613"/>
      <c r="S847" s="613"/>
      <c r="T847" s="613"/>
      <c r="U847" s="613"/>
      <c r="V847" s="613"/>
      <c r="W847" s="613"/>
      <c r="X847" s="613"/>
      <c r="Y847" s="613"/>
      <c r="Z847" s="613"/>
    </row>
    <row r="848" ht="15.75" customHeight="1">
      <c r="A848" s="613"/>
      <c r="B848" s="613"/>
      <c r="C848" s="613"/>
      <c r="D848" s="613"/>
      <c r="E848" s="613"/>
      <c r="F848" s="613"/>
      <c r="G848" s="613"/>
      <c r="H848" s="613"/>
      <c r="I848" s="613"/>
      <c r="J848" s="613"/>
      <c r="K848" s="613"/>
      <c r="L848" s="613"/>
      <c r="M848" s="613"/>
      <c r="N848" s="613"/>
      <c r="O848" s="613"/>
      <c r="P848" s="613"/>
      <c r="Q848" s="613"/>
      <c r="R848" s="613"/>
      <c r="S848" s="613"/>
      <c r="T848" s="613"/>
      <c r="U848" s="613"/>
      <c r="V848" s="613"/>
      <c r="W848" s="613"/>
      <c r="X848" s="613"/>
      <c r="Y848" s="613"/>
      <c r="Z848" s="613"/>
    </row>
    <row r="849" ht="15.75" customHeight="1">
      <c r="A849" s="613"/>
      <c r="B849" s="613"/>
      <c r="C849" s="613"/>
      <c r="D849" s="613"/>
      <c r="E849" s="613"/>
      <c r="F849" s="613"/>
      <c r="G849" s="613"/>
      <c r="H849" s="613"/>
      <c r="I849" s="613"/>
      <c r="J849" s="613"/>
      <c r="K849" s="613"/>
      <c r="L849" s="613"/>
      <c r="M849" s="613"/>
      <c r="N849" s="613"/>
      <c r="O849" s="613"/>
      <c r="P849" s="613"/>
      <c r="Q849" s="613"/>
      <c r="R849" s="613"/>
      <c r="S849" s="613"/>
      <c r="T849" s="613"/>
      <c r="U849" s="613"/>
      <c r="V849" s="613"/>
      <c r="W849" s="613"/>
      <c r="X849" s="613"/>
      <c r="Y849" s="613"/>
      <c r="Z849" s="613"/>
    </row>
    <row r="850" ht="15.75" customHeight="1">
      <c r="A850" s="613"/>
      <c r="B850" s="613"/>
      <c r="C850" s="613"/>
      <c r="D850" s="613"/>
      <c r="E850" s="613"/>
      <c r="F850" s="613"/>
      <c r="G850" s="613"/>
      <c r="H850" s="613"/>
      <c r="I850" s="613"/>
      <c r="J850" s="613"/>
      <c r="K850" s="613"/>
      <c r="L850" s="613"/>
      <c r="M850" s="613"/>
      <c r="N850" s="613"/>
      <c r="O850" s="613"/>
      <c r="P850" s="613"/>
      <c r="Q850" s="613"/>
      <c r="R850" s="613"/>
      <c r="S850" s="613"/>
      <c r="T850" s="613"/>
      <c r="U850" s="613"/>
      <c r="V850" s="613"/>
      <c r="W850" s="613"/>
      <c r="X850" s="613"/>
      <c r="Y850" s="613"/>
      <c r="Z850" s="613"/>
    </row>
    <row r="851" ht="15.75" customHeight="1">
      <c r="A851" s="613"/>
      <c r="B851" s="613"/>
      <c r="C851" s="613"/>
      <c r="D851" s="613"/>
      <c r="E851" s="613"/>
      <c r="F851" s="613"/>
      <c r="G851" s="613"/>
      <c r="H851" s="613"/>
      <c r="I851" s="613"/>
      <c r="J851" s="613"/>
      <c r="K851" s="613"/>
      <c r="L851" s="613"/>
      <c r="M851" s="613"/>
      <c r="N851" s="613"/>
      <c r="O851" s="613"/>
      <c r="P851" s="613"/>
      <c r="Q851" s="613"/>
      <c r="R851" s="613"/>
      <c r="S851" s="613"/>
      <c r="T851" s="613"/>
      <c r="U851" s="613"/>
      <c r="V851" s="613"/>
      <c r="W851" s="613"/>
      <c r="X851" s="613"/>
      <c r="Y851" s="613"/>
      <c r="Z851" s="613"/>
    </row>
    <row r="852" ht="15.75" customHeight="1">
      <c r="A852" s="613"/>
      <c r="B852" s="613"/>
      <c r="C852" s="613"/>
      <c r="D852" s="613"/>
      <c r="E852" s="613"/>
      <c r="F852" s="613"/>
      <c r="G852" s="613"/>
      <c r="H852" s="613"/>
      <c r="I852" s="613"/>
      <c r="J852" s="613"/>
      <c r="K852" s="613"/>
      <c r="L852" s="613"/>
      <c r="M852" s="613"/>
      <c r="N852" s="613"/>
      <c r="O852" s="613"/>
      <c r="P852" s="613"/>
      <c r="Q852" s="613"/>
      <c r="R852" s="613"/>
      <c r="S852" s="613"/>
      <c r="T852" s="613"/>
      <c r="U852" s="613"/>
      <c r="V852" s="613"/>
      <c r="W852" s="613"/>
      <c r="X852" s="613"/>
      <c r="Y852" s="613"/>
      <c r="Z852" s="613"/>
    </row>
    <row r="853" ht="15.75" customHeight="1">
      <c r="A853" s="613"/>
      <c r="B853" s="613"/>
      <c r="C853" s="613"/>
      <c r="D853" s="613"/>
      <c r="E853" s="613"/>
      <c r="F853" s="613"/>
      <c r="G853" s="613"/>
      <c r="H853" s="613"/>
      <c r="I853" s="613"/>
      <c r="J853" s="613"/>
      <c r="K853" s="613"/>
      <c r="L853" s="613"/>
      <c r="M853" s="613"/>
      <c r="N853" s="613"/>
      <c r="O853" s="613"/>
      <c r="P853" s="613"/>
      <c r="Q853" s="613"/>
      <c r="R853" s="613"/>
      <c r="S853" s="613"/>
      <c r="T853" s="613"/>
      <c r="U853" s="613"/>
      <c r="V853" s="613"/>
      <c r="W853" s="613"/>
      <c r="X853" s="613"/>
      <c r="Y853" s="613"/>
      <c r="Z853" s="613"/>
    </row>
    <row r="854" ht="15.75" customHeight="1">
      <c r="A854" s="613"/>
      <c r="B854" s="613"/>
      <c r="C854" s="613"/>
      <c r="D854" s="613"/>
      <c r="E854" s="613"/>
      <c r="F854" s="613"/>
      <c r="G854" s="613"/>
      <c r="H854" s="613"/>
      <c r="I854" s="613"/>
      <c r="J854" s="613"/>
      <c r="K854" s="613"/>
      <c r="L854" s="613"/>
      <c r="M854" s="613"/>
      <c r="N854" s="613"/>
      <c r="O854" s="613"/>
      <c r="P854" s="613"/>
      <c r="Q854" s="613"/>
      <c r="R854" s="613"/>
      <c r="S854" s="613"/>
      <c r="T854" s="613"/>
      <c r="U854" s="613"/>
      <c r="V854" s="613"/>
      <c r="W854" s="613"/>
      <c r="X854" s="613"/>
      <c r="Y854" s="613"/>
      <c r="Z854" s="613"/>
    </row>
    <row r="855" ht="15.75" customHeight="1">
      <c r="A855" s="613"/>
      <c r="B855" s="613"/>
      <c r="C855" s="613"/>
      <c r="D855" s="613"/>
      <c r="E855" s="613"/>
      <c r="F855" s="613"/>
      <c r="G855" s="613"/>
      <c r="H855" s="613"/>
      <c r="I855" s="613"/>
      <c r="J855" s="613"/>
      <c r="K855" s="613"/>
      <c r="L855" s="613"/>
      <c r="M855" s="613"/>
      <c r="N855" s="613"/>
      <c r="O855" s="613"/>
      <c r="P855" s="613"/>
      <c r="Q855" s="613"/>
      <c r="R855" s="613"/>
      <c r="S855" s="613"/>
      <c r="T855" s="613"/>
      <c r="U855" s="613"/>
      <c r="V855" s="613"/>
      <c r="W855" s="613"/>
      <c r="X855" s="613"/>
      <c r="Y855" s="613"/>
      <c r="Z855" s="613"/>
    </row>
    <row r="856" ht="15.75" customHeight="1">
      <c r="A856" s="613"/>
      <c r="B856" s="613"/>
      <c r="C856" s="613"/>
      <c r="D856" s="613"/>
      <c r="E856" s="613"/>
      <c r="F856" s="613"/>
      <c r="G856" s="613"/>
      <c r="H856" s="613"/>
      <c r="I856" s="613"/>
      <c r="J856" s="613"/>
      <c r="K856" s="613"/>
      <c r="L856" s="613"/>
      <c r="M856" s="613"/>
      <c r="N856" s="613"/>
      <c r="O856" s="613"/>
      <c r="P856" s="613"/>
      <c r="Q856" s="613"/>
      <c r="R856" s="613"/>
      <c r="S856" s="613"/>
      <c r="T856" s="613"/>
      <c r="U856" s="613"/>
      <c r="V856" s="613"/>
      <c r="W856" s="613"/>
      <c r="X856" s="613"/>
      <c r="Y856" s="613"/>
      <c r="Z856" s="613"/>
    </row>
    <row r="857" ht="15.75" customHeight="1">
      <c r="A857" s="613"/>
      <c r="B857" s="613"/>
      <c r="C857" s="613"/>
      <c r="D857" s="613"/>
      <c r="E857" s="613"/>
      <c r="F857" s="613"/>
      <c r="G857" s="613"/>
      <c r="H857" s="613"/>
      <c r="I857" s="613"/>
      <c r="J857" s="613"/>
      <c r="K857" s="613"/>
      <c r="L857" s="613"/>
      <c r="M857" s="613"/>
      <c r="N857" s="613"/>
      <c r="O857" s="613"/>
      <c r="P857" s="613"/>
      <c r="Q857" s="613"/>
      <c r="R857" s="613"/>
      <c r="S857" s="613"/>
      <c r="T857" s="613"/>
      <c r="U857" s="613"/>
      <c r="V857" s="613"/>
      <c r="W857" s="613"/>
      <c r="X857" s="613"/>
      <c r="Y857" s="613"/>
      <c r="Z857" s="613"/>
    </row>
    <row r="858" ht="15.75" customHeight="1">
      <c r="A858" s="613"/>
      <c r="B858" s="613"/>
      <c r="C858" s="613"/>
      <c r="D858" s="613"/>
      <c r="E858" s="613"/>
      <c r="F858" s="613"/>
      <c r="G858" s="613"/>
      <c r="H858" s="613"/>
      <c r="I858" s="613"/>
      <c r="J858" s="613"/>
      <c r="K858" s="613"/>
      <c r="L858" s="613"/>
      <c r="M858" s="613"/>
      <c r="N858" s="613"/>
      <c r="O858" s="613"/>
      <c r="P858" s="613"/>
      <c r="Q858" s="613"/>
      <c r="R858" s="613"/>
      <c r="S858" s="613"/>
      <c r="T858" s="613"/>
      <c r="U858" s="613"/>
      <c r="V858" s="613"/>
      <c r="W858" s="613"/>
      <c r="X858" s="613"/>
      <c r="Y858" s="613"/>
      <c r="Z858" s="613"/>
    </row>
    <row r="859" ht="15.75" customHeight="1">
      <c r="A859" s="613"/>
      <c r="B859" s="613"/>
      <c r="C859" s="613"/>
      <c r="D859" s="613"/>
      <c r="E859" s="613"/>
      <c r="F859" s="613"/>
      <c r="G859" s="613"/>
      <c r="H859" s="613"/>
      <c r="I859" s="613"/>
      <c r="J859" s="613"/>
      <c r="K859" s="613"/>
      <c r="L859" s="613"/>
      <c r="M859" s="613"/>
      <c r="N859" s="613"/>
      <c r="O859" s="613"/>
      <c r="P859" s="613"/>
      <c r="Q859" s="613"/>
      <c r="R859" s="613"/>
      <c r="S859" s="613"/>
      <c r="T859" s="613"/>
      <c r="U859" s="613"/>
      <c r="V859" s="613"/>
      <c r="W859" s="613"/>
      <c r="X859" s="613"/>
      <c r="Y859" s="613"/>
      <c r="Z859" s="613"/>
    </row>
    <row r="860" ht="15.75" customHeight="1">
      <c r="A860" s="613"/>
      <c r="B860" s="613"/>
      <c r="C860" s="613"/>
      <c r="D860" s="613"/>
      <c r="E860" s="613"/>
      <c r="F860" s="613"/>
      <c r="G860" s="613"/>
      <c r="H860" s="613"/>
      <c r="I860" s="613"/>
      <c r="J860" s="613"/>
      <c r="K860" s="613"/>
      <c r="L860" s="613"/>
      <c r="M860" s="613"/>
      <c r="N860" s="613"/>
      <c r="O860" s="613"/>
      <c r="P860" s="613"/>
      <c r="Q860" s="613"/>
      <c r="R860" s="613"/>
      <c r="S860" s="613"/>
      <c r="T860" s="613"/>
      <c r="U860" s="613"/>
      <c r="V860" s="613"/>
      <c r="W860" s="613"/>
      <c r="X860" s="613"/>
      <c r="Y860" s="613"/>
      <c r="Z860" s="613"/>
    </row>
    <row r="861" ht="15.75" customHeight="1">
      <c r="A861" s="613"/>
      <c r="B861" s="613"/>
      <c r="C861" s="613"/>
      <c r="D861" s="613"/>
      <c r="E861" s="613"/>
      <c r="F861" s="613"/>
      <c r="G861" s="613"/>
      <c r="H861" s="613"/>
      <c r="I861" s="613"/>
      <c r="J861" s="613"/>
      <c r="K861" s="613"/>
      <c r="L861" s="613"/>
      <c r="M861" s="613"/>
      <c r="N861" s="613"/>
      <c r="O861" s="613"/>
      <c r="P861" s="613"/>
      <c r="Q861" s="613"/>
      <c r="R861" s="613"/>
      <c r="S861" s="613"/>
      <c r="T861" s="613"/>
      <c r="U861" s="613"/>
      <c r="V861" s="613"/>
      <c r="W861" s="613"/>
      <c r="X861" s="613"/>
      <c r="Y861" s="613"/>
      <c r="Z861" s="613"/>
    </row>
    <row r="862" ht="15.75" customHeight="1">
      <c r="A862" s="613"/>
      <c r="B862" s="613"/>
      <c r="C862" s="613"/>
      <c r="D862" s="613"/>
      <c r="E862" s="613"/>
      <c r="F862" s="613"/>
      <c r="G862" s="613"/>
      <c r="H862" s="613"/>
      <c r="I862" s="613"/>
      <c r="J862" s="613"/>
      <c r="K862" s="613"/>
      <c r="L862" s="613"/>
      <c r="M862" s="613"/>
      <c r="N862" s="613"/>
      <c r="O862" s="613"/>
      <c r="P862" s="613"/>
      <c r="Q862" s="613"/>
      <c r="R862" s="613"/>
      <c r="S862" s="613"/>
      <c r="T862" s="613"/>
      <c r="U862" s="613"/>
      <c r="V862" s="613"/>
      <c r="W862" s="613"/>
      <c r="X862" s="613"/>
      <c r="Y862" s="613"/>
      <c r="Z862" s="613"/>
    </row>
    <row r="863" ht="15.75" customHeight="1">
      <c r="A863" s="613"/>
      <c r="B863" s="613"/>
      <c r="C863" s="613"/>
      <c r="D863" s="613"/>
      <c r="E863" s="613"/>
      <c r="F863" s="613"/>
      <c r="G863" s="613"/>
      <c r="H863" s="613"/>
      <c r="I863" s="613"/>
      <c r="J863" s="613"/>
      <c r="K863" s="613"/>
      <c r="L863" s="613"/>
      <c r="M863" s="613"/>
      <c r="N863" s="613"/>
      <c r="O863" s="613"/>
      <c r="P863" s="613"/>
      <c r="Q863" s="613"/>
      <c r="R863" s="613"/>
      <c r="S863" s="613"/>
      <c r="T863" s="613"/>
      <c r="U863" s="613"/>
      <c r="V863" s="613"/>
      <c r="W863" s="613"/>
      <c r="X863" s="613"/>
      <c r="Y863" s="613"/>
      <c r="Z863" s="613"/>
    </row>
    <row r="864" ht="15.75" customHeight="1">
      <c r="A864" s="613"/>
      <c r="B864" s="613"/>
      <c r="C864" s="613"/>
      <c r="D864" s="613"/>
      <c r="E864" s="613"/>
      <c r="F864" s="613"/>
      <c r="G864" s="613"/>
      <c r="H864" s="613"/>
      <c r="I864" s="613"/>
      <c r="J864" s="613"/>
      <c r="K864" s="613"/>
      <c r="L864" s="613"/>
      <c r="M864" s="613"/>
      <c r="N864" s="613"/>
      <c r="O864" s="613"/>
      <c r="P864" s="613"/>
      <c r="Q864" s="613"/>
      <c r="R864" s="613"/>
      <c r="S864" s="613"/>
      <c r="T864" s="613"/>
      <c r="U864" s="613"/>
      <c r="V864" s="613"/>
      <c r="W864" s="613"/>
      <c r="X864" s="613"/>
      <c r="Y864" s="613"/>
      <c r="Z864" s="613"/>
    </row>
    <row r="865" ht="15.75" customHeight="1">
      <c r="A865" s="613"/>
      <c r="B865" s="613"/>
      <c r="C865" s="613"/>
      <c r="D865" s="613"/>
      <c r="E865" s="613"/>
      <c r="F865" s="613"/>
      <c r="G865" s="613"/>
      <c r="H865" s="613"/>
      <c r="I865" s="613"/>
      <c r="J865" s="613"/>
      <c r="K865" s="613"/>
      <c r="L865" s="613"/>
      <c r="M865" s="613"/>
      <c r="N865" s="613"/>
      <c r="O865" s="613"/>
      <c r="P865" s="613"/>
      <c r="Q865" s="613"/>
      <c r="R865" s="613"/>
      <c r="S865" s="613"/>
      <c r="T865" s="613"/>
      <c r="U865" s="613"/>
      <c r="V865" s="613"/>
      <c r="W865" s="613"/>
      <c r="X865" s="613"/>
      <c r="Y865" s="613"/>
      <c r="Z865" s="613"/>
    </row>
    <row r="866" ht="15.75" customHeight="1">
      <c r="A866" s="613"/>
      <c r="B866" s="613"/>
      <c r="C866" s="613"/>
      <c r="D866" s="613"/>
      <c r="E866" s="613"/>
      <c r="F866" s="613"/>
      <c r="G866" s="613"/>
      <c r="H866" s="613"/>
      <c r="I866" s="613"/>
      <c r="J866" s="613"/>
      <c r="K866" s="613"/>
      <c r="L866" s="613"/>
      <c r="M866" s="613"/>
      <c r="N866" s="613"/>
      <c r="O866" s="613"/>
      <c r="P866" s="613"/>
      <c r="Q866" s="613"/>
      <c r="R866" s="613"/>
      <c r="S866" s="613"/>
      <c r="T866" s="613"/>
      <c r="U866" s="613"/>
      <c r="V866" s="613"/>
      <c r="W866" s="613"/>
      <c r="X866" s="613"/>
      <c r="Y866" s="613"/>
      <c r="Z866" s="613"/>
    </row>
    <row r="867" ht="15.75" customHeight="1">
      <c r="A867" s="613"/>
      <c r="B867" s="613"/>
      <c r="C867" s="613"/>
      <c r="D867" s="613"/>
      <c r="E867" s="613"/>
      <c r="F867" s="613"/>
      <c r="G867" s="613"/>
      <c r="H867" s="613"/>
      <c r="I867" s="613"/>
      <c r="J867" s="613"/>
      <c r="K867" s="613"/>
      <c r="L867" s="613"/>
      <c r="M867" s="613"/>
      <c r="N867" s="613"/>
      <c r="O867" s="613"/>
      <c r="P867" s="613"/>
      <c r="Q867" s="613"/>
      <c r="R867" s="613"/>
      <c r="S867" s="613"/>
      <c r="T867" s="613"/>
      <c r="U867" s="613"/>
      <c r="V867" s="613"/>
      <c r="W867" s="613"/>
      <c r="X867" s="613"/>
      <c r="Y867" s="613"/>
      <c r="Z867" s="613"/>
    </row>
    <row r="868" ht="15.75" customHeight="1">
      <c r="A868" s="613"/>
      <c r="B868" s="613"/>
      <c r="C868" s="613"/>
      <c r="D868" s="613"/>
      <c r="E868" s="613"/>
      <c r="F868" s="613"/>
      <c r="G868" s="613"/>
      <c r="H868" s="613"/>
      <c r="I868" s="613"/>
      <c r="J868" s="613"/>
      <c r="K868" s="613"/>
      <c r="L868" s="613"/>
      <c r="M868" s="613"/>
      <c r="N868" s="613"/>
      <c r="O868" s="613"/>
      <c r="P868" s="613"/>
      <c r="Q868" s="613"/>
      <c r="R868" s="613"/>
      <c r="S868" s="613"/>
      <c r="T868" s="613"/>
      <c r="U868" s="613"/>
      <c r="V868" s="613"/>
      <c r="W868" s="613"/>
      <c r="X868" s="613"/>
      <c r="Y868" s="613"/>
      <c r="Z868" s="613"/>
    </row>
    <row r="869" ht="15.75" customHeight="1">
      <c r="A869" s="613"/>
      <c r="B869" s="613"/>
      <c r="C869" s="613"/>
      <c r="D869" s="613"/>
      <c r="E869" s="613"/>
      <c r="F869" s="613"/>
      <c r="G869" s="613"/>
      <c r="H869" s="613"/>
      <c r="I869" s="613"/>
      <c r="J869" s="613"/>
      <c r="K869" s="613"/>
      <c r="L869" s="613"/>
      <c r="M869" s="613"/>
      <c r="N869" s="613"/>
      <c r="O869" s="613"/>
      <c r="P869" s="613"/>
      <c r="Q869" s="613"/>
      <c r="R869" s="613"/>
      <c r="S869" s="613"/>
      <c r="T869" s="613"/>
      <c r="U869" s="613"/>
      <c r="V869" s="613"/>
      <c r="W869" s="613"/>
      <c r="X869" s="613"/>
      <c r="Y869" s="613"/>
      <c r="Z869" s="613"/>
    </row>
    <row r="870" ht="15.75" customHeight="1">
      <c r="A870" s="613"/>
      <c r="B870" s="613"/>
      <c r="C870" s="613"/>
      <c r="D870" s="613"/>
      <c r="E870" s="613"/>
      <c r="F870" s="613"/>
      <c r="G870" s="613"/>
      <c r="H870" s="613"/>
      <c r="I870" s="613"/>
      <c r="J870" s="613"/>
      <c r="K870" s="613"/>
      <c r="L870" s="613"/>
      <c r="M870" s="613"/>
      <c r="N870" s="613"/>
      <c r="O870" s="613"/>
      <c r="P870" s="613"/>
      <c r="Q870" s="613"/>
      <c r="R870" s="613"/>
      <c r="S870" s="613"/>
      <c r="T870" s="613"/>
      <c r="U870" s="613"/>
      <c r="V870" s="613"/>
      <c r="W870" s="613"/>
      <c r="X870" s="613"/>
      <c r="Y870" s="613"/>
      <c r="Z870" s="613"/>
    </row>
    <row r="871" ht="15.75" customHeight="1">
      <c r="A871" s="613"/>
      <c r="B871" s="613"/>
      <c r="C871" s="613"/>
      <c r="D871" s="613"/>
      <c r="E871" s="613"/>
      <c r="F871" s="613"/>
      <c r="G871" s="613"/>
      <c r="H871" s="613"/>
      <c r="I871" s="613"/>
      <c r="J871" s="613"/>
      <c r="K871" s="613"/>
      <c r="L871" s="613"/>
      <c r="M871" s="613"/>
      <c r="N871" s="613"/>
      <c r="O871" s="613"/>
      <c r="P871" s="613"/>
      <c r="Q871" s="613"/>
      <c r="R871" s="613"/>
      <c r="S871" s="613"/>
      <c r="T871" s="613"/>
      <c r="U871" s="613"/>
      <c r="V871" s="613"/>
      <c r="W871" s="613"/>
      <c r="X871" s="613"/>
      <c r="Y871" s="613"/>
      <c r="Z871" s="613"/>
    </row>
    <row r="872" ht="15.75" customHeight="1">
      <c r="A872" s="613"/>
      <c r="B872" s="613"/>
      <c r="C872" s="613"/>
      <c r="D872" s="613"/>
      <c r="E872" s="613"/>
      <c r="F872" s="613"/>
      <c r="G872" s="613"/>
      <c r="H872" s="613"/>
      <c r="I872" s="613"/>
      <c r="J872" s="613"/>
      <c r="K872" s="613"/>
      <c r="L872" s="613"/>
      <c r="M872" s="613"/>
      <c r="N872" s="613"/>
      <c r="O872" s="613"/>
      <c r="P872" s="613"/>
      <c r="Q872" s="613"/>
      <c r="R872" s="613"/>
      <c r="S872" s="613"/>
      <c r="T872" s="613"/>
      <c r="U872" s="613"/>
      <c r="V872" s="613"/>
      <c r="W872" s="613"/>
      <c r="X872" s="613"/>
      <c r="Y872" s="613"/>
      <c r="Z872" s="613"/>
    </row>
    <row r="873" ht="15.75" customHeight="1">
      <c r="A873" s="613"/>
      <c r="B873" s="613"/>
      <c r="C873" s="613"/>
      <c r="D873" s="613"/>
      <c r="E873" s="613"/>
      <c r="F873" s="613"/>
      <c r="G873" s="613"/>
      <c r="H873" s="613"/>
      <c r="I873" s="613"/>
      <c r="J873" s="613"/>
      <c r="K873" s="613"/>
      <c r="L873" s="613"/>
      <c r="M873" s="613"/>
      <c r="N873" s="613"/>
      <c r="O873" s="613"/>
      <c r="P873" s="613"/>
      <c r="Q873" s="613"/>
      <c r="R873" s="613"/>
      <c r="S873" s="613"/>
      <c r="T873" s="613"/>
      <c r="U873" s="613"/>
      <c r="V873" s="613"/>
      <c r="W873" s="613"/>
      <c r="X873" s="613"/>
      <c r="Y873" s="613"/>
      <c r="Z873" s="613"/>
    </row>
    <row r="874" ht="15.75" customHeight="1">
      <c r="A874" s="613"/>
      <c r="B874" s="613"/>
      <c r="C874" s="613"/>
      <c r="D874" s="613"/>
      <c r="E874" s="613"/>
      <c r="F874" s="613"/>
      <c r="G874" s="613"/>
      <c r="H874" s="613"/>
      <c r="I874" s="613"/>
      <c r="J874" s="613"/>
      <c r="K874" s="613"/>
      <c r="L874" s="613"/>
      <c r="M874" s="613"/>
      <c r="N874" s="613"/>
      <c r="O874" s="613"/>
      <c r="P874" s="613"/>
      <c r="Q874" s="613"/>
      <c r="R874" s="613"/>
      <c r="S874" s="613"/>
      <c r="T874" s="613"/>
      <c r="U874" s="613"/>
      <c r="V874" s="613"/>
      <c r="W874" s="613"/>
      <c r="X874" s="613"/>
      <c r="Y874" s="613"/>
      <c r="Z874" s="613"/>
    </row>
    <row r="875" ht="15.75" customHeight="1">
      <c r="A875" s="613"/>
      <c r="B875" s="613"/>
      <c r="C875" s="613"/>
      <c r="D875" s="613"/>
      <c r="E875" s="613"/>
      <c r="F875" s="613"/>
      <c r="G875" s="613"/>
      <c r="H875" s="613"/>
      <c r="I875" s="613"/>
      <c r="J875" s="613"/>
      <c r="K875" s="613"/>
      <c r="L875" s="613"/>
      <c r="M875" s="613"/>
      <c r="N875" s="613"/>
      <c r="O875" s="613"/>
      <c r="P875" s="613"/>
      <c r="Q875" s="613"/>
      <c r="R875" s="613"/>
      <c r="S875" s="613"/>
      <c r="T875" s="613"/>
      <c r="U875" s="613"/>
      <c r="V875" s="613"/>
      <c r="W875" s="613"/>
      <c r="X875" s="613"/>
      <c r="Y875" s="613"/>
      <c r="Z875" s="613"/>
    </row>
    <row r="876" ht="15.75" customHeight="1">
      <c r="A876" s="613"/>
      <c r="B876" s="613"/>
      <c r="C876" s="613"/>
      <c r="D876" s="613"/>
      <c r="E876" s="613"/>
      <c r="F876" s="613"/>
      <c r="G876" s="613"/>
      <c r="H876" s="613"/>
      <c r="I876" s="613"/>
      <c r="J876" s="613"/>
      <c r="K876" s="613"/>
      <c r="L876" s="613"/>
      <c r="M876" s="613"/>
      <c r="N876" s="613"/>
      <c r="O876" s="613"/>
      <c r="P876" s="613"/>
      <c r="Q876" s="613"/>
      <c r="R876" s="613"/>
      <c r="S876" s="613"/>
      <c r="T876" s="613"/>
      <c r="U876" s="613"/>
      <c r="V876" s="613"/>
      <c r="W876" s="613"/>
      <c r="X876" s="613"/>
      <c r="Y876" s="613"/>
      <c r="Z876" s="613"/>
    </row>
    <row r="877" ht="15.75" customHeight="1">
      <c r="A877" s="613"/>
      <c r="B877" s="613"/>
      <c r="C877" s="613"/>
      <c r="D877" s="613"/>
      <c r="E877" s="613"/>
      <c r="F877" s="613"/>
      <c r="G877" s="613"/>
      <c r="H877" s="613"/>
      <c r="I877" s="613"/>
      <c r="J877" s="613"/>
      <c r="K877" s="613"/>
      <c r="L877" s="613"/>
      <c r="M877" s="613"/>
      <c r="N877" s="613"/>
      <c r="O877" s="613"/>
      <c r="P877" s="613"/>
      <c r="Q877" s="613"/>
      <c r="R877" s="613"/>
      <c r="S877" s="613"/>
      <c r="T877" s="613"/>
      <c r="U877" s="613"/>
      <c r="V877" s="613"/>
      <c r="W877" s="613"/>
      <c r="X877" s="613"/>
      <c r="Y877" s="613"/>
      <c r="Z877" s="613"/>
    </row>
    <row r="878" ht="15.75" customHeight="1">
      <c r="A878" s="613"/>
      <c r="B878" s="613"/>
      <c r="C878" s="613"/>
      <c r="D878" s="613"/>
      <c r="E878" s="613"/>
      <c r="F878" s="613"/>
      <c r="G878" s="613"/>
      <c r="H878" s="613"/>
      <c r="I878" s="613"/>
      <c r="J878" s="613"/>
      <c r="K878" s="613"/>
      <c r="L878" s="613"/>
      <c r="M878" s="613"/>
      <c r="N878" s="613"/>
      <c r="O878" s="613"/>
      <c r="P878" s="613"/>
      <c r="Q878" s="613"/>
      <c r="R878" s="613"/>
      <c r="S878" s="613"/>
      <c r="T878" s="613"/>
      <c r="U878" s="613"/>
      <c r="V878" s="613"/>
      <c r="W878" s="613"/>
      <c r="X878" s="613"/>
      <c r="Y878" s="613"/>
      <c r="Z878" s="613"/>
    </row>
    <row r="879" ht="15.75" customHeight="1">
      <c r="A879" s="613"/>
      <c r="B879" s="613"/>
      <c r="C879" s="613"/>
      <c r="D879" s="613"/>
      <c r="E879" s="613"/>
      <c r="F879" s="613"/>
      <c r="G879" s="613"/>
      <c r="H879" s="613"/>
      <c r="I879" s="613"/>
      <c r="J879" s="613"/>
      <c r="K879" s="613"/>
      <c r="L879" s="613"/>
      <c r="M879" s="613"/>
      <c r="N879" s="613"/>
      <c r="O879" s="613"/>
      <c r="P879" s="613"/>
      <c r="Q879" s="613"/>
      <c r="R879" s="613"/>
      <c r="S879" s="613"/>
      <c r="T879" s="613"/>
      <c r="U879" s="613"/>
      <c r="V879" s="613"/>
      <c r="W879" s="613"/>
      <c r="X879" s="613"/>
      <c r="Y879" s="613"/>
      <c r="Z879" s="613"/>
    </row>
    <row r="880" ht="15.75" customHeight="1">
      <c r="A880" s="613"/>
      <c r="B880" s="613"/>
      <c r="C880" s="613"/>
      <c r="D880" s="613"/>
      <c r="E880" s="613"/>
      <c r="F880" s="613"/>
      <c r="G880" s="613"/>
      <c r="H880" s="613"/>
      <c r="I880" s="613"/>
      <c r="J880" s="613"/>
      <c r="K880" s="613"/>
      <c r="L880" s="613"/>
      <c r="M880" s="613"/>
      <c r="N880" s="613"/>
      <c r="O880" s="613"/>
      <c r="P880" s="613"/>
      <c r="Q880" s="613"/>
      <c r="R880" s="613"/>
      <c r="S880" s="613"/>
      <c r="T880" s="613"/>
      <c r="U880" s="613"/>
      <c r="V880" s="613"/>
      <c r="W880" s="613"/>
      <c r="X880" s="613"/>
      <c r="Y880" s="613"/>
      <c r="Z880" s="613"/>
    </row>
    <row r="881" ht="15.75" customHeight="1">
      <c r="A881" s="613"/>
      <c r="B881" s="613"/>
      <c r="C881" s="613"/>
      <c r="D881" s="613"/>
      <c r="E881" s="613"/>
      <c r="F881" s="613"/>
      <c r="G881" s="613"/>
      <c r="H881" s="613"/>
      <c r="I881" s="613"/>
      <c r="J881" s="613"/>
      <c r="K881" s="613"/>
      <c r="L881" s="613"/>
      <c r="M881" s="613"/>
      <c r="N881" s="613"/>
      <c r="O881" s="613"/>
      <c r="P881" s="613"/>
      <c r="Q881" s="613"/>
      <c r="R881" s="613"/>
      <c r="S881" s="613"/>
      <c r="T881" s="613"/>
      <c r="U881" s="613"/>
      <c r="V881" s="613"/>
      <c r="W881" s="613"/>
      <c r="X881" s="613"/>
      <c r="Y881" s="613"/>
      <c r="Z881" s="613"/>
    </row>
    <row r="882" ht="15.75" customHeight="1">
      <c r="A882" s="613"/>
      <c r="B882" s="613"/>
      <c r="C882" s="613"/>
      <c r="D882" s="613"/>
      <c r="E882" s="613"/>
      <c r="F882" s="613"/>
      <c r="G882" s="613"/>
      <c r="H882" s="613"/>
      <c r="I882" s="613"/>
      <c r="J882" s="613"/>
      <c r="K882" s="613"/>
      <c r="L882" s="613"/>
      <c r="M882" s="613"/>
      <c r="N882" s="613"/>
      <c r="O882" s="613"/>
      <c r="P882" s="613"/>
      <c r="Q882" s="613"/>
      <c r="R882" s="613"/>
      <c r="S882" s="613"/>
      <c r="T882" s="613"/>
      <c r="U882" s="613"/>
      <c r="V882" s="613"/>
      <c r="W882" s="613"/>
      <c r="X882" s="613"/>
      <c r="Y882" s="613"/>
      <c r="Z882" s="613"/>
    </row>
    <row r="883" ht="15.75" customHeight="1">
      <c r="A883" s="613"/>
      <c r="B883" s="613"/>
      <c r="C883" s="613"/>
      <c r="D883" s="613"/>
      <c r="E883" s="613"/>
      <c r="F883" s="613"/>
      <c r="G883" s="613"/>
      <c r="H883" s="613"/>
      <c r="I883" s="613"/>
      <c r="J883" s="613"/>
      <c r="K883" s="613"/>
      <c r="L883" s="613"/>
      <c r="M883" s="613"/>
      <c r="N883" s="613"/>
      <c r="O883" s="613"/>
      <c r="P883" s="613"/>
      <c r="Q883" s="613"/>
      <c r="R883" s="613"/>
      <c r="S883" s="613"/>
      <c r="T883" s="613"/>
      <c r="U883" s="613"/>
      <c r="V883" s="613"/>
      <c r="W883" s="613"/>
      <c r="X883" s="613"/>
      <c r="Y883" s="613"/>
      <c r="Z883" s="613"/>
    </row>
    <row r="884" ht="15.75" customHeight="1">
      <c r="A884" s="613"/>
      <c r="B884" s="613"/>
      <c r="C884" s="613"/>
      <c r="D884" s="613"/>
      <c r="E884" s="613"/>
      <c r="F884" s="613"/>
      <c r="G884" s="613"/>
      <c r="H884" s="613"/>
      <c r="I884" s="613"/>
      <c r="J884" s="613"/>
      <c r="K884" s="613"/>
      <c r="L884" s="613"/>
      <c r="M884" s="613"/>
      <c r="N884" s="613"/>
      <c r="O884" s="613"/>
      <c r="P884" s="613"/>
      <c r="Q884" s="613"/>
      <c r="R884" s="613"/>
      <c r="S884" s="613"/>
      <c r="T884" s="613"/>
      <c r="U884" s="613"/>
      <c r="V884" s="613"/>
      <c r="W884" s="613"/>
      <c r="X884" s="613"/>
      <c r="Y884" s="613"/>
      <c r="Z884" s="613"/>
    </row>
    <row r="885" ht="15.75" customHeight="1">
      <c r="A885" s="613"/>
      <c r="B885" s="613"/>
      <c r="C885" s="613"/>
      <c r="D885" s="613"/>
      <c r="E885" s="613"/>
      <c r="F885" s="613"/>
      <c r="G885" s="613"/>
      <c r="H885" s="613"/>
      <c r="I885" s="613"/>
      <c r="J885" s="613"/>
      <c r="K885" s="613"/>
      <c r="L885" s="613"/>
      <c r="M885" s="613"/>
      <c r="N885" s="613"/>
      <c r="O885" s="613"/>
      <c r="P885" s="613"/>
      <c r="Q885" s="613"/>
      <c r="R885" s="613"/>
      <c r="S885" s="613"/>
      <c r="T885" s="613"/>
      <c r="U885" s="613"/>
      <c r="V885" s="613"/>
      <c r="W885" s="613"/>
      <c r="X885" s="613"/>
      <c r="Y885" s="613"/>
      <c r="Z885" s="613"/>
    </row>
    <row r="886" ht="15.75" customHeight="1">
      <c r="A886" s="613"/>
      <c r="B886" s="613"/>
      <c r="C886" s="613"/>
      <c r="D886" s="613"/>
      <c r="E886" s="613"/>
      <c r="F886" s="613"/>
      <c r="G886" s="613"/>
      <c r="H886" s="613"/>
      <c r="I886" s="613"/>
      <c r="J886" s="613"/>
      <c r="K886" s="613"/>
      <c r="L886" s="613"/>
      <c r="M886" s="613"/>
      <c r="N886" s="613"/>
      <c r="O886" s="613"/>
      <c r="P886" s="613"/>
      <c r="Q886" s="613"/>
      <c r="R886" s="613"/>
      <c r="S886" s="613"/>
      <c r="T886" s="613"/>
      <c r="U886" s="613"/>
      <c r="V886" s="613"/>
      <c r="W886" s="613"/>
      <c r="X886" s="613"/>
      <c r="Y886" s="613"/>
      <c r="Z886" s="613"/>
    </row>
    <row r="887" ht="15.75" customHeight="1">
      <c r="A887" s="613"/>
      <c r="B887" s="613"/>
      <c r="C887" s="613"/>
      <c r="D887" s="613"/>
      <c r="E887" s="613"/>
      <c r="F887" s="613"/>
      <c r="G887" s="613"/>
      <c r="H887" s="613"/>
      <c r="I887" s="613"/>
      <c r="J887" s="613"/>
      <c r="K887" s="613"/>
      <c r="L887" s="613"/>
      <c r="M887" s="613"/>
      <c r="N887" s="613"/>
      <c r="O887" s="613"/>
      <c r="P887" s="613"/>
      <c r="Q887" s="613"/>
      <c r="R887" s="613"/>
      <c r="S887" s="613"/>
      <c r="T887" s="613"/>
      <c r="U887" s="613"/>
      <c r="V887" s="613"/>
      <c r="W887" s="613"/>
      <c r="X887" s="613"/>
      <c r="Y887" s="613"/>
      <c r="Z887" s="613"/>
    </row>
    <row r="888" ht="15.75" customHeight="1">
      <c r="A888" s="613"/>
      <c r="B888" s="613"/>
      <c r="C888" s="613"/>
      <c r="D888" s="613"/>
      <c r="E888" s="613"/>
      <c r="F888" s="613"/>
      <c r="G888" s="613"/>
      <c r="H888" s="613"/>
      <c r="I888" s="613"/>
      <c r="J888" s="613"/>
      <c r="K888" s="613"/>
      <c r="L888" s="613"/>
      <c r="M888" s="613"/>
      <c r="N888" s="613"/>
      <c r="O888" s="613"/>
      <c r="P888" s="613"/>
      <c r="Q888" s="613"/>
      <c r="R888" s="613"/>
      <c r="S888" s="613"/>
      <c r="T888" s="613"/>
      <c r="U888" s="613"/>
      <c r="V888" s="613"/>
      <c r="W888" s="613"/>
      <c r="X888" s="613"/>
      <c r="Y888" s="613"/>
      <c r="Z888" s="613"/>
    </row>
    <row r="889" ht="15.75" customHeight="1">
      <c r="A889" s="613"/>
      <c r="B889" s="613"/>
      <c r="C889" s="613"/>
      <c r="D889" s="613"/>
      <c r="E889" s="613"/>
      <c r="F889" s="613"/>
      <c r="G889" s="613"/>
      <c r="H889" s="613"/>
      <c r="I889" s="613"/>
      <c r="J889" s="613"/>
      <c r="K889" s="613"/>
      <c r="L889" s="613"/>
      <c r="M889" s="613"/>
      <c r="N889" s="613"/>
      <c r="O889" s="613"/>
      <c r="P889" s="613"/>
      <c r="Q889" s="613"/>
      <c r="R889" s="613"/>
      <c r="S889" s="613"/>
      <c r="T889" s="613"/>
      <c r="U889" s="613"/>
      <c r="V889" s="613"/>
      <c r="W889" s="613"/>
      <c r="X889" s="613"/>
      <c r="Y889" s="613"/>
      <c r="Z889" s="613"/>
    </row>
    <row r="890" ht="15.75" customHeight="1">
      <c r="A890" s="613"/>
      <c r="B890" s="613"/>
      <c r="C890" s="613"/>
      <c r="D890" s="613"/>
      <c r="E890" s="613"/>
      <c r="F890" s="613"/>
      <c r="G890" s="613"/>
      <c r="H890" s="613"/>
      <c r="I890" s="613"/>
      <c r="J890" s="613"/>
      <c r="K890" s="613"/>
      <c r="L890" s="613"/>
      <c r="M890" s="613"/>
      <c r="N890" s="613"/>
      <c r="O890" s="613"/>
      <c r="P890" s="613"/>
      <c r="Q890" s="613"/>
      <c r="R890" s="613"/>
      <c r="S890" s="613"/>
      <c r="T890" s="613"/>
      <c r="U890" s="613"/>
      <c r="V890" s="613"/>
      <c r="W890" s="613"/>
      <c r="X890" s="613"/>
      <c r="Y890" s="613"/>
      <c r="Z890" s="613"/>
    </row>
    <row r="891" ht="15.75" customHeight="1">
      <c r="A891" s="613"/>
      <c r="B891" s="613"/>
      <c r="C891" s="613"/>
      <c r="D891" s="613"/>
      <c r="E891" s="613"/>
      <c r="F891" s="613"/>
      <c r="G891" s="613"/>
      <c r="H891" s="613"/>
      <c r="I891" s="613"/>
      <c r="J891" s="613"/>
      <c r="K891" s="613"/>
      <c r="L891" s="613"/>
      <c r="M891" s="613"/>
      <c r="N891" s="613"/>
      <c r="O891" s="613"/>
      <c r="P891" s="613"/>
      <c r="Q891" s="613"/>
      <c r="R891" s="613"/>
      <c r="S891" s="613"/>
      <c r="T891" s="613"/>
      <c r="U891" s="613"/>
      <c r="V891" s="613"/>
      <c r="W891" s="613"/>
      <c r="X891" s="613"/>
      <c r="Y891" s="613"/>
      <c r="Z891" s="613"/>
    </row>
    <row r="892" ht="15.75" customHeight="1">
      <c r="A892" s="613"/>
      <c r="B892" s="613"/>
      <c r="C892" s="613"/>
      <c r="D892" s="613"/>
      <c r="E892" s="613"/>
      <c r="F892" s="613"/>
      <c r="G892" s="613"/>
      <c r="H892" s="613"/>
      <c r="I892" s="613"/>
      <c r="J892" s="613"/>
      <c r="K892" s="613"/>
      <c r="L892" s="613"/>
      <c r="M892" s="613"/>
      <c r="N892" s="613"/>
      <c r="O892" s="613"/>
      <c r="P892" s="613"/>
      <c r="Q892" s="613"/>
      <c r="R892" s="613"/>
      <c r="S892" s="613"/>
      <c r="T892" s="613"/>
      <c r="U892" s="613"/>
      <c r="V892" s="613"/>
      <c r="W892" s="613"/>
      <c r="X892" s="613"/>
      <c r="Y892" s="613"/>
      <c r="Z892" s="613"/>
    </row>
    <row r="893" ht="15.75" customHeight="1">
      <c r="A893" s="613"/>
      <c r="B893" s="613"/>
      <c r="C893" s="613"/>
      <c r="D893" s="613"/>
      <c r="E893" s="613"/>
      <c r="F893" s="613"/>
      <c r="G893" s="613"/>
      <c r="H893" s="613"/>
      <c r="I893" s="613"/>
      <c r="J893" s="613"/>
      <c r="K893" s="613"/>
      <c r="L893" s="613"/>
      <c r="M893" s="613"/>
      <c r="N893" s="613"/>
      <c r="O893" s="613"/>
      <c r="P893" s="613"/>
      <c r="Q893" s="613"/>
      <c r="R893" s="613"/>
      <c r="S893" s="613"/>
      <c r="T893" s="613"/>
      <c r="U893" s="613"/>
      <c r="V893" s="613"/>
      <c r="W893" s="613"/>
      <c r="X893" s="613"/>
      <c r="Y893" s="613"/>
      <c r="Z893" s="613"/>
    </row>
    <row r="894" ht="15.75" customHeight="1">
      <c r="A894" s="613"/>
      <c r="B894" s="613"/>
      <c r="C894" s="613"/>
      <c r="D894" s="613"/>
      <c r="E894" s="613"/>
      <c r="F894" s="613"/>
      <c r="G894" s="613"/>
      <c r="H894" s="613"/>
      <c r="I894" s="613"/>
      <c r="J894" s="613"/>
      <c r="K894" s="613"/>
      <c r="L894" s="613"/>
      <c r="M894" s="613"/>
      <c r="N894" s="613"/>
      <c r="O894" s="613"/>
      <c r="P894" s="613"/>
      <c r="Q894" s="613"/>
      <c r="R894" s="613"/>
      <c r="S894" s="613"/>
      <c r="T894" s="613"/>
      <c r="U894" s="613"/>
      <c r="V894" s="613"/>
      <c r="W894" s="613"/>
      <c r="X894" s="613"/>
      <c r="Y894" s="613"/>
      <c r="Z894" s="613"/>
    </row>
    <row r="895" ht="15.75" customHeight="1">
      <c r="A895" s="613"/>
      <c r="B895" s="613"/>
      <c r="C895" s="613"/>
      <c r="D895" s="613"/>
      <c r="E895" s="613"/>
      <c r="F895" s="613"/>
      <c r="G895" s="613"/>
      <c r="H895" s="613"/>
      <c r="I895" s="613"/>
      <c r="J895" s="613"/>
      <c r="K895" s="613"/>
      <c r="L895" s="613"/>
      <c r="M895" s="613"/>
      <c r="N895" s="613"/>
      <c r="O895" s="613"/>
      <c r="P895" s="613"/>
      <c r="Q895" s="613"/>
      <c r="R895" s="613"/>
      <c r="S895" s="613"/>
      <c r="T895" s="613"/>
      <c r="U895" s="613"/>
      <c r="V895" s="613"/>
      <c r="W895" s="613"/>
      <c r="X895" s="613"/>
      <c r="Y895" s="613"/>
      <c r="Z895" s="613"/>
    </row>
    <row r="896" ht="15.75" customHeight="1">
      <c r="A896" s="613"/>
      <c r="B896" s="613"/>
      <c r="C896" s="613"/>
      <c r="D896" s="613"/>
      <c r="E896" s="613"/>
      <c r="F896" s="613"/>
      <c r="G896" s="613"/>
      <c r="H896" s="613"/>
      <c r="I896" s="613"/>
      <c r="J896" s="613"/>
      <c r="K896" s="613"/>
      <c r="L896" s="613"/>
      <c r="M896" s="613"/>
      <c r="N896" s="613"/>
      <c r="O896" s="613"/>
      <c r="P896" s="613"/>
      <c r="Q896" s="613"/>
      <c r="R896" s="613"/>
      <c r="S896" s="613"/>
      <c r="T896" s="613"/>
      <c r="U896" s="613"/>
      <c r="V896" s="613"/>
      <c r="W896" s="613"/>
      <c r="X896" s="613"/>
      <c r="Y896" s="613"/>
      <c r="Z896" s="613"/>
    </row>
    <row r="897" ht="15.75" customHeight="1">
      <c r="A897" s="613"/>
      <c r="B897" s="613"/>
      <c r="C897" s="613"/>
      <c r="D897" s="613"/>
      <c r="E897" s="613"/>
      <c r="F897" s="613"/>
      <c r="G897" s="613"/>
      <c r="H897" s="613"/>
      <c r="I897" s="613"/>
      <c r="J897" s="613"/>
      <c r="K897" s="613"/>
      <c r="L897" s="613"/>
      <c r="M897" s="613"/>
      <c r="N897" s="613"/>
      <c r="O897" s="613"/>
      <c r="P897" s="613"/>
      <c r="Q897" s="613"/>
      <c r="R897" s="613"/>
      <c r="S897" s="613"/>
      <c r="T897" s="613"/>
      <c r="U897" s="613"/>
      <c r="V897" s="613"/>
      <c r="W897" s="613"/>
      <c r="X897" s="613"/>
      <c r="Y897" s="613"/>
      <c r="Z897" s="613"/>
    </row>
    <row r="898" ht="15.75" customHeight="1">
      <c r="A898" s="613"/>
      <c r="B898" s="613"/>
      <c r="C898" s="613"/>
      <c r="D898" s="613"/>
      <c r="E898" s="613"/>
      <c r="F898" s="613"/>
      <c r="G898" s="613"/>
      <c r="H898" s="613"/>
      <c r="I898" s="613"/>
      <c r="J898" s="613"/>
      <c r="K898" s="613"/>
      <c r="L898" s="613"/>
      <c r="M898" s="613"/>
      <c r="N898" s="613"/>
      <c r="O898" s="613"/>
      <c r="P898" s="613"/>
      <c r="Q898" s="613"/>
      <c r="R898" s="613"/>
      <c r="S898" s="613"/>
      <c r="T898" s="613"/>
      <c r="U898" s="613"/>
      <c r="V898" s="613"/>
      <c r="W898" s="613"/>
      <c r="X898" s="613"/>
      <c r="Y898" s="613"/>
      <c r="Z898" s="613"/>
    </row>
    <row r="899" ht="15.75" customHeight="1">
      <c r="A899" s="613"/>
      <c r="B899" s="613"/>
      <c r="C899" s="613"/>
      <c r="D899" s="613"/>
      <c r="E899" s="613"/>
      <c r="F899" s="613"/>
      <c r="G899" s="613"/>
      <c r="H899" s="613"/>
      <c r="I899" s="613"/>
      <c r="J899" s="613"/>
      <c r="K899" s="613"/>
      <c r="L899" s="613"/>
      <c r="M899" s="613"/>
      <c r="N899" s="613"/>
      <c r="O899" s="613"/>
      <c r="P899" s="613"/>
      <c r="Q899" s="613"/>
      <c r="R899" s="613"/>
      <c r="S899" s="613"/>
      <c r="T899" s="613"/>
      <c r="U899" s="613"/>
      <c r="V899" s="613"/>
      <c r="W899" s="613"/>
      <c r="X899" s="613"/>
      <c r="Y899" s="613"/>
      <c r="Z899" s="613"/>
    </row>
    <row r="900" ht="15.75" customHeight="1">
      <c r="A900" s="613"/>
      <c r="B900" s="613"/>
      <c r="C900" s="613"/>
      <c r="D900" s="613"/>
      <c r="E900" s="613"/>
      <c r="F900" s="613"/>
      <c r="G900" s="613"/>
      <c r="H900" s="613"/>
      <c r="I900" s="613"/>
      <c r="J900" s="613"/>
      <c r="K900" s="613"/>
      <c r="L900" s="613"/>
      <c r="M900" s="613"/>
      <c r="N900" s="613"/>
      <c r="O900" s="613"/>
      <c r="P900" s="613"/>
      <c r="Q900" s="613"/>
      <c r="R900" s="613"/>
      <c r="S900" s="613"/>
      <c r="T900" s="613"/>
      <c r="U900" s="613"/>
      <c r="V900" s="613"/>
      <c r="W900" s="613"/>
      <c r="X900" s="613"/>
      <c r="Y900" s="613"/>
      <c r="Z900" s="613"/>
    </row>
    <row r="901" ht="15.75" customHeight="1">
      <c r="A901" s="613"/>
      <c r="B901" s="613"/>
      <c r="C901" s="613"/>
      <c r="D901" s="613"/>
      <c r="E901" s="613"/>
      <c r="F901" s="613"/>
      <c r="G901" s="613"/>
      <c r="H901" s="613"/>
      <c r="I901" s="613"/>
      <c r="J901" s="613"/>
      <c r="K901" s="613"/>
      <c r="L901" s="613"/>
      <c r="M901" s="613"/>
      <c r="N901" s="613"/>
      <c r="O901" s="613"/>
      <c r="P901" s="613"/>
      <c r="Q901" s="613"/>
      <c r="R901" s="613"/>
      <c r="S901" s="613"/>
      <c r="T901" s="613"/>
      <c r="U901" s="613"/>
      <c r="V901" s="613"/>
      <c r="W901" s="613"/>
      <c r="X901" s="613"/>
      <c r="Y901" s="613"/>
      <c r="Z901" s="613"/>
    </row>
    <row r="902" ht="15.75" customHeight="1">
      <c r="A902" s="613"/>
      <c r="B902" s="613"/>
      <c r="C902" s="613"/>
      <c r="D902" s="613"/>
      <c r="E902" s="613"/>
      <c r="F902" s="613"/>
      <c r="G902" s="613"/>
      <c r="H902" s="613"/>
      <c r="I902" s="613"/>
      <c r="J902" s="613"/>
      <c r="K902" s="613"/>
      <c r="L902" s="613"/>
      <c r="M902" s="613"/>
      <c r="N902" s="613"/>
      <c r="O902" s="613"/>
      <c r="P902" s="613"/>
      <c r="Q902" s="613"/>
      <c r="R902" s="613"/>
      <c r="S902" s="613"/>
      <c r="T902" s="613"/>
      <c r="U902" s="613"/>
      <c r="V902" s="613"/>
      <c r="W902" s="613"/>
      <c r="X902" s="613"/>
      <c r="Y902" s="613"/>
      <c r="Z902" s="613"/>
    </row>
    <row r="903" ht="15.75" customHeight="1">
      <c r="A903" s="613"/>
      <c r="B903" s="613"/>
      <c r="C903" s="613"/>
      <c r="D903" s="613"/>
      <c r="E903" s="613"/>
      <c r="F903" s="613"/>
      <c r="G903" s="613"/>
      <c r="H903" s="613"/>
      <c r="I903" s="613"/>
      <c r="J903" s="613"/>
      <c r="K903" s="613"/>
      <c r="L903" s="613"/>
      <c r="M903" s="613"/>
      <c r="N903" s="613"/>
      <c r="O903" s="613"/>
      <c r="P903" s="613"/>
      <c r="Q903" s="613"/>
      <c r="R903" s="613"/>
      <c r="S903" s="613"/>
      <c r="T903" s="613"/>
      <c r="U903" s="613"/>
      <c r="V903" s="613"/>
      <c r="W903" s="613"/>
      <c r="X903" s="613"/>
      <c r="Y903" s="613"/>
      <c r="Z903" s="613"/>
    </row>
    <row r="904" ht="15.75" customHeight="1">
      <c r="A904" s="613"/>
      <c r="B904" s="613"/>
      <c r="C904" s="613"/>
      <c r="D904" s="613"/>
      <c r="E904" s="613"/>
      <c r="F904" s="613"/>
      <c r="G904" s="613"/>
      <c r="H904" s="613"/>
      <c r="I904" s="613"/>
      <c r="J904" s="613"/>
      <c r="K904" s="613"/>
      <c r="L904" s="613"/>
      <c r="M904" s="613"/>
      <c r="N904" s="613"/>
      <c r="O904" s="613"/>
      <c r="P904" s="613"/>
      <c r="Q904" s="613"/>
      <c r="R904" s="613"/>
      <c r="S904" s="613"/>
      <c r="T904" s="613"/>
      <c r="U904" s="613"/>
      <c r="V904" s="613"/>
      <c r="W904" s="613"/>
      <c r="X904" s="613"/>
      <c r="Y904" s="613"/>
      <c r="Z904" s="613"/>
    </row>
    <row r="905" ht="15.75" customHeight="1">
      <c r="A905" s="613"/>
      <c r="B905" s="613"/>
      <c r="C905" s="613"/>
      <c r="D905" s="613"/>
      <c r="E905" s="613"/>
      <c r="F905" s="613"/>
      <c r="G905" s="613"/>
      <c r="H905" s="613"/>
      <c r="I905" s="613"/>
      <c r="J905" s="613"/>
      <c r="K905" s="613"/>
      <c r="L905" s="613"/>
      <c r="M905" s="613"/>
      <c r="N905" s="613"/>
      <c r="O905" s="613"/>
      <c r="P905" s="613"/>
      <c r="Q905" s="613"/>
      <c r="R905" s="613"/>
      <c r="S905" s="613"/>
      <c r="T905" s="613"/>
      <c r="U905" s="613"/>
      <c r="V905" s="613"/>
      <c r="W905" s="613"/>
      <c r="X905" s="613"/>
      <c r="Y905" s="613"/>
      <c r="Z905" s="613"/>
    </row>
    <row r="906" ht="15.75" customHeight="1">
      <c r="A906" s="613"/>
      <c r="B906" s="613"/>
      <c r="C906" s="613"/>
      <c r="D906" s="613"/>
      <c r="E906" s="613"/>
      <c r="F906" s="613"/>
      <c r="G906" s="613"/>
      <c r="H906" s="613"/>
      <c r="I906" s="613"/>
      <c r="J906" s="613"/>
      <c r="K906" s="613"/>
      <c r="L906" s="613"/>
      <c r="M906" s="613"/>
      <c r="N906" s="613"/>
      <c r="O906" s="613"/>
      <c r="P906" s="613"/>
      <c r="Q906" s="613"/>
      <c r="R906" s="613"/>
      <c r="S906" s="613"/>
      <c r="T906" s="613"/>
      <c r="U906" s="613"/>
      <c r="V906" s="613"/>
      <c r="W906" s="613"/>
      <c r="X906" s="613"/>
      <c r="Y906" s="613"/>
      <c r="Z906" s="613"/>
    </row>
    <row r="907" ht="15.75" customHeight="1">
      <c r="A907" s="613"/>
      <c r="B907" s="613"/>
      <c r="C907" s="613"/>
      <c r="D907" s="613"/>
      <c r="E907" s="613"/>
      <c r="F907" s="613"/>
      <c r="G907" s="613"/>
      <c r="H907" s="613"/>
      <c r="I907" s="613"/>
      <c r="J907" s="613"/>
      <c r="K907" s="613"/>
      <c r="L907" s="613"/>
      <c r="M907" s="613"/>
      <c r="N907" s="613"/>
      <c r="O907" s="613"/>
      <c r="P907" s="613"/>
      <c r="Q907" s="613"/>
      <c r="R907" s="613"/>
      <c r="S907" s="613"/>
      <c r="T907" s="613"/>
      <c r="U907" s="613"/>
      <c r="V907" s="613"/>
      <c r="W907" s="613"/>
      <c r="X907" s="613"/>
      <c r="Y907" s="613"/>
      <c r="Z907" s="613"/>
    </row>
    <row r="908" ht="15.75" customHeight="1">
      <c r="A908" s="613"/>
      <c r="B908" s="613"/>
      <c r="C908" s="613"/>
      <c r="D908" s="613"/>
      <c r="E908" s="613"/>
      <c r="F908" s="613"/>
      <c r="G908" s="613"/>
      <c r="H908" s="613"/>
      <c r="I908" s="613"/>
      <c r="J908" s="613"/>
      <c r="K908" s="613"/>
      <c r="L908" s="613"/>
      <c r="M908" s="613"/>
      <c r="N908" s="613"/>
      <c r="O908" s="613"/>
      <c r="P908" s="613"/>
      <c r="Q908" s="613"/>
      <c r="R908" s="613"/>
      <c r="S908" s="613"/>
      <c r="T908" s="613"/>
      <c r="U908" s="613"/>
      <c r="V908" s="613"/>
      <c r="W908" s="613"/>
      <c r="X908" s="613"/>
      <c r="Y908" s="613"/>
      <c r="Z908" s="613"/>
    </row>
    <row r="909" ht="15.75" customHeight="1">
      <c r="A909" s="613"/>
      <c r="B909" s="613"/>
      <c r="C909" s="613"/>
      <c r="D909" s="613"/>
      <c r="E909" s="613"/>
      <c r="F909" s="613"/>
      <c r="G909" s="613"/>
      <c r="H909" s="613"/>
      <c r="I909" s="613"/>
      <c r="J909" s="613"/>
      <c r="K909" s="613"/>
      <c r="L909" s="613"/>
      <c r="M909" s="613"/>
      <c r="N909" s="613"/>
      <c r="O909" s="613"/>
      <c r="P909" s="613"/>
      <c r="Q909" s="613"/>
      <c r="R909" s="613"/>
      <c r="S909" s="613"/>
      <c r="T909" s="613"/>
      <c r="U909" s="613"/>
      <c r="V909" s="613"/>
      <c r="W909" s="613"/>
      <c r="X909" s="613"/>
      <c r="Y909" s="613"/>
      <c r="Z909" s="613"/>
    </row>
    <row r="910" ht="15.75" customHeight="1">
      <c r="A910" s="613"/>
      <c r="B910" s="613"/>
      <c r="C910" s="613"/>
      <c r="D910" s="613"/>
      <c r="E910" s="613"/>
      <c r="F910" s="613"/>
      <c r="G910" s="613"/>
      <c r="H910" s="613"/>
      <c r="I910" s="613"/>
      <c r="J910" s="613"/>
      <c r="K910" s="613"/>
      <c r="L910" s="613"/>
      <c r="M910" s="613"/>
      <c r="N910" s="613"/>
      <c r="O910" s="613"/>
      <c r="P910" s="613"/>
      <c r="Q910" s="613"/>
      <c r="R910" s="613"/>
      <c r="S910" s="613"/>
      <c r="T910" s="613"/>
      <c r="U910" s="613"/>
      <c r="V910" s="613"/>
      <c r="W910" s="613"/>
      <c r="X910" s="613"/>
      <c r="Y910" s="613"/>
      <c r="Z910" s="613"/>
    </row>
    <row r="911" ht="15.75" customHeight="1">
      <c r="A911" s="613"/>
      <c r="B911" s="613"/>
      <c r="C911" s="613"/>
      <c r="D911" s="613"/>
      <c r="E911" s="613"/>
      <c r="F911" s="613"/>
      <c r="G911" s="613"/>
      <c r="H911" s="613"/>
      <c r="I911" s="613"/>
      <c r="J911" s="613"/>
      <c r="K911" s="613"/>
      <c r="L911" s="613"/>
      <c r="M911" s="613"/>
      <c r="N911" s="613"/>
      <c r="O911" s="613"/>
      <c r="P911" s="613"/>
      <c r="Q911" s="613"/>
      <c r="R911" s="613"/>
      <c r="S911" s="613"/>
      <c r="T911" s="613"/>
      <c r="U911" s="613"/>
      <c r="V911" s="613"/>
      <c r="W911" s="613"/>
      <c r="X911" s="613"/>
      <c r="Y911" s="613"/>
      <c r="Z911" s="613"/>
    </row>
    <row r="912" ht="15.75" customHeight="1">
      <c r="A912" s="613"/>
      <c r="B912" s="613"/>
      <c r="C912" s="613"/>
      <c r="D912" s="613"/>
      <c r="E912" s="613"/>
      <c r="F912" s="613"/>
      <c r="G912" s="613"/>
      <c r="H912" s="613"/>
      <c r="I912" s="613"/>
      <c r="J912" s="613"/>
      <c r="K912" s="613"/>
      <c r="L912" s="613"/>
      <c r="M912" s="613"/>
      <c r="N912" s="613"/>
      <c r="O912" s="613"/>
      <c r="P912" s="613"/>
      <c r="Q912" s="613"/>
      <c r="R912" s="613"/>
      <c r="S912" s="613"/>
      <c r="T912" s="613"/>
      <c r="U912" s="613"/>
      <c r="V912" s="613"/>
      <c r="W912" s="613"/>
      <c r="X912" s="613"/>
      <c r="Y912" s="613"/>
      <c r="Z912" s="613"/>
    </row>
    <row r="913" ht="15.75" customHeight="1">
      <c r="A913" s="613"/>
      <c r="B913" s="613"/>
      <c r="C913" s="613"/>
      <c r="D913" s="613"/>
      <c r="E913" s="613"/>
      <c r="F913" s="613"/>
      <c r="G913" s="613"/>
      <c r="H913" s="613"/>
      <c r="I913" s="613"/>
      <c r="J913" s="613"/>
      <c r="K913" s="613"/>
      <c r="L913" s="613"/>
      <c r="M913" s="613"/>
      <c r="N913" s="613"/>
      <c r="O913" s="613"/>
      <c r="P913" s="613"/>
      <c r="Q913" s="613"/>
      <c r="R913" s="613"/>
      <c r="S913" s="613"/>
      <c r="T913" s="613"/>
      <c r="U913" s="613"/>
      <c r="V913" s="613"/>
      <c r="W913" s="613"/>
      <c r="X913" s="613"/>
      <c r="Y913" s="613"/>
      <c r="Z913" s="613"/>
    </row>
    <row r="914" ht="15.75" customHeight="1">
      <c r="A914" s="613"/>
      <c r="B914" s="613"/>
      <c r="C914" s="613"/>
      <c r="D914" s="613"/>
      <c r="E914" s="613"/>
      <c r="F914" s="613"/>
      <c r="G914" s="613"/>
      <c r="H914" s="613"/>
      <c r="I914" s="613"/>
      <c r="J914" s="613"/>
      <c r="K914" s="613"/>
      <c r="L914" s="613"/>
      <c r="M914" s="613"/>
      <c r="N914" s="613"/>
      <c r="O914" s="613"/>
      <c r="P914" s="613"/>
      <c r="Q914" s="613"/>
      <c r="R914" s="613"/>
      <c r="S914" s="613"/>
      <c r="T914" s="613"/>
      <c r="U914" s="613"/>
      <c r="V914" s="613"/>
      <c r="W914" s="613"/>
      <c r="X914" s="613"/>
      <c r="Y914" s="613"/>
      <c r="Z914" s="613"/>
    </row>
    <row r="915" ht="15.75" customHeight="1">
      <c r="A915" s="613"/>
      <c r="B915" s="613"/>
      <c r="C915" s="613"/>
      <c r="D915" s="613"/>
      <c r="E915" s="613"/>
      <c r="F915" s="613"/>
      <c r="G915" s="613"/>
      <c r="H915" s="613"/>
      <c r="I915" s="613"/>
      <c r="J915" s="613"/>
      <c r="K915" s="613"/>
      <c r="L915" s="613"/>
      <c r="M915" s="613"/>
      <c r="N915" s="613"/>
      <c r="O915" s="613"/>
      <c r="P915" s="613"/>
      <c r="Q915" s="613"/>
      <c r="R915" s="613"/>
      <c r="S915" s="613"/>
      <c r="T915" s="613"/>
      <c r="U915" s="613"/>
      <c r="V915" s="613"/>
      <c r="W915" s="613"/>
      <c r="X915" s="613"/>
      <c r="Y915" s="613"/>
      <c r="Z915" s="613"/>
    </row>
    <row r="916" ht="15.75" customHeight="1">
      <c r="A916" s="613"/>
      <c r="B916" s="613"/>
      <c r="C916" s="613"/>
      <c r="D916" s="613"/>
      <c r="E916" s="613"/>
      <c r="F916" s="613"/>
      <c r="G916" s="613"/>
      <c r="H916" s="613"/>
      <c r="I916" s="613"/>
      <c r="J916" s="613"/>
      <c r="K916" s="613"/>
      <c r="L916" s="613"/>
      <c r="M916" s="613"/>
      <c r="N916" s="613"/>
      <c r="O916" s="613"/>
      <c r="P916" s="613"/>
      <c r="Q916" s="613"/>
      <c r="R916" s="613"/>
      <c r="S916" s="613"/>
      <c r="T916" s="613"/>
      <c r="U916" s="613"/>
      <c r="V916" s="613"/>
      <c r="W916" s="613"/>
      <c r="X916" s="613"/>
      <c r="Y916" s="613"/>
      <c r="Z916" s="613"/>
    </row>
    <row r="917" ht="15.75" customHeight="1">
      <c r="A917" s="613"/>
      <c r="B917" s="613"/>
      <c r="C917" s="613"/>
      <c r="D917" s="613"/>
      <c r="E917" s="613"/>
      <c r="F917" s="613"/>
      <c r="G917" s="613"/>
      <c r="H917" s="613"/>
      <c r="I917" s="613"/>
      <c r="J917" s="613"/>
      <c r="K917" s="613"/>
      <c r="L917" s="613"/>
      <c r="M917" s="613"/>
      <c r="N917" s="613"/>
      <c r="O917" s="613"/>
      <c r="P917" s="613"/>
      <c r="Q917" s="613"/>
      <c r="R917" s="613"/>
      <c r="S917" s="613"/>
      <c r="T917" s="613"/>
      <c r="U917" s="613"/>
      <c r="V917" s="613"/>
      <c r="W917" s="613"/>
      <c r="X917" s="613"/>
      <c r="Y917" s="613"/>
      <c r="Z917" s="613"/>
    </row>
    <row r="918" ht="15.75" customHeight="1">
      <c r="A918" s="613"/>
      <c r="B918" s="613"/>
      <c r="C918" s="613"/>
      <c r="D918" s="613"/>
      <c r="E918" s="613"/>
      <c r="F918" s="613"/>
      <c r="G918" s="613"/>
      <c r="H918" s="613"/>
      <c r="I918" s="613"/>
      <c r="J918" s="613"/>
      <c r="K918" s="613"/>
      <c r="L918" s="613"/>
      <c r="M918" s="613"/>
      <c r="N918" s="613"/>
      <c r="O918" s="613"/>
      <c r="P918" s="613"/>
      <c r="Q918" s="613"/>
      <c r="R918" s="613"/>
      <c r="S918" s="613"/>
      <c r="T918" s="613"/>
      <c r="U918" s="613"/>
      <c r="V918" s="613"/>
      <c r="W918" s="613"/>
      <c r="X918" s="613"/>
      <c r="Y918" s="613"/>
      <c r="Z918" s="613"/>
    </row>
    <row r="919" ht="15.75" customHeight="1">
      <c r="A919" s="613"/>
      <c r="B919" s="613"/>
      <c r="C919" s="613"/>
      <c r="D919" s="613"/>
      <c r="E919" s="613"/>
      <c r="F919" s="613"/>
      <c r="G919" s="613"/>
      <c r="H919" s="613"/>
      <c r="I919" s="613"/>
      <c r="J919" s="613"/>
      <c r="K919" s="613"/>
      <c r="L919" s="613"/>
      <c r="M919" s="613"/>
      <c r="N919" s="613"/>
      <c r="O919" s="613"/>
      <c r="P919" s="613"/>
      <c r="Q919" s="613"/>
      <c r="R919" s="613"/>
      <c r="S919" s="613"/>
      <c r="T919" s="613"/>
      <c r="U919" s="613"/>
      <c r="V919" s="613"/>
      <c r="W919" s="613"/>
      <c r="X919" s="613"/>
      <c r="Y919" s="613"/>
      <c r="Z919" s="613"/>
    </row>
    <row r="920" ht="15.75" customHeight="1">
      <c r="A920" s="613"/>
      <c r="B920" s="613"/>
      <c r="C920" s="613"/>
      <c r="D920" s="613"/>
      <c r="E920" s="613"/>
      <c r="F920" s="613"/>
      <c r="G920" s="613"/>
      <c r="H920" s="613"/>
      <c r="I920" s="613"/>
      <c r="J920" s="613"/>
      <c r="K920" s="613"/>
      <c r="L920" s="613"/>
      <c r="M920" s="613"/>
      <c r="N920" s="613"/>
      <c r="O920" s="613"/>
      <c r="P920" s="613"/>
      <c r="Q920" s="613"/>
      <c r="R920" s="613"/>
      <c r="S920" s="613"/>
      <c r="T920" s="613"/>
      <c r="U920" s="613"/>
      <c r="V920" s="613"/>
      <c r="W920" s="613"/>
      <c r="X920" s="613"/>
      <c r="Y920" s="613"/>
      <c r="Z920" s="613"/>
    </row>
    <row r="921" ht="15.75" customHeight="1">
      <c r="A921" s="613"/>
      <c r="B921" s="613"/>
      <c r="C921" s="613"/>
      <c r="D921" s="613"/>
      <c r="E921" s="613"/>
      <c r="F921" s="613"/>
      <c r="G921" s="613"/>
      <c r="H921" s="613"/>
      <c r="I921" s="613"/>
      <c r="J921" s="613"/>
      <c r="K921" s="613"/>
      <c r="L921" s="613"/>
      <c r="M921" s="613"/>
      <c r="N921" s="613"/>
      <c r="O921" s="613"/>
      <c r="P921" s="613"/>
      <c r="Q921" s="613"/>
      <c r="R921" s="613"/>
      <c r="S921" s="613"/>
      <c r="T921" s="613"/>
      <c r="U921" s="613"/>
      <c r="V921" s="613"/>
      <c r="W921" s="613"/>
      <c r="X921" s="613"/>
      <c r="Y921" s="613"/>
      <c r="Z921" s="613"/>
    </row>
    <row r="922" ht="15.75" customHeight="1">
      <c r="A922" s="613"/>
      <c r="B922" s="613"/>
      <c r="C922" s="613"/>
      <c r="D922" s="613"/>
      <c r="E922" s="613"/>
      <c r="F922" s="613"/>
      <c r="G922" s="613"/>
      <c r="H922" s="613"/>
      <c r="I922" s="613"/>
      <c r="J922" s="613"/>
      <c r="K922" s="613"/>
      <c r="L922" s="613"/>
      <c r="M922" s="613"/>
      <c r="N922" s="613"/>
      <c r="O922" s="613"/>
      <c r="P922" s="613"/>
      <c r="Q922" s="613"/>
      <c r="R922" s="613"/>
      <c r="S922" s="613"/>
      <c r="T922" s="613"/>
      <c r="U922" s="613"/>
      <c r="V922" s="613"/>
      <c r="W922" s="613"/>
      <c r="X922" s="613"/>
      <c r="Y922" s="613"/>
      <c r="Z922" s="613"/>
    </row>
    <row r="923" ht="15.75" customHeight="1">
      <c r="A923" s="613"/>
      <c r="B923" s="613"/>
      <c r="C923" s="613"/>
      <c r="D923" s="613"/>
      <c r="E923" s="613"/>
      <c r="F923" s="613"/>
      <c r="G923" s="613"/>
      <c r="H923" s="613"/>
      <c r="I923" s="613"/>
      <c r="J923" s="613"/>
      <c r="K923" s="613"/>
      <c r="L923" s="613"/>
      <c r="M923" s="613"/>
      <c r="N923" s="613"/>
      <c r="O923" s="613"/>
      <c r="P923" s="613"/>
      <c r="Q923" s="613"/>
      <c r="R923" s="613"/>
      <c r="S923" s="613"/>
      <c r="T923" s="613"/>
      <c r="U923" s="613"/>
      <c r="V923" s="613"/>
      <c r="W923" s="613"/>
      <c r="X923" s="613"/>
      <c r="Y923" s="613"/>
      <c r="Z923" s="613"/>
    </row>
    <row r="924" ht="15.75" customHeight="1">
      <c r="A924" s="613"/>
      <c r="B924" s="613"/>
      <c r="C924" s="613"/>
      <c r="D924" s="613"/>
      <c r="E924" s="613"/>
      <c r="F924" s="613"/>
      <c r="G924" s="613"/>
      <c r="H924" s="613"/>
      <c r="I924" s="613"/>
      <c r="J924" s="613"/>
      <c r="K924" s="613"/>
      <c r="L924" s="613"/>
      <c r="M924" s="613"/>
      <c r="N924" s="613"/>
      <c r="O924" s="613"/>
      <c r="P924" s="613"/>
      <c r="Q924" s="613"/>
      <c r="R924" s="613"/>
      <c r="S924" s="613"/>
      <c r="T924" s="613"/>
      <c r="U924" s="613"/>
      <c r="V924" s="613"/>
      <c r="W924" s="613"/>
      <c r="X924" s="613"/>
      <c r="Y924" s="613"/>
      <c r="Z924" s="613"/>
    </row>
    <row r="925" ht="15.75" customHeight="1">
      <c r="A925" s="613"/>
      <c r="B925" s="613"/>
      <c r="C925" s="613"/>
      <c r="D925" s="613"/>
      <c r="E925" s="613"/>
      <c r="F925" s="613"/>
      <c r="G925" s="613"/>
      <c r="H925" s="613"/>
      <c r="I925" s="613"/>
      <c r="J925" s="613"/>
      <c r="K925" s="613"/>
      <c r="L925" s="613"/>
      <c r="M925" s="613"/>
      <c r="N925" s="613"/>
      <c r="O925" s="613"/>
      <c r="P925" s="613"/>
      <c r="Q925" s="613"/>
      <c r="R925" s="613"/>
      <c r="S925" s="613"/>
      <c r="T925" s="613"/>
      <c r="U925" s="613"/>
      <c r="V925" s="613"/>
      <c r="W925" s="613"/>
      <c r="X925" s="613"/>
      <c r="Y925" s="613"/>
      <c r="Z925" s="613"/>
    </row>
    <row r="926" ht="15.75" customHeight="1">
      <c r="A926" s="613"/>
      <c r="B926" s="613"/>
      <c r="C926" s="613"/>
      <c r="D926" s="613"/>
      <c r="E926" s="613"/>
      <c r="F926" s="613"/>
      <c r="G926" s="613"/>
      <c r="H926" s="613"/>
      <c r="I926" s="613"/>
      <c r="J926" s="613"/>
      <c r="K926" s="613"/>
      <c r="L926" s="613"/>
      <c r="M926" s="613"/>
      <c r="N926" s="613"/>
      <c r="O926" s="613"/>
      <c r="P926" s="613"/>
      <c r="Q926" s="613"/>
      <c r="R926" s="613"/>
      <c r="S926" s="613"/>
      <c r="T926" s="613"/>
      <c r="U926" s="613"/>
      <c r="V926" s="613"/>
      <c r="W926" s="613"/>
      <c r="X926" s="613"/>
      <c r="Y926" s="613"/>
      <c r="Z926" s="613"/>
    </row>
    <row r="927" ht="15.75" customHeight="1">
      <c r="A927" s="613"/>
      <c r="B927" s="613"/>
      <c r="C927" s="613"/>
      <c r="D927" s="613"/>
      <c r="E927" s="613"/>
      <c r="F927" s="613"/>
      <c r="G927" s="613"/>
      <c r="H927" s="613"/>
      <c r="I927" s="613"/>
      <c r="J927" s="613"/>
      <c r="K927" s="613"/>
      <c r="L927" s="613"/>
      <c r="M927" s="613"/>
      <c r="N927" s="613"/>
      <c r="O927" s="613"/>
      <c r="P927" s="613"/>
      <c r="Q927" s="613"/>
      <c r="R927" s="613"/>
      <c r="S927" s="613"/>
      <c r="T927" s="613"/>
      <c r="U927" s="613"/>
      <c r="V927" s="613"/>
      <c r="W927" s="613"/>
      <c r="X927" s="613"/>
      <c r="Y927" s="613"/>
      <c r="Z927" s="613"/>
    </row>
    <row r="928" ht="15.75" customHeight="1">
      <c r="A928" s="613"/>
      <c r="B928" s="613"/>
      <c r="C928" s="613"/>
      <c r="D928" s="613"/>
      <c r="E928" s="613"/>
      <c r="F928" s="613"/>
      <c r="G928" s="613"/>
      <c r="H928" s="613"/>
      <c r="I928" s="613"/>
      <c r="J928" s="613"/>
      <c r="K928" s="613"/>
      <c r="L928" s="613"/>
      <c r="M928" s="613"/>
      <c r="N928" s="613"/>
      <c r="O928" s="613"/>
      <c r="P928" s="613"/>
      <c r="Q928" s="613"/>
      <c r="R928" s="613"/>
      <c r="S928" s="613"/>
      <c r="T928" s="613"/>
      <c r="U928" s="613"/>
      <c r="V928" s="613"/>
      <c r="W928" s="613"/>
      <c r="X928" s="613"/>
      <c r="Y928" s="613"/>
      <c r="Z928" s="613"/>
    </row>
    <row r="929" ht="15.75" customHeight="1">
      <c r="A929" s="613"/>
      <c r="B929" s="613"/>
      <c r="C929" s="613"/>
      <c r="D929" s="613"/>
      <c r="E929" s="613"/>
      <c r="F929" s="613"/>
      <c r="G929" s="613"/>
      <c r="H929" s="613"/>
      <c r="I929" s="613"/>
      <c r="J929" s="613"/>
      <c r="K929" s="613"/>
      <c r="L929" s="613"/>
      <c r="M929" s="613"/>
      <c r="N929" s="613"/>
      <c r="O929" s="613"/>
      <c r="P929" s="613"/>
      <c r="Q929" s="613"/>
      <c r="R929" s="613"/>
      <c r="S929" s="613"/>
      <c r="T929" s="613"/>
      <c r="U929" s="613"/>
      <c r="V929" s="613"/>
      <c r="W929" s="613"/>
      <c r="X929" s="613"/>
      <c r="Y929" s="613"/>
      <c r="Z929" s="613"/>
    </row>
    <row r="930" ht="15.75" customHeight="1">
      <c r="A930" s="613"/>
      <c r="B930" s="613"/>
      <c r="C930" s="613"/>
      <c r="D930" s="613"/>
      <c r="E930" s="613"/>
      <c r="F930" s="613"/>
      <c r="G930" s="613"/>
      <c r="H930" s="613"/>
      <c r="I930" s="613"/>
      <c r="J930" s="613"/>
      <c r="K930" s="613"/>
      <c r="L930" s="613"/>
      <c r="M930" s="613"/>
      <c r="N930" s="613"/>
      <c r="O930" s="613"/>
      <c r="P930" s="613"/>
      <c r="Q930" s="613"/>
      <c r="R930" s="613"/>
      <c r="S930" s="613"/>
      <c r="T930" s="613"/>
      <c r="U930" s="613"/>
      <c r="V930" s="613"/>
      <c r="W930" s="613"/>
      <c r="X930" s="613"/>
      <c r="Y930" s="613"/>
      <c r="Z930" s="613"/>
    </row>
    <row r="931" ht="15.75" customHeight="1">
      <c r="A931" s="613"/>
      <c r="B931" s="613"/>
      <c r="C931" s="613"/>
      <c r="D931" s="613"/>
      <c r="E931" s="613"/>
      <c r="F931" s="613"/>
      <c r="G931" s="613"/>
      <c r="H931" s="613"/>
      <c r="I931" s="613"/>
      <c r="J931" s="613"/>
      <c r="K931" s="613"/>
      <c r="L931" s="613"/>
      <c r="M931" s="613"/>
      <c r="N931" s="613"/>
      <c r="O931" s="613"/>
      <c r="P931" s="613"/>
      <c r="Q931" s="613"/>
      <c r="R931" s="613"/>
      <c r="S931" s="613"/>
      <c r="T931" s="613"/>
      <c r="U931" s="613"/>
      <c r="V931" s="613"/>
      <c r="W931" s="613"/>
      <c r="X931" s="613"/>
      <c r="Y931" s="613"/>
      <c r="Z931" s="613"/>
    </row>
    <row r="932" ht="15.75" customHeight="1">
      <c r="A932" s="613"/>
      <c r="B932" s="613"/>
      <c r="C932" s="613"/>
      <c r="D932" s="613"/>
      <c r="E932" s="613"/>
      <c r="F932" s="613"/>
      <c r="G932" s="613"/>
      <c r="H932" s="613"/>
      <c r="I932" s="613"/>
      <c r="J932" s="613"/>
      <c r="K932" s="613"/>
      <c r="L932" s="613"/>
      <c r="M932" s="613"/>
      <c r="N932" s="613"/>
      <c r="O932" s="613"/>
      <c r="P932" s="613"/>
      <c r="Q932" s="613"/>
      <c r="R932" s="613"/>
      <c r="S932" s="613"/>
      <c r="T932" s="613"/>
      <c r="U932" s="613"/>
      <c r="V932" s="613"/>
      <c r="W932" s="613"/>
      <c r="X932" s="613"/>
      <c r="Y932" s="613"/>
      <c r="Z932" s="613"/>
    </row>
    <row r="933" ht="15.75" customHeight="1">
      <c r="A933" s="613"/>
      <c r="B933" s="613"/>
      <c r="C933" s="613"/>
      <c r="D933" s="613"/>
      <c r="E933" s="613"/>
      <c r="F933" s="613"/>
      <c r="G933" s="613"/>
      <c r="H933" s="613"/>
      <c r="I933" s="613"/>
      <c r="J933" s="613"/>
      <c r="K933" s="613"/>
      <c r="L933" s="613"/>
      <c r="M933" s="613"/>
      <c r="N933" s="613"/>
      <c r="O933" s="613"/>
      <c r="P933" s="613"/>
      <c r="Q933" s="613"/>
      <c r="R933" s="613"/>
      <c r="S933" s="613"/>
      <c r="T933" s="613"/>
      <c r="U933" s="613"/>
      <c r="V933" s="613"/>
      <c r="W933" s="613"/>
      <c r="X933" s="613"/>
      <c r="Y933" s="613"/>
      <c r="Z933" s="613"/>
    </row>
    <row r="934" ht="15.75" customHeight="1">
      <c r="A934" s="613"/>
      <c r="B934" s="613"/>
      <c r="C934" s="613"/>
      <c r="D934" s="613"/>
      <c r="E934" s="613"/>
      <c r="F934" s="613"/>
      <c r="G934" s="613"/>
      <c r="H934" s="613"/>
      <c r="I934" s="613"/>
      <c r="J934" s="613"/>
      <c r="K934" s="613"/>
      <c r="L934" s="613"/>
      <c r="M934" s="613"/>
      <c r="N934" s="613"/>
      <c r="O934" s="613"/>
      <c r="P934" s="613"/>
      <c r="Q934" s="613"/>
      <c r="R934" s="613"/>
      <c r="S934" s="613"/>
      <c r="T934" s="613"/>
      <c r="U934" s="613"/>
      <c r="V934" s="613"/>
      <c r="W934" s="613"/>
      <c r="X934" s="613"/>
      <c r="Y934" s="613"/>
      <c r="Z934" s="613"/>
    </row>
    <row r="935" ht="15.75" customHeight="1">
      <c r="A935" s="613"/>
      <c r="B935" s="613"/>
      <c r="C935" s="613"/>
      <c r="D935" s="613"/>
      <c r="E935" s="613"/>
      <c r="F935" s="613"/>
      <c r="G935" s="613"/>
      <c r="H935" s="613"/>
      <c r="I935" s="613"/>
      <c r="J935" s="613"/>
      <c r="K935" s="613"/>
      <c r="L935" s="613"/>
      <c r="M935" s="613"/>
      <c r="N935" s="613"/>
      <c r="O935" s="613"/>
      <c r="P935" s="613"/>
      <c r="Q935" s="613"/>
      <c r="R935" s="613"/>
      <c r="S935" s="613"/>
      <c r="T935" s="613"/>
      <c r="U935" s="613"/>
      <c r="V935" s="613"/>
      <c r="W935" s="613"/>
      <c r="X935" s="613"/>
      <c r="Y935" s="613"/>
      <c r="Z935" s="613"/>
    </row>
    <row r="936" ht="15.75" customHeight="1">
      <c r="A936" s="613"/>
      <c r="B936" s="613"/>
      <c r="C936" s="613"/>
      <c r="D936" s="613"/>
      <c r="E936" s="613"/>
      <c r="F936" s="613"/>
      <c r="G936" s="613"/>
      <c r="H936" s="613"/>
      <c r="I936" s="613"/>
      <c r="J936" s="613"/>
      <c r="K936" s="613"/>
      <c r="L936" s="613"/>
      <c r="M936" s="613"/>
      <c r="N936" s="613"/>
      <c r="O936" s="613"/>
      <c r="P936" s="613"/>
      <c r="Q936" s="613"/>
      <c r="R936" s="613"/>
      <c r="S936" s="613"/>
      <c r="T936" s="613"/>
      <c r="U936" s="613"/>
      <c r="V936" s="613"/>
      <c r="W936" s="613"/>
      <c r="X936" s="613"/>
      <c r="Y936" s="613"/>
      <c r="Z936" s="613"/>
    </row>
    <row r="937" ht="15.75" customHeight="1">
      <c r="A937" s="613"/>
      <c r="B937" s="613"/>
      <c r="C937" s="613"/>
      <c r="D937" s="613"/>
      <c r="E937" s="613"/>
      <c r="F937" s="613"/>
      <c r="G937" s="613"/>
      <c r="H937" s="613"/>
      <c r="I937" s="613"/>
      <c r="J937" s="613"/>
      <c r="K937" s="613"/>
      <c r="L937" s="613"/>
      <c r="M937" s="613"/>
      <c r="N937" s="613"/>
      <c r="O937" s="613"/>
      <c r="P937" s="613"/>
      <c r="Q937" s="613"/>
      <c r="R937" s="613"/>
      <c r="S937" s="613"/>
      <c r="T937" s="613"/>
      <c r="U937" s="613"/>
      <c r="V937" s="613"/>
      <c r="W937" s="613"/>
      <c r="X937" s="613"/>
      <c r="Y937" s="613"/>
      <c r="Z937" s="613"/>
    </row>
    <row r="938" ht="15.75" customHeight="1">
      <c r="A938" s="613"/>
      <c r="B938" s="613"/>
      <c r="C938" s="613"/>
      <c r="D938" s="613"/>
      <c r="E938" s="613"/>
      <c r="F938" s="613"/>
      <c r="G938" s="613"/>
      <c r="H938" s="613"/>
      <c r="I938" s="613"/>
      <c r="J938" s="613"/>
      <c r="K938" s="613"/>
      <c r="L938" s="613"/>
      <c r="M938" s="613"/>
      <c r="N938" s="613"/>
      <c r="O938" s="613"/>
      <c r="P938" s="613"/>
      <c r="Q938" s="613"/>
      <c r="R938" s="613"/>
      <c r="S938" s="613"/>
      <c r="T938" s="613"/>
      <c r="U938" s="613"/>
      <c r="V938" s="613"/>
      <c r="W938" s="613"/>
      <c r="X938" s="613"/>
      <c r="Y938" s="613"/>
      <c r="Z938" s="613"/>
    </row>
    <row r="939" ht="15.75" customHeight="1">
      <c r="A939" s="613"/>
      <c r="B939" s="613"/>
      <c r="C939" s="613"/>
      <c r="D939" s="613"/>
      <c r="E939" s="613"/>
      <c r="F939" s="613"/>
      <c r="G939" s="613"/>
      <c r="H939" s="613"/>
      <c r="I939" s="613"/>
      <c r="J939" s="613"/>
      <c r="K939" s="613"/>
      <c r="L939" s="613"/>
      <c r="M939" s="613"/>
      <c r="N939" s="613"/>
      <c r="O939" s="613"/>
      <c r="P939" s="613"/>
      <c r="Q939" s="613"/>
      <c r="R939" s="613"/>
      <c r="S939" s="613"/>
      <c r="T939" s="613"/>
      <c r="U939" s="613"/>
      <c r="V939" s="613"/>
      <c r="W939" s="613"/>
      <c r="X939" s="613"/>
      <c r="Y939" s="613"/>
      <c r="Z939" s="613"/>
    </row>
    <row r="940" ht="15.75" customHeight="1">
      <c r="A940" s="613"/>
      <c r="B940" s="613"/>
      <c r="C940" s="613"/>
      <c r="D940" s="613"/>
      <c r="E940" s="613"/>
      <c r="F940" s="613"/>
      <c r="G940" s="613"/>
      <c r="H940" s="613"/>
      <c r="I940" s="613"/>
      <c r="J940" s="613"/>
      <c r="K940" s="613"/>
      <c r="L940" s="613"/>
      <c r="M940" s="613"/>
      <c r="N940" s="613"/>
      <c r="O940" s="613"/>
      <c r="P940" s="613"/>
      <c r="Q940" s="613"/>
      <c r="R940" s="613"/>
      <c r="S940" s="613"/>
      <c r="T940" s="613"/>
      <c r="U940" s="613"/>
      <c r="V940" s="613"/>
      <c r="W940" s="613"/>
      <c r="X940" s="613"/>
      <c r="Y940" s="613"/>
      <c r="Z940" s="613"/>
    </row>
    <row r="941" ht="15.75" customHeight="1">
      <c r="A941" s="613"/>
      <c r="B941" s="613"/>
      <c r="C941" s="613"/>
      <c r="D941" s="613"/>
      <c r="E941" s="613"/>
      <c r="F941" s="613"/>
      <c r="G941" s="613"/>
      <c r="H941" s="613"/>
      <c r="I941" s="613"/>
      <c r="J941" s="613"/>
      <c r="K941" s="613"/>
      <c r="L941" s="613"/>
      <c r="M941" s="613"/>
      <c r="N941" s="613"/>
      <c r="O941" s="613"/>
      <c r="P941" s="613"/>
      <c r="Q941" s="613"/>
      <c r="R941" s="613"/>
      <c r="S941" s="613"/>
      <c r="T941" s="613"/>
      <c r="U941" s="613"/>
      <c r="V941" s="613"/>
      <c r="W941" s="613"/>
      <c r="X941" s="613"/>
      <c r="Y941" s="613"/>
      <c r="Z941" s="613"/>
    </row>
    <row r="942" ht="15.75" customHeight="1">
      <c r="A942" s="613"/>
      <c r="B942" s="613"/>
      <c r="C942" s="613"/>
      <c r="D942" s="613"/>
      <c r="E942" s="613"/>
      <c r="F942" s="613"/>
      <c r="G942" s="613"/>
      <c r="H942" s="613"/>
      <c r="I942" s="613"/>
      <c r="J942" s="613"/>
      <c r="K942" s="613"/>
      <c r="L942" s="613"/>
      <c r="M942" s="613"/>
      <c r="N942" s="613"/>
      <c r="O942" s="613"/>
      <c r="P942" s="613"/>
      <c r="Q942" s="613"/>
      <c r="R942" s="613"/>
      <c r="S942" s="613"/>
      <c r="T942" s="613"/>
      <c r="U942" s="613"/>
      <c r="V942" s="613"/>
      <c r="W942" s="613"/>
      <c r="X942" s="613"/>
      <c r="Y942" s="613"/>
      <c r="Z942" s="613"/>
    </row>
    <row r="943" ht="15.75" customHeight="1">
      <c r="A943" s="613"/>
      <c r="B943" s="613"/>
      <c r="C943" s="613"/>
      <c r="D943" s="613"/>
      <c r="E943" s="613"/>
      <c r="F943" s="613"/>
      <c r="G943" s="613"/>
      <c r="H943" s="613"/>
      <c r="I943" s="613"/>
      <c r="J943" s="613"/>
      <c r="K943" s="613"/>
      <c r="L943" s="613"/>
      <c r="M943" s="613"/>
      <c r="N943" s="613"/>
      <c r="O943" s="613"/>
      <c r="P943" s="613"/>
      <c r="Q943" s="613"/>
      <c r="R943" s="613"/>
      <c r="S943" s="613"/>
      <c r="T943" s="613"/>
      <c r="U943" s="613"/>
      <c r="V943" s="613"/>
      <c r="W943" s="613"/>
      <c r="X943" s="613"/>
      <c r="Y943" s="613"/>
      <c r="Z943" s="613"/>
    </row>
    <row r="944" ht="15.75" customHeight="1">
      <c r="A944" s="613"/>
      <c r="B944" s="613"/>
      <c r="C944" s="613"/>
      <c r="D944" s="613"/>
      <c r="E944" s="613"/>
      <c r="F944" s="613"/>
      <c r="G944" s="613"/>
      <c r="H944" s="613"/>
      <c r="I944" s="613"/>
      <c r="J944" s="613"/>
      <c r="K944" s="613"/>
      <c r="L944" s="613"/>
      <c r="M944" s="613"/>
      <c r="N944" s="613"/>
      <c r="O944" s="613"/>
      <c r="P944" s="613"/>
      <c r="Q944" s="613"/>
      <c r="R944" s="613"/>
      <c r="S944" s="613"/>
      <c r="T944" s="613"/>
      <c r="U944" s="613"/>
      <c r="V944" s="613"/>
      <c r="W944" s="613"/>
      <c r="X944" s="613"/>
      <c r="Y944" s="613"/>
      <c r="Z944" s="613"/>
    </row>
    <row r="945" ht="15.75" customHeight="1">
      <c r="A945" s="613"/>
      <c r="B945" s="613"/>
      <c r="C945" s="613"/>
      <c r="D945" s="613"/>
      <c r="E945" s="613"/>
      <c r="F945" s="613"/>
      <c r="G945" s="613"/>
      <c r="H945" s="613"/>
      <c r="I945" s="613"/>
      <c r="J945" s="613"/>
      <c r="K945" s="613"/>
      <c r="L945" s="613"/>
      <c r="M945" s="613"/>
      <c r="N945" s="613"/>
      <c r="O945" s="613"/>
      <c r="P945" s="613"/>
      <c r="Q945" s="613"/>
      <c r="R945" s="613"/>
      <c r="S945" s="613"/>
      <c r="T945" s="613"/>
      <c r="U945" s="613"/>
      <c r="V945" s="613"/>
      <c r="W945" s="613"/>
      <c r="X945" s="613"/>
      <c r="Y945" s="613"/>
      <c r="Z945" s="613"/>
    </row>
    <row r="946" ht="15.75" customHeight="1">
      <c r="A946" s="613"/>
      <c r="B946" s="613"/>
      <c r="C946" s="613"/>
      <c r="D946" s="613"/>
      <c r="E946" s="613"/>
      <c r="F946" s="613"/>
      <c r="G946" s="613"/>
      <c r="H946" s="613"/>
      <c r="I946" s="613"/>
      <c r="J946" s="613"/>
      <c r="K946" s="613"/>
      <c r="L946" s="613"/>
      <c r="M946" s="613"/>
      <c r="N946" s="613"/>
      <c r="O946" s="613"/>
      <c r="P946" s="613"/>
      <c r="Q946" s="613"/>
      <c r="R946" s="613"/>
      <c r="S946" s="613"/>
      <c r="T946" s="613"/>
      <c r="U946" s="613"/>
      <c r="V946" s="613"/>
      <c r="W946" s="613"/>
      <c r="X946" s="613"/>
      <c r="Y946" s="613"/>
      <c r="Z946" s="613"/>
    </row>
    <row r="947" ht="15.75" customHeight="1">
      <c r="A947" s="613"/>
      <c r="B947" s="613"/>
      <c r="C947" s="613"/>
      <c r="D947" s="613"/>
      <c r="E947" s="613"/>
      <c r="F947" s="613"/>
      <c r="G947" s="613"/>
      <c r="H947" s="613"/>
      <c r="I947" s="613"/>
      <c r="J947" s="613"/>
      <c r="K947" s="613"/>
      <c r="L947" s="613"/>
      <c r="M947" s="613"/>
      <c r="N947" s="613"/>
      <c r="O947" s="613"/>
      <c r="P947" s="613"/>
      <c r="Q947" s="613"/>
      <c r="R947" s="613"/>
      <c r="S947" s="613"/>
      <c r="T947" s="613"/>
      <c r="U947" s="613"/>
      <c r="V947" s="613"/>
      <c r="W947" s="613"/>
      <c r="X947" s="613"/>
      <c r="Y947" s="613"/>
      <c r="Z947" s="613"/>
    </row>
    <row r="948" ht="15.75" customHeight="1">
      <c r="A948" s="613"/>
      <c r="B948" s="613"/>
      <c r="C948" s="613"/>
      <c r="D948" s="613"/>
      <c r="E948" s="613"/>
      <c r="F948" s="613"/>
      <c r="G948" s="613"/>
      <c r="H948" s="613"/>
      <c r="I948" s="613"/>
      <c r="J948" s="613"/>
      <c r="K948" s="613"/>
      <c r="L948" s="613"/>
      <c r="M948" s="613"/>
      <c r="N948" s="613"/>
      <c r="O948" s="613"/>
      <c r="P948" s="613"/>
      <c r="Q948" s="613"/>
      <c r="R948" s="613"/>
      <c r="S948" s="613"/>
      <c r="T948" s="613"/>
      <c r="U948" s="613"/>
      <c r="V948" s="613"/>
      <c r="W948" s="613"/>
      <c r="X948" s="613"/>
      <c r="Y948" s="613"/>
      <c r="Z948" s="613"/>
    </row>
    <row r="949" ht="15.75" customHeight="1">
      <c r="A949" s="613"/>
      <c r="B949" s="613"/>
      <c r="C949" s="613"/>
      <c r="D949" s="613"/>
      <c r="E949" s="613"/>
      <c r="F949" s="613"/>
      <c r="G949" s="613"/>
      <c r="H949" s="613"/>
      <c r="I949" s="613"/>
      <c r="J949" s="613"/>
      <c r="K949" s="613"/>
      <c r="L949" s="613"/>
      <c r="M949" s="613"/>
      <c r="N949" s="613"/>
      <c r="O949" s="613"/>
      <c r="P949" s="613"/>
      <c r="Q949" s="613"/>
      <c r="R949" s="613"/>
      <c r="S949" s="613"/>
      <c r="T949" s="613"/>
      <c r="U949" s="613"/>
      <c r="V949" s="613"/>
      <c r="W949" s="613"/>
      <c r="X949" s="613"/>
      <c r="Y949" s="613"/>
      <c r="Z949" s="613"/>
    </row>
    <row r="950" ht="15.75" customHeight="1">
      <c r="A950" s="613"/>
      <c r="B950" s="613"/>
      <c r="C950" s="613"/>
      <c r="D950" s="613"/>
      <c r="E950" s="613"/>
      <c r="F950" s="613"/>
      <c r="G950" s="613"/>
      <c r="H950" s="613"/>
      <c r="I950" s="613"/>
      <c r="J950" s="613"/>
      <c r="K950" s="613"/>
      <c r="L950" s="613"/>
      <c r="M950" s="613"/>
      <c r="N950" s="613"/>
      <c r="O950" s="613"/>
      <c r="P950" s="613"/>
      <c r="Q950" s="613"/>
      <c r="R950" s="613"/>
      <c r="S950" s="613"/>
      <c r="T950" s="613"/>
      <c r="U950" s="613"/>
      <c r="V950" s="613"/>
      <c r="W950" s="613"/>
      <c r="X950" s="613"/>
      <c r="Y950" s="613"/>
      <c r="Z950" s="613"/>
    </row>
    <row r="951" ht="15.75" customHeight="1">
      <c r="A951" s="613"/>
      <c r="B951" s="613"/>
      <c r="C951" s="613"/>
      <c r="D951" s="613"/>
      <c r="E951" s="613"/>
      <c r="F951" s="613"/>
      <c r="G951" s="613"/>
      <c r="H951" s="613"/>
      <c r="I951" s="613"/>
      <c r="J951" s="613"/>
      <c r="K951" s="613"/>
      <c r="L951" s="613"/>
      <c r="M951" s="613"/>
      <c r="N951" s="613"/>
      <c r="O951" s="613"/>
      <c r="P951" s="613"/>
      <c r="Q951" s="613"/>
      <c r="R951" s="613"/>
      <c r="S951" s="613"/>
      <c r="T951" s="613"/>
      <c r="U951" s="613"/>
      <c r="V951" s="613"/>
      <c r="W951" s="613"/>
      <c r="X951" s="613"/>
      <c r="Y951" s="613"/>
      <c r="Z951" s="613"/>
    </row>
    <row r="952" ht="15.75" customHeight="1">
      <c r="A952" s="613"/>
      <c r="B952" s="613"/>
      <c r="C952" s="613"/>
      <c r="D952" s="613"/>
      <c r="E952" s="613"/>
      <c r="F952" s="613"/>
      <c r="G952" s="613"/>
      <c r="H952" s="613"/>
      <c r="I952" s="613"/>
      <c r="J952" s="613"/>
      <c r="K952" s="613"/>
      <c r="L952" s="613"/>
      <c r="M952" s="613"/>
      <c r="N952" s="613"/>
      <c r="O952" s="613"/>
      <c r="P952" s="613"/>
      <c r="Q952" s="613"/>
      <c r="R952" s="613"/>
      <c r="S952" s="613"/>
      <c r="T952" s="613"/>
      <c r="U952" s="613"/>
      <c r="V952" s="613"/>
      <c r="W952" s="613"/>
      <c r="X952" s="613"/>
      <c r="Y952" s="613"/>
      <c r="Z952" s="613"/>
    </row>
    <row r="953" ht="15.75" customHeight="1">
      <c r="A953" s="613"/>
      <c r="B953" s="613"/>
      <c r="C953" s="613"/>
      <c r="D953" s="613"/>
      <c r="E953" s="613"/>
      <c r="F953" s="613"/>
      <c r="G953" s="613"/>
      <c r="H953" s="613"/>
      <c r="I953" s="613"/>
      <c r="J953" s="613"/>
      <c r="K953" s="613"/>
      <c r="L953" s="613"/>
      <c r="M953" s="613"/>
      <c r="N953" s="613"/>
      <c r="O953" s="613"/>
      <c r="P953" s="613"/>
      <c r="Q953" s="613"/>
      <c r="R953" s="613"/>
      <c r="S953" s="613"/>
      <c r="T953" s="613"/>
      <c r="U953" s="613"/>
      <c r="V953" s="613"/>
      <c r="W953" s="613"/>
      <c r="X953" s="613"/>
      <c r="Y953" s="613"/>
      <c r="Z953" s="613"/>
    </row>
    <row r="954" ht="15.75" customHeight="1">
      <c r="A954" s="613"/>
      <c r="B954" s="613"/>
      <c r="C954" s="613"/>
      <c r="D954" s="613"/>
      <c r="E954" s="613"/>
      <c r="F954" s="613"/>
      <c r="G954" s="613"/>
      <c r="H954" s="613"/>
      <c r="I954" s="613"/>
      <c r="J954" s="613"/>
      <c r="K954" s="613"/>
      <c r="L954" s="613"/>
      <c r="M954" s="613"/>
      <c r="N954" s="613"/>
      <c r="O954" s="613"/>
      <c r="P954" s="613"/>
      <c r="Q954" s="613"/>
      <c r="R954" s="613"/>
      <c r="S954" s="613"/>
      <c r="T954" s="613"/>
      <c r="U954" s="613"/>
      <c r="V954" s="613"/>
      <c r="W954" s="613"/>
      <c r="X954" s="613"/>
      <c r="Y954" s="613"/>
      <c r="Z954" s="613"/>
    </row>
    <row r="955" ht="15.75" customHeight="1">
      <c r="A955" s="613"/>
      <c r="B955" s="613"/>
      <c r="C955" s="613"/>
      <c r="D955" s="613"/>
      <c r="E955" s="613"/>
      <c r="F955" s="613"/>
      <c r="G955" s="613"/>
      <c r="H955" s="613"/>
      <c r="I955" s="613"/>
      <c r="J955" s="613"/>
      <c r="K955" s="613"/>
      <c r="L955" s="613"/>
      <c r="M955" s="613"/>
      <c r="N955" s="613"/>
      <c r="O955" s="613"/>
      <c r="P955" s="613"/>
      <c r="Q955" s="613"/>
      <c r="R955" s="613"/>
      <c r="S955" s="613"/>
      <c r="T955" s="613"/>
      <c r="U955" s="613"/>
      <c r="V955" s="613"/>
      <c r="W955" s="613"/>
      <c r="X955" s="613"/>
      <c r="Y955" s="613"/>
      <c r="Z955" s="613"/>
    </row>
    <row r="956" ht="15.75" customHeight="1">
      <c r="A956" s="613"/>
      <c r="B956" s="613"/>
      <c r="C956" s="613"/>
      <c r="D956" s="613"/>
      <c r="E956" s="613"/>
      <c r="F956" s="613"/>
      <c r="G956" s="613"/>
      <c r="H956" s="613"/>
      <c r="I956" s="613"/>
      <c r="J956" s="613"/>
      <c r="K956" s="613"/>
      <c r="L956" s="613"/>
      <c r="M956" s="613"/>
      <c r="N956" s="613"/>
      <c r="O956" s="613"/>
      <c r="P956" s="613"/>
      <c r="Q956" s="613"/>
      <c r="R956" s="613"/>
      <c r="S956" s="613"/>
      <c r="T956" s="613"/>
      <c r="U956" s="613"/>
      <c r="V956" s="613"/>
      <c r="W956" s="613"/>
      <c r="X956" s="613"/>
      <c r="Y956" s="613"/>
      <c r="Z956" s="613"/>
    </row>
    <row r="957" ht="15.75" customHeight="1">
      <c r="A957" s="613"/>
      <c r="B957" s="613"/>
      <c r="C957" s="613"/>
      <c r="D957" s="613"/>
      <c r="E957" s="613"/>
      <c r="F957" s="613"/>
      <c r="G957" s="613"/>
      <c r="H957" s="613"/>
      <c r="I957" s="613"/>
      <c r="J957" s="613"/>
      <c r="K957" s="613"/>
      <c r="L957" s="613"/>
      <c r="M957" s="613"/>
      <c r="N957" s="613"/>
      <c r="O957" s="613"/>
      <c r="P957" s="613"/>
      <c r="Q957" s="613"/>
      <c r="R957" s="613"/>
      <c r="S957" s="613"/>
      <c r="T957" s="613"/>
      <c r="U957" s="613"/>
      <c r="V957" s="613"/>
      <c r="W957" s="613"/>
      <c r="X957" s="613"/>
      <c r="Y957" s="613"/>
      <c r="Z957" s="613"/>
    </row>
    <row r="958" ht="15.75" customHeight="1">
      <c r="A958" s="613"/>
      <c r="B958" s="613"/>
      <c r="C958" s="613"/>
      <c r="D958" s="613"/>
      <c r="E958" s="613"/>
      <c r="F958" s="613"/>
      <c r="G958" s="613"/>
      <c r="H958" s="613"/>
      <c r="I958" s="613"/>
      <c r="J958" s="613"/>
      <c r="K958" s="613"/>
      <c r="L958" s="613"/>
      <c r="M958" s="613"/>
      <c r="N958" s="613"/>
      <c r="O958" s="613"/>
      <c r="P958" s="613"/>
      <c r="Q958" s="613"/>
      <c r="R958" s="613"/>
      <c r="S958" s="613"/>
      <c r="T958" s="613"/>
      <c r="U958" s="613"/>
      <c r="V958" s="613"/>
      <c r="W958" s="613"/>
      <c r="X958" s="613"/>
      <c r="Y958" s="613"/>
      <c r="Z958" s="613"/>
    </row>
    <row r="959" ht="15.75" customHeight="1">
      <c r="A959" s="613"/>
      <c r="B959" s="613"/>
      <c r="C959" s="613"/>
      <c r="D959" s="613"/>
      <c r="E959" s="613"/>
      <c r="F959" s="613"/>
      <c r="G959" s="613"/>
      <c r="H959" s="613"/>
      <c r="I959" s="613"/>
      <c r="J959" s="613"/>
      <c r="K959" s="613"/>
      <c r="L959" s="613"/>
      <c r="M959" s="613"/>
      <c r="N959" s="613"/>
      <c r="O959" s="613"/>
      <c r="P959" s="613"/>
      <c r="Q959" s="613"/>
      <c r="R959" s="613"/>
      <c r="S959" s="613"/>
      <c r="T959" s="613"/>
      <c r="U959" s="613"/>
      <c r="V959" s="613"/>
      <c r="W959" s="613"/>
      <c r="X959" s="613"/>
      <c r="Y959" s="613"/>
      <c r="Z959" s="613"/>
    </row>
    <row r="960" ht="15.75" customHeight="1">
      <c r="A960" s="613"/>
      <c r="B960" s="613"/>
      <c r="C960" s="613"/>
      <c r="D960" s="613"/>
      <c r="E960" s="613"/>
      <c r="F960" s="613"/>
      <c r="G960" s="613"/>
      <c r="H960" s="613"/>
      <c r="I960" s="613"/>
      <c r="J960" s="613"/>
      <c r="K960" s="613"/>
      <c r="L960" s="613"/>
      <c r="M960" s="613"/>
      <c r="N960" s="613"/>
      <c r="O960" s="613"/>
      <c r="P960" s="613"/>
      <c r="Q960" s="613"/>
      <c r="R960" s="613"/>
      <c r="S960" s="613"/>
      <c r="T960" s="613"/>
      <c r="U960" s="613"/>
      <c r="V960" s="613"/>
      <c r="W960" s="613"/>
      <c r="X960" s="613"/>
      <c r="Y960" s="613"/>
      <c r="Z960" s="613"/>
    </row>
    <row r="961" ht="15.75" customHeight="1">
      <c r="A961" s="613"/>
      <c r="B961" s="613"/>
      <c r="C961" s="613"/>
      <c r="D961" s="613"/>
      <c r="E961" s="613"/>
      <c r="F961" s="613"/>
      <c r="G961" s="613"/>
      <c r="H961" s="613"/>
      <c r="I961" s="613"/>
      <c r="J961" s="613"/>
      <c r="K961" s="613"/>
      <c r="L961" s="613"/>
      <c r="M961" s="613"/>
      <c r="N961" s="613"/>
      <c r="O961" s="613"/>
      <c r="P961" s="613"/>
      <c r="Q961" s="613"/>
      <c r="R961" s="613"/>
      <c r="S961" s="613"/>
      <c r="T961" s="613"/>
      <c r="U961" s="613"/>
      <c r="V961" s="613"/>
      <c r="W961" s="613"/>
      <c r="X961" s="613"/>
      <c r="Y961" s="613"/>
      <c r="Z961" s="613"/>
    </row>
    <row r="962" ht="15.75" customHeight="1">
      <c r="A962" s="613"/>
      <c r="B962" s="613"/>
      <c r="C962" s="613"/>
      <c r="D962" s="613"/>
      <c r="E962" s="613"/>
      <c r="F962" s="613"/>
      <c r="G962" s="613"/>
      <c r="H962" s="613"/>
      <c r="I962" s="613"/>
      <c r="J962" s="613"/>
      <c r="K962" s="613"/>
      <c r="L962" s="613"/>
      <c r="M962" s="613"/>
      <c r="N962" s="613"/>
      <c r="O962" s="613"/>
      <c r="P962" s="613"/>
      <c r="Q962" s="613"/>
      <c r="R962" s="613"/>
      <c r="S962" s="613"/>
      <c r="T962" s="613"/>
      <c r="U962" s="613"/>
      <c r="V962" s="613"/>
      <c r="W962" s="613"/>
      <c r="X962" s="613"/>
      <c r="Y962" s="613"/>
      <c r="Z962" s="613"/>
    </row>
    <row r="963" ht="15.75" customHeight="1">
      <c r="A963" s="613"/>
      <c r="B963" s="613"/>
      <c r="C963" s="613"/>
      <c r="D963" s="613"/>
      <c r="E963" s="613"/>
      <c r="F963" s="613"/>
      <c r="G963" s="613"/>
      <c r="H963" s="613"/>
      <c r="I963" s="613"/>
      <c r="J963" s="613"/>
      <c r="K963" s="613"/>
      <c r="L963" s="613"/>
      <c r="M963" s="613"/>
      <c r="N963" s="613"/>
      <c r="O963" s="613"/>
      <c r="P963" s="613"/>
      <c r="Q963" s="613"/>
      <c r="R963" s="613"/>
      <c r="S963" s="613"/>
      <c r="T963" s="613"/>
      <c r="U963" s="613"/>
      <c r="V963" s="613"/>
      <c r="W963" s="613"/>
      <c r="X963" s="613"/>
      <c r="Y963" s="613"/>
      <c r="Z963" s="613"/>
    </row>
    <row r="964" ht="15.75" customHeight="1">
      <c r="A964" s="613"/>
      <c r="B964" s="613"/>
      <c r="C964" s="613"/>
      <c r="D964" s="613"/>
      <c r="E964" s="613"/>
      <c r="F964" s="613"/>
      <c r="G964" s="613"/>
      <c r="H964" s="613"/>
      <c r="I964" s="613"/>
      <c r="J964" s="613"/>
      <c r="K964" s="613"/>
      <c r="L964" s="613"/>
      <c r="M964" s="613"/>
      <c r="N964" s="613"/>
      <c r="O964" s="613"/>
      <c r="P964" s="613"/>
      <c r="Q964" s="613"/>
      <c r="R964" s="613"/>
      <c r="S964" s="613"/>
      <c r="T964" s="613"/>
      <c r="U964" s="613"/>
      <c r="V964" s="613"/>
      <c r="W964" s="613"/>
      <c r="X964" s="613"/>
      <c r="Y964" s="613"/>
      <c r="Z964" s="613"/>
    </row>
    <row r="965" ht="15.75" customHeight="1">
      <c r="A965" s="613"/>
      <c r="B965" s="613"/>
      <c r="C965" s="613"/>
      <c r="D965" s="613"/>
      <c r="E965" s="613"/>
      <c r="F965" s="613"/>
      <c r="G965" s="613"/>
      <c r="H965" s="613"/>
      <c r="I965" s="613"/>
      <c r="J965" s="613"/>
      <c r="K965" s="613"/>
      <c r="L965" s="613"/>
      <c r="M965" s="613"/>
      <c r="N965" s="613"/>
      <c r="O965" s="613"/>
      <c r="P965" s="613"/>
      <c r="Q965" s="613"/>
      <c r="R965" s="613"/>
      <c r="S965" s="613"/>
      <c r="T965" s="613"/>
      <c r="U965" s="613"/>
      <c r="V965" s="613"/>
      <c r="W965" s="613"/>
      <c r="X965" s="613"/>
      <c r="Y965" s="613"/>
      <c r="Z965" s="613"/>
    </row>
    <row r="966" ht="15.75" customHeight="1">
      <c r="A966" s="613"/>
      <c r="B966" s="613"/>
      <c r="C966" s="613"/>
      <c r="D966" s="613"/>
      <c r="E966" s="613"/>
      <c r="F966" s="613"/>
      <c r="G966" s="613"/>
      <c r="H966" s="613"/>
      <c r="I966" s="613"/>
      <c r="J966" s="613"/>
      <c r="K966" s="613"/>
      <c r="L966" s="613"/>
      <c r="M966" s="613"/>
      <c r="N966" s="613"/>
      <c r="O966" s="613"/>
      <c r="P966" s="613"/>
      <c r="Q966" s="613"/>
      <c r="R966" s="613"/>
      <c r="S966" s="613"/>
      <c r="T966" s="613"/>
      <c r="U966" s="613"/>
      <c r="V966" s="613"/>
      <c r="W966" s="613"/>
      <c r="X966" s="613"/>
      <c r="Y966" s="613"/>
      <c r="Z966" s="613"/>
    </row>
    <row r="967" ht="15.75" customHeight="1">
      <c r="A967" s="613"/>
      <c r="B967" s="613"/>
      <c r="C967" s="613"/>
      <c r="D967" s="613"/>
      <c r="E967" s="613"/>
      <c r="F967" s="613"/>
      <c r="G967" s="613"/>
      <c r="H967" s="613"/>
      <c r="I967" s="613"/>
      <c r="J967" s="613"/>
      <c r="K967" s="613"/>
      <c r="L967" s="613"/>
      <c r="M967" s="613"/>
      <c r="N967" s="613"/>
      <c r="O967" s="613"/>
      <c r="P967" s="613"/>
      <c r="Q967" s="613"/>
      <c r="R967" s="613"/>
      <c r="S967" s="613"/>
      <c r="T967" s="613"/>
      <c r="U967" s="613"/>
      <c r="V967" s="613"/>
      <c r="W967" s="613"/>
      <c r="X967" s="613"/>
      <c r="Y967" s="613"/>
      <c r="Z967" s="613"/>
    </row>
    <row r="968" ht="15.75" customHeight="1">
      <c r="A968" s="613"/>
      <c r="B968" s="613"/>
      <c r="C968" s="613"/>
      <c r="D968" s="613"/>
      <c r="E968" s="613"/>
      <c r="F968" s="613"/>
      <c r="G968" s="613"/>
      <c r="H968" s="613"/>
      <c r="I968" s="613"/>
      <c r="J968" s="613"/>
      <c r="K968" s="613"/>
      <c r="L968" s="613"/>
      <c r="M968" s="613"/>
      <c r="N968" s="613"/>
      <c r="O968" s="613"/>
      <c r="P968" s="613"/>
      <c r="Q968" s="613"/>
      <c r="R968" s="613"/>
      <c r="S968" s="613"/>
      <c r="T968" s="613"/>
      <c r="U968" s="613"/>
      <c r="V968" s="613"/>
      <c r="W968" s="613"/>
      <c r="X968" s="613"/>
      <c r="Y968" s="613"/>
      <c r="Z968" s="613"/>
    </row>
    <row r="969" ht="15.75" customHeight="1">
      <c r="A969" s="613"/>
      <c r="B969" s="613"/>
      <c r="C969" s="613"/>
      <c r="D969" s="613"/>
      <c r="E969" s="613"/>
      <c r="F969" s="613"/>
      <c r="G969" s="613"/>
      <c r="H969" s="613"/>
      <c r="I969" s="613"/>
      <c r="J969" s="613"/>
      <c r="K969" s="613"/>
      <c r="L969" s="613"/>
      <c r="M969" s="613"/>
      <c r="N969" s="613"/>
      <c r="O969" s="613"/>
      <c r="P969" s="613"/>
      <c r="Q969" s="613"/>
      <c r="R969" s="613"/>
      <c r="S969" s="613"/>
      <c r="T969" s="613"/>
      <c r="U969" s="613"/>
      <c r="V969" s="613"/>
      <c r="W969" s="613"/>
      <c r="X969" s="613"/>
      <c r="Y969" s="613"/>
      <c r="Z969" s="613"/>
    </row>
    <row r="970" ht="15.75" customHeight="1">
      <c r="A970" s="613"/>
      <c r="B970" s="613"/>
      <c r="C970" s="613"/>
      <c r="D970" s="613"/>
      <c r="E970" s="613"/>
      <c r="F970" s="613"/>
      <c r="G970" s="613"/>
      <c r="H970" s="613"/>
      <c r="I970" s="613"/>
      <c r="J970" s="613"/>
      <c r="K970" s="613"/>
      <c r="L970" s="613"/>
      <c r="M970" s="613"/>
      <c r="N970" s="613"/>
      <c r="O970" s="613"/>
      <c r="P970" s="613"/>
      <c r="Q970" s="613"/>
      <c r="R970" s="613"/>
      <c r="S970" s="613"/>
      <c r="T970" s="613"/>
      <c r="U970" s="613"/>
      <c r="V970" s="613"/>
      <c r="W970" s="613"/>
      <c r="X970" s="613"/>
      <c r="Y970" s="613"/>
      <c r="Z970" s="613"/>
    </row>
    <row r="971" ht="15.75" customHeight="1">
      <c r="A971" s="613"/>
      <c r="B971" s="613"/>
      <c r="C971" s="613"/>
      <c r="D971" s="613"/>
      <c r="E971" s="613"/>
      <c r="F971" s="613"/>
      <c r="G971" s="613"/>
      <c r="H971" s="613"/>
      <c r="I971" s="613"/>
      <c r="J971" s="613"/>
      <c r="K971" s="613"/>
      <c r="L971" s="613"/>
      <c r="M971" s="613"/>
      <c r="N971" s="613"/>
      <c r="O971" s="613"/>
      <c r="P971" s="613"/>
      <c r="Q971" s="613"/>
      <c r="R971" s="613"/>
      <c r="S971" s="613"/>
      <c r="T971" s="613"/>
      <c r="U971" s="613"/>
      <c r="V971" s="613"/>
      <c r="W971" s="613"/>
      <c r="X971" s="613"/>
      <c r="Y971" s="613"/>
      <c r="Z971" s="613"/>
    </row>
    <row r="972" ht="15.75" customHeight="1">
      <c r="A972" s="613"/>
      <c r="B972" s="613"/>
      <c r="C972" s="613"/>
      <c r="D972" s="613"/>
      <c r="E972" s="613"/>
      <c r="F972" s="613"/>
      <c r="G972" s="613"/>
      <c r="H972" s="613"/>
      <c r="I972" s="613"/>
      <c r="J972" s="613"/>
      <c r="K972" s="613"/>
      <c r="L972" s="613"/>
      <c r="M972" s="613"/>
      <c r="N972" s="613"/>
      <c r="O972" s="613"/>
      <c r="P972" s="613"/>
      <c r="Q972" s="613"/>
      <c r="R972" s="613"/>
      <c r="S972" s="613"/>
      <c r="T972" s="613"/>
      <c r="U972" s="613"/>
      <c r="V972" s="613"/>
      <c r="W972" s="613"/>
      <c r="X972" s="613"/>
      <c r="Y972" s="613"/>
      <c r="Z972" s="613"/>
    </row>
    <row r="973" ht="15.75" customHeight="1">
      <c r="A973" s="613"/>
      <c r="B973" s="613"/>
      <c r="C973" s="613"/>
      <c r="D973" s="613"/>
      <c r="E973" s="613"/>
      <c r="F973" s="613"/>
      <c r="G973" s="613"/>
      <c r="H973" s="613"/>
      <c r="I973" s="613"/>
      <c r="J973" s="613"/>
      <c r="K973" s="613"/>
      <c r="L973" s="613"/>
      <c r="M973" s="613"/>
      <c r="N973" s="613"/>
      <c r="O973" s="613"/>
      <c r="P973" s="613"/>
      <c r="Q973" s="613"/>
      <c r="R973" s="613"/>
      <c r="S973" s="613"/>
      <c r="T973" s="613"/>
      <c r="U973" s="613"/>
      <c r="V973" s="613"/>
      <c r="W973" s="613"/>
      <c r="X973" s="613"/>
      <c r="Y973" s="613"/>
      <c r="Z973" s="613"/>
    </row>
    <row r="974" ht="15.75" customHeight="1">
      <c r="A974" s="613"/>
      <c r="B974" s="613"/>
      <c r="C974" s="613"/>
      <c r="D974" s="613"/>
      <c r="E974" s="613"/>
      <c r="F974" s="613"/>
      <c r="G974" s="613"/>
      <c r="H974" s="613"/>
      <c r="I974" s="613"/>
      <c r="J974" s="613"/>
      <c r="K974" s="613"/>
      <c r="L974" s="613"/>
      <c r="M974" s="613"/>
      <c r="N974" s="613"/>
      <c r="O974" s="613"/>
      <c r="P974" s="613"/>
      <c r="Q974" s="613"/>
      <c r="R974" s="613"/>
      <c r="S974" s="613"/>
      <c r="T974" s="613"/>
      <c r="U974" s="613"/>
      <c r="V974" s="613"/>
      <c r="W974" s="613"/>
      <c r="X974" s="613"/>
      <c r="Y974" s="613"/>
      <c r="Z974" s="613"/>
    </row>
    <row r="975" ht="15.75" customHeight="1">
      <c r="A975" s="613"/>
      <c r="B975" s="613"/>
      <c r="C975" s="613"/>
      <c r="D975" s="613"/>
      <c r="E975" s="613"/>
      <c r="F975" s="613"/>
      <c r="G975" s="613"/>
      <c r="H975" s="613"/>
      <c r="I975" s="613"/>
      <c r="J975" s="613"/>
      <c r="K975" s="613"/>
      <c r="L975" s="613"/>
      <c r="M975" s="613"/>
      <c r="N975" s="613"/>
      <c r="O975" s="613"/>
      <c r="P975" s="613"/>
      <c r="Q975" s="613"/>
      <c r="R975" s="613"/>
      <c r="S975" s="613"/>
      <c r="T975" s="613"/>
      <c r="U975" s="613"/>
      <c r="V975" s="613"/>
      <c r="W975" s="613"/>
      <c r="X975" s="613"/>
      <c r="Y975" s="613"/>
      <c r="Z975" s="613"/>
    </row>
    <row r="976" ht="15.75" customHeight="1">
      <c r="A976" s="613"/>
      <c r="B976" s="613"/>
      <c r="C976" s="613"/>
      <c r="D976" s="613"/>
      <c r="E976" s="613"/>
      <c r="F976" s="613"/>
      <c r="G976" s="613"/>
      <c r="H976" s="613"/>
      <c r="I976" s="613"/>
      <c r="J976" s="613"/>
      <c r="K976" s="613"/>
      <c r="L976" s="613"/>
      <c r="M976" s="613"/>
      <c r="N976" s="613"/>
      <c r="O976" s="613"/>
      <c r="P976" s="613"/>
      <c r="Q976" s="613"/>
      <c r="R976" s="613"/>
      <c r="S976" s="613"/>
      <c r="T976" s="613"/>
      <c r="U976" s="613"/>
      <c r="V976" s="613"/>
      <c r="W976" s="613"/>
      <c r="X976" s="613"/>
      <c r="Y976" s="613"/>
      <c r="Z976" s="613"/>
    </row>
    <row r="977" ht="15.75" customHeight="1">
      <c r="A977" s="613"/>
      <c r="B977" s="613"/>
      <c r="C977" s="613"/>
      <c r="D977" s="613"/>
      <c r="E977" s="613"/>
      <c r="F977" s="613"/>
      <c r="G977" s="613"/>
      <c r="H977" s="613"/>
      <c r="I977" s="613"/>
      <c r="J977" s="613"/>
      <c r="K977" s="613"/>
      <c r="L977" s="613"/>
      <c r="M977" s="613"/>
      <c r="N977" s="613"/>
      <c r="O977" s="613"/>
      <c r="P977" s="613"/>
      <c r="Q977" s="613"/>
      <c r="R977" s="613"/>
      <c r="S977" s="613"/>
      <c r="T977" s="613"/>
      <c r="U977" s="613"/>
      <c r="V977" s="613"/>
      <c r="W977" s="613"/>
      <c r="X977" s="613"/>
      <c r="Y977" s="613"/>
      <c r="Z977" s="613"/>
    </row>
    <row r="978" ht="15.75" customHeight="1">
      <c r="A978" s="613"/>
      <c r="B978" s="613"/>
      <c r="C978" s="613"/>
      <c r="D978" s="613"/>
      <c r="E978" s="613"/>
      <c r="F978" s="613"/>
      <c r="G978" s="613"/>
      <c r="H978" s="613"/>
      <c r="I978" s="613"/>
      <c r="J978" s="613"/>
      <c r="K978" s="613"/>
      <c r="L978" s="613"/>
      <c r="M978" s="613"/>
      <c r="N978" s="613"/>
      <c r="O978" s="613"/>
      <c r="P978" s="613"/>
      <c r="Q978" s="613"/>
      <c r="R978" s="613"/>
      <c r="S978" s="613"/>
      <c r="T978" s="613"/>
      <c r="U978" s="613"/>
      <c r="V978" s="613"/>
      <c r="W978" s="613"/>
      <c r="X978" s="613"/>
      <c r="Y978" s="613"/>
      <c r="Z978" s="613"/>
    </row>
    <row r="979" ht="15.75" customHeight="1">
      <c r="A979" s="613"/>
      <c r="B979" s="613"/>
      <c r="C979" s="613"/>
      <c r="D979" s="613"/>
      <c r="E979" s="613"/>
      <c r="F979" s="613"/>
      <c r="G979" s="613"/>
      <c r="H979" s="613"/>
      <c r="I979" s="613"/>
      <c r="J979" s="613"/>
      <c r="K979" s="613"/>
      <c r="L979" s="613"/>
      <c r="M979" s="613"/>
      <c r="N979" s="613"/>
      <c r="O979" s="613"/>
      <c r="P979" s="613"/>
      <c r="Q979" s="613"/>
      <c r="R979" s="613"/>
      <c r="S979" s="613"/>
      <c r="T979" s="613"/>
      <c r="U979" s="613"/>
      <c r="V979" s="613"/>
      <c r="W979" s="613"/>
      <c r="X979" s="613"/>
      <c r="Y979" s="613"/>
      <c r="Z979" s="613"/>
    </row>
    <row r="980" ht="15.75" customHeight="1">
      <c r="A980" s="613"/>
      <c r="B980" s="613"/>
      <c r="C980" s="613"/>
      <c r="D980" s="613"/>
      <c r="E980" s="613"/>
      <c r="F980" s="613"/>
      <c r="G980" s="613"/>
      <c r="H980" s="613"/>
      <c r="I980" s="613"/>
      <c r="J980" s="613"/>
      <c r="K980" s="613"/>
      <c r="L980" s="613"/>
      <c r="M980" s="613"/>
      <c r="N980" s="613"/>
      <c r="O980" s="613"/>
      <c r="P980" s="613"/>
      <c r="Q980" s="613"/>
      <c r="R980" s="613"/>
      <c r="S980" s="613"/>
      <c r="T980" s="613"/>
      <c r="U980" s="613"/>
      <c r="V980" s="613"/>
      <c r="W980" s="613"/>
      <c r="X980" s="613"/>
      <c r="Y980" s="613"/>
      <c r="Z980" s="613"/>
    </row>
    <row r="981" ht="15.75" customHeight="1">
      <c r="A981" s="613"/>
      <c r="B981" s="613"/>
      <c r="C981" s="613"/>
      <c r="D981" s="613"/>
      <c r="E981" s="613"/>
      <c r="F981" s="613"/>
      <c r="G981" s="613"/>
      <c r="H981" s="613"/>
      <c r="I981" s="613"/>
      <c r="J981" s="613"/>
      <c r="K981" s="613"/>
      <c r="L981" s="613"/>
      <c r="M981" s="613"/>
      <c r="N981" s="613"/>
      <c r="O981" s="613"/>
      <c r="P981" s="613"/>
      <c r="Q981" s="613"/>
      <c r="R981" s="613"/>
      <c r="S981" s="613"/>
      <c r="T981" s="613"/>
      <c r="U981" s="613"/>
      <c r="V981" s="613"/>
      <c r="W981" s="613"/>
      <c r="X981" s="613"/>
      <c r="Y981" s="613"/>
      <c r="Z981" s="613"/>
    </row>
    <row r="982" ht="15.75" customHeight="1">
      <c r="A982" s="613"/>
      <c r="B982" s="613"/>
      <c r="C982" s="613"/>
      <c r="D982" s="613"/>
      <c r="E982" s="613"/>
      <c r="F982" s="613"/>
      <c r="G982" s="613"/>
      <c r="H982" s="613"/>
      <c r="I982" s="613"/>
      <c r="J982" s="613"/>
      <c r="K982" s="613"/>
      <c r="L982" s="613"/>
      <c r="M982" s="613"/>
      <c r="N982" s="613"/>
      <c r="O982" s="613"/>
      <c r="P982" s="613"/>
      <c r="Q982" s="613"/>
      <c r="R982" s="613"/>
      <c r="S982" s="613"/>
      <c r="T982" s="613"/>
      <c r="U982" s="613"/>
      <c r="V982" s="613"/>
      <c r="W982" s="613"/>
      <c r="X982" s="613"/>
      <c r="Y982" s="613"/>
      <c r="Z982" s="613"/>
    </row>
    <row r="983" ht="15.75" customHeight="1">
      <c r="A983" s="613"/>
      <c r="B983" s="613"/>
      <c r="C983" s="613"/>
      <c r="D983" s="613"/>
      <c r="E983" s="613"/>
      <c r="F983" s="613"/>
      <c r="G983" s="613"/>
      <c r="H983" s="613"/>
      <c r="I983" s="613"/>
      <c r="J983" s="613"/>
      <c r="K983" s="613"/>
      <c r="L983" s="613"/>
      <c r="M983" s="613"/>
      <c r="N983" s="613"/>
      <c r="O983" s="613"/>
      <c r="P983" s="613"/>
      <c r="Q983" s="613"/>
      <c r="R983" s="613"/>
      <c r="S983" s="613"/>
      <c r="T983" s="613"/>
      <c r="U983" s="613"/>
      <c r="V983" s="613"/>
      <c r="W983" s="613"/>
      <c r="X983" s="613"/>
      <c r="Y983" s="613"/>
      <c r="Z983" s="613"/>
    </row>
    <row r="984" ht="15.75" customHeight="1">
      <c r="A984" s="613"/>
      <c r="B984" s="613"/>
      <c r="C984" s="613"/>
      <c r="D984" s="613"/>
      <c r="E984" s="613"/>
      <c r="F984" s="613"/>
      <c r="G984" s="613"/>
      <c r="H984" s="613"/>
      <c r="I984" s="613"/>
      <c r="J984" s="613"/>
      <c r="K984" s="613"/>
      <c r="L984" s="613"/>
      <c r="M984" s="613"/>
      <c r="N984" s="613"/>
      <c r="O984" s="613"/>
      <c r="P984" s="613"/>
      <c r="Q984" s="613"/>
      <c r="R984" s="613"/>
      <c r="S984" s="613"/>
      <c r="T984" s="613"/>
      <c r="U984" s="613"/>
      <c r="V984" s="613"/>
      <c r="W984" s="613"/>
      <c r="X984" s="613"/>
      <c r="Y984" s="613"/>
      <c r="Z984" s="613"/>
    </row>
    <row r="985" ht="15.75" customHeight="1">
      <c r="A985" s="613"/>
      <c r="B985" s="613"/>
      <c r="C985" s="613"/>
      <c r="D985" s="613"/>
      <c r="E985" s="613"/>
      <c r="F985" s="613"/>
      <c r="G985" s="613"/>
      <c r="H985" s="613"/>
      <c r="I985" s="613"/>
      <c r="J985" s="613"/>
      <c r="K985" s="613"/>
      <c r="L985" s="613"/>
      <c r="M985" s="613"/>
      <c r="N985" s="613"/>
      <c r="O985" s="613"/>
      <c r="P985" s="613"/>
      <c r="Q985" s="613"/>
      <c r="R985" s="613"/>
      <c r="S985" s="613"/>
      <c r="T985" s="613"/>
      <c r="U985" s="613"/>
      <c r="V985" s="613"/>
      <c r="W985" s="613"/>
      <c r="X985" s="613"/>
      <c r="Y985" s="613"/>
      <c r="Z985" s="613"/>
    </row>
    <row r="986" ht="15.75" customHeight="1">
      <c r="A986" s="613"/>
      <c r="B986" s="613"/>
      <c r="C986" s="613"/>
      <c r="D986" s="613"/>
      <c r="E986" s="613"/>
      <c r="F986" s="613"/>
      <c r="G986" s="613"/>
      <c r="H986" s="613"/>
      <c r="I986" s="613"/>
      <c r="J986" s="613"/>
      <c r="K986" s="613"/>
      <c r="L986" s="613"/>
      <c r="M986" s="613"/>
      <c r="N986" s="613"/>
      <c r="O986" s="613"/>
      <c r="P986" s="613"/>
      <c r="Q986" s="613"/>
      <c r="R986" s="613"/>
      <c r="S986" s="613"/>
      <c r="T986" s="613"/>
      <c r="U986" s="613"/>
      <c r="V986" s="613"/>
      <c r="W986" s="613"/>
      <c r="X986" s="613"/>
      <c r="Y986" s="613"/>
      <c r="Z986" s="613"/>
    </row>
    <row r="987" ht="15.75" customHeight="1">
      <c r="A987" s="613"/>
      <c r="B987" s="613"/>
      <c r="C987" s="613"/>
      <c r="D987" s="613"/>
      <c r="E987" s="613"/>
      <c r="F987" s="613"/>
      <c r="G987" s="613"/>
      <c r="H987" s="613"/>
      <c r="I987" s="613"/>
      <c r="J987" s="613"/>
      <c r="K987" s="613"/>
      <c r="L987" s="613"/>
      <c r="M987" s="613"/>
      <c r="N987" s="613"/>
      <c r="O987" s="613"/>
      <c r="P987" s="613"/>
      <c r="Q987" s="613"/>
      <c r="R987" s="613"/>
      <c r="S987" s="613"/>
      <c r="T987" s="613"/>
      <c r="U987" s="613"/>
      <c r="V987" s="613"/>
      <c r="W987" s="613"/>
      <c r="X987" s="613"/>
      <c r="Y987" s="613"/>
      <c r="Z987" s="613"/>
    </row>
    <row r="988" ht="15.75" customHeight="1">
      <c r="A988" s="613"/>
      <c r="B988" s="613"/>
      <c r="C988" s="613"/>
      <c r="D988" s="613"/>
      <c r="E988" s="613"/>
      <c r="F988" s="613"/>
      <c r="G988" s="613"/>
      <c r="H988" s="613"/>
      <c r="I988" s="613"/>
      <c r="J988" s="613"/>
      <c r="K988" s="613"/>
      <c r="L988" s="613"/>
      <c r="M988" s="613"/>
      <c r="N988" s="613"/>
      <c r="O988" s="613"/>
      <c r="P988" s="613"/>
      <c r="Q988" s="613"/>
      <c r="R988" s="613"/>
      <c r="S988" s="613"/>
      <c r="T988" s="613"/>
      <c r="U988" s="613"/>
      <c r="V988" s="613"/>
      <c r="W988" s="613"/>
      <c r="X988" s="613"/>
      <c r="Y988" s="613"/>
      <c r="Z988" s="613"/>
    </row>
    <row r="989" ht="15.75" customHeight="1">
      <c r="A989" s="613"/>
      <c r="B989" s="613"/>
      <c r="C989" s="613"/>
      <c r="D989" s="613"/>
      <c r="E989" s="613"/>
      <c r="F989" s="613"/>
      <c r="G989" s="613"/>
      <c r="H989" s="613"/>
      <c r="I989" s="613"/>
      <c r="J989" s="613"/>
      <c r="K989" s="613"/>
      <c r="L989" s="613"/>
      <c r="M989" s="613"/>
      <c r="N989" s="613"/>
      <c r="O989" s="613"/>
      <c r="P989" s="613"/>
      <c r="Q989" s="613"/>
      <c r="R989" s="613"/>
      <c r="S989" s="613"/>
      <c r="T989" s="613"/>
      <c r="U989" s="613"/>
      <c r="V989" s="613"/>
      <c r="W989" s="613"/>
      <c r="X989" s="613"/>
      <c r="Y989" s="613"/>
      <c r="Z989" s="613"/>
    </row>
    <row r="990" ht="15.75" customHeight="1">
      <c r="A990" s="613"/>
      <c r="B990" s="613"/>
      <c r="C990" s="613"/>
      <c r="D990" s="613"/>
      <c r="E990" s="613"/>
      <c r="F990" s="613"/>
      <c r="G990" s="613"/>
      <c r="H990" s="613"/>
      <c r="I990" s="613"/>
      <c r="J990" s="613"/>
      <c r="K990" s="613"/>
      <c r="L990" s="613"/>
      <c r="M990" s="613"/>
      <c r="N990" s="613"/>
      <c r="O990" s="613"/>
      <c r="P990" s="613"/>
      <c r="Q990" s="613"/>
      <c r="R990" s="613"/>
      <c r="S990" s="613"/>
      <c r="T990" s="613"/>
      <c r="U990" s="613"/>
      <c r="V990" s="613"/>
      <c r="W990" s="613"/>
      <c r="X990" s="613"/>
      <c r="Y990" s="613"/>
      <c r="Z990" s="613"/>
    </row>
    <row r="991" ht="15.75" customHeight="1">
      <c r="A991" s="613"/>
      <c r="B991" s="613"/>
      <c r="C991" s="613"/>
      <c r="D991" s="613"/>
      <c r="E991" s="613"/>
      <c r="F991" s="613"/>
      <c r="G991" s="613"/>
      <c r="H991" s="613"/>
      <c r="I991" s="613"/>
      <c r="J991" s="613"/>
      <c r="K991" s="613"/>
      <c r="L991" s="613"/>
      <c r="M991" s="613"/>
      <c r="N991" s="613"/>
      <c r="O991" s="613"/>
      <c r="P991" s="613"/>
      <c r="Q991" s="613"/>
      <c r="R991" s="613"/>
      <c r="S991" s="613"/>
      <c r="T991" s="613"/>
      <c r="U991" s="613"/>
      <c r="V991" s="613"/>
      <c r="W991" s="613"/>
      <c r="X991" s="613"/>
      <c r="Y991" s="613"/>
      <c r="Z991" s="613"/>
    </row>
    <row r="992" ht="15.75" customHeight="1">
      <c r="A992" s="613"/>
      <c r="B992" s="613"/>
      <c r="C992" s="613"/>
      <c r="D992" s="613"/>
      <c r="E992" s="613"/>
      <c r="F992" s="613"/>
      <c r="G992" s="613"/>
      <c r="H992" s="613"/>
      <c r="I992" s="613"/>
      <c r="J992" s="613"/>
      <c r="K992" s="613"/>
      <c r="L992" s="613"/>
      <c r="M992" s="613"/>
      <c r="N992" s="613"/>
      <c r="O992" s="613"/>
      <c r="P992" s="613"/>
      <c r="Q992" s="613"/>
      <c r="R992" s="613"/>
      <c r="S992" s="613"/>
      <c r="T992" s="613"/>
      <c r="U992" s="613"/>
      <c r="V992" s="613"/>
      <c r="W992" s="613"/>
      <c r="X992" s="613"/>
      <c r="Y992" s="613"/>
      <c r="Z992" s="613"/>
    </row>
    <row r="993" ht="15.75" customHeight="1">
      <c r="A993" s="613"/>
      <c r="B993" s="613"/>
      <c r="C993" s="613"/>
      <c r="D993" s="613"/>
      <c r="E993" s="613"/>
      <c r="F993" s="613"/>
      <c r="G993" s="613"/>
      <c r="H993" s="613"/>
      <c r="I993" s="613"/>
      <c r="J993" s="613"/>
      <c r="K993" s="613"/>
      <c r="L993" s="613"/>
      <c r="M993" s="613"/>
      <c r="N993" s="613"/>
      <c r="O993" s="613"/>
      <c r="P993" s="613"/>
      <c r="Q993" s="613"/>
      <c r="R993" s="613"/>
      <c r="S993" s="613"/>
      <c r="T993" s="613"/>
      <c r="U993" s="613"/>
      <c r="V993" s="613"/>
      <c r="W993" s="613"/>
      <c r="X993" s="613"/>
      <c r="Y993" s="613"/>
      <c r="Z993" s="613"/>
    </row>
    <row r="994" ht="15.75" customHeight="1">
      <c r="A994" s="613"/>
      <c r="B994" s="613"/>
      <c r="C994" s="613"/>
      <c r="D994" s="613"/>
      <c r="E994" s="613"/>
      <c r="F994" s="613"/>
      <c r="G994" s="613"/>
      <c r="H994" s="613"/>
      <c r="I994" s="613"/>
      <c r="J994" s="613"/>
      <c r="K994" s="613"/>
      <c r="L994" s="613"/>
      <c r="M994" s="613"/>
      <c r="N994" s="613"/>
      <c r="O994" s="613"/>
      <c r="P994" s="613"/>
      <c r="Q994" s="613"/>
      <c r="R994" s="613"/>
      <c r="S994" s="613"/>
      <c r="T994" s="613"/>
      <c r="U994" s="613"/>
      <c r="V994" s="613"/>
      <c r="W994" s="613"/>
      <c r="X994" s="613"/>
      <c r="Y994" s="613"/>
      <c r="Z994" s="613"/>
    </row>
    <row r="995" ht="15.75" customHeight="1">
      <c r="A995" s="613"/>
      <c r="B995" s="613"/>
      <c r="C995" s="613"/>
      <c r="D995" s="613"/>
      <c r="E995" s="613"/>
      <c r="F995" s="613"/>
      <c r="G995" s="613"/>
      <c r="H995" s="613"/>
      <c r="I995" s="613"/>
      <c r="J995" s="613"/>
      <c r="K995" s="613"/>
      <c r="L995" s="613"/>
      <c r="M995" s="613"/>
      <c r="N995" s="613"/>
      <c r="O995" s="613"/>
      <c r="P995" s="613"/>
      <c r="Q995" s="613"/>
      <c r="R995" s="613"/>
      <c r="S995" s="613"/>
      <c r="T995" s="613"/>
      <c r="U995" s="613"/>
      <c r="V995" s="613"/>
      <c r="W995" s="613"/>
      <c r="X995" s="613"/>
      <c r="Y995" s="613"/>
      <c r="Z995" s="613"/>
    </row>
    <row r="996" ht="15.75" customHeight="1">
      <c r="A996" s="613"/>
      <c r="B996" s="613"/>
      <c r="C996" s="613"/>
      <c r="D996" s="613"/>
      <c r="E996" s="613"/>
      <c r="F996" s="613"/>
      <c r="G996" s="613"/>
      <c r="H996" s="613"/>
      <c r="I996" s="613"/>
      <c r="J996" s="613"/>
      <c r="K996" s="613"/>
      <c r="L996" s="613"/>
      <c r="M996" s="613"/>
      <c r="N996" s="613"/>
      <c r="O996" s="613"/>
      <c r="P996" s="613"/>
      <c r="Q996" s="613"/>
      <c r="R996" s="613"/>
      <c r="S996" s="613"/>
      <c r="T996" s="613"/>
      <c r="U996" s="613"/>
      <c r="V996" s="613"/>
      <c r="W996" s="613"/>
      <c r="X996" s="613"/>
      <c r="Y996" s="613"/>
      <c r="Z996" s="613"/>
    </row>
    <row r="997" ht="15.75" customHeight="1">
      <c r="A997" s="613"/>
      <c r="B997" s="613"/>
      <c r="C997" s="613"/>
      <c r="D997" s="613"/>
      <c r="E997" s="613"/>
      <c r="F997" s="613"/>
      <c r="G997" s="613"/>
      <c r="H997" s="613"/>
      <c r="I997" s="613"/>
      <c r="J997" s="613"/>
      <c r="K997" s="613"/>
      <c r="L997" s="613"/>
      <c r="M997" s="613"/>
      <c r="N997" s="613"/>
      <c r="O997" s="613"/>
      <c r="P997" s="613"/>
      <c r="Q997" s="613"/>
      <c r="R997" s="613"/>
      <c r="S997" s="613"/>
      <c r="T997" s="613"/>
      <c r="U997" s="613"/>
      <c r="V997" s="613"/>
      <c r="W997" s="613"/>
      <c r="X997" s="613"/>
      <c r="Y997" s="613"/>
      <c r="Z997" s="613"/>
    </row>
    <row r="998" ht="15.75" customHeight="1">
      <c r="A998" s="613"/>
      <c r="B998" s="613"/>
      <c r="C998" s="613"/>
      <c r="D998" s="613"/>
      <c r="E998" s="613"/>
      <c r="F998" s="613"/>
      <c r="G998" s="613"/>
      <c r="H998" s="613"/>
      <c r="I998" s="613"/>
      <c r="J998" s="613"/>
      <c r="K998" s="613"/>
      <c r="L998" s="613"/>
      <c r="M998" s="613"/>
      <c r="N998" s="613"/>
      <c r="O998" s="613"/>
      <c r="P998" s="613"/>
      <c r="Q998" s="613"/>
      <c r="R998" s="613"/>
      <c r="S998" s="613"/>
      <c r="T998" s="613"/>
      <c r="U998" s="613"/>
      <c r="V998" s="613"/>
      <c r="W998" s="613"/>
      <c r="X998" s="613"/>
      <c r="Y998" s="613"/>
      <c r="Z998" s="613"/>
    </row>
    <row r="999" ht="15.75" customHeight="1">
      <c r="A999" s="613"/>
      <c r="B999" s="613"/>
      <c r="C999" s="613"/>
      <c r="D999" s="613"/>
      <c r="E999" s="613"/>
      <c r="F999" s="613"/>
      <c r="G999" s="613"/>
      <c r="H999" s="613"/>
      <c r="I999" s="613"/>
      <c r="J999" s="613"/>
      <c r="K999" s="613"/>
      <c r="L999" s="613"/>
      <c r="M999" s="613"/>
      <c r="N999" s="613"/>
      <c r="O999" s="613"/>
      <c r="P999" s="613"/>
      <c r="Q999" s="613"/>
      <c r="R999" s="613"/>
      <c r="S999" s="613"/>
      <c r="T999" s="613"/>
      <c r="U999" s="613"/>
      <c r="V999" s="613"/>
      <c r="W999" s="613"/>
      <c r="X999" s="613"/>
      <c r="Y999" s="613"/>
      <c r="Z999" s="613"/>
    </row>
    <row r="1000" ht="15.75" customHeight="1">
      <c r="A1000" s="613"/>
      <c r="B1000" s="613"/>
      <c r="C1000" s="613"/>
      <c r="D1000" s="613"/>
      <c r="E1000" s="613"/>
      <c r="F1000" s="613"/>
      <c r="G1000" s="613"/>
      <c r="H1000" s="613"/>
      <c r="I1000" s="613"/>
      <c r="J1000" s="613"/>
      <c r="K1000" s="613"/>
      <c r="L1000" s="613"/>
      <c r="M1000" s="613"/>
      <c r="N1000" s="613"/>
      <c r="O1000" s="613"/>
      <c r="P1000" s="613"/>
      <c r="Q1000" s="613"/>
      <c r="R1000" s="613"/>
      <c r="S1000" s="613"/>
      <c r="T1000" s="613"/>
      <c r="U1000" s="613"/>
      <c r="V1000" s="613"/>
      <c r="W1000" s="613"/>
      <c r="X1000" s="613"/>
      <c r="Y1000" s="613"/>
      <c r="Z1000" s="613"/>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57"/>
    <col customWidth="1" min="2" max="2" width="28.0"/>
    <col customWidth="1" min="3" max="3" width="17.71"/>
    <col customWidth="1" min="4" max="4" width="14.0"/>
    <col customWidth="1" min="5" max="5" width="14.43"/>
    <col customWidth="1" min="6" max="6" width="26.43"/>
    <col customWidth="1" min="7" max="7" width="14.0"/>
    <col customWidth="1" min="8" max="8" width="8.71"/>
    <col customWidth="1" min="9" max="9" width="16.57"/>
    <col customWidth="1" min="10" max="10" width="18.57"/>
    <col customWidth="1" min="11" max="26" width="8.71"/>
  </cols>
  <sheetData>
    <row r="1">
      <c r="A1" s="615" t="s">
        <v>5126</v>
      </c>
      <c r="B1" s="615" t="s">
        <v>5127</v>
      </c>
      <c r="C1" s="615" t="s">
        <v>5128</v>
      </c>
      <c r="D1" s="615" t="s">
        <v>5129</v>
      </c>
      <c r="E1" s="615" t="s">
        <v>5130</v>
      </c>
      <c r="F1" s="615" t="s">
        <v>5131</v>
      </c>
      <c r="G1" s="615" t="s">
        <v>5132</v>
      </c>
      <c r="H1" s="615" t="s">
        <v>5133</v>
      </c>
      <c r="I1" s="615" t="s">
        <v>5134</v>
      </c>
      <c r="J1" s="615" t="s">
        <v>5135</v>
      </c>
    </row>
    <row r="2">
      <c r="A2" s="616" t="s">
        <v>5136</v>
      </c>
      <c r="B2" s="616" t="s">
        <v>5137</v>
      </c>
      <c r="C2" s="616" t="s">
        <v>5138</v>
      </c>
      <c r="E2" s="616" t="s">
        <v>5139</v>
      </c>
      <c r="F2" s="617" t="s">
        <v>5140</v>
      </c>
      <c r="J2" s="616" t="s">
        <v>5141</v>
      </c>
    </row>
    <row r="3">
      <c r="A3" s="618"/>
      <c r="B3" s="618"/>
      <c r="C3" s="619"/>
      <c r="D3" s="620"/>
      <c r="E3" s="619"/>
      <c r="F3" s="621" t="s">
        <v>5142</v>
      </c>
      <c r="G3" s="620"/>
      <c r="H3" s="620"/>
      <c r="I3" s="620"/>
      <c r="J3" s="619"/>
    </row>
    <row r="4">
      <c r="A4" s="622">
        <v>1.0</v>
      </c>
      <c r="B4" s="622" t="s">
        <v>1843</v>
      </c>
      <c r="C4" s="622" t="s">
        <v>5143</v>
      </c>
      <c r="D4" s="622" t="s">
        <v>5144</v>
      </c>
      <c r="E4" s="622" t="s">
        <v>5145</v>
      </c>
      <c r="F4" s="622" t="s">
        <v>5146</v>
      </c>
      <c r="G4" s="623"/>
      <c r="H4" s="623"/>
      <c r="I4" s="623"/>
      <c r="J4" s="623"/>
    </row>
    <row r="5">
      <c r="A5" s="624">
        <v>2.0</v>
      </c>
      <c r="B5" s="624" t="s">
        <v>1852</v>
      </c>
      <c r="C5" s="624" t="s">
        <v>5143</v>
      </c>
      <c r="D5" s="624" t="s">
        <v>5147</v>
      </c>
      <c r="E5" s="624" t="s">
        <v>5145</v>
      </c>
      <c r="F5" s="624" t="s">
        <v>5148</v>
      </c>
      <c r="G5" s="625"/>
      <c r="H5" s="625"/>
      <c r="I5" s="625"/>
      <c r="J5" s="625"/>
    </row>
    <row r="6">
      <c r="A6" s="622">
        <v>3.0</v>
      </c>
      <c r="B6" s="626" t="s">
        <v>2018</v>
      </c>
      <c r="C6" s="622" t="s">
        <v>5143</v>
      </c>
      <c r="D6" s="622" t="s">
        <v>5147</v>
      </c>
      <c r="E6" s="622" t="s">
        <v>5145</v>
      </c>
      <c r="F6" s="622" t="s">
        <v>5149</v>
      </c>
      <c r="G6" s="623"/>
      <c r="H6" s="623"/>
      <c r="I6" s="623"/>
      <c r="J6" s="623"/>
    </row>
    <row r="7">
      <c r="A7" s="624">
        <v>4.0</v>
      </c>
      <c r="B7" s="627" t="s">
        <v>1906</v>
      </c>
      <c r="C7" s="624" t="s">
        <v>5143</v>
      </c>
      <c r="D7" s="624" t="s">
        <v>5147</v>
      </c>
      <c r="E7" s="624"/>
      <c r="F7" s="624"/>
      <c r="G7" s="625"/>
      <c r="H7" s="625"/>
      <c r="I7" s="625"/>
      <c r="J7" s="625"/>
    </row>
    <row r="8">
      <c r="A8" s="622">
        <v>5.0</v>
      </c>
      <c r="B8" s="622" t="s">
        <v>5150</v>
      </c>
      <c r="C8" s="622" t="s">
        <v>5143</v>
      </c>
      <c r="D8" s="622" t="s">
        <v>5144</v>
      </c>
      <c r="E8" s="622" t="s">
        <v>5151</v>
      </c>
      <c r="F8" s="622" t="s">
        <v>5152</v>
      </c>
      <c r="G8" s="623"/>
      <c r="H8" s="623"/>
      <c r="I8" s="623"/>
      <c r="J8" s="623"/>
    </row>
    <row r="9">
      <c r="A9" s="628">
        <v>6.0</v>
      </c>
      <c r="B9" s="628" t="s">
        <v>5153</v>
      </c>
      <c r="C9" s="628" t="s">
        <v>5143</v>
      </c>
      <c r="D9" s="628" t="s">
        <v>5144</v>
      </c>
      <c r="E9" s="628" t="s">
        <v>5151</v>
      </c>
      <c r="F9" s="628" t="s">
        <v>5154</v>
      </c>
      <c r="G9" s="629"/>
      <c r="H9" s="629"/>
      <c r="I9" s="629"/>
      <c r="J9" s="62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1:D3"/>
    <mergeCell ref="G1:G3"/>
    <mergeCell ref="H1:H3"/>
    <mergeCell ref="I1:I3"/>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57"/>
    <col customWidth="1" min="2" max="2" width="57.43"/>
    <col customWidth="1" min="3" max="3" width="15.43"/>
    <col customWidth="1" min="4" max="4" width="24.43"/>
    <col customWidth="1" min="5" max="5" width="25.43"/>
    <col customWidth="1" min="6" max="6" width="24.43"/>
    <col customWidth="1" min="7" max="7" width="58.57"/>
    <col customWidth="1" min="8" max="26" width="9.43"/>
  </cols>
  <sheetData>
    <row r="1" ht="11.25" customHeight="1">
      <c r="A1" s="630" t="s">
        <v>5155</v>
      </c>
      <c r="B1" s="631" t="s">
        <v>5156</v>
      </c>
      <c r="C1" s="631" t="s">
        <v>7</v>
      </c>
      <c r="D1" s="631" t="s">
        <v>20</v>
      </c>
      <c r="E1" s="631" t="s">
        <v>27</v>
      </c>
      <c r="F1" s="631" t="s">
        <v>34</v>
      </c>
      <c r="G1" s="632" t="s">
        <v>5157</v>
      </c>
      <c r="H1" s="633"/>
      <c r="I1" s="633"/>
      <c r="J1" s="633"/>
      <c r="K1" s="633"/>
      <c r="L1" s="633"/>
      <c r="M1" s="633"/>
      <c r="N1" s="633"/>
      <c r="O1" s="633"/>
      <c r="P1" s="633"/>
      <c r="Q1" s="633"/>
      <c r="R1" s="633"/>
      <c r="S1" s="633"/>
      <c r="T1" s="633"/>
      <c r="U1" s="633"/>
      <c r="V1" s="633"/>
      <c r="W1" s="633"/>
      <c r="X1" s="633"/>
      <c r="Y1" s="633"/>
      <c r="Z1" s="633"/>
    </row>
    <row r="2" ht="11.25" customHeight="1">
      <c r="A2" s="634" t="s">
        <v>1808</v>
      </c>
      <c r="B2" s="635" t="s">
        <v>5158</v>
      </c>
      <c r="C2" s="635" t="s">
        <v>5159</v>
      </c>
      <c r="D2" s="635" t="s">
        <v>5159</v>
      </c>
      <c r="E2" s="635" t="s">
        <v>5159</v>
      </c>
      <c r="F2" s="635" t="s">
        <v>5159</v>
      </c>
      <c r="G2" s="636" t="s">
        <v>5160</v>
      </c>
      <c r="H2" s="637"/>
      <c r="I2" s="637"/>
      <c r="J2" s="637"/>
      <c r="K2" s="637"/>
      <c r="L2" s="637"/>
      <c r="M2" s="637"/>
      <c r="N2" s="637"/>
      <c r="O2" s="637"/>
      <c r="P2" s="637"/>
      <c r="Q2" s="637"/>
      <c r="R2" s="637"/>
      <c r="S2" s="637"/>
      <c r="T2" s="637"/>
      <c r="U2" s="637"/>
      <c r="V2" s="637"/>
      <c r="W2" s="637"/>
      <c r="X2" s="637"/>
      <c r="Y2" s="637"/>
      <c r="Z2" s="637"/>
    </row>
    <row r="3" ht="11.25" customHeight="1">
      <c r="A3" s="634" t="s">
        <v>5161</v>
      </c>
      <c r="B3" s="635" t="s">
        <v>5162</v>
      </c>
      <c r="C3" s="635" t="s">
        <v>5159</v>
      </c>
      <c r="D3" s="635" t="s">
        <v>5159</v>
      </c>
      <c r="E3" s="635" t="s">
        <v>5159</v>
      </c>
      <c r="F3" s="635" t="s">
        <v>5159</v>
      </c>
      <c r="G3" s="636" t="s">
        <v>5163</v>
      </c>
      <c r="H3" s="637"/>
      <c r="I3" s="637"/>
      <c r="J3" s="637"/>
      <c r="K3" s="637"/>
      <c r="L3" s="637"/>
      <c r="M3" s="637"/>
      <c r="N3" s="637"/>
      <c r="O3" s="637"/>
      <c r="P3" s="637"/>
      <c r="Q3" s="637"/>
      <c r="R3" s="637"/>
      <c r="S3" s="637"/>
      <c r="T3" s="637"/>
      <c r="U3" s="637"/>
      <c r="V3" s="637"/>
      <c r="W3" s="637"/>
      <c r="X3" s="637"/>
      <c r="Y3" s="637"/>
      <c r="Z3" s="637"/>
    </row>
    <row r="4" ht="11.25" customHeight="1">
      <c r="A4" s="634" t="s">
        <v>5164</v>
      </c>
      <c r="B4" s="635" t="s">
        <v>5165</v>
      </c>
      <c r="C4" s="635" t="s">
        <v>5159</v>
      </c>
      <c r="D4" s="635" t="s">
        <v>5159</v>
      </c>
      <c r="E4" s="635" t="s">
        <v>5159</v>
      </c>
      <c r="F4" s="635" t="s">
        <v>5159</v>
      </c>
      <c r="G4" s="636" t="s">
        <v>5163</v>
      </c>
      <c r="H4" s="637"/>
      <c r="I4" s="637"/>
      <c r="J4" s="637"/>
      <c r="K4" s="637"/>
      <c r="L4" s="637"/>
      <c r="M4" s="637"/>
      <c r="N4" s="637"/>
      <c r="O4" s="637"/>
      <c r="P4" s="637"/>
      <c r="Q4" s="637"/>
      <c r="R4" s="637"/>
      <c r="S4" s="637"/>
      <c r="T4" s="637"/>
      <c r="U4" s="637"/>
      <c r="V4" s="637"/>
      <c r="W4" s="637"/>
      <c r="X4" s="637"/>
      <c r="Y4" s="637"/>
      <c r="Z4" s="637"/>
    </row>
    <row r="5" ht="61.5" customHeight="1">
      <c r="A5" s="634" t="s">
        <v>5166</v>
      </c>
      <c r="B5" s="635" t="s">
        <v>5167</v>
      </c>
      <c r="C5" s="635" t="s">
        <v>5159</v>
      </c>
      <c r="D5" s="635" t="s">
        <v>5159</v>
      </c>
      <c r="E5" s="635" t="s">
        <v>5159</v>
      </c>
      <c r="F5" s="635" t="s">
        <v>5159</v>
      </c>
      <c r="G5" s="636" t="s">
        <v>5168</v>
      </c>
      <c r="H5" s="637"/>
      <c r="I5" s="637"/>
      <c r="J5" s="637"/>
      <c r="K5" s="637"/>
      <c r="L5" s="637"/>
      <c r="M5" s="637"/>
      <c r="N5" s="637"/>
      <c r="O5" s="637"/>
      <c r="P5" s="637"/>
      <c r="Q5" s="637"/>
      <c r="R5" s="637"/>
      <c r="S5" s="637"/>
      <c r="T5" s="637"/>
      <c r="U5" s="637"/>
      <c r="V5" s="637"/>
      <c r="W5" s="637"/>
      <c r="X5" s="637"/>
      <c r="Y5" s="637"/>
      <c r="Z5" s="637"/>
    </row>
    <row r="6" ht="11.25" customHeight="1">
      <c r="A6" s="634" t="s">
        <v>5169</v>
      </c>
      <c r="B6" s="635" t="s">
        <v>5170</v>
      </c>
      <c r="C6" s="635" t="s">
        <v>5159</v>
      </c>
      <c r="D6" s="635" t="s">
        <v>5159</v>
      </c>
      <c r="E6" s="635" t="s">
        <v>5159</v>
      </c>
      <c r="F6" s="635" t="s">
        <v>5159</v>
      </c>
      <c r="G6" s="636" t="s">
        <v>5171</v>
      </c>
      <c r="H6" s="637"/>
      <c r="I6" s="637"/>
      <c r="J6" s="637"/>
      <c r="K6" s="637"/>
      <c r="L6" s="637"/>
      <c r="M6" s="637"/>
      <c r="N6" s="637"/>
      <c r="O6" s="637"/>
      <c r="P6" s="637"/>
      <c r="Q6" s="637"/>
      <c r="R6" s="637"/>
      <c r="S6" s="637"/>
      <c r="T6" s="637"/>
      <c r="U6" s="637"/>
      <c r="V6" s="637"/>
      <c r="W6" s="637"/>
      <c r="X6" s="637"/>
      <c r="Y6" s="637"/>
      <c r="Z6" s="637"/>
    </row>
    <row r="7" ht="11.25" customHeight="1">
      <c r="A7" s="634" t="s">
        <v>5172</v>
      </c>
      <c r="B7" s="635" t="s">
        <v>5173</v>
      </c>
      <c r="C7" s="635" t="s">
        <v>5174</v>
      </c>
      <c r="D7" s="635" t="s">
        <v>5175</v>
      </c>
      <c r="E7" s="635" t="s">
        <v>5176</v>
      </c>
      <c r="F7" s="635" t="s">
        <v>5177</v>
      </c>
      <c r="G7" s="636" t="s">
        <v>5178</v>
      </c>
      <c r="H7" s="637"/>
      <c r="I7" s="637"/>
      <c r="J7" s="637"/>
      <c r="K7" s="637"/>
      <c r="L7" s="637"/>
      <c r="M7" s="637"/>
      <c r="N7" s="637"/>
      <c r="O7" s="637"/>
      <c r="P7" s="637"/>
      <c r="Q7" s="637"/>
      <c r="R7" s="637"/>
      <c r="S7" s="637"/>
      <c r="T7" s="637"/>
      <c r="U7" s="637"/>
      <c r="V7" s="637"/>
      <c r="W7" s="637"/>
      <c r="X7" s="637"/>
      <c r="Y7" s="637"/>
      <c r="Z7" s="637"/>
    </row>
    <row r="8" ht="11.25" customHeight="1">
      <c r="A8" s="634" t="s">
        <v>5179</v>
      </c>
      <c r="B8" s="635" t="s">
        <v>5180</v>
      </c>
      <c r="C8" s="635" t="s">
        <v>1844</v>
      </c>
      <c r="D8" s="635" t="s">
        <v>5181</v>
      </c>
      <c r="E8" s="635" t="s">
        <v>5182</v>
      </c>
      <c r="F8" s="635" t="s">
        <v>5183</v>
      </c>
      <c r="G8" s="636" t="s">
        <v>5184</v>
      </c>
      <c r="H8" s="637"/>
      <c r="I8" s="637"/>
      <c r="J8" s="637"/>
      <c r="K8" s="637"/>
      <c r="L8" s="637"/>
      <c r="M8" s="637"/>
      <c r="N8" s="637"/>
      <c r="O8" s="637"/>
      <c r="P8" s="637"/>
      <c r="Q8" s="637"/>
      <c r="R8" s="637"/>
      <c r="S8" s="637"/>
      <c r="T8" s="637"/>
      <c r="U8" s="637"/>
      <c r="V8" s="637"/>
      <c r="W8" s="637"/>
      <c r="X8" s="637"/>
      <c r="Y8" s="637"/>
      <c r="Z8" s="637"/>
    </row>
    <row r="9" ht="11.25" customHeight="1">
      <c r="A9" s="634" t="s">
        <v>5185</v>
      </c>
      <c r="B9" s="635" t="s">
        <v>5186</v>
      </c>
      <c r="C9" s="635" t="s">
        <v>1844</v>
      </c>
      <c r="D9" s="635" t="s">
        <v>5187</v>
      </c>
      <c r="E9" s="635" t="s">
        <v>5188</v>
      </c>
      <c r="F9" s="635" t="s">
        <v>5189</v>
      </c>
      <c r="G9" s="636" t="s">
        <v>5190</v>
      </c>
      <c r="H9" s="637"/>
      <c r="I9" s="637"/>
      <c r="J9" s="637"/>
      <c r="K9" s="637"/>
      <c r="L9" s="637"/>
      <c r="M9" s="637"/>
      <c r="N9" s="637"/>
      <c r="O9" s="637"/>
      <c r="P9" s="637"/>
      <c r="Q9" s="637"/>
      <c r="R9" s="637"/>
      <c r="S9" s="637"/>
      <c r="T9" s="637"/>
      <c r="U9" s="637"/>
      <c r="V9" s="637"/>
      <c r="W9" s="637"/>
      <c r="X9" s="637"/>
      <c r="Y9" s="637"/>
      <c r="Z9" s="637"/>
    </row>
    <row r="10" ht="11.25" customHeight="1">
      <c r="A10" s="634" t="s">
        <v>5191</v>
      </c>
      <c r="B10" s="635" t="s">
        <v>5192</v>
      </c>
      <c r="C10" s="635" t="s">
        <v>5159</v>
      </c>
      <c r="D10" s="635" t="s">
        <v>5159</v>
      </c>
      <c r="E10" s="635" t="s">
        <v>5159</v>
      </c>
      <c r="F10" s="635" t="s">
        <v>5159</v>
      </c>
      <c r="G10" s="636" t="s">
        <v>5163</v>
      </c>
      <c r="H10" s="637"/>
      <c r="I10" s="637"/>
      <c r="J10" s="637"/>
      <c r="K10" s="637"/>
      <c r="L10" s="637"/>
      <c r="M10" s="637"/>
      <c r="N10" s="637"/>
      <c r="O10" s="637"/>
      <c r="P10" s="637"/>
      <c r="Q10" s="637"/>
      <c r="R10" s="637"/>
      <c r="S10" s="637"/>
      <c r="T10" s="637"/>
      <c r="U10" s="637"/>
      <c r="V10" s="637"/>
      <c r="W10" s="637"/>
      <c r="X10" s="637"/>
      <c r="Y10" s="637"/>
      <c r="Z10" s="637"/>
    </row>
    <row r="11" ht="11.25" customHeight="1">
      <c r="A11" s="634" t="s">
        <v>5193</v>
      </c>
      <c r="B11" s="635" t="s">
        <v>5194</v>
      </c>
      <c r="C11" s="635" t="s">
        <v>1844</v>
      </c>
      <c r="D11" s="635" t="s">
        <v>5159</v>
      </c>
      <c r="E11" s="635" t="s">
        <v>5159</v>
      </c>
      <c r="F11" s="635" t="s">
        <v>5159</v>
      </c>
      <c r="G11" s="636" t="s">
        <v>5195</v>
      </c>
      <c r="H11" s="637"/>
      <c r="I11" s="637"/>
      <c r="J11" s="637"/>
      <c r="K11" s="637"/>
      <c r="L11" s="637"/>
      <c r="M11" s="637"/>
      <c r="N11" s="637"/>
      <c r="O11" s="637"/>
      <c r="P11" s="637"/>
      <c r="Q11" s="637"/>
      <c r="R11" s="637"/>
      <c r="S11" s="637"/>
      <c r="T11" s="637"/>
      <c r="U11" s="637"/>
      <c r="V11" s="637"/>
      <c r="W11" s="637"/>
      <c r="X11" s="637"/>
      <c r="Y11" s="637"/>
      <c r="Z11" s="637"/>
    </row>
    <row r="12" ht="11.25" customHeight="1">
      <c r="A12" s="634" t="s">
        <v>5196</v>
      </c>
      <c r="B12" s="635" t="s">
        <v>5197</v>
      </c>
      <c r="C12" s="635" t="s">
        <v>5198</v>
      </c>
      <c r="D12" s="635" t="s">
        <v>5198</v>
      </c>
      <c r="E12" s="635" t="s">
        <v>5198</v>
      </c>
      <c r="F12" s="635" t="s">
        <v>5198</v>
      </c>
      <c r="G12" s="636" t="s">
        <v>5163</v>
      </c>
      <c r="H12" s="637"/>
      <c r="I12" s="637"/>
      <c r="J12" s="637"/>
      <c r="K12" s="637"/>
      <c r="L12" s="637"/>
      <c r="M12" s="637"/>
      <c r="N12" s="637"/>
      <c r="O12" s="637"/>
      <c r="P12" s="637"/>
      <c r="Q12" s="637"/>
      <c r="R12" s="637"/>
      <c r="S12" s="637"/>
      <c r="T12" s="637"/>
      <c r="U12" s="637"/>
      <c r="V12" s="637"/>
      <c r="W12" s="637"/>
      <c r="X12" s="637"/>
      <c r="Y12" s="637"/>
      <c r="Z12" s="637"/>
    </row>
    <row r="13" ht="11.25" customHeight="1">
      <c r="A13" s="634" t="s">
        <v>5199</v>
      </c>
      <c r="B13" s="635" t="s">
        <v>5200</v>
      </c>
      <c r="C13" s="635" t="s">
        <v>5198</v>
      </c>
      <c r="D13" s="635" t="s">
        <v>5198</v>
      </c>
      <c r="E13" s="635" t="s">
        <v>5198</v>
      </c>
      <c r="F13" s="635" t="s">
        <v>5198</v>
      </c>
      <c r="G13" s="636" t="s">
        <v>5163</v>
      </c>
      <c r="H13" s="637"/>
      <c r="I13" s="637"/>
      <c r="J13" s="637"/>
      <c r="K13" s="637"/>
      <c r="L13" s="637"/>
      <c r="M13" s="637"/>
      <c r="N13" s="637"/>
      <c r="O13" s="637"/>
      <c r="P13" s="637"/>
      <c r="Q13" s="637"/>
      <c r="R13" s="637"/>
      <c r="S13" s="637"/>
      <c r="T13" s="637"/>
      <c r="U13" s="637"/>
      <c r="V13" s="637"/>
      <c r="W13" s="637"/>
      <c r="X13" s="637"/>
      <c r="Y13" s="637"/>
      <c r="Z13" s="637"/>
    </row>
    <row r="14" ht="11.25" customHeight="1">
      <c r="A14" s="634" t="s">
        <v>5201</v>
      </c>
      <c r="B14" s="635" t="s">
        <v>5202</v>
      </c>
      <c r="C14" s="635" t="s">
        <v>1844</v>
      </c>
      <c r="D14" s="635" t="s">
        <v>1844</v>
      </c>
      <c r="E14" s="635" t="s">
        <v>1844</v>
      </c>
      <c r="F14" s="635" t="s">
        <v>5203</v>
      </c>
      <c r="G14" s="636" t="s">
        <v>5204</v>
      </c>
      <c r="H14" s="637"/>
      <c r="I14" s="637"/>
      <c r="J14" s="637"/>
      <c r="K14" s="637"/>
      <c r="L14" s="637"/>
      <c r="M14" s="637"/>
      <c r="N14" s="637"/>
      <c r="O14" s="637"/>
      <c r="P14" s="637"/>
      <c r="Q14" s="637"/>
      <c r="R14" s="637"/>
      <c r="S14" s="637"/>
      <c r="T14" s="637"/>
      <c r="U14" s="637"/>
      <c r="V14" s="637"/>
      <c r="W14" s="637"/>
      <c r="X14" s="637"/>
      <c r="Y14" s="637"/>
      <c r="Z14" s="637"/>
    </row>
    <row r="15" ht="11.25" customHeight="1">
      <c r="A15" s="634" t="s">
        <v>5205</v>
      </c>
      <c r="B15" s="635" t="s">
        <v>5206</v>
      </c>
      <c r="C15" s="635" t="s">
        <v>1844</v>
      </c>
      <c r="D15" s="635" t="s">
        <v>5207</v>
      </c>
      <c r="E15" s="635" t="s">
        <v>5208</v>
      </c>
      <c r="F15" s="635" t="s">
        <v>5209</v>
      </c>
      <c r="G15" s="636" t="s">
        <v>5210</v>
      </c>
      <c r="H15" s="637"/>
      <c r="I15" s="637"/>
      <c r="J15" s="637"/>
      <c r="K15" s="637"/>
      <c r="L15" s="637"/>
      <c r="M15" s="637"/>
      <c r="N15" s="637"/>
      <c r="O15" s="637"/>
      <c r="P15" s="637"/>
      <c r="Q15" s="637"/>
      <c r="R15" s="637"/>
      <c r="S15" s="637"/>
      <c r="T15" s="637"/>
      <c r="U15" s="637"/>
      <c r="V15" s="637"/>
      <c r="W15" s="637"/>
      <c r="X15" s="637"/>
      <c r="Y15" s="637"/>
      <c r="Z15" s="637"/>
    </row>
    <row r="16" ht="11.25" customHeight="1">
      <c r="A16" s="634" t="s">
        <v>5211</v>
      </c>
      <c r="B16" s="635" t="s">
        <v>5212</v>
      </c>
      <c r="C16" s="635" t="s">
        <v>1844</v>
      </c>
      <c r="D16" s="635" t="s">
        <v>5213</v>
      </c>
      <c r="E16" s="635" t="s">
        <v>5214</v>
      </c>
      <c r="F16" s="635" t="s">
        <v>5215</v>
      </c>
      <c r="G16" s="636" t="s">
        <v>5216</v>
      </c>
      <c r="H16" s="637"/>
      <c r="I16" s="637"/>
      <c r="J16" s="637"/>
      <c r="K16" s="637"/>
      <c r="L16" s="637"/>
      <c r="M16" s="637"/>
      <c r="N16" s="637"/>
      <c r="O16" s="637"/>
      <c r="P16" s="637"/>
      <c r="Q16" s="637"/>
      <c r="R16" s="637"/>
      <c r="S16" s="637"/>
      <c r="T16" s="637"/>
      <c r="U16" s="637"/>
      <c r="V16" s="637"/>
      <c r="W16" s="637"/>
      <c r="X16" s="637"/>
      <c r="Y16" s="637"/>
      <c r="Z16" s="637"/>
    </row>
    <row r="17" ht="11.25" customHeight="1">
      <c r="A17" s="634" t="s">
        <v>5217</v>
      </c>
      <c r="B17" s="635" t="s">
        <v>5218</v>
      </c>
      <c r="C17" s="635" t="s">
        <v>5159</v>
      </c>
      <c r="D17" s="635" t="s">
        <v>5159</v>
      </c>
      <c r="E17" s="635" t="s">
        <v>5159</v>
      </c>
      <c r="F17" s="635" t="s">
        <v>5159</v>
      </c>
      <c r="G17" s="636" t="s">
        <v>5219</v>
      </c>
      <c r="H17" s="637"/>
      <c r="I17" s="637"/>
      <c r="J17" s="637"/>
      <c r="K17" s="637"/>
      <c r="L17" s="637"/>
      <c r="M17" s="637"/>
      <c r="N17" s="637"/>
      <c r="O17" s="637"/>
      <c r="P17" s="637"/>
      <c r="Q17" s="637"/>
      <c r="R17" s="637"/>
      <c r="S17" s="637"/>
      <c r="T17" s="637"/>
      <c r="U17" s="637"/>
      <c r="V17" s="637"/>
      <c r="W17" s="637"/>
      <c r="X17" s="637"/>
      <c r="Y17" s="637"/>
      <c r="Z17" s="637"/>
    </row>
    <row r="18" ht="11.25" customHeight="1">
      <c r="A18" s="634" t="s">
        <v>5220</v>
      </c>
      <c r="B18" s="635" t="s">
        <v>5221</v>
      </c>
      <c r="C18" s="635" t="s">
        <v>1844</v>
      </c>
      <c r="D18" s="635" t="s">
        <v>5198</v>
      </c>
      <c r="E18" s="635" t="s">
        <v>5198</v>
      </c>
      <c r="F18" s="635" t="s">
        <v>5198</v>
      </c>
      <c r="G18" s="636" t="s">
        <v>5222</v>
      </c>
      <c r="H18" s="637"/>
      <c r="I18" s="637"/>
      <c r="J18" s="637"/>
      <c r="K18" s="637"/>
      <c r="L18" s="637"/>
      <c r="M18" s="637"/>
      <c r="N18" s="637"/>
      <c r="O18" s="637"/>
      <c r="P18" s="637"/>
      <c r="Q18" s="637"/>
      <c r="R18" s="637"/>
      <c r="S18" s="637"/>
      <c r="T18" s="637"/>
      <c r="U18" s="637"/>
      <c r="V18" s="637"/>
      <c r="W18" s="637"/>
      <c r="X18" s="637"/>
      <c r="Y18" s="637"/>
      <c r="Z18" s="637"/>
    </row>
    <row r="19" ht="11.25" customHeight="1">
      <c r="A19" s="634" t="s">
        <v>4660</v>
      </c>
      <c r="B19" s="635" t="s">
        <v>5223</v>
      </c>
      <c r="C19" s="635" t="s">
        <v>5198</v>
      </c>
      <c r="D19" s="635" t="s">
        <v>5198</v>
      </c>
      <c r="E19" s="635" t="s">
        <v>5198</v>
      </c>
      <c r="F19" s="635" t="s">
        <v>5198</v>
      </c>
      <c r="G19" s="636" t="s">
        <v>5224</v>
      </c>
      <c r="H19" s="637"/>
      <c r="I19" s="637"/>
      <c r="J19" s="637"/>
      <c r="K19" s="637"/>
      <c r="L19" s="637"/>
      <c r="M19" s="637"/>
      <c r="N19" s="637"/>
      <c r="O19" s="637"/>
      <c r="P19" s="637"/>
      <c r="Q19" s="637"/>
      <c r="R19" s="637"/>
      <c r="S19" s="637"/>
      <c r="T19" s="637"/>
      <c r="U19" s="637"/>
      <c r="V19" s="637"/>
      <c r="W19" s="637"/>
      <c r="X19" s="637"/>
      <c r="Y19" s="637"/>
      <c r="Z19" s="637"/>
    </row>
    <row r="20" ht="11.25" customHeight="1">
      <c r="A20" s="634" t="s">
        <v>5225</v>
      </c>
      <c r="B20" s="635" t="s">
        <v>5226</v>
      </c>
      <c r="C20" s="635" t="s">
        <v>5159</v>
      </c>
      <c r="D20" s="635" t="s">
        <v>5159</v>
      </c>
      <c r="E20" s="635" t="s">
        <v>5159</v>
      </c>
      <c r="F20" s="635" t="s">
        <v>5159</v>
      </c>
      <c r="G20" s="636" t="s">
        <v>5227</v>
      </c>
      <c r="H20" s="637"/>
      <c r="I20" s="637"/>
      <c r="J20" s="637"/>
      <c r="K20" s="637"/>
      <c r="L20" s="637"/>
      <c r="M20" s="637"/>
      <c r="N20" s="637"/>
      <c r="O20" s="637"/>
      <c r="P20" s="637"/>
      <c r="Q20" s="637"/>
      <c r="R20" s="637"/>
      <c r="S20" s="637"/>
      <c r="T20" s="637"/>
      <c r="U20" s="637"/>
      <c r="V20" s="637"/>
      <c r="W20" s="637"/>
      <c r="X20" s="637"/>
      <c r="Y20" s="637"/>
      <c r="Z20" s="637"/>
    </row>
    <row r="21" ht="11.25" customHeight="1">
      <c r="A21" s="634" t="s">
        <v>5228</v>
      </c>
      <c r="B21" s="635" t="s">
        <v>5229</v>
      </c>
      <c r="C21" s="635" t="s">
        <v>1844</v>
      </c>
      <c r="D21" s="635" t="s">
        <v>5159</v>
      </c>
      <c r="E21" s="635" t="s">
        <v>1844</v>
      </c>
      <c r="F21" s="635" t="s">
        <v>5159</v>
      </c>
      <c r="G21" s="636" t="s">
        <v>5227</v>
      </c>
      <c r="H21" s="637"/>
      <c r="I21" s="637"/>
      <c r="J21" s="637"/>
      <c r="K21" s="637"/>
      <c r="L21" s="637"/>
      <c r="M21" s="637"/>
      <c r="N21" s="637"/>
      <c r="O21" s="637"/>
      <c r="P21" s="637"/>
      <c r="Q21" s="637"/>
      <c r="R21" s="637"/>
      <c r="S21" s="637"/>
      <c r="T21" s="637"/>
      <c r="U21" s="637"/>
      <c r="V21" s="637"/>
      <c r="W21" s="637"/>
      <c r="X21" s="637"/>
      <c r="Y21" s="637"/>
      <c r="Z21" s="637"/>
    </row>
    <row r="22" ht="11.25" customHeight="1">
      <c r="A22" s="638" t="s">
        <v>5230</v>
      </c>
      <c r="B22" s="639" t="s">
        <v>5231</v>
      </c>
      <c r="C22" s="639" t="s">
        <v>1844</v>
      </c>
      <c r="D22" s="639" t="s">
        <v>1844</v>
      </c>
      <c r="E22" s="639" t="s">
        <v>1844</v>
      </c>
      <c r="F22" s="639" t="s">
        <v>5232</v>
      </c>
      <c r="G22" s="640" t="s">
        <v>5227</v>
      </c>
      <c r="H22" s="637"/>
      <c r="I22" s="637"/>
      <c r="J22" s="637"/>
      <c r="K22" s="637"/>
      <c r="L22" s="637"/>
      <c r="M22" s="637"/>
      <c r="N22" s="637"/>
      <c r="O22" s="637"/>
      <c r="P22" s="637"/>
      <c r="Q22" s="637"/>
      <c r="R22" s="637"/>
      <c r="S22" s="637"/>
      <c r="T22" s="637"/>
      <c r="U22" s="637"/>
      <c r="V22" s="637"/>
      <c r="W22" s="637"/>
      <c r="X22" s="637"/>
      <c r="Y22" s="637"/>
      <c r="Z22" s="637"/>
    </row>
    <row r="23" ht="11.25" customHeight="1">
      <c r="A23" s="638" t="s">
        <v>5233</v>
      </c>
      <c r="B23" s="639" t="s">
        <v>5234</v>
      </c>
      <c r="C23" s="635" t="s">
        <v>5159</v>
      </c>
      <c r="D23" s="635" t="s">
        <v>5159</v>
      </c>
      <c r="E23" s="635" t="s">
        <v>5159</v>
      </c>
      <c r="F23" s="635" t="s">
        <v>5159</v>
      </c>
      <c r="G23" s="640"/>
      <c r="H23" s="637"/>
      <c r="I23" s="637"/>
      <c r="J23" s="637"/>
      <c r="K23" s="637"/>
      <c r="L23" s="637"/>
      <c r="M23" s="637"/>
      <c r="N23" s="637"/>
      <c r="O23" s="637"/>
      <c r="P23" s="637"/>
      <c r="Q23" s="637"/>
      <c r="R23" s="637"/>
      <c r="S23" s="637"/>
      <c r="T23" s="637"/>
      <c r="U23" s="637"/>
      <c r="V23" s="637"/>
      <c r="W23" s="637"/>
      <c r="X23" s="637"/>
      <c r="Y23" s="637"/>
      <c r="Z23" s="637"/>
    </row>
    <row r="24" ht="11.25" customHeight="1">
      <c r="A24" s="638"/>
      <c r="B24" s="639"/>
      <c r="C24" s="639"/>
      <c r="D24" s="639"/>
      <c r="E24" s="639"/>
      <c r="F24" s="639"/>
      <c r="G24" s="640"/>
      <c r="H24" s="637"/>
      <c r="I24" s="637"/>
      <c r="J24" s="637"/>
      <c r="K24" s="637"/>
      <c r="L24" s="637"/>
      <c r="M24" s="637"/>
      <c r="N24" s="637"/>
      <c r="O24" s="637"/>
      <c r="P24" s="637"/>
      <c r="Q24" s="637"/>
      <c r="R24" s="637"/>
      <c r="S24" s="637"/>
      <c r="T24" s="637"/>
      <c r="U24" s="637"/>
      <c r="V24" s="637"/>
      <c r="W24" s="637"/>
      <c r="X24" s="637"/>
      <c r="Y24" s="637"/>
      <c r="Z24" s="637"/>
    </row>
    <row r="25" ht="11.25" customHeight="1">
      <c r="A25" s="637"/>
      <c r="B25" s="637"/>
      <c r="C25" s="637"/>
      <c r="D25" s="637"/>
      <c r="E25" s="637"/>
      <c r="F25" s="637"/>
      <c r="G25" s="637"/>
      <c r="H25" s="637"/>
      <c r="I25" s="637"/>
      <c r="J25" s="637"/>
      <c r="K25" s="637"/>
      <c r="L25" s="637"/>
      <c r="M25" s="637"/>
      <c r="N25" s="637"/>
      <c r="O25" s="637"/>
      <c r="P25" s="637"/>
      <c r="Q25" s="637"/>
      <c r="R25" s="637"/>
      <c r="S25" s="637"/>
      <c r="T25" s="637"/>
      <c r="U25" s="637"/>
      <c r="V25" s="637"/>
      <c r="W25" s="637"/>
      <c r="X25" s="637"/>
      <c r="Y25" s="637"/>
      <c r="Z25" s="637"/>
    </row>
    <row r="26" ht="11.25" customHeight="1">
      <c r="A26" s="637"/>
      <c r="B26" s="637"/>
      <c r="C26" s="637"/>
      <c r="D26" s="637"/>
      <c r="E26" s="637"/>
      <c r="F26" s="637"/>
      <c r="G26" s="637"/>
      <c r="H26" s="637"/>
      <c r="I26" s="637"/>
      <c r="J26" s="637"/>
      <c r="K26" s="637"/>
      <c r="L26" s="637"/>
      <c r="M26" s="637"/>
      <c r="N26" s="637"/>
      <c r="O26" s="637"/>
      <c r="P26" s="637"/>
      <c r="Q26" s="637"/>
      <c r="R26" s="637"/>
      <c r="S26" s="637"/>
      <c r="T26" s="637"/>
      <c r="U26" s="637"/>
      <c r="V26" s="637"/>
      <c r="W26" s="637"/>
      <c r="X26" s="637"/>
      <c r="Y26" s="637"/>
      <c r="Z26" s="637"/>
    </row>
    <row r="27" ht="11.25" customHeight="1">
      <c r="A27" s="637"/>
      <c r="B27" s="637"/>
      <c r="C27" s="637"/>
      <c r="D27" s="637"/>
      <c r="E27" s="637"/>
      <c r="F27" s="637"/>
      <c r="G27" s="637"/>
      <c r="H27" s="637"/>
      <c r="I27" s="637"/>
      <c r="J27" s="637"/>
      <c r="K27" s="637"/>
      <c r="L27" s="637"/>
      <c r="M27" s="637"/>
      <c r="N27" s="637"/>
      <c r="O27" s="637"/>
      <c r="P27" s="637"/>
      <c r="Q27" s="637"/>
      <c r="R27" s="637"/>
      <c r="S27" s="637"/>
      <c r="T27" s="637"/>
      <c r="U27" s="637"/>
      <c r="V27" s="637"/>
      <c r="W27" s="637"/>
      <c r="X27" s="637"/>
      <c r="Y27" s="637"/>
      <c r="Z27" s="637"/>
    </row>
    <row r="28" ht="11.25" customHeight="1">
      <c r="A28" s="637"/>
      <c r="B28" s="637"/>
      <c r="C28" s="637"/>
      <c r="D28" s="637"/>
      <c r="E28" s="637"/>
      <c r="F28" s="637"/>
      <c r="G28" s="637"/>
      <c r="H28" s="637"/>
      <c r="I28" s="637"/>
      <c r="J28" s="637"/>
      <c r="K28" s="637"/>
      <c r="L28" s="637"/>
      <c r="M28" s="637"/>
      <c r="N28" s="637"/>
      <c r="O28" s="637"/>
      <c r="P28" s="637"/>
      <c r="Q28" s="637"/>
      <c r="R28" s="637"/>
      <c r="S28" s="637"/>
      <c r="T28" s="637"/>
      <c r="U28" s="637"/>
      <c r="V28" s="637"/>
      <c r="W28" s="637"/>
      <c r="X28" s="637"/>
      <c r="Y28" s="637"/>
      <c r="Z28" s="637"/>
    </row>
    <row r="29" ht="11.25" customHeight="1">
      <c r="A29" s="637"/>
      <c r="B29" s="637"/>
      <c r="C29" s="637"/>
      <c r="D29" s="637"/>
      <c r="E29" s="637"/>
      <c r="F29" s="637"/>
      <c r="G29" s="637"/>
      <c r="H29" s="637"/>
      <c r="I29" s="637"/>
      <c r="J29" s="637"/>
      <c r="K29" s="637"/>
      <c r="L29" s="637"/>
      <c r="M29" s="637"/>
      <c r="N29" s="637"/>
      <c r="O29" s="637"/>
      <c r="P29" s="637"/>
      <c r="Q29" s="637"/>
      <c r="R29" s="637"/>
      <c r="S29" s="637"/>
      <c r="T29" s="637"/>
      <c r="U29" s="637"/>
      <c r="V29" s="637"/>
      <c r="W29" s="637"/>
      <c r="X29" s="637"/>
      <c r="Y29" s="637"/>
      <c r="Z29" s="637"/>
    </row>
    <row r="30" ht="11.25" customHeight="1">
      <c r="A30" s="637"/>
      <c r="B30" s="637"/>
      <c r="C30" s="637"/>
      <c r="D30" s="637"/>
      <c r="E30" s="637"/>
      <c r="F30" s="637"/>
      <c r="G30" s="637"/>
      <c r="H30" s="637"/>
      <c r="I30" s="637"/>
      <c r="J30" s="637"/>
      <c r="K30" s="637"/>
      <c r="L30" s="637"/>
      <c r="M30" s="637"/>
      <c r="N30" s="637"/>
      <c r="O30" s="637"/>
      <c r="P30" s="637"/>
      <c r="Q30" s="637"/>
      <c r="R30" s="637"/>
      <c r="S30" s="637"/>
      <c r="T30" s="637"/>
      <c r="U30" s="637"/>
      <c r="V30" s="637"/>
      <c r="W30" s="637"/>
      <c r="X30" s="637"/>
      <c r="Y30" s="637"/>
      <c r="Z30" s="637"/>
    </row>
    <row r="31" ht="11.25" customHeight="1">
      <c r="A31" s="637"/>
      <c r="B31" s="637"/>
      <c r="C31" s="637"/>
      <c r="D31" s="637"/>
      <c r="E31" s="637"/>
      <c r="F31" s="637"/>
      <c r="G31" s="637"/>
      <c r="H31" s="637"/>
      <c r="I31" s="637"/>
      <c r="J31" s="637"/>
      <c r="K31" s="637"/>
      <c r="L31" s="637"/>
      <c r="M31" s="637"/>
      <c r="N31" s="637"/>
      <c r="O31" s="637"/>
      <c r="P31" s="637"/>
      <c r="Q31" s="637"/>
      <c r="R31" s="637"/>
      <c r="S31" s="637"/>
      <c r="T31" s="637"/>
      <c r="U31" s="637"/>
      <c r="V31" s="637"/>
      <c r="W31" s="637"/>
      <c r="X31" s="637"/>
      <c r="Y31" s="637"/>
      <c r="Z31" s="637"/>
    </row>
    <row r="32" ht="11.25" customHeight="1">
      <c r="A32" s="637"/>
      <c r="B32" s="637"/>
      <c r="C32" s="637"/>
      <c r="D32" s="637"/>
      <c r="E32" s="637"/>
      <c r="F32" s="637"/>
      <c r="G32" s="637"/>
      <c r="H32" s="637"/>
      <c r="I32" s="637"/>
      <c r="J32" s="637"/>
      <c r="K32" s="637"/>
      <c r="L32" s="637"/>
      <c r="M32" s="637"/>
      <c r="N32" s="637"/>
      <c r="O32" s="637"/>
      <c r="P32" s="637"/>
      <c r="Q32" s="637"/>
      <c r="R32" s="637"/>
      <c r="S32" s="637"/>
      <c r="T32" s="637"/>
      <c r="U32" s="637"/>
      <c r="V32" s="637"/>
      <c r="W32" s="637"/>
      <c r="X32" s="637"/>
      <c r="Y32" s="637"/>
      <c r="Z32" s="637"/>
    </row>
    <row r="33" ht="11.25" customHeight="1">
      <c r="A33" s="637"/>
      <c r="B33" s="637"/>
      <c r="C33" s="637"/>
      <c r="D33" s="637"/>
      <c r="E33" s="637"/>
      <c r="F33" s="637"/>
      <c r="G33" s="637"/>
      <c r="H33" s="637"/>
      <c r="I33" s="637"/>
      <c r="J33" s="637"/>
      <c r="K33" s="637"/>
      <c r="L33" s="637"/>
      <c r="M33" s="637"/>
      <c r="N33" s="637"/>
      <c r="O33" s="637"/>
      <c r="P33" s="637"/>
      <c r="Q33" s="637"/>
      <c r="R33" s="637"/>
      <c r="S33" s="637"/>
      <c r="T33" s="637"/>
      <c r="U33" s="637"/>
      <c r="V33" s="637"/>
      <c r="W33" s="637"/>
      <c r="X33" s="637"/>
      <c r="Y33" s="637"/>
      <c r="Z33" s="637"/>
    </row>
    <row r="34" ht="11.25" customHeight="1">
      <c r="A34" s="637"/>
      <c r="B34" s="637"/>
      <c r="C34" s="637"/>
      <c r="D34" s="637"/>
      <c r="E34" s="637"/>
      <c r="F34" s="637"/>
      <c r="G34" s="637"/>
      <c r="H34" s="637"/>
      <c r="I34" s="637"/>
      <c r="J34" s="637"/>
      <c r="K34" s="637"/>
      <c r="L34" s="637"/>
      <c r="M34" s="637"/>
      <c r="N34" s="637"/>
      <c r="O34" s="637"/>
      <c r="P34" s="637"/>
      <c r="Q34" s="637"/>
      <c r="R34" s="637"/>
      <c r="S34" s="637"/>
      <c r="T34" s="637"/>
      <c r="U34" s="637"/>
      <c r="V34" s="637"/>
      <c r="W34" s="637"/>
      <c r="X34" s="637"/>
      <c r="Y34" s="637"/>
      <c r="Z34" s="637"/>
    </row>
    <row r="35" ht="11.25" customHeight="1">
      <c r="A35" s="637"/>
      <c r="B35" s="637"/>
      <c r="C35" s="637"/>
      <c r="D35" s="637"/>
      <c r="E35" s="637"/>
      <c r="F35" s="637"/>
      <c r="G35" s="637"/>
      <c r="H35" s="637"/>
      <c r="I35" s="637"/>
      <c r="J35" s="637"/>
      <c r="K35" s="637"/>
      <c r="L35" s="637"/>
      <c r="M35" s="637"/>
      <c r="N35" s="637"/>
      <c r="O35" s="637"/>
      <c r="P35" s="637"/>
      <c r="Q35" s="637"/>
      <c r="R35" s="637"/>
      <c r="S35" s="637"/>
      <c r="T35" s="637"/>
      <c r="U35" s="637"/>
      <c r="V35" s="637"/>
      <c r="W35" s="637"/>
      <c r="X35" s="637"/>
      <c r="Y35" s="637"/>
      <c r="Z35" s="637"/>
    </row>
    <row r="36" ht="11.25" customHeight="1">
      <c r="A36" s="637"/>
      <c r="B36" s="637"/>
      <c r="C36" s="637"/>
      <c r="D36" s="637"/>
      <c r="E36" s="637"/>
      <c r="F36" s="637"/>
      <c r="G36" s="637"/>
      <c r="H36" s="637"/>
      <c r="I36" s="637"/>
      <c r="J36" s="637"/>
      <c r="K36" s="637"/>
      <c r="L36" s="637"/>
      <c r="M36" s="637"/>
      <c r="N36" s="637"/>
      <c r="O36" s="637"/>
      <c r="P36" s="637"/>
      <c r="Q36" s="637"/>
      <c r="R36" s="637"/>
      <c r="S36" s="637"/>
      <c r="T36" s="637"/>
      <c r="U36" s="637"/>
      <c r="V36" s="637"/>
      <c r="W36" s="637"/>
      <c r="X36" s="637"/>
      <c r="Y36" s="637"/>
      <c r="Z36" s="637"/>
    </row>
    <row r="37" ht="11.25" customHeight="1">
      <c r="A37" s="637"/>
      <c r="B37" s="637"/>
      <c r="C37" s="637"/>
      <c r="D37" s="637"/>
      <c r="E37" s="637"/>
      <c r="F37" s="637"/>
      <c r="G37" s="637"/>
      <c r="H37" s="637"/>
      <c r="I37" s="637"/>
      <c r="J37" s="637"/>
      <c r="K37" s="637"/>
      <c r="L37" s="637"/>
      <c r="M37" s="637"/>
      <c r="N37" s="637"/>
      <c r="O37" s="637"/>
      <c r="P37" s="637"/>
      <c r="Q37" s="637"/>
      <c r="R37" s="637"/>
      <c r="S37" s="637"/>
      <c r="T37" s="637"/>
      <c r="U37" s="637"/>
      <c r="V37" s="637"/>
      <c r="W37" s="637"/>
      <c r="X37" s="637"/>
      <c r="Y37" s="637"/>
      <c r="Z37" s="637"/>
    </row>
    <row r="38" ht="11.25" customHeight="1">
      <c r="A38" s="637"/>
      <c r="B38" s="637"/>
      <c r="C38" s="637"/>
      <c r="D38" s="637"/>
      <c r="E38" s="637"/>
      <c r="F38" s="637"/>
      <c r="G38" s="637"/>
      <c r="H38" s="637"/>
      <c r="I38" s="637"/>
      <c r="J38" s="637"/>
      <c r="K38" s="637"/>
      <c r="L38" s="637"/>
      <c r="M38" s="637"/>
      <c r="N38" s="637"/>
      <c r="O38" s="637"/>
      <c r="P38" s="637"/>
      <c r="Q38" s="637"/>
      <c r="R38" s="637"/>
      <c r="S38" s="637"/>
      <c r="T38" s="637"/>
      <c r="U38" s="637"/>
      <c r="V38" s="637"/>
      <c r="W38" s="637"/>
      <c r="X38" s="637"/>
      <c r="Y38" s="637"/>
      <c r="Z38" s="637"/>
    </row>
    <row r="39" ht="11.25" customHeight="1">
      <c r="A39" s="637"/>
      <c r="B39" s="637"/>
      <c r="C39" s="637"/>
      <c r="D39" s="637"/>
      <c r="E39" s="637"/>
      <c r="F39" s="637"/>
      <c r="G39" s="637"/>
      <c r="H39" s="637"/>
      <c r="I39" s="637"/>
      <c r="J39" s="637"/>
      <c r="K39" s="637"/>
      <c r="L39" s="637"/>
      <c r="M39" s="637"/>
      <c r="N39" s="637"/>
      <c r="O39" s="637"/>
      <c r="P39" s="637"/>
      <c r="Q39" s="637"/>
      <c r="R39" s="637"/>
      <c r="S39" s="637"/>
      <c r="T39" s="637"/>
      <c r="U39" s="637"/>
      <c r="V39" s="637"/>
      <c r="W39" s="637"/>
      <c r="X39" s="637"/>
      <c r="Y39" s="637"/>
      <c r="Z39" s="637"/>
    </row>
    <row r="40" ht="11.25" customHeight="1">
      <c r="A40" s="637"/>
      <c r="B40" s="637"/>
      <c r="C40" s="637"/>
      <c r="D40" s="637"/>
      <c r="E40" s="637"/>
      <c r="F40" s="637"/>
      <c r="G40" s="637"/>
      <c r="H40" s="637"/>
      <c r="I40" s="637"/>
      <c r="J40" s="637"/>
      <c r="K40" s="637"/>
      <c r="L40" s="637"/>
      <c r="M40" s="637"/>
      <c r="N40" s="637"/>
      <c r="O40" s="637"/>
      <c r="P40" s="637"/>
      <c r="Q40" s="637"/>
      <c r="R40" s="637"/>
      <c r="S40" s="637"/>
      <c r="T40" s="637"/>
      <c r="U40" s="637"/>
      <c r="V40" s="637"/>
      <c r="W40" s="637"/>
      <c r="X40" s="637"/>
      <c r="Y40" s="637"/>
      <c r="Z40" s="637"/>
    </row>
    <row r="41" ht="11.25" customHeight="1">
      <c r="A41" s="637"/>
      <c r="B41" s="637"/>
      <c r="C41" s="637"/>
      <c r="D41" s="637"/>
      <c r="E41" s="637"/>
      <c r="F41" s="637"/>
      <c r="G41" s="637"/>
      <c r="H41" s="637"/>
      <c r="I41" s="637"/>
      <c r="J41" s="637"/>
      <c r="K41" s="637"/>
      <c r="L41" s="637"/>
      <c r="M41" s="637"/>
      <c r="N41" s="637"/>
      <c r="O41" s="637"/>
      <c r="P41" s="637"/>
      <c r="Q41" s="637"/>
      <c r="R41" s="637"/>
      <c r="S41" s="637"/>
      <c r="T41" s="637"/>
      <c r="U41" s="637"/>
      <c r="V41" s="637"/>
      <c r="W41" s="637"/>
      <c r="X41" s="637"/>
      <c r="Y41" s="637"/>
      <c r="Z41" s="637"/>
    </row>
    <row r="42" ht="11.25" customHeight="1">
      <c r="A42" s="637"/>
      <c r="B42" s="637"/>
      <c r="C42" s="637"/>
      <c r="D42" s="637"/>
      <c r="E42" s="637"/>
      <c r="F42" s="637"/>
      <c r="G42" s="637"/>
      <c r="H42" s="637"/>
      <c r="I42" s="637"/>
      <c r="J42" s="637"/>
      <c r="K42" s="637"/>
      <c r="L42" s="637"/>
      <c r="M42" s="637"/>
      <c r="N42" s="637"/>
      <c r="O42" s="637"/>
      <c r="P42" s="637"/>
      <c r="Q42" s="637"/>
      <c r="R42" s="637"/>
      <c r="S42" s="637"/>
      <c r="T42" s="637"/>
      <c r="U42" s="637"/>
      <c r="V42" s="637"/>
      <c r="W42" s="637"/>
      <c r="X42" s="637"/>
      <c r="Y42" s="637"/>
      <c r="Z42" s="637"/>
    </row>
    <row r="43" ht="11.25" customHeight="1">
      <c r="A43" s="637"/>
      <c r="B43" s="637"/>
      <c r="C43" s="637"/>
      <c r="D43" s="637"/>
      <c r="E43" s="637"/>
      <c r="F43" s="637"/>
      <c r="G43" s="637"/>
      <c r="H43" s="637"/>
      <c r="I43" s="637"/>
      <c r="J43" s="637"/>
      <c r="K43" s="637"/>
      <c r="L43" s="637"/>
      <c r="M43" s="637"/>
      <c r="N43" s="637"/>
      <c r="O43" s="637"/>
      <c r="P43" s="637"/>
      <c r="Q43" s="637"/>
      <c r="R43" s="637"/>
      <c r="S43" s="637"/>
      <c r="T43" s="637"/>
      <c r="U43" s="637"/>
      <c r="V43" s="637"/>
      <c r="W43" s="637"/>
      <c r="X43" s="637"/>
      <c r="Y43" s="637"/>
      <c r="Z43" s="637"/>
    </row>
    <row r="44" ht="11.25" customHeight="1">
      <c r="A44" s="637"/>
      <c r="B44" s="637"/>
      <c r="C44" s="637"/>
      <c r="D44" s="637"/>
      <c r="E44" s="637"/>
      <c r="F44" s="637"/>
      <c r="G44" s="637"/>
      <c r="H44" s="637"/>
      <c r="I44" s="637"/>
      <c r="J44" s="637"/>
      <c r="K44" s="637"/>
      <c r="L44" s="637"/>
      <c r="M44" s="637"/>
      <c r="N44" s="637"/>
      <c r="O44" s="637"/>
      <c r="P44" s="637"/>
      <c r="Q44" s="637"/>
      <c r="R44" s="637"/>
      <c r="S44" s="637"/>
      <c r="T44" s="637"/>
      <c r="U44" s="637"/>
      <c r="V44" s="637"/>
      <c r="W44" s="637"/>
      <c r="X44" s="637"/>
      <c r="Y44" s="637"/>
      <c r="Z44" s="637"/>
    </row>
    <row r="45" ht="11.25" customHeight="1">
      <c r="A45" s="637"/>
      <c r="B45" s="637"/>
      <c r="C45" s="637"/>
      <c r="D45" s="637"/>
      <c r="E45" s="637"/>
      <c r="F45" s="637"/>
      <c r="G45" s="637"/>
      <c r="H45" s="637"/>
      <c r="I45" s="637"/>
      <c r="J45" s="637"/>
      <c r="K45" s="637"/>
      <c r="L45" s="637"/>
      <c r="M45" s="637"/>
      <c r="N45" s="637"/>
      <c r="O45" s="637"/>
      <c r="P45" s="637"/>
      <c r="Q45" s="637"/>
      <c r="R45" s="637"/>
      <c r="S45" s="637"/>
      <c r="T45" s="637"/>
      <c r="U45" s="637"/>
      <c r="V45" s="637"/>
      <c r="W45" s="637"/>
      <c r="X45" s="637"/>
      <c r="Y45" s="637"/>
      <c r="Z45" s="637"/>
    </row>
    <row r="46" ht="11.25" customHeight="1">
      <c r="A46" s="637"/>
      <c r="B46" s="637"/>
      <c r="C46" s="637"/>
      <c r="D46" s="637"/>
      <c r="E46" s="637"/>
      <c r="F46" s="637"/>
      <c r="G46" s="637"/>
      <c r="H46" s="637"/>
      <c r="I46" s="637"/>
      <c r="J46" s="637"/>
      <c r="K46" s="637"/>
      <c r="L46" s="637"/>
      <c r="M46" s="637"/>
      <c r="N46" s="637"/>
      <c r="O46" s="637"/>
      <c r="P46" s="637"/>
      <c r="Q46" s="637"/>
      <c r="R46" s="637"/>
      <c r="S46" s="637"/>
      <c r="T46" s="637"/>
      <c r="U46" s="637"/>
      <c r="V46" s="637"/>
      <c r="W46" s="637"/>
      <c r="X46" s="637"/>
      <c r="Y46" s="637"/>
      <c r="Z46" s="637"/>
    </row>
    <row r="47" ht="11.25" customHeight="1">
      <c r="A47" s="637"/>
      <c r="B47" s="637"/>
      <c r="C47" s="637"/>
      <c r="D47" s="637"/>
      <c r="E47" s="637"/>
      <c r="F47" s="637"/>
      <c r="G47" s="637"/>
      <c r="H47" s="637"/>
      <c r="I47" s="637"/>
      <c r="J47" s="637"/>
      <c r="K47" s="637"/>
      <c r="L47" s="637"/>
      <c r="M47" s="637"/>
      <c r="N47" s="637"/>
      <c r="O47" s="637"/>
      <c r="P47" s="637"/>
      <c r="Q47" s="637"/>
      <c r="R47" s="637"/>
      <c r="S47" s="637"/>
      <c r="T47" s="637"/>
      <c r="U47" s="637"/>
      <c r="V47" s="637"/>
      <c r="W47" s="637"/>
      <c r="X47" s="637"/>
      <c r="Y47" s="637"/>
      <c r="Z47" s="637"/>
    </row>
    <row r="48" ht="11.25" customHeight="1">
      <c r="A48" s="637"/>
      <c r="B48" s="637"/>
      <c r="C48" s="637"/>
      <c r="D48" s="637"/>
      <c r="E48" s="637"/>
      <c r="F48" s="637"/>
      <c r="G48" s="637"/>
      <c r="H48" s="637"/>
      <c r="I48" s="637"/>
      <c r="J48" s="637"/>
      <c r="K48" s="637"/>
      <c r="L48" s="637"/>
      <c r="M48" s="637"/>
      <c r="N48" s="637"/>
      <c r="O48" s="637"/>
      <c r="P48" s="637"/>
      <c r="Q48" s="637"/>
      <c r="R48" s="637"/>
      <c r="S48" s="637"/>
      <c r="T48" s="637"/>
      <c r="U48" s="637"/>
      <c r="V48" s="637"/>
      <c r="W48" s="637"/>
      <c r="X48" s="637"/>
      <c r="Y48" s="637"/>
      <c r="Z48" s="637"/>
    </row>
    <row r="49" ht="11.25" customHeight="1">
      <c r="A49" s="637"/>
      <c r="B49" s="637"/>
      <c r="C49" s="637"/>
      <c r="D49" s="637"/>
      <c r="E49" s="637"/>
      <c r="F49" s="637"/>
      <c r="G49" s="637"/>
      <c r="H49" s="637"/>
      <c r="I49" s="637"/>
      <c r="J49" s="637"/>
      <c r="K49" s="637"/>
      <c r="L49" s="637"/>
      <c r="M49" s="637"/>
      <c r="N49" s="637"/>
      <c r="O49" s="637"/>
      <c r="P49" s="637"/>
      <c r="Q49" s="637"/>
      <c r="R49" s="637"/>
      <c r="S49" s="637"/>
      <c r="T49" s="637"/>
      <c r="U49" s="637"/>
      <c r="V49" s="637"/>
      <c r="W49" s="637"/>
      <c r="X49" s="637"/>
      <c r="Y49" s="637"/>
      <c r="Z49" s="637"/>
    </row>
    <row r="50" ht="11.25" customHeight="1">
      <c r="A50" s="637"/>
      <c r="B50" s="637"/>
      <c r="C50" s="637"/>
      <c r="D50" s="637"/>
      <c r="E50" s="637"/>
      <c r="F50" s="637"/>
      <c r="G50" s="637"/>
      <c r="H50" s="637"/>
      <c r="I50" s="637"/>
      <c r="J50" s="637"/>
      <c r="K50" s="637"/>
      <c r="L50" s="637"/>
      <c r="M50" s="637"/>
      <c r="N50" s="637"/>
      <c r="O50" s="637"/>
      <c r="P50" s="637"/>
      <c r="Q50" s="637"/>
      <c r="R50" s="637"/>
      <c r="S50" s="637"/>
      <c r="T50" s="637"/>
      <c r="U50" s="637"/>
      <c r="V50" s="637"/>
      <c r="W50" s="637"/>
      <c r="X50" s="637"/>
      <c r="Y50" s="637"/>
      <c r="Z50" s="637"/>
    </row>
    <row r="51" ht="11.25" customHeight="1">
      <c r="A51" s="637"/>
      <c r="B51" s="637"/>
      <c r="C51" s="637"/>
      <c r="D51" s="637"/>
      <c r="E51" s="637"/>
      <c r="F51" s="637"/>
      <c r="G51" s="637"/>
      <c r="H51" s="637"/>
      <c r="I51" s="637"/>
      <c r="J51" s="637"/>
      <c r="K51" s="637"/>
      <c r="L51" s="637"/>
      <c r="M51" s="637"/>
      <c r="N51" s="637"/>
      <c r="O51" s="637"/>
      <c r="P51" s="637"/>
      <c r="Q51" s="637"/>
      <c r="R51" s="637"/>
      <c r="S51" s="637"/>
      <c r="T51" s="637"/>
      <c r="U51" s="637"/>
      <c r="V51" s="637"/>
      <c r="W51" s="637"/>
      <c r="X51" s="637"/>
      <c r="Y51" s="637"/>
      <c r="Z51" s="637"/>
    </row>
    <row r="52" ht="11.25" customHeight="1">
      <c r="A52" s="637"/>
      <c r="B52" s="637"/>
      <c r="C52" s="637"/>
      <c r="D52" s="637"/>
      <c r="E52" s="637"/>
      <c r="F52" s="637"/>
      <c r="G52" s="637"/>
      <c r="H52" s="637"/>
      <c r="I52" s="637"/>
      <c r="J52" s="637"/>
      <c r="K52" s="637"/>
      <c r="L52" s="637"/>
      <c r="M52" s="637"/>
      <c r="N52" s="637"/>
      <c r="O52" s="637"/>
      <c r="P52" s="637"/>
      <c r="Q52" s="637"/>
      <c r="R52" s="637"/>
      <c r="S52" s="637"/>
      <c r="T52" s="637"/>
      <c r="U52" s="637"/>
      <c r="V52" s="637"/>
      <c r="W52" s="637"/>
      <c r="X52" s="637"/>
      <c r="Y52" s="637"/>
      <c r="Z52" s="637"/>
    </row>
    <row r="53" ht="11.25" customHeight="1">
      <c r="A53" s="637"/>
      <c r="B53" s="637"/>
      <c r="C53" s="637"/>
      <c r="D53" s="637"/>
      <c r="E53" s="637"/>
      <c r="F53" s="637"/>
      <c r="G53" s="637"/>
      <c r="H53" s="637"/>
      <c r="I53" s="637"/>
      <c r="J53" s="637"/>
      <c r="K53" s="637"/>
      <c r="L53" s="637"/>
      <c r="M53" s="637"/>
      <c r="N53" s="637"/>
      <c r="O53" s="637"/>
      <c r="P53" s="637"/>
      <c r="Q53" s="637"/>
      <c r="R53" s="637"/>
      <c r="S53" s="637"/>
      <c r="T53" s="637"/>
      <c r="U53" s="637"/>
      <c r="V53" s="637"/>
      <c r="W53" s="637"/>
      <c r="X53" s="637"/>
      <c r="Y53" s="637"/>
      <c r="Z53" s="637"/>
    </row>
    <row r="54" ht="11.25" customHeight="1">
      <c r="A54" s="637"/>
      <c r="B54" s="637"/>
      <c r="C54" s="637"/>
      <c r="D54" s="637"/>
      <c r="E54" s="637"/>
      <c r="F54" s="637"/>
      <c r="G54" s="637"/>
      <c r="H54" s="637"/>
      <c r="I54" s="637"/>
      <c r="J54" s="637"/>
      <c r="K54" s="637"/>
      <c r="L54" s="637"/>
      <c r="M54" s="637"/>
      <c r="N54" s="637"/>
      <c r="O54" s="637"/>
      <c r="P54" s="637"/>
      <c r="Q54" s="637"/>
      <c r="R54" s="637"/>
      <c r="S54" s="637"/>
      <c r="T54" s="637"/>
      <c r="U54" s="637"/>
      <c r="V54" s="637"/>
      <c r="W54" s="637"/>
      <c r="X54" s="637"/>
      <c r="Y54" s="637"/>
      <c r="Z54" s="637"/>
    </row>
    <row r="55" ht="11.25" customHeight="1">
      <c r="A55" s="637"/>
      <c r="B55" s="637"/>
      <c r="C55" s="637"/>
      <c r="D55" s="637"/>
      <c r="E55" s="637"/>
      <c r="F55" s="637"/>
      <c r="G55" s="637"/>
      <c r="H55" s="637"/>
      <c r="I55" s="637"/>
      <c r="J55" s="637"/>
      <c r="K55" s="637"/>
      <c r="L55" s="637"/>
      <c r="M55" s="637"/>
      <c r="N55" s="637"/>
      <c r="O55" s="637"/>
      <c r="P55" s="637"/>
      <c r="Q55" s="637"/>
      <c r="R55" s="637"/>
      <c r="S55" s="637"/>
      <c r="T55" s="637"/>
      <c r="U55" s="637"/>
      <c r="V55" s="637"/>
      <c r="W55" s="637"/>
      <c r="X55" s="637"/>
      <c r="Y55" s="637"/>
      <c r="Z55" s="637"/>
    </row>
    <row r="56" ht="11.25" customHeight="1">
      <c r="A56" s="637"/>
      <c r="B56" s="637"/>
      <c r="C56" s="637"/>
      <c r="D56" s="637"/>
      <c r="E56" s="637"/>
      <c r="F56" s="637"/>
      <c r="G56" s="637"/>
      <c r="H56" s="637"/>
      <c r="I56" s="637"/>
      <c r="J56" s="637"/>
      <c r="K56" s="637"/>
      <c r="L56" s="637"/>
      <c r="M56" s="637"/>
      <c r="N56" s="637"/>
      <c r="O56" s="637"/>
      <c r="P56" s="637"/>
      <c r="Q56" s="637"/>
      <c r="R56" s="637"/>
      <c r="S56" s="637"/>
      <c r="T56" s="637"/>
      <c r="U56" s="637"/>
      <c r="V56" s="637"/>
      <c r="W56" s="637"/>
      <c r="X56" s="637"/>
      <c r="Y56" s="637"/>
      <c r="Z56" s="637"/>
    </row>
    <row r="57" ht="11.25" customHeight="1">
      <c r="A57" s="637"/>
      <c r="B57" s="637"/>
      <c r="C57" s="637"/>
      <c r="D57" s="637"/>
      <c r="E57" s="637"/>
      <c r="F57" s="637"/>
      <c r="G57" s="637"/>
      <c r="H57" s="637"/>
      <c r="I57" s="637"/>
      <c r="J57" s="637"/>
      <c r="K57" s="637"/>
      <c r="L57" s="637"/>
      <c r="M57" s="637"/>
      <c r="N57" s="637"/>
      <c r="O57" s="637"/>
      <c r="P57" s="637"/>
      <c r="Q57" s="637"/>
      <c r="R57" s="637"/>
      <c r="S57" s="637"/>
      <c r="T57" s="637"/>
      <c r="U57" s="637"/>
      <c r="V57" s="637"/>
      <c r="W57" s="637"/>
      <c r="X57" s="637"/>
      <c r="Y57" s="637"/>
      <c r="Z57" s="637"/>
    </row>
    <row r="58" ht="11.25" customHeight="1">
      <c r="A58" s="637"/>
      <c r="B58" s="637"/>
      <c r="C58" s="637"/>
      <c r="D58" s="637"/>
      <c r="E58" s="637"/>
      <c r="F58" s="637"/>
      <c r="G58" s="637"/>
      <c r="H58" s="637"/>
      <c r="I58" s="637"/>
      <c r="J58" s="637"/>
      <c r="K58" s="637"/>
      <c r="L58" s="637"/>
      <c r="M58" s="637"/>
      <c r="N58" s="637"/>
      <c r="O58" s="637"/>
      <c r="P58" s="637"/>
      <c r="Q58" s="637"/>
      <c r="R58" s="637"/>
      <c r="S58" s="637"/>
      <c r="T58" s="637"/>
      <c r="U58" s="637"/>
      <c r="V58" s="637"/>
      <c r="W58" s="637"/>
      <c r="X58" s="637"/>
      <c r="Y58" s="637"/>
      <c r="Z58" s="637"/>
    </row>
    <row r="59" ht="11.25" customHeight="1">
      <c r="A59" s="637"/>
      <c r="B59" s="637"/>
      <c r="C59" s="637"/>
      <c r="D59" s="637"/>
      <c r="E59" s="637"/>
      <c r="F59" s="637"/>
      <c r="G59" s="637"/>
      <c r="H59" s="637"/>
      <c r="I59" s="637"/>
      <c r="J59" s="637"/>
      <c r="K59" s="637"/>
      <c r="L59" s="637"/>
      <c r="M59" s="637"/>
      <c r="N59" s="637"/>
      <c r="O59" s="637"/>
      <c r="P59" s="637"/>
      <c r="Q59" s="637"/>
      <c r="R59" s="637"/>
      <c r="S59" s="637"/>
      <c r="T59" s="637"/>
      <c r="U59" s="637"/>
      <c r="V59" s="637"/>
      <c r="W59" s="637"/>
      <c r="X59" s="637"/>
      <c r="Y59" s="637"/>
      <c r="Z59" s="637"/>
    </row>
    <row r="60" ht="11.25" customHeight="1">
      <c r="A60" s="637"/>
      <c r="B60" s="637"/>
      <c r="C60" s="637"/>
      <c r="D60" s="637"/>
      <c r="E60" s="637"/>
      <c r="F60" s="637"/>
      <c r="G60" s="637"/>
      <c r="H60" s="637"/>
      <c r="I60" s="637"/>
      <c r="J60" s="637"/>
      <c r="K60" s="637"/>
      <c r="L60" s="637"/>
      <c r="M60" s="637"/>
      <c r="N60" s="637"/>
      <c r="O60" s="637"/>
      <c r="P60" s="637"/>
      <c r="Q60" s="637"/>
      <c r="R60" s="637"/>
      <c r="S60" s="637"/>
      <c r="T60" s="637"/>
      <c r="U60" s="637"/>
      <c r="V60" s="637"/>
      <c r="W60" s="637"/>
      <c r="X60" s="637"/>
      <c r="Y60" s="637"/>
      <c r="Z60" s="637"/>
    </row>
    <row r="61" ht="11.25" customHeight="1">
      <c r="A61" s="637"/>
      <c r="B61" s="637"/>
      <c r="C61" s="637"/>
      <c r="D61" s="637"/>
      <c r="E61" s="637"/>
      <c r="F61" s="637"/>
      <c r="G61" s="637"/>
      <c r="H61" s="637"/>
      <c r="I61" s="637"/>
      <c r="J61" s="637"/>
      <c r="K61" s="637"/>
      <c r="L61" s="637"/>
      <c r="M61" s="637"/>
      <c r="N61" s="637"/>
      <c r="O61" s="637"/>
      <c r="P61" s="637"/>
      <c r="Q61" s="637"/>
      <c r="R61" s="637"/>
      <c r="S61" s="637"/>
      <c r="T61" s="637"/>
      <c r="U61" s="637"/>
      <c r="V61" s="637"/>
      <c r="W61" s="637"/>
      <c r="X61" s="637"/>
      <c r="Y61" s="637"/>
      <c r="Z61" s="637"/>
    </row>
    <row r="62" ht="11.25" customHeight="1">
      <c r="A62" s="637"/>
      <c r="B62" s="637"/>
      <c r="C62" s="637"/>
      <c r="D62" s="637"/>
      <c r="E62" s="637"/>
      <c r="F62" s="637"/>
      <c r="G62" s="637"/>
      <c r="H62" s="637"/>
      <c r="I62" s="637"/>
      <c r="J62" s="637"/>
      <c r="K62" s="637"/>
      <c r="L62" s="637"/>
      <c r="M62" s="637"/>
      <c r="N62" s="637"/>
      <c r="O62" s="637"/>
      <c r="P62" s="637"/>
      <c r="Q62" s="637"/>
      <c r="R62" s="637"/>
      <c r="S62" s="637"/>
      <c r="T62" s="637"/>
      <c r="U62" s="637"/>
      <c r="V62" s="637"/>
      <c r="W62" s="637"/>
      <c r="X62" s="637"/>
      <c r="Y62" s="637"/>
      <c r="Z62" s="637"/>
    </row>
    <row r="63" ht="11.25" customHeight="1">
      <c r="A63" s="637"/>
      <c r="B63" s="637"/>
      <c r="C63" s="637"/>
      <c r="D63" s="637"/>
      <c r="E63" s="637"/>
      <c r="F63" s="637"/>
      <c r="G63" s="637"/>
      <c r="H63" s="637"/>
      <c r="I63" s="637"/>
      <c r="J63" s="637"/>
      <c r="K63" s="637"/>
      <c r="L63" s="637"/>
      <c r="M63" s="637"/>
      <c r="N63" s="637"/>
      <c r="O63" s="637"/>
      <c r="P63" s="637"/>
      <c r="Q63" s="637"/>
      <c r="R63" s="637"/>
      <c r="S63" s="637"/>
      <c r="T63" s="637"/>
      <c r="U63" s="637"/>
      <c r="V63" s="637"/>
      <c r="W63" s="637"/>
      <c r="X63" s="637"/>
      <c r="Y63" s="637"/>
      <c r="Z63" s="637"/>
    </row>
    <row r="64" ht="11.25" customHeight="1">
      <c r="A64" s="637"/>
      <c r="B64" s="637"/>
      <c r="C64" s="637"/>
      <c r="D64" s="637"/>
      <c r="E64" s="637"/>
      <c r="F64" s="637"/>
      <c r="G64" s="637"/>
      <c r="H64" s="637"/>
      <c r="I64" s="637"/>
      <c r="J64" s="637"/>
      <c r="K64" s="637"/>
      <c r="L64" s="637"/>
      <c r="M64" s="637"/>
      <c r="N64" s="637"/>
      <c r="O64" s="637"/>
      <c r="P64" s="637"/>
      <c r="Q64" s="637"/>
      <c r="R64" s="637"/>
      <c r="S64" s="637"/>
      <c r="T64" s="637"/>
      <c r="U64" s="637"/>
      <c r="V64" s="637"/>
      <c r="W64" s="637"/>
      <c r="X64" s="637"/>
      <c r="Y64" s="637"/>
      <c r="Z64" s="637"/>
    </row>
    <row r="65" ht="11.25" customHeight="1">
      <c r="A65" s="637"/>
      <c r="B65" s="637"/>
      <c r="C65" s="637"/>
      <c r="D65" s="637"/>
      <c r="E65" s="637"/>
      <c r="F65" s="637"/>
      <c r="G65" s="637"/>
      <c r="H65" s="637"/>
      <c r="I65" s="637"/>
      <c r="J65" s="637"/>
      <c r="K65" s="637"/>
      <c r="L65" s="637"/>
      <c r="M65" s="637"/>
      <c r="N65" s="637"/>
      <c r="O65" s="637"/>
      <c r="P65" s="637"/>
      <c r="Q65" s="637"/>
      <c r="R65" s="637"/>
      <c r="S65" s="637"/>
      <c r="T65" s="637"/>
      <c r="U65" s="637"/>
      <c r="V65" s="637"/>
      <c r="W65" s="637"/>
      <c r="X65" s="637"/>
      <c r="Y65" s="637"/>
      <c r="Z65" s="637"/>
    </row>
    <row r="66" ht="11.25" customHeight="1">
      <c r="A66" s="637"/>
      <c r="B66" s="637"/>
      <c r="C66" s="637"/>
      <c r="D66" s="637"/>
      <c r="E66" s="637"/>
      <c r="F66" s="637"/>
      <c r="G66" s="637"/>
      <c r="H66" s="637"/>
      <c r="I66" s="637"/>
      <c r="J66" s="637"/>
      <c r="K66" s="637"/>
      <c r="L66" s="637"/>
      <c r="M66" s="637"/>
      <c r="N66" s="637"/>
      <c r="O66" s="637"/>
      <c r="P66" s="637"/>
      <c r="Q66" s="637"/>
      <c r="R66" s="637"/>
      <c r="S66" s="637"/>
      <c r="T66" s="637"/>
      <c r="U66" s="637"/>
      <c r="V66" s="637"/>
      <c r="W66" s="637"/>
      <c r="X66" s="637"/>
      <c r="Y66" s="637"/>
      <c r="Z66" s="637"/>
    </row>
    <row r="67" ht="11.25" customHeight="1">
      <c r="A67" s="637"/>
      <c r="B67" s="637"/>
      <c r="C67" s="637"/>
      <c r="D67" s="637"/>
      <c r="E67" s="637"/>
      <c r="F67" s="637"/>
      <c r="G67" s="637"/>
      <c r="H67" s="637"/>
      <c r="I67" s="637"/>
      <c r="J67" s="637"/>
      <c r="K67" s="637"/>
      <c r="L67" s="637"/>
      <c r="M67" s="637"/>
      <c r="N67" s="637"/>
      <c r="O67" s="637"/>
      <c r="P67" s="637"/>
      <c r="Q67" s="637"/>
      <c r="R67" s="637"/>
      <c r="S67" s="637"/>
      <c r="T67" s="637"/>
      <c r="U67" s="637"/>
      <c r="V67" s="637"/>
      <c r="W67" s="637"/>
      <c r="X67" s="637"/>
      <c r="Y67" s="637"/>
      <c r="Z67" s="637"/>
    </row>
    <row r="68" ht="11.25" customHeight="1">
      <c r="A68" s="637"/>
      <c r="B68" s="637"/>
      <c r="C68" s="637"/>
      <c r="D68" s="637"/>
      <c r="E68" s="637"/>
      <c r="F68" s="637"/>
      <c r="G68" s="637"/>
      <c r="H68" s="637"/>
      <c r="I68" s="637"/>
      <c r="J68" s="637"/>
      <c r="K68" s="637"/>
      <c r="L68" s="637"/>
      <c r="M68" s="637"/>
      <c r="N68" s="637"/>
      <c r="O68" s="637"/>
      <c r="P68" s="637"/>
      <c r="Q68" s="637"/>
      <c r="R68" s="637"/>
      <c r="S68" s="637"/>
      <c r="T68" s="637"/>
      <c r="U68" s="637"/>
      <c r="V68" s="637"/>
      <c r="W68" s="637"/>
      <c r="X68" s="637"/>
      <c r="Y68" s="637"/>
      <c r="Z68" s="637"/>
    </row>
    <row r="69" ht="11.25" customHeight="1">
      <c r="A69" s="637"/>
      <c r="B69" s="637"/>
      <c r="C69" s="637"/>
      <c r="D69" s="637"/>
      <c r="E69" s="637"/>
      <c r="F69" s="637"/>
      <c r="G69" s="637"/>
      <c r="H69" s="637"/>
      <c r="I69" s="637"/>
      <c r="J69" s="637"/>
      <c r="K69" s="637"/>
      <c r="L69" s="637"/>
      <c r="M69" s="637"/>
      <c r="N69" s="637"/>
      <c r="O69" s="637"/>
      <c r="P69" s="637"/>
      <c r="Q69" s="637"/>
      <c r="R69" s="637"/>
      <c r="S69" s="637"/>
      <c r="T69" s="637"/>
      <c r="U69" s="637"/>
      <c r="V69" s="637"/>
      <c r="W69" s="637"/>
      <c r="X69" s="637"/>
      <c r="Y69" s="637"/>
      <c r="Z69" s="637"/>
    </row>
    <row r="70" ht="11.25" customHeight="1">
      <c r="A70" s="637"/>
      <c r="B70" s="637"/>
      <c r="C70" s="637"/>
      <c r="D70" s="637"/>
      <c r="E70" s="637"/>
      <c r="F70" s="637"/>
      <c r="G70" s="637"/>
      <c r="H70" s="637"/>
      <c r="I70" s="637"/>
      <c r="J70" s="637"/>
      <c r="K70" s="637"/>
      <c r="L70" s="637"/>
      <c r="M70" s="637"/>
      <c r="N70" s="637"/>
      <c r="O70" s="637"/>
      <c r="P70" s="637"/>
      <c r="Q70" s="637"/>
      <c r="R70" s="637"/>
      <c r="S70" s="637"/>
      <c r="T70" s="637"/>
      <c r="U70" s="637"/>
      <c r="V70" s="637"/>
      <c r="W70" s="637"/>
      <c r="X70" s="637"/>
      <c r="Y70" s="637"/>
      <c r="Z70" s="637"/>
    </row>
    <row r="71" ht="11.25" customHeight="1">
      <c r="A71" s="637"/>
      <c r="B71" s="637"/>
      <c r="C71" s="637"/>
      <c r="D71" s="637"/>
      <c r="E71" s="637"/>
      <c r="F71" s="637"/>
      <c r="G71" s="637"/>
      <c r="H71" s="637"/>
      <c r="I71" s="637"/>
      <c r="J71" s="637"/>
      <c r="K71" s="637"/>
      <c r="L71" s="637"/>
      <c r="M71" s="637"/>
      <c r="N71" s="637"/>
      <c r="O71" s="637"/>
      <c r="P71" s="637"/>
      <c r="Q71" s="637"/>
      <c r="R71" s="637"/>
      <c r="S71" s="637"/>
      <c r="T71" s="637"/>
      <c r="U71" s="637"/>
      <c r="V71" s="637"/>
      <c r="W71" s="637"/>
      <c r="X71" s="637"/>
      <c r="Y71" s="637"/>
      <c r="Z71" s="637"/>
    </row>
    <row r="72" ht="11.25" customHeight="1">
      <c r="A72" s="637"/>
      <c r="B72" s="637"/>
      <c r="C72" s="637"/>
      <c r="D72" s="637"/>
      <c r="E72" s="637"/>
      <c r="F72" s="637"/>
      <c r="G72" s="637"/>
      <c r="H72" s="637"/>
      <c r="I72" s="637"/>
      <c r="J72" s="637"/>
      <c r="K72" s="637"/>
      <c r="L72" s="637"/>
      <c r="M72" s="637"/>
      <c r="N72" s="637"/>
      <c r="O72" s="637"/>
      <c r="P72" s="637"/>
      <c r="Q72" s="637"/>
      <c r="R72" s="637"/>
      <c r="S72" s="637"/>
      <c r="T72" s="637"/>
      <c r="U72" s="637"/>
      <c r="V72" s="637"/>
      <c r="W72" s="637"/>
      <c r="X72" s="637"/>
      <c r="Y72" s="637"/>
      <c r="Z72" s="637"/>
    </row>
    <row r="73" ht="11.25" customHeight="1">
      <c r="A73" s="637"/>
      <c r="B73" s="637"/>
      <c r="C73" s="637"/>
      <c r="D73" s="637"/>
      <c r="E73" s="637"/>
      <c r="F73" s="637"/>
      <c r="G73" s="637"/>
      <c r="H73" s="637"/>
      <c r="I73" s="637"/>
      <c r="J73" s="637"/>
      <c r="K73" s="637"/>
      <c r="L73" s="637"/>
      <c r="M73" s="637"/>
      <c r="N73" s="637"/>
      <c r="O73" s="637"/>
      <c r="P73" s="637"/>
      <c r="Q73" s="637"/>
      <c r="R73" s="637"/>
      <c r="S73" s="637"/>
      <c r="T73" s="637"/>
      <c r="U73" s="637"/>
      <c r="V73" s="637"/>
      <c r="W73" s="637"/>
      <c r="X73" s="637"/>
      <c r="Y73" s="637"/>
      <c r="Z73" s="637"/>
    </row>
    <row r="74" ht="11.25" customHeight="1">
      <c r="A74" s="637"/>
      <c r="B74" s="637"/>
      <c r="C74" s="637"/>
      <c r="D74" s="637"/>
      <c r="E74" s="637"/>
      <c r="F74" s="637"/>
      <c r="G74" s="637"/>
      <c r="H74" s="637"/>
      <c r="I74" s="637"/>
      <c r="J74" s="637"/>
      <c r="K74" s="637"/>
      <c r="L74" s="637"/>
      <c r="M74" s="637"/>
      <c r="N74" s="637"/>
      <c r="O74" s="637"/>
      <c r="P74" s="637"/>
      <c r="Q74" s="637"/>
      <c r="R74" s="637"/>
      <c r="S74" s="637"/>
      <c r="T74" s="637"/>
      <c r="U74" s="637"/>
      <c r="V74" s="637"/>
      <c r="W74" s="637"/>
      <c r="X74" s="637"/>
      <c r="Y74" s="637"/>
      <c r="Z74" s="637"/>
    </row>
    <row r="75" ht="11.25" customHeight="1">
      <c r="A75" s="637"/>
      <c r="B75" s="637"/>
      <c r="C75" s="637"/>
      <c r="D75" s="637"/>
      <c r="E75" s="637"/>
      <c r="F75" s="637"/>
      <c r="G75" s="637"/>
      <c r="H75" s="637"/>
      <c r="I75" s="637"/>
      <c r="J75" s="637"/>
      <c r="K75" s="637"/>
      <c r="L75" s="637"/>
      <c r="M75" s="637"/>
      <c r="N75" s="637"/>
      <c r="O75" s="637"/>
      <c r="P75" s="637"/>
      <c r="Q75" s="637"/>
      <c r="R75" s="637"/>
      <c r="S75" s="637"/>
      <c r="T75" s="637"/>
      <c r="U75" s="637"/>
      <c r="V75" s="637"/>
      <c r="W75" s="637"/>
      <c r="X75" s="637"/>
      <c r="Y75" s="637"/>
      <c r="Z75" s="637"/>
    </row>
    <row r="76" ht="11.25" customHeight="1">
      <c r="A76" s="637"/>
      <c r="B76" s="637"/>
      <c r="C76" s="637"/>
      <c r="D76" s="637"/>
      <c r="E76" s="637"/>
      <c r="F76" s="637"/>
      <c r="G76" s="637"/>
      <c r="H76" s="637"/>
      <c r="I76" s="637"/>
      <c r="J76" s="637"/>
      <c r="K76" s="637"/>
      <c r="L76" s="637"/>
      <c r="M76" s="637"/>
      <c r="N76" s="637"/>
      <c r="O76" s="637"/>
      <c r="P76" s="637"/>
      <c r="Q76" s="637"/>
      <c r="R76" s="637"/>
      <c r="S76" s="637"/>
      <c r="T76" s="637"/>
      <c r="U76" s="637"/>
      <c r="V76" s="637"/>
      <c r="W76" s="637"/>
      <c r="X76" s="637"/>
      <c r="Y76" s="637"/>
      <c r="Z76" s="637"/>
    </row>
    <row r="77" ht="11.25" customHeight="1">
      <c r="A77" s="637"/>
      <c r="B77" s="637"/>
      <c r="C77" s="637"/>
      <c r="D77" s="637"/>
      <c r="E77" s="637"/>
      <c r="F77" s="637"/>
      <c r="G77" s="637"/>
      <c r="H77" s="637"/>
      <c r="I77" s="637"/>
      <c r="J77" s="637"/>
      <c r="K77" s="637"/>
      <c r="L77" s="637"/>
      <c r="M77" s="637"/>
      <c r="N77" s="637"/>
      <c r="O77" s="637"/>
      <c r="P77" s="637"/>
      <c r="Q77" s="637"/>
      <c r="R77" s="637"/>
      <c r="S77" s="637"/>
      <c r="T77" s="637"/>
      <c r="U77" s="637"/>
      <c r="V77" s="637"/>
      <c r="W77" s="637"/>
      <c r="X77" s="637"/>
      <c r="Y77" s="637"/>
      <c r="Z77" s="637"/>
    </row>
    <row r="78" ht="11.25" customHeight="1">
      <c r="A78" s="637"/>
      <c r="B78" s="637"/>
      <c r="C78" s="637"/>
      <c r="D78" s="637"/>
      <c r="E78" s="637"/>
      <c r="F78" s="637"/>
      <c r="G78" s="637"/>
      <c r="H78" s="637"/>
      <c r="I78" s="637"/>
      <c r="J78" s="637"/>
      <c r="K78" s="637"/>
      <c r="L78" s="637"/>
      <c r="M78" s="637"/>
      <c r="N78" s="637"/>
      <c r="O78" s="637"/>
      <c r="P78" s="637"/>
      <c r="Q78" s="637"/>
      <c r="R78" s="637"/>
      <c r="S78" s="637"/>
      <c r="T78" s="637"/>
      <c r="U78" s="637"/>
      <c r="V78" s="637"/>
      <c r="W78" s="637"/>
      <c r="X78" s="637"/>
      <c r="Y78" s="637"/>
      <c r="Z78" s="637"/>
    </row>
    <row r="79" ht="11.25" customHeight="1">
      <c r="A79" s="637"/>
      <c r="B79" s="637"/>
      <c r="C79" s="637"/>
      <c r="D79" s="637"/>
      <c r="E79" s="637"/>
      <c r="F79" s="637"/>
      <c r="G79" s="637"/>
      <c r="H79" s="637"/>
      <c r="I79" s="637"/>
      <c r="J79" s="637"/>
      <c r="K79" s="637"/>
      <c r="L79" s="637"/>
      <c r="M79" s="637"/>
      <c r="N79" s="637"/>
      <c r="O79" s="637"/>
      <c r="P79" s="637"/>
      <c r="Q79" s="637"/>
      <c r="R79" s="637"/>
      <c r="S79" s="637"/>
      <c r="T79" s="637"/>
      <c r="U79" s="637"/>
      <c r="V79" s="637"/>
      <c r="W79" s="637"/>
      <c r="X79" s="637"/>
      <c r="Y79" s="637"/>
      <c r="Z79" s="637"/>
    </row>
    <row r="80" ht="11.25" customHeight="1">
      <c r="A80" s="637"/>
      <c r="B80" s="637"/>
      <c r="C80" s="637"/>
      <c r="D80" s="637"/>
      <c r="E80" s="637"/>
      <c r="F80" s="637"/>
      <c r="G80" s="637"/>
      <c r="H80" s="637"/>
      <c r="I80" s="637"/>
      <c r="J80" s="637"/>
      <c r="K80" s="637"/>
      <c r="L80" s="637"/>
      <c r="M80" s="637"/>
      <c r="N80" s="637"/>
      <c r="O80" s="637"/>
      <c r="P80" s="637"/>
      <c r="Q80" s="637"/>
      <c r="R80" s="637"/>
      <c r="S80" s="637"/>
      <c r="T80" s="637"/>
      <c r="U80" s="637"/>
      <c r="V80" s="637"/>
      <c r="W80" s="637"/>
      <c r="X80" s="637"/>
      <c r="Y80" s="637"/>
      <c r="Z80" s="637"/>
    </row>
    <row r="81" ht="11.25" customHeight="1">
      <c r="A81" s="637"/>
      <c r="B81" s="637"/>
      <c r="C81" s="637"/>
      <c r="D81" s="637"/>
      <c r="E81" s="637"/>
      <c r="F81" s="637"/>
      <c r="G81" s="637"/>
      <c r="H81" s="637"/>
      <c r="I81" s="637"/>
      <c r="J81" s="637"/>
      <c r="K81" s="637"/>
      <c r="L81" s="637"/>
      <c r="M81" s="637"/>
      <c r="N81" s="637"/>
      <c r="O81" s="637"/>
      <c r="P81" s="637"/>
      <c r="Q81" s="637"/>
      <c r="R81" s="637"/>
      <c r="S81" s="637"/>
      <c r="T81" s="637"/>
      <c r="U81" s="637"/>
      <c r="V81" s="637"/>
      <c r="W81" s="637"/>
      <c r="X81" s="637"/>
      <c r="Y81" s="637"/>
      <c r="Z81" s="637"/>
    </row>
    <row r="82" ht="11.25" customHeight="1">
      <c r="A82" s="637"/>
      <c r="B82" s="637"/>
      <c r="C82" s="637"/>
      <c r="D82" s="637"/>
      <c r="E82" s="637"/>
      <c r="F82" s="637"/>
      <c r="G82" s="637"/>
      <c r="H82" s="637"/>
      <c r="I82" s="637"/>
      <c r="J82" s="637"/>
      <c r="K82" s="637"/>
      <c r="L82" s="637"/>
      <c r="M82" s="637"/>
      <c r="N82" s="637"/>
      <c r="O82" s="637"/>
      <c r="P82" s="637"/>
      <c r="Q82" s="637"/>
      <c r="R82" s="637"/>
      <c r="S82" s="637"/>
      <c r="T82" s="637"/>
      <c r="U82" s="637"/>
      <c r="V82" s="637"/>
      <c r="W82" s="637"/>
      <c r="X82" s="637"/>
      <c r="Y82" s="637"/>
      <c r="Z82" s="637"/>
    </row>
    <row r="83" ht="11.25" customHeight="1">
      <c r="A83" s="637"/>
      <c r="B83" s="637"/>
      <c r="C83" s="637"/>
      <c r="D83" s="637"/>
      <c r="E83" s="637"/>
      <c r="F83" s="637"/>
      <c r="G83" s="637"/>
      <c r="H83" s="637"/>
      <c r="I83" s="637"/>
      <c r="J83" s="637"/>
      <c r="K83" s="637"/>
      <c r="L83" s="637"/>
      <c r="M83" s="637"/>
      <c r="N83" s="637"/>
      <c r="O83" s="637"/>
      <c r="P83" s="637"/>
      <c r="Q83" s="637"/>
      <c r="R83" s="637"/>
      <c r="S83" s="637"/>
      <c r="T83" s="637"/>
      <c r="U83" s="637"/>
      <c r="V83" s="637"/>
      <c r="W83" s="637"/>
      <c r="X83" s="637"/>
      <c r="Y83" s="637"/>
      <c r="Z83" s="637"/>
    </row>
    <row r="84" ht="11.25" customHeight="1">
      <c r="A84" s="637"/>
      <c r="B84" s="637"/>
      <c r="C84" s="637"/>
      <c r="D84" s="637"/>
      <c r="E84" s="637"/>
      <c r="F84" s="637"/>
      <c r="G84" s="637"/>
      <c r="H84" s="637"/>
      <c r="I84" s="637"/>
      <c r="J84" s="637"/>
      <c r="K84" s="637"/>
      <c r="L84" s="637"/>
      <c r="M84" s="637"/>
      <c r="N84" s="637"/>
      <c r="O84" s="637"/>
      <c r="P84" s="637"/>
      <c r="Q84" s="637"/>
      <c r="R84" s="637"/>
      <c r="S84" s="637"/>
      <c r="T84" s="637"/>
      <c r="U84" s="637"/>
      <c r="V84" s="637"/>
      <c r="W84" s="637"/>
      <c r="X84" s="637"/>
      <c r="Y84" s="637"/>
      <c r="Z84" s="637"/>
    </row>
    <row r="85" ht="11.25" customHeight="1">
      <c r="A85" s="637"/>
      <c r="B85" s="637"/>
      <c r="C85" s="637"/>
      <c r="D85" s="637"/>
      <c r="E85" s="637"/>
      <c r="F85" s="637"/>
      <c r="G85" s="637"/>
      <c r="H85" s="637"/>
      <c r="I85" s="637"/>
      <c r="J85" s="637"/>
      <c r="K85" s="637"/>
      <c r="L85" s="637"/>
      <c r="M85" s="637"/>
      <c r="N85" s="637"/>
      <c r="O85" s="637"/>
      <c r="P85" s="637"/>
      <c r="Q85" s="637"/>
      <c r="R85" s="637"/>
      <c r="S85" s="637"/>
      <c r="T85" s="637"/>
      <c r="U85" s="637"/>
      <c r="V85" s="637"/>
      <c r="W85" s="637"/>
      <c r="X85" s="637"/>
      <c r="Y85" s="637"/>
      <c r="Z85" s="637"/>
    </row>
    <row r="86" ht="11.25" customHeight="1">
      <c r="A86" s="637"/>
      <c r="B86" s="637"/>
      <c r="C86" s="637"/>
      <c r="D86" s="637"/>
      <c r="E86" s="637"/>
      <c r="F86" s="637"/>
      <c r="G86" s="637"/>
      <c r="H86" s="637"/>
      <c r="I86" s="637"/>
      <c r="J86" s="637"/>
      <c r="K86" s="637"/>
      <c r="L86" s="637"/>
      <c r="M86" s="637"/>
      <c r="N86" s="637"/>
      <c r="O86" s="637"/>
      <c r="P86" s="637"/>
      <c r="Q86" s="637"/>
      <c r="R86" s="637"/>
      <c r="S86" s="637"/>
      <c r="T86" s="637"/>
      <c r="U86" s="637"/>
      <c r="V86" s="637"/>
      <c r="W86" s="637"/>
      <c r="X86" s="637"/>
      <c r="Y86" s="637"/>
      <c r="Z86" s="637"/>
    </row>
    <row r="87" ht="11.25" customHeight="1">
      <c r="A87" s="637"/>
      <c r="B87" s="637"/>
      <c r="C87" s="637"/>
      <c r="D87" s="637"/>
      <c r="E87" s="637"/>
      <c r="F87" s="637"/>
      <c r="G87" s="637"/>
      <c r="H87" s="637"/>
      <c r="I87" s="637"/>
      <c r="J87" s="637"/>
      <c r="K87" s="637"/>
      <c r="L87" s="637"/>
      <c r="M87" s="637"/>
      <c r="N87" s="637"/>
      <c r="O87" s="637"/>
      <c r="P87" s="637"/>
      <c r="Q87" s="637"/>
      <c r="R87" s="637"/>
      <c r="S87" s="637"/>
      <c r="T87" s="637"/>
      <c r="U87" s="637"/>
      <c r="V87" s="637"/>
      <c r="W87" s="637"/>
      <c r="X87" s="637"/>
      <c r="Y87" s="637"/>
      <c r="Z87" s="637"/>
    </row>
    <row r="88" ht="11.25" customHeight="1">
      <c r="A88" s="637"/>
      <c r="B88" s="637"/>
      <c r="C88" s="637"/>
      <c r="D88" s="637"/>
      <c r="E88" s="637"/>
      <c r="F88" s="637"/>
      <c r="G88" s="637"/>
      <c r="H88" s="637"/>
      <c r="I88" s="637"/>
      <c r="J88" s="637"/>
      <c r="K88" s="637"/>
      <c r="L88" s="637"/>
      <c r="M88" s="637"/>
      <c r="N88" s="637"/>
      <c r="O88" s="637"/>
      <c r="P88" s="637"/>
      <c r="Q88" s="637"/>
      <c r="R88" s="637"/>
      <c r="S88" s="637"/>
      <c r="T88" s="637"/>
      <c r="U88" s="637"/>
      <c r="V88" s="637"/>
      <c r="W88" s="637"/>
      <c r="X88" s="637"/>
      <c r="Y88" s="637"/>
      <c r="Z88" s="637"/>
    </row>
    <row r="89" ht="11.25" customHeight="1">
      <c r="A89" s="637"/>
      <c r="B89" s="637"/>
      <c r="C89" s="637"/>
      <c r="D89" s="637"/>
      <c r="E89" s="637"/>
      <c r="F89" s="637"/>
      <c r="G89" s="637"/>
      <c r="H89" s="637"/>
      <c r="I89" s="637"/>
      <c r="J89" s="637"/>
      <c r="K89" s="637"/>
      <c r="L89" s="637"/>
      <c r="M89" s="637"/>
      <c r="N89" s="637"/>
      <c r="O89" s="637"/>
      <c r="P89" s="637"/>
      <c r="Q89" s="637"/>
      <c r="R89" s="637"/>
      <c r="S89" s="637"/>
      <c r="T89" s="637"/>
      <c r="U89" s="637"/>
      <c r="V89" s="637"/>
      <c r="W89" s="637"/>
      <c r="X89" s="637"/>
      <c r="Y89" s="637"/>
      <c r="Z89" s="637"/>
    </row>
    <row r="90" ht="11.25" customHeight="1">
      <c r="A90" s="637"/>
      <c r="B90" s="637"/>
      <c r="C90" s="637"/>
      <c r="D90" s="637"/>
      <c r="E90" s="637"/>
      <c r="F90" s="637"/>
      <c r="G90" s="637"/>
      <c r="H90" s="637"/>
      <c r="I90" s="637"/>
      <c r="J90" s="637"/>
      <c r="K90" s="637"/>
      <c r="L90" s="637"/>
      <c r="M90" s="637"/>
      <c r="N90" s="637"/>
      <c r="O90" s="637"/>
      <c r="P90" s="637"/>
      <c r="Q90" s="637"/>
      <c r="R90" s="637"/>
      <c r="S90" s="637"/>
      <c r="T90" s="637"/>
      <c r="U90" s="637"/>
      <c r="V90" s="637"/>
      <c r="W90" s="637"/>
      <c r="X90" s="637"/>
      <c r="Y90" s="637"/>
      <c r="Z90" s="637"/>
    </row>
    <row r="91" ht="11.25" customHeight="1">
      <c r="A91" s="637"/>
      <c r="B91" s="637"/>
      <c r="C91" s="637"/>
      <c r="D91" s="637"/>
      <c r="E91" s="637"/>
      <c r="F91" s="637"/>
      <c r="G91" s="637"/>
      <c r="H91" s="637"/>
      <c r="I91" s="637"/>
      <c r="J91" s="637"/>
      <c r="K91" s="637"/>
      <c r="L91" s="637"/>
      <c r="M91" s="637"/>
      <c r="N91" s="637"/>
      <c r="O91" s="637"/>
      <c r="P91" s="637"/>
      <c r="Q91" s="637"/>
      <c r="R91" s="637"/>
      <c r="S91" s="637"/>
      <c r="T91" s="637"/>
      <c r="U91" s="637"/>
      <c r="V91" s="637"/>
      <c r="W91" s="637"/>
      <c r="X91" s="637"/>
      <c r="Y91" s="637"/>
      <c r="Z91" s="637"/>
    </row>
    <row r="92" ht="11.25" customHeight="1">
      <c r="A92" s="637"/>
      <c r="B92" s="637"/>
      <c r="C92" s="637"/>
      <c r="D92" s="637"/>
      <c r="E92" s="637"/>
      <c r="F92" s="637"/>
      <c r="G92" s="637"/>
      <c r="H92" s="637"/>
      <c r="I92" s="637"/>
      <c r="J92" s="637"/>
      <c r="K92" s="637"/>
      <c r="L92" s="637"/>
      <c r="M92" s="637"/>
      <c r="N92" s="637"/>
      <c r="O92" s="637"/>
      <c r="P92" s="637"/>
      <c r="Q92" s="637"/>
      <c r="R92" s="637"/>
      <c r="S92" s="637"/>
      <c r="T92" s="637"/>
      <c r="U92" s="637"/>
      <c r="V92" s="637"/>
      <c r="W92" s="637"/>
      <c r="X92" s="637"/>
      <c r="Y92" s="637"/>
      <c r="Z92" s="637"/>
    </row>
    <row r="93" ht="11.25" customHeight="1">
      <c r="A93" s="637"/>
      <c r="B93" s="637"/>
      <c r="C93" s="637"/>
      <c r="D93" s="637"/>
      <c r="E93" s="637"/>
      <c r="F93" s="637"/>
      <c r="G93" s="637"/>
      <c r="H93" s="637"/>
      <c r="I93" s="637"/>
      <c r="J93" s="637"/>
      <c r="K93" s="637"/>
      <c r="L93" s="637"/>
      <c r="M93" s="637"/>
      <c r="N93" s="637"/>
      <c r="O93" s="637"/>
      <c r="P93" s="637"/>
      <c r="Q93" s="637"/>
      <c r="R93" s="637"/>
      <c r="S93" s="637"/>
      <c r="T93" s="637"/>
      <c r="U93" s="637"/>
      <c r="V93" s="637"/>
      <c r="W93" s="637"/>
      <c r="X93" s="637"/>
      <c r="Y93" s="637"/>
      <c r="Z93" s="637"/>
    </row>
    <row r="94" ht="11.25" customHeight="1">
      <c r="A94" s="637"/>
      <c r="B94" s="637"/>
      <c r="C94" s="637"/>
      <c r="D94" s="637"/>
      <c r="E94" s="637"/>
      <c r="F94" s="637"/>
      <c r="G94" s="637"/>
      <c r="H94" s="637"/>
      <c r="I94" s="637"/>
      <c r="J94" s="637"/>
      <c r="K94" s="637"/>
      <c r="L94" s="637"/>
      <c r="M94" s="637"/>
      <c r="N94" s="637"/>
      <c r="O94" s="637"/>
      <c r="P94" s="637"/>
      <c r="Q94" s="637"/>
      <c r="R94" s="637"/>
      <c r="S94" s="637"/>
      <c r="T94" s="637"/>
      <c r="U94" s="637"/>
      <c r="V94" s="637"/>
      <c r="W94" s="637"/>
      <c r="X94" s="637"/>
      <c r="Y94" s="637"/>
      <c r="Z94" s="637"/>
    </row>
    <row r="95" ht="11.25" customHeight="1">
      <c r="A95" s="637"/>
      <c r="B95" s="637"/>
      <c r="C95" s="637"/>
      <c r="D95" s="637"/>
      <c r="E95" s="637"/>
      <c r="F95" s="637"/>
      <c r="G95" s="637"/>
      <c r="H95" s="637"/>
      <c r="I95" s="637"/>
      <c r="J95" s="637"/>
      <c r="K95" s="637"/>
      <c r="L95" s="637"/>
      <c r="M95" s="637"/>
      <c r="N95" s="637"/>
      <c r="O95" s="637"/>
      <c r="P95" s="637"/>
      <c r="Q95" s="637"/>
      <c r="R95" s="637"/>
      <c r="S95" s="637"/>
      <c r="T95" s="637"/>
      <c r="U95" s="637"/>
      <c r="V95" s="637"/>
      <c r="W95" s="637"/>
      <c r="X95" s="637"/>
      <c r="Y95" s="637"/>
      <c r="Z95" s="637"/>
    </row>
    <row r="96" ht="11.25" customHeight="1">
      <c r="A96" s="637"/>
      <c r="B96" s="637"/>
      <c r="C96" s="637"/>
      <c r="D96" s="637"/>
      <c r="E96" s="637"/>
      <c r="F96" s="637"/>
      <c r="G96" s="637"/>
      <c r="H96" s="637"/>
      <c r="I96" s="637"/>
      <c r="J96" s="637"/>
      <c r="K96" s="637"/>
      <c r="L96" s="637"/>
      <c r="M96" s="637"/>
      <c r="N96" s="637"/>
      <c r="O96" s="637"/>
      <c r="P96" s="637"/>
      <c r="Q96" s="637"/>
      <c r="R96" s="637"/>
      <c r="S96" s="637"/>
      <c r="T96" s="637"/>
      <c r="U96" s="637"/>
      <c r="V96" s="637"/>
      <c r="W96" s="637"/>
      <c r="X96" s="637"/>
      <c r="Y96" s="637"/>
      <c r="Z96" s="637"/>
    </row>
    <row r="97" ht="11.25" customHeight="1">
      <c r="A97" s="637"/>
      <c r="B97" s="637"/>
      <c r="C97" s="637"/>
      <c r="D97" s="637"/>
      <c r="E97" s="637"/>
      <c r="F97" s="637"/>
      <c r="G97" s="637"/>
      <c r="H97" s="637"/>
      <c r="I97" s="637"/>
      <c r="J97" s="637"/>
      <c r="K97" s="637"/>
      <c r="L97" s="637"/>
      <c r="M97" s="637"/>
      <c r="N97" s="637"/>
      <c r="O97" s="637"/>
      <c r="P97" s="637"/>
      <c r="Q97" s="637"/>
      <c r="R97" s="637"/>
      <c r="S97" s="637"/>
      <c r="T97" s="637"/>
      <c r="U97" s="637"/>
      <c r="V97" s="637"/>
      <c r="W97" s="637"/>
      <c r="X97" s="637"/>
      <c r="Y97" s="637"/>
      <c r="Z97" s="637"/>
    </row>
    <row r="98" ht="11.25" customHeight="1">
      <c r="A98" s="637"/>
      <c r="B98" s="637"/>
      <c r="C98" s="637"/>
      <c r="D98" s="637"/>
      <c r="E98" s="637"/>
      <c r="F98" s="637"/>
      <c r="G98" s="637"/>
      <c r="H98" s="637"/>
      <c r="I98" s="637"/>
      <c r="J98" s="637"/>
      <c r="K98" s="637"/>
      <c r="L98" s="637"/>
      <c r="M98" s="637"/>
      <c r="N98" s="637"/>
      <c r="O98" s="637"/>
      <c r="P98" s="637"/>
      <c r="Q98" s="637"/>
      <c r="R98" s="637"/>
      <c r="S98" s="637"/>
      <c r="T98" s="637"/>
      <c r="U98" s="637"/>
      <c r="V98" s="637"/>
      <c r="W98" s="637"/>
      <c r="X98" s="637"/>
      <c r="Y98" s="637"/>
      <c r="Z98" s="637"/>
    </row>
    <row r="99" ht="11.25" customHeight="1">
      <c r="A99" s="637"/>
      <c r="B99" s="637"/>
      <c r="C99" s="637"/>
      <c r="D99" s="637"/>
      <c r="E99" s="637"/>
      <c r="F99" s="637"/>
      <c r="G99" s="637"/>
      <c r="H99" s="637"/>
      <c r="I99" s="637"/>
      <c r="J99" s="637"/>
      <c r="K99" s="637"/>
      <c r="L99" s="637"/>
      <c r="M99" s="637"/>
      <c r="N99" s="637"/>
      <c r="O99" s="637"/>
      <c r="P99" s="637"/>
      <c r="Q99" s="637"/>
      <c r="R99" s="637"/>
      <c r="S99" s="637"/>
      <c r="T99" s="637"/>
      <c r="U99" s="637"/>
      <c r="V99" s="637"/>
      <c r="W99" s="637"/>
      <c r="X99" s="637"/>
      <c r="Y99" s="637"/>
      <c r="Z99" s="637"/>
    </row>
    <row r="100" ht="11.25" customHeight="1">
      <c r="A100" s="637"/>
      <c r="B100" s="637"/>
      <c r="C100" s="637"/>
      <c r="D100" s="637"/>
      <c r="E100" s="637"/>
      <c r="F100" s="637"/>
      <c r="G100" s="637"/>
      <c r="H100" s="637"/>
      <c r="I100" s="637"/>
      <c r="J100" s="637"/>
      <c r="K100" s="637"/>
      <c r="L100" s="637"/>
      <c r="M100" s="637"/>
      <c r="N100" s="637"/>
      <c r="O100" s="637"/>
      <c r="P100" s="637"/>
      <c r="Q100" s="637"/>
      <c r="R100" s="637"/>
      <c r="S100" s="637"/>
      <c r="T100" s="637"/>
      <c r="U100" s="637"/>
      <c r="V100" s="637"/>
      <c r="W100" s="637"/>
      <c r="X100" s="637"/>
      <c r="Y100" s="637"/>
      <c r="Z100" s="637"/>
    </row>
    <row r="101" ht="11.25" customHeight="1">
      <c r="A101" s="637"/>
      <c r="B101" s="637"/>
      <c r="C101" s="637"/>
      <c r="D101" s="637"/>
      <c r="E101" s="637"/>
      <c r="F101" s="637"/>
      <c r="G101" s="637"/>
      <c r="H101" s="637"/>
      <c r="I101" s="637"/>
      <c r="J101" s="637"/>
      <c r="K101" s="637"/>
      <c r="L101" s="637"/>
      <c r="M101" s="637"/>
      <c r="N101" s="637"/>
      <c r="O101" s="637"/>
      <c r="P101" s="637"/>
      <c r="Q101" s="637"/>
      <c r="R101" s="637"/>
      <c r="S101" s="637"/>
      <c r="T101" s="637"/>
      <c r="U101" s="637"/>
      <c r="V101" s="637"/>
      <c r="W101" s="637"/>
      <c r="X101" s="637"/>
      <c r="Y101" s="637"/>
      <c r="Z101" s="637"/>
    </row>
    <row r="102" ht="11.25" customHeight="1">
      <c r="A102" s="637"/>
      <c r="B102" s="637"/>
      <c r="C102" s="637"/>
      <c r="D102" s="637"/>
      <c r="E102" s="637"/>
      <c r="F102" s="637"/>
      <c r="G102" s="637"/>
      <c r="H102" s="637"/>
      <c r="I102" s="637"/>
      <c r="J102" s="637"/>
      <c r="K102" s="637"/>
      <c r="L102" s="637"/>
      <c r="M102" s="637"/>
      <c r="N102" s="637"/>
      <c r="O102" s="637"/>
      <c r="P102" s="637"/>
      <c r="Q102" s="637"/>
      <c r="R102" s="637"/>
      <c r="S102" s="637"/>
      <c r="T102" s="637"/>
      <c r="U102" s="637"/>
      <c r="V102" s="637"/>
      <c r="W102" s="637"/>
      <c r="X102" s="637"/>
      <c r="Y102" s="637"/>
      <c r="Z102" s="637"/>
    </row>
    <row r="103" ht="11.25" customHeight="1">
      <c r="A103" s="637"/>
      <c r="B103" s="637"/>
      <c r="C103" s="637"/>
      <c r="D103" s="637"/>
      <c r="E103" s="637"/>
      <c r="F103" s="637"/>
      <c r="G103" s="637"/>
      <c r="H103" s="637"/>
      <c r="I103" s="637"/>
      <c r="J103" s="637"/>
      <c r="K103" s="637"/>
      <c r="L103" s="637"/>
      <c r="M103" s="637"/>
      <c r="N103" s="637"/>
      <c r="O103" s="637"/>
      <c r="P103" s="637"/>
      <c r="Q103" s="637"/>
      <c r="R103" s="637"/>
      <c r="S103" s="637"/>
      <c r="T103" s="637"/>
      <c r="U103" s="637"/>
      <c r="V103" s="637"/>
      <c r="W103" s="637"/>
      <c r="X103" s="637"/>
      <c r="Y103" s="637"/>
      <c r="Z103" s="637"/>
    </row>
    <row r="104" ht="11.25" customHeight="1">
      <c r="A104" s="637"/>
      <c r="B104" s="637"/>
      <c r="C104" s="637"/>
      <c r="D104" s="637"/>
      <c r="E104" s="637"/>
      <c r="F104" s="637"/>
      <c r="G104" s="637"/>
      <c r="H104" s="637"/>
      <c r="I104" s="637"/>
      <c r="J104" s="637"/>
      <c r="K104" s="637"/>
      <c r="L104" s="637"/>
      <c r="M104" s="637"/>
      <c r="N104" s="637"/>
      <c r="O104" s="637"/>
      <c r="P104" s="637"/>
      <c r="Q104" s="637"/>
      <c r="R104" s="637"/>
      <c r="S104" s="637"/>
      <c r="T104" s="637"/>
      <c r="U104" s="637"/>
      <c r="V104" s="637"/>
      <c r="W104" s="637"/>
      <c r="X104" s="637"/>
      <c r="Y104" s="637"/>
      <c r="Z104" s="637"/>
    </row>
    <row r="105" ht="11.25" customHeight="1">
      <c r="A105" s="637"/>
      <c r="B105" s="637"/>
      <c r="C105" s="637"/>
      <c r="D105" s="637"/>
      <c r="E105" s="637"/>
      <c r="F105" s="637"/>
      <c r="G105" s="637"/>
      <c r="H105" s="637"/>
      <c r="I105" s="637"/>
      <c r="J105" s="637"/>
      <c r="K105" s="637"/>
      <c r="L105" s="637"/>
      <c r="M105" s="637"/>
      <c r="N105" s="637"/>
      <c r="O105" s="637"/>
      <c r="P105" s="637"/>
      <c r="Q105" s="637"/>
      <c r="R105" s="637"/>
      <c r="S105" s="637"/>
      <c r="T105" s="637"/>
      <c r="U105" s="637"/>
      <c r="V105" s="637"/>
      <c r="W105" s="637"/>
      <c r="X105" s="637"/>
      <c r="Y105" s="637"/>
      <c r="Z105" s="637"/>
    </row>
    <row r="106" ht="11.25" customHeight="1">
      <c r="A106" s="637"/>
      <c r="B106" s="637"/>
      <c r="C106" s="637"/>
      <c r="D106" s="637"/>
      <c r="E106" s="637"/>
      <c r="F106" s="637"/>
      <c r="G106" s="637"/>
      <c r="H106" s="637"/>
      <c r="I106" s="637"/>
      <c r="J106" s="637"/>
      <c r="K106" s="637"/>
      <c r="L106" s="637"/>
      <c r="M106" s="637"/>
      <c r="N106" s="637"/>
      <c r="O106" s="637"/>
      <c r="P106" s="637"/>
      <c r="Q106" s="637"/>
      <c r="R106" s="637"/>
      <c r="S106" s="637"/>
      <c r="T106" s="637"/>
      <c r="U106" s="637"/>
      <c r="V106" s="637"/>
      <c r="W106" s="637"/>
      <c r="X106" s="637"/>
      <c r="Y106" s="637"/>
      <c r="Z106" s="637"/>
    </row>
    <row r="107" ht="11.25" customHeight="1">
      <c r="A107" s="637"/>
      <c r="B107" s="637"/>
      <c r="C107" s="637"/>
      <c r="D107" s="637"/>
      <c r="E107" s="637"/>
      <c r="F107" s="637"/>
      <c r="G107" s="637"/>
      <c r="H107" s="637"/>
      <c r="I107" s="637"/>
      <c r="J107" s="637"/>
      <c r="K107" s="637"/>
      <c r="L107" s="637"/>
      <c r="M107" s="637"/>
      <c r="N107" s="637"/>
      <c r="O107" s="637"/>
      <c r="P107" s="637"/>
      <c r="Q107" s="637"/>
      <c r="R107" s="637"/>
      <c r="S107" s="637"/>
      <c r="T107" s="637"/>
      <c r="U107" s="637"/>
      <c r="V107" s="637"/>
      <c r="W107" s="637"/>
      <c r="X107" s="637"/>
      <c r="Y107" s="637"/>
      <c r="Z107" s="637"/>
    </row>
    <row r="108" ht="11.25" customHeight="1">
      <c r="A108" s="637"/>
      <c r="B108" s="637"/>
      <c r="C108" s="637"/>
      <c r="D108" s="637"/>
      <c r="E108" s="637"/>
      <c r="F108" s="637"/>
      <c r="G108" s="637"/>
      <c r="H108" s="637"/>
      <c r="I108" s="637"/>
      <c r="J108" s="637"/>
      <c r="K108" s="637"/>
      <c r="L108" s="637"/>
      <c r="M108" s="637"/>
      <c r="N108" s="637"/>
      <c r="O108" s="637"/>
      <c r="P108" s="637"/>
      <c r="Q108" s="637"/>
      <c r="R108" s="637"/>
      <c r="S108" s="637"/>
      <c r="T108" s="637"/>
      <c r="U108" s="637"/>
      <c r="V108" s="637"/>
      <c r="W108" s="637"/>
      <c r="X108" s="637"/>
      <c r="Y108" s="637"/>
      <c r="Z108" s="637"/>
    </row>
    <row r="109" ht="11.25" customHeight="1">
      <c r="A109" s="637"/>
      <c r="B109" s="637"/>
      <c r="C109" s="637"/>
      <c r="D109" s="637"/>
      <c r="E109" s="637"/>
      <c r="F109" s="637"/>
      <c r="G109" s="637"/>
      <c r="H109" s="637"/>
      <c r="I109" s="637"/>
      <c r="J109" s="637"/>
      <c r="K109" s="637"/>
      <c r="L109" s="637"/>
      <c r="M109" s="637"/>
      <c r="N109" s="637"/>
      <c r="O109" s="637"/>
      <c r="P109" s="637"/>
      <c r="Q109" s="637"/>
      <c r="R109" s="637"/>
      <c r="S109" s="637"/>
      <c r="T109" s="637"/>
      <c r="U109" s="637"/>
      <c r="V109" s="637"/>
      <c r="W109" s="637"/>
      <c r="X109" s="637"/>
      <c r="Y109" s="637"/>
      <c r="Z109" s="637"/>
    </row>
    <row r="110" ht="11.25" customHeight="1">
      <c r="A110" s="637"/>
      <c r="B110" s="637"/>
      <c r="C110" s="637"/>
      <c r="D110" s="637"/>
      <c r="E110" s="637"/>
      <c r="F110" s="637"/>
      <c r="G110" s="637"/>
      <c r="H110" s="637"/>
      <c r="I110" s="637"/>
      <c r="J110" s="637"/>
      <c r="K110" s="637"/>
      <c r="L110" s="637"/>
      <c r="M110" s="637"/>
      <c r="N110" s="637"/>
      <c r="O110" s="637"/>
      <c r="P110" s="637"/>
      <c r="Q110" s="637"/>
      <c r="R110" s="637"/>
      <c r="S110" s="637"/>
      <c r="T110" s="637"/>
      <c r="U110" s="637"/>
      <c r="V110" s="637"/>
      <c r="W110" s="637"/>
      <c r="X110" s="637"/>
      <c r="Y110" s="637"/>
      <c r="Z110" s="637"/>
    </row>
    <row r="111" ht="11.25" customHeight="1">
      <c r="A111" s="637"/>
      <c r="B111" s="637"/>
      <c r="C111" s="637"/>
      <c r="D111" s="637"/>
      <c r="E111" s="637"/>
      <c r="F111" s="637"/>
      <c r="G111" s="637"/>
      <c r="H111" s="637"/>
      <c r="I111" s="637"/>
      <c r="J111" s="637"/>
      <c r="K111" s="637"/>
      <c r="L111" s="637"/>
      <c r="M111" s="637"/>
      <c r="N111" s="637"/>
      <c r="O111" s="637"/>
      <c r="P111" s="637"/>
      <c r="Q111" s="637"/>
      <c r="R111" s="637"/>
      <c r="S111" s="637"/>
      <c r="T111" s="637"/>
      <c r="U111" s="637"/>
      <c r="V111" s="637"/>
      <c r="W111" s="637"/>
      <c r="X111" s="637"/>
      <c r="Y111" s="637"/>
      <c r="Z111" s="637"/>
    </row>
    <row r="112" ht="11.25" customHeight="1">
      <c r="A112" s="637"/>
      <c r="B112" s="637"/>
      <c r="C112" s="637"/>
      <c r="D112" s="637"/>
      <c r="E112" s="637"/>
      <c r="F112" s="637"/>
      <c r="G112" s="637"/>
      <c r="H112" s="637"/>
      <c r="I112" s="637"/>
      <c r="J112" s="637"/>
      <c r="K112" s="637"/>
      <c r="L112" s="637"/>
      <c r="M112" s="637"/>
      <c r="N112" s="637"/>
      <c r="O112" s="637"/>
      <c r="P112" s="637"/>
      <c r="Q112" s="637"/>
      <c r="R112" s="637"/>
      <c r="S112" s="637"/>
      <c r="T112" s="637"/>
      <c r="U112" s="637"/>
      <c r="V112" s="637"/>
      <c r="W112" s="637"/>
      <c r="X112" s="637"/>
      <c r="Y112" s="637"/>
      <c r="Z112" s="637"/>
    </row>
    <row r="113" ht="11.25" customHeight="1">
      <c r="A113" s="637"/>
      <c r="B113" s="637"/>
      <c r="C113" s="637"/>
      <c r="D113" s="637"/>
      <c r="E113" s="637"/>
      <c r="F113" s="637"/>
      <c r="G113" s="637"/>
      <c r="H113" s="637"/>
      <c r="I113" s="637"/>
      <c r="J113" s="637"/>
      <c r="K113" s="637"/>
      <c r="L113" s="637"/>
      <c r="M113" s="637"/>
      <c r="N113" s="637"/>
      <c r="O113" s="637"/>
      <c r="P113" s="637"/>
      <c r="Q113" s="637"/>
      <c r="R113" s="637"/>
      <c r="S113" s="637"/>
      <c r="T113" s="637"/>
      <c r="U113" s="637"/>
      <c r="V113" s="637"/>
      <c r="W113" s="637"/>
      <c r="X113" s="637"/>
      <c r="Y113" s="637"/>
      <c r="Z113" s="637"/>
    </row>
    <row r="114" ht="11.25" customHeight="1">
      <c r="A114" s="637"/>
      <c r="B114" s="637"/>
      <c r="C114" s="637"/>
      <c r="D114" s="637"/>
      <c r="E114" s="637"/>
      <c r="F114" s="637"/>
      <c r="G114" s="637"/>
      <c r="H114" s="637"/>
      <c r="I114" s="637"/>
      <c r="J114" s="637"/>
      <c r="K114" s="637"/>
      <c r="L114" s="637"/>
      <c r="M114" s="637"/>
      <c r="N114" s="637"/>
      <c r="O114" s="637"/>
      <c r="P114" s="637"/>
      <c r="Q114" s="637"/>
      <c r="R114" s="637"/>
      <c r="S114" s="637"/>
      <c r="T114" s="637"/>
      <c r="U114" s="637"/>
      <c r="V114" s="637"/>
      <c r="W114" s="637"/>
      <c r="X114" s="637"/>
      <c r="Y114" s="637"/>
      <c r="Z114" s="637"/>
    </row>
    <row r="115" ht="11.25" customHeight="1">
      <c r="A115" s="637"/>
      <c r="B115" s="637"/>
      <c r="C115" s="637"/>
      <c r="D115" s="637"/>
      <c r="E115" s="637"/>
      <c r="F115" s="637"/>
      <c r="G115" s="637"/>
      <c r="H115" s="637"/>
      <c r="I115" s="637"/>
      <c r="J115" s="637"/>
      <c r="K115" s="637"/>
      <c r="L115" s="637"/>
      <c r="M115" s="637"/>
      <c r="N115" s="637"/>
      <c r="O115" s="637"/>
      <c r="P115" s="637"/>
      <c r="Q115" s="637"/>
      <c r="R115" s="637"/>
      <c r="S115" s="637"/>
      <c r="T115" s="637"/>
      <c r="U115" s="637"/>
      <c r="V115" s="637"/>
      <c r="W115" s="637"/>
      <c r="X115" s="637"/>
      <c r="Y115" s="637"/>
      <c r="Z115" s="637"/>
    </row>
    <row r="116" ht="11.25" customHeight="1">
      <c r="A116" s="637"/>
      <c r="B116" s="637"/>
      <c r="C116" s="637"/>
      <c r="D116" s="637"/>
      <c r="E116" s="637"/>
      <c r="F116" s="637"/>
      <c r="G116" s="637"/>
      <c r="H116" s="637"/>
      <c r="I116" s="637"/>
      <c r="J116" s="637"/>
      <c r="K116" s="637"/>
      <c r="L116" s="637"/>
      <c r="M116" s="637"/>
      <c r="N116" s="637"/>
      <c r="O116" s="637"/>
      <c r="P116" s="637"/>
      <c r="Q116" s="637"/>
      <c r="R116" s="637"/>
      <c r="S116" s="637"/>
      <c r="T116" s="637"/>
      <c r="U116" s="637"/>
      <c r="V116" s="637"/>
      <c r="W116" s="637"/>
      <c r="X116" s="637"/>
      <c r="Y116" s="637"/>
      <c r="Z116" s="637"/>
    </row>
    <row r="117" ht="11.25" customHeight="1">
      <c r="A117" s="637"/>
      <c r="B117" s="637"/>
      <c r="C117" s="637"/>
      <c r="D117" s="637"/>
      <c r="E117" s="637"/>
      <c r="F117" s="637"/>
      <c r="G117" s="637"/>
      <c r="H117" s="637"/>
      <c r="I117" s="637"/>
      <c r="J117" s="637"/>
      <c r="K117" s="637"/>
      <c r="L117" s="637"/>
      <c r="M117" s="637"/>
      <c r="N117" s="637"/>
      <c r="O117" s="637"/>
      <c r="P117" s="637"/>
      <c r="Q117" s="637"/>
      <c r="R117" s="637"/>
      <c r="S117" s="637"/>
      <c r="T117" s="637"/>
      <c r="U117" s="637"/>
      <c r="V117" s="637"/>
      <c r="W117" s="637"/>
      <c r="X117" s="637"/>
      <c r="Y117" s="637"/>
      <c r="Z117" s="637"/>
    </row>
    <row r="118" ht="11.25" customHeight="1">
      <c r="A118" s="637"/>
      <c r="B118" s="637"/>
      <c r="C118" s="637"/>
      <c r="D118" s="637"/>
      <c r="E118" s="637"/>
      <c r="F118" s="637"/>
      <c r="G118" s="637"/>
      <c r="H118" s="637"/>
      <c r="I118" s="637"/>
      <c r="J118" s="637"/>
      <c r="K118" s="637"/>
      <c r="L118" s="637"/>
      <c r="M118" s="637"/>
      <c r="N118" s="637"/>
      <c r="O118" s="637"/>
      <c r="P118" s="637"/>
      <c r="Q118" s="637"/>
      <c r="R118" s="637"/>
      <c r="S118" s="637"/>
      <c r="T118" s="637"/>
      <c r="U118" s="637"/>
      <c r="V118" s="637"/>
      <c r="W118" s="637"/>
      <c r="X118" s="637"/>
      <c r="Y118" s="637"/>
      <c r="Z118" s="637"/>
    </row>
    <row r="119" ht="11.25" customHeight="1">
      <c r="A119" s="637"/>
      <c r="B119" s="637"/>
      <c r="C119" s="637"/>
      <c r="D119" s="637"/>
      <c r="E119" s="637"/>
      <c r="F119" s="637"/>
      <c r="G119" s="637"/>
      <c r="H119" s="637"/>
      <c r="I119" s="637"/>
      <c r="J119" s="637"/>
      <c r="K119" s="637"/>
      <c r="L119" s="637"/>
      <c r="M119" s="637"/>
      <c r="N119" s="637"/>
      <c r="O119" s="637"/>
      <c r="P119" s="637"/>
      <c r="Q119" s="637"/>
      <c r="R119" s="637"/>
      <c r="S119" s="637"/>
      <c r="T119" s="637"/>
      <c r="U119" s="637"/>
      <c r="V119" s="637"/>
      <c r="W119" s="637"/>
      <c r="X119" s="637"/>
      <c r="Y119" s="637"/>
      <c r="Z119" s="637"/>
    </row>
    <row r="120" ht="11.25" customHeight="1">
      <c r="A120" s="637"/>
      <c r="B120" s="637"/>
      <c r="C120" s="637"/>
      <c r="D120" s="637"/>
      <c r="E120" s="637"/>
      <c r="F120" s="637"/>
      <c r="G120" s="637"/>
      <c r="H120" s="637"/>
      <c r="I120" s="637"/>
      <c r="J120" s="637"/>
      <c r="K120" s="637"/>
      <c r="L120" s="637"/>
      <c r="M120" s="637"/>
      <c r="N120" s="637"/>
      <c r="O120" s="637"/>
      <c r="P120" s="637"/>
      <c r="Q120" s="637"/>
      <c r="R120" s="637"/>
      <c r="S120" s="637"/>
      <c r="T120" s="637"/>
      <c r="U120" s="637"/>
      <c r="V120" s="637"/>
      <c r="W120" s="637"/>
      <c r="X120" s="637"/>
      <c r="Y120" s="637"/>
      <c r="Z120" s="637"/>
    </row>
    <row r="121" ht="11.25" customHeight="1">
      <c r="A121" s="637"/>
      <c r="B121" s="637"/>
      <c r="C121" s="637"/>
      <c r="D121" s="637"/>
      <c r="E121" s="637"/>
      <c r="F121" s="637"/>
      <c r="G121" s="637"/>
      <c r="H121" s="637"/>
      <c r="I121" s="637"/>
      <c r="J121" s="637"/>
      <c r="K121" s="637"/>
      <c r="L121" s="637"/>
      <c r="M121" s="637"/>
      <c r="N121" s="637"/>
      <c r="O121" s="637"/>
      <c r="P121" s="637"/>
      <c r="Q121" s="637"/>
      <c r="R121" s="637"/>
      <c r="S121" s="637"/>
      <c r="T121" s="637"/>
      <c r="U121" s="637"/>
      <c r="V121" s="637"/>
      <c r="W121" s="637"/>
      <c r="X121" s="637"/>
      <c r="Y121" s="637"/>
      <c r="Z121" s="637"/>
    </row>
    <row r="122" ht="11.25" customHeight="1">
      <c r="A122" s="637"/>
      <c r="B122" s="637"/>
      <c r="C122" s="637"/>
      <c r="D122" s="637"/>
      <c r="E122" s="637"/>
      <c r="F122" s="637"/>
      <c r="G122" s="637"/>
      <c r="H122" s="637"/>
      <c r="I122" s="637"/>
      <c r="J122" s="637"/>
      <c r="K122" s="637"/>
      <c r="L122" s="637"/>
      <c r="M122" s="637"/>
      <c r="N122" s="637"/>
      <c r="O122" s="637"/>
      <c r="P122" s="637"/>
      <c r="Q122" s="637"/>
      <c r="R122" s="637"/>
      <c r="S122" s="637"/>
      <c r="T122" s="637"/>
      <c r="U122" s="637"/>
      <c r="V122" s="637"/>
      <c r="W122" s="637"/>
      <c r="X122" s="637"/>
      <c r="Y122" s="637"/>
      <c r="Z122" s="637"/>
    </row>
    <row r="123" ht="11.25" customHeight="1">
      <c r="A123" s="637"/>
      <c r="B123" s="637"/>
      <c r="C123" s="637"/>
      <c r="D123" s="637"/>
      <c r="E123" s="637"/>
      <c r="F123" s="637"/>
      <c r="G123" s="637"/>
      <c r="H123" s="637"/>
      <c r="I123" s="637"/>
      <c r="J123" s="637"/>
      <c r="K123" s="637"/>
      <c r="L123" s="637"/>
      <c r="M123" s="637"/>
      <c r="N123" s="637"/>
      <c r="O123" s="637"/>
      <c r="P123" s="637"/>
      <c r="Q123" s="637"/>
      <c r="R123" s="637"/>
      <c r="S123" s="637"/>
      <c r="T123" s="637"/>
      <c r="U123" s="637"/>
      <c r="V123" s="637"/>
      <c r="W123" s="637"/>
      <c r="X123" s="637"/>
      <c r="Y123" s="637"/>
      <c r="Z123" s="637"/>
    </row>
    <row r="124" ht="11.25" customHeight="1">
      <c r="A124" s="637"/>
      <c r="B124" s="637"/>
      <c r="C124" s="637"/>
      <c r="D124" s="637"/>
      <c r="E124" s="637"/>
      <c r="F124" s="637"/>
      <c r="G124" s="637"/>
      <c r="H124" s="637"/>
      <c r="I124" s="637"/>
      <c r="J124" s="637"/>
      <c r="K124" s="637"/>
      <c r="L124" s="637"/>
      <c r="M124" s="637"/>
      <c r="N124" s="637"/>
      <c r="O124" s="637"/>
      <c r="P124" s="637"/>
      <c r="Q124" s="637"/>
      <c r="R124" s="637"/>
      <c r="S124" s="637"/>
      <c r="T124" s="637"/>
      <c r="U124" s="637"/>
      <c r="V124" s="637"/>
      <c r="W124" s="637"/>
      <c r="X124" s="637"/>
      <c r="Y124" s="637"/>
      <c r="Z124" s="637"/>
    </row>
    <row r="125" ht="11.25" customHeight="1">
      <c r="A125" s="637"/>
      <c r="B125" s="637"/>
      <c r="C125" s="637"/>
      <c r="D125" s="637"/>
      <c r="E125" s="637"/>
      <c r="F125" s="637"/>
      <c r="G125" s="637"/>
      <c r="H125" s="637"/>
      <c r="I125" s="637"/>
      <c r="J125" s="637"/>
      <c r="K125" s="637"/>
      <c r="L125" s="637"/>
      <c r="M125" s="637"/>
      <c r="N125" s="637"/>
      <c r="O125" s="637"/>
      <c r="P125" s="637"/>
      <c r="Q125" s="637"/>
      <c r="R125" s="637"/>
      <c r="S125" s="637"/>
      <c r="T125" s="637"/>
      <c r="U125" s="637"/>
      <c r="V125" s="637"/>
      <c r="W125" s="637"/>
      <c r="X125" s="637"/>
      <c r="Y125" s="637"/>
      <c r="Z125" s="637"/>
    </row>
    <row r="126" ht="11.25" customHeight="1">
      <c r="A126" s="637"/>
      <c r="B126" s="637"/>
      <c r="C126" s="637"/>
      <c r="D126" s="637"/>
      <c r="E126" s="637"/>
      <c r="F126" s="637"/>
      <c r="G126" s="637"/>
      <c r="H126" s="637"/>
      <c r="I126" s="637"/>
      <c r="J126" s="637"/>
      <c r="K126" s="637"/>
      <c r="L126" s="637"/>
      <c r="M126" s="637"/>
      <c r="N126" s="637"/>
      <c r="O126" s="637"/>
      <c r="P126" s="637"/>
      <c r="Q126" s="637"/>
      <c r="R126" s="637"/>
      <c r="S126" s="637"/>
      <c r="T126" s="637"/>
      <c r="U126" s="637"/>
      <c r="V126" s="637"/>
      <c r="W126" s="637"/>
      <c r="X126" s="637"/>
      <c r="Y126" s="637"/>
      <c r="Z126" s="637"/>
    </row>
    <row r="127" ht="11.25" customHeight="1">
      <c r="A127" s="637"/>
      <c r="B127" s="637"/>
      <c r="C127" s="637"/>
      <c r="D127" s="637"/>
      <c r="E127" s="637"/>
      <c r="F127" s="637"/>
      <c r="G127" s="637"/>
      <c r="H127" s="637"/>
      <c r="I127" s="637"/>
      <c r="J127" s="637"/>
      <c r="K127" s="637"/>
      <c r="L127" s="637"/>
      <c r="M127" s="637"/>
      <c r="N127" s="637"/>
      <c r="O127" s="637"/>
      <c r="P127" s="637"/>
      <c r="Q127" s="637"/>
      <c r="R127" s="637"/>
      <c r="S127" s="637"/>
      <c r="T127" s="637"/>
      <c r="U127" s="637"/>
      <c r="V127" s="637"/>
      <c r="W127" s="637"/>
      <c r="X127" s="637"/>
      <c r="Y127" s="637"/>
      <c r="Z127" s="637"/>
    </row>
    <row r="128" ht="11.25" customHeight="1">
      <c r="A128" s="637"/>
      <c r="B128" s="637"/>
      <c r="C128" s="637"/>
      <c r="D128" s="637"/>
      <c r="E128" s="637"/>
      <c r="F128" s="637"/>
      <c r="G128" s="637"/>
      <c r="H128" s="637"/>
      <c r="I128" s="637"/>
      <c r="J128" s="637"/>
      <c r="K128" s="637"/>
      <c r="L128" s="637"/>
      <c r="M128" s="637"/>
      <c r="N128" s="637"/>
      <c r="O128" s="637"/>
      <c r="P128" s="637"/>
      <c r="Q128" s="637"/>
      <c r="R128" s="637"/>
      <c r="S128" s="637"/>
      <c r="T128" s="637"/>
      <c r="U128" s="637"/>
      <c r="V128" s="637"/>
      <c r="W128" s="637"/>
      <c r="X128" s="637"/>
      <c r="Y128" s="637"/>
      <c r="Z128" s="637"/>
    </row>
    <row r="129" ht="11.25" customHeight="1">
      <c r="A129" s="637"/>
      <c r="B129" s="637"/>
      <c r="C129" s="637"/>
      <c r="D129" s="637"/>
      <c r="E129" s="637"/>
      <c r="F129" s="637"/>
      <c r="G129" s="637"/>
      <c r="H129" s="637"/>
      <c r="I129" s="637"/>
      <c r="J129" s="637"/>
      <c r="K129" s="637"/>
      <c r="L129" s="637"/>
      <c r="M129" s="637"/>
      <c r="N129" s="637"/>
      <c r="O129" s="637"/>
      <c r="P129" s="637"/>
      <c r="Q129" s="637"/>
      <c r="R129" s="637"/>
      <c r="S129" s="637"/>
      <c r="T129" s="637"/>
      <c r="U129" s="637"/>
      <c r="V129" s="637"/>
      <c r="W129" s="637"/>
      <c r="X129" s="637"/>
      <c r="Y129" s="637"/>
      <c r="Z129" s="637"/>
    </row>
    <row r="130" ht="11.25" customHeight="1">
      <c r="A130" s="637"/>
      <c r="B130" s="637"/>
      <c r="C130" s="637"/>
      <c r="D130" s="637"/>
      <c r="E130" s="637"/>
      <c r="F130" s="637"/>
      <c r="G130" s="637"/>
      <c r="H130" s="637"/>
      <c r="I130" s="637"/>
      <c r="J130" s="637"/>
      <c r="K130" s="637"/>
      <c r="L130" s="637"/>
      <c r="M130" s="637"/>
      <c r="N130" s="637"/>
      <c r="O130" s="637"/>
      <c r="P130" s="637"/>
      <c r="Q130" s="637"/>
      <c r="R130" s="637"/>
      <c r="S130" s="637"/>
      <c r="T130" s="637"/>
      <c r="U130" s="637"/>
      <c r="V130" s="637"/>
      <c r="W130" s="637"/>
      <c r="X130" s="637"/>
      <c r="Y130" s="637"/>
      <c r="Z130" s="637"/>
    </row>
    <row r="131" ht="11.25" customHeight="1">
      <c r="A131" s="637"/>
      <c r="B131" s="637"/>
      <c r="C131" s="637"/>
      <c r="D131" s="637"/>
      <c r="E131" s="637"/>
      <c r="F131" s="637"/>
      <c r="G131" s="637"/>
      <c r="H131" s="637"/>
      <c r="I131" s="637"/>
      <c r="J131" s="637"/>
      <c r="K131" s="637"/>
      <c r="L131" s="637"/>
      <c r="M131" s="637"/>
      <c r="N131" s="637"/>
      <c r="O131" s="637"/>
      <c r="P131" s="637"/>
      <c r="Q131" s="637"/>
      <c r="R131" s="637"/>
      <c r="S131" s="637"/>
      <c r="T131" s="637"/>
      <c r="U131" s="637"/>
      <c r="V131" s="637"/>
      <c r="W131" s="637"/>
      <c r="X131" s="637"/>
      <c r="Y131" s="637"/>
      <c r="Z131" s="637"/>
    </row>
    <row r="132" ht="11.25" customHeight="1">
      <c r="A132" s="637"/>
      <c r="B132" s="637"/>
      <c r="C132" s="637"/>
      <c r="D132" s="637"/>
      <c r="E132" s="637"/>
      <c r="F132" s="637"/>
      <c r="G132" s="637"/>
      <c r="H132" s="637"/>
      <c r="I132" s="637"/>
      <c r="J132" s="637"/>
      <c r="K132" s="637"/>
      <c r="L132" s="637"/>
      <c r="M132" s="637"/>
      <c r="N132" s="637"/>
      <c r="O132" s="637"/>
      <c r="P132" s="637"/>
      <c r="Q132" s="637"/>
      <c r="R132" s="637"/>
      <c r="S132" s="637"/>
      <c r="T132" s="637"/>
      <c r="U132" s="637"/>
      <c r="V132" s="637"/>
      <c r="W132" s="637"/>
      <c r="X132" s="637"/>
      <c r="Y132" s="637"/>
      <c r="Z132" s="637"/>
    </row>
    <row r="133" ht="11.25" customHeight="1">
      <c r="A133" s="637"/>
      <c r="B133" s="637"/>
      <c r="C133" s="637"/>
      <c r="D133" s="637"/>
      <c r="E133" s="637"/>
      <c r="F133" s="637"/>
      <c r="G133" s="637"/>
      <c r="H133" s="637"/>
      <c r="I133" s="637"/>
      <c r="J133" s="637"/>
      <c r="K133" s="637"/>
      <c r="L133" s="637"/>
      <c r="M133" s="637"/>
      <c r="N133" s="637"/>
      <c r="O133" s="637"/>
      <c r="P133" s="637"/>
      <c r="Q133" s="637"/>
      <c r="R133" s="637"/>
      <c r="S133" s="637"/>
      <c r="T133" s="637"/>
      <c r="U133" s="637"/>
      <c r="V133" s="637"/>
      <c r="W133" s="637"/>
      <c r="X133" s="637"/>
      <c r="Y133" s="637"/>
      <c r="Z133" s="637"/>
    </row>
    <row r="134" ht="11.25" customHeight="1">
      <c r="A134" s="637"/>
      <c r="B134" s="637"/>
      <c r="C134" s="637"/>
      <c r="D134" s="637"/>
      <c r="E134" s="637"/>
      <c r="F134" s="637"/>
      <c r="G134" s="637"/>
      <c r="H134" s="637"/>
      <c r="I134" s="637"/>
      <c r="J134" s="637"/>
      <c r="K134" s="637"/>
      <c r="L134" s="637"/>
      <c r="M134" s="637"/>
      <c r="N134" s="637"/>
      <c r="O134" s="637"/>
      <c r="P134" s="637"/>
      <c r="Q134" s="637"/>
      <c r="R134" s="637"/>
      <c r="S134" s="637"/>
      <c r="T134" s="637"/>
      <c r="U134" s="637"/>
      <c r="V134" s="637"/>
      <c r="W134" s="637"/>
      <c r="X134" s="637"/>
      <c r="Y134" s="637"/>
      <c r="Z134" s="637"/>
    </row>
    <row r="135" ht="11.25" customHeight="1">
      <c r="A135" s="637"/>
      <c r="B135" s="637"/>
      <c r="C135" s="637"/>
      <c r="D135" s="637"/>
      <c r="E135" s="637"/>
      <c r="F135" s="637"/>
      <c r="G135" s="637"/>
      <c r="H135" s="637"/>
      <c r="I135" s="637"/>
      <c r="J135" s="637"/>
      <c r="K135" s="637"/>
      <c r="L135" s="637"/>
      <c r="M135" s="637"/>
      <c r="N135" s="637"/>
      <c r="O135" s="637"/>
      <c r="P135" s="637"/>
      <c r="Q135" s="637"/>
      <c r="R135" s="637"/>
      <c r="S135" s="637"/>
      <c r="T135" s="637"/>
      <c r="U135" s="637"/>
      <c r="V135" s="637"/>
      <c r="W135" s="637"/>
      <c r="X135" s="637"/>
      <c r="Y135" s="637"/>
      <c r="Z135" s="637"/>
    </row>
    <row r="136" ht="11.25" customHeight="1">
      <c r="A136" s="637"/>
      <c r="B136" s="637"/>
      <c r="C136" s="637"/>
      <c r="D136" s="637"/>
      <c r="E136" s="637"/>
      <c r="F136" s="637"/>
      <c r="G136" s="637"/>
      <c r="H136" s="637"/>
      <c r="I136" s="637"/>
      <c r="J136" s="637"/>
      <c r="K136" s="637"/>
      <c r="L136" s="637"/>
      <c r="M136" s="637"/>
      <c r="N136" s="637"/>
      <c r="O136" s="637"/>
      <c r="P136" s="637"/>
      <c r="Q136" s="637"/>
      <c r="R136" s="637"/>
      <c r="S136" s="637"/>
      <c r="T136" s="637"/>
      <c r="U136" s="637"/>
      <c r="V136" s="637"/>
      <c r="W136" s="637"/>
      <c r="X136" s="637"/>
      <c r="Y136" s="637"/>
      <c r="Z136" s="637"/>
    </row>
    <row r="137" ht="11.25" customHeight="1">
      <c r="A137" s="637"/>
      <c r="B137" s="637"/>
      <c r="C137" s="637"/>
      <c r="D137" s="637"/>
      <c r="E137" s="637"/>
      <c r="F137" s="637"/>
      <c r="G137" s="637"/>
      <c r="H137" s="637"/>
      <c r="I137" s="637"/>
      <c r="J137" s="637"/>
      <c r="K137" s="637"/>
      <c r="L137" s="637"/>
      <c r="M137" s="637"/>
      <c r="N137" s="637"/>
      <c r="O137" s="637"/>
      <c r="P137" s="637"/>
      <c r="Q137" s="637"/>
      <c r="R137" s="637"/>
      <c r="S137" s="637"/>
      <c r="T137" s="637"/>
      <c r="U137" s="637"/>
      <c r="V137" s="637"/>
      <c r="W137" s="637"/>
      <c r="X137" s="637"/>
      <c r="Y137" s="637"/>
      <c r="Z137" s="637"/>
    </row>
    <row r="138" ht="11.25" customHeight="1">
      <c r="A138" s="637"/>
      <c r="B138" s="637"/>
      <c r="C138" s="637"/>
      <c r="D138" s="637"/>
      <c r="E138" s="637"/>
      <c r="F138" s="637"/>
      <c r="G138" s="637"/>
      <c r="H138" s="637"/>
      <c r="I138" s="637"/>
      <c r="J138" s="637"/>
      <c r="K138" s="637"/>
      <c r="L138" s="637"/>
      <c r="M138" s="637"/>
      <c r="N138" s="637"/>
      <c r="O138" s="637"/>
      <c r="P138" s="637"/>
      <c r="Q138" s="637"/>
      <c r="R138" s="637"/>
      <c r="S138" s="637"/>
      <c r="T138" s="637"/>
      <c r="U138" s="637"/>
      <c r="V138" s="637"/>
      <c r="W138" s="637"/>
      <c r="X138" s="637"/>
      <c r="Y138" s="637"/>
      <c r="Z138" s="637"/>
    </row>
    <row r="139" ht="11.25" customHeight="1">
      <c r="A139" s="637"/>
      <c r="B139" s="637"/>
      <c r="C139" s="637"/>
      <c r="D139" s="637"/>
      <c r="E139" s="637"/>
      <c r="F139" s="637"/>
      <c r="G139" s="637"/>
      <c r="H139" s="637"/>
      <c r="I139" s="637"/>
      <c r="J139" s="637"/>
      <c r="K139" s="637"/>
      <c r="L139" s="637"/>
      <c r="M139" s="637"/>
      <c r="N139" s="637"/>
      <c r="O139" s="637"/>
      <c r="P139" s="637"/>
      <c r="Q139" s="637"/>
      <c r="R139" s="637"/>
      <c r="S139" s="637"/>
      <c r="T139" s="637"/>
      <c r="U139" s="637"/>
      <c r="V139" s="637"/>
      <c r="W139" s="637"/>
      <c r="X139" s="637"/>
      <c r="Y139" s="637"/>
      <c r="Z139" s="637"/>
    </row>
    <row r="140" ht="11.25" customHeight="1">
      <c r="A140" s="637"/>
      <c r="B140" s="637"/>
      <c r="C140" s="637"/>
      <c r="D140" s="637"/>
      <c r="E140" s="637"/>
      <c r="F140" s="637"/>
      <c r="G140" s="637"/>
      <c r="H140" s="637"/>
      <c r="I140" s="637"/>
      <c r="J140" s="637"/>
      <c r="K140" s="637"/>
      <c r="L140" s="637"/>
      <c r="M140" s="637"/>
      <c r="N140" s="637"/>
      <c r="O140" s="637"/>
      <c r="P140" s="637"/>
      <c r="Q140" s="637"/>
      <c r="R140" s="637"/>
      <c r="S140" s="637"/>
      <c r="T140" s="637"/>
      <c r="U140" s="637"/>
      <c r="V140" s="637"/>
      <c r="W140" s="637"/>
      <c r="X140" s="637"/>
      <c r="Y140" s="637"/>
      <c r="Z140" s="637"/>
    </row>
    <row r="141" ht="11.25" customHeight="1">
      <c r="A141" s="637"/>
      <c r="B141" s="637"/>
      <c r="C141" s="637"/>
      <c r="D141" s="637"/>
      <c r="E141" s="637"/>
      <c r="F141" s="637"/>
      <c r="G141" s="637"/>
      <c r="H141" s="637"/>
      <c r="I141" s="637"/>
      <c r="J141" s="637"/>
      <c r="K141" s="637"/>
      <c r="L141" s="637"/>
      <c r="M141" s="637"/>
      <c r="N141" s="637"/>
      <c r="O141" s="637"/>
      <c r="P141" s="637"/>
      <c r="Q141" s="637"/>
      <c r="R141" s="637"/>
      <c r="S141" s="637"/>
      <c r="T141" s="637"/>
      <c r="U141" s="637"/>
      <c r="V141" s="637"/>
      <c r="W141" s="637"/>
      <c r="X141" s="637"/>
      <c r="Y141" s="637"/>
      <c r="Z141" s="637"/>
    </row>
    <row r="142" ht="11.25" customHeight="1">
      <c r="A142" s="637"/>
      <c r="B142" s="637"/>
      <c r="C142" s="637"/>
      <c r="D142" s="637"/>
      <c r="E142" s="637"/>
      <c r="F142" s="637"/>
      <c r="G142" s="637"/>
      <c r="H142" s="637"/>
      <c r="I142" s="637"/>
      <c r="J142" s="637"/>
      <c r="K142" s="637"/>
      <c r="L142" s="637"/>
      <c r="M142" s="637"/>
      <c r="N142" s="637"/>
      <c r="O142" s="637"/>
      <c r="P142" s="637"/>
      <c r="Q142" s="637"/>
      <c r="R142" s="637"/>
      <c r="S142" s="637"/>
      <c r="T142" s="637"/>
      <c r="U142" s="637"/>
      <c r="V142" s="637"/>
      <c r="W142" s="637"/>
      <c r="X142" s="637"/>
      <c r="Y142" s="637"/>
      <c r="Z142" s="637"/>
    </row>
    <row r="143" ht="11.25" customHeight="1">
      <c r="A143" s="637"/>
      <c r="B143" s="637"/>
      <c r="C143" s="637"/>
      <c r="D143" s="637"/>
      <c r="E143" s="637"/>
      <c r="F143" s="637"/>
      <c r="G143" s="637"/>
      <c r="H143" s="637"/>
      <c r="I143" s="637"/>
      <c r="J143" s="637"/>
      <c r="K143" s="637"/>
      <c r="L143" s="637"/>
      <c r="M143" s="637"/>
      <c r="N143" s="637"/>
      <c r="O143" s="637"/>
      <c r="P143" s="637"/>
      <c r="Q143" s="637"/>
      <c r="R143" s="637"/>
      <c r="S143" s="637"/>
      <c r="T143" s="637"/>
      <c r="U143" s="637"/>
      <c r="V143" s="637"/>
      <c r="W143" s="637"/>
      <c r="X143" s="637"/>
      <c r="Y143" s="637"/>
      <c r="Z143" s="637"/>
    </row>
    <row r="144" ht="11.25" customHeight="1">
      <c r="A144" s="637"/>
      <c r="B144" s="637"/>
      <c r="C144" s="637"/>
      <c r="D144" s="637"/>
      <c r="E144" s="637"/>
      <c r="F144" s="637"/>
      <c r="G144" s="637"/>
      <c r="H144" s="637"/>
      <c r="I144" s="637"/>
      <c r="J144" s="637"/>
      <c r="K144" s="637"/>
      <c r="L144" s="637"/>
      <c r="M144" s="637"/>
      <c r="N144" s="637"/>
      <c r="O144" s="637"/>
      <c r="P144" s="637"/>
      <c r="Q144" s="637"/>
      <c r="R144" s="637"/>
      <c r="S144" s="637"/>
      <c r="T144" s="637"/>
      <c r="U144" s="637"/>
      <c r="V144" s="637"/>
      <c r="W144" s="637"/>
      <c r="X144" s="637"/>
      <c r="Y144" s="637"/>
      <c r="Z144" s="637"/>
    </row>
    <row r="145" ht="11.25" customHeight="1">
      <c r="A145" s="637"/>
      <c r="B145" s="637"/>
      <c r="C145" s="637"/>
      <c r="D145" s="637"/>
      <c r="E145" s="637"/>
      <c r="F145" s="637"/>
      <c r="G145" s="637"/>
      <c r="H145" s="637"/>
      <c r="I145" s="637"/>
      <c r="J145" s="637"/>
      <c r="K145" s="637"/>
      <c r="L145" s="637"/>
      <c r="M145" s="637"/>
      <c r="N145" s="637"/>
      <c r="O145" s="637"/>
      <c r="P145" s="637"/>
      <c r="Q145" s="637"/>
      <c r="R145" s="637"/>
      <c r="S145" s="637"/>
      <c r="T145" s="637"/>
      <c r="U145" s="637"/>
      <c r="V145" s="637"/>
      <c r="W145" s="637"/>
      <c r="X145" s="637"/>
      <c r="Y145" s="637"/>
      <c r="Z145" s="637"/>
    </row>
    <row r="146" ht="11.25" customHeight="1">
      <c r="A146" s="637"/>
      <c r="B146" s="637"/>
      <c r="C146" s="637"/>
      <c r="D146" s="637"/>
      <c r="E146" s="637"/>
      <c r="F146" s="637"/>
      <c r="G146" s="637"/>
      <c r="H146" s="637"/>
      <c r="I146" s="637"/>
      <c r="J146" s="637"/>
      <c r="K146" s="637"/>
      <c r="L146" s="637"/>
      <c r="M146" s="637"/>
      <c r="N146" s="637"/>
      <c r="O146" s="637"/>
      <c r="P146" s="637"/>
      <c r="Q146" s="637"/>
      <c r="R146" s="637"/>
      <c r="S146" s="637"/>
      <c r="T146" s="637"/>
      <c r="U146" s="637"/>
      <c r="V146" s="637"/>
      <c r="W146" s="637"/>
      <c r="X146" s="637"/>
      <c r="Y146" s="637"/>
      <c r="Z146" s="637"/>
    </row>
    <row r="147" ht="11.25" customHeight="1">
      <c r="A147" s="637"/>
      <c r="B147" s="637"/>
      <c r="C147" s="637"/>
      <c r="D147" s="637"/>
      <c r="E147" s="637"/>
      <c r="F147" s="637"/>
      <c r="G147" s="637"/>
      <c r="H147" s="637"/>
      <c r="I147" s="637"/>
      <c r="J147" s="637"/>
      <c r="K147" s="637"/>
      <c r="L147" s="637"/>
      <c r="M147" s="637"/>
      <c r="N147" s="637"/>
      <c r="O147" s="637"/>
      <c r="P147" s="637"/>
      <c r="Q147" s="637"/>
      <c r="R147" s="637"/>
      <c r="S147" s="637"/>
      <c r="T147" s="637"/>
      <c r="U147" s="637"/>
      <c r="V147" s="637"/>
      <c r="W147" s="637"/>
      <c r="X147" s="637"/>
      <c r="Y147" s="637"/>
      <c r="Z147" s="637"/>
    </row>
    <row r="148" ht="11.25" customHeight="1">
      <c r="A148" s="637"/>
      <c r="B148" s="637"/>
      <c r="C148" s="637"/>
      <c r="D148" s="637"/>
      <c r="E148" s="637"/>
      <c r="F148" s="637"/>
      <c r="G148" s="637"/>
      <c r="H148" s="637"/>
      <c r="I148" s="637"/>
      <c r="J148" s="637"/>
      <c r="K148" s="637"/>
      <c r="L148" s="637"/>
      <c r="M148" s="637"/>
      <c r="N148" s="637"/>
      <c r="O148" s="637"/>
      <c r="P148" s="637"/>
      <c r="Q148" s="637"/>
      <c r="R148" s="637"/>
      <c r="S148" s="637"/>
      <c r="T148" s="637"/>
      <c r="U148" s="637"/>
      <c r="V148" s="637"/>
      <c r="W148" s="637"/>
      <c r="X148" s="637"/>
      <c r="Y148" s="637"/>
      <c r="Z148" s="637"/>
    </row>
    <row r="149" ht="11.25" customHeight="1">
      <c r="A149" s="637"/>
      <c r="B149" s="637"/>
      <c r="C149" s="637"/>
      <c r="D149" s="637"/>
      <c r="E149" s="637"/>
      <c r="F149" s="637"/>
      <c r="G149" s="637"/>
      <c r="H149" s="637"/>
      <c r="I149" s="637"/>
      <c r="J149" s="637"/>
      <c r="K149" s="637"/>
      <c r="L149" s="637"/>
      <c r="M149" s="637"/>
      <c r="N149" s="637"/>
      <c r="O149" s="637"/>
      <c r="P149" s="637"/>
      <c r="Q149" s="637"/>
      <c r="R149" s="637"/>
      <c r="S149" s="637"/>
      <c r="T149" s="637"/>
      <c r="U149" s="637"/>
      <c r="V149" s="637"/>
      <c r="W149" s="637"/>
      <c r="X149" s="637"/>
      <c r="Y149" s="637"/>
      <c r="Z149" s="637"/>
    </row>
    <row r="150" ht="11.25" customHeight="1">
      <c r="A150" s="637"/>
      <c r="B150" s="637"/>
      <c r="C150" s="637"/>
      <c r="D150" s="637"/>
      <c r="E150" s="637"/>
      <c r="F150" s="637"/>
      <c r="G150" s="637"/>
      <c r="H150" s="637"/>
      <c r="I150" s="637"/>
      <c r="J150" s="637"/>
      <c r="K150" s="637"/>
      <c r="L150" s="637"/>
      <c r="M150" s="637"/>
      <c r="N150" s="637"/>
      <c r="O150" s="637"/>
      <c r="P150" s="637"/>
      <c r="Q150" s="637"/>
      <c r="R150" s="637"/>
      <c r="S150" s="637"/>
      <c r="T150" s="637"/>
      <c r="U150" s="637"/>
      <c r="V150" s="637"/>
      <c r="W150" s="637"/>
      <c r="X150" s="637"/>
      <c r="Y150" s="637"/>
      <c r="Z150" s="637"/>
    </row>
    <row r="151" ht="11.25" customHeight="1">
      <c r="A151" s="637"/>
      <c r="B151" s="637"/>
      <c r="C151" s="637"/>
      <c r="D151" s="637"/>
      <c r="E151" s="637"/>
      <c r="F151" s="637"/>
      <c r="G151" s="637"/>
      <c r="H151" s="637"/>
      <c r="I151" s="637"/>
      <c r="J151" s="637"/>
      <c r="K151" s="637"/>
      <c r="L151" s="637"/>
      <c r="M151" s="637"/>
      <c r="N151" s="637"/>
      <c r="O151" s="637"/>
      <c r="P151" s="637"/>
      <c r="Q151" s="637"/>
      <c r="R151" s="637"/>
      <c r="S151" s="637"/>
      <c r="T151" s="637"/>
      <c r="U151" s="637"/>
      <c r="V151" s="637"/>
      <c r="W151" s="637"/>
      <c r="X151" s="637"/>
      <c r="Y151" s="637"/>
      <c r="Z151" s="637"/>
    </row>
    <row r="152" ht="11.25" customHeight="1">
      <c r="A152" s="637"/>
      <c r="B152" s="637"/>
      <c r="C152" s="637"/>
      <c r="D152" s="637"/>
      <c r="E152" s="637"/>
      <c r="F152" s="637"/>
      <c r="G152" s="637"/>
      <c r="H152" s="637"/>
      <c r="I152" s="637"/>
      <c r="J152" s="637"/>
      <c r="K152" s="637"/>
      <c r="L152" s="637"/>
      <c r="M152" s="637"/>
      <c r="N152" s="637"/>
      <c r="O152" s="637"/>
      <c r="P152" s="637"/>
      <c r="Q152" s="637"/>
      <c r="R152" s="637"/>
      <c r="S152" s="637"/>
      <c r="T152" s="637"/>
      <c r="U152" s="637"/>
      <c r="V152" s="637"/>
      <c r="W152" s="637"/>
      <c r="X152" s="637"/>
      <c r="Y152" s="637"/>
      <c r="Z152" s="637"/>
    </row>
    <row r="153" ht="11.25" customHeight="1">
      <c r="A153" s="637"/>
      <c r="B153" s="637"/>
      <c r="C153" s="637"/>
      <c r="D153" s="637"/>
      <c r="E153" s="637"/>
      <c r="F153" s="637"/>
      <c r="G153" s="637"/>
      <c r="H153" s="637"/>
      <c r="I153" s="637"/>
      <c r="J153" s="637"/>
      <c r="K153" s="637"/>
      <c r="L153" s="637"/>
      <c r="M153" s="637"/>
      <c r="N153" s="637"/>
      <c r="O153" s="637"/>
      <c r="P153" s="637"/>
      <c r="Q153" s="637"/>
      <c r="R153" s="637"/>
      <c r="S153" s="637"/>
      <c r="T153" s="637"/>
      <c r="U153" s="637"/>
      <c r="V153" s="637"/>
      <c r="W153" s="637"/>
      <c r="X153" s="637"/>
      <c r="Y153" s="637"/>
      <c r="Z153" s="637"/>
    </row>
    <row r="154" ht="11.25" customHeight="1">
      <c r="A154" s="637"/>
      <c r="B154" s="637"/>
      <c r="C154" s="637"/>
      <c r="D154" s="637"/>
      <c r="E154" s="637"/>
      <c r="F154" s="637"/>
      <c r="G154" s="637"/>
      <c r="H154" s="637"/>
      <c r="I154" s="637"/>
      <c r="J154" s="637"/>
      <c r="K154" s="637"/>
      <c r="L154" s="637"/>
      <c r="M154" s="637"/>
      <c r="N154" s="637"/>
      <c r="O154" s="637"/>
      <c r="P154" s="637"/>
      <c r="Q154" s="637"/>
      <c r="R154" s="637"/>
      <c r="S154" s="637"/>
      <c r="T154" s="637"/>
      <c r="U154" s="637"/>
      <c r="V154" s="637"/>
      <c r="W154" s="637"/>
      <c r="X154" s="637"/>
      <c r="Y154" s="637"/>
      <c r="Z154" s="637"/>
    </row>
    <row r="155" ht="11.25" customHeight="1">
      <c r="A155" s="637"/>
      <c r="B155" s="637"/>
      <c r="C155" s="637"/>
      <c r="D155" s="637"/>
      <c r="E155" s="637"/>
      <c r="F155" s="637"/>
      <c r="G155" s="637"/>
      <c r="H155" s="637"/>
      <c r="I155" s="637"/>
      <c r="J155" s="637"/>
      <c r="K155" s="637"/>
      <c r="L155" s="637"/>
      <c r="M155" s="637"/>
      <c r="N155" s="637"/>
      <c r="O155" s="637"/>
      <c r="P155" s="637"/>
      <c r="Q155" s="637"/>
      <c r="R155" s="637"/>
      <c r="S155" s="637"/>
      <c r="T155" s="637"/>
      <c r="U155" s="637"/>
      <c r="V155" s="637"/>
      <c r="W155" s="637"/>
      <c r="X155" s="637"/>
      <c r="Y155" s="637"/>
      <c r="Z155" s="637"/>
    </row>
    <row r="156" ht="11.25" customHeight="1">
      <c r="A156" s="637"/>
      <c r="B156" s="637"/>
      <c r="C156" s="637"/>
      <c r="D156" s="637"/>
      <c r="E156" s="637"/>
      <c r="F156" s="637"/>
      <c r="G156" s="637"/>
      <c r="H156" s="637"/>
      <c r="I156" s="637"/>
      <c r="J156" s="637"/>
      <c r="K156" s="637"/>
      <c r="L156" s="637"/>
      <c r="M156" s="637"/>
      <c r="N156" s="637"/>
      <c r="O156" s="637"/>
      <c r="P156" s="637"/>
      <c r="Q156" s="637"/>
      <c r="R156" s="637"/>
      <c r="S156" s="637"/>
      <c r="T156" s="637"/>
      <c r="U156" s="637"/>
      <c r="V156" s="637"/>
      <c r="W156" s="637"/>
      <c r="X156" s="637"/>
      <c r="Y156" s="637"/>
      <c r="Z156" s="637"/>
    </row>
    <row r="157" ht="11.25" customHeight="1">
      <c r="A157" s="637"/>
      <c r="B157" s="637"/>
      <c r="C157" s="637"/>
      <c r="D157" s="637"/>
      <c r="E157" s="637"/>
      <c r="F157" s="637"/>
      <c r="G157" s="637"/>
      <c r="H157" s="637"/>
      <c r="I157" s="637"/>
      <c r="J157" s="637"/>
      <c r="K157" s="637"/>
      <c r="L157" s="637"/>
      <c r="M157" s="637"/>
      <c r="N157" s="637"/>
      <c r="O157" s="637"/>
      <c r="P157" s="637"/>
      <c r="Q157" s="637"/>
      <c r="R157" s="637"/>
      <c r="S157" s="637"/>
      <c r="T157" s="637"/>
      <c r="U157" s="637"/>
      <c r="V157" s="637"/>
      <c r="W157" s="637"/>
      <c r="X157" s="637"/>
      <c r="Y157" s="637"/>
      <c r="Z157" s="637"/>
    </row>
    <row r="158" ht="11.25" customHeight="1">
      <c r="A158" s="637"/>
      <c r="B158" s="637"/>
      <c r="C158" s="637"/>
      <c r="D158" s="637"/>
      <c r="E158" s="637"/>
      <c r="F158" s="637"/>
      <c r="G158" s="637"/>
      <c r="H158" s="637"/>
      <c r="I158" s="637"/>
      <c r="J158" s="637"/>
      <c r="K158" s="637"/>
      <c r="L158" s="637"/>
      <c r="M158" s="637"/>
      <c r="N158" s="637"/>
      <c r="O158" s="637"/>
      <c r="P158" s="637"/>
      <c r="Q158" s="637"/>
      <c r="R158" s="637"/>
      <c r="S158" s="637"/>
      <c r="T158" s="637"/>
      <c r="U158" s="637"/>
      <c r="V158" s="637"/>
      <c r="W158" s="637"/>
      <c r="X158" s="637"/>
      <c r="Y158" s="637"/>
      <c r="Z158" s="637"/>
    </row>
    <row r="159" ht="11.25" customHeight="1">
      <c r="A159" s="637"/>
      <c r="B159" s="637"/>
      <c r="C159" s="637"/>
      <c r="D159" s="637"/>
      <c r="E159" s="637"/>
      <c r="F159" s="637"/>
      <c r="G159" s="637"/>
      <c r="H159" s="637"/>
      <c r="I159" s="637"/>
      <c r="J159" s="637"/>
      <c r="K159" s="637"/>
      <c r="L159" s="637"/>
      <c r="M159" s="637"/>
      <c r="N159" s="637"/>
      <c r="O159" s="637"/>
      <c r="P159" s="637"/>
      <c r="Q159" s="637"/>
      <c r="R159" s="637"/>
      <c r="S159" s="637"/>
      <c r="T159" s="637"/>
      <c r="U159" s="637"/>
      <c r="V159" s="637"/>
      <c r="W159" s="637"/>
      <c r="X159" s="637"/>
      <c r="Y159" s="637"/>
      <c r="Z159" s="637"/>
    </row>
    <row r="160" ht="11.25" customHeight="1">
      <c r="A160" s="637"/>
      <c r="B160" s="637"/>
      <c r="C160" s="637"/>
      <c r="D160" s="637"/>
      <c r="E160" s="637"/>
      <c r="F160" s="637"/>
      <c r="G160" s="637"/>
      <c r="H160" s="637"/>
      <c r="I160" s="637"/>
      <c r="J160" s="637"/>
      <c r="K160" s="637"/>
      <c r="L160" s="637"/>
      <c r="M160" s="637"/>
      <c r="N160" s="637"/>
      <c r="O160" s="637"/>
      <c r="P160" s="637"/>
      <c r="Q160" s="637"/>
      <c r="R160" s="637"/>
      <c r="S160" s="637"/>
      <c r="T160" s="637"/>
      <c r="U160" s="637"/>
      <c r="V160" s="637"/>
      <c r="W160" s="637"/>
      <c r="X160" s="637"/>
      <c r="Y160" s="637"/>
      <c r="Z160" s="637"/>
    </row>
    <row r="161" ht="11.25" customHeight="1">
      <c r="A161" s="637"/>
      <c r="B161" s="637"/>
      <c r="C161" s="637"/>
      <c r="D161" s="637"/>
      <c r="E161" s="637"/>
      <c r="F161" s="637"/>
      <c r="G161" s="637"/>
      <c r="H161" s="637"/>
      <c r="I161" s="637"/>
      <c r="J161" s="637"/>
      <c r="K161" s="637"/>
      <c r="L161" s="637"/>
      <c r="M161" s="637"/>
      <c r="N161" s="637"/>
      <c r="O161" s="637"/>
      <c r="P161" s="637"/>
      <c r="Q161" s="637"/>
      <c r="R161" s="637"/>
      <c r="S161" s="637"/>
      <c r="T161" s="637"/>
      <c r="U161" s="637"/>
      <c r="V161" s="637"/>
      <c r="W161" s="637"/>
      <c r="X161" s="637"/>
      <c r="Y161" s="637"/>
      <c r="Z161" s="637"/>
    </row>
    <row r="162" ht="11.25" customHeight="1">
      <c r="A162" s="637"/>
      <c r="B162" s="637"/>
      <c r="C162" s="637"/>
      <c r="D162" s="637"/>
      <c r="E162" s="637"/>
      <c r="F162" s="637"/>
      <c r="G162" s="637"/>
      <c r="H162" s="637"/>
      <c r="I162" s="637"/>
      <c r="J162" s="637"/>
      <c r="K162" s="637"/>
      <c r="L162" s="637"/>
      <c r="M162" s="637"/>
      <c r="N162" s="637"/>
      <c r="O162" s="637"/>
      <c r="P162" s="637"/>
      <c r="Q162" s="637"/>
      <c r="R162" s="637"/>
      <c r="S162" s="637"/>
      <c r="T162" s="637"/>
      <c r="U162" s="637"/>
      <c r="V162" s="637"/>
      <c r="W162" s="637"/>
      <c r="X162" s="637"/>
      <c r="Y162" s="637"/>
      <c r="Z162" s="637"/>
    </row>
    <row r="163" ht="11.25" customHeight="1">
      <c r="A163" s="637"/>
      <c r="B163" s="637"/>
      <c r="C163" s="637"/>
      <c r="D163" s="637"/>
      <c r="E163" s="637"/>
      <c r="F163" s="637"/>
      <c r="G163" s="637"/>
      <c r="H163" s="637"/>
      <c r="I163" s="637"/>
      <c r="J163" s="637"/>
      <c r="K163" s="637"/>
      <c r="L163" s="637"/>
      <c r="M163" s="637"/>
      <c r="N163" s="637"/>
      <c r="O163" s="637"/>
      <c r="P163" s="637"/>
      <c r="Q163" s="637"/>
      <c r="R163" s="637"/>
      <c r="S163" s="637"/>
      <c r="T163" s="637"/>
      <c r="U163" s="637"/>
      <c r="V163" s="637"/>
      <c r="W163" s="637"/>
      <c r="X163" s="637"/>
      <c r="Y163" s="637"/>
      <c r="Z163" s="637"/>
    </row>
    <row r="164" ht="11.25" customHeight="1">
      <c r="A164" s="637"/>
      <c r="B164" s="637"/>
      <c r="C164" s="637"/>
      <c r="D164" s="637"/>
      <c r="E164" s="637"/>
      <c r="F164" s="637"/>
      <c r="G164" s="637"/>
      <c r="H164" s="637"/>
      <c r="I164" s="637"/>
      <c r="J164" s="637"/>
      <c r="K164" s="637"/>
      <c r="L164" s="637"/>
      <c r="M164" s="637"/>
      <c r="N164" s="637"/>
      <c r="O164" s="637"/>
      <c r="P164" s="637"/>
      <c r="Q164" s="637"/>
      <c r="R164" s="637"/>
      <c r="S164" s="637"/>
      <c r="T164" s="637"/>
      <c r="U164" s="637"/>
      <c r="V164" s="637"/>
      <c r="W164" s="637"/>
      <c r="X164" s="637"/>
      <c r="Y164" s="637"/>
      <c r="Z164" s="637"/>
    </row>
    <row r="165" ht="11.25" customHeight="1">
      <c r="A165" s="637"/>
      <c r="B165" s="637"/>
      <c r="C165" s="637"/>
      <c r="D165" s="637"/>
      <c r="E165" s="637"/>
      <c r="F165" s="637"/>
      <c r="G165" s="637"/>
      <c r="H165" s="637"/>
      <c r="I165" s="637"/>
      <c r="J165" s="637"/>
      <c r="K165" s="637"/>
      <c r="L165" s="637"/>
      <c r="M165" s="637"/>
      <c r="N165" s="637"/>
      <c r="O165" s="637"/>
      <c r="P165" s="637"/>
      <c r="Q165" s="637"/>
      <c r="R165" s="637"/>
      <c r="S165" s="637"/>
      <c r="T165" s="637"/>
      <c r="U165" s="637"/>
      <c r="V165" s="637"/>
      <c r="W165" s="637"/>
      <c r="X165" s="637"/>
      <c r="Y165" s="637"/>
      <c r="Z165" s="637"/>
    </row>
    <row r="166" ht="11.25" customHeight="1">
      <c r="A166" s="637"/>
      <c r="B166" s="637"/>
      <c r="C166" s="637"/>
      <c r="D166" s="637"/>
      <c r="E166" s="637"/>
      <c r="F166" s="637"/>
      <c r="G166" s="637"/>
      <c r="H166" s="637"/>
      <c r="I166" s="637"/>
      <c r="J166" s="637"/>
      <c r="K166" s="637"/>
      <c r="L166" s="637"/>
      <c r="M166" s="637"/>
      <c r="N166" s="637"/>
      <c r="O166" s="637"/>
      <c r="P166" s="637"/>
      <c r="Q166" s="637"/>
      <c r="R166" s="637"/>
      <c r="S166" s="637"/>
      <c r="T166" s="637"/>
      <c r="U166" s="637"/>
      <c r="V166" s="637"/>
      <c r="W166" s="637"/>
      <c r="X166" s="637"/>
      <c r="Y166" s="637"/>
      <c r="Z166" s="637"/>
    </row>
    <row r="167" ht="11.25" customHeight="1">
      <c r="A167" s="637"/>
      <c r="B167" s="637"/>
      <c r="C167" s="637"/>
      <c r="D167" s="637"/>
      <c r="E167" s="637"/>
      <c r="F167" s="637"/>
      <c r="G167" s="637"/>
      <c r="H167" s="637"/>
      <c r="I167" s="637"/>
      <c r="J167" s="637"/>
      <c r="K167" s="637"/>
      <c r="L167" s="637"/>
      <c r="M167" s="637"/>
      <c r="N167" s="637"/>
      <c r="O167" s="637"/>
      <c r="P167" s="637"/>
      <c r="Q167" s="637"/>
      <c r="R167" s="637"/>
      <c r="S167" s="637"/>
      <c r="T167" s="637"/>
      <c r="U167" s="637"/>
      <c r="V167" s="637"/>
      <c r="W167" s="637"/>
      <c r="X167" s="637"/>
      <c r="Y167" s="637"/>
      <c r="Z167" s="637"/>
    </row>
    <row r="168" ht="11.25" customHeight="1">
      <c r="A168" s="637"/>
      <c r="B168" s="637"/>
      <c r="C168" s="637"/>
      <c r="D168" s="637"/>
      <c r="E168" s="637"/>
      <c r="F168" s="637"/>
      <c r="G168" s="637"/>
      <c r="H168" s="637"/>
      <c r="I168" s="637"/>
      <c r="J168" s="637"/>
      <c r="K168" s="637"/>
      <c r="L168" s="637"/>
      <c r="M168" s="637"/>
      <c r="N168" s="637"/>
      <c r="O168" s="637"/>
      <c r="P168" s="637"/>
      <c r="Q168" s="637"/>
      <c r="R168" s="637"/>
      <c r="S168" s="637"/>
      <c r="T168" s="637"/>
      <c r="U168" s="637"/>
      <c r="V168" s="637"/>
      <c r="W168" s="637"/>
      <c r="X168" s="637"/>
      <c r="Y168" s="637"/>
      <c r="Z168" s="637"/>
    </row>
    <row r="169" ht="11.25" customHeight="1">
      <c r="A169" s="637"/>
      <c r="B169" s="637"/>
      <c r="C169" s="637"/>
      <c r="D169" s="637"/>
      <c r="E169" s="637"/>
      <c r="F169" s="637"/>
      <c r="G169" s="637"/>
      <c r="H169" s="637"/>
      <c r="I169" s="637"/>
      <c r="J169" s="637"/>
      <c r="K169" s="637"/>
      <c r="L169" s="637"/>
      <c r="M169" s="637"/>
      <c r="N169" s="637"/>
      <c r="O169" s="637"/>
      <c r="P169" s="637"/>
      <c r="Q169" s="637"/>
      <c r="R169" s="637"/>
      <c r="S169" s="637"/>
      <c r="T169" s="637"/>
      <c r="U169" s="637"/>
      <c r="V169" s="637"/>
      <c r="W169" s="637"/>
      <c r="X169" s="637"/>
      <c r="Y169" s="637"/>
      <c r="Z169" s="637"/>
    </row>
    <row r="170" ht="11.25" customHeight="1">
      <c r="A170" s="637"/>
      <c r="B170" s="637"/>
      <c r="C170" s="637"/>
      <c r="D170" s="637"/>
      <c r="E170" s="637"/>
      <c r="F170" s="637"/>
      <c r="G170" s="637"/>
      <c r="H170" s="637"/>
      <c r="I170" s="637"/>
      <c r="J170" s="637"/>
      <c r="K170" s="637"/>
      <c r="L170" s="637"/>
      <c r="M170" s="637"/>
      <c r="N170" s="637"/>
      <c r="O170" s="637"/>
      <c r="P170" s="637"/>
      <c r="Q170" s="637"/>
      <c r="R170" s="637"/>
      <c r="S170" s="637"/>
      <c r="T170" s="637"/>
      <c r="U170" s="637"/>
      <c r="V170" s="637"/>
      <c r="W170" s="637"/>
      <c r="X170" s="637"/>
      <c r="Y170" s="637"/>
      <c r="Z170" s="637"/>
    </row>
    <row r="171" ht="11.25" customHeight="1">
      <c r="A171" s="637"/>
      <c r="B171" s="637"/>
      <c r="C171" s="637"/>
      <c r="D171" s="637"/>
      <c r="E171" s="637"/>
      <c r="F171" s="637"/>
      <c r="G171" s="637"/>
      <c r="H171" s="637"/>
      <c r="I171" s="637"/>
      <c r="J171" s="637"/>
      <c r="K171" s="637"/>
      <c r="L171" s="637"/>
      <c r="M171" s="637"/>
      <c r="N171" s="637"/>
      <c r="O171" s="637"/>
      <c r="P171" s="637"/>
      <c r="Q171" s="637"/>
      <c r="R171" s="637"/>
      <c r="S171" s="637"/>
      <c r="T171" s="637"/>
      <c r="U171" s="637"/>
      <c r="V171" s="637"/>
      <c r="W171" s="637"/>
      <c r="X171" s="637"/>
      <c r="Y171" s="637"/>
      <c r="Z171" s="637"/>
    </row>
    <row r="172" ht="11.25" customHeight="1">
      <c r="A172" s="637"/>
      <c r="B172" s="637"/>
      <c r="C172" s="637"/>
      <c r="D172" s="637"/>
      <c r="E172" s="637"/>
      <c r="F172" s="637"/>
      <c r="G172" s="637"/>
      <c r="H172" s="637"/>
      <c r="I172" s="637"/>
      <c r="J172" s="637"/>
      <c r="K172" s="637"/>
      <c r="L172" s="637"/>
      <c r="M172" s="637"/>
      <c r="N172" s="637"/>
      <c r="O172" s="637"/>
      <c r="P172" s="637"/>
      <c r="Q172" s="637"/>
      <c r="R172" s="637"/>
      <c r="S172" s="637"/>
      <c r="T172" s="637"/>
      <c r="U172" s="637"/>
      <c r="V172" s="637"/>
      <c r="W172" s="637"/>
      <c r="X172" s="637"/>
      <c r="Y172" s="637"/>
      <c r="Z172" s="637"/>
    </row>
    <row r="173" ht="11.25" customHeight="1">
      <c r="A173" s="637"/>
      <c r="B173" s="637"/>
      <c r="C173" s="637"/>
      <c r="D173" s="637"/>
      <c r="E173" s="637"/>
      <c r="F173" s="637"/>
      <c r="G173" s="637"/>
      <c r="H173" s="637"/>
      <c r="I173" s="637"/>
      <c r="J173" s="637"/>
      <c r="K173" s="637"/>
      <c r="L173" s="637"/>
      <c r="M173" s="637"/>
      <c r="N173" s="637"/>
      <c r="O173" s="637"/>
      <c r="P173" s="637"/>
      <c r="Q173" s="637"/>
      <c r="R173" s="637"/>
      <c r="S173" s="637"/>
      <c r="T173" s="637"/>
      <c r="U173" s="637"/>
      <c r="V173" s="637"/>
      <c r="W173" s="637"/>
      <c r="X173" s="637"/>
      <c r="Y173" s="637"/>
      <c r="Z173" s="637"/>
    </row>
    <row r="174" ht="11.25" customHeight="1">
      <c r="A174" s="637"/>
      <c r="B174" s="637"/>
      <c r="C174" s="637"/>
      <c r="D174" s="637"/>
      <c r="E174" s="637"/>
      <c r="F174" s="637"/>
      <c r="G174" s="637"/>
      <c r="H174" s="637"/>
      <c r="I174" s="637"/>
      <c r="J174" s="637"/>
      <c r="K174" s="637"/>
      <c r="L174" s="637"/>
      <c r="M174" s="637"/>
      <c r="N174" s="637"/>
      <c r="O174" s="637"/>
      <c r="P174" s="637"/>
      <c r="Q174" s="637"/>
      <c r="R174" s="637"/>
      <c r="S174" s="637"/>
      <c r="T174" s="637"/>
      <c r="U174" s="637"/>
      <c r="V174" s="637"/>
      <c r="W174" s="637"/>
      <c r="X174" s="637"/>
      <c r="Y174" s="637"/>
      <c r="Z174" s="637"/>
    </row>
    <row r="175" ht="11.25" customHeight="1">
      <c r="A175" s="637"/>
      <c r="B175" s="637"/>
      <c r="C175" s="637"/>
      <c r="D175" s="637"/>
      <c r="E175" s="637"/>
      <c r="F175" s="637"/>
      <c r="G175" s="637"/>
      <c r="H175" s="637"/>
      <c r="I175" s="637"/>
      <c r="J175" s="637"/>
      <c r="K175" s="637"/>
      <c r="L175" s="637"/>
      <c r="M175" s="637"/>
      <c r="N175" s="637"/>
      <c r="O175" s="637"/>
      <c r="P175" s="637"/>
      <c r="Q175" s="637"/>
      <c r="R175" s="637"/>
      <c r="S175" s="637"/>
      <c r="T175" s="637"/>
      <c r="U175" s="637"/>
      <c r="V175" s="637"/>
      <c r="W175" s="637"/>
      <c r="X175" s="637"/>
      <c r="Y175" s="637"/>
      <c r="Z175" s="637"/>
    </row>
    <row r="176" ht="11.25" customHeight="1">
      <c r="A176" s="637"/>
      <c r="B176" s="637"/>
      <c r="C176" s="637"/>
      <c r="D176" s="637"/>
      <c r="E176" s="637"/>
      <c r="F176" s="637"/>
      <c r="G176" s="637"/>
      <c r="H176" s="637"/>
      <c r="I176" s="637"/>
      <c r="J176" s="637"/>
      <c r="K176" s="637"/>
      <c r="L176" s="637"/>
      <c r="M176" s="637"/>
      <c r="N176" s="637"/>
      <c r="O176" s="637"/>
      <c r="P176" s="637"/>
      <c r="Q176" s="637"/>
      <c r="R176" s="637"/>
      <c r="S176" s="637"/>
      <c r="T176" s="637"/>
      <c r="U176" s="637"/>
      <c r="V176" s="637"/>
      <c r="W176" s="637"/>
      <c r="X176" s="637"/>
      <c r="Y176" s="637"/>
      <c r="Z176" s="637"/>
    </row>
    <row r="177" ht="11.25" customHeight="1">
      <c r="A177" s="637"/>
      <c r="B177" s="637"/>
      <c r="C177" s="637"/>
      <c r="D177" s="637"/>
      <c r="E177" s="637"/>
      <c r="F177" s="637"/>
      <c r="G177" s="637"/>
      <c r="H177" s="637"/>
      <c r="I177" s="637"/>
      <c r="J177" s="637"/>
      <c r="K177" s="637"/>
      <c r="L177" s="637"/>
      <c r="M177" s="637"/>
      <c r="N177" s="637"/>
      <c r="O177" s="637"/>
      <c r="P177" s="637"/>
      <c r="Q177" s="637"/>
      <c r="R177" s="637"/>
      <c r="S177" s="637"/>
      <c r="T177" s="637"/>
      <c r="U177" s="637"/>
      <c r="V177" s="637"/>
      <c r="W177" s="637"/>
      <c r="X177" s="637"/>
      <c r="Y177" s="637"/>
      <c r="Z177" s="637"/>
    </row>
    <row r="178" ht="11.25" customHeight="1">
      <c r="A178" s="637"/>
      <c r="B178" s="637"/>
      <c r="C178" s="637"/>
      <c r="D178" s="637"/>
      <c r="E178" s="637"/>
      <c r="F178" s="637"/>
      <c r="G178" s="637"/>
      <c r="H178" s="637"/>
      <c r="I178" s="637"/>
      <c r="J178" s="637"/>
      <c r="K178" s="637"/>
      <c r="L178" s="637"/>
      <c r="M178" s="637"/>
      <c r="N178" s="637"/>
      <c r="O178" s="637"/>
      <c r="P178" s="637"/>
      <c r="Q178" s="637"/>
      <c r="R178" s="637"/>
      <c r="S178" s="637"/>
      <c r="T178" s="637"/>
      <c r="U178" s="637"/>
      <c r="V178" s="637"/>
      <c r="W178" s="637"/>
      <c r="X178" s="637"/>
      <c r="Y178" s="637"/>
      <c r="Z178" s="637"/>
    </row>
    <row r="179" ht="11.25" customHeight="1">
      <c r="A179" s="637"/>
      <c r="B179" s="637"/>
      <c r="C179" s="637"/>
      <c r="D179" s="637"/>
      <c r="E179" s="637"/>
      <c r="F179" s="637"/>
      <c r="G179" s="637"/>
      <c r="H179" s="637"/>
      <c r="I179" s="637"/>
      <c r="J179" s="637"/>
      <c r="K179" s="637"/>
      <c r="L179" s="637"/>
      <c r="M179" s="637"/>
      <c r="N179" s="637"/>
      <c r="O179" s="637"/>
      <c r="P179" s="637"/>
      <c r="Q179" s="637"/>
      <c r="R179" s="637"/>
      <c r="S179" s="637"/>
      <c r="T179" s="637"/>
      <c r="U179" s="637"/>
      <c r="V179" s="637"/>
      <c r="W179" s="637"/>
      <c r="X179" s="637"/>
      <c r="Y179" s="637"/>
      <c r="Z179" s="637"/>
    </row>
    <row r="180" ht="11.25" customHeight="1">
      <c r="A180" s="637"/>
      <c r="B180" s="637"/>
      <c r="C180" s="637"/>
      <c r="D180" s="637"/>
      <c r="E180" s="637"/>
      <c r="F180" s="637"/>
      <c r="G180" s="637"/>
      <c r="H180" s="637"/>
      <c r="I180" s="637"/>
      <c r="J180" s="637"/>
      <c r="K180" s="637"/>
      <c r="L180" s="637"/>
      <c r="M180" s="637"/>
      <c r="N180" s="637"/>
      <c r="O180" s="637"/>
      <c r="P180" s="637"/>
      <c r="Q180" s="637"/>
      <c r="R180" s="637"/>
      <c r="S180" s="637"/>
      <c r="T180" s="637"/>
      <c r="U180" s="637"/>
      <c r="V180" s="637"/>
      <c r="W180" s="637"/>
      <c r="X180" s="637"/>
      <c r="Y180" s="637"/>
      <c r="Z180" s="637"/>
    </row>
    <row r="181" ht="11.25" customHeight="1">
      <c r="A181" s="637"/>
      <c r="B181" s="637"/>
      <c r="C181" s="637"/>
      <c r="D181" s="637"/>
      <c r="E181" s="637"/>
      <c r="F181" s="637"/>
      <c r="G181" s="637"/>
      <c r="H181" s="637"/>
      <c r="I181" s="637"/>
      <c r="J181" s="637"/>
      <c r="K181" s="637"/>
      <c r="L181" s="637"/>
      <c r="M181" s="637"/>
      <c r="N181" s="637"/>
      <c r="O181" s="637"/>
      <c r="P181" s="637"/>
      <c r="Q181" s="637"/>
      <c r="R181" s="637"/>
      <c r="S181" s="637"/>
      <c r="T181" s="637"/>
      <c r="U181" s="637"/>
      <c r="V181" s="637"/>
      <c r="W181" s="637"/>
      <c r="X181" s="637"/>
      <c r="Y181" s="637"/>
      <c r="Z181" s="637"/>
    </row>
    <row r="182" ht="11.25" customHeight="1">
      <c r="A182" s="637"/>
      <c r="B182" s="637"/>
      <c r="C182" s="637"/>
      <c r="D182" s="637"/>
      <c r="E182" s="637"/>
      <c r="F182" s="637"/>
      <c r="G182" s="637"/>
      <c r="H182" s="637"/>
      <c r="I182" s="637"/>
      <c r="J182" s="637"/>
      <c r="K182" s="637"/>
      <c r="L182" s="637"/>
      <c r="M182" s="637"/>
      <c r="N182" s="637"/>
      <c r="O182" s="637"/>
      <c r="P182" s="637"/>
      <c r="Q182" s="637"/>
      <c r="R182" s="637"/>
      <c r="S182" s="637"/>
      <c r="T182" s="637"/>
      <c r="U182" s="637"/>
      <c r="V182" s="637"/>
      <c r="W182" s="637"/>
      <c r="X182" s="637"/>
      <c r="Y182" s="637"/>
      <c r="Z182" s="637"/>
    </row>
    <row r="183" ht="11.25" customHeight="1">
      <c r="A183" s="637"/>
      <c r="B183" s="637"/>
      <c r="C183" s="637"/>
      <c r="D183" s="637"/>
      <c r="E183" s="637"/>
      <c r="F183" s="637"/>
      <c r="G183" s="637"/>
      <c r="H183" s="637"/>
      <c r="I183" s="637"/>
      <c r="J183" s="637"/>
      <c r="K183" s="637"/>
      <c r="L183" s="637"/>
      <c r="M183" s="637"/>
      <c r="N183" s="637"/>
      <c r="O183" s="637"/>
      <c r="P183" s="637"/>
      <c r="Q183" s="637"/>
      <c r="R183" s="637"/>
      <c r="S183" s="637"/>
      <c r="T183" s="637"/>
      <c r="U183" s="637"/>
      <c r="V183" s="637"/>
      <c r="W183" s="637"/>
      <c r="X183" s="637"/>
      <c r="Y183" s="637"/>
      <c r="Z183" s="637"/>
    </row>
    <row r="184" ht="11.25" customHeight="1">
      <c r="A184" s="637"/>
      <c r="B184" s="637"/>
      <c r="C184" s="637"/>
      <c r="D184" s="637"/>
      <c r="E184" s="637"/>
      <c r="F184" s="637"/>
      <c r="G184" s="637"/>
      <c r="H184" s="637"/>
      <c r="I184" s="637"/>
      <c r="J184" s="637"/>
      <c r="K184" s="637"/>
      <c r="L184" s="637"/>
      <c r="M184" s="637"/>
      <c r="N184" s="637"/>
      <c r="O184" s="637"/>
      <c r="P184" s="637"/>
      <c r="Q184" s="637"/>
      <c r="R184" s="637"/>
      <c r="S184" s="637"/>
      <c r="T184" s="637"/>
      <c r="U184" s="637"/>
      <c r="V184" s="637"/>
      <c r="W184" s="637"/>
      <c r="X184" s="637"/>
      <c r="Y184" s="637"/>
      <c r="Z184" s="637"/>
    </row>
    <row r="185" ht="11.25" customHeight="1">
      <c r="A185" s="637"/>
      <c r="B185" s="637"/>
      <c r="C185" s="637"/>
      <c r="D185" s="637"/>
      <c r="E185" s="637"/>
      <c r="F185" s="637"/>
      <c r="G185" s="637"/>
      <c r="H185" s="637"/>
      <c r="I185" s="637"/>
      <c r="J185" s="637"/>
      <c r="K185" s="637"/>
      <c r="L185" s="637"/>
      <c r="M185" s="637"/>
      <c r="N185" s="637"/>
      <c r="O185" s="637"/>
      <c r="P185" s="637"/>
      <c r="Q185" s="637"/>
      <c r="R185" s="637"/>
      <c r="S185" s="637"/>
      <c r="T185" s="637"/>
      <c r="U185" s="637"/>
      <c r="V185" s="637"/>
      <c r="W185" s="637"/>
      <c r="X185" s="637"/>
      <c r="Y185" s="637"/>
      <c r="Z185" s="637"/>
    </row>
    <row r="186" ht="11.25" customHeight="1">
      <c r="A186" s="637"/>
      <c r="B186" s="637"/>
      <c r="C186" s="637"/>
      <c r="D186" s="637"/>
      <c r="E186" s="637"/>
      <c r="F186" s="637"/>
      <c r="G186" s="637"/>
      <c r="H186" s="637"/>
      <c r="I186" s="637"/>
      <c r="J186" s="637"/>
      <c r="K186" s="637"/>
      <c r="L186" s="637"/>
      <c r="M186" s="637"/>
      <c r="N186" s="637"/>
      <c r="O186" s="637"/>
      <c r="P186" s="637"/>
      <c r="Q186" s="637"/>
      <c r="R186" s="637"/>
      <c r="S186" s="637"/>
      <c r="T186" s="637"/>
      <c r="U186" s="637"/>
      <c r="V186" s="637"/>
      <c r="W186" s="637"/>
      <c r="X186" s="637"/>
      <c r="Y186" s="637"/>
      <c r="Z186" s="637"/>
    </row>
    <row r="187" ht="11.25" customHeight="1">
      <c r="A187" s="637"/>
      <c r="B187" s="637"/>
      <c r="C187" s="637"/>
      <c r="D187" s="637"/>
      <c r="E187" s="637"/>
      <c r="F187" s="637"/>
      <c r="G187" s="637"/>
      <c r="H187" s="637"/>
      <c r="I187" s="637"/>
      <c r="J187" s="637"/>
      <c r="K187" s="637"/>
      <c r="L187" s="637"/>
      <c r="M187" s="637"/>
      <c r="N187" s="637"/>
      <c r="O187" s="637"/>
      <c r="P187" s="637"/>
      <c r="Q187" s="637"/>
      <c r="R187" s="637"/>
      <c r="S187" s="637"/>
      <c r="T187" s="637"/>
      <c r="U187" s="637"/>
      <c r="V187" s="637"/>
      <c r="W187" s="637"/>
      <c r="X187" s="637"/>
      <c r="Y187" s="637"/>
      <c r="Z187" s="637"/>
    </row>
    <row r="188" ht="11.25" customHeight="1">
      <c r="A188" s="637"/>
      <c r="B188" s="637"/>
      <c r="C188" s="637"/>
      <c r="D188" s="637"/>
      <c r="E188" s="637"/>
      <c r="F188" s="637"/>
      <c r="G188" s="637"/>
      <c r="H188" s="637"/>
      <c r="I188" s="637"/>
      <c r="J188" s="637"/>
      <c r="K188" s="637"/>
      <c r="L188" s="637"/>
      <c r="M188" s="637"/>
      <c r="N188" s="637"/>
      <c r="O188" s="637"/>
      <c r="P188" s="637"/>
      <c r="Q188" s="637"/>
      <c r="R188" s="637"/>
      <c r="S188" s="637"/>
      <c r="T188" s="637"/>
      <c r="U188" s="637"/>
      <c r="V188" s="637"/>
      <c r="W188" s="637"/>
      <c r="X188" s="637"/>
      <c r="Y188" s="637"/>
      <c r="Z188" s="637"/>
    </row>
    <row r="189" ht="11.25" customHeight="1">
      <c r="A189" s="637"/>
      <c r="B189" s="637"/>
      <c r="C189" s="637"/>
      <c r="D189" s="637"/>
      <c r="E189" s="637"/>
      <c r="F189" s="637"/>
      <c r="G189" s="637"/>
      <c r="H189" s="637"/>
      <c r="I189" s="637"/>
      <c r="J189" s="637"/>
      <c r="K189" s="637"/>
      <c r="L189" s="637"/>
      <c r="M189" s="637"/>
      <c r="N189" s="637"/>
      <c r="O189" s="637"/>
      <c r="P189" s="637"/>
      <c r="Q189" s="637"/>
      <c r="R189" s="637"/>
      <c r="S189" s="637"/>
      <c r="T189" s="637"/>
      <c r="U189" s="637"/>
      <c r="V189" s="637"/>
      <c r="W189" s="637"/>
      <c r="X189" s="637"/>
      <c r="Y189" s="637"/>
      <c r="Z189" s="637"/>
    </row>
    <row r="190" ht="11.25" customHeight="1">
      <c r="A190" s="637"/>
      <c r="B190" s="637"/>
      <c r="C190" s="637"/>
      <c r="D190" s="637"/>
      <c r="E190" s="637"/>
      <c r="F190" s="637"/>
      <c r="G190" s="637"/>
      <c r="H190" s="637"/>
      <c r="I190" s="637"/>
      <c r="J190" s="637"/>
      <c r="K190" s="637"/>
      <c r="L190" s="637"/>
      <c r="M190" s="637"/>
      <c r="N190" s="637"/>
      <c r="O190" s="637"/>
      <c r="P190" s="637"/>
      <c r="Q190" s="637"/>
      <c r="R190" s="637"/>
      <c r="S190" s="637"/>
      <c r="T190" s="637"/>
      <c r="U190" s="637"/>
      <c r="V190" s="637"/>
      <c r="W190" s="637"/>
      <c r="X190" s="637"/>
      <c r="Y190" s="637"/>
      <c r="Z190" s="637"/>
    </row>
    <row r="191" ht="11.25" customHeight="1">
      <c r="A191" s="637"/>
      <c r="B191" s="637"/>
      <c r="C191" s="637"/>
      <c r="D191" s="637"/>
      <c r="E191" s="637"/>
      <c r="F191" s="637"/>
      <c r="G191" s="637"/>
      <c r="H191" s="637"/>
      <c r="I191" s="637"/>
      <c r="J191" s="637"/>
      <c r="K191" s="637"/>
      <c r="L191" s="637"/>
      <c r="M191" s="637"/>
      <c r="N191" s="637"/>
      <c r="O191" s="637"/>
      <c r="P191" s="637"/>
      <c r="Q191" s="637"/>
      <c r="R191" s="637"/>
      <c r="S191" s="637"/>
      <c r="T191" s="637"/>
      <c r="U191" s="637"/>
      <c r="V191" s="637"/>
      <c r="W191" s="637"/>
      <c r="X191" s="637"/>
      <c r="Y191" s="637"/>
      <c r="Z191" s="637"/>
    </row>
    <row r="192" ht="11.25" customHeight="1">
      <c r="A192" s="637"/>
      <c r="B192" s="637"/>
      <c r="C192" s="637"/>
      <c r="D192" s="637"/>
      <c r="E192" s="637"/>
      <c r="F192" s="637"/>
      <c r="G192" s="637"/>
      <c r="H192" s="637"/>
      <c r="I192" s="637"/>
      <c r="J192" s="637"/>
      <c r="K192" s="637"/>
      <c r="L192" s="637"/>
      <c r="M192" s="637"/>
      <c r="N192" s="637"/>
      <c r="O192" s="637"/>
      <c r="P192" s="637"/>
      <c r="Q192" s="637"/>
      <c r="R192" s="637"/>
      <c r="S192" s="637"/>
      <c r="T192" s="637"/>
      <c r="U192" s="637"/>
      <c r="V192" s="637"/>
      <c r="W192" s="637"/>
      <c r="X192" s="637"/>
      <c r="Y192" s="637"/>
      <c r="Z192" s="637"/>
    </row>
    <row r="193" ht="11.25" customHeight="1">
      <c r="A193" s="637"/>
      <c r="B193" s="637"/>
      <c r="C193" s="637"/>
      <c r="D193" s="637"/>
      <c r="E193" s="637"/>
      <c r="F193" s="637"/>
      <c r="G193" s="637"/>
      <c r="H193" s="637"/>
      <c r="I193" s="637"/>
      <c r="J193" s="637"/>
      <c r="K193" s="637"/>
      <c r="L193" s="637"/>
      <c r="M193" s="637"/>
      <c r="N193" s="637"/>
      <c r="O193" s="637"/>
      <c r="P193" s="637"/>
      <c r="Q193" s="637"/>
      <c r="R193" s="637"/>
      <c r="S193" s="637"/>
      <c r="T193" s="637"/>
      <c r="U193" s="637"/>
      <c r="V193" s="637"/>
      <c r="W193" s="637"/>
      <c r="X193" s="637"/>
      <c r="Y193" s="637"/>
      <c r="Z193" s="637"/>
    </row>
    <row r="194" ht="11.25" customHeight="1">
      <c r="A194" s="637"/>
      <c r="B194" s="637"/>
      <c r="C194" s="637"/>
      <c r="D194" s="637"/>
      <c r="E194" s="637"/>
      <c r="F194" s="637"/>
      <c r="G194" s="637"/>
      <c r="H194" s="637"/>
      <c r="I194" s="637"/>
      <c r="J194" s="637"/>
      <c r="K194" s="637"/>
      <c r="L194" s="637"/>
      <c r="M194" s="637"/>
      <c r="N194" s="637"/>
      <c r="O194" s="637"/>
      <c r="P194" s="637"/>
      <c r="Q194" s="637"/>
      <c r="R194" s="637"/>
      <c r="S194" s="637"/>
      <c r="T194" s="637"/>
      <c r="U194" s="637"/>
      <c r="V194" s="637"/>
      <c r="W194" s="637"/>
      <c r="X194" s="637"/>
      <c r="Y194" s="637"/>
      <c r="Z194" s="637"/>
    </row>
    <row r="195" ht="11.25" customHeight="1">
      <c r="A195" s="637"/>
      <c r="B195" s="637"/>
      <c r="C195" s="637"/>
      <c r="D195" s="637"/>
      <c r="E195" s="637"/>
      <c r="F195" s="637"/>
      <c r="G195" s="637"/>
      <c r="H195" s="637"/>
      <c r="I195" s="637"/>
      <c r="J195" s="637"/>
      <c r="K195" s="637"/>
      <c r="L195" s="637"/>
      <c r="M195" s="637"/>
      <c r="N195" s="637"/>
      <c r="O195" s="637"/>
      <c r="P195" s="637"/>
      <c r="Q195" s="637"/>
      <c r="R195" s="637"/>
      <c r="S195" s="637"/>
      <c r="T195" s="637"/>
      <c r="U195" s="637"/>
      <c r="V195" s="637"/>
      <c r="W195" s="637"/>
      <c r="X195" s="637"/>
      <c r="Y195" s="637"/>
      <c r="Z195" s="637"/>
    </row>
    <row r="196" ht="11.25" customHeight="1">
      <c r="A196" s="637"/>
      <c r="B196" s="637"/>
      <c r="C196" s="637"/>
      <c r="D196" s="637"/>
      <c r="E196" s="637"/>
      <c r="F196" s="637"/>
      <c r="G196" s="637"/>
      <c r="H196" s="637"/>
      <c r="I196" s="637"/>
      <c r="J196" s="637"/>
      <c r="K196" s="637"/>
      <c r="L196" s="637"/>
      <c r="M196" s="637"/>
      <c r="N196" s="637"/>
      <c r="O196" s="637"/>
      <c r="P196" s="637"/>
      <c r="Q196" s="637"/>
      <c r="R196" s="637"/>
      <c r="S196" s="637"/>
      <c r="T196" s="637"/>
      <c r="U196" s="637"/>
      <c r="V196" s="637"/>
      <c r="W196" s="637"/>
      <c r="X196" s="637"/>
      <c r="Y196" s="637"/>
      <c r="Z196" s="637"/>
    </row>
    <row r="197" ht="11.25" customHeight="1">
      <c r="A197" s="637"/>
      <c r="B197" s="637"/>
      <c r="C197" s="637"/>
      <c r="D197" s="637"/>
      <c r="E197" s="637"/>
      <c r="F197" s="637"/>
      <c r="G197" s="637"/>
      <c r="H197" s="637"/>
      <c r="I197" s="637"/>
      <c r="J197" s="637"/>
      <c r="K197" s="637"/>
      <c r="L197" s="637"/>
      <c r="M197" s="637"/>
      <c r="N197" s="637"/>
      <c r="O197" s="637"/>
      <c r="P197" s="637"/>
      <c r="Q197" s="637"/>
      <c r="R197" s="637"/>
      <c r="S197" s="637"/>
      <c r="T197" s="637"/>
      <c r="U197" s="637"/>
      <c r="V197" s="637"/>
      <c r="W197" s="637"/>
      <c r="X197" s="637"/>
      <c r="Y197" s="637"/>
      <c r="Z197" s="637"/>
    </row>
    <row r="198" ht="11.25" customHeight="1">
      <c r="A198" s="637"/>
      <c r="B198" s="637"/>
      <c r="C198" s="637"/>
      <c r="D198" s="637"/>
      <c r="E198" s="637"/>
      <c r="F198" s="637"/>
      <c r="G198" s="637"/>
      <c r="H198" s="637"/>
      <c r="I198" s="637"/>
      <c r="J198" s="637"/>
      <c r="K198" s="637"/>
      <c r="L198" s="637"/>
      <c r="M198" s="637"/>
      <c r="N198" s="637"/>
      <c r="O198" s="637"/>
      <c r="P198" s="637"/>
      <c r="Q198" s="637"/>
      <c r="R198" s="637"/>
      <c r="S198" s="637"/>
      <c r="T198" s="637"/>
      <c r="U198" s="637"/>
      <c r="V198" s="637"/>
      <c r="W198" s="637"/>
      <c r="X198" s="637"/>
      <c r="Y198" s="637"/>
      <c r="Z198" s="637"/>
    </row>
    <row r="199" ht="11.25" customHeight="1">
      <c r="A199" s="637"/>
      <c r="B199" s="637"/>
      <c r="C199" s="637"/>
      <c r="D199" s="637"/>
      <c r="E199" s="637"/>
      <c r="F199" s="637"/>
      <c r="G199" s="637"/>
      <c r="H199" s="637"/>
      <c r="I199" s="637"/>
      <c r="J199" s="637"/>
      <c r="K199" s="637"/>
      <c r="L199" s="637"/>
      <c r="M199" s="637"/>
      <c r="N199" s="637"/>
      <c r="O199" s="637"/>
      <c r="P199" s="637"/>
      <c r="Q199" s="637"/>
      <c r="R199" s="637"/>
      <c r="S199" s="637"/>
      <c r="T199" s="637"/>
      <c r="U199" s="637"/>
      <c r="V199" s="637"/>
      <c r="W199" s="637"/>
      <c r="X199" s="637"/>
      <c r="Y199" s="637"/>
      <c r="Z199" s="637"/>
    </row>
    <row r="200" ht="11.25" customHeight="1">
      <c r="A200" s="637"/>
      <c r="B200" s="637"/>
      <c r="C200" s="637"/>
      <c r="D200" s="637"/>
      <c r="E200" s="637"/>
      <c r="F200" s="637"/>
      <c r="G200" s="637"/>
      <c r="H200" s="637"/>
      <c r="I200" s="637"/>
      <c r="J200" s="637"/>
      <c r="K200" s="637"/>
      <c r="L200" s="637"/>
      <c r="M200" s="637"/>
      <c r="N200" s="637"/>
      <c r="O200" s="637"/>
      <c r="P200" s="637"/>
      <c r="Q200" s="637"/>
      <c r="R200" s="637"/>
      <c r="S200" s="637"/>
      <c r="T200" s="637"/>
      <c r="U200" s="637"/>
      <c r="V200" s="637"/>
      <c r="W200" s="637"/>
      <c r="X200" s="637"/>
      <c r="Y200" s="637"/>
      <c r="Z200" s="637"/>
    </row>
    <row r="201" ht="11.25" customHeight="1">
      <c r="A201" s="637"/>
      <c r="B201" s="637"/>
      <c r="C201" s="637"/>
      <c r="D201" s="637"/>
      <c r="E201" s="637"/>
      <c r="F201" s="637"/>
      <c r="G201" s="637"/>
      <c r="H201" s="637"/>
      <c r="I201" s="637"/>
      <c r="J201" s="637"/>
      <c r="K201" s="637"/>
      <c r="L201" s="637"/>
      <c r="M201" s="637"/>
      <c r="N201" s="637"/>
      <c r="O201" s="637"/>
      <c r="P201" s="637"/>
      <c r="Q201" s="637"/>
      <c r="R201" s="637"/>
      <c r="S201" s="637"/>
      <c r="T201" s="637"/>
      <c r="U201" s="637"/>
      <c r="V201" s="637"/>
      <c r="W201" s="637"/>
      <c r="X201" s="637"/>
      <c r="Y201" s="637"/>
      <c r="Z201" s="637"/>
    </row>
    <row r="202" ht="11.25" customHeight="1">
      <c r="A202" s="637"/>
      <c r="B202" s="637"/>
      <c r="C202" s="637"/>
      <c r="D202" s="637"/>
      <c r="E202" s="637"/>
      <c r="F202" s="637"/>
      <c r="G202" s="637"/>
      <c r="H202" s="637"/>
      <c r="I202" s="637"/>
      <c r="J202" s="637"/>
      <c r="K202" s="637"/>
      <c r="L202" s="637"/>
      <c r="M202" s="637"/>
      <c r="N202" s="637"/>
      <c r="O202" s="637"/>
      <c r="P202" s="637"/>
      <c r="Q202" s="637"/>
      <c r="R202" s="637"/>
      <c r="S202" s="637"/>
      <c r="T202" s="637"/>
      <c r="U202" s="637"/>
      <c r="V202" s="637"/>
      <c r="W202" s="637"/>
      <c r="X202" s="637"/>
      <c r="Y202" s="637"/>
      <c r="Z202" s="637"/>
    </row>
    <row r="203" ht="11.25" customHeight="1">
      <c r="A203" s="637"/>
      <c r="B203" s="637"/>
      <c r="C203" s="637"/>
      <c r="D203" s="637"/>
      <c r="E203" s="637"/>
      <c r="F203" s="637"/>
      <c r="G203" s="637"/>
      <c r="H203" s="637"/>
      <c r="I203" s="637"/>
      <c r="J203" s="637"/>
      <c r="K203" s="637"/>
      <c r="L203" s="637"/>
      <c r="M203" s="637"/>
      <c r="N203" s="637"/>
      <c r="O203" s="637"/>
      <c r="P203" s="637"/>
      <c r="Q203" s="637"/>
      <c r="R203" s="637"/>
      <c r="S203" s="637"/>
      <c r="T203" s="637"/>
      <c r="U203" s="637"/>
      <c r="V203" s="637"/>
      <c r="W203" s="637"/>
      <c r="X203" s="637"/>
      <c r="Y203" s="637"/>
      <c r="Z203" s="637"/>
    </row>
    <row r="204" ht="11.25" customHeight="1">
      <c r="A204" s="637"/>
      <c r="B204" s="637"/>
      <c r="C204" s="637"/>
      <c r="D204" s="637"/>
      <c r="E204" s="637"/>
      <c r="F204" s="637"/>
      <c r="G204" s="637"/>
      <c r="H204" s="637"/>
      <c r="I204" s="637"/>
      <c r="J204" s="637"/>
      <c r="K204" s="637"/>
      <c r="L204" s="637"/>
      <c r="M204" s="637"/>
      <c r="N204" s="637"/>
      <c r="O204" s="637"/>
      <c r="P204" s="637"/>
      <c r="Q204" s="637"/>
      <c r="R204" s="637"/>
      <c r="S204" s="637"/>
      <c r="T204" s="637"/>
      <c r="U204" s="637"/>
      <c r="V204" s="637"/>
      <c r="W204" s="637"/>
      <c r="X204" s="637"/>
      <c r="Y204" s="637"/>
      <c r="Z204" s="637"/>
    </row>
    <row r="205" ht="11.25" customHeight="1">
      <c r="A205" s="637"/>
      <c r="B205" s="637"/>
      <c r="C205" s="637"/>
      <c r="D205" s="637"/>
      <c r="E205" s="637"/>
      <c r="F205" s="637"/>
      <c r="G205" s="637"/>
      <c r="H205" s="637"/>
      <c r="I205" s="637"/>
      <c r="J205" s="637"/>
      <c r="K205" s="637"/>
      <c r="L205" s="637"/>
      <c r="M205" s="637"/>
      <c r="N205" s="637"/>
      <c r="O205" s="637"/>
      <c r="P205" s="637"/>
      <c r="Q205" s="637"/>
      <c r="R205" s="637"/>
      <c r="S205" s="637"/>
      <c r="T205" s="637"/>
      <c r="U205" s="637"/>
      <c r="V205" s="637"/>
      <c r="W205" s="637"/>
      <c r="X205" s="637"/>
      <c r="Y205" s="637"/>
      <c r="Z205" s="637"/>
    </row>
    <row r="206" ht="11.25" customHeight="1">
      <c r="A206" s="637"/>
      <c r="B206" s="637"/>
      <c r="C206" s="637"/>
      <c r="D206" s="637"/>
      <c r="E206" s="637"/>
      <c r="F206" s="637"/>
      <c r="G206" s="637"/>
      <c r="H206" s="637"/>
      <c r="I206" s="637"/>
      <c r="J206" s="637"/>
      <c r="K206" s="637"/>
      <c r="L206" s="637"/>
      <c r="M206" s="637"/>
      <c r="N206" s="637"/>
      <c r="O206" s="637"/>
      <c r="P206" s="637"/>
      <c r="Q206" s="637"/>
      <c r="R206" s="637"/>
      <c r="S206" s="637"/>
      <c r="T206" s="637"/>
      <c r="U206" s="637"/>
      <c r="V206" s="637"/>
      <c r="W206" s="637"/>
      <c r="X206" s="637"/>
      <c r="Y206" s="637"/>
      <c r="Z206" s="637"/>
    </row>
    <row r="207" ht="11.25" customHeight="1">
      <c r="A207" s="637"/>
      <c r="B207" s="637"/>
      <c r="C207" s="637"/>
      <c r="D207" s="637"/>
      <c r="E207" s="637"/>
      <c r="F207" s="637"/>
      <c r="G207" s="637"/>
      <c r="H207" s="637"/>
      <c r="I207" s="637"/>
      <c r="J207" s="637"/>
      <c r="K207" s="637"/>
      <c r="L207" s="637"/>
      <c r="M207" s="637"/>
      <c r="N207" s="637"/>
      <c r="O207" s="637"/>
      <c r="P207" s="637"/>
      <c r="Q207" s="637"/>
      <c r="R207" s="637"/>
      <c r="S207" s="637"/>
      <c r="T207" s="637"/>
      <c r="U207" s="637"/>
      <c r="V207" s="637"/>
      <c r="W207" s="637"/>
      <c r="X207" s="637"/>
      <c r="Y207" s="637"/>
      <c r="Z207" s="637"/>
    </row>
    <row r="208" ht="11.25" customHeight="1">
      <c r="A208" s="637"/>
      <c r="B208" s="637"/>
      <c r="C208" s="637"/>
      <c r="D208" s="637"/>
      <c r="E208" s="637"/>
      <c r="F208" s="637"/>
      <c r="G208" s="637"/>
      <c r="H208" s="637"/>
      <c r="I208" s="637"/>
      <c r="J208" s="637"/>
      <c r="K208" s="637"/>
      <c r="L208" s="637"/>
      <c r="M208" s="637"/>
      <c r="N208" s="637"/>
      <c r="O208" s="637"/>
      <c r="P208" s="637"/>
      <c r="Q208" s="637"/>
      <c r="R208" s="637"/>
      <c r="S208" s="637"/>
      <c r="T208" s="637"/>
      <c r="U208" s="637"/>
      <c r="V208" s="637"/>
      <c r="W208" s="637"/>
      <c r="X208" s="637"/>
      <c r="Y208" s="637"/>
      <c r="Z208" s="637"/>
    </row>
    <row r="209" ht="11.25" customHeight="1">
      <c r="A209" s="637"/>
      <c r="B209" s="637"/>
      <c r="C209" s="637"/>
      <c r="D209" s="637"/>
      <c r="E209" s="637"/>
      <c r="F209" s="637"/>
      <c r="G209" s="637"/>
      <c r="H209" s="637"/>
      <c r="I209" s="637"/>
      <c r="J209" s="637"/>
      <c r="K209" s="637"/>
      <c r="L209" s="637"/>
      <c r="M209" s="637"/>
      <c r="N209" s="637"/>
      <c r="O209" s="637"/>
      <c r="P209" s="637"/>
      <c r="Q209" s="637"/>
      <c r="R209" s="637"/>
      <c r="S209" s="637"/>
      <c r="T209" s="637"/>
      <c r="U209" s="637"/>
      <c r="V209" s="637"/>
      <c r="W209" s="637"/>
      <c r="X209" s="637"/>
      <c r="Y209" s="637"/>
      <c r="Z209" s="637"/>
    </row>
    <row r="210" ht="11.25" customHeight="1">
      <c r="A210" s="637"/>
      <c r="B210" s="637"/>
      <c r="C210" s="637"/>
      <c r="D210" s="637"/>
      <c r="E210" s="637"/>
      <c r="F210" s="637"/>
      <c r="G210" s="637"/>
      <c r="H210" s="637"/>
      <c r="I210" s="637"/>
      <c r="J210" s="637"/>
      <c r="K210" s="637"/>
      <c r="L210" s="637"/>
      <c r="M210" s="637"/>
      <c r="N210" s="637"/>
      <c r="O210" s="637"/>
      <c r="P210" s="637"/>
      <c r="Q210" s="637"/>
      <c r="R210" s="637"/>
      <c r="S210" s="637"/>
      <c r="T210" s="637"/>
      <c r="U210" s="637"/>
      <c r="V210" s="637"/>
      <c r="W210" s="637"/>
      <c r="X210" s="637"/>
      <c r="Y210" s="637"/>
      <c r="Z210" s="637"/>
    </row>
    <row r="211" ht="11.25" customHeight="1">
      <c r="A211" s="637"/>
      <c r="B211" s="637"/>
      <c r="C211" s="637"/>
      <c r="D211" s="637"/>
      <c r="E211" s="637"/>
      <c r="F211" s="637"/>
      <c r="G211" s="637"/>
      <c r="H211" s="637"/>
      <c r="I211" s="637"/>
      <c r="J211" s="637"/>
      <c r="K211" s="637"/>
      <c r="L211" s="637"/>
      <c r="M211" s="637"/>
      <c r="N211" s="637"/>
      <c r="O211" s="637"/>
      <c r="P211" s="637"/>
      <c r="Q211" s="637"/>
      <c r="R211" s="637"/>
      <c r="S211" s="637"/>
      <c r="T211" s="637"/>
      <c r="U211" s="637"/>
      <c r="V211" s="637"/>
      <c r="W211" s="637"/>
      <c r="X211" s="637"/>
      <c r="Y211" s="637"/>
      <c r="Z211" s="637"/>
    </row>
    <row r="212" ht="11.25" customHeight="1">
      <c r="A212" s="637"/>
      <c r="B212" s="637"/>
      <c r="C212" s="637"/>
      <c r="D212" s="637"/>
      <c r="E212" s="637"/>
      <c r="F212" s="637"/>
      <c r="G212" s="637"/>
      <c r="H212" s="637"/>
      <c r="I212" s="637"/>
      <c r="J212" s="637"/>
      <c r="K212" s="637"/>
      <c r="L212" s="637"/>
      <c r="M212" s="637"/>
      <c r="N212" s="637"/>
      <c r="O212" s="637"/>
      <c r="P212" s="637"/>
      <c r="Q212" s="637"/>
      <c r="R212" s="637"/>
      <c r="S212" s="637"/>
      <c r="T212" s="637"/>
      <c r="U212" s="637"/>
      <c r="V212" s="637"/>
      <c r="W212" s="637"/>
      <c r="X212" s="637"/>
      <c r="Y212" s="637"/>
      <c r="Z212" s="637"/>
    </row>
    <row r="213" ht="11.25" customHeight="1">
      <c r="A213" s="637"/>
      <c r="B213" s="637"/>
      <c r="C213" s="637"/>
      <c r="D213" s="637"/>
      <c r="E213" s="637"/>
      <c r="F213" s="637"/>
      <c r="G213" s="637"/>
      <c r="H213" s="637"/>
      <c r="I213" s="637"/>
      <c r="J213" s="637"/>
      <c r="K213" s="637"/>
      <c r="L213" s="637"/>
      <c r="M213" s="637"/>
      <c r="N213" s="637"/>
      <c r="O213" s="637"/>
      <c r="P213" s="637"/>
      <c r="Q213" s="637"/>
      <c r="R213" s="637"/>
      <c r="S213" s="637"/>
      <c r="T213" s="637"/>
      <c r="U213" s="637"/>
      <c r="V213" s="637"/>
      <c r="W213" s="637"/>
      <c r="X213" s="637"/>
      <c r="Y213" s="637"/>
      <c r="Z213" s="637"/>
    </row>
    <row r="214" ht="11.25" customHeight="1">
      <c r="A214" s="637"/>
      <c r="B214" s="637"/>
      <c r="C214" s="637"/>
      <c r="D214" s="637"/>
      <c r="E214" s="637"/>
      <c r="F214" s="637"/>
      <c r="G214" s="637"/>
      <c r="H214" s="637"/>
      <c r="I214" s="637"/>
      <c r="J214" s="637"/>
      <c r="K214" s="637"/>
      <c r="L214" s="637"/>
      <c r="M214" s="637"/>
      <c r="N214" s="637"/>
      <c r="O214" s="637"/>
      <c r="P214" s="637"/>
      <c r="Q214" s="637"/>
      <c r="R214" s="637"/>
      <c r="S214" s="637"/>
      <c r="T214" s="637"/>
      <c r="U214" s="637"/>
      <c r="V214" s="637"/>
      <c r="W214" s="637"/>
      <c r="X214" s="637"/>
      <c r="Y214" s="637"/>
      <c r="Z214" s="637"/>
    </row>
    <row r="215" ht="11.25" customHeight="1">
      <c r="A215" s="637"/>
      <c r="B215" s="637"/>
      <c r="C215" s="637"/>
      <c r="D215" s="637"/>
      <c r="E215" s="637"/>
      <c r="F215" s="637"/>
      <c r="G215" s="637"/>
      <c r="H215" s="637"/>
      <c r="I215" s="637"/>
      <c r="J215" s="637"/>
      <c r="K215" s="637"/>
      <c r="L215" s="637"/>
      <c r="M215" s="637"/>
      <c r="N215" s="637"/>
      <c r="O215" s="637"/>
      <c r="P215" s="637"/>
      <c r="Q215" s="637"/>
      <c r="R215" s="637"/>
      <c r="S215" s="637"/>
      <c r="T215" s="637"/>
      <c r="U215" s="637"/>
      <c r="V215" s="637"/>
      <c r="W215" s="637"/>
      <c r="X215" s="637"/>
      <c r="Y215" s="637"/>
      <c r="Z215" s="637"/>
    </row>
    <row r="216" ht="11.25" customHeight="1">
      <c r="A216" s="637"/>
      <c r="B216" s="637"/>
      <c r="C216" s="637"/>
      <c r="D216" s="637"/>
      <c r="E216" s="637"/>
      <c r="F216" s="637"/>
      <c r="G216" s="637"/>
      <c r="H216" s="637"/>
      <c r="I216" s="637"/>
      <c r="J216" s="637"/>
      <c r="K216" s="637"/>
      <c r="L216" s="637"/>
      <c r="M216" s="637"/>
      <c r="N216" s="637"/>
      <c r="O216" s="637"/>
      <c r="P216" s="637"/>
      <c r="Q216" s="637"/>
      <c r="R216" s="637"/>
      <c r="S216" s="637"/>
      <c r="T216" s="637"/>
      <c r="U216" s="637"/>
      <c r="V216" s="637"/>
      <c r="W216" s="637"/>
      <c r="X216" s="637"/>
      <c r="Y216" s="637"/>
      <c r="Z216" s="637"/>
    </row>
    <row r="217" ht="11.25" customHeight="1">
      <c r="A217" s="637"/>
      <c r="B217" s="637"/>
      <c r="C217" s="637"/>
      <c r="D217" s="637"/>
      <c r="E217" s="637"/>
      <c r="F217" s="637"/>
      <c r="G217" s="637"/>
      <c r="H217" s="637"/>
      <c r="I217" s="637"/>
      <c r="J217" s="637"/>
      <c r="K217" s="637"/>
      <c r="L217" s="637"/>
      <c r="M217" s="637"/>
      <c r="N217" s="637"/>
      <c r="O217" s="637"/>
      <c r="P217" s="637"/>
      <c r="Q217" s="637"/>
      <c r="R217" s="637"/>
      <c r="S217" s="637"/>
      <c r="T217" s="637"/>
      <c r="U217" s="637"/>
      <c r="V217" s="637"/>
      <c r="W217" s="637"/>
      <c r="X217" s="637"/>
      <c r="Y217" s="637"/>
      <c r="Z217" s="637"/>
    </row>
    <row r="218" ht="11.25" customHeight="1">
      <c r="A218" s="637"/>
      <c r="B218" s="637"/>
      <c r="C218" s="637"/>
      <c r="D218" s="637"/>
      <c r="E218" s="637"/>
      <c r="F218" s="637"/>
      <c r="G218" s="637"/>
      <c r="H218" s="637"/>
      <c r="I218" s="637"/>
      <c r="J218" s="637"/>
      <c r="K218" s="637"/>
      <c r="L218" s="637"/>
      <c r="M218" s="637"/>
      <c r="N218" s="637"/>
      <c r="O218" s="637"/>
      <c r="P218" s="637"/>
      <c r="Q218" s="637"/>
      <c r="R218" s="637"/>
      <c r="S218" s="637"/>
      <c r="T218" s="637"/>
      <c r="U218" s="637"/>
      <c r="V218" s="637"/>
      <c r="W218" s="637"/>
      <c r="X218" s="637"/>
      <c r="Y218" s="637"/>
      <c r="Z218" s="637"/>
    </row>
    <row r="219" ht="11.25" customHeight="1">
      <c r="A219" s="637"/>
      <c r="B219" s="637"/>
      <c r="C219" s="637"/>
      <c r="D219" s="637"/>
      <c r="E219" s="637"/>
      <c r="F219" s="637"/>
      <c r="G219" s="637"/>
      <c r="H219" s="637"/>
      <c r="I219" s="637"/>
      <c r="J219" s="637"/>
      <c r="K219" s="637"/>
      <c r="L219" s="637"/>
      <c r="M219" s="637"/>
      <c r="N219" s="637"/>
      <c r="O219" s="637"/>
      <c r="P219" s="637"/>
      <c r="Q219" s="637"/>
      <c r="R219" s="637"/>
      <c r="S219" s="637"/>
      <c r="T219" s="637"/>
      <c r="U219" s="637"/>
      <c r="V219" s="637"/>
      <c r="W219" s="637"/>
      <c r="X219" s="637"/>
      <c r="Y219" s="637"/>
      <c r="Z219" s="637"/>
    </row>
    <row r="220" ht="11.25" customHeight="1">
      <c r="A220" s="637"/>
      <c r="B220" s="637"/>
      <c r="C220" s="637"/>
      <c r="D220" s="637"/>
      <c r="E220" s="637"/>
      <c r="F220" s="637"/>
      <c r="G220" s="637"/>
      <c r="H220" s="637"/>
      <c r="I220" s="637"/>
      <c r="J220" s="637"/>
      <c r="K220" s="637"/>
      <c r="L220" s="637"/>
      <c r="M220" s="637"/>
      <c r="N220" s="637"/>
      <c r="O220" s="637"/>
      <c r="P220" s="637"/>
      <c r="Q220" s="637"/>
      <c r="R220" s="637"/>
      <c r="S220" s="637"/>
      <c r="T220" s="637"/>
      <c r="U220" s="637"/>
      <c r="V220" s="637"/>
      <c r="W220" s="637"/>
      <c r="X220" s="637"/>
      <c r="Y220" s="637"/>
      <c r="Z220" s="637"/>
    </row>
    <row r="221" ht="11.25" customHeight="1">
      <c r="A221" s="637"/>
      <c r="B221" s="637"/>
      <c r="C221" s="637"/>
      <c r="D221" s="637"/>
      <c r="E221" s="637"/>
      <c r="F221" s="637"/>
      <c r="G221" s="637"/>
      <c r="H221" s="637"/>
      <c r="I221" s="637"/>
      <c r="J221" s="637"/>
      <c r="K221" s="637"/>
      <c r="L221" s="637"/>
      <c r="M221" s="637"/>
      <c r="N221" s="637"/>
      <c r="O221" s="637"/>
      <c r="P221" s="637"/>
      <c r="Q221" s="637"/>
      <c r="R221" s="637"/>
      <c r="S221" s="637"/>
      <c r="T221" s="637"/>
      <c r="U221" s="637"/>
      <c r="V221" s="637"/>
      <c r="W221" s="637"/>
      <c r="X221" s="637"/>
      <c r="Y221" s="637"/>
      <c r="Z221" s="637"/>
    </row>
    <row r="222" ht="11.25" customHeight="1">
      <c r="A222" s="637"/>
      <c r="B222" s="637"/>
      <c r="C222" s="637"/>
      <c r="D222" s="637"/>
      <c r="E222" s="637"/>
      <c r="F222" s="637"/>
      <c r="G222" s="637"/>
      <c r="H222" s="637"/>
      <c r="I222" s="637"/>
      <c r="J222" s="637"/>
      <c r="K222" s="637"/>
      <c r="L222" s="637"/>
      <c r="M222" s="637"/>
      <c r="N222" s="637"/>
      <c r="O222" s="637"/>
      <c r="P222" s="637"/>
      <c r="Q222" s="637"/>
      <c r="R222" s="637"/>
      <c r="S222" s="637"/>
      <c r="T222" s="637"/>
      <c r="U222" s="637"/>
      <c r="V222" s="637"/>
      <c r="W222" s="637"/>
      <c r="X222" s="637"/>
      <c r="Y222" s="637"/>
      <c r="Z222" s="637"/>
    </row>
    <row r="223" ht="11.25" customHeight="1">
      <c r="A223" s="637"/>
      <c r="B223" s="637"/>
      <c r="C223" s="637"/>
      <c r="D223" s="637"/>
      <c r="E223" s="637"/>
      <c r="F223" s="637"/>
      <c r="G223" s="637"/>
      <c r="H223" s="637"/>
      <c r="I223" s="637"/>
      <c r="J223" s="637"/>
      <c r="K223" s="637"/>
      <c r="L223" s="637"/>
      <c r="M223" s="637"/>
      <c r="N223" s="637"/>
      <c r="O223" s="637"/>
      <c r="P223" s="637"/>
      <c r="Q223" s="637"/>
      <c r="R223" s="637"/>
      <c r="S223" s="637"/>
      <c r="T223" s="637"/>
      <c r="U223" s="637"/>
      <c r="V223" s="637"/>
      <c r="W223" s="637"/>
      <c r="X223" s="637"/>
      <c r="Y223" s="637"/>
      <c r="Z223" s="637"/>
    </row>
    <row r="224" ht="11.25" customHeight="1">
      <c r="A224" s="637"/>
      <c r="B224" s="637"/>
      <c r="C224" s="637"/>
      <c r="D224" s="637"/>
      <c r="E224" s="637"/>
      <c r="F224" s="637"/>
      <c r="G224" s="637"/>
      <c r="H224" s="637"/>
      <c r="I224" s="637"/>
      <c r="J224" s="637"/>
      <c r="K224" s="637"/>
      <c r="L224" s="637"/>
      <c r="M224" s="637"/>
      <c r="N224" s="637"/>
      <c r="O224" s="637"/>
      <c r="P224" s="637"/>
      <c r="Q224" s="637"/>
      <c r="R224" s="637"/>
      <c r="S224" s="637"/>
      <c r="T224" s="637"/>
      <c r="U224" s="637"/>
      <c r="V224" s="637"/>
      <c r="W224" s="637"/>
      <c r="X224" s="637"/>
      <c r="Y224" s="637"/>
      <c r="Z224" s="637"/>
    </row>
    <row r="225" ht="11.25" customHeight="1">
      <c r="A225" s="637"/>
      <c r="B225" s="637"/>
      <c r="C225" s="637"/>
      <c r="D225" s="637"/>
      <c r="E225" s="637"/>
      <c r="F225" s="637"/>
      <c r="G225" s="637"/>
      <c r="H225" s="637"/>
      <c r="I225" s="637"/>
      <c r="J225" s="637"/>
      <c r="K225" s="637"/>
      <c r="L225" s="637"/>
      <c r="M225" s="637"/>
      <c r="N225" s="637"/>
      <c r="O225" s="637"/>
      <c r="P225" s="637"/>
      <c r="Q225" s="637"/>
      <c r="R225" s="637"/>
      <c r="S225" s="637"/>
      <c r="T225" s="637"/>
      <c r="U225" s="637"/>
      <c r="V225" s="637"/>
      <c r="W225" s="637"/>
      <c r="X225" s="637"/>
      <c r="Y225" s="637"/>
      <c r="Z225" s="637"/>
    </row>
    <row r="226" ht="11.25" customHeight="1">
      <c r="A226" s="637"/>
      <c r="B226" s="637"/>
      <c r="C226" s="637"/>
      <c r="D226" s="637"/>
      <c r="E226" s="637"/>
      <c r="F226" s="637"/>
      <c r="G226" s="637"/>
      <c r="H226" s="637"/>
      <c r="I226" s="637"/>
      <c r="J226" s="637"/>
      <c r="K226" s="637"/>
      <c r="L226" s="637"/>
      <c r="M226" s="637"/>
      <c r="N226" s="637"/>
      <c r="O226" s="637"/>
      <c r="P226" s="637"/>
      <c r="Q226" s="637"/>
      <c r="R226" s="637"/>
      <c r="S226" s="637"/>
      <c r="T226" s="637"/>
      <c r="U226" s="637"/>
      <c r="V226" s="637"/>
      <c r="W226" s="637"/>
      <c r="X226" s="637"/>
      <c r="Y226" s="637"/>
      <c r="Z226" s="637"/>
    </row>
    <row r="227" ht="11.25" customHeight="1">
      <c r="A227" s="637"/>
      <c r="B227" s="637"/>
      <c r="C227" s="637"/>
      <c r="D227" s="637"/>
      <c r="E227" s="637"/>
      <c r="F227" s="637"/>
      <c r="G227" s="637"/>
      <c r="H227" s="637"/>
      <c r="I227" s="637"/>
      <c r="J227" s="637"/>
      <c r="K227" s="637"/>
      <c r="L227" s="637"/>
      <c r="M227" s="637"/>
      <c r="N227" s="637"/>
      <c r="O227" s="637"/>
      <c r="P227" s="637"/>
      <c r="Q227" s="637"/>
      <c r="R227" s="637"/>
      <c r="S227" s="637"/>
      <c r="T227" s="637"/>
      <c r="U227" s="637"/>
      <c r="V227" s="637"/>
      <c r="W227" s="637"/>
      <c r="X227" s="637"/>
      <c r="Y227" s="637"/>
      <c r="Z227" s="637"/>
    </row>
    <row r="228" ht="11.25" customHeight="1">
      <c r="A228" s="637"/>
      <c r="B228" s="637"/>
      <c r="C228" s="637"/>
      <c r="D228" s="637"/>
      <c r="E228" s="637"/>
      <c r="F228" s="637"/>
      <c r="G228" s="637"/>
      <c r="H228" s="637"/>
      <c r="I228" s="637"/>
      <c r="J228" s="637"/>
      <c r="K228" s="637"/>
      <c r="L228" s="637"/>
      <c r="M228" s="637"/>
      <c r="N228" s="637"/>
      <c r="O228" s="637"/>
      <c r="P228" s="637"/>
      <c r="Q228" s="637"/>
      <c r="R228" s="637"/>
      <c r="S228" s="637"/>
      <c r="T228" s="637"/>
      <c r="U228" s="637"/>
      <c r="V228" s="637"/>
      <c r="W228" s="637"/>
      <c r="X228" s="637"/>
      <c r="Y228" s="637"/>
      <c r="Z228" s="637"/>
    </row>
    <row r="229" ht="11.25" customHeight="1">
      <c r="A229" s="637"/>
      <c r="B229" s="637"/>
      <c r="C229" s="637"/>
      <c r="D229" s="637"/>
      <c r="E229" s="637"/>
      <c r="F229" s="637"/>
      <c r="G229" s="637"/>
      <c r="H229" s="637"/>
      <c r="I229" s="637"/>
      <c r="J229" s="637"/>
      <c r="K229" s="637"/>
      <c r="L229" s="637"/>
      <c r="M229" s="637"/>
      <c r="N229" s="637"/>
      <c r="O229" s="637"/>
      <c r="P229" s="637"/>
      <c r="Q229" s="637"/>
      <c r="R229" s="637"/>
      <c r="S229" s="637"/>
      <c r="T229" s="637"/>
      <c r="U229" s="637"/>
      <c r="V229" s="637"/>
      <c r="W229" s="637"/>
      <c r="X229" s="637"/>
      <c r="Y229" s="637"/>
      <c r="Z229" s="637"/>
    </row>
    <row r="230" ht="11.25" customHeight="1">
      <c r="A230" s="637"/>
      <c r="B230" s="637"/>
      <c r="C230" s="637"/>
      <c r="D230" s="637"/>
      <c r="E230" s="637"/>
      <c r="F230" s="637"/>
      <c r="G230" s="637"/>
      <c r="H230" s="637"/>
      <c r="I230" s="637"/>
      <c r="J230" s="637"/>
      <c r="K230" s="637"/>
      <c r="L230" s="637"/>
      <c r="M230" s="637"/>
      <c r="N230" s="637"/>
      <c r="O230" s="637"/>
      <c r="P230" s="637"/>
      <c r="Q230" s="637"/>
      <c r="R230" s="637"/>
      <c r="S230" s="637"/>
      <c r="T230" s="637"/>
      <c r="U230" s="637"/>
      <c r="V230" s="637"/>
      <c r="W230" s="637"/>
      <c r="X230" s="637"/>
      <c r="Y230" s="637"/>
      <c r="Z230" s="637"/>
    </row>
    <row r="231" ht="11.25" customHeight="1">
      <c r="A231" s="637"/>
      <c r="B231" s="637"/>
      <c r="C231" s="637"/>
      <c r="D231" s="637"/>
      <c r="E231" s="637"/>
      <c r="F231" s="637"/>
      <c r="G231" s="637"/>
      <c r="H231" s="637"/>
      <c r="I231" s="637"/>
      <c r="J231" s="637"/>
      <c r="K231" s="637"/>
      <c r="L231" s="637"/>
      <c r="M231" s="637"/>
      <c r="N231" s="637"/>
      <c r="O231" s="637"/>
      <c r="P231" s="637"/>
      <c r="Q231" s="637"/>
      <c r="R231" s="637"/>
      <c r="S231" s="637"/>
      <c r="T231" s="637"/>
      <c r="U231" s="637"/>
      <c r="V231" s="637"/>
      <c r="W231" s="637"/>
      <c r="X231" s="637"/>
      <c r="Y231" s="637"/>
      <c r="Z231" s="637"/>
    </row>
    <row r="232" ht="11.25" customHeight="1">
      <c r="A232" s="637"/>
      <c r="B232" s="637"/>
      <c r="C232" s="637"/>
      <c r="D232" s="637"/>
      <c r="E232" s="637"/>
      <c r="F232" s="637"/>
      <c r="G232" s="637"/>
      <c r="H232" s="637"/>
      <c r="I232" s="637"/>
      <c r="J232" s="637"/>
      <c r="K232" s="637"/>
      <c r="L232" s="637"/>
      <c r="M232" s="637"/>
      <c r="N232" s="637"/>
      <c r="O232" s="637"/>
      <c r="P232" s="637"/>
      <c r="Q232" s="637"/>
      <c r="R232" s="637"/>
      <c r="S232" s="637"/>
      <c r="T232" s="637"/>
      <c r="U232" s="637"/>
      <c r="V232" s="637"/>
      <c r="W232" s="637"/>
      <c r="X232" s="637"/>
      <c r="Y232" s="637"/>
      <c r="Z232" s="637"/>
    </row>
    <row r="233" ht="11.25" customHeight="1">
      <c r="A233" s="637"/>
      <c r="B233" s="637"/>
      <c r="C233" s="637"/>
      <c r="D233" s="637"/>
      <c r="E233" s="637"/>
      <c r="F233" s="637"/>
      <c r="G233" s="637"/>
      <c r="H233" s="637"/>
      <c r="I233" s="637"/>
      <c r="J233" s="637"/>
      <c r="K233" s="637"/>
      <c r="L233" s="637"/>
      <c r="M233" s="637"/>
      <c r="N233" s="637"/>
      <c r="O233" s="637"/>
      <c r="P233" s="637"/>
      <c r="Q233" s="637"/>
      <c r="R233" s="637"/>
      <c r="S233" s="637"/>
      <c r="T233" s="637"/>
      <c r="U233" s="637"/>
      <c r="V233" s="637"/>
      <c r="W233" s="637"/>
      <c r="X233" s="637"/>
      <c r="Y233" s="637"/>
      <c r="Z233" s="637"/>
    </row>
    <row r="234" ht="11.25" customHeight="1">
      <c r="A234" s="637"/>
      <c r="B234" s="637"/>
      <c r="C234" s="637"/>
      <c r="D234" s="637"/>
      <c r="E234" s="637"/>
      <c r="F234" s="637"/>
      <c r="G234" s="637"/>
      <c r="H234" s="637"/>
      <c r="I234" s="637"/>
      <c r="J234" s="637"/>
      <c r="K234" s="637"/>
      <c r="L234" s="637"/>
      <c r="M234" s="637"/>
      <c r="N234" s="637"/>
      <c r="O234" s="637"/>
      <c r="P234" s="637"/>
      <c r="Q234" s="637"/>
      <c r="R234" s="637"/>
      <c r="S234" s="637"/>
      <c r="T234" s="637"/>
      <c r="U234" s="637"/>
      <c r="V234" s="637"/>
      <c r="W234" s="637"/>
      <c r="X234" s="637"/>
      <c r="Y234" s="637"/>
      <c r="Z234" s="637"/>
    </row>
    <row r="235" ht="11.25" customHeight="1">
      <c r="A235" s="637"/>
      <c r="B235" s="637"/>
      <c r="C235" s="637"/>
      <c r="D235" s="637"/>
      <c r="E235" s="637"/>
      <c r="F235" s="637"/>
      <c r="G235" s="637"/>
      <c r="H235" s="637"/>
      <c r="I235" s="637"/>
      <c r="J235" s="637"/>
      <c r="K235" s="637"/>
      <c r="L235" s="637"/>
      <c r="M235" s="637"/>
      <c r="N235" s="637"/>
      <c r="O235" s="637"/>
      <c r="P235" s="637"/>
      <c r="Q235" s="637"/>
      <c r="R235" s="637"/>
      <c r="S235" s="637"/>
      <c r="T235" s="637"/>
      <c r="U235" s="637"/>
      <c r="V235" s="637"/>
      <c r="W235" s="637"/>
      <c r="X235" s="637"/>
      <c r="Y235" s="637"/>
      <c r="Z235" s="637"/>
    </row>
    <row r="236" ht="11.25" customHeight="1">
      <c r="A236" s="637"/>
      <c r="B236" s="637"/>
      <c r="C236" s="637"/>
      <c r="D236" s="637"/>
      <c r="E236" s="637"/>
      <c r="F236" s="637"/>
      <c r="G236" s="637"/>
      <c r="H236" s="637"/>
      <c r="I236" s="637"/>
      <c r="J236" s="637"/>
      <c r="K236" s="637"/>
      <c r="L236" s="637"/>
      <c r="M236" s="637"/>
      <c r="N236" s="637"/>
      <c r="O236" s="637"/>
      <c r="P236" s="637"/>
      <c r="Q236" s="637"/>
      <c r="R236" s="637"/>
      <c r="S236" s="637"/>
      <c r="T236" s="637"/>
      <c r="U236" s="637"/>
      <c r="V236" s="637"/>
      <c r="W236" s="637"/>
      <c r="X236" s="637"/>
      <c r="Y236" s="637"/>
      <c r="Z236" s="637"/>
    </row>
    <row r="237" ht="11.25" customHeight="1">
      <c r="A237" s="637"/>
      <c r="B237" s="637"/>
      <c r="C237" s="637"/>
      <c r="D237" s="637"/>
      <c r="E237" s="637"/>
      <c r="F237" s="637"/>
      <c r="G237" s="637"/>
      <c r="H237" s="637"/>
      <c r="I237" s="637"/>
      <c r="J237" s="637"/>
      <c r="K237" s="637"/>
      <c r="L237" s="637"/>
      <c r="M237" s="637"/>
      <c r="N237" s="637"/>
      <c r="O237" s="637"/>
      <c r="P237" s="637"/>
      <c r="Q237" s="637"/>
      <c r="R237" s="637"/>
      <c r="S237" s="637"/>
      <c r="T237" s="637"/>
      <c r="U237" s="637"/>
      <c r="V237" s="637"/>
      <c r="W237" s="637"/>
      <c r="X237" s="637"/>
      <c r="Y237" s="637"/>
      <c r="Z237" s="637"/>
    </row>
    <row r="238" ht="11.25" customHeight="1">
      <c r="A238" s="637"/>
      <c r="B238" s="637"/>
      <c r="C238" s="637"/>
      <c r="D238" s="637"/>
      <c r="E238" s="637"/>
      <c r="F238" s="637"/>
      <c r="G238" s="637"/>
      <c r="H238" s="637"/>
      <c r="I238" s="637"/>
      <c r="J238" s="637"/>
      <c r="K238" s="637"/>
      <c r="L238" s="637"/>
      <c r="M238" s="637"/>
      <c r="N238" s="637"/>
      <c r="O238" s="637"/>
      <c r="P238" s="637"/>
      <c r="Q238" s="637"/>
      <c r="R238" s="637"/>
      <c r="S238" s="637"/>
      <c r="T238" s="637"/>
      <c r="U238" s="637"/>
      <c r="V238" s="637"/>
      <c r="W238" s="637"/>
      <c r="X238" s="637"/>
      <c r="Y238" s="637"/>
      <c r="Z238" s="637"/>
    </row>
    <row r="239" ht="11.25" customHeight="1">
      <c r="A239" s="637"/>
      <c r="B239" s="637"/>
      <c r="C239" s="637"/>
      <c r="D239" s="637"/>
      <c r="E239" s="637"/>
      <c r="F239" s="637"/>
      <c r="G239" s="637"/>
      <c r="H239" s="637"/>
      <c r="I239" s="637"/>
      <c r="J239" s="637"/>
      <c r="K239" s="637"/>
      <c r="L239" s="637"/>
      <c r="M239" s="637"/>
      <c r="N239" s="637"/>
      <c r="O239" s="637"/>
      <c r="P239" s="637"/>
      <c r="Q239" s="637"/>
      <c r="R239" s="637"/>
      <c r="S239" s="637"/>
      <c r="T239" s="637"/>
      <c r="U239" s="637"/>
      <c r="V239" s="637"/>
      <c r="W239" s="637"/>
      <c r="X239" s="637"/>
      <c r="Y239" s="637"/>
      <c r="Z239" s="637"/>
    </row>
    <row r="240" ht="11.25" customHeight="1">
      <c r="A240" s="637"/>
      <c r="B240" s="637"/>
      <c r="C240" s="637"/>
      <c r="D240" s="637"/>
      <c r="E240" s="637"/>
      <c r="F240" s="637"/>
      <c r="G240" s="637"/>
      <c r="H240" s="637"/>
      <c r="I240" s="637"/>
      <c r="J240" s="637"/>
      <c r="K240" s="637"/>
      <c r="L240" s="637"/>
      <c r="M240" s="637"/>
      <c r="N240" s="637"/>
      <c r="O240" s="637"/>
      <c r="P240" s="637"/>
      <c r="Q240" s="637"/>
      <c r="R240" s="637"/>
      <c r="S240" s="637"/>
      <c r="T240" s="637"/>
      <c r="U240" s="637"/>
      <c r="V240" s="637"/>
      <c r="W240" s="637"/>
      <c r="X240" s="637"/>
      <c r="Y240" s="637"/>
      <c r="Z240" s="637"/>
    </row>
    <row r="241" ht="11.25" customHeight="1">
      <c r="A241" s="637"/>
      <c r="B241" s="637"/>
      <c r="C241" s="637"/>
      <c r="D241" s="637"/>
      <c r="E241" s="637"/>
      <c r="F241" s="637"/>
      <c r="G241" s="637"/>
      <c r="H241" s="637"/>
      <c r="I241" s="637"/>
      <c r="J241" s="637"/>
      <c r="K241" s="637"/>
      <c r="L241" s="637"/>
      <c r="M241" s="637"/>
      <c r="N241" s="637"/>
      <c r="O241" s="637"/>
      <c r="P241" s="637"/>
      <c r="Q241" s="637"/>
      <c r="R241" s="637"/>
      <c r="S241" s="637"/>
      <c r="T241" s="637"/>
      <c r="U241" s="637"/>
      <c r="V241" s="637"/>
      <c r="W241" s="637"/>
      <c r="X241" s="637"/>
      <c r="Y241" s="637"/>
      <c r="Z241" s="637"/>
    </row>
    <row r="242" ht="11.25" customHeight="1">
      <c r="A242" s="637"/>
      <c r="B242" s="637"/>
      <c r="C242" s="637"/>
      <c r="D242" s="637"/>
      <c r="E242" s="637"/>
      <c r="F242" s="637"/>
      <c r="G242" s="637"/>
      <c r="H242" s="637"/>
      <c r="I242" s="637"/>
      <c r="J242" s="637"/>
      <c r="K242" s="637"/>
      <c r="L242" s="637"/>
      <c r="M242" s="637"/>
      <c r="N242" s="637"/>
      <c r="O242" s="637"/>
      <c r="P242" s="637"/>
      <c r="Q242" s="637"/>
      <c r="R242" s="637"/>
      <c r="S242" s="637"/>
      <c r="T242" s="637"/>
      <c r="U242" s="637"/>
      <c r="V242" s="637"/>
      <c r="W242" s="637"/>
      <c r="X242" s="637"/>
      <c r="Y242" s="637"/>
      <c r="Z242" s="637"/>
    </row>
    <row r="243" ht="11.25" customHeight="1">
      <c r="A243" s="637"/>
      <c r="B243" s="637"/>
      <c r="C243" s="637"/>
      <c r="D243" s="637"/>
      <c r="E243" s="637"/>
      <c r="F243" s="637"/>
      <c r="G243" s="637"/>
      <c r="H243" s="637"/>
      <c r="I243" s="637"/>
      <c r="J243" s="637"/>
      <c r="K243" s="637"/>
      <c r="L243" s="637"/>
      <c r="M243" s="637"/>
      <c r="N243" s="637"/>
      <c r="O243" s="637"/>
      <c r="P243" s="637"/>
      <c r="Q243" s="637"/>
      <c r="R243" s="637"/>
      <c r="S243" s="637"/>
      <c r="T243" s="637"/>
      <c r="U243" s="637"/>
      <c r="V243" s="637"/>
      <c r="W243" s="637"/>
      <c r="X243" s="637"/>
      <c r="Y243" s="637"/>
      <c r="Z243" s="637"/>
    </row>
    <row r="244" ht="11.25" customHeight="1">
      <c r="A244" s="637"/>
      <c r="B244" s="637"/>
      <c r="C244" s="637"/>
      <c r="D244" s="637"/>
      <c r="E244" s="637"/>
      <c r="F244" s="637"/>
      <c r="G244" s="637"/>
      <c r="H244" s="637"/>
      <c r="I244" s="637"/>
      <c r="J244" s="637"/>
      <c r="K244" s="637"/>
      <c r="L244" s="637"/>
      <c r="M244" s="637"/>
      <c r="N244" s="637"/>
      <c r="O244" s="637"/>
      <c r="P244" s="637"/>
      <c r="Q244" s="637"/>
      <c r="R244" s="637"/>
      <c r="S244" s="637"/>
      <c r="T244" s="637"/>
      <c r="U244" s="637"/>
      <c r="V244" s="637"/>
      <c r="W244" s="637"/>
      <c r="X244" s="637"/>
      <c r="Y244" s="637"/>
      <c r="Z244" s="637"/>
    </row>
    <row r="245" ht="11.25" customHeight="1">
      <c r="A245" s="637"/>
      <c r="B245" s="637"/>
      <c r="C245" s="637"/>
      <c r="D245" s="637"/>
      <c r="E245" s="637"/>
      <c r="F245" s="637"/>
      <c r="G245" s="637"/>
      <c r="H245" s="637"/>
      <c r="I245" s="637"/>
      <c r="J245" s="637"/>
      <c r="K245" s="637"/>
      <c r="L245" s="637"/>
      <c r="M245" s="637"/>
      <c r="N245" s="637"/>
      <c r="O245" s="637"/>
      <c r="P245" s="637"/>
      <c r="Q245" s="637"/>
      <c r="R245" s="637"/>
      <c r="S245" s="637"/>
      <c r="T245" s="637"/>
      <c r="U245" s="637"/>
      <c r="V245" s="637"/>
      <c r="W245" s="637"/>
      <c r="X245" s="637"/>
      <c r="Y245" s="637"/>
      <c r="Z245" s="637"/>
    </row>
    <row r="246" ht="11.25" customHeight="1">
      <c r="A246" s="637"/>
      <c r="B246" s="637"/>
      <c r="C246" s="637"/>
      <c r="D246" s="637"/>
      <c r="E246" s="637"/>
      <c r="F246" s="637"/>
      <c r="G246" s="637"/>
      <c r="H246" s="637"/>
      <c r="I246" s="637"/>
      <c r="J246" s="637"/>
      <c r="K246" s="637"/>
      <c r="L246" s="637"/>
      <c r="M246" s="637"/>
      <c r="N246" s="637"/>
      <c r="O246" s="637"/>
      <c r="P246" s="637"/>
      <c r="Q246" s="637"/>
      <c r="R246" s="637"/>
      <c r="S246" s="637"/>
      <c r="T246" s="637"/>
      <c r="U246" s="637"/>
      <c r="V246" s="637"/>
      <c r="W246" s="637"/>
      <c r="X246" s="637"/>
      <c r="Y246" s="637"/>
      <c r="Z246" s="637"/>
    </row>
    <row r="247" ht="11.25" customHeight="1">
      <c r="A247" s="637"/>
      <c r="B247" s="637"/>
      <c r="C247" s="637"/>
      <c r="D247" s="637"/>
      <c r="E247" s="637"/>
      <c r="F247" s="637"/>
      <c r="G247" s="637"/>
      <c r="H247" s="637"/>
      <c r="I247" s="637"/>
      <c r="J247" s="637"/>
      <c r="K247" s="637"/>
      <c r="L247" s="637"/>
      <c r="M247" s="637"/>
      <c r="N247" s="637"/>
      <c r="O247" s="637"/>
      <c r="P247" s="637"/>
      <c r="Q247" s="637"/>
      <c r="R247" s="637"/>
      <c r="S247" s="637"/>
      <c r="T247" s="637"/>
      <c r="U247" s="637"/>
      <c r="V247" s="637"/>
      <c r="W247" s="637"/>
      <c r="X247" s="637"/>
      <c r="Y247" s="637"/>
      <c r="Z247" s="637"/>
    </row>
    <row r="248" ht="11.25" customHeight="1">
      <c r="A248" s="637"/>
      <c r="B248" s="637"/>
      <c r="C248" s="637"/>
      <c r="D248" s="637"/>
      <c r="E248" s="637"/>
      <c r="F248" s="637"/>
      <c r="G248" s="637"/>
      <c r="H248" s="637"/>
      <c r="I248" s="637"/>
      <c r="J248" s="637"/>
      <c r="K248" s="637"/>
      <c r="L248" s="637"/>
      <c r="M248" s="637"/>
      <c r="N248" s="637"/>
      <c r="O248" s="637"/>
      <c r="P248" s="637"/>
      <c r="Q248" s="637"/>
      <c r="R248" s="637"/>
      <c r="S248" s="637"/>
      <c r="T248" s="637"/>
      <c r="U248" s="637"/>
      <c r="V248" s="637"/>
      <c r="W248" s="637"/>
      <c r="X248" s="637"/>
      <c r="Y248" s="637"/>
      <c r="Z248" s="637"/>
    </row>
    <row r="249" ht="11.25" customHeight="1">
      <c r="A249" s="637"/>
      <c r="B249" s="637"/>
      <c r="C249" s="637"/>
      <c r="D249" s="637"/>
      <c r="E249" s="637"/>
      <c r="F249" s="637"/>
      <c r="G249" s="637"/>
      <c r="H249" s="637"/>
      <c r="I249" s="637"/>
      <c r="J249" s="637"/>
      <c r="K249" s="637"/>
      <c r="L249" s="637"/>
      <c r="M249" s="637"/>
      <c r="N249" s="637"/>
      <c r="O249" s="637"/>
      <c r="P249" s="637"/>
      <c r="Q249" s="637"/>
      <c r="R249" s="637"/>
      <c r="S249" s="637"/>
      <c r="T249" s="637"/>
      <c r="U249" s="637"/>
      <c r="V249" s="637"/>
      <c r="W249" s="637"/>
      <c r="X249" s="637"/>
      <c r="Y249" s="637"/>
      <c r="Z249" s="637"/>
    </row>
    <row r="250" ht="11.25" customHeight="1">
      <c r="A250" s="637"/>
      <c r="B250" s="637"/>
      <c r="C250" s="637"/>
      <c r="D250" s="637"/>
      <c r="E250" s="637"/>
      <c r="F250" s="637"/>
      <c r="G250" s="637"/>
      <c r="H250" s="637"/>
      <c r="I250" s="637"/>
      <c r="J250" s="637"/>
      <c r="K250" s="637"/>
      <c r="L250" s="637"/>
      <c r="M250" s="637"/>
      <c r="N250" s="637"/>
      <c r="O250" s="637"/>
      <c r="P250" s="637"/>
      <c r="Q250" s="637"/>
      <c r="R250" s="637"/>
      <c r="S250" s="637"/>
      <c r="T250" s="637"/>
      <c r="U250" s="637"/>
      <c r="V250" s="637"/>
      <c r="W250" s="637"/>
      <c r="X250" s="637"/>
      <c r="Y250" s="637"/>
      <c r="Z250" s="637"/>
    </row>
    <row r="251" ht="11.25" customHeight="1">
      <c r="A251" s="637"/>
      <c r="B251" s="637"/>
      <c r="C251" s="637"/>
      <c r="D251" s="637"/>
      <c r="E251" s="637"/>
      <c r="F251" s="637"/>
      <c r="G251" s="637"/>
      <c r="H251" s="637"/>
      <c r="I251" s="637"/>
      <c r="J251" s="637"/>
      <c r="K251" s="637"/>
      <c r="L251" s="637"/>
      <c r="M251" s="637"/>
      <c r="N251" s="637"/>
      <c r="O251" s="637"/>
      <c r="P251" s="637"/>
      <c r="Q251" s="637"/>
      <c r="R251" s="637"/>
      <c r="S251" s="637"/>
      <c r="T251" s="637"/>
      <c r="U251" s="637"/>
      <c r="V251" s="637"/>
      <c r="W251" s="637"/>
      <c r="X251" s="637"/>
      <c r="Y251" s="637"/>
      <c r="Z251" s="637"/>
    </row>
    <row r="252" ht="11.25" customHeight="1">
      <c r="A252" s="637"/>
      <c r="B252" s="637"/>
      <c r="C252" s="637"/>
      <c r="D252" s="637"/>
      <c r="E252" s="637"/>
      <c r="F252" s="637"/>
      <c r="G252" s="637"/>
      <c r="H252" s="637"/>
      <c r="I252" s="637"/>
      <c r="J252" s="637"/>
      <c r="K252" s="637"/>
      <c r="L252" s="637"/>
      <c r="M252" s="637"/>
      <c r="N252" s="637"/>
      <c r="O252" s="637"/>
      <c r="P252" s="637"/>
      <c r="Q252" s="637"/>
      <c r="R252" s="637"/>
      <c r="S252" s="637"/>
      <c r="T252" s="637"/>
      <c r="U252" s="637"/>
      <c r="V252" s="637"/>
      <c r="W252" s="637"/>
      <c r="X252" s="637"/>
      <c r="Y252" s="637"/>
      <c r="Z252" s="637"/>
    </row>
    <row r="253" ht="11.25" customHeight="1">
      <c r="A253" s="637"/>
      <c r="B253" s="637"/>
      <c r="C253" s="637"/>
      <c r="D253" s="637"/>
      <c r="E253" s="637"/>
      <c r="F253" s="637"/>
      <c r="G253" s="637"/>
      <c r="H253" s="637"/>
      <c r="I253" s="637"/>
      <c r="J253" s="637"/>
      <c r="K253" s="637"/>
      <c r="L253" s="637"/>
      <c r="M253" s="637"/>
      <c r="N253" s="637"/>
      <c r="O253" s="637"/>
      <c r="P253" s="637"/>
      <c r="Q253" s="637"/>
      <c r="R253" s="637"/>
      <c r="S253" s="637"/>
      <c r="T253" s="637"/>
      <c r="U253" s="637"/>
      <c r="V253" s="637"/>
      <c r="W253" s="637"/>
      <c r="X253" s="637"/>
      <c r="Y253" s="637"/>
      <c r="Z253" s="637"/>
    </row>
    <row r="254" ht="11.25" customHeight="1">
      <c r="A254" s="637"/>
      <c r="B254" s="637"/>
      <c r="C254" s="637"/>
      <c r="D254" s="637"/>
      <c r="E254" s="637"/>
      <c r="F254" s="637"/>
      <c r="G254" s="637"/>
      <c r="H254" s="637"/>
      <c r="I254" s="637"/>
      <c r="J254" s="637"/>
      <c r="K254" s="637"/>
      <c r="L254" s="637"/>
      <c r="M254" s="637"/>
      <c r="N254" s="637"/>
      <c r="O254" s="637"/>
      <c r="P254" s="637"/>
      <c r="Q254" s="637"/>
      <c r="R254" s="637"/>
      <c r="S254" s="637"/>
      <c r="T254" s="637"/>
      <c r="U254" s="637"/>
      <c r="V254" s="637"/>
      <c r="W254" s="637"/>
      <c r="X254" s="637"/>
      <c r="Y254" s="637"/>
      <c r="Z254" s="637"/>
    </row>
    <row r="255" ht="11.25" customHeight="1">
      <c r="A255" s="637"/>
      <c r="B255" s="637"/>
      <c r="C255" s="637"/>
      <c r="D255" s="637"/>
      <c r="E255" s="637"/>
      <c r="F255" s="637"/>
      <c r="G255" s="637"/>
      <c r="H255" s="637"/>
      <c r="I255" s="637"/>
      <c r="J255" s="637"/>
      <c r="K255" s="637"/>
      <c r="L255" s="637"/>
      <c r="M255" s="637"/>
      <c r="N255" s="637"/>
      <c r="O255" s="637"/>
      <c r="P255" s="637"/>
      <c r="Q255" s="637"/>
      <c r="R255" s="637"/>
      <c r="S255" s="637"/>
      <c r="T255" s="637"/>
      <c r="U255" s="637"/>
      <c r="V255" s="637"/>
      <c r="W255" s="637"/>
      <c r="X255" s="637"/>
      <c r="Y255" s="637"/>
      <c r="Z255" s="637"/>
    </row>
    <row r="256" ht="11.25" customHeight="1">
      <c r="A256" s="637"/>
      <c r="B256" s="637"/>
      <c r="C256" s="637"/>
      <c r="D256" s="637"/>
      <c r="E256" s="637"/>
      <c r="F256" s="637"/>
      <c r="G256" s="637"/>
      <c r="H256" s="637"/>
      <c r="I256" s="637"/>
      <c r="J256" s="637"/>
      <c r="K256" s="637"/>
      <c r="L256" s="637"/>
      <c r="M256" s="637"/>
      <c r="N256" s="637"/>
      <c r="O256" s="637"/>
      <c r="P256" s="637"/>
      <c r="Q256" s="637"/>
      <c r="R256" s="637"/>
      <c r="S256" s="637"/>
      <c r="T256" s="637"/>
      <c r="U256" s="637"/>
      <c r="V256" s="637"/>
      <c r="W256" s="637"/>
      <c r="X256" s="637"/>
      <c r="Y256" s="637"/>
      <c r="Z256" s="637"/>
    </row>
    <row r="257" ht="11.25" customHeight="1">
      <c r="A257" s="637"/>
      <c r="B257" s="637"/>
      <c r="C257" s="637"/>
      <c r="D257" s="637"/>
      <c r="E257" s="637"/>
      <c r="F257" s="637"/>
      <c r="G257" s="637"/>
      <c r="H257" s="637"/>
      <c r="I257" s="637"/>
      <c r="J257" s="637"/>
      <c r="K257" s="637"/>
      <c r="L257" s="637"/>
      <c r="M257" s="637"/>
      <c r="N257" s="637"/>
      <c r="O257" s="637"/>
      <c r="P257" s="637"/>
      <c r="Q257" s="637"/>
      <c r="R257" s="637"/>
      <c r="S257" s="637"/>
      <c r="T257" s="637"/>
      <c r="U257" s="637"/>
      <c r="V257" s="637"/>
      <c r="W257" s="637"/>
      <c r="X257" s="637"/>
      <c r="Y257" s="637"/>
      <c r="Z257" s="637"/>
    </row>
    <row r="258" ht="11.25" customHeight="1">
      <c r="A258" s="637"/>
      <c r="B258" s="637"/>
      <c r="C258" s="637"/>
      <c r="D258" s="637"/>
      <c r="E258" s="637"/>
      <c r="F258" s="637"/>
      <c r="G258" s="637"/>
      <c r="H258" s="637"/>
      <c r="I258" s="637"/>
      <c r="J258" s="637"/>
      <c r="K258" s="637"/>
      <c r="L258" s="637"/>
      <c r="M258" s="637"/>
      <c r="N258" s="637"/>
      <c r="O258" s="637"/>
      <c r="P258" s="637"/>
      <c r="Q258" s="637"/>
      <c r="R258" s="637"/>
      <c r="S258" s="637"/>
      <c r="T258" s="637"/>
      <c r="U258" s="637"/>
      <c r="V258" s="637"/>
      <c r="W258" s="637"/>
      <c r="X258" s="637"/>
      <c r="Y258" s="637"/>
      <c r="Z258" s="637"/>
    </row>
    <row r="259" ht="11.25" customHeight="1">
      <c r="A259" s="637"/>
      <c r="B259" s="637"/>
      <c r="C259" s="637"/>
      <c r="D259" s="637"/>
      <c r="E259" s="637"/>
      <c r="F259" s="637"/>
      <c r="G259" s="637"/>
      <c r="H259" s="637"/>
      <c r="I259" s="637"/>
      <c r="J259" s="637"/>
      <c r="K259" s="637"/>
      <c r="L259" s="637"/>
      <c r="M259" s="637"/>
      <c r="N259" s="637"/>
      <c r="O259" s="637"/>
      <c r="P259" s="637"/>
      <c r="Q259" s="637"/>
      <c r="R259" s="637"/>
      <c r="S259" s="637"/>
      <c r="T259" s="637"/>
      <c r="U259" s="637"/>
      <c r="V259" s="637"/>
      <c r="W259" s="637"/>
      <c r="X259" s="637"/>
      <c r="Y259" s="637"/>
      <c r="Z259" s="637"/>
    </row>
    <row r="260" ht="11.25" customHeight="1">
      <c r="A260" s="637"/>
      <c r="B260" s="637"/>
      <c r="C260" s="637"/>
      <c r="D260" s="637"/>
      <c r="E260" s="637"/>
      <c r="F260" s="637"/>
      <c r="G260" s="637"/>
      <c r="H260" s="637"/>
      <c r="I260" s="637"/>
      <c r="J260" s="637"/>
      <c r="K260" s="637"/>
      <c r="L260" s="637"/>
      <c r="M260" s="637"/>
      <c r="N260" s="637"/>
      <c r="O260" s="637"/>
      <c r="P260" s="637"/>
      <c r="Q260" s="637"/>
      <c r="R260" s="637"/>
      <c r="S260" s="637"/>
      <c r="T260" s="637"/>
      <c r="U260" s="637"/>
      <c r="V260" s="637"/>
      <c r="W260" s="637"/>
      <c r="X260" s="637"/>
      <c r="Y260" s="637"/>
      <c r="Z260" s="637"/>
    </row>
    <row r="261" ht="11.25" customHeight="1">
      <c r="A261" s="637"/>
      <c r="B261" s="637"/>
      <c r="C261" s="637"/>
      <c r="D261" s="637"/>
      <c r="E261" s="637"/>
      <c r="F261" s="637"/>
      <c r="G261" s="637"/>
      <c r="H261" s="637"/>
      <c r="I261" s="637"/>
      <c r="J261" s="637"/>
      <c r="K261" s="637"/>
      <c r="L261" s="637"/>
      <c r="M261" s="637"/>
      <c r="N261" s="637"/>
      <c r="O261" s="637"/>
      <c r="P261" s="637"/>
      <c r="Q261" s="637"/>
      <c r="R261" s="637"/>
      <c r="S261" s="637"/>
      <c r="T261" s="637"/>
      <c r="U261" s="637"/>
      <c r="V261" s="637"/>
      <c r="W261" s="637"/>
      <c r="X261" s="637"/>
      <c r="Y261" s="637"/>
      <c r="Z261" s="637"/>
    </row>
    <row r="262" ht="11.25" customHeight="1">
      <c r="A262" s="637"/>
      <c r="B262" s="637"/>
      <c r="C262" s="637"/>
      <c r="D262" s="637"/>
      <c r="E262" s="637"/>
      <c r="F262" s="637"/>
      <c r="G262" s="637"/>
      <c r="H262" s="637"/>
      <c r="I262" s="637"/>
      <c r="J262" s="637"/>
      <c r="K262" s="637"/>
      <c r="L262" s="637"/>
      <c r="M262" s="637"/>
      <c r="N262" s="637"/>
      <c r="O262" s="637"/>
      <c r="P262" s="637"/>
      <c r="Q262" s="637"/>
      <c r="R262" s="637"/>
      <c r="S262" s="637"/>
      <c r="T262" s="637"/>
      <c r="U262" s="637"/>
      <c r="V262" s="637"/>
      <c r="W262" s="637"/>
      <c r="X262" s="637"/>
      <c r="Y262" s="637"/>
      <c r="Z262" s="637"/>
    </row>
    <row r="263" ht="11.25" customHeight="1">
      <c r="A263" s="637"/>
      <c r="B263" s="637"/>
      <c r="C263" s="637"/>
      <c r="D263" s="637"/>
      <c r="E263" s="637"/>
      <c r="F263" s="637"/>
      <c r="G263" s="637"/>
      <c r="H263" s="637"/>
      <c r="I263" s="637"/>
      <c r="J263" s="637"/>
      <c r="K263" s="637"/>
      <c r="L263" s="637"/>
      <c r="M263" s="637"/>
      <c r="N263" s="637"/>
      <c r="O263" s="637"/>
      <c r="P263" s="637"/>
      <c r="Q263" s="637"/>
      <c r="R263" s="637"/>
      <c r="S263" s="637"/>
      <c r="T263" s="637"/>
      <c r="U263" s="637"/>
      <c r="V263" s="637"/>
      <c r="W263" s="637"/>
      <c r="X263" s="637"/>
      <c r="Y263" s="637"/>
      <c r="Z263" s="637"/>
    </row>
    <row r="264" ht="11.25" customHeight="1">
      <c r="A264" s="637"/>
      <c r="B264" s="637"/>
      <c r="C264" s="637"/>
      <c r="D264" s="637"/>
      <c r="E264" s="637"/>
      <c r="F264" s="637"/>
      <c r="G264" s="637"/>
      <c r="H264" s="637"/>
      <c r="I264" s="637"/>
      <c r="J264" s="637"/>
      <c r="K264" s="637"/>
      <c r="L264" s="637"/>
      <c r="M264" s="637"/>
      <c r="N264" s="637"/>
      <c r="O264" s="637"/>
      <c r="P264" s="637"/>
      <c r="Q264" s="637"/>
      <c r="R264" s="637"/>
      <c r="S264" s="637"/>
      <c r="T264" s="637"/>
      <c r="U264" s="637"/>
      <c r="V264" s="637"/>
      <c r="W264" s="637"/>
      <c r="X264" s="637"/>
      <c r="Y264" s="637"/>
      <c r="Z264" s="637"/>
    </row>
    <row r="265" ht="11.25" customHeight="1">
      <c r="A265" s="637"/>
      <c r="B265" s="637"/>
      <c r="C265" s="637"/>
      <c r="D265" s="637"/>
      <c r="E265" s="637"/>
      <c r="F265" s="637"/>
      <c r="G265" s="637"/>
      <c r="H265" s="637"/>
      <c r="I265" s="637"/>
      <c r="J265" s="637"/>
      <c r="K265" s="637"/>
      <c r="L265" s="637"/>
      <c r="M265" s="637"/>
      <c r="N265" s="637"/>
      <c r="O265" s="637"/>
      <c r="P265" s="637"/>
      <c r="Q265" s="637"/>
      <c r="R265" s="637"/>
      <c r="S265" s="637"/>
      <c r="T265" s="637"/>
      <c r="U265" s="637"/>
      <c r="V265" s="637"/>
      <c r="W265" s="637"/>
      <c r="X265" s="637"/>
      <c r="Y265" s="637"/>
      <c r="Z265" s="637"/>
    </row>
    <row r="266" ht="11.25" customHeight="1">
      <c r="A266" s="637"/>
      <c r="B266" s="637"/>
      <c r="C266" s="637"/>
      <c r="D266" s="637"/>
      <c r="E266" s="637"/>
      <c r="F266" s="637"/>
      <c r="G266" s="637"/>
      <c r="H266" s="637"/>
      <c r="I266" s="637"/>
      <c r="J266" s="637"/>
      <c r="K266" s="637"/>
      <c r="L266" s="637"/>
      <c r="M266" s="637"/>
      <c r="N266" s="637"/>
      <c r="O266" s="637"/>
      <c r="P266" s="637"/>
      <c r="Q266" s="637"/>
      <c r="R266" s="637"/>
      <c r="S266" s="637"/>
      <c r="T266" s="637"/>
      <c r="U266" s="637"/>
      <c r="V266" s="637"/>
      <c r="W266" s="637"/>
      <c r="X266" s="637"/>
      <c r="Y266" s="637"/>
      <c r="Z266" s="637"/>
    </row>
    <row r="267" ht="11.25" customHeight="1">
      <c r="A267" s="637"/>
      <c r="B267" s="637"/>
      <c r="C267" s="637"/>
      <c r="D267" s="637"/>
      <c r="E267" s="637"/>
      <c r="F267" s="637"/>
      <c r="G267" s="637"/>
      <c r="H267" s="637"/>
      <c r="I267" s="637"/>
      <c r="J267" s="637"/>
      <c r="K267" s="637"/>
      <c r="L267" s="637"/>
      <c r="M267" s="637"/>
      <c r="N267" s="637"/>
      <c r="O267" s="637"/>
      <c r="P267" s="637"/>
      <c r="Q267" s="637"/>
      <c r="R267" s="637"/>
      <c r="S267" s="637"/>
      <c r="T267" s="637"/>
      <c r="U267" s="637"/>
      <c r="V267" s="637"/>
      <c r="W267" s="637"/>
      <c r="X267" s="637"/>
      <c r="Y267" s="637"/>
      <c r="Z267" s="637"/>
    </row>
    <row r="268" ht="11.25" customHeight="1">
      <c r="A268" s="637"/>
      <c r="B268" s="637"/>
      <c r="C268" s="637"/>
      <c r="D268" s="637"/>
      <c r="E268" s="637"/>
      <c r="F268" s="637"/>
      <c r="G268" s="637"/>
      <c r="H268" s="637"/>
      <c r="I268" s="637"/>
      <c r="J268" s="637"/>
      <c r="K268" s="637"/>
      <c r="L268" s="637"/>
      <c r="M268" s="637"/>
      <c r="N268" s="637"/>
      <c r="O268" s="637"/>
      <c r="P268" s="637"/>
      <c r="Q268" s="637"/>
      <c r="R268" s="637"/>
      <c r="S268" s="637"/>
      <c r="T268" s="637"/>
      <c r="U268" s="637"/>
      <c r="V268" s="637"/>
      <c r="W268" s="637"/>
      <c r="X268" s="637"/>
      <c r="Y268" s="637"/>
      <c r="Z268" s="637"/>
    </row>
    <row r="269" ht="11.25" customHeight="1">
      <c r="A269" s="637"/>
      <c r="B269" s="637"/>
      <c r="C269" s="637"/>
      <c r="D269" s="637"/>
      <c r="E269" s="637"/>
      <c r="F269" s="637"/>
      <c r="G269" s="637"/>
      <c r="H269" s="637"/>
      <c r="I269" s="637"/>
      <c r="J269" s="637"/>
      <c r="K269" s="637"/>
      <c r="L269" s="637"/>
      <c r="M269" s="637"/>
      <c r="N269" s="637"/>
      <c r="O269" s="637"/>
      <c r="P269" s="637"/>
      <c r="Q269" s="637"/>
      <c r="R269" s="637"/>
      <c r="S269" s="637"/>
      <c r="T269" s="637"/>
      <c r="U269" s="637"/>
      <c r="V269" s="637"/>
      <c r="W269" s="637"/>
      <c r="X269" s="637"/>
      <c r="Y269" s="637"/>
      <c r="Z269" s="637"/>
    </row>
    <row r="270" ht="11.25" customHeight="1">
      <c r="A270" s="637"/>
      <c r="B270" s="637"/>
      <c r="C270" s="637"/>
      <c r="D270" s="637"/>
      <c r="E270" s="637"/>
      <c r="F270" s="637"/>
      <c r="G270" s="637"/>
      <c r="H270" s="637"/>
      <c r="I270" s="637"/>
      <c r="J270" s="637"/>
      <c r="K270" s="637"/>
      <c r="L270" s="637"/>
      <c r="M270" s="637"/>
      <c r="N270" s="637"/>
      <c r="O270" s="637"/>
      <c r="P270" s="637"/>
      <c r="Q270" s="637"/>
      <c r="R270" s="637"/>
      <c r="S270" s="637"/>
      <c r="T270" s="637"/>
      <c r="U270" s="637"/>
      <c r="V270" s="637"/>
      <c r="W270" s="637"/>
      <c r="X270" s="637"/>
      <c r="Y270" s="637"/>
      <c r="Z270" s="637"/>
    </row>
    <row r="271" ht="11.25" customHeight="1">
      <c r="A271" s="637"/>
      <c r="B271" s="637"/>
      <c r="C271" s="637"/>
      <c r="D271" s="637"/>
      <c r="E271" s="637"/>
      <c r="F271" s="637"/>
      <c r="G271" s="637"/>
      <c r="H271" s="637"/>
      <c r="I271" s="637"/>
      <c r="J271" s="637"/>
      <c r="K271" s="637"/>
      <c r="L271" s="637"/>
      <c r="M271" s="637"/>
      <c r="N271" s="637"/>
      <c r="O271" s="637"/>
      <c r="P271" s="637"/>
      <c r="Q271" s="637"/>
      <c r="R271" s="637"/>
      <c r="S271" s="637"/>
      <c r="T271" s="637"/>
      <c r="U271" s="637"/>
      <c r="V271" s="637"/>
      <c r="W271" s="637"/>
      <c r="X271" s="637"/>
      <c r="Y271" s="637"/>
      <c r="Z271" s="637"/>
    </row>
    <row r="272" ht="11.25" customHeight="1">
      <c r="A272" s="637"/>
      <c r="B272" s="637"/>
      <c r="C272" s="637"/>
      <c r="D272" s="637"/>
      <c r="E272" s="637"/>
      <c r="F272" s="637"/>
      <c r="G272" s="637"/>
      <c r="H272" s="637"/>
      <c r="I272" s="637"/>
      <c r="J272" s="637"/>
      <c r="K272" s="637"/>
      <c r="L272" s="637"/>
      <c r="M272" s="637"/>
      <c r="N272" s="637"/>
      <c r="O272" s="637"/>
      <c r="P272" s="637"/>
      <c r="Q272" s="637"/>
      <c r="R272" s="637"/>
      <c r="S272" s="637"/>
      <c r="T272" s="637"/>
      <c r="U272" s="637"/>
      <c r="V272" s="637"/>
      <c r="W272" s="637"/>
      <c r="X272" s="637"/>
      <c r="Y272" s="637"/>
      <c r="Z272" s="637"/>
    </row>
    <row r="273" ht="11.25" customHeight="1">
      <c r="A273" s="637"/>
      <c r="B273" s="637"/>
      <c r="C273" s="637"/>
      <c r="D273" s="637"/>
      <c r="E273" s="637"/>
      <c r="F273" s="637"/>
      <c r="G273" s="637"/>
      <c r="H273" s="637"/>
      <c r="I273" s="637"/>
      <c r="J273" s="637"/>
      <c r="K273" s="637"/>
      <c r="L273" s="637"/>
      <c r="M273" s="637"/>
      <c r="N273" s="637"/>
      <c r="O273" s="637"/>
      <c r="P273" s="637"/>
      <c r="Q273" s="637"/>
      <c r="R273" s="637"/>
      <c r="S273" s="637"/>
      <c r="T273" s="637"/>
      <c r="U273" s="637"/>
      <c r="V273" s="637"/>
      <c r="W273" s="637"/>
      <c r="X273" s="637"/>
      <c r="Y273" s="637"/>
      <c r="Z273" s="637"/>
    </row>
    <row r="274" ht="11.25" customHeight="1">
      <c r="A274" s="637"/>
      <c r="B274" s="637"/>
      <c r="C274" s="637"/>
      <c r="D274" s="637"/>
      <c r="E274" s="637"/>
      <c r="F274" s="637"/>
      <c r="G274" s="637"/>
      <c r="H274" s="637"/>
      <c r="I274" s="637"/>
      <c r="J274" s="637"/>
      <c r="K274" s="637"/>
      <c r="L274" s="637"/>
      <c r="M274" s="637"/>
      <c r="N274" s="637"/>
      <c r="O274" s="637"/>
      <c r="P274" s="637"/>
      <c r="Q274" s="637"/>
      <c r="R274" s="637"/>
      <c r="S274" s="637"/>
      <c r="T274" s="637"/>
      <c r="U274" s="637"/>
      <c r="V274" s="637"/>
      <c r="W274" s="637"/>
      <c r="X274" s="637"/>
      <c r="Y274" s="637"/>
      <c r="Z274" s="637"/>
    </row>
    <row r="275" ht="11.25" customHeight="1">
      <c r="A275" s="637"/>
      <c r="B275" s="637"/>
      <c r="C275" s="637"/>
      <c r="D275" s="637"/>
      <c r="E275" s="637"/>
      <c r="F275" s="637"/>
      <c r="G275" s="637"/>
      <c r="H275" s="637"/>
      <c r="I275" s="637"/>
      <c r="J275" s="637"/>
      <c r="K275" s="637"/>
      <c r="L275" s="637"/>
      <c r="M275" s="637"/>
      <c r="N275" s="637"/>
      <c r="O275" s="637"/>
      <c r="P275" s="637"/>
      <c r="Q275" s="637"/>
      <c r="R275" s="637"/>
      <c r="S275" s="637"/>
      <c r="T275" s="637"/>
      <c r="U275" s="637"/>
      <c r="V275" s="637"/>
      <c r="W275" s="637"/>
      <c r="X275" s="637"/>
      <c r="Y275" s="637"/>
      <c r="Z275" s="637"/>
    </row>
    <row r="276" ht="11.25" customHeight="1">
      <c r="A276" s="637"/>
      <c r="B276" s="637"/>
      <c r="C276" s="637"/>
      <c r="D276" s="637"/>
      <c r="E276" s="637"/>
      <c r="F276" s="637"/>
      <c r="G276" s="637"/>
      <c r="H276" s="637"/>
      <c r="I276" s="637"/>
      <c r="J276" s="637"/>
      <c r="K276" s="637"/>
      <c r="L276" s="637"/>
      <c r="M276" s="637"/>
      <c r="N276" s="637"/>
      <c r="O276" s="637"/>
      <c r="P276" s="637"/>
      <c r="Q276" s="637"/>
      <c r="R276" s="637"/>
      <c r="S276" s="637"/>
      <c r="T276" s="637"/>
      <c r="U276" s="637"/>
      <c r="V276" s="637"/>
      <c r="W276" s="637"/>
      <c r="X276" s="637"/>
      <c r="Y276" s="637"/>
      <c r="Z276" s="637"/>
    </row>
    <row r="277" ht="11.25" customHeight="1">
      <c r="A277" s="637"/>
      <c r="B277" s="637"/>
      <c r="C277" s="637"/>
      <c r="D277" s="637"/>
      <c r="E277" s="637"/>
      <c r="F277" s="637"/>
      <c r="G277" s="637"/>
      <c r="H277" s="637"/>
      <c r="I277" s="637"/>
      <c r="J277" s="637"/>
      <c r="K277" s="637"/>
      <c r="L277" s="637"/>
      <c r="M277" s="637"/>
      <c r="N277" s="637"/>
      <c r="O277" s="637"/>
      <c r="P277" s="637"/>
      <c r="Q277" s="637"/>
      <c r="R277" s="637"/>
      <c r="S277" s="637"/>
      <c r="T277" s="637"/>
      <c r="U277" s="637"/>
      <c r="V277" s="637"/>
      <c r="W277" s="637"/>
      <c r="X277" s="637"/>
      <c r="Y277" s="637"/>
      <c r="Z277" s="637"/>
    </row>
    <row r="278" ht="11.25" customHeight="1">
      <c r="A278" s="637"/>
      <c r="B278" s="637"/>
      <c r="C278" s="637"/>
      <c r="D278" s="637"/>
      <c r="E278" s="637"/>
      <c r="F278" s="637"/>
      <c r="G278" s="637"/>
      <c r="H278" s="637"/>
      <c r="I278" s="637"/>
      <c r="J278" s="637"/>
      <c r="K278" s="637"/>
      <c r="L278" s="637"/>
      <c r="M278" s="637"/>
      <c r="N278" s="637"/>
      <c r="O278" s="637"/>
      <c r="P278" s="637"/>
      <c r="Q278" s="637"/>
      <c r="R278" s="637"/>
      <c r="S278" s="637"/>
      <c r="T278" s="637"/>
      <c r="U278" s="637"/>
      <c r="V278" s="637"/>
      <c r="W278" s="637"/>
      <c r="X278" s="637"/>
      <c r="Y278" s="637"/>
      <c r="Z278" s="637"/>
    </row>
    <row r="279" ht="11.25" customHeight="1">
      <c r="A279" s="637"/>
      <c r="B279" s="637"/>
      <c r="C279" s="637"/>
      <c r="D279" s="637"/>
      <c r="E279" s="637"/>
      <c r="F279" s="637"/>
      <c r="G279" s="637"/>
      <c r="H279" s="637"/>
      <c r="I279" s="637"/>
      <c r="J279" s="637"/>
      <c r="K279" s="637"/>
      <c r="L279" s="637"/>
      <c r="M279" s="637"/>
      <c r="N279" s="637"/>
      <c r="O279" s="637"/>
      <c r="P279" s="637"/>
      <c r="Q279" s="637"/>
      <c r="R279" s="637"/>
      <c r="S279" s="637"/>
      <c r="T279" s="637"/>
      <c r="U279" s="637"/>
      <c r="V279" s="637"/>
      <c r="W279" s="637"/>
      <c r="X279" s="637"/>
      <c r="Y279" s="637"/>
      <c r="Z279" s="637"/>
    </row>
    <row r="280" ht="11.25" customHeight="1">
      <c r="A280" s="637"/>
      <c r="B280" s="637"/>
      <c r="C280" s="637"/>
      <c r="D280" s="637"/>
      <c r="E280" s="637"/>
      <c r="F280" s="637"/>
      <c r="G280" s="637"/>
      <c r="H280" s="637"/>
      <c r="I280" s="637"/>
      <c r="J280" s="637"/>
      <c r="K280" s="637"/>
      <c r="L280" s="637"/>
      <c r="M280" s="637"/>
      <c r="N280" s="637"/>
      <c r="O280" s="637"/>
      <c r="P280" s="637"/>
      <c r="Q280" s="637"/>
      <c r="R280" s="637"/>
      <c r="S280" s="637"/>
      <c r="T280" s="637"/>
      <c r="U280" s="637"/>
      <c r="V280" s="637"/>
      <c r="W280" s="637"/>
      <c r="X280" s="637"/>
      <c r="Y280" s="637"/>
      <c r="Z280" s="637"/>
    </row>
    <row r="281" ht="11.25" customHeight="1">
      <c r="A281" s="637"/>
      <c r="B281" s="637"/>
      <c r="C281" s="637"/>
      <c r="D281" s="637"/>
      <c r="E281" s="637"/>
      <c r="F281" s="637"/>
      <c r="G281" s="637"/>
      <c r="H281" s="637"/>
      <c r="I281" s="637"/>
      <c r="J281" s="637"/>
      <c r="K281" s="637"/>
      <c r="L281" s="637"/>
      <c r="M281" s="637"/>
      <c r="N281" s="637"/>
      <c r="O281" s="637"/>
      <c r="P281" s="637"/>
      <c r="Q281" s="637"/>
      <c r="R281" s="637"/>
      <c r="S281" s="637"/>
      <c r="T281" s="637"/>
      <c r="U281" s="637"/>
      <c r="V281" s="637"/>
      <c r="W281" s="637"/>
      <c r="X281" s="637"/>
      <c r="Y281" s="637"/>
      <c r="Z281" s="637"/>
    </row>
    <row r="282" ht="11.25" customHeight="1">
      <c r="A282" s="637"/>
      <c r="B282" s="637"/>
      <c r="C282" s="637"/>
      <c r="D282" s="637"/>
      <c r="E282" s="637"/>
      <c r="F282" s="637"/>
      <c r="G282" s="637"/>
      <c r="H282" s="637"/>
      <c r="I282" s="637"/>
      <c r="J282" s="637"/>
      <c r="K282" s="637"/>
      <c r="L282" s="637"/>
      <c r="M282" s="637"/>
      <c r="N282" s="637"/>
      <c r="O282" s="637"/>
      <c r="P282" s="637"/>
      <c r="Q282" s="637"/>
      <c r="R282" s="637"/>
      <c r="S282" s="637"/>
      <c r="T282" s="637"/>
      <c r="U282" s="637"/>
      <c r="V282" s="637"/>
      <c r="W282" s="637"/>
      <c r="X282" s="637"/>
      <c r="Y282" s="637"/>
      <c r="Z282" s="637"/>
    </row>
    <row r="283" ht="11.25" customHeight="1">
      <c r="A283" s="637"/>
      <c r="B283" s="637"/>
      <c r="C283" s="637"/>
      <c r="D283" s="637"/>
      <c r="E283" s="637"/>
      <c r="F283" s="637"/>
      <c r="G283" s="637"/>
      <c r="H283" s="637"/>
      <c r="I283" s="637"/>
      <c r="J283" s="637"/>
      <c r="K283" s="637"/>
      <c r="L283" s="637"/>
      <c r="M283" s="637"/>
      <c r="N283" s="637"/>
      <c r="O283" s="637"/>
      <c r="P283" s="637"/>
      <c r="Q283" s="637"/>
      <c r="R283" s="637"/>
      <c r="S283" s="637"/>
      <c r="T283" s="637"/>
      <c r="U283" s="637"/>
      <c r="V283" s="637"/>
      <c r="W283" s="637"/>
      <c r="X283" s="637"/>
      <c r="Y283" s="637"/>
      <c r="Z283" s="637"/>
    </row>
    <row r="284" ht="11.25" customHeight="1">
      <c r="A284" s="637"/>
      <c r="B284" s="637"/>
      <c r="C284" s="637"/>
      <c r="D284" s="637"/>
      <c r="E284" s="637"/>
      <c r="F284" s="637"/>
      <c r="G284" s="637"/>
      <c r="H284" s="637"/>
      <c r="I284" s="637"/>
      <c r="J284" s="637"/>
      <c r="K284" s="637"/>
      <c r="L284" s="637"/>
      <c r="M284" s="637"/>
      <c r="N284" s="637"/>
      <c r="O284" s="637"/>
      <c r="P284" s="637"/>
      <c r="Q284" s="637"/>
      <c r="R284" s="637"/>
      <c r="S284" s="637"/>
      <c r="T284" s="637"/>
      <c r="U284" s="637"/>
      <c r="V284" s="637"/>
      <c r="W284" s="637"/>
      <c r="X284" s="637"/>
      <c r="Y284" s="637"/>
      <c r="Z284" s="637"/>
    </row>
    <row r="285" ht="11.25" customHeight="1">
      <c r="A285" s="637"/>
      <c r="B285" s="637"/>
      <c r="C285" s="637"/>
      <c r="D285" s="637"/>
      <c r="E285" s="637"/>
      <c r="F285" s="637"/>
      <c r="G285" s="637"/>
      <c r="H285" s="637"/>
      <c r="I285" s="637"/>
      <c r="J285" s="637"/>
      <c r="K285" s="637"/>
      <c r="L285" s="637"/>
      <c r="M285" s="637"/>
      <c r="N285" s="637"/>
      <c r="O285" s="637"/>
      <c r="P285" s="637"/>
      <c r="Q285" s="637"/>
      <c r="R285" s="637"/>
      <c r="S285" s="637"/>
      <c r="T285" s="637"/>
      <c r="U285" s="637"/>
      <c r="V285" s="637"/>
      <c r="W285" s="637"/>
      <c r="X285" s="637"/>
      <c r="Y285" s="637"/>
      <c r="Z285" s="637"/>
    </row>
    <row r="286" ht="11.25" customHeight="1">
      <c r="A286" s="637"/>
      <c r="B286" s="637"/>
      <c r="C286" s="637"/>
      <c r="D286" s="637"/>
      <c r="E286" s="637"/>
      <c r="F286" s="637"/>
      <c r="G286" s="637"/>
      <c r="H286" s="637"/>
      <c r="I286" s="637"/>
      <c r="J286" s="637"/>
      <c r="K286" s="637"/>
      <c r="L286" s="637"/>
      <c r="M286" s="637"/>
      <c r="N286" s="637"/>
      <c r="O286" s="637"/>
      <c r="P286" s="637"/>
      <c r="Q286" s="637"/>
      <c r="R286" s="637"/>
      <c r="S286" s="637"/>
      <c r="T286" s="637"/>
      <c r="U286" s="637"/>
      <c r="V286" s="637"/>
      <c r="W286" s="637"/>
      <c r="X286" s="637"/>
      <c r="Y286" s="637"/>
      <c r="Z286" s="637"/>
    </row>
    <row r="287" ht="11.25" customHeight="1">
      <c r="A287" s="637"/>
      <c r="B287" s="637"/>
      <c r="C287" s="637"/>
      <c r="D287" s="637"/>
      <c r="E287" s="637"/>
      <c r="F287" s="637"/>
      <c r="G287" s="637"/>
      <c r="H287" s="637"/>
      <c r="I287" s="637"/>
      <c r="J287" s="637"/>
      <c r="K287" s="637"/>
      <c r="L287" s="637"/>
      <c r="M287" s="637"/>
      <c r="N287" s="637"/>
      <c r="O287" s="637"/>
      <c r="P287" s="637"/>
      <c r="Q287" s="637"/>
      <c r="R287" s="637"/>
      <c r="S287" s="637"/>
      <c r="T287" s="637"/>
      <c r="U287" s="637"/>
      <c r="V287" s="637"/>
      <c r="W287" s="637"/>
      <c r="X287" s="637"/>
      <c r="Y287" s="637"/>
      <c r="Z287" s="637"/>
    </row>
    <row r="288" ht="11.25" customHeight="1">
      <c r="A288" s="637"/>
      <c r="B288" s="637"/>
      <c r="C288" s="637"/>
      <c r="D288" s="637"/>
      <c r="E288" s="637"/>
      <c r="F288" s="637"/>
      <c r="G288" s="637"/>
      <c r="H288" s="637"/>
      <c r="I288" s="637"/>
      <c r="J288" s="637"/>
      <c r="K288" s="637"/>
      <c r="L288" s="637"/>
      <c r="M288" s="637"/>
      <c r="N288" s="637"/>
      <c r="O288" s="637"/>
      <c r="P288" s="637"/>
      <c r="Q288" s="637"/>
      <c r="R288" s="637"/>
      <c r="S288" s="637"/>
      <c r="T288" s="637"/>
      <c r="U288" s="637"/>
      <c r="V288" s="637"/>
      <c r="W288" s="637"/>
      <c r="X288" s="637"/>
      <c r="Y288" s="637"/>
      <c r="Z288" s="637"/>
    </row>
    <row r="289" ht="11.25" customHeight="1">
      <c r="A289" s="637"/>
      <c r="B289" s="637"/>
      <c r="C289" s="637"/>
      <c r="D289" s="637"/>
      <c r="E289" s="637"/>
      <c r="F289" s="637"/>
      <c r="G289" s="637"/>
      <c r="H289" s="637"/>
      <c r="I289" s="637"/>
      <c r="J289" s="637"/>
      <c r="K289" s="637"/>
      <c r="L289" s="637"/>
      <c r="M289" s="637"/>
      <c r="N289" s="637"/>
      <c r="O289" s="637"/>
      <c r="P289" s="637"/>
      <c r="Q289" s="637"/>
      <c r="R289" s="637"/>
      <c r="S289" s="637"/>
      <c r="T289" s="637"/>
      <c r="U289" s="637"/>
      <c r="V289" s="637"/>
      <c r="W289" s="637"/>
      <c r="X289" s="637"/>
      <c r="Y289" s="637"/>
      <c r="Z289" s="637"/>
    </row>
    <row r="290" ht="11.25" customHeight="1">
      <c r="A290" s="637"/>
      <c r="B290" s="637"/>
      <c r="C290" s="637"/>
      <c r="D290" s="637"/>
      <c r="E290" s="637"/>
      <c r="F290" s="637"/>
      <c r="G290" s="637"/>
      <c r="H290" s="637"/>
      <c r="I290" s="637"/>
      <c r="J290" s="637"/>
      <c r="K290" s="637"/>
      <c r="L290" s="637"/>
      <c r="M290" s="637"/>
      <c r="N290" s="637"/>
      <c r="O290" s="637"/>
      <c r="P290" s="637"/>
      <c r="Q290" s="637"/>
      <c r="R290" s="637"/>
      <c r="S290" s="637"/>
      <c r="T290" s="637"/>
      <c r="U290" s="637"/>
      <c r="V290" s="637"/>
      <c r="W290" s="637"/>
      <c r="X290" s="637"/>
      <c r="Y290" s="637"/>
      <c r="Z290" s="637"/>
    </row>
    <row r="291" ht="11.25" customHeight="1">
      <c r="A291" s="637"/>
      <c r="B291" s="637"/>
      <c r="C291" s="637"/>
      <c r="D291" s="637"/>
      <c r="E291" s="637"/>
      <c r="F291" s="637"/>
      <c r="G291" s="637"/>
      <c r="H291" s="637"/>
      <c r="I291" s="637"/>
      <c r="J291" s="637"/>
      <c r="K291" s="637"/>
      <c r="L291" s="637"/>
      <c r="M291" s="637"/>
      <c r="N291" s="637"/>
      <c r="O291" s="637"/>
      <c r="P291" s="637"/>
      <c r="Q291" s="637"/>
      <c r="R291" s="637"/>
      <c r="S291" s="637"/>
      <c r="T291" s="637"/>
      <c r="U291" s="637"/>
      <c r="V291" s="637"/>
      <c r="W291" s="637"/>
      <c r="X291" s="637"/>
      <c r="Y291" s="637"/>
      <c r="Z291" s="637"/>
    </row>
    <row r="292" ht="11.25" customHeight="1">
      <c r="A292" s="637"/>
      <c r="B292" s="637"/>
      <c r="C292" s="637"/>
      <c r="D292" s="637"/>
      <c r="E292" s="637"/>
      <c r="F292" s="637"/>
      <c r="G292" s="637"/>
      <c r="H292" s="637"/>
      <c r="I292" s="637"/>
      <c r="J292" s="637"/>
      <c r="K292" s="637"/>
      <c r="L292" s="637"/>
      <c r="M292" s="637"/>
      <c r="N292" s="637"/>
      <c r="O292" s="637"/>
      <c r="P292" s="637"/>
      <c r="Q292" s="637"/>
      <c r="R292" s="637"/>
      <c r="S292" s="637"/>
      <c r="T292" s="637"/>
      <c r="U292" s="637"/>
      <c r="V292" s="637"/>
      <c r="W292" s="637"/>
      <c r="X292" s="637"/>
      <c r="Y292" s="637"/>
      <c r="Z292" s="637"/>
    </row>
    <row r="293" ht="11.25" customHeight="1">
      <c r="A293" s="637"/>
      <c r="B293" s="637"/>
      <c r="C293" s="637"/>
      <c r="D293" s="637"/>
      <c r="E293" s="637"/>
      <c r="F293" s="637"/>
      <c r="G293" s="637"/>
      <c r="H293" s="637"/>
      <c r="I293" s="637"/>
      <c r="J293" s="637"/>
      <c r="K293" s="637"/>
      <c r="L293" s="637"/>
      <c r="M293" s="637"/>
      <c r="N293" s="637"/>
      <c r="O293" s="637"/>
      <c r="P293" s="637"/>
      <c r="Q293" s="637"/>
      <c r="R293" s="637"/>
      <c r="S293" s="637"/>
      <c r="T293" s="637"/>
      <c r="U293" s="637"/>
      <c r="V293" s="637"/>
      <c r="W293" s="637"/>
      <c r="X293" s="637"/>
      <c r="Y293" s="637"/>
      <c r="Z293" s="637"/>
    </row>
    <row r="294" ht="11.25" customHeight="1">
      <c r="A294" s="637"/>
      <c r="B294" s="637"/>
      <c r="C294" s="637"/>
      <c r="D294" s="637"/>
      <c r="E294" s="637"/>
      <c r="F294" s="637"/>
      <c r="G294" s="637"/>
      <c r="H294" s="637"/>
      <c r="I294" s="637"/>
      <c r="J294" s="637"/>
      <c r="K294" s="637"/>
      <c r="L294" s="637"/>
      <c r="M294" s="637"/>
      <c r="N294" s="637"/>
      <c r="O294" s="637"/>
      <c r="P294" s="637"/>
      <c r="Q294" s="637"/>
      <c r="R294" s="637"/>
      <c r="S294" s="637"/>
      <c r="T294" s="637"/>
      <c r="U294" s="637"/>
      <c r="V294" s="637"/>
      <c r="W294" s="637"/>
      <c r="X294" s="637"/>
      <c r="Y294" s="637"/>
      <c r="Z294" s="637"/>
    </row>
    <row r="295" ht="11.25" customHeight="1">
      <c r="A295" s="637"/>
      <c r="B295" s="637"/>
      <c r="C295" s="637"/>
      <c r="D295" s="637"/>
      <c r="E295" s="637"/>
      <c r="F295" s="637"/>
      <c r="G295" s="637"/>
      <c r="H295" s="637"/>
      <c r="I295" s="637"/>
      <c r="J295" s="637"/>
      <c r="K295" s="637"/>
      <c r="L295" s="637"/>
      <c r="M295" s="637"/>
      <c r="N295" s="637"/>
      <c r="O295" s="637"/>
      <c r="P295" s="637"/>
      <c r="Q295" s="637"/>
      <c r="R295" s="637"/>
      <c r="S295" s="637"/>
      <c r="T295" s="637"/>
      <c r="U295" s="637"/>
      <c r="V295" s="637"/>
      <c r="W295" s="637"/>
      <c r="X295" s="637"/>
      <c r="Y295" s="637"/>
      <c r="Z295" s="637"/>
    </row>
    <row r="296" ht="11.25" customHeight="1">
      <c r="A296" s="637"/>
      <c r="B296" s="637"/>
      <c r="C296" s="637"/>
      <c r="D296" s="637"/>
      <c r="E296" s="637"/>
      <c r="F296" s="637"/>
      <c r="G296" s="637"/>
      <c r="H296" s="637"/>
      <c r="I296" s="637"/>
      <c r="J296" s="637"/>
      <c r="K296" s="637"/>
      <c r="L296" s="637"/>
      <c r="M296" s="637"/>
      <c r="N296" s="637"/>
      <c r="O296" s="637"/>
      <c r="P296" s="637"/>
      <c r="Q296" s="637"/>
      <c r="R296" s="637"/>
      <c r="S296" s="637"/>
      <c r="T296" s="637"/>
      <c r="U296" s="637"/>
      <c r="V296" s="637"/>
      <c r="W296" s="637"/>
      <c r="X296" s="637"/>
      <c r="Y296" s="637"/>
      <c r="Z296" s="637"/>
    </row>
    <row r="297" ht="11.25" customHeight="1">
      <c r="A297" s="637"/>
      <c r="B297" s="637"/>
      <c r="C297" s="637"/>
      <c r="D297" s="637"/>
      <c r="E297" s="637"/>
      <c r="F297" s="637"/>
      <c r="G297" s="637"/>
      <c r="H297" s="637"/>
      <c r="I297" s="637"/>
      <c r="J297" s="637"/>
      <c r="K297" s="637"/>
      <c r="L297" s="637"/>
      <c r="M297" s="637"/>
      <c r="N297" s="637"/>
      <c r="O297" s="637"/>
      <c r="P297" s="637"/>
      <c r="Q297" s="637"/>
      <c r="R297" s="637"/>
      <c r="S297" s="637"/>
      <c r="T297" s="637"/>
      <c r="U297" s="637"/>
      <c r="V297" s="637"/>
      <c r="W297" s="637"/>
      <c r="X297" s="637"/>
      <c r="Y297" s="637"/>
      <c r="Z297" s="637"/>
    </row>
    <row r="298" ht="11.25" customHeight="1">
      <c r="A298" s="637"/>
      <c r="B298" s="637"/>
      <c r="C298" s="637"/>
      <c r="D298" s="637"/>
      <c r="E298" s="637"/>
      <c r="F298" s="637"/>
      <c r="G298" s="637"/>
      <c r="H298" s="637"/>
      <c r="I298" s="637"/>
      <c r="J298" s="637"/>
      <c r="K298" s="637"/>
      <c r="L298" s="637"/>
      <c r="M298" s="637"/>
      <c r="N298" s="637"/>
      <c r="O298" s="637"/>
      <c r="P298" s="637"/>
      <c r="Q298" s="637"/>
      <c r="R298" s="637"/>
      <c r="S298" s="637"/>
      <c r="T298" s="637"/>
      <c r="U298" s="637"/>
      <c r="V298" s="637"/>
      <c r="W298" s="637"/>
      <c r="X298" s="637"/>
      <c r="Y298" s="637"/>
      <c r="Z298" s="637"/>
    </row>
    <row r="299" ht="11.25" customHeight="1">
      <c r="A299" s="637"/>
      <c r="B299" s="637"/>
      <c r="C299" s="637"/>
      <c r="D299" s="637"/>
      <c r="E299" s="637"/>
      <c r="F299" s="637"/>
      <c r="G299" s="637"/>
      <c r="H299" s="637"/>
      <c r="I299" s="637"/>
      <c r="J299" s="637"/>
      <c r="K299" s="637"/>
      <c r="L299" s="637"/>
      <c r="M299" s="637"/>
      <c r="N299" s="637"/>
      <c r="O299" s="637"/>
      <c r="P299" s="637"/>
      <c r="Q299" s="637"/>
      <c r="R299" s="637"/>
      <c r="S299" s="637"/>
      <c r="T299" s="637"/>
      <c r="U299" s="637"/>
      <c r="V299" s="637"/>
      <c r="W299" s="637"/>
      <c r="X299" s="637"/>
      <c r="Y299" s="637"/>
      <c r="Z299" s="637"/>
    </row>
    <row r="300" ht="11.25" customHeight="1">
      <c r="A300" s="637"/>
      <c r="B300" s="637"/>
      <c r="C300" s="637"/>
      <c r="D300" s="637"/>
      <c r="E300" s="637"/>
      <c r="F300" s="637"/>
      <c r="G300" s="637"/>
      <c r="H300" s="637"/>
      <c r="I300" s="637"/>
      <c r="J300" s="637"/>
      <c r="K300" s="637"/>
      <c r="L300" s="637"/>
      <c r="M300" s="637"/>
      <c r="N300" s="637"/>
      <c r="O300" s="637"/>
      <c r="P300" s="637"/>
      <c r="Q300" s="637"/>
      <c r="R300" s="637"/>
      <c r="S300" s="637"/>
      <c r="T300" s="637"/>
      <c r="U300" s="637"/>
      <c r="V300" s="637"/>
      <c r="W300" s="637"/>
      <c r="X300" s="637"/>
      <c r="Y300" s="637"/>
      <c r="Z300" s="637"/>
    </row>
    <row r="301" ht="11.25" customHeight="1">
      <c r="A301" s="637"/>
      <c r="B301" s="637"/>
      <c r="C301" s="637"/>
      <c r="D301" s="637"/>
      <c r="E301" s="637"/>
      <c r="F301" s="637"/>
      <c r="G301" s="637"/>
      <c r="H301" s="637"/>
      <c r="I301" s="637"/>
      <c r="J301" s="637"/>
      <c r="K301" s="637"/>
      <c r="L301" s="637"/>
      <c r="M301" s="637"/>
      <c r="N301" s="637"/>
      <c r="O301" s="637"/>
      <c r="P301" s="637"/>
      <c r="Q301" s="637"/>
      <c r="R301" s="637"/>
      <c r="S301" s="637"/>
      <c r="T301" s="637"/>
      <c r="U301" s="637"/>
      <c r="V301" s="637"/>
      <c r="W301" s="637"/>
      <c r="X301" s="637"/>
      <c r="Y301" s="637"/>
      <c r="Z301" s="637"/>
    </row>
    <row r="302" ht="11.25" customHeight="1">
      <c r="A302" s="637"/>
      <c r="B302" s="637"/>
      <c r="C302" s="637"/>
      <c r="D302" s="637"/>
      <c r="E302" s="637"/>
      <c r="F302" s="637"/>
      <c r="G302" s="637"/>
      <c r="H302" s="637"/>
      <c r="I302" s="637"/>
      <c r="J302" s="637"/>
      <c r="K302" s="637"/>
      <c r="L302" s="637"/>
      <c r="M302" s="637"/>
      <c r="N302" s="637"/>
      <c r="O302" s="637"/>
      <c r="P302" s="637"/>
      <c r="Q302" s="637"/>
      <c r="R302" s="637"/>
      <c r="S302" s="637"/>
      <c r="T302" s="637"/>
      <c r="U302" s="637"/>
      <c r="V302" s="637"/>
      <c r="W302" s="637"/>
      <c r="X302" s="637"/>
      <c r="Y302" s="637"/>
      <c r="Z302" s="637"/>
    </row>
    <row r="303" ht="11.25" customHeight="1">
      <c r="A303" s="637"/>
      <c r="B303" s="637"/>
      <c r="C303" s="637"/>
      <c r="D303" s="637"/>
      <c r="E303" s="637"/>
      <c r="F303" s="637"/>
      <c r="G303" s="637"/>
      <c r="H303" s="637"/>
      <c r="I303" s="637"/>
      <c r="J303" s="637"/>
      <c r="K303" s="637"/>
      <c r="L303" s="637"/>
      <c r="M303" s="637"/>
      <c r="N303" s="637"/>
      <c r="O303" s="637"/>
      <c r="P303" s="637"/>
      <c r="Q303" s="637"/>
      <c r="R303" s="637"/>
      <c r="S303" s="637"/>
      <c r="T303" s="637"/>
      <c r="U303" s="637"/>
      <c r="V303" s="637"/>
      <c r="W303" s="637"/>
      <c r="X303" s="637"/>
      <c r="Y303" s="637"/>
      <c r="Z303" s="637"/>
    </row>
    <row r="304" ht="11.25" customHeight="1">
      <c r="A304" s="637"/>
      <c r="B304" s="637"/>
      <c r="C304" s="637"/>
      <c r="D304" s="637"/>
      <c r="E304" s="637"/>
      <c r="F304" s="637"/>
      <c r="G304" s="637"/>
      <c r="H304" s="637"/>
      <c r="I304" s="637"/>
      <c r="J304" s="637"/>
      <c r="K304" s="637"/>
      <c r="L304" s="637"/>
      <c r="M304" s="637"/>
      <c r="N304" s="637"/>
      <c r="O304" s="637"/>
      <c r="P304" s="637"/>
      <c r="Q304" s="637"/>
      <c r="R304" s="637"/>
      <c r="S304" s="637"/>
      <c r="T304" s="637"/>
      <c r="U304" s="637"/>
      <c r="V304" s="637"/>
      <c r="W304" s="637"/>
      <c r="X304" s="637"/>
      <c r="Y304" s="637"/>
      <c r="Z304" s="637"/>
    </row>
    <row r="305" ht="11.25" customHeight="1">
      <c r="A305" s="637"/>
      <c r="B305" s="637"/>
      <c r="C305" s="637"/>
      <c r="D305" s="637"/>
      <c r="E305" s="637"/>
      <c r="F305" s="637"/>
      <c r="G305" s="637"/>
      <c r="H305" s="637"/>
      <c r="I305" s="637"/>
      <c r="J305" s="637"/>
      <c r="K305" s="637"/>
      <c r="L305" s="637"/>
      <c r="M305" s="637"/>
      <c r="N305" s="637"/>
      <c r="O305" s="637"/>
      <c r="P305" s="637"/>
      <c r="Q305" s="637"/>
      <c r="R305" s="637"/>
      <c r="S305" s="637"/>
      <c r="T305" s="637"/>
      <c r="U305" s="637"/>
      <c r="V305" s="637"/>
      <c r="W305" s="637"/>
      <c r="X305" s="637"/>
      <c r="Y305" s="637"/>
      <c r="Z305" s="637"/>
    </row>
    <row r="306" ht="11.25" customHeight="1">
      <c r="A306" s="637"/>
      <c r="B306" s="637"/>
      <c r="C306" s="637"/>
      <c r="D306" s="637"/>
      <c r="E306" s="637"/>
      <c r="F306" s="637"/>
      <c r="G306" s="637"/>
      <c r="H306" s="637"/>
      <c r="I306" s="637"/>
      <c r="J306" s="637"/>
      <c r="K306" s="637"/>
      <c r="L306" s="637"/>
      <c r="M306" s="637"/>
      <c r="N306" s="637"/>
      <c r="O306" s="637"/>
      <c r="P306" s="637"/>
      <c r="Q306" s="637"/>
      <c r="R306" s="637"/>
      <c r="S306" s="637"/>
      <c r="T306" s="637"/>
      <c r="U306" s="637"/>
      <c r="V306" s="637"/>
      <c r="W306" s="637"/>
      <c r="X306" s="637"/>
      <c r="Y306" s="637"/>
      <c r="Z306" s="637"/>
    </row>
    <row r="307" ht="11.25" customHeight="1">
      <c r="A307" s="637"/>
      <c r="B307" s="637"/>
      <c r="C307" s="637"/>
      <c r="D307" s="637"/>
      <c r="E307" s="637"/>
      <c r="F307" s="637"/>
      <c r="G307" s="637"/>
      <c r="H307" s="637"/>
      <c r="I307" s="637"/>
      <c r="J307" s="637"/>
      <c r="K307" s="637"/>
      <c r="L307" s="637"/>
      <c r="M307" s="637"/>
      <c r="N307" s="637"/>
      <c r="O307" s="637"/>
      <c r="P307" s="637"/>
      <c r="Q307" s="637"/>
      <c r="R307" s="637"/>
      <c r="S307" s="637"/>
      <c r="T307" s="637"/>
      <c r="U307" s="637"/>
      <c r="V307" s="637"/>
      <c r="W307" s="637"/>
      <c r="X307" s="637"/>
      <c r="Y307" s="637"/>
      <c r="Z307" s="637"/>
    </row>
    <row r="308" ht="11.25" customHeight="1">
      <c r="A308" s="637"/>
      <c r="B308" s="637"/>
      <c r="C308" s="637"/>
      <c r="D308" s="637"/>
      <c r="E308" s="637"/>
      <c r="F308" s="637"/>
      <c r="G308" s="637"/>
      <c r="H308" s="637"/>
      <c r="I308" s="637"/>
      <c r="J308" s="637"/>
      <c r="K308" s="637"/>
      <c r="L308" s="637"/>
      <c r="M308" s="637"/>
      <c r="N308" s="637"/>
      <c r="O308" s="637"/>
      <c r="P308" s="637"/>
      <c r="Q308" s="637"/>
      <c r="R308" s="637"/>
      <c r="S308" s="637"/>
      <c r="T308" s="637"/>
      <c r="U308" s="637"/>
      <c r="V308" s="637"/>
      <c r="W308" s="637"/>
      <c r="X308" s="637"/>
      <c r="Y308" s="637"/>
      <c r="Z308" s="637"/>
    </row>
    <row r="309" ht="11.25" customHeight="1">
      <c r="A309" s="637"/>
      <c r="B309" s="637"/>
      <c r="C309" s="637"/>
      <c r="D309" s="637"/>
      <c r="E309" s="637"/>
      <c r="F309" s="637"/>
      <c r="G309" s="637"/>
      <c r="H309" s="637"/>
      <c r="I309" s="637"/>
      <c r="J309" s="637"/>
      <c r="K309" s="637"/>
      <c r="L309" s="637"/>
      <c r="M309" s="637"/>
      <c r="N309" s="637"/>
      <c r="O309" s="637"/>
      <c r="P309" s="637"/>
      <c r="Q309" s="637"/>
      <c r="R309" s="637"/>
      <c r="S309" s="637"/>
      <c r="T309" s="637"/>
      <c r="U309" s="637"/>
      <c r="V309" s="637"/>
      <c r="W309" s="637"/>
      <c r="X309" s="637"/>
      <c r="Y309" s="637"/>
      <c r="Z309" s="637"/>
    </row>
    <row r="310" ht="11.25" customHeight="1">
      <c r="A310" s="637"/>
      <c r="B310" s="637"/>
      <c r="C310" s="637"/>
      <c r="D310" s="637"/>
      <c r="E310" s="637"/>
      <c r="F310" s="637"/>
      <c r="G310" s="637"/>
      <c r="H310" s="637"/>
      <c r="I310" s="637"/>
      <c r="J310" s="637"/>
      <c r="K310" s="637"/>
      <c r="L310" s="637"/>
      <c r="M310" s="637"/>
      <c r="N310" s="637"/>
      <c r="O310" s="637"/>
      <c r="P310" s="637"/>
      <c r="Q310" s="637"/>
      <c r="R310" s="637"/>
      <c r="S310" s="637"/>
      <c r="T310" s="637"/>
      <c r="U310" s="637"/>
      <c r="V310" s="637"/>
      <c r="W310" s="637"/>
      <c r="X310" s="637"/>
      <c r="Y310" s="637"/>
      <c r="Z310" s="637"/>
    </row>
    <row r="311" ht="11.25" customHeight="1">
      <c r="A311" s="637"/>
      <c r="B311" s="637"/>
      <c r="C311" s="637"/>
      <c r="D311" s="637"/>
      <c r="E311" s="637"/>
      <c r="F311" s="637"/>
      <c r="G311" s="637"/>
      <c r="H311" s="637"/>
      <c r="I311" s="637"/>
      <c r="J311" s="637"/>
      <c r="K311" s="637"/>
      <c r="L311" s="637"/>
      <c r="M311" s="637"/>
      <c r="N311" s="637"/>
      <c r="O311" s="637"/>
      <c r="P311" s="637"/>
      <c r="Q311" s="637"/>
      <c r="R311" s="637"/>
      <c r="S311" s="637"/>
      <c r="T311" s="637"/>
      <c r="U311" s="637"/>
      <c r="V311" s="637"/>
      <c r="W311" s="637"/>
      <c r="X311" s="637"/>
      <c r="Y311" s="637"/>
      <c r="Z311" s="637"/>
    </row>
    <row r="312" ht="11.25" customHeight="1">
      <c r="A312" s="637"/>
      <c r="B312" s="637"/>
      <c r="C312" s="637"/>
      <c r="D312" s="637"/>
      <c r="E312" s="637"/>
      <c r="F312" s="637"/>
      <c r="G312" s="637"/>
      <c r="H312" s="637"/>
      <c r="I312" s="637"/>
      <c r="J312" s="637"/>
      <c r="K312" s="637"/>
      <c r="L312" s="637"/>
      <c r="M312" s="637"/>
      <c r="N312" s="637"/>
      <c r="O312" s="637"/>
      <c r="P312" s="637"/>
      <c r="Q312" s="637"/>
      <c r="R312" s="637"/>
      <c r="S312" s="637"/>
      <c r="T312" s="637"/>
      <c r="U312" s="637"/>
      <c r="V312" s="637"/>
      <c r="W312" s="637"/>
      <c r="X312" s="637"/>
      <c r="Y312" s="637"/>
      <c r="Z312" s="637"/>
    </row>
    <row r="313" ht="11.25" customHeight="1">
      <c r="A313" s="637"/>
      <c r="B313" s="637"/>
      <c r="C313" s="637"/>
      <c r="D313" s="637"/>
      <c r="E313" s="637"/>
      <c r="F313" s="637"/>
      <c r="G313" s="637"/>
      <c r="H313" s="637"/>
      <c r="I313" s="637"/>
      <c r="J313" s="637"/>
      <c r="K313" s="637"/>
      <c r="L313" s="637"/>
      <c r="M313" s="637"/>
      <c r="N313" s="637"/>
      <c r="O313" s="637"/>
      <c r="P313" s="637"/>
      <c r="Q313" s="637"/>
      <c r="R313" s="637"/>
      <c r="S313" s="637"/>
      <c r="T313" s="637"/>
      <c r="U313" s="637"/>
      <c r="V313" s="637"/>
      <c r="W313" s="637"/>
      <c r="X313" s="637"/>
      <c r="Y313" s="637"/>
      <c r="Z313" s="637"/>
    </row>
    <row r="314" ht="11.25" customHeight="1">
      <c r="A314" s="637"/>
      <c r="B314" s="637"/>
      <c r="C314" s="637"/>
      <c r="D314" s="637"/>
      <c r="E314" s="637"/>
      <c r="F314" s="637"/>
      <c r="G314" s="637"/>
      <c r="H314" s="637"/>
      <c r="I314" s="637"/>
      <c r="J314" s="637"/>
      <c r="K314" s="637"/>
      <c r="L314" s="637"/>
      <c r="M314" s="637"/>
      <c r="N314" s="637"/>
      <c r="O314" s="637"/>
      <c r="P314" s="637"/>
      <c r="Q314" s="637"/>
      <c r="R314" s="637"/>
      <c r="S314" s="637"/>
      <c r="T314" s="637"/>
      <c r="U314" s="637"/>
      <c r="V314" s="637"/>
      <c r="W314" s="637"/>
      <c r="X314" s="637"/>
      <c r="Y314" s="637"/>
      <c r="Z314" s="637"/>
    </row>
    <row r="315" ht="11.25" customHeight="1">
      <c r="A315" s="637"/>
      <c r="B315" s="637"/>
      <c r="C315" s="637"/>
      <c r="D315" s="637"/>
      <c r="E315" s="637"/>
      <c r="F315" s="637"/>
      <c r="G315" s="637"/>
      <c r="H315" s="637"/>
      <c r="I315" s="637"/>
      <c r="J315" s="637"/>
      <c r="K315" s="637"/>
      <c r="L315" s="637"/>
      <c r="M315" s="637"/>
      <c r="N315" s="637"/>
      <c r="O315" s="637"/>
      <c r="P315" s="637"/>
      <c r="Q315" s="637"/>
      <c r="R315" s="637"/>
      <c r="S315" s="637"/>
      <c r="T315" s="637"/>
      <c r="U315" s="637"/>
      <c r="V315" s="637"/>
      <c r="W315" s="637"/>
      <c r="X315" s="637"/>
      <c r="Y315" s="637"/>
      <c r="Z315" s="637"/>
    </row>
    <row r="316" ht="11.25" customHeight="1">
      <c r="A316" s="637"/>
      <c r="B316" s="637"/>
      <c r="C316" s="637"/>
      <c r="D316" s="637"/>
      <c r="E316" s="637"/>
      <c r="F316" s="637"/>
      <c r="G316" s="637"/>
      <c r="H316" s="637"/>
      <c r="I316" s="637"/>
      <c r="J316" s="637"/>
      <c r="K316" s="637"/>
      <c r="L316" s="637"/>
      <c r="M316" s="637"/>
      <c r="N316" s="637"/>
      <c r="O316" s="637"/>
      <c r="P316" s="637"/>
      <c r="Q316" s="637"/>
      <c r="R316" s="637"/>
      <c r="S316" s="637"/>
      <c r="T316" s="637"/>
      <c r="U316" s="637"/>
      <c r="V316" s="637"/>
      <c r="W316" s="637"/>
      <c r="X316" s="637"/>
      <c r="Y316" s="637"/>
      <c r="Z316" s="637"/>
    </row>
    <row r="317" ht="11.25" customHeight="1">
      <c r="A317" s="637"/>
      <c r="B317" s="637"/>
      <c r="C317" s="637"/>
      <c r="D317" s="637"/>
      <c r="E317" s="637"/>
      <c r="F317" s="637"/>
      <c r="G317" s="637"/>
      <c r="H317" s="637"/>
      <c r="I317" s="637"/>
      <c r="J317" s="637"/>
      <c r="K317" s="637"/>
      <c r="L317" s="637"/>
      <c r="M317" s="637"/>
      <c r="N317" s="637"/>
      <c r="O317" s="637"/>
      <c r="P317" s="637"/>
      <c r="Q317" s="637"/>
      <c r="R317" s="637"/>
      <c r="S317" s="637"/>
      <c r="T317" s="637"/>
      <c r="U317" s="637"/>
      <c r="V317" s="637"/>
      <c r="W317" s="637"/>
      <c r="X317" s="637"/>
      <c r="Y317" s="637"/>
      <c r="Z317" s="637"/>
    </row>
    <row r="318" ht="11.25" customHeight="1">
      <c r="A318" s="637"/>
      <c r="B318" s="637"/>
      <c r="C318" s="637"/>
      <c r="D318" s="637"/>
      <c r="E318" s="637"/>
      <c r="F318" s="637"/>
      <c r="G318" s="637"/>
      <c r="H318" s="637"/>
      <c r="I318" s="637"/>
      <c r="J318" s="637"/>
      <c r="K318" s="637"/>
      <c r="L318" s="637"/>
      <c r="M318" s="637"/>
      <c r="N318" s="637"/>
      <c r="O318" s="637"/>
      <c r="P318" s="637"/>
      <c r="Q318" s="637"/>
      <c r="R318" s="637"/>
      <c r="S318" s="637"/>
      <c r="T318" s="637"/>
      <c r="U318" s="637"/>
      <c r="V318" s="637"/>
      <c r="W318" s="637"/>
      <c r="X318" s="637"/>
      <c r="Y318" s="637"/>
      <c r="Z318" s="637"/>
    </row>
    <row r="319" ht="11.25" customHeight="1">
      <c r="A319" s="637"/>
      <c r="B319" s="637"/>
      <c r="C319" s="637"/>
      <c r="D319" s="637"/>
      <c r="E319" s="637"/>
      <c r="F319" s="637"/>
      <c r="G319" s="637"/>
      <c r="H319" s="637"/>
      <c r="I319" s="637"/>
      <c r="J319" s="637"/>
      <c r="K319" s="637"/>
      <c r="L319" s="637"/>
      <c r="M319" s="637"/>
      <c r="N319" s="637"/>
      <c r="O319" s="637"/>
      <c r="P319" s="637"/>
      <c r="Q319" s="637"/>
      <c r="R319" s="637"/>
      <c r="S319" s="637"/>
      <c r="T319" s="637"/>
      <c r="U319" s="637"/>
      <c r="V319" s="637"/>
      <c r="W319" s="637"/>
      <c r="X319" s="637"/>
      <c r="Y319" s="637"/>
      <c r="Z319" s="637"/>
    </row>
    <row r="320" ht="11.25" customHeight="1">
      <c r="A320" s="637"/>
      <c r="B320" s="637"/>
      <c r="C320" s="637"/>
      <c r="D320" s="637"/>
      <c r="E320" s="637"/>
      <c r="F320" s="637"/>
      <c r="G320" s="637"/>
      <c r="H320" s="637"/>
      <c r="I320" s="637"/>
      <c r="J320" s="637"/>
      <c r="K320" s="637"/>
      <c r="L320" s="637"/>
      <c r="M320" s="637"/>
      <c r="N320" s="637"/>
      <c r="O320" s="637"/>
      <c r="P320" s="637"/>
      <c r="Q320" s="637"/>
      <c r="R320" s="637"/>
      <c r="S320" s="637"/>
      <c r="T320" s="637"/>
      <c r="U320" s="637"/>
      <c r="V320" s="637"/>
      <c r="W320" s="637"/>
      <c r="X320" s="637"/>
      <c r="Y320" s="637"/>
      <c r="Z320" s="637"/>
    </row>
    <row r="321" ht="11.25" customHeight="1">
      <c r="A321" s="637"/>
      <c r="B321" s="637"/>
      <c r="C321" s="637"/>
      <c r="D321" s="637"/>
      <c r="E321" s="637"/>
      <c r="F321" s="637"/>
      <c r="G321" s="637"/>
      <c r="H321" s="637"/>
      <c r="I321" s="637"/>
      <c r="J321" s="637"/>
      <c r="K321" s="637"/>
      <c r="L321" s="637"/>
      <c r="M321" s="637"/>
      <c r="N321" s="637"/>
      <c r="O321" s="637"/>
      <c r="P321" s="637"/>
      <c r="Q321" s="637"/>
      <c r="R321" s="637"/>
      <c r="S321" s="637"/>
      <c r="T321" s="637"/>
      <c r="U321" s="637"/>
      <c r="V321" s="637"/>
      <c r="W321" s="637"/>
      <c r="X321" s="637"/>
      <c r="Y321" s="637"/>
      <c r="Z321" s="637"/>
    </row>
    <row r="322" ht="11.25" customHeight="1">
      <c r="A322" s="637"/>
      <c r="B322" s="637"/>
      <c r="C322" s="637"/>
      <c r="D322" s="637"/>
      <c r="E322" s="637"/>
      <c r="F322" s="637"/>
      <c r="G322" s="637"/>
      <c r="H322" s="637"/>
      <c r="I322" s="637"/>
      <c r="J322" s="637"/>
      <c r="K322" s="637"/>
      <c r="L322" s="637"/>
      <c r="M322" s="637"/>
      <c r="N322" s="637"/>
      <c r="O322" s="637"/>
      <c r="P322" s="637"/>
      <c r="Q322" s="637"/>
      <c r="R322" s="637"/>
      <c r="S322" s="637"/>
      <c r="T322" s="637"/>
      <c r="U322" s="637"/>
      <c r="V322" s="637"/>
      <c r="W322" s="637"/>
      <c r="X322" s="637"/>
      <c r="Y322" s="637"/>
      <c r="Z322" s="637"/>
    </row>
    <row r="323" ht="11.25" customHeight="1">
      <c r="A323" s="637"/>
      <c r="B323" s="637"/>
      <c r="C323" s="637"/>
      <c r="D323" s="637"/>
      <c r="E323" s="637"/>
      <c r="F323" s="637"/>
      <c r="G323" s="637"/>
      <c r="H323" s="637"/>
      <c r="I323" s="637"/>
      <c r="J323" s="637"/>
      <c r="K323" s="637"/>
      <c r="L323" s="637"/>
      <c r="M323" s="637"/>
      <c r="N323" s="637"/>
      <c r="O323" s="637"/>
      <c r="P323" s="637"/>
      <c r="Q323" s="637"/>
      <c r="R323" s="637"/>
      <c r="S323" s="637"/>
      <c r="T323" s="637"/>
      <c r="U323" s="637"/>
      <c r="V323" s="637"/>
      <c r="W323" s="637"/>
      <c r="X323" s="637"/>
      <c r="Y323" s="637"/>
      <c r="Z323" s="637"/>
    </row>
    <row r="324" ht="11.25" customHeight="1">
      <c r="A324" s="637"/>
      <c r="B324" s="637"/>
      <c r="C324" s="637"/>
      <c r="D324" s="637"/>
      <c r="E324" s="637"/>
      <c r="F324" s="637"/>
      <c r="G324" s="637"/>
      <c r="H324" s="637"/>
      <c r="I324" s="637"/>
      <c r="J324" s="637"/>
      <c r="K324" s="637"/>
      <c r="L324" s="637"/>
      <c r="M324" s="637"/>
      <c r="N324" s="637"/>
      <c r="O324" s="637"/>
      <c r="P324" s="637"/>
      <c r="Q324" s="637"/>
      <c r="R324" s="637"/>
      <c r="S324" s="637"/>
      <c r="T324" s="637"/>
      <c r="U324" s="637"/>
      <c r="V324" s="637"/>
      <c r="W324" s="637"/>
      <c r="X324" s="637"/>
      <c r="Y324" s="637"/>
      <c r="Z324" s="637"/>
    </row>
    <row r="325" ht="11.25" customHeight="1">
      <c r="A325" s="637"/>
      <c r="B325" s="637"/>
      <c r="C325" s="637"/>
      <c r="D325" s="637"/>
      <c r="E325" s="637"/>
      <c r="F325" s="637"/>
      <c r="G325" s="637"/>
      <c r="H325" s="637"/>
      <c r="I325" s="637"/>
      <c r="J325" s="637"/>
      <c r="K325" s="637"/>
      <c r="L325" s="637"/>
      <c r="M325" s="637"/>
      <c r="N325" s="637"/>
      <c r="O325" s="637"/>
      <c r="P325" s="637"/>
      <c r="Q325" s="637"/>
      <c r="R325" s="637"/>
      <c r="S325" s="637"/>
      <c r="T325" s="637"/>
      <c r="U325" s="637"/>
      <c r="V325" s="637"/>
      <c r="W325" s="637"/>
      <c r="X325" s="637"/>
      <c r="Y325" s="637"/>
      <c r="Z325" s="637"/>
    </row>
    <row r="326" ht="11.25" customHeight="1">
      <c r="A326" s="637"/>
      <c r="B326" s="637"/>
      <c r="C326" s="637"/>
      <c r="D326" s="637"/>
      <c r="E326" s="637"/>
      <c r="F326" s="637"/>
      <c r="G326" s="637"/>
      <c r="H326" s="637"/>
      <c r="I326" s="637"/>
      <c r="J326" s="637"/>
      <c r="K326" s="637"/>
      <c r="L326" s="637"/>
      <c r="M326" s="637"/>
      <c r="N326" s="637"/>
      <c r="O326" s="637"/>
      <c r="P326" s="637"/>
      <c r="Q326" s="637"/>
      <c r="R326" s="637"/>
      <c r="S326" s="637"/>
      <c r="T326" s="637"/>
      <c r="U326" s="637"/>
      <c r="V326" s="637"/>
      <c r="W326" s="637"/>
      <c r="X326" s="637"/>
      <c r="Y326" s="637"/>
      <c r="Z326" s="637"/>
    </row>
    <row r="327" ht="11.25" customHeight="1">
      <c r="A327" s="637"/>
      <c r="B327" s="637"/>
      <c r="C327" s="637"/>
      <c r="D327" s="637"/>
      <c r="E327" s="637"/>
      <c r="F327" s="637"/>
      <c r="G327" s="637"/>
      <c r="H327" s="637"/>
      <c r="I327" s="637"/>
      <c r="J327" s="637"/>
      <c r="K327" s="637"/>
      <c r="L327" s="637"/>
      <c r="M327" s="637"/>
      <c r="N327" s="637"/>
      <c r="O327" s="637"/>
      <c r="P327" s="637"/>
      <c r="Q327" s="637"/>
      <c r="R327" s="637"/>
      <c r="S327" s="637"/>
      <c r="T327" s="637"/>
      <c r="U327" s="637"/>
      <c r="V327" s="637"/>
      <c r="W327" s="637"/>
      <c r="X327" s="637"/>
      <c r="Y327" s="637"/>
      <c r="Z327" s="637"/>
    </row>
    <row r="328" ht="11.25" customHeight="1">
      <c r="A328" s="637"/>
      <c r="B328" s="637"/>
      <c r="C328" s="637"/>
      <c r="D328" s="637"/>
      <c r="E328" s="637"/>
      <c r="F328" s="637"/>
      <c r="G328" s="637"/>
      <c r="H328" s="637"/>
      <c r="I328" s="637"/>
      <c r="J328" s="637"/>
      <c r="K328" s="637"/>
      <c r="L328" s="637"/>
      <c r="M328" s="637"/>
      <c r="N328" s="637"/>
      <c r="O328" s="637"/>
      <c r="P328" s="637"/>
      <c r="Q328" s="637"/>
      <c r="R328" s="637"/>
      <c r="S328" s="637"/>
      <c r="T328" s="637"/>
      <c r="U328" s="637"/>
      <c r="V328" s="637"/>
      <c r="W328" s="637"/>
      <c r="X328" s="637"/>
      <c r="Y328" s="637"/>
      <c r="Z328" s="637"/>
    </row>
    <row r="329" ht="11.25" customHeight="1">
      <c r="A329" s="637"/>
      <c r="B329" s="637"/>
      <c r="C329" s="637"/>
      <c r="D329" s="637"/>
      <c r="E329" s="637"/>
      <c r="F329" s="637"/>
      <c r="G329" s="637"/>
      <c r="H329" s="637"/>
      <c r="I329" s="637"/>
      <c r="J329" s="637"/>
      <c r="K329" s="637"/>
      <c r="L329" s="637"/>
      <c r="M329" s="637"/>
      <c r="N329" s="637"/>
      <c r="O329" s="637"/>
      <c r="P329" s="637"/>
      <c r="Q329" s="637"/>
      <c r="R329" s="637"/>
      <c r="S329" s="637"/>
      <c r="T329" s="637"/>
      <c r="U329" s="637"/>
      <c r="V329" s="637"/>
      <c r="W329" s="637"/>
      <c r="X329" s="637"/>
      <c r="Y329" s="637"/>
      <c r="Z329" s="637"/>
    </row>
    <row r="330" ht="11.25" customHeight="1">
      <c r="A330" s="637"/>
      <c r="B330" s="637"/>
      <c r="C330" s="637"/>
      <c r="D330" s="637"/>
      <c r="E330" s="637"/>
      <c r="F330" s="637"/>
      <c r="G330" s="637"/>
      <c r="H330" s="637"/>
      <c r="I330" s="637"/>
      <c r="J330" s="637"/>
      <c r="K330" s="637"/>
      <c r="L330" s="637"/>
      <c r="M330" s="637"/>
      <c r="N330" s="637"/>
      <c r="O330" s="637"/>
      <c r="P330" s="637"/>
      <c r="Q330" s="637"/>
      <c r="R330" s="637"/>
      <c r="S330" s="637"/>
      <c r="T330" s="637"/>
      <c r="U330" s="637"/>
      <c r="V330" s="637"/>
      <c r="W330" s="637"/>
      <c r="X330" s="637"/>
      <c r="Y330" s="637"/>
      <c r="Z330" s="637"/>
    </row>
    <row r="331" ht="11.25" customHeight="1">
      <c r="A331" s="637"/>
      <c r="B331" s="637"/>
      <c r="C331" s="637"/>
      <c r="D331" s="637"/>
      <c r="E331" s="637"/>
      <c r="F331" s="637"/>
      <c r="G331" s="637"/>
      <c r="H331" s="637"/>
      <c r="I331" s="637"/>
      <c r="J331" s="637"/>
      <c r="K331" s="637"/>
      <c r="L331" s="637"/>
      <c r="M331" s="637"/>
      <c r="N331" s="637"/>
      <c r="O331" s="637"/>
      <c r="P331" s="637"/>
      <c r="Q331" s="637"/>
      <c r="R331" s="637"/>
      <c r="S331" s="637"/>
      <c r="T331" s="637"/>
      <c r="U331" s="637"/>
      <c r="V331" s="637"/>
      <c r="W331" s="637"/>
      <c r="X331" s="637"/>
      <c r="Y331" s="637"/>
      <c r="Z331" s="637"/>
    </row>
    <row r="332" ht="11.25" customHeight="1">
      <c r="A332" s="637"/>
      <c r="B332" s="637"/>
      <c r="C332" s="637"/>
      <c r="D332" s="637"/>
      <c r="E332" s="637"/>
      <c r="F332" s="637"/>
      <c r="G332" s="637"/>
      <c r="H332" s="637"/>
      <c r="I332" s="637"/>
      <c r="J332" s="637"/>
      <c r="K332" s="637"/>
      <c r="L332" s="637"/>
      <c r="M332" s="637"/>
      <c r="N332" s="637"/>
      <c r="O332" s="637"/>
      <c r="P332" s="637"/>
      <c r="Q332" s="637"/>
      <c r="R332" s="637"/>
      <c r="S332" s="637"/>
      <c r="T332" s="637"/>
      <c r="U332" s="637"/>
      <c r="V332" s="637"/>
      <c r="W332" s="637"/>
      <c r="X332" s="637"/>
      <c r="Y332" s="637"/>
      <c r="Z332" s="637"/>
    </row>
    <row r="333" ht="11.25" customHeight="1">
      <c r="A333" s="637"/>
      <c r="B333" s="637"/>
      <c r="C333" s="637"/>
      <c r="D333" s="637"/>
      <c r="E333" s="637"/>
      <c r="F333" s="637"/>
      <c r="G333" s="637"/>
      <c r="H333" s="637"/>
      <c r="I333" s="637"/>
      <c r="J333" s="637"/>
      <c r="K333" s="637"/>
      <c r="L333" s="637"/>
      <c r="M333" s="637"/>
      <c r="N333" s="637"/>
      <c r="O333" s="637"/>
      <c r="P333" s="637"/>
      <c r="Q333" s="637"/>
      <c r="R333" s="637"/>
      <c r="S333" s="637"/>
      <c r="T333" s="637"/>
      <c r="U333" s="637"/>
      <c r="V333" s="637"/>
      <c r="W333" s="637"/>
      <c r="X333" s="637"/>
      <c r="Y333" s="637"/>
      <c r="Z333" s="637"/>
    </row>
    <row r="334" ht="11.25" customHeight="1">
      <c r="A334" s="637"/>
      <c r="B334" s="637"/>
      <c r="C334" s="637"/>
      <c r="D334" s="637"/>
      <c r="E334" s="637"/>
      <c r="F334" s="637"/>
      <c r="G334" s="637"/>
      <c r="H334" s="637"/>
      <c r="I334" s="637"/>
      <c r="J334" s="637"/>
      <c r="K334" s="637"/>
      <c r="L334" s="637"/>
      <c r="M334" s="637"/>
      <c r="N334" s="637"/>
      <c r="O334" s="637"/>
      <c r="P334" s="637"/>
      <c r="Q334" s="637"/>
      <c r="R334" s="637"/>
      <c r="S334" s="637"/>
      <c r="T334" s="637"/>
      <c r="U334" s="637"/>
      <c r="V334" s="637"/>
      <c r="W334" s="637"/>
      <c r="X334" s="637"/>
      <c r="Y334" s="637"/>
      <c r="Z334" s="637"/>
    </row>
    <row r="335" ht="11.25" customHeight="1">
      <c r="A335" s="637"/>
      <c r="B335" s="637"/>
      <c r="C335" s="637"/>
      <c r="D335" s="637"/>
      <c r="E335" s="637"/>
      <c r="F335" s="637"/>
      <c r="G335" s="637"/>
      <c r="H335" s="637"/>
      <c r="I335" s="637"/>
      <c r="J335" s="637"/>
      <c r="K335" s="637"/>
      <c r="L335" s="637"/>
      <c r="M335" s="637"/>
      <c r="N335" s="637"/>
      <c r="O335" s="637"/>
      <c r="P335" s="637"/>
      <c r="Q335" s="637"/>
      <c r="R335" s="637"/>
      <c r="S335" s="637"/>
      <c r="T335" s="637"/>
      <c r="U335" s="637"/>
      <c r="V335" s="637"/>
      <c r="W335" s="637"/>
      <c r="X335" s="637"/>
      <c r="Y335" s="637"/>
      <c r="Z335" s="637"/>
    </row>
    <row r="336" ht="11.25" customHeight="1">
      <c r="A336" s="637"/>
      <c r="B336" s="637"/>
      <c r="C336" s="637"/>
      <c r="D336" s="637"/>
      <c r="E336" s="637"/>
      <c r="F336" s="637"/>
      <c r="G336" s="637"/>
      <c r="H336" s="637"/>
      <c r="I336" s="637"/>
      <c r="J336" s="637"/>
      <c r="K336" s="637"/>
      <c r="L336" s="637"/>
      <c r="M336" s="637"/>
      <c r="N336" s="637"/>
      <c r="O336" s="637"/>
      <c r="P336" s="637"/>
      <c r="Q336" s="637"/>
      <c r="R336" s="637"/>
      <c r="S336" s="637"/>
      <c r="T336" s="637"/>
      <c r="U336" s="637"/>
      <c r="V336" s="637"/>
      <c r="W336" s="637"/>
      <c r="X336" s="637"/>
      <c r="Y336" s="637"/>
      <c r="Z336" s="637"/>
    </row>
    <row r="337" ht="11.25" customHeight="1">
      <c r="A337" s="637"/>
      <c r="B337" s="637"/>
      <c r="C337" s="637"/>
      <c r="D337" s="637"/>
      <c r="E337" s="637"/>
      <c r="F337" s="637"/>
      <c r="G337" s="637"/>
      <c r="H337" s="637"/>
      <c r="I337" s="637"/>
      <c r="J337" s="637"/>
      <c r="K337" s="637"/>
      <c r="L337" s="637"/>
      <c r="M337" s="637"/>
      <c r="N337" s="637"/>
      <c r="O337" s="637"/>
      <c r="P337" s="637"/>
      <c r="Q337" s="637"/>
      <c r="R337" s="637"/>
      <c r="S337" s="637"/>
      <c r="T337" s="637"/>
      <c r="U337" s="637"/>
      <c r="V337" s="637"/>
      <c r="W337" s="637"/>
      <c r="X337" s="637"/>
      <c r="Y337" s="637"/>
      <c r="Z337" s="637"/>
    </row>
    <row r="338" ht="11.25" customHeight="1">
      <c r="A338" s="637"/>
      <c r="B338" s="637"/>
      <c r="C338" s="637"/>
      <c r="D338" s="637"/>
      <c r="E338" s="637"/>
      <c r="F338" s="637"/>
      <c r="G338" s="637"/>
      <c r="H338" s="637"/>
      <c r="I338" s="637"/>
      <c r="J338" s="637"/>
      <c r="K338" s="637"/>
      <c r="L338" s="637"/>
      <c r="M338" s="637"/>
      <c r="N338" s="637"/>
      <c r="O338" s="637"/>
      <c r="P338" s="637"/>
      <c r="Q338" s="637"/>
      <c r="R338" s="637"/>
      <c r="S338" s="637"/>
      <c r="T338" s="637"/>
      <c r="U338" s="637"/>
      <c r="V338" s="637"/>
      <c r="W338" s="637"/>
      <c r="X338" s="637"/>
      <c r="Y338" s="637"/>
      <c r="Z338" s="637"/>
    </row>
    <row r="339" ht="11.25" customHeight="1">
      <c r="A339" s="637"/>
      <c r="B339" s="637"/>
      <c r="C339" s="637"/>
      <c r="D339" s="637"/>
      <c r="E339" s="637"/>
      <c r="F339" s="637"/>
      <c r="G339" s="637"/>
      <c r="H339" s="637"/>
      <c r="I339" s="637"/>
      <c r="J339" s="637"/>
      <c r="K339" s="637"/>
      <c r="L339" s="637"/>
      <c r="M339" s="637"/>
      <c r="N339" s="637"/>
      <c r="O339" s="637"/>
      <c r="P339" s="637"/>
      <c r="Q339" s="637"/>
      <c r="R339" s="637"/>
      <c r="S339" s="637"/>
      <c r="T339" s="637"/>
      <c r="U339" s="637"/>
      <c r="V339" s="637"/>
      <c r="W339" s="637"/>
      <c r="X339" s="637"/>
      <c r="Y339" s="637"/>
      <c r="Z339" s="637"/>
    </row>
    <row r="340" ht="11.25" customHeight="1">
      <c r="A340" s="637"/>
      <c r="B340" s="637"/>
      <c r="C340" s="637"/>
      <c r="D340" s="637"/>
      <c r="E340" s="637"/>
      <c r="F340" s="637"/>
      <c r="G340" s="637"/>
      <c r="H340" s="637"/>
      <c r="I340" s="637"/>
      <c r="J340" s="637"/>
      <c r="K340" s="637"/>
      <c r="L340" s="637"/>
      <c r="M340" s="637"/>
      <c r="N340" s="637"/>
      <c r="O340" s="637"/>
      <c r="P340" s="637"/>
      <c r="Q340" s="637"/>
      <c r="R340" s="637"/>
      <c r="S340" s="637"/>
      <c r="T340" s="637"/>
      <c r="U340" s="637"/>
      <c r="V340" s="637"/>
      <c r="W340" s="637"/>
      <c r="X340" s="637"/>
      <c r="Y340" s="637"/>
      <c r="Z340" s="637"/>
    </row>
    <row r="341" ht="11.25" customHeight="1">
      <c r="A341" s="637"/>
      <c r="B341" s="637"/>
      <c r="C341" s="637"/>
      <c r="D341" s="637"/>
      <c r="E341" s="637"/>
      <c r="F341" s="637"/>
      <c r="G341" s="637"/>
      <c r="H341" s="637"/>
      <c r="I341" s="637"/>
      <c r="J341" s="637"/>
      <c r="K341" s="637"/>
      <c r="L341" s="637"/>
      <c r="M341" s="637"/>
      <c r="N341" s="637"/>
      <c r="O341" s="637"/>
      <c r="P341" s="637"/>
      <c r="Q341" s="637"/>
      <c r="R341" s="637"/>
      <c r="S341" s="637"/>
      <c r="T341" s="637"/>
      <c r="U341" s="637"/>
      <c r="V341" s="637"/>
      <c r="W341" s="637"/>
      <c r="X341" s="637"/>
      <c r="Y341" s="637"/>
      <c r="Z341" s="637"/>
    </row>
    <row r="342" ht="11.25" customHeight="1">
      <c r="A342" s="637"/>
      <c r="B342" s="637"/>
      <c r="C342" s="637"/>
      <c r="D342" s="637"/>
      <c r="E342" s="637"/>
      <c r="F342" s="637"/>
      <c r="G342" s="637"/>
      <c r="H342" s="637"/>
      <c r="I342" s="637"/>
      <c r="J342" s="637"/>
      <c r="K342" s="637"/>
      <c r="L342" s="637"/>
      <c r="M342" s="637"/>
      <c r="N342" s="637"/>
      <c r="O342" s="637"/>
      <c r="P342" s="637"/>
      <c r="Q342" s="637"/>
      <c r="R342" s="637"/>
      <c r="S342" s="637"/>
      <c r="T342" s="637"/>
      <c r="U342" s="637"/>
      <c r="V342" s="637"/>
      <c r="W342" s="637"/>
      <c r="X342" s="637"/>
      <c r="Y342" s="637"/>
      <c r="Z342" s="637"/>
    </row>
    <row r="343" ht="11.25" customHeight="1">
      <c r="A343" s="637"/>
      <c r="B343" s="637"/>
      <c r="C343" s="637"/>
      <c r="D343" s="637"/>
      <c r="E343" s="637"/>
      <c r="F343" s="637"/>
      <c r="G343" s="637"/>
      <c r="H343" s="637"/>
      <c r="I343" s="637"/>
      <c r="J343" s="637"/>
      <c r="K343" s="637"/>
      <c r="L343" s="637"/>
      <c r="M343" s="637"/>
      <c r="N343" s="637"/>
      <c r="O343" s="637"/>
      <c r="P343" s="637"/>
      <c r="Q343" s="637"/>
      <c r="R343" s="637"/>
      <c r="S343" s="637"/>
      <c r="T343" s="637"/>
      <c r="U343" s="637"/>
      <c r="V343" s="637"/>
      <c r="W343" s="637"/>
      <c r="X343" s="637"/>
      <c r="Y343" s="637"/>
      <c r="Z343" s="637"/>
    </row>
    <row r="344" ht="11.25" customHeight="1">
      <c r="A344" s="637"/>
      <c r="B344" s="637"/>
      <c r="C344" s="637"/>
      <c r="D344" s="637"/>
      <c r="E344" s="637"/>
      <c r="F344" s="637"/>
      <c r="G344" s="637"/>
      <c r="H344" s="637"/>
      <c r="I344" s="637"/>
      <c r="J344" s="637"/>
      <c r="K344" s="637"/>
      <c r="L344" s="637"/>
      <c r="M344" s="637"/>
      <c r="N344" s="637"/>
      <c r="O344" s="637"/>
      <c r="P344" s="637"/>
      <c r="Q344" s="637"/>
      <c r="R344" s="637"/>
      <c r="S344" s="637"/>
      <c r="T344" s="637"/>
      <c r="U344" s="637"/>
      <c r="V344" s="637"/>
      <c r="W344" s="637"/>
      <c r="X344" s="637"/>
      <c r="Y344" s="637"/>
      <c r="Z344" s="637"/>
    </row>
    <row r="345" ht="11.25" customHeight="1">
      <c r="A345" s="637"/>
      <c r="B345" s="637"/>
      <c r="C345" s="637"/>
      <c r="D345" s="637"/>
      <c r="E345" s="637"/>
      <c r="F345" s="637"/>
      <c r="G345" s="637"/>
      <c r="H345" s="637"/>
      <c r="I345" s="637"/>
      <c r="J345" s="637"/>
      <c r="K345" s="637"/>
      <c r="L345" s="637"/>
      <c r="M345" s="637"/>
      <c r="N345" s="637"/>
      <c r="O345" s="637"/>
      <c r="P345" s="637"/>
      <c r="Q345" s="637"/>
      <c r="R345" s="637"/>
      <c r="S345" s="637"/>
      <c r="T345" s="637"/>
      <c r="U345" s="637"/>
      <c r="V345" s="637"/>
      <c r="W345" s="637"/>
      <c r="X345" s="637"/>
      <c r="Y345" s="637"/>
      <c r="Z345" s="637"/>
    </row>
    <row r="346" ht="11.25" customHeight="1">
      <c r="A346" s="637"/>
      <c r="B346" s="637"/>
      <c r="C346" s="637"/>
      <c r="D346" s="637"/>
      <c r="E346" s="637"/>
      <c r="F346" s="637"/>
      <c r="G346" s="637"/>
      <c r="H346" s="637"/>
      <c r="I346" s="637"/>
      <c r="J346" s="637"/>
      <c r="K346" s="637"/>
      <c r="L346" s="637"/>
      <c r="M346" s="637"/>
      <c r="N346" s="637"/>
      <c r="O346" s="637"/>
      <c r="P346" s="637"/>
      <c r="Q346" s="637"/>
      <c r="R346" s="637"/>
      <c r="S346" s="637"/>
      <c r="T346" s="637"/>
      <c r="U346" s="637"/>
      <c r="V346" s="637"/>
      <c r="W346" s="637"/>
      <c r="X346" s="637"/>
      <c r="Y346" s="637"/>
      <c r="Z346" s="637"/>
    </row>
    <row r="347" ht="11.25" customHeight="1">
      <c r="A347" s="637"/>
      <c r="B347" s="637"/>
      <c r="C347" s="637"/>
      <c r="D347" s="637"/>
      <c r="E347" s="637"/>
      <c r="F347" s="637"/>
      <c r="G347" s="637"/>
      <c r="H347" s="637"/>
      <c r="I347" s="637"/>
      <c r="J347" s="637"/>
      <c r="K347" s="637"/>
      <c r="L347" s="637"/>
      <c r="M347" s="637"/>
      <c r="N347" s="637"/>
      <c r="O347" s="637"/>
      <c r="P347" s="637"/>
      <c r="Q347" s="637"/>
      <c r="R347" s="637"/>
      <c r="S347" s="637"/>
      <c r="T347" s="637"/>
      <c r="U347" s="637"/>
      <c r="V347" s="637"/>
      <c r="W347" s="637"/>
      <c r="X347" s="637"/>
      <c r="Y347" s="637"/>
      <c r="Z347" s="637"/>
    </row>
    <row r="348" ht="11.25" customHeight="1">
      <c r="A348" s="637"/>
      <c r="B348" s="637"/>
      <c r="C348" s="637"/>
      <c r="D348" s="637"/>
      <c r="E348" s="637"/>
      <c r="F348" s="637"/>
      <c r="G348" s="637"/>
      <c r="H348" s="637"/>
      <c r="I348" s="637"/>
      <c r="J348" s="637"/>
      <c r="K348" s="637"/>
      <c r="L348" s="637"/>
      <c r="M348" s="637"/>
      <c r="N348" s="637"/>
      <c r="O348" s="637"/>
      <c r="P348" s="637"/>
      <c r="Q348" s="637"/>
      <c r="R348" s="637"/>
      <c r="S348" s="637"/>
      <c r="T348" s="637"/>
      <c r="U348" s="637"/>
      <c r="V348" s="637"/>
      <c r="W348" s="637"/>
      <c r="X348" s="637"/>
      <c r="Y348" s="637"/>
      <c r="Z348" s="637"/>
    </row>
    <row r="349" ht="11.25" customHeight="1">
      <c r="A349" s="637"/>
      <c r="B349" s="637"/>
      <c r="C349" s="637"/>
      <c r="D349" s="637"/>
      <c r="E349" s="637"/>
      <c r="F349" s="637"/>
      <c r="G349" s="637"/>
      <c r="H349" s="637"/>
      <c r="I349" s="637"/>
      <c r="J349" s="637"/>
      <c r="K349" s="637"/>
      <c r="L349" s="637"/>
      <c r="M349" s="637"/>
      <c r="N349" s="637"/>
      <c r="O349" s="637"/>
      <c r="P349" s="637"/>
      <c r="Q349" s="637"/>
      <c r="R349" s="637"/>
      <c r="S349" s="637"/>
      <c r="T349" s="637"/>
      <c r="U349" s="637"/>
      <c r="V349" s="637"/>
      <c r="W349" s="637"/>
      <c r="X349" s="637"/>
      <c r="Y349" s="637"/>
      <c r="Z349" s="637"/>
    </row>
    <row r="350" ht="11.25" customHeight="1">
      <c r="A350" s="637"/>
      <c r="B350" s="637"/>
      <c r="C350" s="637"/>
      <c r="D350" s="637"/>
      <c r="E350" s="637"/>
      <c r="F350" s="637"/>
      <c r="G350" s="637"/>
      <c r="H350" s="637"/>
      <c r="I350" s="637"/>
      <c r="J350" s="637"/>
      <c r="K350" s="637"/>
      <c r="L350" s="637"/>
      <c r="M350" s="637"/>
      <c r="N350" s="637"/>
      <c r="O350" s="637"/>
      <c r="P350" s="637"/>
      <c r="Q350" s="637"/>
      <c r="R350" s="637"/>
      <c r="S350" s="637"/>
      <c r="T350" s="637"/>
      <c r="U350" s="637"/>
      <c r="V350" s="637"/>
      <c r="W350" s="637"/>
      <c r="X350" s="637"/>
      <c r="Y350" s="637"/>
      <c r="Z350" s="637"/>
    </row>
    <row r="351" ht="11.25" customHeight="1">
      <c r="A351" s="637"/>
      <c r="B351" s="637"/>
      <c r="C351" s="637"/>
      <c r="D351" s="637"/>
      <c r="E351" s="637"/>
      <c r="F351" s="637"/>
      <c r="G351" s="637"/>
      <c r="H351" s="637"/>
      <c r="I351" s="637"/>
      <c r="J351" s="637"/>
      <c r="K351" s="637"/>
      <c r="L351" s="637"/>
      <c r="M351" s="637"/>
      <c r="N351" s="637"/>
      <c r="O351" s="637"/>
      <c r="P351" s="637"/>
      <c r="Q351" s="637"/>
      <c r="R351" s="637"/>
      <c r="S351" s="637"/>
      <c r="T351" s="637"/>
      <c r="U351" s="637"/>
      <c r="V351" s="637"/>
      <c r="W351" s="637"/>
      <c r="X351" s="637"/>
      <c r="Y351" s="637"/>
      <c r="Z351" s="637"/>
    </row>
    <row r="352" ht="11.25" customHeight="1">
      <c r="A352" s="637"/>
      <c r="B352" s="637"/>
      <c r="C352" s="637"/>
      <c r="D352" s="637"/>
      <c r="E352" s="637"/>
      <c r="F352" s="637"/>
      <c r="G352" s="637"/>
      <c r="H352" s="637"/>
      <c r="I352" s="637"/>
      <c r="J352" s="637"/>
      <c r="K352" s="637"/>
      <c r="L352" s="637"/>
      <c r="M352" s="637"/>
      <c r="N352" s="637"/>
      <c r="O352" s="637"/>
      <c r="P352" s="637"/>
      <c r="Q352" s="637"/>
      <c r="R352" s="637"/>
      <c r="S352" s="637"/>
      <c r="T352" s="637"/>
      <c r="U352" s="637"/>
      <c r="V352" s="637"/>
      <c r="W352" s="637"/>
      <c r="X352" s="637"/>
      <c r="Y352" s="637"/>
      <c r="Z352" s="637"/>
    </row>
    <row r="353" ht="11.25" customHeight="1">
      <c r="A353" s="637"/>
      <c r="B353" s="637"/>
      <c r="C353" s="637"/>
      <c r="D353" s="637"/>
      <c r="E353" s="637"/>
      <c r="F353" s="637"/>
      <c r="G353" s="637"/>
      <c r="H353" s="637"/>
      <c r="I353" s="637"/>
      <c r="J353" s="637"/>
      <c r="K353" s="637"/>
      <c r="L353" s="637"/>
      <c r="M353" s="637"/>
      <c r="N353" s="637"/>
      <c r="O353" s="637"/>
      <c r="P353" s="637"/>
      <c r="Q353" s="637"/>
      <c r="R353" s="637"/>
      <c r="S353" s="637"/>
      <c r="T353" s="637"/>
      <c r="U353" s="637"/>
      <c r="V353" s="637"/>
      <c r="W353" s="637"/>
      <c r="X353" s="637"/>
      <c r="Y353" s="637"/>
      <c r="Z353" s="637"/>
    </row>
    <row r="354" ht="11.25" customHeight="1">
      <c r="A354" s="637"/>
      <c r="B354" s="637"/>
      <c r="C354" s="637"/>
      <c r="D354" s="637"/>
      <c r="E354" s="637"/>
      <c r="F354" s="637"/>
      <c r="G354" s="637"/>
      <c r="H354" s="637"/>
      <c r="I354" s="637"/>
      <c r="J354" s="637"/>
      <c r="K354" s="637"/>
      <c r="L354" s="637"/>
      <c r="M354" s="637"/>
      <c r="N354" s="637"/>
      <c r="O354" s="637"/>
      <c r="P354" s="637"/>
      <c r="Q354" s="637"/>
      <c r="R354" s="637"/>
      <c r="S354" s="637"/>
      <c r="T354" s="637"/>
      <c r="U354" s="637"/>
      <c r="V354" s="637"/>
      <c r="W354" s="637"/>
      <c r="X354" s="637"/>
      <c r="Y354" s="637"/>
      <c r="Z354" s="637"/>
    </row>
    <row r="355" ht="11.25" customHeight="1">
      <c r="A355" s="637"/>
      <c r="B355" s="637"/>
      <c r="C355" s="637"/>
      <c r="D355" s="637"/>
      <c r="E355" s="637"/>
      <c r="F355" s="637"/>
      <c r="G355" s="637"/>
      <c r="H355" s="637"/>
      <c r="I355" s="637"/>
      <c r="J355" s="637"/>
      <c r="K355" s="637"/>
      <c r="L355" s="637"/>
      <c r="M355" s="637"/>
      <c r="N355" s="637"/>
      <c r="O355" s="637"/>
      <c r="P355" s="637"/>
      <c r="Q355" s="637"/>
      <c r="R355" s="637"/>
      <c r="S355" s="637"/>
      <c r="T355" s="637"/>
      <c r="U355" s="637"/>
      <c r="V355" s="637"/>
      <c r="W355" s="637"/>
      <c r="X355" s="637"/>
      <c r="Y355" s="637"/>
      <c r="Z355" s="637"/>
    </row>
    <row r="356" ht="11.25" customHeight="1">
      <c r="A356" s="637"/>
      <c r="B356" s="637"/>
      <c r="C356" s="637"/>
      <c r="D356" s="637"/>
      <c r="E356" s="637"/>
      <c r="F356" s="637"/>
      <c r="G356" s="637"/>
      <c r="H356" s="637"/>
      <c r="I356" s="637"/>
      <c r="J356" s="637"/>
      <c r="K356" s="637"/>
      <c r="L356" s="637"/>
      <c r="M356" s="637"/>
      <c r="N356" s="637"/>
      <c r="O356" s="637"/>
      <c r="P356" s="637"/>
      <c r="Q356" s="637"/>
      <c r="R356" s="637"/>
      <c r="S356" s="637"/>
      <c r="T356" s="637"/>
      <c r="U356" s="637"/>
      <c r="V356" s="637"/>
      <c r="W356" s="637"/>
      <c r="X356" s="637"/>
      <c r="Y356" s="637"/>
      <c r="Z356" s="637"/>
    </row>
    <row r="357" ht="11.25" customHeight="1">
      <c r="A357" s="637"/>
      <c r="B357" s="637"/>
      <c r="C357" s="637"/>
      <c r="D357" s="637"/>
      <c r="E357" s="637"/>
      <c r="F357" s="637"/>
      <c r="G357" s="637"/>
      <c r="H357" s="637"/>
      <c r="I357" s="637"/>
      <c r="J357" s="637"/>
      <c r="K357" s="637"/>
      <c r="L357" s="637"/>
      <c r="M357" s="637"/>
      <c r="N357" s="637"/>
      <c r="O357" s="637"/>
      <c r="P357" s="637"/>
      <c r="Q357" s="637"/>
      <c r="R357" s="637"/>
      <c r="S357" s="637"/>
      <c r="T357" s="637"/>
      <c r="U357" s="637"/>
      <c r="V357" s="637"/>
      <c r="W357" s="637"/>
      <c r="X357" s="637"/>
      <c r="Y357" s="637"/>
      <c r="Z357" s="637"/>
    </row>
    <row r="358" ht="11.25" customHeight="1">
      <c r="A358" s="637"/>
      <c r="B358" s="637"/>
      <c r="C358" s="637"/>
      <c r="D358" s="637"/>
      <c r="E358" s="637"/>
      <c r="F358" s="637"/>
      <c r="G358" s="637"/>
      <c r="H358" s="637"/>
      <c r="I358" s="637"/>
      <c r="J358" s="637"/>
      <c r="K358" s="637"/>
      <c r="L358" s="637"/>
      <c r="M358" s="637"/>
      <c r="N358" s="637"/>
      <c r="O358" s="637"/>
      <c r="P358" s="637"/>
      <c r="Q358" s="637"/>
      <c r="R358" s="637"/>
      <c r="S358" s="637"/>
      <c r="T358" s="637"/>
      <c r="U358" s="637"/>
      <c r="V358" s="637"/>
      <c r="W358" s="637"/>
      <c r="X358" s="637"/>
      <c r="Y358" s="637"/>
      <c r="Z358" s="637"/>
    </row>
    <row r="359" ht="11.25" customHeight="1">
      <c r="A359" s="637"/>
      <c r="B359" s="637"/>
      <c r="C359" s="637"/>
      <c r="D359" s="637"/>
      <c r="E359" s="637"/>
      <c r="F359" s="637"/>
      <c r="G359" s="637"/>
      <c r="H359" s="637"/>
      <c r="I359" s="637"/>
      <c r="J359" s="637"/>
      <c r="K359" s="637"/>
      <c r="L359" s="637"/>
      <c r="M359" s="637"/>
      <c r="N359" s="637"/>
      <c r="O359" s="637"/>
      <c r="P359" s="637"/>
      <c r="Q359" s="637"/>
      <c r="R359" s="637"/>
      <c r="S359" s="637"/>
      <c r="T359" s="637"/>
      <c r="U359" s="637"/>
      <c r="V359" s="637"/>
      <c r="W359" s="637"/>
      <c r="X359" s="637"/>
      <c r="Y359" s="637"/>
      <c r="Z359" s="637"/>
    </row>
    <row r="360" ht="11.25" customHeight="1">
      <c r="A360" s="637"/>
      <c r="B360" s="637"/>
      <c r="C360" s="637"/>
      <c r="D360" s="637"/>
      <c r="E360" s="637"/>
      <c r="F360" s="637"/>
      <c r="G360" s="637"/>
      <c r="H360" s="637"/>
      <c r="I360" s="637"/>
      <c r="J360" s="637"/>
      <c r="K360" s="637"/>
      <c r="L360" s="637"/>
      <c r="M360" s="637"/>
      <c r="N360" s="637"/>
      <c r="O360" s="637"/>
      <c r="P360" s="637"/>
      <c r="Q360" s="637"/>
      <c r="R360" s="637"/>
      <c r="S360" s="637"/>
      <c r="T360" s="637"/>
      <c r="U360" s="637"/>
      <c r="V360" s="637"/>
      <c r="W360" s="637"/>
      <c r="X360" s="637"/>
      <c r="Y360" s="637"/>
      <c r="Z360" s="637"/>
    </row>
    <row r="361" ht="11.25" customHeight="1">
      <c r="A361" s="637"/>
      <c r="B361" s="637"/>
      <c r="C361" s="637"/>
      <c r="D361" s="637"/>
      <c r="E361" s="637"/>
      <c r="F361" s="637"/>
      <c r="G361" s="637"/>
      <c r="H361" s="637"/>
      <c r="I361" s="637"/>
      <c r="J361" s="637"/>
      <c r="K361" s="637"/>
      <c r="L361" s="637"/>
      <c r="M361" s="637"/>
      <c r="N361" s="637"/>
      <c r="O361" s="637"/>
      <c r="P361" s="637"/>
      <c r="Q361" s="637"/>
      <c r="R361" s="637"/>
      <c r="S361" s="637"/>
      <c r="T361" s="637"/>
      <c r="U361" s="637"/>
      <c r="V361" s="637"/>
      <c r="W361" s="637"/>
      <c r="X361" s="637"/>
      <c r="Y361" s="637"/>
      <c r="Z361" s="637"/>
    </row>
    <row r="362" ht="11.25" customHeight="1">
      <c r="A362" s="637"/>
      <c r="B362" s="637"/>
      <c r="C362" s="637"/>
      <c r="D362" s="637"/>
      <c r="E362" s="637"/>
      <c r="F362" s="637"/>
      <c r="G362" s="637"/>
      <c r="H362" s="637"/>
      <c r="I362" s="637"/>
      <c r="J362" s="637"/>
      <c r="K362" s="637"/>
      <c r="L362" s="637"/>
      <c r="M362" s="637"/>
      <c r="N362" s="637"/>
      <c r="O362" s="637"/>
      <c r="P362" s="637"/>
      <c r="Q362" s="637"/>
      <c r="R362" s="637"/>
      <c r="S362" s="637"/>
      <c r="T362" s="637"/>
      <c r="U362" s="637"/>
      <c r="V362" s="637"/>
      <c r="W362" s="637"/>
      <c r="X362" s="637"/>
      <c r="Y362" s="637"/>
      <c r="Z362" s="637"/>
    </row>
    <row r="363" ht="11.25" customHeight="1">
      <c r="A363" s="637"/>
      <c r="B363" s="637"/>
      <c r="C363" s="637"/>
      <c r="D363" s="637"/>
      <c r="E363" s="637"/>
      <c r="F363" s="637"/>
      <c r="G363" s="637"/>
      <c r="H363" s="637"/>
      <c r="I363" s="637"/>
      <c r="J363" s="637"/>
      <c r="K363" s="637"/>
      <c r="L363" s="637"/>
      <c r="M363" s="637"/>
      <c r="N363" s="637"/>
      <c r="O363" s="637"/>
      <c r="P363" s="637"/>
      <c r="Q363" s="637"/>
      <c r="R363" s="637"/>
      <c r="S363" s="637"/>
      <c r="T363" s="637"/>
      <c r="U363" s="637"/>
      <c r="V363" s="637"/>
      <c r="W363" s="637"/>
      <c r="X363" s="637"/>
      <c r="Y363" s="637"/>
      <c r="Z363" s="637"/>
    </row>
    <row r="364" ht="11.25" customHeight="1">
      <c r="A364" s="637"/>
      <c r="B364" s="637"/>
      <c r="C364" s="637"/>
      <c r="D364" s="637"/>
      <c r="E364" s="637"/>
      <c r="F364" s="637"/>
      <c r="G364" s="637"/>
      <c r="H364" s="637"/>
      <c r="I364" s="637"/>
      <c r="J364" s="637"/>
      <c r="K364" s="637"/>
      <c r="L364" s="637"/>
      <c r="M364" s="637"/>
      <c r="N364" s="637"/>
      <c r="O364" s="637"/>
      <c r="P364" s="637"/>
      <c r="Q364" s="637"/>
      <c r="R364" s="637"/>
      <c r="S364" s="637"/>
      <c r="T364" s="637"/>
      <c r="U364" s="637"/>
      <c r="V364" s="637"/>
      <c r="W364" s="637"/>
      <c r="X364" s="637"/>
      <c r="Y364" s="637"/>
      <c r="Z364" s="637"/>
    </row>
    <row r="365" ht="11.25" customHeight="1">
      <c r="A365" s="637"/>
      <c r="B365" s="637"/>
      <c r="C365" s="637"/>
      <c r="D365" s="637"/>
      <c r="E365" s="637"/>
      <c r="F365" s="637"/>
      <c r="G365" s="637"/>
      <c r="H365" s="637"/>
      <c r="I365" s="637"/>
      <c r="J365" s="637"/>
      <c r="K365" s="637"/>
      <c r="L365" s="637"/>
      <c r="M365" s="637"/>
      <c r="N365" s="637"/>
      <c r="O365" s="637"/>
      <c r="P365" s="637"/>
      <c r="Q365" s="637"/>
      <c r="R365" s="637"/>
      <c r="S365" s="637"/>
      <c r="T365" s="637"/>
      <c r="U365" s="637"/>
      <c r="V365" s="637"/>
      <c r="W365" s="637"/>
      <c r="X365" s="637"/>
      <c r="Y365" s="637"/>
      <c r="Z365" s="637"/>
    </row>
    <row r="366" ht="11.25" customHeight="1">
      <c r="A366" s="637"/>
      <c r="B366" s="637"/>
      <c r="C366" s="637"/>
      <c r="D366" s="637"/>
      <c r="E366" s="637"/>
      <c r="F366" s="637"/>
      <c r="G366" s="637"/>
      <c r="H366" s="637"/>
      <c r="I366" s="637"/>
      <c r="J366" s="637"/>
      <c r="K366" s="637"/>
      <c r="L366" s="637"/>
      <c r="M366" s="637"/>
      <c r="N366" s="637"/>
      <c r="O366" s="637"/>
      <c r="P366" s="637"/>
      <c r="Q366" s="637"/>
      <c r="R366" s="637"/>
      <c r="S366" s="637"/>
      <c r="T366" s="637"/>
      <c r="U366" s="637"/>
      <c r="V366" s="637"/>
      <c r="W366" s="637"/>
      <c r="X366" s="637"/>
      <c r="Y366" s="637"/>
      <c r="Z366" s="637"/>
    </row>
    <row r="367" ht="11.25" customHeight="1">
      <c r="A367" s="637"/>
      <c r="B367" s="637"/>
      <c r="C367" s="637"/>
      <c r="D367" s="637"/>
      <c r="E367" s="637"/>
      <c r="F367" s="637"/>
      <c r="G367" s="637"/>
      <c r="H367" s="637"/>
      <c r="I367" s="637"/>
      <c r="J367" s="637"/>
      <c r="K367" s="637"/>
      <c r="L367" s="637"/>
      <c r="M367" s="637"/>
      <c r="N367" s="637"/>
      <c r="O367" s="637"/>
      <c r="P367" s="637"/>
      <c r="Q367" s="637"/>
      <c r="R367" s="637"/>
      <c r="S367" s="637"/>
      <c r="T367" s="637"/>
      <c r="U367" s="637"/>
      <c r="V367" s="637"/>
      <c r="W367" s="637"/>
      <c r="X367" s="637"/>
      <c r="Y367" s="637"/>
      <c r="Z367" s="637"/>
    </row>
    <row r="368" ht="11.25" customHeight="1">
      <c r="A368" s="637"/>
      <c r="B368" s="637"/>
      <c r="C368" s="637"/>
      <c r="D368" s="637"/>
      <c r="E368" s="637"/>
      <c r="F368" s="637"/>
      <c r="G368" s="637"/>
      <c r="H368" s="637"/>
      <c r="I368" s="637"/>
      <c r="J368" s="637"/>
      <c r="K368" s="637"/>
      <c r="L368" s="637"/>
      <c r="M368" s="637"/>
      <c r="N368" s="637"/>
      <c r="O368" s="637"/>
      <c r="P368" s="637"/>
      <c r="Q368" s="637"/>
      <c r="R368" s="637"/>
      <c r="S368" s="637"/>
      <c r="T368" s="637"/>
      <c r="U368" s="637"/>
      <c r="V368" s="637"/>
      <c r="W368" s="637"/>
      <c r="X368" s="637"/>
      <c r="Y368" s="637"/>
      <c r="Z368" s="637"/>
    </row>
    <row r="369" ht="11.25" customHeight="1">
      <c r="A369" s="637"/>
      <c r="B369" s="637"/>
      <c r="C369" s="637"/>
      <c r="D369" s="637"/>
      <c r="E369" s="637"/>
      <c r="F369" s="637"/>
      <c r="G369" s="637"/>
      <c r="H369" s="637"/>
      <c r="I369" s="637"/>
      <c r="J369" s="637"/>
      <c r="K369" s="637"/>
      <c r="L369" s="637"/>
      <c r="M369" s="637"/>
      <c r="N369" s="637"/>
      <c r="O369" s="637"/>
      <c r="P369" s="637"/>
      <c r="Q369" s="637"/>
      <c r="R369" s="637"/>
      <c r="S369" s="637"/>
      <c r="T369" s="637"/>
      <c r="U369" s="637"/>
      <c r="V369" s="637"/>
      <c r="W369" s="637"/>
      <c r="X369" s="637"/>
      <c r="Y369" s="637"/>
      <c r="Z369" s="637"/>
    </row>
    <row r="370" ht="11.25" customHeight="1">
      <c r="A370" s="637"/>
      <c r="B370" s="637"/>
      <c r="C370" s="637"/>
      <c r="D370" s="637"/>
      <c r="E370" s="637"/>
      <c r="F370" s="637"/>
      <c r="G370" s="637"/>
      <c r="H370" s="637"/>
      <c r="I370" s="637"/>
      <c r="J370" s="637"/>
      <c r="K370" s="637"/>
      <c r="L370" s="637"/>
      <c r="M370" s="637"/>
      <c r="N370" s="637"/>
      <c r="O370" s="637"/>
      <c r="P370" s="637"/>
      <c r="Q370" s="637"/>
      <c r="R370" s="637"/>
      <c r="S370" s="637"/>
      <c r="T370" s="637"/>
      <c r="U370" s="637"/>
      <c r="V370" s="637"/>
      <c r="W370" s="637"/>
      <c r="X370" s="637"/>
      <c r="Y370" s="637"/>
      <c r="Z370" s="637"/>
    </row>
    <row r="371" ht="11.25" customHeight="1">
      <c r="A371" s="637"/>
      <c r="B371" s="637"/>
      <c r="C371" s="637"/>
      <c r="D371" s="637"/>
      <c r="E371" s="637"/>
      <c r="F371" s="637"/>
      <c r="G371" s="637"/>
      <c r="H371" s="637"/>
      <c r="I371" s="637"/>
      <c r="J371" s="637"/>
      <c r="K371" s="637"/>
      <c r="L371" s="637"/>
      <c r="M371" s="637"/>
      <c r="N371" s="637"/>
      <c r="O371" s="637"/>
      <c r="P371" s="637"/>
      <c r="Q371" s="637"/>
      <c r="R371" s="637"/>
      <c r="S371" s="637"/>
      <c r="T371" s="637"/>
      <c r="U371" s="637"/>
      <c r="V371" s="637"/>
      <c r="W371" s="637"/>
      <c r="X371" s="637"/>
      <c r="Y371" s="637"/>
      <c r="Z371" s="637"/>
    </row>
    <row r="372" ht="11.25" customHeight="1">
      <c r="A372" s="637"/>
      <c r="B372" s="637"/>
      <c r="C372" s="637"/>
      <c r="D372" s="637"/>
      <c r="E372" s="637"/>
      <c r="F372" s="637"/>
      <c r="G372" s="637"/>
      <c r="H372" s="637"/>
      <c r="I372" s="637"/>
      <c r="J372" s="637"/>
      <c r="K372" s="637"/>
      <c r="L372" s="637"/>
      <c r="M372" s="637"/>
      <c r="N372" s="637"/>
      <c r="O372" s="637"/>
      <c r="P372" s="637"/>
      <c r="Q372" s="637"/>
      <c r="R372" s="637"/>
      <c r="S372" s="637"/>
      <c r="T372" s="637"/>
      <c r="U372" s="637"/>
      <c r="V372" s="637"/>
      <c r="W372" s="637"/>
      <c r="X372" s="637"/>
      <c r="Y372" s="637"/>
      <c r="Z372" s="637"/>
    </row>
    <row r="373" ht="11.25" customHeight="1">
      <c r="A373" s="637"/>
      <c r="B373" s="637"/>
      <c r="C373" s="637"/>
      <c r="D373" s="637"/>
      <c r="E373" s="637"/>
      <c r="F373" s="637"/>
      <c r="G373" s="637"/>
      <c r="H373" s="637"/>
      <c r="I373" s="637"/>
      <c r="J373" s="637"/>
      <c r="K373" s="637"/>
      <c r="L373" s="637"/>
      <c r="M373" s="637"/>
      <c r="N373" s="637"/>
      <c r="O373" s="637"/>
      <c r="P373" s="637"/>
      <c r="Q373" s="637"/>
      <c r="R373" s="637"/>
      <c r="S373" s="637"/>
      <c r="T373" s="637"/>
      <c r="U373" s="637"/>
      <c r="V373" s="637"/>
      <c r="W373" s="637"/>
      <c r="X373" s="637"/>
      <c r="Y373" s="637"/>
      <c r="Z373" s="637"/>
    </row>
    <row r="374" ht="11.25" customHeight="1">
      <c r="A374" s="637"/>
      <c r="B374" s="637"/>
      <c r="C374" s="637"/>
      <c r="D374" s="637"/>
      <c r="E374" s="637"/>
      <c r="F374" s="637"/>
      <c r="G374" s="637"/>
      <c r="H374" s="637"/>
      <c r="I374" s="637"/>
      <c r="J374" s="637"/>
      <c r="K374" s="637"/>
      <c r="L374" s="637"/>
      <c r="M374" s="637"/>
      <c r="N374" s="637"/>
      <c r="O374" s="637"/>
      <c r="P374" s="637"/>
      <c r="Q374" s="637"/>
      <c r="R374" s="637"/>
      <c r="S374" s="637"/>
      <c r="T374" s="637"/>
      <c r="U374" s="637"/>
      <c r="V374" s="637"/>
      <c r="W374" s="637"/>
      <c r="X374" s="637"/>
      <c r="Y374" s="637"/>
      <c r="Z374" s="637"/>
    </row>
    <row r="375" ht="11.25" customHeight="1">
      <c r="A375" s="637"/>
      <c r="B375" s="637"/>
      <c r="C375" s="637"/>
      <c r="D375" s="637"/>
      <c r="E375" s="637"/>
      <c r="F375" s="637"/>
      <c r="G375" s="637"/>
      <c r="H375" s="637"/>
      <c r="I375" s="637"/>
      <c r="J375" s="637"/>
      <c r="K375" s="637"/>
      <c r="L375" s="637"/>
      <c r="M375" s="637"/>
      <c r="N375" s="637"/>
      <c r="O375" s="637"/>
      <c r="P375" s="637"/>
      <c r="Q375" s="637"/>
      <c r="R375" s="637"/>
      <c r="S375" s="637"/>
      <c r="T375" s="637"/>
      <c r="U375" s="637"/>
      <c r="V375" s="637"/>
      <c r="W375" s="637"/>
      <c r="X375" s="637"/>
      <c r="Y375" s="637"/>
      <c r="Z375" s="637"/>
    </row>
    <row r="376" ht="11.25" customHeight="1">
      <c r="A376" s="637"/>
      <c r="B376" s="637"/>
      <c r="C376" s="637"/>
      <c r="D376" s="637"/>
      <c r="E376" s="637"/>
      <c r="F376" s="637"/>
      <c r="G376" s="637"/>
      <c r="H376" s="637"/>
      <c r="I376" s="637"/>
      <c r="J376" s="637"/>
      <c r="K376" s="637"/>
      <c r="L376" s="637"/>
      <c r="M376" s="637"/>
      <c r="N376" s="637"/>
      <c r="O376" s="637"/>
      <c r="P376" s="637"/>
      <c r="Q376" s="637"/>
      <c r="R376" s="637"/>
      <c r="S376" s="637"/>
      <c r="T376" s="637"/>
      <c r="U376" s="637"/>
      <c r="V376" s="637"/>
      <c r="W376" s="637"/>
      <c r="X376" s="637"/>
      <c r="Y376" s="637"/>
      <c r="Z376" s="637"/>
    </row>
    <row r="377" ht="11.25" customHeight="1">
      <c r="A377" s="637"/>
      <c r="B377" s="637"/>
      <c r="C377" s="637"/>
      <c r="D377" s="637"/>
      <c r="E377" s="637"/>
      <c r="F377" s="637"/>
      <c r="G377" s="637"/>
      <c r="H377" s="637"/>
      <c r="I377" s="637"/>
      <c r="J377" s="637"/>
      <c r="K377" s="637"/>
      <c r="L377" s="637"/>
      <c r="M377" s="637"/>
      <c r="N377" s="637"/>
      <c r="O377" s="637"/>
      <c r="P377" s="637"/>
      <c r="Q377" s="637"/>
      <c r="R377" s="637"/>
      <c r="S377" s="637"/>
      <c r="T377" s="637"/>
      <c r="U377" s="637"/>
      <c r="V377" s="637"/>
      <c r="W377" s="637"/>
      <c r="X377" s="637"/>
      <c r="Y377" s="637"/>
      <c r="Z377" s="637"/>
    </row>
    <row r="378" ht="11.25" customHeight="1">
      <c r="A378" s="637"/>
      <c r="B378" s="637"/>
      <c r="C378" s="637"/>
      <c r="D378" s="637"/>
      <c r="E378" s="637"/>
      <c r="F378" s="637"/>
      <c r="G378" s="637"/>
      <c r="H378" s="637"/>
      <c r="I378" s="637"/>
      <c r="J378" s="637"/>
      <c r="K378" s="637"/>
      <c r="L378" s="637"/>
      <c r="M378" s="637"/>
      <c r="N378" s="637"/>
      <c r="O378" s="637"/>
      <c r="P378" s="637"/>
      <c r="Q378" s="637"/>
      <c r="R378" s="637"/>
      <c r="S378" s="637"/>
      <c r="T378" s="637"/>
      <c r="U378" s="637"/>
      <c r="V378" s="637"/>
      <c r="W378" s="637"/>
      <c r="X378" s="637"/>
      <c r="Y378" s="637"/>
      <c r="Z378" s="637"/>
    </row>
    <row r="379" ht="11.25" customHeight="1">
      <c r="A379" s="637"/>
      <c r="B379" s="637"/>
      <c r="C379" s="637"/>
      <c r="D379" s="637"/>
      <c r="E379" s="637"/>
      <c r="F379" s="637"/>
      <c r="G379" s="637"/>
      <c r="H379" s="637"/>
      <c r="I379" s="637"/>
      <c r="J379" s="637"/>
      <c r="K379" s="637"/>
      <c r="L379" s="637"/>
      <c r="M379" s="637"/>
      <c r="N379" s="637"/>
      <c r="O379" s="637"/>
      <c r="P379" s="637"/>
      <c r="Q379" s="637"/>
      <c r="R379" s="637"/>
      <c r="S379" s="637"/>
      <c r="T379" s="637"/>
      <c r="U379" s="637"/>
      <c r="V379" s="637"/>
      <c r="W379" s="637"/>
      <c r="X379" s="637"/>
      <c r="Y379" s="637"/>
      <c r="Z379" s="637"/>
    </row>
    <row r="380" ht="11.25" customHeight="1">
      <c r="A380" s="637"/>
      <c r="B380" s="637"/>
      <c r="C380" s="637"/>
      <c r="D380" s="637"/>
      <c r="E380" s="637"/>
      <c r="F380" s="637"/>
      <c r="G380" s="637"/>
      <c r="H380" s="637"/>
      <c r="I380" s="637"/>
      <c r="J380" s="637"/>
      <c r="K380" s="637"/>
      <c r="L380" s="637"/>
      <c r="M380" s="637"/>
      <c r="N380" s="637"/>
      <c r="O380" s="637"/>
      <c r="P380" s="637"/>
      <c r="Q380" s="637"/>
      <c r="R380" s="637"/>
      <c r="S380" s="637"/>
      <c r="T380" s="637"/>
      <c r="U380" s="637"/>
      <c r="V380" s="637"/>
      <c r="W380" s="637"/>
      <c r="X380" s="637"/>
      <c r="Y380" s="637"/>
      <c r="Z380" s="637"/>
    </row>
    <row r="381" ht="11.25" customHeight="1">
      <c r="A381" s="637"/>
      <c r="B381" s="637"/>
      <c r="C381" s="637"/>
      <c r="D381" s="637"/>
      <c r="E381" s="637"/>
      <c r="F381" s="637"/>
      <c r="G381" s="637"/>
      <c r="H381" s="637"/>
      <c r="I381" s="637"/>
      <c r="J381" s="637"/>
      <c r="K381" s="637"/>
      <c r="L381" s="637"/>
      <c r="M381" s="637"/>
      <c r="N381" s="637"/>
      <c r="O381" s="637"/>
      <c r="P381" s="637"/>
      <c r="Q381" s="637"/>
      <c r="R381" s="637"/>
      <c r="S381" s="637"/>
      <c r="T381" s="637"/>
      <c r="U381" s="637"/>
      <c r="V381" s="637"/>
      <c r="W381" s="637"/>
      <c r="X381" s="637"/>
      <c r="Y381" s="637"/>
      <c r="Z381" s="637"/>
    </row>
    <row r="382" ht="11.25" customHeight="1">
      <c r="A382" s="637"/>
      <c r="B382" s="637"/>
      <c r="C382" s="637"/>
      <c r="D382" s="637"/>
      <c r="E382" s="637"/>
      <c r="F382" s="637"/>
      <c r="G382" s="637"/>
      <c r="H382" s="637"/>
      <c r="I382" s="637"/>
      <c r="J382" s="637"/>
      <c r="K382" s="637"/>
      <c r="L382" s="637"/>
      <c r="M382" s="637"/>
      <c r="N382" s="637"/>
      <c r="O382" s="637"/>
      <c r="P382" s="637"/>
      <c r="Q382" s="637"/>
      <c r="R382" s="637"/>
      <c r="S382" s="637"/>
      <c r="T382" s="637"/>
      <c r="U382" s="637"/>
      <c r="V382" s="637"/>
      <c r="W382" s="637"/>
      <c r="X382" s="637"/>
      <c r="Y382" s="637"/>
      <c r="Z382" s="637"/>
    </row>
    <row r="383" ht="11.25" customHeight="1">
      <c r="A383" s="637"/>
      <c r="B383" s="637"/>
      <c r="C383" s="637"/>
      <c r="D383" s="637"/>
      <c r="E383" s="637"/>
      <c r="F383" s="637"/>
      <c r="G383" s="637"/>
      <c r="H383" s="637"/>
      <c r="I383" s="637"/>
      <c r="J383" s="637"/>
      <c r="K383" s="637"/>
      <c r="L383" s="637"/>
      <c r="M383" s="637"/>
      <c r="N383" s="637"/>
      <c r="O383" s="637"/>
      <c r="P383" s="637"/>
      <c r="Q383" s="637"/>
      <c r="R383" s="637"/>
      <c r="S383" s="637"/>
      <c r="T383" s="637"/>
      <c r="U383" s="637"/>
      <c r="V383" s="637"/>
      <c r="W383" s="637"/>
      <c r="X383" s="637"/>
      <c r="Y383" s="637"/>
      <c r="Z383" s="637"/>
    </row>
    <row r="384" ht="11.25" customHeight="1">
      <c r="A384" s="637"/>
      <c r="B384" s="637"/>
      <c r="C384" s="637"/>
      <c r="D384" s="637"/>
      <c r="E384" s="637"/>
      <c r="F384" s="637"/>
      <c r="G384" s="637"/>
      <c r="H384" s="637"/>
      <c r="I384" s="637"/>
      <c r="J384" s="637"/>
      <c r="K384" s="637"/>
      <c r="L384" s="637"/>
      <c r="M384" s="637"/>
      <c r="N384" s="637"/>
      <c r="O384" s="637"/>
      <c r="P384" s="637"/>
      <c r="Q384" s="637"/>
      <c r="R384" s="637"/>
      <c r="S384" s="637"/>
      <c r="T384" s="637"/>
      <c r="U384" s="637"/>
      <c r="V384" s="637"/>
      <c r="W384" s="637"/>
      <c r="X384" s="637"/>
      <c r="Y384" s="637"/>
      <c r="Z384" s="637"/>
    </row>
    <row r="385" ht="11.25" customHeight="1">
      <c r="A385" s="637"/>
      <c r="B385" s="637"/>
      <c r="C385" s="637"/>
      <c r="D385" s="637"/>
      <c r="E385" s="637"/>
      <c r="F385" s="637"/>
      <c r="G385" s="637"/>
      <c r="H385" s="637"/>
      <c r="I385" s="637"/>
      <c r="J385" s="637"/>
      <c r="K385" s="637"/>
      <c r="L385" s="637"/>
      <c r="M385" s="637"/>
      <c r="N385" s="637"/>
      <c r="O385" s="637"/>
      <c r="P385" s="637"/>
      <c r="Q385" s="637"/>
      <c r="R385" s="637"/>
      <c r="S385" s="637"/>
      <c r="T385" s="637"/>
      <c r="U385" s="637"/>
      <c r="V385" s="637"/>
      <c r="W385" s="637"/>
      <c r="X385" s="637"/>
      <c r="Y385" s="637"/>
      <c r="Z385" s="637"/>
    </row>
    <row r="386" ht="11.25" customHeight="1">
      <c r="A386" s="637"/>
      <c r="B386" s="637"/>
      <c r="C386" s="637"/>
      <c r="D386" s="637"/>
      <c r="E386" s="637"/>
      <c r="F386" s="637"/>
      <c r="G386" s="637"/>
      <c r="H386" s="637"/>
      <c r="I386" s="637"/>
      <c r="J386" s="637"/>
      <c r="K386" s="637"/>
      <c r="L386" s="637"/>
      <c r="M386" s="637"/>
      <c r="N386" s="637"/>
      <c r="O386" s="637"/>
      <c r="P386" s="637"/>
      <c r="Q386" s="637"/>
      <c r="R386" s="637"/>
      <c r="S386" s="637"/>
      <c r="T386" s="637"/>
      <c r="U386" s="637"/>
      <c r="V386" s="637"/>
      <c r="W386" s="637"/>
      <c r="X386" s="637"/>
      <c r="Y386" s="637"/>
      <c r="Z386" s="637"/>
    </row>
    <row r="387" ht="11.25" customHeight="1">
      <c r="A387" s="637"/>
      <c r="B387" s="637"/>
      <c r="C387" s="637"/>
      <c r="D387" s="637"/>
      <c r="E387" s="637"/>
      <c r="F387" s="637"/>
      <c r="G387" s="637"/>
      <c r="H387" s="637"/>
      <c r="I387" s="637"/>
      <c r="J387" s="637"/>
      <c r="K387" s="637"/>
      <c r="L387" s="637"/>
      <c r="M387" s="637"/>
      <c r="N387" s="637"/>
      <c r="O387" s="637"/>
      <c r="P387" s="637"/>
      <c r="Q387" s="637"/>
      <c r="R387" s="637"/>
      <c r="S387" s="637"/>
      <c r="T387" s="637"/>
      <c r="U387" s="637"/>
      <c r="V387" s="637"/>
      <c r="W387" s="637"/>
      <c r="X387" s="637"/>
      <c r="Y387" s="637"/>
      <c r="Z387" s="637"/>
    </row>
    <row r="388" ht="11.25" customHeight="1">
      <c r="A388" s="637"/>
      <c r="B388" s="637"/>
      <c r="C388" s="637"/>
      <c r="D388" s="637"/>
      <c r="E388" s="637"/>
      <c r="F388" s="637"/>
      <c r="G388" s="637"/>
      <c r="H388" s="637"/>
      <c r="I388" s="637"/>
      <c r="J388" s="637"/>
      <c r="K388" s="637"/>
      <c r="L388" s="637"/>
      <c r="M388" s="637"/>
      <c r="N388" s="637"/>
      <c r="O388" s="637"/>
      <c r="P388" s="637"/>
      <c r="Q388" s="637"/>
      <c r="R388" s="637"/>
      <c r="S388" s="637"/>
      <c r="T388" s="637"/>
      <c r="U388" s="637"/>
      <c r="V388" s="637"/>
      <c r="W388" s="637"/>
      <c r="X388" s="637"/>
      <c r="Y388" s="637"/>
      <c r="Z388" s="637"/>
    </row>
    <row r="389" ht="11.25" customHeight="1">
      <c r="A389" s="637"/>
      <c r="B389" s="637"/>
      <c r="C389" s="637"/>
      <c r="D389" s="637"/>
      <c r="E389" s="637"/>
      <c r="F389" s="637"/>
      <c r="G389" s="637"/>
      <c r="H389" s="637"/>
      <c r="I389" s="637"/>
      <c r="J389" s="637"/>
      <c r="K389" s="637"/>
      <c r="L389" s="637"/>
      <c r="M389" s="637"/>
      <c r="N389" s="637"/>
      <c r="O389" s="637"/>
      <c r="P389" s="637"/>
      <c r="Q389" s="637"/>
      <c r="R389" s="637"/>
      <c r="S389" s="637"/>
      <c r="T389" s="637"/>
      <c r="U389" s="637"/>
      <c r="V389" s="637"/>
      <c r="W389" s="637"/>
      <c r="X389" s="637"/>
      <c r="Y389" s="637"/>
      <c r="Z389" s="637"/>
    </row>
    <row r="390" ht="11.25" customHeight="1">
      <c r="A390" s="637"/>
      <c r="B390" s="637"/>
      <c r="C390" s="637"/>
      <c r="D390" s="637"/>
      <c r="E390" s="637"/>
      <c r="F390" s="637"/>
      <c r="G390" s="637"/>
      <c r="H390" s="637"/>
      <c r="I390" s="637"/>
      <c r="J390" s="637"/>
      <c r="K390" s="637"/>
      <c r="L390" s="637"/>
      <c r="M390" s="637"/>
      <c r="N390" s="637"/>
      <c r="O390" s="637"/>
      <c r="P390" s="637"/>
      <c r="Q390" s="637"/>
      <c r="R390" s="637"/>
      <c r="S390" s="637"/>
      <c r="T390" s="637"/>
      <c r="U390" s="637"/>
      <c r="V390" s="637"/>
      <c r="W390" s="637"/>
      <c r="X390" s="637"/>
      <c r="Y390" s="637"/>
      <c r="Z390" s="637"/>
    </row>
    <row r="391" ht="11.25" customHeight="1">
      <c r="A391" s="637"/>
      <c r="B391" s="637"/>
      <c r="C391" s="637"/>
      <c r="D391" s="637"/>
      <c r="E391" s="637"/>
      <c r="F391" s="637"/>
      <c r="G391" s="637"/>
      <c r="H391" s="637"/>
      <c r="I391" s="637"/>
      <c r="J391" s="637"/>
      <c r="K391" s="637"/>
      <c r="L391" s="637"/>
      <c r="M391" s="637"/>
      <c r="N391" s="637"/>
      <c r="O391" s="637"/>
      <c r="P391" s="637"/>
      <c r="Q391" s="637"/>
      <c r="R391" s="637"/>
      <c r="S391" s="637"/>
      <c r="T391" s="637"/>
      <c r="U391" s="637"/>
      <c r="V391" s="637"/>
      <c r="W391" s="637"/>
      <c r="X391" s="637"/>
      <c r="Y391" s="637"/>
      <c r="Z391" s="637"/>
    </row>
    <row r="392" ht="11.25" customHeight="1">
      <c r="A392" s="637"/>
      <c r="B392" s="637"/>
      <c r="C392" s="637"/>
      <c r="D392" s="637"/>
      <c r="E392" s="637"/>
      <c r="F392" s="637"/>
      <c r="G392" s="637"/>
      <c r="H392" s="637"/>
      <c r="I392" s="637"/>
      <c r="J392" s="637"/>
      <c r="K392" s="637"/>
      <c r="L392" s="637"/>
      <c r="M392" s="637"/>
      <c r="N392" s="637"/>
      <c r="O392" s="637"/>
      <c r="P392" s="637"/>
      <c r="Q392" s="637"/>
      <c r="R392" s="637"/>
      <c r="S392" s="637"/>
      <c r="T392" s="637"/>
      <c r="U392" s="637"/>
      <c r="V392" s="637"/>
      <c r="W392" s="637"/>
      <c r="X392" s="637"/>
      <c r="Y392" s="637"/>
      <c r="Z392" s="637"/>
    </row>
    <row r="393" ht="11.25" customHeight="1">
      <c r="A393" s="637"/>
      <c r="B393" s="637"/>
      <c r="C393" s="637"/>
      <c r="D393" s="637"/>
      <c r="E393" s="637"/>
      <c r="F393" s="637"/>
      <c r="G393" s="637"/>
      <c r="H393" s="637"/>
      <c r="I393" s="637"/>
      <c r="J393" s="637"/>
      <c r="K393" s="637"/>
      <c r="L393" s="637"/>
      <c r="M393" s="637"/>
      <c r="N393" s="637"/>
      <c r="O393" s="637"/>
      <c r="P393" s="637"/>
      <c r="Q393" s="637"/>
      <c r="R393" s="637"/>
      <c r="S393" s="637"/>
      <c r="T393" s="637"/>
      <c r="U393" s="637"/>
      <c r="V393" s="637"/>
      <c r="W393" s="637"/>
      <c r="X393" s="637"/>
      <c r="Y393" s="637"/>
      <c r="Z393" s="637"/>
    </row>
    <row r="394" ht="11.25" customHeight="1">
      <c r="A394" s="637"/>
      <c r="B394" s="637"/>
      <c r="C394" s="637"/>
      <c r="D394" s="637"/>
      <c r="E394" s="637"/>
      <c r="F394" s="637"/>
      <c r="G394" s="637"/>
      <c r="H394" s="637"/>
      <c r="I394" s="637"/>
      <c r="J394" s="637"/>
      <c r="K394" s="637"/>
      <c r="L394" s="637"/>
      <c r="M394" s="637"/>
      <c r="N394" s="637"/>
      <c r="O394" s="637"/>
      <c r="P394" s="637"/>
      <c r="Q394" s="637"/>
      <c r="R394" s="637"/>
      <c r="S394" s="637"/>
      <c r="T394" s="637"/>
      <c r="U394" s="637"/>
      <c r="V394" s="637"/>
      <c r="W394" s="637"/>
      <c r="X394" s="637"/>
      <c r="Y394" s="637"/>
      <c r="Z394" s="637"/>
    </row>
    <row r="395" ht="11.25" customHeight="1">
      <c r="A395" s="637"/>
      <c r="B395" s="637"/>
      <c r="C395" s="637"/>
      <c r="D395" s="637"/>
      <c r="E395" s="637"/>
      <c r="F395" s="637"/>
      <c r="G395" s="637"/>
      <c r="H395" s="637"/>
      <c r="I395" s="637"/>
      <c r="J395" s="637"/>
      <c r="K395" s="637"/>
      <c r="L395" s="637"/>
      <c r="M395" s="637"/>
      <c r="N395" s="637"/>
      <c r="O395" s="637"/>
      <c r="P395" s="637"/>
      <c r="Q395" s="637"/>
      <c r="R395" s="637"/>
      <c r="S395" s="637"/>
      <c r="T395" s="637"/>
      <c r="U395" s="637"/>
      <c r="V395" s="637"/>
      <c r="W395" s="637"/>
      <c r="X395" s="637"/>
      <c r="Y395" s="637"/>
      <c r="Z395" s="637"/>
    </row>
    <row r="396" ht="11.25" customHeight="1">
      <c r="A396" s="637"/>
      <c r="B396" s="637"/>
      <c r="C396" s="637"/>
      <c r="D396" s="637"/>
      <c r="E396" s="637"/>
      <c r="F396" s="637"/>
      <c r="G396" s="637"/>
      <c r="H396" s="637"/>
      <c r="I396" s="637"/>
      <c r="J396" s="637"/>
      <c r="K396" s="637"/>
      <c r="L396" s="637"/>
      <c r="M396" s="637"/>
      <c r="N396" s="637"/>
      <c r="O396" s="637"/>
      <c r="P396" s="637"/>
      <c r="Q396" s="637"/>
      <c r="R396" s="637"/>
      <c r="S396" s="637"/>
      <c r="T396" s="637"/>
      <c r="U396" s="637"/>
      <c r="V396" s="637"/>
      <c r="W396" s="637"/>
      <c r="X396" s="637"/>
      <c r="Y396" s="637"/>
      <c r="Z396" s="637"/>
    </row>
    <row r="397" ht="11.25" customHeight="1">
      <c r="A397" s="637"/>
      <c r="B397" s="637"/>
      <c r="C397" s="637"/>
      <c r="D397" s="637"/>
      <c r="E397" s="637"/>
      <c r="F397" s="637"/>
      <c r="G397" s="637"/>
      <c r="H397" s="637"/>
      <c r="I397" s="637"/>
      <c r="J397" s="637"/>
      <c r="K397" s="637"/>
      <c r="L397" s="637"/>
      <c r="M397" s="637"/>
      <c r="N397" s="637"/>
      <c r="O397" s="637"/>
      <c r="P397" s="637"/>
      <c r="Q397" s="637"/>
      <c r="R397" s="637"/>
      <c r="S397" s="637"/>
      <c r="T397" s="637"/>
      <c r="U397" s="637"/>
      <c r="V397" s="637"/>
      <c r="W397" s="637"/>
      <c r="X397" s="637"/>
      <c r="Y397" s="637"/>
      <c r="Z397" s="637"/>
    </row>
    <row r="398" ht="11.25" customHeight="1">
      <c r="A398" s="637"/>
      <c r="B398" s="637"/>
      <c r="C398" s="637"/>
      <c r="D398" s="637"/>
      <c r="E398" s="637"/>
      <c r="F398" s="637"/>
      <c r="G398" s="637"/>
      <c r="H398" s="637"/>
      <c r="I398" s="637"/>
      <c r="J398" s="637"/>
      <c r="K398" s="637"/>
      <c r="L398" s="637"/>
      <c r="M398" s="637"/>
      <c r="N398" s="637"/>
      <c r="O398" s="637"/>
      <c r="P398" s="637"/>
      <c r="Q398" s="637"/>
      <c r="R398" s="637"/>
      <c r="S398" s="637"/>
      <c r="T398" s="637"/>
      <c r="U398" s="637"/>
      <c r="V398" s="637"/>
      <c r="W398" s="637"/>
      <c r="X398" s="637"/>
      <c r="Y398" s="637"/>
      <c r="Z398" s="637"/>
    </row>
    <row r="399" ht="11.25" customHeight="1">
      <c r="A399" s="637"/>
      <c r="B399" s="637"/>
      <c r="C399" s="637"/>
      <c r="D399" s="637"/>
      <c r="E399" s="637"/>
      <c r="F399" s="637"/>
      <c r="G399" s="637"/>
      <c r="H399" s="637"/>
      <c r="I399" s="637"/>
      <c r="J399" s="637"/>
      <c r="K399" s="637"/>
      <c r="L399" s="637"/>
      <c r="M399" s="637"/>
      <c r="N399" s="637"/>
      <c r="O399" s="637"/>
      <c r="P399" s="637"/>
      <c r="Q399" s="637"/>
      <c r="R399" s="637"/>
      <c r="S399" s="637"/>
      <c r="T399" s="637"/>
      <c r="U399" s="637"/>
      <c r="V399" s="637"/>
      <c r="W399" s="637"/>
      <c r="X399" s="637"/>
      <c r="Y399" s="637"/>
      <c r="Z399" s="637"/>
    </row>
    <row r="400" ht="11.25" customHeight="1">
      <c r="A400" s="637"/>
      <c r="B400" s="637"/>
      <c r="C400" s="637"/>
      <c r="D400" s="637"/>
      <c r="E400" s="637"/>
      <c r="F400" s="637"/>
      <c r="G400" s="637"/>
      <c r="H400" s="637"/>
      <c r="I400" s="637"/>
      <c r="J400" s="637"/>
      <c r="K400" s="637"/>
      <c r="L400" s="637"/>
      <c r="M400" s="637"/>
      <c r="N400" s="637"/>
      <c r="O400" s="637"/>
      <c r="P400" s="637"/>
      <c r="Q400" s="637"/>
      <c r="R400" s="637"/>
      <c r="S400" s="637"/>
      <c r="T400" s="637"/>
      <c r="U400" s="637"/>
      <c r="V400" s="637"/>
      <c r="W400" s="637"/>
      <c r="X400" s="637"/>
      <c r="Y400" s="637"/>
      <c r="Z400" s="637"/>
    </row>
    <row r="401" ht="11.25" customHeight="1">
      <c r="A401" s="637"/>
      <c r="B401" s="637"/>
      <c r="C401" s="637"/>
      <c r="D401" s="637"/>
      <c r="E401" s="637"/>
      <c r="F401" s="637"/>
      <c r="G401" s="637"/>
      <c r="H401" s="637"/>
      <c r="I401" s="637"/>
      <c r="J401" s="637"/>
      <c r="K401" s="637"/>
      <c r="L401" s="637"/>
      <c r="M401" s="637"/>
      <c r="N401" s="637"/>
      <c r="O401" s="637"/>
      <c r="P401" s="637"/>
      <c r="Q401" s="637"/>
      <c r="R401" s="637"/>
      <c r="S401" s="637"/>
      <c r="T401" s="637"/>
      <c r="U401" s="637"/>
      <c r="V401" s="637"/>
      <c r="W401" s="637"/>
      <c r="X401" s="637"/>
      <c r="Y401" s="637"/>
      <c r="Z401" s="637"/>
    </row>
    <row r="402" ht="11.25" customHeight="1">
      <c r="A402" s="637"/>
      <c r="B402" s="637"/>
      <c r="C402" s="637"/>
      <c r="D402" s="637"/>
      <c r="E402" s="637"/>
      <c r="F402" s="637"/>
      <c r="G402" s="637"/>
      <c r="H402" s="637"/>
      <c r="I402" s="637"/>
      <c r="J402" s="637"/>
      <c r="K402" s="637"/>
      <c r="L402" s="637"/>
      <c r="M402" s="637"/>
      <c r="N402" s="637"/>
      <c r="O402" s="637"/>
      <c r="P402" s="637"/>
      <c r="Q402" s="637"/>
      <c r="R402" s="637"/>
      <c r="S402" s="637"/>
      <c r="T402" s="637"/>
      <c r="U402" s="637"/>
      <c r="V402" s="637"/>
      <c r="W402" s="637"/>
      <c r="X402" s="637"/>
      <c r="Y402" s="637"/>
      <c r="Z402" s="637"/>
    </row>
    <row r="403" ht="11.25" customHeight="1">
      <c r="A403" s="637"/>
      <c r="B403" s="637"/>
      <c r="C403" s="637"/>
      <c r="D403" s="637"/>
      <c r="E403" s="637"/>
      <c r="F403" s="637"/>
      <c r="G403" s="637"/>
      <c r="H403" s="637"/>
      <c r="I403" s="637"/>
      <c r="J403" s="637"/>
      <c r="K403" s="637"/>
      <c r="L403" s="637"/>
      <c r="M403" s="637"/>
      <c r="N403" s="637"/>
      <c r="O403" s="637"/>
      <c r="P403" s="637"/>
      <c r="Q403" s="637"/>
      <c r="R403" s="637"/>
      <c r="S403" s="637"/>
      <c r="T403" s="637"/>
      <c r="U403" s="637"/>
      <c r="V403" s="637"/>
      <c r="W403" s="637"/>
      <c r="X403" s="637"/>
      <c r="Y403" s="637"/>
      <c r="Z403" s="637"/>
    </row>
    <row r="404" ht="11.25" customHeight="1">
      <c r="A404" s="637"/>
      <c r="B404" s="637"/>
      <c r="C404" s="637"/>
      <c r="D404" s="637"/>
      <c r="E404" s="637"/>
      <c r="F404" s="637"/>
      <c r="G404" s="637"/>
      <c r="H404" s="637"/>
      <c r="I404" s="637"/>
      <c r="J404" s="637"/>
      <c r="K404" s="637"/>
      <c r="L404" s="637"/>
      <c r="M404" s="637"/>
      <c r="N404" s="637"/>
      <c r="O404" s="637"/>
      <c r="P404" s="637"/>
      <c r="Q404" s="637"/>
      <c r="R404" s="637"/>
      <c r="S404" s="637"/>
      <c r="T404" s="637"/>
      <c r="U404" s="637"/>
      <c r="V404" s="637"/>
      <c r="W404" s="637"/>
      <c r="X404" s="637"/>
      <c r="Y404" s="637"/>
      <c r="Z404" s="637"/>
    </row>
    <row r="405" ht="11.25" customHeight="1">
      <c r="A405" s="637"/>
      <c r="B405" s="637"/>
      <c r="C405" s="637"/>
      <c r="D405" s="637"/>
      <c r="E405" s="637"/>
      <c r="F405" s="637"/>
      <c r="G405" s="637"/>
      <c r="H405" s="637"/>
      <c r="I405" s="637"/>
      <c r="J405" s="637"/>
      <c r="K405" s="637"/>
      <c r="L405" s="637"/>
      <c r="M405" s="637"/>
      <c r="N405" s="637"/>
      <c r="O405" s="637"/>
      <c r="P405" s="637"/>
      <c r="Q405" s="637"/>
      <c r="R405" s="637"/>
      <c r="S405" s="637"/>
      <c r="T405" s="637"/>
      <c r="U405" s="637"/>
      <c r="V405" s="637"/>
      <c r="W405" s="637"/>
      <c r="X405" s="637"/>
      <c r="Y405" s="637"/>
      <c r="Z405" s="637"/>
    </row>
    <row r="406" ht="11.25" customHeight="1">
      <c r="A406" s="637"/>
      <c r="B406" s="637"/>
      <c r="C406" s="637"/>
      <c r="D406" s="637"/>
      <c r="E406" s="637"/>
      <c r="F406" s="637"/>
      <c r="G406" s="637"/>
      <c r="H406" s="637"/>
      <c r="I406" s="637"/>
      <c r="J406" s="637"/>
      <c r="K406" s="637"/>
      <c r="L406" s="637"/>
      <c r="M406" s="637"/>
      <c r="N406" s="637"/>
      <c r="O406" s="637"/>
      <c r="P406" s="637"/>
      <c r="Q406" s="637"/>
      <c r="R406" s="637"/>
      <c r="S406" s="637"/>
      <c r="T406" s="637"/>
      <c r="U406" s="637"/>
      <c r="V406" s="637"/>
      <c r="W406" s="637"/>
      <c r="X406" s="637"/>
      <c r="Y406" s="637"/>
      <c r="Z406" s="637"/>
    </row>
    <row r="407" ht="11.25" customHeight="1">
      <c r="A407" s="637"/>
      <c r="B407" s="637"/>
      <c r="C407" s="637"/>
      <c r="D407" s="637"/>
      <c r="E407" s="637"/>
      <c r="F407" s="637"/>
      <c r="G407" s="637"/>
      <c r="H407" s="637"/>
      <c r="I407" s="637"/>
      <c r="J407" s="637"/>
      <c r="K407" s="637"/>
      <c r="L407" s="637"/>
      <c r="M407" s="637"/>
      <c r="N407" s="637"/>
      <c r="O407" s="637"/>
      <c r="P407" s="637"/>
      <c r="Q407" s="637"/>
      <c r="R407" s="637"/>
      <c r="S407" s="637"/>
      <c r="T407" s="637"/>
      <c r="U407" s="637"/>
      <c r="V407" s="637"/>
      <c r="W407" s="637"/>
      <c r="X407" s="637"/>
      <c r="Y407" s="637"/>
      <c r="Z407" s="637"/>
    </row>
    <row r="408" ht="11.25" customHeight="1">
      <c r="A408" s="637"/>
      <c r="B408" s="637"/>
      <c r="C408" s="637"/>
      <c r="D408" s="637"/>
      <c r="E408" s="637"/>
      <c r="F408" s="637"/>
      <c r="G408" s="637"/>
      <c r="H408" s="637"/>
      <c r="I408" s="637"/>
      <c r="J408" s="637"/>
      <c r="K408" s="637"/>
      <c r="L408" s="637"/>
      <c r="M408" s="637"/>
      <c r="N408" s="637"/>
      <c r="O408" s="637"/>
      <c r="P408" s="637"/>
      <c r="Q408" s="637"/>
      <c r="R408" s="637"/>
      <c r="S408" s="637"/>
      <c r="T408" s="637"/>
      <c r="U408" s="637"/>
      <c r="V408" s="637"/>
      <c r="W408" s="637"/>
      <c r="X408" s="637"/>
      <c r="Y408" s="637"/>
      <c r="Z408" s="637"/>
    </row>
    <row r="409" ht="11.25" customHeight="1">
      <c r="A409" s="637"/>
      <c r="B409" s="637"/>
      <c r="C409" s="637"/>
      <c r="D409" s="637"/>
      <c r="E409" s="637"/>
      <c r="F409" s="637"/>
      <c r="G409" s="637"/>
      <c r="H409" s="637"/>
      <c r="I409" s="637"/>
      <c r="J409" s="637"/>
      <c r="K409" s="637"/>
      <c r="L409" s="637"/>
      <c r="M409" s="637"/>
      <c r="N409" s="637"/>
      <c r="O409" s="637"/>
      <c r="P409" s="637"/>
      <c r="Q409" s="637"/>
      <c r="R409" s="637"/>
      <c r="S409" s="637"/>
      <c r="T409" s="637"/>
      <c r="U409" s="637"/>
      <c r="V409" s="637"/>
      <c r="W409" s="637"/>
      <c r="X409" s="637"/>
      <c r="Y409" s="637"/>
      <c r="Z409" s="637"/>
    </row>
    <row r="410" ht="11.25" customHeight="1">
      <c r="A410" s="637"/>
      <c r="B410" s="637"/>
      <c r="C410" s="637"/>
      <c r="D410" s="637"/>
      <c r="E410" s="637"/>
      <c r="F410" s="637"/>
      <c r="G410" s="637"/>
      <c r="H410" s="637"/>
      <c r="I410" s="637"/>
      <c r="J410" s="637"/>
      <c r="K410" s="637"/>
      <c r="L410" s="637"/>
      <c r="M410" s="637"/>
      <c r="N410" s="637"/>
      <c r="O410" s="637"/>
      <c r="P410" s="637"/>
      <c r="Q410" s="637"/>
      <c r="R410" s="637"/>
      <c r="S410" s="637"/>
      <c r="T410" s="637"/>
      <c r="U410" s="637"/>
      <c r="V410" s="637"/>
      <c r="W410" s="637"/>
      <c r="X410" s="637"/>
      <c r="Y410" s="637"/>
      <c r="Z410" s="637"/>
    </row>
    <row r="411" ht="11.25" customHeight="1">
      <c r="A411" s="637"/>
      <c r="B411" s="637"/>
      <c r="C411" s="637"/>
      <c r="D411" s="637"/>
      <c r="E411" s="637"/>
      <c r="F411" s="637"/>
      <c r="G411" s="637"/>
      <c r="H411" s="637"/>
      <c r="I411" s="637"/>
      <c r="J411" s="637"/>
      <c r="K411" s="637"/>
      <c r="L411" s="637"/>
      <c r="M411" s="637"/>
      <c r="N411" s="637"/>
      <c r="O411" s="637"/>
      <c r="P411" s="637"/>
      <c r="Q411" s="637"/>
      <c r="R411" s="637"/>
      <c r="S411" s="637"/>
      <c r="T411" s="637"/>
      <c r="U411" s="637"/>
      <c r="V411" s="637"/>
      <c r="W411" s="637"/>
      <c r="X411" s="637"/>
      <c r="Y411" s="637"/>
      <c r="Z411" s="637"/>
    </row>
    <row r="412" ht="11.25" customHeight="1">
      <c r="A412" s="637"/>
      <c r="B412" s="637"/>
      <c r="C412" s="637"/>
      <c r="D412" s="637"/>
      <c r="E412" s="637"/>
      <c r="F412" s="637"/>
      <c r="G412" s="637"/>
      <c r="H412" s="637"/>
      <c r="I412" s="637"/>
      <c r="J412" s="637"/>
      <c r="K412" s="637"/>
      <c r="L412" s="637"/>
      <c r="M412" s="637"/>
      <c r="N412" s="637"/>
      <c r="O412" s="637"/>
      <c r="P412" s="637"/>
      <c r="Q412" s="637"/>
      <c r="R412" s="637"/>
      <c r="S412" s="637"/>
      <c r="T412" s="637"/>
      <c r="U412" s="637"/>
      <c r="V412" s="637"/>
      <c r="W412" s="637"/>
      <c r="X412" s="637"/>
      <c r="Y412" s="637"/>
      <c r="Z412" s="637"/>
    </row>
    <row r="413" ht="11.25" customHeight="1">
      <c r="A413" s="637"/>
      <c r="B413" s="637"/>
      <c r="C413" s="637"/>
      <c r="D413" s="637"/>
      <c r="E413" s="637"/>
      <c r="F413" s="637"/>
      <c r="G413" s="637"/>
      <c r="H413" s="637"/>
      <c r="I413" s="637"/>
      <c r="J413" s="637"/>
      <c r="K413" s="637"/>
      <c r="L413" s="637"/>
      <c r="M413" s="637"/>
      <c r="N413" s="637"/>
      <c r="O413" s="637"/>
      <c r="P413" s="637"/>
      <c r="Q413" s="637"/>
      <c r="R413" s="637"/>
      <c r="S413" s="637"/>
      <c r="T413" s="637"/>
      <c r="U413" s="637"/>
      <c r="V413" s="637"/>
      <c r="W413" s="637"/>
      <c r="X413" s="637"/>
      <c r="Y413" s="637"/>
      <c r="Z413" s="637"/>
    </row>
    <row r="414" ht="11.25" customHeight="1">
      <c r="A414" s="637"/>
      <c r="B414" s="637"/>
      <c r="C414" s="637"/>
      <c r="D414" s="637"/>
      <c r="E414" s="637"/>
      <c r="F414" s="637"/>
      <c r="G414" s="637"/>
      <c r="H414" s="637"/>
      <c r="I414" s="637"/>
      <c r="J414" s="637"/>
      <c r="K414" s="637"/>
      <c r="L414" s="637"/>
      <c r="M414" s="637"/>
      <c r="N414" s="637"/>
      <c r="O414" s="637"/>
      <c r="P414" s="637"/>
      <c r="Q414" s="637"/>
      <c r="R414" s="637"/>
      <c r="S414" s="637"/>
      <c r="T414" s="637"/>
      <c r="U414" s="637"/>
      <c r="V414" s="637"/>
      <c r="W414" s="637"/>
      <c r="X414" s="637"/>
      <c r="Y414" s="637"/>
      <c r="Z414" s="637"/>
    </row>
    <row r="415" ht="11.25" customHeight="1">
      <c r="A415" s="637"/>
      <c r="B415" s="637"/>
      <c r="C415" s="637"/>
      <c r="D415" s="637"/>
      <c r="E415" s="637"/>
      <c r="F415" s="637"/>
      <c r="G415" s="637"/>
      <c r="H415" s="637"/>
      <c r="I415" s="637"/>
      <c r="J415" s="637"/>
      <c r="K415" s="637"/>
      <c r="L415" s="637"/>
      <c r="M415" s="637"/>
      <c r="N415" s="637"/>
      <c r="O415" s="637"/>
      <c r="P415" s="637"/>
      <c r="Q415" s="637"/>
      <c r="R415" s="637"/>
      <c r="S415" s="637"/>
      <c r="T415" s="637"/>
      <c r="U415" s="637"/>
      <c r="V415" s="637"/>
      <c r="W415" s="637"/>
      <c r="X415" s="637"/>
      <c r="Y415" s="637"/>
      <c r="Z415" s="637"/>
    </row>
    <row r="416" ht="11.25" customHeight="1">
      <c r="A416" s="637"/>
      <c r="B416" s="637"/>
      <c r="C416" s="637"/>
      <c r="D416" s="637"/>
      <c r="E416" s="637"/>
      <c r="F416" s="637"/>
      <c r="G416" s="637"/>
      <c r="H416" s="637"/>
      <c r="I416" s="637"/>
      <c r="J416" s="637"/>
      <c r="K416" s="637"/>
      <c r="L416" s="637"/>
      <c r="M416" s="637"/>
      <c r="N416" s="637"/>
      <c r="O416" s="637"/>
      <c r="P416" s="637"/>
      <c r="Q416" s="637"/>
      <c r="R416" s="637"/>
      <c r="S416" s="637"/>
      <c r="T416" s="637"/>
      <c r="U416" s="637"/>
      <c r="V416" s="637"/>
      <c r="W416" s="637"/>
      <c r="X416" s="637"/>
      <c r="Y416" s="637"/>
      <c r="Z416" s="637"/>
    </row>
    <row r="417" ht="11.25" customHeight="1">
      <c r="A417" s="637"/>
      <c r="B417" s="637"/>
      <c r="C417" s="637"/>
      <c r="D417" s="637"/>
      <c r="E417" s="637"/>
      <c r="F417" s="637"/>
      <c r="G417" s="637"/>
      <c r="H417" s="637"/>
      <c r="I417" s="637"/>
      <c r="J417" s="637"/>
      <c r="K417" s="637"/>
      <c r="L417" s="637"/>
      <c r="M417" s="637"/>
      <c r="N417" s="637"/>
      <c r="O417" s="637"/>
      <c r="P417" s="637"/>
      <c r="Q417" s="637"/>
      <c r="R417" s="637"/>
      <c r="S417" s="637"/>
      <c r="T417" s="637"/>
      <c r="U417" s="637"/>
      <c r="V417" s="637"/>
      <c r="W417" s="637"/>
      <c r="X417" s="637"/>
      <c r="Y417" s="637"/>
      <c r="Z417" s="637"/>
    </row>
    <row r="418" ht="11.25" customHeight="1">
      <c r="A418" s="637"/>
      <c r="B418" s="637"/>
      <c r="C418" s="637"/>
      <c r="D418" s="637"/>
      <c r="E418" s="637"/>
      <c r="F418" s="637"/>
      <c r="G418" s="637"/>
      <c r="H418" s="637"/>
      <c r="I418" s="637"/>
      <c r="J418" s="637"/>
      <c r="K418" s="637"/>
      <c r="L418" s="637"/>
      <c r="M418" s="637"/>
      <c r="N418" s="637"/>
      <c r="O418" s="637"/>
      <c r="P418" s="637"/>
      <c r="Q418" s="637"/>
      <c r="R418" s="637"/>
      <c r="S418" s="637"/>
      <c r="T418" s="637"/>
      <c r="U418" s="637"/>
      <c r="V418" s="637"/>
      <c r="W418" s="637"/>
      <c r="X418" s="637"/>
      <c r="Y418" s="637"/>
      <c r="Z418" s="637"/>
    </row>
    <row r="419" ht="11.25" customHeight="1">
      <c r="A419" s="637"/>
      <c r="B419" s="637"/>
      <c r="C419" s="637"/>
      <c r="D419" s="637"/>
      <c r="E419" s="637"/>
      <c r="F419" s="637"/>
      <c r="G419" s="637"/>
      <c r="H419" s="637"/>
      <c r="I419" s="637"/>
      <c r="J419" s="637"/>
      <c r="K419" s="637"/>
      <c r="L419" s="637"/>
      <c r="M419" s="637"/>
      <c r="N419" s="637"/>
      <c r="O419" s="637"/>
      <c r="P419" s="637"/>
      <c r="Q419" s="637"/>
      <c r="R419" s="637"/>
      <c r="S419" s="637"/>
      <c r="T419" s="637"/>
      <c r="U419" s="637"/>
      <c r="V419" s="637"/>
      <c r="W419" s="637"/>
      <c r="X419" s="637"/>
      <c r="Y419" s="637"/>
      <c r="Z419" s="637"/>
    </row>
    <row r="420" ht="11.25" customHeight="1">
      <c r="A420" s="637"/>
      <c r="B420" s="637"/>
      <c r="C420" s="637"/>
      <c r="D420" s="637"/>
      <c r="E420" s="637"/>
      <c r="F420" s="637"/>
      <c r="G420" s="637"/>
      <c r="H420" s="637"/>
      <c r="I420" s="637"/>
      <c r="J420" s="637"/>
      <c r="K420" s="637"/>
      <c r="L420" s="637"/>
      <c r="M420" s="637"/>
      <c r="N420" s="637"/>
      <c r="O420" s="637"/>
      <c r="P420" s="637"/>
      <c r="Q420" s="637"/>
      <c r="R420" s="637"/>
      <c r="S420" s="637"/>
      <c r="T420" s="637"/>
      <c r="U420" s="637"/>
      <c r="V420" s="637"/>
      <c r="W420" s="637"/>
      <c r="X420" s="637"/>
      <c r="Y420" s="637"/>
      <c r="Z420" s="637"/>
    </row>
    <row r="421" ht="11.25" customHeight="1">
      <c r="A421" s="637"/>
      <c r="B421" s="637"/>
      <c r="C421" s="637"/>
      <c r="D421" s="637"/>
      <c r="E421" s="637"/>
      <c r="F421" s="637"/>
      <c r="G421" s="637"/>
      <c r="H421" s="637"/>
      <c r="I421" s="637"/>
      <c r="J421" s="637"/>
      <c r="K421" s="637"/>
      <c r="L421" s="637"/>
      <c r="M421" s="637"/>
      <c r="N421" s="637"/>
      <c r="O421" s="637"/>
      <c r="P421" s="637"/>
      <c r="Q421" s="637"/>
      <c r="R421" s="637"/>
      <c r="S421" s="637"/>
      <c r="T421" s="637"/>
      <c r="U421" s="637"/>
      <c r="V421" s="637"/>
      <c r="W421" s="637"/>
      <c r="X421" s="637"/>
      <c r="Y421" s="637"/>
      <c r="Z421" s="637"/>
    </row>
    <row r="422" ht="11.25" customHeight="1">
      <c r="A422" s="637"/>
      <c r="B422" s="637"/>
      <c r="C422" s="637"/>
      <c r="D422" s="637"/>
      <c r="E422" s="637"/>
      <c r="F422" s="637"/>
      <c r="G422" s="637"/>
      <c r="H422" s="637"/>
      <c r="I422" s="637"/>
      <c r="J422" s="637"/>
      <c r="K422" s="637"/>
      <c r="L422" s="637"/>
      <c r="M422" s="637"/>
      <c r="N422" s="637"/>
      <c r="O422" s="637"/>
      <c r="P422" s="637"/>
      <c r="Q422" s="637"/>
      <c r="R422" s="637"/>
      <c r="S422" s="637"/>
      <c r="T422" s="637"/>
      <c r="U422" s="637"/>
      <c r="V422" s="637"/>
      <c r="W422" s="637"/>
      <c r="X422" s="637"/>
      <c r="Y422" s="637"/>
      <c r="Z422" s="637"/>
    </row>
    <row r="423" ht="11.25" customHeight="1">
      <c r="A423" s="637"/>
      <c r="B423" s="637"/>
      <c r="C423" s="637"/>
      <c r="D423" s="637"/>
      <c r="E423" s="637"/>
      <c r="F423" s="637"/>
      <c r="G423" s="637"/>
      <c r="H423" s="637"/>
      <c r="I423" s="637"/>
      <c r="J423" s="637"/>
      <c r="K423" s="637"/>
      <c r="L423" s="637"/>
      <c r="M423" s="637"/>
      <c r="N423" s="637"/>
      <c r="O423" s="637"/>
      <c r="P423" s="637"/>
      <c r="Q423" s="637"/>
      <c r="R423" s="637"/>
      <c r="S423" s="637"/>
      <c r="T423" s="637"/>
      <c r="U423" s="637"/>
      <c r="V423" s="637"/>
      <c r="W423" s="637"/>
      <c r="X423" s="637"/>
      <c r="Y423" s="637"/>
      <c r="Z423" s="637"/>
    </row>
    <row r="424" ht="11.25" customHeight="1">
      <c r="A424" s="637"/>
      <c r="B424" s="637"/>
      <c r="C424" s="637"/>
      <c r="D424" s="637"/>
      <c r="E424" s="637"/>
      <c r="F424" s="637"/>
      <c r="G424" s="637"/>
      <c r="H424" s="637"/>
      <c r="I424" s="637"/>
      <c r="J424" s="637"/>
      <c r="K424" s="637"/>
      <c r="L424" s="637"/>
      <c r="M424" s="637"/>
      <c r="N424" s="637"/>
      <c r="O424" s="637"/>
      <c r="P424" s="637"/>
      <c r="Q424" s="637"/>
      <c r="R424" s="637"/>
      <c r="S424" s="637"/>
      <c r="T424" s="637"/>
      <c r="U424" s="637"/>
      <c r="V424" s="637"/>
      <c r="W424" s="637"/>
      <c r="X424" s="637"/>
      <c r="Y424" s="637"/>
      <c r="Z424" s="637"/>
    </row>
    <row r="425" ht="11.25" customHeight="1">
      <c r="A425" s="637"/>
      <c r="B425" s="637"/>
      <c r="C425" s="637"/>
      <c r="D425" s="637"/>
      <c r="E425" s="637"/>
      <c r="F425" s="637"/>
      <c r="G425" s="637"/>
      <c r="H425" s="637"/>
      <c r="I425" s="637"/>
      <c r="J425" s="637"/>
      <c r="K425" s="637"/>
      <c r="L425" s="637"/>
      <c r="M425" s="637"/>
      <c r="N425" s="637"/>
      <c r="O425" s="637"/>
      <c r="P425" s="637"/>
      <c r="Q425" s="637"/>
      <c r="R425" s="637"/>
      <c r="S425" s="637"/>
      <c r="T425" s="637"/>
      <c r="U425" s="637"/>
      <c r="V425" s="637"/>
      <c r="W425" s="637"/>
      <c r="X425" s="637"/>
      <c r="Y425" s="637"/>
      <c r="Z425" s="637"/>
    </row>
    <row r="426" ht="11.25" customHeight="1">
      <c r="A426" s="637"/>
      <c r="B426" s="637"/>
      <c r="C426" s="637"/>
      <c r="D426" s="637"/>
      <c r="E426" s="637"/>
      <c r="F426" s="637"/>
      <c r="G426" s="637"/>
      <c r="H426" s="637"/>
      <c r="I426" s="637"/>
      <c r="J426" s="637"/>
      <c r="K426" s="637"/>
      <c r="L426" s="637"/>
      <c r="M426" s="637"/>
      <c r="N426" s="637"/>
      <c r="O426" s="637"/>
      <c r="P426" s="637"/>
      <c r="Q426" s="637"/>
      <c r="R426" s="637"/>
      <c r="S426" s="637"/>
      <c r="T426" s="637"/>
      <c r="U426" s="637"/>
      <c r="V426" s="637"/>
      <c r="W426" s="637"/>
      <c r="X426" s="637"/>
      <c r="Y426" s="637"/>
      <c r="Z426" s="637"/>
    </row>
    <row r="427" ht="11.25" customHeight="1">
      <c r="A427" s="637"/>
      <c r="B427" s="637"/>
      <c r="C427" s="637"/>
      <c r="D427" s="637"/>
      <c r="E427" s="637"/>
      <c r="F427" s="637"/>
      <c r="G427" s="637"/>
      <c r="H427" s="637"/>
      <c r="I427" s="637"/>
      <c r="J427" s="637"/>
      <c r="K427" s="637"/>
      <c r="L427" s="637"/>
      <c r="M427" s="637"/>
      <c r="N427" s="637"/>
      <c r="O427" s="637"/>
      <c r="P427" s="637"/>
      <c r="Q427" s="637"/>
      <c r="R427" s="637"/>
      <c r="S427" s="637"/>
      <c r="T427" s="637"/>
      <c r="U427" s="637"/>
      <c r="V427" s="637"/>
      <c r="W427" s="637"/>
      <c r="X427" s="637"/>
      <c r="Y427" s="637"/>
      <c r="Z427" s="637"/>
    </row>
    <row r="428" ht="11.25" customHeight="1">
      <c r="A428" s="637"/>
      <c r="B428" s="637"/>
      <c r="C428" s="637"/>
      <c r="D428" s="637"/>
      <c r="E428" s="637"/>
      <c r="F428" s="637"/>
      <c r="G428" s="637"/>
      <c r="H428" s="637"/>
      <c r="I428" s="637"/>
      <c r="J428" s="637"/>
      <c r="K428" s="637"/>
      <c r="L428" s="637"/>
      <c r="M428" s="637"/>
      <c r="N428" s="637"/>
      <c r="O428" s="637"/>
      <c r="P428" s="637"/>
      <c r="Q428" s="637"/>
      <c r="R428" s="637"/>
      <c r="S428" s="637"/>
      <c r="T428" s="637"/>
      <c r="U428" s="637"/>
      <c r="V428" s="637"/>
      <c r="W428" s="637"/>
      <c r="X428" s="637"/>
      <c r="Y428" s="637"/>
      <c r="Z428" s="637"/>
    </row>
    <row r="429" ht="11.25" customHeight="1">
      <c r="A429" s="637"/>
      <c r="B429" s="637"/>
      <c r="C429" s="637"/>
      <c r="D429" s="637"/>
      <c r="E429" s="637"/>
      <c r="F429" s="637"/>
      <c r="G429" s="637"/>
      <c r="H429" s="637"/>
      <c r="I429" s="637"/>
      <c r="J429" s="637"/>
      <c r="K429" s="637"/>
      <c r="L429" s="637"/>
      <c r="M429" s="637"/>
      <c r="N429" s="637"/>
      <c r="O429" s="637"/>
      <c r="P429" s="637"/>
      <c r="Q429" s="637"/>
      <c r="R429" s="637"/>
      <c r="S429" s="637"/>
      <c r="T429" s="637"/>
      <c r="U429" s="637"/>
      <c r="V429" s="637"/>
      <c r="W429" s="637"/>
      <c r="X429" s="637"/>
      <c r="Y429" s="637"/>
      <c r="Z429" s="637"/>
    </row>
    <row r="430" ht="11.25" customHeight="1">
      <c r="A430" s="637"/>
      <c r="B430" s="637"/>
      <c r="C430" s="637"/>
      <c r="D430" s="637"/>
      <c r="E430" s="637"/>
      <c r="F430" s="637"/>
      <c r="G430" s="637"/>
      <c r="H430" s="637"/>
      <c r="I430" s="637"/>
      <c r="J430" s="637"/>
      <c r="K430" s="637"/>
      <c r="L430" s="637"/>
      <c r="M430" s="637"/>
      <c r="N430" s="637"/>
      <c r="O430" s="637"/>
      <c r="P430" s="637"/>
      <c r="Q430" s="637"/>
      <c r="R430" s="637"/>
      <c r="S430" s="637"/>
      <c r="T430" s="637"/>
      <c r="U430" s="637"/>
      <c r="V430" s="637"/>
      <c r="W430" s="637"/>
      <c r="X430" s="637"/>
      <c r="Y430" s="637"/>
      <c r="Z430" s="637"/>
    </row>
    <row r="431" ht="11.25" customHeight="1">
      <c r="A431" s="637"/>
      <c r="B431" s="637"/>
      <c r="C431" s="637"/>
      <c r="D431" s="637"/>
      <c r="E431" s="637"/>
      <c r="F431" s="637"/>
      <c r="G431" s="637"/>
      <c r="H431" s="637"/>
      <c r="I431" s="637"/>
      <c r="J431" s="637"/>
      <c r="K431" s="637"/>
      <c r="L431" s="637"/>
      <c r="M431" s="637"/>
      <c r="N431" s="637"/>
      <c r="O431" s="637"/>
      <c r="P431" s="637"/>
      <c r="Q431" s="637"/>
      <c r="R431" s="637"/>
      <c r="S431" s="637"/>
      <c r="T431" s="637"/>
      <c r="U431" s="637"/>
      <c r="V431" s="637"/>
      <c r="W431" s="637"/>
      <c r="X431" s="637"/>
      <c r="Y431" s="637"/>
      <c r="Z431" s="637"/>
    </row>
    <row r="432" ht="11.25" customHeight="1">
      <c r="A432" s="637"/>
      <c r="B432" s="637"/>
      <c r="C432" s="637"/>
      <c r="D432" s="637"/>
      <c r="E432" s="637"/>
      <c r="F432" s="637"/>
      <c r="G432" s="637"/>
      <c r="H432" s="637"/>
      <c r="I432" s="637"/>
      <c r="J432" s="637"/>
      <c r="K432" s="637"/>
      <c r="L432" s="637"/>
      <c r="M432" s="637"/>
      <c r="N432" s="637"/>
      <c r="O432" s="637"/>
      <c r="P432" s="637"/>
      <c r="Q432" s="637"/>
      <c r="R432" s="637"/>
      <c r="S432" s="637"/>
      <c r="T432" s="637"/>
      <c r="U432" s="637"/>
      <c r="V432" s="637"/>
      <c r="W432" s="637"/>
      <c r="X432" s="637"/>
      <c r="Y432" s="637"/>
      <c r="Z432" s="637"/>
    </row>
    <row r="433" ht="11.25" customHeight="1">
      <c r="A433" s="637"/>
      <c r="B433" s="637"/>
      <c r="C433" s="637"/>
      <c r="D433" s="637"/>
      <c r="E433" s="637"/>
      <c r="F433" s="637"/>
      <c r="G433" s="637"/>
      <c r="H433" s="637"/>
      <c r="I433" s="637"/>
      <c r="J433" s="637"/>
      <c r="K433" s="637"/>
      <c r="L433" s="637"/>
      <c r="M433" s="637"/>
      <c r="N433" s="637"/>
      <c r="O433" s="637"/>
      <c r="P433" s="637"/>
      <c r="Q433" s="637"/>
      <c r="R433" s="637"/>
      <c r="S433" s="637"/>
      <c r="T433" s="637"/>
      <c r="U433" s="637"/>
      <c r="V433" s="637"/>
      <c r="W433" s="637"/>
      <c r="X433" s="637"/>
      <c r="Y433" s="637"/>
      <c r="Z433" s="637"/>
    </row>
    <row r="434" ht="11.25" customHeight="1">
      <c r="A434" s="637"/>
      <c r="B434" s="637"/>
      <c r="C434" s="637"/>
      <c r="D434" s="637"/>
      <c r="E434" s="637"/>
      <c r="F434" s="637"/>
      <c r="G434" s="637"/>
      <c r="H434" s="637"/>
      <c r="I434" s="637"/>
      <c r="J434" s="637"/>
      <c r="K434" s="637"/>
      <c r="L434" s="637"/>
      <c r="M434" s="637"/>
      <c r="N434" s="637"/>
      <c r="O434" s="637"/>
      <c r="P434" s="637"/>
      <c r="Q434" s="637"/>
      <c r="R434" s="637"/>
      <c r="S434" s="637"/>
      <c r="T434" s="637"/>
      <c r="U434" s="637"/>
      <c r="V434" s="637"/>
      <c r="W434" s="637"/>
      <c r="X434" s="637"/>
      <c r="Y434" s="637"/>
      <c r="Z434" s="637"/>
    </row>
    <row r="435" ht="11.25" customHeight="1">
      <c r="A435" s="637"/>
      <c r="B435" s="637"/>
      <c r="C435" s="637"/>
      <c r="D435" s="637"/>
      <c r="E435" s="637"/>
      <c r="F435" s="637"/>
      <c r="G435" s="637"/>
      <c r="H435" s="637"/>
      <c r="I435" s="637"/>
      <c r="J435" s="637"/>
      <c r="K435" s="637"/>
      <c r="L435" s="637"/>
      <c r="M435" s="637"/>
      <c r="N435" s="637"/>
      <c r="O435" s="637"/>
      <c r="P435" s="637"/>
      <c r="Q435" s="637"/>
      <c r="R435" s="637"/>
      <c r="S435" s="637"/>
      <c r="T435" s="637"/>
      <c r="U435" s="637"/>
      <c r="V435" s="637"/>
      <c r="W435" s="637"/>
      <c r="X435" s="637"/>
      <c r="Y435" s="637"/>
      <c r="Z435" s="637"/>
    </row>
    <row r="436" ht="11.25" customHeight="1">
      <c r="A436" s="637"/>
      <c r="B436" s="637"/>
      <c r="C436" s="637"/>
      <c r="D436" s="637"/>
      <c r="E436" s="637"/>
      <c r="F436" s="637"/>
      <c r="G436" s="637"/>
      <c r="H436" s="637"/>
      <c r="I436" s="637"/>
      <c r="J436" s="637"/>
      <c r="K436" s="637"/>
      <c r="L436" s="637"/>
      <c r="M436" s="637"/>
      <c r="N436" s="637"/>
      <c r="O436" s="637"/>
      <c r="P436" s="637"/>
      <c r="Q436" s="637"/>
      <c r="R436" s="637"/>
      <c r="S436" s="637"/>
      <c r="T436" s="637"/>
      <c r="U436" s="637"/>
      <c r="V436" s="637"/>
      <c r="W436" s="637"/>
      <c r="X436" s="637"/>
      <c r="Y436" s="637"/>
      <c r="Z436" s="637"/>
    </row>
    <row r="437" ht="11.25" customHeight="1">
      <c r="A437" s="637"/>
      <c r="B437" s="637"/>
      <c r="C437" s="637"/>
      <c r="D437" s="637"/>
      <c r="E437" s="637"/>
      <c r="F437" s="637"/>
      <c r="G437" s="637"/>
      <c r="H437" s="637"/>
      <c r="I437" s="637"/>
      <c r="J437" s="637"/>
      <c r="K437" s="637"/>
      <c r="L437" s="637"/>
      <c r="M437" s="637"/>
      <c r="N437" s="637"/>
      <c r="O437" s="637"/>
      <c r="P437" s="637"/>
      <c r="Q437" s="637"/>
      <c r="R437" s="637"/>
      <c r="S437" s="637"/>
      <c r="T437" s="637"/>
      <c r="U437" s="637"/>
      <c r="V437" s="637"/>
      <c r="W437" s="637"/>
      <c r="X437" s="637"/>
      <c r="Y437" s="637"/>
      <c r="Z437" s="637"/>
    </row>
    <row r="438" ht="11.25" customHeight="1">
      <c r="A438" s="637"/>
      <c r="B438" s="637"/>
      <c r="C438" s="637"/>
      <c r="D438" s="637"/>
      <c r="E438" s="637"/>
      <c r="F438" s="637"/>
      <c r="G438" s="637"/>
      <c r="H438" s="637"/>
      <c r="I438" s="637"/>
      <c r="J438" s="637"/>
      <c r="K438" s="637"/>
      <c r="L438" s="637"/>
      <c r="M438" s="637"/>
      <c r="N438" s="637"/>
      <c r="O438" s="637"/>
      <c r="P438" s="637"/>
      <c r="Q438" s="637"/>
      <c r="R438" s="637"/>
      <c r="S438" s="637"/>
      <c r="T438" s="637"/>
      <c r="U438" s="637"/>
      <c r="V438" s="637"/>
      <c r="W438" s="637"/>
      <c r="X438" s="637"/>
      <c r="Y438" s="637"/>
      <c r="Z438" s="637"/>
    </row>
    <row r="439" ht="11.25" customHeight="1">
      <c r="A439" s="637"/>
      <c r="B439" s="637"/>
      <c r="C439" s="637"/>
      <c r="D439" s="637"/>
      <c r="E439" s="637"/>
      <c r="F439" s="637"/>
      <c r="G439" s="637"/>
      <c r="H439" s="637"/>
      <c r="I439" s="637"/>
      <c r="J439" s="637"/>
      <c r="K439" s="637"/>
      <c r="L439" s="637"/>
      <c r="M439" s="637"/>
      <c r="N439" s="637"/>
      <c r="O439" s="637"/>
      <c r="P439" s="637"/>
      <c r="Q439" s="637"/>
      <c r="R439" s="637"/>
      <c r="S439" s="637"/>
      <c r="T439" s="637"/>
      <c r="U439" s="637"/>
      <c r="V439" s="637"/>
      <c r="W439" s="637"/>
      <c r="X439" s="637"/>
      <c r="Y439" s="637"/>
      <c r="Z439" s="637"/>
    </row>
    <row r="440" ht="11.25" customHeight="1">
      <c r="A440" s="637"/>
      <c r="B440" s="637"/>
      <c r="C440" s="637"/>
      <c r="D440" s="637"/>
      <c r="E440" s="637"/>
      <c r="F440" s="637"/>
      <c r="G440" s="637"/>
      <c r="H440" s="637"/>
      <c r="I440" s="637"/>
      <c r="J440" s="637"/>
      <c r="K440" s="637"/>
      <c r="L440" s="637"/>
      <c r="M440" s="637"/>
      <c r="N440" s="637"/>
      <c r="O440" s="637"/>
      <c r="P440" s="637"/>
      <c r="Q440" s="637"/>
      <c r="R440" s="637"/>
      <c r="S440" s="637"/>
      <c r="T440" s="637"/>
      <c r="U440" s="637"/>
      <c r="V440" s="637"/>
      <c r="W440" s="637"/>
      <c r="X440" s="637"/>
      <c r="Y440" s="637"/>
      <c r="Z440" s="637"/>
    </row>
    <row r="441" ht="11.25" customHeight="1">
      <c r="A441" s="637"/>
      <c r="B441" s="637"/>
      <c r="C441" s="637"/>
      <c r="D441" s="637"/>
      <c r="E441" s="637"/>
      <c r="F441" s="637"/>
      <c r="G441" s="637"/>
      <c r="H441" s="637"/>
      <c r="I441" s="637"/>
      <c r="J441" s="637"/>
      <c r="K441" s="637"/>
      <c r="L441" s="637"/>
      <c r="M441" s="637"/>
      <c r="N441" s="637"/>
      <c r="O441" s="637"/>
      <c r="P441" s="637"/>
      <c r="Q441" s="637"/>
      <c r="R441" s="637"/>
      <c r="S441" s="637"/>
      <c r="T441" s="637"/>
      <c r="U441" s="637"/>
      <c r="V441" s="637"/>
      <c r="W441" s="637"/>
      <c r="X441" s="637"/>
      <c r="Y441" s="637"/>
      <c r="Z441" s="637"/>
    </row>
    <row r="442" ht="11.25" customHeight="1">
      <c r="A442" s="637"/>
      <c r="B442" s="637"/>
      <c r="C442" s="637"/>
      <c r="D442" s="637"/>
      <c r="E442" s="637"/>
      <c r="F442" s="637"/>
      <c r="G442" s="637"/>
      <c r="H442" s="637"/>
      <c r="I442" s="637"/>
      <c r="J442" s="637"/>
      <c r="K442" s="637"/>
      <c r="L442" s="637"/>
      <c r="M442" s="637"/>
      <c r="N442" s="637"/>
      <c r="O442" s="637"/>
      <c r="P442" s="637"/>
      <c r="Q442" s="637"/>
      <c r="R442" s="637"/>
      <c r="S442" s="637"/>
      <c r="T442" s="637"/>
      <c r="U442" s="637"/>
      <c r="V442" s="637"/>
      <c r="W442" s="637"/>
      <c r="X442" s="637"/>
      <c r="Y442" s="637"/>
      <c r="Z442" s="637"/>
    </row>
    <row r="443" ht="11.25" customHeight="1">
      <c r="A443" s="637"/>
      <c r="B443" s="637"/>
      <c r="C443" s="637"/>
      <c r="D443" s="637"/>
      <c r="E443" s="637"/>
      <c r="F443" s="637"/>
      <c r="G443" s="637"/>
      <c r="H443" s="637"/>
      <c r="I443" s="637"/>
      <c r="J443" s="637"/>
      <c r="K443" s="637"/>
      <c r="L443" s="637"/>
      <c r="M443" s="637"/>
      <c r="N443" s="637"/>
      <c r="O443" s="637"/>
      <c r="P443" s="637"/>
      <c r="Q443" s="637"/>
      <c r="R443" s="637"/>
      <c r="S443" s="637"/>
      <c r="T443" s="637"/>
      <c r="U443" s="637"/>
      <c r="V443" s="637"/>
      <c r="W443" s="637"/>
      <c r="X443" s="637"/>
      <c r="Y443" s="637"/>
      <c r="Z443" s="637"/>
    </row>
    <row r="444" ht="11.25" customHeight="1">
      <c r="A444" s="637"/>
      <c r="B444" s="637"/>
      <c r="C444" s="637"/>
      <c r="D444" s="637"/>
      <c r="E444" s="637"/>
      <c r="F444" s="637"/>
      <c r="G444" s="637"/>
      <c r="H444" s="637"/>
      <c r="I444" s="637"/>
      <c r="J444" s="637"/>
      <c r="K444" s="637"/>
      <c r="L444" s="637"/>
      <c r="M444" s="637"/>
      <c r="N444" s="637"/>
      <c r="O444" s="637"/>
      <c r="P444" s="637"/>
      <c r="Q444" s="637"/>
      <c r="R444" s="637"/>
      <c r="S444" s="637"/>
      <c r="T444" s="637"/>
      <c r="U444" s="637"/>
      <c r="V444" s="637"/>
      <c r="W444" s="637"/>
      <c r="X444" s="637"/>
      <c r="Y444" s="637"/>
      <c r="Z444" s="637"/>
    </row>
    <row r="445" ht="11.25" customHeight="1">
      <c r="A445" s="637"/>
      <c r="B445" s="637"/>
      <c r="C445" s="637"/>
      <c r="D445" s="637"/>
      <c r="E445" s="637"/>
      <c r="F445" s="637"/>
      <c r="G445" s="637"/>
      <c r="H445" s="637"/>
      <c r="I445" s="637"/>
      <c r="J445" s="637"/>
      <c r="K445" s="637"/>
      <c r="L445" s="637"/>
      <c r="M445" s="637"/>
      <c r="N445" s="637"/>
      <c r="O445" s="637"/>
      <c r="P445" s="637"/>
      <c r="Q445" s="637"/>
      <c r="R445" s="637"/>
      <c r="S445" s="637"/>
      <c r="T445" s="637"/>
      <c r="U445" s="637"/>
      <c r="V445" s="637"/>
      <c r="W445" s="637"/>
      <c r="X445" s="637"/>
      <c r="Y445" s="637"/>
      <c r="Z445" s="637"/>
    </row>
    <row r="446" ht="11.25" customHeight="1">
      <c r="A446" s="637"/>
      <c r="B446" s="637"/>
      <c r="C446" s="637"/>
      <c r="D446" s="637"/>
      <c r="E446" s="637"/>
      <c r="F446" s="637"/>
      <c r="G446" s="637"/>
      <c r="H446" s="637"/>
      <c r="I446" s="637"/>
      <c r="J446" s="637"/>
      <c r="K446" s="637"/>
      <c r="L446" s="637"/>
      <c r="M446" s="637"/>
      <c r="N446" s="637"/>
      <c r="O446" s="637"/>
      <c r="P446" s="637"/>
      <c r="Q446" s="637"/>
      <c r="R446" s="637"/>
      <c r="S446" s="637"/>
      <c r="T446" s="637"/>
      <c r="U446" s="637"/>
      <c r="V446" s="637"/>
      <c r="W446" s="637"/>
      <c r="X446" s="637"/>
      <c r="Y446" s="637"/>
      <c r="Z446" s="637"/>
    </row>
    <row r="447" ht="11.25" customHeight="1">
      <c r="A447" s="637"/>
      <c r="B447" s="637"/>
      <c r="C447" s="637"/>
      <c r="D447" s="637"/>
      <c r="E447" s="637"/>
      <c r="F447" s="637"/>
      <c r="G447" s="637"/>
      <c r="H447" s="637"/>
      <c r="I447" s="637"/>
      <c r="J447" s="637"/>
      <c r="K447" s="637"/>
      <c r="L447" s="637"/>
      <c r="M447" s="637"/>
      <c r="N447" s="637"/>
      <c r="O447" s="637"/>
      <c r="P447" s="637"/>
      <c r="Q447" s="637"/>
      <c r="R447" s="637"/>
      <c r="S447" s="637"/>
      <c r="T447" s="637"/>
      <c r="U447" s="637"/>
      <c r="V447" s="637"/>
      <c r="W447" s="637"/>
      <c r="X447" s="637"/>
      <c r="Y447" s="637"/>
      <c r="Z447" s="637"/>
    </row>
    <row r="448" ht="11.25" customHeight="1">
      <c r="A448" s="637"/>
      <c r="B448" s="637"/>
      <c r="C448" s="637"/>
      <c r="D448" s="637"/>
      <c r="E448" s="637"/>
      <c r="F448" s="637"/>
      <c r="G448" s="637"/>
      <c r="H448" s="637"/>
      <c r="I448" s="637"/>
      <c r="J448" s="637"/>
      <c r="K448" s="637"/>
      <c r="L448" s="637"/>
      <c r="M448" s="637"/>
      <c r="N448" s="637"/>
      <c r="O448" s="637"/>
      <c r="P448" s="637"/>
      <c r="Q448" s="637"/>
      <c r="R448" s="637"/>
      <c r="S448" s="637"/>
      <c r="T448" s="637"/>
      <c r="U448" s="637"/>
      <c r="V448" s="637"/>
      <c r="W448" s="637"/>
      <c r="X448" s="637"/>
      <c r="Y448" s="637"/>
      <c r="Z448" s="637"/>
    </row>
    <row r="449" ht="11.25" customHeight="1">
      <c r="A449" s="637"/>
      <c r="B449" s="637"/>
      <c r="C449" s="637"/>
      <c r="D449" s="637"/>
      <c r="E449" s="637"/>
      <c r="F449" s="637"/>
      <c r="G449" s="637"/>
      <c r="H449" s="637"/>
      <c r="I449" s="637"/>
      <c r="J449" s="637"/>
      <c r="K449" s="637"/>
      <c r="L449" s="637"/>
      <c r="M449" s="637"/>
      <c r="N449" s="637"/>
      <c r="O449" s="637"/>
      <c r="P449" s="637"/>
      <c r="Q449" s="637"/>
      <c r="R449" s="637"/>
      <c r="S449" s="637"/>
      <c r="T449" s="637"/>
      <c r="U449" s="637"/>
      <c r="V449" s="637"/>
      <c r="W449" s="637"/>
      <c r="X449" s="637"/>
      <c r="Y449" s="637"/>
      <c r="Z449" s="637"/>
    </row>
    <row r="450" ht="11.25" customHeight="1">
      <c r="A450" s="637"/>
      <c r="B450" s="637"/>
      <c r="C450" s="637"/>
      <c r="D450" s="637"/>
      <c r="E450" s="637"/>
      <c r="F450" s="637"/>
      <c r="G450" s="637"/>
      <c r="H450" s="637"/>
      <c r="I450" s="637"/>
      <c r="J450" s="637"/>
      <c r="K450" s="637"/>
      <c r="L450" s="637"/>
      <c r="M450" s="637"/>
      <c r="N450" s="637"/>
      <c r="O450" s="637"/>
      <c r="P450" s="637"/>
      <c r="Q450" s="637"/>
      <c r="R450" s="637"/>
      <c r="S450" s="637"/>
      <c r="T450" s="637"/>
      <c r="U450" s="637"/>
      <c r="V450" s="637"/>
      <c r="W450" s="637"/>
      <c r="X450" s="637"/>
      <c r="Y450" s="637"/>
      <c r="Z450" s="637"/>
    </row>
    <row r="451" ht="11.25" customHeight="1">
      <c r="A451" s="637"/>
      <c r="B451" s="637"/>
      <c r="C451" s="637"/>
      <c r="D451" s="637"/>
      <c r="E451" s="637"/>
      <c r="F451" s="637"/>
      <c r="G451" s="637"/>
      <c r="H451" s="637"/>
      <c r="I451" s="637"/>
      <c r="J451" s="637"/>
      <c r="K451" s="637"/>
      <c r="L451" s="637"/>
      <c r="M451" s="637"/>
      <c r="N451" s="637"/>
      <c r="O451" s="637"/>
      <c r="P451" s="637"/>
      <c r="Q451" s="637"/>
      <c r="R451" s="637"/>
      <c r="S451" s="637"/>
      <c r="T451" s="637"/>
      <c r="U451" s="637"/>
      <c r="V451" s="637"/>
      <c r="W451" s="637"/>
      <c r="X451" s="637"/>
      <c r="Y451" s="637"/>
      <c r="Z451" s="637"/>
    </row>
    <row r="452" ht="11.25" customHeight="1">
      <c r="A452" s="637"/>
      <c r="B452" s="637"/>
      <c r="C452" s="637"/>
      <c r="D452" s="637"/>
      <c r="E452" s="637"/>
      <c r="F452" s="637"/>
      <c r="G452" s="637"/>
      <c r="H452" s="637"/>
      <c r="I452" s="637"/>
      <c r="J452" s="637"/>
      <c r="K452" s="637"/>
      <c r="L452" s="637"/>
      <c r="M452" s="637"/>
      <c r="N452" s="637"/>
      <c r="O452" s="637"/>
      <c r="P452" s="637"/>
      <c r="Q452" s="637"/>
      <c r="R452" s="637"/>
      <c r="S452" s="637"/>
      <c r="T452" s="637"/>
      <c r="U452" s="637"/>
      <c r="V452" s="637"/>
      <c r="W452" s="637"/>
      <c r="X452" s="637"/>
      <c r="Y452" s="637"/>
      <c r="Z452" s="637"/>
    </row>
    <row r="453" ht="11.25" customHeight="1">
      <c r="A453" s="637"/>
      <c r="B453" s="637"/>
      <c r="C453" s="637"/>
      <c r="D453" s="637"/>
      <c r="E453" s="637"/>
      <c r="F453" s="637"/>
      <c r="G453" s="637"/>
      <c r="H453" s="637"/>
      <c r="I453" s="637"/>
      <c r="J453" s="637"/>
      <c r="K453" s="637"/>
      <c r="L453" s="637"/>
      <c r="M453" s="637"/>
      <c r="N453" s="637"/>
      <c r="O453" s="637"/>
      <c r="P453" s="637"/>
      <c r="Q453" s="637"/>
      <c r="R453" s="637"/>
      <c r="S453" s="637"/>
      <c r="T453" s="637"/>
      <c r="U453" s="637"/>
      <c r="V453" s="637"/>
      <c r="W453" s="637"/>
      <c r="X453" s="637"/>
      <c r="Y453" s="637"/>
      <c r="Z453" s="637"/>
    </row>
    <row r="454" ht="11.25" customHeight="1">
      <c r="A454" s="637"/>
      <c r="B454" s="637"/>
      <c r="C454" s="637"/>
      <c r="D454" s="637"/>
      <c r="E454" s="637"/>
      <c r="F454" s="637"/>
      <c r="G454" s="637"/>
      <c r="H454" s="637"/>
      <c r="I454" s="637"/>
      <c r="J454" s="637"/>
      <c r="K454" s="637"/>
      <c r="L454" s="637"/>
      <c r="M454" s="637"/>
      <c r="N454" s="637"/>
      <c r="O454" s="637"/>
      <c r="P454" s="637"/>
      <c r="Q454" s="637"/>
      <c r="R454" s="637"/>
      <c r="S454" s="637"/>
      <c r="T454" s="637"/>
      <c r="U454" s="637"/>
      <c r="V454" s="637"/>
      <c r="W454" s="637"/>
      <c r="X454" s="637"/>
      <c r="Y454" s="637"/>
      <c r="Z454" s="637"/>
    </row>
    <row r="455" ht="11.25" customHeight="1">
      <c r="A455" s="637"/>
      <c r="B455" s="637"/>
      <c r="C455" s="637"/>
      <c r="D455" s="637"/>
      <c r="E455" s="637"/>
      <c r="F455" s="637"/>
      <c r="G455" s="637"/>
      <c r="H455" s="637"/>
      <c r="I455" s="637"/>
      <c r="J455" s="637"/>
      <c r="K455" s="637"/>
      <c r="L455" s="637"/>
      <c r="M455" s="637"/>
      <c r="N455" s="637"/>
      <c r="O455" s="637"/>
      <c r="P455" s="637"/>
      <c r="Q455" s="637"/>
      <c r="R455" s="637"/>
      <c r="S455" s="637"/>
      <c r="T455" s="637"/>
      <c r="U455" s="637"/>
      <c r="V455" s="637"/>
      <c r="W455" s="637"/>
      <c r="X455" s="637"/>
      <c r="Y455" s="637"/>
      <c r="Z455" s="637"/>
    </row>
    <row r="456" ht="11.25" customHeight="1">
      <c r="A456" s="637"/>
      <c r="B456" s="637"/>
      <c r="C456" s="637"/>
      <c r="D456" s="637"/>
      <c r="E456" s="637"/>
      <c r="F456" s="637"/>
      <c r="G456" s="637"/>
      <c r="H456" s="637"/>
      <c r="I456" s="637"/>
      <c r="J456" s="637"/>
      <c r="K456" s="637"/>
      <c r="L456" s="637"/>
      <c r="M456" s="637"/>
      <c r="N456" s="637"/>
      <c r="O456" s="637"/>
      <c r="P456" s="637"/>
      <c r="Q456" s="637"/>
      <c r="R456" s="637"/>
      <c r="S456" s="637"/>
      <c r="T456" s="637"/>
      <c r="U456" s="637"/>
      <c r="V456" s="637"/>
      <c r="W456" s="637"/>
      <c r="X456" s="637"/>
      <c r="Y456" s="637"/>
      <c r="Z456" s="637"/>
    </row>
    <row r="457" ht="11.25" customHeight="1">
      <c r="A457" s="637"/>
      <c r="B457" s="637"/>
      <c r="C457" s="637"/>
      <c r="D457" s="637"/>
      <c r="E457" s="637"/>
      <c r="F457" s="637"/>
      <c r="G457" s="637"/>
      <c r="H457" s="637"/>
      <c r="I457" s="637"/>
      <c r="J457" s="637"/>
      <c r="K457" s="637"/>
      <c r="L457" s="637"/>
      <c r="M457" s="637"/>
      <c r="N457" s="637"/>
      <c r="O457" s="637"/>
      <c r="P457" s="637"/>
      <c r="Q457" s="637"/>
      <c r="R457" s="637"/>
      <c r="S457" s="637"/>
      <c r="T457" s="637"/>
      <c r="U457" s="637"/>
      <c r="V457" s="637"/>
      <c r="W457" s="637"/>
      <c r="X457" s="637"/>
      <c r="Y457" s="637"/>
      <c r="Z457" s="637"/>
    </row>
    <row r="458" ht="11.25" customHeight="1">
      <c r="A458" s="637"/>
      <c r="B458" s="637"/>
      <c r="C458" s="637"/>
      <c r="D458" s="637"/>
      <c r="E458" s="637"/>
      <c r="F458" s="637"/>
      <c r="G458" s="637"/>
      <c r="H458" s="637"/>
      <c r="I458" s="637"/>
      <c r="J458" s="637"/>
      <c r="K458" s="637"/>
      <c r="L458" s="637"/>
      <c r="M458" s="637"/>
      <c r="N458" s="637"/>
      <c r="O458" s="637"/>
      <c r="P458" s="637"/>
      <c r="Q458" s="637"/>
      <c r="R458" s="637"/>
      <c r="S458" s="637"/>
      <c r="T458" s="637"/>
      <c r="U458" s="637"/>
      <c r="V458" s="637"/>
      <c r="W458" s="637"/>
      <c r="X458" s="637"/>
      <c r="Y458" s="637"/>
      <c r="Z458" s="637"/>
    </row>
    <row r="459" ht="11.25" customHeight="1">
      <c r="A459" s="637"/>
      <c r="B459" s="637"/>
      <c r="C459" s="637"/>
      <c r="D459" s="637"/>
      <c r="E459" s="637"/>
      <c r="F459" s="637"/>
      <c r="G459" s="637"/>
      <c r="H459" s="637"/>
      <c r="I459" s="637"/>
      <c r="J459" s="637"/>
      <c r="K459" s="637"/>
      <c r="L459" s="637"/>
      <c r="M459" s="637"/>
      <c r="N459" s="637"/>
      <c r="O459" s="637"/>
      <c r="P459" s="637"/>
      <c r="Q459" s="637"/>
      <c r="R459" s="637"/>
      <c r="S459" s="637"/>
      <c r="T459" s="637"/>
      <c r="U459" s="637"/>
      <c r="V459" s="637"/>
      <c r="W459" s="637"/>
      <c r="X459" s="637"/>
      <c r="Y459" s="637"/>
      <c r="Z459" s="637"/>
    </row>
    <row r="460" ht="11.25" customHeight="1">
      <c r="A460" s="637"/>
      <c r="B460" s="637"/>
      <c r="C460" s="637"/>
      <c r="D460" s="637"/>
      <c r="E460" s="637"/>
      <c r="F460" s="637"/>
      <c r="G460" s="637"/>
      <c r="H460" s="637"/>
      <c r="I460" s="637"/>
      <c r="J460" s="637"/>
      <c r="K460" s="637"/>
      <c r="L460" s="637"/>
      <c r="M460" s="637"/>
      <c r="N460" s="637"/>
      <c r="O460" s="637"/>
      <c r="P460" s="637"/>
      <c r="Q460" s="637"/>
      <c r="R460" s="637"/>
      <c r="S460" s="637"/>
      <c r="T460" s="637"/>
      <c r="U460" s="637"/>
      <c r="V460" s="637"/>
      <c r="W460" s="637"/>
      <c r="X460" s="637"/>
      <c r="Y460" s="637"/>
      <c r="Z460" s="637"/>
    </row>
    <row r="461" ht="11.25" customHeight="1">
      <c r="A461" s="637"/>
      <c r="B461" s="637"/>
      <c r="C461" s="637"/>
      <c r="D461" s="637"/>
      <c r="E461" s="637"/>
      <c r="F461" s="637"/>
      <c r="G461" s="637"/>
      <c r="H461" s="637"/>
      <c r="I461" s="637"/>
      <c r="J461" s="637"/>
      <c r="K461" s="637"/>
      <c r="L461" s="637"/>
      <c r="M461" s="637"/>
      <c r="N461" s="637"/>
      <c r="O461" s="637"/>
      <c r="P461" s="637"/>
      <c r="Q461" s="637"/>
      <c r="R461" s="637"/>
      <c r="S461" s="637"/>
      <c r="T461" s="637"/>
      <c r="U461" s="637"/>
      <c r="V461" s="637"/>
      <c r="W461" s="637"/>
      <c r="X461" s="637"/>
      <c r="Y461" s="637"/>
      <c r="Z461" s="637"/>
    </row>
    <row r="462" ht="11.25" customHeight="1">
      <c r="A462" s="637"/>
      <c r="B462" s="637"/>
      <c r="C462" s="637"/>
      <c r="D462" s="637"/>
      <c r="E462" s="637"/>
      <c r="F462" s="637"/>
      <c r="G462" s="637"/>
      <c r="H462" s="637"/>
      <c r="I462" s="637"/>
      <c r="J462" s="637"/>
      <c r="K462" s="637"/>
      <c r="L462" s="637"/>
      <c r="M462" s="637"/>
      <c r="N462" s="637"/>
      <c r="O462" s="637"/>
      <c r="P462" s="637"/>
      <c r="Q462" s="637"/>
      <c r="R462" s="637"/>
      <c r="S462" s="637"/>
      <c r="T462" s="637"/>
      <c r="U462" s="637"/>
      <c r="V462" s="637"/>
      <c r="W462" s="637"/>
      <c r="X462" s="637"/>
      <c r="Y462" s="637"/>
      <c r="Z462" s="637"/>
    </row>
    <row r="463" ht="11.25" customHeight="1">
      <c r="A463" s="637"/>
      <c r="B463" s="637"/>
      <c r="C463" s="637"/>
      <c r="D463" s="637"/>
      <c r="E463" s="637"/>
      <c r="F463" s="637"/>
      <c r="G463" s="637"/>
      <c r="H463" s="637"/>
      <c r="I463" s="637"/>
      <c r="J463" s="637"/>
      <c r="K463" s="637"/>
      <c r="L463" s="637"/>
      <c r="M463" s="637"/>
      <c r="N463" s="637"/>
      <c r="O463" s="637"/>
      <c r="P463" s="637"/>
      <c r="Q463" s="637"/>
      <c r="R463" s="637"/>
      <c r="S463" s="637"/>
      <c r="T463" s="637"/>
      <c r="U463" s="637"/>
      <c r="V463" s="637"/>
      <c r="W463" s="637"/>
      <c r="X463" s="637"/>
      <c r="Y463" s="637"/>
      <c r="Z463" s="637"/>
    </row>
    <row r="464" ht="11.25" customHeight="1">
      <c r="A464" s="637"/>
      <c r="B464" s="637"/>
      <c r="C464" s="637"/>
      <c r="D464" s="637"/>
      <c r="E464" s="637"/>
      <c r="F464" s="637"/>
      <c r="G464" s="637"/>
      <c r="H464" s="637"/>
      <c r="I464" s="637"/>
      <c r="J464" s="637"/>
      <c r="K464" s="637"/>
      <c r="L464" s="637"/>
      <c r="M464" s="637"/>
      <c r="N464" s="637"/>
      <c r="O464" s="637"/>
      <c r="P464" s="637"/>
      <c r="Q464" s="637"/>
      <c r="R464" s="637"/>
      <c r="S464" s="637"/>
      <c r="T464" s="637"/>
      <c r="U464" s="637"/>
      <c r="V464" s="637"/>
      <c r="W464" s="637"/>
      <c r="X464" s="637"/>
      <c r="Y464" s="637"/>
      <c r="Z464" s="637"/>
    </row>
    <row r="465" ht="11.25" customHeight="1">
      <c r="A465" s="637"/>
      <c r="B465" s="637"/>
      <c r="C465" s="637"/>
      <c r="D465" s="637"/>
      <c r="E465" s="637"/>
      <c r="F465" s="637"/>
      <c r="G465" s="637"/>
      <c r="H465" s="637"/>
      <c r="I465" s="637"/>
      <c r="J465" s="637"/>
      <c r="K465" s="637"/>
      <c r="L465" s="637"/>
      <c r="M465" s="637"/>
      <c r="N465" s="637"/>
      <c r="O465" s="637"/>
      <c r="P465" s="637"/>
      <c r="Q465" s="637"/>
      <c r="R465" s="637"/>
      <c r="S465" s="637"/>
      <c r="T465" s="637"/>
      <c r="U465" s="637"/>
      <c r="V465" s="637"/>
      <c r="W465" s="637"/>
      <c r="X465" s="637"/>
      <c r="Y465" s="637"/>
      <c r="Z465" s="637"/>
    </row>
    <row r="466" ht="11.25" customHeight="1">
      <c r="A466" s="637"/>
      <c r="B466" s="637"/>
      <c r="C466" s="637"/>
      <c r="D466" s="637"/>
      <c r="E466" s="637"/>
      <c r="F466" s="637"/>
      <c r="G466" s="637"/>
      <c r="H466" s="637"/>
      <c r="I466" s="637"/>
      <c r="J466" s="637"/>
      <c r="K466" s="637"/>
      <c r="L466" s="637"/>
      <c r="M466" s="637"/>
      <c r="N466" s="637"/>
      <c r="O466" s="637"/>
      <c r="P466" s="637"/>
      <c r="Q466" s="637"/>
      <c r="R466" s="637"/>
      <c r="S466" s="637"/>
      <c r="T466" s="637"/>
      <c r="U466" s="637"/>
      <c r="V466" s="637"/>
      <c r="W466" s="637"/>
      <c r="X466" s="637"/>
      <c r="Y466" s="637"/>
      <c r="Z466" s="637"/>
    </row>
    <row r="467" ht="11.25" customHeight="1">
      <c r="A467" s="637"/>
      <c r="B467" s="637"/>
      <c r="C467" s="637"/>
      <c r="D467" s="637"/>
      <c r="E467" s="637"/>
      <c r="F467" s="637"/>
      <c r="G467" s="637"/>
      <c r="H467" s="637"/>
      <c r="I467" s="637"/>
      <c r="J467" s="637"/>
      <c r="K467" s="637"/>
      <c r="L467" s="637"/>
      <c r="M467" s="637"/>
      <c r="N467" s="637"/>
      <c r="O467" s="637"/>
      <c r="P467" s="637"/>
      <c r="Q467" s="637"/>
      <c r="R467" s="637"/>
      <c r="S467" s="637"/>
      <c r="T467" s="637"/>
      <c r="U467" s="637"/>
      <c r="V467" s="637"/>
      <c r="W467" s="637"/>
      <c r="X467" s="637"/>
      <c r="Y467" s="637"/>
      <c r="Z467" s="637"/>
    </row>
    <row r="468" ht="11.25" customHeight="1">
      <c r="A468" s="637"/>
      <c r="B468" s="637"/>
      <c r="C468" s="637"/>
      <c r="D468" s="637"/>
      <c r="E468" s="637"/>
      <c r="F468" s="637"/>
      <c r="G468" s="637"/>
      <c r="H468" s="637"/>
      <c r="I468" s="637"/>
      <c r="J468" s="637"/>
      <c r="K468" s="637"/>
      <c r="L468" s="637"/>
      <c r="M468" s="637"/>
      <c r="N468" s="637"/>
      <c r="O468" s="637"/>
      <c r="P468" s="637"/>
      <c r="Q468" s="637"/>
      <c r="R468" s="637"/>
      <c r="S468" s="637"/>
      <c r="T468" s="637"/>
      <c r="U468" s="637"/>
      <c r="V468" s="637"/>
      <c r="W468" s="637"/>
      <c r="X468" s="637"/>
      <c r="Y468" s="637"/>
      <c r="Z468" s="637"/>
    </row>
    <row r="469" ht="11.25" customHeight="1">
      <c r="A469" s="637"/>
      <c r="B469" s="637"/>
      <c r="C469" s="637"/>
      <c r="D469" s="637"/>
      <c r="E469" s="637"/>
      <c r="F469" s="637"/>
      <c r="G469" s="637"/>
      <c r="H469" s="637"/>
      <c r="I469" s="637"/>
      <c r="J469" s="637"/>
      <c r="K469" s="637"/>
      <c r="L469" s="637"/>
      <c r="M469" s="637"/>
      <c r="N469" s="637"/>
      <c r="O469" s="637"/>
      <c r="P469" s="637"/>
      <c r="Q469" s="637"/>
      <c r="R469" s="637"/>
      <c r="S469" s="637"/>
      <c r="T469" s="637"/>
      <c r="U469" s="637"/>
      <c r="V469" s="637"/>
      <c r="W469" s="637"/>
      <c r="X469" s="637"/>
      <c r="Y469" s="637"/>
      <c r="Z469" s="637"/>
    </row>
    <row r="470" ht="11.25" customHeight="1">
      <c r="A470" s="637"/>
      <c r="B470" s="637"/>
      <c r="C470" s="637"/>
      <c r="D470" s="637"/>
      <c r="E470" s="637"/>
      <c r="F470" s="637"/>
      <c r="G470" s="637"/>
      <c r="H470" s="637"/>
      <c r="I470" s="637"/>
      <c r="J470" s="637"/>
      <c r="K470" s="637"/>
      <c r="L470" s="637"/>
      <c r="M470" s="637"/>
      <c r="N470" s="637"/>
      <c r="O470" s="637"/>
      <c r="P470" s="637"/>
      <c r="Q470" s="637"/>
      <c r="R470" s="637"/>
      <c r="S470" s="637"/>
      <c r="T470" s="637"/>
      <c r="U470" s="637"/>
      <c r="V470" s="637"/>
      <c r="W470" s="637"/>
      <c r="X470" s="637"/>
      <c r="Y470" s="637"/>
      <c r="Z470" s="637"/>
    </row>
    <row r="471" ht="11.25" customHeight="1">
      <c r="A471" s="637"/>
      <c r="B471" s="637"/>
      <c r="C471" s="637"/>
      <c r="D471" s="637"/>
      <c r="E471" s="637"/>
      <c r="F471" s="637"/>
      <c r="G471" s="637"/>
      <c r="H471" s="637"/>
      <c r="I471" s="637"/>
      <c r="J471" s="637"/>
      <c r="K471" s="637"/>
      <c r="L471" s="637"/>
      <c r="M471" s="637"/>
      <c r="N471" s="637"/>
      <c r="O471" s="637"/>
      <c r="P471" s="637"/>
      <c r="Q471" s="637"/>
      <c r="R471" s="637"/>
      <c r="S471" s="637"/>
      <c r="T471" s="637"/>
      <c r="U471" s="637"/>
      <c r="V471" s="637"/>
      <c r="W471" s="637"/>
      <c r="X471" s="637"/>
      <c r="Y471" s="637"/>
      <c r="Z471" s="637"/>
    </row>
    <row r="472" ht="11.25" customHeight="1">
      <c r="A472" s="637"/>
      <c r="B472" s="637"/>
      <c r="C472" s="637"/>
      <c r="D472" s="637"/>
      <c r="E472" s="637"/>
      <c r="F472" s="637"/>
      <c r="G472" s="637"/>
      <c r="H472" s="637"/>
      <c r="I472" s="637"/>
      <c r="J472" s="637"/>
      <c r="K472" s="637"/>
      <c r="L472" s="637"/>
      <c r="M472" s="637"/>
      <c r="N472" s="637"/>
      <c r="O472" s="637"/>
      <c r="P472" s="637"/>
      <c r="Q472" s="637"/>
      <c r="R472" s="637"/>
      <c r="S472" s="637"/>
      <c r="T472" s="637"/>
      <c r="U472" s="637"/>
      <c r="V472" s="637"/>
      <c r="W472" s="637"/>
      <c r="X472" s="637"/>
      <c r="Y472" s="637"/>
      <c r="Z472" s="637"/>
    </row>
    <row r="473" ht="11.25" customHeight="1">
      <c r="A473" s="637"/>
      <c r="B473" s="637"/>
      <c r="C473" s="637"/>
      <c r="D473" s="637"/>
      <c r="E473" s="637"/>
      <c r="F473" s="637"/>
      <c r="G473" s="637"/>
      <c r="H473" s="637"/>
      <c r="I473" s="637"/>
      <c r="J473" s="637"/>
      <c r="K473" s="637"/>
      <c r="L473" s="637"/>
      <c r="M473" s="637"/>
      <c r="N473" s="637"/>
      <c r="O473" s="637"/>
      <c r="P473" s="637"/>
      <c r="Q473" s="637"/>
      <c r="R473" s="637"/>
      <c r="S473" s="637"/>
      <c r="T473" s="637"/>
      <c r="U473" s="637"/>
      <c r="V473" s="637"/>
      <c r="W473" s="637"/>
      <c r="X473" s="637"/>
      <c r="Y473" s="637"/>
      <c r="Z473" s="637"/>
    </row>
    <row r="474" ht="11.25" customHeight="1">
      <c r="A474" s="637"/>
      <c r="B474" s="637"/>
      <c r="C474" s="637"/>
      <c r="D474" s="637"/>
      <c r="E474" s="637"/>
      <c r="F474" s="637"/>
      <c r="G474" s="637"/>
      <c r="H474" s="637"/>
      <c r="I474" s="637"/>
      <c r="J474" s="637"/>
      <c r="K474" s="637"/>
      <c r="L474" s="637"/>
      <c r="M474" s="637"/>
      <c r="N474" s="637"/>
      <c r="O474" s="637"/>
      <c r="P474" s="637"/>
      <c r="Q474" s="637"/>
      <c r="R474" s="637"/>
      <c r="S474" s="637"/>
      <c r="T474" s="637"/>
      <c r="U474" s="637"/>
      <c r="V474" s="637"/>
      <c r="W474" s="637"/>
      <c r="X474" s="637"/>
      <c r="Y474" s="637"/>
      <c r="Z474" s="637"/>
    </row>
    <row r="475" ht="11.25" customHeight="1">
      <c r="A475" s="637"/>
      <c r="B475" s="637"/>
      <c r="C475" s="637"/>
      <c r="D475" s="637"/>
      <c r="E475" s="637"/>
      <c r="F475" s="637"/>
      <c r="G475" s="637"/>
      <c r="H475" s="637"/>
      <c r="I475" s="637"/>
      <c r="J475" s="637"/>
      <c r="K475" s="637"/>
      <c r="L475" s="637"/>
      <c r="M475" s="637"/>
      <c r="N475" s="637"/>
      <c r="O475" s="637"/>
      <c r="P475" s="637"/>
      <c r="Q475" s="637"/>
      <c r="R475" s="637"/>
      <c r="S475" s="637"/>
      <c r="T475" s="637"/>
      <c r="U475" s="637"/>
      <c r="V475" s="637"/>
      <c r="W475" s="637"/>
      <c r="X475" s="637"/>
      <c r="Y475" s="637"/>
      <c r="Z475" s="637"/>
    </row>
    <row r="476" ht="11.25" customHeight="1">
      <c r="A476" s="637"/>
      <c r="B476" s="637"/>
      <c r="C476" s="637"/>
      <c r="D476" s="637"/>
      <c r="E476" s="637"/>
      <c r="F476" s="637"/>
      <c r="G476" s="637"/>
      <c r="H476" s="637"/>
      <c r="I476" s="637"/>
      <c r="J476" s="637"/>
      <c r="K476" s="637"/>
      <c r="L476" s="637"/>
      <c r="M476" s="637"/>
      <c r="N476" s="637"/>
      <c r="O476" s="637"/>
      <c r="P476" s="637"/>
      <c r="Q476" s="637"/>
      <c r="R476" s="637"/>
      <c r="S476" s="637"/>
      <c r="T476" s="637"/>
      <c r="U476" s="637"/>
      <c r="V476" s="637"/>
      <c r="W476" s="637"/>
      <c r="X476" s="637"/>
      <c r="Y476" s="637"/>
      <c r="Z476" s="637"/>
    </row>
    <row r="477" ht="11.25" customHeight="1">
      <c r="A477" s="637"/>
      <c r="B477" s="637"/>
      <c r="C477" s="637"/>
      <c r="D477" s="637"/>
      <c r="E477" s="637"/>
      <c r="F477" s="637"/>
      <c r="G477" s="637"/>
      <c r="H477" s="637"/>
      <c r="I477" s="637"/>
      <c r="J477" s="637"/>
      <c r="K477" s="637"/>
      <c r="L477" s="637"/>
      <c r="M477" s="637"/>
      <c r="N477" s="637"/>
      <c r="O477" s="637"/>
      <c r="P477" s="637"/>
      <c r="Q477" s="637"/>
      <c r="R477" s="637"/>
      <c r="S477" s="637"/>
      <c r="T477" s="637"/>
      <c r="U477" s="637"/>
      <c r="V477" s="637"/>
      <c r="W477" s="637"/>
      <c r="X477" s="637"/>
      <c r="Y477" s="637"/>
      <c r="Z477" s="637"/>
    </row>
    <row r="478" ht="11.25" customHeight="1">
      <c r="A478" s="637"/>
      <c r="B478" s="637"/>
      <c r="C478" s="637"/>
      <c r="D478" s="637"/>
      <c r="E478" s="637"/>
      <c r="F478" s="637"/>
      <c r="G478" s="637"/>
      <c r="H478" s="637"/>
      <c r="I478" s="637"/>
      <c r="J478" s="637"/>
      <c r="K478" s="637"/>
      <c r="L478" s="637"/>
      <c r="M478" s="637"/>
      <c r="N478" s="637"/>
      <c r="O478" s="637"/>
      <c r="P478" s="637"/>
      <c r="Q478" s="637"/>
      <c r="R478" s="637"/>
      <c r="S478" s="637"/>
      <c r="T478" s="637"/>
      <c r="U478" s="637"/>
      <c r="V478" s="637"/>
      <c r="W478" s="637"/>
      <c r="X478" s="637"/>
      <c r="Y478" s="637"/>
      <c r="Z478" s="637"/>
    </row>
    <row r="479" ht="11.25" customHeight="1">
      <c r="A479" s="637"/>
      <c r="B479" s="637"/>
      <c r="C479" s="637"/>
      <c r="D479" s="637"/>
      <c r="E479" s="637"/>
      <c r="F479" s="637"/>
      <c r="G479" s="637"/>
      <c r="H479" s="637"/>
      <c r="I479" s="637"/>
      <c r="J479" s="637"/>
      <c r="K479" s="637"/>
      <c r="L479" s="637"/>
      <c r="M479" s="637"/>
      <c r="N479" s="637"/>
      <c r="O479" s="637"/>
      <c r="P479" s="637"/>
      <c r="Q479" s="637"/>
      <c r="R479" s="637"/>
      <c r="S479" s="637"/>
      <c r="T479" s="637"/>
      <c r="U479" s="637"/>
      <c r="V479" s="637"/>
      <c r="W479" s="637"/>
      <c r="X479" s="637"/>
      <c r="Y479" s="637"/>
      <c r="Z479" s="637"/>
    </row>
    <row r="480" ht="11.25" customHeight="1">
      <c r="A480" s="637"/>
      <c r="B480" s="637"/>
      <c r="C480" s="637"/>
      <c r="D480" s="637"/>
      <c r="E480" s="637"/>
      <c r="F480" s="637"/>
      <c r="G480" s="637"/>
      <c r="H480" s="637"/>
      <c r="I480" s="637"/>
      <c r="J480" s="637"/>
      <c r="K480" s="637"/>
      <c r="L480" s="637"/>
      <c r="M480" s="637"/>
      <c r="N480" s="637"/>
      <c r="O480" s="637"/>
      <c r="P480" s="637"/>
      <c r="Q480" s="637"/>
      <c r="R480" s="637"/>
      <c r="S480" s="637"/>
      <c r="T480" s="637"/>
      <c r="U480" s="637"/>
      <c r="V480" s="637"/>
      <c r="W480" s="637"/>
      <c r="X480" s="637"/>
      <c r="Y480" s="637"/>
      <c r="Z480" s="637"/>
    </row>
    <row r="481" ht="11.25" customHeight="1">
      <c r="A481" s="637"/>
      <c r="B481" s="637"/>
      <c r="C481" s="637"/>
      <c r="D481" s="637"/>
      <c r="E481" s="637"/>
      <c r="F481" s="637"/>
      <c r="G481" s="637"/>
      <c r="H481" s="637"/>
      <c r="I481" s="637"/>
      <c r="J481" s="637"/>
      <c r="K481" s="637"/>
      <c r="L481" s="637"/>
      <c r="M481" s="637"/>
      <c r="N481" s="637"/>
      <c r="O481" s="637"/>
      <c r="P481" s="637"/>
      <c r="Q481" s="637"/>
      <c r="R481" s="637"/>
      <c r="S481" s="637"/>
      <c r="T481" s="637"/>
      <c r="U481" s="637"/>
      <c r="V481" s="637"/>
      <c r="W481" s="637"/>
      <c r="X481" s="637"/>
      <c r="Y481" s="637"/>
      <c r="Z481" s="637"/>
    </row>
    <row r="482" ht="11.25" customHeight="1">
      <c r="A482" s="637"/>
      <c r="B482" s="637"/>
      <c r="C482" s="637"/>
      <c r="D482" s="637"/>
      <c r="E482" s="637"/>
      <c r="F482" s="637"/>
      <c r="G482" s="637"/>
      <c r="H482" s="637"/>
      <c r="I482" s="637"/>
      <c r="J482" s="637"/>
      <c r="K482" s="637"/>
      <c r="L482" s="637"/>
      <c r="M482" s="637"/>
      <c r="N482" s="637"/>
      <c r="O482" s="637"/>
      <c r="P482" s="637"/>
      <c r="Q482" s="637"/>
      <c r="R482" s="637"/>
      <c r="S482" s="637"/>
      <c r="T482" s="637"/>
      <c r="U482" s="637"/>
      <c r="V482" s="637"/>
      <c r="W482" s="637"/>
      <c r="X482" s="637"/>
      <c r="Y482" s="637"/>
      <c r="Z482" s="637"/>
    </row>
    <row r="483" ht="11.25" customHeight="1">
      <c r="A483" s="637"/>
      <c r="B483" s="637"/>
      <c r="C483" s="637"/>
      <c r="D483" s="637"/>
      <c r="E483" s="637"/>
      <c r="F483" s="637"/>
      <c r="G483" s="637"/>
      <c r="H483" s="637"/>
      <c r="I483" s="637"/>
      <c r="J483" s="637"/>
      <c r="K483" s="637"/>
      <c r="L483" s="637"/>
      <c r="M483" s="637"/>
      <c r="N483" s="637"/>
      <c r="O483" s="637"/>
      <c r="P483" s="637"/>
      <c r="Q483" s="637"/>
      <c r="R483" s="637"/>
      <c r="S483" s="637"/>
      <c r="T483" s="637"/>
      <c r="U483" s="637"/>
      <c r="V483" s="637"/>
      <c r="W483" s="637"/>
      <c r="X483" s="637"/>
      <c r="Y483" s="637"/>
      <c r="Z483" s="637"/>
    </row>
    <row r="484" ht="11.25" customHeight="1">
      <c r="A484" s="637"/>
      <c r="B484" s="637"/>
      <c r="C484" s="637"/>
      <c r="D484" s="637"/>
      <c r="E484" s="637"/>
      <c r="F484" s="637"/>
      <c r="G484" s="637"/>
      <c r="H484" s="637"/>
      <c r="I484" s="637"/>
      <c r="J484" s="637"/>
      <c r="K484" s="637"/>
      <c r="L484" s="637"/>
      <c r="M484" s="637"/>
      <c r="N484" s="637"/>
      <c r="O484" s="637"/>
      <c r="P484" s="637"/>
      <c r="Q484" s="637"/>
      <c r="R484" s="637"/>
      <c r="S484" s="637"/>
      <c r="T484" s="637"/>
      <c r="U484" s="637"/>
      <c r="V484" s="637"/>
      <c r="W484" s="637"/>
      <c r="X484" s="637"/>
      <c r="Y484" s="637"/>
      <c r="Z484" s="637"/>
    </row>
    <row r="485" ht="11.25" customHeight="1">
      <c r="A485" s="637"/>
      <c r="B485" s="637"/>
      <c r="C485" s="637"/>
      <c r="D485" s="637"/>
      <c r="E485" s="637"/>
      <c r="F485" s="637"/>
      <c r="G485" s="637"/>
      <c r="H485" s="637"/>
      <c r="I485" s="637"/>
      <c r="J485" s="637"/>
      <c r="K485" s="637"/>
      <c r="L485" s="637"/>
      <c r="M485" s="637"/>
      <c r="N485" s="637"/>
      <c r="O485" s="637"/>
      <c r="P485" s="637"/>
      <c r="Q485" s="637"/>
      <c r="R485" s="637"/>
      <c r="S485" s="637"/>
      <c r="T485" s="637"/>
      <c r="U485" s="637"/>
      <c r="V485" s="637"/>
      <c r="W485" s="637"/>
      <c r="X485" s="637"/>
      <c r="Y485" s="637"/>
      <c r="Z485" s="637"/>
    </row>
    <row r="486" ht="11.25" customHeight="1">
      <c r="A486" s="637"/>
      <c r="B486" s="637"/>
      <c r="C486" s="637"/>
      <c r="D486" s="637"/>
      <c r="E486" s="637"/>
      <c r="F486" s="637"/>
      <c r="G486" s="637"/>
      <c r="H486" s="637"/>
      <c r="I486" s="637"/>
      <c r="J486" s="637"/>
      <c r="K486" s="637"/>
      <c r="L486" s="637"/>
      <c r="M486" s="637"/>
      <c r="N486" s="637"/>
      <c r="O486" s="637"/>
      <c r="P486" s="637"/>
      <c r="Q486" s="637"/>
      <c r="R486" s="637"/>
      <c r="S486" s="637"/>
      <c r="T486" s="637"/>
      <c r="U486" s="637"/>
      <c r="V486" s="637"/>
      <c r="W486" s="637"/>
      <c r="X486" s="637"/>
      <c r="Y486" s="637"/>
      <c r="Z486" s="637"/>
    </row>
    <row r="487" ht="11.25" customHeight="1">
      <c r="A487" s="637"/>
      <c r="B487" s="637"/>
      <c r="C487" s="637"/>
      <c r="D487" s="637"/>
      <c r="E487" s="637"/>
      <c r="F487" s="637"/>
      <c r="G487" s="637"/>
      <c r="H487" s="637"/>
      <c r="I487" s="637"/>
      <c r="J487" s="637"/>
      <c r="K487" s="637"/>
      <c r="L487" s="637"/>
      <c r="M487" s="637"/>
      <c r="N487" s="637"/>
      <c r="O487" s="637"/>
      <c r="P487" s="637"/>
      <c r="Q487" s="637"/>
      <c r="R487" s="637"/>
      <c r="S487" s="637"/>
      <c r="T487" s="637"/>
      <c r="U487" s="637"/>
      <c r="V487" s="637"/>
      <c r="W487" s="637"/>
      <c r="X487" s="637"/>
      <c r="Y487" s="637"/>
      <c r="Z487" s="637"/>
    </row>
    <row r="488" ht="11.25" customHeight="1">
      <c r="A488" s="637"/>
      <c r="B488" s="637"/>
      <c r="C488" s="637"/>
      <c r="D488" s="637"/>
      <c r="E488" s="637"/>
      <c r="F488" s="637"/>
      <c r="G488" s="637"/>
      <c r="H488" s="637"/>
      <c r="I488" s="637"/>
      <c r="J488" s="637"/>
      <c r="K488" s="637"/>
      <c r="L488" s="637"/>
      <c r="M488" s="637"/>
      <c r="N488" s="637"/>
      <c r="O488" s="637"/>
      <c r="P488" s="637"/>
      <c r="Q488" s="637"/>
      <c r="R488" s="637"/>
      <c r="S488" s="637"/>
      <c r="T488" s="637"/>
      <c r="U488" s="637"/>
      <c r="V488" s="637"/>
      <c r="W488" s="637"/>
      <c r="X488" s="637"/>
      <c r="Y488" s="637"/>
      <c r="Z488" s="637"/>
    </row>
    <row r="489" ht="11.25" customHeight="1">
      <c r="A489" s="637"/>
      <c r="B489" s="637"/>
      <c r="C489" s="637"/>
      <c r="D489" s="637"/>
      <c r="E489" s="637"/>
      <c r="F489" s="637"/>
      <c r="G489" s="637"/>
      <c r="H489" s="637"/>
      <c r="I489" s="637"/>
      <c r="J489" s="637"/>
      <c r="K489" s="637"/>
      <c r="L489" s="637"/>
      <c r="M489" s="637"/>
      <c r="N489" s="637"/>
      <c r="O489" s="637"/>
      <c r="P489" s="637"/>
      <c r="Q489" s="637"/>
      <c r="R489" s="637"/>
      <c r="S489" s="637"/>
      <c r="T489" s="637"/>
      <c r="U489" s="637"/>
      <c r="V489" s="637"/>
      <c r="W489" s="637"/>
      <c r="X489" s="637"/>
      <c r="Y489" s="637"/>
      <c r="Z489" s="637"/>
    </row>
    <row r="490" ht="11.25" customHeight="1">
      <c r="A490" s="637"/>
      <c r="B490" s="637"/>
      <c r="C490" s="637"/>
      <c r="D490" s="637"/>
      <c r="E490" s="637"/>
      <c r="F490" s="637"/>
      <c r="G490" s="637"/>
      <c r="H490" s="637"/>
      <c r="I490" s="637"/>
      <c r="J490" s="637"/>
      <c r="K490" s="637"/>
      <c r="L490" s="637"/>
      <c r="M490" s="637"/>
      <c r="N490" s="637"/>
      <c r="O490" s="637"/>
      <c r="P490" s="637"/>
      <c r="Q490" s="637"/>
      <c r="R490" s="637"/>
      <c r="S490" s="637"/>
      <c r="T490" s="637"/>
      <c r="U490" s="637"/>
      <c r="V490" s="637"/>
      <c r="W490" s="637"/>
      <c r="X490" s="637"/>
      <c r="Y490" s="637"/>
      <c r="Z490" s="637"/>
    </row>
    <row r="491" ht="11.25" customHeight="1">
      <c r="A491" s="637"/>
      <c r="B491" s="637"/>
      <c r="C491" s="637"/>
      <c r="D491" s="637"/>
      <c r="E491" s="637"/>
      <c r="F491" s="637"/>
      <c r="G491" s="637"/>
      <c r="H491" s="637"/>
      <c r="I491" s="637"/>
      <c r="J491" s="637"/>
      <c r="K491" s="637"/>
      <c r="L491" s="637"/>
      <c r="M491" s="637"/>
      <c r="N491" s="637"/>
      <c r="O491" s="637"/>
      <c r="P491" s="637"/>
      <c r="Q491" s="637"/>
      <c r="R491" s="637"/>
      <c r="S491" s="637"/>
      <c r="T491" s="637"/>
      <c r="U491" s="637"/>
      <c r="V491" s="637"/>
      <c r="W491" s="637"/>
      <c r="X491" s="637"/>
      <c r="Y491" s="637"/>
      <c r="Z491" s="637"/>
    </row>
    <row r="492" ht="11.25" customHeight="1">
      <c r="A492" s="637"/>
      <c r="B492" s="637"/>
      <c r="C492" s="637"/>
      <c r="D492" s="637"/>
      <c r="E492" s="637"/>
      <c r="F492" s="637"/>
      <c r="G492" s="637"/>
      <c r="H492" s="637"/>
      <c r="I492" s="637"/>
      <c r="J492" s="637"/>
      <c r="K492" s="637"/>
      <c r="L492" s="637"/>
      <c r="M492" s="637"/>
      <c r="N492" s="637"/>
      <c r="O492" s="637"/>
      <c r="P492" s="637"/>
      <c r="Q492" s="637"/>
      <c r="R492" s="637"/>
      <c r="S492" s="637"/>
      <c r="T492" s="637"/>
      <c r="U492" s="637"/>
      <c r="V492" s="637"/>
      <c r="W492" s="637"/>
      <c r="X492" s="637"/>
      <c r="Y492" s="637"/>
      <c r="Z492" s="637"/>
    </row>
    <row r="493" ht="11.25" customHeight="1">
      <c r="A493" s="637"/>
      <c r="B493" s="637"/>
      <c r="C493" s="637"/>
      <c r="D493" s="637"/>
      <c r="E493" s="637"/>
      <c r="F493" s="637"/>
      <c r="G493" s="637"/>
      <c r="H493" s="637"/>
      <c r="I493" s="637"/>
      <c r="J493" s="637"/>
      <c r="K493" s="637"/>
      <c r="L493" s="637"/>
      <c r="M493" s="637"/>
      <c r="N493" s="637"/>
      <c r="O493" s="637"/>
      <c r="P493" s="637"/>
      <c r="Q493" s="637"/>
      <c r="R493" s="637"/>
      <c r="S493" s="637"/>
      <c r="T493" s="637"/>
      <c r="U493" s="637"/>
      <c r="V493" s="637"/>
      <c r="W493" s="637"/>
      <c r="X493" s="637"/>
      <c r="Y493" s="637"/>
      <c r="Z493" s="637"/>
    </row>
    <row r="494" ht="11.25" customHeight="1">
      <c r="A494" s="637"/>
      <c r="B494" s="637"/>
      <c r="C494" s="637"/>
      <c r="D494" s="637"/>
      <c r="E494" s="637"/>
      <c r="F494" s="637"/>
      <c r="G494" s="637"/>
      <c r="H494" s="637"/>
      <c r="I494" s="637"/>
      <c r="J494" s="637"/>
      <c r="K494" s="637"/>
      <c r="L494" s="637"/>
      <c r="M494" s="637"/>
      <c r="N494" s="637"/>
      <c r="O494" s="637"/>
      <c r="P494" s="637"/>
      <c r="Q494" s="637"/>
      <c r="R494" s="637"/>
      <c r="S494" s="637"/>
      <c r="T494" s="637"/>
      <c r="U494" s="637"/>
      <c r="V494" s="637"/>
      <c r="W494" s="637"/>
      <c r="X494" s="637"/>
      <c r="Y494" s="637"/>
      <c r="Z494" s="637"/>
    </row>
    <row r="495" ht="11.25" customHeight="1">
      <c r="A495" s="637"/>
      <c r="B495" s="637"/>
      <c r="C495" s="637"/>
      <c r="D495" s="637"/>
      <c r="E495" s="637"/>
      <c r="F495" s="637"/>
      <c r="G495" s="637"/>
      <c r="H495" s="637"/>
      <c r="I495" s="637"/>
      <c r="J495" s="637"/>
      <c r="K495" s="637"/>
      <c r="L495" s="637"/>
      <c r="M495" s="637"/>
      <c r="N495" s="637"/>
      <c r="O495" s="637"/>
      <c r="P495" s="637"/>
      <c r="Q495" s="637"/>
      <c r="R495" s="637"/>
      <c r="S495" s="637"/>
      <c r="T495" s="637"/>
      <c r="U495" s="637"/>
      <c r="V495" s="637"/>
      <c r="W495" s="637"/>
      <c r="X495" s="637"/>
      <c r="Y495" s="637"/>
      <c r="Z495" s="637"/>
    </row>
    <row r="496" ht="11.25" customHeight="1">
      <c r="A496" s="637"/>
      <c r="B496" s="637"/>
      <c r="C496" s="637"/>
      <c r="D496" s="637"/>
      <c r="E496" s="637"/>
      <c r="F496" s="637"/>
      <c r="G496" s="637"/>
      <c r="H496" s="637"/>
      <c r="I496" s="637"/>
      <c r="J496" s="637"/>
      <c r="K496" s="637"/>
      <c r="L496" s="637"/>
      <c r="M496" s="637"/>
      <c r="N496" s="637"/>
      <c r="O496" s="637"/>
      <c r="P496" s="637"/>
      <c r="Q496" s="637"/>
      <c r="R496" s="637"/>
      <c r="S496" s="637"/>
      <c r="T496" s="637"/>
      <c r="U496" s="637"/>
      <c r="V496" s="637"/>
      <c r="W496" s="637"/>
      <c r="X496" s="637"/>
      <c r="Y496" s="637"/>
      <c r="Z496" s="637"/>
    </row>
    <row r="497" ht="11.25" customHeight="1">
      <c r="A497" s="637"/>
      <c r="B497" s="637"/>
      <c r="C497" s="637"/>
      <c r="D497" s="637"/>
      <c r="E497" s="637"/>
      <c r="F497" s="637"/>
      <c r="G497" s="637"/>
      <c r="H497" s="637"/>
      <c r="I497" s="637"/>
      <c r="J497" s="637"/>
      <c r="K497" s="637"/>
      <c r="L497" s="637"/>
      <c r="M497" s="637"/>
      <c r="N497" s="637"/>
      <c r="O497" s="637"/>
      <c r="P497" s="637"/>
      <c r="Q497" s="637"/>
      <c r="R497" s="637"/>
      <c r="S497" s="637"/>
      <c r="T497" s="637"/>
      <c r="U497" s="637"/>
      <c r="V497" s="637"/>
      <c r="W497" s="637"/>
      <c r="X497" s="637"/>
      <c r="Y497" s="637"/>
      <c r="Z497" s="637"/>
    </row>
    <row r="498" ht="11.25" customHeight="1">
      <c r="A498" s="637"/>
      <c r="B498" s="637"/>
      <c r="C498" s="637"/>
      <c r="D498" s="637"/>
      <c r="E498" s="637"/>
      <c r="F498" s="637"/>
      <c r="G498" s="637"/>
      <c r="H498" s="637"/>
      <c r="I498" s="637"/>
      <c r="J498" s="637"/>
      <c r="K498" s="637"/>
      <c r="L498" s="637"/>
      <c r="M498" s="637"/>
      <c r="N498" s="637"/>
      <c r="O498" s="637"/>
      <c r="P498" s="637"/>
      <c r="Q498" s="637"/>
      <c r="R498" s="637"/>
      <c r="S498" s="637"/>
      <c r="T498" s="637"/>
      <c r="U498" s="637"/>
      <c r="V498" s="637"/>
      <c r="W498" s="637"/>
      <c r="X498" s="637"/>
      <c r="Y498" s="637"/>
      <c r="Z498" s="637"/>
    </row>
    <row r="499" ht="11.25" customHeight="1">
      <c r="A499" s="637"/>
      <c r="B499" s="637"/>
      <c r="C499" s="637"/>
      <c r="D499" s="637"/>
      <c r="E499" s="637"/>
      <c r="F499" s="637"/>
      <c r="G499" s="637"/>
      <c r="H499" s="637"/>
      <c r="I499" s="637"/>
      <c r="J499" s="637"/>
      <c r="K499" s="637"/>
      <c r="L499" s="637"/>
      <c r="M499" s="637"/>
      <c r="N499" s="637"/>
      <c r="O499" s="637"/>
      <c r="P499" s="637"/>
      <c r="Q499" s="637"/>
      <c r="R499" s="637"/>
      <c r="S499" s="637"/>
      <c r="T499" s="637"/>
      <c r="U499" s="637"/>
      <c r="V499" s="637"/>
      <c r="W499" s="637"/>
      <c r="X499" s="637"/>
      <c r="Y499" s="637"/>
      <c r="Z499" s="637"/>
    </row>
    <row r="500" ht="11.25" customHeight="1">
      <c r="A500" s="637"/>
      <c r="B500" s="637"/>
      <c r="C500" s="637"/>
      <c r="D500" s="637"/>
      <c r="E500" s="637"/>
      <c r="F500" s="637"/>
      <c r="G500" s="637"/>
      <c r="H500" s="637"/>
      <c r="I500" s="637"/>
      <c r="J500" s="637"/>
      <c r="K500" s="637"/>
      <c r="L500" s="637"/>
      <c r="M500" s="637"/>
      <c r="N500" s="637"/>
      <c r="O500" s="637"/>
      <c r="P500" s="637"/>
      <c r="Q500" s="637"/>
      <c r="R500" s="637"/>
      <c r="S500" s="637"/>
      <c r="T500" s="637"/>
      <c r="U500" s="637"/>
      <c r="V500" s="637"/>
      <c r="W500" s="637"/>
      <c r="X500" s="637"/>
      <c r="Y500" s="637"/>
      <c r="Z500" s="637"/>
    </row>
    <row r="501" ht="11.25" customHeight="1">
      <c r="A501" s="637"/>
      <c r="B501" s="637"/>
      <c r="C501" s="637"/>
      <c r="D501" s="637"/>
      <c r="E501" s="637"/>
      <c r="F501" s="637"/>
      <c r="G501" s="637"/>
      <c r="H501" s="637"/>
      <c r="I501" s="637"/>
      <c r="J501" s="637"/>
      <c r="K501" s="637"/>
      <c r="L501" s="637"/>
      <c r="M501" s="637"/>
      <c r="N501" s="637"/>
      <c r="O501" s="637"/>
      <c r="P501" s="637"/>
      <c r="Q501" s="637"/>
      <c r="R501" s="637"/>
      <c r="S501" s="637"/>
      <c r="T501" s="637"/>
      <c r="U501" s="637"/>
      <c r="V501" s="637"/>
      <c r="W501" s="637"/>
      <c r="X501" s="637"/>
      <c r="Y501" s="637"/>
      <c r="Z501" s="637"/>
    </row>
    <row r="502" ht="11.25" customHeight="1">
      <c r="A502" s="637"/>
      <c r="B502" s="637"/>
      <c r="C502" s="637"/>
      <c r="D502" s="637"/>
      <c r="E502" s="637"/>
      <c r="F502" s="637"/>
      <c r="G502" s="637"/>
      <c r="H502" s="637"/>
      <c r="I502" s="637"/>
      <c r="J502" s="637"/>
      <c r="K502" s="637"/>
      <c r="L502" s="637"/>
      <c r="M502" s="637"/>
      <c r="N502" s="637"/>
      <c r="O502" s="637"/>
      <c r="P502" s="637"/>
      <c r="Q502" s="637"/>
      <c r="R502" s="637"/>
      <c r="S502" s="637"/>
      <c r="T502" s="637"/>
      <c r="U502" s="637"/>
      <c r="V502" s="637"/>
      <c r="W502" s="637"/>
      <c r="X502" s="637"/>
      <c r="Y502" s="637"/>
      <c r="Z502" s="637"/>
    </row>
    <row r="503" ht="11.25" customHeight="1">
      <c r="A503" s="637"/>
      <c r="B503" s="637"/>
      <c r="C503" s="637"/>
      <c r="D503" s="637"/>
      <c r="E503" s="637"/>
      <c r="F503" s="637"/>
      <c r="G503" s="637"/>
      <c r="H503" s="637"/>
      <c r="I503" s="637"/>
      <c r="J503" s="637"/>
      <c r="K503" s="637"/>
      <c r="L503" s="637"/>
      <c r="M503" s="637"/>
      <c r="N503" s="637"/>
      <c r="O503" s="637"/>
      <c r="P503" s="637"/>
      <c r="Q503" s="637"/>
      <c r="R503" s="637"/>
      <c r="S503" s="637"/>
      <c r="T503" s="637"/>
      <c r="U503" s="637"/>
      <c r="V503" s="637"/>
      <c r="W503" s="637"/>
      <c r="X503" s="637"/>
      <c r="Y503" s="637"/>
      <c r="Z503" s="637"/>
    </row>
    <row r="504" ht="11.25" customHeight="1">
      <c r="A504" s="637"/>
      <c r="B504" s="637"/>
      <c r="C504" s="637"/>
      <c r="D504" s="637"/>
      <c r="E504" s="637"/>
      <c r="F504" s="637"/>
      <c r="G504" s="637"/>
      <c r="H504" s="637"/>
      <c r="I504" s="637"/>
      <c r="J504" s="637"/>
      <c r="K504" s="637"/>
      <c r="L504" s="637"/>
      <c r="M504" s="637"/>
      <c r="N504" s="637"/>
      <c r="O504" s="637"/>
      <c r="P504" s="637"/>
      <c r="Q504" s="637"/>
      <c r="R504" s="637"/>
      <c r="S504" s="637"/>
      <c r="T504" s="637"/>
      <c r="U504" s="637"/>
      <c r="V504" s="637"/>
      <c r="W504" s="637"/>
      <c r="X504" s="637"/>
      <c r="Y504" s="637"/>
      <c r="Z504" s="637"/>
    </row>
    <row r="505" ht="11.25" customHeight="1">
      <c r="A505" s="637"/>
      <c r="B505" s="637"/>
      <c r="C505" s="637"/>
      <c r="D505" s="637"/>
      <c r="E505" s="637"/>
      <c r="F505" s="637"/>
      <c r="G505" s="637"/>
      <c r="H505" s="637"/>
      <c r="I505" s="637"/>
      <c r="J505" s="637"/>
      <c r="K505" s="637"/>
      <c r="L505" s="637"/>
      <c r="M505" s="637"/>
      <c r="N505" s="637"/>
      <c r="O505" s="637"/>
      <c r="P505" s="637"/>
      <c r="Q505" s="637"/>
      <c r="R505" s="637"/>
      <c r="S505" s="637"/>
      <c r="T505" s="637"/>
      <c r="U505" s="637"/>
      <c r="V505" s="637"/>
      <c r="W505" s="637"/>
      <c r="X505" s="637"/>
      <c r="Y505" s="637"/>
      <c r="Z505" s="637"/>
    </row>
    <row r="506" ht="11.25" customHeight="1">
      <c r="A506" s="637"/>
      <c r="B506" s="637"/>
      <c r="C506" s="637"/>
      <c r="D506" s="637"/>
      <c r="E506" s="637"/>
      <c r="F506" s="637"/>
      <c r="G506" s="637"/>
      <c r="H506" s="637"/>
      <c r="I506" s="637"/>
      <c r="J506" s="637"/>
      <c r="K506" s="637"/>
      <c r="L506" s="637"/>
      <c r="M506" s="637"/>
      <c r="N506" s="637"/>
      <c r="O506" s="637"/>
      <c r="P506" s="637"/>
      <c r="Q506" s="637"/>
      <c r="R506" s="637"/>
      <c r="S506" s="637"/>
      <c r="T506" s="637"/>
      <c r="U506" s="637"/>
      <c r="V506" s="637"/>
      <c r="W506" s="637"/>
      <c r="X506" s="637"/>
      <c r="Y506" s="637"/>
      <c r="Z506" s="637"/>
    </row>
    <row r="507" ht="11.25" customHeight="1">
      <c r="A507" s="637"/>
      <c r="B507" s="637"/>
      <c r="C507" s="637"/>
      <c r="D507" s="637"/>
      <c r="E507" s="637"/>
      <c r="F507" s="637"/>
      <c r="G507" s="637"/>
      <c r="H507" s="637"/>
      <c r="I507" s="637"/>
      <c r="J507" s="637"/>
      <c r="K507" s="637"/>
      <c r="L507" s="637"/>
      <c r="M507" s="637"/>
      <c r="N507" s="637"/>
      <c r="O507" s="637"/>
      <c r="P507" s="637"/>
      <c r="Q507" s="637"/>
      <c r="R507" s="637"/>
      <c r="S507" s="637"/>
      <c r="T507" s="637"/>
      <c r="U507" s="637"/>
      <c r="V507" s="637"/>
      <c r="W507" s="637"/>
      <c r="X507" s="637"/>
      <c r="Y507" s="637"/>
      <c r="Z507" s="637"/>
    </row>
    <row r="508" ht="11.25" customHeight="1">
      <c r="A508" s="637"/>
      <c r="B508" s="637"/>
      <c r="C508" s="637"/>
      <c r="D508" s="637"/>
      <c r="E508" s="637"/>
      <c r="F508" s="637"/>
      <c r="G508" s="637"/>
      <c r="H508" s="637"/>
      <c r="I508" s="637"/>
      <c r="J508" s="637"/>
      <c r="K508" s="637"/>
      <c r="L508" s="637"/>
      <c r="M508" s="637"/>
      <c r="N508" s="637"/>
      <c r="O508" s="637"/>
      <c r="P508" s="637"/>
      <c r="Q508" s="637"/>
      <c r="R508" s="637"/>
      <c r="S508" s="637"/>
      <c r="T508" s="637"/>
      <c r="U508" s="637"/>
      <c r="V508" s="637"/>
      <c r="W508" s="637"/>
      <c r="X508" s="637"/>
      <c r="Y508" s="637"/>
      <c r="Z508" s="637"/>
    </row>
    <row r="509" ht="11.25" customHeight="1">
      <c r="A509" s="637"/>
      <c r="B509" s="637"/>
      <c r="C509" s="637"/>
      <c r="D509" s="637"/>
      <c r="E509" s="637"/>
      <c r="F509" s="637"/>
      <c r="G509" s="637"/>
      <c r="H509" s="637"/>
      <c r="I509" s="637"/>
      <c r="J509" s="637"/>
      <c r="K509" s="637"/>
      <c r="L509" s="637"/>
      <c r="M509" s="637"/>
      <c r="N509" s="637"/>
      <c r="O509" s="637"/>
      <c r="P509" s="637"/>
      <c r="Q509" s="637"/>
      <c r="R509" s="637"/>
      <c r="S509" s="637"/>
      <c r="T509" s="637"/>
      <c r="U509" s="637"/>
      <c r="V509" s="637"/>
      <c r="W509" s="637"/>
      <c r="X509" s="637"/>
      <c r="Y509" s="637"/>
      <c r="Z509" s="637"/>
    </row>
    <row r="510" ht="11.25" customHeight="1">
      <c r="A510" s="637"/>
      <c r="B510" s="637"/>
      <c r="C510" s="637"/>
      <c r="D510" s="637"/>
      <c r="E510" s="637"/>
      <c r="F510" s="637"/>
      <c r="G510" s="637"/>
      <c r="H510" s="637"/>
      <c r="I510" s="637"/>
      <c r="J510" s="637"/>
      <c r="K510" s="637"/>
      <c r="L510" s="637"/>
      <c r="M510" s="637"/>
      <c r="N510" s="637"/>
      <c r="O510" s="637"/>
      <c r="P510" s="637"/>
      <c r="Q510" s="637"/>
      <c r="R510" s="637"/>
      <c r="S510" s="637"/>
      <c r="T510" s="637"/>
      <c r="U510" s="637"/>
      <c r="V510" s="637"/>
      <c r="W510" s="637"/>
      <c r="X510" s="637"/>
      <c r="Y510" s="637"/>
      <c r="Z510" s="637"/>
    </row>
    <row r="511" ht="11.25" customHeight="1">
      <c r="A511" s="637"/>
      <c r="B511" s="637"/>
      <c r="C511" s="637"/>
      <c r="D511" s="637"/>
      <c r="E511" s="637"/>
      <c r="F511" s="637"/>
      <c r="G511" s="637"/>
      <c r="H511" s="637"/>
      <c r="I511" s="637"/>
      <c r="J511" s="637"/>
      <c r="K511" s="637"/>
      <c r="L511" s="637"/>
      <c r="M511" s="637"/>
      <c r="N511" s="637"/>
      <c r="O511" s="637"/>
      <c r="P511" s="637"/>
      <c r="Q511" s="637"/>
      <c r="R511" s="637"/>
      <c r="S511" s="637"/>
      <c r="T511" s="637"/>
      <c r="U511" s="637"/>
      <c r="V511" s="637"/>
      <c r="W511" s="637"/>
      <c r="X511" s="637"/>
      <c r="Y511" s="637"/>
      <c r="Z511" s="637"/>
    </row>
    <row r="512" ht="11.25" customHeight="1">
      <c r="A512" s="637"/>
      <c r="B512" s="637"/>
      <c r="C512" s="637"/>
      <c r="D512" s="637"/>
      <c r="E512" s="637"/>
      <c r="F512" s="637"/>
      <c r="G512" s="637"/>
      <c r="H512" s="637"/>
      <c r="I512" s="637"/>
      <c r="J512" s="637"/>
      <c r="K512" s="637"/>
      <c r="L512" s="637"/>
      <c r="M512" s="637"/>
      <c r="N512" s="637"/>
      <c r="O512" s="637"/>
      <c r="P512" s="637"/>
      <c r="Q512" s="637"/>
      <c r="R512" s="637"/>
      <c r="S512" s="637"/>
      <c r="T512" s="637"/>
      <c r="U512" s="637"/>
      <c r="V512" s="637"/>
      <c r="W512" s="637"/>
      <c r="X512" s="637"/>
      <c r="Y512" s="637"/>
      <c r="Z512" s="637"/>
    </row>
    <row r="513" ht="11.25" customHeight="1">
      <c r="A513" s="637"/>
      <c r="B513" s="637"/>
      <c r="C513" s="637"/>
      <c r="D513" s="637"/>
      <c r="E513" s="637"/>
      <c r="F513" s="637"/>
      <c r="G513" s="637"/>
      <c r="H513" s="637"/>
      <c r="I513" s="637"/>
      <c r="J513" s="637"/>
      <c r="K513" s="637"/>
      <c r="L513" s="637"/>
      <c r="M513" s="637"/>
      <c r="N513" s="637"/>
      <c r="O513" s="637"/>
      <c r="P513" s="637"/>
      <c r="Q513" s="637"/>
      <c r="R513" s="637"/>
      <c r="S513" s="637"/>
      <c r="T513" s="637"/>
      <c r="U513" s="637"/>
      <c r="V513" s="637"/>
      <c r="W513" s="637"/>
      <c r="X513" s="637"/>
      <c r="Y513" s="637"/>
      <c r="Z513" s="637"/>
    </row>
    <row r="514" ht="11.25" customHeight="1">
      <c r="A514" s="637"/>
      <c r="B514" s="637"/>
      <c r="C514" s="637"/>
      <c r="D514" s="637"/>
      <c r="E514" s="637"/>
      <c r="F514" s="637"/>
      <c r="G514" s="637"/>
      <c r="H514" s="637"/>
      <c r="I514" s="637"/>
      <c r="J514" s="637"/>
      <c r="K514" s="637"/>
      <c r="L514" s="637"/>
      <c r="M514" s="637"/>
      <c r="N514" s="637"/>
      <c r="O514" s="637"/>
      <c r="P514" s="637"/>
      <c r="Q514" s="637"/>
      <c r="R514" s="637"/>
      <c r="S514" s="637"/>
      <c r="T514" s="637"/>
      <c r="U514" s="637"/>
      <c r="V514" s="637"/>
      <c r="W514" s="637"/>
      <c r="X514" s="637"/>
      <c r="Y514" s="637"/>
      <c r="Z514" s="637"/>
    </row>
    <row r="515" ht="11.25" customHeight="1">
      <c r="A515" s="637"/>
      <c r="B515" s="637"/>
      <c r="C515" s="637"/>
      <c r="D515" s="637"/>
      <c r="E515" s="637"/>
      <c r="F515" s="637"/>
      <c r="G515" s="637"/>
      <c r="H515" s="637"/>
      <c r="I515" s="637"/>
      <c r="J515" s="637"/>
      <c r="K515" s="637"/>
      <c r="L515" s="637"/>
      <c r="M515" s="637"/>
      <c r="N515" s="637"/>
      <c r="O515" s="637"/>
      <c r="P515" s="637"/>
      <c r="Q515" s="637"/>
      <c r="R515" s="637"/>
      <c r="S515" s="637"/>
      <c r="T515" s="637"/>
      <c r="U515" s="637"/>
      <c r="V515" s="637"/>
      <c r="W515" s="637"/>
      <c r="X515" s="637"/>
      <c r="Y515" s="637"/>
      <c r="Z515" s="637"/>
    </row>
    <row r="516" ht="11.25" customHeight="1">
      <c r="A516" s="637"/>
      <c r="B516" s="637"/>
      <c r="C516" s="637"/>
      <c r="D516" s="637"/>
      <c r="E516" s="637"/>
      <c r="F516" s="637"/>
      <c r="G516" s="637"/>
      <c r="H516" s="637"/>
      <c r="I516" s="637"/>
      <c r="J516" s="637"/>
      <c r="K516" s="637"/>
      <c r="L516" s="637"/>
      <c r="M516" s="637"/>
      <c r="N516" s="637"/>
      <c r="O516" s="637"/>
      <c r="P516" s="637"/>
      <c r="Q516" s="637"/>
      <c r="R516" s="637"/>
      <c r="S516" s="637"/>
      <c r="T516" s="637"/>
      <c r="U516" s="637"/>
      <c r="V516" s="637"/>
      <c r="W516" s="637"/>
      <c r="X516" s="637"/>
      <c r="Y516" s="637"/>
      <c r="Z516" s="637"/>
    </row>
    <row r="517" ht="11.25" customHeight="1">
      <c r="A517" s="637"/>
      <c r="B517" s="637"/>
      <c r="C517" s="637"/>
      <c r="D517" s="637"/>
      <c r="E517" s="637"/>
      <c r="F517" s="637"/>
      <c r="G517" s="637"/>
      <c r="H517" s="637"/>
      <c r="I517" s="637"/>
      <c r="J517" s="637"/>
      <c r="K517" s="637"/>
      <c r="L517" s="637"/>
      <c r="M517" s="637"/>
      <c r="N517" s="637"/>
      <c r="O517" s="637"/>
      <c r="P517" s="637"/>
      <c r="Q517" s="637"/>
      <c r="R517" s="637"/>
      <c r="S517" s="637"/>
      <c r="T517" s="637"/>
      <c r="U517" s="637"/>
      <c r="V517" s="637"/>
      <c r="W517" s="637"/>
      <c r="X517" s="637"/>
      <c r="Y517" s="637"/>
      <c r="Z517" s="637"/>
    </row>
    <row r="518" ht="11.25" customHeight="1">
      <c r="A518" s="637"/>
      <c r="B518" s="637"/>
      <c r="C518" s="637"/>
      <c r="D518" s="637"/>
      <c r="E518" s="637"/>
      <c r="F518" s="637"/>
      <c r="G518" s="637"/>
      <c r="H518" s="637"/>
      <c r="I518" s="637"/>
      <c r="J518" s="637"/>
      <c r="K518" s="637"/>
      <c r="L518" s="637"/>
      <c r="M518" s="637"/>
      <c r="N518" s="637"/>
      <c r="O518" s="637"/>
      <c r="P518" s="637"/>
      <c r="Q518" s="637"/>
      <c r="R518" s="637"/>
      <c r="S518" s="637"/>
      <c r="T518" s="637"/>
      <c r="U518" s="637"/>
      <c r="V518" s="637"/>
      <c r="W518" s="637"/>
      <c r="X518" s="637"/>
      <c r="Y518" s="637"/>
      <c r="Z518" s="637"/>
    </row>
    <row r="519" ht="11.25" customHeight="1">
      <c r="A519" s="637"/>
      <c r="B519" s="637"/>
      <c r="C519" s="637"/>
      <c r="D519" s="637"/>
      <c r="E519" s="637"/>
      <c r="F519" s="637"/>
      <c r="G519" s="637"/>
      <c r="H519" s="637"/>
      <c r="I519" s="637"/>
      <c r="J519" s="637"/>
      <c r="K519" s="637"/>
      <c r="L519" s="637"/>
      <c r="M519" s="637"/>
      <c r="N519" s="637"/>
      <c r="O519" s="637"/>
      <c r="P519" s="637"/>
      <c r="Q519" s="637"/>
      <c r="R519" s="637"/>
      <c r="S519" s="637"/>
      <c r="T519" s="637"/>
      <c r="U519" s="637"/>
      <c r="V519" s="637"/>
      <c r="W519" s="637"/>
      <c r="X519" s="637"/>
      <c r="Y519" s="637"/>
      <c r="Z519" s="637"/>
    </row>
    <row r="520" ht="11.25" customHeight="1">
      <c r="A520" s="637"/>
      <c r="B520" s="637"/>
      <c r="C520" s="637"/>
      <c r="D520" s="637"/>
      <c r="E520" s="637"/>
      <c r="F520" s="637"/>
      <c r="G520" s="637"/>
      <c r="H520" s="637"/>
      <c r="I520" s="637"/>
      <c r="J520" s="637"/>
      <c r="K520" s="637"/>
      <c r="L520" s="637"/>
      <c r="M520" s="637"/>
      <c r="N520" s="637"/>
      <c r="O520" s="637"/>
      <c r="P520" s="637"/>
      <c r="Q520" s="637"/>
      <c r="R520" s="637"/>
      <c r="S520" s="637"/>
      <c r="T520" s="637"/>
      <c r="U520" s="637"/>
      <c r="V520" s="637"/>
      <c r="W520" s="637"/>
      <c r="X520" s="637"/>
      <c r="Y520" s="637"/>
      <c r="Z520" s="637"/>
    </row>
    <row r="521" ht="11.25" customHeight="1">
      <c r="A521" s="637"/>
      <c r="B521" s="637"/>
      <c r="C521" s="637"/>
      <c r="D521" s="637"/>
      <c r="E521" s="637"/>
      <c r="F521" s="637"/>
      <c r="G521" s="637"/>
      <c r="H521" s="637"/>
      <c r="I521" s="637"/>
      <c r="J521" s="637"/>
      <c r="K521" s="637"/>
      <c r="L521" s="637"/>
      <c r="M521" s="637"/>
      <c r="N521" s="637"/>
      <c r="O521" s="637"/>
      <c r="P521" s="637"/>
      <c r="Q521" s="637"/>
      <c r="R521" s="637"/>
      <c r="S521" s="637"/>
      <c r="T521" s="637"/>
      <c r="U521" s="637"/>
      <c r="V521" s="637"/>
      <c r="W521" s="637"/>
      <c r="X521" s="637"/>
      <c r="Y521" s="637"/>
      <c r="Z521" s="637"/>
    </row>
    <row r="522" ht="11.25" customHeight="1">
      <c r="A522" s="637"/>
      <c r="B522" s="637"/>
      <c r="C522" s="637"/>
      <c r="D522" s="637"/>
      <c r="E522" s="637"/>
      <c r="F522" s="637"/>
      <c r="G522" s="637"/>
      <c r="H522" s="637"/>
      <c r="I522" s="637"/>
      <c r="J522" s="637"/>
      <c r="K522" s="637"/>
      <c r="L522" s="637"/>
      <c r="M522" s="637"/>
      <c r="N522" s="637"/>
      <c r="O522" s="637"/>
      <c r="P522" s="637"/>
      <c r="Q522" s="637"/>
      <c r="R522" s="637"/>
      <c r="S522" s="637"/>
      <c r="T522" s="637"/>
      <c r="U522" s="637"/>
      <c r="V522" s="637"/>
      <c r="W522" s="637"/>
      <c r="X522" s="637"/>
      <c r="Y522" s="637"/>
      <c r="Z522" s="637"/>
    </row>
    <row r="523" ht="11.25" customHeight="1">
      <c r="A523" s="637"/>
      <c r="B523" s="637"/>
      <c r="C523" s="637"/>
      <c r="D523" s="637"/>
      <c r="E523" s="637"/>
      <c r="F523" s="637"/>
      <c r="G523" s="637"/>
      <c r="H523" s="637"/>
      <c r="I523" s="637"/>
      <c r="J523" s="637"/>
      <c r="K523" s="637"/>
      <c r="L523" s="637"/>
      <c r="M523" s="637"/>
      <c r="N523" s="637"/>
      <c r="O523" s="637"/>
      <c r="P523" s="637"/>
      <c r="Q523" s="637"/>
      <c r="R523" s="637"/>
      <c r="S523" s="637"/>
      <c r="T523" s="637"/>
      <c r="U523" s="637"/>
      <c r="V523" s="637"/>
      <c r="W523" s="637"/>
      <c r="X523" s="637"/>
      <c r="Y523" s="637"/>
      <c r="Z523" s="637"/>
    </row>
    <row r="524" ht="11.25" customHeight="1">
      <c r="A524" s="637"/>
      <c r="B524" s="637"/>
      <c r="C524" s="637"/>
      <c r="D524" s="637"/>
      <c r="E524" s="637"/>
      <c r="F524" s="637"/>
      <c r="G524" s="637"/>
      <c r="H524" s="637"/>
      <c r="I524" s="637"/>
      <c r="J524" s="637"/>
      <c r="K524" s="637"/>
      <c r="L524" s="637"/>
      <c r="M524" s="637"/>
      <c r="N524" s="637"/>
      <c r="O524" s="637"/>
      <c r="P524" s="637"/>
      <c r="Q524" s="637"/>
      <c r="R524" s="637"/>
      <c r="S524" s="637"/>
      <c r="T524" s="637"/>
      <c r="U524" s="637"/>
      <c r="V524" s="637"/>
      <c r="W524" s="637"/>
      <c r="X524" s="637"/>
      <c r="Y524" s="637"/>
      <c r="Z524" s="637"/>
    </row>
    <row r="525" ht="11.25" customHeight="1">
      <c r="A525" s="637"/>
      <c r="B525" s="637"/>
      <c r="C525" s="637"/>
      <c r="D525" s="637"/>
      <c r="E525" s="637"/>
      <c r="F525" s="637"/>
      <c r="G525" s="637"/>
      <c r="H525" s="637"/>
      <c r="I525" s="637"/>
      <c r="J525" s="637"/>
      <c r="K525" s="637"/>
      <c r="L525" s="637"/>
      <c r="M525" s="637"/>
      <c r="N525" s="637"/>
      <c r="O525" s="637"/>
      <c r="P525" s="637"/>
      <c r="Q525" s="637"/>
      <c r="R525" s="637"/>
      <c r="S525" s="637"/>
      <c r="T525" s="637"/>
      <c r="U525" s="637"/>
      <c r="V525" s="637"/>
      <c r="W525" s="637"/>
      <c r="X525" s="637"/>
      <c r="Y525" s="637"/>
      <c r="Z525" s="637"/>
    </row>
    <row r="526" ht="11.25" customHeight="1">
      <c r="A526" s="637"/>
      <c r="B526" s="637"/>
      <c r="C526" s="637"/>
      <c r="D526" s="637"/>
      <c r="E526" s="637"/>
      <c r="F526" s="637"/>
      <c r="G526" s="637"/>
      <c r="H526" s="637"/>
      <c r="I526" s="637"/>
      <c r="J526" s="637"/>
      <c r="K526" s="637"/>
      <c r="L526" s="637"/>
      <c r="M526" s="637"/>
      <c r="N526" s="637"/>
      <c r="O526" s="637"/>
      <c r="P526" s="637"/>
      <c r="Q526" s="637"/>
      <c r="R526" s="637"/>
      <c r="S526" s="637"/>
      <c r="T526" s="637"/>
      <c r="U526" s="637"/>
      <c r="V526" s="637"/>
      <c r="W526" s="637"/>
      <c r="X526" s="637"/>
      <c r="Y526" s="637"/>
      <c r="Z526" s="637"/>
    </row>
    <row r="527" ht="11.25" customHeight="1">
      <c r="A527" s="637"/>
      <c r="B527" s="637"/>
      <c r="C527" s="637"/>
      <c r="D527" s="637"/>
      <c r="E527" s="637"/>
      <c r="F527" s="637"/>
      <c r="G527" s="637"/>
      <c r="H527" s="637"/>
      <c r="I527" s="637"/>
      <c r="J527" s="637"/>
      <c r="K527" s="637"/>
      <c r="L527" s="637"/>
      <c r="M527" s="637"/>
      <c r="N527" s="637"/>
      <c r="O527" s="637"/>
      <c r="P527" s="637"/>
      <c r="Q527" s="637"/>
      <c r="R527" s="637"/>
      <c r="S527" s="637"/>
      <c r="T527" s="637"/>
      <c r="U527" s="637"/>
      <c r="V527" s="637"/>
      <c r="W527" s="637"/>
      <c r="X527" s="637"/>
      <c r="Y527" s="637"/>
      <c r="Z527" s="637"/>
    </row>
    <row r="528" ht="11.25" customHeight="1">
      <c r="A528" s="637"/>
      <c r="B528" s="637"/>
      <c r="C528" s="637"/>
      <c r="D528" s="637"/>
      <c r="E528" s="637"/>
      <c r="F528" s="637"/>
      <c r="G528" s="637"/>
      <c r="H528" s="637"/>
      <c r="I528" s="637"/>
      <c r="J528" s="637"/>
      <c r="K528" s="637"/>
      <c r="L528" s="637"/>
      <c r="M528" s="637"/>
      <c r="N528" s="637"/>
      <c r="O528" s="637"/>
      <c r="P528" s="637"/>
      <c r="Q528" s="637"/>
      <c r="R528" s="637"/>
      <c r="S528" s="637"/>
      <c r="T528" s="637"/>
      <c r="U528" s="637"/>
      <c r="V528" s="637"/>
      <c r="W528" s="637"/>
      <c r="X528" s="637"/>
      <c r="Y528" s="637"/>
      <c r="Z528" s="637"/>
    </row>
    <row r="529" ht="11.25" customHeight="1">
      <c r="A529" s="637"/>
      <c r="B529" s="637"/>
      <c r="C529" s="637"/>
      <c r="D529" s="637"/>
      <c r="E529" s="637"/>
      <c r="F529" s="637"/>
      <c r="G529" s="637"/>
      <c r="H529" s="637"/>
      <c r="I529" s="637"/>
      <c r="J529" s="637"/>
      <c r="K529" s="637"/>
      <c r="L529" s="637"/>
      <c r="M529" s="637"/>
      <c r="N529" s="637"/>
      <c r="O529" s="637"/>
      <c r="P529" s="637"/>
      <c r="Q529" s="637"/>
      <c r="R529" s="637"/>
      <c r="S529" s="637"/>
      <c r="T529" s="637"/>
      <c r="U529" s="637"/>
      <c r="V529" s="637"/>
      <c r="W529" s="637"/>
      <c r="X529" s="637"/>
      <c r="Y529" s="637"/>
      <c r="Z529" s="637"/>
    </row>
    <row r="530" ht="11.25" customHeight="1">
      <c r="A530" s="637"/>
      <c r="B530" s="637"/>
      <c r="C530" s="637"/>
      <c r="D530" s="637"/>
      <c r="E530" s="637"/>
      <c r="F530" s="637"/>
      <c r="G530" s="637"/>
      <c r="H530" s="637"/>
      <c r="I530" s="637"/>
      <c r="J530" s="637"/>
      <c r="K530" s="637"/>
      <c r="L530" s="637"/>
      <c r="M530" s="637"/>
      <c r="N530" s="637"/>
      <c r="O530" s="637"/>
      <c r="P530" s="637"/>
      <c r="Q530" s="637"/>
      <c r="R530" s="637"/>
      <c r="S530" s="637"/>
      <c r="T530" s="637"/>
      <c r="U530" s="637"/>
      <c r="V530" s="637"/>
      <c r="W530" s="637"/>
      <c r="X530" s="637"/>
      <c r="Y530" s="637"/>
      <c r="Z530" s="637"/>
    </row>
    <row r="531" ht="11.25" customHeight="1">
      <c r="A531" s="637"/>
      <c r="B531" s="637"/>
      <c r="C531" s="637"/>
      <c r="D531" s="637"/>
      <c r="E531" s="637"/>
      <c r="F531" s="637"/>
      <c r="G531" s="637"/>
      <c r="H531" s="637"/>
      <c r="I531" s="637"/>
      <c r="J531" s="637"/>
      <c r="K531" s="637"/>
      <c r="L531" s="637"/>
      <c r="M531" s="637"/>
      <c r="N531" s="637"/>
      <c r="O531" s="637"/>
      <c r="P531" s="637"/>
      <c r="Q531" s="637"/>
      <c r="R531" s="637"/>
      <c r="S531" s="637"/>
      <c r="T531" s="637"/>
      <c r="U531" s="637"/>
      <c r="V531" s="637"/>
      <c r="W531" s="637"/>
      <c r="X531" s="637"/>
      <c r="Y531" s="637"/>
      <c r="Z531" s="637"/>
    </row>
    <row r="532" ht="11.25" customHeight="1">
      <c r="A532" s="637"/>
      <c r="B532" s="637"/>
      <c r="C532" s="637"/>
      <c r="D532" s="637"/>
      <c r="E532" s="637"/>
      <c r="F532" s="637"/>
      <c r="G532" s="637"/>
      <c r="H532" s="637"/>
      <c r="I532" s="637"/>
      <c r="J532" s="637"/>
      <c r="K532" s="637"/>
      <c r="L532" s="637"/>
      <c r="M532" s="637"/>
      <c r="N532" s="637"/>
      <c r="O532" s="637"/>
      <c r="P532" s="637"/>
      <c r="Q532" s="637"/>
      <c r="R532" s="637"/>
      <c r="S532" s="637"/>
      <c r="T532" s="637"/>
      <c r="U532" s="637"/>
      <c r="V532" s="637"/>
      <c r="W532" s="637"/>
      <c r="X532" s="637"/>
      <c r="Y532" s="637"/>
      <c r="Z532" s="637"/>
    </row>
    <row r="533" ht="11.25" customHeight="1">
      <c r="A533" s="637"/>
      <c r="B533" s="637"/>
      <c r="C533" s="637"/>
      <c r="D533" s="637"/>
      <c r="E533" s="637"/>
      <c r="F533" s="637"/>
      <c r="G533" s="637"/>
      <c r="H533" s="637"/>
      <c r="I533" s="637"/>
      <c r="J533" s="637"/>
      <c r="K533" s="637"/>
      <c r="L533" s="637"/>
      <c r="M533" s="637"/>
      <c r="N533" s="637"/>
      <c r="O533" s="637"/>
      <c r="P533" s="637"/>
      <c r="Q533" s="637"/>
      <c r="R533" s="637"/>
      <c r="S533" s="637"/>
      <c r="T533" s="637"/>
      <c r="U533" s="637"/>
      <c r="V533" s="637"/>
      <c r="W533" s="637"/>
      <c r="X533" s="637"/>
      <c r="Y533" s="637"/>
      <c r="Z533" s="637"/>
    </row>
    <row r="534" ht="11.25" customHeight="1">
      <c r="A534" s="637"/>
      <c r="B534" s="637"/>
      <c r="C534" s="637"/>
      <c r="D534" s="637"/>
      <c r="E534" s="637"/>
      <c r="F534" s="637"/>
      <c r="G534" s="637"/>
      <c r="H534" s="637"/>
      <c r="I534" s="637"/>
      <c r="J534" s="637"/>
      <c r="K534" s="637"/>
      <c r="L534" s="637"/>
      <c r="M534" s="637"/>
      <c r="N534" s="637"/>
      <c r="O534" s="637"/>
      <c r="P534" s="637"/>
      <c r="Q534" s="637"/>
      <c r="R534" s="637"/>
      <c r="S534" s="637"/>
      <c r="T534" s="637"/>
      <c r="U534" s="637"/>
      <c r="V534" s="637"/>
      <c r="W534" s="637"/>
      <c r="X534" s="637"/>
      <c r="Y534" s="637"/>
      <c r="Z534" s="637"/>
    </row>
    <row r="535" ht="11.25" customHeight="1">
      <c r="A535" s="637"/>
      <c r="B535" s="637"/>
      <c r="C535" s="637"/>
      <c r="D535" s="637"/>
      <c r="E535" s="637"/>
      <c r="F535" s="637"/>
      <c r="G535" s="637"/>
      <c r="H535" s="637"/>
      <c r="I535" s="637"/>
      <c r="J535" s="637"/>
      <c r="K535" s="637"/>
      <c r="L535" s="637"/>
      <c r="M535" s="637"/>
      <c r="N535" s="637"/>
      <c r="O535" s="637"/>
      <c r="P535" s="637"/>
      <c r="Q535" s="637"/>
      <c r="R535" s="637"/>
      <c r="S535" s="637"/>
      <c r="T535" s="637"/>
      <c r="U535" s="637"/>
      <c r="V535" s="637"/>
      <c r="W535" s="637"/>
      <c r="X535" s="637"/>
      <c r="Y535" s="637"/>
      <c r="Z535" s="637"/>
    </row>
    <row r="536" ht="11.25" customHeight="1">
      <c r="A536" s="637"/>
      <c r="B536" s="637"/>
      <c r="C536" s="637"/>
      <c r="D536" s="637"/>
      <c r="E536" s="637"/>
      <c r="F536" s="637"/>
      <c r="G536" s="637"/>
      <c r="H536" s="637"/>
      <c r="I536" s="637"/>
      <c r="J536" s="637"/>
      <c r="K536" s="637"/>
      <c r="L536" s="637"/>
      <c r="M536" s="637"/>
      <c r="N536" s="637"/>
      <c r="O536" s="637"/>
      <c r="P536" s="637"/>
      <c r="Q536" s="637"/>
      <c r="R536" s="637"/>
      <c r="S536" s="637"/>
      <c r="T536" s="637"/>
      <c r="U536" s="637"/>
      <c r="V536" s="637"/>
      <c r="W536" s="637"/>
      <c r="X536" s="637"/>
      <c r="Y536" s="637"/>
      <c r="Z536" s="637"/>
    </row>
    <row r="537" ht="11.25" customHeight="1">
      <c r="A537" s="637"/>
      <c r="B537" s="637"/>
      <c r="C537" s="637"/>
      <c r="D537" s="637"/>
      <c r="E537" s="637"/>
      <c r="F537" s="637"/>
      <c r="G537" s="637"/>
      <c r="H537" s="637"/>
      <c r="I537" s="637"/>
      <c r="J537" s="637"/>
      <c r="K537" s="637"/>
      <c r="L537" s="637"/>
      <c r="M537" s="637"/>
      <c r="N537" s="637"/>
      <c r="O537" s="637"/>
      <c r="P537" s="637"/>
      <c r="Q537" s="637"/>
      <c r="R537" s="637"/>
      <c r="S537" s="637"/>
      <c r="T537" s="637"/>
      <c r="U537" s="637"/>
      <c r="V537" s="637"/>
      <c r="W537" s="637"/>
      <c r="X537" s="637"/>
      <c r="Y537" s="637"/>
      <c r="Z537" s="637"/>
    </row>
    <row r="538" ht="11.25" customHeight="1">
      <c r="A538" s="637"/>
      <c r="B538" s="637"/>
      <c r="C538" s="637"/>
      <c r="D538" s="637"/>
      <c r="E538" s="637"/>
      <c r="F538" s="637"/>
      <c r="G538" s="637"/>
      <c r="H538" s="637"/>
      <c r="I538" s="637"/>
      <c r="J538" s="637"/>
      <c r="K538" s="637"/>
      <c r="L538" s="637"/>
      <c r="M538" s="637"/>
      <c r="N538" s="637"/>
      <c r="O538" s="637"/>
      <c r="P538" s="637"/>
      <c r="Q538" s="637"/>
      <c r="R538" s="637"/>
      <c r="S538" s="637"/>
      <c r="T538" s="637"/>
      <c r="U538" s="637"/>
      <c r="V538" s="637"/>
      <c r="W538" s="637"/>
      <c r="X538" s="637"/>
      <c r="Y538" s="637"/>
      <c r="Z538" s="637"/>
    </row>
    <row r="539" ht="11.25" customHeight="1">
      <c r="A539" s="637"/>
      <c r="B539" s="637"/>
      <c r="C539" s="637"/>
      <c r="D539" s="637"/>
      <c r="E539" s="637"/>
      <c r="F539" s="637"/>
      <c r="G539" s="637"/>
      <c r="H539" s="637"/>
      <c r="I539" s="637"/>
      <c r="J539" s="637"/>
      <c r="K539" s="637"/>
      <c r="L539" s="637"/>
      <c r="M539" s="637"/>
      <c r="N539" s="637"/>
      <c r="O539" s="637"/>
      <c r="P539" s="637"/>
      <c r="Q539" s="637"/>
      <c r="R539" s="637"/>
      <c r="S539" s="637"/>
      <c r="T539" s="637"/>
      <c r="U539" s="637"/>
      <c r="V539" s="637"/>
      <c r="W539" s="637"/>
      <c r="X539" s="637"/>
      <c r="Y539" s="637"/>
      <c r="Z539" s="637"/>
    </row>
    <row r="540" ht="11.25" customHeight="1">
      <c r="A540" s="637"/>
      <c r="B540" s="637"/>
      <c r="C540" s="637"/>
      <c r="D540" s="637"/>
      <c r="E540" s="637"/>
      <c r="F540" s="637"/>
      <c r="G540" s="637"/>
      <c r="H540" s="637"/>
      <c r="I540" s="637"/>
      <c r="J540" s="637"/>
      <c r="K540" s="637"/>
      <c r="L540" s="637"/>
      <c r="M540" s="637"/>
      <c r="N540" s="637"/>
      <c r="O540" s="637"/>
      <c r="P540" s="637"/>
      <c r="Q540" s="637"/>
      <c r="R540" s="637"/>
      <c r="S540" s="637"/>
      <c r="T540" s="637"/>
      <c r="U540" s="637"/>
      <c r="V540" s="637"/>
      <c r="W540" s="637"/>
      <c r="X540" s="637"/>
      <c r="Y540" s="637"/>
      <c r="Z540" s="637"/>
    </row>
    <row r="541" ht="11.25" customHeight="1">
      <c r="A541" s="637"/>
      <c r="B541" s="637"/>
      <c r="C541" s="637"/>
      <c r="D541" s="637"/>
      <c r="E541" s="637"/>
      <c r="F541" s="637"/>
      <c r="G541" s="637"/>
      <c r="H541" s="637"/>
      <c r="I541" s="637"/>
      <c r="J541" s="637"/>
      <c r="K541" s="637"/>
      <c r="L541" s="637"/>
      <c r="M541" s="637"/>
      <c r="N541" s="637"/>
      <c r="O541" s="637"/>
      <c r="P541" s="637"/>
      <c r="Q541" s="637"/>
      <c r="R541" s="637"/>
      <c r="S541" s="637"/>
      <c r="T541" s="637"/>
      <c r="U541" s="637"/>
      <c r="V541" s="637"/>
      <c r="W541" s="637"/>
      <c r="X541" s="637"/>
      <c r="Y541" s="637"/>
      <c r="Z541" s="637"/>
    </row>
    <row r="542" ht="11.25" customHeight="1">
      <c r="A542" s="637"/>
      <c r="B542" s="637"/>
      <c r="C542" s="637"/>
      <c r="D542" s="637"/>
      <c r="E542" s="637"/>
      <c r="F542" s="637"/>
      <c r="G542" s="637"/>
      <c r="H542" s="637"/>
      <c r="I542" s="637"/>
      <c r="J542" s="637"/>
      <c r="K542" s="637"/>
      <c r="L542" s="637"/>
      <c r="M542" s="637"/>
      <c r="N542" s="637"/>
      <c r="O542" s="637"/>
      <c r="P542" s="637"/>
      <c r="Q542" s="637"/>
      <c r="R542" s="637"/>
      <c r="S542" s="637"/>
      <c r="T542" s="637"/>
      <c r="U542" s="637"/>
      <c r="V542" s="637"/>
      <c r="W542" s="637"/>
      <c r="X542" s="637"/>
      <c r="Y542" s="637"/>
      <c r="Z542" s="637"/>
    </row>
    <row r="543" ht="11.25" customHeight="1">
      <c r="A543" s="637"/>
      <c r="B543" s="637"/>
      <c r="C543" s="637"/>
      <c r="D543" s="637"/>
      <c r="E543" s="637"/>
      <c r="F543" s="637"/>
      <c r="G543" s="637"/>
      <c r="H543" s="637"/>
      <c r="I543" s="637"/>
      <c r="J543" s="637"/>
      <c r="K543" s="637"/>
      <c r="L543" s="637"/>
      <c r="M543" s="637"/>
      <c r="N543" s="637"/>
      <c r="O543" s="637"/>
      <c r="P543" s="637"/>
      <c r="Q543" s="637"/>
      <c r="R543" s="637"/>
      <c r="S543" s="637"/>
      <c r="T543" s="637"/>
      <c r="U543" s="637"/>
      <c r="V543" s="637"/>
      <c r="W543" s="637"/>
      <c r="X543" s="637"/>
      <c r="Y543" s="637"/>
      <c r="Z543" s="637"/>
    </row>
    <row r="544" ht="11.25" customHeight="1">
      <c r="A544" s="637"/>
      <c r="B544" s="637"/>
      <c r="C544" s="637"/>
      <c r="D544" s="637"/>
      <c r="E544" s="637"/>
      <c r="F544" s="637"/>
      <c r="G544" s="637"/>
      <c r="H544" s="637"/>
      <c r="I544" s="637"/>
      <c r="J544" s="637"/>
      <c r="K544" s="637"/>
      <c r="L544" s="637"/>
      <c r="M544" s="637"/>
      <c r="N544" s="637"/>
      <c r="O544" s="637"/>
      <c r="P544" s="637"/>
      <c r="Q544" s="637"/>
      <c r="R544" s="637"/>
      <c r="S544" s="637"/>
      <c r="T544" s="637"/>
      <c r="U544" s="637"/>
      <c r="V544" s="637"/>
      <c r="W544" s="637"/>
      <c r="X544" s="637"/>
      <c r="Y544" s="637"/>
      <c r="Z544" s="637"/>
    </row>
    <row r="545" ht="11.25" customHeight="1">
      <c r="A545" s="637"/>
      <c r="B545" s="637"/>
      <c r="C545" s="637"/>
      <c r="D545" s="637"/>
      <c r="E545" s="637"/>
      <c r="F545" s="637"/>
      <c r="G545" s="637"/>
      <c r="H545" s="637"/>
      <c r="I545" s="637"/>
      <c r="J545" s="637"/>
      <c r="K545" s="637"/>
      <c r="L545" s="637"/>
      <c r="M545" s="637"/>
      <c r="N545" s="637"/>
      <c r="O545" s="637"/>
      <c r="P545" s="637"/>
      <c r="Q545" s="637"/>
      <c r="R545" s="637"/>
      <c r="S545" s="637"/>
      <c r="T545" s="637"/>
      <c r="U545" s="637"/>
      <c r="V545" s="637"/>
      <c r="W545" s="637"/>
      <c r="X545" s="637"/>
      <c r="Y545" s="637"/>
      <c r="Z545" s="637"/>
    </row>
    <row r="546" ht="11.25" customHeight="1">
      <c r="A546" s="637"/>
      <c r="B546" s="637"/>
      <c r="C546" s="637"/>
      <c r="D546" s="637"/>
      <c r="E546" s="637"/>
      <c r="F546" s="637"/>
      <c r="G546" s="637"/>
      <c r="H546" s="637"/>
      <c r="I546" s="637"/>
      <c r="J546" s="637"/>
      <c r="K546" s="637"/>
      <c r="L546" s="637"/>
      <c r="M546" s="637"/>
      <c r="N546" s="637"/>
      <c r="O546" s="637"/>
      <c r="P546" s="637"/>
      <c r="Q546" s="637"/>
      <c r="R546" s="637"/>
      <c r="S546" s="637"/>
      <c r="T546" s="637"/>
      <c r="U546" s="637"/>
      <c r="V546" s="637"/>
      <c r="W546" s="637"/>
      <c r="X546" s="637"/>
      <c r="Y546" s="637"/>
      <c r="Z546" s="637"/>
    </row>
    <row r="547" ht="11.25" customHeight="1">
      <c r="A547" s="637"/>
      <c r="B547" s="637"/>
      <c r="C547" s="637"/>
      <c r="D547" s="637"/>
      <c r="E547" s="637"/>
      <c r="F547" s="637"/>
      <c r="G547" s="637"/>
      <c r="H547" s="637"/>
      <c r="I547" s="637"/>
      <c r="J547" s="637"/>
      <c r="K547" s="637"/>
      <c r="L547" s="637"/>
      <c r="M547" s="637"/>
      <c r="N547" s="637"/>
      <c r="O547" s="637"/>
      <c r="P547" s="637"/>
      <c r="Q547" s="637"/>
      <c r="R547" s="637"/>
      <c r="S547" s="637"/>
      <c r="T547" s="637"/>
      <c r="U547" s="637"/>
      <c r="V547" s="637"/>
      <c r="W547" s="637"/>
      <c r="X547" s="637"/>
      <c r="Y547" s="637"/>
      <c r="Z547" s="637"/>
    </row>
    <row r="548" ht="11.25" customHeight="1">
      <c r="A548" s="637"/>
      <c r="B548" s="637"/>
      <c r="C548" s="637"/>
      <c r="D548" s="637"/>
      <c r="E548" s="637"/>
      <c r="F548" s="637"/>
      <c r="G548" s="637"/>
      <c r="H548" s="637"/>
      <c r="I548" s="637"/>
      <c r="J548" s="637"/>
      <c r="K548" s="637"/>
      <c r="L548" s="637"/>
      <c r="M548" s="637"/>
      <c r="N548" s="637"/>
      <c r="O548" s="637"/>
      <c r="P548" s="637"/>
      <c r="Q548" s="637"/>
      <c r="R548" s="637"/>
      <c r="S548" s="637"/>
      <c r="T548" s="637"/>
      <c r="U548" s="637"/>
      <c r="V548" s="637"/>
      <c r="W548" s="637"/>
      <c r="X548" s="637"/>
      <c r="Y548" s="637"/>
      <c r="Z548" s="637"/>
    </row>
    <row r="549" ht="11.25" customHeight="1">
      <c r="A549" s="637"/>
      <c r="B549" s="637"/>
      <c r="C549" s="637"/>
      <c r="D549" s="637"/>
      <c r="E549" s="637"/>
      <c r="F549" s="637"/>
      <c r="G549" s="637"/>
      <c r="H549" s="637"/>
      <c r="I549" s="637"/>
      <c r="J549" s="637"/>
      <c r="K549" s="637"/>
      <c r="L549" s="637"/>
      <c r="M549" s="637"/>
      <c r="N549" s="637"/>
      <c r="O549" s="637"/>
      <c r="P549" s="637"/>
      <c r="Q549" s="637"/>
      <c r="R549" s="637"/>
      <c r="S549" s="637"/>
      <c r="T549" s="637"/>
      <c r="U549" s="637"/>
      <c r="V549" s="637"/>
      <c r="W549" s="637"/>
      <c r="X549" s="637"/>
      <c r="Y549" s="637"/>
      <c r="Z549" s="637"/>
    </row>
    <row r="550" ht="11.25" customHeight="1">
      <c r="A550" s="637"/>
      <c r="B550" s="637"/>
      <c r="C550" s="637"/>
      <c r="D550" s="637"/>
      <c r="E550" s="637"/>
      <c r="F550" s="637"/>
      <c r="G550" s="637"/>
      <c r="H550" s="637"/>
      <c r="I550" s="637"/>
      <c r="J550" s="637"/>
      <c r="K550" s="637"/>
      <c r="L550" s="637"/>
      <c r="M550" s="637"/>
      <c r="N550" s="637"/>
      <c r="O550" s="637"/>
      <c r="P550" s="637"/>
      <c r="Q550" s="637"/>
      <c r="R550" s="637"/>
      <c r="S550" s="637"/>
      <c r="T550" s="637"/>
      <c r="U550" s="637"/>
      <c r="V550" s="637"/>
      <c r="W550" s="637"/>
      <c r="X550" s="637"/>
      <c r="Y550" s="637"/>
      <c r="Z550" s="637"/>
    </row>
    <row r="551" ht="11.25" customHeight="1">
      <c r="A551" s="637"/>
      <c r="B551" s="637"/>
      <c r="C551" s="637"/>
      <c r="D551" s="637"/>
      <c r="E551" s="637"/>
      <c r="F551" s="637"/>
      <c r="G551" s="637"/>
      <c r="H551" s="637"/>
      <c r="I551" s="637"/>
      <c r="J551" s="637"/>
      <c r="K551" s="637"/>
      <c r="L551" s="637"/>
      <c r="M551" s="637"/>
      <c r="N551" s="637"/>
      <c r="O551" s="637"/>
      <c r="P551" s="637"/>
      <c r="Q551" s="637"/>
      <c r="R551" s="637"/>
      <c r="S551" s="637"/>
      <c r="T551" s="637"/>
      <c r="U551" s="637"/>
      <c r="V551" s="637"/>
      <c r="W551" s="637"/>
      <c r="X551" s="637"/>
      <c r="Y551" s="637"/>
      <c r="Z551" s="637"/>
    </row>
    <row r="552" ht="11.25" customHeight="1">
      <c r="A552" s="637"/>
      <c r="B552" s="637"/>
      <c r="C552" s="637"/>
      <c r="D552" s="637"/>
      <c r="E552" s="637"/>
      <c r="F552" s="637"/>
      <c r="G552" s="637"/>
      <c r="H552" s="637"/>
      <c r="I552" s="637"/>
      <c r="J552" s="637"/>
      <c r="K552" s="637"/>
      <c r="L552" s="637"/>
      <c r="M552" s="637"/>
      <c r="N552" s="637"/>
      <c r="O552" s="637"/>
      <c r="P552" s="637"/>
      <c r="Q552" s="637"/>
      <c r="R552" s="637"/>
      <c r="S552" s="637"/>
      <c r="T552" s="637"/>
      <c r="U552" s="637"/>
      <c r="V552" s="637"/>
      <c r="W552" s="637"/>
      <c r="X552" s="637"/>
      <c r="Y552" s="637"/>
      <c r="Z552" s="637"/>
    </row>
    <row r="553" ht="11.25" customHeight="1">
      <c r="A553" s="637"/>
      <c r="B553" s="637"/>
      <c r="C553" s="637"/>
      <c r="D553" s="637"/>
      <c r="E553" s="637"/>
      <c r="F553" s="637"/>
      <c r="G553" s="637"/>
      <c r="H553" s="637"/>
      <c r="I553" s="637"/>
      <c r="J553" s="637"/>
      <c r="K553" s="637"/>
      <c r="L553" s="637"/>
      <c r="M553" s="637"/>
      <c r="N553" s="637"/>
      <c r="O553" s="637"/>
      <c r="P553" s="637"/>
      <c r="Q553" s="637"/>
      <c r="R553" s="637"/>
      <c r="S553" s="637"/>
      <c r="T553" s="637"/>
      <c r="U553" s="637"/>
      <c r="V553" s="637"/>
      <c r="W553" s="637"/>
      <c r="X553" s="637"/>
      <c r="Y553" s="637"/>
      <c r="Z553" s="637"/>
    </row>
    <row r="554" ht="11.25" customHeight="1">
      <c r="A554" s="637"/>
      <c r="B554" s="637"/>
      <c r="C554" s="637"/>
      <c r="D554" s="637"/>
      <c r="E554" s="637"/>
      <c r="F554" s="637"/>
      <c r="G554" s="637"/>
      <c r="H554" s="637"/>
      <c r="I554" s="637"/>
      <c r="J554" s="637"/>
      <c r="K554" s="637"/>
      <c r="L554" s="637"/>
      <c r="M554" s="637"/>
      <c r="N554" s="637"/>
      <c r="O554" s="637"/>
      <c r="P554" s="637"/>
      <c r="Q554" s="637"/>
      <c r="R554" s="637"/>
      <c r="S554" s="637"/>
      <c r="T554" s="637"/>
      <c r="U554" s="637"/>
      <c r="V554" s="637"/>
      <c r="W554" s="637"/>
      <c r="X554" s="637"/>
      <c r="Y554" s="637"/>
      <c r="Z554" s="637"/>
    </row>
    <row r="555" ht="11.25" customHeight="1">
      <c r="A555" s="637"/>
      <c r="B555" s="637"/>
      <c r="C555" s="637"/>
      <c r="D555" s="637"/>
      <c r="E555" s="637"/>
      <c r="F555" s="637"/>
      <c r="G555" s="637"/>
      <c r="H555" s="637"/>
      <c r="I555" s="637"/>
      <c r="J555" s="637"/>
      <c r="K555" s="637"/>
      <c r="L555" s="637"/>
      <c r="M555" s="637"/>
      <c r="N555" s="637"/>
      <c r="O555" s="637"/>
      <c r="P555" s="637"/>
      <c r="Q555" s="637"/>
      <c r="R555" s="637"/>
      <c r="S555" s="637"/>
      <c r="T555" s="637"/>
      <c r="U555" s="637"/>
      <c r="V555" s="637"/>
      <c r="W555" s="637"/>
      <c r="X555" s="637"/>
      <c r="Y555" s="637"/>
      <c r="Z555" s="637"/>
    </row>
    <row r="556" ht="11.25" customHeight="1">
      <c r="A556" s="637"/>
      <c r="B556" s="637"/>
      <c r="C556" s="637"/>
      <c r="D556" s="637"/>
      <c r="E556" s="637"/>
      <c r="F556" s="637"/>
      <c r="G556" s="637"/>
      <c r="H556" s="637"/>
      <c r="I556" s="637"/>
      <c r="J556" s="637"/>
      <c r="K556" s="637"/>
      <c r="L556" s="637"/>
      <c r="M556" s="637"/>
      <c r="N556" s="637"/>
      <c r="O556" s="637"/>
      <c r="P556" s="637"/>
      <c r="Q556" s="637"/>
      <c r="R556" s="637"/>
      <c r="S556" s="637"/>
      <c r="T556" s="637"/>
      <c r="U556" s="637"/>
      <c r="V556" s="637"/>
      <c r="W556" s="637"/>
      <c r="X556" s="637"/>
      <c r="Y556" s="637"/>
      <c r="Z556" s="637"/>
    </row>
    <row r="557" ht="11.25" customHeight="1">
      <c r="A557" s="637"/>
      <c r="B557" s="637"/>
      <c r="C557" s="637"/>
      <c r="D557" s="637"/>
      <c r="E557" s="637"/>
      <c r="F557" s="637"/>
      <c r="G557" s="637"/>
      <c r="H557" s="637"/>
      <c r="I557" s="637"/>
      <c r="J557" s="637"/>
      <c r="K557" s="637"/>
      <c r="L557" s="637"/>
      <c r="M557" s="637"/>
      <c r="N557" s="637"/>
      <c r="O557" s="637"/>
      <c r="P557" s="637"/>
      <c r="Q557" s="637"/>
      <c r="R557" s="637"/>
      <c r="S557" s="637"/>
      <c r="T557" s="637"/>
      <c r="U557" s="637"/>
      <c r="V557" s="637"/>
      <c r="W557" s="637"/>
      <c r="X557" s="637"/>
      <c r="Y557" s="637"/>
      <c r="Z557" s="637"/>
    </row>
    <row r="558" ht="11.25" customHeight="1">
      <c r="A558" s="637"/>
      <c r="B558" s="637"/>
      <c r="C558" s="637"/>
      <c r="D558" s="637"/>
      <c r="E558" s="637"/>
      <c r="F558" s="637"/>
      <c r="G558" s="637"/>
      <c r="H558" s="637"/>
      <c r="I558" s="637"/>
      <c r="J558" s="637"/>
      <c r="K558" s="637"/>
      <c r="L558" s="637"/>
      <c r="M558" s="637"/>
      <c r="N558" s="637"/>
      <c r="O558" s="637"/>
      <c r="P558" s="637"/>
      <c r="Q558" s="637"/>
      <c r="R558" s="637"/>
      <c r="S558" s="637"/>
      <c r="T558" s="637"/>
      <c r="U558" s="637"/>
      <c r="V558" s="637"/>
      <c r="W558" s="637"/>
      <c r="X558" s="637"/>
      <c r="Y558" s="637"/>
      <c r="Z558" s="637"/>
    </row>
    <row r="559" ht="11.25" customHeight="1">
      <c r="A559" s="637"/>
      <c r="B559" s="637"/>
      <c r="C559" s="637"/>
      <c r="D559" s="637"/>
      <c r="E559" s="637"/>
      <c r="F559" s="637"/>
      <c r="G559" s="637"/>
      <c r="H559" s="637"/>
      <c r="I559" s="637"/>
      <c r="J559" s="637"/>
      <c r="K559" s="637"/>
      <c r="L559" s="637"/>
      <c r="M559" s="637"/>
      <c r="N559" s="637"/>
      <c r="O559" s="637"/>
      <c r="P559" s="637"/>
      <c r="Q559" s="637"/>
      <c r="R559" s="637"/>
      <c r="S559" s="637"/>
      <c r="T559" s="637"/>
      <c r="U559" s="637"/>
      <c r="V559" s="637"/>
      <c r="W559" s="637"/>
      <c r="X559" s="637"/>
      <c r="Y559" s="637"/>
      <c r="Z559" s="637"/>
    </row>
    <row r="560" ht="11.25" customHeight="1">
      <c r="A560" s="637"/>
      <c r="B560" s="637"/>
      <c r="C560" s="637"/>
      <c r="D560" s="637"/>
      <c r="E560" s="637"/>
      <c r="F560" s="637"/>
      <c r="G560" s="637"/>
      <c r="H560" s="637"/>
      <c r="I560" s="637"/>
      <c r="J560" s="637"/>
      <c r="K560" s="637"/>
      <c r="L560" s="637"/>
      <c r="M560" s="637"/>
      <c r="N560" s="637"/>
      <c r="O560" s="637"/>
      <c r="P560" s="637"/>
      <c r="Q560" s="637"/>
      <c r="R560" s="637"/>
      <c r="S560" s="637"/>
      <c r="T560" s="637"/>
      <c r="U560" s="637"/>
      <c r="V560" s="637"/>
      <c r="W560" s="637"/>
      <c r="X560" s="637"/>
      <c r="Y560" s="637"/>
      <c r="Z560" s="637"/>
    </row>
    <row r="561" ht="11.25" customHeight="1">
      <c r="A561" s="637"/>
      <c r="B561" s="637"/>
      <c r="C561" s="637"/>
      <c r="D561" s="637"/>
      <c r="E561" s="637"/>
      <c r="F561" s="637"/>
      <c r="G561" s="637"/>
      <c r="H561" s="637"/>
      <c r="I561" s="637"/>
      <c r="J561" s="637"/>
      <c r="K561" s="637"/>
      <c r="L561" s="637"/>
      <c r="M561" s="637"/>
      <c r="N561" s="637"/>
      <c r="O561" s="637"/>
      <c r="P561" s="637"/>
      <c r="Q561" s="637"/>
      <c r="R561" s="637"/>
      <c r="S561" s="637"/>
      <c r="T561" s="637"/>
      <c r="U561" s="637"/>
      <c r="V561" s="637"/>
      <c r="W561" s="637"/>
      <c r="X561" s="637"/>
      <c r="Y561" s="637"/>
      <c r="Z561" s="637"/>
    </row>
    <row r="562" ht="11.25" customHeight="1">
      <c r="A562" s="637"/>
      <c r="B562" s="637"/>
      <c r="C562" s="637"/>
      <c r="D562" s="637"/>
      <c r="E562" s="637"/>
      <c r="F562" s="637"/>
      <c r="G562" s="637"/>
      <c r="H562" s="637"/>
      <c r="I562" s="637"/>
      <c r="J562" s="637"/>
      <c r="K562" s="637"/>
      <c r="L562" s="637"/>
      <c r="M562" s="637"/>
      <c r="N562" s="637"/>
      <c r="O562" s="637"/>
      <c r="P562" s="637"/>
      <c r="Q562" s="637"/>
      <c r="R562" s="637"/>
      <c r="S562" s="637"/>
      <c r="T562" s="637"/>
      <c r="U562" s="637"/>
      <c r="V562" s="637"/>
      <c r="W562" s="637"/>
      <c r="X562" s="637"/>
      <c r="Y562" s="637"/>
      <c r="Z562" s="637"/>
    </row>
    <row r="563" ht="11.25" customHeight="1">
      <c r="A563" s="637"/>
      <c r="B563" s="637"/>
      <c r="C563" s="637"/>
      <c r="D563" s="637"/>
      <c r="E563" s="637"/>
      <c r="F563" s="637"/>
      <c r="G563" s="637"/>
      <c r="H563" s="637"/>
      <c r="I563" s="637"/>
      <c r="J563" s="637"/>
      <c r="K563" s="637"/>
      <c r="L563" s="637"/>
      <c r="M563" s="637"/>
      <c r="N563" s="637"/>
      <c r="O563" s="637"/>
      <c r="P563" s="637"/>
      <c r="Q563" s="637"/>
      <c r="R563" s="637"/>
      <c r="S563" s="637"/>
      <c r="T563" s="637"/>
      <c r="U563" s="637"/>
      <c r="V563" s="637"/>
      <c r="W563" s="637"/>
      <c r="X563" s="637"/>
      <c r="Y563" s="637"/>
      <c r="Z563" s="637"/>
    </row>
    <row r="564" ht="11.25" customHeight="1">
      <c r="A564" s="637"/>
      <c r="B564" s="637"/>
      <c r="C564" s="637"/>
      <c r="D564" s="637"/>
      <c r="E564" s="637"/>
      <c r="F564" s="637"/>
      <c r="G564" s="637"/>
      <c r="H564" s="637"/>
      <c r="I564" s="637"/>
      <c r="J564" s="637"/>
      <c r="K564" s="637"/>
      <c r="L564" s="637"/>
      <c r="M564" s="637"/>
      <c r="N564" s="637"/>
      <c r="O564" s="637"/>
      <c r="P564" s="637"/>
      <c r="Q564" s="637"/>
      <c r="R564" s="637"/>
      <c r="S564" s="637"/>
      <c r="T564" s="637"/>
      <c r="U564" s="637"/>
      <c r="V564" s="637"/>
      <c r="W564" s="637"/>
      <c r="X564" s="637"/>
      <c r="Y564" s="637"/>
      <c r="Z564" s="637"/>
    </row>
    <row r="565" ht="11.25" customHeight="1">
      <c r="A565" s="637"/>
      <c r="B565" s="637"/>
      <c r="C565" s="637"/>
      <c r="D565" s="637"/>
      <c r="E565" s="637"/>
      <c r="F565" s="637"/>
      <c r="G565" s="637"/>
      <c r="H565" s="637"/>
      <c r="I565" s="637"/>
      <c r="J565" s="637"/>
      <c r="K565" s="637"/>
      <c r="L565" s="637"/>
      <c r="M565" s="637"/>
      <c r="N565" s="637"/>
      <c r="O565" s="637"/>
      <c r="P565" s="637"/>
      <c r="Q565" s="637"/>
      <c r="R565" s="637"/>
      <c r="S565" s="637"/>
      <c r="T565" s="637"/>
      <c r="U565" s="637"/>
      <c r="V565" s="637"/>
      <c r="W565" s="637"/>
      <c r="X565" s="637"/>
      <c r="Y565" s="637"/>
      <c r="Z565" s="637"/>
    </row>
    <row r="566" ht="11.25" customHeight="1">
      <c r="A566" s="637"/>
      <c r="B566" s="637"/>
      <c r="C566" s="637"/>
      <c r="D566" s="637"/>
      <c r="E566" s="637"/>
      <c r="F566" s="637"/>
      <c r="G566" s="637"/>
      <c r="H566" s="637"/>
      <c r="I566" s="637"/>
      <c r="J566" s="637"/>
      <c r="K566" s="637"/>
      <c r="L566" s="637"/>
      <c r="M566" s="637"/>
      <c r="N566" s="637"/>
      <c r="O566" s="637"/>
      <c r="P566" s="637"/>
      <c r="Q566" s="637"/>
      <c r="R566" s="637"/>
      <c r="S566" s="637"/>
      <c r="T566" s="637"/>
      <c r="U566" s="637"/>
      <c r="V566" s="637"/>
      <c r="W566" s="637"/>
      <c r="X566" s="637"/>
      <c r="Y566" s="637"/>
      <c r="Z566" s="637"/>
    </row>
    <row r="567" ht="11.25" customHeight="1">
      <c r="A567" s="637"/>
      <c r="B567" s="637"/>
      <c r="C567" s="637"/>
      <c r="D567" s="637"/>
      <c r="E567" s="637"/>
      <c r="F567" s="637"/>
      <c r="G567" s="637"/>
      <c r="H567" s="637"/>
      <c r="I567" s="637"/>
      <c r="J567" s="637"/>
      <c r="K567" s="637"/>
      <c r="L567" s="637"/>
      <c r="M567" s="637"/>
      <c r="N567" s="637"/>
      <c r="O567" s="637"/>
      <c r="P567" s="637"/>
      <c r="Q567" s="637"/>
      <c r="R567" s="637"/>
      <c r="S567" s="637"/>
      <c r="T567" s="637"/>
      <c r="U567" s="637"/>
      <c r="V567" s="637"/>
      <c r="W567" s="637"/>
      <c r="X567" s="637"/>
      <c r="Y567" s="637"/>
      <c r="Z567" s="637"/>
    </row>
    <row r="568" ht="11.25" customHeight="1">
      <c r="A568" s="637"/>
      <c r="B568" s="637"/>
      <c r="C568" s="637"/>
      <c r="D568" s="637"/>
      <c r="E568" s="637"/>
      <c r="F568" s="637"/>
      <c r="G568" s="637"/>
      <c r="H568" s="637"/>
      <c r="I568" s="637"/>
      <c r="J568" s="637"/>
      <c r="K568" s="637"/>
      <c r="L568" s="637"/>
      <c r="M568" s="637"/>
      <c r="N568" s="637"/>
      <c r="O568" s="637"/>
      <c r="P568" s="637"/>
      <c r="Q568" s="637"/>
      <c r="R568" s="637"/>
      <c r="S568" s="637"/>
      <c r="T568" s="637"/>
      <c r="U568" s="637"/>
      <c r="V568" s="637"/>
      <c r="W568" s="637"/>
      <c r="X568" s="637"/>
      <c r="Y568" s="637"/>
      <c r="Z568" s="637"/>
    </row>
    <row r="569" ht="11.25" customHeight="1">
      <c r="A569" s="637"/>
      <c r="B569" s="637"/>
      <c r="C569" s="637"/>
      <c r="D569" s="637"/>
      <c r="E569" s="637"/>
      <c r="F569" s="637"/>
      <c r="G569" s="637"/>
      <c r="H569" s="637"/>
      <c r="I569" s="637"/>
      <c r="J569" s="637"/>
      <c r="K569" s="637"/>
      <c r="L569" s="637"/>
      <c r="M569" s="637"/>
      <c r="N569" s="637"/>
      <c r="O569" s="637"/>
      <c r="P569" s="637"/>
      <c r="Q569" s="637"/>
      <c r="R569" s="637"/>
      <c r="S569" s="637"/>
      <c r="T569" s="637"/>
      <c r="U569" s="637"/>
      <c r="V569" s="637"/>
      <c r="W569" s="637"/>
      <c r="X569" s="637"/>
      <c r="Y569" s="637"/>
      <c r="Z569" s="637"/>
    </row>
    <row r="570" ht="11.25" customHeight="1">
      <c r="A570" s="637"/>
      <c r="B570" s="637"/>
      <c r="C570" s="637"/>
      <c r="D570" s="637"/>
      <c r="E570" s="637"/>
      <c r="F570" s="637"/>
      <c r="G570" s="637"/>
      <c r="H570" s="637"/>
      <c r="I570" s="637"/>
      <c r="J570" s="637"/>
      <c r="K570" s="637"/>
      <c r="L570" s="637"/>
      <c r="M570" s="637"/>
      <c r="N570" s="637"/>
      <c r="O570" s="637"/>
      <c r="P570" s="637"/>
      <c r="Q570" s="637"/>
      <c r="R570" s="637"/>
      <c r="S570" s="637"/>
      <c r="T570" s="637"/>
      <c r="U570" s="637"/>
      <c r="V570" s="637"/>
      <c r="W570" s="637"/>
      <c r="X570" s="637"/>
      <c r="Y570" s="637"/>
      <c r="Z570" s="637"/>
    </row>
    <row r="571" ht="11.25" customHeight="1">
      <c r="A571" s="637"/>
      <c r="B571" s="637"/>
      <c r="C571" s="637"/>
      <c r="D571" s="637"/>
      <c r="E571" s="637"/>
      <c r="F571" s="637"/>
      <c r="G571" s="637"/>
      <c r="H571" s="637"/>
      <c r="I571" s="637"/>
      <c r="J571" s="637"/>
      <c r="K571" s="637"/>
      <c r="L571" s="637"/>
      <c r="M571" s="637"/>
      <c r="N571" s="637"/>
      <c r="O571" s="637"/>
      <c r="P571" s="637"/>
      <c r="Q571" s="637"/>
      <c r="R571" s="637"/>
      <c r="S571" s="637"/>
      <c r="T571" s="637"/>
      <c r="U571" s="637"/>
      <c r="V571" s="637"/>
      <c r="W571" s="637"/>
      <c r="X571" s="637"/>
      <c r="Y571" s="637"/>
      <c r="Z571" s="637"/>
    </row>
    <row r="572" ht="11.25" customHeight="1">
      <c r="A572" s="637"/>
      <c r="B572" s="637"/>
      <c r="C572" s="637"/>
      <c r="D572" s="637"/>
      <c r="E572" s="637"/>
      <c r="F572" s="637"/>
      <c r="G572" s="637"/>
      <c r="H572" s="637"/>
      <c r="I572" s="637"/>
      <c r="J572" s="637"/>
      <c r="K572" s="637"/>
      <c r="L572" s="637"/>
      <c r="M572" s="637"/>
      <c r="N572" s="637"/>
      <c r="O572" s="637"/>
      <c r="P572" s="637"/>
      <c r="Q572" s="637"/>
      <c r="R572" s="637"/>
      <c r="S572" s="637"/>
      <c r="T572" s="637"/>
      <c r="U572" s="637"/>
      <c r="V572" s="637"/>
      <c r="W572" s="637"/>
      <c r="X572" s="637"/>
      <c r="Y572" s="637"/>
      <c r="Z572" s="637"/>
    </row>
    <row r="573" ht="11.25" customHeight="1">
      <c r="A573" s="637"/>
      <c r="B573" s="637"/>
      <c r="C573" s="637"/>
      <c r="D573" s="637"/>
      <c r="E573" s="637"/>
      <c r="F573" s="637"/>
      <c r="G573" s="637"/>
      <c r="H573" s="637"/>
      <c r="I573" s="637"/>
      <c r="J573" s="637"/>
      <c r="K573" s="637"/>
      <c r="L573" s="637"/>
      <c r="M573" s="637"/>
      <c r="N573" s="637"/>
      <c r="O573" s="637"/>
      <c r="P573" s="637"/>
      <c r="Q573" s="637"/>
      <c r="R573" s="637"/>
      <c r="S573" s="637"/>
      <c r="T573" s="637"/>
      <c r="U573" s="637"/>
      <c r="V573" s="637"/>
      <c r="W573" s="637"/>
      <c r="X573" s="637"/>
      <c r="Y573" s="637"/>
      <c r="Z573" s="637"/>
    </row>
    <row r="574" ht="11.25" customHeight="1">
      <c r="A574" s="637"/>
      <c r="B574" s="637"/>
      <c r="C574" s="637"/>
      <c r="D574" s="637"/>
      <c r="E574" s="637"/>
      <c r="F574" s="637"/>
      <c r="G574" s="637"/>
      <c r="H574" s="637"/>
      <c r="I574" s="637"/>
      <c r="J574" s="637"/>
      <c r="K574" s="637"/>
      <c r="L574" s="637"/>
      <c r="M574" s="637"/>
      <c r="N574" s="637"/>
      <c r="O574" s="637"/>
      <c r="P574" s="637"/>
      <c r="Q574" s="637"/>
      <c r="R574" s="637"/>
      <c r="S574" s="637"/>
      <c r="T574" s="637"/>
      <c r="U574" s="637"/>
      <c r="V574" s="637"/>
      <c r="W574" s="637"/>
      <c r="X574" s="637"/>
      <c r="Y574" s="637"/>
      <c r="Z574" s="637"/>
    </row>
    <row r="575" ht="11.25" customHeight="1">
      <c r="A575" s="637"/>
      <c r="B575" s="637"/>
      <c r="C575" s="637"/>
      <c r="D575" s="637"/>
      <c r="E575" s="637"/>
      <c r="F575" s="637"/>
      <c r="G575" s="637"/>
      <c r="H575" s="637"/>
      <c r="I575" s="637"/>
      <c r="J575" s="637"/>
      <c r="K575" s="637"/>
      <c r="L575" s="637"/>
      <c r="M575" s="637"/>
      <c r="N575" s="637"/>
      <c r="O575" s="637"/>
      <c r="P575" s="637"/>
      <c r="Q575" s="637"/>
      <c r="R575" s="637"/>
      <c r="S575" s="637"/>
      <c r="T575" s="637"/>
      <c r="U575" s="637"/>
      <c r="V575" s="637"/>
      <c r="W575" s="637"/>
      <c r="X575" s="637"/>
      <c r="Y575" s="637"/>
      <c r="Z575" s="637"/>
    </row>
    <row r="576" ht="11.25" customHeight="1">
      <c r="A576" s="637"/>
      <c r="B576" s="637"/>
      <c r="C576" s="637"/>
      <c r="D576" s="637"/>
      <c r="E576" s="637"/>
      <c r="F576" s="637"/>
      <c r="G576" s="637"/>
      <c r="H576" s="637"/>
      <c r="I576" s="637"/>
      <c r="J576" s="637"/>
      <c r="K576" s="637"/>
      <c r="L576" s="637"/>
      <c r="M576" s="637"/>
      <c r="N576" s="637"/>
      <c r="O576" s="637"/>
      <c r="P576" s="637"/>
      <c r="Q576" s="637"/>
      <c r="R576" s="637"/>
      <c r="S576" s="637"/>
      <c r="T576" s="637"/>
      <c r="U576" s="637"/>
      <c r="V576" s="637"/>
      <c r="W576" s="637"/>
      <c r="X576" s="637"/>
      <c r="Y576" s="637"/>
      <c r="Z576" s="637"/>
    </row>
    <row r="577" ht="11.25" customHeight="1">
      <c r="A577" s="637"/>
      <c r="B577" s="637"/>
      <c r="C577" s="637"/>
      <c r="D577" s="637"/>
      <c r="E577" s="637"/>
      <c r="F577" s="637"/>
      <c r="G577" s="637"/>
      <c r="H577" s="637"/>
      <c r="I577" s="637"/>
      <c r="J577" s="637"/>
      <c r="K577" s="637"/>
      <c r="L577" s="637"/>
      <c r="M577" s="637"/>
      <c r="N577" s="637"/>
      <c r="O577" s="637"/>
      <c r="P577" s="637"/>
      <c r="Q577" s="637"/>
      <c r="R577" s="637"/>
      <c r="S577" s="637"/>
      <c r="T577" s="637"/>
      <c r="U577" s="637"/>
      <c r="V577" s="637"/>
      <c r="W577" s="637"/>
      <c r="X577" s="637"/>
      <c r="Y577" s="637"/>
      <c r="Z577" s="637"/>
    </row>
    <row r="578" ht="11.25" customHeight="1">
      <c r="A578" s="637"/>
      <c r="B578" s="637"/>
      <c r="C578" s="637"/>
      <c r="D578" s="637"/>
      <c r="E578" s="637"/>
      <c r="F578" s="637"/>
      <c r="G578" s="637"/>
      <c r="H578" s="637"/>
      <c r="I578" s="637"/>
      <c r="J578" s="637"/>
      <c r="K578" s="637"/>
      <c r="L578" s="637"/>
      <c r="M578" s="637"/>
      <c r="N578" s="637"/>
      <c r="O578" s="637"/>
      <c r="P578" s="637"/>
      <c r="Q578" s="637"/>
      <c r="R578" s="637"/>
      <c r="S578" s="637"/>
      <c r="T578" s="637"/>
      <c r="U578" s="637"/>
      <c r="V578" s="637"/>
      <c r="W578" s="637"/>
      <c r="X578" s="637"/>
      <c r="Y578" s="637"/>
      <c r="Z578" s="637"/>
    </row>
    <row r="579" ht="11.25" customHeight="1">
      <c r="A579" s="637"/>
      <c r="B579" s="637"/>
      <c r="C579" s="637"/>
      <c r="D579" s="637"/>
      <c r="E579" s="637"/>
      <c r="F579" s="637"/>
      <c r="G579" s="637"/>
      <c r="H579" s="637"/>
      <c r="I579" s="637"/>
      <c r="J579" s="637"/>
      <c r="K579" s="637"/>
      <c r="L579" s="637"/>
      <c r="M579" s="637"/>
      <c r="N579" s="637"/>
      <c r="O579" s="637"/>
      <c r="P579" s="637"/>
      <c r="Q579" s="637"/>
      <c r="R579" s="637"/>
      <c r="S579" s="637"/>
      <c r="T579" s="637"/>
      <c r="U579" s="637"/>
      <c r="V579" s="637"/>
      <c r="W579" s="637"/>
      <c r="X579" s="637"/>
      <c r="Y579" s="637"/>
      <c r="Z579" s="637"/>
    </row>
    <row r="580" ht="11.25" customHeight="1">
      <c r="A580" s="637"/>
      <c r="B580" s="637"/>
      <c r="C580" s="637"/>
      <c r="D580" s="637"/>
      <c r="E580" s="637"/>
      <c r="F580" s="637"/>
      <c r="G580" s="637"/>
      <c r="H580" s="637"/>
      <c r="I580" s="637"/>
      <c r="J580" s="637"/>
      <c r="K580" s="637"/>
      <c r="L580" s="637"/>
      <c r="M580" s="637"/>
      <c r="N580" s="637"/>
      <c r="O580" s="637"/>
      <c r="P580" s="637"/>
      <c r="Q580" s="637"/>
      <c r="R580" s="637"/>
      <c r="S580" s="637"/>
      <c r="T580" s="637"/>
      <c r="U580" s="637"/>
      <c r="V580" s="637"/>
      <c r="W580" s="637"/>
      <c r="X580" s="637"/>
      <c r="Y580" s="637"/>
      <c r="Z580" s="637"/>
    </row>
    <row r="581" ht="11.25" customHeight="1">
      <c r="A581" s="637"/>
      <c r="B581" s="637"/>
      <c r="C581" s="637"/>
      <c r="D581" s="637"/>
      <c r="E581" s="637"/>
      <c r="F581" s="637"/>
      <c r="G581" s="637"/>
      <c r="H581" s="637"/>
      <c r="I581" s="637"/>
      <c r="J581" s="637"/>
      <c r="K581" s="637"/>
      <c r="L581" s="637"/>
      <c r="M581" s="637"/>
      <c r="N581" s="637"/>
      <c r="O581" s="637"/>
      <c r="P581" s="637"/>
      <c r="Q581" s="637"/>
      <c r="R581" s="637"/>
      <c r="S581" s="637"/>
      <c r="T581" s="637"/>
      <c r="U581" s="637"/>
      <c r="V581" s="637"/>
      <c r="W581" s="637"/>
      <c r="X581" s="637"/>
      <c r="Y581" s="637"/>
      <c r="Z581" s="637"/>
    </row>
    <row r="582" ht="11.25" customHeight="1">
      <c r="A582" s="637"/>
      <c r="B582" s="637"/>
      <c r="C582" s="637"/>
      <c r="D582" s="637"/>
      <c r="E582" s="637"/>
      <c r="F582" s="637"/>
      <c r="G582" s="637"/>
      <c r="H582" s="637"/>
      <c r="I582" s="637"/>
      <c r="J582" s="637"/>
      <c r="K582" s="637"/>
      <c r="L582" s="637"/>
      <c r="M582" s="637"/>
      <c r="N582" s="637"/>
      <c r="O582" s="637"/>
      <c r="P582" s="637"/>
      <c r="Q582" s="637"/>
      <c r="R582" s="637"/>
      <c r="S582" s="637"/>
      <c r="T582" s="637"/>
      <c r="U582" s="637"/>
      <c r="V582" s="637"/>
      <c r="W582" s="637"/>
      <c r="X582" s="637"/>
      <c r="Y582" s="637"/>
      <c r="Z582" s="637"/>
    </row>
    <row r="583" ht="11.25" customHeight="1">
      <c r="A583" s="637"/>
      <c r="B583" s="637"/>
      <c r="C583" s="637"/>
      <c r="D583" s="637"/>
      <c r="E583" s="637"/>
      <c r="F583" s="637"/>
      <c r="G583" s="637"/>
      <c r="H583" s="637"/>
      <c r="I583" s="637"/>
      <c r="J583" s="637"/>
      <c r="K583" s="637"/>
      <c r="L583" s="637"/>
      <c r="M583" s="637"/>
      <c r="N583" s="637"/>
      <c r="O583" s="637"/>
      <c r="P583" s="637"/>
      <c r="Q583" s="637"/>
      <c r="R583" s="637"/>
      <c r="S583" s="637"/>
      <c r="T583" s="637"/>
      <c r="U583" s="637"/>
      <c r="V583" s="637"/>
      <c r="W583" s="637"/>
      <c r="X583" s="637"/>
      <c r="Y583" s="637"/>
      <c r="Z583" s="637"/>
    </row>
    <row r="584" ht="11.25" customHeight="1">
      <c r="A584" s="637"/>
      <c r="B584" s="637"/>
      <c r="C584" s="637"/>
      <c r="D584" s="637"/>
      <c r="E584" s="637"/>
      <c r="F584" s="637"/>
      <c r="G584" s="637"/>
      <c r="H584" s="637"/>
      <c r="I584" s="637"/>
      <c r="J584" s="637"/>
      <c r="K584" s="637"/>
      <c r="L584" s="637"/>
      <c r="M584" s="637"/>
      <c r="N584" s="637"/>
      <c r="O584" s="637"/>
      <c r="P584" s="637"/>
      <c r="Q584" s="637"/>
      <c r="R584" s="637"/>
      <c r="S584" s="637"/>
      <c r="T584" s="637"/>
      <c r="U584" s="637"/>
      <c r="V584" s="637"/>
      <c r="W584" s="637"/>
      <c r="X584" s="637"/>
      <c r="Y584" s="637"/>
      <c r="Z584" s="637"/>
    </row>
    <row r="585" ht="11.25" customHeight="1">
      <c r="A585" s="637"/>
      <c r="B585" s="637"/>
      <c r="C585" s="637"/>
      <c r="D585" s="637"/>
      <c r="E585" s="637"/>
      <c r="F585" s="637"/>
      <c r="G585" s="637"/>
      <c r="H585" s="637"/>
      <c r="I585" s="637"/>
      <c r="J585" s="637"/>
      <c r="K585" s="637"/>
      <c r="L585" s="637"/>
      <c r="M585" s="637"/>
      <c r="N585" s="637"/>
      <c r="O585" s="637"/>
      <c r="P585" s="637"/>
      <c r="Q585" s="637"/>
      <c r="R585" s="637"/>
      <c r="S585" s="637"/>
      <c r="T585" s="637"/>
      <c r="U585" s="637"/>
      <c r="V585" s="637"/>
      <c r="W585" s="637"/>
      <c r="X585" s="637"/>
      <c r="Y585" s="637"/>
      <c r="Z585" s="637"/>
    </row>
    <row r="586" ht="11.25" customHeight="1">
      <c r="A586" s="637"/>
      <c r="B586" s="637"/>
      <c r="C586" s="637"/>
      <c r="D586" s="637"/>
      <c r="E586" s="637"/>
      <c r="F586" s="637"/>
      <c r="G586" s="637"/>
      <c r="H586" s="637"/>
      <c r="I586" s="637"/>
      <c r="J586" s="637"/>
      <c r="K586" s="637"/>
      <c r="L586" s="637"/>
      <c r="M586" s="637"/>
      <c r="N586" s="637"/>
      <c r="O586" s="637"/>
      <c r="P586" s="637"/>
      <c r="Q586" s="637"/>
      <c r="R586" s="637"/>
      <c r="S586" s="637"/>
      <c r="T586" s="637"/>
      <c r="U586" s="637"/>
      <c r="V586" s="637"/>
      <c r="W586" s="637"/>
      <c r="X586" s="637"/>
      <c r="Y586" s="637"/>
      <c r="Z586" s="637"/>
    </row>
    <row r="587" ht="11.25" customHeight="1">
      <c r="A587" s="637"/>
      <c r="B587" s="637"/>
      <c r="C587" s="637"/>
      <c r="D587" s="637"/>
      <c r="E587" s="637"/>
      <c r="F587" s="637"/>
      <c r="G587" s="637"/>
      <c r="H587" s="637"/>
      <c r="I587" s="637"/>
      <c r="J587" s="637"/>
      <c r="K587" s="637"/>
      <c r="L587" s="637"/>
      <c r="M587" s="637"/>
      <c r="N587" s="637"/>
      <c r="O587" s="637"/>
      <c r="P587" s="637"/>
      <c r="Q587" s="637"/>
      <c r="R587" s="637"/>
      <c r="S587" s="637"/>
      <c r="T587" s="637"/>
      <c r="U587" s="637"/>
      <c r="V587" s="637"/>
      <c r="W587" s="637"/>
      <c r="X587" s="637"/>
      <c r="Y587" s="637"/>
      <c r="Z587" s="637"/>
    </row>
    <row r="588" ht="11.25" customHeight="1">
      <c r="A588" s="637"/>
      <c r="B588" s="637"/>
      <c r="C588" s="637"/>
      <c r="D588" s="637"/>
      <c r="E588" s="637"/>
      <c r="F588" s="637"/>
      <c r="G588" s="637"/>
      <c r="H588" s="637"/>
      <c r="I588" s="637"/>
      <c r="J588" s="637"/>
      <c r="K588" s="637"/>
      <c r="L588" s="637"/>
      <c r="M588" s="637"/>
      <c r="N588" s="637"/>
      <c r="O588" s="637"/>
      <c r="P588" s="637"/>
      <c r="Q588" s="637"/>
      <c r="R588" s="637"/>
      <c r="S588" s="637"/>
      <c r="T588" s="637"/>
      <c r="U588" s="637"/>
      <c r="V588" s="637"/>
      <c r="W588" s="637"/>
      <c r="X588" s="637"/>
      <c r="Y588" s="637"/>
      <c r="Z588" s="637"/>
    </row>
    <row r="589" ht="11.25" customHeight="1">
      <c r="A589" s="637"/>
      <c r="B589" s="637"/>
      <c r="C589" s="637"/>
      <c r="D589" s="637"/>
      <c r="E589" s="637"/>
      <c r="F589" s="637"/>
      <c r="G589" s="637"/>
      <c r="H589" s="637"/>
      <c r="I589" s="637"/>
      <c r="J589" s="637"/>
      <c r="K589" s="637"/>
      <c r="L589" s="637"/>
      <c r="M589" s="637"/>
      <c r="N589" s="637"/>
      <c r="O589" s="637"/>
      <c r="P589" s="637"/>
      <c r="Q589" s="637"/>
      <c r="R589" s="637"/>
      <c r="S589" s="637"/>
      <c r="T589" s="637"/>
      <c r="U589" s="637"/>
      <c r="V589" s="637"/>
      <c r="W589" s="637"/>
      <c r="X589" s="637"/>
      <c r="Y589" s="637"/>
      <c r="Z589" s="637"/>
    </row>
    <row r="590" ht="11.25" customHeight="1">
      <c r="A590" s="637"/>
      <c r="B590" s="637"/>
      <c r="C590" s="637"/>
      <c r="D590" s="637"/>
      <c r="E590" s="637"/>
      <c r="F590" s="637"/>
      <c r="G590" s="637"/>
      <c r="H590" s="637"/>
      <c r="I590" s="637"/>
      <c r="J590" s="637"/>
      <c r="K590" s="637"/>
      <c r="L590" s="637"/>
      <c r="M590" s="637"/>
      <c r="N590" s="637"/>
      <c r="O590" s="637"/>
      <c r="P590" s="637"/>
      <c r="Q590" s="637"/>
      <c r="R590" s="637"/>
      <c r="S590" s="637"/>
      <c r="T590" s="637"/>
      <c r="U590" s="637"/>
      <c r="V590" s="637"/>
      <c r="W590" s="637"/>
      <c r="X590" s="637"/>
      <c r="Y590" s="637"/>
      <c r="Z590" s="637"/>
    </row>
    <row r="591" ht="11.25" customHeight="1">
      <c r="A591" s="637"/>
      <c r="B591" s="637"/>
      <c r="C591" s="637"/>
      <c r="D591" s="637"/>
      <c r="E591" s="637"/>
      <c r="F591" s="637"/>
      <c r="G591" s="637"/>
      <c r="H591" s="637"/>
      <c r="I591" s="637"/>
      <c r="J591" s="637"/>
      <c r="K591" s="637"/>
      <c r="L591" s="637"/>
      <c r="M591" s="637"/>
      <c r="N591" s="637"/>
      <c r="O591" s="637"/>
      <c r="P591" s="637"/>
      <c r="Q591" s="637"/>
      <c r="R591" s="637"/>
      <c r="S591" s="637"/>
      <c r="T591" s="637"/>
      <c r="U591" s="637"/>
      <c r="V591" s="637"/>
      <c r="W591" s="637"/>
      <c r="X591" s="637"/>
      <c r="Y591" s="637"/>
      <c r="Z591" s="637"/>
    </row>
    <row r="592" ht="11.25" customHeight="1">
      <c r="A592" s="637"/>
      <c r="B592" s="637"/>
      <c r="C592" s="637"/>
      <c r="D592" s="637"/>
      <c r="E592" s="637"/>
      <c r="F592" s="637"/>
      <c r="G592" s="637"/>
      <c r="H592" s="637"/>
      <c r="I592" s="637"/>
      <c r="J592" s="637"/>
      <c r="K592" s="637"/>
      <c r="L592" s="637"/>
      <c r="M592" s="637"/>
      <c r="N592" s="637"/>
      <c r="O592" s="637"/>
      <c r="P592" s="637"/>
      <c r="Q592" s="637"/>
      <c r="R592" s="637"/>
      <c r="S592" s="637"/>
      <c r="T592" s="637"/>
      <c r="U592" s="637"/>
      <c r="V592" s="637"/>
      <c r="W592" s="637"/>
      <c r="X592" s="637"/>
      <c r="Y592" s="637"/>
      <c r="Z592" s="637"/>
    </row>
    <row r="593" ht="11.25" customHeight="1">
      <c r="A593" s="637"/>
      <c r="B593" s="637"/>
      <c r="C593" s="637"/>
      <c r="D593" s="637"/>
      <c r="E593" s="637"/>
      <c r="F593" s="637"/>
      <c r="G593" s="637"/>
      <c r="H593" s="637"/>
      <c r="I593" s="637"/>
      <c r="J593" s="637"/>
      <c r="K593" s="637"/>
      <c r="L593" s="637"/>
      <c r="M593" s="637"/>
      <c r="N593" s="637"/>
      <c r="O593" s="637"/>
      <c r="P593" s="637"/>
      <c r="Q593" s="637"/>
      <c r="R593" s="637"/>
      <c r="S593" s="637"/>
      <c r="T593" s="637"/>
      <c r="U593" s="637"/>
      <c r="V593" s="637"/>
      <c r="W593" s="637"/>
      <c r="X593" s="637"/>
      <c r="Y593" s="637"/>
      <c r="Z593" s="637"/>
    </row>
    <row r="594" ht="11.25" customHeight="1">
      <c r="A594" s="637"/>
      <c r="B594" s="637"/>
      <c r="C594" s="637"/>
      <c r="D594" s="637"/>
      <c r="E594" s="637"/>
      <c r="F594" s="637"/>
      <c r="G594" s="637"/>
      <c r="H594" s="637"/>
      <c r="I594" s="637"/>
      <c r="J594" s="637"/>
      <c r="K594" s="637"/>
      <c r="L594" s="637"/>
      <c r="M594" s="637"/>
      <c r="N594" s="637"/>
      <c r="O594" s="637"/>
      <c r="P594" s="637"/>
      <c r="Q594" s="637"/>
      <c r="R594" s="637"/>
      <c r="S594" s="637"/>
      <c r="T594" s="637"/>
      <c r="U594" s="637"/>
      <c r="V594" s="637"/>
      <c r="W594" s="637"/>
      <c r="X594" s="637"/>
      <c r="Y594" s="637"/>
      <c r="Z594" s="637"/>
    </row>
    <row r="595" ht="11.25" customHeight="1">
      <c r="A595" s="637"/>
      <c r="B595" s="637"/>
      <c r="C595" s="637"/>
      <c r="D595" s="637"/>
      <c r="E595" s="637"/>
      <c r="F595" s="637"/>
      <c r="G595" s="637"/>
      <c r="H595" s="637"/>
      <c r="I595" s="637"/>
      <c r="J595" s="637"/>
      <c r="K595" s="637"/>
      <c r="L595" s="637"/>
      <c r="M595" s="637"/>
      <c r="N595" s="637"/>
      <c r="O595" s="637"/>
      <c r="P595" s="637"/>
      <c r="Q595" s="637"/>
      <c r="R595" s="637"/>
      <c r="S595" s="637"/>
      <c r="T595" s="637"/>
      <c r="U595" s="637"/>
      <c r="V595" s="637"/>
      <c r="W595" s="637"/>
      <c r="X595" s="637"/>
      <c r="Y595" s="637"/>
      <c r="Z595" s="637"/>
    </row>
    <row r="596" ht="11.25" customHeight="1">
      <c r="A596" s="637"/>
      <c r="B596" s="637"/>
      <c r="C596" s="637"/>
      <c r="D596" s="637"/>
      <c r="E596" s="637"/>
      <c r="F596" s="637"/>
      <c r="G596" s="637"/>
      <c r="H596" s="637"/>
      <c r="I596" s="637"/>
      <c r="J596" s="637"/>
      <c r="K596" s="637"/>
      <c r="L596" s="637"/>
      <c r="M596" s="637"/>
      <c r="N596" s="637"/>
      <c r="O596" s="637"/>
      <c r="P596" s="637"/>
      <c r="Q596" s="637"/>
      <c r="R596" s="637"/>
      <c r="S596" s="637"/>
      <c r="T596" s="637"/>
      <c r="U596" s="637"/>
      <c r="V596" s="637"/>
      <c r="W596" s="637"/>
      <c r="X596" s="637"/>
      <c r="Y596" s="637"/>
      <c r="Z596" s="637"/>
    </row>
    <row r="597" ht="11.25" customHeight="1">
      <c r="A597" s="637"/>
      <c r="B597" s="637"/>
      <c r="C597" s="637"/>
      <c r="D597" s="637"/>
      <c r="E597" s="637"/>
      <c r="F597" s="637"/>
      <c r="G597" s="637"/>
      <c r="H597" s="637"/>
      <c r="I597" s="637"/>
      <c r="J597" s="637"/>
      <c r="K597" s="637"/>
      <c r="L597" s="637"/>
      <c r="M597" s="637"/>
      <c r="N597" s="637"/>
      <c r="O597" s="637"/>
      <c r="P597" s="637"/>
      <c r="Q597" s="637"/>
      <c r="R597" s="637"/>
      <c r="S597" s="637"/>
      <c r="T597" s="637"/>
      <c r="U597" s="637"/>
      <c r="V597" s="637"/>
      <c r="W597" s="637"/>
      <c r="X597" s="637"/>
      <c r="Y597" s="637"/>
      <c r="Z597" s="637"/>
    </row>
    <row r="598" ht="11.25" customHeight="1">
      <c r="A598" s="637"/>
      <c r="B598" s="637"/>
      <c r="C598" s="637"/>
      <c r="D598" s="637"/>
      <c r="E598" s="637"/>
      <c r="F598" s="637"/>
      <c r="G598" s="637"/>
      <c r="H598" s="637"/>
      <c r="I598" s="637"/>
      <c r="J598" s="637"/>
      <c r="K598" s="637"/>
      <c r="L598" s="637"/>
      <c r="M598" s="637"/>
      <c r="N598" s="637"/>
      <c r="O598" s="637"/>
      <c r="P598" s="637"/>
      <c r="Q598" s="637"/>
      <c r="R598" s="637"/>
      <c r="S598" s="637"/>
      <c r="T598" s="637"/>
      <c r="U598" s="637"/>
      <c r="V598" s="637"/>
      <c r="W598" s="637"/>
      <c r="X598" s="637"/>
      <c r="Y598" s="637"/>
      <c r="Z598" s="637"/>
    </row>
    <row r="599" ht="11.25" customHeight="1">
      <c r="A599" s="637"/>
      <c r="B599" s="637"/>
      <c r="C599" s="637"/>
      <c r="D599" s="637"/>
      <c r="E599" s="637"/>
      <c r="F599" s="637"/>
      <c r="G599" s="637"/>
      <c r="H599" s="637"/>
      <c r="I599" s="637"/>
      <c r="J599" s="637"/>
      <c r="K599" s="637"/>
      <c r="L599" s="637"/>
      <c r="M599" s="637"/>
      <c r="N599" s="637"/>
      <c r="O599" s="637"/>
      <c r="P599" s="637"/>
      <c r="Q599" s="637"/>
      <c r="R599" s="637"/>
      <c r="S599" s="637"/>
      <c r="T599" s="637"/>
      <c r="U599" s="637"/>
      <c r="V599" s="637"/>
      <c r="W599" s="637"/>
      <c r="X599" s="637"/>
      <c r="Y599" s="637"/>
      <c r="Z599" s="637"/>
    </row>
    <row r="600" ht="11.25" customHeight="1">
      <c r="A600" s="637"/>
      <c r="B600" s="637"/>
      <c r="C600" s="637"/>
      <c r="D600" s="637"/>
      <c r="E600" s="637"/>
      <c r="F600" s="637"/>
      <c r="G600" s="637"/>
      <c r="H600" s="637"/>
      <c r="I600" s="637"/>
      <c r="J600" s="637"/>
      <c r="K600" s="637"/>
      <c r="L600" s="637"/>
      <c r="M600" s="637"/>
      <c r="N600" s="637"/>
      <c r="O600" s="637"/>
      <c r="P600" s="637"/>
      <c r="Q600" s="637"/>
      <c r="R600" s="637"/>
      <c r="S600" s="637"/>
      <c r="T600" s="637"/>
      <c r="U600" s="637"/>
      <c r="V600" s="637"/>
      <c r="W600" s="637"/>
      <c r="X600" s="637"/>
      <c r="Y600" s="637"/>
      <c r="Z600" s="637"/>
    </row>
    <row r="601" ht="11.25" customHeight="1">
      <c r="A601" s="637"/>
      <c r="B601" s="637"/>
      <c r="C601" s="637"/>
      <c r="D601" s="637"/>
      <c r="E601" s="637"/>
      <c r="F601" s="637"/>
      <c r="G601" s="637"/>
      <c r="H601" s="637"/>
      <c r="I601" s="637"/>
      <c r="J601" s="637"/>
      <c r="K601" s="637"/>
      <c r="L601" s="637"/>
      <c r="M601" s="637"/>
      <c r="N601" s="637"/>
      <c r="O601" s="637"/>
      <c r="P601" s="637"/>
      <c r="Q601" s="637"/>
      <c r="R601" s="637"/>
      <c r="S601" s="637"/>
      <c r="T601" s="637"/>
      <c r="U601" s="637"/>
      <c r="V601" s="637"/>
      <c r="W601" s="637"/>
      <c r="X601" s="637"/>
      <c r="Y601" s="637"/>
      <c r="Z601" s="637"/>
    </row>
    <row r="602" ht="11.25" customHeight="1">
      <c r="A602" s="637"/>
      <c r="B602" s="637"/>
      <c r="C602" s="637"/>
      <c r="D602" s="637"/>
      <c r="E602" s="637"/>
      <c r="F602" s="637"/>
      <c r="G602" s="637"/>
      <c r="H602" s="637"/>
      <c r="I602" s="637"/>
      <c r="J602" s="637"/>
      <c r="K602" s="637"/>
      <c r="L602" s="637"/>
      <c r="M602" s="637"/>
      <c r="N602" s="637"/>
      <c r="O602" s="637"/>
      <c r="P602" s="637"/>
      <c r="Q602" s="637"/>
      <c r="R602" s="637"/>
      <c r="S602" s="637"/>
      <c r="T602" s="637"/>
      <c r="U602" s="637"/>
      <c r="V602" s="637"/>
      <c r="W602" s="637"/>
      <c r="X602" s="637"/>
      <c r="Y602" s="637"/>
      <c r="Z602" s="637"/>
    </row>
    <row r="603" ht="11.25" customHeight="1">
      <c r="A603" s="637"/>
      <c r="B603" s="637"/>
      <c r="C603" s="637"/>
      <c r="D603" s="637"/>
      <c r="E603" s="637"/>
      <c r="F603" s="637"/>
      <c r="G603" s="637"/>
      <c r="H603" s="637"/>
      <c r="I603" s="637"/>
      <c r="J603" s="637"/>
      <c r="K603" s="637"/>
      <c r="L603" s="637"/>
      <c r="M603" s="637"/>
      <c r="N603" s="637"/>
      <c r="O603" s="637"/>
      <c r="P603" s="637"/>
      <c r="Q603" s="637"/>
      <c r="R603" s="637"/>
      <c r="S603" s="637"/>
      <c r="T603" s="637"/>
      <c r="U603" s="637"/>
      <c r="V603" s="637"/>
      <c r="W603" s="637"/>
      <c r="X603" s="637"/>
      <c r="Y603" s="637"/>
      <c r="Z603" s="637"/>
    </row>
    <row r="604" ht="11.25" customHeight="1">
      <c r="A604" s="637"/>
      <c r="B604" s="637"/>
      <c r="C604" s="637"/>
      <c r="D604" s="637"/>
      <c r="E604" s="637"/>
      <c r="F604" s="637"/>
      <c r="G604" s="637"/>
      <c r="H604" s="637"/>
      <c r="I604" s="637"/>
      <c r="J604" s="637"/>
      <c r="K604" s="637"/>
      <c r="L604" s="637"/>
      <c r="M604" s="637"/>
      <c r="N604" s="637"/>
      <c r="O604" s="637"/>
      <c r="P604" s="637"/>
      <c r="Q604" s="637"/>
      <c r="R604" s="637"/>
      <c r="S604" s="637"/>
      <c r="T604" s="637"/>
      <c r="U604" s="637"/>
      <c r="V604" s="637"/>
      <c r="W604" s="637"/>
      <c r="X604" s="637"/>
      <c r="Y604" s="637"/>
      <c r="Z604" s="637"/>
    </row>
    <row r="605" ht="11.25" customHeight="1">
      <c r="A605" s="637"/>
      <c r="B605" s="637"/>
      <c r="C605" s="637"/>
      <c r="D605" s="637"/>
      <c r="E605" s="637"/>
      <c r="F605" s="637"/>
      <c r="G605" s="637"/>
      <c r="H605" s="637"/>
      <c r="I605" s="637"/>
      <c r="J605" s="637"/>
      <c r="K605" s="637"/>
      <c r="L605" s="637"/>
      <c r="M605" s="637"/>
      <c r="N605" s="637"/>
      <c r="O605" s="637"/>
      <c r="P605" s="637"/>
      <c r="Q605" s="637"/>
      <c r="R605" s="637"/>
      <c r="S605" s="637"/>
      <c r="T605" s="637"/>
      <c r="U605" s="637"/>
      <c r="V605" s="637"/>
      <c r="W605" s="637"/>
      <c r="X605" s="637"/>
      <c r="Y605" s="637"/>
      <c r="Z605" s="637"/>
    </row>
    <row r="606" ht="11.25" customHeight="1">
      <c r="A606" s="637"/>
      <c r="B606" s="637"/>
      <c r="C606" s="637"/>
      <c r="D606" s="637"/>
      <c r="E606" s="637"/>
      <c r="F606" s="637"/>
      <c r="G606" s="637"/>
      <c r="H606" s="637"/>
      <c r="I606" s="637"/>
      <c r="J606" s="637"/>
      <c r="K606" s="637"/>
      <c r="L606" s="637"/>
      <c r="M606" s="637"/>
      <c r="N606" s="637"/>
      <c r="O606" s="637"/>
      <c r="P606" s="637"/>
      <c r="Q606" s="637"/>
      <c r="R606" s="637"/>
      <c r="S606" s="637"/>
      <c r="T606" s="637"/>
      <c r="U606" s="637"/>
      <c r="V606" s="637"/>
      <c r="W606" s="637"/>
      <c r="X606" s="637"/>
      <c r="Y606" s="637"/>
      <c r="Z606" s="637"/>
    </row>
    <row r="607" ht="11.25" customHeight="1">
      <c r="A607" s="637"/>
      <c r="B607" s="637"/>
      <c r="C607" s="637"/>
      <c r="D607" s="637"/>
      <c r="E607" s="637"/>
      <c r="F607" s="637"/>
      <c r="G607" s="637"/>
      <c r="H607" s="637"/>
      <c r="I607" s="637"/>
      <c r="J607" s="637"/>
      <c r="K607" s="637"/>
      <c r="L607" s="637"/>
      <c r="M607" s="637"/>
      <c r="N607" s="637"/>
      <c r="O607" s="637"/>
      <c r="P607" s="637"/>
      <c r="Q607" s="637"/>
      <c r="R607" s="637"/>
      <c r="S607" s="637"/>
      <c r="T607" s="637"/>
      <c r="U607" s="637"/>
      <c r="V607" s="637"/>
      <c r="W607" s="637"/>
      <c r="X607" s="637"/>
      <c r="Y607" s="637"/>
      <c r="Z607" s="637"/>
    </row>
    <row r="608" ht="11.25" customHeight="1">
      <c r="A608" s="637"/>
      <c r="B608" s="637"/>
      <c r="C608" s="637"/>
      <c r="D608" s="637"/>
      <c r="E608" s="637"/>
      <c r="F608" s="637"/>
      <c r="G608" s="637"/>
      <c r="H608" s="637"/>
      <c r="I608" s="637"/>
      <c r="J608" s="637"/>
      <c r="K608" s="637"/>
      <c r="L608" s="637"/>
      <c r="M608" s="637"/>
      <c r="N608" s="637"/>
      <c r="O608" s="637"/>
      <c r="P608" s="637"/>
      <c r="Q608" s="637"/>
      <c r="R608" s="637"/>
      <c r="S608" s="637"/>
      <c r="T608" s="637"/>
      <c r="U608" s="637"/>
      <c r="V608" s="637"/>
      <c r="W608" s="637"/>
      <c r="X608" s="637"/>
      <c r="Y608" s="637"/>
      <c r="Z608" s="637"/>
    </row>
    <row r="609" ht="11.25" customHeight="1">
      <c r="A609" s="637"/>
      <c r="B609" s="637"/>
      <c r="C609" s="637"/>
      <c r="D609" s="637"/>
      <c r="E609" s="637"/>
      <c r="F609" s="637"/>
      <c r="G609" s="637"/>
      <c r="H609" s="637"/>
      <c r="I609" s="637"/>
      <c r="J609" s="637"/>
      <c r="K609" s="637"/>
      <c r="L609" s="637"/>
      <c r="M609" s="637"/>
      <c r="N609" s="637"/>
      <c r="O609" s="637"/>
      <c r="P609" s="637"/>
      <c r="Q609" s="637"/>
      <c r="R609" s="637"/>
      <c r="S609" s="637"/>
      <c r="T609" s="637"/>
      <c r="U609" s="637"/>
      <c r="V609" s="637"/>
      <c r="W609" s="637"/>
      <c r="X609" s="637"/>
      <c r="Y609" s="637"/>
      <c r="Z609" s="637"/>
    </row>
    <row r="610" ht="11.25" customHeight="1">
      <c r="A610" s="637"/>
      <c r="B610" s="637"/>
      <c r="C610" s="637"/>
      <c r="D610" s="637"/>
      <c r="E610" s="637"/>
      <c r="F610" s="637"/>
      <c r="G610" s="637"/>
      <c r="H610" s="637"/>
      <c r="I610" s="637"/>
      <c r="J610" s="637"/>
      <c r="K610" s="637"/>
      <c r="L610" s="637"/>
      <c r="M610" s="637"/>
      <c r="N610" s="637"/>
      <c r="O610" s="637"/>
      <c r="P610" s="637"/>
      <c r="Q610" s="637"/>
      <c r="R610" s="637"/>
      <c r="S610" s="637"/>
      <c r="T610" s="637"/>
      <c r="U610" s="637"/>
      <c r="V610" s="637"/>
      <c r="W610" s="637"/>
      <c r="X610" s="637"/>
      <c r="Y610" s="637"/>
      <c r="Z610" s="637"/>
    </row>
    <row r="611" ht="11.25" customHeight="1">
      <c r="A611" s="637"/>
      <c r="B611" s="637"/>
      <c r="C611" s="637"/>
      <c r="D611" s="637"/>
      <c r="E611" s="637"/>
      <c r="F611" s="637"/>
      <c r="G611" s="637"/>
      <c r="H611" s="637"/>
      <c r="I611" s="637"/>
      <c r="J611" s="637"/>
      <c r="K611" s="637"/>
      <c r="L611" s="637"/>
      <c r="M611" s="637"/>
      <c r="N611" s="637"/>
      <c r="O611" s="637"/>
      <c r="P611" s="637"/>
      <c r="Q611" s="637"/>
      <c r="R611" s="637"/>
      <c r="S611" s="637"/>
      <c r="T611" s="637"/>
      <c r="U611" s="637"/>
      <c r="V611" s="637"/>
      <c r="W611" s="637"/>
      <c r="X611" s="637"/>
      <c r="Y611" s="637"/>
      <c r="Z611" s="637"/>
    </row>
    <row r="612" ht="11.25" customHeight="1">
      <c r="A612" s="637"/>
      <c r="B612" s="637"/>
      <c r="C612" s="637"/>
      <c r="D612" s="637"/>
      <c r="E612" s="637"/>
      <c r="F612" s="637"/>
      <c r="G612" s="637"/>
      <c r="H612" s="637"/>
      <c r="I612" s="637"/>
      <c r="J612" s="637"/>
      <c r="K612" s="637"/>
      <c r="L612" s="637"/>
      <c r="M612" s="637"/>
      <c r="N612" s="637"/>
      <c r="O612" s="637"/>
      <c r="P612" s="637"/>
      <c r="Q612" s="637"/>
      <c r="R612" s="637"/>
      <c r="S612" s="637"/>
      <c r="T612" s="637"/>
      <c r="U612" s="637"/>
      <c r="V612" s="637"/>
      <c r="W612" s="637"/>
      <c r="X612" s="637"/>
      <c r="Y612" s="637"/>
      <c r="Z612" s="637"/>
    </row>
    <row r="613" ht="11.25" customHeight="1">
      <c r="A613" s="637"/>
      <c r="B613" s="637"/>
      <c r="C613" s="637"/>
      <c r="D613" s="637"/>
      <c r="E613" s="637"/>
      <c r="F613" s="637"/>
      <c r="G613" s="637"/>
      <c r="H613" s="637"/>
      <c r="I613" s="637"/>
      <c r="J613" s="637"/>
      <c r="K613" s="637"/>
      <c r="L613" s="637"/>
      <c r="M613" s="637"/>
      <c r="N613" s="637"/>
      <c r="O613" s="637"/>
      <c r="P613" s="637"/>
      <c r="Q613" s="637"/>
      <c r="R613" s="637"/>
      <c r="S613" s="637"/>
      <c r="T613" s="637"/>
      <c r="U613" s="637"/>
      <c r="V613" s="637"/>
      <c r="W613" s="637"/>
      <c r="X613" s="637"/>
      <c r="Y613" s="637"/>
      <c r="Z613" s="637"/>
    </row>
    <row r="614" ht="11.25" customHeight="1">
      <c r="A614" s="637"/>
      <c r="B614" s="637"/>
      <c r="C614" s="637"/>
      <c r="D614" s="637"/>
      <c r="E614" s="637"/>
      <c r="F614" s="637"/>
      <c r="G614" s="637"/>
      <c r="H614" s="637"/>
      <c r="I614" s="637"/>
      <c r="J614" s="637"/>
      <c r="K614" s="637"/>
      <c r="L614" s="637"/>
      <c r="M614" s="637"/>
      <c r="N614" s="637"/>
      <c r="O614" s="637"/>
      <c r="P614" s="637"/>
      <c r="Q614" s="637"/>
      <c r="R614" s="637"/>
      <c r="S614" s="637"/>
      <c r="T614" s="637"/>
      <c r="U614" s="637"/>
      <c r="V614" s="637"/>
      <c r="W614" s="637"/>
      <c r="X614" s="637"/>
      <c r="Y614" s="637"/>
      <c r="Z614" s="637"/>
    </row>
    <row r="615" ht="11.25" customHeight="1">
      <c r="A615" s="637"/>
      <c r="B615" s="637"/>
      <c r="C615" s="637"/>
      <c r="D615" s="637"/>
      <c r="E615" s="637"/>
      <c r="F615" s="637"/>
      <c r="G615" s="637"/>
      <c r="H615" s="637"/>
      <c r="I615" s="637"/>
      <c r="J615" s="637"/>
      <c r="K615" s="637"/>
      <c r="L615" s="637"/>
      <c r="M615" s="637"/>
      <c r="N615" s="637"/>
      <c r="O615" s="637"/>
      <c r="P615" s="637"/>
      <c r="Q615" s="637"/>
      <c r="R615" s="637"/>
      <c r="S615" s="637"/>
      <c r="T615" s="637"/>
      <c r="U615" s="637"/>
      <c r="V615" s="637"/>
      <c r="W615" s="637"/>
      <c r="X615" s="637"/>
      <c r="Y615" s="637"/>
      <c r="Z615" s="637"/>
    </row>
    <row r="616" ht="11.25" customHeight="1">
      <c r="A616" s="637"/>
      <c r="B616" s="637"/>
      <c r="C616" s="637"/>
      <c r="D616" s="637"/>
      <c r="E616" s="637"/>
      <c r="F616" s="637"/>
      <c r="G616" s="637"/>
      <c r="H616" s="637"/>
      <c r="I616" s="637"/>
      <c r="J616" s="637"/>
      <c r="K616" s="637"/>
      <c r="L616" s="637"/>
      <c r="M616" s="637"/>
      <c r="N616" s="637"/>
      <c r="O616" s="637"/>
      <c r="P616" s="637"/>
      <c r="Q616" s="637"/>
      <c r="R616" s="637"/>
      <c r="S616" s="637"/>
      <c r="T616" s="637"/>
      <c r="U616" s="637"/>
      <c r="V616" s="637"/>
      <c r="W616" s="637"/>
      <c r="X616" s="637"/>
      <c r="Y616" s="637"/>
      <c r="Z616" s="637"/>
    </row>
    <row r="617" ht="11.25" customHeight="1">
      <c r="A617" s="637"/>
      <c r="B617" s="637"/>
      <c r="C617" s="637"/>
      <c r="D617" s="637"/>
      <c r="E617" s="637"/>
      <c r="F617" s="637"/>
      <c r="G617" s="637"/>
      <c r="H617" s="637"/>
      <c r="I617" s="637"/>
      <c r="J617" s="637"/>
      <c r="K617" s="637"/>
      <c r="L617" s="637"/>
      <c r="M617" s="637"/>
      <c r="N617" s="637"/>
      <c r="O617" s="637"/>
      <c r="P617" s="637"/>
      <c r="Q617" s="637"/>
      <c r="R617" s="637"/>
      <c r="S617" s="637"/>
      <c r="T617" s="637"/>
      <c r="U617" s="637"/>
      <c r="V617" s="637"/>
      <c r="W617" s="637"/>
      <c r="X617" s="637"/>
      <c r="Y617" s="637"/>
      <c r="Z617" s="637"/>
    </row>
    <row r="618" ht="11.25" customHeight="1">
      <c r="A618" s="637"/>
      <c r="B618" s="637"/>
      <c r="C618" s="637"/>
      <c r="D618" s="637"/>
      <c r="E618" s="637"/>
      <c r="F618" s="637"/>
      <c r="G618" s="637"/>
      <c r="H618" s="637"/>
      <c r="I618" s="637"/>
      <c r="J618" s="637"/>
      <c r="K618" s="637"/>
      <c r="L618" s="637"/>
      <c r="M618" s="637"/>
      <c r="N618" s="637"/>
      <c r="O618" s="637"/>
      <c r="P618" s="637"/>
      <c r="Q618" s="637"/>
      <c r="R618" s="637"/>
      <c r="S618" s="637"/>
      <c r="T618" s="637"/>
      <c r="U618" s="637"/>
      <c r="V618" s="637"/>
      <c r="W618" s="637"/>
      <c r="X618" s="637"/>
      <c r="Y618" s="637"/>
      <c r="Z618" s="637"/>
    </row>
    <row r="619" ht="11.25" customHeight="1">
      <c r="A619" s="637"/>
      <c r="B619" s="637"/>
      <c r="C619" s="637"/>
      <c r="D619" s="637"/>
      <c r="E619" s="637"/>
      <c r="F619" s="637"/>
      <c r="G619" s="637"/>
      <c r="H619" s="637"/>
      <c r="I619" s="637"/>
      <c r="J619" s="637"/>
      <c r="K619" s="637"/>
      <c r="L619" s="637"/>
      <c r="M619" s="637"/>
      <c r="N619" s="637"/>
      <c r="O619" s="637"/>
      <c r="P619" s="637"/>
      <c r="Q619" s="637"/>
      <c r="R619" s="637"/>
      <c r="S619" s="637"/>
      <c r="T619" s="637"/>
      <c r="U619" s="637"/>
      <c r="V619" s="637"/>
      <c r="W619" s="637"/>
      <c r="X619" s="637"/>
      <c r="Y619" s="637"/>
      <c r="Z619" s="637"/>
    </row>
    <row r="620" ht="11.25" customHeight="1">
      <c r="A620" s="637"/>
      <c r="B620" s="637"/>
      <c r="C620" s="637"/>
      <c r="D620" s="637"/>
      <c r="E620" s="637"/>
      <c r="F620" s="637"/>
      <c r="G620" s="637"/>
      <c r="H620" s="637"/>
      <c r="I620" s="637"/>
      <c r="J620" s="637"/>
      <c r="K620" s="637"/>
      <c r="L620" s="637"/>
      <c r="M620" s="637"/>
      <c r="N620" s="637"/>
      <c r="O620" s="637"/>
      <c r="P620" s="637"/>
      <c r="Q620" s="637"/>
      <c r="R620" s="637"/>
      <c r="S620" s="637"/>
      <c r="T620" s="637"/>
      <c r="U620" s="637"/>
      <c r="V620" s="637"/>
      <c r="W620" s="637"/>
      <c r="X620" s="637"/>
      <c r="Y620" s="637"/>
      <c r="Z620" s="637"/>
    </row>
    <row r="621" ht="11.25" customHeight="1">
      <c r="A621" s="637"/>
      <c r="B621" s="637"/>
      <c r="C621" s="637"/>
      <c r="D621" s="637"/>
      <c r="E621" s="637"/>
      <c r="F621" s="637"/>
      <c r="G621" s="637"/>
      <c r="H621" s="637"/>
      <c r="I621" s="637"/>
      <c r="J621" s="637"/>
      <c r="K621" s="637"/>
      <c r="L621" s="637"/>
      <c r="M621" s="637"/>
      <c r="N621" s="637"/>
      <c r="O621" s="637"/>
      <c r="P621" s="637"/>
      <c r="Q621" s="637"/>
      <c r="R621" s="637"/>
      <c r="S621" s="637"/>
      <c r="T621" s="637"/>
      <c r="U621" s="637"/>
      <c r="V621" s="637"/>
      <c r="W621" s="637"/>
      <c r="X621" s="637"/>
      <c r="Y621" s="637"/>
      <c r="Z621" s="637"/>
    </row>
    <row r="622" ht="11.25" customHeight="1">
      <c r="A622" s="637"/>
      <c r="B622" s="637"/>
      <c r="C622" s="637"/>
      <c r="D622" s="637"/>
      <c r="E622" s="637"/>
      <c r="F622" s="637"/>
      <c r="G622" s="637"/>
      <c r="H622" s="637"/>
      <c r="I622" s="637"/>
      <c r="J622" s="637"/>
      <c r="K622" s="637"/>
      <c r="L622" s="637"/>
      <c r="M622" s="637"/>
      <c r="N622" s="637"/>
      <c r="O622" s="637"/>
      <c r="P622" s="637"/>
      <c r="Q622" s="637"/>
      <c r="R622" s="637"/>
      <c r="S622" s="637"/>
      <c r="T622" s="637"/>
      <c r="U622" s="637"/>
      <c r="V622" s="637"/>
      <c r="W622" s="637"/>
      <c r="X622" s="637"/>
      <c r="Y622" s="637"/>
      <c r="Z622" s="637"/>
    </row>
    <row r="623" ht="11.25" customHeight="1">
      <c r="A623" s="637"/>
      <c r="B623" s="637"/>
      <c r="C623" s="637"/>
      <c r="D623" s="637"/>
      <c r="E623" s="637"/>
      <c r="F623" s="637"/>
      <c r="G623" s="637"/>
      <c r="H623" s="637"/>
      <c r="I623" s="637"/>
      <c r="J623" s="637"/>
      <c r="K623" s="637"/>
      <c r="L623" s="637"/>
      <c r="M623" s="637"/>
      <c r="N623" s="637"/>
      <c r="O623" s="637"/>
      <c r="P623" s="637"/>
      <c r="Q623" s="637"/>
      <c r="R623" s="637"/>
      <c r="S623" s="637"/>
      <c r="T623" s="637"/>
      <c r="U623" s="637"/>
      <c r="V623" s="637"/>
      <c r="W623" s="637"/>
      <c r="X623" s="637"/>
      <c r="Y623" s="637"/>
      <c r="Z623" s="637"/>
    </row>
    <row r="624" ht="11.25" customHeight="1">
      <c r="A624" s="637"/>
      <c r="B624" s="637"/>
      <c r="C624" s="637"/>
      <c r="D624" s="637"/>
      <c r="E624" s="637"/>
      <c r="F624" s="637"/>
      <c r="G624" s="637"/>
      <c r="H624" s="637"/>
      <c r="I624" s="637"/>
      <c r="J624" s="637"/>
      <c r="K624" s="637"/>
      <c r="L624" s="637"/>
      <c r="M624" s="637"/>
      <c r="N624" s="637"/>
      <c r="O624" s="637"/>
      <c r="P624" s="637"/>
      <c r="Q624" s="637"/>
      <c r="R624" s="637"/>
      <c r="S624" s="637"/>
      <c r="T624" s="637"/>
      <c r="U624" s="637"/>
      <c r="V624" s="637"/>
      <c r="W624" s="637"/>
      <c r="X624" s="637"/>
      <c r="Y624" s="637"/>
      <c r="Z624" s="637"/>
    </row>
    <row r="625" ht="11.25" customHeight="1">
      <c r="A625" s="637"/>
      <c r="B625" s="637"/>
      <c r="C625" s="637"/>
      <c r="D625" s="637"/>
      <c r="E625" s="637"/>
      <c r="F625" s="637"/>
      <c r="G625" s="637"/>
      <c r="H625" s="637"/>
      <c r="I625" s="637"/>
      <c r="J625" s="637"/>
      <c r="K625" s="637"/>
      <c r="L625" s="637"/>
      <c r="M625" s="637"/>
      <c r="N625" s="637"/>
      <c r="O625" s="637"/>
      <c r="P625" s="637"/>
      <c r="Q625" s="637"/>
      <c r="R625" s="637"/>
      <c r="S625" s="637"/>
      <c r="T625" s="637"/>
      <c r="U625" s="637"/>
      <c r="V625" s="637"/>
      <c r="W625" s="637"/>
      <c r="X625" s="637"/>
      <c r="Y625" s="637"/>
      <c r="Z625" s="637"/>
    </row>
    <row r="626" ht="11.25" customHeight="1">
      <c r="A626" s="637"/>
      <c r="B626" s="637"/>
      <c r="C626" s="637"/>
      <c r="D626" s="637"/>
      <c r="E626" s="637"/>
      <c r="F626" s="637"/>
      <c r="G626" s="637"/>
      <c r="H626" s="637"/>
      <c r="I626" s="637"/>
      <c r="J626" s="637"/>
      <c r="K626" s="637"/>
      <c r="L626" s="637"/>
      <c r="M626" s="637"/>
      <c r="N626" s="637"/>
      <c r="O626" s="637"/>
      <c r="P626" s="637"/>
      <c r="Q626" s="637"/>
      <c r="R626" s="637"/>
      <c r="S626" s="637"/>
      <c r="T626" s="637"/>
      <c r="U626" s="637"/>
      <c r="V626" s="637"/>
      <c r="W626" s="637"/>
      <c r="X626" s="637"/>
      <c r="Y626" s="637"/>
      <c r="Z626" s="637"/>
    </row>
    <row r="627" ht="11.25" customHeight="1">
      <c r="A627" s="637"/>
      <c r="B627" s="637"/>
      <c r="C627" s="637"/>
      <c r="D627" s="637"/>
      <c r="E627" s="637"/>
      <c r="F627" s="637"/>
      <c r="G627" s="637"/>
      <c r="H627" s="637"/>
      <c r="I627" s="637"/>
      <c r="J627" s="637"/>
      <c r="K627" s="637"/>
      <c r="L627" s="637"/>
      <c r="M627" s="637"/>
      <c r="N627" s="637"/>
      <c r="O627" s="637"/>
      <c r="P627" s="637"/>
      <c r="Q627" s="637"/>
      <c r="R627" s="637"/>
      <c r="S627" s="637"/>
      <c r="T627" s="637"/>
      <c r="U627" s="637"/>
      <c r="V627" s="637"/>
      <c r="W627" s="637"/>
      <c r="X627" s="637"/>
      <c r="Y627" s="637"/>
      <c r="Z627" s="637"/>
    </row>
    <row r="628" ht="11.25" customHeight="1">
      <c r="A628" s="637"/>
      <c r="B628" s="637"/>
      <c r="C628" s="637"/>
      <c r="D628" s="637"/>
      <c r="E628" s="637"/>
      <c r="F628" s="637"/>
      <c r="G628" s="637"/>
      <c r="H628" s="637"/>
      <c r="I628" s="637"/>
      <c r="J628" s="637"/>
      <c r="K628" s="637"/>
      <c r="L628" s="637"/>
      <c r="M628" s="637"/>
      <c r="N628" s="637"/>
      <c r="O628" s="637"/>
      <c r="P628" s="637"/>
      <c r="Q628" s="637"/>
      <c r="R628" s="637"/>
      <c r="S628" s="637"/>
      <c r="T628" s="637"/>
      <c r="U628" s="637"/>
      <c r="V628" s="637"/>
      <c r="W628" s="637"/>
      <c r="X628" s="637"/>
      <c r="Y628" s="637"/>
      <c r="Z628" s="637"/>
    </row>
    <row r="629" ht="11.25" customHeight="1">
      <c r="A629" s="637"/>
      <c r="B629" s="637"/>
      <c r="C629" s="637"/>
      <c r="D629" s="637"/>
      <c r="E629" s="637"/>
      <c r="F629" s="637"/>
      <c r="G629" s="637"/>
      <c r="H629" s="637"/>
      <c r="I629" s="637"/>
      <c r="J629" s="637"/>
      <c r="K629" s="637"/>
      <c r="L629" s="637"/>
      <c r="M629" s="637"/>
      <c r="N629" s="637"/>
      <c r="O629" s="637"/>
      <c r="P629" s="637"/>
      <c r="Q629" s="637"/>
      <c r="R629" s="637"/>
      <c r="S629" s="637"/>
      <c r="T629" s="637"/>
      <c r="U629" s="637"/>
      <c r="V629" s="637"/>
      <c r="W629" s="637"/>
      <c r="X629" s="637"/>
      <c r="Y629" s="637"/>
      <c r="Z629" s="637"/>
    </row>
    <row r="630" ht="11.25" customHeight="1">
      <c r="A630" s="637"/>
      <c r="B630" s="637"/>
      <c r="C630" s="637"/>
      <c r="D630" s="637"/>
      <c r="E630" s="637"/>
      <c r="F630" s="637"/>
      <c r="G630" s="637"/>
      <c r="H630" s="637"/>
      <c r="I630" s="637"/>
      <c r="J630" s="637"/>
      <c r="K630" s="637"/>
      <c r="L630" s="637"/>
      <c r="M630" s="637"/>
      <c r="N630" s="637"/>
      <c r="O630" s="637"/>
      <c r="P630" s="637"/>
      <c r="Q630" s="637"/>
      <c r="R630" s="637"/>
      <c r="S630" s="637"/>
      <c r="T630" s="637"/>
      <c r="U630" s="637"/>
      <c r="V630" s="637"/>
      <c r="W630" s="637"/>
      <c r="X630" s="637"/>
      <c r="Y630" s="637"/>
      <c r="Z630" s="637"/>
    </row>
    <row r="631" ht="11.25" customHeight="1">
      <c r="A631" s="637"/>
      <c r="B631" s="637"/>
      <c r="C631" s="637"/>
      <c r="D631" s="637"/>
      <c r="E631" s="637"/>
      <c r="F631" s="637"/>
      <c r="G631" s="637"/>
      <c r="H631" s="637"/>
      <c r="I631" s="637"/>
      <c r="J631" s="637"/>
      <c r="K631" s="637"/>
      <c r="L631" s="637"/>
      <c r="M631" s="637"/>
      <c r="N631" s="637"/>
      <c r="O631" s="637"/>
      <c r="P631" s="637"/>
      <c r="Q631" s="637"/>
      <c r="R631" s="637"/>
      <c r="S631" s="637"/>
      <c r="T631" s="637"/>
      <c r="U631" s="637"/>
      <c r="V631" s="637"/>
      <c r="W631" s="637"/>
      <c r="X631" s="637"/>
      <c r="Y631" s="637"/>
      <c r="Z631" s="637"/>
    </row>
    <row r="632" ht="11.25" customHeight="1">
      <c r="A632" s="637"/>
      <c r="B632" s="637"/>
      <c r="C632" s="637"/>
      <c r="D632" s="637"/>
      <c r="E632" s="637"/>
      <c r="F632" s="637"/>
      <c r="G632" s="637"/>
      <c r="H632" s="637"/>
      <c r="I632" s="637"/>
      <c r="J632" s="637"/>
      <c r="K632" s="637"/>
      <c r="L632" s="637"/>
      <c r="M632" s="637"/>
      <c r="N632" s="637"/>
      <c r="O632" s="637"/>
      <c r="P632" s="637"/>
      <c r="Q632" s="637"/>
      <c r="R632" s="637"/>
      <c r="S632" s="637"/>
      <c r="T632" s="637"/>
      <c r="U632" s="637"/>
      <c r="V632" s="637"/>
      <c r="W632" s="637"/>
      <c r="X632" s="637"/>
      <c r="Y632" s="637"/>
      <c r="Z632" s="637"/>
    </row>
    <row r="633" ht="11.25" customHeight="1">
      <c r="A633" s="637"/>
      <c r="B633" s="637"/>
      <c r="C633" s="637"/>
      <c r="D633" s="637"/>
      <c r="E633" s="637"/>
      <c r="F633" s="637"/>
      <c r="G633" s="637"/>
      <c r="H633" s="637"/>
      <c r="I633" s="637"/>
      <c r="J633" s="637"/>
      <c r="K633" s="637"/>
      <c r="L633" s="637"/>
      <c r="M633" s="637"/>
      <c r="N633" s="637"/>
      <c r="O633" s="637"/>
      <c r="P633" s="637"/>
      <c r="Q633" s="637"/>
      <c r="R633" s="637"/>
      <c r="S633" s="637"/>
      <c r="T633" s="637"/>
      <c r="U633" s="637"/>
      <c r="V633" s="637"/>
      <c r="W633" s="637"/>
      <c r="X633" s="637"/>
      <c r="Y633" s="637"/>
      <c r="Z633" s="637"/>
    </row>
    <row r="634" ht="11.25" customHeight="1">
      <c r="A634" s="637"/>
      <c r="B634" s="637"/>
      <c r="C634" s="637"/>
      <c r="D634" s="637"/>
      <c r="E634" s="637"/>
      <c r="F634" s="637"/>
      <c r="G634" s="637"/>
      <c r="H634" s="637"/>
      <c r="I634" s="637"/>
      <c r="J634" s="637"/>
      <c r="K634" s="637"/>
      <c r="L634" s="637"/>
      <c r="M634" s="637"/>
      <c r="N634" s="637"/>
      <c r="O634" s="637"/>
      <c r="P634" s="637"/>
      <c r="Q634" s="637"/>
      <c r="R634" s="637"/>
      <c r="S634" s="637"/>
      <c r="T634" s="637"/>
      <c r="U634" s="637"/>
      <c r="V634" s="637"/>
      <c r="W634" s="637"/>
      <c r="X634" s="637"/>
      <c r="Y634" s="637"/>
      <c r="Z634" s="637"/>
    </row>
    <row r="635" ht="11.25" customHeight="1">
      <c r="A635" s="637"/>
      <c r="B635" s="637"/>
      <c r="C635" s="637"/>
      <c r="D635" s="637"/>
      <c r="E635" s="637"/>
      <c r="F635" s="637"/>
      <c r="G635" s="637"/>
      <c r="H635" s="637"/>
      <c r="I635" s="637"/>
      <c r="J635" s="637"/>
      <c r="K635" s="637"/>
      <c r="L635" s="637"/>
      <c r="M635" s="637"/>
      <c r="N635" s="637"/>
      <c r="O635" s="637"/>
      <c r="P635" s="637"/>
      <c r="Q635" s="637"/>
      <c r="R635" s="637"/>
      <c r="S635" s="637"/>
      <c r="T635" s="637"/>
      <c r="U635" s="637"/>
      <c r="V635" s="637"/>
      <c r="W635" s="637"/>
      <c r="X635" s="637"/>
      <c r="Y635" s="637"/>
      <c r="Z635" s="637"/>
    </row>
    <row r="636" ht="11.25" customHeight="1">
      <c r="A636" s="637"/>
      <c r="B636" s="637"/>
      <c r="C636" s="637"/>
      <c r="D636" s="637"/>
      <c r="E636" s="637"/>
      <c r="F636" s="637"/>
      <c r="G636" s="637"/>
      <c r="H636" s="637"/>
      <c r="I636" s="637"/>
      <c r="J636" s="637"/>
      <c r="K636" s="637"/>
      <c r="L636" s="637"/>
      <c r="M636" s="637"/>
      <c r="N636" s="637"/>
      <c r="O636" s="637"/>
      <c r="P636" s="637"/>
      <c r="Q636" s="637"/>
      <c r="R636" s="637"/>
      <c r="S636" s="637"/>
      <c r="T636" s="637"/>
      <c r="U636" s="637"/>
      <c r="V636" s="637"/>
      <c r="W636" s="637"/>
      <c r="X636" s="637"/>
      <c r="Y636" s="637"/>
      <c r="Z636" s="637"/>
    </row>
    <row r="637" ht="11.25" customHeight="1">
      <c r="A637" s="637"/>
      <c r="B637" s="637"/>
      <c r="C637" s="637"/>
      <c r="D637" s="637"/>
      <c r="E637" s="637"/>
      <c r="F637" s="637"/>
      <c r="G637" s="637"/>
      <c r="H637" s="637"/>
      <c r="I637" s="637"/>
      <c r="J637" s="637"/>
      <c r="K637" s="637"/>
      <c r="L637" s="637"/>
      <c r="M637" s="637"/>
      <c r="N637" s="637"/>
      <c r="O637" s="637"/>
      <c r="P637" s="637"/>
      <c r="Q637" s="637"/>
      <c r="R637" s="637"/>
      <c r="S637" s="637"/>
      <c r="T637" s="637"/>
      <c r="U637" s="637"/>
      <c r="V637" s="637"/>
      <c r="W637" s="637"/>
      <c r="X637" s="637"/>
      <c r="Y637" s="637"/>
      <c r="Z637" s="637"/>
    </row>
    <row r="638" ht="11.25" customHeight="1">
      <c r="A638" s="637"/>
      <c r="B638" s="637"/>
      <c r="C638" s="637"/>
      <c r="D638" s="637"/>
      <c r="E638" s="637"/>
      <c r="F638" s="637"/>
      <c r="G638" s="637"/>
      <c r="H638" s="637"/>
      <c r="I638" s="637"/>
      <c r="J638" s="637"/>
      <c r="K638" s="637"/>
      <c r="L638" s="637"/>
      <c r="M638" s="637"/>
      <c r="N638" s="637"/>
      <c r="O638" s="637"/>
      <c r="P638" s="637"/>
      <c r="Q638" s="637"/>
      <c r="R638" s="637"/>
      <c r="S638" s="637"/>
      <c r="T638" s="637"/>
      <c r="U638" s="637"/>
      <c r="V638" s="637"/>
      <c r="W638" s="637"/>
      <c r="X638" s="637"/>
      <c r="Y638" s="637"/>
      <c r="Z638" s="637"/>
    </row>
    <row r="639" ht="11.25" customHeight="1">
      <c r="A639" s="637"/>
      <c r="B639" s="637"/>
      <c r="C639" s="637"/>
      <c r="D639" s="637"/>
      <c r="E639" s="637"/>
      <c r="F639" s="637"/>
      <c r="G639" s="637"/>
      <c r="H639" s="637"/>
      <c r="I639" s="637"/>
      <c r="J639" s="637"/>
      <c r="K639" s="637"/>
      <c r="L639" s="637"/>
      <c r="M639" s="637"/>
      <c r="N639" s="637"/>
      <c r="O639" s="637"/>
      <c r="P639" s="637"/>
      <c r="Q639" s="637"/>
      <c r="R639" s="637"/>
      <c r="S639" s="637"/>
      <c r="T639" s="637"/>
      <c r="U639" s="637"/>
      <c r="V639" s="637"/>
      <c r="W639" s="637"/>
      <c r="X639" s="637"/>
      <c r="Y639" s="637"/>
      <c r="Z639" s="637"/>
    </row>
    <row r="640" ht="11.25" customHeight="1">
      <c r="A640" s="637"/>
      <c r="B640" s="637"/>
      <c r="C640" s="637"/>
      <c r="D640" s="637"/>
      <c r="E640" s="637"/>
      <c r="F640" s="637"/>
      <c r="G640" s="637"/>
      <c r="H640" s="637"/>
      <c r="I640" s="637"/>
      <c r="J640" s="637"/>
      <c r="K640" s="637"/>
      <c r="L640" s="637"/>
      <c r="M640" s="637"/>
      <c r="N640" s="637"/>
      <c r="O640" s="637"/>
      <c r="P640" s="637"/>
      <c r="Q640" s="637"/>
      <c r="R640" s="637"/>
      <c r="S640" s="637"/>
      <c r="T640" s="637"/>
      <c r="U640" s="637"/>
      <c r="V640" s="637"/>
      <c r="W640" s="637"/>
      <c r="X640" s="637"/>
      <c r="Y640" s="637"/>
      <c r="Z640" s="637"/>
    </row>
    <row r="641" ht="11.25" customHeight="1">
      <c r="A641" s="637"/>
      <c r="B641" s="637"/>
      <c r="C641" s="637"/>
      <c r="D641" s="637"/>
      <c r="E641" s="637"/>
      <c r="F641" s="637"/>
      <c r="G641" s="637"/>
      <c r="H641" s="637"/>
      <c r="I641" s="637"/>
      <c r="J641" s="637"/>
      <c r="K641" s="637"/>
      <c r="L641" s="637"/>
      <c r="M641" s="637"/>
      <c r="N641" s="637"/>
      <c r="O641" s="637"/>
      <c r="P641" s="637"/>
      <c r="Q641" s="637"/>
      <c r="R641" s="637"/>
      <c r="S641" s="637"/>
      <c r="T641" s="637"/>
      <c r="U641" s="637"/>
      <c r="V641" s="637"/>
      <c r="W641" s="637"/>
      <c r="X641" s="637"/>
      <c r="Y641" s="637"/>
      <c r="Z641" s="637"/>
    </row>
    <row r="642" ht="11.25" customHeight="1">
      <c r="A642" s="637"/>
      <c r="B642" s="637"/>
      <c r="C642" s="637"/>
      <c r="D642" s="637"/>
      <c r="E642" s="637"/>
      <c r="F642" s="637"/>
      <c r="G642" s="637"/>
      <c r="H642" s="637"/>
      <c r="I642" s="637"/>
      <c r="J642" s="637"/>
      <c r="K642" s="637"/>
      <c r="L642" s="637"/>
      <c r="M642" s="637"/>
      <c r="N642" s="637"/>
      <c r="O642" s="637"/>
      <c r="P642" s="637"/>
      <c r="Q642" s="637"/>
      <c r="R642" s="637"/>
      <c r="S642" s="637"/>
      <c r="T642" s="637"/>
      <c r="U642" s="637"/>
      <c r="V642" s="637"/>
      <c r="W642" s="637"/>
      <c r="X642" s="637"/>
      <c r="Y642" s="637"/>
      <c r="Z642" s="637"/>
    </row>
    <row r="643" ht="11.25" customHeight="1">
      <c r="A643" s="637"/>
      <c r="B643" s="637"/>
      <c r="C643" s="637"/>
      <c r="D643" s="637"/>
      <c r="E643" s="637"/>
      <c r="F643" s="637"/>
      <c r="G643" s="637"/>
      <c r="H643" s="637"/>
      <c r="I643" s="637"/>
      <c r="J643" s="637"/>
      <c r="K643" s="637"/>
      <c r="L643" s="637"/>
      <c r="M643" s="637"/>
      <c r="N643" s="637"/>
      <c r="O643" s="637"/>
      <c r="P643" s="637"/>
      <c r="Q643" s="637"/>
      <c r="R643" s="637"/>
      <c r="S643" s="637"/>
      <c r="T643" s="637"/>
      <c r="U643" s="637"/>
      <c r="V643" s="637"/>
      <c r="W643" s="637"/>
      <c r="X643" s="637"/>
      <c r="Y643" s="637"/>
      <c r="Z643" s="637"/>
    </row>
    <row r="644" ht="11.25" customHeight="1">
      <c r="A644" s="637"/>
      <c r="B644" s="637"/>
      <c r="C644" s="637"/>
      <c r="D644" s="637"/>
      <c r="E644" s="637"/>
      <c r="F644" s="637"/>
      <c r="G644" s="637"/>
      <c r="H644" s="637"/>
      <c r="I644" s="637"/>
      <c r="J644" s="637"/>
      <c r="K644" s="637"/>
      <c r="L644" s="637"/>
      <c r="M644" s="637"/>
      <c r="N644" s="637"/>
      <c r="O644" s="637"/>
      <c r="P644" s="637"/>
      <c r="Q644" s="637"/>
      <c r="R644" s="637"/>
      <c r="S644" s="637"/>
      <c r="T644" s="637"/>
      <c r="U644" s="637"/>
      <c r="V644" s="637"/>
      <c r="W644" s="637"/>
      <c r="X644" s="637"/>
      <c r="Y644" s="637"/>
      <c r="Z644" s="637"/>
    </row>
    <row r="645" ht="11.25" customHeight="1">
      <c r="A645" s="637"/>
      <c r="B645" s="637"/>
      <c r="C645" s="637"/>
      <c r="D645" s="637"/>
      <c r="E645" s="637"/>
      <c r="F645" s="637"/>
      <c r="G645" s="637"/>
      <c r="H645" s="637"/>
      <c r="I645" s="637"/>
      <c r="J645" s="637"/>
      <c r="K645" s="637"/>
      <c r="L645" s="637"/>
      <c r="M645" s="637"/>
      <c r="N645" s="637"/>
      <c r="O645" s="637"/>
      <c r="P645" s="637"/>
      <c r="Q645" s="637"/>
      <c r="R645" s="637"/>
      <c r="S645" s="637"/>
      <c r="T645" s="637"/>
      <c r="U645" s="637"/>
      <c r="V645" s="637"/>
      <c r="W645" s="637"/>
      <c r="X645" s="637"/>
      <c r="Y645" s="637"/>
      <c r="Z645" s="637"/>
    </row>
    <row r="646" ht="11.25" customHeight="1">
      <c r="A646" s="637"/>
      <c r="B646" s="637"/>
      <c r="C646" s="637"/>
      <c r="D646" s="637"/>
      <c r="E646" s="637"/>
      <c r="F646" s="637"/>
      <c r="G646" s="637"/>
      <c r="H646" s="637"/>
      <c r="I646" s="637"/>
      <c r="J646" s="637"/>
      <c r="K646" s="637"/>
      <c r="L646" s="637"/>
      <c r="M646" s="637"/>
      <c r="N646" s="637"/>
      <c r="O646" s="637"/>
      <c r="P646" s="637"/>
      <c r="Q646" s="637"/>
      <c r="R646" s="637"/>
      <c r="S646" s="637"/>
      <c r="T646" s="637"/>
      <c r="U646" s="637"/>
      <c r="V646" s="637"/>
      <c r="W646" s="637"/>
      <c r="X646" s="637"/>
      <c r="Y646" s="637"/>
      <c r="Z646" s="637"/>
    </row>
    <row r="647" ht="11.25" customHeight="1">
      <c r="A647" s="637"/>
      <c r="B647" s="637"/>
      <c r="C647" s="637"/>
      <c r="D647" s="637"/>
      <c r="E647" s="637"/>
      <c r="F647" s="637"/>
      <c r="G647" s="637"/>
      <c r="H647" s="637"/>
      <c r="I647" s="637"/>
      <c r="J647" s="637"/>
      <c r="K647" s="637"/>
      <c r="L647" s="637"/>
      <c r="M647" s="637"/>
      <c r="N647" s="637"/>
      <c r="O647" s="637"/>
      <c r="P647" s="637"/>
      <c r="Q647" s="637"/>
      <c r="R647" s="637"/>
      <c r="S647" s="637"/>
      <c r="T647" s="637"/>
      <c r="U647" s="637"/>
      <c r="V647" s="637"/>
      <c r="W647" s="637"/>
      <c r="X647" s="637"/>
      <c r="Y647" s="637"/>
      <c r="Z647" s="637"/>
    </row>
    <row r="648" ht="11.25" customHeight="1">
      <c r="A648" s="637"/>
      <c r="B648" s="637"/>
      <c r="C648" s="637"/>
      <c r="D648" s="637"/>
      <c r="E648" s="637"/>
      <c r="F648" s="637"/>
      <c r="G648" s="637"/>
      <c r="H648" s="637"/>
      <c r="I648" s="637"/>
      <c r="J648" s="637"/>
      <c r="K648" s="637"/>
      <c r="L648" s="637"/>
      <c r="M648" s="637"/>
      <c r="N648" s="637"/>
      <c r="O648" s="637"/>
      <c r="P648" s="637"/>
      <c r="Q648" s="637"/>
      <c r="R648" s="637"/>
      <c r="S648" s="637"/>
      <c r="T648" s="637"/>
      <c r="U648" s="637"/>
      <c r="V648" s="637"/>
      <c r="W648" s="637"/>
      <c r="X648" s="637"/>
      <c r="Y648" s="637"/>
      <c r="Z648" s="637"/>
    </row>
    <row r="649" ht="11.25" customHeight="1">
      <c r="A649" s="637"/>
      <c r="B649" s="637"/>
      <c r="C649" s="637"/>
      <c r="D649" s="637"/>
      <c r="E649" s="637"/>
      <c r="F649" s="637"/>
      <c r="G649" s="637"/>
      <c r="H649" s="637"/>
      <c r="I649" s="637"/>
      <c r="J649" s="637"/>
      <c r="K649" s="637"/>
      <c r="L649" s="637"/>
      <c r="M649" s="637"/>
      <c r="N649" s="637"/>
      <c r="O649" s="637"/>
      <c r="P649" s="637"/>
      <c r="Q649" s="637"/>
      <c r="R649" s="637"/>
      <c r="S649" s="637"/>
      <c r="T649" s="637"/>
      <c r="U649" s="637"/>
      <c r="V649" s="637"/>
      <c r="W649" s="637"/>
      <c r="X649" s="637"/>
      <c r="Y649" s="637"/>
      <c r="Z649" s="637"/>
    </row>
    <row r="650" ht="11.25" customHeight="1">
      <c r="A650" s="637"/>
      <c r="B650" s="637"/>
      <c r="C650" s="637"/>
      <c r="D650" s="637"/>
      <c r="E650" s="637"/>
      <c r="F650" s="637"/>
      <c r="G650" s="637"/>
      <c r="H650" s="637"/>
      <c r="I650" s="637"/>
      <c r="J650" s="637"/>
      <c r="K650" s="637"/>
      <c r="L650" s="637"/>
      <c r="M650" s="637"/>
      <c r="N650" s="637"/>
      <c r="O650" s="637"/>
      <c r="P650" s="637"/>
      <c r="Q650" s="637"/>
      <c r="R650" s="637"/>
      <c r="S650" s="637"/>
      <c r="T650" s="637"/>
      <c r="U650" s="637"/>
      <c r="V650" s="637"/>
      <c r="W650" s="637"/>
      <c r="X650" s="637"/>
      <c r="Y650" s="637"/>
      <c r="Z650" s="637"/>
    </row>
    <row r="651" ht="11.25" customHeight="1">
      <c r="A651" s="637"/>
      <c r="B651" s="637"/>
      <c r="C651" s="637"/>
      <c r="D651" s="637"/>
      <c r="E651" s="637"/>
      <c r="F651" s="637"/>
      <c r="G651" s="637"/>
      <c r="H651" s="637"/>
      <c r="I651" s="637"/>
      <c r="J651" s="637"/>
      <c r="K651" s="637"/>
      <c r="L651" s="637"/>
      <c r="M651" s="637"/>
      <c r="N651" s="637"/>
      <c r="O651" s="637"/>
      <c r="P651" s="637"/>
      <c r="Q651" s="637"/>
      <c r="R651" s="637"/>
      <c r="S651" s="637"/>
      <c r="T651" s="637"/>
      <c r="U651" s="637"/>
      <c r="V651" s="637"/>
      <c r="W651" s="637"/>
      <c r="X651" s="637"/>
      <c r="Y651" s="637"/>
      <c r="Z651" s="637"/>
    </row>
    <row r="652" ht="11.25" customHeight="1">
      <c r="A652" s="637"/>
      <c r="B652" s="637"/>
      <c r="C652" s="637"/>
      <c r="D652" s="637"/>
      <c r="E652" s="637"/>
      <c r="F652" s="637"/>
      <c r="G652" s="637"/>
      <c r="H652" s="637"/>
      <c r="I652" s="637"/>
      <c r="J652" s="637"/>
      <c r="K652" s="637"/>
      <c r="L652" s="637"/>
      <c r="M652" s="637"/>
      <c r="N652" s="637"/>
      <c r="O652" s="637"/>
      <c r="P652" s="637"/>
      <c r="Q652" s="637"/>
      <c r="R652" s="637"/>
      <c r="S652" s="637"/>
      <c r="T652" s="637"/>
      <c r="U652" s="637"/>
      <c r="V652" s="637"/>
      <c r="W652" s="637"/>
      <c r="X652" s="637"/>
      <c r="Y652" s="637"/>
      <c r="Z652" s="637"/>
    </row>
    <row r="653" ht="11.25" customHeight="1">
      <c r="A653" s="637"/>
      <c r="B653" s="637"/>
      <c r="C653" s="637"/>
      <c r="D653" s="637"/>
      <c r="E653" s="637"/>
      <c r="F653" s="637"/>
      <c r="G653" s="637"/>
      <c r="H653" s="637"/>
      <c r="I653" s="637"/>
      <c r="J653" s="637"/>
      <c r="K653" s="637"/>
      <c r="L653" s="637"/>
      <c r="M653" s="637"/>
      <c r="N653" s="637"/>
      <c r="O653" s="637"/>
      <c r="P653" s="637"/>
      <c r="Q653" s="637"/>
      <c r="R653" s="637"/>
      <c r="S653" s="637"/>
      <c r="T653" s="637"/>
      <c r="U653" s="637"/>
      <c r="V653" s="637"/>
      <c r="W653" s="637"/>
      <c r="X653" s="637"/>
      <c r="Y653" s="637"/>
      <c r="Z653" s="637"/>
    </row>
    <row r="654" ht="11.25" customHeight="1">
      <c r="A654" s="637"/>
      <c r="B654" s="637"/>
      <c r="C654" s="637"/>
      <c r="D654" s="637"/>
      <c r="E654" s="637"/>
      <c r="F654" s="637"/>
      <c r="G654" s="637"/>
      <c r="H654" s="637"/>
      <c r="I654" s="637"/>
      <c r="J654" s="637"/>
      <c r="K654" s="637"/>
      <c r="L654" s="637"/>
      <c r="M654" s="637"/>
      <c r="N654" s="637"/>
      <c r="O654" s="637"/>
      <c r="P654" s="637"/>
      <c r="Q654" s="637"/>
      <c r="R654" s="637"/>
      <c r="S654" s="637"/>
      <c r="T654" s="637"/>
      <c r="U654" s="637"/>
      <c r="V654" s="637"/>
      <c r="W654" s="637"/>
      <c r="X654" s="637"/>
      <c r="Y654" s="637"/>
      <c r="Z654" s="637"/>
    </row>
    <row r="655" ht="11.25" customHeight="1">
      <c r="A655" s="637"/>
      <c r="B655" s="637"/>
      <c r="C655" s="637"/>
      <c r="D655" s="637"/>
      <c r="E655" s="637"/>
      <c r="F655" s="637"/>
      <c r="G655" s="637"/>
      <c r="H655" s="637"/>
      <c r="I655" s="637"/>
      <c r="J655" s="637"/>
      <c r="K655" s="637"/>
      <c r="L655" s="637"/>
      <c r="M655" s="637"/>
      <c r="N655" s="637"/>
      <c r="O655" s="637"/>
      <c r="P655" s="637"/>
      <c r="Q655" s="637"/>
      <c r="R655" s="637"/>
      <c r="S655" s="637"/>
      <c r="T655" s="637"/>
      <c r="U655" s="637"/>
      <c r="V655" s="637"/>
      <c r="W655" s="637"/>
      <c r="X655" s="637"/>
      <c r="Y655" s="637"/>
      <c r="Z655" s="637"/>
    </row>
    <row r="656" ht="11.25" customHeight="1">
      <c r="A656" s="637"/>
      <c r="B656" s="637"/>
      <c r="C656" s="637"/>
      <c r="D656" s="637"/>
      <c r="E656" s="637"/>
      <c r="F656" s="637"/>
      <c r="G656" s="637"/>
      <c r="H656" s="637"/>
      <c r="I656" s="637"/>
      <c r="J656" s="637"/>
      <c r="K656" s="637"/>
      <c r="L656" s="637"/>
      <c r="M656" s="637"/>
      <c r="N656" s="637"/>
      <c r="O656" s="637"/>
      <c r="P656" s="637"/>
      <c r="Q656" s="637"/>
      <c r="R656" s="637"/>
      <c r="S656" s="637"/>
      <c r="T656" s="637"/>
      <c r="U656" s="637"/>
      <c r="V656" s="637"/>
      <c r="W656" s="637"/>
      <c r="X656" s="637"/>
      <c r="Y656" s="637"/>
      <c r="Z656" s="637"/>
    </row>
    <row r="657" ht="11.25" customHeight="1">
      <c r="A657" s="637"/>
      <c r="B657" s="637"/>
      <c r="C657" s="637"/>
      <c r="D657" s="637"/>
      <c r="E657" s="637"/>
      <c r="F657" s="637"/>
      <c r="G657" s="637"/>
      <c r="H657" s="637"/>
      <c r="I657" s="637"/>
      <c r="J657" s="637"/>
      <c r="K657" s="637"/>
      <c r="L657" s="637"/>
      <c r="M657" s="637"/>
      <c r="N657" s="637"/>
      <c r="O657" s="637"/>
      <c r="P657" s="637"/>
      <c r="Q657" s="637"/>
      <c r="R657" s="637"/>
      <c r="S657" s="637"/>
      <c r="T657" s="637"/>
      <c r="U657" s="637"/>
      <c r="V657" s="637"/>
      <c r="W657" s="637"/>
      <c r="X657" s="637"/>
      <c r="Y657" s="637"/>
      <c r="Z657" s="637"/>
    </row>
    <row r="658" ht="11.25" customHeight="1">
      <c r="A658" s="637"/>
      <c r="B658" s="637"/>
      <c r="C658" s="637"/>
      <c r="D658" s="637"/>
      <c r="E658" s="637"/>
      <c r="F658" s="637"/>
      <c r="G658" s="637"/>
      <c r="H658" s="637"/>
      <c r="I658" s="637"/>
      <c r="J658" s="637"/>
      <c r="K658" s="637"/>
      <c r="L658" s="637"/>
      <c r="M658" s="637"/>
      <c r="N658" s="637"/>
      <c r="O658" s="637"/>
      <c r="P658" s="637"/>
      <c r="Q658" s="637"/>
      <c r="R658" s="637"/>
      <c r="S658" s="637"/>
      <c r="T658" s="637"/>
      <c r="U658" s="637"/>
      <c r="V658" s="637"/>
      <c r="W658" s="637"/>
      <c r="X658" s="637"/>
      <c r="Y658" s="637"/>
      <c r="Z658" s="637"/>
    </row>
    <row r="659" ht="11.25" customHeight="1">
      <c r="A659" s="637"/>
      <c r="B659" s="637"/>
      <c r="C659" s="637"/>
      <c r="D659" s="637"/>
      <c r="E659" s="637"/>
      <c r="F659" s="637"/>
      <c r="G659" s="637"/>
      <c r="H659" s="637"/>
      <c r="I659" s="637"/>
      <c r="J659" s="637"/>
      <c r="K659" s="637"/>
      <c r="L659" s="637"/>
      <c r="M659" s="637"/>
      <c r="N659" s="637"/>
      <c r="O659" s="637"/>
      <c r="P659" s="637"/>
      <c r="Q659" s="637"/>
      <c r="R659" s="637"/>
      <c r="S659" s="637"/>
      <c r="T659" s="637"/>
      <c r="U659" s="637"/>
      <c r="V659" s="637"/>
      <c r="W659" s="637"/>
      <c r="X659" s="637"/>
      <c r="Y659" s="637"/>
      <c r="Z659" s="637"/>
    </row>
    <row r="660" ht="11.25" customHeight="1">
      <c r="A660" s="637"/>
      <c r="B660" s="637"/>
      <c r="C660" s="637"/>
      <c r="D660" s="637"/>
      <c r="E660" s="637"/>
      <c r="F660" s="637"/>
      <c r="G660" s="637"/>
      <c r="H660" s="637"/>
      <c r="I660" s="637"/>
      <c r="J660" s="637"/>
      <c r="K660" s="637"/>
      <c r="L660" s="637"/>
      <c r="M660" s="637"/>
      <c r="N660" s="637"/>
      <c r="O660" s="637"/>
      <c r="P660" s="637"/>
      <c r="Q660" s="637"/>
      <c r="R660" s="637"/>
      <c r="S660" s="637"/>
      <c r="T660" s="637"/>
      <c r="U660" s="637"/>
      <c r="V660" s="637"/>
      <c r="W660" s="637"/>
      <c r="X660" s="637"/>
      <c r="Y660" s="637"/>
      <c r="Z660" s="637"/>
    </row>
    <row r="661" ht="11.25" customHeight="1">
      <c r="A661" s="637"/>
      <c r="B661" s="637"/>
      <c r="C661" s="637"/>
      <c r="D661" s="637"/>
      <c r="E661" s="637"/>
      <c r="F661" s="637"/>
      <c r="G661" s="637"/>
      <c r="H661" s="637"/>
      <c r="I661" s="637"/>
      <c r="J661" s="637"/>
      <c r="K661" s="637"/>
      <c r="L661" s="637"/>
      <c r="M661" s="637"/>
      <c r="N661" s="637"/>
      <c r="O661" s="637"/>
      <c r="P661" s="637"/>
      <c r="Q661" s="637"/>
      <c r="R661" s="637"/>
      <c r="S661" s="637"/>
      <c r="T661" s="637"/>
      <c r="U661" s="637"/>
      <c r="V661" s="637"/>
      <c r="W661" s="637"/>
      <c r="X661" s="637"/>
      <c r="Y661" s="637"/>
      <c r="Z661" s="637"/>
    </row>
    <row r="662" ht="11.25" customHeight="1">
      <c r="A662" s="637"/>
      <c r="B662" s="637"/>
      <c r="C662" s="637"/>
      <c r="D662" s="637"/>
      <c r="E662" s="637"/>
      <c r="F662" s="637"/>
      <c r="G662" s="637"/>
      <c r="H662" s="637"/>
      <c r="I662" s="637"/>
      <c r="J662" s="637"/>
      <c r="K662" s="637"/>
      <c r="L662" s="637"/>
      <c r="M662" s="637"/>
      <c r="N662" s="637"/>
      <c r="O662" s="637"/>
      <c r="P662" s="637"/>
      <c r="Q662" s="637"/>
      <c r="R662" s="637"/>
      <c r="S662" s="637"/>
      <c r="T662" s="637"/>
      <c r="U662" s="637"/>
      <c r="V662" s="637"/>
      <c r="W662" s="637"/>
      <c r="X662" s="637"/>
      <c r="Y662" s="637"/>
      <c r="Z662" s="637"/>
    </row>
    <row r="663" ht="11.25" customHeight="1">
      <c r="A663" s="637"/>
      <c r="B663" s="637"/>
      <c r="C663" s="637"/>
      <c r="D663" s="637"/>
      <c r="E663" s="637"/>
      <c r="F663" s="637"/>
      <c r="G663" s="637"/>
      <c r="H663" s="637"/>
      <c r="I663" s="637"/>
      <c r="J663" s="637"/>
      <c r="K663" s="637"/>
      <c r="L663" s="637"/>
      <c r="M663" s="637"/>
      <c r="N663" s="637"/>
      <c r="O663" s="637"/>
      <c r="P663" s="637"/>
      <c r="Q663" s="637"/>
      <c r="R663" s="637"/>
      <c r="S663" s="637"/>
      <c r="T663" s="637"/>
      <c r="U663" s="637"/>
      <c r="V663" s="637"/>
      <c r="W663" s="637"/>
      <c r="X663" s="637"/>
      <c r="Y663" s="637"/>
      <c r="Z663" s="637"/>
    </row>
    <row r="664" ht="11.25" customHeight="1">
      <c r="A664" s="637"/>
      <c r="B664" s="637"/>
      <c r="C664" s="637"/>
      <c r="D664" s="637"/>
      <c r="E664" s="637"/>
      <c r="F664" s="637"/>
      <c r="G664" s="637"/>
      <c r="H664" s="637"/>
      <c r="I664" s="637"/>
      <c r="J664" s="637"/>
      <c r="K664" s="637"/>
      <c r="L664" s="637"/>
      <c r="M664" s="637"/>
      <c r="N664" s="637"/>
      <c r="O664" s="637"/>
      <c r="P664" s="637"/>
      <c r="Q664" s="637"/>
      <c r="R664" s="637"/>
      <c r="S664" s="637"/>
      <c r="T664" s="637"/>
      <c r="U664" s="637"/>
      <c r="V664" s="637"/>
      <c r="W664" s="637"/>
      <c r="X664" s="637"/>
      <c r="Y664" s="637"/>
      <c r="Z664" s="637"/>
    </row>
    <row r="665" ht="11.25" customHeight="1">
      <c r="A665" s="637"/>
      <c r="B665" s="637"/>
      <c r="C665" s="637"/>
      <c r="D665" s="637"/>
      <c r="E665" s="637"/>
      <c r="F665" s="637"/>
      <c r="G665" s="637"/>
      <c r="H665" s="637"/>
      <c r="I665" s="637"/>
      <c r="J665" s="637"/>
      <c r="K665" s="637"/>
      <c r="L665" s="637"/>
      <c r="M665" s="637"/>
      <c r="N665" s="637"/>
      <c r="O665" s="637"/>
      <c r="P665" s="637"/>
      <c r="Q665" s="637"/>
      <c r="R665" s="637"/>
      <c r="S665" s="637"/>
      <c r="T665" s="637"/>
      <c r="U665" s="637"/>
      <c r="V665" s="637"/>
      <c r="W665" s="637"/>
      <c r="X665" s="637"/>
      <c r="Y665" s="637"/>
      <c r="Z665" s="637"/>
    </row>
    <row r="666" ht="11.25" customHeight="1">
      <c r="A666" s="637"/>
      <c r="B666" s="637"/>
      <c r="C666" s="637"/>
      <c r="D666" s="637"/>
      <c r="E666" s="637"/>
      <c r="F666" s="637"/>
      <c r="G666" s="637"/>
      <c r="H666" s="637"/>
      <c r="I666" s="637"/>
      <c r="J666" s="637"/>
      <c r="K666" s="637"/>
      <c r="L666" s="637"/>
      <c r="M666" s="637"/>
      <c r="N666" s="637"/>
      <c r="O666" s="637"/>
      <c r="P666" s="637"/>
      <c r="Q666" s="637"/>
      <c r="R666" s="637"/>
      <c r="S666" s="637"/>
      <c r="T666" s="637"/>
      <c r="U666" s="637"/>
      <c r="V666" s="637"/>
      <c r="W666" s="637"/>
      <c r="X666" s="637"/>
      <c r="Y666" s="637"/>
      <c r="Z666" s="637"/>
    </row>
    <row r="667" ht="11.25" customHeight="1">
      <c r="A667" s="637"/>
      <c r="B667" s="637"/>
      <c r="C667" s="637"/>
      <c r="D667" s="637"/>
      <c r="E667" s="637"/>
      <c r="F667" s="637"/>
      <c r="G667" s="637"/>
      <c r="H667" s="637"/>
      <c r="I667" s="637"/>
      <c r="J667" s="637"/>
      <c r="K667" s="637"/>
      <c r="L667" s="637"/>
      <c r="M667" s="637"/>
      <c r="N667" s="637"/>
      <c r="O667" s="637"/>
      <c r="P667" s="637"/>
      <c r="Q667" s="637"/>
      <c r="R667" s="637"/>
      <c r="S667" s="637"/>
      <c r="T667" s="637"/>
      <c r="U667" s="637"/>
      <c r="V667" s="637"/>
      <c r="W667" s="637"/>
      <c r="X667" s="637"/>
      <c r="Y667" s="637"/>
      <c r="Z667" s="637"/>
    </row>
    <row r="668" ht="11.25" customHeight="1">
      <c r="A668" s="637"/>
      <c r="B668" s="637"/>
      <c r="C668" s="637"/>
      <c r="D668" s="637"/>
      <c r="E668" s="637"/>
      <c r="F668" s="637"/>
      <c r="G668" s="637"/>
      <c r="H668" s="637"/>
      <c r="I668" s="637"/>
      <c r="J668" s="637"/>
      <c r="K668" s="637"/>
      <c r="L668" s="637"/>
      <c r="M668" s="637"/>
      <c r="N668" s="637"/>
      <c r="O668" s="637"/>
      <c r="P668" s="637"/>
      <c r="Q668" s="637"/>
      <c r="R668" s="637"/>
      <c r="S668" s="637"/>
      <c r="T668" s="637"/>
      <c r="U668" s="637"/>
      <c r="V668" s="637"/>
      <c r="W668" s="637"/>
      <c r="X668" s="637"/>
      <c r="Y668" s="637"/>
      <c r="Z668" s="637"/>
    </row>
    <row r="669" ht="11.25" customHeight="1">
      <c r="A669" s="637"/>
      <c r="B669" s="637"/>
      <c r="C669" s="637"/>
      <c r="D669" s="637"/>
      <c r="E669" s="637"/>
      <c r="F669" s="637"/>
      <c r="G669" s="637"/>
      <c r="H669" s="637"/>
      <c r="I669" s="637"/>
      <c r="J669" s="637"/>
      <c r="K669" s="637"/>
      <c r="L669" s="637"/>
      <c r="M669" s="637"/>
      <c r="N669" s="637"/>
      <c r="O669" s="637"/>
      <c r="P669" s="637"/>
      <c r="Q669" s="637"/>
      <c r="R669" s="637"/>
      <c r="S669" s="637"/>
      <c r="T669" s="637"/>
      <c r="U669" s="637"/>
      <c r="V669" s="637"/>
      <c r="W669" s="637"/>
      <c r="X669" s="637"/>
      <c r="Y669" s="637"/>
      <c r="Z669" s="637"/>
    </row>
    <row r="670" ht="11.25" customHeight="1">
      <c r="A670" s="637"/>
      <c r="B670" s="637"/>
      <c r="C670" s="637"/>
      <c r="D670" s="637"/>
      <c r="E670" s="637"/>
      <c r="F670" s="637"/>
      <c r="G670" s="637"/>
      <c r="H670" s="637"/>
      <c r="I670" s="637"/>
      <c r="J670" s="637"/>
      <c r="K670" s="637"/>
      <c r="L670" s="637"/>
      <c r="M670" s="637"/>
      <c r="N670" s="637"/>
      <c r="O670" s="637"/>
      <c r="P670" s="637"/>
      <c r="Q670" s="637"/>
      <c r="R670" s="637"/>
      <c r="S670" s="637"/>
      <c r="T670" s="637"/>
      <c r="U670" s="637"/>
      <c r="V670" s="637"/>
      <c r="W670" s="637"/>
      <c r="X670" s="637"/>
      <c r="Y670" s="637"/>
      <c r="Z670" s="637"/>
    </row>
    <row r="671" ht="11.25" customHeight="1">
      <c r="A671" s="637"/>
      <c r="B671" s="637"/>
      <c r="C671" s="637"/>
      <c r="D671" s="637"/>
      <c r="E671" s="637"/>
      <c r="F671" s="637"/>
      <c r="G671" s="637"/>
      <c r="H671" s="637"/>
      <c r="I671" s="637"/>
      <c r="J671" s="637"/>
      <c r="K671" s="637"/>
      <c r="L671" s="637"/>
      <c r="M671" s="637"/>
      <c r="N671" s="637"/>
      <c r="O671" s="637"/>
      <c r="P671" s="637"/>
      <c r="Q671" s="637"/>
      <c r="R671" s="637"/>
      <c r="S671" s="637"/>
      <c r="T671" s="637"/>
      <c r="U671" s="637"/>
      <c r="V671" s="637"/>
      <c r="W671" s="637"/>
      <c r="X671" s="637"/>
      <c r="Y671" s="637"/>
      <c r="Z671" s="637"/>
    </row>
    <row r="672" ht="11.25" customHeight="1">
      <c r="A672" s="637"/>
      <c r="B672" s="637"/>
      <c r="C672" s="637"/>
      <c r="D672" s="637"/>
      <c r="E672" s="637"/>
      <c r="F672" s="637"/>
      <c r="G672" s="637"/>
      <c r="H672" s="637"/>
      <c r="I672" s="637"/>
      <c r="J672" s="637"/>
      <c r="K672" s="637"/>
      <c r="L672" s="637"/>
      <c r="M672" s="637"/>
      <c r="N672" s="637"/>
      <c r="O672" s="637"/>
      <c r="P672" s="637"/>
      <c r="Q672" s="637"/>
      <c r="R672" s="637"/>
      <c r="S672" s="637"/>
      <c r="T672" s="637"/>
      <c r="U672" s="637"/>
      <c r="V672" s="637"/>
      <c r="W672" s="637"/>
      <c r="X672" s="637"/>
      <c r="Y672" s="637"/>
      <c r="Z672" s="637"/>
    </row>
    <row r="673" ht="11.25" customHeight="1">
      <c r="A673" s="637"/>
      <c r="B673" s="637"/>
      <c r="C673" s="637"/>
      <c r="D673" s="637"/>
      <c r="E673" s="637"/>
      <c r="F673" s="637"/>
      <c r="G673" s="637"/>
      <c r="H673" s="637"/>
      <c r="I673" s="637"/>
      <c r="J673" s="637"/>
      <c r="K673" s="637"/>
      <c r="L673" s="637"/>
      <c r="M673" s="637"/>
      <c r="N673" s="637"/>
      <c r="O673" s="637"/>
      <c r="P673" s="637"/>
      <c r="Q673" s="637"/>
      <c r="R673" s="637"/>
      <c r="S673" s="637"/>
      <c r="T673" s="637"/>
      <c r="U673" s="637"/>
      <c r="V673" s="637"/>
      <c r="W673" s="637"/>
      <c r="X673" s="637"/>
      <c r="Y673" s="637"/>
      <c r="Z673" s="637"/>
    </row>
    <row r="674" ht="11.25" customHeight="1">
      <c r="A674" s="637"/>
      <c r="B674" s="637"/>
      <c r="C674" s="637"/>
      <c r="D674" s="637"/>
      <c r="E674" s="637"/>
      <c r="F674" s="637"/>
      <c r="G674" s="637"/>
      <c r="H674" s="637"/>
      <c r="I674" s="637"/>
      <c r="J674" s="637"/>
      <c r="K674" s="637"/>
      <c r="L674" s="637"/>
      <c r="M674" s="637"/>
      <c r="N674" s="637"/>
      <c r="O674" s="637"/>
      <c r="P674" s="637"/>
      <c r="Q674" s="637"/>
      <c r="R674" s="637"/>
      <c r="S674" s="637"/>
      <c r="T674" s="637"/>
      <c r="U674" s="637"/>
      <c r="V674" s="637"/>
      <c r="W674" s="637"/>
      <c r="X674" s="637"/>
      <c r="Y674" s="637"/>
      <c r="Z674" s="637"/>
    </row>
    <row r="675" ht="11.25" customHeight="1">
      <c r="A675" s="637"/>
      <c r="B675" s="637"/>
      <c r="C675" s="637"/>
      <c r="D675" s="637"/>
      <c r="E675" s="637"/>
      <c r="F675" s="637"/>
      <c r="G675" s="637"/>
      <c r="H675" s="637"/>
      <c r="I675" s="637"/>
      <c r="J675" s="637"/>
      <c r="K675" s="637"/>
      <c r="L675" s="637"/>
      <c r="M675" s="637"/>
      <c r="N675" s="637"/>
      <c r="O675" s="637"/>
      <c r="P675" s="637"/>
      <c r="Q675" s="637"/>
      <c r="R675" s="637"/>
      <c r="S675" s="637"/>
      <c r="T675" s="637"/>
      <c r="U675" s="637"/>
      <c r="V675" s="637"/>
      <c r="W675" s="637"/>
      <c r="X675" s="637"/>
      <c r="Y675" s="637"/>
      <c r="Z675" s="637"/>
    </row>
    <row r="676" ht="11.25" customHeight="1">
      <c r="A676" s="637"/>
      <c r="B676" s="637"/>
      <c r="C676" s="637"/>
      <c r="D676" s="637"/>
      <c r="E676" s="637"/>
      <c r="F676" s="637"/>
      <c r="G676" s="637"/>
      <c r="H676" s="637"/>
      <c r="I676" s="637"/>
      <c r="J676" s="637"/>
      <c r="K676" s="637"/>
      <c r="L676" s="637"/>
      <c r="M676" s="637"/>
      <c r="N676" s="637"/>
      <c r="O676" s="637"/>
      <c r="P676" s="637"/>
      <c r="Q676" s="637"/>
      <c r="R676" s="637"/>
      <c r="S676" s="637"/>
      <c r="T676" s="637"/>
      <c r="U676" s="637"/>
      <c r="V676" s="637"/>
      <c r="W676" s="637"/>
      <c r="X676" s="637"/>
      <c r="Y676" s="637"/>
      <c r="Z676" s="637"/>
    </row>
    <row r="677" ht="11.25" customHeight="1">
      <c r="A677" s="637"/>
      <c r="B677" s="637"/>
      <c r="C677" s="637"/>
      <c r="D677" s="637"/>
      <c r="E677" s="637"/>
      <c r="F677" s="637"/>
      <c r="G677" s="637"/>
      <c r="H677" s="637"/>
      <c r="I677" s="637"/>
      <c r="J677" s="637"/>
      <c r="K677" s="637"/>
      <c r="L677" s="637"/>
      <c r="M677" s="637"/>
      <c r="N677" s="637"/>
      <c r="O677" s="637"/>
      <c r="P677" s="637"/>
      <c r="Q677" s="637"/>
      <c r="R677" s="637"/>
      <c r="S677" s="637"/>
      <c r="T677" s="637"/>
      <c r="U677" s="637"/>
      <c r="V677" s="637"/>
      <c r="W677" s="637"/>
      <c r="X677" s="637"/>
      <c r="Y677" s="637"/>
      <c r="Z677" s="637"/>
    </row>
    <row r="678" ht="11.25" customHeight="1">
      <c r="A678" s="637"/>
      <c r="B678" s="637"/>
      <c r="C678" s="637"/>
      <c r="D678" s="637"/>
      <c r="E678" s="637"/>
      <c r="F678" s="637"/>
      <c r="G678" s="637"/>
      <c r="H678" s="637"/>
      <c r="I678" s="637"/>
      <c r="J678" s="637"/>
      <c r="K678" s="637"/>
      <c r="L678" s="637"/>
      <c r="M678" s="637"/>
      <c r="N678" s="637"/>
      <c r="O678" s="637"/>
      <c r="P678" s="637"/>
      <c r="Q678" s="637"/>
      <c r="R678" s="637"/>
      <c r="S678" s="637"/>
      <c r="T678" s="637"/>
      <c r="U678" s="637"/>
      <c r="V678" s="637"/>
      <c r="W678" s="637"/>
      <c r="X678" s="637"/>
      <c r="Y678" s="637"/>
      <c r="Z678" s="637"/>
    </row>
    <row r="679" ht="11.25" customHeight="1">
      <c r="A679" s="637"/>
      <c r="B679" s="637"/>
      <c r="C679" s="637"/>
      <c r="D679" s="637"/>
      <c r="E679" s="637"/>
      <c r="F679" s="637"/>
      <c r="G679" s="637"/>
      <c r="H679" s="637"/>
      <c r="I679" s="637"/>
      <c r="J679" s="637"/>
      <c r="K679" s="637"/>
      <c r="L679" s="637"/>
      <c r="M679" s="637"/>
      <c r="N679" s="637"/>
      <c r="O679" s="637"/>
      <c r="P679" s="637"/>
      <c r="Q679" s="637"/>
      <c r="R679" s="637"/>
      <c r="S679" s="637"/>
      <c r="T679" s="637"/>
      <c r="U679" s="637"/>
      <c r="V679" s="637"/>
      <c r="W679" s="637"/>
      <c r="X679" s="637"/>
      <c r="Y679" s="637"/>
      <c r="Z679" s="637"/>
    </row>
    <row r="680" ht="11.25" customHeight="1">
      <c r="A680" s="637"/>
      <c r="B680" s="637"/>
      <c r="C680" s="637"/>
      <c r="D680" s="637"/>
      <c r="E680" s="637"/>
      <c r="F680" s="637"/>
      <c r="G680" s="637"/>
      <c r="H680" s="637"/>
      <c r="I680" s="637"/>
      <c r="J680" s="637"/>
      <c r="K680" s="637"/>
      <c r="L680" s="637"/>
      <c r="M680" s="637"/>
      <c r="N680" s="637"/>
      <c r="O680" s="637"/>
      <c r="P680" s="637"/>
      <c r="Q680" s="637"/>
      <c r="R680" s="637"/>
      <c r="S680" s="637"/>
      <c r="T680" s="637"/>
      <c r="U680" s="637"/>
      <c r="V680" s="637"/>
      <c r="W680" s="637"/>
      <c r="X680" s="637"/>
      <c r="Y680" s="637"/>
      <c r="Z680" s="637"/>
    </row>
    <row r="681" ht="11.25" customHeight="1">
      <c r="A681" s="637"/>
      <c r="B681" s="637"/>
      <c r="C681" s="637"/>
      <c r="D681" s="637"/>
      <c r="E681" s="637"/>
      <c r="F681" s="637"/>
      <c r="G681" s="637"/>
      <c r="H681" s="637"/>
      <c r="I681" s="637"/>
      <c r="J681" s="637"/>
      <c r="K681" s="637"/>
      <c r="L681" s="637"/>
      <c r="M681" s="637"/>
      <c r="N681" s="637"/>
      <c r="O681" s="637"/>
      <c r="P681" s="637"/>
      <c r="Q681" s="637"/>
      <c r="R681" s="637"/>
      <c r="S681" s="637"/>
      <c r="T681" s="637"/>
      <c r="U681" s="637"/>
      <c r="V681" s="637"/>
      <c r="W681" s="637"/>
      <c r="X681" s="637"/>
      <c r="Y681" s="637"/>
      <c r="Z681" s="637"/>
    </row>
    <row r="682" ht="11.25" customHeight="1">
      <c r="A682" s="637"/>
      <c r="B682" s="637"/>
      <c r="C682" s="637"/>
      <c r="D682" s="637"/>
      <c r="E682" s="637"/>
      <c r="F682" s="637"/>
      <c r="G682" s="637"/>
      <c r="H682" s="637"/>
      <c r="I682" s="637"/>
      <c r="J682" s="637"/>
      <c r="K682" s="637"/>
      <c r="L682" s="637"/>
      <c r="M682" s="637"/>
      <c r="N682" s="637"/>
      <c r="O682" s="637"/>
      <c r="P682" s="637"/>
      <c r="Q682" s="637"/>
      <c r="R682" s="637"/>
      <c r="S682" s="637"/>
      <c r="T682" s="637"/>
      <c r="U682" s="637"/>
      <c r="V682" s="637"/>
      <c r="W682" s="637"/>
      <c r="X682" s="637"/>
      <c r="Y682" s="637"/>
      <c r="Z682" s="637"/>
    </row>
    <row r="683" ht="11.25" customHeight="1">
      <c r="A683" s="637"/>
      <c r="B683" s="637"/>
      <c r="C683" s="637"/>
      <c r="D683" s="637"/>
      <c r="E683" s="637"/>
      <c r="F683" s="637"/>
      <c r="G683" s="637"/>
      <c r="H683" s="637"/>
      <c r="I683" s="637"/>
      <c r="J683" s="637"/>
      <c r="K683" s="637"/>
      <c r="L683" s="637"/>
      <c r="M683" s="637"/>
      <c r="N683" s="637"/>
      <c r="O683" s="637"/>
      <c r="P683" s="637"/>
      <c r="Q683" s="637"/>
      <c r="R683" s="637"/>
      <c r="S683" s="637"/>
      <c r="T683" s="637"/>
      <c r="U683" s="637"/>
      <c r="V683" s="637"/>
      <c r="W683" s="637"/>
      <c r="X683" s="637"/>
      <c r="Y683" s="637"/>
      <c r="Z683" s="637"/>
    </row>
    <row r="684" ht="11.25" customHeight="1">
      <c r="A684" s="637"/>
      <c r="B684" s="637"/>
      <c r="C684" s="637"/>
      <c r="D684" s="637"/>
      <c r="E684" s="637"/>
      <c r="F684" s="637"/>
      <c r="G684" s="637"/>
      <c r="H684" s="637"/>
      <c r="I684" s="637"/>
      <c r="J684" s="637"/>
      <c r="K684" s="637"/>
      <c r="L684" s="637"/>
      <c r="M684" s="637"/>
      <c r="N684" s="637"/>
      <c r="O684" s="637"/>
      <c r="P684" s="637"/>
      <c r="Q684" s="637"/>
      <c r="R684" s="637"/>
      <c r="S684" s="637"/>
      <c r="T684" s="637"/>
      <c r="U684" s="637"/>
      <c r="V684" s="637"/>
      <c r="W684" s="637"/>
      <c r="X684" s="637"/>
      <c r="Y684" s="637"/>
      <c r="Z684" s="637"/>
    </row>
    <row r="685" ht="11.25" customHeight="1">
      <c r="A685" s="637"/>
      <c r="B685" s="637"/>
      <c r="C685" s="637"/>
      <c r="D685" s="637"/>
      <c r="E685" s="637"/>
      <c r="F685" s="637"/>
      <c r="G685" s="637"/>
      <c r="H685" s="637"/>
      <c r="I685" s="637"/>
      <c r="J685" s="637"/>
      <c r="K685" s="637"/>
      <c r="L685" s="637"/>
      <c r="M685" s="637"/>
      <c r="N685" s="637"/>
      <c r="O685" s="637"/>
      <c r="P685" s="637"/>
      <c r="Q685" s="637"/>
      <c r="R685" s="637"/>
      <c r="S685" s="637"/>
      <c r="T685" s="637"/>
      <c r="U685" s="637"/>
      <c r="V685" s="637"/>
      <c r="W685" s="637"/>
      <c r="X685" s="637"/>
      <c r="Y685" s="637"/>
      <c r="Z685" s="637"/>
    </row>
    <row r="686" ht="11.25" customHeight="1">
      <c r="A686" s="637"/>
      <c r="B686" s="637"/>
      <c r="C686" s="637"/>
      <c r="D686" s="637"/>
      <c r="E686" s="637"/>
      <c r="F686" s="637"/>
      <c r="G686" s="637"/>
      <c r="H686" s="637"/>
      <c r="I686" s="637"/>
      <c r="J686" s="637"/>
      <c r="K686" s="637"/>
      <c r="L686" s="637"/>
      <c r="M686" s="637"/>
      <c r="N686" s="637"/>
      <c r="O686" s="637"/>
      <c r="P686" s="637"/>
      <c r="Q686" s="637"/>
      <c r="R686" s="637"/>
      <c r="S686" s="637"/>
      <c r="T686" s="637"/>
      <c r="U686" s="637"/>
      <c r="V686" s="637"/>
      <c r="W686" s="637"/>
      <c r="X686" s="637"/>
      <c r="Y686" s="637"/>
      <c r="Z686" s="637"/>
    </row>
    <row r="687" ht="11.25" customHeight="1">
      <c r="A687" s="637"/>
      <c r="B687" s="637"/>
      <c r="C687" s="637"/>
      <c r="D687" s="637"/>
      <c r="E687" s="637"/>
      <c r="F687" s="637"/>
      <c r="G687" s="637"/>
      <c r="H687" s="637"/>
      <c r="I687" s="637"/>
      <c r="J687" s="637"/>
      <c r="K687" s="637"/>
      <c r="L687" s="637"/>
      <c r="M687" s="637"/>
      <c r="N687" s="637"/>
      <c r="O687" s="637"/>
      <c r="P687" s="637"/>
      <c r="Q687" s="637"/>
      <c r="R687" s="637"/>
      <c r="S687" s="637"/>
      <c r="T687" s="637"/>
      <c r="U687" s="637"/>
      <c r="V687" s="637"/>
      <c r="W687" s="637"/>
      <c r="X687" s="637"/>
      <c r="Y687" s="637"/>
      <c r="Z687" s="637"/>
    </row>
    <row r="688" ht="11.25" customHeight="1">
      <c r="A688" s="637"/>
      <c r="B688" s="637"/>
      <c r="C688" s="637"/>
      <c r="D688" s="637"/>
      <c r="E688" s="637"/>
      <c r="F688" s="637"/>
      <c r="G688" s="637"/>
      <c r="H688" s="637"/>
      <c r="I688" s="637"/>
      <c r="J688" s="637"/>
      <c r="K688" s="637"/>
      <c r="L688" s="637"/>
      <c r="M688" s="637"/>
      <c r="N688" s="637"/>
      <c r="O688" s="637"/>
      <c r="P688" s="637"/>
      <c r="Q688" s="637"/>
      <c r="R688" s="637"/>
      <c r="S688" s="637"/>
      <c r="T688" s="637"/>
      <c r="U688" s="637"/>
      <c r="V688" s="637"/>
      <c r="W688" s="637"/>
      <c r="X688" s="637"/>
      <c r="Y688" s="637"/>
      <c r="Z688" s="637"/>
    </row>
    <row r="689" ht="11.25" customHeight="1">
      <c r="A689" s="637"/>
      <c r="B689" s="637"/>
      <c r="C689" s="637"/>
      <c r="D689" s="637"/>
      <c r="E689" s="637"/>
      <c r="F689" s="637"/>
      <c r="G689" s="637"/>
      <c r="H689" s="637"/>
      <c r="I689" s="637"/>
      <c r="J689" s="637"/>
      <c r="K689" s="637"/>
      <c r="L689" s="637"/>
      <c r="M689" s="637"/>
      <c r="N689" s="637"/>
      <c r="O689" s="637"/>
      <c r="P689" s="637"/>
      <c r="Q689" s="637"/>
      <c r="R689" s="637"/>
      <c r="S689" s="637"/>
      <c r="T689" s="637"/>
      <c r="U689" s="637"/>
      <c r="V689" s="637"/>
      <c r="W689" s="637"/>
      <c r="X689" s="637"/>
      <c r="Y689" s="637"/>
      <c r="Z689" s="637"/>
    </row>
    <row r="690" ht="11.25" customHeight="1">
      <c r="A690" s="637"/>
      <c r="B690" s="637"/>
      <c r="C690" s="637"/>
      <c r="D690" s="637"/>
      <c r="E690" s="637"/>
      <c r="F690" s="637"/>
      <c r="G690" s="637"/>
      <c r="H690" s="637"/>
      <c r="I690" s="637"/>
      <c r="J690" s="637"/>
      <c r="K690" s="637"/>
      <c r="L690" s="637"/>
      <c r="M690" s="637"/>
      <c r="N690" s="637"/>
      <c r="O690" s="637"/>
      <c r="P690" s="637"/>
      <c r="Q690" s="637"/>
      <c r="R690" s="637"/>
      <c r="S690" s="637"/>
      <c r="T690" s="637"/>
      <c r="U690" s="637"/>
      <c r="V690" s="637"/>
      <c r="W690" s="637"/>
      <c r="X690" s="637"/>
      <c r="Y690" s="637"/>
      <c r="Z690" s="637"/>
    </row>
    <row r="691" ht="11.25" customHeight="1">
      <c r="A691" s="637"/>
      <c r="B691" s="637"/>
      <c r="C691" s="637"/>
      <c r="D691" s="637"/>
      <c r="E691" s="637"/>
      <c r="F691" s="637"/>
      <c r="G691" s="637"/>
      <c r="H691" s="637"/>
      <c r="I691" s="637"/>
      <c r="J691" s="637"/>
      <c r="K691" s="637"/>
      <c r="L691" s="637"/>
      <c r="M691" s="637"/>
      <c r="N691" s="637"/>
      <c r="O691" s="637"/>
      <c r="P691" s="637"/>
      <c r="Q691" s="637"/>
      <c r="R691" s="637"/>
      <c r="S691" s="637"/>
      <c r="T691" s="637"/>
      <c r="U691" s="637"/>
      <c r="V691" s="637"/>
      <c r="W691" s="637"/>
      <c r="X691" s="637"/>
      <c r="Y691" s="637"/>
      <c r="Z691" s="637"/>
    </row>
    <row r="692" ht="11.25" customHeight="1">
      <c r="A692" s="637"/>
      <c r="B692" s="637"/>
      <c r="C692" s="637"/>
      <c r="D692" s="637"/>
      <c r="E692" s="637"/>
      <c r="F692" s="637"/>
      <c r="G692" s="637"/>
      <c r="H692" s="637"/>
      <c r="I692" s="637"/>
      <c r="J692" s="637"/>
      <c r="K692" s="637"/>
      <c r="L692" s="637"/>
      <c r="M692" s="637"/>
      <c r="N692" s="637"/>
      <c r="O692" s="637"/>
      <c r="P692" s="637"/>
      <c r="Q692" s="637"/>
      <c r="R692" s="637"/>
      <c r="S692" s="637"/>
      <c r="T692" s="637"/>
      <c r="U692" s="637"/>
      <c r="V692" s="637"/>
      <c r="W692" s="637"/>
      <c r="X692" s="637"/>
      <c r="Y692" s="637"/>
      <c r="Z692" s="637"/>
    </row>
    <row r="693" ht="11.25" customHeight="1">
      <c r="A693" s="637"/>
      <c r="B693" s="637"/>
      <c r="C693" s="637"/>
      <c r="D693" s="637"/>
      <c r="E693" s="637"/>
      <c r="F693" s="637"/>
      <c r="G693" s="637"/>
      <c r="H693" s="637"/>
      <c r="I693" s="637"/>
      <c r="J693" s="637"/>
      <c r="K693" s="637"/>
      <c r="L693" s="637"/>
      <c r="M693" s="637"/>
      <c r="N693" s="637"/>
      <c r="O693" s="637"/>
      <c r="P693" s="637"/>
      <c r="Q693" s="637"/>
      <c r="R693" s="637"/>
      <c r="S693" s="637"/>
      <c r="T693" s="637"/>
      <c r="U693" s="637"/>
      <c r="V693" s="637"/>
      <c r="W693" s="637"/>
      <c r="X693" s="637"/>
      <c r="Y693" s="637"/>
      <c r="Z693" s="637"/>
    </row>
    <row r="694" ht="11.25" customHeight="1">
      <c r="A694" s="637"/>
      <c r="B694" s="637"/>
      <c r="C694" s="637"/>
      <c r="D694" s="637"/>
      <c r="E694" s="637"/>
      <c r="F694" s="637"/>
      <c r="G694" s="637"/>
      <c r="H694" s="637"/>
      <c r="I694" s="637"/>
      <c r="J694" s="637"/>
      <c r="K694" s="637"/>
      <c r="L694" s="637"/>
      <c r="M694" s="637"/>
      <c r="N694" s="637"/>
      <c r="O694" s="637"/>
      <c r="P694" s="637"/>
      <c r="Q694" s="637"/>
      <c r="R694" s="637"/>
      <c r="S694" s="637"/>
      <c r="T694" s="637"/>
      <c r="U694" s="637"/>
      <c r="V694" s="637"/>
      <c r="W694" s="637"/>
      <c r="X694" s="637"/>
      <c r="Y694" s="637"/>
      <c r="Z694" s="637"/>
    </row>
    <row r="695" ht="11.25" customHeight="1">
      <c r="A695" s="637"/>
      <c r="B695" s="637"/>
      <c r="C695" s="637"/>
      <c r="D695" s="637"/>
      <c r="E695" s="637"/>
      <c r="F695" s="637"/>
      <c r="G695" s="637"/>
      <c r="H695" s="637"/>
      <c r="I695" s="637"/>
      <c r="J695" s="637"/>
      <c r="K695" s="637"/>
      <c r="L695" s="637"/>
      <c r="M695" s="637"/>
      <c r="N695" s="637"/>
      <c r="O695" s="637"/>
      <c r="P695" s="637"/>
      <c r="Q695" s="637"/>
      <c r="R695" s="637"/>
      <c r="S695" s="637"/>
      <c r="T695" s="637"/>
      <c r="U695" s="637"/>
      <c r="V695" s="637"/>
      <c r="W695" s="637"/>
      <c r="X695" s="637"/>
      <c r="Y695" s="637"/>
      <c r="Z695" s="637"/>
    </row>
    <row r="696" ht="11.25" customHeight="1">
      <c r="A696" s="637"/>
      <c r="B696" s="637"/>
      <c r="C696" s="637"/>
      <c r="D696" s="637"/>
      <c r="E696" s="637"/>
      <c r="F696" s="637"/>
      <c r="G696" s="637"/>
      <c r="H696" s="637"/>
      <c r="I696" s="637"/>
      <c r="J696" s="637"/>
      <c r="K696" s="637"/>
      <c r="L696" s="637"/>
      <c r="M696" s="637"/>
      <c r="N696" s="637"/>
      <c r="O696" s="637"/>
      <c r="P696" s="637"/>
      <c r="Q696" s="637"/>
      <c r="R696" s="637"/>
      <c r="S696" s="637"/>
      <c r="T696" s="637"/>
      <c r="U696" s="637"/>
      <c r="V696" s="637"/>
      <c r="W696" s="637"/>
      <c r="X696" s="637"/>
      <c r="Y696" s="637"/>
      <c r="Z696" s="637"/>
    </row>
    <row r="697" ht="11.25" customHeight="1">
      <c r="A697" s="637"/>
      <c r="B697" s="637"/>
      <c r="C697" s="637"/>
      <c r="D697" s="637"/>
      <c r="E697" s="637"/>
      <c r="F697" s="637"/>
      <c r="G697" s="637"/>
      <c r="H697" s="637"/>
      <c r="I697" s="637"/>
      <c r="J697" s="637"/>
      <c r="K697" s="637"/>
      <c r="L697" s="637"/>
      <c r="M697" s="637"/>
      <c r="N697" s="637"/>
      <c r="O697" s="637"/>
      <c r="P697" s="637"/>
      <c r="Q697" s="637"/>
      <c r="R697" s="637"/>
      <c r="S697" s="637"/>
      <c r="T697" s="637"/>
      <c r="U697" s="637"/>
      <c r="V697" s="637"/>
      <c r="W697" s="637"/>
      <c r="X697" s="637"/>
      <c r="Y697" s="637"/>
      <c r="Z697" s="637"/>
    </row>
    <row r="698" ht="11.25" customHeight="1">
      <c r="A698" s="637"/>
      <c r="B698" s="637"/>
      <c r="C698" s="637"/>
      <c r="D698" s="637"/>
      <c r="E698" s="637"/>
      <c r="F698" s="637"/>
      <c r="G698" s="637"/>
      <c r="H698" s="637"/>
      <c r="I698" s="637"/>
      <c r="J698" s="637"/>
      <c r="K698" s="637"/>
      <c r="L698" s="637"/>
      <c r="M698" s="637"/>
      <c r="N698" s="637"/>
      <c r="O698" s="637"/>
      <c r="P698" s="637"/>
      <c r="Q698" s="637"/>
      <c r="R698" s="637"/>
      <c r="S698" s="637"/>
      <c r="T698" s="637"/>
      <c r="U698" s="637"/>
      <c r="V698" s="637"/>
      <c r="W698" s="637"/>
      <c r="X698" s="637"/>
      <c r="Y698" s="637"/>
      <c r="Z698" s="637"/>
    </row>
    <row r="699" ht="11.25" customHeight="1">
      <c r="A699" s="637"/>
      <c r="B699" s="637"/>
      <c r="C699" s="637"/>
      <c r="D699" s="637"/>
      <c r="E699" s="637"/>
      <c r="F699" s="637"/>
      <c r="G699" s="637"/>
      <c r="H699" s="637"/>
      <c r="I699" s="637"/>
      <c r="J699" s="637"/>
      <c r="K699" s="637"/>
      <c r="L699" s="637"/>
      <c r="M699" s="637"/>
      <c r="N699" s="637"/>
      <c r="O699" s="637"/>
      <c r="P699" s="637"/>
      <c r="Q699" s="637"/>
      <c r="R699" s="637"/>
      <c r="S699" s="637"/>
      <c r="T699" s="637"/>
      <c r="U699" s="637"/>
      <c r="V699" s="637"/>
      <c r="W699" s="637"/>
      <c r="X699" s="637"/>
      <c r="Y699" s="637"/>
      <c r="Z699" s="637"/>
    </row>
    <row r="700" ht="11.25" customHeight="1">
      <c r="A700" s="637"/>
      <c r="B700" s="637"/>
      <c r="C700" s="637"/>
      <c r="D700" s="637"/>
      <c r="E700" s="637"/>
      <c r="F700" s="637"/>
      <c r="G700" s="637"/>
      <c r="H700" s="637"/>
      <c r="I700" s="637"/>
      <c r="J700" s="637"/>
      <c r="K700" s="637"/>
      <c r="L700" s="637"/>
      <c r="M700" s="637"/>
      <c r="N700" s="637"/>
      <c r="O700" s="637"/>
      <c r="P700" s="637"/>
      <c r="Q700" s="637"/>
      <c r="R700" s="637"/>
      <c r="S700" s="637"/>
      <c r="T700" s="637"/>
      <c r="U700" s="637"/>
      <c r="V700" s="637"/>
      <c r="W700" s="637"/>
      <c r="X700" s="637"/>
      <c r="Y700" s="637"/>
      <c r="Z700" s="637"/>
    </row>
    <row r="701" ht="11.25" customHeight="1">
      <c r="A701" s="637"/>
      <c r="B701" s="637"/>
      <c r="C701" s="637"/>
      <c r="D701" s="637"/>
      <c r="E701" s="637"/>
      <c r="F701" s="637"/>
      <c r="G701" s="637"/>
      <c r="H701" s="637"/>
      <c r="I701" s="637"/>
      <c r="J701" s="637"/>
      <c r="K701" s="637"/>
      <c r="L701" s="637"/>
      <c r="M701" s="637"/>
      <c r="N701" s="637"/>
      <c r="O701" s="637"/>
      <c r="P701" s="637"/>
      <c r="Q701" s="637"/>
      <c r="R701" s="637"/>
      <c r="S701" s="637"/>
      <c r="T701" s="637"/>
      <c r="U701" s="637"/>
      <c r="V701" s="637"/>
      <c r="W701" s="637"/>
      <c r="X701" s="637"/>
      <c r="Y701" s="637"/>
      <c r="Z701" s="637"/>
    </row>
    <row r="702" ht="11.25" customHeight="1">
      <c r="A702" s="637"/>
      <c r="B702" s="637"/>
      <c r="C702" s="637"/>
      <c r="D702" s="637"/>
      <c r="E702" s="637"/>
      <c r="F702" s="637"/>
      <c r="G702" s="637"/>
      <c r="H702" s="637"/>
      <c r="I702" s="637"/>
      <c r="J702" s="637"/>
      <c r="K702" s="637"/>
      <c r="L702" s="637"/>
      <c r="M702" s="637"/>
      <c r="N702" s="637"/>
      <c r="O702" s="637"/>
      <c r="P702" s="637"/>
      <c r="Q702" s="637"/>
      <c r="R702" s="637"/>
      <c r="S702" s="637"/>
      <c r="T702" s="637"/>
      <c r="U702" s="637"/>
      <c r="V702" s="637"/>
      <c r="W702" s="637"/>
      <c r="X702" s="637"/>
      <c r="Y702" s="637"/>
      <c r="Z702" s="637"/>
    </row>
    <row r="703" ht="11.25" customHeight="1">
      <c r="A703" s="637"/>
      <c r="B703" s="637"/>
      <c r="C703" s="637"/>
      <c r="D703" s="637"/>
      <c r="E703" s="637"/>
      <c r="F703" s="637"/>
      <c r="G703" s="637"/>
      <c r="H703" s="637"/>
      <c r="I703" s="637"/>
      <c r="J703" s="637"/>
      <c r="K703" s="637"/>
      <c r="L703" s="637"/>
      <c r="M703" s="637"/>
      <c r="N703" s="637"/>
      <c r="O703" s="637"/>
      <c r="P703" s="637"/>
      <c r="Q703" s="637"/>
      <c r="R703" s="637"/>
      <c r="S703" s="637"/>
      <c r="T703" s="637"/>
      <c r="U703" s="637"/>
      <c r="V703" s="637"/>
      <c r="W703" s="637"/>
      <c r="X703" s="637"/>
      <c r="Y703" s="637"/>
      <c r="Z703" s="637"/>
    </row>
    <row r="704" ht="11.25" customHeight="1">
      <c r="A704" s="637"/>
      <c r="B704" s="637"/>
      <c r="C704" s="637"/>
      <c r="D704" s="637"/>
      <c r="E704" s="637"/>
      <c r="F704" s="637"/>
      <c r="G704" s="637"/>
      <c r="H704" s="637"/>
      <c r="I704" s="637"/>
      <c r="J704" s="637"/>
      <c r="K704" s="637"/>
      <c r="L704" s="637"/>
      <c r="M704" s="637"/>
      <c r="N704" s="637"/>
      <c r="O704" s="637"/>
      <c r="P704" s="637"/>
      <c r="Q704" s="637"/>
      <c r="R704" s="637"/>
      <c r="S704" s="637"/>
      <c r="T704" s="637"/>
      <c r="U704" s="637"/>
      <c r="V704" s="637"/>
      <c r="W704" s="637"/>
      <c r="X704" s="637"/>
      <c r="Y704" s="637"/>
      <c r="Z704" s="637"/>
    </row>
    <row r="705" ht="11.25" customHeight="1">
      <c r="A705" s="637"/>
      <c r="B705" s="637"/>
      <c r="C705" s="637"/>
      <c r="D705" s="637"/>
      <c r="E705" s="637"/>
      <c r="F705" s="637"/>
      <c r="G705" s="637"/>
      <c r="H705" s="637"/>
      <c r="I705" s="637"/>
      <c r="J705" s="637"/>
      <c r="K705" s="637"/>
      <c r="L705" s="637"/>
      <c r="M705" s="637"/>
      <c r="N705" s="637"/>
      <c r="O705" s="637"/>
      <c r="P705" s="637"/>
      <c r="Q705" s="637"/>
      <c r="R705" s="637"/>
      <c r="S705" s="637"/>
      <c r="T705" s="637"/>
      <c r="U705" s="637"/>
      <c r="V705" s="637"/>
      <c r="W705" s="637"/>
      <c r="X705" s="637"/>
      <c r="Y705" s="637"/>
      <c r="Z705" s="637"/>
    </row>
    <row r="706" ht="11.25" customHeight="1">
      <c r="A706" s="637"/>
      <c r="B706" s="637"/>
      <c r="C706" s="637"/>
      <c r="D706" s="637"/>
      <c r="E706" s="637"/>
      <c r="F706" s="637"/>
      <c r="G706" s="637"/>
      <c r="H706" s="637"/>
      <c r="I706" s="637"/>
      <c r="J706" s="637"/>
      <c r="K706" s="637"/>
      <c r="L706" s="637"/>
      <c r="M706" s="637"/>
      <c r="N706" s="637"/>
      <c r="O706" s="637"/>
      <c r="P706" s="637"/>
      <c r="Q706" s="637"/>
      <c r="R706" s="637"/>
      <c r="S706" s="637"/>
      <c r="T706" s="637"/>
      <c r="U706" s="637"/>
      <c r="V706" s="637"/>
      <c r="W706" s="637"/>
      <c r="X706" s="637"/>
      <c r="Y706" s="637"/>
      <c r="Z706" s="637"/>
    </row>
    <row r="707" ht="11.25" customHeight="1">
      <c r="A707" s="637"/>
      <c r="B707" s="637"/>
      <c r="C707" s="637"/>
      <c r="D707" s="637"/>
      <c r="E707" s="637"/>
      <c r="F707" s="637"/>
      <c r="G707" s="637"/>
      <c r="H707" s="637"/>
      <c r="I707" s="637"/>
      <c r="J707" s="637"/>
      <c r="K707" s="637"/>
      <c r="L707" s="637"/>
      <c r="M707" s="637"/>
      <c r="N707" s="637"/>
      <c r="O707" s="637"/>
      <c r="P707" s="637"/>
      <c r="Q707" s="637"/>
      <c r="R707" s="637"/>
      <c r="S707" s="637"/>
      <c r="T707" s="637"/>
      <c r="U707" s="637"/>
      <c r="V707" s="637"/>
      <c r="W707" s="637"/>
      <c r="X707" s="637"/>
      <c r="Y707" s="637"/>
      <c r="Z707" s="637"/>
    </row>
    <row r="708" ht="11.25" customHeight="1">
      <c r="A708" s="637"/>
      <c r="B708" s="637"/>
      <c r="C708" s="637"/>
      <c r="D708" s="637"/>
      <c r="E708" s="637"/>
      <c r="F708" s="637"/>
      <c r="G708" s="637"/>
      <c r="H708" s="637"/>
      <c r="I708" s="637"/>
      <c r="J708" s="637"/>
      <c r="K708" s="637"/>
      <c r="L708" s="637"/>
      <c r="M708" s="637"/>
      <c r="N708" s="637"/>
      <c r="O708" s="637"/>
      <c r="P708" s="637"/>
      <c r="Q708" s="637"/>
      <c r="R708" s="637"/>
      <c r="S708" s="637"/>
      <c r="T708" s="637"/>
      <c r="U708" s="637"/>
      <c r="V708" s="637"/>
      <c r="W708" s="637"/>
      <c r="X708" s="637"/>
      <c r="Y708" s="637"/>
      <c r="Z708" s="637"/>
    </row>
    <row r="709" ht="11.25" customHeight="1">
      <c r="A709" s="637"/>
      <c r="B709" s="637"/>
      <c r="C709" s="637"/>
      <c r="D709" s="637"/>
      <c r="E709" s="637"/>
      <c r="F709" s="637"/>
      <c r="G709" s="637"/>
      <c r="H709" s="637"/>
      <c r="I709" s="637"/>
      <c r="J709" s="637"/>
      <c r="K709" s="637"/>
      <c r="L709" s="637"/>
      <c r="M709" s="637"/>
      <c r="N709" s="637"/>
      <c r="O709" s="637"/>
      <c r="P709" s="637"/>
      <c r="Q709" s="637"/>
      <c r="R709" s="637"/>
      <c r="S709" s="637"/>
      <c r="T709" s="637"/>
      <c r="U709" s="637"/>
      <c r="V709" s="637"/>
      <c r="W709" s="637"/>
      <c r="X709" s="637"/>
      <c r="Y709" s="637"/>
      <c r="Z709" s="637"/>
    </row>
    <row r="710" ht="11.25" customHeight="1">
      <c r="A710" s="637"/>
      <c r="B710" s="637"/>
      <c r="C710" s="637"/>
      <c r="D710" s="637"/>
      <c r="E710" s="637"/>
      <c r="F710" s="637"/>
      <c r="G710" s="637"/>
      <c r="H710" s="637"/>
      <c r="I710" s="637"/>
      <c r="J710" s="637"/>
      <c r="K710" s="637"/>
      <c r="L710" s="637"/>
      <c r="M710" s="637"/>
      <c r="N710" s="637"/>
      <c r="O710" s="637"/>
      <c r="P710" s="637"/>
      <c r="Q710" s="637"/>
      <c r="R710" s="637"/>
      <c r="S710" s="637"/>
      <c r="T710" s="637"/>
      <c r="U710" s="637"/>
      <c r="V710" s="637"/>
      <c r="W710" s="637"/>
      <c r="X710" s="637"/>
      <c r="Y710" s="637"/>
      <c r="Z710" s="637"/>
    </row>
    <row r="711" ht="11.25" customHeight="1">
      <c r="A711" s="637"/>
      <c r="B711" s="637"/>
      <c r="C711" s="637"/>
      <c r="D711" s="637"/>
      <c r="E711" s="637"/>
      <c r="F711" s="637"/>
      <c r="G711" s="637"/>
      <c r="H711" s="637"/>
      <c r="I711" s="637"/>
      <c r="J711" s="637"/>
      <c r="K711" s="637"/>
      <c r="L711" s="637"/>
      <c r="M711" s="637"/>
      <c r="N711" s="637"/>
      <c r="O711" s="637"/>
      <c r="P711" s="637"/>
      <c r="Q711" s="637"/>
      <c r="R711" s="637"/>
      <c r="S711" s="637"/>
      <c r="T711" s="637"/>
      <c r="U711" s="637"/>
      <c r="V711" s="637"/>
      <c r="W711" s="637"/>
      <c r="X711" s="637"/>
      <c r="Y711" s="637"/>
      <c r="Z711" s="637"/>
    </row>
    <row r="712" ht="11.25" customHeight="1">
      <c r="A712" s="637"/>
      <c r="B712" s="637"/>
      <c r="C712" s="637"/>
      <c r="D712" s="637"/>
      <c r="E712" s="637"/>
      <c r="F712" s="637"/>
      <c r="G712" s="637"/>
      <c r="H712" s="637"/>
      <c r="I712" s="637"/>
      <c r="J712" s="637"/>
      <c r="K712" s="637"/>
      <c r="L712" s="637"/>
      <c r="M712" s="637"/>
      <c r="N712" s="637"/>
      <c r="O712" s="637"/>
      <c r="P712" s="637"/>
      <c r="Q712" s="637"/>
      <c r="R712" s="637"/>
      <c r="S712" s="637"/>
      <c r="T712" s="637"/>
      <c r="U712" s="637"/>
      <c r="V712" s="637"/>
      <c r="W712" s="637"/>
      <c r="X712" s="637"/>
      <c r="Y712" s="637"/>
      <c r="Z712" s="637"/>
    </row>
    <row r="713" ht="11.25" customHeight="1">
      <c r="A713" s="637"/>
      <c r="B713" s="637"/>
      <c r="C713" s="637"/>
      <c r="D713" s="637"/>
      <c r="E713" s="637"/>
      <c r="F713" s="637"/>
      <c r="G713" s="637"/>
      <c r="H713" s="637"/>
      <c r="I713" s="637"/>
      <c r="J713" s="637"/>
      <c r="K713" s="637"/>
      <c r="L713" s="637"/>
      <c r="M713" s="637"/>
      <c r="N713" s="637"/>
      <c r="O713" s="637"/>
      <c r="P713" s="637"/>
      <c r="Q713" s="637"/>
      <c r="R713" s="637"/>
      <c r="S713" s="637"/>
      <c r="T713" s="637"/>
      <c r="U713" s="637"/>
      <c r="V713" s="637"/>
      <c r="W713" s="637"/>
      <c r="X713" s="637"/>
      <c r="Y713" s="637"/>
      <c r="Z713" s="637"/>
    </row>
    <row r="714" ht="11.25" customHeight="1">
      <c r="A714" s="637"/>
      <c r="B714" s="637"/>
      <c r="C714" s="637"/>
      <c r="D714" s="637"/>
      <c r="E714" s="637"/>
      <c r="F714" s="637"/>
      <c r="G714" s="637"/>
      <c r="H714" s="637"/>
      <c r="I714" s="637"/>
      <c r="J714" s="637"/>
      <c r="K714" s="637"/>
      <c r="L714" s="637"/>
      <c r="M714" s="637"/>
      <c r="N714" s="637"/>
      <c r="O714" s="637"/>
      <c r="P714" s="637"/>
      <c r="Q714" s="637"/>
      <c r="R714" s="637"/>
      <c r="S714" s="637"/>
      <c r="T714" s="637"/>
      <c r="U714" s="637"/>
      <c r="V714" s="637"/>
      <c r="W714" s="637"/>
      <c r="X714" s="637"/>
      <c r="Y714" s="637"/>
      <c r="Z714" s="637"/>
    </row>
    <row r="715" ht="11.25" customHeight="1">
      <c r="A715" s="637"/>
      <c r="B715" s="637"/>
      <c r="C715" s="637"/>
      <c r="D715" s="637"/>
      <c r="E715" s="637"/>
      <c r="F715" s="637"/>
      <c r="G715" s="637"/>
      <c r="H715" s="637"/>
      <c r="I715" s="637"/>
      <c r="J715" s="637"/>
      <c r="K715" s="637"/>
      <c r="L715" s="637"/>
      <c r="M715" s="637"/>
      <c r="N715" s="637"/>
      <c r="O715" s="637"/>
      <c r="P715" s="637"/>
      <c r="Q715" s="637"/>
      <c r="R715" s="637"/>
      <c r="S715" s="637"/>
      <c r="T715" s="637"/>
      <c r="U715" s="637"/>
      <c r="V715" s="637"/>
      <c r="W715" s="637"/>
      <c r="X715" s="637"/>
      <c r="Y715" s="637"/>
      <c r="Z715" s="637"/>
    </row>
    <row r="716" ht="11.25" customHeight="1">
      <c r="A716" s="637"/>
      <c r="B716" s="637"/>
      <c r="C716" s="637"/>
      <c r="D716" s="637"/>
      <c r="E716" s="637"/>
      <c r="F716" s="637"/>
      <c r="G716" s="637"/>
      <c r="H716" s="637"/>
      <c r="I716" s="637"/>
      <c r="J716" s="637"/>
      <c r="K716" s="637"/>
      <c r="L716" s="637"/>
      <c r="M716" s="637"/>
      <c r="N716" s="637"/>
      <c r="O716" s="637"/>
      <c r="P716" s="637"/>
      <c r="Q716" s="637"/>
      <c r="R716" s="637"/>
      <c r="S716" s="637"/>
      <c r="T716" s="637"/>
      <c r="U716" s="637"/>
      <c r="V716" s="637"/>
      <c r="W716" s="637"/>
      <c r="X716" s="637"/>
      <c r="Y716" s="637"/>
      <c r="Z716" s="637"/>
    </row>
    <row r="717" ht="11.25" customHeight="1">
      <c r="A717" s="637"/>
      <c r="B717" s="637"/>
      <c r="C717" s="637"/>
      <c r="D717" s="637"/>
      <c r="E717" s="637"/>
      <c r="F717" s="637"/>
      <c r="G717" s="637"/>
      <c r="H717" s="637"/>
      <c r="I717" s="637"/>
      <c r="J717" s="637"/>
      <c r="K717" s="637"/>
      <c r="L717" s="637"/>
      <c r="M717" s="637"/>
      <c r="N717" s="637"/>
      <c r="O717" s="637"/>
      <c r="P717" s="637"/>
      <c r="Q717" s="637"/>
      <c r="R717" s="637"/>
      <c r="S717" s="637"/>
      <c r="T717" s="637"/>
      <c r="U717" s="637"/>
      <c r="V717" s="637"/>
      <c r="W717" s="637"/>
      <c r="X717" s="637"/>
      <c r="Y717" s="637"/>
      <c r="Z717" s="637"/>
    </row>
    <row r="718" ht="11.25" customHeight="1">
      <c r="A718" s="637"/>
      <c r="B718" s="637"/>
      <c r="C718" s="637"/>
      <c r="D718" s="637"/>
      <c r="E718" s="637"/>
      <c r="F718" s="637"/>
      <c r="G718" s="637"/>
      <c r="H718" s="637"/>
      <c r="I718" s="637"/>
      <c r="J718" s="637"/>
      <c r="K718" s="637"/>
      <c r="L718" s="637"/>
      <c r="M718" s="637"/>
      <c r="N718" s="637"/>
      <c r="O718" s="637"/>
      <c r="P718" s="637"/>
      <c r="Q718" s="637"/>
      <c r="R718" s="637"/>
      <c r="S718" s="637"/>
      <c r="T718" s="637"/>
      <c r="U718" s="637"/>
      <c r="V718" s="637"/>
      <c r="W718" s="637"/>
      <c r="X718" s="637"/>
      <c r="Y718" s="637"/>
      <c r="Z718" s="637"/>
    </row>
    <row r="719" ht="11.25" customHeight="1">
      <c r="A719" s="637"/>
      <c r="B719" s="637"/>
      <c r="C719" s="637"/>
      <c r="D719" s="637"/>
      <c r="E719" s="637"/>
      <c r="F719" s="637"/>
      <c r="G719" s="637"/>
      <c r="H719" s="637"/>
      <c r="I719" s="637"/>
      <c r="J719" s="637"/>
      <c r="K719" s="637"/>
      <c r="L719" s="637"/>
      <c r="M719" s="637"/>
      <c r="N719" s="637"/>
      <c r="O719" s="637"/>
      <c r="P719" s="637"/>
      <c r="Q719" s="637"/>
      <c r="R719" s="637"/>
      <c r="S719" s="637"/>
      <c r="T719" s="637"/>
      <c r="U719" s="637"/>
      <c r="V719" s="637"/>
      <c r="W719" s="637"/>
      <c r="X719" s="637"/>
      <c r="Y719" s="637"/>
      <c r="Z719" s="637"/>
    </row>
    <row r="720" ht="11.25" customHeight="1">
      <c r="A720" s="637"/>
      <c r="B720" s="637"/>
      <c r="C720" s="637"/>
      <c r="D720" s="637"/>
      <c r="E720" s="637"/>
      <c r="F720" s="637"/>
      <c r="G720" s="637"/>
      <c r="H720" s="637"/>
      <c r="I720" s="637"/>
      <c r="J720" s="637"/>
      <c r="K720" s="637"/>
      <c r="L720" s="637"/>
      <c r="M720" s="637"/>
      <c r="N720" s="637"/>
      <c r="O720" s="637"/>
      <c r="P720" s="637"/>
      <c r="Q720" s="637"/>
      <c r="R720" s="637"/>
      <c r="S720" s="637"/>
      <c r="T720" s="637"/>
      <c r="U720" s="637"/>
      <c r="V720" s="637"/>
      <c r="W720" s="637"/>
      <c r="X720" s="637"/>
      <c r="Y720" s="637"/>
      <c r="Z720" s="637"/>
    </row>
    <row r="721" ht="11.25" customHeight="1">
      <c r="A721" s="637"/>
      <c r="B721" s="637"/>
      <c r="C721" s="637"/>
      <c r="D721" s="637"/>
      <c r="E721" s="637"/>
      <c r="F721" s="637"/>
      <c r="G721" s="637"/>
      <c r="H721" s="637"/>
      <c r="I721" s="637"/>
      <c r="J721" s="637"/>
      <c r="K721" s="637"/>
      <c r="L721" s="637"/>
      <c r="M721" s="637"/>
      <c r="N721" s="637"/>
      <c r="O721" s="637"/>
      <c r="P721" s="637"/>
      <c r="Q721" s="637"/>
      <c r="R721" s="637"/>
      <c r="S721" s="637"/>
      <c r="T721" s="637"/>
      <c r="U721" s="637"/>
      <c r="V721" s="637"/>
      <c r="W721" s="637"/>
      <c r="X721" s="637"/>
      <c r="Y721" s="637"/>
      <c r="Z721" s="637"/>
    </row>
    <row r="722" ht="11.25" customHeight="1">
      <c r="A722" s="637"/>
      <c r="B722" s="637"/>
      <c r="C722" s="637"/>
      <c r="D722" s="637"/>
      <c r="E722" s="637"/>
      <c r="F722" s="637"/>
      <c r="G722" s="637"/>
      <c r="H722" s="637"/>
      <c r="I722" s="637"/>
      <c r="J722" s="637"/>
      <c r="K722" s="637"/>
      <c r="L722" s="637"/>
      <c r="M722" s="637"/>
      <c r="N722" s="637"/>
      <c r="O722" s="637"/>
      <c r="P722" s="637"/>
      <c r="Q722" s="637"/>
      <c r="R722" s="637"/>
      <c r="S722" s="637"/>
      <c r="T722" s="637"/>
      <c r="U722" s="637"/>
      <c r="V722" s="637"/>
      <c r="W722" s="637"/>
      <c r="X722" s="637"/>
      <c r="Y722" s="637"/>
      <c r="Z722" s="637"/>
    </row>
    <row r="723" ht="11.25" customHeight="1">
      <c r="A723" s="637"/>
      <c r="B723" s="637"/>
      <c r="C723" s="637"/>
      <c r="D723" s="637"/>
      <c r="E723" s="637"/>
      <c r="F723" s="637"/>
      <c r="G723" s="637"/>
      <c r="H723" s="637"/>
      <c r="I723" s="637"/>
      <c r="J723" s="637"/>
      <c r="K723" s="637"/>
      <c r="L723" s="637"/>
      <c r="M723" s="637"/>
      <c r="N723" s="637"/>
      <c r="O723" s="637"/>
      <c r="P723" s="637"/>
      <c r="Q723" s="637"/>
      <c r="R723" s="637"/>
      <c r="S723" s="637"/>
      <c r="T723" s="637"/>
      <c r="U723" s="637"/>
      <c r="V723" s="637"/>
      <c r="W723" s="637"/>
      <c r="X723" s="637"/>
      <c r="Y723" s="637"/>
      <c r="Z723" s="637"/>
    </row>
    <row r="724" ht="11.25" customHeight="1">
      <c r="A724" s="637"/>
      <c r="B724" s="637"/>
      <c r="C724" s="637"/>
      <c r="D724" s="637"/>
      <c r="E724" s="637"/>
      <c r="F724" s="637"/>
      <c r="G724" s="637"/>
      <c r="H724" s="637"/>
      <c r="I724" s="637"/>
      <c r="J724" s="637"/>
      <c r="K724" s="637"/>
      <c r="L724" s="637"/>
      <c r="M724" s="637"/>
      <c r="N724" s="637"/>
      <c r="O724" s="637"/>
      <c r="P724" s="637"/>
      <c r="Q724" s="637"/>
      <c r="R724" s="637"/>
      <c r="S724" s="637"/>
      <c r="T724" s="637"/>
      <c r="U724" s="637"/>
      <c r="V724" s="637"/>
      <c r="W724" s="637"/>
      <c r="X724" s="637"/>
      <c r="Y724" s="637"/>
      <c r="Z724" s="637"/>
    </row>
    <row r="725" ht="11.25" customHeight="1">
      <c r="A725" s="637"/>
      <c r="B725" s="637"/>
      <c r="C725" s="637"/>
      <c r="D725" s="637"/>
      <c r="E725" s="637"/>
      <c r="F725" s="637"/>
      <c r="G725" s="637"/>
      <c r="H725" s="637"/>
      <c r="I725" s="637"/>
      <c r="J725" s="637"/>
      <c r="K725" s="637"/>
      <c r="L725" s="637"/>
      <c r="M725" s="637"/>
      <c r="N725" s="637"/>
      <c r="O725" s="637"/>
      <c r="P725" s="637"/>
      <c r="Q725" s="637"/>
      <c r="R725" s="637"/>
      <c r="S725" s="637"/>
      <c r="T725" s="637"/>
      <c r="U725" s="637"/>
      <c r="V725" s="637"/>
      <c r="W725" s="637"/>
      <c r="X725" s="637"/>
      <c r="Y725" s="637"/>
      <c r="Z725" s="637"/>
    </row>
    <row r="726" ht="11.25" customHeight="1">
      <c r="A726" s="637"/>
      <c r="B726" s="637"/>
      <c r="C726" s="637"/>
      <c r="D726" s="637"/>
      <c r="E726" s="637"/>
      <c r="F726" s="637"/>
      <c r="G726" s="637"/>
      <c r="H726" s="637"/>
      <c r="I726" s="637"/>
      <c r="J726" s="637"/>
      <c r="K726" s="637"/>
      <c r="L726" s="637"/>
      <c r="M726" s="637"/>
      <c r="N726" s="637"/>
      <c r="O726" s="637"/>
      <c r="P726" s="637"/>
      <c r="Q726" s="637"/>
      <c r="R726" s="637"/>
      <c r="S726" s="637"/>
      <c r="T726" s="637"/>
      <c r="U726" s="637"/>
      <c r="V726" s="637"/>
      <c r="W726" s="637"/>
      <c r="X726" s="637"/>
      <c r="Y726" s="637"/>
      <c r="Z726" s="637"/>
    </row>
    <row r="727" ht="11.25" customHeight="1">
      <c r="A727" s="637"/>
      <c r="B727" s="637"/>
      <c r="C727" s="637"/>
      <c r="D727" s="637"/>
      <c r="E727" s="637"/>
      <c r="F727" s="637"/>
      <c r="G727" s="637"/>
      <c r="H727" s="637"/>
      <c r="I727" s="637"/>
      <c r="J727" s="637"/>
      <c r="K727" s="637"/>
      <c r="L727" s="637"/>
      <c r="M727" s="637"/>
      <c r="N727" s="637"/>
      <c r="O727" s="637"/>
      <c r="P727" s="637"/>
      <c r="Q727" s="637"/>
      <c r="R727" s="637"/>
      <c r="S727" s="637"/>
      <c r="T727" s="637"/>
      <c r="U727" s="637"/>
      <c r="V727" s="637"/>
      <c r="W727" s="637"/>
      <c r="X727" s="637"/>
      <c r="Y727" s="637"/>
      <c r="Z727" s="637"/>
    </row>
    <row r="728" ht="11.25" customHeight="1">
      <c r="A728" s="637"/>
      <c r="B728" s="637"/>
      <c r="C728" s="637"/>
      <c r="D728" s="637"/>
      <c r="E728" s="637"/>
      <c r="F728" s="637"/>
      <c r="G728" s="637"/>
      <c r="H728" s="637"/>
      <c r="I728" s="637"/>
      <c r="J728" s="637"/>
      <c r="K728" s="637"/>
      <c r="L728" s="637"/>
      <c r="M728" s="637"/>
      <c r="N728" s="637"/>
      <c r="O728" s="637"/>
      <c r="P728" s="637"/>
      <c r="Q728" s="637"/>
      <c r="R728" s="637"/>
      <c r="S728" s="637"/>
      <c r="T728" s="637"/>
      <c r="U728" s="637"/>
      <c r="V728" s="637"/>
      <c r="W728" s="637"/>
      <c r="X728" s="637"/>
      <c r="Y728" s="637"/>
      <c r="Z728" s="637"/>
    </row>
    <row r="729" ht="11.25" customHeight="1">
      <c r="A729" s="637"/>
      <c r="B729" s="637"/>
      <c r="C729" s="637"/>
      <c r="D729" s="637"/>
      <c r="E729" s="637"/>
      <c r="F729" s="637"/>
      <c r="G729" s="637"/>
      <c r="H729" s="637"/>
      <c r="I729" s="637"/>
      <c r="J729" s="637"/>
      <c r="K729" s="637"/>
      <c r="L729" s="637"/>
      <c r="M729" s="637"/>
      <c r="N729" s="637"/>
      <c r="O729" s="637"/>
      <c r="P729" s="637"/>
      <c r="Q729" s="637"/>
      <c r="R729" s="637"/>
      <c r="S729" s="637"/>
      <c r="T729" s="637"/>
      <c r="U729" s="637"/>
      <c r="V729" s="637"/>
      <c r="W729" s="637"/>
      <c r="X729" s="637"/>
      <c r="Y729" s="637"/>
      <c r="Z729" s="637"/>
    </row>
    <row r="730" ht="11.25" customHeight="1">
      <c r="A730" s="637"/>
      <c r="B730" s="637"/>
      <c r="C730" s="637"/>
      <c r="D730" s="637"/>
      <c r="E730" s="637"/>
      <c r="F730" s="637"/>
      <c r="G730" s="637"/>
      <c r="H730" s="637"/>
      <c r="I730" s="637"/>
      <c r="J730" s="637"/>
      <c r="K730" s="637"/>
      <c r="L730" s="637"/>
      <c r="M730" s="637"/>
      <c r="N730" s="637"/>
      <c r="O730" s="637"/>
      <c r="P730" s="637"/>
      <c r="Q730" s="637"/>
      <c r="R730" s="637"/>
      <c r="S730" s="637"/>
      <c r="T730" s="637"/>
      <c r="U730" s="637"/>
      <c r="V730" s="637"/>
      <c r="W730" s="637"/>
      <c r="X730" s="637"/>
      <c r="Y730" s="637"/>
      <c r="Z730" s="637"/>
    </row>
    <row r="731" ht="11.25" customHeight="1">
      <c r="A731" s="637"/>
      <c r="B731" s="637"/>
      <c r="C731" s="637"/>
      <c r="D731" s="637"/>
      <c r="E731" s="637"/>
      <c r="F731" s="637"/>
      <c r="G731" s="637"/>
      <c r="H731" s="637"/>
      <c r="I731" s="637"/>
      <c r="J731" s="637"/>
      <c r="K731" s="637"/>
      <c r="L731" s="637"/>
      <c r="M731" s="637"/>
      <c r="N731" s="637"/>
      <c r="O731" s="637"/>
      <c r="P731" s="637"/>
      <c r="Q731" s="637"/>
      <c r="R731" s="637"/>
      <c r="S731" s="637"/>
      <c r="T731" s="637"/>
      <c r="U731" s="637"/>
      <c r="V731" s="637"/>
      <c r="W731" s="637"/>
      <c r="X731" s="637"/>
      <c r="Y731" s="637"/>
      <c r="Z731" s="637"/>
    </row>
    <row r="732" ht="11.25" customHeight="1">
      <c r="A732" s="637"/>
      <c r="B732" s="637"/>
      <c r="C732" s="637"/>
      <c r="D732" s="637"/>
      <c r="E732" s="637"/>
      <c r="F732" s="637"/>
      <c r="G732" s="637"/>
      <c r="H732" s="637"/>
      <c r="I732" s="637"/>
      <c r="J732" s="637"/>
      <c r="K732" s="637"/>
      <c r="L732" s="637"/>
      <c r="M732" s="637"/>
      <c r="N732" s="637"/>
      <c r="O732" s="637"/>
      <c r="P732" s="637"/>
      <c r="Q732" s="637"/>
      <c r="R732" s="637"/>
      <c r="S732" s="637"/>
      <c r="T732" s="637"/>
      <c r="U732" s="637"/>
      <c r="V732" s="637"/>
      <c r="W732" s="637"/>
      <c r="X732" s="637"/>
      <c r="Y732" s="637"/>
      <c r="Z732" s="637"/>
    </row>
    <row r="733" ht="11.25" customHeight="1">
      <c r="A733" s="637"/>
      <c r="B733" s="637"/>
      <c r="C733" s="637"/>
      <c r="D733" s="637"/>
      <c r="E733" s="637"/>
      <c r="F733" s="637"/>
      <c r="G733" s="637"/>
      <c r="H733" s="637"/>
      <c r="I733" s="637"/>
      <c r="J733" s="637"/>
      <c r="K733" s="637"/>
      <c r="L733" s="637"/>
      <c r="M733" s="637"/>
      <c r="N733" s="637"/>
      <c r="O733" s="637"/>
      <c r="P733" s="637"/>
      <c r="Q733" s="637"/>
      <c r="R733" s="637"/>
      <c r="S733" s="637"/>
      <c r="T733" s="637"/>
      <c r="U733" s="637"/>
      <c r="V733" s="637"/>
      <c r="W733" s="637"/>
      <c r="X733" s="637"/>
      <c r="Y733" s="637"/>
      <c r="Z733" s="637"/>
    </row>
    <row r="734" ht="11.25" customHeight="1">
      <c r="A734" s="637"/>
      <c r="B734" s="637"/>
      <c r="C734" s="637"/>
      <c r="D734" s="637"/>
      <c r="E734" s="637"/>
      <c r="F734" s="637"/>
      <c r="G734" s="637"/>
      <c r="H734" s="637"/>
      <c r="I734" s="637"/>
      <c r="J734" s="637"/>
      <c r="K734" s="637"/>
      <c r="L734" s="637"/>
      <c r="M734" s="637"/>
      <c r="N734" s="637"/>
      <c r="O734" s="637"/>
      <c r="P734" s="637"/>
      <c r="Q734" s="637"/>
      <c r="R734" s="637"/>
      <c r="S734" s="637"/>
      <c r="T734" s="637"/>
      <c r="U734" s="637"/>
      <c r="V734" s="637"/>
      <c r="W734" s="637"/>
      <c r="X734" s="637"/>
      <c r="Y734" s="637"/>
      <c r="Z734" s="637"/>
    </row>
    <row r="735" ht="11.25" customHeight="1">
      <c r="A735" s="637"/>
      <c r="B735" s="637"/>
      <c r="C735" s="637"/>
      <c r="D735" s="637"/>
      <c r="E735" s="637"/>
      <c r="F735" s="637"/>
      <c r="G735" s="637"/>
      <c r="H735" s="637"/>
      <c r="I735" s="637"/>
      <c r="J735" s="637"/>
      <c r="K735" s="637"/>
      <c r="L735" s="637"/>
      <c r="M735" s="637"/>
      <c r="N735" s="637"/>
      <c r="O735" s="637"/>
      <c r="P735" s="637"/>
      <c r="Q735" s="637"/>
      <c r="R735" s="637"/>
      <c r="S735" s="637"/>
      <c r="T735" s="637"/>
      <c r="U735" s="637"/>
      <c r="V735" s="637"/>
      <c r="W735" s="637"/>
      <c r="X735" s="637"/>
      <c r="Y735" s="637"/>
      <c r="Z735" s="637"/>
    </row>
    <row r="736" ht="11.25" customHeight="1">
      <c r="A736" s="637"/>
      <c r="B736" s="637"/>
      <c r="C736" s="637"/>
      <c r="D736" s="637"/>
      <c r="E736" s="637"/>
      <c r="F736" s="637"/>
      <c r="G736" s="637"/>
      <c r="H736" s="637"/>
      <c r="I736" s="637"/>
      <c r="J736" s="637"/>
      <c r="K736" s="637"/>
      <c r="L736" s="637"/>
      <c r="M736" s="637"/>
      <c r="N736" s="637"/>
      <c r="O736" s="637"/>
      <c r="P736" s="637"/>
      <c r="Q736" s="637"/>
      <c r="R736" s="637"/>
      <c r="S736" s="637"/>
      <c r="T736" s="637"/>
      <c r="U736" s="637"/>
      <c r="V736" s="637"/>
      <c r="W736" s="637"/>
      <c r="X736" s="637"/>
      <c r="Y736" s="637"/>
      <c r="Z736" s="637"/>
    </row>
    <row r="737" ht="11.25" customHeight="1">
      <c r="A737" s="637"/>
      <c r="B737" s="637"/>
      <c r="C737" s="637"/>
      <c r="D737" s="637"/>
      <c r="E737" s="637"/>
      <c r="F737" s="637"/>
      <c r="G737" s="637"/>
      <c r="H737" s="637"/>
      <c r="I737" s="637"/>
      <c r="J737" s="637"/>
      <c r="K737" s="637"/>
      <c r="L737" s="637"/>
      <c r="M737" s="637"/>
      <c r="N737" s="637"/>
      <c r="O737" s="637"/>
      <c r="P737" s="637"/>
      <c r="Q737" s="637"/>
      <c r="R737" s="637"/>
      <c r="S737" s="637"/>
      <c r="T737" s="637"/>
      <c r="U737" s="637"/>
      <c r="V737" s="637"/>
      <c r="W737" s="637"/>
      <c r="X737" s="637"/>
      <c r="Y737" s="637"/>
      <c r="Z737" s="637"/>
    </row>
    <row r="738" ht="11.25" customHeight="1">
      <c r="A738" s="637"/>
      <c r="B738" s="637"/>
      <c r="C738" s="637"/>
      <c r="D738" s="637"/>
      <c r="E738" s="637"/>
      <c r="F738" s="637"/>
      <c r="G738" s="637"/>
      <c r="H738" s="637"/>
      <c r="I738" s="637"/>
      <c r="J738" s="637"/>
      <c r="K738" s="637"/>
      <c r="L738" s="637"/>
      <c r="M738" s="637"/>
      <c r="N738" s="637"/>
      <c r="O738" s="637"/>
      <c r="P738" s="637"/>
      <c r="Q738" s="637"/>
      <c r="R738" s="637"/>
      <c r="S738" s="637"/>
      <c r="T738" s="637"/>
      <c r="U738" s="637"/>
      <c r="V738" s="637"/>
      <c r="W738" s="637"/>
      <c r="X738" s="637"/>
      <c r="Y738" s="637"/>
      <c r="Z738" s="637"/>
    </row>
    <row r="739" ht="11.25" customHeight="1">
      <c r="A739" s="637"/>
      <c r="B739" s="637"/>
      <c r="C739" s="637"/>
      <c r="D739" s="637"/>
      <c r="E739" s="637"/>
      <c r="F739" s="637"/>
      <c r="G739" s="637"/>
      <c r="H739" s="637"/>
      <c r="I739" s="637"/>
      <c r="J739" s="637"/>
      <c r="K739" s="637"/>
      <c r="L739" s="637"/>
      <c r="M739" s="637"/>
      <c r="N739" s="637"/>
      <c r="O739" s="637"/>
      <c r="P739" s="637"/>
      <c r="Q739" s="637"/>
      <c r="R739" s="637"/>
      <c r="S739" s="637"/>
      <c r="T739" s="637"/>
      <c r="U739" s="637"/>
      <c r="V739" s="637"/>
      <c r="W739" s="637"/>
      <c r="X739" s="637"/>
      <c r="Y739" s="637"/>
      <c r="Z739" s="637"/>
    </row>
    <row r="740" ht="11.25" customHeight="1">
      <c r="A740" s="637"/>
      <c r="B740" s="637"/>
      <c r="C740" s="637"/>
      <c r="D740" s="637"/>
      <c r="E740" s="637"/>
      <c r="F740" s="637"/>
      <c r="G740" s="637"/>
      <c r="H740" s="637"/>
      <c r="I740" s="637"/>
      <c r="J740" s="637"/>
      <c r="K740" s="637"/>
      <c r="L740" s="637"/>
      <c r="M740" s="637"/>
      <c r="N740" s="637"/>
      <c r="O740" s="637"/>
      <c r="P740" s="637"/>
      <c r="Q740" s="637"/>
      <c r="R740" s="637"/>
      <c r="S740" s="637"/>
      <c r="T740" s="637"/>
      <c r="U740" s="637"/>
      <c r="V740" s="637"/>
      <c r="W740" s="637"/>
      <c r="X740" s="637"/>
      <c r="Y740" s="637"/>
      <c r="Z740" s="637"/>
    </row>
    <row r="741" ht="11.25" customHeight="1">
      <c r="A741" s="637"/>
      <c r="B741" s="637"/>
      <c r="C741" s="637"/>
      <c r="D741" s="637"/>
      <c r="E741" s="637"/>
      <c r="F741" s="637"/>
      <c r="G741" s="637"/>
      <c r="H741" s="637"/>
      <c r="I741" s="637"/>
      <c r="J741" s="637"/>
      <c r="K741" s="637"/>
      <c r="L741" s="637"/>
      <c r="M741" s="637"/>
      <c r="N741" s="637"/>
      <c r="O741" s="637"/>
      <c r="P741" s="637"/>
      <c r="Q741" s="637"/>
      <c r="R741" s="637"/>
      <c r="S741" s="637"/>
      <c r="T741" s="637"/>
      <c r="U741" s="637"/>
      <c r="V741" s="637"/>
      <c r="W741" s="637"/>
      <c r="X741" s="637"/>
      <c r="Y741" s="637"/>
      <c r="Z741" s="637"/>
    </row>
    <row r="742" ht="11.25" customHeight="1">
      <c r="A742" s="637"/>
      <c r="B742" s="637"/>
      <c r="C742" s="637"/>
      <c r="D742" s="637"/>
      <c r="E742" s="637"/>
      <c r="F742" s="637"/>
      <c r="G742" s="637"/>
      <c r="H742" s="637"/>
      <c r="I742" s="637"/>
      <c r="J742" s="637"/>
      <c r="K742" s="637"/>
      <c r="L742" s="637"/>
      <c r="M742" s="637"/>
      <c r="N742" s="637"/>
      <c r="O742" s="637"/>
      <c r="P742" s="637"/>
      <c r="Q742" s="637"/>
      <c r="R742" s="637"/>
      <c r="S742" s="637"/>
      <c r="T742" s="637"/>
      <c r="U742" s="637"/>
      <c r="V742" s="637"/>
      <c r="W742" s="637"/>
      <c r="X742" s="637"/>
      <c r="Y742" s="637"/>
      <c r="Z742" s="637"/>
    </row>
    <row r="743" ht="11.25" customHeight="1">
      <c r="A743" s="637"/>
      <c r="B743" s="637"/>
      <c r="C743" s="637"/>
      <c r="D743" s="637"/>
      <c r="E743" s="637"/>
      <c r="F743" s="637"/>
      <c r="G743" s="637"/>
      <c r="H743" s="637"/>
      <c r="I743" s="637"/>
      <c r="J743" s="637"/>
      <c r="K743" s="637"/>
      <c r="L743" s="637"/>
      <c r="M743" s="637"/>
      <c r="N743" s="637"/>
      <c r="O743" s="637"/>
      <c r="P743" s="637"/>
      <c r="Q743" s="637"/>
      <c r="R743" s="637"/>
      <c r="S743" s="637"/>
      <c r="T743" s="637"/>
      <c r="U743" s="637"/>
      <c r="V743" s="637"/>
      <c r="W743" s="637"/>
      <c r="X743" s="637"/>
      <c r="Y743" s="637"/>
      <c r="Z743" s="637"/>
    </row>
    <row r="744" ht="11.25" customHeight="1">
      <c r="A744" s="637"/>
      <c r="B744" s="637"/>
      <c r="C744" s="637"/>
      <c r="D744" s="637"/>
      <c r="E744" s="637"/>
      <c r="F744" s="637"/>
      <c r="G744" s="637"/>
      <c r="H744" s="637"/>
      <c r="I744" s="637"/>
      <c r="J744" s="637"/>
      <c r="K744" s="637"/>
      <c r="L744" s="637"/>
      <c r="M744" s="637"/>
      <c r="N744" s="637"/>
      <c r="O744" s="637"/>
      <c r="P744" s="637"/>
      <c r="Q744" s="637"/>
      <c r="R744" s="637"/>
      <c r="S744" s="637"/>
      <c r="T744" s="637"/>
      <c r="U744" s="637"/>
      <c r="V744" s="637"/>
      <c r="W744" s="637"/>
      <c r="X744" s="637"/>
      <c r="Y744" s="637"/>
      <c r="Z744" s="637"/>
    </row>
    <row r="745" ht="11.25" customHeight="1">
      <c r="A745" s="637"/>
      <c r="B745" s="637"/>
      <c r="C745" s="637"/>
      <c r="D745" s="637"/>
      <c r="E745" s="637"/>
      <c r="F745" s="637"/>
      <c r="G745" s="637"/>
      <c r="H745" s="637"/>
      <c r="I745" s="637"/>
      <c r="J745" s="637"/>
      <c r="K745" s="637"/>
      <c r="L745" s="637"/>
      <c r="M745" s="637"/>
      <c r="N745" s="637"/>
      <c r="O745" s="637"/>
      <c r="P745" s="637"/>
      <c r="Q745" s="637"/>
      <c r="R745" s="637"/>
      <c r="S745" s="637"/>
      <c r="T745" s="637"/>
      <c r="U745" s="637"/>
      <c r="V745" s="637"/>
      <c r="W745" s="637"/>
      <c r="X745" s="637"/>
      <c r="Y745" s="637"/>
      <c r="Z745" s="637"/>
    </row>
    <row r="746" ht="11.25" customHeight="1">
      <c r="A746" s="637"/>
      <c r="B746" s="637"/>
      <c r="C746" s="637"/>
      <c r="D746" s="637"/>
      <c r="E746" s="637"/>
      <c r="F746" s="637"/>
      <c r="G746" s="637"/>
      <c r="H746" s="637"/>
      <c r="I746" s="637"/>
      <c r="J746" s="637"/>
      <c r="K746" s="637"/>
      <c r="L746" s="637"/>
      <c r="M746" s="637"/>
      <c r="N746" s="637"/>
      <c r="O746" s="637"/>
      <c r="P746" s="637"/>
      <c r="Q746" s="637"/>
      <c r="R746" s="637"/>
      <c r="S746" s="637"/>
      <c r="T746" s="637"/>
      <c r="U746" s="637"/>
      <c r="V746" s="637"/>
      <c r="W746" s="637"/>
      <c r="X746" s="637"/>
      <c r="Y746" s="637"/>
      <c r="Z746" s="637"/>
    </row>
    <row r="747" ht="11.25" customHeight="1">
      <c r="A747" s="637"/>
      <c r="B747" s="637"/>
      <c r="C747" s="637"/>
      <c r="D747" s="637"/>
      <c r="E747" s="637"/>
      <c r="F747" s="637"/>
      <c r="G747" s="637"/>
      <c r="H747" s="637"/>
      <c r="I747" s="637"/>
      <c r="J747" s="637"/>
      <c r="K747" s="637"/>
      <c r="L747" s="637"/>
      <c r="M747" s="637"/>
      <c r="N747" s="637"/>
      <c r="O747" s="637"/>
      <c r="P747" s="637"/>
      <c r="Q747" s="637"/>
      <c r="R747" s="637"/>
      <c r="S747" s="637"/>
      <c r="T747" s="637"/>
      <c r="U747" s="637"/>
      <c r="V747" s="637"/>
      <c r="W747" s="637"/>
      <c r="X747" s="637"/>
      <c r="Y747" s="637"/>
      <c r="Z747" s="637"/>
    </row>
    <row r="748" ht="11.25" customHeight="1">
      <c r="A748" s="637"/>
      <c r="B748" s="637"/>
      <c r="C748" s="637"/>
      <c r="D748" s="637"/>
      <c r="E748" s="637"/>
      <c r="F748" s="637"/>
      <c r="G748" s="637"/>
      <c r="H748" s="637"/>
      <c r="I748" s="637"/>
      <c r="J748" s="637"/>
      <c r="K748" s="637"/>
      <c r="L748" s="637"/>
      <c r="M748" s="637"/>
      <c r="N748" s="637"/>
      <c r="O748" s="637"/>
      <c r="P748" s="637"/>
      <c r="Q748" s="637"/>
      <c r="R748" s="637"/>
      <c r="S748" s="637"/>
      <c r="T748" s="637"/>
      <c r="U748" s="637"/>
      <c r="V748" s="637"/>
      <c r="W748" s="637"/>
      <c r="X748" s="637"/>
      <c r="Y748" s="637"/>
      <c r="Z748" s="637"/>
    </row>
    <row r="749" ht="11.25" customHeight="1">
      <c r="A749" s="637"/>
      <c r="B749" s="637"/>
      <c r="C749" s="637"/>
      <c r="D749" s="637"/>
      <c r="E749" s="637"/>
      <c r="F749" s="637"/>
      <c r="G749" s="637"/>
      <c r="H749" s="637"/>
      <c r="I749" s="637"/>
      <c r="J749" s="637"/>
      <c r="K749" s="637"/>
      <c r="L749" s="637"/>
      <c r="M749" s="637"/>
      <c r="N749" s="637"/>
      <c r="O749" s="637"/>
      <c r="P749" s="637"/>
      <c r="Q749" s="637"/>
      <c r="R749" s="637"/>
      <c r="S749" s="637"/>
      <c r="T749" s="637"/>
      <c r="U749" s="637"/>
      <c r="V749" s="637"/>
      <c r="W749" s="637"/>
      <c r="X749" s="637"/>
      <c r="Y749" s="637"/>
      <c r="Z749" s="637"/>
    </row>
    <row r="750" ht="11.25" customHeight="1">
      <c r="A750" s="637"/>
      <c r="B750" s="637"/>
      <c r="C750" s="637"/>
      <c r="D750" s="637"/>
      <c r="E750" s="637"/>
      <c r="F750" s="637"/>
      <c r="G750" s="637"/>
      <c r="H750" s="637"/>
      <c r="I750" s="637"/>
      <c r="J750" s="637"/>
      <c r="K750" s="637"/>
      <c r="L750" s="637"/>
      <c r="M750" s="637"/>
      <c r="N750" s="637"/>
      <c r="O750" s="637"/>
      <c r="P750" s="637"/>
      <c r="Q750" s="637"/>
      <c r="R750" s="637"/>
      <c r="S750" s="637"/>
      <c r="T750" s="637"/>
      <c r="U750" s="637"/>
      <c r="V750" s="637"/>
      <c r="W750" s="637"/>
      <c r="X750" s="637"/>
      <c r="Y750" s="637"/>
      <c r="Z750" s="637"/>
    </row>
    <row r="751" ht="11.25" customHeight="1">
      <c r="A751" s="637"/>
      <c r="B751" s="637"/>
      <c r="C751" s="637"/>
      <c r="D751" s="637"/>
      <c r="E751" s="637"/>
      <c r="F751" s="637"/>
      <c r="G751" s="637"/>
      <c r="H751" s="637"/>
      <c r="I751" s="637"/>
      <c r="J751" s="637"/>
      <c r="K751" s="637"/>
      <c r="L751" s="637"/>
      <c r="M751" s="637"/>
      <c r="N751" s="637"/>
      <c r="O751" s="637"/>
      <c r="P751" s="637"/>
      <c r="Q751" s="637"/>
      <c r="R751" s="637"/>
      <c r="S751" s="637"/>
      <c r="T751" s="637"/>
      <c r="U751" s="637"/>
      <c r="V751" s="637"/>
      <c r="W751" s="637"/>
      <c r="X751" s="637"/>
      <c r="Y751" s="637"/>
      <c r="Z751" s="637"/>
    </row>
    <row r="752" ht="11.25" customHeight="1">
      <c r="A752" s="637"/>
      <c r="B752" s="637"/>
      <c r="C752" s="637"/>
      <c r="D752" s="637"/>
      <c r="E752" s="637"/>
      <c r="F752" s="637"/>
      <c r="G752" s="637"/>
      <c r="H752" s="637"/>
      <c r="I752" s="637"/>
      <c r="J752" s="637"/>
      <c r="K752" s="637"/>
      <c r="L752" s="637"/>
      <c r="M752" s="637"/>
      <c r="N752" s="637"/>
      <c r="O752" s="637"/>
      <c r="P752" s="637"/>
      <c r="Q752" s="637"/>
      <c r="R752" s="637"/>
      <c r="S752" s="637"/>
      <c r="T752" s="637"/>
      <c r="U752" s="637"/>
      <c r="V752" s="637"/>
      <c r="W752" s="637"/>
      <c r="X752" s="637"/>
      <c r="Y752" s="637"/>
      <c r="Z752" s="637"/>
    </row>
    <row r="753" ht="11.25" customHeight="1">
      <c r="A753" s="637"/>
      <c r="B753" s="637"/>
      <c r="C753" s="637"/>
      <c r="D753" s="637"/>
      <c r="E753" s="637"/>
      <c r="F753" s="637"/>
      <c r="G753" s="637"/>
      <c r="H753" s="637"/>
      <c r="I753" s="637"/>
      <c r="J753" s="637"/>
      <c r="K753" s="637"/>
      <c r="L753" s="637"/>
      <c r="M753" s="637"/>
      <c r="N753" s="637"/>
      <c r="O753" s="637"/>
      <c r="P753" s="637"/>
      <c r="Q753" s="637"/>
      <c r="R753" s="637"/>
      <c r="S753" s="637"/>
      <c r="T753" s="637"/>
      <c r="U753" s="637"/>
      <c r="V753" s="637"/>
      <c r="W753" s="637"/>
      <c r="X753" s="637"/>
      <c r="Y753" s="637"/>
      <c r="Z753" s="637"/>
    </row>
    <row r="754" ht="11.25" customHeight="1">
      <c r="A754" s="637"/>
      <c r="B754" s="637"/>
      <c r="C754" s="637"/>
      <c r="D754" s="637"/>
      <c r="E754" s="637"/>
      <c r="F754" s="637"/>
      <c r="G754" s="637"/>
      <c r="H754" s="637"/>
      <c r="I754" s="637"/>
      <c r="J754" s="637"/>
      <c r="K754" s="637"/>
      <c r="L754" s="637"/>
      <c r="M754" s="637"/>
      <c r="N754" s="637"/>
      <c r="O754" s="637"/>
      <c r="P754" s="637"/>
      <c r="Q754" s="637"/>
      <c r="R754" s="637"/>
      <c r="S754" s="637"/>
      <c r="T754" s="637"/>
      <c r="U754" s="637"/>
      <c r="V754" s="637"/>
      <c r="W754" s="637"/>
      <c r="X754" s="637"/>
      <c r="Y754" s="637"/>
      <c r="Z754" s="637"/>
    </row>
    <row r="755" ht="11.25" customHeight="1">
      <c r="A755" s="637"/>
      <c r="B755" s="637"/>
      <c r="C755" s="637"/>
      <c r="D755" s="637"/>
      <c r="E755" s="637"/>
      <c r="F755" s="637"/>
      <c r="G755" s="637"/>
      <c r="H755" s="637"/>
      <c r="I755" s="637"/>
      <c r="J755" s="637"/>
      <c r="K755" s="637"/>
      <c r="L755" s="637"/>
      <c r="M755" s="637"/>
      <c r="N755" s="637"/>
      <c r="O755" s="637"/>
      <c r="P755" s="637"/>
      <c r="Q755" s="637"/>
      <c r="R755" s="637"/>
      <c r="S755" s="637"/>
      <c r="T755" s="637"/>
      <c r="U755" s="637"/>
      <c r="V755" s="637"/>
      <c r="W755" s="637"/>
      <c r="X755" s="637"/>
      <c r="Y755" s="637"/>
      <c r="Z755" s="637"/>
    </row>
    <row r="756" ht="11.25" customHeight="1">
      <c r="A756" s="637"/>
      <c r="B756" s="637"/>
      <c r="C756" s="637"/>
      <c r="D756" s="637"/>
      <c r="E756" s="637"/>
      <c r="F756" s="637"/>
      <c r="G756" s="637"/>
      <c r="H756" s="637"/>
      <c r="I756" s="637"/>
      <c r="J756" s="637"/>
      <c r="K756" s="637"/>
      <c r="L756" s="637"/>
      <c r="M756" s="637"/>
      <c r="N756" s="637"/>
      <c r="O756" s="637"/>
      <c r="P756" s="637"/>
      <c r="Q756" s="637"/>
      <c r="R756" s="637"/>
      <c r="S756" s="637"/>
      <c r="T756" s="637"/>
      <c r="U756" s="637"/>
      <c r="V756" s="637"/>
      <c r="W756" s="637"/>
      <c r="X756" s="637"/>
      <c r="Y756" s="637"/>
      <c r="Z756" s="637"/>
    </row>
    <row r="757" ht="11.25" customHeight="1">
      <c r="A757" s="637"/>
      <c r="B757" s="637"/>
      <c r="C757" s="637"/>
      <c r="D757" s="637"/>
      <c r="E757" s="637"/>
      <c r="F757" s="637"/>
      <c r="G757" s="637"/>
      <c r="H757" s="637"/>
      <c r="I757" s="637"/>
      <c r="J757" s="637"/>
      <c r="K757" s="637"/>
      <c r="L757" s="637"/>
      <c r="M757" s="637"/>
      <c r="N757" s="637"/>
      <c r="O757" s="637"/>
      <c r="P757" s="637"/>
      <c r="Q757" s="637"/>
      <c r="R757" s="637"/>
      <c r="S757" s="637"/>
      <c r="T757" s="637"/>
      <c r="U757" s="637"/>
      <c r="V757" s="637"/>
      <c r="W757" s="637"/>
      <c r="X757" s="637"/>
      <c r="Y757" s="637"/>
      <c r="Z757" s="637"/>
    </row>
    <row r="758" ht="11.25" customHeight="1">
      <c r="A758" s="637"/>
      <c r="B758" s="637"/>
      <c r="C758" s="637"/>
      <c r="D758" s="637"/>
      <c r="E758" s="637"/>
      <c r="F758" s="637"/>
      <c r="G758" s="637"/>
      <c r="H758" s="637"/>
      <c r="I758" s="637"/>
      <c r="J758" s="637"/>
      <c r="K758" s="637"/>
      <c r="L758" s="637"/>
      <c r="M758" s="637"/>
      <c r="N758" s="637"/>
      <c r="O758" s="637"/>
      <c r="P758" s="637"/>
      <c r="Q758" s="637"/>
      <c r="R758" s="637"/>
      <c r="S758" s="637"/>
      <c r="T758" s="637"/>
      <c r="U758" s="637"/>
      <c r="V758" s="637"/>
      <c r="W758" s="637"/>
      <c r="X758" s="637"/>
      <c r="Y758" s="637"/>
      <c r="Z758" s="637"/>
    </row>
    <row r="759" ht="11.25" customHeight="1">
      <c r="A759" s="637"/>
      <c r="B759" s="637"/>
      <c r="C759" s="637"/>
      <c r="D759" s="637"/>
      <c r="E759" s="637"/>
      <c r="F759" s="637"/>
      <c r="G759" s="637"/>
      <c r="H759" s="637"/>
      <c r="I759" s="637"/>
      <c r="J759" s="637"/>
      <c r="K759" s="637"/>
      <c r="L759" s="637"/>
      <c r="M759" s="637"/>
      <c r="N759" s="637"/>
      <c r="O759" s="637"/>
      <c r="P759" s="637"/>
      <c r="Q759" s="637"/>
      <c r="R759" s="637"/>
      <c r="S759" s="637"/>
      <c r="T759" s="637"/>
      <c r="U759" s="637"/>
      <c r="V759" s="637"/>
      <c r="W759" s="637"/>
      <c r="X759" s="637"/>
      <c r="Y759" s="637"/>
      <c r="Z759" s="637"/>
    </row>
    <row r="760" ht="11.25" customHeight="1">
      <c r="A760" s="637"/>
      <c r="B760" s="637"/>
      <c r="C760" s="637"/>
      <c r="D760" s="637"/>
      <c r="E760" s="637"/>
      <c r="F760" s="637"/>
      <c r="G760" s="637"/>
      <c r="H760" s="637"/>
      <c r="I760" s="637"/>
      <c r="J760" s="637"/>
      <c r="K760" s="637"/>
      <c r="L760" s="637"/>
      <c r="M760" s="637"/>
      <c r="N760" s="637"/>
      <c r="O760" s="637"/>
      <c r="P760" s="637"/>
      <c r="Q760" s="637"/>
      <c r="R760" s="637"/>
      <c r="S760" s="637"/>
      <c r="T760" s="637"/>
      <c r="U760" s="637"/>
      <c r="V760" s="637"/>
      <c r="W760" s="637"/>
      <c r="X760" s="637"/>
      <c r="Y760" s="637"/>
      <c r="Z760" s="637"/>
    </row>
    <row r="761" ht="11.25" customHeight="1">
      <c r="A761" s="637"/>
      <c r="B761" s="637"/>
      <c r="C761" s="637"/>
      <c r="D761" s="637"/>
      <c r="E761" s="637"/>
      <c r="F761" s="637"/>
      <c r="G761" s="637"/>
      <c r="H761" s="637"/>
      <c r="I761" s="637"/>
      <c r="J761" s="637"/>
      <c r="K761" s="637"/>
      <c r="L761" s="637"/>
      <c r="M761" s="637"/>
      <c r="N761" s="637"/>
      <c r="O761" s="637"/>
      <c r="P761" s="637"/>
      <c r="Q761" s="637"/>
      <c r="R761" s="637"/>
      <c r="S761" s="637"/>
      <c r="T761" s="637"/>
      <c r="U761" s="637"/>
      <c r="V761" s="637"/>
      <c r="W761" s="637"/>
      <c r="X761" s="637"/>
      <c r="Y761" s="637"/>
      <c r="Z761" s="637"/>
    </row>
    <row r="762" ht="11.25" customHeight="1">
      <c r="A762" s="637"/>
      <c r="B762" s="637"/>
      <c r="C762" s="637"/>
      <c r="D762" s="637"/>
      <c r="E762" s="637"/>
      <c r="F762" s="637"/>
      <c r="G762" s="637"/>
      <c r="H762" s="637"/>
      <c r="I762" s="637"/>
      <c r="J762" s="637"/>
      <c r="K762" s="637"/>
      <c r="L762" s="637"/>
      <c r="M762" s="637"/>
      <c r="N762" s="637"/>
      <c r="O762" s="637"/>
      <c r="P762" s="637"/>
      <c r="Q762" s="637"/>
      <c r="R762" s="637"/>
      <c r="S762" s="637"/>
      <c r="T762" s="637"/>
      <c r="U762" s="637"/>
      <c r="V762" s="637"/>
      <c r="W762" s="637"/>
      <c r="X762" s="637"/>
      <c r="Y762" s="637"/>
      <c r="Z762" s="637"/>
    </row>
    <row r="763" ht="11.25" customHeight="1">
      <c r="A763" s="637"/>
      <c r="B763" s="637"/>
      <c r="C763" s="637"/>
      <c r="D763" s="637"/>
      <c r="E763" s="637"/>
      <c r="F763" s="637"/>
      <c r="G763" s="637"/>
      <c r="H763" s="637"/>
      <c r="I763" s="637"/>
      <c r="J763" s="637"/>
      <c r="K763" s="637"/>
      <c r="L763" s="637"/>
      <c r="M763" s="637"/>
      <c r="N763" s="637"/>
      <c r="O763" s="637"/>
      <c r="P763" s="637"/>
      <c r="Q763" s="637"/>
      <c r="R763" s="637"/>
      <c r="S763" s="637"/>
      <c r="T763" s="637"/>
      <c r="U763" s="637"/>
      <c r="V763" s="637"/>
      <c r="W763" s="637"/>
      <c r="X763" s="637"/>
      <c r="Y763" s="637"/>
      <c r="Z763" s="637"/>
    </row>
    <row r="764" ht="11.25" customHeight="1">
      <c r="A764" s="637"/>
      <c r="B764" s="637"/>
      <c r="C764" s="637"/>
      <c r="D764" s="637"/>
      <c r="E764" s="637"/>
      <c r="F764" s="637"/>
      <c r="G764" s="637"/>
      <c r="H764" s="637"/>
      <c r="I764" s="637"/>
      <c r="J764" s="637"/>
      <c r="K764" s="637"/>
      <c r="L764" s="637"/>
      <c r="M764" s="637"/>
      <c r="N764" s="637"/>
      <c r="O764" s="637"/>
      <c r="P764" s="637"/>
      <c r="Q764" s="637"/>
      <c r="R764" s="637"/>
      <c r="S764" s="637"/>
      <c r="T764" s="637"/>
      <c r="U764" s="637"/>
      <c r="V764" s="637"/>
      <c r="W764" s="637"/>
      <c r="X764" s="637"/>
      <c r="Y764" s="637"/>
      <c r="Z764" s="637"/>
    </row>
    <row r="765" ht="11.25" customHeight="1">
      <c r="A765" s="637"/>
      <c r="B765" s="637"/>
      <c r="C765" s="637"/>
      <c r="D765" s="637"/>
      <c r="E765" s="637"/>
      <c r="F765" s="637"/>
      <c r="G765" s="637"/>
      <c r="H765" s="637"/>
      <c r="I765" s="637"/>
      <c r="J765" s="637"/>
      <c r="K765" s="637"/>
      <c r="L765" s="637"/>
      <c r="M765" s="637"/>
      <c r="N765" s="637"/>
      <c r="O765" s="637"/>
      <c r="P765" s="637"/>
      <c r="Q765" s="637"/>
      <c r="R765" s="637"/>
      <c r="S765" s="637"/>
      <c r="T765" s="637"/>
      <c r="U765" s="637"/>
      <c r="V765" s="637"/>
      <c r="W765" s="637"/>
      <c r="X765" s="637"/>
      <c r="Y765" s="637"/>
      <c r="Z765" s="637"/>
    </row>
    <row r="766" ht="11.25" customHeight="1">
      <c r="A766" s="637"/>
      <c r="B766" s="637"/>
      <c r="C766" s="637"/>
      <c r="D766" s="637"/>
      <c r="E766" s="637"/>
      <c r="F766" s="637"/>
      <c r="G766" s="637"/>
      <c r="H766" s="637"/>
      <c r="I766" s="637"/>
      <c r="J766" s="637"/>
      <c r="K766" s="637"/>
      <c r="L766" s="637"/>
      <c r="M766" s="637"/>
      <c r="N766" s="637"/>
      <c r="O766" s="637"/>
      <c r="P766" s="637"/>
      <c r="Q766" s="637"/>
      <c r="R766" s="637"/>
      <c r="S766" s="637"/>
      <c r="T766" s="637"/>
      <c r="U766" s="637"/>
      <c r="V766" s="637"/>
      <c r="W766" s="637"/>
      <c r="X766" s="637"/>
      <c r="Y766" s="637"/>
      <c r="Z766" s="637"/>
    </row>
    <row r="767" ht="11.25" customHeight="1">
      <c r="A767" s="637"/>
      <c r="B767" s="637"/>
      <c r="C767" s="637"/>
      <c r="D767" s="637"/>
      <c r="E767" s="637"/>
      <c r="F767" s="637"/>
      <c r="G767" s="637"/>
      <c r="H767" s="637"/>
      <c r="I767" s="637"/>
      <c r="J767" s="637"/>
      <c r="K767" s="637"/>
      <c r="L767" s="637"/>
      <c r="M767" s="637"/>
      <c r="N767" s="637"/>
      <c r="O767" s="637"/>
      <c r="P767" s="637"/>
      <c r="Q767" s="637"/>
      <c r="R767" s="637"/>
      <c r="S767" s="637"/>
      <c r="T767" s="637"/>
      <c r="U767" s="637"/>
      <c r="V767" s="637"/>
      <c r="W767" s="637"/>
      <c r="X767" s="637"/>
      <c r="Y767" s="637"/>
      <c r="Z767" s="637"/>
    </row>
    <row r="768" ht="11.25" customHeight="1">
      <c r="A768" s="637"/>
      <c r="B768" s="637"/>
      <c r="C768" s="637"/>
      <c r="D768" s="637"/>
      <c r="E768" s="637"/>
      <c r="F768" s="637"/>
      <c r="G768" s="637"/>
      <c r="H768" s="637"/>
      <c r="I768" s="637"/>
      <c r="J768" s="637"/>
      <c r="K768" s="637"/>
      <c r="L768" s="637"/>
      <c r="M768" s="637"/>
      <c r="N768" s="637"/>
      <c r="O768" s="637"/>
      <c r="P768" s="637"/>
      <c r="Q768" s="637"/>
      <c r="R768" s="637"/>
      <c r="S768" s="637"/>
      <c r="T768" s="637"/>
      <c r="U768" s="637"/>
      <c r="V768" s="637"/>
      <c r="W768" s="637"/>
      <c r="X768" s="637"/>
      <c r="Y768" s="637"/>
      <c r="Z768" s="637"/>
    </row>
    <row r="769" ht="11.25" customHeight="1">
      <c r="A769" s="637"/>
      <c r="B769" s="637"/>
      <c r="C769" s="637"/>
      <c r="D769" s="637"/>
      <c r="E769" s="637"/>
      <c r="F769" s="637"/>
      <c r="G769" s="637"/>
      <c r="H769" s="637"/>
      <c r="I769" s="637"/>
      <c r="J769" s="637"/>
      <c r="K769" s="637"/>
      <c r="L769" s="637"/>
      <c r="M769" s="637"/>
      <c r="N769" s="637"/>
      <c r="O769" s="637"/>
      <c r="P769" s="637"/>
      <c r="Q769" s="637"/>
      <c r="R769" s="637"/>
      <c r="S769" s="637"/>
      <c r="T769" s="637"/>
      <c r="U769" s="637"/>
      <c r="V769" s="637"/>
      <c r="W769" s="637"/>
      <c r="X769" s="637"/>
      <c r="Y769" s="637"/>
      <c r="Z769" s="637"/>
    </row>
    <row r="770" ht="11.25" customHeight="1">
      <c r="A770" s="637"/>
      <c r="B770" s="637"/>
      <c r="C770" s="637"/>
      <c r="D770" s="637"/>
      <c r="E770" s="637"/>
      <c r="F770" s="637"/>
      <c r="G770" s="637"/>
      <c r="H770" s="637"/>
      <c r="I770" s="637"/>
      <c r="J770" s="637"/>
      <c r="K770" s="637"/>
      <c r="L770" s="637"/>
      <c r="M770" s="637"/>
      <c r="N770" s="637"/>
      <c r="O770" s="637"/>
      <c r="P770" s="637"/>
      <c r="Q770" s="637"/>
      <c r="R770" s="637"/>
      <c r="S770" s="637"/>
      <c r="T770" s="637"/>
      <c r="U770" s="637"/>
      <c r="V770" s="637"/>
      <c r="W770" s="637"/>
      <c r="X770" s="637"/>
      <c r="Y770" s="637"/>
      <c r="Z770" s="637"/>
    </row>
    <row r="771" ht="11.25" customHeight="1">
      <c r="A771" s="637"/>
      <c r="B771" s="637"/>
      <c r="C771" s="637"/>
      <c r="D771" s="637"/>
      <c r="E771" s="637"/>
      <c r="F771" s="637"/>
      <c r="G771" s="637"/>
      <c r="H771" s="637"/>
      <c r="I771" s="637"/>
      <c r="J771" s="637"/>
      <c r="K771" s="637"/>
      <c r="L771" s="637"/>
      <c r="M771" s="637"/>
      <c r="N771" s="637"/>
      <c r="O771" s="637"/>
      <c r="P771" s="637"/>
      <c r="Q771" s="637"/>
      <c r="R771" s="637"/>
      <c r="S771" s="637"/>
      <c r="T771" s="637"/>
      <c r="U771" s="637"/>
      <c r="V771" s="637"/>
      <c r="W771" s="637"/>
      <c r="X771" s="637"/>
      <c r="Y771" s="637"/>
      <c r="Z771" s="637"/>
    </row>
    <row r="772" ht="11.25" customHeight="1">
      <c r="A772" s="637"/>
      <c r="B772" s="637"/>
      <c r="C772" s="637"/>
      <c r="D772" s="637"/>
      <c r="E772" s="637"/>
      <c r="F772" s="637"/>
      <c r="G772" s="637"/>
      <c r="H772" s="637"/>
      <c r="I772" s="637"/>
      <c r="J772" s="637"/>
      <c r="K772" s="637"/>
      <c r="L772" s="637"/>
      <c r="M772" s="637"/>
      <c r="N772" s="637"/>
      <c r="O772" s="637"/>
      <c r="P772" s="637"/>
      <c r="Q772" s="637"/>
      <c r="R772" s="637"/>
      <c r="S772" s="637"/>
      <c r="T772" s="637"/>
      <c r="U772" s="637"/>
      <c r="V772" s="637"/>
      <c r="W772" s="637"/>
      <c r="X772" s="637"/>
      <c r="Y772" s="637"/>
      <c r="Z772" s="637"/>
    </row>
    <row r="773" ht="11.25" customHeight="1">
      <c r="A773" s="637"/>
      <c r="B773" s="637"/>
      <c r="C773" s="637"/>
      <c r="D773" s="637"/>
      <c r="E773" s="637"/>
      <c r="F773" s="637"/>
      <c r="G773" s="637"/>
      <c r="H773" s="637"/>
      <c r="I773" s="637"/>
      <c r="J773" s="637"/>
      <c r="K773" s="637"/>
      <c r="L773" s="637"/>
      <c r="M773" s="637"/>
      <c r="N773" s="637"/>
      <c r="O773" s="637"/>
      <c r="P773" s="637"/>
      <c r="Q773" s="637"/>
      <c r="R773" s="637"/>
      <c r="S773" s="637"/>
      <c r="T773" s="637"/>
      <c r="U773" s="637"/>
      <c r="V773" s="637"/>
      <c r="W773" s="637"/>
      <c r="X773" s="637"/>
      <c r="Y773" s="637"/>
      <c r="Z773" s="637"/>
    </row>
    <row r="774" ht="11.25" customHeight="1">
      <c r="A774" s="637"/>
      <c r="B774" s="637"/>
      <c r="C774" s="637"/>
      <c r="D774" s="637"/>
      <c r="E774" s="637"/>
      <c r="F774" s="637"/>
      <c r="G774" s="637"/>
      <c r="H774" s="637"/>
      <c r="I774" s="637"/>
      <c r="J774" s="637"/>
      <c r="K774" s="637"/>
      <c r="L774" s="637"/>
      <c r="M774" s="637"/>
      <c r="N774" s="637"/>
      <c r="O774" s="637"/>
      <c r="P774" s="637"/>
      <c r="Q774" s="637"/>
      <c r="R774" s="637"/>
      <c r="S774" s="637"/>
      <c r="T774" s="637"/>
      <c r="U774" s="637"/>
      <c r="V774" s="637"/>
      <c r="W774" s="637"/>
      <c r="X774" s="637"/>
      <c r="Y774" s="637"/>
      <c r="Z774" s="637"/>
    </row>
    <row r="775" ht="11.25" customHeight="1">
      <c r="A775" s="637"/>
      <c r="B775" s="637"/>
      <c r="C775" s="637"/>
      <c r="D775" s="637"/>
      <c r="E775" s="637"/>
      <c r="F775" s="637"/>
      <c r="G775" s="637"/>
      <c r="H775" s="637"/>
      <c r="I775" s="637"/>
      <c r="J775" s="637"/>
      <c r="K775" s="637"/>
      <c r="L775" s="637"/>
      <c r="M775" s="637"/>
      <c r="N775" s="637"/>
      <c r="O775" s="637"/>
      <c r="P775" s="637"/>
      <c r="Q775" s="637"/>
      <c r="R775" s="637"/>
      <c r="S775" s="637"/>
      <c r="T775" s="637"/>
      <c r="U775" s="637"/>
      <c r="V775" s="637"/>
      <c r="W775" s="637"/>
      <c r="X775" s="637"/>
      <c r="Y775" s="637"/>
      <c r="Z775" s="637"/>
    </row>
    <row r="776" ht="11.25" customHeight="1">
      <c r="A776" s="637"/>
      <c r="B776" s="637"/>
      <c r="C776" s="637"/>
      <c r="D776" s="637"/>
      <c r="E776" s="637"/>
      <c r="F776" s="637"/>
      <c r="G776" s="637"/>
      <c r="H776" s="637"/>
      <c r="I776" s="637"/>
      <c r="J776" s="637"/>
      <c r="K776" s="637"/>
      <c r="L776" s="637"/>
      <c r="M776" s="637"/>
      <c r="N776" s="637"/>
      <c r="O776" s="637"/>
      <c r="P776" s="637"/>
      <c r="Q776" s="637"/>
      <c r="R776" s="637"/>
      <c r="S776" s="637"/>
      <c r="T776" s="637"/>
      <c r="U776" s="637"/>
      <c r="V776" s="637"/>
      <c r="W776" s="637"/>
      <c r="X776" s="637"/>
      <c r="Y776" s="637"/>
      <c r="Z776" s="637"/>
    </row>
    <row r="777" ht="11.25" customHeight="1">
      <c r="A777" s="637"/>
      <c r="B777" s="637"/>
      <c r="C777" s="637"/>
      <c r="D777" s="637"/>
      <c r="E777" s="637"/>
      <c r="F777" s="637"/>
      <c r="G777" s="637"/>
      <c r="H777" s="637"/>
      <c r="I777" s="637"/>
      <c r="J777" s="637"/>
      <c r="K777" s="637"/>
      <c r="L777" s="637"/>
      <c r="M777" s="637"/>
      <c r="N777" s="637"/>
      <c r="O777" s="637"/>
      <c r="P777" s="637"/>
      <c r="Q777" s="637"/>
      <c r="R777" s="637"/>
      <c r="S777" s="637"/>
      <c r="T777" s="637"/>
      <c r="U777" s="637"/>
      <c r="V777" s="637"/>
      <c r="W777" s="637"/>
      <c r="X777" s="637"/>
      <c r="Y777" s="637"/>
      <c r="Z777" s="637"/>
    </row>
    <row r="778" ht="11.25" customHeight="1">
      <c r="A778" s="637"/>
      <c r="B778" s="637"/>
      <c r="C778" s="637"/>
      <c r="D778" s="637"/>
      <c r="E778" s="637"/>
      <c r="F778" s="637"/>
      <c r="G778" s="637"/>
      <c r="H778" s="637"/>
      <c r="I778" s="637"/>
      <c r="J778" s="637"/>
      <c r="K778" s="637"/>
      <c r="L778" s="637"/>
      <c r="M778" s="637"/>
      <c r="N778" s="637"/>
      <c r="O778" s="637"/>
      <c r="P778" s="637"/>
      <c r="Q778" s="637"/>
      <c r="R778" s="637"/>
      <c r="S778" s="637"/>
      <c r="T778" s="637"/>
      <c r="U778" s="637"/>
      <c r="V778" s="637"/>
      <c r="W778" s="637"/>
      <c r="X778" s="637"/>
      <c r="Y778" s="637"/>
      <c r="Z778" s="637"/>
    </row>
    <row r="779" ht="11.25" customHeight="1">
      <c r="A779" s="637"/>
      <c r="B779" s="637"/>
      <c r="C779" s="637"/>
      <c r="D779" s="637"/>
      <c r="E779" s="637"/>
      <c r="F779" s="637"/>
      <c r="G779" s="637"/>
      <c r="H779" s="637"/>
      <c r="I779" s="637"/>
      <c r="J779" s="637"/>
      <c r="K779" s="637"/>
      <c r="L779" s="637"/>
      <c r="M779" s="637"/>
      <c r="N779" s="637"/>
      <c r="O779" s="637"/>
      <c r="P779" s="637"/>
      <c r="Q779" s="637"/>
      <c r="R779" s="637"/>
      <c r="S779" s="637"/>
      <c r="T779" s="637"/>
      <c r="U779" s="637"/>
      <c r="V779" s="637"/>
      <c r="W779" s="637"/>
      <c r="X779" s="637"/>
      <c r="Y779" s="637"/>
      <c r="Z779" s="637"/>
    </row>
    <row r="780" ht="11.25" customHeight="1">
      <c r="A780" s="637"/>
      <c r="B780" s="637"/>
      <c r="C780" s="637"/>
      <c r="D780" s="637"/>
      <c r="E780" s="637"/>
      <c r="F780" s="637"/>
      <c r="G780" s="637"/>
      <c r="H780" s="637"/>
      <c r="I780" s="637"/>
      <c r="J780" s="637"/>
      <c r="K780" s="637"/>
      <c r="L780" s="637"/>
      <c r="M780" s="637"/>
      <c r="N780" s="637"/>
      <c r="O780" s="637"/>
      <c r="P780" s="637"/>
      <c r="Q780" s="637"/>
      <c r="R780" s="637"/>
      <c r="S780" s="637"/>
      <c r="T780" s="637"/>
      <c r="U780" s="637"/>
      <c r="V780" s="637"/>
      <c r="W780" s="637"/>
      <c r="X780" s="637"/>
      <c r="Y780" s="637"/>
      <c r="Z780" s="637"/>
    </row>
    <row r="781" ht="11.25" customHeight="1">
      <c r="A781" s="637"/>
      <c r="B781" s="637"/>
      <c r="C781" s="637"/>
      <c r="D781" s="637"/>
      <c r="E781" s="637"/>
      <c r="F781" s="637"/>
      <c r="G781" s="637"/>
      <c r="H781" s="637"/>
      <c r="I781" s="637"/>
      <c r="J781" s="637"/>
      <c r="K781" s="637"/>
      <c r="L781" s="637"/>
      <c r="M781" s="637"/>
      <c r="N781" s="637"/>
      <c r="O781" s="637"/>
      <c r="P781" s="637"/>
      <c r="Q781" s="637"/>
      <c r="R781" s="637"/>
      <c r="S781" s="637"/>
      <c r="T781" s="637"/>
      <c r="U781" s="637"/>
      <c r="V781" s="637"/>
      <c r="W781" s="637"/>
      <c r="X781" s="637"/>
      <c r="Y781" s="637"/>
      <c r="Z781" s="637"/>
    </row>
    <row r="782" ht="11.25" customHeight="1">
      <c r="A782" s="637"/>
      <c r="B782" s="637"/>
      <c r="C782" s="637"/>
      <c r="D782" s="637"/>
      <c r="E782" s="637"/>
      <c r="F782" s="637"/>
      <c r="G782" s="637"/>
      <c r="H782" s="637"/>
      <c r="I782" s="637"/>
      <c r="J782" s="637"/>
      <c r="K782" s="637"/>
      <c r="L782" s="637"/>
      <c r="M782" s="637"/>
      <c r="N782" s="637"/>
      <c r="O782" s="637"/>
      <c r="P782" s="637"/>
      <c r="Q782" s="637"/>
      <c r="R782" s="637"/>
      <c r="S782" s="637"/>
      <c r="T782" s="637"/>
      <c r="U782" s="637"/>
      <c r="V782" s="637"/>
      <c r="W782" s="637"/>
      <c r="X782" s="637"/>
      <c r="Y782" s="637"/>
      <c r="Z782" s="637"/>
    </row>
    <row r="783" ht="11.25" customHeight="1">
      <c r="A783" s="637"/>
      <c r="B783" s="637"/>
      <c r="C783" s="637"/>
      <c r="D783" s="637"/>
      <c r="E783" s="637"/>
      <c r="F783" s="637"/>
      <c r="G783" s="637"/>
      <c r="H783" s="637"/>
      <c r="I783" s="637"/>
      <c r="J783" s="637"/>
      <c r="K783" s="637"/>
      <c r="L783" s="637"/>
      <c r="M783" s="637"/>
      <c r="N783" s="637"/>
      <c r="O783" s="637"/>
      <c r="P783" s="637"/>
      <c r="Q783" s="637"/>
      <c r="R783" s="637"/>
      <c r="S783" s="637"/>
      <c r="T783" s="637"/>
      <c r="U783" s="637"/>
      <c r="V783" s="637"/>
      <c r="W783" s="637"/>
      <c r="X783" s="637"/>
      <c r="Y783" s="637"/>
      <c r="Z783" s="637"/>
    </row>
    <row r="784" ht="11.25" customHeight="1">
      <c r="A784" s="637"/>
      <c r="B784" s="637"/>
      <c r="C784" s="637"/>
      <c r="D784" s="637"/>
      <c r="E784" s="637"/>
      <c r="F784" s="637"/>
      <c r="G784" s="637"/>
      <c r="H784" s="637"/>
      <c r="I784" s="637"/>
      <c r="J784" s="637"/>
      <c r="K784" s="637"/>
      <c r="L784" s="637"/>
      <c r="M784" s="637"/>
      <c r="N784" s="637"/>
      <c r="O784" s="637"/>
      <c r="P784" s="637"/>
      <c r="Q784" s="637"/>
      <c r="R784" s="637"/>
      <c r="S784" s="637"/>
      <c r="T784" s="637"/>
      <c r="U784" s="637"/>
      <c r="V784" s="637"/>
      <c r="W784" s="637"/>
      <c r="X784" s="637"/>
      <c r="Y784" s="637"/>
      <c r="Z784" s="637"/>
    </row>
    <row r="785" ht="11.25" customHeight="1">
      <c r="A785" s="637"/>
      <c r="B785" s="637"/>
      <c r="C785" s="637"/>
      <c r="D785" s="637"/>
      <c r="E785" s="637"/>
      <c r="F785" s="637"/>
      <c r="G785" s="637"/>
      <c r="H785" s="637"/>
      <c r="I785" s="637"/>
      <c r="J785" s="637"/>
      <c r="K785" s="637"/>
      <c r="L785" s="637"/>
      <c r="M785" s="637"/>
      <c r="N785" s="637"/>
      <c r="O785" s="637"/>
      <c r="P785" s="637"/>
      <c r="Q785" s="637"/>
      <c r="R785" s="637"/>
      <c r="S785" s="637"/>
      <c r="T785" s="637"/>
      <c r="U785" s="637"/>
      <c r="V785" s="637"/>
      <c r="W785" s="637"/>
      <c r="X785" s="637"/>
      <c r="Y785" s="637"/>
      <c r="Z785" s="637"/>
    </row>
    <row r="786" ht="11.25" customHeight="1">
      <c r="A786" s="637"/>
      <c r="B786" s="637"/>
      <c r="C786" s="637"/>
      <c r="D786" s="637"/>
      <c r="E786" s="637"/>
      <c r="F786" s="637"/>
      <c r="G786" s="637"/>
      <c r="H786" s="637"/>
      <c r="I786" s="637"/>
      <c r="J786" s="637"/>
      <c r="K786" s="637"/>
      <c r="L786" s="637"/>
      <c r="M786" s="637"/>
      <c r="N786" s="637"/>
      <c r="O786" s="637"/>
      <c r="P786" s="637"/>
      <c r="Q786" s="637"/>
      <c r="R786" s="637"/>
      <c r="S786" s="637"/>
      <c r="T786" s="637"/>
      <c r="U786" s="637"/>
      <c r="V786" s="637"/>
      <c r="W786" s="637"/>
      <c r="X786" s="637"/>
      <c r="Y786" s="637"/>
      <c r="Z786" s="637"/>
    </row>
    <row r="787" ht="11.25" customHeight="1">
      <c r="A787" s="637"/>
      <c r="B787" s="637"/>
      <c r="C787" s="637"/>
      <c r="D787" s="637"/>
      <c r="E787" s="637"/>
      <c r="F787" s="637"/>
      <c r="G787" s="637"/>
      <c r="H787" s="637"/>
      <c r="I787" s="637"/>
      <c r="J787" s="637"/>
      <c r="K787" s="637"/>
      <c r="L787" s="637"/>
      <c r="M787" s="637"/>
      <c r="N787" s="637"/>
      <c r="O787" s="637"/>
      <c r="P787" s="637"/>
      <c r="Q787" s="637"/>
      <c r="R787" s="637"/>
      <c r="S787" s="637"/>
      <c r="T787" s="637"/>
      <c r="U787" s="637"/>
      <c r="V787" s="637"/>
      <c r="W787" s="637"/>
      <c r="X787" s="637"/>
      <c r="Y787" s="637"/>
      <c r="Z787" s="637"/>
    </row>
    <row r="788" ht="11.25" customHeight="1">
      <c r="A788" s="637"/>
      <c r="B788" s="637"/>
      <c r="C788" s="637"/>
      <c r="D788" s="637"/>
      <c r="E788" s="637"/>
      <c r="F788" s="637"/>
      <c r="G788" s="637"/>
      <c r="H788" s="637"/>
      <c r="I788" s="637"/>
      <c r="J788" s="637"/>
      <c r="K788" s="637"/>
      <c r="L788" s="637"/>
      <c r="M788" s="637"/>
      <c r="N788" s="637"/>
      <c r="O788" s="637"/>
      <c r="P788" s="637"/>
      <c r="Q788" s="637"/>
      <c r="R788" s="637"/>
      <c r="S788" s="637"/>
      <c r="T788" s="637"/>
      <c r="U788" s="637"/>
      <c r="V788" s="637"/>
      <c r="W788" s="637"/>
      <c r="X788" s="637"/>
      <c r="Y788" s="637"/>
      <c r="Z788" s="637"/>
    </row>
    <row r="789" ht="11.25" customHeight="1">
      <c r="A789" s="637"/>
      <c r="B789" s="637"/>
      <c r="C789" s="637"/>
      <c r="D789" s="637"/>
      <c r="E789" s="637"/>
      <c r="F789" s="637"/>
      <c r="G789" s="637"/>
      <c r="H789" s="637"/>
      <c r="I789" s="637"/>
      <c r="J789" s="637"/>
      <c r="K789" s="637"/>
      <c r="L789" s="637"/>
      <c r="M789" s="637"/>
      <c r="N789" s="637"/>
      <c r="O789" s="637"/>
      <c r="P789" s="637"/>
      <c r="Q789" s="637"/>
      <c r="R789" s="637"/>
      <c r="S789" s="637"/>
      <c r="T789" s="637"/>
      <c r="U789" s="637"/>
      <c r="V789" s="637"/>
      <c r="W789" s="637"/>
      <c r="X789" s="637"/>
      <c r="Y789" s="637"/>
      <c r="Z789" s="637"/>
    </row>
    <row r="790" ht="11.25" customHeight="1">
      <c r="A790" s="637"/>
      <c r="B790" s="637"/>
      <c r="C790" s="637"/>
      <c r="D790" s="637"/>
      <c r="E790" s="637"/>
      <c r="F790" s="637"/>
      <c r="G790" s="637"/>
      <c r="H790" s="637"/>
      <c r="I790" s="637"/>
      <c r="J790" s="637"/>
      <c r="K790" s="637"/>
      <c r="L790" s="637"/>
      <c r="M790" s="637"/>
      <c r="N790" s="637"/>
      <c r="O790" s="637"/>
      <c r="P790" s="637"/>
      <c r="Q790" s="637"/>
      <c r="R790" s="637"/>
      <c r="S790" s="637"/>
      <c r="T790" s="637"/>
      <c r="U790" s="637"/>
      <c r="V790" s="637"/>
      <c r="W790" s="637"/>
      <c r="X790" s="637"/>
      <c r="Y790" s="637"/>
      <c r="Z790" s="637"/>
    </row>
    <row r="791" ht="11.25" customHeight="1">
      <c r="A791" s="637"/>
      <c r="B791" s="637"/>
      <c r="C791" s="637"/>
      <c r="D791" s="637"/>
      <c r="E791" s="637"/>
      <c r="F791" s="637"/>
      <c r="G791" s="637"/>
      <c r="H791" s="637"/>
      <c r="I791" s="637"/>
      <c r="J791" s="637"/>
      <c r="K791" s="637"/>
      <c r="L791" s="637"/>
      <c r="M791" s="637"/>
      <c r="N791" s="637"/>
      <c r="O791" s="637"/>
      <c r="P791" s="637"/>
      <c r="Q791" s="637"/>
      <c r="R791" s="637"/>
      <c r="S791" s="637"/>
      <c r="T791" s="637"/>
      <c r="U791" s="637"/>
      <c r="V791" s="637"/>
      <c r="W791" s="637"/>
      <c r="X791" s="637"/>
      <c r="Y791" s="637"/>
      <c r="Z791" s="637"/>
    </row>
    <row r="792" ht="11.25" customHeight="1">
      <c r="A792" s="637"/>
      <c r="B792" s="637"/>
      <c r="C792" s="637"/>
      <c r="D792" s="637"/>
      <c r="E792" s="637"/>
      <c r="F792" s="637"/>
      <c r="G792" s="637"/>
      <c r="H792" s="637"/>
      <c r="I792" s="637"/>
      <c r="J792" s="637"/>
      <c r="K792" s="637"/>
      <c r="L792" s="637"/>
      <c r="M792" s="637"/>
      <c r="N792" s="637"/>
      <c r="O792" s="637"/>
      <c r="P792" s="637"/>
      <c r="Q792" s="637"/>
      <c r="R792" s="637"/>
      <c r="S792" s="637"/>
      <c r="T792" s="637"/>
      <c r="U792" s="637"/>
      <c r="V792" s="637"/>
      <c r="W792" s="637"/>
      <c r="X792" s="637"/>
      <c r="Y792" s="637"/>
      <c r="Z792" s="637"/>
    </row>
    <row r="793" ht="11.25" customHeight="1">
      <c r="A793" s="637"/>
      <c r="B793" s="637"/>
      <c r="C793" s="637"/>
      <c r="D793" s="637"/>
      <c r="E793" s="637"/>
      <c r="F793" s="637"/>
      <c r="G793" s="637"/>
      <c r="H793" s="637"/>
      <c r="I793" s="637"/>
      <c r="J793" s="637"/>
      <c r="K793" s="637"/>
      <c r="L793" s="637"/>
      <c r="M793" s="637"/>
      <c r="N793" s="637"/>
      <c r="O793" s="637"/>
      <c r="P793" s="637"/>
      <c r="Q793" s="637"/>
      <c r="R793" s="637"/>
      <c r="S793" s="637"/>
      <c r="T793" s="637"/>
      <c r="U793" s="637"/>
      <c r="V793" s="637"/>
      <c r="W793" s="637"/>
      <c r="X793" s="637"/>
      <c r="Y793" s="637"/>
      <c r="Z793" s="637"/>
    </row>
    <row r="794" ht="11.25" customHeight="1">
      <c r="A794" s="637"/>
      <c r="B794" s="637"/>
      <c r="C794" s="637"/>
      <c r="D794" s="637"/>
      <c r="E794" s="637"/>
      <c r="F794" s="637"/>
      <c r="G794" s="637"/>
      <c r="H794" s="637"/>
      <c r="I794" s="637"/>
      <c r="J794" s="637"/>
      <c r="K794" s="637"/>
      <c r="L794" s="637"/>
      <c r="M794" s="637"/>
      <c r="N794" s="637"/>
      <c r="O794" s="637"/>
      <c r="P794" s="637"/>
      <c r="Q794" s="637"/>
      <c r="R794" s="637"/>
      <c r="S794" s="637"/>
      <c r="T794" s="637"/>
      <c r="U794" s="637"/>
      <c r="V794" s="637"/>
      <c r="W794" s="637"/>
      <c r="X794" s="637"/>
      <c r="Y794" s="637"/>
      <c r="Z794" s="637"/>
    </row>
    <row r="795" ht="11.25" customHeight="1">
      <c r="A795" s="637"/>
      <c r="B795" s="637"/>
      <c r="C795" s="637"/>
      <c r="D795" s="637"/>
      <c r="E795" s="637"/>
      <c r="F795" s="637"/>
      <c r="G795" s="637"/>
      <c r="H795" s="637"/>
      <c r="I795" s="637"/>
      <c r="J795" s="637"/>
      <c r="K795" s="637"/>
      <c r="L795" s="637"/>
      <c r="M795" s="637"/>
      <c r="N795" s="637"/>
      <c r="O795" s="637"/>
      <c r="P795" s="637"/>
      <c r="Q795" s="637"/>
      <c r="R795" s="637"/>
      <c r="S795" s="637"/>
      <c r="T795" s="637"/>
      <c r="U795" s="637"/>
      <c r="V795" s="637"/>
      <c r="W795" s="637"/>
      <c r="X795" s="637"/>
      <c r="Y795" s="637"/>
      <c r="Z795" s="637"/>
    </row>
    <row r="796" ht="11.25" customHeight="1">
      <c r="A796" s="637"/>
      <c r="B796" s="637"/>
      <c r="C796" s="637"/>
      <c r="D796" s="637"/>
      <c r="E796" s="637"/>
      <c r="F796" s="637"/>
      <c r="G796" s="637"/>
      <c r="H796" s="637"/>
      <c r="I796" s="637"/>
      <c r="J796" s="637"/>
      <c r="K796" s="637"/>
      <c r="L796" s="637"/>
      <c r="M796" s="637"/>
      <c r="N796" s="637"/>
      <c r="O796" s="637"/>
      <c r="P796" s="637"/>
      <c r="Q796" s="637"/>
      <c r="R796" s="637"/>
      <c r="S796" s="637"/>
      <c r="T796" s="637"/>
      <c r="U796" s="637"/>
      <c r="V796" s="637"/>
      <c r="W796" s="637"/>
      <c r="X796" s="637"/>
      <c r="Y796" s="637"/>
      <c r="Z796" s="637"/>
    </row>
    <row r="797" ht="11.25" customHeight="1">
      <c r="A797" s="637"/>
      <c r="B797" s="637"/>
      <c r="C797" s="637"/>
      <c r="D797" s="637"/>
      <c r="E797" s="637"/>
      <c r="F797" s="637"/>
      <c r="G797" s="637"/>
      <c r="H797" s="637"/>
      <c r="I797" s="637"/>
      <c r="J797" s="637"/>
      <c r="K797" s="637"/>
      <c r="L797" s="637"/>
      <c r="M797" s="637"/>
      <c r="N797" s="637"/>
      <c r="O797" s="637"/>
      <c r="P797" s="637"/>
      <c r="Q797" s="637"/>
      <c r="R797" s="637"/>
      <c r="S797" s="637"/>
      <c r="T797" s="637"/>
      <c r="U797" s="637"/>
      <c r="V797" s="637"/>
      <c r="W797" s="637"/>
      <c r="X797" s="637"/>
      <c r="Y797" s="637"/>
      <c r="Z797" s="637"/>
    </row>
    <row r="798" ht="11.25" customHeight="1">
      <c r="A798" s="637"/>
      <c r="B798" s="637"/>
      <c r="C798" s="637"/>
      <c r="D798" s="637"/>
      <c r="E798" s="637"/>
      <c r="F798" s="637"/>
      <c r="G798" s="637"/>
      <c r="H798" s="637"/>
      <c r="I798" s="637"/>
      <c r="J798" s="637"/>
      <c r="K798" s="637"/>
      <c r="L798" s="637"/>
      <c r="M798" s="637"/>
      <c r="N798" s="637"/>
      <c r="O798" s="637"/>
      <c r="P798" s="637"/>
      <c r="Q798" s="637"/>
      <c r="R798" s="637"/>
      <c r="S798" s="637"/>
      <c r="T798" s="637"/>
      <c r="U798" s="637"/>
      <c r="V798" s="637"/>
      <c r="W798" s="637"/>
      <c r="X798" s="637"/>
      <c r="Y798" s="637"/>
      <c r="Z798" s="637"/>
    </row>
    <row r="799" ht="11.25" customHeight="1">
      <c r="A799" s="637"/>
      <c r="B799" s="637"/>
      <c r="C799" s="637"/>
      <c r="D799" s="637"/>
      <c r="E799" s="637"/>
      <c r="F799" s="637"/>
      <c r="G799" s="637"/>
      <c r="H799" s="637"/>
      <c r="I799" s="637"/>
      <c r="J799" s="637"/>
      <c r="K799" s="637"/>
      <c r="L799" s="637"/>
      <c r="M799" s="637"/>
      <c r="N799" s="637"/>
      <c r="O799" s="637"/>
      <c r="P799" s="637"/>
      <c r="Q799" s="637"/>
      <c r="R799" s="637"/>
      <c r="S799" s="637"/>
      <c r="T799" s="637"/>
      <c r="U799" s="637"/>
      <c r="V799" s="637"/>
      <c r="W799" s="637"/>
      <c r="X799" s="637"/>
      <c r="Y799" s="637"/>
      <c r="Z799" s="637"/>
    </row>
    <row r="800" ht="11.25" customHeight="1">
      <c r="A800" s="637"/>
      <c r="B800" s="637"/>
      <c r="C800" s="637"/>
      <c r="D800" s="637"/>
      <c r="E800" s="637"/>
      <c r="F800" s="637"/>
      <c r="G800" s="637"/>
      <c r="H800" s="637"/>
      <c r="I800" s="637"/>
      <c r="J800" s="637"/>
      <c r="K800" s="637"/>
      <c r="L800" s="637"/>
      <c r="M800" s="637"/>
      <c r="N800" s="637"/>
      <c r="O800" s="637"/>
      <c r="P800" s="637"/>
      <c r="Q800" s="637"/>
      <c r="R800" s="637"/>
      <c r="S800" s="637"/>
      <c r="T800" s="637"/>
      <c r="U800" s="637"/>
      <c r="V800" s="637"/>
      <c r="W800" s="637"/>
      <c r="X800" s="637"/>
      <c r="Y800" s="637"/>
      <c r="Z800" s="637"/>
    </row>
    <row r="801" ht="11.25" customHeight="1">
      <c r="A801" s="637"/>
      <c r="B801" s="637"/>
      <c r="C801" s="637"/>
      <c r="D801" s="637"/>
      <c r="E801" s="637"/>
      <c r="F801" s="637"/>
      <c r="G801" s="637"/>
      <c r="H801" s="637"/>
      <c r="I801" s="637"/>
      <c r="J801" s="637"/>
      <c r="K801" s="637"/>
      <c r="L801" s="637"/>
      <c r="M801" s="637"/>
      <c r="N801" s="637"/>
      <c r="O801" s="637"/>
      <c r="P801" s="637"/>
      <c r="Q801" s="637"/>
      <c r="R801" s="637"/>
      <c r="S801" s="637"/>
      <c r="T801" s="637"/>
      <c r="U801" s="637"/>
      <c r="V801" s="637"/>
      <c r="W801" s="637"/>
      <c r="X801" s="637"/>
      <c r="Y801" s="637"/>
      <c r="Z801" s="637"/>
    </row>
    <row r="802" ht="11.25" customHeight="1">
      <c r="A802" s="637"/>
      <c r="B802" s="637"/>
      <c r="C802" s="637"/>
      <c r="D802" s="637"/>
      <c r="E802" s="637"/>
      <c r="F802" s="637"/>
      <c r="G802" s="637"/>
      <c r="H802" s="637"/>
      <c r="I802" s="637"/>
      <c r="J802" s="637"/>
      <c r="K802" s="637"/>
      <c r="L802" s="637"/>
      <c r="M802" s="637"/>
      <c r="N802" s="637"/>
      <c r="O802" s="637"/>
      <c r="P802" s="637"/>
      <c r="Q802" s="637"/>
      <c r="R802" s="637"/>
      <c r="S802" s="637"/>
      <c r="T802" s="637"/>
      <c r="U802" s="637"/>
      <c r="V802" s="637"/>
      <c r="W802" s="637"/>
      <c r="X802" s="637"/>
      <c r="Y802" s="637"/>
      <c r="Z802" s="637"/>
    </row>
    <row r="803" ht="11.25" customHeight="1">
      <c r="A803" s="637"/>
      <c r="B803" s="637"/>
      <c r="C803" s="637"/>
      <c r="D803" s="637"/>
      <c r="E803" s="637"/>
      <c r="F803" s="637"/>
      <c r="G803" s="637"/>
      <c r="H803" s="637"/>
      <c r="I803" s="637"/>
      <c r="J803" s="637"/>
      <c r="K803" s="637"/>
      <c r="L803" s="637"/>
      <c r="M803" s="637"/>
      <c r="N803" s="637"/>
      <c r="O803" s="637"/>
      <c r="P803" s="637"/>
      <c r="Q803" s="637"/>
      <c r="R803" s="637"/>
      <c r="S803" s="637"/>
      <c r="T803" s="637"/>
      <c r="U803" s="637"/>
      <c r="V803" s="637"/>
      <c r="W803" s="637"/>
      <c r="X803" s="637"/>
      <c r="Y803" s="637"/>
      <c r="Z803" s="637"/>
    </row>
    <row r="804" ht="11.25" customHeight="1">
      <c r="A804" s="637"/>
      <c r="B804" s="637"/>
      <c r="C804" s="637"/>
      <c r="D804" s="637"/>
      <c r="E804" s="637"/>
      <c r="F804" s="637"/>
      <c r="G804" s="637"/>
      <c r="H804" s="637"/>
      <c r="I804" s="637"/>
      <c r="J804" s="637"/>
      <c r="K804" s="637"/>
      <c r="L804" s="637"/>
      <c r="M804" s="637"/>
      <c r="N804" s="637"/>
      <c r="O804" s="637"/>
      <c r="P804" s="637"/>
      <c r="Q804" s="637"/>
      <c r="R804" s="637"/>
      <c r="S804" s="637"/>
      <c r="T804" s="637"/>
      <c r="U804" s="637"/>
      <c r="V804" s="637"/>
      <c r="W804" s="637"/>
      <c r="X804" s="637"/>
      <c r="Y804" s="637"/>
      <c r="Z804" s="637"/>
    </row>
    <row r="805" ht="11.25" customHeight="1">
      <c r="A805" s="637"/>
      <c r="B805" s="637"/>
      <c r="C805" s="637"/>
      <c r="D805" s="637"/>
      <c r="E805" s="637"/>
      <c r="F805" s="637"/>
      <c r="G805" s="637"/>
      <c r="H805" s="637"/>
      <c r="I805" s="637"/>
      <c r="J805" s="637"/>
      <c r="K805" s="637"/>
      <c r="L805" s="637"/>
      <c r="M805" s="637"/>
      <c r="N805" s="637"/>
      <c r="O805" s="637"/>
      <c r="P805" s="637"/>
      <c r="Q805" s="637"/>
      <c r="R805" s="637"/>
      <c r="S805" s="637"/>
      <c r="T805" s="637"/>
      <c r="U805" s="637"/>
      <c r="V805" s="637"/>
      <c r="W805" s="637"/>
      <c r="X805" s="637"/>
      <c r="Y805" s="637"/>
      <c r="Z805" s="637"/>
    </row>
    <row r="806" ht="11.25" customHeight="1">
      <c r="A806" s="637"/>
      <c r="B806" s="637"/>
      <c r="C806" s="637"/>
      <c r="D806" s="637"/>
      <c r="E806" s="637"/>
      <c r="F806" s="637"/>
      <c r="G806" s="637"/>
      <c r="H806" s="637"/>
      <c r="I806" s="637"/>
      <c r="J806" s="637"/>
      <c r="K806" s="637"/>
      <c r="L806" s="637"/>
      <c r="M806" s="637"/>
      <c r="N806" s="637"/>
      <c r="O806" s="637"/>
      <c r="P806" s="637"/>
      <c r="Q806" s="637"/>
      <c r="R806" s="637"/>
      <c r="S806" s="637"/>
      <c r="T806" s="637"/>
      <c r="U806" s="637"/>
      <c r="V806" s="637"/>
      <c r="W806" s="637"/>
      <c r="X806" s="637"/>
      <c r="Y806" s="637"/>
      <c r="Z806" s="637"/>
    </row>
    <row r="807" ht="11.25" customHeight="1">
      <c r="A807" s="637"/>
      <c r="B807" s="637"/>
      <c r="C807" s="637"/>
      <c r="D807" s="637"/>
      <c r="E807" s="637"/>
      <c r="F807" s="637"/>
      <c r="G807" s="637"/>
      <c r="H807" s="637"/>
      <c r="I807" s="637"/>
      <c r="J807" s="637"/>
      <c r="K807" s="637"/>
      <c r="L807" s="637"/>
      <c r="M807" s="637"/>
      <c r="N807" s="637"/>
      <c r="O807" s="637"/>
      <c r="P807" s="637"/>
      <c r="Q807" s="637"/>
      <c r="R807" s="637"/>
      <c r="S807" s="637"/>
      <c r="T807" s="637"/>
      <c r="U807" s="637"/>
      <c r="V807" s="637"/>
      <c r="W807" s="637"/>
      <c r="X807" s="637"/>
      <c r="Y807" s="637"/>
      <c r="Z807" s="637"/>
    </row>
    <row r="808" ht="11.25" customHeight="1">
      <c r="A808" s="637"/>
      <c r="B808" s="637"/>
      <c r="C808" s="637"/>
      <c r="D808" s="637"/>
      <c r="E808" s="637"/>
      <c r="F808" s="637"/>
      <c r="G808" s="637"/>
      <c r="H808" s="637"/>
      <c r="I808" s="637"/>
      <c r="J808" s="637"/>
      <c r="K808" s="637"/>
      <c r="L808" s="637"/>
      <c r="M808" s="637"/>
      <c r="N808" s="637"/>
      <c r="O808" s="637"/>
      <c r="P808" s="637"/>
      <c r="Q808" s="637"/>
      <c r="R808" s="637"/>
      <c r="S808" s="637"/>
      <c r="T808" s="637"/>
      <c r="U808" s="637"/>
      <c r="V808" s="637"/>
      <c r="W808" s="637"/>
      <c r="X808" s="637"/>
      <c r="Y808" s="637"/>
      <c r="Z808" s="637"/>
    </row>
    <row r="809" ht="11.25" customHeight="1">
      <c r="A809" s="637"/>
      <c r="B809" s="637"/>
      <c r="C809" s="637"/>
      <c r="D809" s="637"/>
      <c r="E809" s="637"/>
      <c r="F809" s="637"/>
      <c r="G809" s="637"/>
      <c r="H809" s="637"/>
      <c r="I809" s="637"/>
      <c r="J809" s="637"/>
      <c r="K809" s="637"/>
      <c r="L809" s="637"/>
      <c r="M809" s="637"/>
      <c r="N809" s="637"/>
      <c r="O809" s="637"/>
      <c r="P809" s="637"/>
      <c r="Q809" s="637"/>
      <c r="R809" s="637"/>
      <c r="S809" s="637"/>
      <c r="T809" s="637"/>
      <c r="U809" s="637"/>
      <c r="V809" s="637"/>
      <c r="W809" s="637"/>
      <c r="X809" s="637"/>
      <c r="Y809" s="637"/>
      <c r="Z809" s="637"/>
    </row>
    <row r="810" ht="11.25" customHeight="1">
      <c r="A810" s="637"/>
      <c r="B810" s="637"/>
      <c r="C810" s="637"/>
      <c r="D810" s="637"/>
      <c r="E810" s="637"/>
      <c r="F810" s="637"/>
      <c r="G810" s="637"/>
      <c r="H810" s="637"/>
      <c r="I810" s="637"/>
      <c r="J810" s="637"/>
      <c r="K810" s="637"/>
      <c r="L810" s="637"/>
      <c r="M810" s="637"/>
      <c r="N810" s="637"/>
      <c r="O810" s="637"/>
      <c r="P810" s="637"/>
      <c r="Q810" s="637"/>
      <c r="R810" s="637"/>
      <c r="S810" s="637"/>
      <c r="T810" s="637"/>
      <c r="U810" s="637"/>
      <c r="V810" s="637"/>
      <c r="W810" s="637"/>
      <c r="X810" s="637"/>
      <c r="Y810" s="637"/>
      <c r="Z810" s="637"/>
    </row>
    <row r="811" ht="11.25" customHeight="1">
      <c r="A811" s="637"/>
      <c r="B811" s="637"/>
      <c r="C811" s="637"/>
      <c r="D811" s="637"/>
      <c r="E811" s="637"/>
      <c r="F811" s="637"/>
      <c r="G811" s="637"/>
      <c r="H811" s="637"/>
      <c r="I811" s="637"/>
      <c r="J811" s="637"/>
      <c r="K811" s="637"/>
      <c r="L811" s="637"/>
      <c r="M811" s="637"/>
      <c r="N811" s="637"/>
      <c r="O811" s="637"/>
      <c r="P811" s="637"/>
      <c r="Q811" s="637"/>
      <c r="R811" s="637"/>
      <c r="S811" s="637"/>
      <c r="T811" s="637"/>
      <c r="U811" s="637"/>
      <c r="V811" s="637"/>
      <c r="W811" s="637"/>
      <c r="X811" s="637"/>
      <c r="Y811" s="637"/>
      <c r="Z811" s="637"/>
    </row>
    <row r="812" ht="11.25" customHeight="1">
      <c r="A812" s="637"/>
      <c r="B812" s="637"/>
      <c r="C812" s="637"/>
      <c r="D812" s="637"/>
      <c r="E812" s="637"/>
      <c r="F812" s="637"/>
      <c r="G812" s="637"/>
      <c r="H812" s="637"/>
      <c r="I812" s="637"/>
      <c r="J812" s="637"/>
      <c r="K812" s="637"/>
      <c r="L812" s="637"/>
      <c r="M812" s="637"/>
      <c r="N812" s="637"/>
      <c r="O812" s="637"/>
      <c r="P812" s="637"/>
      <c r="Q812" s="637"/>
      <c r="R812" s="637"/>
      <c r="S812" s="637"/>
      <c r="T812" s="637"/>
      <c r="U812" s="637"/>
      <c r="V812" s="637"/>
      <c r="W812" s="637"/>
      <c r="X812" s="637"/>
      <c r="Y812" s="637"/>
      <c r="Z812" s="637"/>
    </row>
    <row r="813" ht="11.25" customHeight="1">
      <c r="A813" s="637"/>
      <c r="B813" s="637"/>
      <c r="C813" s="637"/>
      <c r="D813" s="637"/>
      <c r="E813" s="637"/>
      <c r="F813" s="637"/>
      <c r="G813" s="637"/>
      <c r="H813" s="637"/>
      <c r="I813" s="637"/>
      <c r="J813" s="637"/>
      <c r="K813" s="637"/>
      <c r="L813" s="637"/>
      <c r="M813" s="637"/>
      <c r="N813" s="637"/>
      <c r="O813" s="637"/>
      <c r="P813" s="637"/>
      <c r="Q813" s="637"/>
      <c r="R813" s="637"/>
      <c r="S813" s="637"/>
      <c r="T813" s="637"/>
      <c r="U813" s="637"/>
      <c r="V813" s="637"/>
      <c r="W813" s="637"/>
      <c r="X813" s="637"/>
      <c r="Y813" s="637"/>
      <c r="Z813" s="637"/>
    </row>
    <row r="814" ht="11.25" customHeight="1">
      <c r="A814" s="637"/>
      <c r="B814" s="637"/>
      <c r="C814" s="637"/>
      <c r="D814" s="637"/>
      <c r="E814" s="637"/>
      <c r="F814" s="637"/>
      <c r="G814" s="637"/>
      <c r="H814" s="637"/>
      <c r="I814" s="637"/>
      <c r="J814" s="637"/>
      <c r="K814" s="637"/>
      <c r="L814" s="637"/>
      <c r="M814" s="637"/>
      <c r="N814" s="637"/>
      <c r="O814" s="637"/>
      <c r="P814" s="637"/>
      <c r="Q814" s="637"/>
      <c r="R814" s="637"/>
      <c r="S814" s="637"/>
      <c r="T814" s="637"/>
      <c r="U814" s="637"/>
      <c r="V814" s="637"/>
      <c r="W814" s="637"/>
      <c r="X814" s="637"/>
      <c r="Y814" s="637"/>
      <c r="Z814" s="637"/>
    </row>
    <row r="815" ht="11.25" customHeight="1">
      <c r="A815" s="637"/>
      <c r="B815" s="637"/>
      <c r="C815" s="637"/>
      <c r="D815" s="637"/>
      <c r="E815" s="637"/>
      <c r="F815" s="637"/>
      <c r="G815" s="637"/>
      <c r="H815" s="637"/>
      <c r="I815" s="637"/>
      <c r="J815" s="637"/>
      <c r="K815" s="637"/>
      <c r="L815" s="637"/>
      <c r="M815" s="637"/>
      <c r="N815" s="637"/>
      <c r="O815" s="637"/>
      <c r="P815" s="637"/>
      <c r="Q815" s="637"/>
      <c r="R815" s="637"/>
      <c r="S815" s="637"/>
      <c r="T815" s="637"/>
      <c r="U815" s="637"/>
      <c r="V815" s="637"/>
      <c r="W815" s="637"/>
      <c r="X815" s="637"/>
      <c r="Y815" s="637"/>
      <c r="Z815" s="637"/>
    </row>
    <row r="816" ht="11.25" customHeight="1">
      <c r="A816" s="637"/>
      <c r="B816" s="637"/>
      <c r="C816" s="637"/>
      <c r="D816" s="637"/>
      <c r="E816" s="637"/>
      <c r="F816" s="637"/>
      <c r="G816" s="637"/>
      <c r="H816" s="637"/>
      <c r="I816" s="637"/>
      <c r="J816" s="637"/>
      <c r="K816" s="637"/>
      <c r="L816" s="637"/>
      <c r="M816" s="637"/>
      <c r="N816" s="637"/>
      <c r="O816" s="637"/>
      <c r="P816" s="637"/>
      <c r="Q816" s="637"/>
      <c r="R816" s="637"/>
      <c r="S816" s="637"/>
      <c r="T816" s="637"/>
      <c r="U816" s="637"/>
      <c r="V816" s="637"/>
      <c r="W816" s="637"/>
      <c r="X816" s="637"/>
      <c r="Y816" s="637"/>
      <c r="Z816" s="637"/>
    </row>
    <row r="817" ht="11.25" customHeight="1">
      <c r="A817" s="637"/>
      <c r="B817" s="637"/>
      <c r="C817" s="637"/>
      <c r="D817" s="637"/>
      <c r="E817" s="637"/>
      <c r="F817" s="637"/>
      <c r="G817" s="637"/>
      <c r="H817" s="637"/>
      <c r="I817" s="637"/>
      <c r="J817" s="637"/>
      <c r="K817" s="637"/>
      <c r="L817" s="637"/>
      <c r="M817" s="637"/>
      <c r="N817" s="637"/>
      <c r="O817" s="637"/>
      <c r="P817" s="637"/>
      <c r="Q817" s="637"/>
      <c r="R817" s="637"/>
      <c r="S817" s="637"/>
      <c r="T817" s="637"/>
      <c r="U817" s="637"/>
      <c r="V817" s="637"/>
      <c r="W817" s="637"/>
      <c r="X817" s="637"/>
      <c r="Y817" s="637"/>
      <c r="Z817" s="637"/>
    </row>
    <row r="818" ht="11.25" customHeight="1">
      <c r="A818" s="637"/>
      <c r="B818" s="637"/>
      <c r="C818" s="637"/>
      <c r="D818" s="637"/>
      <c r="E818" s="637"/>
      <c r="F818" s="637"/>
      <c r="G818" s="637"/>
      <c r="H818" s="637"/>
      <c r="I818" s="637"/>
      <c r="J818" s="637"/>
      <c r="K818" s="637"/>
      <c r="L818" s="637"/>
      <c r="M818" s="637"/>
      <c r="N818" s="637"/>
      <c r="O818" s="637"/>
      <c r="P818" s="637"/>
      <c r="Q818" s="637"/>
      <c r="R818" s="637"/>
      <c r="S818" s="637"/>
      <c r="T818" s="637"/>
      <c r="U818" s="637"/>
      <c r="V818" s="637"/>
      <c r="W818" s="637"/>
      <c r="X818" s="637"/>
      <c r="Y818" s="637"/>
      <c r="Z818" s="637"/>
    </row>
    <row r="819" ht="11.25" customHeight="1">
      <c r="A819" s="637"/>
      <c r="B819" s="637"/>
      <c r="C819" s="637"/>
      <c r="D819" s="637"/>
      <c r="E819" s="637"/>
      <c r="F819" s="637"/>
      <c r="G819" s="637"/>
      <c r="H819" s="637"/>
      <c r="I819" s="637"/>
      <c r="J819" s="637"/>
      <c r="K819" s="637"/>
      <c r="L819" s="637"/>
      <c r="M819" s="637"/>
      <c r="N819" s="637"/>
      <c r="O819" s="637"/>
      <c r="P819" s="637"/>
      <c r="Q819" s="637"/>
      <c r="R819" s="637"/>
      <c r="S819" s="637"/>
      <c r="T819" s="637"/>
      <c r="U819" s="637"/>
      <c r="V819" s="637"/>
      <c r="W819" s="637"/>
      <c r="X819" s="637"/>
      <c r="Y819" s="637"/>
      <c r="Z819" s="637"/>
    </row>
    <row r="820" ht="11.25" customHeight="1">
      <c r="A820" s="637"/>
      <c r="B820" s="637"/>
      <c r="C820" s="637"/>
      <c r="D820" s="637"/>
      <c r="E820" s="637"/>
      <c r="F820" s="637"/>
      <c r="G820" s="637"/>
      <c r="H820" s="637"/>
      <c r="I820" s="637"/>
      <c r="J820" s="637"/>
      <c r="K820" s="637"/>
      <c r="L820" s="637"/>
      <c r="M820" s="637"/>
      <c r="N820" s="637"/>
      <c r="O820" s="637"/>
      <c r="P820" s="637"/>
      <c r="Q820" s="637"/>
      <c r="R820" s="637"/>
      <c r="S820" s="637"/>
      <c r="T820" s="637"/>
      <c r="U820" s="637"/>
      <c r="V820" s="637"/>
      <c r="W820" s="637"/>
      <c r="X820" s="637"/>
      <c r="Y820" s="637"/>
      <c r="Z820" s="637"/>
    </row>
    <row r="821" ht="11.25" customHeight="1">
      <c r="A821" s="637"/>
      <c r="B821" s="637"/>
      <c r="C821" s="637"/>
      <c r="D821" s="637"/>
      <c r="E821" s="637"/>
      <c r="F821" s="637"/>
      <c r="G821" s="637"/>
      <c r="H821" s="637"/>
      <c r="I821" s="637"/>
      <c r="J821" s="637"/>
      <c r="K821" s="637"/>
      <c r="L821" s="637"/>
      <c r="M821" s="637"/>
      <c r="N821" s="637"/>
      <c r="O821" s="637"/>
      <c r="P821" s="637"/>
      <c r="Q821" s="637"/>
      <c r="R821" s="637"/>
      <c r="S821" s="637"/>
      <c r="T821" s="637"/>
      <c r="U821" s="637"/>
      <c r="V821" s="637"/>
      <c r="W821" s="637"/>
      <c r="X821" s="637"/>
      <c r="Y821" s="637"/>
      <c r="Z821" s="637"/>
    </row>
    <row r="822" ht="11.25" customHeight="1">
      <c r="A822" s="637"/>
      <c r="B822" s="637"/>
      <c r="C822" s="637"/>
      <c r="D822" s="637"/>
      <c r="E822" s="637"/>
      <c r="F822" s="637"/>
      <c r="G822" s="637"/>
      <c r="H822" s="637"/>
      <c r="I822" s="637"/>
      <c r="J822" s="637"/>
      <c r="K822" s="637"/>
      <c r="L822" s="637"/>
      <c r="M822" s="637"/>
      <c r="N822" s="637"/>
      <c r="O822" s="637"/>
      <c r="P822" s="637"/>
      <c r="Q822" s="637"/>
      <c r="R822" s="637"/>
      <c r="S822" s="637"/>
      <c r="T822" s="637"/>
      <c r="U822" s="637"/>
      <c r="V822" s="637"/>
      <c r="W822" s="637"/>
      <c r="X822" s="637"/>
      <c r="Y822" s="637"/>
      <c r="Z822" s="637"/>
    </row>
    <row r="823" ht="11.25" customHeight="1">
      <c r="A823" s="637"/>
      <c r="B823" s="637"/>
      <c r="C823" s="637"/>
      <c r="D823" s="637"/>
      <c r="E823" s="637"/>
      <c r="F823" s="637"/>
      <c r="G823" s="637"/>
      <c r="H823" s="637"/>
      <c r="I823" s="637"/>
      <c r="J823" s="637"/>
      <c r="K823" s="637"/>
      <c r="L823" s="637"/>
      <c r="M823" s="637"/>
      <c r="N823" s="637"/>
      <c r="O823" s="637"/>
      <c r="P823" s="637"/>
      <c r="Q823" s="637"/>
      <c r="R823" s="637"/>
      <c r="S823" s="637"/>
      <c r="T823" s="637"/>
      <c r="U823" s="637"/>
      <c r="V823" s="637"/>
      <c r="W823" s="637"/>
      <c r="X823" s="637"/>
      <c r="Y823" s="637"/>
      <c r="Z823" s="637"/>
    </row>
    <row r="824" ht="11.25" customHeight="1">
      <c r="A824" s="637"/>
      <c r="B824" s="637"/>
      <c r="C824" s="637"/>
      <c r="D824" s="637"/>
      <c r="E824" s="637"/>
      <c r="F824" s="637"/>
      <c r="G824" s="637"/>
      <c r="H824" s="637"/>
      <c r="I824" s="637"/>
      <c r="J824" s="637"/>
      <c r="K824" s="637"/>
      <c r="L824" s="637"/>
      <c r="M824" s="637"/>
      <c r="N824" s="637"/>
      <c r="O824" s="637"/>
      <c r="P824" s="637"/>
      <c r="Q824" s="637"/>
      <c r="R824" s="637"/>
      <c r="S824" s="637"/>
      <c r="T824" s="637"/>
      <c r="U824" s="637"/>
      <c r="V824" s="637"/>
      <c r="W824" s="637"/>
      <c r="X824" s="637"/>
      <c r="Y824" s="637"/>
      <c r="Z824" s="637"/>
    </row>
    <row r="825" ht="11.25" customHeight="1">
      <c r="A825" s="637"/>
      <c r="B825" s="637"/>
      <c r="C825" s="637"/>
      <c r="D825" s="637"/>
      <c r="E825" s="637"/>
      <c r="F825" s="637"/>
      <c r="G825" s="637"/>
      <c r="H825" s="637"/>
      <c r="I825" s="637"/>
      <c r="J825" s="637"/>
      <c r="K825" s="637"/>
      <c r="L825" s="637"/>
      <c r="M825" s="637"/>
      <c r="N825" s="637"/>
      <c r="O825" s="637"/>
      <c r="P825" s="637"/>
      <c r="Q825" s="637"/>
      <c r="R825" s="637"/>
      <c r="S825" s="637"/>
      <c r="T825" s="637"/>
      <c r="U825" s="637"/>
      <c r="V825" s="637"/>
      <c r="W825" s="637"/>
      <c r="X825" s="637"/>
      <c r="Y825" s="637"/>
      <c r="Z825" s="637"/>
    </row>
    <row r="826" ht="11.25" customHeight="1">
      <c r="A826" s="637"/>
      <c r="B826" s="637"/>
      <c r="C826" s="637"/>
      <c r="D826" s="637"/>
      <c r="E826" s="637"/>
      <c r="F826" s="637"/>
      <c r="G826" s="637"/>
      <c r="H826" s="637"/>
      <c r="I826" s="637"/>
      <c r="J826" s="637"/>
      <c r="K826" s="637"/>
      <c r="L826" s="637"/>
      <c r="M826" s="637"/>
      <c r="N826" s="637"/>
      <c r="O826" s="637"/>
      <c r="P826" s="637"/>
      <c r="Q826" s="637"/>
      <c r="R826" s="637"/>
      <c r="S826" s="637"/>
      <c r="T826" s="637"/>
      <c r="U826" s="637"/>
      <c r="V826" s="637"/>
      <c r="W826" s="637"/>
      <c r="X826" s="637"/>
      <c r="Y826" s="637"/>
      <c r="Z826" s="637"/>
    </row>
    <row r="827" ht="11.25" customHeight="1">
      <c r="A827" s="637"/>
      <c r="B827" s="637"/>
      <c r="C827" s="637"/>
      <c r="D827" s="637"/>
      <c r="E827" s="637"/>
      <c r="F827" s="637"/>
      <c r="G827" s="637"/>
      <c r="H827" s="637"/>
      <c r="I827" s="637"/>
      <c r="J827" s="637"/>
      <c r="K827" s="637"/>
      <c r="L827" s="637"/>
      <c r="M827" s="637"/>
      <c r="N827" s="637"/>
      <c r="O827" s="637"/>
      <c r="P827" s="637"/>
      <c r="Q827" s="637"/>
      <c r="R827" s="637"/>
      <c r="S827" s="637"/>
      <c r="T827" s="637"/>
      <c r="U827" s="637"/>
      <c r="V827" s="637"/>
      <c r="W827" s="637"/>
      <c r="X827" s="637"/>
      <c r="Y827" s="637"/>
      <c r="Z827" s="637"/>
    </row>
    <row r="828" ht="11.25" customHeight="1">
      <c r="A828" s="637"/>
      <c r="B828" s="637"/>
      <c r="C828" s="637"/>
      <c r="D828" s="637"/>
      <c r="E828" s="637"/>
      <c r="F828" s="637"/>
      <c r="G828" s="637"/>
      <c r="H828" s="637"/>
      <c r="I828" s="637"/>
      <c r="J828" s="637"/>
      <c r="K828" s="637"/>
      <c r="L828" s="637"/>
      <c r="M828" s="637"/>
      <c r="N828" s="637"/>
      <c r="O828" s="637"/>
      <c r="P828" s="637"/>
      <c r="Q828" s="637"/>
      <c r="R828" s="637"/>
      <c r="S828" s="637"/>
      <c r="T828" s="637"/>
      <c r="U828" s="637"/>
      <c r="V828" s="637"/>
      <c r="W828" s="637"/>
      <c r="X828" s="637"/>
      <c r="Y828" s="637"/>
      <c r="Z828" s="637"/>
    </row>
    <row r="829" ht="11.25" customHeight="1">
      <c r="A829" s="637"/>
      <c r="B829" s="637"/>
      <c r="C829" s="637"/>
      <c r="D829" s="637"/>
      <c r="E829" s="637"/>
      <c r="F829" s="637"/>
      <c r="G829" s="637"/>
      <c r="H829" s="637"/>
      <c r="I829" s="637"/>
      <c r="J829" s="637"/>
      <c r="K829" s="637"/>
      <c r="L829" s="637"/>
      <c r="M829" s="637"/>
      <c r="N829" s="637"/>
      <c r="O829" s="637"/>
      <c r="P829" s="637"/>
      <c r="Q829" s="637"/>
      <c r="R829" s="637"/>
      <c r="S829" s="637"/>
      <c r="T829" s="637"/>
      <c r="U829" s="637"/>
      <c r="V829" s="637"/>
      <c r="W829" s="637"/>
      <c r="X829" s="637"/>
      <c r="Y829" s="637"/>
      <c r="Z829" s="637"/>
    </row>
    <row r="830" ht="11.25" customHeight="1">
      <c r="A830" s="637"/>
      <c r="B830" s="637"/>
      <c r="C830" s="637"/>
      <c r="D830" s="637"/>
      <c r="E830" s="637"/>
      <c r="F830" s="637"/>
      <c r="G830" s="637"/>
      <c r="H830" s="637"/>
      <c r="I830" s="637"/>
      <c r="J830" s="637"/>
      <c r="K830" s="637"/>
      <c r="L830" s="637"/>
      <c r="M830" s="637"/>
      <c r="N830" s="637"/>
      <c r="O830" s="637"/>
      <c r="P830" s="637"/>
      <c r="Q830" s="637"/>
      <c r="R830" s="637"/>
      <c r="S830" s="637"/>
      <c r="T830" s="637"/>
      <c r="U830" s="637"/>
      <c r="V830" s="637"/>
      <c r="W830" s="637"/>
      <c r="X830" s="637"/>
      <c r="Y830" s="637"/>
      <c r="Z830" s="637"/>
    </row>
    <row r="831" ht="11.25" customHeight="1">
      <c r="A831" s="637"/>
      <c r="B831" s="637"/>
      <c r="C831" s="637"/>
      <c r="D831" s="637"/>
      <c r="E831" s="637"/>
      <c r="F831" s="637"/>
      <c r="G831" s="637"/>
      <c r="H831" s="637"/>
      <c r="I831" s="637"/>
      <c r="J831" s="637"/>
      <c r="K831" s="637"/>
      <c r="L831" s="637"/>
      <c r="M831" s="637"/>
      <c r="N831" s="637"/>
      <c r="O831" s="637"/>
      <c r="P831" s="637"/>
      <c r="Q831" s="637"/>
      <c r="R831" s="637"/>
      <c r="S831" s="637"/>
      <c r="T831" s="637"/>
      <c r="U831" s="637"/>
      <c r="V831" s="637"/>
      <c r="W831" s="637"/>
      <c r="X831" s="637"/>
      <c r="Y831" s="637"/>
      <c r="Z831" s="637"/>
    </row>
    <row r="832" ht="11.25" customHeight="1">
      <c r="A832" s="637"/>
      <c r="B832" s="637"/>
      <c r="C832" s="637"/>
      <c r="D832" s="637"/>
      <c r="E832" s="637"/>
      <c r="F832" s="637"/>
      <c r="G832" s="637"/>
      <c r="H832" s="637"/>
      <c r="I832" s="637"/>
      <c r="J832" s="637"/>
      <c r="K832" s="637"/>
      <c r="L832" s="637"/>
      <c r="M832" s="637"/>
      <c r="N832" s="637"/>
      <c r="O832" s="637"/>
      <c r="P832" s="637"/>
      <c r="Q832" s="637"/>
      <c r="R832" s="637"/>
      <c r="S832" s="637"/>
      <c r="T832" s="637"/>
      <c r="U832" s="637"/>
      <c r="V832" s="637"/>
      <c r="W832" s="637"/>
      <c r="X832" s="637"/>
      <c r="Y832" s="637"/>
      <c r="Z832" s="637"/>
    </row>
    <row r="833" ht="11.25" customHeight="1">
      <c r="A833" s="637"/>
      <c r="B833" s="637"/>
      <c r="C833" s="637"/>
      <c r="D833" s="637"/>
      <c r="E833" s="637"/>
      <c r="F833" s="637"/>
      <c r="G833" s="637"/>
      <c r="H833" s="637"/>
      <c r="I833" s="637"/>
      <c r="J833" s="637"/>
      <c r="K833" s="637"/>
      <c r="L833" s="637"/>
      <c r="M833" s="637"/>
      <c r="N833" s="637"/>
      <c r="O833" s="637"/>
      <c r="P833" s="637"/>
      <c r="Q833" s="637"/>
      <c r="R833" s="637"/>
      <c r="S833" s="637"/>
      <c r="T833" s="637"/>
      <c r="U833" s="637"/>
      <c r="V833" s="637"/>
      <c r="W833" s="637"/>
      <c r="X833" s="637"/>
      <c r="Y833" s="637"/>
      <c r="Z833" s="637"/>
    </row>
    <row r="834" ht="11.25" customHeight="1">
      <c r="A834" s="637"/>
      <c r="B834" s="637"/>
      <c r="C834" s="637"/>
      <c r="D834" s="637"/>
      <c r="E834" s="637"/>
      <c r="F834" s="637"/>
      <c r="G834" s="637"/>
      <c r="H834" s="637"/>
      <c r="I834" s="637"/>
      <c r="J834" s="637"/>
      <c r="K834" s="637"/>
      <c r="L834" s="637"/>
      <c r="M834" s="637"/>
      <c r="N834" s="637"/>
      <c r="O834" s="637"/>
      <c r="P834" s="637"/>
      <c r="Q834" s="637"/>
      <c r="R834" s="637"/>
      <c r="S834" s="637"/>
      <c r="T834" s="637"/>
      <c r="U834" s="637"/>
      <c r="V834" s="637"/>
      <c r="W834" s="637"/>
      <c r="X834" s="637"/>
      <c r="Y834" s="637"/>
      <c r="Z834" s="637"/>
    </row>
    <row r="835" ht="11.25" customHeight="1">
      <c r="A835" s="637"/>
      <c r="B835" s="637"/>
      <c r="C835" s="637"/>
      <c r="D835" s="637"/>
      <c r="E835" s="637"/>
      <c r="F835" s="637"/>
      <c r="G835" s="637"/>
      <c r="H835" s="637"/>
      <c r="I835" s="637"/>
      <c r="J835" s="637"/>
      <c r="K835" s="637"/>
      <c r="L835" s="637"/>
      <c r="M835" s="637"/>
      <c r="N835" s="637"/>
      <c r="O835" s="637"/>
      <c r="P835" s="637"/>
      <c r="Q835" s="637"/>
      <c r="R835" s="637"/>
      <c r="S835" s="637"/>
      <c r="T835" s="637"/>
      <c r="U835" s="637"/>
      <c r="V835" s="637"/>
      <c r="W835" s="637"/>
      <c r="X835" s="637"/>
      <c r="Y835" s="637"/>
      <c r="Z835" s="637"/>
    </row>
    <row r="836" ht="11.25" customHeight="1">
      <c r="A836" s="637"/>
      <c r="B836" s="637"/>
      <c r="C836" s="637"/>
      <c r="D836" s="637"/>
      <c r="E836" s="637"/>
      <c r="F836" s="637"/>
      <c r="G836" s="637"/>
      <c r="H836" s="637"/>
      <c r="I836" s="637"/>
      <c r="J836" s="637"/>
      <c r="K836" s="637"/>
      <c r="L836" s="637"/>
      <c r="M836" s="637"/>
      <c r="N836" s="637"/>
      <c r="O836" s="637"/>
      <c r="P836" s="637"/>
      <c r="Q836" s="637"/>
      <c r="R836" s="637"/>
      <c r="S836" s="637"/>
      <c r="T836" s="637"/>
      <c r="U836" s="637"/>
      <c r="V836" s="637"/>
      <c r="W836" s="637"/>
      <c r="X836" s="637"/>
      <c r="Y836" s="637"/>
      <c r="Z836" s="637"/>
    </row>
    <row r="837" ht="11.25" customHeight="1">
      <c r="A837" s="637"/>
      <c r="B837" s="637"/>
      <c r="C837" s="637"/>
      <c r="D837" s="637"/>
      <c r="E837" s="637"/>
      <c r="F837" s="637"/>
      <c r="G837" s="637"/>
      <c r="H837" s="637"/>
      <c r="I837" s="637"/>
      <c r="J837" s="637"/>
      <c r="K837" s="637"/>
      <c r="L837" s="637"/>
      <c r="M837" s="637"/>
      <c r="N837" s="637"/>
      <c r="O837" s="637"/>
      <c r="P837" s="637"/>
      <c r="Q837" s="637"/>
      <c r="R837" s="637"/>
      <c r="S837" s="637"/>
      <c r="T837" s="637"/>
      <c r="U837" s="637"/>
      <c r="V837" s="637"/>
      <c r="W837" s="637"/>
      <c r="X837" s="637"/>
      <c r="Y837" s="637"/>
      <c r="Z837" s="637"/>
    </row>
    <row r="838" ht="11.25" customHeight="1">
      <c r="A838" s="637"/>
      <c r="B838" s="637"/>
      <c r="C838" s="637"/>
      <c r="D838" s="637"/>
      <c r="E838" s="637"/>
      <c r="F838" s="637"/>
      <c r="G838" s="637"/>
      <c r="H838" s="637"/>
      <c r="I838" s="637"/>
      <c r="J838" s="637"/>
      <c r="K838" s="637"/>
      <c r="L838" s="637"/>
      <c r="M838" s="637"/>
      <c r="N838" s="637"/>
      <c r="O838" s="637"/>
      <c r="P838" s="637"/>
      <c r="Q838" s="637"/>
      <c r="R838" s="637"/>
      <c r="S838" s="637"/>
      <c r="T838" s="637"/>
      <c r="U838" s="637"/>
      <c r="V838" s="637"/>
      <c r="W838" s="637"/>
      <c r="X838" s="637"/>
      <c r="Y838" s="637"/>
      <c r="Z838" s="637"/>
    </row>
    <row r="839" ht="11.25" customHeight="1">
      <c r="A839" s="637"/>
      <c r="B839" s="637"/>
      <c r="C839" s="637"/>
      <c r="D839" s="637"/>
      <c r="E839" s="637"/>
      <c r="F839" s="637"/>
      <c r="G839" s="637"/>
      <c r="H839" s="637"/>
      <c r="I839" s="637"/>
      <c r="J839" s="637"/>
      <c r="K839" s="637"/>
      <c r="L839" s="637"/>
      <c r="M839" s="637"/>
      <c r="N839" s="637"/>
      <c r="O839" s="637"/>
      <c r="P839" s="637"/>
      <c r="Q839" s="637"/>
      <c r="R839" s="637"/>
      <c r="S839" s="637"/>
      <c r="T839" s="637"/>
      <c r="U839" s="637"/>
      <c r="V839" s="637"/>
      <c r="W839" s="637"/>
      <c r="X839" s="637"/>
      <c r="Y839" s="637"/>
      <c r="Z839" s="637"/>
    </row>
    <row r="840" ht="11.25" customHeight="1">
      <c r="A840" s="637"/>
      <c r="B840" s="637"/>
      <c r="C840" s="637"/>
      <c r="D840" s="637"/>
      <c r="E840" s="637"/>
      <c r="F840" s="637"/>
      <c r="G840" s="637"/>
      <c r="H840" s="637"/>
      <c r="I840" s="637"/>
      <c r="J840" s="637"/>
      <c r="K840" s="637"/>
      <c r="L840" s="637"/>
      <c r="M840" s="637"/>
      <c r="N840" s="637"/>
      <c r="O840" s="637"/>
      <c r="P840" s="637"/>
      <c r="Q840" s="637"/>
      <c r="R840" s="637"/>
      <c r="S840" s="637"/>
      <c r="T840" s="637"/>
      <c r="U840" s="637"/>
      <c r="V840" s="637"/>
      <c r="W840" s="637"/>
      <c r="X840" s="637"/>
      <c r="Y840" s="637"/>
      <c r="Z840" s="637"/>
    </row>
    <row r="841" ht="11.25" customHeight="1">
      <c r="A841" s="637"/>
      <c r="B841" s="637"/>
      <c r="C841" s="637"/>
      <c r="D841" s="637"/>
      <c r="E841" s="637"/>
      <c r="F841" s="637"/>
      <c r="G841" s="637"/>
      <c r="H841" s="637"/>
      <c r="I841" s="637"/>
      <c r="J841" s="637"/>
      <c r="K841" s="637"/>
      <c r="L841" s="637"/>
      <c r="M841" s="637"/>
      <c r="N841" s="637"/>
      <c r="O841" s="637"/>
      <c r="P841" s="637"/>
      <c r="Q841" s="637"/>
      <c r="R841" s="637"/>
      <c r="S841" s="637"/>
      <c r="T841" s="637"/>
      <c r="U841" s="637"/>
      <c r="V841" s="637"/>
      <c r="W841" s="637"/>
      <c r="X841" s="637"/>
      <c r="Y841" s="637"/>
      <c r="Z841" s="637"/>
    </row>
    <row r="842" ht="11.25" customHeight="1">
      <c r="A842" s="637"/>
      <c r="B842" s="637"/>
      <c r="C842" s="637"/>
      <c r="D842" s="637"/>
      <c r="E842" s="637"/>
      <c r="F842" s="637"/>
      <c r="G842" s="637"/>
      <c r="H842" s="637"/>
      <c r="I842" s="637"/>
      <c r="J842" s="637"/>
      <c r="K842" s="637"/>
      <c r="L842" s="637"/>
      <c r="M842" s="637"/>
      <c r="N842" s="637"/>
      <c r="O842" s="637"/>
      <c r="P842" s="637"/>
      <c r="Q842" s="637"/>
      <c r="R842" s="637"/>
      <c r="S842" s="637"/>
      <c r="T842" s="637"/>
      <c r="U842" s="637"/>
      <c r="V842" s="637"/>
      <c r="W842" s="637"/>
      <c r="X842" s="637"/>
      <c r="Y842" s="637"/>
      <c r="Z842" s="637"/>
    </row>
    <row r="843" ht="11.25" customHeight="1">
      <c r="A843" s="637"/>
      <c r="B843" s="637"/>
      <c r="C843" s="637"/>
      <c r="D843" s="637"/>
      <c r="E843" s="637"/>
      <c r="F843" s="637"/>
      <c r="G843" s="637"/>
      <c r="H843" s="637"/>
      <c r="I843" s="637"/>
      <c r="J843" s="637"/>
      <c r="K843" s="637"/>
      <c r="L843" s="637"/>
      <c r="M843" s="637"/>
      <c r="N843" s="637"/>
      <c r="O843" s="637"/>
      <c r="P843" s="637"/>
      <c r="Q843" s="637"/>
      <c r="R843" s="637"/>
      <c r="S843" s="637"/>
      <c r="T843" s="637"/>
      <c r="U843" s="637"/>
      <c r="V843" s="637"/>
      <c r="W843" s="637"/>
      <c r="X843" s="637"/>
      <c r="Y843" s="637"/>
      <c r="Z843" s="637"/>
    </row>
    <row r="844" ht="11.25" customHeight="1">
      <c r="A844" s="637"/>
      <c r="B844" s="637"/>
      <c r="C844" s="637"/>
      <c r="D844" s="637"/>
      <c r="E844" s="637"/>
      <c r="F844" s="637"/>
      <c r="G844" s="637"/>
      <c r="H844" s="637"/>
      <c r="I844" s="637"/>
      <c r="J844" s="637"/>
      <c r="K844" s="637"/>
      <c r="L844" s="637"/>
      <c r="M844" s="637"/>
      <c r="N844" s="637"/>
      <c r="O844" s="637"/>
      <c r="P844" s="637"/>
      <c r="Q844" s="637"/>
      <c r="R844" s="637"/>
      <c r="S844" s="637"/>
      <c r="T844" s="637"/>
      <c r="U844" s="637"/>
      <c r="V844" s="637"/>
      <c r="W844" s="637"/>
      <c r="X844" s="637"/>
      <c r="Y844" s="637"/>
      <c r="Z844" s="637"/>
    </row>
    <row r="845" ht="11.25" customHeight="1">
      <c r="A845" s="637"/>
      <c r="B845" s="637"/>
      <c r="C845" s="637"/>
      <c r="D845" s="637"/>
      <c r="E845" s="637"/>
      <c r="F845" s="637"/>
      <c r="G845" s="637"/>
      <c r="H845" s="637"/>
      <c r="I845" s="637"/>
      <c r="J845" s="637"/>
      <c r="K845" s="637"/>
      <c r="L845" s="637"/>
      <c r="M845" s="637"/>
      <c r="N845" s="637"/>
      <c r="O845" s="637"/>
      <c r="P845" s="637"/>
      <c r="Q845" s="637"/>
      <c r="R845" s="637"/>
      <c r="S845" s="637"/>
      <c r="T845" s="637"/>
      <c r="U845" s="637"/>
      <c r="V845" s="637"/>
      <c r="W845" s="637"/>
      <c r="X845" s="637"/>
      <c r="Y845" s="637"/>
      <c r="Z845" s="637"/>
    </row>
    <row r="846" ht="11.25" customHeight="1">
      <c r="A846" s="637"/>
      <c r="B846" s="637"/>
      <c r="C846" s="637"/>
      <c r="D846" s="637"/>
      <c r="E846" s="637"/>
      <c r="F846" s="637"/>
      <c r="G846" s="637"/>
      <c r="H846" s="637"/>
      <c r="I846" s="637"/>
      <c r="J846" s="637"/>
      <c r="K846" s="637"/>
      <c r="L846" s="637"/>
      <c r="M846" s="637"/>
      <c r="N846" s="637"/>
      <c r="O846" s="637"/>
      <c r="P846" s="637"/>
      <c r="Q846" s="637"/>
      <c r="R846" s="637"/>
      <c r="S846" s="637"/>
      <c r="T846" s="637"/>
      <c r="U846" s="637"/>
      <c r="V846" s="637"/>
      <c r="W846" s="637"/>
      <c r="X846" s="637"/>
      <c r="Y846" s="637"/>
      <c r="Z846" s="637"/>
    </row>
    <row r="847" ht="11.25" customHeight="1">
      <c r="A847" s="637"/>
      <c r="B847" s="637"/>
      <c r="C847" s="637"/>
      <c r="D847" s="637"/>
      <c r="E847" s="637"/>
      <c r="F847" s="637"/>
      <c r="G847" s="637"/>
      <c r="H847" s="637"/>
      <c r="I847" s="637"/>
      <c r="J847" s="637"/>
      <c r="K847" s="637"/>
      <c r="L847" s="637"/>
      <c r="M847" s="637"/>
      <c r="N847" s="637"/>
      <c r="O847" s="637"/>
      <c r="P847" s="637"/>
      <c r="Q847" s="637"/>
      <c r="R847" s="637"/>
      <c r="S847" s="637"/>
      <c r="T847" s="637"/>
      <c r="U847" s="637"/>
      <c r="V847" s="637"/>
      <c r="W847" s="637"/>
      <c r="X847" s="637"/>
      <c r="Y847" s="637"/>
      <c r="Z847" s="637"/>
    </row>
    <row r="848" ht="11.25" customHeight="1">
      <c r="A848" s="637"/>
      <c r="B848" s="637"/>
      <c r="C848" s="637"/>
      <c r="D848" s="637"/>
      <c r="E848" s="637"/>
      <c r="F848" s="637"/>
      <c r="G848" s="637"/>
      <c r="H848" s="637"/>
      <c r="I848" s="637"/>
      <c r="J848" s="637"/>
      <c r="K848" s="637"/>
      <c r="L848" s="637"/>
      <c r="M848" s="637"/>
      <c r="N848" s="637"/>
      <c r="O848" s="637"/>
      <c r="P848" s="637"/>
      <c r="Q848" s="637"/>
      <c r="R848" s="637"/>
      <c r="S848" s="637"/>
      <c r="T848" s="637"/>
      <c r="U848" s="637"/>
      <c r="V848" s="637"/>
      <c r="W848" s="637"/>
      <c r="X848" s="637"/>
      <c r="Y848" s="637"/>
      <c r="Z848" s="637"/>
    </row>
    <row r="849" ht="11.25" customHeight="1">
      <c r="A849" s="637"/>
      <c r="B849" s="637"/>
      <c r="C849" s="637"/>
      <c r="D849" s="637"/>
      <c r="E849" s="637"/>
      <c r="F849" s="637"/>
      <c r="G849" s="637"/>
      <c r="H849" s="637"/>
      <c r="I849" s="637"/>
      <c r="J849" s="637"/>
      <c r="K849" s="637"/>
      <c r="L849" s="637"/>
      <c r="M849" s="637"/>
      <c r="N849" s="637"/>
      <c r="O849" s="637"/>
      <c r="P849" s="637"/>
      <c r="Q849" s="637"/>
      <c r="R849" s="637"/>
      <c r="S849" s="637"/>
      <c r="T849" s="637"/>
      <c r="U849" s="637"/>
      <c r="V849" s="637"/>
      <c r="W849" s="637"/>
      <c r="X849" s="637"/>
      <c r="Y849" s="637"/>
      <c r="Z849" s="637"/>
    </row>
    <row r="850" ht="11.25" customHeight="1">
      <c r="A850" s="637"/>
      <c r="B850" s="637"/>
      <c r="C850" s="637"/>
      <c r="D850" s="637"/>
      <c r="E850" s="637"/>
      <c r="F850" s="637"/>
      <c r="G850" s="637"/>
      <c r="H850" s="637"/>
      <c r="I850" s="637"/>
      <c r="J850" s="637"/>
      <c r="K850" s="637"/>
      <c r="L850" s="637"/>
      <c r="M850" s="637"/>
      <c r="N850" s="637"/>
      <c r="O850" s="637"/>
      <c r="P850" s="637"/>
      <c r="Q850" s="637"/>
      <c r="R850" s="637"/>
      <c r="S850" s="637"/>
      <c r="T850" s="637"/>
      <c r="U850" s="637"/>
      <c r="V850" s="637"/>
      <c r="W850" s="637"/>
      <c r="X850" s="637"/>
      <c r="Y850" s="637"/>
      <c r="Z850" s="637"/>
    </row>
    <row r="851" ht="11.25" customHeight="1">
      <c r="A851" s="637"/>
      <c r="B851" s="637"/>
      <c r="C851" s="637"/>
      <c r="D851" s="637"/>
      <c r="E851" s="637"/>
      <c r="F851" s="637"/>
      <c r="G851" s="637"/>
      <c r="H851" s="637"/>
      <c r="I851" s="637"/>
      <c r="J851" s="637"/>
      <c r="K851" s="637"/>
      <c r="L851" s="637"/>
      <c r="M851" s="637"/>
      <c r="N851" s="637"/>
      <c r="O851" s="637"/>
      <c r="P851" s="637"/>
      <c r="Q851" s="637"/>
      <c r="R851" s="637"/>
      <c r="S851" s="637"/>
      <c r="T851" s="637"/>
      <c r="U851" s="637"/>
      <c r="V851" s="637"/>
      <c r="W851" s="637"/>
      <c r="X851" s="637"/>
      <c r="Y851" s="637"/>
      <c r="Z851" s="637"/>
    </row>
    <row r="852" ht="11.25" customHeight="1">
      <c r="A852" s="637"/>
      <c r="B852" s="637"/>
      <c r="C852" s="637"/>
      <c r="D852" s="637"/>
      <c r="E852" s="637"/>
      <c r="F852" s="637"/>
      <c r="G852" s="637"/>
      <c r="H852" s="637"/>
      <c r="I852" s="637"/>
      <c r="J852" s="637"/>
      <c r="K852" s="637"/>
      <c r="L852" s="637"/>
      <c r="M852" s="637"/>
      <c r="N852" s="637"/>
      <c r="O852" s="637"/>
      <c r="P852" s="637"/>
      <c r="Q852" s="637"/>
      <c r="R852" s="637"/>
      <c r="S852" s="637"/>
      <c r="T852" s="637"/>
      <c r="U852" s="637"/>
      <c r="V852" s="637"/>
      <c r="W852" s="637"/>
      <c r="X852" s="637"/>
      <c r="Y852" s="637"/>
      <c r="Z852" s="637"/>
    </row>
    <row r="853" ht="11.25" customHeight="1">
      <c r="A853" s="637"/>
      <c r="B853" s="637"/>
      <c r="C853" s="637"/>
      <c r="D853" s="637"/>
      <c r="E853" s="637"/>
      <c r="F853" s="637"/>
      <c r="G853" s="637"/>
      <c r="H853" s="637"/>
      <c r="I853" s="637"/>
      <c r="J853" s="637"/>
      <c r="K853" s="637"/>
      <c r="L853" s="637"/>
      <c r="M853" s="637"/>
      <c r="N853" s="637"/>
      <c r="O853" s="637"/>
      <c r="P853" s="637"/>
      <c r="Q853" s="637"/>
      <c r="R853" s="637"/>
      <c r="S853" s="637"/>
      <c r="T853" s="637"/>
      <c r="U853" s="637"/>
      <c r="V853" s="637"/>
      <c r="W853" s="637"/>
      <c r="X853" s="637"/>
      <c r="Y853" s="637"/>
      <c r="Z853" s="637"/>
    </row>
    <row r="854" ht="11.25" customHeight="1">
      <c r="A854" s="637"/>
      <c r="B854" s="637"/>
      <c r="C854" s="637"/>
      <c r="D854" s="637"/>
      <c r="E854" s="637"/>
      <c r="F854" s="637"/>
      <c r="G854" s="637"/>
      <c r="H854" s="637"/>
      <c r="I854" s="637"/>
      <c r="J854" s="637"/>
      <c r="K854" s="637"/>
      <c r="L854" s="637"/>
      <c r="M854" s="637"/>
      <c r="N854" s="637"/>
      <c r="O854" s="637"/>
      <c r="P854" s="637"/>
      <c r="Q854" s="637"/>
      <c r="R854" s="637"/>
      <c r="S854" s="637"/>
      <c r="T854" s="637"/>
      <c r="U854" s="637"/>
      <c r="V854" s="637"/>
      <c r="W854" s="637"/>
      <c r="X854" s="637"/>
      <c r="Y854" s="637"/>
      <c r="Z854" s="637"/>
    </row>
    <row r="855" ht="11.25" customHeight="1">
      <c r="A855" s="637"/>
      <c r="B855" s="637"/>
      <c r="C855" s="637"/>
      <c r="D855" s="637"/>
      <c r="E855" s="637"/>
      <c r="F855" s="637"/>
      <c r="G855" s="637"/>
      <c r="H855" s="637"/>
      <c r="I855" s="637"/>
      <c r="J855" s="637"/>
      <c r="K855" s="637"/>
      <c r="L855" s="637"/>
      <c r="M855" s="637"/>
      <c r="N855" s="637"/>
      <c r="O855" s="637"/>
      <c r="P855" s="637"/>
      <c r="Q855" s="637"/>
      <c r="R855" s="637"/>
      <c r="S855" s="637"/>
      <c r="T855" s="637"/>
      <c r="U855" s="637"/>
      <c r="V855" s="637"/>
      <c r="W855" s="637"/>
      <c r="X855" s="637"/>
      <c r="Y855" s="637"/>
      <c r="Z855" s="637"/>
    </row>
    <row r="856" ht="11.25" customHeight="1">
      <c r="A856" s="637"/>
      <c r="B856" s="637"/>
      <c r="C856" s="637"/>
      <c r="D856" s="637"/>
      <c r="E856" s="637"/>
      <c r="F856" s="637"/>
      <c r="G856" s="637"/>
      <c r="H856" s="637"/>
      <c r="I856" s="637"/>
      <c r="J856" s="637"/>
      <c r="K856" s="637"/>
      <c r="L856" s="637"/>
      <c r="M856" s="637"/>
      <c r="N856" s="637"/>
      <c r="O856" s="637"/>
      <c r="P856" s="637"/>
      <c r="Q856" s="637"/>
      <c r="R856" s="637"/>
      <c r="S856" s="637"/>
      <c r="T856" s="637"/>
      <c r="U856" s="637"/>
      <c r="V856" s="637"/>
      <c r="W856" s="637"/>
      <c r="X856" s="637"/>
      <c r="Y856" s="637"/>
      <c r="Z856" s="637"/>
    </row>
    <row r="857" ht="11.25" customHeight="1">
      <c r="A857" s="637"/>
      <c r="B857" s="637"/>
      <c r="C857" s="637"/>
      <c r="D857" s="637"/>
      <c r="E857" s="637"/>
      <c r="F857" s="637"/>
      <c r="G857" s="637"/>
      <c r="H857" s="637"/>
      <c r="I857" s="637"/>
      <c r="J857" s="637"/>
      <c r="K857" s="637"/>
      <c r="L857" s="637"/>
      <c r="M857" s="637"/>
      <c r="N857" s="637"/>
      <c r="O857" s="637"/>
      <c r="P857" s="637"/>
      <c r="Q857" s="637"/>
      <c r="R857" s="637"/>
      <c r="S857" s="637"/>
      <c r="T857" s="637"/>
      <c r="U857" s="637"/>
      <c r="V857" s="637"/>
      <c r="W857" s="637"/>
      <c r="X857" s="637"/>
      <c r="Y857" s="637"/>
      <c r="Z857" s="637"/>
    </row>
    <row r="858" ht="11.25" customHeight="1">
      <c r="A858" s="637"/>
      <c r="B858" s="637"/>
      <c r="C858" s="637"/>
      <c r="D858" s="637"/>
      <c r="E858" s="637"/>
      <c r="F858" s="637"/>
      <c r="G858" s="637"/>
      <c r="H858" s="637"/>
      <c r="I858" s="637"/>
      <c r="J858" s="637"/>
      <c r="K858" s="637"/>
      <c r="L858" s="637"/>
      <c r="M858" s="637"/>
      <c r="N858" s="637"/>
      <c r="O858" s="637"/>
      <c r="P858" s="637"/>
      <c r="Q858" s="637"/>
      <c r="R858" s="637"/>
      <c r="S858" s="637"/>
      <c r="T858" s="637"/>
      <c r="U858" s="637"/>
      <c r="V858" s="637"/>
      <c r="W858" s="637"/>
      <c r="X858" s="637"/>
      <c r="Y858" s="637"/>
      <c r="Z858" s="637"/>
    </row>
    <row r="859" ht="11.25" customHeight="1">
      <c r="A859" s="637"/>
      <c r="B859" s="637"/>
      <c r="C859" s="637"/>
      <c r="D859" s="637"/>
      <c r="E859" s="637"/>
      <c r="F859" s="637"/>
      <c r="G859" s="637"/>
      <c r="H859" s="637"/>
      <c r="I859" s="637"/>
      <c r="J859" s="637"/>
      <c r="K859" s="637"/>
      <c r="L859" s="637"/>
      <c r="M859" s="637"/>
      <c r="N859" s="637"/>
      <c r="O859" s="637"/>
      <c r="P859" s="637"/>
      <c r="Q859" s="637"/>
      <c r="R859" s="637"/>
      <c r="S859" s="637"/>
      <c r="T859" s="637"/>
      <c r="U859" s="637"/>
      <c r="V859" s="637"/>
      <c r="W859" s="637"/>
      <c r="X859" s="637"/>
      <c r="Y859" s="637"/>
      <c r="Z859" s="637"/>
    </row>
    <row r="860" ht="11.25" customHeight="1">
      <c r="A860" s="637"/>
      <c r="B860" s="637"/>
      <c r="C860" s="637"/>
      <c r="D860" s="637"/>
      <c r="E860" s="637"/>
      <c r="F860" s="637"/>
      <c r="G860" s="637"/>
      <c r="H860" s="637"/>
      <c r="I860" s="637"/>
      <c r="J860" s="637"/>
      <c r="K860" s="637"/>
      <c r="L860" s="637"/>
      <c r="M860" s="637"/>
      <c r="N860" s="637"/>
      <c r="O860" s="637"/>
      <c r="P860" s="637"/>
      <c r="Q860" s="637"/>
      <c r="R860" s="637"/>
      <c r="S860" s="637"/>
      <c r="T860" s="637"/>
      <c r="U860" s="637"/>
      <c r="V860" s="637"/>
      <c r="W860" s="637"/>
      <c r="X860" s="637"/>
      <c r="Y860" s="637"/>
      <c r="Z860" s="637"/>
    </row>
    <row r="861" ht="11.25" customHeight="1">
      <c r="A861" s="637"/>
      <c r="B861" s="637"/>
      <c r="C861" s="637"/>
      <c r="D861" s="637"/>
      <c r="E861" s="637"/>
      <c r="F861" s="637"/>
      <c r="G861" s="637"/>
      <c r="H861" s="637"/>
      <c r="I861" s="637"/>
      <c r="J861" s="637"/>
      <c r="K861" s="637"/>
      <c r="L861" s="637"/>
      <c r="M861" s="637"/>
      <c r="N861" s="637"/>
      <c r="O861" s="637"/>
      <c r="P861" s="637"/>
      <c r="Q861" s="637"/>
      <c r="R861" s="637"/>
      <c r="S861" s="637"/>
      <c r="T861" s="637"/>
      <c r="U861" s="637"/>
      <c r="V861" s="637"/>
      <c r="W861" s="637"/>
      <c r="X861" s="637"/>
      <c r="Y861" s="637"/>
      <c r="Z861" s="637"/>
    </row>
    <row r="862" ht="11.25" customHeight="1">
      <c r="A862" s="637"/>
      <c r="B862" s="637"/>
      <c r="C862" s="637"/>
      <c r="D862" s="637"/>
      <c r="E862" s="637"/>
      <c r="F862" s="637"/>
      <c r="G862" s="637"/>
      <c r="H862" s="637"/>
      <c r="I862" s="637"/>
      <c r="J862" s="637"/>
      <c r="K862" s="637"/>
      <c r="L862" s="637"/>
      <c r="M862" s="637"/>
      <c r="N862" s="637"/>
      <c r="O862" s="637"/>
      <c r="P862" s="637"/>
      <c r="Q862" s="637"/>
      <c r="R862" s="637"/>
      <c r="S862" s="637"/>
      <c r="T862" s="637"/>
      <c r="U862" s="637"/>
      <c r="V862" s="637"/>
      <c r="W862" s="637"/>
      <c r="X862" s="637"/>
      <c r="Y862" s="637"/>
      <c r="Z862" s="637"/>
    </row>
    <row r="863" ht="11.25" customHeight="1">
      <c r="A863" s="637"/>
      <c r="B863" s="637"/>
      <c r="C863" s="637"/>
      <c r="D863" s="637"/>
      <c r="E863" s="637"/>
      <c r="F863" s="637"/>
      <c r="G863" s="637"/>
      <c r="H863" s="637"/>
      <c r="I863" s="637"/>
      <c r="J863" s="637"/>
      <c r="K863" s="637"/>
      <c r="L863" s="637"/>
      <c r="M863" s="637"/>
      <c r="N863" s="637"/>
      <c r="O863" s="637"/>
      <c r="P863" s="637"/>
      <c r="Q863" s="637"/>
      <c r="R863" s="637"/>
      <c r="S863" s="637"/>
      <c r="T863" s="637"/>
      <c r="U863" s="637"/>
      <c r="V863" s="637"/>
      <c r="W863" s="637"/>
      <c r="X863" s="637"/>
      <c r="Y863" s="637"/>
      <c r="Z863" s="637"/>
    </row>
    <row r="864" ht="11.25" customHeight="1">
      <c r="A864" s="637"/>
      <c r="B864" s="637"/>
      <c r="C864" s="637"/>
      <c r="D864" s="637"/>
      <c r="E864" s="637"/>
      <c r="F864" s="637"/>
      <c r="G864" s="637"/>
      <c r="H864" s="637"/>
      <c r="I864" s="637"/>
      <c r="J864" s="637"/>
      <c r="K864" s="637"/>
      <c r="L864" s="637"/>
      <c r="M864" s="637"/>
      <c r="N864" s="637"/>
      <c r="O864" s="637"/>
      <c r="P864" s="637"/>
      <c r="Q864" s="637"/>
      <c r="R864" s="637"/>
      <c r="S864" s="637"/>
      <c r="T864" s="637"/>
      <c r="U864" s="637"/>
      <c r="V864" s="637"/>
      <c r="W864" s="637"/>
      <c r="X864" s="637"/>
      <c r="Y864" s="637"/>
      <c r="Z864" s="637"/>
    </row>
    <row r="865" ht="11.25" customHeight="1">
      <c r="A865" s="637"/>
      <c r="B865" s="637"/>
      <c r="C865" s="637"/>
      <c r="D865" s="637"/>
      <c r="E865" s="637"/>
      <c r="F865" s="637"/>
      <c r="G865" s="637"/>
      <c r="H865" s="637"/>
      <c r="I865" s="637"/>
      <c r="J865" s="637"/>
      <c r="K865" s="637"/>
      <c r="L865" s="637"/>
      <c r="M865" s="637"/>
      <c r="N865" s="637"/>
      <c r="O865" s="637"/>
      <c r="P865" s="637"/>
      <c r="Q865" s="637"/>
      <c r="R865" s="637"/>
      <c r="S865" s="637"/>
      <c r="T865" s="637"/>
      <c r="U865" s="637"/>
      <c r="V865" s="637"/>
      <c r="W865" s="637"/>
      <c r="X865" s="637"/>
      <c r="Y865" s="637"/>
      <c r="Z865" s="637"/>
    </row>
    <row r="866" ht="11.25" customHeight="1">
      <c r="A866" s="637"/>
      <c r="B866" s="637"/>
      <c r="C866" s="637"/>
      <c r="D866" s="637"/>
      <c r="E866" s="637"/>
      <c r="F866" s="637"/>
      <c r="G866" s="637"/>
      <c r="H866" s="637"/>
      <c r="I866" s="637"/>
      <c r="J866" s="637"/>
      <c r="K866" s="637"/>
      <c r="L866" s="637"/>
      <c r="M866" s="637"/>
      <c r="N866" s="637"/>
      <c r="O866" s="637"/>
      <c r="P866" s="637"/>
      <c r="Q866" s="637"/>
      <c r="R866" s="637"/>
      <c r="S866" s="637"/>
      <c r="T866" s="637"/>
      <c r="U866" s="637"/>
      <c r="V866" s="637"/>
      <c r="W866" s="637"/>
      <c r="X866" s="637"/>
      <c r="Y866" s="637"/>
      <c r="Z866" s="637"/>
    </row>
    <row r="867" ht="11.25" customHeight="1">
      <c r="A867" s="637"/>
      <c r="B867" s="637"/>
      <c r="C867" s="637"/>
      <c r="D867" s="637"/>
      <c r="E867" s="637"/>
      <c r="F867" s="637"/>
      <c r="G867" s="637"/>
      <c r="H867" s="637"/>
      <c r="I867" s="637"/>
      <c r="J867" s="637"/>
      <c r="K867" s="637"/>
      <c r="L867" s="637"/>
      <c r="M867" s="637"/>
      <c r="N867" s="637"/>
      <c r="O867" s="637"/>
      <c r="P867" s="637"/>
      <c r="Q867" s="637"/>
      <c r="R867" s="637"/>
      <c r="S867" s="637"/>
      <c r="T867" s="637"/>
      <c r="U867" s="637"/>
      <c r="V867" s="637"/>
      <c r="W867" s="637"/>
      <c r="X867" s="637"/>
      <c r="Y867" s="637"/>
      <c r="Z867" s="637"/>
    </row>
    <row r="868" ht="11.25" customHeight="1">
      <c r="A868" s="637"/>
      <c r="B868" s="637"/>
      <c r="C868" s="637"/>
      <c r="D868" s="637"/>
      <c r="E868" s="637"/>
      <c r="F868" s="637"/>
      <c r="G868" s="637"/>
      <c r="H868" s="637"/>
      <c r="I868" s="637"/>
      <c r="J868" s="637"/>
      <c r="K868" s="637"/>
      <c r="L868" s="637"/>
      <c r="M868" s="637"/>
      <c r="N868" s="637"/>
      <c r="O868" s="637"/>
      <c r="P868" s="637"/>
      <c r="Q868" s="637"/>
      <c r="R868" s="637"/>
      <c r="S868" s="637"/>
      <c r="T868" s="637"/>
      <c r="U868" s="637"/>
      <c r="V868" s="637"/>
      <c r="W868" s="637"/>
      <c r="X868" s="637"/>
      <c r="Y868" s="637"/>
      <c r="Z868" s="637"/>
    </row>
    <row r="869" ht="11.25" customHeight="1">
      <c r="A869" s="637"/>
      <c r="B869" s="637"/>
      <c r="C869" s="637"/>
      <c r="D869" s="637"/>
      <c r="E869" s="637"/>
      <c r="F869" s="637"/>
      <c r="G869" s="637"/>
      <c r="H869" s="637"/>
      <c r="I869" s="637"/>
      <c r="J869" s="637"/>
      <c r="K869" s="637"/>
      <c r="L869" s="637"/>
      <c r="M869" s="637"/>
      <c r="N869" s="637"/>
      <c r="O869" s="637"/>
      <c r="P869" s="637"/>
      <c r="Q869" s="637"/>
      <c r="R869" s="637"/>
      <c r="S869" s="637"/>
      <c r="T869" s="637"/>
      <c r="U869" s="637"/>
      <c r="V869" s="637"/>
      <c r="W869" s="637"/>
      <c r="X869" s="637"/>
      <c r="Y869" s="637"/>
      <c r="Z869" s="637"/>
    </row>
    <row r="870" ht="11.25" customHeight="1">
      <c r="A870" s="637"/>
      <c r="B870" s="637"/>
      <c r="C870" s="637"/>
      <c r="D870" s="637"/>
      <c r="E870" s="637"/>
      <c r="F870" s="637"/>
      <c r="G870" s="637"/>
      <c r="H870" s="637"/>
      <c r="I870" s="637"/>
      <c r="J870" s="637"/>
      <c r="K870" s="637"/>
      <c r="L870" s="637"/>
      <c r="M870" s="637"/>
      <c r="N870" s="637"/>
      <c r="O870" s="637"/>
      <c r="P870" s="637"/>
      <c r="Q870" s="637"/>
      <c r="R870" s="637"/>
      <c r="S870" s="637"/>
      <c r="T870" s="637"/>
      <c r="U870" s="637"/>
      <c r="V870" s="637"/>
      <c r="W870" s="637"/>
      <c r="X870" s="637"/>
      <c r="Y870" s="637"/>
      <c r="Z870" s="637"/>
    </row>
    <row r="871" ht="11.25" customHeight="1">
      <c r="A871" s="637"/>
      <c r="B871" s="637"/>
      <c r="C871" s="637"/>
      <c r="D871" s="637"/>
      <c r="E871" s="637"/>
      <c r="F871" s="637"/>
      <c r="G871" s="637"/>
      <c r="H871" s="637"/>
      <c r="I871" s="637"/>
      <c r="J871" s="637"/>
      <c r="K871" s="637"/>
      <c r="L871" s="637"/>
      <c r="M871" s="637"/>
      <c r="N871" s="637"/>
      <c r="O871" s="637"/>
      <c r="P871" s="637"/>
      <c r="Q871" s="637"/>
      <c r="R871" s="637"/>
      <c r="S871" s="637"/>
      <c r="T871" s="637"/>
      <c r="U871" s="637"/>
      <c r="V871" s="637"/>
      <c r="W871" s="637"/>
      <c r="X871" s="637"/>
      <c r="Y871" s="637"/>
      <c r="Z871" s="637"/>
    </row>
    <row r="872" ht="11.25" customHeight="1">
      <c r="A872" s="637"/>
      <c r="B872" s="637"/>
      <c r="C872" s="637"/>
      <c r="D872" s="637"/>
      <c r="E872" s="637"/>
      <c r="F872" s="637"/>
      <c r="G872" s="637"/>
      <c r="H872" s="637"/>
      <c r="I872" s="637"/>
      <c r="J872" s="637"/>
      <c r="K872" s="637"/>
      <c r="L872" s="637"/>
      <c r="M872" s="637"/>
      <c r="N872" s="637"/>
      <c r="O872" s="637"/>
      <c r="P872" s="637"/>
      <c r="Q872" s="637"/>
      <c r="R872" s="637"/>
      <c r="S872" s="637"/>
      <c r="T872" s="637"/>
      <c r="U872" s="637"/>
      <c r="V872" s="637"/>
      <c r="W872" s="637"/>
      <c r="X872" s="637"/>
      <c r="Y872" s="637"/>
      <c r="Z872" s="637"/>
    </row>
    <row r="873" ht="11.25" customHeight="1">
      <c r="A873" s="637"/>
      <c r="B873" s="637"/>
      <c r="C873" s="637"/>
      <c r="D873" s="637"/>
      <c r="E873" s="637"/>
      <c r="F873" s="637"/>
      <c r="G873" s="637"/>
      <c r="H873" s="637"/>
      <c r="I873" s="637"/>
      <c r="J873" s="637"/>
      <c r="K873" s="637"/>
      <c r="L873" s="637"/>
      <c r="M873" s="637"/>
      <c r="N873" s="637"/>
      <c r="O873" s="637"/>
      <c r="P873" s="637"/>
      <c r="Q873" s="637"/>
      <c r="R873" s="637"/>
      <c r="S873" s="637"/>
      <c r="T873" s="637"/>
      <c r="U873" s="637"/>
      <c r="V873" s="637"/>
      <c r="W873" s="637"/>
      <c r="X873" s="637"/>
      <c r="Y873" s="637"/>
      <c r="Z873" s="637"/>
    </row>
    <row r="874" ht="11.25" customHeight="1">
      <c r="A874" s="637"/>
      <c r="B874" s="637"/>
      <c r="C874" s="637"/>
      <c r="D874" s="637"/>
      <c r="E874" s="637"/>
      <c r="F874" s="637"/>
      <c r="G874" s="637"/>
      <c r="H874" s="637"/>
      <c r="I874" s="637"/>
      <c r="J874" s="637"/>
      <c r="K874" s="637"/>
      <c r="L874" s="637"/>
      <c r="M874" s="637"/>
      <c r="N874" s="637"/>
      <c r="O874" s="637"/>
      <c r="P874" s="637"/>
      <c r="Q874" s="637"/>
      <c r="R874" s="637"/>
      <c r="S874" s="637"/>
      <c r="T874" s="637"/>
      <c r="U874" s="637"/>
      <c r="V874" s="637"/>
      <c r="W874" s="637"/>
      <c r="X874" s="637"/>
      <c r="Y874" s="637"/>
      <c r="Z874" s="637"/>
    </row>
    <row r="875" ht="11.25" customHeight="1">
      <c r="A875" s="637"/>
      <c r="B875" s="637"/>
      <c r="C875" s="637"/>
      <c r="D875" s="637"/>
      <c r="E875" s="637"/>
      <c r="F875" s="637"/>
      <c r="G875" s="637"/>
      <c r="H875" s="637"/>
      <c r="I875" s="637"/>
      <c r="J875" s="637"/>
      <c r="K875" s="637"/>
      <c r="L875" s="637"/>
      <c r="M875" s="637"/>
      <c r="N875" s="637"/>
      <c r="O875" s="637"/>
      <c r="P875" s="637"/>
      <c r="Q875" s="637"/>
      <c r="R875" s="637"/>
      <c r="S875" s="637"/>
      <c r="T875" s="637"/>
      <c r="U875" s="637"/>
      <c r="V875" s="637"/>
      <c r="W875" s="637"/>
      <c r="X875" s="637"/>
      <c r="Y875" s="637"/>
      <c r="Z875" s="637"/>
    </row>
    <row r="876" ht="11.25" customHeight="1">
      <c r="A876" s="637"/>
      <c r="B876" s="637"/>
      <c r="C876" s="637"/>
      <c r="D876" s="637"/>
      <c r="E876" s="637"/>
      <c r="F876" s="637"/>
      <c r="G876" s="637"/>
      <c r="H876" s="637"/>
      <c r="I876" s="637"/>
      <c r="J876" s="637"/>
      <c r="K876" s="637"/>
      <c r="L876" s="637"/>
      <c r="M876" s="637"/>
      <c r="N876" s="637"/>
      <c r="O876" s="637"/>
      <c r="P876" s="637"/>
      <c r="Q876" s="637"/>
      <c r="R876" s="637"/>
      <c r="S876" s="637"/>
      <c r="T876" s="637"/>
      <c r="U876" s="637"/>
      <c r="V876" s="637"/>
      <c r="W876" s="637"/>
      <c r="X876" s="637"/>
      <c r="Y876" s="637"/>
      <c r="Z876" s="637"/>
    </row>
    <row r="877" ht="11.25" customHeight="1">
      <c r="A877" s="637"/>
      <c r="B877" s="637"/>
      <c r="C877" s="637"/>
      <c r="D877" s="637"/>
      <c r="E877" s="637"/>
      <c r="F877" s="637"/>
      <c r="G877" s="637"/>
      <c r="H877" s="637"/>
      <c r="I877" s="637"/>
      <c r="J877" s="637"/>
      <c r="K877" s="637"/>
      <c r="L877" s="637"/>
      <c r="M877" s="637"/>
      <c r="N877" s="637"/>
      <c r="O877" s="637"/>
      <c r="P877" s="637"/>
      <c r="Q877" s="637"/>
      <c r="R877" s="637"/>
      <c r="S877" s="637"/>
      <c r="T877" s="637"/>
      <c r="U877" s="637"/>
      <c r="V877" s="637"/>
      <c r="W877" s="637"/>
      <c r="X877" s="637"/>
      <c r="Y877" s="637"/>
      <c r="Z877" s="637"/>
    </row>
    <row r="878" ht="11.25" customHeight="1">
      <c r="A878" s="637"/>
      <c r="B878" s="637"/>
      <c r="C878" s="637"/>
      <c r="D878" s="637"/>
      <c r="E878" s="637"/>
      <c r="F878" s="637"/>
      <c r="G878" s="637"/>
      <c r="H878" s="637"/>
      <c r="I878" s="637"/>
      <c r="J878" s="637"/>
      <c r="K878" s="637"/>
      <c r="L878" s="637"/>
      <c r="M878" s="637"/>
      <c r="N878" s="637"/>
      <c r="O878" s="637"/>
      <c r="P878" s="637"/>
      <c r="Q878" s="637"/>
      <c r="R878" s="637"/>
      <c r="S878" s="637"/>
      <c r="T878" s="637"/>
      <c r="U878" s="637"/>
      <c r="V878" s="637"/>
      <c r="W878" s="637"/>
      <c r="X878" s="637"/>
      <c r="Y878" s="637"/>
      <c r="Z878" s="637"/>
    </row>
    <row r="879" ht="11.25" customHeight="1">
      <c r="A879" s="637"/>
      <c r="B879" s="637"/>
      <c r="C879" s="637"/>
      <c r="D879" s="637"/>
      <c r="E879" s="637"/>
      <c r="F879" s="637"/>
      <c r="G879" s="637"/>
      <c r="H879" s="637"/>
      <c r="I879" s="637"/>
      <c r="J879" s="637"/>
      <c r="K879" s="637"/>
      <c r="L879" s="637"/>
      <c r="M879" s="637"/>
      <c r="N879" s="637"/>
      <c r="O879" s="637"/>
      <c r="P879" s="637"/>
      <c r="Q879" s="637"/>
      <c r="R879" s="637"/>
      <c r="S879" s="637"/>
      <c r="T879" s="637"/>
      <c r="U879" s="637"/>
      <c r="V879" s="637"/>
      <c r="W879" s="637"/>
      <c r="X879" s="637"/>
      <c r="Y879" s="637"/>
      <c r="Z879" s="637"/>
    </row>
    <row r="880" ht="11.25" customHeight="1">
      <c r="A880" s="637"/>
      <c r="B880" s="637"/>
      <c r="C880" s="637"/>
      <c r="D880" s="637"/>
      <c r="E880" s="637"/>
      <c r="F880" s="637"/>
      <c r="G880" s="637"/>
      <c r="H880" s="637"/>
      <c r="I880" s="637"/>
      <c r="J880" s="637"/>
      <c r="K880" s="637"/>
      <c r="L880" s="637"/>
      <c r="M880" s="637"/>
      <c r="N880" s="637"/>
      <c r="O880" s="637"/>
      <c r="P880" s="637"/>
      <c r="Q880" s="637"/>
      <c r="R880" s="637"/>
      <c r="S880" s="637"/>
      <c r="T880" s="637"/>
      <c r="U880" s="637"/>
      <c r="V880" s="637"/>
      <c r="W880" s="637"/>
      <c r="X880" s="637"/>
      <c r="Y880" s="637"/>
      <c r="Z880" s="637"/>
    </row>
    <row r="881" ht="11.25" customHeight="1">
      <c r="A881" s="637"/>
      <c r="B881" s="637"/>
      <c r="C881" s="637"/>
      <c r="D881" s="637"/>
      <c r="E881" s="637"/>
      <c r="F881" s="637"/>
      <c r="G881" s="637"/>
      <c r="H881" s="637"/>
      <c r="I881" s="637"/>
      <c r="J881" s="637"/>
      <c r="K881" s="637"/>
      <c r="L881" s="637"/>
      <c r="M881" s="637"/>
      <c r="N881" s="637"/>
      <c r="O881" s="637"/>
      <c r="P881" s="637"/>
      <c r="Q881" s="637"/>
      <c r="R881" s="637"/>
      <c r="S881" s="637"/>
      <c r="T881" s="637"/>
      <c r="U881" s="637"/>
      <c r="V881" s="637"/>
      <c r="W881" s="637"/>
      <c r="X881" s="637"/>
      <c r="Y881" s="637"/>
      <c r="Z881" s="637"/>
    </row>
    <row r="882" ht="11.25" customHeight="1">
      <c r="A882" s="637"/>
      <c r="B882" s="637"/>
      <c r="C882" s="637"/>
      <c r="D882" s="637"/>
      <c r="E882" s="637"/>
      <c r="F882" s="637"/>
      <c r="G882" s="637"/>
      <c r="H882" s="637"/>
      <c r="I882" s="637"/>
      <c r="J882" s="637"/>
      <c r="K882" s="637"/>
      <c r="L882" s="637"/>
      <c r="M882" s="637"/>
      <c r="N882" s="637"/>
      <c r="O882" s="637"/>
      <c r="P882" s="637"/>
      <c r="Q882" s="637"/>
      <c r="R882" s="637"/>
      <c r="S882" s="637"/>
      <c r="T882" s="637"/>
      <c r="U882" s="637"/>
      <c r="V882" s="637"/>
      <c r="W882" s="637"/>
      <c r="X882" s="637"/>
      <c r="Y882" s="637"/>
      <c r="Z882" s="637"/>
    </row>
    <row r="883" ht="11.25" customHeight="1">
      <c r="A883" s="637"/>
      <c r="B883" s="637"/>
      <c r="C883" s="637"/>
      <c r="D883" s="637"/>
      <c r="E883" s="637"/>
      <c r="F883" s="637"/>
      <c r="G883" s="637"/>
      <c r="H883" s="637"/>
      <c r="I883" s="637"/>
      <c r="J883" s="637"/>
      <c r="K883" s="637"/>
      <c r="L883" s="637"/>
      <c r="M883" s="637"/>
      <c r="N883" s="637"/>
      <c r="O883" s="637"/>
      <c r="P883" s="637"/>
      <c r="Q883" s="637"/>
      <c r="R883" s="637"/>
      <c r="S883" s="637"/>
      <c r="T883" s="637"/>
      <c r="U883" s="637"/>
      <c r="V883" s="637"/>
      <c r="W883" s="637"/>
      <c r="X883" s="637"/>
      <c r="Y883" s="637"/>
      <c r="Z883" s="637"/>
    </row>
    <row r="884" ht="11.25" customHeight="1">
      <c r="A884" s="637"/>
      <c r="B884" s="637"/>
      <c r="C884" s="637"/>
      <c r="D884" s="637"/>
      <c r="E884" s="637"/>
      <c r="F884" s="637"/>
      <c r="G884" s="637"/>
      <c r="H884" s="637"/>
      <c r="I884" s="637"/>
      <c r="J884" s="637"/>
      <c r="K884" s="637"/>
      <c r="L884" s="637"/>
      <c r="M884" s="637"/>
      <c r="N884" s="637"/>
      <c r="O884" s="637"/>
      <c r="P884" s="637"/>
      <c r="Q884" s="637"/>
      <c r="R884" s="637"/>
      <c r="S884" s="637"/>
      <c r="T884" s="637"/>
      <c r="U884" s="637"/>
      <c r="V884" s="637"/>
      <c r="W884" s="637"/>
      <c r="X884" s="637"/>
      <c r="Y884" s="637"/>
      <c r="Z884" s="637"/>
    </row>
    <row r="885" ht="11.25" customHeight="1">
      <c r="A885" s="637"/>
      <c r="B885" s="637"/>
      <c r="C885" s="637"/>
      <c r="D885" s="637"/>
      <c r="E885" s="637"/>
      <c r="F885" s="637"/>
      <c r="G885" s="637"/>
      <c r="H885" s="637"/>
      <c r="I885" s="637"/>
      <c r="J885" s="637"/>
      <c r="K885" s="637"/>
      <c r="L885" s="637"/>
      <c r="M885" s="637"/>
      <c r="N885" s="637"/>
      <c r="O885" s="637"/>
      <c r="P885" s="637"/>
      <c r="Q885" s="637"/>
      <c r="R885" s="637"/>
      <c r="S885" s="637"/>
      <c r="T885" s="637"/>
      <c r="U885" s="637"/>
      <c r="V885" s="637"/>
      <c r="W885" s="637"/>
      <c r="X885" s="637"/>
      <c r="Y885" s="637"/>
      <c r="Z885" s="637"/>
    </row>
    <row r="886" ht="11.25" customHeight="1">
      <c r="A886" s="637"/>
      <c r="B886" s="637"/>
      <c r="C886" s="637"/>
      <c r="D886" s="637"/>
      <c r="E886" s="637"/>
      <c r="F886" s="637"/>
      <c r="G886" s="637"/>
      <c r="H886" s="637"/>
      <c r="I886" s="637"/>
      <c r="J886" s="637"/>
      <c r="K886" s="637"/>
      <c r="L886" s="637"/>
      <c r="M886" s="637"/>
      <c r="N886" s="637"/>
      <c r="O886" s="637"/>
      <c r="P886" s="637"/>
      <c r="Q886" s="637"/>
      <c r="R886" s="637"/>
      <c r="S886" s="637"/>
      <c r="T886" s="637"/>
      <c r="U886" s="637"/>
      <c r="V886" s="637"/>
      <c r="W886" s="637"/>
      <c r="X886" s="637"/>
      <c r="Y886" s="637"/>
      <c r="Z886" s="637"/>
    </row>
    <row r="887" ht="11.25" customHeight="1">
      <c r="A887" s="637"/>
      <c r="B887" s="637"/>
      <c r="C887" s="637"/>
      <c r="D887" s="637"/>
      <c r="E887" s="637"/>
      <c r="F887" s="637"/>
      <c r="G887" s="637"/>
      <c r="H887" s="637"/>
      <c r="I887" s="637"/>
      <c r="J887" s="637"/>
      <c r="K887" s="637"/>
      <c r="L887" s="637"/>
      <c r="M887" s="637"/>
      <c r="N887" s="637"/>
      <c r="O887" s="637"/>
      <c r="P887" s="637"/>
      <c r="Q887" s="637"/>
      <c r="R887" s="637"/>
      <c r="S887" s="637"/>
      <c r="T887" s="637"/>
      <c r="U887" s="637"/>
      <c r="V887" s="637"/>
      <c r="W887" s="637"/>
      <c r="X887" s="637"/>
      <c r="Y887" s="637"/>
      <c r="Z887" s="637"/>
    </row>
    <row r="888" ht="11.25" customHeight="1">
      <c r="A888" s="637"/>
      <c r="B888" s="637"/>
      <c r="C888" s="637"/>
      <c r="D888" s="637"/>
      <c r="E888" s="637"/>
      <c r="F888" s="637"/>
      <c r="G888" s="637"/>
      <c r="H888" s="637"/>
      <c r="I888" s="637"/>
      <c r="J888" s="637"/>
      <c r="K888" s="637"/>
      <c r="L888" s="637"/>
      <c r="M888" s="637"/>
      <c r="N888" s="637"/>
      <c r="O888" s="637"/>
      <c r="P888" s="637"/>
      <c r="Q888" s="637"/>
      <c r="R888" s="637"/>
      <c r="S888" s="637"/>
      <c r="T888" s="637"/>
      <c r="U888" s="637"/>
      <c r="V888" s="637"/>
      <c r="W888" s="637"/>
      <c r="X888" s="637"/>
      <c r="Y888" s="637"/>
      <c r="Z888" s="637"/>
    </row>
    <row r="889" ht="11.25" customHeight="1">
      <c r="A889" s="637"/>
      <c r="B889" s="637"/>
      <c r="C889" s="637"/>
      <c r="D889" s="637"/>
      <c r="E889" s="637"/>
      <c r="F889" s="637"/>
      <c r="G889" s="637"/>
      <c r="H889" s="637"/>
      <c r="I889" s="637"/>
      <c r="J889" s="637"/>
      <c r="K889" s="637"/>
      <c r="L889" s="637"/>
      <c r="M889" s="637"/>
      <c r="N889" s="637"/>
      <c r="O889" s="637"/>
      <c r="P889" s="637"/>
      <c r="Q889" s="637"/>
      <c r="R889" s="637"/>
      <c r="S889" s="637"/>
      <c r="T889" s="637"/>
      <c r="U889" s="637"/>
      <c r="V889" s="637"/>
      <c r="W889" s="637"/>
      <c r="X889" s="637"/>
      <c r="Y889" s="637"/>
      <c r="Z889" s="637"/>
    </row>
    <row r="890" ht="11.25" customHeight="1">
      <c r="A890" s="637"/>
      <c r="B890" s="637"/>
      <c r="C890" s="637"/>
      <c r="D890" s="637"/>
      <c r="E890" s="637"/>
      <c r="F890" s="637"/>
      <c r="G890" s="637"/>
      <c r="H890" s="637"/>
      <c r="I890" s="637"/>
      <c r="J890" s="637"/>
      <c r="K890" s="637"/>
      <c r="L890" s="637"/>
      <c r="M890" s="637"/>
      <c r="N890" s="637"/>
      <c r="O890" s="637"/>
      <c r="P890" s="637"/>
      <c r="Q890" s="637"/>
      <c r="R890" s="637"/>
      <c r="S890" s="637"/>
      <c r="T890" s="637"/>
      <c r="U890" s="637"/>
      <c r="V890" s="637"/>
      <c r="W890" s="637"/>
      <c r="X890" s="637"/>
      <c r="Y890" s="637"/>
      <c r="Z890" s="637"/>
    </row>
    <row r="891" ht="11.25" customHeight="1">
      <c r="A891" s="637"/>
      <c r="B891" s="637"/>
      <c r="C891" s="637"/>
      <c r="D891" s="637"/>
      <c r="E891" s="637"/>
      <c r="F891" s="637"/>
      <c r="G891" s="637"/>
      <c r="H891" s="637"/>
      <c r="I891" s="637"/>
      <c r="J891" s="637"/>
      <c r="K891" s="637"/>
      <c r="L891" s="637"/>
      <c r="M891" s="637"/>
      <c r="N891" s="637"/>
      <c r="O891" s="637"/>
      <c r="P891" s="637"/>
      <c r="Q891" s="637"/>
      <c r="R891" s="637"/>
      <c r="S891" s="637"/>
      <c r="T891" s="637"/>
      <c r="U891" s="637"/>
      <c r="V891" s="637"/>
      <c r="W891" s="637"/>
      <c r="X891" s="637"/>
      <c r="Y891" s="637"/>
      <c r="Z891" s="637"/>
    </row>
    <row r="892" ht="11.25" customHeight="1">
      <c r="A892" s="637"/>
      <c r="B892" s="637"/>
      <c r="C892" s="637"/>
      <c r="D892" s="637"/>
      <c r="E892" s="637"/>
      <c r="F892" s="637"/>
      <c r="G892" s="637"/>
      <c r="H892" s="637"/>
      <c r="I892" s="637"/>
      <c r="J892" s="637"/>
      <c r="K892" s="637"/>
      <c r="L892" s="637"/>
      <c r="M892" s="637"/>
      <c r="N892" s="637"/>
      <c r="O892" s="637"/>
      <c r="P892" s="637"/>
      <c r="Q892" s="637"/>
      <c r="R892" s="637"/>
      <c r="S892" s="637"/>
      <c r="T892" s="637"/>
      <c r="U892" s="637"/>
      <c r="V892" s="637"/>
      <c r="W892" s="637"/>
      <c r="X892" s="637"/>
      <c r="Y892" s="637"/>
      <c r="Z892" s="637"/>
    </row>
    <row r="893" ht="11.25" customHeight="1">
      <c r="A893" s="637"/>
      <c r="B893" s="637"/>
      <c r="C893" s="637"/>
      <c r="D893" s="637"/>
      <c r="E893" s="637"/>
      <c r="F893" s="637"/>
      <c r="G893" s="637"/>
      <c r="H893" s="637"/>
      <c r="I893" s="637"/>
      <c r="J893" s="637"/>
      <c r="K893" s="637"/>
      <c r="L893" s="637"/>
      <c r="M893" s="637"/>
      <c r="N893" s="637"/>
      <c r="O893" s="637"/>
      <c r="P893" s="637"/>
      <c r="Q893" s="637"/>
      <c r="R893" s="637"/>
      <c r="S893" s="637"/>
      <c r="T893" s="637"/>
      <c r="U893" s="637"/>
      <c r="V893" s="637"/>
      <c r="W893" s="637"/>
      <c r="X893" s="637"/>
      <c r="Y893" s="637"/>
      <c r="Z893" s="637"/>
    </row>
    <row r="894" ht="11.25" customHeight="1">
      <c r="A894" s="637"/>
      <c r="B894" s="637"/>
      <c r="C894" s="637"/>
      <c r="D894" s="637"/>
      <c r="E894" s="637"/>
      <c r="F894" s="637"/>
      <c r="G894" s="637"/>
      <c r="H894" s="637"/>
      <c r="I894" s="637"/>
      <c r="J894" s="637"/>
      <c r="K894" s="637"/>
      <c r="L894" s="637"/>
      <c r="M894" s="637"/>
      <c r="N894" s="637"/>
      <c r="O894" s="637"/>
      <c r="P894" s="637"/>
      <c r="Q894" s="637"/>
      <c r="R894" s="637"/>
      <c r="S894" s="637"/>
      <c r="T894" s="637"/>
      <c r="U894" s="637"/>
      <c r="V894" s="637"/>
      <c r="W894" s="637"/>
      <c r="X894" s="637"/>
      <c r="Y894" s="637"/>
      <c r="Z894" s="637"/>
    </row>
    <row r="895" ht="11.25" customHeight="1">
      <c r="A895" s="637"/>
      <c r="B895" s="637"/>
      <c r="C895" s="637"/>
      <c r="D895" s="637"/>
      <c r="E895" s="637"/>
      <c r="F895" s="637"/>
      <c r="G895" s="637"/>
      <c r="H895" s="637"/>
      <c r="I895" s="637"/>
      <c r="J895" s="637"/>
      <c r="K895" s="637"/>
      <c r="L895" s="637"/>
      <c r="M895" s="637"/>
      <c r="N895" s="637"/>
      <c r="O895" s="637"/>
      <c r="P895" s="637"/>
      <c r="Q895" s="637"/>
      <c r="R895" s="637"/>
      <c r="S895" s="637"/>
      <c r="T895" s="637"/>
      <c r="U895" s="637"/>
      <c r="V895" s="637"/>
      <c r="W895" s="637"/>
      <c r="X895" s="637"/>
      <c r="Y895" s="637"/>
      <c r="Z895" s="637"/>
    </row>
    <row r="896" ht="11.25" customHeight="1">
      <c r="A896" s="637"/>
      <c r="B896" s="637"/>
      <c r="C896" s="637"/>
      <c r="D896" s="637"/>
      <c r="E896" s="637"/>
      <c r="F896" s="637"/>
      <c r="G896" s="637"/>
      <c r="H896" s="637"/>
      <c r="I896" s="637"/>
      <c r="J896" s="637"/>
      <c r="K896" s="637"/>
      <c r="L896" s="637"/>
      <c r="M896" s="637"/>
      <c r="N896" s="637"/>
      <c r="O896" s="637"/>
      <c r="P896" s="637"/>
      <c r="Q896" s="637"/>
      <c r="R896" s="637"/>
      <c r="S896" s="637"/>
      <c r="T896" s="637"/>
      <c r="U896" s="637"/>
      <c r="V896" s="637"/>
      <c r="W896" s="637"/>
      <c r="X896" s="637"/>
      <c r="Y896" s="637"/>
      <c r="Z896" s="637"/>
    </row>
    <row r="897" ht="11.25" customHeight="1">
      <c r="A897" s="637"/>
      <c r="B897" s="637"/>
      <c r="C897" s="637"/>
      <c r="D897" s="637"/>
      <c r="E897" s="637"/>
      <c r="F897" s="637"/>
      <c r="G897" s="637"/>
      <c r="H897" s="637"/>
      <c r="I897" s="637"/>
      <c r="J897" s="637"/>
      <c r="K897" s="637"/>
      <c r="L897" s="637"/>
      <c r="M897" s="637"/>
      <c r="N897" s="637"/>
      <c r="O897" s="637"/>
      <c r="P897" s="637"/>
      <c r="Q897" s="637"/>
      <c r="R897" s="637"/>
      <c r="S897" s="637"/>
      <c r="T897" s="637"/>
      <c r="U897" s="637"/>
      <c r="V897" s="637"/>
      <c r="W897" s="637"/>
      <c r="X897" s="637"/>
      <c r="Y897" s="637"/>
      <c r="Z897" s="637"/>
    </row>
    <row r="898" ht="11.25" customHeight="1">
      <c r="A898" s="637"/>
      <c r="B898" s="637"/>
      <c r="C898" s="637"/>
      <c r="D898" s="637"/>
      <c r="E898" s="637"/>
      <c r="F898" s="637"/>
      <c r="G898" s="637"/>
      <c r="H898" s="637"/>
      <c r="I898" s="637"/>
      <c r="J898" s="637"/>
      <c r="K898" s="637"/>
      <c r="L898" s="637"/>
      <c r="M898" s="637"/>
      <c r="N898" s="637"/>
      <c r="O898" s="637"/>
      <c r="P898" s="637"/>
      <c r="Q898" s="637"/>
      <c r="R898" s="637"/>
      <c r="S898" s="637"/>
      <c r="T898" s="637"/>
      <c r="U898" s="637"/>
      <c r="V898" s="637"/>
      <c r="W898" s="637"/>
      <c r="X898" s="637"/>
      <c r="Y898" s="637"/>
      <c r="Z898" s="637"/>
    </row>
    <row r="899" ht="11.25" customHeight="1">
      <c r="A899" s="637"/>
      <c r="B899" s="637"/>
      <c r="C899" s="637"/>
      <c r="D899" s="637"/>
      <c r="E899" s="637"/>
      <c r="F899" s="637"/>
      <c r="G899" s="637"/>
      <c r="H899" s="637"/>
      <c r="I899" s="637"/>
      <c r="J899" s="637"/>
      <c r="K899" s="637"/>
      <c r="L899" s="637"/>
      <c r="M899" s="637"/>
      <c r="N899" s="637"/>
      <c r="O899" s="637"/>
      <c r="P899" s="637"/>
      <c r="Q899" s="637"/>
      <c r="R899" s="637"/>
      <c r="S899" s="637"/>
      <c r="T899" s="637"/>
      <c r="U899" s="637"/>
      <c r="V899" s="637"/>
      <c r="W899" s="637"/>
      <c r="X899" s="637"/>
      <c r="Y899" s="637"/>
      <c r="Z899" s="637"/>
    </row>
    <row r="900" ht="11.25" customHeight="1">
      <c r="A900" s="637"/>
      <c r="B900" s="637"/>
      <c r="C900" s="637"/>
      <c r="D900" s="637"/>
      <c r="E900" s="637"/>
      <c r="F900" s="637"/>
      <c r="G900" s="637"/>
      <c r="H900" s="637"/>
      <c r="I900" s="637"/>
      <c r="J900" s="637"/>
      <c r="K900" s="637"/>
      <c r="L900" s="637"/>
      <c r="M900" s="637"/>
      <c r="N900" s="637"/>
      <c r="O900" s="637"/>
      <c r="P900" s="637"/>
      <c r="Q900" s="637"/>
      <c r="R900" s="637"/>
      <c r="S900" s="637"/>
      <c r="T900" s="637"/>
      <c r="U900" s="637"/>
      <c r="V900" s="637"/>
      <c r="W900" s="637"/>
      <c r="X900" s="637"/>
      <c r="Y900" s="637"/>
      <c r="Z900" s="637"/>
    </row>
    <row r="901" ht="11.25" customHeight="1">
      <c r="A901" s="637"/>
      <c r="B901" s="637"/>
      <c r="C901" s="637"/>
      <c r="D901" s="637"/>
      <c r="E901" s="637"/>
      <c r="F901" s="637"/>
      <c r="G901" s="637"/>
      <c r="H901" s="637"/>
      <c r="I901" s="637"/>
      <c r="J901" s="637"/>
      <c r="K901" s="637"/>
      <c r="L901" s="637"/>
      <c r="M901" s="637"/>
      <c r="N901" s="637"/>
      <c r="O901" s="637"/>
      <c r="P901" s="637"/>
      <c r="Q901" s="637"/>
      <c r="R901" s="637"/>
      <c r="S901" s="637"/>
      <c r="T901" s="637"/>
      <c r="U901" s="637"/>
      <c r="V901" s="637"/>
      <c r="W901" s="637"/>
      <c r="X901" s="637"/>
      <c r="Y901" s="637"/>
      <c r="Z901" s="637"/>
    </row>
    <row r="902" ht="11.25" customHeight="1">
      <c r="A902" s="637"/>
      <c r="B902" s="637"/>
      <c r="C902" s="637"/>
      <c r="D902" s="637"/>
      <c r="E902" s="637"/>
      <c r="F902" s="637"/>
      <c r="G902" s="637"/>
      <c r="H902" s="637"/>
      <c r="I902" s="637"/>
      <c r="J902" s="637"/>
      <c r="K902" s="637"/>
      <c r="L902" s="637"/>
      <c r="M902" s="637"/>
      <c r="N902" s="637"/>
      <c r="O902" s="637"/>
      <c r="P902" s="637"/>
      <c r="Q902" s="637"/>
      <c r="R902" s="637"/>
      <c r="S902" s="637"/>
      <c r="T902" s="637"/>
      <c r="U902" s="637"/>
      <c r="V902" s="637"/>
      <c r="W902" s="637"/>
      <c r="X902" s="637"/>
      <c r="Y902" s="637"/>
      <c r="Z902" s="637"/>
    </row>
    <row r="903" ht="11.25" customHeight="1">
      <c r="A903" s="637"/>
      <c r="B903" s="637"/>
      <c r="C903" s="637"/>
      <c r="D903" s="637"/>
      <c r="E903" s="637"/>
      <c r="F903" s="637"/>
      <c r="G903" s="637"/>
      <c r="H903" s="637"/>
      <c r="I903" s="637"/>
      <c r="J903" s="637"/>
      <c r="K903" s="637"/>
      <c r="L903" s="637"/>
      <c r="M903" s="637"/>
      <c r="N903" s="637"/>
      <c r="O903" s="637"/>
      <c r="P903" s="637"/>
      <c r="Q903" s="637"/>
      <c r="R903" s="637"/>
      <c r="S903" s="637"/>
      <c r="T903" s="637"/>
      <c r="U903" s="637"/>
      <c r="V903" s="637"/>
      <c r="W903" s="637"/>
      <c r="X903" s="637"/>
      <c r="Y903" s="637"/>
      <c r="Z903" s="637"/>
    </row>
    <row r="904" ht="11.25" customHeight="1">
      <c r="A904" s="637"/>
      <c r="B904" s="637"/>
      <c r="C904" s="637"/>
      <c r="D904" s="637"/>
      <c r="E904" s="637"/>
      <c r="F904" s="637"/>
      <c r="G904" s="637"/>
      <c r="H904" s="637"/>
      <c r="I904" s="637"/>
      <c r="J904" s="637"/>
      <c r="K904" s="637"/>
      <c r="L904" s="637"/>
      <c r="M904" s="637"/>
      <c r="N904" s="637"/>
      <c r="O904" s="637"/>
      <c r="P904" s="637"/>
      <c r="Q904" s="637"/>
      <c r="R904" s="637"/>
      <c r="S904" s="637"/>
      <c r="T904" s="637"/>
      <c r="U904" s="637"/>
      <c r="V904" s="637"/>
      <c r="W904" s="637"/>
      <c r="X904" s="637"/>
      <c r="Y904" s="637"/>
      <c r="Z904" s="637"/>
    </row>
    <row r="905" ht="11.25" customHeight="1">
      <c r="A905" s="637"/>
      <c r="B905" s="637"/>
      <c r="C905" s="637"/>
      <c r="D905" s="637"/>
      <c r="E905" s="637"/>
      <c r="F905" s="637"/>
      <c r="G905" s="637"/>
      <c r="H905" s="637"/>
      <c r="I905" s="637"/>
      <c r="J905" s="637"/>
      <c r="K905" s="637"/>
      <c r="L905" s="637"/>
      <c r="M905" s="637"/>
      <c r="N905" s="637"/>
      <c r="O905" s="637"/>
      <c r="P905" s="637"/>
      <c r="Q905" s="637"/>
      <c r="R905" s="637"/>
      <c r="S905" s="637"/>
      <c r="T905" s="637"/>
      <c r="U905" s="637"/>
      <c r="V905" s="637"/>
      <c r="W905" s="637"/>
      <c r="X905" s="637"/>
      <c r="Y905" s="637"/>
      <c r="Z905" s="637"/>
    </row>
    <row r="906" ht="11.25" customHeight="1">
      <c r="A906" s="637"/>
      <c r="B906" s="637"/>
      <c r="C906" s="637"/>
      <c r="D906" s="637"/>
      <c r="E906" s="637"/>
      <c r="F906" s="637"/>
      <c r="G906" s="637"/>
      <c r="H906" s="637"/>
      <c r="I906" s="637"/>
      <c r="J906" s="637"/>
      <c r="K906" s="637"/>
      <c r="L906" s="637"/>
      <c r="M906" s="637"/>
      <c r="N906" s="637"/>
      <c r="O906" s="637"/>
      <c r="P906" s="637"/>
      <c r="Q906" s="637"/>
      <c r="R906" s="637"/>
      <c r="S906" s="637"/>
      <c r="T906" s="637"/>
      <c r="U906" s="637"/>
      <c r="V906" s="637"/>
      <c r="W906" s="637"/>
      <c r="X906" s="637"/>
      <c r="Y906" s="637"/>
      <c r="Z906" s="637"/>
    </row>
    <row r="907" ht="11.25" customHeight="1">
      <c r="A907" s="637"/>
      <c r="B907" s="637"/>
      <c r="C907" s="637"/>
      <c r="D907" s="637"/>
      <c r="E907" s="637"/>
      <c r="F907" s="637"/>
      <c r="G907" s="637"/>
      <c r="H907" s="637"/>
      <c r="I907" s="637"/>
      <c r="J907" s="637"/>
      <c r="K907" s="637"/>
      <c r="L907" s="637"/>
      <c r="M907" s="637"/>
      <c r="N907" s="637"/>
      <c r="O907" s="637"/>
      <c r="P907" s="637"/>
      <c r="Q907" s="637"/>
      <c r="R907" s="637"/>
      <c r="S907" s="637"/>
      <c r="T907" s="637"/>
      <c r="U907" s="637"/>
      <c r="V907" s="637"/>
      <c r="W907" s="637"/>
      <c r="X907" s="637"/>
      <c r="Y907" s="637"/>
      <c r="Z907" s="637"/>
    </row>
    <row r="908" ht="11.25" customHeight="1">
      <c r="A908" s="637"/>
      <c r="B908" s="637"/>
      <c r="C908" s="637"/>
      <c r="D908" s="637"/>
      <c r="E908" s="637"/>
      <c r="F908" s="637"/>
      <c r="G908" s="637"/>
      <c r="H908" s="637"/>
      <c r="I908" s="637"/>
      <c r="J908" s="637"/>
      <c r="K908" s="637"/>
      <c r="L908" s="637"/>
      <c r="M908" s="637"/>
      <c r="N908" s="637"/>
      <c r="O908" s="637"/>
      <c r="P908" s="637"/>
      <c r="Q908" s="637"/>
      <c r="R908" s="637"/>
      <c r="S908" s="637"/>
      <c r="T908" s="637"/>
      <c r="U908" s="637"/>
      <c r="V908" s="637"/>
      <c r="W908" s="637"/>
      <c r="X908" s="637"/>
      <c r="Y908" s="637"/>
      <c r="Z908" s="637"/>
    </row>
    <row r="909" ht="11.25" customHeight="1">
      <c r="A909" s="637"/>
      <c r="B909" s="637"/>
      <c r="C909" s="637"/>
      <c r="D909" s="637"/>
      <c r="E909" s="637"/>
      <c r="F909" s="637"/>
      <c r="G909" s="637"/>
      <c r="H909" s="637"/>
      <c r="I909" s="637"/>
      <c r="J909" s="637"/>
      <c r="K909" s="637"/>
      <c r="L909" s="637"/>
      <c r="M909" s="637"/>
      <c r="N909" s="637"/>
      <c r="O909" s="637"/>
      <c r="P909" s="637"/>
      <c r="Q909" s="637"/>
      <c r="R909" s="637"/>
      <c r="S909" s="637"/>
      <c r="T909" s="637"/>
      <c r="U909" s="637"/>
      <c r="V909" s="637"/>
      <c r="W909" s="637"/>
      <c r="X909" s="637"/>
      <c r="Y909" s="637"/>
      <c r="Z909" s="637"/>
    </row>
    <row r="910" ht="11.25" customHeight="1">
      <c r="A910" s="637"/>
      <c r="B910" s="637"/>
      <c r="C910" s="637"/>
      <c r="D910" s="637"/>
      <c r="E910" s="637"/>
      <c r="F910" s="637"/>
      <c r="G910" s="637"/>
      <c r="H910" s="637"/>
      <c r="I910" s="637"/>
      <c r="J910" s="637"/>
      <c r="K910" s="637"/>
      <c r="L910" s="637"/>
      <c r="M910" s="637"/>
      <c r="N910" s="637"/>
      <c r="O910" s="637"/>
      <c r="P910" s="637"/>
      <c r="Q910" s="637"/>
      <c r="R910" s="637"/>
      <c r="S910" s="637"/>
      <c r="T910" s="637"/>
      <c r="U910" s="637"/>
      <c r="V910" s="637"/>
      <c r="W910" s="637"/>
      <c r="X910" s="637"/>
      <c r="Y910" s="637"/>
      <c r="Z910" s="637"/>
    </row>
    <row r="911" ht="11.25" customHeight="1">
      <c r="A911" s="637"/>
      <c r="B911" s="637"/>
      <c r="C911" s="637"/>
      <c r="D911" s="637"/>
      <c r="E911" s="637"/>
      <c r="F911" s="637"/>
      <c r="G911" s="637"/>
      <c r="H911" s="637"/>
      <c r="I911" s="637"/>
      <c r="J911" s="637"/>
      <c r="K911" s="637"/>
      <c r="L911" s="637"/>
      <c r="M911" s="637"/>
      <c r="N911" s="637"/>
      <c r="O911" s="637"/>
      <c r="P911" s="637"/>
      <c r="Q911" s="637"/>
      <c r="R911" s="637"/>
      <c r="S911" s="637"/>
      <c r="T911" s="637"/>
      <c r="U911" s="637"/>
      <c r="V911" s="637"/>
      <c r="W911" s="637"/>
      <c r="X911" s="637"/>
      <c r="Y911" s="637"/>
      <c r="Z911" s="637"/>
    </row>
    <row r="912" ht="11.25" customHeight="1">
      <c r="A912" s="637"/>
      <c r="B912" s="637"/>
      <c r="C912" s="637"/>
      <c r="D912" s="637"/>
      <c r="E912" s="637"/>
      <c r="F912" s="637"/>
      <c r="G912" s="637"/>
      <c r="H912" s="637"/>
      <c r="I912" s="637"/>
      <c r="J912" s="637"/>
      <c r="K912" s="637"/>
      <c r="L912" s="637"/>
      <c r="M912" s="637"/>
      <c r="N912" s="637"/>
      <c r="O912" s="637"/>
      <c r="P912" s="637"/>
      <c r="Q912" s="637"/>
      <c r="R912" s="637"/>
      <c r="S912" s="637"/>
      <c r="T912" s="637"/>
      <c r="U912" s="637"/>
      <c r="V912" s="637"/>
      <c r="W912" s="637"/>
      <c r="X912" s="637"/>
      <c r="Y912" s="637"/>
      <c r="Z912" s="637"/>
    </row>
    <row r="913" ht="11.25" customHeight="1">
      <c r="A913" s="637"/>
      <c r="B913" s="637"/>
      <c r="C913" s="637"/>
      <c r="D913" s="637"/>
      <c r="E913" s="637"/>
      <c r="F913" s="637"/>
      <c r="G913" s="637"/>
      <c r="H913" s="637"/>
      <c r="I913" s="637"/>
      <c r="J913" s="637"/>
      <c r="K913" s="637"/>
      <c r="L913" s="637"/>
      <c r="M913" s="637"/>
      <c r="N913" s="637"/>
      <c r="O913" s="637"/>
      <c r="P913" s="637"/>
      <c r="Q913" s="637"/>
      <c r="R913" s="637"/>
      <c r="S913" s="637"/>
      <c r="T913" s="637"/>
      <c r="U913" s="637"/>
      <c r="V913" s="637"/>
      <c r="W913" s="637"/>
      <c r="X913" s="637"/>
      <c r="Y913" s="637"/>
      <c r="Z913" s="637"/>
    </row>
    <row r="914" ht="11.25" customHeight="1">
      <c r="A914" s="637"/>
      <c r="B914" s="637"/>
      <c r="C914" s="637"/>
      <c r="D914" s="637"/>
      <c r="E914" s="637"/>
      <c r="F914" s="637"/>
      <c r="G914" s="637"/>
      <c r="H914" s="637"/>
      <c r="I914" s="637"/>
      <c r="J914" s="637"/>
      <c r="K914" s="637"/>
      <c r="L914" s="637"/>
      <c r="M914" s="637"/>
      <c r="N914" s="637"/>
      <c r="O914" s="637"/>
      <c r="P914" s="637"/>
      <c r="Q914" s="637"/>
      <c r="R914" s="637"/>
      <c r="S914" s="637"/>
      <c r="T914" s="637"/>
      <c r="U914" s="637"/>
      <c r="V914" s="637"/>
      <c r="W914" s="637"/>
      <c r="X914" s="637"/>
      <c r="Y914" s="637"/>
      <c r="Z914" s="637"/>
    </row>
    <row r="915" ht="11.25" customHeight="1">
      <c r="A915" s="637"/>
      <c r="B915" s="637"/>
      <c r="C915" s="637"/>
      <c r="D915" s="637"/>
      <c r="E915" s="637"/>
      <c r="F915" s="637"/>
      <c r="G915" s="637"/>
      <c r="H915" s="637"/>
      <c r="I915" s="637"/>
      <c r="J915" s="637"/>
      <c r="K915" s="637"/>
      <c r="L915" s="637"/>
      <c r="M915" s="637"/>
      <c r="N915" s="637"/>
      <c r="O915" s="637"/>
      <c r="P915" s="637"/>
      <c r="Q915" s="637"/>
      <c r="R915" s="637"/>
      <c r="S915" s="637"/>
      <c r="T915" s="637"/>
      <c r="U915" s="637"/>
      <c r="V915" s="637"/>
      <c r="W915" s="637"/>
      <c r="X915" s="637"/>
      <c r="Y915" s="637"/>
      <c r="Z915" s="637"/>
    </row>
    <row r="916" ht="11.25" customHeight="1">
      <c r="A916" s="637"/>
      <c r="B916" s="637"/>
      <c r="C916" s="637"/>
      <c r="D916" s="637"/>
      <c r="E916" s="637"/>
      <c r="F916" s="637"/>
      <c r="G916" s="637"/>
      <c r="H916" s="637"/>
      <c r="I916" s="637"/>
      <c r="J916" s="637"/>
      <c r="K916" s="637"/>
      <c r="L916" s="637"/>
      <c r="M916" s="637"/>
      <c r="N916" s="637"/>
      <c r="O916" s="637"/>
      <c r="P916" s="637"/>
      <c r="Q916" s="637"/>
      <c r="R916" s="637"/>
      <c r="S916" s="637"/>
      <c r="T916" s="637"/>
      <c r="U916" s="637"/>
      <c r="V916" s="637"/>
      <c r="W916" s="637"/>
      <c r="X916" s="637"/>
      <c r="Y916" s="637"/>
      <c r="Z916" s="637"/>
    </row>
    <row r="917" ht="11.25" customHeight="1">
      <c r="A917" s="637"/>
      <c r="B917" s="637"/>
      <c r="C917" s="637"/>
      <c r="D917" s="637"/>
      <c r="E917" s="637"/>
      <c r="F917" s="637"/>
      <c r="G917" s="637"/>
      <c r="H917" s="637"/>
      <c r="I917" s="637"/>
      <c r="J917" s="637"/>
      <c r="K917" s="637"/>
      <c r="L917" s="637"/>
      <c r="M917" s="637"/>
      <c r="N917" s="637"/>
      <c r="O917" s="637"/>
      <c r="P917" s="637"/>
      <c r="Q917" s="637"/>
      <c r="R917" s="637"/>
      <c r="S917" s="637"/>
      <c r="T917" s="637"/>
      <c r="U917" s="637"/>
      <c r="V917" s="637"/>
      <c r="W917" s="637"/>
      <c r="X917" s="637"/>
      <c r="Y917" s="637"/>
      <c r="Z917" s="637"/>
    </row>
    <row r="918" ht="11.25" customHeight="1">
      <c r="A918" s="637"/>
      <c r="B918" s="637"/>
      <c r="C918" s="637"/>
      <c r="D918" s="637"/>
      <c r="E918" s="637"/>
      <c r="F918" s="637"/>
      <c r="G918" s="637"/>
      <c r="H918" s="637"/>
      <c r="I918" s="637"/>
      <c r="J918" s="637"/>
      <c r="K918" s="637"/>
      <c r="L918" s="637"/>
      <c r="M918" s="637"/>
      <c r="N918" s="637"/>
      <c r="O918" s="637"/>
      <c r="P918" s="637"/>
      <c r="Q918" s="637"/>
      <c r="R918" s="637"/>
      <c r="S918" s="637"/>
      <c r="T918" s="637"/>
      <c r="U918" s="637"/>
      <c r="V918" s="637"/>
      <c r="W918" s="637"/>
      <c r="X918" s="637"/>
      <c r="Y918" s="637"/>
      <c r="Z918" s="637"/>
    </row>
    <row r="919" ht="11.25" customHeight="1">
      <c r="A919" s="637"/>
      <c r="B919" s="637"/>
      <c r="C919" s="637"/>
      <c r="D919" s="637"/>
      <c r="E919" s="637"/>
      <c r="F919" s="637"/>
      <c r="G919" s="637"/>
      <c r="H919" s="637"/>
      <c r="I919" s="637"/>
      <c r="J919" s="637"/>
      <c r="K919" s="637"/>
      <c r="L919" s="637"/>
      <c r="M919" s="637"/>
      <c r="N919" s="637"/>
      <c r="O919" s="637"/>
      <c r="P919" s="637"/>
      <c r="Q919" s="637"/>
      <c r="R919" s="637"/>
      <c r="S919" s="637"/>
      <c r="T919" s="637"/>
      <c r="U919" s="637"/>
      <c r="V919" s="637"/>
      <c r="W919" s="637"/>
      <c r="X919" s="637"/>
      <c r="Y919" s="637"/>
      <c r="Z919" s="637"/>
    </row>
    <row r="920" ht="11.25" customHeight="1">
      <c r="A920" s="637"/>
      <c r="B920" s="637"/>
      <c r="C920" s="637"/>
      <c r="D920" s="637"/>
      <c r="E920" s="637"/>
      <c r="F920" s="637"/>
      <c r="G920" s="637"/>
      <c r="H920" s="637"/>
      <c r="I920" s="637"/>
      <c r="J920" s="637"/>
      <c r="K920" s="637"/>
      <c r="L920" s="637"/>
      <c r="M920" s="637"/>
      <c r="N920" s="637"/>
      <c r="O920" s="637"/>
      <c r="P920" s="637"/>
      <c r="Q920" s="637"/>
      <c r="R920" s="637"/>
      <c r="S920" s="637"/>
      <c r="T920" s="637"/>
      <c r="U920" s="637"/>
      <c r="V920" s="637"/>
      <c r="W920" s="637"/>
      <c r="X920" s="637"/>
      <c r="Y920" s="637"/>
      <c r="Z920" s="637"/>
    </row>
    <row r="921" ht="11.25" customHeight="1">
      <c r="A921" s="637"/>
      <c r="B921" s="637"/>
      <c r="C921" s="637"/>
      <c r="D921" s="637"/>
      <c r="E921" s="637"/>
      <c r="F921" s="637"/>
      <c r="G921" s="637"/>
      <c r="H921" s="637"/>
      <c r="I921" s="637"/>
      <c r="J921" s="637"/>
      <c r="K921" s="637"/>
      <c r="L921" s="637"/>
      <c r="M921" s="637"/>
      <c r="N921" s="637"/>
      <c r="O921" s="637"/>
      <c r="P921" s="637"/>
      <c r="Q921" s="637"/>
      <c r="R921" s="637"/>
      <c r="S921" s="637"/>
      <c r="T921" s="637"/>
      <c r="U921" s="637"/>
      <c r="V921" s="637"/>
      <c r="W921" s="637"/>
      <c r="X921" s="637"/>
      <c r="Y921" s="637"/>
      <c r="Z921" s="637"/>
    </row>
    <row r="922" ht="11.25" customHeight="1">
      <c r="A922" s="637"/>
      <c r="B922" s="637"/>
      <c r="C922" s="637"/>
      <c r="D922" s="637"/>
      <c r="E922" s="637"/>
      <c r="F922" s="637"/>
      <c r="G922" s="637"/>
      <c r="H922" s="637"/>
      <c r="I922" s="637"/>
      <c r="J922" s="637"/>
      <c r="K922" s="637"/>
      <c r="L922" s="637"/>
      <c r="M922" s="637"/>
      <c r="N922" s="637"/>
      <c r="O922" s="637"/>
      <c r="P922" s="637"/>
      <c r="Q922" s="637"/>
      <c r="R922" s="637"/>
      <c r="S922" s="637"/>
      <c r="T922" s="637"/>
      <c r="U922" s="637"/>
      <c r="V922" s="637"/>
      <c r="W922" s="637"/>
      <c r="X922" s="637"/>
      <c r="Y922" s="637"/>
      <c r="Z922" s="637"/>
    </row>
    <row r="923" ht="11.25" customHeight="1">
      <c r="A923" s="637"/>
      <c r="B923" s="637"/>
      <c r="C923" s="637"/>
      <c r="D923" s="637"/>
      <c r="E923" s="637"/>
      <c r="F923" s="637"/>
      <c r="G923" s="637"/>
      <c r="H923" s="637"/>
      <c r="I923" s="637"/>
      <c r="J923" s="637"/>
      <c r="K923" s="637"/>
      <c r="L923" s="637"/>
      <c r="M923" s="637"/>
      <c r="N923" s="637"/>
      <c r="O923" s="637"/>
      <c r="P923" s="637"/>
      <c r="Q923" s="637"/>
      <c r="R923" s="637"/>
      <c r="S923" s="637"/>
      <c r="T923" s="637"/>
      <c r="U923" s="637"/>
      <c r="V923" s="637"/>
      <c r="W923" s="637"/>
      <c r="X923" s="637"/>
      <c r="Y923" s="637"/>
      <c r="Z923" s="637"/>
    </row>
    <row r="924" ht="11.25" customHeight="1">
      <c r="A924" s="637"/>
      <c r="B924" s="637"/>
      <c r="C924" s="637"/>
      <c r="D924" s="637"/>
      <c r="E924" s="637"/>
      <c r="F924" s="637"/>
      <c r="G924" s="637"/>
      <c r="H924" s="637"/>
      <c r="I924" s="637"/>
      <c r="J924" s="637"/>
      <c r="K924" s="637"/>
      <c r="L924" s="637"/>
      <c r="M924" s="637"/>
      <c r="N924" s="637"/>
      <c r="O924" s="637"/>
      <c r="P924" s="637"/>
      <c r="Q924" s="637"/>
      <c r="R924" s="637"/>
      <c r="S924" s="637"/>
      <c r="T924" s="637"/>
      <c r="U924" s="637"/>
      <c r="V924" s="637"/>
      <c r="W924" s="637"/>
      <c r="X924" s="637"/>
      <c r="Y924" s="637"/>
      <c r="Z924" s="637"/>
    </row>
    <row r="925" ht="11.25" customHeight="1">
      <c r="A925" s="637"/>
      <c r="B925" s="637"/>
      <c r="C925" s="637"/>
      <c r="D925" s="637"/>
      <c r="E925" s="637"/>
      <c r="F925" s="637"/>
      <c r="G925" s="637"/>
      <c r="H925" s="637"/>
      <c r="I925" s="637"/>
      <c r="J925" s="637"/>
      <c r="K925" s="637"/>
      <c r="L925" s="637"/>
      <c r="M925" s="637"/>
      <c r="N925" s="637"/>
      <c r="O925" s="637"/>
      <c r="P925" s="637"/>
      <c r="Q925" s="637"/>
      <c r="R925" s="637"/>
      <c r="S925" s="637"/>
      <c r="T925" s="637"/>
      <c r="U925" s="637"/>
      <c r="V925" s="637"/>
      <c r="W925" s="637"/>
      <c r="X925" s="637"/>
      <c r="Y925" s="637"/>
      <c r="Z925" s="637"/>
    </row>
    <row r="926" ht="11.25" customHeight="1">
      <c r="A926" s="637"/>
      <c r="B926" s="637"/>
      <c r="C926" s="637"/>
      <c r="D926" s="637"/>
      <c r="E926" s="637"/>
      <c r="F926" s="637"/>
      <c r="G926" s="637"/>
      <c r="H926" s="637"/>
      <c r="I926" s="637"/>
      <c r="J926" s="637"/>
      <c r="K926" s="637"/>
      <c r="L926" s="637"/>
      <c r="M926" s="637"/>
      <c r="N926" s="637"/>
      <c r="O926" s="637"/>
      <c r="P926" s="637"/>
      <c r="Q926" s="637"/>
      <c r="R926" s="637"/>
      <c r="S926" s="637"/>
      <c r="T926" s="637"/>
      <c r="U926" s="637"/>
      <c r="V926" s="637"/>
      <c r="W926" s="637"/>
      <c r="X926" s="637"/>
      <c r="Y926" s="637"/>
      <c r="Z926" s="637"/>
    </row>
    <row r="927" ht="11.25" customHeight="1">
      <c r="A927" s="637"/>
      <c r="B927" s="637"/>
      <c r="C927" s="637"/>
      <c r="D927" s="637"/>
      <c r="E927" s="637"/>
      <c r="F927" s="637"/>
      <c r="G927" s="637"/>
      <c r="H927" s="637"/>
      <c r="I927" s="637"/>
      <c r="J927" s="637"/>
      <c r="K927" s="637"/>
      <c r="L927" s="637"/>
      <c r="M927" s="637"/>
      <c r="N927" s="637"/>
      <c r="O927" s="637"/>
      <c r="P927" s="637"/>
      <c r="Q927" s="637"/>
      <c r="R927" s="637"/>
      <c r="S927" s="637"/>
      <c r="T927" s="637"/>
      <c r="U927" s="637"/>
      <c r="V927" s="637"/>
      <c r="W927" s="637"/>
      <c r="X927" s="637"/>
      <c r="Y927" s="637"/>
      <c r="Z927" s="637"/>
    </row>
    <row r="928" ht="11.25" customHeight="1">
      <c r="A928" s="637"/>
      <c r="B928" s="637"/>
      <c r="C928" s="637"/>
      <c r="D928" s="637"/>
      <c r="E928" s="637"/>
      <c r="F928" s="637"/>
      <c r="G928" s="637"/>
      <c r="H928" s="637"/>
      <c r="I928" s="637"/>
      <c r="J928" s="637"/>
      <c r="K928" s="637"/>
      <c r="L928" s="637"/>
      <c r="M928" s="637"/>
      <c r="N928" s="637"/>
      <c r="O928" s="637"/>
      <c r="P928" s="637"/>
      <c r="Q928" s="637"/>
      <c r="R928" s="637"/>
      <c r="S928" s="637"/>
      <c r="T928" s="637"/>
      <c r="U928" s="637"/>
      <c r="V928" s="637"/>
      <c r="W928" s="637"/>
      <c r="X928" s="637"/>
      <c r="Y928" s="637"/>
      <c r="Z928" s="637"/>
    </row>
    <row r="929" ht="11.25" customHeight="1">
      <c r="A929" s="637"/>
      <c r="B929" s="637"/>
      <c r="C929" s="637"/>
      <c r="D929" s="637"/>
      <c r="E929" s="637"/>
      <c r="F929" s="637"/>
      <c r="G929" s="637"/>
      <c r="H929" s="637"/>
      <c r="I929" s="637"/>
      <c r="J929" s="637"/>
      <c r="K929" s="637"/>
      <c r="L929" s="637"/>
      <c r="M929" s="637"/>
      <c r="N929" s="637"/>
      <c r="O929" s="637"/>
      <c r="P929" s="637"/>
      <c r="Q929" s="637"/>
      <c r="R929" s="637"/>
      <c r="S929" s="637"/>
      <c r="T929" s="637"/>
      <c r="U929" s="637"/>
      <c r="V929" s="637"/>
      <c r="W929" s="637"/>
      <c r="X929" s="637"/>
      <c r="Y929" s="637"/>
      <c r="Z929" s="637"/>
    </row>
    <row r="930" ht="11.25" customHeight="1">
      <c r="A930" s="637"/>
      <c r="B930" s="637"/>
      <c r="C930" s="637"/>
      <c r="D930" s="637"/>
      <c r="E930" s="637"/>
      <c r="F930" s="637"/>
      <c r="G930" s="637"/>
      <c r="H930" s="637"/>
      <c r="I930" s="637"/>
      <c r="J930" s="637"/>
      <c r="K930" s="637"/>
      <c r="L930" s="637"/>
      <c r="M930" s="637"/>
      <c r="N930" s="637"/>
      <c r="O930" s="637"/>
      <c r="P930" s="637"/>
      <c r="Q930" s="637"/>
      <c r="R930" s="637"/>
      <c r="S930" s="637"/>
      <c r="T930" s="637"/>
      <c r="U930" s="637"/>
      <c r="V930" s="637"/>
      <c r="W930" s="637"/>
      <c r="X930" s="637"/>
      <c r="Y930" s="637"/>
      <c r="Z930" s="637"/>
    </row>
    <row r="931" ht="11.25" customHeight="1">
      <c r="A931" s="637"/>
      <c r="B931" s="637"/>
      <c r="C931" s="637"/>
      <c r="D931" s="637"/>
      <c r="E931" s="637"/>
      <c r="F931" s="637"/>
      <c r="G931" s="637"/>
      <c r="H931" s="637"/>
      <c r="I931" s="637"/>
      <c r="J931" s="637"/>
      <c r="K931" s="637"/>
      <c r="L931" s="637"/>
      <c r="M931" s="637"/>
      <c r="N931" s="637"/>
      <c r="O931" s="637"/>
      <c r="P931" s="637"/>
      <c r="Q931" s="637"/>
      <c r="R931" s="637"/>
      <c r="S931" s="637"/>
      <c r="T931" s="637"/>
      <c r="U931" s="637"/>
      <c r="V931" s="637"/>
      <c r="W931" s="637"/>
      <c r="X931" s="637"/>
      <c r="Y931" s="637"/>
      <c r="Z931" s="637"/>
    </row>
    <row r="932" ht="11.25" customHeight="1">
      <c r="A932" s="637"/>
      <c r="B932" s="637"/>
      <c r="C932" s="637"/>
      <c r="D932" s="637"/>
      <c r="E932" s="637"/>
      <c r="F932" s="637"/>
      <c r="G932" s="637"/>
      <c r="H932" s="637"/>
      <c r="I932" s="637"/>
      <c r="J932" s="637"/>
      <c r="K932" s="637"/>
      <c r="L932" s="637"/>
      <c r="M932" s="637"/>
      <c r="N932" s="637"/>
      <c r="O932" s="637"/>
      <c r="P932" s="637"/>
      <c r="Q932" s="637"/>
      <c r="R932" s="637"/>
      <c r="S932" s="637"/>
      <c r="T932" s="637"/>
      <c r="U932" s="637"/>
      <c r="V932" s="637"/>
      <c r="W932" s="637"/>
      <c r="X932" s="637"/>
      <c r="Y932" s="637"/>
      <c r="Z932" s="637"/>
    </row>
    <row r="933" ht="11.25" customHeight="1">
      <c r="A933" s="637"/>
      <c r="B933" s="637"/>
      <c r="C933" s="637"/>
      <c r="D933" s="637"/>
      <c r="E933" s="637"/>
      <c r="F933" s="637"/>
      <c r="G933" s="637"/>
      <c r="H933" s="637"/>
      <c r="I933" s="637"/>
      <c r="J933" s="637"/>
      <c r="K933" s="637"/>
      <c r="L933" s="637"/>
      <c r="M933" s="637"/>
      <c r="N933" s="637"/>
      <c r="O933" s="637"/>
      <c r="P933" s="637"/>
      <c r="Q933" s="637"/>
      <c r="R933" s="637"/>
      <c r="S933" s="637"/>
      <c r="T933" s="637"/>
      <c r="U933" s="637"/>
      <c r="V933" s="637"/>
      <c r="W933" s="637"/>
      <c r="X933" s="637"/>
      <c r="Y933" s="637"/>
      <c r="Z933" s="637"/>
    </row>
    <row r="934" ht="11.25" customHeight="1">
      <c r="A934" s="637"/>
      <c r="B934" s="637"/>
      <c r="C934" s="637"/>
      <c r="D934" s="637"/>
      <c r="E934" s="637"/>
      <c r="F934" s="637"/>
      <c r="G934" s="637"/>
      <c r="H934" s="637"/>
      <c r="I934" s="637"/>
      <c r="J934" s="637"/>
      <c r="K934" s="637"/>
      <c r="L934" s="637"/>
      <c r="M934" s="637"/>
      <c r="N934" s="637"/>
      <c r="O934" s="637"/>
      <c r="P934" s="637"/>
      <c r="Q934" s="637"/>
      <c r="R934" s="637"/>
      <c r="S934" s="637"/>
      <c r="T934" s="637"/>
      <c r="U934" s="637"/>
      <c r="V934" s="637"/>
      <c r="W934" s="637"/>
      <c r="X934" s="637"/>
      <c r="Y934" s="637"/>
      <c r="Z934" s="637"/>
    </row>
    <row r="935" ht="11.25" customHeight="1">
      <c r="A935" s="637"/>
      <c r="B935" s="637"/>
      <c r="C935" s="637"/>
      <c r="D935" s="637"/>
      <c r="E935" s="637"/>
      <c r="F935" s="637"/>
      <c r="G935" s="637"/>
      <c r="H935" s="637"/>
      <c r="I935" s="637"/>
      <c r="J935" s="637"/>
      <c r="K935" s="637"/>
      <c r="L935" s="637"/>
      <c r="M935" s="637"/>
      <c r="N935" s="637"/>
      <c r="O935" s="637"/>
      <c r="P935" s="637"/>
      <c r="Q935" s="637"/>
      <c r="R935" s="637"/>
      <c r="S935" s="637"/>
      <c r="T935" s="637"/>
      <c r="U935" s="637"/>
      <c r="V935" s="637"/>
      <c r="W935" s="637"/>
      <c r="X935" s="637"/>
      <c r="Y935" s="637"/>
      <c r="Z935" s="637"/>
    </row>
    <row r="936" ht="11.25" customHeight="1">
      <c r="A936" s="637"/>
      <c r="B936" s="637"/>
      <c r="C936" s="637"/>
      <c r="D936" s="637"/>
      <c r="E936" s="637"/>
      <c r="F936" s="637"/>
      <c r="G936" s="637"/>
      <c r="H936" s="637"/>
      <c r="I936" s="637"/>
      <c r="J936" s="637"/>
      <c r="K936" s="637"/>
      <c r="L936" s="637"/>
      <c r="M936" s="637"/>
      <c r="N936" s="637"/>
      <c r="O936" s="637"/>
      <c r="P936" s="637"/>
      <c r="Q936" s="637"/>
      <c r="R936" s="637"/>
      <c r="S936" s="637"/>
      <c r="T936" s="637"/>
      <c r="U936" s="637"/>
      <c r="V936" s="637"/>
      <c r="W936" s="637"/>
      <c r="X936" s="637"/>
      <c r="Y936" s="637"/>
      <c r="Z936" s="637"/>
    </row>
    <row r="937" ht="11.25" customHeight="1">
      <c r="A937" s="637"/>
      <c r="B937" s="637"/>
      <c r="C937" s="637"/>
      <c r="D937" s="637"/>
      <c r="E937" s="637"/>
      <c r="F937" s="637"/>
      <c r="G937" s="637"/>
      <c r="H937" s="637"/>
      <c r="I937" s="637"/>
      <c r="J937" s="637"/>
      <c r="K937" s="637"/>
      <c r="L937" s="637"/>
      <c r="M937" s="637"/>
      <c r="N937" s="637"/>
      <c r="O937" s="637"/>
      <c r="P937" s="637"/>
      <c r="Q937" s="637"/>
      <c r="R937" s="637"/>
      <c r="S937" s="637"/>
      <c r="T937" s="637"/>
      <c r="U937" s="637"/>
      <c r="V937" s="637"/>
      <c r="W937" s="637"/>
      <c r="X937" s="637"/>
      <c r="Y937" s="637"/>
      <c r="Z937" s="637"/>
    </row>
    <row r="938" ht="11.25" customHeight="1">
      <c r="A938" s="637"/>
      <c r="B938" s="637"/>
      <c r="C938" s="637"/>
      <c r="D938" s="637"/>
      <c r="E938" s="637"/>
      <c r="F938" s="637"/>
      <c r="G938" s="637"/>
      <c r="H938" s="637"/>
      <c r="I938" s="637"/>
      <c r="J938" s="637"/>
      <c r="K938" s="637"/>
      <c r="L938" s="637"/>
      <c r="M938" s="637"/>
      <c r="N938" s="637"/>
      <c r="O938" s="637"/>
      <c r="P938" s="637"/>
      <c r="Q938" s="637"/>
      <c r="R938" s="637"/>
      <c r="S938" s="637"/>
      <c r="T938" s="637"/>
      <c r="U938" s="637"/>
      <c r="V938" s="637"/>
      <c r="W938" s="637"/>
      <c r="X938" s="637"/>
      <c r="Y938" s="637"/>
      <c r="Z938" s="637"/>
    </row>
    <row r="939" ht="11.25" customHeight="1">
      <c r="A939" s="637"/>
      <c r="B939" s="637"/>
      <c r="C939" s="637"/>
      <c r="D939" s="637"/>
      <c r="E939" s="637"/>
      <c r="F939" s="637"/>
      <c r="G939" s="637"/>
      <c r="H939" s="637"/>
      <c r="I939" s="637"/>
      <c r="J939" s="637"/>
      <c r="K939" s="637"/>
      <c r="L939" s="637"/>
      <c r="M939" s="637"/>
      <c r="N939" s="637"/>
      <c r="O939" s="637"/>
      <c r="P939" s="637"/>
      <c r="Q939" s="637"/>
      <c r="R939" s="637"/>
      <c r="S939" s="637"/>
      <c r="T939" s="637"/>
      <c r="U939" s="637"/>
      <c r="V939" s="637"/>
      <c r="W939" s="637"/>
      <c r="X939" s="637"/>
      <c r="Y939" s="637"/>
      <c r="Z939" s="637"/>
    </row>
    <row r="940" ht="11.25" customHeight="1">
      <c r="A940" s="637"/>
      <c r="B940" s="637"/>
      <c r="C940" s="637"/>
      <c r="D940" s="637"/>
      <c r="E940" s="637"/>
      <c r="F940" s="637"/>
      <c r="G940" s="637"/>
      <c r="H940" s="637"/>
      <c r="I940" s="637"/>
      <c r="J940" s="637"/>
      <c r="K940" s="637"/>
      <c r="L940" s="637"/>
      <c r="M940" s="637"/>
      <c r="N940" s="637"/>
      <c r="O940" s="637"/>
      <c r="P940" s="637"/>
      <c r="Q940" s="637"/>
      <c r="R940" s="637"/>
      <c r="S940" s="637"/>
      <c r="T940" s="637"/>
      <c r="U940" s="637"/>
      <c r="V940" s="637"/>
      <c r="W940" s="637"/>
      <c r="X940" s="637"/>
      <c r="Y940" s="637"/>
      <c r="Z940" s="637"/>
    </row>
    <row r="941" ht="11.25" customHeight="1">
      <c r="A941" s="637"/>
      <c r="B941" s="637"/>
      <c r="C941" s="637"/>
      <c r="D941" s="637"/>
      <c r="E941" s="637"/>
      <c r="F941" s="637"/>
      <c r="G941" s="637"/>
      <c r="H941" s="637"/>
      <c r="I941" s="637"/>
      <c r="J941" s="637"/>
      <c r="K941" s="637"/>
      <c r="L941" s="637"/>
      <c r="M941" s="637"/>
      <c r="N941" s="637"/>
      <c r="O941" s="637"/>
      <c r="P941" s="637"/>
      <c r="Q941" s="637"/>
      <c r="R941" s="637"/>
      <c r="S941" s="637"/>
      <c r="T941" s="637"/>
      <c r="U941" s="637"/>
      <c r="V941" s="637"/>
      <c r="W941" s="637"/>
      <c r="X941" s="637"/>
      <c r="Y941" s="637"/>
      <c r="Z941" s="637"/>
    </row>
    <row r="942" ht="11.25" customHeight="1">
      <c r="A942" s="637"/>
      <c r="B942" s="637"/>
      <c r="C942" s="637"/>
      <c r="D942" s="637"/>
      <c r="E942" s="637"/>
      <c r="F942" s="637"/>
      <c r="G942" s="637"/>
      <c r="H942" s="637"/>
      <c r="I942" s="637"/>
      <c r="J942" s="637"/>
      <c r="K942" s="637"/>
      <c r="L942" s="637"/>
      <c r="M942" s="637"/>
      <c r="N942" s="637"/>
      <c r="O942" s="637"/>
      <c r="P942" s="637"/>
      <c r="Q942" s="637"/>
      <c r="R942" s="637"/>
      <c r="S942" s="637"/>
      <c r="T942" s="637"/>
      <c r="U942" s="637"/>
      <c r="V942" s="637"/>
      <c r="W942" s="637"/>
      <c r="X942" s="637"/>
      <c r="Y942" s="637"/>
      <c r="Z942" s="637"/>
    </row>
    <row r="943" ht="11.25" customHeight="1">
      <c r="A943" s="637"/>
      <c r="B943" s="637"/>
      <c r="C943" s="637"/>
      <c r="D943" s="637"/>
      <c r="E943" s="637"/>
      <c r="F943" s="637"/>
      <c r="G943" s="637"/>
      <c r="H943" s="637"/>
      <c r="I943" s="637"/>
      <c r="J943" s="637"/>
      <c r="K943" s="637"/>
      <c r="L943" s="637"/>
      <c r="M943" s="637"/>
      <c r="N943" s="637"/>
      <c r="O943" s="637"/>
      <c r="P943" s="637"/>
      <c r="Q943" s="637"/>
      <c r="R943" s="637"/>
      <c r="S943" s="637"/>
      <c r="T943" s="637"/>
      <c r="U943" s="637"/>
      <c r="V943" s="637"/>
      <c r="W943" s="637"/>
      <c r="X943" s="637"/>
      <c r="Y943" s="637"/>
      <c r="Z943" s="637"/>
    </row>
    <row r="944" ht="11.25" customHeight="1">
      <c r="A944" s="637"/>
      <c r="B944" s="637"/>
      <c r="C944" s="637"/>
      <c r="D944" s="637"/>
      <c r="E944" s="637"/>
      <c r="F944" s="637"/>
      <c r="G944" s="637"/>
      <c r="H944" s="637"/>
      <c r="I944" s="637"/>
      <c r="J944" s="637"/>
      <c r="K944" s="637"/>
      <c r="L944" s="637"/>
      <c r="M944" s="637"/>
      <c r="N944" s="637"/>
      <c r="O944" s="637"/>
      <c r="P944" s="637"/>
      <c r="Q944" s="637"/>
      <c r="R944" s="637"/>
      <c r="S944" s="637"/>
      <c r="T944" s="637"/>
      <c r="U944" s="637"/>
      <c r="V944" s="637"/>
      <c r="W944" s="637"/>
      <c r="X944" s="637"/>
      <c r="Y944" s="637"/>
      <c r="Z944" s="637"/>
    </row>
    <row r="945" ht="11.25" customHeight="1">
      <c r="A945" s="637"/>
      <c r="B945" s="637"/>
      <c r="C945" s="637"/>
      <c r="D945" s="637"/>
      <c r="E945" s="637"/>
      <c r="F945" s="637"/>
      <c r="G945" s="637"/>
      <c r="H945" s="637"/>
      <c r="I945" s="637"/>
      <c r="J945" s="637"/>
      <c r="K945" s="637"/>
      <c r="L945" s="637"/>
      <c r="M945" s="637"/>
      <c r="N945" s="637"/>
      <c r="O945" s="637"/>
      <c r="P945" s="637"/>
      <c r="Q945" s="637"/>
      <c r="R945" s="637"/>
      <c r="S945" s="637"/>
      <c r="T945" s="637"/>
      <c r="U945" s="637"/>
      <c r="V945" s="637"/>
      <c r="W945" s="637"/>
      <c r="X945" s="637"/>
      <c r="Y945" s="637"/>
      <c r="Z945" s="637"/>
    </row>
    <row r="946" ht="11.25" customHeight="1">
      <c r="A946" s="637"/>
      <c r="B946" s="637"/>
      <c r="C946" s="637"/>
      <c r="D946" s="637"/>
      <c r="E946" s="637"/>
      <c r="F946" s="637"/>
      <c r="G946" s="637"/>
      <c r="H946" s="637"/>
      <c r="I946" s="637"/>
      <c r="J946" s="637"/>
      <c r="K946" s="637"/>
      <c r="L946" s="637"/>
      <c r="M946" s="637"/>
      <c r="N946" s="637"/>
      <c r="O946" s="637"/>
      <c r="P946" s="637"/>
      <c r="Q946" s="637"/>
      <c r="R946" s="637"/>
      <c r="S946" s="637"/>
      <c r="T946" s="637"/>
      <c r="U946" s="637"/>
      <c r="V946" s="637"/>
      <c r="W946" s="637"/>
      <c r="X946" s="637"/>
      <c r="Y946" s="637"/>
      <c r="Z946" s="637"/>
    </row>
    <row r="947" ht="11.25" customHeight="1">
      <c r="A947" s="637"/>
      <c r="B947" s="637"/>
      <c r="C947" s="637"/>
      <c r="D947" s="637"/>
      <c r="E947" s="637"/>
      <c r="F947" s="637"/>
      <c r="G947" s="637"/>
      <c r="H947" s="637"/>
      <c r="I947" s="637"/>
      <c r="J947" s="637"/>
      <c r="K947" s="637"/>
      <c r="L947" s="637"/>
      <c r="M947" s="637"/>
      <c r="N947" s="637"/>
      <c r="O947" s="637"/>
      <c r="P947" s="637"/>
      <c r="Q947" s="637"/>
      <c r="R947" s="637"/>
      <c r="S947" s="637"/>
      <c r="T947" s="637"/>
      <c r="U947" s="637"/>
      <c r="V947" s="637"/>
      <c r="W947" s="637"/>
      <c r="X947" s="637"/>
      <c r="Y947" s="637"/>
      <c r="Z947" s="637"/>
    </row>
    <row r="948" ht="11.25" customHeight="1">
      <c r="A948" s="637"/>
      <c r="B948" s="637"/>
      <c r="C948" s="637"/>
      <c r="D948" s="637"/>
      <c r="E948" s="637"/>
      <c r="F948" s="637"/>
      <c r="G948" s="637"/>
      <c r="H948" s="637"/>
      <c r="I948" s="637"/>
      <c r="J948" s="637"/>
      <c r="K948" s="637"/>
      <c r="L948" s="637"/>
      <c r="M948" s="637"/>
      <c r="N948" s="637"/>
      <c r="O948" s="637"/>
      <c r="P948" s="637"/>
      <c r="Q948" s="637"/>
      <c r="R948" s="637"/>
      <c r="S948" s="637"/>
      <c r="T948" s="637"/>
      <c r="U948" s="637"/>
      <c r="V948" s="637"/>
      <c r="W948" s="637"/>
      <c r="X948" s="637"/>
      <c r="Y948" s="637"/>
      <c r="Z948" s="637"/>
    </row>
    <row r="949" ht="11.25" customHeight="1">
      <c r="A949" s="637"/>
      <c r="B949" s="637"/>
      <c r="C949" s="637"/>
      <c r="D949" s="637"/>
      <c r="E949" s="637"/>
      <c r="F949" s="637"/>
      <c r="G949" s="637"/>
      <c r="H949" s="637"/>
      <c r="I949" s="637"/>
      <c r="J949" s="637"/>
      <c r="K949" s="637"/>
      <c r="L949" s="637"/>
      <c r="M949" s="637"/>
      <c r="N949" s="637"/>
      <c r="O949" s="637"/>
      <c r="P949" s="637"/>
      <c r="Q949" s="637"/>
      <c r="R949" s="637"/>
      <c r="S949" s="637"/>
      <c r="T949" s="637"/>
      <c r="U949" s="637"/>
      <c r="V949" s="637"/>
      <c r="W949" s="637"/>
      <c r="X949" s="637"/>
      <c r="Y949" s="637"/>
      <c r="Z949" s="637"/>
    </row>
    <row r="950" ht="11.25" customHeight="1">
      <c r="A950" s="637"/>
      <c r="B950" s="637"/>
      <c r="C950" s="637"/>
      <c r="D950" s="637"/>
      <c r="E950" s="637"/>
      <c r="F950" s="637"/>
      <c r="G950" s="637"/>
      <c r="H950" s="637"/>
      <c r="I950" s="637"/>
      <c r="J950" s="637"/>
      <c r="K950" s="637"/>
      <c r="L950" s="637"/>
      <c r="M950" s="637"/>
      <c r="N950" s="637"/>
      <c r="O950" s="637"/>
      <c r="P950" s="637"/>
      <c r="Q950" s="637"/>
      <c r="R950" s="637"/>
      <c r="S950" s="637"/>
      <c r="T950" s="637"/>
      <c r="U950" s="637"/>
      <c r="V950" s="637"/>
      <c r="W950" s="637"/>
      <c r="X950" s="637"/>
      <c r="Y950" s="637"/>
      <c r="Z950" s="637"/>
    </row>
    <row r="951" ht="11.25" customHeight="1">
      <c r="A951" s="637"/>
      <c r="B951" s="637"/>
      <c r="C951" s="637"/>
      <c r="D951" s="637"/>
      <c r="E951" s="637"/>
      <c r="F951" s="637"/>
      <c r="G951" s="637"/>
      <c r="H951" s="637"/>
      <c r="I951" s="637"/>
      <c r="J951" s="637"/>
      <c r="K951" s="637"/>
      <c r="L951" s="637"/>
      <c r="M951" s="637"/>
      <c r="N951" s="637"/>
      <c r="O951" s="637"/>
      <c r="P951" s="637"/>
      <c r="Q951" s="637"/>
      <c r="R951" s="637"/>
      <c r="S951" s="637"/>
      <c r="T951" s="637"/>
      <c r="U951" s="637"/>
      <c r="V951" s="637"/>
      <c r="W951" s="637"/>
      <c r="X951" s="637"/>
      <c r="Y951" s="637"/>
      <c r="Z951" s="637"/>
    </row>
    <row r="952" ht="11.25" customHeight="1">
      <c r="A952" s="637"/>
      <c r="B952" s="637"/>
      <c r="C952" s="637"/>
      <c r="D952" s="637"/>
      <c r="E952" s="637"/>
      <c r="F952" s="637"/>
      <c r="G952" s="637"/>
      <c r="H952" s="637"/>
      <c r="I952" s="637"/>
      <c r="J952" s="637"/>
      <c r="K952" s="637"/>
      <c r="L952" s="637"/>
      <c r="M952" s="637"/>
      <c r="N952" s="637"/>
      <c r="O952" s="637"/>
      <c r="P952" s="637"/>
      <c r="Q952" s="637"/>
      <c r="R952" s="637"/>
      <c r="S952" s="637"/>
      <c r="T952" s="637"/>
      <c r="U952" s="637"/>
      <c r="V952" s="637"/>
      <c r="W952" s="637"/>
      <c r="X952" s="637"/>
      <c r="Y952" s="637"/>
      <c r="Z952" s="637"/>
    </row>
    <row r="953" ht="11.25" customHeight="1">
      <c r="A953" s="637"/>
      <c r="B953" s="637"/>
      <c r="C953" s="637"/>
      <c r="D953" s="637"/>
      <c r="E953" s="637"/>
      <c r="F953" s="637"/>
      <c r="G953" s="637"/>
      <c r="H953" s="637"/>
      <c r="I953" s="637"/>
      <c r="J953" s="637"/>
      <c r="K953" s="637"/>
      <c r="L953" s="637"/>
      <c r="M953" s="637"/>
      <c r="N953" s="637"/>
      <c r="O953" s="637"/>
      <c r="P953" s="637"/>
      <c r="Q953" s="637"/>
      <c r="R953" s="637"/>
      <c r="S953" s="637"/>
      <c r="T953" s="637"/>
      <c r="U953" s="637"/>
      <c r="V953" s="637"/>
      <c r="W953" s="637"/>
      <c r="X953" s="637"/>
      <c r="Y953" s="637"/>
      <c r="Z953" s="637"/>
    </row>
    <row r="954" ht="11.25" customHeight="1">
      <c r="A954" s="637"/>
      <c r="B954" s="637"/>
      <c r="C954" s="637"/>
      <c r="D954" s="637"/>
      <c r="E954" s="637"/>
      <c r="F954" s="637"/>
      <c r="G954" s="637"/>
      <c r="H954" s="637"/>
      <c r="I954" s="637"/>
      <c r="J954" s="637"/>
      <c r="K954" s="637"/>
      <c r="L954" s="637"/>
      <c r="M954" s="637"/>
      <c r="N954" s="637"/>
      <c r="O954" s="637"/>
      <c r="P954" s="637"/>
      <c r="Q954" s="637"/>
      <c r="R954" s="637"/>
      <c r="S954" s="637"/>
      <c r="T954" s="637"/>
      <c r="U954" s="637"/>
      <c r="V954" s="637"/>
      <c r="W954" s="637"/>
      <c r="X954" s="637"/>
      <c r="Y954" s="637"/>
      <c r="Z954" s="637"/>
    </row>
    <row r="955" ht="11.25" customHeight="1">
      <c r="A955" s="637"/>
      <c r="B955" s="637"/>
      <c r="C955" s="637"/>
      <c r="D955" s="637"/>
      <c r="E955" s="637"/>
      <c r="F955" s="637"/>
      <c r="G955" s="637"/>
      <c r="H955" s="637"/>
      <c r="I955" s="637"/>
      <c r="J955" s="637"/>
      <c r="K955" s="637"/>
      <c r="L955" s="637"/>
      <c r="M955" s="637"/>
      <c r="N955" s="637"/>
      <c r="O955" s="637"/>
      <c r="P955" s="637"/>
      <c r="Q955" s="637"/>
      <c r="R955" s="637"/>
      <c r="S955" s="637"/>
      <c r="T955" s="637"/>
      <c r="U955" s="637"/>
      <c r="V955" s="637"/>
      <c r="W955" s="637"/>
      <c r="X955" s="637"/>
      <c r="Y955" s="637"/>
      <c r="Z955" s="637"/>
    </row>
    <row r="956" ht="11.25" customHeight="1">
      <c r="A956" s="637"/>
      <c r="B956" s="637"/>
      <c r="C956" s="637"/>
      <c r="D956" s="637"/>
      <c r="E956" s="637"/>
      <c r="F956" s="637"/>
      <c r="G956" s="637"/>
      <c r="H956" s="637"/>
      <c r="I956" s="637"/>
      <c r="J956" s="637"/>
      <c r="K956" s="637"/>
      <c r="L956" s="637"/>
      <c r="M956" s="637"/>
      <c r="N956" s="637"/>
      <c r="O956" s="637"/>
      <c r="P956" s="637"/>
      <c r="Q956" s="637"/>
      <c r="R956" s="637"/>
      <c r="S956" s="637"/>
      <c r="T956" s="637"/>
      <c r="U956" s="637"/>
      <c r="V956" s="637"/>
      <c r="W956" s="637"/>
      <c r="X956" s="637"/>
      <c r="Y956" s="637"/>
      <c r="Z956" s="637"/>
    </row>
    <row r="957" ht="11.25" customHeight="1">
      <c r="A957" s="637"/>
      <c r="B957" s="637"/>
      <c r="C957" s="637"/>
      <c r="D957" s="637"/>
      <c r="E957" s="637"/>
      <c r="F957" s="637"/>
      <c r="G957" s="637"/>
      <c r="H957" s="637"/>
      <c r="I957" s="637"/>
      <c r="J957" s="637"/>
      <c r="K957" s="637"/>
      <c r="L957" s="637"/>
      <c r="M957" s="637"/>
      <c r="N957" s="637"/>
      <c r="O957" s="637"/>
      <c r="P957" s="637"/>
      <c r="Q957" s="637"/>
      <c r="R957" s="637"/>
      <c r="S957" s="637"/>
      <c r="T957" s="637"/>
      <c r="U957" s="637"/>
      <c r="V957" s="637"/>
      <c r="W957" s="637"/>
      <c r="X957" s="637"/>
      <c r="Y957" s="637"/>
      <c r="Z957" s="637"/>
    </row>
    <row r="958" ht="11.25" customHeight="1">
      <c r="A958" s="637"/>
      <c r="B958" s="637"/>
      <c r="C958" s="637"/>
      <c r="D958" s="637"/>
      <c r="E958" s="637"/>
      <c r="F958" s="637"/>
      <c r="G958" s="637"/>
      <c r="H958" s="637"/>
      <c r="I958" s="637"/>
      <c r="J958" s="637"/>
      <c r="K958" s="637"/>
      <c r="L958" s="637"/>
      <c r="M958" s="637"/>
      <c r="N958" s="637"/>
      <c r="O958" s="637"/>
      <c r="P958" s="637"/>
      <c r="Q958" s="637"/>
      <c r="R958" s="637"/>
      <c r="S958" s="637"/>
      <c r="T958" s="637"/>
      <c r="U958" s="637"/>
      <c r="V958" s="637"/>
      <c r="W958" s="637"/>
      <c r="X958" s="637"/>
      <c r="Y958" s="637"/>
      <c r="Z958" s="637"/>
    </row>
    <row r="959" ht="11.25" customHeight="1">
      <c r="A959" s="637"/>
      <c r="B959" s="637"/>
      <c r="C959" s="637"/>
      <c r="D959" s="637"/>
      <c r="E959" s="637"/>
      <c r="F959" s="637"/>
      <c r="G959" s="637"/>
      <c r="H959" s="637"/>
      <c r="I959" s="637"/>
      <c r="J959" s="637"/>
      <c r="K959" s="637"/>
      <c r="L959" s="637"/>
      <c r="M959" s="637"/>
      <c r="N959" s="637"/>
      <c r="O959" s="637"/>
      <c r="P959" s="637"/>
      <c r="Q959" s="637"/>
      <c r="R959" s="637"/>
      <c r="S959" s="637"/>
      <c r="T959" s="637"/>
      <c r="U959" s="637"/>
      <c r="V959" s="637"/>
      <c r="W959" s="637"/>
      <c r="X959" s="637"/>
      <c r="Y959" s="637"/>
      <c r="Z959" s="637"/>
    </row>
    <row r="960" ht="11.25" customHeight="1">
      <c r="A960" s="637"/>
      <c r="B960" s="637"/>
      <c r="C960" s="637"/>
      <c r="D960" s="637"/>
      <c r="E960" s="637"/>
      <c r="F960" s="637"/>
      <c r="G960" s="637"/>
      <c r="H960" s="637"/>
      <c r="I960" s="637"/>
      <c r="J960" s="637"/>
      <c r="K960" s="637"/>
      <c r="L960" s="637"/>
      <c r="M960" s="637"/>
      <c r="N960" s="637"/>
      <c r="O960" s="637"/>
      <c r="P960" s="637"/>
      <c r="Q960" s="637"/>
      <c r="R960" s="637"/>
      <c r="S960" s="637"/>
      <c r="T960" s="637"/>
      <c r="U960" s="637"/>
      <c r="V960" s="637"/>
      <c r="W960" s="637"/>
      <c r="X960" s="637"/>
      <c r="Y960" s="637"/>
      <c r="Z960" s="637"/>
    </row>
    <row r="961" ht="11.25" customHeight="1">
      <c r="A961" s="637"/>
      <c r="B961" s="637"/>
      <c r="C961" s="637"/>
      <c r="D961" s="637"/>
      <c r="E961" s="637"/>
      <c r="F961" s="637"/>
      <c r="G961" s="637"/>
      <c r="H961" s="637"/>
      <c r="I961" s="637"/>
      <c r="J961" s="637"/>
      <c r="K961" s="637"/>
      <c r="L961" s="637"/>
      <c r="M961" s="637"/>
      <c r="N961" s="637"/>
      <c r="O961" s="637"/>
      <c r="P961" s="637"/>
      <c r="Q961" s="637"/>
      <c r="R961" s="637"/>
      <c r="S961" s="637"/>
      <c r="T961" s="637"/>
      <c r="U961" s="637"/>
      <c r="V961" s="637"/>
      <c r="W961" s="637"/>
      <c r="X961" s="637"/>
      <c r="Y961" s="637"/>
      <c r="Z961" s="637"/>
    </row>
    <row r="962" ht="11.25" customHeight="1">
      <c r="A962" s="637"/>
      <c r="B962" s="637"/>
      <c r="C962" s="637"/>
      <c r="D962" s="637"/>
      <c r="E962" s="637"/>
      <c r="F962" s="637"/>
      <c r="G962" s="637"/>
      <c r="H962" s="637"/>
      <c r="I962" s="637"/>
      <c r="J962" s="637"/>
      <c r="K962" s="637"/>
      <c r="L962" s="637"/>
      <c r="M962" s="637"/>
      <c r="N962" s="637"/>
      <c r="O962" s="637"/>
      <c r="P962" s="637"/>
      <c r="Q962" s="637"/>
      <c r="R962" s="637"/>
      <c r="S962" s="637"/>
      <c r="T962" s="637"/>
      <c r="U962" s="637"/>
      <c r="V962" s="637"/>
      <c r="W962" s="637"/>
      <c r="X962" s="637"/>
      <c r="Y962" s="637"/>
      <c r="Z962" s="637"/>
    </row>
    <row r="963" ht="11.25" customHeight="1">
      <c r="A963" s="637"/>
      <c r="B963" s="637"/>
      <c r="C963" s="637"/>
      <c r="D963" s="637"/>
      <c r="E963" s="637"/>
      <c r="F963" s="637"/>
      <c r="G963" s="637"/>
      <c r="H963" s="637"/>
      <c r="I963" s="637"/>
      <c r="J963" s="637"/>
      <c r="K963" s="637"/>
      <c r="L963" s="637"/>
      <c r="M963" s="637"/>
      <c r="N963" s="637"/>
      <c r="O963" s="637"/>
      <c r="P963" s="637"/>
      <c r="Q963" s="637"/>
      <c r="R963" s="637"/>
      <c r="S963" s="637"/>
      <c r="T963" s="637"/>
      <c r="U963" s="637"/>
      <c r="V963" s="637"/>
      <c r="W963" s="637"/>
      <c r="X963" s="637"/>
      <c r="Y963" s="637"/>
      <c r="Z963" s="637"/>
    </row>
    <row r="964" ht="11.25" customHeight="1">
      <c r="A964" s="637"/>
      <c r="B964" s="637"/>
      <c r="C964" s="637"/>
      <c r="D964" s="637"/>
      <c r="E964" s="637"/>
      <c r="F964" s="637"/>
      <c r="G964" s="637"/>
      <c r="H964" s="637"/>
      <c r="I964" s="637"/>
      <c r="J964" s="637"/>
      <c r="K964" s="637"/>
      <c r="L964" s="637"/>
      <c r="M964" s="637"/>
      <c r="N964" s="637"/>
      <c r="O964" s="637"/>
      <c r="P964" s="637"/>
      <c r="Q964" s="637"/>
      <c r="R964" s="637"/>
      <c r="S964" s="637"/>
      <c r="T964" s="637"/>
      <c r="U964" s="637"/>
      <c r="V964" s="637"/>
      <c r="W964" s="637"/>
      <c r="X964" s="637"/>
      <c r="Y964" s="637"/>
      <c r="Z964" s="637"/>
    </row>
    <row r="965" ht="11.25" customHeight="1">
      <c r="A965" s="637"/>
      <c r="B965" s="637"/>
      <c r="C965" s="637"/>
      <c r="D965" s="637"/>
      <c r="E965" s="637"/>
      <c r="F965" s="637"/>
      <c r="G965" s="637"/>
      <c r="H965" s="637"/>
      <c r="I965" s="637"/>
      <c r="J965" s="637"/>
      <c r="K965" s="637"/>
      <c r="L965" s="637"/>
      <c r="M965" s="637"/>
      <c r="N965" s="637"/>
      <c r="O965" s="637"/>
      <c r="P965" s="637"/>
      <c r="Q965" s="637"/>
      <c r="R965" s="637"/>
      <c r="S965" s="637"/>
      <c r="T965" s="637"/>
      <c r="U965" s="637"/>
      <c r="V965" s="637"/>
      <c r="W965" s="637"/>
      <c r="X965" s="637"/>
      <c r="Y965" s="637"/>
      <c r="Z965" s="637"/>
    </row>
    <row r="966" ht="11.25" customHeight="1">
      <c r="A966" s="637"/>
      <c r="B966" s="637"/>
      <c r="C966" s="637"/>
      <c r="D966" s="637"/>
      <c r="E966" s="637"/>
      <c r="F966" s="637"/>
      <c r="G966" s="637"/>
      <c r="H966" s="637"/>
      <c r="I966" s="637"/>
      <c r="J966" s="637"/>
      <c r="K966" s="637"/>
      <c r="L966" s="637"/>
      <c r="M966" s="637"/>
      <c r="N966" s="637"/>
      <c r="O966" s="637"/>
      <c r="P966" s="637"/>
      <c r="Q966" s="637"/>
      <c r="R966" s="637"/>
      <c r="S966" s="637"/>
      <c r="T966" s="637"/>
      <c r="U966" s="637"/>
      <c r="V966" s="637"/>
      <c r="W966" s="637"/>
      <c r="X966" s="637"/>
      <c r="Y966" s="637"/>
      <c r="Z966" s="637"/>
    </row>
    <row r="967" ht="11.25" customHeight="1">
      <c r="A967" s="637"/>
      <c r="B967" s="637"/>
      <c r="C967" s="637"/>
      <c r="D967" s="637"/>
      <c r="E967" s="637"/>
      <c r="F967" s="637"/>
      <c r="G967" s="637"/>
      <c r="H967" s="637"/>
      <c r="I967" s="637"/>
      <c r="J967" s="637"/>
      <c r="K967" s="637"/>
      <c r="L967" s="637"/>
      <c r="M967" s="637"/>
      <c r="N967" s="637"/>
      <c r="O967" s="637"/>
      <c r="P967" s="637"/>
      <c r="Q967" s="637"/>
      <c r="R967" s="637"/>
      <c r="S967" s="637"/>
      <c r="T967" s="637"/>
      <c r="U967" s="637"/>
      <c r="V967" s="637"/>
      <c r="W967" s="637"/>
      <c r="X967" s="637"/>
      <c r="Y967" s="637"/>
      <c r="Z967" s="637"/>
    </row>
    <row r="968" ht="11.25" customHeight="1">
      <c r="A968" s="637"/>
      <c r="B968" s="637"/>
      <c r="C968" s="637"/>
      <c r="D968" s="637"/>
      <c r="E968" s="637"/>
      <c r="F968" s="637"/>
      <c r="G968" s="637"/>
      <c r="H968" s="637"/>
      <c r="I968" s="637"/>
      <c r="J968" s="637"/>
      <c r="K968" s="637"/>
      <c r="L968" s="637"/>
      <c r="M968" s="637"/>
      <c r="N968" s="637"/>
      <c r="O968" s="637"/>
      <c r="P968" s="637"/>
      <c r="Q968" s="637"/>
      <c r="R968" s="637"/>
      <c r="S968" s="637"/>
      <c r="T968" s="637"/>
      <c r="U968" s="637"/>
      <c r="V968" s="637"/>
      <c r="W968" s="637"/>
      <c r="X968" s="637"/>
      <c r="Y968" s="637"/>
      <c r="Z968" s="637"/>
    </row>
    <row r="969" ht="11.25" customHeight="1">
      <c r="A969" s="637"/>
      <c r="B969" s="637"/>
      <c r="C969" s="637"/>
      <c r="D969" s="637"/>
      <c r="E969" s="637"/>
      <c r="F969" s="637"/>
      <c r="G969" s="637"/>
      <c r="H969" s="637"/>
      <c r="I969" s="637"/>
      <c r="J969" s="637"/>
      <c r="K969" s="637"/>
      <c r="L969" s="637"/>
      <c r="M969" s="637"/>
      <c r="N969" s="637"/>
      <c r="O969" s="637"/>
      <c r="P969" s="637"/>
      <c r="Q969" s="637"/>
      <c r="R969" s="637"/>
      <c r="S969" s="637"/>
      <c r="T969" s="637"/>
      <c r="U969" s="637"/>
      <c r="V969" s="637"/>
      <c r="W969" s="637"/>
      <c r="X969" s="637"/>
      <c r="Y969" s="637"/>
      <c r="Z969" s="637"/>
    </row>
    <row r="970" ht="11.25" customHeight="1">
      <c r="A970" s="637"/>
      <c r="B970" s="637"/>
      <c r="C970" s="637"/>
      <c r="D970" s="637"/>
      <c r="E970" s="637"/>
      <c r="F970" s="637"/>
      <c r="G970" s="637"/>
      <c r="H970" s="637"/>
      <c r="I970" s="637"/>
      <c r="J970" s="637"/>
      <c r="K970" s="637"/>
      <c r="L970" s="637"/>
      <c r="M970" s="637"/>
      <c r="N970" s="637"/>
      <c r="O970" s="637"/>
      <c r="P970" s="637"/>
      <c r="Q970" s="637"/>
      <c r="R970" s="637"/>
      <c r="S970" s="637"/>
      <c r="T970" s="637"/>
      <c r="U970" s="637"/>
      <c r="V970" s="637"/>
      <c r="W970" s="637"/>
      <c r="X970" s="637"/>
      <c r="Y970" s="637"/>
      <c r="Z970" s="637"/>
    </row>
    <row r="971" ht="11.25" customHeight="1">
      <c r="A971" s="637"/>
      <c r="B971" s="637"/>
      <c r="C971" s="637"/>
      <c r="D971" s="637"/>
      <c r="E971" s="637"/>
      <c r="F971" s="637"/>
      <c r="G971" s="637"/>
      <c r="H971" s="637"/>
      <c r="I971" s="637"/>
      <c r="J971" s="637"/>
      <c r="K971" s="637"/>
      <c r="L971" s="637"/>
      <c r="M971" s="637"/>
      <c r="N971" s="637"/>
      <c r="O971" s="637"/>
      <c r="P971" s="637"/>
      <c r="Q971" s="637"/>
      <c r="R971" s="637"/>
      <c r="S971" s="637"/>
      <c r="T971" s="637"/>
      <c r="U971" s="637"/>
      <c r="V971" s="637"/>
      <c r="W971" s="637"/>
      <c r="X971" s="637"/>
      <c r="Y971" s="637"/>
      <c r="Z971" s="637"/>
    </row>
    <row r="972" ht="11.25" customHeight="1">
      <c r="A972" s="637"/>
      <c r="B972" s="637"/>
      <c r="C972" s="637"/>
      <c r="D972" s="637"/>
      <c r="E972" s="637"/>
      <c r="F972" s="637"/>
      <c r="G972" s="637"/>
      <c r="H972" s="637"/>
      <c r="I972" s="637"/>
      <c r="J972" s="637"/>
      <c r="K972" s="637"/>
      <c r="L972" s="637"/>
      <c r="M972" s="637"/>
      <c r="N972" s="637"/>
      <c r="O972" s="637"/>
      <c r="P972" s="637"/>
      <c r="Q972" s="637"/>
      <c r="R972" s="637"/>
      <c r="S972" s="637"/>
      <c r="T972" s="637"/>
      <c r="U972" s="637"/>
      <c r="V972" s="637"/>
      <c r="W972" s="637"/>
      <c r="X972" s="637"/>
      <c r="Y972" s="637"/>
      <c r="Z972" s="637"/>
    </row>
    <row r="973" ht="11.25" customHeight="1">
      <c r="A973" s="637"/>
      <c r="B973" s="637"/>
      <c r="C973" s="637"/>
      <c r="D973" s="637"/>
      <c r="E973" s="637"/>
      <c r="F973" s="637"/>
      <c r="G973" s="637"/>
      <c r="H973" s="637"/>
      <c r="I973" s="637"/>
      <c r="J973" s="637"/>
      <c r="K973" s="637"/>
      <c r="L973" s="637"/>
      <c r="M973" s="637"/>
      <c r="N973" s="637"/>
      <c r="O973" s="637"/>
      <c r="P973" s="637"/>
      <c r="Q973" s="637"/>
      <c r="R973" s="637"/>
      <c r="S973" s="637"/>
      <c r="T973" s="637"/>
      <c r="U973" s="637"/>
      <c r="V973" s="637"/>
      <c r="W973" s="637"/>
      <c r="X973" s="637"/>
      <c r="Y973" s="637"/>
      <c r="Z973" s="637"/>
    </row>
    <row r="974" ht="11.25" customHeight="1">
      <c r="A974" s="637"/>
      <c r="B974" s="637"/>
      <c r="C974" s="637"/>
      <c r="D974" s="637"/>
      <c r="E974" s="637"/>
      <c r="F974" s="637"/>
      <c r="G974" s="637"/>
      <c r="H974" s="637"/>
      <c r="I974" s="637"/>
      <c r="J974" s="637"/>
      <c r="K974" s="637"/>
      <c r="L974" s="637"/>
      <c r="M974" s="637"/>
      <c r="N974" s="637"/>
      <c r="O974" s="637"/>
      <c r="P974" s="637"/>
      <c r="Q974" s="637"/>
      <c r="R974" s="637"/>
      <c r="S974" s="637"/>
      <c r="T974" s="637"/>
      <c r="U974" s="637"/>
      <c r="V974" s="637"/>
      <c r="W974" s="637"/>
      <c r="X974" s="637"/>
      <c r="Y974" s="637"/>
      <c r="Z974" s="637"/>
    </row>
    <row r="975" ht="11.25" customHeight="1">
      <c r="A975" s="637"/>
      <c r="B975" s="637"/>
      <c r="C975" s="637"/>
      <c r="D975" s="637"/>
      <c r="E975" s="637"/>
      <c r="F975" s="637"/>
      <c r="G975" s="637"/>
      <c r="H975" s="637"/>
      <c r="I975" s="637"/>
      <c r="J975" s="637"/>
      <c r="K975" s="637"/>
      <c r="L975" s="637"/>
      <c r="M975" s="637"/>
      <c r="N975" s="637"/>
      <c r="O975" s="637"/>
      <c r="P975" s="637"/>
      <c r="Q975" s="637"/>
      <c r="R975" s="637"/>
      <c r="S975" s="637"/>
      <c r="T975" s="637"/>
      <c r="U975" s="637"/>
      <c r="V975" s="637"/>
      <c r="W975" s="637"/>
      <c r="X975" s="637"/>
      <c r="Y975" s="637"/>
      <c r="Z975" s="637"/>
    </row>
    <row r="976" ht="11.25" customHeight="1">
      <c r="A976" s="637"/>
      <c r="B976" s="637"/>
      <c r="C976" s="637"/>
      <c r="D976" s="637"/>
      <c r="E976" s="637"/>
      <c r="F976" s="637"/>
      <c r="G976" s="637"/>
      <c r="H976" s="637"/>
      <c r="I976" s="637"/>
      <c r="J976" s="637"/>
      <c r="K976" s="637"/>
      <c r="L976" s="637"/>
      <c r="M976" s="637"/>
      <c r="N976" s="637"/>
      <c r="O976" s="637"/>
      <c r="P976" s="637"/>
      <c r="Q976" s="637"/>
      <c r="R976" s="637"/>
      <c r="S976" s="637"/>
      <c r="T976" s="637"/>
      <c r="U976" s="637"/>
      <c r="V976" s="637"/>
      <c r="W976" s="637"/>
      <c r="X976" s="637"/>
      <c r="Y976" s="637"/>
      <c r="Z976" s="637"/>
    </row>
    <row r="977" ht="11.25" customHeight="1">
      <c r="A977" s="637"/>
      <c r="B977" s="637"/>
      <c r="C977" s="637"/>
      <c r="D977" s="637"/>
      <c r="E977" s="637"/>
      <c r="F977" s="637"/>
      <c r="G977" s="637"/>
      <c r="H977" s="637"/>
      <c r="I977" s="637"/>
      <c r="J977" s="637"/>
      <c r="K977" s="637"/>
      <c r="L977" s="637"/>
      <c r="M977" s="637"/>
      <c r="N977" s="637"/>
      <c r="O977" s="637"/>
      <c r="P977" s="637"/>
      <c r="Q977" s="637"/>
      <c r="R977" s="637"/>
      <c r="S977" s="637"/>
      <c r="T977" s="637"/>
      <c r="U977" s="637"/>
      <c r="V977" s="637"/>
      <c r="W977" s="637"/>
      <c r="X977" s="637"/>
      <c r="Y977" s="637"/>
      <c r="Z977" s="637"/>
    </row>
    <row r="978" ht="11.25" customHeight="1">
      <c r="A978" s="637"/>
      <c r="B978" s="637"/>
      <c r="C978" s="637"/>
      <c r="D978" s="637"/>
      <c r="E978" s="637"/>
      <c r="F978" s="637"/>
      <c r="G978" s="637"/>
      <c r="H978" s="637"/>
      <c r="I978" s="637"/>
      <c r="J978" s="637"/>
      <c r="K978" s="637"/>
      <c r="L978" s="637"/>
      <c r="M978" s="637"/>
      <c r="N978" s="637"/>
      <c r="O978" s="637"/>
      <c r="P978" s="637"/>
      <c r="Q978" s="637"/>
      <c r="R978" s="637"/>
      <c r="S978" s="637"/>
      <c r="T978" s="637"/>
      <c r="U978" s="637"/>
      <c r="V978" s="637"/>
      <c r="W978" s="637"/>
      <c r="X978" s="637"/>
      <c r="Y978" s="637"/>
      <c r="Z978" s="637"/>
    </row>
    <row r="979" ht="11.25" customHeight="1">
      <c r="A979" s="637"/>
      <c r="B979" s="637"/>
      <c r="C979" s="637"/>
      <c r="D979" s="637"/>
      <c r="E979" s="637"/>
      <c r="F979" s="637"/>
      <c r="G979" s="637"/>
      <c r="H979" s="637"/>
      <c r="I979" s="637"/>
      <c r="J979" s="637"/>
      <c r="K979" s="637"/>
      <c r="L979" s="637"/>
      <c r="M979" s="637"/>
      <c r="N979" s="637"/>
      <c r="O979" s="637"/>
      <c r="P979" s="637"/>
      <c r="Q979" s="637"/>
      <c r="R979" s="637"/>
      <c r="S979" s="637"/>
      <c r="T979" s="637"/>
      <c r="U979" s="637"/>
      <c r="V979" s="637"/>
      <c r="W979" s="637"/>
      <c r="X979" s="637"/>
      <c r="Y979" s="637"/>
      <c r="Z979" s="637"/>
    </row>
    <row r="980" ht="11.25" customHeight="1">
      <c r="A980" s="637"/>
      <c r="B980" s="637"/>
      <c r="C980" s="637"/>
      <c r="D980" s="637"/>
      <c r="E980" s="637"/>
      <c r="F980" s="637"/>
      <c r="G980" s="637"/>
      <c r="H980" s="637"/>
      <c r="I980" s="637"/>
      <c r="J980" s="637"/>
      <c r="K980" s="637"/>
      <c r="L980" s="637"/>
      <c r="M980" s="637"/>
      <c r="N980" s="637"/>
      <c r="O980" s="637"/>
      <c r="P980" s="637"/>
      <c r="Q980" s="637"/>
      <c r="R980" s="637"/>
      <c r="S980" s="637"/>
      <c r="T980" s="637"/>
      <c r="U980" s="637"/>
      <c r="V980" s="637"/>
      <c r="W980" s="637"/>
      <c r="X980" s="637"/>
      <c r="Y980" s="637"/>
      <c r="Z980" s="637"/>
    </row>
    <row r="981" ht="11.25" customHeight="1">
      <c r="A981" s="637"/>
      <c r="B981" s="637"/>
      <c r="C981" s="637"/>
      <c r="D981" s="637"/>
      <c r="E981" s="637"/>
      <c r="F981" s="637"/>
      <c r="G981" s="637"/>
      <c r="H981" s="637"/>
      <c r="I981" s="637"/>
      <c r="J981" s="637"/>
      <c r="K981" s="637"/>
      <c r="L981" s="637"/>
      <c r="M981" s="637"/>
      <c r="N981" s="637"/>
      <c r="O981" s="637"/>
      <c r="P981" s="637"/>
      <c r="Q981" s="637"/>
      <c r="R981" s="637"/>
      <c r="S981" s="637"/>
      <c r="T981" s="637"/>
      <c r="U981" s="637"/>
      <c r="V981" s="637"/>
      <c r="W981" s="637"/>
      <c r="X981" s="637"/>
      <c r="Y981" s="637"/>
      <c r="Z981" s="637"/>
    </row>
    <row r="982" ht="11.25" customHeight="1">
      <c r="A982" s="637"/>
      <c r="B982" s="637"/>
      <c r="C982" s="637"/>
      <c r="D982" s="637"/>
      <c r="E982" s="637"/>
      <c r="F982" s="637"/>
      <c r="G982" s="637"/>
      <c r="H982" s="637"/>
      <c r="I982" s="637"/>
      <c r="J982" s="637"/>
      <c r="K982" s="637"/>
      <c r="L982" s="637"/>
      <c r="M982" s="637"/>
      <c r="N982" s="637"/>
      <c r="O982" s="637"/>
      <c r="P982" s="637"/>
      <c r="Q982" s="637"/>
      <c r="R982" s="637"/>
      <c r="S982" s="637"/>
      <c r="T982" s="637"/>
      <c r="U982" s="637"/>
      <c r="V982" s="637"/>
      <c r="W982" s="637"/>
      <c r="X982" s="637"/>
      <c r="Y982" s="637"/>
      <c r="Z982" s="637"/>
    </row>
    <row r="983" ht="11.25" customHeight="1">
      <c r="A983" s="637"/>
      <c r="B983" s="637"/>
      <c r="C983" s="637"/>
      <c r="D983" s="637"/>
      <c r="E983" s="637"/>
      <c r="F983" s="637"/>
      <c r="G983" s="637"/>
      <c r="H983" s="637"/>
      <c r="I983" s="637"/>
      <c r="J983" s="637"/>
      <c r="K983" s="637"/>
      <c r="L983" s="637"/>
      <c r="M983" s="637"/>
      <c r="N983" s="637"/>
      <c r="O983" s="637"/>
      <c r="P983" s="637"/>
      <c r="Q983" s="637"/>
      <c r="R983" s="637"/>
      <c r="S983" s="637"/>
      <c r="T983" s="637"/>
      <c r="U983" s="637"/>
      <c r="V983" s="637"/>
      <c r="W983" s="637"/>
      <c r="X983" s="637"/>
      <c r="Y983" s="637"/>
      <c r="Z983" s="637"/>
    </row>
    <row r="984" ht="11.25" customHeight="1">
      <c r="A984" s="637"/>
      <c r="B984" s="637"/>
      <c r="C984" s="637"/>
      <c r="D984" s="637"/>
      <c r="E984" s="637"/>
      <c r="F984" s="637"/>
      <c r="G984" s="637"/>
      <c r="H984" s="637"/>
      <c r="I984" s="637"/>
      <c r="J984" s="637"/>
      <c r="K984" s="637"/>
      <c r="L984" s="637"/>
      <c r="M984" s="637"/>
      <c r="N984" s="637"/>
      <c r="O984" s="637"/>
      <c r="P984" s="637"/>
      <c r="Q984" s="637"/>
      <c r="R984" s="637"/>
      <c r="S984" s="637"/>
      <c r="T984" s="637"/>
      <c r="U984" s="637"/>
      <c r="V984" s="637"/>
      <c r="W984" s="637"/>
      <c r="X984" s="637"/>
      <c r="Y984" s="637"/>
      <c r="Z984" s="637"/>
    </row>
    <row r="985" ht="11.25" customHeight="1">
      <c r="A985" s="637"/>
      <c r="B985" s="637"/>
      <c r="C985" s="637"/>
      <c r="D985" s="637"/>
      <c r="E985" s="637"/>
      <c r="F985" s="637"/>
      <c r="G985" s="637"/>
      <c r="H985" s="637"/>
      <c r="I985" s="637"/>
      <c r="J985" s="637"/>
      <c r="K985" s="637"/>
      <c r="L985" s="637"/>
      <c r="M985" s="637"/>
      <c r="N985" s="637"/>
      <c r="O985" s="637"/>
      <c r="P985" s="637"/>
      <c r="Q985" s="637"/>
      <c r="R985" s="637"/>
      <c r="S985" s="637"/>
      <c r="T985" s="637"/>
      <c r="U985" s="637"/>
      <c r="V985" s="637"/>
      <c r="W985" s="637"/>
      <c r="X985" s="637"/>
      <c r="Y985" s="637"/>
      <c r="Z985" s="637"/>
    </row>
    <row r="986" ht="11.25" customHeight="1">
      <c r="A986" s="637"/>
      <c r="B986" s="637"/>
      <c r="C986" s="637"/>
      <c r="D986" s="637"/>
      <c r="E986" s="637"/>
      <c r="F986" s="637"/>
      <c r="G986" s="637"/>
      <c r="H986" s="637"/>
      <c r="I986" s="637"/>
      <c r="J986" s="637"/>
      <c r="K986" s="637"/>
      <c r="L986" s="637"/>
      <c r="M986" s="637"/>
      <c r="N986" s="637"/>
      <c r="O986" s="637"/>
      <c r="P986" s="637"/>
      <c r="Q986" s="637"/>
      <c r="R986" s="637"/>
      <c r="S986" s="637"/>
      <c r="T986" s="637"/>
      <c r="U986" s="637"/>
      <c r="V986" s="637"/>
      <c r="W986" s="637"/>
      <c r="X986" s="637"/>
      <c r="Y986" s="637"/>
      <c r="Z986" s="637"/>
    </row>
    <row r="987" ht="11.25" customHeight="1">
      <c r="A987" s="637"/>
      <c r="B987" s="637"/>
      <c r="C987" s="637"/>
      <c r="D987" s="637"/>
      <c r="E987" s="637"/>
      <c r="F987" s="637"/>
      <c r="G987" s="637"/>
      <c r="H987" s="637"/>
      <c r="I987" s="637"/>
      <c r="J987" s="637"/>
      <c r="K987" s="637"/>
      <c r="L987" s="637"/>
      <c r="M987" s="637"/>
      <c r="N987" s="637"/>
      <c r="O987" s="637"/>
      <c r="P987" s="637"/>
      <c r="Q987" s="637"/>
      <c r="R987" s="637"/>
      <c r="S987" s="637"/>
      <c r="T987" s="637"/>
      <c r="U987" s="637"/>
      <c r="V987" s="637"/>
      <c r="W987" s="637"/>
      <c r="X987" s="637"/>
      <c r="Y987" s="637"/>
      <c r="Z987" s="637"/>
    </row>
    <row r="988" ht="11.25" customHeight="1">
      <c r="A988" s="637"/>
      <c r="B988" s="637"/>
      <c r="C988" s="637"/>
      <c r="D988" s="637"/>
      <c r="E988" s="637"/>
      <c r="F988" s="637"/>
      <c r="G988" s="637"/>
      <c r="H988" s="637"/>
      <c r="I988" s="637"/>
      <c r="J988" s="637"/>
      <c r="K988" s="637"/>
      <c r="L988" s="637"/>
      <c r="M988" s="637"/>
      <c r="N988" s="637"/>
      <c r="O988" s="637"/>
      <c r="P988" s="637"/>
      <c r="Q988" s="637"/>
      <c r="R988" s="637"/>
      <c r="S988" s="637"/>
      <c r="T988" s="637"/>
      <c r="U988" s="637"/>
      <c r="V988" s="637"/>
      <c r="W988" s="637"/>
      <c r="X988" s="637"/>
      <c r="Y988" s="637"/>
      <c r="Z988" s="637"/>
    </row>
    <row r="989" ht="11.25" customHeight="1">
      <c r="A989" s="637"/>
      <c r="B989" s="637"/>
      <c r="C989" s="637"/>
      <c r="D989" s="637"/>
      <c r="E989" s="637"/>
      <c r="F989" s="637"/>
      <c r="G989" s="637"/>
      <c r="H989" s="637"/>
      <c r="I989" s="637"/>
      <c r="J989" s="637"/>
      <c r="K989" s="637"/>
      <c r="L989" s="637"/>
      <c r="M989" s="637"/>
      <c r="N989" s="637"/>
      <c r="O989" s="637"/>
      <c r="P989" s="637"/>
      <c r="Q989" s="637"/>
      <c r="R989" s="637"/>
      <c r="S989" s="637"/>
      <c r="T989" s="637"/>
      <c r="U989" s="637"/>
      <c r="V989" s="637"/>
      <c r="W989" s="637"/>
      <c r="X989" s="637"/>
      <c r="Y989" s="637"/>
      <c r="Z989" s="637"/>
    </row>
    <row r="990" ht="11.25" customHeight="1">
      <c r="A990" s="637"/>
      <c r="B990" s="637"/>
      <c r="C990" s="637"/>
      <c r="D990" s="637"/>
      <c r="E990" s="637"/>
      <c r="F990" s="637"/>
      <c r="G990" s="637"/>
      <c r="H990" s="637"/>
      <c r="I990" s="637"/>
      <c r="J990" s="637"/>
      <c r="K990" s="637"/>
      <c r="L990" s="637"/>
      <c r="M990" s="637"/>
      <c r="N990" s="637"/>
      <c r="O990" s="637"/>
      <c r="P990" s="637"/>
      <c r="Q990" s="637"/>
      <c r="R990" s="637"/>
      <c r="S990" s="637"/>
      <c r="T990" s="637"/>
      <c r="U990" s="637"/>
      <c r="V990" s="637"/>
      <c r="W990" s="637"/>
      <c r="X990" s="637"/>
      <c r="Y990" s="637"/>
      <c r="Z990" s="637"/>
    </row>
    <row r="991" ht="11.25" customHeight="1">
      <c r="A991" s="637"/>
      <c r="B991" s="637"/>
      <c r="C991" s="637"/>
      <c r="D991" s="637"/>
      <c r="E991" s="637"/>
      <c r="F991" s="637"/>
      <c r="G991" s="637"/>
      <c r="H991" s="637"/>
      <c r="I991" s="637"/>
      <c r="J991" s="637"/>
      <c r="K991" s="637"/>
      <c r="L991" s="637"/>
      <c r="M991" s="637"/>
      <c r="N991" s="637"/>
      <c r="O991" s="637"/>
      <c r="P991" s="637"/>
      <c r="Q991" s="637"/>
      <c r="R991" s="637"/>
      <c r="S991" s="637"/>
      <c r="T991" s="637"/>
      <c r="U991" s="637"/>
      <c r="V991" s="637"/>
      <c r="W991" s="637"/>
      <c r="X991" s="637"/>
      <c r="Y991" s="637"/>
      <c r="Z991" s="637"/>
    </row>
    <row r="992" ht="11.25" customHeight="1">
      <c r="A992" s="637"/>
      <c r="B992" s="637"/>
      <c r="C992" s="637"/>
      <c r="D992" s="637"/>
      <c r="E992" s="637"/>
      <c r="F992" s="637"/>
      <c r="G992" s="637"/>
      <c r="H992" s="637"/>
      <c r="I992" s="637"/>
      <c r="J992" s="637"/>
      <c r="K992" s="637"/>
      <c r="L992" s="637"/>
      <c r="M992" s="637"/>
      <c r="N992" s="637"/>
      <c r="O992" s="637"/>
      <c r="P992" s="637"/>
      <c r="Q992" s="637"/>
      <c r="R992" s="637"/>
      <c r="S992" s="637"/>
      <c r="T992" s="637"/>
      <c r="U992" s="637"/>
      <c r="V992" s="637"/>
      <c r="W992" s="637"/>
      <c r="X992" s="637"/>
      <c r="Y992" s="637"/>
      <c r="Z992" s="637"/>
    </row>
    <row r="993" ht="11.25" customHeight="1">
      <c r="A993" s="637"/>
      <c r="B993" s="637"/>
      <c r="C993" s="637"/>
      <c r="D993" s="637"/>
      <c r="E993" s="637"/>
      <c r="F993" s="637"/>
      <c r="G993" s="637"/>
      <c r="H993" s="637"/>
      <c r="I993" s="637"/>
      <c r="J993" s="637"/>
      <c r="K993" s="637"/>
      <c r="L993" s="637"/>
      <c r="M993" s="637"/>
      <c r="N993" s="637"/>
      <c r="O993" s="637"/>
      <c r="P993" s="637"/>
      <c r="Q993" s="637"/>
      <c r="R993" s="637"/>
      <c r="S993" s="637"/>
      <c r="T993" s="637"/>
      <c r="U993" s="637"/>
      <c r="V993" s="637"/>
      <c r="W993" s="637"/>
      <c r="X993" s="637"/>
      <c r="Y993" s="637"/>
      <c r="Z993" s="637"/>
    </row>
    <row r="994" ht="11.25" customHeight="1">
      <c r="A994" s="637"/>
      <c r="B994" s="637"/>
      <c r="C994" s="637"/>
      <c r="D994" s="637"/>
      <c r="E994" s="637"/>
      <c r="F994" s="637"/>
      <c r="G994" s="637"/>
      <c r="H994" s="637"/>
      <c r="I994" s="637"/>
      <c r="J994" s="637"/>
      <c r="K994" s="637"/>
      <c r="L994" s="637"/>
      <c r="M994" s="637"/>
      <c r="N994" s="637"/>
      <c r="O994" s="637"/>
      <c r="P994" s="637"/>
      <c r="Q994" s="637"/>
      <c r="R994" s="637"/>
      <c r="S994" s="637"/>
      <c r="T994" s="637"/>
      <c r="U994" s="637"/>
      <c r="V994" s="637"/>
      <c r="W994" s="637"/>
      <c r="X994" s="637"/>
      <c r="Y994" s="637"/>
      <c r="Z994" s="637"/>
    </row>
    <row r="995" ht="11.25" customHeight="1">
      <c r="A995" s="637"/>
      <c r="B995" s="637"/>
      <c r="C995" s="637"/>
      <c r="D995" s="637"/>
      <c r="E995" s="637"/>
      <c r="F995" s="637"/>
      <c r="G995" s="637"/>
      <c r="H995" s="637"/>
      <c r="I995" s="637"/>
      <c r="J995" s="637"/>
      <c r="K995" s="637"/>
      <c r="L995" s="637"/>
      <c r="M995" s="637"/>
      <c r="N995" s="637"/>
      <c r="O995" s="637"/>
      <c r="P995" s="637"/>
      <c r="Q995" s="637"/>
      <c r="R995" s="637"/>
      <c r="S995" s="637"/>
      <c r="T995" s="637"/>
      <c r="U995" s="637"/>
      <c r="V995" s="637"/>
      <c r="W995" s="637"/>
      <c r="X995" s="637"/>
      <c r="Y995" s="637"/>
      <c r="Z995" s="637"/>
    </row>
    <row r="996" ht="11.25" customHeight="1">
      <c r="A996" s="637"/>
      <c r="B996" s="637"/>
      <c r="C996" s="637"/>
      <c r="D996" s="637"/>
      <c r="E996" s="637"/>
      <c r="F996" s="637"/>
      <c r="G996" s="637"/>
      <c r="H996" s="637"/>
      <c r="I996" s="637"/>
      <c r="J996" s="637"/>
      <c r="K996" s="637"/>
      <c r="L996" s="637"/>
      <c r="M996" s="637"/>
      <c r="N996" s="637"/>
      <c r="O996" s="637"/>
      <c r="P996" s="637"/>
      <c r="Q996" s="637"/>
      <c r="R996" s="637"/>
      <c r="S996" s="637"/>
      <c r="T996" s="637"/>
      <c r="U996" s="637"/>
      <c r="V996" s="637"/>
      <c r="W996" s="637"/>
      <c r="X996" s="637"/>
      <c r="Y996" s="637"/>
      <c r="Z996" s="637"/>
    </row>
    <row r="997" ht="11.25" customHeight="1">
      <c r="A997" s="637"/>
      <c r="B997" s="637"/>
      <c r="C997" s="637"/>
      <c r="D997" s="637"/>
      <c r="E997" s="637"/>
      <c r="F997" s="637"/>
      <c r="G997" s="637"/>
      <c r="H997" s="637"/>
      <c r="I997" s="637"/>
      <c r="J997" s="637"/>
      <c r="K997" s="637"/>
      <c r="L997" s="637"/>
      <c r="M997" s="637"/>
      <c r="N997" s="637"/>
      <c r="O997" s="637"/>
      <c r="P997" s="637"/>
      <c r="Q997" s="637"/>
      <c r="R997" s="637"/>
      <c r="S997" s="637"/>
      <c r="T997" s="637"/>
      <c r="U997" s="637"/>
      <c r="V997" s="637"/>
      <c r="W997" s="637"/>
      <c r="X997" s="637"/>
      <c r="Y997" s="637"/>
      <c r="Z997" s="637"/>
    </row>
    <row r="998" ht="11.25" customHeight="1">
      <c r="A998" s="637"/>
      <c r="B998" s="637"/>
      <c r="C998" s="637"/>
      <c r="D998" s="637"/>
      <c r="E998" s="637"/>
      <c r="F998" s="637"/>
      <c r="G998" s="637"/>
      <c r="H998" s="637"/>
      <c r="I998" s="637"/>
      <c r="J998" s="637"/>
      <c r="K998" s="637"/>
      <c r="L998" s="637"/>
      <c r="M998" s="637"/>
      <c r="N998" s="637"/>
      <c r="O998" s="637"/>
      <c r="P998" s="637"/>
      <c r="Q998" s="637"/>
      <c r="R998" s="637"/>
      <c r="S998" s="637"/>
      <c r="T998" s="637"/>
      <c r="U998" s="637"/>
      <c r="V998" s="637"/>
      <c r="W998" s="637"/>
      <c r="X998" s="637"/>
      <c r="Y998" s="637"/>
      <c r="Z998" s="637"/>
    </row>
    <row r="999" ht="11.25" customHeight="1">
      <c r="A999" s="637"/>
      <c r="B999" s="637"/>
      <c r="C999" s="637"/>
      <c r="D999" s="637"/>
      <c r="E999" s="637"/>
      <c r="F999" s="637"/>
      <c r="G999" s="637"/>
      <c r="H999" s="637"/>
      <c r="I999" s="637"/>
      <c r="J999" s="637"/>
      <c r="K999" s="637"/>
      <c r="L999" s="637"/>
      <c r="M999" s="637"/>
      <c r="N999" s="637"/>
      <c r="O999" s="637"/>
      <c r="P999" s="637"/>
      <c r="Q999" s="637"/>
      <c r="R999" s="637"/>
      <c r="S999" s="637"/>
      <c r="T999" s="637"/>
      <c r="U999" s="637"/>
      <c r="V999" s="637"/>
      <c r="W999" s="637"/>
      <c r="X999" s="637"/>
      <c r="Y999" s="637"/>
      <c r="Z999" s="637"/>
    </row>
    <row r="1000" ht="11.25" customHeight="1">
      <c r="A1000" s="637"/>
      <c r="B1000" s="637"/>
      <c r="C1000" s="637"/>
      <c r="D1000" s="637"/>
      <c r="E1000" s="637"/>
      <c r="F1000" s="637"/>
      <c r="G1000" s="637"/>
      <c r="H1000" s="637"/>
      <c r="I1000" s="637"/>
      <c r="J1000" s="637"/>
      <c r="K1000" s="637"/>
      <c r="L1000" s="637"/>
      <c r="M1000" s="637"/>
      <c r="N1000" s="637"/>
      <c r="O1000" s="637"/>
      <c r="P1000" s="637"/>
      <c r="Q1000" s="637"/>
      <c r="R1000" s="637"/>
      <c r="S1000" s="637"/>
      <c r="T1000" s="637"/>
      <c r="U1000" s="637"/>
      <c r="V1000" s="637"/>
      <c r="W1000" s="637"/>
      <c r="X1000" s="637"/>
      <c r="Y1000" s="637"/>
      <c r="Z1000" s="637"/>
    </row>
  </sheetData>
  <printOptions/>
  <pageMargins bottom="0.75" footer="0.0" header="0.0" left="0.7" right="0.7" top="0.75"/>
  <pageSetup orientation="portrait"/>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25.57"/>
    <col customWidth="1" min="11" max="11" width="11.57"/>
    <col customWidth="1" min="12" max="12" width="6.57"/>
    <col customWidth="1" min="13" max="26" width="8.71"/>
  </cols>
  <sheetData>
    <row r="1">
      <c r="A1" s="641" t="s">
        <v>5235</v>
      </c>
      <c r="B1" s="641" t="s">
        <v>5236</v>
      </c>
      <c r="C1" s="641" t="s">
        <v>5237</v>
      </c>
      <c r="D1" s="641" t="s">
        <v>5238</v>
      </c>
      <c r="E1" s="641" t="s">
        <v>5239</v>
      </c>
      <c r="F1" s="641" t="s">
        <v>5240</v>
      </c>
      <c r="G1" s="641" t="s">
        <v>5241</v>
      </c>
      <c r="H1" s="641" t="s">
        <v>5242</v>
      </c>
      <c r="I1" s="641" t="s">
        <v>5243</v>
      </c>
      <c r="J1" s="641" t="s">
        <v>5244</v>
      </c>
      <c r="K1" s="641" t="s">
        <v>5245</v>
      </c>
      <c r="L1" s="641" t="s">
        <v>5246</v>
      </c>
    </row>
    <row r="2">
      <c r="A2" s="567">
        <v>2.2109159343E10</v>
      </c>
      <c r="B2" s="567" t="s">
        <v>5247</v>
      </c>
      <c r="C2" s="567" t="s">
        <v>5248</v>
      </c>
      <c r="D2" s="567" t="s">
        <v>5249</v>
      </c>
      <c r="E2" s="567" t="s">
        <v>5250</v>
      </c>
      <c r="F2" s="567" t="s">
        <v>5251</v>
      </c>
      <c r="G2" s="567" t="s">
        <v>5252</v>
      </c>
      <c r="H2" s="567" t="s">
        <v>5253</v>
      </c>
      <c r="I2" s="567" t="s">
        <v>5254</v>
      </c>
      <c r="J2" s="567" t="s">
        <v>5255</v>
      </c>
      <c r="K2" s="567" t="s">
        <v>5256</v>
      </c>
      <c r="L2" s="567" t="s">
        <v>5256</v>
      </c>
    </row>
    <row r="3">
      <c r="A3" s="567">
        <v>2.2109165079E10</v>
      </c>
      <c r="B3" s="567" t="s">
        <v>5257</v>
      </c>
      <c r="C3" s="567" t="s">
        <v>5248</v>
      </c>
      <c r="D3" s="567" t="s">
        <v>5258</v>
      </c>
      <c r="E3" s="567" t="s">
        <v>5259</v>
      </c>
      <c r="F3" s="567" t="s">
        <v>5260</v>
      </c>
      <c r="G3" s="567" t="s">
        <v>5252</v>
      </c>
      <c r="H3" s="567" t="s">
        <v>5253</v>
      </c>
      <c r="I3" s="567" t="s">
        <v>5261</v>
      </c>
      <c r="J3" s="567" t="s">
        <v>5262</v>
      </c>
      <c r="K3" s="567" t="s">
        <v>5256</v>
      </c>
      <c r="L3" s="567" t="s">
        <v>5256</v>
      </c>
    </row>
    <row r="4">
      <c r="A4" s="567">
        <v>2.210916508E10</v>
      </c>
      <c r="B4" s="567" t="s">
        <v>5263</v>
      </c>
      <c r="C4" s="567" t="s">
        <v>5248</v>
      </c>
      <c r="D4" s="567" t="s">
        <v>5264</v>
      </c>
      <c r="E4" s="567" t="s">
        <v>5265</v>
      </c>
      <c r="F4" s="567" t="s">
        <v>5260</v>
      </c>
      <c r="G4" s="567" t="s">
        <v>5252</v>
      </c>
      <c r="H4" s="567" t="s">
        <v>5253</v>
      </c>
      <c r="I4" s="567" t="s">
        <v>5261</v>
      </c>
      <c r="J4" s="567" t="s">
        <v>5266</v>
      </c>
      <c r="K4" s="567" t="s">
        <v>5256</v>
      </c>
      <c r="L4" s="567" t="s">
        <v>5256</v>
      </c>
    </row>
    <row r="5">
      <c r="A5" s="567">
        <v>2.2109165081E10</v>
      </c>
      <c r="B5" s="567" t="s">
        <v>5267</v>
      </c>
      <c r="C5" s="567" t="s">
        <v>5248</v>
      </c>
      <c r="D5" s="567" t="s">
        <v>5268</v>
      </c>
      <c r="E5" s="567" t="s">
        <v>5269</v>
      </c>
      <c r="F5" s="567" t="s">
        <v>5260</v>
      </c>
      <c r="G5" s="567" t="s">
        <v>5252</v>
      </c>
      <c r="H5" s="567" t="s">
        <v>5253</v>
      </c>
      <c r="I5" s="567" t="s">
        <v>5261</v>
      </c>
      <c r="J5" s="567" t="s">
        <v>5270</v>
      </c>
      <c r="K5" s="567" t="s">
        <v>5256</v>
      </c>
      <c r="L5" s="567" t="s">
        <v>5256</v>
      </c>
    </row>
    <row r="6">
      <c r="A6" s="567">
        <v>2.2109165082E10</v>
      </c>
      <c r="B6" s="567" t="s">
        <v>5271</v>
      </c>
      <c r="C6" s="567" t="s">
        <v>5248</v>
      </c>
      <c r="D6" s="567" t="s">
        <v>5272</v>
      </c>
      <c r="E6" s="567" t="s">
        <v>5273</v>
      </c>
      <c r="F6" s="567" t="s">
        <v>5260</v>
      </c>
      <c r="G6" s="567" t="s">
        <v>5252</v>
      </c>
      <c r="H6" s="567" t="s">
        <v>5253</v>
      </c>
      <c r="I6" s="567" t="s">
        <v>5261</v>
      </c>
      <c r="J6" s="567" t="s">
        <v>5274</v>
      </c>
      <c r="K6" s="567" t="s">
        <v>5256</v>
      </c>
      <c r="L6" s="567" t="s">
        <v>5256</v>
      </c>
    </row>
    <row r="7">
      <c r="A7" s="567">
        <v>2.2109165083E10</v>
      </c>
      <c r="B7" s="567" t="s">
        <v>5275</v>
      </c>
      <c r="C7" s="567" t="s">
        <v>5248</v>
      </c>
      <c r="D7" s="567" t="s">
        <v>5276</v>
      </c>
      <c r="E7" s="567" t="s">
        <v>5277</v>
      </c>
      <c r="F7" s="567" t="s">
        <v>5260</v>
      </c>
      <c r="G7" s="567" t="s">
        <v>5252</v>
      </c>
      <c r="H7" s="567" t="s">
        <v>5253</v>
      </c>
      <c r="I7" s="567" t="s">
        <v>5278</v>
      </c>
      <c r="J7" s="567" t="s">
        <v>5279</v>
      </c>
      <c r="K7" s="567" t="s">
        <v>5256</v>
      </c>
      <c r="L7" s="567" t="s">
        <v>5256</v>
      </c>
    </row>
    <row r="8">
      <c r="A8" s="567">
        <v>2.210916531E10</v>
      </c>
      <c r="B8" s="567" t="s">
        <v>5280</v>
      </c>
      <c r="C8" s="567" t="s">
        <v>5248</v>
      </c>
      <c r="D8" s="567" t="s">
        <v>5281</v>
      </c>
      <c r="E8" s="567" t="s">
        <v>5282</v>
      </c>
      <c r="F8" s="567" t="s">
        <v>5283</v>
      </c>
      <c r="G8" s="567" t="s">
        <v>5252</v>
      </c>
      <c r="H8" s="567" t="s">
        <v>5253</v>
      </c>
      <c r="I8" s="567" t="s">
        <v>5284</v>
      </c>
      <c r="J8" s="567" t="s">
        <v>5285</v>
      </c>
      <c r="K8" s="567" t="s">
        <v>5256</v>
      </c>
      <c r="L8" s="567" t="s">
        <v>5256</v>
      </c>
    </row>
    <row r="9">
      <c r="A9" s="567">
        <v>2.2109165312E10</v>
      </c>
      <c r="B9" s="567" t="s">
        <v>5286</v>
      </c>
      <c r="C9" s="567" t="s">
        <v>5248</v>
      </c>
      <c r="D9" s="567" t="s">
        <v>5287</v>
      </c>
      <c r="E9" s="567" t="s">
        <v>5288</v>
      </c>
      <c r="F9" s="567" t="s">
        <v>5283</v>
      </c>
      <c r="G9" s="567" t="s">
        <v>5252</v>
      </c>
      <c r="H9" s="567" t="s">
        <v>5253</v>
      </c>
      <c r="I9" s="567" t="s">
        <v>5278</v>
      </c>
      <c r="J9" s="567" t="s">
        <v>5289</v>
      </c>
      <c r="K9" s="567" t="s">
        <v>5256</v>
      </c>
      <c r="L9" s="567" t="s">
        <v>5256</v>
      </c>
    </row>
    <row r="10">
      <c r="A10" s="567">
        <v>2.2109165313E10</v>
      </c>
      <c r="B10" s="567" t="s">
        <v>5290</v>
      </c>
      <c r="C10" s="567" t="s">
        <v>5248</v>
      </c>
      <c r="D10" s="567" t="s">
        <v>5291</v>
      </c>
      <c r="E10" s="567" t="s">
        <v>5250</v>
      </c>
      <c r="F10" s="567" t="s">
        <v>5283</v>
      </c>
      <c r="G10" s="567" t="s">
        <v>5252</v>
      </c>
      <c r="H10" s="567" t="s">
        <v>5253</v>
      </c>
      <c r="I10" s="567" t="s">
        <v>5278</v>
      </c>
      <c r="J10" s="567" t="s">
        <v>5292</v>
      </c>
      <c r="K10" s="567" t="s">
        <v>5256</v>
      </c>
      <c r="L10" s="567" t="s">
        <v>5256</v>
      </c>
    </row>
    <row r="11">
      <c r="A11" s="567">
        <v>2.2109165314E10</v>
      </c>
      <c r="B11" s="567" t="s">
        <v>5293</v>
      </c>
      <c r="C11" s="567" t="s">
        <v>5248</v>
      </c>
      <c r="D11" s="567" t="s">
        <v>5294</v>
      </c>
      <c r="E11" s="567" t="s">
        <v>5295</v>
      </c>
      <c r="F11" s="567" t="s">
        <v>5283</v>
      </c>
      <c r="G11" s="567" t="s">
        <v>5252</v>
      </c>
      <c r="H11" s="567" t="s">
        <v>5253</v>
      </c>
      <c r="I11" s="567" t="s">
        <v>5278</v>
      </c>
      <c r="J11" s="567" t="s">
        <v>5296</v>
      </c>
      <c r="K11" s="567" t="s">
        <v>5256</v>
      </c>
      <c r="L11" s="567" t="s">
        <v>5256</v>
      </c>
    </row>
    <row r="12">
      <c r="A12" s="567">
        <v>2.2109165315E10</v>
      </c>
      <c r="B12" s="567" t="s">
        <v>5297</v>
      </c>
      <c r="C12" s="567" t="s">
        <v>5248</v>
      </c>
      <c r="D12" s="567" t="s">
        <v>5287</v>
      </c>
      <c r="E12" s="567" t="s">
        <v>5298</v>
      </c>
      <c r="F12" s="567" t="s">
        <v>5283</v>
      </c>
      <c r="G12" s="567" t="s">
        <v>5252</v>
      </c>
      <c r="H12" s="567" t="s">
        <v>5253</v>
      </c>
      <c r="I12" s="567" t="s">
        <v>5284</v>
      </c>
      <c r="J12" s="567" t="s">
        <v>5299</v>
      </c>
      <c r="K12" s="567" t="s">
        <v>5256</v>
      </c>
      <c r="L12" s="567" t="s">
        <v>5256</v>
      </c>
    </row>
    <row r="13">
      <c r="A13" s="567">
        <v>2.2109165662E10</v>
      </c>
      <c r="B13" s="567" t="s">
        <v>5300</v>
      </c>
      <c r="C13" s="567" t="s">
        <v>5248</v>
      </c>
      <c r="D13" s="567" t="s">
        <v>5258</v>
      </c>
      <c r="E13" s="567" t="s">
        <v>5301</v>
      </c>
      <c r="F13" s="567" t="s">
        <v>5302</v>
      </c>
      <c r="G13" s="567" t="s">
        <v>5252</v>
      </c>
      <c r="H13" s="567" t="s">
        <v>5253</v>
      </c>
      <c r="I13" s="567" t="s">
        <v>5278</v>
      </c>
      <c r="J13" s="567" t="s">
        <v>5303</v>
      </c>
      <c r="K13" s="567" t="s">
        <v>5256</v>
      </c>
      <c r="L13" s="567" t="s">
        <v>5256</v>
      </c>
    </row>
    <row r="14">
      <c r="A14" s="567">
        <v>2.2109166333E10</v>
      </c>
      <c r="B14" s="567" t="s">
        <v>5304</v>
      </c>
      <c r="C14" s="567" t="s">
        <v>5248</v>
      </c>
      <c r="D14" s="567" t="s">
        <v>5272</v>
      </c>
      <c r="E14" s="567" t="s">
        <v>5305</v>
      </c>
      <c r="F14" s="567" t="s">
        <v>5306</v>
      </c>
      <c r="G14" s="567" t="s">
        <v>5252</v>
      </c>
      <c r="H14" s="567" t="s">
        <v>5253</v>
      </c>
      <c r="I14" s="567" t="s">
        <v>5278</v>
      </c>
      <c r="J14" s="567" t="s">
        <v>5307</v>
      </c>
      <c r="K14" s="567" t="s">
        <v>5256</v>
      </c>
      <c r="L14" s="567" t="s">
        <v>5256</v>
      </c>
    </row>
    <row r="15">
      <c r="A15" s="567">
        <v>2.2109166334E10</v>
      </c>
      <c r="B15" s="567" t="s">
        <v>5308</v>
      </c>
      <c r="C15" s="567" t="s">
        <v>5248</v>
      </c>
      <c r="D15" s="567" t="s">
        <v>5309</v>
      </c>
      <c r="E15" s="567" t="s">
        <v>5310</v>
      </c>
      <c r="F15" s="567" t="s">
        <v>5306</v>
      </c>
      <c r="G15" s="567" t="s">
        <v>5252</v>
      </c>
      <c r="H15" s="567" t="s">
        <v>5253</v>
      </c>
      <c r="I15" s="567" t="s">
        <v>5278</v>
      </c>
      <c r="J15" s="567" t="s">
        <v>5311</v>
      </c>
      <c r="K15" s="567" t="s">
        <v>5256</v>
      </c>
      <c r="L15" s="567" t="s">
        <v>5256</v>
      </c>
    </row>
    <row r="16">
      <c r="A16" s="567">
        <v>2.2109166335E10</v>
      </c>
      <c r="B16" s="567" t="s">
        <v>5312</v>
      </c>
      <c r="C16" s="567" t="s">
        <v>5248</v>
      </c>
      <c r="D16" s="567" t="s">
        <v>5264</v>
      </c>
      <c r="E16" s="567" t="s">
        <v>5313</v>
      </c>
      <c r="F16" s="567" t="s">
        <v>5306</v>
      </c>
      <c r="G16" s="567" t="s">
        <v>5252</v>
      </c>
      <c r="H16" s="567" t="s">
        <v>5253</v>
      </c>
      <c r="I16" s="567" t="s">
        <v>5278</v>
      </c>
      <c r="J16" s="567" t="s">
        <v>5314</v>
      </c>
      <c r="K16" s="567" t="s">
        <v>5256</v>
      </c>
      <c r="L16" s="567" t="s">
        <v>5256</v>
      </c>
    </row>
    <row r="17">
      <c r="A17" s="567">
        <v>2.2109166336E10</v>
      </c>
      <c r="B17" s="567" t="s">
        <v>5286</v>
      </c>
      <c r="C17" s="567" t="s">
        <v>5248</v>
      </c>
      <c r="D17" s="567" t="s">
        <v>5287</v>
      </c>
      <c r="E17" s="567" t="s">
        <v>5315</v>
      </c>
      <c r="F17" s="567" t="s">
        <v>5302</v>
      </c>
      <c r="G17" s="567" t="s">
        <v>5252</v>
      </c>
      <c r="H17" s="567" t="s">
        <v>5253</v>
      </c>
      <c r="I17" s="567" t="s">
        <v>5278</v>
      </c>
      <c r="J17" s="567" t="s">
        <v>5303</v>
      </c>
      <c r="K17" s="567" t="s">
        <v>5256</v>
      </c>
      <c r="L17" s="567" t="s">
        <v>5256</v>
      </c>
    </row>
    <row r="18">
      <c r="A18" s="567">
        <v>2.2109423382E10</v>
      </c>
      <c r="B18" s="567" t="s">
        <v>5247</v>
      </c>
      <c r="C18" s="567" t="s">
        <v>5248</v>
      </c>
      <c r="D18" s="567" t="s">
        <v>5316</v>
      </c>
      <c r="E18" s="567" t="s">
        <v>5250</v>
      </c>
      <c r="F18" s="567" t="s">
        <v>5317</v>
      </c>
      <c r="G18" s="567" t="s">
        <v>5252</v>
      </c>
      <c r="H18" s="567" t="s">
        <v>5253</v>
      </c>
      <c r="I18" s="567" t="s">
        <v>5278</v>
      </c>
      <c r="J18" s="567" t="s">
        <v>5314</v>
      </c>
      <c r="K18" s="567" t="s">
        <v>5256</v>
      </c>
      <c r="L18" s="567" t="s">
        <v>5256</v>
      </c>
    </row>
    <row r="19">
      <c r="A19" s="567">
        <v>2.210949852E10</v>
      </c>
      <c r="B19" s="567" t="s">
        <v>5318</v>
      </c>
      <c r="C19" s="567" t="s">
        <v>5248</v>
      </c>
      <c r="D19" s="567" t="s">
        <v>5319</v>
      </c>
      <c r="E19" s="567" t="s">
        <v>5320</v>
      </c>
      <c r="F19" s="567" t="s">
        <v>5317</v>
      </c>
      <c r="G19" s="567" t="s">
        <v>5252</v>
      </c>
      <c r="H19" s="567" t="s">
        <v>5253</v>
      </c>
      <c r="I19" s="567" t="s">
        <v>5261</v>
      </c>
      <c r="J19" s="567" t="s">
        <v>5321</v>
      </c>
      <c r="K19" s="567" t="s">
        <v>5256</v>
      </c>
      <c r="L19" s="567" t="s">
        <v>5256</v>
      </c>
    </row>
    <row r="20">
      <c r="A20" s="567">
        <v>2.2109969791E10</v>
      </c>
      <c r="B20" s="567" t="s">
        <v>5247</v>
      </c>
      <c r="C20" s="567" t="s">
        <v>5248</v>
      </c>
      <c r="D20" s="567" t="s">
        <v>5322</v>
      </c>
      <c r="E20" s="567" t="s">
        <v>5323</v>
      </c>
      <c r="F20" s="567" t="s">
        <v>5324</v>
      </c>
      <c r="G20" s="567" t="s">
        <v>5252</v>
      </c>
      <c r="H20" s="567" t="s">
        <v>5253</v>
      </c>
      <c r="I20" s="567" t="s">
        <v>5278</v>
      </c>
      <c r="J20" s="567" t="s">
        <v>5321</v>
      </c>
      <c r="K20" s="567" t="s">
        <v>5256</v>
      </c>
      <c r="L20" s="567" t="s">
        <v>5256</v>
      </c>
    </row>
    <row r="21" ht="15.75" customHeight="1">
      <c r="A21" s="567">
        <v>2.2110020581E10</v>
      </c>
      <c r="B21" s="567" t="s">
        <v>5247</v>
      </c>
      <c r="C21" s="567" t="s">
        <v>5248</v>
      </c>
      <c r="D21" s="567" t="s">
        <v>5325</v>
      </c>
      <c r="E21" s="567" t="s">
        <v>5326</v>
      </c>
      <c r="F21" s="567" t="s">
        <v>5327</v>
      </c>
      <c r="G21" s="567" t="s">
        <v>5252</v>
      </c>
      <c r="H21" s="567" t="s">
        <v>5253</v>
      </c>
      <c r="I21" s="567" t="s">
        <v>5278</v>
      </c>
      <c r="J21" s="567" t="s">
        <v>5328</v>
      </c>
      <c r="K21" s="567" t="s">
        <v>5256</v>
      </c>
      <c r="L21" s="567" t="s">
        <v>5256</v>
      </c>
    </row>
    <row r="22" ht="15.75" customHeight="1">
      <c r="A22" s="567">
        <v>2.2110907857E10</v>
      </c>
      <c r="B22" s="567" t="s">
        <v>5247</v>
      </c>
      <c r="C22" s="567" t="s">
        <v>5248</v>
      </c>
      <c r="D22" s="567" t="s">
        <v>5329</v>
      </c>
      <c r="E22" s="567" t="s">
        <v>5330</v>
      </c>
      <c r="F22" s="567" t="s">
        <v>5331</v>
      </c>
      <c r="G22" s="567" t="s">
        <v>5252</v>
      </c>
      <c r="H22" s="567" t="s">
        <v>5253</v>
      </c>
      <c r="I22" s="567" t="s">
        <v>5278</v>
      </c>
      <c r="J22" s="567" t="s">
        <v>5332</v>
      </c>
      <c r="K22" s="567" t="s">
        <v>5256</v>
      </c>
      <c r="L22" s="567" t="s">
        <v>5256</v>
      </c>
    </row>
    <row r="23" ht="15.75" customHeight="1">
      <c r="A23" s="567">
        <v>2.2110907858E10</v>
      </c>
      <c r="B23" s="567" t="s">
        <v>5286</v>
      </c>
      <c r="C23" s="567" t="s">
        <v>5248</v>
      </c>
      <c r="D23" s="567" t="s">
        <v>5287</v>
      </c>
      <c r="E23" s="567" t="s">
        <v>5333</v>
      </c>
      <c r="F23" s="567" t="s">
        <v>5331</v>
      </c>
      <c r="G23" s="567" t="s">
        <v>5252</v>
      </c>
      <c r="H23" s="567" t="s">
        <v>5253</v>
      </c>
      <c r="I23" s="567" t="s">
        <v>5278</v>
      </c>
      <c r="J23" s="567" t="s">
        <v>5334</v>
      </c>
      <c r="K23" s="567" t="s">
        <v>5256</v>
      </c>
      <c r="L23" s="567" t="s">
        <v>5256</v>
      </c>
    </row>
    <row r="24" ht="15.75" customHeight="1">
      <c r="A24" s="567">
        <v>2.2110907859E10</v>
      </c>
      <c r="B24" s="567" t="s">
        <v>5247</v>
      </c>
      <c r="C24" s="567" t="s">
        <v>5248</v>
      </c>
      <c r="D24" s="567" t="s">
        <v>5309</v>
      </c>
      <c r="E24" s="567" t="s">
        <v>5335</v>
      </c>
      <c r="F24" s="567" t="s">
        <v>5331</v>
      </c>
      <c r="G24" s="567" t="s">
        <v>5252</v>
      </c>
      <c r="H24" s="567" t="s">
        <v>5253</v>
      </c>
      <c r="I24" s="567" t="s">
        <v>5278</v>
      </c>
      <c r="J24" s="567" t="s">
        <v>5311</v>
      </c>
      <c r="K24" s="567" t="s">
        <v>5256</v>
      </c>
      <c r="L24" s="567" t="s">
        <v>5256</v>
      </c>
    </row>
    <row r="25" ht="15.75" customHeight="1">
      <c r="A25" s="567">
        <v>2.211090786E10</v>
      </c>
      <c r="B25" s="567" t="s">
        <v>5247</v>
      </c>
      <c r="C25" s="567" t="s">
        <v>5248</v>
      </c>
      <c r="D25" s="567" t="s">
        <v>5336</v>
      </c>
      <c r="E25" s="567" t="s">
        <v>5337</v>
      </c>
      <c r="F25" s="567" t="s">
        <v>5331</v>
      </c>
      <c r="G25" s="567" t="s">
        <v>5252</v>
      </c>
      <c r="H25" s="567" t="s">
        <v>5253</v>
      </c>
      <c r="I25" s="567" t="s">
        <v>5278</v>
      </c>
      <c r="J25" s="567" t="s">
        <v>5338</v>
      </c>
      <c r="K25" s="567" t="s">
        <v>5256</v>
      </c>
      <c r="L25" s="567" t="s">
        <v>5256</v>
      </c>
    </row>
    <row r="26" ht="15.75" customHeight="1">
      <c r="A26" s="567">
        <v>2.2110907861E10</v>
      </c>
      <c r="B26" s="567" t="s">
        <v>5247</v>
      </c>
      <c r="C26" s="567" t="s">
        <v>5248</v>
      </c>
      <c r="D26" s="567" t="s">
        <v>5336</v>
      </c>
      <c r="E26" s="567" t="s">
        <v>5339</v>
      </c>
      <c r="F26" s="567" t="s">
        <v>5331</v>
      </c>
      <c r="G26" s="567" t="s">
        <v>5252</v>
      </c>
      <c r="H26" s="567" t="s">
        <v>5253</v>
      </c>
      <c r="I26" s="567" t="s">
        <v>5278</v>
      </c>
      <c r="J26" s="567" t="s">
        <v>5340</v>
      </c>
      <c r="K26" s="567" t="s">
        <v>5256</v>
      </c>
      <c r="L26" s="567" t="s">
        <v>5256</v>
      </c>
    </row>
    <row r="27" ht="15.75" customHeight="1">
      <c r="A27" s="567">
        <v>2.2110907862E10</v>
      </c>
      <c r="B27" s="567" t="s">
        <v>5247</v>
      </c>
      <c r="C27" s="567" t="s">
        <v>5248</v>
      </c>
      <c r="D27" s="567" t="s">
        <v>5341</v>
      </c>
      <c r="E27" s="567" t="s">
        <v>5342</v>
      </c>
      <c r="F27" s="567" t="s">
        <v>5331</v>
      </c>
      <c r="G27" s="567" t="s">
        <v>5252</v>
      </c>
      <c r="H27" s="567" t="s">
        <v>5253</v>
      </c>
      <c r="I27" s="567" t="s">
        <v>5278</v>
      </c>
      <c r="J27" s="567" t="s">
        <v>5334</v>
      </c>
      <c r="K27" s="567" t="s">
        <v>5256</v>
      </c>
      <c r="L27" s="567" t="s">
        <v>5256</v>
      </c>
    </row>
    <row r="28" ht="15.75" customHeight="1">
      <c r="A28" s="567">
        <v>2.2110907863E10</v>
      </c>
      <c r="B28" s="567" t="s">
        <v>5247</v>
      </c>
      <c r="C28" s="567" t="s">
        <v>5248</v>
      </c>
      <c r="D28" s="567" t="s">
        <v>5343</v>
      </c>
      <c r="E28" s="567" t="s">
        <v>5344</v>
      </c>
      <c r="F28" s="567" t="s">
        <v>5331</v>
      </c>
      <c r="G28" s="567" t="s">
        <v>5252</v>
      </c>
      <c r="H28" s="567" t="s">
        <v>5253</v>
      </c>
      <c r="I28" s="567" t="s">
        <v>5278</v>
      </c>
      <c r="J28" s="567" t="s">
        <v>5338</v>
      </c>
      <c r="K28" s="567" t="s">
        <v>5256</v>
      </c>
      <c r="L28" s="567" t="s">
        <v>5256</v>
      </c>
    </row>
    <row r="29" ht="15.75" customHeight="1">
      <c r="A29" s="567">
        <v>2.2110907864E10</v>
      </c>
      <c r="B29" s="567" t="s">
        <v>5247</v>
      </c>
      <c r="C29" s="567" t="s">
        <v>5248</v>
      </c>
      <c r="D29" s="567" t="s">
        <v>5345</v>
      </c>
      <c r="E29" s="567" t="s">
        <v>5346</v>
      </c>
      <c r="F29" s="567" t="s">
        <v>5331</v>
      </c>
      <c r="G29" s="567" t="s">
        <v>5252</v>
      </c>
      <c r="H29" s="567" t="s">
        <v>5253</v>
      </c>
      <c r="I29" s="567" t="s">
        <v>5278</v>
      </c>
      <c r="J29" s="567" t="s">
        <v>5347</v>
      </c>
      <c r="K29" s="567" t="s">
        <v>5256</v>
      </c>
      <c r="L29" s="567" t="s">
        <v>5256</v>
      </c>
    </row>
    <row r="30" ht="15.75" customHeight="1">
      <c r="A30" s="567">
        <v>2.2110907865E10</v>
      </c>
      <c r="B30" s="567" t="s">
        <v>5247</v>
      </c>
      <c r="C30" s="567" t="s">
        <v>5248</v>
      </c>
      <c r="D30" s="567" t="s">
        <v>5348</v>
      </c>
      <c r="E30" s="567" t="s">
        <v>5349</v>
      </c>
      <c r="F30" s="567" t="s">
        <v>5350</v>
      </c>
      <c r="G30" s="567" t="s">
        <v>5252</v>
      </c>
      <c r="H30" s="567" t="s">
        <v>5253</v>
      </c>
      <c r="I30" s="567" t="s">
        <v>5278</v>
      </c>
      <c r="J30" s="567" t="s">
        <v>5321</v>
      </c>
      <c r="K30" s="567" t="s">
        <v>5256</v>
      </c>
      <c r="L30" s="567" t="s">
        <v>5256</v>
      </c>
    </row>
    <row r="31" ht="15.75" customHeight="1">
      <c r="A31" s="567">
        <v>2.2110907866E10</v>
      </c>
      <c r="B31" s="567" t="s">
        <v>5247</v>
      </c>
      <c r="C31" s="567" t="s">
        <v>5248</v>
      </c>
      <c r="D31" s="567" t="s">
        <v>5351</v>
      </c>
      <c r="E31" s="567" t="s">
        <v>5352</v>
      </c>
      <c r="F31" s="567" t="s">
        <v>5350</v>
      </c>
      <c r="G31" s="567" t="s">
        <v>5252</v>
      </c>
      <c r="H31" s="567" t="s">
        <v>5253</v>
      </c>
      <c r="I31" s="567" t="s">
        <v>5278</v>
      </c>
      <c r="J31" s="567" t="s">
        <v>5311</v>
      </c>
      <c r="K31" s="567" t="s">
        <v>5256</v>
      </c>
      <c r="L31" s="567" t="s">
        <v>5256</v>
      </c>
    </row>
    <row r="32" ht="15.75" customHeight="1">
      <c r="A32" s="567">
        <v>2.2110907867E10</v>
      </c>
      <c r="B32" s="567" t="s">
        <v>5247</v>
      </c>
      <c r="C32" s="567" t="s">
        <v>5248</v>
      </c>
      <c r="D32" s="567" t="s">
        <v>5264</v>
      </c>
      <c r="E32" s="567" t="s">
        <v>5353</v>
      </c>
      <c r="F32" s="567" t="s">
        <v>5350</v>
      </c>
      <c r="G32" s="567" t="s">
        <v>5252</v>
      </c>
      <c r="H32" s="567" t="s">
        <v>5253</v>
      </c>
      <c r="I32" s="567" t="s">
        <v>5278</v>
      </c>
      <c r="J32" s="567" t="s">
        <v>5334</v>
      </c>
      <c r="K32" s="567" t="s">
        <v>5256</v>
      </c>
      <c r="L32" s="567" t="s">
        <v>5256</v>
      </c>
    </row>
    <row r="33" ht="15.75" customHeight="1">
      <c r="A33" s="567">
        <v>2.2110907868E10</v>
      </c>
      <c r="B33" s="567" t="s">
        <v>5247</v>
      </c>
      <c r="C33" s="567" t="s">
        <v>5248</v>
      </c>
      <c r="D33" s="567" t="s">
        <v>5264</v>
      </c>
      <c r="E33" s="567" t="s">
        <v>5354</v>
      </c>
      <c r="F33" s="567" t="s">
        <v>5350</v>
      </c>
      <c r="G33" s="567" t="s">
        <v>5252</v>
      </c>
      <c r="H33" s="567" t="s">
        <v>5253</v>
      </c>
      <c r="I33" s="567" t="s">
        <v>5278</v>
      </c>
      <c r="J33" s="567" t="s">
        <v>5328</v>
      </c>
      <c r="K33" s="567" t="s">
        <v>5256</v>
      </c>
      <c r="L33" s="567" t="s">
        <v>5256</v>
      </c>
    </row>
    <row r="34" ht="15.75" customHeight="1">
      <c r="A34" s="567">
        <v>2.2110907869E10</v>
      </c>
      <c r="B34" s="567" t="s">
        <v>5247</v>
      </c>
      <c r="C34" s="567" t="s">
        <v>5248</v>
      </c>
      <c r="D34" s="567" t="s">
        <v>5355</v>
      </c>
      <c r="E34" s="567" t="s">
        <v>5356</v>
      </c>
      <c r="F34" s="567" t="s">
        <v>5350</v>
      </c>
      <c r="G34" s="567" t="s">
        <v>5252</v>
      </c>
      <c r="H34" s="567" t="s">
        <v>5253</v>
      </c>
      <c r="I34" s="567" t="s">
        <v>5278</v>
      </c>
      <c r="J34" s="567" t="s">
        <v>5328</v>
      </c>
      <c r="K34" s="567" t="s">
        <v>5256</v>
      </c>
      <c r="L34" s="567" t="s">
        <v>5256</v>
      </c>
    </row>
    <row r="35" ht="15.75" customHeight="1">
      <c r="A35" s="567">
        <v>2.2111150988E10</v>
      </c>
      <c r="B35" s="567" t="s">
        <v>5247</v>
      </c>
      <c r="C35" s="567" t="s">
        <v>5248</v>
      </c>
      <c r="D35" s="567" t="s">
        <v>5357</v>
      </c>
      <c r="E35" s="567" t="s">
        <v>5358</v>
      </c>
      <c r="F35" s="567" t="s">
        <v>5359</v>
      </c>
      <c r="G35" s="567" t="s">
        <v>5252</v>
      </c>
      <c r="H35" s="567" t="s">
        <v>5253</v>
      </c>
      <c r="I35" s="567" t="s">
        <v>5278</v>
      </c>
      <c r="J35" s="567" t="s">
        <v>5360</v>
      </c>
      <c r="K35" s="567" t="s">
        <v>5256</v>
      </c>
      <c r="L35" s="567" t="s">
        <v>5256</v>
      </c>
    </row>
    <row r="36" ht="15.75" customHeight="1">
      <c r="A36" s="567">
        <v>2.2111150989E10</v>
      </c>
      <c r="B36" s="567" t="s">
        <v>5247</v>
      </c>
      <c r="C36" s="567" t="s">
        <v>5248</v>
      </c>
      <c r="D36" s="567" t="s">
        <v>5281</v>
      </c>
      <c r="E36" s="567" t="s">
        <v>5361</v>
      </c>
      <c r="F36" s="567" t="s">
        <v>5359</v>
      </c>
      <c r="G36" s="567" t="s">
        <v>5252</v>
      </c>
      <c r="H36" s="567" t="s">
        <v>5253</v>
      </c>
      <c r="I36" s="567" t="s">
        <v>5278</v>
      </c>
      <c r="J36" s="567" t="s">
        <v>5362</v>
      </c>
      <c r="K36" s="567" t="s">
        <v>5256</v>
      </c>
      <c r="L36" s="567" t="s">
        <v>5256</v>
      </c>
    </row>
    <row r="37" ht="15.75" customHeight="1">
      <c r="A37" s="567">
        <v>2.2111150991E10</v>
      </c>
      <c r="B37" s="567" t="s">
        <v>5247</v>
      </c>
      <c r="C37" s="567" t="s">
        <v>5248</v>
      </c>
      <c r="D37" s="567" t="s">
        <v>5357</v>
      </c>
      <c r="E37" s="567" t="s">
        <v>5363</v>
      </c>
      <c r="F37" s="567" t="s">
        <v>5359</v>
      </c>
      <c r="G37" s="567" t="s">
        <v>5252</v>
      </c>
      <c r="H37" s="567" t="s">
        <v>5253</v>
      </c>
      <c r="I37" s="567" t="s">
        <v>5278</v>
      </c>
      <c r="J37" s="567" t="s">
        <v>5364</v>
      </c>
      <c r="K37" s="567" t="s">
        <v>5256</v>
      </c>
      <c r="L37" s="567" t="s">
        <v>5256</v>
      </c>
    </row>
    <row r="38" ht="15.75" customHeight="1">
      <c r="A38" s="567">
        <v>2.2111150992E10</v>
      </c>
      <c r="B38" s="567" t="s">
        <v>5247</v>
      </c>
      <c r="C38" s="567" t="s">
        <v>5248</v>
      </c>
      <c r="D38" s="567" t="s">
        <v>5365</v>
      </c>
      <c r="E38" s="567" t="s">
        <v>5366</v>
      </c>
      <c r="F38" s="567" t="s">
        <v>5359</v>
      </c>
      <c r="G38" s="567" t="s">
        <v>5252</v>
      </c>
      <c r="H38" s="567" t="s">
        <v>5253</v>
      </c>
      <c r="I38" s="567" t="s">
        <v>5278</v>
      </c>
      <c r="J38" s="567" t="s">
        <v>5332</v>
      </c>
      <c r="K38" s="567" t="s">
        <v>5256</v>
      </c>
      <c r="L38" s="567" t="s">
        <v>5256</v>
      </c>
    </row>
    <row r="39" ht="15.75" customHeight="1">
      <c r="A39" s="567">
        <v>2.2111150993E10</v>
      </c>
      <c r="B39" s="567" t="s">
        <v>5247</v>
      </c>
      <c r="C39" s="567" t="s">
        <v>5248</v>
      </c>
      <c r="D39" s="567" t="s">
        <v>5355</v>
      </c>
      <c r="E39" s="567" t="s">
        <v>5367</v>
      </c>
      <c r="F39" s="567" t="s">
        <v>5359</v>
      </c>
      <c r="G39" s="567" t="s">
        <v>5252</v>
      </c>
      <c r="H39" s="567" t="s">
        <v>5253</v>
      </c>
      <c r="I39" s="567" t="s">
        <v>5278</v>
      </c>
      <c r="J39" s="567" t="s">
        <v>5364</v>
      </c>
      <c r="K39" s="567" t="s">
        <v>5256</v>
      </c>
      <c r="L39" s="567" t="s">
        <v>5256</v>
      </c>
    </row>
    <row r="40" ht="15.75" customHeight="1">
      <c r="A40" s="567">
        <v>2.2111150994E10</v>
      </c>
      <c r="B40" s="567" t="s">
        <v>5247</v>
      </c>
      <c r="C40" s="567" t="s">
        <v>5248</v>
      </c>
      <c r="D40" s="567" t="s">
        <v>5368</v>
      </c>
      <c r="E40" s="567" t="s">
        <v>5369</v>
      </c>
      <c r="F40" s="567" t="s">
        <v>5370</v>
      </c>
      <c r="G40" s="567" t="s">
        <v>5252</v>
      </c>
      <c r="H40" s="567" t="s">
        <v>5253</v>
      </c>
      <c r="I40" s="567" t="s">
        <v>5278</v>
      </c>
      <c r="J40" s="567" t="s">
        <v>5364</v>
      </c>
      <c r="K40" s="567" t="s">
        <v>5256</v>
      </c>
      <c r="L40" s="567" t="s">
        <v>5256</v>
      </c>
    </row>
    <row r="41" ht="15.75" customHeight="1">
      <c r="A41" s="567">
        <v>2.2111150995E10</v>
      </c>
      <c r="B41" s="567" t="s">
        <v>5247</v>
      </c>
      <c r="C41" s="567" t="s">
        <v>5248</v>
      </c>
      <c r="D41" s="567" t="s">
        <v>5357</v>
      </c>
      <c r="E41" s="567" t="s">
        <v>5358</v>
      </c>
      <c r="F41" s="567" t="s">
        <v>5359</v>
      </c>
      <c r="G41" s="567" t="s">
        <v>5252</v>
      </c>
      <c r="H41" s="567" t="s">
        <v>5253</v>
      </c>
      <c r="I41" s="567" t="s">
        <v>5278</v>
      </c>
      <c r="J41" s="567" t="s">
        <v>5362</v>
      </c>
      <c r="K41" s="567" t="s">
        <v>5256</v>
      </c>
      <c r="L41" s="567" t="s">
        <v>5256</v>
      </c>
    </row>
    <row r="42" ht="15.75" customHeight="1">
      <c r="A42" s="567">
        <v>2.2111339774E10</v>
      </c>
      <c r="B42" s="567" t="s">
        <v>5247</v>
      </c>
      <c r="C42" s="567" t="s">
        <v>5248</v>
      </c>
      <c r="D42" s="567" t="s">
        <v>5371</v>
      </c>
      <c r="E42" s="567" t="s">
        <v>5372</v>
      </c>
      <c r="F42" s="567" t="s">
        <v>5373</v>
      </c>
      <c r="G42" s="567" t="s">
        <v>5252</v>
      </c>
      <c r="H42" s="567" t="s">
        <v>5253</v>
      </c>
      <c r="I42" s="567" t="s">
        <v>5278</v>
      </c>
      <c r="J42" s="567" t="s">
        <v>5374</v>
      </c>
      <c r="K42" s="567" t="s">
        <v>5256</v>
      </c>
      <c r="L42" s="567" t="s">
        <v>5256</v>
      </c>
    </row>
    <row r="43" ht="15.75" customHeight="1">
      <c r="A43" s="567">
        <v>2.2111339775E10</v>
      </c>
      <c r="B43" s="567" t="s">
        <v>5247</v>
      </c>
      <c r="C43" s="567" t="s">
        <v>5248</v>
      </c>
      <c r="D43" s="567" t="s">
        <v>5375</v>
      </c>
      <c r="E43" s="567" t="s">
        <v>5376</v>
      </c>
      <c r="F43" s="567" t="s">
        <v>5373</v>
      </c>
      <c r="G43" s="567" t="s">
        <v>5252</v>
      </c>
      <c r="H43" s="567" t="s">
        <v>5253</v>
      </c>
      <c r="I43" s="567" t="s">
        <v>5278</v>
      </c>
      <c r="J43" s="567" t="s">
        <v>5377</v>
      </c>
      <c r="K43" s="567" t="s">
        <v>5256</v>
      </c>
      <c r="L43" s="567" t="s">
        <v>5256</v>
      </c>
    </row>
    <row r="44" ht="15.75" customHeight="1">
      <c r="A44" s="567">
        <v>2.2111339776E10</v>
      </c>
      <c r="B44" s="567" t="s">
        <v>5247</v>
      </c>
      <c r="C44" s="567" t="s">
        <v>5248</v>
      </c>
      <c r="D44" s="567" t="s">
        <v>5378</v>
      </c>
      <c r="E44" s="567" t="s">
        <v>5379</v>
      </c>
      <c r="F44" s="567" t="s">
        <v>5373</v>
      </c>
      <c r="G44" s="567" t="s">
        <v>5252</v>
      </c>
      <c r="H44" s="567" t="s">
        <v>5253</v>
      </c>
      <c r="I44" s="567" t="s">
        <v>5278</v>
      </c>
      <c r="J44" s="567" t="s">
        <v>5377</v>
      </c>
      <c r="K44" s="567" t="s">
        <v>5256</v>
      </c>
      <c r="L44" s="567" t="s">
        <v>5256</v>
      </c>
    </row>
    <row r="45" ht="15.75" customHeight="1">
      <c r="A45" s="567">
        <v>2.211134164E10</v>
      </c>
      <c r="B45" s="567" t="s">
        <v>5247</v>
      </c>
      <c r="C45" s="567" t="s">
        <v>5248</v>
      </c>
      <c r="D45" s="567" t="s">
        <v>5380</v>
      </c>
      <c r="E45" s="567" t="s">
        <v>5381</v>
      </c>
      <c r="F45" s="567" t="s">
        <v>5382</v>
      </c>
      <c r="G45" s="567" t="s">
        <v>5252</v>
      </c>
      <c r="H45" s="567" t="s">
        <v>5253</v>
      </c>
      <c r="I45" s="567" t="s">
        <v>5278</v>
      </c>
      <c r="J45" s="567" t="s">
        <v>5383</v>
      </c>
      <c r="K45" s="567" t="s">
        <v>5256</v>
      </c>
      <c r="L45" s="567" t="s">
        <v>5256</v>
      </c>
    </row>
    <row r="46" ht="15.75" customHeight="1">
      <c r="A46" s="567">
        <v>2.2111344344E10</v>
      </c>
      <c r="B46" s="567" t="s">
        <v>5247</v>
      </c>
      <c r="C46" s="567" t="s">
        <v>5248</v>
      </c>
      <c r="D46" s="567" t="s">
        <v>5384</v>
      </c>
      <c r="E46" s="567" t="s">
        <v>5385</v>
      </c>
      <c r="F46" s="567" t="s">
        <v>5386</v>
      </c>
      <c r="G46" s="567" t="s">
        <v>5252</v>
      </c>
      <c r="H46" s="567" t="s">
        <v>5253</v>
      </c>
      <c r="I46" s="567" t="s">
        <v>5278</v>
      </c>
      <c r="J46" s="567" t="s">
        <v>5387</v>
      </c>
      <c r="K46" s="567" t="s">
        <v>5256</v>
      </c>
      <c r="L46" s="567" t="s">
        <v>5256</v>
      </c>
    </row>
    <row r="47" ht="15.75" customHeight="1">
      <c r="A47" s="567">
        <v>2.2111356739E10</v>
      </c>
      <c r="B47" s="567" t="s">
        <v>5297</v>
      </c>
      <c r="C47" s="567" t="s">
        <v>5248</v>
      </c>
      <c r="D47" s="567" t="s">
        <v>5388</v>
      </c>
      <c r="E47" s="567" t="s">
        <v>5389</v>
      </c>
      <c r="F47" s="567" t="s">
        <v>5390</v>
      </c>
      <c r="G47" s="567" t="s">
        <v>5252</v>
      </c>
      <c r="H47" s="567" t="s">
        <v>5253</v>
      </c>
      <c r="I47" s="567" t="s">
        <v>5278</v>
      </c>
      <c r="J47" s="567" t="s">
        <v>5338</v>
      </c>
      <c r="K47" s="567" t="s">
        <v>5256</v>
      </c>
      <c r="L47" s="567" t="s">
        <v>5256</v>
      </c>
    </row>
    <row r="48" ht="15.75" customHeight="1">
      <c r="A48" s="567">
        <v>2.211135674E10</v>
      </c>
      <c r="B48" s="567" t="s">
        <v>5297</v>
      </c>
      <c r="C48" s="567" t="s">
        <v>5248</v>
      </c>
      <c r="D48" s="567" t="s">
        <v>5391</v>
      </c>
      <c r="E48" s="567" t="s">
        <v>5392</v>
      </c>
      <c r="F48" s="567" t="s">
        <v>5390</v>
      </c>
      <c r="G48" s="567" t="s">
        <v>5252</v>
      </c>
      <c r="H48" s="567" t="s">
        <v>5253</v>
      </c>
      <c r="I48" s="567" t="s">
        <v>5278</v>
      </c>
      <c r="J48" s="567" t="s">
        <v>5311</v>
      </c>
      <c r="K48" s="567" t="s">
        <v>5256</v>
      </c>
      <c r="L48" s="567" t="s">
        <v>5256</v>
      </c>
    </row>
    <row r="49" ht="15.75" customHeight="1">
      <c r="A49" s="567">
        <v>2.2111356741E10</v>
      </c>
      <c r="B49" s="567" t="s">
        <v>5297</v>
      </c>
      <c r="C49" s="567" t="s">
        <v>5248</v>
      </c>
      <c r="D49" s="567" t="s">
        <v>5393</v>
      </c>
      <c r="E49" s="567" t="s">
        <v>5394</v>
      </c>
      <c r="F49" s="567" t="s">
        <v>5395</v>
      </c>
      <c r="G49" s="567" t="s">
        <v>5252</v>
      </c>
      <c r="H49" s="567" t="s">
        <v>5253</v>
      </c>
      <c r="I49" s="567" t="s">
        <v>5278</v>
      </c>
      <c r="J49" s="567" t="s">
        <v>5338</v>
      </c>
      <c r="K49" s="567" t="s">
        <v>5256</v>
      </c>
      <c r="L49" s="567" t="s">
        <v>5256</v>
      </c>
    </row>
    <row r="50" ht="15.75" customHeight="1">
      <c r="A50" s="567">
        <v>2.2111357149E10</v>
      </c>
      <c r="B50" s="567" t="s">
        <v>5297</v>
      </c>
      <c r="C50" s="567" t="s">
        <v>5248</v>
      </c>
      <c r="D50" s="567" t="s">
        <v>5396</v>
      </c>
      <c r="E50" s="567" t="s">
        <v>5397</v>
      </c>
      <c r="F50" s="567" t="s">
        <v>5398</v>
      </c>
      <c r="G50" s="567" t="s">
        <v>5252</v>
      </c>
      <c r="H50" s="567" t="s">
        <v>5253</v>
      </c>
      <c r="I50" s="567" t="s">
        <v>5278</v>
      </c>
      <c r="J50" s="567" t="s">
        <v>5279</v>
      </c>
      <c r="K50" s="567" t="s">
        <v>5256</v>
      </c>
      <c r="L50" s="567" t="s">
        <v>5256</v>
      </c>
    </row>
    <row r="51" ht="15.75" customHeight="1">
      <c r="A51" s="567">
        <v>2.2111357189E10</v>
      </c>
      <c r="B51" s="567" t="s">
        <v>5297</v>
      </c>
      <c r="C51" s="567" t="s">
        <v>5248</v>
      </c>
      <c r="D51" s="567" t="s">
        <v>5399</v>
      </c>
      <c r="E51" s="567" t="s">
        <v>5400</v>
      </c>
      <c r="F51" s="567" t="s">
        <v>5398</v>
      </c>
      <c r="G51" s="567" t="s">
        <v>5252</v>
      </c>
      <c r="H51" s="567" t="s">
        <v>5253</v>
      </c>
      <c r="I51" s="567" t="s">
        <v>5278</v>
      </c>
      <c r="J51" s="567" t="s">
        <v>5401</v>
      </c>
      <c r="K51" s="567" t="s">
        <v>5256</v>
      </c>
      <c r="L51" s="567" t="s">
        <v>5256</v>
      </c>
    </row>
    <row r="52" ht="15.75" customHeight="1">
      <c r="A52" s="567">
        <v>2.2111362976E10</v>
      </c>
      <c r="B52" s="567" t="s">
        <v>5297</v>
      </c>
      <c r="C52" s="567" t="s">
        <v>5248</v>
      </c>
      <c r="D52" s="567" t="s">
        <v>5402</v>
      </c>
      <c r="E52" s="567" t="s">
        <v>5403</v>
      </c>
      <c r="F52" s="567" t="s">
        <v>5404</v>
      </c>
      <c r="G52" s="567" t="s">
        <v>5252</v>
      </c>
      <c r="H52" s="567" t="s">
        <v>5253</v>
      </c>
      <c r="I52" s="567" t="s">
        <v>5278</v>
      </c>
      <c r="J52" s="567" t="s">
        <v>5405</v>
      </c>
      <c r="K52" s="567" t="s">
        <v>5256</v>
      </c>
      <c r="L52" s="567" t="s">
        <v>5256</v>
      </c>
    </row>
    <row r="53" ht="15.75" customHeight="1">
      <c r="A53" s="567">
        <v>2.2111363732E10</v>
      </c>
      <c r="B53" s="567" t="s">
        <v>5297</v>
      </c>
      <c r="C53" s="567" t="s">
        <v>5248</v>
      </c>
      <c r="D53" s="567" t="s">
        <v>5402</v>
      </c>
      <c r="E53" s="567" t="s">
        <v>5406</v>
      </c>
      <c r="F53" s="567" t="s">
        <v>5404</v>
      </c>
      <c r="G53" s="567" t="s">
        <v>5252</v>
      </c>
      <c r="H53" s="567" t="s">
        <v>5253</v>
      </c>
      <c r="I53" s="567" t="s">
        <v>5278</v>
      </c>
      <c r="J53" s="567" t="s">
        <v>5407</v>
      </c>
      <c r="K53" s="567" t="s">
        <v>5256</v>
      </c>
      <c r="L53" s="567" t="s">
        <v>5256</v>
      </c>
    </row>
    <row r="54" ht="15.75" customHeight="1">
      <c r="A54" s="567">
        <v>2.2111365348E10</v>
      </c>
      <c r="B54" s="567" t="s">
        <v>5297</v>
      </c>
      <c r="C54" s="567" t="s">
        <v>5248</v>
      </c>
      <c r="D54" s="567" t="s">
        <v>5408</v>
      </c>
      <c r="E54" s="567" t="s">
        <v>5409</v>
      </c>
      <c r="F54" s="567" t="s">
        <v>5410</v>
      </c>
      <c r="G54" s="567" t="s">
        <v>5252</v>
      </c>
      <c r="H54" s="567" t="s">
        <v>5253</v>
      </c>
      <c r="I54" s="567" t="s">
        <v>5278</v>
      </c>
      <c r="J54" s="567" t="s">
        <v>5279</v>
      </c>
      <c r="K54" s="567" t="s">
        <v>5256</v>
      </c>
      <c r="L54" s="567" t="s">
        <v>5256</v>
      </c>
    </row>
    <row r="55" ht="15.75" customHeight="1">
      <c r="A55" s="567">
        <v>2.2111374482E10</v>
      </c>
      <c r="B55" s="567" t="s">
        <v>5297</v>
      </c>
      <c r="C55" s="567" t="s">
        <v>5248</v>
      </c>
      <c r="D55" s="567" t="s">
        <v>5411</v>
      </c>
      <c r="E55" s="567" t="s">
        <v>5412</v>
      </c>
      <c r="F55" s="567" t="s">
        <v>5413</v>
      </c>
      <c r="G55" s="567" t="s">
        <v>5252</v>
      </c>
      <c r="H55" s="567" t="s">
        <v>5253</v>
      </c>
      <c r="I55" s="567" t="s">
        <v>5278</v>
      </c>
      <c r="J55" s="567" t="s">
        <v>5340</v>
      </c>
      <c r="K55" s="567" t="s">
        <v>5256</v>
      </c>
      <c r="L55" s="567" t="s">
        <v>5256</v>
      </c>
    </row>
    <row r="56" ht="15.75" customHeight="1">
      <c r="A56" s="567">
        <v>2.2111374546E10</v>
      </c>
      <c r="B56" s="567" t="s">
        <v>5247</v>
      </c>
      <c r="C56" s="567" t="s">
        <v>5248</v>
      </c>
      <c r="D56" s="567" t="s">
        <v>5414</v>
      </c>
      <c r="E56" s="567" t="s">
        <v>5415</v>
      </c>
      <c r="F56" s="567" t="s">
        <v>5413</v>
      </c>
      <c r="G56" s="567" t="s">
        <v>5252</v>
      </c>
      <c r="H56" s="567" t="s">
        <v>5253</v>
      </c>
      <c r="I56" s="567" t="s">
        <v>5278</v>
      </c>
      <c r="J56" s="567" t="s">
        <v>5416</v>
      </c>
      <c r="K56" s="567" t="s">
        <v>5256</v>
      </c>
      <c r="L56" s="567" t="s">
        <v>5256</v>
      </c>
    </row>
    <row r="57" ht="15.75" customHeight="1">
      <c r="A57" s="567">
        <v>2.2111374583E10</v>
      </c>
      <c r="B57" s="567" t="s">
        <v>5247</v>
      </c>
      <c r="C57" s="567" t="s">
        <v>5248</v>
      </c>
      <c r="D57" s="567" t="s">
        <v>5417</v>
      </c>
      <c r="E57" s="567" t="s">
        <v>5418</v>
      </c>
      <c r="F57" s="567" t="s">
        <v>5419</v>
      </c>
      <c r="G57" s="567" t="s">
        <v>5252</v>
      </c>
      <c r="H57" s="567" t="s">
        <v>5253</v>
      </c>
      <c r="I57" s="567" t="s">
        <v>5278</v>
      </c>
      <c r="J57" s="567" t="s">
        <v>5420</v>
      </c>
      <c r="K57" s="567" t="s">
        <v>5256</v>
      </c>
      <c r="L57" s="567" t="s">
        <v>5256</v>
      </c>
    </row>
    <row r="58" ht="15.75" customHeight="1">
      <c r="A58" s="567">
        <v>2.2111374585E10</v>
      </c>
      <c r="B58" s="567" t="s">
        <v>5297</v>
      </c>
      <c r="C58" s="567" t="s">
        <v>5248</v>
      </c>
      <c r="D58" s="567" t="s">
        <v>5421</v>
      </c>
      <c r="E58" s="567" t="s">
        <v>5422</v>
      </c>
      <c r="F58" s="567" t="s">
        <v>5419</v>
      </c>
      <c r="G58" s="567" t="s">
        <v>5252</v>
      </c>
      <c r="H58" s="567" t="s">
        <v>5253</v>
      </c>
      <c r="I58" s="567" t="s">
        <v>5278</v>
      </c>
      <c r="J58" s="567" t="s">
        <v>5423</v>
      </c>
      <c r="K58" s="567" t="s">
        <v>5256</v>
      </c>
      <c r="L58" s="567" t="s">
        <v>5256</v>
      </c>
    </row>
    <row r="59" ht="15.75" customHeight="1">
      <c r="A59" s="567">
        <v>2.2111374776E10</v>
      </c>
      <c r="B59" s="567" t="s">
        <v>5247</v>
      </c>
      <c r="C59" s="567" t="s">
        <v>5248</v>
      </c>
      <c r="D59" s="567" t="s">
        <v>5264</v>
      </c>
      <c r="E59" s="567" t="s">
        <v>5424</v>
      </c>
      <c r="F59" s="567" t="s">
        <v>5419</v>
      </c>
      <c r="G59" s="567" t="s">
        <v>5252</v>
      </c>
      <c r="H59" s="567" t="s">
        <v>5253</v>
      </c>
      <c r="I59" s="567" t="s">
        <v>5278</v>
      </c>
      <c r="J59" s="567" t="s">
        <v>5425</v>
      </c>
      <c r="K59" s="567" t="s">
        <v>5256</v>
      </c>
      <c r="L59" s="567" t="s">
        <v>5256</v>
      </c>
    </row>
    <row r="60" ht="15.75" customHeight="1">
      <c r="A60" s="567">
        <v>2.2111374777E10</v>
      </c>
      <c r="B60" s="567" t="s">
        <v>5247</v>
      </c>
      <c r="C60" s="567" t="s">
        <v>5248</v>
      </c>
      <c r="D60" s="567" t="s">
        <v>5426</v>
      </c>
      <c r="E60" s="567" t="s">
        <v>5427</v>
      </c>
      <c r="F60" s="567" t="s">
        <v>5419</v>
      </c>
      <c r="G60" s="567" t="s">
        <v>5252</v>
      </c>
      <c r="H60" s="567" t="s">
        <v>5253</v>
      </c>
      <c r="I60" s="567" t="s">
        <v>5278</v>
      </c>
      <c r="J60" s="567" t="s">
        <v>5428</v>
      </c>
      <c r="K60" s="567" t="s">
        <v>5256</v>
      </c>
      <c r="L60" s="567" t="s">
        <v>5256</v>
      </c>
    </row>
    <row r="61" ht="15.75" customHeight="1">
      <c r="A61" s="567">
        <v>2.2111374778E10</v>
      </c>
      <c r="B61" s="567" t="s">
        <v>5247</v>
      </c>
      <c r="C61" s="567" t="s">
        <v>5248</v>
      </c>
      <c r="D61" s="567" t="s">
        <v>5429</v>
      </c>
      <c r="E61" s="567" t="s">
        <v>5430</v>
      </c>
      <c r="F61" s="567" t="s">
        <v>5419</v>
      </c>
      <c r="G61" s="567" t="s">
        <v>5252</v>
      </c>
      <c r="H61" s="567" t="s">
        <v>5253</v>
      </c>
      <c r="I61" s="567" t="s">
        <v>5278</v>
      </c>
      <c r="J61" s="567" t="s">
        <v>5420</v>
      </c>
      <c r="K61" s="567" t="s">
        <v>5256</v>
      </c>
      <c r="L61" s="567" t="s">
        <v>5256</v>
      </c>
    </row>
    <row r="62" ht="15.75" customHeight="1">
      <c r="A62" s="567">
        <v>2.2111374781E10</v>
      </c>
      <c r="B62" s="567" t="s">
        <v>5247</v>
      </c>
      <c r="C62" s="567" t="s">
        <v>5248</v>
      </c>
      <c r="D62" s="567" t="s">
        <v>5431</v>
      </c>
      <c r="E62" s="567" t="s">
        <v>5432</v>
      </c>
      <c r="F62" s="567" t="s">
        <v>5419</v>
      </c>
      <c r="G62" s="567" t="s">
        <v>5252</v>
      </c>
      <c r="H62" s="567" t="s">
        <v>5253</v>
      </c>
      <c r="I62" s="567" t="s">
        <v>5278</v>
      </c>
      <c r="J62" s="567" t="s">
        <v>5433</v>
      </c>
      <c r="K62" s="567" t="s">
        <v>5256</v>
      </c>
      <c r="L62" s="567" t="s">
        <v>5256</v>
      </c>
    </row>
    <row r="63" ht="15.75" customHeight="1">
      <c r="A63" s="567">
        <v>2.2111374783E10</v>
      </c>
      <c r="B63" s="567" t="s">
        <v>5247</v>
      </c>
      <c r="C63" s="567" t="s">
        <v>5248</v>
      </c>
      <c r="D63" s="567" t="s">
        <v>5434</v>
      </c>
      <c r="E63" s="567" t="s">
        <v>5435</v>
      </c>
      <c r="F63" s="567" t="s">
        <v>5419</v>
      </c>
      <c r="G63" s="567" t="s">
        <v>5252</v>
      </c>
      <c r="H63" s="567" t="s">
        <v>5253</v>
      </c>
      <c r="I63" s="567" t="s">
        <v>5278</v>
      </c>
      <c r="J63" s="567" t="s">
        <v>5423</v>
      </c>
      <c r="K63" s="567" t="s">
        <v>5256</v>
      </c>
      <c r="L63" s="567" t="s">
        <v>5256</v>
      </c>
    </row>
    <row r="64" ht="15.75" customHeight="1">
      <c r="A64" s="567">
        <v>2.2111374784E10</v>
      </c>
      <c r="B64" s="567" t="s">
        <v>5247</v>
      </c>
      <c r="C64" s="567" t="s">
        <v>5248</v>
      </c>
      <c r="D64" s="567" t="s">
        <v>5436</v>
      </c>
      <c r="E64" s="567" t="s">
        <v>5437</v>
      </c>
      <c r="F64" s="567" t="s">
        <v>5419</v>
      </c>
      <c r="G64" s="567" t="s">
        <v>5252</v>
      </c>
      <c r="H64" s="567" t="s">
        <v>5253</v>
      </c>
      <c r="I64" s="567" t="s">
        <v>5278</v>
      </c>
      <c r="J64" s="567" t="s">
        <v>5425</v>
      </c>
      <c r="K64" s="567" t="s">
        <v>5256</v>
      </c>
      <c r="L64" s="567" t="s">
        <v>5256</v>
      </c>
    </row>
    <row r="65" ht="15.75" customHeight="1">
      <c r="A65" s="567">
        <v>2.2111374785E10</v>
      </c>
      <c r="B65" s="567" t="s">
        <v>5247</v>
      </c>
      <c r="C65" s="567" t="s">
        <v>5248</v>
      </c>
      <c r="D65" s="567" t="s">
        <v>5438</v>
      </c>
      <c r="E65" s="567" t="s">
        <v>5439</v>
      </c>
      <c r="F65" s="567" t="s">
        <v>5419</v>
      </c>
      <c r="G65" s="567" t="s">
        <v>5252</v>
      </c>
      <c r="H65" s="567" t="s">
        <v>5253</v>
      </c>
      <c r="I65" s="567" t="s">
        <v>5278</v>
      </c>
      <c r="J65" s="567" t="s">
        <v>5423</v>
      </c>
      <c r="K65" s="567" t="s">
        <v>5256</v>
      </c>
      <c r="L65" s="567" t="s">
        <v>5256</v>
      </c>
    </row>
    <row r="66" ht="15.75" customHeight="1">
      <c r="A66" s="567">
        <v>2.2111374788E10</v>
      </c>
      <c r="B66" s="567" t="s">
        <v>5247</v>
      </c>
      <c r="C66" s="567" t="s">
        <v>5248</v>
      </c>
      <c r="D66" s="567" t="s">
        <v>5440</v>
      </c>
      <c r="E66" s="567" t="s">
        <v>5441</v>
      </c>
      <c r="F66" s="567" t="s">
        <v>5419</v>
      </c>
      <c r="G66" s="567" t="s">
        <v>5252</v>
      </c>
      <c r="H66" s="567" t="s">
        <v>5253</v>
      </c>
      <c r="I66" s="567" t="s">
        <v>5278</v>
      </c>
      <c r="J66" s="567" t="s">
        <v>5433</v>
      </c>
      <c r="K66" s="567" t="s">
        <v>5256</v>
      </c>
      <c r="L66" s="567" t="s">
        <v>5256</v>
      </c>
    </row>
    <row r="67" ht="15.75" customHeight="1">
      <c r="A67" s="567">
        <v>2.2111374789E10</v>
      </c>
      <c r="B67" s="567" t="s">
        <v>5247</v>
      </c>
      <c r="C67" s="567" t="s">
        <v>5248</v>
      </c>
      <c r="D67" s="567" t="s">
        <v>5402</v>
      </c>
      <c r="E67" s="567" t="s">
        <v>5442</v>
      </c>
      <c r="F67" s="567" t="s">
        <v>5419</v>
      </c>
      <c r="G67" s="567" t="s">
        <v>5252</v>
      </c>
      <c r="H67" s="567" t="s">
        <v>5253</v>
      </c>
      <c r="I67" s="567" t="s">
        <v>5278</v>
      </c>
      <c r="J67" s="567" t="s">
        <v>5425</v>
      </c>
      <c r="K67" s="567" t="s">
        <v>5256</v>
      </c>
      <c r="L67" s="567" t="s">
        <v>5256</v>
      </c>
    </row>
    <row r="68" ht="15.75" customHeight="1">
      <c r="A68" s="567">
        <v>2.2111374795E10</v>
      </c>
      <c r="B68" s="567" t="s">
        <v>5247</v>
      </c>
      <c r="C68" s="567" t="s">
        <v>5248</v>
      </c>
      <c r="D68" s="567" t="s">
        <v>5443</v>
      </c>
      <c r="E68" s="567" t="s">
        <v>5444</v>
      </c>
      <c r="F68" s="567" t="s">
        <v>5419</v>
      </c>
      <c r="G68" s="567" t="s">
        <v>5252</v>
      </c>
      <c r="H68" s="567" t="s">
        <v>5253</v>
      </c>
      <c r="I68" s="567" t="s">
        <v>5278</v>
      </c>
      <c r="J68" s="567" t="s">
        <v>5416</v>
      </c>
      <c r="K68" s="567" t="s">
        <v>5256</v>
      </c>
      <c r="L68" s="567" t="s">
        <v>5256</v>
      </c>
    </row>
    <row r="69" ht="15.75" customHeight="1">
      <c r="A69" s="567">
        <v>2.2111374796E10</v>
      </c>
      <c r="B69" s="567" t="s">
        <v>5247</v>
      </c>
      <c r="C69" s="567" t="s">
        <v>5248</v>
      </c>
      <c r="D69" s="567" t="s">
        <v>5445</v>
      </c>
      <c r="E69" s="567" t="s">
        <v>5446</v>
      </c>
      <c r="F69" s="567" t="s">
        <v>5419</v>
      </c>
      <c r="G69" s="567" t="s">
        <v>5252</v>
      </c>
      <c r="H69" s="567" t="s">
        <v>5253</v>
      </c>
      <c r="I69" s="567" t="s">
        <v>5278</v>
      </c>
      <c r="J69" s="567" t="s">
        <v>5433</v>
      </c>
      <c r="K69" s="567" t="s">
        <v>5256</v>
      </c>
      <c r="L69" s="567" t="s">
        <v>5256</v>
      </c>
    </row>
    <row r="70" ht="15.75" customHeight="1">
      <c r="A70" s="567">
        <v>2.2111374797E10</v>
      </c>
      <c r="B70" s="567" t="s">
        <v>5247</v>
      </c>
      <c r="C70" s="567" t="s">
        <v>5248</v>
      </c>
      <c r="D70" s="567" t="s">
        <v>5447</v>
      </c>
      <c r="E70" s="567" t="s">
        <v>5448</v>
      </c>
      <c r="F70" s="567" t="s">
        <v>5419</v>
      </c>
      <c r="G70" s="567" t="s">
        <v>5252</v>
      </c>
      <c r="H70" s="567" t="s">
        <v>5253</v>
      </c>
      <c r="I70" s="567" t="s">
        <v>5278</v>
      </c>
      <c r="J70" s="567" t="s">
        <v>5428</v>
      </c>
      <c r="K70" s="567" t="s">
        <v>5256</v>
      </c>
      <c r="L70" s="567" t="s">
        <v>5256</v>
      </c>
    </row>
    <row r="71" ht="15.75" customHeight="1">
      <c r="A71" s="567">
        <v>2.2111374802E10</v>
      </c>
      <c r="B71" s="567" t="s">
        <v>5247</v>
      </c>
      <c r="C71" s="567" t="s">
        <v>5248</v>
      </c>
      <c r="D71" s="567" t="s">
        <v>5449</v>
      </c>
      <c r="E71" s="567" t="s">
        <v>5450</v>
      </c>
      <c r="F71" s="567" t="s">
        <v>5419</v>
      </c>
      <c r="G71" s="567" t="s">
        <v>5252</v>
      </c>
      <c r="H71" s="567" t="s">
        <v>5253</v>
      </c>
      <c r="I71" s="567" t="s">
        <v>5278</v>
      </c>
      <c r="J71" s="567" t="s">
        <v>5416</v>
      </c>
      <c r="K71" s="567" t="s">
        <v>5256</v>
      </c>
      <c r="L71" s="567" t="s">
        <v>5256</v>
      </c>
    </row>
    <row r="72" ht="15.75" customHeight="1">
      <c r="A72" s="567">
        <v>2.2111374803E10</v>
      </c>
      <c r="B72" s="567" t="s">
        <v>5247</v>
      </c>
      <c r="C72" s="567" t="s">
        <v>5248</v>
      </c>
      <c r="D72" s="567" t="s">
        <v>5451</v>
      </c>
      <c r="E72" s="567" t="s">
        <v>5452</v>
      </c>
      <c r="F72" s="567" t="s">
        <v>5419</v>
      </c>
      <c r="G72" s="567" t="s">
        <v>5252</v>
      </c>
      <c r="H72" s="567" t="s">
        <v>5253</v>
      </c>
      <c r="I72" s="567" t="s">
        <v>5278</v>
      </c>
      <c r="J72" s="567" t="s">
        <v>5428</v>
      </c>
      <c r="K72" s="567" t="s">
        <v>5256</v>
      </c>
      <c r="L72" s="567" t="s">
        <v>5256</v>
      </c>
    </row>
    <row r="73" ht="15.75" customHeight="1">
      <c r="A73" s="567">
        <v>2.2111374804E10</v>
      </c>
      <c r="B73" s="567" t="s">
        <v>5247</v>
      </c>
      <c r="C73" s="567" t="s">
        <v>5248</v>
      </c>
      <c r="D73" s="567" t="s">
        <v>5453</v>
      </c>
      <c r="E73" s="567" t="s">
        <v>5454</v>
      </c>
      <c r="F73" s="567" t="s">
        <v>5419</v>
      </c>
      <c r="G73" s="567" t="s">
        <v>5252</v>
      </c>
      <c r="H73" s="567" t="s">
        <v>5253</v>
      </c>
      <c r="I73" s="567" t="s">
        <v>5278</v>
      </c>
      <c r="J73" s="567" t="s">
        <v>5428</v>
      </c>
      <c r="K73" s="567" t="s">
        <v>5256</v>
      </c>
      <c r="L73" s="567" t="s">
        <v>5256</v>
      </c>
    </row>
    <row r="74" ht="15.75" customHeight="1">
      <c r="A74" s="567">
        <v>2.2111374805E10</v>
      </c>
      <c r="B74" s="567" t="s">
        <v>5247</v>
      </c>
      <c r="C74" s="567" t="s">
        <v>5248</v>
      </c>
      <c r="D74" s="567" t="s">
        <v>5455</v>
      </c>
      <c r="E74" s="567" t="s">
        <v>5456</v>
      </c>
      <c r="F74" s="567" t="s">
        <v>5419</v>
      </c>
      <c r="G74" s="567" t="s">
        <v>5252</v>
      </c>
      <c r="H74" s="567" t="s">
        <v>5253</v>
      </c>
      <c r="I74" s="567" t="s">
        <v>5278</v>
      </c>
      <c r="J74" s="567" t="s">
        <v>5433</v>
      </c>
      <c r="K74" s="567" t="s">
        <v>5256</v>
      </c>
      <c r="L74" s="567" t="s">
        <v>5256</v>
      </c>
    </row>
    <row r="75" ht="15.75" customHeight="1">
      <c r="A75" s="567">
        <v>2.2111374837E10</v>
      </c>
      <c r="B75" s="567" t="s">
        <v>5247</v>
      </c>
      <c r="C75" s="567" t="s">
        <v>5248</v>
      </c>
      <c r="D75" s="567" t="s">
        <v>5457</v>
      </c>
      <c r="E75" s="567" t="s">
        <v>5458</v>
      </c>
      <c r="F75" s="567" t="s">
        <v>5459</v>
      </c>
      <c r="G75" s="567" t="s">
        <v>5252</v>
      </c>
      <c r="H75" s="567" t="s">
        <v>5253</v>
      </c>
      <c r="I75" s="567" t="s">
        <v>5278</v>
      </c>
      <c r="J75" s="567" t="s">
        <v>5340</v>
      </c>
      <c r="K75" s="567" t="s">
        <v>5256</v>
      </c>
      <c r="L75" s="567" t="s">
        <v>5256</v>
      </c>
    </row>
    <row r="76" ht="15.75" customHeight="1">
      <c r="A76" s="567">
        <v>2.2111374838E10</v>
      </c>
      <c r="B76" s="567" t="s">
        <v>5247</v>
      </c>
      <c r="C76" s="567" t="s">
        <v>5248</v>
      </c>
      <c r="D76" s="567" t="s">
        <v>5460</v>
      </c>
      <c r="E76" s="567" t="s">
        <v>5461</v>
      </c>
      <c r="F76" s="567" t="s">
        <v>5459</v>
      </c>
      <c r="G76" s="567" t="s">
        <v>5252</v>
      </c>
      <c r="H76" s="567" t="s">
        <v>5253</v>
      </c>
      <c r="I76" s="567" t="s">
        <v>5278</v>
      </c>
      <c r="J76" s="567" t="s">
        <v>5416</v>
      </c>
      <c r="K76" s="567" t="s">
        <v>5256</v>
      </c>
      <c r="L76" s="567" t="s">
        <v>5256</v>
      </c>
    </row>
    <row r="77" ht="15.75" customHeight="1">
      <c r="A77" s="567">
        <v>2.2111419707E10</v>
      </c>
      <c r="B77" s="567" t="s">
        <v>5247</v>
      </c>
      <c r="C77" s="567" t="s">
        <v>5248</v>
      </c>
      <c r="D77" s="567" t="s">
        <v>5462</v>
      </c>
      <c r="E77" s="567" t="s">
        <v>5463</v>
      </c>
      <c r="F77" s="567" t="s">
        <v>5464</v>
      </c>
      <c r="G77" s="567" t="s">
        <v>5252</v>
      </c>
      <c r="H77" s="567" t="s">
        <v>5253</v>
      </c>
      <c r="I77" s="567" t="s">
        <v>5278</v>
      </c>
      <c r="J77" s="567" t="s">
        <v>5465</v>
      </c>
      <c r="K77" s="567" t="s">
        <v>5256</v>
      </c>
      <c r="L77" s="567" t="s">
        <v>5256</v>
      </c>
    </row>
    <row r="78" ht="15.75" customHeight="1">
      <c r="A78" s="567">
        <v>2.211246314E10</v>
      </c>
      <c r="B78" s="567" t="s">
        <v>5247</v>
      </c>
      <c r="C78" s="567" t="s">
        <v>5248</v>
      </c>
      <c r="D78" s="567" t="s">
        <v>5466</v>
      </c>
      <c r="E78" s="567" t="s">
        <v>5467</v>
      </c>
      <c r="F78" s="567" t="s">
        <v>5468</v>
      </c>
      <c r="G78" s="567" t="s">
        <v>5252</v>
      </c>
      <c r="H78" s="567" t="s">
        <v>5253</v>
      </c>
      <c r="I78" s="567" t="s">
        <v>5278</v>
      </c>
      <c r="J78" s="567" t="s">
        <v>5469</v>
      </c>
      <c r="K78" s="567" t="s">
        <v>5256</v>
      </c>
      <c r="L78" s="567" t="s">
        <v>5256</v>
      </c>
    </row>
    <row r="79" ht="15.75" customHeight="1">
      <c r="A79" s="567">
        <v>2.2112463141E10</v>
      </c>
      <c r="B79" s="567" t="s">
        <v>5247</v>
      </c>
      <c r="C79" s="567" t="s">
        <v>5248</v>
      </c>
      <c r="D79" s="567" t="s">
        <v>5470</v>
      </c>
      <c r="E79" s="567" t="s">
        <v>5471</v>
      </c>
      <c r="F79" s="567" t="s">
        <v>5468</v>
      </c>
      <c r="G79" s="567" t="s">
        <v>5252</v>
      </c>
      <c r="H79" s="567" t="s">
        <v>5253</v>
      </c>
      <c r="I79" s="567" t="s">
        <v>5278</v>
      </c>
      <c r="J79" s="567" t="s">
        <v>5469</v>
      </c>
      <c r="K79" s="567" t="s">
        <v>5256</v>
      </c>
      <c r="L79" s="567" t="s">
        <v>5256</v>
      </c>
    </row>
    <row r="80" ht="15.75" customHeight="1">
      <c r="A80" s="567">
        <v>2.2112463142E10</v>
      </c>
      <c r="B80" s="567" t="s">
        <v>5247</v>
      </c>
      <c r="C80" s="567" t="s">
        <v>5248</v>
      </c>
      <c r="D80" s="567" t="s">
        <v>5472</v>
      </c>
      <c r="E80" s="567" t="s">
        <v>5473</v>
      </c>
      <c r="F80" s="567" t="s">
        <v>5468</v>
      </c>
      <c r="G80" s="567" t="s">
        <v>5252</v>
      </c>
      <c r="H80" s="567" t="s">
        <v>5253</v>
      </c>
      <c r="I80" s="567" t="s">
        <v>5278</v>
      </c>
      <c r="J80" s="567" t="s">
        <v>5469</v>
      </c>
      <c r="K80" s="567" t="s">
        <v>5256</v>
      </c>
      <c r="L80" s="567" t="s">
        <v>5256</v>
      </c>
    </row>
    <row r="81" ht="15.75" customHeight="1">
      <c r="A81" s="567">
        <v>2.2112539913E10</v>
      </c>
      <c r="B81" s="567" t="s">
        <v>5474</v>
      </c>
      <c r="C81" s="567" t="s">
        <v>5248</v>
      </c>
      <c r="D81" s="567" t="s">
        <v>5475</v>
      </c>
      <c r="E81" s="567" t="s">
        <v>5476</v>
      </c>
      <c r="F81" s="567" t="s">
        <v>5477</v>
      </c>
      <c r="G81" s="567" t="s">
        <v>5252</v>
      </c>
      <c r="H81" s="567" t="s">
        <v>5253</v>
      </c>
      <c r="I81" s="567" t="s">
        <v>5278</v>
      </c>
      <c r="J81" s="567" t="s">
        <v>5478</v>
      </c>
      <c r="K81" s="567" t="s">
        <v>5256</v>
      </c>
      <c r="L81" s="567" t="s">
        <v>5256</v>
      </c>
    </row>
    <row r="82" ht="15.75" customHeight="1">
      <c r="A82" s="567">
        <v>2.2112712146E10</v>
      </c>
      <c r="B82" s="567" t="s">
        <v>5479</v>
      </c>
      <c r="C82" s="567" t="s">
        <v>5248</v>
      </c>
      <c r="D82" s="567" t="s">
        <v>5480</v>
      </c>
      <c r="E82" s="567" t="s">
        <v>5481</v>
      </c>
      <c r="F82" s="567" t="s">
        <v>5482</v>
      </c>
      <c r="G82" s="567" t="s">
        <v>5252</v>
      </c>
      <c r="H82" s="567" t="s">
        <v>5253</v>
      </c>
      <c r="I82" s="567" t="s">
        <v>5284</v>
      </c>
      <c r="J82" s="567" t="s">
        <v>5483</v>
      </c>
      <c r="K82" s="567" t="s">
        <v>5256</v>
      </c>
      <c r="L82" s="567" t="s">
        <v>5256</v>
      </c>
    </row>
    <row r="83" ht="15.75" customHeight="1">
      <c r="A83" s="567">
        <v>2.2115374353E10</v>
      </c>
      <c r="B83" s="567" t="s">
        <v>5479</v>
      </c>
      <c r="C83" s="567" t="s">
        <v>5248</v>
      </c>
      <c r="D83" s="567" t="s">
        <v>5480</v>
      </c>
      <c r="E83" s="567" t="s">
        <v>5484</v>
      </c>
      <c r="F83" s="567" t="s">
        <v>5256</v>
      </c>
      <c r="G83" s="567" t="s">
        <v>5252</v>
      </c>
      <c r="H83" s="567" t="s">
        <v>5253</v>
      </c>
      <c r="I83" s="567" t="s">
        <v>5261</v>
      </c>
      <c r="J83" s="567" t="s">
        <v>5485</v>
      </c>
      <c r="K83" s="567" t="s">
        <v>5256</v>
      </c>
      <c r="L83" s="567" t="s">
        <v>5256</v>
      </c>
    </row>
    <row r="84" ht="15.75" customHeight="1">
      <c r="A84" s="567">
        <v>2.2115407057E10</v>
      </c>
      <c r="B84" s="567" t="s">
        <v>5297</v>
      </c>
      <c r="C84" s="567" t="s">
        <v>5248</v>
      </c>
      <c r="D84" s="567" t="s">
        <v>5393</v>
      </c>
      <c r="E84" s="567" t="s">
        <v>5486</v>
      </c>
      <c r="F84" s="567" t="s">
        <v>5487</v>
      </c>
      <c r="G84" s="567" t="s">
        <v>5252</v>
      </c>
      <c r="H84" s="567" t="s">
        <v>5253</v>
      </c>
      <c r="I84" s="567" t="s">
        <v>5261</v>
      </c>
      <c r="J84" s="567" t="s">
        <v>5488</v>
      </c>
      <c r="K84" s="567" t="s">
        <v>5256</v>
      </c>
      <c r="L84" s="567" t="s">
        <v>5256</v>
      </c>
    </row>
    <row r="85" ht="15.75" customHeight="1">
      <c r="A85" s="567">
        <v>2.2115762764E10</v>
      </c>
      <c r="B85" s="567" t="s">
        <v>5297</v>
      </c>
      <c r="C85" s="567" t="s">
        <v>5248</v>
      </c>
      <c r="D85" s="567" t="s">
        <v>5489</v>
      </c>
      <c r="E85" s="567" t="s">
        <v>5490</v>
      </c>
      <c r="F85" s="567" t="s">
        <v>5491</v>
      </c>
      <c r="G85" s="567" t="s">
        <v>5252</v>
      </c>
      <c r="H85" s="567" t="s">
        <v>5253</v>
      </c>
      <c r="I85" s="567" t="s">
        <v>5284</v>
      </c>
      <c r="J85" s="567" t="s">
        <v>5492</v>
      </c>
      <c r="K85" s="567" t="s">
        <v>5256</v>
      </c>
      <c r="L85" s="567" t="s">
        <v>5256</v>
      </c>
    </row>
    <row r="86" ht="15.75" customHeight="1">
      <c r="A86" s="567">
        <v>2.2115762766E10</v>
      </c>
      <c r="B86" s="567" t="s">
        <v>5297</v>
      </c>
      <c r="C86" s="567" t="s">
        <v>5248</v>
      </c>
      <c r="D86" s="567" t="s">
        <v>5493</v>
      </c>
      <c r="E86" s="567" t="s">
        <v>5494</v>
      </c>
      <c r="F86" s="567" t="s">
        <v>5495</v>
      </c>
      <c r="G86" s="567" t="s">
        <v>5252</v>
      </c>
      <c r="H86" s="567" t="s">
        <v>5253</v>
      </c>
      <c r="I86" s="567" t="s">
        <v>5284</v>
      </c>
      <c r="J86" s="567" t="s">
        <v>5492</v>
      </c>
      <c r="K86" s="567" t="s">
        <v>5256</v>
      </c>
      <c r="L86" s="567" t="s">
        <v>5256</v>
      </c>
    </row>
    <row r="87" ht="15.75" customHeight="1">
      <c r="A87" s="567">
        <v>2.2116714593E10</v>
      </c>
      <c r="B87" s="567" t="s">
        <v>5247</v>
      </c>
      <c r="C87" s="567" t="s">
        <v>5248</v>
      </c>
      <c r="D87" s="567" t="s">
        <v>5496</v>
      </c>
      <c r="E87" s="567" t="s">
        <v>5497</v>
      </c>
      <c r="F87" s="567" t="s">
        <v>5498</v>
      </c>
      <c r="G87" s="567" t="s">
        <v>5252</v>
      </c>
      <c r="H87" s="567" t="s">
        <v>5253</v>
      </c>
      <c r="I87" s="567" t="s">
        <v>5284</v>
      </c>
      <c r="J87" s="567" t="s">
        <v>5499</v>
      </c>
      <c r="K87" s="567" t="s">
        <v>5256</v>
      </c>
      <c r="L87" s="567" t="s">
        <v>5256</v>
      </c>
    </row>
    <row r="88" ht="15.75" customHeight="1">
      <c r="A88" s="567">
        <v>2.2116734151E10</v>
      </c>
      <c r="B88" s="567" t="s">
        <v>5247</v>
      </c>
      <c r="C88" s="567" t="s">
        <v>5248</v>
      </c>
      <c r="D88" s="567" t="s">
        <v>5460</v>
      </c>
      <c r="E88" s="567" t="s">
        <v>5500</v>
      </c>
      <c r="F88" s="567" t="s">
        <v>5501</v>
      </c>
      <c r="G88" s="567" t="s">
        <v>5252</v>
      </c>
      <c r="H88" s="567" t="s">
        <v>5253</v>
      </c>
      <c r="I88" s="567" t="s">
        <v>5502</v>
      </c>
      <c r="J88" s="567" t="s">
        <v>5503</v>
      </c>
      <c r="K88" s="567" t="s">
        <v>5256</v>
      </c>
      <c r="L88" s="567" t="s">
        <v>5256</v>
      </c>
    </row>
    <row r="89" ht="15.75" customHeight="1">
      <c r="A89" s="567">
        <v>2.2117766621E10</v>
      </c>
      <c r="B89" s="567" t="s">
        <v>5247</v>
      </c>
      <c r="C89" s="567" t="s">
        <v>5248</v>
      </c>
      <c r="D89" s="567" t="s">
        <v>5504</v>
      </c>
      <c r="E89" s="567" t="s">
        <v>5505</v>
      </c>
      <c r="F89" s="567" t="s">
        <v>5506</v>
      </c>
      <c r="G89" s="567" t="s">
        <v>5252</v>
      </c>
      <c r="H89" s="567" t="s">
        <v>5253</v>
      </c>
      <c r="I89" s="567" t="s">
        <v>5284</v>
      </c>
      <c r="J89" s="567" t="s">
        <v>5507</v>
      </c>
      <c r="K89" s="567" t="s">
        <v>5256</v>
      </c>
      <c r="L89" s="567" t="s">
        <v>5256</v>
      </c>
    </row>
    <row r="90" ht="15.75" customHeight="1">
      <c r="A90" s="567">
        <v>2.2117822534E10</v>
      </c>
      <c r="B90" s="567" t="s">
        <v>5508</v>
      </c>
      <c r="C90" s="567" t="s">
        <v>5248</v>
      </c>
      <c r="D90" s="567" t="s">
        <v>5509</v>
      </c>
      <c r="E90" s="567" t="s">
        <v>5510</v>
      </c>
      <c r="F90" s="567" t="s">
        <v>5256</v>
      </c>
      <c r="G90" s="567" t="s">
        <v>5252</v>
      </c>
      <c r="H90" s="567" t="s">
        <v>5253</v>
      </c>
      <c r="I90" s="567" t="s">
        <v>5502</v>
      </c>
      <c r="J90" s="567" t="s">
        <v>5511</v>
      </c>
      <c r="K90" s="567" t="s">
        <v>5256</v>
      </c>
      <c r="L90" s="567" t="s">
        <v>5256</v>
      </c>
    </row>
    <row r="91" ht="15.75" customHeight="1">
      <c r="A91" s="567">
        <v>2.2117822535E10</v>
      </c>
      <c r="B91" s="567" t="s">
        <v>5508</v>
      </c>
      <c r="C91" s="567" t="s">
        <v>5248</v>
      </c>
      <c r="D91" s="567" t="s">
        <v>5509</v>
      </c>
      <c r="E91" s="567" t="s">
        <v>5512</v>
      </c>
      <c r="F91" s="567" t="s">
        <v>5256</v>
      </c>
      <c r="G91" s="567" t="s">
        <v>5252</v>
      </c>
      <c r="H91" s="567" t="s">
        <v>5253</v>
      </c>
      <c r="I91" s="567" t="s">
        <v>5502</v>
      </c>
      <c r="J91" s="567" t="s">
        <v>5513</v>
      </c>
      <c r="K91" s="567" t="s">
        <v>5256</v>
      </c>
      <c r="L91" s="567" t="s">
        <v>5256</v>
      </c>
    </row>
    <row r="92" ht="15.75" customHeight="1">
      <c r="A92" s="567">
        <v>2.2118081231E10</v>
      </c>
      <c r="B92" s="567" t="s">
        <v>5514</v>
      </c>
      <c r="C92" s="567" t="s">
        <v>5248</v>
      </c>
      <c r="D92" s="567" t="s">
        <v>5515</v>
      </c>
      <c r="E92" s="567" t="s">
        <v>5516</v>
      </c>
      <c r="F92" s="567" t="s">
        <v>5517</v>
      </c>
      <c r="G92" s="567" t="s">
        <v>5252</v>
      </c>
      <c r="H92" s="567" t="s">
        <v>5253</v>
      </c>
      <c r="I92" s="567" t="s">
        <v>5284</v>
      </c>
      <c r="J92" s="567" t="s">
        <v>5518</v>
      </c>
      <c r="K92" s="567" t="s">
        <v>5256</v>
      </c>
      <c r="L92" s="567" t="s">
        <v>5256</v>
      </c>
    </row>
    <row r="93" ht="15.75" customHeight="1">
      <c r="A93" s="567">
        <v>2.2118092669E10</v>
      </c>
      <c r="B93" s="567" t="s">
        <v>5519</v>
      </c>
      <c r="C93" s="567" t="s">
        <v>5248</v>
      </c>
      <c r="D93" s="567" t="s">
        <v>5345</v>
      </c>
      <c r="E93" s="567" t="s">
        <v>5520</v>
      </c>
      <c r="F93" s="567" t="s">
        <v>5521</v>
      </c>
      <c r="G93" s="567" t="s">
        <v>5252</v>
      </c>
      <c r="H93" s="567" t="s">
        <v>5253</v>
      </c>
      <c r="I93" s="567" t="s">
        <v>5284</v>
      </c>
      <c r="J93" s="567" t="s">
        <v>5522</v>
      </c>
      <c r="K93" s="567" t="s">
        <v>5256</v>
      </c>
      <c r="L93" s="567" t="s">
        <v>5256</v>
      </c>
    </row>
    <row r="94" ht="15.75" customHeight="1">
      <c r="A94" s="567">
        <v>2.2119083306E10</v>
      </c>
      <c r="B94" s="567" t="s">
        <v>5523</v>
      </c>
      <c r="C94" s="567" t="s">
        <v>5248</v>
      </c>
      <c r="D94" s="567" t="s">
        <v>5524</v>
      </c>
      <c r="E94" s="567" t="s">
        <v>5525</v>
      </c>
      <c r="F94" s="567" t="s">
        <v>5256</v>
      </c>
      <c r="G94" s="567" t="s">
        <v>5252</v>
      </c>
      <c r="H94" s="567" t="s">
        <v>5253</v>
      </c>
      <c r="I94" s="567" t="s">
        <v>5254</v>
      </c>
      <c r="J94" s="567" t="s">
        <v>5526</v>
      </c>
      <c r="K94" s="567" t="s">
        <v>5256</v>
      </c>
      <c r="L94" s="567" t="s">
        <v>5256</v>
      </c>
    </row>
    <row r="95" ht="15.75" customHeight="1">
      <c r="A95" s="567">
        <v>2.2119083307E10</v>
      </c>
      <c r="B95" s="567" t="s">
        <v>5300</v>
      </c>
      <c r="C95" s="567" t="s">
        <v>5248</v>
      </c>
      <c r="D95" s="567" t="s">
        <v>5527</v>
      </c>
      <c r="E95" s="567" t="s">
        <v>5301</v>
      </c>
      <c r="F95" s="567" t="s">
        <v>5256</v>
      </c>
      <c r="G95" s="567" t="s">
        <v>5252</v>
      </c>
      <c r="H95" s="567" t="s">
        <v>5253</v>
      </c>
      <c r="I95" s="567" t="s">
        <v>5254</v>
      </c>
      <c r="J95" s="567" t="s">
        <v>5528</v>
      </c>
      <c r="K95" s="567" t="s">
        <v>5256</v>
      </c>
      <c r="L95" s="567" t="s">
        <v>5256</v>
      </c>
    </row>
    <row r="96" ht="15.75" customHeight="1">
      <c r="A96" s="567">
        <v>2.211946653E10</v>
      </c>
      <c r="B96" s="567" t="s">
        <v>5290</v>
      </c>
      <c r="C96" s="567" t="s">
        <v>5248</v>
      </c>
      <c r="D96" s="567" t="s">
        <v>5529</v>
      </c>
      <c r="E96" s="567" t="s">
        <v>5530</v>
      </c>
      <c r="F96" s="567" t="s">
        <v>5256</v>
      </c>
      <c r="G96" s="567" t="s">
        <v>5252</v>
      </c>
      <c r="H96" s="567" t="s">
        <v>5253</v>
      </c>
      <c r="I96" s="567" t="s">
        <v>5284</v>
      </c>
      <c r="J96" s="567" t="s">
        <v>5531</v>
      </c>
      <c r="K96" s="567" t="s">
        <v>5256</v>
      </c>
      <c r="L96" s="567" t="s">
        <v>5256</v>
      </c>
    </row>
    <row r="97" ht="15.75" customHeight="1">
      <c r="A97" s="567">
        <v>2.2119475339E10</v>
      </c>
      <c r="B97" s="567" t="s">
        <v>5290</v>
      </c>
      <c r="C97" s="567" t="s">
        <v>5248</v>
      </c>
      <c r="D97" s="567" t="s">
        <v>5532</v>
      </c>
      <c r="E97" s="567" t="s">
        <v>5533</v>
      </c>
      <c r="F97" s="567" t="s">
        <v>5534</v>
      </c>
      <c r="G97" s="567" t="s">
        <v>5252</v>
      </c>
      <c r="H97" s="567" t="s">
        <v>5253</v>
      </c>
      <c r="I97" s="567" t="s">
        <v>5284</v>
      </c>
      <c r="J97" s="567" t="s">
        <v>5535</v>
      </c>
      <c r="K97" s="567" t="s">
        <v>5256</v>
      </c>
      <c r="L97" s="567" t="s">
        <v>5256</v>
      </c>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43"/>
    <col customWidth="1" min="2" max="2" width="15.0"/>
    <col customWidth="1" min="3" max="3" width="21.43"/>
    <col customWidth="1" min="4" max="4" width="51.57"/>
    <col customWidth="1" min="5" max="5" width="21.0"/>
    <col customWidth="1" min="6" max="6" width="22.57"/>
    <col customWidth="1" min="7" max="8" width="18.57"/>
    <col customWidth="1" min="9" max="9" width="16.43"/>
    <col customWidth="1" min="10" max="10" width="10.57"/>
    <col customWidth="1" min="11" max="11" width="65.43"/>
    <col customWidth="1" min="12" max="26" width="9.43"/>
  </cols>
  <sheetData>
    <row r="1" ht="11.25" customHeight="1">
      <c r="A1" s="642" t="s">
        <v>5536</v>
      </c>
      <c r="B1" s="643"/>
      <c r="C1" s="644"/>
      <c r="D1" s="643"/>
      <c r="E1" s="643"/>
      <c r="F1" s="643"/>
      <c r="G1" s="643"/>
      <c r="H1" s="643"/>
      <c r="I1" s="643"/>
      <c r="J1" s="643"/>
      <c r="K1" s="643"/>
      <c r="L1" s="643"/>
      <c r="M1" s="643"/>
      <c r="N1" s="643"/>
      <c r="O1" s="643"/>
      <c r="P1" s="643"/>
      <c r="Q1" s="643"/>
      <c r="R1" s="643"/>
      <c r="S1" s="643"/>
      <c r="T1" s="643"/>
      <c r="U1" s="643"/>
      <c r="V1" s="643"/>
      <c r="W1" s="643"/>
      <c r="X1" s="643"/>
      <c r="Y1" s="643"/>
      <c r="Z1" s="643"/>
    </row>
    <row r="2" ht="11.25" customHeight="1">
      <c r="A2" s="645" t="s">
        <v>5537</v>
      </c>
      <c r="B2" s="643"/>
      <c r="C2" s="644"/>
      <c r="D2" s="643"/>
      <c r="E2" s="643"/>
      <c r="F2" s="643"/>
      <c r="G2" s="643"/>
      <c r="H2" s="643"/>
      <c r="I2" s="643"/>
      <c r="J2" s="643"/>
      <c r="K2" s="643"/>
      <c r="L2" s="643"/>
      <c r="M2" s="643"/>
      <c r="N2" s="643"/>
      <c r="O2" s="643"/>
      <c r="P2" s="643"/>
      <c r="Q2" s="643"/>
      <c r="R2" s="643"/>
      <c r="S2" s="643"/>
      <c r="T2" s="643"/>
      <c r="U2" s="643"/>
      <c r="V2" s="643"/>
      <c r="W2" s="643"/>
      <c r="X2" s="643"/>
      <c r="Y2" s="643"/>
      <c r="Z2" s="643"/>
    </row>
    <row r="3" ht="11.25" customHeight="1">
      <c r="A3" s="646"/>
      <c r="B3" s="643"/>
      <c r="C3" s="644"/>
      <c r="D3" s="643"/>
      <c r="E3" s="643"/>
      <c r="F3" s="643"/>
      <c r="G3" s="643"/>
      <c r="H3" s="643"/>
      <c r="I3" s="643"/>
      <c r="J3" s="643"/>
      <c r="K3" s="643"/>
      <c r="L3" s="643"/>
      <c r="M3" s="643"/>
      <c r="N3" s="643"/>
      <c r="O3" s="643"/>
      <c r="P3" s="643"/>
      <c r="Q3" s="643"/>
      <c r="R3" s="643"/>
      <c r="S3" s="643"/>
      <c r="T3" s="643"/>
      <c r="U3" s="643"/>
      <c r="V3" s="643"/>
      <c r="W3" s="643"/>
      <c r="X3" s="643"/>
      <c r="Y3" s="643"/>
      <c r="Z3" s="643"/>
    </row>
    <row r="4" ht="11.25" customHeight="1">
      <c r="A4" s="647" t="s">
        <v>5538</v>
      </c>
      <c r="B4" s="647" t="s">
        <v>5539</v>
      </c>
      <c r="C4" s="648" t="s">
        <v>5540</v>
      </c>
      <c r="D4" s="647" t="s">
        <v>5156</v>
      </c>
      <c r="E4" s="649" t="s">
        <v>5541</v>
      </c>
      <c r="F4" s="649" t="s">
        <v>5542</v>
      </c>
      <c r="G4" s="649" t="s">
        <v>5543</v>
      </c>
      <c r="H4" s="649" t="s">
        <v>5544</v>
      </c>
      <c r="I4" s="647" t="s">
        <v>5545</v>
      </c>
      <c r="J4" s="647" t="s">
        <v>5546</v>
      </c>
      <c r="K4" s="647" t="s">
        <v>5547</v>
      </c>
      <c r="L4" s="650"/>
      <c r="M4" s="650"/>
      <c r="N4" s="650"/>
      <c r="O4" s="650"/>
      <c r="P4" s="650"/>
      <c r="Q4" s="650"/>
      <c r="R4" s="650"/>
      <c r="S4" s="650"/>
      <c r="T4" s="650"/>
      <c r="U4" s="650"/>
      <c r="V4" s="650"/>
      <c r="W4" s="650"/>
      <c r="X4" s="650"/>
      <c r="Y4" s="650"/>
      <c r="Z4" s="650"/>
    </row>
    <row r="5" ht="11.25" customHeight="1">
      <c r="A5" s="651" t="s">
        <v>5548</v>
      </c>
      <c r="B5" s="652" t="s">
        <v>5549</v>
      </c>
      <c r="C5" s="653" t="s">
        <v>5550</v>
      </c>
      <c r="D5" s="652" t="s">
        <v>5551</v>
      </c>
      <c r="E5" s="654" t="s">
        <v>4657</v>
      </c>
      <c r="F5" s="654" t="s">
        <v>4657</v>
      </c>
      <c r="G5" s="654" t="s">
        <v>4657</v>
      </c>
      <c r="H5" s="654" t="s">
        <v>4657</v>
      </c>
      <c r="I5" s="652" t="s">
        <v>5552</v>
      </c>
      <c r="J5" s="655" t="s">
        <v>5553</v>
      </c>
      <c r="K5" s="652" t="s">
        <v>5554</v>
      </c>
      <c r="L5" s="656"/>
      <c r="M5" s="656"/>
      <c r="N5" s="656"/>
      <c r="O5" s="656"/>
      <c r="P5" s="656"/>
      <c r="Q5" s="656"/>
      <c r="R5" s="656"/>
      <c r="S5" s="656"/>
      <c r="T5" s="656"/>
      <c r="U5" s="656"/>
      <c r="V5" s="656"/>
      <c r="W5" s="656"/>
      <c r="X5" s="656"/>
      <c r="Y5" s="656"/>
      <c r="Z5" s="656"/>
    </row>
    <row r="6" ht="11.25" customHeight="1">
      <c r="A6" s="651" t="s">
        <v>5555</v>
      </c>
      <c r="B6" s="652" t="s">
        <v>5549</v>
      </c>
      <c r="C6" s="653" t="s">
        <v>5550</v>
      </c>
      <c r="D6" s="652" t="s">
        <v>5556</v>
      </c>
      <c r="E6" s="654" t="s">
        <v>4657</v>
      </c>
      <c r="F6" s="654" t="s">
        <v>4657</v>
      </c>
      <c r="G6" s="654" t="s">
        <v>4657</v>
      </c>
      <c r="H6" s="654" t="s">
        <v>4657</v>
      </c>
      <c r="I6" s="652" t="s">
        <v>5552</v>
      </c>
      <c r="J6" s="655" t="s">
        <v>5553</v>
      </c>
      <c r="K6" s="652" t="s">
        <v>5557</v>
      </c>
      <c r="L6" s="656"/>
      <c r="M6" s="656"/>
      <c r="N6" s="656"/>
      <c r="O6" s="656"/>
      <c r="P6" s="656"/>
      <c r="Q6" s="656"/>
      <c r="R6" s="656"/>
      <c r="S6" s="656"/>
      <c r="T6" s="656"/>
      <c r="U6" s="656"/>
      <c r="V6" s="656"/>
      <c r="W6" s="656"/>
      <c r="X6" s="656"/>
      <c r="Y6" s="656"/>
      <c r="Z6" s="656"/>
    </row>
    <row r="7" ht="11.25" customHeight="1">
      <c r="A7" s="657" t="s">
        <v>5558</v>
      </c>
      <c r="B7" s="652" t="s">
        <v>5549</v>
      </c>
      <c r="C7" s="653" t="s">
        <v>5559</v>
      </c>
      <c r="D7" s="652" t="s">
        <v>5560</v>
      </c>
      <c r="E7" s="655" t="s">
        <v>5561</v>
      </c>
      <c r="F7" s="655" t="s">
        <v>5561</v>
      </c>
      <c r="G7" s="655" t="s">
        <v>5561</v>
      </c>
      <c r="H7" s="655" t="s">
        <v>5561</v>
      </c>
      <c r="I7" s="652" t="s">
        <v>5562</v>
      </c>
      <c r="J7" s="655" t="s">
        <v>5553</v>
      </c>
      <c r="K7" s="652" t="s">
        <v>5563</v>
      </c>
      <c r="L7" s="656"/>
      <c r="M7" s="656"/>
      <c r="N7" s="656"/>
      <c r="O7" s="656"/>
      <c r="P7" s="656"/>
      <c r="Q7" s="656"/>
      <c r="R7" s="656"/>
      <c r="S7" s="656"/>
      <c r="T7" s="656"/>
      <c r="U7" s="656"/>
      <c r="V7" s="656"/>
      <c r="W7" s="656"/>
      <c r="X7" s="656"/>
      <c r="Y7" s="656"/>
      <c r="Z7" s="656"/>
    </row>
    <row r="8" ht="11.25" customHeight="1">
      <c r="A8" s="657" t="s">
        <v>5564</v>
      </c>
      <c r="B8" s="652" t="s">
        <v>5565</v>
      </c>
      <c r="C8" s="658" t="s">
        <v>5566</v>
      </c>
      <c r="D8" s="655" t="s">
        <v>5567</v>
      </c>
      <c r="E8" s="659" t="s">
        <v>5566</v>
      </c>
      <c r="F8" s="659" t="s">
        <v>5566</v>
      </c>
      <c r="G8" s="659" t="s">
        <v>5566</v>
      </c>
      <c r="H8" s="659" t="s">
        <v>5566</v>
      </c>
      <c r="I8" s="652" t="s">
        <v>5562</v>
      </c>
      <c r="J8" s="655" t="s">
        <v>5553</v>
      </c>
      <c r="K8" s="655" t="s">
        <v>5568</v>
      </c>
      <c r="L8" s="643"/>
      <c r="M8" s="643"/>
      <c r="N8" s="643"/>
      <c r="O8" s="643"/>
      <c r="P8" s="643"/>
      <c r="Q8" s="643"/>
      <c r="R8" s="643"/>
      <c r="S8" s="643"/>
      <c r="T8" s="643"/>
      <c r="U8" s="643"/>
      <c r="V8" s="643"/>
      <c r="W8" s="643"/>
      <c r="X8" s="643"/>
      <c r="Y8" s="643"/>
      <c r="Z8" s="643"/>
    </row>
    <row r="9" ht="11.25" customHeight="1">
      <c r="A9" s="657" t="s">
        <v>5569</v>
      </c>
      <c r="B9" s="652" t="s">
        <v>5570</v>
      </c>
      <c r="C9" s="653" t="s">
        <v>5571</v>
      </c>
      <c r="D9" s="652" t="s">
        <v>5572</v>
      </c>
      <c r="E9" s="652" t="s">
        <v>5571</v>
      </c>
      <c r="F9" s="652" t="s">
        <v>5571</v>
      </c>
      <c r="G9" s="652" t="s">
        <v>5571</v>
      </c>
      <c r="H9" s="652" t="s">
        <v>5571</v>
      </c>
      <c r="I9" s="652" t="s">
        <v>5562</v>
      </c>
      <c r="J9" s="655" t="s">
        <v>5553</v>
      </c>
      <c r="K9" s="652" t="s">
        <v>5573</v>
      </c>
      <c r="L9" s="656"/>
      <c r="M9" s="656"/>
      <c r="N9" s="656"/>
      <c r="O9" s="656"/>
      <c r="P9" s="656"/>
      <c r="Q9" s="656"/>
      <c r="R9" s="656"/>
      <c r="S9" s="656"/>
      <c r="T9" s="656"/>
      <c r="U9" s="656"/>
      <c r="V9" s="656"/>
      <c r="W9" s="656"/>
      <c r="X9" s="656"/>
      <c r="Y9" s="656"/>
      <c r="Z9" s="656"/>
    </row>
    <row r="10" ht="11.25" customHeight="1">
      <c r="A10" s="657" t="s">
        <v>5574</v>
      </c>
      <c r="B10" s="652" t="s">
        <v>1844</v>
      </c>
      <c r="C10" s="658"/>
      <c r="D10" s="655" t="s">
        <v>5575</v>
      </c>
      <c r="E10" s="655" t="s">
        <v>1844</v>
      </c>
      <c r="F10" s="655" t="s">
        <v>1844</v>
      </c>
      <c r="G10" s="655" t="s">
        <v>1844</v>
      </c>
      <c r="H10" s="655" t="s">
        <v>1844</v>
      </c>
      <c r="I10" s="652" t="s">
        <v>5562</v>
      </c>
      <c r="J10" s="655" t="s">
        <v>5553</v>
      </c>
      <c r="K10" s="655" t="s">
        <v>5576</v>
      </c>
      <c r="L10" s="643"/>
      <c r="M10" s="643"/>
      <c r="N10" s="643"/>
      <c r="O10" s="643"/>
      <c r="P10" s="643"/>
      <c r="Q10" s="643"/>
      <c r="R10" s="643"/>
      <c r="S10" s="643"/>
      <c r="T10" s="643"/>
      <c r="U10" s="643"/>
      <c r="V10" s="643"/>
      <c r="W10" s="643"/>
      <c r="X10" s="643"/>
      <c r="Y10" s="643"/>
      <c r="Z10" s="643"/>
    </row>
    <row r="11" ht="11.25" customHeight="1">
      <c r="A11" s="657" t="s">
        <v>5577</v>
      </c>
      <c r="B11" s="652" t="s">
        <v>5578</v>
      </c>
      <c r="C11" s="658" t="s">
        <v>5579</v>
      </c>
      <c r="D11" s="655" t="s">
        <v>5580</v>
      </c>
      <c r="E11" s="655" t="s">
        <v>1844</v>
      </c>
      <c r="F11" s="655" t="s">
        <v>1844</v>
      </c>
      <c r="G11" s="655" t="s">
        <v>1844</v>
      </c>
      <c r="H11" s="655" t="s">
        <v>1844</v>
      </c>
      <c r="I11" s="652" t="s">
        <v>5562</v>
      </c>
      <c r="J11" s="655" t="s">
        <v>5581</v>
      </c>
      <c r="K11" s="655" t="s">
        <v>5582</v>
      </c>
      <c r="L11" s="643"/>
      <c r="M11" s="643"/>
      <c r="N11" s="643"/>
      <c r="O11" s="643"/>
      <c r="P11" s="643"/>
      <c r="Q11" s="643"/>
      <c r="R11" s="643"/>
      <c r="S11" s="643"/>
      <c r="T11" s="643"/>
      <c r="U11" s="643"/>
      <c r="V11" s="643"/>
      <c r="W11" s="643"/>
      <c r="X11" s="643"/>
      <c r="Y11" s="643"/>
      <c r="Z11" s="643"/>
    </row>
    <row r="12" ht="11.25" customHeight="1">
      <c r="A12" s="660" t="s">
        <v>5583</v>
      </c>
      <c r="B12" s="652" t="s">
        <v>5584</v>
      </c>
      <c r="C12" s="653" t="s">
        <v>1845</v>
      </c>
      <c r="D12" s="652" t="s">
        <v>5585</v>
      </c>
      <c r="E12" s="652" t="s">
        <v>1845</v>
      </c>
      <c r="F12" s="652" t="s">
        <v>1845</v>
      </c>
      <c r="G12" s="652" t="s">
        <v>1845</v>
      </c>
      <c r="H12" s="652" t="s">
        <v>1845</v>
      </c>
      <c r="I12" s="652" t="s">
        <v>5562</v>
      </c>
      <c r="J12" s="652" t="s">
        <v>5586</v>
      </c>
      <c r="K12" s="652"/>
      <c r="L12" s="656"/>
      <c r="M12" s="656"/>
      <c r="N12" s="656"/>
      <c r="O12" s="656"/>
      <c r="P12" s="656"/>
      <c r="Q12" s="656"/>
      <c r="R12" s="656"/>
      <c r="S12" s="656"/>
      <c r="T12" s="656"/>
      <c r="U12" s="656"/>
      <c r="V12" s="656"/>
      <c r="W12" s="656"/>
      <c r="X12" s="656"/>
      <c r="Y12" s="656"/>
      <c r="Z12" s="656"/>
    </row>
    <row r="13" ht="11.25" customHeight="1">
      <c r="A13" s="660" t="s">
        <v>5587</v>
      </c>
      <c r="B13" s="652" t="s">
        <v>5588</v>
      </c>
      <c r="C13" s="653" t="s">
        <v>5589</v>
      </c>
      <c r="D13" s="652" t="s">
        <v>5590</v>
      </c>
      <c r="E13" s="655" t="s">
        <v>1844</v>
      </c>
      <c r="F13" s="655" t="s">
        <v>1844</v>
      </c>
      <c r="G13" s="655" t="s">
        <v>1844</v>
      </c>
      <c r="H13" s="655" t="s">
        <v>1844</v>
      </c>
      <c r="I13" s="652" t="s">
        <v>5562</v>
      </c>
      <c r="J13" s="652" t="s">
        <v>5586</v>
      </c>
      <c r="K13" s="652" t="s">
        <v>5591</v>
      </c>
      <c r="L13" s="656"/>
      <c r="M13" s="656"/>
      <c r="N13" s="656"/>
      <c r="O13" s="656"/>
      <c r="P13" s="656"/>
      <c r="Q13" s="656"/>
      <c r="R13" s="656"/>
      <c r="S13" s="656"/>
      <c r="T13" s="656"/>
      <c r="U13" s="656"/>
      <c r="V13" s="656"/>
      <c r="W13" s="656"/>
      <c r="X13" s="656"/>
      <c r="Y13" s="656"/>
      <c r="Z13" s="656"/>
    </row>
    <row r="14" ht="11.25" customHeight="1">
      <c r="A14" s="660" t="s">
        <v>5592</v>
      </c>
      <c r="B14" s="652" t="s">
        <v>5588</v>
      </c>
      <c r="C14" s="653" t="s">
        <v>5593</v>
      </c>
      <c r="D14" s="652" t="s">
        <v>5594</v>
      </c>
      <c r="E14" s="655" t="s">
        <v>1844</v>
      </c>
      <c r="F14" s="655" t="s">
        <v>1844</v>
      </c>
      <c r="G14" s="655" t="s">
        <v>1844</v>
      </c>
      <c r="H14" s="655" t="s">
        <v>1844</v>
      </c>
      <c r="I14" s="652" t="s">
        <v>5595</v>
      </c>
      <c r="J14" s="655" t="s">
        <v>5553</v>
      </c>
      <c r="K14" s="652" t="s">
        <v>5591</v>
      </c>
      <c r="L14" s="656"/>
      <c r="M14" s="656"/>
      <c r="N14" s="656"/>
      <c r="O14" s="656"/>
      <c r="P14" s="656"/>
      <c r="Q14" s="656"/>
      <c r="R14" s="656"/>
      <c r="S14" s="656"/>
      <c r="T14" s="656"/>
      <c r="U14" s="656"/>
      <c r="V14" s="656"/>
      <c r="W14" s="656"/>
      <c r="X14" s="656"/>
      <c r="Y14" s="656"/>
      <c r="Z14" s="656"/>
    </row>
    <row r="15" ht="11.25" customHeight="1">
      <c r="A15" s="657" t="s">
        <v>5596</v>
      </c>
      <c r="B15" s="652" t="s">
        <v>5597</v>
      </c>
      <c r="C15" s="658" t="s">
        <v>5566</v>
      </c>
      <c r="D15" s="655" t="s">
        <v>5598</v>
      </c>
      <c r="E15" s="655" t="s">
        <v>4657</v>
      </c>
      <c r="F15" s="655" t="s">
        <v>4657</v>
      </c>
      <c r="G15" s="655" t="s">
        <v>4657</v>
      </c>
      <c r="H15" s="655" t="s">
        <v>4657</v>
      </c>
      <c r="I15" s="652" t="s">
        <v>5599</v>
      </c>
      <c r="J15" s="655" t="s">
        <v>5600</v>
      </c>
      <c r="K15" s="655" t="s">
        <v>5601</v>
      </c>
      <c r="L15" s="643"/>
      <c r="M15" s="643"/>
      <c r="N15" s="643"/>
      <c r="O15" s="643"/>
      <c r="P15" s="643"/>
      <c r="Q15" s="643"/>
      <c r="R15" s="643"/>
      <c r="S15" s="643"/>
      <c r="T15" s="643"/>
      <c r="U15" s="643"/>
      <c r="V15" s="643"/>
      <c r="W15" s="643"/>
      <c r="X15" s="643"/>
      <c r="Y15" s="643"/>
      <c r="Z15" s="643"/>
    </row>
    <row r="16" ht="11.25" customHeight="1">
      <c r="A16" s="651" t="s">
        <v>5602</v>
      </c>
      <c r="B16" s="661" t="s">
        <v>5603</v>
      </c>
      <c r="C16" s="662" t="s">
        <v>1845</v>
      </c>
      <c r="D16" s="661" t="s">
        <v>5604</v>
      </c>
      <c r="E16" s="661" t="s">
        <v>1879</v>
      </c>
      <c r="F16" s="661" t="s">
        <v>1879</v>
      </c>
      <c r="G16" s="661" t="s">
        <v>1879</v>
      </c>
      <c r="H16" s="661" t="s">
        <v>1879</v>
      </c>
      <c r="I16" s="661" t="s">
        <v>5599</v>
      </c>
      <c r="J16" s="661" t="s">
        <v>5600</v>
      </c>
      <c r="K16" s="661"/>
      <c r="L16" s="663"/>
      <c r="M16" s="663"/>
      <c r="N16" s="663"/>
      <c r="O16" s="663"/>
      <c r="P16" s="663"/>
      <c r="Q16" s="663"/>
      <c r="R16" s="663"/>
      <c r="S16" s="663"/>
      <c r="T16" s="663"/>
      <c r="U16" s="663"/>
      <c r="V16" s="663"/>
      <c r="W16" s="663"/>
      <c r="X16" s="663"/>
      <c r="Y16" s="663"/>
      <c r="Z16" s="663"/>
    </row>
    <row r="17" ht="11.25" customHeight="1">
      <c r="A17" s="657" t="s">
        <v>5605</v>
      </c>
      <c r="B17" s="652" t="s">
        <v>5606</v>
      </c>
      <c r="C17" s="658" t="s">
        <v>5607</v>
      </c>
      <c r="D17" s="655" t="s">
        <v>5608</v>
      </c>
      <c r="E17" s="655" t="s">
        <v>5609</v>
      </c>
      <c r="F17" s="655" t="s">
        <v>5609</v>
      </c>
      <c r="G17" s="655" t="s">
        <v>5609</v>
      </c>
      <c r="H17" s="655" t="s">
        <v>5609</v>
      </c>
      <c r="I17" s="652" t="s">
        <v>5599</v>
      </c>
      <c r="J17" s="655" t="s">
        <v>5600</v>
      </c>
      <c r="K17" s="655"/>
      <c r="L17" s="643"/>
      <c r="M17" s="643"/>
      <c r="N17" s="643"/>
      <c r="O17" s="643"/>
      <c r="P17" s="643"/>
      <c r="Q17" s="643"/>
      <c r="R17" s="643"/>
      <c r="S17" s="643"/>
      <c r="T17" s="643"/>
      <c r="U17" s="643"/>
      <c r="V17" s="643"/>
      <c r="W17" s="643"/>
      <c r="X17" s="643"/>
      <c r="Y17" s="643"/>
      <c r="Z17" s="643"/>
    </row>
    <row r="18" ht="11.25" customHeight="1">
      <c r="A18" s="657" t="s">
        <v>5610</v>
      </c>
      <c r="B18" s="652" t="s">
        <v>5588</v>
      </c>
      <c r="C18" s="658" t="s">
        <v>5611</v>
      </c>
      <c r="D18" s="655" t="s">
        <v>5612</v>
      </c>
      <c r="E18" s="655"/>
      <c r="F18" s="655"/>
      <c r="G18" s="655"/>
      <c r="H18" s="655"/>
      <c r="I18" s="652" t="s">
        <v>5599</v>
      </c>
      <c r="J18" s="655" t="s">
        <v>5600</v>
      </c>
      <c r="K18" s="655" t="s">
        <v>5601</v>
      </c>
      <c r="L18" s="643"/>
      <c r="M18" s="643"/>
      <c r="N18" s="643"/>
      <c r="O18" s="643"/>
      <c r="P18" s="643"/>
      <c r="Q18" s="643"/>
      <c r="R18" s="643"/>
      <c r="S18" s="643"/>
      <c r="T18" s="643"/>
      <c r="U18" s="643"/>
      <c r="V18" s="643"/>
      <c r="W18" s="643"/>
      <c r="X18" s="643"/>
      <c r="Y18" s="643"/>
      <c r="Z18" s="643"/>
    </row>
    <row r="19" ht="11.25" customHeight="1">
      <c r="A19" s="657" t="s">
        <v>5613</v>
      </c>
      <c r="B19" s="652" t="s">
        <v>5614</v>
      </c>
      <c r="C19" s="658" t="s">
        <v>4657</v>
      </c>
      <c r="D19" s="655" t="s">
        <v>5615</v>
      </c>
      <c r="E19" s="655"/>
      <c r="F19" s="655"/>
      <c r="G19" s="655"/>
      <c r="H19" s="655"/>
      <c r="I19" s="652" t="s">
        <v>5599</v>
      </c>
      <c r="J19" s="655" t="s">
        <v>5616</v>
      </c>
      <c r="K19" s="655" t="s">
        <v>5617</v>
      </c>
      <c r="L19" s="643"/>
      <c r="M19" s="643"/>
      <c r="N19" s="643"/>
      <c r="O19" s="643"/>
      <c r="P19" s="643"/>
      <c r="Q19" s="643"/>
      <c r="R19" s="643"/>
      <c r="S19" s="643"/>
      <c r="T19" s="643"/>
      <c r="U19" s="643"/>
      <c r="V19" s="643"/>
      <c r="W19" s="643"/>
      <c r="X19" s="643"/>
      <c r="Y19" s="643"/>
      <c r="Z19" s="643"/>
    </row>
    <row r="20" ht="11.25" customHeight="1">
      <c r="A20" s="657" t="s">
        <v>5618</v>
      </c>
      <c r="B20" s="652" t="s">
        <v>5619</v>
      </c>
      <c r="C20" s="658" t="s">
        <v>5620</v>
      </c>
      <c r="D20" s="655" t="s">
        <v>5621</v>
      </c>
      <c r="E20" s="655"/>
      <c r="F20" s="655"/>
      <c r="G20" s="655"/>
      <c r="H20" s="655"/>
      <c r="I20" s="652" t="s">
        <v>5562</v>
      </c>
      <c r="J20" s="655" t="s">
        <v>5553</v>
      </c>
      <c r="K20" s="655" t="s">
        <v>5622</v>
      </c>
      <c r="L20" s="643"/>
      <c r="M20" s="643"/>
      <c r="N20" s="643"/>
      <c r="O20" s="643"/>
      <c r="P20" s="643"/>
      <c r="Q20" s="643"/>
      <c r="R20" s="643"/>
      <c r="S20" s="643"/>
      <c r="T20" s="643"/>
      <c r="U20" s="643"/>
      <c r="V20" s="643"/>
      <c r="W20" s="643"/>
      <c r="X20" s="643"/>
      <c r="Y20" s="643"/>
      <c r="Z20" s="643"/>
    </row>
    <row r="21" ht="11.25" customHeight="1">
      <c r="A21" s="660" t="s">
        <v>5623</v>
      </c>
      <c r="B21" s="652" t="s">
        <v>5584</v>
      </c>
      <c r="C21" s="653" t="s">
        <v>1879</v>
      </c>
      <c r="D21" s="652" t="s">
        <v>5624</v>
      </c>
      <c r="E21" s="652"/>
      <c r="F21" s="652"/>
      <c r="G21" s="652"/>
      <c r="H21" s="652"/>
      <c r="I21" s="652" t="s">
        <v>5562</v>
      </c>
      <c r="J21" s="655" t="s">
        <v>5553</v>
      </c>
      <c r="K21" s="652"/>
      <c r="L21" s="656"/>
      <c r="M21" s="656"/>
      <c r="N21" s="656"/>
      <c r="O21" s="656"/>
      <c r="P21" s="656"/>
      <c r="Q21" s="656"/>
      <c r="R21" s="656"/>
      <c r="S21" s="656"/>
      <c r="T21" s="656"/>
      <c r="U21" s="656"/>
      <c r="V21" s="656"/>
      <c r="W21" s="656"/>
      <c r="X21" s="656"/>
      <c r="Y21" s="656"/>
      <c r="Z21" s="656"/>
    </row>
    <row r="22" ht="11.25" customHeight="1">
      <c r="A22" s="660" t="s">
        <v>5625</v>
      </c>
      <c r="B22" s="652"/>
      <c r="C22" s="653" t="s">
        <v>1879</v>
      </c>
      <c r="D22" s="652" t="s">
        <v>5626</v>
      </c>
      <c r="E22" s="652"/>
      <c r="F22" s="652"/>
      <c r="G22" s="652"/>
      <c r="H22" s="652"/>
      <c r="I22" s="652" t="s">
        <v>5562</v>
      </c>
      <c r="J22" s="655" t="s">
        <v>5553</v>
      </c>
      <c r="K22" s="652"/>
      <c r="L22" s="656"/>
      <c r="M22" s="656"/>
      <c r="N22" s="656"/>
      <c r="O22" s="656"/>
      <c r="P22" s="656"/>
      <c r="Q22" s="656"/>
      <c r="R22" s="656"/>
      <c r="S22" s="656"/>
      <c r="T22" s="656"/>
      <c r="U22" s="656"/>
      <c r="V22" s="656"/>
      <c r="W22" s="656"/>
      <c r="X22" s="656"/>
      <c r="Y22" s="656"/>
      <c r="Z22" s="656"/>
    </row>
    <row r="23" ht="11.25" customHeight="1">
      <c r="A23" s="657" t="s">
        <v>5627</v>
      </c>
      <c r="B23" s="652" t="s">
        <v>5628</v>
      </c>
      <c r="C23" s="658" t="s">
        <v>5629</v>
      </c>
      <c r="D23" s="655" t="s">
        <v>5630</v>
      </c>
      <c r="E23" s="658" t="s">
        <v>5629</v>
      </c>
      <c r="F23" s="658" t="s">
        <v>5629</v>
      </c>
      <c r="G23" s="658" t="s">
        <v>5629</v>
      </c>
      <c r="H23" s="658"/>
      <c r="I23" s="652" t="s">
        <v>5562</v>
      </c>
      <c r="J23" s="655" t="s">
        <v>5553</v>
      </c>
      <c r="K23" s="655" t="s">
        <v>5631</v>
      </c>
      <c r="L23" s="643"/>
      <c r="M23" s="643"/>
      <c r="N23" s="643"/>
      <c r="O23" s="643"/>
      <c r="P23" s="643"/>
      <c r="Q23" s="643"/>
      <c r="R23" s="643"/>
      <c r="S23" s="643"/>
      <c r="T23" s="643"/>
      <c r="U23" s="643"/>
      <c r="V23" s="643"/>
      <c r="W23" s="643"/>
      <c r="X23" s="643"/>
      <c r="Y23" s="643"/>
      <c r="Z23" s="643"/>
    </row>
    <row r="24" ht="11.25" customHeight="1">
      <c r="A24" s="657" t="s">
        <v>5632</v>
      </c>
      <c r="B24" s="652" t="s">
        <v>5628</v>
      </c>
      <c r="C24" s="658" t="s">
        <v>5633</v>
      </c>
      <c r="D24" s="655" t="s">
        <v>5630</v>
      </c>
      <c r="E24" s="658" t="s">
        <v>5633</v>
      </c>
      <c r="F24" s="658" t="s">
        <v>5633</v>
      </c>
      <c r="G24" s="658" t="s">
        <v>5633</v>
      </c>
      <c r="H24" s="658"/>
      <c r="I24" s="652" t="s">
        <v>5562</v>
      </c>
      <c r="J24" s="655" t="s">
        <v>5553</v>
      </c>
      <c r="K24" s="655" t="s">
        <v>5634</v>
      </c>
      <c r="L24" s="643"/>
      <c r="M24" s="643"/>
      <c r="N24" s="643"/>
      <c r="O24" s="643"/>
      <c r="P24" s="643"/>
      <c r="Q24" s="643"/>
      <c r="R24" s="643"/>
      <c r="S24" s="643"/>
      <c r="T24" s="643"/>
      <c r="U24" s="643"/>
      <c r="V24" s="643"/>
      <c r="W24" s="643"/>
      <c r="X24" s="643"/>
      <c r="Y24" s="643"/>
      <c r="Z24" s="643"/>
    </row>
    <row r="25" ht="11.25" customHeight="1">
      <c r="A25" s="657" t="s">
        <v>5635</v>
      </c>
      <c r="B25" s="652" t="s">
        <v>5628</v>
      </c>
      <c r="C25" s="658" t="s">
        <v>5636</v>
      </c>
      <c r="D25" s="655" t="s">
        <v>5637</v>
      </c>
      <c r="E25" s="658" t="s">
        <v>5636</v>
      </c>
      <c r="F25" s="658" t="s">
        <v>5636</v>
      </c>
      <c r="G25" s="658" t="s">
        <v>5636</v>
      </c>
      <c r="H25" s="658"/>
      <c r="I25" s="652" t="s">
        <v>5562</v>
      </c>
      <c r="J25" s="655" t="s">
        <v>5553</v>
      </c>
      <c r="K25" s="655" t="s">
        <v>5634</v>
      </c>
      <c r="L25" s="643"/>
      <c r="M25" s="643"/>
      <c r="N25" s="643"/>
      <c r="O25" s="643"/>
      <c r="P25" s="643"/>
      <c r="Q25" s="643"/>
      <c r="R25" s="643"/>
      <c r="S25" s="643"/>
      <c r="T25" s="643"/>
      <c r="U25" s="643"/>
      <c r="V25" s="643"/>
      <c r="W25" s="643"/>
      <c r="X25" s="643"/>
      <c r="Y25" s="643"/>
      <c r="Z25" s="643"/>
    </row>
    <row r="26" ht="11.25" customHeight="1">
      <c r="A26" s="660" t="s">
        <v>5638</v>
      </c>
      <c r="B26" s="652" t="s">
        <v>5603</v>
      </c>
      <c r="C26" s="653" t="s">
        <v>1879</v>
      </c>
      <c r="D26" s="652" t="s">
        <v>5639</v>
      </c>
      <c r="E26" s="653" t="s">
        <v>1879</v>
      </c>
      <c r="F26" s="653" t="s">
        <v>1879</v>
      </c>
      <c r="G26" s="653" t="s">
        <v>1879</v>
      </c>
      <c r="H26" s="653"/>
      <c r="I26" s="652" t="s">
        <v>5562</v>
      </c>
      <c r="J26" s="655" t="s">
        <v>5553</v>
      </c>
      <c r="K26" s="652" t="s">
        <v>5640</v>
      </c>
      <c r="L26" s="656"/>
      <c r="M26" s="656"/>
      <c r="N26" s="656"/>
      <c r="O26" s="656"/>
      <c r="P26" s="656"/>
      <c r="Q26" s="656"/>
      <c r="R26" s="656"/>
      <c r="S26" s="656"/>
      <c r="T26" s="656"/>
      <c r="U26" s="656"/>
      <c r="V26" s="656"/>
      <c r="W26" s="656"/>
      <c r="X26" s="656"/>
      <c r="Y26" s="656"/>
      <c r="Z26" s="656"/>
    </row>
    <row r="27" ht="11.25" customHeight="1">
      <c r="A27" s="660" t="s">
        <v>5641</v>
      </c>
      <c r="B27" s="652" t="s">
        <v>5628</v>
      </c>
      <c r="C27" s="653" t="s">
        <v>5642</v>
      </c>
      <c r="D27" s="652" t="s">
        <v>5643</v>
      </c>
      <c r="E27" s="653" t="s">
        <v>5642</v>
      </c>
      <c r="F27" s="653" t="s">
        <v>5642</v>
      </c>
      <c r="G27" s="653" t="s">
        <v>5642</v>
      </c>
      <c r="H27" s="653"/>
      <c r="I27" s="652" t="s">
        <v>5562</v>
      </c>
      <c r="J27" s="655" t="s">
        <v>5553</v>
      </c>
      <c r="K27" s="652"/>
      <c r="L27" s="656"/>
      <c r="M27" s="656"/>
      <c r="N27" s="656"/>
      <c r="O27" s="656"/>
      <c r="P27" s="656"/>
      <c r="Q27" s="656"/>
      <c r="R27" s="656"/>
      <c r="S27" s="656"/>
      <c r="T27" s="656"/>
      <c r="U27" s="656"/>
      <c r="V27" s="656"/>
      <c r="W27" s="656"/>
      <c r="X27" s="656"/>
      <c r="Y27" s="656"/>
      <c r="Z27" s="656"/>
    </row>
    <row r="28" ht="11.25" customHeight="1">
      <c r="A28" s="657" t="s">
        <v>5644</v>
      </c>
      <c r="B28" s="652" t="s">
        <v>5645</v>
      </c>
      <c r="C28" s="658" t="s">
        <v>5646</v>
      </c>
      <c r="D28" s="655" t="s">
        <v>5647</v>
      </c>
      <c r="E28" s="655"/>
      <c r="F28" s="655"/>
      <c r="G28" s="655"/>
      <c r="H28" s="655"/>
      <c r="I28" s="652" t="s">
        <v>5562</v>
      </c>
      <c r="J28" s="655" t="s">
        <v>5600</v>
      </c>
      <c r="K28" s="655"/>
      <c r="L28" s="643"/>
      <c r="M28" s="643"/>
      <c r="N28" s="643"/>
      <c r="O28" s="643"/>
      <c r="P28" s="643"/>
      <c r="Q28" s="643"/>
      <c r="R28" s="643"/>
      <c r="S28" s="643"/>
      <c r="T28" s="643"/>
      <c r="U28" s="643"/>
      <c r="V28" s="643"/>
      <c r="W28" s="643"/>
      <c r="X28" s="643"/>
      <c r="Y28" s="643"/>
      <c r="Z28" s="643"/>
    </row>
    <row r="29" ht="11.25" customHeight="1">
      <c r="A29" s="657" t="s">
        <v>5648</v>
      </c>
      <c r="B29" s="652" t="s">
        <v>5645</v>
      </c>
      <c r="C29" s="658" t="s">
        <v>5646</v>
      </c>
      <c r="D29" s="655" t="s">
        <v>5649</v>
      </c>
      <c r="E29" s="655"/>
      <c r="F29" s="655"/>
      <c r="G29" s="655"/>
      <c r="H29" s="655"/>
      <c r="I29" s="652" t="s">
        <v>5562</v>
      </c>
      <c r="J29" s="655" t="s">
        <v>5600</v>
      </c>
      <c r="K29" s="655"/>
      <c r="L29" s="643"/>
      <c r="M29" s="643"/>
      <c r="N29" s="643"/>
      <c r="O29" s="643"/>
      <c r="P29" s="643"/>
      <c r="Q29" s="643"/>
      <c r="R29" s="643"/>
      <c r="S29" s="643"/>
      <c r="T29" s="643"/>
      <c r="U29" s="643"/>
      <c r="V29" s="643"/>
      <c r="W29" s="643"/>
      <c r="X29" s="643"/>
      <c r="Y29" s="643"/>
      <c r="Z29" s="643"/>
    </row>
    <row r="30" ht="11.25" customHeight="1">
      <c r="A30" s="660" t="s">
        <v>5650</v>
      </c>
      <c r="B30" s="652" t="s">
        <v>5651</v>
      </c>
      <c r="C30" s="652" t="s">
        <v>5652</v>
      </c>
      <c r="D30" s="652" t="s">
        <v>5653</v>
      </c>
      <c r="E30" s="652"/>
      <c r="F30" s="652"/>
      <c r="G30" s="652"/>
      <c r="H30" s="652"/>
      <c r="I30" s="652" t="s">
        <v>5562</v>
      </c>
      <c r="J30" s="655" t="s">
        <v>5654</v>
      </c>
      <c r="K30" s="652" t="s">
        <v>5655</v>
      </c>
      <c r="L30" s="656"/>
      <c r="M30" s="656"/>
      <c r="N30" s="656"/>
      <c r="O30" s="656"/>
      <c r="P30" s="656"/>
      <c r="Q30" s="656"/>
      <c r="R30" s="656"/>
      <c r="S30" s="656"/>
      <c r="T30" s="656"/>
      <c r="U30" s="656"/>
      <c r="V30" s="656"/>
      <c r="W30" s="656"/>
      <c r="X30" s="656"/>
      <c r="Y30" s="656"/>
      <c r="Z30" s="656"/>
    </row>
    <row r="31" ht="11.25" customHeight="1">
      <c r="A31" s="657" t="s">
        <v>5656</v>
      </c>
      <c r="B31" s="652" t="s">
        <v>5657</v>
      </c>
      <c r="C31" s="655" t="s">
        <v>5658</v>
      </c>
      <c r="D31" s="655" t="s">
        <v>5659</v>
      </c>
      <c r="E31" s="655"/>
      <c r="F31" s="655"/>
      <c r="G31" s="655"/>
      <c r="H31" s="655"/>
      <c r="I31" s="652" t="s">
        <v>5562</v>
      </c>
      <c r="J31" s="655" t="s">
        <v>5654</v>
      </c>
      <c r="K31" s="655" t="s">
        <v>5660</v>
      </c>
      <c r="L31" s="643"/>
      <c r="M31" s="643"/>
      <c r="N31" s="643"/>
      <c r="O31" s="643"/>
      <c r="P31" s="643"/>
      <c r="Q31" s="643"/>
      <c r="R31" s="643"/>
      <c r="S31" s="643"/>
      <c r="T31" s="643"/>
      <c r="U31" s="643"/>
      <c r="V31" s="643"/>
      <c r="W31" s="643"/>
      <c r="X31" s="643"/>
      <c r="Y31" s="643"/>
      <c r="Z31" s="643"/>
    </row>
    <row r="32" ht="11.25" customHeight="1">
      <c r="A32" s="657" t="s">
        <v>5661</v>
      </c>
      <c r="B32" s="652" t="s">
        <v>5662</v>
      </c>
      <c r="C32" s="655" t="s">
        <v>5662</v>
      </c>
      <c r="D32" s="655" t="s">
        <v>5663</v>
      </c>
      <c r="E32" s="655"/>
      <c r="F32" s="655"/>
      <c r="G32" s="655"/>
      <c r="H32" s="655"/>
      <c r="I32" s="652" t="s">
        <v>5562</v>
      </c>
      <c r="J32" s="655" t="s">
        <v>5654</v>
      </c>
      <c r="K32" s="655"/>
      <c r="L32" s="643"/>
      <c r="M32" s="643"/>
      <c r="N32" s="643"/>
      <c r="O32" s="643"/>
      <c r="P32" s="643"/>
      <c r="Q32" s="643"/>
      <c r="R32" s="643"/>
      <c r="S32" s="643"/>
      <c r="T32" s="643"/>
      <c r="U32" s="643"/>
      <c r="V32" s="643"/>
      <c r="W32" s="643"/>
      <c r="X32" s="643"/>
      <c r="Y32" s="643"/>
      <c r="Z32" s="643"/>
    </row>
    <row r="33" ht="11.25" customHeight="1">
      <c r="A33" s="657" t="s">
        <v>5664</v>
      </c>
      <c r="B33" s="652" t="s">
        <v>5588</v>
      </c>
      <c r="C33" s="658" t="s">
        <v>5665</v>
      </c>
      <c r="D33" s="655" t="s">
        <v>5666</v>
      </c>
      <c r="E33" s="655"/>
      <c r="F33" s="655"/>
      <c r="G33" s="655"/>
      <c r="H33" s="655"/>
      <c r="I33" s="652" t="s">
        <v>5562</v>
      </c>
      <c r="J33" s="655" t="s">
        <v>5654</v>
      </c>
      <c r="K33" s="655" t="s">
        <v>5667</v>
      </c>
      <c r="L33" s="643"/>
      <c r="M33" s="643"/>
      <c r="N33" s="643"/>
      <c r="O33" s="643"/>
      <c r="P33" s="643"/>
      <c r="Q33" s="643"/>
      <c r="R33" s="643"/>
      <c r="S33" s="643"/>
      <c r="T33" s="643"/>
      <c r="U33" s="643"/>
      <c r="V33" s="643"/>
      <c r="W33" s="643"/>
      <c r="X33" s="643"/>
      <c r="Y33" s="643"/>
      <c r="Z33" s="643"/>
    </row>
    <row r="34" ht="11.25" customHeight="1">
      <c r="A34" s="657" t="s">
        <v>5668</v>
      </c>
      <c r="B34" s="655" t="s">
        <v>5669</v>
      </c>
      <c r="C34" s="658" t="s">
        <v>5670</v>
      </c>
      <c r="D34" s="655" t="s">
        <v>5671</v>
      </c>
      <c r="E34" s="655"/>
      <c r="F34" s="655"/>
      <c r="G34" s="655"/>
      <c r="H34" s="655"/>
      <c r="I34" s="655" t="s">
        <v>5562</v>
      </c>
      <c r="J34" s="655" t="s">
        <v>5553</v>
      </c>
      <c r="K34" s="655" t="s">
        <v>5672</v>
      </c>
      <c r="L34" s="643"/>
      <c r="M34" s="643"/>
      <c r="N34" s="643"/>
      <c r="O34" s="643"/>
      <c r="P34" s="643"/>
      <c r="Q34" s="643"/>
      <c r="R34" s="643"/>
      <c r="S34" s="643"/>
      <c r="T34" s="643"/>
      <c r="U34" s="643"/>
      <c r="V34" s="643"/>
      <c r="W34" s="643"/>
      <c r="X34" s="643"/>
      <c r="Y34" s="643"/>
      <c r="Z34" s="643"/>
    </row>
    <row r="35" ht="11.25" customHeight="1">
      <c r="A35" s="657" t="s">
        <v>5673</v>
      </c>
      <c r="B35" s="655" t="s">
        <v>5674</v>
      </c>
      <c r="C35" s="658" t="s">
        <v>5675</v>
      </c>
      <c r="D35" s="655" t="s">
        <v>5676</v>
      </c>
      <c r="E35" s="655"/>
      <c r="F35" s="655"/>
      <c r="G35" s="655"/>
      <c r="H35" s="655"/>
      <c r="I35" s="655" t="s">
        <v>5562</v>
      </c>
      <c r="J35" s="655" t="s">
        <v>5553</v>
      </c>
      <c r="K35" s="655" t="s">
        <v>5677</v>
      </c>
      <c r="L35" s="643"/>
      <c r="M35" s="643"/>
      <c r="N35" s="643"/>
      <c r="O35" s="643"/>
      <c r="P35" s="643"/>
      <c r="Q35" s="643"/>
      <c r="R35" s="643"/>
      <c r="S35" s="643"/>
      <c r="T35" s="643"/>
      <c r="U35" s="643"/>
      <c r="V35" s="643"/>
      <c r="W35" s="643"/>
      <c r="X35" s="643"/>
      <c r="Y35" s="643"/>
      <c r="Z35" s="643"/>
    </row>
    <row r="36" ht="11.25" customHeight="1">
      <c r="A36" s="657" t="s">
        <v>5678</v>
      </c>
      <c r="B36" s="655" t="s">
        <v>5674</v>
      </c>
      <c r="C36" s="658" t="s">
        <v>5675</v>
      </c>
      <c r="D36" s="655" t="s">
        <v>5679</v>
      </c>
      <c r="E36" s="655"/>
      <c r="F36" s="655"/>
      <c r="G36" s="655"/>
      <c r="H36" s="655"/>
      <c r="I36" s="655" t="s">
        <v>5562</v>
      </c>
      <c r="J36" s="655" t="s">
        <v>5553</v>
      </c>
      <c r="K36" s="655" t="s">
        <v>5677</v>
      </c>
      <c r="L36" s="643"/>
      <c r="M36" s="643"/>
      <c r="N36" s="643"/>
      <c r="O36" s="643"/>
      <c r="P36" s="643"/>
      <c r="Q36" s="643"/>
      <c r="R36" s="643"/>
      <c r="S36" s="643"/>
      <c r="T36" s="643"/>
      <c r="U36" s="643"/>
      <c r="V36" s="643"/>
      <c r="W36" s="643"/>
      <c r="X36" s="643"/>
      <c r="Y36" s="643"/>
      <c r="Z36" s="643"/>
    </row>
    <row r="37" ht="11.25" customHeight="1">
      <c r="A37" s="657" t="s">
        <v>5680</v>
      </c>
      <c r="B37" s="655" t="s">
        <v>5681</v>
      </c>
      <c r="C37" s="658" t="s">
        <v>5682</v>
      </c>
      <c r="D37" s="655" t="s">
        <v>5683</v>
      </c>
      <c r="E37" s="655" t="s">
        <v>5684</v>
      </c>
      <c r="F37" s="655" t="s">
        <v>5684</v>
      </c>
      <c r="G37" s="655" t="s">
        <v>5684</v>
      </c>
      <c r="H37" s="655"/>
      <c r="I37" s="655" t="s">
        <v>5562</v>
      </c>
      <c r="J37" s="655" t="s">
        <v>5553</v>
      </c>
      <c r="K37" s="655" t="s">
        <v>5685</v>
      </c>
      <c r="L37" s="643"/>
      <c r="M37" s="643"/>
      <c r="N37" s="643"/>
      <c r="O37" s="643"/>
      <c r="P37" s="643"/>
      <c r="Q37" s="643"/>
      <c r="R37" s="643"/>
      <c r="S37" s="643"/>
      <c r="T37" s="643"/>
      <c r="U37" s="643"/>
      <c r="V37" s="643"/>
      <c r="W37" s="643"/>
      <c r="X37" s="643"/>
      <c r="Y37" s="643"/>
      <c r="Z37" s="643"/>
    </row>
    <row r="38" ht="11.25" customHeight="1">
      <c r="A38" s="657" t="s">
        <v>5686</v>
      </c>
      <c r="B38" s="655" t="s">
        <v>5681</v>
      </c>
      <c r="C38" s="658" t="s">
        <v>5687</v>
      </c>
      <c r="D38" s="655" t="s">
        <v>5688</v>
      </c>
      <c r="E38" s="655" t="s">
        <v>5689</v>
      </c>
      <c r="F38" s="655" t="s">
        <v>5689</v>
      </c>
      <c r="G38" s="655" t="s">
        <v>5689</v>
      </c>
      <c r="H38" s="655"/>
      <c r="I38" s="655" t="s">
        <v>5562</v>
      </c>
      <c r="J38" s="655" t="s">
        <v>5553</v>
      </c>
      <c r="K38" s="655" t="s">
        <v>5685</v>
      </c>
      <c r="L38" s="643"/>
      <c r="M38" s="643"/>
      <c r="N38" s="643"/>
      <c r="O38" s="643"/>
      <c r="P38" s="643"/>
      <c r="Q38" s="643"/>
      <c r="R38" s="643"/>
      <c r="S38" s="643"/>
      <c r="T38" s="643"/>
      <c r="U38" s="643"/>
      <c r="V38" s="643"/>
      <c r="W38" s="643"/>
      <c r="X38" s="643"/>
      <c r="Y38" s="643"/>
      <c r="Z38" s="643"/>
    </row>
    <row r="39" ht="11.25" customHeight="1">
      <c r="A39" s="657" t="s">
        <v>5690</v>
      </c>
      <c r="B39" s="655" t="s">
        <v>5681</v>
      </c>
      <c r="C39" s="658" t="s">
        <v>5691</v>
      </c>
      <c r="D39" s="655" t="s">
        <v>5692</v>
      </c>
      <c r="E39" s="655" t="s">
        <v>5693</v>
      </c>
      <c r="F39" s="655" t="s">
        <v>5693</v>
      </c>
      <c r="G39" s="655" t="s">
        <v>5693</v>
      </c>
      <c r="H39" s="655"/>
      <c r="I39" s="655" t="s">
        <v>5562</v>
      </c>
      <c r="J39" s="655" t="s">
        <v>5553</v>
      </c>
      <c r="K39" s="655" t="s">
        <v>5685</v>
      </c>
      <c r="L39" s="643"/>
      <c r="M39" s="643"/>
      <c r="N39" s="643"/>
      <c r="O39" s="643"/>
      <c r="P39" s="643"/>
      <c r="Q39" s="643"/>
      <c r="R39" s="643"/>
      <c r="S39" s="643"/>
      <c r="T39" s="643"/>
      <c r="U39" s="643"/>
      <c r="V39" s="643"/>
      <c r="W39" s="643"/>
      <c r="X39" s="643"/>
      <c r="Y39" s="643"/>
      <c r="Z39" s="643"/>
    </row>
    <row r="40" ht="11.25" customHeight="1">
      <c r="A40" s="646"/>
      <c r="B40" s="643"/>
      <c r="C40" s="644"/>
      <c r="D40" s="643"/>
      <c r="E40" s="643"/>
      <c r="F40" s="643"/>
      <c r="G40" s="643"/>
      <c r="H40" s="643"/>
      <c r="I40" s="643"/>
      <c r="J40" s="643"/>
      <c r="K40" s="643"/>
      <c r="L40" s="643"/>
      <c r="M40" s="643"/>
      <c r="N40" s="643"/>
      <c r="O40" s="643"/>
      <c r="P40" s="643"/>
      <c r="Q40" s="643"/>
      <c r="R40" s="643"/>
      <c r="S40" s="643"/>
      <c r="T40" s="643"/>
      <c r="U40" s="643"/>
      <c r="V40" s="643"/>
      <c r="W40" s="643"/>
      <c r="X40" s="643"/>
      <c r="Y40" s="643"/>
      <c r="Z40" s="643"/>
    </row>
    <row r="41" ht="11.25" customHeight="1">
      <c r="A41" s="646"/>
      <c r="B41" s="643"/>
      <c r="C41" s="644"/>
      <c r="D41" s="643"/>
      <c r="E41" s="643"/>
      <c r="F41" s="643"/>
      <c r="G41" s="643"/>
      <c r="H41" s="643"/>
      <c r="I41" s="643"/>
      <c r="J41" s="643"/>
      <c r="K41" s="643"/>
      <c r="L41" s="643"/>
      <c r="M41" s="643"/>
      <c r="N41" s="643"/>
      <c r="O41" s="643"/>
      <c r="P41" s="643"/>
      <c r="Q41" s="643"/>
      <c r="R41" s="643"/>
      <c r="S41" s="643"/>
      <c r="T41" s="643"/>
      <c r="U41" s="643"/>
      <c r="V41" s="643"/>
      <c r="W41" s="643"/>
      <c r="X41" s="643"/>
      <c r="Y41" s="643"/>
      <c r="Z41" s="643"/>
    </row>
    <row r="42" ht="11.25" customHeight="1">
      <c r="A42" s="646"/>
      <c r="B42" s="643"/>
      <c r="C42" s="644"/>
      <c r="D42" s="643"/>
      <c r="E42" s="643"/>
      <c r="F42" s="643"/>
      <c r="G42" s="643"/>
      <c r="H42" s="643"/>
      <c r="I42" s="643"/>
      <c r="J42" s="643"/>
      <c r="K42" s="643"/>
      <c r="L42" s="643"/>
      <c r="M42" s="643"/>
      <c r="N42" s="643"/>
      <c r="O42" s="643"/>
      <c r="P42" s="643"/>
      <c r="Q42" s="643"/>
      <c r="R42" s="643"/>
      <c r="S42" s="643"/>
      <c r="T42" s="643"/>
      <c r="U42" s="643"/>
      <c r="V42" s="643"/>
      <c r="W42" s="643"/>
      <c r="X42" s="643"/>
      <c r="Y42" s="643"/>
      <c r="Z42" s="643"/>
    </row>
    <row r="43" ht="11.25" customHeight="1">
      <c r="A43" s="646"/>
      <c r="B43" s="643"/>
      <c r="C43" s="644"/>
      <c r="D43" s="643"/>
      <c r="E43" s="643"/>
      <c r="F43" s="643"/>
      <c r="G43" s="643"/>
      <c r="H43" s="643"/>
      <c r="I43" s="643"/>
      <c r="J43" s="643"/>
      <c r="K43" s="643"/>
      <c r="L43" s="643"/>
      <c r="M43" s="643"/>
      <c r="N43" s="643"/>
      <c r="O43" s="643"/>
      <c r="P43" s="643"/>
      <c r="Q43" s="643"/>
      <c r="R43" s="643"/>
      <c r="S43" s="643"/>
      <c r="T43" s="643"/>
      <c r="U43" s="643"/>
      <c r="V43" s="643"/>
      <c r="W43" s="643"/>
      <c r="X43" s="643"/>
      <c r="Y43" s="643"/>
      <c r="Z43" s="643"/>
    </row>
    <row r="44" ht="11.25" customHeight="1">
      <c r="A44" s="646"/>
      <c r="B44" s="643"/>
      <c r="C44" s="644"/>
      <c r="D44" s="643"/>
      <c r="E44" s="643"/>
      <c r="F44" s="643"/>
      <c r="G44" s="643"/>
      <c r="H44" s="643"/>
      <c r="I44" s="643"/>
      <c r="J44" s="643"/>
      <c r="K44" s="643"/>
      <c r="L44" s="643"/>
      <c r="M44" s="643"/>
      <c r="N44" s="643"/>
      <c r="O44" s="643"/>
      <c r="P44" s="643"/>
      <c r="Q44" s="643"/>
      <c r="R44" s="643"/>
      <c r="S44" s="643"/>
      <c r="T44" s="643"/>
      <c r="U44" s="643"/>
      <c r="V44" s="643"/>
      <c r="W44" s="643"/>
      <c r="X44" s="643"/>
      <c r="Y44" s="643"/>
      <c r="Z44" s="643"/>
    </row>
    <row r="45" ht="11.25" customHeight="1">
      <c r="A45" s="646"/>
      <c r="B45" s="643"/>
      <c r="C45" s="644"/>
      <c r="D45" s="643"/>
      <c r="E45" s="643"/>
      <c r="F45" s="643"/>
      <c r="G45" s="643"/>
      <c r="H45" s="643"/>
      <c r="I45" s="643"/>
      <c r="J45" s="643"/>
      <c r="K45" s="643"/>
      <c r="L45" s="643"/>
      <c r="M45" s="643"/>
      <c r="N45" s="643"/>
      <c r="O45" s="643"/>
      <c r="P45" s="643"/>
      <c r="Q45" s="643"/>
      <c r="R45" s="643"/>
      <c r="S45" s="643"/>
      <c r="T45" s="643"/>
      <c r="U45" s="643"/>
      <c r="V45" s="643"/>
      <c r="W45" s="643"/>
      <c r="X45" s="643"/>
      <c r="Y45" s="643"/>
      <c r="Z45" s="643"/>
    </row>
    <row r="46" ht="11.25" customHeight="1">
      <c r="A46" s="646"/>
      <c r="B46" s="643"/>
      <c r="C46" s="644"/>
      <c r="D46" s="643"/>
      <c r="E46" s="643"/>
      <c r="F46" s="643"/>
      <c r="G46" s="643"/>
      <c r="H46" s="643"/>
      <c r="I46" s="643"/>
      <c r="J46" s="643"/>
      <c r="K46" s="643"/>
      <c r="L46" s="643"/>
      <c r="M46" s="643"/>
      <c r="N46" s="643"/>
      <c r="O46" s="643"/>
      <c r="P46" s="643"/>
      <c r="Q46" s="643"/>
      <c r="R46" s="643"/>
      <c r="S46" s="643"/>
      <c r="T46" s="643"/>
      <c r="U46" s="643"/>
      <c r="V46" s="643"/>
      <c r="W46" s="643"/>
      <c r="X46" s="643"/>
      <c r="Y46" s="643"/>
      <c r="Z46" s="643"/>
    </row>
    <row r="47" ht="11.25" customHeight="1">
      <c r="A47" s="646"/>
      <c r="B47" s="643"/>
      <c r="C47" s="644"/>
      <c r="D47" s="643"/>
      <c r="E47" s="643"/>
      <c r="F47" s="643"/>
      <c r="G47" s="643"/>
      <c r="H47" s="643"/>
      <c r="I47" s="643"/>
      <c r="J47" s="643"/>
      <c r="K47" s="643"/>
      <c r="L47" s="643"/>
      <c r="M47" s="643"/>
      <c r="N47" s="643"/>
      <c r="O47" s="643"/>
      <c r="P47" s="643"/>
      <c r="Q47" s="643"/>
      <c r="R47" s="643"/>
      <c r="S47" s="643"/>
      <c r="T47" s="643"/>
      <c r="U47" s="643"/>
      <c r="V47" s="643"/>
      <c r="W47" s="643"/>
      <c r="X47" s="643"/>
      <c r="Y47" s="643"/>
      <c r="Z47" s="643"/>
    </row>
    <row r="48" ht="11.25" customHeight="1">
      <c r="A48" s="646"/>
      <c r="B48" s="643"/>
      <c r="C48" s="644"/>
      <c r="D48" s="643"/>
      <c r="E48" s="643"/>
      <c r="F48" s="643"/>
      <c r="G48" s="643"/>
      <c r="H48" s="643"/>
      <c r="I48" s="643"/>
      <c r="J48" s="643"/>
      <c r="K48" s="643"/>
      <c r="L48" s="643"/>
      <c r="M48" s="643"/>
      <c r="N48" s="643"/>
      <c r="O48" s="643"/>
      <c r="P48" s="643"/>
      <c r="Q48" s="643"/>
      <c r="R48" s="643"/>
      <c r="S48" s="643"/>
      <c r="T48" s="643"/>
      <c r="U48" s="643"/>
      <c r="V48" s="643"/>
      <c r="W48" s="643"/>
      <c r="X48" s="643"/>
      <c r="Y48" s="643"/>
      <c r="Z48" s="643"/>
    </row>
    <row r="49" ht="11.25" customHeight="1">
      <c r="A49" s="646"/>
      <c r="B49" s="643"/>
      <c r="C49" s="644"/>
      <c r="D49" s="643"/>
      <c r="E49" s="643"/>
      <c r="F49" s="643"/>
      <c r="G49" s="643"/>
      <c r="H49" s="643"/>
      <c r="I49" s="643"/>
      <c r="J49" s="643"/>
      <c r="K49" s="643"/>
      <c r="L49" s="643"/>
      <c r="M49" s="643"/>
      <c r="N49" s="643"/>
      <c r="O49" s="643"/>
      <c r="P49" s="643"/>
      <c r="Q49" s="643"/>
      <c r="R49" s="643"/>
      <c r="S49" s="643"/>
      <c r="T49" s="643"/>
      <c r="U49" s="643"/>
      <c r="V49" s="643"/>
      <c r="W49" s="643"/>
      <c r="X49" s="643"/>
      <c r="Y49" s="643"/>
      <c r="Z49" s="643"/>
    </row>
    <row r="50" ht="11.25" customHeight="1">
      <c r="A50" s="646"/>
      <c r="B50" s="643"/>
      <c r="C50" s="644"/>
      <c r="D50" s="643"/>
      <c r="E50" s="643"/>
      <c r="F50" s="643"/>
      <c r="G50" s="643"/>
      <c r="H50" s="643"/>
      <c r="I50" s="643"/>
      <c r="J50" s="643"/>
      <c r="K50" s="643"/>
      <c r="L50" s="643"/>
      <c r="M50" s="643"/>
      <c r="N50" s="643"/>
      <c r="O50" s="643"/>
      <c r="P50" s="643"/>
      <c r="Q50" s="643"/>
      <c r="R50" s="643"/>
      <c r="S50" s="643"/>
      <c r="T50" s="643"/>
      <c r="U50" s="643"/>
      <c r="V50" s="643"/>
      <c r="W50" s="643"/>
      <c r="X50" s="643"/>
      <c r="Y50" s="643"/>
      <c r="Z50" s="643"/>
    </row>
    <row r="51" ht="11.25" customHeight="1">
      <c r="A51" s="646"/>
      <c r="B51" s="643"/>
      <c r="C51" s="644"/>
      <c r="D51" s="643"/>
      <c r="E51" s="643"/>
      <c r="F51" s="643"/>
      <c r="G51" s="643"/>
      <c r="H51" s="643"/>
      <c r="I51" s="643"/>
      <c r="J51" s="643"/>
      <c r="K51" s="643"/>
      <c r="L51" s="643"/>
      <c r="M51" s="643"/>
      <c r="N51" s="643"/>
      <c r="O51" s="643"/>
      <c r="P51" s="643"/>
      <c r="Q51" s="643"/>
      <c r="R51" s="643"/>
      <c r="S51" s="643"/>
      <c r="T51" s="643"/>
      <c r="U51" s="643"/>
      <c r="V51" s="643"/>
      <c r="W51" s="643"/>
      <c r="X51" s="643"/>
      <c r="Y51" s="643"/>
      <c r="Z51" s="643"/>
    </row>
    <row r="52" ht="11.25" customHeight="1">
      <c r="A52" s="646"/>
      <c r="B52" s="643"/>
      <c r="C52" s="644"/>
      <c r="D52" s="643"/>
      <c r="E52" s="643"/>
      <c r="F52" s="643"/>
      <c r="G52" s="643"/>
      <c r="H52" s="643"/>
      <c r="I52" s="643"/>
      <c r="J52" s="643"/>
      <c r="K52" s="643"/>
      <c r="L52" s="643"/>
      <c r="M52" s="643"/>
      <c r="N52" s="643"/>
      <c r="O52" s="643"/>
      <c r="P52" s="643"/>
      <c r="Q52" s="643"/>
      <c r="R52" s="643"/>
      <c r="S52" s="643"/>
      <c r="T52" s="643"/>
      <c r="U52" s="643"/>
      <c r="V52" s="643"/>
      <c r="W52" s="643"/>
      <c r="X52" s="643"/>
      <c r="Y52" s="643"/>
      <c r="Z52" s="643"/>
    </row>
    <row r="53" ht="11.25" customHeight="1">
      <c r="A53" s="646"/>
      <c r="B53" s="643"/>
      <c r="C53" s="644"/>
      <c r="D53" s="643"/>
      <c r="E53" s="643"/>
      <c r="F53" s="643"/>
      <c r="G53" s="643"/>
      <c r="H53" s="643"/>
      <c r="I53" s="643"/>
      <c r="J53" s="643"/>
      <c r="K53" s="643"/>
      <c r="L53" s="643"/>
      <c r="M53" s="643"/>
      <c r="N53" s="643"/>
      <c r="O53" s="643"/>
      <c r="P53" s="643"/>
      <c r="Q53" s="643"/>
      <c r="R53" s="643"/>
      <c r="S53" s="643"/>
      <c r="T53" s="643"/>
      <c r="U53" s="643"/>
      <c r="V53" s="643"/>
      <c r="W53" s="643"/>
      <c r="X53" s="643"/>
      <c r="Y53" s="643"/>
      <c r="Z53" s="643"/>
    </row>
    <row r="54" ht="11.25" customHeight="1">
      <c r="A54" s="646"/>
      <c r="B54" s="643"/>
      <c r="C54" s="644"/>
      <c r="D54" s="643"/>
      <c r="E54" s="643"/>
      <c r="F54" s="643"/>
      <c r="G54" s="643"/>
      <c r="H54" s="643"/>
      <c r="I54" s="643"/>
      <c r="J54" s="643"/>
      <c r="K54" s="643"/>
      <c r="L54" s="643"/>
      <c r="M54" s="643"/>
      <c r="N54" s="643"/>
      <c r="O54" s="643"/>
      <c r="P54" s="643"/>
      <c r="Q54" s="643"/>
      <c r="R54" s="643"/>
      <c r="S54" s="643"/>
      <c r="T54" s="643"/>
      <c r="U54" s="643"/>
      <c r="V54" s="643"/>
      <c r="W54" s="643"/>
      <c r="X54" s="643"/>
      <c r="Y54" s="643"/>
      <c r="Z54" s="643"/>
    </row>
    <row r="55" ht="11.25" customHeight="1">
      <c r="A55" s="646"/>
      <c r="B55" s="643"/>
      <c r="C55" s="644"/>
      <c r="D55" s="643"/>
      <c r="E55" s="643"/>
      <c r="F55" s="643"/>
      <c r="G55" s="643"/>
      <c r="H55" s="643"/>
      <c r="I55" s="643"/>
      <c r="J55" s="643"/>
      <c r="K55" s="643"/>
      <c r="L55" s="643"/>
      <c r="M55" s="643"/>
      <c r="N55" s="643"/>
      <c r="O55" s="643"/>
      <c r="P55" s="643"/>
      <c r="Q55" s="643"/>
      <c r="R55" s="643"/>
      <c r="S55" s="643"/>
      <c r="T55" s="643"/>
      <c r="U55" s="643"/>
      <c r="V55" s="643"/>
      <c r="W55" s="643"/>
      <c r="X55" s="643"/>
      <c r="Y55" s="643"/>
      <c r="Z55" s="643"/>
    </row>
    <row r="56" ht="11.25" customHeight="1">
      <c r="A56" s="646"/>
      <c r="B56" s="643"/>
      <c r="C56" s="644"/>
      <c r="D56" s="643"/>
      <c r="E56" s="643"/>
      <c r="F56" s="643"/>
      <c r="G56" s="643"/>
      <c r="H56" s="643"/>
      <c r="I56" s="643"/>
      <c r="J56" s="643"/>
      <c r="K56" s="643"/>
      <c r="L56" s="643"/>
      <c r="M56" s="643"/>
      <c r="N56" s="643"/>
      <c r="O56" s="643"/>
      <c r="P56" s="643"/>
      <c r="Q56" s="643"/>
      <c r="R56" s="643"/>
      <c r="S56" s="643"/>
      <c r="T56" s="643"/>
      <c r="U56" s="643"/>
      <c r="V56" s="643"/>
      <c r="W56" s="643"/>
      <c r="X56" s="643"/>
      <c r="Y56" s="643"/>
      <c r="Z56" s="643"/>
    </row>
    <row r="57" ht="11.25" customHeight="1">
      <c r="A57" s="646"/>
      <c r="B57" s="643"/>
      <c r="C57" s="644"/>
      <c r="D57" s="643"/>
      <c r="E57" s="643"/>
      <c r="F57" s="643"/>
      <c r="G57" s="643"/>
      <c r="H57" s="643"/>
      <c r="I57" s="643"/>
      <c r="J57" s="643"/>
      <c r="K57" s="643"/>
      <c r="L57" s="643"/>
      <c r="M57" s="643"/>
      <c r="N57" s="643"/>
      <c r="O57" s="643"/>
      <c r="P57" s="643"/>
      <c r="Q57" s="643"/>
      <c r="R57" s="643"/>
      <c r="S57" s="643"/>
      <c r="T57" s="643"/>
      <c r="U57" s="643"/>
      <c r="V57" s="643"/>
      <c r="W57" s="643"/>
      <c r="X57" s="643"/>
      <c r="Y57" s="643"/>
      <c r="Z57" s="643"/>
    </row>
    <row r="58" ht="11.25" customHeight="1">
      <c r="A58" s="646"/>
      <c r="B58" s="643"/>
      <c r="C58" s="644"/>
      <c r="D58" s="643"/>
      <c r="E58" s="643"/>
      <c r="F58" s="643"/>
      <c r="G58" s="643"/>
      <c r="H58" s="643"/>
      <c r="I58" s="643"/>
      <c r="J58" s="643"/>
      <c r="K58" s="643"/>
      <c r="L58" s="643"/>
      <c r="M58" s="643"/>
      <c r="N58" s="643"/>
      <c r="O58" s="643"/>
      <c r="P58" s="643"/>
      <c r="Q58" s="643"/>
      <c r="R58" s="643"/>
      <c r="S58" s="643"/>
      <c r="T58" s="643"/>
      <c r="U58" s="643"/>
      <c r="V58" s="643"/>
      <c r="W58" s="643"/>
      <c r="X58" s="643"/>
      <c r="Y58" s="643"/>
      <c r="Z58" s="643"/>
    </row>
    <row r="59" ht="11.25" customHeight="1">
      <c r="A59" s="646"/>
      <c r="B59" s="643"/>
      <c r="C59" s="644"/>
      <c r="D59" s="643"/>
      <c r="E59" s="643"/>
      <c r="F59" s="643"/>
      <c r="G59" s="643"/>
      <c r="H59" s="643"/>
      <c r="I59" s="643"/>
      <c r="J59" s="643"/>
      <c r="K59" s="643"/>
      <c r="L59" s="643"/>
      <c r="M59" s="643"/>
      <c r="N59" s="643"/>
      <c r="O59" s="643"/>
      <c r="P59" s="643"/>
      <c r="Q59" s="643"/>
      <c r="R59" s="643"/>
      <c r="S59" s="643"/>
      <c r="T59" s="643"/>
      <c r="U59" s="643"/>
      <c r="V59" s="643"/>
      <c r="W59" s="643"/>
      <c r="X59" s="643"/>
      <c r="Y59" s="643"/>
      <c r="Z59" s="643"/>
    </row>
    <row r="60" ht="11.25" customHeight="1">
      <c r="A60" s="646"/>
      <c r="B60" s="643"/>
      <c r="C60" s="644"/>
      <c r="D60" s="643"/>
      <c r="E60" s="643"/>
      <c r="F60" s="643"/>
      <c r="G60" s="643"/>
      <c r="H60" s="643"/>
      <c r="I60" s="643"/>
      <c r="J60" s="643"/>
      <c r="K60" s="643"/>
      <c r="L60" s="643"/>
      <c r="M60" s="643"/>
      <c r="N60" s="643"/>
      <c r="O60" s="643"/>
      <c r="P60" s="643"/>
      <c r="Q60" s="643"/>
      <c r="R60" s="643"/>
      <c r="S60" s="643"/>
      <c r="T60" s="643"/>
      <c r="U60" s="643"/>
      <c r="V60" s="643"/>
      <c r="W60" s="643"/>
      <c r="X60" s="643"/>
      <c r="Y60" s="643"/>
      <c r="Z60" s="643"/>
    </row>
    <row r="61" ht="11.25" customHeight="1">
      <c r="A61" s="646"/>
      <c r="B61" s="643"/>
      <c r="C61" s="644"/>
      <c r="D61" s="643"/>
      <c r="E61" s="643"/>
      <c r="F61" s="643"/>
      <c r="G61" s="643"/>
      <c r="H61" s="643"/>
      <c r="I61" s="643"/>
      <c r="J61" s="643"/>
      <c r="K61" s="643"/>
      <c r="L61" s="643"/>
      <c r="M61" s="643"/>
      <c r="N61" s="643"/>
      <c r="O61" s="643"/>
      <c r="P61" s="643"/>
      <c r="Q61" s="643"/>
      <c r="R61" s="643"/>
      <c r="S61" s="643"/>
      <c r="T61" s="643"/>
      <c r="U61" s="643"/>
      <c r="V61" s="643"/>
      <c r="W61" s="643"/>
      <c r="X61" s="643"/>
      <c r="Y61" s="643"/>
      <c r="Z61" s="643"/>
    </row>
    <row r="62" ht="11.25" customHeight="1">
      <c r="A62" s="646"/>
      <c r="B62" s="643"/>
      <c r="C62" s="644"/>
      <c r="D62" s="643"/>
      <c r="E62" s="643"/>
      <c r="F62" s="643"/>
      <c r="G62" s="643"/>
      <c r="H62" s="643"/>
      <c r="I62" s="643"/>
      <c r="J62" s="643"/>
      <c r="K62" s="643"/>
      <c r="L62" s="643"/>
      <c r="M62" s="643"/>
      <c r="N62" s="643"/>
      <c r="O62" s="643"/>
      <c r="P62" s="643"/>
      <c r="Q62" s="643"/>
      <c r="R62" s="643"/>
      <c r="S62" s="643"/>
      <c r="T62" s="643"/>
      <c r="U62" s="643"/>
      <c r="V62" s="643"/>
      <c r="W62" s="643"/>
      <c r="X62" s="643"/>
      <c r="Y62" s="643"/>
      <c r="Z62" s="643"/>
    </row>
    <row r="63" ht="11.25" customHeight="1">
      <c r="A63" s="646"/>
      <c r="B63" s="643"/>
      <c r="C63" s="644"/>
      <c r="D63" s="643"/>
      <c r="E63" s="643"/>
      <c r="F63" s="643"/>
      <c r="G63" s="643"/>
      <c r="H63" s="643"/>
      <c r="I63" s="643"/>
      <c r="J63" s="643"/>
      <c r="K63" s="643"/>
      <c r="L63" s="643"/>
      <c r="M63" s="643"/>
      <c r="N63" s="643"/>
      <c r="O63" s="643"/>
      <c r="P63" s="643"/>
      <c r="Q63" s="643"/>
      <c r="R63" s="643"/>
      <c r="S63" s="643"/>
      <c r="T63" s="643"/>
      <c r="U63" s="643"/>
      <c r="V63" s="643"/>
      <c r="W63" s="643"/>
      <c r="X63" s="643"/>
      <c r="Y63" s="643"/>
      <c r="Z63" s="643"/>
    </row>
    <row r="64" ht="11.25" customHeight="1">
      <c r="A64" s="646"/>
      <c r="B64" s="643"/>
      <c r="C64" s="644"/>
      <c r="D64" s="643"/>
      <c r="E64" s="643"/>
      <c r="F64" s="643"/>
      <c r="G64" s="643"/>
      <c r="H64" s="643"/>
      <c r="I64" s="643"/>
      <c r="J64" s="643"/>
      <c r="K64" s="643"/>
      <c r="L64" s="643"/>
      <c r="M64" s="643"/>
      <c r="N64" s="643"/>
      <c r="O64" s="643"/>
      <c r="P64" s="643"/>
      <c r="Q64" s="643"/>
      <c r="R64" s="643"/>
      <c r="S64" s="643"/>
      <c r="T64" s="643"/>
      <c r="U64" s="643"/>
      <c r="V64" s="643"/>
      <c r="W64" s="643"/>
      <c r="X64" s="643"/>
      <c r="Y64" s="643"/>
      <c r="Z64" s="643"/>
    </row>
    <row r="65" ht="11.25" customHeight="1">
      <c r="A65" s="646"/>
      <c r="B65" s="643"/>
      <c r="C65" s="644"/>
      <c r="D65" s="643"/>
      <c r="E65" s="643"/>
      <c r="F65" s="643"/>
      <c r="G65" s="643"/>
      <c r="H65" s="643"/>
      <c r="I65" s="643"/>
      <c r="J65" s="643"/>
      <c r="K65" s="643"/>
      <c r="L65" s="643"/>
      <c r="M65" s="643"/>
      <c r="N65" s="643"/>
      <c r="O65" s="643"/>
      <c r="P65" s="643"/>
      <c r="Q65" s="643"/>
      <c r="R65" s="643"/>
      <c r="S65" s="643"/>
      <c r="T65" s="643"/>
      <c r="U65" s="643"/>
      <c r="V65" s="643"/>
      <c r="W65" s="643"/>
      <c r="X65" s="643"/>
      <c r="Y65" s="643"/>
      <c r="Z65" s="643"/>
    </row>
    <row r="66" ht="11.25" customHeight="1">
      <c r="A66" s="646"/>
      <c r="B66" s="643"/>
      <c r="C66" s="644"/>
      <c r="D66" s="643"/>
      <c r="E66" s="643"/>
      <c r="F66" s="643"/>
      <c r="G66" s="643"/>
      <c r="H66" s="643"/>
      <c r="I66" s="643"/>
      <c r="J66" s="643"/>
      <c r="K66" s="643"/>
      <c r="L66" s="643"/>
      <c r="M66" s="643"/>
      <c r="N66" s="643"/>
      <c r="O66" s="643"/>
      <c r="P66" s="643"/>
      <c r="Q66" s="643"/>
      <c r="R66" s="643"/>
      <c r="S66" s="643"/>
      <c r="T66" s="643"/>
      <c r="U66" s="643"/>
      <c r="V66" s="643"/>
      <c r="W66" s="643"/>
      <c r="X66" s="643"/>
      <c r="Y66" s="643"/>
      <c r="Z66" s="643"/>
    </row>
    <row r="67" ht="11.25" customHeight="1">
      <c r="A67" s="646"/>
      <c r="B67" s="643"/>
      <c r="C67" s="644"/>
      <c r="D67" s="643"/>
      <c r="E67" s="643"/>
      <c r="F67" s="643"/>
      <c r="G67" s="643"/>
      <c r="H67" s="643"/>
      <c r="I67" s="643"/>
      <c r="J67" s="643"/>
      <c r="K67" s="643"/>
      <c r="L67" s="643"/>
      <c r="M67" s="643"/>
      <c r="N67" s="643"/>
      <c r="O67" s="643"/>
      <c r="P67" s="643"/>
      <c r="Q67" s="643"/>
      <c r="R67" s="643"/>
      <c r="S67" s="643"/>
      <c r="T67" s="643"/>
      <c r="U67" s="643"/>
      <c r="V67" s="643"/>
      <c r="W67" s="643"/>
      <c r="X67" s="643"/>
      <c r="Y67" s="643"/>
      <c r="Z67" s="643"/>
    </row>
    <row r="68" ht="11.25" customHeight="1">
      <c r="A68" s="646"/>
      <c r="B68" s="643"/>
      <c r="C68" s="644"/>
      <c r="D68" s="643"/>
      <c r="E68" s="643"/>
      <c r="F68" s="643"/>
      <c r="G68" s="643"/>
      <c r="H68" s="643"/>
      <c r="I68" s="643"/>
      <c r="J68" s="643"/>
      <c r="K68" s="643"/>
      <c r="L68" s="643"/>
      <c r="M68" s="643"/>
      <c r="N68" s="643"/>
      <c r="O68" s="643"/>
      <c r="P68" s="643"/>
      <c r="Q68" s="643"/>
      <c r="R68" s="643"/>
      <c r="S68" s="643"/>
      <c r="T68" s="643"/>
      <c r="U68" s="643"/>
      <c r="V68" s="643"/>
      <c r="W68" s="643"/>
      <c r="X68" s="643"/>
      <c r="Y68" s="643"/>
      <c r="Z68" s="643"/>
    </row>
    <row r="69" ht="11.25" customHeight="1">
      <c r="A69" s="646"/>
      <c r="B69" s="643"/>
      <c r="C69" s="644"/>
      <c r="D69" s="643"/>
      <c r="E69" s="643"/>
      <c r="F69" s="643"/>
      <c r="G69" s="643"/>
      <c r="H69" s="643"/>
      <c r="I69" s="643"/>
      <c r="J69" s="643"/>
      <c r="K69" s="643"/>
      <c r="L69" s="643"/>
      <c r="M69" s="643"/>
      <c r="N69" s="643"/>
      <c r="O69" s="643"/>
      <c r="P69" s="643"/>
      <c r="Q69" s="643"/>
      <c r="R69" s="643"/>
      <c r="S69" s="643"/>
      <c r="T69" s="643"/>
      <c r="U69" s="643"/>
      <c r="V69" s="643"/>
      <c r="W69" s="643"/>
      <c r="X69" s="643"/>
      <c r="Y69" s="643"/>
      <c r="Z69" s="643"/>
    </row>
    <row r="70" ht="11.25" customHeight="1">
      <c r="A70" s="646"/>
      <c r="B70" s="643"/>
      <c r="C70" s="644"/>
      <c r="D70" s="643"/>
      <c r="E70" s="643"/>
      <c r="F70" s="643"/>
      <c r="G70" s="643"/>
      <c r="H70" s="643"/>
      <c r="I70" s="643"/>
      <c r="J70" s="643"/>
      <c r="K70" s="643"/>
      <c r="L70" s="643"/>
      <c r="M70" s="643"/>
      <c r="N70" s="643"/>
      <c r="O70" s="643"/>
      <c r="P70" s="643"/>
      <c r="Q70" s="643"/>
      <c r="R70" s="643"/>
      <c r="S70" s="643"/>
      <c r="T70" s="643"/>
      <c r="U70" s="643"/>
      <c r="V70" s="643"/>
      <c r="W70" s="643"/>
      <c r="X70" s="643"/>
      <c r="Y70" s="643"/>
      <c r="Z70" s="643"/>
    </row>
    <row r="71" ht="11.25" customHeight="1">
      <c r="A71" s="646"/>
      <c r="B71" s="643"/>
      <c r="C71" s="644"/>
      <c r="D71" s="643"/>
      <c r="E71" s="643"/>
      <c r="F71" s="643"/>
      <c r="G71" s="643"/>
      <c r="H71" s="643"/>
      <c r="I71" s="643"/>
      <c r="J71" s="643"/>
      <c r="K71" s="643"/>
      <c r="L71" s="643"/>
      <c r="M71" s="643"/>
      <c r="N71" s="643"/>
      <c r="O71" s="643"/>
      <c r="P71" s="643"/>
      <c r="Q71" s="643"/>
      <c r="R71" s="643"/>
      <c r="S71" s="643"/>
      <c r="T71" s="643"/>
      <c r="U71" s="643"/>
      <c r="V71" s="643"/>
      <c r="W71" s="643"/>
      <c r="X71" s="643"/>
      <c r="Y71" s="643"/>
      <c r="Z71" s="643"/>
    </row>
    <row r="72" ht="11.25" customHeight="1">
      <c r="A72" s="646"/>
      <c r="B72" s="643"/>
      <c r="C72" s="644"/>
      <c r="D72" s="643"/>
      <c r="E72" s="643"/>
      <c r="F72" s="643"/>
      <c r="G72" s="643"/>
      <c r="H72" s="643"/>
      <c r="I72" s="643"/>
      <c r="J72" s="643"/>
      <c r="K72" s="643"/>
      <c r="L72" s="643"/>
      <c r="M72" s="643"/>
      <c r="N72" s="643"/>
      <c r="O72" s="643"/>
      <c r="P72" s="643"/>
      <c r="Q72" s="643"/>
      <c r="R72" s="643"/>
      <c r="S72" s="643"/>
      <c r="T72" s="643"/>
      <c r="U72" s="643"/>
      <c r="V72" s="643"/>
      <c r="W72" s="643"/>
      <c r="X72" s="643"/>
      <c r="Y72" s="643"/>
      <c r="Z72" s="643"/>
    </row>
    <row r="73" ht="11.25" customHeight="1">
      <c r="A73" s="646"/>
      <c r="B73" s="643"/>
      <c r="C73" s="644"/>
      <c r="D73" s="643"/>
      <c r="E73" s="643"/>
      <c r="F73" s="643"/>
      <c r="G73" s="643"/>
      <c r="H73" s="643"/>
      <c r="I73" s="643"/>
      <c r="J73" s="643"/>
      <c r="K73" s="643"/>
      <c r="L73" s="643"/>
      <c r="M73" s="643"/>
      <c r="N73" s="643"/>
      <c r="O73" s="643"/>
      <c r="P73" s="643"/>
      <c r="Q73" s="643"/>
      <c r="R73" s="643"/>
      <c r="S73" s="643"/>
      <c r="T73" s="643"/>
      <c r="U73" s="643"/>
      <c r="V73" s="643"/>
      <c r="W73" s="643"/>
      <c r="X73" s="643"/>
      <c r="Y73" s="643"/>
      <c r="Z73" s="643"/>
    </row>
    <row r="74" ht="11.25" customHeight="1">
      <c r="A74" s="646"/>
      <c r="B74" s="643"/>
      <c r="C74" s="644"/>
      <c r="D74" s="643"/>
      <c r="E74" s="643"/>
      <c r="F74" s="643"/>
      <c r="G74" s="643"/>
      <c r="H74" s="643"/>
      <c r="I74" s="643"/>
      <c r="J74" s="643"/>
      <c r="K74" s="643"/>
      <c r="L74" s="643"/>
      <c r="M74" s="643"/>
      <c r="N74" s="643"/>
      <c r="O74" s="643"/>
      <c r="P74" s="643"/>
      <c r="Q74" s="643"/>
      <c r="R74" s="643"/>
      <c r="S74" s="643"/>
      <c r="T74" s="643"/>
      <c r="U74" s="643"/>
      <c r="V74" s="643"/>
      <c r="W74" s="643"/>
      <c r="X74" s="643"/>
      <c r="Y74" s="643"/>
      <c r="Z74" s="643"/>
    </row>
    <row r="75" ht="11.25" customHeight="1">
      <c r="A75" s="646"/>
      <c r="B75" s="643"/>
      <c r="C75" s="644"/>
      <c r="D75" s="643"/>
      <c r="E75" s="643"/>
      <c r="F75" s="643"/>
      <c r="G75" s="643"/>
      <c r="H75" s="643"/>
      <c r="I75" s="643"/>
      <c r="J75" s="643"/>
      <c r="K75" s="643"/>
      <c r="L75" s="643"/>
      <c r="M75" s="643"/>
      <c r="N75" s="643"/>
      <c r="O75" s="643"/>
      <c r="P75" s="643"/>
      <c r="Q75" s="643"/>
      <c r="R75" s="643"/>
      <c r="S75" s="643"/>
      <c r="T75" s="643"/>
      <c r="U75" s="643"/>
      <c r="V75" s="643"/>
      <c r="W75" s="643"/>
      <c r="X75" s="643"/>
      <c r="Y75" s="643"/>
      <c r="Z75" s="643"/>
    </row>
    <row r="76" ht="11.25" customHeight="1">
      <c r="A76" s="646"/>
      <c r="B76" s="643"/>
      <c r="C76" s="644"/>
      <c r="D76" s="643"/>
      <c r="E76" s="643"/>
      <c r="F76" s="643"/>
      <c r="G76" s="643"/>
      <c r="H76" s="643"/>
      <c r="I76" s="643"/>
      <c r="J76" s="643"/>
      <c r="K76" s="643"/>
      <c r="L76" s="643"/>
      <c r="M76" s="643"/>
      <c r="N76" s="643"/>
      <c r="O76" s="643"/>
      <c r="P76" s="643"/>
      <c r="Q76" s="643"/>
      <c r="R76" s="643"/>
      <c r="S76" s="643"/>
      <c r="T76" s="643"/>
      <c r="U76" s="643"/>
      <c r="V76" s="643"/>
      <c r="W76" s="643"/>
      <c r="X76" s="643"/>
      <c r="Y76" s="643"/>
      <c r="Z76" s="643"/>
    </row>
    <row r="77" ht="11.25" customHeight="1">
      <c r="A77" s="646"/>
      <c r="B77" s="643"/>
      <c r="C77" s="644"/>
      <c r="D77" s="643"/>
      <c r="E77" s="643"/>
      <c r="F77" s="643"/>
      <c r="G77" s="643"/>
      <c r="H77" s="643"/>
      <c r="I77" s="643"/>
      <c r="J77" s="643"/>
      <c r="K77" s="643"/>
      <c r="L77" s="643"/>
      <c r="M77" s="643"/>
      <c r="N77" s="643"/>
      <c r="O77" s="643"/>
      <c r="P77" s="643"/>
      <c r="Q77" s="643"/>
      <c r="R77" s="643"/>
      <c r="S77" s="643"/>
      <c r="T77" s="643"/>
      <c r="U77" s="643"/>
      <c r="V77" s="643"/>
      <c r="W77" s="643"/>
      <c r="X77" s="643"/>
      <c r="Y77" s="643"/>
      <c r="Z77" s="643"/>
    </row>
    <row r="78" ht="11.25" customHeight="1">
      <c r="A78" s="646"/>
      <c r="B78" s="643"/>
      <c r="C78" s="644"/>
      <c r="D78" s="643"/>
      <c r="E78" s="643"/>
      <c r="F78" s="643"/>
      <c r="G78" s="643"/>
      <c r="H78" s="643"/>
      <c r="I78" s="643"/>
      <c r="J78" s="643"/>
      <c r="K78" s="643"/>
      <c r="L78" s="643"/>
      <c r="M78" s="643"/>
      <c r="N78" s="643"/>
      <c r="O78" s="643"/>
      <c r="P78" s="643"/>
      <c r="Q78" s="643"/>
      <c r="R78" s="643"/>
      <c r="S78" s="643"/>
      <c r="T78" s="643"/>
      <c r="U78" s="643"/>
      <c r="V78" s="643"/>
      <c r="W78" s="643"/>
      <c r="X78" s="643"/>
      <c r="Y78" s="643"/>
      <c r="Z78" s="643"/>
    </row>
    <row r="79" ht="11.25" customHeight="1">
      <c r="A79" s="646"/>
      <c r="B79" s="643"/>
      <c r="C79" s="644"/>
      <c r="D79" s="643"/>
      <c r="E79" s="643"/>
      <c r="F79" s="643"/>
      <c r="G79" s="643"/>
      <c r="H79" s="643"/>
      <c r="I79" s="643"/>
      <c r="J79" s="643"/>
      <c r="K79" s="643"/>
      <c r="L79" s="643"/>
      <c r="M79" s="643"/>
      <c r="N79" s="643"/>
      <c r="O79" s="643"/>
      <c r="P79" s="643"/>
      <c r="Q79" s="643"/>
      <c r="R79" s="643"/>
      <c r="S79" s="643"/>
      <c r="T79" s="643"/>
      <c r="U79" s="643"/>
      <c r="V79" s="643"/>
      <c r="W79" s="643"/>
      <c r="X79" s="643"/>
      <c r="Y79" s="643"/>
      <c r="Z79" s="643"/>
    </row>
    <row r="80" ht="11.25" customHeight="1">
      <c r="A80" s="646"/>
      <c r="B80" s="643"/>
      <c r="C80" s="644"/>
      <c r="D80" s="643"/>
      <c r="E80" s="643"/>
      <c r="F80" s="643"/>
      <c r="G80" s="643"/>
      <c r="H80" s="643"/>
      <c r="I80" s="643"/>
      <c r="J80" s="643"/>
      <c r="K80" s="643"/>
      <c r="L80" s="643"/>
      <c r="M80" s="643"/>
      <c r="N80" s="643"/>
      <c r="O80" s="643"/>
      <c r="P80" s="643"/>
      <c r="Q80" s="643"/>
      <c r="R80" s="643"/>
      <c r="S80" s="643"/>
      <c r="T80" s="643"/>
      <c r="U80" s="643"/>
      <c r="V80" s="643"/>
      <c r="W80" s="643"/>
      <c r="X80" s="643"/>
      <c r="Y80" s="643"/>
      <c r="Z80" s="643"/>
    </row>
    <row r="81" ht="11.25" customHeight="1">
      <c r="A81" s="646"/>
      <c r="B81" s="643"/>
      <c r="C81" s="644"/>
      <c r="D81" s="643"/>
      <c r="E81" s="643"/>
      <c r="F81" s="643"/>
      <c r="G81" s="643"/>
      <c r="H81" s="643"/>
      <c r="I81" s="643"/>
      <c r="J81" s="643"/>
      <c r="K81" s="643"/>
      <c r="L81" s="643"/>
      <c r="M81" s="643"/>
      <c r="N81" s="643"/>
      <c r="O81" s="643"/>
      <c r="P81" s="643"/>
      <c r="Q81" s="643"/>
      <c r="R81" s="643"/>
      <c r="S81" s="643"/>
      <c r="T81" s="643"/>
      <c r="U81" s="643"/>
      <c r="V81" s="643"/>
      <c r="W81" s="643"/>
      <c r="X81" s="643"/>
      <c r="Y81" s="643"/>
      <c r="Z81" s="643"/>
    </row>
    <row r="82" ht="11.25" customHeight="1">
      <c r="A82" s="646"/>
      <c r="B82" s="643"/>
      <c r="C82" s="644"/>
      <c r="D82" s="643"/>
      <c r="E82" s="643"/>
      <c r="F82" s="643"/>
      <c r="G82" s="643"/>
      <c r="H82" s="643"/>
      <c r="I82" s="643"/>
      <c r="J82" s="643"/>
      <c r="K82" s="643"/>
      <c r="L82" s="643"/>
      <c r="M82" s="643"/>
      <c r="N82" s="643"/>
      <c r="O82" s="643"/>
      <c r="P82" s="643"/>
      <c r="Q82" s="643"/>
      <c r="R82" s="643"/>
      <c r="S82" s="643"/>
      <c r="T82" s="643"/>
      <c r="U82" s="643"/>
      <c r="V82" s="643"/>
      <c r="W82" s="643"/>
      <c r="X82" s="643"/>
      <c r="Y82" s="643"/>
      <c r="Z82" s="643"/>
    </row>
    <row r="83" ht="11.25" customHeight="1">
      <c r="A83" s="646"/>
      <c r="B83" s="643"/>
      <c r="C83" s="644"/>
      <c r="D83" s="643"/>
      <c r="E83" s="643"/>
      <c r="F83" s="643"/>
      <c r="G83" s="643"/>
      <c r="H83" s="643"/>
      <c r="I83" s="643"/>
      <c r="J83" s="643"/>
      <c r="K83" s="643"/>
      <c r="L83" s="643"/>
      <c r="M83" s="643"/>
      <c r="N83" s="643"/>
      <c r="O83" s="643"/>
      <c r="P83" s="643"/>
      <c r="Q83" s="643"/>
      <c r="R83" s="643"/>
      <c r="S83" s="643"/>
      <c r="T83" s="643"/>
      <c r="U83" s="643"/>
      <c r="V83" s="643"/>
      <c r="W83" s="643"/>
      <c r="X83" s="643"/>
      <c r="Y83" s="643"/>
      <c r="Z83" s="643"/>
    </row>
    <row r="84" ht="11.25" customHeight="1">
      <c r="A84" s="646"/>
      <c r="B84" s="643"/>
      <c r="C84" s="644"/>
      <c r="D84" s="643"/>
      <c r="E84" s="643"/>
      <c r="F84" s="643"/>
      <c r="G84" s="643"/>
      <c r="H84" s="643"/>
      <c r="I84" s="643"/>
      <c r="J84" s="643"/>
      <c r="K84" s="643"/>
      <c r="L84" s="643"/>
      <c r="M84" s="643"/>
      <c r="N84" s="643"/>
      <c r="O84" s="643"/>
      <c r="P84" s="643"/>
      <c r="Q84" s="643"/>
      <c r="R84" s="643"/>
      <c r="S84" s="643"/>
      <c r="T84" s="643"/>
      <c r="U84" s="643"/>
      <c r="V84" s="643"/>
      <c r="W84" s="643"/>
      <c r="X84" s="643"/>
      <c r="Y84" s="643"/>
      <c r="Z84" s="643"/>
    </row>
    <row r="85" ht="11.25" customHeight="1">
      <c r="A85" s="646"/>
      <c r="B85" s="643"/>
      <c r="C85" s="644"/>
      <c r="D85" s="643"/>
      <c r="E85" s="643"/>
      <c r="F85" s="643"/>
      <c r="G85" s="643"/>
      <c r="H85" s="643"/>
      <c r="I85" s="643"/>
      <c r="J85" s="643"/>
      <c r="K85" s="643"/>
      <c r="L85" s="643"/>
      <c r="M85" s="643"/>
      <c r="N85" s="643"/>
      <c r="O85" s="643"/>
      <c r="P85" s="643"/>
      <c r="Q85" s="643"/>
      <c r="R85" s="643"/>
      <c r="S85" s="643"/>
      <c r="T85" s="643"/>
      <c r="U85" s="643"/>
      <c r="V85" s="643"/>
      <c r="W85" s="643"/>
      <c r="X85" s="643"/>
      <c r="Y85" s="643"/>
      <c r="Z85" s="643"/>
    </row>
    <row r="86" ht="11.25" customHeight="1">
      <c r="A86" s="646"/>
      <c r="B86" s="643"/>
      <c r="C86" s="644"/>
      <c r="D86" s="643"/>
      <c r="E86" s="643"/>
      <c r="F86" s="643"/>
      <c r="G86" s="643"/>
      <c r="H86" s="643"/>
      <c r="I86" s="643"/>
      <c r="J86" s="643"/>
      <c r="K86" s="643"/>
      <c r="L86" s="643"/>
      <c r="M86" s="643"/>
      <c r="N86" s="643"/>
      <c r="O86" s="643"/>
      <c r="P86" s="643"/>
      <c r="Q86" s="643"/>
      <c r="R86" s="643"/>
      <c r="S86" s="643"/>
      <c r="T86" s="643"/>
      <c r="U86" s="643"/>
      <c r="V86" s="643"/>
      <c r="W86" s="643"/>
      <c r="X86" s="643"/>
      <c r="Y86" s="643"/>
      <c r="Z86" s="643"/>
    </row>
    <row r="87" ht="11.25" customHeight="1">
      <c r="A87" s="646"/>
      <c r="B87" s="643"/>
      <c r="C87" s="644"/>
      <c r="D87" s="643"/>
      <c r="E87" s="643"/>
      <c r="F87" s="643"/>
      <c r="G87" s="643"/>
      <c r="H87" s="643"/>
      <c r="I87" s="643"/>
      <c r="J87" s="643"/>
      <c r="K87" s="643"/>
      <c r="L87" s="643"/>
      <c r="M87" s="643"/>
      <c r="N87" s="643"/>
      <c r="O87" s="643"/>
      <c r="P87" s="643"/>
      <c r="Q87" s="643"/>
      <c r="R87" s="643"/>
      <c r="S87" s="643"/>
      <c r="T87" s="643"/>
      <c r="U87" s="643"/>
      <c r="V87" s="643"/>
      <c r="W87" s="643"/>
      <c r="X87" s="643"/>
      <c r="Y87" s="643"/>
      <c r="Z87" s="643"/>
    </row>
    <row r="88" ht="11.25" customHeight="1">
      <c r="A88" s="646"/>
      <c r="B88" s="643"/>
      <c r="C88" s="644"/>
      <c r="D88" s="643"/>
      <c r="E88" s="643"/>
      <c r="F88" s="643"/>
      <c r="G88" s="643"/>
      <c r="H88" s="643"/>
      <c r="I88" s="643"/>
      <c r="J88" s="643"/>
      <c r="K88" s="643"/>
      <c r="L88" s="643"/>
      <c r="M88" s="643"/>
      <c r="N88" s="643"/>
      <c r="O88" s="643"/>
      <c r="P88" s="643"/>
      <c r="Q88" s="643"/>
      <c r="R88" s="643"/>
      <c r="S88" s="643"/>
      <c r="T88" s="643"/>
      <c r="U88" s="643"/>
      <c r="V88" s="643"/>
      <c r="W88" s="643"/>
      <c r="X88" s="643"/>
      <c r="Y88" s="643"/>
      <c r="Z88" s="643"/>
    </row>
    <row r="89" ht="11.25" customHeight="1">
      <c r="A89" s="646"/>
      <c r="B89" s="643"/>
      <c r="C89" s="644"/>
      <c r="D89" s="643"/>
      <c r="E89" s="643"/>
      <c r="F89" s="643"/>
      <c r="G89" s="643"/>
      <c r="H89" s="643"/>
      <c r="I89" s="643"/>
      <c r="J89" s="643"/>
      <c r="K89" s="643"/>
      <c r="L89" s="643"/>
      <c r="M89" s="643"/>
      <c r="N89" s="643"/>
      <c r="O89" s="643"/>
      <c r="P89" s="643"/>
      <c r="Q89" s="643"/>
      <c r="R89" s="643"/>
      <c r="S89" s="643"/>
      <c r="T89" s="643"/>
      <c r="U89" s="643"/>
      <c r="V89" s="643"/>
      <c r="W89" s="643"/>
      <c r="X89" s="643"/>
      <c r="Y89" s="643"/>
      <c r="Z89" s="643"/>
    </row>
    <row r="90" ht="11.25" customHeight="1">
      <c r="A90" s="646"/>
      <c r="B90" s="643"/>
      <c r="C90" s="644"/>
      <c r="D90" s="643"/>
      <c r="E90" s="643"/>
      <c r="F90" s="643"/>
      <c r="G90" s="643"/>
      <c r="H90" s="643"/>
      <c r="I90" s="643"/>
      <c r="J90" s="643"/>
      <c r="K90" s="643"/>
      <c r="L90" s="643"/>
      <c r="M90" s="643"/>
      <c r="N90" s="643"/>
      <c r="O90" s="643"/>
      <c r="P90" s="643"/>
      <c r="Q90" s="643"/>
      <c r="R90" s="643"/>
      <c r="S90" s="643"/>
      <c r="T90" s="643"/>
      <c r="U90" s="643"/>
      <c r="V90" s="643"/>
      <c r="W90" s="643"/>
      <c r="X90" s="643"/>
      <c r="Y90" s="643"/>
      <c r="Z90" s="643"/>
    </row>
    <row r="91" ht="11.25" customHeight="1">
      <c r="A91" s="646"/>
      <c r="B91" s="643"/>
      <c r="C91" s="644"/>
      <c r="D91" s="643"/>
      <c r="E91" s="643"/>
      <c r="F91" s="643"/>
      <c r="G91" s="643"/>
      <c r="H91" s="643"/>
      <c r="I91" s="643"/>
      <c r="J91" s="643"/>
      <c r="K91" s="643"/>
      <c r="L91" s="643"/>
      <c r="M91" s="643"/>
      <c r="N91" s="643"/>
      <c r="O91" s="643"/>
      <c r="P91" s="643"/>
      <c r="Q91" s="643"/>
      <c r="R91" s="643"/>
      <c r="S91" s="643"/>
      <c r="T91" s="643"/>
      <c r="U91" s="643"/>
      <c r="V91" s="643"/>
      <c r="W91" s="643"/>
      <c r="X91" s="643"/>
      <c r="Y91" s="643"/>
      <c r="Z91" s="643"/>
    </row>
    <row r="92" ht="11.25" customHeight="1">
      <c r="A92" s="646"/>
      <c r="B92" s="643"/>
      <c r="C92" s="644"/>
      <c r="D92" s="643"/>
      <c r="E92" s="643"/>
      <c r="F92" s="643"/>
      <c r="G92" s="643"/>
      <c r="H92" s="643"/>
      <c r="I92" s="643"/>
      <c r="J92" s="643"/>
      <c r="K92" s="643"/>
      <c r="L92" s="643"/>
      <c r="M92" s="643"/>
      <c r="N92" s="643"/>
      <c r="O92" s="643"/>
      <c r="P92" s="643"/>
      <c r="Q92" s="643"/>
      <c r="R92" s="643"/>
      <c r="S92" s="643"/>
      <c r="T92" s="643"/>
      <c r="U92" s="643"/>
      <c r="V92" s="643"/>
      <c r="W92" s="643"/>
      <c r="X92" s="643"/>
      <c r="Y92" s="643"/>
      <c r="Z92" s="643"/>
    </row>
    <row r="93" ht="11.25" customHeight="1">
      <c r="A93" s="646"/>
      <c r="B93" s="643"/>
      <c r="C93" s="644"/>
      <c r="D93" s="643"/>
      <c r="E93" s="643"/>
      <c r="F93" s="643"/>
      <c r="G93" s="643"/>
      <c r="H93" s="643"/>
      <c r="I93" s="643"/>
      <c r="J93" s="643"/>
      <c r="K93" s="643"/>
      <c r="L93" s="643"/>
      <c r="M93" s="643"/>
      <c r="N93" s="643"/>
      <c r="O93" s="643"/>
      <c r="P93" s="643"/>
      <c r="Q93" s="643"/>
      <c r="R93" s="643"/>
      <c r="S93" s="643"/>
      <c r="T93" s="643"/>
      <c r="U93" s="643"/>
      <c r="V93" s="643"/>
      <c r="W93" s="643"/>
      <c r="X93" s="643"/>
      <c r="Y93" s="643"/>
      <c r="Z93" s="643"/>
    </row>
    <row r="94" ht="11.25" customHeight="1">
      <c r="A94" s="646"/>
      <c r="B94" s="643"/>
      <c r="C94" s="644"/>
      <c r="D94" s="643"/>
      <c r="E94" s="643"/>
      <c r="F94" s="643"/>
      <c r="G94" s="643"/>
      <c r="H94" s="643"/>
      <c r="I94" s="643"/>
      <c r="J94" s="643"/>
      <c r="K94" s="643"/>
      <c r="L94" s="643"/>
      <c r="M94" s="643"/>
      <c r="N94" s="643"/>
      <c r="O94" s="643"/>
      <c r="P94" s="643"/>
      <c r="Q94" s="643"/>
      <c r="R94" s="643"/>
      <c r="S94" s="643"/>
      <c r="T94" s="643"/>
      <c r="U94" s="643"/>
      <c r="V94" s="643"/>
      <c r="W94" s="643"/>
      <c r="X94" s="643"/>
      <c r="Y94" s="643"/>
      <c r="Z94" s="643"/>
    </row>
    <row r="95" ht="11.25" customHeight="1">
      <c r="A95" s="646"/>
      <c r="B95" s="643"/>
      <c r="C95" s="644"/>
      <c r="D95" s="643"/>
      <c r="E95" s="643"/>
      <c r="F95" s="643"/>
      <c r="G95" s="643"/>
      <c r="H95" s="643"/>
      <c r="I95" s="643"/>
      <c r="J95" s="643"/>
      <c r="K95" s="643"/>
      <c r="L95" s="643"/>
      <c r="M95" s="643"/>
      <c r="N95" s="643"/>
      <c r="O95" s="643"/>
      <c r="P95" s="643"/>
      <c r="Q95" s="643"/>
      <c r="R95" s="643"/>
      <c r="S95" s="643"/>
      <c r="T95" s="643"/>
      <c r="U95" s="643"/>
      <c r="V95" s="643"/>
      <c r="W95" s="643"/>
      <c r="X95" s="643"/>
      <c r="Y95" s="643"/>
      <c r="Z95" s="643"/>
    </row>
    <row r="96" ht="11.25" customHeight="1">
      <c r="A96" s="646"/>
      <c r="B96" s="643"/>
      <c r="C96" s="644"/>
      <c r="D96" s="643"/>
      <c r="E96" s="643"/>
      <c r="F96" s="643"/>
      <c r="G96" s="643"/>
      <c r="H96" s="643"/>
      <c r="I96" s="643"/>
      <c r="J96" s="643"/>
      <c r="K96" s="643"/>
      <c r="L96" s="643"/>
      <c r="M96" s="643"/>
      <c r="N96" s="643"/>
      <c r="O96" s="643"/>
      <c r="P96" s="643"/>
      <c r="Q96" s="643"/>
      <c r="R96" s="643"/>
      <c r="S96" s="643"/>
      <c r="T96" s="643"/>
      <c r="U96" s="643"/>
      <c r="V96" s="643"/>
      <c r="W96" s="643"/>
      <c r="X96" s="643"/>
      <c r="Y96" s="643"/>
      <c r="Z96" s="643"/>
    </row>
    <row r="97" ht="11.25" customHeight="1">
      <c r="A97" s="646"/>
      <c r="B97" s="643"/>
      <c r="C97" s="644"/>
      <c r="D97" s="643"/>
      <c r="E97" s="643"/>
      <c r="F97" s="643"/>
      <c r="G97" s="643"/>
      <c r="H97" s="643"/>
      <c r="I97" s="643"/>
      <c r="J97" s="643"/>
      <c r="K97" s="643"/>
      <c r="L97" s="643"/>
      <c r="M97" s="643"/>
      <c r="N97" s="643"/>
      <c r="O97" s="643"/>
      <c r="P97" s="643"/>
      <c r="Q97" s="643"/>
      <c r="R97" s="643"/>
      <c r="S97" s="643"/>
      <c r="T97" s="643"/>
      <c r="U97" s="643"/>
      <c r="V97" s="643"/>
      <c r="W97" s="643"/>
      <c r="X97" s="643"/>
      <c r="Y97" s="643"/>
      <c r="Z97" s="643"/>
    </row>
    <row r="98" ht="11.25" customHeight="1">
      <c r="A98" s="646"/>
      <c r="B98" s="643"/>
      <c r="C98" s="644"/>
      <c r="D98" s="643"/>
      <c r="E98" s="643"/>
      <c r="F98" s="643"/>
      <c r="G98" s="643"/>
      <c r="H98" s="643"/>
      <c r="I98" s="643"/>
      <c r="J98" s="643"/>
      <c r="K98" s="643"/>
      <c r="L98" s="643"/>
      <c r="M98" s="643"/>
      <c r="N98" s="643"/>
      <c r="O98" s="643"/>
      <c r="P98" s="643"/>
      <c r="Q98" s="643"/>
      <c r="R98" s="643"/>
      <c r="S98" s="643"/>
      <c r="T98" s="643"/>
      <c r="U98" s="643"/>
      <c r="V98" s="643"/>
      <c r="W98" s="643"/>
      <c r="X98" s="643"/>
      <c r="Y98" s="643"/>
      <c r="Z98" s="643"/>
    </row>
    <row r="99" ht="11.25" customHeight="1">
      <c r="A99" s="646"/>
      <c r="B99" s="643"/>
      <c r="C99" s="644"/>
      <c r="D99" s="643"/>
      <c r="E99" s="643"/>
      <c r="F99" s="643"/>
      <c r="G99" s="643"/>
      <c r="H99" s="643"/>
      <c r="I99" s="643"/>
      <c r="J99" s="643"/>
      <c r="K99" s="643"/>
      <c r="L99" s="643"/>
      <c r="M99" s="643"/>
      <c r="N99" s="643"/>
      <c r="O99" s="643"/>
      <c r="P99" s="643"/>
      <c r="Q99" s="643"/>
      <c r="R99" s="643"/>
      <c r="S99" s="643"/>
      <c r="T99" s="643"/>
      <c r="U99" s="643"/>
      <c r="V99" s="643"/>
      <c r="W99" s="643"/>
      <c r="X99" s="643"/>
      <c r="Y99" s="643"/>
      <c r="Z99" s="643"/>
    </row>
    <row r="100" ht="11.25" customHeight="1">
      <c r="A100" s="646"/>
      <c r="B100" s="643"/>
      <c r="C100" s="644"/>
      <c r="D100" s="643"/>
      <c r="E100" s="643"/>
      <c r="F100" s="643"/>
      <c r="G100" s="643"/>
      <c r="H100" s="643"/>
      <c r="I100" s="643"/>
      <c r="J100" s="643"/>
      <c r="K100" s="643"/>
      <c r="L100" s="643"/>
      <c r="M100" s="643"/>
      <c r="N100" s="643"/>
      <c r="O100" s="643"/>
      <c r="P100" s="643"/>
      <c r="Q100" s="643"/>
      <c r="R100" s="643"/>
      <c r="S100" s="643"/>
      <c r="T100" s="643"/>
      <c r="U100" s="643"/>
      <c r="V100" s="643"/>
      <c r="W100" s="643"/>
      <c r="X100" s="643"/>
      <c r="Y100" s="643"/>
      <c r="Z100" s="643"/>
    </row>
    <row r="101" ht="11.25" customHeight="1">
      <c r="A101" s="646"/>
      <c r="B101" s="643"/>
      <c r="C101" s="644"/>
      <c r="D101" s="643"/>
      <c r="E101" s="643"/>
      <c r="F101" s="643"/>
      <c r="G101" s="643"/>
      <c r="H101" s="643"/>
      <c r="I101" s="643"/>
      <c r="J101" s="643"/>
      <c r="K101" s="643"/>
      <c r="L101" s="643"/>
      <c r="M101" s="643"/>
      <c r="N101" s="643"/>
      <c r="O101" s="643"/>
      <c r="P101" s="643"/>
      <c r="Q101" s="643"/>
      <c r="R101" s="643"/>
      <c r="S101" s="643"/>
      <c r="T101" s="643"/>
      <c r="U101" s="643"/>
      <c r="V101" s="643"/>
      <c r="W101" s="643"/>
      <c r="X101" s="643"/>
      <c r="Y101" s="643"/>
      <c r="Z101" s="643"/>
    </row>
    <row r="102" ht="11.25" customHeight="1">
      <c r="A102" s="646"/>
      <c r="B102" s="643"/>
      <c r="C102" s="644"/>
      <c r="D102" s="643"/>
      <c r="E102" s="643"/>
      <c r="F102" s="643"/>
      <c r="G102" s="643"/>
      <c r="H102" s="643"/>
      <c r="I102" s="643"/>
      <c r="J102" s="643"/>
      <c r="K102" s="643"/>
      <c r="L102" s="643"/>
      <c r="M102" s="643"/>
      <c r="N102" s="643"/>
      <c r="O102" s="643"/>
      <c r="P102" s="643"/>
      <c r="Q102" s="643"/>
      <c r="R102" s="643"/>
      <c r="S102" s="643"/>
      <c r="T102" s="643"/>
      <c r="U102" s="643"/>
      <c r="V102" s="643"/>
      <c r="W102" s="643"/>
      <c r="X102" s="643"/>
      <c r="Y102" s="643"/>
      <c r="Z102" s="643"/>
    </row>
    <row r="103" ht="11.25" customHeight="1">
      <c r="A103" s="646"/>
      <c r="B103" s="643"/>
      <c r="C103" s="644"/>
      <c r="D103" s="643"/>
      <c r="E103" s="643"/>
      <c r="F103" s="643"/>
      <c r="G103" s="643"/>
      <c r="H103" s="643"/>
      <c r="I103" s="643"/>
      <c r="J103" s="643"/>
      <c r="K103" s="643"/>
      <c r="L103" s="643"/>
      <c r="M103" s="643"/>
      <c r="N103" s="643"/>
      <c r="O103" s="643"/>
      <c r="P103" s="643"/>
      <c r="Q103" s="643"/>
      <c r="R103" s="643"/>
      <c r="S103" s="643"/>
      <c r="T103" s="643"/>
      <c r="U103" s="643"/>
      <c r="V103" s="643"/>
      <c r="W103" s="643"/>
      <c r="X103" s="643"/>
      <c r="Y103" s="643"/>
      <c r="Z103" s="643"/>
    </row>
    <row r="104" ht="11.25" customHeight="1">
      <c r="A104" s="646"/>
      <c r="B104" s="643"/>
      <c r="C104" s="644"/>
      <c r="D104" s="643"/>
      <c r="E104" s="643"/>
      <c r="F104" s="643"/>
      <c r="G104" s="643"/>
      <c r="H104" s="643"/>
      <c r="I104" s="643"/>
      <c r="J104" s="643"/>
      <c r="K104" s="643"/>
      <c r="L104" s="643"/>
      <c r="M104" s="643"/>
      <c r="N104" s="643"/>
      <c r="O104" s="643"/>
      <c r="P104" s="643"/>
      <c r="Q104" s="643"/>
      <c r="R104" s="643"/>
      <c r="S104" s="643"/>
      <c r="T104" s="643"/>
      <c r="U104" s="643"/>
      <c r="V104" s="643"/>
      <c r="W104" s="643"/>
      <c r="X104" s="643"/>
      <c r="Y104" s="643"/>
      <c r="Z104" s="643"/>
    </row>
    <row r="105" ht="11.25" customHeight="1">
      <c r="A105" s="646"/>
      <c r="B105" s="643"/>
      <c r="C105" s="644"/>
      <c r="D105" s="643"/>
      <c r="E105" s="643"/>
      <c r="F105" s="643"/>
      <c r="G105" s="643"/>
      <c r="H105" s="643"/>
      <c r="I105" s="643"/>
      <c r="J105" s="643"/>
      <c r="K105" s="643"/>
      <c r="L105" s="643"/>
      <c r="M105" s="643"/>
      <c r="N105" s="643"/>
      <c r="O105" s="643"/>
      <c r="P105" s="643"/>
      <c r="Q105" s="643"/>
      <c r="R105" s="643"/>
      <c r="S105" s="643"/>
      <c r="T105" s="643"/>
      <c r="U105" s="643"/>
      <c r="V105" s="643"/>
      <c r="W105" s="643"/>
      <c r="X105" s="643"/>
      <c r="Y105" s="643"/>
      <c r="Z105" s="643"/>
    </row>
    <row r="106" ht="11.25" customHeight="1">
      <c r="A106" s="646"/>
      <c r="B106" s="643"/>
      <c r="C106" s="644"/>
      <c r="D106" s="643"/>
      <c r="E106" s="643"/>
      <c r="F106" s="643"/>
      <c r="G106" s="643"/>
      <c r="H106" s="643"/>
      <c r="I106" s="643"/>
      <c r="J106" s="643"/>
      <c r="K106" s="643"/>
      <c r="L106" s="643"/>
      <c r="M106" s="643"/>
      <c r="N106" s="643"/>
      <c r="O106" s="643"/>
      <c r="P106" s="643"/>
      <c r="Q106" s="643"/>
      <c r="R106" s="643"/>
      <c r="S106" s="643"/>
      <c r="T106" s="643"/>
      <c r="U106" s="643"/>
      <c r="V106" s="643"/>
      <c r="W106" s="643"/>
      <c r="X106" s="643"/>
      <c r="Y106" s="643"/>
      <c r="Z106" s="643"/>
    </row>
    <row r="107" ht="11.25" customHeight="1">
      <c r="A107" s="646"/>
      <c r="B107" s="643"/>
      <c r="C107" s="644"/>
      <c r="D107" s="643"/>
      <c r="E107" s="643"/>
      <c r="F107" s="643"/>
      <c r="G107" s="643"/>
      <c r="H107" s="643"/>
      <c r="I107" s="643"/>
      <c r="J107" s="643"/>
      <c r="K107" s="643"/>
      <c r="L107" s="643"/>
      <c r="M107" s="643"/>
      <c r="N107" s="643"/>
      <c r="O107" s="643"/>
      <c r="P107" s="643"/>
      <c r="Q107" s="643"/>
      <c r="R107" s="643"/>
      <c r="S107" s="643"/>
      <c r="T107" s="643"/>
      <c r="U107" s="643"/>
      <c r="V107" s="643"/>
      <c r="W107" s="643"/>
      <c r="X107" s="643"/>
      <c r="Y107" s="643"/>
      <c r="Z107" s="643"/>
    </row>
    <row r="108" ht="11.25" customHeight="1">
      <c r="A108" s="646"/>
      <c r="B108" s="643"/>
      <c r="C108" s="644"/>
      <c r="D108" s="643"/>
      <c r="E108" s="643"/>
      <c r="F108" s="643"/>
      <c r="G108" s="643"/>
      <c r="H108" s="643"/>
      <c r="I108" s="643"/>
      <c r="J108" s="643"/>
      <c r="K108" s="643"/>
      <c r="L108" s="643"/>
      <c r="M108" s="643"/>
      <c r="N108" s="643"/>
      <c r="O108" s="643"/>
      <c r="P108" s="643"/>
      <c r="Q108" s="643"/>
      <c r="R108" s="643"/>
      <c r="S108" s="643"/>
      <c r="T108" s="643"/>
      <c r="U108" s="643"/>
      <c r="V108" s="643"/>
      <c r="W108" s="643"/>
      <c r="X108" s="643"/>
      <c r="Y108" s="643"/>
      <c r="Z108" s="643"/>
    </row>
    <row r="109" ht="11.25" customHeight="1">
      <c r="A109" s="646"/>
      <c r="B109" s="643"/>
      <c r="C109" s="644"/>
      <c r="D109" s="643"/>
      <c r="E109" s="643"/>
      <c r="F109" s="643"/>
      <c r="G109" s="643"/>
      <c r="H109" s="643"/>
      <c r="I109" s="643"/>
      <c r="J109" s="643"/>
      <c r="K109" s="643"/>
      <c r="L109" s="643"/>
      <c r="M109" s="643"/>
      <c r="N109" s="643"/>
      <c r="O109" s="643"/>
      <c r="P109" s="643"/>
      <c r="Q109" s="643"/>
      <c r="R109" s="643"/>
      <c r="S109" s="643"/>
      <c r="T109" s="643"/>
      <c r="U109" s="643"/>
      <c r="V109" s="643"/>
      <c r="W109" s="643"/>
      <c r="X109" s="643"/>
      <c r="Y109" s="643"/>
      <c r="Z109" s="643"/>
    </row>
    <row r="110" ht="11.25" customHeight="1">
      <c r="A110" s="646"/>
      <c r="B110" s="643"/>
      <c r="C110" s="644"/>
      <c r="D110" s="643"/>
      <c r="E110" s="643"/>
      <c r="F110" s="643"/>
      <c r="G110" s="643"/>
      <c r="H110" s="643"/>
      <c r="I110" s="643"/>
      <c r="J110" s="643"/>
      <c r="K110" s="643"/>
      <c r="L110" s="643"/>
      <c r="M110" s="643"/>
      <c r="N110" s="643"/>
      <c r="O110" s="643"/>
      <c r="P110" s="643"/>
      <c r="Q110" s="643"/>
      <c r="R110" s="643"/>
      <c r="S110" s="643"/>
      <c r="T110" s="643"/>
      <c r="U110" s="643"/>
      <c r="V110" s="643"/>
      <c r="W110" s="643"/>
      <c r="X110" s="643"/>
      <c r="Y110" s="643"/>
      <c r="Z110" s="643"/>
    </row>
    <row r="111" ht="11.25" customHeight="1">
      <c r="A111" s="646"/>
      <c r="B111" s="643"/>
      <c r="C111" s="644"/>
      <c r="D111" s="643"/>
      <c r="E111" s="643"/>
      <c r="F111" s="643"/>
      <c r="G111" s="643"/>
      <c r="H111" s="643"/>
      <c r="I111" s="643"/>
      <c r="J111" s="643"/>
      <c r="K111" s="643"/>
      <c r="L111" s="643"/>
      <c r="M111" s="643"/>
      <c r="N111" s="643"/>
      <c r="O111" s="643"/>
      <c r="P111" s="643"/>
      <c r="Q111" s="643"/>
      <c r="R111" s="643"/>
      <c r="S111" s="643"/>
      <c r="T111" s="643"/>
      <c r="U111" s="643"/>
      <c r="V111" s="643"/>
      <c r="W111" s="643"/>
      <c r="X111" s="643"/>
      <c r="Y111" s="643"/>
      <c r="Z111" s="643"/>
    </row>
    <row r="112" ht="11.25" customHeight="1">
      <c r="A112" s="646"/>
      <c r="B112" s="643"/>
      <c r="C112" s="644"/>
      <c r="D112" s="643"/>
      <c r="E112" s="643"/>
      <c r="F112" s="643"/>
      <c r="G112" s="643"/>
      <c r="H112" s="643"/>
      <c r="I112" s="643"/>
      <c r="J112" s="643"/>
      <c r="K112" s="643"/>
      <c r="L112" s="643"/>
      <c r="M112" s="643"/>
      <c r="N112" s="643"/>
      <c r="O112" s="643"/>
      <c r="P112" s="643"/>
      <c r="Q112" s="643"/>
      <c r="R112" s="643"/>
      <c r="S112" s="643"/>
      <c r="T112" s="643"/>
      <c r="U112" s="643"/>
      <c r="V112" s="643"/>
      <c r="W112" s="643"/>
      <c r="X112" s="643"/>
      <c r="Y112" s="643"/>
      <c r="Z112" s="643"/>
    </row>
    <row r="113" ht="11.25" customHeight="1">
      <c r="A113" s="646"/>
      <c r="B113" s="643"/>
      <c r="C113" s="644"/>
      <c r="D113" s="643"/>
      <c r="E113" s="643"/>
      <c r="F113" s="643"/>
      <c r="G113" s="643"/>
      <c r="H113" s="643"/>
      <c r="I113" s="643"/>
      <c r="J113" s="643"/>
      <c r="K113" s="643"/>
      <c r="L113" s="643"/>
      <c r="M113" s="643"/>
      <c r="N113" s="643"/>
      <c r="O113" s="643"/>
      <c r="P113" s="643"/>
      <c r="Q113" s="643"/>
      <c r="R113" s="643"/>
      <c r="S113" s="643"/>
      <c r="T113" s="643"/>
      <c r="U113" s="643"/>
      <c r="V113" s="643"/>
      <c r="W113" s="643"/>
      <c r="X113" s="643"/>
      <c r="Y113" s="643"/>
      <c r="Z113" s="643"/>
    </row>
    <row r="114" ht="11.25" customHeight="1">
      <c r="A114" s="646"/>
      <c r="B114" s="643"/>
      <c r="C114" s="644"/>
      <c r="D114" s="643"/>
      <c r="E114" s="643"/>
      <c r="F114" s="643"/>
      <c r="G114" s="643"/>
      <c r="H114" s="643"/>
      <c r="I114" s="643"/>
      <c r="J114" s="643"/>
      <c r="K114" s="643"/>
      <c r="L114" s="643"/>
      <c r="M114" s="643"/>
      <c r="N114" s="643"/>
      <c r="O114" s="643"/>
      <c r="P114" s="643"/>
      <c r="Q114" s="643"/>
      <c r="R114" s="643"/>
      <c r="S114" s="643"/>
      <c r="T114" s="643"/>
      <c r="U114" s="643"/>
      <c r="V114" s="643"/>
      <c r="W114" s="643"/>
      <c r="X114" s="643"/>
      <c r="Y114" s="643"/>
      <c r="Z114" s="643"/>
    </row>
    <row r="115" ht="11.25" customHeight="1">
      <c r="A115" s="646"/>
      <c r="B115" s="643"/>
      <c r="C115" s="644"/>
      <c r="D115" s="643"/>
      <c r="E115" s="643"/>
      <c r="F115" s="643"/>
      <c r="G115" s="643"/>
      <c r="H115" s="643"/>
      <c r="I115" s="643"/>
      <c r="J115" s="643"/>
      <c r="K115" s="643"/>
      <c r="L115" s="643"/>
      <c r="M115" s="643"/>
      <c r="N115" s="643"/>
      <c r="O115" s="643"/>
      <c r="P115" s="643"/>
      <c r="Q115" s="643"/>
      <c r="R115" s="643"/>
      <c r="S115" s="643"/>
      <c r="T115" s="643"/>
      <c r="U115" s="643"/>
      <c r="V115" s="643"/>
      <c r="W115" s="643"/>
      <c r="X115" s="643"/>
      <c r="Y115" s="643"/>
      <c r="Z115" s="643"/>
    </row>
    <row r="116" ht="11.25" customHeight="1">
      <c r="A116" s="646"/>
      <c r="B116" s="643"/>
      <c r="C116" s="644"/>
      <c r="D116" s="643"/>
      <c r="E116" s="643"/>
      <c r="F116" s="643"/>
      <c r="G116" s="643"/>
      <c r="H116" s="643"/>
      <c r="I116" s="643"/>
      <c r="J116" s="643"/>
      <c r="K116" s="643"/>
      <c r="L116" s="643"/>
      <c r="M116" s="643"/>
      <c r="N116" s="643"/>
      <c r="O116" s="643"/>
      <c r="P116" s="643"/>
      <c r="Q116" s="643"/>
      <c r="R116" s="643"/>
      <c r="S116" s="643"/>
      <c r="T116" s="643"/>
      <c r="U116" s="643"/>
      <c r="V116" s="643"/>
      <c r="W116" s="643"/>
      <c r="X116" s="643"/>
      <c r="Y116" s="643"/>
      <c r="Z116" s="643"/>
    </row>
    <row r="117" ht="11.25" customHeight="1">
      <c r="A117" s="646"/>
      <c r="B117" s="643"/>
      <c r="C117" s="644"/>
      <c r="D117" s="643"/>
      <c r="E117" s="643"/>
      <c r="F117" s="643"/>
      <c r="G117" s="643"/>
      <c r="H117" s="643"/>
      <c r="I117" s="643"/>
      <c r="J117" s="643"/>
      <c r="K117" s="643"/>
      <c r="L117" s="643"/>
      <c r="M117" s="643"/>
      <c r="N117" s="643"/>
      <c r="O117" s="643"/>
      <c r="P117" s="643"/>
      <c r="Q117" s="643"/>
      <c r="R117" s="643"/>
      <c r="S117" s="643"/>
      <c r="T117" s="643"/>
      <c r="U117" s="643"/>
      <c r="V117" s="643"/>
      <c r="W117" s="643"/>
      <c r="X117" s="643"/>
      <c r="Y117" s="643"/>
      <c r="Z117" s="643"/>
    </row>
    <row r="118" ht="11.25" customHeight="1">
      <c r="A118" s="646"/>
      <c r="B118" s="643"/>
      <c r="C118" s="644"/>
      <c r="D118" s="643"/>
      <c r="E118" s="643"/>
      <c r="F118" s="643"/>
      <c r="G118" s="643"/>
      <c r="H118" s="643"/>
      <c r="I118" s="643"/>
      <c r="J118" s="643"/>
      <c r="K118" s="643"/>
      <c r="L118" s="643"/>
      <c r="M118" s="643"/>
      <c r="N118" s="643"/>
      <c r="O118" s="643"/>
      <c r="P118" s="643"/>
      <c r="Q118" s="643"/>
      <c r="R118" s="643"/>
      <c r="S118" s="643"/>
      <c r="T118" s="643"/>
      <c r="U118" s="643"/>
      <c r="V118" s="643"/>
      <c r="W118" s="643"/>
      <c r="X118" s="643"/>
      <c r="Y118" s="643"/>
      <c r="Z118" s="643"/>
    </row>
    <row r="119" ht="11.25" customHeight="1">
      <c r="A119" s="646"/>
      <c r="B119" s="643"/>
      <c r="C119" s="644"/>
      <c r="D119" s="643"/>
      <c r="E119" s="643"/>
      <c r="F119" s="643"/>
      <c r="G119" s="643"/>
      <c r="H119" s="643"/>
      <c r="I119" s="643"/>
      <c r="J119" s="643"/>
      <c r="K119" s="643"/>
      <c r="L119" s="643"/>
      <c r="M119" s="643"/>
      <c r="N119" s="643"/>
      <c r="O119" s="643"/>
      <c r="P119" s="643"/>
      <c r="Q119" s="643"/>
      <c r="R119" s="643"/>
      <c r="S119" s="643"/>
      <c r="T119" s="643"/>
      <c r="U119" s="643"/>
      <c r="V119" s="643"/>
      <c r="W119" s="643"/>
      <c r="X119" s="643"/>
      <c r="Y119" s="643"/>
      <c r="Z119" s="643"/>
    </row>
    <row r="120" ht="11.25" customHeight="1">
      <c r="A120" s="646"/>
      <c r="B120" s="643"/>
      <c r="C120" s="644"/>
      <c r="D120" s="643"/>
      <c r="E120" s="643"/>
      <c r="F120" s="643"/>
      <c r="G120" s="643"/>
      <c r="H120" s="643"/>
      <c r="I120" s="643"/>
      <c r="J120" s="643"/>
      <c r="K120" s="643"/>
      <c r="L120" s="643"/>
      <c r="M120" s="643"/>
      <c r="N120" s="643"/>
      <c r="O120" s="643"/>
      <c r="P120" s="643"/>
      <c r="Q120" s="643"/>
      <c r="R120" s="643"/>
      <c r="S120" s="643"/>
      <c r="T120" s="643"/>
      <c r="U120" s="643"/>
      <c r="V120" s="643"/>
      <c r="W120" s="643"/>
      <c r="X120" s="643"/>
      <c r="Y120" s="643"/>
      <c r="Z120" s="643"/>
    </row>
    <row r="121" ht="11.25" customHeight="1">
      <c r="A121" s="646"/>
      <c r="B121" s="643"/>
      <c r="C121" s="644"/>
      <c r="D121" s="643"/>
      <c r="E121" s="643"/>
      <c r="F121" s="643"/>
      <c r="G121" s="643"/>
      <c r="H121" s="643"/>
      <c r="I121" s="643"/>
      <c r="J121" s="643"/>
      <c r="K121" s="643"/>
      <c r="L121" s="643"/>
      <c r="M121" s="643"/>
      <c r="N121" s="643"/>
      <c r="O121" s="643"/>
      <c r="P121" s="643"/>
      <c r="Q121" s="643"/>
      <c r="R121" s="643"/>
      <c r="S121" s="643"/>
      <c r="T121" s="643"/>
      <c r="U121" s="643"/>
      <c r="V121" s="643"/>
      <c r="W121" s="643"/>
      <c r="X121" s="643"/>
      <c r="Y121" s="643"/>
      <c r="Z121" s="643"/>
    </row>
    <row r="122" ht="11.25" customHeight="1">
      <c r="A122" s="646"/>
      <c r="B122" s="643"/>
      <c r="C122" s="644"/>
      <c r="D122" s="643"/>
      <c r="E122" s="643"/>
      <c r="F122" s="643"/>
      <c r="G122" s="643"/>
      <c r="H122" s="643"/>
      <c r="I122" s="643"/>
      <c r="J122" s="643"/>
      <c r="K122" s="643"/>
      <c r="L122" s="643"/>
      <c r="M122" s="643"/>
      <c r="N122" s="643"/>
      <c r="O122" s="643"/>
      <c r="P122" s="643"/>
      <c r="Q122" s="643"/>
      <c r="R122" s="643"/>
      <c r="S122" s="643"/>
      <c r="T122" s="643"/>
      <c r="U122" s="643"/>
      <c r="V122" s="643"/>
      <c r="W122" s="643"/>
      <c r="X122" s="643"/>
      <c r="Y122" s="643"/>
      <c r="Z122" s="643"/>
    </row>
    <row r="123" ht="11.25" customHeight="1">
      <c r="A123" s="646"/>
      <c r="B123" s="643"/>
      <c r="C123" s="644"/>
      <c r="D123" s="643"/>
      <c r="E123" s="643"/>
      <c r="F123" s="643"/>
      <c r="G123" s="643"/>
      <c r="H123" s="643"/>
      <c r="I123" s="643"/>
      <c r="J123" s="643"/>
      <c r="K123" s="643"/>
      <c r="L123" s="643"/>
      <c r="M123" s="643"/>
      <c r="N123" s="643"/>
      <c r="O123" s="643"/>
      <c r="P123" s="643"/>
      <c r="Q123" s="643"/>
      <c r="R123" s="643"/>
      <c r="S123" s="643"/>
      <c r="T123" s="643"/>
      <c r="U123" s="643"/>
      <c r="V123" s="643"/>
      <c r="W123" s="643"/>
      <c r="X123" s="643"/>
      <c r="Y123" s="643"/>
      <c r="Z123" s="643"/>
    </row>
    <row r="124" ht="11.25" customHeight="1">
      <c r="A124" s="646"/>
      <c r="B124" s="643"/>
      <c r="C124" s="644"/>
      <c r="D124" s="643"/>
      <c r="E124" s="643"/>
      <c r="F124" s="643"/>
      <c r="G124" s="643"/>
      <c r="H124" s="643"/>
      <c r="I124" s="643"/>
      <c r="J124" s="643"/>
      <c r="K124" s="643"/>
      <c r="L124" s="643"/>
      <c r="M124" s="643"/>
      <c r="N124" s="643"/>
      <c r="O124" s="643"/>
      <c r="P124" s="643"/>
      <c r="Q124" s="643"/>
      <c r="R124" s="643"/>
      <c r="S124" s="643"/>
      <c r="T124" s="643"/>
      <c r="U124" s="643"/>
      <c r="V124" s="643"/>
      <c r="W124" s="643"/>
      <c r="X124" s="643"/>
      <c r="Y124" s="643"/>
      <c r="Z124" s="643"/>
    </row>
    <row r="125" ht="11.25" customHeight="1">
      <c r="A125" s="646"/>
      <c r="B125" s="643"/>
      <c r="C125" s="644"/>
      <c r="D125" s="643"/>
      <c r="E125" s="643"/>
      <c r="F125" s="643"/>
      <c r="G125" s="643"/>
      <c r="H125" s="643"/>
      <c r="I125" s="643"/>
      <c r="J125" s="643"/>
      <c r="K125" s="643"/>
      <c r="L125" s="643"/>
      <c r="M125" s="643"/>
      <c r="N125" s="643"/>
      <c r="O125" s="643"/>
      <c r="P125" s="643"/>
      <c r="Q125" s="643"/>
      <c r="R125" s="643"/>
      <c r="S125" s="643"/>
      <c r="T125" s="643"/>
      <c r="U125" s="643"/>
      <c r="V125" s="643"/>
      <c r="W125" s="643"/>
      <c r="X125" s="643"/>
      <c r="Y125" s="643"/>
      <c r="Z125" s="643"/>
    </row>
    <row r="126" ht="11.25" customHeight="1">
      <c r="A126" s="646"/>
      <c r="B126" s="643"/>
      <c r="C126" s="644"/>
      <c r="D126" s="643"/>
      <c r="E126" s="643"/>
      <c r="F126" s="643"/>
      <c r="G126" s="643"/>
      <c r="H126" s="643"/>
      <c r="I126" s="643"/>
      <c r="J126" s="643"/>
      <c r="K126" s="643"/>
      <c r="L126" s="643"/>
      <c r="M126" s="643"/>
      <c r="N126" s="643"/>
      <c r="O126" s="643"/>
      <c r="P126" s="643"/>
      <c r="Q126" s="643"/>
      <c r="R126" s="643"/>
      <c r="S126" s="643"/>
      <c r="T126" s="643"/>
      <c r="U126" s="643"/>
      <c r="V126" s="643"/>
      <c r="W126" s="643"/>
      <c r="X126" s="643"/>
      <c r="Y126" s="643"/>
      <c r="Z126" s="643"/>
    </row>
    <row r="127" ht="11.25" customHeight="1">
      <c r="A127" s="646"/>
      <c r="B127" s="643"/>
      <c r="C127" s="644"/>
      <c r="D127" s="643"/>
      <c r="E127" s="643"/>
      <c r="F127" s="643"/>
      <c r="G127" s="643"/>
      <c r="H127" s="643"/>
      <c r="I127" s="643"/>
      <c r="J127" s="643"/>
      <c r="K127" s="643"/>
      <c r="L127" s="643"/>
      <c r="M127" s="643"/>
      <c r="N127" s="643"/>
      <c r="O127" s="643"/>
      <c r="P127" s="643"/>
      <c r="Q127" s="643"/>
      <c r="R127" s="643"/>
      <c r="S127" s="643"/>
      <c r="T127" s="643"/>
      <c r="U127" s="643"/>
      <c r="V127" s="643"/>
      <c r="W127" s="643"/>
      <c r="X127" s="643"/>
      <c r="Y127" s="643"/>
      <c r="Z127" s="643"/>
    </row>
    <row r="128" ht="11.25" customHeight="1">
      <c r="A128" s="646"/>
      <c r="B128" s="643"/>
      <c r="C128" s="644"/>
      <c r="D128" s="643"/>
      <c r="E128" s="643"/>
      <c r="F128" s="643"/>
      <c r="G128" s="643"/>
      <c r="H128" s="643"/>
      <c r="I128" s="643"/>
      <c r="J128" s="643"/>
      <c r="K128" s="643"/>
      <c r="L128" s="643"/>
      <c r="M128" s="643"/>
      <c r="N128" s="643"/>
      <c r="O128" s="643"/>
      <c r="P128" s="643"/>
      <c r="Q128" s="643"/>
      <c r="R128" s="643"/>
      <c r="S128" s="643"/>
      <c r="T128" s="643"/>
      <c r="U128" s="643"/>
      <c r="V128" s="643"/>
      <c r="W128" s="643"/>
      <c r="X128" s="643"/>
      <c r="Y128" s="643"/>
      <c r="Z128" s="643"/>
    </row>
    <row r="129" ht="11.25" customHeight="1">
      <c r="A129" s="646"/>
      <c r="B129" s="643"/>
      <c r="C129" s="644"/>
      <c r="D129" s="643"/>
      <c r="E129" s="643"/>
      <c r="F129" s="643"/>
      <c r="G129" s="643"/>
      <c r="H129" s="643"/>
      <c r="I129" s="643"/>
      <c r="J129" s="643"/>
      <c r="K129" s="643"/>
      <c r="L129" s="643"/>
      <c r="M129" s="643"/>
      <c r="N129" s="643"/>
      <c r="O129" s="643"/>
      <c r="P129" s="643"/>
      <c r="Q129" s="643"/>
      <c r="R129" s="643"/>
      <c r="S129" s="643"/>
      <c r="T129" s="643"/>
      <c r="U129" s="643"/>
      <c r="V129" s="643"/>
      <c r="W129" s="643"/>
      <c r="X129" s="643"/>
      <c r="Y129" s="643"/>
      <c r="Z129" s="643"/>
    </row>
    <row r="130" ht="11.25" customHeight="1">
      <c r="A130" s="646"/>
      <c r="B130" s="643"/>
      <c r="C130" s="644"/>
      <c r="D130" s="643"/>
      <c r="E130" s="643"/>
      <c r="F130" s="643"/>
      <c r="G130" s="643"/>
      <c r="H130" s="643"/>
      <c r="I130" s="643"/>
      <c r="J130" s="643"/>
      <c r="K130" s="643"/>
      <c r="L130" s="643"/>
      <c r="M130" s="643"/>
      <c r="N130" s="643"/>
      <c r="O130" s="643"/>
      <c r="P130" s="643"/>
      <c r="Q130" s="643"/>
      <c r="R130" s="643"/>
      <c r="S130" s="643"/>
      <c r="T130" s="643"/>
      <c r="U130" s="643"/>
      <c r="V130" s="643"/>
      <c r="W130" s="643"/>
      <c r="X130" s="643"/>
      <c r="Y130" s="643"/>
      <c r="Z130" s="643"/>
    </row>
    <row r="131" ht="11.25" customHeight="1">
      <c r="A131" s="646"/>
      <c r="B131" s="643"/>
      <c r="C131" s="644"/>
      <c r="D131" s="643"/>
      <c r="E131" s="643"/>
      <c r="F131" s="643"/>
      <c r="G131" s="643"/>
      <c r="H131" s="643"/>
      <c r="I131" s="643"/>
      <c r="J131" s="643"/>
      <c r="K131" s="643"/>
      <c r="L131" s="643"/>
      <c r="M131" s="643"/>
      <c r="N131" s="643"/>
      <c r="O131" s="643"/>
      <c r="P131" s="643"/>
      <c r="Q131" s="643"/>
      <c r="R131" s="643"/>
      <c r="S131" s="643"/>
      <c r="T131" s="643"/>
      <c r="U131" s="643"/>
      <c r="V131" s="643"/>
      <c r="W131" s="643"/>
      <c r="X131" s="643"/>
      <c r="Y131" s="643"/>
      <c r="Z131" s="643"/>
    </row>
    <row r="132" ht="11.25" customHeight="1">
      <c r="A132" s="646"/>
      <c r="B132" s="643"/>
      <c r="C132" s="644"/>
      <c r="D132" s="643"/>
      <c r="E132" s="643"/>
      <c r="F132" s="643"/>
      <c r="G132" s="643"/>
      <c r="H132" s="643"/>
      <c r="I132" s="643"/>
      <c r="J132" s="643"/>
      <c r="K132" s="643"/>
      <c r="L132" s="643"/>
      <c r="M132" s="643"/>
      <c r="N132" s="643"/>
      <c r="O132" s="643"/>
      <c r="P132" s="643"/>
      <c r="Q132" s="643"/>
      <c r="R132" s="643"/>
      <c r="S132" s="643"/>
      <c r="T132" s="643"/>
      <c r="U132" s="643"/>
      <c r="V132" s="643"/>
      <c r="W132" s="643"/>
      <c r="X132" s="643"/>
      <c r="Y132" s="643"/>
      <c r="Z132" s="643"/>
    </row>
    <row r="133" ht="11.25" customHeight="1">
      <c r="A133" s="646"/>
      <c r="B133" s="643"/>
      <c r="C133" s="644"/>
      <c r="D133" s="643"/>
      <c r="E133" s="643"/>
      <c r="F133" s="643"/>
      <c r="G133" s="643"/>
      <c r="H133" s="643"/>
      <c r="I133" s="643"/>
      <c r="J133" s="643"/>
      <c r="K133" s="643"/>
      <c r="L133" s="643"/>
      <c r="M133" s="643"/>
      <c r="N133" s="643"/>
      <c r="O133" s="643"/>
      <c r="P133" s="643"/>
      <c r="Q133" s="643"/>
      <c r="R133" s="643"/>
      <c r="S133" s="643"/>
      <c r="T133" s="643"/>
      <c r="U133" s="643"/>
      <c r="V133" s="643"/>
      <c r="W133" s="643"/>
      <c r="X133" s="643"/>
      <c r="Y133" s="643"/>
      <c r="Z133" s="643"/>
    </row>
    <row r="134" ht="11.25" customHeight="1">
      <c r="A134" s="646"/>
      <c r="B134" s="643"/>
      <c r="C134" s="644"/>
      <c r="D134" s="643"/>
      <c r="E134" s="643"/>
      <c r="F134" s="643"/>
      <c r="G134" s="643"/>
      <c r="H134" s="643"/>
      <c r="I134" s="643"/>
      <c r="J134" s="643"/>
      <c r="K134" s="643"/>
      <c r="L134" s="643"/>
      <c r="M134" s="643"/>
      <c r="N134" s="643"/>
      <c r="O134" s="643"/>
      <c r="P134" s="643"/>
      <c r="Q134" s="643"/>
      <c r="R134" s="643"/>
      <c r="S134" s="643"/>
      <c r="T134" s="643"/>
      <c r="U134" s="643"/>
      <c r="V134" s="643"/>
      <c r="W134" s="643"/>
      <c r="X134" s="643"/>
      <c r="Y134" s="643"/>
      <c r="Z134" s="643"/>
    </row>
    <row r="135" ht="11.25" customHeight="1">
      <c r="A135" s="646"/>
      <c r="B135" s="643"/>
      <c r="C135" s="644"/>
      <c r="D135" s="643"/>
      <c r="E135" s="643"/>
      <c r="F135" s="643"/>
      <c r="G135" s="643"/>
      <c r="H135" s="643"/>
      <c r="I135" s="643"/>
      <c r="J135" s="643"/>
      <c r="K135" s="643"/>
      <c r="L135" s="643"/>
      <c r="M135" s="643"/>
      <c r="N135" s="643"/>
      <c r="O135" s="643"/>
      <c r="P135" s="643"/>
      <c r="Q135" s="643"/>
      <c r="R135" s="643"/>
      <c r="S135" s="643"/>
      <c r="T135" s="643"/>
      <c r="U135" s="643"/>
      <c r="V135" s="643"/>
      <c r="W135" s="643"/>
      <c r="X135" s="643"/>
      <c r="Y135" s="643"/>
      <c r="Z135" s="643"/>
    </row>
    <row r="136" ht="11.25" customHeight="1">
      <c r="A136" s="646"/>
      <c r="B136" s="643"/>
      <c r="C136" s="644"/>
      <c r="D136" s="643"/>
      <c r="E136" s="643"/>
      <c r="F136" s="643"/>
      <c r="G136" s="643"/>
      <c r="H136" s="643"/>
      <c r="I136" s="643"/>
      <c r="J136" s="643"/>
      <c r="K136" s="643"/>
      <c r="L136" s="643"/>
      <c r="M136" s="643"/>
      <c r="N136" s="643"/>
      <c r="O136" s="643"/>
      <c r="P136" s="643"/>
      <c r="Q136" s="643"/>
      <c r="R136" s="643"/>
      <c r="S136" s="643"/>
      <c r="T136" s="643"/>
      <c r="U136" s="643"/>
      <c r="V136" s="643"/>
      <c r="W136" s="643"/>
      <c r="X136" s="643"/>
      <c r="Y136" s="643"/>
      <c r="Z136" s="643"/>
    </row>
    <row r="137" ht="11.25" customHeight="1">
      <c r="A137" s="646"/>
      <c r="B137" s="643"/>
      <c r="C137" s="644"/>
      <c r="D137" s="643"/>
      <c r="E137" s="643"/>
      <c r="F137" s="643"/>
      <c r="G137" s="643"/>
      <c r="H137" s="643"/>
      <c r="I137" s="643"/>
      <c r="J137" s="643"/>
      <c r="K137" s="643"/>
      <c r="L137" s="643"/>
      <c r="M137" s="643"/>
      <c r="N137" s="643"/>
      <c r="O137" s="643"/>
      <c r="P137" s="643"/>
      <c r="Q137" s="643"/>
      <c r="R137" s="643"/>
      <c r="S137" s="643"/>
      <c r="T137" s="643"/>
      <c r="U137" s="643"/>
      <c r="V137" s="643"/>
      <c r="W137" s="643"/>
      <c r="X137" s="643"/>
      <c r="Y137" s="643"/>
      <c r="Z137" s="643"/>
    </row>
    <row r="138" ht="11.25" customHeight="1">
      <c r="A138" s="646"/>
      <c r="B138" s="643"/>
      <c r="C138" s="644"/>
      <c r="D138" s="643"/>
      <c r="E138" s="643"/>
      <c r="F138" s="643"/>
      <c r="G138" s="643"/>
      <c r="H138" s="643"/>
      <c r="I138" s="643"/>
      <c r="J138" s="643"/>
      <c r="K138" s="643"/>
      <c r="L138" s="643"/>
      <c r="M138" s="643"/>
      <c r="N138" s="643"/>
      <c r="O138" s="643"/>
      <c r="P138" s="643"/>
      <c r="Q138" s="643"/>
      <c r="R138" s="643"/>
      <c r="S138" s="643"/>
      <c r="T138" s="643"/>
      <c r="U138" s="643"/>
      <c r="V138" s="643"/>
      <c r="W138" s="643"/>
      <c r="X138" s="643"/>
      <c r="Y138" s="643"/>
      <c r="Z138" s="643"/>
    </row>
    <row r="139" ht="11.25" customHeight="1">
      <c r="A139" s="646"/>
      <c r="B139" s="643"/>
      <c r="C139" s="644"/>
      <c r="D139" s="643"/>
      <c r="E139" s="643"/>
      <c r="F139" s="643"/>
      <c r="G139" s="643"/>
      <c r="H139" s="643"/>
      <c r="I139" s="643"/>
      <c r="J139" s="643"/>
      <c r="K139" s="643"/>
      <c r="L139" s="643"/>
      <c r="M139" s="643"/>
      <c r="N139" s="643"/>
      <c r="O139" s="643"/>
      <c r="P139" s="643"/>
      <c r="Q139" s="643"/>
      <c r="R139" s="643"/>
      <c r="S139" s="643"/>
      <c r="T139" s="643"/>
      <c r="U139" s="643"/>
      <c r="V139" s="643"/>
      <c r="W139" s="643"/>
      <c r="X139" s="643"/>
      <c r="Y139" s="643"/>
      <c r="Z139" s="643"/>
    </row>
    <row r="140" ht="11.25" customHeight="1">
      <c r="A140" s="646"/>
      <c r="B140" s="643"/>
      <c r="C140" s="644"/>
      <c r="D140" s="643"/>
      <c r="E140" s="643"/>
      <c r="F140" s="643"/>
      <c r="G140" s="643"/>
      <c r="H140" s="643"/>
      <c r="I140" s="643"/>
      <c r="J140" s="643"/>
      <c r="K140" s="643"/>
      <c r="L140" s="643"/>
      <c r="M140" s="643"/>
      <c r="N140" s="643"/>
      <c r="O140" s="643"/>
      <c r="P140" s="643"/>
      <c r="Q140" s="643"/>
      <c r="R140" s="643"/>
      <c r="S140" s="643"/>
      <c r="T140" s="643"/>
      <c r="U140" s="643"/>
      <c r="V140" s="643"/>
      <c r="W140" s="643"/>
      <c r="X140" s="643"/>
      <c r="Y140" s="643"/>
      <c r="Z140" s="643"/>
    </row>
    <row r="141" ht="11.25" customHeight="1">
      <c r="A141" s="646"/>
      <c r="B141" s="643"/>
      <c r="C141" s="644"/>
      <c r="D141" s="643"/>
      <c r="E141" s="643"/>
      <c r="F141" s="643"/>
      <c r="G141" s="643"/>
      <c r="H141" s="643"/>
      <c r="I141" s="643"/>
      <c r="J141" s="643"/>
      <c r="K141" s="643"/>
      <c r="L141" s="643"/>
      <c r="M141" s="643"/>
      <c r="N141" s="643"/>
      <c r="O141" s="643"/>
      <c r="P141" s="643"/>
      <c r="Q141" s="643"/>
      <c r="R141" s="643"/>
      <c r="S141" s="643"/>
      <c r="T141" s="643"/>
      <c r="U141" s="643"/>
      <c r="V141" s="643"/>
      <c r="W141" s="643"/>
      <c r="X141" s="643"/>
      <c r="Y141" s="643"/>
      <c r="Z141" s="643"/>
    </row>
    <row r="142" ht="11.25" customHeight="1">
      <c r="A142" s="646"/>
      <c r="B142" s="643"/>
      <c r="C142" s="644"/>
      <c r="D142" s="643"/>
      <c r="E142" s="643"/>
      <c r="F142" s="643"/>
      <c r="G142" s="643"/>
      <c r="H142" s="643"/>
      <c r="I142" s="643"/>
      <c r="J142" s="643"/>
      <c r="K142" s="643"/>
      <c r="L142" s="643"/>
      <c r="M142" s="643"/>
      <c r="N142" s="643"/>
      <c r="O142" s="643"/>
      <c r="P142" s="643"/>
      <c r="Q142" s="643"/>
      <c r="R142" s="643"/>
      <c r="S142" s="643"/>
      <c r="T142" s="643"/>
      <c r="U142" s="643"/>
      <c r="V142" s="643"/>
      <c r="W142" s="643"/>
      <c r="X142" s="643"/>
      <c r="Y142" s="643"/>
      <c r="Z142" s="643"/>
    </row>
    <row r="143" ht="11.25" customHeight="1">
      <c r="A143" s="646"/>
      <c r="B143" s="643"/>
      <c r="C143" s="644"/>
      <c r="D143" s="643"/>
      <c r="E143" s="643"/>
      <c r="F143" s="643"/>
      <c r="G143" s="643"/>
      <c r="H143" s="643"/>
      <c r="I143" s="643"/>
      <c r="J143" s="643"/>
      <c r="K143" s="643"/>
      <c r="L143" s="643"/>
      <c r="M143" s="643"/>
      <c r="N143" s="643"/>
      <c r="O143" s="643"/>
      <c r="P143" s="643"/>
      <c r="Q143" s="643"/>
      <c r="R143" s="643"/>
      <c r="S143" s="643"/>
      <c r="T143" s="643"/>
      <c r="U143" s="643"/>
      <c r="V143" s="643"/>
      <c r="W143" s="643"/>
      <c r="X143" s="643"/>
      <c r="Y143" s="643"/>
      <c r="Z143" s="643"/>
    </row>
    <row r="144" ht="11.25" customHeight="1">
      <c r="A144" s="646"/>
      <c r="B144" s="643"/>
      <c r="C144" s="644"/>
      <c r="D144" s="643"/>
      <c r="E144" s="643"/>
      <c r="F144" s="643"/>
      <c r="G144" s="643"/>
      <c r="H144" s="643"/>
      <c r="I144" s="643"/>
      <c r="J144" s="643"/>
      <c r="K144" s="643"/>
      <c r="L144" s="643"/>
      <c r="M144" s="643"/>
      <c r="N144" s="643"/>
      <c r="O144" s="643"/>
      <c r="P144" s="643"/>
      <c r="Q144" s="643"/>
      <c r="R144" s="643"/>
      <c r="S144" s="643"/>
      <c r="T144" s="643"/>
      <c r="U144" s="643"/>
      <c r="V144" s="643"/>
      <c r="W144" s="643"/>
      <c r="X144" s="643"/>
      <c r="Y144" s="643"/>
      <c r="Z144" s="643"/>
    </row>
    <row r="145" ht="11.25" customHeight="1">
      <c r="A145" s="646"/>
      <c r="B145" s="643"/>
      <c r="C145" s="644"/>
      <c r="D145" s="643"/>
      <c r="E145" s="643"/>
      <c r="F145" s="643"/>
      <c r="G145" s="643"/>
      <c r="H145" s="643"/>
      <c r="I145" s="643"/>
      <c r="J145" s="643"/>
      <c r="K145" s="643"/>
      <c r="L145" s="643"/>
      <c r="M145" s="643"/>
      <c r="N145" s="643"/>
      <c r="O145" s="643"/>
      <c r="P145" s="643"/>
      <c r="Q145" s="643"/>
      <c r="R145" s="643"/>
      <c r="S145" s="643"/>
      <c r="T145" s="643"/>
      <c r="U145" s="643"/>
      <c r="V145" s="643"/>
      <c r="W145" s="643"/>
      <c r="X145" s="643"/>
      <c r="Y145" s="643"/>
      <c r="Z145" s="643"/>
    </row>
    <row r="146" ht="11.25" customHeight="1">
      <c r="A146" s="646"/>
      <c r="B146" s="643"/>
      <c r="C146" s="644"/>
      <c r="D146" s="643"/>
      <c r="E146" s="643"/>
      <c r="F146" s="643"/>
      <c r="G146" s="643"/>
      <c r="H146" s="643"/>
      <c r="I146" s="643"/>
      <c r="J146" s="643"/>
      <c r="K146" s="643"/>
      <c r="L146" s="643"/>
      <c r="M146" s="643"/>
      <c r="N146" s="643"/>
      <c r="O146" s="643"/>
      <c r="P146" s="643"/>
      <c r="Q146" s="643"/>
      <c r="R146" s="643"/>
      <c r="S146" s="643"/>
      <c r="T146" s="643"/>
      <c r="U146" s="643"/>
      <c r="V146" s="643"/>
      <c r="W146" s="643"/>
      <c r="X146" s="643"/>
      <c r="Y146" s="643"/>
      <c r="Z146" s="643"/>
    </row>
    <row r="147" ht="11.25" customHeight="1">
      <c r="A147" s="646"/>
      <c r="B147" s="643"/>
      <c r="C147" s="644"/>
      <c r="D147" s="643"/>
      <c r="E147" s="643"/>
      <c r="F147" s="643"/>
      <c r="G147" s="643"/>
      <c r="H147" s="643"/>
      <c r="I147" s="643"/>
      <c r="J147" s="643"/>
      <c r="K147" s="643"/>
      <c r="L147" s="643"/>
      <c r="M147" s="643"/>
      <c r="N147" s="643"/>
      <c r="O147" s="643"/>
      <c r="P147" s="643"/>
      <c r="Q147" s="643"/>
      <c r="R147" s="643"/>
      <c r="S147" s="643"/>
      <c r="T147" s="643"/>
      <c r="U147" s="643"/>
      <c r="V147" s="643"/>
      <c r="W147" s="643"/>
      <c r="X147" s="643"/>
      <c r="Y147" s="643"/>
      <c r="Z147" s="643"/>
    </row>
    <row r="148" ht="11.25" customHeight="1">
      <c r="A148" s="646"/>
      <c r="B148" s="643"/>
      <c r="C148" s="644"/>
      <c r="D148" s="643"/>
      <c r="E148" s="643"/>
      <c r="F148" s="643"/>
      <c r="G148" s="643"/>
      <c r="H148" s="643"/>
      <c r="I148" s="643"/>
      <c r="J148" s="643"/>
      <c r="K148" s="643"/>
      <c r="L148" s="643"/>
      <c r="M148" s="643"/>
      <c r="N148" s="643"/>
      <c r="O148" s="643"/>
      <c r="P148" s="643"/>
      <c r="Q148" s="643"/>
      <c r="R148" s="643"/>
      <c r="S148" s="643"/>
      <c r="T148" s="643"/>
      <c r="U148" s="643"/>
      <c r="V148" s="643"/>
      <c r="W148" s="643"/>
      <c r="X148" s="643"/>
      <c r="Y148" s="643"/>
      <c r="Z148" s="643"/>
    </row>
    <row r="149" ht="11.25" customHeight="1">
      <c r="A149" s="646"/>
      <c r="B149" s="643"/>
      <c r="C149" s="644"/>
      <c r="D149" s="643"/>
      <c r="E149" s="643"/>
      <c r="F149" s="643"/>
      <c r="G149" s="643"/>
      <c r="H149" s="643"/>
      <c r="I149" s="643"/>
      <c r="J149" s="643"/>
      <c r="K149" s="643"/>
      <c r="L149" s="643"/>
      <c r="M149" s="643"/>
      <c r="N149" s="643"/>
      <c r="O149" s="643"/>
      <c r="P149" s="643"/>
      <c r="Q149" s="643"/>
      <c r="R149" s="643"/>
      <c r="S149" s="643"/>
      <c r="T149" s="643"/>
      <c r="U149" s="643"/>
      <c r="V149" s="643"/>
      <c r="W149" s="643"/>
      <c r="X149" s="643"/>
      <c r="Y149" s="643"/>
      <c r="Z149" s="643"/>
    </row>
    <row r="150" ht="11.25" customHeight="1">
      <c r="A150" s="646"/>
      <c r="B150" s="643"/>
      <c r="C150" s="644"/>
      <c r="D150" s="643"/>
      <c r="E150" s="643"/>
      <c r="F150" s="643"/>
      <c r="G150" s="643"/>
      <c r="H150" s="643"/>
      <c r="I150" s="643"/>
      <c r="J150" s="643"/>
      <c r="K150" s="643"/>
      <c r="L150" s="643"/>
      <c r="M150" s="643"/>
      <c r="N150" s="643"/>
      <c r="O150" s="643"/>
      <c r="P150" s="643"/>
      <c r="Q150" s="643"/>
      <c r="R150" s="643"/>
      <c r="S150" s="643"/>
      <c r="T150" s="643"/>
      <c r="U150" s="643"/>
      <c r="V150" s="643"/>
      <c r="W150" s="643"/>
      <c r="X150" s="643"/>
      <c r="Y150" s="643"/>
      <c r="Z150" s="643"/>
    </row>
    <row r="151" ht="11.25" customHeight="1">
      <c r="A151" s="646"/>
      <c r="B151" s="643"/>
      <c r="C151" s="644"/>
      <c r="D151" s="643"/>
      <c r="E151" s="643"/>
      <c r="F151" s="643"/>
      <c r="G151" s="643"/>
      <c r="H151" s="643"/>
      <c r="I151" s="643"/>
      <c r="J151" s="643"/>
      <c r="K151" s="643"/>
      <c r="L151" s="643"/>
      <c r="M151" s="643"/>
      <c r="N151" s="643"/>
      <c r="O151" s="643"/>
      <c r="P151" s="643"/>
      <c r="Q151" s="643"/>
      <c r="R151" s="643"/>
      <c r="S151" s="643"/>
      <c r="T151" s="643"/>
      <c r="U151" s="643"/>
      <c r="V151" s="643"/>
      <c r="W151" s="643"/>
      <c r="X151" s="643"/>
      <c r="Y151" s="643"/>
      <c r="Z151" s="643"/>
    </row>
    <row r="152" ht="11.25" customHeight="1">
      <c r="A152" s="646"/>
      <c r="B152" s="643"/>
      <c r="C152" s="644"/>
      <c r="D152" s="643"/>
      <c r="E152" s="643"/>
      <c r="F152" s="643"/>
      <c r="G152" s="643"/>
      <c r="H152" s="643"/>
      <c r="I152" s="643"/>
      <c r="J152" s="643"/>
      <c r="K152" s="643"/>
      <c r="L152" s="643"/>
      <c r="M152" s="643"/>
      <c r="N152" s="643"/>
      <c r="O152" s="643"/>
      <c r="P152" s="643"/>
      <c r="Q152" s="643"/>
      <c r="R152" s="643"/>
      <c r="S152" s="643"/>
      <c r="T152" s="643"/>
      <c r="U152" s="643"/>
      <c r="V152" s="643"/>
      <c r="W152" s="643"/>
      <c r="X152" s="643"/>
      <c r="Y152" s="643"/>
      <c r="Z152" s="643"/>
    </row>
    <row r="153" ht="11.25" customHeight="1">
      <c r="A153" s="646"/>
      <c r="B153" s="643"/>
      <c r="C153" s="644"/>
      <c r="D153" s="643"/>
      <c r="E153" s="643"/>
      <c r="F153" s="643"/>
      <c r="G153" s="643"/>
      <c r="H153" s="643"/>
      <c r="I153" s="643"/>
      <c r="J153" s="643"/>
      <c r="K153" s="643"/>
      <c r="L153" s="643"/>
      <c r="M153" s="643"/>
      <c r="N153" s="643"/>
      <c r="O153" s="643"/>
      <c r="P153" s="643"/>
      <c r="Q153" s="643"/>
      <c r="R153" s="643"/>
      <c r="S153" s="643"/>
      <c r="T153" s="643"/>
      <c r="U153" s="643"/>
      <c r="V153" s="643"/>
      <c r="W153" s="643"/>
      <c r="X153" s="643"/>
      <c r="Y153" s="643"/>
      <c r="Z153" s="643"/>
    </row>
    <row r="154" ht="11.25" customHeight="1">
      <c r="A154" s="646"/>
      <c r="B154" s="643"/>
      <c r="C154" s="644"/>
      <c r="D154" s="643"/>
      <c r="E154" s="643"/>
      <c r="F154" s="643"/>
      <c r="G154" s="643"/>
      <c r="H154" s="643"/>
      <c r="I154" s="643"/>
      <c r="J154" s="643"/>
      <c r="K154" s="643"/>
      <c r="L154" s="643"/>
      <c r="M154" s="643"/>
      <c r="N154" s="643"/>
      <c r="O154" s="643"/>
      <c r="P154" s="643"/>
      <c r="Q154" s="643"/>
      <c r="R154" s="643"/>
      <c r="S154" s="643"/>
      <c r="T154" s="643"/>
      <c r="U154" s="643"/>
      <c r="V154" s="643"/>
      <c r="W154" s="643"/>
      <c r="X154" s="643"/>
      <c r="Y154" s="643"/>
      <c r="Z154" s="643"/>
    </row>
    <row r="155" ht="11.25" customHeight="1">
      <c r="A155" s="646"/>
      <c r="B155" s="643"/>
      <c r="C155" s="644"/>
      <c r="D155" s="643"/>
      <c r="E155" s="643"/>
      <c r="F155" s="643"/>
      <c r="G155" s="643"/>
      <c r="H155" s="643"/>
      <c r="I155" s="643"/>
      <c r="J155" s="643"/>
      <c r="K155" s="643"/>
      <c r="L155" s="643"/>
      <c r="M155" s="643"/>
      <c r="N155" s="643"/>
      <c r="O155" s="643"/>
      <c r="P155" s="643"/>
      <c r="Q155" s="643"/>
      <c r="R155" s="643"/>
      <c r="S155" s="643"/>
      <c r="T155" s="643"/>
      <c r="U155" s="643"/>
      <c r="V155" s="643"/>
      <c r="W155" s="643"/>
      <c r="X155" s="643"/>
      <c r="Y155" s="643"/>
      <c r="Z155" s="643"/>
    </row>
    <row r="156" ht="11.25" customHeight="1">
      <c r="A156" s="646"/>
      <c r="B156" s="643"/>
      <c r="C156" s="644"/>
      <c r="D156" s="643"/>
      <c r="E156" s="643"/>
      <c r="F156" s="643"/>
      <c r="G156" s="643"/>
      <c r="H156" s="643"/>
      <c r="I156" s="643"/>
      <c r="J156" s="643"/>
      <c r="K156" s="643"/>
      <c r="L156" s="643"/>
      <c r="M156" s="643"/>
      <c r="N156" s="643"/>
      <c r="O156" s="643"/>
      <c r="P156" s="643"/>
      <c r="Q156" s="643"/>
      <c r="R156" s="643"/>
      <c r="S156" s="643"/>
      <c r="T156" s="643"/>
      <c r="U156" s="643"/>
      <c r="V156" s="643"/>
      <c r="W156" s="643"/>
      <c r="X156" s="643"/>
      <c r="Y156" s="643"/>
      <c r="Z156" s="643"/>
    </row>
    <row r="157" ht="11.25" customHeight="1">
      <c r="A157" s="646"/>
      <c r="B157" s="643"/>
      <c r="C157" s="644"/>
      <c r="D157" s="643"/>
      <c r="E157" s="643"/>
      <c r="F157" s="643"/>
      <c r="G157" s="643"/>
      <c r="H157" s="643"/>
      <c r="I157" s="643"/>
      <c r="J157" s="643"/>
      <c r="K157" s="643"/>
      <c r="L157" s="643"/>
      <c r="M157" s="643"/>
      <c r="N157" s="643"/>
      <c r="O157" s="643"/>
      <c r="P157" s="643"/>
      <c r="Q157" s="643"/>
      <c r="R157" s="643"/>
      <c r="S157" s="643"/>
      <c r="T157" s="643"/>
      <c r="U157" s="643"/>
      <c r="V157" s="643"/>
      <c r="W157" s="643"/>
      <c r="X157" s="643"/>
      <c r="Y157" s="643"/>
      <c r="Z157" s="643"/>
    </row>
    <row r="158" ht="11.25" customHeight="1">
      <c r="A158" s="646"/>
      <c r="B158" s="643"/>
      <c r="C158" s="644"/>
      <c r="D158" s="643"/>
      <c r="E158" s="643"/>
      <c r="F158" s="643"/>
      <c r="G158" s="643"/>
      <c r="H158" s="643"/>
      <c r="I158" s="643"/>
      <c r="J158" s="643"/>
      <c r="K158" s="643"/>
      <c r="L158" s="643"/>
      <c r="M158" s="643"/>
      <c r="N158" s="643"/>
      <c r="O158" s="643"/>
      <c r="P158" s="643"/>
      <c r="Q158" s="643"/>
      <c r="R158" s="643"/>
      <c r="S158" s="643"/>
      <c r="T158" s="643"/>
      <c r="U158" s="643"/>
      <c r="V158" s="643"/>
      <c r="W158" s="643"/>
      <c r="X158" s="643"/>
      <c r="Y158" s="643"/>
      <c r="Z158" s="643"/>
    </row>
    <row r="159" ht="11.25" customHeight="1">
      <c r="A159" s="646"/>
      <c r="B159" s="643"/>
      <c r="C159" s="644"/>
      <c r="D159" s="643"/>
      <c r="E159" s="643"/>
      <c r="F159" s="643"/>
      <c r="G159" s="643"/>
      <c r="H159" s="643"/>
      <c r="I159" s="643"/>
      <c r="J159" s="643"/>
      <c r="K159" s="643"/>
      <c r="L159" s="643"/>
      <c r="M159" s="643"/>
      <c r="N159" s="643"/>
      <c r="O159" s="643"/>
      <c r="P159" s="643"/>
      <c r="Q159" s="643"/>
      <c r="R159" s="643"/>
      <c r="S159" s="643"/>
      <c r="T159" s="643"/>
      <c r="U159" s="643"/>
      <c r="V159" s="643"/>
      <c r="W159" s="643"/>
      <c r="X159" s="643"/>
      <c r="Y159" s="643"/>
      <c r="Z159" s="643"/>
    </row>
    <row r="160" ht="11.25" customHeight="1">
      <c r="A160" s="646"/>
      <c r="B160" s="643"/>
      <c r="C160" s="644"/>
      <c r="D160" s="643"/>
      <c r="E160" s="643"/>
      <c r="F160" s="643"/>
      <c r="G160" s="643"/>
      <c r="H160" s="643"/>
      <c r="I160" s="643"/>
      <c r="J160" s="643"/>
      <c r="K160" s="643"/>
      <c r="L160" s="643"/>
      <c r="M160" s="643"/>
      <c r="N160" s="643"/>
      <c r="O160" s="643"/>
      <c r="P160" s="643"/>
      <c r="Q160" s="643"/>
      <c r="R160" s="643"/>
      <c r="S160" s="643"/>
      <c r="T160" s="643"/>
      <c r="U160" s="643"/>
      <c r="V160" s="643"/>
      <c r="W160" s="643"/>
      <c r="X160" s="643"/>
      <c r="Y160" s="643"/>
      <c r="Z160" s="643"/>
    </row>
    <row r="161" ht="11.25" customHeight="1">
      <c r="A161" s="646"/>
      <c r="B161" s="643"/>
      <c r="C161" s="644"/>
      <c r="D161" s="643"/>
      <c r="E161" s="643"/>
      <c r="F161" s="643"/>
      <c r="G161" s="643"/>
      <c r="H161" s="643"/>
      <c r="I161" s="643"/>
      <c r="J161" s="643"/>
      <c r="K161" s="643"/>
      <c r="L161" s="643"/>
      <c r="M161" s="643"/>
      <c r="N161" s="643"/>
      <c r="O161" s="643"/>
      <c r="P161" s="643"/>
      <c r="Q161" s="643"/>
      <c r="R161" s="643"/>
      <c r="S161" s="643"/>
      <c r="T161" s="643"/>
      <c r="U161" s="643"/>
      <c r="V161" s="643"/>
      <c r="W161" s="643"/>
      <c r="X161" s="643"/>
      <c r="Y161" s="643"/>
      <c r="Z161" s="643"/>
    </row>
    <row r="162" ht="11.25" customHeight="1">
      <c r="A162" s="646"/>
      <c r="B162" s="643"/>
      <c r="C162" s="644"/>
      <c r="D162" s="643"/>
      <c r="E162" s="643"/>
      <c r="F162" s="643"/>
      <c r="G162" s="643"/>
      <c r="H162" s="643"/>
      <c r="I162" s="643"/>
      <c r="J162" s="643"/>
      <c r="K162" s="643"/>
      <c r="L162" s="643"/>
      <c r="M162" s="643"/>
      <c r="N162" s="643"/>
      <c r="O162" s="643"/>
      <c r="P162" s="643"/>
      <c r="Q162" s="643"/>
      <c r="R162" s="643"/>
      <c r="S162" s="643"/>
      <c r="T162" s="643"/>
      <c r="U162" s="643"/>
      <c r="V162" s="643"/>
      <c r="W162" s="643"/>
      <c r="X162" s="643"/>
      <c r="Y162" s="643"/>
      <c r="Z162" s="643"/>
    </row>
    <row r="163" ht="11.25" customHeight="1">
      <c r="A163" s="646"/>
      <c r="B163" s="643"/>
      <c r="C163" s="644"/>
      <c r="D163" s="643"/>
      <c r="E163" s="643"/>
      <c r="F163" s="643"/>
      <c r="G163" s="643"/>
      <c r="H163" s="643"/>
      <c r="I163" s="643"/>
      <c r="J163" s="643"/>
      <c r="K163" s="643"/>
      <c r="L163" s="643"/>
      <c r="M163" s="643"/>
      <c r="N163" s="643"/>
      <c r="O163" s="643"/>
      <c r="P163" s="643"/>
      <c r="Q163" s="643"/>
      <c r="R163" s="643"/>
      <c r="S163" s="643"/>
      <c r="T163" s="643"/>
      <c r="U163" s="643"/>
      <c r="V163" s="643"/>
      <c r="W163" s="643"/>
      <c r="X163" s="643"/>
      <c r="Y163" s="643"/>
      <c r="Z163" s="643"/>
    </row>
    <row r="164" ht="11.25" customHeight="1">
      <c r="A164" s="646"/>
      <c r="B164" s="643"/>
      <c r="C164" s="644"/>
      <c r="D164" s="643"/>
      <c r="E164" s="643"/>
      <c r="F164" s="643"/>
      <c r="G164" s="643"/>
      <c r="H164" s="643"/>
      <c r="I164" s="643"/>
      <c r="J164" s="643"/>
      <c r="K164" s="643"/>
      <c r="L164" s="643"/>
      <c r="M164" s="643"/>
      <c r="N164" s="643"/>
      <c r="O164" s="643"/>
      <c r="P164" s="643"/>
      <c r="Q164" s="643"/>
      <c r="R164" s="643"/>
      <c r="S164" s="643"/>
      <c r="T164" s="643"/>
      <c r="U164" s="643"/>
      <c r="V164" s="643"/>
      <c r="W164" s="643"/>
      <c r="X164" s="643"/>
      <c r="Y164" s="643"/>
      <c r="Z164" s="643"/>
    </row>
    <row r="165" ht="11.25" customHeight="1">
      <c r="A165" s="646"/>
      <c r="B165" s="643"/>
      <c r="C165" s="644"/>
      <c r="D165" s="643"/>
      <c r="E165" s="643"/>
      <c r="F165" s="643"/>
      <c r="G165" s="643"/>
      <c r="H165" s="643"/>
      <c r="I165" s="643"/>
      <c r="J165" s="643"/>
      <c r="K165" s="643"/>
      <c r="L165" s="643"/>
      <c r="M165" s="643"/>
      <c r="N165" s="643"/>
      <c r="O165" s="643"/>
      <c r="P165" s="643"/>
      <c r="Q165" s="643"/>
      <c r="R165" s="643"/>
      <c r="S165" s="643"/>
      <c r="T165" s="643"/>
      <c r="U165" s="643"/>
      <c r="V165" s="643"/>
      <c r="W165" s="643"/>
      <c r="X165" s="643"/>
      <c r="Y165" s="643"/>
      <c r="Z165" s="643"/>
    </row>
    <row r="166" ht="11.25" customHeight="1">
      <c r="A166" s="646"/>
      <c r="B166" s="643"/>
      <c r="C166" s="644"/>
      <c r="D166" s="643"/>
      <c r="E166" s="643"/>
      <c r="F166" s="643"/>
      <c r="G166" s="643"/>
      <c r="H166" s="643"/>
      <c r="I166" s="643"/>
      <c r="J166" s="643"/>
      <c r="K166" s="643"/>
      <c r="L166" s="643"/>
      <c r="M166" s="643"/>
      <c r="N166" s="643"/>
      <c r="O166" s="643"/>
      <c r="P166" s="643"/>
      <c r="Q166" s="643"/>
      <c r="R166" s="643"/>
      <c r="S166" s="643"/>
      <c r="T166" s="643"/>
      <c r="U166" s="643"/>
      <c r="V166" s="643"/>
      <c r="W166" s="643"/>
      <c r="X166" s="643"/>
      <c r="Y166" s="643"/>
      <c r="Z166" s="643"/>
    </row>
    <row r="167" ht="11.25" customHeight="1">
      <c r="A167" s="646"/>
      <c r="B167" s="643"/>
      <c r="C167" s="644"/>
      <c r="D167" s="643"/>
      <c r="E167" s="643"/>
      <c r="F167" s="643"/>
      <c r="G167" s="643"/>
      <c r="H167" s="643"/>
      <c r="I167" s="643"/>
      <c r="J167" s="643"/>
      <c r="K167" s="643"/>
      <c r="L167" s="643"/>
      <c r="M167" s="643"/>
      <c r="N167" s="643"/>
      <c r="O167" s="643"/>
      <c r="P167" s="643"/>
      <c r="Q167" s="643"/>
      <c r="R167" s="643"/>
      <c r="S167" s="643"/>
      <c r="T167" s="643"/>
      <c r="U167" s="643"/>
      <c r="V167" s="643"/>
      <c r="W167" s="643"/>
      <c r="X167" s="643"/>
      <c r="Y167" s="643"/>
      <c r="Z167" s="643"/>
    </row>
    <row r="168" ht="11.25" customHeight="1">
      <c r="A168" s="646"/>
      <c r="B168" s="643"/>
      <c r="C168" s="644"/>
      <c r="D168" s="643"/>
      <c r="E168" s="643"/>
      <c r="F168" s="643"/>
      <c r="G168" s="643"/>
      <c r="H168" s="643"/>
      <c r="I168" s="643"/>
      <c r="J168" s="643"/>
      <c r="K168" s="643"/>
      <c r="L168" s="643"/>
      <c r="M168" s="643"/>
      <c r="N168" s="643"/>
      <c r="O168" s="643"/>
      <c r="P168" s="643"/>
      <c r="Q168" s="643"/>
      <c r="R168" s="643"/>
      <c r="S168" s="643"/>
      <c r="T168" s="643"/>
      <c r="U168" s="643"/>
      <c r="V168" s="643"/>
      <c r="W168" s="643"/>
      <c r="X168" s="643"/>
      <c r="Y168" s="643"/>
      <c r="Z168" s="643"/>
    </row>
    <row r="169" ht="11.25" customHeight="1">
      <c r="A169" s="646"/>
      <c r="B169" s="643"/>
      <c r="C169" s="644"/>
      <c r="D169" s="643"/>
      <c r="E169" s="643"/>
      <c r="F169" s="643"/>
      <c r="G169" s="643"/>
      <c r="H169" s="643"/>
      <c r="I169" s="643"/>
      <c r="J169" s="643"/>
      <c r="K169" s="643"/>
      <c r="L169" s="643"/>
      <c r="M169" s="643"/>
      <c r="N169" s="643"/>
      <c r="O169" s="643"/>
      <c r="P169" s="643"/>
      <c r="Q169" s="643"/>
      <c r="R169" s="643"/>
      <c r="S169" s="643"/>
      <c r="T169" s="643"/>
      <c r="U169" s="643"/>
      <c r="V169" s="643"/>
      <c r="W169" s="643"/>
      <c r="X169" s="643"/>
      <c r="Y169" s="643"/>
      <c r="Z169" s="643"/>
    </row>
    <row r="170" ht="11.25" customHeight="1">
      <c r="A170" s="646"/>
      <c r="B170" s="643"/>
      <c r="C170" s="644"/>
      <c r="D170" s="643"/>
      <c r="E170" s="643"/>
      <c r="F170" s="643"/>
      <c r="G170" s="643"/>
      <c r="H170" s="643"/>
      <c r="I170" s="643"/>
      <c r="J170" s="643"/>
      <c r="K170" s="643"/>
      <c r="L170" s="643"/>
      <c r="M170" s="643"/>
      <c r="N170" s="643"/>
      <c r="O170" s="643"/>
      <c r="P170" s="643"/>
      <c r="Q170" s="643"/>
      <c r="R170" s="643"/>
      <c r="S170" s="643"/>
      <c r="T170" s="643"/>
      <c r="U170" s="643"/>
      <c r="V170" s="643"/>
      <c r="W170" s="643"/>
      <c r="X170" s="643"/>
      <c r="Y170" s="643"/>
      <c r="Z170" s="643"/>
    </row>
    <row r="171" ht="11.25" customHeight="1">
      <c r="A171" s="646"/>
      <c r="B171" s="643"/>
      <c r="C171" s="644"/>
      <c r="D171" s="643"/>
      <c r="E171" s="643"/>
      <c r="F171" s="643"/>
      <c r="G171" s="643"/>
      <c r="H171" s="643"/>
      <c r="I171" s="643"/>
      <c r="J171" s="643"/>
      <c r="K171" s="643"/>
      <c r="L171" s="643"/>
      <c r="M171" s="643"/>
      <c r="N171" s="643"/>
      <c r="O171" s="643"/>
      <c r="P171" s="643"/>
      <c r="Q171" s="643"/>
      <c r="R171" s="643"/>
      <c r="S171" s="643"/>
      <c r="T171" s="643"/>
      <c r="U171" s="643"/>
      <c r="V171" s="643"/>
      <c r="W171" s="643"/>
      <c r="X171" s="643"/>
      <c r="Y171" s="643"/>
      <c r="Z171" s="643"/>
    </row>
    <row r="172" ht="11.25" customHeight="1">
      <c r="A172" s="646"/>
      <c r="B172" s="643"/>
      <c r="C172" s="644"/>
      <c r="D172" s="643"/>
      <c r="E172" s="643"/>
      <c r="F172" s="643"/>
      <c r="G172" s="643"/>
      <c r="H172" s="643"/>
      <c r="I172" s="643"/>
      <c r="J172" s="643"/>
      <c r="K172" s="643"/>
      <c r="L172" s="643"/>
      <c r="M172" s="643"/>
      <c r="N172" s="643"/>
      <c r="O172" s="643"/>
      <c r="P172" s="643"/>
      <c r="Q172" s="643"/>
      <c r="R172" s="643"/>
      <c r="S172" s="643"/>
      <c r="T172" s="643"/>
      <c r="U172" s="643"/>
      <c r="V172" s="643"/>
      <c r="W172" s="643"/>
      <c r="X172" s="643"/>
      <c r="Y172" s="643"/>
      <c r="Z172" s="643"/>
    </row>
    <row r="173" ht="11.25" customHeight="1">
      <c r="A173" s="646"/>
      <c r="B173" s="643"/>
      <c r="C173" s="644"/>
      <c r="D173" s="643"/>
      <c r="E173" s="643"/>
      <c r="F173" s="643"/>
      <c r="G173" s="643"/>
      <c r="H173" s="643"/>
      <c r="I173" s="643"/>
      <c r="J173" s="643"/>
      <c r="K173" s="643"/>
      <c r="L173" s="643"/>
      <c r="M173" s="643"/>
      <c r="N173" s="643"/>
      <c r="O173" s="643"/>
      <c r="P173" s="643"/>
      <c r="Q173" s="643"/>
      <c r="R173" s="643"/>
      <c r="S173" s="643"/>
      <c r="T173" s="643"/>
      <c r="U173" s="643"/>
      <c r="V173" s="643"/>
      <c r="W173" s="643"/>
      <c r="X173" s="643"/>
      <c r="Y173" s="643"/>
      <c r="Z173" s="643"/>
    </row>
    <row r="174" ht="11.25" customHeight="1">
      <c r="A174" s="646"/>
      <c r="B174" s="643"/>
      <c r="C174" s="644"/>
      <c r="D174" s="643"/>
      <c r="E174" s="643"/>
      <c r="F174" s="643"/>
      <c r="G174" s="643"/>
      <c r="H174" s="643"/>
      <c r="I174" s="643"/>
      <c r="J174" s="643"/>
      <c r="K174" s="643"/>
      <c r="L174" s="643"/>
      <c r="M174" s="643"/>
      <c r="N174" s="643"/>
      <c r="O174" s="643"/>
      <c r="P174" s="643"/>
      <c r="Q174" s="643"/>
      <c r="R174" s="643"/>
      <c r="S174" s="643"/>
      <c r="T174" s="643"/>
      <c r="U174" s="643"/>
      <c r="V174" s="643"/>
      <c r="W174" s="643"/>
      <c r="X174" s="643"/>
      <c r="Y174" s="643"/>
      <c r="Z174" s="643"/>
    </row>
    <row r="175" ht="11.25" customHeight="1">
      <c r="A175" s="646"/>
      <c r="B175" s="643"/>
      <c r="C175" s="644"/>
      <c r="D175" s="643"/>
      <c r="E175" s="643"/>
      <c r="F175" s="643"/>
      <c r="G175" s="643"/>
      <c r="H175" s="643"/>
      <c r="I175" s="643"/>
      <c r="J175" s="643"/>
      <c r="K175" s="643"/>
      <c r="L175" s="643"/>
      <c r="M175" s="643"/>
      <c r="N175" s="643"/>
      <c r="O175" s="643"/>
      <c r="P175" s="643"/>
      <c r="Q175" s="643"/>
      <c r="R175" s="643"/>
      <c r="S175" s="643"/>
      <c r="T175" s="643"/>
      <c r="U175" s="643"/>
      <c r="V175" s="643"/>
      <c r="W175" s="643"/>
      <c r="X175" s="643"/>
      <c r="Y175" s="643"/>
      <c r="Z175" s="643"/>
    </row>
    <row r="176" ht="11.25" customHeight="1">
      <c r="A176" s="646"/>
      <c r="B176" s="643"/>
      <c r="C176" s="644"/>
      <c r="D176" s="643"/>
      <c r="E176" s="643"/>
      <c r="F176" s="643"/>
      <c r="G176" s="643"/>
      <c r="H176" s="643"/>
      <c r="I176" s="643"/>
      <c r="J176" s="643"/>
      <c r="K176" s="643"/>
      <c r="L176" s="643"/>
      <c r="M176" s="643"/>
      <c r="N176" s="643"/>
      <c r="O176" s="643"/>
      <c r="P176" s="643"/>
      <c r="Q176" s="643"/>
      <c r="R176" s="643"/>
      <c r="S176" s="643"/>
      <c r="T176" s="643"/>
      <c r="U176" s="643"/>
      <c r="V176" s="643"/>
      <c r="W176" s="643"/>
      <c r="X176" s="643"/>
      <c r="Y176" s="643"/>
      <c r="Z176" s="643"/>
    </row>
    <row r="177" ht="11.25" customHeight="1">
      <c r="A177" s="646"/>
      <c r="B177" s="643"/>
      <c r="C177" s="644"/>
      <c r="D177" s="643"/>
      <c r="E177" s="643"/>
      <c r="F177" s="643"/>
      <c r="G177" s="643"/>
      <c r="H177" s="643"/>
      <c r="I177" s="643"/>
      <c r="J177" s="643"/>
      <c r="K177" s="643"/>
      <c r="L177" s="643"/>
      <c r="M177" s="643"/>
      <c r="N177" s="643"/>
      <c r="O177" s="643"/>
      <c r="P177" s="643"/>
      <c r="Q177" s="643"/>
      <c r="R177" s="643"/>
      <c r="S177" s="643"/>
      <c r="T177" s="643"/>
      <c r="U177" s="643"/>
      <c r="V177" s="643"/>
      <c r="W177" s="643"/>
      <c r="X177" s="643"/>
      <c r="Y177" s="643"/>
      <c r="Z177" s="643"/>
    </row>
    <row r="178" ht="11.25" customHeight="1">
      <c r="A178" s="646"/>
      <c r="B178" s="643"/>
      <c r="C178" s="644"/>
      <c r="D178" s="643"/>
      <c r="E178" s="643"/>
      <c r="F178" s="643"/>
      <c r="G178" s="643"/>
      <c r="H178" s="643"/>
      <c r="I178" s="643"/>
      <c r="J178" s="643"/>
      <c r="K178" s="643"/>
      <c r="L178" s="643"/>
      <c r="M178" s="643"/>
      <c r="N178" s="643"/>
      <c r="O178" s="643"/>
      <c r="P178" s="643"/>
      <c r="Q178" s="643"/>
      <c r="R178" s="643"/>
      <c r="S178" s="643"/>
      <c r="T178" s="643"/>
      <c r="U178" s="643"/>
      <c r="V178" s="643"/>
      <c r="W178" s="643"/>
      <c r="X178" s="643"/>
      <c r="Y178" s="643"/>
      <c r="Z178" s="643"/>
    </row>
    <row r="179" ht="11.25" customHeight="1">
      <c r="A179" s="646"/>
      <c r="B179" s="643"/>
      <c r="C179" s="644"/>
      <c r="D179" s="643"/>
      <c r="E179" s="643"/>
      <c r="F179" s="643"/>
      <c r="G179" s="643"/>
      <c r="H179" s="643"/>
      <c r="I179" s="643"/>
      <c r="J179" s="643"/>
      <c r="K179" s="643"/>
      <c r="L179" s="643"/>
      <c r="M179" s="643"/>
      <c r="N179" s="643"/>
      <c r="O179" s="643"/>
      <c r="P179" s="643"/>
      <c r="Q179" s="643"/>
      <c r="R179" s="643"/>
      <c r="S179" s="643"/>
      <c r="T179" s="643"/>
      <c r="U179" s="643"/>
      <c r="V179" s="643"/>
      <c r="W179" s="643"/>
      <c r="X179" s="643"/>
      <c r="Y179" s="643"/>
      <c r="Z179" s="643"/>
    </row>
    <row r="180" ht="11.25" customHeight="1">
      <c r="A180" s="646"/>
      <c r="B180" s="643"/>
      <c r="C180" s="644"/>
      <c r="D180" s="643"/>
      <c r="E180" s="643"/>
      <c r="F180" s="643"/>
      <c r="G180" s="643"/>
      <c r="H180" s="643"/>
      <c r="I180" s="643"/>
      <c r="J180" s="643"/>
      <c r="K180" s="643"/>
      <c r="L180" s="643"/>
      <c r="M180" s="643"/>
      <c r="N180" s="643"/>
      <c r="O180" s="643"/>
      <c r="P180" s="643"/>
      <c r="Q180" s="643"/>
      <c r="R180" s="643"/>
      <c r="S180" s="643"/>
      <c r="T180" s="643"/>
      <c r="U180" s="643"/>
      <c r="V180" s="643"/>
      <c r="W180" s="643"/>
      <c r="X180" s="643"/>
      <c r="Y180" s="643"/>
      <c r="Z180" s="643"/>
    </row>
    <row r="181" ht="11.25" customHeight="1">
      <c r="A181" s="646"/>
      <c r="B181" s="643"/>
      <c r="C181" s="644"/>
      <c r="D181" s="643"/>
      <c r="E181" s="643"/>
      <c r="F181" s="643"/>
      <c r="G181" s="643"/>
      <c r="H181" s="643"/>
      <c r="I181" s="643"/>
      <c r="J181" s="643"/>
      <c r="K181" s="643"/>
      <c r="L181" s="643"/>
      <c r="M181" s="643"/>
      <c r="N181" s="643"/>
      <c r="O181" s="643"/>
      <c r="P181" s="643"/>
      <c r="Q181" s="643"/>
      <c r="R181" s="643"/>
      <c r="S181" s="643"/>
      <c r="T181" s="643"/>
      <c r="U181" s="643"/>
      <c r="V181" s="643"/>
      <c r="W181" s="643"/>
      <c r="X181" s="643"/>
      <c r="Y181" s="643"/>
      <c r="Z181" s="643"/>
    </row>
    <row r="182" ht="11.25" customHeight="1">
      <c r="A182" s="646"/>
      <c r="B182" s="643"/>
      <c r="C182" s="644"/>
      <c r="D182" s="643"/>
      <c r="E182" s="643"/>
      <c r="F182" s="643"/>
      <c r="G182" s="643"/>
      <c r="H182" s="643"/>
      <c r="I182" s="643"/>
      <c r="J182" s="643"/>
      <c r="K182" s="643"/>
      <c r="L182" s="643"/>
      <c r="M182" s="643"/>
      <c r="N182" s="643"/>
      <c r="O182" s="643"/>
      <c r="P182" s="643"/>
      <c r="Q182" s="643"/>
      <c r="R182" s="643"/>
      <c r="S182" s="643"/>
      <c r="T182" s="643"/>
      <c r="U182" s="643"/>
      <c r="V182" s="643"/>
      <c r="W182" s="643"/>
      <c r="X182" s="643"/>
      <c r="Y182" s="643"/>
      <c r="Z182" s="643"/>
    </row>
    <row r="183" ht="11.25" customHeight="1">
      <c r="A183" s="646"/>
      <c r="B183" s="643"/>
      <c r="C183" s="644"/>
      <c r="D183" s="643"/>
      <c r="E183" s="643"/>
      <c r="F183" s="643"/>
      <c r="G183" s="643"/>
      <c r="H183" s="643"/>
      <c r="I183" s="643"/>
      <c r="J183" s="643"/>
      <c r="K183" s="643"/>
      <c r="L183" s="643"/>
      <c r="M183" s="643"/>
      <c r="N183" s="643"/>
      <c r="O183" s="643"/>
      <c r="P183" s="643"/>
      <c r="Q183" s="643"/>
      <c r="R183" s="643"/>
      <c r="S183" s="643"/>
      <c r="T183" s="643"/>
      <c r="U183" s="643"/>
      <c r="V183" s="643"/>
      <c r="W183" s="643"/>
      <c r="X183" s="643"/>
      <c r="Y183" s="643"/>
      <c r="Z183" s="643"/>
    </row>
    <row r="184" ht="11.25" customHeight="1">
      <c r="A184" s="646"/>
      <c r="B184" s="643"/>
      <c r="C184" s="644"/>
      <c r="D184" s="643"/>
      <c r="E184" s="643"/>
      <c r="F184" s="643"/>
      <c r="G184" s="643"/>
      <c r="H184" s="643"/>
      <c r="I184" s="643"/>
      <c r="J184" s="643"/>
      <c r="K184" s="643"/>
      <c r="L184" s="643"/>
      <c r="M184" s="643"/>
      <c r="N184" s="643"/>
      <c r="O184" s="643"/>
      <c r="P184" s="643"/>
      <c r="Q184" s="643"/>
      <c r="R184" s="643"/>
      <c r="S184" s="643"/>
      <c r="T184" s="643"/>
      <c r="U184" s="643"/>
      <c r="V184" s="643"/>
      <c r="W184" s="643"/>
      <c r="X184" s="643"/>
      <c r="Y184" s="643"/>
      <c r="Z184" s="643"/>
    </row>
    <row r="185" ht="11.25" customHeight="1">
      <c r="A185" s="646"/>
      <c r="B185" s="643"/>
      <c r="C185" s="644"/>
      <c r="D185" s="643"/>
      <c r="E185" s="643"/>
      <c r="F185" s="643"/>
      <c r="G185" s="643"/>
      <c r="H185" s="643"/>
      <c r="I185" s="643"/>
      <c r="J185" s="643"/>
      <c r="K185" s="643"/>
      <c r="L185" s="643"/>
      <c r="M185" s="643"/>
      <c r="N185" s="643"/>
      <c r="O185" s="643"/>
      <c r="P185" s="643"/>
      <c r="Q185" s="643"/>
      <c r="R185" s="643"/>
      <c r="S185" s="643"/>
      <c r="T185" s="643"/>
      <c r="U185" s="643"/>
      <c r="V185" s="643"/>
      <c r="W185" s="643"/>
      <c r="X185" s="643"/>
      <c r="Y185" s="643"/>
      <c r="Z185" s="643"/>
    </row>
    <row r="186" ht="11.25" customHeight="1">
      <c r="A186" s="646"/>
      <c r="B186" s="643"/>
      <c r="C186" s="644"/>
      <c r="D186" s="643"/>
      <c r="E186" s="643"/>
      <c r="F186" s="643"/>
      <c r="G186" s="643"/>
      <c r="H186" s="643"/>
      <c r="I186" s="643"/>
      <c r="J186" s="643"/>
      <c r="K186" s="643"/>
      <c r="L186" s="643"/>
      <c r="M186" s="643"/>
      <c r="N186" s="643"/>
      <c r="O186" s="643"/>
      <c r="P186" s="643"/>
      <c r="Q186" s="643"/>
      <c r="R186" s="643"/>
      <c r="S186" s="643"/>
      <c r="T186" s="643"/>
      <c r="U186" s="643"/>
      <c r="V186" s="643"/>
      <c r="W186" s="643"/>
      <c r="X186" s="643"/>
      <c r="Y186" s="643"/>
      <c r="Z186" s="643"/>
    </row>
    <row r="187" ht="11.25" customHeight="1">
      <c r="A187" s="646"/>
      <c r="B187" s="643"/>
      <c r="C187" s="644"/>
      <c r="D187" s="643"/>
      <c r="E187" s="643"/>
      <c r="F187" s="643"/>
      <c r="G187" s="643"/>
      <c r="H187" s="643"/>
      <c r="I187" s="643"/>
      <c r="J187" s="643"/>
      <c r="K187" s="643"/>
      <c r="L187" s="643"/>
      <c r="M187" s="643"/>
      <c r="N187" s="643"/>
      <c r="O187" s="643"/>
      <c r="P187" s="643"/>
      <c r="Q187" s="643"/>
      <c r="R187" s="643"/>
      <c r="S187" s="643"/>
      <c r="T187" s="643"/>
      <c r="U187" s="643"/>
      <c r="V187" s="643"/>
      <c r="W187" s="643"/>
      <c r="X187" s="643"/>
      <c r="Y187" s="643"/>
      <c r="Z187" s="643"/>
    </row>
    <row r="188" ht="11.25" customHeight="1">
      <c r="A188" s="646"/>
      <c r="B188" s="643"/>
      <c r="C188" s="644"/>
      <c r="D188" s="643"/>
      <c r="E188" s="643"/>
      <c r="F188" s="643"/>
      <c r="G188" s="643"/>
      <c r="H188" s="643"/>
      <c r="I188" s="643"/>
      <c r="J188" s="643"/>
      <c r="K188" s="643"/>
      <c r="L188" s="643"/>
      <c r="M188" s="643"/>
      <c r="N188" s="643"/>
      <c r="O188" s="643"/>
      <c r="P188" s="643"/>
      <c r="Q188" s="643"/>
      <c r="R188" s="643"/>
      <c r="S188" s="643"/>
      <c r="T188" s="643"/>
      <c r="U188" s="643"/>
      <c r="V188" s="643"/>
      <c r="W188" s="643"/>
      <c r="X188" s="643"/>
      <c r="Y188" s="643"/>
      <c r="Z188" s="643"/>
    </row>
    <row r="189" ht="11.25" customHeight="1">
      <c r="A189" s="646"/>
      <c r="B189" s="643"/>
      <c r="C189" s="644"/>
      <c r="D189" s="643"/>
      <c r="E189" s="643"/>
      <c r="F189" s="643"/>
      <c r="G189" s="643"/>
      <c r="H189" s="643"/>
      <c r="I189" s="643"/>
      <c r="J189" s="643"/>
      <c r="K189" s="643"/>
      <c r="L189" s="643"/>
      <c r="M189" s="643"/>
      <c r="N189" s="643"/>
      <c r="O189" s="643"/>
      <c r="P189" s="643"/>
      <c r="Q189" s="643"/>
      <c r="R189" s="643"/>
      <c r="S189" s="643"/>
      <c r="T189" s="643"/>
      <c r="U189" s="643"/>
      <c r="V189" s="643"/>
      <c r="W189" s="643"/>
      <c r="X189" s="643"/>
      <c r="Y189" s="643"/>
      <c r="Z189" s="643"/>
    </row>
    <row r="190" ht="11.25" customHeight="1">
      <c r="A190" s="646"/>
      <c r="B190" s="643"/>
      <c r="C190" s="644"/>
      <c r="D190" s="643"/>
      <c r="E190" s="643"/>
      <c r="F190" s="643"/>
      <c r="G190" s="643"/>
      <c r="H190" s="643"/>
      <c r="I190" s="643"/>
      <c r="J190" s="643"/>
      <c r="K190" s="643"/>
      <c r="L190" s="643"/>
      <c r="M190" s="643"/>
      <c r="N190" s="643"/>
      <c r="O190" s="643"/>
      <c r="P190" s="643"/>
      <c r="Q190" s="643"/>
      <c r="R190" s="643"/>
      <c r="S190" s="643"/>
      <c r="T190" s="643"/>
      <c r="U190" s="643"/>
      <c r="V190" s="643"/>
      <c r="W190" s="643"/>
      <c r="X190" s="643"/>
      <c r="Y190" s="643"/>
      <c r="Z190" s="643"/>
    </row>
    <row r="191" ht="11.25" customHeight="1">
      <c r="A191" s="646"/>
      <c r="B191" s="643"/>
      <c r="C191" s="644"/>
      <c r="D191" s="643"/>
      <c r="E191" s="643"/>
      <c r="F191" s="643"/>
      <c r="G191" s="643"/>
      <c r="H191" s="643"/>
      <c r="I191" s="643"/>
      <c r="J191" s="643"/>
      <c r="K191" s="643"/>
      <c r="L191" s="643"/>
      <c r="M191" s="643"/>
      <c r="N191" s="643"/>
      <c r="O191" s="643"/>
      <c r="P191" s="643"/>
      <c r="Q191" s="643"/>
      <c r="R191" s="643"/>
      <c r="S191" s="643"/>
      <c r="T191" s="643"/>
      <c r="U191" s="643"/>
      <c r="V191" s="643"/>
      <c r="W191" s="643"/>
      <c r="X191" s="643"/>
      <c r="Y191" s="643"/>
      <c r="Z191" s="643"/>
    </row>
    <row r="192" ht="11.25" customHeight="1">
      <c r="A192" s="646"/>
      <c r="B192" s="643"/>
      <c r="C192" s="644"/>
      <c r="D192" s="643"/>
      <c r="E192" s="643"/>
      <c r="F192" s="643"/>
      <c r="G192" s="643"/>
      <c r="H192" s="643"/>
      <c r="I192" s="643"/>
      <c r="J192" s="643"/>
      <c r="K192" s="643"/>
      <c r="L192" s="643"/>
      <c r="M192" s="643"/>
      <c r="N192" s="643"/>
      <c r="O192" s="643"/>
      <c r="P192" s="643"/>
      <c r="Q192" s="643"/>
      <c r="R192" s="643"/>
      <c r="S192" s="643"/>
      <c r="T192" s="643"/>
      <c r="U192" s="643"/>
      <c r="V192" s="643"/>
      <c r="W192" s="643"/>
      <c r="X192" s="643"/>
      <c r="Y192" s="643"/>
      <c r="Z192" s="643"/>
    </row>
    <row r="193" ht="11.25" customHeight="1">
      <c r="A193" s="646"/>
      <c r="B193" s="643"/>
      <c r="C193" s="644"/>
      <c r="D193" s="643"/>
      <c r="E193" s="643"/>
      <c r="F193" s="643"/>
      <c r="G193" s="643"/>
      <c r="H193" s="643"/>
      <c r="I193" s="643"/>
      <c r="J193" s="643"/>
      <c r="K193" s="643"/>
      <c r="L193" s="643"/>
      <c r="M193" s="643"/>
      <c r="N193" s="643"/>
      <c r="O193" s="643"/>
      <c r="P193" s="643"/>
      <c r="Q193" s="643"/>
      <c r="R193" s="643"/>
      <c r="S193" s="643"/>
      <c r="T193" s="643"/>
      <c r="U193" s="643"/>
      <c r="V193" s="643"/>
      <c r="W193" s="643"/>
      <c r="X193" s="643"/>
      <c r="Y193" s="643"/>
      <c r="Z193" s="643"/>
    </row>
    <row r="194" ht="11.25" customHeight="1">
      <c r="A194" s="646"/>
      <c r="B194" s="643"/>
      <c r="C194" s="644"/>
      <c r="D194" s="643"/>
      <c r="E194" s="643"/>
      <c r="F194" s="643"/>
      <c r="G194" s="643"/>
      <c r="H194" s="643"/>
      <c r="I194" s="643"/>
      <c r="J194" s="643"/>
      <c r="K194" s="643"/>
      <c r="L194" s="643"/>
      <c r="M194" s="643"/>
      <c r="N194" s="643"/>
      <c r="O194" s="643"/>
      <c r="P194" s="643"/>
      <c r="Q194" s="643"/>
      <c r="R194" s="643"/>
      <c r="S194" s="643"/>
      <c r="T194" s="643"/>
      <c r="U194" s="643"/>
      <c r="V194" s="643"/>
      <c r="W194" s="643"/>
      <c r="X194" s="643"/>
      <c r="Y194" s="643"/>
      <c r="Z194" s="643"/>
    </row>
    <row r="195" ht="11.25" customHeight="1">
      <c r="A195" s="646"/>
      <c r="B195" s="643"/>
      <c r="C195" s="644"/>
      <c r="D195" s="643"/>
      <c r="E195" s="643"/>
      <c r="F195" s="643"/>
      <c r="G195" s="643"/>
      <c r="H195" s="643"/>
      <c r="I195" s="643"/>
      <c r="J195" s="643"/>
      <c r="K195" s="643"/>
      <c r="L195" s="643"/>
      <c r="M195" s="643"/>
      <c r="N195" s="643"/>
      <c r="O195" s="643"/>
      <c r="P195" s="643"/>
      <c r="Q195" s="643"/>
      <c r="R195" s="643"/>
      <c r="S195" s="643"/>
      <c r="T195" s="643"/>
      <c r="U195" s="643"/>
      <c r="V195" s="643"/>
      <c r="W195" s="643"/>
      <c r="X195" s="643"/>
      <c r="Y195" s="643"/>
      <c r="Z195" s="643"/>
    </row>
    <row r="196" ht="11.25" customHeight="1">
      <c r="A196" s="646"/>
      <c r="B196" s="643"/>
      <c r="C196" s="644"/>
      <c r="D196" s="643"/>
      <c r="E196" s="643"/>
      <c r="F196" s="643"/>
      <c r="G196" s="643"/>
      <c r="H196" s="643"/>
      <c r="I196" s="643"/>
      <c r="J196" s="643"/>
      <c r="K196" s="643"/>
      <c r="L196" s="643"/>
      <c r="M196" s="643"/>
      <c r="N196" s="643"/>
      <c r="O196" s="643"/>
      <c r="P196" s="643"/>
      <c r="Q196" s="643"/>
      <c r="R196" s="643"/>
      <c r="S196" s="643"/>
      <c r="T196" s="643"/>
      <c r="U196" s="643"/>
      <c r="V196" s="643"/>
      <c r="W196" s="643"/>
      <c r="X196" s="643"/>
      <c r="Y196" s="643"/>
      <c r="Z196" s="643"/>
    </row>
    <row r="197" ht="11.25" customHeight="1">
      <c r="A197" s="646"/>
      <c r="B197" s="643"/>
      <c r="C197" s="644"/>
      <c r="D197" s="643"/>
      <c r="E197" s="643"/>
      <c r="F197" s="643"/>
      <c r="G197" s="643"/>
      <c r="H197" s="643"/>
      <c r="I197" s="643"/>
      <c r="J197" s="643"/>
      <c r="K197" s="643"/>
      <c r="L197" s="643"/>
      <c r="M197" s="643"/>
      <c r="N197" s="643"/>
      <c r="O197" s="643"/>
      <c r="P197" s="643"/>
      <c r="Q197" s="643"/>
      <c r="R197" s="643"/>
      <c r="S197" s="643"/>
      <c r="T197" s="643"/>
      <c r="U197" s="643"/>
      <c r="V197" s="643"/>
      <c r="W197" s="643"/>
      <c r="X197" s="643"/>
      <c r="Y197" s="643"/>
      <c r="Z197" s="643"/>
    </row>
    <row r="198" ht="11.25" customHeight="1">
      <c r="A198" s="646"/>
      <c r="B198" s="643"/>
      <c r="C198" s="644"/>
      <c r="D198" s="643"/>
      <c r="E198" s="643"/>
      <c r="F198" s="643"/>
      <c r="G198" s="643"/>
      <c r="H198" s="643"/>
      <c r="I198" s="643"/>
      <c r="J198" s="643"/>
      <c r="K198" s="643"/>
      <c r="L198" s="643"/>
      <c r="M198" s="643"/>
      <c r="N198" s="643"/>
      <c r="O198" s="643"/>
      <c r="P198" s="643"/>
      <c r="Q198" s="643"/>
      <c r="R198" s="643"/>
      <c r="S198" s="643"/>
      <c r="T198" s="643"/>
      <c r="U198" s="643"/>
      <c r="V198" s="643"/>
      <c r="W198" s="643"/>
      <c r="X198" s="643"/>
      <c r="Y198" s="643"/>
      <c r="Z198" s="643"/>
    </row>
    <row r="199" ht="11.25" customHeight="1">
      <c r="A199" s="646"/>
      <c r="B199" s="643"/>
      <c r="C199" s="644"/>
      <c r="D199" s="643"/>
      <c r="E199" s="643"/>
      <c r="F199" s="643"/>
      <c r="G199" s="643"/>
      <c r="H199" s="643"/>
      <c r="I199" s="643"/>
      <c r="J199" s="643"/>
      <c r="K199" s="643"/>
      <c r="L199" s="643"/>
      <c r="M199" s="643"/>
      <c r="N199" s="643"/>
      <c r="O199" s="643"/>
      <c r="P199" s="643"/>
      <c r="Q199" s="643"/>
      <c r="R199" s="643"/>
      <c r="S199" s="643"/>
      <c r="T199" s="643"/>
      <c r="U199" s="643"/>
      <c r="V199" s="643"/>
      <c r="W199" s="643"/>
      <c r="X199" s="643"/>
      <c r="Y199" s="643"/>
      <c r="Z199" s="643"/>
    </row>
    <row r="200" ht="11.25" customHeight="1">
      <c r="A200" s="646"/>
      <c r="B200" s="643"/>
      <c r="C200" s="644"/>
      <c r="D200" s="643"/>
      <c r="E200" s="643"/>
      <c r="F200" s="643"/>
      <c r="G200" s="643"/>
      <c r="H200" s="643"/>
      <c r="I200" s="643"/>
      <c r="J200" s="643"/>
      <c r="K200" s="643"/>
      <c r="L200" s="643"/>
      <c r="M200" s="643"/>
      <c r="N200" s="643"/>
      <c r="O200" s="643"/>
      <c r="P200" s="643"/>
      <c r="Q200" s="643"/>
      <c r="R200" s="643"/>
      <c r="S200" s="643"/>
      <c r="T200" s="643"/>
      <c r="U200" s="643"/>
      <c r="V200" s="643"/>
      <c r="W200" s="643"/>
      <c r="X200" s="643"/>
      <c r="Y200" s="643"/>
      <c r="Z200" s="643"/>
    </row>
    <row r="201" ht="11.25" customHeight="1">
      <c r="A201" s="646"/>
      <c r="B201" s="643"/>
      <c r="C201" s="644"/>
      <c r="D201" s="643"/>
      <c r="E201" s="643"/>
      <c r="F201" s="643"/>
      <c r="G201" s="643"/>
      <c r="H201" s="643"/>
      <c r="I201" s="643"/>
      <c r="J201" s="643"/>
      <c r="K201" s="643"/>
      <c r="L201" s="643"/>
      <c r="M201" s="643"/>
      <c r="N201" s="643"/>
      <c r="O201" s="643"/>
      <c r="P201" s="643"/>
      <c r="Q201" s="643"/>
      <c r="R201" s="643"/>
      <c r="S201" s="643"/>
      <c r="T201" s="643"/>
      <c r="U201" s="643"/>
      <c r="V201" s="643"/>
      <c r="W201" s="643"/>
      <c r="X201" s="643"/>
      <c r="Y201" s="643"/>
      <c r="Z201" s="643"/>
    </row>
    <row r="202" ht="11.25" customHeight="1">
      <c r="A202" s="646"/>
      <c r="B202" s="643"/>
      <c r="C202" s="644"/>
      <c r="D202" s="643"/>
      <c r="E202" s="643"/>
      <c r="F202" s="643"/>
      <c r="G202" s="643"/>
      <c r="H202" s="643"/>
      <c r="I202" s="643"/>
      <c r="J202" s="643"/>
      <c r="K202" s="643"/>
      <c r="L202" s="643"/>
      <c r="M202" s="643"/>
      <c r="N202" s="643"/>
      <c r="O202" s="643"/>
      <c r="P202" s="643"/>
      <c r="Q202" s="643"/>
      <c r="R202" s="643"/>
      <c r="S202" s="643"/>
      <c r="T202" s="643"/>
      <c r="U202" s="643"/>
      <c r="V202" s="643"/>
      <c r="W202" s="643"/>
      <c r="X202" s="643"/>
      <c r="Y202" s="643"/>
      <c r="Z202" s="643"/>
    </row>
    <row r="203" ht="11.25" customHeight="1">
      <c r="A203" s="646"/>
      <c r="B203" s="643"/>
      <c r="C203" s="644"/>
      <c r="D203" s="643"/>
      <c r="E203" s="643"/>
      <c r="F203" s="643"/>
      <c r="G203" s="643"/>
      <c r="H203" s="643"/>
      <c r="I203" s="643"/>
      <c r="J203" s="643"/>
      <c r="K203" s="643"/>
      <c r="L203" s="643"/>
      <c r="M203" s="643"/>
      <c r="N203" s="643"/>
      <c r="O203" s="643"/>
      <c r="P203" s="643"/>
      <c r="Q203" s="643"/>
      <c r="R203" s="643"/>
      <c r="S203" s="643"/>
      <c r="T203" s="643"/>
      <c r="U203" s="643"/>
      <c r="V203" s="643"/>
      <c r="W203" s="643"/>
      <c r="X203" s="643"/>
      <c r="Y203" s="643"/>
      <c r="Z203" s="643"/>
    </row>
    <row r="204" ht="11.25" customHeight="1">
      <c r="A204" s="646"/>
      <c r="B204" s="643"/>
      <c r="C204" s="644"/>
      <c r="D204" s="643"/>
      <c r="E204" s="643"/>
      <c r="F204" s="643"/>
      <c r="G204" s="643"/>
      <c r="H204" s="643"/>
      <c r="I204" s="643"/>
      <c r="J204" s="643"/>
      <c r="K204" s="643"/>
      <c r="L204" s="643"/>
      <c r="M204" s="643"/>
      <c r="N204" s="643"/>
      <c r="O204" s="643"/>
      <c r="P204" s="643"/>
      <c r="Q204" s="643"/>
      <c r="R204" s="643"/>
      <c r="S204" s="643"/>
      <c r="T204" s="643"/>
      <c r="U204" s="643"/>
      <c r="V204" s="643"/>
      <c r="W204" s="643"/>
      <c r="X204" s="643"/>
      <c r="Y204" s="643"/>
      <c r="Z204" s="643"/>
    </row>
    <row r="205" ht="11.25" customHeight="1">
      <c r="A205" s="646"/>
      <c r="B205" s="643"/>
      <c r="C205" s="644"/>
      <c r="D205" s="643"/>
      <c r="E205" s="643"/>
      <c r="F205" s="643"/>
      <c r="G205" s="643"/>
      <c r="H205" s="643"/>
      <c r="I205" s="643"/>
      <c r="J205" s="643"/>
      <c r="K205" s="643"/>
      <c r="L205" s="643"/>
      <c r="M205" s="643"/>
      <c r="N205" s="643"/>
      <c r="O205" s="643"/>
      <c r="P205" s="643"/>
      <c r="Q205" s="643"/>
      <c r="R205" s="643"/>
      <c r="S205" s="643"/>
      <c r="T205" s="643"/>
      <c r="U205" s="643"/>
      <c r="V205" s="643"/>
      <c r="W205" s="643"/>
      <c r="X205" s="643"/>
      <c r="Y205" s="643"/>
      <c r="Z205" s="643"/>
    </row>
    <row r="206" ht="11.25" customHeight="1">
      <c r="A206" s="646"/>
      <c r="B206" s="643"/>
      <c r="C206" s="644"/>
      <c r="D206" s="643"/>
      <c r="E206" s="643"/>
      <c r="F206" s="643"/>
      <c r="G206" s="643"/>
      <c r="H206" s="643"/>
      <c r="I206" s="643"/>
      <c r="J206" s="643"/>
      <c r="K206" s="643"/>
      <c r="L206" s="643"/>
      <c r="M206" s="643"/>
      <c r="N206" s="643"/>
      <c r="O206" s="643"/>
      <c r="P206" s="643"/>
      <c r="Q206" s="643"/>
      <c r="R206" s="643"/>
      <c r="S206" s="643"/>
      <c r="T206" s="643"/>
      <c r="U206" s="643"/>
      <c r="V206" s="643"/>
      <c r="W206" s="643"/>
      <c r="X206" s="643"/>
      <c r="Y206" s="643"/>
      <c r="Z206" s="643"/>
    </row>
    <row r="207" ht="11.25" customHeight="1">
      <c r="A207" s="646"/>
      <c r="B207" s="643"/>
      <c r="C207" s="644"/>
      <c r="D207" s="643"/>
      <c r="E207" s="643"/>
      <c r="F207" s="643"/>
      <c r="G207" s="643"/>
      <c r="H207" s="643"/>
      <c r="I207" s="643"/>
      <c r="J207" s="643"/>
      <c r="K207" s="643"/>
      <c r="L207" s="643"/>
      <c r="M207" s="643"/>
      <c r="N207" s="643"/>
      <c r="O207" s="643"/>
      <c r="P207" s="643"/>
      <c r="Q207" s="643"/>
      <c r="R207" s="643"/>
      <c r="S207" s="643"/>
      <c r="T207" s="643"/>
      <c r="U207" s="643"/>
      <c r="V207" s="643"/>
      <c r="W207" s="643"/>
      <c r="X207" s="643"/>
      <c r="Y207" s="643"/>
      <c r="Z207" s="643"/>
    </row>
    <row r="208" ht="11.25" customHeight="1">
      <c r="A208" s="646"/>
      <c r="B208" s="643"/>
      <c r="C208" s="644"/>
      <c r="D208" s="643"/>
      <c r="E208" s="643"/>
      <c r="F208" s="643"/>
      <c r="G208" s="643"/>
      <c r="H208" s="643"/>
      <c r="I208" s="643"/>
      <c r="J208" s="643"/>
      <c r="K208" s="643"/>
      <c r="L208" s="643"/>
      <c r="M208" s="643"/>
      <c r="N208" s="643"/>
      <c r="O208" s="643"/>
      <c r="P208" s="643"/>
      <c r="Q208" s="643"/>
      <c r="R208" s="643"/>
      <c r="S208" s="643"/>
      <c r="T208" s="643"/>
      <c r="U208" s="643"/>
      <c r="V208" s="643"/>
      <c r="W208" s="643"/>
      <c r="X208" s="643"/>
      <c r="Y208" s="643"/>
      <c r="Z208" s="643"/>
    </row>
    <row r="209" ht="11.25" customHeight="1">
      <c r="A209" s="646"/>
      <c r="B209" s="643"/>
      <c r="C209" s="644"/>
      <c r="D209" s="643"/>
      <c r="E209" s="643"/>
      <c r="F209" s="643"/>
      <c r="G209" s="643"/>
      <c r="H209" s="643"/>
      <c r="I209" s="643"/>
      <c r="J209" s="643"/>
      <c r="K209" s="643"/>
      <c r="L209" s="643"/>
      <c r="M209" s="643"/>
      <c r="N209" s="643"/>
      <c r="O209" s="643"/>
      <c r="P209" s="643"/>
      <c r="Q209" s="643"/>
      <c r="R209" s="643"/>
      <c r="S209" s="643"/>
      <c r="T209" s="643"/>
      <c r="U209" s="643"/>
      <c r="V209" s="643"/>
      <c r="W209" s="643"/>
      <c r="X209" s="643"/>
      <c r="Y209" s="643"/>
      <c r="Z209" s="643"/>
    </row>
    <row r="210" ht="11.25" customHeight="1">
      <c r="A210" s="646"/>
      <c r="B210" s="643"/>
      <c r="C210" s="644"/>
      <c r="D210" s="643"/>
      <c r="E210" s="643"/>
      <c r="F210" s="643"/>
      <c r="G210" s="643"/>
      <c r="H210" s="643"/>
      <c r="I210" s="643"/>
      <c r="J210" s="643"/>
      <c r="K210" s="643"/>
      <c r="L210" s="643"/>
      <c r="M210" s="643"/>
      <c r="N210" s="643"/>
      <c r="O210" s="643"/>
      <c r="P210" s="643"/>
      <c r="Q210" s="643"/>
      <c r="R210" s="643"/>
      <c r="S210" s="643"/>
      <c r="T210" s="643"/>
      <c r="U210" s="643"/>
      <c r="V210" s="643"/>
      <c r="W210" s="643"/>
      <c r="X210" s="643"/>
      <c r="Y210" s="643"/>
      <c r="Z210" s="643"/>
    </row>
    <row r="211" ht="11.25" customHeight="1">
      <c r="A211" s="646"/>
      <c r="B211" s="643"/>
      <c r="C211" s="644"/>
      <c r="D211" s="643"/>
      <c r="E211" s="643"/>
      <c r="F211" s="643"/>
      <c r="G211" s="643"/>
      <c r="H211" s="643"/>
      <c r="I211" s="643"/>
      <c r="J211" s="643"/>
      <c r="K211" s="643"/>
      <c r="L211" s="643"/>
      <c r="M211" s="643"/>
      <c r="N211" s="643"/>
      <c r="O211" s="643"/>
      <c r="P211" s="643"/>
      <c r="Q211" s="643"/>
      <c r="R211" s="643"/>
      <c r="S211" s="643"/>
      <c r="T211" s="643"/>
      <c r="U211" s="643"/>
      <c r="V211" s="643"/>
      <c r="W211" s="643"/>
      <c r="X211" s="643"/>
      <c r="Y211" s="643"/>
      <c r="Z211" s="643"/>
    </row>
    <row r="212" ht="11.25" customHeight="1">
      <c r="A212" s="646"/>
      <c r="B212" s="643"/>
      <c r="C212" s="644"/>
      <c r="D212" s="643"/>
      <c r="E212" s="643"/>
      <c r="F212" s="643"/>
      <c r="G212" s="643"/>
      <c r="H212" s="643"/>
      <c r="I212" s="643"/>
      <c r="J212" s="643"/>
      <c r="K212" s="643"/>
      <c r="L212" s="643"/>
      <c r="M212" s="643"/>
      <c r="N212" s="643"/>
      <c r="O212" s="643"/>
      <c r="P212" s="643"/>
      <c r="Q212" s="643"/>
      <c r="R212" s="643"/>
      <c r="S212" s="643"/>
      <c r="T212" s="643"/>
      <c r="U212" s="643"/>
      <c r="V212" s="643"/>
      <c r="W212" s="643"/>
      <c r="X212" s="643"/>
      <c r="Y212" s="643"/>
      <c r="Z212" s="643"/>
    </row>
    <row r="213" ht="11.25" customHeight="1">
      <c r="A213" s="646"/>
      <c r="B213" s="643"/>
      <c r="C213" s="644"/>
      <c r="D213" s="643"/>
      <c r="E213" s="643"/>
      <c r="F213" s="643"/>
      <c r="G213" s="643"/>
      <c r="H213" s="643"/>
      <c r="I213" s="643"/>
      <c r="J213" s="643"/>
      <c r="K213" s="643"/>
      <c r="L213" s="643"/>
      <c r="M213" s="643"/>
      <c r="N213" s="643"/>
      <c r="O213" s="643"/>
      <c r="P213" s="643"/>
      <c r="Q213" s="643"/>
      <c r="R213" s="643"/>
      <c r="S213" s="643"/>
      <c r="T213" s="643"/>
      <c r="U213" s="643"/>
      <c r="V213" s="643"/>
      <c r="W213" s="643"/>
      <c r="X213" s="643"/>
      <c r="Y213" s="643"/>
      <c r="Z213" s="643"/>
    </row>
    <row r="214" ht="11.25" customHeight="1">
      <c r="A214" s="646"/>
      <c r="B214" s="643"/>
      <c r="C214" s="644"/>
      <c r="D214" s="643"/>
      <c r="E214" s="643"/>
      <c r="F214" s="643"/>
      <c r="G214" s="643"/>
      <c r="H214" s="643"/>
      <c r="I214" s="643"/>
      <c r="J214" s="643"/>
      <c r="K214" s="643"/>
      <c r="L214" s="643"/>
      <c r="M214" s="643"/>
      <c r="N214" s="643"/>
      <c r="O214" s="643"/>
      <c r="P214" s="643"/>
      <c r="Q214" s="643"/>
      <c r="R214" s="643"/>
      <c r="S214" s="643"/>
      <c r="T214" s="643"/>
      <c r="U214" s="643"/>
      <c r="V214" s="643"/>
      <c r="W214" s="643"/>
      <c r="X214" s="643"/>
      <c r="Y214" s="643"/>
      <c r="Z214" s="643"/>
    </row>
    <row r="215" ht="11.25" customHeight="1">
      <c r="A215" s="646"/>
      <c r="B215" s="643"/>
      <c r="C215" s="644"/>
      <c r="D215" s="643"/>
      <c r="E215" s="643"/>
      <c r="F215" s="643"/>
      <c r="G215" s="643"/>
      <c r="H215" s="643"/>
      <c r="I215" s="643"/>
      <c r="J215" s="643"/>
      <c r="K215" s="643"/>
      <c r="L215" s="643"/>
      <c r="M215" s="643"/>
      <c r="N215" s="643"/>
      <c r="O215" s="643"/>
      <c r="P215" s="643"/>
      <c r="Q215" s="643"/>
      <c r="R215" s="643"/>
      <c r="S215" s="643"/>
      <c r="T215" s="643"/>
      <c r="U215" s="643"/>
      <c r="V215" s="643"/>
      <c r="W215" s="643"/>
      <c r="X215" s="643"/>
      <c r="Y215" s="643"/>
      <c r="Z215" s="643"/>
    </row>
    <row r="216" ht="11.25" customHeight="1">
      <c r="A216" s="646"/>
      <c r="B216" s="643"/>
      <c r="C216" s="644"/>
      <c r="D216" s="643"/>
      <c r="E216" s="643"/>
      <c r="F216" s="643"/>
      <c r="G216" s="643"/>
      <c r="H216" s="643"/>
      <c r="I216" s="643"/>
      <c r="J216" s="643"/>
      <c r="K216" s="643"/>
      <c r="L216" s="643"/>
      <c r="M216" s="643"/>
      <c r="N216" s="643"/>
      <c r="O216" s="643"/>
      <c r="P216" s="643"/>
      <c r="Q216" s="643"/>
      <c r="R216" s="643"/>
      <c r="S216" s="643"/>
      <c r="T216" s="643"/>
      <c r="U216" s="643"/>
      <c r="V216" s="643"/>
      <c r="W216" s="643"/>
      <c r="X216" s="643"/>
      <c r="Y216" s="643"/>
      <c r="Z216" s="643"/>
    </row>
    <row r="217" ht="11.25" customHeight="1">
      <c r="A217" s="646"/>
      <c r="B217" s="643"/>
      <c r="C217" s="644"/>
      <c r="D217" s="643"/>
      <c r="E217" s="643"/>
      <c r="F217" s="643"/>
      <c r="G217" s="643"/>
      <c r="H217" s="643"/>
      <c r="I217" s="643"/>
      <c r="J217" s="643"/>
      <c r="K217" s="643"/>
      <c r="L217" s="643"/>
      <c r="M217" s="643"/>
      <c r="N217" s="643"/>
      <c r="O217" s="643"/>
      <c r="P217" s="643"/>
      <c r="Q217" s="643"/>
      <c r="R217" s="643"/>
      <c r="S217" s="643"/>
      <c r="T217" s="643"/>
      <c r="U217" s="643"/>
      <c r="V217" s="643"/>
      <c r="W217" s="643"/>
      <c r="X217" s="643"/>
      <c r="Y217" s="643"/>
      <c r="Z217" s="643"/>
    </row>
    <row r="218" ht="11.25" customHeight="1">
      <c r="A218" s="646"/>
      <c r="B218" s="643"/>
      <c r="C218" s="644"/>
      <c r="D218" s="643"/>
      <c r="E218" s="643"/>
      <c r="F218" s="643"/>
      <c r="G218" s="643"/>
      <c r="H218" s="643"/>
      <c r="I218" s="643"/>
      <c r="J218" s="643"/>
      <c r="K218" s="643"/>
      <c r="L218" s="643"/>
      <c r="M218" s="643"/>
      <c r="N218" s="643"/>
      <c r="O218" s="643"/>
      <c r="P218" s="643"/>
      <c r="Q218" s="643"/>
      <c r="R218" s="643"/>
      <c r="S218" s="643"/>
      <c r="T218" s="643"/>
      <c r="U218" s="643"/>
      <c r="V218" s="643"/>
      <c r="W218" s="643"/>
      <c r="X218" s="643"/>
      <c r="Y218" s="643"/>
      <c r="Z218" s="643"/>
    </row>
    <row r="219" ht="11.25" customHeight="1">
      <c r="A219" s="646"/>
      <c r="B219" s="643"/>
      <c r="C219" s="644"/>
      <c r="D219" s="643"/>
      <c r="E219" s="643"/>
      <c r="F219" s="643"/>
      <c r="G219" s="643"/>
      <c r="H219" s="643"/>
      <c r="I219" s="643"/>
      <c r="J219" s="643"/>
      <c r="K219" s="643"/>
      <c r="L219" s="643"/>
      <c r="M219" s="643"/>
      <c r="N219" s="643"/>
      <c r="O219" s="643"/>
      <c r="P219" s="643"/>
      <c r="Q219" s="643"/>
      <c r="R219" s="643"/>
      <c r="S219" s="643"/>
      <c r="T219" s="643"/>
      <c r="U219" s="643"/>
      <c r="V219" s="643"/>
      <c r="W219" s="643"/>
      <c r="X219" s="643"/>
      <c r="Y219" s="643"/>
      <c r="Z219" s="643"/>
    </row>
    <row r="220" ht="11.25" customHeight="1">
      <c r="A220" s="646"/>
      <c r="B220" s="643"/>
      <c r="C220" s="644"/>
      <c r="D220" s="643"/>
      <c r="E220" s="643"/>
      <c r="F220" s="643"/>
      <c r="G220" s="643"/>
      <c r="H220" s="643"/>
      <c r="I220" s="643"/>
      <c r="J220" s="643"/>
      <c r="K220" s="643"/>
      <c r="L220" s="643"/>
      <c r="M220" s="643"/>
      <c r="N220" s="643"/>
      <c r="O220" s="643"/>
      <c r="P220" s="643"/>
      <c r="Q220" s="643"/>
      <c r="R220" s="643"/>
      <c r="S220" s="643"/>
      <c r="T220" s="643"/>
      <c r="U220" s="643"/>
      <c r="V220" s="643"/>
      <c r="W220" s="643"/>
      <c r="X220" s="643"/>
      <c r="Y220" s="643"/>
      <c r="Z220" s="643"/>
    </row>
    <row r="221" ht="11.25" customHeight="1">
      <c r="A221" s="646"/>
      <c r="B221" s="643"/>
      <c r="C221" s="644"/>
      <c r="D221" s="643"/>
      <c r="E221" s="643"/>
      <c r="F221" s="643"/>
      <c r="G221" s="643"/>
      <c r="H221" s="643"/>
      <c r="I221" s="643"/>
      <c r="J221" s="643"/>
      <c r="K221" s="643"/>
      <c r="L221" s="643"/>
      <c r="M221" s="643"/>
      <c r="N221" s="643"/>
      <c r="O221" s="643"/>
      <c r="P221" s="643"/>
      <c r="Q221" s="643"/>
      <c r="R221" s="643"/>
      <c r="S221" s="643"/>
      <c r="T221" s="643"/>
      <c r="U221" s="643"/>
      <c r="V221" s="643"/>
      <c r="W221" s="643"/>
      <c r="X221" s="643"/>
      <c r="Y221" s="643"/>
      <c r="Z221" s="643"/>
    </row>
    <row r="222" ht="11.25" customHeight="1">
      <c r="A222" s="646"/>
      <c r="B222" s="643"/>
      <c r="C222" s="644"/>
      <c r="D222" s="643"/>
      <c r="E222" s="643"/>
      <c r="F222" s="643"/>
      <c r="G222" s="643"/>
      <c r="H222" s="643"/>
      <c r="I222" s="643"/>
      <c r="J222" s="643"/>
      <c r="K222" s="643"/>
      <c r="L222" s="643"/>
      <c r="M222" s="643"/>
      <c r="N222" s="643"/>
      <c r="O222" s="643"/>
      <c r="P222" s="643"/>
      <c r="Q222" s="643"/>
      <c r="R222" s="643"/>
      <c r="S222" s="643"/>
      <c r="T222" s="643"/>
      <c r="U222" s="643"/>
      <c r="V222" s="643"/>
      <c r="W222" s="643"/>
      <c r="X222" s="643"/>
      <c r="Y222" s="643"/>
      <c r="Z222" s="643"/>
    </row>
    <row r="223" ht="11.25" customHeight="1">
      <c r="A223" s="646"/>
      <c r="B223" s="643"/>
      <c r="C223" s="644"/>
      <c r="D223" s="643"/>
      <c r="E223" s="643"/>
      <c r="F223" s="643"/>
      <c r="G223" s="643"/>
      <c r="H223" s="643"/>
      <c r="I223" s="643"/>
      <c r="J223" s="643"/>
      <c r="K223" s="643"/>
      <c r="L223" s="643"/>
      <c r="M223" s="643"/>
      <c r="N223" s="643"/>
      <c r="O223" s="643"/>
      <c r="P223" s="643"/>
      <c r="Q223" s="643"/>
      <c r="R223" s="643"/>
      <c r="S223" s="643"/>
      <c r="T223" s="643"/>
      <c r="U223" s="643"/>
      <c r="V223" s="643"/>
      <c r="W223" s="643"/>
      <c r="X223" s="643"/>
      <c r="Y223" s="643"/>
      <c r="Z223" s="643"/>
    </row>
    <row r="224" ht="11.25" customHeight="1">
      <c r="A224" s="646"/>
      <c r="B224" s="643"/>
      <c r="C224" s="644"/>
      <c r="D224" s="643"/>
      <c r="E224" s="643"/>
      <c r="F224" s="643"/>
      <c r="G224" s="643"/>
      <c r="H224" s="643"/>
      <c r="I224" s="643"/>
      <c r="J224" s="643"/>
      <c r="K224" s="643"/>
      <c r="L224" s="643"/>
      <c r="M224" s="643"/>
      <c r="N224" s="643"/>
      <c r="O224" s="643"/>
      <c r="P224" s="643"/>
      <c r="Q224" s="643"/>
      <c r="R224" s="643"/>
      <c r="S224" s="643"/>
      <c r="T224" s="643"/>
      <c r="U224" s="643"/>
      <c r="V224" s="643"/>
      <c r="W224" s="643"/>
      <c r="X224" s="643"/>
      <c r="Y224" s="643"/>
      <c r="Z224" s="643"/>
    </row>
    <row r="225" ht="11.25" customHeight="1">
      <c r="A225" s="646"/>
      <c r="B225" s="643"/>
      <c r="C225" s="644"/>
      <c r="D225" s="643"/>
      <c r="E225" s="643"/>
      <c r="F225" s="643"/>
      <c r="G225" s="643"/>
      <c r="H225" s="643"/>
      <c r="I225" s="643"/>
      <c r="J225" s="643"/>
      <c r="K225" s="643"/>
      <c r="L225" s="643"/>
      <c r="M225" s="643"/>
      <c r="N225" s="643"/>
      <c r="O225" s="643"/>
      <c r="P225" s="643"/>
      <c r="Q225" s="643"/>
      <c r="R225" s="643"/>
      <c r="S225" s="643"/>
      <c r="T225" s="643"/>
      <c r="U225" s="643"/>
      <c r="V225" s="643"/>
      <c r="W225" s="643"/>
      <c r="X225" s="643"/>
      <c r="Y225" s="643"/>
      <c r="Z225" s="643"/>
    </row>
    <row r="226" ht="11.25" customHeight="1">
      <c r="A226" s="646"/>
      <c r="B226" s="643"/>
      <c r="C226" s="644"/>
      <c r="D226" s="643"/>
      <c r="E226" s="643"/>
      <c r="F226" s="643"/>
      <c r="G226" s="643"/>
      <c r="H226" s="643"/>
      <c r="I226" s="643"/>
      <c r="J226" s="643"/>
      <c r="K226" s="643"/>
      <c r="L226" s="643"/>
      <c r="M226" s="643"/>
      <c r="N226" s="643"/>
      <c r="O226" s="643"/>
      <c r="P226" s="643"/>
      <c r="Q226" s="643"/>
      <c r="R226" s="643"/>
      <c r="S226" s="643"/>
      <c r="T226" s="643"/>
      <c r="U226" s="643"/>
      <c r="V226" s="643"/>
      <c r="W226" s="643"/>
      <c r="X226" s="643"/>
      <c r="Y226" s="643"/>
      <c r="Z226" s="643"/>
    </row>
    <row r="227" ht="11.25" customHeight="1">
      <c r="A227" s="646"/>
      <c r="B227" s="643"/>
      <c r="C227" s="644"/>
      <c r="D227" s="643"/>
      <c r="E227" s="643"/>
      <c r="F227" s="643"/>
      <c r="G227" s="643"/>
      <c r="H227" s="643"/>
      <c r="I227" s="643"/>
      <c r="J227" s="643"/>
      <c r="K227" s="643"/>
      <c r="L227" s="643"/>
      <c r="M227" s="643"/>
      <c r="N227" s="643"/>
      <c r="O227" s="643"/>
      <c r="P227" s="643"/>
      <c r="Q227" s="643"/>
      <c r="R227" s="643"/>
      <c r="S227" s="643"/>
      <c r="T227" s="643"/>
      <c r="U227" s="643"/>
      <c r="V227" s="643"/>
      <c r="W227" s="643"/>
      <c r="X227" s="643"/>
      <c r="Y227" s="643"/>
      <c r="Z227" s="643"/>
    </row>
    <row r="228" ht="11.25" customHeight="1">
      <c r="A228" s="646"/>
      <c r="B228" s="643"/>
      <c r="C228" s="644"/>
      <c r="D228" s="643"/>
      <c r="E228" s="643"/>
      <c r="F228" s="643"/>
      <c r="G228" s="643"/>
      <c r="H228" s="643"/>
      <c r="I228" s="643"/>
      <c r="J228" s="643"/>
      <c r="K228" s="643"/>
      <c r="L228" s="643"/>
      <c r="M228" s="643"/>
      <c r="N228" s="643"/>
      <c r="O228" s="643"/>
      <c r="P228" s="643"/>
      <c r="Q228" s="643"/>
      <c r="R228" s="643"/>
      <c r="S228" s="643"/>
      <c r="T228" s="643"/>
      <c r="U228" s="643"/>
      <c r="V228" s="643"/>
      <c r="W228" s="643"/>
      <c r="X228" s="643"/>
      <c r="Y228" s="643"/>
      <c r="Z228" s="643"/>
    </row>
    <row r="229" ht="11.25" customHeight="1">
      <c r="A229" s="646"/>
      <c r="B229" s="643"/>
      <c r="C229" s="644"/>
      <c r="D229" s="643"/>
      <c r="E229" s="643"/>
      <c r="F229" s="643"/>
      <c r="G229" s="643"/>
      <c r="H229" s="643"/>
      <c r="I229" s="643"/>
      <c r="J229" s="643"/>
      <c r="K229" s="643"/>
      <c r="L229" s="643"/>
      <c r="M229" s="643"/>
      <c r="N229" s="643"/>
      <c r="O229" s="643"/>
      <c r="P229" s="643"/>
      <c r="Q229" s="643"/>
      <c r="R229" s="643"/>
      <c r="S229" s="643"/>
      <c r="T229" s="643"/>
      <c r="U229" s="643"/>
      <c r="V229" s="643"/>
      <c r="W229" s="643"/>
      <c r="X229" s="643"/>
      <c r="Y229" s="643"/>
      <c r="Z229" s="643"/>
    </row>
    <row r="230" ht="11.25" customHeight="1">
      <c r="A230" s="646"/>
      <c r="B230" s="643"/>
      <c r="C230" s="644"/>
      <c r="D230" s="643"/>
      <c r="E230" s="643"/>
      <c r="F230" s="643"/>
      <c r="G230" s="643"/>
      <c r="H230" s="643"/>
      <c r="I230" s="643"/>
      <c r="J230" s="643"/>
      <c r="K230" s="643"/>
      <c r="L230" s="643"/>
      <c r="M230" s="643"/>
      <c r="N230" s="643"/>
      <c r="O230" s="643"/>
      <c r="P230" s="643"/>
      <c r="Q230" s="643"/>
      <c r="R230" s="643"/>
      <c r="S230" s="643"/>
      <c r="T230" s="643"/>
      <c r="U230" s="643"/>
      <c r="V230" s="643"/>
      <c r="W230" s="643"/>
      <c r="X230" s="643"/>
      <c r="Y230" s="643"/>
      <c r="Z230" s="643"/>
    </row>
    <row r="231" ht="11.25" customHeight="1">
      <c r="A231" s="646"/>
      <c r="B231" s="643"/>
      <c r="C231" s="644"/>
      <c r="D231" s="643"/>
      <c r="E231" s="643"/>
      <c r="F231" s="643"/>
      <c r="G231" s="643"/>
      <c r="H231" s="643"/>
      <c r="I231" s="643"/>
      <c r="J231" s="643"/>
      <c r="K231" s="643"/>
      <c r="L231" s="643"/>
      <c r="M231" s="643"/>
      <c r="N231" s="643"/>
      <c r="O231" s="643"/>
      <c r="P231" s="643"/>
      <c r="Q231" s="643"/>
      <c r="R231" s="643"/>
      <c r="S231" s="643"/>
      <c r="T231" s="643"/>
      <c r="U231" s="643"/>
      <c r="V231" s="643"/>
      <c r="W231" s="643"/>
      <c r="X231" s="643"/>
      <c r="Y231" s="643"/>
      <c r="Z231" s="643"/>
    </row>
    <row r="232" ht="11.25" customHeight="1">
      <c r="A232" s="646"/>
      <c r="B232" s="643"/>
      <c r="C232" s="644"/>
      <c r="D232" s="643"/>
      <c r="E232" s="643"/>
      <c r="F232" s="643"/>
      <c r="G232" s="643"/>
      <c r="H232" s="643"/>
      <c r="I232" s="643"/>
      <c r="J232" s="643"/>
      <c r="K232" s="643"/>
      <c r="L232" s="643"/>
      <c r="M232" s="643"/>
      <c r="N232" s="643"/>
      <c r="O232" s="643"/>
      <c r="P232" s="643"/>
      <c r="Q232" s="643"/>
      <c r="R232" s="643"/>
      <c r="S232" s="643"/>
      <c r="T232" s="643"/>
      <c r="U232" s="643"/>
      <c r="V232" s="643"/>
      <c r="W232" s="643"/>
      <c r="X232" s="643"/>
      <c r="Y232" s="643"/>
      <c r="Z232" s="643"/>
    </row>
    <row r="233" ht="11.25" customHeight="1">
      <c r="A233" s="646"/>
      <c r="B233" s="643"/>
      <c r="C233" s="644"/>
      <c r="D233" s="643"/>
      <c r="E233" s="643"/>
      <c r="F233" s="643"/>
      <c r="G233" s="643"/>
      <c r="H233" s="643"/>
      <c r="I233" s="643"/>
      <c r="J233" s="643"/>
      <c r="K233" s="643"/>
      <c r="L233" s="643"/>
      <c r="M233" s="643"/>
      <c r="N233" s="643"/>
      <c r="O233" s="643"/>
      <c r="P233" s="643"/>
      <c r="Q233" s="643"/>
      <c r="R233" s="643"/>
      <c r="S233" s="643"/>
      <c r="T233" s="643"/>
      <c r="U233" s="643"/>
      <c r="V233" s="643"/>
      <c r="W233" s="643"/>
      <c r="X233" s="643"/>
      <c r="Y233" s="643"/>
      <c r="Z233" s="643"/>
    </row>
    <row r="234" ht="11.25" customHeight="1">
      <c r="A234" s="646"/>
      <c r="B234" s="643"/>
      <c r="C234" s="644"/>
      <c r="D234" s="643"/>
      <c r="E234" s="643"/>
      <c r="F234" s="643"/>
      <c r="G234" s="643"/>
      <c r="H234" s="643"/>
      <c r="I234" s="643"/>
      <c r="J234" s="643"/>
      <c r="K234" s="643"/>
      <c r="L234" s="643"/>
      <c r="M234" s="643"/>
      <c r="N234" s="643"/>
      <c r="O234" s="643"/>
      <c r="P234" s="643"/>
      <c r="Q234" s="643"/>
      <c r="R234" s="643"/>
      <c r="S234" s="643"/>
      <c r="T234" s="643"/>
      <c r="U234" s="643"/>
      <c r="V234" s="643"/>
      <c r="W234" s="643"/>
      <c r="X234" s="643"/>
      <c r="Y234" s="643"/>
      <c r="Z234" s="643"/>
    </row>
    <row r="235" ht="11.25" customHeight="1">
      <c r="A235" s="646"/>
      <c r="B235" s="643"/>
      <c r="C235" s="644"/>
      <c r="D235" s="643"/>
      <c r="E235" s="643"/>
      <c r="F235" s="643"/>
      <c r="G235" s="643"/>
      <c r="H235" s="643"/>
      <c r="I235" s="643"/>
      <c r="J235" s="643"/>
      <c r="K235" s="643"/>
      <c r="L235" s="643"/>
      <c r="M235" s="643"/>
      <c r="N235" s="643"/>
      <c r="O235" s="643"/>
      <c r="P235" s="643"/>
      <c r="Q235" s="643"/>
      <c r="R235" s="643"/>
      <c r="S235" s="643"/>
      <c r="T235" s="643"/>
      <c r="U235" s="643"/>
      <c r="V235" s="643"/>
      <c r="W235" s="643"/>
      <c r="X235" s="643"/>
      <c r="Y235" s="643"/>
      <c r="Z235" s="643"/>
    </row>
    <row r="236" ht="11.25" customHeight="1">
      <c r="A236" s="646"/>
      <c r="B236" s="643"/>
      <c r="C236" s="644"/>
      <c r="D236" s="643"/>
      <c r="E236" s="643"/>
      <c r="F236" s="643"/>
      <c r="G236" s="643"/>
      <c r="H236" s="643"/>
      <c r="I236" s="643"/>
      <c r="J236" s="643"/>
      <c r="K236" s="643"/>
      <c r="L236" s="643"/>
      <c r="M236" s="643"/>
      <c r="N236" s="643"/>
      <c r="O236" s="643"/>
      <c r="P236" s="643"/>
      <c r="Q236" s="643"/>
      <c r="R236" s="643"/>
      <c r="S236" s="643"/>
      <c r="T236" s="643"/>
      <c r="U236" s="643"/>
      <c r="V236" s="643"/>
      <c r="W236" s="643"/>
      <c r="X236" s="643"/>
      <c r="Y236" s="643"/>
      <c r="Z236" s="643"/>
    </row>
    <row r="237" ht="11.25" customHeight="1">
      <c r="A237" s="646"/>
      <c r="B237" s="643"/>
      <c r="C237" s="644"/>
      <c r="D237" s="643"/>
      <c r="E237" s="643"/>
      <c r="F237" s="643"/>
      <c r="G237" s="643"/>
      <c r="H237" s="643"/>
      <c r="I237" s="643"/>
      <c r="J237" s="643"/>
      <c r="K237" s="643"/>
      <c r="L237" s="643"/>
      <c r="M237" s="643"/>
      <c r="N237" s="643"/>
      <c r="O237" s="643"/>
      <c r="P237" s="643"/>
      <c r="Q237" s="643"/>
      <c r="R237" s="643"/>
      <c r="S237" s="643"/>
      <c r="T237" s="643"/>
      <c r="U237" s="643"/>
      <c r="V237" s="643"/>
      <c r="W237" s="643"/>
      <c r="X237" s="643"/>
      <c r="Y237" s="643"/>
      <c r="Z237" s="643"/>
    </row>
    <row r="238" ht="11.25" customHeight="1">
      <c r="A238" s="646"/>
      <c r="B238" s="643"/>
      <c r="C238" s="644"/>
      <c r="D238" s="643"/>
      <c r="E238" s="643"/>
      <c r="F238" s="643"/>
      <c r="G238" s="643"/>
      <c r="H238" s="643"/>
      <c r="I238" s="643"/>
      <c r="J238" s="643"/>
      <c r="K238" s="643"/>
      <c r="L238" s="643"/>
      <c r="M238" s="643"/>
      <c r="N238" s="643"/>
      <c r="O238" s="643"/>
      <c r="P238" s="643"/>
      <c r="Q238" s="643"/>
      <c r="R238" s="643"/>
      <c r="S238" s="643"/>
      <c r="T238" s="643"/>
      <c r="U238" s="643"/>
      <c r="V238" s="643"/>
      <c r="W238" s="643"/>
      <c r="X238" s="643"/>
      <c r="Y238" s="643"/>
      <c r="Z238" s="643"/>
    </row>
    <row r="239" ht="11.25" customHeight="1">
      <c r="A239" s="646"/>
      <c r="B239" s="643"/>
      <c r="C239" s="644"/>
      <c r="D239" s="643"/>
      <c r="E239" s="643"/>
      <c r="F239" s="643"/>
      <c r="G239" s="643"/>
      <c r="H239" s="643"/>
      <c r="I239" s="643"/>
      <c r="J239" s="643"/>
      <c r="K239" s="643"/>
      <c r="L239" s="643"/>
      <c r="M239" s="643"/>
      <c r="N239" s="643"/>
      <c r="O239" s="643"/>
      <c r="P239" s="643"/>
      <c r="Q239" s="643"/>
      <c r="R239" s="643"/>
      <c r="S239" s="643"/>
      <c r="T239" s="643"/>
      <c r="U239" s="643"/>
      <c r="V239" s="643"/>
      <c r="W239" s="643"/>
      <c r="X239" s="643"/>
      <c r="Y239" s="643"/>
      <c r="Z239" s="643"/>
    </row>
    <row r="240" ht="11.25" customHeight="1">
      <c r="A240" s="646"/>
      <c r="B240" s="643"/>
      <c r="C240" s="644"/>
      <c r="D240" s="643"/>
      <c r="E240" s="643"/>
      <c r="F240" s="643"/>
      <c r="G240" s="643"/>
      <c r="H240" s="643"/>
      <c r="I240" s="643"/>
      <c r="J240" s="643"/>
      <c r="K240" s="643"/>
      <c r="L240" s="643"/>
      <c r="M240" s="643"/>
      <c r="N240" s="643"/>
      <c r="O240" s="643"/>
      <c r="P240" s="643"/>
      <c r="Q240" s="643"/>
      <c r="R240" s="643"/>
      <c r="S240" s="643"/>
      <c r="T240" s="643"/>
      <c r="U240" s="643"/>
      <c r="V240" s="643"/>
      <c r="W240" s="643"/>
      <c r="X240" s="643"/>
      <c r="Y240" s="643"/>
      <c r="Z240" s="643"/>
    </row>
    <row r="241" ht="11.25" customHeight="1">
      <c r="A241" s="646"/>
      <c r="B241" s="643"/>
      <c r="C241" s="644"/>
      <c r="D241" s="643"/>
      <c r="E241" s="643"/>
      <c r="F241" s="643"/>
      <c r="G241" s="643"/>
      <c r="H241" s="643"/>
      <c r="I241" s="643"/>
      <c r="J241" s="643"/>
      <c r="K241" s="643"/>
      <c r="L241" s="643"/>
      <c r="M241" s="643"/>
      <c r="N241" s="643"/>
      <c r="O241" s="643"/>
      <c r="P241" s="643"/>
      <c r="Q241" s="643"/>
      <c r="R241" s="643"/>
      <c r="S241" s="643"/>
      <c r="T241" s="643"/>
      <c r="U241" s="643"/>
      <c r="V241" s="643"/>
      <c r="W241" s="643"/>
      <c r="X241" s="643"/>
      <c r="Y241" s="643"/>
      <c r="Z241" s="643"/>
    </row>
    <row r="242" ht="11.25" customHeight="1">
      <c r="A242" s="646"/>
      <c r="B242" s="643"/>
      <c r="C242" s="644"/>
      <c r="D242" s="643"/>
      <c r="E242" s="643"/>
      <c r="F242" s="643"/>
      <c r="G242" s="643"/>
      <c r="H242" s="643"/>
      <c r="I242" s="643"/>
      <c r="J242" s="643"/>
      <c r="K242" s="643"/>
      <c r="L242" s="643"/>
      <c r="M242" s="643"/>
      <c r="N242" s="643"/>
      <c r="O242" s="643"/>
      <c r="P242" s="643"/>
      <c r="Q242" s="643"/>
      <c r="R242" s="643"/>
      <c r="S242" s="643"/>
      <c r="T242" s="643"/>
      <c r="U242" s="643"/>
      <c r="V242" s="643"/>
      <c r="W242" s="643"/>
      <c r="X242" s="643"/>
      <c r="Y242" s="643"/>
      <c r="Z242" s="643"/>
    </row>
    <row r="243" ht="11.25" customHeight="1">
      <c r="A243" s="646"/>
      <c r="B243" s="643"/>
      <c r="C243" s="644"/>
      <c r="D243" s="643"/>
      <c r="E243" s="643"/>
      <c r="F243" s="643"/>
      <c r="G243" s="643"/>
      <c r="H243" s="643"/>
      <c r="I243" s="643"/>
      <c r="J243" s="643"/>
      <c r="K243" s="643"/>
      <c r="L243" s="643"/>
      <c r="M243" s="643"/>
      <c r="N243" s="643"/>
      <c r="O243" s="643"/>
      <c r="P243" s="643"/>
      <c r="Q243" s="643"/>
      <c r="R243" s="643"/>
      <c r="S243" s="643"/>
      <c r="T243" s="643"/>
      <c r="U243" s="643"/>
      <c r="V243" s="643"/>
      <c r="W243" s="643"/>
      <c r="X243" s="643"/>
      <c r="Y243" s="643"/>
      <c r="Z243" s="643"/>
    </row>
    <row r="244" ht="11.25" customHeight="1">
      <c r="A244" s="646"/>
      <c r="B244" s="643"/>
      <c r="C244" s="644"/>
      <c r="D244" s="643"/>
      <c r="E244" s="643"/>
      <c r="F244" s="643"/>
      <c r="G244" s="643"/>
      <c r="H244" s="643"/>
      <c r="I244" s="643"/>
      <c r="J244" s="643"/>
      <c r="K244" s="643"/>
      <c r="L244" s="643"/>
      <c r="M244" s="643"/>
      <c r="N244" s="643"/>
      <c r="O244" s="643"/>
      <c r="P244" s="643"/>
      <c r="Q244" s="643"/>
      <c r="R244" s="643"/>
      <c r="S244" s="643"/>
      <c r="T244" s="643"/>
      <c r="U244" s="643"/>
      <c r="V244" s="643"/>
      <c r="W244" s="643"/>
      <c r="X244" s="643"/>
      <c r="Y244" s="643"/>
      <c r="Z244" s="643"/>
    </row>
    <row r="245" ht="11.25" customHeight="1">
      <c r="A245" s="646"/>
      <c r="B245" s="643"/>
      <c r="C245" s="644"/>
      <c r="D245" s="643"/>
      <c r="E245" s="643"/>
      <c r="F245" s="643"/>
      <c r="G245" s="643"/>
      <c r="H245" s="643"/>
      <c r="I245" s="643"/>
      <c r="J245" s="643"/>
      <c r="K245" s="643"/>
      <c r="L245" s="643"/>
      <c r="M245" s="643"/>
      <c r="N245" s="643"/>
      <c r="O245" s="643"/>
      <c r="P245" s="643"/>
      <c r="Q245" s="643"/>
      <c r="R245" s="643"/>
      <c r="S245" s="643"/>
      <c r="T245" s="643"/>
      <c r="U245" s="643"/>
      <c r="V245" s="643"/>
      <c r="W245" s="643"/>
      <c r="X245" s="643"/>
      <c r="Y245" s="643"/>
      <c r="Z245" s="643"/>
    </row>
    <row r="246" ht="11.25" customHeight="1">
      <c r="A246" s="646"/>
      <c r="B246" s="643"/>
      <c r="C246" s="644"/>
      <c r="D246" s="643"/>
      <c r="E246" s="643"/>
      <c r="F246" s="643"/>
      <c r="G246" s="643"/>
      <c r="H246" s="643"/>
      <c r="I246" s="643"/>
      <c r="J246" s="643"/>
      <c r="K246" s="643"/>
      <c r="L246" s="643"/>
      <c r="M246" s="643"/>
      <c r="N246" s="643"/>
      <c r="O246" s="643"/>
      <c r="P246" s="643"/>
      <c r="Q246" s="643"/>
      <c r="R246" s="643"/>
      <c r="S246" s="643"/>
      <c r="T246" s="643"/>
      <c r="U246" s="643"/>
      <c r="V246" s="643"/>
      <c r="W246" s="643"/>
      <c r="X246" s="643"/>
      <c r="Y246" s="643"/>
      <c r="Z246" s="643"/>
    </row>
    <row r="247" ht="11.25" customHeight="1">
      <c r="A247" s="646"/>
      <c r="B247" s="643"/>
      <c r="C247" s="644"/>
      <c r="D247" s="643"/>
      <c r="E247" s="643"/>
      <c r="F247" s="643"/>
      <c r="G247" s="643"/>
      <c r="H247" s="643"/>
      <c r="I247" s="643"/>
      <c r="J247" s="643"/>
      <c r="K247" s="643"/>
      <c r="L247" s="643"/>
      <c r="M247" s="643"/>
      <c r="N247" s="643"/>
      <c r="O247" s="643"/>
      <c r="P247" s="643"/>
      <c r="Q247" s="643"/>
      <c r="R247" s="643"/>
      <c r="S247" s="643"/>
      <c r="T247" s="643"/>
      <c r="U247" s="643"/>
      <c r="V247" s="643"/>
      <c r="W247" s="643"/>
      <c r="X247" s="643"/>
      <c r="Y247" s="643"/>
      <c r="Z247" s="643"/>
    </row>
    <row r="248" ht="11.25" customHeight="1">
      <c r="A248" s="646"/>
      <c r="B248" s="643"/>
      <c r="C248" s="644"/>
      <c r="D248" s="643"/>
      <c r="E248" s="643"/>
      <c r="F248" s="643"/>
      <c r="G248" s="643"/>
      <c r="H248" s="643"/>
      <c r="I248" s="643"/>
      <c r="J248" s="643"/>
      <c r="K248" s="643"/>
      <c r="L248" s="643"/>
      <c r="M248" s="643"/>
      <c r="N248" s="643"/>
      <c r="O248" s="643"/>
      <c r="P248" s="643"/>
      <c r="Q248" s="643"/>
      <c r="R248" s="643"/>
      <c r="S248" s="643"/>
      <c r="T248" s="643"/>
      <c r="U248" s="643"/>
      <c r="V248" s="643"/>
      <c r="W248" s="643"/>
      <c r="X248" s="643"/>
      <c r="Y248" s="643"/>
      <c r="Z248" s="643"/>
    </row>
    <row r="249" ht="11.25" customHeight="1">
      <c r="A249" s="646"/>
      <c r="B249" s="643"/>
      <c r="C249" s="644"/>
      <c r="D249" s="643"/>
      <c r="E249" s="643"/>
      <c r="F249" s="643"/>
      <c r="G249" s="643"/>
      <c r="H249" s="643"/>
      <c r="I249" s="643"/>
      <c r="J249" s="643"/>
      <c r="K249" s="643"/>
      <c r="L249" s="643"/>
      <c r="M249" s="643"/>
      <c r="N249" s="643"/>
      <c r="O249" s="643"/>
      <c r="P249" s="643"/>
      <c r="Q249" s="643"/>
      <c r="R249" s="643"/>
      <c r="S249" s="643"/>
      <c r="T249" s="643"/>
      <c r="U249" s="643"/>
      <c r="V249" s="643"/>
      <c r="W249" s="643"/>
      <c r="X249" s="643"/>
      <c r="Y249" s="643"/>
      <c r="Z249" s="643"/>
    </row>
    <row r="250" ht="11.25" customHeight="1">
      <c r="A250" s="646"/>
      <c r="B250" s="643"/>
      <c r="C250" s="644"/>
      <c r="D250" s="643"/>
      <c r="E250" s="643"/>
      <c r="F250" s="643"/>
      <c r="G250" s="643"/>
      <c r="H250" s="643"/>
      <c r="I250" s="643"/>
      <c r="J250" s="643"/>
      <c r="K250" s="643"/>
      <c r="L250" s="643"/>
      <c r="M250" s="643"/>
      <c r="N250" s="643"/>
      <c r="O250" s="643"/>
      <c r="P250" s="643"/>
      <c r="Q250" s="643"/>
      <c r="R250" s="643"/>
      <c r="S250" s="643"/>
      <c r="T250" s="643"/>
      <c r="U250" s="643"/>
      <c r="V250" s="643"/>
      <c r="W250" s="643"/>
      <c r="X250" s="643"/>
      <c r="Y250" s="643"/>
      <c r="Z250" s="643"/>
    </row>
    <row r="251" ht="11.25" customHeight="1">
      <c r="A251" s="646"/>
      <c r="B251" s="643"/>
      <c r="C251" s="644"/>
      <c r="D251" s="643"/>
      <c r="E251" s="643"/>
      <c r="F251" s="643"/>
      <c r="G251" s="643"/>
      <c r="H251" s="643"/>
      <c r="I251" s="643"/>
      <c r="J251" s="643"/>
      <c r="K251" s="643"/>
      <c r="L251" s="643"/>
      <c r="M251" s="643"/>
      <c r="N251" s="643"/>
      <c r="O251" s="643"/>
      <c r="P251" s="643"/>
      <c r="Q251" s="643"/>
      <c r="R251" s="643"/>
      <c r="S251" s="643"/>
      <c r="T251" s="643"/>
      <c r="U251" s="643"/>
      <c r="V251" s="643"/>
      <c r="W251" s="643"/>
      <c r="X251" s="643"/>
      <c r="Y251" s="643"/>
      <c r="Z251" s="643"/>
    </row>
    <row r="252" ht="11.25" customHeight="1">
      <c r="A252" s="646"/>
      <c r="B252" s="643"/>
      <c r="C252" s="644"/>
      <c r="D252" s="643"/>
      <c r="E252" s="643"/>
      <c r="F252" s="643"/>
      <c r="G252" s="643"/>
      <c r="H252" s="643"/>
      <c r="I252" s="643"/>
      <c r="J252" s="643"/>
      <c r="K252" s="643"/>
      <c r="L252" s="643"/>
      <c r="M252" s="643"/>
      <c r="N252" s="643"/>
      <c r="O252" s="643"/>
      <c r="P252" s="643"/>
      <c r="Q252" s="643"/>
      <c r="R252" s="643"/>
      <c r="S252" s="643"/>
      <c r="T252" s="643"/>
      <c r="U252" s="643"/>
      <c r="V252" s="643"/>
      <c r="W252" s="643"/>
      <c r="X252" s="643"/>
      <c r="Y252" s="643"/>
      <c r="Z252" s="643"/>
    </row>
    <row r="253" ht="11.25" customHeight="1">
      <c r="A253" s="646"/>
      <c r="B253" s="643"/>
      <c r="C253" s="644"/>
      <c r="D253" s="643"/>
      <c r="E253" s="643"/>
      <c r="F253" s="643"/>
      <c r="G253" s="643"/>
      <c r="H253" s="643"/>
      <c r="I253" s="643"/>
      <c r="J253" s="643"/>
      <c r="K253" s="643"/>
      <c r="L253" s="643"/>
      <c r="M253" s="643"/>
      <c r="N253" s="643"/>
      <c r="O253" s="643"/>
      <c r="P253" s="643"/>
      <c r="Q253" s="643"/>
      <c r="R253" s="643"/>
      <c r="S253" s="643"/>
      <c r="T253" s="643"/>
      <c r="U253" s="643"/>
      <c r="V253" s="643"/>
      <c r="W253" s="643"/>
      <c r="X253" s="643"/>
      <c r="Y253" s="643"/>
      <c r="Z253" s="643"/>
    </row>
    <row r="254" ht="11.25" customHeight="1">
      <c r="A254" s="646"/>
      <c r="B254" s="643"/>
      <c r="C254" s="644"/>
      <c r="D254" s="643"/>
      <c r="E254" s="643"/>
      <c r="F254" s="643"/>
      <c r="G254" s="643"/>
      <c r="H254" s="643"/>
      <c r="I254" s="643"/>
      <c r="J254" s="643"/>
      <c r="K254" s="643"/>
      <c r="L254" s="643"/>
      <c r="M254" s="643"/>
      <c r="N254" s="643"/>
      <c r="O254" s="643"/>
      <c r="P254" s="643"/>
      <c r="Q254" s="643"/>
      <c r="R254" s="643"/>
      <c r="S254" s="643"/>
      <c r="T254" s="643"/>
      <c r="U254" s="643"/>
      <c r="V254" s="643"/>
      <c r="W254" s="643"/>
      <c r="X254" s="643"/>
      <c r="Y254" s="643"/>
      <c r="Z254" s="643"/>
    </row>
    <row r="255" ht="11.25" customHeight="1">
      <c r="A255" s="646"/>
      <c r="B255" s="643"/>
      <c r="C255" s="644"/>
      <c r="D255" s="643"/>
      <c r="E255" s="643"/>
      <c r="F255" s="643"/>
      <c r="G255" s="643"/>
      <c r="H255" s="643"/>
      <c r="I255" s="643"/>
      <c r="J255" s="643"/>
      <c r="K255" s="643"/>
      <c r="L255" s="643"/>
      <c r="M255" s="643"/>
      <c r="N255" s="643"/>
      <c r="O255" s="643"/>
      <c r="P255" s="643"/>
      <c r="Q255" s="643"/>
      <c r="R255" s="643"/>
      <c r="S255" s="643"/>
      <c r="T255" s="643"/>
      <c r="U255" s="643"/>
      <c r="V255" s="643"/>
      <c r="W255" s="643"/>
      <c r="X255" s="643"/>
      <c r="Y255" s="643"/>
      <c r="Z255" s="643"/>
    </row>
    <row r="256" ht="11.25" customHeight="1">
      <c r="A256" s="646"/>
      <c r="B256" s="643"/>
      <c r="C256" s="644"/>
      <c r="D256" s="643"/>
      <c r="E256" s="643"/>
      <c r="F256" s="643"/>
      <c r="G256" s="643"/>
      <c r="H256" s="643"/>
      <c r="I256" s="643"/>
      <c r="J256" s="643"/>
      <c r="K256" s="643"/>
      <c r="L256" s="643"/>
      <c r="M256" s="643"/>
      <c r="N256" s="643"/>
      <c r="O256" s="643"/>
      <c r="P256" s="643"/>
      <c r="Q256" s="643"/>
      <c r="R256" s="643"/>
      <c r="S256" s="643"/>
      <c r="T256" s="643"/>
      <c r="U256" s="643"/>
      <c r="V256" s="643"/>
      <c r="W256" s="643"/>
      <c r="X256" s="643"/>
      <c r="Y256" s="643"/>
      <c r="Z256" s="643"/>
    </row>
    <row r="257" ht="11.25" customHeight="1">
      <c r="A257" s="646"/>
      <c r="B257" s="643"/>
      <c r="C257" s="644"/>
      <c r="D257" s="643"/>
      <c r="E257" s="643"/>
      <c r="F257" s="643"/>
      <c r="G257" s="643"/>
      <c r="H257" s="643"/>
      <c r="I257" s="643"/>
      <c r="J257" s="643"/>
      <c r="K257" s="643"/>
      <c r="L257" s="643"/>
      <c r="M257" s="643"/>
      <c r="N257" s="643"/>
      <c r="O257" s="643"/>
      <c r="P257" s="643"/>
      <c r="Q257" s="643"/>
      <c r="R257" s="643"/>
      <c r="S257" s="643"/>
      <c r="T257" s="643"/>
      <c r="U257" s="643"/>
      <c r="V257" s="643"/>
      <c r="W257" s="643"/>
      <c r="X257" s="643"/>
      <c r="Y257" s="643"/>
      <c r="Z257" s="643"/>
    </row>
    <row r="258" ht="11.25" customHeight="1">
      <c r="A258" s="646"/>
      <c r="B258" s="643"/>
      <c r="C258" s="644"/>
      <c r="D258" s="643"/>
      <c r="E258" s="643"/>
      <c r="F258" s="643"/>
      <c r="G258" s="643"/>
      <c r="H258" s="643"/>
      <c r="I258" s="643"/>
      <c r="J258" s="643"/>
      <c r="K258" s="643"/>
      <c r="L258" s="643"/>
      <c r="M258" s="643"/>
      <c r="N258" s="643"/>
      <c r="O258" s="643"/>
      <c r="P258" s="643"/>
      <c r="Q258" s="643"/>
      <c r="R258" s="643"/>
      <c r="S258" s="643"/>
      <c r="T258" s="643"/>
      <c r="U258" s="643"/>
      <c r="V258" s="643"/>
      <c r="W258" s="643"/>
      <c r="X258" s="643"/>
      <c r="Y258" s="643"/>
      <c r="Z258" s="643"/>
    </row>
    <row r="259" ht="11.25" customHeight="1">
      <c r="A259" s="646"/>
      <c r="B259" s="643"/>
      <c r="C259" s="644"/>
      <c r="D259" s="643"/>
      <c r="E259" s="643"/>
      <c r="F259" s="643"/>
      <c r="G259" s="643"/>
      <c r="H259" s="643"/>
      <c r="I259" s="643"/>
      <c r="J259" s="643"/>
      <c r="K259" s="643"/>
      <c r="L259" s="643"/>
      <c r="M259" s="643"/>
      <c r="N259" s="643"/>
      <c r="O259" s="643"/>
      <c r="P259" s="643"/>
      <c r="Q259" s="643"/>
      <c r="R259" s="643"/>
      <c r="S259" s="643"/>
      <c r="T259" s="643"/>
      <c r="U259" s="643"/>
      <c r="V259" s="643"/>
      <c r="W259" s="643"/>
      <c r="X259" s="643"/>
      <c r="Y259" s="643"/>
      <c r="Z259" s="643"/>
    </row>
    <row r="260" ht="11.25" customHeight="1">
      <c r="A260" s="646"/>
      <c r="B260" s="643"/>
      <c r="C260" s="644"/>
      <c r="D260" s="643"/>
      <c r="E260" s="643"/>
      <c r="F260" s="643"/>
      <c r="G260" s="643"/>
      <c r="H260" s="643"/>
      <c r="I260" s="643"/>
      <c r="J260" s="643"/>
      <c r="K260" s="643"/>
      <c r="L260" s="643"/>
      <c r="M260" s="643"/>
      <c r="N260" s="643"/>
      <c r="O260" s="643"/>
      <c r="P260" s="643"/>
      <c r="Q260" s="643"/>
      <c r="R260" s="643"/>
      <c r="S260" s="643"/>
      <c r="T260" s="643"/>
      <c r="U260" s="643"/>
      <c r="V260" s="643"/>
      <c r="W260" s="643"/>
      <c r="X260" s="643"/>
      <c r="Y260" s="643"/>
      <c r="Z260" s="643"/>
    </row>
    <row r="261" ht="11.25" customHeight="1">
      <c r="A261" s="646"/>
      <c r="B261" s="643"/>
      <c r="C261" s="644"/>
      <c r="D261" s="643"/>
      <c r="E261" s="643"/>
      <c r="F261" s="643"/>
      <c r="G261" s="643"/>
      <c r="H261" s="643"/>
      <c r="I261" s="643"/>
      <c r="J261" s="643"/>
      <c r="K261" s="643"/>
      <c r="L261" s="643"/>
      <c r="M261" s="643"/>
      <c r="N261" s="643"/>
      <c r="O261" s="643"/>
      <c r="P261" s="643"/>
      <c r="Q261" s="643"/>
      <c r="R261" s="643"/>
      <c r="S261" s="643"/>
      <c r="T261" s="643"/>
      <c r="U261" s="643"/>
      <c r="V261" s="643"/>
      <c r="W261" s="643"/>
      <c r="X261" s="643"/>
      <c r="Y261" s="643"/>
      <c r="Z261" s="643"/>
    </row>
    <row r="262" ht="11.25" customHeight="1">
      <c r="A262" s="646"/>
      <c r="B262" s="643"/>
      <c r="C262" s="644"/>
      <c r="D262" s="643"/>
      <c r="E262" s="643"/>
      <c r="F262" s="643"/>
      <c r="G262" s="643"/>
      <c r="H262" s="643"/>
      <c r="I262" s="643"/>
      <c r="J262" s="643"/>
      <c r="K262" s="643"/>
      <c r="L262" s="643"/>
      <c r="M262" s="643"/>
      <c r="N262" s="643"/>
      <c r="O262" s="643"/>
      <c r="P262" s="643"/>
      <c r="Q262" s="643"/>
      <c r="R262" s="643"/>
      <c r="S262" s="643"/>
      <c r="T262" s="643"/>
      <c r="U262" s="643"/>
      <c r="V262" s="643"/>
      <c r="W262" s="643"/>
      <c r="X262" s="643"/>
      <c r="Y262" s="643"/>
      <c r="Z262" s="643"/>
    </row>
    <row r="263" ht="11.25" customHeight="1">
      <c r="A263" s="646"/>
      <c r="B263" s="643"/>
      <c r="C263" s="644"/>
      <c r="D263" s="643"/>
      <c r="E263" s="643"/>
      <c r="F263" s="643"/>
      <c r="G263" s="643"/>
      <c r="H263" s="643"/>
      <c r="I263" s="643"/>
      <c r="J263" s="643"/>
      <c r="K263" s="643"/>
      <c r="L263" s="643"/>
      <c r="M263" s="643"/>
      <c r="N263" s="643"/>
      <c r="O263" s="643"/>
      <c r="P263" s="643"/>
      <c r="Q263" s="643"/>
      <c r="R263" s="643"/>
      <c r="S263" s="643"/>
      <c r="T263" s="643"/>
      <c r="U263" s="643"/>
      <c r="V263" s="643"/>
      <c r="W263" s="643"/>
      <c r="X263" s="643"/>
      <c r="Y263" s="643"/>
      <c r="Z263" s="643"/>
    </row>
    <row r="264" ht="11.25" customHeight="1">
      <c r="A264" s="646"/>
      <c r="B264" s="643"/>
      <c r="C264" s="644"/>
      <c r="D264" s="643"/>
      <c r="E264" s="643"/>
      <c r="F264" s="643"/>
      <c r="G264" s="643"/>
      <c r="H264" s="643"/>
      <c r="I264" s="643"/>
      <c r="J264" s="643"/>
      <c r="K264" s="643"/>
      <c r="L264" s="643"/>
      <c r="M264" s="643"/>
      <c r="N264" s="643"/>
      <c r="O264" s="643"/>
      <c r="P264" s="643"/>
      <c r="Q264" s="643"/>
      <c r="R264" s="643"/>
      <c r="S264" s="643"/>
      <c r="T264" s="643"/>
      <c r="U264" s="643"/>
      <c r="V264" s="643"/>
      <c r="W264" s="643"/>
      <c r="X264" s="643"/>
      <c r="Y264" s="643"/>
      <c r="Z264" s="643"/>
    </row>
    <row r="265" ht="11.25" customHeight="1">
      <c r="A265" s="646"/>
      <c r="B265" s="643"/>
      <c r="C265" s="644"/>
      <c r="D265" s="643"/>
      <c r="E265" s="643"/>
      <c r="F265" s="643"/>
      <c r="G265" s="643"/>
      <c r="H265" s="643"/>
      <c r="I265" s="643"/>
      <c r="J265" s="643"/>
      <c r="K265" s="643"/>
      <c r="L265" s="643"/>
      <c r="M265" s="643"/>
      <c r="N265" s="643"/>
      <c r="O265" s="643"/>
      <c r="P265" s="643"/>
      <c r="Q265" s="643"/>
      <c r="R265" s="643"/>
      <c r="S265" s="643"/>
      <c r="T265" s="643"/>
      <c r="U265" s="643"/>
      <c r="V265" s="643"/>
      <c r="W265" s="643"/>
      <c r="X265" s="643"/>
      <c r="Y265" s="643"/>
      <c r="Z265" s="643"/>
    </row>
    <row r="266" ht="11.25" customHeight="1">
      <c r="A266" s="646"/>
      <c r="B266" s="643"/>
      <c r="C266" s="644"/>
      <c r="D266" s="643"/>
      <c r="E266" s="643"/>
      <c r="F266" s="643"/>
      <c r="G266" s="643"/>
      <c r="H266" s="643"/>
      <c r="I266" s="643"/>
      <c r="J266" s="643"/>
      <c r="K266" s="643"/>
      <c r="L266" s="643"/>
      <c r="M266" s="643"/>
      <c r="N266" s="643"/>
      <c r="O266" s="643"/>
      <c r="P266" s="643"/>
      <c r="Q266" s="643"/>
      <c r="R266" s="643"/>
      <c r="S266" s="643"/>
      <c r="T266" s="643"/>
      <c r="U266" s="643"/>
      <c r="V266" s="643"/>
      <c r="W266" s="643"/>
      <c r="X266" s="643"/>
      <c r="Y266" s="643"/>
      <c r="Z266" s="643"/>
    </row>
    <row r="267" ht="11.25" customHeight="1">
      <c r="A267" s="646"/>
      <c r="B267" s="643"/>
      <c r="C267" s="644"/>
      <c r="D267" s="643"/>
      <c r="E267" s="643"/>
      <c r="F267" s="643"/>
      <c r="G267" s="643"/>
      <c r="H267" s="643"/>
      <c r="I267" s="643"/>
      <c r="J267" s="643"/>
      <c r="K267" s="643"/>
      <c r="L267" s="643"/>
      <c r="M267" s="643"/>
      <c r="N267" s="643"/>
      <c r="O267" s="643"/>
      <c r="P267" s="643"/>
      <c r="Q267" s="643"/>
      <c r="R267" s="643"/>
      <c r="S267" s="643"/>
      <c r="T267" s="643"/>
      <c r="U267" s="643"/>
      <c r="V267" s="643"/>
      <c r="W267" s="643"/>
      <c r="X267" s="643"/>
      <c r="Y267" s="643"/>
      <c r="Z267" s="643"/>
    </row>
    <row r="268" ht="11.25" customHeight="1">
      <c r="A268" s="646"/>
      <c r="B268" s="643"/>
      <c r="C268" s="644"/>
      <c r="D268" s="643"/>
      <c r="E268" s="643"/>
      <c r="F268" s="643"/>
      <c r="G268" s="643"/>
      <c r="H268" s="643"/>
      <c r="I268" s="643"/>
      <c r="J268" s="643"/>
      <c r="K268" s="643"/>
      <c r="L268" s="643"/>
      <c r="M268" s="643"/>
      <c r="N268" s="643"/>
      <c r="O268" s="643"/>
      <c r="P268" s="643"/>
      <c r="Q268" s="643"/>
      <c r="R268" s="643"/>
      <c r="S268" s="643"/>
      <c r="T268" s="643"/>
      <c r="U268" s="643"/>
      <c r="V268" s="643"/>
      <c r="W268" s="643"/>
      <c r="X268" s="643"/>
      <c r="Y268" s="643"/>
      <c r="Z268" s="643"/>
    </row>
    <row r="269" ht="11.25" customHeight="1">
      <c r="A269" s="646"/>
      <c r="B269" s="643"/>
      <c r="C269" s="644"/>
      <c r="D269" s="643"/>
      <c r="E269" s="643"/>
      <c r="F269" s="643"/>
      <c r="G269" s="643"/>
      <c r="H269" s="643"/>
      <c r="I269" s="643"/>
      <c r="J269" s="643"/>
      <c r="K269" s="643"/>
      <c r="L269" s="643"/>
      <c r="M269" s="643"/>
      <c r="N269" s="643"/>
      <c r="O269" s="643"/>
      <c r="P269" s="643"/>
      <c r="Q269" s="643"/>
      <c r="R269" s="643"/>
      <c r="S269" s="643"/>
      <c r="T269" s="643"/>
      <c r="U269" s="643"/>
      <c r="V269" s="643"/>
      <c r="W269" s="643"/>
      <c r="X269" s="643"/>
      <c r="Y269" s="643"/>
      <c r="Z269" s="643"/>
    </row>
    <row r="270" ht="11.25" customHeight="1">
      <c r="A270" s="646"/>
      <c r="B270" s="643"/>
      <c r="C270" s="644"/>
      <c r="D270" s="643"/>
      <c r="E270" s="643"/>
      <c r="F270" s="643"/>
      <c r="G270" s="643"/>
      <c r="H270" s="643"/>
      <c r="I270" s="643"/>
      <c r="J270" s="643"/>
      <c r="K270" s="643"/>
      <c r="L270" s="643"/>
      <c r="M270" s="643"/>
      <c r="N270" s="643"/>
      <c r="O270" s="643"/>
      <c r="P270" s="643"/>
      <c r="Q270" s="643"/>
      <c r="R270" s="643"/>
      <c r="S270" s="643"/>
      <c r="T270" s="643"/>
      <c r="U270" s="643"/>
      <c r="V270" s="643"/>
      <c r="W270" s="643"/>
      <c r="X270" s="643"/>
      <c r="Y270" s="643"/>
      <c r="Z270" s="643"/>
    </row>
    <row r="271" ht="11.25" customHeight="1">
      <c r="A271" s="646"/>
      <c r="B271" s="643"/>
      <c r="C271" s="644"/>
      <c r="D271" s="643"/>
      <c r="E271" s="643"/>
      <c r="F271" s="643"/>
      <c r="G271" s="643"/>
      <c r="H271" s="643"/>
      <c r="I271" s="643"/>
      <c r="J271" s="643"/>
      <c r="K271" s="643"/>
      <c r="L271" s="643"/>
      <c r="M271" s="643"/>
      <c r="N271" s="643"/>
      <c r="O271" s="643"/>
      <c r="P271" s="643"/>
      <c r="Q271" s="643"/>
      <c r="R271" s="643"/>
      <c r="S271" s="643"/>
      <c r="T271" s="643"/>
      <c r="U271" s="643"/>
      <c r="V271" s="643"/>
      <c r="W271" s="643"/>
      <c r="X271" s="643"/>
      <c r="Y271" s="643"/>
      <c r="Z271" s="643"/>
    </row>
    <row r="272" ht="11.25" customHeight="1">
      <c r="A272" s="646"/>
      <c r="B272" s="643"/>
      <c r="C272" s="644"/>
      <c r="D272" s="643"/>
      <c r="E272" s="643"/>
      <c r="F272" s="643"/>
      <c r="G272" s="643"/>
      <c r="H272" s="643"/>
      <c r="I272" s="643"/>
      <c r="J272" s="643"/>
      <c r="K272" s="643"/>
      <c r="L272" s="643"/>
      <c r="M272" s="643"/>
      <c r="N272" s="643"/>
      <c r="O272" s="643"/>
      <c r="P272" s="643"/>
      <c r="Q272" s="643"/>
      <c r="R272" s="643"/>
      <c r="S272" s="643"/>
      <c r="T272" s="643"/>
      <c r="U272" s="643"/>
      <c r="V272" s="643"/>
      <c r="W272" s="643"/>
      <c r="X272" s="643"/>
      <c r="Y272" s="643"/>
      <c r="Z272" s="643"/>
    </row>
    <row r="273" ht="11.25" customHeight="1">
      <c r="A273" s="646"/>
      <c r="B273" s="643"/>
      <c r="C273" s="644"/>
      <c r="D273" s="643"/>
      <c r="E273" s="643"/>
      <c r="F273" s="643"/>
      <c r="G273" s="643"/>
      <c r="H273" s="643"/>
      <c r="I273" s="643"/>
      <c r="J273" s="643"/>
      <c r="K273" s="643"/>
      <c r="L273" s="643"/>
      <c r="M273" s="643"/>
      <c r="N273" s="643"/>
      <c r="O273" s="643"/>
      <c r="P273" s="643"/>
      <c r="Q273" s="643"/>
      <c r="R273" s="643"/>
      <c r="S273" s="643"/>
      <c r="T273" s="643"/>
      <c r="U273" s="643"/>
      <c r="V273" s="643"/>
      <c r="W273" s="643"/>
      <c r="X273" s="643"/>
      <c r="Y273" s="643"/>
      <c r="Z273" s="643"/>
    </row>
    <row r="274" ht="11.25" customHeight="1">
      <c r="A274" s="646"/>
      <c r="B274" s="643"/>
      <c r="C274" s="644"/>
      <c r="D274" s="643"/>
      <c r="E274" s="643"/>
      <c r="F274" s="643"/>
      <c r="G274" s="643"/>
      <c r="H274" s="643"/>
      <c r="I274" s="643"/>
      <c r="J274" s="643"/>
      <c r="K274" s="643"/>
      <c r="L274" s="643"/>
      <c r="M274" s="643"/>
      <c r="N274" s="643"/>
      <c r="O274" s="643"/>
      <c r="P274" s="643"/>
      <c r="Q274" s="643"/>
      <c r="R274" s="643"/>
      <c r="S274" s="643"/>
      <c r="T274" s="643"/>
      <c r="U274" s="643"/>
      <c r="V274" s="643"/>
      <c r="W274" s="643"/>
      <c r="X274" s="643"/>
      <c r="Y274" s="643"/>
      <c r="Z274" s="643"/>
    </row>
    <row r="275" ht="11.25" customHeight="1">
      <c r="A275" s="646"/>
      <c r="B275" s="643"/>
      <c r="C275" s="644"/>
      <c r="D275" s="643"/>
      <c r="E275" s="643"/>
      <c r="F275" s="643"/>
      <c r="G275" s="643"/>
      <c r="H275" s="643"/>
      <c r="I275" s="643"/>
      <c r="J275" s="643"/>
      <c r="K275" s="643"/>
      <c r="L275" s="643"/>
      <c r="M275" s="643"/>
      <c r="N275" s="643"/>
      <c r="O275" s="643"/>
      <c r="P275" s="643"/>
      <c r="Q275" s="643"/>
      <c r="R275" s="643"/>
      <c r="S275" s="643"/>
      <c r="T275" s="643"/>
      <c r="U275" s="643"/>
      <c r="V275" s="643"/>
      <c r="W275" s="643"/>
      <c r="X275" s="643"/>
      <c r="Y275" s="643"/>
      <c r="Z275" s="643"/>
    </row>
    <row r="276" ht="11.25" customHeight="1">
      <c r="A276" s="646"/>
      <c r="B276" s="643"/>
      <c r="C276" s="644"/>
      <c r="D276" s="643"/>
      <c r="E276" s="643"/>
      <c r="F276" s="643"/>
      <c r="G276" s="643"/>
      <c r="H276" s="643"/>
      <c r="I276" s="643"/>
      <c r="J276" s="643"/>
      <c r="K276" s="643"/>
      <c r="L276" s="643"/>
      <c r="M276" s="643"/>
      <c r="N276" s="643"/>
      <c r="O276" s="643"/>
      <c r="P276" s="643"/>
      <c r="Q276" s="643"/>
      <c r="R276" s="643"/>
      <c r="S276" s="643"/>
      <c r="T276" s="643"/>
      <c r="U276" s="643"/>
      <c r="V276" s="643"/>
      <c r="W276" s="643"/>
      <c r="X276" s="643"/>
      <c r="Y276" s="643"/>
      <c r="Z276" s="643"/>
    </row>
    <row r="277" ht="11.25" customHeight="1">
      <c r="A277" s="646"/>
      <c r="B277" s="643"/>
      <c r="C277" s="644"/>
      <c r="D277" s="643"/>
      <c r="E277" s="643"/>
      <c r="F277" s="643"/>
      <c r="G277" s="643"/>
      <c r="H277" s="643"/>
      <c r="I277" s="643"/>
      <c r="J277" s="643"/>
      <c r="K277" s="643"/>
      <c r="L277" s="643"/>
      <c r="M277" s="643"/>
      <c r="N277" s="643"/>
      <c r="O277" s="643"/>
      <c r="P277" s="643"/>
      <c r="Q277" s="643"/>
      <c r="R277" s="643"/>
      <c r="S277" s="643"/>
      <c r="T277" s="643"/>
      <c r="U277" s="643"/>
      <c r="V277" s="643"/>
      <c r="W277" s="643"/>
      <c r="X277" s="643"/>
      <c r="Y277" s="643"/>
      <c r="Z277" s="643"/>
    </row>
    <row r="278" ht="11.25" customHeight="1">
      <c r="A278" s="646"/>
      <c r="B278" s="643"/>
      <c r="C278" s="644"/>
      <c r="D278" s="643"/>
      <c r="E278" s="643"/>
      <c r="F278" s="643"/>
      <c r="G278" s="643"/>
      <c r="H278" s="643"/>
      <c r="I278" s="643"/>
      <c r="J278" s="643"/>
      <c r="K278" s="643"/>
      <c r="L278" s="643"/>
      <c r="M278" s="643"/>
      <c r="N278" s="643"/>
      <c r="O278" s="643"/>
      <c r="P278" s="643"/>
      <c r="Q278" s="643"/>
      <c r="R278" s="643"/>
      <c r="S278" s="643"/>
      <c r="T278" s="643"/>
      <c r="U278" s="643"/>
      <c r="V278" s="643"/>
      <c r="W278" s="643"/>
      <c r="X278" s="643"/>
      <c r="Y278" s="643"/>
      <c r="Z278" s="643"/>
    </row>
    <row r="279" ht="11.25" customHeight="1">
      <c r="A279" s="646"/>
      <c r="B279" s="643"/>
      <c r="C279" s="644"/>
      <c r="D279" s="643"/>
      <c r="E279" s="643"/>
      <c r="F279" s="643"/>
      <c r="G279" s="643"/>
      <c r="H279" s="643"/>
      <c r="I279" s="643"/>
      <c r="J279" s="643"/>
      <c r="K279" s="643"/>
      <c r="L279" s="643"/>
      <c r="M279" s="643"/>
      <c r="N279" s="643"/>
      <c r="O279" s="643"/>
      <c r="P279" s="643"/>
      <c r="Q279" s="643"/>
      <c r="R279" s="643"/>
      <c r="S279" s="643"/>
      <c r="T279" s="643"/>
      <c r="U279" s="643"/>
      <c r="V279" s="643"/>
      <c r="W279" s="643"/>
      <c r="X279" s="643"/>
      <c r="Y279" s="643"/>
      <c r="Z279" s="643"/>
    </row>
    <row r="280" ht="11.25" customHeight="1">
      <c r="A280" s="646"/>
      <c r="B280" s="643"/>
      <c r="C280" s="644"/>
      <c r="D280" s="643"/>
      <c r="E280" s="643"/>
      <c r="F280" s="643"/>
      <c r="G280" s="643"/>
      <c r="H280" s="643"/>
      <c r="I280" s="643"/>
      <c r="J280" s="643"/>
      <c r="K280" s="643"/>
      <c r="L280" s="643"/>
      <c r="M280" s="643"/>
      <c r="N280" s="643"/>
      <c r="O280" s="643"/>
      <c r="P280" s="643"/>
      <c r="Q280" s="643"/>
      <c r="R280" s="643"/>
      <c r="S280" s="643"/>
      <c r="T280" s="643"/>
      <c r="U280" s="643"/>
      <c r="V280" s="643"/>
      <c r="W280" s="643"/>
      <c r="X280" s="643"/>
      <c r="Y280" s="643"/>
      <c r="Z280" s="643"/>
    </row>
    <row r="281" ht="11.25" customHeight="1">
      <c r="A281" s="646"/>
      <c r="B281" s="643"/>
      <c r="C281" s="644"/>
      <c r="D281" s="643"/>
      <c r="E281" s="643"/>
      <c r="F281" s="643"/>
      <c r="G281" s="643"/>
      <c r="H281" s="643"/>
      <c r="I281" s="643"/>
      <c r="J281" s="643"/>
      <c r="K281" s="643"/>
      <c r="L281" s="643"/>
      <c r="M281" s="643"/>
      <c r="N281" s="643"/>
      <c r="O281" s="643"/>
      <c r="P281" s="643"/>
      <c r="Q281" s="643"/>
      <c r="R281" s="643"/>
      <c r="S281" s="643"/>
      <c r="T281" s="643"/>
      <c r="U281" s="643"/>
      <c r="V281" s="643"/>
      <c r="W281" s="643"/>
      <c r="X281" s="643"/>
      <c r="Y281" s="643"/>
      <c r="Z281" s="643"/>
    </row>
    <row r="282" ht="11.25" customHeight="1">
      <c r="A282" s="646"/>
      <c r="B282" s="643"/>
      <c r="C282" s="644"/>
      <c r="D282" s="643"/>
      <c r="E282" s="643"/>
      <c r="F282" s="643"/>
      <c r="G282" s="643"/>
      <c r="H282" s="643"/>
      <c r="I282" s="643"/>
      <c r="J282" s="643"/>
      <c r="K282" s="643"/>
      <c r="L282" s="643"/>
      <c r="M282" s="643"/>
      <c r="N282" s="643"/>
      <c r="O282" s="643"/>
      <c r="P282" s="643"/>
      <c r="Q282" s="643"/>
      <c r="R282" s="643"/>
      <c r="S282" s="643"/>
      <c r="T282" s="643"/>
      <c r="U282" s="643"/>
      <c r="V282" s="643"/>
      <c r="W282" s="643"/>
      <c r="X282" s="643"/>
      <c r="Y282" s="643"/>
      <c r="Z282" s="643"/>
    </row>
    <row r="283" ht="11.25" customHeight="1">
      <c r="A283" s="646"/>
      <c r="B283" s="643"/>
      <c r="C283" s="644"/>
      <c r="D283" s="643"/>
      <c r="E283" s="643"/>
      <c r="F283" s="643"/>
      <c r="G283" s="643"/>
      <c r="H283" s="643"/>
      <c r="I283" s="643"/>
      <c r="J283" s="643"/>
      <c r="K283" s="643"/>
      <c r="L283" s="643"/>
      <c r="M283" s="643"/>
      <c r="N283" s="643"/>
      <c r="O283" s="643"/>
      <c r="P283" s="643"/>
      <c r="Q283" s="643"/>
      <c r="R283" s="643"/>
      <c r="S283" s="643"/>
      <c r="T283" s="643"/>
      <c r="U283" s="643"/>
      <c r="V283" s="643"/>
      <c r="W283" s="643"/>
      <c r="X283" s="643"/>
      <c r="Y283" s="643"/>
      <c r="Z283" s="643"/>
    </row>
    <row r="284" ht="11.25" customHeight="1">
      <c r="A284" s="646"/>
      <c r="B284" s="643"/>
      <c r="C284" s="644"/>
      <c r="D284" s="643"/>
      <c r="E284" s="643"/>
      <c r="F284" s="643"/>
      <c r="G284" s="643"/>
      <c r="H284" s="643"/>
      <c r="I284" s="643"/>
      <c r="J284" s="643"/>
      <c r="K284" s="643"/>
      <c r="L284" s="643"/>
      <c r="M284" s="643"/>
      <c r="N284" s="643"/>
      <c r="O284" s="643"/>
      <c r="P284" s="643"/>
      <c r="Q284" s="643"/>
      <c r="R284" s="643"/>
      <c r="S284" s="643"/>
      <c r="T284" s="643"/>
      <c r="U284" s="643"/>
      <c r="V284" s="643"/>
      <c r="W284" s="643"/>
      <c r="X284" s="643"/>
      <c r="Y284" s="643"/>
      <c r="Z284" s="643"/>
    </row>
    <row r="285" ht="11.25" customHeight="1">
      <c r="A285" s="646"/>
      <c r="B285" s="643"/>
      <c r="C285" s="644"/>
      <c r="D285" s="643"/>
      <c r="E285" s="643"/>
      <c r="F285" s="643"/>
      <c r="G285" s="643"/>
      <c r="H285" s="643"/>
      <c r="I285" s="643"/>
      <c r="J285" s="643"/>
      <c r="K285" s="643"/>
      <c r="L285" s="643"/>
      <c r="M285" s="643"/>
      <c r="N285" s="643"/>
      <c r="O285" s="643"/>
      <c r="P285" s="643"/>
      <c r="Q285" s="643"/>
      <c r="R285" s="643"/>
      <c r="S285" s="643"/>
      <c r="T285" s="643"/>
      <c r="U285" s="643"/>
      <c r="V285" s="643"/>
      <c r="W285" s="643"/>
      <c r="X285" s="643"/>
      <c r="Y285" s="643"/>
      <c r="Z285" s="643"/>
    </row>
    <row r="286" ht="11.25" customHeight="1">
      <c r="A286" s="646"/>
      <c r="B286" s="643"/>
      <c r="C286" s="644"/>
      <c r="D286" s="643"/>
      <c r="E286" s="643"/>
      <c r="F286" s="643"/>
      <c r="G286" s="643"/>
      <c r="H286" s="643"/>
      <c r="I286" s="643"/>
      <c r="J286" s="643"/>
      <c r="K286" s="643"/>
      <c r="L286" s="643"/>
      <c r="M286" s="643"/>
      <c r="N286" s="643"/>
      <c r="O286" s="643"/>
      <c r="P286" s="643"/>
      <c r="Q286" s="643"/>
      <c r="R286" s="643"/>
      <c r="S286" s="643"/>
      <c r="T286" s="643"/>
      <c r="U286" s="643"/>
      <c r="V286" s="643"/>
      <c r="W286" s="643"/>
      <c r="X286" s="643"/>
      <c r="Y286" s="643"/>
      <c r="Z286" s="643"/>
    </row>
    <row r="287" ht="11.25" customHeight="1">
      <c r="A287" s="646"/>
      <c r="B287" s="643"/>
      <c r="C287" s="644"/>
      <c r="D287" s="643"/>
      <c r="E287" s="643"/>
      <c r="F287" s="643"/>
      <c r="G287" s="643"/>
      <c r="H287" s="643"/>
      <c r="I287" s="643"/>
      <c r="J287" s="643"/>
      <c r="K287" s="643"/>
      <c r="L287" s="643"/>
      <c r="M287" s="643"/>
      <c r="N287" s="643"/>
      <c r="O287" s="643"/>
      <c r="P287" s="643"/>
      <c r="Q287" s="643"/>
      <c r="R287" s="643"/>
      <c r="S287" s="643"/>
      <c r="T287" s="643"/>
      <c r="U287" s="643"/>
      <c r="V287" s="643"/>
      <c r="W287" s="643"/>
      <c r="X287" s="643"/>
      <c r="Y287" s="643"/>
      <c r="Z287" s="643"/>
    </row>
    <row r="288" ht="11.25" customHeight="1">
      <c r="A288" s="646"/>
      <c r="B288" s="643"/>
      <c r="C288" s="644"/>
      <c r="D288" s="643"/>
      <c r="E288" s="643"/>
      <c r="F288" s="643"/>
      <c r="G288" s="643"/>
      <c r="H288" s="643"/>
      <c r="I288" s="643"/>
      <c r="J288" s="643"/>
      <c r="K288" s="643"/>
      <c r="L288" s="643"/>
      <c r="M288" s="643"/>
      <c r="N288" s="643"/>
      <c r="O288" s="643"/>
      <c r="P288" s="643"/>
      <c r="Q288" s="643"/>
      <c r="R288" s="643"/>
      <c r="S288" s="643"/>
      <c r="T288" s="643"/>
      <c r="U288" s="643"/>
      <c r="V288" s="643"/>
      <c r="W288" s="643"/>
      <c r="X288" s="643"/>
      <c r="Y288" s="643"/>
      <c r="Z288" s="643"/>
    </row>
    <row r="289" ht="11.25" customHeight="1">
      <c r="A289" s="646"/>
      <c r="B289" s="643"/>
      <c r="C289" s="644"/>
      <c r="D289" s="643"/>
      <c r="E289" s="643"/>
      <c r="F289" s="643"/>
      <c r="G289" s="643"/>
      <c r="H289" s="643"/>
      <c r="I289" s="643"/>
      <c r="J289" s="643"/>
      <c r="K289" s="643"/>
      <c r="L289" s="643"/>
      <c r="M289" s="643"/>
      <c r="N289" s="643"/>
      <c r="O289" s="643"/>
      <c r="P289" s="643"/>
      <c r="Q289" s="643"/>
      <c r="R289" s="643"/>
      <c r="S289" s="643"/>
      <c r="T289" s="643"/>
      <c r="U289" s="643"/>
      <c r="V289" s="643"/>
      <c r="W289" s="643"/>
      <c r="X289" s="643"/>
      <c r="Y289" s="643"/>
      <c r="Z289" s="643"/>
    </row>
    <row r="290" ht="11.25" customHeight="1">
      <c r="A290" s="646"/>
      <c r="B290" s="643"/>
      <c r="C290" s="644"/>
      <c r="D290" s="643"/>
      <c r="E290" s="643"/>
      <c r="F290" s="643"/>
      <c r="G290" s="643"/>
      <c r="H290" s="643"/>
      <c r="I290" s="643"/>
      <c r="J290" s="643"/>
      <c r="K290" s="643"/>
      <c r="L290" s="643"/>
      <c r="M290" s="643"/>
      <c r="N290" s="643"/>
      <c r="O290" s="643"/>
      <c r="P290" s="643"/>
      <c r="Q290" s="643"/>
      <c r="R290" s="643"/>
      <c r="S290" s="643"/>
      <c r="T290" s="643"/>
      <c r="U290" s="643"/>
      <c r="V290" s="643"/>
      <c r="W290" s="643"/>
      <c r="X290" s="643"/>
      <c r="Y290" s="643"/>
      <c r="Z290" s="643"/>
    </row>
    <row r="291" ht="11.25" customHeight="1">
      <c r="A291" s="646"/>
      <c r="B291" s="643"/>
      <c r="C291" s="644"/>
      <c r="D291" s="643"/>
      <c r="E291" s="643"/>
      <c r="F291" s="643"/>
      <c r="G291" s="643"/>
      <c r="H291" s="643"/>
      <c r="I291" s="643"/>
      <c r="J291" s="643"/>
      <c r="K291" s="643"/>
      <c r="L291" s="643"/>
      <c r="M291" s="643"/>
      <c r="N291" s="643"/>
      <c r="O291" s="643"/>
      <c r="P291" s="643"/>
      <c r="Q291" s="643"/>
      <c r="R291" s="643"/>
      <c r="S291" s="643"/>
      <c r="T291" s="643"/>
      <c r="U291" s="643"/>
      <c r="V291" s="643"/>
      <c r="W291" s="643"/>
      <c r="X291" s="643"/>
      <c r="Y291" s="643"/>
      <c r="Z291" s="643"/>
    </row>
    <row r="292" ht="11.25" customHeight="1">
      <c r="A292" s="646"/>
      <c r="B292" s="643"/>
      <c r="C292" s="644"/>
      <c r="D292" s="643"/>
      <c r="E292" s="643"/>
      <c r="F292" s="643"/>
      <c r="G292" s="643"/>
      <c r="H292" s="643"/>
      <c r="I292" s="643"/>
      <c r="J292" s="643"/>
      <c r="K292" s="643"/>
      <c r="L292" s="643"/>
      <c r="M292" s="643"/>
      <c r="N292" s="643"/>
      <c r="O292" s="643"/>
      <c r="P292" s="643"/>
      <c r="Q292" s="643"/>
      <c r="R292" s="643"/>
      <c r="S292" s="643"/>
      <c r="T292" s="643"/>
      <c r="U292" s="643"/>
      <c r="V292" s="643"/>
      <c r="W292" s="643"/>
      <c r="X292" s="643"/>
      <c r="Y292" s="643"/>
      <c r="Z292" s="643"/>
    </row>
    <row r="293" ht="11.25" customHeight="1">
      <c r="A293" s="646"/>
      <c r="B293" s="643"/>
      <c r="C293" s="644"/>
      <c r="D293" s="643"/>
      <c r="E293" s="643"/>
      <c r="F293" s="643"/>
      <c r="G293" s="643"/>
      <c r="H293" s="643"/>
      <c r="I293" s="643"/>
      <c r="J293" s="643"/>
      <c r="K293" s="643"/>
      <c r="L293" s="643"/>
      <c r="M293" s="643"/>
      <c r="N293" s="643"/>
      <c r="O293" s="643"/>
      <c r="P293" s="643"/>
      <c r="Q293" s="643"/>
      <c r="R293" s="643"/>
      <c r="S293" s="643"/>
      <c r="T293" s="643"/>
      <c r="U293" s="643"/>
      <c r="V293" s="643"/>
      <c r="W293" s="643"/>
      <c r="X293" s="643"/>
      <c r="Y293" s="643"/>
      <c r="Z293" s="643"/>
    </row>
    <row r="294" ht="11.25" customHeight="1">
      <c r="A294" s="646"/>
      <c r="B294" s="643"/>
      <c r="C294" s="644"/>
      <c r="D294" s="643"/>
      <c r="E294" s="643"/>
      <c r="F294" s="643"/>
      <c r="G294" s="643"/>
      <c r="H294" s="643"/>
      <c r="I294" s="643"/>
      <c r="J294" s="643"/>
      <c r="K294" s="643"/>
      <c r="L294" s="643"/>
      <c r="M294" s="643"/>
      <c r="N294" s="643"/>
      <c r="O294" s="643"/>
      <c r="P294" s="643"/>
      <c r="Q294" s="643"/>
      <c r="R294" s="643"/>
      <c r="S294" s="643"/>
      <c r="T294" s="643"/>
      <c r="U294" s="643"/>
      <c r="V294" s="643"/>
      <c r="W294" s="643"/>
      <c r="X294" s="643"/>
      <c r="Y294" s="643"/>
      <c r="Z294" s="643"/>
    </row>
    <row r="295" ht="11.25" customHeight="1">
      <c r="A295" s="646"/>
      <c r="B295" s="643"/>
      <c r="C295" s="644"/>
      <c r="D295" s="643"/>
      <c r="E295" s="643"/>
      <c r="F295" s="643"/>
      <c r="G295" s="643"/>
      <c r="H295" s="643"/>
      <c r="I295" s="643"/>
      <c r="J295" s="643"/>
      <c r="K295" s="643"/>
      <c r="L295" s="643"/>
      <c r="M295" s="643"/>
      <c r="N295" s="643"/>
      <c r="O295" s="643"/>
      <c r="P295" s="643"/>
      <c r="Q295" s="643"/>
      <c r="R295" s="643"/>
      <c r="S295" s="643"/>
      <c r="T295" s="643"/>
      <c r="U295" s="643"/>
      <c r="V295" s="643"/>
      <c r="W295" s="643"/>
      <c r="X295" s="643"/>
      <c r="Y295" s="643"/>
      <c r="Z295" s="643"/>
    </row>
    <row r="296" ht="11.25" customHeight="1">
      <c r="A296" s="646"/>
      <c r="B296" s="643"/>
      <c r="C296" s="644"/>
      <c r="D296" s="643"/>
      <c r="E296" s="643"/>
      <c r="F296" s="643"/>
      <c r="G296" s="643"/>
      <c r="H296" s="643"/>
      <c r="I296" s="643"/>
      <c r="J296" s="643"/>
      <c r="K296" s="643"/>
      <c r="L296" s="643"/>
      <c r="M296" s="643"/>
      <c r="N296" s="643"/>
      <c r="O296" s="643"/>
      <c r="P296" s="643"/>
      <c r="Q296" s="643"/>
      <c r="R296" s="643"/>
      <c r="S296" s="643"/>
      <c r="T296" s="643"/>
      <c r="U296" s="643"/>
      <c r="V296" s="643"/>
      <c r="W296" s="643"/>
      <c r="X296" s="643"/>
      <c r="Y296" s="643"/>
      <c r="Z296" s="643"/>
    </row>
    <row r="297" ht="11.25" customHeight="1">
      <c r="A297" s="646"/>
      <c r="B297" s="643"/>
      <c r="C297" s="644"/>
      <c r="D297" s="643"/>
      <c r="E297" s="643"/>
      <c r="F297" s="643"/>
      <c r="G297" s="643"/>
      <c r="H297" s="643"/>
      <c r="I297" s="643"/>
      <c r="J297" s="643"/>
      <c r="K297" s="643"/>
      <c r="L297" s="643"/>
      <c r="M297" s="643"/>
      <c r="N297" s="643"/>
      <c r="O297" s="643"/>
      <c r="P297" s="643"/>
      <c r="Q297" s="643"/>
      <c r="R297" s="643"/>
      <c r="S297" s="643"/>
      <c r="T297" s="643"/>
      <c r="U297" s="643"/>
      <c r="V297" s="643"/>
      <c r="W297" s="643"/>
      <c r="X297" s="643"/>
      <c r="Y297" s="643"/>
      <c r="Z297" s="643"/>
    </row>
    <row r="298" ht="11.25" customHeight="1">
      <c r="A298" s="646"/>
      <c r="B298" s="643"/>
      <c r="C298" s="644"/>
      <c r="D298" s="643"/>
      <c r="E298" s="643"/>
      <c r="F298" s="643"/>
      <c r="G298" s="643"/>
      <c r="H298" s="643"/>
      <c r="I298" s="643"/>
      <c r="J298" s="643"/>
      <c r="K298" s="643"/>
      <c r="L298" s="643"/>
      <c r="M298" s="643"/>
      <c r="N298" s="643"/>
      <c r="O298" s="643"/>
      <c r="P298" s="643"/>
      <c r="Q298" s="643"/>
      <c r="R298" s="643"/>
      <c r="S298" s="643"/>
      <c r="T298" s="643"/>
      <c r="U298" s="643"/>
      <c r="V298" s="643"/>
      <c r="W298" s="643"/>
      <c r="X298" s="643"/>
      <c r="Y298" s="643"/>
      <c r="Z298" s="643"/>
    </row>
    <row r="299" ht="11.25" customHeight="1">
      <c r="A299" s="646"/>
      <c r="B299" s="643"/>
      <c r="C299" s="644"/>
      <c r="D299" s="643"/>
      <c r="E299" s="643"/>
      <c r="F299" s="643"/>
      <c r="G299" s="643"/>
      <c r="H299" s="643"/>
      <c r="I299" s="643"/>
      <c r="J299" s="643"/>
      <c r="K299" s="643"/>
      <c r="L299" s="643"/>
      <c r="M299" s="643"/>
      <c r="N299" s="643"/>
      <c r="O299" s="643"/>
      <c r="P299" s="643"/>
      <c r="Q299" s="643"/>
      <c r="R299" s="643"/>
      <c r="S299" s="643"/>
      <c r="T299" s="643"/>
      <c r="U299" s="643"/>
      <c r="V299" s="643"/>
      <c r="W299" s="643"/>
      <c r="X299" s="643"/>
      <c r="Y299" s="643"/>
      <c r="Z299" s="643"/>
    </row>
    <row r="300" ht="11.25" customHeight="1">
      <c r="A300" s="646"/>
      <c r="B300" s="643"/>
      <c r="C300" s="644"/>
      <c r="D300" s="643"/>
      <c r="E300" s="643"/>
      <c r="F300" s="643"/>
      <c r="G300" s="643"/>
      <c r="H300" s="643"/>
      <c r="I300" s="643"/>
      <c r="J300" s="643"/>
      <c r="K300" s="643"/>
      <c r="L300" s="643"/>
      <c r="M300" s="643"/>
      <c r="N300" s="643"/>
      <c r="O300" s="643"/>
      <c r="P300" s="643"/>
      <c r="Q300" s="643"/>
      <c r="R300" s="643"/>
      <c r="S300" s="643"/>
      <c r="T300" s="643"/>
      <c r="U300" s="643"/>
      <c r="V300" s="643"/>
      <c r="W300" s="643"/>
      <c r="X300" s="643"/>
      <c r="Y300" s="643"/>
      <c r="Z300" s="643"/>
    </row>
    <row r="301" ht="11.25" customHeight="1">
      <c r="A301" s="646"/>
      <c r="B301" s="643"/>
      <c r="C301" s="644"/>
      <c r="D301" s="643"/>
      <c r="E301" s="643"/>
      <c r="F301" s="643"/>
      <c r="G301" s="643"/>
      <c r="H301" s="643"/>
      <c r="I301" s="643"/>
      <c r="J301" s="643"/>
      <c r="K301" s="643"/>
      <c r="L301" s="643"/>
      <c r="M301" s="643"/>
      <c r="N301" s="643"/>
      <c r="O301" s="643"/>
      <c r="P301" s="643"/>
      <c r="Q301" s="643"/>
      <c r="R301" s="643"/>
      <c r="S301" s="643"/>
      <c r="T301" s="643"/>
      <c r="U301" s="643"/>
      <c r="V301" s="643"/>
      <c r="W301" s="643"/>
      <c r="X301" s="643"/>
      <c r="Y301" s="643"/>
      <c r="Z301" s="643"/>
    </row>
    <row r="302" ht="11.25" customHeight="1">
      <c r="A302" s="646"/>
      <c r="B302" s="643"/>
      <c r="C302" s="644"/>
      <c r="D302" s="643"/>
      <c r="E302" s="643"/>
      <c r="F302" s="643"/>
      <c r="G302" s="643"/>
      <c r="H302" s="643"/>
      <c r="I302" s="643"/>
      <c r="J302" s="643"/>
      <c r="K302" s="643"/>
      <c r="L302" s="643"/>
      <c r="M302" s="643"/>
      <c r="N302" s="643"/>
      <c r="O302" s="643"/>
      <c r="P302" s="643"/>
      <c r="Q302" s="643"/>
      <c r="R302" s="643"/>
      <c r="S302" s="643"/>
      <c r="T302" s="643"/>
      <c r="U302" s="643"/>
      <c r="V302" s="643"/>
      <c r="W302" s="643"/>
      <c r="X302" s="643"/>
      <c r="Y302" s="643"/>
      <c r="Z302" s="643"/>
    </row>
    <row r="303" ht="11.25" customHeight="1">
      <c r="A303" s="646"/>
      <c r="B303" s="643"/>
      <c r="C303" s="644"/>
      <c r="D303" s="643"/>
      <c r="E303" s="643"/>
      <c r="F303" s="643"/>
      <c r="G303" s="643"/>
      <c r="H303" s="643"/>
      <c r="I303" s="643"/>
      <c r="J303" s="643"/>
      <c r="K303" s="643"/>
      <c r="L303" s="643"/>
      <c r="M303" s="643"/>
      <c r="N303" s="643"/>
      <c r="O303" s="643"/>
      <c r="P303" s="643"/>
      <c r="Q303" s="643"/>
      <c r="R303" s="643"/>
      <c r="S303" s="643"/>
      <c r="T303" s="643"/>
      <c r="U303" s="643"/>
      <c r="V303" s="643"/>
      <c r="W303" s="643"/>
      <c r="X303" s="643"/>
      <c r="Y303" s="643"/>
      <c r="Z303" s="643"/>
    </row>
    <row r="304" ht="11.25" customHeight="1">
      <c r="A304" s="646"/>
      <c r="B304" s="643"/>
      <c r="C304" s="644"/>
      <c r="D304" s="643"/>
      <c r="E304" s="643"/>
      <c r="F304" s="643"/>
      <c r="G304" s="643"/>
      <c r="H304" s="643"/>
      <c r="I304" s="643"/>
      <c r="J304" s="643"/>
      <c r="K304" s="643"/>
      <c r="L304" s="643"/>
      <c r="M304" s="643"/>
      <c r="N304" s="643"/>
      <c r="O304" s="643"/>
      <c r="P304" s="643"/>
      <c r="Q304" s="643"/>
      <c r="R304" s="643"/>
      <c r="S304" s="643"/>
      <c r="T304" s="643"/>
      <c r="U304" s="643"/>
      <c r="V304" s="643"/>
      <c r="W304" s="643"/>
      <c r="X304" s="643"/>
      <c r="Y304" s="643"/>
      <c r="Z304" s="643"/>
    </row>
    <row r="305" ht="11.25" customHeight="1">
      <c r="A305" s="646"/>
      <c r="B305" s="643"/>
      <c r="C305" s="644"/>
      <c r="D305" s="643"/>
      <c r="E305" s="643"/>
      <c r="F305" s="643"/>
      <c r="G305" s="643"/>
      <c r="H305" s="643"/>
      <c r="I305" s="643"/>
      <c r="J305" s="643"/>
      <c r="K305" s="643"/>
      <c r="L305" s="643"/>
      <c r="M305" s="643"/>
      <c r="N305" s="643"/>
      <c r="O305" s="643"/>
      <c r="P305" s="643"/>
      <c r="Q305" s="643"/>
      <c r="R305" s="643"/>
      <c r="S305" s="643"/>
      <c r="T305" s="643"/>
      <c r="U305" s="643"/>
      <c r="V305" s="643"/>
      <c r="W305" s="643"/>
      <c r="X305" s="643"/>
      <c r="Y305" s="643"/>
      <c r="Z305" s="643"/>
    </row>
    <row r="306" ht="11.25" customHeight="1">
      <c r="A306" s="646"/>
      <c r="B306" s="643"/>
      <c r="C306" s="644"/>
      <c r="D306" s="643"/>
      <c r="E306" s="643"/>
      <c r="F306" s="643"/>
      <c r="G306" s="643"/>
      <c r="H306" s="643"/>
      <c r="I306" s="643"/>
      <c r="J306" s="643"/>
      <c r="K306" s="643"/>
      <c r="L306" s="643"/>
      <c r="M306" s="643"/>
      <c r="N306" s="643"/>
      <c r="O306" s="643"/>
      <c r="P306" s="643"/>
      <c r="Q306" s="643"/>
      <c r="R306" s="643"/>
      <c r="S306" s="643"/>
      <c r="T306" s="643"/>
      <c r="U306" s="643"/>
      <c r="V306" s="643"/>
      <c r="W306" s="643"/>
      <c r="X306" s="643"/>
      <c r="Y306" s="643"/>
      <c r="Z306" s="643"/>
    </row>
    <row r="307" ht="11.25" customHeight="1">
      <c r="A307" s="646"/>
      <c r="B307" s="643"/>
      <c r="C307" s="644"/>
      <c r="D307" s="643"/>
      <c r="E307" s="643"/>
      <c r="F307" s="643"/>
      <c r="G307" s="643"/>
      <c r="H307" s="643"/>
      <c r="I307" s="643"/>
      <c r="J307" s="643"/>
      <c r="K307" s="643"/>
      <c r="L307" s="643"/>
      <c r="M307" s="643"/>
      <c r="N307" s="643"/>
      <c r="O307" s="643"/>
      <c r="P307" s="643"/>
      <c r="Q307" s="643"/>
      <c r="R307" s="643"/>
      <c r="S307" s="643"/>
      <c r="T307" s="643"/>
      <c r="U307" s="643"/>
      <c r="V307" s="643"/>
      <c r="W307" s="643"/>
      <c r="X307" s="643"/>
      <c r="Y307" s="643"/>
      <c r="Z307" s="643"/>
    </row>
    <row r="308" ht="11.25" customHeight="1">
      <c r="A308" s="646"/>
      <c r="B308" s="643"/>
      <c r="C308" s="644"/>
      <c r="D308" s="643"/>
      <c r="E308" s="643"/>
      <c r="F308" s="643"/>
      <c r="G308" s="643"/>
      <c r="H308" s="643"/>
      <c r="I308" s="643"/>
      <c r="J308" s="643"/>
      <c r="K308" s="643"/>
      <c r="L308" s="643"/>
      <c r="M308" s="643"/>
      <c r="N308" s="643"/>
      <c r="O308" s="643"/>
      <c r="P308" s="643"/>
      <c r="Q308" s="643"/>
      <c r="R308" s="643"/>
      <c r="S308" s="643"/>
      <c r="T308" s="643"/>
      <c r="U308" s="643"/>
      <c r="V308" s="643"/>
      <c r="W308" s="643"/>
      <c r="X308" s="643"/>
      <c r="Y308" s="643"/>
      <c r="Z308" s="643"/>
    </row>
    <row r="309" ht="11.25" customHeight="1">
      <c r="A309" s="646"/>
      <c r="B309" s="643"/>
      <c r="C309" s="644"/>
      <c r="D309" s="643"/>
      <c r="E309" s="643"/>
      <c r="F309" s="643"/>
      <c r="G309" s="643"/>
      <c r="H309" s="643"/>
      <c r="I309" s="643"/>
      <c r="J309" s="643"/>
      <c r="K309" s="643"/>
      <c r="L309" s="643"/>
      <c r="M309" s="643"/>
      <c r="N309" s="643"/>
      <c r="O309" s="643"/>
      <c r="P309" s="643"/>
      <c r="Q309" s="643"/>
      <c r="R309" s="643"/>
      <c r="S309" s="643"/>
      <c r="T309" s="643"/>
      <c r="U309" s="643"/>
      <c r="V309" s="643"/>
      <c r="W309" s="643"/>
      <c r="X309" s="643"/>
      <c r="Y309" s="643"/>
      <c r="Z309" s="643"/>
    </row>
    <row r="310" ht="11.25" customHeight="1">
      <c r="A310" s="646"/>
      <c r="B310" s="643"/>
      <c r="C310" s="644"/>
      <c r="D310" s="643"/>
      <c r="E310" s="643"/>
      <c r="F310" s="643"/>
      <c r="G310" s="643"/>
      <c r="H310" s="643"/>
      <c r="I310" s="643"/>
      <c r="J310" s="643"/>
      <c r="K310" s="643"/>
      <c r="L310" s="643"/>
      <c r="M310" s="643"/>
      <c r="N310" s="643"/>
      <c r="O310" s="643"/>
      <c r="P310" s="643"/>
      <c r="Q310" s="643"/>
      <c r="R310" s="643"/>
      <c r="S310" s="643"/>
      <c r="T310" s="643"/>
      <c r="U310" s="643"/>
      <c r="V310" s="643"/>
      <c r="W310" s="643"/>
      <c r="X310" s="643"/>
      <c r="Y310" s="643"/>
      <c r="Z310" s="643"/>
    </row>
    <row r="311" ht="11.25" customHeight="1">
      <c r="A311" s="646"/>
      <c r="B311" s="643"/>
      <c r="C311" s="644"/>
      <c r="D311" s="643"/>
      <c r="E311" s="643"/>
      <c r="F311" s="643"/>
      <c r="G311" s="643"/>
      <c r="H311" s="643"/>
      <c r="I311" s="643"/>
      <c r="J311" s="643"/>
      <c r="K311" s="643"/>
      <c r="L311" s="643"/>
      <c r="M311" s="643"/>
      <c r="N311" s="643"/>
      <c r="O311" s="643"/>
      <c r="P311" s="643"/>
      <c r="Q311" s="643"/>
      <c r="R311" s="643"/>
      <c r="S311" s="643"/>
      <c r="T311" s="643"/>
      <c r="U311" s="643"/>
      <c r="V311" s="643"/>
      <c r="W311" s="643"/>
      <c r="X311" s="643"/>
      <c r="Y311" s="643"/>
      <c r="Z311" s="643"/>
    </row>
    <row r="312" ht="11.25" customHeight="1">
      <c r="A312" s="646"/>
      <c r="B312" s="643"/>
      <c r="C312" s="644"/>
      <c r="D312" s="643"/>
      <c r="E312" s="643"/>
      <c r="F312" s="643"/>
      <c r="G312" s="643"/>
      <c r="H312" s="643"/>
      <c r="I312" s="643"/>
      <c r="J312" s="643"/>
      <c r="K312" s="643"/>
      <c r="L312" s="643"/>
      <c r="M312" s="643"/>
      <c r="N312" s="643"/>
      <c r="O312" s="643"/>
      <c r="P312" s="643"/>
      <c r="Q312" s="643"/>
      <c r="R312" s="643"/>
      <c r="S312" s="643"/>
      <c r="T312" s="643"/>
      <c r="U312" s="643"/>
      <c r="V312" s="643"/>
      <c r="W312" s="643"/>
      <c r="X312" s="643"/>
      <c r="Y312" s="643"/>
      <c r="Z312" s="643"/>
    </row>
    <row r="313" ht="11.25" customHeight="1">
      <c r="A313" s="646"/>
      <c r="B313" s="643"/>
      <c r="C313" s="644"/>
      <c r="D313" s="643"/>
      <c r="E313" s="643"/>
      <c r="F313" s="643"/>
      <c r="G313" s="643"/>
      <c r="H313" s="643"/>
      <c r="I313" s="643"/>
      <c r="J313" s="643"/>
      <c r="K313" s="643"/>
      <c r="L313" s="643"/>
      <c r="M313" s="643"/>
      <c r="N313" s="643"/>
      <c r="O313" s="643"/>
      <c r="P313" s="643"/>
      <c r="Q313" s="643"/>
      <c r="R313" s="643"/>
      <c r="S313" s="643"/>
      <c r="T313" s="643"/>
      <c r="U313" s="643"/>
      <c r="V313" s="643"/>
      <c r="W313" s="643"/>
      <c r="X313" s="643"/>
      <c r="Y313" s="643"/>
      <c r="Z313" s="643"/>
    </row>
    <row r="314" ht="11.25" customHeight="1">
      <c r="A314" s="646"/>
      <c r="B314" s="643"/>
      <c r="C314" s="644"/>
      <c r="D314" s="643"/>
      <c r="E314" s="643"/>
      <c r="F314" s="643"/>
      <c r="G314" s="643"/>
      <c r="H314" s="643"/>
      <c r="I314" s="643"/>
      <c r="J314" s="643"/>
      <c r="K314" s="643"/>
      <c r="L314" s="643"/>
      <c r="M314" s="643"/>
      <c r="N314" s="643"/>
      <c r="O314" s="643"/>
      <c r="P314" s="643"/>
      <c r="Q314" s="643"/>
      <c r="R314" s="643"/>
      <c r="S314" s="643"/>
      <c r="T314" s="643"/>
      <c r="U314" s="643"/>
      <c r="V314" s="643"/>
      <c r="W314" s="643"/>
      <c r="X314" s="643"/>
      <c r="Y314" s="643"/>
      <c r="Z314" s="643"/>
    </row>
    <row r="315" ht="11.25" customHeight="1">
      <c r="A315" s="646"/>
      <c r="B315" s="643"/>
      <c r="C315" s="644"/>
      <c r="D315" s="643"/>
      <c r="E315" s="643"/>
      <c r="F315" s="643"/>
      <c r="G315" s="643"/>
      <c r="H315" s="643"/>
      <c r="I315" s="643"/>
      <c r="J315" s="643"/>
      <c r="K315" s="643"/>
      <c r="L315" s="643"/>
      <c r="M315" s="643"/>
      <c r="N315" s="643"/>
      <c r="O315" s="643"/>
      <c r="P315" s="643"/>
      <c r="Q315" s="643"/>
      <c r="R315" s="643"/>
      <c r="S315" s="643"/>
      <c r="T315" s="643"/>
      <c r="U315" s="643"/>
      <c r="V315" s="643"/>
      <c r="W315" s="643"/>
      <c r="X315" s="643"/>
      <c r="Y315" s="643"/>
      <c r="Z315" s="643"/>
    </row>
    <row r="316" ht="11.25" customHeight="1">
      <c r="A316" s="646"/>
      <c r="B316" s="643"/>
      <c r="C316" s="644"/>
      <c r="D316" s="643"/>
      <c r="E316" s="643"/>
      <c r="F316" s="643"/>
      <c r="G316" s="643"/>
      <c r="H316" s="643"/>
      <c r="I316" s="643"/>
      <c r="J316" s="643"/>
      <c r="K316" s="643"/>
      <c r="L316" s="643"/>
      <c r="M316" s="643"/>
      <c r="N316" s="643"/>
      <c r="O316" s="643"/>
      <c r="P316" s="643"/>
      <c r="Q316" s="643"/>
      <c r="R316" s="643"/>
      <c r="S316" s="643"/>
      <c r="T316" s="643"/>
      <c r="U316" s="643"/>
      <c r="V316" s="643"/>
      <c r="W316" s="643"/>
      <c r="X316" s="643"/>
      <c r="Y316" s="643"/>
      <c r="Z316" s="643"/>
    </row>
    <row r="317" ht="11.25" customHeight="1">
      <c r="A317" s="646"/>
      <c r="B317" s="643"/>
      <c r="C317" s="644"/>
      <c r="D317" s="643"/>
      <c r="E317" s="643"/>
      <c r="F317" s="643"/>
      <c r="G317" s="643"/>
      <c r="H317" s="643"/>
      <c r="I317" s="643"/>
      <c r="J317" s="643"/>
      <c r="K317" s="643"/>
      <c r="L317" s="643"/>
      <c r="M317" s="643"/>
      <c r="N317" s="643"/>
      <c r="O317" s="643"/>
      <c r="P317" s="643"/>
      <c r="Q317" s="643"/>
      <c r="R317" s="643"/>
      <c r="S317" s="643"/>
      <c r="T317" s="643"/>
      <c r="U317" s="643"/>
      <c r="V317" s="643"/>
      <c r="W317" s="643"/>
      <c r="X317" s="643"/>
      <c r="Y317" s="643"/>
      <c r="Z317" s="643"/>
    </row>
    <row r="318" ht="11.25" customHeight="1">
      <c r="A318" s="646"/>
      <c r="B318" s="643"/>
      <c r="C318" s="644"/>
      <c r="D318" s="643"/>
      <c r="E318" s="643"/>
      <c r="F318" s="643"/>
      <c r="G318" s="643"/>
      <c r="H318" s="643"/>
      <c r="I318" s="643"/>
      <c r="J318" s="643"/>
      <c r="K318" s="643"/>
      <c r="L318" s="643"/>
      <c r="M318" s="643"/>
      <c r="N318" s="643"/>
      <c r="O318" s="643"/>
      <c r="P318" s="643"/>
      <c r="Q318" s="643"/>
      <c r="R318" s="643"/>
      <c r="S318" s="643"/>
      <c r="T318" s="643"/>
      <c r="U318" s="643"/>
      <c r="V318" s="643"/>
      <c r="W318" s="643"/>
      <c r="X318" s="643"/>
      <c r="Y318" s="643"/>
      <c r="Z318" s="643"/>
    </row>
    <row r="319" ht="11.25" customHeight="1">
      <c r="A319" s="646"/>
      <c r="B319" s="643"/>
      <c r="C319" s="644"/>
      <c r="D319" s="643"/>
      <c r="E319" s="643"/>
      <c r="F319" s="643"/>
      <c r="G319" s="643"/>
      <c r="H319" s="643"/>
      <c r="I319" s="643"/>
      <c r="J319" s="643"/>
      <c r="K319" s="643"/>
      <c r="L319" s="643"/>
      <c r="M319" s="643"/>
      <c r="N319" s="643"/>
      <c r="O319" s="643"/>
      <c r="P319" s="643"/>
      <c r="Q319" s="643"/>
      <c r="R319" s="643"/>
      <c r="S319" s="643"/>
      <c r="T319" s="643"/>
      <c r="U319" s="643"/>
      <c r="V319" s="643"/>
      <c r="W319" s="643"/>
      <c r="X319" s="643"/>
      <c r="Y319" s="643"/>
      <c r="Z319" s="643"/>
    </row>
    <row r="320" ht="11.25" customHeight="1">
      <c r="A320" s="646"/>
      <c r="B320" s="643"/>
      <c r="C320" s="644"/>
      <c r="D320" s="643"/>
      <c r="E320" s="643"/>
      <c r="F320" s="643"/>
      <c r="G320" s="643"/>
      <c r="H320" s="643"/>
      <c r="I320" s="643"/>
      <c r="J320" s="643"/>
      <c r="K320" s="643"/>
      <c r="L320" s="643"/>
      <c r="M320" s="643"/>
      <c r="N320" s="643"/>
      <c r="O320" s="643"/>
      <c r="P320" s="643"/>
      <c r="Q320" s="643"/>
      <c r="R320" s="643"/>
      <c r="S320" s="643"/>
      <c r="T320" s="643"/>
      <c r="U320" s="643"/>
      <c r="V320" s="643"/>
      <c r="W320" s="643"/>
      <c r="X320" s="643"/>
      <c r="Y320" s="643"/>
      <c r="Z320" s="643"/>
    </row>
    <row r="321" ht="11.25" customHeight="1">
      <c r="A321" s="646"/>
      <c r="B321" s="643"/>
      <c r="C321" s="644"/>
      <c r="D321" s="643"/>
      <c r="E321" s="643"/>
      <c r="F321" s="643"/>
      <c r="G321" s="643"/>
      <c r="H321" s="643"/>
      <c r="I321" s="643"/>
      <c r="J321" s="643"/>
      <c r="K321" s="643"/>
      <c r="L321" s="643"/>
      <c r="M321" s="643"/>
      <c r="N321" s="643"/>
      <c r="O321" s="643"/>
      <c r="P321" s="643"/>
      <c r="Q321" s="643"/>
      <c r="R321" s="643"/>
      <c r="S321" s="643"/>
      <c r="T321" s="643"/>
      <c r="U321" s="643"/>
      <c r="V321" s="643"/>
      <c r="W321" s="643"/>
      <c r="X321" s="643"/>
      <c r="Y321" s="643"/>
      <c r="Z321" s="643"/>
    </row>
    <row r="322" ht="11.25" customHeight="1">
      <c r="A322" s="646"/>
      <c r="B322" s="643"/>
      <c r="C322" s="644"/>
      <c r="D322" s="643"/>
      <c r="E322" s="643"/>
      <c r="F322" s="643"/>
      <c r="G322" s="643"/>
      <c r="H322" s="643"/>
      <c r="I322" s="643"/>
      <c r="J322" s="643"/>
      <c r="K322" s="643"/>
      <c r="L322" s="643"/>
      <c r="M322" s="643"/>
      <c r="N322" s="643"/>
      <c r="O322" s="643"/>
      <c r="P322" s="643"/>
      <c r="Q322" s="643"/>
      <c r="R322" s="643"/>
      <c r="S322" s="643"/>
      <c r="T322" s="643"/>
      <c r="U322" s="643"/>
      <c r="V322" s="643"/>
      <c r="W322" s="643"/>
      <c r="X322" s="643"/>
      <c r="Y322" s="643"/>
      <c r="Z322" s="643"/>
    </row>
    <row r="323" ht="11.25" customHeight="1">
      <c r="A323" s="646"/>
      <c r="B323" s="643"/>
      <c r="C323" s="644"/>
      <c r="D323" s="643"/>
      <c r="E323" s="643"/>
      <c r="F323" s="643"/>
      <c r="G323" s="643"/>
      <c r="H323" s="643"/>
      <c r="I323" s="643"/>
      <c r="J323" s="643"/>
      <c r="K323" s="643"/>
      <c r="L323" s="643"/>
      <c r="M323" s="643"/>
      <c r="N323" s="643"/>
      <c r="O323" s="643"/>
      <c r="P323" s="643"/>
      <c r="Q323" s="643"/>
      <c r="R323" s="643"/>
      <c r="S323" s="643"/>
      <c r="T323" s="643"/>
      <c r="U323" s="643"/>
      <c r="V323" s="643"/>
      <c r="W323" s="643"/>
      <c r="X323" s="643"/>
      <c r="Y323" s="643"/>
      <c r="Z323" s="643"/>
    </row>
    <row r="324" ht="11.25" customHeight="1">
      <c r="A324" s="646"/>
      <c r="B324" s="643"/>
      <c r="C324" s="644"/>
      <c r="D324" s="643"/>
      <c r="E324" s="643"/>
      <c r="F324" s="643"/>
      <c r="G324" s="643"/>
      <c r="H324" s="643"/>
      <c r="I324" s="643"/>
      <c r="J324" s="643"/>
      <c r="K324" s="643"/>
      <c r="L324" s="643"/>
      <c r="M324" s="643"/>
      <c r="N324" s="643"/>
      <c r="O324" s="643"/>
      <c r="P324" s="643"/>
      <c r="Q324" s="643"/>
      <c r="R324" s="643"/>
      <c r="S324" s="643"/>
      <c r="T324" s="643"/>
      <c r="U324" s="643"/>
      <c r="V324" s="643"/>
      <c r="W324" s="643"/>
      <c r="X324" s="643"/>
      <c r="Y324" s="643"/>
      <c r="Z324" s="643"/>
    </row>
    <row r="325" ht="11.25" customHeight="1">
      <c r="A325" s="646"/>
      <c r="B325" s="643"/>
      <c r="C325" s="644"/>
      <c r="D325" s="643"/>
      <c r="E325" s="643"/>
      <c r="F325" s="643"/>
      <c r="G325" s="643"/>
      <c r="H325" s="643"/>
      <c r="I325" s="643"/>
      <c r="J325" s="643"/>
      <c r="K325" s="643"/>
      <c r="L325" s="643"/>
      <c r="M325" s="643"/>
      <c r="N325" s="643"/>
      <c r="O325" s="643"/>
      <c r="P325" s="643"/>
      <c r="Q325" s="643"/>
      <c r="R325" s="643"/>
      <c r="S325" s="643"/>
      <c r="T325" s="643"/>
      <c r="U325" s="643"/>
      <c r="V325" s="643"/>
      <c r="W325" s="643"/>
      <c r="X325" s="643"/>
      <c r="Y325" s="643"/>
      <c r="Z325" s="643"/>
    </row>
    <row r="326" ht="11.25" customHeight="1">
      <c r="A326" s="646"/>
      <c r="B326" s="643"/>
      <c r="C326" s="644"/>
      <c r="D326" s="643"/>
      <c r="E326" s="643"/>
      <c r="F326" s="643"/>
      <c r="G326" s="643"/>
      <c r="H326" s="643"/>
      <c r="I326" s="643"/>
      <c r="J326" s="643"/>
      <c r="K326" s="643"/>
      <c r="L326" s="643"/>
      <c r="M326" s="643"/>
      <c r="N326" s="643"/>
      <c r="O326" s="643"/>
      <c r="P326" s="643"/>
      <c r="Q326" s="643"/>
      <c r="R326" s="643"/>
      <c r="S326" s="643"/>
      <c r="T326" s="643"/>
      <c r="U326" s="643"/>
      <c r="V326" s="643"/>
      <c r="W326" s="643"/>
      <c r="X326" s="643"/>
      <c r="Y326" s="643"/>
      <c r="Z326" s="643"/>
    </row>
    <row r="327" ht="11.25" customHeight="1">
      <c r="A327" s="646"/>
      <c r="B327" s="643"/>
      <c r="C327" s="644"/>
      <c r="D327" s="643"/>
      <c r="E327" s="643"/>
      <c r="F327" s="643"/>
      <c r="G327" s="643"/>
      <c r="H327" s="643"/>
      <c r="I327" s="643"/>
      <c r="J327" s="643"/>
      <c r="K327" s="643"/>
      <c r="L327" s="643"/>
      <c r="M327" s="643"/>
      <c r="N327" s="643"/>
      <c r="O327" s="643"/>
      <c r="P327" s="643"/>
      <c r="Q327" s="643"/>
      <c r="R327" s="643"/>
      <c r="S327" s="643"/>
      <c r="T327" s="643"/>
      <c r="U327" s="643"/>
      <c r="V327" s="643"/>
      <c r="W327" s="643"/>
      <c r="X327" s="643"/>
      <c r="Y327" s="643"/>
      <c r="Z327" s="643"/>
    </row>
    <row r="328" ht="11.25" customHeight="1">
      <c r="A328" s="646"/>
      <c r="B328" s="643"/>
      <c r="C328" s="644"/>
      <c r="D328" s="643"/>
      <c r="E328" s="643"/>
      <c r="F328" s="643"/>
      <c r="G328" s="643"/>
      <c r="H328" s="643"/>
      <c r="I328" s="643"/>
      <c r="J328" s="643"/>
      <c r="K328" s="643"/>
      <c r="L328" s="643"/>
      <c r="M328" s="643"/>
      <c r="N328" s="643"/>
      <c r="O328" s="643"/>
      <c r="P328" s="643"/>
      <c r="Q328" s="643"/>
      <c r="R328" s="643"/>
      <c r="S328" s="643"/>
      <c r="T328" s="643"/>
      <c r="U328" s="643"/>
      <c r="V328" s="643"/>
      <c r="W328" s="643"/>
      <c r="X328" s="643"/>
      <c r="Y328" s="643"/>
      <c r="Z328" s="643"/>
    </row>
    <row r="329" ht="11.25" customHeight="1">
      <c r="A329" s="646"/>
      <c r="B329" s="643"/>
      <c r="C329" s="644"/>
      <c r="D329" s="643"/>
      <c r="E329" s="643"/>
      <c r="F329" s="643"/>
      <c r="G329" s="643"/>
      <c r="H329" s="643"/>
      <c r="I329" s="643"/>
      <c r="J329" s="643"/>
      <c r="K329" s="643"/>
      <c r="L329" s="643"/>
      <c r="M329" s="643"/>
      <c r="N329" s="643"/>
      <c r="O329" s="643"/>
      <c r="P329" s="643"/>
      <c r="Q329" s="643"/>
      <c r="R329" s="643"/>
      <c r="S329" s="643"/>
      <c r="T329" s="643"/>
      <c r="U329" s="643"/>
      <c r="V329" s="643"/>
      <c r="W329" s="643"/>
      <c r="X329" s="643"/>
      <c r="Y329" s="643"/>
      <c r="Z329" s="643"/>
    </row>
    <row r="330" ht="11.25" customHeight="1">
      <c r="A330" s="646"/>
      <c r="B330" s="643"/>
      <c r="C330" s="644"/>
      <c r="D330" s="643"/>
      <c r="E330" s="643"/>
      <c r="F330" s="643"/>
      <c r="G330" s="643"/>
      <c r="H330" s="643"/>
      <c r="I330" s="643"/>
      <c r="J330" s="643"/>
      <c r="K330" s="643"/>
      <c r="L330" s="643"/>
      <c r="M330" s="643"/>
      <c r="N330" s="643"/>
      <c r="O330" s="643"/>
      <c r="P330" s="643"/>
      <c r="Q330" s="643"/>
      <c r="R330" s="643"/>
      <c r="S330" s="643"/>
      <c r="T330" s="643"/>
      <c r="U330" s="643"/>
      <c r="V330" s="643"/>
      <c r="W330" s="643"/>
      <c r="X330" s="643"/>
      <c r="Y330" s="643"/>
      <c r="Z330" s="643"/>
    </row>
    <row r="331" ht="11.25" customHeight="1">
      <c r="A331" s="646"/>
      <c r="B331" s="643"/>
      <c r="C331" s="644"/>
      <c r="D331" s="643"/>
      <c r="E331" s="643"/>
      <c r="F331" s="643"/>
      <c r="G331" s="643"/>
      <c r="H331" s="643"/>
      <c r="I331" s="643"/>
      <c r="J331" s="643"/>
      <c r="K331" s="643"/>
      <c r="L331" s="643"/>
      <c r="M331" s="643"/>
      <c r="N331" s="643"/>
      <c r="O331" s="643"/>
      <c r="P331" s="643"/>
      <c r="Q331" s="643"/>
      <c r="R331" s="643"/>
      <c r="S331" s="643"/>
      <c r="T331" s="643"/>
      <c r="U331" s="643"/>
      <c r="V331" s="643"/>
      <c r="W331" s="643"/>
      <c r="X331" s="643"/>
      <c r="Y331" s="643"/>
      <c r="Z331" s="643"/>
    </row>
    <row r="332" ht="11.25" customHeight="1">
      <c r="A332" s="646"/>
      <c r="B332" s="643"/>
      <c r="C332" s="644"/>
      <c r="D332" s="643"/>
      <c r="E332" s="643"/>
      <c r="F332" s="643"/>
      <c r="G332" s="643"/>
      <c r="H332" s="643"/>
      <c r="I332" s="643"/>
      <c r="J332" s="643"/>
      <c r="K332" s="643"/>
      <c r="L332" s="643"/>
      <c r="M332" s="643"/>
      <c r="N332" s="643"/>
      <c r="O332" s="643"/>
      <c r="P332" s="643"/>
      <c r="Q332" s="643"/>
      <c r="R332" s="643"/>
      <c r="S332" s="643"/>
      <c r="T332" s="643"/>
      <c r="U332" s="643"/>
      <c r="V332" s="643"/>
      <c r="W332" s="643"/>
      <c r="X332" s="643"/>
      <c r="Y332" s="643"/>
      <c r="Z332" s="643"/>
    </row>
    <row r="333" ht="11.25" customHeight="1">
      <c r="A333" s="646"/>
      <c r="B333" s="643"/>
      <c r="C333" s="644"/>
      <c r="D333" s="643"/>
      <c r="E333" s="643"/>
      <c r="F333" s="643"/>
      <c r="G333" s="643"/>
      <c r="H333" s="643"/>
      <c r="I333" s="643"/>
      <c r="J333" s="643"/>
      <c r="K333" s="643"/>
      <c r="L333" s="643"/>
      <c r="M333" s="643"/>
      <c r="N333" s="643"/>
      <c r="O333" s="643"/>
      <c r="P333" s="643"/>
      <c r="Q333" s="643"/>
      <c r="R333" s="643"/>
      <c r="S333" s="643"/>
      <c r="T333" s="643"/>
      <c r="U333" s="643"/>
      <c r="V333" s="643"/>
      <c r="W333" s="643"/>
      <c r="X333" s="643"/>
      <c r="Y333" s="643"/>
      <c r="Z333" s="643"/>
    </row>
    <row r="334" ht="11.25" customHeight="1">
      <c r="A334" s="646"/>
      <c r="B334" s="643"/>
      <c r="C334" s="644"/>
      <c r="D334" s="643"/>
      <c r="E334" s="643"/>
      <c r="F334" s="643"/>
      <c r="G334" s="643"/>
      <c r="H334" s="643"/>
      <c r="I334" s="643"/>
      <c r="J334" s="643"/>
      <c r="K334" s="643"/>
      <c r="L334" s="643"/>
      <c r="M334" s="643"/>
      <c r="N334" s="643"/>
      <c r="O334" s="643"/>
      <c r="P334" s="643"/>
      <c r="Q334" s="643"/>
      <c r="R334" s="643"/>
      <c r="S334" s="643"/>
      <c r="T334" s="643"/>
      <c r="U334" s="643"/>
      <c r="V334" s="643"/>
      <c r="W334" s="643"/>
      <c r="X334" s="643"/>
      <c r="Y334" s="643"/>
      <c r="Z334" s="643"/>
    </row>
    <row r="335" ht="11.25" customHeight="1">
      <c r="A335" s="646"/>
      <c r="B335" s="643"/>
      <c r="C335" s="644"/>
      <c r="D335" s="643"/>
      <c r="E335" s="643"/>
      <c r="F335" s="643"/>
      <c r="G335" s="643"/>
      <c r="H335" s="643"/>
      <c r="I335" s="643"/>
      <c r="J335" s="643"/>
      <c r="K335" s="643"/>
      <c r="L335" s="643"/>
      <c r="M335" s="643"/>
      <c r="N335" s="643"/>
      <c r="O335" s="643"/>
      <c r="P335" s="643"/>
      <c r="Q335" s="643"/>
      <c r="R335" s="643"/>
      <c r="S335" s="643"/>
      <c r="T335" s="643"/>
      <c r="U335" s="643"/>
      <c r="V335" s="643"/>
      <c r="W335" s="643"/>
      <c r="X335" s="643"/>
      <c r="Y335" s="643"/>
      <c r="Z335" s="643"/>
    </row>
    <row r="336" ht="11.25" customHeight="1">
      <c r="A336" s="646"/>
      <c r="B336" s="643"/>
      <c r="C336" s="644"/>
      <c r="D336" s="643"/>
      <c r="E336" s="643"/>
      <c r="F336" s="643"/>
      <c r="G336" s="643"/>
      <c r="H336" s="643"/>
      <c r="I336" s="643"/>
      <c r="J336" s="643"/>
      <c r="K336" s="643"/>
      <c r="L336" s="643"/>
      <c r="M336" s="643"/>
      <c r="N336" s="643"/>
      <c r="O336" s="643"/>
      <c r="P336" s="643"/>
      <c r="Q336" s="643"/>
      <c r="R336" s="643"/>
      <c r="S336" s="643"/>
      <c r="T336" s="643"/>
      <c r="U336" s="643"/>
      <c r="V336" s="643"/>
      <c r="W336" s="643"/>
      <c r="X336" s="643"/>
      <c r="Y336" s="643"/>
      <c r="Z336" s="643"/>
    </row>
    <row r="337" ht="11.25" customHeight="1">
      <c r="A337" s="646"/>
      <c r="B337" s="643"/>
      <c r="C337" s="644"/>
      <c r="D337" s="643"/>
      <c r="E337" s="643"/>
      <c r="F337" s="643"/>
      <c r="G337" s="643"/>
      <c r="H337" s="643"/>
      <c r="I337" s="643"/>
      <c r="J337" s="643"/>
      <c r="K337" s="643"/>
      <c r="L337" s="643"/>
      <c r="M337" s="643"/>
      <c r="N337" s="643"/>
      <c r="O337" s="643"/>
      <c r="P337" s="643"/>
      <c r="Q337" s="643"/>
      <c r="R337" s="643"/>
      <c r="S337" s="643"/>
      <c r="T337" s="643"/>
      <c r="U337" s="643"/>
      <c r="V337" s="643"/>
      <c r="W337" s="643"/>
      <c r="X337" s="643"/>
      <c r="Y337" s="643"/>
      <c r="Z337" s="643"/>
    </row>
    <row r="338" ht="11.25" customHeight="1">
      <c r="A338" s="646"/>
      <c r="B338" s="643"/>
      <c r="C338" s="644"/>
      <c r="D338" s="643"/>
      <c r="E338" s="643"/>
      <c r="F338" s="643"/>
      <c r="G338" s="643"/>
      <c r="H338" s="643"/>
      <c r="I338" s="643"/>
      <c r="J338" s="643"/>
      <c r="K338" s="643"/>
      <c r="L338" s="643"/>
      <c r="M338" s="643"/>
      <c r="N338" s="643"/>
      <c r="O338" s="643"/>
      <c r="P338" s="643"/>
      <c r="Q338" s="643"/>
      <c r="R338" s="643"/>
      <c r="S338" s="643"/>
      <c r="T338" s="643"/>
      <c r="U338" s="643"/>
      <c r="V338" s="643"/>
      <c r="W338" s="643"/>
      <c r="X338" s="643"/>
      <c r="Y338" s="643"/>
      <c r="Z338" s="643"/>
    </row>
    <row r="339" ht="11.25" customHeight="1">
      <c r="A339" s="646"/>
      <c r="B339" s="643"/>
      <c r="C339" s="644"/>
      <c r="D339" s="643"/>
      <c r="E339" s="643"/>
      <c r="F339" s="643"/>
      <c r="G339" s="643"/>
      <c r="H339" s="643"/>
      <c r="I339" s="643"/>
      <c r="J339" s="643"/>
      <c r="K339" s="643"/>
      <c r="L339" s="643"/>
      <c r="M339" s="643"/>
      <c r="N339" s="643"/>
      <c r="O339" s="643"/>
      <c r="P339" s="643"/>
      <c r="Q339" s="643"/>
      <c r="R339" s="643"/>
      <c r="S339" s="643"/>
      <c r="T339" s="643"/>
      <c r="U339" s="643"/>
      <c r="V339" s="643"/>
      <c r="W339" s="643"/>
      <c r="X339" s="643"/>
      <c r="Y339" s="643"/>
      <c r="Z339" s="643"/>
    </row>
    <row r="340" ht="11.25" customHeight="1">
      <c r="A340" s="646"/>
      <c r="B340" s="643"/>
      <c r="C340" s="644"/>
      <c r="D340" s="643"/>
      <c r="E340" s="643"/>
      <c r="F340" s="643"/>
      <c r="G340" s="643"/>
      <c r="H340" s="643"/>
      <c r="I340" s="643"/>
      <c r="J340" s="643"/>
      <c r="K340" s="643"/>
      <c r="L340" s="643"/>
      <c r="M340" s="643"/>
      <c r="N340" s="643"/>
      <c r="O340" s="643"/>
      <c r="P340" s="643"/>
      <c r="Q340" s="643"/>
      <c r="R340" s="643"/>
      <c r="S340" s="643"/>
      <c r="T340" s="643"/>
      <c r="U340" s="643"/>
      <c r="V340" s="643"/>
      <c r="W340" s="643"/>
      <c r="X340" s="643"/>
      <c r="Y340" s="643"/>
      <c r="Z340" s="643"/>
    </row>
    <row r="341" ht="11.25" customHeight="1">
      <c r="A341" s="646"/>
      <c r="B341" s="643"/>
      <c r="C341" s="644"/>
      <c r="D341" s="643"/>
      <c r="E341" s="643"/>
      <c r="F341" s="643"/>
      <c r="G341" s="643"/>
      <c r="H341" s="643"/>
      <c r="I341" s="643"/>
      <c r="J341" s="643"/>
      <c r="K341" s="643"/>
      <c r="L341" s="643"/>
      <c r="M341" s="643"/>
      <c r="N341" s="643"/>
      <c r="O341" s="643"/>
      <c r="P341" s="643"/>
      <c r="Q341" s="643"/>
      <c r="R341" s="643"/>
      <c r="S341" s="643"/>
      <c r="T341" s="643"/>
      <c r="U341" s="643"/>
      <c r="V341" s="643"/>
      <c r="W341" s="643"/>
      <c r="X341" s="643"/>
      <c r="Y341" s="643"/>
      <c r="Z341" s="643"/>
    </row>
    <row r="342" ht="11.25" customHeight="1">
      <c r="A342" s="646"/>
      <c r="B342" s="643"/>
      <c r="C342" s="644"/>
      <c r="D342" s="643"/>
      <c r="E342" s="643"/>
      <c r="F342" s="643"/>
      <c r="G342" s="643"/>
      <c r="H342" s="643"/>
      <c r="I342" s="643"/>
      <c r="J342" s="643"/>
      <c r="K342" s="643"/>
      <c r="L342" s="643"/>
      <c r="M342" s="643"/>
      <c r="N342" s="643"/>
      <c r="O342" s="643"/>
      <c r="P342" s="643"/>
      <c r="Q342" s="643"/>
      <c r="R342" s="643"/>
      <c r="S342" s="643"/>
      <c r="T342" s="643"/>
      <c r="U342" s="643"/>
      <c r="V342" s="643"/>
      <c r="W342" s="643"/>
      <c r="X342" s="643"/>
      <c r="Y342" s="643"/>
      <c r="Z342" s="643"/>
    </row>
    <row r="343" ht="11.25" customHeight="1">
      <c r="A343" s="646"/>
      <c r="B343" s="643"/>
      <c r="C343" s="644"/>
      <c r="D343" s="643"/>
      <c r="E343" s="643"/>
      <c r="F343" s="643"/>
      <c r="G343" s="643"/>
      <c r="H343" s="643"/>
      <c r="I343" s="643"/>
      <c r="J343" s="643"/>
      <c r="K343" s="643"/>
      <c r="L343" s="643"/>
      <c r="M343" s="643"/>
      <c r="N343" s="643"/>
      <c r="O343" s="643"/>
      <c r="P343" s="643"/>
      <c r="Q343" s="643"/>
      <c r="R343" s="643"/>
      <c r="S343" s="643"/>
      <c r="T343" s="643"/>
      <c r="U343" s="643"/>
      <c r="V343" s="643"/>
      <c r="W343" s="643"/>
      <c r="X343" s="643"/>
      <c r="Y343" s="643"/>
      <c r="Z343" s="643"/>
    </row>
    <row r="344" ht="11.25" customHeight="1">
      <c r="A344" s="646"/>
      <c r="B344" s="643"/>
      <c r="C344" s="644"/>
      <c r="D344" s="643"/>
      <c r="E344" s="643"/>
      <c r="F344" s="643"/>
      <c r="G344" s="643"/>
      <c r="H344" s="643"/>
      <c r="I344" s="643"/>
      <c r="J344" s="643"/>
      <c r="K344" s="643"/>
      <c r="L344" s="643"/>
      <c r="M344" s="643"/>
      <c r="N344" s="643"/>
      <c r="O344" s="643"/>
      <c r="P344" s="643"/>
      <c r="Q344" s="643"/>
      <c r="R344" s="643"/>
      <c r="S344" s="643"/>
      <c r="T344" s="643"/>
      <c r="U344" s="643"/>
      <c r="V344" s="643"/>
      <c r="W344" s="643"/>
      <c r="X344" s="643"/>
      <c r="Y344" s="643"/>
      <c r="Z344" s="643"/>
    </row>
    <row r="345" ht="11.25" customHeight="1">
      <c r="A345" s="646"/>
      <c r="B345" s="643"/>
      <c r="C345" s="644"/>
      <c r="D345" s="643"/>
      <c r="E345" s="643"/>
      <c r="F345" s="643"/>
      <c r="G345" s="643"/>
      <c r="H345" s="643"/>
      <c r="I345" s="643"/>
      <c r="J345" s="643"/>
      <c r="K345" s="643"/>
      <c r="L345" s="643"/>
      <c r="M345" s="643"/>
      <c r="N345" s="643"/>
      <c r="O345" s="643"/>
      <c r="P345" s="643"/>
      <c r="Q345" s="643"/>
      <c r="R345" s="643"/>
      <c r="S345" s="643"/>
      <c r="T345" s="643"/>
      <c r="U345" s="643"/>
      <c r="V345" s="643"/>
      <c r="W345" s="643"/>
      <c r="X345" s="643"/>
      <c r="Y345" s="643"/>
      <c r="Z345" s="643"/>
    </row>
    <row r="346" ht="11.25" customHeight="1">
      <c r="A346" s="646"/>
      <c r="B346" s="643"/>
      <c r="C346" s="644"/>
      <c r="D346" s="643"/>
      <c r="E346" s="643"/>
      <c r="F346" s="643"/>
      <c r="G346" s="643"/>
      <c r="H346" s="643"/>
      <c r="I346" s="643"/>
      <c r="J346" s="643"/>
      <c r="K346" s="643"/>
      <c r="L346" s="643"/>
      <c r="M346" s="643"/>
      <c r="N346" s="643"/>
      <c r="O346" s="643"/>
      <c r="P346" s="643"/>
      <c r="Q346" s="643"/>
      <c r="R346" s="643"/>
      <c r="S346" s="643"/>
      <c r="T346" s="643"/>
      <c r="U346" s="643"/>
      <c r="V346" s="643"/>
      <c r="W346" s="643"/>
      <c r="X346" s="643"/>
      <c r="Y346" s="643"/>
      <c r="Z346" s="643"/>
    </row>
    <row r="347" ht="11.25" customHeight="1">
      <c r="A347" s="646"/>
      <c r="B347" s="643"/>
      <c r="C347" s="644"/>
      <c r="D347" s="643"/>
      <c r="E347" s="643"/>
      <c r="F347" s="643"/>
      <c r="G347" s="643"/>
      <c r="H347" s="643"/>
      <c r="I347" s="643"/>
      <c r="J347" s="643"/>
      <c r="K347" s="643"/>
      <c r="L347" s="643"/>
      <c r="M347" s="643"/>
      <c r="N347" s="643"/>
      <c r="O347" s="643"/>
      <c r="P347" s="643"/>
      <c r="Q347" s="643"/>
      <c r="R347" s="643"/>
      <c r="S347" s="643"/>
      <c r="T347" s="643"/>
      <c r="U347" s="643"/>
      <c r="V347" s="643"/>
      <c r="W347" s="643"/>
      <c r="X347" s="643"/>
      <c r="Y347" s="643"/>
      <c r="Z347" s="643"/>
    </row>
    <row r="348" ht="11.25" customHeight="1">
      <c r="A348" s="646"/>
      <c r="B348" s="643"/>
      <c r="C348" s="644"/>
      <c r="D348" s="643"/>
      <c r="E348" s="643"/>
      <c r="F348" s="643"/>
      <c r="G348" s="643"/>
      <c r="H348" s="643"/>
      <c r="I348" s="643"/>
      <c r="J348" s="643"/>
      <c r="K348" s="643"/>
      <c r="L348" s="643"/>
      <c r="M348" s="643"/>
      <c r="N348" s="643"/>
      <c r="O348" s="643"/>
      <c r="P348" s="643"/>
      <c r="Q348" s="643"/>
      <c r="R348" s="643"/>
      <c r="S348" s="643"/>
      <c r="T348" s="643"/>
      <c r="U348" s="643"/>
      <c r="V348" s="643"/>
      <c r="W348" s="643"/>
      <c r="X348" s="643"/>
      <c r="Y348" s="643"/>
      <c r="Z348" s="643"/>
    </row>
    <row r="349" ht="11.25" customHeight="1">
      <c r="A349" s="646"/>
      <c r="B349" s="643"/>
      <c r="C349" s="644"/>
      <c r="D349" s="643"/>
      <c r="E349" s="643"/>
      <c r="F349" s="643"/>
      <c r="G349" s="643"/>
      <c r="H349" s="643"/>
      <c r="I349" s="643"/>
      <c r="J349" s="643"/>
      <c r="K349" s="643"/>
      <c r="L349" s="643"/>
      <c r="M349" s="643"/>
      <c r="N349" s="643"/>
      <c r="O349" s="643"/>
      <c r="P349" s="643"/>
      <c r="Q349" s="643"/>
      <c r="R349" s="643"/>
      <c r="S349" s="643"/>
      <c r="T349" s="643"/>
      <c r="U349" s="643"/>
      <c r="V349" s="643"/>
      <c r="W349" s="643"/>
      <c r="X349" s="643"/>
      <c r="Y349" s="643"/>
      <c r="Z349" s="643"/>
    </row>
    <row r="350" ht="11.25" customHeight="1">
      <c r="A350" s="646"/>
      <c r="B350" s="643"/>
      <c r="C350" s="644"/>
      <c r="D350" s="643"/>
      <c r="E350" s="643"/>
      <c r="F350" s="643"/>
      <c r="G350" s="643"/>
      <c r="H350" s="643"/>
      <c r="I350" s="643"/>
      <c r="J350" s="643"/>
      <c r="K350" s="643"/>
      <c r="L350" s="643"/>
      <c r="M350" s="643"/>
      <c r="N350" s="643"/>
      <c r="O350" s="643"/>
      <c r="P350" s="643"/>
      <c r="Q350" s="643"/>
      <c r="R350" s="643"/>
      <c r="S350" s="643"/>
      <c r="T350" s="643"/>
      <c r="U350" s="643"/>
      <c r="V350" s="643"/>
      <c r="W350" s="643"/>
      <c r="X350" s="643"/>
      <c r="Y350" s="643"/>
      <c r="Z350" s="643"/>
    </row>
    <row r="351" ht="11.25" customHeight="1">
      <c r="A351" s="646"/>
      <c r="B351" s="643"/>
      <c r="C351" s="644"/>
      <c r="D351" s="643"/>
      <c r="E351" s="643"/>
      <c r="F351" s="643"/>
      <c r="G351" s="643"/>
      <c r="H351" s="643"/>
      <c r="I351" s="643"/>
      <c r="J351" s="643"/>
      <c r="K351" s="643"/>
      <c r="L351" s="643"/>
      <c r="M351" s="643"/>
      <c r="N351" s="643"/>
      <c r="O351" s="643"/>
      <c r="P351" s="643"/>
      <c r="Q351" s="643"/>
      <c r="R351" s="643"/>
      <c r="S351" s="643"/>
      <c r="T351" s="643"/>
      <c r="U351" s="643"/>
      <c r="V351" s="643"/>
      <c r="W351" s="643"/>
      <c r="X351" s="643"/>
      <c r="Y351" s="643"/>
      <c r="Z351" s="643"/>
    </row>
    <row r="352" ht="11.25" customHeight="1">
      <c r="A352" s="646"/>
      <c r="B352" s="643"/>
      <c r="C352" s="644"/>
      <c r="D352" s="643"/>
      <c r="E352" s="643"/>
      <c r="F352" s="643"/>
      <c r="G352" s="643"/>
      <c r="H352" s="643"/>
      <c r="I352" s="643"/>
      <c r="J352" s="643"/>
      <c r="K352" s="643"/>
      <c r="L352" s="643"/>
      <c r="M352" s="643"/>
      <c r="N352" s="643"/>
      <c r="O352" s="643"/>
      <c r="P352" s="643"/>
      <c r="Q352" s="643"/>
      <c r="R352" s="643"/>
      <c r="S352" s="643"/>
      <c r="T352" s="643"/>
      <c r="U352" s="643"/>
      <c r="V352" s="643"/>
      <c r="W352" s="643"/>
      <c r="X352" s="643"/>
      <c r="Y352" s="643"/>
      <c r="Z352" s="643"/>
    </row>
    <row r="353" ht="11.25" customHeight="1">
      <c r="A353" s="646"/>
      <c r="B353" s="643"/>
      <c r="C353" s="644"/>
      <c r="D353" s="643"/>
      <c r="E353" s="643"/>
      <c r="F353" s="643"/>
      <c r="G353" s="643"/>
      <c r="H353" s="643"/>
      <c r="I353" s="643"/>
      <c r="J353" s="643"/>
      <c r="K353" s="643"/>
      <c r="L353" s="643"/>
      <c r="M353" s="643"/>
      <c r="N353" s="643"/>
      <c r="O353" s="643"/>
      <c r="P353" s="643"/>
      <c r="Q353" s="643"/>
      <c r="R353" s="643"/>
      <c r="S353" s="643"/>
      <c r="T353" s="643"/>
      <c r="U353" s="643"/>
      <c r="V353" s="643"/>
      <c r="W353" s="643"/>
      <c r="X353" s="643"/>
      <c r="Y353" s="643"/>
      <c r="Z353" s="643"/>
    </row>
    <row r="354" ht="11.25" customHeight="1">
      <c r="A354" s="646"/>
      <c r="B354" s="643"/>
      <c r="C354" s="644"/>
      <c r="D354" s="643"/>
      <c r="E354" s="643"/>
      <c r="F354" s="643"/>
      <c r="G354" s="643"/>
      <c r="H354" s="643"/>
      <c r="I354" s="643"/>
      <c r="J354" s="643"/>
      <c r="K354" s="643"/>
      <c r="L354" s="643"/>
      <c r="M354" s="643"/>
      <c r="N354" s="643"/>
      <c r="O354" s="643"/>
      <c r="P354" s="643"/>
      <c r="Q354" s="643"/>
      <c r="R354" s="643"/>
      <c r="S354" s="643"/>
      <c r="T354" s="643"/>
      <c r="U354" s="643"/>
      <c r="V354" s="643"/>
      <c r="W354" s="643"/>
      <c r="X354" s="643"/>
      <c r="Y354" s="643"/>
      <c r="Z354" s="643"/>
    </row>
    <row r="355" ht="11.25" customHeight="1">
      <c r="A355" s="646"/>
      <c r="B355" s="643"/>
      <c r="C355" s="644"/>
      <c r="D355" s="643"/>
      <c r="E355" s="643"/>
      <c r="F355" s="643"/>
      <c r="G355" s="643"/>
      <c r="H355" s="643"/>
      <c r="I355" s="643"/>
      <c r="J355" s="643"/>
      <c r="K355" s="643"/>
      <c r="L355" s="643"/>
      <c r="M355" s="643"/>
      <c r="N355" s="643"/>
      <c r="O355" s="643"/>
      <c r="P355" s="643"/>
      <c r="Q355" s="643"/>
      <c r="R355" s="643"/>
      <c r="S355" s="643"/>
      <c r="T355" s="643"/>
      <c r="U355" s="643"/>
      <c r="V355" s="643"/>
      <c r="W355" s="643"/>
      <c r="X355" s="643"/>
      <c r="Y355" s="643"/>
      <c r="Z355" s="643"/>
    </row>
    <row r="356" ht="11.25" customHeight="1">
      <c r="A356" s="646"/>
      <c r="B356" s="643"/>
      <c r="C356" s="644"/>
      <c r="D356" s="643"/>
      <c r="E356" s="643"/>
      <c r="F356" s="643"/>
      <c r="G356" s="643"/>
      <c r="H356" s="643"/>
      <c r="I356" s="643"/>
      <c r="J356" s="643"/>
      <c r="K356" s="643"/>
      <c r="L356" s="643"/>
      <c r="M356" s="643"/>
      <c r="N356" s="643"/>
      <c r="O356" s="643"/>
      <c r="P356" s="643"/>
      <c r="Q356" s="643"/>
      <c r="R356" s="643"/>
      <c r="S356" s="643"/>
      <c r="T356" s="643"/>
      <c r="U356" s="643"/>
      <c r="V356" s="643"/>
      <c r="W356" s="643"/>
      <c r="X356" s="643"/>
      <c r="Y356" s="643"/>
      <c r="Z356" s="643"/>
    </row>
    <row r="357" ht="11.25" customHeight="1">
      <c r="A357" s="646"/>
      <c r="B357" s="643"/>
      <c r="C357" s="644"/>
      <c r="D357" s="643"/>
      <c r="E357" s="643"/>
      <c r="F357" s="643"/>
      <c r="G357" s="643"/>
      <c r="H357" s="643"/>
      <c r="I357" s="643"/>
      <c r="J357" s="643"/>
      <c r="K357" s="643"/>
      <c r="L357" s="643"/>
      <c r="M357" s="643"/>
      <c r="N357" s="643"/>
      <c r="O357" s="643"/>
      <c r="P357" s="643"/>
      <c r="Q357" s="643"/>
      <c r="R357" s="643"/>
      <c r="S357" s="643"/>
      <c r="T357" s="643"/>
      <c r="U357" s="643"/>
      <c r="V357" s="643"/>
      <c r="W357" s="643"/>
      <c r="X357" s="643"/>
      <c r="Y357" s="643"/>
      <c r="Z357" s="643"/>
    </row>
    <row r="358" ht="11.25" customHeight="1">
      <c r="A358" s="646"/>
      <c r="B358" s="643"/>
      <c r="C358" s="644"/>
      <c r="D358" s="643"/>
      <c r="E358" s="643"/>
      <c r="F358" s="643"/>
      <c r="G358" s="643"/>
      <c r="H358" s="643"/>
      <c r="I358" s="643"/>
      <c r="J358" s="643"/>
      <c r="K358" s="643"/>
      <c r="L358" s="643"/>
      <c r="M358" s="643"/>
      <c r="N358" s="643"/>
      <c r="O358" s="643"/>
      <c r="P358" s="643"/>
      <c r="Q358" s="643"/>
      <c r="R358" s="643"/>
      <c r="S358" s="643"/>
      <c r="T358" s="643"/>
      <c r="U358" s="643"/>
      <c r="V358" s="643"/>
      <c r="W358" s="643"/>
      <c r="X358" s="643"/>
      <c r="Y358" s="643"/>
      <c r="Z358" s="643"/>
    </row>
    <row r="359" ht="11.25" customHeight="1">
      <c r="A359" s="646"/>
      <c r="B359" s="643"/>
      <c r="C359" s="644"/>
      <c r="D359" s="643"/>
      <c r="E359" s="643"/>
      <c r="F359" s="643"/>
      <c r="G359" s="643"/>
      <c r="H359" s="643"/>
      <c r="I359" s="643"/>
      <c r="J359" s="643"/>
      <c r="K359" s="643"/>
      <c r="L359" s="643"/>
      <c r="M359" s="643"/>
      <c r="N359" s="643"/>
      <c r="O359" s="643"/>
      <c r="P359" s="643"/>
      <c r="Q359" s="643"/>
      <c r="R359" s="643"/>
      <c r="S359" s="643"/>
      <c r="T359" s="643"/>
      <c r="U359" s="643"/>
      <c r="V359" s="643"/>
      <c r="W359" s="643"/>
      <c r="X359" s="643"/>
      <c r="Y359" s="643"/>
      <c r="Z359" s="643"/>
    </row>
    <row r="360" ht="11.25" customHeight="1">
      <c r="A360" s="646"/>
      <c r="B360" s="643"/>
      <c r="C360" s="644"/>
      <c r="D360" s="643"/>
      <c r="E360" s="643"/>
      <c r="F360" s="643"/>
      <c r="G360" s="643"/>
      <c r="H360" s="643"/>
      <c r="I360" s="643"/>
      <c r="J360" s="643"/>
      <c r="K360" s="643"/>
      <c r="L360" s="643"/>
      <c r="M360" s="643"/>
      <c r="N360" s="643"/>
      <c r="O360" s="643"/>
      <c r="P360" s="643"/>
      <c r="Q360" s="643"/>
      <c r="R360" s="643"/>
      <c r="S360" s="643"/>
      <c r="T360" s="643"/>
      <c r="U360" s="643"/>
      <c r="V360" s="643"/>
      <c r="W360" s="643"/>
      <c r="X360" s="643"/>
      <c r="Y360" s="643"/>
      <c r="Z360" s="643"/>
    </row>
    <row r="361" ht="11.25" customHeight="1">
      <c r="A361" s="646"/>
      <c r="B361" s="643"/>
      <c r="C361" s="644"/>
      <c r="D361" s="643"/>
      <c r="E361" s="643"/>
      <c r="F361" s="643"/>
      <c r="G361" s="643"/>
      <c r="H361" s="643"/>
      <c r="I361" s="643"/>
      <c r="J361" s="643"/>
      <c r="K361" s="643"/>
      <c r="L361" s="643"/>
      <c r="M361" s="643"/>
      <c r="N361" s="643"/>
      <c r="O361" s="643"/>
      <c r="P361" s="643"/>
      <c r="Q361" s="643"/>
      <c r="R361" s="643"/>
      <c r="S361" s="643"/>
      <c r="T361" s="643"/>
      <c r="U361" s="643"/>
      <c r="V361" s="643"/>
      <c r="W361" s="643"/>
      <c r="X361" s="643"/>
      <c r="Y361" s="643"/>
      <c r="Z361" s="643"/>
    </row>
    <row r="362" ht="11.25" customHeight="1">
      <c r="A362" s="646"/>
      <c r="B362" s="643"/>
      <c r="C362" s="644"/>
      <c r="D362" s="643"/>
      <c r="E362" s="643"/>
      <c r="F362" s="643"/>
      <c r="G362" s="643"/>
      <c r="H362" s="643"/>
      <c r="I362" s="643"/>
      <c r="J362" s="643"/>
      <c r="K362" s="643"/>
      <c r="L362" s="643"/>
      <c r="M362" s="643"/>
      <c r="N362" s="643"/>
      <c r="O362" s="643"/>
      <c r="P362" s="643"/>
      <c r="Q362" s="643"/>
      <c r="R362" s="643"/>
      <c r="S362" s="643"/>
      <c r="T362" s="643"/>
      <c r="U362" s="643"/>
      <c r="V362" s="643"/>
      <c r="W362" s="643"/>
      <c r="X362" s="643"/>
      <c r="Y362" s="643"/>
      <c r="Z362" s="643"/>
    </row>
    <row r="363" ht="11.25" customHeight="1">
      <c r="A363" s="646"/>
      <c r="B363" s="643"/>
      <c r="C363" s="644"/>
      <c r="D363" s="643"/>
      <c r="E363" s="643"/>
      <c r="F363" s="643"/>
      <c r="G363" s="643"/>
      <c r="H363" s="643"/>
      <c r="I363" s="643"/>
      <c r="J363" s="643"/>
      <c r="K363" s="643"/>
      <c r="L363" s="643"/>
      <c r="M363" s="643"/>
      <c r="N363" s="643"/>
      <c r="O363" s="643"/>
      <c r="P363" s="643"/>
      <c r="Q363" s="643"/>
      <c r="R363" s="643"/>
      <c r="S363" s="643"/>
      <c r="T363" s="643"/>
      <c r="U363" s="643"/>
      <c r="V363" s="643"/>
      <c r="W363" s="643"/>
      <c r="X363" s="643"/>
      <c r="Y363" s="643"/>
      <c r="Z363" s="643"/>
    </row>
    <row r="364" ht="11.25" customHeight="1">
      <c r="A364" s="646"/>
      <c r="B364" s="643"/>
      <c r="C364" s="644"/>
      <c r="D364" s="643"/>
      <c r="E364" s="643"/>
      <c r="F364" s="643"/>
      <c r="G364" s="643"/>
      <c r="H364" s="643"/>
      <c r="I364" s="643"/>
      <c r="J364" s="643"/>
      <c r="K364" s="643"/>
      <c r="L364" s="643"/>
      <c r="M364" s="643"/>
      <c r="N364" s="643"/>
      <c r="O364" s="643"/>
      <c r="P364" s="643"/>
      <c r="Q364" s="643"/>
      <c r="R364" s="643"/>
      <c r="S364" s="643"/>
      <c r="T364" s="643"/>
      <c r="U364" s="643"/>
      <c r="V364" s="643"/>
      <c r="W364" s="643"/>
      <c r="X364" s="643"/>
      <c r="Y364" s="643"/>
      <c r="Z364" s="643"/>
    </row>
    <row r="365" ht="11.25" customHeight="1">
      <c r="A365" s="646"/>
      <c r="B365" s="643"/>
      <c r="C365" s="644"/>
      <c r="D365" s="643"/>
      <c r="E365" s="643"/>
      <c r="F365" s="643"/>
      <c r="G365" s="643"/>
      <c r="H365" s="643"/>
      <c r="I365" s="643"/>
      <c r="J365" s="643"/>
      <c r="K365" s="643"/>
      <c r="L365" s="643"/>
      <c r="M365" s="643"/>
      <c r="N365" s="643"/>
      <c r="O365" s="643"/>
      <c r="P365" s="643"/>
      <c r="Q365" s="643"/>
      <c r="R365" s="643"/>
      <c r="S365" s="643"/>
      <c r="T365" s="643"/>
      <c r="U365" s="643"/>
      <c r="V365" s="643"/>
      <c r="W365" s="643"/>
      <c r="X365" s="643"/>
      <c r="Y365" s="643"/>
      <c r="Z365" s="643"/>
    </row>
    <row r="366" ht="11.25" customHeight="1">
      <c r="A366" s="646"/>
      <c r="B366" s="643"/>
      <c r="C366" s="644"/>
      <c r="D366" s="643"/>
      <c r="E366" s="643"/>
      <c r="F366" s="643"/>
      <c r="G366" s="643"/>
      <c r="H366" s="643"/>
      <c r="I366" s="643"/>
      <c r="J366" s="643"/>
      <c r="K366" s="643"/>
      <c r="L366" s="643"/>
      <c r="M366" s="643"/>
      <c r="N366" s="643"/>
      <c r="O366" s="643"/>
      <c r="P366" s="643"/>
      <c r="Q366" s="643"/>
      <c r="R366" s="643"/>
      <c r="S366" s="643"/>
      <c r="T366" s="643"/>
      <c r="U366" s="643"/>
      <c r="V366" s="643"/>
      <c r="W366" s="643"/>
      <c r="X366" s="643"/>
      <c r="Y366" s="643"/>
      <c r="Z366" s="643"/>
    </row>
    <row r="367" ht="11.25" customHeight="1">
      <c r="A367" s="646"/>
      <c r="B367" s="643"/>
      <c r="C367" s="644"/>
      <c r="D367" s="643"/>
      <c r="E367" s="643"/>
      <c r="F367" s="643"/>
      <c r="G367" s="643"/>
      <c r="H367" s="643"/>
      <c r="I367" s="643"/>
      <c r="J367" s="643"/>
      <c r="K367" s="643"/>
      <c r="L367" s="643"/>
      <c r="M367" s="643"/>
      <c r="N367" s="643"/>
      <c r="O367" s="643"/>
      <c r="P367" s="643"/>
      <c r="Q367" s="643"/>
      <c r="R367" s="643"/>
      <c r="S367" s="643"/>
      <c r="T367" s="643"/>
      <c r="U367" s="643"/>
      <c r="V367" s="643"/>
      <c r="W367" s="643"/>
      <c r="X367" s="643"/>
      <c r="Y367" s="643"/>
      <c r="Z367" s="643"/>
    </row>
    <row r="368" ht="11.25" customHeight="1">
      <c r="A368" s="646"/>
      <c r="B368" s="643"/>
      <c r="C368" s="644"/>
      <c r="D368" s="643"/>
      <c r="E368" s="643"/>
      <c r="F368" s="643"/>
      <c r="G368" s="643"/>
      <c r="H368" s="643"/>
      <c r="I368" s="643"/>
      <c r="J368" s="643"/>
      <c r="K368" s="643"/>
      <c r="L368" s="643"/>
      <c r="M368" s="643"/>
      <c r="N368" s="643"/>
      <c r="O368" s="643"/>
      <c r="P368" s="643"/>
      <c r="Q368" s="643"/>
      <c r="R368" s="643"/>
      <c r="S368" s="643"/>
      <c r="T368" s="643"/>
      <c r="U368" s="643"/>
      <c r="V368" s="643"/>
      <c r="W368" s="643"/>
      <c r="X368" s="643"/>
      <c r="Y368" s="643"/>
      <c r="Z368" s="643"/>
    </row>
    <row r="369" ht="11.25" customHeight="1">
      <c r="A369" s="646"/>
      <c r="B369" s="643"/>
      <c r="C369" s="644"/>
      <c r="D369" s="643"/>
      <c r="E369" s="643"/>
      <c r="F369" s="643"/>
      <c r="G369" s="643"/>
      <c r="H369" s="643"/>
      <c r="I369" s="643"/>
      <c r="J369" s="643"/>
      <c r="K369" s="643"/>
      <c r="L369" s="643"/>
      <c r="M369" s="643"/>
      <c r="N369" s="643"/>
      <c r="O369" s="643"/>
      <c r="P369" s="643"/>
      <c r="Q369" s="643"/>
      <c r="R369" s="643"/>
      <c r="S369" s="643"/>
      <c r="T369" s="643"/>
      <c r="U369" s="643"/>
      <c r="V369" s="643"/>
      <c r="W369" s="643"/>
      <c r="X369" s="643"/>
      <c r="Y369" s="643"/>
      <c r="Z369" s="643"/>
    </row>
    <row r="370" ht="11.25" customHeight="1">
      <c r="A370" s="646"/>
      <c r="B370" s="643"/>
      <c r="C370" s="644"/>
      <c r="D370" s="643"/>
      <c r="E370" s="643"/>
      <c r="F370" s="643"/>
      <c r="G370" s="643"/>
      <c r="H370" s="643"/>
      <c r="I370" s="643"/>
      <c r="J370" s="643"/>
      <c r="K370" s="643"/>
      <c r="L370" s="643"/>
      <c r="M370" s="643"/>
      <c r="N370" s="643"/>
      <c r="O370" s="643"/>
      <c r="P370" s="643"/>
      <c r="Q370" s="643"/>
      <c r="R370" s="643"/>
      <c r="S370" s="643"/>
      <c r="T370" s="643"/>
      <c r="U370" s="643"/>
      <c r="V370" s="643"/>
      <c r="W370" s="643"/>
      <c r="X370" s="643"/>
      <c r="Y370" s="643"/>
      <c r="Z370" s="643"/>
    </row>
    <row r="371" ht="11.25" customHeight="1">
      <c r="A371" s="646"/>
      <c r="B371" s="643"/>
      <c r="C371" s="644"/>
      <c r="D371" s="643"/>
      <c r="E371" s="643"/>
      <c r="F371" s="643"/>
      <c r="G371" s="643"/>
      <c r="H371" s="643"/>
      <c r="I371" s="643"/>
      <c r="J371" s="643"/>
      <c r="K371" s="643"/>
      <c r="L371" s="643"/>
      <c r="M371" s="643"/>
      <c r="N371" s="643"/>
      <c r="O371" s="643"/>
      <c r="P371" s="643"/>
      <c r="Q371" s="643"/>
      <c r="R371" s="643"/>
      <c r="S371" s="643"/>
      <c r="T371" s="643"/>
      <c r="U371" s="643"/>
      <c r="V371" s="643"/>
      <c r="W371" s="643"/>
      <c r="X371" s="643"/>
      <c r="Y371" s="643"/>
      <c r="Z371" s="643"/>
    </row>
    <row r="372" ht="11.25" customHeight="1">
      <c r="A372" s="646"/>
      <c r="B372" s="643"/>
      <c r="C372" s="644"/>
      <c r="D372" s="643"/>
      <c r="E372" s="643"/>
      <c r="F372" s="643"/>
      <c r="G372" s="643"/>
      <c r="H372" s="643"/>
      <c r="I372" s="643"/>
      <c r="J372" s="643"/>
      <c r="K372" s="643"/>
      <c r="L372" s="643"/>
      <c r="M372" s="643"/>
      <c r="N372" s="643"/>
      <c r="O372" s="643"/>
      <c r="P372" s="643"/>
      <c r="Q372" s="643"/>
      <c r="R372" s="643"/>
      <c r="S372" s="643"/>
      <c r="T372" s="643"/>
      <c r="U372" s="643"/>
      <c r="V372" s="643"/>
      <c r="W372" s="643"/>
      <c r="X372" s="643"/>
      <c r="Y372" s="643"/>
      <c r="Z372" s="643"/>
    </row>
    <row r="373" ht="11.25" customHeight="1">
      <c r="A373" s="646"/>
      <c r="B373" s="643"/>
      <c r="C373" s="644"/>
      <c r="D373" s="643"/>
      <c r="E373" s="643"/>
      <c r="F373" s="643"/>
      <c r="G373" s="643"/>
      <c r="H373" s="643"/>
      <c r="I373" s="643"/>
      <c r="J373" s="643"/>
      <c r="K373" s="643"/>
      <c r="L373" s="643"/>
      <c r="M373" s="643"/>
      <c r="N373" s="643"/>
      <c r="O373" s="643"/>
      <c r="P373" s="643"/>
      <c r="Q373" s="643"/>
      <c r="R373" s="643"/>
      <c r="S373" s="643"/>
      <c r="T373" s="643"/>
      <c r="U373" s="643"/>
      <c r="V373" s="643"/>
      <c r="W373" s="643"/>
      <c r="X373" s="643"/>
      <c r="Y373" s="643"/>
      <c r="Z373" s="643"/>
    </row>
    <row r="374" ht="11.25" customHeight="1">
      <c r="A374" s="646"/>
      <c r="B374" s="643"/>
      <c r="C374" s="644"/>
      <c r="D374" s="643"/>
      <c r="E374" s="643"/>
      <c r="F374" s="643"/>
      <c r="G374" s="643"/>
      <c r="H374" s="643"/>
      <c r="I374" s="643"/>
      <c r="J374" s="643"/>
      <c r="K374" s="643"/>
      <c r="L374" s="643"/>
      <c r="M374" s="643"/>
      <c r="N374" s="643"/>
      <c r="O374" s="643"/>
      <c r="P374" s="643"/>
      <c r="Q374" s="643"/>
      <c r="R374" s="643"/>
      <c r="S374" s="643"/>
      <c r="T374" s="643"/>
      <c r="U374" s="643"/>
      <c r="V374" s="643"/>
      <c r="W374" s="643"/>
      <c r="X374" s="643"/>
      <c r="Y374" s="643"/>
      <c r="Z374" s="643"/>
    </row>
    <row r="375" ht="11.25" customHeight="1">
      <c r="A375" s="646"/>
      <c r="B375" s="643"/>
      <c r="C375" s="644"/>
      <c r="D375" s="643"/>
      <c r="E375" s="643"/>
      <c r="F375" s="643"/>
      <c r="G375" s="643"/>
      <c r="H375" s="643"/>
      <c r="I375" s="643"/>
      <c r="J375" s="643"/>
      <c r="K375" s="643"/>
      <c r="L375" s="643"/>
      <c r="M375" s="643"/>
      <c r="N375" s="643"/>
      <c r="O375" s="643"/>
      <c r="P375" s="643"/>
      <c r="Q375" s="643"/>
      <c r="R375" s="643"/>
      <c r="S375" s="643"/>
      <c r="T375" s="643"/>
      <c r="U375" s="643"/>
      <c r="V375" s="643"/>
      <c r="W375" s="643"/>
      <c r="X375" s="643"/>
      <c r="Y375" s="643"/>
      <c r="Z375" s="643"/>
    </row>
    <row r="376" ht="11.25" customHeight="1">
      <c r="A376" s="646"/>
      <c r="B376" s="643"/>
      <c r="C376" s="644"/>
      <c r="D376" s="643"/>
      <c r="E376" s="643"/>
      <c r="F376" s="643"/>
      <c r="G376" s="643"/>
      <c r="H376" s="643"/>
      <c r="I376" s="643"/>
      <c r="J376" s="643"/>
      <c r="K376" s="643"/>
      <c r="L376" s="643"/>
      <c r="M376" s="643"/>
      <c r="N376" s="643"/>
      <c r="O376" s="643"/>
      <c r="P376" s="643"/>
      <c r="Q376" s="643"/>
      <c r="R376" s="643"/>
      <c r="S376" s="643"/>
      <c r="T376" s="643"/>
      <c r="U376" s="643"/>
      <c r="V376" s="643"/>
      <c r="W376" s="643"/>
      <c r="X376" s="643"/>
      <c r="Y376" s="643"/>
      <c r="Z376" s="643"/>
    </row>
    <row r="377" ht="11.25" customHeight="1">
      <c r="A377" s="646"/>
      <c r="B377" s="643"/>
      <c r="C377" s="644"/>
      <c r="D377" s="643"/>
      <c r="E377" s="643"/>
      <c r="F377" s="643"/>
      <c r="G377" s="643"/>
      <c r="H377" s="643"/>
      <c r="I377" s="643"/>
      <c r="J377" s="643"/>
      <c r="K377" s="643"/>
      <c r="L377" s="643"/>
      <c r="M377" s="643"/>
      <c r="N377" s="643"/>
      <c r="O377" s="643"/>
      <c r="P377" s="643"/>
      <c r="Q377" s="643"/>
      <c r="R377" s="643"/>
      <c r="S377" s="643"/>
      <c r="T377" s="643"/>
      <c r="U377" s="643"/>
      <c r="V377" s="643"/>
      <c r="W377" s="643"/>
      <c r="X377" s="643"/>
      <c r="Y377" s="643"/>
      <c r="Z377" s="643"/>
    </row>
    <row r="378" ht="11.25" customHeight="1">
      <c r="A378" s="646"/>
      <c r="B378" s="643"/>
      <c r="C378" s="644"/>
      <c r="D378" s="643"/>
      <c r="E378" s="643"/>
      <c r="F378" s="643"/>
      <c r="G378" s="643"/>
      <c r="H378" s="643"/>
      <c r="I378" s="643"/>
      <c r="J378" s="643"/>
      <c r="K378" s="643"/>
      <c r="L378" s="643"/>
      <c r="M378" s="643"/>
      <c r="N378" s="643"/>
      <c r="O378" s="643"/>
      <c r="P378" s="643"/>
      <c r="Q378" s="643"/>
      <c r="R378" s="643"/>
      <c r="S378" s="643"/>
      <c r="T378" s="643"/>
      <c r="U378" s="643"/>
      <c r="V378" s="643"/>
      <c r="W378" s="643"/>
      <c r="X378" s="643"/>
      <c r="Y378" s="643"/>
      <c r="Z378" s="643"/>
    </row>
    <row r="379" ht="11.25" customHeight="1">
      <c r="A379" s="646"/>
      <c r="B379" s="643"/>
      <c r="C379" s="644"/>
      <c r="D379" s="643"/>
      <c r="E379" s="643"/>
      <c r="F379" s="643"/>
      <c r="G379" s="643"/>
      <c r="H379" s="643"/>
      <c r="I379" s="643"/>
      <c r="J379" s="643"/>
      <c r="K379" s="643"/>
      <c r="L379" s="643"/>
      <c r="M379" s="643"/>
      <c r="N379" s="643"/>
      <c r="O379" s="643"/>
      <c r="P379" s="643"/>
      <c r="Q379" s="643"/>
      <c r="R379" s="643"/>
      <c r="S379" s="643"/>
      <c r="T379" s="643"/>
      <c r="U379" s="643"/>
      <c r="V379" s="643"/>
      <c r="W379" s="643"/>
      <c r="X379" s="643"/>
      <c r="Y379" s="643"/>
      <c r="Z379" s="643"/>
    </row>
    <row r="380" ht="11.25" customHeight="1">
      <c r="A380" s="646"/>
      <c r="B380" s="643"/>
      <c r="C380" s="644"/>
      <c r="D380" s="643"/>
      <c r="E380" s="643"/>
      <c r="F380" s="643"/>
      <c r="G380" s="643"/>
      <c r="H380" s="643"/>
      <c r="I380" s="643"/>
      <c r="J380" s="643"/>
      <c r="K380" s="643"/>
      <c r="L380" s="643"/>
      <c r="M380" s="643"/>
      <c r="N380" s="643"/>
      <c r="O380" s="643"/>
      <c r="P380" s="643"/>
      <c r="Q380" s="643"/>
      <c r="R380" s="643"/>
      <c r="S380" s="643"/>
      <c r="T380" s="643"/>
      <c r="U380" s="643"/>
      <c r="V380" s="643"/>
      <c r="W380" s="643"/>
      <c r="X380" s="643"/>
      <c r="Y380" s="643"/>
      <c r="Z380" s="643"/>
    </row>
    <row r="381" ht="11.25" customHeight="1">
      <c r="A381" s="646"/>
      <c r="B381" s="643"/>
      <c r="C381" s="644"/>
      <c r="D381" s="643"/>
      <c r="E381" s="643"/>
      <c r="F381" s="643"/>
      <c r="G381" s="643"/>
      <c r="H381" s="643"/>
      <c r="I381" s="643"/>
      <c r="J381" s="643"/>
      <c r="K381" s="643"/>
      <c r="L381" s="643"/>
      <c r="M381" s="643"/>
      <c r="N381" s="643"/>
      <c r="O381" s="643"/>
      <c r="P381" s="643"/>
      <c r="Q381" s="643"/>
      <c r="R381" s="643"/>
      <c r="S381" s="643"/>
      <c r="T381" s="643"/>
      <c r="U381" s="643"/>
      <c r="V381" s="643"/>
      <c r="W381" s="643"/>
      <c r="X381" s="643"/>
      <c r="Y381" s="643"/>
      <c r="Z381" s="643"/>
    </row>
    <row r="382" ht="11.25" customHeight="1">
      <c r="A382" s="646"/>
      <c r="B382" s="643"/>
      <c r="C382" s="644"/>
      <c r="D382" s="643"/>
      <c r="E382" s="643"/>
      <c r="F382" s="643"/>
      <c r="G382" s="643"/>
      <c r="H382" s="643"/>
      <c r="I382" s="643"/>
      <c r="J382" s="643"/>
      <c r="K382" s="643"/>
      <c r="L382" s="643"/>
      <c r="M382" s="643"/>
      <c r="N382" s="643"/>
      <c r="O382" s="643"/>
      <c r="P382" s="643"/>
      <c r="Q382" s="643"/>
      <c r="R382" s="643"/>
      <c r="S382" s="643"/>
      <c r="T382" s="643"/>
      <c r="U382" s="643"/>
      <c r="V382" s="643"/>
      <c r="W382" s="643"/>
      <c r="X382" s="643"/>
      <c r="Y382" s="643"/>
      <c r="Z382" s="643"/>
    </row>
    <row r="383" ht="11.25" customHeight="1">
      <c r="A383" s="646"/>
      <c r="B383" s="643"/>
      <c r="C383" s="644"/>
      <c r="D383" s="643"/>
      <c r="E383" s="643"/>
      <c r="F383" s="643"/>
      <c r="G383" s="643"/>
      <c r="H383" s="643"/>
      <c r="I383" s="643"/>
      <c r="J383" s="643"/>
      <c r="K383" s="643"/>
      <c r="L383" s="643"/>
      <c r="M383" s="643"/>
      <c r="N383" s="643"/>
      <c r="O383" s="643"/>
      <c r="P383" s="643"/>
      <c r="Q383" s="643"/>
      <c r="R383" s="643"/>
      <c r="S383" s="643"/>
      <c r="T383" s="643"/>
      <c r="U383" s="643"/>
      <c r="V383" s="643"/>
      <c r="W383" s="643"/>
      <c r="X383" s="643"/>
      <c r="Y383" s="643"/>
      <c r="Z383" s="643"/>
    </row>
    <row r="384" ht="11.25" customHeight="1">
      <c r="A384" s="646"/>
      <c r="B384" s="643"/>
      <c r="C384" s="644"/>
      <c r="D384" s="643"/>
      <c r="E384" s="643"/>
      <c r="F384" s="643"/>
      <c r="G384" s="643"/>
      <c r="H384" s="643"/>
      <c r="I384" s="643"/>
      <c r="J384" s="643"/>
      <c r="K384" s="643"/>
      <c r="L384" s="643"/>
      <c r="M384" s="643"/>
      <c r="N384" s="643"/>
      <c r="O384" s="643"/>
      <c r="P384" s="643"/>
      <c r="Q384" s="643"/>
      <c r="R384" s="643"/>
      <c r="S384" s="643"/>
      <c r="T384" s="643"/>
      <c r="U384" s="643"/>
      <c r="V384" s="643"/>
      <c r="W384" s="643"/>
      <c r="X384" s="643"/>
      <c r="Y384" s="643"/>
      <c r="Z384" s="643"/>
    </row>
    <row r="385" ht="11.25" customHeight="1">
      <c r="A385" s="646"/>
      <c r="B385" s="643"/>
      <c r="C385" s="644"/>
      <c r="D385" s="643"/>
      <c r="E385" s="643"/>
      <c r="F385" s="643"/>
      <c r="G385" s="643"/>
      <c r="H385" s="643"/>
      <c r="I385" s="643"/>
      <c r="J385" s="643"/>
      <c r="K385" s="643"/>
      <c r="L385" s="643"/>
      <c r="M385" s="643"/>
      <c r="N385" s="643"/>
      <c r="O385" s="643"/>
      <c r="P385" s="643"/>
      <c r="Q385" s="643"/>
      <c r="R385" s="643"/>
      <c r="S385" s="643"/>
      <c r="T385" s="643"/>
      <c r="U385" s="643"/>
      <c r="V385" s="643"/>
      <c r="W385" s="643"/>
      <c r="X385" s="643"/>
      <c r="Y385" s="643"/>
      <c r="Z385" s="643"/>
    </row>
    <row r="386" ht="11.25" customHeight="1">
      <c r="A386" s="646"/>
      <c r="B386" s="643"/>
      <c r="C386" s="644"/>
      <c r="D386" s="643"/>
      <c r="E386" s="643"/>
      <c r="F386" s="643"/>
      <c r="G386" s="643"/>
      <c r="H386" s="643"/>
      <c r="I386" s="643"/>
      <c r="J386" s="643"/>
      <c r="K386" s="643"/>
      <c r="L386" s="643"/>
      <c r="M386" s="643"/>
      <c r="N386" s="643"/>
      <c r="O386" s="643"/>
      <c r="P386" s="643"/>
      <c r="Q386" s="643"/>
      <c r="R386" s="643"/>
      <c r="S386" s="643"/>
      <c r="T386" s="643"/>
      <c r="U386" s="643"/>
      <c r="V386" s="643"/>
      <c r="W386" s="643"/>
      <c r="X386" s="643"/>
      <c r="Y386" s="643"/>
      <c r="Z386" s="643"/>
    </row>
    <row r="387" ht="11.25" customHeight="1">
      <c r="A387" s="646"/>
      <c r="B387" s="643"/>
      <c r="C387" s="644"/>
      <c r="D387" s="643"/>
      <c r="E387" s="643"/>
      <c r="F387" s="643"/>
      <c r="G387" s="643"/>
      <c r="H387" s="643"/>
      <c r="I387" s="643"/>
      <c r="J387" s="643"/>
      <c r="K387" s="643"/>
      <c r="L387" s="643"/>
      <c r="M387" s="643"/>
      <c r="N387" s="643"/>
      <c r="O387" s="643"/>
      <c r="P387" s="643"/>
      <c r="Q387" s="643"/>
      <c r="R387" s="643"/>
      <c r="S387" s="643"/>
      <c r="T387" s="643"/>
      <c r="U387" s="643"/>
      <c r="V387" s="643"/>
      <c r="W387" s="643"/>
      <c r="X387" s="643"/>
      <c r="Y387" s="643"/>
      <c r="Z387" s="643"/>
    </row>
    <row r="388" ht="11.25" customHeight="1">
      <c r="A388" s="646"/>
      <c r="B388" s="643"/>
      <c r="C388" s="644"/>
      <c r="D388" s="643"/>
      <c r="E388" s="643"/>
      <c r="F388" s="643"/>
      <c r="G388" s="643"/>
      <c r="H388" s="643"/>
      <c r="I388" s="643"/>
      <c r="J388" s="643"/>
      <c r="K388" s="643"/>
      <c r="L388" s="643"/>
      <c r="M388" s="643"/>
      <c r="N388" s="643"/>
      <c r="O388" s="643"/>
      <c r="P388" s="643"/>
      <c r="Q388" s="643"/>
      <c r="R388" s="643"/>
      <c r="S388" s="643"/>
      <c r="T388" s="643"/>
      <c r="U388" s="643"/>
      <c r="V388" s="643"/>
      <c r="W388" s="643"/>
      <c r="X388" s="643"/>
      <c r="Y388" s="643"/>
      <c r="Z388" s="643"/>
    </row>
    <row r="389" ht="11.25" customHeight="1">
      <c r="A389" s="646"/>
      <c r="B389" s="643"/>
      <c r="C389" s="644"/>
      <c r="D389" s="643"/>
      <c r="E389" s="643"/>
      <c r="F389" s="643"/>
      <c r="G389" s="643"/>
      <c r="H389" s="643"/>
      <c r="I389" s="643"/>
      <c r="J389" s="643"/>
      <c r="K389" s="643"/>
      <c r="L389" s="643"/>
      <c r="M389" s="643"/>
      <c r="N389" s="643"/>
      <c r="O389" s="643"/>
      <c r="P389" s="643"/>
      <c r="Q389" s="643"/>
      <c r="R389" s="643"/>
      <c r="S389" s="643"/>
      <c r="T389" s="643"/>
      <c r="U389" s="643"/>
      <c r="V389" s="643"/>
      <c r="W389" s="643"/>
      <c r="X389" s="643"/>
      <c r="Y389" s="643"/>
      <c r="Z389" s="643"/>
    </row>
    <row r="390" ht="11.25" customHeight="1">
      <c r="A390" s="646"/>
      <c r="B390" s="643"/>
      <c r="C390" s="644"/>
      <c r="D390" s="643"/>
      <c r="E390" s="643"/>
      <c r="F390" s="643"/>
      <c r="G390" s="643"/>
      <c r="H390" s="643"/>
      <c r="I390" s="643"/>
      <c r="J390" s="643"/>
      <c r="K390" s="643"/>
      <c r="L390" s="643"/>
      <c r="M390" s="643"/>
      <c r="N390" s="643"/>
      <c r="O390" s="643"/>
      <c r="P390" s="643"/>
      <c r="Q390" s="643"/>
      <c r="R390" s="643"/>
      <c r="S390" s="643"/>
      <c r="T390" s="643"/>
      <c r="U390" s="643"/>
      <c r="V390" s="643"/>
      <c r="W390" s="643"/>
      <c r="X390" s="643"/>
      <c r="Y390" s="643"/>
      <c r="Z390" s="643"/>
    </row>
    <row r="391" ht="11.25" customHeight="1">
      <c r="A391" s="646"/>
      <c r="B391" s="643"/>
      <c r="C391" s="644"/>
      <c r="D391" s="643"/>
      <c r="E391" s="643"/>
      <c r="F391" s="643"/>
      <c r="G391" s="643"/>
      <c r="H391" s="643"/>
      <c r="I391" s="643"/>
      <c r="J391" s="643"/>
      <c r="K391" s="643"/>
      <c r="L391" s="643"/>
      <c r="M391" s="643"/>
      <c r="N391" s="643"/>
      <c r="O391" s="643"/>
      <c r="P391" s="643"/>
      <c r="Q391" s="643"/>
      <c r="R391" s="643"/>
      <c r="S391" s="643"/>
      <c r="T391" s="643"/>
      <c r="U391" s="643"/>
      <c r="V391" s="643"/>
      <c r="W391" s="643"/>
      <c r="X391" s="643"/>
      <c r="Y391" s="643"/>
      <c r="Z391" s="643"/>
    </row>
    <row r="392" ht="11.25" customHeight="1">
      <c r="A392" s="646"/>
      <c r="B392" s="643"/>
      <c r="C392" s="644"/>
      <c r="D392" s="643"/>
      <c r="E392" s="643"/>
      <c r="F392" s="643"/>
      <c r="G392" s="643"/>
      <c r="H392" s="643"/>
      <c r="I392" s="643"/>
      <c r="J392" s="643"/>
      <c r="K392" s="643"/>
      <c r="L392" s="643"/>
      <c r="M392" s="643"/>
      <c r="N392" s="643"/>
      <c r="O392" s="643"/>
      <c r="P392" s="643"/>
      <c r="Q392" s="643"/>
      <c r="R392" s="643"/>
      <c r="S392" s="643"/>
      <c r="T392" s="643"/>
      <c r="U392" s="643"/>
      <c r="V392" s="643"/>
      <c r="W392" s="643"/>
      <c r="X392" s="643"/>
      <c r="Y392" s="643"/>
      <c r="Z392" s="643"/>
    </row>
    <row r="393" ht="11.25" customHeight="1">
      <c r="A393" s="646"/>
      <c r="B393" s="643"/>
      <c r="C393" s="644"/>
      <c r="D393" s="643"/>
      <c r="E393" s="643"/>
      <c r="F393" s="643"/>
      <c r="G393" s="643"/>
      <c r="H393" s="643"/>
      <c r="I393" s="643"/>
      <c r="J393" s="643"/>
      <c r="K393" s="643"/>
      <c r="L393" s="643"/>
      <c r="M393" s="643"/>
      <c r="N393" s="643"/>
      <c r="O393" s="643"/>
      <c r="P393" s="643"/>
      <c r="Q393" s="643"/>
      <c r="R393" s="643"/>
      <c r="S393" s="643"/>
      <c r="T393" s="643"/>
      <c r="U393" s="643"/>
      <c r="V393" s="643"/>
      <c r="W393" s="643"/>
      <c r="X393" s="643"/>
      <c r="Y393" s="643"/>
      <c r="Z393" s="643"/>
    </row>
    <row r="394" ht="11.25" customHeight="1">
      <c r="A394" s="646"/>
      <c r="B394" s="643"/>
      <c r="C394" s="644"/>
      <c r="D394" s="643"/>
      <c r="E394" s="643"/>
      <c r="F394" s="643"/>
      <c r="G394" s="643"/>
      <c r="H394" s="643"/>
      <c r="I394" s="643"/>
      <c r="J394" s="643"/>
      <c r="K394" s="643"/>
      <c r="L394" s="643"/>
      <c r="M394" s="643"/>
      <c r="N394" s="643"/>
      <c r="O394" s="643"/>
      <c r="P394" s="643"/>
      <c r="Q394" s="643"/>
      <c r="R394" s="643"/>
      <c r="S394" s="643"/>
      <c r="T394" s="643"/>
      <c r="U394" s="643"/>
      <c r="V394" s="643"/>
      <c r="W394" s="643"/>
      <c r="X394" s="643"/>
      <c r="Y394" s="643"/>
      <c r="Z394" s="643"/>
    </row>
    <row r="395" ht="11.25" customHeight="1">
      <c r="A395" s="646"/>
      <c r="B395" s="643"/>
      <c r="C395" s="644"/>
      <c r="D395" s="643"/>
      <c r="E395" s="643"/>
      <c r="F395" s="643"/>
      <c r="G395" s="643"/>
      <c r="H395" s="643"/>
      <c r="I395" s="643"/>
      <c r="J395" s="643"/>
      <c r="K395" s="643"/>
      <c r="L395" s="643"/>
      <c r="M395" s="643"/>
      <c r="N395" s="643"/>
      <c r="O395" s="643"/>
      <c r="P395" s="643"/>
      <c r="Q395" s="643"/>
      <c r="R395" s="643"/>
      <c r="S395" s="643"/>
      <c r="T395" s="643"/>
      <c r="U395" s="643"/>
      <c r="V395" s="643"/>
      <c r="W395" s="643"/>
      <c r="X395" s="643"/>
      <c r="Y395" s="643"/>
      <c r="Z395" s="643"/>
    </row>
    <row r="396" ht="11.25" customHeight="1">
      <c r="A396" s="646"/>
      <c r="B396" s="643"/>
      <c r="C396" s="644"/>
      <c r="D396" s="643"/>
      <c r="E396" s="643"/>
      <c r="F396" s="643"/>
      <c r="G396" s="643"/>
      <c r="H396" s="643"/>
      <c r="I396" s="643"/>
      <c r="J396" s="643"/>
      <c r="K396" s="643"/>
      <c r="L396" s="643"/>
      <c r="M396" s="643"/>
      <c r="N396" s="643"/>
      <c r="O396" s="643"/>
      <c r="P396" s="643"/>
      <c r="Q396" s="643"/>
      <c r="R396" s="643"/>
      <c r="S396" s="643"/>
      <c r="T396" s="643"/>
      <c r="U396" s="643"/>
      <c r="V396" s="643"/>
      <c r="W396" s="643"/>
      <c r="X396" s="643"/>
      <c r="Y396" s="643"/>
      <c r="Z396" s="643"/>
    </row>
    <row r="397" ht="11.25" customHeight="1">
      <c r="A397" s="646"/>
      <c r="B397" s="643"/>
      <c r="C397" s="644"/>
      <c r="D397" s="643"/>
      <c r="E397" s="643"/>
      <c r="F397" s="643"/>
      <c r="G397" s="643"/>
      <c r="H397" s="643"/>
      <c r="I397" s="643"/>
      <c r="J397" s="643"/>
      <c r="K397" s="643"/>
      <c r="L397" s="643"/>
      <c r="M397" s="643"/>
      <c r="N397" s="643"/>
      <c r="O397" s="643"/>
      <c r="P397" s="643"/>
      <c r="Q397" s="643"/>
      <c r="R397" s="643"/>
      <c r="S397" s="643"/>
      <c r="T397" s="643"/>
      <c r="U397" s="643"/>
      <c r="V397" s="643"/>
      <c r="W397" s="643"/>
      <c r="X397" s="643"/>
      <c r="Y397" s="643"/>
      <c r="Z397" s="643"/>
    </row>
    <row r="398" ht="11.25" customHeight="1">
      <c r="A398" s="646"/>
      <c r="B398" s="643"/>
      <c r="C398" s="644"/>
      <c r="D398" s="643"/>
      <c r="E398" s="643"/>
      <c r="F398" s="643"/>
      <c r="G398" s="643"/>
      <c r="H398" s="643"/>
      <c r="I398" s="643"/>
      <c r="J398" s="643"/>
      <c r="K398" s="643"/>
      <c r="L398" s="643"/>
      <c r="M398" s="643"/>
      <c r="N398" s="643"/>
      <c r="O398" s="643"/>
      <c r="P398" s="643"/>
      <c r="Q398" s="643"/>
      <c r="R398" s="643"/>
      <c r="S398" s="643"/>
      <c r="T398" s="643"/>
      <c r="U398" s="643"/>
      <c r="V398" s="643"/>
      <c r="W398" s="643"/>
      <c r="X398" s="643"/>
      <c r="Y398" s="643"/>
      <c r="Z398" s="643"/>
    </row>
    <row r="399" ht="11.25" customHeight="1">
      <c r="A399" s="646"/>
      <c r="B399" s="643"/>
      <c r="C399" s="644"/>
      <c r="D399" s="643"/>
      <c r="E399" s="643"/>
      <c r="F399" s="643"/>
      <c r="G399" s="643"/>
      <c r="H399" s="643"/>
      <c r="I399" s="643"/>
      <c r="J399" s="643"/>
      <c r="K399" s="643"/>
      <c r="L399" s="643"/>
      <c r="M399" s="643"/>
      <c r="N399" s="643"/>
      <c r="O399" s="643"/>
      <c r="P399" s="643"/>
      <c r="Q399" s="643"/>
      <c r="R399" s="643"/>
      <c r="S399" s="643"/>
      <c r="T399" s="643"/>
      <c r="U399" s="643"/>
      <c r="V399" s="643"/>
      <c r="W399" s="643"/>
      <c r="X399" s="643"/>
      <c r="Y399" s="643"/>
      <c r="Z399" s="643"/>
    </row>
    <row r="400" ht="11.25" customHeight="1">
      <c r="A400" s="646"/>
      <c r="B400" s="643"/>
      <c r="C400" s="644"/>
      <c r="D400" s="643"/>
      <c r="E400" s="643"/>
      <c r="F400" s="643"/>
      <c r="G400" s="643"/>
      <c r="H400" s="643"/>
      <c r="I400" s="643"/>
      <c r="J400" s="643"/>
      <c r="K400" s="643"/>
      <c r="L400" s="643"/>
      <c r="M400" s="643"/>
      <c r="N400" s="643"/>
      <c r="O400" s="643"/>
      <c r="P400" s="643"/>
      <c r="Q400" s="643"/>
      <c r="R400" s="643"/>
      <c r="S400" s="643"/>
      <c r="T400" s="643"/>
      <c r="U400" s="643"/>
      <c r="V400" s="643"/>
      <c r="W400" s="643"/>
      <c r="X400" s="643"/>
      <c r="Y400" s="643"/>
      <c r="Z400" s="643"/>
    </row>
    <row r="401" ht="11.25" customHeight="1">
      <c r="A401" s="646"/>
      <c r="B401" s="643"/>
      <c r="C401" s="644"/>
      <c r="D401" s="643"/>
      <c r="E401" s="643"/>
      <c r="F401" s="643"/>
      <c r="G401" s="643"/>
      <c r="H401" s="643"/>
      <c r="I401" s="643"/>
      <c r="J401" s="643"/>
      <c r="K401" s="643"/>
      <c r="L401" s="643"/>
      <c r="M401" s="643"/>
      <c r="N401" s="643"/>
      <c r="O401" s="643"/>
      <c r="P401" s="643"/>
      <c r="Q401" s="643"/>
      <c r="R401" s="643"/>
      <c r="S401" s="643"/>
      <c r="T401" s="643"/>
      <c r="U401" s="643"/>
      <c r="V401" s="643"/>
      <c r="W401" s="643"/>
      <c r="X401" s="643"/>
      <c r="Y401" s="643"/>
      <c r="Z401" s="643"/>
    </row>
    <row r="402" ht="11.25" customHeight="1">
      <c r="A402" s="646"/>
      <c r="B402" s="643"/>
      <c r="C402" s="644"/>
      <c r="D402" s="643"/>
      <c r="E402" s="643"/>
      <c r="F402" s="643"/>
      <c r="G402" s="643"/>
      <c r="H402" s="643"/>
      <c r="I402" s="643"/>
      <c r="J402" s="643"/>
      <c r="K402" s="643"/>
      <c r="L402" s="643"/>
      <c r="M402" s="643"/>
      <c r="N402" s="643"/>
      <c r="O402" s="643"/>
      <c r="P402" s="643"/>
      <c r="Q402" s="643"/>
      <c r="R402" s="643"/>
      <c r="S402" s="643"/>
      <c r="T402" s="643"/>
      <c r="U402" s="643"/>
      <c r="V402" s="643"/>
      <c r="W402" s="643"/>
      <c r="X402" s="643"/>
      <c r="Y402" s="643"/>
      <c r="Z402" s="643"/>
    </row>
    <row r="403" ht="11.25" customHeight="1">
      <c r="A403" s="646"/>
      <c r="B403" s="643"/>
      <c r="C403" s="644"/>
      <c r="D403" s="643"/>
      <c r="E403" s="643"/>
      <c r="F403" s="643"/>
      <c r="G403" s="643"/>
      <c r="H403" s="643"/>
      <c r="I403" s="643"/>
      <c r="J403" s="643"/>
      <c r="K403" s="643"/>
      <c r="L403" s="643"/>
      <c r="M403" s="643"/>
      <c r="N403" s="643"/>
      <c r="O403" s="643"/>
      <c r="P403" s="643"/>
      <c r="Q403" s="643"/>
      <c r="R403" s="643"/>
      <c r="S403" s="643"/>
      <c r="T403" s="643"/>
      <c r="U403" s="643"/>
      <c r="V403" s="643"/>
      <c r="W403" s="643"/>
      <c r="X403" s="643"/>
      <c r="Y403" s="643"/>
      <c r="Z403" s="643"/>
    </row>
    <row r="404" ht="11.25" customHeight="1">
      <c r="A404" s="646"/>
      <c r="B404" s="643"/>
      <c r="C404" s="644"/>
      <c r="D404" s="643"/>
      <c r="E404" s="643"/>
      <c r="F404" s="643"/>
      <c r="G404" s="643"/>
      <c r="H404" s="643"/>
      <c r="I404" s="643"/>
      <c r="J404" s="643"/>
      <c r="K404" s="643"/>
      <c r="L404" s="643"/>
      <c r="M404" s="643"/>
      <c r="N404" s="643"/>
      <c r="O404" s="643"/>
      <c r="P404" s="643"/>
      <c r="Q404" s="643"/>
      <c r="R404" s="643"/>
      <c r="S404" s="643"/>
      <c r="T404" s="643"/>
      <c r="U404" s="643"/>
      <c r="V404" s="643"/>
      <c r="W404" s="643"/>
      <c r="X404" s="643"/>
      <c r="Y404" s="643"/>
      <c r="Z404" s="643"/>
    </row>
    <row r="405" ht="11.25" customHeight="1">
      <c r="A405" s="646"/>
      <c r="B405" s="643"/>
      <c r="C405" s="644"/>
      <c r="D405" s="643"/>
      <c r="E405" s="643"/>
      <c r="F405" s="643"/>
      <c r="G405" s="643"/>
      <c r="H405" s="643"/>
      <c r="I405" s="643"/>
      <c r="J405" s="643"/>
      <c r="K405" s="643"/>
      <c r="L405" s="643"/>
      <c r="M405" s="643"/>
      <c r="N405" s="643"/>
      <c r="O405" s="643"/>
      <c r="P405" s="643"/>
      <c r="Q405" s="643"/>
      <c r="R405" s="643"/>
      <c r="S405" s="643"/>
      <c r="T405" s="643"/>
      <c r="U405" s="643"/>
      <c r="V405" s="643"/>
      <c r="W405" s="643"/>
      <c r="X405" s="643"/>
      <c r="Y405" s="643"/>
      <c r="Z405" s="643"/>
    </row>
    <row r="406" ht="11.25" customHeight="1">
      <c r="A406" s="646"/>
      <c r="B406" s="643"/>
      <c r="C406" s="644"/>
      <c r="D406" s="643"/>
      <c r="E406" s="643"/>
      <c r="F406" s="643"/>
      <c r="G406" s="643"/>
      <c r="H406" s="643"/>
      <c r="I406" s="643"/>
      <c r="J406" s="643"/>
      <c r="K406" s="643"/>
      <c r="L406" s="643"/>
      <c r="M406" s="643"/>
      <c r="N406" s="643"/>
      <c r="O406" s="643"/>
      <c r="P406" s="643"/>
      <c r="Q406" s="643"/>
      <c r="R406" s="643"/>
      <c r="S406" s="643"/>
      <c r="T406" s="643"/>
      <c r="U406" s="643"/>
      <c r="V406" s="643"/>
      <c r="W406" s="643"/>
      <c r="X406" s="643"/>
      <c r="Y406" s="643"/>
      <c r="Z406" s="643"/>
    </row>
    <row r="407" ht="11.25" customHeight="1">
      <c r="A407" s="646"/>
      <c r="B407" s="643"/>
      <c r="C407" s="644"/>
      <c r="D407" s="643"/>
      <c r="E407" s="643"/>
      <c r="F407" s="643"/>
      <c r="G407" s="643"/>
      <c r="H407" s="643"/>
      <c r="I407" s="643"/>
      <c r="J407" s="643"/>
      <c r="K407" s="643"/>
      <c r="L407" s="643"/>
      <c r="M407" s="643"/>
      <c r="N407" s="643"/>
      <c r="O407" s="643"/>
      <c r="P407" s="643"/>
      <c r="Q407" s="643"/>
      <c r="R407" s="643"/>
      <c r="S407" s="643"/>
      <c r="T407" s="643"/>
      <c r="U407" s="643"/>
      <c r="V407" s="643"/>
      <c r="W407" s="643"/>
      <c r="X407" s="643"/>
      <c r="Y407" s="643"/>
      <c r="Z407" s="643"/>
    </row>
    <row r="408" ht="11.25" customHeight="1">
      <c r="A408" s="646"/>
      <c r="B408" s="643"/>
      <c r="C408" s="644"/>
      <c r="D408" s="643"/>
      <c r="E408" s="643"/>
      <c r="F408" s="643"/>
      <c r="G408" s="643"/>
      <c r="H408" s="643"/>
      <c r="I408" s="643"/>
      <c r="J408" s="643"/>
      <c r="K408" s="643"/>
      <c r="L408" s="643"/>
      <c r="M408" s="643"/>
      <c r="N408" s="643"/>
      <c r="O408" s="643"/>
      <c r="P408" s="643"/>
      <c r="Q408" s="643"/>
      <c r="R408" s="643"/>
      <c r="S408" s="643"/>
      <c r="T408" s="643"/>
      <c r="U408" s="643"/>
      <c r="V408" s="643"/>
      <c r="W408" s="643"/>
      <c r="X408" s="643"/>
      <c r="Y408" s="643"/>
      <c r="Z408" s="643"/>
    </row>
    <row r="409" ht="11.25" customHeight="1">
      <c r="A409" s="646"/>
      <c r="B409" s="643"/>
      <c r="C409" s="644"/>
      <c r="D409" s="643"/>
      <c r="E409" s="643"/>
      <c r="F409" s="643"/>
      <c r="G409" s="643"/>
      <c r="H409" s="643"/>
      <c r="I409" s="643"/>
      <c r="J409" s="643"/>
      <c r="K409" s="643"/>
      <c r="L409" s="643"/>
      <c r="M409" s="643"/>
      <c r="N409" s="643"/>
      <c r="O409" s="643"/>
      <c r="P409" s="643"/>
      <c r="Q409" s="643"/>
      <c r="R409" s="643"/>
      <c r="S409" s="643"/>
      <c r="T409" s="643"/>
      <c r="U409" s="643"/>
      <c r="V409" s="643"/>
      <c r="W409" s="643"/>
      <c r="X409" s="643"/>
      <c r="Y409" s="643"/>
      <c r="Z409" s="643"/>
    </row>
    <row r="410" ht="11.25" customHeight="1">
      <c r="A410" s="646"/>
      <c r="B410" s="643"/>
      <c r="C410" s="644"/>
      <c r="D410" s="643"/>
      <c r="E410" s="643"/>
      <c r="F410" s="643"/>
      <c r="G410" s="643"/>
      <c r="H410" s="643"/>
      <c r="I410" s="643"/>
      <c r="J410" s="643"/>
      <c r="K410" s="643"/>
      <c r="L410" s="643"/>
      <c r="M410" s="643"/>
      <c r="N410" s="643"/>
      <c r="O410" s="643"/>
      <c r="P410" s="643"/>
      <c r="Q410" s="643"/>
      <c r="R410" s="643"/>
      <c r="S410" s="643"/>
      <c r="T410" s="643"/>
      <c r="U410" s="643"/>
      <c r="V410" s="643"/>
      <c r="W410" s="643"/>
      <c r="X410" s="643"/>
      <c r="Y410" s="643"/>
      <c r="Z410" s="643"/>
    </row>
    <row r="411" ht="11.25" customHeight="1">
      <c r="A411" s="646"/>
      <c r="B411" s="643"/>
      <c r="C411" s="644"/>
      <c r="D411" s="643"/>
      <c r="E411" s="643"/>
      <c r="F411" s="643"/>
      <c r="G411" s="643"/>
      <c r="H411" s="643"/>
      <c r="I411" s="643"/>
      <c r="J411" s="643"/>
      <c r="K411" s="643"/>
      <c r="L411" s="643"/>
      <c r="M411" s="643"/>
      <c r="N411" s="643"/>
      <c r="O411" s="643"/>
      <c r="P411" s="643"/>
      <c r="Q411" s="643"/>
      <c r="R411" s="643"/>
      <c r="S411" s="643"/>
      <c r="T411" s="643"/>
      <c r="U411" s="643"/>
      <c r="V411" s="643"/>
      <c r="W411" s="643"/>
      <c r="X411" s="643"/>
      <c r="Y411" s="643"/>
      <c r="Z411" s="643"/>
    </row>
    <row r="412" ht="11.25" customHeight="1">
      <c r="A412" s="646"/>
      <c r="B412" s="643"/>
      <c r="C412" s="644"/>
      <c r="D412" s="643"/>
      <c r="E412" s="643"/>
      <c r="F412" s="643"/>
      <c r="G412" s="643"/>
      <c r="H412" s="643"/>
      <c r="I412" s="643"/>
      <c r="J412" s="643"/>
      <c r="K412" s="643"/>
      <c r="L412" s="643"/>
      <c r="M412" s="643"/>
      <c r="N412" s="643"/>
      <c r="O412" s="643"/>
      <c r="P412" s="643"/>
      <c r="Q412" s="643"/>
      <c r="R412" s="643"/>
      <c r="S412" s="643"/>
      <c r="T412" s="643"/>
      <c r="U412" s="643"/>
      <c r="V412" s="643"/>
      <c r="W412" s="643"/>
      <c r="X412" s="643"/>
      <c r="Y412" s="643"/>
      <c r="Z412" s="643"/>
    </row>
    <row r="413" ht="11.25" customHeight="1">
      <c r="A413" s="646"/>
      <c r="B413" s="643"/>
      <c r="C413" s="644"/>
      <c r="D413" s="643"/>
      <c r="E413" s="643"/>
      <c r="F413" s="643"/>
      <c r="G413" s="643"/>
      <c r="H413" s="643"/>
      <c r="I413" s="643"/>
      <c r="J413" s="643"/>
      <c r="K413" s="643"/>
      <c r="L413" s="643"/>
      <c r="M413" s="643"/>
      <c r="N413" s="643"/>
      <c r="O413" s="643"/>
      <c r="P413" s="643"/>
      <c r="Q413" s="643"/>
      <c r="R413" s="643"/>
      <c r="S413" s="643"/>
      <c r="T413" s="643"/>
      <c r="U413" s="643"/>
      <c r="V413" s="643"/>
      <c r="W413" s="643"/>
      <c r="X413" s="643"/>
      <c r="Y413" s="643"/>
      <c r="Z413" s="643"/>
    </row>
    <row r="414" ht="11.25" customHeight="1">
      <c r="A414" s="646"/>
      <c r="B414" s="643"/>
      <c r="C414" s="644"/>
      <c r="D414" s="643"/>
      <c r="E414" s="643"/>
      <c r="F414" s="643"/>
      <c r="G414" s="643"/>
      <c r="H414" s="643"/>
      <c r="I414" s="643"/>
      <c r="J414" s="643"/>
      <c r="K414" s="643"/>
      <c r="L414" s="643"/>
      <c r="M414" s="643"/>
      <c r="N414" s="643"/>
      <c r="O414" s="643"/>
      <c r="P414" s="643"/>
      <c r="Q414" s="643"/>
      <c r="R414" s="643"/>
      <c r="S414" s="643"/>
      <c r="T414" s="643"/>
      <c r="U414" s="643"/>
      <c r="V414" s="643"/>
      <c r="W414" s="643"/>
      <c r="X414" s="643"/>
      <c r="Y414" s="643"/>
      <c r="Z414" s="643"/>
    </row>
    <row r="415" ht="11.25" customHeight="1">
      <c r="A415" s="646"/>
      <c r="B415" s="643"/>
      <c r="C415" s="644"/>
      <c r="D415" s="643"/>
      <c r="E415" s="643"/>
      <c r="F415" s="643"/>
      <c r="G415" s="643"/>
      <c r="H415" s="643"/>
      <c r="I415" s="643"/>
      <c r="J415" s="643"/>
      <c r="K415" s="643"/>
      <c r="L415" s="643"/>
      <c r="M415" s="643"/>
      <c r="N415" s="643"/>
      <c r="O415" s="643"/>
      <c r="P415" s="643"/>
      <c r="Q415" s="643"/>
      <c r="R415" s="643"/>
      <c r="S415" s="643"/>
      <c r="T415" s="643"/>
      <c r="U415" s="643"/>
      <c r="V415" s="643"/>
      <c r="W415" s="643"/>
      <c r="X415" s="643"/>
      <c r="Y415" s="643"/>
      <c r="Z415" s="643"/>
    </row>
    <row r="416" ht="11.25" customHeight="1">
      <c r="A416" s="646"/>
      <c r="B416" s="643"/>
      <c r="C416" s="644"/>
      <c r="D416" s="643"/>
      <c r="E416" s="643"/>
      <c r="F416" s="643"/>
      <c r="G416" s="643"/>
      <c r="H416" s="643"/>
      <c r="I416" s="643"/>
      <c r="J416" s="643"/>
      <c r="K416" s="643"/>
      <c r="L416" s="643"/>
      <c r="M416" s="643"/>
      <c r="N416" s="643"/>
      <c r="O416" s="643"/>
      <c r="P416" s="643"/>
      <c r="Q416" s="643"/>
      <c r="R416" s="643"/>
      <c r="S416" s="643"/>
      <c r="T416" s="643"/>
      <c r="U416" s="643"/>
      <c r="V416" s="643"/>
      <c r="W416" s="643"/>
      <c r="X416" s="643"/>
      <c r="Y416" s="643"/>
      <c r="Z416" s="643"/>
    </row>
    <row r="417" ht="11.25" customHeight="1">
      <c r="A417" s="646"/>
      <c r="B417" s="643"/>
      <c r="C417" s="644"/>
      <c r="D417" s="643"/>
      <c r="E417" s="643"/>
      <c r="F417" s="643"/>
      <c r="G417" s="643"/>
      <c r="H417" s="643"/>
      <c r="I417" s="643"/>
      <c r="J417" s="643"/>
      <c r="K417" s="643"/>
      <c r="L417" s="643"/>
      <c r="M417" s="643"/>
      <c r="N417" s="643"/>
      <c r="O417" s="643"/>
      <c r="P417" s="643"/>
      <c r="Q417" s="643"/>
      <c r="R417" s="643"/>
      <c r="S417" s="643"/>
      <c r="T417" s="643"/>
      <c r="U417" s="643"/>
      <c r="V417" s="643"/>
      <c r="W417" s="643"/>
      <c r="X417" s="643"/>
      <c r="Y417" s="643"/>
      <c r="Z417" s="643"/>
    </row>
    <row r="418" ht="11.25" customHeight="1">
      <c r="A418" s="646"/>
      <c r="B418" s="643"/>
      <c r="C418" s="644"/>
      <c r="D418" s="643"/>
      <c r="E418" s="643"/>
      <c r="F418" s="643"/>
      <c r="G418" s="643"/>
      <c r="H418" s="643"/>
      <c r="I418" s="643"/>
      <c r="J418" s="643"/>
      <c r="K418" s="643"/>
      <c r="L418" s="643"/>
      <c r="M418" s="643"/>
      <c r="N418" s="643"/>
      <c r="O418" s="643"/>
      <c r="P418" s="643"/>
      <c r="Q418" s="643"/>
      <c r="R418" s="643"/>
      <c r="S418" s="643"/>
      <c r="T418" s="643"/>
      <c r="U418" s="643"/>
      <c r="V418" s="643"/>
      <c r="W418" s="643"/>
      <c r="X418" s="643"/>
      <c r="Y418" s="643"/>
      <c r="Z418" s="643"/>
    </row>
    <row r="419" ht="11.25" customHeight="1">
      <c r="A419" s="646"/>
      <c r="B419" s="643"/>
      <c r="C419" s="644"/>
      <c r="D419" s="643"/>
      <c r="E419" s="643"/>
      <c r="F419" s="643"/>
      <c r="G419" s="643"/>
      <c r="H419" s="643"/>
      <c r="I419" s="643"/>
      <c r="J419" s="643"/>
      <c r="K419" s="643"/>
      <c r="L419" s="643"/>
      <c r="M419" s="643"/>
      <c r="N419" s="643"/>
      <c r="O419" s="643"/>
      <c r="P419" s="643"/>
      <c r="Q419" s="643"/>
      <c r="R419" s="643"/>
      <c r="S419" s="643"/>
      <c r="T419" s="643"/>
      <c r="U419" s="643"/>
      <c r="V419" s="643"/>
      <c r="W419" s="643"/>
      <c r="X419" s="643"/>
      <c r="Y419" s="643"/>
      <c r="Z419" s="643"/>
    </row>
    <row r="420" ht="11.25" customHeight="1">
      <c r="A420" s="646"/>
      <c r="B420" s="643"/>
      <c r="C420" s="644"/>
      <c r="D420" s="643"/>
      <c r="E420" s="643"/>
      <c r="F420" s="643"/>
      <c r="G420" s="643"/>
      <c r="H420" s="643"/>
      <c r="I420" s="643"/>
      <c r="J420" s="643"/>
      <c r="K420" s="643"/>
      <c r="L420" s="643"/>
      <c r="M420" s="643"/>
      <c r="N420" s="643"/>
      <c r="O420" s="643"/>
      <c r="P420" s="643"/>
      <c r="Q420" s="643"/>
      <c r="R420" s="643"/>
      <c r="S420" s="643"/>
      <c r="T420" s="643"/>
      <c r="U420" s="643"/>
      <c r="V420" s="643"/>
      <c r="W420" s="643"/>
      <c r="X420" s="643"/>
      <c r="Y420" s="643"/>
      <c r="Z420" s="643"/>
    </row>
    <row r="421" ht="11.25" customHeight="1">
      <c r="A421" s="646"/>
      <c r="B421" s="643"/>
      <c r="C421" s="644"/>
      <c r="D421" s="643"/>
      <c r="E421" s="643"/>
      <c r="F421" s="643"/>
      <c r="G421" s="643"/>
      <c r="H421" s="643"/>
      <c r="I421" s="643"/>
      <c r="J421" s="643"/>
      <c r="K421" s="643"/>
      <c r="L421" s="643"/>
      <c r="M421" s="643"/>
      <c r="N421" s="643"/>
      <c r="O421" s="643"/>
      <c r="P421" s="643"/>
      <c r="Q421" s="643"/>
      <c r="R421" s="643"/>
      <c r="S421" s="643"/>
      <c r="T421" s="643"/>
      <c r="U421" s="643"/>
      <c r="V421" s="643"/>
      <c r="W421" s="643"/>
      <c r="X421" s="643"/>
      <c r="Y421" s="643"/>
      <c r="Z421" s="643"/>
    </row>
    <row r="422" ht="11.25" customHeight="1">
      <c r="A422" s="646"/>
      <c r="B422" s="643"/>
      <c r="C422" s="644"/>
      <c r="D422" s="643"/>
      <c r="E422" s="643"/>
      <c r="F422" s="643"/>
      <c r="G422" s="643"/>
      <c r="H422" s="643"/>
      <c r="I422" s="643"/>
      <c r="J422" s="643"/>
      <c r="K422" s="643"/>
      <c r="L422" s="643"/>
      <c r="M422" s="643"/>
      <c r="N422" s="643"/>
      <c r="O422" s="643"/>
      <c r="P422" s="643"/>
      <c r="Q422" s="643"/>
      <c r="R422" s="643"/>
      <c r="S422" s="643"/>
      <c r="T422" s="643"/>
      <c r="U422" s="643"/>
      <c r="V422" s="643"/>
      <c r="W422" s="643"/>
      <c r="X422" s="643"/>
      <c r="Y422" s="643"/>
      <c r="Z422" s="643"/>
    </row>
    <row r="423" ht="11.25" customHeight="1">
      <c r="A423" s="646"/>
      <c r="B423" s="643"/>
      <c r="C423" s="644"/>
      <c r="D423" s="643"/>
      <c r="E423" s="643"/>
      <c r="F423" s="643"/>
      <c r="G423" s="643"/>
      <c r="H423" s="643"/>
      <c r="I423" s="643"/>
      <c r="J423" s="643"/>
      <c r="K423" s="643"/>
      <c r="L423" s="643"/>
      <c r="M423" s="643"/>
      <c r="N423" s="643"/>
      <c r="O423" s="643"/>
      <c r="P423" s="643"/>
      <c r="Q423" s="643"/>
      <c r="R423" s="643"/>
      <c r="S423" s="643"/>
      <c r="T423" s="643"/>
      <c r="U423" s="643"/>
      <c r="V423" s="643"/>
      <c r="W423" s="643"/>
      <c r="X423" s="643"/>
      <c r="Y423" s="643"/>
      <c r="Z423" s="643"/>
    </row>
    <row r="424" ht="11.25" customHeight="1">
      <c r="A424" s="646"/>
      <c r="B424" s="643"/>
      <c r="C424" s="644"/>
      <c r="D424" s="643"/>
      <c r="E424" s="643"/>
      <c r="F424" s="643"/>
      <c r="G424" s="643"/>
      <c r="H424" s="643"/>
      <c r="I424" s="643"/>
      <c r="J424" s="643"/>
      <c r="K424" s="643"/>
      <c r="L424" s="643"/>
      <c r="M424" s="643"/>
      <c r="N424" s="643"/>
      <c r="O424" s="643"/>
      <c r="P424" s="643"/>
      <c r="Q424" s="643"/>
      <c r="R424" s="643"/>
      <c r="S424" s="643"/>
      <c r="T424" s="643"/>
      <c r="U424" s="643"/>
      <c r="V424" s="643"/>
      <c r="W424" s="643"/>
      <c r="X424" s="643"/>
      <c r="Y424" s="643"/>
      <c r="Z424" s="643"/>
    </row>
    <row r="425" ht="11.25" customHeight="1">
      <c r="A425" s="646"/>
      <c r="B425" s="643"/>
      <c r="C425" s="644"/>
      <c r="D425" s="643"/>
      <c r="E425" s="643"/>
      <c r="F425" s="643"/>
      <c r="G425" s="643"/>
      <c r="H425" s="643"/>
      <c r="I425" s="643"/>
      <c r="J425" s="643"/>
      <c r="K425" s="643"/>
      <c r="L425" s="643"/>
      <c r="M425" s="643"/>
      <c r="N425" s="643"/>
      <c r="O425" s="643"/>
      <c r="P425" s="643"/>
      <c r="Q425" s="643"/>
      <c r="R425" s="643"/>
      <c r="S425" s="643"/>
      <c r="T425" s="643"/>
      <c r="U425" s="643"/>
      <c r="V425" s="643"/>
      <c r="W425" s="643"/>
      <c r="X425" s="643"/>
      <c r="Y425" s="643"/>
      <c r="Z425" s="643"/>
    </row>
    <row r="426" ht="11.25" customHeight="1">
      <c r="A426" s="646"/>
      <c r="B426" s="643"/>
      <c r="C426" s="644"/>
      <c r="D426" s="643"/>
      <c r="E426" s="643"/>
      <c r="F426" s="643"/>
      <c r="G426" s="643"/>
      <c r="H426" s="643"/>
      <c r="I426" s="643"/>
      <c r="J426" s="643"/>
      <c r="K426" s="643"/>
      <c r="L426" s="643"/>
      <c r="M426" s="643"/>
      <c r="N426" s="643"/>
      <c r="O426" s="643"/>
      <c r="P426" s="643"/>
      <c r="Q426" s="643"/>
      <c r="R426" s="643"/>
      <c r="S426" s="643"/>
      <c r="T426" s="643"/>
      <c r="U426" s="643"/>
      <c r="V426" s="643"/>
      <c r="W426" s="643"/>
      <c r="X426" s="643"/>
      <c r="Y426" s="643"/>
      <c r="Z426" s="643"/>
    </row>
    <row r="427" ht="11.25" customHeight="1">
      <c r="A427" s="646"/>
      <c r="B427" s="643"/>
      <c r="C427" s="644"/>
      <c r="D427" s="643"/>
      <c r="E427" s="643"/>
      <c r="F427" s="643"/>
      <c r="G427" s="643"/>
      <c r="H427" s="643"/>
      <c r="I427" s="643"/>
      <c r="J427" s="643"/>
      <c r="K427" s="643"/>
      <c r="L427" s="643"/>
      <c r="M427" s="643"/>
      <c r="N427" s="643"/>
      <c r="O427" s="643"/>
      <c r="P427" s="643"/>
      <c r="Q427" s="643"/>
      <c r="R427" s="643"/>
      <c r="S427" s="643"/>
      <c r="T427" s="643"/>
      <c r="U427" s="643"/>
      <c r="V427" s="643"/>
      <c r="W427" s="643"/>
      <c r="X427" s="643"/>
      <c r="Y427" s="643"/>
      <c r="Z427" s="643"/>
    </row>
    <row r="428" ht="11.25" customHeight="1">
      <c r="A428" s="646"/>
      <c r="B428" s="643"/>
      <c r="C428" s="644"/>
      <c r="D428" s="643"/>
      <c r="E428" s="643"/>
      <c r="F428" s="643"/>
      <c r="G428" s="643"/>
      <c r="H428" s="643"/>
      <c r="I428" s="643"/>
      <c r="J428" s="643"/>
      <c r="K428" s="643"/>
      <c r="L428" s="643"/>
      <c r="M428" s="643"/>
      <c r="N428" s="643"/>
      <c r="O428" s="643"/>
      <c r="P428" s="643"/>
      <c r="Q428" s="643"/>
      <c r="R428" s="643"/>
      <c r="S428" s="643"/>
      <c r="T428" s="643"/>
      <c r="U428" s="643"/>
      <c r="V428" s="643"/>
      <c r="W428" s="643"/>
      <c r="X428" s="643"/>
      <c r="Y428" s="643"/>
      <c r="Z428" s="643"/>
    </row>
    <row r="429" ht="11.25" customHeight="1">
      <c r="A429" s="646"/>
      <c r="B429" s="643"/>
      <c r="C429" s="644"/>
      <c r="D429" s="643"/>
      <c r="E429" s="643"/>
      <c r="F429" s="643"/>
      <c r="G429" s="643"/>
      <c r="H429" s="643"/>
      <c r="I429" s="643"/>
      <c r="J429" s="643"/>
      <c r="K429" s="643"/>
      <c r="L429" s="643"/>
      <c r="M429" s="643"/>
      <c r="N429" s="643"/>
      <c r="O429" s="643"/>
      <c r="P429" s="643"/>
      <c r="Q429" s="643"/>
      <c r="R429" s="643"/>
      <c r="S429" s="643"/>
      <c r="T429" s="643"/>
      <c r="U429" s="643"/>
      <c r="V429" s="643"/>
      <c r="W429" s="643"/>
      <c r="X429" s="643"/>
      <c r="Y429" s="643"/>
      <c r="Z429" s="643"/>
    </row>
    <row r="430" ht="11.25" customHeight="1">
      <c r="A430" s="646"/>
      <c r="B430" s="643"/>
      <c r="C430" s="644"/>
      <c r="D430" s="643"/>
      <c r="E430" s="643"/>
      <c r="F430" s="643"/>
      <c r="G430" s="643"/>
      <c r="H430" s="643"/>
      <c r="I430" s="643"/>
      <c r="J430" s="643"/>
      <c r="K430" s="643"/>
      <c r="L430" s="643"/>
      <c r="M430" s="643"/>
      <c r="N430" s="643"/>
      <c r="O430" s="643"/>
      <c r="P430" s="643"/>
      <c r="Q430" s="643"/>
      <c r="R430" s="643"/>
      <c r="S430" s="643"/>
      <c r="T430" s="643"/>
      <c r="U430" s="643"/>
      <c r="V430" s="643"/>
      <c r="W430" s="643"/>
      <c r="X430" s="643"/>
      <c r="Y430" s="643"/>
      <c r="Z430" s="643"/>
    </row>
    <row r="431" ht="11.25" customHeight="1">
      <c r="A431" s="646"/>
      <c r="B431" s="643"/>
      <c r="C431" s="644"/>
      <c r="D431" s="643"/>
      <c r="E431" s="643"/>
      <c r="F431" s="643"/>
      <c r="G431" s="643"/>
      <c r="H431" s="643"/>
      <c r="I431" s="643"/>
      <c r="J431" s="643"/>
      <c r="K431" s="643"/>
      <c r="L431" s="643"/>
      <c r="M431" s="643"/>
      <c r="N431" s="643"/>
      <c r="O431" s="643"/>
      <c r="P431" s="643"/>
      <c r="Q431" s="643"/>
      <c r="R431" s="643"/>
      <c r="S431" s="643"/>
      <c r="T431" s="643"/>
      <c r="U431" s="643"/>
      <c r="V431" s="643"/>
      <c r="W431" s="643"/>
      <c r="X431" s="643"/>
      <c r="Y431" s="643"/>
      <c r="Z431" s="643"/>
    </row>
    <row r="432" ht="11.25" customHeight="1">
      <c r="A432" s="646"/>
      <c r="B432" s="643"/>
      <c r="C432" s="644"/>
      <c r="D432" s="643"/>
      <c r="E432" s="643"/>
      <c r="F432" s="643"/>
      <c r="G432" s="643"/>
      <c r="H432" s="643"/>
      <c r="I432" s="643"/>
      <c r="J432" s="643"/>
      <c r="K432" s="643"/>
      <c r="L432" s="643"/>
      <c r="M432" s="643"/>
      <c r="N432" s="643"/>
      <c r="O432" s="643"/>
      <c r="P432" s="643"/>
      <c r="Q432" s="643"/>
      <c r="R432" s="643"/>
      <c r="S432" s="643"/>
      <c r="T432" s="643"/>
      <c r="U432" s="643"/>
      <c r="V432" s="643"/>
      <c r="W432" s="643"/>
      <c r="X432" s="643"/>
      <c r="Y432" s="643"/>
      <c r="Z432" s="643"/>
    </row>
    <row r="433" ht="11.25" customHeight="1">
      <c r="A433" s="646"/>
      <c r="B433" s="643"/>
      <c r="C433" s="644"/>
      <c r="D433" s="643"/>
      <c r="E433" s="643"/>
      <c r="F433" s="643"/>
      <c r="G433" s="643"/>
      <c r="H433" s="643"/>
      <c r="I433" s="643"/>
      <c r="J433" s="643"/>
      <c r="K433" s="643"/>
      <c r="L433" s="643"/>
      <c r="M433" s="643"/>
      <c r="N433" s="643"/>
      <c r="O433" s="643"/>
      <c r="P433" s="643"/>
      <c r="Q433" s="643"/>
      <c r="R433" s="643"/>
      <c r="S433" s="643"/>
      <c r="T433" s="643"/>
      <c r="U433" s="643"/>
      <c r="V433" s="643"/>
      <c r="W433" s="643"/>
      <c r="X433" s="643"/>
      <c r="Y433" s="643"/>
      <c r="Z433" s="643"/>
    </row>
    <row r="434" ht="11.25" customHeight="1">
      <c r="A434" s="646"/>
      <c r="B434" s="643"/>
      <c r="C434" s="644"/>
      <c r="D434" s="643"/>
      <c r="E434" s="643"/>
      <c r="F434" s="643"/>
      <c r="G434" s="643"/>
      <c r="H434" s="643"/>
      <c r="I434" s="643"/>
      <c r="J434" s="643"/>
      <c r="K434" s="643"/>
      <c r="L434" s="643"/>
      <c r="M434" s="643"/>
      <c r="N434" s="643"/>
      <c r="O434" s="643"/>
      <c r="P434" s="643"/>
      <c r="Q434" s="643"/>
      <c r="R434" s="643"/>
      <c r="S434" s="643"/>
      <c r="T434" s="643"/>
      <c r="U434" s="643"/>
      <c r="V434" s="643"/>
      <c r="W434" s="643"/>
      <c r="X434" s="643"/>
      <c r="Y434" s="643"/>
      <c r="Z434" s="643"/>
    </row>
    <row r="435" ht="11.25" customHeight="1">
      <c r="A435" s="646"/>
      <c r="B435" s="643"/>
      <c r="C435" s="644"/>
      <c r="D435" s="643"/>
      <c r="E435" s="643"/>
      <c r="F435" s="643"/>
      <c r="G435" s="643"/>
      <c r="H435" s="643"/>
      <c r="I435" s="643"/>
      <c r="J435" s="643"/>
      <c r="K435" s="643"/>
      <c r="L435" s="643"/>
      <c r="M435" s="643"/>
      <c r="N435" s="643"/>
      <c r="O435" s="643"/>
      <c r="P435" s="643"/>
      <c r="Q435" s="643"/>
      <c r="R435" s="643"/>
      <c r="S435" s="643"/>
      <c r="T435" s="643"/>
      <c r="U435" s="643"/>
      <c r="V435" s="643"/>
      <c r="W435" s="643"/>
      <c r="X435" s="643"/>
      <c r="Y435" s="643"/>
      <c r="Z435" s="643"/>
    </row>
    <row r="436" ht="11.25" customHeight="1">
      <c r="A436" s="646"/>
      <c r="B436" s="643"/>
      <c r="C436" s="644"/>
      <c r="D436" s="643"/>
      <c r="E436" s="643"/>
      <c r="F436" s="643"/>
      <c r="G436" s="643"/>
      <c r="H436" s="643"/>
      <c r="I436" s="643"/>
      <c r="J436" s="643"/>
      <c r="K436" s="643"/>
      <c r="L436" s="643"/>
      <c r="M436" s="643"/>
      <c r="N436" s="643"/>
      <c r="O436" s="643"/>
      <c r="P436" s="643"/>
      <c r="Q436" s="643"/>
      <c r="R436" s="643"/>
      <c r="S436" s="643"/>
      <c r="T436" s="643"/>
      <c r="U436" s="643"/>
      <c r="V436" s="643"/>
      <c r="W436" s="643"/>
      <c r="X436" s="643"/>
      <c r="Y436" s="643"/>
      <c r="Z436" s="643"/>
    </row>
    <row r="437" ht="11.25" customHeight="1">
      <c r="A437" s="646"/>
      <c r="B437" s="643"/>
      <c r="C437" s="644"/>
      <c r="D437" s="643"/>
      <c r="E437" s="643"/>
      <c r="F437" s="643"/>
      <c r="G437" s="643"/>
      <c r="H437" s="643"/>
      <c r="I437" s="643"/>
      <c r="J437" s="643"/>
      <c r="K437" s="643"/>
      <c r="L437" s="643"/>
      <c r="M437" s="643"/>
      <c r="N437" s="643"/>
      <c r="O437" s="643"/>
      <c r="P437" s="643"/>
      <c r="Q437" s="643"/>
      <c r="R437" s="643"/>
      <c r="S437" s="643"/>
      <c r="T437" s="643"/>
      <c r="U437" s="643"/>
      <c r="V437" s="643"/>
      <c r="W437" s="643"/>
      <c r="X437" s="643"/>
      <c r="Y437" s="643"/>
      <c r="Z437" s="643"/>
    </row>
    <row r="438" ht="11.25" customHeight="1">
      <c r="A438" s="646"/>
      <c r="B438" s="643"/>
      <c r="C438" s="644"/>
      <c r="D438" s="643"/>
      <c r="E438" s="643"/>
      <c r="F438" s="643"/>
      <c r="G438" s="643"/>
      <c r="H438" s="643"/>
      <c r="I438" s="643"/>
      <c r="J438" s="643"/>
      <c r="K438" s="643"/>
      <c r="L438" s="643"/>
      <c r="M438" s="643"/>
      <c r="N438" s="643"/>
      <c r="O438" s="643"/>
      <c r="P438" s="643"/>
      <c r="Q438" s="643"/>
      <c r="R438" s="643"/>
      <c r="S438" s="643"/>
      <c r="T438" s="643"/>
      <c r="U438" s="643"/>
      <c r="V438" s="643"/>
      <c r="W438" s="643"/>
      <c r="X438" s="643"/>
      <c r="Y438" s="643"/>
      <c r="Z438" s="643"/>
    </row>
    <row r="439" ht="11.25" customHeight="1">
      <c r="A439" s="646"/>
      <c r="B439" s="643"/>
      <c r="C439" s="644"/>
      <c r="D439" s="643"/>
      <c r="E439" s="643"/>
      <c r="F439" s="643"/>
      <c r="G439" s="643"/>
      <c r="H439" s="643"/>
      <c r="I439" s="643"/>
      <c r="J439" s="643"/>
      <c r="K439" s="643"/>
      <c r="L439" s="643"/>
      <c r="M439" s="643"/>
      <c r="N439" s="643"/>
      <c r="O439" s="643"/>
      <c r="P439" s="643"/>
      <c r="Q439" s="643"/>
      <c r="R439" s="643"/>
      <c r="S439" s="643"/>
      <c r="T439" s="643"/>
      <c r="U439" s="643"/>
      <c r="V439" s="643"/>
      <c r="W439" s="643"/>
      <c r="X439" s="643"/>
      <c r="Y439" s="643"/>
      <c r="Z439" s="643"/>
    </row>
    <row r="440" ht="11.25" customHeight="1">
      <c r="A440" s="646"/>
      <c r="B440" s="643"/>
      <c r="C440" s="644"/>
      <c r="D440" s="643"/>
      <c r="E440" s="643"/>
      <c r="F440" s="643"/>
      <c r="G440" s="643"/>
      <c r="H440" s="643"/>
      <c r="I440" s="643"/>
      <c r="J440" s="643"/>
      <c r="K440" s="643"/>
      <c r="L440" s="643"/>
      <c r="M440" s="643"/>
      <c r="N440" s="643"/>
      <c r="O440" s="643"/>
      <c r="P440" s="643"/>
      <c r="Q440" s="643"/>
      <c r="R440" s="643"/>
      <c r="S440" s="643"/>
      <c r="T440" s="643"/>
      <c r="U440" s="643"/>
      <c r="V440" s="643"/>
      <c r="W440" s="643"/>
      <c r="X440" s="643"/>
      <c r="Y440" s="643"/>
      <c r="Z440" s="643"/>
    </row>
    <row r="441" ht="11.25" customHeight="1">
      <c r="A441" s="646"/>
      <c r="B441" s="643"/>
      <c r="C441" s="644"/>
      <c r="D441" s="643"/>
      <c r="E441" s="643"/>
      <c r="F441" s="643"/>
      <c r="G441" s="643"/>
      <c r="H441" s="643"/>
      <c r="I441" s="643"/>
      <c r="J441" s="643"/>
      <c r="K441" s="643"/>
      <c r="L441" s="643"/>
      <c r="M441" s="643"/>
      <c r="N441" s="643"/>
      <c r="O441" s="643"/>
      <c r="P441" s="643"/>
      <c r="Q441" s="643"/>
      <c r="R441" s="643"/>
      <c r="S441" s="643"/>
      <c r="T441" s="643"/>
      <c r="U441" s="643"/>
      <c r="V441" s="643"/>
      <c r="W441" s="643"/>
      <c r="X441" s="643"/>
      <c r="Y441" s="643"/>
      <c r="Z441" s="643"/>
    </row>
    <row r="442" ht="11.25" customHeight="1">
      <c r="A442" s="646"/>
      <c r="B442" s="643"/>
      <c r="C442" s="644"/>
      <c r="D442" s="643"/>
      <c r="E442" s="643"/>
      <c r="F442" s="643"/>
      <c r="G442" s="643"/>
      <c r="H442" s="643"/>
      <c r="I442" s="643"/>
      <c r="J442" s="643"/>
      <c r="K442" s="643"/>
      <c r="L442" s="643"/>
      <c r="M442" s="643"/>
      <c r="N442" s="643"/>
      <c r="O442" s="643"/>
      <c r="P442" s="643"/>
      <c r="Q442" s="643"/>
      <c r="R442" s="643"/>
      <c r="S442" s="643"/>
      <c r="T442" s="643"/>
      <c r="U442" s="643"/>
      <c r="V442" s="643"/>
      <c r="W442" s="643"/>
      <c r="X442" s="643"/>
      <c r="Y442" s="643"/>
      <c r="Z442" s="643"/>
    </row>
    <row r="443" ht="11.25" customHeight="1">
      <c r="A443" s="646"/>
      <c r="B443" s="643"/>
      <c r="C443" s="644"/>
      <c r="D443" s="643"/>
      <c r="E443" s="643"/>
      <c r="F443" s="643"/>
      <c r="G443" s="643"/>
      <c r="H443" s="643"/>
      <c r="I443" s="643"/>
      <c r="J443" s="643"/>
      <c r="K443" s="643"/>
      <c r="L443" s="643"/>
      <c r="M443" s="643"/>
      <c r="N443" s="643"/>
      <c r="O443" s="643"/>
      <c r="P443" s="643"/>
      <c r="Q443" s="643"/>
      <c r="R443" s="643"/>
      <c r="S443" s="643"/>
      <c r="T443" s="643"/>
      <c r="U443" s="643"/>
      <c r="V443" s="643"/>
      <c r="W443" s="643"/>
      <c r="X443" s="643"/>
      <c r="Y443" s="643"/>
      <c r="Z443" s="643"/>
    </row>
    <row r="444" ht="11.25" customHeight="1">
      <c r="A444" s="646"/>
      <c r="B444" s="643"/>
      <c r="C444" s="644"/>
      <c r="D444" s="643"/>
      <c r="E444" s="643"/>
      <c r="F444" s="643"/>
      <c r="G444" s="643"/>
      <c r="H444" s="643"/>
      <c r="I444" s="643"/>
      <c r="J444" s="643"/>
      <c r="K444" s="643"/>
      <c r="L444" s="643"/>
      <c r="M444" s="643"/>
      <c r="N444" s="643"/>
      <c r="O444" s="643"/>
      <c r="P444" s="643"/>
      <c r="Q444" s="643"/>
      <c r="R444" s="643"/>
      <c r="S444" s="643"/>
      <c r="T444" s="643"/>
      <c r="U444" s="643"/>
      <c r="V444" s="643"/>
      <c r="W444" s="643"/>
      <c r="X444" s="643"/>
      <c r="Y444" s="643"/>
      <c r="Z444" s="643"/>
    </row>
    <row r="445" ht="11.25" customHeight="1">
      <c r="A445" s="646"/>
      <c r="B445" s="643"/>
      <c r="C445" s="644"/>
      <c r="D445" s="643"/>
      <c r="E445" s="643"/>
      <c r="F445" s="643"/>
      <c r="G445" s="643"/>
      <c r="H445" s="643"/>
      <c r="I445" s="643"/>
      <c r="J445" s="643"/>
      <c r="K445" s="643"/>
      <c r="L445" s="643"/>
      <c r="M445" s="643"/>
      <c r="N445" s="643"/>
      <c r="O445" s="643"/>
      <c r="P445" s="643"/>
      <c r="Q445" s="643"/>
      <c r="R445" s="643"/>
      <c r="S445" s="643"/>
      <c r="T445" s="643"/>
      <c r="U445" s="643"/>
      <c r="V445" s="643"/>
      <c r="W445" s="643"/>
      <c r="X445" s="643"/>
      <c r="Y445" s="643"/>
      <c r="Z445" s="643"/>
    </row>
    <row r="446" ht="11.25" customHeight="1">
      <c r="A446" s="646"/>
      <c r="B446" s="643"/>
      <c r="C446" s="644"/>
      <c r="D446" s="643"/>
      <c r="E446" s="643"/>
      <c r="F446" s="643"/>
      <c r="G446" s="643"/>
      <c r="H446" s="643"/>
      <c r="I446" s="643"/>
      <c r="J446" s="643"/>
      <c r="K446" s="643"/>
      <c r="L446" s="643"/>
      <c r="M446" s="643"/>
      <c r="N446" s="643"/>
      <c r="O446" s="643"/>
      <c r="P446" s="643"/>
      <c r="Q446" s="643"/>
      <c r="R446" s="643"/>
      <c r="S446" s="643"/>
      <c r="T446" s="643"/>
      <c r="U446" s="643"/>
      <c r="V446" s="643"/>
      <c r="W446" s="643"/>
      <c r="X446" s="643"/>
      <c r="Y446" s="643"/>
      <c r="Z446" s="643"/>
    </row>
    <row r="447" ht="11.25" customHeight="1">
      <c r="A447" s="646"/>
      <c r="B447" s="643"/>
      <c r="C447" s="644"/>
      <c r="D447" s="643"/>
      <c r="E447" s="643"/>
      <c r="F447" s="643"/>
      <c r="G447" s="643"/>
      <c r="H447" s="643"/>
      <c r="I447" s="643"/>
      <c r="J447" s="643"/>
      <c r="K447" s="643"/>
      <c r="L447" s="643"/>
      <c r="M447" s="643"/>
      <c r="N447" s="643"/>
      <c r="O447" s="643"/>
      <c r="P447" s="643"/>
      <c r="Q447" s="643"/>
      <c r="R447" s="643"/>
      <c r="S447" s="643"/>
      <c r="T447" s="643"/>
      <c r="U447" s="643"/>
      <c r="V447" s="643"/>
      <c r="W447" s="643"/>
      <c r="X447" s="643"/>
      <c r="Y447" s="643"/>
      <c r="Z447" s="643"/>
    </row>
    <row r="448" ht="11.25" customHeight="1">
      <c r="A448" s="646"/>
      <c r="B448" s="643"/>
      <c r="C448" s="644"/>
      <c r="D448" s="643"/>
      <c r="E448" s="643"/>
      <c r="F448" s="643"/>
      <c r="G448" s="643"/>
      <c r="H448" s="643"/>
      <c r="I448" s="643"/>
      <c r="J448" s="643"/>
      <c r="K448" s="643"/>
      <c r="L448" s="643"/>
      <c r="M448" s="643"/>
      <c r="N448" s="643"/>
      <c r="O448" s="643"/>
      <c r="P448" s="643"/>
      <c r="Q448" s="643"/>
      <c r="R448" s="643"/>
      <c r="S448" s="643"/>
      <c r="T448" s="643"/>
      <c r="U448" s="643"/>
      <c r="V448" s="643"/>
      <c r="W448" s="643"/>
      <c r="X448" s="643"/>
      <c r="Y448" s="643"/>
      <c r="Z448" s="643"/>
    </row>
    <row r="449" ht="11.25" customHeight="1">
      <c r="A449" s="646"/>
      <c r="B449" s="643"/>
      <c r="C449" s="644"/>
      <c r="D449" s="643"/>
      <c r="E449" s="643"/>
      <c r="F449" s="643"/>
      <c r="G449" s="643"/>
      <c r="H449" s="643"/>
      <c r="I449" s="643"/>
      <c r="J449" s="643"/>
      <c r="K449" s="643"/>
      <c r="L449" s="643"/>
      <c r="M449" s="643"/>
      <c r="N449" s="643"/>
      <c r="O449" s="643"/>
      <c r="P449" s="643"/>
      <c r="Q449" s="643"/>
      <c r="R449" s="643"/>
      <c r="S449" s="643"/>
      <c r="T449" s="643"/>
      <c r="U449" s="643"/>
      <c r="V449" s="643"/>
      <c r="W449" s="643"/>
      <c r="X449" s="643"/>
      <c r="Y449" s="643"/>
      <c r="Z449" s="643"/>
    </row>
    <row r="450" ht="11.25" customHeight="1">
      <c r="A450" s="646"/>
      <c r="B450" s="643"/>
      <c r="C450" s="644"/>
      <c r="D450" s="643"/>
      <c r="E450" s="643"/>
      <c r="F450" s="643"/>
      <c r="G450" s="643"/>
      <c r="H450" s="643"/>
      <c r="I450" s="643"/>
      <c r="J450" s="643"/>
      <c r="K450" s="643"/>
      <c r="L450" s="643"/>
      <c r="M450" s="643"/>
      <c r="N450" s="643"/>
      <c r="O450" s="643"/>
      <c r="P450" s="643"/>
      <c r="Q450" s="643"/>
      <c r="R450" s="643"/>
      <c r="S450" s="643"/>
      <c r="T450" s="643"/>
      <c r="U450" s="643"/>
      <c r="V450" s="643"/>
      <c r="W450" s="643"/>
      <c r="X450" s="643"/>
      <c r="Y450" s="643"/>
      <c r="Z450" s="643"/>
    </row>
    <row r="451" ht="11.25" customHeight="1">
      <c r="A451" s="646"/>
      <c r="B451" s="643"/>
      <c r="C451" s="644"/>
      <c r="D451" s="643"/>
      <c r="E451" s="643"/>
      <c r="F451" s="643"/>
      <c r="G451" s="643"/>
      <c r="H451" s="643"/>
      <c r="I451" s="643"/>
      <c r="J451" s="643"/>
      <c r="K451" s="643"/>
      <c r="L451" s="643"/>
      <c r="M451" s="643"/>
      <c r="N451" s="643"/>
      <c r="O451" s="643"/>
      <c r="P451" s="643"/>
      <c r="Q451" s="643"/>
      <c r="R451" s="643"/>
      <c r="S451" s="643"/>
      <c r="T451" s="643"/>
      <c r="U451" s="643"/>
      <c r="V451" s="643"/>
      <c r="W451" s="643"/>
      <c r="X451" s="643"/>
      <c r="Y451" s="643"/>
      <c r="Z451" s="643"/>
    </row>
    <row r="452" ht="11.25" customHeight="1">
      <c r="A452" s="646"/>
      <c r="B452" s="643"/>
      <c r="C452" s="644"/>
      <c r="D452" s="643"/>
      <c r="E452" s="643"/>
      <c r="F452" s="643"/>
      <c r="G452" s="643"/>
      <c r="H452" s="643"/>
      <c r="I452" s="643"/>
      <c r="J452" s="643"/>
      <c r="K452" s="643"/>
      <c r="L452" s="643"/>
      <c r="M452" s="643"/>
      <c r="N452" s="643"/>
      <c r="O452" s="643"/>
      <c r="P452" s="643"/>
      <c r="Q452" s="643"/>
      <c r="R452" s="643"/>
      <c r="S452" s="643"/>
      <c r="T452" s="643"/>
      <c r="U452" s="643"/>
      <c r="V452" s="643"/>
      <c r="W452" s="643"/>
      <c r="X452" s="643"/>
      <c r="Y452" s="643"/>
      <c r="Z452" s="643"/>
    </row>
    <row r="453" ht="11.25" customHeight="1">
      <c r="A453" s="646"/>
      <c r="B453" s="643"/>
      <c r="C453" s="644"/>
      <c r="D453" s="643"/>
      <c r="E453" s="643"/>
      <c r="F453" s="643"/>
      <c r="G453" s="643"/>
      <c r="H453" s="643"/>
      <c r="I453" s="643"/>
      <c r="J453" s="643"/>
      <c r="K453" s="643"/>
      <c r="L453" s="643"/>
      <c r="M453" s="643"/>
      <c r="N453" s="643"/>
      <c r="O453" s="643"/>
      <c r="P453" s="643"/>
      <c r="Q453" s="643"/>
      <c r="R453" s="643"/>
      <c r="S453" s="643"/>
      <c r="T453" s="643"/>
      <c r="U453" s="643"/>
      <c r="V453" s="643"/>
      <c r="W453" s="643"/>
      <c r="X453" s="643"/>
      <c r="Y453" s="643"/>
      <c r="Z453" s="643"/>
    </row>
    <row r="454" ht="11.25" customHeight="1">
      <c r="A454" s="646"/>
      <c r="B454" s="643"/>
      <c r="C454" s="644"/>
      <c r="D454" s="643"/>
      <c r="E454" s="643"/>
      <c r="F454" s="643"/>
      <c r="G454" s="643"/>
      <c r="H454" s="643"/>
      <c r="I454" s="643"/>
      <c r="J454" s="643"/>
      <c r="K454" s="643"/>
      <c r="L454" s="643"/>
      <c r="M454" s="643"/>
      <c r="N454" s="643"/>
      <c r="O454" s="643"/>
      <c r="P454" s="643"/>
      <c r="Q454" s="643"/>
      <c r="R454" s="643"/>
      <c r="S454" s="643"/>
      <c r="T454" s="643"/>
      <c r="U454" s="643"/>
      <c r="V454" s="643"/>
      <c r="W454" s="643"/>
      <c r="X454" s="643"/>
      <c r="Y454" s="643"/>
      <c r="Z454" s="643"/>
    </row>
    <row r="455" ht="11.25" customHeight="1">
      <c r="A455" s="646"/>
      <c r="B455" s="643"/>
      <c r="C455" s="644"/>
      <c r="D455" s="643"/>
      <c r="E455" s="643"/>
      <c r="F455" s="643"/>
      <c r="G455" s="643"/>
      <c r="H455" s="643"/>
      <c r="I455" s="643"/>
      <c r="J455" s="643"/>
      <c r="K455" s="643"/>
      <c r="L455" s="643"/>
      <c r="M455" s="643"/>
      <c r="N455" s="643"/>
      <c r="O455" s="643"/>
      <c r="P455" s="643"/>
      <c r="Q455" s="643"/>
      <c r="R455" s="643"/>
      <c r="S455" s="643"/>
      <c r="T455" s="643"/>
      <c r="U455" s="643"/>
      <c r="V455" s="643"/>
      <c r="W455" s="643"/>
      <c r="X455" s="643"/>
      <c r="Y455" s="643"/>
      <c r="Z455" s="643"/>
    </row>
    <row r="456" ht="11.25" customHeight="1">
      <c r="A456" s="646"/>
      <c r="B456" s="643"/>
      <c r="C456" s="644"/>
      <c r="D456" s="643"/>
      <c r="E456" s="643"/>
      <c r="F456" s="643"/>
      <c r="G456" s="643"/>
      <c r="H456" s="643"/>
      <c r="I456" s="643"/>
      <c r="J456" s="643"/>
      <c r="K456" s="643"/>
      <c r="L456" s="643"/>
      <c r="M456" s="643"/>
      <c r="N456" s="643"/>
      <c r="O456" s="643"/>
      <c r="P456" s="643"/>
      <c r="Q456" s="643"/>
      <c r="R456" s="643"/>
      <c r="S456" s="643"/>
      <c r="T456" s="643"/>
      <c r="U456" s="643"/>
      <c r="V456" s="643"/>
      <c r="W456" s="643"/>
      <c r="X456" s="643"/>
      <c r="Y456" s="643"/>
      <c r="Z456" s="643"/>
    </row>
    <row r="457" ht="11.25" customHeight="1">
      <c r="A457" s="646"/>
      <c r="B457" s="643"/>
      <c r="C457" s="644"/>
      <c r="D457" s="643"/>
      <c r="E457" s="643"/>
      <c r="F457" s="643"/>
      <c r="G457" s="643"/>
      <c r="H457" s="643"/>
      <c r="I457" s="643"/>
      <c r="J457" s="643"/>
      <c r="K457" s="643"/>
      <c r="L457" s="643"/>
      <c r="M457" s="643"/>
      <c r="N457" s="643"/>
      <c r="O457" s="643"/>
      <c r="P457" s="643"/>
      <c r="Q457" s="643"/>
      <c r="R457" s="643"/>
      <c r="S457" s="643"/>
      <c r="T457" s="643"/>
      <c r="U457" s="643"/>
      <c r="V457" s="643"/>
      <c r="W457" s="643"/>
      <c r="X457" s="643"/>
      <c r="Y457" s="643"/>
      <c r="Z457" s="643"/>
    </row>
    <row r="458" ht="11.25" customHeight="1">
      <c r="A458" s="646"/>
      <c r="B458" s="643"/>
      <c r="C458" s="644"/>
      <c r="D458" s="643"/>
      <c r="E458" s="643"/>
      <c r="F458" s="643"/>
      <c r="G458" s="643"/>
      <c r="H458" s="643"/>
      <c r="I458" s="643"/>
      <c r="J458" s="643"/>
      <c r="K458" s="643"/>
      <c r="L458" s="643"/>
      <c r="M458" s="643"/>
      <c r="N458" s="643"/>
      <c r="O458" s="643"/>
      <c r="P458" s="643"/>
      <c r="Q458" s="643"/>
      <c r="R458" s="643"/>
      <c r="S458" s="643"/>
      <c r="T458" s="643"/>
      <c r="U458" s="643"/>
      <c r="V458" s="643"/>
      <c r="W458" s="643"/>
      <c r="X458" s="643"/>
      <c r="Y458" s="643"/>
      <c r="Z458" s="643"/>
    </row>
    <row r="459" ht="11.25" customHeight="1">
      <c r="A459" s="646"/>
      <c r="B459" s="643"/>
      <c r="C459" s="644"/>
      <c r="D459" s="643"/>
      <c r="E459" s="643"/>
      <c r="F459" s="643"/>
      <c r="G459" s="643"/>
      <c r="H459" s="643"/>
      <c r="I459" s="643"/>
      <c r="J459" s="643"/>
      <c r="K459" s="643"/>
      <c r="L459" s="643"/>
      <c r="M459" s="643"/>
      <c r="N459" s="643"/>
      <c r="O459" s="643"/>
      <c r="P459" s="643"/>
      <c r="Q459" s="643"/>
      <c r="R459" s="643"/>
      <c r="S459" s="643"/>
      <c r="T459" s="643"/>
      <c r="U459" s="643"/>
      <c r="V459" s="643"/>
      <c r="W459" s="643"/>
      <c r="X459" s="643"/>
      <c r="Y459" s="643"/>
      <c r="Z459" s="643"/>
    </row>
    <row r="460" ht="11.25" customHeight="1">
      <c r="A460" s="646"/>
      <c r="B460" s="643"/>
      <c r="C460" s="644"/>
      <c r="D460" s="643"/>
      <c r="E460" s="643"/>
      <c r="F460" s="643"/>
      <c r="G460" s="643"/>
      <c r="H460" s="643"/>
      <c r="I460" s="643"/>
      <c r="J460" s="643"/>
      <c r="K460" s="643"/>
      <c r="L460" s="643"/>
      <c r="M460" s="643"/>
      <c r="N460" s="643"/>
      <c r="O460" s="643"/>
      <c r="P460" s="643"/>
      <c r="Q460" s="643"/>
      <c r="R460" s="643"/>
      <c r="S460" s="643"/>
      <c r="T460" s="643"/>
      <c r="U460" s="643"/>
      <c r="V460" s="643"/>
      <c r="W460" s="643"/>
      <c r="X460" s="643"/>
      <c r="Y460" s="643"/>
      <c r="Z460" s="643"/>
    </row>
    <row r="461" ht="11.25" customHeight="1">
      <c r="A461" s="646"/>
      <c r="B461" s="643"/>
      <c r="C461" s="644"/>
      <c r="D461" s="643"/>
      <c r="E461" s="643"/>
      <c r="F461" s="643"/>
      <c r="G461" s="643"/>
      <c r="H461" s="643"/>
      <c r="I461" s="643"/>
      <c r="J461" s="643"/>
      <c r="K461" s="643"/>
      <c r="L461" s="643"/>
      <c r="M461" s="643"/>
      <c r="N461" s="643"/>
      <c r="O461" s="643"/>
      <c r="P461" s="643"/>
      <c r="Q461" s="643"/>
      <c r="R461" s="643"/>
      <c r="S461" s="643"/>
      <c r="T461" s="643"/>
      <c r="U461" s="643"/>
      <c r="V461" s="643"/>
      <c r="W461" s="643"/>
      <c r="X461" s="643"/>
      <c r="Y461" s="643"/>
      <c r="Z461" s="643"/>
    </row>
    <row r="462" ht="11.25" customHeight="1">
      <c r="A462" s="646"/>
      <c r="B462" s="643"/>
      <c r="C462" s="644"/>
      <c r="D462" s="643"/>
      <c r="E462" s="643"/>
      <c r="F462" s="643"/>
      <c r="G462" s="643"/>
      <c r="H462" s="643"/>
      <c r="I462" s="643"/>
      <c r="J462" s="643"/>
      <c r="K462" s="643"/>
      <c r="L462" s="643"/>
      <c r="M462" s="643"/>
      <c r="N462" s="643"/>
      <c r="O462" s="643"/>
      <c r="P462" s="643"/>
      <c r="Q462" s="643"/>
      <c r="R462" s="643"/>
      <c r="S462" s="643"/>
      <c r="T462" s="643"/>
      <c r="U462" s="643"/>
      <c r="V462" s="643"/>
      <c r="W462" s="643"/>
      <c r="X462" s="643"/>
      <c r="Y462" s="643"/>
      <c r="Z462" s="643"/>
    </row>
    <row r="463" ht="11.25" customHeight="1">
      <c r="A463" s="646"/>
      <c r="B463" s="643"/>
      <c r="C463" s="644"/>
      <c r="D463" s="643"/>
      <c r="E463" s="643"/>
      <c r="F463" s="643"/>
      <c r="G463" s="643"/>
      <c r="H463" s="643"/>
      <c r="I463" s="643"/>
      <c r="J463" s="643"/>
      <c r="K463" s="643"/>
      <c r="L463" s="643"/>
      <c r="M463" s="643"/>
      <c r="N463" s="643"/>
      <c r="O463" s="643"/>
      <c r="P463" s="643"/>
      <c r="Q463" s="643"/>
      <c r="R463" s="643"/>
      <c r="S463" s="643"/>
      <c r="T463" s="643"/>
      <c r="U463" s="643"/>
      <c r="V463" s="643"/>
      <c r="W463" s="643"/>
      <c r="X463" s="643"/>
      <c r="Y463" s="643"/>
      <c r="Z463" s="643"/>
    </row>
    <row r="464" ht="11.25" customHeight="1">
      <c r="A464" s="646"/>
      <c r="B464" s="643"/>
      <c r="C464" s="644"/>
      <c r="D464" s="643"/>
      <c r="E464" s="643"/>
      <c r="F464" s="643"/>
      <c r="G464" s="643"/>
      <c r="H464" s="643"/>
      <c r="I464" s="643"/>
      <c r="J464" s="643"/>
      <c r="K464" s="643"/>
      <c r="L464" s="643"/>
      <c r="M464" s="643"/>
      <c r="N464" s="643"/>
      <c r="O464" s="643"/>
      <c r="P464" s="643"/>
      <c r="Q464" s="643"/>
      <c r="R464" s="643"/>
      <c r="S464" s="643"/>
      <c r="T464" s="643"/>
      <c r="U464" s="643"/>
      <c r="V464" s="643"/>
      <c r="W464" s="643"/>
      <c r="X464" s="643"/>
      <c r="Y464" s="643"/>
      <c r="Z464" s="643"/>
    </row>
    <row r="465" ht="11.25" customHeight="1">
      <c r="A465" s="646"/>
      <c r="B465" s="643"/>
      <c r="C465" s="644"/>
      <c r="D465" s="643"/>
      <c r="E465" s="643"/>
      <c r="F465" s="643"/>
      <c r="G465" s="643"/>
      <c r="H465" s="643"/>
      <c r="I465" s="643"/>
      <c r="J465" s="643"/>
      <c r="K465" s="643"/>
      <c r="L465" s="643"/>
      <c r="M465" s="643"/>
      <c r="N465" s="643"/>
      <c r="O465" s="643"/>
      <c r="P465" s="643"/>
      <c r="Q465" s="643"/>
      <c r="R465" s="643"/>
      <c r="S465" s="643"/>
      <c r="T465" s="643"/>
      <c r="U465" s="643"/>
      <c r="V465" s="643"/>
      <c r="W465" s="643"/>
      <c r="X465" s="643"/>
      <c r="Y465" s="643"/>
      <c r="Z465" s="643"/>
    </row>
    <row r="466" ht="11.25" customHeight="1">
      <c r="A466" s="646"/>
      <c r="B466" s="643"/>
      <c r="C466" s="644"/>
      <c r="D466" s="643"/>
      <c r="E466" s="643"/>
      <c r="F466" s="643"/>
      <c r="G466" s="643"/>
      <c r="H466" s="643"/>
      <c r="I466" s="643"/>
      <c r="J466" s="643"/>
      <c r="K466" s="643"/>
      <c r="L466" s="643"/>
      <c r="M466" s="643"/>
      <c r="N466" s="643"/>
      <c r="O466" s="643"/>
      <c r="P466" s="643"/>
      <c r="Q466" s="643"/>
      <c r="R466" s="643"/>
      <c r="S466" s="643"/>
      <c r="T466" s="643"/>
      <c r="U466" s="643"/>
      <c r="V466" s="643"/>
      <c r="W466" s="643"/>
      <c r="X466" s="643"/>
      <c r="Y466" s="643"/>
      <c r="Z466" s="643"/>
    </row>
    <row r="467" ht="11.25" customHeight="1">
      <c r="A467" s="646"/>
      <c r="B467" s="643"/>
      <c r="C467" s="644"/>
      <c r="D467" s="643"/>
      <c r="E467" s="643"/>
      <c r="F467" s="643"/>
      <c r="G467" s="643"/>
      <c r="H467" s="643"/>
      <c r="I467" s="643"/>
      <c r="J467" s="643"/>
      <c r="K467" s="643"/>
      <c r="L467" s="643"/>
      <c r="M467" s="643"/>
      <c r="N467" s="643"/>
      <c r="O467" s="643"/>
      <c r="P467" s="643"/>
      <c r="Q467" s="643"/>
      <c r="R467" s="643"/>
      <c r="S467" s="643"/>
      <c r="T467" s="643"/>
      <c r="U467" s="643"/>
      <c r="V467" s="643"/>
      <c r="W467" s="643"/>
      <c r="X467" s="643"/>
      <c r="Y467" s="643"/>
      <c r="Z467" s="643"/>
    </row>
    <row r="468" ht="11.25" customHeight="1">
      <c r="A468" s="646"/>
      <c r="B468" s="643"/>
      <c r="C468" s="644"/>
      <c r="D468" s="643"/>
      <c r="E468" s="643"/>
      <c r="F468" s="643"/>
      <c r="G468" s="643"/>
      <c r="H468" s="643"/>
      <c r="I468" s="643"/>
      <c r="J468" s="643"/>
      <c r="K468" s="643"/>
      <c r="L468" s="643"/>
      <c r="M468" s="643"/>
      <c r="N468" s="643"/>
      <c r="O468" s="643"/>
      <c r="P468" s="643"/>
      <c r="Q468" s="643"/>
      <c r="R468" s="643"/>
      <c r="S468" s="643"/>
      <c r="T468" s="643"/>
      <c r="U468" s="643"/>
      <c r="V468" s="643"/>
      <c r="W468" s="643"/>
      <c r="X468" s="643"/>
      <c r="Y468" s="643"/>
      <c r="Z468" s="643"/>
    </row>
    <row r="469" ht="11.25" customHeight="1">
      <c r="A469" s="646"/>
      <c r="B469" s="643"/>
      <c r="C469" s="644"/>
      <c r="D469" s="643"/>
      <c r="E469" s="643"/>
      <c r="F469" s="643"/>
      <c r="G469" s="643"/>
      <c r="H469" s="643"/>
      <c r="I469" s="643"/>
      <c r="J469" s="643"/>
      <c r="K469" s="643"/>
      <c r="L469" s="643"/>
      <c r="M469" s="643"/>
      <c r="N469" s="643"/>
      <c r="O469" s="643"/>
      <c r="P469" s="643"/>
      <c r="Q469" s="643"/>
      <c r="R469" s="643"/>
      <c r="S469" s="643"/>
      <c r="T469" s="643"/>
      <c r="U469" s="643"/>
      <c r="V469" s="643"/>
      <c r="W469" s="643"/>
      <c r="X469" s="643"/>
      <c r="Y469" s="643"/>
      <c r="Z469" s="643"/>
    </row>
    <row r="470" ht="11.25" customHeight="1">
      <c r="A470" s="646"/>
      <c r="B470" s="643"/>
      <c r="C470" s="644"/>
      <c r="D470" s="643"/>
      <c r="E470" s="643"/>
      <c r="F470" s="643"/>
      <c r="G470" s="643"/>
      <c r="H470" s="643"/>
      <c r="I470" s="643"/>
      <c r="J470" s="643"/>
      <c r="K470" s="643"/>
      <c r="L470" s="643"/>
      <c r="M470" s="643"/>
      <c r="N470" s="643"/>
      <c r="O470" s="643"/>
      <c r="P470" s="643"/>
      <c r="Q470" s="643"/>
      <c r="R470" s="643"/>
      <c r="S470" s="643"/>
      <c r="T470" s="643"/>
      <c r="U470" s="643"/>
      <c r="V470" s="643"/>
      <c r="W470" s="643"/>
      <c r="X470" s="643"/>
      <c r="Y470" s="643"/>
      <c r="Z470" s="643"/>
    </row>
    <row r="471" ht="11.25" customHeight="1">
      <c r="A471" s="646"/>
      <c r="B471" s="643"/>
      <c r="C471" s="644"/>
      <c r="D471" s="643"/>
      <c r="E471" s="643"/>
      <c r="F471" s="643"/>
      <c r="G471" s="643"/>
      <c r="H471" s="643"/>
      <c r="I471" s="643"/>
      <c r="J471" s="643"/>
      <c r="K471" s="643"/>
      <c r="L471" s="643"/>
      <c r="M471" s="643"/>
      <c r="N471" s="643"/>
      <c r="O471" s="643"/>
      <c r="P471" s="643"/>
      <c r="Q471" s="643"/>
      <c r="R471" s="643"/>
      <c r="S471" s="643"/>
      <c r="T471" s="643"/>
      <c r="U471" s="643"/>
      <c r="V471" s="643"/>
      <c r="W471" s="643"/>
      <c r="X471" s="643"/>
      <c r="Y471" s="643"/>
      <c r="Z471" s="643"/>
    </row>
    <row r="472" ht="11.25" customHeight="1">
      <c r="A472" s="646"/>
      <c r="B472" s="643"/>
      <c r="C472" s="644"/>
      <c r="D472" s="643"/>
      <c r="E472" s="643"/>
      <c r="F472" s="643"/>
      <c r="G472" s="643"/>
      <c r="H472" s="643"/>
      <c r="I472" s="643"/>
      <c r="J472" s="643"/>
      <c r="K472" s="643"/>
      <c r="L472" s="643"/>
      <c r="M472" s="643"/>
      <c r="N472" s="643"/>
      <c r="O472" s="643"/>
      <c r="P472" s="643"/>
      <c r="Q472" s="643"/>
      <c r="R472" s="643"/>
      <c r="S472" s="643"/>
      <c r="T472" s="643"/>
      <c r="U472" s="643"/>
      <c r="V472" s="643"/>
      <c r="W472" s="643"/>
      <c r="X472" s="643"/>
      <c r="Y472" s="643"/>
      <c r="Z472" s="643"/>
    </row>
    <row r="473" ht="11.25" customHeight="1">
      <c r="A473" s="646"/>
      <c r="B473" s="643"/>
      <c r="C473" s="644"/>
      <c r="D473" s="643"/>
      <c r="E473" s="643"/>
      <c r="F473" s="643"/>
      <c r="G473" s="643"/>
      <c r="H473" s="643"/>
      <c r="I473" s="643"/>
      <c r="J473" s="643"/>
      <c r="K473" s="643"/>
      <c r="L473" s="643"/>
      <c r="M473" s="643"/>
      <c r="N473" s="643"/>
      <c r="O473" s="643"/>
      <c r="P473" s="643"/>
      <c r="Q473" s="643"/>
      <c r="R473" s="643"/>
      <c r="S473" s="643"/>
      <c r="T473" s="643"/>
      <c r="U473" s="643"/>
      <c r="V473" s="643"/>
      <c r="W473" s="643"/>
      <c r="X473" s="643"/>
      <c r="Y473" s="643"/>
      <c r="Z473" s="643"/>
    </row>
    <row r="474" ht="11.25" customHeight="1">
      <c r="A474" s="646"/>
      <c r="B474" s="643"/>
      <c r="C474" s="644"/>
      <c r="D474" s="643"/>
      <c r="E474" s="643"/>
      <c r="F474" s="643"/>
      <c r="G474" s="643"/>
      <c r="H474" s="643"/>
      <c r="I474" s="643"/>
      <c r="J474" s="643"/>
      <c r="K474" s="643"/>
      <c r="L474" s="643"/>
      <c r="M474" s="643"/>
      <c r="N474" s="643"/>
      <c r="O474" s="643"/>
      <c r="P474" s="643"/>
      <c r="Q474" s="643"/>
      <c r="R474" s="643"/>
      <c r="S474" s="643"/>
      <c r="T474" s="643"/>
      <c r="U474" s="643"/>
      <c r="V474" s="643"/>
      <c r="W474" s="643"/>
      <c r="X474" s="643"/>
      <c r="Y474" s="643"/>
      <c r="Z474" s="643"/>
    </row>
    <row r="475" ht="11.25" customHeight="1">
      <c r="A475" s="646"/>
      <c r="B475" s="643"/>
      <c r="C475" s="644"/>
      <c r="D475" s="643"/>
      <c r="E475" s="643"/>
      <c r="F475" s="643"/>
      <c r="G475" s="643"/>
      <c r="H475" s="643"/>
      <c r="I475" s="643"/>
      <c r="J475" s="643"/>
      <c r="K475" s="643"/>
      <c r="L475" s="643"/>
      <c r="M475" s="643"/>
      <c r="N475" s="643"/>
      <c r="O475" s="643"/>
      <c r="P475" s="643"/>
      <c r="Q475" s="643"/>
      <c r="R475" s="643"/>
      <c r="S475" s="643"/>
      <c r="T475" s="643"/>
      <c r="U475" s="643"/>
      <c r="V475" s="643"/>
      <c r="W475" s="643"/>
      <c r="X475" s="643"/>
      <c r="Y475" s="643"/>
      <c r="Z475" s="643"/>
    </row>
    <row r="476" ht="11.25" customHeight="1">
      <c r="A476" s="646"/>
      <c r="B476" s="643"/>
      <c r="C476" s="644"/>
      <c r="D476" s="643"/>
      <c r="E476" s="643"/>
      <c r="F476" s="643"/>
      <c r="G476" s="643"/>
      <c r="H476" s="643"/>
      <c r="I476" s="643"/>
      <c r="J476" s="643"/>
      <c r="K476" s="643"/>
      <c r="L476" s="643"/>
      <c r="M476" s="643"/>
      <c r="N476" s="643"/>
      <c r="O476" s="643"/>
      <c r="P476" s="643"/>
      <c r="Q476" s="643"/>
      <c r="R476" s="643"/>
      <c r="S476" s="643"/>
      <c r="T476" s="643"/>
      <c r="U476" s="643"/>
      <c r="V476" s="643"/>
      <c r="W476" s="643"/>
      <c r="X476" s="643"/>
      <c r="Y476" s="643"/>
      <c r="Z476" s="643"/>
    </row>
    <row r="477" ht="11.25" customHeight="1">
      <c r="A477" s="646"/>
      <c r="B477" s="643"/>
      <c r="C477" s="644"/>
      <c r="D477" s="643"/>
      <c r="E477" s="643"/>
      <c r="F477" s="643"/>
      <c r="G477" s="643"/>
      <c r="H477" s="643"/>
      <c r="I477" s="643"/>
      <c r="J477" s="643"/>
      <c r="K477" s="643"/>
      <c r="L477" s="643"/>
      <c r="M477" s="643"/>
      <c r="N477" s="643"/>
      <c r="O477" s="643"/>
      <c r="P477" s="643"/>
      <c r="Q477" s="643"/>
      <c r="R477" s="643"/>
      <c r="S477" s="643"/>
      <c r="T477" s="643"/>
      <c r="U477" s="643"/>
      <c r="V477" s="643"/>
      <c r="W477" s="643"/>
      <c r="X477" s="643"/>
      <c r="Y477" s="643"/>
      <c r="Z477" s="643"/>
    </row>
    <row r="478" ht="11.25" customHeight="1">
      <c r="A478" s="646"/>
      <c r="B478" s="643"/>
      <c r="C478" s="644"/>
      <c r="D478" s="643"/>
      <c r="E478" s="643"/>
      <c r="F478" s="643"/>
      <c r="G478" s="643"/>
      <c r="H478" s="643"/>
      <c r="I478" s="643"/>
      <c r="J478" s="643"/>
      <c r="K478" s="643"/>
      <c r="L478" s="643"/>
      <c r="M478" s="643"/>
      <c r="N478" s="643"/>
      <c r="O478" s="643"/>
      <c r="P478" s="643"/>
      <c r="Q478" s="643"/>
      <c r="R478" s="643"/>
      <c r="S478" s="643"/>
      <c r="T478" s="643"/>
      <c r="U478" s="643"/>
      <c r="V478" s="643"/>
      <c r="W478" s="643"/>
      <c r="X478" s="643"/>
      <c r="Y478" s="643"/>
      <c r="Z478" s="643"/>
    </row>
    <row r="479" ht="11.25" customHeight="1">
      <c r="A479" s="646"/>
      <c r="B479" s="643"/>
      <c r="C479" s="644"/>
      <c r="D479" s="643"/>
      <c r="E479" s="643"/>
      <c r="F479" s="643"/>
      <c r="G479" s="643"/>
      <c r="H479" s="643"/>
      <c r="I479" s="643"/>
      <c r="J479" s="643"/>
      <c r="K479" s="643"/>
      <c r="L479" s="643"/>
      <c r="M479" s="643"/>
      <c r="N479" s="643"/>
      <c r="O479" s="643"/>
      <c r="P479" s="643"/>
      <c r="Q479" s="643"/>
      <c r="R479" s="643"/>
      <c r="S479" s="643"/>
      <c r="T479" s="643"/>
      <c r="U479" s="643"/>
      <c r="V479" s="643"/>
      <c r="W479" s="643"/>
      <c r="X479" s="643"/>
      <c r="Y479" s="643"/>
      <c r="Z479" s="643"/>
    </row>
    <row r="480" ht="11.25" customHeight="1">
      <c r="A480" s="646"/>
      <c r="B480" s="643"/>
      <c r="C480" s="644"/>
      <c r="D480" s="643"/>
      <c r="E480" s="643"/>
      <c r="F480" s="643"/>
      <c r="G480" s="643"/>
      <c r="H480" s="643"/>
      <c r="I480" s="643"/>
      <c r="J480" s="643"/>
      <c r="K480" s="643"/>
      <c r="L480" s="643"/>
      <c r="M480" s="643"/>
      <c r="N480" s="643"/>
      <c r="O480" s="643"/>
      <c r="P480" s="643"/>
      <c r="Q480" s="643"/>
      <c r="R480" s="643"/>
      <c r="S480" s="643"/>
      <c r="T480" s="643"/>
      <c r="U480" s="643"/>
      <c r="V480" s="643"/>
      <c r="W480" s="643"/>
      <c r="X480" s="643"/>
      <c r="Y480" s="643"/>
      <c r="Z480" s="643"/>
    </row>
    <row r="481" ht="11.25" customHeight="1">
      <c r="A481" s="646"/>
      <c r="B481" s="643"/>
      <c r="C481" s="644"/>
      <c r="D481" s="643"/>
      <c r="E481" s="643"/>
      <c r="F481" s="643"/>
      <c r="G481" s="643"/>
      <c r="H481" s="643"/>
      <c r="I481" s="643"/>
      <c r="J481" s="643"/>
      <c r="K481" s="643"/>
      <c r="L481" s="643"/>
      <c r="M481" s="643"/>
      <c r="N481" s="643"/>
      <c r="O481" s="643"/>
      <c r="P481" s="643"/>
      <c r="Q481" s="643"/>
      <c r="R481" s="643"/>
      <c r="S481" s="643"/>
      <c r="T481" s="643"/>
      <c r="U481" s="643"/>
      <c r="V481" s="643"/>
      <c r="W481" s="643"/>
      <c r="X481" s="643"/>
      <c r="Y481" s="643"/>
      <c r="Z481" s="643"/>
    </row>
    <row r="482" ht="11.25" customHeight="1">
      <c r="A482" s="646"/>
      <c r="B482" s="643"/>
      <c r="C482" s="644"/>
      <c r="D482" s="643"/>
      <c r="E482" s="643"/>
      <c r="F482" s="643"/>
      <c r="G482" s="643"/>
      <c r="H482" s="643"/>
      <c r="I482" s="643"/>
      <c r="J482" s="643"/>
      <c r="K482" s="643"/>
      <c r="L482" s="643"/>
      <c r="M482" s="643"/>
      <c r="N482" s="643"/>
      <c r="O482" s="643"/>
      <c r="P482" s="643"/>
      <c r="Q482" s="643"/>
      <c r="R482" s="643"/>
      <c r="S482" s="643"/>
      <c r="T482" s="643"/>
      <c r="U482" s="643"/>
      <c r="V482" s="643"/>
      <c r="W482" s="643"/>
      <c r="X482" s="643"/>
      <c r="Y482" s="643"/>
      <c r="Z482" s="643"/>
    </row>
    <row r="483" ht="11.25" customHeight="1">
      <c r="A483" s="646"/>
      <c r="B483" s="643"/>
      <c r="C483" s="644"/>
      <c r="D483" s="643"/>
      <c r="E483" s="643"/>
      <c r="F483" s="643"/>
      <c r="G483" s="643"/>
      <c r="H483" s="643"/>
      <c r="I483" s="643"/>
      <c r="J483" s="643"/>
      <c r="K483" s="643"/>
      <c r="L483" s="643"/>
      <c r="M483" s="643"/>
      <c r="N483" s="643"/>
      <c r="O483" s="643"/>
      <c r="P483" s="643"/>
      <c r="Q483" s="643"/>
      <c r="R483" s="643"/>
      <c r="S483" s="643"/>
      <c r="T483" s="643"/>
      <c r="U483" s="643"/>
      <c r="V483" s="643"/>
      <c r="W483" s="643"/>
      <c r="X483" s="643"/>
      <c r="Y483" s="643"/>
      <c r="Z483" s="643"/>
    </row>
    <row r="484" ht="11.25" customHeight="1">
      <c r="A484" s="646"/>
      <c r="B484" s="643"/>
      <c r="C484" s="644"/>
      <c r="D484" s="643"/>
      <c r="E484" s="643"/>
      <c r="F484" s="643"/>
      <c r="G484" s="643"/>
      <c r="H484" s="643"/>
      <c r="I484" s="643"/>
      <c r="J484" s="643"/>
      <c r="K484" s="643"/>
      <c r="L484" s="643"/>
      <c r="M484" s="643"/>
      <c r="N484" s="643"/>
      <c r="O484" s="643"/>
      <c r="P484" s="643"/>
      <c r="Q484" s="643"/>
      <c r="R484" s="643"/>
      <c r="S484" s="643"/>
      <c r="T484" s="643"/>
      <c r="U484" s="643"/>
      <c r="V484" s="643"/>
      <c r="W484" s="643"/>
      <c r="X484" s="643"/>
      <c r="Y484" s="643"/>
      <c r="Z484" s="643"/>
    </row>
    <row r="485" ht="11.25" customHeight="1">
      <c r="A485" s="646"/>
      <c r="B485" s="643"/>
      <c r="C485" s="644"/>
      <c r="D485" s="643"/>
      <c r="E485" s="643"/>
      <c r="F485" s="643"/>
      <c r="G485" s="643"/>
      <c r="H485" s="643"/>
      <c r="I485" s="643"/>
      <c r="J485" s="643"/>
      <c r="K485" s="643"/>
      <c r="L485" s="643"/>
      <c r="M485" s="643"/>
      <c r="N485" s="643"/>
      <c r="O485" s="643"/>
      <c r="P485" s="643"/>
      <c r="Q485" s="643"/>
      <c r="R485" s="643"/>
      <c r="S485" s="643"/>
      <c r="T485" s="643"/>
      <c r="U485" s="643"/>
      <c r="V485" s="643"/>
      <c r="W485" s="643"/>
      <c r="X485" s="643"/>
      <c r="Y485" s="643"/>
      <c r="Z485" s="643"/>
    </row>
    <row r="486" ht="11.25" customHeight="1">
      <c r="A486" s="646"/>
      <c r="B486" s="643"/>
      <c r="C486" s="644"/>
      <c r="D486" s="643"/>
      <c r="E486" s="643"/>
      <c r="F486" s="643"/>
      <c r="G486" s="643"/>
      <c r="H486" s="643"/>
      <c r="I486" s="643"/>
      <c r="J486" s="643"/>
      <c r="K486" s="643"/>
      <c r="L486" s="643"/>
      <c r="M486" s="643"/>
      <c r="N486" s="643"/>
      <c r="O486" s="643"/>
      <c r="P486" s="643"/>
      <c r="Q486" s="643"/>
      <c r="R486" s="643"/>
      <c r="S486" s="643"/>
      <c r="T486" s="643"/>
      <c r="U486" s="643"/>
      <c r="V486" s="643"/>
      <c r="W486" s="643"/>
      <c r="X486" s="643"/>
      <c r="Y486" s="643"/>
      <c r="Z486" s="643"/>
    </row>
    <row r="487" ht="11.25" customHeight="1">
      <c r="A487" s="646"/>
      <c r="B487" s="643"/>
      <c r="C487" s="644"/>
      <c r="D487" s="643"/>
      <c r="E487" s="643"/>
      <c r="F487" s="643"/>
      <c r="G487" s="643"/>
      <c r="H487" s="643"/>
      <c r="I487" s="643"/>
      <c r="J487" s="643"/>
      <c r="K487" s="643"/>
      <c r="L487" s="643"/>
      <c r="M487" s="643"/>
      <c r="N487" s="643"/>
      <c r="O487" s="643"/>
      <c r="P487" s="643"/>
      <c r="Q487" s="643"/>
      <c r="R487" s="643"/>
      <c r="S487" s="643"/>
      <c r="T487" s="643"/>
      <c r="U487" s="643"/>
      <c r="V487" s="643"/>
      <c r="W487" s="643"/>
      <c r="X487" s="643"/>
      <c r="Y487" s="643"/>
      <c r="Z487" s="643"/>
    </row>
    <row r="488" ht="11.25" customHeight="1">
      <c r="A488" s="646"/>
      <c r="B488" s="643"/>
      <c r="C488" s="644"/>
      <c r="D488" s="643"/>
      <c r="E488" s="643"/>
      <c r="F488" s="643"/>
      <c r="G488" s="643"/>
      <c r="H488" s="643"/>
      <c r="I488" s="643"/>
      <c r="J488" s="643"/>
      <c r="K488" s="643"/>
      <c r="L488" s="643"/>
      <c r="M488" s="643"/>
      <c r="N488" s="643"/>
      <c r="O488" s="643"/>
      <c r="P488" s="643"/>
      <c r="Q488" s="643"/>
      <c r="R488" s="643"/>
      <c r="S488" s="643"/>
      <c r="T488" s="643"/>
      <c r="U488" s="643"/>
      <c r="V488" s="643"/>
      <c r="W488" s="643"/>
      <c r="X488" s="643"/>
      <c r="Y488" s="643"/>
      <c r="Z488" s="643"/>
    </row>
    <row r="489" ht="11.25" customHeight="1">
      <c r="A489" s="646"/>
      <c r="B489" s="643"/>
      <c r="C489" s="644"/>
      <c r="D489" s="643"/>
      <c r="E489" s="643"/>
      <c r="F489" s="643"/>
      <c r="G489" s="643"/>
      <c r="H489" s="643"/>
      <c r="I489" s="643"/>
      <c r="J489" s="643"/>
      <c r="K489" s="643"/>
      <c r="L489" s="643"/>
      <c r="M489" s="643"/>
      <c r="N489" s="643"/>
      <c r="O489" s="643"/>
      <c r="P489" s="643"/>
      <c r="Q489" s="643"/>
      <c r="R489" s="643"/>
      <c r="S489" s="643"/>
      <c r="T489" s="643"/>
      <c r="U489" s="643"/>
      <c r="V489" s="643"/>
      <c r="W489" s="643"/>
      <c r="X489" s="643"/>
      <c r="Y489" s="643"/>
      <c r="Z489" s="643"/>
    </row>
    <row r="490" ht="11.25" customHeight="1">
      <c r="A490" s="646"/>
      <c r="B490" s="643"/>
      <c r="C490" s="644"/>
      <c r="D490" s="643"/>
      <c r="E490" s="643"/>
      <c r="F490" s="643"/>
      <c r="G490" s="643"/>
      <c r="H490" s="643"/>
      <c r="I490" s="643"/>
      <c r="J490" s="643"/>
      <c r="K490" s="643"/>
      <c r="L490" s="643"/>
      <c r="M490" s="643"/>
      <c r="N490" s="643"/>
      <c r="O490" s="643"/>
      <c r="P490" s="643"/>
      <c r="Q490" s="643"/>
      <c r="R490" s="643"/>
      <c r="S490" s="643"/>
      <c r="T490" s="643"/>
      <c r="U490" s="643"/>
      <c r="V490" s="643"/>
      <c r="W490" s="643"/>
      <c r="X490" s="643"/>
      <c r="Y490" s="643"/>
      <c r="Z490" s="643"/>
    </row>
    <row r="491" ht="11.25" customHeight="1">
      <c r="A491" s="646"/>
      <c r="B491" s="643"/>
      <c r="C491" s="644"/>
      <c r="D491" s="643"/>
      <c r="E491" s="643"/>
      <c r="F491" s="643"/>
      <c r="G491" s="643"/>
      <c r="H491" s="643"/>
      <c r="I491" s="643"/>
      <c r="J491" s="643"/>
      <c r="K491" s="643"/>
      <c r="L491" s="643"/>
      <c r="M491" s="643"/>
      <c r="N491" s="643"/>
      <c r="O491" s="643"/>
      <c r="P491" s="643"/>
      <c r="Q491" s="643"/>
      <c r="R491" s="643"/>
      <c r="S491" s="643"/>
      <c r="T491" s="643"/>
      <c r="U491" s="643"/>
      <c r="V491" s="643"/>
      <c r="W491" s="643"/>
      <c r="X491" s="643"/>
      <c r="Y491" s="643"/>
      <c r="Z491" s="643"/>
    </row>
    <row r="492" ht="11.25" customHeight="1">
      <c r="A492" s="646"/>
      <c r="B492" s="643"/>
      <c r="C492" s="644"/>
      <c r="D492" s="643"/>
      <c r="E492" s="643"/>
      <c r="F492" s="643"/>
      <c r="G492" s="643"/>
      <c r="H492" s="643"/>
      <c r="I492" s="643"/>
      <c r="J492" s="643"/>
      <c r="K492" s="643"/>
      <c r="L492" s="643"/>
      <c r="M492" s="643"/>
      <c r="N492" s="643"/>
      <c r="O492" s="643"/>
      <c r="P492" s="643"/>
      <c r="Q492" s="643"/>
      <c r="R492" s="643"/>
      <c r="S492" s="643"/>
      <c r="T492" s="643"/>
      <c r="U492" s="643"/>
      <c r="V492" s="643"/>
      <c r="W492" s="643"/>
      <c r="X492" s="643"/>
      <c r="Y492" s="643"/>
      <c r="Z492" s="643"/>
    </row>
    <row r="493" ht="11.25" customHeight="1">
      <c r="A493" s="646"/>
      <c r="B493" s="643"/>
      <c r="C493" s="644"/>
      <c r="D493" s="643"/>
      <c r="E493" s="643"/>
      <c r="F493" s="643"/>
      <c r="G493" s="643"/>
      <c r="H493" s="643"/>
      <c r="I493" s="643"/>
      <c r="J493" s="643"/>
      <c r="K493" s="643"/>
      <c r="L493" s="643"/>
      <c r="M493" s="643"/>
      <c r="N493" s="643"/>
      <c r="O493" s="643"/>
      <c r="P493" s="643"/>
      <c r="Q493" s="643"/>
      <c r="R493" s="643"/>
      <c r="S493" s="643"/>
      <c r="T493" s="643"/>
      <c r="U493" s="643"/>
      <c r="V493" s="643"/>
      <c r="W493" s="643"/>
      <c r="X493" s="643"/>
      <c r="Y493" s="643"/>
      <c r="Z493" s="643"/>
    </row>
    <row r="494" ht="11.25" customHeight="1">
      <c r="A494" s="646"/>
      <c r="B494" s="643"/>
      <c r="C494" s="644"/>
      <c r="D494" s="643"/>
      <c r="E494" s="643"/>
      <c r="F494" s="643"/>
      <c r="G494" s="643"/>
      <c r="H494" s="643"/>
      <c r="I494" s="643"/>
      <c r="J494" s="643"/>
      <c r="K494" s="643"/>
      <c r="L494" s="643"/>
      <c r="M494" s="643"/>
      <c r="N494" s="643"/>
      <c r="O494" s="643"/>
      <c r="P494" s="643"/>
      <c r="Q494" s="643"/>
      <c r="R494" s="643"/>
      <c r="S494" s="643"/>
      <c r="T494" s="643"/>
      <c r="U494" s="643"/>
      <c r="V494" s="643"/>
      <c r="W494" s="643"/>
      <c r="X494" s="643"/>
      <c r="Y494" s="643"/>
      <c r="Z494" s="643"/>
    </row>
    <row r="495" ht="11.25" customHeight="1">
      <c r="A495" s="646"/>
      <c r="B495" s="643"/>
      <c r="C495" s="644"/>
      <c r="D495" s="643"/>
      <c r="E495" s="643"/>
      <c r="F495" s="643"/>
      <c r="G495" s="643"/>
      <c r="H495" s="643"/>
      <c r="I495" s="643"/>
      <c r="J495" s="643"/>
      <c r="K495" s="643"/>
      <c r="L495" s="643"/>
      <c r="M495" s="643"/>
      <c r="N495" s="643"/>
      <c r="O495" s="643"/>
      <c r="P495" s="643"/>
      <c r="Q495" s="643"/>
      <c r="R495" s="643"/>
      <c r="S495" s="643"/>
      <c r="T495" s="643"/>
      <c r="U495" s="643"/>
      <c r="V495" s="643"/>
      <c r="W495" s="643"/>
      <c r="X495" s="643"/>
      <c r="Y495" s="643"/>
      <c r="Z495" s="643"/>
    </row>
    <row r="496" ht="11.25" customHeight="1">
      <c r="A496" s="646"/>
      <c r="B496" s="643"/>
      <c r="C496" s="644"/>
      <c r="D496" s="643"/>
      <c r="E496" s="643"/>
      <c r="F496" s="643"/>
      <c r="G496" s="643"/>
      <c r="H496" s="643"/>
      <c r="I496" s="643"/>
      <c r="J496" s="643"/>
      <c r="K496" s="643"/>
      <c r="L496" s="643"/>
      <c r="M496" s="643"/>
      <c r="N496" s="643"/>
      <c r="O496" s="643"/>
      <c r="P496" s="643"/>
      <c r="Q496" s="643"/>
      <c r="R496" s="643"/>
      <c r="S496" s="643"/>
      <c r="T496" s="643"/>
      <c r="U496" s="643"/>
      <c r="V496" s="643"/>
      <c r="W496" s="643"/>
      <c r="X496" s="643"/>
      <c r="Y496" s="643"/>
      <c r="Z496" s="643"/>
    </row>
    <row r="497" ht="11.25" customHeight="1">
      <c r="A497" s="646"/>
      <c r="B497" s="643"/>
      <c r="C497" s="644"/>
      <c r="D497" s="643"/>
      <c r="E497" s="643"/>
      <c r="F497" s="643"/>
      <c r="G497" s="643"/>
      <c r="H497" s="643"/>
      <c r="I497" s="643"/>
      <c r="J497" s="643"/>
      <c r="K497" s="643"/>
      <c r="L497" s="643"/>
      <c r="M497" s="643"/>
      <c r="N497" s="643"/>
      <c r="O497" s="643"/>
      <c r="P497" s="643"/>
      <c r="Q497" s="643"/>
      <c r="R497" s="643"/>
      <c r="S497" s="643"/>
      <c r="T497" s="643"/>
      <c r="U497" s="643"/>
      <c r="V497" s="643"/>
      <c r="W497" s="643"/>
      <c r="X497" s="643"/>
      <c r="Y497" s="643"/>
      <c r="Z497" s="643"/>
    </row>
    <row r="498" ht="11.25" customHeight="1">
      <c r="A498" s="646"/>
      <c r="B498" s="643"/>
      <c r="C498" s="644"/>
      <c r="D498" s="643"/>
      <c r="E498" s="643"/>
      <c r="F498" s="643"/>
      <c r="G498" s="643"/>
      <c r="H498" s="643"/>
      <c r="I498" s="643"/>
      <c r="J498" s="643"/>
      <c r="K498" s="643"/>
      <c r="L498" s="643"/>
      <c r="M498" s="643"/>
      <c r="N498" s="643"/>
      <c r="O498" s="643"/>
      <c r="P498" s="643"/>
      <c r="Q498" s="643"/>
      <c r="R498" s="643"/>
      <c r="S498" s="643"/>
      <c r="T498" s="643"/>
      <c r="U498" s="643"/>
      <c r="V498" s="643"/>
      <c r="W498" s="643"/>
      <c r="X498" s="643"/>
      <c r="Y498" s="643"/>
      <c r="Z498" s="643"/>
    </row>
    <row r="499" ht="11.25" customHeight="1">
      <c r="A499" s="646"/>
      <c r="B499" s="643"/>
      <c r="C499" s="644"/>
      <c r="D499" s="643"/>
      <c r="E499" s="643"/>
      <c r="F499" s="643"/>
      <c r="G499" s="643"/>
      <c r="H499" s="643"/>
      <c r="I499" s="643"/>
      <c r="J499" s="643"/>
      <c r="K499" s="643"/>
      <c r="L499" s="643"/>
      <c r="M499" s="643"/>
      <c r="N499" s="643"/>
      <c r="O499" s="643"/>
      <c r="P499" s="643"/>
      <c r="Q499" s="643"/>
      <c r="R499" s="643"/>
      <c r="S499" s="643"/>
      <c r="T499" s="643"/>
      <c r="U499" s="643"/>
      <c r="V499" s="643"/>
      <c r="W499" s="643"/>
      <c r="X499" s="643"/>
      <c r="Y499" s="643"/>
      <c r="Z499" s="643"/>
    </row>
    <row r="500" ht="11.25" customHeight="1">
      <c r="A500" s="646"/>
      <c r="B500" s="643"/>
      <c r="C500" s="644"/>
      <c r="D500" s="643"/>
      <c r="E500" s="643"/>
      <c r="F500" s="643"/>
      <c r="G500" s="643"/>
      <c r="H500" s="643"/>
      <c r="I500" s="643"/>
      <c r="J500" s="643"/>
      <c r="K500" s="643"/>
      <c r="L500" s="643"/>
      <c r="M500" s="643"/>
      <c r="N500" s="643"/>
      <c r="O500" s="643"/>
      <c r="P500" s="643"/>
      <c r="Q500" s="643"/>
      <c r="R500" s="643"/>
      <c r="S500" s="643"/>
      <c r="T500" s="643"/>
      <c r="U500" s="643"/>
      <c r="V500" s="643"/>
      <c r="W500" s="643"/>
      <c r="X500" s="643"/>
      <c r="Y500" s="643"/>
      <c r="Z500" s="643"/>
    </row>
    <row r="501" ht="11.25" customHeight="1">
      <c r="A501" s="646"/>
      <c r="B501" s="643"/>
      <c r="C501" s="644"/>
      <c r="D501" s="643"/>
      <c r="E501" s="643"/>
      <c r="F501" s="643"/>
      <c r="G501" s="643"/>
      <c r="H501" s="643"/>
      <c r="I501" s="643"/>
      <c r="J501" s="643"/>
      <c r="K501" s="643"/>
      <c r="L501" s="643"/>
      <c r="M501" s="643"/>
      <c r="N501" s="643"/>
      <c r="O501" s="643"/>
      <c r="P501" s="643"/>
      <c r="Q501" s="643"/>
      <c r="R501" s="643"/>
      <c r="S501" s="643"/>
      <c r="T501" s="643"/>
      <c r="U501" s="643"/>
      <c r="V501" s="643"/>
      <c r="W501" s="643"/>
      <c r="X501" s="643"/>
      <c r="Y501" s="643"/>
      <c r="Z501" s="643"/>
    </row>
    <row r="502" ht="11.25" customHeight="1">
      <c r="A502" s="646"/>
      <c r="B502" s="643"/>
      <c r="C502" s="644"/>
      <c r="D502" s="643"/>
      <c r="E502" s="643"/>
      <c r="F502" s="643"/>
      <c r="G502" s="643"/>
      <c r="H502" s="643"/>
      <c r="I502" s="643"/>
      <c r="J502" s="643"/>
      <c r="K502" s="643"/>
      <c r="L502" s="643"/>
      <c r="M502" s="643"/>
      <c r="N502" s="643"/>
      <c r="O502" s="643"/>
      <c r="P502" s="643"/>
      <c r="Q502" s="643"/>
      <c r="R502" s="643"/>
      <c r="S502" s="643"/>
      <c r="T502" s="643"/>
      <c r="U502" s="643"/>
      <c r="V502" s="643"/>
      <c r="W502" s="643"/>
      <c r="X502" s="643"/>
      <c r="Y502" s="643"/>
      <c r="Z502" s="643"/>
    </row>
    <row r="503" ht="11.25" customHeight="1">
      <c r="A503" s="646"/>
      <c r="B503" s="643"/>
      <c r="C503" s="644"/>
      <c r="D503" s="643"/>
      <c r="E503" s="643"/>
      <c r="F503" s="643"/>
      <c r="G503" s="643"/>
      <c r="H503" s="643"/>
      <c r="I503" s="643"/>
      <c r="J503" s="643"/>
      <c r="K503" s="643"/>
      <c r="L503" s="643"/>
      <c r="M503" s="643"/>
      <c r="N503" s="643"/>
      <c r="O503" s="643"/>
      <c r="P503" s="643"/>
      <c r="Q503" s="643"/>
      <c r="R503" s="643"/>
      <c r="S503" s="643"/>
      <c r="T503" s="643"/>
      <c r="U503" s="643"/>
      <c r="V503" s="643"/>
      <c r="W503" s="643"/>
      <c r="X503" s="643"/>
      <c r="Y503" s="643"/>
      <c r="Z503" s="643"/>
    </row>
    <row r="504" ht="11.25" customHeight="1">
      <c r="A504" s="646"/>
      <c r="B504" s="643"/>
      <c r="C504" s="644"/>
      <c r="D504" s="643"/>
      <c r="E504" s="643"/>
      <c r="F504" s="643"/>
      <c r="G504" s="643"/>
      <c r="H504" s="643"/>
      <c r="I504" s="643"/>
      <c r="J504" s="643"/>
      <c r="K504" s="643"/>
      <c r="L504" s="643"/>
      <c r="M504" s="643"/>
      <c r="N504" s="643"/>
      <c r="O504" s="643"/>
      <c r="P504" s="643"/>
      <c r="Q504" s="643"/>
      <c r="R504" s="643"/>
      <c r="S504" s="643"/>
      <c r="T504" s="643"/>
      <c r="U504" s="643"/>
      <c r="V504" s="643"/>
      <c r="W504" s="643"/>
      <c r="X504" s="643"/>
      <c r="Y504" s="643"/>
      <c r="Z504" s="643"/>
    </row>
    <row r="505" ht="11.25" customHeight="1">
      <c r="A505" s="646"/>
      <c r="B505" s="643"/>
      <c r="C505" s="644"/>
      <c r="D505" s="643"/>
      <c r="E505" s="643"/>
      <c r="F505" s="643"/>
      <c r="G505" s="643"/>
      <c r="H505" s="643"/>
      <c r="I505" s="643"/>
      <c r="J505" s="643"/>
      <c r="K505" s="643"/>
      <c r="L505" s="643"/>
      <c r="M505" s="643"/>
      <c r="N505" s="643"/>
      <c r="O505" s="643"/>
      <c r="P505" s="643"/>
      <c r="Q505" s="643"/>
      <c r="R505" s="643"/>
      <c r="S505" s="643"/>
      <c r="T505" s="643"/>
      <c r="U505" s="643"/>
      <c r="V505" s="643"/>
      <c r="W505" s="643"/>
      <c r="X505" s="643"/>
      <c r="Y505" s="643"/>
      <c r="Z505" s="643"/>
    </row>
    <row r="506" ht="11.25" customHeight="1">
      <c r="A506" s="646"/>
      <c r="B506" s="643"/>
      <c r="C506" s="644"/>
      <c r="D506" s="643"/>
      <c r="E506" s="643"/>
      <c r="F506" s="643"/>
      <c r="G506" s="643"/>
      <c r="H506" s="643"/>
      <c r="I506" s="643"/>
      <c r="J506" s="643"/>
      <c r="K506" s="643"/>
      <c r="L506" s="643"/>
      <c r="M506" s="643"/>
      <c r="N506" s="643"/>
      <c r="O506" s="643"/>
      <c r="P506" s="643"/>
      <c r="Q506" s="643"/>
      <c r="R506" s="643"/>
      <c r="S506" s="643"/>
      <c r="T506" s="643"/>
      <c r="U506" s="643"/>
      <c r="V506" s="643"/>
      <c r="W506" s="643"/>
      <c r="X506" s="643"/>
      <c r="Y506" s="643"/>
      <c r="Z506" s="643"/>
    </row>
    <row r="507" ht="11.25" customHeight="1">
      <c r="A507" s="646"/>
      <c r="B507" s="643"/>
      <c r="C507" s="644"/>
      <c r="D507" s="643"/>
      <c r="E507" s="643"/>
      <c r="F507" s="643"/>
      <c r="G507" s="643"/>
      <c r="H507" s="643"/>
      <c r="I507" s="643"/>
      <c r="J507" s="643"/>
      <c r="K507" s="643"/>
      <c r="L507" s="643"/>
      <c r="M507" s="643"/>
      <c r="N507" s="643"/>
      <c r="O507" s="643"/>
      <c r="P507" s="643"/>
      <c r="Q507" s="643"/>
      <c r="R507" s="643"/>
      <c r="S507" s="643"/>
      <c r="T507" s="643"/>
      <c r="U507" s="643"/>
      <c r="V507" s="643"/>
      <c r="W507" s="643"/>
      <c r="X507" s="643"/>
      <c r="Y507" s="643"/>
      <c r="Z507" s="643"/>
    </row>
    <row r="508" ht="11.25" customHeight="1">
      <c r="A508" s="646"/>
      <c r="B508" s="643"/>
      <c r="C508" s="644"/>
      <c r="D508" s="643"/>
      <c r="E508" s="643"/>
      <c r="F508" s="643"/>
      <c r="G508" s="643"/>
      <c r="H508" s="643"/>
      <c r="I508" s="643"/>
      <c r="J508" s="643"/>
      <c r="K508" s="643"/>
      <c r="L508" s="643"/>
      <c r="M508" s="643"/>
      <c r="N508" s="643"/>
      <c r="O508" s="643"/>
      <c r="P508" s="643"/>
      <c r="Q508" s="643"/>
      <c r="R508" s="643"/>
      <c r="S508" s="643"/>
      <c r="T508" s="643"/>
      <c r="U508" s="643"/>
      <c r="V508" s="643"/>
      <c r="W508" s="643"/>
      <c r="X508" s="643"/>
      <c r="Y508" s="643"/>
      <c r="Z508" s="643"/>
    </row>
    <row r="509" ht="11.25" customHeight="1">
      <c r="A509" s="646"/>
      <c r="B509" s="643"/>
      <c r="C509" s="644"/>
      <c r="D509" s="643"/>
      <c r="E509" s="643"/>
      <c r="F509" s="643"/>
      <c r="G509" s="643"/>
      <c r="H509" s="643"/>
      <c r="I509" s="643"/>
      <c r="J509" s="643"/>
      <c r="K509" s="643"/>
      <c r="L509" s="643"/>
      <c r="M509" s="643"/>
      <c r="N509" s="643"/>
      <c r="O509" s="643"/>
      <c r="P509" s="643"/>
      <c r="Q509" s="643"/>
      <c r="R509" s="643"/>
      <c r="S509" s="643"/>
      <c r="T509" s="643"/>
      <c r="U509" s="643"/>
      <c r="V509" s="643"/>
      <c r="W509" s="643"/>
      <c r="X509" s="643"/>
      <c r="Y509" s="643"/>
      <c r="Z509" s="643"/>
    </row>
    <row r="510" ht="11.25" customHeight="1">
      <c r="A510" s="646"/>
      <c r="B510" s="643"/>
      <c r="C510" s="644"/>
      <c r="D510" s="643"/>
      <c r="E510" s="643"/>
      <c r="F510" s="643"/>
      <c r="G510" s="643"/>
      <c r="H510" s="643"/>
      <c r="I510" s="643"/>
      <c r="J510" s="643"/>
      <c r="K510" s="643"/>
      <c r="L510" s="643"/>
      <c r="M510" s="643"/>
      <c r="N510" s="643"/>
      <c r="O510" s="643"/>
      <c r="P510" s="643"/>
      <c r="Q510" s="643"/>
      <c r="R510" s="643"/>
      <c r="S510" s="643"/>
      <c r="T510" s="643"/>
      <c r="U510" s="643"/>
      <c r="V510" s="643"/>
      <c r="W510" s="643"/>
      <c r="X510" s="643"/>
      <c r="Y510" s="643"/>
      <c r="Z510" s="643"/>
    </row>
    <row r="511" ht="11.25" customHeight="1">
      <c r="A511" s="646"/>
      <c r="B511" s="643"/>
      <c r="C511" s="644"/>
      <c r="D511" s="643"/>
      <c r="E511" s="643"/>
      <c r="F511" s="643"/>
      <c r="G511" s="643"/>
      <c r="H511" s="643"/>
      <c r="I511" s="643"/>
      <c r="J511" s="643"/>
      <c r="K511" s="643"/>
      <c r="L511" s="643"/>
      <c r="M511" s="643"/>
      <c r="N511" s="643"/>
      <c r="O511" s="643"/>
      <c r="P511" s="643"/>
      <c r="Q511" s="643"/>
      <c r="R511" s="643"/>
      <c r="S511" s="643"/>
      <c r="T511" s="643"/>
      <c r="U511" s="643"/>
      <c r="V511" s="643"/>
      <c r="W511" s="643"/>
      <c r="X511" s="643"/>
      <c r="Y511" s="643"/>
      <c r="Z511" s="643"/>
    </row>
    <row r="512" ht="11.25" customHeight="1">
      <c r="A512" s="646"/>
      <c r="B512" s="643"/>
      <c r="C512" s="644"/>
      <c r="D512" s="643"/>
      <c r="E512" s="643"/>
      <c r="F512" s="643"/>
      <c r="G512" s="643"/>
      <c r="H512" s="643"/>
      <c r="I512" s="643"/>
      <c r="J512" s="643"/>
      <c r="K512" s="643"/>
      <c r="L512" s="643"/>
      <c r="M512" s="643"/>
      <c r="N512" s="643"/>
      <c r="O512" s="643"/>
      <c r="P512" s="643"/>
      <c r="Q512" s="643"/>
      <c r="R512" s="643"/>
      <c r="S512" s="643"/>
      <c r="T512" s="643"/>
      <c r="U512" s="643"/>
      <c r="V512" s="643"/>
      <c r="W512" s="643"/>
      <c r="X512" s="643"/>
      <c r="Y512" s="643"/>
      <c r="Z512" s="643"/>
    </row>
    <row r="513" ht="11.25" customHeight="1">
      <c r="A513" s="646"/>
      <c r="B513" s="643"/>
      <c r="C513" s="644"/>
      <c r="D513" s="643"/>
      <c r="E513" s="643"/>
      <c r="F513" s="643"/>
      <c r="G513" s="643"/>
      <c r="H513" s="643"/>
      <c r="I513" s="643"/>
      <c r="J513" s="643"/>
      <c r="K513" s="643"/>
      <c r="L513" s="643"/>
      <c r="M513" s="643"/>
      <c r="N513" s="643"/>
      <c r="O513" s="643"/>
      <c r="P513" s="643"/>
      <c r="Q513" s="643"/>
      <c r="R513" s="643"/>
      <c r="S513" s="643"/>
      <c r="T513" s="643"/>
      <c r="U513" s="643"/>
      <c r="V513" s="643"/>
      <c r="W513" s="643"/>
      <c r="X513" s="643"/>
      <c r="Y513" s="643"/>
      <c r="Z513" s="643"/>
    </row>
    <row r="514" ht="11.25" customHeight="1">
      <c r="A514" s="646"/>
      <c r="B514" s="643"/>
      <c r="C514" s="644"/>
      <c r="D514" s="643"/>
      <c r="E514" s="643"/>
      <c r="F514" s="643"/>
      <c r="G514" s="643"/>
      <c r="H514" s="643"/>
      <c r="I514" s="643"/>
      <c r="J514" s="643"/>
      <c r="K514" s="643"/>
      <c r="L514" s="643"/>
      <c r="M514" s="643"/>
      <c r="N514" s="643"/>
      <c r="O514" s="643"/>
      <c r="P514" s="643"/>
      <c r="Q514" s="643"/>
      <c r="R514" s="643"/>
      <c r="S514" s="643"/>
      <c r="T514" s="643"/>
      <c r="U514" s="643"/>
      <c r="V514" s="643"/>
      <c r="W514" s="643"/>
      <c r="X514" s="643"/>
      <c r="Y514" s="643"/>
      <c r="Z514" s="643"/>
    </row>
    <row r="515" ht="11.25" customHeight="1">
      <c r="A515" s="646"/>
      <c r="B515" s="643"/>
      <c r="C515" s="644"/>
      <c r="D515" s="643"/>
      <c r="E515" s="643"/>
      <c r="F515" s="643"/>
      <c r="G515" s="643"/>
      <c r="H515" s="643"/>
      <c r="I515" s="643"/>
      <c r="J515" s="643"/>
      <c r="K515" s="643"/>
      <c r="L515" s="643"/>
      <c r="M515" s="643"/>
      <c r="N515" s="643"/>
      <c r="O515" s="643"/>
      <c r="P515" s="643"/>
      <c r="Q515" s="643"/>
      <c r="R515" s="643"/>
      <c r="S515" s="643"/>
      <c r="T515" s="643"/>
      <c r="U515" s="643"/>
      <c r="V515" s="643"/>
      <c r="W515" s="643"/>
      <c r="X515" s="643"/>
      <c r="Y515" s="643"/>
      <c r="Z515" s="643"/>
    </row>
    <row r="516" ht="11.25" customHeight="1">
      <c r="A516" s="646"/>
      <c r="B516" s="643"/>
      <c r="C516" s="644"/>
      <c r="D516" s="643"/>
      <c r="E516" s="643"/>
      <c r="F516" s="643"/>
      <c r="G516" s="643"/>
      <c r="H516" s="643"/>
      <c r="I516" s="643"/>
      <c r="J516" s="643"/>
      <c r="K516" s="643"/>
      <c r="L516" s="643"/>
      <c r="M516" s="643"/>
      <c r="N516" s="643"/>
      <c r="O516" s="643"/>
      <c r="P516" s="643"/>
      <c r="Q516" s="643"/>
      <c r="R516" s="643"/>
      <c r="S516" s="643"/>
      <c r="T516" s="643"/>
      <c r="U516" s="643"/>
      <c r="V516" s="643"/>
      <c r="W516" s="643"/>
      <c r="X516" s="643"/>
      <c r="Y516" s="643"/>
      <c r="Z516" s="643"/>
    </row>
    <row r="517" ht="11.25" customHeight="1">
      <c r="A517" s="646"/>
      <c r="B517" s="643"/>
      <c r="C517" s="644"/>
      <c r="D517" s="643"/>
      <c r="E517" s="643"/>
      <c r="F517" s="643"/>
      <c r="G517" s="643"/>
      <c r="H517" s="643"/>
      <c r="I517" s="643"/>
      <c r="J517" s="643"/>
      <c r="K517" s="643"/>
      <c r="L517" s="643"/>
      <c r="M517" s="643"/>
      <c r="N517" s="643"/>
      <c r="O517" s="643"/>
      <c r="P517" s="643"/>
      <c r="Q517" s="643"/>
      <c r="R517" s="643"/>
      <c r="S517" s="643"/>
      <c r="T517" s="643"/>
      <c r="U517" s="643"/>
      <c r="V517" s="643"/>
      <c r="W517" s="643"/>
      <c r="X517" s="643"/>
      <c r="Y517" s="643"/>
      <c r="Z517" s="643"/>
    </row>
    <row r="518" ht="11.25" customHeight="1">
      <c r="A518" s="646"/>
      <c r="B518" s="643"/>
      <c r="C518" s="644"/>
      <c r="D518" s="643"/>
      <c r="E518" s="643"/>
      <c r="F518" s="643"/>
      <c r="G518" s="643"/>
      <c r="H518" s="643"/>
      <c r="I518" s="643"/>
      <c r="J518" s="643"/>
      <c r="K518" s="643"/>
      <c r="L518" s="643"/>
      <c r="M518" s="643"/>
      <c r="N518" s="643"/>
      <c r="O518" s="643"/>
      <c r="P518" s="643"/>
      <c r="Q518" s="643"/>
      <c r="R518" s="643"/>
      <c r="S518" s="643"/>
      <c r="T518" s="643"/>
      <c r="U518" s="643"/>
      <c r="V518" s="643"/>
      <c r="W518" s="643"/>
      <c r="X518" s="643"/>
      <c r="Y518" s="643"/>
      <c r="Z518" s="643"/>
    </row>
    <row r="519" ht="11.25" customHeight="1">
      <c r="A519" s="646"/>
      <c r="B519" s="643"/>
      <c r="C519" s="644"/>
      <c r="D519" s="643"/>
      <c r="E519" s="643"/>
      <c r="F519" s="643"/>
      <c r="G519" s="643"/>
      <c r="H519" s="643"/>
      <c r="I519" s="643"/>
      <c r="J519" s="643"/>
      <c r="K519" s="643"/>
      <c r="L519" s="643"/>
      <c r="M519" s="643"/>
      <c r="N519" s="643"/>
      <c r="O519" s="643"/>
      <c r="P519" s="643"/>
      <c r="Q519" s="643"/>
      <c r="R519" s="643"/>
      <c r="S519" s="643"/>
      <c r="T519" s="643"/>
      <c r="U519" s="643"/>
      <c r="V519" s="643"/>
      <c r="W519" s="643"/>
      <c r="X519" s="643"/>
      <c r="Y519" s="643"/>
      <c r="Z519" s="643"/>
    </row>
    <row r="520" ht="11.25" customHeight="1">
      <c r="A520" s="646"/>
      <c r="B520" s="643"/>
      <c r="C520" s="644"/>
      <c r="D520" s="643"/>
      <c r="E520" s="643"/>
      <c r="F520" s="643"/>
      <c r="G520" s="643"/>
      <c r="H520" s="643"/>
      <c r="I520" s="643"/>
      <c r="J520" s="643"/>
      <c r="K520" s="643"/>
      <c r="L520" s="643"/>
      <c r="M520" s="643"/>
      <c r="N520" s="643"/>
      <c r="O520" s="643"/>
      <c r="P520" s="643"/>
      <c r="Q520" s="643"/>
      <c r="R520" s="643"/>
      <c r="S520" s="643"/>
      <c r="T520" s="643"/>
      <c r="U520" s="643"/>
      <c r="V520" s="643"/>
      <c r="W520" s="643"/>
      <c r="X520" s="643"/>
      <c r="Y520" s="643"/>
      <c r="Z520" s="643"/>
    </row>
    <row r="521" ht="11.25" customHeight="1">
      <c r="A521" s="646"/>
      <c r="B521" s="643"/>
      <c r="C521" s="644"/>
      <c r="D521" s="643"/>
      <c r="E521" s="643"/>
      <c r="F521" s="643"/>
      <c r="G521" s="643"/>
      <c r="H521" s="643"/>
      <c r="I521" s="643"/>
      <c r="J521" s="643"/>
      <c r="K521" s="643"/>
      <c r="L521" s="643"/>
      <c r="M521" s="643"/>
      <c r="N521" s="643"/>
      <c r="O521" s="643"/>
      <c r="P521" s="643"/>
      <c r="Q521" s="643"/>
      <c r="R521" s="643"/>
      <c r="S521" s="643"/>
      <c r="T521" s="643"/>
      <c r="U521" s="643"/>
      <c r="V521" s="643"/>
      <c r="W521" s="643"/>
      <c r="X521" s="643"/>
      <c r="Y521" s="643"/>
      <c r="Z521" s="643"/>
    </row>
    <row r="522" ht="11.25" customHeight="1">
      <c r="A522" s="646"/>
      <c r="B522" s="643"/>
      <c r="C522" s="644"/>
      <c r="D522" s="643"/>
      <c r="E522" s="643"/>
      <c r="F522" s="643"/>
      <c r="G522" s="643"/>
      <c r="H522" s="643"/>
      <c r="I522" s="643"/>
      <c r="J522" s="643"/>
      <c r="K522" s="643"/>
      <c r="L522" s="643"/>
      <c r="M522" s="643"/>
      <c r="N522" s="643"/>
      <c r="O522" s="643"/>
      <c r="P522" s="643"/>
      <c r="Q522" s="643"/>
      <c r="R522" s="643"/>
      <c r="S522" s="643"/>
      <c r="T522" s="643"/>
      <c r="U522" s="643"/>
      <c r="V522" s="643"/>
      <c r="W522" s="643"/>
      <c r="X522" s="643"/>
      <c r="Y522" s="643"/>
      <c r="Z522" s="643"/>
    </row>
    <row r="523" ht="11.25" customHeight="1">
      <c r="A523" s="646"/>
      <c r="B523" s="643"/>
      <c r="C523" s="644"/>
      <c r="D523" s="643"/>
      <c r="E523" s="643"/>
      <c r="F523" s="643"/>
      <c r="G523" s="643"/>
      <c r="H523" s="643"/>
      <c r="I523" s="643"/>
      <c r="J523" s="643"/>
      <c r="K523" s="643"/>
      <c r="L523" s="643"/>
      <c r="M523" s="643"/>
      <c r="N523" s="643"/>
      <c r="O523" s="643"/>
      <c r="P523" s="643"/>
      <c r="Q523" s="643"/>
      <c r="R523" s="643"/>
      <c r="S523" s="643"/>
      <c r="T523" s="643"/>
      <c r="U523" s="643"/>
      <c r="V523" s="643"/>
      <c r="W523" s="643"/>
      <c r="X523" s="643"/>
      <c r="Y523" s="643"/>
      <c r="Z523" s="643"/>
    </row>
    <row r="524" ht="11.25" customHeight="1">
      <c r="A524" s="646"/>
      <c r="B524" s="643"/>
      <c r="C524" s="644"/>
      <c r="D524" s="643"/>
      <c r="E524" s="643"/>
      <c r="F524" s="643"/>
      <c r="G524" s="643"/>
      <c r="H524" s="643"/>
      <c r="I524" s="643"/>
      <c r="J524" s="643"/>
      <c r="K524" s="643"/>
      <c r="L524" s="643"/>
      <c r="M524" s="643"/>
      <c r="N524" s="643"/>
      <c r="O524" s="643"/>
      <c r="P524" s="643"/>
      <c r="Q524" s="643"/>
      <c r="R524" s="643"/>
      <c r="S524" s="643"/>
      <c r="T524" s="643"/>
      <c r="U524" s="643"/>
      <c r="V524" s="643"/>
      <c r="W524" s="643"/>
      <c r="X524" s="643"/>
      <c r="Y524" s="643"/>
      <c r="Z524" s="643"/>
    </row>
    <row r="525" ht="11.25" customHeight="1">
      <c r="A525" s="646"/>
      <c r="B525" s="643"/>
      <c r="C525" s="644"/>
      <c r="D525" s="643"/>
      <c r="E525" s="643"/>
      <c r="F525" s="643"/>
      <c r="G525" s="643"/>
      <c r="H525" s="643"/>
      <c r="I525" s="643"/>
      <c r="J525" s="643"/>
      <c r="K525" s="643"/>
      <c r="L525" s="643"/>
      <c r="M525" s="643"/>
      <c r="N525" s="643"/>
      <c r="O525" s="643"/>
      <c r="P525" s="643"/>
      <c r="Q525" s="643"/>
      <c r="R525" s="643"/>
      <c r="S525" s="643"/>
      <c r="T525" s="643"/>
      <c r="U525" s="643"/>
      <c r="V525" s="643"/>
      <c r="W525" s="643"/>
      <c r="X525" s="643"/>
      <c r="Y525" s="643"/>
      <c r="Z525" s="643"/>
    </row>
    <row r="526" ht="11.25" customHeight="1">
      <c r="A526" s="646"/>
      <c r="B526" s="643"/>
      <c r="C526" s="644"/>
      <c r="D526" s="643"/>
      <c r="E526" s="643"/>
      <c r="F526" s="643"/>
      <c r="G526" s="643"/>
      <c r="H526" s="643"/>
      <c r="I526" s="643"/>
      <c r="J526" s="643"/>
      <c r="K526" s="643"/>
      <c r="L526" s="643"/>
      <c r="M526" s="643"/>
      <c r="N526" s="643"/>
      <c r="O526" s="643"/>
      <c r="P526" s="643"/>
      <c r="Q526" s="643"/>
      <c r="R526" s="643"/>
      <c r="S526" s="643"/>
      <c r="T526" s="643"/>
      <c r="U526" s="643"/>
      <c r="V526" s="643"/>
      <c r="W526" s="643"/>
      <c r="X526" s="643"/>
      <c r="Y526" s="643"/>
      <c r="Z526" s="643"/>
    </row>
    <row r="527" ht="11.25" customHeight="1">
      <c r="A527" s="646"/>
      <c r="B527" s="643"/>
      <c r="C527" s="644"/>
      <c r="D527" s="643"/>
      <c r="E527" s="643"/>
      <c r="F527" s="643"/>
      <c r="G527" s="643"/>
      <c r="H527" s="643"/>
      <c r="I527" s="643"/>
      <c r="J527" s="643"/>
      <c r="K527" s="643"/>
      <c r="L527" s="643"/>
      <c r="M527" s="643"/>
      <c r="N527" s="643"/>
      <c r="O527" s="643"/>
      <c r="P527" s="643"/>
      <c r="Q527" s="643"/>
      <c r="R527" s="643"/>
      <c r="S527" s="643"/>
      <c r="T527" s="643"/>
      <c r="U527" s="643"/>
      <c r="V527" s="643"/>
      <c r="W527" s="643"/>
      <c r="X527" s="643"/>
      <c r="Y527" s="643"/>
      <c r="Z527" s="643"/>
    </row>
    <row r="528" ht="11.25" customHeight="1">
      <c r="A528" s="646"/>
      <c r="B528" s="643"/>
      <c r="C528" s="644"/>
      <c r="D528" s="643"/>
      <c r="E528" s="643"/>
      <c r="F528" s="643"/>
      <c r="G528" s="643"/>
      <c r="H528" s="643"/>
      <c r="I528" s="643"/>
      <c r="J528" s="643"/>
      <c r="K528" s="643"/>
      <c r="L528" s="643"/>
      <c r="M528" s="643"/>
      <c r="N528" s="643"/>
      <c r="O528" s="643"/>
      <c r="P528" s="643"/>
      <c r="Q528" s="643"/>
      <c r="R528" s="643"/>
      <c r="S528" s="643"/>
      <c r="T528" s="643"/>
      <c r="U528" s="643"/>
      <c r="V528" s="643"/>
      <c r="W528" s="643"/>
      <c r="X528" s="643"/>
      <c r="Y528" s="643"/>
      <c r="Z528" s="643"/>
    </row>
    <row r="529" ht="11.25" customHeight="1">
      <c r="A529" s="646"/>
      <c r="B529" s="643"/>
      <c r="C529" s="644"/>
      <c r="D529" s="643"/>
      <c r="E529" s="643"/>
      <c r="F529" s="643"/>
      <c r="G529" s="643"/>
      <c r="H529" s="643"/>
      <c r="I529" s="643"/>
      <c r="J529" s="643"/>
      <c r="K529" s="643"/>
      <c r="L529" s="643"/>
      <c r="M529" s="643"/>
      <c r="N529" s="643"/>
      <c r="O529" s="643"/>
      <c r="P529" s="643"/>
      <c r="Q529" s="643"/>
      <c r="R529" s="643"/>
      <c r="S529" s="643"/>
      <c r="T529" s="643"/>
      <c r="U529" s="643"/>
      <c r="V529" s="643"/>
      <c r="W529" s="643"/>
      <c r="X529" s="643"/>
      <c r="Y529" s="643"/>
      <c r="Z529" s="643"/>
    </row>
    <row r="530" ht="11.25" customHeight="1">
      <c r="A530" s="646"/>
      <c r="B530" s="643"/>
      <c r="C530" s="644"/>
      <c r="D530" s="643"/>
      <c r="E530" s="643"/>
      <c r="F530" s="643"/>
      <c r="G530" s="643"/>
      <c r="H530" s="643"/>
      <c r="I530" s="643"/>
      <c r="J530" s="643"/>
      <c r="K530" s="643"/>
      <c r="L530" s="643"/>
      <c r="M530" s="643"/>
      <c r="N530" s="643"/>
      <c r="O530" s="643"/>
      <c r="P530" s="643"/>
      <c r="Q530" s="643"/>
      <c r="R530" s="643"/>
      <c r="S530" s="643"/>
      <c r="T530" s="643"/>
      <c r="U530" s="643"/>
      <c r="V530" s="643"/>
      <c r="W530" s="643"/>
      <c r="X530" s="643"/>
      <c r="Y530" s="643"/>
      <c r="Z530" s="643"/>
    </row>
    <row r="531" ht="11.25" customHeight="1">
      <c r="A531" s="646"/>
      <c r="B531" s="643"/>
      <c r="C531" s="644"/>
      <c r="D531" s="643"/>
      <c r="E531" s="643"/>
      <c r="F531" s="643"/>
      <c r="G531" s="643"/>
      <c r="H531" s="643"/>
      <c r="I531" s="643"/>
      <c r="J531" s="643"/>
      <c r="K531" s="643"/>
      <c r="L531" s="643"/>
      <c r="M531" s="643"/>
      <c r="N531" s="643"/>
      <c r="O531" s="643"/>
      <c r="P531" s="643"/>
      <c r="Q531" s="643"/>
      <c r="R531" s="643"/>
      <c r="S531" s="643"/>
      <c r="T531" s="643"/>
      <c r="U531" s="643"/>
      <c r="V531" s="643"/>
      <c r="W531" s="643"/>
      <c r="X531" s="643"/>
      <c r="Y531" s="643"/>
      <c r="Z531" s="643"/>
    </row>
    <row r="532" ht="11.25" customHeight="1">
      <c r="A532" s="646"/>
      <c r="B532" s="643"/>
      <c r="C532" s="644"/>
      <c r="D532" s="643"/>
      <c r="E532" s="643"/>
      <c r="F532" s="643"/>
      <c r="G532" s="643"/>
      <c r="H532" s="643"/>
      <c r="I532" s="643"/>
      <c r="J532" s="643"/>
      <c r="K532" s="643"/>
      <c r="L532" s="643"/>
      <c r="M532" s="643"/>
      <c r="N532" s="643"/>
      <c r="O532" s="643"/>
      <c r="P532" s="643"/>
      <c r="Q532" s="643"/>
      <c r="R532" s="643"/>
      <c r="S532" s="643"/>
      <c r="T532" s="643"/>
      <c r="U532" s="643"/>
      <c r="V532" s="643"/>
      <c r="W532" s="643"/>
      <c r="X532" s="643"/>
      <c r="Y532" s="643"/>
      <c r="Z532" s="643"/>
    </row>
    <row r="533" ht="11.25" customHeight="1">
      <c r="A533" s="646"/>
      <c r="B533" s="643"/>
      <c r="C533" s="644"/>
      <c r="D533" s="643"/>
      <c r="E533" s="643"/>
      <c r="F533" s="643"/>
      <c r="G533" s="643"/>
      <c r="H533" s="643"/>
      <c r="I533" s="643"/>
      <c r="J533" s="643"/>
      <c r="K533" s="643"/>
      <c r="L533" s="643"/>
      <c r="M533" s="643"/>
      <c r="N533" s="643"/>
      <c r="O533" s="643"/>
      <c r="P533" s="643"/>
      <c r="Q533" s="643"/>
      <c r="R533" s="643"/>
      <c r="S533" s="643"/>
      <c r="T533" s="643"/>
      <c r="U533" s="643"/>
      <c r="V533" s="643"/>
      <c r="W533" s="643"/>
      <c r="X533" s="643"/>
      <c r="Y533" s="643"/>
      <c r="Z533" s="643"/>
    </row>
    <row r="534" ht="11.25" customHeight="1">
      <c r="A534" s="646"/>
      <c r="B534" s="643"/>
      <c r="C534" s="644"/>
      <c r="D534" s="643"/>
      <c r="E534" s="643"/>
      <c r="F534" s="643"/>
      <c r="G534" s="643"/>
      <c r="H534" s="643"/>
      <c r="I534" s="643"/>
      <c r="J534" s="643"/>
      <c r="K534" s="643"/>
      <c r="L534" s="643"/>
      <c r="M534" s="643"/>
      <c r="N534" s="643"/>
      <c r="O534" s="643"/>
      <c r="P534" s="643"/>
      <c r="Q534" s="643"/>
      <c r="R534" s="643"/>
      <c r="S534" s="643"/>
      <c r="T534" s="643"/>
      <c r="U534" s="643"/>
      <c r="V534" s="643"/>
      <c r="W534" s="643"/>
      <c r="X534" s="643"/>
      <c r="Y534" s="643"/>
      <c r="Z534" s="643"/>
    </row>
    <row r="535" ht="11.25" customHeight="1">
      <c r="A535" s="646"/>
      <c r="B535" s="643"/>
      <c r="C535" s="644"/>
      <c r="D535" s="643"/>
      <c r="E535" s="643"/>
      <c r="F535" s="643"/>
      <c r="G535" s="643"/>
      <c r="H535" s="643"/>
      <c r="I535" s="643"/>
      <c r="J535" s="643"/>
      <c r="K535" s="643"/>
      <c r="L535" s="643"/>
      <c r="M535" s="643"/>
      <c r="N535" s="643"/>
      <c r="O535" s="643"/>
      <c r="P535" s="643"/>
      <c r="Q535" s="643"/>
      <c r="R535" s="643"/>
      <c r="S535" s="643"/>
      <c r="T535" s="643"/>
      <c r="U535" s="643"/>
      <c r="V535" s="643"/>
      <c r="W535" s="643"/>
      <c r="X535" s="643"/>
      <c r="Y535" s="643"/>
      <c r="Z535" s="643"/>
    </row>
    <row r="536" ht="11.25" customHeight="1">
      <c r="A536" s="646"/>
      <c r="B536" s="643"/>
      <c r="C536" s="644"/>
      <c r="D536" s="643"/>
      <c r="E536" s="643"/>
      <c r="F536" s="643"/>
      <c r="G536" s="643"/>
      <c r="H536" s="643"/>
      <c r="I536" s="643"/>
      <c r="J536" s="643"/>
      <c r="K536" s="643"/>
      <c r="L536" s="643"/>
      <c r="M536" s="643"/>
      <c r="N536" s="643"/>
      <c r="O536" s="643"/>
      <c r="P536" s="643"/>
      <c r="Q536" s="643"/>
      <c r="R536" s="643"/>
      <c r="S536" s="643"/>
      <c r="T536" s="643"/>
      <c r="U536" s="643"/>
      <c r="V536" s="643"/>
      <c r="W536" s="643"/>
      <c r="X536" s="643"/>
      <c r="Y536" s="643"/>
      <c r="Z536" s="643"/>
    </row>
    <row r="537" ht="11.25" customHeight="1">
      <c r="A537" s="646"/>
      <c r="B537" s="643"/>
      <c r="C537" s="644"/>
      <c r="D537" s="643"/>
      <c r="E537" s="643"/>
      <c r="F537" s="643"/>
      <c r="G537" s="643"/>
      <c r="H537" s="643"/>
      <c r="I537" s="643"/>
      <c r="J537" s="643"/>
      <c r="K537" s="643"/>
      <c r="L537" s="643"/>
      <c r="M537" s="643"/>
      <c r="N537" s="643"/>
      <c r="O537" s="643"/>
      <c r="P537" s="643"/>
      <c r="Q537" s="643"/>
      <c r="R537" s="643"/>
      <c r="S537" s="643"/>
      <c r="T537" s="643"/>
      <c r="U537" s="643"/>
      <c r="V537" s="643"/>
      <c r="W537" s="643"/>
      <c r="X537" s="643"/>
      <c r="Y537" s="643"/>
      <c r="Z537" s="643"/>
    </row>
    <row r="538" ht="11.25" customHeight="1">
      <c r="A538" s="646"/>
      <c r="B538" s="643"/>
      <c r="C538" s="644"/>
      <c r="D538" s="643"/>
      <c r="E538" s="643"/>
      <c r="F538" s="643"/>
      <c r="G538" s="643"/>
      <c r="H538" s="643"/>
      <c r="I538" s="643"/>
      <c r="J538" s="643"/>
      <c r="K538" s="643"/>
      <c r="L538" s="643"/>
      <c r="M538" s="643"/>
      <c r="N538" s="643"/>
      <c r="O538" s="643"/>
      <c r="P538" s="643"/>
      <c r="Q538" s="643"/>
      <c r="R538" s="643"/>
      <c r="S538" s="643"/>
      <c r="T538" s="643"/>
      <c r="U538" s="643"/>
      <c r="V538" s="643"/>
      <c r="W538" s="643"/>
      <c r="X538" s="643"/>
      <c r="Y538" s="643"/>
      <c r="Z538" s="643"/>
    </row>
    <row r="539" ht="11.25" customHeight="1">
      <c r="A539" s="646"/>
      <c r="B539" s="643"/>
      <c r="C539" s="644"/>
      <c r="D539" s="643"/>
      <c r="E539" s="643"/>
      <c r="F539" s="643"/>
      <c r="G539" s="643"/>
      <c r="H539" s="643"/>
      <c r="I539" s="643"/>
      <c r="J539" s="643"/>
      <c r="K539" s="643"/>
      <c r="L539" s="643"/>
      <c r="M539" s="643"/>
      <c r="N539" s="643"/>
      <c r="O539" s="643"/>
      <c r="P539" s="643"/>
      <c r="Q539" s="643"/>
      <c r="R539" s="643"/>
      <c r="S539" s="643"/>
      <c r="T539" s="643"/>
      <c r="U539" s="643"/>
      <c r="V539" s="643"/>
      <c r="W539" s="643"/>
      <c r="X539" s="643"/>
      <c r="Y539" s="643"/>
      <c r="Z539" s="643"/>
    </row>
    <row r="540" ht="11.25" customHeight="1">
      <c r="A540" s="646"/>
      <c r="B540" s="643"/>
      <c r="C540" s="644"/>
      <c r="D540" s="643"/>
      <c r="E540" s="643"/>
      <c r="F540" s="643"/>
      <c r="G540" s="643"/>
      <c r="H540" s="643"/>
      <c r="I540" s="643"/>
      <c r="J540" s="643"/>
      <c r="K540" s="643"/>
      <c r="L540" s="643"/>
      <c r="M540" s="643"/>
      <c r="N540" s="643"/>
      <c r="O540" s="643"/>
      <c r="P540" s="643"/>
      <c r="Q540" s="643"/>
      <c r="R540" s="643"/>
      <c r="S540" s="643"/>
      <c r="T540" s="643"/>
      <c r="U540" s="643"/>
      <c r="V540" s="643"/>
      <c r="W540" s="643"/>
      <c r="X540" s="643"/>
      <c r="Y540" s="643"/>
      <c r="Z540" s="643"/>
    </row>
    <row r="541" ht="11.25" customHeight="1">
      <c r="A541" s="646"/>
      <c r="B541" s="643"/>
      <c r="C541" s="644"/>
      <c r="D541" s="643"/>
      <c r="E541" s="643"/>
      <c r="F541" s="643"/>
      <c r="G541" s="643"/>
      <c r="H541" s="643"/>
      <c r="I541" s="643"/>
      <c r="J541" s="643"/>
      <c r="K541" s="643"/>
      <c r="L541" s="643"/>
      <c r="M541" s="643"/>
      <c r="N541" s="643"/>
      <c r="O541" s="643"/>
      <c r="P541" s="643"/>
      <c r="Q541" s="643"/>
      <c r="R541" s="643"/>
      <c r="S541" s="643"/>
      <c r="T541" s="643"/>
      <c r="U541" s="643"/>
      <c r="V541" s="643"/>
      <c r="W541" s="643"/>
      <c r="X541" s="643"/>
      <c r="Y541" s="643"/>
      <c r="Z541" s="643"/>
    </row>
    <row r="542" ht="11.25" customHeight="1">
      <c r="A542" s="646"/>
      <c r="B542" s="643"/>
      <c r="C542" s="644"/>
      <c r="D542" s="643"/>
      <c r="E542" s="643"/>
      <c r="F542" s="643"/>
      <c r="G542" s="643"/>
      <c r="H542" s="643"/>
      <c r="I542" s="643"/>
      <c r="J542" s="643"/>
      <c r="K542" s="643"/>
      <c r="L542" s="643"/>
      <c r="M542" s="643"/>
      <c r="N542" s="643"/>
      <c r="O542" s="643"/>
      <c r="P542" s="643"/>
      <c r="Q542" s="643"/>
      <c r="R542" s="643"/>
      <c r="S542" s="643"/>
      <c r="T542" s="643"/>
      <c r="U542" s="643"/>
      <c r="V542" s="643"/>
      <c r="W542" s="643"/>
      <c r="X542" s="643"/>
      <c r="Y542" s="643"/>
      <c r="Z542" s="643"/>
    </row>
    <row r="543" ht="11.25" customHeight="1">
      <c r="A543" s="646"/>
      <c r="B543" s="643"/>
      <c r="C543" s="644"/>
      <c r="D543" s="643"/>
      <c r="E543" s="643"/>
      <c r="F543" s="643"/>
      <c r="G543" s="643"/>
      <c r="H543" s="643"/>
      <c r="I543" s="643"/>
      <c r="J543" s="643"/>
      <c r="K543" s="643"/>
      <c r="L543" s="643"/>
      <c r="M543" s="643"/>
      <c r="N543" s="643"/>
      <c r="O543" s="643"/>
      <c r="P543" s="643"/>
      <c r="Q543" s="643"/>
      <c r="R543" s="643"/>
      <c r="S543" s="643"/>
      <c r="T543" s="643"/>
      <c r="U543" s="643"/>
      <c r="V543" s="643"/>
      <c r="W543" s="643"/>
      <c r="X543" s="643"/>
      <c r="Y543" s="643"/>
      <c r="Z543" s="643"/>
    </row>
    <row r="544" ht="11.25" customHeight="1">
      <c r="A544" s="646"/>
      <c r="B544" s="643"/>
      <c r="C544" s="644"/>
      <c r="D544" s="643"/>
      <c r="E544" s="643"/>
      <c r="F544" s="643"/>
      <c r="G544" s="643"/>
      <c r="H544" s="643"/>
      <c r="I544" s="643"/>
      <c r="J544" s="643"/>
      <c r="K544" s="643"/>
      <c r="L544" s="643"/>
      <c r="M544" s="643"/>
      <c r="N544" s="643"/>
      <c r="O544" s="643"/>
      <c r="P544" s="643"/>
      <c r="Q544" s="643"/>
      <c r="R544" s="643"/>
      <c r="S544" s="643"/>
      <c r="T544" s="643"/>
      <c r="U544" s="643"/>
      <c r="V544" s="643"/>
      <c r="W544" s="643"/>
      <c r="X544" s="643"/>
      <c r="Y544" s="643"/>
      <c r="Z544" s="643"/>
    </row>
    <row r="545" ht="11.25" customHeight="1">
      <c r="A545" s="646"/>
      <c r="B545" s="643"/>
      <c r="C545" s="644"/>
      <c r="D545" s="643"/>
      <c r="E545" s="643"/>
      <c r="F545" s="643"/>
      <c r="G545" s="643"/>
      <c r="H545" s="643"/>
      <c r="I545" s="643"/>
      <c r="J545" s="643"/>
      <c r="K545" s="643"/>
      <c r="L545" s="643"/>
      <c r="M545" s="643"/>
      <c r="N545" s="643"/>
      <c r="O545" s="643"/>
      <c r="P545" s="643"/>
      <c r="Q545" s="643"/>
      <c r="R545" s="643"/>
      <c r="S545" s="643"/>
      <c r="T545" s="643"/>
      <c r="U545" s="643"/>
      <c r="V545" s="643"/>
      <c r="W545" s="643"/>
      <c r="X545" s="643"/>
      <c r="Y545" s="643"/>
      <c r="Z545" s="643"/>
    </row>
    <row r="546" ht="11.25" customHeight="1">
      <c r="A546" s="646"/>
      <c r="B546" s="643"/>
      <c r="C546" s="644"/>
      <c r="D546" s="643"/>
      <c r="E546" s="643"/>
      <c r="F546" s="643"/>
      <c r="G546" s="643"/>
      <c r="H546" s="643"/>
      <c r="I546" s="643"/>
      <c r="J546" s="643"/>
      <c r="K546" s="643"/>
      <c r="L546" s="643"/>
      <c r="M546" s="643"/>
      <c r="N546" s="643"/>
      <c r="O546" s="643"/>
      <c r="P546" s="643"/>
      <c r="Q546" s="643"/>
      <c r="R546" s="643"/>
      <c r="S546" s="643"/>
      <c r="T546" s="643"/>
      <c r="U546" s="643"/>
      <c r="V546" s="643"/>
      <c r="W546" s="643"/>
      <c r="X546" s="643"/>
      <c r="Y546" s="643"/>
      <c r="Z546" s="643"/>
    </row>
    <row r="547" ht="11.25" customHeight="1">
      <c r="A547" s="646"/>
      <c r="B547" s="643"/>
      <c r="C547" s="644"/>
      <c r="D547" s="643"/>
      <c r="E547" s="643"/>
      <c r="F547" s="643"/>
      <c r="G547" s="643"/>
      <c r="H547" s="643"/>
      <c r="I547" s="643"/>
      <c r="J547" s="643"/>
      <c r="K547" s="643"/>
      <c r="L547" s="643"/>
      <c r="M547" s="643"/>
      <c r="N547" s="643"/>
      <c r="O547" s="643"/>
      <c r="P547" s="643"/>
      <c r="Q547" s="643"/>
      <c r="R547" s="643"/>
      <c r="S547" s="643"/>
      <c r="T547" s="643"/>
      <c r="U547" s="643"/>
      <c r="V547" s="643"/>
      <c r="W547" s="643"/>
      <c r="X547" s="643"/>
      <c r="Y547" s="643"/>
      <c r="Z547" s="643"/>
    </row>
    <row r="548" ht="11.25" customHeight="1">
      <c r="A548" s="646"/>
      <c r="B548" s="643"/>
      <c r="C548" s="644"/>
      <c r="D548" s="643"/>
      <c r="E548" s="643"/>
      <c r="F548" s="643"/>
      <c r="G548" s="643"/>
      <c r="H548" s="643"/>
      <c r="I548" s="643"/>
      <c r="J548" s="643"/>
      <c r="K548" s="643"/>
      <c r="L548" s="643"/>
      <c r="M548" s="643"/>
      <c r="N548" s="643"/>
      <c r="O548" s="643"/>
      <c r="P548" s="643"/>
      <c r="Q548" s="643"/>
      <c r="R548" s="643"/>
      <c r="S548" s="643"/>
      <c r="T548" s="643"/>
      <c r="U548" s="643"/>
      <c r="V548" s="643"/>
      <c r="W548" s="643"/>
      <c r="X548" s="643"/>
      <c r="Y548" s="643"/>
      <c r="Z548" s="643"/>
    </row>
    <row r="549" ht="11.25" customHeight="1">
      <c r="A549" s="646"/>
      <c r="B549" s="643"/>
      <c r="C549" s="644"/>
      <c r="D549" s="643"/>
      <c r="E549" s="643"/>
      <c r="F549" s="643"/>
      <c r="G549" s="643"/>
      <c r="H549" s="643"/>
      <c r="I549" s="643"/>
      <c r="J549" s="643"/>
      <c r="K549" s="643"/>
      <c r="L549" s="643"/>
      <c r="M549" s="643"/>
      <c r="N549" s="643"/>
      <c r="O549" s="643"/>
      <c r="P549" s="643"/>
      <c r="Q549" s="643"/>
      <c r="R549" s="643"/>
      <c r="S549" s="643"/>
      <c r="T549" s="643"/>
      <c r="U549" s="643"/>
      <c r="V549" s="643"/>
      <c r="W549" s="643"/>
      <c r="X549" s="643"/>
      <c r="Y549" s="643"/>
      <c r="Z549" s="643"/>
    </row>
    <row r="550" ht="11.25" customHeight="1">
      <c r="A550" s="646"/>
      <c r="B550" s="643"/>
      <c r="C550" s="644"/>
      <c r="D550" s="643"/>
      <c r="E550" s="643"/>
      <c r="F550" s="643"/>
      <c r="G550" s="643"/>
      <c r="H550" s="643"/>
      <c r="I550" s="643"/>
      <c r="J550" s="643"/>
      <c r="K550" s="643"/>
      <c r="L550" s="643"/>
      <c r="M550" s="643"/>
      <c r="N550" s="643"/>
      <c r="O550" s="643"/>
      <c r="P550" s="643"/>
      <c r="Q550" s="643"/>
      <c r="R550" s="643"/>
      <c r="S550" s="643"/>
      <c r="T550" s="643"/>
      <c r="U550" s="643"/>
      <c r="V550" s="643"/>
      <c r="W550" s="643"/>
      <c r="X550" s="643"/>
      <c r="Y550" s="643"/>
      <c r="Z550" s="643"/>
    </row>
    <row r="551" ht="11.25" customHeight="1">
      <c r="A551" s="646"/>
      <c r="B551" s="643"/>
      <c r="C551" s="644"/>
      <c r="D551" s="643"/>
      <c r="E551" s="643"/>
      <c r="F551" s="643"/>
      <c r="G551" s="643"/>
      <c r="H551" s="643"/>
      <c r="I551" s="643"/>
      <c r="J551" s="643"/>
      <c r="K551" s="643"/>
      <c r="L551" s="643"/>
      <c r="M551" s="643"/>
      <c r="N551" s="643"/>
      <c r="O551" s="643"/>
      <c r="P551" s="643"/>
      <c r="Q551" s="643"/>
      <c r="R551" s="643"/>
      <c r="S551" s="643"/>
      <c r="T551" s="643"/>
      <c r="U551" s="643"/>
      <c r="V551" s="643"/>
      <c r="W551" s="643"/>
      <c r="X551" s="643"/>
      <c r="Y551" s="643"/>
      <c r="Z551" s="643"/>
    </row>
    <row r="552" ht="11.25" customHeight="1">
      <c r="A552" s="646"/>
      <c r="B552" s="643"/>
      <c r="C552" s="644"/>
      <c r="D552" s="643"/>
      <c r="E552" s="643"/>
      <c r="F552" s="643"/>
      <c r="G552" s="643"/>
      <c r="H552" s="643"/>
      <c r="I552" s="643"/>
      <c r="J552" s="643"/>
      <c r="K552" s="643"/>
      <c r="L552" s="643"/>
      <c r="M552" s="643"/>
      <c r="N552" s="643"/>
      <c r="O552" s="643"/>
      <c r="P552" s="643"/>
      <c r="Q552" s="643"/>
      <c r="R552" s="643"/>
      <c r="S552" s="643"/>
      <c r="T552" s="643"/>
      <c r="U552" s="643"/>
      <c r="V552" s="643"/>
      <c r="W552" s="643"/>
      <c r="X552" s="643"/>
      <c r="Y552" s="643"/>
      <c r="Z552" s="643"/>
    </row>
    <row r="553" ht="11.25" customHeight="1">
      <c r="A553" s="646"/>
      <c r="B553" s="643"/>
      <c r="C553" s="644"/>
      <c r="D553" s="643"/>
      <c r="E553" s="643"/>
      <c r="F553" s="643"/>
      <c r="G553" s="643"/>
      <c r="H553" s="643"/>
      <c r="I553" s="643"/>
      <c r="J553" s="643"/>
      <c r="K553" s="643"/>
      <c r="L553" s="643"/>
      <c r="M553" s="643"/>
      <c r="N553" s="643"/>
      <c r="O553" s="643"/>
      <c r="P553" s="643"/>
      <c r="Q553" s="643"/>
      <c r="R553" s="643"/>
      <c r="S553" s="643"/>
      <c r="T553" s="643"/>
      <c r="U553" s="643"/>
      <c r="V553" s="643"/>
      <c r="W553" s="643"/>
      <c r="X553" s="643"/>
      <c r="Y553" s="643"/>
      <c r="Z553" s="643"/>
    </row>
    <row r="554" ht="11.25" customHeight="1">
      <c r="A554" s="646"/>
      <c r="B554" s="643"/>
      <c r="C554" s="644"/>
      <c r="D554" s="643"/>
      <c r="E554" s="643"/>
      <c r="F554" s="643"/>
      <c r="G554" s="643"/>
      <c r="H554" s="643"/>
      <c r="I554" s="643"/>
      <c r="J554" s="643"/>
      <c r="K554" s="643"/>
      <c r="L554" s="643"/>
      <c r="M554" s="643"/>
      <c r="N554" s="643"/>
      <c r="O554" s="643"/>
      <c r="P554" s="643"/>
      <c r="Q554" s="643"/>
      <c r="R554" s="643"/>
      <c r="S554" s="643"/>
      <c r="T554" s="643"/>
      <c r="U554" s="643"/>
      <c r="V554" s="643"/>
      <c r="W554" s="643"/>
      <c r="X554" s="643"/>
      <c r="Y554" s="643"/>
      <c r="Z554" s="643"/>
    </row>
    <row r="555" ht="11.25" customHeight="1">
      <c r="A555" s="646"/>
      <c r="B555" s="643"/>
      <c r="C555" s="644"/>
      <c r="D555" s="643"/>
      <c r="E555" s="643"/>
      <c r="F555" s="643"/>
      <c r="G555" s="643"/>
      <c r="H555" s="643"/>
      <c r="I555" s="643"/>
      <c r="J555" s="643"/>
      <c r="K555" s="643"/>
      <c r="L555" s="643"/>
      <c r="M555" s="643"/>
      <c r="N555" s="643"/>
      <c r="O555" s="643"/>
      <c r="P555" s="643"/>
      <c r="Q555" s="643"/>
      <c r="R555" s="643"/>
      <c r="S555" s="643"/>
      <c r="T555" s="643"/>
      <c r="U555" s="643"/>
      <c r="V555" s="643"/>
      <c r="W555" s="643"/>
      <c r="X555" s="643"/>
      <c r="Y555" s="643"/>
      <c r="Z555" s="643"/>
    </row>
    <row r="556" ht="11.25" customHeight="1">
      <c r="A556" s="646"/>
      <c r="B556" s="643"/>
      <c r="C556" s="644"/>
      <c r="D556" s="643"/>
      <c r="E556" s="643"/>
      <c r="F556" s="643"/>
      <c r="G556" s="643"/>
      <c r="H556" s="643"/>
      <c r="I556" s="643"/>
      <c r="J556" s="643"/>
      <c r="K556" s="643"/>
      <c r="L556" s="643"/>
      <c r="M556" s="643"/>
      <c r="N556" s="643"/>
      <c r="O556" s="643"/>
      <c r="P556" s="643"/>
      <c r="Q556" s="643"/>
      <c r="R556" s="643"/>
      <c r="S556" s="643"/>
      <c r="T556" s="643"/>
      <c r="U556" s="643"/>
      <c r="V556" s="643"/>
      <c r="W556" s="643"/>
      <c r="X556" s="643"/>
      <c r="Y556" s="643"/>
      <c r="Z556" s="643"/>
    </row>
    <row r="557" ht="11.25" customHeight="1">
      <c r="A557" s="646"/>
      <c r="B557" s="643"/>
      <c r="C557" s="644"/>
      <c r="D557" s="643"/>
      <c r="E557" s="643"/>
      <c r="F557" s="643"/>
      <c r="G557" s="643"/>
      <c r="H557" s="643"/>
      <c r="I557" s="643"/>
      <c r="J557" s="643"/>
      <c r="K557" s="643"/>
      <c r="L557" s="643"/>
      <c r="M557" s="643"/>
      <c r="N557" s="643"/>
      <c r="O557" s="643"/>
      <c r="P557" s="643"/>
      <c r="Q557" s="643"/>
      <c r="R557" s="643"/>
      <c r="S557" s="643"/>
      <c r="T557" s="643"/>
      <c r="U557" s="643"/>
      <c r="V557" s="643"/>
      <c r="W557" s="643"/>
      <c r="X557" s="643"/>
      <c r="Y557" s="643"/>
      <c r="Z557" s="643"/>
    </row>
    <row r="558" ht="11.25" customHeight="1">
      <c r="A558" s="646"/>
      <c r="B558" s="643"/>
      <c r="C558" s="644"/>
      <c r="D558" s="643"/>
      <c r="E558" s="643"/>
      <c r="F558" s="643"/>
      <c r="G558" s="643"/>
      <c r="H558" s="643"/>
      <c r="I558" s="643"/>
      <c r="J558" s="643"/>
      <c r="K558" s="643"/>
      <c r="L558" s="643"/>
      <c r="M558" s="643"/>
      <c r="N558" s="643"/>
      <c r="O558" s="643"/>
      <c r="P558" s="643"/>
      <c r="Q558" s="643"/>
      <c r="R558" s="643"/>
      <c r="S558" s="643"/>
      <c r="T558" s="643"/>
      <c r="U558" s="643"/>
      <c r="V558" s="643"/>
      <c r="W558" s="643"/>
      <c r="X558" s="643"/>
      <c r="Y558" s="643"/>
      <c r="Z558" s="643"/>
    </row>
    <row r="559" ht="11.25" customHeight="1">
      <c r="A559" s="646"/>
      <c r="B559" s="643"/>
      <c r="C559" s="644"/>
      <c r="D559" s="643"/>
      <c r="E559" s="643"/>
      <c r="F559" s="643"/>
      <c r="G559" s="643"/>
      <c r="H559" s="643"/>
      <c r="I559" s="643"/>
      <c r="J559" s="643"/>
      <c r="K559" s="643"/>
      <c r="L559" s="643"/>
      <c r="M559" s="643"/>
      <c r="N559" s="643"/>
      <c r="O559" s="643"/>
      <c r="P559" s="643"/>
      <c r="Q559" s="643"/>
      <c r="R559" s="643"/>
      <c r="S559" s="643"/>
      <c r="T559" s="643"/>
      <c r="U559" s="643"/>
      <c r="V559" s="643"/>
      <c r="W559" s="643"/>
      <c r="X559" s="643"/>
      <c r="Y559" s="643"/>
      <c r="Z559" s="643"/>
    </row>
    <row r="560" ht="11.25" customHeight="1">
      <c r="A560" s="646"/>
      <c r="B560" s="643"/>
      <c r="C560" s="644"/>
      <c r="D560" s="643"/>
      <c r="E560" s="643"/>
      <c r="F560" s="643"/>
      <c r="G560" s="643"/>
      <c r="H560" s="643"/>
      <c r="I560" s="643"/>
      <c r="J560" s="643"/>
      <c r="K560" s="643"/>
      <c r="L560" s="643"/>
      <c r="M560" s="643"/>
      <c r="N560" s="643"/>
      <c r="O560" s="643"/>
      <c r="P560" s="643"/>
      <c r="Q560" s="643"/>
      <c r="R560" s="643"/>
      <c r="S560" s="643"/>
      <c r="T560" s="643"/>
      <c r="U560" s="643"/>
      <c r="V560" s="643"/>
      <c r="W560" s="643"/>
      <c r="X560" s="643"/>
      <c r="Y560" s="643"/>
      <c r="Z560" s="643"/>
    </row>
    <row r="561" ht="11.25" customHeight="1">
      <c r="A561" s="646"/>
      <c r="B561" s="643"/>
      <c r="C561" s="644"/>
      <c r="D561" s="643"/>
      <c r="E561" s="643"/>
      <c r="F561" s="643"/>
      <c r="G561" s="643"/>
      <c r="H561" s="643"/>
      <c r="I561" s="643"/>
      <c r="J561" s="643"/>
      <c r="K561" s="643"/>
      <c r="L561" s="643"/>
      <c r="M561" s="643"/>
      <c r="N561" s="643"/>
      <c r="O561" s="643"/>
      <c r="P561" s="643"/>
      <c r="Q561" s="643"/>
      <c r="R561" s="643"/>
      <c r="S561" s="643"/>
      <c r="T561" s="643"/>
      <c r="U561" s="643"/>
      <c r="V561" s="643"/>
      <c r="W561" s="643"/>
      <c r="X561" s="643"/>
      <c r="Y561" s="643"/>
      <c r="Z561" s="643"/>
    </row>
    <row r="562" ht="11.25" customHeight="1">
      <c r="A562" s="646"/>
      <c r="B562" s="643"/>
      <c r="C562" s="644"/>
      <c r="D562" s="643"/>
      <c r="E562" s="643"/>
      <c r="F562" s="643"/>
      <c r="G562" s="643"/>
      <c r="H562" s="643"/>
      <c r="I562" s="643"/>
      <c r="J562" s="643"/>
      <c r="K562" s="643"/>
      <c r="L562" s="643"/>
      <c r="M562" s="643"/>
      <c r="N562" s="643"/>
      <c r="O562" s="643"/>
      <c r="P562" s="643"/>
      <c r="Q562" s="643"/>
      <c r="R562" s="643"/>
      <c r="S562" s="643"/>
      <c r="T562" s="643"/>
      <c r="U562" s="643"/>
      <c r="V562" s="643"/>
      <c r="W562" s="643"/>
      <c r="X562" s="643"/>
      <c r="Y562" s="643"/>
      <c r="Z562" s="643"/>
    </row>
    <row r="563" ht="11.25" customHeight="1">
      <c r="A563" s="646"/>
      <c r="B563" s="643"/>
      <c r="C563" s="644"/>
      <c r="D563" s="643"/>
      <c r="E563" s="643"/>
      <c r="F563" s="643"/>
      <c r="G563" s="643"/>
      <c r="H563" s="643"/>
      <c r="I563" s="643"/>
      <c r="J563" s="643"/>
      <c r="K563" s="643"/>
      <c r="L563" s="643"/>
      <c r="M563" s="643"/>
      <c r="N563" s="643"/>
      <c r="O563" s="643"/>
      <c r="P563" s="643"/>
      <c r="Q563" s="643"/>
      <c r="R563" s="643"/>
      <c r="S563" s="643"/>
      <c r="T563" s="643"/>
      <c r="U563" s="643"/>
      <c r="V563" s="643"/>
      <c r="W563" s="643"/>
      <c r="X563" s="643"/>
      <c r="Y563" s="643"/>
      <c r="Z563" s="643"/>
    </row>
    <row r="564" ht="11.25" customHeight="1">
      <c r="A564" s="646"/>
      <c r="B564" s="643"/>
      <c r="C564" s="644"/>
      <c r="D564" s="643"/>
      <c r="E564" s="643"/>
      <c r="F564" s="643"/>
      <c r="G564" s="643"/>
      <c r="H564" s="643"/>
      <c r="I564" s="643"/>
      <c r="J564" s="643"/>
      <c r="K564" s="643"/>
      <c r="L564" s="643"/>
      <c r="M564" s="643"/>
      <c r="N564" s="643"/>
      <c r="O564" s="643"/>
      <c r="P564" s="643"/>
      <c r="Q564" s="643"/>
      <c r="R564" s="643"/>
      <c r="S564" s="643"/>
      <c r="T564" s="643"/>
      <c r="U564" s="643"/>
      <c r="V564" s="643"/>
      <c r="W564" s="643"/>
      <c r="X564" s="643"/>
      <c r="Y564" s="643"/>
      <c r="Z564" s="643"/>
    </row>
    <row r="565" ht="11.25" customHeight="1">
      <c r="A565" s="646"/>
      <c r="B565" s="643"/>
      <c r="C565" s="644"/>
      <c r="D565" s="643"/>
      <c r="E565" s="643"/>
      <c r="F565" s="643"/>
      <c r="G565" s="643"/>
      <c r="H565" s="643"/>
      <c r="I565" s="643"/>
      <c r="J565" s="643"/>
      <c r="K565" s="643"/>
      <c r="L565" s="643"/>
      <c r="M565" s="643"/>
      <c r="N565" s="643"/>
      <c r="O565" s="643"/>
      <c r="P565" s="643"/>
      <c r="Q565" s="643"/>
      <c r="R565" s="643"/>
      <c r="S565" s="643"/>
      <c r="T565" s="643"/>
      <c r="U565" s="643"/>
      <c r="V565" s="643"/>
      <c r="W565" s="643"/>
      <c r="X565" s="643"/>
      <c r="Y565" s="643"/>
      <c r="Z565" s="643"/>
    </row>
    <row r="566" ht="11.25" customHeight="1">
      <c r="A566" s="646"/>
      <c r="B566" s="643"/>
      <c r="C566" s="644"/>
      <c r="D566" s="643"/>
      <c r="E566" s="643"/>
      <c r="F566" s="643"/>
      <c r="G566" s="643"/>
      <c r="H566" s="643"/>
      <c r="I566" s="643"/>
      <c r="J566" s="643"/>
      <c r="K566" s="643"/>
      <c r="L566" s="643"/>
      <c r="M566" s="643"/>
      <c r="N566" s="643"/>
      <c r="O566" s="643"/>
      <c r="P566" s="643"/>
      <c r="Q566" s="643"/>
      <c r="R566" s="643"/>
      <c r="S566" s="643"/>
      <c r="T566" s="643"/>
      <c r="U566" s="643"/>
      <c r="V566" s="643"/>
      <c r="W566" s="643"/>
      <c r="X566" s="643"/>
      <c r="Y566" s="643"/>
      <c r="Z566" s="643"/>
    </row>
    <row r="567" ht="11.25" customHeight="1">
      <c r="A567" s="646"/>
      <c r="B567" s="643"/>
      <c r="C567" s="644"/>
      <c r="D567" s="643"/>
      <c r="E567" s="643"/>
      <c r="F567" s="643"/>
      <c r="G567" s="643"/>
      <c r="H567" s="643"/>
      <c r="I567" s="643"/>
      <c r="J567" s="643"/>
      <c r="K567" s="643"/>
      <c r="L567" s="643"/>
      <c r="M567" s="643"/>
      <c r="N567" s="643"/>
      <c r="O567" s="643"/>
      <c r="P567" s="643"/>
      <c r="Q567" s="643"/>
      <c r="R567" s="643"/>
      <c r="S567" s="643"/>
      <c r="T567" s="643"/>
      <c r="U567" s="643"/>
      <c r="V567" s="643"/>
      <c r="W567" s="643"/>
      <c r="X567" s="643"/>
      <c r="Y567" s="643"/>
      <c r="Z567" s="643"/>
    </row>
    <row r="568" ht="11.25" customHeight="1">
      <c r="A568" s="646"/>
      <c r="B568" s="643"/>
      <c r="C568" s="644"/>
      <c r="D568" s="643"/>
      <c r="E568" s="643"/>
      <c r="F568" s="643"/>
      <c r="G568" s="643"/>
      <c r="H568" s="643"/>
      <c r="I568" s="643"/>
      <c r="J568" s="643"/>
      <c r="K568" s="643"/>
      <c r="L568" s="643"/>
      <c r="M568" s="643"/>
      <c r="N568" s="643"/>
      <c r="O568" s="643"/>
      <c r="P568" s="643"/>
      <c r="Q568" s="643"/>
      <c r="R568" s="643"/>
      <c r="S568" s="643"/>
      <c r="T568" s="643"/>
      <c r="U568" s="643"/>
      <c r="V568" s="643"/>
      <c r="W568" s="643"/>
      <c r="X568" s="643"/>
      <c r="Y568" s="643"/>
      <c r="Z568" s="643"/>
    </row>
    <row r="569" ht="11.25" customHeight="1">
      <c r="A569" s="646"/>
      <c r="B569" s="643"/>
      <c r="C569" s="644"/>
      <c r="D569" s="643"/>
      <c r="E569" s="643"/>
      <c r="F569" s="643"/>
      <c r="G569" s="643"/>
      <c r="H569" s="643"/>
      <c r="I569" s="643"/>
      <c r="J569" s="643"/>
      <c r="K569" s="643"/>
      <c r="L569" s="643"/>
      <c r="M569" s="643"/>
      <c r="N569" s="643"/>
      <c r="O569" s="643"/>
      <c r="P569" s="643"/>
      <c r="Q569" s="643"/>
      <c r="R569" s="643"/>
      <c r="S569" s="643"/>
      <c r="T569" s="643"/>
      <c r="U569" s="643"/>
      <c r="V569" s="643"/>
      <c r="W569" s="643"/>
      <c r="X569" s="643"/>
      <c r="Y569" s="643"/>
      <c r="Z569" s="643"/>
    </row>
    <row r="570" ht="11.25" customHeight="1">
      <c r="A570" s="646"/>
      <c r="B570" s="643"/>
      <c r="C570" s="644"/>
      <c r="D570" s="643"/>
      <c r="E570" s="643"/>
      <c r="F570" s="643"/>
      <c r="G570" s="643"/>
      <c r="H570" s="643"/>
      <c r="I570" s="643"/>
      <c r="J570" s="643"/>
      <c r="K570" s="643"/>
      <c r="L570" s="643"/>
      <c r="M570" s="643"/>
      <c r="N570" s="643"/>
      <c r="O570" s="643"/>
      <c r="P570" s="643"/>
      <c r="Q570" s="643"/>
      <c r="R570" s="643"/>
      <c r="S570" s="643"/>
      <c r="T570" s="643"/>
      <c r="U570" s="643"/>
      <c r="V570" s="643"/>
      <c r="W570" s="643"/>
      <c r="X570" s="643"/>
      <c r="Y570" s="643"/>
      <c r="Z570" s="643"/>
    </row>
    <row r="571" ht="11.25" customHeight="1">
      <c r="A571" s="646"/>
      <c r="B571" s="643"/>
      <c r="C571" s="644"/>
      <c r="D571" s="643"/>
      <c r="E571" s="643"/>
      <c r="F571" s="643"/>
      <c r="G571" s="643"/>
      <c r="H571" s="643"/>
      <c r="I571" s="643"/>
      <c r="J571" s="643"/>
      <c r="K571" s="643"/>
      <c r="L571" s="643"/>
      <c r="M571" s="643"/>
      <c r="N571" s="643"/>
      <c r="O571" s="643"/>
      <c r="P571" s="643"/>
      <c r="Q571" s="643"/>
      <c r="R571" s="643"/>
      <c r="S571" s="643"/>
      <c r="T571" s="643"/>
      <c r="U571" s="643"/>
      <c r="V571" s="643"/>
      <c r="W571" s="643"/>
      <c r="X571" s="643"/>
      <c r="Y571" s="643"/>
      <c r="Z571" s="643"/>
    </row>
    <row r="572" ht="11.25" customHeight="1">
      <c r="A572" s="646"/>
      <c r="B572" s="643"/>
      <c r="C572" s="644"/>
      <c r="D572" s="643"/>
      <c r="E572" s="643"/>
      <c r="F572" s="643"/>
      <c r="G572" s="643"/>
      <c r="H572" s="643"/>
      <c r="I572" s="643"/>
      <c r="J572" s="643"/>
      <c r="K572" s="643"/>
      <c r="L572" s="643"/>
      <c r="M572" s="643"/>
      <c r="N572" s="643"/>
      <c r="O572" s="643"/>
      <c r="P572" s="643"/>
      <c r="Q572" s="643"/>
      <c r="R572" s="643"/>
      <c r="S572" s="643"/>
      <c r="T572" s="643"/>
      <c r="U572" s="643"/>
      <c r="V572" s="643"/>
      <c r="W572" s="643"/>
      <c r="X572" s="643"/>
      <c r="Y572" s="643"/>
      <c r="Z572" s="643"/>
    </row>
    <row r="573" ht="11.25" customHeight="1">
      <c r="A573" s="646"/>
      <c r="B573" s="643"/>
      <c r="C573" s="644"/>
      <c r="D573" s="643"/>
      <c r="E573" s="643"/>
      <c r="F573" s="643"/>
      <c r="G573" s="643"/>
      <c r="H573" s="643"/>
      <c r="I573" s="643"/>
      <c r="J573" s="643"/>
      <c r="K573" s="643"/>
      <c r="L573" s="643"/>
      <c r="M573" s="643"/>
      <c r="N573" s="643"/>
      <c r="O573" s="643"/>
      <c r="P573" s="643"/>
      <c r="Q573" s="643"/>
      <c r="R573" s="643"/>
      <c r="S573" s="643"/>
      <c r="T573" s="643"/>
      <c r="U573" s="643"/>
      <c r="V573" s="643"/>
      <c r="W573" s="643"/>
      <c r="X573" s="643"/>
      <c r="Y573" s="643"/>
      <c r="Z573" s="643"/>
    </row>
    <row r="574" ht="11.25" customHeight="1">
      <c r="A574" s="646"/>
      <c r="B574" s="643"/>
      <c r="C574" s="644"/>
      <c r="D574" s="643"/>
      <c r="E574" s="643"/>
      <c r="F574" s="643"/>
      <c r="G574" s="643"/>
      <c r="H574" s="643"/>
      <c r="I574" s="643"/>
      <c r="J574" s="643"/>
      <c r="K574" s="643"/>
      <c r="L574" s="643"/>
      <c r="M574" s="643"/>
      <c r="N574" s="643"/>
      <c r="O574" s="643"/>
      <c r="P574" s="643"/>
      <c r="Q574" s="643"/>
      <c r="R574" s="643"/>
      <c r="S574" s="643"/>
      <c r="T574" s="643"/>
      <c r="U574" s="643"/>
      <c r="V574" s="643"/>
      <c r="W574" s="643"/>
      <c r="X574" s="643"/>
      <c r="Y574" s="643"/>
      <c r="Z574" s="643"/>
    </row>
    <row r="575" ht="11.25" customHeight="1">
      <c r="A575" s="646"/>
      <c r="B575" s="643"/>
      <c r="C575" s="644"/>
      <c r="D575" s="643"/>
      <c r="E575" s="643"/>
      <c r="F575" s="643"/>
      <c r="G575" s="643"/>
      <c r="H575" s="643"/>
      <c r="I575" s="643"/>
      <c r="J575" s="643"/>
      <c r="K575" s="643"/>
      <c r="L575" s="643"/>
      <c r="M575" s="643"/>
      <c r="N575" s="643"/>
      <c r="O575" s="643"/>
      <c r="P575" s="643"/>
      <c r="Q575" s="643"/>
      <c r="R575" s="643"/>
      <c r="S575" s="643"/>
      <c r="T575" s="643"/>
      <c r="U575" s="643"/>
      <c r="V575" s="643"/>
      <c r="W575" s="643"/>
      <c r="X575" s="643"/>
      <c r="Y575" s="643"/>
      <c r="Z575" s="643"/>
    </row>
    <row r="576" ht="11.25" customHeight="1">
      <c r="A576" s="646"/>
      <c r="B576" s="643"/>
      <c r="C576" s="644"/>
      <c r="D576" s="643"/>
      <c r="E576" s="643"/>
      <c r="F576" s="643"/>
      <c r="G576" s="643"/>
      <c r="H576" s="643"/>
      <c r="I576" s="643"/>
      <c r="J576" s="643"/>
      <c r="K576" s="643"/>
      <c r="L576" s="643"/>
      <c r="M576" s="643"/>
      <c r="N576" s="643"/>
      <c r="O576" s="643"/>
      <c r="P576" s="643"/>
      <c r="Q576" s="643"/>
      <c r="R576" s="643"/>
      <c r="S576" s="643"/>
      <c r="T576" s="643"/>
      <c r="U576" s="643"/>
      <c r="V576" s="643"/>
      <c r="W576" s="643"/>
      <c r="X576" s="643"/>
      <c r="Y576" s="643"/>
      <c r="Z576" s="643"/>
    </row>
    <row r="577" ht="11.25" customHeight="1">
      <c r="A577" s="646"/>
      <c r="B577" s="643"/>
      <c r="C577" s="644"/>
      <c r="D577" s="643"/>
      <c r="E577" s="643"/>
      <c r="F577" s="643"/>
      <c r="G577" s="643"/>
      <c r="H577" s="643"/>
      <c r="I577" s="643"/>
      <c r="J577" s="643"/>
      <c r="K577" s="643"/>
      <c r="L577" s="643"/>
      <c r="M577" s="643"/>
      <c r="N577" s="643"/>
      <c r="O577" s="643"/>
      <c r="P577" s="643"/>
      <c r="Q577" s="643"/>
      <c r="R577" s="643"/>
      <c r="S577" s="643"/>
      <c r="T577" s="643"/>
      <c r="U577" s="643"/>
      <c r="V577" s="643"/>
      <c r="W577" s="643"/>
      <c r="X577" s="643"/>
      <c r="Y577" s="643"/>
      <c r="Z577" s="643"/>
    </row>
    <row r="578" ht="11.25" customHeight="1">
      <c r="A578" s="646"/>
      <c r="B578" s="643"/>
      <c r="C578" s="644"/>
      <c r="D578" s="643"/>
      <c r="E578" s="643"/>
      <c r="F578" s="643"/>
      <c r="G578" s="643"/>
      <c r="H578" s="643"/>
      <c r="I578" s="643"/>
      <c r="J578" s="643"/>
      <c r="K578" s="643"/>
      <c r="L578" s="643"/>
      <c r="M578" s="643"/>
      <c r="N578" s="643"/>
      <c r="O578" s="643"/>
      <c r="P578" s="643"/>
      <c r="Q578" s="643"/>
      <c r="R578" s="643"/>
      <c r="S578" s="643"/>
      <c r="T578" s="643"/>
      <c r="U578" s="643"/>
      <c r="V578" s="643"/>
      <c r="W578" s="643"/>
      <c r="X578" s="643"/>
      <c r="Y578" s="643"/>
      <c r="Z578" s="643"/>
    </row>
    <row r="579" ht="11.25" customHeight="1">
      <c r="A579" s="646"/>
      <c r="B579" s="643"/>
      <c r="C579" s="644"/>
      <c r="D579" s="643"/>
      <c r="E579" s="643"/>
      <c r="F579" s="643"/>
      <c r="G579" s="643"/>
      <c r="H579" s="643"/>
      <c r="I579" s="643"/>
      <c r="J579" s="643"/>
      <c r="K579" s="643"/>
      <c r="L579" s="643"/>
      <c r="M579" s="643"/>
      <c r="N579" s="643"/>
      <c r="O579" s="643"/>
      <c r="P579" s="643"/>
      <c r="Q579" s="643"/>
      <c r="R579" s="643"/>
      <c r="S579" s="643"/>
      <c r="T579" s="643"/>
      <c r="U579" s="643"/>
      <c r="V579" s="643"/>
      <c r="W579" s="643"/>
      <c r="X579" s="643"/>
      <c r="Y579" s="643"/>
      <c r="Z579" s="643"/>
    </row>
    <row r="580" ht="11.25" customHeight="1">
      <c r="A580" s="646"/>
      <c r="B580" s="643"/>
      <c r="C580" s="644"/>
      <c r="D580" s="643"/>
      <c r="E580" s="643"/>
      <c r="F580" s="643"/>
      <c r="G580" s="643"/>
      <c r="H580" s="643"/>
      <c r="I580" s="643"/>
      <c r="J580" s="643"/>
      <c r="K580" s="643"/>
      <c r="L580" s="643"/>
      <c r="M580" s="643"/>
      <c r="N580" s="643"/>
      <c r="O580" s="643"/>
      <c r="P580" s="643"/>
      <c r="Q580" s="643"/>
      <c r="R580" s="643"/>
      <c r="S580" s="643"/>
      <c r="T580" s="643"/>
      <c r="U580" s="643"/>
      <c r="V580" s="643"/>
      <c r="W580" s="643"/>
      <c r="X580" s="643"/>
      <c r="Y580" s="643"/>
      <c r="Z580" s="643"/>
    </row>
    <row r="581" ht="11.25" customHeight="1">
      <c r="A581" s="646"/>
      <c r="B581" s="643"/>
      <c r="C581" s="644"/>
      <c r="D581" s="643"/>
      <c r="E581" s="643"/>
      <c r="F581" s="643"/>
      <c r="G581" s="643"/>
      <c r="H581" s="643"/>
      <c r="I581" s="643"/>
      <c r="J581" s="643"/>
      <c r="K581" s="643"/>
      <c r="L581" s="643"/>
      <c r="M581" s="643"/>
      <c r="N581" s="643"/>
      <c r="O581" s="643"/>
      <c r="P581" s="643"/>
      <c r="Q581" s="643"/>
      <c r="R581" s="643"/>
      <c r="S581" s="643"/>
      <c r="T581" s="643"/>
      <c r="U581" s="643"/>
      <c r="V581" s="643"/>
      <c r="W581" s="643"/>
      <c r="X581" s="643"/>
      <c r="Y581" s="643"/>
      <c r="Z581" s="643"/>
    </row>
    <row r="582" ht="11.25" customHeight="1">
      <c r="A582" s="646"/>
      <c r="B582" s="643"/>
      <c r="C582" s="644"/>
      <c r="D582" s="643"/>
      <c r="E582" s="643"/>
      <c r="F582" s="643"/>
      <c r="G582" s="643"/>
      <c r="H582" s="643"/>
      <c r="I582" s="643"/>
      <c r="J582" s="643"/>
      <c r="K582" s="643"/>
      <c r="L582" s="643"/>
      <c r="M582" s="643"/>
      <c r="N582" s="643"/>
      <c r="O582" s="643"/>
      <c r="P582" s="643"/>
      <c r="Q582" s="643"/>
      <c r="R582" s="643"/>
      <c r="S582" s="643"/>
      <c r="T582" s="643"/>
      <c r="U582" s="643"/>
      <c r="V582" s="643"/>
      <c r="W582" s="643"/>
      <c r="X582" s="643"/>
      <c r="Y582" s="643"/>
      <c r="Z582" s="643"/>
    </row>
    <row r="583" ht="11.25" customHeight="1">
      <c r="A583" s="646"/>
      <c r="B583" s="643"/>
      <c r="C583" s="644"/>
      <c r="D583" s="643"/>
      <c r="E583" s="643"/>
      <c r="F583" s="643"/>
      <c r="G583" s="643"/>
      <c r="H583" s="643"/>
      <c r="I583" s="643"/>
      <c r="J583" s="643"/>
      <c r="K583" s="643"/>
      <c r="L583" s="643"/>
      <c r="M583" s="643"/>
      <c r="N583" s="643"/>
      <c r="O583" s="643"/>
      <c r="P583" s="643"/>
      <c r="Q583" s="643"/>
      <c r="R583" s="643"/>
      <c r="S583" s="643"/>
      <c r="T583" s="643"/>
      <c r="U583" s="643"/>
      <c r="V583" s="643"/>
      <c r="W583" s="643"/>
      <c r="X583" s="643"/>
      <c r="Y583" s="643"/>
      <c r="Z583" s="643"/>
    </row>
    <row r="584" ht="11.25" customHeight="1">
      <c r="A584" s="646"/>
      <c r="B584" s="643"/>
      <c r="C584" s="644"/>
      <c r="D584" s="643"/>
      <c r="E584" s="643"/>
      <c r="F584" s="643"/>
      <c r="G584" s="643"/>
      <c r="H584" s="643"/>
      <c r="I584" s="643"/>
      <c r="J584" s="643"/>
      <c r="K584" s="643"/>
      <c r="L584" s="643"/>
      <c r="M584" s="643"/>
      <c r="N584" s="643"/>
      <c r="O584" s="643"/>
      <c r="P584" s="643"/>
      <c r="Q584" s="643"/>
      <c r="R584" s="643"/>
      <c r="S584" s="643"/>
      <c r="T584" s="643"/>
      <c r="U584" s="643"/>
      <c r="V584" s="643"/>
      <c r="W584" s="643"/>
      <c r="X584" s="643"/>
      <c r="Y584" s="643"/>
      <c r="Z584" s="643"/>
    </row>
    <row r="585" ht="11.25" customHeight="1">
      <c r="A585" s="646"/>
      <c r="B585" s="643"/>
      <c r="C585" s="644"/>
      <c r="D585" s="643"/>
      <c r="E585" s="643"/>
      <c r="F585" s="643"/>
      <c r="G585" s="643"/>
      <c r="H585" s="643"/>
      <c r="I585" s="643"/>
      <c r="J585" s="643"/>
      <c r="K585" s="643"/>
      <c r="L585" s="643"/>
      <c r="M585" s="643"/>
      <c r="N585" s="643"/>
      <c r="O585" s="643"/>
      <c r="P585" s="643"/>
      <c r="Q585" s="643"/>
      <c r="R585" s="643"/>
      <c r="S585" s="643"/>
      <c r="T585" s="643"/>
      <c r="U585" s="643"/>
      <c r="V585" s="643"/>
      <c r="W585" s="643"/>
      <c r="X585" s="643"/>
      <c r="Y585" s="643"/>
      <c r="Z585" s="643"/>
    </row>
    <row r="586" ht="11.25" customHeight="1">
      <c r="A586" s="646"/>
      <c r="B586" s="643"/>
      <c r="C586" s="644"/>
      <c r="D586" s="643"/>
      <c r="E586" s="643"/>
      <c r="F586" s="643"/>
      <c r="G586" s="643"/>
      <c r="H586" s="643"/>
      <c r="I586" s="643"/>
      <c r="J586" s="643"/>
      <c r="K586" s="643"/>
      <c r="L586" s="643"/>
      <c r="M586" s="643"/>
      <c r="N586" s="643"/>
      <c r="O586" s="643"/>
      <c r="P586" s="643"/>
      <c r="Q586" s="643"/>
      <c r="R586" s="643"/>
      <c r="S586" s="643"/>
      <c r="T586" s="643"/>
      <c r="U586" s="643"/>
      <c r="V586" s="643"/>
      <c r="W586" s="643"/>
      <c r="X586" s="643"/>
      <c r="Y586" s="643"/>
      <c r="Z586" s="643"/>
    </row>
    <row r="587" ht="11.25" customHeight="1">
      <c r="A587" s="646"/>
      <c r="B587" s="643"/>
      <c r="C587" s="644"/>
      <c r="D587" s="643"/>
      <c r="E587" s="643"/>
      <c r="F587" s="643"/>
      <c r="G587" s="643"/>
      <c r="H587" s="643"/>
      <c r="I587" s="643"/>
      <c r="J587" s="643"/>
      <c r="K587" s="643"/>
      <c r="L587" s="643"/>
      <c r="M587" s="643"/>
      <c r="N587" s="643"/>
      <c r="O587" s="643"/>
      <c r="P587" s="643"/>
      <c r="Q587" s="643"/>
      <c r="R587" s="643"/>
      <c r="S587" s="643"/>
      <c r="T587" s="643"/>
      <c r="U587" s="643"/>
      <c r="V587" s="643"/>
      <c r="W587" s="643"/>
      <c r="X587" s="643"/>
      <c r="Y587" s="643"/>
      <c r="Z587" s="643"/>
    </row>
    <row r="588" ht="11.25" customHeight="1">
      <c r="A588" s="646"/>
      <c r="B588" s="643"/>
      <c r="C588" s="644"/>
      <c r="D588" s="643"/>
      <c r="E588" s="643"/>
      <c r="F588" s="643"/>
      <c r="G588" s="643"/>
      <c r="H588" s="643"/>
      <c r="I588" s="643"/>
      <c r="J588" s="643"/>
      <c r="K588" s="643"/>
      <c r="L588" s="643"/>
      <c r="M588" s="643"/>
      <c r="N588" s="643"/>
      <c r="O588" s="643"/>
      <c r="P588" s="643"/>
      <c r="Q588" s="643"/>
      <c r="R588" s="643"/>
      <c r="S588" s="643"/>
      <c r="T588" s="643"/>
      <c r="U588" s="643"/>
      <c r="V588" s="643"/>
      <c r="W588" s="643"/>
      <c r="X588" s="643"/>
      <c r="Y588" s="643"/>
      <c r="Z588" s="643"/>
    </row>
    <row r="589" ht="11.25" customHeight="1">
      <c r="A589" s="646"/>
      <c r="B589" s="643"/>
      <c r="C589" s="644"/>
      <c r="D589" s="643"/>
      <c r="E589" s="643"/>
      <c r="F589" s="643"/>
      <c r="G589" s="643"/>
      <c r="H589" s="643"/>
      <c r="I589" s="643"/>
      <c r="J589" s="643"/>
      <c r="K589" s="643"/>
      <c r="L589" s="643"/>
      <c r="M589" s="643"/>
      <c r="N589" s="643"/>
      <c r="O589" s="643"/>
      <c r="P589" s="643"/>
      <c r="Q589" s="643"/>
      <c r="R589" s="643"/>
      <c r="S589" s="643"/>
      <c r="T589" s="643"/>
      <c r="U589" s="643"/>
      <c r="V589" s="643"/>
      <c r="W589" s="643"/>
      <c r="X589" s="643"/>
      <c r="Y589" s="643"/>
      <c r="Z589" s="643"/>
    </row>
    <row r="590" ht="11.25" customHeight="1">
      <c r="A590" s="646"/>
      <c r="B590" s="643"/>
      <c r="C590" s="644"/>
      <c r="D590" s="643"/>
      <c r="E590" s="643"/>
      <c r="F590" s="643"/>
      <c r="G590" s="643"/>
      <c r="H590" s="643"/>
      <c r="I590" s="643"/>
      <c r="J590" s="643"/>
      <c r="K590" s="643"/>
      <c r="L590" s="643"/>
      <c r="M590" s="643"/>
      <c r="N590" s="643"/>
      <c r="O590" s="643"/>
      <c r="P590" s="643"/>
      <c r="Q590" s="643"/>
      <c r="R590" s="643"/>
      <c r="S590" s="643"/>
      <c r="T590" s="643"/>
      <c r="U590" s="643"/>
      <c r="V590" s="643"/>
      <c r="W590" s="643"/>
      <c r="X590" s="643"/>
      <c r="Y590" s="643"/>
      <c r="Z590" s="643"/>
    </row>
    <row r="591" ht="11.25" customHeight="1">
      <c r="A591" s="646"/>
      <c r="B591" s="643"/>
      <c r="C591" s="644"/>
      <c r="D591" s="643"/>
      <c r="E591" s="643"/>
      <c r="F591" s="643"/>
      <c r="G591" s="643"/>
      <c r="H591" s="643"/>
      <c r="I591" s="643"/>
      <c r="J591" s="643"/>
      <c r="K591" s="643"/>
      <c r="L591" s="643"/>
      <c r="M591" s="643"/>
      <c r="N591" s="643"/>
      <c r="O591" s="643"/>
      <c r="P591" s="643"/>
      <c r="Q591" s="643"/>
      <c r="R591" s="643"/>
      <c r="S591" s="643"/>
      <c r="T591" s="643"/>
      <c r="U591" s="643"/>
      <c r="V591" s="643"/>
      <c r="W591" s="643"/>
      <c r="X591" s="643"/>
      <c r="Y591" s="643"/>
      <c r="Z591" s="643"/>
    </row>
    <row r="592" ht="11.25" customHeight="1">
      <c r="A592" s="646"/>
      <c r="B592" s="643"/>
      <c r="C592" s="644"/>
      <c r="D592" s="643"/>
      <c r="E592" s="643"/>
      <c r="F592" s="643"/>
      <c r="G592" s="643"/>
      <c r="H592" s="643"/>
      <c r="I592" s="643"/>
      <c r="J592" s="643"/>
      <c r="K592" s="643"/>
      <c r="L592" s="643"/>
      <c r="M592" s="643"/>
      <c r="N592" s="643"/>
      <c r="O592" s="643"/>
      <c r="P592" s="643"/>
      <c r="Q592" s="643"/>
      <c r="R592" s="643"/>
      <c r="S592" s="643"/>
      <c r="T592" s="643"/>
      <c r="U592" s="643"/>
      <c r="V592" s="643"/>
      <c r="W592" s="643"/>
      <c r="X592" s="643"/>
      <c r="Y592" s="643"/>
      <c r="Z592" s="643"/>
    </row>
    <row r="593" ht="11.25" customHeight="1">
      <c r="A593" s="646"/>
      <c r="B593" s="643"/>
      <c r="C593" s="644"/>
      <c r="D593" s="643"/>
      <c r="E593" s="643"/>
      <c r="F593" s="643"/>
      <c r="G593" s="643"/>
      <c r="H593" s="643"/>
      <c r="I593" s="643"/>
      <c r="J593" s="643"/>
      <c r="K593" s="643"/>
      <c r="L593" s="643"/>
      <c r="M593" s="643"/>
      <c r="N593" s="643"/>
      <c r="O593" s="643"/>
      <c r="P593" s="643"/>
      <c r="Q593" s="643"/>
      <c r="R593" s="643"/>
      <c r="S593" s="643"/>
      <c r="T593" s="643"/>
      <c r="U593" s="643"/>
      <c r="V593" s="643"/>
      <c r="W593" s="643"/>
      <c r="X593" s="643"/>
      <c r="Y593" s="643"/>
      <c r="Z593" s="643"/>
    </row>
    <row r="594" ht="11.25" customHeight="1">
      <c r="A594" s="646"/>
      <c r="B594" s="643"/>
      <c r="C594" s="644"/>
      <c r="D594" s="643"/>
      <c r="E594" s="643"/>
      <c r="F594" s="643"/>
      <c r="G594" s="643"/>
      <c r="H594" s="643"/>
      <c r="I594" s="643"/>
      <c r="J594" s="643"/>
      <c r="K594" s="643"/>
      <c r="L594" s="643"/>
      <c r="M594" s="643"/>
      <c r="N594" s="643"/>
      <c r="O594" s="643"/>
      <c r="P594" s="643"/>
      <c r="Q594" s="643"/>
      <c r="R594" s="643"/>
      <c r="S594" s="643"/>
      <c r="T594" s="643"/>
      <c r="U594" s="643"/>
      <c r="V594" s="643"/>
      <c r="W594" s="643"/>
      <c r="X594" s="643"/>
      <c r="Y594" s="643"/>
      <c r="Z594" s="643"/>
    </row>
    <row r="595" ht="11.25" customHeight="1">
      <c r="A595" s="646"/>
      <c r="B595" s="643"/>
      <c r="C595" s="644"/>
      <c r="D595" s="643"/>
      <c r="E595" s="643"/>
      <c r="F595" s="643"/>
      <c r="G595" s="643"/>
      <c r="H595" s="643"/>
      <c r="I595" s="643"/>
      <c r="J595" s="643"/>
      <c r="K595" s="643"/>
      <c r="L595" s="643"/>
      <c r="M595" s="643"/>
      <c r="N595" s="643"/>
      <c r="O595" s="643"/>
      <c r="P595" s="643"/>
      <c r="Q595" s="643"/>
      <c r="R595" s="643"/>
      <c r="S595" s="643"/>
      <c r="T595" s="643"/>
      <c r="U595" s="643"/>
      <c r="V595" s="643"/>
      <c r="W595" s="643"/>
      <c r="X595" s="643"/>
      <c r="Y595" s="643"/>
      <c r="Z595" s="643"/>
    </row>
    <row r="596" ht="11.25" customHeight="1">
      <c r="A596" s="646"/>
      <c r="B596" s="643"/>
      <c r="C596" s="644"/>
      <c r="D596" s="643"/>
      <c r="E596" s="643"/>
      <c r="F596" s="643"/>
      <c r="G596" s="643"/>
      <c r="H596" s="643"/>
      <c r="I596" s="643"/>
      <c r="J596" s="643"/>
      <c r="K596" s="643"/>
      <c r="L596" s="643"/>
      <c r="M596" s="643"/>
      <c r="N596" s="643"/>
      <c r="O596" s="643"/>
      <c r="P596" s="643"/>
      <c r="Q596" s="643"/>
      <c r="R596" s="643"/>
      <c r="S596" s="643"/>
      <c r="T596" s="643"/>
      <c r="U596" s="643"/>
      <c r="V596" s="643"/>
      <c r="W596" s="643"/>
      <c r="X596" s="643"/>
      <c r="Y596" s="643"/>
      <c r="Z596" s="643"/>
    </row>
    <row r="597" ht="11.25" customHeight="1">
      <c r="A597" s="646"/>
      <c r="B597" s="643"/>
      <c r="C597" s="644"/>
      <c r="D597" s="643"/>
      <c r="E597" s="643"/>
      <c r="F597" s="643"/>
      <c r="G597" s="643"/>
      <c r="H597" s="643"/>
      <c r="I597" s="643"/>
      <c r="J597" s="643"/>
      <c r="K597" s="643"/>
      <c r="L597" s="643"/>
      <c r="M597" s="643"/>
      <c r="N597" s="643"/>
      <c r="O597" s="643"/>
      <c r="P597" s="643"/>
      <c r="Q597" s="643"/>
      <c r="R597" s="643"/>
      <c r="S597" s="643"/>
      <c r="T597" s="643"/>
      <c r="U597" s="643"/>
      <c r="V597" s="643"/>
      <c r="W597" s="643"/>
      <c r="X597" s="643"/>
      <c r="Y597" s="643"/>
      <c r="Z597" s="643"/>
    </row>
    <row r="598" ht="11.25" customHeight="1">
      <c r="A598" s="646"/>
      <c r="B598" s="643"/>
      <c r="C598" s="644"/>
      <c r="D598" s="643"/>
      <c r="E598" s="643"/>
      <c r="F598" s="643"/>
      <c r="G598" s="643"/>
      <c r="H598" s="643"/>
      <c r="I598" s="643"/>
      <c r="J598" s="643"/>
      <c r="K598" s="643"/>
      <c r="L598" s="643"/>
      <c r="M598" s="643"/>
      <c r="N598" s="643"/>
      <c r="O598" s="643"/>
      <c r="P598" s="643"/>
      <c r="Q598" s="643"/>
      <c r="R598" s="643"/>
      <c r="S598" s="643"/>
      <c r="T598" s="643"/>
      <c r="U598" s="643"/>
      <c r="V598" s="643"/>
      <c r="W598" s="643"/>
      <c r="X598" s="643"/>
      <c r="Y598" s="643"/>
      <c r="Z598" s="643"/>
    </row>
    <row r="599" ht="11.25" customHeight="1">
      <c r="A599" s="646"/>
      <c r="B599" s="643"/>
      <c r="C599" s="644"/>
      <c r="D599" s="643"/>
      <c r="E599" s="643"/>
      <c r="F599" s="643"/>
      <c r="G599" s="643"/>
      <c r="H599" s="643"/>
      <c r="I599" s="643"/>
      <c r="J599" s="643"/>
      <c r="K599" s="643"/>
      <c r="L599" s="643"/>
      <c r="M599" s="643"/>
      <c r="N599" s="643"/>
      <c r="O599" s="643"/>
      <c r="P599" s="643"/>
      <c r="Q599" s="643"/>
      <c r="R599" s="643"/>
      <c r="S599" s="643"/>
      <c r="T599" s="643"/>
      <c r="U599" s="643"/>
      <c r="V599" s="643"/>
      <c r="W599" s="643"/>
      <c r="X599" s="643"/>
      <c r="Y599" s="643"/>
      <c r="Z599" s="643"/>
    </row>
    <row r="600" ht="11.25" customHeight="1">
      <c r="A600" s="646"/>
      <c r="B600" s="643"/>
      <c r="C600" s="644"/>
      <c r="D600" s="643"/>
      <c r="E600" s="643"/>
      <c r="F600" s="643"/>
      <c r="G600" s="643"/>
      <c r="H600" s="643"/>
      <c r="I600" s="643"/>
      <c r="J600" s="643"/>
      <c r="K600" s="643"/>
      <c r="L600" s="643"/>
      <c r="M600" s="643"/>
      <c r="N600" s="643"/>
      <c r="O600" s="643"/>
      <c r="P600" s="643"/>
      <c r="Q600" s="643"/>
      <c r="R600" s="643"/>
      <c r="S600" s="643"/>
      <c r="T600" s="643"/>
      <c r="U600" s="643"/>
      <c r="V600" s="643"/>
      <c r="W600" s="643"/>
      <c r="X600" s="643"/>
      <c r="Y600" s="643"/>
      <c r="Z600" s="643"/>
    </row>
    <row r="601" ht="11.25" customHeight="1">
      <c r="A601" s="646"/>
      <c r="B601" s="643"/>
      <c r="C601" s="644"/>
      <c r="D601" s="643"/>
      <c r="E601" s="643"/>
      <c r="F601" s="643"/>
      <c r="G601" s="643"/>
      <c r="H601" s="643"/>
      <c r="I601" s="643"/>
      <c r="J601" s="643"/>
      <c r="K601" s="643"/>
      <c r="L601" s="643"/>
      <c r="M601" s="643"/>
      <c r="N601" s="643"/>
      <c r="O601" s="643"/>
      <c r="P601" s="643"/>
      <c r="Q601" s="643"/>
      <c r="R601" s="643"/>
      <c r="S601" s="643"/>
      <c r="T601" s="643"/>
      <c r="U601" s="643"/>
      <c r="V601" s="643"/>
      <c r="W601" s="643"/>
      <c r="X601" s="643"/>
      <c r="Y601" s="643"/>
      <c r="Z601" s="643"/>
    </row>
    <row r="602" ht="11.25" customHeight="1">
      <c r="A602" s="646"/>
      <c r="B602" s="643"/>
      <c r="C602" s="644"/>
      <c r="D602" s="643"/>
      <c r="E602" s="643"/>
      <c r="F602" s="643"/>
      <c r="G602" s="643"/>
      <c r="H602" s="643"/>
      <c r="I602" s="643"/>
      <c r="J602" s="643"/>
      <c r="K602" s="643"/>
      <c r="L602" s="643"/>
      <c r="M602" s="643"/>
      <c r="N602" s="643"/>
      <c r="O602" s="643"/>
      <c r="P602" s="643"/>
      <c r="Q602" s="643"/>
      <c r="R602" s="643"/>
      <c r="S602" s="643"/>
      <c r="T602" s="643"/>
      <c r="U602" s="643"/>
      <c r="V602" s="643"/>
      <c r="W602" s="643"/>
      <c r="X602" s="643"/>
      <c r="Y602" s="643"/>
      <c r="Z602" s="643"/>
    </row>
    <row r="603" ht="11.25" customHeight="1">
      <c r="A603" s="646"/>
      <c r="B603" s="643"/>
      <c r="C603" s="644"/>
      <c r="D603" s="643"/>
      <c r="E603" s="643"/>
      <c r="F603" s="643"/>
      <c r="G603" s="643"/>
      <c r="H603" s="643"/>
      <c r="I603" s="643"/>
      <c r="J603" s="643"/>
      <c r="K603" s="643"/>
      <c r="L603" s="643"/>
      <c r="M603" s="643"/>
      <c r="N603" s="643"/>
      <c r="O603" s="643"/>
      <c r="P603" s="643"/>
      <c r="Q603" s="643"/>
      <c r="R603" s="643"/>
      <c r="S603" s="643"/>
      <c r="T603" s="643"/>
      <c r="U603" s="643"/>
      <c r="V603" s="643"/>
      <c r="W603" s="643"/>
      <c r="X603" s="643"/>
      <c r="Y603" s="643"/>
      <c r="Z603" s="643"/>
    </row>
    <row r="604" ht="11.25" customHeight="1">
      <c r="A604" s="646"/>
      <c r="B604" s="643"/>
      <c r="C604" s="644"/>
      <c r="D604" s="643"/>
      <c r="E604" s="643"/>
      <c r="F604" s="643"/>
      <c r="G604" s="643"/>
      <c r="H604" s="643"/>
      <c r="I604" s="643"/>
      <c r="J604" s="643"/>
      <c r="K604" s="643"/>
      <c r="L604" s="643"/>
      <c r="M604" s="643"/>
      <c r="N604" s="643"/>
      <c r="O604" s="643"/>
      <c r="P604" s="643"/>
      <c r="Q604" s="643"/>
      <c r="R604" s="643"/>
      <c r="S604" s="643"/>
      <c r="T604" s="643"/>
      <c r="U604" s="643"/>
      <c r="V604" s="643"/>
      <c r="W604" s="643"/>
      <c r="X604" s="643"/>
      <c r="Y604" s="643"/>
      <c r="Z604" s="643"/>
    </row>
    <row r="605" ht="11.25" customHeight="1">
      <c r="A605" s="646"/>
      <c r="B605" s="643"/>
      <c r="C605" s="644"/>
      <c r="D605" s="643"/>
      <c r="E605" s="643"/>
      <c r="F605" s="643"/>
      <c r="G605" s="643"/>
      <c r="H605" s="643"/>
      <c r="I605" s="643"/>
      <c r="J605" s="643"/>
      <c r="K605" s="643"/>
      <c r="L605" s="643"/>
      <c r="M605" s="643"/>
      <c r="N605" s="643"/>
      <c r="O605" s="643"/>
      <c r="P605" s="643"/>
      <c r="Q605" s="643"/>
      <c r="R605" s="643"/>
      <c r="S605" s="643"/>
      <c r="T605" s="643"/>
      <c r="U605" s="643"/>
      <c r="V605" s="643"/>
      <c r="W605" s="643"/>
      <c r="X605" s="643"/>
      <c r="Y605" s="643"/>
      <c r="Z605" s="643"/>
    </row>
    <row r="606" ht="11.25" customHeight="1">
      <c r="A606" s="646"/>
      <c r="B606" s="643"/>
      <c r="C606" s="644"/>
      <c r="D606" s="643"/>
      <c r="E606" s="643"/>
      <c r="F606" s="643"/>
      <c r="G606" s="643"/>
      <c r="H606" s="643"/>
      <c r="I606" s="643"/>
      <c r="J606" s="643"/>
      <c r="K606" s="643"/>
      <c r="L606" s="643"/>
      <c r="M606" s="643"/>
      <c r="N606" s="643"/>
      <c r="O606" s="643"/>
      <c r="P606" s="643"/>
      <c r="Q606" s="643"/>
      <c r="R606" s="643"/>
      <c r="S606" s="643"/>
      <c r="T606" s="643"/>
      <c r="U606" s="643"/>
      <c r="V606" s="643"/>
      <c r="W606" s="643"/>
      <c r="X606" s="643"/>
      <c r="Y606" s="643"/>
      <c r="Z606" s="643"/>
    </row>
    <row r="607" ht="11.25" customHeight="1">
      <c r="A607" s="646"/>
      <c r="B607" s="643"/>
      <c r="C607" s="644"/>
      <c r="D607" s="643"/>
      <c r="E607" s="643"/>
      <c r="F607" s="643"/>
      <c r="G607" s="643"/>
      <c r="H607" s="643"/>
      <c r="I607" s="643"/>
      <c r="J607" s="643"/>
      <c r="K607" s="643"/>
      <c r="L607" s="643"/>
      <c r="M607" s="643"/>
      <c r="N607" s="643"/>
      <c r="O607" s="643"/>
      <c r="P607" s="643"/>
      <c r="Q607" s="643"/>
      <c r="R607" s="643"/>
      <c r="S607" s="643"/>
      <c r="T607" s="643"/>
      <c r="U607" s="643"/>
      <c r="V607" s="643"/>
      <c r="W607" s="643"/>
      <c r="X607" s="643"/>
      <c r="Y607" s="643"/>
      <c r="Z607" s="643"/>
    </row>
    <row r="608" ht="11.25" customHeight="1">
      <c r="A608" s="646"/>
      <c r="B608" s="643"/>
      <c r="C608" s="644"/>
      <c r="D608" s="643"/>
      <c r="E608" s="643"/>
      <c r="F608" s="643"/>
      <c r="G608" s="643"/>
      <c r="H608" s="643"/>
      <c r="I608" s="643"/>
      <c r="J608" s="643"/>
      <c r="K608" s="643"/>
      <c r="L608" s="643"/>
      <c r="M608" s="643"/>
      <c r="N608" s="643"/>
      <c r="O608" s="643"/>
      <c r="P608" s="643"/>
      <c r="Q608" s="643"/>
      <c r="R608" s="643"/>
      <c r="S608" s="643"/>
      <c r="T608" s="643"/>
      <c r="U608" s="643"/>
      <c r="V608" s="643"/>
      <c r="W608" s="643"/>
      <c r="X608" s="643"/>
      <c r="Y608" s="643"/>
      <c r="Z608" s="643"/>
    </row>
    <row r="609" ht="11.25" customHeight="1">
      <c r="A609" s="646"/>
      <c r="B609" s="643"/>
      <c r="C609" s="644"/>
      <c r="D609" s="643"/>
      <c r="E609" s="643"/>
      <c r="F609" s="643"/>
      <c r="G609" s="643"/>
      <c r="H609" s="643"/>
      <c r="I609" s="643"/>
      <c r="J609" s="643"/>
      <c r="K609" s="643"/>
      <c r="L609" s="643"/>
      <c r="M609" s="643"/>
      <c r="N609" s="643"/>
      <c r="O609" s="643"/>
      <c r="P609" s="643"/>
      <c r="Q609" s="643"/>
      <c r="R609" s="643"/>
      <c r="S609" s="643"/>
      <c r="T609" s="643"/>
      <c r="U609" s="643"/>
      <c r="V609" s="643"/>
      <c r="W609" s="643"/>
      <c r="X609" s="643"/>
      <c r="Y609" s="643"/>
      <c r="Z609" s="643"/>
    </row>
    <row r="610" ht="11.25" customHeight="1">
      <c r="A610" s="646"/>
      <c r="B610" s="643"/>
      <c r="C610" s="644"/>
      <c r="D610" s="643"/>
      <c r="E610" s="643"/>
      <c r="F610" s="643"/>
      <c r="G610" s="643"/>
      <c r="H610" s="643"/>
      <c r="I610" s="643"/>
      <c r="J610" s="643"/>
      <c r="K610" s="643"/>
      <c r="L610" s="643"/>
      <c r="M610" s="643"/>
      <c r="N610" s="643"/>
      <c r="O610" s="643"/>
      <c r="P610" s="643"/>
      <c r="Q610" s="643"/>
      <c r="R610" s="643"/>
      <c r="S610" s="643"/>
      <c r="T610" s="643"/>
      <c r="U610" s="643"/>
      <c r="V610" s="643"/>
      <c r="W610" s="643"/>
      <c r="X610" s="643"/>
      <c r="Y610" s="643"/>
      <c r="Z610" s="643"/>
    </row>
    <row r="611" ht="11.25" customHeight="1">
      <c r="A611" s="646"/>
      <c r="B611" s="643"/>
      <c r="C611" s="644"/>
      <c r="D611" s="643"/>
      <c r="E611" s="643"/>
      <c r="F611" s="643"/>
      <c r="G611" s="643"/>
      <c r="H611" s="643"/>
      <c r="I611" s="643"/>
      <c r="J611" s="643"/>
      <c r="K611" s="643"/>
      <c r="L611" s="643"/>
      <c r="M611" s="643"/>
      <c r="N611" s="643"/>
      <c r="O611" s="643"/>
      <c r="P611" s="643"/>
      <c r="Q611" s="643"/>
      <c r="R611" s="643"/>
      <c r="S611" s="643"/>
      <c r="T611" s="643"/>
      <c r="U611" s="643"/>
      <c r="V611" s="643"/>
      <c r="W611" s="643"/>
      <c r="X611" s="643"/>
      <c r="Y611" s="643"/>
      <c r="Z611" s="643"/>
    </row>
    <row r="612" ht="11.25" customHeight="1">
      <c r="A612" s="646"/>
      <c r="B612" s="643"/>
      <c r="C612" s="644"/>
      <c r="D612" s="643"/>
      <c r="E612" s="643"/>
      <c r="F612" s="643"/>
      <c r="G612" s="643"/>
      <c r="H612" s="643"/>
      <c r="I612" s="643"/>
      <c r="J612" s="643"/>
      <c r="K612" s="643"/>
      <c r="L612" s="643"/>
      <c r="M612" s="643"/>
      <c r="N612" s="643"/>
      <c r="O612" s="643"/>
      <c r="P612" s="643"/>
      <c r="Q612" s="643"/>
      <c r="R612" s="643"/>
      <c r="S612" s="643"/>
      <c r="T612" s="643"/>
      <c r="U612" s="643"/>
      <c r="V612" s="643"/>
      <c r="W612" s="643"/>
      <c r="X612" s="643"/>
      <c r="Y612" s="643"/>
      <c r="Z612" s="643"/>
    </row>
    <row r="613" ht="11.25" customHeight="1">
      <c r="A613" s="646"/>
      <c r="B613" s="643"/>
      <c r="C613" s="644"/>
      <c r="D613" s="643"/>
      <c r="E613" s="643"/>
      <c r="F613" s="643"/>
      <c r="G613" s="643"/>
      <c r="H613" s="643"/>
      <c r="I613" s="643"/>
      <c r="J613" s="643"/>
      <c r="K613" s="643"/>
      <c r="L613" s="643"/>
      <c r="M613" s="643"/>
      <c r="N613" s="643"/>
      <c r="O613" s="643"/>
      <c r="P613" s="643"/>
      <c r="Q613" s="643"/>
      <c r="R613" s="643"/>
      <c r="S613" s="643"/>
      <c r="T613" s="643"/>
      <c r="U613" s="643"/>
      <c r="V613" s="643"/>
      <c r="W613" s="643"/>
      <c r="X613" s="643"/>
      <c r="Y613" s="643"/>
      <c r="Z613" s="643"/>
    </row>
    <row r="614" ht="11.25" customHeight="1">
      <c r="A614" s="646"/>
      <c r="B614" s="643"/>
      <c r="C614" s="644"/>
      <c r="D614" s="643"/>
      <c r="E614" s="643"/>
      <c r="F614" s="643"/>
      <c r="G614" s="643"/>
      <c r="H614" s="643"/>
      <c r="I614" s="643"/>
      <c r="J614" s="643"/>
      <c r="K614" s="643"/>
      <c r="L614" s="643"/>
      <c r="M614" s="643"/>
      <c r="N614" s="643"/>
      <c r="O614" s="643"/>
      <c r="P614" s="643"/>
      <c r="Q614" s="643"/>
      <c r="R614" s="643"/>
      <c r="S614" s="643"/>
      <c r="T614" s="643"/>
      <c r="U614" s="643"/>
      <c r="V614" s="643"/>
      <c r="W614" s="643"/>
      <c r="X614" s="643"/>
      <c r="Y614" s="643"/>
      <c r="Z614" s="643"/>
    </row>
    <row r="615" ht="11.25" customHeight="1">
      <c r="A615" s="646"/>
      <c r="B615" s="643"/>
      <c r="C615" s="644"/>
      <c r="D615" s="643"/>
      <c r="E615" s="643"/>
      <c r="F615" s="643"/>
      <c r="G615" s="643"/>
      <c r="H615" s="643"/>
      <c r="I615" s="643"/>
      <c r="J615" s="643"/>
      <c r="K615" s="643"/>
      <c r="L615" s="643"/>
      <c r="M615" s="643"/>
      <c r="N615" s="643"/>
      <c r="O615" s="643"/>
      <c r="P615" s="643"/>
      <c r="Q615" s="643"/>
      <c r="R615" s="643"/>
      <c r="S615" s="643"/>
      <c r="T615" s="643"/>
      <c r="U615" s="643"/>
      <c r="V615" s="643"/>
      <c r="W615" s="643"/>
      <c r="X615" s="643"/>
      <c r="Y615" s="643"/>
      <c r="Z615" s="643"/>
    </row>
    <row r="616" ht="11.25" customHeight="1">
      <c r="A616" s="646"/>
      <c r="B616" s="643"/>
      <c r="C616" s="644"/>
      <c r="D616" s="643"/>
      <c r="E616" s="643"/>
      <c r="F616" s="643"/>
      <c r="G616" s="643"/>
      <c r="H616" s="643"/>
      <c r="I616" s="643"/>
      <c r="J616" s="643"/>
      <c r="K616" s="643"/>
      <c r="L616" s="643"/>
      <c r="M616" s="643"/>
      <c r="N616" s="643"/>
      <c r="O616" s="643"/>
      <c r="P616" s="643"/>
      <c r="Q616" s="643"/>
      <c r="R616" s="643"/>
      <c r="S616" s="643"/>
      <c r="T616" s="643"/>
      <c r="U616" s="643"/>
      <c r="V616" s="643"/>
      <c r="W616" s="643"/>
      <c r="X616" s="643"/>
      <c r="Y616" s="643"/>
      <c r="Z616" s="643"/>
    </row>
    <row r="617" ht="11.25" customHeight="1">
      <c r="A617" s="646"/>
      <c r="B617" s="643"/>
      <c r="C617" s="644"/>
      <c r="D617" s="643"/>
      <c r="E617" s="643"/>
      <c r="F617" s="643"/>
      <c r="G617" s="643"/>
      <c r="H617" s="643"/>
      <c r="I617" s="643"/>
      <c r="J617" s="643"/>
      <c r="K617" s="643"/>
      <c r="L617" s="643"/>
      <c r="M617" s="643"/>
      <c r="N617" s="643"/>
      <c r="O617" s="643"/>
      <c r="P617" s="643"/>
      <c r="Q617" s="643"/>
      <c r="R617" s="643"/>
      <c r="S617" s="643"/>
      <c r="T617" s="643"/>
      <c r="U617" s="643"/>
      <c r="V617" s="643"/>
      <c r="W617" s="643"/>
      <c r="X617" s="643"/>
      <c r="Y617" s="643"/>
      <c r="Z617" s="643"/>
    </row>
    <row r="618" ht="11.25" customHeight="1">
      <c r="A618" s="646"/>
      <c r="B618" s="643"/>
      <c r="C618" s="644"/>
      <c r="D618" s="643"/>
      <c r="E618" s="643"/>
      <c r="F618" s="643"/>
      <c r="G618" s="643"/>
      <c r="H618" s="643"/>
      <c r="I618" s="643"/>
      <c r="J618" s="643"/>
      <c r="K618" s="643"/>
      <c r="L618" s="643"/>
      <c r="M618" s="643"/>
      <c r="N618" s="643"/>
      <c r="O618" s="643"/>
      <c r="P618" s="643"/>
      <c r="Q618" s="643"/>
      <c r="R618" s="643"/>
      <c r="S618" s="643"/>
      <c r="T618" s="643"/>
      <c r="U618" s="643"/>
      <c r="V618" s="643"/>
      <c r="W618" s="643"/>
      <c r="X618" s="643"/>
      <c r="Y618" s="643"/>
      <c r="Z618" s="643"/>
    </row>
    <row r="619" ht="11.25" customHeight="1">
      <c r="A619" s="646"/>
      <c r="B619" s="643"/>
      <c r="C619" s="644"/>
      <c r="D619" s="643"/>
      <c r="E619" s="643"/>
      <c r="F619" s="643"/>
      <c r="G619" s="643"/>
      <c r="H619" s="643"/>
      <c r="I619" s="643"/>
      <c r="J619" s="643"/>
      <c r="K619" s="643"/>
      <c r="L619" s="643"/>
      <c r="M619" s="643"/>
      <c r="N619" s="643"/>
      <c r="O619" s="643"/>
      <c r="P619" s="643"/>
      <c r="Q619" s="643"/>
      <c r="R619" s="643"/>
      <c r="S619" s="643"/>
      <c r="T619" s="643"/>
      <c r="U619" s="643"/>
      <c r="V619" s="643"/>
      <c r="W619" s="643"/>
      <c r="X619" s="643"/>
      <c r="Y619" s="643"/>
      <c r="Z619" s="643"/>
    </row>
    <row r="620" ht="11.25" customHeight="1">
      <c r="A620" s="646"/>
      <c r="B620" s="643"/>
      <c r="C620" s="644"/>
      <c r="D620" s="643"/>
      <c r="E620" s="643"/>
      <c r="F620" s="643"/>
      <c r="G620" s="643"/>
      <c r="H620" s="643"/>
      <c r="I620" s="643"/>
      <c r="J620" s="643"/>
      <c r="K620" s="643"/>
      <c r="L620" s="643"/>
      <c r="M620" s="643"/>
      <c r="N620" s="643"/>
      <c r="O620" s="643"/>
      <c r="P620" s="643"/>
      <c r="Q620" s="643"/>
      <c r="R620" s="643"/>
      <c r="S620" s="643"/>
      <c r="T620" s="643"/>
      <c r="U620" s="643"/>
      <c r="V620" s="643"/>
      <c r="W620" s="643"/>
      <c r="X620" s="643"/>
      <c r="Y620" s="643"/>
      <c r="Z620" s="643"/>
    </row>
    <row r="621" ht="11.25" customHeight="1">
      <c r="A621" s="646"/>
      <c r="B621" s="643"/>
      <c r="C621" s="644"/>
      <c r="D621" s="643"/>
      <c r="E621" s="643"/>
      <c r="F621" s="643"/>
      <c r="G621" s="643"/>
      <c r="H621" s="643"/>
      <c r="I621" s="643"/>
      <c r="J621" s="643"/>
      <c r="K621" s="643"/>
      <c r="L621" s="643"/>
      <c r="M621" s="643"/>
      <c r="N621" s="643"/>
      <c r="O621" s="643"/>
      <c r="P621" s="643"/>
      <c r="Q621" s="643"/>
      <c r="R621" s="643"/>
      <c r="S621" s="643"/>
      <c r="T621" s="643"/>
      <c r="U621" s="643"/>
      <c r="V621" s="643"/>
      <c r="W621" s="643"/>
      <c r="X621" s="643"/>
      <c r="Y621" s="643"/>
      <c r="Z621" s="643"/>
    </row>
    <row r="622" ht="11.25" customHeight="1">
      <c r="A622" s="646"/>
      <c r="B622" s="643"/>
      <c r="C622" s="644"/>
      <c r="D622" s="643"/>
      <c r="E622" s="643"/>
      <c r="F622" s="643"/>
      <c r="G622" s="643"/>
      <c r="H622" s="643"/>
      <c r="I622" s="643"/>
      <c r="J622" s="643"/>
      <c r="K622" s="643"/>
      <c r="L622" s="643"/>
      <c r="M622" s="643"/>
      <c r="N622" s="643"/>
      <c r="O622" s="643"/>
      <c r="P622" s="643"/>
      <c r="Q622" s="643"/>
      <c r="R622" s="643"/>
      <c r="S622" s="643"/>
      <c r="T622" s="643"/>
      <c r="U622" s="643"/>
      <c r="V622" s="643"/>
      <c r="W622" s="643"/>
      <c r="X622" s="643"/>
      <c r="Y622" s="643"/>
      <c r="Z622" s="643"/>
    </row>
    <row r="623" ht="11.25" customHeight="1">
      <c r="A623" s="646"/>
      <c r="B623" s="643"/>
      <c r="C623" s="644"/>
      <c r="D623" s="643"/>
      <c r="E623" s="643"/>
      <c r="F623" s="643"/>
      <c r="G623" s="643"/>
      <c r="H623" s="643"/>
      <c r="I623" s="643"/>
      <c r="J623" s="643"/>
      <c r="K623" s="643"/>
      <c r="L623" s="643"/>
      <c r="M623" s="643"/>
      <c r="N623" s="643"/>
      <c r="O623" s="643"/>
      <c r="P623" s="643"/>
      <c r="Q623" s="643"/>
      <c r="R623" s="643"/>
      <c r="S623" s="643"/>
      <c r="T623" s="643"/>
      <c r="U623" s="643"/>
      <c r="V623" s="643"/>
      <c r="W623" s="643"/>
      <c r="X623" s="643"/>
      <c r="Y623" s="643"/>
      <c r="Z623" s="643"/>
    </row>
    <row r="624" ht="11.25" customHeight="1">
      <c r="A624" s="646"/>
      <c r="B624" s="643"/>
      <c r="C624" s="644"/>
      <c r="D624" s="643"/>
      <c r="E624" s="643"/>
      <c r="F624" s="643"/>
      <c r="G624" s="643"/>
      <c r="H624" s="643"/>
      <c r="I624" s="643"/>
      <c r="J624" s="643"/>
      <c r="K624" s="643"/>
      <c r="L624" s="643"/>
      <c r="M624" s="643"/>
      <c r="N624" s="643"/>
      <c r="O624" s="643"/>
      <c r="P624" s="643"/>
      <c r="Q624" s="643"/>
      <c r="R624" s="643"/>
      <c r="S624" s="643"/>
      <c r="T624" s="643"/>
      <c r="U624" s="643"/>
      <c r="V624" s="643"/>
      <c r="W624" s="643"/>
      <c r="X624" s="643"/>
      <c r="Y624" s="643"/>
      <c r="Z624" s="643"/>
    </row>
    <row r="625" ht="11.25" customHeight="1">
      <c r="A625" s="646"/>
      <c r="B625" s="643"/>
      <c r="C625" s="644"/>
      <c r="D625" s="643"/>
      <c r="E625" s="643"/>
      <c r="F625" s="643"/>
      <c r="G625" s="643"/>
      <c r="H625" s="643"/>
      <c r="I625" s="643"/>
      <c r="J625" s="643"/>
      <c r="K625" s="643"/>
      <c r="L625" s="643"/>
      <c r="M625" s="643"/>
      <c r="N625" s="643"/>
      <c r="O625" s="643"/>
      <c r="P625" s="643"/>
      <c r="Q625" s="643"/>
      <c r="R625" s="643"/>
      <c r="S625" s="643"/>
      <c r="T625" s="643"/>
      <c r="U625" s="643"/>
      <c r="V625" s="643"/>
      <c r="W625" s="643"/>
      <c r="X625" s="643"/>
      <c r="Y625" s="643"/>
      <c r="Z625" s="643"/>
    </row>
    <row r="626" ht="11.25" customHeight="1">
      <c r="A626" s="646"/>
      <c r="B626" s="643"/>
      <c r="C626" s="644"/>
      <c r="D626" s="643"/>
      <c r="E626" s="643"/>
      <c r="F626" s="643"/>
      <c r="G626" s="643"/>
      <c r="H626" s="643"/>
      <c r="I626" s="643"/>
      <c r="J626" s="643"/>
      <c r="K626" s="643"/>
      <c r="L626" s="643"/>
      <c r="M626" s="643"/>
      <c r="N626" s="643"/>
      <c r="O626" s="643"/>
      <c r="P626" s="643"/>
      <c r="Q626" s="643"/>
      <c r="R626" s="643"/>
      <c r="S626" s="643"/>
      <c r="T626" s="643"/>
      <c r="U626" s="643"/>
      <c r="V626" s="643"/>
      <c r="W626" s="643"/>
      <c r="X626" s="643"/>
      <c r="Y626" s="643"/>
      <c r="Z626" s="643"/>
    </row>
    <row r="627" ht="11.25" customHeight="1">
      <c r="A627" s="646"/>
      <c r="B627" s="643"/>
      <c r="C627" s="644"/>
      <c r="D627" s="643"/>
      <c r="E627" s="643"/>
      <c r="F627" s="643"/>
      <c r="G627" s="643"/>
      <c r="H627" s="643"/>
      <c r="I627" s="643"/>
      <c r="J627" s="643"/>
      <c r="K627" s="643"/>
      <c r="L627" s="643"/>
      <c r="M627" s="643"/>
      <c r="N627" s="643"/>
      <c r="O627" s="643"/>
      <c r="P627" s="643"/>
      <c r="Q627" s="643"/>
      <c r="R627" s="643"/>
      <c r="S627" s="643"/>
      <c r="T627" s="643"/>
      <c r="U627" s="643"/>
      <c r="V627" s="643"/>
      <c r="W627" s="643"/>
      <c r="X627" s="643"/>
      <c r="Y627" s="643"/>
      <c r="Z627" s="643"/>
    </row>
    <row r="628" ht="11.25" customHeight="1">
      <c r="A628" s="646"/>
      <c r="B628" s="643"/>
      <c r="C628" s="644"/>
      <c r="D628" s="643"/>
      <c r="E628" s="643"/>
      <c r="F628" s="643"/>
      <c r="G628" s="643"/>
      <c r="H628" s="643"/>
      <c r="I628" s="643"/>
      <c r="J628" s="643"/>
      <c r="K628" s="643"/>
      <c r="L628" s="643"/>
      <c r="M628" s="643"/>
      <c r="N628" s="643"/>
      <c r="O628" s="643"/>
      <c r="P628" s="643"/>
      <c r="Q628" s="643"/>
      <c r="R628" s="643"/>
      <c r="S628" s="643"/>
      <c r="T628" s="643"/>
      <c r="U628" s="643"/>
      <c r="V628" s="643"/>
      <c r="W628" s="643"/>
      <c r="X628" s="643"/>
      <c r="Y628" s="643"/>
      <c r="Z628" s="643"/>
    </row>
    <row r="629" ht="11.25" customHeight="1">
      <c r="A629" s="646"/>
      <c r="B629" s="643"/>
      <c r="C629" s="644"/>
      <c r="D629" s="643"/>
      <c r="E629" s="643"/>
      <c r="F629" s="643"/>
      <c r="G629" s="643"/>
      <c r="H629" s="643"/>
      <c r="I629" s="643"/>
      <c r="J629" s="643"/>
      <c r="K629" s="643"/>
      <c r="L629" s="643"/>
      <c r="M629" s="643"/>
      <c r="N629" s="643"/>
      <c r="O629" s="643"/>
      <c r="P629" s="643"/>
      <c r="Q629" s="643"/>
      <c r="R629" s="643"/>
      <c r="S629" s="643"/>
      <c r="T629" s="643"/>
      <c r="U629" s="643"/>
      <c r="V629" s="643"/>
      <c r="W629" s="643"/>
      <c r="X629" s="643"/>
      <c r="Y629" s="643"/>
      <c r="Z629" s="643"/>
    </row>
    <row r="630" ht="11.25" customHeight="1">
      <c r="A630" s="646"/>
      <c r="B630" s="643"/>
      <c r="C630" s="644"/>
      <c r="D630" s="643"/>
      <c r="E630" s="643"/>
      <c r="F630" s="643"/>
      <c r="G630" s="643"/>
      <c r="H630" s="643"/>
      <c r="I630" s="643"/>
      <c r="J630" s="643"/>
      <c r="K630" s="643"/>
      <c r="L630" s="643"/>
      <c r="M630" s="643"/>
      <c r="N630" s="643"/>
      <c r="O630" s="643"/>
      <c r="P630" s="643"/>
      <c r="Q630" s="643"/>
      <c r="R630" s="643"/>
      <c r="S630" s="643"/>
      <c r="T630" s="643"/>
      <c r="U630" s="643"/>
      <c r="V630" s="643"/>
      <c r="W630" s="643"/>
      <c r="X630" s="643"/>
      <c r="Y630" s="643"/>
      <c r="Z630" s="643"/>
    </row>
    <row r="631" ht="11.25" customHeight="1">
      <c r="A631" s="646"/>
      <c r="B631" s="643"/>
      <c r="C631" s="644"/>
      <c r="D631" s="643"/>
      <c r="E631" s="643"/>
      <c r="F631" s="643"/>
      <c r="G631" s="643"/>
      <c r="H631" s="643"/>
      <c r="I631" s="643"/>
      <c r="J631" s="643"/>
      <c r="K631" s="643"/>
      <c r="L631" s="643"/>
      <c r="M631" s="643"/>
      <c r="N631" s="643"/>
      <c r="O631" s="643"/>
      <c r="P631" s="643"/>
      <c r="Q631" s="643"/>
      <c r="R631" s="643"/>
      <c r="S631" s="643"/>
      <c r="T631" s="643"/>
      <c r="U631" s="643"/>
      <c r="V631" s="643"/>
      <c r="W631" s="643"/>
      <c r="X631" s="643"/>
      <c r="Y631" s="643"/>
      <c r="Z631" s="643"/>
    </row>
    <row r="632" ht="11.25" customHeight="1">
      <c r="A632" s="646"/>
      <c r="B632" s="643"/>
      <c r="C632" s="644"/>
      <c r="D632" s="643"/>
      <c r="E632" s="643"/>
      <c r="F632" s="643"/>
      <c r="G632" s="643"/>
      <c r="H632" s="643"/>
      <c r="I632" s="643"/>
      <c r="J632" s="643"/>
      <c r="K632" s="643"/>
      <c r="L632" s="643"/>
      <c r="M632" s="643"/>
      <c r="N632" s="643"/>
      <c r="O632" s="643"/>
      <c r="P632" s="643"/>
      <c r="Q632" s="643"/>
      <c r="R632" s="643"/>
      <c r="S632" s="643"/>
      <c r="T632" s="643"/>
      <c r="U632" s="643"/>
      <c r="V632" s="643"/>
      <c r="W632" s="643"/>
      <c r="X632" s="643"/>
      <c r="Y632" s="643"/>
      <c r="Z632" s="643"/>
    </row>
    <row r="633" ht="11.25" customHeight="1">
      <c r="A633" s="646"/>
      <c r="B633" s="643"/>
      <c r="C633" s="644"/>
      <c r="D633" s="643"/>
      <c r="E633" s="643"/>
      <c r="F633" s="643"/>
      <c r="G633" s="643"/>
      <c r="H633" s="643"/>
      <c r="I633" s="643"/>
      <c r="J633" s="643"/>
      <c r="K633" s="643"/>
      <c r="L633" s="643"/>
      <c r="M633" s="643"/>
      <c r="N633" s="643"/>
      <c r="O633" s="643"/>
      <c r="P633" s="643"/>
      <c r="Q633" s="643"/>
      <c r="R633" s="643"/>
      <c r="S633" s="643"/>
      <c r="T633" s="643"/>
      <c r="U633" s="643"/>
      <c r="V633" s="643"/>
      <c r="W633" s="643"/>
      <c r="X633" s="643"/>
      <c r="Y633" s="643"/>
      <c r="Z633" s="643"/>
    </row>
    <row r="634" ht="11.25" customHeight="1">
      <c r="A634" s="646"/>
      <c r="B634" s="643"/>
      <c r="C634" s="644"/>
      <c r="D634" s="643"/>
      <c r="E634" s="643"/>
      <c r="F634" s="643"/>
      <c r="G634" s="643"/>
      <c r="H634" s="643"/>
      <c r="I634" s="643"/>
      <c r="J634" s="643"/>
      <c r="K634" s="643"/>
      <c r="L634" s="643"/>
      <c r="M634" s="643"/>
      <c r="N634" s="643"/>
      <c r="O634" s="643"/>
      <c r="P634" s="643"/>
      <c r="Q634" s="643"/>
      <c r="R634" s="643"/>
      <c r="S634" s="643"/>
      <c r="T634" s="643"/>
      <c r="U634" s="643"/>
      <c r="V634" s="643"/>
      <c r="W634" s="643"/>
      <c r="X634" s="643"/>
      <c r="Y634" s="643"/>
      <c r="Z634" s="643"/>
    </row>
    <row r="635" ht="11.25" customHeight="1">
      <c r="A635" s="646"/>
      <c r="B635" s="643"/>
      <c r="C635" s="644"/>
      <c r="D635" s="643"/>
      <c r="E635" s="643"/>
      <c r="F635" s="643"/>
      <c r="G635" s="643"/>
      <c r="H635" s="643"/>
      <c r="I635" s="643"/>
      <c r="J635" s="643"/>
      <c r="K635" s="643"/>
      <c r="L635" s="643"/>
      <c r="M635" s="643"/>
      <c r="N635" s="643"/>
      <c r="O635" s="643"/>
      <c r="P635" s="643"/>
      <c r="Q635" s="643"/>
      <c r="R635" s="643"/>
      <c r="S635" s="643"/>
      <c r="T635" s="643"/>
      <c r="U635" s="643"/>
      <c r="V635" s="643"/>
      <c r="W635" s="643"/>
      <c r="X635" s="643"/>
      <c r="Y635" s="643"/>
      <c r="Z635" s="643"/>
    </row>
    <row r="636" ht="11.25" customHeight="1">
      <c r="A636" s="646"/>
      <c r="B636" s="643"/>
      <c r="C636" s="644"/>
      <c r="D636" s="643"/>
      <c r="E636" s="643"/>
      <c r="F636" s="643"/>
      <c r="G636" s="643"/>
      <c r="H636" s="643"/>
      <c r="I636" s="643"/>
      <c r="J636" s="643"/>
      <c r="K636" s="643"/>
      <c r="L636" s="643"/>
      <c r="M636" s="643"/>
      <c r="N636" s="643"/>
      <c r="O636" s="643"/>
      <c r="P636" s="643"/>
      <c r="Q636" s="643"/>
      <c r="R636" s="643"/>
      <c r="S636" s="643"/>
      <c r="T636" s="643"/>
      <c r="U636" s="643"/>
      <c r="V636" s="643"/>
      <c r="W636" s="643"/>
      <c r="X636" s="643"/>
      <c r="Y636" s="643"/>
      <c r="Z636" s="643"/>
    </row>
    <row r="637" ht="11.25" customHeight="1">
      <c r="A637" s="646"/>
      <c r="B637" s="643"/>
      <c r="C637" s="644"/>
      <c r="D637" s="643"/>
      <c r="E637" s="643"/>
      <c r="F637" s="643"/>
      <c r="G637" s="643"/>
      <c r="H637" s="643"/>
      <c r="I637" s="643"/>
      <c r="J637" s="643"/>
      <c r="K637" s="643"/>
      <c r="L637" s="643"/>
      <c r="M637" s="643"/>
      <c r="N637" s="643"/>
      <c r="O637" s="643"/>
      <c r="P637" s="643"/>
      <c r="Q637" s="643"/>
      <c r="R637" s="643"/>
      <c r="S637" s="643"/>
      <c r="T637" s="643"/>
      <c r="U637" s="643"/>
      <c r="V637" s="643"/>
      <c r="W637" s="643"/>
      <c r="X637" s="643"/>
      <c r="Y637" s="643"/>
      <c r="Z637" s="643"/>
    </row>
    <row r="638" ht="11.25" customHeight="1">
      <c r="A638" s="646"/>
      <c r="B638" s="643"/>
      <c r="C638" s="644"/>
      <c r="D638" s="643"/>
      <c r="E638" s="643"/>
      <c r="F638" s="643"/>
      <c r="G638" s="643"/>
      <c r="H638" s="643"/>
      <c r="I638" s="643"/>
      <c r="J638" s="643"/>
      <c r="K638" s="643"/>
      <c r="L638" s="643"/>
      <c r="M638" s="643"/>
      <c r="N638" s="643"/>
      <c r="O638" s="643"/>
      <c r="P638" s="643"/>
      <c r="Q638" s="643"/>
      <c r="R638" s="643"/>
      <c r="S638" s="643"/>
      <c r="T638" s="643"/>
      <c r="U638" s="643"/>
      <c r="V638" s="643"/>
      <c r="W638" s="643"/>
      <c r="X638" s="643"/>
      <c r="Y638" s="643"/>
      <c r="Z638" s="643"/>
    </row>
    <row r="639" ht="11.25" customHeight="1">
      <c r="A639" s="646"/>
      <c r="B639" s="643"/>
      <c r="C639" s="644"/>
      <c r="D639" s="643"/>
      <c r="E639" s="643"/>
      <c r="F639" s="643"/>
      <c r="G639" s="643"/>
      <c r="H639" s="643"/>
      <c r="I639" s="643"/>
      <c r="J639" s="643"/>
      <c r="K639" s="643"/>
      <c r="L639" s="643"/>
      <c r="M639" s="643"/>
      <c r="N639" s="643"/>
      <c r="O639" s="643"/>
      <c r="P639" s="643"/>
      <c r="Q639" s="643"/>
      <c r="R639" s="643"/>
      <c r="S639" s="643"/>
      <c r="T639" s="643"/>
      <c r="U639" s="643"/>
      <c r="V639" s="643"/>
      <c r="W639" s="643"/>
      <c r="X639" s="643"/>
      <c r="Y639" s="643"/>
      <c r="Z639" s="643"/>
    </row>
    <row r="640" ht="11.25" customHeight="1">
      <c r="A640" s="646"/>
      <c r="B640" s="643"/>
      <c r="C640" s="644"/>
      <c r="D640" s="643"/>
      <c r="E640" s="643"/>
      <c r="F640" s="643"/>
      <c r="G640" s="643"/>
      <c r="H640" s="643"/>
      <c r="I640" s="643"/>
      <c r="J640" s="643"/>
      <c r="K640" s="643"/>
      <c r="L640" s="643"/>
      <c r="M640" s="643"/>
      <c r="N640" s="643"/>
      <c r="O640" s="643"/>
      <c r="P640" s="643"/>
      <c r="Q640" s="643"/>
      <c r="R640" s="643"/>
      <c r="S640" s="643"/>
      <c r="T640" s="643"/>
      <c r="U640" s="643"/>
      <c r="V640" s="643"/>
      <c r="W640" s="643"/>
      <c r="X640" s="643"/>
      <c r="Y640" s="643"/>
      <c r="Z640" s="643"/>
    </row>
    <row r="641" ht="11.25" customHeight="1">
      <c r="A641" s="646"/>
      <c r="B641" s="643"/>
      <c r="C641" s="644"/>
      <c r="D641" s="643"/>
      <c r="E641" s="643"/>
      <c r="F641" s="643"/>
      <c r="G641" s="643"/>
      <c r="H641" s="643"/>
      <c r="I641" s="643"/>
      <c r="J641" s="643"/>
      <c r="K641" s="643"/>
      <c r="L641" s="643"/>
      <c r="M641" s="643"/>
      <c r="N641" s="643"/>
      <c r="O641" s="643"/>
      <c r="P641" s="643"/>
      <c r="Q641" s="643"/>
      <c r="R641" s="643"/>
      <c r="S641" s="643"/>
      <c r="T641" s="643"/>
      <c r="U641" s="643"/>
      <c r="V641" s="643"/>
      <c r="W641" s="643"/>
      <c r="X641" s="643"/>
      <c r="Y641" s="643"/>
      <c r="Z641" s="643"/>
    </row>
    <row r="642" ht="11.25" customHeight="1">
      <c r="A642" s="646"/>
      <c r="B642" s="643"/>
      <c r="C642" s="644"/>
      <c r="D642" s="643"/>
      <c r="E642" s="643"/>
      <c r="F642" s="643"/>
      <c r="G642" s="643"/>
      <c r="H642" s="643"/>
      <c r="I642" s="643"/>
      <c r="J642" s="643"/>
      <c r="K642" s="643"/>
      <c r="L642" s="643"/>
      <c r="M642" s="643"/>
      <c r="N642" s="643"/>
      <c r="O642" s="643"/>
      <c r="P642" s="643"/>
      <c r="Q642" s="643"/>
      <c r="R642" s="643"/>
      <c r="S642" s="643"/>
      <c r="T642" s="643"/>
      <c r="U642" s="643"/>
      <c r="V642" s="643"/>
      <c r="W642" s="643"/>
      <c r="X642" s="643"/>
      <c r="Y642" s="643"/>
      <c r="Z642" s="643"/>
    </row>
    <row r="643" ht="11.25" customHeight="1">
      <c r="A643" s="646"/>
      <c r="B643" s="643"/>
      <c r="C643" s="644"/>
      <c r="D643" s="643"/>
      <c r="E643" s="643"/>
      <c r="F643" s="643"/>
      <c r="G643" s="643"/>
      <c r="H643" s="643"/>
      <c r="I643" s="643"/>
      <c r="J643" s="643"/>
      <c r="K643" s="643"/>
      <c r="L643" s="643"/>
      <c r="M643" s="643"/>
      <c r="N643" s="643"/>
      <c r="O643" s="643"/>
      <c r="P643" s="643"/>
      <c r="Q643" s="643"/>
      <c r="R643" s="643"/>
      <c r="S643" s="643"/>
      <c r="T643" s="643"/>
      <c r="U643" s="643"/>
      <c r="V643" s="643"/>
      <c r="W643" s="643"/>
      <c r="X643" s="643"/>
      <c r="Y643" s="643"/>
      <c r="Z643" s="643"/>
    </row>
    <row r="644" ht="11.25" customHeight="1">
      <c r="A644" s="646"/>
      <c r="B644" s="643"/>
      <c r="C644" s="644"/>
      <c r="D644" s="643"/>
      <c r="E644" s="643"/>
      <c r="F644" s="643"/>
      <c r="G644" s="643"/>
      <c r="H644" s="643"/>
      <c r="I644" s="643"/>
      <c r="J644" s="643"/>
      <c r="K644" s="643"/>
      <c r="L644" s="643"/>
      <c r="M644" s="643"/>
      <c r="N644" s="643"/>
      <c r="O644" s="643"/>
      <c r="P644" s="643"/>
      <c r="Q644" s="643"/>
      <c r="R644" s="643"/>
      <c r="S644" s="643"/>
      <c r="T644" s="643"/>
      <c r="U644" s="643"/>
      <c r="V644" s="643"/>
      <c r="W644" s="643"/>
      <c r="X644" s="643"/>
      <c r="Y644" s="643"/>
      <c r="Z644" s="643"/>
    </row>
    <row r="645" ht="11.25" customHeight="1">
      <c r="A645" s="646"/>
      <c r="B645" s="643"/>
      <c r="C645" s="644"/>
      <c r="D645" s="643"/>
      <c r="E645" s="643"/>
      <c r="F645" s="643"/>
      <c r="G645" s="643"/>
      <c r="H645" s="643"/>
      <c r="I645" s="643"/>
      <c r="J645" s="643"/>
      <c r="K645" s="643"/>
      <c r="L645" s="643"/>
      <c r="M645" s="643"/>
      <c r="N645" s="643"/>
      <c r="O645" s="643"/>
      <c r="P645" s="643"/>
      <c r="Q645" s="643"/>
      <c r="R645" s="643"/>
      <c r="S645" s="643"/>
      <c r="T645" s="643"/>
      <c r="U645" s="643"/>
      <c r="V645" s="643"/>
      <c r="W645" s="643"/>
      <c r="X645" s="643"/>
      <c r="Y645" s="643"/>
      <c r="Z645" s="643"/>
    </row>
    <row r="646" ht="11.25" customHeight="1">
      <c r="A646" s="646"/>
      <c r="B646" s="643"/>
      <c r="C646" s="644"/>
      <c r="D646" s="643"/>
      <c r="E646" s="643"/>
      <c r="F646" s="643"/>
      <c r="G646" s="643"/>
      <c r="H646" s="643"/>
      <c r="I646" s="643"/>
      <c r="J646" s="643"/>
      <c r="K646" s="643"/>
      <c r="L646" s="643"/>
      <c r="M646" s="643"/>
      <c r="N646" s="643"/>
      <c r="O646" s="643"/>
      <c r="P646" s="643"/>
      <c r="Q646" s="643"/>
      <c r="R646" s="643"/>
      <c r="S646" s="643"/>
      <c r="T646" s="643"/>
      <c r="U646" s="643"/>
      <c r="V646" s="643"/>
      <c r="W646" s="643"/>
      <c r="X646" s="643"/>
      <c r="Y646" s="643"/>
      <c r="Z646" s="643"/>
    </row>
    <row r="647" ht="11.25" customHeight="1">
      <c r="A647" s="646"/>
      <c r="B647" s="643"/>
      <c r="C647" s="644"/>
      <c r="D647" s="643"/>
      <c r="E647" s="643"/>
      <c r="F647" s="643"/>
      <c r="G647" s="643"/>
      <c r="H647" s="643"/>
      <c r="I647" s="643"/>
      <c r="J647" s="643"/>
      <c r="K647" s="643"/>
      <c r="L647" s="643"/>
      <c r="M647" s="643"/>
      <c r="N647" s="643"/>
      <c r="O647" s="643"/>
      <c r="P647" s="643"/>
      <c r="Q647" s="643"/>
      <c r="R647" s="643"/>
      <c r="S647" s="643"/>
      <c r="T647" s="643"/>
      <c r="U647" s="643"/>
      <c r="V647" s="643"/>
      <c r="W647" s="643"/>
      <c r="X647" s="643"/>
      <c r="Y647" s="643"/>
      <c r="Z647" s="643"/>
    </row>
    <row r="648" ht="11.25" customHeight="1">
      <c r="A648" s="646"/>
      <c r="B648" s="643"/>
      <c r="C648" s="644"/>
      <c r="D648" s="643"/>
      <c r="E648" s="643"/>
      <c r="F648" s="643"/>
      <c r="G648" s="643"/>
      <c r="H648" s="643"/>
      <c r="I648" s="643"/>
      <c r="J648" s="643"/>
      <c r="K648" s="643"/>
      <c r="L648" s="643"/>
      <c r="M648" s="643"/>
      <c r="N648" s="643"/>
      <c r="O648" s="643"/>
      <c r="P648" s="643"/>
      <c r="Q648" s="643"/>
      <c r="R648" s="643"/>
      <c r="S648" s="643"/>
      <c r="T648" s="643"/>
      <c r="U648" s="643"/>
      <c r="V648" s="643"/>
      <c r="W648" s="643"/>
      <c r="X648" s="643"/>
      <c r="Y648" s="643"/>
      <c r="Z648" s="643"/>
    </row>
    <row r="649" ht="11.25" customHeight="1">
      <c r="A649" s="646"/>
      <c r="B649" s="643"/>
      <c r="C649" s="644"/>
      <c r="D649" s="643"/>
      <c r="E649" s="643"/>
      <c r="F649" s="643"/>
      <c r="G649" s="643"/>
      <c r="H649" s="643"/>
      <c r="I649" s="643"/>
      <c r="J649" s="643"/>
      <c r="K649" s="643"/>
      <c r="L649" s="643"/>
      <c r="M649" s="643"/>
      <c r="N649" s="643"/>
      <c r="O649" s="643"/>
      <c r="P649" s="643"/>
      <c r="Q649" s="643"/>
      <c r="R649" s="643"/>
      <c r="S649" s="643"/>
      <c r="T649" s="643"/>
      <c r="U649" s="643"/>
      <c r="V649" s="643"/>
      <c r="W649" s="643"/>
      <c r="X649" s="643"/>
      <c r="Y649" s="643"/>
      <c r="Z649" s="643"/>
    </row>
    <row r="650" ht="11.25" customHeight="1">
      <c r="A650" s="646"/>
      <c r="B650" s="643"/>
      <c r="C650" s="644"/>
      <c r="D650" s="643"/>
      <c r="E650" s="643"/>
      <c r="F650" s="643"/>
      <c r="G650" s="643"/>
      <c r="H650" s="643"/>
      <c r="I650" s="643"/>
      <c r="J650" s="643"/>
      <c r="K650" s="643"/>
      <c r="L650" s="643"/>
      <c r="M650" s="643"/>
      <c r="N650" s="643"/>
      <c r="O650" s="643"/>
      <c r="P650" s="643"/>
      <c r="Q650" s="643"/>
      <c r="R650" s="643"/>
      <c r="S650" s="643"/>
      <c r="T650" s="643"/>
      <c r="U650" s="643"/>
      <c r="V650" s="643"/>
      <c r="W650" s="643"/>
      <c r="X650" s="643"/>
      <c r="Y650" s="643"/>
      <c r="Z650" s="643"/>
    </row>
    <row r="651" ht="11.25" customHeight="1">
      <c r="A651" s="646"/>
      <c r="B651" s="643"/>
      <c r="C651" s="644"/>
      <c r="D651" s="643"/>
      <c r="E651" s="643"/>
      <c r="F651" s="643"/>
      <c r="G651" s="643"/>
      <c r="H651" s="643"/>
      <c r="I651" s="643"/>
      <c r="J651" s="643"/>
      <c r="K651" s="643"/>
      <c r="L651" s="643"/>
      <c r="M651" s="643"/>
      <c r="N651" s="643"/>
      <c r="O651" s="643"/>
      <c r="P651" s="643"/>
      <c r="Q651" s="643"/>
      <c r="R651" s="643"/>
      <c r="S651" s="643"/>
      <c r="T651" s="643"/>
      <c r="U651" s="643"/>
      <c r="V651" s="643"/>
      <c r="W651" s="643"/>
      <c r="X651" s="643"/>
      <c r="Y651" s="643"/>
      <c r="Z651" s="643"/>
    </row>
    <row r="652" ht="11.25" customHeight="1">
      <c r="A652" s="646"/>
      <c r="B652" s="643"/>
      <c r="C652" s="644"/>
      <c r="D652" s="643"/>
      <c r="E652" s="643"/>
      <c r="F652" s="643"/>
      <c r="G652" s="643"/>
      <c r="H652" s="643"/>
      <c r="I652" s="643"/>
      <c r="J652" s="643"/>
      <c r="K652" s="643"/>
      <c r="L652" s="643"/>
      <c r="M652" s="643"/>
      <c r="N652" s="643"/>
      <c r="O652" s="643"/>
      <c r="P652" s="643"/>
      <c r="Q652" s="643"/>
      <c r="R652" s="643"/>
      <c r="S652" s="643"/>
      <c r="T652" s="643"/>
      <c r="U652" s="643"/>
      <c r="V652" s="643"/>
      <c r="W652" s="643"/>
      <c r="X652" s="643"/>
      <c r="Y652" s="643"/>
      <c r="Z652" s="643"/>
    </row>
    <row r="653" ht="11.25" customHeight="1">
      <c r="A653" s="646"/>
      <c r="B653" s="643"/>
      <c r="C653" s="644"/>
      <c r="D653" s="643"/>
      <c r="E653" s="643"/>
      <c r="F653" s="643"/>
      <c r="G653" s="643"/>
      <c r="H653" s="643"/>
      <c r="I653" s="643"/>
      <c r="J653" s="643"/>
      <c r="K653" s="643"/>
      <c r="L653" s="643"/>
      <c r="M653" s="643"/>
      <c r="N653" s="643"/>
      <c r="O653" s="643"/>
      <c r="P653" s="643"/>
      <c r="Q653" s="643"/>
      <c r="R653" s="643"/>
      <c r="S653" s="643"/>
      <c r="T653" s="643"/>
      <c r="U653" s="643"/>
      <c r="V653" s="643"/>
      <c r="W653" s="643"/>
      <c r="X653" s="643"/>
      <c r="Y653" s="643"/>
      <c r="Z653" s="643"/>
    </row>
    <row r="654" ht="11.25" customHeight="1">
      <c r="A654" s="646"/>
      <c r="B654" s="643"/>
      <c r="C654" s="644"/>
      <c r="D654" s="643"/>
      <c r="E654" s="643"/>
      <c r="F654" s="643"/>
      <c r="G654" s="643"/>
      <c r="H654" s="643"/>
      <c r="I654" s="643"/>
      <c r="J654" s="643"/>
      <c r="K654" s="643"/>
      <c r="L654" s="643"/>
      <c r="M654" s="643"/>
      <c r="N654" s="643"/>
      <c r="O654" s="643"/>
      <c r="P654" s="643"/>
      <c r="Q654" s="643"/>
      <c r="R654" s="643"/>
      <c r="S654" s="643"/>
      <c r="T654" s="643"/>
      <c r="U654" s="643"/>
      <c r="V654" s="643"/>
      <c r="W654" s="643"/>
      <c r="X654" s="643"/>
      <c r="Y654" s="643"/>
      <c r="Z654" s="643"/>
    </row>
    <row r="655" ht="11.25" customHeight="1">
      <c r="A655" s="646"/>
      <c r="B655" s="643"/>
      <c r="C655" s="644"/>
      <c r="D655" s="643"/>
      <c r="E655" s="643"/>
      <c r="F655" s="643"/>
      <c r="G655" s="643"/>
      <c r="H655" s="643"/>
      <c r="I655" s="643"/>
      <c r="J655" s="643"/>
      <c r="K655" s="643"/>
      <c r="L655" s="643"/>
      <c r="M655" s="643"/>
      <c r="N655" s="643"/>
      <c r="O655" s="643"/>
      <c r="P655" s="643"/>
      <c r="Q655" s="643"/>
      <c r="R655" s="643"/>
      <c r="S655" s="643"/>
      <c r="T655" s="643"/>
      <c r="U655" s="643"/>
      <c r="V655" s="643"/>
      <c r="W655" s="643"/>
      <c r="X655" s="643"/>
      <c r="Y655" s="643"/>
      <c r="Z655" s="643"/>
    </row>
    <row r="656" ht="11.25" customHeight="1">
      <c r="A656" s="646"/>
      <c r="B656" s="643"/>
      <c r="C656" s="644"/>
      <c r="D656" s="643"/>
      <c r="E656" s="643"/>
      <c r="F656" s="643"/>
      <c r="G656" s="643"/>
      <c r="H656" s="643"/>
      <c r="I656" s="643"/>
      <c r="J656" s="643"/>
      <c r="K656" s="643"/>
      <c r="L656" s="643"/>
      <c r="M656" s="643"/>
      <c r="N656" s="643"/>
      <c r="O656" s="643"/>
      <c r="P656" s="643"/>
      <c r="Q656" s="643"/>
      <c r="R656" s="643"/>
      <c r="S656" s="643"/>
      <c r="T656" s="643"/>
      <c r="U656" s="643"/>
      <c r="V656" s="643"/>
      <c r="W656" s="643"/>
      <c r="X656" s="643"/>
      <c r="Y656" s="643"/>
      <c r="Z656" s="643"/>
    </row>
    <row r="657" ht="11.25" customHeight="1">
      <c r="A657" s="646"/>
      <c r="B657" s="643"/>
      <c r="C657" s="644"/>
      <c r="D657" s="643"/>
      <c r="E657" s="643"/>
      <c r="F657" s="643"/>
      <c r="G657" s="643"/>
      <c r="H657" s="643"/>
      <c r="I657" s="643"/>
      <c r="J657" s="643"/>
      <c r="K657" s="643"/>
      <c r="L657" s="643"/>
      <c r="M657" s="643"/>
      <c r="N657" s="643"/>
      <c r="O657" s="643"/>
      <c r="P657" s="643"/>
      <c r="Q657" s="643"/>
      <c r="R657" s="643"/>
      <c r="S657" s="643"/>
      <c r="T657" s="643"/>
      <c r="U657" s="643"/>
      <c r="V657" s="643"/>
      <c r="W657" s="643"/>
      <c r="X657" s="643"/>
      <c r="Y657" s="643"/>
      <c r="Z657" s="643"/>
    </row>
    <row r="658" ht="11.25" customHeight="1">
      <c r="A658" s="646"/>
      <c r="B658" s="643"/>
      <c r="C658" s="644"/>
      <c r="D658" s="643"/>
      <c r="E658" s="643"/>
      <c r="F658" s="643"/>
      <c r="G658" s="643"/>
      <c r="H658" s="643"/>
      <c r="I658" s="643"/>
      <c r="J658" s="643"/>
      <c r="K658" s="643"/>
      <c r="L658" s="643"/>
      <c r="M658" s="643"/>
      <c r="N658" s="643"/>
      <c r="O658" s="643"/>
      <c r="P658" s="643"/>
      <c r="Q658" s="643"/>
      <c r="R658" s="643"/>
      <c r="S658" s="643"/>
      <c r="T658" s="643"/>
      <c r="U658" s="643"/>
      <c r="V658" s="643"/>
      <c r="W658" s="643"/>
      <c r="X658" s="643"/>
      <c r="Y658" s="643"/>
      <c r="Z658" s="643"/>
    </row>
    <row r="659" ht="11.25" customHeight="1">
      <c r="A659" s="646"/>
      <c r="B659" s="643"/>
      <c r="C659" s="644"/>
      <c r="D659" s="643"/>
      <c r="E659" s="643"/>
      <c r="F659" s="643"/>
      <c r="G659" s="643"/>
      <c r="H659" s="643"/>
      <c r="I659" s="643"/>
      <c r="J659" s="643"/>
      <c r="K659" s="643"/>
      <c r="L659" s="643"/>
      <c r="M659" s="643"/>
      <c r="N659" s="643"/>
      <c r="O659" s="643"/>
      <c r="P659" s="643"/>
      <c r="Q659" s="643"/>
      <c r="R659" s="643"/>
      <c r="S659" s="643"/>
      <c r="T659" s="643"/>
      <c r="U659" s="643"/>
      <c r="V659" s="643"/>
      <c r="W659" s="643"/>
      <c r="X659" s="643"/>
      <c r="Y659" s="643"/>
      <c r="Z659" s="643"/>
    </row>
    <row r="660" ht="11.25" customHeight="1">
      <c r="A660" s="646"/>
      <c r="B660" s="643"/>
      <c r="C660" s="644"/>
      <c r="D660" s="643"/>
      <c r="E660" s="643"/>
      <c r="F660" s="643"/>
      <c r="G660" s="643"/>
      <c r="H660" s="643"/>
      <c r="I660" s="643"/>
      <c r="J660" s="643"/>
      <c r="K660" s="643"/>
      <c r="L660" s="643"/>
      <c r="M660" s="643"/>
      <c r="N660" s="643"/>
      <c r="O660" s="643"/>
      <c r="P660" s="643"/>
      <c r="Q660" s="643"/>
      <c r="R660" s="643"/>
      <c r="S660" s="643"/>
      <c r="T660" s="643"/>
      <c r="U660" s="643"/>
      <c r="V660" s="643"/>
      <c r="W660" s="643"/>
      <c r="X660" s="643"/>
      <c r="Y660" s="643"/>
      <c r="Z660" s="643"/>
    </row>
    <row r="661" ht="11.25" customHeight="1">
      <c r="A661" s="646"/>
      <c r="B661" s="643"/>
      <c r="C661" s="644"/>
      <c r="D661" s="643"/>
      <c r="E661" s="643"/>
      <c r="F661" s="643"/>
      <c r="G661" s="643"/>
      <c r="H661" s="643"/>
      <c r="I661" s="643"/>
      <c r="J661" s="643"/>
      <c r="K661" s="643"/>
      <c r="L661" s="643"/>
      <c r="M661" s="643"/>
      <c r="N661" s="643"/>
      <c r="O661" s="643"/>
      <c r="P661" s="643"/>
      <c r="Q661" s="643"/>
      <c r="R661" s="643"/>
      <c r="S661" s="643"/>
      <c r="T661" s="643"/>
      <c r="U661" s="643"/>
      <c r="V661" s="643"/>
      <c r="W661" s="643"/>
      <c r="X661" s="643"/>
      <c r="Y661" s="643"/>
      <c r="Z661" s="643"/>
    </row>
    <row r="662" ht="11.25" customHeight="1">
      <c r="A662" s="646"/>
      <c r="B662" s="643"/>
      <c r="C662" s="644"/>
      <c r="D662" s="643"/>
      <c r="E662" s="643"/>
      <c r="F662" s="643"/>
      <c r="G662" s="643"/>
      <c r="H662" s="643"/>
      <c r="I662" s="643"/>
      <c r="J662" s="643"/>
      <c r="K662" s="643"/>
      <c r="L662" s="643"/>
      <c r="M662" s="643"/>
      <c r="N662" s="643"/>
      <c r="O662" s="643"/>
      <c r="P662" s="643"/>
      <c r="Q662" s="643"/>
      <c r="R662" s="643"/>
      <c r="S662" s="643"/>
      <c r="T662" s="643"/>
      <c r="U662" s="643"/>
      <c r="V662" s="643"/>
      <c r="W662" s="643"/>
      <c r="X662" s="643"/>
      <c r="Y662" s="643"/>
      <c r="Z662" s="643"/>
    </row>
    <row r="663" ht="11.25" customHeight="1">
      <c r="A663" s="646"/>
      <c r="B663" s="643"/>
      <c r="C663" s="644"/>
      <c r="D663" s="643"/>
      <c r="E663" s="643"/>
      <c r="F663" s="643"/>
      <c r="G663" s="643"/>
      <c r="H663" s="643"/>
      <c r="I663" s="643"/>
      <c r="J663" s="643"/>
      <c r="K663" s="643"/>
      <c r="L663" s="643"/>
      <c r="M663" s="643"/>
      <c r="N663" s="643"/>
      <c r="O663" s="643"/>
      <c r="P663" s="643"/>
      <c r="Q663" s="643"/>
      <c r="R663" s="643"/>
      <c r="S663" s="643"/>
      <c r="T663" s="643"/>
      <c r="U663" s="643"/>
      <c r="V663" s="643"/>
      <c r="W663" s="643"/>
      <c r="X663" s="643"/>
      <c r="Y663" s="643"/>
      <c r="Z663" s="643"/>
    </row>
    <row r="664" ht="11.25" customHeight="1">
      <c r="A664" s="646"/>
      <c r="B664" s="643"/>
      <c r="C664" s="644"/>
      <c r="D664" s="643"/>
      <c r="E664" s="643"/>
      <c r="F664" s="643"/>
      <c r="G664" s="643"/>
      <c r="H664" s="643"/>
      <c r="I664" s="643"/>
      <c r="J664" s="643"/>
      <c r="K664" s="643"/>
      <c r="L664" s="643"/>
      <c r="M664" s="643"/>
      <c r="N664" s="643"/>
      <c r="O664" s="643"/>
      <c r="P664" s="643"/>
      <c r="Q664" s="643"/>
      <c r="R664" s="643"/>
      <c r="S664" s="643"/>
      <c r="T664" s="643"/>
      <c r="U664" s="643"/>
      <c r="V664" s="643"/>
      <c r="W664" s="643"/>
      <c r="X664" s="643"/>
      <c r="Y664" s="643"/>
      <c r="Z664" s="643"/>
    </row>
    <row r="665" ht="11.25" customHeight="1">
      <c r="A665" s="646"/>
      <c r="B665" s="643"/>
      <c r="C665" s="644"/>
      <c r="D665" s="643"/>
      <c r="E665" s="643"/>
      <c r="F665" s="643"/>
      <c r="G665" s="643"/>
      <c r="H665" s="643"/>
      <c r="I665" s="643"/>
      <c r="J665" s="643"/>
      <c r="K665" s="643"/>
      <c r="L665" s="643"/>
      <c r="M665" s="643"/>
      <c r="N665" s="643"/>
      <c r="O665" s="643"/>
      <c r="P665" s="643"/>
      <c r="Q665" s="643"/>
      <c r="R665" s="643"/>
      <c r="S665" s="643"/>
      <c r="T665" s="643"/>
      <c r="U665" s="643"/>
      <c r="V665" s="643"/>
      <c r="W665" s="643"/>
      <c r="X665" s="643"/>
      <c r="Y665" s="643"/>
      <c r="Z665" s="643"/>
    </row>
    <row r="666" ht="11.25" customHeight="1">
      <c r="A666" s="646"/>
      <c r="B666" s="643"/>
      <c r="C666" s="644"/>
      <c r="D666" s="643"/>
      <c r="E666" s="643"/>
      <c r="F666" s="643"/>
      <c r="G666" s="643"/>
      <c r="H666" s="643"/>
      <c r="I666" s="643"/>
      <c r="J666" s="643"/>
      <c r="K666" s="643"/>
      <c r="L666" s="643"/>
      <c r="M666" s="643"/>
      <c r="N666" s="643"/>
      <c r="O666" s="643"/>
      <c r="P666" s="643"/>
      <c r="Q666" s="643"/>
      <c r="R666" s="643"/>
      <c r="S666" s="643"/>
      <c r="T666" s="643"/>
      <c r="U666" s="643"/>
      <c r="V666" s="643"/>
      <c r="W666" s="643"/>
      <c r="X666" s="643"/>
      <c r="Y666" s="643"/>
      <c r="Z666" s="643"/>
    </row>
    <row r="667" ht="11.25" customHeight="1">
      <c r="A667" s="646"/>
      <c r="B667" s="643"/>
      <c r="C667" s="644"/>
      <c r="D667" s="643"/>
      <c r="E667" s="643"/>
      <c r="F667" s="643"/>
      <c r="G667" s="643"/>
      <c r="H667" s="643"/>
      <c r="I667" s="643"/>
      <c r="J667" s="643"/>
      <c r="K667" s="643"/>
      <c r="L667" s="643"/>
      <c r="M667" s="643"/>
      <c r="N667" s="643"/>
      <c r="O667" s="643"/>
      <c r="P667" s="643"/>
      <c r="Q667" s="643"/>
      <c r="R667" s="643"/>
      <c r="S667" s="643"/>
      <c r="T667" s="643"/>
      <c r="U667" s="643"/>
      <c r="V667" s="643"/>
      <c r="W667" s="643"/>
      <c r="X667" s="643"/>
      <c r="Y667" s="643"/>
      <c r="Z667" s="643"/>
    </row>
    <row r="668" ht="11.25" customHeight="1">
      <c r="A668" s="646"/>
      <c r="B668" s="643"/>
      <c r="C668" s="644"/>
      <c r="D668" s="643"/>
      <c r="E668" s="643"/>
      <c r="F668" s="643"/>
      <c r="G668" s="643"/>
      <c r="H668" s="643"/>
      <c r="I668" s="643"/>
      <c r="J668" s="643"/>
      <c r="K668" s="643"/>
      <c r="L668" s="643"/>
      <c r="M668" s="643"/>
      <c r="N668" s="643"/>
      <c r="O668" s="643"/>
      <c r="P668" s="643"/>
      <c r="Q668" s="643"/>
      <c r="R668" s="643"/>
      <c r="S668" s="643"/>
      <c r="T668" s="643"/>
      <c r="U668" s="643"/>
      <c r="V668" s="643"/>
      <c r="W668" s="643"/>
      <c r="X668" s="643"/>
      <c r="Y668" s="643"/>
      <c r="Z668" s="643"/>
    </row>
    <row r="669" ht="11.25" customHeight="1">
      <c r="A669" s="646"/>
      <c r="B669" s="643"/>
      <c r="C669" s="644"/>
      <c r="D669" s="643"/>
      <c r="E669" s="643"/>
      <c r="F669" s="643"/>
      <c r="G669" s="643"/>
      <c r="H669" s="643"/>
      <c r="I669" s="643"/>
      <c r="J669" s="643"/>
      <c r="K669" s="643"/>
      <c r="L669" s="643"/>
      <c r="M669" s="643"/>
      <c r="N669" s="643"/>
      <c r="O669" s="643"/>
      <c r="P669" s="643"/>
      <c r="Q669" s="643"/>
      <c r="R669" s="643"/>
      <c r="S669" s="643"/>
      <c r="T669" s="643"/>
      <c r="U669" s="643"/>
      <c r="V669" s="643"/>
      <c r="W669" s="643"/>
      <c r="X669" s="643"/>
      <c r="Y669" s="643"/>
      <c r="Z669" s="643"/>
    </row>
    <row r="670" ht="11.25" customHeight="1">
      <c r="A670" s="646"/>
      <c r="B670" s="643"/>
      <c r="C670" s="644"/>
      <c r="D670" s="643"/>
      <c r="E670" s="643"/>
      <c r="F670" s="643"/>
      <c r="G670" s="643"/>
      <c r="H670" s="643"/>
      <c r="I670" s="643"/>
      <c r="J670" s="643"/>
      <c r="K670" s="643"/>
      <c r="L670" s="643"/>
      <c r="M670" s="643"/>
      <c r="N670" s="643"/>
      <c r="O670" s="643"/>
      <c r="P670" s="643"/>
      <c r="Q670" s="643"/>
      <c r="R670" s="643"/>
      <c r="S670" s="643"/>
      <c r="T670" s="643"/>
      <c r="U670" s="643"/>
      <c r="V670" s="643"/>
      <c r="W670" s="643"/>
      <c r="X670" s="643"/>
      <c r="Y670" s="643"/>
      <c r="Z670" s="643"/>
    </row>
    <row r="671" ht="11.25" customHeight="1">
      <c r="A671" s="646"/>
      <c r="B671" s="643"/>
      <c r="C671" s="644"/>
      <c r="D671" s="643"/>
      <c r="E671" s="643"/>
      <c r="F671" s="643"/>
      <c r="G671" s="643"/>
      <c r="H671" s="643"/>
      <c r="I671" s="643"/>
      <c r="J671" s="643"/>
      <c r="K671" s="643"/>
      <c r="L671" s="643"/>
      <c r="M671" s="643"/>
      <c r="N671" s="643"/>
      <c r="O671" s="643"/>
      <c r="P671" s="643"/>
      <c r="Q671" s="643"/>
      <c r="R671" s="643"/>
      <c r="S671" s="643"/>
      <c r="T671" s="643"/>
      <c r="U671" s="643"/>
      <c r="V671" s="643"/>
      <c r="W671" s="643"/>
      <c r="X671" s="643"/>
      <c r="Y671" s="643"/>
      <c r="Z671" s="643"/>
    </row>
    <row r="672" ht="11.25" customHeight="1">
      <c r="A672" s="646"/>
      <c r="B672" s="643"/>
      <c r="C672" s="644"/>
      <c r="D672" s="643"/>
      <c r="E672" s="643"/>
      <c r="F672" s="643"/>
      <c r="G672" s="643"/>
      <c r="H672" s="643"/>
      <c r="I672" s="643"/>
      <c r="J672" s="643"/>
      <c r="K672" s="643"/>
      <c r="L672" s="643"/>
      <c r="M672" s="643"/>
      <c r="N672" s="643"/>
      <c r="O672" s="643"/>
      <c r="P672" s="643"/>
      <c r="Q672" s="643"/>
      <c r="R672" s="643"/>
      <c r="S672" s="643"/>
      <c r="T672" s="643"/>
      <c r="U672" s="643"/>
      <c r="V672" s="643"/>
      <c r="W672" s="643"/>
      <c r="X672" s="643"/>
      <c r="Y672" s="643"/>
      <c r="Z672" s="643"/>
    </row>
    <row r="673" ht="11.25" customHeight="1">
      <c r="A673" s="646"/>
      <c r="B673" s="643"/>
      <c r="C673" s="644"/>
      <c r="D673" s="643"/>
      <c r="E673" s="643"/>
      <c r="F673" s="643"/>
      <c r="G673" s="643"/>
      <c r="H673" s="643"/>
      <c r="I673" s="643"/>
      <c r="J673" s="643"/>
      <c r="K673" s="643"/>
      <c r="L673" s="643"/>
      <c r="M673" s="643"/>
      <c r="N673" s="643"/>
      <c r="O673" s="643"/>
      <c r="P673" s="643"/>
      <c r="Q673" s="643"/>
      <c r="R673" s="643"/>
      <c r="S673" s="643"/>
      <c r="T673" s="643"/>
      <c r="U673" s="643"/>
      <c r="V673" s="643"/>
      <c r="W673" s="643"/>
      <c r="X673" s="643"/>
      <c r="Y673" s="643"/>
      <c r="Z673" s="643"/>
    </row>
    <row r="674" ht="11.25" customHeight="1">
      <c r="A674" s="646"/>
      <c r="B674" s="643"/>
      <c r="C674" s="644"/>
      <c r="D674" s="643"/>
      <c r="E674" s="643"/>
      <c r="F674" s="643"/>
      <c r="G674" s="643"/>
      <c r="H674" s="643"/>
      <c r="I674" s="643"/>
      <c r="J674" s="643"/>
      <c r="K674" s="643"/>
      <c r="L674" s="643"/>
      <c r="M674" s="643"/>
      <c r="N674" s="643"/>
      <c r="O674" s="643"/>
      <c r="P674" s="643"/>
      <c r="Q674" s="643"/>
      <c r="R674" s="643"/>
      <c r="S674" s="643"/>
      <c r="T674" s="643"/>
      <c r="U674" s="643"/>
      <c r="V674" s="643"/>
      <c r="W674" s="643"/>
      <c r="X674" s="643"/>
      <c r="Y674" s="643"/>
      <c r="Z674" s="643"/>
    </row>
    <row r="675" ht="11.25" customHeight="1">
      <c r="A675" s="646"/>
      <c r="B675" s="643"/>
      <c r="C675" s="644"/>
      <c r="D675" s="643"/>
      <c r="E675" s="643"/>
      <c r="F675" s="643"/>
      <c r="G675" s="643"/>
      <c r="H675" s="643"/>
      <c r="I675" s="643"/>
      <c r="J675" s="643"/>
      <c r="K675" s="643"/>
      <c r="L675" s="643"/>
      <c r="M675" s="643"/>
      <c r="N675" s="643"/>
      <c r="O675" s="643"/>
      <c r="P675" s="643"/>
      <c r="Q675" s="643"/>
      <c r="R675" s="643"/>
      <c r="S675" s="643"/>
      <c r="T675" s="643"/>
      <c r="U675" s="643"/>
      <c r="V675" s="643"/>
      <c r="W675" s="643"/>
      <c r="X675" s="643"/>
      <c r="Y675" s="643"/>
      <c r="Z675" s="643"/>
    </row>
    <row r="676" ht="11.25" customHeight="1">
      <c r="A676" s="646"/>
      <c r="B676" s="643"/>
      <c r="C676" s="644"/>
      <c r="D676" s="643"/>
      <c r="E676" s="643"/>
      <c r="F676" s="643"/>
      <c r="G676" s="643"/>
      <c r="H676" s="643"/>
      <c r="I676" s="643"/>
      <c r="J676" s="643"/>
      <c r="K676" s="643"/>
      <c r="L676" s="643"/>
      <c r="M676" s="643"/>
      <c r="N676" s="643"/>
      <c r="O676" s="643"/>
      <c r="P676" s="643"/>
      <c r="Q676" s="643"/>
      <c r="R676" s="643"/>
      <c r="S676" s="643"/>
      <c r="T676" s="643"/>
      <c r="U676" s="643"/>
      <c r="V676" s="643"/>
      <c r="W676" s="643"/>
      <c r="X676" s="643"/>
      <c r="Y676" s="643"/>
      <c r="Z676" s="643"/>
    </row>
    <row r="677" ht="11.25" customHeight="1">
      <c r="A677" s="646"/>
      <c r="B677" s="643"/>
      <c r="C677" s="644"/>
      <c r="D677" s="643"/>
      <c r="E677" s="643"/>
      <c r="F677" s="643"/>
      <c r="G677" s="643"/>
      <c r="H677" s="643"/>
      <c r="I677" s="643"/>
      <c r="J677" s="643"/>
      <c r="K677" s="643"/>
      <c r="L677" s="643"/>
      <c r="M677" s="643"/>
      <c r="N677" s="643"/>
      <c r="O677" s="643"/>
      <c r="P677" s="643"/>
      <c r="Q677" s="643"/>
      <c r="R677" s="643"/>
      <c r="S677" s="643"/>
      <c r="T677" s="643"/>
      <c r="U677" s="643"/>
      <c r="V677" s="643"/>
      <c r="W677" s="643"/>
      <c r="X677" s="643"/>
      <c r="Y677" s="643"/>
      <c r="Z677" s="643"/>
    </row>
    <row r="678" ht="11.25" customHeight="1">
      <c r="A678" s="646"/>
      <c r="B678" s="643"/>
      <c r="C678" s="644"/>
      <c r="D678" s="643"/>
      <c r="E678" s="643"/>
      <c r="F678" s="643"/>
      <c r="G678" s="643"/>
      <c r="H678" s="643"/>
      <c r="I678" s="643"/>
      <c r="J678" s="643"/>
      <c r="K678" s="643"/>
      <c r="L678" s="643"/>
      <c r="M678" s="643"/>
      <c r="N678" s="643"/>
      <c r="O678" s="643"/>
      <c r="P678" s="643"/>
      <c r="Q678" s="643"/>
      <c r="R678" s="643"/>
      <c r="S678" s="643"/>
      <c r="T678" s="643"/>
      <c r="U678" s="643"/>
      <c r="V678" s="643"/>
      <c r="W678" s="643"/>
      <c r="X678" s="643"/>
      <c r="Y678" s="643"/>
      <c r="Z678" s="643"/>
    </row>
    <row r="679" ht="11.25" customHeight="1">
      <c r="A679" s="646"/>
      <c r="B679" s="643"/>
      <c r="C679" s="644"/>
      <c r="D679" s="643"/>
      <c r="E679" s="643"/>
      <c r="F679" s="643"/>
      <c r="G679" s="643"/>
      <c r="H679" s="643"/>
      <c r="I679" s="643"/>
      <c r="J679" s="643"/>
      <c r="K679" s="643"/>
      <c r="L679" s="643"/>
      <c r="M679" s="643"/>
      <c r="N679" s="643"/>
      <c r="O679" s="643"/>
      <c r="P679" s="643"/>
      <c r="Q679" s="643"/>
      <c r="R679" s="643"/>
      <c r="S679" s="643"/>
      <c r="T679" s="643"/>
      <c r="U679" s="643"/>
      <c r="V679" s="643"/>
      <c r="W679" s="643"/>
      <c r="X679" s="643"/>
      <c r="Y679" s="643"/>
      <c r="Z679" s="643"/>
    </row>
    <row r="680" ht="11.25" customHeight="1">
      <c r="A680" s="646"/>
      <c r="B680" s="643"/>
      <c r="C680" s="644"/>
      <c r="D680" s="643"/>
      <c r="E680" s="643"/>
      <c r="F680" s="643"/>
      <c r="G680" s="643"/>
      <c r="H680" s="643"/>
      <c r="I680" s="643"/>
      <c r="J680" s="643"/>
      <c r="K680" s="643"/>
      <c r="L680" s="643"/>
      <c r="M680" s="643"/>
      <c r="N680" s="643"/>
      <c r="O680" s="643"/>
      <c r="P680" s="643"/>
      <c r="Q680" s="643"/>
      <c r="R680" s="643"/>
      <c r="S680" s="643"/>
      <c r="T680" s="643"/>
      <c r="U680" s="643"/>
      <c r="V680" s="643"/>
      <c r="W680" s="643"/>
      <c r="X680" s="643"/>
      <c r="Y680" s="643"/>
      <c r="Z680" s="643"/>
    </row>
    <row r="681" ht="11.25" customHeight="1">
      <c r="A681" s="646"/>
      <c r="B681" s="643"/>
      <c r="C681" s="644"/>
      <c r="D681" s="643"/>
      <c r="E681" s="643"/>
      <c r="F681" s="643"/>
      <c r="G681" s="643"/>
      <c r="H681" s="643"/>
      <c r="I681" s="643"/>
      <c r="J681" s="643"/>
      <c r="K681" s="643"/>
      <c r="L681" s="643"/>
      <c r="M681" s="643"/>
      <c r="N681" s="643"/>
      <c r="O681" s="643"/>
      <c r="P681" s="643"/>
      <c r="Q681" s="643"/>
      <c r="R681" s="643"/>
      <c r="S681" s="643"/>
      <c r="T681" s="643"/>
      <c r="U681" s="643"/>
      <c r="V681" s="643"/>
      <c r="W681" s="643"/>
      <c r="X681" s="643"/>
      <c r="Y681" s="643"/>
      <c r="Z681" s="643"/>
    </row>
    <row r="682" ht="11.25" customHeight="1">
      <c r="A682" s="646"/>
      <c r="B682" s="643"/>
      <c r="C682" s="644"/>
      <c r="D682" s="643"/>
      <c r="E682" s="643"/>
      <c r="F682" s="643"/>
      <c r="G682" s="643"/>
      <c r="H682" s="643"/>
      <c r="I682" s="643"/>
      <c r="J682" s="643"/>
      <c r="K682" s="643"/>
      <c r="L682" s="643"/>
      <c r="M682" s="643"/>
      <c r="N682" s="643"/>
      <c r="O682" s="643"/>
      <c r="P682" s="643"/>
      <c r="Q682" s="643"/>
      <c r="R682" s="643"/>
      <c r="S682" s="643"/>
      <c r="T682" s="643"/>
      <c r="U682" s="643"/>
      <c r="V682" s="643"/>
      <c r="W682" s="643"/>
      <c r="X682" s="643"/>
      <c r="Y682" s="643"/>
      <c r="Z682" s="643"/>
    </row>
    <row r="683" ht="11.25" customHeight="1">
      <c r="A683" s="646"/>
      <c r="B683" s="643"/>
      <c r="C683" s="644"/>
      <c r="D683" s="643"/>
      <c r="E683" s="643"/>
      <c r="F683" s="643"/>
      <c r="G683" s="643"/>
      <c r="H683" s="643"/>
      <c r="I683" s="643"/>
      <c r="J683" s="643"/>
      <c r="K683" s="643"/>
      <c r="L683" s="643"/>
      <c r="M683" s="643"/>
      <c r="N683" s="643"/>
      <c r="O683" s="643"/>
      <c r="P683" s="643"/>
      <c r="Q683" s="643"/>
      <c r="R683" s="643"/>
      <c r="S683" s="643"/>
      <c r="T683" s="643"/>
      <c r="U683" s="643"/>
      <c r="V683" s="643"/>
      <c r="W683" s="643"/>
      <c r="X683" s="643"/>
      <c r="Y683" s="643"/>
      <c r="Z683" s="643"/>
    </row>
    <row r="684" ht="11.25" customHeight="1">
      <c r="A684" s="646"/>
      <c r="B684" s="643"/>
      <c r="C684" s="644"/>
      <c r="D684" s="643"/>
      <c r="E684" s="643"/>
      <c r="F684" s="643"/>
      <c r="G684" s="643"/>
      <c r="H684" s="643"/>
      <c r="I684" s="643"/>
      <c r="J684" s="643"/>
      <c r="K684" s="643"/>
      <c r="L684" s="643"/>
      <c r="M684" s="643"/>
      <c r="N684" s="643"/>
      <c r="O684" s="643"/>
      <c r="P684" s="643"/>
      <c r="Q684" s="643"/>
      <c r="R684" s="643"/>
      <c r="S684" s="643"/>
      <c r="T684" s="643"/>
      <c r="U684" s="643"/>
      <c r="V684" s="643"/>
      <c r="W684" s="643"/>
      <c r="X684" s="643"/>
      <c r="Y684" s="643"/>
      <c r="Z684" s="643"/>
    </row>
    <row r="685" ht="11.25" customHeight="1">
      <c r="A685" s="646"/>
      <c r="B685" s="643"/>
      <c r="C685" s="644"/>
      <c r="D685" s="643"/>
      <c r="E685" s="643"/>
      <c r="F685" s="643"/>
      <c r="G685" s="643"/>
      <c r="H685" s="643"/>
      <c r="I685" s="643"/>
      <c r="J685" s="643"/>
      <c r="K685" s="643"/>
      <c r="L685" s="643"/>
      <c r="M685" s="643"/>
      <c r="N685" s="643"/>
      <c r="O685" s="643"/>
      <c r="P685" s="643"/>
      <c r="Q685" s="643"/>
      <c r="R685" s="643"/>
      <c r="S685" s="643"/>
      <c r="T685" s="643"/>
      <c r="U685" s="643"/>
      <c r="V685" s="643"/>
      <c r="W685" s="643"/>
      <c r="X685" s="643"/>
      <c r="Y685" s="643"/>
      <c r="Z685" s="643"/>
    </row>
    <row r="686" ht="11.25" customHeight="1">
      <c r="A686" s="646"/>
      <c r="B686" s="643"/>
      <c r="C686" s="644"/>
      <c r="D686" s="643"/>
      <c r="E686" s="643"/>
      <c r="F686" s="643"/>
      <c r="G686" s="643"/>
      <c r="H686" s="643"/>
      <c r="I686" s="643"/>
      <c r="J686" s="643"/>
      <c r="K686" s="643"/>
      <c r="L686" s="643"/>
      <c r="M686" s="643"/>
      <c r="N686" s="643"/>
      <c r="O686" s="643"/>
      <c r="P686" s="643"/>
      <c r="Q686" s="643"/>
      <c r="R686" s="643"/>
      <c r="S686" s="643"/>
      <c r="T686" s="643"/>
      <c r="U686" s="643"/>
      <c r="V686" s="643"/>
      <c r="W686" s="643"/>
      <c r="X686" s="643"/>
      <c r="Y686" s="643"/>
      <c r="Z686" s="643"/>
    </row>
    <row r="687" ht="11.25" customHeight="1">
      <c r="A687" s="646"/>
      <c r="B687" s="643"/>
      <c r="C687" s="644"/>
      <c r="D687" s="643"/>
      <c r="E687" s="643"/>
      <c r="F687" s="643"/>
      <c r="G687" s="643"/>
      <c r="H687" s="643"/>
      <c r="I687" s="643"/>
      <c r="J687" s="643"/>
      <c r="K687" s="643"/>
      <c r="L687" s="643"/>
      <c r="M687" s="643"/>
      <c r="N687" s="643"/>
      <c r="O687" s="643"/>
      <c r="P687" s="643"/>
      <c r="Q687" s="643"/>
      <c r="R687" s="643"/>
      <c r="S687" s="643"/>
      <c r="T687" s="643"/>
      <c r="U687" s="643"/>
      <c r="V687" s="643"/>
      <c r="W687" s="643"/>
      <c r="X687" s="643"/>
      <c r="Y687" s="643"/>
      <c r="Z687" s="643"/>
    </row>
    <row r="688" ht="11.25" customHeight="1">
      <c r="A688" s="646"/>
      <c r="B688" s="643"/>
      <c r="C688" s="644"/>
      <c r="D688" s="643"/>
      <c r="E688" s="643"/>
      <c r="F688" s="643"/>
      <c r="G688" s="643"/>
      <c r="H688" s="643"/>
      <c r="I688" s="643"/>
      <c r="J688" s="643"/>
      <c r="K688" s="643"/>
      <c r="L688" s="643"/>
      <c r="M688" s="643"/>
      <c r="N688" s="643"/>
      <c r="O688" s="643"/>
      <c r="P688" s="643"/>
      <c r="Q688" s="643"/>
      <c r="R688" s="643"/>
      <c r="S688" s="643"/>
      <c r="T688" s="643"/>
      <c r="U688" s="643"/>
      <c r="V688" s="643"/>
      <c r="W688" s="643"/>
      <c r="X688" s="643"/>
      <c r="Y688" s="643"/>
      <c r="Z688" s="643"/>
    </row>
    <row r="689" ht="11.25" customHeight="1">
      <c r="A689" s="646"/>
      <c r="B689" s="643"/>
      <c r="C689" s="644"/>
      <c r="D689" s="643"/>
      <c r="E689" s="643"/>
      <c r="F689" s="643"/>
      <c r="G689" s="643"/>
      <c r="H689" s="643"/>
      <c r="I689" s="643"/>
      <c r="J689" s="643"/>
      <c r="K689" s="643"/>
      <c r="L689" s="643"/>
      <c r="M689" s="643"/>
      <c r="N689" s="643"/>
      <c r="O689" s="643"/>
      <c r="P689" s="643"/>
      <c r="Q689" s="643"/>
      <c r="R689" s="643"/>
      <c r="S689" s="643"/>
      <c r="T689" s="643"/>
      <c r="U689" s="643"/>
      <c r="V689" s="643"/>
      <c r="W689" s="643"/>
      <c r="X689" s="643"/>
      <c r="Y689" s="643"/>
      <c r="Z689" s="643"/>
    </row>
    <row r="690" ht="11.25" customHeight="1">
      <c r="A690" s="646"/>
      <c r="B690" s="643"/>
      <c r="C690" s="644"/>
      <c r="D690" s="643"/>
      <c r="E690" s="643"/>
      <c r="F690" s="643"/>
      <c r="G690" s="643"/>
      <c r="H690" s="643"/>
      <c r="I690" s="643"/>
      <c r="J690" s="643"/>
      <c r="K690" s="643"/>
      <c r="L690" s="643"/>
      <c r="M690" s="643"/>
      <c r="N690" s="643"/>
      <c r="O690" s="643"/>
      <c r="P690" s="643"/>
      <c r="Q690" s="643"/>
      <c r="R690" s="643"/>
      <c r="S690" s="643"/>
      <c r="T690" s="643"/>
      <c r="U690" s="643"/>
      <c r="V690" s="643"/>
      <c r="W690" s="643"/>
      <c r="X690" s="643"/>
      <c r="Y690" s="643"/>
      <c r="Z690" s="643"/>
    </row>
    <row r="691" ht="11.25" customHeight="1">
      <c r="A691" s="646"/>
      <c r="B691" s="643"/>
      <c r="C691" s="644"/>
      <c r="D691" s="643"/>
      <c r="E691" s="643"/>
      <c r="F691" s="643"/>
      <c r="G691" s="643"/>
      <c r="H691" s="643"/>
      <c r="I691" s="643"/>
      <c r="J691" s="643"/>
      <c r="K691" s="643"/>
      <c r="L691" s="643"/>
      <c r="M691" s="643"/>
      <c r="N691" s="643"/>
      <c r="O691" s="643"/>
      <c r="P691" s="643"/>
      <c r="Q691" s="643"/>
      <c r="R691" s="643"/>
      <c r="S691" s="643"/>
      <c r="T691" s="643"/>
      <c r="U691" s="643"/>
      <c r="V691" s="643"/>
      <c r="W691" s="643"/>
      <c r="X691" s="643"/>
      <c r="Y691" s="643"/>
      <c r="Z691" s="643"/>
    </row>
    <row r="692" ht="11.25" customHeight="1">
      <c r="A692" s="646"/>
      <c r="B692" s="643"/>
      <c r="C692" s="644"/>
      <c r="D692" s="643"/>
      <c r="E692" s="643"/>
      <c r="F692" s="643"/>
      <c r="G692" s="643"/>
      <c r="H692" s="643"/>
      <c r="I692" s="643"/>
      <c r="J692" s="643"/>
      <c r="K692" s="643"/>
      <c r="L692" s="643"/>
      <c r="M692" s="643"/>
      <c r="N692" s="643"/>
      <c r="O692" s="643"/>
      <c r="P692" s="643"/>
      <c r="Q692" s="643"/>
      <c r="R692" s="643"/>
      <c r="S692" s="643"/>
      <c r="T692" s="643"/>
      <c r="U692" s="643"/>
      <c r="V692" s="643"/>
      <c r="W692" s="643"/>
      <c r="X692" s="643"/>
      <c r="Y692" s="643"/>
      <c r="Z692" s="643"/>
    </row>
    <row r="693" ht="11.25" customHeight="1">
      <c r="A693" s="646"/>
      <c r="B693" s="643"/>
      <c r="C693" s="644"/>
      <c r="D693" s="643"/>
      <c r="E693" s="643"/>
      <c r="F693" s="643"/>
      <c r="G693" s="643"/>
      <c r="H693" s="643"/>
      <c r="I693" s="643"/>
      <c r="J693" s="643"/>
      <c r="K693" s="643"/>
      <c r="L693" s="643"/>
      <c r="M693" s="643"/>
      <c r="N693" s="643"/>
      <c r="O693" s="643"/>
      <c r="P693" s="643"/>
      <c r="Q693" s="643"/>
      <c r="R693" s="643"/>
      <c r="S693" s="643"/>
      <c r="T693" s="643"/>
      <c r="U693" s="643"/>
      <c r="V693" s="643"/>
      <c r="W693" s="643"/>
      <c r="X693" s="643"/>
      <c r="Y693" s="643"/>
      <c r="Z693" s="643"/>
    </row>
    <row r="694" ht="11.25" customHeight="1">
      <c r="A694" s="646"/>
      <c r="B694" s="643"/>
      <c r="C694" s="644"/>
      <c r="D694" s="643"/>
      <c r="E694" s="643"/>
      <c r="F694" s="643"/>
      <c r="G694" s="643"/>
      <c r="H694" s="643"/>
      <c r="I694" s="643"/>
      <c r="J694" s="643"/>
      <c r="K694" s="643"/>
      <c r="L694" s="643"/>
      <c r="M694" s="643"/>
      <c r="N694" s="643"/>
      <c r="O694" s="643"/>
      <c r="P694" s="643"/>
      <c r="Q694" s="643"/>
      <c r="R694" s="643"/>
      <c r="S694" s="643"/>
      <c r="T694" s="643"/>
      <c r="U694" s="643"/>
      <c r="V694" s="643"/>
      <c r="W694" s="643"/>
      <c r="X694" s="643"/>
      <c r="Y694" s="643"/>
      <c r="Z694" s="643"/>
    </row>
    <row r="695" ht="11.25" customHeight="1">
      <c r="A695" s="646"/>
      <c r="B695" s="643"/>
      <c r="C695" s="644"/>
      <c r="D695" s="643"/>
      <c r="E695" s="643"/>
      <c r="F695" s="643"/>
      <c r="G695" s="643"/>
      <c r="H695" s="643"/>
      <c r="I695" s="643"/>
      <c r="J695" s="643"/>
      <c r="K695" s="643"/>
      <c r="L695" s="643"/>
      <c r="M695" s="643"/>
      <c r="N695" s="643"/>
      <c r="O695" s="643"/>
      <c r="P695" s="643"/>
      <c r="Q695" s="643"/>
      <c r="R695" s="643"/>
      <c r="S695" s="643"/>
      <c r="T695" s="643"/>
      <c r="U695" s="643"/>
      <c r="V695" s="643"/>
      <c r="W695" s="643"/>
      <c r="X695" s="643"/>
      <c r="Y695" s="643"/>
      <c r="Z695" s="643"/>
    </row>
    <row r="696" ht="11.25" customHeight="1">
      <c r="A696" s="646"/>
      <c r="B696" s="643"/>
      <c r="C696" s="644"/>
      <c r="D696" s="643"/>
      <c r="E696" s="643"/>
      <c r="F696" s="643"/>
      <c r="G696" s="643"/>
      <c r="H696" s="643"/>
      <c r="I696" s="643"/>
      <c r="J696" s="643"/>
      <c r="K696" s="643"/>
      <c r="L696" s="643"/>
      <c r="M696" s="643"/>
      <c r="N696" s="643"/>
      <c r="O696" s="643"/>
      <c r="P696" s="643"/>
      <c r="Q696" s="643"/>
      <c r="R696" s="643"/>
      <c r="S696" s="643"/>
      <c r="T696" s="643"/>
      <c r="U696" s="643"/>
      <c r="V696" s="643"/>
      <c r="W696" s="643"/>
      <c r="X696" s="643"/>
      <c r="Y696" s="643"/>
      <c r="Z696" s="643"/>
    </row>
    <row r="697" ht="11.25" customHeight="1">
      <c r="A697" s="646"/>
      <c r="B697" s="643"/>
      <c r="C697" s="644"/>
      <c r="D697" s="643"/>
      <c r="E697" s="643"/>
      <c r="F697" s="643"/>
      <c r="G697" s="643"/>
      <c r="H697" s="643"/>
      <c r="I697" s="643"/>
      <c r="J697" s="643"/>
      <c r="K697" s="643"/>
      <c r="L697" s="643"/>
      <c r="M697" s="643"/>
      <c r="N697" s="643"/>
      <c r="O697" s="643"/>
      <c r="P697" s="643"/>
      <c r="Q697" s="643"/>
      <c r="R697" s="643"/>
      <c r="S697" s="643"/>
      <c r="T697" s="643"/>
      <c r="U697" s="643"/>
      <c r="V697" s="643"/>
      <c r="W697" s="643"/>
      <c r="X697" s="643"/>
      <c r="Y697" s="643"/>
      <c r="Z697" s="643"/>
    </row>
    <row r="698" ht="11.25" customHeight="1">
      <c r="A698" s="646"/>
      <c r="B698" s="643"/>
      <c r="C698" s="644"/>
      <c r="D698" s="643"/>
      <c r="E698" s="643"/>
      <c r="F698" s="643"/>
      <c r="G698" s="643"/>
      <c r="H698" s="643"/>
      <c r="I698" s="643"/>
      <c r="J698" s="643"/>
      <c r="K698" s="643"/>
      <c r="L698" s="643"/>
      <c r="M698" s="643"/>
      <c r="N698" s="643"/>
      <c r="O698" s="643"/>
      <c r="P698" s="643"/>
      <c r="Q698" s="643"/>
      <c r="R698" s="643"/>
      <c r="S698" s="643"/>
      <c r="T698" s="643"/>
      <c r="U698" s="643"/>
      <c r="V698" s="643"/>
      <c r="W698" s="643"/>
      <c r="X698" s="643"/>
      <c r="Y698" s="643"/>
      <c r="Z698" s="643"/>
    </row>
    <row r="699" ht="11.25" customHeight="1">
      <c r="A699" s="646"/>
      <c r="B699" s="643"/>
      <c r="C699" s="644"/>
      <c r="D699" s="643"/>
      <c r="E699" s="643"/>
      <c r="F699" s="643"/>
      <c r="G699" s="643"/>
      <c r="H699" s="643"/>
      <c r="I699" s="643"/>
      <c r="J699" s="643"/>
      <c r="K699" s="643"/>
      <c r="L699" s="643"/>
      <c r="M699" s="643"/>
      <c r="N699" s="643"/>
      <c r="O699" s="643"/>
      <c r="P699" s="643"/>
      <c r="Q699" s="643"/>
      <c r="R699" s="643"/>
      <c r="S699" s="643"/>
      <c r="T699" s="643"/>
      <c r="U699" s="643"/>
      <c r="V699" s="643"/>
      <c r="W699" s="643"/>
      <c r="X699" s="643"/>
      <c r="Y699" s="643"/>
      <c r="Z699" s="643"/>
    </row>
    <row r="700" ht="11.25" customHeight="1">
      <c r="A700" s="646"/>
      <c r="B700" s="643"/>
      <c r="C700" s="644"/>
      <c r="D700" s="643"/>
      <c r="E700" s="643"/>
      <c r="F700" s="643"/>
      <c r="G700" s="643"/>
      <c r="H700" s="643"/>
      <c r="I700" s="643"/>
      <c r="J700" s="643"/>
      <c r="K700" s="643"/>
      <c r="L700" s="643"/>
      <c r="M700" s="643"/>
      <c r="N700" s="643"/>
      <c r="O700" s="643"/>
      <c r="P700" s="643"/>
      <c r="Q700" s="643"/>
      <c r="R700" s="643"/>
      <c r="S700" s="643"/>
      <c r="T700" s="643"/>
      <c r="U700" s="643"/>
      <c r="V700" s="643"/>
      <c r="W700" s="643"/>
      <c r="X700" s="643"/>
      <c r="Y700" s="643"/>
      <c r="Z700" s="643"/>
    </row>
    <row r="701" ht="11.25" customHeight="1">
      <c r="A701" s="646"/>
      <c r="B701" s="643"/>
      <c r="C701" s="644"/>
      <c r="D701" s="643"/>
      <c r="E701" s="643"/>
      <c r="F701" s="643"/>
      <c r="G701" s="643"/>
      <c r="H701" s="643"/>
      <c r="I701" s="643"/>
      <c r="J701" s="643"/>
      <c r="K701" s="643"/>
      <c r="L701" s="643"/>
      <c r="M701" s="643"/>
      <c r="N701" s="643"/>
      <c r="O701" s="643"/>
      <c r="P701" s="643"/>
      <c r="Q701" s="643"/>
      <c r="R701" s="643"/>
      <c r="S701" s="643"/>
      <c r="T701" s="643"/>
      <c r="U701" s="643"/>
      <c r="V701" s="643"/>
      <c r="W701" s="643"/>
      <c r="X701" s="643"/>
      <c r="Y701" s="643"/>
      <c r="Z701" s="643"/>
    </row>
    <row r="702" ht="11.25" customHeight="1">
      <c r="A702" s="646"/>
      <c r="B702" s="643"/>
      <c r="C702" s="644"/>
      <c r="D702" s="643"/>
      <c r="E702" s="643"/>
      <c r="F702" s="643"/>
      <c r="G702" s="643"/>
      <c r="H702" s="643"/>
      <c r="I702" s="643"/>
      <c r="J702" s="643"/>
      <c r="K702" s="643"/>
      <c r="L702" s="643"/>
      <c r="M702" s="643"/>
      <c r="N702" s="643"/>
      <c r="O702" s="643"/>
      <c r="P702" s="643"/>
      <c r="Q702" s="643"/>
      <c r="R702" s="643"/>
      <c r="S702" s="643"/>
      <c r="T702" s="643"/>
      <c r="U702" s="643"/>
      <c r="V702" s="643"/>
      <c r="W702" s="643"/>
      <c r="X702" s="643"/>
      <c r="Y702" s="643"/>
      <c r="Z702" s="643"/>
    </row>
    <row r="703" ht="11.25" customHeight="1">
      <c r="A703" s="646"/>
      <c r="B703" s="643"/>
      <c r="C703" s="644"/>
      <c r="D703" s="643"/>
      <c r="E703" s="643"/>
      <c r="F703" s="643"/>
      <c r="G703" s="643"/>
      <c r="H703" s="643"/>
      <c r="I703" s="643"/>
      <c r="J703" s="643"/>
      <c r="K703" s="643"/>
      <c r="L703" s="643"/>
      <c r="M703" s="643"/>
      <c r="N703" s="643"/>
      <c r="O703" s="643"/>
      <c r="P703" s="643"/>
      <c r="Q703" s="643"/>
      <c r="R703" s="643"/>
      <c r="S703" s="643"/>
      <c r="T703" s="643"/>
      <c r="U703" s="643"/>
      <c r="V703" s="643"/>
      <c r="W703" s="643"/>
      <c r="X703" s="643"/>
      <c r="Y703" s="643"/>
      <c r="Z703" s="643"/>
    </row>
    <row r="704" ht="11.25" customHeight="1">
      <c r="A704" s="646"/>
      <c r="B704" s="643"/>
      <c r="C704" s="644"/>
      <c r="D704" s="643"/>
      <c r="E704" s="643"/>
      <c r="F704" s="643"/>
      <c r="G704" s="643"/>
      <c r="H704" s="643"/>
      <c r="I704" s="643"/>
      <c r="J704" s="643"/>
      <c r="K704" s="643"/>
      <c r="L704" s="643"/>
      <c r="M704" s="643"/>
      <c r="N704" s="643"/>
      <c r="O704" s="643"/>
      <c r="P704" s="643"/>
      <c r="Q704" s="643"/>
      <c r="R704" s="643"/>
      <c r="S704" s="643"/>
      <c r="T704" s="643"/>
      <c r="U704" s="643"/>
      <c r="V704" s="643"/>
      <c r="W704" s="643"/>
      <c r="X704" s="643"/>
      <c r="Y704" s="643"/>
      <c r="Z704" s="643"/>
    </row>
    <row r="705" ht="11.25" customHeight="1">
      <c r="A705" s="646"/>
      <c r="B705" s="643"/>
      <c r="C705" s="644"/>
      <c r="D705" s="643"/>
      <c r="E705" s="643"/>
      <c r="F705" s="643"/>
      <c r="G705" s="643"/>
      <c r="H705" s="643"/>
      <c r="I705" s="643"/>
      <c r="J705" s="643"/>
      <c r="K705" s="643"/>
      <c r="L705" s="643"/>
      <c r="M705" s="643"/>
      <c r="N705" s="643"/>
      <c r="O705" s="643"/>
      <c r="P705" s="643"/>
      <c r="Q705" s="643"/>
      <c r="R705" s="643"/>
      <c r="S705" s="643"/>
      <c r="T705" s="643"/>
      <c r="U705" s="643"/>
      <c r="V705" s="643"/>
      <c r="W705" s="643"/>
      <c r="X705" s="643"/>
      <c r="Y705" s="643"/>
      <c r="Z705" s="643"/>
    </row>
    <row r="706" ht="11.25" customHeight="1">
      <c r="A706" s="646"/>
      <c r="B706" s="643"/>
      <c r="C706" s="644"/>
      <c r="D706" s="643"/>
      <c r="E706" s="643"/>
      <c r="F706" s="643"/>
      <c r="G706" s="643"/>
      <c r="H706" s="643"/>
      <c r="I706" s="643"/>
      <c r="J706" s="643"/>
      <c r="K706" s="643"/>
      <c r="L706" s="643"/>
      <c r="M706" s="643"/>
      <c r="N706" s="643"/>
      <c r="O706" s="643"/>
      <c r="P706" s="643"/>
      <c r="Q706" s="643"/>
      <c r="R706" s="643"/>
      <c r="S706" s="643"/>
      <c r="T706" s="643"/>
      <c r="U706" s="643"/>
      <c r="V706" s="643"/>
      <c r="W706" s="643"/>
      <c r="X706" s="643"/>
      <c r="Y706" s="643"/>
      <c r="Z706" s="643"/>
    </row>
    <row r="707" ht="11.25" customHeight="1">
      <c r="A707" s="646"/>
      <c r="B707" s="643"/>
      <c r="C707" s="644"/>
      <c r="D707" s="643"/>
      <c r="E707" s="643"/>
      <c r="F707" s="643"/>
      <c r="G707" s="643"/>
      <c r="H707" s="643"/>
      <c r="I707" s="643"/>
      <c r="J707" s="643"/>
      <c r="K707" s="643"/>
      <c r="L707" s="643"/>
      <c r="M707" s="643"/>
      <c r="N707" s="643"/>
      <c r="O707" s="643"/>
      <c r="P707" s="643"/>
      <c r="Q707" s="643"/>
      <c r="R707" s="643"/>
      <c r="S707" s="643"/>
      <c r="T707" s="643"/>
      <c r="U707" s="643"/>
      <c r="V707" s="643"/>
      <c r="W707" s="643"/>
      <c r="X707" s="643"/>
      <c r="Y707" s="643"/>
      <c r="Z707" s="643"/>
    </row>
    <row r="708" ht="11.25" customHeight="1">
      <c r="A708" s="646"/>
      <c r="B708" s="643"/>
      <c r="C708" s="644"/>
      <c r="D708" s="643"/>
      <c r="E708" s="643"/>
      <c r="F708" s="643"/>
      <c r="G708" s="643"/>
      <c r="H708" s="643"/>
      <c r="I708" s="643"/>
      <c r="J708" s="643"/>
      <c r="K708" s="643"/>
      <c r="L708" s="643"/>
      <c r="M708" s="643"/>
      <c r="N708" s="643"/>
      <c r="O708" s="643"/>
      <c r="P708" s="643"/>
      <c r="Q708" s="643"/>
      <c r="R708" s="643"/>
      <c r="S708" s="643"/>
      <c r="T708" s="643"/>
      <c r="U708" s="643"/>
      <c r="V708" s="643"/>
      <c r="W708" s="643"/>
      <c r="X708" s="643"/>
      <c r="Y708" s="643"/>
      <c r="Z708" s="643"/>
    </row>
    <row r="709" ht="11.25" customHeight="1">
      <c r="A709" s="646"/>
      <c r="B709" s="643"/>
      <c r="C709" s="644"/>
      <c r="D709" s="643"/>
      <c r="E709" s="643"/>
      <c r="F709" s="643"/>
      <c r="G709" s="643"/>
      <c r="H709" s="643"/>
      <c r="I709" s="643"/>
      <c r="J709" s="643"/>
      <c r="K709" s="643"/>
      <c r="L709" s="643"/>
      <c r="M709" s="643"/>
      <c r="N709" s="643"/>
      <c r="O709" s="643"/>
      <c r="P709" s="643"/>
      <c r="Q709" s="643"/>
      <c r="R709" s="643"/>
      <c r="S709" s="643"/>
      <c r="T709" s="643"/>
      <c r="U709" s="643"/>
      <c r="V709" s="643"/>
      <c r="W709" s="643"/>
      <c r="X709" s="643"/>
      <c r="Y709" s="643"/>
      <c r="Z709" s="643"/>
    </row>
    <row r="710" ht="11.25" customHeight="1">
      <c r="A710" s="646"/>
      <c r="B710" s="643"/>
      <c r="C710" s="644"/>
      <c r="D710" s="643"/>
      <c r="E710" s="643"/>
      <c r="F710" s="643"/>
      <c r="G710" s="643"/>
      <c r="H710" s="643"/>
      <c r="I710" s="643"/>
      <c r="J710" s="643"/>
      <c r="K710" s="643"/>
      <c r="L710" s="643"/>
      <c r="M710" s="643"/>
      <c r="N710" s="643"/>
      <c r="O710" s="643"/>
      <c r="P710" s="643"/>
      <c r="Q710" s="643"/>
      <c r="R710" s="643"/>
      <c r="S710" s="643"/>
      <c r="T710" s="643"/>
      <c r="U710" s="643"/>
      <c r="V710" s="643"/>
      <c r="W710" s="643"/>
      <c r="X710" s="643"/>
      <c r="Y710" s="643"/>
      <c r="Z710" s="643"/>
    </row>
    <row r="711" ht="11.25" customHeight="1">
      <c r="A711" s="646"/>
      <c r="B711" s="643"/>
      <c r="C711" s="644"/>
      <c r="D711" s="643"/>
      <c r="E711" s="643"/>
      <c r="F711" s="643"/>
      <c r="G711" s="643"/>
      <c r="H711" s="643"/>
      <c r="I711" s="643"/>
      <c r="J711" s="643"/>
      <c r="K711" s="643"/>
      <c r="L711" s="643"/>
      <c r="M711" s="643"/>
      <c r="N711" s="643"/>
      <c r="O711" s="643"/>
      <c r="P711" s="643"/>
      <c r="Q711" s="643"/>
      <c r="R711" s="643"/>
      <c r="S711" s="643"/>
      <c r="T711" s="643"/>
      <c r="U711" s="643"/>
      <c r="V711" s="643"/>
      <c r="W711" s="643"/>
      <c r="X711" s="643"/>
      <c r="Y711" s="643"/>
      <c r="Z711" s="643"/>
    </row>
    <row r="712" ht="11.25" customHeight="1">
      <c r="A712" s="646"/>
      <c r="B712" s="643"/>
      <c r="C712" s="644"/>
      <c r="D712" s="643"/>
      <c r="E712" s="643"/>
      <c r="F712" s="643"/>
      <c r="G712" s="643"/>
      <c r="H712" s="643"/>
      <c r="I712" s="643"/>
      <c r="J712" s="643"/>
      <c r="K712" s="643"/>
      <c r="L712" s="643"/>
      <c r="M712" s="643"/>
      <c r="N712" s="643"/>
      <c r="O712" s="643"/>
      <c r="P712" s="643"/>
      <c r="Q712" s="643"/>
      <c r="R712" s="643"/>
      <c r="S712" s="643"/>
      <c r="T712" s="643"/>
      <c r="U712" s="643"/>
      <c r="V712" s="643"/>
      <c r="W712" s="643"/>
      <c r="X712" s="643"/>
      <c r="Y712" s="643"/>
      <c r="Z712" s="643"/>
    </row>
    <row r="713" ht="11.25" customHeight="1">
      <c r="A713" s="646"/>
      <c r="B713" s="643"/>
      <c r="C713" s="644"/>
      <c r="D713" s="643"/>
      <c r="E713" s="643"/>
      <c r="F713" s="643"/>
      <c r="G713" s="643"/>
      <c r="H713" s="643"/>
      <c r="I713" s="643"/>
      <c r="J713" s="643"/>
      <c r="K713" s="643"/>
      <c r="L713" s="643"/>
      <c r="M713" s="643"/>
      <c r="N713" s="643"/>
      <c r="O713" s="643"/>
      <c r="P713" s="643"/>
      <c r="Q713" s="643"/>
      <c r="R713" s="643"/>
      <c r="S713" s="643"/>
      <c r="T713" s="643"/>
      <c r="U713" s="643"/>
      <c r="V713" s="643"/>
      <c r="W713" s="643"/>
      <c r="X713" s="643"/>
      <c r="Y713" s="643"/>
      <c r="Z713" s="643"/>
    </row>
    <row r="714" ht="11.25" customHeight="1">
      <c r="A714" s="646"/>
      <c r="B714" s="643"/>
      <c r="C714" s="644"/>
      <c r="D714" s="643"/>
      <c r="E714" s="643"/>
      <c r="F714" s="643"/>
      <c r="G714" s="643"/>
      <c r="H714" s="643"/>
      <c r="I714" s="643"/>
      <c r="J714" s="643"/>
      <c r="K714" s="643"/>
      <c r="L714" s="643"/>
      <c r="M714" s="643"/>
      <c r="N714" s="643"/>
      <c r="O714" s="643"/>
      <c r="P714" s="643"/>
      <c r="Q714" s="643"/>
      <c r="R714" s="643"/>
      <c r="S714" s="643"/>
      <c r="T714" s="643"/>
      <c r="U714" s="643"/>
      <c r="V714" s="643"/>
      <c r="W714" s="643"/>
      <c r="X714" s="643"/>
      <c r="Y714" s="643"/>
      <c r="Z714" s="643"/>
    </row>
    <row r="715" ht="11.25" customHeight="1">
      <c r="A715" s="646"/>
      <c r="B715" s="643"/>
      <c r="C715" s="644"/>
      <c r="D715" s="643"/>
      <c r="E715" s="643"/>
      <c r="F715" s="643"/>
      <c r="G715" s="643"/>
      <c r="H715" s="643"/>
      <c r="I715" s="643"/>
      <c r="J715" s="643"/>
      <c r="K715" s="643"/>
      <c r="L715" s="643"/>
      <c r="M715" s="643"/>
      <c r="N715" s="643"/>
      <c r="O715" s="643"/>
      <c r="P715" s="643"/>
      <c r="Q715" s="643"/>
      <c r="R715" s="643"/>
      <c r="S715" s="643"/>
      <c r="T715" s="643"/>
      <c r="U715" s="643"/>
      <c r="V715" s="643"/>
      <c r="W715" s="643"/>
      <c r="X715" s="643"/>
      <c r="Y715" s="643"/>
      <c r="Z715" s="643"/>
    </row>
    <row r="716" ht="11.25" customHeight="1">
      <c r="A716" s="646"/>
      <c r="B716" s="643"/>
      <c r="C716" s="644"/>
      <c r="D716" s="643"/>
      <c r="E716" s="643"/>
      <c r="F716" s="643"/>
      <c r="G716" s="643"/>
      <c r="H716" s="643"/>
      <c r="I716" s="643"/>
      <c r="J716" s="643"/>
      <c r="K716" s="643"/>
      <c r="L716" s="643"/>
      <c r="M716" s="643"/>
      <c r="N716" s="643"/>
      <c r="O716" s="643"/>
      <c r="P716" s="643"/>
      <c r="Q716" s="643"/>
      <c r="R716" s="643"/>
      <c r="S716" s="643"/>
      <c r="T716" s="643"/>
      <c r="U716" s="643"/>
      <c r="V716" s="643"/>
      <c r="W716" s="643"/>
      <c r="X716" s="643"/>
      <c r="Y716" s="643"/>
      <c r="Z716" s="643"/>
    </row>
    <row r="717" ht="11.25" customHeight="1">
      <c r="A717" s="646"/>
      <c r="B717" s="643"/>
      <c r="C717" s="644"/>
      <c r="D717" s="643"/>
      <c r="E717" s="643"/>
      <c r="F717" s="643"/>
      <c r="G717" s="643"/>
      <c r="H717" s="643"/>
      <c r="I717" s="643"/>
      <c r="J717" s="643"/>
      <c r="K717" s="643"/>
      <c r="L717" s="643"/>
      <c r="M717" s="643"/>
      <c r="N717" s="643"/>
      <c r="O717" s="643"/>
      <c r="P717" s="643"/>
      <c r="Q717" s="643"/>
      <c r="R717" s="643"/>
      <c r="S717" s="643"/>
      <c r="T717" s="643"/>
      <c r="U717" s="643"/>
      <c r="V717" s="643"/>
      <c r="W717" s="643"/>
      <c r="X717" s="643"/>
      <c r="Y717" s="643"/>
      <c r="Z717" s="643"/>
    </row>
    <row r="718" ht="11.25" customHeight="1">
      <c r="A718" s="646"/>
      <c r="B718" s="643"/>
      <c r="C718" s="644"/>
      <c r="D718" s="643"/>
      <c r="E718" s="643"/>
      <c r="F718" s="643"/>
      <c r="G718" s="643"/>
      <c r="H718" s="643"/>
      <c r="I718" s="643"/>
      <c r="J718" s="643"/>
      <c r="K718" s="643"/>
      <c r="L718" s="643"/>
      <c r="M718" s="643"/>
      <c r="N718" s="643"/>
      <c r="O718" s="643"/>
      <c r="P718" s="643"/>
      <c r="Q718" s="643"/>
      <c r="R718" s="643"/>
      <c r="S718" s="643"/>
      <c r="T718" s="643"/>
      <c r="U718" s="643"/>
      <c r="V718" s="643"/>
      <c r="W718" s="643"/>
      <c r="X718" s="643"/>
      <c r="Y718" s="643"/>
      <c r="Z718" s="643"/>
    </row>
    <row r="719" ht="11.25" customHeight="1">
      <c r="A719" s="646"/>
      <c r="B719" s="643"/>
      <c r="C719" s="644"/>
      <c r="D719" s="643"/>
      <c r="E719" s="643"/>
      <c r="F719" s="643"/>
      <c r="G719" s="643"/>
      <c r="H719" s="643"/>
      <c r="I719" s="643"/>
      <c r="J719" s="643"/>
      <c r="K719" s="643"/>
      <c r="L719" s="643"/>
      <c r="M719" s="643"/>
      <c r="N719" s="643"/>
      <c r="O719" s="643"/>
      <c r="P719" s="643"/>
      <c r="Q719" s="643"/>
      <c r="R719" s="643"/>
      <c r="S719" s="643"/>
      <c r="T719" s="643"/>
      <c r="U719" s="643"/>
      <c r="V719" s="643"/>
      <c r="W719" s="643"/>
      <c r="X719" s="643"/>
      <c r="Y719" s="643"/>
      <c r="Z719" s="643"/>
    </row>
    <row r="720" ht="11.25" customHeight="1">
      <c r="A720" s="646"/>
      <c r="B720" s="643"/>
      <c r="C720" s="644"/>
      <c r="D720" s="643"/>
      <c r="E720" s="643"/>
      <c r="F720" s="643"/>
      <c r="G720" s="643"/>
      <c r="H720" s="643"/>
      <c r="I720" s="643"/>
      <c r="J720" s="643"/>
      <c r="K720" s="643"/>
      <c r="L720" s="643"/>
      <c r="M720" s="643"/>
      <c r="N720" s="643"/>
      <c r="O720" s="643"/>
      <c r="P720" s="643"/>
      <c r="Q720" s="643"/>
      <c r="R720" s="643"/>
      <c r="S720" s="643"/>
      <c r="T720" s="643"/>
      <c r="U720" s="643"/>
      <c r="V720" s="643"/>
      <c r="W720" s="643"/>
      <c r="X720" s="643"/>
      <c r="Y720" s="643"/>
      <c r="Z720" s="643"/>
    </row>
    <row r="721" ht="11.25" customHeight="1">
      <c r="A721" s="646"/>
      <c r="B721" s="643"/>
      <c r="C721" s="644"/>
      <c r="D721" s="643"/>
      <c r="E721" s="643"/>
      <c r="F721" s="643"/>
      <c r="G721" s="643"/>
      <c r="H721" s="643"/>
      <c r="I721" s="643"/>
      <c r="J721" s="643"/>
      <c r="K721" s="643"/>
      <c r="L721" s="643"/>
      <c r="M721" s="643"/>
      <c r="N721" s="643"/>
      <c r="O721" s="643"/>
      <c r="P721" s="643"/>
      <c r="Q721" s="643"/>
      <c r="R721" s="643"/>
      <c r="S721" s="643"/>
      <c r="T721" s="643"/>
      <c r="U721" s="643"/>
      <c r="V721" s="643"/>
      <c r="W721" s="643"/>
      <c r="X721" s="643"/>
      <c r="Y721" s="643"/>
      <c r="Z721" s="643"/>
    </row>
    <row r="722" ht="11.25" customHeight="1">
      <c r="A722" s="646"/>
      <c r="B722" s="643"/>
      <c r="C722" s="644"/>
      <c r="D722" s="643"/>
      <c r="E722" s="643"/>
      <c r="F722" s="643"/>
      <c r="G722" s="643"/>
      <c r="H722" s="643"/>
      <c r="I722" s="643"/>
      <c r="J722" s="643"/>
      <c r="K722" s="643"/>
      <c r="L722" s="643"/>
      <c r="M722" s="643"/>
      <c r="N722" s="643"/>
      <c r="O722" s="643"/>
      <c r="P722" s="643"/>
      <c r="Q722" s="643"/>
      <c r="R722" s="643"/>
      <c r="S722" s="643"/>
      <c r="T722" s="643"/>
      <c r="U722" s="643"/>
      <c r="V722" s="643"/>
      <c r="W722" s="643"/>
      <c r="X722" s="643"/>
      <c r="Y722" s="643"/>
      <c r="Z722" s="643"/>
    </row>
    <row r="723" ht="11.25" customHeight="1">
      <c r="A723" s="646"/>
      <c r="B723" s="643"/>
      <c r="C723" s="644"/>
      <c r="D723" s="643"/>
      <c r="E723" s="643"/>
      <c r="F723" s="643"/>
      <c r="G723" s="643"/>
      <c r="H723" s="643"/>
      <c r="I723" s="643"/>
      <c r="J723" s="643"/>
      <c r="K723" s="643"/>
      <c r="L723" s="643"/>
      <c r="M723" s="643"/>
      <c r="N723" s="643"/>
      <c r="O723" s="643"/>
      <c r="P723" s="643"/>
      <c r="Q723" s="643"/>
      <c r="R723" s="643"/>
      <c r="S723" s="643"/>
      <c r="T723" s="643"/>
      <c r="U723" s="643"/>
      <c r="V723" s="643"/>
      <c r="W723" s="643"/>
      <c r="X723" s="643"/>
      <c r="Y723" s="643"/>
      <c r="Z723" s="643"/>
    </row>
    <row r="724" ht="11.25" customHeight="1">
      <c r="A724" s="646"/>
      <c r="B724" s="643"/>
      <c r="C724" s="644"/>
      <c r="D724" s="643"/>
      <c r="E724" s="643"/>
      <c r="F724" s="643"/>
      <c r="G724" s="643"/>
      <c r="H724" s="643"/>
      <c r="I724" s="643"/>
      <c r="J724" s="643"/>
      <c r="K724" s="643"/>
      <c r="L724" s="643"/>
      <c r="M724" s="643"/>
      <c r="N724" s="643"/>
      <c r="O724" s="643"/>
      <c r="P724" s="643"/>
      <c r="Q724" s="643"/>
      <c r="R724" s="643"/>
      <c r="S724" s="643"/>
      <c r="T724" s="643"/>
      <c r="U724" s="643"/>
      <c r="V724" s="643"/>
      <c r="W724" s="643"/>
      <c r="X724" s="643"/>
      <c r="Y724" s="643"/>
      <c r="Z724" s="643"/>
    </row>
    <row r="725" ht="11.25" customHeight="1">
      <c r="A725" s="646"/>
      <c r="B725" s="643"/>
      <c r="C725" s="644"/>
      <c r="D725" s="643"/>
      <c r="E725" s="643"/>
      <c r="F725" s="643"/>
      <c r="G725" s="643"/>
      <c r="H725" s="643"/>
      <c r="I725" s="643"/>
      <c r="J725" s="643"/>
      <c r="K725" s="643"/>
      <c r="L725" s="643"/>
      <c r="M725" s="643"/>
      <c r="N725" s="643"/>
      <c r="O725" s="643"/>
      <c r="P725" s="643"/>
      <c r="Q725" s="643"/>
      <c r="R725" s="643"/>
      <c r="S725" s="643"/>
      <c r="T725" s="643"/>
      <c r="U725" s="643"/>
      <c r="V725" s="643"/>
      <c r="W725" s="643"/>
      <c r="X725" s="643"/>
      <c r="Y725" s="643"/>
      <c r="Z725" s="643"/>
    </row>
    <row r="726" ht="11.25" customHeight="1">
      <c r="A726" s="646"/>
      <c r="B726" s="643"/>
      <c r="C726" s="644"/>
      <c r="D726" s="643"/>
      <c r="E726" s="643"/>
      <c r="F726" s="643"/>
      <c r="G726" s="643"/>
      <c r="H726" s="643"/>
      <c r="I726" s="643"/>
      <c r="J726" s="643"/>
      <c r="K726" s="643"/>
      <c r="L726" s="643"/>
      <c r="M726" s="643"/>
      <c r="N726" s="643"/>
      <c r="O726" s="643"/>
      <c r="P726" s="643"/>
      <c r="Q726" s="643"/>
      <c r="R726" s="643"/>
      <c r="S726" s="643"/>
      <c r="T726" s="643"/>
      <c r="U726" s="643"/>
      <c r="V726" s="643"/>
      <c r="W726" s="643"/>
      <c r="X726" s="643"/>
      <c r="Y726" s="643"/>
      <c r="Z726" s="643"/>
    </row>
    <row r="727" ht="11.25" customHeight="1">
      <c r="A727" s="646"/>
      <c r="B727" s="643"/>
      <c r="C727" s="644"/>
      <c r="D727" s="643"/>
      <c r="E727" s="643"/>
      <c r="F727" s="643"/>
      <c r="G727" s="643"/>
      <c r="H727" s="643"/>
      <c r="I727" s="643"/>
      <c r="J727" s="643"/>
      <c r="K727" s="643"/>
      <c r="L727" s="643"/>
      <c r="M727" s="643"/>
      <c r="N727" s="643"/>
      <c r="O727" s="643"/>
      <c r="P727" s="643"/>
      <c r="Q727" s="643"/>
      <c r="R727" s="643"/>
      <c r="S727" s="643"/>
      <c r="T727" s="643"/>
      <c r="U727" s="643"/>
      <c r="V727" s="643"/>
      <c r="W727" s="643"/>
      <c r="X727" s="643"/>
      <c r="Y727" s="643"/>
      <c r="Z727" s="643"/>
    </row>
    <row r="728" ht="11.25" customHeight="1">
      <c r="A728" s="646"/>
      <c r="B728" s="643"/>
      <c r="C728" s="644"/>
      <c r="D728" s="643"/>
      <c r="E728" s="643"/>
      <c r="F728" s="643"/>
      <c r="G728" s="643"/>
      <c r="H728" s="643"/>
      <c r="I728" s="643"/>
      <c r="J728" s="643"/>
      <c r="K728" s="643"/>
      <c r="L728" s="643"/>
      <c r="M728" s="643"/>
      <c r="N728" s="643"/>
      <c r="O728" s="643"/>
      <c r="P728" s="643"/>
      <c r="Q728" s="643"/>
      <c r="R728" s="643"/>
      <c r="S728" s="643"/>
      <c r="T728" s="643"/>
      <c r="U728" s="643"/>
      <c r="V728" s="643"/>
      <c r="W728" s="643"/>
      <c r="X728" s="643"/>
      <c r="Y728" s="643"/>
      <c r="Z728" s="643"/>
    </row>
    <row r="729" ht="11.25" customHeight="1">
      <c r="A729" s="646"/>
      <c r="B729" s="643"/>
      <c r="C729" s="644"/>
      <c r="D729" s="643"/>
      <c r="E729" s="643"/>
      <c r="F729" s="643"/>
      <c r="G729" s="643"/>
      <c r="H729" s="643"/>
      <c r="I729" s="643"/>
      <c r="J729" s="643"/>
      <c r="K729" s="643"/>
      <c r="L729" s="643"/>
      <c r="M729" s="643"/>
      <c r="N729" s="643"/>
      <c r="O729" s="643"/>
      <c r="P729" s="643"/>
      <c r="Q729" s="643"/>
      <c r="R729" s="643"/>
      <c r="S729" s="643"/>
      <c r="T729" s="643"/>
      <c r="U729" s="643"/>
      <c r="V729" s="643"/>
      <c r="W729" s="643"/>
      <c r="X729" s="643"/>
      <c r="Y729" s="643"/>
      <c r="Z729" s="643"/>
    </row>
    <row r="730" ht="11.25" customHeight="1">
      <c r="A730" s="646"/>
      <c r="B730" s="643"/>
      <c r="C730" s="644"/>
      <c r="D730" s="643"/>
      <c r="E730" s="643"/>
      <c r="F730" s="643"/>
      <c r="G730" s="643"/>
      <c r="H730" s="643"/>
      <c r="I730" s="643"/>
      <c r="J730" s="643"/>
      <c r="K730" s="643"/>
      <c r="L730" s="643"/>
      <c r="M730" s="643"/>
      <c r="N730" s="643"/>
      <c r="O730" s="643"/>
      <c r="P730" s="643"/>
      <c r="Q730" s="643"/>
      <c r="R730" s="643"/>
      <c r="S730" s="643"/>
      <c r="T730" s="643"/>
      <c r="U730" s="643"/>
      <c r="V730" s="643"/>
      <c r="W730" s="643"/>
      <c r="X730" s="643"/>
      <c r="Y730" s="643"/>
      <c r="Z730" s="643"/>
    </row>
    <row r="731" ht="11.25" customHeight="1">
      <c r="A731" s="646"/>
      <c r="B731" s="643"/>
      <c r="C731" s="644"/>
      <c r="D731" s="643"/>
      <c r="E731" s="643"/>
      <c r="F731" s="643"/>
      <c r="G731" s="643"/>
      <c r="H731" s="643"/>
      <c r="I731" s="643"/>
      <c r="J731" s="643"/>
      <c r="K731" s="643"/>
      <c r="L731" s="643"/>
      <c r="M731" s="643"/>
      <c r="N731" s="643"/>
      <c r="O731" s="643"/>
      <c r="P731" s="643"/>
      <c r="Q731" s="643"/>
      <c r="R731" s="643"/>
      <c r="S731" s="643"/>
      <c r="T731" s="643"/>
      <c r="U731" s="643"/>
      <c r="V731" s="643"/>
      <c r="W731" s="643"/>
      <c r="X731" s="643"/>
      <c r="Y731" s="643"/>
      <c r="Z731" s="643"/>
    </row>
    <row r="732" ht="11.25" customHeight="1">
      <c r="A732" s="646"/>
      <c r="B732" s="643"/>
      <c r="C732" s="644"/>
      <c r="D732" s="643"/>
      <c r="E732" s="643"/>
      <c r="F732" s="643"/>
      <c r="G732" s="643"/>
      <c r="H732" s="643"/>
      <c r="I732" s="643"/>
      <c r="J732" s="643"/>
      <c r="K732" s="643"/>
      <c r="L732" s="643"/>
      <c r="M732" s="643"/>
      <c r="N732" s="643"/>
      <c r="O732" s="643"/>
      <c r="P732" s="643"/>
      <c r="Q732" s="643"/>
      <c r="R732" s="643"/>
      <c r="S732" s="643"/>
      <c r="T732" s="643"/>
      <c r="U732" s="643"/>
      <c r="V732" s="643"/>
      <c r="W732" s="643"/>
      <c r="X732" s="643"/>
      <c r="Y732" s="643"/>
      <c r="Z732" s="643"/>
    </row>
    <row r="733" ht="11.25" customHeight="1">
      <c r="A733" s="646"/>
      <c r="B733" s="643"/>
      <c r="C733" s="644"/>
      <c r="D733" s="643"/>
      <c r="E733" s="643"/>
      <c r="F733" s="643"/>
      <c r="G733" s="643"/>
      <c r="H733" s="643"/>
      <c r="I733" s="643"/>
      <c r="J733" s="643"/>
      <c r="K733" s="643"/>
      <c r="L733" s="643"/>
      <c r="M733" s="643"/>
      <c r="N733" s="643"/>
      <c r="O733" s="643"/>
      <c r="P733" s="643"/>
      <c r="Q733" s="643"/>
      <c r="R733" s="643"/>
      <c r="S733" s="643"/>
      <c r="T733" s="643"/>
      <c r="U733" s="643"/>
      <c r="V733" s="643"/>
      <c r="W733" s="643"/>
      <c r="X733" s="643"/>
      <c r="Y733" s="643"/>
      <c r="Z733" s="643"/>
    </row>
    <row r="734" ht="11.25" customHeight="1">
      <c r="A734" s="646"/>
      <c r="B734" s="643"/>
      <c r="C734" s="644"/>
      <c r="D734" s="643"/>
      <c r="E734" s="643"/>
      <c r="F734" s="643"/>
      <c r="G734" s="643"/>
      <c r="H734" s="643"/>
      <c r="I734" s="643"/>
      <c r="J734" s="643"/>
      <c r="K734" s="643"/>
      <c r="L734" s="643"/>
      <c r="M734" s="643"/>
      <c r="N734" s="643"/>
      <c r="O734" s="643"/>
      <c r="P734" s="643"/>
      <c r="Q734" s="643"/>
      <c r="R734" s="643"/>
      <c r="S734" s="643"/>
      <c r="T734" s="643"/>
      <c r="U734" s="643"/>
      <c r="V734" s="643"/>
      <c r="W734" s="643"/>
      <c r="X734" s="643"/>
      <c r="Y734" s="643"/>
      <c r="Z734" s="643"/>
    </row>
    <row r="735" ht="11.25" customHeight="1">
      <c r="A735" s="646"/>
      <c r="B735" s="643"/>
      <c r="C735" s="644"/>
      <c r="D735" s="643"/>
      <c r="E735" s="643"/>
      <c r="F735" s="643"/>
      <c r="G735" s="643"/>
      <c r="H735" s="643"/>
      <c r="I735" s="643"/>
      <c r="J735" s="643"/>
      <c r="K735" s="643"/>
      <c r="L735" s="643"/>
      <c r="M735" s="643"/>
      <c r="N735" s="643"/>
      <c r="O735" s="643"/>
      <c r="P735" s="643"/>
      <c r="Q735" s="643"/>
      <c r="R735" s="643"/>
      <c r="S735" s="643"/>
      <c r="T735" s="643"/>
      <c r="U735" s="643"/>
      <c r="V735" s="643"/>
      <c r="W735" s="643"/>
      <c r="X735" s="643"/>
      <c r="Y735" s="643"/>
      <c r="Z735" s="643"/>
    </row>
    <row r="736" ht="11.25" customHeight="1">
      <c r="A736" s="646"/>
      <c r="B736" s="643"/>
      <c r="C736" s="644"/>
      <c r="D736" s="643"/>
      <c r="E736" s="643"/>
      <c r="F736" s="643"/>
      <c r="G736" s="643"/>
      <c r="H736" s="643"/>
      <c r="I736" s="643"/>
      <c r="J736" s="643"/>
      <c r="K736" s="643"/>
      <c r="L736" s="643"/>
      <c r="M736" s="643"/>
      <c r="N736" s="643"/>
      <c r="O736" s="643"/>
      <c r="P736" s="643"/>
      <c r="Q736" s="643"/>
      <c r="R736" s="643"/>
      <c r="S736" s="643"/>
      <c r="T736" s="643"/>
      <c r="U736" s="643"/>
      <c r="V736" s="643"/>
      <c r="W736" s="643"/>
      <c r="X736" s="643"/>
      <c r="Y736" s="643"/>
      <c r="Z736" s="643"/>
    </row>
    <row r="737" ht="11.25" customHeight="1">
      <c r="A737" s="646"/>
      <c r="B737" s="643"/>
      <c r="C737" s="644"/>
      <c r="D737" s="643"/>
      <c r="E737" s="643"/>
      <c r="F737" s="643"/>
      <c r="G737" s="643"/>
      <c r="H737" s="643"/>
      <c r="I737" s="643"/>
      <c r="J737" s="643"/>
      <c r="K737" s="643"/>
      <c r="L737" s="643"/>
      <c r="M737" s="643"/>
      <c r="N737" s="643"/>
      <c r="O737" s="643"/>
      <c r="P737" s="643"/>
      <c r="Q737" s="643"/>
      <c r="R737" s="643"/>
      <c r="S737" s="643"/>
      <c r="T737" s="643"/>
      <c r="U737" s="643"/>
      <c r="V737" s="643"/>
      <c r="W737" s="643"/>
      <c r="X737" s="643"/>
      <c r="Y737" s="643"/>
      <c r="Z737" s="643"/>
    </row>
    <row r="738" ht="11.25" customHeight="1">
      <c r="A738" s="646"/>
      <c r="B738" s="643"/>
      <c r="C738" s="644"/>
      <c r="D738" s="643"/>
      <c r="E738" s="643"/>
      <c r="F738" s="643"/>
      <c r="G738" s="643"/>
      <c r="H738" s="643"/>
      <c r="I738" s="643"/>
      <c r="J738" s="643"/>
      <c r="K738" s="643"/>
      <c r="L738" s="643"/>
      <c r="M738" s="643"/>
      <c r="N738" s="643"/>
      <c r="O738" s="643"/>
      <c r="P738" s="643"/>
      <c r="Q738" s="643"/>
      <c r="R738" s="643"/>
      <c r="S738" s="643"/>
      <c r="T738" s="643"/>
      <c r="U738" s="643"/>
      <c r="V738" s="643"/>
      <c r="W738" s="643"/>
      <c r="X738" s="643"/>
      <c r="Y738" s="643"/>
      <c r="Z738" s="643"/>
    </row>
    <row r="739" ht="11.25" customHeight="1">
      <c r="A739" s="646"/>
      <c r="B739" s="643"/>
      <c r="C739" s="644"/>
      <c r="D739" s="643"/>
      <c r="E739" s="643"/>
      <c r="F739" s="643"/>
      <c r="G739" s="643"/>
      <c r="H739" s="643"/>
      <c r="I739" s="643"/>
      <c r="J739" s="643"/>
      <c r="K739" s="643"/>
      <c r="L739" s="643"/>
      <c r="M739" s="643"/>
      <c r="N739" s="643"/>
      <c r="O739" s="643"/>
      <c r="P739" s="643"/>
      <c r="Q739" s="643"/>
      <c r="R739" s="643"/>
      <c r="S739" s="643"/>
      <c r="T739" s="643"/>
      <c r="U739" s="643"/>
      <c r="V739" s="643"/>
      <c r="W739" s="643"/>
      <c r="X739" s="643"/>
      <c r="Y739" s="643"/>
      <c r="Z739" s="643"/>
    </row>
    <row r="740" ht="11.25" customHeight="1">
      <c r="A740" s="646"/>
      <c r="B740" s="643"/>
      <c r="C740" s="644"/>
      <c r="D740" s="643"/>
      <c r="E740" s="643"/>
      <c r="F740" s="643"/>
      <c r="G740" s="643"/>
      <c r="H740" s="643"/>
      <c r="I740" s="643"/>
      <c r="J740" s="643"/>
      <c r="K740" s="643"/>
      <c r="L740" s="643"/>
      <c r="M740" s="643"/>
      <c r="N740" s="643"/>
      <c r="O740" s="643"/>
      <c r="P740" s="643"/>
      <c r="Q740" s="643"/>
      <c r="R740" s="643"/>
      <c r="S740" s="643"/>
      <c r="T740" s="643"/>
      <c r="U740" s="643"/>
      <c r="V740" s="643"/>
      <c r="W740" s="643"/>
      <c r="X740" s="643"/>
      <c r="Y740" s="643"/>
      <c r="Z740" s="643"/>
    </row>
    <row r="741" ht="11.25" customHeight="1">
      <c r="A741" s="646"/>
      <c r="B741" s="643"/>
      <c r="C741" s="644"/>
      <c r="D741" s="643"/>
      <c r="E741" s="643"/>
      <c r="F741" s="643"/>
      <c r="G741" s="643"/>
      <c r="H741" s="643"/>
      <c r="I741" s="643"/>
      <c r="J741" s="643"/>
      <c r="K741" s="643"/>
      <c r="L741" s="643"/>
      <c r="M741" s="643"/>
      <c r="N741" s="643"/>
      <c r="O741" s="643"/>
      <c r="P741" s="643"/>
      <c r="Q741" s="643"/>
      <c r="R741" s="643"/>
      <c r="S741" s="643"/>
      <c r="T741" s="643"/>
      <c r="U741" s="643"/>
      <c r="V741" s="643"/>
      <c r="W741" s="643"/>
      <c r="X741" s="643"/>
      <c r="Y741" s="643"/>
      <c r="Z741" s="643"/>
    </row>
    <row r="742" ht="11.25" customHeight="1">
      <c r="A742" s="646"/>
      <c r="B742" s="643"/>
      <c r="C742" s="644"/>
      <c r="D742" s="643"/>
      <c r="E742" s="643"/>
      <c r="F742" s="643"/>
      <c r="G742" s="643"/>
      <c r="H742" s="643"/>
      <c r="I742" s="643"/>
      <c r="J742" s="643"/>
      <c r="K742" s="643"/>
      <c r="L742" s="643"/>
      <c r="M742" s="643"/>
      <c r="N742" s="643"/>
      <c r="O742" s="643"/>
      <c r="P742" s="643"/>
      <c r="Q742" s="643"/>
      <c r="R742" s="643"/>
      <c r="S742" s="643"/>
      <c r="T742" s="643"/>
      <c r="U742" s="643"/>
      <c r="V742" s="643"/>
      <c r="W742" s="643"/>
      <c r="X742" s="643"/>
      <c r="Y742" s="643"/>
      <c r="Z742" s="643"/>
    </row>
    <row r="743" ht="11.25" customHeight="1">
      <c r="A743" s="646"/>
      <c r="B743" s="643"/>
      <c r="C743" s="644"/>
      <c r="D743" s="643"/>
      <c r="E743" s="643"/>
      <c r="F743" s="643"/>
      <c r="G743" s="643"/>
      <c r="H743" s="643"/>
      <c r="I743" s="643"/>
      <c r="J743" s="643"/>
      <c r="K743" s="643"/>
      <c r="L743" s="643"/>
      <c r="M743" s="643"/>
      <c r="N743" s="643"/>
      <c r="O743" s="643"/>
      <c r="P743" s="643"/>
      <c r="Q743" s="643"/>
      <c r="R743" s="643"/>
      <c r="S743" s="643"/>
      <c r="T743" s="643"/>
      <c r="U743" s="643"/>
      <c r="V743" s="643"/>
      <c r="W743" s="643"/>
      <c r="X743" s="643"/>
      <c r="Y743" s="643"/>
      <c r="Z743" s="643"/>
    </row>
    <row r="744" ht="11.25" customHeight="1">
      <c r="A744" s="646"/>
      <c r="B744" s="643"/>
      <c r="C744" s="644"/>
      <c r="D744" s="643"/>
      <c r="E744" s="643"/>
      <c r="F744" s="643"/>
      <c r="G744" s="643"/>
      <c r="H744" s="643"/>
      <c r="I744" s="643"/>
      <c r="J744" s="643"/>
      <c r="K744" s="643"/>
      <c r="L744" s="643"/>
      <c r="M744" s="643"/>
      <c r="N744" s="643"/>
      <c r="O744" s="643"/>
      <c r="P744" s="643"/>
      <c r="Q744" s="643"/>
      <c r="R744" s="643"/>
      <c r="S744" s="643"/>
      <c r="T744" s="643"/>
      <c r="U744" s="643"/>
      <c r="V744" s="643"/>
      <c r="W744" s="643"/>
      <c r="X744" s="643"/>
      <c r="Y744" s="643"/>
      <c r="Z744" s="643"/>
    </row>
    <row r="745" ht="11.25" customHeight="1">
      <c r="A745" s="646"/>
      <c r="B745" s="643"/>
      <c r="C745" s="644"/>
      <c r="D745" s="643"/>
      <c r="E745" s="643"/>
      <c r="F745" s="643"/>
      <c r="G745" s="643"/>
      <c r="H745" s="643"/>
      <c r="I745" s="643"/>
      <c r="J745" s="643"/>
      <c r="K745" s="643"/>
      <c r="L745" s="643"/>
      <c r="M745" s="643"/>
      <c r="N745" s="643"/>
      <c r="O745" s="643"/>
      <c r="P745" s="643"/>
      <c r="Q745" s="643"/>
      <c r="R745" s="643"/>
      <c r="S745" s="643"/>
      <c r="T745" s="643"/>
      <c r="U745" s="643"/>
      <c r="V745" s="643"/>
      <c r="W745" s="643"/>
      <c r="X745" s="643"/>
      <c r="Y745" s="643"/>
      <c r="Z745" s="643"/>
    </row>
    <row r="746" ht="11.25" customHeight="1">
      <c r="A746" s="646"/>
      <c r="B746" s="643"/>
      <c r="C746" s="644"/>
      <c r="D746" s="643"/>
      <c r="E746" s="643"/>
      <c r="F746" s="643"/>
      <c r="G746" s="643"/>
      <c r="H746" s="643"/>
      <c r="I746" s="643"/>
      <c r="J746" s="643"/>
      <c r="K746" s="643"/>
      <c r="L746" s="643"/>
      <c r="M746" s="643"/>
      <c r="N746" s="643"/>
      <c r="O746" s="643"/>
      <c r="P746" s="643"/>
      <c r="Q746" s="643"/>
      <c r="R746" s="643"/>
      <c r="S746" s="643"/>
      <c r="T746" s="643"/>
      <c r="U746" s="643"/>
      <c r="V746" s="643"/>
      <c r="W746" s="643"/>
      <c r="X746" s="643"/>
      <c r="Y746" s="643"/>
      <c r="Z746" s="643"/>
    </row>
    <row r="747" ht="11.25" customHeight="1">
      <c r="A747" s="646"/>
      <c r="B747" s="643"/>
      <c r="C747" s="644"/>
      <c r="D747" s="643"/>
      <c r="E747" s="643"/>
      <c r="F747" s="643"/>
      <c r="G747" s="643"/>
      <c r="H747" s="643"/>
      <c r="I747" s="643"/>
      <c r="J747" s="643"/>
      <c r="K747" s="643"/>
      <c r="L747" s="643"/>
      <c r="M747" s="643"/>
      <c r="N747" s="643"/>
      <c r="O747" s="643"/>
      <c r="P747" s="643"/>
      <c r="Q747" s="643"/>
      <c r="R747" s="643"/>
      <c r="S747" s="643"/>
      <c r="T747" s="643"/>
      <c r="U747" s="643"/>
      <c r="V747" s="643"/>
      <c r="W747" s="643"/>
      <c r="X747" s="643"/>
      <c r="Y747" s="643"/>
      <c r="Z747" s="643"/>
    </row>
    <row r="748" ht="11.25" customHeight="1">
      <c r="A748" s="646"/>
      <c r="B748" s="643"/>
      <c r="C748" s="644"/>
      <c r="D748" s="643"/>
      <c r="E748" s="643"/>
      <c r="F748" s="643"/>
      <c r="G748" s="643"/>
      <c r="H748" s="643"/>
      <c r="I748" s="643"/>
      <c r="J748" s="643"/>
      <c r="K748" s="643"/>
      <c r="L748" s="643"/>
      <c r="M748" s="643"/>
      <c r="N748" s="643"/>
      <c r="O748" s="643"/>
      <c r="P748" s="643"/>
      <c r="Q748" s="643"/>
      <c r="R748" s="643"/>
      <c r="S748" s="643"/>
      <c r="T748" s="643"/>
      <c r="U748" s="643"/>
      <c r="V748" s="643"/>
      <c r="W748" s="643"/>
      <c r="X748" s="643"/>
      <c r="Y748" s="643"/>
      <c r="Z748" s="643"/>
    </row>
    <row r="749" ht="11.25" customHeight="1">
      <c r="A749" s="646"/>
      <c r="B749" s="643"/>
      <c r="C749" s="644"/>
      <c r="D749" s="643"/>
      <c r="E749" s="643"/>
      <c r="F749" s="643"/>
      <c r="G749" s="643"/>
      <c r="H749" s="643"/>
      <c r="I749" s="643"/>
      <c r="J749" s="643"/>
      <c r="K749" s="643"/>
      <c r="L749" s="643"/>
      <c r="M749" s="643"/>
      <c r="N749" s="643"/>
      <c r="O749" s="643"/>
      <c r="P749" s="643"/>
      <c r="Q749" s="643"/>
      <c r="R749" s="643"/>
      <c r="S749" s="643"/>
      <c r="T749" s="643"/>
      <c r="U749" s="643"/>
      <c r="V749" s="643"/>
      <c r="W749" s="643"/>
      <c r="X749" s="643"/>
      <c r="Y749" s="643"/>
      <c r="Z749" s="643"/>
    </row>
    <row r="750" ht="11.25" customHeight="1">
      <c r="A750" s="646"/>
      <c r="B750" s="643"/>
      <c r="C750" s="644"/>
      <c r="D750" s="643"/>
      <c r="E750" s="643"/>
      <c r="F750" s="643"/>
      <c r="G750" s="643"/>
      <c r="H750" s="643"/>
      <c r="I750" s="643"/>
      <c r="J750" s="643"/>
      <c r="K750" s="643"/>
      <c r="L750" s="643"/>
      <c r="M750" s="643"/>
      <c r="N750" s="643"/>
      <c r="O750" s="643"/>
      <c r="P750" s="643"/>
      <c r="Q750" s="643"/>
      <c r="R750" s="643"/>
      <c r="S750" s="643"/>
      <c r="T750" s="643"/>
      <c r="U750" s="643"/>
      <c r="V750" s="643"/>
      <c r="W750" s="643"/>
      <c r="X750" s="643"/>
      <c r="Y750" s="643"/>
      <c r="Z750" s="643"/>
    </row>
    <row r="751" ht="11.25" customHeight="1">
      <c r="A751" s="646"/>
      <c r="B751" s="643"/>
      <c r="C751" s="644"/>
      <c r="D751" s="643"/>
      <c r="E751" s="643"/>
      <c r="F751" s="643"/>
      <c r="G751" s="643"/>
      <c r="H751" s="643"/>
      <c r="I751" s="643"/>
      <c r="J751" s="643"/>
      <c r="K751" s="643"/>
      <c r="L751" s="643"/>
      <c r="M751" s="643"/>
      <c r="N751" s="643"/>
      <c r="O751" s="643"/>
      <c r="P751" s="643"/>
      <c r="Q751" s="643"/>
      <c r="R751" s="643"/>
      <c r="S751" s="643"/>
      <c r="T751" s="643"/>
      <c r="U751" s="643"/>
      <c r="V751" s="643"/>
      <c r="W751" s="643"/>
      <c r="X751" s="643"/>
      <c r="Y751" s="643"/>
      <c r="Z751" s="643"/>
    </row>
    <row r="752" ht="11.25" customHeight="1">
      <c r="A752" s="646"/>
      <c r="B752" s="643"/>
      <c r="C752" s="644"/>
      <c r="D752" s="643"/>
      <c r="E752" s="643"/>
      <c r="F752" s="643"/>
      <c r="G752" s="643"/>
      <c r="H752" s="643"/>
      <c r="I752" s="643"/>
      <c r="J752" s="643"/>
      <c r="K752" s="643"/>
      <c r="L752" s="643"/>
      <c r="M752" s="643"/>
      <c r="N752" s="643"/>
      <c r="O752" s="643"/>
      <c r="P752" s="643"/>
      <c r="Q752" s="643"/>
      <c r="R752" s="643"/>
      <c r="S752" s="643"/>
      <c r="T752" s="643"/>
      <c r="U752" s="643"/>
      <c r="V752" s="643"/>
      <c r="W752" s="643"/>
      <c r="X752" s="643"/>
      <c r="Y752" s="643"/>
      <c r="Z752" s="643"/>
    </row>
    <row r="753" ht="11.25" customHeight="1">
      <c r="A753" s="646"/>
      <c r="B753" s="643"/>
      <c r="C753" s="644"/>
      <c r="D753" s="643"/>
      <c r="E753" s="643"/>
      <c r="F753" s="643"/>
      <c r="G753" s="643"/>
      <c r="H753" s="643"/>
      <c r="I753" s="643"/>
      <c r="J753" s="643"/>
      <c r="K753" s="643"/>
      <c r="L753" s="643"/>
      <c r="M753" s="643"/>
      <c r="N753" s="643"/>
      <c r="O753" s="643"/>
      <c r="P753" s="643"/>
      <c r="Q753" s="643"/>
      <c r="R753" s="643"/>
      <c r="S753" s="643"/>
      <c r="T753" s="643"/>
      <c r="U753" s="643"/>
      <c r="V753" s="643"/>
      <c r="W753" s="643"/>
      <c r="X753" s="643"/>
      <c r="Y753" s="643"/>
      <c r="Z753" s="643"/>
    </row>
    <row r="754" ht="11.25" customHeight="1">
      <c r="A754" s="646"/>
      <c r="B754" s="643"/>
      <c r="C754" s="644"/>
      <c r="D754" s="643"/>
      <c r="E754" s="643"/>
      <c r="F754" s="643"/>
      <c r="G754" s="643"/>
      <c r="H754" s="643"/>
      <c r="I754" s="643"/>
      <c r="J754" s="643"/>
      <c r="K754" s="643"/>
      <c r="L754" s="643"/>
      <c r="M754" s="643"/>
      <c r="N754" s="643"/>
      <c r="O754" s="643"/>
      <c r="P754" s="643"/>
      <c r="Q754" s="643"/>
      <c r="R754" s="643"/>
      <c r="S754" s="643"/>
      <c r="T754" s="643"/>
      <c r="U754" s="643"/>
      <c r="V754" s="643"/>
      <c r="W754" s="643"/>
      <c r="X754" s="643"/>
      <c r="Y754" s="643"/>
      <c r="Z754" s="643"/>
    </row>
    <row r="755" ht="11.25" customHeight="1">
      <c r="A755" s="646"/>
      <c r="B755" s="643"/>
      <c r="C755" s="644"/>
      <c r="D755" s="643"/>
      <c r="E755" s="643"/>
      <c r="F755" s="643"/>
      <c r="G755" s="643"/>
      <c r="H755" s="643"/>
      <c r="I755" s="643"/>
      <c r="J755" s="643"/>
      <c r="K755" s="643"/>
      <c r="L755" s="643"/>
      <c r="M755" s="643"/>
      <c r="N755" s="643"/>
      <c r="O755" s="643"/>
      <c r="P755" s="643"/>
      <c r="Q755" s="643"/>
      <c r="R755" s="643"/>
      <c r="S755" s="643"/>
      <c r="T755" s="643"/>
      <c r="U755" s="643"/>
      <c r="V755" s="643"/>
      <c r="W755" s="643"/>
      <c r="X755" s="643"/>
      <c r="Y755" s="643"/>
      <c r="Z755" s="643"/>
    </row>
    <row r="756" ht="11.25" customHeight="1">
      <c r="A756" s="646"/>
      <c r="B756" s="643"/>
      <c r="C756" s="644"/>
      <c r="D756" s="643"/>
      <c r="E756" s="643"/>
      <c r="F756" s="643"/>
      <c r="G756" s="643"/>
      <c r="H756" s="643"/>
      <c r="I756" s="643"/>
      <c r="J756" s="643"/>
      <c r="K756" s="643"/>
      <c r="L756" s="643"/>
      <c r="M756" s="643"/>
      <c r="N756" s="643"/>
      <c r="O756" s="643"/>
      <c r="P756" s="643"/>
      <c r="Q756" s="643"/>
      <c r="R756" s="643"/>
      <c r="S756" s="643"/>
      <c r="T756" s="643"/>
      <c r="U756" s="643"/>
      <c r="V756" s="643"/>
      <c r="W756" s="643"/>
      <c r="X756" s="643"/>
      <c r="Y756" s="643"/>
      <c r="Z756" s="643"/>
    </row>
    <row r="757" ht="11.25" customHeight="1">
      <c r="A757" s="646"/>
      <c r="B757" s="643"/>
      <c r="C757" s="644"/>
      <c r="D757" s="643"/>
      <c r="E757" s="643"/>
      <c r="F757" s="643"/>
      <c r="G757" s="643"/>
      <c r="H757" s="643"/>
      <c r="I757" s="643"/>
      <c r="J757" s="643"/>
      <c r="K757" s="643"/>
      <c r="L757" s="643"/>
      <c r="M757" s="643"/>
      <c r="N757" s="643"/>
      <c r="O757" s="643"/>
      <c r="P757" s="643"/>
      <c r="Q757" s="643"/>
      <c r="R757" s="643"/>
      <c r="S757" s="643"/>
      <c r="T757" s="643"/>
      <c r="U757" s="643"/>
      <c r="V757" s="643"/>
      <c r="W757" s="643"/>
      <c r="X757" s="643"/>
      <c r="Y757" s="643"/>
      <c r="Z757" s="643"/>
    </row>
    <row r="758" ht="11.25" customHeight="1">
      <c r="A758" s="646"/>
      <c r="B758" s="643"/>
      <c r="C758" s="644"/>
      <c r="D758" s="643"/>
      <c r="E758" s="643"/>
      <c r="F758" s="643"/>
      <c r="G758" s="643"/>
      <c r="H758" s="643"/>
      <c r="I758" s="643"/>
      <c r="J758" s="643"/>
      <c r="K758" s="643"/>
      <c r="L758" s="643"/>
      <c r="M758" s="643"/>
      <c r="N758" s="643"/>
      <c r="O758" s="643"/>
      <c r="P758" s="643"/>
      <c r="Q758" s="643"/>
      <c r="R758" s="643"/>
      <c r="S758" s="643"/>
      <c r="T758" s="643"/>
      <c r="U758" s="643"/>
      <c r="V758" s="643"/>
      <c r="W758" s="643"/>
      <c r="X758" s="643"/>
      <c r="Y758" s="643"/>
      <c r="Z758" s="643"/>
    </row>
    <row r="759" ht="11.25" customHeight="1">
      <c r="A759" s="646"/>
      <c r="B759" s="643"/>
      <c r="C759" s="644"/>
      <c r="D759" s="643"/>
      <c r="E759" s="643"/>
      <c r="F759" s="643"/>
      <c r="G759" s="643"/>
      <c r="H759" s="643"/>
      <c r="I759" s="643"/>
      <c r="J759" s="643"/>
      <c r="K759" s="643"/>
      <c r="L759" s="643"/>
      <c r="M759" s="643"/>
      <c r="N759" s="643"/>
      <c r="O759" s="643"/>
      <c r="P759" s="643"/>
      <c r="Q759" s="643"/>
      <c r="R759" s="643"/>
      <c r="S759" s="643"/>
      <c r="T759" s="643"/>
      <c r="U759" s="643"/>
      <c r="V759" s="643"/>
      <c r="W759" s="643"/>
      <c r="X759" s="643"/>
      <c r="Y759" s="643"/>
      <c r="Z759" s="643"/>
    </row>
    <row r="760" ht="11.25" customHeight="1">
      <c r="A760" s="646"/>
      <c r="B760" s="643"/>
      <c r="C760" s="644"/>
      <c r="D760" s="643"/>
      <c r="E760" s="643"/>
      <c r="F760" s="643"/>
      <c r="G760" s="643"/>
      <c r="H760" s="643"/>
      <c r="I760" s="643"/>
      <c r="J760" s="643"/>
      <c r="K760" s="643"/>
      <c r="L760" s="643"/>
      <c r="M760" s="643"/>
      <c r="N760" s="643"/>
      <c r="O760" s="643"/>
      <c r="P760" s="643"/>
      <c r="Q760" s="643"/>
      <c r="R760" s="643"/>
      <c r="S760" s="643"/>
      <c r="T760" s="643"/>
      <c r="U760" s="643"/>
      <c r="V760" s="643"/>
      <c r="W760" s="643"/>
      <c r="X760" s="643"/>
      <c r="Y760" s="643"/>
      <c r="Z760" s="643"/>
    </row>
    <row r="761" ht="11.25" customHeight="1">
      <c r="A761" s="646"/>
      <c r="B761" s="643"/>
      <c r="C761" s="644"/>
      <c r="D761" s="643"/>
      <c r="E761" s="643"/>
      <c r="F761" s="643"/>
      <c r="G761" s="643"/>
      <c r="H761" s="643"/>
      <c r="I761" s="643"/>
      <c r="J761" s="643"/>
      <c r="K761" s="643"/>
      <c r="L761" s="643"/>
      <c r="M761" s="643"/>
      <c r="N761" s="643"/>
      <c r="O761" s="643"/>
      <c r="P761" s="643"/>
      <c r="Q761" s="643"/>
      <c r="R761" s="643"/>
      <c r="S761" s="643"/>
      <c r="T761" s="643"/>
      <c r="U761" s="643"/>
      <c r="V761" s="643"/>
      <c r="W761" s="643"/>
      <c r="X761" s="643"/>
      <c r="Y761" s="643"/>
      <c r="Z761" s="643"/>
    </row>
    <row r="762" ht="11.25" customHeight="1">
      <c r="A762" s="646"/>
      <c r="B762" s="643"/>
      <c r="C762" s="644"/>
      <c r="D762" s="643"/>
      <c r="E762" s="643"/>
      <c r="F762" s="643"/>
      <c r="G762" s="643"/>
      <c r="H762" s="643"/>
      <c r="I762" s="643"/>
      <c r="J762" s="643"/>
      <c r="K762" s="643"/>
      <c r="L762" s="643"/>
      <c r="M762" s="643"/>
      <c r="N762" s="643"/>
      <c r="O762" s="643"/>
      <c r="P762" s="643"/>
      <c r="Q762" s="643"/>
      <c r="R762" s="643"/>
      <c r="S762" s="643"/>
      <c r="T762" s="643"/>
      <c r="U762" s="643"/>
      <c r="V762" s="643"/>
      <c r="W762" s="643"/>
      <c r="X762" s="643"/>
      <c r="Y762" s="643"/>
      <c r="Z762" s="643"/>
    </row>
    <row r="763" ht="11.25" customHeight="1">
      <c r="A763" s="646"/>
      <c r="B763" s="643"/>
      <c r="C763" s="644"/>
      <c r="D763" s="643"/>
      <c r="E763" s="643"/>
      <c r="F763" s="643"/>
      <c r="G763" s="643"/>
      <c r="H763" s="643"/>
      <c r="I763" s="643"/>
      <c r="J763" s="643"/>
      <c r="K763" s="643"/>
      <c r="L763" s="643"/>
      <c r="M763" s="643"/>
      <c r="N763" s="643"/>
      <c r="O763" s="643"/>
      <c r="P763" s="643"/>
      <c r="Q763" s="643"/>
      <c r="R763" s="643"/>
      <c r="S763" s="643"/>
      <c r="T763" s="643"/>
      <c r="U763" s="643"/>
      <c r="V763" s="643"/>
      <c r="W763" s="643"/>
      <c r="X763" s="643"/>
      <c r="Y763" s="643"/>
      <c r="Z763" s="643"/>
    </row>
    <row r="764" ht="11.25" customHeight="1">
      <c r="A764" s="646"/>
      <c r="B764" s="643"/>
      <c r="C764" s="644"/>
      <c r="D764" s="643"/>
      <c r="E764" s="643"/>
      <c r="F764" s="643"/>
      <c r="G764" s="643"/>
      <c r="H764" s="643"/>
      <c r="I764" s="643"/>
      <c r="J764" s="643"/>
      <c r="K764" s="643"/>
      <c r="L764" s="643"/>
      <c r="M764" s="643"/>
      <c r="N764" s="643"/>
      <c r="O764" s="643"/>
      <c r="P764" s="643"/>
      <c r="Q764" s="643"/>
      <c r="R764" s="643"/>
      <c r="S764" s="643"/>
      <c r="T764" s="643"/>
      <c r="U764" s="643"/>
      <c r="V764" s="643"/>
      <c r="W764" s="643"/>
      <c r="X764" s="643"/>
      <c r="Y764" s="643"/>
      <c r="Z764" s="643"/>
    </row>
    <row r="765" ht="11.25" customHeight="1">
      <c r="A765" s="646"/>
      <c r="B765" s="643"/>
      <c r="C765" s="644"/>
      <c r="D765" s="643"/>
      <c r="E765" s="643"/>
      <c r="F765" s="643"/>
      <c r="G765" s="643"/>
      <c r="H765" s="643"/>
      <c r="I765" s="643"/>
      <c r="J765" s="643"/>
      <c r="K765" s="643"/>
      <c r="L765" s="643"/>
      <c r="M765" s="643"/>
      <c r="N765" s="643"/>
      <c r="O765" s="643"/>
      <c r="P765" s="643"/>
      <c r="Q765" s="643"/>
      <c r="R765" s="643"/>
      <c r="S765" s="643"/>
      <c r="T765" s="643"/>
      <c r="U765" s="643"/>
      <c r="V765" s="643"/>
      <c r="W765" s="643"/>
      <c r="X765" s="643"/>
      <c r="Y765" s="643"/>
      <c r="Z765" s="643"/>
    </row>
    <row r="766" ht="11.25" customHeight="1">
      <c r="A766" s="646"/>
      <c r="B766" s="643"/>
      <c r="C766" s="644"/>
      <c r="D766" s="643"/>
      <c r="E766" s="643"/>
      <c r="F766" s="643"/>
      <c r="G766" s="643"/>
      <c r="H766" s="643"/>
      <c r="I766" s="643"/>
      <c r="J766" s="643"/>
      <c r="K766" s="643"/>
      <c r="L766" s="643"/>
      <c r="M766" s="643"/>
      <c r="N766" s="643"/>
      <c r="O766" s="643"/>
      <c r="P766" s="643"/>
      <c r="Q766" s="643"/>
      <c r="R766" s="643"/>
      <c r="S766" s="643"/>
      <c r="T766" s="643"/>
      <c r="U766" s="643"/>
      <c r="V766" s="643"/>
      <c r="W766" s="643"/>
      <c r="X766" s="643"/>
      <c r="Y766" s="643"/>
      <c r="Z766" s="643"/>
    </row>
    <row r="767" ht="11.25" customHeight="1">
      <c r="A767" s="646"/>
      <c r="B767" s="643"/>
      <c r="C767" s="644"/>
      <c r="D767" s="643"/>
      <c r="E767" s="643"/>
      <c r="F767" s="643"/>
      <c r="G767" s="643"/>
      <c r="H767" s="643"/>
      <c r="I767" s="643"/>
      <c r="J767" s="643"/>
      <c r="K767" s="643"/>
      <c r="L767" s="643"/>
      <c r="M767" s="643"/>
      <c r="N767" s="643"/>
      <c r="O767" s="643"/>
      <c r="P767" s="643"/>
      <c r="Q767" s="643"/>
      <c r="R767" s="643"/>
      <c r="S767" s="643"/>
      <c r="T767" s="643"/>
      <c r="U767" s="643"/>
      <c r="V767" s="643"/>
      <c r="W767" s="643"/>
      <c r="X767" s="643"/>
      <c r="Y767" s="643"/>
      <c r="Z767" s="643"/>
    </row>
    <row r="768" ht="11.25" customHeight="1">
      <c r="A768" s="646"/>
      <c r="B768" s="643"/>
      <c r="C768" s="644"/>
      <c r="D768" s="643"/>
      <c r="E768" s="643"/>
      <c r="F768" s="643"/>
      <c r="G768" s="643"/>
      <c r="H768" s="643"/>
      <c r="I768" s="643"/>
      <c r="J768" s="643"/>
      <c r="K768" s="643"/>
      <c r="L768" s="643"/>
      <c r="M768" s="643"/>
      <c r="N768" s="643"/>
      <c r="O768" s="643"/>
      <c r="P768" s="643"/>
      <c r="Q768" s="643"/>
      <c r="R768" s="643"/>
      <c r="S768" s="643"/>
      <c r="T768" s="643"/>
      <c r="U768" s="643"/>
      <c r="V768" s="643"/>
      <c r="W768" s="643"/>
      <c r="X768" s="643"/>
      <c r="Y768" s="643"/>
      <c r="Z768" s="643"/>
    </row>
    <row r="769" ht="11.25" customHeight="1">
      <c r="A769" s="646"/>
      <c r="B769" s="643"/>
      <c r="C769" s="644"/>
      <c r="D769" s="643"/>
      <c r="E769" s="643"/>
      <c r="F769" s="643"/>
      <c r="G769" s="643"/>
      <c r="H769" s="643"/>
      <c r="I769" s="643"/>
      <c r="J769" s="643"/>
      <c r="K769" s="643"/>
      <c r="L769" s="643"/>
      <c r="M769" s="643"/>
      <c r="N769" s="643"/>
      <c r="O769" s="643"/>
      <c r="P769" s="643"/>
      <c r="Q769" s="643"/>
      <c r="R769" s="643"/>
      <c r="S769" s="643"/>
      <c r="T769" s="643"/>
      <c r="U769" s="643"/>
      <c r="V769" s="643"/>
      <c r="W769" s="643"/>
      <c r="X769" s="643"/>
      <c r="Y769" s="643"/>
      <c r="Z769" s="643"/>
    </row>
    <row r="770" ht="11.25" customHeight="1">
      <c r="A770" s="646"/>
      <c r="B770" s="643"/>
      <c r="C770" s="644"/>
      <c r="D770" s="643"/>
      <c r="E770" s="643"/>
      <c r="F770" s="643"/>
      <c r="G770" s="643"/>
      <c r="H770" s="643"/>
      <c r="I770" s="643"/>
      <c r="J770" s="643"/>
      <c r="K770" s="643"/>
      <c r="L770" s="643"/>
      <c r="M770" s="643"/>
      <c r="N770" s="643"/>
      <c r="O770" s="643"/>
      <c r="P770" s="643"/>
      <c r="Q770" s="643"/>
      <c r="R770" s="643"/>
      <c r="S770" s="643"/>
      <c r="T770" s="643"/>
      <c r="U770" s="643"/>
      <c r="V770" s="643"/>
      <c r="W770" s="643"/>
      <c r="X770" s="643"/>
      <c r="Y770" s="643"/>
      <c r="Z770" s="643"/>
    </row>
    <row r="771" ht="11.25" customHeight="1">
      <c r="A771" s="646"/>
      <c r="B771" s="643"/>
      <c r="C771" s="644"/>
      <c r="D771" s="643"/>
      <c r="E771" s="643"/>
      <c r="F771" s="643"/>
      <c r="G771" s="643"/>
      <c r="H771" s="643"/>
      <c r="I771" s="643"/>
      <c r="J771" s="643"/>
      <c r="K771" s="643"/>
      <c r="L771" s="643"/>
      <c r="M771" s="643"/>
      <c r="N771" s="643"/>
      <c r="O771" s="643"/>
      <c r="P771" s="643"/>
      <c r="Q771" s="643"/>
      <c r="R771" s="643"/>
      <c r="S771" s="643"/>
      <c r="T771" s="643"/>
      <c r="U771" s="643"/>
      <c r="V771" s="643"/>
      <c r="W771" s="643"/>
      <c r="X771" s="643"/>
      <c r="Y771" s="643"/>
      <c r="Z771" s="643"/>
    </row>
    <row r="772" ht="11.25" customHeight="1">
      <c r="A772" s="646"/>
      <c r="B772" s="643"/>
      <c r="C772" s="644"/>
      <c r="D772" s="643"/>
      <c r="E772" s="643"/>
      <c r="F772" s="643"/>
      <c r="G772" s="643"/>
      <c r="H772" s="643"/>
      <c r="I772" s="643"/>
      <c r="J772" s="643"/>
      <c r="K772" s="643"/>
      <c r="L772" s="643"/>
      <c r="M772" s="643"/>
      <c r="N772" s="643"/>
      <c r="O772" s="643"/>
      <c r="P772" s="643"/>
      <c r="Q772" s="643"/>
      <c r="R772" s="643"/>
      <c r="S772" s="643"/>
      <c r="T772" s="643"/>
      <c r="U772" s="643"/>
      <c r="V772" s="643"/>
      <c r="W772" s="643"/>
      <c r="X772" s="643"/>
      <c r="Y772" s="643"/>
      <c r="Z772" s="643"/>
    </row>
    <row r="773" ht="11.25" customHeight="1">
      <c r="A773" s="646"/>
      <c r="B773" s="643"/>
      <c r="C773" s="644"/>
      <c r="D773" s="643"/>
      <c r="E773" s="643"/>
      <c r="F773" s="643"/>
      <c r="G773" s="643"/>
      <c r="H773" s="643"/>
      <c r="I773" s="643"/>
      <c r="J773" s="643"/>
      <c r="K773" s="643"/>
      <c r="L773" s="643"/>
      <c r="M773" s="643"/>
      <c r="N773" s="643"/>
      <c r="O773" s="643"/>
      <c r="P773" s="643"/>
      <c r="Q773" s="643"/>
      <c r="R773" s="643"/>
      <c r="S773" s="643"/>
      <c r="T773" s="643"/>
      <c r="U773" s="643"/>
      <c r="V773" s="643"/>
      <c r="W773" s="643"/>
      <c r="X773" s="643"/>
      <c r="Y773" s="643"/>
      <c r="Z773" s="643"/>
    </row>
    <row r="774" ht="11.25" customHeight="1">
      <c r="A774" s="646"/>
      <c r="B774" s="643"/>
      <c r="C774" s="644"/>
      <c r="D774" s="643"/>
      <c r="E774" s="643"/>
      <c r="F774" s="643"/>
      <c r="G774" s="643"/>
      <c r="H774" s="643"/>
      <c r="I774" s="643"/>
      <c r="J774" s="643"/>
      <c r="K774" s="643"/>
      <c r="L774" s="643"/>
      <c r="M774" s="643"/>
      <c r="N774" s="643"/>
      <c r="O774" s="643"/>
      <c r="P774" s="643"/>
      <c r="Q774" s="643"/>
      <c r="R774" s="643"/>
      <c r="S774" s="643"/>
      <c r="T774" s="643"/>
      <c r="U774" s="643"/>
      <c r="V774" s="643"/>
      <c r="W774" s="643"/>
      <c r="X774" s="643"/>
      <c r="Y774" s="643"/>
      <c r="Z774" s="643"/>
    </row>
    <row r="775" ht="11.25" customHeight="1">
      <c r="A775" s="646"/>
      <c r="B775" s="643"/>
      <c r="C775" s="644"/>
      <c r="D775" s="643"/>
      <c r="E775" s="643"/>
      <c r="F775" s="643"/>
      <c r="G775" s="643"/>
      <c r="H775" s="643"/>
      <c r="I775" s="643"/>
      <c r="J775" s="643"/>
      <c r="K775" s="643"/>
      <c r="L775" s="643"/>
      <c r="M775" s="643"/>
      <c r="N775" s="643"/>
      <c r="O775" s="643"/>
      <c r="P775" s="643"/>
      <c r="Q775" s="643"/>
      <c r="R775" s="643"/>
      <c r="S775" s="643"/>
      <c r="T775" s="643"/>
      <c r="U775" s="643"/>
      <c r="V775" s="643"/>
      <c r="W775" s="643"/>
      <c r="X775" s="643"/>
      <c r="Y775" s="643"/>
      <c r="Z775" s="643"/>
    </row>
    <row r="776" ht="11.25" customHeight="1">
      <c r="A776" s="646"/>
      <c r="B776" s="643"/>
      <c r="C776" s="644"/>
      <c r="D776" s="643"/>
      <c r="E776" s="643"/>
      <c r="F776" s="643"/>
      <c r="G776" s="643"/>
      <c r="H776" s="643"/>
      <c r="I776" s="643"/>
      <c r="J776" s="643"/>
      <c r="K776" s="643"/>
      <c r="L776" s="643"/>
      <c r="M776" s="643"/>
      <c r="N776" s="643"/>
      <c r="O776" s="643"/>
      <c r="P776" s="643"/>
      <c r="Q776" s="643"/>
      <c r="R776" s="643"/>
      <c r="S776" s="643"/>
      <c r="T776" s="643"/>
      <c r="U776" s="643"/>
      <c r="V776" s="643"/>
      <c r="W776" s="643"/>
      <c r="X776" s="643"/>
      <c r="Y776" s="643"/>
      <c r="Z776" s="643"/>
    </row>
    <row r="777" ht="11.25" customHeight="1">
      <c r="A777" s="646"/>
      <c r="B777" s="643"/>
      <c r="C777" s="644"/>
      <c r="D777" s="643"/>
      <c r="E777" s="643"/>
      <c r="F777" s="643"/>
      <c r="G777" s="643"/>
      <c r="H777" s="643"/>
      <c r="I777" s="643"/>
      <c r="J777" s="643"/>
      <c r="K777" s="643"/>
      <c r="L777" s="643"/>
      <c r="M777" s="643"/>
      <c r="N777" s="643"/>
      <c r="O777" s="643"/>
      <c r="P777" s="643"/>
      <c r="Q777" s="643"/>
      <c r="R777" s="643"/>
      <c r="S777" s="643"/>
      <c r="T777" s="643"/>
      <c r="U777" s="643"/>
      <c r="V777" s="643"/>
      <c r="W777" s="643"/>
      <c r="X777" s="643"/>
      <c r="Y777" s="643"/>
      <c r="Z777" s="643"/>
    </row>
    <row r="778" ht="11.25" customHeight="1">
      <c r="A778" s="646"/>
      <c r="B778" s="643"/>
      <c r="C778" s="644"/>
      <c r="D778" s="643"/>
      <c r="E778" s="643"/>
      <c r="F778" s="643"/>
      <c r="G778" s="643"/>
      <c r="H778" s="643"/>
      <c r="I778" s="643"/>
      <c r="J778" s="643"/>
      <c r="K778" s="643"/>
      <c r="L778" s="643"/>
      <c r="M778" s="643"/>
      <c r="N778" s="643"/>
      <c r="O778" s="643"/>
      <c r="P778" s="643"/>
      <c r="Q778" s="643"/>
      <c r="R778" s="643"/>
      <c r="S778" s="643"/>
      <c r="T778" s="643"/>
      <c r="U778" s="643"/>
      <c r="V778" s="643"/>
      <c r="W778" s="643"/>
      <c r="X778" s="643"/>
      <c r="Y778" s="643"/>
      <c r="Z778" s="643"/>
    </row>
    <row r="779" ht="11.25" customHeight="1">
      <c r="A779" s="646"/>
      <c r="B779" s="643"/>
      <c r="C779" s="644"/>
      <c r="D779" s="643"/>
      <c r="E779" s="643"/>
      <c r="F779" s="643"/>
      <c r="G779" s="643"/>
      <c r="H779" s="643"/>
      <c r="I779" s="643"/>
      <c r="J779" s="643"/>
      <c r="K779" s="643"/>
      <c r="L779" s="643"/>
      <c r="M779" s="643"/>
      <c r="N779" s="643"/>
      <c r="O779" s="643"/>
      <c r="P779" s="643"/>
      <c r="Q779" s="643"/>
      <c r="R779" s="643"/>
      <c r="S779" s="643"/>
      <c r="T779" s="643"/>
      <c r="U779" s="643"/>
      <c r="V779" s="643"/>
      <c r="W779" s="643"/>
      <c r="X779" s="643"/>
      <c r="Y779" s="643"/>
      <c r="Z779" s="643"/>
    </row>
    <row r="780" ht="11.25" customHeight="1">
      <c r="A780" s="646"/>
      <c r="B780" s="643"/>
      <c r="C780" s="644"/>
      <c r="D780" s="643"/>
      <c r="E780" s="643"/>
      <c r="F780" s="643"/>
      <c r="G780" s="643"/>
      <c r="H780" s="643"/>
      <c r="I780" s="643"/>
      <c r="J780" s="643"/>
      <c r="K780" s="643"/>
      <c r="L780" s="643"/>
      <c r="M780" s="643"/>
      <c r="N780" s="643"/>
      <c r="O780" s="643"/>
      <c r="P780" s="643"/>
      <c r="Q780" s="643"/>
      <c r="R780" s="643"/>
      <c r="S780" s="643"/>
      <c r="T780" s="643"/>
      <c r="U780" s="643"/>
      <c r="V780" s="643"/>
      <c r="W780" s="643"/>
      <c r="X780" s="643"/>
      <c r="Y780" s="643"/>
      <c r="Z780" s="643"/>
    </row>
    <row r="781" ht="11.25" customHeight="1">
      <c r="A781" s="646"/>
      <c r="B781" s="643"/>
      <c r="C781" s="644"/>
      <c r="D781" s="643"/>
      <c r="E781" s="643"/>
      <c r="F781" s="643"/>
      <c r="G781" s="643"/>
      <c r="H781" s="643"/>
      <c r="I781" s="643"/>
      <c r="J781" s="643"/>
      <c r="K781" s="643"/>
      <c r="L781" s="643"/>
      <c r="M781" s="643"/>
      <c r="N781" s="643"/>
      <c r="O781" s="643"/>
      <c r="P781" s="643"/>
      <c r="Q781" s="643"/>
      <c r="R781" s="643"/>
      <c r="S781" s="643"/>
      <c r="T781" s="643"/>
      <c r="U781" s="643"/>
      <c r="V781" s="643"/>
      <c r="W781" s="643"/>
      <c r="X781" s="643"/>
      <c r="Y781" s="643"/>
      <c r="Z781" s="643"/>
    </row>
    <row r="782" ht="11.25" customHeight="1">
      <c r="A782" s="646"/>
      <c r="B782" s="643"/>
      <c r="C782" s="644"/>
      <c r="D782" s="643"/>
      <c r="E782" s="643"/>
      <c r="F782" s="643"/>
      <c r="G782" s="643"/>
      <c r="H782" s="643"/>
      <c r="I782" s="643"/>
      <c r="J782" s="643"/>
      <c r="K782" s="643"/>
      <c r="L782" s="643"/>
      <c r="M782" s="643"/>
      <c r="N782" s="643"/>
      <c r="O782" s="643"/>
      <c r="P782" s="643"/>
      <c r="Q782" s="643"/>
      <c r="R782" s="643"/>
      <c r="S782" s="643"/>
      <c r="T782" s="643"/>
      <c r="U782" s="643"/>
      <c r="V782" s="643"/>
      <c r="W782" s="643"/>
      <c r="X782" s="643"/>
      <c r="Y782" s="643"/>
      <c r="Z782" s="643"/>
    </row>
    <row r="783" ht="11.25" customHeight="1">
      <c r="A783" s="646"/>
      <c r="B783" s="643"/>
      <c r="C783" s="644"/>
      <c r="D783" s="643"/>
      <c r="E783" s="643"/>
      <c r="F783" s="643"/>
      <c r="G783" s="643"/>
      <c r="H783" s="643"/>
      <c r="I783" s="643"/>
      <c r="J783" s="643"/>
      <c r="K783" s="643"/>
      <c r="L783" s="643"/>
      <c r="M783" s="643"/>
      <c r="N783" s="643"/>
      <c r="O783" s="643"/>
      <c r="P783" s="643"/>
      <c r="Q783" s="643"/>
      <c r="R783" s="643"/>
      <c r="S783" s="643"/>
      <c r="T783" s="643"/>
      <c r="U783" s="643"/>
      <c r="V783" s="643"/>
      <c r="W783" s="643"/>
      <c r="X783" s="643"/>
      <c r="Y783" s="643"/>
      <c r="Z783" s="643"/>
    </row>
    <row r="784" ht="11.25" customHeight="1">
      <c r="A784" s="646"/>
      <c r="B784" s="643"/>
      <c r="C784" s="644"/>
      <c r="D784" s="643"/>
      <c r="E784" s="643"/>
      <c r="F784" s="643"/>
      <c r="G784" s="643"/>
      <c r="H784" s="643"/>
      <c r="I784" s="643"/>
      <c r="J784" s="643"/>
      <c r="K784" s="643"/>
      <c r="L784" s="643"/>
      <c r="M784" s="643"/>
      <c r="N784" s="643"/>
      <c r="O784" s="643"/>
      <c r="P784" s="643"/>
      <c r="Q784" s="643"/>
      <c r="R784" s="643"/>
      <c r="S784" s="643"/>
      <c r="T784" s="643"/>
      <c r="U784" s="643"/>
      <c r="V784" s="643"/>
      <c r="W784" s="643"/>
      <c r="X784" s="643"/>
      <c r="Y784" s="643"/>
      <c r="Z784" s="643"/>
    </row>
    <row r="785" ht="11.25" customHeight="1">
      <c r="A785" s="646"/>
      <c r="B785" s="643"/>
      <c r="C785" s="644"/>
      <c r="D785" s="643"/>
      <c r="E785" s="643"/>
      <c r="F785" s="643"/>
      <c r="G785" s="643"/>
      <c r="H785" s="643"/>
      <c r="I785" s="643"/>
      <c r="J785" s="643"/>
      <c r="K785" s="643"/>
      <c r="L785" s="643"/>
      <c r="M785" s="643"/>
      <c r="N785" s="643"/>
      <c r="O785" s="643"/>
      <c r="P785" s="643"/>
      <c r="Q785" s="643"/>
      <c r="R785" s="643"/>
      <c r="S785" s="643"/>
      <c r="T785" s="643"/>
      <c r="U785" s="643"/>
      <c r="V785" s="643"/>
      <c r="W785" s="643"/>
      <c r="X785" s="643"/>
      <c r="Y785" s="643"/>
      <c r="Z785" s="643"/>
    </row>
    <row r="786" ht="11.25" customHeight="1">
      <c r="A786" s="646"/>
      <c r="B786" s="643"/>
      <c r="C786" s="644"/>
      <c r="D786" s="643"/>
      <c r="E786" s="643"/>
      <c r="F786" s="643"/>
      <c r="G786" s="643"/>
      <c r="H786" s="643"/>
      <c r="I786" s="643"/>
      <c r="J786" s="643"/>
      <c r="K786" s="643"/>
      <c r="L786" s="643"/>
      <c r="M786" s="643"/>
      <c r="N786" s="643"/>
      <c r="O786" s="643"/>
      <c r="P786" s="643"/>
      <c r="Q786" s="643"/>
      <c r="R786" s="643"/>
      <c r="S786" s="643"/>
      <c r="T786" s="643"/>
      <c r="U786" s="643"/>
      <c r="V786" s="643"/>
      <c r="W786" s="643"/>
      <c r="X786" s="643"/>
      <c r="Y786" s="643"/>
      <c r="Z786" s="643"/>
    </row>
    <row r="787" ht="11.25" customHeight="1">
      <c r="A787" s="646"/>
      <c r="B787" s="643"/>
      <c r="C787" s="644"/>
      <c r="D787" s="643"/>
      <c r="E787" s="643"/>
      <c r="F787" s="643"/>
      <c r="G787" s="643"/>
      <c r="H787" s="643"/>
      <c r="I787" s="643"/>
      <c r="J787" s="643"/>
      <c r="K787" s="643"/>
      <c r="L787" s="643"/>
      <c r="M787" s="643"/>
      <c r="N787" s="643"/>
      <c r="O787" s="643"/>
      <c r="P787" s="643"/>
      <c r="Q787" s="643"/>
      <c r="R787" s="643"/>
      <c r="S787" s="643"/>
      <c r="T787" s="643"/>
      <c r="U787" s="643"/>
      <c r="V787" s="643"/>
      <c r="W787" s="643"/>
      <c r="X787" s="643"/>
      <c r="Y787" s="643"/>
      <c r="Z787" s="643"/>
    </row>
    <row r="788" ht="11.25" customHeight="1">
      <c r="A788" s="646"/>
      <c r="B788" s="643"/>
      <c r="C788" s="644"/>
      <c r="D788" s="643"/>
      <c r="E788" s="643"/>
      <c r="F788" s="643"/>
      <c r="G788" s="643"/>
      <c r="H788" s="643"/>
      <c r="I788" s="643"/>
      <c r="J788" s="643"/>
      <c r="K788" s="643"/>
      <c r="L788" s="643"/>
      <c r="M788" s="643"/>
      <c r="N788" s="643"/>
      <c r="O788" s="643"/>
      <c r="P788" s="643"/>
      <c r="Q788" s="643"/>
      <c r="R788" s="643"/>
      <c r="S788" s="643"/>
      <c r="T788" s="643"/>
      <c r="U788" s="643"/>
      <c r="V788" s="643"/>
      <c r="W788" s="643"/>
      <c r="X788" s="643"/>
      <c r="Y788" s="643"/>
      <c r="Z788" s="643"/>
    </row>
    <row r="789" ht="11.25" customHeight="1">
      <c r="A789" s="646"/>
      <c r="B789" s="643"/>
      <c r="C789" s="644"/>
      <c r="D789" s="643"/>
      <c r="E789" s="643"/>
      <c r="F789" s="643"/>
      <c r="G789" s="643"/>
      <c r="H789" s="643"/>
      <c r="I789" s="643"/>
      <c r="J789" s="643"/>
      <c r="K789" s="643"/>
      <c r="L789" s="643"/>
      <c r="M789" s="643"/>
      <c r="N789" s="643"/>
      <c r="O789" s="643"/>
      <c r="P789" s="643"/>
      <c r="Q789" s="643"/>
      <c r="R789" s="643"/>
      <c r="S789" s="643"/>
      <c r="T789" s="643"/>
      <c r="U789" s="643"/>
      <c r="V789" s="643"/>
      <c r="W789" s="643"/>
      <c r="X789" s="643"/>
      <c r="Y789" s="643"/>
      <c r="Z789" s="643"/>
    </row>
    <row r="790" ht="11.25" customHeight="1">
      <c r="A790" s="646"/>
      <c r="B790" s="643"/>
      <c r="C790" s="644"/>
      <c r="D790" s="643"/>
      <c r="E790" s="643"/>
      <c r="F790" s="643"/>
      <c r="G790" s="643"/>
      <c r="H790" s="643"/>
      <c r="I790" s="643"/>
      <c r="J790" s="643"/>
      <c r="K790" s="643"/>
      <c r="L790" s="643"/>
      <c r="M790" s="643"/>
      <c r="N790" s="643"/>
      <c r="O790" s="643"/>
      <c r="P790" s="643"/>
      <c r="Q790" s="643"/>
      <c r="R790" s="643"/>
      <c r="S790" s="643"/>
      <c r="T790" s="643"/>
      <c r="U790" s="643"/>
      <c r="V790" s="643"/>
      <c r="W790" s="643"/>
      <c r="X790" s="643"/>
      <c r="Y790" s="643"/>
      <c r="Z790" s="643"/>
    </row>
    <row r="791" ht="11.25" customHeight="1">
      <c r="A791" s="646"/>
      <c r="B791" s="643"/>
      <c r="C791" s="644"/>
      <c r="D791" s="643"/>
      <c r="E791" s="643"/>
      <c r="F791" s="643"/>
      <c r="G791" s="643"/>
      <c r="H791" s="643"/>
      <c r="I791" s="643"/>
      <c r="J791" s="643"/>
      <c r="K791" s="643"/>
      <c r="L791" s="643"/>
      <c r="M791" s="643"/>
      <c r="N791" s="643"/>
      <c r="O791" s="643"/>
      <c r="P791" s="643"/>
      <c r="Q791" s="643"/>
      <c r="R791" s="643"/>
      <c r="S791" s="643"/>
      <c r="T791" s="643"/>
      <c r="U791" s="643"/>
      <c r="V791" s="643"/>
      <c r="W791" s="643"/>
      <c r="X791" s="643"/>
      <c r="Y791" s="643"/>
      <c r="Z791" s="643"/>
    </row>
    <row r="792" ht="11.25" customHeight="1">
      <c r="A792" s="646"/>
      <c r="B792" s="643"/>
      <c r="C792" s="644"/>
      <c r="D792" s="643"/>
      <c r="E792" s="643"/>
      <c r="F792" s="643"/>
      <c r="G792" s="643"/>
      <c r="H792" s="643"/>
      <c r="I792" s="643"/>
      <c r="J792" s="643"/>
      <c r="K792" s="643"/>
      <c r="L792" s="643"/>
      <c r="M792" s="643"/>
      <c r="N792" s="643"/>
      <c r="O792" s="643"/>
      <c r="P792" s="643"/>
      <c r="Q792" s="643"/>
      <c r="R792" s="643"/>
      <c r="S792" s="643"/>
      <c r="T792" s="643"/>
      <c r="U792" s="643"/>
      <c r="V792" s="643"/>
      <c r="W792" s="643"/>
      <c r="X792" s="643"/>
      <c r="Y792" s="643"/>
      <c r="Z792" s="643"/>
    </row>
    <row r="793" ht="11.25" customHeight="1">
      <c r="A793" s="646"/>
      <c r="B793" s="643"/>
      <c r="C793" s="644"/>
      <c r="D793" s="643"/>
      <c r="E793" s="643"/>
      <c r="F793" s="643"/>
      <c r="G793" s="643"/>
      <c r="H793" s="643"/>
      <c r="I793" s="643"/>
      <c r="J793" s="643"/>
      <c r="K793" s="643"/>
      <c r="L793" s="643"/>
      <c r="M793" s="643"/>
      <c r="N793" s="643"/>
      <c r="O793" s="643"/>
      <c r="P793" s="643"/>
      <c r="Q793" s="643"/>
      <c r="R793" s="643"/>
      <c r="S793" s="643"/>
      <c r="T793" s="643"/>
      <c r="U793" s="643"/>
      <c r="V793" s="643"/>
      <c r="W793" s="643"/>
      <c r="X793" s="643"/>
      <c r="Y793" s="643"/>
      <c r="Z793" s="643"/>
    </row>
    <row r="794" ht="11.25" customHeight="1">
      <c r="A794" s="646"/>
      <c r="B794" s="643"/>
      <c r="C794" s="644"/>
      <c r="D794" s="643"/>
      <c r="E794" s="643"/>
      <c r="F794" s="643"/>
      <c r="G794" s="643"/>
      <c r="H794" s="643"/>
      <c r="I794" s="643"/>
      <c r="J794" s="643"/>
      <c r="K794" s="643"/>
      <c r="L794" s="643"/>
      <c r="M794" s="643"/>
      <c r="N794" s="643"/>
      <c r="O794" s="643"/>
      <c r="P794" s="643"/>
      <c r="Q794" s="643"/>
      <c r="R794" s="643"/>
      <c r="S794" s="643"/>
      <c r="T794" s="643"/>
      <c r="U794" s="643"/>
      <c r="V794" s="643"/>
      <c r="W794" s="643"/>
      <c r="X794" s="643"/>
      <c r="Y794" s="643"/>
      <c r="Z794" s="643"/>
    </row>
    <row r="795" ht="11.25" customHeight="1">
      <c r="A795" s="646"/>
      <c r="B795" s="643"/>
      <c r="C795" s="644"/>
      <c r="D795" s="643"/>
      <c r="E795" s="643"/>
      <c r="F795" s="643"/>
      <c r="G795" s="643"/>
      <c r="H795" s="643"/>
      <c r="I795" s="643"/>
      <c r="J795" s="643"/>
      <c r="K795" s="643"/>
      <c r="L795" s="643"/>
      <c r="M795" s="643"/>
      <c r="N795" s="643"/>
      <c r="O795" s="643"/>
      <c r="P795" s="643"/>
      <c r="Q795" s="643"/>
      <c r="R795" s="643"/>
      <c r="S795" s="643"/>
      <c r="T795" s="643"/>
      <c r="U795" s="643"/>
      <c r="V795" s="643"/>
      <c r="W795" s="643"/>
      <c r="X795" s="643"/>
      <c r="Y795" s="643"/>
      <c r="Z795" s="643"/>
    </row>
    <row r="796" ht="11.25" customHeight="1">
      <c r="A796" s="646"/>
      <c r="B796" s="643"/>
      <c r="C796" s="644"/>
      <c r="D796" s="643"/>
      <c r="E796" s="643"/>
      <c r="F796" s="643"/>
      <c r="G796" s="643"/>
      <c r="H796" s="643"/>
      <c r="I796" s="643"/>
      <c r="J796" s="643"/>
      <c r="K796" s="643"/>
      <c r="L796" s="643"/>
      <c r="M796" s="643"/>
      <c r="N796" s="643"/>
      <c r="O796" s="643"/>
      <c r="P796" s="643"/>
      <c r="Q796" s="643"/>
      <c r="R796" s="643"/>
      <c r="S796" s="643"/>
      <c r="T796" s="643"/>
      <c r="U796" s="643"/>
      <c r="V796" s="643"/>
      <c r="W796" s="643"/>
      <c r="X796" s="643"/>
      <c r="Y796" s="643"/>
      <c r="Z796" s="643"/>
    </row>
    <row r="797" ht="11.25" customHeight="1">
      <c r="A797" s="646"/>
      <c r="B797" s="643"/>
      <c r="C797" s="644"/>
      <c r="D797" s="643"/>
      <c r="E797" s="643"/>
      <c r="F797" s="643"/>
      <c r="G797" s="643"/>
      <c r="H797" s="643"/>
      <c r="I797" s="643"/>
      <c r="J797" s="643"/>
      <c r="K797" s="643"/>
      <c r="L797" s="643"/>
      <c r="M797" s="643"/>
      <c r="N797" s="643"/>
      <c r="O797" s="643"/>
      <c r="P797" s="643"/>
      <c r="Q797" s="643"/>
      <c r="R797" s="643"/>
      <c r="S797" s="643"/>
      <c r="T797" s="643"/>
      <c r="U797" s="643"/>
      <c r="V797" s="643"/>
      <c r="W797" s="643"/>
      <c r="X797" s="643"/>
      <c r="Y797" s="643"/>
      <c r="Z797" s="643"/>
    </row>
    <row r="798" ht="11.25" customHeight="1">
      <c r="A798" s="646"/>
      <c r="B798" s="643"/>
      <c r="C798" s="644"/>
      <c r="D798" s="643"/>
      <c r="E798" s="643"/>
      <c r="F798" s="643"/>
      <c r="G798" s="643"/>
      <c r="H798" s="643"/>
      <c r="I798" s="643"/>
      <c r="J798" s="643"/>
      <c r="K798" s="643"/>
      <c r="L798" s="643"/>
      <c r="M798" s="643"/>
      <c r="N798" s="643"/>
      <c r="O798" s="643"/>
      <c r="P798" s="643"/>
      <c r="Q798" s="643"/>
      <c r="R798" s="643"/>
      <c r="S798" s="643"/>
      <c r="T798" s="643"/>
      <c r="U798" s="643"/>
      <c r="V798" s="643"/>
      <c r="W798" s="643"/>
      <c r="X798" s="643"/>
      <c r="Y798" s="643"/>
      <c r="Z798" s="643"/>
    </row>
    <row r="799" ht="11.25" customHeight="1">
      <c r="A799" s="646"/>
      <c r="B799" s="643"/>
      <c r="C799" s="644"/>
      <c r="D799" s="643"/>
      <c r="E799" s="643"/>
      <c r="F799" s="643"/>
      <c r="G799" s="643"/>
      <c r="H799" s="643"/>
      <c r="I799" s="643"/>
      <c r="J799" s="643"/>
      <c r="K799" s="643"/>
      <c r="L799" s="643"/>
      <c r="M799" s="643"/>
      <c r="N799" s="643"/>
      <c r="O799" s="643"/>
      <c r="P799" s="643"/>
      <c r="Q799" s="643"/>
      <c r="R799" s="643"/>
      <c r="S799" s="643"/>
      <c r="T799" s="643"/>
      <c r="U799" s="643"/>
      <c r="V799" s="643"/>
      <c r="W799" s="643"/>
      <c r="X799" s="643"/>
      <c r="Y799" s="643"/>
      <c r="Z799" s="643"/>
    </row>
    <row r="800" ht="11.25" customHeight="1">
      <c r="A800" s="646"/>
      <c r="B800" s="643"/>
      <c r="C800" s="644"/>
      <c r="D800" s="643"/>
      <c r="E800" s="643"/>
      <c r="F800" s="643"/>
      <c r="G800" s="643"/>
      <c r="H800" s="643"/>
      <c r="I800" s="643"/>
      <c r="J800" s="643"/>
      <c r="K800" s="643"/>
      <c r="L800" s="643"/>
      <c r="M800" s="643"/>
      <c r="N800" s="643"/>
      <c r="O800" s="643"/>
      <c r="P800" s="643"/>
      <c r="Q800" s="643"/>
      <c r="R800" s="643"/>
      <c r="S800" s="643"/>
      <c r="T800" s="643"/>
      <c r="U800" s="643"/>
      <c r="V800" s="643"/>
      <c r="W800" s="643"/>
      <c r="X800" s="643"/>
      <c r="Y800" s="643"/>
      <c r="Z800" s="643"/>
    </row>
    <row r="801" ht="11.25" customHeight="1">
      <c r="A801" s="646"/>
      <c r="B801" s="643"/>
      <c r="C801" s="644"/>
      <c r="D801" s="643"/>
      <c r="E801" s="643"/>
      <c r="F801" s="643"/>
      <c r="G801" s="643"/>
      <c r="H801" s="643"/>
      <c r="I801" s="643"/>
      <c r="J801" s="643"/>
      <c r="K801" s="643"/>
      <c r="L801" s="643"/>
      <c r="M801" s="643"/>
      <c r="N801" s="643"/>
      <c r="O801" s="643"/>
      <c r="P801" s="643"/>
      <c r="Q801" s="643"/>
      <c r="R801" s="643"/>
      <c r="S801" s="643"/>
      <c r="T801" s="643"/>
      <c r="U801" s="643"/>
      <c r="V801" s="643"/>
      <c r="W801" s="643"/>
      <c r="X801" s="643"/>
      <c r="Y801" s="643"/>
      <c r="Z801" s="643"/>
    </row>
    <row r="802" ht="11.25" customHeight="1">
      <c r="A802" s="646"/>
      <c r="B802" s="643"/>
      <c r="C802" s="644"/>
      <c r="D802" s="643"/>
      <c r="E802" s="643"/>
      <c r="F802" s="643"/>
      <c r="G802" s="643"/>
      <c r="H802" s="643"/>
      <c r="I802" s="643"/>
      <c r="J802" s="643"/>
      <c r="K802" s="643"/>
      <c r="L802" s="643"/>
      <c r="M802" s="643"/>
      <c r="N802" s="643"/>
      <c r="O802" s="643"/>
      <c r="P802" s="643"/>
      <c r="Q802" s="643"/>
      <c r="R802" s="643"/>
      <c r="S802" s="643"/>
      <c r="T802" s="643"/>
      <c r="U802" s="643"/>
      <c r="V802" s="643"/>
      <c r="W802" s="643"/>
      <c r="X802" s="643"/>
      <c r="Y802" s="643"/>
      <c r="Z802" s="643"/>
    </row>
    <row r="803" ht="11.25" customHeight="1">
      <c r="A803" s="646"/>
      <c r="B803" s="643"/>
      <c r="C803" s="644"/>
      <c r="D803" s="643"/>
      <c r="E803" s="643"/>
      <c r="F803" s="643"/>
      <c r="G803" s="643"/>
      <c r="H803" s="643"/>
      <c r="I803" s="643"/>
      <c r="J803" s="643"/>
      <c r="K803" s="643"/>
      <c r="L803" s="643"/>
      <c r="M803" s="643"/>
      <c r="N803" s="643"/>
      <c r="O803" s="643"/>
      <c r="P803" s="643"/>
      <c r="Q803" s="643"/>
      <c r="R803" s="643"/>
      <c r="S803" s="643"/>
      <c r="T803" s="643"/>
      <c r="U803" s="643"/>
      <c r="V803" s="643"/>
      <c r="W803" s="643"/>
      <c r="X803" s="643"/>
      <c r="Y803" s="643"/>
      <c r="Z803" s="643"/>
    </row>
    <row r="804" ht="11.25" customHeight="1">
      <c r="A804" s="646"/>
      <c r="B804" s="643"/>
      <c r="C804" s="644"/>
      <c r="D804" s="643"/>
      <c r="E804" s="643"/>
      <c r="F804" s="643"/>
      <c r="G804" s="643"/>
      <c r="H804" s="643"/>
      <c r="I804" s="643"/>
      <c r="J804" s="643"/>
      <c r="K804" s="643"/>
      <c r="L804" s="643"/>
      <c r="M804" s="643"/>
      <c r="N804" s="643"/>
      <c r="O804" s="643"/>
      <c r="P804" s="643"/>
      <c r="Q804" s="643"/>
      <c r="R804" s="643"/>
      <c r="S804" s="643"/>
      <c r="T804" s="643"/>
      <c r="U804" s="643"/>
      <c r="V804" s="643"/>
      <c r="W804" s="643"/>
      <c r="X804" s="643"/>
      <c r="Y804" s="643"/>
      <c r="Z804" s="643"/>
    </row>
    <row r="805" ht="11.25" customHeight="1">
      <c r="A805" s="646"/>
      <c r="B805" s="643"/>
      <c r="C805" s="644"/>
      <c r="D805" s="643"/>
      <c r="E805" s="643"/>
      <c r="F805" s="643"/>
      <c r="G805" s="643"/>
      <c r="H805" s="643"/>
      <c r="I805" s="643"/>
      <c r="J805" s="643"/>
      <c r="K805" s="643"/>
      <c r="L805" s="643"/>
      <c r="M805" s="643"/>
      <c r="N805" s="643"/>
      <c r="O805" s="643"/>
      <c r="P805" s="643"/>
      <c r="Q805" s="643"/>
      <c r="R805" s="643"/>
      <c r="S805" s="643"/>
      <c r="T805" s="643"/>
      <c r="U805" s="643"/>
      <c r="V805" s="643"/>
      <c r="W805" s="643"/>
      <c r="X805" s="643"/>
      <c r="Y805" s="643"/>
      <c r="Z805" s="643"/>
    </row>
    <row r="806" ht="11.25" customHeight="1">
      <c r="A806" s="646"/>
      <c r="B806" s="643"/>
      <c r="C806" s="644"/>
      <c r="D806" s="643"/>
      <c r="E806" s="643"/>
      <c r="F806" s="643"/>
      <c r="G806" s="643"/>
      <c r="H806" s="643"/>
      <c r="I806" s="643"/>
      <c r="J806" s="643"/>
      <c r="K806" s="643"/>
      <c r="L806" s="643"/>
      <c r="M806" s="643"/>
      <c r="N806" s="643"/>
      <c r="O806" s="643"/>
      <c r="P806" s="643"/>
      <c r="Q806" s="643"/>
      <c r="R806" s="643"/>
      <c r="S806" s="643"/>
      <c r="T806" s="643"/>
      <c r="U806" s="643"/>
      <c r="V806" s="643"/>
      <c r="W806" s="643"/>
      <c r="X806" s="643"/>
      <c r="Y806" s="643"/>
      <c r="Z806" s="643"/>
    </row>
    <row r="807" ht="11.25" customHeight="1">
      <c r="A807" s="646"/>
      <c r="B807" s="643"/>
      <c r="C807" s="644"/>
      <c r="D807" s="643"/>
      <c r="E807" s="643"/>
      <c r="F807" s="643"/>
      <c r="G807" s="643"/>
      <c r="H807" s="643"/>
      <c r="I807" s="643"/>
      <c r="J807" s="643"/>
      <c r="K807" s="643"/>
      <c r="L807" s="643"/>
      <c r="M807" s="643"/>
      <c r="N807" s="643"/>
      <c r="O807" s="643"/>
      <c r="P807" s="643"/>
      <c r="Q807" s="643"/>
      <c r="R807" s="643"/>
      <c r="S807" s="643"/>
      <c r="T807" s="643"/>
      <c r="U807" s="643"/>
      <c r="V807" s="643"/>
      <c r="W807" s="643"/>
      <c r="X807" s="643"/>
      <c r="Y807" s="643"/>
      <c r="Z807" s="643"/>
    </row>
    <row r="808" ht="11.25" customHeight="1">
      <c r="A808" s="646"/>
      <c r="B808" s="643"/>
      <c r="C808" s="644"/>
      <c r="D808" s="643"/>
      <c r="E808" s="643"/>
      <c r="F808" s="643"/>
      <c r="G808" s="643"/>
      <c r="H808" s="643"/>
      <c r="I808" s="643"/>
      <c r="J808" s="643"/>
      <c r="K808" s="643"/>
      <c r="L808" s="643"/>
      <c r="M808" s="643"/>
      <c r="N808" s="643"/>
      <c r="O808" s="643"/>
      <c r="P808" s="643"/>
      <c r="Q808" s="643"/>
      <c r="R808" s="643"/>
      <c r="S808" s="643"/>
      <c r="T808" s="643"/>
      <c r="U808" s="643"/>
      <c r="V808" s="643"/>
      <c r="W808" s="643"/>
      <c r="X808" s="643"/>
      <c r="Y808" s="643"/>
      <c r="Z808" s="643"/>
    </row>
    <row r="809" ht="11.25" customHeight="1">
      <c r="A809" s="646"/>
      <c r="B809" s="643"/>
      <c r="C809" s="644"/>
      <c r="D809" s="643"/>
      <c r="E809" s="643"/>
      <c r="F809" s="643"/>
      <c r="G809" s="643"/>
      <c r="H809" s="643"/>
      <c r="I809" s="643"/>
      <c r="J809" s="643"/>
      <c r="K809" s="643"/>
      <c r="L809" s="643"/>
      <c r="M809" s="643"/>
      <c r="N809" s="643"/>
      <c r="O809" s="643"/>
      <c r="P809" s="643"/>
      <c r="Q809" s="643"/>
      <c r="R809" s="643"/>
      <c r="S809" s="643"/>
      <c r="T809" s="643"/>
      <c r="U809" s="643"/>
      <c r="V809" s="643"/>
      <c r="W809" s="643"/>
      <c r="X809" s="643"/>
      <c r="Y809" s="643"/>
      <c r="Z809" s="643"/>
    </row>
    <row r="810" ht="11.25" customHeight="1">
      <c r="A810" s="646"/>
      <c r="B810" s="643"/>
      <c r="C810" s="644"/>
      <c r="D810" s="643"/>
      <c r="E810" s="643"/>
      <c r="F810" s="643"/>
      <c r="G810" s="643"/>
      <c r="H810" s="643"/>
      <c r="I810" s="643"/>
      <c r="J810" s="643"/>
      <c r="K810" s="643"/>
      <c r="L810" s="643"/>
      <c r="M810" s="643"/>
      <c r="N810" s="643"/>
      <c r="O810" s="643"/>
      <c r="P810" s="643"/>
      <c r="Q810" s="643"/>
      <c r="R810" s="643"/>
      <c r="S810" s="643"/>
      <c r="T810" s="643"/>
      <c r="U810" s="643"/>
      <c r="V810" s="643"/>
      <c r="W810" s="643"/>
      <c r="X810" s="643"/>
      <c r="Y810" s="643"/>
      <c r="Z810" s="643"/>
    </row>
    <row r="811" ht="11.25" customHeight="1">
      <c r="A811" s="646"/>
      <c r="B811" s="643"/>
      <c r="C811" s="644"/>
      <c r="D811" s="643"/>
      <c r="E811" s="643"/>
      <c r="F811" s="643"/>
      <c r="G811" s="643"/>
      <c r="H811" s="643"/>
      <c r="I811" s="643"/>
      <c r="J811" s="643"/>
      <c r="K811" s="643"/>
      <c r="L811" s="643"/>
      <c r="M811" s="643"/>
      <c r="N811" s="643"/>
      <c r="O811" s="643"/>
      <c r="P811" s="643"/>
      <c r="Q811" s="643"/>
      <c r="R811" s="643"/>
      <c r="S811" s="643"/>
      <c r="T811" s="643"/>
      <c r="U811" s="643"/>
      <c r="V811" s="643"/>
      <c r="W811" s="643"/>
      <c r="X811" s="643"/>
      <c r="Y811" s="643"/>
      <c r="Z811" s="643"/>
    </row>
    <row r="812" ht="11.25" customHeight="1">
      <c r="A812" s="646"/>
      <c r="B812" s="643"/>
      <c r="C812" s="644"/>
      <c r="D812" s="643"/>
      <c r="E812" s="643"/>
      <c r="F812" s="643"/>
      <c r="G812" s="643"/>
      <c r="H812" s="643"/>
      <c r="I812" s="643"/>
      <c r="J812" s="643"/>
      <c r="K812" s="643"/>
      <c r="L812" s="643"/>
      <c r="M812" s="643"/>
      <c r="N812" s="643"/>
      <c r="O812" s="643"/>
      <c r="P812" s="643"/>
      <c r="Q812" s="643"/>
      <c r="R812" s="643"/>
      <c r="S812" s="643"/>
      <c r="T812" s="643"/>
      <c r="U812" s="643"/>
      <c r="V812" s="643"/>
      <c r="W812" s="643"/>
      <c r="X812" s="643"/>
      <c r="Y812" s="643"/>
      <c r="Z812" s="643"/>
    </row>
    <row r="813" ht="11.25" customHeight="1">
      <c r="A813" s="646"/>
      <c r="B813" s="643"/>
      <c r="C813" s="644"/>
      <c r="D813" s="643"/>
      <c r="E813" s="643"/>
      <c r="F813" s="643"/>
      <c r="G813" s="643"/>
      <c r="H813" s="643"/>
      <c r="I813" s="643"/>
      <c r="J813" s="643"/>
      <c r="K813" s="643"/>
      <c r="L813" s="643"/>
      <c r="M813" s="643"/>
      <c r="N813" s="643"/>
      <c r="O813" s="643"/>
      <c r="P813" s="643"/>
      <c r="Q813" s="643"/>
      <c r="R813" s="643"/>
      <c r="S813" s="643"/>
      <c r="T813" s="643"/>
      <c r="U813" s="643"/>
      <c r="V813" s="643"/>
      <c r="W813" s="643"/>
      <c r="X813" s="643"/>
      <c r="Y813" s="643"/>
      <c r="Z813" s="643"/>
    </row>
    <row r="814" ht="11.25" customHeight="1">
      <c r="A814" s="646"/>
      <c r="B814" s="643"/>
      <c r="C814" s="644"/>
      <c r="D814" s="643"/>
      <c r="E814" s="643"/>
      <c r="F814" s="643"/>
      <c r="G814" s="643"/>
      <c r="H814" s="643"/>
      <c r="I814" s="643"/>
      <c r="J814" s="643"/>
      <c r="K814" s="643"/>
      <c r="L814" s="643"/>
      <c r="M814" s="643"/>
      <c r="N814" s="643"/>
      <c r="O814" s="643"/>
      <c r="P814" s="643"/>
      <c r="Q814" s="643"/>
      <c r="R814" s="643"/>
      <c r="S814" s="643"/>
      <c r="T814" s="643"/>
      <c r="U814" s="643"/>
      <c r="V814" s="643"/>
      <c r="W814" s="643"/>
      <c r="X814" s="643"/>
      <c r="Y814" s="643"/>
      <c r="Z814" s="643"/>
    </row>
    <row r="815" ht="11.25" customHeight="1">
      <c r="A815" s="646"/>
      <c r="B815" s="643"/>
      <c r="C815" s="644"/>
      <c r="D815" s="643"/>
      <c r="E815" s="643"/>
      <c r="F815" s="643"/>
      <c r="G815" s="643"/>
      <c r="H815" s="643"/>
      <c r="I815" s="643"/>
      <c r="J815" s="643"/>
      <c r="K815" s="643"/>
      <c r="L815" s="643"/>
      <c r="M815" s="643"/>
      <c r="N815" s="643"/>
      <c r="O815" s="643"/>
      <c r="P815" s="643"/>
      <c r="Q815" s="643"/>
      <c r="R815" s="643"/>
      <c r="S815" s="643"/>
      <c r="T815" s="643"/>
      <c r="U815" s="643"/>
      <c r="V815" s="643"/>
      <c r="W815" s="643"/>
      <c r="X815" s="643"/>
      <c r="Y815" s="643"/>
      <c r="Z815" s="643"/>
    </row>
    <row r="816" ht="11.25" customHeight="1">
      <c r="A816" s="646"/>
      <c r="B816" s="643"/>
      <c r="C816" s="644"/>
      <c r="D816" s="643"/>
      <c r="E816" s="643"/>
      <c r="F816" s="643"/>
      <c r="G816" s="643"/>
      <c r="H816" s="643"/>
      <c r="I816" s="643"/>
      <c r="J816" s="643"/>
      <c r="K816" s="643"/>
      <c r="L816" s="643"/>
      <c r="M816" s="643"/>
      <c r="N816" s="643"/>
      <c r="O816" s="643"/>
      <c r="P816" s="643"/>
      <c r="Q816" s="643"/>
      <c r="R816" s="643"/>
      <c r="S816" s="643"/>
      <c r="T816" s="643"/>
      <c r="U816" s="643"/>
      <c r="V816" s="643"/>
      <c r="W816" s="643"/>
      <c r="X816" s="643"/>
      <c r="Y816" s="643"/>
      <c r="Z816" s="643"/>
    </row>
    <row r="817" ht="11.25" customHeight="1">
      <c r="A817" s="646"/>
      <c r="B817" s="643"/>
      <c r="C817" s="644"/>
      <c r="D817" s="643"/>
      <c r="E817" s="643"/>
      <c r="F817" s="643"/>
      <c r="G817" s="643"/>
      <c r="H817" s="643"/>
      <c r="I817" s="643"/>
      <c r="J817" s="643"/>
      <c r="K817" s="643"/>
      <c r="L817" s="643"/>
      <c r="M817" s="643"/>
      <c r="N817" s="643"/>
      <c r="O817" s="643"/>
      <c r="P817" s="643"/>
      <c r="Q817" s="643"/>
      <c r="R817" s="643"/>
      <c r="S817" s="643"/>
      <c r="T817" s="643"/>
      <c r="U817" s="643"/>
      <c r="V817" s="643"/>
      <c r="W817" s="643"/>
      <c r="X817" s="643"/>
      <c r="Y817" s="643"/>
      <c r="Z817" s="643"/>
    </row>
    <row r="818" ht="11.25" customHeight="1">
      <c r="A818" s="646"/>
      <c r="B818" s="643"/>
      <c r="C818" s="644"/>
      <c r="D818" s="643"/>
      <c r="E818" s="643"/>
      <c r="F818" s="643"/>
      <c r="G818" s="643"/>
      <c r="H818" s="643"/>
      <c r="I818" s="643"/>
      <c r="J818" s="643"/>
      <c r="K818" s="643"/>
      <c r="L818" s="643"/>
      <c r="M818" s="643"/>
      <c r="N818" s="643"/>
      <c r="O818" s="643"/>
      <c r="P818" s="643"/>
      <c r="Q818" s="643"/>
      <c r="R818" s="643"/>
      <c r="S818" s="643"/>
      <c r="T818" s="643"/>
      <c r="U818" s="643"/>
      <c r="V818" s="643"/>
      <c r="W818" s="643"/>
      <c r="X818" s="643"/>
      <c r="Y818" s="643"/>
      <c r="Z818" s="643"/>
    </row>
    <row r="819" ht="11.25" customHeight="1">
      <c r="A819" s="646"/>
      <c r="B819" s="643"/>
      <c r="C819" s="644"/>
      <c r="D819" s="643"/>
      <c r="E819" s="643"/>
      <c r="F819" s="643"/>
      <c r="G819" s="643"/>
      <c r="H819" s="643"/>
      <c r="I819" s="643"/>
      <c r="J819" s="643"/>
      <c r="K819" s="643"/>
      <c r="L819" s="643"/>
      <c r="M819" s="643"/>
      <c r="N819" s="643"/>
      <c r="O819" s="643"/>
      <c r="P819" s="643"/>
      <c r="Q819" s="643"/>
      <c r="R819" s="643"/>
      <c r="S819" s="643"/>
      <c r="T819" s="643"/>
      <c r="U819" s="643"/>
      <c r="V819" s="643"/>
      <c r="W819" s="643"/>
      <c r="X819" s="643"/>
      <c r="Y819" s="643"/>
      <c r="Z819" s="643"/>
    </row>
    <row r="820" ht="11.25" customHeight="1">
      <c r="A820" s="646"/>
      <c r="B820" s="643"/>
      <c r="C820" s="644"/>
      <c r="D820" s="643"/>
      <c r="E820" s="643"/>
      <c r="F820" s="643"/>
      <c r="G820" s="643"/>
      <c r="H820" s="643"/>
      <c r="I820" s="643"/>
      <c r="J820" s="643"/>
      <c r="K820" s="643"/>
      <c r="L820" s="643"/>
      <c r="M820" s="643"/>
      <c r="N820" s="643"/>
      <c r="O820" s="643"/>
      <c r="P820" s="643"/>
      <c r="Q820" s="643"/>
      <c r="R820" s="643"/>
      <c r="S820" s="643"/>
      <c r="T820" s="643"/>
      <c r="U820" s="643"/>
      <c r="V820" s="643"/>
      <c r="W820" s="643"/>
      <c r="X820" s="643"/>
      <c r="Y820" s="643"/>
      <c r="Z820" s="643"/>
    </row>
    <row r="821" ht="11.25" customHeight="1">
      <c r="A821" s="646"/>
      <c r="B821" s="643"/>
      <c r="C821" s="644"/>
      <c r="D821" s="643"/>
      <c r="E821" s="643"/>
      <c r="F821" s="643"/>
      <c r="G821" s="643"/>
      <c r="H821" s="643"/>
      <c r="I821" s="643"/>
      <c r="J821" s="643"/>
      <c r="K821" s="643"/>
      <c r="L821" s="643"/>
      <c r="M821" s="643"/>
      <c r="N821" s="643"/>
      <c r="O821" s="643"/>
      <c r="P821" s="643"/>
      <c r="Q821" s="643"/>
      <c r="R821" s="643"/>
      <c r="S821" s="643"/>
      <c r="T821" s="643"/>
      <c r="U821" s="643"/>
      <c r="V821" s="643"/>
      <c r="W821" s="643"/>
      <c r="X821" s="643"/>
      <c r="Y821" s="643"/>
      <c r="Z821" s="643"/>
    </row>
    <row r="822" ht="11.25" customHeight="1">
      <c r="A822" s="646"/>
      <c r="B822" s="643"/>
      <c r="C822" s="644"/>
      <c r="D822" s="643"/>
      <c r="E822" s="643"/>
      <c r="F822" s="643"/>
      <c r="G822" s="643"/>
      <c r="H822" s="643"/>
      <c r="I822" s="643"/>
      <c r="J822" s="643"/>
      <c r="K822" s="643"/>
      <c r="L822" s="643"/>
      <c r="M822" s="643"/>
      <c r="N822" s="643"/>
      <c r="O822" s="643"/>
      <c r="P822" s="643"/>
      <c r="Q822" s="643"/>
      <c r="R822" s="643"/>
      <c r="S822" s="643"/>
      <c r="T822" s="643"/>
      <c r="U822" s="643"/>
      <c r="V822" s="643"/>
      <c r="W822" s="643"/>
      <c r="X822" s="643"/>
      <c r="Y822" s="643"/>
      <c r="Z822" s="643"/>
    </row>
    <row r="823" ht="11.25" customHeight="1">
      <c r="A823" s="646"/>
      <c r="B823" s="643"/>
      <c r="C823" s="644"/>
      <c r="D823" s="643"/>
      <c r="E823" s="643"/>
      <c r="F823" s="643"/>
      <c r="G823" s="643"/>
      <c r="H823" s="643"/>
      <c r="I823" s="643"/>
      <c r="J823" s="643"/>
      <c r="K823" s="643"/>
      <c r="L823" s="643"/>
      <c r="M823" s="643"/>
      <c r="N823" s="643"/>
      <c r="O823" s="643"/>
      <c r="P823" s="643"/>
      <c r="Q823" s="643"/>
      <c r="R823" s="643"/>
      <c r="S823" s="643"/>
      <c r="T823" s="643"/>
      <c r="U823" s="643"/>
      <c r="V823" s="643"/>
      <c r="W823" s="643"/>
      <c r="X823" s="643"/>
      <c r="Y823" s="643"/>
      <c r="Z823" s="643"/>
    </row>
    <row r="824" ht="11.25" customHeight="1">
      <c r="A824" s="646"/>
      <c r="B824" s="643"/>
      <c r="C824" s="644"/>
      <c r="D824" s="643"/>
      <c r="E824" s="643"/>
      <c r="F824" s="643"/>
      <c r="G824" s="643"/>
      <c r="H824" s="643"/>
      <c r="I824" s="643"/>
      <c r="J824" s="643"/>
      <c r="K824" s="643"/>
      <c r="L824" s="643"/>
      <c r="M824" s="643"/>
      <c r="N824" s="643"/>
      <c r="O824" s="643"/>
      <c r="P824" s="643"/>
      <c r="Q824" s="643"/>
      <c r="R824" s="643"/>
      <c r="S824" s="643"/>
      <c r="T824" s="643"/>
      <c r="U824" s="643"/>
      <c r="V824" s="643"/>
      <c r="W824" s="643"/>
      <c r="X824" s="643"/>
      <c r="Y824" s="643"/>
      <c r="Z824" s="643"/>
    </row>
    <row r="825" ht="11.25" customHeight="1">
      <c r="A825" s="646"/>
      <c r="B825" s="643"/>
      <c r="C825" s="644"/>
      <c r="D825" s="643"/>
      <c r="E825" s="643"/>
      <c r="F825" s="643"/>
      <c r="G825" s="643"/>
      <c r="H825" s="643"/>
      <c r="I825" s="643"/>
      <c r="J825" s="643"/>
      <c r="K825" s="643"/>
      <c r="L825" s="643"/>
      <c r="M825" s="643"/>
      <c r="N825" s="643"/>
      <c r="O825" s="643"/>
      <c r="P825" s="643"/>
      <c r="Q825" s="643"/>
      <c r="R825" s="643"/>
      <c r="S825" s="643"/>
      <c r="T825" s="643"/>
      <c r="U825" s="643"/>
      <c r="V825" s="643"/>
      <c r="W825" s="643"/>
      <c r="X825" s="643"/>
      <c r="Y825" s="643"/>
      <c r="Z825" s="643"/>
    </row>
    <row r="826" ht="11.25" customHeight="1">
      <c r="A826" s="646"/>
      <c r="B826" s="643"/>
      <c r="C826" s="644"/>
      <c r="D826" s="643"/>
      <c r="E826" s="643"/>
      <c r="F826" s="643"/>
      <c r="G826" s="643"/>
      <c r="H826" s="643"/>
      <c r="I826" s="643"/>
      <c r="J826" s="643"/>
      <c r="K826" s="643"/>
      <c r="L826" s="643"/>
      <c r="M826" s="643"/>
      <c r="N826" s="643"/>
      <c r="O826" s="643"/>
      <c r="P826" s="643"/>
      <c r="Q826" s="643"/>
      <c r="R826" s="643"/>
      <c r="S826" s="643"/>
      <c r="T826" s="643"/>
      <c r="U826" s="643"/>
      <c r="V826" s="643"/>
      <c r="W826" s="643"/>
      <c r="X826" s="643"/>
      <c r="Y826" s="643"/>
      <c r="Z826" s="643"/>
    </row>
    <row r="827" ht="11.25" customHeight="1">
      <c r="A827" s="646"/>
      <c r="B827" s="643"/>
      <c r="C827" s="644"/>
      <c r="D827" s="643"/>
      <c r="E827" s="643"/>
      <c r="F827" s="643"/>
      <c r="G827" s="643"/>
      <c r="H827" s="643"/>
      <c r="I827" s="643"/>
      <c r="J827" s="643"/>
      <c r="K827" s="643"/>
      <c r="L827" s="643"/>
      <c r="M827" s="643"/>
      <c r="N827" s="643"/>
      <c r="O827" s="643"/>
      <c r="P827" s="643"/>
      <c r="Q827" s="643"/>
      <c r="R827" s="643"/>
      <c r="S827" s="643"/>
      <c r="T827" s="643"/>
      <c r="U827" s="643"/>
      <c r="V827" s="643"/>
      <c r="W827" s="643"/>
      <c r="X827" s="643"/>
      <c r="Y827" s="643"/>
      <c r="Z827" s="643"/>
    </row>
    <row r="828" ht="11.25" customHeight="1">
      <c r="A828" s="646"/>
      <c r="B828" s="643"/>
      <c r="C828" s="644"/>
      <c r="D828" s="643"/>
      <c r="E828" s="643"/>
      <c r="F828" s="643"/>
      <c r="G828" s="643"/>
      <c r="H828" s="643"/>
      <c r="I828" s="643"/>
      <c r="J828" s="643"/>
      <c r="K828" s="643"/>
      <c r="L828" s="643"/>
      <c r="M828" s="643"/>
      <c r="N828" s="643"/>
      <c r="O828" s="643"/>
      <c r="P828" s="643"/>
      <c r="Q828" s="643"/>
      <c r="R828" s="643"/>
      <c r="S828" s="643"/>
      <c r="T828" s="643"/>
      <c r="U828" s="643"/>
      <c r="V828" s="643"/>
      <c r="W828" s="643"/>
      <c r="X828" s="643"/>
      <c r="Y828" s="643"/>
      <c r="Z828" s="643"/>
    </row>
    <row r="829" ht="11.25" customHeight="1">
      <c r="A829" s="646"/>
      <c r="B829" s="643"/>
      <c r="C829" s="644"/>
      <c r="D829" s="643"/>
      <c r="E829" s="643"/>
      <c r="F829" s="643"/>
      <c r="G829" s="643"/>
      <c r="H829" s="643"/>
      <c r="I829" s="643"/>
      <c r="J829" s="643"/>
      <c r="K829" s="643"/>
      <c r="L829" s="643"/>
      <c r="M829" s="643"/>
      <c r="N829" s="643"/>
      <c r="O829" s="643"/>
      <c r="P829" s="643"/>
      <c r="Q829" s="643"/>
      <c r="R829" s="643"/>
      <c r="S829" s="643"/>
      <c r="T829" s="643"/>
      <c r="U829" s="643"/>
      <c r="V829" s="643"/>
      <c r="W829" s="643"/>
      <c r="X829" s="643"/>
      <c r="Y829" s="643"/>
      <c r="Z829" s="643"/>
    </row>
    <row r="830" ht="11.25" customHeight="1">
      <c r="A830" s="646"/>
      <c r="B830" s="643"/>
      <c r="C830" s="644"/>
      <c r="D830" s="643"/>
      <c r="E830" s="643"/>
      <c r="F830" s="643"/>
      <c r="G830" s="643"/>
      <c r="H830" s="643"/>
      <c r="I830" s="643"/>
      <c r="J830" s="643"/>
      <c r="K830" s="643"/>
      <c r="L830" s="643"/>
      <c r="M830" s="643"/>
      <c r="N830" s="643"/>
      <c r="O830" s="643"/>
      <c r="P830" s="643"/>
      <c r="Q830" s="643"/>
      <c r="R830" s="643"/>
      <c r="S830" s="643"/>
      <c r="T830" s="643"/>
      <c r="U830" s="643"/>
      <c r="V830" s="643"/>
      <c r="W830" s="643"/>
      <c r="X830" s="643"/>
      <c r="Y830" s="643"/>
      <c r="Z830" s="643"/>
    </row>
    <row r="831" ht="11.25" customHeight="1">
      <c r="A831" s="646"/>
      <c r="B831" s="643"/>
      <c r="C831" s="644"/>
      <c r="D831" s="643"/>
      <c r="E831" s="643"/>
      <c r="F831" s="643"/>
      <c r="G831" s="643"/>
      <c r="H831" s="643"/>
      <c r="I831" s="643"/>
      <c r="J831" s="643"/>
      <c r="K831" s="643"/>
      <c r="L831" s="643"/>
      <c r="M831" s="643"/>
      <c r="N831" s="643"/>
      <c r="O831" s="643"/>
      <c r="P831" s="643"/>
      <c r="Q831" s="643"/>
      <c r="R831" s="643"/>
      <c r="S831" s="643"/>
      <c r="T831" s="643"/>
      <c r="U831" s="643"/>
      <c r="V831" s="643"/>
      <c r="W831" s="643"/>
      <c r="X831" s="643"/>
      <c r="Y831" s="643"/>
      <c r="Z831" s="643"/>
    </row>
    <row r="832" ht="11.25" customHeight="1">
      <c r="A832" s="646"/>
      <c r="B832" s="643"/>
      <c r="C832" s="644"/>
      <c r="D832" s="643"/>
      <c r="E832" s="643"/>
      <c r="F832" s="643"/>
      <c r="G832" s="643"/>
      <c r="H832" s="643"/>
      <c r="I832" s="643"/>
      <c r="J832" s="643"/>
      <c r="K832" s="643"/>
      <c r="L832" s="643"/>
      <c r="M832" s="643"/>
      <c r="N832" s="643"/>
      <c r="O832" s="643"/>
      <c r="P832" s="643"/>
      <c r="Q832" s="643"/>
      <c r="R832" s="643"/>
      <c r="S832" s="643"/>
      <c r="T832" s="643"/>
      <c r="U832" s="643"/>
      <c r="V832" s="643"/>
      <c r="W832" s="643"/>
      <c r="X832" s="643"/>
      <c r="Y832" s="643"/>
      <c r="Z832" s="643"/>
    </row>
    <row r="833" ht="11.25" customHeight="1">
      <c r="A833" s="646"/>
      <c r="B833" s="643"/>
      <c r="C833" s="644"/>
      <c r="D833" s="643"/>
      <c r="E833" s="643"/>
      <c r="F833" s="643"/>
      <c r="G833" s="643"/>
      <c r="H833" s="643"/>
      <c r="I833" s="643"/>
      <c r="J833" s="643"/>
      <c r="K833" s="643"/>
      <c r="L833" s="643"/>
      <c r="M833" s="643"/>
      <c r="N833" s="643"/>
      <c r="O833" s="643"/>
      <c r="P833" s="643"/>
      <c r="Q833" s="643"/>
      <c r="R833" s="643"/>
      <c r="S833" s="643"/>
      <c r="T833" s="643"/>
      <c r="U833" s="643"/>
      <c r="V833" s="643"/>
      <c r="W833" s="643"/>
      <c r="X833" s="643"/>
      <c r="Y833" s="643"/>
      <c r="Z833" s="643"/>
    </row>
    <row r="834" ht="11.25" customHeight="1">
      <c r="A834" s="646"/>
      <c r="B834" s="643"/>
      <c r="C834" s="644"/>
      <c r="D834" s="643"/>
      <c r="E834" s="643"/>
      <c r="F834" s="643"/>
      <c r="G834" s="643"/>
      <c r="H834" s="643"/>
      <c r="I834" s="643"/>
      <c r="J834" s="643"/>
      <c r="K834" s="643"/>
      <c r="L834" s="643"/>
      <c r="M834" s="643"/>
      <c r="N834" s="643"/>
      <c r="O834" s="643"/>
      <c r="P834" s="643"/>
      <c r="Q834" s="643"/>
      <c r="R834" s="643"/>
      <c r="S834" s="643"/>
      <c r="T834" s="643"/>
      <c r="U834" s="643"/>
      <c r="V834" s="643"/>
      <c r="W834" s="643"/>
      <c r="X834" s="643"/>
      <c r="Y834" s="643"/>
      <c r="Z834" s="643"/>
    </row>
    <row r="835" ht="11.25" customHeight="1">
      <c r="A835" s="646"/>
      <c r="B835" s="643"/>
      <c r="C835" s="644"/>
      <c r="D835" s="643"/>
      <c r="E835" s="643"/>
      <c r="F835" s="643"/>
      <c r="G835" s="643"/>
      <c r="H835" s="643"/>
      <c r="I835" s="643"/>
      <c r="J835" s="643"/>
      <c r="K835" s="643"/>
      <c r="L835" s="643"/>
      <c r="M835" s="643"/>
      <c r="N835" s="643"/>
      <c r="O835" s="643"/>
      <c r="P835" s="643"/>
      <c r="Q835" s="643"/>
      <c r="R835" s="643"/>
      <c r="S835" s="643"/>
      <c r="T835" s="643"/>
      <c r="U835" s="643"/>
      <c r="V835" s="643"/>
      <c r="W835" s="643"/>
      <c r="X835" s="643"/>
      <c r="Y835" s="643"/>
      <c r="Z835" s="643"/>
    </row>
    <row r="836" ht="11.25" customHeight="1">
      <c r="A836" s="646"/>
      <c r="B836" s="643"/>
      <c r="C836" s="644"/>
      <c r="D836" s="643"/>
      <c r="E836" s="643"/>
      <c r="F836" s="643"/>
      <c r="G836" s="643"/>
      <c r="H836" s="643"/>
      <c r="I836" s="643"/>
      <c r="J836" s="643"/>
      <c r="K836" s="643"/>
      <c r="L836" s="643"/>
      <c r="M836" s="643"/>
      <c r="N836" s="643"/>
      <c r="O836" s="643"/>
      <c r="P836" s="643"/>
      <c r="Q836" s="643"/>
      <c r="R836" s="643"/>
      <c r="S836" s="643"/>
      <c r="T836" s="643"/>
      <c r="U836" s="643"/>
      <c r="V836" s="643"/>
      <c r="W836" s="643"/>
      <c r="X836" s="643"/>
      <c r="Y836" s="643"/>
      <c r="Z836" s="643"/>
    </row>
    <row r="837" ht="11.25" customHeight="1">
      <c r="A837" s="646"/>
      <c r="B837" s="643"/>
      <c r="C837" s="644"/>
      <c r="D837" s="643"/>
      <c r="E837" s="643"/>
      <c r="F837" s="643"/>
      <c r="G837" s="643"/>
      <c r="H837" s="643"/>
      <c r="I837" s="643"/>
      <c r="J837" s="643"/>
      <c r="K837" s="643"/>
      <c r="L837" s="643"/>
      <c r="M837" s="643"/>
      <c r="N837" s="643"/>
      <c r="O837" s="643"/>
      <c r="P837" s="643"/>
      <c r="Q837" s="643"/>
      <c r="R837" s="643"/>
      <c r="S837" s="643"/>
      <c r="T837" s="643"/>
      <c r="U837" s="643"/>
      <c r="V837" s="643"/>
      <c r="W837" s="643"/>
      <c r="X837" s="643"/>
      <c r="Y837" s="643"/>
      <c r="Z837" s="643"/>
    </row>
    <row r="838" ht="11.25" customHeight="1">
      <c r="A838" s="646"/>
      <c r="B838" s="643"/>
      <c r="C838" s="644"/>
      <c r="D838" s="643"/>
      <c r="E838" s="643"/>
      <c r="F838" s="643"/>
      <c r="G838" s="643"/>
      <c r="H838" s="643"/>
      <c r="I838" s="643"/>
      <c r="J838" s="643"/>
      <c r="K838" s="643"/>
      <c r="L838" s="643"/>
      <c r="M838" s="643"/>
      <c r="N838" s="643"/>
      <c r="O838" s="643"/>
      <c r="P838" s="643"/>
      <c r="Q838" s="643"/>
      <c r="R838" s="643"/>
      <c r="S838" s="643"/>
      <c r="T838" s="643"/>
      <c r="U838" s="643"/>
      <c r="V838" s="643"/>
      <c r="W838" s="643"/>
      <c r="X838" s="643"/>
      <c r="Y838" s="643"/>
      <c r="Z838" s="643"/>
    </row>
    <row r="839" ht="11.25" customHeight="1">
      <c r="A839" s="646"/>
      <c r="B839" s="643"/>
      <c r="C839" s="644"/>
      <c r="D839" s="643"/>
      <c r="E839" s="643"/>
      <c r="F839" s="643"/>
      <c r="G839" s="643"/>
      <c r="H839" s="643"/>
      <c r="I839" s="643"/>
      <c r="J839" s="643"/>
      <c r="K839" s="643"/>
      <c r="L839" s="643"/>
      <c r="M839" s="643"/>
      <c r="N839" s="643"/>
      <c r="O839" s="643"/>
      <c r="P839" s="643"/>
      <c r="Q839" s="643"/>
      <c r="R839" s="643"/>
      <c r="S839" s="643"/>
      <c r="T839" s="643"/>
      <c r="U839" s="643"/>
      <c r="V839" s="643"/>
      <c r="W839" s="643"/>
      <c r="X839" s="643"/>
      <c r="Y839" s="643"/>
      <c r="Z839" s="643"/>
    </row>
    <row r="840" ht="11.25" customHeight="1">
      <c r="A840" s="646"/>
      <c r="B840" s="643"/>
      <c r="C840" s="644"/>
      <c r="D840" s="643"/>
      <c r="E840" s="643"/>
      <c r="F840" s="643"/>
      <c r="G840" s="643"/>
      <c r="H840" s="643"/>
      <c r="I840" s="643"/>
      <c r="J840" s="643"/>
      <c r="K840" s="643"/>
      <c r="L840" s="643"/>
      <c r="M840" s="643"/>
      <c r="N840" s="643"/>
      <c r="O840" s="643"/>
      <c r="P840" s="643"/>
      <c r="Q840" s="643"/>
      <c r="R840" s="643"/>
      <c r="S840" s="643"/>
      <c r="T840" s="643"/>
      <c r="U840" s="643"/>
      <c r="V840" s="643"/>
      <c r="W840" s="643"/>
      <c r="X840" s="643"/>
      <c r="Y840" s="643"/>
      <c r="Z840" s="643"/>
    </row>
    <row r="841" ht="11.25" customHeight="1">
      <c r="A841" s="646"/>
      <c r="B841" s="643"/>
      <c r="C841" s="644"/>
      <c r="D841" s="643"/>
      <c r="E841" s="643"/>
      <c r="F841" s="643"/>
      <c r="G841" s="643"/>
      <c r="H841" s="643"/>
      <c r="I841" s="643"/>
      <c r="J841" s="643"/>
      <c r="K841" s="643"/>
      <c r="L841" s="643"/>
      <c r="M841" s="643"/>
      <c r="N841" s="643"/>
      <c r="O841" s="643"/>
      <c r="P841" s="643"/>
      <c r="Q841" s="643"/>
      <c r="R841" s="643"/>
      <c r="S841" s="643"/>
      <c r="T841" s="643"/>
      <c r="U841" s="643"/>
      <c r="V841" s="643"/>
      <c r="W841" s="643"/>
      <c r="X841" s="643"/>
      <c r="Y841" s="643"/>
      <c r="Z841" s="643"/>
    </row>
    <row r="842" ht="11.25" customHeight="1">
      <c r="A842" s="646"/>
      <c r="B842" s="643"/>
      <c r="C842" s="644"/>
      <c r="D842" s="643"/>
      <c r="E842" s="643"/>
      <c r="F842" s="643"/>
      <c r="G842" s="643"/>
      <c r="H842" s="643"/>
      <c r="I842" s="643"/>
      <c r="J842" s="643"/>
      <c r="K842" s="643"/>
      <c r="L842" s="643"/>
      <c r="M842" s="643"/>
      <c r="N842" s="643"/>
      <c r="O842" s="643"/>
      <c r="P842" s="643"/>
      <c r="Q842" s="643"/>
      <c r="R842" s="643"/>
      <c r="S842" s="643"/>
      <c r="T842" s="643"/>
      <c r="U842" s="643"/>
      <c r="V842" s="643"/>
      <c r="W842" s="643"/>
      <c r="X842" s="643"/>
      <c r="Y842" s="643"/>
      <c r="Z842" s="643"/>
    </row>
    <row r="843" ht="11.25" customHeight="1">
      <c r="A843" s="646"/>
      <c r="B843" s="643"/>
      <c r="C843" s="644"/>
      <c r="D843" s="643"/>
      <c r="E843" s="643"/>
      <c r="F843" s="643"/>
      <c r="G843" s="643"/>
      <c r="H843" s="643"/>
      <c r="I843" s="643"/>
      <c r="J843" s="643"/>
      <c r="K843" s="643"/>
      <c r="L843" s="643"/>
      <c r="M843" s="643"/>
      <c r="N843" s="643"/>
      <c r="O843" s="643"/>
      <c r="P843" s="643"/>
      <c r="Q843" s="643"/>
      <c r="R843" s="643"/>
      <c r="S843" s="643"/>
      <c r="T843" s="643"/>
      <c r="U843" s="643"/>
      <c r="V843" s="643"/>
      <c r="W843" s="643"/>
      <c r="X843" s="643"/>
      <c r="Y843" s="643"/>
      <c r="Z843" s="643"/>
    </row>
    <row r="844" ht="11.25" customHeight="1">
      <c r="A844" s="646"/>
      <c r="B844" s="643"/>
      <c r="C844" s="644"/>
      <c r="D844" s="643"/>
      <c r="E844" s="643"/>
      <c r="F844" s="643"/>
      <c r="G844" s="643"/>
      <c r="H844" s="643"/>
      <c r="I844" s="643"/>
      <c r="J844" s="643"/>
      <c r="K844" s="643"/>
      <c r="L844" s="643"/>
      <c r="M844" s="643"/>
      <c r="N844" s="643"/>
      <c r="O844" s="643"/>
      <c r="P844" s="643"/>
      <c r="Q844" s="643"/>
      <c r="R844" s="643"/>
      <c r="S844" s="643"/>
      <c r="T844" s="643"/>
      <c r="U844" s="643"/>
      <c r="V844" s="643"/>
      <c r="W844" s="643"/>
      <c r="X844" s="643"/>
      <c r="Y844" s="643"/>
      <c r="Z844" s="643"/>
    </row>
    <row r="845" ht="11.25" customHeight="1">
      <c r="A845" s="646"/>
      <c r="B845" s="643"/>
      <c r="C845" s="644"/>
      <c r="D845" s="643"/>
      <c r="E845" s="643"/>
      <c r="F845" s="643"/>
      <c r="G845" s="643"/>
      <c r="H845" s="643"/>
      <c r="I845" s="643"/>
      <c r="J845" s="643"/>
      <c r="K845" s="643"/>
      <c r="L845" s="643"/>
      <c r="M845" s="643"/>
      <c r="N845" s="643"/>
      <c r="O845" s="643"/>
      <c r="P845" s="643"/>
      <c r="Q845" s="643"/>
      <c r="R845" s="643"/>
      <c r="S845" s="643"/>
      <c r="T845" s="643"/>
      <c r="U845" s="643"/>
      <c r="V845" s="643"/>
      <c r="W845" s="643"/>
      <c r="X845" s="643"/>
      <c r="Y845" s="643"/>
      <c r="Z845" s="643"/>
    </row>
    <row r="846" ht="11.25" customHeight="1">
      <c r="A846" s="646"/>
      <c r="B846" s="643"/>
      <c r="C846" s="644"/>
      <c r="D846" s="643"/>
      <c r="E846" s="643"/>
      <c r="F846" s="643"/>
      <c r="G846" s="643"/>
      <c r="H846" s="643"/>
      <c r="I846" s="643"/>
      <c r="J846" s="643"/>
      <c r="K846" s="643"/>
      <c r="L846" s="643"/>
      <c r="M846" s="643"/>
      <c r="N846" s="643"/>
      <c r="O846" s="643"/>
      <c r="P846" s="643"/>
      <c r="Q846" s="643"/>
      <c r="R846" s="643"/>
      <c r="S846" s="643"/>
      <c r="T846" s="643"/>
      <c r="U846" s="643"/>
      <c r="V846" s="643"/>
      <c r="W846" s="643"/>
      <c r="X846" s="643"/>
      <c r="Y846" s="643"/>
      <c r="Z846" s="643"/>
    </row>
    <row r="847" ht="11.25" customHeight="1">
      <c r="A847" s="646"/>
      <c r="B847" s="643"/>
      <c r="C847" s="644"/>
      <c r="D847" s="643"/>
      <c r="E847" s="643"/>
      <c r="F847" s="643"/>
      <c r="G847" s="643"/>
      <c r="H847" s="643"/>
      <c r="I847" s="643"/>
      <c r="J847" s="643"/>
      <c r="K847" s="643"/>
      <c r="L847" s="643"/>
      <c r="M847" s="643"/>
      <c r="N847" s="643"/>
      <c r="O847" s="643"/>
      <c r="P847" s="643"/>
      <c r="Q847" s="643"/>
      <c r="R847" s="643"/>
      <c r="S847" s="643"/>
      <c r="T847" s="643"/>
      <c r="U847" s="643"/>
      <c r="V847" s="643"/>
      <c r="W847" s="643"/>
      <c r="X847" s="643"/>
      <c r="Y847" s="643"/>
      <c r="Z847" s="643"/>
    </row>
    <row r="848" ht="11.25" customHeight="1">
      <c r="A848" s="646"/>
      <c r="B848" s="643"/>
      <c r="C848" s="644"/>
      <c r="D848" s="643"/>
      <c r="E848" s="643"/>
      <c r="F848" s="643"/>
      <c r="G848" s="643"/>
      <c r="H848" s="643"/>
      <c r="I848" s="643"/>
      <c r="J848" s="643"/>
      <c r="K848" s="643"/>
      <c r="L848" s="643"/>
      <c r="M848" s="643"/>
      <c r="N848" s="643"/>
      <c r="O848" s="643"/>
      <c r="P848" s="643"/>
      <c r="Q848" s="643"/>
      <c r="R848" s="643"/>
      <c r="S848" s="643"/>
      <c r="T848" s="643"/>
      <c r="U848" s="643"/>
      <c r="V848" s="643"/>
      <c r="W848" s="643"/>
      <c r="X848" s="643"/>
      <c r="Y848" s="643"/>
      <c r="Z848" s="643"/>
    </row>
    <row r="849" ht="11.25" customHeight="1">
      <c r="A849" s="646"/>
      <c r="B849" s="643"/>
      <c r="C849" s="644"/>
      <c r="D849" s="643"/>
      <c r="E849" s="643"/>
      <c r="F849" s="643"/>
      <c r="G849" s="643"/>
      <c r="H849" s="643"/>
      <c r="I849" s="643"/>
      <c r="J849" s="643"/>
      <c r="K849" s="643"/>
      <c r="L849" s="643"/>
      <c r="M849" s="643"/>
      <c r="N849" s="643"/>
      <c r="O849" s="643"/>
      <c r="P849" s="643"/>
      <c r="Q849" s="643"/>
      <c r="R849" s="643"/>
      <c r="S849" s="643"/>
      <c r="T849" s="643"/>
      <c r="U849" s="643"/>
      <c r="V849" s="643"/>
      <c r="W849" s="643"/>
      <c r="X849" s="643"/>
      <c r="Y849" s="643"/>
      <c r="Z849" s="643"/>
    </row>
    <row r="850" ht="11.25" customHeight="1">
      <c r="A850" s="646"/>
      <c r="B850" s="643"/>
      <c r="C850" s="644"/>
      <c r="D850" s="643"/>
      <c r="E850" s="643"/>
      <c r="F850" s="643"/>
      <c r="G850" s="643"/>
      <c r="H850" s="643"/>
      <c r="I850" s="643"/>
      <c r="J850" s="643"/>
      <c r="K850" s="643"/>
      <c r="L850" s="643"/>
      <c r="M850" s="643"/>
      <c r="N850" s="643"/>
      <c r="O850" s="643"/>
      <c r="P850" s="643"/>
      <c r="Q850" s="643"/>
      <c r="R850" s="643"/>
      <c r="S850" s="643"/>
      <c r="T850" s="643"/>
      <c r="U850" s="643"/>
      <c r="V850" s="643"/>
      <c r="W850" s="643"/>
      <c r="X850" s="643"/>
      <c r="Y850" s="643"/>
      <c r="Z850" s="643"/>
    </row>
    <row r="851" ht="11.25" customHeight="1">
      <c r="A851" s="646"/>
      <c r="B851" s="643"/>
      <c r="C851" s="644"/>
      <c r="D851" s="643"/>
      <c r="E851" s="643"/>
      <c r="F851" s="643"/>
      <c r="G851" s="643"/>
      <c r="H851" s="643"/>
      <c r="I851" s="643"/>
      <c r="J851" s="643"/>
      <c r="K851" s="643"/>
      <c r="L851" s="643"/>
      <c r="M851" s="643"/>
      <c r="N851" s="643"/>
      <c r="O851" s="643"/>
      <c r="P851" s="643"/>
      <c r="Q851" s="643"/>
      <c r="R851" s="643"/>
      <c r="S851" s="643"/>
      <c r="T851" s="643"/>
      <c r="U851" s="643"/>
      <c r="V851" s="643"/>
      <c r="W851" s="643"/>
      <c r="X851" s="643"/>
      <c r="Y851" s="643"/>
      <c r="Z851" s="643"/>
    </row>
    <row r="852" ht="11.25" customHeight="1">
      <c r="A852" s="646"/>
      <c r="B852" s="643"/>
      <c r="C852" s="644"/>
      <c r="D852" s="643"/>
      <c r="E852" s="643"/>
      <c r="F852" s="643"/>
      <c r="G852" s="643"/>
      <c r="H852" s="643"/>
      <c r="I852" s="643"/>
      <c r="J852" s="643"/>
      <c r="K852" s="643"/>
      <c r="L852" s="643"/>
      <c r="M852" s="643"/>
      <c r="N852" s="643"/>
      <c r="O852" s="643"/>
      <c r="P852" s="643"/>
      <c r="Q852" s="643"/>
      <c r="R852" s="643"/>
      <c r="S852" s="643"/>
      <c r="T852" s="643"/>
      <c r="U852" s="643"/>
      <c r="V852" s="643"/>
      <c r="W852" s="643"/>
      <c r="X852" s="643"/>
      <c r="Y852" s="643"/>
      <c r="Z852" s="643"/>
    </row>
    <row r="853" ht="11.25" customHeight="1">
      <c r="A853" s="646"/>
      <c r="B853" s="643"/>
      <c r="C853" s="644"/>
      <c r="D853" s="643"/>
      <c r="E853" s="643"/>
      <c r="F853" s="643"/>
      <c r="G853" s="643"/>
      <c r="H853" s="643"/>
      <c r="I853" s="643"/>
      <c r="J853" s="643"/>
      <c r="K853" s="643"/>
      <c r="L853" s="643"/>
      <c r="M853" s="643"/>
      <c r="N853" s="643"/>
      <c r="O853" s="643"/>
      <c r="P853" s="643"/>
      <c r="Q853" s="643"/>
      <c r="R853" s="643"/>
      <c r="S853" s="643"/>
      <c r="T853" s="643"/>
      <c r="U853" s="643"/>
      <c r="V853" s="643"/>
      <c r="W853" s="643"/>
      <c r="X853" s="643"/>
      <c r="Y853" s="643"/>
      <c r="Z853" s="643"/>
    </row>
    <row r="854" ht="11.25" customHeight="1">
      <c r="A854" s="646"/>
      <c r="B854" s="643"/>
      <c r="C854" s="644"/>
      <c r="D854" s="643"/>
      <c r="E854" s="643"/>
      <c r="F854" s="643"/>
      <c r="G854" s="643"/>
      <c r="H854" s="643"/>
      <c r="I854" s="643"/>
      <c r="J854" s="643"/>
      <c r="K854" s="643"/>
      <c r="L854" s="643"/>
      <c r="M854" s="643"/>
      <c r="N854" s="643"/>
      <c r="O854" s="643"/>
      <c r="P854" s="643"/>
      <c r="Q854" s="643"/>
      <c r="R854" s="643"/>
      <c r="S854" s="643"/>
      <c r="T854" s="643"/>
      <c r="U854" s="643"/>
      <c r="V854" s="643"/>
      <c r="W854" s="643"/>
      <c r="X854" s="643"/>
      <c r="Y854" s="643"/>
      <c r="Z854" s="643"/>
    </row>
    <row r="855" ht="11.25" customHeight="1">
      <c r="A855" s="646"/>
      <c r="B855" s="643"/>
      <c r="C855" s="644"/>
      <c r="D855" s="643"/>
      <c r="E855" s="643"/>
      <c r="F855" s="643"/>
      <c r="G855" s="643"/>
      <c r="H855" s="643"/>
      <c r="I855" s="643"/>
      <c r="J855" s="643"/>
      <c r="K855" s="643"/>
      <c r="L855" s="643"/>
      <c r="M855" s="643"/>
      <c r="N855" s="643"/>
      <c r="O855" s="643"/>
      <c r="P855" s="643"/>
      <c r="Q855" s="643"/>
      <c r="R855" s="643"/>
      <c r="S855" s="643"/>
      <c r="T855" s="643"/>
      <c r="U855" s="643"/>
      <c r="V855" s="643"/>
      <c r="W855" s="643"/>
      <c r="X855" s="643"/>
      <c r="Y855" s="643"/>
      <c r="Z855" s="643"/>
    </row>
    <row r="856" ht="11.25" customHeight="1">
      <c r="A856" s="646"/>
      <c r="B856" s="643"/>
      <c r="C856" s="644"/>
      <c r="D856" s="643"/>
      <c r="E856" s="643"/>
      <c r="F856" s="643"/>
      <c r="G856" s="643"/>
      <c r="H856" s="643"/>
      <c r="I856" s="643"/>
      <c r="J856" s="643"/>
      <c r="K856" s="643"/>
      <c r="L856" s="643"/>
      <c r="M856" s="643"/>
      <c r="N856" s="643"/>
      <c r="O856" s="643"/>
      <c r="P856" s="643"/>
      <c r="Q856" s="643"/>
      <c r="R856" s="643"/>
      <c r="S856" s="643"/>
      <c r="T856" s="643"/>
      <c r="U856" s="643"/>
      <c r="V856" s="643"/>
      <c r="W856" s="643"/>
      <c r="X856" s="643"/>
      <c r="Y856" s="643"/>
      <c r="Z856" s="643"/>
    </row>
    <row r="857" ht="11.25" customHeight="1">
      <c r="A857" s="646"/>
      <c r="B857" s="643"/>
      <c r="C857" s="644"/>
      <c r="D857" s="643"/>
      <c r="E857" s="643"/>
      <c r="F857" s="643"/>
      <c r="G857" s="643"/>
      <c r="H857" s="643"/>
      <c r="I857" s="643"/>
      <c r="J857" s="643"/>
      <c r="K857" s="643"/>
      <c r="L857" s="643"/>
      <c r="M857" s="643"/>
      <c r="N857" s="643"/>
      <c r="O857" s="643"/>
      <c r="P857" s="643"/>
      <c r="Q857" s="643"/>
      <c r="R857" s="643"/>
      <c r="S857" s="643"/>
      <c r="T857" s="643"/>
      <c r="U857" s="643"/>
      <c r="V857" s="643"/>
      <c r="W857" s="643"/>
      <c r="X857" s="643"/>
      <c r="Y857" s="643"/>
      <c r="Z857" s="643"/>
    </row>
    <row r="858" ht="11.25" customHeight="1">
      <c r="A858" s="646"/>
      <c r="B858" s="643"/>
      <c r="C858" s="644"/>
      <c r="D858" s="643"/>
      <c r="E858" s="643"/>
      <c r="F858" s="643"/>
      <c r="G858" s="643"/>
      <c r="H858" s="643"/>
      <c r="I858" s="643"/>
      <c r="J858" s="643"/>
      <c r="K858" s="643"/>
      <c r="L858" s="643"/>
      <c r="M858" s="643"/>
      <c r="N858" s="643"/>
      <c r="O858" s="643"/>
      <c r="P858" s="643"/>
      <c r="Q858" s="643"/>
      <c r="R858" s="643"/>
      <c r="S858" s="643"/>
      <c r="T858" s="643"/>
      <c r="U858" s="643"/>
      <c r="V858" s="643"/>
      <c r="W858" s="643"/>
      <c r="X858" s="643"/>
      <c r="Y858" s="643"/>
      <c r="Z858" s="643"/>
    </row>
    <row r="859" ht="11.25" customHeight="1">
      <c r="A859" s="646"/>
      <c r="B859" s="643"/>
      <c r="C859" s="644"/>
      <c r="D859" s="643"/>
      <c r="E859" s="643"/>
      <c r="F859" s="643"/>
      <c r="G859" s="643"/>
      <c r="H859" s="643"/>
      <c r="I859" s="643"/>
      <c r="J859" s="643"/>
      <c r="K859" s="643"/>
      <c r="L859" s="643"/>
      <c r="M859" s="643"/>
      <c r="N859" s="643"/>
      <c r="O859" s="643"/>
      <c r="P859" s="643"/>
      <c r="Q859" s="643"/>
      <c r="R859" s="643"/>
      <c r="S859" s="643"/>
      <c r="T859" s="643"/>
      <c r="U859" s="643"/>
      <c r="V859" s="643"/>
      <c r="W859" s="643"/>
      <c r="X859" s="643"/>
      <c r="Y859" s="643"/>
      <c r="Z859" s="643"/>
    </row>
    <row r="860" ht="11.25" customHeight="1">
      <c r="A860" s="646"/>
      <c r="B860" s="643"/>
      <c r="C860" s="644"/>
      <c r="D860" s="643"/>
      <c r="E860" s="643"/>
      <c r="F860" s="643"/>
      <c r="G860" s="643"/>
      <c r="H860" s="643"/>
      <c r="I860" s="643"/>
      <c r="J860" s="643"/>
      <c r="K860" s="643"/>
      <c r="L860" s="643"/>
      <c r="M860" s="643"/>
      <c r="N860" s="643"/>
      <c r="O860" s="643"/>
      <c r="P860" s="643"/>
      <c r="Q860" s="643"/>
      <c r="R860" s="643"/>
      <c r="S860" s="643"/>
      <c r="T860" s="643"/>
      <c r="U860" s="643"/>
      <c r="V860" s="643"/>
      <c r="W860" s="643"/>
      <c r="X860" s="643"/>
      <c r="Y860" s="643"/>
      <c r="Z860" s="643"/>
    </row>
    <row r="861" ht="11.25" customHeight="1">
      <c r="A861" s="646"/>
      <c r="B861" s="643"/>
      <c r="C861" s="644"/>
      <c r="D861" s="643"/>
      <c r="E861" s="643"/>
      <c r="F861" s="643"/>
      <c r="G861" s="643"/>
      <c r="H861" s="643"/>
      <c r="I861" s="643"/>
      <c r="J861" s="643"/>
      <c r="K861" s="643"/>
      <c r="L861" s="643"/>
      <c r="M861" s="643"/>
      <c r="N861" s="643"/>
      <c r="O861" s="643"/>
      <c r="P861" s="643"/>
      <c r="Q861" s="643"/>
      <c r="R861" s="643"/>
      <c r="S861" s="643"/>
      <c r="T861" s="643"/>
      <c r="U861" s="643"/>
      <c r="V861" s="643"/>
      <c r="W861" s="643"/>
      <c r="X861" s="643"/>
      <c r="Y861" s="643"/>
      <c r="Z861" s="643"/>
    </row>
    <row r="862" ht="11.25" customHeight="1">
      <c r="A862" s="646"/>
      <c r="B862" s="643"/>
      <c r="C862" s="644"/>
      <c r="D862" s="643"/>
      <c r="E862" s="643"/>
      <c r="F862" s="643"/>
      <c r="G862" s="643"/>
      <c r="H862" s="643"/>
      <c r="I862" s="643"/>
      <c r="J862" s="643"/>
      <c r="K862" s="643"/>
      <c r="L862" s="643"/>
      <c r="M862" s="643"/>
      <c r="N862" s="643"/>
      <c r="O862" s="643"/>
      <c r="P862" s="643"/>
      <c r="Q862" s="643"/>
      <c r="R862" s="643"/>
      <c r="S862" s="643"/>
      <c r="T862" s="643"/>
      <c r="U862" s="643"/>
      <c r="V862" s="643"/>
      <c r="W862" s="643"/>
      <c r="X862" s="643"/>
      <c r="Y862" s="643"/>
      <c r="Z862" s="643"/>
    </row>
    <row r="863" ht="11.25" customHeight="1">
      <c r="A863" s="646"/>
      <c r="B863" s="643"/>
      <c r="C863" s="644"/>
      <c r="D863" s="643"/>
      <c r="E863" s="643"/>
      <c r="F863" s="643"/>
      <c r="G863" s="643"/>
      <c r="H863" s="643"/>
      <c r="I863" s="643"/>
      <c r="J863" s="643"/>
      <c r="K863" s="643"/>
      <c r="L863" s="643"/>
      <c r="M863" s="643"/>
      <c r="N863" s="643"/>
      <c r="O863" s="643"/>
      <c r="P863" s="643"/>
      <c r="Q863" s="643"/>
      <c r="R863" s="643"/>
      <c r="S863" s="643"/>
      <c r="T863" s="643"/>
      <c r="U863" s="643"/>
      <c r="V863" s="643"/>
      <c r="W863" s="643"/>
      <c r="X863" s="643"/>
      <c r="Y863" s="643"/>
      <c r="Z863" s="643"/>
    </row>
    <row r="864" ht="11.25" customHeight="1">
      <c r="A864" s="646"/>
      <c r="B864" s="643"/>
      <c r="C864" s="644"/>
      <c r="D864" s="643"/>
      <c r="E864" s="643"/>
      <c r="F864" s="643"/>
      <c r="G864" s="643"/>
      <c r="H864" s="643"/>
      <c r="I864" s="643"/>
      <c r="J864" s="643"/>
      <c r="K864" s="643"/>
      <c r="L864" s="643"/>
      <c r="M864" s="643"/>
      <c r="N864" s="643"/>
      <c r="O864" s="643"/>
      <c r="P864" s="643"/>
      <c r="Q864" s="643"/>
      <c r="R864" s="643"/>
      <c r="S864" s="643"/>
      <c r="T864" s="643"/>
      <c r="U864" s="643"/>
      <c r="V864" s="643"/>
      <c r="W864" s="643"/>
      <c r="X864" s="643"/>
      <c r="Y864" s="643"/>
      <c r="Z864" s="643"/>
    </row>
    <row r="865" ht="11.25" customHeight="1">
      <c r="A865" s="646"/>
      <c r="B865" s="643"/>
      <c r="C865" s="644"/>
      <c r="D865" s="643"/>
      <c r="E865" s="643"/>
      <c r="F865" s="643"/>
      <c r="G865" s="643"/>
      <c r="H865" s="643"/>
      <c r="I865" s="643"/>
      <c r="J865" s="643"/>
      <c r="K865" s="643"/>
      <c r="L865" s="643"/>
      <c r="M865" s="643"/>
      <c r="N865" s="643"/>
      <c r="O865" s="643"/>
      <c r="P865" s="643"/>
      <c r="Q865" s="643"/>
      <c r="R865" s="643"/>
      <c r="S865" s="643"/>
      <c r="T865" s="643"/>
      <c r="U865" s="643"/>
      <c r="V865" s="643"/>
      <c r="W865" s="643"/>
      <c r="X865" s="643"/>
      <c r="Y865" s="643"/>
      <c r="Z865" s="643"/>
    </row>
    <row r="866" ht="11.25" customHeight="1">
      <c r="A866" s="646"/>
      <c r="B866" s="643"/>
      <c r="C866" s="644"/>
      <c r="D866" s="643"/>
      <c r="E866" s="643"/>
      <c r="F866" s="643"/>
      <c r="G866" s="643"/>
      <c r="H866" s="643"/>
      <c r="I866" s="643"/>
      <c r="J866" s="643"/>
      <c r="K866" s="643"/>
      <c r="L866" s="643"/>
      <c r="M866" s="643"/>
      <c r="N866" s="643"/>
      <c r="O866" s="643"/>
      <c r="P866" s="643"/>
      <c r="Q866" s="643"/>
      <c r="R866" s="643"/>
      <c r="S866" s="643"/>
      <c r="T866" s="643"/>
      <c r="U866" s="643"/>
      <c r="V866" s="643"/>
      <c r="W866" s="643"/>
      <c r="X866" s="643"/>
      <c r="Y866" s="643"/>
      <c r="Z866" s="643"/>
    </row>
    <row r="867" ht="11.25" customHeight="1">
      <c r="A867" s="646"/>
      <c r="B867" s="643"/>
      <c r="C867" s="644"/>
      <c r="D867" s="643"/>
      <c r="E867" s="643"/>
      <c r="F867" s="643"/>
      <c r="G867" s="643"/>
      <c r="H867" s="643"/>
      <c r="I867" s="643"/>
      <c r="J867" s="643"/>
      <c r="K867" s="643"/>
      <c r="L867" s="643"/>
      <c r="M867" s="643"/>
      <c r="N867" s="643"/>
      <c r="O867" s="643"/>
      <c r="P867" s="643"/>
      <c r="Q867" s="643"/>
      <c r="R867" s="643"/>
      <c r="S867" s="643"/>
      <c r="T867" s="643"/>
      <c r="U867" s="643"/>
      <c r="V867" s="643"/>
      <c r="W867" s="643"/>
      <c r="X867" s="643"/>
      <c r="Y867" s="643"/>
      <c r="Z867" s="643"/>
    </row>
    <row r="868" ht="11.25" customHeight="1">
      <c r="A868" s="646"/>
      <c r="B868" s="643"/>
      <c r="C868" s="644"/>
      <c r="D868" s="643"/>
      <c r="E868" s="643"/>
      <c r="F868" s="643"/>
      <c r="G868" s="643"/>
      <c r="H868" s="643"/>
      <c r="I868" s="643"/>
      <c r="J868" s="643"/>
      <c r="K868" s="643"/>
      <c r="L868" s="643"/>
      <c r="M868" s="643"/>
      <c r="N868" s="643"/>
      <c r="O868" s="643"/>
      <c r="P868" s="643"/>
      <c r="Q868" s="643"/>
      <c r="R868" s="643"/>
      <c r="S868" s="643"/>
      <c r="T868" s="643"/>
      <c r="U868" s="643"/>
      <c r="V868" s="643"/>
      <c r="W868" s="643"/>
      <c r="X868" s="643"/>
      <c r="Y868" s="643"/>
      <c r="Z868" s="643"/>
    </row>
    <row r="869" ht="11.25" customHeight="1">
      <c r="A869" s="646"/>
      <c r="B869" s="643"/>
      <c r="C869" s="644"/>
      <c r="D869" s="643"/>
      <c r="E869" s="643"/>
      <c r="F869" s="643"/>
      <c r="G869" s="643"/>
      <c r="H869" s="643"/>
      <c r="I869" s="643"/>
      <c r="J869" s="643"/>
      <c r="K869" s="643"/>
      <c r="L869" s="643"/>
      <c r="M869" s="643"/>
      <c r="N869" s="643"/>
      <c r="O869" s="643"/>
      <c r="P869" s="643"/>
      <c r="Q869" s="643"/>
      <c r="R869" s="643"/>
      <c r="S869" s="643"/>
      <c r="T869" s="643"/>
      <c r="U869" s="643"/>
      <c r="V869" s="643"/>
      <c r="W869" s="643"/>
      <c r="X869" s="643"/>
      <c r="Y869" s="643"/>
      <c r="Z869" s="643"/>
    </row>
    <row r="870" ht="11.25" customHeight="1">
      <c r="A870" s="646"/>
      <c r="B870" s="643"/>
      <c r="C870" s="644"/>
      <c r="D870" s="643"/>
      <c r="E870" s="643"/>
      <c r="F870" s="643"/>
      <c r="G870" s="643"/>
      <c r="H870" s="643"/>
      <c r="I870" s="643"/>
      <c r="J870" s="643"/>
      <c r="K870" s="643"/>
      <c r="L870" s="643"/>
      <c r="M870" s="643"/>
      <c r="N870" s="643"/>
      <c r="O870" s="643"/>
      <c r="P870" s="643"/>
      <c r="Q870" s="643"/>
      <c r="R870" s="643"/>
      <c r="S870" s="643"/>
      <c r="T870" s="643"/>
      <c r="U870" s="643"/>
      <c r="V870" s="643"/>
      <c r="W870" s="643"/>
      <c r="X870" s="643"/>
      <c r="Y870" s="643"/>
      <c r="Z870" s="643"/>
    </row>
    <row r="871" ht="11.25" customHeight="1">
      <c r="A871" s="646"/>
      <c r="B871" s="643"/>
      <c r="C871" s="644"/>
      <c r="D871" s="643"/>
      <c r="E871" s="643"/>
      <c r="F871" s="643"/>
      <c r="G871" s="643"/>
      <c r="H871" s="643"/>
      <c r="I871" s="643"/>
      <c r="J871" s="643"/>
      <c r="K871" s="643"/>
      <c r="L871" s="643"/>
      <c r="M871" s="643"/>
      <c r="N871" s="643"/>
      <c r="O871" s="643"/>
      <c r="P871" s="643"/>
      <c r="Q871" s="643"/>
      <c r="R871" s="643"/>
      <c r="S871" s="643"/>
      <c r="T871" s="643"/>
      <c r="U871" s="643"/>
      <c r="V871" s="643"/>
      <c r="W871" s="643"/>
      <c r="X871" s="643"/>
      <c r="Y871" s="643"/>
      <c r="Z871" s="643"/>
    </row>
    <row r="872" ht="11.25" customHeight="1">
      <c r="A872" s="646"/>
      <c r="B872" s="643"/>
      <c r="C872" s="644"/>
      <c r="D872" s="643"/>
      <c r="E872" s="643"/>
      <c r="F872" s="643"/>
      <c r="G872" s="643"/>
      <c r="H872" s="643"/>
      <c r="I872" s="643"/>
      <c r="J872" s="643"/>
      <c r="K872" s="643"/>
      <c r="L872" s="643"/>
      <c r="M872" s="643"/>
      <c r="N872" s="643"/>
      <c r="O872" s="643"/>
      <c r="P872" s="643"/>
      <c r="Q872" s="643"/>
      <c r="R872" s="643"/>
      <c r="S872" s="643"/>
      <c r="T872" s="643"/>
      <c r="U872" s="643"/>
      <c r="V872" s="643"/>
      <c r="W872" s="643"/>
      <c r="X872" s="643"/>
      <c r="Y872" s="643"/>
      <c r="Z872" s="643"/>
    </row>
    <row r="873" ht="11.25" customHeight="1">
      <c r="A873" s="646"/>
      <c r="B873" s="643"/>
      <c r="C873" s="644"/>
      <c r="D873" s="643"/>
      <c r="E873" s="643"/>
      <c r="F873" s="643"/>
      <c r="G873" s="643"/>
      <c r="H873" s="643"/>
      <c r="I873" s="643"/>
      <c r="J873" s="643"/>
      <c r="K873" s="643"/>
      <c r="L873" s="643"/>
      <c r="M873" s="643"/>
      <c r="N873" s="643"/>
      <c r="O873" s="643"/>
      <c r="P873" s="643"/>
      <c r="Q873" s="643"/>
      <c r="R873" s="643"/>
      <c r="S873" s="643"/>
      <c r="T873" s="643"/>
      <c r="U873" s="643"/>
      <c r="V873" s="643"/>
      <c r="W873" s="643"/>
      <c r="X873" s="643"/>
      <c r="Y873" s="643"/>
      <c r="Z873" s="643"/>
    </row>
    <row r="874" ht="11.25" customHeight="1">
      <c r="A874" s="646"/>
      <c r="B874" s="643"/>
      <c r="C874" s="644"/>
      <c r="D874" s="643"/>
      <c r="E874" s="643"/>
      <c r="F874" s="643"/>
      <c r="G874" s="643"/>
      <c r="H874" s="643"/>
      <c r="I874" s="643"/>
      <c r="J874" s="643"/>
      <c r="K874" s="643"/>
      <c r="L874" s="643"/>
      <c r="M874" s="643"/>
      <c r="N874" s="643"/>
      <c r="O874" s="643"/>
      <c r="P874" s="643"/>
      <c r="Q874" s="643"/>
      <c r="R874" s="643"/>
      <c r="S874" s="643"/>
      <c r="T874" s="643"/>
      <c r="U874" s="643"/>
      <c r="V874" s="643"/>
      <c r="W874" s="643"/>
      <c r="X874" s="643"/>
      <c r="Y874" s="643"/>
      <c r="Z874" s="643"/>
    </row>
    <row r="875" ht="11.25" customHeight="1">
      <c r="A875" s="646"/>
      <c r="B875" s="643"/>
      <c r="C875" s="644"/>
      <c r="D875" s="643"/>
      <c r="E875" s="643"/>
      <c r="F875" s="643"/>
      <c r="G875" s="643"/>
      <c r="H875" s="643"/>
      <c r="I875" s="643"/>
      <c r="J875" s="643"/>
      <c r="K875" s="643"/>
      <c r="L875" s="643"/>
      <c r="M875" s="643"/>
      <c r="N875" s="643"/>
      <c r="O875" s="643"/>
      <c r="P875" s="643"/>
      <c r="Q875" s="643"/>
      <c r="R875" s="643"/>
      <c r="S875" s="643"/>
      <c r="T875" s="643"/>
      <c r="U875" s="643"/>
      <c r="V875" s="643"/>
      <c r="W875" s="643"/>
      <c r="X875" s="643"/>
      <c r="Y875" s="643"/>
      <c r="Z875" s="643"/>
    </row>
    <row r="876" ht="11.25" customHeight="1">
      <c r="A876" s="646"/>
      <c r="B876" s="643"/>
      <c r="C876" s="644"/>
      <c r="D876" s="643"/>
      <c r="E876" s="643"/>
      <c r="F876" s="643"/>
      <c r="G876" s="643"/>
      <c r="H876" s="643"/>
      <c r="I876" s="643"/>
      <c r="J876" s="643"/>
      <c r="K876" s="643"/>
      <c r="L876" s="643"/>
      <c r="M876" s="643"/>
      <c r="N876" s="643"/>
      <c r="O876" s="643"/>
      <c r="P876" s="643"/>
      <c r="Q876" s="643"/>
      <c r="R876" s="643"/>
      <c r="S876" s="643"/>
      <c r="T876" s="643"/>
      <c r="U876" s="643"/>
      <c r="V876" s="643"/>
      <c r="W876" s="643"/>
      <c r="X876" s="643"/>
      <c r="Y876" s="643"/>
      <c r="Z876" s="643"/>
    </row>
    <row r="877" ht="11.25" customHeight="1">
      <c r="A877" s="646"/>
      <c r="B877" s="643"/>
      <c r="C877" s="644"/>
      <c r="D877" s="643"/>
      <c r="E877" s="643"/>
      <c r="F877" s="643"/>
      <c r="G877" s="643"/>
      <c r="H877" s="643"/>
      <c r="I877" s="643"/>
      <c r="J877" s="643"/>
      <c r="K877" s="643"/>
      <c r="L877" s="643"/>
      <c r="M877" s="643"/>
      <c r="N877" s="643"/>
      <c r="O877" s="643"/>
      <c r="P877" s="643"/>
      <c r="Q877" s="643"/>
      <c r="R877" s="643"/>
      <c r="S877" s="643"/>
      <c r="T877" s="643"/>
      <c r="U877" s="643"/>
      <c r="V877" s="643"/>
      <c r="W877" s="643"/>
      <c r="X877" s="643"/>
      <c r="Y877" s="643"/>
      <c r="Z877" s="643"/>
    </row>
    <row r="878" ht="11.25" customHeight="1">
      <c r="A878" s="646"/>
      <c r="B878" s="643"/>
      <c r="C878" s="644"/>
      <c r="D878" s="643"/>
      <c r="E878" s="643"/>
      <c r="F878" s="643"/>
      <c r="G878" s="643"/>
      <c r="H878" s="643"/>
      <c r="I878" s="643"/>
      <c r="J878" s="643"/>
      <c r="K878" s="643"/>
      <c r="L878" s="643"/>
      <c r="M878" s="643"/>
      <c r="N878" s="643"/>
      <c r="O878" s="643"/>
      <c r="P878" s="643"/>
      <c r="Q878" s="643"/>
      <c r="R878" s="643"/>
      <c r="S878" s="643"/>
      <c r="T878" s="643"/>
      <c r="U878" s="643"/>
      <c r="V878" s="643"/>
      <c r="W878" s="643"/>
      <c r="X878" s="643"/>
      <c r="Y878" s="643"/>
      <c r="Z878" s="643"/>
    </row>
    <row r="879" ht="11.25" customHeight="1">
      <c r="A879" s="646"/>
      <c r="B879" s="643"/>
      <c r="C879" s="644"/>
      <c r="D879" s="643"/>
      <c r="E879" s="643"/>
      <c r="F879" s="643"/>
      <c r="G879" s="643"/>
      <c r="H879" s="643"/>
      <c r="I879" s="643"/>
      <c r="J879" s="643"/>
      <c r="K879" s="643"/>
      <c r="L879" s="643"/>
      <c r="M879" s="643"/>
      <c r="N879" s="643"/>
      <c r="O879" s="643"/>
      <c r="P879" s="643"/>
      <c r="Q879" s="643"/>
      <c r="R879" s="643"/>
      <c r="S879" s="643"/>
      <c r="T879" s="643"/>
      <c r="U879" s="643"/>
      <c r="V879" s="643"/>
      <c r="W879" s="643"/>
      <c r="X879" s="643"/>
      <c r="Y879" s="643"/>
      <c r="Z879" s="643"/>
    </row>
    <row r="880" ht="11.25" customHeight="1">
      <c r="A880" s="646"/>
      <c r="B880" s="643"/>
      <c r="C880" s="644"/>
      <c r="D880" s="643"/>
      <c r="E880" s="643"/>
      <c r="F880" s="643"/>
      <c r="G880" s="643"/>
      <c r="H880" s="643"/>
      <c r="I880" s="643"/>
      <c r="J880" s="643"/>
      <c r="K880" s="643"/>
      <c r="L880" s="643"/>
      <c r="M880" s="643"/>
      <c r="N880" s="643"/>
      <c r="O880" s="643"/>
      <c r="P880" s="643"/>
      <c r="Q880" s="643"/>
      <c r="R880" s="643"/>
      <c r="S880" s="643"/>
      <c r="T880" s="643"/>
      <c r="U880" s="643"/>
      <c r="V880" s="643"/>
      <c r="W880" s="643"/>
      <c r="X880" s="643"/>
      <c r="Y880" s="643"/>
      <c r="Z880" s="643"/>
    </row>
    <row r="881" ht="11.25" customHeight="1">
      <c r="A881" s="646"/>
      <c r="B881" s="643"/>
      <c r="C881" s="644"/>
      <c r="D881" s="643"/>
      <c r="E881" s="643"/>
      <c r="F881" s="643"/>
      <c r="G881" s="643"/>
      <c r="H881" s="643"/>
      <c r="I881" s="643"/>
      <c r="J881" s="643"/>
      <c r="K881" s="643"/>
      <c r="L881" s="643"/>
      <c r="M881" s="643"/>
      <c r="N881" s="643"/>
      <c r="O881" s="643"/>
      <c r="P881" s="643"/>
      <c r="Q881" s="643"/>
      <c r="R881" s="643"/>
      <c r="S881" s="643"/>
      <c r="T881" s="643"/>
      <c r="U881" s="643"/>
      <c r="V881" s="643"/>
      <c r="W881" s="643"/>
      <c r="X881" s="643"/>
      <c r="Y881" s="643"/>
      <c r="Z881" s="643"/>
    </row>
    <row r="882" ht="11.25" customHeight="1">
      <c r="A882" s="646"/>
      <c r="B882" s="643"/>
      <c r="C882" s="644"/>
      <c r="D882" s="643"/>
      <c r="E882" s="643"/>
      <c r="F882" s="643"/>
      <c r="G882" s="643"/>
      <c r="H882" s="643"/>
      <c r="I882" s="643"/>
      <c r="J882" s="643"/>
      <c r="K882" s="643"/>
      <c r="L882" s="643"/>
      <c r="M882" s="643"/>
      <c r="N882" s="643"/>
      <c r="O882" s="643"/>
      <c r="P882" s="643"/>
      <c r="Q882" s="643"/>
      <c r="R882" s="643"/>
      <c r="S882" s="643"/>
      <c r="T882" s="643"/>
      <c r="U882" s="643"/>
      <c r="V882" s="643"/>
      <c r="W882" s="643"/>
      <c r="X882" s="643"/>
      <c r="Y882" s="643"/>
      <c r="Z882" s="643"/>
    </row>
    <row r="883" ht="11.25" customHeight="1">
      <c r="A883" s="646"/>
      <c r="B883" s="643"/>
      <c r="C883" s="644"/>
      <c r="D883" s="643"/>
      <c r="E883" s="643"/>
      <c r="F883" s="643"/>
      <c r="G883" s="643"/>
      <c r="H883" s="643"/>
      <c r="I883" s="643"/>
      <c r="J883" s="643"/>
      <c r="K883" s="643"/>
      <c r="L883" s="643"/>
      <c r="M883" s="643"/>
      <c r="N883" s="643"/>
      <c r="O883" s="643"/>
      <c r="P883" s="643"/>
      <c r="Q883" s="643"/>
      <c r="R883" s="643"/>
      <c r="S883" s="643"/>
      <c r="T883" s="643"/>
      <c r="U883" s="643"/>
      <c r="V883" s="643"/>
      <c r="W883" s="643"/>
      <c r="X883" s="643"/>
      <c r="Y883" s="643"/>
      <c r="Z883" s="643"/>
    </row>
    <row r="884" ht="11.25" customHeight="1">
      <c r="A884" s="646"/>
      <c r="B884" s="643"/>
      <c r="C884" s="644"/>
      <c r="D884" s="643"/>
      <c r="E884" s="643"/>
      <c r="F884" s="643"/>
      <c r="G884" s="643"/>
      <c r="H884" s="643"/>
      <c r="I884" s="643"/>
      <c r="J884" s="643"/>
      <c r="K884" s="643"/>
      <c r="L884" s="643"/>
      <c r="M884" s="643"/>
      <c r="N884" s="643"/>
      <c r="O884" s="643"/>
      <c r="P884" s="643"/>
      <c r="Q884" s="643"/>
      <c r="R884" s="643"/>
      <c r="S884" s="643"/>
      <c r="T884" s="643"/>
      <c r="U884" s="643"/>
      <c r="V884" s="643"/>
      <c r="W884" s="643"/>
      <c r="X884" s="643"/>
      <c r="Y884" s="643"/>
      <c r="Z884" s="643"/>
    </row>
    <row r="885" ht="11.25" customHeight="1">
      <c r="A885" s="646"/>
      <c r="B885" s="643"/>
      <c r="C885" s="644"/>
      <c r="D885" s="643"/>
      <c r="E885" s="643"/>
      <c r="F885" s="643"/>
      <c r="G885" s="643"/>
      <c r="H885" s="643"/>
      <c r="I885" s="643"/>
      <c r="J885" s="643"/>
      <c r="K885" s="643"/>
      <c r="L885" s="643"/>
      <c r="M885" s="643"/>
      <c r="N885" s="643"/>
      <c r="O885" s="643"/>
      <c r="P885" s="643"/>
      <c r="Q885" s="643"/>
      <c r="R885" s="643"/>
      <c r="S885" s="643"/>
      <c r="T885" s="643"/>
      <c r="U885" s="643"/>
      <c r="V885" s="643"/>
      <c r="W885" s="643"/>
      <c r="X885" s="643"/>
      <c r="Y885" s="643"/>
      <c r="Z885" s="643"/>
    </row>
    <row r="886" ht="11.25" customHeight="1">
      <c r="A886" s="646"/>
      <c r="B886" s="643"/>
      <c r="C886" s="644"/>
      <c r="D886" s="643"/>
      <c r="E886" s="643"/>
      <c r="F886" s="643"/>
      <c r="G886" s="643"/>
      <c r="H886" s="643"/>
      <c r="I886" s="643"/>
      <c r="J886" s="643"/>
      <c r="K886" s="643"/>
      <c r="L886" s="643"/>
      <c r="M886" s="643"/>
      <c r="N886" s="643"/>
      <c r="O886" s="643"/>
      <c r="P886" s="643"/>
      <c r="Q886" s="643"/>
      <c r="R886" s="643"/>
      <c r="S886" s="643"/>
      <c r="T886" s="643"/>
      <c r="U886" s="643"/>
      <c r="V886" s="643"/>
      <c r="W886" s="643"/>
      <c r="X886" s="643"/>
      <c r="Y886" s="643"/>
      <c r="Z886" s="643"/>
    </row>
    <row r="887" ht="11.25" customHeight="1">
      <c r="A887" s="646"/>
      <c r="B887" s="643"/>
      <c r="C887" s="644"/>
      <c r="D887" s="643"/>
      <c r="E887" s="643"/>
      <c r="F887" s="643"/>
      <c r="G887" s="643"/>
      <c r="H887" s="643"/>
      <c r="I887" s="643"/>
      <c r="J887" s="643"/>
      <c r="K887" s="643"/>
      <c r="L887" s="643"/>
      <c r="M887" s="643"/>
      <c r="N887" s="643"/>
      <c r="O887" s="643"/>
      <c r="P887" s="643"/>
      <c r="Q887" s="643"/>
      <c r="R887" s="643"/>
      <c r="S887" s="643"/>
      <c r="T887" s="643"/>
      <c r="U887" s="643"/>
      <c r="V887" s="643"/>
      <c r="W887" s="643"/>
      <c r="X887" s="643"/>
      <c r="Y887" s="643"/>
      <c r="Z887" s="643"/>
    </row>
    <row r="888" ht="11.25" customHeight="1">
      <c r="A888" s="646"/>
      <c r="B888" s="643"/>
      <c r="C888" s="644"/>
      <c r="D888" s="643"/>
      <c r="E888" s="643"/>
      <c r="F888" s="643"/>
      <c r="G888" s="643"/>
      <c r="H888" s="643"/>
      <c r="I888" s="643"/>
      <c r="J888" s="643"/>
      <c r="K888" s="643"/>
      <c r="L888" s="643"/>
      <c r="M888" s="643"/>
      <c r="N888" s="643"/>
      <c r="O888" s="643"/>
      <c r="P888" s="643"/>
      <c r="Q888" s="643"/>
      <c r="R888" s="643"/>
      <c r="S888" s="643"/>
      <c r="T888" s="643"/>
      <c r="U888" s="643"/>
      <c r="V888" s="643"/>
      <c r="W888" s="643"/>
      <c r="X888" s="643"/>
      <c r="Y888" s="643"/>
      <c r="Z888" s="643"/>
    </row>
    <row r="889" ht="11.25" customHeight="1">
      <c r="A889" s="646"/>
      <c r="B889" s="643"/>
      <c r="C889" s="644"/>
      <c r="D889" s="643"/>
      <c r="E889" s="643"/>
      <c r="F889" s="643"/>
      <c r="G889" s="643"/>
      <c r="H889" s="643"/>
      <c r="I889" s="643"/>
      <c r="J889" s="643"/>
      <c r="K889" s="643"/>
      <c r="L889" s="643"/>
      <c r="M889" s="643"/>
      <c r="N889" s="643"/>
      <c r="O889" s="643"/>
      <c r="P889" s="643"/>
      <c r="Q889" s="643"/>
      <c r="R889" s="643"/>
      <c r="S889" s="643"/>
      <c r="T889" s="643"/>
      <c r="U889" s="643"/>
      <c r="V889" s="643"/>
      <c r="W889" s="643"/>
      <c r="X889" s="643"/>
      <c r="Y889" s="643"/>
      <c r="Z889" s="643"/>
    </row>
    <row r="890" ht="11.25" customHeight="1">
      <c r="A890" s="646"/>
      <c r="B890" s="643"/>
      <c r="C890" s="644"/>
      <c r="D890" s="643"/>
      <c r="E890" s="643"/>
      <c r="F890" s="643"/>
      <c r="G890" s="643"/>
      <c r="H890" s="643"/>
      <c r="I890" s="643"/>
      <c r="J890" s="643"/>
      <c r="K890" s="643"/>
      <c r="L890" s="643"/>
      <c r="M890" s="643"/>
      <c r="N890" s="643"/>
      <c r="O890" s="643"/>
      <c r="P890" s="643"/>
      <c r="Q890" s="643"/>
      <c r="R890" s="643"/>
      <c r="S890" s="643"/>
      <c r="T890" s="643"/>
      <c r="U890" s="643"/>
      <c r="V890" s="643"/>
      <c r="W890" s="643"/>
      <c r="X890" s="643"/>
      <c r="Y890" s="643"/>
      <c r="Z890" s="643"/>
    </row>
    <row r="891" ht="11.25" customHeight="1">
      <c r="A891" s="646"/>
      <c r="B891" s="643"/>
      <c r="C891" s="644"/>
      <c r="D891" s="643"/>
      <c r="E891" s="643"/>
      <c r="F891" s="643"/>
      <c r="G891" s="643"/>
      <c r="H891" s="643"/>
      <c r="I891" s="643"/>
      <c r="J891" s="643"/>
      <c r="K891" s="643"/>
      <c r="L891" s="643"/>
      <c r="M891" s="643"/>
      <c r="N891" s="643"/>
      <c r="O891" s="643"/>
      <c r="P891" s="643"/>
      <c r="Q891" s="643"/>
      <c r="R891" s="643"/>
      <c r="S891" s="643"/>
      <c r="T891" s="643"/>
      <c r="U891" s="643"/>
      <c r="V891" s="643"/>
      <c r="W891" s="643"/>
      <c r="X891" s="643"/>
      <c r="Y891" s="643"/>
      <c r="Z891" s="643"/>
    </row>
    <row r="892" ht="11.25" customHeight="1">
      <c r="A892" s="646"/>
      <c r="B892" s="643"/>
      <c r="C892" s="644"/>
      <c r="D892" s="643"/>
      <c r="E892" s="643"/>
      <c r="F892" s="643"/>
      <c r="G892" s="643"/>
      <c r="H892" s="643"/>
      <c r="I892" s="643"/>
      <c r="J892" s="643"/>
      <c r="K892" s="643"/>
      <c r="L892" s="643"/>
      <c r="M892" s="643"/>
      <c r="N892" s="643"/>
      <c r="O892" s="643"/>
      <c r="P892" s="643"/>
      <c r="Q892" s="643"/>
      <c r="R892" s="643"/>
      <c r="S892" s="643"/>
      <c r="T892" s="643"/>
      <c r="U892" s="643"/>
      <c r="V892" s="643"/>
      <c r="W892" s="643"/>
      <c r="X892" s="643"/>
      <c r="Y892" s="643"/>
      <c r="Z892" s="643"/>
    </row>
    <row r="893" ht="11.25" customHeight="1">
      <c r="A893" s="646"/>
      <c r="B893" s="643"/>
      <c r="C893" s="644"/>
      <c r="D893" s="643"/>
      <c r="E893" s="643"/>
      <c r="F893" s="643"/>
      <c r="G893" s="643"/>
      <c r="H893" s="643"/>
      <c r="I893" s="643"/>
      <c r="J893" s="643"/>
      <c r="K893" s="643"/>
      <c r="L893" s="643"/>
      <c r="M893" s="643"/>
      <c r="N893" s="643"/>
      <c r="O893" s="643"/>
      <c r="P893" s="643"/>
      <c r="Q893" s="643"/>
      <c r="R893" s="643"/>
      <c r="S893" s="643"/>
      <c r="T893" s="643"/>
      <c r="U893" s="643"/>
      <c r="V893" s="643"/>
      <c r="W893" s="643"/>
      <c r="X893" s="643"/>
      <c r="Y893" s="643"/>
      <c r="Z893" s="643"/>
    </row>
    <row r="894" ht="11.25" customHeight="1">
      <c r="A894" s="646"/>
      <c r="B894" s="643"/>
      <c r="C894" s="644"/>
      <c r="D894" s="643"/>
      <c r="E894" s="643"/>
      <c r="F894" s="643"/>
      <c r="G894" s="643"/>
      <c r="H894" s="643"/>
      <c r="I894" s="643"/>
      <c r="J894" s="643"/>
      <c r="K894" s="643"/>
      <c r="L894" s="643"/>
      <c r="M894" s="643"/>
      <c r="N894" s="643"/>
      <c r="O894" s="643"/>
      <c r="P894" s="643"/>
      <c r="Q894" s="643"/>
      <c r="R894" s="643"/>
      <c r="S894" s="643"/>
      <c r="T894" s="643"/>
      <c r="U894" s="643"/>
      <c r="V894" s="643"/>
      <c r="W894" s="643"/>
      <c r="X894" s="643"/>
      <c r="Y894" s="643"/>
      <c r="Z894" s="643"/>
    </row>
    <row r="895" ht="11.25" customHeight="1">
      <c r="A895" s="646"/>
      <c r="B895" s="643"/>
      <c r="C895" s="644"/>
      <c r="D895" s="643"/>
      <c r="E895" s="643"/>
      <c r="F895" s="643"/>
      <c r="G895" s="643"/>
      <c r="H895" s="643"/>
      <c r="I895" s="643"/>
      <c r="J895" s="643"/>
      <c r="K895" s="643"/>
      <c r="L895" s="643"/>
      <c r="M895" s="643"/>
      <c r="N895" s="643"/>
      <c r="O895" s="643"/>
      <c r="P895" s="643"/>
      <c r="Q895" s="643"/>
      <c r="R895" s="643"/>
      <c r="S895" s="643"/>
      <c r="T895" s="643"/>
      <c r="U895" s="643"/>
      <c r="V895" s="643"/>
      <c r="W895" s="643"/>
      <c r="X895" s="643"/>
      <c r="Y895" s="643"/>
      <c r="Z895" s="643"/>
    </row>
    <row r="896" ht="11.25" customHeight="1">
      <c r="A896" s="646"/>
      <c r="B896" s="643"/>
      <c r="C896" s="644"/>
      <c r="D896" s="643"/>
      <c r="E896" s="643"/>
      <c r="F896" s="643"/>
      <c r="G896" s="643"/>
      <c r="H896" s="643"/>
      <c r="I896" s="643"/>
      <c r="J896" s="643"/>
      <c r="K896" s="643"/>
      <c r="L896" s="643"/>
      <c r="M896" s="643"/>
      <c r="N896" s="643"/>
      <c r="O896" s="643"/>
      <c r="P896" s="643"/>
      <c r="Q896" s="643"/>
      <c r="R896" s="643"/>
      <c r="S896" s="643"/>
      <c r="T896" s="643"/>
      <c r="U896" s="643"/>
      <c r="V896" s="643"/>
      <c r="W896" s="643"/>
      <c r="X896" s="643"/>
      <c r="Y896" s="643"/>
      <c r="Z896" s="643"/>
    </row>
    <row r="897" ht="11.25" customHeight="1">
      <c r="A897" s="646"/>
      <c r="B897" s="643"/>
      <c r="C897" s="644"/>
      <c r="D897" s="643"/>
      <c r="E897" s="643"/>
      <c r="F897" s="643"/>
      <c r="G897" s="643"/>
      <c r="H897" s="643"/>
      <c r="I897" s="643"/>
      <c r="J897" s="643"/>
      <c r="K897" s="643"/>
      <c r="L897" s="643"/>
      <c r="M897" s="643"/>
      <c r="N897" s="643"/>
      <c r="O897" s="643"/>
      <c r="P897" s="643"/>
      <c r="Q897" s="643"/>
      <c r="R897" s="643"/>
      <c r="S897" s="643"/>
      <c r="T897" s="643"/>
      <c r="U897" s="643"/>
      <c r="V897" s="643"/>
      <c r="W897" s="643"/>
      <c r="X897" s="643"/>
      <c r="Y897" s="643"/>
      <c r="Z897" s="643"/>
    </row>
    <row r="898" ht="11.25" customHeight="1">
      <c r="A898" s="646"/>
      <c r="B898" s="643"/>
      <c r="C898" s="644"/>
      <c r="D898" s="643"/>
      <c r="E898" s="643"/>
      <c r="F898" s="643"/>
      <c r="G898" s="643"/>
      <c r="H898" s="643"/>
      <c r="I898" s="643"/>
      <c r="J898" s="643"/>
      <c r="K898" s="643"/>
      <c r="L898" s="643"/>
      <c r="M898" s="643"/>
      <c r="N898" s="643"/>
      <c r="O898" s="643"/>
      <c r="P898" s="643"/>
      <c r="Q898" s="643"/>
      <c r="R898" s="643"/>
      <c r="S898" s="643"/>
      <c r="T898" s="643"/>
      <c r="U898" s="643"/>
      <c r="V898" s="643"/>
      <c r="W898" s="643"/>
      <c r="X898" s="643"/>
      <c r="Y898" s="643"/>
      <c r="Z898" s="643"/>
    </row>
    <row r="899" ht="11.25" customHeight="1">
      <c r="A899" s="646"/>
      <c r="B899" s="643"/>
      <c r="C899" s="644"/>
      <c r="D899" s="643"/>
      <c r="E899" s="643"/>
      <c r="F899" s="643"/>
      <c r="G899" s="643"/>
      <c r="H899" s="643"/>
      <c r="I899" s="643"/>
      <c r="J899" s="643"/>
      <c r="K899" s="643"/>
      <c r="L899" s="643"/>
      <c r="M899" s="643"/>
      <c r="N899" s="643"/>
      <c r="O899" s="643"/>
      <c r="P899" s="643"/>
      <c r="Q899" s="643"/>
      <c r="R899" s="643"/>
      <c r="S899" s="643"/>
      <c r="T899" s="643"/>
      <c r="U899" s="643"/>
      <c r="V899" s="643"/>
      <c r="W899" s="643"/>
      <c r="X899" s="643"/>
      <c r="Y899" s="643"/>
      <c r="Z899" s="643"/>
    </row>
    <row r="900" ht="11.25" customHeight="1">
      <c r="A900" s="646"/>
      <c r="B900" s="643"/>
      <c r="C900" s="644"/>
      <c r="D900" s="643"/>
      <c r="E900" s="643"/>
      <c r="F900" s="643"/>
      <c r="G900" s="643"/>
      <c r="H900" s="643"/>
      <c r="I900" s="643"/>
      <c r="J900" s="643"/>
      <c r="K900" s="643"/>
      <c r="L900" s="643"/>
      <c r="M900" s="643"/>
      <c r="N900" s="643"/>
      <c r="O900" s="643"/>
      <c r="P900" s="643"/>
      <c r="Q900" s="643"/>
      <c r="R900" s="643"/>
      <c r="S900" s="643"/>
      <c r="T900" s="643"/>
      <c r="U900" s="643"/>
      <c r="V900" s="643"/>
      <c r="W900" s="643"/>
      <c r="X900" s="643"/>
      <c r="Y900" s="643"/>
      <c r="Z900" s="643"/>
    </row>
    <row r="901" ht="11.25" customHeight="1">
      <c r="A901" s="646"/>
      <c r="B901" s="643"/>
      <c r="C901" s="644"/>
      <c r="D901" s="643"/>
      <c r="E901" s="643"/>
      <c r="F901" s="643"/>
      <c r="G901" s="643"/>
      <c r="H901" s="643"/>
      <c r="I901" s="643"/>
      <c r="J901" s="643"/>
      <c r="K901" s="643"/>
      <c r="L901" s="643"/>
      <c r="M901" s="643"/>
      <c r="N901" s="643"/>
      <c r="O901" s="643"/>
      <c r="P901" s="643"/>
      <c r="Q901" s="643"/>
      <c r="R901" s="643"/>
      <c r="S901" s="643"/>
      <c r="T901" s="643"/>
      <c r="U901" s="643"/>
      <c r="V901" s="643"/>
      <c r="W901" s="643"/>
      <c r="X901" s="643"/>
      <c r="Y901" s="643"/>
      <c r="Z901" s="643"/>
    </row>
    <row r="902" ht="11.25" customHeight="1">
      <c r="A902" s="646"/>
      <c r="B902" s="643"/>
      <c r="C902" s="644"/>
      <c r="D902" s="643"/>
      <c r="E902" s="643"/>
      <c r="F902" s="643"/>
      <c r="G902" s="643"/>
      <c r="H902" s="643"/>
      <c r="I902" s="643"/>
      <c r="J902" s="643"/>
      <c r="K902" s="643"/>
      <c r="L902" s="643"/>
      <c r="M902" s="643"/>
      <c r="N902" s="643"/>
      <c r="O902" s="643"/>
      <c r="P902" s="643"/>
      <c r="Q902" s="643"/>
      <c r="R902" s="643"/>
      <c r="S902" s="643"/>
      <c r="T902" s="643"/>
      <c r="U902" s="643"/>
      <c r="V902" s="643"/>
      <c r="W902" s="643"/>
      <c r="X902" s="643"/>
      <c r="Y902" s="643"/>
      <c r="Z902" s="643"/>
    </row>
    <row r="903" ht="11.25" customHeight="1">
      <c r="A903" s="646"/>
      <c r="B903" s="643"/>
      <c r="C903" s="644"/>
      <c r="D903" s="643"/>
      <c r="E903" s="643"/>
      <c r="F903" s="643"/>
      <c r="G903" s="643"/>
      <c r="H903" s="643"/>
      <c r="I903" s="643"/>
      <c r="J903" s="643"/>
      <c r="K903" s="643"/>
      <c r="L903" s="643"/>
      <c r="M903" s="643"/>
      <c r="N903" s="643"/>
      <c r="O903" s="643"/>
      <c r="P903" s="643"/>
      <c r="Q903" s="643"/>
      <c r="R903" s="643"/>
      <c r="S903" s="643"/>
      <c r="T903" s="643"/>
      <c r="U903" s="643"/>
      <c r="V903" s="643"/>
      <c r="W903" s="643"/>
      <c r="X903" s="643"/>
      <c r="Y903" s="643"/>
      <c r="Z903" s="643"/>
    </row>
    <row r="904" ht="11.25" customHeight="1">
      <c r="A904" s="646"/>
      <c r="B904" s="643"/>
      <c r="C904" s="644"/>
      <c r="D904" s="643"/>
      <c r="E904" s="643"/>
      <c r="F904" s="643"/>
      <c r="G904" s="643"/>
      <c r="H904" s="643"/>
      <c r="I904" s="643"/>
      <c r="J904" s="643"/>
      <c r="K904" s="643"/>
      <c r="L904" s="643"/>
      <c r="M904" s="643"/>
      <c r="N904" s="643"/>
      <c r="O904" s="643"/>
      <c r="P904" s="643"/>
      <c r="Q904" s="643"/>
      <c r="R904" s="643"/>
      <c r="S904" s="643"/>
      <c r="T904" s="643"/>
      <c r="U904" s="643"/>
      <c r="V904" s="643"/>
      <c r="W904" s="643"/>
      <c r="X904" s="643"/>
      <c r="Y904" s="643"/>
      <c r="Z904" s="643"/>
    </row>
    <row r="905" ht="11.25" customHeight="1">
      <c r="A905" s="646"/>
      <c r="B905" s="643"/>
      <c r="C905" s="644"/>
      <c r="D905" s="643"/>
      <c r="E905" s="643"/>
      <c r="F905" s="643"/>
      <c r="G905" s="643"/>
      <c r="H905" s="643"/>
      <c r="I905" s="643"/>
      <c r="J905" s="643"/>
      <c r="K905" s="643"/>
      <c r="L905" s="643"/>
      <c r="M905" s="643"/>
      <c r="N905" s="643"/>
      <c r="O905" s="643"/>
      <c r="P905" s="643"/>
      <c r="Q905" s="643"/>
      <c r="R905" s="643"/>
      <c r="S905" s="643"/>
      <c r="T905" s="643"/>
      <c r="U905" s="643"/>
      <c r="V905" s="643"/>
      <c r="W905" s="643"/>
      <c r="X905" s="643"/>
      <c r="Y905" s="643"/>
      <c r="Z905" s="643"/>
    </row>
    <row r="906" ht="11.25" customHeight="1">
      <c r="A906" s="646"/>
      <c r="B906" s="643"/>
      <c r="C906" s="644"/>
      <c r="D906" s="643"/>
      <c r="E906" s="643"/>
      <c r="F906" s="643"/>
      <c r="G906" s="643"/>
      <c r="H906" s="643"/>
      <c r="I906" s="643"/>
      <c r="J906" s="643"/>
      <c r="K906" s="643"/>
      <c r="L906" s="643"/>
      <c r="M906" s="643"/>
      <c r="N906" s="643"/>
      <c r="O906" s="643"/>
      <c r="P906" s="643"/>
      <c r="Q906" s="643"/>
      <c r="R906" s="643"/>
      <c r="S906" s="643"/>
      <c r="T906" s="643"/>
      <c r="U906" s="643"/>
      <c r="V906" s="643"/>
      <c r="W906" s="643"/>
      <c r="X906" s="643"/>
      <c r="Y906" s="643"/>
      <c r="Z906" s="643"/>
    </row>
    <row r="907" ht="11.25" customHeight="1">
      <c r="A907" s="646"/>
      <c r="B907" s="643"/>
      <c r="C907" s="644"/>
      <c r="D907" s="643"/>
      <c r="E907" s="643"/>
      <c r="F907" s="643"/>
      <c r="G907" s="643"/>
      <c r="H907" s="643"/>
      <c r="I907" s="643"/>
      <c r="J907" s="643"/>
      <c r="K907" s="643"/>
      <c r="L907" s="643"/>
      <c r="M907" s="643"/>
      <c r="N907" s="643"/>
      <c r="O907" s="643"/>
      <c r="P907" s="643"/>
      <c r="Q907" s="643"/>
      <c r="R907" s="643"/>
      <c r="S907" s="643"/>
      <c r="T907" s="643"/>
      <c r="U907" s="643"/>
      <c r="V907" s="643"/>
      <c r="W907" s="643"/>
      <c r="X907" s="643"/>
      <c r="Y907" s="643"/>
      <c r="Z907" s="643"/>
    </row>
    <row r="908" ht="11.25" customHeight="1">
      <c r="A908" s="646"/>
      <c r="B908" s="643"/>
      <c r="C908" s="644"/>
      <c r="D908" s="643"/>
      <c r="E908" s="643"/>
      <c r="F908" s="643"/>
      <c r="G908" s="643"/>
      <c r="H908" s="643"/>
      <c r="I908" s="643"/>
      <c r="J908" s="643"/>
      <c r="K908" s="643"/>
      <c r="L908" s="643"/>
      <c r="M908" s="643"/>
      <c r="N908" s="643"/>
      <c r="O908" s="643"/>
      <c r="P908" s="643"/>
      <c r="Q908" s="643"/>
      <c r="R908" s="643"/>
      <c r="S908" s="643"/>
      <c r="T908" s="643"/>
      <c r="U908" s="643"/>
      <c r="V908" s="643"/>
      <c r="W908" s="643"/>
      <c r="X908" s="643"/>
      <c r="Y908" s="643"/>
      <c r="Z908" s="643"/>
    </row>
    <row r="909" ht="11.25" customHeight="1">
      <c r="A909" s="646"/>
      <c r="B909" s="643"/>
      <c r="C909" s="644"/>
      <c r="D909" s="643"/>
      <c r="E909" s="643"/>
      <c r="F909" s="643"/>
      <c r="G909" s="643"/>
      <c r="H909" s="643"/>
      <c r="I909" s="643"/>
      <c r="J909" s="643"/>
      <c r="K909" s="643"/>
      <c r="L909" s="643"/>
      <c r="M909" s="643"/>
      <c r="N909" s="643"/>
      <c r="O909" s="643"/>
      <c r="P909" s="643"/>
      <c r="Q909" s="643"/>
      <c r="R909" s="643"/>
      <c r="S909" s="643"/>
      <c r="T909" s="643"/>
      <c r="U909" s="643"/>
      <c r="V909" s="643"/>
      <c r="W909" s="643"/>
      <c r="X909" s="643"/>
      <c r="Y909" s="643"/>
      <c r="Z909" s="643"/>
    </row>
    <row r="910" ht="11.25" customHeight="1">
      <c r="A910" s="646"/>
      <c r="B910" s="643"/>
      <c r="C910" s="644"/>
      <c r="D910" s="643"/>
      <c r="E910" s="643"/>
      <c r="F910" s="643"/>
      <c r="G910" s="643"/>
      <c r="H910" s="643"/>
      <c r="I910" s="643"/>
      <c r="J910" s="643"/>
      <c r="K910" s="643"/>
      <c r="L910" s="643"/>
      <c r="M910" s="643"/>
      <c r="N910" s="643"/>
      <c r="O910" s="643"/>
      <c r="P910" s="643"/>
      <c r="Q910" s="643"/>
      <c r="R910" s="643"/>
      <c r="S910" s="643"/>
      <c r="T910" s="643"/>
      <c r="U910" s="643"/>
      <c r="V910" s="643"/>
      <c r="W910" s="643"/>
      <c r="X910" s="643"/>
      <c r="Y910" s="643"/>
      <c r="Z910" s="643"/>
    </row>
    <row r="911" ht="11.25" customHeight="1">
      <c r="A911" s="646"/>
      <c r="B911" s="643"/>
      <c r="C911" s="644"/>
      <c r="D911" s="643"/>
      <c r="E911" s="643"/>
      <c r="F911" s="643"/>
      <c r="G911" s="643"/>
      <c r="H911" s="643"/>
      <c r="I911" s="643"/>
      <c r="J911" s="643"/>
      <c r="K911" s="643"/>
      <c r="L911" s="643"/>
      <c r="M911" s="643"/>
      <c r="N911" s="643"/>
      <c r="O911" s="643"/>
      <c r="P911" s="643"/>
      <c r="Q911" s="643"/>
      <c r="R911" s="643"/>
      <c r="S911" s="643"/>
      <c r="T911" s="643"/>
      <c r="U911" s="643"/>
      <c r="V911" s="643"/>
      <c r="W911" s="643"/>
      <c r="X911" s="643"/>
      <c r="Y911" s="643"/>
      <c r="Z911" s="643"/>
    </row>
    <row r="912" ht="11.25" customHeight="1">
      <c r="A912" s="646"/>
      <c r="B912" s="643"/>
      <c r="C912" s="644"/>
      <c r="D912" s="643"/>
      <c r="E912" s="643"/>
      <c r="F912" s="643"/>
      <c r="G912" s="643"/>
      <c r="H912" s="643"/>
      <c r="I912" s="643"/>
      <c r="J912" s="643"/>
      <c r="K912" s="643"/>
      <c r="L912" s="643"/>
      <c r="M912" s="643"/>
      <c r="N912" s="643"/>
      <c r="O912" s="643"/>
      <c r="P912" s="643"/>
      <c r="Q912" s="643"/>
      <c r="R912" s="643"/>
      <c r="S912" s="643"/>
      <c r="T912" s="643"/>
      <c r="U912" s="643"/>
      <c r="V912" s="643"/>
      <c r="W912" s="643"/>
      <c r="X912" s="643"/>
      <c r="Y912" s="643"/>
      <c r="Z912" s="643"/>
    </row>
    <row r="913" ht="11.25" customHeight="1">
      <c r="A913" s="646"/>
      <c r="B913" s="643"/>
      <c r="C913" s="644"/>
      <c r="D913" s="643"/>
      <c r="E913" s="643"/>
      <c r="F913" s="643"/>
      <c r="G913" s="643"/>
      <c r="H913" s="643"/>
      <c r="I913" s="643"/>
      <c r="J913" s="643"/>
      <c r="K913" s="643"/>
      <c r="L913" s="643"/>
      <c r="M913" s="643"/>
      <c r="N913" s="643"/>
      <c r="O913" s="643"/>
      <c r="P913" s="643"/>
      <c r="Q913" s="643"/>
      <c r="R913" s="643"/>
      <c r="S913" s="643"/>
      <c r="T913" s="643"/>
      <c r="U913" s="643"/>
      <c r="V913" s="643"/>
      <c r="W913" s="643"/>
      <c r="X913" s="643"/>
      <c r="Y913" s="643"/>
      <c r="Z913" s="643"/>
    </row>
    <row r="914" ht="11.25" customHeight="1">
      <c r="A914" s="646"/>
      <c r="B914" s="643"/>
      <c r="C914" s="644"/>
      <c r="D914" s="643"/>
      <c r="E914" s="643"/>
      <c r="F914" s="643"/>
      <c r="G914" s="643"/>
      <c r="H914" s="643"/>
      <c r="I914" s="643"/>
      <c r="J914" s="643"/>
      <c r="K914" s="643"/>
      <c r="L914" s="643"/>
      <c r="M914" s="643"/>
      <c r="N914" s="643"/>
      <c r="O914" s="643"/>
      <c r="P914" s="643"/>
      <c r="Q914" s="643"/>
      <c r="R914" s="643"/>
      <c r="S914" s="643"/>
      <c r="T914" s="643"/>
      <c r="U914" s="643"/>
      <c r="V914" s="643"/>
      <c r="W914" s="643"/>
      <c r="X914" s="643"/>
      <c r="Y914" s="643"/>
      <c r="Z914" s="643"/>
    </row>
    <row r="915" ht="11.25" customHeight="1">
      <c r="A915" s="646"/>
      <c r="B915" s="643"/>
      <c r="C915" s="644"/>
      <c r="D915" s="643"/>
      <c r="E915" s="643"/>
      <c r="F915" s="643"/>
      <c r="G915" s="643"/>
      <c r="H915" s="643"/>
      <c r="I915" s="643"/>
      <c r="J915" s="643"/>
      <c r="K915" s="643"/>
      <c r="L915" s="643"/>
      <c r="M915" s="643"/>
      <c r="N915" s="643"/>
      <c r="O915" s="643"/>
      <c r="P915" s="643"/>
      <c r="Q915" s="643"/>
      <c r="R915" s="643"/>
      <c r="S915" s="643"/>
      <c r="T915" s="643"/>
      <c r="U915" s="643"/>
      <c r="V915" s="643"/>
      <c r="W915" s="643"/>
      <c r="X915" s="643"/>
      <c r="Y915" s="643"/>
      <c r="Z915" s="643"/>
    </row>
    <row r="916" ht="11.25" customHeight="1">
      <c r="A916" s="646"/>
      <c r="B916" s="643"/>
      <c r="C916" s="644"/>
      <c r="D916" s="643"/>
      <c r="E916" s="643"/>
      <c r="F916" s="643"/>
      <c r="G916" s="643"/>
      <c r="H916" s="643"/>
      <c r="I916" s="643"/>
      <c r="J916" s="643"/>
      <c r="K916" s="643"/>
      <c r="L916" s="643"/>
      <c r="M916" s="643"/>
      <c r="N916" s="643"/>
      <c r="O916" s="643"/>
      <c r="P916" s="643"/>
      <c r="Q916" s="643"/>
      <c r="R916" s="643"/>
      <c r="S916" s="643"/>
      <c r="T916" s="643"/>
      <c r="U916" s="643"/>
      <c r="V916" s="643"/>
      <c r="W916" s="643"/>
      <c r="X916" s="643"/>
      <c r="Y916" s="643"/>
      <c r="Z916" s="643"/>
    </row>
    <row r="917" ht="11.25" customHeight="1">
      <c r="A917" s="646"/>
      <c r="B917" s="643"/>
      <c r="C917" s="644"/>
      <c r="D917" s="643"/>
      <c r="E917" s="643"/>
      <c r="F917" s="643"/>
      <c r="G917" s="643"/>
      <c r="H917" s="643"/>
      <c r="I917" s="643"/>
      <c r="J917" s="643"/>
      <c r="K917" s="643"/>
      <c r="L917" s="643"/>
      <c r="M917" s="643"/>
      <c r="N917" s="643"/>
      <c r="O917" s="643"/>
      <c r="P917" s="643"/>
      <c r="Q917" s="643"/>
      <c r="R917" s="643"/>
      <c r="S917" s="643"/>
      <c r="T917" s="643"/>
      <c r="U917" s="643"/>
      <c r="V917" s="643"/>
      <c r="W917" s="643"/>
      <c r="X917" s="643"/>
      <c r="Y917" s="643"/>
      <c r="Z917" s="643"/>
    </row>
    <row r="918" ht="11.25" customHeight="1">
      <c r="A918" s="646"/>
      <c r="B918" s="643"/>
      <c r="C918" s="644"/>
      <c r="D918" s="643"/>
      <c r="E918" s="643"/>
      <c r="F918" s="643"/>
      <c r="G918" s="643"/>
      <c r="H918" s="643"/>
      <c r="I918" s="643"/>
      <c r="J918" s="643"/>
      <c r="K918" s="643"/>
      <c r="L918" s="643"/>
      <c r="M918" s="643"/>
      <c r="N918" s="643"/>
      <c r="O918" s="643"/>
      <c r="P918" s="643"/>
      <c r="Q918" s="643"/>
      <c r="R918" s="643"/>
      <c r="S918" s="643"/>
      <c r="T918" s="643"/>
      <c r="U918" s="643"/>
      <c r="V918" s="643"/>
      <c r="W918" s="643"/>
      <c r="X918" s="643"/>
      <c r="Y918" s="643"/>
      <c r="Z918" s="643"/>
    </row>
    <row r="919" ht="11.25" customHeight="1">
      <c r="A919" s="646"/>
      <c r="B919" s="643"/>
      <c r="C919" s="644"/>
      <c r="D919" s="643"/>
      <c r="E919" s="643"/>
      <c r="F919" s="643"/>
      <c r="G919" s="643"/>
      <c r="H919" s="643"/>
      <c r="I919" s="643"/>
      <c r="J919" s="643"/>
      <c r="K919" s="643"/>
      <c r="L919" s="643"/>
      <c r="M919" s="643"/>
      <c r="N919" s="643"/>
      <c r="O919" s="643"/>
      <c r="P919" s="643"/>
      <c r="Q919" s="643"/>
      <c r="R919" s="643"/>
      <c r="S919" s="643"/>
      <c r="T919" s="643"/>
      <c r="U919" s="643"/>
      <c r="V919" s="643"/>
      <c r="W919" s="643"/>
      <c r="X919" s="643"/>
      <c r="Y919" s="643"/>
      <c r="Z919" s="643"/>
    </row>
    <row r="920" ht="11.25" customHeight="1">
      <c r="A920" s="646"/>
      <c r="B920" s="643"/>
      <c r="C920" s="644"/>
      <c r="D920" s="643"/>
      <c r="E920" s="643"/>
      <c r="F920" s="643"/>
      <c r="G920" s="643"/>
      <c r="H920" s="643"/>
      <c r="I920" s="643"/>
      <c r="J920" s="643"/>
      <c r="K920" s="643"/>
      <c r="L920" s="643"/>
      <c r="M920" s="643"/>
      <c r="N920" s="643"/>
      <c r="O920" s="643"/>
      <c r="P920" s="643"/>
      <c r="Q920" s="643"/>
      <c r="R920" s="643"/>
      <c r="S920" s="643"/>
      <c r="T920" s="643"/>
      <c r="U920" s="643"/>
      <c r="V920" s="643"/>
      <c r="W920" s="643"/>
      <c r="X920" s="643"/>
      <c r="Y920" s="643"/>
      <c r="Z920" s="643"/>
    </row>
    <row r="921" ht="11.25" customHeight="1">
      <c r="A921" s="646"/>
      <c r="B921" s="643"/>
      <c r="C921" s="644"/>
      <c r="D921" s="643"/>
      <c r="E921" s="643"/>
      <c r="F921" s="643"/>
      <c r="G921" s="643"/>
      <c r="H921" s="643"/>
      <c r="I921" s="643"/>
      <c r="J921" s="643"/>
      <c r="K921" s="643"/>
      <c r="L921" s="643"/>
      <c r="M921" s="643"/>
      <c r="N921" s="643"/>
      <c r="O921" s="643"/>
      <c r="P921" s="643"/>
      <c r="Q921" s="643"/>
      <c r="R921" s="643"/>
      <c r="S921" s="643"/>
      <c r="T921" s="643"/>
      <c r="U921" s="643"/>
      <c r="V921" s="643"/>
      <c r="W921" s="643"/>
      <c r="X921" s="643"/>
      <c r="Y921" s="643"/>
      <c r="Z921" s="643"/>
    </row>
    <row r="922" ht="11.25" customHeight="1">
      <c r="A922" s="646"/>
      <c r="B922" s="643"/>
      <c r="C922" s="644"/>
      <c r="D922" s="643"/>
      <c r="E922" s="643"/>
      <c r="F922" s="643"/>
      <c r="G922" s="643"/>
      <c r="H922" s="643"/>
      <c r="I922" s="643"/>
      <c r="J922" s="643"/>
      <c r="K922" s="643"/>
      <c r="L922" s="643"/>
      <c r="M922" s="643"/>
      <c r="N922" s="643"/>
      <c r="O922" s="643"/>
      <c r="P922" s="643"/>
      <c r="Q922" s="643"/>
      <c r="R922" s="643"/>
      <c r="S922" s="643"/>
      <c r="T922" s="643"/>
      <c r="U922" s="643"/>
      <c r="V922" s="643"/>
      <c r="W922" s="643"/>
      <c r="X922" s="643"/>
      <c r="Y922" s="643"/>
      <c r="Z922" s="643"/>
    </row>
    <row r="923" ht="11.25" customHeight="1">
      <c r="A923" s="646"/>
      <c r="B923" s="643"/>
      <c r="C923" s="644"/>
      <c r="D923" s="643"/>
      <c r="E923" s="643"/>
      <c r="F923" s="643"/>
      <c r="G923" s="643"/>
      <c r="H923" s="643"/>
      <c r="I923" s="643"/>
      <c r="J923" s="643"/>
      <c r="K923" s="643"/>
      <c r="L923" s="643"/>
      <c r="M923" s="643"/>
      <c r="N923" s="643"/>
      <c r="O923" s="643"/>
      <c r="P923" s="643"/>
      <c r="Q923" s="643"/>
      <c r="R923" s="643"/>
      <c r="S923" s="643"/>
      <c r="T923" s="643"/>
      <c r="U923" s="643"/>
      <c r="V923" s="643"/>
      <c r="W923" s="643"/>
      <c r="X923" s="643"/>
      <c r="Y923" s="643"/>
      <c r="Z923" s="643"/>
    </row>
    <row r="924" ht="11.25" customHeight="1">
      <c r="A924" s="646"/>
      <c r="B924" s="643"/>
      <c r="C924" s="644"/>
      <c r="D924" s="643"/>
      <c r="E924" s="643"/>
      <c r="F924" s="643"/>
      <c r="G924" s="643"/>
      <c r="H924" s="643"/>
      <c r="I924" s="643"/>
      <c r="J924" s="643"/>
      <c r="K924" s="643"/>
      <c r="L924" s="643"/>
      <c r="M924" s="643"/>
      <c r="N924" s="643"/>
      <c r="O924" s="643"/>
      <c r="P924" s="643"/>
      <c r="Q924" s="643"/>
      <c r="R924" s="643"/>
      <c r="S924" s="643"/>
      <c r="T924" s="643"/>
      <c r="U924" s="643"/>
      <c r="V924" s="643"/>
      <c r="W924" s="643"/>
      <c r="X924" s="643"/>
      <c r="Y924" s="643"/>
      <c r="Z924" s="643"/>
    </row>
    <row r="925" ht="11.25" customHeight="1">
      <c r="A925" s="646"/>
      <c r="B925" s="643"/>
      <c r="C925" s="644"/>
      <c r="D925" s="643"/>
      <c r="E925" s="643"/>
      <c r="F925" s="643"/>
      <c r="G925" s="643"/>
      <c r="H925" s="643"/>
      <c r="I925" s="643"/>
      <c r="J925" s="643"/>
      <c r="K925" s="643"/>
      <c r="L925" s="643"/>
      <c r="M925" s="643"/>
      <c r="N925" s="643"/>
      <c r="O925" s="643"/>
      <c r="P925" s="643"/>
      <c r="Q925" s="643"/>
      <c r="R925" s="643"/>
      <c r="S925" s="643"/>
      <c r="T925" s="643"/>
      <c r="U925" s="643"/>
      <c r="V925" s="643"/>
      <c r="W925" s="643"/>
      <c r="X925" s="643"/>
      <c r="Y925" s="643"/>
      <c r="Z925" s="643"/>
    </row>
    <row r="926" ht="11.25" customHeight="1">
      <c r="A926" s="646"/>
      <c r="B926" s="643"/>
      <c r="C926" s="644"/>
      <c r="D926" s="643"/>
      <c r="E926" s="643"/>
      <c r="F926" s="643"/>
      <c r="G926" s="643"/>
      <c r="H926" s="643"/>
      <c r="I926" s="643"/>
      <c r="J926" s="643"/>
      <c r="K926" s="643"/>
      <c r="L926" s="643"/>
      <c r="M926" s="643"/>
      <c r="N926" s="643"/>
      <c r="O926" s="643"/>
      <c r="P926" s="643"/>
      <c r="Q926" s="643"/>
      <c r="R926" s="643"/>
      <c r="S926" s="643"/>
      <c r="T926" s="643"/>
      <c r="U926" s="643"/>
      <c r="V926" s="643"/>
      <c r="W926" s="643"/>
      <c r="X926" s="643"/>
      <c r="Y926" s="643"/>
      <c r="Z926" s="643"/>
    </row>
    <row r="927" ht="11.25" customHeight="1">
      <c r="A927" s="646"/>
      <c r="B927" s="643"/>
      <c r="C927" s="644"/>
      <c r="D927" s="643"/>
      <c r="E927" s="643"/>
      <c r="F927" s="643"/>
      <c r="G927" s="643"/>
      <c r="H927" s="643"/>
      <c r="I927" s="643"/>
      <c r="J927" s="643"/>
      <c r="K927" s="643"/>
      <c r="L927" s="643"/>
      <c r="M927" s="643"/>
      <c r="N927" s="643"/>
      <c r="O927" s="643"/>
      <c r="P927" s="643"/>
      <c r="Q927" s="643"/>
      <c r="R927" s="643"/>
      <c r="S927" s="643"/>
      <c r="T927" s="643"/>
      <c r="U927" s="643"/>
      <c r="V927" s="643"/>
      <c r="W927" s="643"/>
      <c r="X927" s="643"/>
      <c r="Y927" s="643"/>
      <c r="Z927" s="643"/>
    </row>
    <row r="928" ht="11.25" customHeight="1">
      <c r="A928" s="646"/>
      <c r="B928" s="643"/>
      <c r="C928" s="644"/>
      <c r="D928" s="643"/>
      <c r="E928" s="643"/>
      <c r="F928" s="643"/>
      <c r="G928" s="643"/>
      <c r="H928" s="643"/>
      <c r="I928" s="643"/>
      <c r="J928" s="643"/>
      <c r="K928" s="643"/>
      <c r="L928" s="643"/>
      <c r="M928" s="643"/>
      <c r="N928" s="643"/>
      <c r="O928" s="643"/>
      <c r="P928" s="643"/>
      <c r="Q928" s="643"/>
      <c r="R928" s="643"/>
      <c r="S928" s="643"/>
      <c r="T928" s="643"/>
      <c r="U928" s="643"/>
      <c r="V928" s="643"/>
      <c r="W928" s="643"/>
      <c r="X928" s="643"/>
      <c r="Y928" s="643"/>
      <c r="Z928" s="643"/>
    </row>
    <row r="929" ht="11.25" customHeight="1">
      <c r="A929" s="646"/>
      <c r="B929" s="643"/>
      <c r="C929" s="644"/>
      <c r="D929" s="643"/>
      <c r="E929" s="643"/>
      <c r="F929" s="643"/>
      <c r="G929" s="643"/>
      <c r="H929" s="643"/>
      <c r="I929" s="643"/>
      <c r="J929" s="643"/>
      <c r="K929" s="643"/>
      <c r="L929" s="643"/>
      <c r="M929" s="643"/>
      <c r="N929" s="643"/>
      <c r="O929" s="643"/>
      <c r="P929" s="643"/>
      <c r="Q929" s="643"/>
      <c r="R929" s="643"/>
      <c r="S929" s="643"/>
      <c r="T929" s="643"/>
      <c r="U929" s="643"/>
      <c r="V929" s="643"/>
      <c r="W929" s="643"/>
      <c r="X929" s="643"/>
      <c r="Y929" s="643"/>
      <c r="Z929" s="643"/>
    </row>
    <row r="930" ht="11.25" customHeight="1">
      <c r="A930" s="646"/>
      <c r="B930" s="643"/>
      <c r="C930" s="644"/>
      <c r="D930" s="643"/>
      <c r="E930" s="643"/>
      <c r="F930" s="643"/>
      <c r="G930" s="643"/>
      <c r="H930" s="643"/>
      <c r="I930" s="643"/>
      <c r="J930" s="643"/>
      <c r="K930" s="643"/>
      <c r="L930" s="643"/>
      <c r="M930" s="643"/>
      <c r="N930" s="643"/>
      <c r="O930" s="643"/>
      <c r="P930" s="643"/>
      <c r="Q930" s="643"/>
      <c r="R930" s="643"/>
      <c r="S930" s="643"/>
      <c r="T930" s="643"/>
      <c r="U930" s="643"/>
      <c r="V930" s="643"/>
      <c r="W930" s="643"/>
      <c r="X930" s="643"/>
      <c r="Y930" s="643"/>
      <c r="Z930" s="643"/>
    </row>
    <row r="931" ht="11.25" customHeight="1">
      <c r="A931" s="646"/>
      <c r="B931" s="643"/>
      <c r="C931" s="644"/>
      <c r="D931" s="643"/>
      <c r="E931" s="643"/>
      <c r="F931" s="643"/>
      <c r="G931" s="643"/>
      <c r="H931" s="643"/>
      <c r="I931" s="643"/>
      <c r="J931" s="643"/>
      <c r="K931" s="643"/>
      <c r="L931" s="643"/>
      <c r="M931" s="643"/>
      <c r="N931" s="643"/>
      <c r="O931" s="643"/>
      <c r="P931" s="643"/>
      <c r="Q931" s="643"/>
      <c r="R931" s="643"/>
      <c r="S931" s="643"/>
      <c r="T931" s="643"/>
      <c r="U931" s="643"/>
      <c r="V931" s="643"/>
      <c r="W931" s="643"/>
      <c r="X931" s="643"/>
      <c r="Y931" s="643"/>
      <c r="Z931" s="643"/>
    </row>
    <row r="932" ht="11.25" customHeight="1">
      <c r="A932" s="646"/>
      <c r="B932" s="643"/>
      <c r="C932" s="644"/>
      <c r="D932" s="643"/>
      <c r="E932" s="643"/>
      <c r="F932" s="643"/>
      <c r="G932" s="643"/>
      <c r="H932" s="643"/>
      <c r="I932" s="643"/>
      <c r="J932" s="643"/>
      <c r="K932" s="643"/>
      <c r="L932" s="643"/>
      <c r="M932" s="643"/>
      <c r="N932" s="643"/>
      <c r="O932" s="643"/>
      <c r="P932" s="643"/>
      <c r="Q932" s="643"/>
      <c r="R932" s="643"/>
      <c r="S932" s="643"/>
      <c r="T932" s="643"/>
      <c r="U932" s="643"/>
      <c r="V932" s="643"/>
      <c r="W932" s="643"/>
      <c r="X932" s="643"/>
      <c r="Y932" s="643"/>
      <c r="Z932" s="643"/>
    </row>
    <row r="933" ht="11.25" customHeight="1">
      <c r="A933" s="646"/>
      <c r="B933" s="643"/>
      <c r="C933" s="644"/>
      <c r="D933" s="643"/>
      <c r="E933" s="643"/>
      <c r="F933" s="643"/>
      <c r="G933" s="643"/>
      <c r="H933" s="643"/>
      <c r="I933" s="643"/>
      <c r="J933" s="643"/>
      <c r="K933" s="643"/>
      <c r="L933" s="643"/>
      <c r="M933" s="643"/>
      <c r="N933" s="643"/>
      <c r="O933" s="643"/>
      <c r="P933" s="643"/>
      <c r="Q933" s="643"/>
      <c r="R933" s="643"/>
      <c r="S933" s="643"/>
      <c r="T933" s="643"/>
      <c r="U933" s="643"/>
      <c r="V933" s="643"/>
      <c r="W933" s="643"/>
      <c r="X933" s="643"/>
      <c r="Y933" s="643"/>
      <c r="Z933" s="643"/>
    </row>
    <row r="934" ht="11.25" customHeight="1">
      <c r="A934" s="646"/>
      <c r="B934" s="643"/>
      <c r="C934" s="644"/>
      <c r="D934" s="643"/>
      <c r="E934" s="643"/>
      <c r="F934" s="643"/>
      <c r="G934" s="643"/>
      <c r="H934" s="643"/>
      <c r="I934" s="643"/>
      <c r="J934" s="643"/>
      <c r="K934" s="643"/>
      <c r="L934" s="643"/>
      <c r="M934" s="643"/>
      <c r="N934" s="643"/>
      <c r="O934" s="643"/>
      <c r="P934" s="643"/>
      <c r="Q934" s="643"/>
      <c r="R934" s="643"/>
      <c r="S934" s="643"/>
      <c r="T934" s="643"/>
      <c r="U934" s="643"/>
      <c r="V934" s="643"/>
      <c r="W934" s="643"/>
      <c r="X934" s="643"/>
      <c r="Y934" s="643"/>
      <c r="Z934" s="643"/>
    </row>
    <row r="935" ht="11.25" customHeight="1">
      <c r="A935" s="646"/>
      <c r="B935" s="643"/>
      <c r="C935" s="644"/>
      <c r="D935" s="643"/>
      <c r="E935" s="643"/>
      <c r="F935" s="643"/>
      <c r="G935" s="643"/>
      <c r="H935" s="643"/>
      <c r="I935" s="643"/>
      <c r="J935" s="643"/>
      <c r="K935" s="643"/>
      <c r="L935" s="643"/>
      <c r="M935" s="643"/>
      <c r="N935" s="643"/>
      <c r="O935" s="643"/>
      <c r="P935" s="643"/>
      <c r="Q935" s="643"/>
      <c r="R935" s="643"/>
      <c r="S935" s="643"/>
      <c r="T935" s="643"/>
      <c r="U935" s="643"/>
      <c r="V935" s="643"/>
      <c r="W935" s="643"/>
      <c r="X935" s="643"/>
      <c r="Y935" s="643"/>
      <c r="Z935" s="643"/>
    </row>
    <row r="936" ht="11.25" customHeight="1">
      <c r="A936" s="646"/>
      <c r="B936" s="643"/>
      <c r="C936" s="644"/>
      <c r="D936" s="643"/>
      <c r="E936" s="643"/>
      <c r="F936" s="643"/>
      <c r="G936" s="643"/>
      <c r="H936" s="643"/>
      <c r="I936" s="643"/>
      <c r="J936" s="643"/>
      <c r="K936" s="643"/>
      <c r="L936" s="643"/>
      <c r="M936" s="643"/>
      <c r="N936" s="643"/>
      <c r="O936" s="643"/>
      <c r="P936" s="643"/>
      <c r="Q936" s="643"/>
      <c r="R936" s="643"/>
      <c r="S936" s="643"/>
      <c r="T936" s="643"/>
      <c r="U936" s="643"/>
      <c r="V936" s="643"/>
      <c r="W936" s="643"/>
      <c r="X936" s="643"/>
      <c r="Y936" s="643"/>
      <c r="Z936" s="643"/>
    </row>
    <row r="937" ht="11.25" customHeight="1">
      <c r="A937" s="646"/>
      <c r="B937" s="643"/>
      <c r="C937" s="644"/>
      <c r="D937" s="643"/>
      <c r="E937" s="643"/>
      <c r="F937" s="643"/>
      <c r="G937" s="643"/>
      <c r="H937" s="643"/>
      <c r="I937" s="643"/>
      <c r="J937" s="643"/>
      <c r="K937" s="643"/>
      <c r="L937" s="643"/>
      <c r="M937" s="643"/>
      <c r="N937" s="643"/>
      <c r="O937" s="643"/>
      <c r="P937" s="643"/>
      <c r="Q937" s="643"/>
      <c r="R937" s="643"/>
      <c r="S937" s="643"/>
      <c r="T937" s="643"/>
      <c r="U937" s="643"/>
      <c r="V937" s="643"/>
      <c r="W937" s="643"/>
      <c r="X937" s="643"/>
      <c r="Y937" s="643"/>
      <c r="Z937" s="643"/>
    </row>
    <row r="938" ht="11.25" customHeight="1">
      <c r="A938" s="646"/>
      <c r="B938" s="643"/>
      <c r="C938" s="644"/>
      <c r="D938" s="643"/>
      <c r="E938" s="643"/>
      <c r="F938" s="643"/>
      <c r="G938" s="643"/>
      <c r="H938" s="643"/>
      <c r="I938" s="643"/>
      <c r="J938" s="643"/>
      <c r="K938" s="643"/>
      <c r="L938" s="643"/>
      <c r="M938" s="643"/>
      <c r="N938" s="643"/>
      <c r="O938" s="643"/>
      <c r="P938" s="643"/>
      <c r="Q938" s="643"/>
      <c r="R938" s="643"/>
      <c r="S938" s="643"/>
      <c r="T938" s="643"/>
      <c r="U938" s="643"/>
      <c r="V938" s="643"/>
      <c r="W938" s="643"/>
      <c r="X938" s="643"/>
      <c r="Y938" s="643"/>
      <c r="Z938" s="643"/>
    </row>
    <row r="939" ht="11.25" customHeight="1">
      <c r="A939" s="646"/>
      <c r="B939" s="643"/>
      <c r="C939" s="644"/>
      <c r="D939" s="643"/>
      <c r="E939" s="643"/>
      <c r="F939" s="643"/>
      <c r="G939" s="643"/>
      <c r="H939" s="643"/>
      <c r="I939" s="643"/>
      <c r="J939" s="643"/>
      <c r="K939" s="643"/>
      <c r="L939" s="643"/>
      <c r="M939" s="643"/>
      <c r="N939" s="643"/>
      <c r="O939" s="643"/>
      <c r="P939" s="643"/>
      <c r="Q939" s="643"/>
      <c r="R939" s="643"/>
      <c r="S939" s="643"/>
      <c r="T939" s="643"/>
      <c r="U939" s="643"/>
      <c r="V939" s="643"/>
      <c r="W939" s="643"/>
      <c r="X939" s="643"/>
      <c r="Y939" s="643"/>
      <c r="Z939" s="643"/>
    </row>
    <row r="940" ht="11.25" customHeight="1">
      <c r="A940" s="646"/>
      <c r="B940" s="643"/>
      <c r="C940" s="644"/>
      <c r="D940" s="643"/>
      <c r="E940" s="643"/>
      <c r="F940" s="643"/>
      <c r="G940" s="643"/>
      <c r="H940" s="643"/>
      <c r="I940" s="643"/>
      <c r="J940" s="643"/>
      <c r="K940" s="643"/>
      <c r="L940" s="643"/>
      <c r="M940" s="643"/>
      <c r="N940" s="643"/>
      <c r="O940" s="643"/>
      <c r="P940" s="643"/>
      <c r="Q940" s="643"/>
      <c r="R940" s="643"/>
      <c r="S940" s="643"/>
      <c r="T940" s="643"/>
      <c r="U940" s="643"/>
      <c r="V940" s="643"/>
      <c r="W940" s="643"/>
      <c r="X940" s="643"/>
      <c r="Y940" s="643"/>
      <c r="Z940" s="643"/>
    </row>
    <row r="941" ht="11.25" customHeight="1">
      <c r="A941" s="646"/>
      <c r="B941" s="643"/>
      <c r="C941" s="644"/>
      <c r="D941" s="643"/>
      <c r="E941" s="643"/>
      <c r="F941" s="643"/>
      <c r="G941" s="643"/>
      <c r="H941" s="643"/>
      <c r="I941" s="643"/>
      <c r="J941" s="643"/>
      <c r="K941" s="643"/>
      <c r="L941" s="643"/>
      <c r="M941" s="643"/>
      <c r="N941" s="643"/>
      <c r="O941" s="643"/>
      <c r="P941" s="643"/>
      <c r="Q941" s="643"/>
      <c r="R941" s="643"/>
      <c r="S941" s="643"/>
      <c r="T941" s="643"/>
      <c r="U941" s="643"/>
      <c r="V941" s="643"/>
      <c r="W941" s="643"/>
      <c r="X941" s="643"/>
      <c r="Y941" s="643"/>
      <c r="Z941" s="643"/>
    </row>
    <row r="942" ht="11.25" customHeight="1">
      <c r="A942" s="646"/>
      <c r="B942" s="643"/>
      <c r="C942" s="644"/>
      <c r="D942" s="643"/>
      <c r="E942" s="643"/>
      <c r="F942" s="643"/>
      <c r="G942" s="643"/>
      <c r="H942" s="643"/>
      <c r="I942" s="643"/>
      <c r="J942" s="643"/>
      <c r="K942" s="643"/>
      <c r="L942" s="643"/>
      <c r="M942" s="643"/>
      <c r="N942" s="643"/>
      <c r="O942" s="643"/>
      <c r="P942" s="643"/>
      <c r="Q942" s="643"/>
      <c r="R942" s="643"/>
      <c r="S942" s="643"/>
      <c r="T942" s="643"/>
      <c r="U942" s="643"/>
      <c r="V942" s="643"/>
      <c r="W942" s="643"/>
      <c r="X942" s="643"/>
      <c r="Y942" s="643"/>
      <c r="Z942" s="643"/>
    </row>
    <row r="943" ht="11.25" customHeight="1">
      <c r="A943" s="646"/>
      <c r="B943" s="643"/>
      <c r="C943" s="644"/>
      <c r="D943" s="643"/>
      <c r="E943" s="643"/>
      <c r="F943" s="643"/>
      <c r="G943" s="643"/>
      <c r="H943" s="643"/>
      <c r="I943" s="643"/>
      <c r="J943" s="643"/>
      <c r="K943" s="643"/>
      <c r="L943" s="643"/>
      <c r="M943" s="643"/>
      <c r="N943" s="643"/>
      <c r="O943" s="643"/>
      <c r="P943" s="643"/>
      <c r="Q943" s="643"/>
      <c r="R943" s="643"/>
      <c r="S943" s="643"/>
      <c r="T943" s="643"/>
      <c r="U943" s="643"/>
      <c r="V943" s="643"/>
      <c r="W943" s="643"/>
      <c r="X943" s="643"/>
      <c r="Y943" s="643"/>
      <c r="Z943" s="643"/>
    </row>
    <row r="944" ht="11.25" customHeight="1">
      <c r="A944" s="646"/>
      <c r="B944" s="643"/>
      <c r="C944" s="644"/>
      <c r="D944" s="643"/>
      <c r="E944" s="643"/>
      <c r="F944" s="643"/>
      <c r="G944" s="643"/>
      <c r="H944" s="643"/>
      <c r="I944" s="643"/>
      <c r="J944" s="643"/>
      <c r="K944" s="643"/>
      <c r="L944" s="643"/>
      <c r="M944" s="643"/>
      <c r="N944" s="643"/>
      <c r="O944" s="643"/>
      <c r="P944" s="643"/>
      <c r="Q944" s="643"/>
      <c r="R944" s="643"/>
      <c r="S944" s="643"/>
      <c r="T944" s="643"/>
      <c r="U944" s="643"/>
      <c r="V944" s="643"/>
      <c r="W944" s="643"/>
      <c r="X944" s="643"/>
      <c r="Y944" s="643"/>
      <c r="Z944" s="643"/>
    </row>
    <row r="945" ht="11.25" customHeight="1">
      <c r="A945" s="646"/>
      <c r="B945" s="643"/>
      <c r="C945" s="644"/>
      <c r="D945" s="643"/>
      <c r="E945" s="643"/>
      <c r="F945" s="643"/>
      <c r="G945" s="643"/>
      <c r="H945" s="643"/>
      <c r="I945" s="643"/>
      <c r="J945" s="643"/>
      <c r="K945" s="643"/>
      <c r="L945" s="643"/>
      <c r="M945" s="643"/>
      <c r="N945" s="643"/>
      <c r="O945" s="643"/>
      <c r="P945" s="643"/>
      <c r="Q945" s="643"/>
      <c r="R945" s="643"/>
      <c r="S945" s="643"/>
      <c r="T945" s="643"/>
      <c r="U945" s="643"/>
      <c r="V945" s="643"/>
      <c r="W945" s="643"/>
      <c r="X945" s="643"/>
      <c r="Y945" s="643"/>
      <c r="Z945" s="643"/>
    </row>
    <row r="946" ht="11.25" customHeight="1">
      <c r="A946" s="646"/>
      <c r="B946" s="643"/>
      <c r="C946" s="644"/>
      <c r="D946" s="643"/>
      <c r="E946" s="643"/>
      <c r="F946" s="643"/>
      <c r="G946" s="643"/>
      <c r="H946" s="643"/>
      <c r="I946" s="643"/>
      <c r="J946" s="643"/>
      <c r="K946" s="643"/>
      <c r="L946" s="643"/>
      <c r="M946" s="643"/>
      <c r="N946" s="643"/>
      <c r="O946" s="643"/>
      <c r="P946" s="643"/>
      <c r="Q946" s="643"/>
      <c r="R946" s="643"/>
      <c r="S946" s="643"/>
      <c r="T946" s="643"/>
      <c r="U946" s="643"/>
      <c r="V946" s="643"/>
      <c r="W946" s="643"/>
      <c r="X946" s="643"/>
      <c r="Y946" s="643"/>
      <c r="Z946" s="643"/>
    </row>
    <row r="947" ht="11.25" customHeight="1">
      <c r="A947" s="646"/>
      <c r="B947" s="643"/>
      <c r="C947" s="644"/>
      <c r="D947" s="643"/>
      <c r="E947" s="643"/>
      <c r="F947" s="643"/>
      <c r="G947" s="643"/>
      <c r="H947" s="643"/>
      <c r="I947" s="643"/>
      <c r="J947" s="643"/>
      <c r="K947" s="643"/>
      <c r="L947" s="643"/>
      <c r="M947" s="643"/>
      <c r="N947" s="643"/>
      <c r="O947" s="643"/>
      <c r="P947" s="643"/>
      <c r="Q947" s="643"/>
      <c r="R947" s="643"/>
      <c r="S947" s="643"/>
      <c r="T947" s="643"/>
      <c r="U947" s="643"/>
      <c r="V947" s="643"/>
      <c r="W947" s="643"/>
      <c r="X947" s="643"/>
      <c r="Y947" s="643"/>
      <c r="Z947" s="643"/>
    </row>
    <row r="948" ht="11.25" customHeight="1">
      <c r="A948" s="646"/>
      <c r="B948" s="643"/>
      <c r="C948" s="644"/>
      <c r="D948" s="643"/>
      <c r="E948" s="643"/>
      <c r="F948" s="643"/>
      <c r="G948" s="643"/>
      <c r="H948" s="643"/>
      <c r="I948" s="643"/>
      <c r="J948" s="643"/>
      <c r="K948" s="643"/>
      <c r="L948" s="643"/>
      <c r="M948" s="643"/>
      <c r="N948" s="643"/>
      <c r="O948" s="643"/>
      <c r="P948" s="643"/>
      <c r="Q948" s="643"/>
      <c r="R948" s="643"/>
      <c r="S948" s="643"/>
      <c r="T948" s="643"/>
      <c r="U948" s="643"/>
      <c r="V948" s="643"/>
      <c r="W948" s="643"/>
      <c r="X948" s="643"/>
      <c r="Y948" s="643"/>
      <c r="Z948" s="643"/>
    </row>
    <row r="949" ht="11.25" customHeight="1">
      <c r="A949" s="646"/>
      <c r="B949" s="643"/>
      <c r="C949" s="644"/>
      <c r="D949" s="643"/>
      <c r="E949" s="643"/>
      <c r="F949" s="643"/>
      <c r="G949" s="643"/>
      <c r="H949" s="643"/>
      <c r="I949" s="643"/>
      <c r="J949" s="643"/>
      <c r="K949" s="643"/>
      <c r="L949" s="643"/>
      <c r="M949" s="643"/>
      <c r="N949" s="643"/>
      <c r="O949" s="643"/>
      <c r="P949" s="643"/>
      <c r="Q949" s="643"/>
      <c r="R949" s="643"/>
      <c r="S949" s="643"/>
      <c r="T949" s="643"/>
      <c r="U949" s="643"/>
      <c r="V949" s="643"/>
      <c r="W949" s="643"/>
      <c r="X949" s="643"/>
      <c r="Y949" s="643"/>
      <c r="Z949" s="643"/>
    </row>
    <row r="950" ht="11.25" customHeight="1">
      <c r="A950" s="646"/>
      <c r="B950" s="643"/>
      <c r="C950" s="644"/>
      <c r="D950" s="643"/>
      <c r="E950" s="643"/>
      <c r="F950" s="643"/>
      <c r="G950" s="643"/>
      <c r="H950" s="643"/>
      <c r="I950" s="643"/>
      <c r="J950" s="643"/>
      <c r="K950" s="643"/>
      <c r="L950" s="643"/>
      <c r="M950" s="643"/>
      <c r="N950" s="643"/>
      <c r="O950" s="643"/>
      <c r="P950" s="643"/>
      <c r="Q950" s="643"/>
      <c r="R950" s="643"/>
      <c r="S950" s="643"/>
      <c r="T950" s="643"/>
      <c r="U950" s="643"/>
      <c r="V950" s="643"/>
      <c r="W950" s="643"/>
      <c r="X950" s="643"/>
      <c r="Y950" s="643"/>
      <c r="Z950" s="643"/>
    </row>
    <row r="951" ht="11.25" customHeight="1">
      <c r="A951" s="646"/>
      <c r="B951" s="643"/>
      <c r="C951" s="644"/>
      <c r="D951" s="643"/>
      <c r="E951" s="643"/>
      <c r="F951" s="643"/>
      <c r="G951" s="643"/>
      <c r="H951" s="643"/>
      <c r="I951" s="643"/>
      <c r="J951" s="643"/>
      <c r="K951" s="643"/>
      <c r="L951" s="643"/>
      <c r="M951" s="643"/>
      <c r="N951" s="643"/>
      <c r="O951" s="643"/>
      <c r="P951" s="643"/>
      <c r="Q951" s="643"/>
      <c r="R951" s="643"/>
      <c r="S951" s="643"/>
      <c r="T951" s="643"/>
      <c r="U951" s="643"/>
      <c r="V951" s="643"/>
      <c r="W951" s="643"/>
      <c r="X951" s="643"/>
      <c r="Y951" s="643"/>
      <c r="Z951" s="643"/>
    </row>
    <row r="952" ht="11.25" customHeight="1">
      <c r="A952" s="646"/>
      <c r="B952" s="643"/>
      <c r="C952" s="644"/>
      <c r="D952" s="643"/>
      <c r="E952" s="643"/>
      <c r="F952" s="643"/>
      <c r="G952" s="643"/>
      <c r="H952" s="643"/>
      <c r="I952" s="643"/>
      <c r="J952" s="643"/>
      <c r="K952" s="643"/>
      <c r="L952" s="643"/>
      <c r="M952" s="643"/>
      <c r="N952" s="643"/>
      <c r="O952" s="643"/>
      <c r="P952" s="643"/>
      <c r="Q952" s="643"/>
      <c r="R952" s="643"/>
      <c r="S952" s="643"/>
      <c r="T952" s="643"/>
      <c r="U952" s="643"/>
      <c r="V952" s="643"/>
      <c r="W952" s="643"/>
      <c r="X952" s="643"/>
      <c r="Y952" s="643"/>
      <c r="Z952" s="643"/>
    </row>
    <row r="953" ht="11.25" customHeight="1">
      <c r="A953" s="646"/>
      <c r="B953" s="643"/>
      <c r="C953" s="644"/>
      <c r="D953" s="643"/>
      <c r="E953" s="643"/>
      <c r="F953" s="643"/>
      <c r="G953" s="643"/>
      <c r="H953" s="643"/>
      <c r="I953" s="643"/>
      <c r="J953" s="643"/>
      <c r="K953" s="643"/>
      <c r="L953" s="643"/>
      <c r="M953" s="643"/>
      <c r="N953" s="643"/>
      <c r="O953" s="643"/>
      <c r="P953" s="643"/>
      <c r="Q953" s="643"/>
      <c r="R953" s="643"/>
      <c r="S953" s="643"/>
      <c r="T953" s="643"/>
      <c r="U953" s="643"/>
      <c r="V953" s="643"/>
      <c r="W953" s="643"/>
      <c r="X953" s="643"/>
      <c r="Y953" s="643"/>
      <c r="Z953" s="643"/>
    </row>
    <row r="954" ht="11.25" customHeight="1">
      <c r="A954" s="646"/>
      <c r="B954" s="643"/>
      <c r="C954" s="644"/>
      <c r="D954" s="643"/>
      <c r="E954" s="643"/>
      <c r="F954" s="643"/>
      <c r="G954" s="643"/>
      <c r="H954" s="643"/>
      <c r="I954" s="643"/>
      <c r="J954" s="643"/>
      <c r="K954" s="643"/>
      <c r="L954" s="643"/>
      <c r="M954" s="643"/>
      <c r="N954" s="643"/>
      <c r="O954" s="643"/>
      <c r="P954" s="643"/>
      <c r="Q954" s="643"/>
      <c r="R954" s="643"/>
      <c r="S954" s="643"/>
      <c r="T954" s="643"/>
      <c r="U954" s="643"/>
      <c r="V954" s="643"/>
      <c r="W954" s="643"/>
      <c r="X954" s="643"/>
      <c r="Y954" s="643"/>
      <c r="Z954" s="643"/>
    </row>
    <row r="955" ht="11.25" customHeight="1">
      <c r="A955" s="646"/>
      <c r="B955" s="643"/>
      <c r="C955" s="644"/>
      <c r="D955" s="643"/>
      <c r="E955" s="643"/>
      <c r="F955" s="643"/>
      <c r="G955" s="643"/>
      <c r="H955" s="643"/>
      <c r="I955" s="643"/>
      <c r="J955" s="643"/>
      <c r="K955" s="643"/>
      <c r="L955" s="643"/>
      <c r="M955" s="643"/>
      <c r="N955" s="643"/>
      <c r="O955" s="643"/>
      <c r="P955" s="643"/>
      <c r="Q955" s="643"/>
      <c r="R955" s="643"/>
      <c r="S955" s="643"/>
      <c r="T955" s="643"/>
      <c r="U955" s="643"/>
      <c r="V955" s="643"/>
      <c r="W955" s="643"/>
      <c r="X955" s="643"/>
      <c r="Y955" s="643"/>
      <c r="Z955" s="643"/>
    </row>
    <row r="956" ht="11.25" customHeight="1">
      <c r="A956" s="646"/>
      <c r="B956" s="643"/>
      <c r="C956" s="644"/>
      <c r="D956" s="643"/>
      <c r="E956" s="643"/>
      <c r="F956" s="643"/>
      <c r="G956" s="643"/>
      <c r="H956" s="643"/>
      <c r="I956" s="643"/>
      <c r="J956" s="643"/>
      <c r="K956" s="643"/>
      <c r="L956" s="643"/>
      <c r="M956" s="643"/>
      <c r="N956" s="643"/>
      <c r="O956" s="643"/>
      <c r="P956" s="643"/>
      <c r="Q956" s="643"/>
      <c r="R956" s="643"/>
      <c r="S956" s="643"/>
      <c r="T956" s="643"/>
      <c r="U956" s="643"/>
      <c r="V956" s="643"/>
      <c r="W956" s="643"/>
      <c r="X956" s="643"/>
      <c r="Y956" s="643"/>
      <c r="Z956" s="643"/>
    </row>
    <row r="957" ht="11.25" customHeight="1">
      <c r="A957" s="646"/>
      <c r="B957" s="643"/>
      <c r="C957" s="644"/>
      <c r="D957" s="643"/>
      <c r="E957" s="643"/>
      <c r="F957" s="643"/>
      <c r="G957" s="643"/>
      <c r="H957" s="643"/>
      <c r="I957" s="643"/>
      <c r="J957" s="643"/>
      <c r="K957" s="643"/>
      <c r="L957" s="643"/>
      <c r="M957" s="643"/>
      <c r="N957" s="643"/>
      <c r="O957" s="643"/>
      <c r="P957" s="643"/>
      <c r="Q957" s="643"/>
      <c r="R957" s="643"/>
      <c r="S957" s="643"/>
      <c r="T957" s="643"/>
      <c r="U957" s="643"/>
      <c r="V957" s="643"/>
      <c r="W957" s="643"/>
      <c r="X957" s="643"/>
      <c r="Y957" s="643"/>
      <c r="Z957" s="643"/>
    </row>
    <row r="958" ht="11.25" customHeight="1">
      <c r="A958" s="646"/>
      <c r="B958" s="643"/>
      <c r="C958" s="644"/>
      <c r="D958" s="643"/>
      <c r="E958" s="643"/>
      <c r="F958" s="643"/>
      <c r="G958" s="643"/>
      <c r="H958" s="643"/>
      <c r="I958" s="643"/>
      <c r="J958" s="643"/>
      <c r="K958" s="643"/>
      <c r="L958" s="643"/>
      <c r="M958" s="643"/>
      <c r="N958" s="643"/>
      <c r="O958" s="643"/>
      <c r="P958" s="643"/>
      <c r="Q958" s="643"/>
      <c r="R958" s="643"/>
      <c r="S958" s="643"/>
      <c r="T958" s="643"/>
      <c r="U958" s="643"/>
      <c r="V958" s="643"/>
      <c r="W958" s="643"/>
      <c r="X958" s="643"/>
      <c r="Y958" s="643"/>
      <c r="Z958" s="643"/>
    </row>
    <row r="959" ht="11.25" customHeight="1">
      <c r="A959" s="646"/>
      <c r="B959" s="643"/>
      <c r="C959" s="644"/>
      <c r="D959" s="643"/>
      <c r="E959" s="643"/>
      <c r="F959" s="643"/>
      <c r="G959" s="643"/>
      <c r="H959" s="643"/>
      <c r="I959" s="643"/>
      <c r="J959" s="643"/>
      <c r="K959" s="643"/>
      <c r="L959" s="643"/>
      <c r="M959" s="643"/>
      <c r="N959" s="643"/>
      <c r="O959" s="643"/>
      <c r="P959" s="643"/>
      <c r="Q959" s="643"/>
      <c r="R959" s="643"/>
      <c r="S959" s="643"/>
      <c r="T959" s="643"/>
      <c r="U959" s="643"/>
      <c r="V959" s="643"/>
      <c r="W959" s="643"/>
      <c r="X959" s="643"/>
      <c r="Y959" s="643"/>
      <c r="Z959" s="643"/>
    </row>
    <row r="960" ht="11.25" customHeight="1">
      <c r="A960" s="646"/>
      <c r="B960" s="643"/>
      <c r="C960" s="644"/>
      <c r="D960" s="643"/>
      <c r="E960" s="643"/>
      <c r="F960" s="643"/>
      <c r="G960" s="643"/>
      <c r="H960" s="643"/>
      <c r="I960" s="643"/>
      <c r="J960" s="643"/>
      <c r="K960" s="643"/>
      <c r="L960" s="643"/>
      <c r="M960" s="643"/>
      <c r="N960" s="643"/>
      <c r="O960" s="643"/>
      <c r="P960" s="643"/>
      <c r="Q960" s="643"/>
      <c r="R960" s="643"/>
      <c r="S960" s="643"/>
      <c r="T960" s="643"/>
      <c r="U960" s="643"/>
      <c r="V960" s="643"/>
      <c r="W960" s="643"/>
      <c r="X960" s="643"/>
      <c r="Y960" s="643"/>
      <c r="Z960" s="643"/>
    </row>
    <row r="961" ht="11.25" customHeight="1">
      <c r="A961" s="646"/>
      <c r="B961" s="643"/>
      <c r="C961" s="644"/>
      <c r="D961" s="643"/>
      <c r="E961" s="643"/>
      <c r="F961" s="643"/>
      <c r="G961" s="643"/>
      <c r="H961" s="643"/>
      <c r="I961" s="643"/>
      <c r="J961" s="643"/>
      <c r="K961" s="643"/>
      <c r="L961" s="643"/>
      <c r="M961" s="643"/>
      <c r="N961" s="643"/>
      <c r="O961" s="643"/>
      <c r="P961" s="643"/>
      <c r="Q961" s="643"/>
      <c r="R961" s="643"/>
      <c r="S961" s="643"/>
      <c r="T961" s="643"/>
      <c r="U961" s="643"/>
      <c r="V961" s="643"/>
      <c r="W961" s="643"/>
      <c r="X961" s="643"/>
      <c r="Y961" s="643"/>
      <c r="Z961" s="643"/>
    </row>
    <row r="962" ht="11.25" customHeight="1">
      <c r="A962" s="646"/>
      <c r="B962" s="643"/>
      <c r="C962" s="644"/>
      <c r="D962" s="643"/>
      <c r="E962" s="643"/>
      <c r="F962" s="643"/>
      <c r="G962" s="643"/>
      <c r="H962" s="643"/>
      <c r="I962" s="643"/>
      <c r="J962" s="643"/>
      <c r="K962" s="643"/>
      <c r="L962" s="643"/>
      <c r="M962" s="643"/>
      <c r="N962" s="643"/>
      <c r="O962" s="643"/>
      <c r="P962" s="643"/>
      <c r="Q962" s="643"/>
      <c r="R962" s="643"/>
      <c r="S962" s="643"/>
      <c r="T962" s="643"/>
      <c r="U962" s="643"/>
      <c r="V962" s="643"/>
      <c r="W962" s="643"/>
      <c r="X962" s="643"/>
      <c r="Y962" s="643"/>
      <c r="Z962" s="643"/>
    </row>
    <row r="963" ht="11.25" customHeight="1">
      <c r="A963" s="646"/>
      <c r="B963" s="643"/>
      <c r="C963" s="644"/>
      <c r="D963" s="643"/>
      <c r="E963" s="643"/>
      <c r="F963" s="643"/>
      <c r="G963" s="643"/>
      <c r="H963" s="643"/>
      <c r="I963" s="643"/>
      <c r="J963" s="643"/>
      <c r="K963" s="643"/>
      <c r="L963" s="643"/>
      <c r="M963" s="643"/>
      <c r="N963" s="643"/>
      <c r="O963" s="643"/>
      <c r="P963" s="643"/>
      <c r="Q963" s="643"/>
      <c r="R963" s="643"/>
      <c r="S963" s="643"/>
      <c r="T963" s="643"/>
      <c r="U963" s="643"/>
      <c r="V963" s="643"/>
      <c r="W963" s="643"/>
      <c r="X963" s="643"/>
      <c r="Y963" s="643"/>
      <c r="Z963" s="643"/>
    </row>
    <row r="964" ht="11.25" customHeight="1">
      <c r="A964" s="646"/>
      <c r="B964" s="643"/>
      <c r="C964" s="644"/>
      <c r="D964" s="643"/>
      <c r="E964" s="643"/>
      <c r="F964" s="643"/>
      <c r="G964" s="643"/>
      <c r="H964" s="643"/>
      <c r="I964" s="643"/>
      <c r="J964" s="643"/>
      <c r="K964" s="643"/>
      <c r="L964" s="643"/>
      <c r="M964" s="643"/>
      <c r="N964" s="643"/>
      <c r="O964" s="643"/>
      <c r="P964" s="643"/>
      <c r="Q964" s="643"/>
      <c r="R964" s="643"/>
      <c r="S964" s="643"/>
      <c r="T964" s="643"/>
      <c r="U964" s="643"/>
      <c r="V964" s="643"/>
      <c r="W964" s="643"/>
      <c r="X964" s="643"/>
      <c r="Y964" s="643"/>
      <c r="Z964" s="643"/>
    </row>
    <row r="965" ht="11.25" customHeight="1">
      <c r="A965" s="646"/>
      <c r="B965" s="643"/>
      <c r="C965" s="644"/>
      <c r="D965" s="643"/>
      <c r="E965" s="643"/>
      <c r="F965" s="643"/>
      <c r="G965" s="643"/>
      <c r="H965" s="643"/>
      <c r="I965" s="643"/>
      <c r="J965" s="643"/>
      <c r="K965" s="643"/>
      <c r="L965" s="643"/>
      <c r="M965" s="643"/>
      <c r="N965" s="643"/>
      <c r="O965" s="643"/>
      <c r="P965" s="643"/>
      <c r="Q965" s="643"/>
      <c r="R965" s="643"/>
      <c r="S965" s="643"/>
      <c r="T965" s="643"/>
      <c r="U965" s="643"/>
      <c r="V965" s="643"/>
      <c r="W965" s="643"/>
      <c r="X965" s="643"/>
      <c r="Y965" s="643"/>
      <c r="Z965" s="643"/>
    </row>
    <row r="966" ht="11.25" customHeight="1">
      <c r="A966" s="646"/>
      <c r="B966" s="643"/>
      <c r="C966" s="644"/>
      <c r="D966" s="643"/>
      <c r="E966" s="643"/>
      <c r="F966" s="643"/>
      <c r="G966" s="643"/>
      <c r="H966" s="643"/>
      <c r="I966" s="643"/>
      <c r="J966" s="643"/>
      <c r="K966" s="643"/>
      <c r="L966" s="643"/>
      <c r="M966" s="643"/>
      <c r="N966" s="643"/>
      <c r="O966" s="643"/>
      <c r="P966" s="643"/>
      <c r="Q966" s="643"/>
      <c r="R966" s="643"/>
      <c r="S966" s="643"/>
      <c r="T966" s="643"/>
      <c r="U966" s="643"/>
      <c r="V966" s="643"/>
      <c r="W966" s="643"/>
      <c r="X966" s="643"/>
      <c r="Y966" s="643"/>
      <c r="Z966" s="643"/>
    </row>
    <row r="967" ht="11.25" customHeight="1">
      <c r="A967" s="646"/>
      <c r="B967" s="643"/>
      <c r="C967" s="644"/>
      <c r="D967" s="643"/>
      <c r="E967" s="643"/>
      <c r="F967" s="643"/>
      <c r="G967" s="643"/>
      <c r="H967" s="643"/>
      <c r="I967" s="643"/>
      <c r="J967" s="643"/>
      <c r="K967" s="643"/>
      <c r="L967" s="643"/>
      <c r="M967" s="643"/>
      <c r="N967" s="643"/>
      <c r="O967" s="643"/>
      <c r="P967" s="643"/>
      <c r="Q967" s="643"/>
      <c r="R967" s="643"/>
      <c r="S967" s="643"/>
      <c r="T967" s="643"/>
      <c r="U967" s="643"/>
      <c r="V967" s="643"/>
      <c r="W967" s="643"/>
      <c r="X967" s="643"/>
      <c r="Y967" s="643"/>
      <c r="Z967" s="643"/>
    </row>
    <row r="968" ht="11.25" customHeight="1">
      <c r="A968" s="646"/>
      <c r="B968" s="643"/>
      <c r="C968" s="644"/>
      <c r="D968" s="643"/>
      <c r="E968" s="643"/>
      <c r="F968" s="643"/>
      <c r="G968" s="643"/>
      <c r="H968" s="643"/>
      <c r="I968" s="643"/>
      <c r="J968" s="643"/>
      <c r="K968" s="643"/>
      <c r="L968" s="643"/>
      <c r="M968" s="643"/>
      <c r="N968" s="643"/>
      <c r="O968" s="643"/>
      <c r="P968" s="643"/>
      <c r="Q968" s="643"/>
      <c r="R968" s="643"/>
      <c r="S968" s="643"/>
      <c r="T968" s="643"/>
      <c r="U968" s="643"/>
      <c r="V968" s="643"/>
      <c r="W968" s="643"/>
      <c r="X968" s="643"/>
      <c r="Y968" s="643"/>
      <c r="Z968" s="643"/>
    </row>
    <row r="969" ht="11.25" customHeight="1">
      <c r="A969" s="646"/>
      <c r="B969" s="643"/>
      <c r="C969" s="644"/>
      <c r="D969" s="643"/>
      <c r="E969" s="643"/>
      <c r="F969" s="643"/>
      <c r="G969" s="643"/>
      <c r="H969" s="643"/>
      <c r="I969" s="643"/>
      <c r="J969" s="643"/>
      <c r="K969" s="643"/>
      <c r="L969" s="643"/>
      <c r="M969" s="643"/>
      <c r="N969" s="643"/>
      <c r="O969" s="643"/>
      <c r="P969" s="643"/>
      <c r="Q969" s="643"/>
      <c r="R969" s="643"/>
      <c r="S969" s="643"/>
      <c r="T969" s="643"/>
      <c r="U969" s="643"/>
      <c r="V969" s="643"/>
      <c r="W969" s="643"/>
      <c r="X969" s="643"/>
      <c r="Y969" s="643"/>
      <c r="Z969" s="643"/>
    </row>
    <row r="970" ht="11.25" customHeight="1">
      <c r="A970" s="646"/>
      <c r="B970" s="643"/>
      <c r="C970" s="644"/>
      <c r="D970" s="643"/>
      <c r="E970" s="643"/>
      <c r="F970" s="643"/>
      <c r="G970" s="643"/>
      <c r="H970" s="643"/>
      <c r="I970" s="643"/>
      <c r="J970" s="643"/>
      <c r="K970" s="643"/>
      <c r="L970" s="643"/>
      <c r="M970" s="643"/>
      <c r="N970" s="643"/>
      <c r="O970" s="643"/>
      <c r="P970" s="643"/>
      <c r="Q970" s="643"/>
      <c r="R970" s="643"/>
      <c r="S970" s="643"/>
      <c r="T970" s="643"/>
      <c r="U970" s="643"/>
      <c r="V970" s="643"/>
      <c r="W970" s="643"/>
      <c r="X970" s="643"/>
      <c r="Y970" s="643"/>
      <c r="Z970" s="643"/>
    </row>
    <row r="971" ht="11.25" customHeight="1">
      <c r="A971" s="646"/>
      <c r="B971" s="643"/>
      <c r="C971" s="644"/>
      <c r="D971" s="643"/>
      <c r="E971" s="643"/>
      <c r="F971" s="643"/>
      <c r="G971" s="643"/>
      <c r="H971" s="643"/>
      <c r="I971" s="643"/>
      <c r="J971" s="643"/>
      <c r="K971" s="643"/>
      <c r="L971" s="643"/>
      <c r="M971" s="643"/>
      <c r="N971" s="643"/>
      <c r="O971" s="643"/>
      <c r="P971" s="643"/>
      <c r="Q971" s="643"/>
      <c r="R971" s="643"/>
      <c r="S971" s="643"/>
      <c r="T971" s="643"/>
      <c r="U971" s="643"/>
      <c r="V971" s="643"/>
      <c r="W971" s="643"/>
      <c r="X971" s="643"/>
      <c r="Y971" s="643"/>
      <c r="Z971" s="643"/>
    </row>
    <row r="972" ht="11.25" customHeight="1">
      <c r="A972" s="646"/>
      <c r="B972" s="643"/>
      <c r="C972" s="644"/>
      <c r="D972" s="643"/>
      <c r="E972" s="643"/>
      <c r="F972" s="643"/>
      <c r="G972" s="643"/>
      <c r="H972" s="643"/>
      <c r="I972" s="643"/>
      <c r="J972" s="643"/>
      <c r="K972" s="643"/>
      <c r="L972" s="643"/>
      <c r="M972" s="643"/>
      <c r="N972" s="643"/>
      <c r="O972" s="643"/>
      <c r="P972" s="643"/>
      <c r="Q972" s="643"/>
      <c r="R972" s="643"/>
      <c r="S972" s="643"/>
      <c r="T972" s="643"/>
      <c r="U972" s="643"/>
      <c r="V972" s="643"/>
      <c r="W972" s="643"/>
      <c r="X972" s="643"/>
      <c r="Y972" s="643"/>
      <c r="Z972" s="643"/>
    </row>
    <row r="973" ht="11.25" customHeight="1">
      <c r="A973" s="646"/>
      <c r="B973" s="643"/>
      <c r="C973" s="644"/>
      <c r="D973" s="643"/>
      <c r="E973" s="643"/>
      <c r="F973" s="643"/>
      <c r="G973" s="643"/>
      <c r="H973" s="643"/>
      <c r="I973" s="643"/>
      <c r="J973" s="643"/>
      <c r="K973" s="643"/>
      <c r="L973" s="643"/>
      <c r="M973" s="643"/>
      <c r="N973" s="643"/>
      <c r="O973" s="643"/>
      <c r="P973" s="643"/>
      <c r="Q973" s="643"/>
      <c r="R973" s="643"/>
      <c r="S973" s="643"/>
      <c r="T973" s="643"/>
      <c r="U973" s="643"/>
      <c r="V973" s="643"/>
      <c r="W973" s="643"/>
      <c r="X973" s="643"/>
      <c r="Y973" s="643"/>
      <c r="Z973" s="643"/>
    </row>
    <row r="974" ht="11.25" customHeight="1">
      <c r="A974" s="646"/>
      <c r="B974" s="643"/>
      <c r="C974" s="644"/>
      <c r="D974" s="643"/>
      <c r="E974" s="643"/>
      <c r="F974" s="643"/>
      <c r="G974" s="643"/>
      <c r="H974" s="643"/>
      <c r="I974" s="643"/>
      <c r="J974" s="643"/>
      <c r="K974" s="643"/>
      <c r="L974" s="643"/>
      <c r="M974" s="643"/>
      <c r="N974" s="643"/>
      <c r="O974" s="643"/>
      <c r="P974" s="643"/>
      <c r="Q974" s="643"/>
      <c r="R974" s="643"/>
      <c r="S974" s="643"/>
      <c r="T974" s="643"/>
      <c r="U974" s="643"/>
      <c r="V974" s="643"/>
      <c r="W974" s="643"/>
      <c r="X974" s="643"/>
      <c r="Y974" s="643"/>
      <c r="Z974" s="643"/>
    </row>
    <row r="975" ht="11.25" customHeight="1">
      <c r="A975" s="646"/>
      <c r="B975" s="643"/>
      <c r="C975" s="644"/>
      <c r="D975" s="643"/>
      <c r="E975" s="643"/>
      <c r="F975" s="643"/>
      <c r="G975" s="643"/>
      <c r="H975" s="643"/>
      <c r="I975" s="643"/>
      <c r="J975" s="643"/>
      <c r="K975" s="643"/>
      <c r="L975" s="643"/>
      <c r="M975" s="643"/>
      <c r="N975" s="643"/>
      <c r="O975" s="643"/>
      <c r="P975" s="643"/>
      <c r="Q975" s="643"/>
      <c r="R975" s="643"/>
      <c r="S975" s="643"/>
      <c r="T975" s="643"/>
      <c r="U975" s="643"/>
      <c r="V975" s="643"/>
      <c r="W975" s="643"/>
      <c r="X975" s="643"/>
      <c r="Y975" s="643"/>
      <c r="Z975" s="643"/>
    </row>
    <row r="976" ht="11.25" customHeight="1">
      <c r="A976" s="646"/>
      <c r="B976" s="643"/>
      <c r="C976" s="644"/>
      <c r="D976" s="643"/>
      <c r="E976" s="643"/>
      <c r="F976" s="643"/>
      <c r="G976" s="643"/>
      <c r="H976" s="643"/>
      <c r="I976" s="643"/>
      <c r="J976" s="643"/>
      <c r="K976" s="643"/>
      <c r="L976" s="643"/>
      <c r="M976" s="643"/>
      <c r="N976" s="643"/>
      <c r="O976" s="643"/>
      <c r="P976" s="643"/>
      <c r="Q976" s="643"/>
      <c r="R976" s="643"/>
      <c r="S976" s="643"/>
      <c r="T976" s="643"/>
      <c r="U976" s="643"/>
      <c r="V976" s="643"/>
      <c r="W976" s="643"/>
      <c r="X976" s="643"/>
      <c r="Y976" s="643"/>
      <c r="Z976" s="643"/>
    </row>
    <row r="977" ht="11.25" customHeight="1">
      <c r="A977" s="646"/>
      <c r="B977" s="643"/>
      <c r="C977" s="644"/>
      <c r="D977" s="643"/>
      <c r="E977" s="643"/>
      <c r="F977" s="643"/>
      <c r="G977" s="643"/>
      <c r="H977" s="643"/>
      <c r="I977" s="643"/>
      <c r="J977" s="643"/>
      <c r="K977" s="643"/>
      <c r="L977" s="643"/>
      <c r="M977" s="643"/>
      <c r="N977" s="643"/>
      <c r="O977" s="643"/>
      <c r="P977" s="643"/>
      <c r="Q977" s="643"/>
      <c r="R977" s="643"/>
      <c r="S977" s="643"/>
      <c r="T977" s="643"/>
      <c r="U977" s="643"/>
      <c r="V977" s="643"/>
      <c r="W977" s="643"/>
      <c r="X977" s="643"/>
      <c r="Y977" s="643"/>
      <c r="Z977" s="643"/>
    </row>
    <row r="978" ht="11.25" customHeight="1">
      <c r="A978" s="646"/>
      <c r="B978" s="643"/>
      <c r="C978" s="644"/>
      <c r="D978" s="643"/>
      <c r="E978" s="643"/>
      <c r="F978" s="643"/>
      <c r="G978" s="643"/>
      <c r="H978" s="643"/>
      <c r="I978" s="643"/>
      <c r="J978" s="643"/>
      <c r="K978" s="643"/>
      <c r="L978" s="643"/>
      <c r="M978" s="643"/>
      <c r="N978" s="643"/>
      <c r="O978" s="643"/>
      <c r="P978" s="643"/>
      <c r="Q978" s="643"/>
      <c r="R978" s="643"/>
      <c r="S978" s="643"/>
      <c r="T978" s="643"/>
      <c r="U978" s="643"/>
      <c r="V978" s="643"/>
      <c r="W978" s="643"/>
      <c r="X978" s="643"/>
      <c r="Y978" s="643"/>
      <c r="Z978" s="643"/>
    </row>
    <row r="979" ht="11.25" customHeight="1">
      <c r="A979" s="646"/>
      <c r="B979" s="643"/>
      <c r="C979" s="644"/>
      <c r="D979" s="643"/>
      <c r="E979" s="643"/>
      <c r="F979" s="643"/>
      <c r="G979" s="643"/>
      <c r="H979" s="643"/>
      <c r="I979" s="643"/>
      <c r="J979" s="643"/>
      <c r="K979" s="643"/>
      <c r="L979" s="643"/>
      <c r="M979" s="643"/>
      <c r="N979" s="643"/>
      <c r="O979" s="643"/>
      <c r="P979" s="643"/>
      <c r="Q979" s="643"/>
      <c r="R979" s="643"/>
      <c r="S979" s="643"/>
      <c r="T979" s="643"/>
      <c r="U979" s="643"/>
      <c r="V979" s="643"/>
      <c r="W979" s="643"/>
      <c r="X979" s="643"/>
      <c r="Y979" s="643"/>
      <c r="Z979" s="643"/>
    </row>
    <row r="980" ht="11.25" customHeight="1">
      <c r="A980" s="646"/>
      <c r="B980" s="643"/>
      <c r="C980" s="644"/>
      <c r="D980" s="643"/>
      <c r="E980" s="643"/>
      <c r="F980" s="643"/>
      <c r="G980" s="643"/>
      <c r="H980" s="643"/>
      <c r="I980" s="643"/>
      <c r="J980" s="643"/>
      <c r="K980" s="643"/>
      <c r="L980" s="643"/>
      <c r="M980" s="643"/>
      <c r="N980" s="643"/>
      <c r="O980" s="643"/>
      <c r="P980" s="643"/>
      <c r="Q980" s="643"/>
      <c r="R980" s="643"/>
      <c r="S980" s="643"/>
      <c r="T980" s="643"/>
      <c r="U980" s="643"/>
      <c r="V980" s="643"/>
      <c r="W980" s="643"/>
      <c r="X980" s="643"/>
      <c r="Y980" s="643"/>
      <c r="Z980" s="643"/>
    </row>
    <row r="981" ht="11.25" customHeight="1">
      <c r="A981" s="646"/>
      <c r="B981" s="643"/>
      <c r="C981" s="644"/>
      <c r="D981" s="643"/>
      <c r="E981" s="643"/>
      <c r="F981" s="643"/>
      <c r="G981" s="643"/>
      <c r="H981" s="643"/>
      <c r="I981" s="643"/>
      <c r="J981" s="643"/>
      <c r="K981" s="643"/>
      <c r="L981" s="643"/>
      <c r="M981" s="643"/>
      <c r="N981" s="643"/>
      <c r="O981" s="643"/>
      <c r="P981" s="643"/>
      <c r="Q981" s="643"/>
      <c r="R981" s="643"/>
      <c r="S981" s="643"/>
      <c r="T981" s="643"/>
      <c r="U981" s="643"/>
      <c r="V981" s="643"/>
      <c r="W981" s="643"/>
      <c r="X981" s="643"/>
      <c r="Y981" s="643"/>
      <c r="Z981" s="643"/>
    </row>
    <row r="982" ht="11.25" customHeight="1">
      <c r="A982" s="646"/>
      <c r="B982" s="643"/>
      <c r="C982" s="644"/>
      <c r="D982" s="643"/>
      <c r="E982" s="643"/>
      <c r="F982" s="643"/>
      <c r="G982" s="643"/>
      <c r="H982" s="643"/>
      <c r="I982" s="643"/>
      <c r="J982" s="643"/>
      <c r="K982" s="643"/>
      <c r="L982" s="643"/>
      <c r="M982" s="643"/>
      <c r="N982" s="643"/>
      <c r="O982" s="643"/>
      <c r="P982" s="643"/>
      <c r="Q982" s="643"/>
      <c r="R982" s="643"/>
      <c r="S982" s="643"/>
      <c r="T982" s="643"/>
      <c r="U982" s="643"/>
      <c r="V982" s="643"/>
      <c r="W982" s="643"/>
      <c r="X982" s="643"/>
      <c r="Y982" s="643"/>
      <c r="Z982" s="643"/>
    </row>
    <row r="983" ht="11.25" customHeight="1">
      <c r="A983" s="646"/>
      <c r="B983" s="643"/>
      <c r="C983" s="644"/>
      <c r="D983" s="643"/>
      <c r="E983" s="643"/>
      <c r="F983" s="643"/>
      <c r="G983" s="643"/>
      <c r="H983" s="643"/>
      <c r="I983" s="643"/>
      <c r="J983" s="643"/>
      <c r="K983" s="643"/>
      <c r="L983" s="643"/>
      <c r="M983" s="643"/>
      <c r="N983" s="643"/>
      <c r="O983" s="643"/>
      <c r="P983" s="643"/>
      <c r="Q983" s="643"/>
      <c r="R983" s="643"/>
      <c r="S983" s="643"/>
      <c r="T983" s="643"/>
      <c r="U983" s="643"/>
      <c r="V983" s="643"/>
      <c r="W983" s="643"/>
      <c r="X983" s="643"/>
      <c r="Y983" s="643"/>
      <c r="Z983" s="643"/>
    </row>
    <row r="984" ht="11.25" customHeight="1">
      <c r="A984" s="646"/>
      <c r="B984" s="643"/>
      <c r="C984" s="644"/>
      <c r="D984" s="643"/>
      <c r="E984" s="643"/>
      <c r="F984" s="643"/>
      <c r="G984" s="643"/>
      <c r="H984" s="643"/>
      <c r="I984" s="643"/>
      <c r="J984" s="643"/>
      <c r="K984" s="643"/>
      <c r="L984" s="643"/>
      <c r="M984" s="643"/>
      <c r="N984" s="643"/>
      <c r="O984" s="643"/>
      <c r="P984" s="643"/>
      <c r="Q984" s="643"/>
      <c r="R984" s="643"/>
      <c r="S984" s="643"/>
      <c r="T984" s="643"/>
      <c r="U984" s="643"/>
      <c r="V984" s="643"/>
      <c r="W984" s="643"/>
      <c r="X984" s="643"/>
      <c r="Y984" s="643"/>
      <c r="Z984" s="643"/>
    </row>
    <row r="985" ht="11.25" customHeight="1">
      <c r="A985" s="646"/>
      <c r="B985" s="643"/>
      <c r="C985" s="644"/>
      <c r="D985" s="643"/>
      <c r="E985" s="643"/>
      <c r="F985" s="643"/>
      <c r="G985" s="643"/>
      <c r="H985" s="643"/>
      <c r="I985" s="643"/>
      <c r="J985" s="643"/>
      <c r="K985" s="643"/>
      <c r="L985" s="643"/>
      <c r="M985" s="643"/>
      <c r="N985" s="643"/>
      <c r="O985" s="643"/>
      <c r="P985" s="643"/>
      <c r="Q985" s="643"/>
      <c r="R985" s="643"/>
      <c r="S985" s="643"/>
      <c r="T985" s="643"/>
      <c r="U985" s="643"/>
      <c r="V985" s="643"/>
      <c r="W985" s="643"/>
      <c r="X985" s="643"/>
      <c r="Y985" s="643"/>
      <c r="Z985" s="643"/>
    </row>
    <row r="986" ht="11.25" customHeight="1">
      <c r="A986" s="646"/>
      <c r="B986" s="643"/>
      <c r="C986" s="644"/>
      <c r="D986" s="643"/>
      <c r="E986" s="643"/>
      <c r="F986" s="643"/>
      <c r="G986" s="643"/>
      <c r="H986" s="643"/>
      <c r="I986" s="643"/>
      <c r="J986" s="643"/>
      <c r="K986" s="643"/>
      <c r="L986" s="643"/>
      <c r="M986" s="643"/>
      <c r="N986" s="643"/>
      <c r="O986" s="643"/>
      <c r="P986" s="643"/>
      <c r="Q986" s="643"/>
      <c r="R986" s="643"/>
      <c r="S986" s="643"/>
      <c r="T986" s="643"/>
      <c r="U986" s="643"/>
      <c r="V986" s="643"/>
      <c r="W986" s="643"/>
      <c r="X986" s="643"/>
      <c r="Y986" s="643"/>
      <c r="Z986" s="643"/>
    </row>
    <row r="987" ht="11.25" customHeight="1">
      <c r="A987" s="646"/>
      <c r="B987" s="643"/>
      <c r="C987" s="644"/>
      <c r="D987" s="643"/>
      <c r="E987" s="643"/>
      <c r="F987" s="643"/>
      <c r="G987" s="643"/>
      <c r="H987" s="643"/>
      <c r="I987" s="643"/>
      <c r="J987" s="643"/>
      <c r="K987" s="643"/>
      <c r="L987" s="643"/>
      <c r="M987" s="643"/>
      <c r="N987" s="643"/>
      <c r="O987" s="643"/>
      <c r="P987" s="643"/>
      <c r="Q987" s="643"/>
      <c r="R987" s="643"/>
      <c r="S987" s="643"/>
      <c r="T987" s="643"/>
      <c r="U987" s="643"/>
      <c r="V987" s="643"/>
      <c r="W987" s="643"/>
      <c r="X987" s="643"/>
      <c r="Y987" s="643"/>
      <c r="Z987" s="643"/>
    </row>
    <row r="988" ht="11.25" customHeight="1">
      <c r="A988" s="646"/>
      <c r="B988" s="643"/>
      <c r="C988" s="644"/>
      <c r="D988" s="643"/>
      <c r="E988" s="643"/>
      <c r="F988" s="643"/>
      <c r="G988" s="643"/>
      <c r="H988" s="643"/>
      <c r="I988" s="643"/>
      <c r="J988" s="643"/>
      <c r="K988" s="643"/>
      <c r="L988" s="643"/>
      <c r="M988" s="643"/>
      <c r="N988" s="643"/>
      <c r="O988" s="643"/>
      <c r="P988" s="643"/>
      <c r="Q988" s="643"/>
      <c r="R988" s="643"/>
      <c r="S988" s="643"/>
      <c r="T988" s="643"/>
      <c r="U988" s="643"/>
      <c r="V988" s="643"/>
      <c r="W988" s="643"/>
      <c r="X988" s="643"/>
      <c r="Y988" s="643"/>
      <c r="Z988" s="643"/>
    </row>
    <row r="989" ht="11.25" customHeight="1">
      <c r="A989" s="646"/>
      <c r="B989" s="643"/>
      <c r="C989" s="644"/>
      <c r="D989" s="643"/>
      <c r="E989" s="643"/>
      <c r="F989" s="643"/>
      <c r="G989" s="643"/>
      <c r="H989" s="643"/>
      <c r="I989" s="643"/>
      <c r="J989" s="643"/>
      <c r="K989" s="643"/>
      <c r="L989" s="643"/>
      <c r="M989" s="643"/>
      <c r="N989" s="643"/>
      <c r="O989" s="643"/>
      <c r="P989" s="643"/>
      <c r="Q989" s="643"/>
      <c r="R989" s="643"/>
      <c r="S989" s="643"/>
      <c r="T989" s="643"/>
      <c r="U989" s="643"/>
      <c r="V989" s="643"/>
      <c r="W989" s="643"/>
      <c r="X989" s="643"/>
      <c r="Y989" s="643"/>
      <c r="Z989" s="643"/>
    </row>
    <row r="990" ht="11.25" customHeight="1">
      <c r="A990" s="646"/>
      <c r="B990" s="643"/>
      <c r="C990" s="644"/>
      <c r="D990" s="643"/>
      <c r="E990" s="643"/>
      <c r="F990" s="643"/>
      <c r="G990" s="643"/>
      <c r="H990" s="643"/>
      <c r="I990" s="643"/>
      <c r="J990" s="643"/>
      <c r="K990" s="643"/>
      <c r="L990" s="643"/>
      <c r="M990" s="643"/>
      <c r="N990" s="643"/>
      <c r="O990" s="643"/>
      <c r="P990" s="643"/>
      <c r="Q990" s="643"/>
      <c r="R990" s="643"/>
      <c r="S990" s="643"/>
      <c r="T990" s="643"/>
      <c r="U990" s="643"/>
      <c r="V990" s="643"/>
      <c r="W990" s="643"/>
      <c r="X990" s="643"/>
      <c r="Y990" s="643"/>
      <c r="Z990" s="643"/>
    </row>
    <row r="991" ht="11.25" customHeight="1">
      <c r="A991" s="646"/>
      <c r="B991" s="643"/>
      <c r="C991" s="644"/>
      <c r="D991" s="643"/>
      <c r="E991" s="643"/>
      <c r="F991" s="643"/>
      <c r="G991" s="643"/>
      <c r="H991" s="643"/>
      <c r="I991" s="643"/>
      <c r="J991" s="643"/>
      <c r="K991" s="643"/>
      <c r="L991" s="643"/>
      <c r="M991" s="643"/>
      <c r="N991" s="643"/>
      <c r="O991" s="643"/>
      <c r="P991" s="643"/>
      <c r="Q991" s="643"/>
      <c r="R991" s="643"/>
      <c r="S991" s="643"/>
      <c r="T991" s="643"/>
      <c r="U991" s="643"/>
      <c r="V991" s="643"/>
      <c r="W991" s="643"/>
      <c r="X991" s="643"/>
      <c r="Y991" s="643"/>
      <c r="Z991" s="643"/>
    </row>
    <row r="992" ht="11.25" customHeight="1">
      <c r="A992" s="646"/>
      <c r="B992" s="643"/>
      <c r="C992" s="644"/>
      <c r="D992" s="643"/>
      <c r="E992" s="643"/>
      <c r="F992" s="643"/>
      <c r="G992" s="643"/>
      <c r="H992" s="643"/>
      <c r="I992" s="643"/>
      <c r="J992" s="643"/>
      <c r="K992" s="643"/>
      <c r="L992" s="643"/>
      <c r="M992" s="643"/>
      <c r="N992" s="643"/>
      <c r="O992" s="643"/>
      <c r="P992" s="643"/>
      <c r="Q992" s="643"/>
      <c r="R992" s="643"/>
      <c r="S992" s="643"/>
      <c r="T992" s="643"/>
      <c r="U992" s="643"/>
      <c r="V992" s="643"/>
      <c r="W992" s="643"/>
      <c r="X992" s="643"/>
      <c r="Y992" s="643"/>
      <c r="Z992" s="643"/>
    </row>
    <row r="993" ht="11.25" customHeight="1">
      <c r="A993" s="646"/>
      <c r="B993" s="643"/>
      <c r="C993" s="644"/>
      <c r="D993" s="643"/>
      <c r="E993" s="643"/>
      <c r="F993" s="643"/>
      <c r="G993" s="643"/>
      <c r="H993" s="643"/>
      <c r="I993" s="643"/>
      <c r="J993" s="643"/>
      <c r="K993" s="643"/>
      <c r="L993" s="643"/>
      <c r="M993" s="643"/>
      <c r="N993" s="643"/>
      <c r="O993" s="643"/>
      <c r="P993" s="643"/>
      <c r="Q993" s="643"/>
      <c r="R993" s="643"/>
      <c r="S993" s="643"/>
      <c r="T993" s="643"/>
      <c r="U993" s="643"/>
      <c r="V993" s="643"/>
      <c r="W993" s="643"/>
      <c r="X993" s="643"/>
      <c r="Y993" s="643"/>
      <c r="Z993" s="643"/>
    </row>
    <row r="994" ht="11.25" customHeight="1">
      <c r="A994" s="646"/>
      <c r="B994" s="643"/>
      <c r="C994" s="644"/>
      <c r="D994" s="643"/>
      <c r="E994" s="643"/>
      <c r="F994" s="643"/>
      <c r="G994" s="643"/>
      <c r="H994" s="643"/>
      <c r="I994" s="643"/>
      <c r="J994" s="643"/>
      <c r="K994" s="643"/>
      <c r="L994" s="643"/>
      <c r="M994" s="643"/>
      <c r="N994" s="643"/>
      <c r="O994" s="643"/>
      <c r="P994" s="643"/>
      <c r="Q994" s="643"/>
      <c r="R994" s="643"/>
      <c r="S994" s="643"/>
      <c r="T994" s="643"/>
      <c r="U994" s="643"/>
      <c r="V994" s="643"/>
      <c r="W994" s="643"/>
      <c r="X994" s="643"/>
      <c r="Y994" s="643"/>
      <c r="Z994" s="643"/>
    </row>
    <row r="995" ht="11.25" customHeight="1">
      <c r="A995" s="646"/>
      <c r="B995" s="643"/>
      <c r="C995" s="644"/>
      <c r="D995" s="643"/>
      <c r="E995" s="643"/>
      <c r="F995" s="643"/>
      <c r="G995" s="643"/>
      <c r="H995" s="643"/>
      <c r="I995" s="643"/>
      <c r="J995" s="643"/>
      <c r="K995" s="643"/>
      <c r="L995" s="643"/>
      <c r="M995" s="643"/>
      <c r="N995" s="643"/>
      <c r="O995" s="643"/>
      <c r="P995" s="643"/>
      <c r="Q995" s="643"/>
      <c r="R995" s="643"/>
      <c r="S995" s="643"/>
      <c r="T995" s="643"/>
      <c r="U995" s="643"/>
      <c r="V995" s="643"/>
      <c r="W995" s="643"/>
      <c r="X995" s="643"/>
      <c r="Y995" s="643"/>
      <c r="Z995" s="643"/>
    </row>
    <row r="996" ht="11.25" customHeight="1">
      <c r="A996" s="646"/>
      <c r="B996" s="643"/>
      <c r="C996" s="644"/>
      <c r="D996" s="643"/>
      <c r="E996" s="643"/>
      <c r="F996" s="643"/>
      <c r="G996" s="643"/>
      <c r="H996" s="643"/>
      <c r="I996" s="643"/>
      <c r="J996" s="643"/>
      <c r="K996" s="643"/>
      <c r="L996" s="643"/>
      <c r="M996" s="643"/>
      <c r="N996" s="643"/>
      <c r="O996" s="643"/>
      <c r="P996" s="643"/>
      <c r="Q996" s="643"/>
      <c r="R996" s="643"/>
      <c r="S996" s="643"/>
      <c r="T996" s="643"/>
      <c r="U996" s="643"/>
      <c r="V996" s="643"/>
      <c r="W996" s="643"/>
      <c r="X996" s="643"/>
      <c r="Y996" s="643"/>
      <c r="Z996" s="643"/>
    </row>
    <row r="997" ht="11.25" customHeight="1">
      <c r="A997" s="646"/>
      <c r="B997" s="643"/>
      <c r="C997" s="644"/>
      <c r="D997" s="643"/>
      <c r="E997" s="643"/>
      <c r="F997" s="643"/>
      <c r="G997" s="643"/>
      <c r="H997" s="643"/>
      <c r="I997" s="643"/>
      <c r="J997" s="643"/>
      <c r="K997" s="643"/>
      <c r="L997" s="643"/>
      <c r="M997" s="643"/>
      <c r="N997" s="643"/>
      <c r="O997" s="643"/>
      <c r="P997" s="643"/>
      <c r="Q997" s="643"/>
      <c r="R997" s="643"/>
      <c r="S997" s="643"/>
      <c r="T997" s="643"/>
      <c r="U997" s="643"/>
      <c r="V997" s="643"/>
      <c r="W997" s="643"/>
      <c r="X997" s="643"/>
      <c r="Y997" s="643"/>
      <c r="Z997" s="643"/>
    </row>
    <row r="998" ht="11.25" customHeight="1">
      <c r="A998" s="646"/>
      <c r="B998" s="643"/>
      <c r="C998" s="644"/>
      <c r="D998" s="643"/>
      <c r="E998" s="643"/>
      <c r="F998" s="643"/>
      <c r="G998" s="643"/>
      <c r="H998" s="643"/>
      <c r="I998" s="643"/>
      <c r="J998" s="643"/>
      <c r="K998" s="643"/>
      <c r="L998" s="643"/>
      <c r="M998" s="643"/>
      <c r="N998" s="643"/>
      <c r="O998" s="643"/>
      <c r="P998" s="643"/>
      <c r="Q998" s="643"/>
      <c r="R998" s="643"/>
      <c r="S998" s="643"/>
      <c r="T998" s="643"/>
      <c r="U998" s="643"/>
      <c r="V998" s="643"/>
      <c r="W998" s="643"/>
      <c r="X998" s="643"/>
      <c r="Y998" s="643"/>
      <c r="Z998" s="643"/>
    </row>
    <row r="999" ht="11.25" customHeight="1">
      <c r="A999" s="646"/>
      <c r="B999" s="643"/>
      <c r="C999" s="644"/>
      <c r="D999" s="643"/>
      <c r="E999" s="643"/>
      <c r="F999" s="643"/>
      <c r="G999" s="643"/>
      <c r="H999" s="643"/>
      <c r="I999" s="643"/>
      <c r="J999" s="643"/>
      <c r="K999" s="643"/>
      <c r="L999" s="643"/>
      <c r="M999" s="643"/>
      <c r="N999" s="643"/>
      <c r="O999" s="643"/>
      <c r="P999" s="643"/>
      <c r="Q999" s="643"/>
      <c r="R999" s="643"/>
      <c r="S999" s="643"/>
      <c r="T999" s="643"/>
      <c r="U999" s="643"/>
      <c r="V999" s="643"/>
      <c r="W999" s="643"/>
      <c r="X999" s="643"/>
      <c r="Y999" s="643"/>
      <c r="Z999" s="643"/>
    </row>
    <row r="1000" ht="11.25" customHeight="1">
      <c r="A1000" s="646"/>
      <c r="B1000" s="643"/>
      <c r="C1000" s="644"/>
      <c r="D1000" s="643"/>
      <c r="E1000" s="643"/>
      <c r="F1000" s="643"/>
      <c r="G1000" s="643"/>
      <c r="H1000" s="643"/>
      <c r="I1000" s="643"/>
      <c r="J1000" s="643"/>
      <c r="K1000" s="643"/>
      <c r="L1000" s="643"/>
      <c r="M1000" s="643"/>
      <c r="N1000" s="643"/>
      <c r="O1000" s="643"/>
      <c r="P1000" s="643"/>
      <c r="Q1000" s="643"/>
      <c r="R1000" s="643"/>
      <c r="S1000" s="643"/>
      <c r="T1000" s="643"/>
      <c r="U1000" s="643"/>
      <c r="V1000" s="643"/>
      <c r="W1000" s="643"/>
      <c r="X1000" s="643"/>
      <c r="Y1000" s="643"/>
      <c r="Z1000" s="643"/>
    </row>
  </sheetData>
  <autoFilter ref="$A$4:$K$39"/>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4.43"/>
    <col customWidth="1" min="2" max="2" width="8.71"/>
    <col customWidth="1" min="3" max="3" width="22.43"/>
    <col customWidth="1" min="4" max="26" width="8.71"/>
  </cols>
  <sheetData>
    <row r="1">
      <c r="A1" s="664" t="s">
        <v>5694</v>
      </c>
      <c r="B1" s="664" t="s">
        <v>3853</v>
      </c>
      <c r="C1" s="664" t="s">
        <v>5695</v>
      </c>
    </row>
    <row r="2">
      <c r="A2" s="665">
        <v>2.0</v>
      </c>
      <c r="B2" s="154" t="s">
        <v>2462</v>
      </c>
      <c r="C2" s="154" t="s">
        <v>5696</v>
      </c>
    </row>
    <row r="3">
      <c r="A3" s="665">
        <v>2.0</v>
      </c>
      <c r="B3" s="154" t="s">
        <v>1841</v>
      </c>
      <c r="C3" s="666" t="s">
        <v>5697</v>
      </c>
    </row>
    <row r="4">
      <c r="A4" s="665">
        <v>2.0</v>
      </c>
      <c r="B4" s="154" t="s">
        <v>2581</v>
      </c>
      <c r="C4" s="154" t="s">
        <v>2692</v>
      </c>
    </row>
    <row r="5">
      <c r="A5" s="665">
        <v>2.0</v>
      </c>
      <c r="B5" s="154" t="s">
        <v>2212</v>
      </c>
      <c r="C5" s="154" t="s">
        <v>5696</v>
      </c>
    </row>
    <row r="6">
      <c r="A6" s="665">
        <v>2.0</v>
      </c>
      <c r="B6" s="154" t="s">
        <v>2125</v>
      </c>
      <c r="C6" s="154" t="s">
        <v>5696</v>
      </c>
    </row>
    <row r="7">
      <c r="A7" s="665">
        <v>2.0</v>
      </c>
      <c r="B7" s="154" t="s">
        <v>2490</v>
      </c>
      <c r="C7" s="154" t="s">
        <v>5696</v>
      </c>
    </row>
    <row r="8">
      <c r="A8" s="665">
        <v>2.0</v>
      </c>
      <c r="B8" s="154" t="s">
        <v>2019</v>
      </c>
      <c r="C8" s="154" t="s">
        <v>2692</v>
      </c>
    </row>
    <row r="9">
      <c r="A9" s="665">
        <v>1.0</v>
      </c>
      <c r="B9" s="154" t="s">
        <v>2099</v>
      </c>
      <c r="C9" s="154"/>
    </row>
    <row r="10">
      <c r="A10" s="665">
        <v>2.0</v>
      </c>
      <c r="B10" s="154" t="s">
        <v>2545</v>
      </c>
      <c r="C10" s="154" t="s">
        <v>5696</v>
      </c>
    </row>
    <row r="11">
      <c r="A11" s="665">
        <v>2.0</v>
      </c>
      <c r="B11" s="154" t="s">
        <v>2552</v>
      </c>
      <c r="C11" s="154" t="s">
        <v>2692</v>
      </c>
    </row>
    <row r="12">
      <c r="A12" s="665">
        <v>2.0</v>
      </c>
      <c r="B12" s="154" t="s">
        <v>3182</v>
      </c>
      <c r="C12" s="154" t="s">
        <v>2692</v>
      </c>
    </row>
    <row r="13">
      <c r="A13" s="665">
        <v>2.0</v>
      </c>
      <c r="B13" s="154" t="s">
        <v>2069</v>
      </c>
      <c r="C13" s="154" t="s">
        <v>5696</v>
      </c>
    </row>
    <row r="14">
      <c r="A14" s="665">
        <v>2.0</v>
      </c>
      <c r="B14" s="154" t="s">
        <v>1846</v>
      </c>
      <c r="C14" s="666" t="s">
        <v>5697</v>
      </c>
    </row>
    <row r="15">
      <c r="A15" s="665">
        <v>2.0</v>
      </c>
      <c r="B15" s="154" t="s">
        <v>2434</v>
      </c>
      <c r="C15" s="154" t="s">
        <v>5696</v>
      </c>
    </row>
    <row r="16">
      <c r="A16" s="665">
        <v>2.0</v>
      </c>
      <c r="B16" s="154" t="s">
        <v>2677</v>
      </c>
      <c r="C16" s="154" t="s">
        <v>2692</v>
      </c>
    </row>
    <row r="17">
      <c r="A17" s="665">
        <v>2.0</v>
      </c>
      <c r="B17" s="154" t="s">
        <v>2919</v>
      </c>
      <c r="C17" s="154" t="s">
        <v>2692</v>
      </c>
    </row>
    <row r="18">
      <c r="A18" s="665">
        <v>2.0</v>
      </c>
      <c r="B18" s="154" t="s">
        <v>1849</v>
      </c>
      <c r="C18" s="154" t="s">
        <v>5696</v>
      </c>
    </row>
    <row r="19">
      <c r="A19" s="665">
        <v>2.0</v>
      </c>
      <c r="B19" s="154" t="s">
        <v>2379</v>
      </c>
      <c r="C19" s="154" t="s">
        <v>5696</v>
      </c>
    </row>
    <row r="20">
      <c r="A20" s="665">
        <v>2.0</v>
      </c>
      <c r="B20" s="154" t="s">
        <v>2892</v>
      </c>
      <c r="C20" s="154" t="s">
        <v>2692</v>
      </c>
    </row>
    <row r="21" ht="15.75" customHeight="1">
      <c r="A21" s="665">
        <v>2.0</v>
      </c>
      <c r="B21" s="154" t="s">
        <v>4659</v>
      </c>
      <c r="C21" s="154" t="s">
        <v>5696</v>
      </c>
    </row>
    <row r="22" ht="15.75" customHeight="1">
      <c r="A22" s="665">
        <v>2.0</v>
      </c>
      <c r="B22" s="154" t="s">
        <v>2692</v>
      </c>
      <c r="C22" s="154" t="s">
        <v>2692</v>
      </c>
    </row>
    <row r="23" ht="15.75" customHeight="1">
      <c r="A23" s="665">
        <v>2.0</v>
      </c>
      <c r="B23" s="154" t="s">
        <v>3192</v>
      </c>
      <c r="C23" s="154" t="s">
        <v>2692</v>
      </c>
    </row>
    <row r="24" ht="15.75" customHeight="1">
      <c r="A24" s="665">
        <v>2.0</v>
      </c>
      <c r="B24" s="154" t="s">
        <v>3308</v>
      </c>
      <c r="C24" s="154" t="s">
        <v>2692</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E$38"/>
  <printOptions/>
  <pageMargins bottom="0.75" footer="0.0" header="0.0" left="0.7" right="0.7" top="0.75"/>
  <pageSetup orientation="landscape"/>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45.43"/>
    <col customWidth="1" min="3" max="3" width="48.43"/>
    <col customWidth="1" min="4" max="26" width="8.71"/>
  </cols>
  <sheetData>
    <row r="1">
      <c r="A1" s="667" t="s">
        <v>5698</v>
      </c>
    </row>
    <row r="2">
      <c r="A2" s="668" t="s">
        <v>5699</v>
      </c>
      <c r="B2" s="669" t="s">
        <v>5700</v>
      </c>
      <c r="C2" s="669" t="s">
        <v>5701</v>
      </c>
      <c r="D2" s="670"/>
      <c r="E2" s="670"/>
      <c r="F2" s="670"/>
      <c r="G2" s="670"/>
      <c r="H2" s="670"/>
      <c r="I2" s="670"/>
      <c r="J2" s="670"/>
      <c r="K2" s="670"/>
      <c r="L2" s="670"/>
      <c r="M2" s="670"/>
      <c r="N2" s="670"/>
      <c r="O2" s="670"/>
      <c r="P2" s="670"/>
      <c r="Q2" s="670"/>
      <c r="R2" s="670"/>
      <c r="S2" s="670"/>
      <c r="T2" s="670"/>
      <c r="U2" s="670"/>
      <c r="V2" s="670"/>
      <c r="W2" s="670"/>
      <c r="X2" s="670"/>
      <c r="Y2" s="670"/>
      <c r="Z2" s="670"/>
    </row>
    <row r="3">
      <c r="A3" s="671" t="s">
        <v>1895</v>
      </c>
      <c r="B3" s="672" t="s">
        <v>5702</v>
      </c>
      <c r="C3" s="672" t="s">
        <v>5703</v>
      </c>
    </row>
    <row r="4">
      <c r="A4" s="673" t="s">
        <v>5704</v>
      </c>
      <c r="B4" s="672" t="s">
        <v>5705</v>
      </c>
      <c r="C4" s="672" t="s">
        <v>5706</v>
      </c>
    </row>
    <row r="5">
      <c r="A5" s="674" t="s">
        <v>2072</v>
      </c>
      <c r="B5" s="672" t="s">
        <v>5707</v>
      </c>
      <c r="C5" s="672" t="s">
        <v>5708</v>
      </c>
    </row>
    <row r="6">
      <c r="A6" s="673" t="s">
        <v>5709</v>
      </c>
      <c r="B6" s="672" t="s">
        <v>5710</v>
      </c>
      <c r="C6" s="672" t="s">
        <v>5711</v>
      </c>
    </row>
    <row r="7">
      <c r="A7" s="673" t="s">
        <v>5712</v>
      </c>
      <c r="B7" s="672" t="s">
        <v>5713</v>
      </c>
      <c r="C7" s="672" t="s">
        <v>5711</v>
      </c>
    </row>
    <row r="8">
      <c r="A8" s="673" t="s">
        <v>5714</v>
      </c>
      <c r="B8" s="672" t="s">
        <v>5715</v>
      </c>
      <c r="C8" s="672" t="s">
        <v>5716</v>
      </c>
    </row>
    <row r="9">
      <c r="A9" s="673" t="s">
        <v>1964</v>
      </c>
      <c r="B9" s="672" t="s">
        <v>5717</v>
      </c>
      <c r="C9" s="672" t="s">
        <v>5718</v>
      </c>
    </row>
    <row r="10">
      <c r="A10" s="674" t="s">
        <v>5719</v>
      </c>
      <c r="B10" s="672" t="s">
        <v>5720</v>
      </c>
      <c r="C10" s="672" t="s">
        <v>5721</v>
      </c>
    </row>
    <row r="11">
      <c r="A11" s="674" t="s">
        <v>2290</v>
      </c>
      <c r="B11" s="672" t="s">
        <v>5722</v>
      </c>
      <c r="C11" s="672" t="s">
        <v>5723</v>
      </c>
    </row>
    <row r="12">
      <c r="A12" s="674" t="s">
        <v>5724</v>
      </c>
      <c r="B12" s="672" t="s">
        <v>5725</v>
      </c>
      <c r="C12" s="672" t="s">
        <v>5723</v>
      </c>
    </row>
    <row r="13">
      <c r="A13" s="674" t="s">
        <v>2473</v>
      </c>
      <c r="B13" s="675" t="s">
        <v>5726</v>
      </c>
      <c r="C13" s="675" t="s">
        <v>5727</v>
      </c>
    </row>
    <row r="14">
      <c r="A14" s="674" t="s">
        <v>5728</v>
      </c>
      <c r="B14" s="672" t="s">
        <v>5729</v>
      </c>
      <c r="C14" s="672" t="s">
        <v>5730</v>
      </c>
    </row>
    <row r="15">
      <c r="A15" s="671" t="s">
        <v>5731</v>
      </c>
      <c r="B15" s="672" t="s">
        <v>5732</v>
      </c>
      <c r="C15" s="672" t="s">
        <v>5732</v>
      </c>
    </row>
    <row r="16">
      <c r="A16" s="671" t="s">
        <v>5733</v>
      </c>
      <c r="B16" s="672" t="s">
        <v>5734</v>
      </c>
      <c r="C16" s="672" t="s">
        <v>5730</v>
      </c>
    </row>
    <row r="17">
      <c r="A17" s="671" t="s">
        <v>5735</v>
      </c>
      <c r="B17" s="672" t="s">
        <v>5736</v>
      </c>
      <c r="C17" s="672" t="s">
        <v>5730</v>
      </c>
    </row>
    <row r="18">
      <c r="A18" s="671" t="s">
        <v>2676</v>
      </c>
      <c r="B18" s="672" t="s">
        <v>5737</v>
      </c>
      <c r="C18" s="672" t="s">
        <v>5703</v>
      </c>
    </row>
    <row r="19">
      <c r="A19" s="671" t="s">
        <v>2763</v>
      </c>
      <c r="B19" s="672" t="s">
        <v>5738</v>
      </c>
      <c r="C19" s="672" t="s">
        <v>5739</v>
      </c>
    </row>
    <row r="20">
      <c r="A20" s="671" t="s">
        <v>5740</v>
      </c>
      <c r="B20" s="676" t="s">
        <v>5741</v>
      </c>
      <c r="C20" s="672" t="s">
        <v>5742</v>
      </c>
    </row>
    <row r="21" ht="15.75" customHeight="1">
      <c r="A21" s="671" t="s">
        <v>5743</v>
      </c>
      <c r="B21" s="672" t="s">
        <v>5744</v>
      </c>
      <c r="C21" s="672" t="s">
        <v>5143</v>
      </c>
    </row>
    <row r="22" ht="15.75" customHeight="1">
      <c r="A22" s="674" t="s">
        <v>5745</v>
      </c>
      <c r="B22" s="672" t="s">
        <v>5746</v>
      </c>
      <c r="C22" s="672" t="s">
        <v>5746</v>
      </c>
    </row>
    <row r="23" ht="15.75" customHeight="1">
      <c r="A23" s="673" t="s">
        <v>5747</v>
      </c>
      <c r="B23" s="672" t="s">
        <v>5748</v>
      </c>
      <c r="C23" s="672" t="s">
        <v>5748</v>
      </c>
    </row>
    <row r="24" ht="15.75" customHeight="1">
      <c r="A24" s="673" t="s">
        <v>2318</v>
      </c>
      <c r="B24" s="672" t="s">
        <v>5749</v>
      </c>
      <c r="C24" s="672" t="s">
        <v>5749</v>
      </c>
    </row>
    <row r="25" ht="15.75" customHeight="1">
      <c r="A25" s="671" t="s">
        <v>5750</v>
      </c>
      <c r="B25" s="672" t="s">
        <v>5751</v>
      </c>
      <c r="C25" s="672" t="s">
        <v>5751</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C$2"/>
  <printOptions/>
  <pageMargins bottom="0.75" footer="0.0" header="0.0" left="0.7" right="0.7" top="0.75"/>
  <pageSetup orientation="landscape"/>
  <drawing r:id="rId1"/>
</worksheet>
</file>